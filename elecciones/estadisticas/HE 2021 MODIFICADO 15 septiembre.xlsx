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mirez\Documents\Elecciones\"/>
    </mc:Choice>
  </mc:AlternateContent>
  <xr:revisionPtr revIDLastSave="0" documentId="8_{B92F23B5-9561-4B4A-A0E3-6A29D17A9B87}" xr6:coauthVersionLast="47" xr6:coauthVersionMax="47" xr10:uidLastSave="{00000000-0000-0000-0000-000000000000}"/>
  <bookViews>
    <workbookView xWindow="-120" yWindow="-120" windowWidth="29040" windowHeight="15840" firstSheet="9" activeTab="15" xr2:uid="{00000000-000D-0000-FFFF-FFFF00000000}"/>
  </bookViews>
  <sheets>
    <sheet name="1999-Prov" sheetId="1" r:id="rId1"/>
    <sheet name="Datos2021" sheetId="2" r:id="rId2"/>
    <sheet name="2003-Prov" sheetId="5" r:id="rId3"/>
    <sheet name="Elecciones" sheetId="6" r:id="rId4"/>
    <sheet name="2011-Prov" sheetId="7" r:id="rId5"/>
    <sheet name="2011 gral Dip" sheetId="8" r:id="rId6"/>
    <sheet name="2011Gral Pres." sheetId="9" r:id="rId7"/>
    <sheet name="2013Gral" sheetId="10" r:id="rId8"/>
    <sheet name="2015-Prov" sheetId="11" r:id="rId9"/>
    <sheet name="Tabla dinámica 1" sheetId="13" r:id="rId10"/>
    <sheet name="2015-Primarias" sheetId="14" r:id="rId11"/>
    <sheet name="Tabla dinámica 2" sheetId="3" r:id="rId12"/>
    <sheet name="2017-General" sheetId="4" r:id="rId13"/>
    <sheet name="2019-Prov" sheetId="12" r:id="rId14"/>
    <sheet name="2017-Primarias" sheetId="15" r:id="rId15"/>
    <sheet name="Hoja1" sheetId="19" r:id="rId16"/>
    <sheet name="Hoja6" sheetId="24" r:id="rId17"/>
    <sheet name="Copia de Localidades" sheetId="16" r:id="rId18"/>
    <sheet name="Semana 1" sheetId="17" r:id="rId19"/>
    <sheet name="Agenda" sheetId="18" r:id="rId20"/>
  </sheets>
  <definedNames>
    <definedName name="_xlnm._FilterDatabase" localSheetId="4" hidden="1">'2011-Prov'!$A$5:$E$1084</definedName>
    <definedName name="_xlnm._FilterDatabase" localSheetId="10" hidden="1">'2015-Primarias'!$A$5:$G$5</definedName>
    <definedName name="_xlnm._FilterDatabase" localSheetId="12" hidden="1">'2017-General'!$A$3:$G$707</definedName>
    <definedName name="_xlnm._FilterDatabase" localSheetId="14" hidden="1">'2017-Primarias'!$A$5:$E$709</definedName>
    <definedName name="_xlnm._FilterDatabase" localSheetId="13" hidden="1">'2019-Prov'!$A$5:$G$4694</definedName>
    <definedName name="_xlnm._FilterDatabase" localSheetId="17" hidden="1">'Copia de Localidades'!$A$3:$C$104</definedName>
    <definedName name="_xlnm._FilterDatabase" localSheetId="1" hidden="1">Datos2021!$A$3:$G$3082</definedName>
    <definedName name="_xlnm._FilterDatabase" localSheetId="3" hidden="1">Elecciones!$A$3:$F$270</definedName>
    <definedName name="_xlnm._FilterDatabase" localSheetId="18" hidden="1">'Semana 1'!$B$3:$D$103</definedName>
  </definedNames>
  <calcPr calcId="191028" iterateDelta="1E-4"/>
  <pivotCaches>
    <pivotCache cacheId="34" r:id="rId21"/>
    <pivotCache cacheId="39" r:id="rId22"/>
  </pivotCaches>
</workbook>
</file>

<file path=xl/calcChain.xml><?xml version="1.0" encoding="utf-8"?>
<calcChain xmlns="http://schemas.openxmlformats.org/spreadsheetml/2006/main">
  <c r="D12" i="24" l="1"/>
  <c r="C12" i="24"/>
  <c r="B12" i="24"/>
  <c r="D11" i="24"/>
  <c r="C11" i="24"/>
  <c r="B11" i="24"/>
  <c r="D10" i="24"/>
  <c r="C10" i="24"/>
  <c r="B10" i="24"/>
  <c r="E9" i="24"/>
  <c r="D9" i="24"/>
  <c r="C9" i="24"/>
  <c r="B9" i="24"/>
  <c r="B80" i="19"/>
  <c r="C80" i="19"/>
  <c r="D80" i="19"/>
  <c r="E80" i="19"/>
  <c r="B81" i="19"/>
  <c r="C81" i="19"/>
  <c r="D81" i="19"/>
  <c r="B82" i="19"/>
  <c r="C82" i="19"/>
  <c r="D82" i="19"/>
  <c r="B83" i="19"/>
  <c r="C83" i="19"/>
  <c r="D83" i="19"/>
  <c r="D5" i="24"/>
  <c r="C5" i="24"/>
  <c r="B5" i="24"/>
  <c r="D4" i="24"/>
  <c r="C4" i="24"/>
  <c r="B4" i="24"/>
  <c r="D3" i="24"/>
  <c r="C3" i="24"/>
  <c r="B3" i="24"/>
  <c r="E2" i="24"/>
  <c r="D2" i="24"/>
  <c r="C2" i="24"/>
  <c r="B2" i="24"/>
  <c r="Q42" i="19"/>
  <c r="Q32" i="19"/>
  <c r="Q22" i="19"/>
  <c r="Q12" i="19"/>
  <c r="Q2" i="19"/>
  <c r="T45" i="19"/>
  <c r="T36" i="19"/>
  <c r="T27" i="19"/>
  <c r="T18" i="19"/>
  <c r="T9" i="19"/>
  <c r="K12" i="3"/>
  <c r="K41" i="19"/>
  <c r="K33" i="19"/>
  <c r="K25" i="19"/>
  <c r="K17" i="19"/>
  <c r="K9" i="19"/>
  <c r="AQ105" i="17"/>
  <c r="C103" i="17"/>
  <c r="AQ102" i="17"/>
  <c r="AQ101" i="17"/>
  <c r="AQ100" i="17"/>
  <c r="AQ99" i="17"/>
  <c r="AQ98" i="17"/>
  <c r="AQ97" i="17"/>
  <c r="AQ96" i="17"/>
  <c r="AQ95" i="17"/>
  <c r="AQ94" i="17"/>
  <c r="AQ93" i="17"/>
  <c r="AQ92" i="17"/>
  <c r="E92" i="17"/>
  <c r="AQ91" i="17"/>
  <c r="E91" i="17"/>
  <c r="AQ90" i="17"/>
  <c r="E90" i="17"/>
  <c r="AQ89" i="17"/>
  <c r="E89" i="17"/>
  <c r="AQ88" i="17"/>
  <c r="E88" i="17"/>
  <c r="AQ87" i="17"/>
  <c r="E87" i="17"/>
  <c r="AQ86" i="17"/>
  <c r="E86" i="17"/>
  <c r="AQ85" i="17"/>
  <c r="E85" i="17"/>
  <c r="AQ84" i="17"/>
  <c r="E84" i="17"/>
  <c r="AQ83" i="17"/>
  <c r="E83" i="17"/>
  <c r="AQ82" i="17"/>
  <c r="E82" i="17"/>
  <c r="AQ81" i="17"/>
  <c r="E81" i="17"/>
  <c r="AQ80" i="17"/>
  <c r="E80" i="17"/>
  <c r="AQ79" i="17"/>
  <c r="E79" i="17"/>
  <c r="AQ78" i="17"/>
  <c r="E78" i="17"/>
  <c r="AQ77" i="17"/>
  <c r="E77" i="17"/>
  <c r="AQ76" i="17"/>
  <c r="E76" i="17"/>
  <c r="AQ75" i="17"/>
  <c r="E75" i="17"/>
  <c r="AQ74" i="17"/>
  <c r="E74" i="17"/>
  <c r="AQ73" i="17"/>
  <c r="E73" i="17"/>
  <c r="AQ72" i="17"/>
  <c r="E72" i="17"/>
  <c r="AQ71" i="17"/>
  <c r="E71" i="17"/>
  <c r="AQ70" i="17"/>
  <c r="E70" i="17"/>
  <c r="AQ69" i="17"/>
  <c r="E69" i="17"/>
  <c r="AQ68" i="17"/>
  <c r="E68" i="17"/>
  <c r="AQ67" i="17"/>
  <c r="E67" i="17"/>
  <c r="AQ66" i="17"/>
  <c r="E66" i="17"/>
  <c r="AQ65" i="17"/>
  <c r="E65" i="17"/>
  <c r="AQ64" i="17"/>
  <c r="E64" i="17"/>
  <c r="AQ63" i="17"/>
  <c r="E63" i="17"/>
  <c r="AQ62" i="17"/>
  <c r="E62" i="17"/>
  <c r="AQ61" i="17"/>
  <c r="E61" i="17"/>
  <c r="AQ60" i="17"/>
  <c r="E60" i="17"/>
  <c r="AQ59" i="17"/>
  <c r="E59" i="17"/>
  <c r="AQ58" i="17"/>
  <c r="E58" i="17"/>
  <c r="AQ57" i="17"/>
  <c r="E57" i="17"/>
  <c r="AQ56" i="17"/>
  <c r="E56" i="17"/>
  <c r="AQ55" i="17"/>
  <c r="E55" i="17"/>
  <c r="AQ54" i="17"/>
  <c r="E54" i="17"/>
  <c r="AQ53" i="17"/>
  <c r="E53" i="17"/>
  <c r="AQ52" i="17"/>
  <c r="E52" i="17"/>
  <c r="AQ51" i="17"/>
  <c r="E51" i="17"/>
  <c r="AQ50" i="17"/>
  <c r="E50" i="17"/>
  <c r="AQ49" i="17"/>
  <c r="E49" i="17"/>
  <c r="AQ48" i="17"/>
  <c r="E48" i="17"/>
  <c r="AQ47" i="17"/>
  <c r="E47" i="17"/>
  <c r="AQ46" i="17"/>
  <c r="E46" i="17"/>
  <c r="AQ45" i="17"/>
  <c r="E45" i="17"/>
  <c r="AQ44" i="17"/>
  <c r="E44" i="17"/>
  <c r="AQ43" i="17"/>
  <c r="E43" i="17"/>
  <c r="AQ42" i="17"/>
  <c r="E42" i="17"/>
  <c r="AQ41" i="17"/>
  <c r="E41" i="17"/>
  <c r="AQ40" i="17"/>
  <c r="E40" i="17"/>
  <c r="AQ39" i="17"/>
  <c r="E39" i="17"/>
  <c r="AQ38" i="17"/>
  <c r="E38" i="17"/>
  <c r="AQ37" i="17"/>
  <c r="E37" i="17"/>
  <c r="AQ36" i="17"/>
  <c r="E36" i="17"/>
  <c r="AQ35" i="17"/>
  <c r="E35" i="17"/>
  <c r="AQ34" i="17"/>
  <c r="E34" i="17"/>
  <c r="AQ33" i="17"/>
  <c r="E33" i="17"/>
  <c r="AQ32" i="17"/>
  <c r="E32" i="17"/>
  <c r="AQ31" i="17"/>
  <c r="E31" i="17"/>
  <c r="AQ30" i="17"/>
  <c r="E30" i="17"/>
  <c r="AQ29" i="17"/>
  <c r="E29" i="17"/>
  <c r="AQ28" i="17"/>
  <c r="E28" i="17"/>
  <c r="AQ27" i="17"/>
  <c r="E27" i="17"/>
  <c r="AQ26" i="17"/>
  <c r="E26" i="17"/>
  <c r="AQ25" i="17"/>
  <c r="E25" i="17"/>
  <c r="AQ24" i="17"/>
  <c r="E24" i="17"/>
  <c r="AQ23" i="17"/>
  <c r="E23" i="17"/>
  <c r="AQ22" i="17"/>
  <c r="E22" i="17"/>
  <c r="AQ21" i="17"/>
  <c r="E21" i="17"/>
  <c r="AQ20" i="17"/>
  <c r="E20" i="17"/>
  <c r="AQ19" i="17"/>
  <c r="E19" i="17"/>
  <c r="AQ18" i="17"/>
  <c r="E18" i="17"/>
  <c r="AQ17" i="17"/>
  <c r="E17" i="17"/>
  <c r="AQ16" i="17"/>
  <c r="E16" i="17"/>
  <c r="AQ15" i="17"/>
  <c r="E15" i="17"/>
  <c r="AQ14" i="17"/>
  <c r="E14" i="17"/>
  <c r="AQ13" i="17"/>
  <c r="E13" i="17"/>
  <c r="AQ12" i="17"/>
  <c r="E12" i="17"/>
  <c r="AQ11" i="17"/>
  <c r="E11" i="17"/>
  <c r="AQ10" i="17"/>
  <c r="E10" i="17"/>
  <c r="AQ9" i="17"/>
  <c r="E9" i="17"/>
  <c r="AQ8" i="17"/>
  <c r="E8" i="17"/>
  <c r="AQ7" i="17"/>
  <c r="E7" i="17"/>
  <c r="AQ6" i="17"/>
  <c r="E6" i="17"/>
  <c r="AQ5" i="17"/>
  <c r="E5" i="17"/>
  <c r="AQ4" i="17"/>
  <c r="E4" i="17"/>
  <c r="F4" i="17" s="1"/>
  <c r="B104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E4" i="16" s="1"/>
  <c r="F709" i="15"/>
  <c r="F701" i="15"/>
  <c r="F693" i="15"/>
  <c r="F685" i="15"/>
  <c r="F677" i="15"/>
  <c r="F669" i="15"/>
  <c r="F661" i="15"/>
  <c r="F653" i="15"/>
  <c r="F645" i="15"/>
  <c r="F637" i="15"/>
  <c r="F629" i="15"/>
  <c r="F621" i="15"/>
  <c r="F613" i="15"/>
  <c r="F605" i="15"/>
  <c r="F597" i="15"/>
  <c r="F589" i="15"/>
  <c r="F581" i="15"/>
  <c r="F573" i="15"/>
  <c r="F565" i="15"/>
  <c r="F557" i="15"/>
  <c r="F549" i="15"/>
  <c r="F541" i="15"/>
  <c r="F533" i="15"/>
  <c r="F525" i="15"/>
  <c r="F517" i="15"/>
  <c r="F509" i="15"/>
  <c r="F501" i="15"/>
  <c r="F493" i="15"/>
  <c r="F485" i="15"/>
  <c r="F477" i="15"/>
  <c r="F469" i="15"/>
  <c r="F461" i="15"/>
  <c r="F453" i="15"/>
  <c r="F445" i="15"/>
  <c r="F437" i="15"/>
  <c r="F429" i="15"/>
  <c r="F421" i="15"/>
  <c r="F413" i="15"/>
  <c r="F405" i="15"/>
  <c r="F397" i="15"/>
  <c r="F389" i="15"/>
  <c r="F381" i="15"/>
  <c r="F373" i="15"/>
  <c r="F365" i="15"/>
  <c r="F357" i="15"/>
  <c r="F349" i="15"/>
  <c r="F341" i="15"/>
  <c r="F333" i="15"/>
  <c r="F325" i="15"/>
  <c r="F317" i="15"/>
  <c r="F309" i="15"/>
  <c r="F301" i="15"/>
  <c r="F293" i="15"/>
  <c r="F285" i="15"/>
  <c r="F277" i="15"/>
  <c r="F269" i="15"/>
  <c r="F261" i="15"/>
  <c r="F253" i="15"/>
  <c r="F245" i="15"/>
  <c r="F237" i="15"/>
  <c r="F229" i="15"/>
  <c r="F221" i="15"/>
  <c r="F213" i="15"/>
  <c r="F205" i="15"/>
  <c r="F197" i="15"/>
  <c r="F189" i="15"/>
  <c r="F181" i="15"/>
  <c r="F173" i="15"/>
  <c r="F165" i="15"/>
  <c r="F157" i="15"/>
  <c r="F149" i="15"/>
  <c r="F141" i="15"/>
  <c r="F133" i="15"/>
  <c r="F125" i="15"/>
  <c r="F117" i="15"/>
  <c r="F109" i="15"/>
  <c r="F101" i="15"/>
  <c r="F93" i="15"/>
  <c r="F85" i="15"/>
  <c r="F77" i="15"/>
  <c r="F69" i="15"/>
  <c r="F61" i="15"/>
  <c r="F53" i="15"/>
  <c r="F45" i="15"/>
  <c r="F37" i="15"/>
  <c r="F29" i="15"/>
  <c r="F21" i="15"/>
  <c r="F13" i="15"/>
  <c r="F2645" i="14"/>
  <c r="F2637" i="14"/>
  <c r="F2629" i="14"/>
  <c r="F2615" i="14"/>
  <c r="F2607" i="14"/>
  <c r="F2599" i="14"/>
  <c r="F2585" i="14"/>
  <c r="F2577" i="14"/>
  <c r="F2569" i="14"/>
  <c r="F2555" i="14"/>
  <c r="F2547" i="14"/>
  <c r="F2539" i="14"/>
  <c r="F2525" i="14"/>
  <c r="F2517" i="14"/>
  <c r="F2509" i="14"/>
  <c r="F2495" i="14"/>
  <c r="F2487" i="14"/>
  <c r="F2479" i="14"/>
  <c r="F2465" i="14"/>
  <c r="F2457" i="14"/>
  <c r="F2449" i="14"/>
  <c r="F2435" i="14"/>
  <c r="F2427" i="14"/>
  <c r="F2419" i="14"/>
  <c r="F2405" i="14"/>
  <c r="F2397" i="14"/>
  <c r="F2389" i="14"/>
  <c r="F2375" i="14"/>
  <c r="F2367" i="14"/>
  <c r="F2359" i="14"/>
  <c r="F2345" i="14"/>
  <c r="F2337" i="14"/>
  <c r="F2329" i="14"/>
  <c r="F2315" i="14"/>
  <c r="F2307" i="14"/>
  <c r="F2299" i="14"/>
  <c r="F2285" i="14"/>
  <c r="F2277" i="14"/>
  <c r="F2269" i="14"/>
  <c r="F2255" i="14"/>
  <c r="F2247" i="14"/>
  <c r="F2239" i="14"/>
  <c r="F2225" i="14"/>
  <c r="F2217" i="14"/>
  <c r="F2209" i="14"/>
  <c r="F2195" i="14"/>
  <c r="F2187" i="14"/>
  <c r="F2179" i="14"/>
  <c r="F2165" i="14"/>
  <c r="F2157" i="14"/>
  <c r="F2149" i="14"/>
  <c r="F2135" i="14"/>
  <c r="F2127" i="14"/>
  <c r="F2119" i="14"/>
  <c r="F2105" i="14"/>
  <c r="F2097" i="14"/>
  <c r="F2089" i="14"/>
  <c r="F2075" i="14"/>
  <c r="F2067" i="14"/>
  <c r="F2059" i="14"/>
  <c r="F2045" i="14"/>
  <c r="F2037" i="14"/>
  <c r="F2029" i="14"/>
  <c r="F2015" i="14"/>
  <c r="F2007" i="14"/>
  <c r="F1999" i="14"/>
  <c r="F1985" i="14"/>
  <c r="F1977" i="14"/>
  <c r="F1969" i="14"/>
  <c r="F1955" i="14"/>
  <c r="F1947" i="14"/>
  <c r="F1939" i="14"/>
  <c r="F1925" i="14"/>
  <c r="F1917" i="14"/>
  <c r="F1909" i="14"/>
  <c r="F1895" i="14"/>
  <c r="F1887" i="14"/>
  <c r="F1879" i="14"/>
  <c r="F1865" i="14"/>
  <c r="F1857" i="14"/>
  <c r="F1849" i="14"/>
  <c r="F1835" i="14"/>
  <c r="F1827" i="14"/>
  <c r="F1819" i="14"/>
  <c r="F1805" i="14"/>
  <c r="F1797" i="14"/>
  <c r="F1789" i="14"/>
  <c r="F1775" i="14"/>
  <c r="F1767" i="14"/>
  <c r="F1759" i="14"/>
  <c r="F1745" i="14"/>
  <c r="F1737" i="14"/>
  <c r="F1729" i="14"/>
  <c r="F1715" i="14"/>
  <c r="F1707" i="14"/>
  <c r="F1699" i="14"/>
  <c r="F1685" i="14"/>
  <c r="F1677" i="14"/>
  <c r="F1669" i="14"/>
  <c r="F1655" i="14"/>
  <c r="F1647" i="14"/>
  <c r="F1639" i="14"/>
  <c r="F1625" i="14"/>
  <c r="F1617" i="14"/>
  <c r="F1609" i="14"/>
  <c r="F1595" i="14"/>
  <c r="F1587" i="14"/>
  <c r="F1579" i="14"/>
  <c r="F1565" i="14"/>
  <c r="F1557" i="14"/>
  <c r="F1549" i="14"/>
  <c r="F1535" i="14"/>
  <c r="F1527" i="14"/>
  <c r="F1519" i="14"/>
  <c r="F1505" i="14"/>
  <c r="F1497" i="14"/>
  <c r="F1489" i="14"/>
  <c r="F1475" i="14"/>
  <c r="F1467" i="14"/>
  <c r="F1459" i="14"/>
  <c r="F1445" i="14"/>
  <c r="F1437" i="14"/>
  <c r="F1429" i="14"/>
  <c r="F1415" i="14"/>
  <c r="F1407" i="14"/>
  <c r="F1399" i="14"/>
  <c r="F1385" i="14"/>
  <c r="F1377" i="14"/>
  <c r="F1369" i="14"/>
  <c r="F1355" i="14"/>
  <c r="F1347" i="14"/>
  <c r="F1339" i="14"/>
  <c r="F1325" i="14"/>
  <c r="F1317" i="14"/>
  <c r="F1309" i="14"/>
  <c r="F1295" i="14"/>
  <c r="F1287" i="14"/>
  <c r="F1279" i="14"/>
  <c r="F1265" i="14"/>
  <c r="F1257" i="14"/>
  <c r="F1249" i="14"/>
  <c r="F1235" i="14"/>
  <c r="F1227" i="14"/>
  <c r="F1219" i="14"/>
  <c r="F1205" i="14"/>
  <c r="F1197" i="14"/>
  <c r="F1189" i="14"/>
  <c r="F1175" i="14"/>
  <c r="F1167" i="14"/>
  <c r="F1159" i="14"/>
  <c r="F1145" i="14"/>
  <c r="F1137" i="14"/>
  <c r="F1129" i="14"/>
  <c r="F1115" i="14"/>
  <c r="F1107" i="14"/>
  <c r="F1099" i="14"/>
  <c r="F1085" i="14"/>
  <c r="F1077" i="14"/>
  <c r="F1069" i="14"/>
  <c r="F1055" i="14"/>
  <c r="F1047" i="14"/>
  <c r="F1039" i="14"/>
  <c r="F1025" i="14"/>
  <c r="F1017" i="14"/>
  <c r="F1009" i="14"/>
  <c r="F995" i="14"/>
  <c r="F987" i="14"/>
  <c r="F979" i="14"/>
  <c r="F965" i="14"/>
  <c r="F957" i="14"/>
  <c r="F949" i="14"/>
  <c r="F935" i="14"/>
  <c r="F927" i="14"/>
  <c r="F919" i="14"/>
  <c r="F905" i="14"/>
  <c r="F897" i="14"/>
  <c r="F889" i="14"/>
  <c r="F875" i="14"/>
  <c r="F867" i="14"/>
  <c r="F859" i="14"/>
  <c r="F845" i="14"/>
  <c r="F837" i="14"/>
  <c r="F829" i="14"/>
  <c r="F815" i="14"/>
  <c r="F807" i="14"/>
  <c r="F799" i="14"/>
  <c r="F785" i="14"/>
  <c r="F777" i="14"/>
  <c r="F769" i="14"/>
  <c r="F755" i="14"/>
  <c r="F747" i="14"/>
  <c r="F739" i="14"/>
  <c r="F725" i="14"/>
  <c r="F717" i="14"/>
  <c r="F709" i="14"/>
  <c r="F695" i="14"/>
  <c r="F687" i="14"/>
  <c r="F679" i="14"/>
  <c r="F665" i="14"/>
  <c r="F657" i="14"/>
  <c r="F649" i="14"/>
  <c r="F635" i="14"/>
  <c r="F627" i="14"/>
  <c r="F619" i="14"/>
  <c r="F605" i="14"/>
  <c r="F597" i="14"/>
  <c r="F589" i="14"/>
  <c r="F575" i="14"/>
  <c r="F567" i="14"/>
  <c r="F559" i="14"/>
  <c r="F545" i="14"/>
  <c r="F537" i="14"/>
  <c r="F529" i="14"/>
  <c r="F515" i="14"/>
  <c r="F507" i="14"/>
  <c r="F499" i="14"/>
  <c r="F485" i="14"/>
  <c r="F477" i="14"/>
  <c r="F469" i="14"/>
  <c r="F455" i="14"/>
  <c r="F447" i="14"/>
  <c r="F439" i="14"/>
  <c r="F425" i="14"/>
  <c r="F417" i="14"/>
  <c r="F409" i="14"/>
  <c r="F395" i="14"/>
  <c r="F387" i="14"/>
  <c r="F379" i="14"/>
  <c r="F365" i="14"/>
  <c r="F357" i="14"/>
  <c r="F349" i="14"/>
  <c r="F335" i="14"/>
  <c r="F327" i="14"/>
  <c r="F319" i="14"/>
  <c r="F305" i="14"/>
  <c r="F297" i="14"/>
  <c r="F289" i="14"/>
  <c r="F275" i="14"/>
  <c r="F267" i="14"/>
  <c r="F259" i="14"/>
  <c r="F245" i="14"/>
  <c r="F237" i="14"/>
  <c r="F229" i="14"/>
  <c r="F215" i="14"/>
  <c r="F207" i="14"/>
  <c r="F199" i="14"/>
  <c r="F185" i="14"/>
  <c r="F177" i="14"/>
  <c r="F169" i="14"/>
  <c r="F155" i="14"/>
  <c r="F147" i="14"/>
  <c r="F139" i="14"/>
  <c r="F125" i="14"/>
  <c r="F117" i="14"/>
  <c r="F109" i="14"/>
  <c r="F95" i="14"/>
  <c r="F87" i="14"/>
  <c r="F79" i="14"/>
  <c r="F65" i="14"/>
  <c r="F57" i="14"/>
  <c r="F49" i="14"/>
  <c r="G36" i="14"/>
  <c r="F35" i="14"/>
  <c r="F27" i="14"/>
  <c r="F19" i="14"/>
  <c r="G6" i="14"/>
  <c r="F4690" i="12"/>
  <c r="F4681" i="12"/>
  <c r="F4672" i="12"/>
  <c r="F4664" i="12"/>
  <c r="F4656" i="12"/>
  <c r="F4647" i="12"/>
  <c r="F4638" i="12"/>
  <c r="F4631" i="12"/>
  <c r="F4624" i="12"/>
  <c r="F4615" i="12"/>
  <c r="F4606" i="12"/>
  <c r="F4597" i="12"/>
  <c r="F4588" i="12"/>
  <c r="F4584" i="12"/>
  <c r="F4580" i="12"/>
  <c r="F4571" i="12"/>
  <c r="F4562" i="12"/>
  <c r="F4553" i="12"/>
  <c r="F4544" i="12"/>
  <c r="F4536" i="12"/>
  <c r="F4528" i="12"/>
  <c r="F4521" i="12"/>
  <c r="F4514" i="12"/>
  <c r="F4508" i="12"/>
  <c r="F4503" i="12"/>
  <c r="F4496" i="12"/>
  <c r="F4489" i="12"/>
  <c r="F4480" i="12"/>
  <c r="F4471" i="12"/>
  <c r="F4462" i="12"/>
  <c r="F4453" i="12"/>
  <c r="F4447" i="12"/>
  <c r="F4441" i="12"/>
  <c r="F4433" i="12"/>
  <c r="F4425" i="12"/>
  <c r="F4419" i="12"/>
  <c r="F4413" i="12"/>
  <c r="F4404" i="12"/>
  <c r="F4395" i="12"/>
  <c r="F4386" i="12"/>
  <c r="F4377" i="12"/>
  <c r="F4371" i="12"/>
  <c r="F4365" i="12"/>
  <c r="F4356" i="12"/>
  <c r="F4347" i="12"/>
  <c r="F4340" i="12"/>
  <c r="F4333" i="12"/>
  <c r="F4324" i="12"/>
  <c r="F4315" i="12"/>
  <c r="F4309" i="12"/>
  <c r="F4303" i="12"/>
  <c r="F4297" i="12"/>
  <c r="F4291" i="12"/>
  <c r="F4288" i="12"/>
  <c r="F4285" i="12"/>
  <c r="F4276" i="12"/>
  <c r="F4267" i="12"/>
  <c r="F4261" i="12"/>
  <c r="F4254" i="12"/>
  <c r="F4247" i="12"/>
  <c r="F4239" i="12"/>
  <c r="F4232" i="12"/>
  <c r="F4225" i="12"/>
  <c r="F4217" i="12"/>
  <c r="F4210" i="12"/>
  <c r="F4205" i="12"/>
  <c r="F4200" i="12"/>
  <c r="F4194" i="12"/>
  <c r="F4188" i="12"/>
  <c r="F4179" i="12"/>
  <c r="F4170" i="12"/>
  <c r="F4162" i="12"/>
  <c r="F4154" i="12"/>
  <c r="F4149" i="12"/>
  <c r="F4144" i="12"/>
  <c r="F4135" i="12"/>
  <c r="F4126" i="12"/>
  <c r="F4122" i="12"/>
  <c r="F4118" i="12"/>
  <c r="F4113" i="12"/>
  <c r="F4109" i="12"/>
  <c r="F4101" i="12"/>
  <c r="F4093" i="12"/>
  <c r="F4085" i="12"/>
  <c r="F4077" i="12"/>
  <c r="F4068" i="12"/>
  <c r="F4059" i="12"/>
  <c r="F4050" i="12"/>
  <c r="F4041" i="12"/>
  <c r="F4032" i="12"/>
  <c r="F4023" i="12"/>
  <c r="F4014" i="12"/>
  <c r="F4005" i="12"/>
  <c r="F3996" i="12"/>
  <c r="F3987" i="12"/>
  <c r="F3978" i="12"/>
  <c r="F3969" i="12"/>
  <c r="F3960" i="12"/>
  <c r="F3951" i="12"/>
  <c r="F3943" i="12"/>
  <c r="F3935" i="12"/>
  <c r="F3926" i="12"/>
  <c r="F3917" i="12"/>
  <c r="F3912" i="12"/>
  <c r="F3907" i="12"/>
  <c r="F3902" i="12"/>
  <c r="F3897" i="12"/>
  <c r="F3894" i="12"/>
  <c r="F3891" i="12"/>
  <c r="F3882" i="12"/>
  <c r="F3873" i="12"/>
  <c r="F3864" i="12"/>
  <c r="F3855" i="12"/>
  <c r="F3848" i="12"/>
  <c r="F3841" i="12"/>
  <c r="F3832" i="12"/>
  <c r="F3823" i="12"/>
  <c r="F3818" i="12"/>
  <c r="F3813" i="12"/>
  <c r="F3805" i="12"/>
  <c r="F3797" i="12"/>
  <c r="F3793" i="12"/>
  <c r="F3789" i="12"/>
  <c r="F3780" i="12"/>
  <c r="F3771" i="12"/>
  <c r="F3762" i="12"/>
  <c r="F3753" i="12"/>
  <c r="F3746" i="12"/>
  <c r="F3739" i="12"/>
  <c r="F3732" i="12"/>
  <c r="F3725" i="12"/>
  <c r="F3716" i="12"/>
  <c r="F3707" i="12"/>
  <c r="F3701" i="12"/>
  <c r="F3695" i="12"/>
  <c r="F3686" i="12"/>
  <c r="F3677" i="12"/>
  <c r="F3668" i="12"/>
  <c r="F3660" i="12"/>
  <c r="F3653" i="12"/>
  <c r="F3646" i="12"/>
  <c r="F3639" i="12"/>
  <c r="F3632" i="12"/>
  <c r="F3624" i="12"/>
  <c r="F3617" i="12"/>
  <c r="F3608" i="12"/>
  <c r="F3599" i="12"/>
  <c r="F3593" i="12"/>
  <c r="F3587" i="12"/>
  <c r="F3580" i="12"/>
  <c r="F3573" i="12"/>
  <c r="F3565" i="12"/>
  <c r="F3557" i="12"/>
  <c r="F3548" i="12"/>
  <c r="F3539" i="12"/>
  <c r="F3532" i="12"/>
  <c r="F3525" i="12"/>
  <c r="F3518" i="12"/>
  <c r="F3511" i="12"/>
  <c r="F3506" i="12"/>
  <c r="F3501" i="12"/>
  <c r="F3495" i="12"/>
  <c r="F3489" i="12"/>
  <c r="F3481" i="12"/>
  <c r="F3475" i="12"/>
  <c r="F3469" i="12"/>
  <c r="F3461" i="12"/>
  <c r="F3455" i="12"/>
  <c r="F3449" i="12"/>
  <c r="F3441" i="12"/>
  <c r="F3435" i="12"/>
  <c r="F3429" i="12"/>
  <c r="F3421" i="12"/>
  <c r="F3415" i="12"/>
  <c r="F3409" i="12"/>
  <c r="F3401" i="12"/>
  <c r="F3395" i="12"/>
  <c r="F3389" i="12"/>
  <c r="F3381" i="12"/>
  <c r="F3375" i="12"/>
  <c r="F3369" i="12"/>
  <c r="F3361" i="12"/>
  <c r="F3355" i="12"/>
  <c r="F3349" i="12"/>
  <c r="F3341" i="12"/>
  <c r="F3335" i="12"/>
  <c r="F3329" i="12"/>
  <c r="F3321" i="12"/>
  <c r="F3315" i="12"/>
  <c r="F3309" i="12"/>
  <c r="F3301" i="12"/>
  <c r="F3295" i="12"/>
  <c r="F3289" i="12"/>
  <c r="F3281" i="12"/>
  <c r="F3275" i="12"/>
  <c r="F3269" i="12"/>
  <c r="F3261" i="12"/>
  <c r="F3255" i="12"/>
  <c r="F3249" i="12"/>
  <c r="F3241" i="12"/>
  <c r="F3235" i="12"/>
  <c r="F3229" i="12"/>
  <c r="F3221" i="12"/>
  <c r="F3215" i="12"/>
  <c r="F3209" i="12"/>
  <c r="F3201" i="12"/>
  <c r="F3195" i="12"/>
  <c r="F3189" i="12"/>
  <c r="F3181" i="12"/>
  <c r="F3175" i="12"/>
  <c r="F3169" i="12"/>
  <c r="F3161" i="12"/>
  <c r="F3155" i="12"/>
  <c r="F3149" i="12"/>
  <c r="F3141" i="12"/>
  <c r="F3135" i="12"/>
  <c r="F3129" i="12"/>
  <c r="F3121" i="12"/>
  <c r="F3115" i="12"/>
  <c r="F3109" i="12"/>
  <c r="F3101" i="12"/>
  <c r="F3095" i="12"/>
  <c r="F3089" i="12"/>
  <c r="F3081" i="12"/>
  <c r="F3075" i="12"/>
  <c r="F3069" i="12"/>
  <c r="F3061" i="12"/>
  <c r="F3055" i="12"/>
  <c r="F3049" i="12"/>
  <c r="F3041" i="12"/>
  <c r="F3035" i="12"/>
  <c r="F3029" i="12"/>
  <c r="F3021" i="12"/>
  <c r="F3015" i="12"/>
  <c r="F3009" i="12"/>
  <c r="F3001" i="12"/>
  <c r="F2995" i="12"/>
  <c r="F2989" i="12"/>
  <c r="F2981" i="12"/>
  <c r="F2975" i="12"/>
  <c r="F2969" i="12"/>
  <c r="F2961" i="12"/>
  <c r="F2955" i="12"/>
  <c r="F2949" i="12"/>
  <c r="F2941" i="12"/>
  <c r="F2935" i="12"/>
  <c r="F2929" i="12"/>
  <c r="F2921" i="12"/>
  <c r="F2915" i="12"/>
  <c r="F2909" i="12"/>
  <c r="F2901" i="12"/>
  <c r="F2895" i="12"/>
  <c r="F2889" i="12"/>
  <c r="F2881" i="12"/>
  <c r="F2875" i="12"/>
  <c r="F2869" i="12"/>
  <c r="F2861" i="12"/>
  <c r="F2855" i="12"/>
  <c r="F2849" i="12"/>
  <c r="F2841" i="12"/>
  <c r="F2835" i="12"/>
  <c r="F2829" i="12"/>
  <c r="F2821" i="12"/>
  <c r="F2815" i="12"/>
  <c r="F2809" i="12"/>
  <c r="F2801" i="12"/>
  <c r="F2795" i="12"/>
  <c r="F2789" i="12"/>
  <c r="F2781" i="12"/>
  <c r="F2775" i="12"/>
  <c r="F2769" i="12"/>
  <c r="F2761" i="12"/>
  <c r="F2755" i="12"/>
  <c r="F2749" i="12"/>
  <c r="F2741" i="12"/>
  <c r="F2735" i="12"/>
  <c r="F2729" i="12"/>
  <c r="F2721" i="12"/>
  <c r="F2715" i="12"/>
  <c r="F2709" i="12"/>
  <c r="F2701" i="12"/>
  <c r="F2695" i="12"/>
  <c r="F2689" i="12"/>
  <c r="F2681" i="12"/>
  <c r="F2675" i="12"/>
  <c r="F2669" i="12"/>
  <c r="F2661" i="12"/>
  <c r="F2655" i="12"/>
  <c r="F2649" i="12"/>
  <c r="F2641" i="12"/>
  <c r="F2635" i="12"/>
  <c r="F2629" i="12"/>
  <c r="F2621" i="12"/>
  <c r="F2615" i="12"/>
  <c r="F2609" i="12"/>
  <c r="F2601" i="12"/>
  <c r="F2595" i="12"/>
  <c r="F2589" i="12"/>
  <c r="F2581" i="12"/>
  <c r="F2575" i="12"/>
  <c r="F2569" i="12"/>
  <c r="F2561" i="12"/>
  <c r="F2555" i="12"/>
  <c r="F2549" i="12"/>
  <c r="F2541" i="12"/>
  <c r="F2535" i="12"/>
  <c r="F2529" i="12"/>
  <c r="F2521" i="12"/>
  <c r="F2515" i="12"/>
  <c r="F2509" i="12"/>
  <c r="F2501" i="12"/>
  <c r="F2495" i="12"/>
  <c r="F2489" i="12"/>
  <c r="F2481" i="12"/>
  <c r="F2475" i="12"/>
  <c r="F2469" i="12"/>
  <c r="F2461" i="12"/>
  <c r="F2455" i="12"/>
  <c r="F2449" i="12"/>
  <c r="F2441" i="12"/>
  <c r="F2435" i="12"/>
  <c r="F2429" i="12"/>
  <c r="F2421" i="12"/>
  <c r="F2415" i="12"/>
  <c r="F2409" i="12"/>
  <c r="F2401" i="12"/>
  <c r="F2395" i="12"/>
  <c r="F2389" i="12"/>
  <c r="F2381" i="12"/>
  <c r="F2375" i="12"/>
  <c r="F2369" i="12"/>
  <c r="F2361" i="12"/>
  <c r="F2355" i="12"/>
  <c r="F2349" i="12"/>
  <c r="F2341" i="12"/>
  <c r="F2335" i="12"/>
  <c r="F2329" i="12"/>
  <c r="F2321" i="12"/>
  <c r="F2315" i="12"/>
  <c r="F2309" i="12"/>
  <c r="F2301" i="12"/>
  <c r="F2295" i="12"/>
  <c r="F2289" i="12"/>
  <c r="F2281" i="12"/>
  <c r="F2275" i="12"/>
  <c r="F2269" i="12"/>
  <c r="F2261" i="12"/>
  <c r="F2255" i="12"/>
  <c r="F2249" i="12"/>
  <c r="F2241" i="12"/>
  <c r="F2235" i="12"/>
  <c r="F2229" i="12"/>
  <c r="F2221" i="12"/>
  <c r="F2215" i="12"/>
  <c r="F2209" i="12"/>
  <c r="F2201" i="12"/>
  <c r="F2195" i="12"/>
  <c r="F2189" i="12"/>
  <c r="F2181" i="12"/>
  <c r="F2175" i="12"/>
  <c r="F2169" i="12"/>
  <c r="F2161" i="12"/>
  <c r="F2155" i="12"/>
  <c r="F2149" i="12"/>
  <c r="F2141" i="12"/>
  <c r="F2135" i="12"/>
  <c r="F2129" i="12"/>
  <c r="F2121" i="12"/>
  <c r="F2115" i="12"/>
  <c r="F2109" i="12"/>
  <c r="F2101" i="12"/>
  <c r="F2095" i="12"/>
  <c r="F2089" i="12"/>
  <c r="F2081" i="12"/>
  <c r="F2075" i="12"/>
  <c r="F2069" i="12"/>
  <c r="F2061" i="12"/>
  <c r="F2055" i="12"/>
  <c r="F2049" i="12"/>
  <c r="F2041" i="12"/>
  <c r="F2035" i="12"/>
  <c r="F2029" i="12"/>
  <c r="F2021" i="12"/>
  <c r="F2015" i="12"/>
  <c r="F2009" i="12"/>
  <c r="F2001" i="12"/>
  <c r="F1995" i="12"/>
  <c r="F1989" i="12"/>
  <c r="F1981" i="12"/>
  <c r="F1975" i="12"/>
  <c r="F1969" i="12"/>
  <c r="F1961" i="12"/>
  <c r="F1955" i="12"/>
  <c r="F1949" i="12"/>
  <c r="F1941" i="12"/>
  <c r="F1935" i="12"/>
  <c r="F1929" i="12"/>
  <c r="F1921" i="12"/>
  <c r="F1915" i="12"/>
  <c r="F1909" i="12"/>
  <c r="F1901" i="12"/>
  <c r="F1895" i="12"/>
  <c r="F1889" i="12"/>
  <c r="F1881" i="12"/>
  <c r="F1875" i="12"/>
  <c r="F1869" i="12"/>
  <c r="F1861" i="12"/>
  <c r="F1855" i="12"/>
  <c r="F1849" i="12"/>
  <c r="F1841" i="12"/>
  <c r="F1835" i="12"/>
  <c r="F1829" i="12"/>
  <c r="F1821" i="12"/>
  <c r="F1815" i="12"/>
  <c r="F1809" i="12"/>
  <c r="F1801" i="12"/>
  <c r="F1795" i="12"/>
  <c r="F1789" i="12"/>
  <c r="F1781" i="12"/>
  <c r="F1775" i="12"/>
  <c r="F1769" i="12"/>
  <c r="F1761" i="12"/>
  <c r="F1755" i="12"/>
  <c r="F1749" i="12"/>
  <c r="F1741" i="12"/>
  <c r="F1735" i="12"/>
  <c r="F1729" i="12"/>
  <c r="F1721" i="12"/>
  <c r="F1704" i="12"/>
  <c r="F1699" i="12"/>
  <c r="F1695" i="12"/>
  <c r="F1692" i="12"/>
  <c r="F1685" i="12"/>
  <c r="F1678" i="12"/>
  <c r="F1670" i="12"/>
  <c r="F1660" i="12"/>
  <c r="F1650" i="12"/>
  <c r="F1647" i="12"/>
  <c r="F1642" i="12"/>
  <c r="F1637" i="12"/>
  <c r="F1635" i="12"/>
  <c r="F1630" i="12"/>
  <c r="F1625" i="12"/>
  <c r="F1621" i="12"/>
  <c r="F1611" i="12"/>
  <c r="F1601" i="12"/>
  <c r="F1597" i="12"/>
  <c r="F1587" i="12"/>
  <c r="F1577" i="12"/>
  <c r="F1572" i="12"/>
  <c r="F1564" i="12"/>
  <c r="F1555" i="12"/>
  <c r="F1550" i="12"/>
  <c r="F1540" i="12"/>
  <c r="F1530" i="12"/>
  <c r="F1522" i="12"/>
  <c r="F1512" i="12"/>
  <c r="F1502" i="12"/>
  <c r="F1494" i="12"/>
  <c r="F1484" i="12"/>
  <c r="F1474" i="12"/>
  <c r="F1469" i="12"/>
  <c r="F1459" i="12"/>
  <c r="F1452" i="12"/>
  <c r="F1449" i="12"/>
  <c r="F1443" i="12"/>
  <c r="F1438" i="12"/>
  <c r="F1434" i="12"/>
  <c r="F1424" i="12"/>
  <c r="F1414" i="12"/>
  <c r="F1410" i="12"/>
  <c r="F1402" i="12"/>
  <c r="F1395" i="12"/>
  <c r="F1392" i="12"/>
  <c r="F1382" i="12"/>
  <c r="F1372" i="12"/>
  <c r="F1368" i="12"/>
  <c r="F1362" i="12"/>
  <c r="F1356" i="12"/>
  <c r="F1352" i="12"/>
  <c r="F1342" i="12"/>
  <c r="F1332" i="12"/>
  <c r="F1328" i="12"/>
  <c r="F1320" i="12"/>
  <c r="F1312" i="12"/>
  <c r="F1310" i="12"/>
  <c r="F1303" i="12"/>
  <c r="F1296" i="12"/>
  <c r="F1294" i="12"/>
  <c r="F1284" i="12"/>
  <c r="F1274" i="12"/>
  <c r="F1270" i="12"/>
  <c r="F1260" i="12"/>
  <c r="F1250" i="12"/>
  <c r="F1247" i="12"/>
  <c r="F1237" i="12"/>
  <c r="F1227" i="12"/>
  <c r="F1223" i="12"/>
  <c r="F1215" i="12"/>
  <c r="F1207" i="12"/>
  <c r="F1204" i="12"/>
  <c r="F1197" i="12"/>
  <c r="F1190" i="12"/>
  <c r="F1183" i="12"/>
  <c r="F1173" i="12"/>
  <c r="F1165" i="12"/>
  <c r="F1162" i="12"/>
  <c r="F1153" i="12"/>
  <c r="F1144" i="12"/>
  <c r="F1140" i="12"/>
  <c r="F1130" i="12"/>
  <c r="F1120" i="12"/>
  <c r="F1113" i="12"/>
  <c r="F1106" i="12"/>
  <c r="F1096" i="12"/>
  <c r="F1088" i="12"/>
  <c r="F1078" i="12"/>
  <c r="F1068" i="12"/>
  <c r="F1062" i="12"/>
  <c r="F1051" i="12"/>
  <c r="F1045" i="12"/>
  <c r="F1038" i="12"/>
  <c r="F1028" i="12"/>
  <c r="F1018" i="12"/>
  <c r="F1007" i="12"/>
  <c r="F999" i="12"/>
  <c r="F992" i="12"/>
  <c r="F987" i="12"/>
  <c r="F979" i="12"/>
  <c r="F972" i="12"/>
  <c r="F968" i="12"/>
  <c r="F963" i="12"/>
  <c r="F959" i="12"/>
  <c r="F953" i="12"/>
  <c r="F944" i="12"/>
  <c r="F940" i="12"/>
  <c r="F934" i="12"/>
  <c r="F926" i="12"/>
  <c r="F920" i="12"/>
  <c r="F914" i="12"/>
  <c r="F904" i="12"/>
  <c r="F897" i="12"/>
  <c r="F892" i="12"/>
  <c r="F880" i="12"/>
  <c r="F873" i="12"/>
  <c r="F864" i="12"/>
  <c r="F856" i="12"/>
  <c r="F849" i="12"/>
  <c r="F845" i="12"/>
  <c r="F841" i="12"/>
  <c r="F838" i="12"/>
  <c r="F834" i="12"/>
  <c r="F829" i="12"/>
  <c r="F825" i="12"/>
  <c r="F818" i="12"/>
  <c r="F809" i="12"/>
  <c r="F801" i="12"/>
  <c r="F795" i="12"/>
  <c r="F784" i="12"/>
  <c r="F778" i="12"/>
  <c r="F772" i="12"/>
  <c r="F763" i="12"/>
  <c r="F757" i="12"/>
  <c r="F751" i="12"/>
  <c r="F742" i="12"/>
  <c r="F736" i="12"/>
  <c r="F728" i="12"/>
  <c r="F718" i="12"/>
  <c r="F712" i="12"/>
  <c r="F709" i="12"/>
  <c r="F706" i="12"/>
  <c r="F704" i="12"/>
  <c r="F699" i="12"/>
  <c r="F689" i="12"/>
  <c r="F681" i="12"/>
  <c r="F675" i="12"/>
  <c r="F667" i="12"/>
  <c r="F661" i="12"/>
  <c r="F655" i="12"/>
  <c r="F646" i="12"/>
  <c r="F640" i="12"/>
  <c r="F635" i="12"/>
  <c r="F629" i="12"/>
  <c r="F623" i="12"/>
  <c r="F618" i="12"/>
  <c r="F610" i="12"/>
  <c r="F603" i="12"/>
  <c r="F596" i="12"/>
  <c r="F587" i="12"/>
  <c r="F579" i="12"/>
  <c r="F571" i="12"/>
  <c r="F561" i="12"/>
  <c r="F556" i="12"/>
  <c r="F551" i="12"/>
  <c r="F544" i="12"/>
  <c r="F537" i="12"/>
  <c r="F532" i="12"/>
  <c r="F526" i="12"/>
  <c r="F519" i="12"/>
  <c r="F512" i="12"/>
  <c r="F502" i="12"/>
  <c r="F492" i="12"/>
  <c r="F486" i="12"/>
  <c r="F477" i="12"/>
  <c r="F472" i="12"/>
  <c r="F467" i="12"/>
  <c r="F457" i="12"/>
  <c r="F450" i="12"/>
  <c r="F444" i="12"/>
  <c r="F435" i="12"/>
  <c r="F430" i="12"/>
  <c r="F424" i="12"/>
  <c r="F415" i="12"/>
  <c r="F409" i="12"/>
  <c r="F403" i="12"/>
  <c r="F393" i="12"/>
  <c r="F379" i="12"/>
  <c r="F369" i="12"/>
  <c r="F360" i="12"/>
  <c r="F354" i="12"/>
  <c r="F345" i="12"/>
  <c r="F339" i="12"/>
  <c r="F334" i="12"/>
  <c r="F326" i="12"/>
  <c r="F320" i="12"/>
  <c r="F314" i="12"/>
  <c r="F304" i="12"/>
  <c r="F297" i="12"/>
  <c r="F291" i="12"/>
  <c r="F281" i="12"/>
  <c r="F272" i="12"/>
  <c r="F268" i="12"/>
  <c r="F266" i="12"/>
  <c r="F263" i="12"/>
  <c r="F258" i="12"/>
  <c r="F250" i="12"/>
  <c r="F243" i="12"/>
  <c r="F236" i="12"/>
  <c r="F226" i="12"/>
  <c r="F219" i="12"/>
  <c r="F212" i="12"/>
  <c r="F202" i="12"/>
  <c r="F192" i="12"/>
  <c r="F183" i="12"/>
  <c r="F175" i="12"/>
  <c r="F169" i="12"/>
  <c r="F162" i="12"/>
  <c r="F152" i="12"/>
  <c r="F142" i="12"/>
  <c r="F131" i="12"/>
  <c r="F122" i="12"/>
  <c r="F115" i="12"/>
  <c r="F109" i="12"/>
  <c r="F104" i="12"/>
  <c r="F99" i="12"/>
  <c r="F94" i="12"/>
  <c r="F87" i="12"/>
  <c r="F82" i="12"/>
  <c r="F74" i="12"/>
  <c r="F64" i="12"/>
  <c r="F56" i="12"/>
  <c r="F51" i="12"/>
  <c r="F40" i="12"/>
  <c r="F32" i="12"/>
  <c r="F26" i="12"/>
  <c r="F16" i="12"/>
  <c r="F10" i="12"/>
  <c r="F3855" i="11"/>
  <c r="F3846" i="11"/>
  <c r="F3837" i="11"/>
  <c r="F3829" i="11"/>
  <c r="F3821" i="11"/>
  <c r="F3812" i="11"/>
  <c r="F3803" i="11"/>
  <c r="F3796" i="11"/>
  <c r="F3789" i="11"/>
  <c r="F3780" i="11"/>
  <c r="F3771" i="11"/>
  <c r="F3762" i="11"/>
  <c r="F3753" i="11"/>
  <c r="F3749" i="11"/>
  <c r="F3745" i="11"/>
  <c r="F3736" i="11"/>
  <c r="F3727" i="11"/>
  <c r="F3718" i="11"/>
  <c r="F3709" i="11"/>
  <c r="F3701" i="11"/>
  <c r="F3693" i="11"/>
  <c r="F3686" i="11"/>
  <c r="F3679" i="11"/>
  <c r="F3673" i="11"/>
  <c r="F3668" i="11"/>
  <c r="F3661" i="11"/>
  <c r="F3654" i="11"/>
  <c r="F3645" i="11"/>
  <c r="F3636" i="11"/>
  <c r="F3627" i="11"/>
  <c r="F3618" i="11"/>
  <c r="F3612" i="11"/>
  <c r="F3606" i="11"/>
  <c r="F3598" i="11"/>
  <c r="F3590" i="11"/>
  <c r="F3584" i="11"/>
  <c r="F3578" i="11"/>
  <c r="F3569" i="11"/>
  <c r="F3560" i="11"/>
  <c r="F3551" i="11"/>
  <c r="F3542" i="11"/>
  <c r="F3536" i="11"/>
  <c r="F3530" i="11"/>
  <c r="F3521" i="11"/>
  <c r="F3512" i="11"/>
  <c r="F3505" i="11"/>
  <c r="F3498" i="11"/>
  <c r="F3489" i="11"/>
  <c r="F3480" i="11"/>
  <c r="F3474" i="11"/>
  <c r="F3468" i="11"/>
  <c r="F3462" i="11"/>
  <c r="F3456" i="11"/>
  <c r="F3453" i="11"/>
  <c r="F3450" i="11"/>
  <c r="F3441" i="11"/>
  <c r="F3432" i="11"/>
  <c r="F3426" i="11"/>
  <c r="F3419" i="11"/>
  <c r="F3412" i="11"/>
  <c r="F3404" i="11"/>
  <c r="F3397" i="11"/>
  <c r="F3390" i="11"/>
  <c r="F3382" i="11"/>
  <c r="F3375" i="11"/>
  <c r="F3370" i="11"/>
  <c r="F3365" i="11"/>
  <c r="F3359" i="11"/>
  <c r="F3353" i="11"/>
  <c r="F3344" i="11"/>
  <c r="F3335" i="11"/>
  <c r="F3327" i="11"/>
  <c r="F3319" i="11"/>
  <c r="F3314" i="11"/>
  <c r="F3309" i="11"/>
  <c r="F3300" i="11"/>
  <c r="F3291" i="11"/>
  <c r="F3287" i="11"/>
  <c r="F3283" i="11"/>
  <c r="F3278" i="11"/>
  <c r="F3274" i="11"/>
  <c r="F3266" i="11"/>
  <c r="F3258" i="11"/>
  <c r="F3250" i="11"/>
  <c r="F3242" i="11"/>
  <c r="F3233" i="11"/>
  <c r="F3224" i="11"/>
  <c r="F3215" i="11"/>
  <c r="F3206" i="11"/>
  <c r="F3197" i="11"/>
  <c r="F3188" i="11"/>
  <c r="F3179" i="11"/>
  <c r="F3170" i="11"/>
  <c r="F3161" i="11"/>
  <c r="F3152" i="11"/>
  <c r="F3143" i="11"/>
  <c r="F3134" i="11"/>
  <c r="F3125" i="11"/>
  <c r="F3116" i="11"/>
  <c r="F3108" i="11"/>
  <c r="F3100" i="11"/>
  <c r="F3091" i="11"/>
  <c r="F3082" i="11"/>
  <c r="F3077" i="11"/>
  <c r="F3072" i="11"/>
  <c r="F3067" i="11"/>
  <c r="F3062" i="11"/>
  <c r="F3059" i="11"/>
  <c r="F3056" i="11"/>
  <c r="F3047" i="11"/>
  <c r="F3038" i="11"/>
  <c r="F3029" i="11"/>
  <c r="F3020" i="11"/>
  <c r="F3013" i="11"/>
  <c r="F3006" i="11"/>
  <c r="F2997" i="11"/>
  <c r="F2988" i="11"/>
  <c r="F2983" i="11"/>
  <c r="F2978" i="11"/>
  <c r="F2970" i="11"/>
  <c r="F2962" i="11"/>
  <c r="F2958" i="11"/>
  <c r="F2954" i="11"/>
  <c r="F2945" i="11"/>
  <c r="F2936" i="11"/>
  <c r="F2927" i="11"/>
  <c r="F2918" i="11"/>
  <c r="F2911" i="11"/>
  <c r="F2904" i="11"/>
  <c r="F2897" i="11"/>
  <c r="F2890" i="11"/>
  <c r="F2881" i="11"/>
  <c r="F2872" i="11"/>
  <c r="F2866" i="11"/>
  <c r="F2860" i="11"/>
  <c r="F2851" i="11"/>
  <c r="F2842" i="11"/>
  <c r="F2833" i="11"/>
  <c r="F2825" i="11"/>
  <c r="F2818" i="11"/>
  <c r="F2811" i="11"/>
  <c r="F2804" i="11"/>
  <c r="F2797" i="11"/>
  <c r="F2789" i="11"/>
  <c r="F2782" i="11"/>
  <c r="F2773" i="11"/>
  <c r="F2764" i="11"/>
  <c r="F2758" i="11"/>
  <c r="F2752" i="11"/>
  <c r="F2745" i="11"/>
  <c r="F2738" i="11"/>
  <c r="F2730" i="11"/>
  <c r="F2722" i="11"/>
  <c r="F2713" i="11"/>
  <c r="F2704" i="11"/>
  <c r="F2697" i="11"/>
  <c r="F2690" i="11"/>
  <c r="F2683" i="11"/>
  <c r="F2676" i="11"/>
  <c r="F2671" i="11"/>
  <c r="F2666" i="11"/>
  <c r="F2660" i="11"/>
  <c r="F2654" i="11"/>
  <c r="F2646" i="11"/>
  <c r="F2640" i="11"/>
  <c r="F2634" i="11"/>
  <c r="F2626" i="11"/>
  <c r="F2620" i="11"/>
  <c r="F2614" i="11"/>
  <c r="F2606" i="11"/>
  <c r="F2600" i="11"/>
  <c r="F2594" i="11"/>
  <c r="F2586" i="11"/>
  <c r="F2580" i="11"/>
  <c r="F2574" i="11"/>
  <c r="F2566" i="11"/>
  <c r="F2560" i="11"/>
  <c r="F2554" i="11"/>
  <c r="F2546" i="11"/>
  <c r="F2540" i="11"/>
  <c r="F2534" i="11"/>
  <c r="F2526" i="11"/>
  <c r="F2520" i="11"/>
  <c r="F2514" i="11"/>
  <c r="F2506" i="11"/>
  <c r="F2500" i="11"/>
  <c r="F2494" i="11"/>
  <c r="F2486" i="11"/>
  <c r="F2480" i="11"/>
  <c r="F2474" i="11"/>
  <c r="F2466" i="11"/>
  <c r="F2460" i="11"/>
  <c r="F2454" i="11"/>
  <c r="F2446" i="11"/>
  <c r="F2440" i="11"/>
  <c r="F2434" i="11"/>
  <c r="F2426" i="11"/>
  <c r="F2420" i="11"/>
  <c r="F2414" i="11"/>
  <c r="F2406" i="11"/>
  <c r="F2400" i="11"/>
  <c r="F2394" i="11"/>
  <c r="F2386" i="11"/>
  <c r="F2380" i="11"/>
  <c r="F2374" i="11"/>
  <c r="F2366" i="11"/>
  <c r="F2360" i="11"/>
  <c r="F2354" i="11"/>
  <c r="F2346" i="11"/>
  <c r="F2340" i="11"/>
  <c r="F2334" i="11"/>
  <c r="F2326" i="11"/>
  <c r="F2320" i="11"/>
  <c r="F2314" i="11"/>
  <c r="F2306" i="11"/>
  <c r="F2300" i="11"/>
  <c r="F2294" i="11"/>
  <c r="F2286" i="11"/>
  <c r="F2280" i="11"/>
  <c r="F2274" i="11"/>
  <c r="F2266" i="11"/>
  <c r="F2260" i="11"/>
  <c r="F2254" i="11"/>
  <c r="F2246" i="11"/>
  <c r="F2240" i="11"/>
  <c r="F2234" i="11"/>
  <c r="F2226" i="11"/>
  <c r="F2220" i="11"/>
  <c r="F2214" i="11"/>
  <c r="F2206" i="11"/>
  <c r="F2200" i="11"/>
  <c r="F2194" i="11"/>
  <c r="F2186" i="11"/>
  <c r="F2180" i="11"/>
  <c r="F2174" i="11"/>
  <c r="F2166" i="11"/>
  <c r="F2160" i="11"/>
  <c r="F2154" i="11"/>
  <c r="F2146" i="11"/>
  <c r="F2140" i="11"/>
  <c r="F2134" i="11"/>
  <c r="F2126" i="11"/>
  <c r="F2120" i="11"/>
  <c r="F2114" i="11"/>
  <c r="F2106" i="11"/>
  <c r="F2100" i="11"/>
  <c r="F2094" i="11"/>
  <c r="F2086" i="11"/>
  <c r="F2080" i="11"/>
  <c r="F2074" i="11"/>
  <c r="F2066" i="11"/>
  <c r="F2060" i="11"/>
  <c r="F2054" i="11"/>
  <c r="F2046" i="11"/>
  <c r="F2040" i="11"/>
  <c r="F2034" i="11"/>
  <c r="F2026" i="11"/>
  <c r="F2020" i="11"/>
  <c r="F2014" i="11"/>
  <c r="F2006" i="11"/>
  <c r="F2000" i="11"/>
  <c r="F1994" i="11"/>
  <c r="F1986" i="11"/>
  <c r="F1980" i="11"/>
  <c r="F1974" i="11"/>
  <c r="F1966" i="11"/>
  <c r="F1960" i="11"/>
  <c r="F1954" i="11"/>
  <c r="F1946" i="11"/>
  <c r="F1940" i="11"/>
  <c r="F1934" i="11"/>
  <c r="F1926" i="11"/>
  <c r="F1920" i="11"/>
  <c r="F1914" i="11"/>
  <c r="F1906" i="11"/>
  <c r="F1900" i="11"/>
  <c r="F1894" i="11"/>
  <c r="F1886" i="11"/>
  <c r="F1880" i="11"/>
  <c r="F1874" i="11"/>
  <c r="F1866" i="11"/>
  <c r="F1860" i="11"/>
  <c r="F1854" i="11"/>
  <c r="F1846" i="11"/>
  <c r="F1840" i="11"/>
  <c r="F1834" i="11"/>
  <c r="F1826" i="11"/>
  <c r="F1820" i="11"/>
  <c r="F1814" i="11"/>
  <c r="F1806" i="11"/>
  <c r="F1800" i="11"/>
  <c r="F1794" i="11"/>
  <c r="F1786" i="11"/>
  <c r="F1780" i="11"/>
  <c r="F1774" i="11"/>
  <c r="F1766" i="11"/>
  <c r="F1760" i="11"/>
  <c r="F1754" i="11"/>
  <c r="F1746" i="11"/>
  <c r="F1740" i="11"/>
  <c r="F1734" i="11"/>
  <c r="F1726" i="11"/>
  <c r="F1720" i="11"/>
  <c r="F1714" i="11"/>
  <c r="F1706" i="11"/>
  <c r="F1700" i="11"/>
  <c r="F1694" i="11"/>
  <c r="F1686" i="11"/>
  <c r="F1680" i="11"/>
  <c r="F1674" i="11"/>
  <c r="F1666" i="11"/>
  <c r="F1660" i="11"/>
  <c r="F1654" i="11"/>
  <c r="F1646" i="11"/>
  <c r="F1640" i="11"/>
  <c r="F1634" i="11"/>
  <c r="F1626" i="11"/>
  <c r="F1620" i="11"/>
  <c r="F1614" i="11"/>
  <c r="F1606" i="11"/>
  <c r="F1600" i="11"/>
  <c r="F1594" i="11"/>
  <c r="F1586" i="11"/>
  <c r="F1580" i="11"/>
  <c r="F1574" i="11"/>
  <c r="F1566" i="11"/>
  <c r="F1560" i="11"/>
  <c r="F1554" i="11"/>
  <c r="F1546" i="11"/>
  <c r="F1540" i="11"/>
  <c r="F1534" i="11"/>
  <c r="F1526" i="11"/>
  <c r="F1520" i="11"/>
  <c r="F1514" i="11"/>
  <c r="F1506" i="11"/>
  <c r="F1500" i="11"/>
  <c r="F1494" i="11"/>
  <c r="F1486" i="11"/>
  <c r="F1480" i="11"/>
  <c r="F1474" i="11"/>
  <c r="F1466" i="11"/>
  <c r="F1460" i="11"/>
  <c r="F1454" i="11"/>
  <c r="F1446" i="11"/>
  <c r="F1440" i="11"/>
  <c r="F1434" i="11"/>
  <c r="F1426" i="11"/>
  <c r="F1420" i="11"/>
  <c r="F1414" i="11"/>
  <c r="F1406" i="11"/>
  <c r="F1400" i="11"/>
  <c r="F1394" i="11"/>
  <c r="F1386" i="11"/>
  <c r="F1380" i="11"/>
  <c r="F1374" i="11"/>
  <c r="F1366" i="11"/>
  <c r="F1360" i="11"/>
  <c r="F1354" i="11"/>
  <c r="F1346" i="11"/>
  <c r="F1340" i="11"/>
  <c r="F1334" i="11"/>
  <c r="F1326" i="11"/>
  <c r="F1320" i="11"/>
  <c r="F1314" i="11"/>
  <c r="F1306" i="11"/>
  <c r="F1300" i="11"/>
  <c r="F1294" i="11"/>
  <c r="F1286" i="11"/>
  <c r="F1280" i="11"/>
  <c r="F1274" i="11"/>
  <c r="F1266" i="11"/>
  <c r="F1260" i="11"/>
  <c r="F1254" i="11"/>
  <c r="F1246" i="11"/>
  <c r="F1240" i="11"/>
  <c r="F1234" i="11"/>
  <c r="F1226" i="11"/>
  <c r="F1220" i="11"/>
  <c r="F1214" i="11"/>
  <c r="F1206" i="11"/>
  <c r="F1200" i="11"/>
  <c r="F1194" i="11"/>
  <c r="F1186" i="11"/>
  <c r="F1180" i="11"/>
  <c r="F1174" i="11"/>
  <c r="F1166" i="11"/>
  <c r="F1160" i="11"/>
  <c r="F1154" i="11"/>
  <c r="F1146" i="11"/>
  <c r="F1140" i="11"/>
  <c r="F1134" i="11"/>
  <c r="F1126" i="11"/>
  <c r="F1120" i="11"/>
  <c r="F1114" i="11"/>
  <c r="F1106" i="11"/>
  <c r="F1100" i="11"/>
  <c r="F1094" i="11"/>
  <c r="F1086" i="11"/>
  <c r="F1080" i="11"/>
  <c r="F1074" i="11"/>
  <c r="F1066" i="11"/>
  <c r="F1060" i="11"/>
  <c r="F1054" i="11"/>
  <c r="F1046" i="11"/>
  <c r="F1040" i="11"/>
  <c r="F1034" i="11"/>
  <c r="F1026" i="11"/>
  <c r="F1020" i="11"/>
  <c r="F1014" i="11"/>
  <c r="F1006" i="11"/>
  <c r="F1000" i="11"/>
  <c r="F994" i="11"/>
  <c r="F986" i="11"/>
  <c r="F980" i="11"/>
  <c r="F974" i="11"/>
  <c r="F966" i="11"/>
  <c r="F960" i="11"/>
  <c r="F954" i="11"/>
  <c r="F946" i="11"/>
  <c r="F940" i="11"/>
  <c r="F934" i="11"/>
  <c r="F926" i="11"/>
  <c r="F920" i="11"/>
  <c r="F914" i="11"/>
  <c r="F906" i="11"/>
  <c r="F900" i="11"/>
  <c r="F894" i="11"/>
  <c r="F886" i="11"/>
  <c r="F865" i="11"/>
  <c r="F862" i="11"/>
  <c r="F859" i="11"/>
  <c r="F855" i="11"/>
  <c r="F851" i="11"/>
  <c r="F847" i="11"/>
  <c r="F842" i="11"/>
  <c r="F836" i="11"/>
  <c r="F831" i="11"/>
  <c r="F829" i="11"/>
  <c r="F827" i="11"/>
  <c r="F825" i="11"/>
  <c r="F821" i="11"/>
  <c r="F817" i="11"/>
  <c r="F813" i="11"/>
  <c r="F810" i="11"/>
  <c r="F807" i="11"/>
  <c r="F804" i="11"/>
  <c r="F800" i="11"/>
  <c r="F796" i="11"/>
  <c r="F792" i="11"/>
  <c r="F789" i="11"/>
  <c r="F786" i="11"/>
  <c r="F783" i="11"/>
  <c r="F780" i="11"/>
  <c r="F777" i="11"/>
  <c r="F774" i="11"/>
  <c r="F770" i="11"/>
  <c r="F764" i="11"/>
  <c r="F758" i="11"/>
  <c r="F754" i="11"/>
  <c r="F750" i="11"/>
  <c r="F746" i="11"/>
  <c r="F741" i="11"/>
  <c r="F736" i="11"/>
  <c r="F731" i="11"/>
  <c r="F728" i="11"/>
  <c r="F725" i="11"/>
  <c r="F721" i="11"/>
  <c r="F717" i="11"/>
  <c r="F713" i="11"/>
  <c r="F709" i="11"/>
  <c r="F705" i="11"/>
  <c r="F702" i="11"/>
  <c r="F699" i="11"/>
  <c r="F696" i="11"/>
  <c r="F694" i="11"/>
  <c r="F692" i="11"/>
  <c r="F688" i="11"/>
  <c r="F684" i="11"/>
  <c r="F680" i="11"/>
  <c r="F677" i="11"/>
  <c r="F674" i="11"/>
  <c r="F672" i="11"/>
  <c r="F670" i="11"/>
  <c r="F666" i="11"/>
  <c r="F661" i="11"/>
  <c r="F658" i="11"/>
  <c r="F654" i="11"/>
  <c r="F650" i="11"/>
  <c r="F646" i="11"/>
  <c r="F642" i="11"/>
  <c r="F638" i="11"/>
  <c r="F634" i="11"/>
  <c r="F630" i="11"/>
  <c r="F626" i="11"/>
  <c r="F622" i="11"/>
  <c r="F619" i="11"/>
  <c r="F616" i="11"/>
  <c r="F612" i="11"/>
  <c r="F608" i="11"/>
  <c r="F604" i="11"/>
  <c r="F600" i="11"/>
  <c r="F596" i="11"/>
  <c r="F593" i="11"/>
  <c r="F589" i="11"/>
  <c r="F585" i="11"/>
  <c r="F581" i="11"/>
  <c r="F577" i="11"/>
  <c r="F572" i="11"/>
  <c r="F568" i="11"/>
  <c r="F560" i="11"/>
  <c r="F551" i="11"/>
  <c r="F543" i="11"/>
  <c r="F539" i="11"/>
  <c r="F535" i="11"/>
  <c r="F527" i="11"/>
  <c r="F518" i="11"/>
  <c r="F509" i="11"/>
  <c r="F504" i="11"/>
  <c r="F499" i="11"/>
  <c r="F495" i="11"/>
  <c r="F491" i="11"/>
  <c r="F489" i="11"/>
  <c r="F487" i="11"/>
  <c r="F485" i="11"/>
  <c r="F482" i="11"/>
  <c r="F479" i="11"/>
  <c r="F476" i="11"/>
  <c r="F473" i="11"/>
  <c r="F470" i="11"/>
  <c r="F466" i="11"/>
  <c r="F462" i="11"/>
  <c r="F458" i="11"/>
  <c r="F455" i="11"/>
  <c r="F452" i="11"/>
  <c r="F449" i="11"/>
  <c r="F445" i="11"/>
  <c r="F441" i="11"/>
  <c r="F437" i="11"/>
  <c r="F435" i="11"/>
  <c r="F433" i="11"/>
  <c r="F430" i="11"/>
  <c r="F427" i="11"/>
  <c r="F424" i="11"/>
  <c r="F419" i="11"/>
  <c r="F414" i="11"/>
  <c r="F409" i="11"/>
  <c r="F405" i="11"/>
  <c r="F401" i="11"/>
  <c r="F397" i="11"/>
  <c r="F393" i="11"/>
  <c r="F389" i="11"/>
  <c r="F385" i="11"/>
  <c r="F382" i="11"/>
  <c r="F379" i="11"/>
  <c r="F376" i="11"/>
  <c r="F373" i="11"/>
  <c r="F370" i="11"/>
  <c r="F367" i="11"/>
  <c r="F365" i="11"/>
  <c r="F363" i="11"/>
  <c r="F359" i="11"/>
  <c r="F354" i="11"/>
  <c r="F350" i="11"/>
  <c r="F347" i="11"/>
  <c r="F343" i="11"/>
  <c r="F339" i="11"/>
  <c r="F336" i="11"/>
  <c r="F333" i="11"/>
  <c r="F330" i="11"/>
  <c r="F326" i="11"/>
  <c r="F322" i="11"/>
  <c r="F318" i="11"/>
  <c r="F314" i="11"/>
  <c r="F310" i="11"/>
  <c r="F306" i="11"/>
  <c r="F302" i="11"/>
  <c r="F298" i="11"/>
  <c r="F296" i="11"/>
  <c r="F294" i="11"/>
  <c r="F291" i="11"/>
  <c r="F288" i="11"/>
  <c r="F285" i="11"/>
  <c r="F280" i="11"/>
  <c r="F276" i="11"/>
  <c r="F272" i="11"/>
  <c r="F267" i="11"/>
  <c r="F261" i="11"/>
  <c r="F255" i="11"/>
  <c r="F252" i="11"/>
  <c r="F249" i="11"/>
  <c r="F246" i="11"/>
  <c r="F244" i="11"/>
  <c r="F241" i="11"/>
  <c r="F238" i="11"/>
  <c r="F235" i="11"/>
  <c r="F232" i="11"/>
  <c r="F229" i="11"/>
  <c r="F225" i="11"/>
  <c r="F221" i="11"/>
  <c r="F217" i="11"/>
  <c r="F213" i="11"/>
  <c r="F208" i="11"/>
  <c r="F204" i="11"/>
  <c r="F202" i="11"/>
  <c r="F198" i="11"/>
  <c r="F196" i="11"/>
  <c r="F192" i="11"/>
  <c r="F188" i="11"/>
  <c r="F186" i="11"/>
  <c r="F183" i="11"/>
  <c r="F181" i="11"/>
  <c r="F178" i="11"/>
  <c r="F175" i="11"/>
  <c r="F172" i="11"/>
  <c r="F168" i="11"/>
  <c r="F164" i="11"/>
  <c r="F160" i="11"/>
  <c r="F158" i="11"/>
  <c r="F154" i="11"/>
  <c r="F150" i="11"/>
  <c r="F146" i="11"/>
  <c r="F142" i="11"/>
  <c r="F138" i="11"/>
  <c r="F134" i="11"/>
  <c r="F130" i="11"/>
  <c r="F126" i="11"/>
  <c r="F122" i="11"/>
  <c r="F117" i="11"/>
  <c r="F111" i="11"/>
  <c r="F106" i="11"/>
  <c r="F97" i="11"/>
  <c r="F88" i="11"/>
  <c r="F79" i="11"/>
  <c r="F75" i="11"/>
  <c r="F71" i="11"/>
  <c r="F67" i="11"/>
  <c r="F63" i="11"/>
  <c r="F59" i="11"/>
  <c r="F55" i="11"/>
  <c r="F51" i="11"/>
  <c r="F47" i="11"/>
  <c r="F43" i="11"/>
  <c r="F40" i="11"/>
  <c r="F37" i="11"/>
  <c r="F33" i="11"/>
  <c r="F29" i="11"/>
  <c r="F24" i="11"/>
  <c r="F19" i="11"/>
  <c r="F15" i="11"/>
  <c r="F10" i="11"/>
  <c r="F717" i="10"/>
  <c r="F709" i="10"/>
  <c r="F701" i="10"/>
  <c r="F693" i="10"/>
  <c r="F685" i="10"/>
  <c r="F677" i="10"/>
  <c r="F669" i="10"/>
  <c r="F661" i="10"/>
  <c r="F653" i="10"/>
  <c r="F645" i="10"/>
  <c r="F637" i="10"/>
  <c r="F629" i="10"/>
  <c r="F621" i="10"/>
  <c r="F613" i="10"/>
  <c r="F605" i="10"/>
  <c r="F597" i="10"/>
  <c r="F589" i="10"/>
  <c r="F581" i="10"/>
  <c r="F573" i="10"/>
  <c r="F565" i="10"/>
  <c r="F557" i="10"/>
  <c r="F549" i="10"/>
  <c r="F541" i="10"/>
  <c r="F533" i="10"/>
  <c r="F525" i="10"/>
  <c r="F517" i="10"/>
  <c r="F509" i="10"/>
  <c r="F501" i="10"/>
  <c r="F493" i="10"/>
  <c r="F485" i="10"/>
  <c r="F477" i="10"/>
  <c r="F469" i="10"/>
  <c r="F461" i="10"/>
  <c r="F453" i="10"/>
  <c r="F445" i="10"/>
  <c r="F437" i="10"/>
  <c r="F429" i="10"/>
  <c r="F421" i="10"/>
  <c r="F413" i="10"/>
  <c r="F405" i="10"/>
  <c r="F397" i="10"/>
  <c r="F389" i="10"/>
  <c r="F381" i="10"/>
  <c r="F373" i="10"/>
  <c r="F365" i="10"/>
  <c r="F357" i="10"/>
  <c r="F349" i="10"/>
  <c r="F341" i="10"/>
  <c r="F333" i="10"/>
  <c r="F325" i="10"/>
  <c r="F317" i="10"/>
  <c r="F309" i="10"/>
  <c r="F301" i="10"/>
  <c r="F293" i="10"/>
  <c r="F285" i="10"/>
  <c r="F277" i="10"/>
  <c r="F269" i="10"/>
  <c r="F261" i="10"/>
  <c r="F253" i="10"/>
  <c r="F245" i="10"/>
  <c r="F237" i="10"/>
  <c r="F229" i="10"/>
  <c r="F221" i="10"/>
  <c r="F213" i="10"/>
  <c r="F205" i="10"/>
  <c r="F197" i="10"/>
  <c r="F189" i="10"/>
  <c r="F181" i="10"/>
  <c r="F173" i="10"/>
  <c r="F165" i="10"/>
  <c r="F157" i="10"/>
  <c r="F149" i="10"/>
  <c r="F141" i="10"/>
  <c r="F133" i="10"/>
  <c r="F125" i="10"/>
  <c r="F117" i="10"/>
  <c r="F109" i="10"/>
  <c r="F101" i="10"/>
  <c r="F93" i="10"/>
  <c r="F85" i="10"/>
  <c r="F77" i="10"/>
  <c r="F69" i="10"/>
  <c r="F61" i="10"/>
  <c r="F53" i="10"/>
  <c r="F45" i="10"/>
  <c r="F37" i="10"/>
  <c r="F29" i="10"/>
  <c r="F21" i="10"/>
  <c r="F13" i="10"/>
  <c r="F812" i="9"/>
  <c r="F803" i="9"/>
  <c r="F794" i="9"/>
  <c r="F785" i="9"/>
  <c r="F776" i="9"/>
  <c r="F767" i="9"/>
  <c r="F758" i="9"/>
  <c r="F749" i="9"/>
  <c r="F740" i="9"/>
  <c r="F731" i="9"/>
  <c r="F722" i="9"/>
  <c r="F713" i="9"/>
  <c r="F704" i="9"/>
  <c r="F695" i="9"/>
  <c r="F686" i="9"/>
  <c r="F677" i="9"/>
  <c r="F668" i="9"/>
  <c r="F659" i="9"/>
  <c r="F650" i="9"/>
  <c r="F641" i="9"/>
  <c r="F632" i="9"/>
  <c r="F623" i="9"/>
  <c r="F614" i="9"/>
  <c r="F605" i="9"/>
  <c r="F596" i="9"/>
  <c r="F587" i="9"/>
  <c r="F578" i="9"/>
  <c r="F569" i="9"/>
  <c r="F560" i="9"/>
  <c r="F551" i="9"/>
  <c r="F542" i="9"/>
  <c r="F533" i="9"/>
  <c r="F524" i="9"/>
  <c r="F515" i="9"/>
  <c r="F506" i="9"/>
  <c r="F497" i="9"/>
  <c r="F488" i="9"/>
  <c r="F479" i="9"/>
  <c r="F470" i="9"/>
  <c r="F461" i="9"/>
  <c r="F452" i="9"/>
  <c r="F443" i="9"/>
  <c r="F434" i="9"/>
  <c r="F425" i="9"/>
  <c r="F416" i="9"/>
  <c r="F407" i="9"/>
  <c r="F398" i="9"/>
  <c r="F389" i="9"/>
  <c r="F380" i="9"/>
  <c r="F371" i="9"/>
  <c r="F362" i="9"/>
  <c r="F353" i="9"/>
  <c r="F344" i="9"/>
  <c r="F335" i="9"/>
  <c r="F326" i="9"/>
  <c r="F317" i="9"/>
  <c r="F308" i="9"/>
  <c r="F299" i="9"/>
  <c r="F290" i="9"/>
  <c r="F281" i="9"/>
  <c r="F272" i="9"/>
  <c r="F263" i="9"/>
  <c r="F254" i="9"/>
  <c r="F245" i="9"/>
  <c r="F236" i="9"/>
  <c r="F227" i="9"/>
  <c r="F218" i="9"/>
  <c r="F209" i="9"/>
  <c r="F200" i="9"/>
  <c r="F191" i="9"/>
  <c r="F182" i="9"/>
  <c r="F173" i="9"/>
  <c r="F164" i="9"/>
  <c r="F155" i="9"/>
  <c r="F146" i="9"/>
  <c r="F137" i="9"/>
  <c r="F128" i="9"/>
  <c r="F119" i="9"/>
  <c r="F110" i="9"/>
  <c r="F101" i="9"/>
  <c r="F92" i="9"/>
  <c r="F83" i="9"/>
  <c r="F74" i="9"/>
  <c r="F65" i="9"/>
  <c r="F56" i="9"/>
  <c r="F47" i="9"/>
  <c r="F38" i="9"/>
  <c r="F29" i="9"/>
  <c r="F20" i="9"/>
  <c r="F11" i="9"/>
  <c r="F633" i="8"/>
  <c r="F626" i="8"/>
  <c r="F619" i="8"/>
  <c r="F612" i="8"/>
  <c r="F605" i="8"/>
  <c r="F598" i="8"/>
  <c r="F591" i="8"/>
  <c r="F584" i="8"/>
  <c r="F577" i="8"/>
  <c r="F570" i="8"/>
  <c r="F563" i="8"/>
  <c r="F556" i="8"/>
  <c r="F549" i="8"/>
  <c r="F542" i="8"/>
  <c r="F535" i="8"/>
  <c r="F528" i="8"/>
  <c r="F521" i="8"/>
  <c r="F514" i="8"/>
  <c r="F507" i="8"/>
  <c r="F500" i="8"/>
  <c r="F493" i="8"/>
  <c r="F486" i="8"/>
  <c r="F479" i="8"/>
  <c r="F472" i="8"/>
  <c r="F465" i="8"/>
  <c r="F458" i="8"/>
  <c r="F451" i="8"/>
  <c r="F444" i="8"/>
  <c r="F437" i="8"/>
  <c r="F430" i="8"/>
  <c r="F423" i="8"/>
  <c r="F416" i="8"/>
  <c r="F409" i="8"/>
  <c r="F402" i="8"/>
  <c r="F395" i="8"/>
  <c r="F388" i="8"/>
  <c r="F381" i="8"/>
  <c r="F374" i="8"/>
  <c r="F367" i="8"/>
  <c r="F360" i="8"/>
  <c r="F353" i="8"/>
  <c r="F346" i="8"/>
  <c r="F339" i="8"/>
  <c r="F332" i="8"/>
  <c r="F325" i="8"/>
  <c r="F318" i="8"/>
  <c r="F311" i="8"/>
  <c r="F304" i="8"/>
  <c r="F297" i="8"/>
  <c r="F290" i="8"/>
  <c r="F283" i="8"/>
  <c r="F276" i="8"/>
  <c r="F269" i="8"/>
  <c r="F262" i="8"/>
  <c r="F255" i="8"/>
  <c r="F248" i="8"/>
  <c r="F241" i="8"/>
  <c r="F234" i="8"/>
  <c r="F227" i="8"/>
  <c r="F220" i="8"/>
  <c r="F213" i="8"/>
  <c r="F206" i="8"/>
  <c r="F199" i="8"/>
  <c r="F192" i="8"/>
  <c r="F185" i="8"/>
  <c r="F178" i="8"/>
  <c r="F171" i="8"/>
  <c r="F164" i="8"/>
  <c r="F157" i="8"/>
  <c r="F150" i="8"/>
  <c r="F143" i="8"/>
  <c r="F136" i="8"/>
  <c r="F129" i="8"/>
  <c r="F122" i="8"/>
  <c r="F115" i="8"/>
  <c r="F108" i="8"/>
  <c r="F101" i="8"/>
  <c r="F94" i="8"/>
  <c r="F87" i="8"/>
  <c r="F80" i="8"/>
  <c r="F73" i="8"/>
  <c r="F66" i="8"/>
  <c r="F59" i="8"/>
  <c r="F52" i="8"/>
  <c r="F45" i="8"/>
  <c r="F38" i="8"/>
  <c r="F31" i="8"/>
  <c r="F24" i="8"/>
  <c r="F17" i="8"/>
  <c r="F10" i="8"/>
  <c r="F1011" i="7"/>
  <c r="F1003" i="7"/>
  <c r="F997" i="7"/>
  <c r="F989" i="7"/>
  <c r="F983" i="7"/>
  <c r="F975" i="7"/>
  <c r="F969" i="7"/>
  <c r="F961" i="7"/>
  <c r="F955" i="7"/>
  <c r="F947" i="7"/>
  <c r="F941" i="7"/>
  <c r="F933" i="7"/>
  <c r="F927" i="7"/>
  <c r="F919" i="7"/>
  <c r="F913" i="7"/>
  <c r="F905" i="7"/>
  <c r="F899" i="7"/>
  <c r="F891" i="7"/>
  <c r="F885" i="7"/>
  <c r="F877" i="7"/>
  <c r="F871" i="7"/>
  <c r="F863" i="7"/>
  <c r="F857" i="7"/>
  <c r="F849" i="7"/>
  <c r="F843" i="7"/>
  <c r="F835" i="7"/>
  <c r="F829" i="7"/>
  <c r="F821" i="7"/>
  <c r="F815" i="7"/>
  <c r="F807" i="7"/>
  <c r="F801" i="7"/>
  <c r="F793" i="7"/>
  <c r="F787" i="7"/>
  <c r="F779" i="7"/>
  <c r="F773" i="7"/>
  <c r="F765" i="7"/>
  <c r="F759" i="7"/>
  <c r="F756" i="7"/>
  <c r="F753" i="7"/>
  <c r="F750" i="7"/>
  <c r="F747" i="7"/>
  <c r="F744" i="7"/>
  <c r="F739" i="7"/>
  <c r="F734" i="7"/>
  <c r="F729" i="7"/>
  <c r="F725" i="7"/>
  <c r="F721" i="7"/>
  <c r="F717" i="7"/>
  <c r="F714" i="7"/>
  <c r="F712" i="7"/>
  <c r="F710" i="7"/>
  <c r="F706" i="7"/>
  <c r="F702" i="7"/>
  <c r="F698" i="7"/>
  <c r="F695" i="7"/>
  <c r="F692" i="7"/>
  <c r="F689" i="7"/>
  <c r="F686" i="7"/>
  <c r="F683" i="7"/>
  <c r="F680" i="7"/>
  <c r="F676" i="7"/>
  <c r="F672" i="7"/>
  <c r="F668" i="7"/>
  <c r="F662" i="7"/>
  <c r="F656" i="7"/>
  <c r="F650" i="7"/>
  <c r="F646" i="7"/>
  <c r="F642" i="7"/>
  <c r="F638" i="7"/>
  <c r="F634" i="7"/>
  <c r="F629" i="7"/>
  <c r="F626" i="7"/>
  <c r="F624" i="7"/>
  <c r="F622" i="7"/>
  <c r="F619" i="7"/>
  <c r="F616" i="7"/>
  <c r="F613" i="7"/>
  <c r="F610" i="7"/>
  <c r="F607" i="7"/>
  <c r="F604" i="7"/>
  <c r="F601" i="7"/>
  <c r="F598" i="7"/>
  <c r="F596" i="7"/>
  <c r="F594" i="7"/>
  <c r="F591" i="7"/>
  <c r="F588" i="7"/>
  <c r="F585" i="7"/>
  <c r="F583" i="7"/>
  <c r="F581" i="7"/>
  <c r="F578" i="7"/>
  <c r="F575" i="7"/>
  <c r="F572" i="7"/>
  <c r="F569" i="7"/>
  <c r="F566" i="7"/>
  <c r="F563" i="7"/>
  <c r="F560" i="7"/>
  <c r="F557" i="7"/>
  <c r="F554" i="7"/>
  <c r="F551" i="7"/>
  <c r="F548" i="7"/>
  <c r="F545" i="7"/>
  <c r="F542" i="7"/>
  <c r="F539" i="7"/>
  <c r="F537" i="7"/>
  <c r="F535" i="7"/>
  <c r="F531" i="7"/>
  <c r="F527" i="7"/>
  <c r="F523" i="7"/>
  <c r="F520" i="7"/>
  <c r="F517" i="7"/>
  <c r="F514" i="7"/>
  <c r="F510" i="7"/>
  <c r="F506" i="7"/>
  <c r="F502" i="7"/>
  <c r="F498" i="7"/>
  <c r="F494" i="7"/>
  <c r="F490" i="7"/>
  <c r="F485" i="7"/>
  <c r="F480" i="7"/>
  <c r="F475" i="7"/>
  <c r="F471" i="7"/>
  <c r="F467" i="7"/>
  <c r="F459" i="7"/>
  <c r="F451" i="7"/>
  <c r="F443" i="7"/>
  <c r="F440" i="7"/>
  <c r="F437" i="7"/>
  <c r="F434" i="7"/>
  <c r="F431" i="7"/>
  <c r="F429" i="7"/>
  <c r="F427" i="7"/>
  <c r="F425" i="7"/>
  <c r="F422" i="7"/>
  <c r="F419" i="7"/>
  <c r="F416" i="7"/>
  <c r="F413" i="7"/>
  <c r="F410" i="7"/>
  <c r="F406" i="7"/>
  <c r="F402" i="7"/>
  <c r="F398" i="7"/>
  <c r="F395" i="7"/>
  <c r="F392" i="7"/>
  <c r="F389" i="7"/>
  <c r="F386" i="7"/>
  <c r="F383" i="7"/>
  <c r="F380" i="7"/>
  <c r="F378" i="7"/>
  <c r="F376" i="7"/>
  <c r="F373" i="7"/>
  <c r="F370" i="7"/>
  <c r="F367" i="7"/>
  <c r="F363" i="7"/>
  <c r="F359" i="7"/>
  <c r="F355" i="7"/>
  <c r="F352" i="7"/>
  <c r="F347" i="7"/>
  <c r="F343" i="7"/>
  <c r="F340" i="7"/>
  <c r="F337" i="7"/>
  <c r="F334" i="7"/>
  <c r="F330" i="7"/>
  <c r="F326" i="7"/>
  <c r="F322" i="7"/>
  <c r="F319" i="7"/>
  <c r="F316" i="7"/>
  <c r="F313" i="7"/>
  <c r="F311" i="7"/>
  <c r="F309" i="7"/>
  <c r="F305" i="7"/>
  <c r="F300" i="7"/>
  <c r="F295" i="7"/>
  <c r="F292" i="7"/>
  <c r="F289" i="7"/>
  <c r="F286" i="7"/>
  <c r="F283" i="7"/>
  <c r="F280" i="7"/>
  <c r="F277" i="7"/>
  <c r="F274" i="7"/>
  <c r="F271" i="7"/>
  <c r="F268" i="7"/>
  <c r="F266" i="7"/>
  <c r="F264" i="7"/>
  <c r="F260" i="7"/>
  <c r="F256" i="7"/>
  <c r="F252" i="7"/>
  <c r="F250" i="7"/>
  <c r="F248" i="7"/>
  <c r="F245" i="7"/>
  <c r="F242" i="7"/>
  <c r="F239" i="7"/>
  <c r="F235" i="7"/>
  <c r="F231" i="7"/>
  <c r="F227" i="7"/>
  <c r="F224" i="7"/>
  <c r="F221" i="7"/>
  <c r="F218" i="7"/>
  <c r="F215" i="7"/>
  <c r="F212" i="7"/>
  <c r="F209" i="7"/>
  <c r="F205" i="7"/>
  <c r="F201" i="7"/>
  <c r="F197" i="7"/>
  <c r="F194" i="7"/>
  <c r="F191" i="7"/>
  <c r="F188" i="7"/>
  <c r="F185" i="7"/>
  <c r="F182" i="7"/>
  <c r="F180" i="7"/>
  <c r="F177" i="7"/>
  <c r="F174" i="7"/>
  <c r="F171" i="7"/>
  <c r="F169" i="7"/>
  <c r="F167" i="7"/>
  <c r="F165" i="7"/>
  <c r="F162" i="7"/>
  <c r="F159" i="7"/>
  <c r="F156" i="7"/>
  <c r="F153" i="7"/>
  <c r="F150" i="7"/>
  <c r="F146" i="7"/>
  <c r="F142" i="7"/>
  <c r="F138" i="7"/>
  <c r="F134" i="7"/>
  <c r="F130" i="7"/>
  <c r="F126" i="7"/>
  <c r="F124" i="7"/>
  <c r="F121" i="7"/>
  <c r="F118" i="7"/>
  <c r="F115" i="7"/>
  <c r="F112" i="7"/>
  <c r="F109" i="7"/>
  <c r="F106" i="7"/>
  <c r="F103" i="7"/>
  <c r="F100" i="7"/>
  <c r="F97" i="7"/>
  <c r="F93" i="7"/>
  <c r="F89" i="7"/>
  <c r="F85" i="7"/>
  <c r="F78" i="7"/>
  <c r="F70" i="7"/>
  <c r="F64" i="7"/>
  <c r="F61" i="7"/>
  <c r="F58" i="7"/>
  <c r="F55" i="7"/>
  <c r="F52" i="7"/>
  <c r="F49" i="7"/>
  <c r="F46" i="7"/>
  <c r="F43" i="7"/>
  <c r="F40" i="7"/>
  <c r="F37" i="7"/>
  <c r="F34" i="7"/>
  <c r="F31" i="7"/>
  <c r="F28" i="7"/>
  <c r="F25" i="7"/>
  <c r="F21" i="7"/>
  <c r="F17" i="7"/>
  <c r="F13" i="7"/>
  <c r="F9" i="7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E33" i="6"/>
  <c r="D33" i="6"/>
  <c r="F33" i="6" s="1"/>
  <c r="E32" i="6"/>
  <c r="D32" i="6"/>
  <c r="F32" i="6" s="1"/>
  <c r="F31" i="6"/>
  <c r="F30" i="6"/>
  <c r="F29" i="6"/>
  <c r="F28" i="6"/>
  <c r="F27" i="6"/>
  <c r="F26" i="6"/>
  <c r="F25" i="6"/>
  <c r="F24" i="6"/>
  <c r="F23" i="6"/>
  <c r="F22" i="6"/>
  <c r="F21" i="6"/>
  <c r="F20" i="6"/>
  <c r="E19" i="6"/>
  <c r="D19" i="6"/>
  <c r="F19" i="6" s="1"/>
  <c r="E18" i="6"/>
  <c r="D18" i="6"/>
  <c r="F18" i="6" s="1"/>
  <c r="F17" i="6"/>
  <c r="F16" i="6"/>
  <c r="F15" i="6"/>
  <c r="F14" i="6"/>
  <c r="F13" i="6"/>
  <c r="F12" i="6"/>
  <c r="F11" i="6"/>
  <c r="F10" i="6"/>
  <c r="F9" i="6"/>
  <c r="F8" i="6"/>
  <c r="F7" i="6"/>
  <c r="F6" i="6"/>
  <c r="E5" i="6"/>
  <c r="D5" i="6"/>
  <c r="F5" i="6" s="1"/>
  <c r="E4" i="6"/>
  <c r="D4" i="6"/>
  <c r="F4" i="6" s="1"/>
  <c r="F824" i="5"/>
  <c r="F821" i="5"/>
  <c r="F818" i="5"/>
  <c r="F815" i="5"/>
  <c r="F812" i="5"/>
  <c r="F809" i="5"/>
  <c r="F801" i="5"/>
  <c r="F793" i="5"/>
  <c r="F785" i="5"/>
  <c r="F782" i="5"/>
  <c r="F779" i="5"/>
  <c r="F776" i="5"/>
  <c r="F773" i="5"/>
  <c r="F770" i="5"/>
  <c r="F767" i="5"/>
  <c r="F763" i="5"/>
  <c r="F759" i="5"/>
  <c r="F755" i="5"/>
  <c r="F752" i="5"/>
  <c r="F748" i="5"/>
  <c r="F745" i="5"/>
  <c r="F742" i="5"/>
  <c r="F737" i="5"/>
  <c r="F734" i="5"/>
  <c r="F731" i="5"/>
  <c r="F728" i="5"/>
  <c r="F725" i="5"/>
  <c r="F719" i="5"/>
  <c r="F713" i="5"/>
  <c r="F707" i="5"/>
  <c r="F702" i="5"/>
  <c r="F696" i="5"/>
  <c r="F690" i="5"/>
  <c r="F685" i="5"/>
  <c r="F680" i="5"/>
  <c r="F675" i="5"/>
  <c r="F673" i="5"/>
  <c r="F671" i="5"/>
  <c r="F666" i="5"/>
  <c r="F661" i="5"/>
  <c r="F656" i="5"/>
  <c r="F653" i="5"/>
  <c r="F650" i="5"/>
  <c r="F647" i="5"/>
  <c r="F644" i="5"/>
  <c r="F641" i="5"/>
  <c r="F638" i="5"/>
  <c r="F635" i="5"/>
  <c r="F632" i="5"/>
  <c r="F629" i="5"/>
  <c r="F626" i="5"/>
  <c r="F624" i="5"/>
  <c r="F622" i="5"/>
  <c r="F619" i="5"/>
  <c r="F616" i="5"/>
  <c r="F613" i="5"/>
  <c r="F610" i="5"/>
  <c r="F607" i="5"/>
  <c r="F604" i="5"/>
  <c r="F601" i="5"/>
  <c r="F598" i="5"/>
  <c r="F595" i="5"/>
  <c r="F592" i="5"/>
  <c r="F589" i="5"/>
  <c r="F585" i="5"/>
  <c r="F581" i="5"/>
  <c r="F577" i="5"/>
  <c r="F575" i="5"/>
  <c r="F573" i="5"/>
  <c r="F569" i="5"/>
  <c r="F565" i="5"/>
  <c r="F561" i="5"/>
  <c r="F558" i="5"/>
  <c r="F555" i="5"/>
  <c r="F552" i="5"/>
  <c r="F549" i="5"/>
  <c r="F546" i="5"/>
  <c r="F543" i="5"/>
  <c r="F539" i="5"/>
  <c r="F535" i="5"/>
  <c r="F531" i="5"/>
  <c r="F525" i="5"/>
  <c r="F519" i="5"/>
  <c r="F513" i="5"/>
  <c r="F509" i="5"/>
  <c r="F505" i="5"/>
  <c r="F495" i="5"/>
  <c r="F485" i="5"/>
  <c r="F475" i="5"/>
  <c r="F472" i="5"/>
  <c r="F469" i="5"/>
  <c r="F466" i="5"/>
  <c r="F463" i="5"/>
  <c r="F461" i="5"/>
  <c r="F459" i="5"/>
  <c r="F457" i="5"/>
  <c r="F455" i="5"/>
  <c r="F452" i="5"/>
  <c r="F449" i="5"/>
  <c r="F446" i="5"/>
  <c r="F443" i="5"/>
  <c r="F438" i="5"/>
  <c r="F433" i="5"/>
  <c r="F429" i="5"/>
  <c r="F426" i="5"/>
  <c r="F422" i="5"/>
  <c r="F418" i="5"/>
  <c r="F413" i="5"/>
  <c r="F408" i="5"/>
  <c r="F403" i="5"/>
  <c r="F401" i="5"/>
  <c r="F399" i="5"/>
  <c r="F396" i="5"/>
  <c r="F393" i="5"/>
  <c r="F390" i="5"/>
  <c r="F386" i="5"/>
  <c r="F382" i="5"/>
  <c r="F379" i="5"/>
  <c r="F374" i="5"/>
  <c r="F369" i="5"/>
  <c r="F364" i="5"/>
  <c r="F361" i="5"/>
  <c r="F358" i="5"/>
  <c r="F355" i="5"/>
  <c r="F352" i="5"/>
  <c r="F349" i="5"/>
  <c r="F346" i="5"/>
  <c r="F343" i="5"/>
  <c r="F340" i="5"/>
  <c r="F337" i="5"/>
  <c r="F335" i="5"/>
  <c r="F333" i="5"/>
  <c r="F330" i="5"/>
  <c r="F327" i="5"/>
  <c r="F324" i="5"/>
  <c r="F320" i="5"/>
  <c r="F316" i="5"/>
  <c r="F312" i="5"/>
  <c r="F308" i="5"/>
  <c r="F304" i="5"/>
  <c r="F300" i="5"/>
  <c r="F297" i="5"/>
  <c r="F294" i="5"/>
  <c r="F291" i="5"/>
  <c r="F289" i="5"/>
  <c r="F287" i="5"/>
  <c r="F283" i="5"/>
  <c r="F279" i="5"/>
  <c r="F275" i="5"/>
  <c r="F272" i="5"/>
  <c r="F269" i="5"/>
  <c r="F265" i="5"/>
  <c r="F261" i="5"/>
  <c r="F257" i="5"/>
  <c r="F254" i="5"/>
  <c r="F251" i="5"/>
  <c r="F247" i="5"/>
  <c r="F242" i="5"/>
  <c r="F238" i="5"/>
  <c r="F235" i="5"/>
  <c r="F232" i="5"/>
  <c r="F230" i="5"/>
  <c r="F226" i="5"/>
  <c r="F222" i="5"/>
  <c r="F219" i="5"/>
  <c r="F216" i="5"/>
  <c r="F213" i="5"/>
  <c r="F210" i="5"/>
  <c r="F207" i="5"/>
  <c r="F205" i="5"/>
  <c r="F202" i="5"/>
  <c r="F199" i="5"/>
  <c r="F196" i="5"/>
  <c r="F193" i="5"/>
  <c r="F190" i="5"/>
  <c r="F187" i="5"/>
  <c r="F184" i="5"/>
  <c r="F181" i="5"/>
  <c r="F179" i="5"/>
  <c r="F177" i="5"/>
  <c r="F174" i="5"/>
  <c r="F171" i="5"/>
  <c r="F168" i="5"/>
  <c r="F161" i="5"/>
  <c r="F154" i="5"/>
  <c r="F146" i="5"/>
  <c r="F143" i="5"/>
  <c r="F140" i="5"/>
  <c r="F137" i="5"/>
  <c r="F132" i="5"/>
  <c r="F127" i="5"/>
  <c r="F122" i="5"/>
  <c r="F118" i="5"/>
  <c r="F113" i="5"/>
  <c r="F109" i="5"/>
  <c r="F104" i="5"/>
  <c r="F99" i="5"/>
  <c r="F95" i="5"/>
  <c r="F86" i="5"/>
  <c r="F77" i="5"/>
  <c r="F68" i="5"/>
  <c r="F63" i="5"/>
  <c r="F58" i="5"/>
  <c r="F53" i="5"/>
  <c r="F50" i="5"/>
  <c r="F47" i="5"/>
  <c r="F45" i="5"/>
  <c r="F42" i="5"/>
  <c r="F39" i="5"/>
  <c r="F36" i="5"/>
  <c r="F32" i="5"/>
  <c r="F28" i="5"/>
  <c r="F24" i="5"/>
  <c r="F21" i="5"/>
  <c r="F17" i="5"/>
  <c r="F14" i="5"/>
  <c r="F11" i="5"/>
  <c r="F8" i="5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H2378" i="2"/>
  <c r="F2378" i="2"/>
  <c r="F2377" i="2"/>
  <c r="F2376" i="2"/>
  <c r="F2375" i="2"/>
  <c r="F2374" i="2"/>
  <c r="H2373" i="2"/>
  <c r="F2373" i="2"/>
  <c r="F2372" i="2"/>
  <c r="F2371" i="2"/>
  <c r="F2370" i="2"/>
  <c r="H2369" i="2"/>
  <c r="F2369" i="2"/>
  <c r="F2368" i="2"/>
  <c r="F2367" i="2"/>
  <c r="H2366" i="2"/>
  <c r="F2366" i="2"/>
  <c r="F2365" i="2"/>
  <c r="F2364" i="2"/>
  <c r="F2363" i="2"/>
  <c r="F2362" i="2"/>
  <c r="F2361" i="2"/>
  <c r="F2360" i="2"/>
  <c r="H2359" i="2"/>
  <c r="F2359" i="2"/>
  <c r="F2358" i="2"/>
  <c r="F2357" i="2"/>
  <c r="F2356" i="2"/>
  <c r="F2355" i="2"/>
  <c r="F2354" i="2"/>
  <c r="F2353" i="2"/>
  <c r="H2352" i="2"/>
  <c r="F2352" i="2"/>
  <c r="F2351" i="2"/>
  <c r="F2350" i="2"/>
  <c r="F2349" i="2"/>
  <c r="F2348" i="2"/>
  <c r="F2347" i="2"/>
  <c r="F2346" i="2"/>
  <c r="F2345" i="2"/>
  <c r="H2344" i="2"/>
  <c r="F2344" i="2"/>
  <c r="F2343" i="2"/>
  <c r="F2342" i="2"/>
  <c r="F2341" i="2"/>
  <c r="F2340" i="2"/>
  <c r="F2339" i="2"/>
  <c r="F2338" i="2"/>
  <c r="F2337" i="2"/>
  <c r="F2336" i="2"/>
  <c r="F2335" i="2"/>
  <c r="H2334" i="2"/>
  <c r="F2334" i="2"/>
  <c r="F2333" i="2"/>
  <c r="F2332" i="2"/>
  <c r="H2331" i="2"/>
  <c r="F2331" i="2"/>
  <c r="F2330" i="2"/>
  <c r="F2329" i="2"/>
  <c r="F2328" i="2"/>
  <c r="F2327" i="2"/>
  <c r="H2326" i="2"/>
  <c r="F2326" i="2"/>
  <c r="F2325" i="2"/>
  <c r="F2324" i="2"/>
  <c r="F2323" i="2"/>
  <c r="F2322" i="2"/>
  <c r="H2321" i="2"/>
  <c r="F2321" i="2"/>
  <c r="F2320" i="2"/>
  <c r="H2319" i="2"/>
  <c r="F2319" i="2"/>
  <c r="F2318" i="2"/>
  <c r="F2317" i="2"/>
  <c r="F2316" i="2"/>
  <c r="F2315" i="2"/>
  <c r="H2314" i="2"/>
  <c r="F2314" i="2"/>
  <c r="F2313" i="2"/>
  <c r="F2312" i="2"/>
  <c r="F2311" i="2"/>
  <c r="F2310" i="2"/>
  <c r="H2309" i="2"/>
  <c r="F2309" i="2"/>
  <c r="F2308" i="2"/>
  <c r="F2307" i="2"/>
  <c r="F2306" i="2"/>
  <c r="H2305" i="2"/>
  <c r="F2305" i="2"/>
  <c r="F2304" i="2"/>
  <c r="F2303" i="2"/>
  <c r="F2302" i="2"/>
  <c r="F2301" i="2"/>
  <c r="F2300" i="2"/>
  <c r="F2299" i="2"/>
  <c r="F2298" i="2"/>
  <c r="F2297" i="2"/>
  <c r="F2296" i="2"/>
  <c r="H2295" i="2"/>
  <c r="F2295" i="2"/>
  <c r="F2294" i="2"/>
  <c r="F2293" i="2"/>
  <c r="F2292" i="2"/>
  <c r="F2291" i="2"/>
  <c r="F2290" i="2"/>
  <c r="F2289" i="2"/>
  <c r="F2288" i="2"/>
  <c r="F2287" i="2"/>
  <c r="F2286" i="2"/>
  <c r="H2285" i="2"/>
  <c r="F2285" i="2"/>
  <c r="F2284" i="2"/>
  <c r="F2283" i="2"/>
  <c r="F2282" i="2"/>
  <c r="H2281" i="2"/>
  <c r="F2281" i="2"/>
  <c r="F2280" i="2"/>
  <c r="F2279" i="2"/>
  <c r="F2278" i="2"/>
  <c r="F2277" i="2"/>
  <c r="F2276" i="2"/>
  <c r="F2275" i="2"/>
  <c r="F2274" i="2"/>
  <c r="F2273" i="2"/>
  <c r="F2272" i="2"/>
  <c r="H2271" i="2"/>
  <c r="F2271" i="2"/>
  <c r="F2270" i="2"/>
  <c r="F2269" i="2"/>
  <c r="F2268" i="2"/>
  <c r="F2267" i="2"/>
  <c r="F2266" i="2"/>
  <c r="F2265" i="2"/>
  <c r="F2264" i="2"/>
  <c r="F2263" i="2"/>
  <c r="F2262" i="2"/>
  <c r="H2261" i="2"/>
  <c r="F2261" i="2"/>
  <c r="F2260" i="2"/>
  <c r="F2259" i="2"/>
  <c r="F2258" i="2"/>
  <c r="F2257" i="2"/>
  <c r="H2256" i="2"/>
  <c r="F2256" i="2"/>
  <c r="F2255" i="2"/>
  <c r="F2254" i="2"/>
  <c r="F2253" i="2"/>
  <c r="F2252" i="2"/>
  <c r="F2251" i="2"/>
  <c r="F2250" i="2"/>
  <c r="F2249" i="2"/>
  <c r="H2248" i="2"/>
  <c r="F2248" i="2"/>
  <c r="F2247" i="2"/>
  <c r="F2246" i="2"/>
  <c r="F2245" i="2"/>
  <c r="F2244" i="2"/>
  <c r="F2243" i="2"/>
  <c r="F2242" i="2"/>
  <c r="F2241" i="2"/>
  <c r="F2240" i="2"/>
  <c r="H2239" i="2"/>
  <c r="F2239" i="2"/>
  <c r="F2238" i="2"/>
  <c r="F2237" i="2"/>
  <c r="F2236" i="2"/>
  <c r="F2235" i="2"/>
  <c r="H2234" i="2"/>
  <c r="F2234" i="2"/>
  <c r="F2233" i="2"/>
  <c r="F2232" i="2"/>
  <c r="F2231" i="2"/>
  <c r="F2230" i="2"/>
  <c r="F2229" i="2"/>
  <c r="F2228" i="2"/>
  <c r="F2227" i="2"/>
  <c r="F2226" i="2"/>
  <c r="F2225" i="2"/>
  <c r="H2224" i="2"/>
  <c r="F2224" i="2"/>
  <c r="F2223" i="2"/>
  <c r="F2222" i="2"/>
  <c r="F2221" i="2"/>
  <c r="F2220" i="2"/>
  <c r="F2219" i="2"/>
  <c r="F2218" i="2"/>
  <c r="F2217" i="2"/>
  <c r="F2216" i="2"/>
  <c r="F2215" i="2"/>
  <c r="H2214" i="2"/>
  <c r="F2214" i="2"/>
  <c r="F2213" i="2"/>
  <c r="F2212" i="2"/>
  <c r="F2211" i="2"/>
  <c r="F2210" i="2"/>
  <c r="F2209" i="2"/>
  <c r="F2208" i="2"/>
  <c r="F2207" i="2"/>
  <c r="H2206" i="2"/>
  <c r="F2206" i="2"/>
  <c r="F2205" i="2"/>
  <c r="F2204" i="2"/>
  <c r="F2203" i="2"/>
  <c r="F2202" i="2"/>
  <c r="F2201" i="2"/>
  <c r="F2200" i="2"/>
  <c r="F2199" i="2"/>
  <c r="F2198" i="2"/>
  <c r="F2197" i="2"/>
  <c r="H2196" i="2"/>
  <c r="F2196" i="2"/>
  <c r="F2195" i="2"/>
  <c r="F2194" i="2"/>
  <c r="F2193" i="2"/>
  <c r="F2192" i="2"/>
  <c r="F2191" i="2"/>
  <c r="F2190" i="2"/>
  <c r="F2189" i="2"/>
  <c r="F2188" i="2"/>
  <c r="F2187" i="2"/>
  <c r="H2186" i="2"/>
  <c r="F2186" i="2"/>
  <c r="F2185" i="2"/>
  <c r="F2184" i="2"/>
  <c r="F2183" i="2"/>
  <c r="F2182" i="2"/>
  <c r="F2181" i="2"/>
  <c r="F2180" i="2"/>
  <c r="F2179" i="2"/>
  <c r="H2178" i="2"/>
  <c r="F2178" i="2"/>
  <c r="F2177" i="2"/>
  <c r="F2176" i="2"/>
  <c r="F2175" i="2"/>
  <c r="F2174" i="2"/>
  <c r="F2173" i="2"/>
  <c r="F2172" i="2"/>
  <c r="F2171" i="2"/>
  <c r="F2170" i="2"/>
  <c r="F2169" i="2"/>
  <c r="H2168" i="2"/>
  <c r="F2168" i="2"/>
  <c r="F2167" i="2"/>
  <c r="F2166" i="2"/>
  <c r="F2165" i="2"/>
  <c r="F2164" i="2"/>
  <c r="F2163" i="2"/>
  <c r="F2162" i="2"/>
  <c r="F2161" i="2"/>
  <c r="F2160" i="2"/>
  <c r="F2159" i="2"/>
  <c r="H2158" i="2"/>
  <c r="F2158" i="2"/>
  <c r="F2157" i="2"/>
  <c r="F2156" i="2"/>
  <c r="F2155" i="2"/>
  <c r="F2154" i="2"/>
  <c r="H2153" i="2"/>
  <c r="F2153" i="2"/>
  <c r="F2152" i="2"/>
  <c r="F2151" i="2"/>
  <c r="F2150" i="2"/>
  <c r="F2149" i="2"/>
  <c r="F2148" i="2"/>
  <c r="F2147" i="2"/>
  <c r="F2146" i="2"/>
  <c r="F2145" i="2"/>
  <c r="F2144" i="2"/>
  <c r="H2143" i="2"/>
  <c r="F2143" i="2"/>
  <c r="F2142" i="2"/>
  <c r="F2141" i="2"/>
  <c r="F2140" i="2"/>
  <c r="F2139" i="2"/>
  <c r="F2138" i="2"/>
  <c r="F2137" i="2"/>
  <c r="H2136" i="2"/>
  <c r="F2136" i="2"/>
  <c r="F2135" i="2"/>
  <c r="F2134" i="2"/>
  <c r="H2133" i="2"/>
  <c r="F2133" i="2"/>
  <c r="F2132" i="2"/>
  <c r="F2131" i="2"/>
  <c r="F2130" i="2"/>
  <c r="F2129" i="2"/>
  <c r="F2128" i="2"/>
  <c r="H2127" i="2"/>
  <c r="F2127" i="2"/>
  <c r="F2126" i="2"/>
  <c r="F2125" i="2"/>
  <c r="F2124" i="2"/>
  <c r="F2123" i="2"/>
  <c r="H2122" i="2"/>
  <c r="F2122" i="2"/>
  <c r="F2121" i="2"/>
  <c r="F2120" i="2"/>
  <c r="F2119" i="2"/>
  <c r="H2118" i="2"/>
  <c r="F2118" i="2"/>
  <c r="F2117" i="2"/>
  <c r="F2116" i="2"/>
  <c r="F2115" i="2"/>
  <c r="F2114" i="2"/>
  <c r="F2113" i="2"/>
  <c r="F2112" i="2"/>
  <c r="F2111" i="2"/>
  <c r="F2110" i="2"/>
  <c r="F2109" i="2"/>
  <c r="H2108" i="2"/>
  <c r="F2108" i="2"/>
  <c r="F2107" i="2"/>
  <c r="F2106" i="2"/>
  <c r="F2105" i="2"/>
  <c r="F2104" i="2"/>
  <c r="F2103" i="2"/>
  <c r="F2102" i="2"/>
  <c r="F2101" i="2"/>
  <c r="F2100" i="2"/>
  <c r="F2099" i="2"/>
  <c r="H2098" i="2"/>
  <c r="F2098" i="2"/>
  <c r="F2097" i="2"/>
  <c r="F2096" i="2"/>
  <c r="F2095" i="2"/>
  <c r="H2094" i="2"/>
  <c r="F2094" i="2"/>
  <c r="F2093" i="2"/>
  <c r="F2092" i="2"/>
  <c r="F2091" i="2"/>
  <c r="F2090" i="2"/>
  <c r="F2089" i="2"/>
  <c r="F2088" i="2"/>
  <c r="F2087" i="2"/>
  <c r="H2086" i="2"/>
  <c r="F2086" i="2"/>
  <c r="F2085" i="2"/>
  <c r="F2084" i="2"/>
  <c r="F2083" i="2"/>
  <c r="F2082" i="2"/>
  <c r="F2081" i="2"/>
  <c r="F2080" i="2"/>
  <c r="H2079" i="2"/>
  <c r="F2079" i="2"/>
  <c r="F2078" i="2"/>
  <c r="F2077" i="2"/>
  <c r="H2076" i="2"/>
  <c r="F2076" i="2"/>
  <c r="F2075" i="2"/>
  <c r="F2074" i="2"/>
  <c r="F2073" i="2"/>
  <c r="F2072" i="2"/>
  <c r="F2071" i="2"/>
  <c r="F2070" i="2"/>
  <c r="F2069" i="2"/>
  <c r="F2068" i="2"/>
  <c r="F2067" i="2"/>
  <c r="H2066" i="2"/>
  <c r="F2066" i="2"/>
  <c r="F2065" i="2"/>
  <c r="F2064" i="2"/>
  <c r="F2063" i="2"/>
  <c r="F2062" i="2"/>
  <c r="F2061" i="2"/>
  <c r="F2060" i="2"/>
  <c r="F2059" i="2"/>
  <c r="F2058" i="2"/>
  <c r="F2057" i="2"/>
  <c r="H2056" i="2"/>
  <c r="F2056" i="2"/>
  <c r="F2055" i="2"/>
  <c r="F2054" i="2"/>
  <c r="F2053" i="2"/>
  <c r="H2052" i="2"/>
  <c r="F2052" i="2"/>
  <c r="F2051" i="2"/>
  <c r="F2050" i="2"/>
  <c r="F2049" i="2"/>
  <c r="F2048" i="2"/>
  <c r="F2047" i="2"/>
  <c r="H2046" i="2"/>
  <c r="F2046" i="2"/>
  <c r="F2045" i="2"/>
  <c r="F2044" i="2"/>
  <c r="F2043" i="2"/>
  <c r="F2042" i="2"/>
  <c r="F2041" i="2"/>
  <c r="H2040" i="2"/>
  <c r="F2040" i="2"/>
  <c r="F2039" i="2"/>
  <c r="F2038" i="2"/>
  <c r="F2037" i="2"/>
  <c r="H2036" i="2"/>
  <c r="F2036" i="2"/>
  <c r="F2035" i="2"/>
  <c r="F2034" i="2"/>
  <c r="F2033" i="2"/>
  <c r="F2032" i="2"/>
  <c r="F2031" i="2"/>
  <c r="F2030" i="2"/>
  <c r="F2029" i="2"/>
  <c r="F2028" i="2"/>
  <c r="F2027" i="2"/>
  <c r="H2026" i="2"/>
  <c r="F2026" i="2"/>
  <c r="F2025" i="2"/>
  <c r="F2024" i="2"/>
  <c r="F2023" i="2"/>
  <c r="F2022" i="2"/>
  <c r="F2021" i="2"/>
  <c r="F2020" i="2"/>
  <c r="F2019" i="2"/>
  <c r="F2018" i="2"/>
  <c r="F2017" i="2"/>
  <c r="H2016" i="2"/>
  <c r="F2016" i="2"/>
  <c r="F2015" i="2"/>
  <c r="F2014" i="2"/>
  <c r="F2013" i="2"/>
  <c r="H2012" i="2"/>
  <c r="F2012" i="2"/>
  <c r="F2011" i="2"/>
  <c r="F2010" i="2"/>
  <c r="F2009" i="2"/>
  <c r="F2008" i="2"/>
  <c r="F2007" i="2"/>
  <c r="F2006" i="2"/>
  <c r="F2005" i="2"/>
  <c r="H2004" i="2"/>
  <c r="F2004" i="2"/>
  <c r="F2003" i="2"/>
  <c r="F2002" i="2"/>
  <c r="F2001" i="2"/>
  <c r="F2000" i="2"/>
  <c r="F1999" i="2"/>
  <c r="F1998" i="2"/>
  <c r="F1997" i="2"/>
  <c r="H1996" i="2"/>
  <c r="F1996" i="2"/>
  <c r="F1995" i="2"/>
  <c r="H1994" i="2"/>
  <c r="F1994" i="2"/>
  <c r="F1993" i="2"/>
  <c r="F1992" i="2"/>
  <c r="F1991" i="2"/>
  <c r="F1990" i="2"/>
  <c r="F1989" i="2"/>
  <c r="F1988" i="2"/>
  <c r="H1987" i="2"/>
  <c r="F1987" i="2"/>
  <c r="F1986" i="2"/>
  <c r="F1985" i="2"/>
  <c r="F1984" i="2"/>
  <c r="F1983" i="2"/>
  <c r="F1982" i="2"/>
  <c r="F1981" i="2"/>
  <c r="H1980" i="2"/>
  <c r="F1980" i="2"/>
  <c r="F1979" i="2"/>
  <c r="H1978" i="2"/>
  <c r="F1978" i="2"/>
  <c r="F1977" i="2"/>
  <c r="F1976" i="2"/>
  <c r="F1975" i="2"/>
  <c r="F1974" i="2"/>
  <c r="F1973" i="2"/>
  <c r="F1972" i="2"/>
  <c r="F1971" i="2"/>
  <c r="F1970" i="2"/>
  <c r="F1969" i="2"/>
  <c r="H1968" i="2"/>
  <c r="F1968" i="2"/>
  <c r="F1967" i="2"/>
  <c r="F1966" i="2"/>
  <c r="F1965" i="2"/>
  <c r="F1964" i="2"/>
  <c r="F1963" i="2"/>
  <c r="F1962" i="2"/>
  <c r="F1961" i="2"/>
  <c r="F1960" i="2"/>
  <c r="F1959" i="2"/>
  <c r="H1958" i="2"/>
  <c r="F1958" i="2"/>
  <c r="F1957" i="2"/>
  <c r="F1956" i="2"/>
  <c r="F1955" i="2"/>
  <c r="H1954" i="2"/>
  <c r="F1954" i="2"/>
  <c r="F1953" i="2"/>
  <c r="F1952" i="2"/>
  <c r="F1951" i="2"/>
  <c r="F1950" i="2"/>
  <c r="F1949" i="2"/>
  <c r="F1948" i="2"/>
  <c r="F1947" i="2"/>
  <c r="F1946" i="2"/>
  <c r="F1945" i="2"/>
  <c r="H1944" i="2"/>
  <c r="F1944" i="2"/>
  <c r="F1943" i="2"/>
  <c r="F1942" i="2"/>
  <c r="F1941" i="2"/>
  <c r="F1940" i="2"/>
  <c r="F1939" i="2"/>
  <c r="F1938" i="2"/>
  <c r="F1937" i="2"/>
  <c r="F1936" i="2"/>
  <c r="F1935" i="2"/>
  <c r="H1934" i="2"/>
  <c r="F1934" i="2"/>
  <c r="F1933" i="2"/>
  <c r="F1932" i="2"/>
  <c r="H1931" i="2"/>
  <c r="F1931" i="2"/>
  <c r="F1930" i="2"/>
  <c r="F1929" i="2"/>
  <c r="F1928" i="2"/>
  <c r="F1927" i="2"/>
  <c r="F1926" i="2"/>
  <c r="F1925" i="2"/>
  <c r="F1924" i="2"/>
  <c r="F1923" i="2"/>
  <c r="F1922" i="2"/>
  <c r="H1921" i="2"/>
  <c r="F1921" i="2"/>
  <c r="F1920" i="2"/>
  <c r="F1919" i="2"/>
  <c r="F1918" i="2"/>
  <c r="F1917" i="2"/>
  <c r="F1916" i="2"/>
  <c r="F1915" i="2"/>
  <c r="F1914" i="2"/>
  <c r="F1913" i="2"/>
  <c r="F1912" i="2"/>
  <c r="H1911" i="2"/>
  <c r="F1911" i="2"/>
  <c r="F1910" i="2"/>
  <c r="F1909" i="2"/>
  <c r="F1908" i="2"/>
  <c r="H1907" i="2"/>
  <c r="F1907" i="2"/>
  <c r="F1906" i="2"/>
  <c r="F1905" i="2"/>
  <c r="F1904" i="2"/>
  <c r="F1903" i="2"/>
  <c r="F1902" i="2"/>
  <c r="F1901" i="2"/>
  <c r="F1900" i="2"/>
  <c r="H1899" i="2"/>
  <c r="F1899" i="2"/>
  <c r="F1898" i="2"/>
  <c r="F1897" i="2"/>
  <c r="F1896" i="2"/>
  <c r="F1895" i="2"/>
  <c r="F1894" i="2"/>
  <c r="F1893" i="2"/>
  <c r="F1892" i="2"/>
  <c r="H1891" i="2"/>
  <c r="F1891" i="2"/>
  <c r="F1890" i="2"/>
  <c r="F1889" i="2"/>
  <c r="H1888" i="2"/>
  <c r="F1888" i="2"/>
  <c r="F1887" i="2"/>
  <c r="F1886" i="2"/>
  <c r="F1885" i="2"/>
  <c r="F1884" i="2"/>
  <c r="F1883" i="2"/>
  <c r="F1882" i="2"/>
  <c r="H1881" i="2"/>
  <c r="F1881" i="2"/>
  <c r="F1880" i="2"/>
  <c r="F1879" i="2"/>
  <c r="F1878" i="2"/>
  <c r="F1877" i="2"/>
  <c r="F1876" i="2"/>
  <c r="F1875" i="2"/>
  <c r="H1874" i="2"/>
  <c r="F1874" i="2"/>
  <c r="F1873" i="2"/>
  <c r="F1872" i="2"/>
  <c r="F1871" i="2"/>
  <c r="F1870" i="2"/>
  <c r="F1869" i="2"/>
  <c r="F1868" i="2"/>
  <c r="H1867" i="2"/>
  <c r="F1867" i="2"/>
  <c r="F1866" i="2"/>
  <c r="F1865" i="2"/>
  <c r="F1864" i="2"/>
  <c r="F1863" i="2"/>
  <c r="F1862" i="2"/>
  <c r="F1861" i="2"/>
  <c r="F1860" i="2"/>
  <c r="F1859" i="2"/>
  <c r="F1858" i="2"/>
  <c r="H1857" i="2"/>
  <c r="F1857" i="2"/>
  <c r="F1856" i="2"/>
  <c r="F1855" i="2"/>
  <c r="F1854" i="2"/>
  <c r="F1853" i="2"/>
  <c r="F1852" i="2"/>
  <c r="F1851" i="2"/>
  <c r="F1850" i="2"/>
  <c r="H1849" i="2"/>
  <c r="F1849" i="2"/>
  <c r="F1848" i="2"/>
  <c r="F1847" i="2"/>
  <c r="H1846" i="2"/>
  <c r="F1846" i="2"/>
  <c r="F1845" i="2"/>
  <c r="F1844" i="2"/>
  <c r="F1843" i="2"/>
  <c r="F1842" i="2"/>
  <c r="F1841" i="2"/>
  <c r="F1840" i="2"/>
  <c r="F1839" i="2"/>
  <c r="F1838" i="2"/>
  <c r="H1837" i="2"/>
  <c r="F1837" i="2"/>
  <c r="F1836" i="2"/>
  <c r="F1835" i="2"/>
  <c r="F1834" i="2"/>
  <c r="F1833" i="2"/>
  <c r="F1832" i="2"/>
  <c r="F1831" i="2"/>
  <c r="F1830" i="2"/>
  <c r="F1829" i="2"/>
  <c r="H1828" i="2"/>
  <c r="F1828" i="2"/>
  <c r="F1827" i="2"/>
  <c r="F1826" i="2"/>
  <c r="F1825" i="2"/>
  <c r="H1824" i="2"/>
  <c r="F1824" i="2"/>
  <c r="F1823" i="2"/>
  <c r="F1822" i="2"/>
  <c r="F1821" i="2"/>
  <c r="F1820" i="2"/>
  <c r="F1819" i="2"/>
  <c r="F1818" i="2"/>
  <c r="F1817" i="2"/>
  <c r="F1816" i="2"/>
  <c r="F1815" i="2"/>
  <c r="H1814" i="2"/>
  <c r="F1814" i="2"/>
  <c r="F1813" i="2"/>
  <c r="F1812" i="2"/>
  <c r="F1811" i="2"/>
  <c r="F1810" i="2"/>
  <c r="F1809" i="2"/>
  <c r="F1808" i="2"/>
  <c r="F1807" i="2"/>
  <c r="F1806" i="2"/>
  <c r="F1805" i="2"/>
  <c r="H1804" i="2"/>
  <c r="F1804" i="2"/>
  <c r="F1803" i="2"/>
  <c r="F1802" i="2"/>
  <c r="F1801" i="2"/>
  <c r="F1800" i="2"/>
  <c r="F1799" i="2"/>
  <c r="F1798" i="2"/>
  <c r="H1797" i="2"/>
  <c r="F1797" i="2"/>
  <c r="F1796" i="2"/>
  <c r="F1795" i="2"/>
  <c r="F1794" i="2"/>
  <c r="F1793" i="2"/>
  <c r="F1792" i="2"/>
  <c r="F1791" i="2"/>
  <c r="H1790" i="2"/>
  <c r="F1790" i="2"/>
  <c r="F1789" i="2"/>
  <c r="F1788" i="2"/>
  <c r="F1787" i="2"/>
  <c r="F1786" i="2"/>
  <c r="F1785" i="2"/>
  <c r="F1784" i="2"/>
  <c r="F1783" i="2"/>
  <c r="F1782" i="2"/>
  <c r="F1781" i="2"/>
  <c r="H1780" i="2"/>
  <c r="F1780" i="2"/>
  <c r="F1779" i="2"/>
  <c r="F1778" i="2"/>
  <c r="F1777" i="2"/>
  <c r="F1776" i="2"/>
  <c r="F1775" i="2"/>
  <c r="F1774" i="2"/>
  <c r="F1773" i="2"/>
  <c r="H1772" i="2"/>
  <c r="F1772" i="2"/>
  <c r="F1771" i="2"/>
  <c r="F1770" i="2"/>
  <c r="F1769" i="2"/>
  <c r="F1768" i="2"/>
  <c r="F1767" i="2"/>
  <c r="F1766" i="2"/>
  <c r="F1765" i="2"/>
  <c r="F1764" i="2"/>
  <c r="F1763" i="2"/>
  <c r="H1762" i="2"/>
  <c r="F1762" i="2"/>
  <c r="F1761" i="2"/>
  <c r="F1760" i="2"/>
  <c r="F1759" i="2"/>
  <c r="F1758" i="2"/>
  <c r="F1757" i="2"/>
  <c r="F1756" i="2"/>
  <c r="F1755" i="2"/>
  <c r="F1754" i="2"/>
  <c r="F1753" i="2"/>
  <c r="H1752" i="2"/>
  <c r="F1752" i="2"/>
  <c r="F1751" i="2"/>
  <c r="F1750" i="2"/>
  <c r="F1749" i="2"/>
  <c r="F1748" i="2"/>
  <c r="F1747" i="2"/>
  <c r="H1746" i="2"/>
  <c r="F1746" i="2"/>
  <c r="F1745" i="2"/>
  <c r="F1744" i="2"/>
  <c r="F1743" i="2"/>
  <c r="F1742" i="2"/>
  <c r="F1741" i="2"/>
  <c r="F1740" i="2"/>
  <c r="F1739" i="2"/>
  <c r="F1738" i="2"/>
  <c r="F1737" i="2"/>
  <c r="F1736" i="2"/>
  <c r="H1735" i="2"/>
  <c r="F1735" i="2"/>
  <c r="F1734" i="2"/>
  <c r="F1733" i="2"/>
  <c r="F1732" i="2"/>
  <c r="F1731" i="2"/>
  <c r="F1730" i="2"/>
  <c r="H1729" i="2"/>
  <c r="F1729" i="2"/>
  <c r="F1728" i="2"/>
  <c r="F1727" i="2"/>
  <c r="F1726" i="2"/>
  <c r="F1725" i="2"/>
  <c r="F1724" i="2"/>
  <c r="F1723" i="2"/>
  <c r="H1722" i="2"/>
  <c r="F1722" i="2"/>
  <c r="F1721" i="2"/>
  <c r="F1720" i="2"/>
  <c r="F1719" i="2"/>
  <c r="F1718" i="2"/>
  <c r="F1717" i="2"/>
  <c r="F1716" i="2"/>
  <c r="F1715" i="2"/>
  <c r="F1714" i="2"/>
  <c r="F1713" i="2"/>
  <c r="H1712" i="2"/>
  <c r="F1712" i="2"/>
  <c r="F1711" i="2"/>
  <c r="F1710" i="2"/>
  <c r="F1709" i="2"/>
  <c r="F1708" i="2"/>
  <c r="F1707" i="2"/>
  <c r="F1706" i="2"/>
  <c r="F1705" i="2"/>
  <c r="F1704" i="2"/>
  <c r="F1703" i="2"/>
  <c r="F1702" i="2"/>
  <c r="H1701" i="2"/>
  <c r="F1701" i="2"/>
  <c r="F1700" i="2"/>
  <c r="F1699" i="2"/>
  <c r="F1698" i="2"/>
  <c r="F1697" i="2"/>
  <c r="F1696" i="2"/>
  <c r="F1695" i="2"/>
  <c r="F1694" i="2"/>
  <c r="H1693" i="2"/>
  <c r="F1693" i="2"/>
  <c r="F1692" i="2"/>
  <c r="F1691" i="2"/>
  <c r="F1690" i="2"/>
  <c r="F1689" i="2"/>
  <c r="F1688" i="2"/>
  <c r="F1687" i="2"/>
  <c r="H1686" i="2"/>
  <c r="F1686" i="2"/>
  <c r="F1685" i="2"/>
  <c r="F1684" i="2"/>
  <c r="F1683" i="2"/>
  <c r="F1682" i="2"/>
  <c r="H1681" i="2"/>
  <c r="F1681" i="2"/>
  <c r="F1680" i="2"/>
  <c r="F1679" i="2"/>
  <c r="F1678" i="2"/>
  <c r="F1677" i="2"/>
  <c r="F1676" i="2"/>
  <c r="F1675" i="2"/>
  <c r="F1674" i="2"/>
  <c r="H1673" i="2"/>
  <c r="F1673" i="2"/>
  <c r="F1672" i="2"/>
  <c r="F1671" i="2"/>
  <c r="F1670" i="2"/>
  <c r="F1669" i="2"/>
  <c r="F1668" i="2"/>
  <c r="F1667" i="2"/>
  <c r="H1666" i="2"/>
  <c r="F1666" i="2"/>
  <c r="F1665" i="2"/>
  <c r="F1664" i="2"/>
  <c r="F1663" i="2"/>
  <c r="H1662" i="2"/>
  <c r="F1662" i="2"/>
  <c r="F1661" i="2"/>
  <c r="F1660" i="2"/>
  <c r="F1659" i="2"/>
  <c r="F1658" i="2"/>
  <c r="H1657" i="2"/>
  <c r="F1657" i="2"/>
  <c r="F1656" i="2"/>
  <c r="F1655" i="2"/>
  <c r="F1654" i="2"/>
  <c r="H1653" i="2"/>
  <c r="F1653" i="2"/>
  <c r="F1652" i="2"/>
  <c r="F1651" i="2"/>
  <c r="F1650" i="2"/>
  <c r="F1649" i="2"/>
  <c r="F1648" i="2"/>
  <c r="H1647" i="2"/>
  <c r="F1647" i="2"/>
  <c r="F1646" i="2"/>
  <c r="F1645" i="2"/>
  <c r="F1644" i="2"/>
  <c r="F1643" i="2"/>
  <c r="F1642" i="2"/>
  <c r="F1641" i="2"/>
  <c r="F1640" i="2"/>
  <c r="F1639" i="2"/>
  <c r="H1638" i="2"/>
  <c r="F1638" i="2"/>
  <c r="F1637" i="2"/>
  <c r="F1636" i="2"/>
  <c r="F1635" i="2"/>
  <c r="H1634" i="2"/>
  <c r="F1634" i="2"/>
  <c r="F1633" i="2"/>
  <c r="F1632" i="2"/>
  <c r="F1631" i="2"/>
  <c r="F1630" i="2"/>
  <c r="F1629" i="2"/>
  <c r="H1628" i="2"/>
  <c r="F1628" i="2"/>
  <c r="F1627" i="2"/>
  <c r="F1626" i="2"/>
  <c r="F1625" i="2"/>
  <c r="F1624" i="2"/>
  <c r="F1623" i="2"/>
  <c r="F1622" i="2"/>
  <c r="F1621" i="2"/>
  <c r="H1620" i="2"/>
  <c r="F1620" i="2"/>
  <c r="F1619" i="2"/>
  <c r="F1618" i="2"/>
  <c r="F1617" i="2"/>
  <c r="F1616" i="2"/>
  <c r="F1615" i="2"/>
  <c r="H1614" i="2"/>
  <c r="F1614" i="2"/>
  <c r="F1613" i="2"/>
  <c r="F1612" i="2"/>
  <c r="F1611" i="2"/>
  <c r="F1610" i="2"/>
  <c r="F1609" i="2"/>
  <c r="H1608" i="2"/>
  <c r="F1608" i="2"/>
  <c r="F1607" i="2"/>
  <c r="F1606" i="2"/>
  <c r="F1605" i="2"/>
  <c r="F1604" i="2"/>
  <c r="F1603" i="2"/>
  <c r="F1602" i="2"/>
  <c r="F1601" i="2"/>
  <c r="F1600" i="2"/>
  <c r="F1599" i="2"/>
  <c r="H1598" i="2"/>
  <c r="F1598" i="2"/>
  <c r="F1597" i="2"/>
  <c r="F1596" i="2"/>
  <c r="F1595" i="2"/>
  <c r="F1594" i="2"/>
  <c r="F1593" i="2"/>
  <c r="F1592" i="2"/>
  <c r="H1591" i="2"/>
  <c r="F1591" i="2"/>
  <c r="F1590" i="2"/>
  <c r="F1589" i="2"/>
  <c r="F1588" i="2"/>
  <c r="F1587" i="2"/>
  <c r="H1586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H1574" i="2"/>
  <c r="F1574" i="2"/>
  <c r="F1573" i="2"/>
  <c r="F1572" i="2"/>
  <c r="F1571" i="2"/>
  <c r="F1570" i="2"/>
  <c r="F1569" i="2"/>
  <c r="F1568" i="2"/>
  <c r="H1567" i="2"/>
  <c r="F1567" i="2"/>
  <c r="F1566" i="2"/>
  <c r="F1565" i="2"/>
  <c r="F1564" i="2"/>
  <c r="F1563" i="2"/>
  <c r="F1562" i="2"/>
  <c r="F1561" i="2"/>
  <c r="F1560" i="2"/>
  <c r="F1559" i="2"/>
  <c r="H1558" i="2"/>
  <c r="F1558" i="2"/>
  <c r="F1557" i="2"/>
  <c r="F1556" i="2"/>
  <c r="F1555" i="2"/>
  <c r="F1554" i="2"/>
  <c r="F1553" i="2"/>
  <c r="F1552" i="2"/>
  <c r="F1551" i="2"/>
  <c r="H1550" i="2"/>
  <c r="F1550" i="2"/>
  <c r="F1549" i="2"/>
  <c r="F1548" i="2"/>
  <c r="F1547" i="2"/>
  <c r="F1546" i="2"/>
  <c r="F1545" i="2"/>
  <c r="F1544" i="2"/>
  <c r="H1543" i="2"/>
  <c r="F1543" i="2"/>
  <c r="F1542" i="2"/>
  <c r="F1541" i="2"/>
  <c r="F1540" i="2"/>
  <c r="H1539" i="2"/>
  <c r="F1539" i="2"/>
  <c r="F1538" i="2"/>
  <c r="F1537" i="2"/>
  <c r="F1536" i="2"/>
  <c r="H1535" i="2"/>
  <c r="F1535" i="2"/>
  <c r="F1534" i="2"/>
  <c r="F1533" i="2"/>
  <c r="H1532" i="2"/>
  <c r="F1532" i="2"/>
  <c r="F1531" i="2"/>
  <c r="F1530" i="2"/>
  <c r="F1529" i="2"/>
  <c r="H1528" i="2"/>
  <c r="F1528" i="2"/>
  <c r="F1527" i="2"/>
  <c r="F1526" i="2"/>
  <c r="F1525" i="2"/>
  <c r="F1524" i="2"/>
  <c r="H1523" i="2"/>
  <c r="F1523" i="2"/>
  <c r="F1522" i="2"/>
  <c r="F1521" i="2"/>
  <c r="F1520" i="2"/>
  <c r="H1519" i="2"/>
  <c r="F1519" i="2"/>
  <c r="F1518" i="2"/>
  <c r="F1517" i="2"/>
  <c r="F1516" i="2"/>
  <c r="F1515" i="2"/>
  <c r="F1514" i="2"/>
  <c r="F1513" i="2"/>
  <c r="H1512" i="2"/>
  <c r="F1512" i="2"/>
  <c r="F1511" i="2"/>
  <c r="F1510" i="2"/>
  <c r="F1509" i="2"/>
  <c r="F1508" i="2"/>
  <c r="F1507" i="2"/>
  <c r="F1506" i="2"/>
  <c r="F1505" i="2"/>
  <c r="F1504" i="2"/>
  <c r="H1503" i="2"/>
  <c r="F1503" i="2"/>
  <c r="F1502" i="2"/>
  <c r="F1501" i="2"/>
  <c r="F1500" i="2"/>
  <c r="F1499" i="2"/>
  <c r="F1498" i="2"/>
  <c r="F1497" i="2"/>
  <c r="F1496" i="2"/>
  <c r="H1495" i="2"/>
  <c r="F1495" i="2"/>
  <c r="F1494" i="2"/>
  <c r="F1493" i="2"/>
  <c r="F1492" i="2"/>
  <c r="F1491" i="2"/>
  <c r="F1490" i="2"/>
  <c r="H1489" i="2"/>
  <c r="F1489" i="2"/>
  <c r="F1488" i="2"/>
  <c r="F1487" i="2"/>
  <c r="F1486" i="2"/>
  <c r="F1485" i="2"/>
  <c r="F1484" i="2"/>
  <c r="F1483" i="2"/>
  <c r="F1482" i="2"/>
  <c r="F1481" i="2"/>
  <c r="F1480" i="2"/>
  <c r="F1479" i="2"/>
  <c r="H1478" i="2"/>
  <c r="F1478" i="2"/>
  <c r="F1477" i="2"/>
  <c r="F1476" i="2"/>
  <c r="F1475" i="2"/>
  <c r="F1474" i="2"/>
  <c r="F1473" i="2"/>
  <c r="H1472" i="2"/>
  <c r="F1472" i="2"/>
  <c r="F1471" i="2"/>
  <c r="F1470" i="2"/>
  <c r="F1469" i="2"/>
  <c r="F1468" i="2"/>
  <c r="F1467" i="2"/>
  <c r="H1466" i="2"/>
  <c r="F1466" i="2"/>
  <c r="F1465" i="2"/>
  <c r="F1464" i="2"/>
  <c r="F1463" i="2"/>
  <c r="F1462" i="2"/>
  <c r="F1461" i="2"/>
  <c r="F1460" i="2"/>
  <c r="F1459" i="2"/>
  <c r="F1458" i="2"/>
  <c r="H1457" i="2"/>
  <c r="F1457" i="2"/>
  <c r="F1456" i="2"/>
  <c r="F1455" i="2"/>
  <c r="F1454" i="2"/>
  <c r="F1453" i="2"/>
  <c r="F1452" i="2"/>
  <c r="H1451" i="2"/>
  <c r="F1451" i="2"/>
  <c r="F1450" i="2"/>
  <c r="F1449" i="2"/>
  <c r="F1448" i="2"/>
  <c r="F1447" i="2"/>
  <c r="F1446" i="2"/>
  <c r="H1445" i="2"/>
  <c r="F1445" i="2"/>
  <c r="F1444" i="2"/>
  <c r="F1443" i="2"/>
  <c r="F1442" i="2"/>
  <c r="F1441" i="2"/>
  <c r="F1440" i="2"/>
  <c r="F1439" i="2"/>
  <c r="F1438" i="2"/>
  <c r="F1437" i="2"/>
  <c r="H1436" i="2"/>
  <c r="F1436" i="2"/>
  <c r="F1435" i="2"/>
  <c r="F1434" i="2"/>
  <c r="F1433" i="2"/>
  <c r="F1432" i="2"/>
  <c r="F1431" i="2"/>
  <c r="H1430" i="2"/>
  <c r="F1430" i="2"/>
  <c r="F1429" i="2"/>
  <c r="F1428" i="2"/>
  <c r="F1427" i="2"/>
  <c r="F1426" i="2"/>
  <c r="F1425" i="2"/>
  <c r="F1424" i="2"/>
  <c r="F1423" i="2"/>
  <c r="H1422" i="2"/>
  <c r="F1422" i="2"/>
  <c r="F1421" i="2"/>
  <c r="F1420" i="2"/>
  <c r="F1419" i="2"/>
  <c r="F1418" i="2"/>
  <c r="F1417" i="2"/>
  <c r="F1416" i="2"/>
  <c r="F1415" i="2"/>
  <c r="F1414" i="2"/>
  <c r="F1413" i="2"/>
  <c r="H1412" i="2"/>
  <c r="F1412" i="2"/>
  <c r="F1411" i="2"/>
  <c r="F1410" i="2"/>
  <c r="F1409" i="2"/>
  <c r="F1408" i="2"/>
  <c r="F1407" i="2"/>
  <c r="H1406" i="2"/>
  <c r="F1406" i="2"/>
  <c r="F1405" i="2"/>
  <c r="F1404" i="2"/>
  <c r="H1403" i="2"/>
  <c r="F1403" i="2"/>
  <c r="F1402" i="2"/>
  <c r="F1401" i="2"/>
  <c r="H1400" i="2"/>
  <c r="F1400" i="2"/>
  <c r="F1399" i="2"/>
  <c r="H1398" i="2"/>
  <c r="F1398" i="2"/>
  <c r="F1397" i="2"/>
  <c r="F1396" i="2"/>
  <c r="F1395" i="2"/>
  <c r="F1394" i="2"/>
  <c r="H1393" i="2"/>
  <c r="F1393" i="2"/>
  <c r="F1392" i="2"/>
  <c r="F1391" i="2"/>
  <c r="F1390" i="2"/>
  <c r="F1389" i="2"/>
  <c r="F1388" i="2"/>
  <c r="F1387" i="2"/>
  <c r="F1386" i="2"/>
  <c r="F1385" i="2"/>
  <c r="F1384" i="2"/>
  <c r="H1383" i="2"/>
  <c r="F1383" i="2"/>
  <c r="F1382" i="2"/>
  <c r="F1381" i="2"/>
  <c r="F1380" i="2"/>
  <c r="F1379" i="2"/>
  <c r="F1378" i="2"/>
  <c r="F1377" i="2"/>
  <c r="F1376" i="2"/>
  <c r="H1375" i="2"/>
  <c r="F1375" i="2"/>
  <c r="F1374" i="2"/>
  <c r="F1373" i="2"/>
  <c r="F1372" i="2"/>
  <c r="F1371" i="2"/>
  <c r="F1370" i="2"/>
  <c r="H1369" i="2"/>
  <c r="F1369" i="2"/>
  <c r="F1368" i="2"/>
  <c r="F1367" i="2"/>
  <c r="F1366" i="2"/>
  <c r="F1365" i="2"/>
  <c r="F1364" i="2"/>
  <c r="F1363" i="2"/>
  <c r="F1362" i="2"/>
  <c r="H1361" i="2"/>
  <c r="F1361" i="2"/>
  <c r="F1360" i="2"/>
  <c r="F1359" i="2"/>
  <c r="F1358" i="2"/>
  <c r="F1357" i="2"/>
  <c r="F1356" i="2"/>
  <c r="H1355" i="2"/>
  <c r="F1355" i="2"/>
  <c r="F1354" i="2"/>
  <c r="F1353" i="2"/>
  <c r="F1352" i="2"/>
  <c r="F1351" i="2"/>
  <c r="F1350" i="2"/>
  <c r="H1349" i="2"/>
  <c r="F1349" i="2"/>
  <c r="F1348" i="2"/>
  <c r="F1347" i="2"/>
  <c r="F1346" i="2"/>
  <c r="F1345" i="2"/>
  <c r="F1344" i="2"/>
  <c r="F1343" i="2"/>
  <c r="F1342" i="2"/>
  <c r="F1341" i="2"/>
  <c r="H1340" i="2"/>
  <c r="F1340" i="2"/>
  <c r="F1339" i="2"/>
  <c r="F1338" i="2"/>
  <c r="F1337" i="2"/>
  <c r="F1336" i="2"/>
  <c r="F1335" i="2"/>
  <c r="H1334" i="2"/>
  <c r="F1334" i="2"/>
  <c r="F1333" i="2"/>
  <c r="F1332" i="2"/>
  <c r="F1331" i="2"/>
  <c r="F1330" i="2"/>
  <c r="H1329" i="2"/>
  <c r="F1329" i="2"/>
  <c r="F1328" i="2"/>
  <c r="F1327" i="2"/>
  <c r="F1326" i="2"/>
  <c r="F1325" i="2"/>
  <c r="F1324" i="2"/>
  <c r="H1323" i="2"/>
  <c r="F1323" i="2"/>
  <c r="F1322" i="2"/>
  <c r="F1321" i="2"/>
  <c r="F1320" i="2"/>
  <c r="F1319" i="2"/>
  <c r="F1318" i="2"/>
  <c r="H1317" i="2"/>
  <c r="F1317" i="2"/>
  <c r="F1316" i="2"/>
  <c r="F1315" i="2"/>
  <c r="F1314" i="2"/>
  <c r="F1313" i="2"/>
  <c r="H1312" i="2"/>
  <c r="F1312" i="2"/>
  <c r="F1311" i="2"/>
  <c r="F1310" i="2"/>
  <c r="F1309" i="2"/>
  <c r="F1308" i="2"/>
  <c r="F1307" i="2"/>
  <c r="F1306" i="2"/>
  <c r="F1305" i="2"/>
  <c r="H1304" i="2"/>
  <c r="F1304" i="2"/>
  <c r="F1303" i="2"/>
  <c r="F1302" i="2"/>
  <c r="F1301" i="2"/>
  <c r="F1300" i="2"/>
  <c r="F1299" i="2"/>
  <c r="F1298" i="2"/>
  <c r="H1297" i="2"/>
  <c r="F1297" i="2"/>
  <c r="F1296" i="2"/>
  <c r="F1295" i="2"/>
  <c r="F1294" i="2"/>
  <c r="F1293" i="2"/>
  <c r="F1292" i="2"/>
  <c r="F1291" i="2"/>
  <c r="H1290" i="2"/>
  <c r="F1290" i="2"/>
  <c r="F1289" i="2"/>
  <c r="F1288" i="2"/>
  <c r="F1287" i="2"/>
  <c r="F1286" i="2"/>
  <c r="F1285" i="2"/>
  <c r="F1284" i="2"/>
  <c r="F1283" i="2"/>
  <c r="F1282" i="2"/>
  <c r="H1281" i="2"/>
  <c r="F1281" i="2"/>
  <c r="F1280" i="2"/>
  <c r="F1279" i="2"/>
  <c r="F1278" i="2"/>
  <c r="F1277" i="2"/>
  <c r="F1276" i="2"/>
  <c r="F1275" i="2"/>
  <c r="F1274" i="2"/>
  <c r="H1273" i="2"/>
  <c r="F1273" i="2"/>
  <c r="F1272" i="2"/>
  <c r="F1271" i="2"/>
  <c r="F1270" i="2"/>
  <c r="F1269" i="2"/>
  <c r="F1268" i="2"/>
  <c r="F1267" i="2"/>
  <c r="F1266" i="2"/>
  <c r="H1265" i="2"/>
  <c r="F1265" i="2"/>
  <c r="F1264" i="2"/>
  <c r="F1263" i="2"/>
  <c r="F1262" i="2"/>
  <c r="F1261" i="2"/>
  <c r="F1260" i="2"/>
  <c r="F1259" i="2"/>
  <c r="F1258" i="2"/>
  <c r="F1257" i="2"/>
  <c r="F1256" i="2"/>
  <c r="H1255" i="2"/>
  <c r="F1255" i="2"/>
  <c r="F1254" i="2"/>
  <c r="F1253" i="2"/>
  <c r="F1252" i="2"/>
  <c r="F1251" i="2"/>
  <c r="H1250" i="2"/>
  <c r="F1250" i="2"/>
  <c r="F1249" i="2"/>
  <c r="F1248" i="2"/>
  <c r="F1247" i="2"/>
  <c r="F1246" i="2"/>
  <c r="H1245" i="2"/>
  <c r="F1245" i="2"/>
  <c r="F1244" i="2"/>
  <c r="F1243" i="2"/>
  <c r="F1242" i="2"/>
  <c r="F1241" i="2"/>
  <c r="F1240" i="2"/>
  <c r="F1239" i="2"/>
  <c r="H1238" i="2"/>
  <c r="F1238" i="2"/>
  <c r="F1237" i="2"/>
  <c r="F1236" i="2"/>
  <c r="F1235" i="2"/>
  <c r="F1234" i="2"/>
  <c r="F1233" i="2"/>
  <c r="F1232" i="2"/>
  <c r="H1231" i="2"/>
  <c r="F1231" i="2"/>
  <c r="F1230" i="2"/>
  <c r="F1229" i="2"/>
  <c r="F1228" i="2"/>
  <c r="F1227" i="2"/>
  <c r="H1226" i="2"/>
  <c r="F1226" i="2"/>
  <c r="F1225" i="2"/>
  <c r="F1224" i="2"/>
  <c r="F1223" i="2"/>
  <c r="F1222" i="2"/>
  <c r="F1221" i="2"/>
  <c r="H1220" i="2"/>
  <c r="F1220" i="2"/>
  <c r="F1219" i="2"/>
  <c r="F1218" i="2"/>
  <c r="F1217" i="2"/>
  <c r="F1216" i="2"/>
  <c r="F1215" i="2"/>
  <c r="F1214" i="2"/>
  <c r="H1213" i="2"/>
  <c r="F1213" i="2"/>
  <c r="F1212" i="2"/>
  <c r="F1211" i="2"/>
  <c r="F1210" i="2"/>
  <c r="F1209" i="2"/>
  <c r="F1208" i="2"/>
  <c r="F1207" i="2"/>
  <c r="H1206" i="2"/>
  <c r="F1206" i="2"/>
  <c r="F1205" i="2"/>
  <c r="F1204" i="2"/>
  <c r="F1203" i="2"/>
  <c r="F1202" i="2"/>
  <c r="F1201" i="2"/>
  <c r="F1200" i="2"/>
  <c r="F1199" i="2"/>
  <c r="F1198" i="2"/>
  <c r="F1197" i="2"/>
  <c r="H1196" i="2"/>
  <c r="F1196" i="2"/>
  <c r="F1195" i="2"/>
  <c r="F1194" i="2"/>
  <c r="F1193" i="2"/>
  <c r="F1192" i="2"/>
  <c r="F1191" i="2"/>
  <c r="F1190" i="2"/>
  <c r="F1189" i="2"/>
  <c r="F1188" i="2"/>
  <c r="F1187" i="2"/>
  <c r="H1186" i="2"/>
  <c r="F1186" i="2"/>
  <c r="F1185" i="2"/>
  <c r="F1184" i="2"/>
  <c r="F1183" i="2"/>
  <c r="F1182" i="2"/>
  <c r="F1181" i="2"/>
  <c r="H1180" i="2"/>
  <c r="F1180" i="2"/>
  <c r="F1179" i="2"/>
  <c r="F1178" i="2"/>
  <c r="F1177" i="2"/>
  <c r="F1176" i="2"/>
  <c r="F1175" i="2"/>
  <c r="F1174" i="2"/>
  <c r="F1173" i="2"/>
  <c r="F1172" i="2"/>
  <c r="H1171" i="2"/>
  <c r="F1171" i="2"/>
  <c r="F1170" i="2"/>
  <c r="F1169" i="2"/>
  <c r="F1168" i="2"/>
  <c r="F1167" i="2"/>
  <c r="H1166" i="2"/>
  <c r="F1166" i="2"/>
  <c r="F1165" i="2"/>
  <c r="F1164" i="2"/>
  <c r="F1163" i="2"/>
  <c r="F1162" i="2"/>
  <c r="H1161" i="2"/>
  <c r="F1161" i="2"/>
  <c r="F1160" i="2"/>
  <c r="F1159" i="2"/>
  <c r="F1158" i="2"/>
  <c r="F1157" i="2"/>
  <c r="F1156" i="2"/>
  <c r="F1155" i="2"/>
  <c r="F1154" i="2"/>
  <c r="F1153" i="2"/>
  <c r="F1152" i="2"/>
  <c r="H1151" i="2"/>
  <c r="F1151" i="2"/>
  <c r="F1150" i="2"/>
  <c r="F1149" i="2"/>
  <c r="F1148" i="2"/>
  <c r="F1147" i="2"/>
  <c r="F1146" i="2"/>
  <c r="F1145" i="2"/>
  <c r="H1144" i="2"/>
  <c r="F1144" i="2"/>
  <c r="F1143" i="2"/>
  <c r="F1142" i="2"/>
  <c r="F1141" i="2"/>
  <c r="F1140" i="2"/>
  <c r="F1139" i="2"/>
  <c r="H1138" i="2"/>
  <c r="F1138" i="2"/>
  <c r="F1137" i="2"/>
  <c r="F1136" i="2"/>
  <c r="F1135" i="2"/>
  <c r="F1134" i="2"/>
  <c r="F1133" i="2"/>
  <c r="F1132" i="2"/>
  <c r="F1131" i="2"/>
  <c r="F1130" i="2"/>
  <c r="H1129" i="2"/>
  <c r="F1129" i="2"/>
  <c r="F1128" i="2"/>
  <c r="F1127" i="2"/>
  <c r="F1126" i="2"/>
  <c r="F1125" i="2"/>
  <c r="H1124" i="2"/>
  <c r="F1124" i="2"/>
  <c r="F1123" i="2"/>
  <c r="F1122" i="2"/>
  <c r="F1121" i="2"/>
  <c r="F1120" i="2"/>
  <c r="F1119" i="2"/>
  <c r="H1118" i="2"/>
  <c r="F1118" i="2"/>
  <c r="F1117" i="2"/>
  <c r="F1116" i="2"/>
  <c r="F1115" i="2"/>
  <c r="F1114" i="2"/>
  <c r="F1113" i="2"/>
  <c r="F1112" i="2"/>
  <c r="F1111" i="2"/>
  <c r="F1110" i="2"/>
  <c r="H1109" i="2"/>
  <c r="F1109" i="2"/>
  <c r="F1108" i="2"/>
  <c r="F1107" i="2"/>
  <c r="F1106" i="2"/>
  <c r="F1105" i="2"/>
  <c r="F1104" i="2"/>
  <c r="H1103" i="2"/>
  <c r="F1103" i="2"/>
  <c r="F1102" i="2"/>
  <c r="F1101" i="2"/>
  <c r="F1100" i="2"/>
  <c r="F1099" i="2"/>
  <c r="F1098" i="2"/>
  <c r="H1097" i="2"/>
  <c r="F1097" i="2"/>
  <c r="F1096" i="2"/>
  <c r="F1095" i="2"/>
  <c r="F1094" i="2"/>
  <c r="F1093" i="2"/>
  <c r="F1092" i="2"/>
  <c r="F1091" i="2"/>
  <c r="F1090" i="2"/>
  <c r="F1089" i="2"/>
  <c r="F1088" i="2"/>
  <c r="H1087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H1073" i="2"/>
  <c r="F1073" i="2"/>
  <c r="F1072" i="2"/>
  <c r="F1071" i="2"/>
  <c r="F1070" i="2"/>
  <c r="F1069" i="2"/>
  <c r="F1068" i="2"/>
  <c r="F1067" i="2"/>
  <c r="F1066" i="2"/>
  <c r="F1065" i="2"/>
  <c r="F1064" i="2"/>
  <c r="H1063" i="2"/>
  <c r="F1063" i="2"/>
  <c r="F1062" i="2"/>
  <c r="F1061" i="2"/>
  <c r="F1060" i="2"/>
  <c r="F1059" i="2"/>
  <c r="F1058" i="2"/>
  <c r="F1057" i="2"/>
  <c r="F1056" i="2"/>
  <c r="F1055" i="2"/>
  <c r="H1054" i="2"/>
  <c r="F1054" i="2"/>
  <c r="F1053" i="2"/>
  <c r="F1052" i="2"/>
  <c r="F1051" i="2"/>
  <c r="F1050" i="2"/>
  <c r="F1049" i="2"/>
  <c r="H1048" i="2"/>
  <c r="F1048" i="2"/>
  <c r="F1047" i="2"/>
  <c r="F1046" i="2"/>
  <c r="F1045" i="2"/>
  <c r="F1044" i="2"/>
  <c r="F1043" i="2"/>
  <c r="F1042" i="2"/>
  <c r="F1041" i="2"/>
  <c r="F1040" i="2"/>
  <c r="H1039" i="2"/>
  <c r="F1039" i="2"/>
  <c r="F1038" i="2"/>
  <c r="F1037" i="2"/>
  <c r="F1036" i="2"/>
  <c r="F1035" i="2"/>
  <c r="F1034" i="2"/>
  <c r="H1033" i="2"/>
  <c r="F1033" i="2"/>
  <c r="F1032" i="2"/>
  <c r="F1031" i="2"/>
  <c r="F1030" i="2"/>
  <c r="F1029" i="2"/>
  <c r="H1028" i="2"/>
  <c r="F1028" i="2"/>
  <c r="F1027" i="2"/>
  <c r="F1026" i="2"/>
  <c r="F1025" i="2"/>
  <c r="F1024" i="2"/>
  <c r="F1023" i="2"/>
  <c r="F1022" i="2"/>
  <c r="F1021" i="2"/>
  <c r="H1020" i="2"/>
  <c r="F1020" i="2"/>
  <c r="F1019" i="2"/>
  <c r="F1018" i="2"/>
  <c r="F1017" i="2"/>
  <c r="F1016" i="2"/>
  <c r="F1015" i="2"/>
  <c r="H1014" i="2"/>
  <c r="F1014" i="2"/>
  <c r="F1013" i="2"/>
  <c r="F1012" i="2"/>
  <c r="F1011" i="2"/>
  <c r="F1010" i="2"/>
  <c r="F1009" i="2"/>
  <c r="H1008" i="2"/>
  <c r="F1008" i="2"/>
  <c r="F1007" i="2"/>
  <c r="F1006" i="2"/>
  <c r="F1005" i="2"/>
  <c r="F1004" i="2"/>
  <c r="F1003" i="2"/>
  <c r="F1002" i="2"/>
  <c r="F1001" i="2"/>
  <c r="F1000" i="2"/>
  <c r="F999" i="2"/>
  <c r="H998" i="2"/>
  <c r="F998" i="2"/>
  <c r="F997" i="2"/>
  <c r="F996" i="2"/>
  <c r="F995" i="2"/>
  <c r="F994" i="2"/>
  <c r="F993" i="2"/>
  <c r="F992" i="2"/>
  <c r="H991" i="2"/>
  <c r="F991" i="2"/>
  <c r="F990" i="2"/>
  <c r="F989" i="2"/>
  <c r="F988" i="2"/>
  <c r="F987" i="2"/>
  <c r="F986" i="2"/>
  <c r="H985" i="2"/>
  <c r="F985" i="2"/>
  <c r="F984" i="2"/>
  <c r="F983" i="2"/>
  <c r="F982" i="2"/>
  <c r="F981" i="2"/>
  <c r="F980" i="2"/>
  <c r="F979" i="2"/>
  <c r="F978" i="2"/>
  <c r="F977" i="2"/>
  <c r="F976" i="2"/>
  <c r="H975" i="2"/>
  <c r="F975" i="2"/>
  <c r="F974" i="2"/>
  <c r="F973" i="2"/>
  <c r="F972" i="2"/>
  <c r="F971" i="2"/>
  <c r="F970" i="2"/>
  <c r="F969" i="2"/>
  <c r="F968" i="2"/>
  <c r="F967" i="2"/>
  <c r="H966" i="2"/>
  <c r="F966" i="2"/>
  <c r="F965" i="2"/>
  <c r="F964" i="2"/>
  <c r="F963" i="2"/>
  <c r="H962" i="2"/>
  <c r="F962" i="2"/>
  <c r="F961" i="2"/>
  <c r="H960" i="2"/>
  <c r="F960" i="2"/>
  <c r="F959" i="2"/>
  <c r="F958" i="2"/>
  <c r="H957" i="2"/>
  <c r="F957" i="2"/>
  <c r="F956" i="2"/>
  <c r="F955" i="2"/>
  <c r="F954" i="2"/>
  <c r="F953" i="2"/>
  <c r="H952" i="2"/>
  <c r="F952" i="2"/>
  <c r="F951" i="2"/>
  <c r="F950" i="2"/>
  <c r="F949" i="2"/>
  <c r="F948" i="2"/>
  <c r="F947" i="2"/>
  <c r="F946" i="2"/>
  <c r="F945" i="2"/>
  <c r="H944" i="2"/>
  <c r="F944" i="2"/>
  <c r="F943" i="2"/>
  <c r="F942" i="2"/>
  <c r="F941" i="2"/>
  <c r="F940" i="2"/>
  <c r="F939" i="2"/>
  <c r="F938" i="2"/>
  <c r="H937" i="2"/>
  <c r="F937" i="2"/>
  <c r="F936" i="2"/>
  <c r="F935" i="2"/>
  <c r="F934" i="2"/>
  <c r="F933" i="2"/>
  <c r="F932" i="2"/>
  <c r="F931" i="2"/>
  <c r="H930" i="2"/>
  <c r="F930" i="2"/>
  <c r="F929" i="2"/>
  <c r="F928" i="2"/>
  <c r="F927" i="2"/>
  <c r="F926" i="2"/>
  <c r="F925" i="2"/>
  <c r="F924" i="2"/>
  <c r="F923" i="2"/>
  <c r="F922" i="2"/>
  <c r="F921" i="2"/>
  <c r="H920" i="2"/>
  <c r="F920" i="2"/>
  <c r="F919" i="2"/>
  <c r="F918" i="2"/>
  <c r="F917" i="2"/>
  <c r="F916" i="2"/>
  <c r="F915" i="2"/>
  <c r="F914" i="2"/>
  <c r="H913" i="2"/>
  <c r="F913" i="2"/>
  <c r="F912" i="2"/>
  <c r="F911" i="2"/>
  <c r="F910" i="2"/>
  <c r="F909" i="2"/>
  <c r="F908" i="2"/>
  <c r="F907" i="2"/>
  <c r="H906" i="2"/>
  <c r="F906" i="2"/>
  <c r="F905" i="2"/>
  <c r="F904" i="2"/>
  <c r="F903" i="2"/>
  <c r="F902" i="2"/>
  <c r="F901" i="2"/>
  <c r="F900" i="2"/>
  <c r="F899" i="2"/>
  <c r="F898" i="2"/>
  <c r="F897" i="2"/>
  <c r="H896" i="2"/>
  <c r="F896" i="2"/>
  <c r="F895" i="2"/>
  <c r="F894" i="2"/>
  <c r="F893" i="2"/>
  <c r="F892" i="2"/>
  <c r="F891" i="2"/>
  <c r="F890" i="2"/>
  <c r="F889" i="2"/>
  <c r="F888" i="2"/>
  <c r="F887" i="2"/>
  <c r="H886" i="2"/>
  <c r="F886" i="2"/>
  <c r="F885" i="2"/>
  <c r="F884" i="2"/>
  <c r="F883" i="2"/>
  <c r="F882" i="2"/>
  <c r="F881" i="2"/>
  <c r="F880" i="2"/>
  <c r="F879" i="2"/>
  <c r="F878" i="2"/>
  <c r="H877" i="2"/>
  <c r="F877" i="2"/>
  <c r="F876" i="2"/>
  <c r="F875" i="2"/>
  <c r="F874" i="2"/>
  <c r="F873" i="2"/>
  <c r="F872" i="2"/>
  <c r="F871" i="2"/>
  <c r="F870" i="2"/>
  <c r="H869" i="2"/>
  <c r="F869" i="2"/>
  <c r="F868" i="2"/>
  <c r="F867" i="2"/>
  <c r="F866" i="2"/>
  <c r="F865" i="2"/>
  <c r="F864" i="2"/>
  <c r="H863" i="2"/>
  <c r="F863" i="2"/>
  <c r="F862" i="2"/>
  <c r="F861" i="2"/>
  <c r="F860" i="2"/>
  <c r="F859" i="2"/>
  <c r="F858" i="2"/>
  <c r="F857" i="2"/>
  <c r="H856" i="2"/>
  <c r="F856" i="2"/>
  <c r="F855" i="2"/>
  <c r="F854" i="2"/>
  <c r="F853" i="2"/>
  <c r="F852" i="2"/>
  <c r="F851" i="2"/>
  <c r="F850" i="2"/>
  <c r="F849" i="2"/>
  <c r="F848" i="2"/>
  <c r="F847" i="2"/>
  <c r="H846" i="2"/>
  <c r="F846" i="2"/>
  <c r="F845" i="2"/>
  <c r="F844" i="2"/>
  <c r="F843" i="2"/>
  <c r="F842" i="2"/>
  <c r="F841" i="2"/>
  <c r="F840" i="2"/>
  <c r="F839" i="2"/>
  <c r="F838" i="2"/>
  <c r="F837" i="2"/>
  <c r="H836" i="2"/>
  <c r="F836" i="2"/>
  <c r="F835" i="2"/>
  <c r="F834" i="2"/>
  <c r="F833" i="2"/>
  <c r="F832" i="2"/>
  <c r="F831" i="2"/>
  <c r="F830" i="2"/>
  <c r="F829" i="2"/>
  <c r="F828" i="2"/>
  <c r="F827" i="2"/>
  <c r="F826" i="2"/>
  <c r="H825" i="2"/>
  <c r="F825" i="2"/>
  <c r="F824" i="2"/>
  <c r="F823" i="2"/>
  <c r="F822" i="2"/>
  <c r="F821" i="2"/>
  <c r="F820" i="2"/>
  <c r="F819" i="2"/>
  <c r="F818" i="2"/>
  <c r="F817" i="2"/>
  <c r="H816" i="2"/>
  <c r="F816" i="2"/>
  <c r="F815" i="2"/>
  <c r="F814" i="2"/>
  <c r="F813" i="2"/>
  <c r="F812" i="2"/>
  <c r="F811" i="2"/>
  <c r="F810" i="2"/>
  <c r="H809" i="2"/>
  <c r="F809" i="2"/>
  <c r="F808" i="2"/>
  <c r="F807" i="2"/>
  <c r="F806" i="2"/>
  <c r="F805" i="2"/>
  <c r="F804" i="2"/>
  <c r="H803" i="2"/>
  <c r="F803" i="2"/>
  <c r="F802" i="2"/>
  <c r="F801" i="2"/>
  <c r="F800" i="2"/>
  <c r="F799" i="2"/>
  <c r="H798" i="2"/>
  <c r="F798" i="2"/>
  <c r="F797" i="2"/>
  <c r="F796" i="2"/>
  <c r="F795" i="2"/>
  <c r="F794" i="2"/>
  <c r="H793" i="2"/>
  <c r="F793" i="2"/>
  <c r="F792" i="2"/>
  <c r="F791" i="2"/>
  <c r="F790" i="2"/>
  <c r="F789" i="2"/>
  <c r="H788" i="2"/>
  <c r="F788" i="2"/>
  <c r="F787" i="2"/>
  <c r="F786" i="2"/>
  <c r="F785" i="2"/>
  <c r="F784" i="2"/>
  <c r="F783" i="2"/>
  <c r="F782" i="2"/>
  <c r="H781" i="2"/>
  <c r="F781" i="2"/>
  <c r="F780" i="2"/>
  <c r="F779" i="2"/>
  <c r="F778" i="2"/>
  <c r="F777" i="2"/>
  <c r="H776" i="2"/>
  <c r="F776" i="2"/>
  <c r="F775" i="2"/>
  <c r="F774" i="2"/>
  <c r="F773" i="2"/>
  <c r="F772" i="2"/>
  <c r="F771" i="2"/>
  <c r="F770" i="2"/>
  <c r="F769" i="2"/>
  <c r="H768" i="2"/>
  <c r="F768" i="2"/>
  <c r="F767" i="2"/>
  <c r="F766" i="2"/>
  <c r="F765" i="2"/>
  <c r="F764" i="2"/>
  <c r="F763" i="2"/>
  <c r="F762" i="2"/>
  <c r="F761" i="2"/>
  <c r="F760" i="2"/>
  <c r="F759" i="2"/>
  <c r="H758" i="2"/>
  <c r="F758" i="2"/>
  <c r="F757" i="2"/>
  <c r="F756" i="2"/>
  <c r="F755" i="2"/>
  <c r="F754" i="2"/>
  <c r="F753" i="2"/>
  <c r="F752" i="2"/>
  <c r="F751" i="2"/>
  <c r="H750" i="2"/>
  <c r="F750" i="2"/>
  <c r="F749" i="2"/>
  <c r="F748" i="2"/>
  <c r="F747" i="2"/>
  <c r="F746" i="2"/>
  <c r="H745" i="2"/>
  <c r="F745" i="2"/>
  <c r="F744" i="2"/>
  <c r="F743" i="2"/>
  <c r="F742" i="2"/>
  <c r="F741" i="2"/>
  <c r="F740" i="2"/>
  <c r="F739" i="2"/>
  <c r="F738" i="2"/>
  <c r="F737" i="2"/>
  <c r="F736" i="2"/>
  <c r="F735" i="2"/>
  <c r="H734" i="2"/>
  <c r="F734" i="2"/>
  <c r="F733" i="2"/>
  <c r="F732" i="2"/>
  <c r="F731" i="2"/>
  <c r="F730" i="2"/>
  <c r="F729" i="2"/>
  <c r="F728" i="2"/>
  <c r="F727" i="2"/>
  <c r="H726" i="2"/>
  <c r="F726" i="2"/>
  <c r="F725" i="2"/>
  <c r="F724" i="2"/>
  <c r="F723" i="2"/>
  <c r="F722" i="2"/>
  <c r="F721" i="2"/>
  <c r="H720" i="2"/>
  <c r="F720" i="2"/>
  <c r="F719" i="2"/>
  <c r="F718" i="2"/>
  <c r="F717" i="2"/>
  <c r="F716" i="2"/>
  <c r="F715" i="2"/>
  <c r="F714" i="2"/>
  <c r="F713" i="2"/>
  <c r="F712" i="2"/>
  <c r="F711" i="2"/>
  <c r="H710" i="2"/>
  <c r="F710" i="2"/>
  <c r="F709" i="2"/>
  <c r="F708" i="2"/>
  <c r="F707" i="2"/>
  <c r="F706" i="2"/>
  <c r="F705" i="2"/>
  <c r="H704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697" i="1"/>
  <c r="F694" i="1"/>
  <c r="F691" i="1"/>
  <c r="F688" i="1"/>
  <c r="F685" i="1"/>
  <c r="F680" i="1"/>
  <c r="F675" i="1"/>
  <c r="F671" i="1"/>
  <c r="F668" i="1"/>
  <c r="F665" i="1"/>
  <c r="F662" i="1"/>
  <c r="F659" i="1"/>
  <c r="F656" i="1"/>
  <c r="F653" i="1"/>
  <c r="F649" i="1"/>
  <c r="F645" i="1"/>
  <c r="F641" i="1"/>
  <c r="F638" i="1"/>
  <c r="F635" i="1"/>
  <c r="F632" i="1"/>
  <c r="F628" i="1"/>
  <c r="F624" i="1"/>
  <c r="F620" i="1"/>
  <c r="F617" i="1"/>
  <c r="F614" i="1"/>
  <c r="F611" i="1"/>
  <c r="F607" i="1"/>
  <c r="F603" i="1"/>
  <c r="F599" i="1"/>
  <c r="F596" i="1"/>
  <c r="F593" i="1"/>
  <c r="F590" i="1"/>
  <c r="F587" i="1"/>
  <c r="F584" i="1"/>
  <c r="F581" i="1"/>
  <c r="F578" i="1"/>
  <c r="F576" i="1"/>
  <c r="F573" i="1"/>
  <c r="F570" i="1"/>
  <c r="F567" i="1"/>
  <c r="F564" i="1"/>
  <c r="F562" i="1"/>
  <c r="F559" i="1"/>
  <c r="F556" i="1"/>
  <c r="F553" i="1"/>
  <c r="F550" i="1"/>
  <c r="F547" i="1"/>
  <c r="F544" i="1"/>
  <c r="F541" i="1"/>
  <c r="F538" i="1"/>
  <c r="F535" i="1"/>
  <c r="F532" i="1"/>
  <c r="F529" i="1"/>
  <c r="F526" i="1"/>
  <c r="F523" i="1"/>
  <c r="F520" i="1"/>
  <c r="F517" i="1"/>
  <c r="F514" i="1"/>
  <c r="F511" i="1"/>
  <c r="F508" i="1"/>
  <c r="F505" i="1"/>
  <c r="F502" i="1"/>
  <c r="F499" i="1"/>
  <c r="F495" i="1"/>
  <c r="F491" i="1"/>
  <c r="F487" i="1"/>
  <c r="F485" i="1"/>
  <c r="F482" i="1"/>
  <c r="F479" i="1"/>
  <c r="F476" i="1"/>
  <c r="F473" i="1"/>
  <c r="F470" i="1"/>
  <c r="F467" i="1"/>
  <c r="F464" i="1"/>
  <c r="F461" i="1"/>
  <c r="F458" i="1"/>
  <c r="F455" i="1"/>
  <c r="F452" i="1"/>
  <c r="F449" i="1"/>
  <c r="F446" i="1"/>
  <c r="F443" i="1"/>
  <c r="F440" i="1"/>
  <c r="F437" i="1"/>
  <c r="F434" i="1"/>
  <c r="F431" i="1"/>
  <c r="F427" i="1"/>
  <c r="F423" i="1"/>
  <c r="F419" i="1"/>
  <c r="F416" i="1"/>
  <c r="F413" i="1"/>
  <c r="F410" i="1"/>
  <c r="F407" i="1"/>
  <c r="F404" i="1"/>
  <c r="F401" i="1"/>
  <c r="F398" i="1"/>
  <c r="F395" i="1"/>
  <c r="F392" i="1"/>
  <c r="F389" i="1"/>
  <c r="F386" i="1"/>
  <c r="F383" i="1"/>
  <c r="F380" i="1"/>
  <c r="F377" i="1"/>
  <c r="F374" i="1"/>
  <c r="F371" i="1"/>
  <c r="F368" i="1"/>
  <c r="F365" i="1"/>
  <c r="F362" i="1"/>
  <c r="F359" i="1"/>
  <c r="F356" i="1"/>
  <c r="F353" i="1"/>
  <c r="F351" i="1"/>
  <c r="F348" i="1"/>
  <c r="F345" i="1"/>
  <c r="F342" i="1"/>
  <c r="F338" i="1"/>
  <c r="F334" i="1"/>
  <c r="F330" i="1"/>
  <c r="F327" i="1"/>
  <c r="F324" i="1"/>
  <c r="F321" i="1"/>
  <c r="F318" i="1"/>
  <c r="F315" i="1"/>
  <c r="F312" i="1"/>
  <c r="F309" i="1"/>
  <c r="F306" i="1"/>
  <c r="F303" i="1"/>
  <c r="F300" i="1"/>
  <c r="F297" i="1"/>
  <c r="F294" i="1"/>
  <c r="F291" i="1"/>
  <c r="F288" i="1"/>
  <c r="F285" i="1"/>
  <c r="F282" i="1"/>
  <c r="F279" i="1"/>
  <c r="F276" i="1"/>
  <c r="F273" i="1"/>
  <c r="F270" i="1"/>
  <c r="F267" i="1"/>
  <c r="F264" i="1"/>
  <c r="F261" i="1"/>
  <c r="F258" i="1"/>
  <c r="F255" i="1"/>
  <c r="F252" i="1"/>
  <c r="F250" i="1"/>
  <c r="F247" i="1"/>
  <c r="F244" i="1"/>
  <c r="F241" i="1"/>
  <c r="F238" i="1"/>
  <c r="F236" i="1"/>
  <c r="F234" i="1"/>
  <c r="F231" i="1"/>
  <c r="F228" i="1"/>
  <c r="F225" i="1"/>
  <c r="F222" i="1"/>
  <c r="F219" i="1"/>
  <c r="F215" i="1"/>
  <c r="F211" i="1"/>
  <c r="F207" i="1"/>
  <c r="F204" i="1"/>
  <c r="F201" i="1"/>
  <c r="F198" i="1"/>
  <c r="F195" i="1"/>
  <c r="F192" i="1"/>
  <c r="F189" i="1"/>
  <c r="F186" i="1"/>
  <c r="F183" i="1"/>
  <c r="F180" i="1"/>
  <c r="F177" i="1"/>
  <c r="F174" i="1"/>
  <c r="F170" i="1"/>
  <c r="F166" i="1"/>
  <c r="F162" i="1"/>
  <c r="F159" i="1"/>
  <c r="F156" i="1"/>
  <c r="F153" i="1"/>
  <c r="F150" i="1"/>
  <c r="F147" i="1"/>
  <c r="F145" i="1"/>
  <c r="F143" i="1"/>
  <c r="F140" i="1"/>
  <c r="F137" i="1"/>
  <c r="F134" i="1"/>
  <c r="F131" i="1"/>
  <c r="F128" i="1"/>
  <c r="F125" i="1"/>
  <c r="F123" i="1"/>
  <c r="F120" i="1"/>
  <c r="F117" i="1"/>
  <c r="F114" i="1"/>
  <c r="F110" i="1"/>
  <c r="F106" i="1"/>
  <c r="F102" i="1"/>
  <c r="F99" i="1"/>
  <c r="F96" i="1"/>
  <c r="F93" i="1"/>
  <c r="F89" i="1"/>
  <c r="F85" i="1"/>
  <c r="F81" i="1"/>
  <c r="F74" i="1"/>
  <c r="F67" i="1"/>
  <c r="F60" i="1"/>
  <c r="F57" i="1"/>
  <c r="F54" i="1"/>
  <c r="F51" i="1"/>
  <c r="F48" i="1"/>
  <c r="F45" i="1"/>
  <c r="F42" i="1"/>
  <c r="F39" i="1"/>
  <c r="F36" i="1"/>
  <c r="F33" i="1"/>
  <c r="F30" i="1"/>
  <c r="F27" i="1"/>
  <c r="F24" i="1"/>
  <c r="F21" i="1"/>
  <c r="F18" i="1"/>
  <c r="F15" i="1"/>
  <c r="F12" i="1"/>
  <c r="F9" i="1"/>
  <c r="F6" i="1"/>
  <c r="E5" i="16" l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</calcChain>
</file>

<file path=xl/sharedStrings.xml><?xml version="1.0" encoding="utf-8"?>
<sst xmlns="http://schemas.openxmlformats.org/spreadsheetml/2006/main" count="64939" uniqueCount="459">
  <si>
    <t>Categorías</t>
  </si>
  <si>
    <t>Destino</t>
  </si>
  <si>
    <t>Intendente</t>
  </si>
  <si>
    <t>PJ</t>
  </si>
  <si>
    <t>Circuito</t>
  </si>
  <si>
    <t>Localidad</t>
  </si>
  <si>
    <t>Categoria</t>
  </si>
  <si>
    <t>Cantidad</t>
  </si>
  <si>
    <t xml:space="preserve">TOTAL </t>
  </si>
  <si>
    <t>TOTAL EMITIDOS S/ ACTA</t>
  </si>
  <si>
    <t>Concejales</t>
  </si>
  <si>
    <t>Alianza</t>
  </si>
  <si>
    <t>DOBLAS</t>
  </si>
  <si>
    <t>Juez de Paz</t>
  </si>
  <si>
    <t>Blanco</t>
  </si>
  <si>
    <t>Presidente Comisión de Fomento</t>
  </si>
  <si>
    <t>Humanista</t>
  </si>
  <si>
    <t>Vocales</t>
  </si>
  <si>
    <t>Acción por la República</t>
  </si>
  <si>
    <t>Movimiento Federalista Pampeano</t>
  </si>
  <si>
    <t>Frente Pueblo Unido - Socialismo Auténtico</t>
  </si>
  <si>
    <t>Unión Popular de La Adela</t>
  </si>
  <si>
    <t>Convocatoria Independiente</t>
  </si>
  <si>
    <t>Junta Vecinal de Mauricio Mayer</t>
  </si>
  <si>
    <t>Intransigente</t>
  </si>
  <si>
    <t>MACACHIN</t>
  </si>
  <si>
    <t>Alianza Victorica Electoral y Programática</t>
  </si>
  <si>
    <t>Junta Vecinal de Relmo</t>
  </si>
  <si>
    <t xml:space="preserve">Unidos por Villa Mirasol </t>
  </si>
  <si>
    <t>Unión Vecinal Villa Mirasol</t>
  </si>
  <si>
    <t>Unión Vecinal La Maruja</t>
  </si>
  <si>
    <t>Unión Vecinal de Pichi Huinca</t>
  </si>
  <si>
    <t>Junta Vecinal de A. Van Praet</t>
  </si>
  <si>
    <t>Junta Vecinal de Falucho</t>
  </si>
  <si>
    <t>Junta Vecinal Unión por Metileo</t>
  </si>
  <si>
    <t>MIGUEL RIGLOS</t>
  </si>
  <si>
    <t>ROLON</t>
  </si>
  <si>
    <t>TOMAS M DE ANCHORENA</t>
  </si>
  <si>
    <t>ANGUIL</t>
  </si>
  <si>
    <t>9 y 10</t>
  </si>
  <si>
    <t>SANTA ROSA</t>
  </si>
  <si>
    <t>LA ADELA</t>
  </si>
  <si>
    <t>CATRILO</t>
  </si>
  <si>
    <t>LONQUIMAY</t>
  </si>
  <si>
    <t>URIBURU</t>
  </si>
  <si>
    <t>CNIA. EMILIO MITRE</t>
  </si>
  <si>
    <t>SANTA ISABEL</t>
  </si>
  <si>
    <t>BERNARDO LARROUDE</t>
  </si>
  <si>
    <t>19 A</t>
  </si>
  <si>
    <t>SARAH</t>
  </si>
  <si>
    <t>CEBALLOS</t>
  </si>
  <si>
    <t>CNEL. HILARIO LAGOS</t>
  </si>
  <si>
    <t>INT. ALVEAR</t>
  </si>
  <si>
    <t>VERTIZ</t>
  </si>
  <si>
    <t>ALGARROBO DEL AGUILA</t>
  </si>
  <si>
    <t>LA HUMADA</t>
  </si>
  <si>
    <t>CONHELLO</t>
  </si>
  <si>
    <t>EDUARDO CASTEX</t>
  </si>
  <si>
    <t>MAURICIO MAYER</t>
  </si>
  <si>
    <t>MONTE NIEVAS</t>
  </si>
  <si>
    <t>RUCANELO</t>
  </si>
  <si>
    <t>WINIFREDA</t>
  </si>
  <si>
    <t>GOB DUVAL</t>
  </si>
  <si>
    <t>PUELCHES</t>
  </si>
  <si>
    <t>ALPACHIRI</t>
  </si>
  <si>
    <t>GRAL. CAMPOS</t>
  </si>
  <si>
    <t>GUATRACHE</t>
  </si>
  <si>
    <t>PERU</t>
  </si>
  <si>
    <t>CNIA. STA TERESA</t>
  </si>
  <si>
    <t>BERNASCONI</t>
  </si>
  <si>
    <t>39 A</t>
  </si>
  <si>
    <t>ABRAMO</t>
  </si>
  <si>
    <t>GRAL. SAN MARTIN</t>
  </si>
  <si>
    <t>JACINTO ARAUZ</t>
  </si>
  <si>
    <t>CARRO QUEMADO</t>
  </si>
  <si>
    <t>LOVENTUE</t>
  </si>
  <si>
    <t>LUAN TORO</t>
  </si>
  <si>
    <t>TELEN</t>
  </si>
  <si>
    <t>VICTORICA</t>
  </si>
  <si>
    <t>CUCHILLO CO</t>
  </si>
  <si>
    <t>LA REFORMA</t>
  </si>
  <si>
    <t>LIMAY MAHUIDA</t>
  </si>
  <si>
    <t>AGUSTONI</t>
  </si>
  <si>
    <t>DORILA</t>
  </si>
  <si>
    <t>GENERAL PICO</t>
  </si>
  <si>
    <t>SPELUZZI</t>
  </si>
  <si>
    <t>CNIA. 25 DE MAYO</t>
  </si>
  <si>
    <t>PUELEN</t>
  </si>
  <si>
    <t>COLONIA BARON</t>
  </si>
  <si>
    <t>MIGUEL CANE</t>
  </si>
  <si>
    <t>QUEMU QUEMU</t>
  </si>
  <si>
    <t>RELMO</t>
  </si>
  <si>
    <t>VILLA MIRASOL</t>
  </si>
  <si>
    <t>CALEUFU</t>
  </si>
  <si>
    <t>LA MARUJA</t>
  </si>
  <si>
    <t>PARERA</t>
  </si>
  <si>
    <t>PICHI HUINCA</t>
  </si>
  <si>
    <t>QUETREQUEN</t>
  </si>
  <si>
    <t>RANCUL</t>
  </si>
  <si>
    <t>ADOLFO V. PRAET</t>
  </si>
  <si>
    <t>ALTA ITALIA</t>
  </si>
  <si>
    <t>MAISONNAVE</t>
  </si>
  <si>
    <t>EMBAJADOR MARTINI</t>
  </si>
  <si>
    <t>FALUCHO</t>
  </si>
  <si>
    <t>ING. LUIGGI</t>
  </si>
  <si>
    <t>REALICO</t>
  </si>
  <si>
    <t>TOAY</t>
  </si>
  <si>
    <t>ARATA</t>
  </si>
  <si>
    <t>METILEO</t>
  </si>
  <si>
    <t>TRENEL</t>
  </si>
  <si>
    <t>ATALIVA ROCA</t>
  </si>
  <si>
    <t>CNIA. SANTA MARIA</t>
  </si>
  <si>
    <t>CHACHARRAMENDI</t>
  </si>
  <si>
    <t>GRAL ACHA</t>
  </si>
  <si>
    <t>QUEHUE</t>
  </si>
  <si>
    <t>UNANUE</t>
  </si>
  <si>
    <t>ELECCION</t>
  </si>
  <si>
    <t>CIRCUITO</t>
  </si>
  <si>
    <t>LOCALIDAD</t>
  </si>
  <si>
    <t>CATEGORIA</t>
  </si>
  <si>
    <t>DESTINO</t>
  </si>
  <si>
    <t>DESTINO 2</t>
  </si>
  <si>
    <t>VOTOS</t>
  </si>
  <si>
    <t>4 - Blanco/Nulo</t>
  </si>
  <si>
    <t>2017GRAL</t>
  </si>
  <si>
    <t>Diputado Nac.</t>
  </si>
  <si>
    <t>Cambiemos</t>
  </si>
  <si>
    <t>2 - Frepam</t>
  </si>
  <si>
    <t>Cambiemos - FREPAM</t>
  </si>
  <si>
    <t>Partido de los Trabajadores Soc.</t>
  </si>
  <si>
    <t xml:space="preserve">Compromiso ciudadano </t>
  </si>
  <si>
    <t>3 - Otros</t>
  </si>
  <si>
    <t>FREPAM</t>
  </si>
  <si>
    <t>Comunidad organizada</t>
  </si>
  <si>
    <t>Izquierda al Frente por el Soc.</t>
  </si>
  <si>
    <t xml:space="preserve">Desde el pie </t>
  </si>
  <si>
    <t>Frente justicialista pampeano</t>
  </si>
  <si>
    <t>1 - PJ</t>
  </si>
  <si>
    <t>Nulo</t>
  </si>
  <si>
    <t xml:space="preserve">Frente popular pampeano </t>
  </si>
  <si>
    <t>Frente Vecinal Alvearense</t>
  </si>
  <si>
    <t>Junta vecinal por y para Ceballos</t>
  </si>
  <si>
    <t>Junta Vecinal Quetrequén Somos Todos</t>
  </si>
  <si>
    <t>Junta Vecinal Unidos por Acha</t>
  </si>
  <si>
    <t>Movimiento Popular Veinticinqueño Juntos por 25</t>
  </si>
  <si>
    <t>Movimiento socialista de los trabajadores</t>
  </si>
  <si>
    <t>Partido popular pampeano Adolfo Van Praet</t>
  </si>
  <si>
    <t>Partido Popular Pampeano Speluzzi</t>
  </si>
  <si>
    <t>Partido socialista</t>
  </si>
  <si>
    <t>Pueblo Nuevo</t>
  </si>
  <si>
    <t>Unión por Monte Nievas</t>
  </si>
  <si>
    <t>Unión vecinal por el pueblo CNL Hilario Lagos</t>
  </si>
  <si>
    <t xml:space="preserve">Cambiemos </t>
  </si>
  <si>
    <t>LA GLORIA</t>
  </si>
  <si>
    <t>TREBOLARES</t>
  </si>
  <si>
    <t>CNIA. SAN JOSE</t>
  </si>
  <si>
    <t>CHAMAICO</t>
  </si>
  <si>
    <t>SAN JOSE</t>
  </si>
  <si>
    <t>NAICO</t>
  </si>
  <si>
    <t>OF. ENRIQUE SEGURA</t>
  </si>
  <si>
    <t>2019GRAL</t>
  </si>
  <si>
    <t>Diputados Provinciales</t>
  </si>
  <si>
    <t>Gobernador</t>
  </si>
  <si>
    <t>40 A</t>
  </si>
  <si>
    <t>41 A</t>
  </si>
  <si>
    <t>42 A</t>
  </si>
  <si>
    <t>43 A</t>
  </si>
  <si>
    <t>44 A</t>
  </si>
  <si>
    <t>45 A</t>
  </si>
  <si>
    <t>46 A</t>
  </si>
  <si>
    <t>47 A</t>
  </si>
  <si>
    <t>48 A</t>
  </si>
  <si>
    <t>49 A</t>
  </si>
  <si>
    <t>50 A</t>
  </si>
  <si>
    <t>51 A</t>
  </si>
  <si>
    <t>57 y 58</t>
  </si>
  <si>
    <t>2017 PRIMARIA</t>
  </si>
  <si>
    <t>PRIVADOS DE LIBERTAD</t>
  </si>
  <si>
    <t/>
  </si>
  <si>
    <t xml:space="preserve">DESTINO </t>
  </si>
  <si>
    <t>Votos</t>
  </si>
  <si>
    <t>%</t>
  </si>
  <si>
    <t>Total GENERAL PICO</t>
  </si>
  <si>
    <t>Total TOAY</t>
  </si>
  <si>
    <t>Total GRAL ACHA</t>
  </si>
  <si>
    <t>Total EDUARDO CASTEX</t>
  </si>
  <si>
    <t>Total CNIA. 25 DE MAYO</t>
  </si>
  <si>
    <t>Total INT. ALVEAR</t>
  </si>
  <si>
    <t>Total REALICO</t>
  </si>
  <si>
    <t>Total VICTORICA</t>
  </si>
  <si>
    <t>Total MACACHIN</t>
  </si>
  <si>
    <t>Total ING. LUIGGI</t>
  </si>
  <si>
    <t>Total CATRILO</t>
  </si>
  <si>
    <t>Total GUATRACHE</t>
  </si>
  <si>
    <t>Total QUEMU QUEMU</t>
  </si>
  <si>
    <t>Total TRENEL</t>
  </si>
  <si>
    <t>Total RANCUL</t>
  </si>
  <si>
    <t>Total GRAL. SAN MARTIN</t>
  </si>
  <si>
    <t>Total WINIFREDA</t>
  </si>
  <si>
    <t>Total COLONIA BARON</t>
  </si>
  <si>
    <t>Total SANTA ISABEL</t>
  </si>
  <si>
    <t>Total JACINTO ARAUZ</t>
  </si>
  <si>
    <t>Total MIGUEL RIGLOS</t>
  </si>
  <si>
    <t>Total PARERA</t>
  </si>
  <si>
    <t>Total ALPACHIRI</t>
  </si>
  <si>
    <t>Total CALEUFU</t>
  </si>
  <si>
    <t>Total LA ADELA</t>
  </si>
  <si>
    <t>Total ANGUIL</t>
  </si>
  <si>
    <t>Total LONQUIMAY</t>
  </si>
  <si>
    <t>Total BERNASCONI</t>
  </si>
  <si>
    <t>Total BERNARDO LARROUDE</t>
  </si>
  <si>
    <t>Total DOBLAS</t>
  </si>
  <si>
    <t>Total ALTA ITALIA</t>
  </si>
  <si>
    <t>Total TELEN</t>
  </si>
  <si>
    <t>Total EMBAJADOR MARTINI</t>
  </si>
  <si>
    <t>Total LA MARUJA</t>
  </si>
  <si>
    <t>Total GRAL. CAMPOS</t>
  </si>
  <si>
    <t>Total ARATA</t>
  </si>
  <si>
    <t>Total URIBURU</t>
  </si>
  <si>
    <t>Total LA HUMADA</t>
  </si>
  <si>
    <t>Total ATALIVA ROCA</t>
  </si>
  <si>
    <t>Total MIGUEL CANE</t>
  </si>
  <si>
    <t>Total ROLON</t>
  </si>
  <si>
    <t>Total VERTIZ</t>
  </si>
  <si>
    <t>Total LUAN TORO</t>
  </si>
  <si>
    <t>Total CNEL. HILARIO LAGOS</t>
  </si>
  <si>
    <t>Total VILLA MIRASOL</t>
  </si>
  <si>
    <t>Total PUELEN</t>
  </si>
  <si>
    <t>Total DORILA</t>
  </si>
  <si>
    <t>Total MONTE NIEVAS</t>
  </si>
  <si>
    <t>Total METILEO</t>
  </si>
  <si>
    <t>Total QUEHUE</t>
  </si>
  <si>
    <t>Total CONHELLO</t>
  </si>
  <si>
    <t>Total ABRAMO</t>
  </si>
  <si>
    <t>Total PUELCHES</t>
  </si>
  <si>
    <t>Total CNIA. STA TERESA</t>
  </si>
  <si>
    <t>Total ALGARROBO DEL AGUILA</t>
  </si>
  <si>
    <t>Total TOMAS M DE ANCHORENA</t>
  </si>
  <si>
    <t>Total MAURICIO MAYER</t>
  </si>
  <si>
    <t>Total SPELUZZI</t>
  </si>
  <si>
    <t>Total CARRO QUEMADO</t>
  </si>
  <si>
    <t>Total CEBALLOS</t>
  </si>
  <si>
    <t>Total GOB DUVAL</t>
  </si>
  <si>
    <t>Total QUETREQUEN</t>
  </si>
  <si>
    <t>Total CNIA. SANTA MARIA</t>
  </si>
  <si>
    <t>Total AGUSTONI</t>
  </si>
  <si>
    <t>Total ADOLFO V. PRAET</t>
  </si>
  <si>
    <t>Total MAISONNAVE</t>
  </si>
  <si>
    <t>Total PICHI HUINCA</t>
  </si>
  <si>
    <t>Total CHACHARRAMENDI</t>
  </si>
  <si>
    <t>Total LA REFORMA</t>
  </si>
  <si>
    <t>Total RUCANELO</t>
  </si>
  <si>
    <t>Total CUCHILLO CO</t>
  </si>
  <si>
    <t>Total FALUCHO</t>
  </si>
  <si>
    <t>Total SARAH</t>
  </si>
  <si>
    <t>Total LIMAY MAHUIDA</t>
  </si>
  <si>
    <t>Total RELMO</t>
  </si>
  <si>
    <t>Total UNANUE</t>
  </si>
  <si>
    <t>Total LOVENTUE</t>
  </si>
  <si>
    <t>Total PERU</t>
  </si>
  <si>
    <t>Total LA GLORIA</t>
  </si>
  <si>
    <t>Total TREBOLARES</t>
  </si>
  <si>
    <t>Total PRIVADOS DE LIBERTAD</t>
  </si>
  <si>
    <t>Total CNIA. SAN JOSE</t>
  </si>
  <si>
    <t>Total CNIA. EMILIO MITRE</t>
  </si>
  <si>
    <t>Total CHAMAICO</t>
  </si>
  <si>
    <t>Total NAICO</t>
  </si>
  <si>
    <t>Total OF. ENRIQUE SEGURA</t>
  </si>
  <si>
    <t>Total SAN JOSE</t>
  </si>
  <si>
    <t>Total general</t>
  </si>
  <si>
    <t>TOTAL</t>
  </si>
  <si>
    <t>PADRON</t>
  </si>
  <si>
    <t>Presidente</t>
  </si>
  <si>
    <t>Senador Nac.</t>
  </si>
  <si>
    <t>Socialismo Auténtico</t>
  </si>
  <si>
    <t>Patria Grande</t>
  </si>
  <si>
    <t>Alianza Unión por Santa Isabel</t>
  </si>
  <si>
    <t>Unidos por Villa Mirasol</t>
  </si>
  <si>
    <t>Junta Vecinal por Arauz</t>
  </si>
  <si>
    <t>Frente Alternativa Pampeana</t>
  </si>
  <si>
    <t>Frente Popular Anguil</t>
  </si>
  <si>
    <t>Unidad 25</t>
  </si>
  <si>
    <t>Alianza Frente Mapa</t>
  </si>
  <si>
    <t>Alianza FPV</t>
  </si>
  <si>
    <t>Alianza Movimiento de Unidad Popular</t>
  </si>
  <si>
    <t>Frente de Integración Pampeana</t>
  </si>
  <si>
    <t>Popular de la Reconstrucción</t>
  </si>
  <si>
    <t>Junta Vecinal por Catriló</t>
  </si>
  <si>
    <t>Junta Vecinal Cambio y Progreso por Lonquimay</t>
  </si>
  <si>
    <t>Afirmación para una República Igualitaria</t>
  </si>
  <si>
    <t>Movimiento de Integración y Desarrollo</t>
  </si>
  <si>
    <t>Unión por el Trabajo y el Progreso de Santa Isabel</t>
  </si>
  <si>
    <t>Frente para el Cambio de Larroude</t>
  </si>
  <si>
    <t>Frente Todos por Ceballos</t>
  </si>
  <si>
    <t>Frente Unión por Algarrobo del Aguila</t>
  </si>
  <si>
    <t>Frente Unión por La Humada</t>
  </si>
  <si>
    <t>Frente Integrador por E. Castex</t>
  </si>
  <si>
    <t>Juntos por Bernasconi</t>
  </si>
  <si>
    <t>Todos por San Martín</t>
  </si>
  <si>
    <t>Socialista Popular</t>
  </si>
  <si>
    <t>Frente Vecinal Todos por Pico</t>
  </si>
  <si>
    <t>Cívico Pampeano</t>
  </si>
  <si>
    <t>Unión por 25 de Mayo</t>
  </si>
  <si>
    <t>Junta Vecinal Unidos por Puelén</t>
  </si>
  <si>
    <t>Junta Vecinal Quemuense</t>
  </si>
  <si>
    <t>Frente Pampeano para la Victoria</t>
  </si>
  <si>
    <t>Frente Vecinal Realicó</t>
  </si>
  <si>
    <t>Alianza Esperanza por Toay</t>
  </si>
  <si>
    <t>Frente Vecinal por Trenel</t>
  </si>
  <si>
    <t>Junta Vecinal A. Roca</t>
  </si>
  <si>
    <t>Junta Vecinal por Cnia. S. María</t>
  </si>
  <si>
    <t>Frente Unión por Chacharramendi</t>
  </si>
  <si>
    <t>Movimiento Vecinal Achense</t>
  </si>
  <si>
    <t>Unión Vecinal Achense</t>
  </si>
  <si>
    <t>Punto de Unión Doblense</t>
  </si>
  <si>
    <t>GEN</t>
  </si>
  <si>
    <t>Alianza Compromiso Federal</t>
  </si>
  <si>
    <t>Frente Propuesta Federal</t>
  </si>
  <si>
    <t xml:space="preserve">Alianza Esperanza por Toay </t>
  </si>
  <si>
    <t>57 Y 58</t>
  </si>
  <si>
    <t>Id</t>
  </si>
  <si>
    <t>EleccionId</t>
  </si>
  <si>
    <t>LocalidadId</t>
  </si>
  <si>
    <t>NroElectores</t>
  </si>
  <si>
    <t>TotalPadron</t>
  </si>
  <si>
    <t>PRES2013</t>
  </si>
  <si>
    <t>00GRAL1999</t>
  </si>
  <si>
    <t>01GRAL2003</t>
  </si>
  <si>
    <t>PRES1999</t>
  </si>
  <si>
    <t>PRES2003</t>
  </si>
  <si>
    <t>PRES2011</t>
  </si>
  <si>
    <t>PRES2015</t>
  </si>
  <si>
    <t>PRIM2017</t>
  </si>
  <si>
    <t>MAL</t>
  </si>
  <si>
    <t>-</t>
  </si>
  <si>
    <t>RESIDENTES EN EL EXTERIOR</t>
  </si>
  <si>
    <t>COMANDO ELECTORAL</t>
  </si>
  <si>
    <t>ARGENTINOS EN EL EXTERIOR</t>
  </si>
  <si>
    <t>Frente para la comunidad organizada</t>
  </si>
  <si>
    <t>Alianza Nuevo Encuentro</t>
  </si>
  <si>
    <t>Partido Popular Nuevo Tiempo</t>
  </si>
  <si>
    <t>Junta Vecinal Acción Piquense</t>
  </si>
  <si>
    <t>Junta Vecinal de C. Barón</t>
  </si>
  <si>
    <t>Junta Vecinal Unanue</t>
  </si>
  <si>
    <t>Movimiento Popular Veinticinqueño Juntos por 26</t>
  </si>
  <si>
    <t>Movimiento Popular Veinticinqueño Juntos por 27</t>
  </si>
  <si>
    <t>Coalición Cívica ARI</t>
  </si>
  <si>
    <t xml:space="preserve">Presidente </t>
  </si>
  <si>
    <t>MESAS ESPECIALES</t>
  </si>
  <si>
    <t>Categoría</t>
  </si>
  <si>
    <t>Total</t>
  </si>
  <si>
    <t xml:space="preserve">Frente Popular </t>
  </si>
  <si>
    <t>Frente Amplio Progresista</t>
  </si>
  <si>
    <t>Frente de Izquierda y de los Trabajadores</t>
  </si>
  <si>
    <t>Unión para el Desarrollo Social</t>
  </si>
  <si>
    <t>Coalición</t>
  </si>
  <si>
    <t>10 y 10</t>
  </si>
  <si>
    <t>20 A</t>
  </si>
  <si>
    <t>58 y 58</t>
  </si>
  <si>
    <t xml:space="preserve">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</si>
  <si>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</si>
  <si>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59 y 58</t>
  </si>
  <si>
    <t>60 y 58</t>
  </si>
  <si>
    <t>61 y 58</t>
  </si>
  <si>
    <t>Elección 2015 Categoría LEGISLATIVOS NACIONALES</t>
  </si>
  <si>
    <t>SUM of Cantidad</t>
  </si>
  <si>
    <t>Movimiento al Socialismo</t>
  </si>
  <si>
    <t>Movimiento de Acción Vecinal</t>
  </si>
  <si>
    <t>Partido Popular</t>
  </si>
  <si>
    <t>Nueva Izquierda</t>
  </si>
  <si>
    <t>Frente Popular</t>
  </si>
  <si>
    <t>Unidos por una Nueva Alternativa</t>
  </si>
  <si>
    <t>Semana 1</t>
  </si>
  <si>
    <t>Lunes</t>
  </si>
  <si>
    <t>martes</t>
  </si>
  <si>
    <t>miércoles</t>
  </si>
  <si>
    <t>jueves</t>
  </si>
  <si>
    <t>viernes</t>
  </si>
  <si>
    <t>sábado</t>
  </si>
  <si>
    <t>NOMBRE</t>
  </si>
  <si>
    <t>POBLACION</t>
  </si>
  <si>
    <t>Fr</t>
  </si>
  <si>
    <t>FrA</t>
  </si>
  <si>
    <t>ID</t>
  </si>
  <si>
    <t>GRUPO</t>
  </si>
  <si>
    <t>A</t>
  </si>
  <si>
    <t>B</t>
  </si>
  <si>
    <t>V. CASA DE PIEDRA</t>
  </si>
  <si>
    <t>OJEDA</t>
  </si>
  <si>
    <t>ING. FOSTER</t>
  </si>
  <si>
    <t>CACHIRULO</t>
  </si>
  <si>
    <t>CNIA. EL SAUZAL</t>
  </si>
  <si>
    <t>CNIA. LA PASTORIL</t>
  </si>
  <si>
    <t>COLONIA CHICA</t>
  </si>
  <si>
    <t>PADRE BUODO</t>
  </si>
  <si>
    <t>Semana 2</t>
  </si>
  <si>
    <t>Semana 3</t>
  </si>
  <si>
    <t>Semana 4</t>
  </si>
  <si>
    <t>Semana 5</t>
  </si>
  <si>
    <t>lunes</t>
  </si>
  <si>
    <t>domingo</t>
  </si>
  <si>
    <t>Presencia</t>
  </si>
  <si>
    <t>Día Entero</t>
  </si>
  <si>
    <t>Rural</t>
  </si>
  <si>
    <t>Descentralización</t>
  </si>
  <si>
    <t>Acto en Santa Rosa</t>
  </si>
  <si>
    <t>Dia Entero</t>
  </si>
  <si>
    <t>VEDA</t>
  </si>
  <si>
    <t>Acto</t>
  </si>
  <si>
    <t>Acto Tarde</t>
  </si>
  <si>
    <t>Actividad Tarde</t>
  </si>
  <si>
    <t>Rural Mañana</t>
  </si>
  <si>
    <t>Feria Alvear Tarde</t>
  </si>
  <si>
    <t>Acto - Tarde</t>
  </si>
  <si>
    <t>Lanzamiento Campaña</t>
  </si>
  <si>
    <t>Actividad - Tarde</t>
  </si>
  <si>
    <t>Mañana Actividad</t>
  </si>
  <si>
    <t>Actividad Mañana</t>
  </si>
  <si>
    <t>Acto Almuerzo</t>
  </si>
  <si>
    <t>Mañana</t>
  </si>
  <si>
    <t>Mediodia Almuerzo</t>
  </si>
  <si>
    <t>C</t>
  </si>
  <si>
    <t>Mediodia</t>
  </si>
  <si>
    <t>Mañana Ataliva</t>
  </si>
  <si>
    <t>Mediodía</t>
  </si>
  <si>
    <t>17hs</t>
  </si>
  <si>
    <t>Fecha</t>
  </si>
  <si>
    <t>Hora</t>
  </si>
  <si>
    <t>Actividad</t>
  </si>
  <si>
    <t>Lanzamiento de Campaña</t>
  </si>
  <si>
    <t>General 2017</t>
  </si>
  <si>
    <t>LOCALIDAD: SANTA ROSA</t>
  </si>
  <si>
    <t>AGRUPACION:</t>
  </si>
  <si>
    <t>VOTOS SEN</t>
  </si>
  <si>
    <t>% SEN</t>
  </si>
  <si>
    <t>VOTOS DIP</t>
  </si>
  <si>
    <t>% DIP</t>
  </si>
  <si>
    <t>JUNTOS POR EL CAMBIO</t>
  </si>
  <si>
    <t>FRENTE DE TODOS</t>
  </si>
  <si>
    <t>OTROS</t>
  </si>
  <si>
    <t>LOCALIDAD: GENERAL PICO</t>
  </si>
  <si>
    <t>%SEN</t>
  </si>
  <si>
    <t>%DIP</t>
  </si>
  <si>
    <t>JUNTOS POR EL CAMBIO:</t>
  </si>
  <si>
    <t>FRENTE DE TODOS:</t>
  </si>
  <si>
    <t>OTROS:</t>
  </si>
  <si>
    <t>11 ,60%</t>
  </si>
  <si>
    <t>LOCALIDAD: GENERAL ACHA</t>
  </si>
  <si>
    <t>LOCALIDAD: TOAY</t>
  </si>
  <si>
    <t>11 ,80%</t>
  </si>
  <si>
    <t>LOCALIDAD: EDUARDO CASTEX</t>
  </si>
  <si>
    <t>PASO 2021</t>
  </si>
  <si>
    <t>Padrón</t>
  </si>
  <si>
    <t>Total de votos 2021</t>
  </si>
  <si>
    <t>Total votos 2019</t>
  </si>
  <si>
    <t>Total de votos pj</t>
  </si>
  <si>
    <t>Total de votos Paso2017</t>
  </si>
  <si>
    <t>Total de votos general 2017</t>
  </si>
  <si>
    <t>Paso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</si>
</sst>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"/>
    <numFmt numFmtId="165" formatCode="_-* #,##0_-;\-* #,##0_-;_-* &quot;-&quot;??_-;_-@_-"/>
    <numFmt numFmtId="167" formatCode="#,##0.000"/>
  </numFmts>
  <fonts count="21" x14ac:knownFonts="1">
    <font>
      <sz val="10"/>
      <color rgb="FF000000"/>
      <name val="Arial"/>
    </font>
    <font>
      <sz val="10"/>
      <name val="Arial"/>
    </font>
    <font>
      <sz val="8"/>
      <name val="Arial"/>
    </font>
    <font>
      <b/>
      <sz val="8"/>
      <name val="Arial"/>
    </font>
    <font>
      <sz val="8"/>
      <color rgb="FF000000"/>
      <name val="Arial"/>
    </font>
    <font>
      <b/>
      <sz val="10"/>
      <name val="Arial"/>
    </font>
    <font>
      <b/>
      <sz val="11"/>
      <name val="Arial"/>
    </font>
    <font>
      <b/>
      <sz val="24"/>
      <name val="Arial"/>
    </font>
    <font>
      <b/>
      <sz val="14"/>
      <name val="Arial"/>
    </font>
    <font>
      <b/>
      <sz val="36"/>
      <name val="Arial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8"/>
      <color rgb="FF000000"/>
      <name val="Arial"/>
      <family val="2"/>
    </font>
    <font>
      <b/>
      <sz val="1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2" borderId="0" xfId="0" applyFont="1" applyFill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10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0" xfId="0" applyFont="1" applyFill="1" applyAlignment="1">
      <alignment horizontal="center" vertical="center"/>
    </xf>
    <xf numFmtId="10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/>
    <xf numFmtId="10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" fillId="0" borderId="7" xfId="0" applyFont="1" applyBorder="1" applyAlignment="1"/>
    <xf numFmtId="0" fontId="1" fillId="0" borderId="1" xfId="0" applyFont="1" applyBorder="1" applyAlignment="1"/>
    <xf numFmtId="0" fontId="8" fillId="0" borderId="4" xfId="0" applyFont="1" applyBorder="1" applyAlignment="1">
      <alignment horizontal="center"/>
    </xf>
    <xf numFmtId="0" fontId="1" fillId="0" borderId="8" xfId="0" applyFont="1" applyBorder="1" applyAlignment="1"/>
    <xf numFmtId="0" fontId="1" fillId="0" borderId="9" xfId="0" applyFont="1" applyBorder="1" applyAlignment="1"/>
    <xf numFmtId="0" fontId="9" fillId="0" borderId="6" xfId="0" applyFont="1" applyBorder="1" applyAlignment="1">
      <alignment horizontal="center" vertical="top"/>
    </xf>
    <xf numFmtId="0" fontId="1" fillId="0" borderId="10" xfId="0" applyFont="1" applyBorder="1" applyAlignment="1"/>
    <xf numFmtId="0" fontId="1" fillId="0" borderId="11" xfId="0" applyFont="1" applyBorder="1" applyAlignment="1"/>
    <xf numFmtId="0" fontId="0" fillId="0" borderId="28" xfId="0" applyFont="1" applyBorder="1" applyAlignment="1"/>
    <xf numFmtId="3" fontId="0" fillId="0" borderId="0" xfId="0" applyNumberFormat="1" applyFont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165" fontId="11" fillId="0" borderId="16" xfId="0" pivotButton="1" applyNumberFormat="1" applyFont="1" applyBorder="1" applyAlignment="1">
      <alignment horizontal="center" vertical="center"/>
    </xf>
    <xf numFmtId="0" fontId="11" fillId="0" borderId="17" xfId="0" pivotButton="1" applyFont="1" applyBorder="1" applyAlignment="1">
      <alignment horizontal="center" vertical="center"/>
    </xf>
    <xf numFmtId="165" fontId="11" fillId="0" borderId="17" xfId="0" pivotButton="1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/>
    <xf numFmtId="0" fontId="11" fillId="0" borderId="15" xfId="0" applyFont="1" applyBorder="1" applyAlignment="1"/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6" xfId="0" pivotButton="1" applyFont="1" applyBorder="1" applyAlignment="1"/>
    <xf numFmtId="0" fontId="11" fillId="0" borderId="20" xfId="0" applyFont="1" applyBorder="1" applyAlignment="1">
      <alignment horizontal="center" vertical="center"/>
    </xf>
    <xf numFmtId="10" fontId="11" fillId="0" borderId="20" xfId="0" applyNumberFormat="1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0" fontId="11" fillId="0" borderId="22" xfId="0" applyFont="1" applyBorder="1" applyAlignment="1"/>
    <xf numFmtId="165" fontId="11" fillId="0" borderId="22" xfId="0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/>
    <xf numFmtId="0" fontId="11" fillId="0" borderId="25" xfId="0" applyFont="1" applyBorder="1" applyAlignment="1"/>
    <xf numFmtId="165" fontId="11" fillId="0" borderId="24" xfId="0" applyNumberFormat="1" applyFont="1" applyBorder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11" fillId="0" borderId="27" xfId="0" applyNumberFormat="1" applyFont="1" applyBorder="1" applyAlignment="1">
      <alignment horizontal="center" vertical="center"/>
    </xf>
    <xf numFmtId="0" fontId="11" fillId="0" borderId="16" xfId="0" applyNumberFormat="1" applyFont="1" applyBorder="1" applyAlignment="1">
      <alignment horizontal="center" vertical="center"/>
    </xf>
    <xf numFmtId="0" fontId="11" fillId="0" borderId="22" xfId="0" applyNumberFormat="1" applyFont="1" applyBorder="1" applyAlignment="1">
      <alignment horizontal="center" vertical="center"/>
    </xf>
    <xf numFmtId="0" fontId="11" fillId="0" borderId="24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1" xfId="0" applyFont="1" applyBorder="1" applyAlignment="1"/>
    <xf numFmtId="0" fontId="11" fillId="0" borderId="28" xfId="0" applyFont="1" applyBorder="1" applyAlignment="1"/>
    <xf numFmtId="0" fontId="11" fillId="0" borderId="0" xfId="0" applyFont="1" applyAlignment="1"/>
    <xf numFmtId="0" fontId="11" fillId="0" borderId="0" xfId="0" applyFont="1"/>
    <xf numFmtId="0" fontId="13" fillId="5" borderId="28" xfId="0" applyFont="1" applyFill="1" applyBorder="1"/>
    <xf numFmtId="0" fontId="12" fillId="0" borderId="28" xfId="0" applyFont="1" applyBorder="1"/>
    <xf numFmtId="3" fontId="11" fillId="0" borderId="28" xfId="0" applyNumberFormat="1" applyFont="1" applyBorder="1"/>
    <xf numFmtId="10" fontId="11" fillId="0" borderId="28" xfId="0" applyNumberFormat="1" applyFont="1" applyBorder="1"/>
    <xf numFmtId="0" fontId="11" fillId="0" borderId="28" xfId="0" applyFont="1" applyBorder="1"/>
    <xf numFmtId="3" fontId="12" fillId="0" borderId="28" xfId="0" applyNumberFormat="1" applyFont="1" applyBorder="1"/>
    <xf numFmtId="0" fontId="12" fillId="6" borderId="0" xfId="0" applyFont="1" applyFill="1"/>
    <xf numFmtId="9" fontId="11" fillId="0" borderId="28" xfId="0" applyNumberFormat="1" applyFont="1" applyBorder="1"/>
    <xf numFmtId="3" fontId="14" fillId="0" borderId="28" xfId="0" applyNumberFormat="1" applyFont="1" applyBorder="1"/>
    <xf numFmtId="0" fontId="14" fillId="0" borderId="28" xfId="0" applyFont="1" applyBorder="1"/>
    <xf numFmtId="0" fontId="14" fillId="5" borderId="28" xfId="0" applyFont="1" applyFill="1" applyBorder="1"/>
    <xf numFmtId="3" fontId="14" fillId="5" borderId="28" xfId="0" applyNumberFormat="1" applyFont="1" applyFill="1" applyBorder="1"/>
    <xf numFmtId="0" fontId="11" fillId="5" borderId="28" xfId="0" applyFont="1" applyFill="1" applyBorder="1"/>
    <xf numFmtId="0" fontId="12" fillId="7" borderId="0" xfId="0" applyFont="1" applyFill="1"/>
    <xf numFmtId="0" fontId="11" fillId="7" borderId="0" xfId="0" applyFont="1" applyFill="1"/>
    <xf numFmtId="0" fontId="15" fillId="4" borderId="29" xfId="0" applyFont="1" applyFill="1" applyBorder="1" applyAlignment="1">
      <alignment horizontal="center"/>
    </xf>
    <xf numFmtId="0" fontId="15" fillId="4" borderId="28" xfId="0" applyFont="1" applyFill="1" applyBorder="1" applyAlignment="1">
      <alignment horizontal="center"/>
    </xf>
    <xf numFmtId="0" fontId="10" fillId="0" borderId="28" xfId="0" applyFont="1" applyBorder="1" applyAlignment="1"/>
    <xf numFmtId="3" fontId="0" fillId="0" borderId="28" xfId="0" applyNumberFormat="1" applyFont="1" applyBorder="1" applyAlignment="1"/>
    <xf numFmtId="167" fontId="0" fillId="0" borderId="0" xfId="0" applyNumberFormat="1" applyFont="1" applyAlignment="1"/>
    <xf numFmtId="0" fontId="15" fillId="0" borderId="28" xfId="0" applyFont="1" applyBorder="1" applyAlignment="1"/>
    <xf numFmtId="0" fontId="11" fillId="0" borderId="28" xfId="0" applyFont="1" applyBorder="1" applyAlignment="1">
      <alignment horizontal="center" wrapText="1"/>
    </xf>
    <xf numFmtId="0" fontId="16" fillId="2" borderId="28" xfId="0" applyFont="1" applyFill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7" fillId="0" borderId="28" xfId="0" applyFont="1" applyBorder="1" applyAlignment="1">
      <alignment horizontal="right"/>
    </xf>
    <xf numFmtId="0" fontId="16" fillId="3" borderId="28" xfId="0" applyFont="1" applyFill="1" applyBorder="1" applyAlignment="1">
      <alignment horizontal="center"/>
    </xf>
    <xf numFmtId="0" fontId="16" fillId="2" borderId="28" xfId="0" applyFont="1" applyFill="1" applyBorder="1" applyAlignment="1"/>
    <xf numFmtId="0" fontId="16" fillId="0" borderId="28" xfId="0" applyFont="1" applyBorder="1" applyAlignment="1"/>
    <xf numFmtId="0" fontId="17" fillId="0" borderId="28" xfId="0" applyFont="1" applyBorder="1" applyAlignment="1"/>
    <xf numFmtId="0" fontId="16" fillId="3" borderId="28" xfId="0" applyFont="1" applyFill="1" applyBorder="1" applyAlignment="1">
      <alignment horizontal="center" vertical="center"/>
    </xf>
    <xf numFmtId="0" fontId="17" fillId="0" borderId="28" xfId="0" applyFont="1" applyBorder="1" applyAlignment="1"/>
    <xf numFmtId="0" fontId="17" fillId="0" borderId="0" xfId="0" applyFont="1" applyAlignment="1"/>
    <xf numFmtId="0" fontId="14" fillId="0" borderId="0" xfId="0" applyFont="1" applyFill="1" applyBorder="1"/>
    <xf numFmtId="3" fontId="14" fillId="0" borderId="0" xfId="0" applyNumberFormat="1" applyFont="1" applyFill="1" applyBorder="1"/>
    <xf numFmtId="0" fontId="11" fillId="0" borderId="0" xfId="0" applyFont="1" applyFill="1" applyBorder="1"/>
    <xf numFmtId="0" fontId="11" fillId="0" borderId="28" xfId="0" applyFont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left"/>
    </xf>
    <xf numFmtId="0" fontId="16" fillId="9" borderId="28" xfId="0" applyFont="1" applyFill="1" applyBorder="1" applyAlignment="1">
      <alignment horizontal="left"/>
    </xf>
    <xf numFmtId="0" fontId="17" fillId="9" borderId="28" xfId="0" applyFont="1" applyFill="1" applyBorder="1" applyAlignment="1">
      <alignment horizontal="right"/>
    </xf>
    <xf numFmtId="0" fontId="16" fillId="8" borderId="28" xfId="0" applyFont="1" applyFill="1" applyBorder="1" applyAlignment="1"/>
    <xf numFmtId="0" fontId="16" fillId="9" borderId="28" xfId="0" applyFont="1" applyFill="1" applyBorder="1" applyAlignment="1"/>
    <xf numFmtId="0" fontId="17" fillId="9" borderId="28" xfId="0" applyFont="1" applyFill="1" applyBorder="1" applyAlignment="1"/>
    <xf numFmtId="0" fontId="18" fillId="0" borderId="28" xfId="0" applyFont="1" applyBorder="1" applyAlignment="1">
      <alignment horizontal="right"/>
    </xf>
    <xf numFmtId="0" fontId="18" fillId="9" borderId="28" xfId="0" applyFont="1" applyFill="1" applyBorder="1" applyAlignment="1">
      <alignment horizontal="right"/>
    </xf>
    <xf numFmtId="0" fontId="18" fillId="9" borderId="28" xfId="0" applyFont="1" applyFill="1" applyBorder="1" applyAlignment="1"/>
    <xf numFmtId="0" fontId="18" fillId="0" borderId="28" xfId="0" applyFont="1" applyBorder="1" applyAlignment="1"/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9" borderId="31" xfId="0" applyFont="1" applyFill="1" applyBorder="1" applyAlignment="1">
      <alignment horizontal="center"/>
    </xf>
    <xf numFmtId="0" fontId="18" fillId="9" borderId="32" xfId="0" applyFont="1" applyFill="1" applyBorder="1" applyAlignment="1">
      <alignment horizontal="center"/>
    </xf>
    <xf numFmtId="0" fontId="18" fillId="9" borderId="33" xfId="0" applyFont="1" applyFill="1" applyBorder="1" applyAlignment="1">
      <alignment horizontal="center"/>
    </xf>
    <xf numFmtId="0" fontId="19" fillId="0" borderId="2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wrapText="1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3" fontId="19" fillId="0" borderId="28" xfId="0" applyNumberFormat="1" applyFont="1" applyBorder="1" applyAlignment="1">
      <alignment horizontal="center"/>
    </xf>
  </cellXfs>
  <cellStyles count="1">
    <cellStyle name="Normal" xfId="0" builtinId="0"/>
  </cellStyles>
  <dxfs count="164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63"/>
      <tableStyleElement type="headerRow" dxfId="162"/>
      <tableStyleElement type="totalRow" dxfId="161"/>
      <tableStyleElement type="firstSubtotalRow" dxfId="160"/>
      <tableStyleElement type="secondSubtotalRow" dxfId="159"/>
      <tableStyleElement type="thirdSubtotalRow" dxfId="158"/>
      <tableStyleElement type="firstColumnSubheading" dxfId="157"/>
      <tableStyleElement type="secondColumnSubheading" dxfId="156"/>
      <tableStyleElement type="thirdColumnSubheading" dxfId="155"/>
      <tableStyleElement type="firstRowSubheading" dxfId="154"/>
      <tableStyleElement type="secondRowSubheading" dxfId="153"/>
      <tableStyleElement type="thirdRowSubheading" dxfId="1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runo Ramirez" refreshedDate="44454.377491898151" refreshedVersion="7" recordCount="3079" xr:uid="{00000000-000A-0000-FFFF-FFFF00000000}">
  <cacheSource type="worksheet">
    <worksheetSource ref="A3:G3082" sheet="Datos2021"/>
  </cacheSource>
  <cacheFields count="7">
    <cacheField name="ELECCION" numFmtId="0">
      <sharedItems count="3">
        <s v="2017GRAL"/>
        <s v="2019GRAL"/>
        <s v="2017 PRIMARIA"/>
      </sharedItems>
    </cacheField>
    <cacheField name="CIRCUITO" numFmtId="0">
      <sharedItems containsMixedTypes="1" containsNumber="1" containsInteger="1" minValue="1" maxValue="2100"/>
    </cacheField>
    <cacheField name="LOCALIDAD" numFmtId="0">
      <sharedItems count="88">
        <s v="DOBLAS"/>
        <s v="MACACHIN"/>
        <s v="MIGUEL RIGLOS"/>
        <s v="ROLON"/>
        <s v="TOMAS M DE ANCHORENA"/>
        <s v="ANGUIL"/>
        <s v="SANTA ROSA"/>
        <s v="LA ADELA"/>
        <s v="CATRILO"/>
        <s v="LA GLORIA"/>
        <s v="LONQUIMAY"/>
        <s v="URIBURU"/>
        <s v="CNIA. EMILIO MITRE"/>
        <s v="SANTA ISABEL"/>
        <s v="BERNARDO LARROUDE"/>
        <s v="SARAH"/>
        <s v="CEBALLOS"/>
        <s v="CNEL. HILARIO LAGOS"/>
        <s v="INT. ALVEAR"/>
        <s v="VERTIZ"/>
        <s v="ALGARROBO DEL AGUILA"/>
        <s v="LA HUMADA"/>
        <s v="CONHELLO"/>
        <s v="EDUARDO CASTEX"/>
        <s v="MAURICIO MAYER"/>
        <s v="MONTE NIEVAS"/>
        <s v="RUCANELO"/>
        <s v="WINIFREDA"/>
        <s v="GOB DUVAL"/>
        <s v="PUELCHES"/>
        <s v="ALPACHIRI"/>
        <s v="GRAL. CAMPOS"/>
        <s v="GUATRACHE"/>
        <s v="PERU"/>
        <s v="CNIA. STA TERESA"/>
        <s v="BERNASCONI"/>
        <s v="ABRAMO"/>
        <s v="GRAL. SAN MARTIN"/>
        <s v="JACINTO ARAUZ"/>
        <s v="CARRO QUEMADO"/>
        <s v="LOVENTUE"/>
        <s v="LUAN TORO"/>
        <s v="TELEN"/>
        <s v="VICTORICA"/>
        <s v="CUCHILLO CO"/>
        <s v="LA REFORMA"/>
        <s v="LIMAY MAHUIDA"/>
        <s v="AGUSTONI"/>
        <s v="DORILA"/>
        <s v="GENERAL PICO"/>
        <s v="SPELUZZI"/>
        <s v="TREBOLARES"/>
        <s v="CNIA. 25 DE MAYO"/>
        <s v="PUELEN"/>
        <s v="COLONIA BARON"/>
        <s v="MIGUEL CANE"/>
        <s v="QUEMU QUEMU"/>
        <s v="RELMO"/>
        <s v="CNIA. SAN JOSE"/>
        <s v="VILLA MIRASOL"/>
        <s v="CALEUFU"/>
        <s v="CHAMAICO"/>
        <s v="LA MARUJA"/>
        <s v="PARERA"/>
        <s v="PICHI HUINCA"/>
        <s v="QUETREQUEN"/>
        <s v="RANCUL"/>
        <s v="ADOLFO V. PRAET"/>
        <s v="ALTA ITALIA"/>
        <s v="MAISONNAVE"/>
        <s v="EMBAJADOR MARTINI"/>
        <s v="FALUCHO"/>
        <s v="ING. LUIGGI"/>
        <s v="REALICO"/>
        <s v="SAN JOSE"/>
        <s v="NAICO"/>
        <s v="OF. ENRIQUE SEGURA"/>
        <s v="TOAY"/>
        <s v="ARATA"/>
        <s v="METILEO"/>
        <s v="TRENEL"/>
        <s v="ATALIVA ROCA"/>
        <s v="CNIA. SANTA MARIA"/>
        <s v="CHACHARRAMENDI"/>
        <s v="GRAL ACHA"/>
        <s v="QUEHUE"/>
        <s v="UNANUE"/>
        <s v="PRIVADOS DE LIBERTAD"/>
      </sharedItems>
    </cacheField>
    <cacheField name="CATEGORIA" numFmtId="0">
      <sharedItems count="6">
        <s v="Diputado Nac."/>
        <s v="Intendente"/>
        <s v="Diputados Provinciales"/>
        <s v="Gobernador"/>
        <s v="Juez de Paz"/>
        <s v="Presidente Comisión de Fomento"/>
      </sharedItems>
    </cacheField>
    <cacheField name="DESTINO" numFmtId="0">
      <sharedItems/>
    </cacheField>
    <cacheField name="DESTINO 2" numFmtId="0">
      <sharedItems containsMixedTypes="1" containsNumber="1" containsInteger="1" minValue="0" maxValue="0" count="5">
        <s v="1 - PJ"/>
        <s v="3 - Otros"/>
        <s v="2 - Frepam"/>
        <s v="4 - Blanco/Nulo"/>
        <n v="0"/>
      </sharedItems>
    </cacheField>
    <cacheField name="VOTOS" numFmtId="0">
      <sharedItems containsString="0" containsBlank="1" containsNumber="1" containsInteger="1" minValue="0" maxValue="33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runo Ramirez" refreshedDate="44454.37749259259" refreshedVersion="7" recordCount="3850" xr:uid="{00000000-000A-0000-FFFF-FFFF01000000}">
  <cacheSource type="worksheet">
    <worksheetSource ref="B5:E3855" sheet="2015-Prov"/>
  </cacheSource>
  <cacheFields count="4">
    <cacheField name="Localidad" numFmtId="0">
      <sharedItems containsBlank="1" count="91">
        <s v="DOBLAS"/>
        <s v="MACACHIN"/>
        <s v="MIGUEL RIGLOS"/>
        <s v="ROLON"/>
        <s v="TOMAS M DE ANCHORENA"/>
        <s v="ANGUIL"/>
        <s v="SANTA ROSA"/>
        <s v="LA ADELA"/>
        <s v="CATRILO"/>
        <s v="LONQUIMAY"/>
        <s v="URIBURU"/>
        <s v="CNIA. EMILIO MITRE"/>
        <s v="SANTA ISABEL"/>
        <s v="BERNARDO LARROUDE"/>
        <s v="SARAH"/>
        <s v="CEBALLOS"/>
        <s v="CNEL. HILARIO LAGOS"/>
        <s v="INT. ALVEAR"/>
        <s v="VERTIZ"/>
        <s v="ALGARROBO DEL AGUILA"/>
        <s v="LA HUMADA"/>
        <s v="CONHELLO"/>
        <s v="EDUARDO CASTEX"/>
        <s v="MAURICIO MAYER"/>
        <s v="MONTE NIEVAS"/>
        <s v="RUCANELO"/>
        <s v="WINIFREDA"/>
        <s v="GOB DUVAL"/>
        <s v="PUELCHES"/>
        <s v="ALPACHIRI"/>
        <s v="GRAL. CAMPOS"/>
        <s v="GUATRACHE"/>
        <s v="PERU"/>
        <s v="CNIA. STA TERESA"/>
        <s v="BERNASCONI"/>
        <s v="ABRAMO"/>
        <s v="GRAL. SAN MARTIN"/>
        <s v="JACINTO ARAUZ"/>
        <s v="CARRO QUEMADO"/>
        <s v="LOVENTUE"/>
        <s v="LUAN TORO"/>
        <s v="TELEN"/>
        <s v="VICTORICA"/>
        <s v="CUCHILLO CO"/>
        <s v="LA REFORMA"/>
        <s v="LIMAY MAHUIDA"/>
        <s v="AGUSTONI"/>
        <s v="DORILA"/>
        <s v="GENERAL PICO"/>
        <s v="SPELUZZI"/>
        <s v="CNIA. 25 DE MAYO"/>
        <s v="PUELEN"/>
        <s v="COLONIA BARON"/>
        <s v="MIGUEL CANE"/>
        <s v="QUEMU QUEMU"/>
        <s v="RELMO"/>
        <s v="VILLA MIRASOL"/>
        <s v="CALEUFU"/>
        <s v="LA MARUJA"/>
        <s v="PARERA"/>
        <s v="PICHI HUINCA"/>
        <s v="QUETREQUEN"/>
        <s v="RANCUL"/>
        <s v="ADOLFO V. PRAET"/>
        <s v="ALTA ITALIA"/>
        <s v="MAISONNAVE"/>
        <s v="EMBAJADOR MARTINI"/>
        <s v="FALUCHO"/>
        <s v="ING. LUIGGI"/>
        <s v="REALICO"/>
        <s v="TOAY"/>
        <s v="ARATA"/>
        <s v="METILEO"/>
        <s v="TRENEL"/>
        <s v="ATALIVA ROCA"/>
        <s v="CNIA. SANTA MARIA"/>
        <s v="CHACHARRAMENDI"/>
        <s v="GRAL ACHA"/>
        <s v="QUEHUE"/>
        <s v="UNANUE"/>
        <m/>
        <s v="LA GLORIA"/>
        <s v="TREBOLARES"/>
        <s v="CNIA. SAN JOSE"/>
        <s v="CHAMAICO"/>
        <s v="SAN JOSE"/>
        <s v="NAICO"/>
        <s v="OF. ENRIQUE SEGURA"/>
        <s v="PRIVADOS DE LIBERTAD"/>
        <s v="RESIDENTES EN EL EXTERIOR"/>
        <s v="COMANDO ELECTORAL"/>
      </sharedItems>
    </cacheField>
    <cacheField name="Categoria" numFmtId="0">
      <sharedItems containsBlank="1" count="11">
        <s v="Intendente"/>
        <s v="Concejales"/>
        <s v="Juez de Paz"/>
        <s v="Presidente Comisión de Fomento"/>
        <s v="Vocales"/>
        <m/>
        <s v="Presidente "/>
        <s v="Senador Nac."/>
        <s v="Diputado Nac."/>
        <s v="Gobernador"/>
        <s v="Diputados Provinciales"/>
      </sharedItems>
    </cacheField>
    <cacheField name="Destino" numFmtId="0">
      <sharedItems containsBlank="1" count="26">
        <s v="PJ"/>
        <s v="FREPAM"/>
        <s v="Punto de Unión Doblense"/>
        <s v="Blanco"/>
        <s v="Nulo"/>
        <s v="GEN"/>
        <s v="Socialismo Auténtico"/>
        <s v="Pueblo Nuevo"/>
        <s v="Patria Grande"/>
        <s v="Frente Pampeano para la Victoria"/>
        <s v="Alianza Unión por Santa Isabel"/>
        <s v="Junta vecinal por y para Ceballos"/>
        <s v="Frente Vecinal Alvearense"/>
        <s v="Junta Vecinal por Arauz"/>
        <s v="Alianza Victorica Electoral y Programática"/>
        <s v="Movimiento Popular Veinticinqueño Juntos por 25"/>
        <s v="Unidad 25"/>
        <s v="Unión Vecinal de Pichi Huinca"/>
        <s v="Junta Vecinal Quetrequén Somos Todos"/>
        <s v="Junta Vecinal de Falucho"/>
        <s v="Unión Vecinal Achense"/>
        <m/>
        <s v="Alianza FPV"/>
        <s v="Alianza Compromiso Federal"/>
        <s v="Cambiemos - FREPAM"/>
        <s v="Frente de Izquierda y de los Trabajadores"/>
      </sharedItems>
    </cacheField>
    <cacheField name="Cantidad" numFmtId="0">
      <sharedItems containsString="0" containsBlank="1" containsNumber="1" containsInteger="1" minValue="0" maxValue="30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9">
  <r>
    <x v="0"/>
    <n v="1"/>
    <x v="0"/>
    <x v="0"/>
    <s v="PJ"/>
    <x v="0"/>
    <n v="489"/>
  </r>
  <r>
    <x v="0"/>
    <n v="1"/>
    <x v="0"/>
    <x v="0"/>
    <s v="Humanista"/>
    <x v="1"/>
    <n v="19"/>
  </r>
  <r>
    <x v="0"/>
    <n v="1"/>
    <x v="0"/>
    <x v="0"/>
    <s v="Partido de los Trabajadores Soc."/>
    <x v="1"/>
    <n v="10"/>
  </r>
  <r>
    <x v="0"/>
    <n v="1"/>
    <x v="0"/>
    <x v="0"/>
    <s v="FREPAM"/>
    <x v="2"/>
    <n v="19"/>
  </r>
  <r>
    <x v="0"/>
    <n v="1"/>
    <x v="0"/>
    <x v="0"/>
    <s v="Izquierda al Frente por el Soc."/>
    <x v="1"/>
    <n v="14"/>
  </r>
  <r>
    <x v="0"/>
    <n v="1"/>
    <x v="0"/>
    <x v="0"/>
    <s v="Cambiemos"/>
    <x v="2"/>
    <n v="548"/>
  </r>
  <r>
    <x v="0"/>
    <n v="1"/>
    <x v="0"/>
    <x v="0"/>
    <s v="Nulo"/>
    <x v="3"/>
    <n v="44"/>
  </r>
  <r>
    <x v="0"/>
    <n v="1"/>
    <x v="0"/>
    <x v="0"/>
    <s v="Blanco"/>
    <x v="3"/>
    <n v="13"/>
  </r>
  <r>
    <x v="0"/>
    <n v="2"/>
    <x v="1"/>
    <x v="0"/>
    <s v="PJ"/>
    <x v="0"/>
    <n v="1806"/>
  </r>
  <r>
    <x v="0"/>
    <n v="2"/>
    <x v="1"/>
    <x v="0"/>
    <s v="Humanista"/>
    <x v="1"/>
    <n v="31"/>
  </r>
  <r>
    <x v="0"/>
    <n v="2"/>
    <x v="1"/>
    <x v="0"/>
    <s v="Partido de los Trabajadores Soc."/>
    <x v="1"/>
    <n v="33"/>
  </r>
  <r>
    <x v="0"/>
    <n v="2"/>
    <x v="1"/>
    <x v="0"/>
    <s v="FREPAM"/>
    <x v="2"/>
    <n v="53"/>
  </r>
  <r>
    <x v="0"/>
    <n v="2"/>
    <x v="1"/>
    <x v="0"/>
    <s v="Izquierda al Frente por el Soc."/>
    <x v="1"/>
    <n v="42"/>
  </r>
  <r>
    <x v="0"/>
    <n v="2"/>
    <x v="1"/>
    <x v="0"/>
    <s v="Cambiemos"/>
    <x v="2"/>
    <n v="1721"/>
  </r>
  <r>
    <x v="0"/>
    <n v="2"/>
    <x v="1"/>
    <x v="0"/>
    <s v="Nulo"/>
    <x v="3"/>
    <n v="61"/>
  </r>
  <r>
    <x v="0"/>
    <n v="2"/>
    <x v="1"/>
    <x v="0"/>
    <s v="Blanco"/>
    <x v="3"/>
    <n v="44"/>
  </r>
  <r>
    <x v="0"/>
    <n v="3"/>
    <x v="2"/>
    <x v="0"/>
    <s v="PJ"/>
    <x v="0"/>
    <n v="976"/>
  </r>
  <r>
    <x v="0"/>
    <n v="3"/>
    <x v="2"/>
    <x v="0"/>
    <s v="Humanista"/>
    <x v="1"/>
    <n v="11"/>
  </r>
  <r>
    <x v="0"/>
    <n v="3"/>
    <x v="2"/>
    <x v="0"/>
    <s v="Partido de los Trabajadores Soc."/>
    <x v="1"/>
    <n v="12"/>
  </r>
  <r>
    <x v="0"/>
    <n v="3"/>
    <x v="2"/>
    <x v="0"/>
    <s v="FREPAM"/>
    <x v="2"/>
    <n v="13"/>
  </r>
  <r>
    <x v="0"/>
    <n v="3"/>
    <x v="2"/>
    <x v="0"/>
    <s v="Izquierda al Frente por el Soc."/>
    <x v="1"/>
    <n v="10"/>
  </r>
  <r>
    <x v="0"/>
    <n v="3"/>
    <x v="2"/>
    <x v="0"/>
    <s v="Cambiemos"/>
    <x v="2"/>
    <n v="686"/>
  </r>
  <r>
    <x v="0"/>
    <n v="3"/>
    <x v="2"/>
    <x v="0"/>
    <s v="Nulo"/>
    <x v="3"/>
    <n v="15"/>
  </r>
  <r>
    <x v="0"/>
    <n v="3"/>
    <x v="2"/>
    <x v="0"/>
    <s v="Blanco"/>
    <x v="3"/>
    <n v="13"/>
  </r>
  <r>
    <x v="0"/>
    <n v="4"/>
    <x v="3"/>
    <x v="0"/>
    <s v="PJ"/>
    <x v="0"/>
    <n v="309"/>
  </r>
  <r>
    <x v="0"/>
    <n v="4"/>
    <x v="3"/>
    <x v="0"/>
    <s v="Humanista"/>
    <x v="1"/>
    <n v="4"/>
  </r>
  <r>
    <x v="0"/>
    <n v="4"/>
    <x v="3"/>
    <x v="0"/>
    <s v="Partido de los Trabajadores Soc."/>
    <x v="1"/>
    <n v="1"/>
  </r>
  <r>
    <x v="0"/>
    <n v="4"/>
    <x v="3"/>
    <x v="0"/>
    <s v="FREPAM"/>
    <x v="2"/>
    <n v="1"/>
  </r>
  <r>
    <x v="0"/>
    <n v="4"/>
    <x v="3"/>
    <x v="0"/>
    <s v="Izquierda al Frente por el Soc."/>
    <x v="1"/>
    <n v="10"/>
  </r>
  <r>
    <x v="0"/>
    <n v="4"/>
    <x v="3"/>
    <x v="0"/>
    <s v="Cambiemos"/>
    <x v="2"/>
    <n v="203"/>
  </r>
  <r>
    <x v="0"/>
    <n v="4"/>
    <x v="3"/>
    <x v="0"/>
    <s v="Nulo"/>
    <x v="3"/>
    <n v="4"/>
  </r>
  <r>
    <x v="0"/>
    <n v="4"/>
    <x v="3"/>
    <x v="0"/>
    <s v="Blanco"/>
    <x v="3"/>
    <n v="13"/>
  </r>
  <r>
    <x v="0"/>
    <n v="5"/>
    <x v="4"/>
    <x v="0"/>
    <s v="PJ"/>
    <x v="0"/>
    <n v="119"/>
  </r>
  <r>
    <x v="0"/>
    <n v="5"/>
    <x v="4"/>
    <x v="0"/>
    <s v="Humanista"/>
    <x v="1"/>
    <n v="1"/>
  </r>
  <r>
    <x v="0"/>
    <n v="5"/>
    <x v="4"/>
    <x v="0"/>
    <s v="Partido de los Trabajadores Soc."/>
    <x v="1"/>
    <n v="2"/>
  </r>
  <r>
    <x v="0"/>
    <n v="5"/>
    <x v="4"/>
    <x v="0"/>
    <s v="FREPAM"/>
    <x v="2"/>
    <n v="4"/>
  </r>
  <r>
    <x v="0"/>
    <n v="5"/>
    <x v="4"/>
    <x v="0"/>
    <s v="Izquierda al Frente por el Soc."/>
    <x v="1"/>
    <n v="1"/>
  </r>
  <r>
    <x v="0"/>
    <n v="5"/>
    <x v="4"/>
    <x v="0"/>
    <s v="Cambiemos"/>
    <x v="2"/>
    <n v="175"/>
  </r>
  <r>
    <x v="0"/>
    <n v="5"/>
    <x v="4"/>
    <x v="0"/>
    <s v="Nulo"/>
    <x v="3"/>
    <n v="1"/>
  </r>
  <r>
    <x v="0"/>
    <n v="5"/>
    <x v="4"/>
    <x v="0"/>
    <s v="Blanco"/>
    <x v="3"/>
    <n v="7"/>
  </r>
  <r>
    <x v="0"/>
    <n v="6"/>
    <x v="5"/>
    <x v="0"/>
    <s v="PJ"/>
    <x v="0"/>
    <n v="542"/>
  </r>
  <r>
    <x v="0"/>
    <n v="6"/>
    <x v="5"/>
    <x v="0"/>
    <s v="Humanista"/>
    <x v="1"/>
    <n v="24"/>
  </r>
  <r>
    <x v="0"/>
    <n v="6"/>
    <x v="5"/>
    <x v="0"/>
    <s v="Partido de los Trabajadores Soc."/>
    <x v="1"/>
    <n v="24"/>
  </r>
  <r>
    <x v="0"/>
    <n v="6"/>
    <x v="5"/>
    <x v="0"/>
    <s v="FREPAM"/>
    <x v="2"/>
    <n v="30"/>
  </r>
  <r>
    <x v="0"/>
    <n v="6"/>
    <x v="5"/>
    <x v="0"/>
    <s v="Izquierda al Frente por el Soc."/>
    <x v="1"/>
    <n v="26"/>
  </r>
  <r>
    <x v="0"/>
    <n v="6"/>
    <x v="5"/>
    <x v="0"/>
    <s v="Cambiemos"/>
    <x v="2"/>
    <n v="607"/>
  </r>
  <r>
    <x v="0"/>
    <n v="6"/>
    <x v="5"/>
    <x v="0"/>
    <s v="Nulo"/>
    <x v="3"/>
    <n v="32"/>
  </r>
  <r>
    <x v="0"/>
    <n v="6"/>
    <x v="5"/>
    <x v="0"/>
    <s v="Blanco"/>
    <x v="3"/>
    <n v="19"/>
  </r>
  <r>
    <x v="0"/>
    <s v="9 y 10"/>
    <x v="6"/>
    <x v="0"/>
    <s v="PJ"/>
    <x v="0"/>
    <n v="29204"/>
  </r>
  <r>
    <x v="0"/>
    <s v="9 y 10"/>
    <x v="6"/>
    <x v="0"/>
    <s v="Humanista"/>
    <x v="1"/>
    <n v="2039"/>
  </r>
  <r>
    <x v="0"/>
    <s v="9 y 10"/>
    <x v="6"/>
    <x v="0"/>
    <s v="Partido de los Trabajadores Soc."/>
    <x v="1"/>
    <n v="2233"/>
  </r>
  <r>
    <x v="0"/>
    <s v="9 y 10"/>
    <x v="6"/>
    <x v="0"/>
    <s v="FREPAM"/>
    <x v="2"/>
    <n v="2070"/>
  </r>
  <r>
    <x v="0"/>
    <s v="9 y 10"/>
    <x v="6"/>
    <x v="0"/>
    <s v="Izquierda al Frente por el Soc."/>
    <x v="1"/>
    <n v="1785"/>
  </r>
  <r>
    <x v="0"/>
    <s v="9 y 10"/>
    <x v="6"/>
    <x v="0"/>
    <s v="Cambiemos"/>
    <x v="2"/>
    <n v="28917"/>
  </r>
  <r>
    <x v="0"/>
    <s v="9 y 10"/>
    <x v="6"/>
    <x v="0"/>
    <s v="Nulo"/>
    <x v="3"/>
    <n v="1462"/>
  </r>
  <r>
    <x v="0"/>
    <s v="9 y 10"/>
    <x v="6"/>
    <x v="0"/>
    <s v="Blanco"/>
    <x v="3"/>
    <n v="554"/>
  </r>
  <r>
    <x v="0"/>
    <n v="11"/>
    <x v="7"/>
    <x v="0"/>
    <s v="PJ"/>
    <x v="0"/>
    <n v="884"/>
  </r>
  <r>
    <x v="0"/>
    <n v="11"/>
    <x v="7"/>
    <x v="0"/>
    <s v="Humanista"/>
    <x v="1"/>
    <n v="25"/>
  </r>
  <r>
    <x v="0"/>
    <n v="11"/>
    <x v="7"/>
    <x v="0"/>
    <s v="Partido de los Trabajadores Soc."/>
    <x v="1"/>
    <n v="18"/>
  </r>
  <r>
    <x v="0"/>
    <n v="11"/>
    <x v="7"/>
    <x v="0"/>
    <s v="FREPAM"/>
    <x v="2"/>
    <n v="46"/>
  </r>
  <r>
    <x v="0"/>
    <n v="11"/>
    <x v="7"/>
    <x v="0"/>
    <s v="Izquierda al Frente por el Soc."/>
    <x v="1"/>
    <n v="30"/>
  </r>
  <r>
    <x v="0"/>
    <n v="11"/>
    <x v="7"/>
    <x v="0"/>
    <s v="Cambiemos"/>
    <x v="2"/>
    <n v="443"/>
  </r>
  <r>
    <x v="0"/>
    <n v="11"/>
    <x v="7"/>
    <x v="0"/>
    <s v="Nulo"/>
    <x v="3"/>
    <n v="31"/>
  </r>
  <r>
    <x v="0"/>
    <n v="11"/>
    <x v="7"/>
    <x v="0"/>
    <s v="Blanco"/>
    <x v="3"/>
    <n v="8"/>
  </r>
  <r>
    <x v="0"/>
    <n v="13"/>
    <x v="8"/>
    <x v="0"/>
    <s v="PJ"/>
    <x v="0"/>
    <n v="1514"/>
  </r>
  <r>
    <x v="0"/>
    <n v="13"/>
    <x v="8"/>
    <x v="0"/>
    <s v="Humanista"/>
    <x v="1"/>
    <n v="28"/>
  </r>
  <r>
    <x v="0"/>
    <n v="13"/>
    <x v="8"/>
    <x v="0"/>
    <s v="Partido de los Trabajadores Soc."/>
    <x v="1"/>
    <n v="19"/>
  </r>
  <r>
    <x v="0"/>
    <n v="13"/>
    <x v="8"/>
    <x v="0"/>
    <s v="FREPAM"/>
    <x v="2"/>
    <n v="29"/>
  </r>
  <r>
    <x v="0"/>
    <n v="13"/>
    <x v="8"/>
    <x v="0"/>
    <s v="Izquierda al Frente por el Soc."/>
    <x v="1"/>
    <n v="31"/>
  </r>
  <r>
    <x v="0"/>
    <n v="13"/>
    <x v="8"/>
    <x v="0"/>
    <s v="Cambiemos"/>
    <x v="2"/>
    <n v="1384"/>
  </r>
  <r>
    <x v="0"/>
    <n v="13"/>
    <x v="8"/>
    <x v="0"/>
    <s v="Nulo"/>
    <x v="3"/>
    <n v="58"/>
  </r>
  <r>
    <x v="0"/>
    <n v="13"/>
    <x v="8"/>
    <x v="0"/>
    <s v="Blanco"/>
    <x v="3"/>
    <n v="23"/>
  </r>
  <r>
    <x v="0"/>
    <n v="14"/>
    <x v="9"/>
    <x v="0"/>
    <s v="PJ"/>
    <x v="0"/>
    <n v="9"/>
  </r>
  <r>
    <x v="0"/>
    <n v="14"/>
    <x v="9"/>
    <x v="0"/>
    <s v="Humanista"/>
    <x v="1"/>
    <n v="3"/>
  </r>
  <r>
    <x v="0"/>
    <n v="14"/>
    <x v="9"/>
    <x v="0"/>
    <s v="Partido de los Trabajadores Soc."/>
    <x v="1"/>
    <n v="1"/>
  </r>
  <r>
    <x v="0"/>
    <n v="14"/>
    <x v="9"/>
    <x v="0"/>
    <s v="FREPAM"/>
    <x v="2"/>
    <n v="3"/>
  </r>
  <r>
    <x v="0"/>
    <n v="14"/>
    <x v="9"/>
    <x v="0"/>
    <s v="Izquierda al Frente por el Soc."/>
    <x v="1"/>
    <n v="1"/>
  </r>
  <r>
    <x v="0"/>
    <n v="14"/>
    <x v="9"/>
    <x v="0"/>
    <s v="Cambiemos"/>
    <x v="2"/>
    <n v="25"/>
  </r>
  <r>
    <x v="0"/>
    <n v="14"/>
    <x v="9"/>
    <x v="0"/>
    <s v="Nulo"/>
    <x v="3"/>
    <n v="1"/>
  </r>
  <r>
    <x v="0"/>
    <n v="14"/>
    <x v="9"/>
    <x v="0"/>
    <s v="Blanco"/>
    <x v="3"/>
    <n v="2"/>
  </r>
  <r>
    <x v="0"/>
    <n v="15"/>
    <x v="10"/>
    <x v="0"/>
    <s v="PJ"/>
    <x v="0"/>
    <n v="494"/>
  </r>
  <r>
    <x v="0"/>
    <n v="15"/>
    <x v="10"/>
    <x v="0"/>
    <s v="Humanista"/>
    <x v="1"/>
    <n v="22"/>
  </r>
  <r>
    <x v="0"/>
    <n v="15"/>
    <x v="10"/>
    <x v="0"/>
    <s v="Partido de los Trabajadores Soc."/>
    <x v="1"/>
    <n v="16"/>
  </r>
  <r>
    <x v="0"/>
    <n v="15"/>
    <x v="10"/>
    <x v="0"/>
    <s v="FREPAM"/>
    <x v="2"/>
    <n v="20"/>
  </r>
  <r>
    <x v="0"/>
    <n v="15"/>
    <x v="10"/>
    <x v="0"/>
    <s v="Izquierda al Frente por el Soc."/>
    <x v="1"/>
    <n v="17"/>
  </r>
  <r>
    <x v="0"/>
    <n v="15"/>
    <x v="10"/>
    <x v="0"/>
    <s v="Cambiemos"/>
    <x v="2"/>
    <n v="652"/>
  </r>
  <r>
    <x v="0"/>
    <n v="15"/>
    <x v="10"/>
    <x v="0"/>
    <s v="Nulo"/>
    <x v="3"/>
    <n v="36"/>
  </r>
  <r>
    <x v="0"/>
    <n v="15"/>
    <x v="10"/>
    <x v="0"/>
    <s v="Blanco"/>
    <x v="3"/>
    <n v="6"/>
  </r>
  <r>
    <x v="0"/>
    <n v="16"/>
    <x v="11"/>
    <x v="0"/>
    <s v="PJ"/>
    <x v="0"/>
    <n v="417"/>
  </r>
  <r>
    <x v="0"/>
    <n v="16"/>
    <x v="11"/>
    <x v="0"/>
    <s v="Humanista"/>
    <x v="1"/>
    <n v="8"/>
  </r>
  <r>
    <x v="0"/>
    <n v="16"/>
    <x v="11"/>
    <x v="0"/>
    <s v="Partido de los Trabajadores Soc."/>
    <x v="1"/>
    <n v="7"/>
  </r>
  <r>
    <x v="0"/>
    <n v="16"/>
    <x v="11"/>
    <x v="0"/>
    <s v="FREPAM"/>
    <x v="2"/>
    <n v="7"/>
  </r>
  <r>
    <x v="0"/>
    <n v="16"/>
    <x v="11"/>
    <x v="0"/>
    <s v="Izquierda al Frente por el Soc."/>
    <x v="1"/>
    <n v="11"/>
  </r>
  <r>
    <x v="0"/>
    <n v="16"/>
    <x v="11"/>
    <x v="0"/>
    <s v="Cambiemos"/>
    <x v="2"/>
    <n v="287"/>
  </r>
  <r>
    <x v="0"/>
    <n v="16"/>
    <x v="11"/>
    <x v="0"/>
    <s v="Nulo"/>
    <x v="3"/>
    <n v="13"/>
  </r>
  <r>
    <x v="0"/>
    <n v="16"/>
    <x v="11"/>
    <x v="0"/>
    <s v="Blanco"/>
    <x v="3"/>
    <n v="2"/>
  </r>
  <r>
    <x v="0"/>
    <n v="17"/>
    <x v="12"/>
    <x v="0"/>
    <s v="PJ"/>
    <x v="0"/>
    <n v="13"/>
  </r>
  <r>
    <x v="0"/>
    <n v="17"/>
    <x v="12"/>
    <x v="0"/>
    <s v="Humanista"/>
    <x v="1"/>
    <n v="0"/>
  </r>
  <r>
    <x v="0"/>
    <n v="17"/>
    <x v="12"/>
    <x v="0"/>
    <s v="Partido de los Trabajadores Soc."/>
    <x v="1"/>
    <n v="0"/>
  </r>
  <r>
    <x v="0"/>
    <n v="17"/>
    <x v="12"/>
    <x v="0"/>
    <s v="FREPAM"/>
    <x v="2"/>
    <n v="0"/>
  </r>
  <r>
    <x v="0"/>
    <n v="17"/>
    <x v="12"/>
    <x v="0"/>
    <s v="Izquierda al Frente por el Soc."/>
    <x v="1"/>
    <n v="0"/>
  </r>
  <r>
    <x v="0"/>
    <n v="17"/>
    <x v="12"/>
    <x v="0"/>
    <s v="Cambiemos"/>
    <x v="2"/>
    <n v="2"/>
  </r>
  <r>
    <x v="0"/>
    <n v="17"/>
    <x v="12"/>
    <x v="0"/>
    <s v="Nulo"/>
    <x v="3"/>
    <n v="0"/>
  </r>
  <r>
    <x v="0"/>
    <n v="17"/>
    <x v="12"/>
    <x v="0"/>
    <s v="Blanco"/>
    <x v="3"/>
    <n v="0"/>
  </r>
  <r>
    <x v="0"/>
    <n v="18"/>
    <x v="13"/>
    <x v="0"/>
    <s v="PJ"/>
    <x v="0"/>
    <n v="1102"/>
  </r>
  <r>
    <x v="0"/>
    <n v="18"/>
    <x v="13"/>
    <x v="0"/>
    <s v="Humanista"/>
    <x v="1"/>
    <n v="23"/>
  </r>
  <r>
    <x v="0"/>
    <n v="18"/>
    <x v="13"/>
    <x v="0"/>
    <s v="Partido de los Trabajadores Soc."/>
    <x v="1"/>
    <n v="25"/>
  </r>
  <r>
    <x v="0"/>
    <n v="18"/>
    <x v="13"/>
    <x v="0"/>
    <s v="FREPAM"/>
    <x v="2"/>
    <n v="28"/>
  </r>
  <r>
    <x v="0"/>
    <n v="18"/>
    <x v="13"/>
    <x v="0"/>
    <s v="Izquierda al Frente por el Soc."/>
    <x v="1"/>
    <n v="40"/>
  </r>
  <r>
    <x v="0"/>
    <n v="18"/>
    <x v="13"/>
    <x v="0"/>
    <s v="Cambiemos"/>
    <x v="2"/>
    <n v="628"/>
  </r>
  <r>
    <x v="0"/>
    <n v="18"/>
    <x v="13"/>
    <x v="0"/>
    <s v="Nulo"/>
    <x v="3"/>
    <n v="44"/>
  </r>
  <r>
    <x v="0"/>
    <n v="18"/>
    <x v="13"/>
    <x v="0"/>
    <s v="Blanco"/>
    <x v="3"/>
    <n v="14"/>
  </r>
  <r>
    <x v="0"/>
    <n v="19"/>
    <x v="14"/>
    <x v="0"/>
    <s v="PJ"/>
    <x v="0"/>
    <n v="483"/>
  </r>
  <r>
    <x v="0"/>
    <n v="19"/>
    <x v="14"/>
    <x v="0"/>
    <s v="Humanista"/>
    <x v="1"/>
    <n v="11"/>
  </r>
  <r>
    <x v="0"/>
    <n v="19"/>
    <x v="14"/>
    <x v="0"/>
    <s v="Partido de los Trabajadores Soc."/>
    <x v="1"/>
    <n v="6"/>
  </r>
  <r>
    <x v="0"/>
    <n v="19"/>
    <x v="14"/>
    <x v="0"/>
    <s v="FREPAM"/>
    <x v="2"/>
    <n v="24"/>
  </r>
  <r>
    <x v="0"/>
    <n v="19"/>
    <x v="14"/>
    <x v="0"/>
    <s v="Izquierda al Frente por el Soc."/>
    <x v="1"/>
    <n v="14"/>
  </r>
  <r>
    <x v="0"/>
    <n v="19"/>
    <x v="14"/>
    <x v="0"/>
    <s v="Cambiemos"/>
    <x v="2"/>
    <n v="638"/>
  </r>
  <r>
    <x v="0"/>
    <n v="19"/>
    <x v="14"/>
    <x v="0"/>
    <s v="Nulo"/>
    <x v="3"/>
    <n v="7"/>
  </r>
  <r>
    <x v="0"/>
    <n v="19"/>
    <x v="14"/>
    <x v="0"/>
    <s v="Blanco"/>
    <x v="3"/>
    <n v="32"/>
  </r>
  <r>
    <x v="0"/>
    <s v="19 A"/>
    <x v="15"/>
    <x v="0"/>
    <s v="PJ"/>
    <x v="0"/>
    <n v="39"/>
  </r>
  <r>
    <x v="0"/>
    <s v="19 A"/>
    <x v="15"/>
    <x v="0"/>
    <s v="Humanista"/>
    <x v="1"/>
    <n v="1"/>
  </r>
  <r>
    <x v="0"/>
    <s v="19 A"/>
    <x v="15"/>
    <x v="0"/>
    <s v="Partido de los Trabajadores Soc."/>
    <x v="1"/>
    <n v="3"/>
  </r>
  <r>
    <x v="0"/>
    <s v="19 A"/>
    <x v="15"/>
    <x v="0"/>
    <s v="FREPAM"/>
    <x v="2"/>
    <n v="9"/>
  </r>
  <r>
    <x v="0"/>
    <s v="19 A"/>
    <x v="15"/>
    <x v="0"/>
    <s v="Izquierda al Frente por el Soc."/>
    <x v="1"/>
    <n v="2"/>
  </r>
  <r>
    <x v="0"/>
    <s v="19 A"/>
    <x v="15"/>
    <x v="0"/>
    <s v="Cambiemos"/>
    <x v="2"/>
    <n v="69"/>
  </r>
  <r>
    <x v="0"/>
    <s v="19 A"/>
    <x v="15"/>
    <x v="0"/>
    <s v="Nulo"/>
    <x v="3"/>
    <n v="2"/>
  </r>
  <r>
    <x v="0"/>
    <s v="19 A"/>
    <x v="15"/>
    <x v="0"/>
    <s v="Blanco"/>
    <x v="3"/>
    <n v="4"/>
  </r>
  <r>
    <x v="0"/>
    <n v="20"/>
    <x v="16"/>
    <x v="0"/>
    <s v="PJ"/>
    <x v="0"/>
    <n v="102"/>
  </r>
  <r>
    <x v="0"/>
    <n v="20"/>
    <x v="16"/>
    <x v="0"/>
    <s v="Humanista"/>
    <x v="1"/>
    <n v="1"/>
  </r>
  <r>
    <x v="0"/>
    <n v="20"/>
    <x v="16"/>
    <x v="0"/>
    <s v="Partido de los Trabajadores Soc."/>
    <x v="1"/>
    <n v="1"/>
  </r>
  <r>
    <x v="0"/>
    <n v="20"/>
    <x v="16"/>
    <x v="0"/>
    <s v="FREPAM"/>
    <x v="2"/>
    <n v="16"/>
  </r>
  <r>
    <x v="0"/>
    <n v="20"/>
    <x v="16"/>
    <x v="0"/>
    <s v="Izquierda al Frente por el Soc."/>
    <x v="1"/>
    <n v="1"/>
  </r>
  <r>
    <x v="0"/>
    <n v="20"/>
    <x v="16"/>
    <x v="0"/>
    <s v="Cambiemos"/>
    <x v="2"/>
    <n v="141"/>
  </r>
  <r>
    <x v="0"/>
    <n v="20"/>
    <x v="16"/>
    <x v="0"/>
    <s v="Nulo"/>
    <x v="3"/>
    <n v="6"/>
  </r>
  <r>
    <x v="0"/>
    <n v="20"/>
    <x v="16"/>
    <x v="0"/>
    <s v="Blanco"/>
    <x v="3"/>
    <n v="0"/>
  </r>
  <r>
    <x v="0"/>
    <n v="21"/>
    <x v="17"/>
    <x v="0"/>
    <s v="PJ"/>
    <x v="0"/>
    <n v="158"/>
  </r>
  <r>
    <x v="0"/>
    <n v="21"/>
    <x v="17"/>
    <x v="0"/>
    <s v="Humanista"/>
    <x v="1"/>
    <n v="10"/>
  </r>
  <r>
    <x v="0"/>
    <n v="21"/>
    <x v="17"/>
    <x v="0"/>
    <s v="Partido de los Trabajadores Soc."/>
    <x v="1"/>
    <n v="9"/>
  </r>
  <r>
    <x v="0"/>
    <n v="21"/>
    <x v="17"/>
    <x v="0"/>
    <s v="FREPAM"/>
    <x v="2"/>
    <n v="10"/>
  </r>
  <r>
    <x v="0"/>
    <n v="21"/>
    <x v="17"/>
    <x v="0"/>
    <s v="Izquierda al Frente por el Soc."/>
    <x v="1"/>
    <n v="7"/>
  </r>
  <r>
    <x v="0"/>
    <n v="21"/>
    <x v="17"/>
    <x v="0"/>
    <s v="Cambiemos"/>
    <x v="2"/>
    <n v="272"/>
  </r>
  <r>
    <x v="0"/>
    <n v="21"/>
    <x v="17"/>
    <x v="0"/>
    <s v="Nulo"/>
    <x v="3"/>
    <n v="11"/>
  </r>
  <r>
    <x v="0"/>
    <n v="21"/>
    <x v="17"/>
    <x v="0"/>
    <s v="Blanco"/>
    <x v="3"/>
    <n v="9"/>
  </r>
  <r>
    <x v="0"/>
    <n v="22"/>
    <x v="18"/>
    <x v="0"/>
    <s v="PJ"/>
    <x v="0"/>
    <n v="2257"/>
  </r>
  <r>
    <x v="0"/>
    <n v="22"/>
    <x v="18"/>
    <x v="0"/>
    <s v="Humanista"/>
    <x v="1"/>
    <n v="54"/>
  </r>
  <r>
    <x v="0"/>
    <n v="22"/>
    <x v="18"/>
    <x v="0"/>
    <s v="Partido de los Trabajadores Soc."/>
    <x v="1"/>
    <n v="61"/>
  </r>
  <r>
    <x v="0"/>
    <n v="22"/>
    <x v="18"/>
    <x v="0"/>
    <s v="FREPAM"/>
    <x v="2"/>
    <n v="178"/>
  </r>
  <r>
    <x v="0"/>
    <n v="22"/>
    <x v="18"/>
    <x v="0"/>
    <s v="Izquierda al Frente por el Soc."/>
    <x v="1"/>
    <n v="85"/>
  </r>
  <r>
    <x v="0"/>
    <n v="22"/>
    <x v="18"/>
    <x v="0"/>
    <s v="Cambiemos"/>
    <x v="2"/>
    <n v="2793"/>
  </r>
  <r>
    <x v="0"/>
    <n v="22"/>
    <x v="18"/>
    <x v="0"/>
    <s v="Nulo"/>
    <x v="3"/>
    <n v="89"/>
  </r>
  <r>
    <x v="0"/>
    <n v="22"/>
    <x v="18"/>
    <x v="0"/>
    <s v="Blanco"/>
    <x v="3"/>
    <n v="50"/>
  </r>
  <r>
    <x v="0"/>
    <n v="23"/>
    <x v="19"/>
    <x v="0"/>
    <s v="PJ"/>
    <x v="0"/>
    <n v="208"/>
  </r>
  <r>
    <x v="0"/>
    <n v="23"/>
    <x v="19"/>
    <x v="0"/>
    <s v="Humanista"/>
    <x v="1"/>
    <n v="4"/>
  </r>
  <r>
    <x v="0"/>
    <n v="23"/>
    <x v="19"/>
    <x v="0"/>
    <s v="Partido de los Trabajadores Soc."/>
    <x v="1"/>
    <n v="4"/>
  </r>
  <r>
    <x v="0"/>
    <n v="23"/>
    <x v="19"/>
    <x v="0"/>
    <s v="FREPAM"/>
    <x v="2"/>
    <n v="104"/>
  </r>
  <r>
    <x v="0"/>
    <n v="23"/>
    <x v="19"/>
    <x v="0"/>
    <s v="Izquierda al Frente por el Soc."/>
    <x v="1"/>
    <n v="9"/>
  </r>
  <r>
    <x v="0"/>
    <n v="23"/>
    <x v="19"/>
    <x v="0"/>
    <s v="Cambiemos"/>
    <x v="2"/>
    <n v="202"/>
  </r>
  <r>
    <x v="0"/>
    <n v="23"/>
    <x v="19"/>
    <x v="0"/>
    <s v="Nulo"/>
    <x v="3"/>
    <n v="0"/>
  </r>
  <r>
    <x v="0"/>
    <n v="23"/>
    <x v="19"/>
    <x v="0"/>
    <s v="Blanco"/>
    <x v="3"/>
    <n v="9"/>
  </r>
  <r>
    <x v="0"/>
    <n v="24"/>
    <x v="20"/>
    <x v="0"/>
    <s v="PJ"/>
    <x v="0"/>
    <n v="216"/>
  </r>
  <r>
    <x v="0"/>
    <n v="24"/>
    <x v="20"/>
    <x v="0"/>
    <s v="Humanista"/>
    <x v="1"/>
    <n v="2"/>
  </r>
  <r>
    <x v="0"/>
    <n v="24"/>
    <x v="20"/>
    <x v="0"/>
    <s v="Partido de los Trabajadores Soc."/>
    <x v="1"/>
    <n v="6"/>
  </r>
  <r>
    <x v="0"/>
    <n v="24"/>
    <x v="20"/>
    <x v="0"/>
    <s v="FREPAM"/>
    <x v="2"/>
    <n v="8"/>
  </r>
  <r>
    <x v="0"/>
    <n v="24"/>
    <x v="20"/>
    <x v="0"/>
    <s v="Izquierda al Frente por el Soc."/>
    <x v="1"/>
    <n v="5"/>
  </r>
  <r>
    <x v="0"/>
    <n v="24"/>
    <x v="20"/>
    <x v="0"/>
    <s v="Cambiemos"/>
    <x v="2"/>
    <n v="122"/>
  </r>
  <r>
    <x v="0"/>
    <n v="24"/>
    <x v="20"/>
    <x v="0"/>
    <s v="Nulo"/>
    <x v="3"/>
    <n v="5"/>
  </r>
  <r>
    <x v="0"/>
    <n v="24"/>
    <x v="20"/>
    <x v="0"/>
    <s v="Blanco"/>
    <x v="3"/>
    <n v="3"/>
  </r>
  <r>
    <x v="0"/>
    <n v="25"/>
    <x v="21"/>
    <x v="0"/>
    <s v="PJ"/>
    <x v="0"/>
    <n v="450"/>
  </r>
  <r>
    <x v="0"/>
    <n v="25"/>
    <x v="21"/>
    <x v="0"/>
    <s v="Humanista"/>
    <x v="1"/>
    <n v="7"/>
  </r>
  <r>
    <x v="0"/>
    <n v="25"/>
    <x v="21"/>
    <x v="0"/>
    <s v="Partido de los Trabajadores Soc."/>
    <x v="1"/>
    <n v="8"/>
  </r>
  <r>
    <x v="0"/>
    <n v="25"/>
    <x v="21"/>
    <x v="0"/>
    <s v="FREPAM"/>
    <x v="2"/>
    <n v="10"/>
  </r>
  <r>
    <x v="0"/>
    <n v="25"/>
    <x v="21"/>
    <x v="0"/>
    <s v="Izquierda al Frente por el Soc."/>
    <x v="1"/>
    <n v="7"/>
  </r>
  <r>
    <x v="0"/>
    <n v="25"/>
    <x v="21"/>
    <x v="0"/>
    <s v="Cambiemos"/>
    <x v="2"/>
    <n v="109"/>
  </r>
  <r>
    <x v="0"/>
    <n v="25"/>
    <x v="21"/>
    <x v="0"/>
    <s v="Nulo"/>
    <x v="3"/>
    <n v="4"/>
  </r>
  <r>
    <x v="0"/>
    <n v="25"/>
    <x v="21"/>
    <x v="0"/>
    <s v="Blanco"/>
    <x v="3"/>
    <n v="3"/>
  </r>
  <r>
    <x v="0"/>
    <n v="26"/>
    <x v="22"/>
    <x v="0"/>
    <s v="PJ"/>
    <x v="0"/>
    <n v="278"/>
  </r>
  <r>
    <x v="0"/>
    <n v="26"/>
    <x v="22"/>
    <x v="0"/>
    <s v="Humanista"/>
    <x v="1"/>
    <n v="2"/>
  </r>
  <r>
    <x v="0"/>
    <n v="26"/>
    <x v="22"/>
    <x v="0"/>
    <s v="Partido de los Trabajadores Soc."/>
    <x v="1"/>
    <n v="6"/>
  </r>
  <r>
    <x v="0"/>
    <n v="26"/>
    <x v="22"/>
    <x v="0"/>
    <s v="FREPAM"/>
    <x v="2"/>
    <n v="5"/>
  </r>
  <r>
    <x v="0"/>
    <n v="26"/>
    <x v="22"/>
    <x v="0"/>
    <s v="Izquierda al Frente por el Soc."/>
    <x v="1"/>
    <n v="5"/>
  </r>
  <r>
    <x v="0"/>
    <n v="26"/>
    <x v="22"/>
    <x v="0"/>
    <s v="Cambiemos"/>
    <x v="2"/>
    <n v="120"/>
  </r>
  <r>
    <x v="0"/>
    <n v="26"/>
    <x v="22"/>
    <x v="0"/>
    <s v="Nulo"/>
    <x v="3"/>
    <n v="6"/>
  </r>
  <r>
    <x v="0"/>
    <n v="26"/>
    <x v="22"/>
    <x v="0"/>
    <s v="Blanco"/>
    <x v="3"/>
    <n v="1"/>
  </r>
  <r>
    <x v="0"/>
    <n v="27"/>
    <x v="23"/>
    <x v="0"/>
    <s v="PJ"/>
    <x v="0"/>
    <n v="3100"/>
  </r>
  <r>
    <x v="0"/>
    <n v="27"/>
    <x v="23"/>
    <x v="0"/>
    <s v="Humanista"/>
    <x v="1"/>
    <n v="86"/>
  </r>
  <r>
    <x v="0"/>
    <n v="27"/>
    <x v="23"/>
    <x v="0"/>
    <s v="Partido de los Trabajadores Soc."/>
    <x v="1"/>
    <n v="110"/>
  </r>
  <r>
    <x v="0"/>
    <n v="27"/>
    <x v="23"/>
    <x v="0"/>
    <s v="FREPAM"/>
    <x v="2"/>
    <n v="89"/>
  </r>
  <r>
    <x v="0"/>
    <n v="27"/>
    <x v="23"/>
    <x v="0"/>
    <s v="Izquierda al Frente por el Soc."/>
    <x v="1"/>
    <n v="102"/>
  </r>
  <r>
    <x v="0"/>
    <n v="27"/>
    <x v="23"/>
    <x v="0"/>
    <s v="Cambiemos"/>
    <x v="2"/>
    <n v="2750"/>
  </r>
  <r>
    <x v="0"/>
    <n v="27"/>
    <x v="23"/>
    <x v="0"/>
    <s v="Nulo"/>
    <x v="3"/>
    <n v="156"/>
  </r>
  <r>
    <x v="0"/>
    <n v="27"/>
    <x v="23"/>
    <x v="0"/>
    <s v="Blanco"/>
    <x v="3"/>
    <n v="68"/>
  </r>
  <r>
    <x v="0"/>
    <n v="28"/>
    <x v="24"/>
    <x v="0"/>
    <s v="PJ"/>
    <x v="0"/>
    <n v="131"/>
  </r>
  <r>
    <x v="0"/>
    <n v="28"/>
    <x v="24"/>
    <x v="0"/>
    <s v="Humanista"/>
    <x v="1"/>
    <n v="3"/>
  </r>
  <r>
    <x v="0"/>
    <n v="28"/>
    <x v="24"/>
    <x v="0"/>
    <s v="Partido de los Trabajadores Soc."/>
    <x v="1"/>
    <n v="4"/>
  </r>
  <r>
    <x v="0"/>
    <n v="28"/>
    <x v="24"/>
    <x v="0"/>
    <s v="FREPAM"/>
    <x v="2"/>
    <n v="8"/>
  </r>
  <r>
    <x v="0"/>
    <n v="28"/>
    <x v="24"/>
    <x v="0"/>
    <s v="Izquierda al Frente por el Soc."/>
    <x v="1"/>
    <n v="2"/>
  </r>
  <r>
    <x v="0"/>
    <n v="28"/>
    <x v="24"/>
    <x v="0"/>
    <s v="Cambiemos"/>
    <x v="2"/>
    <n v="141"/>
  </r>
  <r>
    <x v="0"/>
    <n v="28"/>
    <x v="24"/>
    <x v="0"/>
    <s v="Nulo"/>
    <x v="3"/>
    <n v="0"/>
  </r>
  <r>
    <x v="0"/>
    <n v="28"/>
    <x v="24"/>
    <x v="0"/>
    <s v="Blanco"/>
    <x v="3"/>
    <n v="1"/>
  </r>
  <r>
    <x v="0"/>
    <n v="29"/>
    <x v="25"/>
    <x v="0"/>
    <s v="PJ"/>
    <x v="0"/>
    <n v="163"/>
  </r>
  <r>
    <x v="0"/>
    <n v="29"/>
    <x v="25"/>
    <x v="0"/>
    <s v="Humanista"/>
    <x v="1"/>
    <n v="2"/>
  </r>
  <r>
    <x v="0"/>
    <n v="29"/>
    <x v="25"/>
    <x v="0"/>
    <s v="Partido de los Trabajadores Soc."/>
    <x v="1"/>
    <n v="2"/>
  </r>
  <r>
    <x v="0"/>
    <n v="29"/>
    <x v="25"/>
    <x v="0"/>
    <s v="FREPAM"/>
    <x v="2"/>
    <n v="16"/>
  </r>
  <r>
    <x v="0"/>
    <n v="29"/>
    <x v="25"/>
    <x v="0"/>
    <s v="Izquierda al Frente por el Soc."/>
    <x v="1"/>
    <n v="1"/>
  </r>
  <r>
    <x v="0"/>
    <n v="29"/>
    <x v="25"/>
    <x v="0"/>
    <s v="Cambiemos"/>
    <x v="2"/>
    <n v="214"/>
  </r>
  <r>
    <x v="0"/>
    <n v="29"/>
    <x v="25"/>
    <x v="0"/>
    <s v="Nulo"/>
    <x v="3"/>
    <n v="13"/>
  </r>
  <r>
    <x v="0"/>
    <n v="29"/>
    <x v="25"/>
    <x v="0"/>
    <s v="Blanco"/>
    <x v="3"/>
    <n v="2"/>
  </r>
  <r>
    <x v="0"/>
    <n v="30"/>
    <x v="26"/>
    <x v="0"/>
    <s v="PJ"/>
    <x v="0"/>
    <n v="137"/>
  </r>
  <r>
    <x v="0"/>
    <n v="30"/>
    <x v="26"/>
    <x v="0"/>
    <s v="Humanista"/>
    <x v="1"/>
    <n v="3"/>
  </r>
  <r>
    <x v="0"/>
    <n v="30"/>
    <x v="26"/>
    <x v="0"/>
    <s v="Partido de los Trabajadores Soc."/>
    <x v="1"/>
    <n v="2"/>
  </r>
  <r>
    <x v="0"/>
    <n v="30"/>
    <x v="26"/>
    <x v="0"/>
    <s v="FREPAM"/>
    <x v="2"/>
    <n v="2"/>
  </r>
  <r>
    <x v="0"/>
    <n v="30"/>
    <x v="26"/>
    <x v="0"/>
    <s v="Izquierda al Frente por el Soc."/>
    <x v="1"/>
    <n v="3"/>
  </r>
  <r>
    <x v="0"/>
    <n v="30"/>
    <x v="26"/>
    <x v="0"/>
    <s v="Cambiemos"/>
    <x v="2"/>
    <n v="49"/>
  </r>
  <r>
    <x v="0"/>
    <n v="30"/>
    <x v="26"/>
    <x v="0"/>
    <s v="Nulo"/>
    <x v="3"/>
    <n v="0"/>
  </r>
  <r>
    <x v="0"/>
    <n v="30"/>
    <x v="26"/>
    <x v="0"/>
    <s v="Blanco"/>
    <x v="3"/>
    <n v="7"/>
  </r>
  <r>
    <x v="0"/>
    <n v="31"/>
    <x v="27"/>
    <x v="0"/>
    <s v="PJ"/>
    <x v="0"/>
    <n v="906"/>
  </r>
  <r>
    <x v="0"/>
    <n v="31"/>
    <x v="27"/>
    <x v="0"/>
    <s v="Humanista"/>
    <x v="1"/>
    <n v="32"/>
  </r>
  <r>
    <x v="0"/>
    <n v="31"/>
    <x v="27"/>
    <x v="0"/>
    <s v="Partido de los Trabajadores Soc."/>
    <x v="1"/>
    <n v="32"/>
  </r>
  <r>
    <x v="0"/>
    <n v="31"/>
    <x v="27"/>
    <x v="0"/>
    <s v="FREPAM"/>
    <x v="2"/>
    <n v="26"/>
  </r>
  <r>
    <x v="0"/>
    <n v="31"/>
    <x v="27"/>
    <x v="0"/>
    <s v="Izquierda al Frente por el Soc."/>
    <x v="1"/>
    <n v="29"/>
  </r>
  <r>
    <x v="0"/>
    <n v="31"/>
    <x v="27"/>
    <x v="0"/>
    <s v="Cambiemos"/>
    <x v="2"/>
    <n v="897"/>
  </r>
  <r>
    <x v="0"/>
    <n v="31"/>
    <x v="27"/>
    <x v="0"/>
    <s v="Nulo"/>
    <x v="3"/>
    <n v="28"/>
  </r>
  <r>
    <x v="0"/>
    <n v="31"/>
    <x v="27"/>
    <x v="0"/>
    <s v="Blanco"/>
    <x v="3"/>
    <n v="18"/>
  </r>
  <r>
    <x v="0"/>
    <n v="32"/>
    <x v="28"/>
    <x v="0"/>
    <s v="PJ"/>
    <x v="0"/>
    <n v="175"/>
  </r>
  <r>
    <x v="0"/>
    <n v="32"/>
    <x v="28"/>
    <x v="0"/>
    <s v="Humanista"/>
    <x v="1"/>
    <n v="1"/>
  </r>
  <r>
    <x v="0"/>
    <n v="32"/>
    <x v="28"/>
    <x v="0"/>
    <s v="Partido de los Trabajadores Soc."/>
    <x v="1"/>
    <n v="3"/>
  </r>
  <r>
    <x v="0"/>
    <n v="32"/>
    <x v="28"/>
    <x v="0"/>
    <s v="FREPAM"/>
    <x v="2"/>
    <n v="5"/>
  </r>
  <r>
    <x v="0"/>
    <n v="32"/>
    <x v="28"/>
    <x v="0"/>
    <s v="Izquierda al Frente por el Soc."/>
    <x v="1"/>
    <n v="2"/>
  </r>
  <r>
    <x v="0"/>
    <n v="32"/>
    <x v="28"/>
    <x v="0"/>
    <s v="Cambiemos"/>
    <x v="2"/>
    <n v="59"/>
  </r>
  <r>
    <x v="0"/>
    <n v="32"/>
    <x v="28"/>
    <x v="0"/>
    <s v="Nulo"/>
    <x v="3"/>
    <n v="9"/>
  </r>
  <r>
    <x v="0"/>
    <n v="32"/>
    <x v="28"/>
    <x v="0"/>
    <s v="Blanco"/>
    <x v="3"/>
    <n v="1"/>
  </r>
  <r>
    <x v="0"/>
    <n v="33"/>
    <x v="29"/>
    <x v="0"/>
    <s v="PJ"/>
    <x v="0"/>
    <n v="250"/>
  </r>
  <r>
    <x v="0"/>
    <n v="33"/>
    <x v="29"/>
    <x v="0"/>
    <s v="Humanista"/>
    <x v="1"/>
    <n v="2"/>
  </r>
  <r>
    <x v="0"/>
    <n v="33"/>
    <x v="29"/>
    <x v="0"/>
    <s v="Partido de los Trabajadores Soc."/>
    <x v="1"/>
    <n v="2"/>
  </r>
  <r>
    <x v="0"/>
    <n v="33"/>
    <x v="29"/>
    <x v="0"/>
    <s v="FREPAM"/>
    <x v="2"/>
    <n v="2"/>
  </r>
  <r>
    <x v="0"/>
    <n v="33"/>
    <x v="29"/>
    <x v="0"/>
    <s v="Izquierda al Frente por el Soc."/>
    <x v="1"/>
    <n v="4"/>
  </r>
  <r>
    <x v="0"/>
    <n v="33"/>
    <x v="29"/>
    <x v="0"/>
    <s v="Cambiemos"/>
    <x v="2"/>
    <n v="113"/>
  </r>
  <r>
    <x v="0"/>
    <n v="33"/>
    <x v="29"/>
    <x v="0"/>
    <s v="Nulo"/>
    <x v="3"/>
    <n v="1"/>
  </r>
  <r>
    <x v="0"/>
    <n v="33"/>
    <x v="29"/>
    <x v="0"/>
    <s v="Blanco"/>
    <x v="3"/>
    <n v="3"/>
  </r>
  <r>
    <x v="0"/>
    <n v="34"/>
    <x v="30"/>
    <x v="0"/>
    <s v="PJ"/>
    <x v="0"/>
    <n v="719"/>
  </r>
  <r>
    <x v="0"/>
    <n v="34"/>
    <x v="30"/>
    <x v="0"/>
    <s v="Humanista"/>
    <x v="1"/>
    <n v="16"/>
  </r>
  <r>
    <x v="0"/>
    <n v="34"/>
    <x v="30"/>
    <x v="0"/>
    <s v="Partido de los Trabajadores Soc."/>
    <x v="1"/>
    <n v="9"/>
  </r>
  <r>
    <x v="0"/>
    <n v="34"/>
    <x v="30"/>
    <x v="0"/>
    <s v="FREPAM"/>
    <x v="2"/>
    <n v="20"/>
  </r>
  <r>
    <x v="0"/>
    <n v="34"/>
    <x v="30"/>
    <x v="0"/>
    <s v="Izquierda al Frente por el Soc."/>
    <x v="1"/>
    <n v="11"/>
  </r>
  <r>
    <x v="0"/>
    <n v="34"/>
    <x v="30"/>
    <x v="0"/>
    <s v="Cambiemos"/>
    <x v="2"/>
    <n v="712"/>
  </r>
  <r>
    <x v="0"/>
    <n v="34"/>
    <x v="30"/>
    <x v="0"/>
    <s v="Nulo"/>
    <x v="3"/>
    <n v="0"/>
  </r>
  <r>
    <x v="0"/>
    <n v="34"/>
    <x v="30"/>
    <x v="0"/>
    <s v="Blanco"/>
    <x v="3"/>
    <n v="3"/>
  </r>
  <r>
    <x v="0"/>
    <n v="35"/>
    <x v="31"/>
    <x v="0"/>
    <s v="PJ"/>
    <x v="0"/>
    <n v="237"/>
  </r>
  <r>
    <x v="0"/>
    <n v="35"/>
    <x v="31"/>
    <x v="0"/>
    <s v="Humanista"/>
    <x v="1"/>
    <n v="7"/>
  </r>
  <r>
    <x v="0"/>
    <n v="35"/>
    <x v="31"/>
    <x v="0"/>
    <s v="Partido de los Trabajadores Soc."/>
    <x v="1"/>
    <n v="13"/>
  </r>
  <r>
    <x v="0"/>
    <n v="35"/>
    <x v="31"/>
    <x v="0"/>
    <s v="FREPAM"/>
    <x v="2"/>
    <n v="10"/>
  </r>
  <r>
    <x v="0"/>
    <n v="35"/>
    <x v="31"/>
    <x v="0"/>
    <s v="Izquierda al Frente por el Soc."/>
    <x v="1"/>
    <n v="15"/>
  </r>
  <r>
    <x v="0"/>
    <n v="35"/>
    <x v="31"/>
    <x v="0"/>
    <s v="Cambiemos"/>
    <x v="2"/>
    <n v="478"/>
  </r>
  <r>
    <x v="0"/>
    <n v="35"/>
    <x v="31"/>
    <x v="0"/>
    <s v="Nulo"/>
    <x v="3"/>
    <n v="14"/>
  </r>
  <r>
    <x v="0"/>
    <n v="35"/>
    <x v="31"/>
    <x v="0"/>
    <s v="Blanco"/>
    <x v="3"/>
    <n v="12"/>
  </r>
  <r>
    <x v="0"/>
    <n v="36"/>
    <x v="32"/>
    <x v="0"/>
    <s v="PJ"/>
    <x v="0"/>
    <n v="987"/>
  </r>
  <r>
    <x v="0"/>
    <n v="36"/>
    <x v="32"/>
    <x v="0"/>
    <s v="Humanista"/>
    <x v="1"/>
    <n v="46"/>
  </r>
  <r>
    <x v="0"/>
    <n v="36"/>
    <x v="32"/>
    <x v="0"/>
    <s v="Partido de los Trabajadores Soc."/>
    <x v="1"/>
    <n v="32"/>
  </r>
  <r>
    <x v="0"/>
    <n v="36"/>
    <x v="32"/>
    <x v="0"/>
    <s v="FREPAM"/>
    <x v="2"/>
    <n v="59"/>
  </r>
  <r>
    <x v="0"/>
    <n v="36"/>
    <x v="32"/>
    <x v="0"/>
    <s v="Izquierda al Frente por el Soc."/>
    <x v="1"/>
    <n v="54"/>
  </r>
  <r>
    <x v="0"/>
    <n v="36"/>
    <x v="32"/>
    <x v="0"/>
    <s v="Cambiemos"/>
    <x v="2"/>
    <n v="1730"/>
  </r>
  <r>
    <x v="0"/>
    <n v="36"/>
    <x v="32"/>
    <x v="0"/>
    <s v="Nulo"/>
    <x v="3"/>
    <n v="44"/>
  </r>
  <r>
    <x v="0"/>
    <n v="36"/>
    <x v="32"/>
    <x v="0"/>
    <s v="Blanco"/>
    <x v="3"/>
    <n v="57"/>
  </r>
  <r>
    <x v="0"/>
    <n v="37"/>
    <x v="33"/>
    <x v="0"/>
    <s v="PJ"/>
    <x v="0"/>
    <n v="27"/>
  </r>
  <r>
    <x v="0"/>
    <n v="37"/>
    <x v="33"/>
    <x v="0"/>
    <s v="Humanista"/>
    <x v="1"/>
    <n v="0"/>
  </r>
  <r>
    <x v="0"/>
    <n v="37"/>
    <x v="33"/>
    <x v="0"/>
    <s v="Partido de los Trabajadores Soc."/>
    <x v="1"/>
    <n v="0"/>
  </r>
  <r>
    <x v="0"/>
    <n v="37"/>
    <x v="33"/>
    <x v="0"/>
    <s v="FREPAM"/>
    <x v="2"/>
    <n v="2"/>
  </r>
  <r>
    <x v="0"/>
    <n v="37"/>
    <x v="33"/>
    <x v="0"/>
    <s v="Izquierda al Frente por el Soc."/>
    <x v="1"/>
    <n v="0"/>
  </r>
  <r>
    <x v="0"/>
    <n v="37"/>
    <x v="33"/>
    <x v="0"/>
    <s v="Cambiemos"/>
    <x v="2"/>
    <n v="19"/>
  </r>
  <r>
    <x v="0"/>
    <n v="37"/>
    <x v="33"/>
    <x v="0"/>
    <s v="Nulo"/>
    <x v="3"/>
    <n v="0"/>
  </r>
  <r>
    <x v="0"/>
    <n v="37"/>
    <x v="33"/>
    <x v="0"/>
    <s v="Blanco"/>
    <x v="3"/>
    <n v="0"/>
  </r>
  <r>
    <x v="0"/>
    <n v="38"/>
    <x v="34"/>
    <x v="0"/>
    <s v="PJ"/>
    <x v="0"/>
    <n v="76"/>
  </r>
  <r>
    <x v="0"/>
    <n v="38"/>
    <x v="34"/>
    <x v="0"/>
    <s v="Humanista"/>
    <x v="1"/>
    <n v="9"/>
  </r>
  <r>
    <x v="0"/>
    <n v="38"/>
    <x v="34"/>
    <x v="0"/>
    <s v="Partido de los Trabajadores Soc."/>
    <x v="1"/>
    <n v="9"/>
  </r>
  <r>
    <x v="0"/>
    <n v="38"/>
    <x v="34"/>
    <x v="0"/>
    <s v="FREPAM"/>
    <x v="2"/>
    <n v="6"/>
  </r>
  <r>
    <x v="0"/>
    <n v="38"/>
    <x v="34"/>
    <x v="0"/>
    <s v="Izquierda al Frente por el Soc."/>
    <x v="1"/>
    <n v="5"/>
  </r>
  <r>
    <x v="0"/>
    <n v="38"/>
    <x v="34"/>
    <x v="0"/>
    <s v="Cambiemos"/>
    <x v="2"/>
    <n v="161"/>
  </r>
  <r>
    <x v="0"/>
    <n v="38"/>
    <x v="34"/>
    <x v="0"/>
    <s v="Nulo"/>
    <x v="3"/>
    <n v="7"/>
  </r>
  <r>
    <x v="0"/>
    <n v="38"/>
    <x v="34"/>
    <x v="0"/>
    <s v="Blanco"/>
    <x v="3"/>
    <n v="5"/>
  </r>
  <r>
    <x v="0"/>
    <n v="39"/>
    <x v="35"/>
    <x v="0"/>
    <s v="PJ"/>
    <x v="0"/>
    <n v="742"/>
  </r>
  <r>
    <x v="0"/>
    <n v="39"/>
    <x v="35"/>
    <x v="0"/>
    <s v="Humanista"/>
    <x v="1"/>
    <n v="14"/>
  </r>
  <r>
    <x v="0"/>
    <n v="39"/>
    <x v="35"/>
    <x v="0"/>
    <s v="Partido de los Trabajadores Soc."/>
    <x v="1"/>
    <n v="7"/>
  </r>
  <r>
    <x v="0"/>
    <n v="39"/>
    <x v="35"/>
    <x v="0"/>
    <s v="FREPAM"/>
    <x v="2"/>
    <n v="14"/>
  </r>
  <r>
    <x v="0"/>
    <n v="39"/>
    <x v="35"/>
    <x v="0"/>
    <s v="Izquierda al Frente por el Soc."/>
    <x v="1"/>
    <n v="26"/>
  </r>
  <r>
    <x v="0"/>
    <n v="39"/>
    <x v="35"/>
    <x v="0"/>
    <s v="Cambiemos"/>
    <x v="2"/>
    <n v="444"/>
  </r>
  <r>
    <x v="0"/>
    <n v="39"/>
    <x v="35"/>
    <x v="0"/>
    <s v="Nulo"/>
    <x v="3"/>
    <n v="20"/>
  </r>
  <r>
    <x v="0"/>
    <n v="39"/>
    <x v="35"/>
    <x v="0"/>
    <s v="Blanco"/>
    <x v="3"/>
    <n v="20"/>
  </r>
  <r>
    <x v="0"/>
    <s v="39 A"/>
    <x v="36"/>
    <x v="0"/>
    <s v="PJ"/>
    <x v="0"/>
    <n v="184"/>
  </r>
  <r>
    <x v="0"/>
    <s v="39 A"/>
    <x v="36"/>
    <x v="0"/>
    <s v="Humanista"/>
    <x v="1"/>
    <n v="190"/>
  </r>
  <r>
    <x v="0"/>
    <s v="39 A"/>
    <x v="36"/>
    <x v="0"/>
    <s v="Partido de los Trabajadores Soc."/>
    <x v="1"/>
    <n v="4"/>
  </r>
  <r>
    <x v="0"/>
    <s v="39 A"/>
    <x v="36"/>
    <x v="0"/>
    <s v="FREPAM"/>
    <x v="2"/>
    <n v="3"/>
  </r>
  <r>
    <x v="0"/>
    <s v="39 A"/>
    <x v="36"/>
    <x v="0"/>
    <s v="Izquierda al Frente por el Soc."/>
    <x v="1"/>
    <n v="2"/>
  </r>
  <r>
    <x v="0"/>
    <s v="39 A"/>
    <x v="36"/>
    <x v="0"/>
    <s v="Cambiemos"/>
    <x v="2"/>
    <n v="121"/>
  </r>
  <r>
    <x v="0"/>
    <s v="39 A"/>
    <x v="36"/>
    <x v="0"/>
    <s v="Nulo"/>
    <x v="3"/>
    <n v="3"/>
  </r>
  <r>
    <x v="0"/>
    <s v="39 A"/>
    <x v="36"/>
    <x v="0"/>
    <s v="Blanco"/>
    <x v="3"/>
    <n v="8"/>
  </r>
  <r>
    <x v="0"/>
    <n v="40"/>
    <x v="37"/>
    <x v="0"/>
    <s v="PJ"/>
    <x v="0"/>
    <n v="799"/>
  </r>
  <r>
    <x v="0"/>
    <n v="40"/>
    <x v="37"/>
    <x v="0"/>
    <s v="Humanista"/>
    <x v="1"/>
    <n v="11"/>
  </r>
  <r>
    <x v="0"/>
    <n v="40"/>
    <x v="37"/>
    <x v="0"/>
    <s v="Partido de los Trabajadores Soc."/>
    <x v="1"/>
    <n v="12"/>
  </r>
  <r>
    <x v="0"/>
    <n v="40"/>
    <x v="37"/>
    <x v="0"/>
    <s v="FREPAM"/>
    <x v="2"/>
    <n v="18"/>
  </r>
  <r>
    <x v="0"/>
    <n v="40"/>
    <x v="37"/>
    <x v="0"/>
    <s v="Izquierda al Frente por el Soc."/>
    <x v="1"/>
    <n v="20"/>
  </r>
  <r>
    <x v="0"/>
    <n v="40"/>
    <x v="37"/>
    <x v="0"/>
    <s v="Cambiemos"/>
    <x v="2"/>
    <n v="1073"/>
  </r>
  <r>
    <x v="0"/>
    <n v="40"/>
    <x v="37"/>
    <x v="0"/>
    <s v="Nulo"/>
    <x v="3"/>
    <n v="27"/>
  </r>
  <r>
    <x v="0"/>
    <n v="40"/>
    <x v="37"/>
    <x v="0"/>
    <s v="Blanco"/>
    <x v="3"/>
    <n v="21"/>
  </r>
  <r>
    <x v="0"/>
    <n v="42"/>
    <x v="38"/>
    <x v="0"/>
    <s v="PJ"/>
    <x v="0"/>
    <n v="862"/>
  </r>
  <r>
    <x v="0"/>
    <n v="42"/>
    <x v="38"/>
    <x v="0"/>
    <s v="Humanista"/>
    <x v="1"/>
    <n v="11"/>
  </r>
  <r>
    <x v="0"/>
    <n v="42"/>
    <x v="38"/>
    <x v="0"/>
    <s v="Partido de los Trabajadores Soc."/>
    <x v="1"/>
    <n v="17"/>
  </r>
  <r>
    <x v="0"/>
    <n v="42"/>
    <x v="38"/>
    <x v="0"/>
    <s v="FREPAM"/>
    <x v="2"/>
    <n v="14"/>
  </r>
  <r>
    <x v="0"/>
    <n v="42"/>
    <x v="38"/>
    <x v="0"/>
    <s v="Izquierda al Frente por el Soc."/>
    <x v="1"/>
    <n v="31"/>
  </r>
  <r>
    <x v="0"/>
    <n v="42"/>
    <x v="38"/>
    <x v="0"/>
    <s v="Cambiemos"/>
    <x v="2"/>
    <n v="972"/>
  </r>
  <r>
    <x v="0"/>
    <n v="42"/>
    <x v="38"/>
    <x v="0"/>
    <s v="Nulo"/>
    <x v="3"/>
    <n v="28"/>
  </r>
  <r>
    <x v="0"/>
    <n v="42"/>
    <x v="38"/>
    <x v="0"/>
    <s v="Blanco"/>
    <x v="3"/>
    <n v="13"/>
  </r>
  <r>
    <x v="0"/>
    <n v="43"/>
    <x v="39"/>
    <x v="0"/>
    <s v="PJ"/>
    <x v="0"/>
    <n v="173"/>
  </r>
  <r>
    <x v="0"/>
    <n v="43"/>
    <x v="39"/>
    <x v="0"/>
    <s v="Humanista"/>
    <x v="1"/>
    <n v="2"/>
  </r>
  <r>
    <x v="0"/>
    <n v="43"/>
    <x v="39"/>
    <x v="0"/>
    <s v="Partido de los Trabajadores Soc."/>
    <x v="1"/>
    <n v="3"/>
  </r>
  <r>
    <x v="0"/>
    <n v="43"/>
    <x v="39"/>
    <x v="0"/>
    <s v="FREPAM"/>
    <x v="2"/>
    <n v="1"/>
  </r>
  <r>
    <x v="0"/>
    <n v="43"/>
    <x v="39"/>
    <x v="0"/>
    <s v="Izquierda al Frente por el Soc."/>
    <x v="1"/>
    <n v="2"/>
  </r>
  <r>
    <x v="0"/>
    <n v="43"/>
    <x v="39"/>
    <x v="0"/>
    <s v="Cambiemos"/>
    <x v="2"/>
    <n v="93"/>
  </r>
  <r>
    <x v="0"/>
    <n v="43"/>
    <x v="39"/>
    <x v="0"/>
    <s v="Nulo"/>
    <x v="3"/>
    <n v="0"/>
  </r>
  <r>
    <x v="0"/>
    <n v="43"/>
    <x v="39"/>
    <x v="0"/>
    <s v="Blanco"/>
    <x v="3"/>
    <n v="2"/>
  </r>
  <r>
    <x v="0"/>
    <n v="45"/>
    <x v="40"/>
    <x v="0"/>
    <s v="PJ"/>
    <x v="0"/>
    <n v="81"/>
  </r>
  <r>
    <x v="0"/>
    <n v="45"/>
    <x v="40"/>
    <x v="0"/>
    <s v="Humanista"/>
    <x v="1"/>
    <n v="0"/>
  </r>
  <r>
    <x v="0"/>
    <n v="45"/>
    <x v="40"/>
    <x v="0"/>
    <s v="Partido de los Trabajadores Soc."/>
    <x v="1"/>
    <n v="0"/>
  </r>
  <r>
    <x v="0"/>
    <n v="45"/>
    <x v="40"/>
    <x v="0"/>
    <s v="FREPAM"/>
    <x v="2"/>
    <n v="1"/>
  </r>
  <r>
    <x v="0"/>
    <n v="45"/>
    <x v="40"/>
    <x v="0"/>
    <s v="Izquierda al Frente por el Soc."/>
    <x v="1"/>
    <n v="0"/>
  </r>
  <r>
    <x v="0"/>
    <n v="45"/>
    <x v="40"/>
    <x v="0"/>
    <s v="Cambiemos"/>
    <x v="2"/>
    <n v="18"/>
  </r>
  <r>
    <x v="0"/>
    <n v="45"/>
    <x v="40"/>
    <x v="0"/>
    <s v="Nulo"/>
    <x v="3"/>
    <n v="1"/>
  </r>
  <r>
    <x v="0"/>
    <n v="45"/>
    <x v="40"/>
    <x v="0"/>
    <s v="Blanco"/>
    <x v="3"/>
    <n v="0"/>
  </r>
  <r>
    <x v="0"/>
    <n v="46"/>
    <x v="41"/>
    <x v="0"/>
    <s v="PJ"/>
    <x v="0"/>
    <n v="301"/>
  </r>
  <r>
    <x v="0"/>
    <n v="46"/>
    <x v="41"/>
    <x v="0"/>
    <s v="Humanista"/>
    <x v="1"/>
    <n v="5"/>
  </r>
  <r>
    <x v="0"/>
    <n v="46"/>
    <x v="41"/>
    <x v="0"/>
    <s v="Partido de los Trabajadores Soc."/>
    <x v="1"/>
    <n v="4"/>
  </r>
  <r>
    <x v="0"/>
    <n v="46"/>
    <x v="41"/>
    <x v="0"/>
    <s v="FREPAM"/>
    <x v="2"/>
    <n v="3"/>
  </r>
  <r>
    <x v="0"/>
    <n v="46"/>
    <x v="41"/>
    <x v="0"/>
    <s v="Izquierda al Frente por el Soc."/>
    <x v="1"/>
    <n v="5"/>
  </r>
  <r>
    <x v="0"/>
    <n v="46"/>
    <x v="41"/>
    <x v="0"/>
    <s v="Cambiemos"/>
    <x v="2"/>
    <n v="224"/>
  </r>
  <r>
    <x v="0"/>
    <n v="46"/>
    <x v="41"/>
    <x v="0"/>
    <s v="Nulo"/>
    <x v="3"/>
    <n v="5"/>
  </r>
  <r>
    <x v="0"/>
    <n v="46"/>
    <x v="41"/>
    <x v="0"/>
    <s v="Blanco"/>
    <x v="3"/>
    <n v="6"/>
  </r>
  <r>
    <x v="0"/>
    <n v="47"/>
    <x v="42"/>
    <x v="0"/>
    <s v="PJ"/>
    <x v="0"/>
    <n v="551"/>
  </r>
  <r>
    <x v="0"/>
    <n v="47"/>
    <x v="42"/>
    <x v="0"/>
    <s v="Humanista"/>
    <x v="1"/>
    <n v="8"/>
  </r>
  <r>
    <x v="0"/>
    <n v="47"/>
    <x v="42"/>
    <x v="0"/>
    <s v="Partido de los Trabajadores Soc."/>
    <x v="1"/>
    <n v="7"/>
  </r>
  <r>
    <x v="0"/>
    <n v="47"/>
    <x v="42"/>
    <x v="0"/>
    <s v="FREPAM"/>
    <x v="2"/>
    <n v="5"/>
  </r>
  <r>
    <x v="0"/>
    <n v="47"/>
    <x v="42"/>
    <x v="0"/>
    <s v="Izquierda al Frente por el Soc."/>
    <x v="1"/>
    <n v="7"/>
  </r>
  <r>
    <x v="0"/>
    <n v="47"/>
    <x v="42"/>
    <x v="0"/>
    <s v="Cambiemos"/>
    <x v="2"/>
    <n v="379"/>
  </r>
  <r>
    <x v="0"/>
    <n v="47"/>
    <x v="42"/>
    <x v="0"/>
    <s v="Nulo"/>
    <x v="3"/>
    <n v="14"/>
  </r>
  <r>
    <x v="0"/>
    <n v="47"/>
    <x v="42"/>
    <x v="0"/>
    <s v="Blanco"/>
    <x v="3"/>
    <n v="36"/>
  </r>
  <r>
    <x v="0"/>
    <n v="48"/>
    <x v="43"/>
    <x v="0"/>
    <s v="PJ"/>
    <x v="0"/>
    <n v="1912"/>
  </r>
  <r>
    <x v="0"/>
    <n v="48"/>
    <x v="43"/>
    <x v="0"/>
    <s v="Humanista"/>
    <x v="1"/>
    <n v="30"/>
  </r>
  <r>
    <x v="0"/>
    <n v="48"/>
    <x v="43"/>
    <x v="0"/>
    <s v="Partido de los Trabajadores Soc."/>
    <x v="1"/>
    <n v="42"/>
  </r>
  <r>
    <x v="0"/>
    <n v="48"/>
    <x v="43"/>
    <x v="0"/>
    <s v="FREPAM"/>
    <x v="2"/>
    <n v="91"/>
  </r>
  <r>
    <x v="0"/>
    <n v="48"/>
    <x v="43"/>
    <x v="0"/>
    <s v="Izquierda al Frente por el Soc."/>
    <x v="1"/>
    <n v="47"/>
  </r>
  <r>
    <x v="0"/>
    <n v="48"/>
    <x v="43"/>
    <x v="0"/>
    <s v="Cambiemos"/>
    <x v="2"/>
    <n v="1844"/>
  </r>
  <r>
    <x v="0"/>
    <n v="48"/>
    <x v="43"/>
    <x v="0"/>
    <s v="Nulo"/>
    <x v="3"/>
    <n v="91"/>
  </r>
  <r>
    <x v="0"/>
    <n v="48"/>
    <x v="43"/>
    <x v="0"/>
    <s v="Blanco"/>
    <x v="3"/>
    <n v="39"/>
  </r>
  <r>
    <x v="0"/>
    <n v="49"/>
    <x v="44"/>
    <x v="0"/>
    <s v="PJ"/>
    <x v="0"/>
    <n v="97"/>
  </r>
  <r>
    <x v="0"/>
    <n v="49"/>
    <x v="44"/>
    <x v="0"/>
    <s v="Humanista"/>
    <x v="1"/>
    <n v="2"/>
  </r>
  <r>
    <x v="0"/>
    <n v="49"/>
    <x v="44"/>
    <x v="0"/>
    <s v="Partido de los Trabajadores Soc."/>
    <x v="1"/>
    <n v="2"/>
  </r>
  <r>
    <x v="0"/>
    <n v="49"/>
    <x v="44"/>
    <x v="0"/>
    <s v="FREPAM"/>
    <x v="2"/>
    <n v="1"/>
  </r>
  <r>
    <x v="0"/>
    <n v="49"/>
    <x v="44"/>
    <x v="0"/>
    <s v="Izquierda al Frente por el Soc."/>
    <x v="1"/>
    <n v="4"/>
  </r>
  <r>
    <x v="0"/>
    <n v="49"/>
    <x v="44"/>
    <x v="0"/>
    <s v="Cambiemos"/>
    <x v="2"/>
    <n v="56"/>
  </r>
  <r>
    <x v="0"/>
    <n v="49"/>
    <x v="44"/>
    <x v="0"/>
    <s v="Nulo"/>
    <x v="3"/>
    <n v="3"/>
  </r>
  <r>
    <x v="0"/>
    <n v="49"/>
    <x v="44"/>
    <x v="0"/>
    <s v="Blanco"/>
    <x v="3"/>
    <n v="0"/>
  </r>
  <r>
    <x v="0"/>
    <n v="53"/>
    <x v="45"/>
    <x v="0"/>
    <s v="PJ"/>
    <x v="0"/>
    <n v="103"/>
  </r>
  <r>
    <x v="0"/>
    <n v="53"/>
    <x v="45"/>
    <x v="0"/>
    <s v="Humanista"/>
    <x v="1"/>
    <n v="0"/>
  </r>
  <r>
    <x v="0"/>
    <n v="53"/>
    <x v="45"/>
    <x v="0"/>
    <s v="Partido de los Trabajadores Soc."/>
    <x v="1"/>
    <n v="3"/>
  </r>
  <r>
    <x v="0"/>
    <n v="53"/>
    <x v="45"/>
    <x v="0"/>
    <s v="FREPAM"/>
    <x v="2"/>
    <n v="2"/>
  </r>
  <r>
    <x v="0"/>
    <n v="53"/>
    <x v="45"/>
    <x v="0"/>
    <s v="Izquierda al Frente por el Soc."/>
    <x v="1"/>
    <n v="4"/>
  </r>
  <r>
    <x v="0"/>
    <n v="53"/>
    <x v="45"/>
    <x v="0"/>
    <s v="Cambiemos"/>
    <x v="2"/>
    <n v="82"/>
  </r>
  <r>
    <x v="0"/>
    <n v="53"/>
    <x v="45"/>
    <x v="0"/>
    <s v="Nulo"/>
    <x v="3"/>
    <n v="1"/>
  </r>
  <r>
    <x v="0"/>
    <n v="53"/>
    <x v="45"/>
    <x v="0"/>
    <s v="Blanco"/>
    <x v="3"/>
    <n v="5"/>
  </r>
  <r>
    <x v="0"/>
    <n v="54"/>
    <x v="46"/>
    <x v="0"/>
    <s v="PJ"/>
    <x v="0"/>
    <n v="64"/>
  </r>
  <r>
    <x v="0"/>
    <n v="54"/>
    <x v="46"/>
    <x v="0"/>
    <s v="Humanista"/>
    <x v="1"/>
    <n v="0"/>
  </r>
  <r>
    <x v="0"/>
    <n v="54"/>
    <x v="46"/>
    <x v="0"/>
    <s v="Partido de los Trabajadores Soc."/>
    <x v="1"/>
    <n v="0"/>
  </r>
  <r>
    <x v="0"/>
    <n v="54"/>
    <x v="46"/>
    <x v="0"/>
    <s v="FREPAM"/>
    <x v="2"/>
    <n v="2"/>
  </r>
  <r>
    <x v="0"/>
    <n v="54"/>
    <x v="46"/>
    <x v="0"/>
    <s v="Izquierda al Frente por el Soc."/>
    <x v="1"/>
    <n v="2"/>
  </r>
  <r>
    <x v="0"/>
    <n v="54"/>
    <x v="46"/>
    <x v="0"/>
    <s v="Cambiemos"/>
    <x v="2"/>
    <n v="45"/>
  </r>
  <r>
    <x v="0"/>
    <n v="54"/>
    <x v="46"/>
    <x v="0"/>
    <s v="Nulo"/>
    <x v="3"/>
    <n v="0"/>
  </r>
  <r>
    <x v="0"/>
    <n v="54"/>
    <x v="46"/>
    <x v="0"/>
    <s v="Blanco"/>
    <x v="3"/>
    <n v="0"/>
  </r>
  <r>
    <x v="0"/>
    <n v="55"/>
    <x v="47"/>
    <x v="0"/>
    <s v="PJ"/>
    <x v="0"/>
    <n v="124"/>
  </r>
  <r>
    <x v="0"/>
    <n v="55"/>
    <x v="47"/>
    <x v="0"/>
    <s v="Humanista"/>
    <x v="1"/>
    <n v="3"/>
  </r>
  <r>
    <x v="0"/>
    <n v="55"/>
    <x v="47"/>
    <x v="0"/>
    <s v="Partido de los Trabajadores Soc."/>
    <x v="1"/>
    <n v="1"/>
  </r>
  <r>
    <x v="0"/>
    <n v="55"/>
    <x v="47"/>
    <x v="0"/>
    <s v="FREPAM"/>
    <x v="2"/>
    <n v="9"/>
  </r>
  <r>
    <x v="0"/>
    <n v="55"/>
    <x v="47"/>
    <x v="0"/>
    <s v="Izquierda al Frente por el Soc."/>
    <x v="1"/>
    <n v="5"/>
  </r>
  <r>
    <x v="0"/>
    <n v="55"/>
    <x v="47"/>
    <x v="0"/>
    <s v="Cambiemos"/>
    <x v="2"/>
    <n v="130"/>
  </r>
  <r>
    <x v="0"/>
    <n v="55"/>
    <x v="47"/>
    <x v="0"/>
    <s v="Nulo"/>
    <x v="3"/>
    <n v="4"/>
  </r>
  <r>
    <x v="0"/>
    <n v="55"/>
    <x v="47"/>
    <x v="0"/>
    <s v="Blanco"/>
    <x v="3"/>
    <n v="0"/>
  </r>
  <r>
    <x v="0"/>
    <n v="56"/>
    <x v="48"/>
    <x v="0"/>
    <s v="PJ"/>
    <x v="0"/>
    <n v="242"/>
  </r>
  <r>
    <x v="0"/>
    <n v="56"/>
    <x v="48"/>
    <x v="0"/>
    <s v="Humanista"/>
    <x v="1"/>
    <n v="4"/>
  </r>
  <r>
    <x v="0"/>
    <n v="56"/>
    <x v="48"/>
    <x v="0"/>
    <s v="Partido de los Trabajadores Soc."/>
    <x v="1"/>
    <n v="3"/>
  </r>
  <r>
    <x v="0"/>
    <n v="56"/>
    <x v="48"/>
    <x v="0"/>
    <s v="FREPAM"/>
    <x v="2"/>
    <n v="5"/>
  </r>
  <r>
    <x v="0"/>
    <n v="56"/>
    <x v="48"/>
    <x v="0"/>
    <s v="Izquierda al Frente por el Soc."/>
    <x v="1"/>
    <n v="5"/>
  </r>
  <r>
    <x v="0"/>
    <n v="56"/>
    <x v="48"/>
    <x v="0"/>
    <s v="Cambiemos"/>
    <x v="2"/>
    <n v="159"/>
  </r>
  <r>
    <x v="0"/>
    <n v="56"/>
    <x v="48"/>
    <x v="0"/>
    <s v="Nulo"/>
    <x v="3"/>
    <n v="2"/>
  </r>
  <r>
    <x v="0"/>
    <n v="56"/>
    <x v="48"/>
    <x v="0"/>
    <s v="Blanco"/>
    <x v="3"/>
    <n v="0"/>
  </r>
  <r>
    <x v="0"/>
    <n v="58"/>
    <x v="49"/>
    <x v="0"/>
    <s v="PJ"/>
    <x v="0"/>
    <n v="16854"/>
  </r>
  <r>
    <x v="0"/>
    <n v="58"/>
    <x v="49"/>
    <x v="0"/>
    <s v="Humanista"/>
    <x v="1"/>
    <n v="528"/>
  </r>
  <r>
    <x v="0"/>
    <n v="58"/>
    <x v="49"/>
    <x v="0"/>
    <s v="Partido de los Trabajadores Soc."/>
    <x v="1"/>
    <n v="491"/>
  </r>
  <r>
    <x v="0"/>
    <n v="58"/>
    <x v="49"/>
    <x v="0"/>
    <s v="FREPAM"/>
    <x v="2"/>
    <n v="4964"/>
  </r>
  <r>
    <x v="0"/>
    <n v="58"/>
    <x v="49"/>
    <x v="0"/>
    <s v="Izquierda al Frente por el Soc."/>
    <x v="1"/>
    <n v="764"/>
  </r>
  <r>
    <x v="0"/>
    <n v="58"/>
    <x v="49"/>
    <x v="0"/>
    <s v="Cambiemos"/>
    <x v="2"/>
    <n v="17027"/>
  </r>
  <r>
    <x v="0"/>
    <n v="58"/>
    <x v="49"/>
    <x v="0"/>
    <s v="Nulo"/>
    <x v="3"/>
    <n v="358"/>
  </r>
  <r>
    <x v="0"/>
    <n v="58"/>
    <x v="49"/>
    <x v="0"/>
    <s v="Blanco"/>
    <x v="3"/>
    <n v="267"/>
  </r>
  <r>
    <x v="0"/>
    <n v="59"/>
    <x v="50"/>
    <x v="0"/>
    <s v="PJ"/>
    <x v="0"/>
    <n v="206"/>
  </r>
  <r>
    <x v="0"/>
    <n v="59"/>
    <x v="50"/>
    <x v="0"/>
    <s v="Humanista"/>
    <x v="1"/>
    <n v="5"/>
  </r>
  <r>
    <x v="0"/>
    <n v="59"/>
    <x v="50"/>
    <x v="0"/>
    <s v="Partido de los Trabajadores Soc."/>
    <x v="1"/>
    <n v="4"/>
  </r>
  <r>
    <x v="0"/>
    <n v="59"/>
    <x v="50"/>
    <x v="0"/>
    <s v="FREPAM"/>
    <x v="2"/>
    <n v="19"/>
  </r>
  <r>
    <x v="0"/>
    <n v="59"/>
    <x v="50"/>
    <x v="0"/>
    <s v="Izquierda al Frente por el Soc."/>
    <x v="1"/>
    <n v="3"/>
  </r>
  <r>
    <x v="0"/>
    <n v="59"/>
    <x v="50"/>
    <x v="0"/>
    <s v="Cambiemos"/>
    <x v="2"/>
    <n v="160"/>
  </r>
  <r>
    <x v="0"/>
    <n v="59"/>
    <x v="50"/>
    <x v="0"/>
    <s v="Nulo"/>
    <x v="3"/>
    <n v="1"/>
  </r>
  <r>
    <x v="0"/>
    <n v="59"/>
    <x v="50"/>
    <x v="0"/>
    <s v="Blanco"/>
    <x v="3"/>
    <n v="0"/>
  </r>
  <r>
    <x v="0"/>
    <n v="60"/>
    <x v="51"/>
    <x v="0"/>
    <s v="PJ"/>
    <x v="0"/>
    <n v="12"/>
  </r>
  <r>
    <x v="0"/>
    <n v="60"/>
    <x v="51"/>
    <x v="0"/>
    <s v="Humanista"/>
    <x v="1"/>
    <n v="0"/>
  </r>
  <r>
    <x v="0"/>
    <n v="60"/>
    <x v="51"/>
    <x v="0"/>
    <s v="Partido de los Trabajadores Soc."/>
    <x v="1"/>
    <n v="0"/>
  </r>
  <r>
    <x v="0"/>
    <n v="60"/>
    <x v="51"/>
    <x v="0"/>
    <s v="FREPAM"/>
    <x v="2"/>
    <n v="1"/>
  </r>
  <r>
    <x v="0"/>
    <n v="60"/>
    <x v="51"/>
    <x v="0"/>
    <s v="Izquierda al Frente por el Soc."/>
    <x v="1"/>
    <n v="0"/>
  </r>
  <r>
    <x v="0"/>
    <n v="60"/>
    <x v="51"/>
    <x v="0"/>
    <s v="Cambiemos"/>
    <x v="2"/>
    <n v="26"/>
  </r>
  <r>
    <x v="0"/>
    <n v="60"/>
    <x v="51"/>
    <x v="0"/>
    <s v="Nulo"/>
    <x v="3"/>
    <n v="0"/>
  </r>
  <r>
    <x v="0"/>
    <n v="60"/>
    <x v="51"/>
    <x v="0"/>
    <s v="Blanco"/>
    <x v="3"/>
    <n v="0"/>
  </r>
  <r>
    <x v="0"/>
    <n v="61"/>
    <x v="52"/>
    <x v="0"/>
    <s v="PJ"/>
    <x v="0"/>
    <n v="2917"/>
  </r>
  <r>
    <x v="0"/>
    <n v="61"/>
    <x v="52"/>
    <x v="0"/>
    <s v="Humanista"/>
    <x v="1"/>
    <n v="80"/>
  </r>
  <r>
    <x v="0"/>
    <n v="61"/>
    <x v="52"/>
    <x v="0"/>
    <s v="Partido de los Trabajadores Soc."/>
    <x v="1"/>
    <n v="76"/>
  </r>
  <r>
    <x v="0"/>
    <n v="61"/>
    <x v="52"/>
    <x v="0"/>
    <s v="FREPAM"/>
    <x v="2"/>
    <n v="157"/>
  </r>
  <r>
    <x v="0"/>
    <n v="61"/>
    <x v="52"/>
    <x v="0"/>
    <s v="Izquierda al Frente por el Soc."/>
    <x v="1"/>
    <n v="183"/>
  </r>
  <r>
    <x v="0"/>
    <n v="61"/>
    <x v="52"/>
    <x v="0"/>
    <s v="Cambiemos"/>
    <x v="2"/>
    <n v="2391"/>
  </r>
  <r>
    <x v="0"/>
    <n v="61"/>
    <x v="52"/>
    <x v="0"/>
    <s v="Nulo"/>
    <x v="3"/>
    <n v="153"/>
  </r>
  <r>
    <x v="0"/>
    <n v="61"/>
    <x v="52"/>
    <x v="0"/>
    <s v="Blanco"/>
    <x v="3"/>
    <n v="58"/>
  </r>
  <r>
    <x v="0"/>
    <n v="62"/>
    <x v="53"/>
    <x v="0"/>
    <s v="PJ"/>
    <x v="0"/>
    <n v="220"/>
  </r>
  <r>
    <x v="0"/>
    <n v="62"/>
    <x v="53"/>
    <x v="0"/>
    <s v="Humanista"/>
    <x v="1"/>
    <n v="5"/>
  </r>
  <r>
    <x v="0"/>
    <n v="62"/>
    <x v="53"/>
    <x v="0"/>
    <s v="Partido de los Trabajadores Soc."/>
    <x v="1"/>
    <n v="4"/>
  </r>
  <r>
    <x v="0"/>
    <n v="62"/>
    <x v="53"/>
    <x v="0"/>
    <s v="FREPAM"/>
    <x v="2"/>
    <n v="4"/>
  </r>
  <r>
    <x v="0"/>
    <n v="62"/>
    <x v="53"/>
    <x v="0"/>
    <s v="Izquierda al Frente por el Soc."/>
    <x v="1"/>
    <n v="5"/>
  </r>
  <r>
    <x v="0"/>
    <n v="62"/>
    <x v="53"/>
    <x v="0"/>
    <s v="Cambiemos"/>
    <x v="2"/>
    <n v="161"/>
  </r>
  <r>
    <x v="0"/>
    <n v="62"/>
    <x v="53"/>
    <x v="0"/>
    <s v="Nulo"/>
    <x v="3"/>
    <n v="9"/>
  </r>
  <r>
    <x v="0"/>
    <n v="62"/>
    <x v="53"/>
    <x v="0"/>
    <s v="Blanco"/>
    <x v="3"/>
    <n v="6"/>
  </r>
  <r>
    <x v="0"/>
    <n v="63"/>
    <x v="54"/>
    <x v="0"/>
    <s v="PJ"/>
    <x v="0"/>
    <n v="818"/>
  </r>
  <r>
    <x v="0"/>
    <n v="63"/>
    <x v="54"/>
    <x v="0"/>
    <s v="Humanista"/>
    <x v="1"/>
    <n v="28"/>
  </r>
  <r>
    <x v="0"/>
    <n v="63"/>
    <x v="54"/>
    <x v="0"/>
    <s v="Partido de los Trabajadores Soc."/>
    <x v="1"/>
    <n v="68"/>
  </r>
  <r>
    <x v="0"/>
    <n v="63"/>
    <x v="54"/>
    <x v="0"/>
    <s v="FREPAM"/>
    <x v="2"/>
    <n v="31"/>
  </r>
  <r>
    <x v="0"/>
    <n v="63"/>
    <x v="54"/>
    <x v="0"/>
    <s v="Izquierda al Frente por el Soc."/>
    <x v="1"/>
    <n v="27"/>
  </r>
  <r>
    <x v="0"/>
    <n v="63"/>
    <x v="54"/>
    <x v="0"/>
    <s v="Cambiemos"/>
    <x v="2"/>
    <n v="725"/>
  </r>
  <r>
    <x v="0"/>
    <n v="63"/>
    <x v="54"/>
    <x v="0"/>
    <s v="Nulo"/>
    <x v="3"/>
    <n v="21"/>
  </r>
  <r>
    <x v="0"/>
    <n v="63"/>
    <x v="54"/>
    <x v="0"/>
    <s v="Blanco"/>
    <x v="3"/>
    <n v="40"/>
  </r>
  <r>
    <x v="0"/>
    <n v="64"/>
    <x v="55"/>
    <x v="0"/>
    <s v="PJ"/>
    <x v="0"/>
    <n v="308"/>
  </r>
  <r>
    <x v="0"/>
    <n v="64"/>
    <x v="55"/>
    <x v="0"/>
    <s v="Humanista"/>
    <x v="1"/>
    <n v="14"/>
  </r>
  <r>
    <x v="0"/>
    <n v="64"/>
    <x v="55"/>
    <x v="0"/>
    <s v="Partido de los Trabajadores Soc."/>
    <x v="1"/>
    <n v="7"/>
  </r>
  <r>
    <x v="0"/>
    <n v="64"/>
    <x v="55"/>
    <x v="0"/>
    <s v="FREPAM"/>
    <x v="2"/>
    <n v="8"/>
  </r>
  <r>
    <x v="0"/>
    <n v="64"/>
    <x v="55"/>
    <x v="0"/>
    <s v="Izquierda al Frente por el Soc."/>
    <x v="1"/>
    <n v="9"/>
  </r>
  <r>
    <x v="0"/>
    <n v="64"/>
    <x v="55"/>
    <x v="0"/>
    <s v="Cambiemos"/>
    <x v="2"/>
    <n v="216"/>
  </r>
  <r>
    <x v="0"/>
    <n v="64"/>
    <x v="55"/>
    <x v="0"/>
    <s v="Nulo"/>
    <x v="3"/>
    <n v="12"/>
  </r>
  <r>
    <x v="0"/>
    <n v="64"/>
    <x v="55"/>
    <x v="0"/>
    <s v="Blanco"/>
    <x v="3"/>
    <n v="4"/>
  </r>
  <r>
    <x v="0"/>
    <n v="65"/>
    <x v="56"/>
    <x v="0"/>
    <s v="PJ"/>
    <x v="0"/>
    <n v="1036"/>
  </r>
  <r>
    <x v="0"/>
    <n v="65"/>
    <x v="56"/>
    <x v="0"/>
    <s v="Humanista"/>
    <x v="1"/>
    <n v="38"/>
  </r>
  <r>
    <x v="0"/>
    <n v="65"/>
    <x v="56"/>
    <x v="0"/>
    <s v="Partido de los Trabajadores Soc."/>
    <x v="1"/>
    <n v="28"/>
  </r>
  <r>
    <x v="0"/>
    <n v="65"/>
    <x v="56"/>
    <x v="0"/>
    <s v="FREPAM"/>
    <x v="2"/>
    <n v="54"/>
  </r>
  <r>
    <x v="0"/>
    <n v="65"/>
    <x v="56"/>
    <x v="0"/>
    <s v="Izquierda al Frente por el Soc."/>
    <x v="1"/>
    <n v="32"/>
  </r>
  <r>
    <x v="0"/>
    <n v="65"/>
    <x v="56"/>
    <x v="0"/>
    <s v="Cambiemos"/>
    <x v="2"/>
    <n v="1457"/>
  </r>
  <r>
    <x v="0"/>
    <n v="65"/>
    <x v="56"/>
    <x v="0"/>
    <s v="Nulo"/>
    <x v="3"/>
    <n v="41"/>
  </r>
  <r>
    <x v="0"/>
    <n v="65"/>
    <x v="56"/>
    <x v="0"/>
    <s v="Blanco"/>
    <x v="3"/>
    <n v="15"/>
  </r>
  <r>
    <x v="0"/>
    <n v="66"/>
    <x v="57"/>
    <x v="0"/>
    <s v="PJ"/>
    <x v="0"/>
    <n v="45"/>
  </r>
  <r>
    <x v="0"/>
    <n v="66"/>
    <x v="57"/>
    <x v="0"/>
    <s v="Humanista"/>
    <x v="1"/>
    <n v="2"/>
  </r>
  <r>
    <x v="0"/>
    <n v="66"/>
    <x v="57"/>
    <x v="0"/>
    <s v="Partido de los Trabajadores Soc."/>
    <x v="1"/>
    <n v="1"/>
  </r>
  <r>
    <x v="0"/>
    <n v="66"/>
    <x v="57"/>
    <x v="0"/>
    <s v="FREPAM"/>
    <x v="2"/>
    <n v="2"/>
  </r>
  <r>
    <x v="0"/>
    <n v="66"/>
    <x v="57"/>
    <x v="0"/>
    <s v="Izquierda al Frente por el Soc."/>
    <x v="1"/>
    <n v="1"/>
  </r>
  <r>
    <x v="0"/>
    <n v="66"/>
    <x v="57"/>
    <x v="0"/>
    <s v="Cambiemos"/>
    <x v="2"/>
    <n v="59"/>
  </r>
  <r>
    <x v="0"/>
    <n v="66"/>
    <x v="57"/>
    <x v="0"/>
    <s v="Nulo"/>
    <x v="3"/>
    <n v="2"/>
  </r>
  <r>
    <x v="0"/>
    <n v="66"/>
    <x v="57"/>
    <x v="0"/>
    <s v="Blanco"/>
    <x v="3"/>
    <n v="0"/>
  </r>
  <r>
    <x v="0"/>
    <n v="67"/>
    <x v="58"/>
    <x v="0"/>
    <s v="PJ"/>
    <x v="0"/>
    <n v="10"/>
  </r>
  <r>
    <x v="0"/>
    <n v="67"/>
    <x v="58"/>
    <x v="0"/>
    <s v="Humanista"/>
    <x v="1"/>
    <n v="0"/>
  </r>
  <r>
    <x v="0"/>
    <n v="67"/>
    <x v="58"/>
    <x v="0"/>
    <s v="Partido de los Trabajadores Soc."/>
    <x v="1"/>
    <n v="2"/>
  </r>
  <r>
    <x v="0"/>
    <n v="67"/>
    <x v="58"/>
    <x v="0"/>
    <s v="FREPAM"/>
    <x v="2"/>
    <n v="2"/>
  </r>
  <r>
    <x v="0"/>
    <n v="67"/>
    <x v="58"/>
    <x v="0"/>
    <s v="Izquierda al Frente por el Soc."/>
    <x v="1"/>
    <n v="2"/>
  </r>
  <r>
    <x v="0"/>
    <n v="67"/>
    <x v="58"/>
    <x v="0"/>
    <s v="Cambiemos"/>
    <x v="2"/>
    <n v="17"/>
  </r>
  <r>
    <x v="0"/>
    <n v="67"/>
    <x v="58"/>
    <x v="0"/>
    <s v="Nulo"/>
    <x v="3"/>
    <n v="0"/>
  </r>
  <r>
    <x v="0"/>
    <n v="67"/>
    <x v="58"/>
    <x v="0"/>
    <s v="Blanco"/>
    <x v="3"/>
    <n v="0"/>
  </r>
  <r>
    <x v="0"/>
    <n v="68"/>
    <x v="59"/>
    <x v="0"/>
    <s v="PJ"/>
    <x v="0"/>
    <n v="187"/>
  </r>
  <r>
    <x v="0"/>
    <n v="68"/>
    <x v="59"/>
    <x v="0"/>
    <s v="Humanista"/>
    <x v="1"/>
    <n v="4"/>
  </r>
  <r>
    <x v="0"/>
    <n v="68"/>
    <x v="59"/>
    <x v="0"/>
    <s v="Partido de los Trabajadores Soc."/>
    <x v="1"/>
    <n v="14"/>
  </r>
  <r>
    <x v="0"/>
    <n v="68"/>
    <x v="59"/>
    <x v="0"/>
    <s v="FREPAM"/>
    <x v="2"/>
    <n v="13"/>
  </r>
  <r>
    <x v="0"/>
    <n v="68"/>
    <x v="59"/>
    <x v="0"/>
    <s v="Izquierda al Frente por el Soc."/>
    <x v="1"/>
    <n v="11"/>
  </r>
  <r>
    <x v="0"/>
    <n v="68"/>
    <x v="59"/>
    <x v="0"/>
    <s v="Cambiemos"/>
    <x v="2"/>
    <n v="217"/>
  </r>
  <r>
    <x v="0"/>
    <n v="68"/>
    <x v="59"/>
    <x v="0"/>
    <s v="Nulo"/>
    <x v="3"/>
    <n v="5"/>
  </r>
  <r>
    <x v="0"/>
    <n v="68"/>
    <x v="59"/>
    <x v="0"/>
    <s v="Blanco"/>
    <x v="3"/>
    <n v="7"/>
  </r>
  <r>
    <x v="0"/>
    <n v="69"/>
    <x v="60"/>
    <x v="0"/>
    <s v="PJ"/>
    <x v="0"/>
    <n v="729"/>
  </r>
  <r>
    <x v="0"/>
    <n v="69"/>
    <x v="60"/>
    <x v="0"/>
    <s v="Humanista"/>
    <x v="1"/>
    <n v="14"/>
  </r>
  <r>
    <x v="0"/>
    <n v="69"/>
    <x v="60"/>
    <x v="0"/>
    <s v="Partido de los Trabajadores Soc."/>
    <x v="1"/>
    <n v="26"/>
  </r>
  <r>
    <x v="0"/>
    <n v="69"/>
    <x v="60"/>
    <x v="0"/>
    <s v="FREPAM"/>
    <x v="2"/>
    <n v="23"/>
  </r>
  <r>
    <x v="0"/>
    <n v="69"/>
    <x v="60"/>
    <x v="0"/>
    <s v="Izquierda al Frente por el Soc."/>
    <x v="1"/>
    <n v="18"/>
  </r>
  <r>
    <x v="0"/>
    <n v="69"/>
    <x v="60"/>
    <x v="0"/>
    <s v="Cambiemos"/>
    <x v="2"/>
    <n v="676"/>
  </r>
  <r>
    <x v="0"/>
    <n v="69"/>
    <x v="60"/>
    <x v="0"/>
    <s v="Nulo"/>
    <x v="3"/>
    <n v="35"/>
  </r>
  <r>
    <x v="0"/>
    <n v="69"/>
    <x v="60"/>
    <x v="0"/>
    <s v="Blanco"/>
    <x v="3"/>
    <n v="12"/>
  </r>
  <r>
    <x v="0"/>
    <n v="70"/>
    <x v="61"/>
    <x v="0"/>
    <s v="PJ"/>
    <x v="0"/>
    <n v="2"/>
  </r>
  <r>
    <x v="0"/>
    <n v="70"/>
    <x v="61"/>
    <x v="0"/>
    <s v="Humanista"/>
    <x v="1"/>
    <n v="0"/>
  </r>
  <r>
    <x v="0"/>
    <n v="70"/>
    <x v="61"/>
    <x v="0"/>
    <s v="Partido de los Trabajadores Soc."/>
    <x v="1"/>
    <n v="0"/>
  </r>
  <r>
    <x v="0"/>
    <n v="70"/>
    <x v="61"/>
    <x v="0"/>
    <s v="FREPAM"/>
    <x v="2"/>
    <n v="0"/>
  </r>
  <r>
    <x v="0"/>
    <n v="70"/>
    <x v="61"/>
    <x v="0"/>
    <s v="Izquierda al Frente por el Soc."/>
    <x v="1"/>
    <n v="0"/>
  </r>
  <r>
    <x v="0"/>
    <n v="70"/>
    <x v="61"/>
    <x v="0"/>
    <s v="Cambiemos"/>
    <x v="2"/>
    <n v="4"/>
  </r>
  <r>
    <x v="0"/>
    <n v="70"/>
    <x v="61"/>
    <x v="0"/>
    <s v="Nulo"/>
    <x v="3"/>
    <n v="0"/>
  </r>
  <r>
    <x v="0"/>
    <n v="70"/>
    <x v="61"/>
    <x v="0"/>
    <s v="Blanco"/>
    <x v="3"/>
    <n v="0"/>
  </r>
  <r>
    <x v="0"/>
    <n v="71"/>
    <x v="62"/>
    <x v="0"/>
    <s v="PJ"/>
    <x v="0"/>
    <n v="577"/>
  </r>
  <r>
    <x v="0"/>
    <n v="71"/>
    <x v="62"/>
    <x v="0"/>
    <s v="Humanista"/>
    <x v="1"/>
    <n v="6"/>
  </r>
  <r>
    <x v="0"/>
    <n v="71"/>
    <x v="62"/>
    <x v="0"/>
    <s v="Partido de los Trabajadores Soc."/>
    <x v="1"/>
    <n v="5"/>
  </r>
  <r>
    <x v="0"/>
    <n v="71"/>
    <x v="62"/>
    <x v="0"/>
    <s v="FREPAM"/>
    <x v="2"/>
    <n v="5"/>
  </r>
  <r>
    <x v="0"/>
    <n v="71"/>
    <x v="62"/>
    <x v="0"/>
    <s v="Izquierda al Frente por el Soc."/>
    <x v="1"/>
    <n v="2"/>
  </r>
  <r>
    <x v="0"/>
    <n v="71"/>
    <x v="62"/>
    <x v="0"/>
    <s v="Cambiemos"/>
    <x v="2"/>
    <n v="378"/>
  </r>
  <r>
    <x v="0"/>
    <n v="71"/>
    <x v="62"/>
    <x v="0"/>
    <s v="Nulo"/>
    <x v="3"/>
    <n v="12"/>
  </r>
  <r>
    <x v="0"/>
    <n v="71"/>
    <x v="62"/>
    <x v="0"/>
    <s v="Blanco"/>
    <x v="3"/>
    <n v="13"/>
  </r>
  <r>
    <x v="0"/>
    <n v="72"/>
    <x v="63"/>
    <x v="0"/>
    <s v="PJ"/>
    <x v="0"/>
    <n v="618"/>
  </r>
  <r>
    <x v="0"/>
    <n v="72"/>
    <x v="63"/>
    <x v="0"/>
    <s v="Humanista"/>
    <x v="1"/>
    <n v="16"/>
  </r>
  <r>
    <x v="0"/>
    <n v="72"/>
    <x v="63"/>
    <x v="0"/>
    <s v="Partido de los Trabajadores Soc."/>
    <x v="1"/>
    <n v="17"/>
  </r>
  <r>
    <x v="0"/>
    <n v="72"/>
    <x v="63"/>
    <x v="0"/>
    <s v="FREPAM"/>
    <x v="2"/>
    <n v="43"/>
  </r>
  <r>
    <x v="0"/>
    <n v="72"/>
    <x v="63"/>
    <x v="0"/>
    <s v="Izquierda al Frente por el Soc."/>
    <x v="1"/>
    <n v="22"/>
  </r>
  <r>
    <x v="0"/>
    <n v="72"/>
    <x v="63"/>
    <x v="0"/>
    <s v="Cambiemos"/>
    <x v="2"/>
    <n v="842"/>
  </r>
  <r>
    <x v="0"/>
    <n v="72"/>
    <x v="63"/>
    <x v="0"/>
    <s v="Nulo"/>
    <x v="3"/>
    <n v="18"/>
  </r>
  <r>
    <x v="0"/>
    <n v="72"/>
    <x v="63"/>
    <x v="0"/>
    <s v="Blanco"/>
    <x v="3"/>
    <n v="28"/>
  </r>
  <r>
    <x v="0"/>
    <n v="73"/>
    <x v="64"/>
    <x v="0"/>
    <s v="PJ"/>
    <x v="0"/>
    <n v="93"/>
  </r>
  <r>
    <x v="0"/>
    <n v="73"/>
    <x v="64"/>
    <x v="0"/>
    <s v="Humanista"/>
    <x v="1"/>
    <n v="1"/>
  </r>
  <r>
    <x v="0"/>
    <n v="73"/>
    <x v="64"/>
    <x v="0"/>
    <s v="Partido de los Trabajadores Soc."/>
    <x v="1"/>
    <n v="2"/>
  </r>
  <r>
    <x v="0"/>
    <n v="73"/>
    <x v="64"/>
    <x v="0"/>
    <s v="FREPAM"/>
    <x v="2"/>
    <n v="3"/>
  </r>
  <r>
    <x v="0"/>
    <n v="73"/>
    <x v="64"/>
    <x v="0"/>
    <s v="Izquierda al Frente por el Soc."/>
    <x v="1"/>
    <n v="1"/>
  </r>
  <r>
    <x v="0"/>
    <n v="73"/>
    <x v="64"/>
    <x v="0"/>
    <s v="Cambiemos"/>
    <x v="2"/>
    <n v="67"/>
  </r>
  <r>
    <x v="0"/>
    <n v="73"/>
    <x v="64"/>
    <x v="0"/>
    <s v="Nulo"/>
    <x v="3"/>
    <n v="0"/>
  </r>
  <r>
    <x v="0"/>
    <n v="73"/>
    <x v="64"/>
    <x v="0"/>
    <s v="Blanco"/>
    <x v="3"/>
    <n v="5"/>
  </r>
  <r>
    <x v="0"/>
    <n v="74"/>
    <x v="65"/>
    <x v="0"/>
    <s v="PJ"/>
    <x v="0"/>
    <n v="212"/>
  </r>
  <r>
    <x v="0"/>
    <n v="74"/>
    <x v="65"/>
    <x v="0"/>
    <s v="Humanista"/>
    <x v="1"/>
    <n v="1"/>
  </r>
  <r>
    <x v="0"/>
    <n v="74"/>
    <x v="65"/>
    <x v="0"/>
    <s v="Partido de los Trabajadores Soc."/>
    <x v="1"/>
    <n v="2"/>
  </r>
  <r>
    <x v="0"/>
    <n v="74"/>
    <x v="65"/>
    <x v="0"/>
    <s v="FREPAM"/>
    <x v="2"/>
    <n v="4"/>
  </r>
  <r>
    <x v="0"/>
    <n v="74"/>
    <x v="65"/>
    <x v="0"/>
    <s v="Izquierda al Frente por el Soc."/>
    <x v="1"/>
    <n v="5"/>
  </r>
  <r>
    <x v="0"/>
    <n v="74"/>
    <x v="65"/>
    <x v="0"/>
    <s v="Cambiemos"/>
    <x v="2"/>
    <n v="97"/>
  </r>
  <r>
    <x v="0"/>
    <n v="74"/>
    <x v="65"/>
    <x v="0"/>
    <s v="Nulo"/>
    <x v="3"/>
    <n v="5"/>
  </r>
  <r>
    <x v="0"/>
    <n v="74"/>
    <x v="65"/>
    <x v="0"/>
    <s v="Blanco"/>
    <x v="3"/>
    <n v="7"/>
  </r>
  <r>
    <x v="0"/>
    <n v="75"/>
    <x v="66"/>
    <x v="0"/>
    <s v="PJ"/>
    <x v="0"/>
    <n v="1217"/>
  </r>
  <r>
    <x v="0"/>
    <n v="75"/>
    <x v="66"/>
    <x v="0"/>
    <s v="Humanista"/>
    <x v="1"/>
    <n v="32"/>
  </r>
  <r>
    <x v="0"/>
    <n v="75"/>
    <x v="66"/>
    <x v="0"/>
    <s v="Partido de los Trabajadores Soc."/>
    <x v="1"/>
    <n v="23"/>
  </r>
  <r>
    <x v="0"/>
    <n v="75"/>
    <x v="66"/>
    <x v="0"/>
    <s v="FREPAM"/>
    <x v="2"/>
    <n v="34"/>
  </r>
  <r>
    <x v="0"/>
    <n v="75"/>
    <x v="66"/>
    <x v="0"/>
    <s v="Izquierda al Frente por el Soc."/>
    <x v="1"/>
    <n v="26"/>
  </r>
  <r>
    <x v="0"/>
    <n v="75"/>
    <x v="66"/>
    <x v="0"/>
    <s v="Cambiemos"/>
    <x v="2"/>
    <n v="1051"/>
  </r>
  <r>
    <x v="0"/>
    <n v="75"/>
    <x v="66"/>
    <x v="0"/>
    <s v="Nulo"/>
    <x v="3"/>
    <n v="36"/>
  </r>
  <r>
    <x v="0"/>
    <n v="75"/>
    <x v="66"/>
    <x v="0"/>
    <s v="Blanco"/>
    <x v="3"/>
    <n v="26"/>
  </r>
  <r>
    <x v="0"/>
    <n v="76"/>
    <x v="67"/>
    <x v="0"/>
    <s v="PJ"/>
    <x v="0"/>
    <n v="116"/>
  </r>
  <r>
    <x v="0"/>
    <n v="76"/>
    <x v="67"/>
    <x v="0"/>
    <s v="Humanista"/>
    <x v="1"/>
    <n v="3"/>
  </r>
  <r>
    <x v="0"/>
    <n v="76"/>
    <x v="67"/>
    <x v="0"/>
    <s v="Partido de los Trabajadores Soc."/>
    <x v="1"/>
    <n v="4"/>
  </r>
  <r>
    <x v="0"/>
    <n v="76"/>
    <x v="67"/>
    <x v="0"/>
    <s v="FREPAM"/>
    <x v="2"/>
    <n v="4"/>
  </r>
  <r>
    <x v="0"/>
    <n v="76"/>
    <x v="67"/>
    <x v="0"/>
    <s v="Izquierda al Frente por el Soc."/>
    <x v="1"/>
    <n v="4"/>
  </r>
  <r>
    <x v="0"/>
    <n v="76"/>
    <x v="67"/>
    <x v="0"/>
    <s v="Cambiemos"/>
    <x v="2"/>
    <n v="101"/>
  </r>
  <r>
    <x v="0"/>
    <n v="76"/>
    <x v="67"/>
    <x v="0"/>
    <s v="Nulo"/>
    <x v="3"/>
    <n v="6"/>
  </r>
  <r>
    <x v="0"/>
    <n v="76"/>
    <x v="67"/>
    <x v="0"/>
    <s v="Blanco"/>
    <x v="3"/>
    <n v="1"/>
  </r>
  <r>
    <x v="0"/>
    <n v="77"/>
    <x v="68"/>
    <x v="0"/>
    <s v="PJ"/>
    <x v="0"/>
    <n v="388"/>
  </r>
  <r>
    <x v="0"/>
    <n v="77"/>
    <x v="68"/>
    <x v="0"/>
    <s v="Humanista"/>
    <x v="1"/>
    <n v="10"/>
  </r>
  <r>
    <x v="0"/>
    <n v="77"/>
    <x v="68"/>
    <x v="0"/>
    <s v="Partido de los Trabajadores Soc."/>
    <x v="1"/>
    <n v="9"/>
  </r>
  <r>
    <x v="0"/>
    <n v="77"/>
    <x v="68"/>
    <x v="0"/>
    <s v="FREPAM"/>
    <x v="2"/>
    <n v="46"/>
  </r>
  <r>
    <x v="0"/>
    <n v="77"/>
    <x v="68"/>
    <x v="0"/>
    <s v="Izquierda al Frente por el Soc."/>
    <x v="1"/>
    <n v="6"/>
  </r>
  <r>
    <x v="0"/>
    <n v="77"/>
    <x v="68"/>
    <x v="0"/>
    <s v="Cambiemos"/>
    <x v="2"/>
    <n v="557"/>
  </r>
  <r>
    <x v="0"/>
    <n v="77"/>
    <x v="68"/>
    <x v="0"/>
    <s v="Nulo"/>
    <x v="3"/>
    <n v="9"/>
  </r>
  <r>
    <x v="0"/>
    <n v="77"/>
    <x v="68"/>
    <x v="0"/>
    <s v="Blanco"/>
    <x v="3"/>
    <n v="37"/>
  </r>
  <r>
    <x v="0"/>
    <n v="78"/>
    <x v="69"/>
    <x v="0"/>
    <s v="PJ"/>
    <x v="0"/>
    <n v="71"/>
  </r>
  <r>
    <x v="0"/>
    <n v="78"/>
    <x v="69"/>
    <x v="0"/>
    <s v="Humanista"/>
    <x v="1"/>
    <n v="2"/>
  </r>
  <r>
    <x v="0"/>
    <n v="78"/>
    <x v="69"/>
    <x v="0"/>
    <s v="Partido de los Trabajadores Soc."/>
    <x v="1"/>
    <n v="4"/>
  </r>
  <r>
    <x v="0"/>
    <n v="78"/>
    <x v="69"/>
    <x v="0"/>
    <s v="FREPAM"/>
    <x v="2"/>
    <n v="1"/>
  </r>
  <r>
    <x v="0"/>
    <n v="78"/>
    <x v="69"/>
    <x v="0"/>
    <s v="Izquierda al Frente por el Soc."/>
    <x v="1"/>
    <n v="5"/>
  </r>
  <r>
    <x v="0"/>
    <n v="78"/>
    <x v="69"/>
    <x v="0"/>
    <s v="Cambiemos"/>
    <x v="2"/>
    <n v="125"/>
  </r>
  <r>
    <x v="0"/>
    <n v="78"/>
    <x v="69"/>
    <x v="0"/>
    <s v="Nulo"/>
    <x v="3"/>
    <n v="4"/>
  </r>
  <r>
    <x v="0"/>
    <n v="78"/>
    <x v="69"/>
    <x v="0"/>
    <s v="Blanco"/>
    <x v="3"/>
    <n v="0"/>
  </r>
  <r>
    <x v="0"/>
    <n v="79"/>
    <x v="70"/>
    <x v="0"/>
    <s v="PJ"/>
    <x v="0"/>
    <n v="351"/>
  </r>
  <r>
    <x v="0"/>
    <n v="79"/>
    <x v="70"/>
    <x v="0"/>
    <s v="Humanista"/>
    <x v="1"/>
    <n v="6"/>
  </r>
  <r>
    <x v="0"/>
    <n v="79"/>
    <x v="70"/>
    <x v="0"/>
    <s v="Partido de los Trabajadores Soc."/>
    <x v="1"/>
    <n v="13"/>
  </r>
  <r>
    <x v="0"/>
    <n v="79"/>
    <x v="70"/>
    <x v="0"/>
    <s v="FREPAM"/>
    <x v="2"/>
    <n v="44"/>
  </r>
  <r>
    <x v="0"/>
    <n v="79"/>
    <x v="70"/>
    <x v="0"/>
    <s v="Izquierda al Frente por el Soc."/>
    <x v="1"/>
    <n v="10"/>
  </r>
  <r>
    <x v="0"/>
    <n v="79"/>
    <x v="70"/>
    <x v="0"/>
    <s v="Cambiemos"/>
    <x v="2"/>
    <n v="488"/>
  </r>
  <r>
    <x v="0"/>
    <n v="79"/>
    <x v="70"/>
    <x v="0"/>
    <s v="Nulo"/>
    <x v="3"/>
    <n v="12"/>
  </r>
  <r>
    <x v="0"/>
    <n v="79"/>
    <x v="70"/>
    <x v="0"/>
    <s v="Blanco"/>
    <x v="3"/>
    <n v="14"/>
  </r>
  <r>
    <x v="0"/>
    <n v="80"/>
    <x v="71"/>
    <x v="0"/>
    <s v="PJ"/>
    <x v="0"/>
    <n v="104"/>
  </r>
  <r>
    <x v="0"/>
    <n v="80"/>
    <x v="71"/>
    <x v="0"/>
    <s v="Humanista"/>
    <x v="1"/>
    <n v="2"/>
  </r>
  <r>
    <x v="0"/>
    <n v="80"/>
    <x v="71"/>
    <x v="0"/>
    <s v="Partido de los Trabajadores Soc."/>
    <x v="1"/>
    <n v="2"/>
  </r>
  <r>
    <x v="0"/>
    <n v="80"/>
    <x v="71"/>
    <x v="0"/>
    <s v="FREPAM"/>
    <x v="2"/>
    <n v="0"/>
  </r>
  <r>
    <x v="0"/>
    <n v="80"/>
    <x v="71"/>
    <x v="0"/>
    <s v="Izquierda al Frente por el Soc."/>
    <x v="1"/>
    <n v="1"/>
  </r>
  <r>
    <x v="0"/>
    <n v="80"/>
    <x v="71"/>
    <x v="0"/>
    <s v="Cambiemos"/>
    <x v="2"/>
    <n v="51"/>
  </r>
  <r>
    <x v="0"/>
    <n v="80"/>
    <x v="71"/>
    <x v="0"/>
    <s v="Nulo"/>
    <x v="3"/>
    <n v="1"/>
  </r>
  <r>
    <x v="0"/>
    <n v="80"/>
    <x v="71"/>
    <x v="0"/>
    <s v="Blanco"/>
    <x v="3"/>
    <n v="2"/>
  </r>
  <r>
    <x v="0"/>
    <n v="81"/>
    <x v="72"/>
    <x v="0"/>
    <s v="PJ"/>
    <x v="0"/>
    <n v="1528"/>
  </r>
  <r>
    <x v="0"/>
    <n v="81"/>
    <x v="72"/>
    <x v="0"/>
    <s v="Humanista"/>
    <x v="1"/>
    <n v="27"/>
  </r>
  <r>
    <x v="0"/>
    <n v="81"/>
    <x v="72"/>
    <x v="0"/>
    <s v="Partido de los Trabajadores Soc."/>
    <x v="1"/>
    <n v="21"/>
  </r>
  <r>
    <x v="0"/>
    <n v="81"/>
    <x v="72"/>
    <x v="0"/>
    <s v="FREPAM"/>
    <x v="2"/>
    <n v="44"/>
  </r>
  <r>
    <x v="0"/>
    <n v="81"/>
    <x v="72"/>
    <x v="0"/>
    <s v="Izquierda al Frente por el Soc."/>
    <x v="1"/>
    <n v="40"/>
  </r>
  <r>
    <x v="0"/>
    <n v="81"/>
    <x v="72"/>
    <x v="0"/>
    <s v="Cambiemos"/>
    <x v="2"/>
    <n v="1599"/>
  </r>
  <r>
    <x v="0"/>
    <n v="81"/>
    <x v="72"/>
    <x v="0"/>
    <s v="Nulo"/>
    <x v="3"/>
    <n v="53"/>
  </r>
  <r>
    <x v="0"/>
    <n v="81"/>
    <x v="72"/>
    <x v="0"/>
    <s v="Blanco"/>
    <x v="3"/>
    <n v="25"/>
  </r>
  <r>
    <x v="0"/>
    <n v="82"/>
    <x v="73"/>
    <x v="0"/>
    <s v="PJ"/>
    <x v="0"/>
    <n v="2177"/>
  </r>
  <r>
    <x v="0"/>
    <n v="82"/>
    <x v="73"/>
    <x v="0"/>
    <s v="Humanista"/>
    <x v="1"/>
    <n v="51"/>
  </r>
  <r>
    <x v="0"/>
    <n v="82"/>
    <x v="73"/>
    <x v="0"/>
    <s v="Partido de los Trabajadores Soc."/>
    <x v="1"/>
    <n v="63"/>
  </r>
  <r>
    <x v="0"/>
    <n v="82"/>
    <x v="73"/>
    <x v="0"/>
    <s v="FREPAM"/>
    <x v="2"/>
    <n v="87"/>
  </r>
  <r>
    <x v="0"/>
    <n v="82"/>
    <x v="73"/>
    <x v="0"/>
    <s v="Izquierda al Frente por el Soc."/>
    <x v="1"/>
    <n v="87"/>
  </r>
  <r>
    <x v="0"/>
    <n v="82"/>
    <x v="73"/>
    <x v="0"/>
    <s v="Cambiemos"/>
    <x v="2"/>
    <n v="2614"/>
  </r>
  <r>
    <x v="0"/>
    <n v="82"/>
    <x v="73"/>
    <x v="0"/>
    <s v="Nulo"/>
    <x v="3"/>
    <n v="124"/>
  </r>
  <r>
    <x v="0"/>
    <n v="82"/>
    <x v="73"/>
    <x v="0"/>
    <s v="Blanco"/>
    <x v="3"/>
    <n v="47"/>
  </r>
  <r>
    <x v="0"/>
    <n v="83"/>
    <x v="74"/>
    <x v="0"/>
    <s v="PJ"/>
    <x v="0"/>
    <n v="1"/>
  </r>
  <r>
    <x v="0"/>
    <n v="83"/>
    <x v="74"/>
    <x v="0"/>
    <s v="Humanista"/>
    <x v="1"/>
    <n v="0"/>
  </r>
  <r>
    <x v="0"/>
    <n v="83"/>
    <x v="74"/>
    <x v="0"/>
    <s v="Partido de los Trabajadores Soc."/>
    <x v="1"/>
    <n v="0"/>
  </r>
  <r>
    <x v="0"/>
    <n v="83"/>
    <x v="74"/>
    <x v="0"/>
    <s v="FREPAM"/>
    <x v="2"/>
    <n v="0"/>
  </r>
  <r>
    <x v="0"/>
    <n v="83"/>
    <x v="74"/>
    <x v="0"/>
    <s v="Izquierda al Frente por el Soc."/>
    <x v="1"/>
    <n v="0"/>
  </r>
  <r>
    <x v="0"/>
    <n v="83"/>
    <x v="74"/>
    <x v="0"/>
    <s v="Cambiemos"/>
    <x v="2"/>
    <n v="1"/>
  </r>
  <r>
    <x v="0"/>
    <n v="83"/>
    <x v="74"/>
    <x v="0"/>
    <s v="Nulo"/>
    <x v="3"/>
    <n v="0"/>
  </r>
  <r>
    <x v="0"/>
    <n v="83"/>
    <x v="74"/>
    <x v="0"/>
    <s v="Blanco"/>
    <x v="3"/>
    <n v="0"/>
  </r>
  <r>
    <x v="0"/>
    <n v="84"/>
    <x v="75"/>
    <x v="0"/>
    <s v="PJ"/>
    <x v="0"/>
    <n v="1"/>
  </r>
  <r>
    <x v="0"/>
    <n v="84"/>
    <x v="75"/>
    <x v="0"/>
    <s v="Humanista"/>
    <x v="1"/>
    <n v="0"/>
  </r>
  <r>
    <x v="0"/>
    <n v="84"/>
    <x v="75"/>
    <x v="0"/>
    <s v="Partido de los Trabajadores Soc."/>
    <x v="1"/>
    <n v="0"/>
  </r>
  <r>
    <x v="0"/>
    <n v="84"/>
    <x v="75"/>
    <x v="0"/>
    <s v="FREPAM"/>
    <x v="2"/>
    <n v="0"/>
  </r>
  <r>
    <x v="0"/>
    <n v="84"/>
    <x v="75"/>
    <x v="0"/>
    <s v="Izquierda al Frente por el Soc."/>
    <x v="1"/>
    <n v="0"/>
  </r>
  <r>
    <x v="0"/>
    <n v="84"/>
    <x v="75"/>
    <x v="0"/>
    <s v="Cambiemos"/>
    <x v="2"/>
    <n v="4"/>
  </r>
  <r>
    <x v="0"/>
    <n v="84"/>
    <x v="75"/>
    <x v="0"/>
    <s v="Nulo"/>
    <x v="3"/>
    <n v="0"/>
  </r>
  <r>
    <x v="0"/>
    <n v="84"/>
    <x v="75"/>
    <x v="0"/>
    <s v="Blanco"/>
    <x v="3"/>
    <n v="0"/>
  </r>
  <r>
    <x v="0"/>
    <n v="85"/>
    <x v="76"/>
    <x v="0"/>
    <s v="PJ"/>
    <x v="0"/>
    <n v="2"/>
  </r>
  <r>
    <x v="0"/>
    <n v="85"/>
    <x v="76"/>
    <x v="0"/>
    <s v="Humanista"/>
    <x v="1"/>
    <n v="0"/>
  </r>
  <r>
    <x v="0"/>
    <n v="85"/>
    <x v="76"/>
    <x v="0"/>
    <s v="Partido de los Trabajadores Soc."/>
    <x v="1"/>
    <n v="0"/>
  </r>
  <r>
    <x v="0"/>
    <n v="85"/>
    <x v="76"/>
    <x v="0"/>
    <s v="FREPAM"/>
    <x v="2"/>
    <n v="0"/>
  </r>
  <r>
    <x v="0"/>
    <n v="85"/>
    <x v="76"/>
    <x v="0"/>
    <s v="Izquierda al Frente por el Soc."/>
    <x v="1"/>
    <n v="0"/>
  </r>
  <r>
    <x v="0"/>
    <n v="85"/>
    <x v="76"/>
    <x v="0"/>
    <s v="Cambiemos"/>
    <x v="2"/>
    <n v="2"/>
  </r>
  <r>
    <x v="0"/>
    <n v="85"/>
    <x v="76"/>
    <x v="0"/>
    <s v="Nulo"/>
    <x v="3"/>
    <n v="0"/>
  </r>
  <r>
    <x v="0"/>
    <n v="85"/>
    <x v="76"/>
    <x v="0"/>
    <s v="Blanco"/>
    <x v="3"/>
    <n v="0"/>
  </r>
  <r>
    <x v="0"/>
    <n v="86"/>
    <x v="77"/>
    <x v="0"/>
    <s v="PJ"/>
    <x v="0"/>
    <n v="4247"/>
  </r>
  <r>
    <x v="0"/>
    <n v="86"/>
    <x v="77"/>
    <x v="0"/>
    <s v="Humanista"/>
    <x v="1"/>
    <n v="205"/>
  </r>
  <r>
    <x v="0"/>
    <n v="86"/>
    <x v="77"/>
    <x v="0"/>
    <s v="Partido de los Trabajadores Soc."/>
    <x v="1"/>
    <n v="220"/>
  </r>
  <r>
    <x v="0"/>
    <n v="86"/>
    <x v="77"/>
    <x v="0"/>
    <s v="FREPAM"/>
    <x v="2"/>
    <n v="241"/>
  </r>
  <r>
    <x v="0"/>
    <n v="86"/>
    <x v="77"/>
    <x v="0"/>
    <s v="Izquierda al Frente por el Soc."/>
    <x v="1"/>
    <n v="177"/>
  </r>
  <r>
    <x v="0"/>
    <n v="86"/>
    <x v="77"/>
    <x v="0"/>
    <s v="Cambiemos"/>
    <x v="2"/>
    <n v="3805"/>
  </r>
  <r>
    <x v="0"/>
    <n v="86"/>
    <x v="77"/>
    <x v="0"/>
    <s v="Nulo"/>
    <x v="3"/>
    <n v="185"/>
  </r>
  <r>
    <x v="0"/>
    <n v="86"/>
    <x v="77"/>
    <x v="0"/>
    <s v="Blanco"/>
    <x v="3"/>
    <n v="80"/>
  </r>
  <r>
    <x v="0"/>
    <n v="87"/>
    <x v="78"/>
    <x v="0"/>
    <s v="PJ"/>
    <x v="0"/>
    <n v="380"/>
  </r>
  <r>
    <x v="0"/>
    <n v="87"/>
    <x v="78"/>
    <x v="0"/>
    <s v="Humanista"/>
    <x v="1"/>
    <n v="6"/>
  </r>
  <r>
    <x v="0"/>
    <n v="87"/>
    <x v="78"/>
    <x v="0"/>
    <s v="Partido de los Trabajadores Soc."/>
    <x v="1"/>
    <n v="10"/>
  </r>
  <r>
    <x v="0"/>
    <n v="87"/>
    <x v="78"/>
    <x v="0"/>
    <s v="FREPAM"/>
    <x v="2"/>
    <n v="9"/>
  </r>
  <r>
    <x v="0"/>
    <n v="87"/>
    <x v="78"/>
    <x v="0"/>
    <s v="Izquierda al Frente por el Soc."/>
    <x v="1"/>
    <n v="10"/>
  </r>
  <r>
    <x v="0"/>
    <n v="87"/>
    <x v="78"/>
    <x v="0"/>
    <s v="Cambiemos"/>
    <x v="2"/>
    <n v="375"/>
  </r>
  <r>
    <x v="0"/>
    <n v="87"/>
    <x v="78"/>
    <x v="0"/>
    <s v="Nulo"/>
    <x v="3"/>
    <n v="8"/>
  </r>
  <r>
    <x v="0"/>
    <n v="87"/>
    <x v="78"/>
    <x v="0"/>
    <s v="Blanco"/>
    <x v="3"/>
    <n v="7"/>
  </r>
  <r>
    <x v="0"/>
    <n v="88"/>
    <x v="79"/>
    <x v="0"/>
    <s v="PJ"/>
    <x v="0"/>
    <n v="195"/>
  </r>
  <r>
    <x v="0"/>
    <n v="88"/>
    <x v="79"/>
    <x v="0"/>
    <s v="Humanista"/>
    <x v="1"/>
    <n v="1"/>
  </r>
  <r>
    <x v="0"/>
    <n v="88"/>
    <x v="79"/>
    <x v="0"/>
    <s v="Partido de los Trabajadores Soc."/>
    <x v="1"/>
    <n v="9"/>
  </r>
  <r>
    <x v="0"/>
    <n v="88"/>
    <x v="79"/>
    <x v="0"/>
    <s v="FREPAM"/>
    <x v="2"/>
    <n v="20"/>
  </r>
  <r>
    <x v="0"/>
    <n v="88"/>
    <x v="79"/>
    <x v="0"/>
    <s v="Izquierda al Frente por el Soc."/>
    <x v="1"/>
    <n v="7"/>
  </r>
  <r>
    <x v="0"/>
    <n v="88"/>
    <x v="79"/>
    <x v="0"/>
    <s v="Cambiemos"/>
    <x v="2"/>
    <n v="169"/>
  </r>
  <r>
    <x v="0"/>
    <n v="88"/>
    <x v="79"/>
    <x v="0"/>
    <s v="Nulo"/>
    <x v="3"/>
    <n v="0"/>
  </r>
  <r>
    <x v="0"/>
    <n v="88"/>
    <x v="79"/>
    <x v="0"/>
    <s v="Blanco"/>
    <x v="3"/>
    <n v="9"/>
  </r>
  <r>
    <x v="0"/>
    <n v="89"/>
    <x v="80"/>
    <x v="0"/>
    <s v="PJ"/>
    <x v="0"/>
    <n v="1252"/>
  </r>
  <r>
    <x v="0"/>
    <n v="89"/>
    <x v="80"/>
    <x v="0"/>
    <s v="Humanista"/>
    <x v="1"/>
    <n v="30"/>
  </r>
  <r>
    <x v="0"/>
    <n v="89"/>
    <x v="80"/>
    <x v="0"/>
    <s v="Partido de los Trabajadores Soc."/>
    <x v="1"/>
    <n v="26"/>
  </r>
  <r>
    <x v="0"/>
    <n v="89"/>
    <x v="80"/>
    <x v="0"/>
    <s v="FREPAM"/>
    <x v="2"/>
    <n v="51"/>
  </r>
  <r>
    <x v="0"/>
    <n v="89"/>
    <x v="80"/>
    <x v="0"/>
    <s v="Izquierda al Frente por el Soc."/>
    <x v="1"/>
    <n v="38"/>
  </r>
  <r>
    <x v="0"/>
    <n v="89"/>
    <x v="80"/>
    <x v="0"/>
    <s v="Cambiemos"/>
    <x v="2"/>
    <n v="1022"/>
  </r>
  <r>
    <x v="0"/>
    <n v="89"/>
    <x v="80"/>
    <x v="0"/>
    <s v="Nulo"/>
    <x v="3"/>
    <n v="46"/>
  </r>
  <r>
    <x v="0"/>
    <n v="89"/>
    <x v="80"/>
    <x v="0"/>
    <s v="Blanco"/>
    <x v="3"/>
    <n v="29"/>
  </r>
  <r>
    <x v="0"/>
    <n v="90"/>
    <x v="81"/>
    <x v="0"/>
    <s v="PJ"/>
    <x v="0"/>
    <n v="320"/>
  </r>
  <r>
    <x v="0"/>
    <n v="90"/>
    <x v="81"/>
    <x v="0"/>
    <s v="Humanista"/>
    <x v="1"/>
    <n v="8"/>
  </r>
  <r>
    <x v="0"/>
    <n v="90"/>
    <x v="81"/>
    <x v="0"/>
    <s v="Partido de los Trabajadores Soc."/>
    <x v="1"/>
    <n v="10"/>
  </r>
  <r>
    <x v="0"/>
    <n v="90"/>
    <x v="81"/>
    <x v="0"/>
    <s v="FREPAM"/>
    <x v="2"/>
    <n v="17"/>
  </r>
  <r>
    <x v="0"/>
    <n v="90"/>
    <x v="81"/>
    <x v="0"/>
    <s v="Izquierda al Frente por el Soc."/>
    <x v="1"/>
    <n v="10"/>
  </r>
  <r>
    <x v="0"/>
    <n v="90"/>
    <x v="81"/>
    <x v="0"/>
    <s v="Cambiemos"/>
    <x v="2"/>
    <n v="208"/>
  </r>
  <r>
    <x v="0"/>
    <n v="90"/>
    <x v="81"/>
    <x v="0"/>
    <s v="Nulo"/>
    <x v="3"/>
    <n v="14"/>
  </r>
  <r>
    <x v="0"/>
    <n v="90"/>
    <x v="81"/>
    <x v="0"/>
    <s v="Blanco"/>
    <x v="3"/>
    <n v="1"/>
  </r>
  <r>
    <x v="0"/>
    <n v="91"/>
    <x v="82"/>
    <x v="0"/>
    <s v="PJ"/>
    <x v="0"/>
    <n v="116"/>
  </r>
  <r>
    <x v="0"/>
    <n v="91"/>
    <x v="82"/>
    <x v="0"/>
    <s v="Humanista"/>
    <x v="1"/>
    <n v="5"/>
  </r>
  <r>
    <x v="0"/>
    <n v="91"/>
    <x v="82"/>
    <x v="0"/>
    <s v="Partido de los Trabajadores Soc."/>
    <x v="1"/>
    <n v="2"/>
  </r>
  <r>
    <x v="0"/>
    <n v="91"/>
    <x v="82"/>
    <x v="0"/>
    <s v="FREPAM"/>
    <x v="2"/>
    <n v="12"/>
  </r>
  <r>
    <x v="0"/>
    <n v="91"/>
    <x v="82"/>
    <x v="0"/>
    <s v="Izquierda al Frente por el Soc."/>
    <x v="1"/>
    <n v="5"/>
  </r>
  <r>
    <x v="0"/>
    <n v="91"/>
    <x v="82"/>
    <x v="0"/>
    <s v="Cambiemos"/>
    <x v="2"/>
    <n v="221"/>
  </r>
  <r>
    <x v="0"/>
    <n v="91"/>
    <x v="82"/>
    <x v="0"/>
    <s v="Nulo"/>
    <x v="3"/>
    <n v="8"/>
  </r>
  <r>
    <x v="0"/>
    <n v="91"/>
    <x v="82"/>
    <x v="0"/>
    <s v="Blanco"/>
    <x v="3"/>
    <n v="2"/>
  </r>
  <r>
    <x v="0"/>
    <n v="92"/>
    <x v="83"/>
    <x v="0"/>
    <s v="PJ"/>
    <x v="0"/>
    <n v="110"/>
  </r>
  <r>
    <x v="0"/>
    <n v="92"/>
    <x v="83"/>
    <x v="0"/>
    <s v="Humanista"/>
    <x v="1"/>
    <n v="3"/>
  </r>
  <r>
    <x v="0"/>
    <n v="92"/>
    <x v="83"/>
    <x v="0"/>
    <s v="Partido de los Trabajadores Soc."/>
    <x v="1"/>
    <n v="0"/>
  </r>
  <r>
    <x v="0"/>
    <n v="92"/>
    <x v="83"/>
    <x v="0"/>
    <s v="FREPAM"/>
    <x v="2"/>
    <n v="6"/>
  </r>
  <r>
    <x v="0"/>
    <n v="92"/>
    <x v="83"/>
    <x v="0"/>
    <s v="Izquierda al Frente por el Soc."/>
    <x v="1"/>
    <n v="2"/>
  </r>
  <r>
    <x v="0"/>
    <n v="92"/>
    <x v="83"/>
    <x v="0"/>
    <s v="Cambiemos"/>
    <x v="2"/>
    <n v="79"/>
  </r>
  <r>
    <x v="0"/>
    <n v="92"/>
    <x v="83"/>
    <x v="0"/>
    <s v="Nulo"/>
    <x v="3"/>
    <n v="5"/>
  </r>
  <r>
    <x v="0"/>
    <n v="92"/>
    <x v="83"/>
    <x v="0"/>
    <s v="Blanco"/>
    <x v="3"/>
    <n v="0"/>
  </r>
  <r>
    <x v="0"/>
    <n v="93"/>
    <x v="84"/>
    <x v="0"/>
    <s v="PJ"/>
    <x v="0"/>
    <n v="3096"/>
  </r>
  <r>
    <x v="0"/>
    <n v="93"/>
    <x v="84"/>
    <x v="0"/>
    <s v="Humanista"/>
    <x v="1"/>
    <n v="104"/>
  </r>
  <r>
    <x v="0"/>
    <n v="93"/>
    <x v="84"/>
    <x v="0"/>
    <s v="Partido de los Trabajadores Soc."/>
    <x v="1"/>
    <n v="128"/>
  </r>
  <r>
    <x v="0"/>
    <n v="93"/>
    <x v="84"/>
    <x v="0"/>
    <s v="FREPAM"/>
    <x v="2"/>
    <n v="190"/>
  </r>
  <r>
    <x v="0"/>
    <n v="93"/>
    <x v="84"/>
    <x v="0"/>
    <s v="Izquierda al Frente por el Soc."/>
    <x v="1"/>
    <n v="225"/>
  </r>
  <r>
    <x v="0"/>
    <n v="93"/>
    <x v="84"/>
    <x v="0"/>
    <s v="Cambiemos"/>
    <x v="2"/>
    <n v="4527"/>
  </r>
  <r>
    <x v="0"/>
    <n v="93"/>
    <x v="84"/>
    <x v="0"/>
    <s v="Nulo"/>
    <x v="3"/>
    <n v="228"/>
  </r>
  <r>
    <x v="0"/>
    <n v="93"/>
    <x v="84"/>
    <x v="0"/>
    <s v="Blanco"/>
    <x v="3"/>
    <n v="115"/>
  </r>
  <r>
    <x v="0"/>
    <n v="94"/>
    <x v="85"/>
    <x v="0"/>
    <s v="PJ"/>
    <x v="0"/>
    <n v="215"/>
  </r>
  <r>
    <x v="0"/>
    <n v="94"/>
    <x v="85"/>
    <x v="0"/>
    <s v="Humanista"/>
    <x v="1"/>
    <n v="4"/>
  </r>
  <r>
    <x v="0"/>
    <n v="94"/>
    <x v="85"/>
    <x v="0"/>
    <s v="Partido de los Trabajadores Soc."/>
    <x v="1"/>
    <n v="1"/>
  </r>
  <r>
    <x v="0"/>
    <n v="94"/>
    <x v="85"/>
    <x v="0"/>
    <s v="FREPAM"/>
    <x v="2"/>
    <n v="8"/>
  </r>
  <r>
    <x v="0"/>
    <n v="94"/>
    <x v="85"/>
    <x v="0"/>
    <s v="Izquierda al Frente por el Soc."/>
    <x v="1"/>
    <n v="3"/>
  </r>
  <r>
    <x v="0"/>
    <n v="94"/>
    <x v="85"/>
    <x v="0"/>
    <s v="Cambiemos"/>
    <x v="2"/>
    <n v="159"/>
  </r>
  <r>
    <x v="0"/>
    <n v="94"/>
    <x v="85"/>
    <x v="0"/>
    <s v="Nulo"/>
    <x v="3"/>
    <n v="6"/>
  </r>
  <r>
    <x v="0"/>
    <n v="94"/>
    <x v="85"/>
    <x v="0"/>
    <s v="Blanco"/>
    <x v="3"/>
    <n v="5"/>
  </r>
  <r>
    <x v="0"/>
    <n v="95"/>
    <x v="86"/>
    <x v="0"/>
    <s v="PJ"/>
    <x v="0"/>
    <n v="32"/>
  </r>
  <r>
    <x v="0"/>
    <n v="95"/>
    <x v="86"/>
    <x v="0"/>
    <s v="Humanista"/>
    <x v="1"/>
    <n v="1"/>
  </r>
  <r>
    <x v="0"/>
    <n v="95"/>
    <x v="86"/>
    <x v="0"/>
    <s v="Partido de los Trabajadores Soc."/>
    <x v="1"/>
    <n v="0"/>
  </r>
  <r>
    <x v="0"/>
    <n v="95"/>
    <x v="86"/>
    <x v="0"/>
    <s v="FREPAM"/>
    <x v="2"/>
    <n v="1"/>
  </r>
  <r>
    <x v="0"/>
    <n v="95"/>
    <x v="86"/>
    <x v="0"/>
    <s v="Izquierda al Frente por el Soc."/>
    <x v="1"/>
    <n v="0"/>
  </r>
  <r>
    <x v="0"/>
    <n v="95"/>
    <x v="86"/>
    <x v="0"/>
    <s v="Cambiemos"/>
    <x v="2"/>
    <n v="66"/>
  </r>
  <r>
    <x v="0"/>
    <n v="95"/>
    <x v="86"/>
    <x v="0"/>
    <s v="Nulo"/>
    <x v="3"/>
    <n v="0"/>
  </r>
  <r>
    <x v="0"/>
    <n v="95"/>
    <x v="86"/>
    <x v="0"/>
    <s v="Blanco"/>
    <x v="3"/>
    <n v="1"/>
  </r>
  <r>
    <x v="1"/>
    <n v="1"/>
    <x v="0"/>
    <x v="1"/>
    <s v="Frente justicialista pampeano"/>
    <x v="0"/>
    <n v="477"/>
  </r>
  <r>
    <x v="1"/>
    <n v="1"/>
    <x v="0"/>
    <x v="1"/>
    <s v="Cambiemos - FREPAM"/>
    <x v="2"/>
    <n v="316"/>
  </r>
  <r>
    <x v="1"/>
    <n v="1"/>
    <x v="0"/>
    <x v="1"/>
    <s v="Comunidad organizada"/>
    <x v="1"/>
    <n v="308"/>
  </r>
  <r>
    <x v="1"/>
    <n v="1"/>
    <x v="0"/>
    <x v="1"/>
    <s v="Frente popular pampeano "/>
    <x v="1"/>
    <n v="92"/>
  </r>
  <r>
    <x v="1"/>
    <n v="1"/>
    <x v="0"/>
    <x v="1"/>
    <s v="Blanco"/>
    <x v="3"/>
    <n v="49"/>
  </r>
  <r>
    <x v="1"/>
    <n v="1"/>
    <x v="0"/>
    <x v="1"/>
    <s v="Nulo"/>
    <x v="3"/>
    <n v="7"/>
  </r>
  <r>
    <x v="1"/>
    <n v="1"/>
    <x v="0"/>
    <x v="2"/>
    <s v="Frente justicialista pampeano"/>
    <x v="0"/>
    <n v="419"/>
  </r>
  <r>
    <x v="1"/>
    <n v="1"/>
    <x v="0"/>
    <x v="2"/>
    <s v="Cambiemos - FREPAM"/>
    <x v="2"/>
    <n v="346"/>
  </r>
  <r>
    <x v="1"/>
    <n v="1"/>
    <x v="0"/>
    <x v="2"/>
    <s v="Comunidad organizada"/>
    <x v="1"/>
    <n v="230"/>
  </r>
  <r>
    <x v="1"/>
    <n v="1"/>
    <x v="0"/>
    <x v="2"/>
    <s v="Blanco"/>
    <x v="3"/>
    <n v="167"/>
  </r>
  <r>
    <x v="1"/>
    <n v="1"/>
    <x v="0"/>
    <x v="2"/>
    <s v="Frente popular pampeano "/>
    <x v="1"/>
    <n v="60"/>
  </r>
  <r>
    <x v="1"/>
    <n v="1"/>
    <x v="0"/>
    <x v="2"/>
    <s v="Partido socialista"/>
    <x v="1"/>
    <n v="8"/>
  </r>
  <r>
    <x v="1"/>
    <n v="1"/>
    <x v="0"/>
    <x v="2"/>
    <s v="Nulo"/>
    <x v="3"/>
    <n v="8"/>
  </r>
  <r>
    <x v="1"/>
    <n v="1"/>
    <x v="0"/>
    <x v="2"/>
    <s v="Pueblo Nuevo"/>
    <x v="1"/>
    <n v="6"/>
  </r>
  <r>
    <x v="1"/>
    <n v="1"/>
    <x v="0"/>
    <x v="2"/>
    <s v="Desde el pie "/>
    <x v="1"/>
    <n v="3"/>
  </r>
  <r>
    <x v="1"/>
    <n v="1"/>
    <x v="0"/>
    <x v="2"/>
    <s v="Movimiento socialista de los trabajadores"/>
    <x v="1"/>
    <n v="2"/>
  </r>
  <r>
    <x v="1"/>
    <n v="1"/>
    <x v="0"/>
    <x v="3"/>
    <s v="Frente justicialista pampeano"/>
    <x v="0"/>
    <n v="456"/>
  </r>
  <r>
    <x v="1"/>
    <n v="1"/>
    <x v="0"/>
    <x v="3"/>
    <s v="Cambiemos - FREPAM"/>
    <x v="2"/>
    <n v="369"/>
  </r>
  <r>
    <x v="1"/>
    <n v="1"/>
    <x v="0"/>
    <x v="3"/>
    <s v="Comunidad organizada"/>
    <x v="1"/>
    <n v="241"/>
  </r>
  <r>
    <x v="1"/>
    <n v="1"/>
    <x v="0"/>
    <x v="3"/>
    <s v="Blanco"/>
    <x v="3"/>
    <n v="98"/>
  </r>
  <r>
    <x v="1"/>
    <n v="1"/>
    <x v="0"/>
    <x v="3"/>
    <s v="Frente popular pampeano "/>
    <x v="1"/>
    <n v="58"/>
  </r>
  <r>
    <x v="1"/>
    <n v="1"/>
    <x v="0"/>
    <x v="3"/>
    <s v="Pueblo Nuevo"/>
    <x v="1"/>
    <n v="8"/>
  </r>
  <r>
    <x v="1"/>
    <n v="1"/>
    <x v="0"/>
    <x v="3"/>
    <s v="Nulo"/>
    <x v="3"/>
    <n v="7"/>
  </r>
  <r>
    <x v="1"/>
    <n v="1"/>
    <x v="0"/>
    <x v="3"/>
    <s v="Partido socialista"/>
    <x v="1"/>
    <n v="6"/>
  </r>
  <r>
    <x v="1"/>
    <n v="1"/>
    <x v="0"/>
    <x v="3"/>
    <s v="Desde el pie "/>
    <x v="1"/>
    <n v="3"/>
  </r>
  <r>
    <x v="1"/>
    <n v="1"/>
    <x v="0"/>
    <x v="3"/>
    <s v="Movimiento socialista de los trabajadores"/>
    <x v="1"/>
    <n v="3"/>
  </r>
  <r>
    <x v="1"/>
    <n v="2"/>
    <x v="1"/>
    <x v="1"/>
    <s v="PJ"/>
    <x v="0"/>
    <n v="2218"/>
  </r>
  <r>
    <x v="1"/>
    <n v="2"/>
    <x v="1"/>
    <x v="1"/>
    <s v="Cambiemos - FREPAM"/>
    <x v="2"/>
    <n v="1422"/>
  </r>
  <r>
    <x v="1"/>
    <n v="2"/>
    <x v="1"/>
    <x v="1"/>
    <s v="Blanco"/>
    <x v="3"/>
    <n v="207"/>
  </r>
  <r>
    <x v="1"/>
    <n v="2"/>
    <x v="1"/>
    <x v="1"/>
    <s v="Nulo"/>
    <x v="3"/>
    <n v="39"/>
  </r>
  <r>
    <x v="1"/>
    <n v="2"/>
    <x v="1"/>
    <x v="3"/>
    <s v="PJ"/>
    <x v="0"/>
    <n v="2157"/>
  </r>
  <r>
    <x v="1"/>
    <n v="2"/>
    <x v="1"/>
    <x v="3"/>
    <s v="Cambiemos - FREPAM"/>
    <x v="2"/>
    <n v="1277"/>
  </r>
  <r>
    <x v="1"/>
    <n v="2"/>
    <x v="1"/>
    <x v="3"/>
    <s v="Comunidad organizada"/>
    <x v="1"/>
    <n v="224"/>
  </r>
  <r>
    <x v="1"/>
    <n v="2"/>
    <x v="1"/>
    <x v="3"/>
    <s v="Blanco"/>
    <x v="3"/>
    <n v="94"/>
  </r>
  <r>
    <x v="1"/>
    <n v="2"/>
    <x v="1"/>
    <x v="3"/>
    <s v="Nulo"/>
    <x v="3"/>
    <n v="64"/>
  </r>
  <r>
    <x v="1"/>
    <n v="2"/>
    <x v="1"/>
    <x v="3"/>
    <s v="Pueblo Nuevo"/>
    <x v="1"/>
    <n v="28"/>
  </r>
  <r>
    <x v="1"/>
    <n v="2"/>
    <x v="1"/>
    <x v="3"/>
    <s v="Frente popular pampeano "/>
    <x v="1"/>
    <n v="18"/>
  </r>
  <r>
    <x v="1"/>
    <n v="2"/>
    <x v="1"/>
    <x v="3"/>
    <s v="Movimiento socialista de los trabajadores"/>
    <x v="1"/>
    <n v="13"/>
  </r>
  <r>
    <x v="1"/>
    <n v="2"/>
    <x v="1"/>
    <x v="3"/>
    <s v="Partido socialista"/>
    <x v="1"/>
    <n v="8"/>
  </r>
  <r>
    <x v="1"/>
    <n v="2"/>
    <x v="1"/>
    <x v="3"/>
    <s v="Desde el pie "/>
    <x v="1"/>
    <n v="3"/>
  </r>
  <r>
    <x v="1"/>
    <n v="2"/>
    <x v="1"/>
    <x v="2"/>
    <s v="PJ"/>
    <x v="0"/>
    <n v="2156"/>
  </r>
  <r>
    <x v="1"/>
    <n v="2"/>
    <x v="1"/>
    <x v="2"/>
    <s v="Cambiemos - FREPAM"/>
    <x v="2"/>
    <n v="1290"/>
  </r>
  <r>
    <x v="1"/>
    <n v="2"/>
    <x v="1"/>
    <x v="2"/>
    <s v="Comunidad organizada"/>
    <x v="1"/>
    <n v="173"/>
  </r>
  <r>
    <x v="1"/>
    <n v="2"/>
    <x v="1"/>
    <x v="2"/>
    <s v="Blanco"/>
    <x v="3"/>
    <n v="135"/>
  </r>
  <r>
    <x v="1"/>
    <n v="2"/>
    <x v="1"/>
    <x v="2"/>
    <s v="Nulo"/>
    <x v="3"/>
    <n v="65"/>
  </r>
  <r>
    <x v="1"/>
    <n v="2"/>
    <x v="1"/>
    <x v="2"/>
    <s v="Pueblo Nuevo"/>
    <x v="1"/>
    <n v="23"/>
  </r>
  <r>
    <x v="1"/>
    <n v="2"/>
    <x v="1"/>
    <x v="2"/>
    <s v="Movimiento socialista de los trabajadores"/>
    <x v="1"/>
    <n v="16"/>
  </r>
  <r>
    <x v="1"/>
    <n v="2"/>
    <x v="1"/>
    <x v="2"/>
    <s v="Frente popular pampeano "/>
    <x v="1"/>
    <n v="16"/>
  </r>
  <r>
    <x v="1"/>
    <n v="2"/>
    <x v="1"/>
    <x v="2"/>
    <s v="Partido socialista"/>
    <x v="1"/>
    <n v="10"/>
  </r>
  <r>
    <x v="1"/>
    <n v="2"/>
    <x v="1"/>
    <x v="2"/>
    <s v="Desde el pie "/>
    <x v="1"/>
    <n v="2"/>
  </r>
  <r>
    <x v="1"/>
    <n v="3"/>
    <x v="2"/>
    <x v="1"/>
    <s v="Frente justicialista pampeano"/>
    <x v="0"/>
    <n v="1088"/>
  </r>
  <r>
    <x v="1"/>
    <n v="3"/>
    <x v="2"/>
    <x v="1"/>
    <s v="Cambiemos - FREPAM"/>
    <x v="2"/>
    <n v="827"/>
  </r>
  <r>
    <x v="1"/>
    <n v="3"/>
    <x v="2"/>
    <x v="1"/>
    <s v="Blanco"/>
    <x v="3"/>
    <n v="26"/>
  </r>
  <r>
    <x v="1"/>
    <n v="3"/>
    <x v="2"/>
    <x v="1"/>
    <s v="Nulo"/>
    <x v="3"/>
    <n v="7"/>
  </r>
  <r>
    <x v="1"/>
    <n v="3"/>
    <x v="2"/>
    <x v="2"/>
    <s v="Frente justicialista pampeano"/>
    <x v="0"/>
    <n v="1047"/>
  </r>
  <r>
    <x v="1"/>
    <n v="3"/>
    <x v="2"/>
    <x v="2"/>
    <s v="Cambiemos - FREPAM"/>
    <x v="2"/>
    <n v="708"/>
  </r>
  <r>
    <x v="1"/>
    <n v="3"/>
    <x v="2"/>
    <x v="2"/>
    <s v="Blanco"/>
    <x v="3"/>
    <n v="64"/>
  </r>
  <r>
    <x v="1"/>
    <n v="3"/>
    <x v="2"/>
    <x v="2"/>
    <s v="Nulo"/>
    <x v="3"/>
    <n v="63"/>
  </r>
  <r>
    <x v="1"/>
    <n v="3"/>
    <x v="2"/>
    <x v="2"/>
    <s v="Comunidad organizada"/>
    <x v="1"/>
    <n v="25"/>
  </r>
  <r>
    <x v="1"/>
    <n v="3"/>
    <x v="2"/>
    <x v="2"/>
    <s v="Pueblo Nuevo"/>
    <x v="1"/>
    <n v="22"/>
  </r>
  <r>
    <x v="1"/>
    <n v="3"/>
    <x v="2"/>
    <x v="2"/>
    <s v="Partido socialista"/>
    <x v="1"/>
    <n v="8"/>
  </r>
  <r>
    <x v="1"/>
    <n v="3"/>
    <x v="2"/>
    <x v="2"/>
    <s v="Frente popular pampeano "/>
    <x v="1"/>
    <n v="7"/>
  </r>
  <r>
    <x v="1"/>
    <n v="3"/>
    <x v="2"/>
    <x v="2"/>
    <s v="Desde el pie "/>
    <x v="1"/>
    <n v="2"/>
  </r>
  <r>
    <x v="1"/>
    <n v="3"/>
    <x v="2"/>
    <x v="2"/>
    <s v="Movimiento socialista de los trabajadores"/>
    <x v="1"/>
    <n v="2"/>
  </r>
  <r>
    <x v="1"/>
    <n v="3"/>
    <x v="2"/>
    <x v="3"/>
    <s v="Frente justicialista pampeano"/>
    <x v="0"/>
    <n v="1041"/>
  </r>
  <r>
    <x v="1"/>
    <n v="3"/>
    <x v="2"/>
    <x v="3"/>
    <s v="Cambiemos - FREPAM"/>
    <x v="2"/>
    <n v="653"/>
  </r>
  <r>
    <x v="1"/>
    <n v="3"/>
    <x v="2"/>
    <x v="3"/>
    <s v="Nulo"/>
    <x v="3"/>
    <n v="86"/>
  </r>
  <r>
    <x v="1"/>
    <n v="3"/>
    <x v="2"/>
    <x v="3"/>
    <s v="Blanco"/>
    <x v="3"/>
    <n v="74"/>
  </r>
  <r>
    <x v="1"/>
    <n v="3"/>
    <x v="2"/>
    <x v="3"/>
    <s v="Comunidad organizada"/>
    <x v="1"/>
    <n v="45"/>
  </r>
  <r>
    <x v="1"/>
    <n v="3"/>
    <x v="2"/>
    <x v="3"/>
    <s v="Pueblo Nuevo"/>
    <x v="1"/>
    <n v="26"/>
  </r>
  <r>
    <x v="1"/>
    <n v="3"/>
    <x v="2"/>
    <x v="3"/>
    <s v="Partido socialista"/>
    <x v="1"/>
    <n v="9"/>
  </r>
  <r>
    <x v="1"/>
    <n v="3"/>
    <x v="2"/>
    <x v="3"/>
    <s v="Frente popular pampeano "/>
    <x v="1"/>
    <n v="8"/>
  </r>
  <r>
    <x v="1"/>
    <n v="3"/>
    <x v="2"/>
    <x v="3"/>
    <s v="Desde el pie "/>
    <x v="1"/>
    <n v="3"/>
  </r>
  <r>
    <x v="1"/>
    <n v="3"/>
    <x v="2"/>
    <x v="3"/>
    <s v="Movimiento socialista de los trabajadores"/>
    <x v="1"/>
    <n v="3"/>
  </r>
  <r>
    <x v="1"/>
    <n v="4"/>
    <x v="3"/>
    <x v="1"/>
    <s v="Frente justicialista pampeano"/>
    <x v="0"/>
    <n v="363"/>
  </r>
  <r>
    <x v="1"/>
    <n v="4"/>
    <x v="3"/>
    <x v="1"/>
    <s v="Cambiemos - FREPAM"/>
    <x v="2"/>
    <n v="183"/>
  </r>
  <r>
    <x v="1"/>
    <n v="4"/>
    <x v="3"/>
    <x v="1"/>
    <s v="Blanco"/>
    <x v="3"/>
    <n v="21"/>
  </r>
  <r>
    <x v="1"/>
    <n v="4"/>
    <x v="3"/>
    <x v="1"/>
    <s v="Nulo"/>
    <x v="3"/>
    <n v="5"/>
  </r>
  <r>
    <x v="1"/>
    <n v="4"/>
    <x v="3"/>
    <x v="2"/>
    <s v="Frente justicialista pampeano"/>
    <x v="0"/>
    <n v="341"/>
  </r>
  <r>
    <x v="1"/>
    <n v="4"/>
    <x v="3"/>
    <x v="2"/>
    <s v="Cambiemos - FREPAM"/>
    <x v="2"/>
    <n v="169"/>
  </r>
  <r>
    <x v="1"/>
    <n v="4"/>
    <x v="3"/>
    <x v="2"/>
    <s v="Blanco"/>
    <x v="3"/>
    <n v="25"/>
  </r>
  <r>
    <x v="1"/>
    <n v="4"/>
    <x v="3"/>
    <x v="2"/>
    <s v="Comunidad organizada"/>
    <x v="1"/>
    <n v="14"/>
  </r>
  <r>
    <x v="1"/>
    <n v="4"/>
    <x v="3"/>
    <x v="2"/>
    <s v="Movimiento socialista de los trabajadores"/>
    <x v="1"/>
    <n v="9"/>
  </r>
  <r>
    <x v="1"/>
    <n v="4"/>
    <x v="3"/>
    <x v="2"/>
    <s v="Partido socialista"/>
    <x v="1"/>
    <n v="8"/>
  </r>
  <r>
    <x v="1"/>
    <n v="4"/>
    <x v="3"/>
    <x v="2"/>
    <s v="Nulo"/>
    <x v="3"/>
    <n v="6"/>
  </r>
  <r>
    <x v="1"/>
    <n v="4"/>
    <x v="3"/>
    <x v="3"/>
    <s v="Frente justicialista pampeano"/>
    <x v="0"/>
    <n v="349"/>
  </r>
  <r>
    <x v="1"/>
    <n v="4"/>
    <x v="3"/>
    <x v="3"/>
    <s v="Cambiemos - FREPAM"/>
    <x v="2"/>
    <n v="172"/>
  </r>
  <r>
    <x v="1"/>
    <n v="4"/>
    <x v="3"/>
    <x v="3"/>
    <s v="Blanco"/>
    <x v="3"/>
    <n v="18"/>
  </r>
  <r>
    <x v="1"/>
    <n v="4"/>
    <x v="3"/>
    <x v="3"/>
    <s v="Comunidad organizada"/>
    <x v="1"/>
    <n v="15"/>
  </r>
  <r>
    <x v="1"/>
    <n v="4"/>
    <x v="3"/>
    <x v="3"/>
    <s v="Partido socialista"/>
    <x v="1"/>
    <n v="8"/>
  </r>
  <r>
    <x v="1"/>
    <n v="4"/>
    <x v="3"/>
    <x v="3"/>
    <s v="Nulo"/>
    <x v="3"/>
    <n v="6"/>
  </r>
  <r>
    <x v="1"/>
    <n v="4"/>
    <x v="3"/>
    <x v="3"/>
    <s v="Movimiento socialista de los trabajadores"/>
    <x v="1"/>
    <n v="4"/>
  </r>
  <r>
    <x v="1"/>
    <n v="5"/>
    <x v="4"/>
    <x v="1"/>
    <s v="Frente justicialista pampeano"/>
    <x v="0"/>
    <n v="246"/>
  </r>
  <r>
    <x v="1"/>
    <n v="5"/>
    <x v="4"/>
    <x v="1"/>
    <s v="Cambiemos - FREPAM"/>
    <x v="2"/>
    <n v="74"/>
  </r>
  <r>
    <x v="1"/>
    <n v="5"/>
    <x v="4"/>
    <x v="1"/>
    <s v="Blanco"/>
    <x v="3"/>
    <n v="6"/>
  </r>
  <r>
    <x v="1"/>
    <n v="5"/>
    <x v="4"/>
    <x v="2"/>
    <s v="Frente justicialista pampeano"/>
    <x v="0"/>
    <n v="204"/>
  </r>
  <r>
    <x v="1"/>
    <n v="5"/>
    <x v="4"/>
    <x v="2"/>
    <s v="Cambiemos - FREPAM"/>
    <x v="2"/>
    <n v="94"/>
  </r>
  <r>
    <x v="1"/>
    <n v="5"/>
    <x v="4"/>
    <x v="2"/>
    <s v="Comunidad organizada"/>
    <x v="1"/>
    <n v="14"/>
  </r>
  <r>
    <x v="1"/>
    <n v="5"/>
    <x v="4"/>
    <x v="2"/>
    <s v="Blanco"/>
    <x v="3"/>
    <n v="11"/>
  </r>
  <r>
    <x v="1"/>
    <n v="5"/>
    <x v="4"/>
    <x v="2"/>
    <s v="Movimiento socialista de los trabajadores"/>
    <x v="1"/>
    <n v="2"/>
  </r>
  <r>
    <x v="1"/>
    <n v="5"/>
    <x v="4"/>
    <x v="2"/>
    <s v="Partido socialista"/>
    <x v="1"/>
    <n v="1"/>
  </r>
  <r>
    <x v="1"/>
    <n v="5"/>
    <x v="4"/>
    <x v="3"/>
    <s v="Frente justicialista pampeano"/>
    <x v="0"/>
    <n v="206"/>
  </r>
  <r>
    <x v="1"/>
    <n v="5"/>
    <x v="4"/>
    <x v="3"/>
    <s v="Cambiemos - FREPAM"/>
    <x v="2"/>
    <n v="97"/>
  </r>
  <r>
    <x v="1"/>
    <n v="5"/>
    <x v="4"/>
    <x v="3"/>
    <s v="Comunidad organizada"/>
    <x v="1"/>
    <n v="14"/>
  </r>
  <r>
    <x v="1"/>
    <n v="5"/>
    <x v="4"/>
    <x v="3"/>
    <s v="Blanco"/>
    <x v="3"/>
    <n v="6"/>
  </r>
  <r>
    <x v="1"/>
    <n v="5"/>
    <x v="4"/>
    <x v="3"/>
    <s v="Movimiento socialista de los trabajadores"/>
    <x v="1"/>
    <n v="2"/>
  </r>
  <r>
    <x v="1"/>
    <n v="5"/>
    <x v="4"/>
    <x v="3"/>
    <s v="Partido socialista"/>
    <x v="1"/>
    <n v="1"/>
  </r>
  <r>
    <x v="1"/>
    <n v="6"/>
    <x v="5"/>
    <x v="1"/>
    <s v="Cambiemos - FREPAM"/>
    <x v="2"/>
    <n v="733"/>
  </r>
  <r>
    <x v="1"/>
    <n v="6"/>
    <x v="5"/>
    <x v="1"/>
    <s v="Frente justicialista pampeano"/>
    <x v="0"/>
    <n v="703"/>
  </r>
  <r>
    <x v="1"/>
    <n v="6"/>
    <x v="5"/>
    <x v="1"/>
    <s v="Blanco"/>
    <x v="3"/>
    <n v="69"/>
  </r>
  <r>
    <x v="1"/>
    <n v="6"/>
    <x v="5"/>
    <x v="1"/>
    <s v="Nulo"/>
    <x v="3"/>
    <n v="16"/>
  </r>
  <r>
    <x v="1"/>
    <n v="6"/>
    <x v="5"/>
    <x v="2"/>
    <s v="Frente justicialista pampeano"/>
    <x v="0"/>
    <n v="705"/>
  </r>
  <r>
    <x v="1"/>
    <n v="6"/>
    <x v="5"/>
    <x v="2"/>
    <s v="Cambiemos - FREPAM"/>
    <x v="2"/>
    <n v="677"/>
  </r>
  <r>
    <x v="1"/>
    <n v="6"/>
    <x v="5"/>
    <x v="2"/>
    <s v="Blanco"/>
    <x v="3"/>
    <n v="44"/>
  </r>
  <r>
    <x v="1"/>
    <n v="6"/>
    <x v="5"/>
    <x v="2"/>
    <s v="Comunidad organizada"/>
    <x v="1"/>
    <n v="30"/>
  </r>
  <r>
    <x v="1"/>
    <n v="6"/>
    <x v="5"/>
    <x v="2"/>
    <s v="Nulo"/>
    <x v="3"/>
    <n v="26"/>
  </r>
  <r>
    <x v="1"/>
    <n v="6"/>
    <x v="5"/>
    <x v="2"/>
    <s v="Pueblo Nuevo"/>
    <x v="1"/>
    <n v="18"/>
  </r>
  <r>
    <x v="1"/>
    <n v="6"/>
    <x v="5"/>
    <x v="2"/>
    <s v="Partido socialista"/>
    <x v="1"/>
    <n v="10"/>
  </r>
  <r>
    <x v="1"/>
    <n v="6"/>
    <x v="5"/>
    <x v="2"/>
    <s v="Movimiento socialista de los trabajadores"/>
    <x v="1"/>
    <n v="5"/>
  </r>
  <r>
    <x v="1"/>
    <n v="6"/>
    <x v="5"/>
    <x v="2"/>
    <s v="Frente popular pampeano "/>
    <x v="1"/>
    <n v="5"/>
  </r>
  <r>
    <x v="1"/>
    <n v="6"/>
    <x v="5"/>
    <x v="2"/>
    <s v="Desde el pie "/>
    <x v="1"/>
    <n v="1"/>
  </r>
  <r>
    <x v="1"/>
    <n v="6"/>
    <x v="5"/>
    <x v="3"/>
    <s v="Frente justicialista pampeano"/>
    <x v="0"/>
    <n v="712"/>
  </r>
  <r>
    <x v="1"/>
    <n v="6"/>
    <x v="5"/>
    <x v="3"/>
    <s v="Cambiemos - FREPAM"/>
    <x v="2"/>
    <n v="669"/>
  </r>
  <r>
    <x v="1"/>
    <n v="6"/>
    <x v="5"/>
    <x v="3"/>
    <s v="Blanco"/>
    <x v="3"/>
    <n v="39"/>
  </r>
  <r>
    <x v="1"/>
    <n v="6"/>
    <x v="5"/>
    <x v="3"/>
    <s v="Comunidad organizada"/>
    <x v="1"/>
    <n v="33"/>
  </r>
  <r>
    <x v="1"/>
    <n v="6"/>
    <x v="5"/>
    <x v="3"/>
    <s v="Nulo"/>
    <x v="3"/>
    <n v="24"/>
  </r>
  <r>
    <x v="1"/>
    <n v="6"/>
    <x v="5"/>
    <x v="3"/>
    <s v="Pueblo Nuevo"/>
    <x v="1"/>
    <n v="20"/>
  </r>
  <r>
    <x v="1"/>
    <n v="6"/>
    <x v="5"/>
    <x v="3"/>
    <s v="Partido socialista"/>
    <x v="1"/>
    <n v="13"/>
  </r>
  <r>
    <x v="1"/>
    <n v="6"/>
    <x v="5"/>
    <x v="3"/>
    <s v="Frente popular pampeano "/>
    <x v="1"/>
    <n v="6"/>
  </r>
  <r>
    <x v="1"/>
    <n v="6"/>
    <x v="5"/>
    <x v="3"/>
    <s v="Movimiento socialista de los trabajadores"/>
    <x v="1"/>
    <n v="5"/>
  </r>
  <r>
    <x v="1"/>
    <s v="9 y 10"/>
    <x v="6"/>
    <x v="1"/>
    <s v="PJ"/>
    <x v="0"/>
    <n v="32560"/>
  </r>
  <r>
    <x v="1"/>
    <s v="9 y 10"/>
    <x v="6"/>
    <x v="1"/>
    <s v="Cambiemos - FREPAM"/>
    <x v="2"/>
    <n v="17162"/>
  </r>
  <r>
    <x v="1"/>
    <s v="9 y 10"/>
    <x v="6"/>
    <x v="1"/>
    <s v="Comunidad organizada"/>
    <x v="1"/>
    <n v="5957"/>
  </r>
  <r>
    <x v="1"/>
    <s v="9 y 10"/>
    <x v="6"/>
    <x v="1"/>
    <s v="Pueblo Nuevo"/>
    <x v="1"/>
    <n v="2332"/>
  </r>
  <r>
    <x v="1"/>
    <s v="9 y 10"/>
    <x v="6"/>
    <x v="1"/>
    <s v="Blanco"/>
    <x v="3"/>
    <n v="1954"/>
  </r>
  <r>
    <x v="1"/>
    <s v="9 y 10"/>
    <x v="6"/>
    <x v="1"/>
    <s v="Partido socialista"/>
    <x v="1"/>
    <n v="1660"/>
  </r>
  <r>
    <x v="1"/>
    <s v="9 y 10"/>
    <x v="6"/>
    <x v="1"/>
    <s v="Frente popular pampeano "/>
    <x v="1"/>
    <n v="1129"/>
  </r>
  <r>
    <x v="1"/>
    <s v="9 y 10"/>
    <x v="6"/>
    <x v="1"/>
    <s v="Movimiento socialista de los trabajadores"/>
    <x v="1"/>
    <n v="774"/>
  </r>
  <r>
    <x v="1"/>
    <s v="9 y 10"/>
    <x v="6"/>
    <x v="1"/>
    <s v="Nulo"/>
    <x v="3"/>
    <n v="764"/>
  </r>
  <r>
    <x v="1"/>
    <s v="9 y 10"/>
    <x v="6"/>
    <x v="1"/>
    <s v="Desde el pie "/>
    <x v="1"/>
    <n v="642"/>
  </r>
  <r>
    <x v="1"/>
    <s v="9 y 10"/>
    <x v="6"/>
    <x v="1"/>
    <s v="Compromiso ciudadano "/>
    <x v="1"/>
    <n v="631"/>
  </r>
  <r>
    <x v="1"/>
    <s v="9 y 10"/>
    <x v="6"/>
    <x v="3"/>
    <s v="PJ"/>
    <x v="0"/>
    <n v="33285"/>
  </r>
  <r>
    <x v="1"/>
    <s v="9 y 10"/>
    <x v="6"/>
    <x v="3"/>
    <s v="Cambiemos - FREPAM"/>
    <x v="2"/>
    <n v="16400"/>
  </r>
  <r>
    <x v="1"/>
    <s v="9 y 10"/>
    <x v="6"/>
    <x v="3"/>
    <s v="Comunidad organizada"/>
    <x v="1"/>
    <n v="7012"/>
  </r>
  <r>
    <x v="1"/>
    <s v="9 y 10"/>
    <x v="6"/>
    <x v="3"/>
    <s v="Pueblo Nuevo"/>
    <x v="1"/>
    <n v="2216"/>
  </r>
  <r>
    <x v="1"/>
    <s v="9 y 10"/>
    <x v="6"/>
    <x v="3"/>
    <s v="Blanco"/>
    <x v="3"/>
    <n v="1706"/>
  </r>
  <r>
    <x v="1"/>
    <s v="9 y 10"/>
    <x v="6"/>
    <x v="3"/>
    <s v="Partido socialista"/>
    <x v="1"/>
    <n v="1655"/>
  </r>
  <r>
    <x v="1"/>
    <s v="9 y 10"/>
    <x v="6"/>
    <x v="3"/>
    <s v="Frente popular pampeano "/>
    <x v="1"/>
    <n v="1144"/>
  </r>
  <r>
    <x v="1"/>
    <s v="9 y 10"/>
    <x v="6"/>
    <x v="3"/>
    <s v="Nulo"/>
    <x v="3"/>
    <n v="801"/>
  </r>
  <r>
    <x v="1"/>
    <s v="9 y 10"/>
    <x v="6"/>
    <x v="3"/>
    <s v="Movimiento socialista de los trabajadores"/>
    <x v="1"/>
    <n v="743"/>
  </r>
  <r>
    <x v="1"/>
    <s v="9 y 10"/>
    <x v="6"/>
    <x v="3"/>
    <s v="Desde el pie "/>
    <x v="1"/>
    <n v="603"/>
  </r>
  <r>
    <x v="1"/>
    <s v="9 y 10"/>
    <x v="6"/>
    <x v="2"/>
    <s v="PJ"/>
    <x v="0"/>
    <n v="32868"/>
  </r>
  <r>
    <x v="1"/>
    <s v="9 y 10"/>
    <x v="6"/>
    <x v="2"/>
    <s v="Cambiemos - FREPAM"/>
    <x v="2"/>
    <n v="16579"/>
  </r>
  <r>
    <x v="1"/>
    <s v="9 y 10"/>
    <x v="6"/>
    <x v="2"/>
    <s v="Comunidad organizada"/>
    <x v="1"/>
    <n v="6386"/>
  </r>
  <r>
    <x v="1"/>
    <s v="9 y 10"/>
    <x v="6"/>
    <x v="2"/>
    <s v="Blanco"/>
    <x v="3"/>
    <n v="2485"/>
  </r>
  <r>
    <x v="1"/>
    <s v="9 y 10"/>
    <x v="6"/>
    <x v="2"/>
    <s v="Pueblo Nuevo"/>
    <x v="1"/>
    <n v="2248"/>
  </r>
  <r>
    <x v="1"/>
    <s v="9 y 10"/>
    <x v="6"/>
    <x v="2"/>
    <s v="Partido socialista"/>
    <x v="1"/>
    <n v="1738"/>
  </r>
  <r>
    <x v="1"/>
    <s v="9 y 10"/>
    <x v="6"/>
    <x v="2"/>
    <s v="Frente popular pampeano "/>
    <x v="1"/>
    <n v="1106"/>
  </r>
  <r>
    <x v="1"/>
    <s v="9 y 10"/>
    <x v="6"/>
    <x v="2"/>
    <s v="Nulo"/>
    <x v="3"/>
    <n v="770"/>
  </r>
  <r>
    <x v="1"/>
    <s v="9 y 10"/>
    <x v="6"/>
    <x v="2"/>
    <s v="Movimiento socialista de los trabajadores"/>
    <x v="1"/>
    <n v="763"/>
  </r>
  <r>
    <x v="1"/>
    <s v="9 y 10"/>
    <x v="6"/>
    <x v="2"/>
    <s v="Desde el pie "/>
    <x v="1"/>
    <n v="622"/>
  </r>
  <r>
    <x v="1"/>
    <n v="11"/>
    <x v="7"/>
    <x v="1"/>
    <s v="Frente justicialista pampeano"/>
    <x v="0"/>
    <n v="1040"/>
  </r>
  <r>
    <x v="1"/>
    <n v="11"/>
    <x v="7"/>
    <x v="1"/>
    <s v="Cambiemos - FREPAM"/>
    <x v="2"/>
    <n v="367"/>
  </r>
  <r>
    <x v="1"/>
    <n v="11"/>
    <x v="7"/>
    <x v="1"/>
    <s v="Blanco"/>
    <x v="3"/>
    <n v="46"/>
  </r>
  <r>
    <x v="1"/>
    <n v="11"/>
    <x v="7"/>
    <x v="1"/>
    <s v="Nulo"/>
    <x v="3"/>
    <n v="7"/>
  </r>
  <r>
    <x v="1"/>
    <n v="11"/>
    <x v="7"/>
    <x v="2"/>
    <s v="Frente justicialista pampeano"/>
    <x v="0"/>
    <n v="1025"/>
  </r>
  <r>
    <x v="1"/>
    <n v="11"/>
    <x v="7"/>
    <x v="2"/>
    <s v="Cambiemos - FREPAM"/>
    <x v="2"/>
    <n v="344"/>
  </r>
  <r>
    <x v="1"/>
    <n v="11"/>
    <x v="7"/>
    <x v="2"/>
    <s v="Blanco"/>
    <x v="3"/>
    <n v="41"/>
  </r>
  <r>
    <x v="1"/>
    <n v="11"/>
    <x v="7"/>
    <x v="2"/>
    <s v="Nulo"/>
    <x v="3"/>
    <n v="12"/>
  </r>
  <r>
    <x v="1"/>
    <n v="11"/>
    <x v="7"/>
    <x v="2"/>
    <s v="Comunidad organizada"/>
    <x v="1"/>
    <n v="10"/>
  </r>
  <r>
    <x v="1"/>
    <n v="11"/>
    <x v="7"/>
    <x v="2"/>
    <s v="Partido socialista"/>
    <x v="1"/>
    <n v="8"/>
  </r>
  <r>
    <x v="1"/>
    <n v="11"/>
    <x v="7"/>
    <x v="2"/>
    <s v="Frente popular pampeano "/>
    <x v="1"/>
    <n v="6"/>
  </r>
  <r>
    <x v="1"/>
    <n v="11"/>
    <x v="7"/>
    <x v="2"/>
    <s v="Movimiento socialista de los trabajadores"/>
    <x v="1"/>
    <n v="5"/>
  </r>
  <r>
    <x v="1"/>
    <n v="11"/>
    <x v="7"/>
    <x v="2"/>
    <s v="Pueblo Nuevo"/>
    <x v="1"/>
    <n v="5"/>
  </r>
  <r>
    <x v="1"/>
    <n v="11"/>
    <x v="7"/>
    <x v="2"/>
    <s v="Desde el pie "/>
    <x v="1"/>
    <n v="4"/>
  </r>
  <r>
    <x v="1"/>
    <n v="11"/>
    <x v="7"/>
    <x v="3"/>
    <s v="Frente justicialista pampeano"/>
    <x v="0"/>
    <n v="1040"/>
  </r>
  <r>
    <x v="1"/>
    <n v="11"/>
    <x v="7"/>
    <x v="3"/>
    <s v="Cambiemos - FREPAM"/>
    <x v="2"/>
    <n v="339"/>
  </r>
  <r>
    <x v="1"/>
    <n v="11"/>
    <x v="7"/>
    <x v="3"/>
    <s v="Blanco"/>
    <x v="3"/>
    <n v="23"/>
  </r>
  <r>
    <x v="1"/>
    <n v="11"/>
    <x v="7"/>
    <x v="3"/>
    <s v="Nulo"/>
    <x v="3"/>
    <n v="16"/>
  </r>
  <r>
    <x v="1"/>
    <n v="11"/>
    <x v="7"/>
    <x v="3"/>
    <s v="Comunidad organizada"/>
    <x v="1"/>
    <n v="13"/>
  </r>
  <r>
    <x v="1"/>
    <n v="11"/>
    <x v="7"/>
    <x v="3"/>
    <s v="Partido socialista"/>
    <x v="1"/>
    <n v="8"/>
  </r>
  <r>
    <x v="1"/>
    <n v="11"/>
    <x v="7"/>
    <x v="3"/>
    <s v="Pueblo Nuevo"/>
    <x v="1"/>
    <n v="6"/>
  </r>
  <r>
    <x v="1"/>
    <n v="11"/>
    <x v="7"/>
    <x v="3"/>
    <s v="Frente popular pampeano "/>
    <x v="1"/>
    <n v="6"/>
  </r>
  <r>
    <x v="1"/>
    <n v="11"/>
    <x v="7"/>
    <x v="3"/>
    <s v="Movimiento socialista de los trabajadores"/>
    <x v="1"/>
    <n v="5"/>
  </r>
  <r>
    <x v="1"/>
    <n v="11"/>
    <x v="7"/>
    <x v="3"/>
    <s v="Desde el pie "/>
    <x v="1"/>
    <n v="4"/>
  </r>
  <r>
    <x v="1"/>
    <n v="13"/>
    <x v="8"/>
    <x v="1"/>
    <s v="PJ"/>
    <x v="0"/>
    <n v="1035"/>
  </r>
  <r>
    <x v="1"/>
    <n v="13"/>
    <x v="8"/>
    <x v="1"/>
    <s v="Comunidad organizada"/>
    <x v="1"/>
    <n v="970"/>
  </r>
  <r>
    <x v="1"/>
    <n v="13"/>
    <x v="8"/>
    <x v="1"/>
    <s v="Cambiemos - FREPAM"/>
    <x v="2"/>
    <n v="766"/>
  </r>
  <r>
    <x v="1"/>
    <n v="13"/>
    <x v="8"/>
    <x v="1"/>
    <s v="Pueblo Nuevo"/>
    <x v="1"/>
    <n v="341"/>
  </r>
  <r>
    <x v="1"/>
    <n v="13"/>
    <x v="8"/>
    <x v="1"/>
    <s v="Blanco"/>
    <x v="3"/>
    <n v="51"/>
  </r>
  <r>
    <x v="1"/>
    <n v="13"/>
    <x v="8"/>
    <x v="1"/>
    <s v="Nulo"/>
    <x v="3"/>
    <n v="16"/>
  </r>
  <r>
    <x v="1"/>
    <n v="13"/>
    <x v="8"/>
    <x v="3"/>
    <s v="PJ"/>
    <x v="0"/>
    <n v="1077"/>
  </r>
  <r>
    <x v="1"/>
    <n v="13"/>
    <x v="8"/>
    <x v="3"/>
    <s v="Comunidad organizada"/>
    <x v="1"/>
    <n v="896"/>
  </r>
  <r>
    <x v="1"/>
    <n v="13"/>
    <x v="8"/>
    <x v="3"/>
    <s v="Cambiemos - FREPAM"/>
    <x v="2"/>
    <n v="766"/>
  </r>
  <r>
    <x v="1"/>
    <n v="13"/>
    <x v="8"/>
    <x v="3"/>
    <s v="Pueblo Nuevo"/>
    <x v="1"/>
    <n v="290"/>
  </r>
  <r>
    <x v="1"/>
    <n v="13"/>
    <x v="8"/>
    <x v="3"/>
    <s v="Blanco"/>
    <x v="3"/>
    <n v="88"/>
  </r>
  <r>
    <x v="1"/>
    <n v="13"/>
    <x v="8"/>
    <x v="3"/>
    <s v="Nulo"/>
    <x v="3"/>
    <n v="27"/>
  </r>
  <r>
    <x v="1"/>
    <n v="13"/>
    <x v="8"/>
    <x v="3"/>
    <s v="Desde el pie "/>
    <x v="1"/>
    <n v="11"/>
  </r>
  <r>
    <x v="1"/>
    <n v="13"/>
    <x v="8"/>
    <x v="3"/>
    <s v="Frente popular pampeano "/>
    <x v="1"/>
    <n v="9"/>
  </r>
  <r>
    <x v="1"/>
    <n v="13"/>
    <x v="8"/>
    <x v="3"/>
    <s v="Movimiento socialista de los trabajadores"/>
    <x v="1"/>
    <n v="8"/>
  </r>
  <r>
    <x v="1"/>
    <n v="13"/>
    <x v="8"/>
    <x v="3"/>
    <s v="Partido socialista"/>
    <x v="1"/>
    <n v="7"/>
  </r>
  <r>
    <x v="1"/>
    <n v="13"/>
    <x v="8"/>
    <x v="2"/>
    <s v="PJ"/>
    <x v="0"/>
    <n v="1039"/>
  </r>
  <r>
    <x v="1"/>
    <n v="13"/>
    <x v="8"/>
    <x v="2"/>
    <s v="Comunidad organizada"/>
    <x v="1"/>
    <n v="901"/>
  </r>
  <r>
    <x v="1"/>
    <n v="13"/>
    <x v="8"/>
    <x v="2"/>
    <s v="Cambiemos - FREPAM"/>
    <x v="2"/>
    <n v="752"/>
  </r>
  <r>
    <x v="1"/>
    <n v="13"/>
    <x v="8"/>
    <x v="2"/>
    <s v="Pueblo Nuevo"/>
    <x v="1"/>
    <n v="302"/>
  </r>
  <r>
    <x v="1"/>
    <n v="13"/>
    <x v="8"/>
    <x v="2"/>
    <s v="Blanco"/>
    <x v="3"/>
    <n v="124"/>
  </r>
  <r>
    <x v="1"/>
    <n v="13"/>
    <x v="8"/>
    <x v="2"/>
    <s v="Nulo"/>
    <x v="3"/>
    <n v="27"/>
  </r>
  <r>
    <x v="1"/>
    <n v="13"/>
    <x v="8"/>
    <x v="2"/>
    <s v="Desde el pie "/>
    <x v="1"/>
    <n v="11"/>
  </r>
  <r>
    <x v="1"/>
    <n v="13"/>
    <x v="8"/>
    <x v="2"/>
    <s v="Movimiento socialista de los trabajadores"/>
    <x v="1"/>
    <n v="8"/>
  </r>
  <r>
    <x v="1"/>
    <n v="13"/>
    <x v="8"/>
    <x v="2"/>
    <s v="Frente popular pampeano "/>
    <x v="1"/>
    <n v="8"/>
  </r>
  <r>
    <x v="1"/>
    <n v="13"/>
    <x v="8"/>
    <x v="2"/>
    <s v="Partido socialista"/>
    <x v="1"/>
    <n v="7"/>
  </r>
  <r>
    <x v="1"/>
    <n v="15"/>
    <x v="10"/>
    <x v="1"/>
    <s v="Frente justicialista pampeano"/>
    <x v="0"/>
    <n v="842"/>
  </r>
  <r>
    <x v="1"/>
    <n v="15"/>
    <x v="10"/>
    <x v="1"/>
    <s v="Cambiemos - FREPAM"/>
    <x v="2"/>
    <n v="418"/>
  </r>
  <r>
    <x v="1"/>
    <n v="15"/>
    <x v="10"/>
    <x v="1"/>
    <s v="Blanco"/>
    <x v="3"/>
    <n v="51"/>
  </r>
  <r>
    <x v="1"/>
    <n v="15"/>
    <x v="10"/>
    <x v="1"/>
    <s v="Nulo"/>
    <x v="3"/>
    <n v="7"/>
  </r>
  <r>
    <x v="1"/>
    <n v="15"/>
    <x v="10"/>
    <x v="2"/>
    <s v="Frente justicialista pampeano"/>
    <x v="0"/>
    <n v="780"/>
  </r>
  <r>
    <x v="1"/>
    <n v="15"/>
    <x v="10"/>
    <x v="2"/>
    <s v="Cambiemos - FREPAM"/>
    <x v="2"/>
    <n v="375"/>
  </r>
  <r>
    <x v="1"/>
    <n v="15"/>
    <x v="10"/>
    <x v="2"/>
    <s v="Blanco"/>
    <x v="3"/>
    <n v="80"/>
  </r>
  <r>
    <x v="1"/>
    <n v="15"/>
    <x v="10"/>
    <x v="2"/>
    <s v="Comunidad organizada"/>
    <x v="1"/>
    <n v="54"/>
  </r>
  <r>
    <x v="1"/>
    <n v="15"/>
    <x v="10"/>
    <x v="2"/>
    <s v="Nulo"/>
    <x v="3"/>
    <n v="10"/>
  </r>
  <r>
    <x v="1"/>
    <n v="15"/>
    <x v="10"/>
    <x v="2"/>
    <s v="Pueblo Nuevo"/>
    <x v="1"/>
    <n v="9"/>
  </r>
  <r>
    <x v="1"/>
    <n v="15"/>
    <x v="10"/>
    <x v="2"/>
    <s v="Partido socialista"/>
    <x v="1"/>
    <n v="5"/>
  </r>
  <r>
    <x v="1"/>
    <n v="15"/>
    <x v="10"/>
    <x v="2"/>
    <s v="Desde el pie "/>
    <x v="1"/>
    <n v="3"/>
  </r>
  <r>
    <x v="1"/>
    <n v="15"/>
    <x v="10"/>
    <x v="2"/>
    <s v="Movimiento socialista de los trabajadores"/>
    <x v="1"/>
    <n v="1"/>
  </r>
  <r>
    <x v="1"/>
    <n v="15"/>
    <x v="10"/>
    <x v="2"/>
    <s v="Frente popular pampeano "/>
    <x v="1"/>
    <n v="1"/>
  </r>
  <r>
    <x v="1"/>
    <n v="15"/>
    <x v="10"/>
    <x v="3"/>
    <s v="Frente justicialista pampeano"/>
    <x v="0"/>
    <n v="789"/>
  </r>
  <r>
    <x v="1"/>
    <n v="15"/>
    <x v="10"/>
    <x v="3"/>
    <s v="Cambiemos - FREPAM"/>
    <x v="2"/>
    <n v="387"/>
  </r>
  <r>
    <x v="1"/>
    <n v="15"/>
    <x v="10"/>
    <x v="3"/>
    <s v="Comunidad organizada"/>
    <x v="1"/>
    <n v="65"/>
  </r>
  <r>
    <x v="1"/>
    <n v="15"/>
    <x v="10"/>
    <x v="3"/>
    <s v="Blanco"/>
    <x v="3"/>
    <n v="45"/>
  </r>
  <r>
    <x v="1"/>
    <n v="15"/>
    <x v="10"/>
    <x v="3"/>
    <s v="Pueblo Nuevo"/>
    <x v="1"/>
    <n v="13"/>
  </r>
  <r>
    <x v="1"/>
    <n v="15"/>
    <x v="10"/>
    <x v="3"/>
    <s v="Nulo"/>
    <x v="3"/>
    <n v="10"/>
  </r>
  <r>
    <x v="1"/>
    <n v="15"/>
    <x v="10"/>
    <x v="3"/>
    <s v="Partido socialista"/>
    <x v="1"/>
    <n v="4"/>
  </r>
  <r>
    <x v="1"/>
    <n v="15"/>
    <x v="10"/>
    <x v="3"/>
    <s v="Desde el pie "/>
    <x v="1"/>
    <n v="3"/>
  </r>
  <r>
    <x v="1"/>
    <n v="15"/>
    <x v="10"/>
    <x v="3"/>
    <s v="Movimiento socialista de los trabajadores"/>
    <x v="1"/>
    <n v="1"/>
  </r>
  <r>
    <x v="1"/>
    <n v="15"/>
    <x v="10"/>
    <x v="3"/>
    <s v="Frente popular pampeano "/>
    <x v="1"/>
    <n v="1"/>
  </r>
  <r>
    <x v="1"/>
    <n v="16"/>
    <x v="11"/>
    <x v="1"/>
    <s v="Frente justicialista pampeano"/>
    <x v="0"/>
    <n v="447"/>
  </r>
  <r>
    <x v="1"/>
    <n v="16"/>
    <x v="11"/>
    <x v="1"/>
    <s v="Cambiemos - FREPAM"/>
    <x v="2"/>
    <n v="397"/>
  </r>
  <r>
    <x v="1"/>
    <n v="16"/>
    <x v="11"/>
    <x v="1"/>
    <s v="Blanco"/>
    <x v="3"/>
    <n v="8"/>
  </r>
  <r>
    <x v="1"/>
    <n v="16"/>
    <x v="11"/>
    <x v="1"/>
    <s v="Nulo"/>
    <x v="3"/>
    <n v="6"/>
  </r>
  <r>
    <x v="1"/>
    <n v="16"/>
    <x v="11"/>
    <x v="2"/>
    <s v="Frente justicialista pampeano"/>
    <x v="0"/>
    <n v="433"/>
  </r>
  <r>
    <x v="1"/>
    <n v="16"/>
    <x v="11"/>
    <x v="2"/>
    <s v="Cambiemos - FREPAM"/>
    <x v="2"/>
    <n v="377"/>
  </r>
  <r>
    <x v="1"/>
    <n v="16"/>
    <x v="11"/>
    <x v="2"/>
    <s v="Blanco"/>
    <x v="3"/>
    <n v="17"/>
  </r>
  <r>
    <x v="1"/>
    <n v="16"/>
    <x v="11"/>
    <x v="2"/>
    <s v="Comunidad organizada"/>
    <x v="1"/>
    <n v="12"/>
  </r>
  <r>
    <x v="1"/>
    <n v="16"/>
    <x v="11"/>
    <x v="2"/>
    <s v="Nulo"/>
    <x v="3"/>
    <n v="10"/>
  </r>
  <r>
    <x v="1"/>
    <n v="16"/>
    <x v="11"/>
    <x v="2"/>
    <s v="Pueblo Nuevo"/>
    <x v="1"/>
    <n v="5"/>
  </r>
  <r>
    <x v="1"/>
    <n v="16"/>
    <x v="11"/>
    <x v="2"/>
    <s v="Partido socialista"/>
    <x v="1"/>
    <n v="2"/>
  </r>
  <r>
    <x v="1"/>
    <n v="16"/>
    <x v="11"/>
    <x v="2"/>
    <s v="Desde el pie "/>
    <x v="1"/>
    <n v="1"/>
  </r>
  <r>
    <x v="1"/>
    <n v="16"/>
    <x v="11"/>
    <x v="2"/>
    <s v="Movimiento socialista de los trabajadores"/>
    <x v="1"/>
    <n v="1"/>
  </r>
  <r>
    <x v="1"/>
    <n v="16"/>
    <x v="11"/>
    <x v="3"/>
    <s v="Frente justicialista pampeano"/>
    <x v="0"/>
    <n v="432"/>
  </r>
  <r>
    <x v="1"/>
    <n v="16"/>
    <x v="11"/>
    <x v="3"/>
    <s v="Cambiemos - FREPAM"/>
    <x v="2"/>
    <n v="375"/>
  </r>
  <r>
    <x v="1"/>
    <n v="16"/>
    <x v="11"/>
    <x v="3"/>
    <s v="Blanco"/>
    <x v="3"/>
    <n v="15"/>
  </r>
  <r>
    <x v="1"/>
    <n v="16"/>
    <x v="11"/>
    <x v="3"/>
    <s v="Comunidad organizada"/>
    <x v="1"/>
    <n v="14"/>
  </r>
  <r>
    <x v="1"/>
    <n v="16"/>
    <x v="11"/>
    <x v="3"/>
    <s v="Nulo"/>
    <x v="3"/>
    <n v="10"/>
  </r>
  <r>
    <x v="1"/>
    <n v="16"/>
    <x v="11"/>
    <x v="3"/>
    <s v="Pueblo Nuevo"/>
    <x v="1"/>
    <n v="8"/>
  </r>
  <r>
    <x v="1"/>
    <n v="16"/>
    <x v="11"/>
    <x v="3"/>
    <s v="Partido socialista"/>
    <x v="1"/>
    <n v="2"/>
  </r>
  <r>
    <x v="1"/>
    <n v="16"/>
    <x v="11"/>
    <x v="3"/>
    <s v="Desde el pie "/>
    <x v="1"/>
    <n v="1"/>
  </r>
  <r>
    <x v="1"/>
    <n v="16"/>
    <x v="11"/>
    <x v="3"/>
    <s v="Movimiento socialista de los trabajadores"/>
    <x v="1"/>
    <n v="1"/>
  </r>
  <r>
    <x v="1"/>
    <n v="17"/>
    <x v="12"/>
    <x v="3"/>
    <s v="Frente justicialista pampeano"/>
    <x v="0"/>
    <n v="10"/>
  </r>
  <r>
    <x v="1"/>
    <n v="17"/>
    <x v="12"/>
    <x v="3"/>
    <s v="Cambiemos - FREPAM"/>
    <x v="2"/>
    <n v="1"/>
  </r>
  <r>
    <x v="1"/>
    <n v="17"/>
    <x v="12"/>
    <x v="2"/>
    <s v="Frente justicialista pampeano"/>
    <x v="0"/>
    <n v="10"/>
  </r>
  <r>
    <x v="1"/>
    <n v="17"/>
    <x v="12"/>
    <x v="2"/>
    <s v="Cambiemos - FREPAM"/>
    <x v="2"/>
    <n v="1"/>
  </r>
  <r>
    <x v="1"/>
    <n v="17"/>
    <x v="12"/>
    <x v="4"/>
    <s v="Frente justicialista pampeano"/>
    <x v="0"/>
    <n v="10"/>
  </r>
  <r>
    <x v="1"/>
    <n v="17"/>
    <x v="12"/>
    <x v="4"/>
    <s v="Blanco"/>
    <x v="3"/>
    <n v="1"/>
  </r>
  <r>
    <x v="1"/>
    <n v="18"/>
    <x v="13"/>
    <x v="1"/>
    <s v="Frente justicialista pampeano"/>
    <x v="0"/>
    <n v="1019"/>
  </r>
  <r>
    <x v="1"/>
    <n v="18"/>
    <x v="13"/>
    <x v="1"/>
    <s v="Cambiemos - FREPAM"/>
    <x v="2"/>
    <n v="753"/>
  </r>
  <r>
    <x v="1"/>
    <n v="18"/>
    <x v="13"/>
    <x v="1"/>
    <s v="Desde el pie "/>
    <x v="1"/>
    <n v="106"/>
  </r>
  <r>
    <x v="1"/>
    <n v="18"/>
    <x v="13"/>
    <x v="1"/>
    <s v="Pueblo Nuevo"/>
    <x v="1"/>
    <n v="75"/>
  </r>
  <r>
    <x v="1"/>
    <n v="18"/>
    <x v="13"/>
    <x v="1"/>
    <s v="Blanco"/>
    <x v="3"/>
    <n v="61"/>
  </r>
  <r>
    <x v="1"/>
    <n v="18"/>
    <x v="13"/>
    <x v="1"/>
    <s v="Nulo"/>
    <x v="3"/>
    <n v="7"/>
  </r>
  <r>
    <x v="1"/>
    <n v="18"/>
    <x v="13"/>
    <x v="1"/>
    <s v="Movimiento socialista de los trabajadores"/>
    <x v="1"/>
    <n v="3"/>
  </r>
  <r>
    <x v="1"/>
    <n v="18"/>
    <x v="13"/>
    <x v="2"/>
    <s v="Frente justicialista pampeano"/>
    <x v="0"/>
    <n v="1165"/>
  </r>
  <r>
    <x v="1"/>
    <n v="18"/>
    <x v="13"/>
    <x v="2"/>
    <s v="Cambiemos - FREPAM"/>
    <x v="2"/>
    <n v="520"/>
  </r>
  <r>
    <x v="1"/>
    <n v="18"/>
    <x v="13"/>
    <x v="2"/>
    <s v="Blanco"/>
    <x v="3"/>
    <n v="140"/>
  </r>
  <r>
    <x v="1"/>
    <n v="18"/>
    <x v="13"/>
    <x v="2"/>
    <s v="Desde el pie "/>
    <x v="1"/>
    <n v="88"/>
  </r>
  <r>
    <x v="1"/>
    <n v="18"/>
    <x v="13"/>
    <x v="2"/>
    <s v="Pueblo Nuevo"/>
    <x v="1"/>
    <n v="61"/>
  </r>
  <r>
    <x v="1"/>
    <n v="18"/>
    <x v="13"/>
    <x v="2"/>
    <s v="Nulo"/>
    <x v="3"/>
    <n v="11"/>
  </r>
  <r>
    <x v="1"/>
    <n v="18"/>
    <x v="13"/>
    <x v="2"/>
    <s v="Comunidad organizada"/>
    <x v="1"/>
    <n v="11"/>
  </r>
  <r>
    <x v="1"/>
    <n v="18"/>
    <x v="13"/>
    <x v="2"/>
    <s v="Movimiento socialista de los trabajadores"/>
    <x v="1"/>
    <n v="8"/>
  </r>
  <r>
    <x v="1"/>
    <n v="18"/>
    <x v="13"/>
    <x v="2"/>
    <s v="Partido socialista"/>
    <x v="1"/>
    <n v="7"/>
  </r>
  <r>
    <x v="1"/>
    <n v="18"/>
    <x v="13"/>
    <x v="2"/>
    <s v="Frente popular pampeano "/>
    <x v="1"/>
    <n v="2"/>
  </r>
  <r>
    <x v="1"/>
    <n v="18"/>
    <x v="13"/>
    <x v="3"/>
    <s v="Frente justicialista pampeano"/>
    <x v="0"/>
    <n v="1218"/>
  </r>
  <r>
    <x v="1"/>
    <n v="18"/>
    <x v="13"/>
    <x v="3"/>
    <s v="Cambiemos - FREPAM"/>
    <x v="2"/>
    <n v="524"/>
  </r>
  <r>
    <x v="1"/>
    <n v="18"/>
    <x v="13"/>
    <x v="3"/>
    <s v="Desde el pie "/>
    <x v="1"/>
    <n v="88"/>
  </r>
  <r>
    <x v="1"/>
    <n v="18"/>
    <x v="13"/>
    <x v="3"/>
    <s v="Blanco"/>
    <x v="3"/>
    <n v="71"/>
  </r>
  <r>
    <x v="1"/>
    <n v="18"/>
    <x v="13"/>
    <x v="3"/>
    <s v="Pueblo Nuevo"/>
    <x v="1"/>
    <n v="67"/>
  </r>
  <r>
    <x v="1"/>
    <n v="18"/>
    <x v="13"/>
    <x v="3"/>
    <s v="Comunidad organizada"/>
    <x v="1"/>
    <n v="15"/>
  </r>
  <r>
    <x v="1"/>
    <n v="18"/>
    <x v="13"/>
    <x v="3"/>
    <s v="Nulo"/>
    <x v="3"/>
    <n v="12"/>
  </r>
  <r>
    <x v="1"/>
    <n v="18"/>
    <x v="13"/>
    <x v="3"/>
    <s v="Partido socialista"/>
    <x v="1"/>
    <n v="8"/>
  </r>
  <r>
    <x v="1"/>
    <n v="18"/>
    <x v="13"/>
    <x v="3"/>
    <s v="Movimiento socialista de los trabajadores"/>
    <x v="1"/>
    <n v="8"/>
  </r>
  <r>
    <x v="1"/>
    <n v="18"/>
    <x v="13"/>
    <x v="3"/>
    <s v="Frente popular pampeano "/>
    <x v="1"/>
    <n v="2"/>
  </r>
  <r>
    <x v="1"/>
    <n v="19"/>
    <x v="14"/>
    <x v="1"/>
    <s v="Cambiemos - FREPAM"/>
    <x v="2"/>
    <n v="735"/>
  </r>
  <r>
    <x v="1"/>
    <n v="19"/>
    <x v="14"/>
    <x v="1"/>
    <s v="Frente justicialista pampeano"/>
    <x v="0"/>
    <n v="492"/>
  </r>
  <r>
    <x v="1"/>
    <n v="19"/>
    <x v="14"/>
    <x v="1"/>
    <s v="Blanco"/>
    <x v="3"/>
    <n v="70"/>
  </r>
  <r>
    <x v="1"/>
    <n v="19"/>
    <x v="14"/>
    <x v="1"/>
    <s v="Nulo"/>
    <x v="3"/>
    <n v="1"/>
  </r>
  <r>
    <x v="1"/>
    <n v="19"/>
    <x v="14"/>
    <x v="2"/>
    <s v="Cambiemos - FREPAM"/>
    <x v="2"/>
    <n v="628"/>
  </r>
  <r>
    <x v="1"/>
    <n v="19"/>
    <x v="14"/>
    <x v="2"/>
    <s v="Frente justicialista pampeano"/>
    <x v="0"/>
    <n v="557"/>
  </r>
  <r>
    <x v="1"/>
    <n v="19"/>
    <x v="14"/>
    <x v="2"/>
    <s v="Blanco"/>
    <x v="3"/>
    <n v="66"/>
  </r>
  <r>
    <x v="1"/>
    <n v="19"/>
    <x v="14"/>
    <x v="2"/>
    <s v="Pueblo Nuevo"/>
    <x v="1"/>
    <n v="23"/>
  </r>
  <r>
    <x v="1"/>
    <n v="19"/>
    <x v="14"/>
    <x v="2"/>
    <s v="Comunidad organizada"/>
    <x v="1"/>
    <n v="13"/>
  </r>
  <r>
    <x v="1"/>
    <n v="19"/>
    <x v="14"/>
    <x v="2"/>
    <s v="Partido socialista"/>
    <x v="1"/>
    <n v="5"/>
  </r>
  <r>
    <x v="1"/>
    <n v="19"/>
    <x v="14"/>
    <x v="2"/>
    <s v="Frente popular pampeano "/>
    <x v="1"/>
    <n v="2"/>
  </r>
  <r>
    <x v="1"/>
    <n v="19"/>
    <x v="14"/>
    <x v="2"/>
    <s v="Desde el pie "/>
    <x v="1"/>
    <n v="2"/>
  </r>
  <r>
    <x v="1"/>
    <n v="19"/>
    <x v="14"/>
    <x v="2"/>
    <s v="Movimiento socialista de los trabajadores"/>
    <x v="1"/>
    <n v="1"/>
  </r>
  <r>
    <x v="1"/>
    <n v="19"/>
    <x v="14"/>
    <x v="2"/>
    <s v="Nulo"/>
    <x v="3"/>
    <n v="1"/>
  </r>
  <r>
    <x v="1"/>
    <n v="19"/>
    <x v="14"/>
    <x v="3"/>
    <s v="Frente justicialista pampeano"/>
    <x v="0"/>
    <n v="602"/>
  </r>
  <r>
    <x v="1"/>
    <n v="19"/>
    <x v="14"/>
    <x v="3"/>
    <s v="Cambiemos - FREPAM"/>
    <x v="2"/>
    <n v="594"/>
  </r>
  <r>
    <x v="1"/>
    <n v="19"/>
    <x v="14"/>
    <x v="3"/>
    <s v="Blanco"/>
    <x v="3"/>
    <n v="44"/>
  </r>
  <r>
    <x v="1"/>
    <n v="19"/>
    <x v="14"/>
    <x v="3"/>
    <s v="Pueblo Nuevo"/>
    <x v="1"/>
    <n v="28"/>
  </r>
  <r>
    <x v="1"/>
    <n v="19"/>
    <x v="14"/>
    <x v="3"/>
    <s v="Comunidad organizada"/>
    <x v="1"/>
    <n v="17"/>
  </r>
  <r>
    <x v="1"/>
    <n v="19"/>
    <x v="14"/>
    <x v="3"/>
    <s v="Partido socialista"/>
    <x v="1"/>
    <n v="7"/>
  </r>
  <r>
    <x v="1"/>
    <n v="19"/>
    <x v="14"/>
    <x v="3"/>
    <s v="Frente popular pampeano "/>
    <x v="1"/>
    <n v="2"/>
  </r>
  <r>
    <x v="1"/>
    <n v="19"/>
    <x v="14"/>
    <x v="3"/>
    <s v="Desde el pie "/>
    <x v="1"/>
    <n v="2"/>
  </r>
  <r>
    <x v="1"/>
    <n v="19"/>
    <x v="14"/>
    <x v="3"/>
    <s v="Movimiento socialista de los trabajadores"/>
    <x v="1"/>
    <n v="1"/>
  </r>
  <r>
    <x v="1"/>
    <n v="19"/>
    <x v="14"/>
    <x v="3"/>
    <s v="Nulo"/>
    <x v="3"/>
    <n v="1"/>
  </r>
  <r>
    <x v="1"/>
    <s v="19 A"/>
    <x v="15"/>
    <x v="5"/>
    <s v="Frente justicialista pampeano"/>
    <x v="0"/>
    <n v="92"/>
  </r>
  <r>
    <x v="1"/>
    <s v="19 A"/>
    <x v="15"/>
    <x v="5"/>
    <s v="Blanco"/>
    <x v="3"/>
    <n v="33"/>
  </r>
  <r>
    <x v="1"/>
    <s v="19 A"/>
    <x v="15"/>
    <x v="2"/>
    <s v="Frente justicialista pampeano"/>
    <x v="0"/>
    <n v="88"/>
  </r>
  <r>
    <x v="1"/>
    <s v="19 A"/>
    <x v="15"/>
    <x v="2"/>
    <s v="Cambiemos - FREPAM"/>
    <x v="2"/>
    <n v="17"/>
  </r>
  <r>
    <x v="1"/>
    <s v="19 A"/>
    <x v="15"/>
    <x v="2"/>
    <s v="Pueblo Nuevo"/>
    <x v="1"/>
    <n v="10"/>
  </r>
  <r>
    <x v="1"/>
    <s v="19 A"/>
    <x v="15"/>
    <x v="2"/>
    <s v="Blanco"/>
    <x v="3"/>
    <n v="4"/>
  </r>
  <r>
    <x v="1"/>
    <s v="19 A"/>
    <x v="15"/>
    <x v="2"/>
    <s v="Comunidad organizada"/>
    <x v="1"/>
    <n v="2"/>
  </r>
  <r>
    <x v="1"/>
    <s v="19 A"/>
    <x v="15"/>
    <x v="2"/>
    <s v="Partido socialista"/>
    <x v="1"/>
    <n v="1"/>
  </r>
  <r>
    <x v="1"/>
    <s v="19 A"/>
    <x v="15"/>
    <x v="2"/>
    <s v="Movimiento socialista de los trabajadores"/>
    <x v="1"/>
    <n v="1"/>
  </r>
  <r>
    <x v="1"/>
    <s v="19 A"/>
    <x v="15"/>
    <x v="2"/>
    <s v="Frente popular pampeano "/>
    <x v="1"/>
    <n v="1"/>
  </r>
  <r>
    <x v="1"/>
    <s v="19 A"/>
    <x v="15"/>
    <x v="2"/>
    <s v="Nulo"/>
    <x v="3"/>
    <n v="1"/>
  </r>
  <r>
    <x v="1"/>
    <s v="19 A"/>
    <x v="15"/>
    <x v="3"/>
    <s v="Frente justicialista pampeano"/>
    <x v="0"/>
    <n v="90"/>
  </r>
  <r>
    <x v="1"/>
    <s v="19 A"/>
    <x v="15"/>
    <x v="3"/>
    <s v="Cambiemos - FREPAM"/>
    <x v="2"/>
    <n v="16"/>
  </r>
  <r>
    <x v="1"/>
    <s v="19 A"/>
    <x v="15"/>
    <x v="3"/>
    <s v="Pueblo Nuevo"/>
    <x v="1"/>
    <n v="10"/>
  </r>
  <r>
    <x v="1"/>
    <s v="19 A"/>
    <x v="15"/>
    <x v="3"/>
    <s v="Blanco"/>
    <x v="3"/>
    <n v="4"/>
  </r>
  <r>
    <x v="1"/>
    <s v="19 A"/>
    <x v="15"/>
    <x v="3"/>
    <s v="Comunidad organizada"/>
    <x v="1"/>
    <n v="2"/>
  </r>
  <r>
    <x v="1"/>
    <s v="19 A"/>
    <x v="15"/>
    <x v="3"/>
    <s v="Nulo"/>
    <x v="3"/>
    <n v="2"/>
  </r>
  <r>
    <x v="1"/>
    <s v="19 A"/>
    <x v="15"/>
    <x v="3"/>
    <s v="Movimiento socialista de los trabajadores"/>
    <x v="1"/>
    <n v="1"/>
  </r>
  <r>
    <x v="1"/>
    <n v="20"/>
    <x v="16"/>
    <x v="1"/>
    <s v="Junta vecinal por y para Ceballos"/>
    <x v="1"/>
    <n v="160"/>
  </r>
  <r>
    <x v="1"/>
    <n v="20"/>
    <x v="16"/>
    <x v="1"/>
    <s v="Blanco"/>
    <x v="3"/>
    <n v="110"/>
  </r>
  <r>
    <x v="1"/>
    <n v="20"/>
    <x v="16"/>
    <x v="1"/>
    <s v="Nulo"/>
    <x v="3"/>
    <n v="4"/>
  </r>
  <r>
    <x v="1"/>
    <n v="20"/>
    <x v="16"/>
    <x v="2"/>
    <s v="Frente justicialista pampeano"/>
    <x v="0"/>
    <n v="133"/>
  </r>
  <r>
    <x v="1"/>
    <n v="20"/>
    <x v="16"/>
    <x v="2"/>
    <s v="Cambiemos - FREPAM"/>
    <x v="2"/>
    <n v="85"/>
  </r>
  <r>
    <x v="1"/>
    <n v="20"/>
    <x v="16"/>
    <x v="2"/>
    <s v="Blanco"/>
    <x v="3"/>
    <n v="25"/>
  </r>
  <r>
    <x v="1"/>
    <n v="20"/>
    <x v="16"/>
    <x v="2"/>
    <s v="Comunidad organizada"/>
    <x v="1"/>
    <n v="18"/>
  </r>
  <r>
    <x v="1"/>
    <n v="20"/>
    <x v="16"/>
    <x v="2"/>
    <s v="Nulo"/>
    <x v="3"/>
    <n v="4"/>
  </r>
  <r>
    <x v="1"/>
    <n v="20"/>
    <x v="16"/>
    <x v="2"/>
    <s v="Partido socialista"/>
    <x v="1"/>
    <n v="3"/>
  </r>
  <r>
    <x v="1"/>
    <n v="20"/>
    <x v="16"/>
    <x v="2"/>
    <s v="Frente popular pampeano "/>
    <x v="1"/>
    <n v="2"/>
  </r>
  <r>
    <x v="1"/>
    <n v="20"/>
    <x v="16"/>
    <x v="2"/>
    <s v="Desde el pie "/>
    <x v="1"/>
    <n v="2"/>
  </r>
  <r>
    <x v="1"/>
    <n v="20"/>
    <x v="16"/>
    <x v="2"/>
    <s v="Pueblo Nuevo"/>
    <x v="1"/>
    <n v="2"/>
  </r>
  <r>
    <x v="1"/>
    <n v="20"/>
    <x v="16"/>
    <x v="3"/>
    <s v="Frente justicialista pampeano"/>
    <x v="0"/>
    <n v="134"/>
  </r>
  <r>
    <x v="1"/>
    <n v="20"/>
    <x v="16"/>
    <x v="3"/>
    <s v="Cambiemos - FREPAM"/>
    <x v="2"/>
    <n v="87"/>
  </r>
  <r>
    <x v="1"/>
    <n v="20"/>
    <x v="16"/>
    <x v="3"/>
    <s v="Blanco"/>
    <x v="3"/>
    <n v="22"/>
  </r>
  <r>
    <x v="1"/>
    <n v="20"/>
    <x v="16"/>
    <x v="3"/>
    <s v="Comunidad organizada"/>
    <x v="1"/>
    <n v="18"/>
  </r>
  <r>
    <x v="1"/>
    <n v="20"/>
    <x v="16"/>
    <x v="3"/>
    <s v="Nulo"/>
    <x v="3"/>
    <n v="4"/>
  </r>
  <r>
    <x v="1"/>
    <n v="20"/>
    <x v="16"/>
    <x v="3"/>
    <s v="Partido socialista"/>
    <x v="1"/>
    <n v="3"/>
  </r>
  <r>
    <x v="1"/>
    <n v="20"/>
    <x v="16"/>
    <x v="3"/>
    <s v="Pueblo Nuevo"/>
    <x v="1"/>
    <n v="2"/>
  </r>
  <r>
    <x v="1"/>
    <n v="20"/>
    <x v="16"/>
    <x v="3"/>
    <s v="Desde el pie "/>
    <x v="1"/>
    <n v="2"/>
  </r>
  <r>
    <x v="1"/>
    <n v="20"/>
    <x v="16"/>
    <x v="3"/>
    <s v="Frente popular pampeano "/>
    <x v="1"/>
    <n v="2"/>
  </r>
  <r>
    <x v="1"/>
    <n v="21"/>
    <x v="17"/>
    <x v="1"/>
    <s v="Frente justicialista pampeano"/>
    <x v="0"/>
    <n v="207"/>
  </r>
  <r>
    <x v="1"/>
    <n v="21"/>
    <x v="17"/>
    <x v="1"/>
    <s v="Cambiemos - FREPAM"/>
    <x v="2"/>
    <n v="162"/>
  </r>
  <r>
    <x v="1"/>
    <n v="21"/>
    <x v="17"/>
    <x v="1"/>
    <s v="Unión vecinal por el pueblo CNL Hilario Lagos"/>
    <x v="1"/>
    <n v="150"/>
  </r>
  <r>
    <x v="1"/>
    <n v="21"/>
    <x v="17"/>
    <x v="1"/>
    <s v="Blanco"/>
    <x v="3"/>
    <n v="8"/>
  </r>
  <r>
    <x v="1"/>
    <n v="21"/>
    <x v="17"/>
    <x v="1"/>
    <s v="Nulo"/>
    <x v="3"/>
    <n v="1"/>
  </r>
  <r>
    <x v="1"/>
    <n v="21"/>
    <x v="17"/>
    <x v="2"/>
    <s v="Frente justicialista pampeano"/>
    <x v="0"/>
    <n v="241"/>
  </r>
  <r>
    <x v="1"/>
    <n v="21"/>
    <x v="17"/>
    <x v="2"/>
    <s v="Cambiemos - FREPAM"/>
    <x v="2"/>
    <n v="167"/>
  </r>
  <r>
    <x v="1"/>
    <n v="21"/>
    <x v="17"/>
    <x v="2"/>
    <s v="Blanco"/>
    <x v="3"/>
    <n v="82"/>
  </r>
  <r>
    <x v="1"/>
    <n v="21"/>
    <x v="17"/>
    <x v="2"/>
    <s v="Partido socialista"/>
    <x v="1"/>
    <n v="16"/>
  </r>
  <r>
    <x v="1"/>
    <n v="21"/>
    <x v="17"/>
    <x v="2"/>
    <s v="Comunidad organizada"/>
    <x v="1"/>
    <n v="11"/>
  </r>
  <r>
    <x v="1"/>
    <n v="21"/>
    <x v="17"/>
    <x v="2"/>
    <s v="Nulo"/>
    <x v="3"/>
    <n v="4"/>
  </r>
  <r>
    <x v="1"/>
    <n v="21"/>
    <x v="17"/>
    <x v="2"/>
    <s v="Pueblo Nuevo"/>
    <x v="1"/>
    <n v="3"/>
  </r>
  <r>
    <x v="1"/>
    <n v="21"/>
    <x v="17"/>
    <x v="2"/>
    <s v="Movimiento socialista de los trabajadores"/>
    <x v="1"/>
    <n v="2"/>
  </r>
  <r>
    <x v="1"/>
    <n v="21"/>
    <x v="17"/>
    <x v="2"/>
    <s v="Desde el pie "/>
    <x v="1"/>
    <n v="1"/>
  </r>
  <r>
    <x v="1"/>
    <n v="21"/>
    <x v="17"/>
    <x v="2"/>
    <s v="Frente popular pampeano "/>
    <x v="1"/>
    <n v="1"/>
  </r>
  <r>
    <x v="1"/>
    <n v="21"/>
    <x v="17"/>
    <x v="3"/>
    <s v="Frente justicialista pampeano"/>
    <x v="0"/>
    <n v="251"/>
  </r>
  <r>
    <x v="1"/>
    <n v="21"/>
    <x v="17"/>
    <x v="3"/>
    <s v="Cambiemos - FREPAM"/>
    <x v="2"/>
    <n v="175"/>
  </r>
  <r>
    <x v="1"/>
    <n v="21"/>
    <x v="17"/>
    <x v="3"/>
    <s v="Blanco"/>
    <x v="3"/>
    <n v="61"/>
  </r>
  <r>
    <x v="1"/>
    <n v="21"/>
    <x v="17"/>
    <x v="3"/>
    <s v="Partido socialista"/>
    <x v="1"/>
    <n v="15"/>
  </r>
  <r>
    <x v="1"/>
    <n v="21"/>
    <x v="17"/>
    <x v="3"/>
    <s v="Comunidad organizada"/>
    <x v="1"/>
    <n v="13"/>
  </r>
  <r>
    <x v="1"/>
    <n v="21"/>
    <x v="17"/>
    <x v="3"/>
    <s v="Pueblo Nuevo"/>
    <x v="1"/>
    <n v="3"/>
  </r>
  <r>
    <x v="1"/>
    <n v="21"/>
    <x v="17"/>
    <x v="3"/>
    <s v="Movimiento socialista de los trabajadores"/>
    <x v="1"/>
    <n v="3"/>
  </r>
  <r>
    <x v="1"/>
    <n v="21"/>
    <x v="17"/>
    <x v="3"/>
    <s v="Frente popular pampeano "/>
    <x v="1"/>
    <n v="3"/>
  </r>
  <r>
    <x v="1"/>
    <n v="21"/>
    <x v="17"/>
    <x v="3"/>
    <s v="Nulo"/>
    <x v="3"/>
    <n v="3"/>
  </r>
  <r>
    <x v="1"/>
    <n v="21"/>
    <x v="17"/>
    <x v="3"/>
    <s v="Desde el pie "/>
    <x v="1"/>
    <n v="1"/>
  </r>
  <r>
    <x v="1"/>
    <n v="22"/>
    <x v="18"/>
    <x v="1"/>
    <s v="PJ"/>
    <x v="0"/>
    <n v="3104"/>
  </r>
  <r>
    <x v="1"/>
    <n v="22"/>
    <x v="18"/>
    <x v="1"/>
    <s v="Frente Vecinal Alvearense"/>
    <x v="1"/>
    <n v="2491"/>
  </r>
  <r>
    <x v="1"/>
    <n v="22"/>
    <x v="18"/>
    <x v="1"/>
    <s v="Blanco"/>
    <x v="3"/>
    <n v="222"/>
  </r>
  <r>
    <x v="1"/>
    <n v="22"/>
    <x v="18"/>
    <x v="1"/>
    <s v="Nulo"/>
    <x v="3"/>
    <n v="26"/>
  </r>
  <r>
    <x v="1"/>
    <n v="22"/>
    <x v="18"/>
    <x v="3"/>
    <s v="PJ"/>
    <x v="0"/>
    <n v="3109"/>
  </r>
  <r>
    <x v="1"/>
    <n v="22"/>
    <x v="18"/>
    <x v="3"/>
    <s v="Cambiemos - FREPAM"/>
    <x v="2"/>
    <n v="1590"/>
  </r>
  <r>
    <x v="1"/>
    <n v="22"/>
    <x v="18"/>
    <x v="3"/>
    <s v="Blanco"/>
    <x v="3"/>
    <n v="678"/>
  </r>
  <r>
    <x v="1"/>
    <n v="22"/>
    <x v="18"/>
    <x v="3"/>
    <s v="Pueblo Nuevo"/>
    <x v="1"/>
    <n v="218"/>
  </r>
  <r>
    <x v="1"/>
    <n v="22"/>
    <x v="18"/>
    <x v="3"/>
    <s v="Comunidad organizada"/>
    <x v="1"/>
    <n v="116"/>
  </r>
  <r>
    <x v="1"/>
    <n v="22"/>
    <x v="18"/>
    <x v="3"/>
    <s v="Nulo"/>
    <x v="3"/>
    <n v="65"/>
  </r>
  <r>
    <x v="1"/>
    <n v="22"/>
    <x v="18"/>
    <x v="3"/>
    <s v="Frente popular pampeano "/>
    <x v="1"/>
    <n v="34"/>
  </r>
  <r>
    <x v="1"/>
    <n v="22"/>
    <x v="18"/>
    <x v="3"/>
    <s v="Partido socialista"/>
    <x v="1"/>
    <n v="14"/>
  </r>
  <r>
    <x v="1"/>
    <n v="22"/>
    <x v="18"/>
    <x v="3"/>
    <s v="Desde el pie "/>
    <x v="1"/>
    <n v="11"/>
  </r>
  <r>
    <x v="1"/>
    <n v="22"/>
    <x v="18"/>
    <x v="3"/>
    <s v="Movimiento socialista de los trabajadores"/>
    <x v="1"/>
    <n v="8"/>
  </r>
  <r>
    <x v="1"/>
    <n v="22"/>
    <x v="18"/>
    <x v="2"/>
    <s v="PJ"/>
    <x v="0"/>
    <n v="2952"/>
  </r>
  <r>
    <x v="1"/>
    <n v="22"/>
    <x v="18"/>
    <x v="2"/>
    <s v="Cambiemos - FREPAM"/>
    <x v="2"/>
    <n v="1709"/>
  </r>
  <r>
    <x v="1"/>
    <n v="22"/>
    <x v="18"/>
    <x v="2"/>
    <s v="Blanco"/>
    <x v="3"/>
    <n v="750"/>
  </r>
  <r>
    <x v="1"/>
    <n v="22"/>
    <x v="18"/>
    <x v="2"/>
    <s v="Pueblo Nuevo"/>
    <x v="1"/>
    <n v="202"/>
  </r>
  <r>
    <x v="1"/>
    <n v="22"/>
    <x v="18"/>
    <x v="2"/>
    <s v="Comunidad organizada"/>
    <x v="1"/>
    <n v="99"/>
  </r>
  <r>
    <x v="1"/>
    <n v="22"/>
    <x v="18"/>
    <x v="2"/>
    <s v="Nulo"/>
    <x v="3"/>
    <n v="64"/>
  </r>
  <r>
    <x v="1"/>
    <n v="22"/>
    <x v="18"/>
    <x v="2"/>
    <s v="Frente popular pampeano "/>
    <x v="1"/>
    <n v="29"/>
  </r>
  <r>
    <x v="1"/>
    <n v="22"/>
    <x v="18"/>
    <x v="2"/>
    <s v="Partido socialista"/>
    <x v="1"/>
    <n v="21"/>
  </r>
  <r>
    <x v="1"/>
    <n v="22"/>
    <x v="18"/>
    <x v="2"/>
    <s v="Desde el pie "/>
    <x v="1"/>
    <n v="10"/>
  </r>
  <r>
    <x v="1"/>
    <n v="22"/>
    <x v="18"/>
    <x v="2"/>
    <s v="Movimiento socialista de los trabajadores"/>
    <x v="1"/>
    <n v="7"/>
  </r>
  <r>
    <x v="1"/>
    <n v="23"/>
    <x v="19"/>
    <x v="1"/>
    <s v="Frente justicialista pampeano"/>
    <x v="0"/>
    <n v="275"/>
  </r>
  <r>
    <x v="1"/>
    <n v="23"/>
    <x v="19"/>
    <x v="1"/>
    <s v="Cambiemos - FREPAM"/>
    <x v="2"/>
    <n v="244"/>
  </r>
  <r>
    <x v="1"/>
    <n v="23"/>
    <x v="19"/>
    <x v="1"/>
    <s v="Blanco"/>
    <x v="3"/>
    <n v="29"/>
  </r>
  <r>
    <x v="1"/>
    <n v="23"/>
    <x v="19"/>
    <x v="2"/>
    <s v="Frente justicialista pampeano"/>
    <x v="0"/>
    <n v="270"/>
  </r>
  <r>
    <x v="1"/>
    <n v="23"/>
    <x v="19"/>
    <x v="2"/>
    <s v="Cambiemos - FREPAM"/>
    <x v="2"/>
    <n v="218"/>
  </r>
  <r>
    <x v="1"/>
    <n v="23"/>
    <x v="19"/>
    <x v="2"/>
    <s v="Blanco"/>
    <x v="3"/>
    <n v="33"/>
  </r>
  <r>
    <x v="1"/>
    <n v="23"/>
    <x v="19"/>
    <x v="2"/>
    <s v="Comunidad organizada"/>
    <x v="1"/>
    <n v="8"/>
  </r>
  <r>
    <x v="1"/>
    <n v="23"/>
    <x v="19"/>
    <x v="2"/>
    <s v="Pueblo Nuevo"/>
    <x v="1"/>
    <n v="6"/>
  </r>
  <r>
    <x v="1"/>
    <n v="23"/>
    <x v="19"/>
    <x v="2"/>
    <s v="Partido socialista"/>
    <x v="1"/>
    <n v="4"/>
  </r>
  <r>
    <x v="1"/>
    <n v="23"/>
    <x v="19"/>
    <x v="2"/>
    <s v="Desde el pie "/>
    <x v="1"/>
    <n v="4"/>
  </r>
  <r>
    <x v="1"/>
    <n v="23"/>
    <x v="19"/>
    <x v="2"/>
    <s v="Movimiento socialista de los trabajadores"/>
    <x v="1"/>
    <n v="3"/>
  </r>
  <r>
    <x v="1"/>
    <n v="23"/>
    <x v="19"/>
    <x v="2"/>
    <s v="Frente popular pampeano "/>
    <x v="1"/>
    <n v="2"/>
  </r>
  <r>
    <x v="1"/>
    <n v="23"/>
    <x v="19"/>
    <x v="3"/>
    <s v="Frente justicialista pampeano"/>
    <x v="0"/>
    <n v="278"/>
  </r>
  <r>
    <x v="1"/>
    <n v="23"/>
    <x v="19"/>
    <x v="3"/>
    <s v="Cambiemos - FREPAM"/>
    <x v="2"/>
    <n v="217"/>
  </r>
  <r>
    <x v="1"/>
    <n v="23"/>
    <x v="19"/>
    <x v="3"/>
    <s v="Blanco"/>
    <x v="3"/>
    <n v="26"/>
  </r>
  <r>
    <x v="1"/>
    <n v="23"/>
    <x v="19"/>
    <x v="3"/>
    <s v="Comunidad organizada"/>
    <x v="1"/>
    <n v="8"/>
  </r>
  <r>
    <x v="1"/>
    <n v="23"/>
    <x v="19"/>
    <x v="3"/>
    <s v="Pueblo Nuevo"/>
    <x v="1"/>
    <n v="6"/>
  </r>
  <r>
    <x v="1"/>
    <n v="23"/>
    <x v="19"/>
    <x v="3"/>
    <s v="Partido socialista"/>
    <x v="1"/>
    <n v="4"/>
  </r>
  <r>
    <x v="1"/>
    <n v="23"/>
    <x v="19"/>
    <x v="3"/>
    <s v="Desde el pie "/>
    <x v="1"/>
    <n v="4"/>
  </r>
  <r>
    <x v="1"/>
    <n v="23"/>
    <x v="19"/>
    <x v="3"/>
    <s v="Movimiento socialista de los trabajadores"/>
    <x v="1"/>
    <n v="3"/>
  </r>
  <r>
    <x v="1"/>
    <n v="23"/>
    <x v="19"/>
    <x v="3"/>
    <s v="Frente popular pampeano "/>
    <x v="1"/>
    <n v="2"/>
  </r>
  <r>
    <x v="1"/>
    <n v="24"/>
    <x v="20"/>
    <x v="1"/>
    <s v="Frente justicialista pampeano"/>
    <x v="0"/>
    <n v="196"/>
  </r>
  <r>
    <x v="1"/>
    <n v="24"/>
    <x v="20"/>
    <x v="1"/>
    <s v="Blanco"/>
    <x v="3"/>
    <n v="132"/>
  </r>
  <r>
    <x v="1"/>
    <n v="24"/>
    <x v="20"/>
    <x v="2"/>
    <s v="Frente justicialista pampeano"/>
    <x v="0"/>
    <n v="195"/>
  </r>
  <r>
    <x v="1"/>
    <n v="24"/>
    <x v="20"/>
    <x v="2"/>
    <s v="Cambiemos - FREPAM"/>
    <x v="2"/>
    <n v="84"/>
  </r>
  <r>
    <x v="1"/>
    <n v="24"/>
    <x v="20"/>
    <x v="2"/>
    <s v="Comunidad organizada"/>
    <x v="1"/>
    <n v="10"/>
  </r>
  <r>
    <x v="1"/>
    <n v="24"/>
    <x v="20"/>
    <x v="2"/>
    <s v="Partido socialista"/>
    <x v="1"/>
    <n v="9"/>
  </r>
  <r>
    <x v="1"/>
    <n v="24"/>
    <x v="20"/>
    <x v="2"/>
    <s v="Blanco"/>
    <x v="3"/>
    <n v="9"/>
  </r>
  <r>
    <x v="1"/>
    <n v="24"/>
    <x v="20"/>
    <x v="2"/>
    <s v="Pueblo Nuevo"/>
    <x v="1"/>
    <n v="8"/>
  </r>
  <r>
    <x v="1"/>
    <n v="24"/>
    <x v="20"/>
    <x v="2"/>
    <s v="Desde el pie "/>
    <x v="1"/>
    <n v="6"/>
  </r>
  <r>
    <x v="1"/>
    <n v="24"/>
    <x v="20"/>
    <x v="2"/>
    <s v="Movimiento socialista de los trabajadores"/>
    <x v="1"/>
    <n v="4"/>
  </r>
  <r>
    <x v="1"/>
    <n v="24"/>
    <x v="20"/>
    <x v="2"/>
    <s v="Frente popular pampeano "/>
    <x v="1"/>
    <n v="3"/>
  </r>
  <r>
    <x v="1"/>
    <n v="24"/>
    <x v="20"/>
    <x v="3"/>
    <s v="Frente justicialista pampeano"/>
    <x v="0"/>
    <n v="196"/>
  </r>
  <r>
    <x v="1"/>
    <n v="24"/>
    <x v="20"/>
    <x v="3"/>
    <s v="Cambiemos - FREPAM"/>
    <x v="2"/>
    <n v="83"/>
  </r>
  <r>
    <x v="1"/>
    <n v="24"/>
    <x v="20"/>
    <x v="3"/>
    <s v="Comunidad organizada"/>
    <x v="1"/>
    <n v="11"/>
  </r>
  <r>
    <x v="1"/>
    <n v="24"/>
    <x v="20"/>
    <x v="3"/>
    <s v="Partido socialista"/>
    <x v="1"/>
    <n v="9"/>
  </r>
  <r>
    <x v="1"/>
    <n v="24"/>
    <x v="20"/>
    <x v="3"/>
    <s v="Pueblo Nuevo"/>
    <x v="1"/>
    <n v="8"/>
  </r>
  <r>
    <x v="1"/>
    <n v="24"/>
    <x v="20"/>
    <x v="3"/>
    <s v="Blanco"/>
    <x v="3"/>
    <n v="8"/>
  </r>
  <r>
    <x v="1"/>
    <n v="24"/>
    <x v="20"/>
    <x v="3"/>
    <s v="Desde el pie "/>
    <x v="1"/>
    <n v="6"/>
  </r>
  <r>
    <x v="1"/>
    <n v="24"/>
    <x v="20"/>
    <x v="3"/>
    <s v="Movimiento socialista de los trabajadores"/>
    <x v="1"/>
    <n v="4"/>
  </r>
  <r>
    <x v="1"/>
    <n v="24"/>
    <x v="20"/>
    <x v="3"/>
    <s v="Frente popular pampeano "/>
    <x v="1"/>
    <n v="3"/>
  </r>
  <r>
    <x v="1"/>
    <n v="25"/>
    <x v="21"/>
    <x v="1"/>
    <s v="Frente justicialista pampeano"/>
    <x v="0"/>
    <n v="412"/>
  </r>
  <r>
    <x v="1"/>
    <n v="25"/>
    <x v="21"/>
    <x v="1"/>
    <s v="Partido socialista"/>
    <x v="1"/>
    <n v="270"/>
  </r>
  <r>
    <x v="1"/>
    <n v="25"/>
    <x v="21"/>
    <x v="1"/>
    <s v="Blanco"/>
    <x v="3"/>
    <n v="16"/>
  </r>
  <r>
    <x v="1"/>
    <n v="25"/>
    <x v="21"/>
    <x v="1"/>
    <s v="Nulo"/>
    <x v="3"/>
    <n v="2"/>
  </r>
  <r>
    <x v="1"/>
    <n v="25"/>
    <x v="21"/>
    <x v="2"/>
    <s v="Frente justicialista pampeano"/>
    <x v="0"/>
    <n v="426"/>
  </r>
  <r>
    <x v="1"/>
    <n v="25"/>
    <x v="21"/>
    <x v="2"/>
    <s v="Partido socialista"/>
    <x v="1"/>
    <n v="194"/>
  </r>
  <r>
    <x v="1"/>
    <n v="25"/>
    <x v="21"/>
    <x v="2"/>
    <s v="Cambiemos - FREPAM"/>
    <x v="2"/>
    <n v="55"/>
  </r>
  <r>
    <x v="1"/>
    <n v="25"/>
    <x v="21"/>
    <x v="2"/>
    <s v="Blanco"/>
    <x v="3"/>
    <n v="14"/>
  </r>
  <r>
    <x v="1"/>
    <n v="25"/>
    <x v="21"/>
    <x v="2"/>
    <s v="Pueblo Nuevo"/>
    <x v="1"/>
    <n v="4"/>
  </r>
  <r>
    <x v="1"/>
    <n v="25"/>
    <x v="21"/>
    <x v="2"/>
    <s v="Frente popular pampeano "/>
    <x v="1"/>
    <n v="3"/>
  </r>
  <r>
    <x v="1"/>
    <n v="25"/>
    <x v="21"/>
    <x v="2"/>
    <s v="Nulo"/>
    <x v="3"/>
    <n v="2"/>
  </r>
  <r>
    <x v="1"/>
    <n v="25"/>
    <x v="21"/>
    <x v="2"/>
    <s v="Movimiento socialista de los trabajadores"/>
    <x v="1"/>
    <n v="1"/>
  </r>
  <r>
    <x v="1"/>
    <n v="25"/>
    <x v="21"/>
    <x v="2"/>
    <s v="Comunidad organizada"/>
    <x v="1"/>
    <n v="1"/>
  </r>
  <r>
    <x v="1"/>
    <n v="25"/>
    <x v="21"/>
    <x v="3"/>
    <s v="Frente justicialista pampeano"/>
    <x v="0"/>
    <n v="429"/>
  </r>
  <r>
    <x v="1"/>
    <n v="25"/>
    <x v="21"/>
    <x v="3"/>
    <s v="Partido socialista"/>
    <x v="1"/>
    <n v="191"/>
  </r>
  <r>
    <x v="1"/>
    <n v="25"/>
    <x v="21"/>
    <x v="3"/>
    <s v="Cambiemos - FREPAM"/>
    <x v="2"/>
    <n v="56"/>
  </r>
  <r>
    <x v="1"/>
    <n v="25"/>
    <x v="21"/>
    <x v="3"/>
    <s v="Blanco"/>
    <x v="3"/>
    <n v="13"/>
  </r>
  <r>
    <x v="1"/>
    <n v="25"/>
    <x v="21"/>
    <x v="3"/>
    <s v="Pueblo Nuevo"/>
    <x v="1"/>
    <n v="4"/>
  </r>
  <r>
    <x v="1"/>
    <n v="25"/>
    <x v="21"/>
    <x v="3"/>
    <s v="Frente popular pampeano "/>
    <x v="1"/>
    <n v="3"/>
  </r>
  <r>
    <x v="1"/>
    <n v="25"/>
    <x v="21"/>
    <x v="3"/>
    <s v="Nulo"/>
    <x v="3"/>
    <n v="2"/>
  </r>
  <r>
    <x v="1"/>
    <n v="25"/>
    <x v="21"/>
    <x v="3"/>
    <s v="Movimiento socialista de los trabajadores"/>
    <x v="1"/>
    <n v="1"/>
  </r>
  <r>
    <x v="1"/>
    <n v="25"/>
    <x v="21"/>
    <x v="3"/>
    <s v="Comunidad organizada"/>
    <x v="1"/>
    <n v="1"/>
  </r>
  <r>
    <x v="1"/>
    <n v="26"/>
    <x v="22"/>
    <x v="1"/>
    <s v="Frente justicialista pampeano"/>
    <x v="0"/>
    <n v="299"/>
  </r>
  <r>
    <x v="1"/>
    <n v="26"/>
    <x v="22"/>
    <x v="1"/>
    <s v="Blanco"/>
    <x v="3"/>
    <n v="96"/>
  </r>
  <r>
    <x v="1"/>
    <n v="26"/>
    <x v="22"/>
    <x v="2"/>
    <s v="Frente justicialista pampeano"/>
    <x v="0"/>
    <n v="291"/>
  </r>
  <r>
    <x v="1"/>
    <n v="26"/>
    <x v="22"/>
    <x v="2"/>
    <s v="Cambiemos - FREPAM"/>
    <x v="2"/>
    <n v="49"/>
  </r>
  <r>
    <x v="1"/>
    <n v="26"/>
    <x v="22"/>
    <x v="2"/>
    <s v="Blanco"/>
    <x v="3"/>
    <n v="19"/>
  </r>
  <r>
    <x v="1"/>
    <n v="26"/>
    <x v="22"/>
    <x v="2"/>
    <s v="Comunidad organizada"/>
    <x v="1"/>
    <n v="13"/>
  </r>
  <r>
    <x v="1"/>
    <n v="26"/>
    <x v="22"/>
    <x v="2"/>
    <s v="Partido socialista"/>
    <x v="1"/>
    <n v="9"/>
  </r>
  <r>
    <x v="1"/>
    <n v="26"/>
    <x v="22"/>
    <x v="2"/>
    <s v="Pueblo Nuevo"/>
    <x v="1"/>
    <n v="7"/>
  </r>
  <r>
    <x v="1"/>
    <n v="26"/>
    <x v="22"/>
    <x v="2"/>
    <s v="Desde el pie "/>
    <x v="1"/>
    <n v="3"/>
  </r>
  <r>
    <x v="1"/>
    <n v="26"/>
    <x v="22"/>
    <x v="2"/>
    <s v="Movimiento socialista de los trabajadores"/>
    <x v="1"/>
    <n v="2"/>
  </r>
  <r>
    <x v="1"/>
    <n v="26"/>
    <x v="22"/>
    <x v="2"/>
    <s v="Frente popular pampeano "/>
    <x v="1"/>
    <n v="2"/>
  </r>
  <r>
    <x v="1"/>
    <n v="26"/>
    <x v="22"/>
    <x v="3"/>
    <s v="Frente justicialista pampeano"/>
    <x v="0"/>
    <n v="293"/>
  </r>
  <r>
    <x v="1"/>
    <n v="26"/>
    <x v="22"/>
    <x v="3"/>
    <s v="Cambiemos - FREPAM"/>
    <x v="2"/>
    <n v="49"/>
  </r>
  <r>
    <x v="1"/>
    <n v="26"/>
    <x v="22"/>
    <x v="3"/>
    <s v="Blanco"/>
    <x v="3"/>
    <n v="16"/>
  </r>
  <r>
    <x v="1"/>
    <n v="26"/>
    <x v="22"/>
    <x v="3"/>
    <s v="Comunidad organizada"/>
    <x v="1"/>
    <n v="14"/>
  </r>
  <r>
    <x v="1"/>
    <n v="26"/>
    <x v="22"/>
    <x v="3"/>
    <s v="Partido socialista"/>
    <x v="1"/>
    <n v="9"/>
  </r>
  <r>
    <x v="1"/>
    <n v="26"/>
    <x v="22"/>
    <x v="3"/>
    <s v="Pueblo Nuevo"/>
    <x v="1"/>
    <n v="7"/>
  </r>
  <r>
    <x v="1"/>
    <n v="26"/>
    <x v="22"/>
    <x v="3"/>
    <s v="Desde el pie "/>
    <x v="1"/>
    <n v="3"/>
  </r>
  <r>
    <x v="1"/>
    <n v="26"/>
    <x v="22"/>
    <x v="3"/>
    <s v="Movimiento socialista de los trabajadores"/>
    <x v="1"/>
    <n v="2"/>
  </r>
  <r>
    <x v="1"/>
    <n v="26"/>
    <x v="22"/>
    <x v="3"/>
    <s v="Frente popular pampeano "/>
    <x v="1"/>
    <n v="2"/>
  </r>
  <r>
    <x v="1"/>
    <n v="27"/>
    <x v="23"/>
    <x v="1"/>
    <s v="Cambiemos - FREPAM"/>
    <x v="2"/>
    <n v="3081"/>
  </r>
  <r>
    <x v="1"/>
    <n v="27"/>
    <x v="23"/>
    <x v="1"/>
    <s v="PJ"/>
    <x v="0"/>
    <n v="2725"/>
  </r>
  <r>
    <x v="1"/>
    <n v="27"/>
    <x v="23"/>
    <x v="1"/>
    <s v="Pueblo Nuevo"/>
    <x v="1"/>
    <n v="446"/>
  </r>
  <r>
    <x v="1"/>
    <n v="27"/>
    <x v="23"/>
    <x v="1"/>
    <s v="Partido socialista"/>
    <x v="1"/>
    <n v="389"/>
  </r>
  <r>
    <x v="1"/>
    <n v="27"/>
    <x v="23"/>
    <x v="1"/>
    <s v="Blanco"/>
    <x v="3"/>
    <n v="235"/>
  </r>
  <r>
    <x v="1"/>
    <n v="27"/>
    <x v="23"/>
    <x v="1"/>
    <s v="Nulo"/>
    <x v="3"/>
    <n v="58"/>
  </r>
  <r>
    <x v="1"/>
    <n v="27"/>
    <x v="23"/>
    <x v="3"/>
    <s v="PJ"/>
    <x v="0"/>
    <n v="2903"/>
  </r>
  <r>
    <x v="1"/>
    <n v="27"/>
    <x v="23"/>
    <x v="3"/>
    <s v="Cambiemos - FREPAM"/>
    <x v="2"/>
    <n v="2680"/>
  </r>
  <r>
    <x v="1"/>
    <n v="27"/>
    <x v="23"/>
    <x v="3"/>
    <s v="Pueblo Nuevo"/>
    <x v="1"/>
    <n v="390"/>
  </r>
  <r>
    <x v="1"/>
    <n v="27"/>
    <x v="23"/>
    <x v="3"/>
    <s v="Partido socialista"/>
    <x v="1"/>
    <n v="330"/>
  </r>
  <r>
    <x v="1"/>
    <n v="27"/>
    <x v="23"/>
    <x v="3"/>
    <s v="Comunidad organizada"/>
    <x v="1"/>
    <n v="275"/>
  </r>
  <r>
    <x v="1"/>
    <n v="27"/>
    <x v="23"/>
    <x v="3"/>
    <s v="Blanco"/>
    <x v="3"/>
    <n v="218"/>
  </r>
  <r>
    <x v="1"/>
    <n v="27"/>
    <x v="23"/>
    <x v="3"/>
    <s v="Nulo"/>
    <x v="3"/>
    <n v="78"/>
  </r>
  <r>
    <x v="1"/>
    <n v="27"/>
    <x v="23"/>
    <x v="3"/>
    <s v="Movimiento socialista de los trabajadores"/>
    <x v="1"/>
    <n v="26"/>
  </r>
  <r>
    <x v="1"/>
    <n v="27"/>
    <x v="23"/>
    <x v="3"/>
    <s v="Desde el pie "/>
    <x v="1"/>
    <n v="21"/>
  </r>
  <r>
    <x v="1"/>
    <n v="27"/>
    <x v="23"/>
    <x v="3"/>
    <s v="Frente popular pampeano "/>
    <x v="1"/>
    <n v="13"/>
  </r>
  <r>
    <x v="1"/>
    <n v="27"/>
    <x v="23"/>
    <x v="2"/>
    <s v="PJ"/>
    <x v="0"/>
    <n v="2770"/>
  </r>
  <r>
    <x v="1"/>
    <n v="27"/>
    <x v="23"/>
    <x v="2"/>
    <s v="Cambiemos - FREPAM"/>
    <x v="2"/>
    <n v="2769"/>
  </r>
  <r>
    <x v="1"/>
    <n v="27"/>
    <x v="23"/>
    <x v="2"/>
    <s v="Pueblo Nuevo"/>
    <x v="1"/>
    <n v="399"/>
  </r>
  <r>
    <x v="1"/>
    <n v="27"/>
    <x v="23"/>
    <x v="2"/>
    <s v="Partido socialista"/>
    <x v="1"/>
    <n v="350"/>
  </r>
  <r>
    <x v="1"/>
    <n v="27"/>
    <x v="23"/>
    <x v="2"/>
    <s v="Blanco"/>
    <x v="3"/>
    <n v="297"/>
  </r>
  <r>
    <x v="1"/>
    <n v="27"/>
    <x v="23"/>
    <x v="2"/>
    <s v="Comunidad organizada"/>
    <x v="1"/>
    <n v="208"/>
  </r>
  <r>
    <x v="1"/>
    <n v="27"/>
    <x v="23"/>
    <x v="2"/>
    <s v="Nulo"/>
    <x v="3"/>
    <n v="75"/>
  </r>
  <r>
    <x v="1"/>
    <n v="27"/>
    <x v="23"/>
    <x v="2"/>
    <s v="Movimiento socialista de los trabajadores"/>
    <x v="1"/>
    <n v="28"/>
  </r>
  <r>
    <x v="1"/>
    <n v="27"/>
    <x v="23"/>
    <x v="2"/>
    <s v="Desde el pie "/>
    <x v="1"/>
    <n v="23"/>
  </r>
  <r>
    <x v="1"/>
    <n v="27"/>
    <x v="23"/>
    <x v="2"/>
    <s v="Frente popular pampeano "/>
    <x v="1"/>
    <n v="15"/>
  </r>
  <r>
    <x v="1"/>
    <n v="28"/>
    <x v="24"/>
    <x v="1"/>
    <s v="Cambiemos - FREPAM"/>
    <x v="2"/>
    <n v="137"/>
  </r>
  <r>
    <x v="1"/>
    <n v="28"/>
    <x v="24"/>
    <x v="1"/>
    <s v="Comunidad organizada"/>
    <x v="1"/>
    <n v="108"/>
  </r>
  <r>
    <x v="1"/>
    <n v="28"/>
    <x v="24"/>
    <x v="1"/>
    <s v="Frente justicialista pampeano"/>
    <x v="0"/>
    <n v="78"/>
  </r>
  <r>
    <x v="1"/>
    <n v="28"/>
    <x v="24"/>
    <x v="1"/>
    <s v="Nulo"/>
    <x v="3"/>
    <n v="2"/>
  </r>
  <r>
    <x v="1"/>
    <n v="28"/>
    <x v="24"/>
    <x v="1"/>
    <s v="Blanco"/>
    <x v="3"/>
    <n v="1"/>
  </r>
  <r>
    <x v="1"/>
    <n v="28"/>
    <x v="24"/>
    <x v="2"/>
    <s v="Cambiemos - FREPAM"/>
    <x v="2"/>
    <n v="129"/>
  </r>
  <r>
    <x v="1"/>
    <n v="28"/>
    <x v="24"/>
    <x v="2"/>
    <s v="Frente justicialista pampeano"/>
    <x v="0"/>
    <n v="94"/>
  </r>
  <r>
    <x v="1"/>
    <n v="28"/>
    <x v="24"/>
    <x v="2"/>
    <s v="Comunidad organizada"/>
    <x v="1"/>
    <n v="73"/>
  </r>
  <r>
    <x v="1"/>
    <n v="28"/>
    <x v="24"/>
    <x v="2"/>
    <s v="Blanco"/>
    <x v="3"/>
    <n v="21"/>
  </r>
  <r>
    <x v="1"/>
    <n v="28"/>
    <x v="24"/>
    <x v="2"/>
    <s v="Nulo"/>
    <x v="3"/>
    <n v="5"/>
  </r>
  <r>
    <x v="1"/>
    <n v="28"/>
    <x v="24"/>
    <x v="2"/>
    <s v="Frente popular pampeano "/>
    <x v="1"/>
    <n v="2"/>
  </r>
  <r>
    <x v="1"/>
    <n v="28"/>
    <x v="24"/>
    <x v="2"/>
    <s v="Pueblo Nuevo"/>
    <x v="1"/>
    <n v="1"/>
  </r>
  <r>
    <x v="1"/>
    <n v="28"/>
    <x v="24"/>
    <x v="2"/>
    <s v="Partido socialista"/>
    <x v="1"/>
    <n v="1"/>
  </r>
  <r>
    <x v="1"/>
    <n v="28"/>
    <x v="24"/>
    <x v="3"/>
    <s v="Cambiemos - FREPAM"/>
    <x v="2"/>
    <n v="131"/>
  </r>
  <r>
    <x v="1"/>
    <n v="28"/>
    <x v="24"/>
    <x v="3"/>
    <s v="Frente justicialista pampeano"/>
    <x v="0"/>
    <n v="107"/>
  </r>
  <r>
    <x v="1"/>
    <n v="28"/>
    <x v="24"/>
    <x v="3"/>
    <s v="Comunidad organizada"/>
    <x v="1"/>
    <n v="71"/>
  </r>
  <r>
    <x v="1"/>
    <n v="28"/>
    <x v="24"/>
    <x v="3"/>
    <s v="Partido socialista"/>
    <x v="1"/>
    <n v="10"/>
  </r>
  <r>
    <x v="1"/>
    <n v="28"/>
    <x v="24"/>
    <x v="3"/>
    <s v="Nulo"/>
    <x v="3"/>
    <n v="5"/>
  </r>
  <r>
    <x v="1"/>
    <n v="28"/>
    <x v="24"/>
    <x v="3"/>
    <s v="Blanco"/>
    <x v="3"/>
    <n v="2"/>
  </r>
  <r>
    <x v="1"/>
    <n v="29"/>
    <x v="25"/>
    <x v="1"/>
    <s v="Unión por Monte Nievas"/>
    <x v="1"/>
    <n v="250"/>
  </r>
  <r>
    <x v="1"/>
    <n v="29"/>
    <x v="25"/>
    <x v="1"/>
    <s v="Frente justicialista pampeano"/>
    <x v="0"/>
    <n v="186"/>
  </r>
  <r>
    <x v="1"/>
    <n v="29"/>
    <x v="25"/>
    <x v="1"/>
    <s v="Blanco"/>
    <x v="3"/>
    <n v="10"/>
  </r>
  <r>
    <x v="1"/>
    <n v="29"/>
    <x v="25"/>
    <x v="1"/>
    <s v="Nulo"/>
    <x v="3"/>
    <n v="1"/>
  </r>
  <r>
    <x v="1"/>
    <n v="29"/>
    <x v="25"/>
    <x v="2"/>
    <s v="Frente justicialista pampeano"/>
    <x v="0"/>
    <n v="218"/>
  </r>
  <r>
    <x v="1"/>
    <n v="29"/>
    <x v="25"/>
    <x v="2"/>
    <s v="Cambiemos - FREPAM"/>
    <x v="2"/>
    <n v="104"/>
  </r>
  <r>
    <x v="1"/>
    <n v="29"/>
    <x v="25"/>
    <x v="2"/>
    <s v="Blanco"/>
    <x v="3"/>
    <n v="86"/>
  </r>
  <r>
    <x v="1"/>
    <n v="29"/>
    <x v="25"/>
    <x v="2"/>
    <s v="Comunidad organizada"/>
    <x v="1"/>
    <n v="18"/>
  </r>
  <r>
    <x v="1"/>
    <n v="29"/>
    <x v="25"/>
    <x v="2"/>
    <s v="Partido socialista"/>
    <x v="1"/>
    <n v="12"/>
  </r>
  <r>
    <x v="1"/>
    <n v="29"/>
    <x v="25"/>
    <x v="2"/>
    <s v="Nulo"/>
    <x v="3"/>
    <n v="5"/>
  </r>
  <r>
    <x v="1"/>
    <n v="29"/>
    <x v="25"/>
    <x v="2"/>
    <s v="Frente popular pampeano "/>
    <x v="1"/>
    <n v="2"/>
  </r>
  <r>
    <x v="1"/>
    <n v="29"/>
    <x v="25"/>
    <x v="2"/>
    <s v="Movimiento socialista de los trabajadores"/>
    <x v="1"/>
    <n v="2"/>
  </r>
  <r>
    <x v="1"/>
    <n v="29"/>
    <x v="25"/>
    <x v="3"/>
    <s v="Frente justicialista pampeano"/>
    <x v="0"/>
    <n v="229"/>
  </r>
  <r>
    <x v="1"/>
    <n v="29"/>
    <x v="25"/>
    <x v="3"/>
    <s v="Cambiemos - FREPAM"/>
    <x v="2"/>
    <n v="104"/>
  </r>
  <r>
    <x v="1"/>
    <n v="29"/>
    <x v="25"/>
    <x v="3"/>
    <s v="Blanco"/>
    <x v="3"/>
    <n v="72"/>
  </r>
  <r>
    <x v="1"/>
    <n v="29"/>
    <x v="25"/>
    <x v="3"/>
    <s v="Comunidad organizada"/>
    <x v="1"/>
    <n v="21"/>
  </r>
  <r>
    <x v="1"/>
    <n v="29"/>
    <x v="25"/>
    <x v="3"/>
    <s v="Partido socialista"/>
    <x v="1"/>
    <n v="13"/>
  </r>
  <r>
    <x v="1"/>
    <n v="29"/>
    <x v="25"/>
    <x v="3"/>
    <s v="Nulo"/>
    <x v="3"/>
    <n v="4"/>
  </r>
  <r>
    <x v="1"/>
    <n v="29"/>
    <x v="25"/>
    <x v="3"/>
    <s v="Frente popular pampeano "/>
    <x v="1"/>
    <n v="2"/>
  </r>
  <r>
    <x v="1"/>
    <n v="29"/>
    <x v="25"/>
    <x v="3"/>
    <s v="Movimiento socialista de los trabajadores"/>
    <x v="1"/>
    <n v="2"/>
  </r>
  <r>
    <x v="1"/>
    <n v="30"/>
    <x v="26"/>
    <x v="5"/>
    <s v="Frente justicialista pampeano"/>
    <x v="0"/>
    <n v="136"/>
  </r>
  <r>
    <x v="1"/>
    <n v="30"/>
    <x v="26"/>
    <x v="5"/>
    <s v="Blanco"/>
    <x v="3"/>
    <n v="44"/>
  </r>
  <r>
    <x v="1"/>
    <n v="30"/>
    <x v="26"/>
    <x v="2"/>
    <s v="Frente justicialista pampeano"/>
    <x v="0"/>
    <n v="139"/>
  </r>
  <r>
    <x v="1"/>
    <n v="30"/>
    <x v="26"/>
    <x v="2"/>
    <s v="Cambiemos - FREPAM"/>
    <x v="2"/>
    <n v="15"/>
  </r>
  <r>
    <x v="1"/>
    <n v="30"/>
    <x v="26"/>
    <x v="2"/>
    <s v="Blanco"/>
    <x v="3"/>
    <n v="8"/>
  </r>
  <r>
    <x v="1"/>
    <n v="30"/>
    <x v="26"/>
    <x v="2"/>
    <s v="Comunidad organizada"/>
    <x v="1"/>
    <n v="7"/>
  </r>
  <r>
    <x v="1"/>
    <n v="30"/>
    <x v="26"/>
    <x v="2"/>
    <s v="Partido socialista"/>
    <x v="1"/>
    <n v="4"/>
  </r>
  <r>
    <x v="1"/>
    <n v="30"/>
    <x v="26"/>
    <x v="2"/>
    <s v="Pueblo Nuevo"/>
    <x v="1"/>
    <n v="3"/>
  </r>
  <r>
    <x v="1"/>
    <n v="30"/>
    <x v="26"/>
    <x v="2"/>
    <s v="Desde el pie "/>
    <x v="1"/>
    <n v="1"/>
  </r>
  <r>
    <x v="1"/>
    <n v="30"/>
    <x v="26"/>
    <x v="2"/>
    <s v="Movimiento socialista de los trabajadores"/>
    <x v="1"/>
    <n v="1"/>
  </r>
  <r>
    <x v="1"/>
    <n v="30"/>
    <x v="26"/>
    <x v="2"/>
    <s v="Frente popular pampeano "/>
    <x v="1"/>
    <n v="1"/>
  </r>
  <r>
    <x v="1"/>
    <n v="30"/>
    <x v="26"/>
    <x v="2"/>
    <s v="Nulo"/>
    <x v="3"/>
    <n v="1"/>
  </r>
  <r>
    <x v="1"/>
    <n v="30"/>
    <x v="26"/>
    <x v="3"/>
    <s v="Frente justicialista pampeano"/>
    <x v="0"/>
    <n v="139"/>
  </r>
  <r>
    <x v="1"/>
    <n v="30"/>
    <x v="26"/>
    <x v="3"/>
    <s v="Cambiemos - FREPAM"/>
    <x v="2"/>
    <n v="15"/>
  </r>
  <r>
    <x v="1"/>
    <n v="30"/>
    <x v="26"/>
    <x v="3"/>
    <s v="Comunidad organizada"/>
    <x v="1"/>
    <n v="11"/>
  </r>
  <r>
    <x v="1"/>
    <n v="30"/>
    <x v="26"/>
    <x v="3"/>
    <s v="Partido socialista"/>
    <x v="1"/>
    <n v="4"/>
  </r>
  <r>
    <x v="1"/>
    <n v="30"/>
    <x v="26"/>
    <x v="3"/>
    <s v="Blanco"/>
    <x v="3"/>
    <n v="4"/>
  </r>
  <r>
    <x v="1"/>
    <n v="30"/>
    <x v="26"/>
    <x v="3"/>
    <s v="Pueblo Nuevo"/>
    <x v="1"/>
    <n v="3"/>
  </r>
  <r>
    <x v="1"/>
    <n v="30"/>
    <x v="26"/>
    <x v="3"/>
    <s v="Desde el pie "/>
    <x v="1"/>
    <n v="1"/>
  </r>
  <r>
    <x v="1"/>
    <n v="30"/>
    <x v="26"/>
    <x v="3"/>
    <s v="Movimiento socialista de los trabajadores"/>
    <x v="1"/>
    <n v="1"/>
  </r>
  <r>
    <x v="1"/>
    <n v="30"/>
    <x v="26"/>
    <x v="3"/>
    <s v="Frente popular pampeano "/>
    <x v="1"/>
    <n v="1"/>
  </r>
  <r>
    <x v="1"/>
    <n v="30"/>
    <x v="26"/>
    <x v="3"/>
    <s v="Nulo"/>
    <x v="3"/>
    <n v="1"/>
  </r>
  <r>
    <x v="1"/>
    <n v="31"/>
    <x v="27"/>
    <x v="1"/>
    <s v="Frente justicialista pampeano"/>
    <x v="0"/>
    <n v="1005"/>
  </r>
  <r>
    <x v="1"/>
    <n v="31"/>
    <x v="27"/>
    <x v="1"/>
    <s v="Cambiemos - FREPAM"/>
    <x v="2"/>
    <n v="946"/>
  </r>
  <r>
    <x v="1"/>
    <n v="31"/>
    <x v="27"/>
    <x v="1"/>
    <s v="Blanco"/>
    <x v="3"/>
    <n v="87"/>
  </r>
  <r>
    <x v="1"/>
    <n v="31"/>
    <x v="27"/>
    <x v="1"/>
    <s v="Nulo"/>
    <x v="3"/>
    <n v="11"/>
  </r>
  <r>
    <x v="1"/>
    <n v="31"/>
    <x v="27"/>
    <x v="2"/>
    <s v="Frente justicialista pampeano"/>
    <x v="0"/>
    <n v="993"/>
  </r>
  <r>
    <x v="1"/>
    <n v="31"/>
    <x v="27"/>
    <x v="2"/>
    <s v="Cambiemos - FREPAM"/>
    <x v="2"/>
    <n v="882"/>
  </r>
  <r>
    <x v="1"/>
    <n v="31"/>
    <x v="27"/>
    <x v="2"/>
    <s v="Blanco"/>
    <x v="3"/>
    <n v="66"/>
  </r>
  <r>
    <x v="1"/>
    <n v="31"/>
    <x v="27"/>
    <x v="2"/>
    <s v="Comunidad organizada"/>
    <x v="1"/>
    <n v="49"/>
  </r>
  <r>
    <x v="1"/>
    <n v="31"/>
    <x v="27"/>
    <x v="2"/>
    <s v="Partido socialista"/>
    <x v="1"/>
    <n v="14"/>
  </r>
  <r>
    <x v="1"/>
    <n v="31"/>
    <x v="27"/>
    <x v="2"/>
    <s v="Nulo"/>
    <x v="3"/>
    <n v="13"/>
  </r>
  <r>
    <x v="1"/>
    <n v="31"/>
    <x v="27"/>
    <x v="2"/>
    <s v="Pueblo Nuevo"/>
    <x v="1"/>
    <n v="11"/>
  </r>
  <r>
    <x v="1"/>
    <n v="31"/>
    <x v="27"/>
    <x v="2"/>
    <s v="Frente popular pampeano "/>
    <x v="1"/>
    <n v="8"/>
  </r>
  <r>
    <x v="1"/>
    <n v="31"/>
    <x v="27"/>
    <x v="2"/>
    <s v="Movimiento socialista de los trabajadores"/>
    <x v="1"/>
    <n v="7"/>
  </r>
  <r>
    <x v="1"/>
    <n v="31"/>
    <x v="27"/>
    <x v="2"/>
    <s v="Desde el pie "/>
    <x v="1"/>
    <n v="6"/>
  </r>
  <r>
    <x v="1"/>
    <n v="31"/>
    <x v="27"/>
    <x v="3"/>
    <s v="Frente justicialista pampeano"/>
    <x v="0"/>
    <n v="1013"/>
  </r>
  <r>
    <x v="1"/>
    <n v="31"/>
    <x v="27"/>
    <x v="3"/>
    <s v="Cambiemos - FREPAM"/>
    <x v="2"/>
    <n v="850"/>
  </r>
  <r>
    <x v="1"/>
    <n v="31"/>
    <x v="27"/>
    <x v="3"/>
    <s v="Comunidad organizada"/>
    <x v="1"/>
    <n v="70"/>
  </r>
  <r>
    <x v="1"/>
    <n v="31"/>
    <x v="27"/>
    <x v="3"/>
    <s v="Blanco"/>
    <x v="3"/>
    <n v="54"/>
  </r>
  <r>
    <x v="1"/>
    <n v="31"/>
    <x v="27"/>
    <x v="3"/>
    <s v="Partido socialista"/>
    <x v="1"/>
    <n v="16"/>
  </r>
  <r>
    <x v="1"/>
    <n v="31"/>
    <x v="27"/>
    <x v="3"/>
    <s v="Nulo"/>
    <x v="3"/>
    <n v="13"/>
  </r>
  <r>
    <x v="1"/>
    <n v="31"/>
    <x v="27"/>
    <x v="3"/>
    <s v="Pueblo Nuevo"/>
    <x v="1"/>
    <n v="11"/>
  </r>
  <r>
    <x v="1"/>
    <n v="31"/>
    <x v="27"/>
    <x v="3"/>
    <s v="Frente popular pampeano "/>
    <x v="1"/>
    <n v="9"/>
  </r>
  <r>
    <x v="1"/>
    <n v="31"/>
    <x v="27"/>
    <x v="3"/>
    <s v="Movimiento socialista de los trabajadores"/>
    <x v="1"/>
    <n v="7"/>
  </r>
  <r>
    <x v="1"/>
    <n v="31"/>
    <x v="27"/>
    <x v="3"/>
    <s v="Desde el pie "/>
    <x v="1"/>
    <n v="6"/>
  </r>
  <r>
    <x v="1"/>
    <n v="32"/>
    <x v="28"/>
    <x v="1"/>
    <s v="Frente justicialista pampeano"/>
    <x v="0"/>
    <n v="216"/>
  </r>
  <r>
    <x v="1"/>
    <n v="32"/>
    <x v="28"/>
    <x v="1"/>
    <s v="Blanco"/>
    <x v="3"/>
    <n v="28"/>
  </r>
  <r>
    <x v="1"/>
    <n v="32"/>
    <x v="28"/>
    <x v="1"/>
    <s v="Nulo"/>
    <x v="3"/>
    <n v="4"/>
  </r>
  <r>
    <x v="1"/>
    <n v="32"/>
    <x v="28"/>
    <x v="2"/>
    <s v="Frente justicialista pampeano"/>
    <x v="0"/>
    <n v="206"/>
  </r>
  <r>
    <x v="1"/>
    <n v="32"/>
    <x v="28"/>
    <x v="2"/>
    <s v="Nulo"/>
    <x v="3"/>
    <n v="9"/>
  </r>
  <r>
    <x v="1"/>
    <n v="32"/>
    <x v="28"/>
    <x v="2"/>
    <s v="Cambiemos - FREPAM"/>
    <x v="2"/>
    <n v="8"/>
  </r>
  <r>
    <x v="1"/>
    <n v="32"/>
    <x v="28"/>
    <x v="2"/>
    <s v="Pueblo Nuevo"/>
    <x v="1"/>
    <n v="8"/>
  </r>
  <r>
    <x v="1"/>
    <n v="32"/>
    <x v="28"/>
    <x v="2"/>
    <s v="Partido socialista"/>
    <x v="1"/>
    <n v="6"/>
  </r>
  <r>
    <x v="1"/>
    <n v="32"/>
    <x v="28"/>
    <x v="2"/>
    <s v="Comunidad organizada"/>
    <x v="1"/>
    <n v="5"/>
  </r>
  <r>
    <x v="1"/>
    <n v="32"/>
    <x v="28"/>
    <x v="2"/>
    <s v="Blanco"/>
    <x v="3"/>
    <n v="4"/>
  </r>
  <r>
    <x v="1"/>
    <n v="32"/>
    <x v="28"/>
    <x v="2"/>
    <s v="Desde el pie "/>
    <x v="1"/>
    <n v="1"/>
  </r>
  <r>
    <x v="1"/>
    <n v="32"/>
    <x v="28"/>
    <x v="2"/>
    <s v="Frente popular pampeano "/>
    <x v="1"/>
    <n v="1"/>
  </r>
  <r>
    <x v="1"/>
    <n v="32"/>
    <x v="28"/>
    <x v="3"/>
    <s v="Frente justicialista pampeano"/>
    <x v="0"/>
    <n v="207"/>
  </r>
  <r>
    <x v="1"/>
    <n v="32"/>
    <x v="28"/>
    <x v="3"/>
    <s v="Nulo"/>
    <x v="3"/>
    <n v="9"/>
  </r>
  <r>
    <x v="1"/>
    <n v="32"/>
    <x v="28"/>
    <x v="3"/>
    <s v="Cambiemos - FREPAM"/>
    <x v="2"/>
    <n v="8"/>
  </r>
  <r>
    <x v="1"/>
    <n v="32"/>
    <x v="28"/>
    <x v="3"/>
    <s v="Pueblo Nuevo"/>
    <x v="1"/>
    <n v="8"/>
  </r>
  <r>
    <x v="1"/>
    <n v="32"/>
    <x v="28"/>
    <x v="3"/>
    <s v="Partido socialista"/>
    <x v="1"/>
    <n v="5"/>
  </r>
  <r>
    <x v="1"/>
    <n v="32"/>
    <x v="28"/>
    <x v="3"/>
    <s v="Comunidad organizada"/>
    <x v="1"/>
    <n v="5"/>
  </r>
  <r>
    <x v="1"/>
    <n v="32"/>
    <x v="28"/>
    <x v="3"/>
    <s v="Blanco"/>
    <x v="3"/>
    <n v="4"/>
  </r>
  <r>
    <x v="1"/>
    <n v="32"/>
    <x v="28"/>
    <x v="3"/>
    <s v="Frente popular pampeano "/>
    <x v="1"/>
    <n v="1"/>
  </r>
  <r>
    <x v="1"/>
    <n v="32"/>
    <x v="28"/>
    <x v="3"/>
    <s v="Desde el pie "/>
    <x v="1"/>
    <n v="1"/>
  </r>
  <r>
    <x v="1"/>
    <n v="33"/>
    <x v="29"/>
    <x v="1"/>
    <s v="Frente justicialista pampeano"/>
    <x v="0"/>
    <n v="289"/>
  </r>
  <r>
    <x v="1"/>
    <n v="33"/>
    <x v="29"/>
    <x v="1"/>
    <s v="Blanco"/>
    <x v="3"/>
    <n v="106"/>
  </r>
  <r>
    <x v="1"/>
    <n v="33"/>
    <x v="29"/>
    <x v="2"/>
    <s v="Frente justicialista pampeano"/>
    <x v="0"/>
    <n v="269"/>
  </r>
  <r>
    <x v="1"/>
    <n v="33"/>
    <x v="29"/>
    <x v="2"/>
    <s v="Cambiemos - FREPAM"/>
    <x v="2"/>
    <n v="87"/>
  </r>
  <r>
    <x v="1"/>
    <n v="33"/>
    <x v="29"/>
    <x v="2"/>
    <s v="Blanco"/>
    <x v="3"/>
    <n v="31"/>
  </r>
  <r>
    <x v="1"/>
    <n v="33"/>
    <x v="29"/>
    <x v="2"/>
    <s v="Partido socialista"/>
    <x v="1"/>
    <n v="3"/>
  </r>
  <r>
    <x v="1"/>
    <n v="33"/>
    <x v="29"/>
    <x v="2"/>
    <s v="Pueblo Nuevo"/>
    <x v="1"/>
    <n v="2"/>
  </r>
  <r>
    <x v="1"/>
    <n v="33"/>
    <x v="29"/>
    <x v="2"/>
    <s v="Comunidad organizada"/>
    <x v="1"/>
    <n v="2"/>
  </r>
  <r>
    <x v="1"/>
    <n v="33"/>
    <x v="29"/>
    <x v="2"/>
    <s v="Desde el pie "/>
    <x v="1"/>
    <n v="1"/>
  </r>
  <r>
    <x v="1"/>
    <n v="33"/>
    <x v="29"/>
    <x v="3"/>
    <s v="Frente justicialista pampeano"/>
    <x v="0"/>
    <n v="270"/>
  </r>
  <r>
    <x v="1"/>
    <n v="33"/>
    <x v="29"/>
    <x v="3"/>
    <s v="Cambiemos - FREPAM"/>
    <x v="2"/>
    <n v="91"/>
  </r>
  <r>
    <x v="1"/>
    <n v="33"/>
    <x v="29"/>
    <x v="3"/>
    <s v="Blanco"/>
    <x v="3"/>
    <n v="22"/>
  </r>
  <r>
    <x v="1"/>
    <n v="33"/>
    <x v="29"/>
    <x v="3"/>
    <s v="Comunidad organizada"/>
    <x v="1"/>
    <n v="5"/>
  </r>
  <r>
    <x v="1"/>
    <n v="33"/>
    <x v="29"/>
    <x v="3"/>
    <s v="Pueblo Nuevo"/>
    <x v="1"/>
    <n v="4"/>
  </r>
  <r>
    <x v="1"/>
    <n v="33"/>
    <x v="29"/>
    <x v="3"/>
    <s v="Partido socialista"/>
    <x v="1"/>
    <n v="2"/>
  </r>
  <r>
    <x v="1"/>
    <n v="33"/>
    <x v="29"/>
    <x v="3"/>
    <s v="Desde el pie "/>
    <x v="1"/>
    <n v="1"/>
  </r>
  <r>
    <x v="1"/>
    <n v="34"/>
    <x v="30"/>
    <x v="1"/>
    <s v="Frente justicialista pampeano"/>
    <x v="0"/>
    <n v="817"/>
  </r>
  <r>
    <x v="1"/>
    <n v="34"/>
    <x v="30"/>
    <x v="1"/>
    <s v="Cambiemos - FREPAM"/>
    <x v="2"/>
    <n v="758"/>
  </r>
  <r>
    <x v="1"/>
    <n v="34"/>
    <x v="30"/>
    <x v="1"/>
    <s v="Blanco"/>
    <x v="3"/>
    <n v="59"/>
  </r>
  <r>
    <x v="1"/>
    <n v="34"/>
    <x v="30"/>
    <x v="2"/>
    <s v="Frente justicialista pampeano"/>
    <x v="0"/>
    <n v="823"/>
  </r>
  <r>
    <x v="1"/>
    <n v="34"/>
    <x v="30"/>
    <x v="2"/>
    <s v="Cambiemos - FREPAM"/>
    <x v="2"/>
    <n v="717"/>
  </r>
  <r>
    <x v="1"/>
    <n v="34"/>
    <x v="30"/>
    <x v="2"/>
    <s v="Blanco"/>
    <x v="3"/>
    <n v="49"/>
  </r>
  <r>
    <x v="1"/>
    <n v="34"/>
    <x v="30"/>
    <x v="2"/>
    <s v="Comunidad organizada"/>
    <x v="1"/>
    <n v="24"/>
  </r>
  <r>
    <x v="1"/>
    <n v="34"/>
    <x v="30"/>
    <x v="2"/>
    <s v="Pueblo Nuevo"/>
    <x v="1"/>
    <n v="6"/>
  </r>
  <r>
    <x v="1"/>
    <n v="34"/>
    <x v="30"/>
    <x v="2"/>
    <s v="Frente popular pampeano "/>
    <x v="1"/>
    <n v="5"/>
  </r>
  <r>
    <x v="1"/>
    <n v="34"/>
    <x v="30"/>
    <x v="2"/>
    <s v="Partido socialista"/>
    <x v="1"/>
    <n v="4"/>
  </r>
  <r>
    <x v="1"/>
    <n v="34"/>
    <x v="30"/>
    <x v="2"/>
    <s v="Desde el pie "/>
    <x v="1"/>
    <n v="3"/>
  </r>
  <r>
    <x v="1"/>
    <n v="34"/>
    <x v="30"/>
    <x v="2"/>
    <s v="Movimiento socialista de los trabajadores"/>
    <x v="1"/>
    <n v="3"/>
  </r>
  <r>
    <x v="1"/>
    <n v="34"/>
    <x v="30"/>
    <x v="3"/>
    <s v="Frente justicialista pampeano"/>
    <x v="0"/>
    <n v="843"/>
  </r>
  <r>
    <x v="1"/>
    <n v="34"/>
    <x v="30"/>
    <x v="3"/>
    <s v="Cambiemos - FREPAM"/>
    <x v="2"/>
    <n v="707"/>
  </r>
  <r>
    <x v="1"/>
    <n v="34"/>
    <x v="30"/>
    <x v="3"/>
    <s v="Blanco"/>
    <x v="3"/>
    <n v="35"/>
  </r>
  <r>
    <x v="1"/>
    <n v="34"/>
    <x v="30"/>
    <x v="3"/>
    <s v="Comunidad organizada"/>
    <x v="1"/>
    <n v="27"/>
  </r>
  <r>
    <x v="1"/>
    <n v="34"/>
    <x v="30"/>
    <x v="3"/>
    <s v="Pueblo Nuevo"/>
    <x v="1"/>
    <n v="6"/>
  </r>
  <r>
    <x v="1"/>
    <n v="34"/>
    <x v="30"/>
    <x v="3"/>
    <s v="Partido socialista"/>
    <x v="1"/>
    <n v="5"/>
  </r>
  <r>
    <x v="1"/>
    <n v="34"/>
    <x v="30"/>
    <x v="3"/>
    <s v="Frente popular pampeano "/>
    <x v="1"/>
    <n v="5"/>
  </r>
  <r>
    <x v="1"/>
    <n v="34"/>
    <x v="30"/>
    <x v="3"/>
    <s v="Desde el pie "/>
    <x v="1"/>
    <n v="3"/>
  </r>
  <r>
    <x v="1"/>
    <n v="34"/>
    <x v="30"/>
    <x v="3"/>
    <s v="Movimiento socialista de los trabajadores"/>
    <x v="1"/>
    <n v="3"/>
  </r>
  <r>
    <x v="1"/>
    <n v="35"/>
    <x v="31"/>
    <x v="1"/>
    <s v="Cambiemos - FREPAM"/>
    <x v="2"/>
    <n v="661"/>
  </r>
  <r>
    <x v="1"/>
    <n v="35"/>
    <x v="31"/>
    <x v="1"/>
    <s v="Frente justicialista pampeano"/>
    <x v="0"/>
    <n v="171"/>
  </r>
  <r>
    <x v="1"/>
    <n v="35"/>
    <x v="31"/>
    <x v="1"/>
    <s v="Blanco"/>
    <x v="3"/>
    <n v="18"/>
  </r>
  <r>
    <x v="1"/>
    <n v="35"/>
    <x v="31"/>
    <x v="1"/>
    <s v="Nulo"/>
    <x v="3"/>
    <n v="2"/>
  </r>
  <r>
    <x v="1"/>
    <n v="35"/>
    <x v="31"/>
    <x v="2"/>
    <s v="Cambiemos - FREPAM"/>
    <x v="2"/>
    <n v="523"/>
  </r>
  <r>
    <x v="1"/>
    <n v="35"/>
    <x v="31"/>
    <x v="2"/>
    <s v="Frente justicialista pampeano"/>
    <x v="0"/>
    <n v="243"/>
  </r>
  <r>
    <x v="1"/>
    <n v="35"/>
    <x v="31"/>
    <x v="2"/>
    <s v="Blanco"/>
    <x v="3"/>
    <n v="58"/>
  </r>
  <r>
    <x v="1"/>
    <n v="35"/>
    <x v="31"/>
    <x v="2"/>
    <s v="Comunidad organizada"/>
    <x v="1"/>
    <n v="11"/>
  </r>
  <r>
    <x v="1"/>
    <n v="35"/>
    <x v="31"/>
    <x v="2"/>
    <s v="Partido socialista"/>
    <x v="1"/>
    <n v="9"/>
  </r>
  <r>
    <x v="1"/>
    <n v="35"/>
    <x v="31"/>
    <x v="2"/>
    <s v="Nulo"/>
    <x v="3"/>
    <n v="6"/>
  </r>
  <r>
    <x v="1"/>
    <n v="35"/>
    <x v="31"/>
    <x v="2"/>
    <s v="Desde el pie "/>
    <x v="1"/>
    <n v="1"/>
  </r>
  <r>
    <x v="1"/>
    <n v="35"/>
    <x v="31"/>
    <x v="2"/>
    <s v="Movimiento socialista de los trabajadores"/>
    <x v="1"/>
    <n v="1"/>
  </r>
  <r>
    <x v="1"/>
    <n v="35"/>
    <x v="31"/>
    <x v="3"/>
    <s v="Cambiemos - FREPAM"/>
    <x v="2"/>
    <n v="517"/>
  </r>
  <r>
    <x v="1"/>
    <n v="35"/>
    <x v="31"/>
    <x v="3"/>
    <s v="Frente justicialista pampeano"/>
    <x v="0"/>
    <n v="277"/>
  </r>
  <r>
    <x v="1"/>
    <n v="35"/>
    <x v="31"/>
    <x v="3"/>
    <s v="Blanco"/>
    <x v="3"/>
    <n v="31"/>
  </r>
  <r>
    <x v="1"/>
    <n v="35"/>
    <x v="31"/>
    <x v="3"/>
    <s v="Comunidad organizada"/>
    <x v="1"/>
    <n v="15"/>
  </r>
  <r>
    <x v="1"/>
    <n v="35"/>
    <x v="31"/>
    <x v="3"/>
    <s v="Partido socialista"/>
    <x v="1"/>
    <n v="6"/>
  </r>
  <r>
    <x v="1"/>
    <n v="35"/>
    <x v="31"/>
    <x v="3"/>
    <s v="Nulo"/>
    <x v="3"/>
    <n v="4"/>
  </r>
  <r>
    <x v="1"/>
    <n v="35"/>
    <x v="31"/>
    <x v="3"/>
    <s v="Desde el pie "/>
    <x v="1"/>
    <n v="1"/>
  </r>
  <r>
    <x v="1"/>
    <n v="35"/>
    <x v="31"/>
    <x v="3"/>
    <s v="Movimiento socialista de los trabajadores"/>
    <x v="1"/>
    <n v="1"/>
  </r>
  <r>
    <x v="1"/>
    <n v="36"/>
    <x v="32"/>
    <x v="1"/>
    <s v="Cambiemos - FREPAM"/>
    <x v="2"/>
    <n v="1794"/>
  </r>
  <r>
    <x v="1"/>
    <n v="36"/>
    <x v="32"/>
    <x v="1"/>
    <s v="PJ"/>
    <x v="0"/>
    <n v="904"/>
  </r>
  <r>
    <x v="1"/>
    <n v="36"/>
    <x v="32"/>
    <x v="1"/>
    <s v="Blanco"/>
    <x v="3"/>
    <n v="193"/>
  </r>
  <r>
    <x v="1"/>
    <n v="36"/>
    <x v="32"/>
    <x v="1"/>
    <s v="Nulo"/>
    <x v="3"/>
    <n v="18"/>
  </r>
  <r>
    <x v="1"/>
    <n v="36"/>
    <x v="32"/>
    <x v="3"/>
    <s v="Cambiemos - FREPAM"/>
    <x v="2"/>
    <n v="1490"/>
  </r>
  <r>
    <x v="1"/>
    <n v="36"/>
    <x v="32"/>
    <x v="3"/>
    <s v="PJ"/>
    <x v="0"/>
    <n v="966"/>
  </r>
  <r>
    <x v="1"/>
    <n v="36"/>
    <x v="32"/>
    <x v="3"/>
    <s v="Comunidad organizada"/>
    <x v="1"/>
    <n v="221"/>
  </r>
  <r>
    <x v="1"/>
    <n v="36"/>
    <x v="32"/>
    <x v="3"/>
    <s v="Blanco"/>
    <x v="3"/>
    <n v="92"/>
  </r>
  <r>
    <x v="1"/>
    <n v="36"/>
    <x v="32"/>
    <x v="3"/>
    <s v="Pueblo Nuevo"/>
    <x v="1"/>
    <n v="68"/>
  </r>
  <r>
    <x v="1"/>
    <n v="36"/>
    <x v="32"/>
    <x v="3"/>
    <s v="Nulo"/>
    <x v="3"/>
    <n v="26"/>
  </r>
  <r>
    <x v="1"/>
    <n v="36"/>
    <x v="32"/>
    <x v="3"/>
    <s v="Partido socialista"/>
    <x v="1"/>
    <n v="18"/>
  </r>
  <r>
    <x v="1"/>
    <n v="36"/>
    <x v="32"/>
    <x v="3"/>
    <s v="Frente popular pampeano "/>
    <x v="1"/>
    <n v="13"/>
  </r>
  <r>
    <x v="1"/>
    <n v="36"/>
    <x v="32"/>
    <x v="3"/>
    <s v="Desde el pie "/>
    <x v="1"/>
    <n v="8"/>
  </r>
  <r>
    <x v="1"/>
    <n v="36"/>
    <x v="32"/>
    <x v="3"/>
    <s v="Movimiento socialista de los trabajadores"/>
    <x v="1"/>
    <n v="7"/>
  </r>
  <r>
    <x v="1"/>
    <n v="36"/>
    <x v="32"/>
    <x v="2"/>
    <s v="Cambiemos - FREPAM"/>
    <x v="2"/>
    <n v="1527"/>
  </r>
  <r>
    <x v="1"/>
    <n v="36"/>
    <x v="32"/>
    <x v="2"/>
    <s v="PJ"/>
    <x v="0"/>
    <n v="918"/>
  </r>
  <r>
    <x v="1"/>
    <n v="36"/>
    <x v="32"/>
    <x v="2"/>
    <s v="Comunidad organizada"/>
    <x v="1"/>
    <n v="174"/>
  </r>
  <r>
    <x v="1"/>
    <n v="36"/>
    <x v="32"/>
    <x v="2"/>
    <s v="Blanco"/>
    <x v="3"/>
    <n v="147"/>
  </r>
  <r>
    <x v="1"/>
    <n v="36"/>
    <x v="32"/>
    <x v="2"/>
    <s v="Pueblo Nuevo"/>
    <x v="1"/>
    <n v="73"/>
  </r>
  <r>
    <x v="1"/>
    <n v="36"/>
    <x v="32"/>
    <x v="2"/>
    <s v="Nulo"/>
    <x v="3"/>
    <n v="23"/>
  </r>
  <r>
    <x v="1"/>
    <n v="36"/>
    <x v="32"/>
    <x v="2"/>
    <s v="Partido socialista"/>
    <x v="1"/>
    <n v="19"/>
  </r>
  <r>
    <x v="1"/>
    <n v="36"/>
    <x v="32"/>
    <x v="2"/>
    <s v="Frente popular pampeano "/>
    <x v="1"/>
    <n v="12"/>
  </r>
  <r>
    <x v="1"/>
    <n v="36"/>
    <x v="32"/>
    <x v="2"/>
    <s v="Movimiento socialista de los trabajadores"/>
    <x v="1"/>
    <n v="9"/>
  </r>
  <r>
    <x v="1"/>
    <n v="36"/>
    <x v="32"/>
    <x v="2"/>
    <s v="Desde el pie "/>
    <x v="1"/>
    <n v="7"/>
  </r>
  <r>
    <x v="1"/>
    <n v="37"/>
    <x v="33"/>
    <x v="5"/>
    <s v="Frente justicialista pampeano"/>
    <x v="0"/>
    <n v="33"/>
  </r>
  <r>
    <x v="1"/>
    <n v="37"/>
    <x v="33"/>
    <x v="5"/>
    <s v="Cambiemos - FREPAM"/>
    <x v="2"/>
    <n v="14"/>
  </r>
  <r>
    <x v="1"/>
    <n v="37"/>
    <x v="33"/>
    <x v="2"/>
    <s v="Frente justicialista pampeano"/>
    <x v="0"/>
    <n v="31"/>
  </r>
  <r>
    <x v="1"/>
    <n v="37"/>
    <x v="33"/>
    <x v="2"/>
    <s v="Cambiemos - FREPAM"/>
    <x v="2"/>
    <n v="16"/>
  </r>
  <r>
    <x v="1"/>
    <n v="37"/>
    <x v="33"/>
    <x v="3"/>
    <s v="Frente justicialista pampeano"/>
    <x v="0"/>
    <n v="31"/>
  </r>
  <r>
    <x v="1"/>
    <n v="37"/>
    <x v="33"/>
    <x v="3"/>
    <s v="Cambiemos - FREPAM"/>
    <x v="2"/>
    <n v="15"/>
  </r>
  <r>
    <x v="1"/>
    <n v="37"/>
    <x v="33"/>
    <x v="3"/>
    <s v="Comunidad organizada"/>
    <x v="1"/>
    <n v="1"/>
  </r>
  <r>
    <x v="1"/>
    <n v="38"/>
    <x v="34"/>
    <x v="1"/>
    <s v="Cambiemos - FREPAM"/>
    <x v="2"/>
    <n v="269"/>
  </r>
  <r>
    <x v="1"/>
    <n v="38"/>
    <x v="34"/>
    <x v="1"/>
    <s v="Blanco"/>
    <x v="3"/>
    <n v="106"/>
  </r>
  <r>
    <x v="1"/>
    <n v="38"/>
    <x v="34"/>
    <x v="1"/>
    <s v="Nulo"/>
    <x v="3"/>
    <n v="1"/>
  </r>
  <r>
    <x v="1"/>
    <n v="38"/>
    <x v="34"/>
    <x v="2"/>
    <s v="Cambiemos - FREPAM"/>
    <x v="2"/>
    <n v="218"/>
  </r>
  <r>
    <x v="1"/>
    <n v="38"/>
    <x v="34"/>
    <x v="2"/>
    <s v="Frente justicialista pampeano"/>
    <x v="0"/>
    <n v="85"/>
  </r>
  <r>
    <x v="1"/>
    <n v="38"/>
    <x v="34"/>
    <x v="2"/>
    <s v="Comunidad organizada"/>
    <x v="1"/>
    <n v="31"/>
  </r>
  <r>
    <x v="1"/>
    <n v="38"/>
    <x v="34"/>
    <x v="2"/>
    <s v="Blanco"/>
    <x v="3"/>
    <n v="17"/>
  </r>
  <r>
    <x v="1"/>
    <n v="38"/>
    <x v="34"/>
    <x v="2"/>
    <s v="Pueblo Nuevo"/>
    <x v="1"/>
    <n v="5"/>
  </r>
  <r>
    <x v="1"/>
    <n v="38"/>
    <x v="34"/>
    <x v="2"/>
    <s v="Desde el pie "/>
    <x v="1"/>
    <n v="5"/>
  </r>
  <r>
    <x v="1"/>
    <n v="38"/>
    <x v="34"/>
    <x v="2"/>
    <s v="Frente popular pampeano "/>
    <x v="1"/>
    <n v="5"/>
  </r>
  <r>
    <x v="1"/>
    <n v="38"/>
    <x v="34"/>
    <x v="2"/>
    <s v="Partido socialista"/>
    <x v="1"/>
    <n v="4"/>
  </r>
  <r>
    <x v="1"/>
    <n v="38"/>
    <x v="34"/>
    <x v="2"/>
    <s v="Nulo"/>
    <x v="3"/>
    <n v="4"/>
  </r>
  <r>
    <x v="1"/>
    <n v="38"/>
    <x v="34"/>
    <x v="2"/>
    <s v="Movimiento socialista de los trabajadores"/>
    <x v="1"/>
    <n v="2"/>
  </r>
  <r>
    <x v="1"/>
    <n v="38"/>
    <x v="34"/>
    <x v="3"/>
    <s v="Cambiemos - FREPAM"/>
    <x v="2"/>
    <n v="213"/>
  </r>
  <r>
    <x v="1"/>
    <n v="38"/>
    <x v="34"/>
    <x v="3"/>
    <s v="Frente justicialista pampeano"/>
    <x v="0"/>
    <n v="88"/>
  </r>
  <r>
    <x v="1"/>
    <n v="38"/>
    <x v="34"/>
    <x v="3"/>
    <s v="Comunidad organizada"/>
    <x v="1"/>
    <n v="37"/>
  </r>
  <r>
    <x v="1"/>
    <n v="38"/>
    <x v="34"/>
    <x v="3"/>
    <s v="Blanco"/>
    <x v="3"/>
    <n v="13"/>
  </r>
  <r>
    <x v="1"/>
    <n v="38"/>
    <x v="34"/>
    <x v="3"/>
    <s v="Pueblo Nuevo"/>
    <x v="1"/>
    <n v="5"/>
  </r>
  <r>
    <x v="1"/>
    <n v="38"/>
    <x v="34"/>
    <x v="3"/>
    <s v="Desde el pie "/>
    <x v="1"/>
    <n v="5"/>
  </r>
  <r>
    <x v="1"/>
    <n v="38"/>
    <x v="34"/>
    <x v="3"/>
    <s v="Frente popular pampeano "/>
    <x v="1"/>
    <n v="5"/>
  </r>
  <r>
    <x v="1"/>
    <n v="38"/>
    <x v="34"/>
    <x v="3"/>
    <s v="Partido socialista"/>
    <x v="1"/>
    <n v="4"/>
  </r>
  <r>
    <x v="1"/>
    <n v="38"/>
    <x v="34"/>
    <x v="3"/>
    <s v="Nulo"/>
    <x v="3"/>
    <n v="4"/>
  </r>
  <r>
    <x v="1"/>
    <n v="38"/>
    <x v="34"/>
    <x v="3"/>
    <s v="Movimiento socialista de los trabajadores"/>
    <x v="1"/>
    <n v="2"/>
  </r>
  <r>
    <x v="1"/>
    <n v="39"/>
    <x v="35"/>
    <x v="1"/>
    <s v="Cambiemos - FREPAM"/>
    <x v="2"/>
    <n v="654"/>
  </r>
  <r>
    <x v="1"/>
    <n v="39"/>
    <x v="35"/>
    <x v="1"/>
    <s v="Frente justicialista pampeano"/>
    <x v="0"/>
    <n v="605"/>
  </r>
  <r>
    <x v="1"/>
    <n v="39"/>
    <x v="35"/>
    <x v="1"/>
    <s v="Blanco"/>
    <x v="3"/>
    <n v="33"/>
  </r>
  <r>
    <x v="1"/>
    <n v="39"/>
    <x v="35"/>
    <x v="1"/>
    <s v="Nulo"/>
    <x v="3"/>
    <n v="4"/>
  </r>
  <r>
    <x v="1"/>
    <n v="39"/>
    <x v="35"/>
    <x v="2"/>
    <s v="Frente justicialista pampeano"/>
    <x v="0"/>
    <n v="655"/>
  </r>
  <r>
    <x v="1"/>
    <n v="39"/>
    <x v="35"/>
    <x v="2"/>
    <s v="Cambiemos - FREPAM"/>
    <x v="2"/>
    <n v="536"/>
  </r>
  <r>
    <x v="1"/>
    <n v="39"/>
    <x v="35"/>
    <x v="2"/>
    <s v="Blanco"/>
    <x v="3"/>
    <n v="69"/>
  </r>
  <r>
    <x v="1"/>
    <n v="39"/>
    <x v="35"/>
    <x v="2"/>
    <s v="Partido socialista"/>
    <x v="1"/>
    <n v="14"/>
  </r>
  <r>
    <x v="1"/>
    <n v="39"/>
    <x v="35"/>
    <x v="2"/>
    <s v="Comunidad organizada"/>
    <x v="1"/>
    <n v="10"/>
  </r>
  <r>
    <x v="1"/>
    <n v="39"/>
    <x v="35"/>
    <x v="2"/>
    <s v="Nulo"/>
    <x v="3"/>
    <n v="5"/>
  </r>
  <r>
    <x v="1"/>
    <n v="39"/>
    <x v="35"/>
    <x v="2"/>
    <s v="Movimiento socialista de los trabajadores"/>
    <x v="1"/>
    <n v="3"/>
  </r>
  <r>
    <x v="1"/>
    <n v="39"/>
    <x v="35"/>
    <x v="2"/>
    <s v="Pueblo Nuevo"/>
    <x v="1"/>
    <n v="2"/>
  </r>
  <r>
    <x v="1"/>
    <n v="39"/>
    <x v="35"/>
    <x v="2"/>
    <s v="Frente popular pampeano "/>
    <x v="1"/>
    <n v="2"/>
  </r>
  <r>
    <x v="1"/>
    <n v="39"/>
    <x v="35"/>
    <x v="3"/>
    <s v="Frente justicialista pampeano"/>
    <x v="0"/>
    <n v="688"/>
  </r>
  <r>
    <x v="1"/>
    <n v="39"/>
    <x v="35"/>
    <x v="3"/>
    <s v="Cambiemos - FREPAM"/>
    <x v="2"/>
    <n v="517"/>
  </r>
  <r>
    <x v="1"/>
    <n v="39"/>
    <x v="35"/>
    <x v="3"/>
    <s v="Blanco"/>
    <x v="3"/>
    <n v="51"/>
  </r>
  <r>
    <x v="1"/>
    <n v="39"/>
    <x v="35"/>
    <x v="3"/>
    <s v="Partido socialista"/>
    <x v="1"/>
    <n v="15"/>
  </r>
  <r>
    <x v="1"/>
    <n v="39"/>
    <x v="35"/>
    <x v="3"/>
    <s v="Comunidad organizada"/>
    <x v="1"/>
    <n v="13"/>
  </r>
  <r>
    <x v="1"/>
    <n v="39"/>
    <x v="35"/>
    <x v="3"/>
    <s v="Nulo"/>
    <x v="3"/>
    <n v="7"/>
  </r>
  <r>
    <x v="1"/>
    <n v="39"/>
    <x v="35"/>
    <x v="3"/>
    <s v="Frente popular pampeano "/>
    <x v="1"/>
    <n v="2"/>
  </r>
  <r>
    <x v="1"/>
    <n v="39"/>
    <x v="35"/>
    <x v="3"/>
    <s v="Movimiento socialista de los trabajadores"/>
    <x v="1"/>
    <n v="2"/>
  </r>
  <r>
    <x v="1"/>
    <n v="39"/>
    <x v="35"/>
    <x v="3"/>
    <s v="Pueblo Nuevo"/>
    <x v="1"/>
    <n v="1"/>
  </r>
  <r>
    <x v="1"/>
    <s v="39 A"/>
    <x v="36"/>
    <x v="1"/>
    <s v="Frente justicialista pampeano"/>
    <x v="0"/>
    <n v="219"/>
  </r>
  <r>
    <x v="1"/>
    <s v="39 A"/>
    <x v="36"/>
    <x v="1"/>
    <s v="Cambiemos - FREPAM"/>
    <x v="2"/>
    <n v="98"/>
  </r>
  <r>
    <x v="1"/>
    <s v="39 A"/>
    <x v="36"/>
    <x v="1"/>
    <s v="Nulo"/>
    <x v="3"/>
    <n v="9"/>
  </r>
  <r>
    <x v="1"/>
    <s v="39 A"/>
    <x v="36"/>
    <x v="1"/>
    <s v="Blanco"/>
    <x v="3"/>
    <n v="7"/>
  </r>
  <r>
    <x v="1"/>
    <s v="40 A"/>
    <x v="36"/>
    <x v="2"/>
    <s v="Frente justicialista pampeano"/>
    <x v="0"/>
    <n v="197"/>
  </r>
  <r>
    <x v="1"/>
    <s v="41 A"/>
    <x v="36"/>
    <x v="2"/>
    <s v="Cambiemos - FREPAM"/>
    <x v="2"/>
    <n v="117"/>
  </r>
  <r>
    <x v="1"/>
    <s v="42 A"/>
    <x v="36"/>
    <x v="2"/>
    <s v="Nulo"/>
    <x v="3"/>
    <n v="9"/>
  </r>
  <r>
    <x v="1"/>
    <s v="43 A"/>
    <x v="36"/>
    <x v="2"/>
    <s v="Blanco"/>
    <x v="3"/>
    <n v="6"/>
  </r>
  <r>
    <x v="1"/>
    <s v="44 A"/>
    <x v="36"/>
    <x v="2"/>
    <s v="Frente popular pampeano "/>
    <x v="1"/>
    <n v="1"/>
  </r>
  <r>
    <x v="1"/>
    <s v="45 A"/>
    <x v="36"/>
    <x v="2"/>
    <s v="Movimiento socialista de los trabajadores"/>
    <x v="1"/>
    <n v="1"/>
  </r>
  <r>
    <x v="1"/>
    <s v="46 A"/>
    <x v="36"/>
    <x v="2"/>
    <s v="Comunidad organizada"/>
    <x v="1"/>
    <n v="1"/>
  </r>
  <r>
    <x v="1"/>
    <s v="47 A"/>
    <x v="36"/>
    <x v="2"/>
    <s v="Partido socialista"/>
    <x v="1"/>
    <n v="1"/>
  </r>
  <r>
    <x v="1"/>
    <s v="48 A"/>
    <x v="36"/>
    <x v="3"/>
    <s v="Frente justicialista pampeano"/>
    <x v="0"/>
    <n v="197"/>
  </r>
  <r>
    <x v="1"/>
    <s v="49 A"/>
    <x v="36"/>
    <x v="3"/>
    <s v="Cambiemos - FREPAM"/>
    <x v="2"/>
    <n v="118"/>
  </r>
  <r>
    <x v="1"/>
    <s v="50 A"/>
    <x v="36"/>
    <x v="3"/>
    <s v="Nulo"/>
    <x v="3"/>
    <n v="9"/>
  </r>
  <r>
    <x v="1"/>
    <s v="51 A"/>
    <x v="36"/>
    <x v="3"/>
    <s v="Blanco"/>
    <x v="3"/>
    <n v="4"/>
  </r>
  <r>
    <x v="1"/>
    <s v="39 A"/>
    <x v="36"/>
    <x v="3"/>
    <s v="Comunidad organizada"/>
    <x v="1"/>
    <n v="2"/>
  </r>
  <r>
    <x v="1"/>
    <s v="39 A"/>
    <x v="36"/>
    <x v="3"/>
    <s v="Frente popular pampeano "/>
    <x v="1"/>
    <n v="1"/>
  </r>
  <r>
    <x v="1"/>
    <s v="39 A"/>
    <x v="36"/>
    <x v="3"/>
    <s v="Movimiento socialista de los trabajadores"/>
    <x v="1"/>
    <n v="1"/>
  </r>
  <r>
    <x v="1"/>
    <s v="39 A"/>
    <x v="36"/>
    <x v="3"/>
    <s v="Partido socialista"/>
    <x v="1"/>
    <n v="1"/>
  </r>
  <r>
    <x v="1"/>
    <n v="40"/>
    <x v="37"/>
    <x v="1"/>
    <s v="Cambiemos - FREPAM"/>
    <x v="2"/>
    <n v="1198"/>
  </r>
  <r>
    <x v="1"/>
    <n v="40"/>
    <x v="37"/>
    <x v="1"/>
    <s v="Frente justicialista pampeano"/>
    <x v="0"/>
    <n v="786"/>
  </r>
  <r>
    <x v="1"/>
    <n v="40"/>
    <x v="37"/>
    <x v="1"/>
    <s v="Blanco"/>
    <x v="3"/>
    <n v="58"/>
  </r>
  <r>
    <x v="1"/>
    <n v="40"/>
    <x v="37"/>
    <x v="1"/>
    <s v="Nulo"/>
    <x v="3"/>
    <n v="7"/>
  </r>
  <r>
    <x v="1"/>
    <n v="40"/>
    <x v="37"/>
    <x v="2"/>
    <s v="Cambiemos - FREPAM"/>
    <x v="2"/>
    <n v="1088"/>
  </r>
  <r>
    <x v="1"/>
    <n v="40"/>
    <x v="37"/>
    <x v="2"/>
    <s v="Frente justicialista pampeano"/>
    <x v="0"/>
    <n v="828"/>
  </r>
  <r>
    <x v="1"/>
    <n v="40"/>
    <x v="37"/>
    <x v="2"/>
    <s v="Blanco"/>
    <x v="3"/>
    <n v="90"/>
  </r>
  <r>
    <x v="1"/>
    <n v="40"/>
    <x v="37"/>
    <x v="2"/>
    <s v="Nulo"/>
    <x v="3"/>
    <n v="13"/>
  </r>
  <r>
    <x v="1"/>
    <n v="40"/>
    <x v="37"/>
    <x v="2"/>
    <s v="Comunidad organizada"/>
    <x v="1"/>
    <n v="9"/>
  </r>
  <r>
    <x v="1"/>
    <n v="40"/>
    <x v="37"/>
    <x v="2"/>
    <s v="Frente popular pampeano "/>
    <x v="1"/>
    <n v="5"/>
  </r>
  <r>
    <x v="1"/>
    <n v="40"/>
    <x v="37"/>
    <x v="2"/>
    <s v="Pueblo Nuevo"/>
    <x v="1"/>
    <n v="5"/>
  </r>
  <r>
    <x v="1"/>
    <n v="40"/>
    <x v="37"/>
    <x v="2"/>
    <s v="Partido socialista"/>
    <x v="1"/>
    <n v="5"/>
  </r>
  <r>
    <x v="1"/>
    <n v="40"/>
    <x v="37"/>
    <x v="2"/>
    <s v="Movimiento socialista de los trabajadores"/>
    <x v="1"/>
    <n v="4"/>
  </r>
  <r>
    <x v="1"/>
    <n v="40"/>
    <x v="37"/>
    <x v="2"/>
    <s v="Desde el pie "/>
    <x v="1"/>
    <n v="2"/>
  </r>
  <r>
    <x v="1"/>
    <n v="40"/>
    <x v="37"/>
    <x v="3"/>
    <s v="Cambiemos - FREPAM"/>
    <x v="2"/>
    <n v="1083"/>
  </r>
  <r>
    <x v="1"/>
    <n v="40"/>
    <x v="37"/>
    <x v="3"/>
    <s v="Frente justicialista pampeano"/>
    <x v="0"/>
    <n v="844"/>
  </r>
  <r>
    <x v="1"/>
    <n v="40"/>
    <x v="37"/>
    <x v="3"/>
    <s v="Blanco"/>
    <x v="3"/>
    <n v="67"/>
  </r>
  <r>
    <x v="1"/>
    <n v="40"/>
    <x v="37"/>
    <x v="3"/>
    <s v="Comunidad organizada"/>
    <x v="1"/>
    <n v="19"/>
  </r>
  <r>
    <x v="1"/>
    <n v="40"/>
    <x v="37"/>
    <x v="3"/>
    <s v="Nulo"/>
    <x v="3"/>
    <n v="14"/>
  </r>
  <r>
    <x v="1"/>
    <n v="40"/>
    <x v="37"/>
    <x v="3"/>
    <s v="Pueblo Nuevo"/>
    <x v="1"/>
    <n v="7"/>
  </r>
  <r>
    <x v="1"/>
    <n v="40"/>
    <x v="37"/>
    <x v="3"/>
    <s v="Partido socialista"/>
    <x v="1"/>
    <n v="5"/>
  </r>
  <r>
    <x v="1"/>
    <n v="40"/>
    <x v="37"/>
    <x v="3"/>
    <s v="Frente popular pampeano "/>
    <x v="1"/>
    <n v="5"/>
  </r>
  <r>
    <x v="1"/>
    <n v="40"/>
    <x v="37"/>
    <x v="3"/>
    <s v="Movimiento socialista de los trabajadores"/>
    <x v="1"/>
    <n v="3"/>
  </r>
  <r>
    <x v="1"/>
    <n v="40"/>
    <x v="37"/>
    <x v="3"/>
    <s v="Desde el pie "/>
    <x v="1"/>
    <n v="2"/>
  </r>
  <r>
    <x v="1"/>
    <n v="42"/>
    <x v="38"/>
    <x v="1"/>
    <s v="Frente justicialista pampeano"/>
    <x v="0"/>
    <n v="1111"/>
  </r>
  <r>
    <x v="1"/>
    <n v="42"/>
    <x v="38"/>
    <x v="1"/>
    <s v="Cambiemos - FREPAM"/>
    <x v="2"/>
    <n v="617"/>
  </r>
  <r>
    <x v="1"/>
    <n v="42"/>
    <x v="38"/>
    <x v="1"/>
    <s v="Blanco"/>
    <x v="3"/>
    <n v="81"/>
  </r>
  <r>
    <x v="1"/>
    <n v="42"/>
    <x v="38"/>
    <x v="1"/>
    <s v="Nulo"/>
    <x v="3"/>
    <n v="13"/>
  </r>
  <r>
    <x v="1"/>
    <n v="42"/>
    <x v="38"/>
    <x v="2"/>
    <s v="Frente justicialista pampeano"/>
    <x v="0"/>
    <n v="1027"/>
  </r>
  <r>
    <x v="1"/>
    <n v="42"/>
    <x v="38"/>
    <x v="2"/>
    <s v="Cambiemos - FREPAM"/>
    <x v="2"/>
    <n v="594"/>
  </r>
  <r>
    <x v="1"/>
    <n v="42"/>
    <x v="38"/>
    <x v="2"/>
    <s v="Blanco"/>
    <x v="3"/>
    <n v="99"/>
  </r>
  <r>
    <x v="1"/>
    <n v="42"/>
    <x v="38"/>
    <x v="2"/>
    <s v="Comunidad organizada"/>
    <x v="1"/>
    <n v="45"/>
  </r>
  <r>
    <x v="1"/>
    <n v="42"/>
    <x v="38"/>
    <x v="2"/>
    <s v="Partido socialista"/>
    <x v="1"/>
    <n v="17"/>
  </r>
  <r>
    <x v="1"/>
    <n v="42"/>
    <x v="38"/>
    <x v="2"/>
    <s v="Nulo"/>
    <x v="3"/>
    <n v="14"/>
  </r>
  <r>
    <x v="1"/>
    <n v="42"/>
    <x v="38"/>
    <x v="2"/>
    <s v="Pueblo Nuevo"/>
    <x v="1"/>
    <n v="8"/>
  </r>
  <r>
    <x v="1"/>
    <n v="42"/>
    <x v="38"/>
    <x v="2"/>
    <s v="Movimiento socialista de los trabajadores"/>
    <x v="1"/>
    <n v="8"/>
  </r>
  <r>
    <x v="1"/>
    <n v="42"/>
    <x v="38"/>
    <x v="2"/>
    <s v="Frente popular pampeano "/>
    <x v="1"/>
    <n v="7"/>
  </r>
  <r>
    <x v="1"/>
    <n v="42"/>
    <x v="38"/>
    <x v="2"/>
    <s v="Desde el pie "/>
    <x v="1"/>
    <n v="3"/>
  </r>
  <r>
    <x v="1"/>
    <n v="42"/>
    <x v="38"/>
    <x v="3"/>
    <s v="Frente justicialista pampeano"/>
    <x v="0"/>
    <n v="1051"/>
  </r>
  <r>
    <x v="1"/>
    <n v="42"/>
    <x v="38"/>
    <x v="3"/>
    <s v="Cambiemos - FREPAM"/>
    <x v="2"/>
    <n v="599"/>
  </r>
  <r>
    <x v="1"/>
    <n v="42"/>
    <x v="38"/>
    <x v="3"/>
    <s v="Blanco"/>
    <x v="3"/>
    <n v="66"/>
  </r>
  <r>
    <x v="1"/>
    <n v="42"/>
    <x v="38"/>
    <x v="3"/>
    <s v="Comunidad organizada"/>
    <x v="1"/>
    <n v="51"/>
  </r>
  <r>
    <x v="1"/>
    <n v="42"/>
    <x v="38"/>
    <x v="3"/>
    <s v="Partido socialista"/>
    <x v="1"/>
    <n v="16"/>
  </r>
  <r>
    <x v="1"/>
    <n v="42"/>
    <x v="38"/>
    <x v="3"/>
    <s v="Nulo"/>
    <x v="3"/>
    <n v="15"/>
  </r>
  <r>
    <x v="1"/>
    <n v="42"/>
    <x v="38"/>
    <x v="3"/>
    <s v="Movimiento socialista de los trabajadores"/>
    <x v="1"/>
    <n v="8"/>
  </r>
  <r>
    <x v="1"/>
    <n v="42"/>
    <x v="38"/>
    <x v="3"/>
    <s v="Frente popular pampeano "/>
    <x v="1"/>
    <n v="7"/>
  </r>
  <r>
    <x v="1"/>
    <n v="42"/>
    <x v="38"/>
    <x v="3"/>
    <s v="Pueblo Nuevo"/>
    <x v="1"/>
    <n v="6"/>
  </r>
  <r>
    <x v="1"/>
    <n v="42"/>
    <x v="38"/>
    <x v="3"/>
    <s v="Desde el pie "/>
    <x v="1"/>
    <n v="3"/>
  </r>
  <r>
    <x v="1"/>
    <n v="43"/>
    <x v="39"/>
    <x v="1"/>
    <s v="Frente justicialista pampeano"/>
    <x v="0"/>
    <n v="214"/>
  </r>
  <r>
    <x v="1"/>
    <n v="43"/>
    <x v="39"/>
    <x v="1"/>
    <s v="Comunidad organizada"/>
    <x v="1"/>
    <n v="71"/>
  </r>
  <r>
    <x v="1"/>
    <n v="43"/>
    <x v="39"/>
    <x v="1"/>
    <s v="Blanco"/>
    <x v="3"/>
    <n v="1"/>
  </r>
  <r>
    <x v="1"/>
    <n v="43"/>
    <x v="39"/>
    <x v="2"/>
    <s v="Frente justicialista pampeano"/>
    <x v="0"/>
    <n v="182"/>
  </r>
  <r>
    <x v="1"/>
    <n v="43"/>
    <x v="39"/>
    <x v="2"/>
    <s v="Comunidad organizada"/>
    <x v="1"/>
    <n v="54"/>
  </r>
  <r>
    <x v="1"/>
    <n v="43"/>
    <x v="39"/>
    <x v="2"/>
    <s v="Cambiemos - FREPAM"/>
    <x v="2"/>
    <n v="32"/>
  </r>
  <r>
    <x v="1"/>
    <n v="43"/>
    <x v="39"/>
    <x v="2"/>
    <s v="Partido socialista"/>
    <x v="1"/>
    <n v="11"/>
  </r>
  <r>
    <x v="1"/>
    <n v="43"/>
    <x v="39"/>
    <x v="2"/>
    <s v="Blanco"/>
    <x v="3"/>
    <n v="7"/>
  </r>
  <r>
    <x v="1"/>
    <n v="43"/>
    <x v="39"/>
    <x v="3"/>
    <s v="Frente justicialista pampeano"/>
    <x v="0"/>
    <n v="183"/>
  </r>
  <r>
    <x v="1"/>
    <n v="43"/>
    <x v="39"/>
    <x v="3"/>
    <s v="Comunidad organizada"/>
    <x v="1"/>
    <n v="54"/>
  </r>
  <r>
    <x v="1"/>
    <n v="43"/>
    <x v="39"/>
    <x v="3"/>
    <s v="Cambiemos - FREPAM"/>
    <x v="2"/>
    <n v="35"/>
  </r>
  <r>
    <x v="1"/>
    <n v="43"/>
    <x v="39"/>
    <x v="3"/>
    <s v="Partido socialista"/>
    <x v="1"/>
    <n v="11"/>
  </r>
  <r>
    <x v="1"/>
    <n v="43"/>
    <x v="39"/>
    <x v="3"/>
    <s v="Blanco"/>
    <x v="3"/>
    <n v="3"/>
  </r>
  <r>
    <x v="1"/>
    <n v="45"/>
    <x v="40"/>
    <x v="5"/>
    <s v="Frente justicialista pampeano"/>
    <x v="0"/>
    <n v="94"/>
  </r>
  <r>
    <x v="1"/>
    <n v="45"/>
    <x v="40"/>
    <x v="5"/>
    <s v="Blanco"/>
    <x v="3"/>
    <n v="8"/>
  </r>
  <r>
    <x v="1"/>
    <n v="45"/>
    <x v="40"/>
    <x v="2"/>
    <s v="Frente justicialista pampeano"/>
    <x v="0"/>
    <n v="85"/>
  </r>
  <r>
    <x v="1"/>
    <n v="45"/>
    <x v="40"/>
    <x v="2"/>
    <s v="Cambiemos - FREPAM"/>
    <x v="2"/>
    <n v="9"/>
  </r>
  <r>
    <x v="1"/>
    <n v="45"/>
    <x v="40"/>
    <x v="2"/>
    <s v="Partido socialista"/>
    <x v="1"/>
    <n v="4"/>
  </r>
  <r>
    <x v="1"/>
    <n v="45"/>
    <x v="40"/>
    <x v="2"/>
    <s v="Blanco"/>
    <x v="3"/>
    <n v="4"/>
  </r>
  <r>
    <x v="1"/>
    <n v="45"/>
    <x v="40"/>
    <x v="3"/>
    <s v="Frente justicialista pampeano"/>
    <x v="0"/>
    <n v="85"/>
  </r>
  <r>
    <x v="1"/>
    <n v="45"/>
    <x v="40"/>
    <x v="3"/>
    <s v="Cambiemos - FREPAM"/>
    <x v="2"/>
    <n v="11"/>
  </r>
  <r>
    <x v="1"/>
    <n v="45"/>
    <x v="40"/>
    <x v="3"/>
    <s v="Blanco"/>
    <x v="3"/>
    <n v="3"/>
  </r>
  <r>
    <x v="1"/>
    <n v="45"/>
    <x v="40"/>
    <x v="3"/>
    <s v="Partido socialista"/>
    <x v="1"/>
    <n v="2"/>
  </r>
  <r>
    <x v="1"/>
    <n v="45"/>
    <x v="40"/>
    <x v="3"/>
    <s v="Comunidad organizada"/>
    <x v="1"/>
    <n v="1"/>
  </r>
  <r>
    <x v="1"/>
    <n v="46"/>
    <x v="41"/>
    <x v="1"/>
    <s v="Frente justicialista pampeano"/>
    <x v="0"/>
    <n v="327"/>
  </r>
  <r>
    <x v="1"/>
    <n v="46"/>
    <x v="41"/>
    <x v="1"/>
    <s v="Blanco"/>
    <x v="3"/>
    <n v="199"/>
  </r>
  <r>
    <x v="1"/>
    <n v="46"/>
    <x v="41"/>
    <x v="1"/>
    <s v="Nulo"/>
    <x v="3"/>
    <n v="1"/>
  </r>
  <r>
    <x v="1"/>
    <n v="46"/>
    <x v="41"/>
    <x v="2"/>
    <s v="Frente justicialista pampeano"/>
    <x v="0"/>
    <n v="318"/>
  </r>
  <r>
    <x v="1"/>
    <n v="46"/>
    <x v="41"/>
    <x v="2"/>
    <s v="Cambiemos - FREPAM"/>
    <x v="2"/>
    <n v="146"/>
  </r>
  <r>
    <x v="1"/>
    <n v="46"/>
    <x v="41"/>
    <x v="2"/>
    <s v="Blanco"/>
    <x v="3"/>
    <n v="25"/>
  </r>
  <r>
    <x v="1"/>
    <n v="46"/>
    <x v="41"/>
    <x v="2"/>
    <s v="Comunidad organizada"/>
    <x v="1"/>
    <n v="12"/>
  </r>
  <r>
    <x v="1"/>
    <n v="46"/>
    <x v="41"/>
    <x v="2"/>
    <s v="Frente popular pampeano "/>
    <x v="1"/>
    <n v="9"/>
  </r>
  <r>
    <x v="1"/>
    <n v="46"/>
    <x v="41"/>
    <x v="2"/>
    <s v="Partido socialista"/>
    <x v="1"/>
    <n v="6"/>
  </r>
  <r>
    <x v="1"/>
    <n v="46"/>
    <x v="41"/>
    <x v="2"/>
    <s v="Nulo"/>
    <x v="3"/>
    <n v="5"/>
  </r>
  <r>
    <x v="1"/>
    <n v="46"/>
    <x v="41"/>
    <x v="2"/>
    <s v="Pueblo Nuevo"/>
    <x v="1"/>
    <n v="3"/>
  </r>
  <r>
    <x v="1"/>
    <n v="46"/>
    <x v="41"/>
    <x v="2"/>
    <s v="Movimiento socialista de los trabajadores"/>
    <x v="1"/>
    <n v="2"/>
  </r>
  <r>
    <x v="1"/>
    <n v="46"/>
    <x v="41"/>
    <x v="2"/>
    <s v="Desde el pie "/>
    <x v="1"/>
    <n v="1"/>
  </r>
  <r>
    <x v="1"/>
    <n v="46"/>
    <x v="41"/>
    <x v="3"/>
    <s v="Frente justicialista pampeano"/>
    <x v="0"/>
    <n v="333"/>
  </r>
  <r>
    <x v="1"/>
    <n v="46"/>
    <x v="41"/>
    <x v="3"/>
    <s v="Cambiemos - FREPAM"/>
    <x v="2"/>
    <n v="143"/>
  </r>
  <r>
    <x v="1"/>
    <n v="46"/>
    <x v="41"/>
    <x v="3"/>
    <s v="Comunidad organizada"/>
    <x v="1"/>
    <n v="14"/>
  </r>
  <r>
    <x v="1"/>
    <n v="46"/>
    <x v="41"/>
    <x v="3"/>
    <s v="Blanco"/>
    <x v="3"/>
    <n v="13"/>
  </r>
  <r>
    <x v="1"/>
    <n v="46"/>
    <x v="41"/>
    <x v="3"/>
    <s v="Frente popular pampeano "/>
    <x v="1"/>
    <n v="7"/>
  </r>
  <r>
    <x v="1"/>
    <n v="46"/>
    <x v="41"/>
    <x v="3"/>
    <s v="Partido socialista"/>
    <x v="1"/>
    <n v="6"/>
  </r>
  <r>
    <x v="1"/>
    <n v="46"/>
    <x v="41"/>
    <x v="3"/>
    <s v="Nulo"/>
    <x v="3"/>
    <n v="5"/>
  </r>
  <r>
    <x v="1"/>
    <n v="46"/>
    <x v="41"/>
    <x v="3"/>
    <s v="Pueblo Nuevo"/>
    <x v="1"/>
    <n v="3"/>
  </r>
  <r>
    <x v="1"/>
    <n v="46"/>
    <x v="41"/>
    <x v="3"/>
    <s v="Movimiento socialista de los trabajadores"/>
    <x v="1"/>
    <n v="2"/>
  </r>
  <r>
    <x v="1"/>
    <n v="46"/>
    <x v="41"/>
    <x v="3"/>
    <s v="Desde el pie "/>
    <x v="1"/>
    <n v="1"/>
  </r>
  <r>
    <x v="1"/>
    <n v="47"/>
    <x v="42"/>
    <x v="1"/>
    <s v="Frente justicialista pampeano"/>
    <x v="0"/>
    <n v="680"/>
  </r>
  <r>
    <x v="1"/>
    <n v="47"/>
    <x v="42"/>
    <x v="1"/>
    <s v="Cambiemos - FREPAM"/>
    <x v="2"/>
    <n v="290"/>
  </r>
  <r>
    <x v="1"/>
    <n v="47"/>
    <x v="42"/>
    <x v="1"/>
    <s v="Blanco"/>
    <x v="3"/>
    <n v="53"/>
  </r>
  <r>
    <x v="1"/>
    <n v="47"/>
    <x v="42"/>
    <x v="1"/>
    <s v="Nulo"/>
    <x v="3"/>
    <n v="6"/>
  </r>
  <r>
    <x v="1"/>
    <n v="47"/>
    <x v="42"/>
    <x v="2"/>
    <s v="Frente justicialista pampeano"/>
    <x v="0"/>
    <n v="643"/>
  </r>
  <r>
    <x v="1"/>
    <n v="47"/>
    <x v="42"/>
    <x v="2"/>
    <s v="Cambiemos - FREPAM"/>
    <x v="2"/>
    <n v="270"/>
  </r>
  <r>
    <x v="1"/>
    <n v="47"/>
    <x v="42"/>
    <x v="2"/>
    <s v="Blanco"/>
    <x v="3"/>
    <n v="61"/>
  </r>
  <r>
    <x v="1"/>
    <n v="47"/>
    <x v="42"/>
    <x v="2"/>
    <s v="Comunidad organizada"/>
    <x v="1"/>
    <n v="24"/>
  </r>
  <r>
    <x v="1"/>
    <n v="47"/>
    <x v="42"/>
    <x v="2"/>
    <s v="Nulo"/>
    <x v="3"/>
    <n v="10"/>
  </r>
  <r>
    <x v="1"/>
    <n v="47"/>
    <x v="42"/>
    <x v="2"/>
    <s v="Pueblo Nuevo"/>
    <x v="1"/>
    <n v="8"/>
  </r>
  <r>
    <x v="1"/>
    <n v="47"/>
    <x v="42"/>
    <x v="2"/>
    <s v="Frente popular pampeano "/>
    <x v="1"/>
    <n v="4"/>
  </r>
  <r>
    <x v="1"/>
    <n v="47"/>
    <x v="42"/>
    <x v="2"/>
    <s v="Partido socialista"/>
    <x v="1"/>
    <n v="4"/>
  </r>
  <r>
    <x v="1"/>
    <n v="47"/>
    <x v="42"/>
    <x v="2"/>
    <s v="Movimiento socialista de los trabajadores"/>
    <x v="1"/>
    <n v="3"/>
  </r>
  <r>
    <x v="1"/>
    <n v="47"/>
    <x v="42"/>
    <x v="2"/>
    <s v="Desde el pie "/>
    <x v="1"/>
    <n v="2"/>
  </r>
  <r>
    <x v="1"/>
    <n v="47"/>
    <x v="42"/>
    <x v="3"/>
    <s v="Frente justicialista pampeano"/>
    <x v="0"/>
    <n v="661"/>
  </r>
  <r>
    <x v="1"/>
    <n v="47"/>
    <x v="42"/>
    <x v="3"/>
    <s v="Cambiemos - FREPAM"/>
    <x v="2"/>
    <n v="275"/>
  </r>
  <r>
    <x v="1"/>
    <n v="47"/>
    <x v="42"/>
    <x v="3"/>
    <s v="Blanco"/>
    <x v="3"/>
    <n v="43"/>
  </r>
  <r>
    <x v="1"/>
    <n v="47"/>
    <x v="42"/>
    <x v="3"/>
    <s v="Comunidad organizada"/>
    <x v="1"/>
    <n v="25"/>
  </r>
  <r>
    <x v="1"/>
    <n v="47"/>
    <x v="42"/>
    <x v="3"/>
    <s v="Nulo"/>
    <x v="3"/>
    <n v="8"/>
  </r>
  <r>
    <x v="1"/>
    <n v="47"/>
    <x v="42"/>
    <x v="3"/>
    <s v="Pueblo Nuevo"/>
    <x v="1"/>
    <n v="7"/>
  </r>
  <r>
    <x v="1"/>
    <n v="47"/>
    <x v="42"/>
    <x v="3"/>
    <s v="Partido socialista"/>
    <x v="1"/>
    <n v="3"/>
  </r>
  <r>
    <x v="1"/>
    <n v="47"/>
    <x v="42"/>
    <x v="3"/>
    <s v="Desde el pie "/>
    <x v="1"/>
    <n v="3"/>
  </r>
  <r>
    <x v="1"/>
    <n v="47"/>
    <x v="42"/>
    <x v="3"/>
    <s v="Movimiento socialista de los trabajadores"/>
    <x v="1"/>
    <n v="3"/>
  </r>
  <r>
    <x v="1"/>
    <n v="47"/>
    <x v="42"/>
    <x v="3"/>
    <s v="Frente popular pampeano "/>
    <x v="1"/>
    <n v="1"/>
  </r>
  <r>
    <x v="1"/>
    <n v="48"/>
    <x v="43"/>
    <x v="1"/>
    <s v="Alianza Victorica Electoral y Programática"/>
    <x v="4"/>
    <n v="2188"/>
  </r>
  <r>
    <x v="1"/>
    <n v="48"/>
    <x v="43"/>
    <x v="1"/>
    <s v="PJ"/>
    <x v="0"/>
    <n v="2187"/>
  </r>
  <r>
    <x v="1"/>
    <n v="48"/>
    <x v="43"/>
    <x v="1"/>
    <s v="Blanco"/>
    <x v="3"/>
    <n v="122"/>
  </r>
  <r>
    <x v="1"/>
    <n v="48"/>
    <x v="43"/>
    <x v="1"/>
    <s v="Nulo"/>
    <x v="3"/>
    <n v="27"/>
  </r>
  <r>
    <x v="1"/>
    <n v="48"/>
    <x v="43"/>
    <x v="3"/>
    <s v="PJ"/>
    <x v="0"/>
    <n v="2268"/>
  </r>
  <r>
    <x v="1"/>
    <n v="48"/>
    <x v="43"/>
    <x v="3"/>
    <s v="Cambiemos - FREPAM"/>
    <x v="2"/>
    <n v="954"/>
  </r>
  <r>
    <x v="1"/>
    <n v="48"/>
    <x v="43"/>
    <x v="3"/>
    <s v="Blanco"/>
    <x v="3"/>
    <n v="829"/>
  </r>
  <r>
    <x v="1"/>
    <n v="48"/>
    <x v="43"/>
    <x v="3"/>
    <s v="Comunidad organizada"/>
    <x v="1"/>
    <n v="157"/>
  </r>
  <r>
    <x v="1"/>
    <n v="48"/>
    <x v="43"/>
    <x v="3"/>
    <s v="Pueblo Nuevo"/>
    <x v="1"/>
    <n v="127"/>
  </r>
  <r>
    <x v="1"/>
    <n v="48"/>
    <x v="43"/>
    <x v="3"/>
    <s v="Partido socialista"/>
    <x v="1"/>
    <n v="93"/>
  </r>
  <r>
    <x v="1"/>
    <n v="48"/>
    <x v="43"/>
    <x v="3"/>
    <s v="Nulo"/>
    <x v="3"/>
    <n v="42"/>
  </r>
  <r>
    <x v="1"/>
    <n v="48"/>
    <x v="43"/>
    <x v="3"/>
    <s v="Frente popular pampeano "/>
    <x v="1"/>
    <n v="27"/>
  </r>
  <r>
    <x v="1"/>
    <n v="48"/>
    <x v="43"/>
    <x v="3"/>
    <s v="Movimiento socialista de los trabajadores"/>
    <x v="1"/>
    <n v="14"/>
  </r>
  <r>
    <x v="1"/>
    <n v="48"/>
    <x v="43"/>
    <x v="3"/>
    <s v="Desde el pie "/>
    <x v="1"/>
    <n v="13"/>
  </r>
  <r>
    <x v="1"/>
    <n v="48"/>
    <x v="43"/>
    <x v="2"/>
    <s v="PJ"/>
    <x v="0"/>
    <n v="2144"/>
  </r>
  <r>
    <x v="1"/>
    <n v="48"/>
    <x v="43"/>
    <x v="2"/>
    <s v="Blanco"/>
    <x v="3"/>
    <n v="934"/>
  </r>
  <r>
    <x v="1"/>
    <n v="48"/>
    <x v="43"/>
    <x v="2"/>
    <s v="Cambiemos - FREPAM"/>
    <x v="2"/>
    <n v="869"/>
  </r>
  <r>
    <x v="1"/>
    <n v="48"/>
    <x v="43"/>
    <x v="2"/>
    <s v="Partido socialista"/>
    <x v="1"/>
    <n v="205"/>
  </r>
  <r>
    <x v="1"/>
    <n v="48"/>
    <x v="43"/>
    <x v="2"/>
    <s v="Comunidad organizada"/>
    <x v="1"/>
    <n v="138"/>
  </r>
  <r>
    <x v="1"/>
    <n v="48"/>
    <x v="43"/>
    <x v="2"/>
    <s v="Pueblo Nuevo"/>
    <x v="1"/>
    <n v="135"/>
  </r>
  <r>
    <x v="1"/>
    <n v="48"/>
    <x v="43"/>
    <x v="2"/>
    <s v="Nulo"/>
    <x v="3"/>
    <n v="44"/>
  </r>
  <r>
    <x v="1"/>
    <n v="48"/>
    <x v="43"/>
    <x v="2"/>
    <s v="Frente popular pampeano "/>
    <x v="1"/>
    <n v="28"/>
  </r>
  <r>
    <x v="1"/>
    <n v="48"/>
    <x v="43"/>
    <x v="2"/>
    <s v="Movimiento socialista de los trabajadores"/>
    <x v="1"/>
    <n v="15"/>
  </r>
  <r>
    <x v="1"/>
    <n v="48"/>
    <x v="43"/>
    <x v="2"/>
    <s v="Desde el pie "/>
    <x v="1"/>
    <n v="12"/>
  </r>
  <r>
    <x v="1"/>
    <n v="49"/>
    <x v="44"/>
    <x v="5"/>
    <s v="Comunidad organizada"/>
    <x v="1"/>
    <n v="99"/>
  </r>
  <r>
    <x v="1"/>
    <n v="49"/>
    <x v="44"/>
    <x v="5"/>
    <s v="Frente justicialista pampeano"/>
    <x v="0"/>
    <n v="96"/>
  </r>
  <r>
    <x v="1"/>
    <n v="49"/>
    <x v="44"/>
    <x v="5"/>
    <s v="Blanco"/>
    <x v="3"/>
    <n v="7"/>
  </r>
  <r>
    <x v="1"/>
    <n v="49"/>
    <x v="44"/>
    <x v="5"/>
    <s v="Nulo"/>
    <x v="3"/>
    <n v="2"/>
  </r>
  <r>
    <x v="1"/>
    <n v="49"/>
    <x v="44"/>
    <x v="2"/>
    <s v="Frente justicialista pampeano"/>
    <x v="0"/>
    <n v="103"/>
  </r>
  <r>
    <x v="1"/>
    <n v="49"/>
    <x v="44"/>
    <x v="2"/>
    <s v="Comunidad organizada"/>
    <x v="1"/>
    <n v="68"/>
  </r>
  <r>
    <x v="1"/>
    <n v="49"/>
    <x v="44"/>
    <x v="2"/>
    <s v="Cambiemos - FREPAM"/>
    <x v="2"/>
    <n v="24"/>
  </r>
  <r>
    <x v="1"/>
    <n v="49"/>
    <x v="44"/>
    <x v="2"/>
    <s v="Partido socialista"/>
    <x v="1"/>
    <n v="4"/>
  </r>
  <r>
    <x v="1"/>
    <n v="49"/>
    <x v="44"/>
    <x v="2"/>
    <s v="Nulo"/>
    <x v="3"/>
    <n v="2"/>
  </r>
  <r>
    <x v="1"/>
    <n v="49"/>
    <x v="44"/>
    <x v="2"/>
    <s v="Pueblo Nuevo"/>
    <x v="1"/>
    <n v="1"/>
  </r>
  <r>
    <x v="1"/>
    <n v="49"/>
    <x v="44"/>
    <x v="2"/>
    <s v="Frente popular pampeano "/>
    <x v="1"/>
    <n v="1"/>
  </r>
  <r>
    <x v="1"/>
    <n v="49"/>
    <x v="44"/>
    <x v="2"/>
    <s v="Blanco"/>
    <x v="3"/>
    <n v="1"/>
  </r>
  <r>
    <x v="1"/>
    <n v="49"/>
    <x v="44"/>
    <x v="3"/>
    <s v="Frente justicialista pampeano"/>
    <x v="0"/>
    <n v="104"/>
  </r>
  <r>
    <x v="1"/>
    <n v="49"/>
    <x v="44"/>
    <x v="3"/>
    <s v="Comunidad organizada"/>
    <x v="1"/>
    <n v="67"/>
  </r>
  <r>
    <x v="1"/>
    <n v="49"/>
    <x v="44"/>
    <x v="3"/>
    <s v="Cambiemos - FREPAM"/>
    <x v="2"/>
    <n v="24"/>
  </r>
  <r>
    <x v="1"/>
    <n v="49"/>
    <x v="44"/>
    <x v="3"/>
    <s v="Partido socialista"/>
    <x v="1"/>
    <n v="4"/>
  </r>
  <r>
    <x v="1"/>
    <n v="49"/>
    <x v="44"/>
    <x v="3"/>
    <s v="Nulo"/>
    <x v="3"/>
    <n v="2"/>
  </r>
  <r>
    <x v="1"/>
    <n v="49"/>
    <x v="44"/>
    <x v="3"/>
    <s v="Blanco"/>
    <x v="3"/>
    <n v="1"/>
  </r>
  <r>
    <x v="1"/>
    <n v="49"/>
    <x v="44"/>
    <x v="3"/>
    <s v="Frente popular pampeano "/>
    <x v="1"/>
    <n v="1"/>
  </r>
  <r>
    <x v="1"/>
    <n v="49"/>
    <x v="44"/>
    <x v="3"/>
    <s v="Pueblo Nuevo"/>
    <x v="1"/>
    <n v="1"/>
  </r>
  <r>
    <x v="1"/>
    <n v="53"/>
    <x v="45"/>
    <x v="5"/>
    <s v="Cambiemos - FREPAM"/>
    <x v="2"/>
    <n v="103"/>
  </r>
  <r>
    <x v="1"/>
    <n v="53"/>
    <x v="45"/>
    <x v="5"/>
    <s v="Frente justicialista pampeano"/>
    <x v="0"/>
    <n v="102"/>
  </r>
  <r>
    <x v="1"/>
    <n v="53"/>
    <x v="45"/>
    <x v="5"/>
    <s v="Blanco"/>
    <x v="3"/>
    <n v="4"/>
  </r>
  <r>
    <x v="1"/>
    <n v="53"/>
    <x v="45"/>
    <x v="2"/>
    <s v="Frente justicialista pampeano"/>
    <x v="0"/>
    <n v="100"/>
  </r>
  <r>
    <x v="1"/>
    <n v="53"/>
    <x v="45"/>
    <x v="2"/>
    <s v="Cambiemos - FREPAM"/>
    <x v="2"/>
    <n v="92"/>
  </r>
  <r>
    <x v="1"/>
    <n v="53"/>
    <x v="45"/>
    <x v="2"/>
    <s v="Blanco"/>
    <x v="3"/>
    <n v="5"/>
  </r>
  <r>
    <x v="1"/>
    <n v="53"/>
    <x v="45"/>
    <x v="2"/>
    <s v="Comunidad organizada"/>
    <x v="1"/>
    <n v="5"/>
  </r>
  <r>
    <x v="1"/>
    <n v="53"/>
    <x v="45"/>
    <x v="2"/>
    <s v="Pueblo Nuevo"/>
    <x v="1"/>
    <n v="4"/>
  </r>
  <r>
    <x v="1"/>
    <n v="53"/>
    <x v="45"/>
    <x v="2"/>
    <s v="Partido socialista"/>
    <x v="1"/>
    <n v="1"/>
  </r>
  <r>
    <x v="1"/>
    <n v="53"/>
    <x v="45"/>
    <x v="2"/>
    <s v="Movimiento socialista de los trabajadores"/>
    <x v="1"/>
    <n v="1"/>
  </r>
  <r>
    <x v="1"/>
    <n v="53"/>
    <x v="45"/>
    <x v="2"/>
    <s v="Frente popular pampeano "/>
    <x v="1"/>
    <n v="1"/>
  </r>
  <r>
    <x v="1"/>
    <n v="53"/>
    <x v="45"/>
    <x v="3"/>
    <s v="Frente justicialista pampeano"/>
    <x v="0"/>
    <n v="98"/>
  </r>
  <r>
    <x v="1"/>
    <n v="53"/>
    <x v="45"/>
    <x v="3"/>
    <s v="Cambiemos - FREPAM"/>
    <x v="2"/>
    <n v="90"/>
  </r>
  <r>
    <x v="1"/>
    <n v="53"/>
    <x v="45"/>
    <x v="3"/>
    <s v="Nulo"/>
    <x v="3"/>
    <n v="9"/>
  </r>
  <r>
    <x v="1"/>
    <n v="53"/>
    <x v="45"/>
    <x v="3"/>
    <s v="Comunidad organizada"/>
    <x v="1"/>
    <n v="5"/>
  </r>
  <r>
    <x v="1"/>
    <n v="53"/>
    <x v="45"/>
    <x v="3"/>
    <s v="Pueblo Nuevo"/>
    <x v="1"/>
    <n v="4"/>
  </r>
  <r>
    <x v="1"/>
    <n v="53"/>
    <x v="45"/>
    <x v="3"/>
    <s v="Partido socialista"/>
    <x v="1"/>
    <n v="1"/>
  </r>
  <r>
    <x v="1"/>
    <n v="53"/>
    <x v="45"/>
    <x v="3"/>
    <s v="Movimiento socialista de los trabajadores"/>
    <x v="1"/>
    <n v="1"/>
  </r>
  <r>
    <x v="1"/>
    <n v="53"/>
    <x v="45"/>
    <x v="3"/>
    <s v="Frente popular pampeano "/>
    <x v="1"/>
    <n v="1"/>
  </r>
  <r>
    <x v="1"/>
    <n v="54"/>
    <x v="46"/>
    <x v="5"/>
    <s v="Frente justicialista pampeano"/>
    <x v="0"/>
    <n v="94"/>
  </r>
  <r>
    <x v="1"/>
    <n v="54"/>
    <x v="46"/>
    <x v="5"/>
    <s v="Cambiemos - FREPAM"/>
    <x v="2"/>
    <n v="78"/>
  </r>
  <r>
    <x v="1"/>
    <n v="54"/>
    <x v="46"/>
    <x v="5"/>
    <s v="Nulo"/>
    <x v="3"/>
    <n v="2"/>
  </r>
  <r>
    <x v="1"/>
    <n v="54"/>
    <x v="46"/>
    <x v="2"/>
    <s v="Frente justicialista pampeano"/>
    <x v="0"/>
    <n v="87"/>
  </r>
  <r>
    <x v="1"/>
    <n v="54"/>
    <x v="46"/>
    <x v="2"/>
    <s v="Cambiemos - FREPAM"/>
    <x v="2"/>
    <n v="78"/>
  </r>
  <r>
    <x v="1"/>
    <n v="54"/>
    <x v="46"/>
    <x v="2"/>
    <s v="Nulo"/>
    <x v="3"/>
    <n v="6"/>
  </r>
  <r>
    <x v="1"/>
    <n v="54"/>
    <x v="46"/>
    <x v="2"/>
    <s v="Comunidad organizada"/>
    <x v="1"/>
    <n v="2"/>
  </r>
  <r>
    <x v="1"/>
    <n v="54"/>
    <x v="46"/>
    <x v="2"/>
    <s v="Movimiento socialista de los trabajadores"/>
    <x v="1"/>
    <n v="1"/>
  </r>
  <r>
    <x v="1"/>
    <n v="54"/>
    <x v="46"/>
    <x v="3"/>
    <s v="Frente justicialista pampeano"/>
    <x v="0"/>
    <n v="87"/>
  </r>
  <r>
    <x v="1"/>
    <n v="54"/>
    <x v="46"/>
    <x v="3"/>
    <s v="Cambiemos - FREPAM"/>
    <x v="2"/>
    <n v="79"/>
  </r>
  <r>
    <x v="1"/>
    <n v="54"/>
    <x v="46"/>
    <x v="3"/>
    <s v="Nulo"/>
    <x v="3"/>
    <n v="5"/>
  </r>
  <r>
    <x v="1"/>
    <n v="54"/>
    <x v="46"/>
    <x v="3"/>
    <s v="Comunidad organizada"/>
    <x v="1"/>
    <n v="2"/>
  </r>
  <r>
    <x v="1"/>
    <n v="54"/>
    <x v="46"/>
    <x v="3"/>
    <s v="Movimiento socialista de los trabajadores"/>
    <x v="1"/>
    <n v="1"/>
  </r>
  <r>
    <x v="1"/>
    <n v="55"/>
    <x v="47"/>
    <x v="5"/>
    <s v="Frente justicialista pampeano"/>
    <x v="0"/>
    <n v="127"/>
  </r>
  <r>
    <x v="1"/>
    <n v="55"/>
    <x v="47"/>
    <x v="5"/>
    <s v="Cambiemos - FREPAM"/>
    <x v="2"/>
    <n v="113"/>
  </r>
  <r>
    <x v="1"/>
    <n v="55"/>
    <x v="47"/>
    <x v="5"/>
    <s v="Pueblo Nuevo"/>
    <x v="1"/>
    <n v="48"/>
  </r>
  <r>
    <x v="1"/>
    <n v="55"/>
    <x v="47"/>
    <x v="5"/>
    <s v="Blanco"/>
    <x v="3"/>
    <n v="4"/>
  </r>
  <r>
    <x v="1"/>
    <n v="55"/>
    <x v="47"/>
    <x v="5"/>
    <s v="Nulo"/>
    <x v="3"/>
    <n v="1"/>
  </r>
  <r>
    <x v="1"/>
    <n v="55"/>
    <x v="47"/>
    <x v="2"/>
    <s v="Frente justicialista pampeano"/>
    <x v="0"/>
    <n v="130"/>
  </r>
  <r>
    <x v="1"/>
    <n v="55"/>
    <x v="47"/>
    <x v="2"/>
    <s v="Cambiemos - FREPAM"/>
    <x v="2"/>
    <n v="104"/>
  </r>
  <r>
    <x v="1"/>
    <n v="55"/>
    <x v="47"/>
    <x v="2"/>
    <s v="Pueblo Nuevo"/>
    <x v="1"/>
    <n v="38"/>
  </r>
  <r>
    <x v="1"/>
    <n v="55"/>
    <x v="47"/>
    <x v="2"/>
    <s v="Blanco"/>
    <x v="3"/>
    <n v="10"/>
  </r>
  <r>
    <x v="1"/>
    <n v="55"/>
    <x v="47"/>
    <x v="2"/>
    <s v="Comunidad organizada"/>
    <x v="1"/>
    <n v="6"/>
  </r>
  <r>
    <x v="1"/>
    <n v="55"/>
    <x v="47"/>
    <x v="2"/>
    <s v="Partido socialista"/>
    <x v="1"/>
    <n v="2"/>
  </r>
  <r>
    <x v="1"/>
    <n v="55"/>
    <x v="47"/>
    <x v="2"/>
    <s v="Nulo"/>
    <x v="3"/>
    <n v="2"/>
  </r>
  <r>
    <x v="1"/>
    <n v="55"/>
    <x v="47"/>
    <x v="2"/>
    <s v="Movimiento socialista de los trabajadores"/>
    <x v="1"/>
    <n v="1"/>
  </r>
  <r>
    <x v="1"/>
    <n v="55"/>
    <x v="47"/>
    <x v="3"/>
    <s v="Frente justicialista pampeano"/>
    <x v="0"/>
    <n v="130"/>
  </r>
  <r>
    <x v="1"/>
    <n v="55"/>
    <x v="47"/>
    <x v="3"/>
    <s v="Cambiemos - FREPAM"/>
    <x v="2"/>
    <n v="105"/>
  </r>
  <r>
    <x v="1"/>
    <n v="55"/>
    <x v="47"/>
    <x v="3"/>
    <s v="Pueblo Nuevo"/>
    <x v="1"/>
    <n v="39"/>
  </r>
  <r>
    <x v="1"/>
    <n v="55"/>
    <x v="47"/>
    <x v="3"/>
    <s v="Blanco"/>
    <x v="3"/>
    <n v="10"/>
  </r>
  <r>
    <x v="1"/>
    <n v="55"/>
    <x v="47"/>
    <x v="3"/>
    <s v="Comunidad organizada"/>
    <x v="1"/>
    <n v="6"/>
  </r>
  <r>
    <x v="1"/>
    <n v="55"/>
    <x v="47"/>
    <x v="3"/>
    <s v="Nulo"/>
    <x v="3"/>
    <n v="2"/>
  </r>
  <r>
    <x v="1"/>
    <n v="55"/>
    <x v="47"/>
    <x v="3"/>
    <s v="Movimiento socialista de los trabajadores"/>
    <x v="1"/>
    <n v="1"/>
  </r>
  <r>
    <x v="1"/>
    <n v="56"/>
    <x v="48"/>
    <x v="1"/>
    <s v="Frente justicialista pampeano"/>
    <x v="0"/>
    <n v="289"/>
  </r>
  <r>
    <x v="1"/>
    <n v="56"/>
    <x v="48"/>
    <x v="1"/>
    <s v="Cambiemos - FREPAM"/>
    <x v="2"/>
    <n v="157"/>
  </r>
  <r>
    <x v="1"/>
    <n v="56"/>
    <x v="48"/>
    <x v="1"/>
    <s v="Blanco"/>
    <x v="3"/>
    <n v="12"/>
  </r>
  <r>
    <x v="1"/>
    <n v="56"/>
    <x v="48"/>
    <x v="2"/>
    <s v="Frente justicialista pampeano"/>
    <x v="0"/>
    <n v="269"/>
  </r>
  <r>
    <x v="1"/>
    <n v="56"/>
    <x v="48"/>
    <x v="2"/>
    <s v="Cambiemos - FREPAM"/>
    <x v="2"/>
    <n v="143"/>
  </r>
  <r>
    <x v="1"/>
    <n v="56"/>
    <x v="48"/>
    <x v="2"/>
    <s v="Pueblo Nuevo"/>
    <x v="1"/>
    <n v="12"/>
  </r>
  <r>
    <x v="1"/>
    <n v="56"/>
    <x v="48"/>
    <x v="2"/>
    <s v="Comunidad organizada"/>
    <x v="1"/>
    <n v="10"/>
  </r>
  <r>
    <x v="1"/>
    <n v="56"/>
    <x v="48"/>
    <x v="2"/>
    <s v="Blanco"/>
    <x v="3"/>
    <n v="9"/>
  </r>
  <r>
    <x v="1"/>
    <n v="56"/>
    <x v="48"/>
    <x v="2"/>
    <s v="Partido socialista"/>
    <x v="1"/>
    <n v="9"/>
  </r>
  <r>
    <x v="1"/>
    <n v="56"/>
    <x v="48"/>
    <x v="2"/>
    <s v="Nulo"/>
    <x v="3"/>
    <n v="3"/>
  </r>
  <r>
    <x v="1"/>
    <n v="56"/>
    <x v="48"/>
    <x v="2"/>
    <s v="Movimiento socialista de los trabajadores"/>
    <x v="1"/>
    <n v="2"/>
  </r>
  <r>
    <x v="1"/>
    <n v="56"/>
    <x v="48"/>
    <x v="2"/>
    <s v="Frente popular pampeano "/>
    <x v="1"/>
    <n v="1"/>
  </r>
  <r>
    <x v="1"/>
    <n v="56"/>
    <x v="48"/>
    <x v="3"/>
    <s v="Frente justicialista pampeano"/>
    <x v="0"/>
    <n v="266"/>
  </r>
  <r>
    <x v="1"/>
    <n v="56"/>
    <x v="48"/>
    <x v="3"/>
    <s v="Cambiemos - FREPAM"/>
    <x v="2"/>
    <n v="145"/>
  </r>
  <r>
    <x v="1"/>
    <n v="56"/>
    <x v="48"/>
    <x v="3"/>
    <s v="Comunidad organizada"/>
    <x v="1"/>
    <n v="12"/>
  </r>
  <r>
    <x v="1"/>
    <n v="56"/>
    <x v="48"/>
    <x v="3"/>
    <s v="Pueblo Nuevo"/>
    <x v="1"/>
    <n v="11"/>
  </r>
  <r>
    <x v="1"/>
    <n v="56"/>
    <x v="48"/>
    <x v="3"/>
    <s v="Partido socialista"/>
    <x v="1"/>
    <n v="10"/>
  </r>
  <r>
    <x v="1"/>
    <n v="56"/>
    <x v="48"/>
    <x v="3"/>
    <s v="Blanco"/>
    <x v="3"/>
    <n v="8"/>
  </r>
  <r>
    <x v="1"/>
    <n v="56"/>
    <x v="48"/>
    <x v="3"/>
    <s v="Nulo"/>
    <x v="3"/>
    <n v="3"/>
  </r>
  <r>
    <x v="1"/>
    <n v="56"/>
    <x v="48"/>
    <x v="3"/>
    <s v="Movimiento socialista de los trabajadores"/>
    <x v="1"/>
    <n v="2"/>
  </r>
  <r>
    <x v="1"/>
    <n v="56"/>
    <x v="48"/>
    <x v="3"/>
    <s v="Frente popular pampeano "/>
    <x v="1"/>
    <n v="1"/>
  </r>
  <r>
    <x v="1"/>
    <s v="57 y 58"/>
    <x v="49"/>
    <x v="1"/>
    <s v="PJ"/>
    <x v="0"/>
    <n v="18337"/>
  </r>
  <r>
    <x v="1"/>
    <s v="57 y 58"/>
    <x v="49"/>
    <x v="1"/>
    <s v="Cambiemos - FREPAM"/>
    <x v="2"/>
    <n v="11630"/>
  </r>
  <r>
    <x v="1"/>
    <s v="57 y 58"/>
    <x v="49"/>
    <x v="1"/>
    <s v="Pueblo Nuevo"/>
    <x v="1"/>
    <n v="1918"/>
  </r>
  <r>
    <x v="1"/>
    <s v="57 y 58"/>
    <x v="49"/>
    <x v="1"/>
    <s v="Comunidad organizada"/>
    <x v="1"/>
    <n v="1312"/>
  </r>
  <r>
    <x v="1"/>
    <s v="57 y 58"/>
    <x v="49"/>
    <x v="1"/>
    <s v="Compromiso ciudadano "/>
    <x v="1"/>
    <n v="1176"/>
  </r>
  <r>
    <x v="1"/>
    <s v="57 y 58"/>
    <x v="49"/>
    <x v="1"/>
    <s v="Blanco"/>
    <x v="3"/>
    <n v="954"/>
  </r>
  <r>
    <x v="1"/>
    <s v="57 y 58"/>
    <x v="49"/>
    <x v="1"/>
    <s v="Desde el pie "/>
    <x v="1"/>
    <n v="811"/>
  </r>
  <r>
    <x v="1"/>
    <s v="57 y 58"/>
    <x v="49"/>
    <x v="1"/>
    <s v="Frente popular pampeano "/>
    <x v="1"/>
    <n v="672"/>
  </r>
  <r>
    <x v="1"/>
    <s v="57 y 58"/>
    <x v="49"/>
    <x v="1"/>
    <s v="Partido socialista"/>
    <x v="1"/>
    <n v="626"/>
  </r>
  <r>
    <x v="1"/>
    <s v="57 y 58"/>
    <x v="49"/>
    <x v="1"/>
    <s v="Nulo"/>
    <x v="3"/>
    <n v="499"/>
  </r>
  <r>
    <x v="1"/>
    <s v="57 y 58"/>
    <x v="49"/>
    <x v="1"/>
    <s v="Movimiento socialista de los trabajadores"/>
    <x v="1"/>
    <n v="347"/>
  </r>
  <r>
    <x v="1"/>
    <s v="57 y 58"/>
    <x v="49"/>
    <x v="3"/>
    <s v="PJ"/>
    <x v="0"/>
    <n v="18299"/>
  </r>
  <r>
    <x v="1"/>
    <s v="57 y 58"/>
    <x v="49"/>
    <x v="3"/>
    <s v="Cambiemos - FREPAM"/>
    <x v="2"/>
    <n v="11117"/>
  </r>
  <r>
    <x v="1"/>
    <s v="57 y 58"/>
    <x v="49"/>
    <x v="3"/>
    <s v="Pueblo Nuevo"/>
    <x v="1"/>
    <n v="2022"/>
  </r>
  <r>
    <x v="1"/>
    <s v="57 y 58"/>
    <x v="49"/>
    <x v="3"/>
    <s v="Blanco"/>
    <x v="3"/>
    <n v="1981"/>
  </r>
  <r>
    <x v="1"/>
    <s v="57 y 58"/>
    <x v="49"/>
    <x v="3"/>
    <s v="Comunidad organizada"/>
    <x v="1"/>
    <n v="1949"/>
  </r>
  <r>
    <x v="1"/>
    <s v="57 y 58"/>
    <x v="49"/>
    <x v="3"/>
    <s v="Desde el pie "/>
    <x v="1"/>
    <n v="713"/>
  </r>
  <r>
    <x v="1"/>
    <s v="57 y 58"/>
    <x v="49"/>
    <x v="3"/>
    <s v="Frente popular pampeano "/>
    <x v="1"/>
    <n v="687"/>
  </r>
  <r>
    <x v="1"/>
    <s v="57 y 58"/>
    <x v="49"/>
    <x v="3"/>
    <s v="Partido socialista"/>
    <x v="1"/>
    <n v="627"/>
  </r>
  <r>
    <x v="1"/>
    <s v="57 y 58"/>
    <x v="49"/>
    <x v="3"/>
    <s v="Nulo"/>
    <x v="3"/>
    <n v="536"/>
  </r>
  <r>
    <x v="1"/>
    <s v="57 y 58"/>
    <x v="49"/>
    <x v="3"/>
    <s v="Movimiento socialista de los trabajadores"/>
    <x v="1"/>
    <n v="351"/>
  </r>
  <r>
    <x v="1"/>
    <n v="59"/>
    <x v="50"/>
    <x v="5"/>
    <s v="Frente justicialista pampeano"/>
    <x v="0"/>
    <n v="301"/>
  </r>
  <r>
    <x v="1"/>
    <n v="59"/>
    <x v="50"/>
    <x v="5"/>
    <s v="Partido Popular Pampeano Speluzzi"/>
    <x v="1"/>
    <n v="68"/>
  </r>
  <r>
    <x v="1"/>
    <n v="59"/>
    <x v="50"/>
    <x v="5"/>
    <s v="Blanco"/>
    <x v="3"/>
    <n v="50"/>
  </r>
  <r>
    <x v="1"/>
    <n v="59"/>
    <x v="50"/>
    <x v="5"/>
    <s v="Nulo"/>
    <x v="3"/>
    <n v="1"/>
  </r>
  <r>
    <x v="1"/>
    <n v="59"/>
    <x v="50"/>
    <x v="2"/>
    <s v="Frente justicialista pampeano"/>
    <x v="0"/>
    <n v="266"/>
  </r>
  <r>
    <x v="1"/>
    <n v="59"/>
    <x v="50"/>
    <x v="2"/>
    <s v="Cambiemos - FREPAM"/>
    <x v="2"/>
    <n v="73"/>
  </r>
  <r>
    <x v="1"/>
    <n v="59"/>
    <x v="50"/>
    <x v="2"/>
    <s v="Frente popular pampeano "/>
    <x v="1"/>
    <n v="33"/>
  </r>
  <r>
    <x v="1"/>
    <n v="59"/>
    <x v="50"/>
    <x v="2"/>
    <s v="Blanco"/>
    <x v="3"/>
    <n v="20"/>
  </r>
  <r>
    <x v="1"/>
    <n v="59"/>
    <x v="50"/>
    <x v="2"/>
    <s v="Pueblo Nuevo"/>
    <x v="1"/>
    <n v="10"/>
  </r>
  <r>
    <x v="1"/>
    <n v="59"/>
    <x v="50"/>
    <x v="2"/>
    <s v="Comunidad organizada"/>
    <x v="1"/>
    <n v="6"/>
  </r>
  <r>
    <x v="1"/>
    <n v="59"/>
    <x v="50"/>
    <x v="2"/>
    <s v="Movimiento socialista de los trabajadores"/>
    <x v="1"/>
    <n v="4"/>
  </r>
  <r>
    <x v="1"/>
    <n v="59"/>
    <x v="50"/>
    <x v="2"/>
    <s v="Nulo"/>
    <x v="3"/>
    <n v="3"/>
  </r>
  <r>
    <x v="1"/>
    <n v="59"/>
    <x v="50"/>
    <x v="2"/>
    <s v="Partido socialista"/>
    <x v="1"/>
    <n v="3"/>
  </r>
  <r>
    <x v="1"/>
    <n v="59"/>
    <x v="50"/>
    <x v="2"/>
    <s v="Desde el pie "/>
    <x v="1"/>
    <n v="2"/>
  </r>
  <r>
    <x v="1"/>
    <n v="59"/>
    <x v="50"/>
    <x v="3"/>
    <s v="Frente justicialista pampeano"/>
    <x v="0"/>
    <n v="267"/>
  </r>
  <r>
    <x v="1"/>
    <n v="59"/>
    <x v="50"/>
    <x v="3"/>
    <s v="Cambiemos - FREPAM"/>
    <x v="2"/>
    <n v="80"/>
  </r>
  <r>
    <x v="1"/>
    <n v="59"/>
    <x v="50"/>
    <x v="3"/>
    <s v="Frente popular pampeano "/>
    <x v="1"/>
    <n v="33"/>
  </r>
  <r>
    <x v="1"/>
    <n v="59"/>
    <x v="50"/>
    <x v="3"/>
    <s v="Comunidad organizada"/>
    <x v="1"/>
    <n v="10"/>
  </r>
  <r>
    <x v="1"/>
    <n v="59"/>
    <x v="50"/>
    <x v="3"/>
    <s v="Blanco"/>
    <x v="3"/>
    <n v="9"/>
  </r>
  <r>
    <x v="1"/>
    <n v="59"/>
    <x v="50"/>
    <x v="3"/>
    <s v="Pueblo Nuevo"/>
    <x v="1"/>
    <n v="8"/>
  </r>
  <r>
    <x v="1"/>
    <n v="59"/>
    <x v="50"/>
    <x v="3"/>
    <s v="Movimiento socialista de los trabajadores"/>
    <x v="1"/>
    <n v="4"/>
  </r>
  <r>
    <x v="1"/>
    <n v="59"/>
    <x v="50"/>
    <x v="3"/>
    <s v="Nulo"/>
    <x v="3"/>
    <n v="3"/>
  </r>
  <r>
    <x v="1"/>
    <n v="59"/>
    <x v="50"/>
    <x v="3"/>
    <s v="Partido socialista"/>
    <x v="1"/>
    <n v="3"/>
  </r>
  <r>
    <x v="1"/>
    <n v="59"/>
    <x v="50"/>
    <x v="3"/>
    <s v="Desde el pie "/>
    <x v="1"/>
    <n v="3"/>
  </r>
  <r>
    <x v="1"/>
    <n v="61"/>
    <x v="52"/>
    <x v="1"/>
    <s v="PJ"/>
    <x v="0"/>
    <n v="3023"/>
  </r>
  <r>
    <x v="1"/>
    <n v="61"/>
    <x v="52"/>
    <x v="1"/>
    <s v="Movimiento Popular Veinticinqueño Juntos por 25"/>
    <x v="1"/>
    <n v="1691"/>
  </r>
  <r>
    <x v="1"/>
    <n v="61"/>
    <x v="52"/>
    <x v="1"/>
    <s v="Cambiemos - FREPAM"/>
    <x v="2"/>
    <n v="1062"/>
  </r>
  <r>
    <x v="1"/>
    <n v="61"/>
    <x v="52"/>
    <x v="1"/>
    <s v="Blanco"/>
    <x v="3"/>
    <n v="162"/>
  </r>
  <r>
    <x v="1"/>
    <n v="61"/>
    <x v="52"/>
    <x v="1"/>
    <s v="Partido socialista"/>
    <x v="1"/>
    <n v="49"/>
  </r>
  <r>
    <x v="1"/>
    <n v="61"/>
    <x v="52"/>
    <x v="1"/>
    <s v="Nulo"/>
    <x v="3"/>
    <n v="49"/>
  </r>
  <r>
    <x v="1"/>
    <n v="61"/>
    <x v="52"/>
    <x v="3"/>
    <s v="PJ"/>
    <x v="0"/>
    <n v="2913"/>
  </r>
  <r>
    <x v="1"/>
    <n v="61"/>
    <x v="52"/>
    <x v="3"/>
    <s v="Blanco"/>
    <x v="3"/>
    <n v="1490"/>
  </r>
  <r>
    <x v="1"/>
    <n v="61"/>
    <x v="52"/>
    <x v="3"/>
    <s v="Cambiemos - FREPAM"/>
    <x v="2"/>
    <n v="1051"/>
  </r>
  <r>
    <x v="1"/>
    <n v="61"/>
    <x v="52"/>
    <x v="3"/>
    <s v="Comunidad organizada"/>
    <x v="1"/>
    <n v="178"/>
  </r>
  <r>
    <x v="1"/>
    <n v="61"/>
    <x v="52"/>
    <x v="3"/>
    <s v="Pueblo Nuevo"/>
    <x v="1"/>
    <n v="159"/>
  </r>
  <r>
    <x v="1"/>
    <n v="61"/>
    <x v="52"/>
    <x v="3"/>
    <s v="Nulo"/>
    <x v="3"/>
    <n v="116"/>
  </r>
  <r>
    <x v="1"/>
    <n v="61"/>
    <x v="52"/>
    <x v="3"/>
    <s v="Partido socialista"/>
    <x v="1"/>
    <n v="50"/>
  </r>
  <r>
    <x v="1"/>
    <n v="61"/>
    <x v="52"/>
    <x v="3"/>
    <s v="Desde el pie "/>
    <x v="1"/>
    <n v="28"/>
  </r>
  <r>
    <x v="1"/>
    <n v="61"/>
    <x v="52"/>
    <x v="3"/>
    <s v="Frente popular pampeano "/>
    <x v="1"/>
    <n v="28"/>
  </r>
  <r>
    <x v="1"/>
    <n v="61"/>
    <x v="52"/>
    <x v="3"/>
    <s v="Movimiento socialista de los trabajadores"/>
    <x v="1"/>
    <n v="23"/>
  </r>
  <r>
    <x v="1"/>
    <n v="61"/>
    <x v="52"/>
    <x v="2"/>
    <s v="PJ"/>
    <x v="0"/>
    <n v="2872"/>
  </r>
  <r>
    <x v="1"/>
    <n v="61"/>
    <x v="52"/>
    <x v="2"/>
    <s v="Blanco"/>
    <x v="3"/>
    <n v="1610"/>
  </r>
  <r>
    <x v="1"/>
    <n v="61"/>
    <x v="52"/>
    <x v="2"/>
    <s v="Cambiemos - FREPAM"/>
    <x v="2"/>
    <n v="1022"/>
  </r>
  <r>
    <x v="1"/>
    <n v="61"/>
    <x v="52"/>
    <x v="2"/>
    <s v="Pueblo Nuevo"/>
    <x v="1"/>
    <n v="145"/>
  </r>
  <r>
    <x v="1"/>
    <n v="61"/>
    <x v="52"/>
    <x v="2"/>
    <s v="Comunidad organizada"/>
    <x v="1"/>
    <n v="144"/>
  </r>
  <r>
    <x v="1"/>
    <n v="61"/>
    <x v="52"/>
    <x v="2"/>
    <s v="Nulo"/>
    <x v="3"/>
    <n v="115"/>
  </r>
  <r>
    <x v="1"/>
    <n v="61"/>
    <x v="52"/>
    <x v="2"/>
    <s v="Partido socialista"/>
    <x v="1"/>
    <n v="51"/>
  </r>
  <r>
    <x v="1"/>
    <n v="61"/>
    <x v="52"/>
    <x v="2"/>
    <s v="Desde el pie "/>
    <x v="1"/>
    <n v="31"/>
  </r>
  <r>
    <x v="1"/>
    <n v="61"/>
    <x v="52"/>
    <x v="2"/>
    <s v="Movimiento socialista de los trabajadores"/>
    <x v="1"/>
    <n v="23"/>
  </r>
  <r>
    <x v="1"/>
    <n v="61"/>
    <x v="52"/>
    <x v="2"/>
    <s v="Frente popular pampeano "/>
    <x v="1"/>
    <n v="23"/>
  </r>
  <r>
    <x v="1"/>
    <n v="62"/>
    <x v="53"/>
    <x v="1"/>
    <s v="Cambiemos - FREPAM"/>
    <x v="2"/>
    <n v="155"/>
  </r>
  <r>
    <x v="1"/>
    <n v="62"/>
    <x v="53"/>
    <x v="1"/>
    <s v="Frente justicialista pampeano"/>
    <x v="0"/>
    <n v="146"/>
  </r>
  <r>
    <x v="1"/>
    <n v="62"/>
    <x v="53"/>
    <x v="1"/>
    <s v="Partido socialista"/>
    <x v="1"/>
    <n v="102"/>
  </r>
  <r>
    <x v="1"/>
    <n v="62"/>
    <x v="53"/>
    <x v="1"/>
    <s v="Comunidad organizada"/>
    <x v="1"/>
    <n v="77"/>
  </r>
  <r>
    <x v="1"/>
    <n v="62"/>
    <x v="53"/>
    <x v="1"/>
    <s v="Pueblo Nuevo"/>
    <x v="1"/>
    <n v="31"/>
  </r>
  <r>
    <x v="1"/>
    <n v="62"/>
    <x v="53"/>
    <x v="1"/>
    <s v="Blanco"/>
    <x v="3"/>
    <n v="16"/>
  </r>
  <r>
    <x v="1"/>
    <n v="62"/>
    <x v="53"/>
    <x v="1"/>
    <s v="Nulo"/>
    <x v="3"/>
    <n v="4"/>
  </r>
  <r>
    <x v="1"/>
    <n v="62"/>
    <x v="53"/>
    <x v="2"/>
    <s v="Frente justicialista pampeano"/>
    <x v="0"/>
    <n v="170"/>
  </r>
  <r>
    <x v="1"/>
    <n v="62"/>
    <x v="53"/>
    <x v="2"/>
    <s v="Cambiemos - FREPAM"/>
    <x v="2"/>
    <n v="133"/>
  </r>
  <r>
    <x v="1"/>
    <n v="62"/>
    <x v="53"/>
    <x v="2"/>
    <s v="Comunidad organizada"/>
    <x v="1"/>
    <n v="70"/>
  </r>
  <r>
    <x v="1"/>
    <n v="62"/>
    <x v="53"/>
    <x v="2"/>
    <s v="Blanco"/>
    <x v="3"/>
    <n v="68"/>
  </r>
  <r>
    <x v="1"/>
    <n v="62"/>
    <x v="53"/>
    <x v="2"/>
    <s v="Partido socialista"/>
    <x v="1"/>
    <n v="66"/>
  </r>
  <r>
    <x v="1"/>
    <n v="62"/>
    <x v="53"/>
    <x v="2"/>
    <s v="Pueblo Nuevo"/>
    <x v="1"/>
    <n v="17"/>
  </r>
  <r>
    <x v="1"/>
    <n v="62"/>
    <x v="53"/>
    <x v="2"/>
    <s v="Nulo"/>
    <x v="3"/>
    <n v="4"/>
  </r>
  <r>
    <x v="1"/>
    <n v="62"/>
    <x v="53"/>
    <x v="2"/>
    <s v="Movimiento socialista de los trabajadores"/>
    <x v="1"/>
    <n v="2"/>
  </r>
  <r>
    <x v="1"/>
    <n v="62"/>
    <x v="53"/>
    <x v="2"/>
    <s v="Desde el pie "/>
    <x v="1"/>
    <n v="1"/>
  </r>
  <r>
    <x v="1"/>
    <n v="62"/>
    <x v="53"/>
    <x v="3"/>
    <s v="Frente justicialista pampeano"/>
    <x v="0"/>
    <n v="199"/>
  </r>
  <r>
    <x v="1"/>
    <n v="62"/>
    <x v="53"/>
    <x v="3"/>
    <s v="Cambiemos - FREPAM"/>
    <x v="2"/>
    <n v="129"/>
  </r>
  <r>
    <x v="1"/>
    <n v="62"/>
    <x v="53"/>
    <x v="3"/>
    <s v="Comunidad organizada"/>
    <x v="1"/>
    <n v="71"/>
  </r>
  <r>
    <x v="1"/>
    <n v="62"/>
    <x v="53"/>
    <x v="3"/>
    <s v="Partido socialista"/>
    <x v="1"/>
    <n v="65"/>
  </r>
  <r>
    <x v="1"/>
    <n v="62"/>
    <x v="53"/>
    <x v="3"/>
    <s v="Blanco"/>
    <x v="3"/>
    <n v="43"/>
  </r>
  <r>
    <x v="1"/>
    <n v="62"/>
    <x v="53"/>
    <x v="3"/>
    <s v="Pueblo Nuevo"/>
    <x v="1"/>
    <n v="17"/>
  </r>
  <r>
    <x v="1"/>
    <n v="62"/>
    <x v="53"/>
    <x v="3"/>
    <s v="Nulo"/>
    <x v="3"/>
    <m/>
  </r>
  <r>
    <x v="1"/>
    <n v="63"/>
    <x v="54"/>
    <x v="1"/>
    <s v="Frente justicialista pampeano"/>
    <x v="0"/>
    <n v="1173"/>
  </r>
  <r>
    <x v="1"/>
    <n v="63"/>
    <x v="54"/>
    <x v="1"/>
    <s v="Cambiemos - FREPAM"/>
    <x v="2"/>
    <n v="727"/>
  </r>
  <r>
    <x v="1"/>
    <n v="63"/>
    <x v="54"/>
    <x v="1"/>
    <s v="Frente popular pampeano "/>
    <x v="1"/>
    <n v="112"/>
  </r>
  <r>
    <x v="1"/>
    <n v="63"/>
    <x v="54"/>
    <x v="1"/>
    <s v="Blanco"/>
    <x v="3"/>
    <n v="81"/>
  </r>
  <r>
    <x v="1"/>
    <n v="63"/>
    <x v="54"/>
    <x v="1"/>
    <s v="Nulo"/>
    <x v="3"/>
    <n v="11"/>
  </r>
  <r>
    <x v="1"/>
    <n v="63"/>
    <x v="54"/>
    <x v="2"/>
    <s v="Frente justicialista pampeano"/>
    <x v="0"/>
    <n v="981"/>
  </r>
  <r>
    <x v="1"/>
    <n v="63"/>
    <x v="54"/>
    <x v="2"/>
    <s v="Cambiemos - FREPAM"/>
    <x v="2"/>
    <n v="858"/>
  </r>
  <r>
    <x v="1"/>
    <n v="63"/>
    <x v="54"/>
    <x v="2"/>
    <s v="Blanco"/>
    <x v="3"/>
    <n v="106"/>
  </r>
  <r>
    <x v="1"/>
    <n v="63"/>
    <x v="54"/>
    <x v="2"/>
    <s v="Frente popular pampeano "/>
    <x v="1"/>
    <n v="75"/>
  </r>
  <r>
    <x v="1"/>
    <n v="63"/>
    <x v="54"/>
    <x v="2"/>
    <s v="Comunidad organizada"/>
    <x v="1"/>
    <n v="21"/>
  </r>
  <r>
    <x v="1"/>
    <n v="63"/>
    <x v="54"/>
    <x v="2"/>
    <s v="Nulo"/>
    <x v="3"/>
    <n v="18"/>
  </r>
  <r>
    <x v="1"/>
    <n v="63"/>
    <x v="54"/>
    <x v="2"/>
    <s v="Partido socialista"/>
    <x v="1"/>
    <n v="16"/>
  </r>
  <r>
    <x v="1"/>
    <n v="63"/>
    <x v="54"/>
    <x v="2"/>
    <s v="Pueblo Nuevo"/>
    <x v="1"/>
    <n v="15"/>
  </r>
  <r>
    <x v="1"/>
    <n v="63"/>
    <x v="54"/>
    <x v="2"/>
    <s v="Movimiento socialista de los trabajadores"/>
    <x v="1"/>
    <n v="12"/>
  </r>
  <r>
    <x v="1"/>
    <n v="63"/>
    <x v="54"/>
    <x v="2"/>
    <s v="Desde el pie "/>
    <x v="1"/>
    <n v="2"/>
  </r>
  <r>
    <x v="1"/>
    <n v="63"/>
    <x v="54"/>
    <x v="3"/>
    <s v="Frente justicialista pampeano"/>
    <x v="0"/>
    <n v="954"/>
  </r>
  <r>
    <x v="1"/>
    <n v="63"/>
    <x v="54"/>
    <x v="3"/>
    <s v="Cambiemos - FREPAM"/>
    <x v="2"/>
    <n v="931"/>
  </r>
  <r>
    <x v="1"/>
    <n v="63"/>
    <x v="54"/>
    <x v="3"/>
    <s v="Frente popular pampeano "/>
    <x v="1"/>
    <n v="76"/>
  </r>
  <r>
    <x v="1"/>
    <n v="63"/>
    <x v="54"/>
    <x v="3"/>
    <s v="Blanco"/>
    <x v="3"/>
    <n v="53"/>
  </r>
  <r>
    <x v="1"/>
    <n v="63"/>
    <x v="54"/>
    <x v="3"/>
    <s v="Comunidad organizada"/>
    <x v="1"/>
    <n v="28"/>
  </r>
  <r>
    <x v="1"/>
    <n v="63"/>
    <x v="54"/>
    <x v="3"/>
    <s v="Nulo"/>
    <x v="3"/>
    <n v="20"/>
  </r>
  <r>
    <x v="1"/>
    <n v="63"/>
    <x v="54"/>
    <x v="3"/>
    <s v="Partido socialista"/>
    <x v="1"/>
    <n v="17"/>
  </r>
  <r>
    <x v="1"/>
    <n v="63"/>
    <x v="54"/>
    <x v="3"/>
    <s v="Pueblo Nuevo"/>
    <x v="1"/>
    <n v="12"/>
  </r>
  <r>
    <x v="1"/>
    <n v="63"/>
    <x v="54"/>
    <x v="3"/>
    <s v="Movimiento socialista de los trabajadores"/>
    <x v="1"/>
    <n v="11"/>
  </r>
  <r>
    <x v="1"/>
    <n v="63"/>
    <x v="54"/>
    <x v="3"/>
    <s v="Desde el pie "/>
    <x v="1"/>
    <n v="2"/>
  </r>
  <r>
    <x v="1"/>
    <n v="64"/>
    <x v="55"/>
    <x v="1"/>
    <s v="Frente justicialista pampeano"/>
    <x v="0"/>
    <n v="397"/>
  </r>
  <r>
    <x v="1"/>
    <n v="64"/>
    <x v="55"/>
    <x v="1"/>
    <s v="Cambiemos - FREPAM"/>
    <x v="2"/>
    <n v="176"/>
  </r>
  <r>
    <x v="1"/>
    <n v="64"/>
    <x v="55"/>
    <x v="1"/>
    <s v="Blanco"/>
    <x v="3"/>
    <n v="5"/>
  </r>
  <r>
    <x v="1"/>
    <n v="64"/>
    <x v="55"/>
    <x v="1"/>
    <s v="Nulo"/>
    <x v="3"/>
    <n v="1"/>
  </r>
  <r>
    <x v="1"/>
    <n v="64"/>
    <x v="55"/>
    <x v="2"/>
    <s v="Frente justicialista pampeano"/>
    <x v="0"/>
    <n v="381"/>
  </r>
  <r>
    <x v="1"/>
    <n v="64"/>
    <x v="55"/>
    <x v="2"/>
    <s v="Cambiemos - FREPAM"/>
    <x v="2"/>
    <n v="155"/>
  </r>
  <r>
    <x v="1"/>
    <n v="64"/>
    <x v="55"/>
    <x v="2"/>
    <s v="Blanco"/>
    <x v="3"/>
    <n v="21"/>
  </r>
  <r>
    <x v="1"/>
    <n v="64"/>
    <x v="55"/>
    <x v="2"/>
    <s v="Desde el pie "/>
    <x v="1"/>
    <n v="7"/>
  </r>
  <r>
    <x v="1"/>
    <n v="64"/>
    <x v="55"/>
    <x v="2"/>
    <s v="Comunidad organizada"/>
    <x v="1"/>
    <n v="6"/>
  </r>
  <r>
    <x v="1"/>
    <n v="64"/>
    <x v="55"/>
    <x v="2"/>
    <s v="Partido socialista"/>
    <x v="1"/>
    <n v="3"/>
  </r>
  <r>
    <x v="1"/>
    <n v="64"/>
    <x v="55"/>
    <x v="2"/>
    <s v="Nulo"/>
    <x v="3"/>
    <n v="3"/>
  </r>
  <r>
    <x v="1"/>
    <n v="64"/>
    <x v="55"/>
    <x v="2"/>
    <s v="Frente popular pampeano "/>
    <x v="1"/>
    <n v="2"/>
  </r>
  <r>
    <x v="1"/>
    <n v="64"/>
    <x v="55"/>
    <x v="2"/>
    <s v="Movimiento socialista de los trabajadores"/>
    <x v="1"/>
    <n v="1"/>
  </r>
  <r>
    <x v="1"/>
    <n v="64"/>
    <x v="55"/>
    <x v="3"/>
    <s v="Frente justicialista pampeano"/>
    <x v="0"/>
    <n v="382"/>
  </r>
  <r>
    <x v="1"/>
    <n v="64"/>
    <x v="55"/>
    <x v="3"/>
    <s v="Cambiemos - FREPAM"/>
    <x v="2"/>
    <n v="165"/>
  </r>
  <r>
    <x v="1"/>
    <n v="64"/>
    <x v="55"/>
    <x v="3"/>
    <s v="Blanco"/>
    <x v="3"/>
    <n v="14"/>
  </r>
  <r>
    <x v="1"/>
    <n v="64"/>
    <x v="55"/>
    <x v="3"/>
    <s v="Comunidad organizada"/>
    <x v="1"/>
    <n v="9"/>
  </r>
  <r>
    <x v="1"/>
    <n v="64"/>
    <x v="55"/>
    <x v="3"/>
    <s v="Partido socialista"/>
    <x v="1"/>
    <n v="3"/>
  </r>
  <r>
    <x v="1"/>
    <n v="64"/>
    <x v="55"/>
    <x v="3"/>
    <s v="Frente popular pampeano "/>
    <x v="1"/>
    <n v="2"/>
  </r>
  <r>
    <x v="1"/>
    <n v="64"/>
    <x v="55"/>
    <x v="3"/>
    <s v="Nulo"/>
    <x v="3"/>
    <n v="2"/>
  </r>
  <r>
    <x v="1"/>
    <n v="64"/>
    <x v="55"/>
    <x v="3"/>
    <s v="Desde el pie "/>
    <x v="1"/>
    <n v="1"/>
  </r>
  <r>
    <x v="1"/>
    <n v="64"/>
    <x v="55"/>
    <x v="3"/>
    <s v="Movimiento socialista de los trabajadores"/>
    <x v="1"/>
    <n v="1"/>
  </r>
  <r>
    <x v="1"/>
    <n v="65"/>
    <x v="56"/>
    <x v="1"/>
    <s v="PJ"/>
    <x v="0"/>
    <n v="1377"/>
  </r>
  <r>
    <x v="1"/>
    <n v="65"/>
    <x v="56"/>
    <x v="1"/>
    <s v="Cambiemos - FREPAM"/>
    <x v="2"/>
    <n v="1154"/>
  </r>
  <r>
    <x v="1"/>
    <n v="65"/>
    <x v="56"/>
    <x v="1"/>
    <s v="Blanco"/>
    <x v="3"/>
    <n v="88"/>
  </r>
  <r>
    <x v="1"/>
    <n v="65"/>
    <x v="56"/>
    <x v="1"/>
    <s v="Frente popular pampeano "/>
    <x v="1"/>
    <n v="78"/>
  </r>
  <r>
    <x v="1"/>
    <n v="65"/>
    <x v="56"/>
    <x v="1"/>
    <s v="Nulo"/>
    <x v="3"/>
    <n v="20"/>
  </r>
  <r>
    <x v="1"/>
    <n v="65"/>
    <x v="56"/>
    <x v="3"/>
    <s v="PJ"/>
    <x v="0"/>
    <n v="1289"/>
  </r>
  <r>
    <x v="1"/>
    <n v="65"/>
    <x v="56"/>
    <x v="3"/>
    <s v="Cambiemos - FREPAM"/>
    <x v="2"/>
    <n v="1088"/>
  </r>
  <r>
    <x v="1"/>
    <n v="65"/>
    <x v="56"/>
    <x v="3"/>
    <s v="Blanco"/>
    <x v="3"/>
    <n v="89"/>
  </r>
  <r>
    <x v="1"/>
    <n v="65"/>
    <x v="56"/>
    <x v="3"/>
    <s v="Comunidad organizada"/>
    <x v="1"/>
    <n v="76"/>
  </r>
  <r>
    <x v="1"/>
    <n v="65"/>
    <x v="56"/>
    <x v="3"/>
    <s v="Frente popular pampeano "/>
    <x v="1"/>
    <n v="69"/>
  </r>
  <r>
    <x v="1"/>
    <n v="65"/>
    <x v="56"/>
    <x v="3"/>
    <s v="Nulo"/>
    <x v="3"/>
    <n v="41"/>
  </r>
  <r>
    <x v="1"/>
    <n v="65"/>
    <x v="56"/>
    <x v="3"/>
    <s v="Pueblo Nuevo"/>
    <x v="1"/>
    <n v="35"/>
  </r>
  <r>
    <x v="1"/>
    <n v="65"/>
    <x v="56"/>
    <x v="3"/>
    <s v="Partido socialista"/>
    <x v="1"/>
    <n v="10"/>
  </r>
  <r>
    <x v="1"/>
    <n v="65"/>
    <x v="56"/>
    <x v="3"/>
    <s v="Movimiento socialista de los trabajadores"/>
    <x v="1"/>
    <n v="10"/>
  </r>
  <r>
    <x v="1"/>
    <n v="65"/>
    <x v="56"/>
    <x v="3"/>
    <s v="Desde el pie "/>
    <x v="1"/>
    <n v="10"/>
  </r>
  <r>
    <x v="1"/>
    <n v="65"/>
    <x v="56"/>
    <x v="2"/>
    <s v="PJ"/>
    <x v="0"/>
    <n v="1268"/>
  </r>
  <r>
    <x v="1"/>
    <n v="65"/>
    <x v="56"/>
    <x v="2"/>
    <s v="Cambiemos - FREPAM"/>
    <x v="2"/>
    <n v="1123"/>
  </r>
  <r>
    <x v="1"/>
    <n v="65"/>
    <x v="56"/>
    <x v="2"/>
    <s v="Blanco"/>
    <x v="3"/>
    <n v="113"/>
  </r>
  <r>
    <x v="1"/>
    <n v="65"/>
    <x v="56"/>
    <x v="2"/>
    <s v="Frente popular pampeano "/>
    <x v="1"/>
    <n v="62"/>
  </r>
  <r>
    <x v="1"/>
    <n v="65"/>
    <x v="56"/>
    <x v="2"/>
    <s v="Comunidad organizada"/>
    <x v="1"/>
    <n v="47"/>
  </r>
  <r>
    <x v="1"/>
    <n v="65"/>
    <x v="56"/>
    <x v="2"/>
    <s v="Nulo"/>
    <x v="3"/>
    <n v="45"/>
  </r>
  <r>
    <x v="1"/>
    <n v="65"/>
    <x v="56"/>
    <x v="2"/>
    <s v="Pueblo Nuevo"/>
    <x v="1"/>
    <n v="29"/>
  </r>
  <r>
    <x v="1"/>
    <n v="65"/>
    <x v="56"/>
    <x v="2"/>
    <s v="Partido socialista"/>
    <x v="1"/>
    <n v="10"/>
  </r>
  <r>
    <x v="1"/>
    <n v="65"/>
    <x v="56"/>
    <x v="2"/>
    <s v="Movimiento socialista de los trabajadores"/>
    <x v="1"/>
    <n v="10"/>
  </r>
  <r>
    <x v="1"/>
    <n v="65"/>
    <x v="56"/>
    <x v="2"/>
    <s v="Desde el pie "/>
    <x v="1"/>
    <n v="10"/>
  </r>
  <r>
    <x v="1"/>
    <n v="66"/>
    <x v="57"/>
    <x v="5"/>
    <s v="Cambiemos - FREPAM"/>
    <x v="2"/>
    <n v="89"/>
  </r>
  <r>
    <x v="1"/>
    <n v="66"/>
    <x v="57"/>
    <x v="5"/>
    <s v="Frente justicialista pampeano"/>
    <x v="0"/>
    <n v="39"/>
  </r>
  <r>
    <x v="1"/>
    <n v="66"/>
    <x v="57"/>
    <x v="5"/>
    <s v="Blanco"/>
    <x v="3"/>
    <n v="4"/>
  </r>
  <r>
    <x v="1"/>
    <n v="66"/>
    <x v="57"/>
    <x v="2"/>
    <s v="Cambiemos - FREPAM"/>
    <x v="2"/>
    <n v="67"/>
  </r>
  <r>
    <x v="1"/>
    <n v="66"/>
    <x v="57"/>
    <x v="2"/>
    <s v="Frente justicialista pampeano"/>
    <x v="0"/>
    <n v="57"/>
  </r>
  <r>
    <x v="1"/>
    <n v="66"/>
    <x v="57"/>
    <x v="2"/>
    <s v="Comunidad organizada"/>
    <x v="1"/>
    <n v="2"/>
  </r>
  <r>
    <x v="1"/>
    <n v="66"/>
    <x v="57"/>
    <x v="2"/>
    <s v="Blanco"/>
    <x v="3"/>
    <n v="2"/>
  </r>
  <r>
    <x v="1"/>
    <n v="66"/>
    <x v="57"/>
    <x v="2"/>
    <s v="Nulo"/>
    <x v="3"/>
    <n v="2"/>
  </r>
  <r>
    <x v="1"/>
    <n v="66"/>
    <x v="57"/>
    <x v="2"/>
    <s v="Movimiento socialista de los trabajadores"/>
    <x v="1"/>
    <n v="1"/>
  </r>
  <r>
    <x v="1"/>
    <n v="66"/>
    <x v="57"/>
    <x v="2"/>
    <s v="Pueblo Nuevo"/>
    <x v="1"/>
    <n v="1"/>
  </r>
  <r>
    <x v="1"/>
    <n v="66"/>
    <x v="57"/>
    <x v="3"/>
    <s v="Cambiemos - FREPAM"/>
    <x v="2"/>
    <n v="67"/>
  </r>
  <r>
    <x v="1"/>
    <n v="66"/>
    <x v="57"/>
    <x v="3"/>
    <s v="Frente justicialista pampeano"/>
    <x v="0"/>
    <n v="58"/>
  </r>
  <r>
    <x v="1"/>
    <n v="66"/>
    <x v="57"/>
    <x v="3"/>
    <s v="Comunidad organizada"/>
    <x v="1"/>
    <n v="2"/>
  </r>
  <r>
    <x v="1"/>
    <n v="66"/>
    <x v="57"/>
    <x v="3"/>
    <s v="Nulo"/>
    <x v="3"/>
    <n v="2"/>
  </r>
  <r>
    <x v="1"/>
    <n v="66"/>
    <x v="57"/>
    <x v="3"/>
    <s v="Pueblo Nuevo"/>
    <x v="1"/>
    <n v="1"/>
  </r>
  <r>
    <x v="1"/>
    <n v="66"/>
    <x v="57"/>
    <x v="3"/>
    <s v="Movimiento socialista de los trabajadores"/>
    <x v="1"/>
    <n v="1"/>
  </r>
  <r>
    <x v="1"/>
    <n v="66"/>
    <x v="57"/>
    <x v="3"/>
    <s v="Blanco"/>
    <x v="3"/>
    <n v="1"/>
  </r>
  <r>
    <x v="1"/>
    <n v="68"/>
    <x v="59"/>
    <x v="1"/>
    <s v="Frente justicialista pampeano"/>
    <x v="0"/>
    <n v="265"/>
  </r>
  <r>
    <x v="1"/>
    <n v="68"/>
    <x v="59"/>
    <x v="1"/>
    <s v="Cambiemos - FREPAM"/>
    <x v="2"/>
    <n v="220"/>
  </r>
  <r>
    <x v="1"/>
    <n v="68"/>
    <x v="59"/>
    <x v="1"/>
    <s v="Blanco"/>
    <x v="3"/>
    <n v="8"/>
  </r>
  <r>
    <x v="1"/>
    <n v="68"/>
    <x v="59"/>
    <x v="2"/>
    <s v="Frente justicialista pampeano"/>
    <x v="0"/>
    <n v="213"/>
  </r>
  <r>
    <x v="1"/>
    <n v="68"/>
    <x v="59"/>
    <x v="2"/>
    <s v="Cambiemos - FREPAM"/>
    <x v="2"/>
    <n v="169"/>
  </r>
  <r>
    <x v="1"/>
    <n v="68"/>
    <x v="59"/>
    <x v="2"/>
    <s v="Desde el pie "/>
    <x v="1"/>
    <n v="42"/>
  </r>
  <r>
    <x v="1"/>
    <n v="68"/>
    <x v="59"/>
    <x v="2"/>
    <s v="Comunidad organizada"/>
    <x v="1"/>
    <n v="34"/>
  </r>
  <r>
    <x v="1"/>
    <n v="68"/>
    <x v="59"/>
    <x v="2"/>
    <s v="Blanco"/>
    <x v="3"/>
    <n v="28"/>
  </r>
  <r>
    <x v="1"/>
    <n v="68"/>
    <x v="59"/>
    <x v="2"/>
    <s v="Movimiento socialista de los trabajadores"/>
    <x v="1"/>
    <n v="3"/>
  </r>
  <r>
    <x v="1"/>
    <n v="68"/>
    <x v="59"/>
    <x v="2"/>
    <s v="Nulo"/>
    <x v="3"/>
    <n v="3"/>
  </r>
  <r>
    <x v="1"/>
    <n v="68"/>
    <x v="59"/>
    <x v="2"/>
    <s v="Partido socialista"/>
    <x v="1"/>
    <n v="1"/>
  </r>
  <r>
    <x v="1"/>
    <n v="68"/>
    <x v="59"/>
    <x v="3"/>
    <s v="Frente justicialista pampeano"/>
    <x v="0"/>
    <n v="252"/>
  </r>
  <r>
    <x v="1"/>
    <n v="68"/>
    <x v="59"/>
    <x v="3"/>
    <s v="Cambiemos - FREPAM"/>
    <x v="2"/>
    <n v="183"/>
  </r>
  <r>
    <x v="1"/>
    <n v="68"/>
    <x v="59"/>
    <x v="3"/>
    <s v="Comunidad organizada"/>
    <x v="1"/>
    <n v="33"/>
  </r>
  <r>
    <x v="1"/>
    <n v="68"/>
    <x v="59"/>
    <x v="3"/>
    <s v="Blanco"/>
    <x v="3"/>
    <n v="10"/>
  </r>
  <r>
    <x v="1"/>
    <n v="68"/>
    <x v="59"/>
    <x v="3"/>
    <s v="Desde el pie "/>
    <x v="1"/>
    <n v="8"/>
  </r>
  <r>
    <x v="1"/>
    <n v="68"/>
    <x v="59"/>
    <x v="3"/>
    <s v="Movimiento socialista de los trabajadores"/>
    <x v="1"/>
    <n v="3"/>
  </r>
  <r>
    <x v="1"/>
    <n v="68"/>
    <x v="59"/>
    <x v="3"/>
    <s v="Partido socialista"/>
    <x v="1"/>
    <n v="2"/>
  </r>
  <r>
    <x v="1"/>
    <n v="68"/>
    <x v="59"/>
    <x v="3"/>
    <s v="Nulo"/>
    <x v="3"/>
    <n v="2"/>
  </r>
  <r>
    <x v="1"/>
    <n v="69"/>
    <x v="60"/>
    <x v="1"/>
    <s v="Frente justicialista pampeano"/>
    <x v="0"/>
    <n v="979"/>
  </r>
  <r>
    <x v="1"/>
    <n v="69"/>
    <x v="60"/>
    <x v="1"/>
    <s v="Cambiemos - FREPAM"/>
    <x v="2"/>
    <n v="537"/>
  </r>
  <r>
    <x v="1"/>
    <n v="69"/>
    <x v="60"/>
    <x v="1"/>
    <s v="Blanco"/>
    <x v="3"/>
    <n v="86"/>
  </r>
  <r>
    <x v="1"/>
    <n v="69"/>
    <x v="60"/>
    <x v="1"/>
    <s v="Nulo"/>
    <x v="3"/>
    <n v="10"/>
  </r>
  <r>
    <x v="1"/>
    <n v="69"/>
    <x v="60"/>
    <x v="2"/>
    <s v="Frente justicialista pampeano"/>
    <x v="0"/>
    <n v="945"/>
  </r>
  <r>
    <x v="1"/>
    <n v="69"/>
    <x v="60"/>
    <x v="2"/>
    <s v="Cambiemos - FREPAM"/>
    <x v="2"/>
    <n v="516"/>
  </r>
  <r>
    <x v="1"/>
    <n v="69"/>
    <x v="60"/>
    <x v="2"/>
    <s v="Blanco"/>
    <x v="3"/>
    <n v="84"/>
  </r>
  <r>
    <x v="1"/>
    <n v="69"/>
    <x v="60"/>
    <x v="2"/>
    <s v="Comunidad organizada"/>
    <x v="1"/>
    <n v="19"/>
  </r>
  <r>
    <x v="1"/>
    <n v="69"/>
    <x v="60"/>
    <x v="2"/>
    <s v="Nulo"/>
    <x v="3"/>
    <n v="16"/>
  </r>
  <r>
    <x v="1"/>
    <n v="69"/>
    <x v="60"/>
    <x v="2"/>
    <s v="Pueblo Nuevo"/>
    <x v="1"/>
    <n v="12"/>
  </r>
  <r>
    <x v="1"/>
    <n v="69"/>
    <x v="60"/>
    <x v="2"/>
    <s v="Movimiento socialista de los trabajadores"/>
    <x v="1"/>
    <n v="8"/>
  </r>
  <r>
    <x v="1"/>
    <n v="69"/>
    <x v="60"/>
    <x v="2"/>
    <s v="Partido socialista"/>
    <x v="1"/>
    <n v="5"/>
  </r>
  <r>
    <x v="1"/>
    <n v="69"/>
    <x v="60"/>
    <x v="2"/>
    <s v="Frente popular pampeano "/>
    <x v="1"/>
    <n v="4"/>
  </r>
  <r>
    <x v="1"/>
    <n v="69"/>
    <x v="60"/>
    <x v="2"/>
    <s v="Desde el pie "/>
    <x v="1"/>
    <n v="3"/>
  </r>
  <r>
    <x v="1"/>
    <n v="69"/>
    <x v="60"/>
    <x v="3"/>
    <s v="Frente justicialista pampeano"/>
    <x v="0"/>
    <n v="954"/>
  </r>
  <r>
    <x v="1"/>
    <n v="69"/>
    <x v="60"/>
    <x v="3"/>
    <s v="Cambiemos - FREPAM"/>
    <x v="2"/>
    <n v="523"/>
  </r>
  <r>
    <x v="1"/>
    <n v="69"/>
    <x v="60"/>
    <x v="3"/>
    <s v="Blanco"/>
    <x v="3"/>
    <n v="68"/>
  </r>
  <r>
    <x v="1"/>
    <n v="69"/>
    <x v="60"/>
    <x v="3"/>
    <s v="Comunidad organizada"/>
    <x v="1"/>
    <n v="19"/>
  </r>
  <r>
    <x v="1"/>
    <n v="69"/>
    <x v="60"/>
    <x v="3"/>
    <s v="Nulo"/>
    <x v="3"/>
    <n v="16"/>
  </r>
  <r>
    <x v="1"/>
    <n v="69"/>
    <x v="60"/>
    <x v="3"/>
    <s v="Pueblo Nuevo"/>
    <x v="1"/>
    <n v="14"/>
  </r>
  <r>
    <x v="1"/>
    <n v="69"/>
    <x v="60"/>
    <x v="3"/>
    <s v="Movimiento socialista de los trabajadores"/>
    <x v="1"/>
    <n v="8"/>
  </r>
  <r>
    <x v="1"/>
    <n v="69"/>
    <x v="60"/>
    <x v="3"/>
    <s v="Frente popular pampeano "/>
    <x v="1"/>
    <n v="4"/>
  </r>
  <r>
    <x v="1"/>
    <n v="69"/>
    <x v="60"/>
    <x v="3"/>
    <s v="Desde el pie "/>
    <x v="1"/>
    <n v="3"/>
  </r>
  <r>
    <x v="1"/>
    <n v="69"/>
    <x v="60"/>
    <x v="3"/>
    <s v="Partido socialista"/>
    <x v="1"/>
    <n v="3"/>
  </r>
  <r>
    <x v="1"/>
    <n v="71"/>
    <x v="62"/>
    <x v="1"/>
    <s v="Frente justicialista pampeano"/>
    <x v="0"/>
    <n v="611"/>
  </r>
  <r>
    <x v="1"/>
    <n v="71"/>
    <x v="62"/>
    <x v="1"/>
    <s v="Cambiemos - FREPAM"/>
    <x v="2"/>
    <n v="375"/>
  </r>
  <r>
    <x v="1"/>
    <n v="71"/>
    <x v="62"/>
    <x v="1"/>
    <s v="Blanco"/>
    <x v="3"/>
    <n v="60"/>
  </r>
  <r>
    <x v="1"/>
    <n v="71"/>
    <x v="62"/>
    <x v="2"/>
    <s v="Frente justicialista pampeano"/>
    <x v="0"/>
    <n v="617"/>
  </r>
  <r>
    <x v="1"/>
    <n v="71"/>
    <x v="62"/>
    <x v="2"/>
    <s v="Cambiemos - FREPAM"/>
    <x v="2"/>
    <n v="325"/>
  </r>
  <r>
    <x v="1"/>
    <n v="71"/>
    <x v="62"/>
    <x v="2"/>
    <s v="Blanco"/>
    <x v="3"/>
    <n v="50"/>
  </r>
  <r>
    <x v="1"/>
    <n v="71"/>
    <x v="62"/>
    <x v="2"/>
    <s v="Pueblo Nuevo"/>
    <x v="1"/>
    <n v="31"/>
  </r>
  <r>
    <x v="1"/>
    <n v="71"/>
    <x v="62"/>
    <x v="2"/>
    <s v="Comunidad organizada"/>
    <x v="1"/>
    <n v="9"/>
  </r>
  <r>
    <x v="1"/>
    <n v="71"/>
    <x v="62"/>
    <x v="2"/>
    <s v="Frente popular pampeano "/>
    <x v="1"/>
    <n v="4"/>
  </r>
  <r>
    <x v="1"/>
    <n v="71"/>
    <x v="62"/>
    <x v="2"/>
    <s v="Partido socialista"/>
    <x v="1"/>
    <n v="4"/>
  </r>
  <r>
    <x v="1"/>
    <n v="71"/>
    <x v="62"/>
    <x v="2"/>
    <s v="Nulo"/>
    <x v="3"/>
    <n v="3"/>
  </r>
  <r>
    <x v="1"/>
    <n v="71"/>
    <x v="62"/>
    <x v="2"/>
    <s v="Movimiento socialista de los trabajadores"/>
    <x v="1"/>
    <n v="2"/>
  </r>
  <r>
    <x v="1"/>
    <n v="71"/>
    <x v="62"/>
    <x v="2"/>
    <s v="Desde el pie "/>
    <x v="1"/>
    <n v="1"/>
  </r>
  <r>
    <x v="1"/>
    <n v="71"/>
    <x v="62"/>
    <x v="3"/>
    <s v="Frente justicialista pampeano"/>
    <x v="0"/>
    <n v="633"/>
  </r>
  <r>
    <x v="1"/>
    <n v="71"/>
    <x v="62"/>
    <x v="3"/>
    <s v="Cambiemos - FREPAM"/>
    <x v="2"/>
    <n v="325"/>
  </r>
  <r>
    <x v="1"/>
    <n v="71"/>
    <x v="62"/>
    <x v="3"/>
    <s v="Blanco"/>
    <x v="3"/>
    <n v="35"/>
  </r>
  <r>
    <x v="1"/>
    <n v="71"/>
    <x v="62"/>
    <x v="3"/>
    <s v="Pueblo Nuevo"/>
    <x v="1"/>
    <n v="31"/>
  </r>
  <r>
    <x v="1"/>
    <n v="71"/>
    <x v="62"/>
    <x v="3"/>
    <s v="Comunidad organizada"/>
    <x v="1"/>
    <n v="8"/>
  </r>
  <r>
    <x v="1"/>
    <n v="71"/>
    <x v="62"/>
    <x v="3"/>
    <s v="Partido socialista"/>
    <x v="1"/>
    <n v="4"/>
  </r>
  <r>
    <x v="1"/>
    <n v="71"/>
    <x v="62"/>
    <x v="3"/>
    <s v="Frente popular pampeano "/>
    <x v="1"/>
    <n v="4"/>
  </r>
  <r>
    <x v="1"/>
    <n v="71"/>
    <x v="62"/>
    <x v="3"/>
    <s v="Nulo"/>
    <x v="3"/>
    <n v="3"/>
  </r>
  <r>
    <x v="1"/>
    <n v="71"/>
    <x v="62"/>
    <x v="3"/>
    <s v="Movimiento socialista de los trabajadores"/>
    <x v="1"/>
    <n v="2"/>
  </r>
  <r>
    <x v="1"/>
    <n v="71"/>
    <x v="62"/>
    <x v="3"/>
    <s v="Desde el pie "/>
    <x v="1"/>
    <n v="1"/>
  </r>
  <r>
    <x v="1"/>
    <n v="72"/>
    <x v="63"/>
    <x v="1"/>
    <s v="Cambiemos - FREPAM"/>
    <x v="2"/>
    <n v="895"/>
  </r>
  <r>
    <x v="1"/>
    <n v="72"/>
    <x v="63"/>
    <x v="1"/>
    <s v="Frente justicialista pampeano"/>
    <x v="0"/>
    <n v="761"/>
  </r>
  <r>
    <x v="1"/>
    <n v="72"/>
    <x v="63"/>
    <x v="1"/>
    <s v="Blanco"/>
    <x v="3"/>
    <n v="99"/>
  </r>
  <r>
    <x v="1"/>
    <n v="72"/>
    <x v="63"/>
    <x v="1"/>
    <s v="Nulo"/>
    <x v="3"/>
    <n v="10"/>
  </r>
  <r>
    <x v="1"/>
    <n v="72"/>
    <x v="63"/>
    <x v="2"/>
    <s v="Cambiemos - FREPAM"/>
    <x v="2"/>
    <n v="768"/>
  </r>
  <r>
    <x v="1"/>
    <n v="72"/>
    <x v="63"/>
    <x v="2"/>
    <s v="Frente justicialista pampeano"/>
    <x v="0"/>
    <n v="729"/>
  </r>
  <r>
    <x v="1"/>
    <n v="72"/>
    <x v="63"/>
    <x v="2"/>
    <s v="Pueblo Nuevo"/>
    <x v="1"/>
    <n v="102"/>
  </r>
  <r>
    <x v="1"/>
    <n v="72"/>
    <x v="63"/>
    <x v="2"/>
    <s v="Blanco"/>
    <x v="3"/>
    <n v="93"/>
  </r>
  <r>
    <x v="1"/>
    <n v="72"/>
    <x v="63"/>
    <x v="2"/>
    <s v="Comunidad organizada"/>
    <x v="1"/>
    <n v="31"/>
  </r>
  <r>
    <x v="1"/>
    <n v="72"/>
    <x v="63"/>
    <x v="2"/>
    <s v="Nulo"/>
    <x v="3"/>
    <n v="17"/>
  </r>
  <r>
    <x v="1"/>
    <n v="72"/>
    <x v="63"/>
    <x v="2"/>
    <s v="Partido socialista"/>
    <x v="1"/>
    <n v="8"/>
  </r>
  <r>
    <x v="1"/>
    <n v="72"/>
    <x v="63"/>
    <x v="2"/>
    <s v="Frente popular pampeano "/>
    <x v="1"/>
    <n v="8"/>
  </r>
  <r>
    <x v="1"/>
    <n v="72"/>
    <x v="63"/>
    <x v="2"/>
    <s v="Movimiento socialista de los trabajadores"/>
    <x v="1"/>
    <n v="5"/>
  </r>
  <r>
    <x v="1"/>
    <n v="72"/>
    <x v="63"/>
    <x v="2"/>
    <s v="Desde el pie "/>
    <x v="1"/>
    <n v="4"/>
  </r>
  <r>
    <x v="1"/>
    <n v="72"/>
    <x v="63"/>
    <x v="3"/>
    <s v="Cambiemos - FREPAM"/>
    <x v="2"/>
    <n v="762"/>
  </r>
  <r>
    <x v="1"/>
    <n v="72"/>
    <x v="63"/>
    <x v="3"/>
    <s v="Frente justicialista pampeano"/>
    <x v="0"/>
    <n v="749"/>
  </r>
  <r>
    <x v="1"/>
    <n v="72"/>
    <x v="63"/>
    <x v="3"/>
    <s v="Pueblo Nuevo"/>
    <x v="1"/>
    <n v="100"/>
  </r>
  <r>
    <x v="1"/>
    <n v="72"/>
    <x v="63"/>
    <x v="3"/>
    <s v="Blanco"/>
    <x v="3"/>
    <n v="71"/>
  </r>
  <r>
    <x v="1"/>
    <n v="72"/>
    <x v="63"/>
    <x v="3"/>
    <s v="Comunidad organizada"/>
    <x v="1"/>
    <n v="46"/>
  </r>
  <r>
    <x v="1"/>
    <n v="72"/>
    <x v="63"/>
    <x v="3"/>
    <s v="Nulo"/>
    <x v="3"/>
    <n v="14"/>
  </r>
  <r>
    <x v="1"/>
    <n v="72"/>
    <x v="63"/>
    <x v="3"/>
    <s v="Frente popular pampeano "/>
    <x v="1"/>
    <n v="8"/>
  </r>
  <r>
    <x v="1"/>
    <n v="72"/>
    <x v="63"/>
    <x v="3"/>
    <s v="Partido socialista"/>
    <x v="1"/>
    <n v="6"/>
  </r>
  <r>
    <x v="1"/>
    <n v="72"/>
    <x v="63"/>
    <x v="3"/>
    <s v="Movimiento socialista de los trabajadores"/>
    <x v="1"/>
    <n v="5"/>
  </r>
  <r>
    <x v="1"/>
    <n v="72"/>
    <x v="63"/>
    <x v="3"/>
    <s v="Desde el pie "/>
    <x v="1"/>
    <n v="4"/>
  </r>
  <r>
    <x v="1"/>
    <n v="73"/>
    <x v="64"/>
    <x v="1"/>
    <s v="Frente justicialista pampeano"/>
    <x v="0"/>
    <n v="102"/>
  </r>
  <r>
    <x v="1"/>
    <n v="73"/>
    <x v="64"/>
    <x v="1"/>
    <s v="Blanco"/>
    <x v="3"/>
    <n v="58"/>
  </r>
  <r>
    <x v="1"/>
    <n v="73"/>
    <x v="64"/>
    <x v="2"/>
    <s v="Frente justicialista pampeano"/>
    <x v="0"/>
    <n v="96"/>
  </r>
  <r>
    <x v="1"/>
    <n v="73"/>
    <x v="64"/>
    <x v="2"/>
    <s v="Cambiemos - FREPAM"/>
    <x v="2"/>
    <n v="36"/>
  </r>
  <r>
    <x v="1"/>
    <n v="73"/>
    <x v="64"/>
    <x v="2"/>
    <s v="Blanco"/>
    <x v="3"/>
    <n v="11"/>
  </r>
  <r>
    <x v="1"/>
    <n v="73"/>
    <x v="64"/>
    <x v="2"/>
    <s v="Comunidad organizada"/>
    <x v="1"/>
    <n v="7"/>
  </r>
  <r>
    <x v="1"/>
    <n v="73"/>
    <x v="64"/>
    <x v="2"/>
    <s v="Pueblo Nuevo"/>
    <x v="1"/>
    <n v="5"/>
  </r>
  <r>
    <x v="1"/>
    <n v="73"/>
    <x v="64"/>
    <x v="2"/>
    <s v="Partido socialista"/>
    <x v="1"/>
    <n v="3"/>
  </r>
  <r>
    <x v="1"/>
    <n v="73"/>
    <x v="64"/>
    <x v="2"/>
    <s v="Nulo"/>
    <x v="3"/>
    <n v="2"/>
  </r>
  <r>
    <x v="1"/>
    <n v="73"/>
    <x v="64"/>
    <x v="3"/>
    <s v="Frente justicialista pampeano"/>
    <x v="0"/>
    <n v="101"/>
  </r>
  <r>
    <x v="1"/>
    <n v="73"/>
    <x v="64"/>
    <x v="3"/>
    <s v="Cambiemos - FREPAM"/>
    <x v="2"/>
    <n v="36"/>
  </r>
  <r>
    <x v="1"/>
    <n v="73"/>
    <x v="64"/>
    <x v="3"/>
    <s v="Comunidad organizada"/>
    <x v="1"/>
    <n v="8"/>
  </r>
  <r>
    <x v="1"/>
    <n v="73"/>
    <x v="64"/>
    <x v="3"/>
    <s v="Pueblo Nuevo"/>
    <x v="1"/>
    <n v="5"/>
  </r>
  <r>
    <x v="1"/>
    <n v="73"/>
    <x v="64"/>
    <x v="3"/>
    <s v="Blanco"/>
    <x v="3"/>
    <n v="5"/>
  </r>
  <r>
    <x v="1"/>
    <n v="73"/>
    <x v="64"/>
    <x v="3"/>
    <s v="Partido socialista"/>
    <x v="1"/>
    <n v="3"/>
  </r>
  <r>
    <x v="1"/>
    <n v="73"/>
    <x v="64"/>
    <x v="3"/>
    <s v="Nulo"/>
    <x v="3"/>
    <n v="2"/>
  </r>
  <r>
    <x v="1"/>
    <n v="74"/>
    <x v="65"/>
    <x v="5"/>
    <s v="Junta Vecinal Quetrequén Somos Todos"/>
    <x v="1"/>
    <n v="160"/>
  </r>
  <r>
    <x v="1"/>
    <n v="74"/>
    <x v="65"/>
    <x v="5"/>
    <s v="Blanco"/>
    <x v="3"/>
    <n v="155"/>
  </r>
  <r>
    <x v="1"/>
    <n v="74"/>
    <x v="65"/>
    <x v="2"/>
    <s v="Frente justicialista pampeano"/>
    <x v="0"/>
    <n v="161"/>
  </r>
  <r>
    <x v="1"/>
    <n v="74"/>
    <x v="65"/>
    <x v="2"/>
    <s v="Cambiemos - FREPAM"/>
    <x v="2"/>
    <n v="108"/>
  </r>
  <r>
    <x v="1"/>
    <n v="74"/>
    <x v="65"/>
    <x v="2"/>
    <s v="Blanco"/>
    <x v="3"/>
    <n v="27"/>
  </r>
  <r>
    <x v="1"/>
    <n v="74"/>
    <x v="65"/>
    <x v="2"/>
    <s v="Nulo"/>
    <x v="3"/>
    <n v="11"/>
  </r>
  <r>
    <x v="1"/>
    <n v="74"/>
    <x v="65"/>
    <x v="2"/>
    <s v="Partido socialista"/>
    <x v="1"/>
    <n v="3"/>
  </r>
  <r>
    <x v="1"/>
    <n v="74"/>
    <x v="65"/>
    <x v="2"/>
    <s v="Pueblo Nuevo"/>
    <x v="1"/>
    <n v="2"/>
  </r>
  <r>
    <x v="1"/>
    <n v="74"/>
    <x v="65"/>
    <x v="2"/>
    <s v="Desde el pie "/>
    <x v="1"/>
    <n v="2"/>
  </r>
  <r>
    <x v="1"/>
    <n v="74"/>
    <x v="65"/>
    <x v="2"/>
    <s v="Frente popular pampeano "/>
    <x v="1"/>
    <n v="1"/>
  </r>
  <r>
    <x v="1"/>
    <n v="74"/>
    <x v="65"/>
    <x v="3"/>
    <s v="Frente justicialista pampeano"/>
    <x v="0"/>
    <n v="161"/>
  </r>
  <r>
    <x v="1"/>
    <n v="74"/>
    <x v="65"/>
    <x v="3"/>
    <s v="Cambiemos - FREPAM"/>
    <x v="2"/>
    <n v="108"/>
  </r>
  <r>
    <x v="1"/>
    <n v="74"/>
    <x v="65"/>
    <x v="3"/>
    <s v="Blanco"/>
    <x v="3"/>
    <n v="27"/>
  </r>
  <r>
    <x v="1"/>
    <n v="74"/>
    <x v="65"/>
    <x v="3"/>
    <s v="Nulo"/>
    <x v="3"/>
    <n v="11"/>
  </r>
  <r>
    <x v="1"/>
    <n v="74"/>
    <x v="65"/>
    <x v="3"/>
    <s v="Partido socialista"/>
    <x v="1"/>
    <n v="3"/>
  </r>
  <r>
    <x v="1"/>
    <n v="74"/>
    <x v="65"/>
    <x v="3"/>
    <s v="Pueblo Nuevo"/>
    <x v="1"/>
    <n v="2"/>
  </r>
  <r>
    <x v="1"/>
    <n v="74"/>
    <x v="65"/>
    <x v="3"/>
    <s v="Desde el pie "/>
    <x v="1"/>
    <n v="2"/>
  </r>
  <r>
    <x v="1"/>
    <n v="74"/>
    <x v="65"/>
    <x v="3"/>
    <s v="Frente popular pampeano "/>
    <x v="1"/>
    <n v="1"/>
  </r>
  <r>
    <x v="1"/>
    <n v="75"/>
    <x v="66"/>
    <x v="1"/>
    <s v="Cambiemos - FREPAM"/>
    <x v="2"/>
    <n v="1637"/>
  </r>
  <r>
    <x v="1"/>
    <n v="75"/>
    <x v="66"/>
    <x v="1"/>
    <s v="Frente justicialista pampeano"/>
    <x v="0"/>
    <n v="1010"/>
  </r>
  <r>
    <x v="1"/>
    <n v="75"/>
    <x v="66"/>
    <x v="1"/>
    <s v="Blanco"/>
    <x v="3"/>
    <n v="61"/>
  </r>
  <r>
    <x v="1"/>
    <n v="75"/>
    <x v="66"/>
    <x v="1"/>
    <s v="Nulo"/>
    <x v="3"/>
    <n v="5"/>
  </r>
  <r>
    <x v="1"/>
    <n v="75"/>
    <x v="66"/>
    <x v="2"/>
    <s v="Cambiemos - FREPAM"/>
    <x v="2"/>
    <n v="1449"/>
  </r>
  <r>
    <x v="1"/>
    <n v="75"/>
    <x v="66"/>
    <x v="2"/>
    <s v="Frente justicialista pampeano"/>
    <x v="0"/>
    <n v="1107"/>
  </r>
  <r>
    <x v="1"/>
    <n v="75"/>
    <x v="66"/>
    <x v="2"/>
    <s v="Blanco"/>
    <x v="3"/>
    <n v="81"/>
  </r>
  <r>
    <x v="1"/>
    <n v="75"/>
    <x v="66"/>
    <x v="2"/>
    <s v="Comunidad organizada"/>
    <x v="1"/>
    <n v="21"/>
  </r>
  <r>
    <x v="1"/>
    <n v="75"/>
    <x v="66"/>
    <x v="2"/>
    <s v="Nulo"/>
    <x v="3"/>
    <n v="17"/>
  </r>
  <r>
    <x v="1"/>
    <n v="75"/>
    <x v="66"/>
    <x v="2"/>
    <s v="Partido socialista"/>
    <x v="1"/>
    <n v="17"/>
  </r>
  <r>
    <x v="1"/>
    <n v="75"/>
    <x v="66"/>
    <x v="2"/>
    <s v="Frente popular pampeano "/>
    <x v="1"/>
    <n v="7"/>
  </r>
  <r>
    <x v="1"/>
    <n v="75"/>
    <x v="66"/>
    <x v="2"/>
    <s v="Pueblo Nuevo"/>
    <x v="1"/>
    <n v="6"/>
  </r>
  <r>
    <x v="1"/>
    <n v="75"/>
    <x v="66"/>
    <x v="2"/>
    <s v="Movimiento socialista de los trabajadores"/>
    <x v="1"/>
    <n v="4"/>
  </r>
  <r>
    <x v="1"/>
    <n v="75"/>
    <x v="66"/>
    <x v="2"/>
    <s v="Desde el pie "/>
    <x v="1"/>
    <n v="4"/>
  </r>
  <r>
    <x v="1"/>
    <n v="75"/>
    <x v="66"/>
    <x v="3"/>
    <s v="Cambiemos - FREPAM"/>
    <x v="2"/>
    <n v="1439"/>
  </r>
  <r>
    <x v="1"/>
    <n v="75"/>
    <x v="66"/>
    <x v="3"/>
    <s v="Frente justicialista pampeano"/>
    <x v="0"/>
    <n v="1126"/>
  </r>
  <r>
    <x v="1"/>
    <n v="75"/>
    <x v="66"/>
    <x v="3"/>
    <s v="Blanco"/>
    <x v="3"/>
    <n v="68"/>
  </r>
  <r>
    <x v="1"/>
    <n v="75"/>
    <x v="66"/>
    <x v="3"/>
    <s v="Comunidad organizada"/>
    <x v="1"/>
    <n v="28"/>
  </r>
  <r>
    <x v="1"/>
    <n v="75"/>
    <x v="66"/>
    <x v="3"/>
    <s v="Nulo"/>
    <x v="3"/>
    <n v="18"/>
  </r>
  <r>
    <x v="1"/>
    <n v="75"/>
    <x v="66"/>
    <x v="3"/>
    <s v="Partido socialista"/>
    <x v="1"/>
    <n v="12"/>
  </r>
  <r>
    <x v="1"/>
    <n v="75"/>
    <x v="66"/>
    <x v="3"/>
    <s v="Frente popular pampeano "/>
    <x v="1"/>
    <n v="8"/>
  </r>
  <r>
    <x v="1"/>
    <n v="75"/>
    <x v="66"/>
    <x v="3"/>
    <s v="Pueblo Nuevo"/>
    <x v="1"/>
    <n v="6"/>
  </r>
  <r>
    <x v="1"/>
    <n v="75"/>
    <x v="66"/>
    <x v="3"/>
    <s v="Movimiento socialista de los trabajadores"/>
    <x v="1"/>
    <n v="4"/>
  </r>
  <r>
    <x v="1"/>
    <n v="75"/>
    <x v="66"/>
    <x v="3"/>
    <s v="Desde el pie "/>
    <x v="1"/>
    <n v="4"/>
  </r>
  <r>
    <x v="1"/>
    <n v="76"/>
    <x v="67"/>
    <x v="5"/>
    <s v="Cambiemos - FREPAM"/>
    <x v="2"/>
    <n v="95"/>
  </r>
  <r>
    <x v="1"/>
    <n v="76"/>
    <x v="67"/>
    <x v="5"/>
    <s v="Frente justicialista pampeano"/>
    <x v="0"/>
    <n v="79"/>
  </r>
  <r>
    <x v="1"/>
    <n v="76"/>
    <x v="67"/>
    <x v="5"/>
    <s v="Partido popular pampeano Adolfo Van Praet"/>
    <x v="1"/>
    <n v="70"/>
  </r>
  <r>
    <x v="1"/>
    <n v="76"/>
    <x v="67"/>
    <x v="5"/>
    <s v="Blanco"/>
    <x v="3"/>
    <n v="6"/>
  </r>
  <r>
    <x v="1"/>
    <n v="76"/>
    <x v="67"/>
    <x v="2"/>
    <s v="Cambiemos - FREPAM"/>
    <x v="2"/>
    <n v="96"/>
  </r>
  <r>
    <x v="1"/>
    <n v="76"/>
    <x v="67"/>
    <x v="2"/>
    <s v="Frente justicialista pampeano"/>
    <x v="0"/>
    <n v="96"/>
  </r>
  <r>
    <x v="1"/>
    <n v="76"/>
    <x v="67"/>
    <x v="2"/>
    <s v="Frente popular pampeano "/>
    <x v="1"/>
    <n v="45"/>
  </r>
  <r>
    <x v="1"/>
    <n v="76"/>
    <x v="67"/>
    <x v="2"/>
    <s v="Blanco"/>
    <x v="3"/>
    <n v="10"/>
  </r>
  <r>
    <x v="1"/>
    <n v="76"/>
    <x v="67"/>
    <x v="2"/>
    <s v="Comunidad organizada"/>
    <x v="1"/>
    <n v="2"/>
  </r>
  <r>
    <x v="1"/>
    <n v="76"/>
    <x v="67"/>
    <x v="2"/>
    <s v="Partido socialista"/>
    <x v="1"/>
    <n v="1"/>
  </r>
  <r>
    <x v="1"/>
    <n v="76"/>
    <x v="67"/>
    <x v="3"/>
    <s v="Cambiemos - FREPAM"/>
    <x v="2"/>
    <n v="96"/>
  </r>
  <r>
    <x v="1"/>
    <n v="76"/>
    <x v="67"/>
    <x v="3"/>
    <s v="Frente justicialista pampeano"/>
    <x v="0"/>
    <n v="96"/>
  </r>
  <r>
    <x v="1"/>
    <n v="76"/>
    <x v="67"/>
    <x v="3"/>
    <s v="Frente popular pampeano "/>
    <x v="1"/>
    <n v="45"/>
  </r>
  <r>
    <x v="1"/>
    <n v="76"/>
    <x v="67"/>
    <x v="3"/>
    <s v="Blanco"/>
    <x v="3"/>
    <n v="10"/>
  </r>
  <r>
    <x v="1"/>
    <n v="76"/>
    <x v="67"/>
    <x v="3"/>
    <s v="Comunidad organizada"/>
    <x v="1"/>
    <n v="2"/>
  </r>
  <r>
    <x v="1"/>
    <n v="76"/>
    <x v="67"/>
    <x v="3"/>
    <s v="Partido socialista"/>
    <x v="1"/>
    <n v="1"/>
  </r>
  <r>
    <x v="1"/>
    <n v="77"/>
    <x v="68"/>
    <x v="1"/>
    <s v="Cambiemos - FREPAM"/>
    <x v="2"/>
    <n v="618"/>
  </r>
  <r>
    <x v="1"/>
    <n v="77"/>
    <x v="68"/>
    <x v="1"/>
    <s v="Frente justicialista pampeano"/>
    <x v="0"/>
    <n v="478"/>
  </r>
  <r>
    <x v="1"/>
    <n v="77"/>
    <x v="68"/>
    <x v="1"/>
    <s v="Blanco"/>
    <x v="3"/>
    <n v="43"/>
  </r>
  <r>
    <x v="1"/>
    <n v="77"/>
    <x v="68"/>
    <x v="1"/>
    <s v="Nulo"/>
    <x v="3"/>
    <n v="3"/>
  </r>
  <r>
    <x v="1"/>
    <n v="77"/>
    <x v="68"/>
    <x v="2"/>
    <s v="Cambiemos - FREPAM"/>
    <x v="2"/>
    <n v="565"/>
  </r>
  <r>
    <x v="1"/>
    <n v="77"/>
    <x v="68"/>
    <x v="2"/>
    <s v="Frente justicialista pampeano"/>
    <x v="0"/>
    <n v="424"/>
  </r>
  <r>
    <x v="1"/>
    <n v="77"/>
    <x v="68"/>
    <x v="2"/>
    <s v="Blanco"/>
    <x v="3"/>
    <n v="65"/>
  </r>
  <r>
    <x v="1"/>
    <n v="77"/>
    <x v="68"/>
    <x v="2"/>
    <s v="Pueblo Nuevo"/>
    <x v="1"/>
    <n v="31"/>
  </r>
  <r>
    <x v="1"/>
    <n v="77"/>
    <x v="68"/>
    <x v="2"/>
    <s v="Comunidad organizada"/>
    <x v="1"/>
    <n v="30"/>
  </r>
  <r>
    <x v="1"/>
    <n v="77"/>
    <x v="68"/>
    <x v="2"/>
    <s v="Partido socialista"/>
    <x v="1"/>
    <n v="14"/>
  </r>
  <r>
    <x v="1"/>
    <n v="77"/>
    <x v="68"/>
    <x v="2"/>
    <s v="Nulo"/>
    <x v="3"/>
    <n v="8"/>
  </r>
  <r>
    <x v="1"/>
    <n v="77"/>
    <x v="68"/>
    <x v="2"/>
    <s v="Desde el pie "/>
    <x v="1"/>
    <n v="2"/>
  </r>
  <r>
    <x v="1"/>
    <n v="77"/>
    <x v="68"/>
    <x v="2"/>
    <s v="Movimiento socialista de los trabajadores"/>
    <x v="1"/>
    <n v="2"/>
  </r>
  <r>
    <x v="1"/>
    <n v="77"/>
    <x v="68"/>
    <x v="2"/>
    <s v="Frente popular pampeano "/>
    <x v="1"/>
    <n v="1"/>
  </r>
  <r>
    <x v="1"/>
    <n v="77"/>
    <x v="68"/>
    <x v="3"/>
    <s v="Cambiemos - FREPAM"/>
    <x v="2"/>
    <n v="500"/>
  </r>
  <r>
    <x v="1"/>
    <n v="77"/>
    <x v="68"/>
    <x v="3"/>
    <s v="Frente justicialista pampeano"/>
    <x v="0"/>
    <n v="430"/>
  </r>
  <r>
    <x v="1"/>
    <n v="77"/>
    <x v="68"/>
    <x v="3"/>
    <s v="Blanco"/>
    <x v="3"/>
    <n v="98"/>
  </r>
  <r>
    <x v="1"/>
    <n v="77"/>
    <x v="68"/>
    <x v="3"/>
    <s v="Comunidad organizada"/>
    <x v="1"/>
    <n v="43"/>
  </r>
  <r>
    <x v="1"/>
    <n v="77"/>
    <x v="68"/>
    <x v="3"/>
    <s v="Pueblo Nuevo"/>
    <x v="1"/>
    <n v="35"/>
  </r>
  <r>
    <x v="1"/>
    <n v="77"/>
    <x v="68"/>
    <x v="3"/>
    <s v="Partido socialista"/>
    <x v="1"/>
    <n v="23"/>
  </r>
  <r>
    <x v="1"/>
    <n v="77"/>
    <x v="68"/>
    <x v="3"/>
    <s v="Nulo"/>
    <x v="3"/>
    <n v="8"/>
  </r>
  <r>
    <x v="1"/>
    <n v="77"/>
    <x v="68"/>
    <x v="3"/>
    <s v="Movimiento socialista de los trabajadores"/>
    <x v="1"/>
    <n v="2"/>
  </r>
  <r>
    <x v="1"/>
    <n v="77"/>
    <x v="68"/>
    <x v="3"/>
    <s v="Desde el pie "/>
    <x v="1"/>
    <n v="2"/>
  </r>
  <r>
    <x v="1"/>
    <n v="77"/>
    <x v="68"/>
    <x v="3"/>
    <s v="Frente popular pampeano "/>
    <x v="1"/>
    <n v="1"/>
  </r>
  <r>
    <x v="1"/>
    <n v="78"/>
    <x v="69"/>
    <x v="5"/>
    <s v="Cambiemos - FREPAM"/>
    <x v="2"/>
    <n v="134"/>
  </r>
  <r>
    <x v="1"/>
    <n v="78"/>
    <x v="69"/>
    <x v="5"/>
    <s v="Frente justicialista pampeano"/>
    <x v="0"/>
    <n v="113"/>
  </r>
  <r>
    <x v="1"/>
    <n v="78"/>
    <x v="69"/>
    <x v="5"/>
    <s v="Blanco"/>
    <x v="3"/>
    <n v="2"/>
  </r>
  <r>
    <x v="1"/>
    <n v="78"/>
    <x v="69"/>
    <x v="2"/>
    <s v="Frente justicialista pampeano"/>
    <x v="0"/>
    <n v="119"/>
  </r>
  <r>
    <x v="1"/>
    <n v="78"/>
    <x v="69"/>
    <x v="2"/>
    <s v="Cambiemos - FREPAM"/>
    <x v="2"/>
    <n v="109"/>
  </r>
  <r>
    <x v="1"/>
    <n v="78"/>
    <x v="69"/>
    <x v="2"/>
    <s v="Blanco"/>
    <x v="3"/>
    <n v="10"/>
  </r>
  <r>
    <x v="1"/>
    <n v="78"/>
    <x v="69"/>
    <x v="2"/>
    <s v="Pueblo Nuevo"/>
    <x v="1"/>
    <n v="5"/>
  </r>
  <r>
    <x v="1"/>
    <n v="78"/>
    <x v="69"/>
    <x v="2"/>
    <s v="Comunidad organizada"/>
    <x v="1"/>
    <n v="3"/>
  </r>
  <r>
    <x v="1"/>
    <n v="78"/>
    <x v="69"/>
    <x v="2"/>
    <s v="Partido socialista"/>
    <x v="1"/>
    <n v="2"/>
  </r>
  <r>
    <x v="1"/>
    <n v="78"/>
    <x v="69"/>
    <x v="2"/>
    <s v="Frente popular pampeano "/>
    <x v="1"/>
    <n v="1"/>
  </r>
  <r>
    <x v="1"/>
    <n v="78"/>
    <x v="69"/>
    <x v="3"/>
    <s v="Frente justicialista pampeano"/>
    <x v="0"/>
    <n v="125"/>
  </r>
  <r>
    <x v="1"/>
    <n v="78"/>
    <x v="69"/>
    <x v="3"/>
    <s v="Cambiemos - FREPAM"/>
    <x v="2"/>
    <n v="108"/>
  </r>
  <r>
    <x v="1"/>
    <n v="78"/>
    <x v="69"/>
    <x v="3"/>
    <s v="Pueblo Nuevo"/>
    <x v="1"/>
    <n v="5"/>
  </r>
  <r>
    <x v="1"/>
    <n v="78"/>
    <x v="69"/>
    <x v="3"/>
    <s v="Comunidad organizada"/>
    <x v="1"/>
    <n v="5"/>
  </r>
  <r>
    <x v="1"/>
    <n v="78"/>
    <x v="69"/>
    <x v="3"/>
    <s v="Blanco"/>
    <x v="3"/>
    <n v="3"/>
  </r>
  <r>
    <x v="1"/>
    <n v="78"/>
    <x v="69"/>
    <x v="3"/>
    <s v="Partido socialista"/>
    <x v="1"/>
    <n v="1"/>
  </r>
  <r>
    <x v="1"/>
    <n v="78"/>
    <x v="69"/>
    <x v="3"/>
    <s v="Desde el pie "/>
    <x v="1"/>
    <n v="1"/>
  </r>
  <r>
    <x v="1"/>
    <n v="78"/>
    <x v="69"/>
    <x v="3"/>
    <s v="Frente popular pampeano "/>
    <x v="1"/>
    <n v="1"/>
  </r>
  <r>
    <x v="1"/>
    <n v="79"/>
    <x v="70"/>
    <x v="1"/>
    <s v="Cambiemos - FREPAM"/>
    <x v="2"/>
    <n v="674"/>
  </r>
  <r>
    <x v="1"/>
    <n v="79"/>
    <x v="70"/>
    <x v="1"/>
    <s v="Frente justicialista pampeano"/>
    <x v="0"/>
    <n v="309"/>
  </r>
  <r>
    <x v="1"/>
    <n v="79"/>
    <x v="70"/>
    <x v="1"/>
    <s v="Blanco"/>
    <x v="3"/>
    <n v="46"/>
  </r>
  <r>
    <x v="1"/>
    <n v="79"/>
    <x v="70"/>
    <x v="1"/>
    <s v="Nulo"/>
    <x v="3"/>
    <n v="3"/>
  </r>
  <r>
    <x v="1"/>
    <n v="79"/>
    <x v="70"/>
    <x v="2"/>
    <s v="Cambiemos - FREPAM"/>
    <x v="2"/>
    <n v="485"/>
  </r>
  <r>
    <x v="1"/>
    <n v="79"/>
    <x v="70"/>
    <x v="2"/>
    <s v="Frente justicialista pampeano"/>
    <x v="0"/>
    <n v="390"/>
  </r>
  <r>
    <x v="1"/>
    <n v="79"/>
    <x v="70"/>
    <x v="2"/>
    <s v="Blanco"/>
    <x v="3"/>
    <n v="70"/>
  </r>
  <r>
    <x v="1"/>
    <n v="79"/>
    <x v="70"/>
    <x v="2"/>
    <s v="Pueblo Nuevo"/>
    <x v="1"/>
    <n v="47"/>
  </r>
  <r>
    <x v="1"/>
    <n v="79"/>
    <x v="70"/>
    <x v="2"/>
    <s v="Comunidad organizada"/>
    <x v="1"/>
    <n v="17"/>
  </r>
  <r>
    <x v="1"/>
    <n v="79"/>
    <x v="70"/>
    <x v="2"/>
    <s v="Nulo"/>
    <x v="3"/>
    <n v="12"/>
  </r>
  <r>
    <x v="1"/>
    <n v="79"/>
    <x v="70"/>
    <x v="2"/>
    <s v="Partido socialista"/>
    <x v="1"/>
    <n v="6"/>
  </r>
  <r>
    <x v="1"/>
    <n v="79"/>
    <x v="70"/>
    <x v="2"/>
    <s v="Desde el pie "/>
    <x v="1"/>
    <n v="3"/>
  </r>
  <r>
    <x v="1"/>
    <n v="79"/>
    <x v="70"/>
    <x v="2"/>
    <s v="Movimiento socialista de los trabajadores"/>
    <x v="1"/>
    <n v="1"/>
  </r>
  <r>
    <x v="1"/>
    <n v="79"/>
    <x v="70"/>
    <x v="2"/>
    <s v="Frente popular pampeano "/>
    <x v="1"/>
    <n v="1"/>
  </r>
  <r>
    <x v="1"/>
    <n v="79"/>
    <x v="70"/>
    <x v="3"/>
    <s v="Cambiemos - FREPAM"/>
    <x v="2"/>
    <n v="469"/>
  </r>
  <r>
    <x v="1"/>
    <n v="79"/>
    <x v="70"/>
    <x v="3"/>
    <s v="Frente justicialista pampeano"/>
    <x v="0"/>
    <n v="418"/>
  </r>
  <r>
    <x v="1"/>
    <n v="79"/>
    <x v="70"/>
    <x v="3"/>
    <s v="Blanco"/>
    <x v="3"/>
    <n v="51"/>
  </r>
  <r>
    <x v="1"/>
    <n v="79"/>
    <x v="70"/>
    <x v="3"/>
    <s v="Pueblo Nuevo"/>
    <x v="1"/>
    <n v="49"/>
  </r>
  <r>
    <x v="1"/>
    <n v="79"/>
    <x v="70"/>
    <x v="3"/>
    <s v="Comunidad organizada"/>
    <x v="1"/>
    <n v="24"/>
  </r>
  <r>
    <x v="1"/>
    <n v="79"/>
    <x v="70"/>
    <x v="3"/>
    <s v="Nulo"/>
    <x v="3"/>
    <n v="12"/>
  </r>
  <r>
    <x v="1"/>
    <n v="79"/>
    <x v="70"/>
    <x v="3"/>
    <s v="Partido socialista"/>
    <x v="1"/>
    <n v="4"/>
  </r>
  <r>
    <x v="1"/>
    <n v="79"/>
    <x v="70"/>
    <x v="3"/>
    <s v="Desde el pie "/>
    <x v="1"/>
    <n v="3"/>
  </r>
  <r>
    <x v="1"/>
    <n v="79"/>
    <x v="70"/>
    <x v="3"/>
    <s v="Movimiento socialista de los trabajadores"/>
    <x v="1"/>
    <n v="1"/>
  </r>
  <r>
    <x v="1"/>
    <n v="79"/>
    <x v="70"/>
    <x v="3"/>
    <s v="Frente popular pampeano "/>
    <x v="1"/>
    <n v="1"/>
  </r>
  <r>
    <x v="1"/>
    <n v="80"/>
    <x v="71"/>
    <x v="5"/>
    <s v="Junta Vecinal de Falucho"/>
    <x v="1"/>
    <n v="124"/>
  </r>
  <r>
    <x v="1"/>
    <n v="80"/>
    <x v="71"/>
    <x v="5"/>
    <s v="Cambiemos - FREPAM"/>
    <x v="2"/>
    <n v="38"/>
  </r>
  <r>
    <x v="1"/>
    <n v="80"/>
    <x v="71"/>
    <x v="5"/>
    <s v="Blanco"/>
    <x v="3"/>
    <n v="3"/>
  </r>
  <r>
    <x v="1"/>
    <n v="80"/>
    <x v="71"/>
    <x v="5"/>
    <s v="Nulo"/>
    <x v="3"/>
    <n v="1"/>
  </r>
  <r>
    <x v="1"/>
    <n v="80"/>
    <x v="71"/>
    <x v="2"/>
    <s v="Frente justicialista pampeano"/>
    <x v="0"/>
    <n v="88"/>
  </r>
  <r>
    <x v="1"/>
    <n v="80"/>
    <x v="71"/>
    <x v="2"/>
    <s v="Cambiemos - FREPAM"/>
    <x v="2"/>
    <n v="51"/>
  </r>
  <r>
    <x v="1"/>
    <n v="80"/>
    <x v="71"/>
    <x v="2"/>
    <s v="Blanco"/>
    <x v="3"/>
    <n v="22"/>
  </r>
  <r>
    <x v="1"/>
    <n v="80"/>
    <x v="71"/>
    <x v="2"/>
    <s v="Comunidad organizada"/>
    <x v="1"/>
    <n v="4"/>
  </r>
  <r>
    <x v="1"/>
    <n v="80"/>
    <x v="71"/>
    <x v="2"/>
    <s v="Nulo"/>
    <x v="3"/>
    <n v="1"/>
  </r>
  <r>
    <x v="1"/>
    <n v="80"/>
    <x v="71"/>
    <x v="3"/>
    <s v="Frente justicialista pampeano"/>
    <x v="0"/>
    <n v="88"/>
  </r>
  <r>
    <x v="1"/>
    <n v="80"/>
    <x v="71"/>
    <x v="3"/>
    <s v="Cambiemos - FREPAM"/>
    <x v="2"/>
    <n v="54"/>
  </r>
  <r>
    <x v="1"/>
    <n v="80"/>
    <x v="71"/>
    <x v="3"/>
    <s v="Blanco"/>
    <x v="3"/>
    <n v="17"/>
  </r>
  <r>
    <x v="1"/>
    <n v="80"/>
    <x v="71"/>
    <x v="3"/>
    <s v="Comunidad organizada"/>
    <x v="1"/>
    <n v="5"/>
  </r>
  <r>
    <x v="1"/>
    <n v="80"/>
    <x v="71"/>
    <x v="3"/>
    <s v="Pueblo Nuevo"/>
    <x v="1"/>
    <n v="1"/>
  </r>
  <r>
    <x v="1"/>
    <n v="80"/>
    <x v="71"/>
    <x v="3"/>
    <s v="Nulo"/>
    <x v="3"/>
    <n v="1"/>
  </r>
  <r>
    <x v="1"/>
    <n v="81"/>
    <x v="72"/>
    <x v="1"/>
    <s v="PJ"/>
    <x v="0"/>
    <n v="1890"/>
  </r>
  <r>
    <x v="1"/>
    <n v="81"/>
    <x v="72"/>
    <x v="1"/>
    <s v="Cambiemos - FREPAM"/>
    <x v="2"/>
    <n v="1214"/>
  </r>
  <r>
    <x v="1"/>
    <n v="81"/>
    <x v="72"/>
    <x v="1"/>
    <s v="Blanco"/>
    <x v="3"/>
    <n v="139"/>
  </r>
  <r>
    <x v="1"/>
    <n v="81"/>
    <x v="72"/>
    <x v="1"/>
    <s v="Nulo"/>
    <x v="3"/>
    <n v="77"/>
  </r>
  <r>
    <x v="1"/>
    <n v="81"/>
    <x v="72"/>
    <x v="3"/>
    <s v="PJ"/>
    <x v="0"/>
    <n v="1770"/>
  </r>
  <r>
    <x v="1"/>
    <n v="81"/>
    <x v="72"/>
    <x v="3"/>
    <s v="Cambiemos - FREPAM"/>
    <x v="2"/>
    <n v="1140"/>
  </r>
  <r>
    <x v="1"/>
    <n v="81"/>
    <x v="72"/>
    <x v="3"/>
    <s v="Comunidad organizada"/>
    <x v="1"/>
    <n v="130"/>
  </r>
  <r>
    <x v="1"/>
    <n v="81"/>
    <x v="72"/>
    <x v="3"/>
    <s v="Nulo"/>
    <x v="3"/>
    <n v="78"/>
  </r>
  <r>
    <x v="1"/>
    <n v="81"/>
    <x v="72"/>
    <x v="3"/>
    <s v="Blanco"/>
    <x v="3"/>
    <n v="73"/>
  </r>
  <r>
    <x v="1"/>
    <n v="81"/>
    <x v="72"/>
    <x v="3"/>
    <s v="Pueblo Nuevo"/>
    <x v="1"/>
    <n v="59"/>
  </r>
  <r>
    <x v="1"/>
    <n v="81"/>
    <x v="72"/>
    <x v="3"/>
    <s v="Partido socialista"/>
    <x v="1"/>
    <n v="34"/>
  </r>
  <r>
    <x v="1"/>
    <n v="81"/>
    <x v="72"/>
    <x v="3"/>
    <s v="Movimiento socialista de los trabajadores"/>
    <x v="1"/>
    <n v="15"/>
  </r>
  <r>
    <x v="1"/>
    <n v="81"/>
    <x v="72"/>
    <x v="3"/>
    <s v="Frente popular pampeano "/>
    <x v="1"/>
    <n v="11"/>
  </r>
  <r>
    <x v="1"/>
    <n v="81"/>
    <x v="72"/>
    <x v="3"/>
    <s v="Desde el pie "/>
    <x v="1"/>
    <n v="10"/>
  </r>
  <r>
    <x v="1"/>
    <n v="81"/>
    <x v="72"/>
    <x v="2"/>
    <s v="PJ"/>
    <x v="0"/>
    <n v="1783"/>
  </r>
  <r>
    <x v="1"/>
    <n v="81"/>
    <x v="72"/>
    <x v="2"/>
    <s v="Cambiemos - FREPAM"/>
    <x v="2"/>
    <n v="1114"/>
  </r>
  <r>
    <x v="1"/>
    <n v="81"/>
    <x v="72"/>
    <x v="2"/>
    <s v="Blanco"/>
    <x v="3"/>
    <n v="100"/>
  </r>
  <r>
    <x v="1"/>
    <n v="81"/>
    <x v="72"/>
    <x v="2"/>
    <s v="Nulo"/>
    <x v="3"/>
    <n v="92"/>
  </r>
  <r>
    <x v="1"/>
    <n v="81"/>
    <x v="72"/>
    <x v="2"/>
    <s v="Comunidad organizada"/>
    <x v="1"/>
    <n v="84"/>
  </r>
  <r>
    <x v="1"/>
    <n v="81"/>
    <x v="72"/>
    <x v="2"/>
    <s v="Pueblo Nuevo"/>
    <x v="1"/>
    <n v="56"/>
  </r>
  <r>
    <x v="1"/>
    <n v="81"/>
    <x v="72"/>
    <x v="2"/>
    <s v="Partido socialista"/>
    <x v="1"/>
    <n v="52"/>
  </r>
  <r>
    <x v="1"/>
    <n v="81"/>
    <x v="72"/>
    <x v="2"/>
    <s v="Movimiento socialista de los trabajadores"/>
    <x v="1"/>
    <n v="17"/>
  </r>
  <r>
    <x v="1"/>
    <n v="81"/>
    <x v="72"/>
    <x v="2"/>
    <s v="Frente popular pampeano "/>
    <x v="1"/>
    <n v="11"/>
  </r>
  <r>
    <x v="1"/>
    <n v="81"/>
    <x v="72"/>
    <x v="2"/>
    <s v="Desde el pie "/>
    <x v="1"/>
    <n v="11"/>
  </r>
  <r>
    <x v="1"/>
    <n v="82"/>
    <x v="73"/>
    <x v="1"/>
    <s v="PJ"/>
    <x v="0"/>
    <n v="2723"/>
  </r>
  <r>
    <x v="1"/>
    <n v="82"/>
    <x v="73"/>
    <x v="1"/>
    <s v="Cambiemos - FREPAM"/>
    <x v="2"/>
    <n v="2025"/>
  </r>
  <r>
    <x v="1"/>
    <n v="82"/>
    <x v="73"/>
    <x v="1"/>
    <s v="Frente popular pampeano "/>
    <x v="1"/>
    <n v="300"/>
  </r>
  <r>
    <x v="1"/>
    <n v="82"/>
    <x v="73"/>
    <x v="1"/>
    <s v="Blanco"/>
    <x v="3"/>
    <n v="273"/>
  </r>
  <r>
    <x v="1"/>
    <n v="82"/>
    <x v="73"/>
    <x v="1"/>
    <s v="Nulo"/>
    <x v="3"/>
    <n v="55"/>
  </r>
  <r>
    <x v="1"/>
    <n v="82"/>
    <x v="73"/>
    <x v="3"/>
    <s v="PJ"/>
    <x v="0"/>
    <n v="2815"/>
  </r>
  <r>
    <x v="1"/>
    <n v="82"/>
    <x v="73"/>
    <x v="3"/>
    <s v="Cambiemos - FREPAM"/>
    <x v="2"/>
    <n v="1829"/>
  </r>
  <r>
    <x v="1"/>
    <n v="82"/>
    <x v="73"/>
    <x v="3"/>
    <s v="Frente popular pampeano "/>
    <x v="1"/>
    <n v="188"/>
  </r>
  <r>
    <x v="1"/>
    <n v="82"/>
    <x v="73"/>
    <x v="3"/>
    <s v="Pueblo Nuevo"/>
    <x v="1"/>
    <n v="152"/>
  </r>
  <r>
    <x v="1"/>
    <n v="82"/>
    <x v="73"/>
    <x v="3"/>
    <s v="Blanco"/>
    <x v="3"/>
    <n v="141"/>
  </r>
  <r>
    <x v="1"/>
    <n v="82"/>
    <x v="73"/>
    <x v="3"/>
    <s v="Comunidad organizada"/>
    <x v="1"/>
    <n v="109"/>
  </r>
  <r>
    <x v="1"/>
    <n v="82"/>
    <x v="73"/>
    <x v="3"/>
    <s v="Nulo"/>
    <x v="3"/>
    <n v="70"/>
  </r>
  <r>
    <x v="1"/>
    <n v="82"/>
    <x v="73"/>
    <x v="3"/>
    <s v="Partido socialista"/>
    <x v="1"/>
    <n v="31"/>
  </r>
  <r>
    <x v="1"/>
    <n v="82"/>
    <x v="73"/>
    <x v="3"/>
    <s v="Movimiento socialista de los trabajadores"/>
    <x v="1"/>
    <n v="21"/>
  </r>
  <r>
    <x v="1"/>
    <n v="82"/>
    <x v="73"/>
    <x v="3"/>
    <s v="Desde el pie "/>
    <x v="1"/>
    <n v="20"/>
  </r>
  <r>
    <x v="1"/>
    <n v="82"/>
    <x v="73"/>
    <x v="2"/>
    <s v="PJ"/>
    <x v="0"/>
    <n v="2746"/>
  </r>
  <r>
    <x v="1"/>
    <n v="82"/>
    <x v="73"/>
    <x v="2"/>
    <s v="Cambiemos - FREPAM"/>
    <x v="2"/>
    <n v="1841"/>
  </r>
  <r>
    <x v="1"/>
    <n v="82"/>
    <x v="73"/>
    <x v="2"/>
    <s v="Blanco"/>
    <x v="3"/>
    <n v="199"/>
  </r>
  <r>
    <x v="1"/>
    <n v="82"/>
    <x v="73"/>
    <x v="2"/>
    <s v="Frente popular pampeano "/>
    <x v="1"/>
    <n v="193"/>
  </r>
  <r>
    <x v="1"/>
    <n v="82"/>
    <x v="73"/>
    <x v="2"/>
    <s v="Pueblo Nuevo"/>
    <x v="1"/>
    <n v="150"/>
  </r>
  <r>
    <x v="1"/>
    <n v="82"/>
    <x v="73"/>
    <x v="2"/>
    <s v="Comunidad organizada"/>
    <x v="1"/>
    <n v="89"/>
  </r>
  <r>
    <x v="1"/>
    <n v="82"/>
    <x v="73"/>
    <x v="2"/>
    <s v="Nulo"/>
    <x v="3"/>
    <n v="67"/>
  </r>
  <r>
    <x v="1"/>
    <n v="82"/>
    <x v="73"/>
    <x v="2"/>
    <s v="Partido socialista"/>
    <x v="1"/>
    <n v="52"/>
  </r>
  <r>
    <x v="1"/>
    <n v="82"/>
    <x v="73"/>
    <x v="2"/>
    <s v="Movimiento socialista de los trabajadores"/>
    <x v="1"/>
    <n v="20"/>
  </r>
  <r>
    <x v="1"/>
    <n v="82"/>
    <x v="73"/>
    <x v="2"/>
    <s v="Desde el pie "/>
    <x v="1"/>
    <n v="19"/>
  </r>
  <r>
    <x v="1"/>
    <n v="86"/>
    <x v="77"/>
    <x v="1"/>
    <s v="PJ"/>
    <x v="0"/>
    <n v="5309"/>
  </r>
  <r>
    <x v="1"/>
    <n v="86"/>
    <x v="77"/>
    <x v="1"/>
    <s v="Cambiemos - FREPAM"/>
    <x v="2"/>
    <n v="1964"/>
  </r>
  <r>
    <x v="1"/>
    <n v="86"/>
    <x v="77"/>
    <x v="1"/>
    <s v="Comunidad organizada"/>
    <x v="1"/>
    <n v="744"/>
  </r>
  <r>
    <x v="1"/>
    <n v="86"/>
    <x v="77"/>
    <x v="1"/>
    <s v="Blanco"/>
    <x v="3"/>
    <n v="492"/>
  </r>
  <r>
    <x v="1"/>
    <n v="86"/>
    <x v="77"/>
    <x v="1"/>
    <s v="Pueblo Nuevo"/>
    <x v="1"/>
    <n v="383"/>
  </r>
  <r>
    <x v="1"/>
    <n v="86"/>
    <x v="77"/>
    <x v="1"/>
    <s v="Frente popular pampeano "/>
    <x v="1"/>
    <n v="247"/>
  </r>
  <r>
    <x v="1"/>
    <n v="86"/>
    <x v="77"/>
    <x v="1"/>
    <s v="Partido socialista"/>
    <x v="1"/>
    <n v="207"/>
  </r>
  <r>
    <x v="1"/>
    <n v="86"/>
    <x v="77"/>
    <x v="1"/>
    <s v="Nulo"/>
    <x v="3"/>
    <n v="94"/>
  </r>
  <r>
    <x v="1"/>
    <n v="86"/>
    <x v="77"/>
    <x v="3"/>
    <s v="PJ"/>
    <x v="0"/>
    <n v="5019"/>
  </r>
  <r>
    <x v="1"/>
    <n v="86"/>
    <x v="77"/>
    <x v="3"/>
    <s v="Cambiemos - FREPAM"/>
    <x v="2"/>
    <n v="2167"/>
  </r>
  <r>
    <x v="1"/>
    <n v="86"/>
    <x v="77"/>
    <x v="3"/>
    <s v="Comunidad organizada"/>
    <x v="1"/>
    <n v="940"/>
  </r>
  <r>
    <x v="1"/>
    <n v="86"/>
    <x v="77"/>
    <x v="3"/>
    <s v="Pueblo Nuevo"/>
    <x v="1"/>
    <n v="352"/>
  </r>
  <r>
    <x v="1"/>
    <n v="86"/>
    <x v="77"/>
    <x v="3"/>
    <s v="Blanco"/>
    <x v="3"/>
    <n v="230"/>
  </r>
  <r>
    <x v="1"/>
    <n v="86"/>
    <x v="77"/>
    <x v="3"/>
    <s v="Frente popular pampeano "/>
    <x v="1"/>
    <n v="219"/>
  </r>
  <r>
    <x v="1"/>
    <n v="86"/>
    <x v="77"/>
    <x v="3"/>
    <s v="Partido socialista"/>
    <x v="1"/>
    <n v="204"/>
  </r>
  <r>
    <x v="1"/>
    <n v="86"/>
    <x v="77"/>
    <x v="3"/>
    <s v="Nulo"/>
    <x v="3"/>
    <n v="110"/>
  </r>
  <r>
    <x v="1"/>
    <n v="86"/>
    <x v="77"/>
    <x v="3"/>
    <s v="Movimiento socialista de los trabajadores"/>
    <x v="1"/>
    <n v="106"/>
  </r>
  <r>
    <x v="1"/>
    <n v="86"/>
    <x v="77"/>
    <x v="3"/>
    <s v="Desde el pie "/>
    <x v="1"/>
    <n v="93"/>
  </r>
  <r>
    <x v="1"/>
    <n v="86"/>
    <x v="77"/>
    <x v="2"/>
    <s v="PJ"/>
    <x v="0"/>
    <n v="5067"/>
  </r>
  <r>
    <x v="1"/>
    <n v="86"/>
    <x v="77"/>
    <x v="2"/>
    <s v="Cambiemos - FREPAM"/>
    <x v="2"/>
    <n v="2112"/>
  </r>
  <r>
    <x v="1"/>
    <n v="86"/>
    <x v="77"/>
    <x v="2"/>
    <s v="Comunidad organizada"/>
    <x v="1"/>
    <n v="795"/>
  </r>
  <r>
    <x v="1"/>
    <n v="86"/>
    <x v="77"/>
    <x v="2"/>
    <s v="Blanco"/>
    <x v="3"/>
    <n v="362"/>
  </r>
  <r>
    <x v="1"/>
    <n v="86"/>
    <x v="77"/>
    <x v="2"/>
    <s v="Pueblo Nuevo"/>
    <x v="1"/>
    <n v="361"/>
  </r>
  <r>
    <x v="1"/>
    <n v="86"/>
    <x v="77"/>
    <x v="2"/>
    <s v="Frente popular pampeano "/>
    <x v="1"/>
    <n v="224"/>
  </r>
  <r>
    <x v="1"/>
    <n v="86"/>
    <x v="77"/>
    <x v="2"/>
    <s v="Partido socialista"/>
    <x v="1"/>
    <n v="212"/>
  </r>
  <r>
    <x v="1"/>
    <n v="86"/>
    <x v="77"/>
    <x v="2"/>
    <s v="Movimiento socialista de los trabajadores"/>
    <x v="1"/>
    <n v="106"/>
  </r>
  <r>
    <x v="1"/>
    <n v="87"/>
    <x v="77"/>
    <x v="2"/>
    <s v="Nulo"/>
    <x v="3"/>
    <n v="104"/>
  </r>
  <r>
    <x v="1"/>
    <n v="87"/>
    <x v="77"/>
    <x v="2"/>
    <s v="Desde el pie "/>
    <x v="1"/>
    <n v="97"/>
  </r>
  <r>
    <x v="1"/>
    <n v="87"/>
    <x v="78"/>
    <x v="1"/>
    <s v="Frente justicialista pampeano"/>
    <x v="0"/>
    <n v="453"/>
  </r>
  <r>
    <x v="1"/>
    <n v="87"/>
    <x v="78"/>
    <x v="1"/>
    <s v="Cambiemos - FREPAM"/>
    <x v="2"/>
    <n v="349"/>
  </r>
  <r>
    <x v="1"/>
    <n v="87"/>
    <x v="78"/>
    <x v="1"/>
    <s v="Blanco"/>
    <x v="3"/>
    <n v="24"/>
  </r>
  <r>
    <x v="1"/>
    <n v="87"/>
    <x v="78"/>
    <x v="1"/>
    <s v="Nulo"/>
    <x v="3"/>
    <n v="1"/>
  </r>
  <r>
    <x v="1"/>
    <n v="87"/>
    <x v="78"/>
    <x v="2"/>
    <s v="Frente justicialista pampeano"/>
    <x v="0"/>
    <n v="425"/>
  </r>
  <r>
    <x v="1"/>
    <n v="87"/>
    <x v="78"/>
    <x v="2"/>
    <s v="Cambiemos - FREPAM"/>
    <x v="2"/>
    <n v="275"/>
  </r>
  <r>
    <x v="1"/>
    <n v="87"/>
    <x v="78"/>
    <x v="2"/>
    <s v="Comunidad organizada"/>
    <x v="1"/>
    <n v="58"/>
  </r>
  <r>
    <x v="1"/>
    <n v="87"/>
    <x v="78"/>
    <x v="2"/>
    <s v="Blanco"/>
    <x v="3"/>
    <n v="36"/>
  </r>
  <r>
    <x v="1"/>
    <n v="87"/>
    <x v="78"/>
    <x v="2"/>
    <s v="Pueblo Nuevo"/>
    <x v="1"/>
    <n v="19"/>
  </r>
  <r>
    <x v="1"/>
    <n v="87"/>
    <x v="78"/>
    <x v="2"/>
    <s v="Nulo"/>
    <x v="3"/>
    <n v="6"/>
  </r>
  <r>
    <x v="1"/>
    <n v="87"/>
    <x v="78"/>
    <x v="2"/>
    <s v="Desde el pie "/>
    <x v="1"/>
    <n v="3"/>
  </r>
  <r>
    <x v="1"/>
    <n v="87"/>
    <x v="78"/>
    <x v="2"/>
    <s v="Partido socialista"/>
    <x v="1"/>
    <n v="2"/>
  </r>
  <r>
    <x v="1"/>
    <n v="87"/>
    <x v="78"/>
    <x v="2"/>
    <s v="Frente popular pampeano "/>
    <x v="1"/>
    <n v="2"/>
  </r>
  <r>
    <x v="1"/>
    <n v="87"/>
    <x v="78"/>
    <x v="2"/>
    <s v="Movimiento socialista de los trabajadores"/>
    <x v="1"/>
    <n v="1"/>
  </r>
  <r>
    <x v="1"/>
    <n v="87"/>
    <x v="78"/>
    <x v="3"/>
    <s v="Frente justicialista pampeano"/>
    <x v="0"/>
    <n v="438"/>
  </r>
  <r>
    <x v="1"/>
    <n v="87"/>
    <x v="78"/>
    <x v="3"/>
    <s v="Cambiemos - FREPAM"/>
    <x v="2"/>
    <n v="278"/>
  </r>
  <r>
    <x v="1"/>
    <n v="87"/>
    <x v="78"/>
    <x v="3"/>
    <s v="Comunidad organizada"/>
    <x v="1"/>
    <n v="55"/>
  </r>
  <r>
    <x v="1"/>
    <n v="87"/>
    <x v="78"/>
    <x v="3"/>
    <s v="Blanco"/>
    <x v="3"/>
    <n v="25"/>
  </r>
  <r>
    <x v="1"/>
    <n v="87"/>
    <x v="78"/>
    <x v="3"/>
    <s v="Pueblo Nuevo"/>
    <x v="1"/>
    <n v="18"/>
  </r>
  <r>
    <x v="1"/>
    <n v="87"/>
    <x v="78"/>
    <x v="3"/>
    <s v="Nulo"/>
    <x v="3"/>
    <n v="6"/>
  </r>
  <r>
    <x v="1"/>
    <n v="87"/>
    <x v="78"/>
    <x v="3"/>
    <s v="Desde el pie "/>
    <x v="1"/>
    <n v="3"/>
  </r>
  <r>
    <x v="1"/>
    <n v="87"/>
    <x v="78"/>
    <x v="3"/>
    <s v="Frente popular pampeano "/>
    <x v="1"/>
    <n v="2"/>
  </r>
  <r>
    <x v="1"/>
    <n v="87"/>
    <x v="78"/>
    <x v="3"/>
    <s v="Partido socialista"/>
    <x v="1"/>
    <n v="1"/>
  </r>
  <r>
    <x v="1"/>
    <n v="87"/>
    <x v="78"/>
    <x v="3"/>
    <s v="Movimiento socialista de los trabajadores"/>
    <x v="1"/>
    <n v="1"/>
  </r>
  <r>
    <x v="1"/>
    <n v="88"/>
    <x v="79"/>
    <x v="1"/>
    <s v="Frente justicialista pampeano"/>
    <x v="0"/>
    <n v="218"/>
  </r>
  <r>
    <x v="1"/>
    <n v="88"/>
    <x v="79"/>
    <x v="1"/>
    <s v="Cambiemos - FREPAM"/>
    <x v="2"/>
    <n v="154"/>
  </r>
  <r>
    <x v="1"/>
    <n v="88"/>
    <x v="79"/>
    <x v="1"/>
    <s v="Comunidad organizada"/>
    <x v="1"/>
    <n v="56"/>
  </r>
  <r>
    <x v="1"/>
    <n v="88"/>
    <x v="79"/>
    <x v="1"/>
    <s v="Blanco"/>
    <x v="3"/>
    <n v="14"/>
  </r>
  <r>
    <x v="1"/>
    <n v="88"/>
    <x v="79"/>
    <x v="1"/>
    <s v="Nulo"/>
    <x v="3"/>
    <n v="3"/>
  </r>
  <r>
    <x v="1"/>
    <n v="88"/>
    <x v="79"/>
    <x v="2"/>
    <s v="Frente justicialista pampeano"/>
    <x v="0"/>
    <n v="217"/>
  </r>
  <r>
    <x v="1"/>
    <n v="88"/>
    <x v="79"/>
    <x v="2"/>
    <s v="Cambiemos - FREPAM"/>
    <x v="2"/>
    <n v="101"/>
  </r>
  <r>
    <x v="1"/>
    <n v="88"/>
    <x v="79"/>
    <x v="2"/>
    <s v="Blanco"/>
    <x v="3"/>
    <n v="60"/>
  </r>
  <r>
    <x v="1"/>
    <n v="88"/>
    <x v="79"/>
    <x v="2"/>
    <s v="Comunidad organizada"/>
    <x v="1"/>
    <n v="50"/>
  </r>
  <r>
    <x v="1"/>
    <n v="88"/>
    <x v="79"/>
    <x v="2"/>
    <s v="Nulo"/>
    <x v="3"/>
    <n v="5"/>
  </r>
  <r>
    <x v="1"/>
    <n v="88"/>
    <x v="79"/>
    <x v="2"/>
    <s v="Movimiento socialista de los trabajadores"/>
    <x v="1"/>
    <n v="4"/>
  </r>
  <r>
    <x v="1"/>
    <n v="88"/>
    <x v="79"/>
    <x v="2"/>
    <s v="Frente popular pampeano "/>
    <x v="1"/>
    <n v="4"/>
  </r>
  <r>
    <x v="1"/>
    <n v="88"/>
    <x v="79"/>
    <x v="2"/>
    <s v="Partido socialista"/>
    <x v="1"/>
    <n v="3"/>
  </r>
  <r>
    <x v="1"/>
    <n v="88"/>
    <x v="79"/>
    <x v="2"/>
    <s v="Pueblo Nuevo"/>
    <x v="1"/>
    <n v="1"/>
  </r>
  <r>
    <x v="1"/>
    <n v="88"/>
    <x v="79"/>
    <x v="3"/>
    <s v="Frente justicialista pampeano"/>
    <x v="0"/>
    <n v="255"/>
  </r>
  <r>
    <x v="1"/>
    <n v="88"/>
    <x v="79"/>
    <x v="3"/>
    <s v="Cambiemos - FREPAM"/>
    <x v="2"/>
    <n v="101"/>
  </r>
  <r>
    <x v="1"/>
    <n v="88"/>
    <x v="79"/>
    <x v="3"/>
    <s v="Comunidad organizada"/>
    <x v="1"/>
    <n v="56"/>
  </r>
  <r>
    <x v="1"/>
    <n v="88"/>
    <x v="79"/>
    <x v="3"/>
    <s v="Blanco"/>
    <x v="3"/>
    <n v="22"/>
  </r>
  <r>
    <x v="1"/>
    <n v="88"/>
    <x v="79"/>
    <x v="3"/>
    <s v="Nulo"/>
    <x v="3"/>
    <n v="4"/>
  </r>
  <r>
    <x v="1"/>
    <n v="88"/>
    <x v="79"/>
    <x v="3"/>
    <s v="Frente popular pampeano "/>
    <x v="1"/>
    <n v="3"/>
  </r>
  <r>
    <x v="1"/>
    <n v="88"/>
    <x v="79"/>
    <x v="3"/>
    <s v="Partido socialista"/>
    <x v="1"/>
    <n v="2"/>
  </r>
  <r>
    <x v="1"/>
    <n v="88"/>
    <x v="79"/>
    <x v="3"/>
    <s v="Movimiento socialista de los trabajadores"/>
    <x v="1"/>
    <n v="2"/>
  </r>
  <r>
    <x v="1"/>
    <n v="89"/>
    <x v="80"/>
    <x v="1"/>
    <s v="Frente justicialista pampeano"/>
    <x v="0"/>
    <n v="1656"/>
  </r>
  <r>
    <x v="1"/>
    <n v="89"/>
    <x v="80"/>
    <x v="1"/>
    <s v="Cambiemos - FREPAM"/>
    <x v="2"/>
    <n v="903"/>
  </r>
  <r>
    <x v="1"/>
    <n v="89"/>
    <x v="80"/>
    <x v="1"/>
    <s v="Blanco"/>
    <x v="3"/>
    <n v="73"/>
  </r>
  <r>
    <x v="1"/>
    <n v="89"/>
    <x v="80"/>
    <x v="1"/>
    <s v="Comunidad organizada"/>
    <x v="1"/>
    <n v="62"/>
  </r>
  <r>
    <x v="1"/>
    <n v="89"/>
    <x v="80"/>
    <x v="1"/>
    <s v="Nulo"/>
    <x v="3"/>
    <n v="18"/>
  </r>
  <r>
    <x v="1"/>
    <n v="89"/>
    <x v="80"/>
    <x v="2"/>
    <s v="Frente justicialista pampeano"/>
    <x v="0"/>
    <n v="1608"/>
  </r>
  <r>
    <x v="1"/>
    <n v="89"/>
    <x v="80"/>
    <x v="2"/>
    <s v="Cambiemos - FREPAM"/>
    <x v="2"/>
    <n v="827"/>
  </r>
  <r>
    <x v="1"/>
    <n v="89"/>
    <x v="80"/>
    <x v="2"/>
    <s v="Blanco"/>
    <x v="3"/>
    <n v="114"/>
  </r>
  <r>
    <x v="1"/>
    <n v="89"/>
    <x v="80"/>
    <x v="2"/>
    <s v="Comunidad organizada"/>
    <x v="1"/>
    <n v="81"/>
  </r>
  <r>
    <x v="1"/>
    <n v="89"/>
    <x v="80"/>
    <x v="2"/>
    <s v="Nulo"/>
    <x v="3"/>
    <n v="28"/>
  </r>
  <r>
    <x v="1"/>
    <n v="89"/>
    <x v="80"/>
    <x v="2"/>
    <s v="Partido socialista"/>
    <x v="1"/>
    <n v="21"/>
  </r>
  <r>
    <x v="1"/>
    <n v="89"/>
    <x v="80"/>
    <x v="2"/>
    <s v="Pueblo Nuevo"/>
    <x v="1"/>
    <n v="19"/>
  </r>
  <r>
    <x v="1"/>
    <n v="89"/>
    <x v="80"/>
    <x v="2"/>
    <s v="Desde el pie "/>
    <x v="1"/>
    <n v="6"/>
  </r>
  <r>
    <x v="1"/>
    <n v="89"/>
    <x v="80"/>
    <x v="2"/>
    <s v="Movimiento socialista de los trabajadores"/>
    <x v="1"/>
    <n v="5"/>
  </r>
  <r>
    <x v="1"/>
    <n v="89"/>
    <x v="80"/>
    <x v="2"/>
    <s v="Frente popular pampeano "/>
    <x v="1"/>
    <n v="3"/>
  </r>
  <r>
    <x v="1"/>
    <n v="89"/>
    <x v="80"/>
    <x v="3"/>
    <s v="Frente justicialista pampeano"/>
    <x v="0"/>
    <n v="1604"/>
  </r>
  <r>
    <x v="1"/>
    <n v="89"/>
    <x v="80"/>
    <x v="3"/>
    <s v="Cambiemos - FREPAM"/>
    <x v="2"/>
    <n v="852"/>
  </r>
  <r>
    <x v="1"/>
    <n v="89"/>
    <x v="80"/>
    <x v="3"/>
    <s v="Comunidad organizada"/>
    <x v="1"/>
    <n v="119"/>
  </r>
  <r>
    <x v="1"/>
    <n v="89"/>
    <x v="80"/>
    <x v="3"/>
    <s v="Blanco"/>
    <x v="3"/>
    <n v="60"/>
  </r>
  <r>
    <x v="1"/>
    <n v="89"/>
    <x v="80"/>
    <x v="3"/>
    <s v="Nulo"/>
    <x v="3"/>
    <n v="28"/>
  </r>
  <r>
    <x v="1"/>
    <n v="89"/>
    <x v="80"/>
    <x v="3"/>
    <s v="Pueblo Nuevo"/>
    <x v="1"/>
    <n v="19"/>
  </r>
  <r>
    <x v="1"/>
    <n v="89"/>
    <x v="80"/>
    <x v="3"/>
    <s v="Partido socialista"/>
    <x v="1"/>
    <n v="16"/>
  </r>
  <r>
    <x v="1"/>
    <n v="89"/>
    <x v="80"/>
    <x v="3"/>
    <s v="Desde el pie "/>
    <x v="1"/>
    <n v="6"/>
  </r>
  <r>
    <x v="1"/>
    <n v="89"/>
    <x v="80"/>
    <x v="3"/>
    <s v="Movimiento socialista de los trabajadores"/>
    <x v="1"/>
    <n v="5"/>
  </r>
  <r>
    <x v="1"/>
    <n v="89"/>
    <x v="80"/>
    <x v="3"/>
    <s v="Frente popular pampeano "/>
    <x v="1"/>
    <n v="3"/>
  </r>
  <r>
    <x v="1"/>
    <n v="90"/>
    <x v="81"/>
    <x v="1"/>
    <s v="Cambiemos - FREPAM"/>
    <x v="2"/>
    <n v="358"/>
  </r>
  <r>
    <x v="1"/>
    <n v="90"/>
    <x v="81"/>
    <x v="1"/>
    <s v="Frente justicialista pampeano"/>
    <x v="0"/>
    <n v="282"/>
  </r>
  <r>
    <x v="1"/>
    <n v="90"/>
    <x v="81"/>
    <x v="1"/>
    <s v="Nulo"/>
    <x v="3"/>
    <n v="17"/>
  </r>
  <r>
    <x v="1"/>
    <n v="90"/>
    <x v="81"/>
    <x v="1"/>
    <s v="Blanco"/>
    <x v="3"/>
    <n v="2"/>
  </r>
  <r>
    <x v="1"/>
    <n v="90"/>
    <x v="81"/>
    <x v="2"/>
    <s v="Cambiemos - FREPAM"/>
    <x v="2"/>
    <n v="278"/>
  </r>
  <r>
    <x v="1"/>
    <n v="90"/>
    <x v="81"/>
    <x v="2"/>
    <s v="Frente justicialista pampeano"/>
    <x v="0"/>
    <n v="277"/>
  </r>
  <r>
    <x v="1"/>
    <n v="90"/>
    <x v="81"/>
    <x v="2"/>
    <s v="Blanco"/>
    <x v="3"/>
    <n v="45"/>
  </r>
  <r>
    <x v="1"/>
    <n v="90"/>
    <x v="81"/>
    <x v="2"/>
    <s v="Comunidad organizada"/>
    <x v="1"/>
    <n v="23"/>
  </r>
  <r>
    <x v="1"/>
    <n v="90"/>
    <x v="81"/>
    <x v="2"/>
    <s v="Nulo"/>
    <x v="3"/>
    <n v="17"/>
  </r>
  <r>
    <x v="1"/>
    <n v="90"/>
    <x v="81"/>
    <x v="2"/>
    <s v="Pueblo Nuevo"/>
    <x v="1"/>
    <n v="8"/>
  </r>
  <r>
    <x v="1"/>
    <n v="90"/>
    <x v="81"/>
    <x v="2"/>
    <s v="Partido socialista"/>
    <x v="1"/>
    <n v="8"/>
  </r>
  <r>
    <x v="1"/>
    <n v="90"/>
    <x v="81"/>
    <x v="2"/>
    <s v="Desde el pie "/>
    <x v="1"/>
    <n v="1"/>
  </r>
  <r>
    <x v="1"/>
    <n v="90"/>
    <x v="81"/>
    <x v="2"/>
    <s v="Movimiento socialista de los trabajadores"/>
    <x v="1"/>
    <n v="1"/>
  </r>
  <r>
    <x v="1"/>
    <n v="90"/>
    <x v="81"/>
    <x v="2"/>
    <s v="Frente popular pampeano "/>
    <x v="1"/>
    <n v="1"/>
  </r>
  <r>
    <x v="1"/>
    <n v="90"/>
    <x v="81"/>
    <x v="3"/>
    <s v="Frente justicialista pampeano"/>
    <x v="0"/>
    <n v="295"/>
  </r>
  <r>
    <x v="1"/>
    <n v="90"/>
    <x v="81"/>
    <x v="3"/>
    <s v="Cambiemos - FREPAM"/>
    <x v="2"/>
    <n v="266"/>
  </r>
  <r>
    <x v="1"/>
    <n v="90"/>
    <x v="81"/>
    <x v="3"/>
    <s v="Comunidad organizada"/>
    <x v="1"/>
    <n v="36"/>
  </r>
  <r>
    <x v="1"/>
    <n v="90"/>
    <x v="81"/>
    <x v="3"/>
    <s v="Blanco"/>
    <x v="3"/>
    <n v="28"/>
  </r>
  <r>
    <x v="1"/>
    <n v="90"/>
    <x v="81"/>
    <x v="3"/>
    <s v="Nulo"/>
    <x v="3"/>
    <n v="17"/>
  </r>
  <r>
    <x v="1"/>
    <n v="90"/>
    <x v="81"/>
    <x v="3"/>
    <s v="Pueblo Nuevo"/>
    <x v="1"/>
    <n v="8"/>
  </r>
  <r>
    <x v="1"/>
    <n v="90"/>
    <x v="81"/>
    <x v="3"/>
    <s v="Partido socialista"/>
    <x v="1"/>
    <n v="6"/>
  </r>
  <r>
    <x v="1"/>
    <n v="90"/>
    <x v="81"/>
    <x v="3"/>
    <s v="Desde el pie "/>
    <x v="1"/>
    <n v="1"/>
  </r>
  <r>
    <x v="1"/>
    <n v="90"/>
    <x v="81"/>
    <x v="3"/>
    <s v="Movimiento socialista de los trabajadores"/>
    <x v="1"/>
    <n v="1"/>
  </r>
  <r>
    <x v="1"/>
    <n v="90"/>
    <x v="81"/>
    <x v="3"/>
    <s v="Frente popular pampeano "/>
    <x v="1"/>
    <n v="1"/>
  </r>
  <r>
    <x v="1"/>
    <n v="91"/>
    <x v="82"/>
    <x v="5"/>
    <s v="Cambiemos - FREPAM"/>
    <x v="2"/>
    <n v="146"/>
  </r>
  <r>
    <x v="1"/>
    <n v="91"/>
    <x v="82"/>
    <x v="5"/>
    <s v="Frente justicialista pampeano"/>
    <x v="0"/>
    <n v="126"/>
  </r>
  <r>
    <x v="1"/>
    <n v="91"/>
    <x v="82"/>
    <x v="5"/>
    <s v="Blanco"/>
    <x v="3"/>
    <n v="9"/>
  </r>
  <r>
    <x v="1"/>
    <n v="91"/>
    <x v="82"/>
    <x v="5"/>
    <s v="Nulo"/>
    <x v="3"/>
    <n v="2"/>
  </r>
  <r>
    <x v="1"/>
    <n v="91"/>
    <x v="82"/>
    <x v="2"/>
    <s v="Cambiemos - FREPAM"/>
    <x v="2"/>
    <n v="134"/>
  </r>
  <r>
    <x v="1"/>
    <n v="91"/>
    <x v="82"/>
    <x v="2"/>
    <s v="Frente justicialista pampeano"/>
    <x v="0"/>
    <n v="128"/>
  </r>
  <r>
    <x v="1"/>
    <n v="91"/>
    <x v="82"/>
    <x v="2"/>
    <s v="Blanco"/>
    <x v="3"/>
    <n v="12"/>
  </r>
  <r>
    <x v="1"/>
    <n v="91"/>
    <x v="82"/>
    <x v="2"/>
    <s v="Comunidad organizada"/>
    <x v="1"/>
    <n v="7"/>
  </r>
  <r>
    <x v="1"/>
    <n v="91"/>
    <x v="82"/>
    <x v="2"/>
    <s v="Nulo"/>
    <x v="3"/>
    <n v="2"/>
  </r>
  <r>
    <x v="1"/>
    <n v="91"/>
    <x v="82"/>
    <x v="3"/>
    <s v="Frente justicialista pampeano"/>
    <x v="0"/>
    <n v="133"/>
  </r>
  <r>
    <x v="1"/>
    <n v="91"/>
    <x v="82"/>
    <x v="3"/>
    <s v="Cambiemos - FREPAM"/>
    <x v="2"/>
    <n v="128"/>
  </r>
  <r>
    <x v="1"/>
    <n v="91"/>
    <x v="82"/>
    <x v="3"/>
    <s v="Comunidad organizada"/>
    <x v="1"/>
    <n v="11"/>
  </r>
  <r>
    <x v="1"/>
    <n v="91"/>
    <x v="82"/>
    <x v="3"/>
    <s v="Blanco"/>
    <x v="3"/>
    <n v="9"/>
  </r>
  <r>
    <x v="1"/>
    <n v="91"/>
    <x v="82"/>
    <x v="3"/>
    <s v="Nulo"/>
    <x v="3"/>
    <n v="2"/>
  </r>
  <r>
    <x v="1"/>
    <n v="92"/>
    <x v="83"/>
    <x v="5"/>
    <s v="Frente justicialista pampeano"/>
    <x v="0"/>
    <n v="145"/>
  </r>
  <r>
    <x v="1"/>
    <n v="92"/>
    <x v="83"/>
    <x v="5"/>
    <s v="Cambiemos - FREPAM"/>
    <x v="2"/>
    <n v="99"/>
  </r>
  <r>
    <x v="1"/>
    <n v="92"/>
    <x v="83"/>
    <x v="2"/>
    <s v="Frente justicialista pampeano"/>
    <x v="0"/>
    <n v="146"/>
  </r>
  <r>
    <x v="1"/>
    <n v="92"/>
    <x v="83"/>
    <x v="2"/>
    <s v="Cambiemos - FREPAM"/>
    <x v="2"/>
    <n v="86"/>
  </r>
  <r>
    <x v="1"/>
    <n v="92"/>
    <x v="83"/>
    <x v="2"/>
    <s v="Comunidad organizada"/>
    <x v="1"/>
    <n v="7"/>
  </r>
  <r>
    <x v="1"/>
    <n v="92"/>
    <x v="83"/>
    <x v="2"/>
    <s v="Blanco"/>
    <x v="3"/>
    <n v="4"/>
  </r>
  <r>
    <x v="1"/>
    <n v="92"/>
    <x v="83"/>
    <x v="2"/>
    <s v="Partido socialista"/>
    <x v="1"/>
    <n v="1"/>
  </r>
  <r>
    <x v="1"/>
    <n v="92"/>
    <x v="83"/>
    <x v="3"/>
    <s v="Frente justicialista pampeano"/>
    <x v="0"/>
    <n v="147"/>
  </r>
  <r>
    <x v="1"/>
    <n v="92"/>
    <x v="83"/>
    <x v="3"/>
    <s v="Cambiemos - FREPAM"/>
    <x v="2"/>
    <n v="83"/>
  </r>
  <r>
    <x v="1"/>
    <n v="92"/>
    <x v="83"/>
    <x v="3"/>
    <s v="Comunidad organizada"/>
    <x v="1"/>
    <n v="8"/>
  </r>
  <r>
    <x v="1"/>
    <n v="92"/>
    <x v="83"/>
    <x v="3"/>
    <s v="Blanco"/>
    <x v="3"/>
    <n v="5"/>
  </r>
  <r>
    <x v="1"/>
    <n v="92"/>
    <x v="83"/>
    <x v="3"/>
    <s v="Partido socialista"/>
    <x v="1"/>
    <n v="1"/>
  </r>
  <r>
    <x v="1"/>
    <n v="93"/>
    <x v="84"/>
    <x v="1"/>
    <s v="Cambiemos - FREPAM"/>
    <x v="2"/>
    <n v="3168"/>
  </r>
  <r>
    <x v="1"/>
    <n v="93"/>
    <x v="84"/>
    <x v="1"/>
    <s v="PJ"/>
    <x v="0"/>
    <n v="2573"/>
  </r>
  <r>
    <x v="1"/>
    <n v="93"/>
    <x v="84"/>
    <x v="1"/>
    <s v="Junta Vecinal Unidos por Acha"/>
    <x v="1"/>
    <n v="2206"/>
  </r>
  <r>
    <x v="1"/>
    <n v="93"/>
    <x v="84"/>
    <x v="1"/>
    <s v="Comunidad organizada"/>
    <x v="1"/>
    <n v="290"/>
  </r>
  <r>
    <x v="1"/>
    <n v="93"/>
    <x v="84"/>
    <x v="1"/>
    <s v="Pueblo Nuevo"/>
    <x v="1"/>
    <n v="281"/>
  </r>
  <r>
    <x v="1"/>
    <n v="93"/>
    <x v="84"/>
    <x v="1"/>
    <s v="Blanco"/>
    <x v="3"/>
    <n v="242"/>
  </r>
  <r>
    <x v="1"/>
    <n v="93"/>
    <x v="84"/>
    <x v="1"/>
    <s v="Nulo"/>
    <x v="3"/>
    <n v="62"/>
  </r>
  <r>
    <x v="1"/>
    <n v="93"/>
    <x v="84"/>
    <x v="3"/>
    <s v="PJ"/>
    <x v="0"/>
    <n v="3191"/>
  </r>
  <r>
    <x v="1"/>
    <n v="93"/>
    <x v="84"/>
    <x v="3"/>
    <s v="Cambiemos - FREPAM"/>
    <x v="2"/>
    <n v="2793"/>
  </r>
  <r>
    <x v="1"/>
    <n v="93"/>
    <x v="84"/>
    <x v="3"/>
    <s v="Blanco"/>
    <x v="3"/>
    <n v="1541"/>
  </r>
  <r>
    <x v="1"/>
    <n v="93"/>
    <x v="84"/>
    <x v="3"/>
    <s v="Comunidad organizada"/>
    <x v="1"/>
    <n v="683"/>
  </r>
  <r>
    <x v="1"/>
    <n v="93"/>
    <x v="84"/>
    <x v="3"/>
    <s v="Pueblo Nuevo"/>
    <x v="1"/>
    <n v="275"/>
  </r>
  <r>
    <x v="1"/>
    <n v="93"/>
    <x v="84"/>
    <x v="3"/>
    <s v="Partido socialista"/>
    <x v="1"/>
    <n v="118"/>
  </r>
  <r>
    <x v="1"/>
    <n v="93"/>
    <x v="84"/>
    <x v="3"/>
    <s v="Frente popular pampeano "/>
    <x v="1"/>
    <n v="77"/>
  </r>
  <r>
    <x v="1"/>
    <n v="93"/>
    <x v="84"/>
    <x v="3"/>
    <s v="Nulo"/>
    <x v="3"/>
    <n v="76"/>
  </r>
  <r>
    <x v="1"/>
    <n v="93"/>
    <x v="84"/>
    <x v="3"/>
    <s v="Movimiento socialista de los trabajadores"/>
    <x v="1"/>
    <n v="40"/>
  </r>
  <r>
    <x v="1"/>
    <n v="93"/>
    <x v="84"/>
    <x v="3"/>
    <s v="Desde el pie "/>
    <x v="1"/>
    <n v="28"/>
  </r>
  <r>
    <x v="1"/>
    <n v="94"/>
    <x v="85"/>
    <x v="1"/>
    <s v="Cambiemos - FREPAM"/>
    <x v="2"/>
    <n v="232"/>
  </r>
  <r>
    <x v="1"/>
    <n v="94"/>
    <x v="85"/>
    <x v="1"/>
    <s v="Frente justicialista pampeano"/>
    <x v="0"/>
    <n v="201"/>
  </r>
  <r>
    <x v="1"/>
    <n v="94"/>
    <x v="85"/>
    <x v="1"/>
    <s v="Blanco"/>
    <x v="3"/>
    <n v="1"/>
  </r>
  <r>
    <x v="1"/>
    <n v="94"/>
    <x v="85"/>
    <x v="1"/>
    <s v="Nulo"/>
    <x v="3"/>
    <n v="1"/>
  </r>
  <r>
    <x v="1"/>
    <n v="94"/>
    <x v="85"/>
    <x v="2"/>
    <s v="Frente justicialista pampeano"/>
    <x v="0"/>
    <n v="208"/>
  </r>
  <r>
    <x v="1"/>
    <n v="94"/>
    <x v="85"/>
    <x v="2"/>
    <s v="Cambiemos - FREPAM"/>
    <x v="2"/>
    <n v="174"/>
  </r>
  <r>
    <x v="1"/>
    <n v="94"/>
    <x v="85"/>
    <x v="2"/>
    <s v="Blanco"/>
    <x v="3"/>
    <n v="28"/>
  </r>
  <r>
    <x v="1"/>
    <n v="94"/>
    <x v="85"/>
    <x v="2"/>
    <s v="Comunidad organizada"/>
    <x v="1"/>
    <n v="12"/>
  </r>
  <r>
    <x v="1"/>
    <n v="94"/>
    <x v="85"/>
    <x v="2"/>
    <s v="Nulo"/>
    <x v="3"/>
    <n v="7"/>
  </r>
  <r>
    <x v="1"/>
    <n v="94"/>
    <x v="85"/>
    <x v="2"/>
    <s v="Frente popular pampeano "/>
    <x v="1"/>
    <n v="4"/>
  </r>
  <r>
    <x v="1"/>
    <n v="94"/>
    <x v="85"/>
    <x v="2"/>
    <s v="Pueblo Nuevo"/>
    <x v="1"/>
    <n v="2"/>
  </r>
  <r>
    <x v="1"/>
    <n v="94"/>
    <x v="85"/>
    <x v="3"/>
    <s v="Frente justicialista pampeano"/>
    <x v="0"/>
    <n v="231"/>
  </r>
  <r>
    <x v="1"/>
    <n v="94"/>
    <x v="85"/>
    <x v="3"/>
    <s v="Cambiemos - FREPAM"/>
    <x v="2"/>
    <n v="164"/>
  </r>
  <r>
    <x v="1"/>
    <n v="94"/>
    <x v="85"/>
    <x v="3"/>
    <s v="Comunidad organizada"/>
    <x v="1"/>
    <n v="19"/>
  </r>
  <r>
    <x v="1"/>
    <n v="94"/>
    <x v="85"/>
    <x v="3"/>
    <s v="Blanco"/>
    <x v="3"/>
    <n v="9"/>
  </r>
  <r>
    <x v="1"/>
    <n v="94"/>
    <x v="85"/>
    <x v="3"/>
    <s v="Nulo"/>
    <x v="3"/>
    <n v="8"/>
  </r>
  <r>
    <x v="1"/>
    <n v="94"/>
    <x v="85"/>
    <x v="3"/>
    <s v="Pueblo Nuevo"/>
    <x v="1"/>
    <n v="2"/>
  </r>
  <r>
    <x v="1"/>
    <n v="94"/>
    <x v="85"/>
    <x v="3"/>
    <s v="Frente popular pampeano "/>
    <x v="1"/>
    <n v="2"/>
  </r>
  <r>
    <x v="1"/>
    <n v="95"/>
    <x v="86"/>
    <x v="5"/>
    <s v="Cambiemos - FREPAM"/>
    <x v="2"/>
    <n v="66"/>
  </r>
  <r>
    <x v="1"/>
    <n v="95"/>
    <x v="86"/>
    <x v="5"/>
    <s v="Frente justicialista pampeano"/>
    <x v="0"/>
    <n v="39"/>
  </r>
  <r>
    <x v="1"/>
    <n v="95"/>
    <x v="86"/>
    <x v="5"/>
    <s v="Blanco"/>
    <x v="3"/>
    <n v="1"/>
  </r>
  <r>
    <x v="1"/>
    <n v="95"/>
    <x v="86"/>
    <x v="2"/>
    <s v="Cambiemos - FREPAM"/>
    <x v="2"/>
    <n v="65"/>
  </r>
  <r>
    <x v="1"/>
    <n v="95"/>
    <x v="86"/>
    <x v="2"/>
    <s v="Frente justicialista pampeano"/>
    <x v="0"/>
    <n v="39"/>
  </r>
  <r>
    <x v="1"/>
    <n v="95"/>
    <x v="86"/>
    <x v="2"/>
    <s v="Movimiento socialista de los trabajadores"/>
    <x v="1"/>
    <n v="1"/>
  </r>
  <r>
    <x v="1"/>
    <n v="95"/>
    <x v="86"/>
    <x v="2"/>
    <s v="Blanco"/>
    <x v="3"/>
    <n v="1"/>
  </r>
  <r>
    <x v="1"/>
    <n v="95"/>
    <x v="86"/>
    <x v="3"/>
    <s v="Cambiemos - FREPAM"/>
    <x v="2"/>
    <n v="63"/>
  </r>
  <r>
    <x v="1"/>
    <n v="95"/>
    <x v="86"/>
    <x v="3"/>
    <s v="Frente justicialista pampeano"/>
    <x v="0"/>
    <n v="39"/>
  </r>
  <r>
    <x v="1"/>
    <n v="95"/>
    <x v="86"/>
    <x v="3"/>
    <s v="Comunidad organizada"/>
    <x v="1"/>
    <n v="2"/>
  </r>
  <r>
    <x v="1"/>
    <n v="95"/>
    <x v="86"/>
    <x v="3"/>
    <s v="Movimiento socialista de los trabajadores"/>
    <x v="1"/>
    <n v="1"/>
  </r>
  <r>
    <x v="1"/>
    <n v="95"/>
    <x v="86"/>
    <x v="3"/>
    <s v="Blanco"/>
    <x v="3"/>
    <n v="1"/>
  </r>
  <r>
    <x v="2"/>
    <n v="1"/>
    <x v="0"/>
    <x v="0"/>
    <s v="PJ"/>
    <x v="0"/>
    <n v="418"/>
  </r>
  <r>
    <x v="2"/>
    <n v="1"/>
    <x v="0"/>
    <x v="0"/>
    <s v="Humanista"/>
    <x v="1"/>
    <n v="15"/>
  </r>
  <r>
    <x v="2"/>
    <n v="1"/>
    <x v="0"/>
    <x v="0"/>
    <s v="Partido de los Trabajadores Soc."/>
    <x v="1"/>
    <n v="9"/>
  </r>
  <r>
    <x v="2"/>
    <n v="1"/>
    <x v="0"/>
    <x v="0"/>
    <s v="FREPAM"/>
    <x v="2"/>
    <n v="13"/>
  </r>
  <r>
    <x v="2"/>
    <n v="1"/>
    <x v="0"/>
    <x v="0"/>
    <s v="Izquierda al Frente por el Soc."/>
    <x v="1"/>
    <n v="14"/>
  </r>
  <r>
    <x v="2"/>
    <n v="1"/>
    <x v="0"/>
    <x v="0"/>
    <s v="Cambiemos "/>
    <x v="2"/>
    <n v="544"/>
  </r>
  <r>
    <x v="2"/>
    <n v="1"/>
    <x v="0"/>
    <x v="0"/>
    <s v="Nulo"/>
    <x v="3"/>
    <n v="81"/>
  </r>
  <r>
    <x v="2"/>
    <n v="1"/>
    <x v="0"/>
    <x v="0"/>
    <s v="Blanco"/>
    <x v="3"/>
    <n v="27"/>
  </r>
  <r>
    <x v="2"/>
    <n v="2"/>
    <x v="1"/>
    <x v="0"/>
    <s v="PJ"/>
    <x v="0"/>
    <n v="1490"/>
  </r>
  <r>
    <x v="2"/>
    <n v="2"/>
    <x v="1"/>
    <x v="0"/>
    <s v="Humanista"/>
    <x v="1"/>
    <n v="35"/>
  </r>
  <r>
    <x v="2"/>
    <n v="2"/>
    <x v="1"/>
    <x v="0"/>
    <s v="Partido de los Trabajadores Soc."/>
    <x v="1"/>
    <n v="24"/>
  </r>
  <r>
    <x v="2"/>
    <n v="2"/>
    <x v="1"/>
    <x v="0"/>
    <s v="FREPAM"/>
    <x v="2"/>
    <n v="48"/>
  </r>
  <r>
    <x v="2"/>
    <n v="2"/>
    <x v="1"/>
    <x v="0"/>
    <s v="Izquierda al Frente por el Soc."/>
    <x v="1"/>
    <n v="51"/>
  </r>
  <r>
    <x v="2"/>
    <n v="2"/>
    <x v="1"/>
    <x v="0"/>
    <s v="Cambiemos "/>
    <x v="2"/>
    <n v="1846"/>
  </r>
  <r>
    <x v="2"/>
    <n v="2"/>
    <x v="1"/>
    <x v="0"/>
    <s v="Nulo"/>
    <x v="3"/>
    <n v="132"/>
  </r>
  <r>
    <x v="2"/>
    <n v="2"/>
    <x v="1"/>
    <x v="0"/>
    <s v="Blanco"/>
    <x v="3"/>
    <n v="40"/>
  </r>
  <r>
    <x v="2"/>
    <n v="3"/>
    <x v="2"/>
    <x v="0"/>
    <s v="PJ"/>
    <x v="0"/>
    <n v="902"/>
  </r>
  <r>
    <x v="2"/>
    <n v="3"/>
    <x v="2"/>
    <x v="0"/>
    <s v="Humanista"/>
    <x v="1"/>
    <n v="9"/>
  </r>
  <r>
    <x v="2"/>
    <n v="3"/>
    <x v="2"/>
    <x v="0"/>
    <s v="Partido de los Trabajadores Soc."/>
    <x v="1"/>
    <n v="8"/>
  </r>
  <r>
    <x v="2"/>
    <n v="3"/>
    <x v="2"/>
    <x v="0"/>
    <s v="FREPAM"/>
    <x v="2"/>
    <n v="13"/>
  </r>
  <r>
    <x v="2"/>
    <n v="3"/>
    <x v="2"/>
    <x v="0"/>
    <s v="Izquierda al Frente por el Soc."/>
    <x v="1"/>
    <n v="13"/>
  </r>
  <r>
    <x v="2"/>
    <n v="3"/>
    <x v="2"/>
    <x v="0"/>
    <s v="Cambiemos "/>
    <x v="2"/>
    <n v="666"/>
  </r>
  <r>
    <x v="2"/>
    <n v="3"/>
    <x v="2"/>
    <x v="0"/>
    <s v="Nulo"/>
    <x v="3"/>
    <n v="42"/>
  </r>
  <r>
    <x v="2"/>
    <n v="3"/>
    <x v="2"/>
    <x v="0"/>
    <s v="Blanco"/>
    <x v="3"/>
    <n v="28"/>
  </r>
  <r>
    <x v="2"/>
    <n v="4"/>
    <x v="3"/>
    <x v="0"/>
    <s v="PJ"/>
    <x v="0"/>
    <n v="280"/>
  </r>
  <r>
    <x v="2"/>
    <n v="4"/>
    <x v="3"/>
    <x v="0"/>
    <s v="Humanista"/>
    <x v="1"/>
    <n v="9"/>
  </r>
  <r>
    <x v="2"/>
    <n v="4"/>
    <x v="3"/>
    <x v="0"/>
    <s v="Partido de los Trabajadores Soc."/>
    <x v="1"/>
    <n v="8"/>
  </r>
  <r>
    <x v="2"/>
    <n v="4"/>
    <x v="3"/>
    <x v="0"/>
    <s v="FREPAM"/>
    <x v="2"/>
    <n v="7"/>
  </r>
  <r>
    <x v="2"/>
    <n v="4"/>
    <x v="3"/>
    <x v="0"/>
    <s v="Izquierda al Frente por el Soc."/>
    <x v="1"/>
    <n v="7"/>
  </r>
  <r>
    <x v="2"/>
    <n v="4"/>
    <x v="3"/>
    <x v="0"/>
    <s v="Cambiemos "/>
    <x v="2"/>
    <n v="190"/>
  </r>
  <r>
    <x v="2"/>
    <n v="4"/>
    <x v="3"/>
    <x v="0"/>
    <s v="Nulo"/>
    <x v="3"/>
    <n v="16"/>
  </r>
  <r>
    <x v="2"/>
    <n v="4"/>
    <x v="3"/>
    <x v="0"/>
    <s v="Blanco"/>
    <x v="3"/>
    <n v="17"/>
  </r>
  <r>
    <x v="2"/>
    <n v="5"/>
    <x v="4"/>
    <x v="0"/>
    <s v="PJ"/>
    <x v="0"/>
    <n v="110"/>
  </r>
  <r>
    <x v="2"/>
    <n v="5"/>
    <x v="4"/>
    <x v="0"/>
    <s v="Humanista"/>
    <x v="1"/>
    <n v="0"/>
  </r>
  <r>
    <x v="2"/>
    <n v="5"/>
    <x v="4"/>
    <x v="0"/>
    <s v="Partido de los Trabajadores Soc."/>
    <x v="1"/>
    <n v="0"/>
  </r>
  <r>
    <x v="2"/>
    <n v="5"/>
    <x v="4"/>
    <x v="0"/>
    <s v="FREPAM"/>
    <x v="2"/>
    <n v="3"/>
  </r>
  <r>
    <x v="2"/>
    <n v="5"/>
    <x v="4"/>
    <x v="0"/>
    <s v="Izquierda al Frente por el Soc."/>
    <x v="1"/>
    <n v="2"/>
  </r>
  <r>
    <x v="2"/>
    <n v="5"/>
    <x v="4"/>
    <x v="0"/>
    <s v="Cambiemos "/>
    <x v="2"/>
    <n v="166"/>
  </r>
  <r>
    <x v="2"/>
    <n v="5"/>
    <x v="4"/>
    <x v="0"/>
    <s v="Nulo"/>
    <x v="3"/>
    <n v="13"/>
  </r>
  <r>
    <x v="2"/>
    <n v="5"/>
    <x v="4"/>
    <x v="0"/>
    <s v="Blanco"/>
    <x v="3"/>
    <n v="7"/>
  </r>
  <r>
    <x v="2"/>
    <n v="6"/>
    <x v="5"/>
    <x v="0"/>
    <s v="PJ"/>
    <x v="0"/>
    <n v="556"/>
  </r>
  <r>
    <x v="2"/>
    <n v="6"/>
    <x v="5"/>
    <x v="0"/>
    <s v="Humanista"/>
    <x v="1"/>
    <n v="23"/>
  </r>
  <r>
    <x v="2"/>
    <n v="6"/>
    <x v="5"/>
    <x v="0"/>
    <s v="Partido de los Trabajadores Soc."/>
    <x v="1"/>
    <n v="24"/>
  </r>
  <r>
    <x v="2"/>
    <n v="6"/>
    <x v="5"/>
    <x v="0"/>
    <s v="FREPAM"/>
    <x v="2"/>
    <n v="38"/>
  </r>
  <r>
    <x v="2"/>
    <n v="6"/>
    <x v="5"/>
    <x v="0"/>
    <s v="Izquierda al Frente por el Soc."/>
    <x v="1"/>
    <n v="24"/>
  </r>
  <r>
    <x v="2"/>
    <n v="6"/>
    <x v="5"/>
    <x v="0"/>
    <s v="Cambiemos "/>
    <x v="2"/>
    <n v="622"/>
  </r>
  <r>
    <x v="2"/>
    <n v="6"/>
    <x v="5"/>
    <x v="0"/>
    <s v="Nulo"/>
    <x v="3"/>
    <n v="56"/>
  </r>
  <r>
    <x v="2"/>
    <n v="6"/>
    <x v="5"/>
    <x v="0"/>
    <s v="Blanco"/>
    <x v="3"/>
    <n v="26"/>
  </r>
  <r>
    <x v="2"/>
    <s v="9 y 10"/>
    <x v="6"/>
    <x v="0"/>
    <s v="PJ"/>
    <x v="0"/>
    <n v="22866"/>
  </r>
  <r>
    <x v="2"/>
    <s v="9 y 10"/>
    <x v="6"/>
    <x v="0"/>
    <s v="Humanista"/>
    <x v="1"/>
    <n v="2397"/>
  </r>
  <r>
    <x v="2"/>
    <s v="9 y 10"/>
    <x v="6"/>
    <x v="0"/>
    <s v="Partido de los Trabajadores Soc."/>
    <x v="1"/>
    <n v="1989"/>
  </r>
  <r>
    <x v="2"/>
    <s v="9 y 10"/>
    <x v="6"/>
    <x v="0"/>
    <s v="FREPAM"/>
    <x v="2"/>
    <n v="2448"/>
  </r>
  <r>
    <x v="2"/>
    <s v="9 y 10"/>
    <x v="6"/>
    <x v="0"/>
    <s v="Izquierda al Frente por el Soc."/>
    <x v="1"/>
    <n v="1479"/>
  </r>
  <r>
    <x v="2"/>
    <s v="9 y 10"/>
    <x v="6"/>
    <x v="0"/>
    <s v="Cambiemos "/>
    <x v="2"/>
    <n v="30769"/>
  </r>
  <r>
    <x v="2"/>
    <s v="9 y 10"/>
    <x v="6"/>
    <x v="0"/>
    <s v="Nulo"/>
    <x v="3"/>
    <n v="2428"/>
  </r>
  <r>
    <x v="2"/>
    <s v="9 y 10"/>
    <x v="6"/>
    <x v="0"/>
    <s v="Blanco"/>
    <x v="3"/>
    <n v="878"/>
  </r>
  <r>
    <x v="2"/>
    <n v="11"/>
    <x v="7"/>
    <x v="0"/>
    <s v="PJ"/>
    <x v="0"/>
    <n v="759"/>
  </r>
  <r>
    <x v="2"/>
    <n v="11"/>
    <x v="7"/>
    <x v="0"/>
    <s v="Humanista"/>
    <x v="1"/>
    <n v="30"/>
  </r>
  <r>
    <x v="2"/>
    <n v="11"/>
    <x v="7"/>
    <x v="0"/>
    <s v="Partido de los Trabajadores Soc."/>
    <x v="1"/>
    <n v="12"/>
  </r>
  <r>
    <x v="2"/>
    <n v="11"/>
    <x v="7"/>
    <x v="0"/>
    <s v="FREPAM"/>
    <x v="2"/>
    <n v="46"/>
  </r>
  <r>
    <x v="2"/>
    <n v="11"/>
    <x v="7"/>
    <x v="0"/>
    <s v="Izquierda al Frente por el Soc."/>
    <x v="1"/>
    <n v="37"/>
  </r>
  <r>
    <x v="2"/>
    <n v="11"/>
    <x v="7"/>
    <x v="0"/>
    <s v="Cambiemos "/>
    <x v="2"/>
    <n v="421"/>
  </r>
  <r>
    <x v="2"/>
    <n v="11"/>
    <x v="7"/>
    <x v="0"/>
    <s v="Nulo"/>
    <x v="3"/>
    <n v="63"/>
  </r>
  <r>
    <x v="2"/>
    <n v="11"/>
    <x v="7"/>
    <x v="0"/>
    <s v="Blanco"/>
    <x v="3"/>
    <n v="21"/>
  </r>
  <r>
    <x v="2"/>
    <n v="13"/>
    <x v="8"/>
    <x v="0"/>
    <s v="PJ"/>
    <x v="0"/>
    <n v="1374"/>
  </r>
  <r>
    <x v="2"/>
    <n v="13"/>
    <x v="8"/>
    <x v="0"/>
    <s v="Humanista"/>
    <x v="1"/>
    <n v="18"/>
  </r>
  <r>
    <x v="2"/>
    <n v="13"/>
    <x v="8"/>
    <x v="0"/>
    <s v="Partido de los Trabajadores Soc."/>
    <x v="1"/>
    <n v="14"/>
  </r>
  <r>
    <x v="2"/>
    <n v="13"/>
    <x v="8"/>
    <x v="0"/>
    <s v="FREPAM"/>
    <x v="2"/>
    <n v="32"/>
  </r>
  <r>
    <x v="2"/>
    <n v="13"/>
    <x v="8"/>
    <x v="0"/>
    <s v="Izquierda al Frente por el Soc."/>
    <x v="1"/>
    <n v="36"/>
  </r>
  <r>
    <x v="2"/>
    <n v="13"/>
    <x v="8"/>
    <x v="0"/>
    <s v="Cambiemos "/>
    <x v="2"/>
    <n v="1331"/>
  </r>
  <r>
    <x v="2"/>
    <n v="13"/>
    <x v="8"/>
    <x v="0"/>
    <s v="Nulo"/>
    <x v="3"/>
    <n v="72"/>
  </r>
  <r>
    <x v="2"/>
    <n v="13"/>
    <x v="8"/>
    <x v="0"/>
    <s v="Blanco"/>
    <x v="3"/>
    <n v="54"/>
  </r>
  <r>
    <x v="2"/>
    <n v="14"/>
    <x v="9"/>
    <x v="0"/>
    <s v="PJ"/>
    <x v="0"/>
    <n v="15"/>
  </r>
  <r>
    <x v="2"/>
    <n v="14"/>
    <x v="9"/>
    <x v="0"/>
    <s v="Humanista"/>
    <x v="1"/>
    <n v="1"/>
  </r>
  <r>
    <x v="2"/>
    <n v="14"/>
    <x v="9"/>
    <x v="0"/>
    <s v="Partido de los Trabajadores Soc."/>
    <x v="1"/>
    <n v="2"/>
  </r>
  <r>
    <x v="2"/>
    <n v="14"/>
    <x v="9"/>
    <x v="0"/>
    <s v="FREPAM"/>
    <x v="2"/>
    <n v="0"/>
  </r>
  <r>
    <x v="2"/>
    <n v="14"/>
    <x v="9"/>
    <x v="0"/>
    <s v="Izquierda al Frente por el Soc."/>
    <x v="1"/>
    <n v="0"/>
  </r>
  <r>
    <x v="2"/>
    <n v="14"/>
    <x v="9"/>
    <x v="0"/>
    <s v="Cambiemos "/>
    <x v="2"/>
    <n v="22"/>
  </r>
  <r>
    <x v="2"/>
    <n v="14"/>
    <x v="9"/>
    <x v="0"/>
    <s v="Nulo"/>
    <x v="3"/>
    <n v="4"/>
  </r>
  <r>
    <x v="2"/>
    <n v="14"/>
    <x v="9"/>
    <x v="0"/>
    <s v="Blanco"/>
    <x v="3"/>
    <n v="2"/>
  </r>
  <r>
    <x v="2"/>
    <n v="15"/>
    <x v="10"/>
    <x v="0"/>
    <s v="PJ"/>
    <x v="0"/>
    <n v="455"/>
  </r>
  <r>
    <x v="2"/>
    <n v="15"/>
    <x v="10"/>
    <x v="0"/>
    <s v="Humanista"/>
    <x v="1"/>
    <n v="7"/>
  </r>
  <r>
    <x v="2"/>
    <n v="15"/>
    <x v="10"/>
    <x v="0"/>
    <s v="Partido de los Trabajadores Soc."/>
    <x v="1"/>
    <n v="10"/>
  </r>
  <r>
    <x v="2"/>
    <n v="15"/>
    <x v="10"/>
    <x v="0"/>
    <s v="FREPAM"/>
    <x v="2"/>
    <n v="19"/>
  </r>
  <r>
    <x v="2"/>
    <n v="15"/>
    <x v="10"/>
    <x v="0"/>
    <s v="Izquierda al Frente por el Soc."/>
    <x v="1"/>
    <n v="17"/>
  </r>
  <r>
    <x v="2"/>
    <n v="15"/>
    <x v="10"/>
    <x v="0"/>
    <s v="Cambiemos "/>
    <x v="2"/>
    <n v="657"/>
  </r>
  <r>
    <x v="2"/>
    <n v="15"/>
    <x v="10"/>
    <x v="0"/>
    <s v="Nulo"/>
    <x v="3"/>
    <n v="51"/>
  </r>
  <r>
    <x v="2"/>
    <n v="15"/>
    <x v="10"/>
    <x v="0"/>
    <s v="Blanco"/>
    <x v="3"/>
    <n v="22"/>
  </r>
  <r>
    <x v="2"/>
    <n v="16"/>
    <x v="11"/>
    <x v="0"/>
    <s v="PJ"/>
    <x v="0"/>
    <n v="297"/>
  </r>
  <r>
    <x v="2"/>
    <n v="16"/>
    <x v="11"/>
    <x v="0"/>
    <s v="Humanista"/>
    <x v="1"/>
    <n v="6"/>
  </r>
  <r>
    <x v="2"/>
    <n v="16"/>
    <x v="11"/>
    <x v="0"/>
    <s v="Partido de los Trabajadores Soc."/>
    <x v="1"/>
    <n v="3"/>
  </r>
  <r>
    <x v="2"/>
    <n v="16"/>
    <x v="11"/>
    <x v="0"/>
    <s v="FREPAM"/>
    <x v="2"/>
    <n v="12"/>
  </r>
  <r>
    <x v="2"/>
    <n v="16"/>
    <x v="11"/>
    <x v="0"/>
    <s v="Izquierda al Frente por el Soc."/>
    <x v="1"/>
    <n v="8"/>
  </r>
  <r>
    <x v="2"/>
    <n v="16"/>
    <x v="11"/>
    <x v="0"/>
    <s v="Cambiemos "/>
    <x v="2"/>
    <n v="369"/>
  </r>
  <r>
    <x v="2"/>
    <n v="16"/>
    <x v="11"/>
    <x v="0"/>
    <s v="Nulo"/>
    <x v="3"/>
    <n v="19"/>
  </r>
  <r>
    <x v="2"/>
    <n v="16"/>
    <x v="11"/>
    <x v="0"/>
    <s v="Blanco"/>
    <x v="3"/>
    <n v="10"/>
  </r>
  <r>
    <x v="2"/>
    <n v="17"/>
    <x v="12"/>
    <x v="0"/>
    <s v="PJ"/>
    <x v="0"/>
    <n v="11"/>
  </r>
  <r>
    <x v="2"/>
    <n v="17"/>
    <x v="12"/>
    <x v="0"/>
    <s v="Humanista"/>
    <x v="1"/>
    <n v="0"/>
  </r>
  <r>
    <x v="2"/>
    <n v="17"/>
    <x v="12"/>
    <x v="0"/>
    <s v="Partido de los Trabajadores Soc."/>
    <x v="1"/>
    <n v="0"/>
  </r>
  <r>
    <x v="2"/>
    <n v="17"/>
    <x v="12"/>
    <x v="0"/>
    <s v="FREPAM"/>
    <x v="2"/>
    <n v="0"/>
  </r>
  <r>
    <x v="2"/>
    <n v="17"/>
    <x v="12"/>
    <x v="0"/>
    <s v="Izquierda al Frente por el Soc."/>
    <x v="1"/>
    <n v="0"/>
  </r>
  <r>
    <x v="2"/>
    <n v="17"/>
    <x v="12"/>
    <x v="0"/>
    <s v="Cambiemos "/>
    <x v="2"/>
    <n v="4"/>
  </r>
  <r>
    <x v="2"/>
    <n v="17"/>
    <x v="12"/>
    <x v="0"/>
    <s v="Nulo"/>
    <x v="3"/>
    <n v="0"/>
  </r>
  <r>
    <x v="2"/>
    <n v="17"/>
    <x v="12"/>
    <x v="0"/>
    <s v="Blanco"/>
    <x v="3"/>
    <n v="0"/>
  </r>
  <r>
    <x v="2"/>
    <n v="18"/>
    <x v="13"/>
    <x v="0"/>
    <s v="PJ"/>
    <x v="0"/>
    <n v="956"/>
  </r>
  <r>
    <x v="2"/>
    <n v="18"/>
    <x v="13"/>
    <x v="0"/>
    <s v="Humanista"/>
    <x v="1"/>
    <n v="30"/>
  </r>
  <r>
    <x v="2"/>
    <n v="18"/>
    <x v="13"/>
    <x v="0"/>
    <s v="Partido de los Trabajadores Soc."/>
    <x v="1"/>
    <n v="13"/>
  </r>
  <r>
    <x v="2"/>
    <n v="18"/>
    <x v="13"/>
    <x v="0"/>
    <s v="FREPAM"/>
    <x v="2"/>
    <n v="62"/>
  </r>
  <r>
    <x v="2"/>
    <n v="18"/>
    <x v="13"/>
    <x v="0"/>
    <s v="Izquierda al Frente por el Soc."/>
    <x v="1"/>
    <n v="22"/>
  </r>
  <r>
    <x v="2"/>
    <n v="18"/>
    <x v="13"/>
    <x v="0"/>
    <s v="Cambiemos "/>
    <x v="2"/>
    <n v="594"/>
  </r>
  <r>
    <x v="2"/>
    <n v="18"/>
    <x v="13"/>
    <x v="0"/>
    <s v="Nulo"/>
    <x v="3"/>
    <n v="79"/>
  </r>
  <r>
    <x v="2"/>
    <n v="18"/>
    <x v="13"/>
    <x v="0"/>
    <s v="Blanco"/>
    <x v="3"/>
    <n v="26"/>
  </r>
  <r>
    <x v="2"/>
    <n v="19"/>
    <x v="14"/>
    <x v="0"/>
    <s v="PJ"/>
    <x v="0"/>
    <n v="427"/>
  </r>
  <r>
    <x v="2"/>
    <n v="19"/>
    <x v="14"/>
    <x v="0"/>
    <s v="Humanista"/>
    <x v="1"/>
    <n v="12"/>
  </r>
  <r>
    <x v="2"/>
    <n v="19"/>
    <x v="14"/>
    <x v="0"/>
    <s v="Partido de los Trabajadores Soc."/>
    <x v="1"/>
    <n v="11"/>
  </r>
  <r>
    <x v="2"/>
    <n v="19"/>
    <x v="14"/>
    <x v="0"/>
    <s v="FREPAM"/>
    <x v="2"/>
    <n v="40"/>
  </r>
  <r>
    <x v="2"/>
    <n v="19"/>
    <x v="14"/>
    <x v="0"/>
    <s v="Izquierda al Frente por el Soc."/>
    <x v="1"/>
    <n v="22"/>
  </r>
  <r>
    <x v="2"/>
    <n v="19"/>
    <x v="14"/>
    <x v="0"/>
    <s v="Cambiemos "/>
    <x v="2"/>
    <n v="578"/>
  </r>
  <r>
    <x v="2"/>
    <n v="19"/>
    <x v="14"/>
    <x v="0"/>
    <s v="Nulo"/>
    <x v="3"/>
    <n v="12"/>
  </r>
  <r>
    <x v="2"/>
    <n v="19"/>
    <x v="14"/>
    <x v="0"/>
    <s v="Blanco"/>
    <x v="3"/>
    <n v="52"/>
  </r>
  <r>
    <x v="2"/>
    <s v="19 A"/>
    <x v="15"/>
    <x v="0"/>
    <s v="PJ"/>
    <x v="0"/>
    <n v="25"/>
  </r>
  <r>
    <x v="2"/>
    <s v="19 A"/>
    <x v="15"/>
    <x v="0"/>
    <s v="Humanista"/>
    <x v="1"/>
    <n v="1"/>
  </r>
  <r>
    <x v="2"/>
    <s v="19 A"/>
    <x v="15"/>
    <x v="0"/>
    <s v="Partido de los Trabajadores Soc."/>
    <x v="1"/>
    <n v="0"/>
  </r>
  <r>
    <x v="2"/>
    <s v="19 A"/>
    <x v="15"/>
    <x v="0"/>
    <s v="FREPAM"/>
    <x v="2"/>
    <n v="0"/>
  </r>
  <r>
    <x v="2"/>
    <s v="19 A"/>
    <x v="15"/>
    <x v="0"/>
    <s v="Izquierda al Frente por el Soc."/>
    <x v="1"/>
    <n v="0"/>
  </r>
  <r>
    <x v="2"/>
    <s v="19 A"/>
    <x v="15"/>
    <x v="0"/>
    <s v="Cambiemos "/>
    <x v="2"/>
    <n v="94"/>
  </r>
  <r>
    <x v="2"/>
    <s v="19 A"/>
    <x v="15"/>
    <x v="0"/>
    <s v="Nulo"/>
    <x v="3"/>
    <n v="2"/>
  </r>
  <r>
    <x v="2"/>
    <s v="19 A"/>
    <x v="15"/>
    <x v="0"/>
    <s v="Blanco"/>
    <x v="3"/>
    <n v="4"/>
  </r>
  <r>
    <x v="2"/>
    <n v="20"/>
    <x v="16"/>
    <x v="0"/>
    <s v="PJ"/>
    <x v="0"/>
    <n v="69"/>
  </r>
  <r>
    <x v="2"/>
    <n v="20"/>
    <x v="16"/>
    <x v="0"/>
    <s v="Humanista"/>
    <x v="1"/>
    <n v="0"/>
  </r>
  <r>
    <x v="2"/>
    <n v="20"/>
    <x v="16"/>
    <x v="0"/>
    <s v="Partido de los Trabajadores Soc."/>
    <x v="1"/>
    <n v="1"/>
  </r>
  <r>
    <x v="2"/>
    <n v="20"/>
    <x v="16"/>
    <x v="0"/>
    <s v="FREPAM"/>
    <x v="2"/>
    <n v="26"/>
  </r>
  <r>
    <x v="2"/>
    <n v="20"/>
    <x v="16"/>
    <x v="0"/>
    <s v="Izquierda al Frente por el Soc."/>
    <x v="1"/>
    <n v="4"/>
  </r>
  <r>
    <x v="2"/>
    <n v="20"/>
    <x v="16"/>
    <x v="0"/>
    <s v="Cambiemos "/>
    <x v="2"/>
    <n v="151"/>
  </r>
  <r>
    <x v="2"/>
    <n v="20"/>
    <x v="16"/>
    <x v="0"/>
    <s v="Nulo"/>
    <x v="3"/>
    <n v="4"/>
  </r>
  <r>
    <x v="2"/>
    <n v="20"/>
    <x v="16"/>
    <x v="0"/>
    <s v="Blanco"/>
    <x v="3"/>
    <n v="2"/>
  </r>
  <r>
    <x v="2"/>
    <n v="21"/>
    <x v="17"/>
    <x v="0"/>
    <s v="PJ"/>
    <x v="0"/>
    <n v="116"/>
  </r>
  <r>
    <x v="2"/>
    <n v="21"/>
    <x v="17"/>
    <x v="0"/>
    <s v="Humanista"/>
    <x v="1"/>
    <n v="5"/>
  </r>
  <r>
    <x v="2"/>
    <n v="21"/>
    <x v="17"/>
    <x v="0"/>
    <s v="Partido de los Trabajadores Soc."/>
    <x v="1"/>
    <n v="8"/>
  </r>
  <r>
    <x v="2"/>
    <n v="21"/>
    <x v="17"/>
    <x v="0"/>
    <s v="FREPAM"/>
    <x v="2"/>
    <n v="17"/>
  </r>
  <r>
    <x v="2"/>
    <n v="21"/>
    <x v="17"/>
    <x v="0"/>
    <s v="Izquierda al Frente por el Soc."/>
    <x v="1"/>
    <n v="6"/>
  </r>
  <r>
    <x v="2"/>
    <n v="21"/>
    <x v="17"/>
    <x v="0"/>
    <s v="Cambiemos "/>
    <x v="2"/>
    <n v="259"/>
  </r>
  <r>
    <x v="2"/>
    <n v="21"/>
    <x v="17"/>
    <x v="0"/>
    <s v="Nulo"/>
    <x v="3"/>
    <n v="32"/>
  </r>
  <r>
    <x v="2"/>
    <n v="21"/>
    <x v="17"/>
    <x v="0"/>
    <s v="Blanco"/>
    <x v="3"/>
    <n v="12"/>
  </r>
  <r>
    <x v="2"/>
    <n v="22"/>
    <x v="18"/>
    <x v="0"/>
    <s v="PJ"/>
    <x v="0"/>
    <n v="1706"/>
  </r>
  <r>
    <x v="2"/>
    <n v="22"/>
    <x v="18"/>
    <x v="0"/>
    <s v="Humanista"/>
    <x v="1"/>
    <n v="65"/>
  </r>
  <r>
    <x v="2"/>
    <n v="22"/>
    <x v="18"/>
    <x v="0"/>
    <s v="Partido de los Trabajadores Soc."/>
    <x v="1"/>
    <n v="40"/>
  </r>
  <r>
    <x v="2"/>
    <n v="22"/>
    <x v="18"/>
    <x v="0"/>
    <s v="FREPAM"/>
    <x v="2"/>
    <n v="182"/>
  </r>
  <r>
    <x v="2"/>
    <n v="22"/>
    <x v="18"/>
    <x v="0"/>
    <s v="Izquierda al Frente por el Soc."/>
    <x v="1"/>
    <n v="77"/>
  </r>
  <r>
    <x v="2"/>
    <n v="22"/>
    <x v="18"/>
    <x v="0"/>
    <s v="Cambiemos "/>
    <x v="2"/>
    <n v="3019"/>
  </r>
  <r>
    <x v="2"/>
    <n v="22"/>
    <x v="18"/>
    <x v="0"/>
    <s v="Nulo"/>
    <x v="3"/>
    <n v="210"/>
  </r>
  <r>
    <x v="2"/>
    <n v="22"/>
    <x v="18"/>
    <x v="0"/>
    <s v="Blanco"/>
    <x v="3"/>
    <n v="76"/>
  </r>
  <r>
    <x v="2"/>
    <n v="23"/>
    <x v="19"/>
    <x v="0"/>
    <s v="PJ"/>
    <x v="0"/>
    <n v="216"/>
  </r>
  <r>
    <x v="2"/>
    <n v="23"/>
    <x v="19"/>
    <x v="0"/>
    <s v="Humanista"/>
    <x v="1"/>
    <n v="4"/>
  </r>
  <r>
    <x v="2"/>
    <n v="23"/>
    <x v="19"/>
    <x v="0"/>
    <s v="Partido de los Trabajadores Soc."/>
    <x v="1"/>
    <n v="2"/>
  </r>
  <r>
    <x v="2"/>
    <n v="23"/>
    <x v="19"/>
    <x v="0"/>
    <s v="FREPAM"/>
    <x v="2"/>
    <n v="92"/>
  </r>
  <r>
    <x v="2"/>
    <n v="23"/>
    <x v="19"/>
    <x v="0"/>
    <s v="Izquierda al Frente por el Soc."/>
    <x v="1"/>
    <n v="9"/>
  </r>
  <r>
    <x v="2"/>
    <n v="23"/>
    <x v="19"/>
    <x v="0"/>
    <s v="Cambiemos "/>
    <x v="2"/>
    <n v="182"/>
  </r>
  <r>
    <x v="2"/>
    <n v="23"/>
    <x v="19"/>
    <x v="0"/>
    <s v="Nulo"/>
    <x v="3"/>
    <n v="0"/>
  </r>
  <r>
    <x v="2"/>
    <n v="23"/>
    <x v="19"/>
    <x v="0"/>
    <s v="Blanco"/>
    <x v="3"/>
    <n v="24"/>
  </r>
  <r>
    <x v="2"/>
    <n v="24"/>
    <x v="20"/>
    <x v="0"/>
    <s v="PJ"/>
    <x v="0"/>
    <n v="187"/>
  </r>
  <r>
    <x v="2"/>
    <n v="24"/>
    <x v="20"/>
    <x v="0"/>
    <s v="Humanista"/>
    <x v="1"/>
    <n v="3"/>
  </r>
  <r>
    <x v="2"/>
    <n v="24"/>
    <x v="20"/>
    <x v="0"/>
    <s v="Partido de los Trabajadores Soc."/>
    <x v="1"/>
    <n v="2"/>
  </r>
  <r>
    <x v="2"/>
    <n v="24"/>
    <x v="20"/>
    <x v="0"/>
    <s v="FREPAM"/>
    <x v="2"/>
    <n v="10"/>
  </r>
  <r>
    <x v="2"/>
    <n v="24"/>
    <x v="20"/>
    <x v="0"/>
    <s v="Izquierda al Frente por el Soc."/>
    <x v="1"/>
    <n v="5"/>
  </r>
  <r>
    <x v="2"/>
    <n v="24"/>
    <x v="20"/>
    <x v="0"/>
    <s v="Cambiemos "/>
    <x v="2"/>
    <n v="111"/>
  </r>
  <r>
    <x v="2"/>
    <n v="24"/>
    <x v="20"/>
    <x v="0"/>
    <s v="Nulo"/>
    <x v="3"/>
    <n v="11"/>
  </r>
  <r>
    <x v="2"/>
    <n v="24"/>
    <x v="20"/>
    <x v="0"/>
    <s v="Blanco"/>
    <x v="3"/>
    <n v="8"/>
  </r>
  <r>
    <x v="2"/>
    <n v="25"/>
    <x v="21"/>
    <x v="0"/>
    <s v="PJ"/>
    <x v="0"/>
    <n v="380"/>
  </r>
  <r>
    <x v="2"/>
    <n v="25"/>
    <x v="21"/>
    <x v="0"/>
    <s v="Humanista"/>
    <x v="1"/>
    <n v="3"/>
  </r>
  <r>
    <x v="2"/>
    <n v="25"/>
    <x v="21"/>
    <x v="0"/>
    <s v="Partido de los Trabajadores Soc."/>
    <x v="1"/>
    <n v="3"/>
  </r>
  <r>
    <x v="2"/>
    <n v="25"/>
    <x v="21"/>
    <x v="0"/>
    <s v="FREPAM"/>
    <x v="2"/>
    <n v="74"/>
  </r>
  <r>
    <x v="2"/>
    <n v="25"/>
    <x v="21"/>
    <x v="0"/>
    <s v="Izquierda al Frente por el Soc."/>
    <x v="1"/>
    <n v="3"/>
  </r>
  <r>
    <x v="2"/>
    <n v="25"/>
    <x v="21"/>
    <x v="0"/>
    <s v="Cambiemos "/>
    <x v="2"/>
    <n v="63"/>
  </r>
  <r>
    <x v="2"/>
    <n v="25"/>
    <x v="21"/>
    <x v="0"/>
    <s v="Nulo"/>
    <x v="3"/>
    <n v="9"/>
  </r>
  <r>
    <x v="2"/>
    <n v="25"/>
    <x v="21"/>
    <x v="0"/>
    <s v="Blanco"/>
    <x v="3"/>
    <n v="8"/>
  </r>
  <r>
    <x v="2"/>
    <n v="26"/>
    <x v="22"/>
    <x v="0"/>
    <s v="PJ"/>
    <x v="0"/>
    <n v="273"/>
  </r>
  <r>
    <x v="2"/>
    <n v="26"/>
    <x v="22"/>
    <x v="0"/>
    <s v="Humanista"/>
    <x v="1"/>
    <n v="0"/>
  </r>
  <r>
    <x v="2"/>
    <n v="26"/>
    <x v="22"/>
    <x v="0"/>
    <s v="Partido de los Trabajadores Soc."/>
    <x v="1"/>
    <n v="2"/>
  </r>
  <r>
    <x v="2"/>
    <n v="26"/>
    <x v="22"/>
    <x v="0"/>
    <s v="FREPAM"/>
    <x v="2"/>
    <n v="6"/>
  </r>
  <r>
    <x v="2"/>
    <n v="26"/>
    <x v="22"/>
    <x v="0"/>
    <s v="Izquierda al Frente por el Soc."/>
    <x v="1"/>
    <n v="5"/>
  </r>
  <r>
    <x v="2"/>
    <n v="26"/>
    <x v="22"/>
    <x v="0"/>
    <s v="Cambiemos "/>
    <x v="2"/>
    <n v="101"/>
  </r>
  <r>
    <x v="2"/>
    <n v="26"/>
    <x v="22"/>
    <x v="0"/>
    <s v="Nulo"/>
    <x v="3"/>
    <n v="14"/>
  </r>
  <r>
    <x v="2"/>
    <n v="26"/>
    <x v="22"/>
    <x v="0"/>
    <s v="Blanco"/>
    <x v="3"/>
    <n v="1"/>
  </r>
  <r>
    <x v="2"/>
    <n v="27"/>
    <x v="23"/>
    <x v="0"/>
    <s v="PJ"/>
    <x v="0"/>
    <n v="2488"/>
  </r>
  <r>
    <x v="2"/>
    <n v="27"/>
    <x v="23"/>
    <x v="0"/>
    <s v="Humanista"/>
    <x v="1"/>
    <n v="83"/>
  </r>
  <r>
    <x v="2"/>
    <n v="27"/>
    <x v="23"/>
    <x v="0"/>
    <s v="Partido de los Trabajadores Soc."/>
    <x v="1"/>
    <n v="106"/>
  </r>
  <r>
    <x v="2"/>
    <n v="27"/>
    <x v="23"/>
    <x v="0"/>
    <s v="FREPAM"/>
    <x v="2"/>
    <n v="235"/>
  </r>
  <r>
    <x v="2"/>
    <n v="27"/>
    <x v="23"/>
    <x v="0"/>
    <s v="Izquierda al Frente por el Soc."/>
    <x v="1"/>
    <n v="78"/>
  </r>
  <r>
    <x v="2"/>
    <n v="27"/>
    <x v="23"/>
    <x v="0"/>
    <s v="Cambiemos "/>
    <x v="2"/>
    <n v="3130"/>
  </r>
  <r>
    <x v="2"/>
    <n v="27"/>
    <x v="23"/>
    <x v="0"/>
    <s v="Nulo"/>
    <x v="3"/>
    <n v="268"/>
  </r>
  <r>
    <x v="2"/>
    <n v="27"/>
    <x v="23"/>
    <x v="0"/>
    <s v="Blanco"/>
    <x v="3"/>
    <n v="117"/>
  </r>
  <r>
    <x v="2"/>
    <n v="28"/>
    <x v="24"/>
    <x v="0"/>
    <s v="PJ"/>
    <x v="0"/>
    <n v="100"/>
  </r>
  <r>
    <x v="2"/>
    <n v="28"/>
    <x v="24"/>
    <x v="0"/>
    <s v="Humanista"/>
    <x v="1"/>
    <n v="0"/>
  </r>
  <r>
    <x v="2"/>
    <n v="28"/>
    <x v="24"/>
    <x v="0"/>
    <s v="Partido de los Trabajadores Soc."/>
    <x v="1"/>
    <n v="6"/>
  </r>
  <r>
    <x v="2"/>
    <n v="28"/>
    <x v="24"/>
    <x v="0"/>
    <s v="FREPAM"/>
    <x v="2"/>
    <n v="15"/>
  </r>
  <r>
    <x v="2"/>
    <n v="28"/>
    <x v="24"/>
    <x v="0"/>
    <s v="Izquierda al Frente por el Soc."/>
    <x v="1"/>
    <n v="4"/>
  </r>
  <r>
    <x v="2"/>
    <n v="28"/>
    <x v="24"/>
    <x v="0"/>
    <s v="Cambiemos "/>
    <x v="2"/>
    <n v="146"/>
  </r>
  <r>
    <x v="2"/>
    <n v="28"/>
    <x v="24"/>
    <x v="0"/>
    <s v="Nulo"/>
    <x v="3"/>
    <n v="3"/>
  </r>
  <r>
    <x v="2"/>
    <n v="28"/>
    <x v="24"/>
    <x v="0"/>
    <s v="Blanco"/>
    <x v="3"/>
    <n v="2"/>
  </r>
  <r>
    <x v="2"/>
    <n v="29"/>
    <x v="25"/>
    <x v="0"/>
    <s v="PJ"/>
    <x v="0"/>
    <n v="183"/>
  </r>
  <r>
    <x v="2"/>
    <n v="29"/>
    <x v="25"/>
    <x v="0"/>
    <s v="Humanista"/>
    <x v="1"/>
    <n v="3"/>
  </r>
  <r>
    <x v="2"/>
    <n v="29"/>
    <x v="25"/>
    <x v="0"/>
    <s v="Partido de los Trabajadores Soc."/>
    <x v="1"/>
    <n v="2"/>
  </r>
  <r>
    <x v="2"/>
    <n v="29"/>
    <x v="25"/>
    <x v="0"/>
    <s v="FREPAM"/>
    <x v="2"/>
    <n v="28"/>
  </r>
  <r>
    <x v="2"/>
    <n v="29"/>
    <x v="25"/>
    <x v="0"/>
    <s v="Izquierda al Frente por el Soc."/>
    <x v="1"/>
    <n v="5"/>
  </r>
  <r>
    <x v="2"/>
    <n v="29"/>
    <x v="25"/>
    <x v="0"/>
    <s v="Cambiemos "/>
    <x v="2"/>
    <n v="178"/>
  </r>
  <r>
    <x v="2"/>
    <n v="29"/>
    <x v="25"/>
    <x v="0"/>
    <s v="Nulo"/>
    <x v="3"/>
    <n v="14"/>
  </r>
  <r>
    <x v="2"/>
    <n v="29"/>
    <x v="25"/>
    <x v="0"/>
    <s v="Blanco"/>
    <x v="3"/>
    <n v="6"/>
  </r>
  <r>
    <x v="2"/>
    <n v="30"/>
    <x v="26"/>
    <x v="0"/>
    <s v="PJ"/>
    <x v="0"/>
    <n v="137"/>
  </r>
  <r>
    <x v="2"/>
    <n v="30"/>
    <x v="26"/>
    <x v="0"/>
    <s v="Humanista"/>
    <x v="1"/>
    <n v="0"/>
  </r>
  <r>
    <x v="2"/>
    <n v="30"/>
    <x v="26"/>
    <x v="0"/>
    <s v="Partido de los Trabajadores Soc."/>
    <x v="1"/>
    <n v="2"/>
  </r>
  <r>
    <x v="2"/>
    <n v="30"/>
    <x v="26"/>
    <x v="0"/>
    <s v="FREPAM"/>
    <x v="2"/>
    <n v="3"/>
  </r>
  <r>
    <x v="2"/>
    <n v="30"/>
    <x v="26"/>
    <x v="0"/>
    <s v="Izquierda al Frente por el Soc."/>
    <x v="1"/>
    <n v="7"/>
  </r>
  <r>
    <x v="2"/>
    <n v="30"/>
    <x v="26"/>
    <x v="0"/>
    <s v="Cambiemos "/>
    <x v="2"/>
    <n v="41"/>
  </r>
  <r>
    <x v="2"/>
    <n v="30"/>
    <x v="26"/>
    <x v="0"/>
    <s v="Nulo"/>
    <x v="3"/>
    <n v="0"/>
  </r>
  <r>
    <x v="2"/>
    <n v="30"/>
    <x v="26"/>
    <x v="0"/>
    <s v="Blanco"/>
    <x v="3"/>
    <n v="15"/>
  </r>
  <r>
    <x v="2"/>
    <n v="31"/>
    <x v="27"/>
    <x v="0"/>
    <s v="PJ"/>
    <x v="0"/>
    <n v="657"/>
  </r>
  <r>
    <x v="2"/>
    <n v="31"/>
    <x v="27"/>
    <x v="0"/>
    <s v="Humanista"/>
    <x v="1"/>
    <n v="24"/>
  </r>
  <r>
    <x v="2"/>
    <n v="31"/>
    <x v="27"/>
    <x v="0"/>
    <s v="Partido de los Trabajadores Soc."/>
    <x v="1"/>
    <n v="21"/>
  </r>
  <r>
    <x v="2"/>
    <n v="31"/>
    <x v="27"/>
    <x v="0"/>
    <s v="FREPAM"/>
    <x v="2"/>
    <n v="33"/>
  </r>
  <r>
    <x v="2"/>
    <n v="31"/>
    <x v="27"/>
    <x v="0"/>
    <s v="Izquierda al Frente por el Soc."/>
    <x v="1"/>
    <n v="29"/>
  </r>
  <r>
    <x v="2"/>
    <n v="31"/>
    <x v="27"/>
    <x v="0"/>
    <s v="Cambiemos "/>
    <x v="2"/>
    <n v="976"/>
  </r>
  <r>
    <x v="2"/>
    <n v="31"/>
    <x v="27"/>
    <x v="0"/>
    <s v="Nulo"/>
    <x v="3"/>
    <n v="37"/>
  </r>
  <r>
    <x v="2"/>
    <n v="31"/>
    <x v="27"/>
    <x v="0"/>
    <s v="Blanco"/>
    <x v="3"/>
    <n v="78"/>
  </r>
  <r>
    <x v="2"/>
    <n v="32"/>
    <x v="28"/>
    <x v="0"/>
    <s v="PJ"/>
    <x v="0"/>
    <n v="171"/>
  </r>
  <r>
    <x v="2"/>
    <n v="32"/>
    <x v="28"/>
    <x v="0"/>
    <s v="Humanista"/>
    <x v="1"/>
    <n v="1"/>
  </r>
  <r>
    <x v="2"/>
    <n v="32"/>
    <x v="28"/>
    <x v="0"/>
    <s v="Partido de los Trabajadores Soc."/>
    <x v="1"/>
    <n v="2"/>
  </r>
  <r>
    <x v="2"/>
    <n v="32"/>
    <x v="28"/>
    <x v="0"/>
    <s v="FREPAM"/>
    <x v="2"/>
    <n v="2"/>
  </r>
  <r>
    <x v="2"/>
    <n v="32"/>
    <x v="28"/>
    <x v="0"/>
    <s v="Izquierda al Frente por el Soc."/>
    <x v="1"/>
    <n v="1"/>
  </r>
  <r>
    <x v="2"/>
    <n v="32"/>
    <x v="28"/>
    <x v="0"/>
    <s v="Cambiemos "/>
    <x v="2"/>
    <n v="42"/>
  </r>
  <r>
    <x v="2"/>
    <n v="32"/>
    <x v="28"/>
    <x v="0"/>
    <s v="Nulo"/>
    <x v="3"/>
    <n v="4"/>
  </r>
  <r>
    <x v="2"/>
    <n v="32"/>
    <x v="28"/>
    <x v="0"/>
    <s v="Blanco"/>
    <x v="3"/>
    <n v="6"/>
  </r>
  <r>
    <x v="2"/>
    <n v="33"/>
    <x v="29"/>
    <x v="0"/>
    <s v="PJ"/>
    <x v="0"/>
    <n v="232"/>
  </r>
  <r>
    <x v="2"/>
    <n v="33"/>
    <x v="29"/>
    <x v="0"/>
    <s v="Humanista"/>
    <x v="1"/>
    <n v="1"/>
  </r>
  <r>
    <x v="2"/>
    <n v="33"/>
    <x v="29"/>
    <x v="0"/>
    <s v="Partido de los Trabajadores Soc."/>
    <x v="1"/>
    <n v="2"/>
  </r>
  <r>
    <x v="2"/>
    <n v="33"/>
    <x v="29"/>
    <x v="0"/>
    <s v="FREPAM"/>
    <x v="2"/>
    <n v="3"/>
  </r>
  <r>
    <x v="2"/>
    <n v="33"/>
    <x v="29"/>
    <x v="0"/>
    <s v="Izquierda al Frente por el Soc."/>
    <x v="1"/>
    <n v="1"/>
  </r>
  <r>
    <x v="2"/>
    <n v="33"/>
    <x v="29"/>
    <x v="0"/>
    <s v="Cambiemos "/>
    <x v="2"/>
    <n v="92"/>
  </r>
  <r>
    <x v="2"/>
    <n v="33"/>
    <x v="29"/>
    <x v="0"/>
    <s v="Nulo"/>
    <x v="3"/>
    <n v="5"/>
  </r>
  <r>
    <x v="2"/>
    <n v="33"/>
    <x v="29"/>
    <x v="0"/>
    <s v="Blanco"/>
    <x v="3"/>
    <n v="0"/>
  </r>
  <r>
    <x v="2"/>
    <n v="34"/>
    <x v="30"/>
    <x v="0"/>
    <s v="PJ"/>
    <x v="0"/>
    <n v="637"/>
  </r>
  <r>
    <x v="2"/>
    <n v="34"/>
    <x v="30"/>
    <x v="0"/>
    <s v="Humanista"/>
    <x v="1"/>
    <n v="14"/>
  </r>
  <r>
    <x v="2"/>
    <n v="34"/>
    <x v="30"/>
    <x v="0"/>
    <s v="Partido de los Trabajadores Soc."/>
    <x v="1"/>
    <n v="15"/>
  </r>
  <r>
    <x v="2"/>
    <n v="34"/>
    <x v="30"/>
    <x v="0"/>
    <s v="FREPAM"/>
    <x v="2"/>
    <n v="17"/>
  </r>
  <r>
    <x v="2"/>
    <n v="34"/>
    <x v="30"/>
    <x v="0"/>
    <s v="Izquierda al Frente por el Soc."/>
    <x v="1"/>
    <n v="14"/>
  </r>
  <r>
    <x v="2"/>
    <n v="34"/>
    <x v="30"/>
    <x v="0"/>
    <s v="Cambiemos "/>
    <x v="2"/>
    <n v="748"/>
  </r>
  <r>
    <x v="2"/>
    <n v="34"/>
    <x v="30"/>
    <x v="0"/>
    <s v="Nulo"/>
    <x v="3"/>
    <n v="0"/>
  </r>
  <r>
    <x v="2"/>
    <n v="34"/>
    <x v="30"/>
    <x v="0"/>
    <s v="Blanco"/>
    <x v="3"/>
    <n v="41"/>
  </r>
  <r>
    <x v="2"/>
    <n v="35"/>
    <x v="31"/>
    <x v="0"/>
    <s v="PJ"/>
    <x v="0"/>
    <n v="168"/>
  </r>
  <r>
    <x v="2"/>
    <n v="35"/>
    <x v="31"/>
    <x v="0"/>
    <s v="Humanista"/>
    <x v="1"/>
    <n v="10"/>
  </r>
  <r>
    <x v="2"/>
    <n v="35"/>
    <x v="31"/>
    <x v="0"/>
    <s v="Partido de los Trabajadores Soc."/>
    <x v="1"/>
    <n v="8"/>
  </r>
  <r>
    <x v="2"/>
    <n v="35"/>
    <x v="31"/>
    <x v="0"/>
    <s v="FREPAM"/>
    <x v="2"/>
    <n v="6"/>
  </r>
  <r>
    <x v="2"/>
    <n v="35"/>
    <x v="31"/>
    <x v="0"/>
    <s v="Izquierda al Frente por el Soc."/>
    <x v="1"/>
    <n v="13"/>
  </r>
  <r>
    <x v="2"/>
    <n v="35"/>
    <x v="31"/>
    <x v="0"/>
    <s v="Cambiemos "/>
    <x v="2"/>
    <n v="546"/>
  </r>
  <r>
    <x v="2"/>
    <n v="35"/>
    <x v="31"/>
    <x v="0"/>
    <s v="Nulo"/>
    <x v="3"/>
    <n v="21"/>
  </r>
  <r>
    <x v="2"/>
    <n v="35"/>
    <x v="31"/>
    <x v="0"/>
    <s v="Blanco"/>
    <x v="3"/>
    <n v="12"/>
  </r>
  <r>
    <x v="2"/>
    <n v="36"/>
    <x v="32"/>
    <x v="0"/>
    <s v="PJ"/>
    <x v="0"/>
    <n v="751"/>
  </r>
  <r>
    <x v="2"/>
    <n v="36"/>
    <x v="32"/>
    <x v="0"/>
    <s v="Humanista"/>
    <x v="1"/>
    <n v="32"/>
  </r>
  <r>
    <x v="2"/>
    <n v="36"/>
    <x v="32"/>
    <x v="0"/>
    <s v="Partido de los Trabajadores Soc."/>
    <x v="1"/>
    <n v="28"/>
  </r>
  <r>
    <x v="2"/>
    <n v="36"/>
    <x v="32"/>
    <x v="0"/>
    <s v="FREPAM"/>
    <x v="2"/>
    <n v="56"/>
  </r>
  <r>
    <x v="2"/>
    <n v="36"/>
    <x v="32"/>
    <x v="0"/>
    <s v="Izquierda al Frente por el Soc."/>
    <x v="1"/>
    <n v="62"/>
  </r>
  <r>
    <x v="2"/>
    <n v="36"/>
    <x v="32"/>
    <x v="0"/>
    <s v="Cambiemos "/>
    <x v="2"/>
    <n v="1718"/>
  </r>
  <r>
    <x v="2"/>
    <n v="36"/>
    <x v="32"/>
    <x v="0"/>
    <s v="Nulo"/>
    <x v="3"/>
    <n v="78"/>
  </r>
  <r>
    <x v="2"/>
    <n v="36"/>
    <x v="32"/>
    <x v="0"/>
    <s v="Blanco"/>
    <x v="3"/>
    <n v="118"/>
  </r>
  <r>
    <x v="2"/>
    <n v="37"/>
    <x v="33"/>
    <x v="0"/>
    <s v="PJ"/>
    <x v="0"/>
    <n v="26"/>
  </r>
  <r>
    <x v="2"/>
    <n v="37"/>
    <x v="33"/>
    <x v="0"/>
    <s v="Humanista"/>
    <x v="1"/>
    <n v="0"/>
  </r>
  <r>
    <x v="2"/>
    <n v="37"/>
    <x v="33"/>
    <x v="0"/>
    <s v="Partido de los Trabajadores Soc."/>
    <x v="1"/>
    <n v="0"/>
  </r>
  <r>
    <x v="2"/>
    <n v="37"/>
    <x v="33"/>
    <x v="0"/>
    <s v="FREPAM"/>
    <x v="2"/>
    <n v="4"/>
  </r>
  <r>
    <x v="2"/>
    <n v="37"/>
    <x v="33"/>
    <x v="0"/>
    <s v="Izquierda al Frente por el Soc."/>
    <x v="1"/>
    <n v="0"/>
  </r>
  <r>
    <x v="2"/>
    <n v="37"/>
    <x v="33"/>
    <x v="0"/>
    <s v="Cambiemos "/>
    <x v="2"/>
    <n v="20"/>
  </r>
  <r>
    <x v="2"/>
    <n v="37"/>
    <x v="33"/>
    <x v="0"/>
    <s v="Nulo"/>
    <x v="3"/>
    <n v="0"/>
  </r>
  <r>
    <x v="2"/>
    <n v="37"/>
    <x v="33"/>
    <x v="0"/>
    <s v="Blanco"/>
    <x v="3"/>
    <n v="0"/>
  </r>
  <r>
    <x v="2"/>
    <n v="38"/>
    <x v="34"/>
    <x v="0"/>
    <s v="PJ"/>
    <x v="0"/>
    <n v="61"/>
  </r>
  <r>
    <x v="2"/>
    <n v="38"/>
    <x v="34"/>
    <x v="0"/>
    <s v="Humanista"/>
    <x v="1"/>
    <n v="7"/>
  </r>
  <r>
    <x v="2"/>
    <n v="38"/>
    <x v="34"/>
    <x v="0"/>
    <s v="Partido de los Trabajadores Soc."/>
    <x v="1"/>
    <n v="2"/>
  </r>
  <r>
    <x v="2"/>
    <n v="38"/>
    <x v="34"/>
    <x v="0"/>
    <s v="FREPAM"/>
    <x v="2"/>
    <n v="8"/>
  </r>
  <r>
    <x v="2"/>
    <n v="38"/>
    <x v="34"/>
    <x v="0"/>
    <s v="Izquierda al Frente por el Soc."/>
    <x v="1"/>
    <n v="6"/>
  </r>
  <r>
    <x v="2"/>
    <n v="38"/>
    <x v="34"/>
    <x v="0"/>
    <s v="Cambiemos "/>
    <x v="2"/>
    <n v="252"/>
  </r>
  <r>
    <x v="2"/>
    <n v="38"/>
    <x v="34"/>
    <x v="0"/>
    <s v="Nulo"/>
    <x v="3"/>
    <n v="29"/>
  </r>
  <r>
    <x v="2"/>
    <n v="38"/>
    <x v="34"/>
    <x v="0"/>
    <s v="Blanco"/>
    <x v="3"/>
    <n v="8"/>
  </r>
  <r>
    <x v="2"/>
    <n v="39"/>
    <x v="35"/>
    <x v="0"/>
    <s v="PJ"/>
    <x v="0"/>
    <n v="770"/>
  </r>
  <r>
    <x v="2"/>
    <n v="39"/>
    <x v="35"/>
    <x v="0"/>
    <s v="Humanista"/>
    <x v="1"/>
    <n v="10"/>
  </r>
  <r>
    <x v="2"/>
    <n v="39"/>
    <x v="35"/>
    <x v="0"/>
    <s v="Partido de los Trabajadores Soc."/>
    <x v="1"/>
    <n v="6"/>
  </r>
  <r>
    <x v="2"/>
    <n v="39"/>
    <x v="35"/>
    <x v="0"/>
    <s v="FREPAM"/>
    <x v="2"/>
    <n v="74"/>
  </r>
  <r>
    <x v="2"/>
    <n v="39"/>
    <x v="35"/>
    <x v="0"/>
    <s v="Izquierda al Frente por el Soc."/>
    <x v="1"/>
    <n v="8"/>
  </r>
  <r>
    <x v="2"/>
    <n v="39"/>
    <x v="35"/>
    <x v="0"/>
    <s v="Cambiemos "/>
    <x v="2"/>
    <n v="320"/>
  </r>
  <r>
    <x v="2"/>
    <n v="39"/>
    <x v="35"/>
    <x v="0"/>
    <s v="Nulo"/>
    <x v="3"/>
    <n v="28"/>
  </r>
  <r>
    <x v="2"/>
    <n v="39"/>
    <x v="35"/>
    <x v="0"/>
    <s v="Blanco"/>
    <x v="3"/>
    <n v="17"/>
  </r>
  <r>
    <x v="2"/>
    <s v="39 A"/>
    <x v="36"/>
    <x v="0"/>
    <s v="PJ"/>
    <x v="0"/>
    <n v="193"/>
  </r>
  <r>
    <x v="2"/>
    <s v="39 A"/>
    <x v="36"/>
    <x v="0"/>
    <s v="Humanista"/>
    <x v="1"/>
    <n v="1"/>
  </r>
  <r>
    <x v="2"/>
    <s v="39 A"/>
    <x v="36"/>
    <x v="0"/>
    <s v="Partido de los Trabajadores Soc."/>
    <x v="1"/>
    <n v="7"/>
  </r>
  <r>
    <x v="2"/>
    <s v="39 A"/>
    <x v="36"/>
    <x v="0"/>
    <s v="FREPAM"/>
    <x v="2"/>
    <n v="2"/>
  </r>
  <r>
    <x v="2"/>
    <s v="39 A"/>
    <x v="36"/>
    <x v="0"/>
    <s v="Izquierda al Frente por el Soc."/>
    <x v="1"/>
    <n v="0"/>
  </r>
  <r>
    <x v="2"/>
    <s v="39 A"/>
    <x v="36"/>
    <x v="0"/>
    <s v="Cambiemos "/>
    <x v="2"/>
    <n v="104"/>
  </r>
  <r>
    <x v="2"/>
    <s v="39 A"/>
    <x v="36"/>
    <x v="0"/>
    <s v="Nulo"/>
    <x v="3"/>
    <n v="12"/>
  </r>
  <r>
    <x v="2"/>
    <s v="39 A"/>
    <x v="36"/>
    <x v="0"/>
    <s v="Blanco"/>
    <x v="3"/>
    <n v="4"/>
  </r>
  <r>
    <x v="2"/>
    <n v="40"/>
    <x v="37"/>
    <x v="0"/>
    <s v="PJ"/>
    <x v="0"/>
    <n v="764"/>
  </r>
  <r>
    <x v="2"/>
    <n v="40"/>
    <x v="37"/>
    <x v="0"/>
    <s v="Humanista"/>
    <x v="1"/>
    <n v="12"/>
  </r>
  <r>
    <x v="2"/>
    <n v="40"/>
    <x v="37"/>
    <x v="0"/>
    <s v="Partido de los Trabajadores Soc."/>
    <x v="1"/>
    <n v="14"/>
  </r>
  <r>
    <x v="2"/>
    <n v="40"/>
    <x v="37"/>
    <x v="0"/>
    <s v="FREPAM"/>
    <x v="2"/>
    <n v="28"/>
  </r>
  <r>
    <x v="2"/>
    <n v="40"/>
    <x v="37"/>
    <x v="0"/>
    <s v="Izquierda al Frente por el Soc."/>
    <x v="1"/>
    <n v="30"/>
  </r>
  <r>
    <x v="2"/>
    <n v="40"/>
    <x v="37"/>
    <x v="0"/>
    <s v="Cambiemos "/>
    <x v="2"/>
    <n v="960"/>
  </r>
  <r>
    <x v="2"/>
    <n v="40"/>
    <x v="37"/>
    <x v="0"/>
    <s v="Nulo"/>
    <x v="3"/>
    <n v="59"/>
  </r>
  <r>
    <x v="2"/>
    <n v="40"/>
    <x v="37"/>
    <x v="0"/>
    <s v="Blanco"/>
    <x v="3"/>
    <n v="53"/>
  </r>
  <r>
    <x v="2"/>
    <n v="42"/>
    <x v="38"/>
    <x v="0"/>
    <s v="PJ"/>
    <x v="0"/>
    <n v="789"/>
  </r>
  <r>
    <x v="2"/>
    <n v="42"/>
    <x v="38"/>
    <x v="0"/>
    <s v="Humanista"/>
    <x v="1"/>
    <n v="23"/>
  </r>
  <r>
    <x v="2"/>
    <n v="42"/>
    <x v="38"/>
    <x v="0"/>
    <s v="Partido de los Trabajadores Soc."/>
    <x v="1"/>
    <n v="13"/>
  </r>
  <r>
    <x v="2"/>
    <n v="42"/>
    <x v="38"/>
    <x v="0"/>
    <s v="FREPAM"/>
    <x v="2"/>
    <n v="29"/>
  </r>
  <r>
    <x v="2"/>
    <n v="42"/>
    <x v="38"/>
    <x v="0"/>
    <s v="Izquierda al Frente por el Soc."/>
    <x v="1"/>
    <n v="43"/>
  </r>
  <r>
    <x v="2"/>
    <n v="42"/>
    <x v="38"/>
    <x v="0"/>
    <s v="Cambiemos "/>
    <x v="2"/>
    <n v="889"/>
  </r>
  <r>
    <x v="2"/>
    <n v="42"/>
    <x v="38"/>
    <x v="0"/>
    <s v="Nulo"/>
    <x v="3"/>
    <n v="58"/>
  </r>
  <r>
    <x v="2"/>
    <n v="42"/>
    <x v="38"/>
    <x v="0"/>
    <s v="Blanco"/>
    <x v="3"/>
    <n v="22"/>
  </r>
  <r>
    <x v="2"/>
    <n v="43"/>
    <x v="39"/>
    <x v="0"/>
    <s v="PJ"/>
    <x v="0"/>
    <n v="147"/>
  </r>
  <r>
    <x v="2"/>
    <n v="43"/>
    <x v="39"/>
    <x v="0"/>
    <s v="Humanista"/>
    <x v="1"/>
    <n v="0"/>
  </r>
  <r>
    <x v="2"/>
    <n v="43"/>
    <x v="39"/>
    <x v="0"/>
    <s v="Partido de los Trabajadores Soc."/>
    <x v="1"/>
    <n v="6"/>
  </r>
  <r>
    <x v="2"/>
    <n v="43"/>
    <x v="39"/>
    <x v="0"/>
    <s v="FREPAM"/>
    <x v="2"/>
    <n v="1"/>
  </r>
  <r>
    <x v="2"/>
    <n v="43"/>
    <x v="39"/>
    <x v="0"/>
    <s v="Izquierda al Frente por el Soc."/>
    <x v="1"/>
    <n v="1"/>
  </r>
  <r>
    <x v="2"/>
    <n v="43"/>
    <x v="39"/>
    <x v="0"/>
    <s v="Cambiemos "/>
    <x v="2"/>
    <n v="94"/>
  </r>
  <r>
    <x v="2"/>
    <n v="43"/>
    <x v="39"/>
    <x v="0"/>
    <s v="Nulo"/>
    <x v="3"/>
    <n v="1"/>
  </r>
  <r>
    <x v="2"/>
    <n v="43"/>
    <x v="39"/>
    <x v="0"/>
    <s v="Blanco"/>
    <x v="3"/>
    <n v="13"/>
  </r>
  <r>
    <x v="2"/>
    <n v="45"/>
    <x v="40"/>
    <x v="0"/>
    <s v="PJ"/>
    <x v="0"/>
    <n v="75"/>
  </r>
  <r>
    <x v="2"/>
    <n v="45"/>
    <x v="40"/>
    <x v="0"/>
    <s v="Humanista"/>
    <x v="1"/>
    <n v="0"/>
  </r>
  <r>
    <x v="2"/>
    <n v="45"/>
    <x v="40"/>
    <x v="0"/>
    <s v="Partido de los Trabajadores Soc."/>
    <x v="1"/>
    <n v="0"/>
  </r>
  <r>
    <x v="2"/>
    <n v="45"/>
    <x v="40"/>
    <x v="0"/>
    <s v="FREPAM"/>
    <x v="2"/>
    <n v="2"/>
  </r>
  <r>
    <x v="2"/>
    <n v="45"/>
    <x v="40"/>
    <x v="0"/>
    <s v="Izquierda al Frente por el Soc."/>
    <x v="1"/>
    <n v="0"/>
  </r>
  <r>
    <x v="2"/>
    <n v="45"/>
    <x v="40"/>
    <x v="0"/>
    <s v="Cambiemos "/>
    <x v="2"/>
    <n v="16"/>
  </r>
  <r>
    <x v="2"/>
    <n v="45"/>
    <x v="40"/>
    <x v="0"/>
    <s v="Nulo"/>
    <x v="3"/>
    <n v="3"/>
  </r>
  <r>
    <x v="2"/>
    <n v="45"/>
    <x v="40"/>
    <x v="0"/>
    <s v="Blanco"/>
    <x v="3"/>
    <n v="1"/>
  </r>
  <r>
    <x v="2"/>
    <n v="46"/>
    <x v="41"/>
    <x v="0"/>
    <s v="PJ"/>
    <x v="0"/>
    <n v="304"/>
  </r>
  <r>
    <x v="2"/>
    <n v="46"/>
    <x v="41"/>
    <x v="0"/>
    <s v="Humanista"/>
    <x v="1"/>
    <n v="7"/>
  </r>
  <r>
    <x v="2"/>
    <n v="46"/>
    <x v="41"/>
    <x v="0"/>
    <s v="Partido de los Trabajadores Soc."/>
    <x v="1"/>
    <n v="3"/>
  </r>
  <r>
    <x v="2"/>
    <n v="46"/>
    <x v="41"/>
    <x v="0"/>
    <s v="FREPAM"/>
    <x v="2"/>
    <n v="7"/>
  </r>
  <r>
    <x v="2"/>
    <n v="46"/>
    <x v="41"/>
    <x v="0"/>
    <s v="Izquierda al Frente por el Soc."/>
    <x v="1"/>
    <n v="1"/>
  </r>
  <r>
    <x v="2"/>
    <n v="46"/>
    <x v="41"/>
    <x v="0"/>
    <s v="Cambiemos "/>
    <x v="2"/>
    <n v="196"/>
  </r>
  <r>
    <x v="2"/>
    <n v="46"/>
    <x v="41"/>
    <x v="0"/>
    <s v="Nulo"/>
    <x v="3"/>
    <n v="7"/>
  </r>
  <r>
    <x v="2"/>
    <n v="46"/>
    <x v="41"/>
    <x v="0"/>
    <s v="Blanco"/>
    <x v="3"/>
    <n v="13"/>
  </r>
  <r>
    <x v="2"/>
    <n v="47"/>
    <x v="42"/>
    <x v="0"/>
    <s v="PJ"/>
    <x v="0"/>
    <n v="537"/>
  </r>
  <r>
    <x v="2"/>
    <n v="47"/>
    <x v="42"/>
    <x v="0"/>
    <s v="Humanista"/>
    <x v="1"/>
    <n v="7"/>
  </r>
  <r>
    <x v="2"/>
    <n v="47"/>
    <x v="42"/>
    <x v="0"/>
    <s v="Partido de los Trabajadores Soc."/>
    <x v="1"/>
    <n v="3"/>
  </r>
  <r>
    <x v="2"/>
    <n v="47"/>
    <x v="42"/>
    <x v="0"/>
    <s v="FREPAM"/>
    <x v="2"/>
    <n v="24"/>
  </r>
  <r>
    <x v="2"/>
    <n v="47"/>
    <x v="42"/>
    <x v="0"/>
    <s v="Izquierda al Frente por el Soc."/>
    <x v="1"/>
    <n v="4"/>
  </r>
  <r>
    <x v="2"/>
    <n v="47"/>
    <x v="42"/>
    <x v="0"/>
    <s v="Cambiemos "/>
    <x v="2"/>
    <n v="306"/>
  </r>
  <r>
    <x v="2"/>
    <n v="47"/>
    <x v="42"/>
    <x v="0"/>
    <s v="Nulo"/>
    <x v="3"/>
    <n v="14"/>
  </r>
  <r>
    <x v="2"/>
    <n v="47"/>
    <x v="42"/>
    <x v="0"/>
    <s v="Blanco"/>
    <x v="3"/>
    <n v="18"/>
  </r>
  <r>
    <x v="2"/>
    <n v="48"/>
    <x v="43"/>
    <x v="0"/>
    <s v="PJ"/>
    <x v="0"/>
    <n v="1695"/>
  </r>
  <r>
    <x v="2"/>
    <n v="48"/>
    <x v="43"/>
    <x v="0"/>
    <s v="Humanista"/>
    <x v="1"/>
    <n v="34"/>
  </r>
  <r>
    <x v="2"/>
    <n v="48"/>
    <x v="43"/>
    <x v="0"/>
    <s v="Partido de los Trabajadores Soc."/>
    <x v="1"/>
    <n v="38"/>
  </r>
  <r>
    <x v="2"/>
    <n v="48"/>
    <x v="43"/>
    <x v="0"/>
    <s v="FREPAM"/>
    <x v="2"/>
    <n v="175"/>
  </r>
  <r>
    <x v="2"/>
    <n v="48"/>
    <x v="43"/>
    <x v="0"/>
    <s v="Izquierda al Frente por el Soc."/>
    <x v="1"/>
    <n v="49"/>
  </r>
  <r>
    <x v="2"/>
    <n v="48"/>
    <x v="43"/>
    <x v="0"/>
    <s v="Cambiemos "/>
    <x v="2"/>
    <n v="1681"/>
  </r>
  <r>
    <x v="2"/>
    <n v="48"/>
    <x v="43"/>
    <x v="0"/>
    <s v="Nulo"/>
    <x v="3"/>
    <n v="205"/>
  </r>
  <r>
    <x v="2"/>
    <n v="48"/>
    <x v="43"/>
    <x v="0"/>
    <s v="Blanco"/>
    <x v="3"/>
    <n v="61"/>
  </r>
  <r>
    <x v="2"/>
    <n v="49"/>
    <x v="44"/>
    <x v="0"/>
    <s v="PJ"/>
    <x v="0"/>
    <n v="92"/>
  </r>
  <r>
    <x v="2"/>
    <n v="49"/>
    <x v="44"/>
    <x v="0"/>
    <s v="Humanista"/>
    <x v="1"/>
    <n v="2"/>
  </r>
  <r>
    <x v="2"/>
    <n v="49"/>
    <x v="44"/>
    <x v="0"/>
    <s v="Partido de los Trabajadores Soc."/>
    <x v="1"/>
    <n v="1"/>
  </r>
  <r>
    <x v="2"/>
    <n v="49"/>
    <x v="44"/>
    <x v="0"/>
    <s v="FREPAM"/>
    <x v="2"/>
    <n v="6"/>
  </r>
  <r>
    <x v="2"/>
    <n v="49"/>
    <x v="44"/>
    <x v="0"/>
    <s v="Izquierda al Frente por el Soc."/>
    <x v="1"/>
    <n v="1"/>
  </r>
  <r>
    <x v="2"/>
    <n v="49"/>
    <x v="44"/>
    <x v="0"/>
    <s v="Cambiemos "/>
    <x v="2"/>
    <n v="56"/>
  </r>
  <r>
    <x v="2"/>
    <n v="49"/>
    <x v="44"/>
    <x v="0"/>
    <s v="Nulo"/>
    <x v="3"/>
    <n v="0"/>
  </r>
  <r>
    <x v="2"/>
    <n v="49"/>
    <x v="44"/>
    <x v="0"/>
    <s v="Blanco"/>
    <x v="3"/>
    <n v="0"/>
  </r>
  <r>
    <x v="2"/>
    <n v="53"/>
    <x v="45"/>
    <x v="0"/>
    <s v="PJ"/>
    <x v="0"/>
    <n v="95"/>
  </r>
  <r>
    <x v="2"/>
    <n v="53"/>
    <x v="45"/>
    <x v="0"/>
    <s v="Humanista"/>
    <x v="1"/>
    <n v="0"/>
  </r>
  <r>
    <x v="2"/>
    <n v="53"/>
    <x v="45"/>
    <x v="0"/>
    <s v="Partido de los Trabajadores Soc."/>
    <x v="1"/>
    <n v="1"/>
  </r>
  <r>
    <x v="2"/>
    <n v="53"/>
    <x v="45"/>
    <x v="0"/>
    <s v="FREPAM"/>
    <x v="2"/>
    <n v="22"/>
  </r>
  <r>
    <x v="2"/>
    <n v="53"/>
    <x v="45"/>
    <x v="0"/>
    <s v="Izquierda al Frente por el Soc."/>
    <x v="1"/>
    <n v="0"/>
  </r>
  <r>
    <x v="2"/>
    <n v="53"/>
    <x v="45"/>
    <x v="0"/>
    <s v="Cambiemos "/>
    <x v="2"/>
    <n v="60"/>
  </r>
  <r>
    <x v="2"/>
    <n v="53"/>
    <x v="45"/>
    <x v="0"/>
    <s v="Nulo"/>
    <x v="3"/>
    <n v="2"/>
  </r>
  <r>
    <x v="2"/>
    <n v="53"/>
    <x v="45"/>
    <x v="0"/>
    <s v="Blanco"/>
    <x v="3"/>
    <n v="2"/>
  </r>
  <r>
    <x v="2"/>
    <n v="54"/>
    <x v="46"/>
    <x v="0"/>
    <s v="PJ"/>
    <x v="0"/>
    <n v="47"/>
  </r>
  <r>
    <x v="2"/>
    <n v="54"/>
    <x v="46"/>
    <x v="0"/>
    <s v="Humanista"/>
    <x v="1"/>
    <n v="0"/>
  </r>
  <r>
    <x v="2"/>
    <n v="54"/>
    <x v="46"/>
    <x v="0"/>
    <s v="Partido de los Trabajadores Soc."/>
    <x v="1"/>
    <n v="0"/>
  </r>
  <r>
    <x v="2"/>
    <n v="54"/>
    <x v="46"/>
    <x v="0"/>
    <s v="FREPAM"/>
    <x v="2"/>
    <n v="1"/>
  </r>
  <r>
    <x v="2"/>
    <n v="54"/>
    <x v="46"/>
    <x v="0"/>
    <s v="Izquierda al Frente por el Soc."/>
    <x v="1"/>
    <n v="1"/>
  </r>
  <r>
    <x v="2"/>
    <n v="54"/>
    <x v="46"/>
    <x v="0"/>
    <s v="Cambiemos "/>
    <x v="2"/>
    <n v="36"/>
  </r>
  <r>
    <x v="2"/>
    <n v="54"/>
    <x v="46"/>
    <x v="0"/>
    <s v="Nulo"/>
    <x v="3"/>
    <n v="1"/>
  </r>
  <r>
    <x v="2"/>
    <n v="54"/>
    <x v="46"/>
    <x v="0"/>
    <s v="Blanco"/>
    <x v="3"/>
    <n v="5"/>
  </r>
  <r>
    <x v="2"/>
    <n v="55"/>
    <x v="47"/>
    <x v="0"/>
    <s v="PJ"/>
    <x v="0"/>
    <n v="120"/>
  </r>
  <r>
    <x v="2"/>
    <n v="55"/>
    <x v="47"/>
    <x v="0"/>
    <s v="Humanista"/>
    <x v="1"/>
    <n v="2"/>
  </r>
  <r>
    <x v="2"/>
    <n v="55"/>
    <x v="47"/>
    <x v="0"/>
    <s v="Partido de los Trabajadores Soc."/>
    <x v="1"/>
    <n v="1"/>
  </r>
  <r>
    <x v="2"/>
    <n v="55"/>
    <x v="47"/>
    <x v="0"/>
    <s v="FREPAM"/>
    <x v="2"/>
    <n v="6"/>
  </r>
  <r>
    <x v="2"/>
    <n v="55"/>
    <x v="47"/>
    <x v="0"/>
    <s v="Izquierda al Frente por el Soc."/>
    <x v="1"/>
    <n v="5"/>
  </r>
  <r>
    <x v="2"/>
    <n v="55"/>
    <x v="47"/>
    <x v="0"/>
    <s v="Cambiemos "/>
    <x v="2"/>
    <n v="124"/>
  </r>
  <r>
    <x v="2"/>
    <n v="55"/>
    <x v="47"/>
    <x v="0"/>
    <s v="Nulo"/>
    <x v="3"/>
    <n v="3"/>
  </r>
  <r>
    <x v="2"/>
    <n v="55"/>
    <x v="47"/>
    <x v="0"/>
    <s v="Blanco"/>
    <x v="3"/>
    <n v="1"/>
  </r>
  <r>
    <x v="2"/>
    <n v="56"/>
    <x v="48"/>
    <x v="0"/>
    <s v="PJ"/>
    <x v="0"/>
    <n v="224"/>
  </r>
  <r>
    <x v="2"/>
    <n v="56"/>
    <x v="48"/>
    <x v="0"/>
    <s v="Humanista"/>
    <x v="1"/>
    <n v="2"/>
  </r>
  <r>
    <x v="2"/>
    <n v="56"/>
    <x v="48"/>
    <x v="0"/>
    <s v="Partido de los Trabajadores Soc."/>
    <x v="1"/>
    <n v="3"/>
  </r>
  <r>
    <x v="2"/>
    <n v="56"/>
    <x v="48"/>
    <x v="0"/>
    <s v="FREPAM"/>
    <x v="2"/>
    <n v="21"/>
  </r>
  <r>
    <x v="2"/>
    <n v="56"/>
    <x v="48"/>
    <x v="0"/>
    <s v="Izquierda al Frente por el Soc."/>
    <x v="1"/>
    <n v="2"/>
  </r>
  <r>
    <x v="2"/>
    <n v="56"/>
    <x v="48"/>
    <x v="0"/>
    <s v="Cambiemos "/>
    <x v="2"/>
    <n v="152"/>
  </r>
  <r>
    <x v="2"/>
    <n v="56"/>
    <x v="48"/>
    <x v="0"/>
    <s v="Nulo"/>
    <x v="3"/>
    <n v="9"/>
  </r>
  <r>
    <x v="2"/>
    <n v="56"/>
    <x v="48"/>
    <x v="0"/>
    <s v="Blanco"/>
    <x v="3"/>
    <n v="3"/>
  </r>
  <r>
    <x v="2"/>
    <n v="58"/>
    <x v="49"/>
    <x v="0"/>
    <s v="PJ"/>
    <x v="0"/>
    <n v="6373"/>
  </r>
  <r>
    <x v="2"/>
    <n v="58"/>
    <x v="49"/>
    <x v="0"/>
    <s v="Humanista"/>
    <x v="1"/>
    <n v="373"/>
  </r>
  <r>
    <x v="2"/>
    <n v="58"/>
    <x v="49"/>
    <x v="0"/>
    <s v="Partido de los Trabajadores Soc."/>
    <x v="1"/>
    <n v="311"/>
  </r>
  <r>
    <x v="2"/>
    <n v="58"/>
    <x v="49"/>
    <x v="0"/>
    <s v="FREPAM"/>
    <x v="2"/>
    <n v="1939"/>
  </r>
  <r>
    <x v="2"/>
    <n v="58"/>
    <x v="49"/>
    <x v="0"/>
    <s v="Izquierda al Frente por el Soc."/>
    <x v="1"/>
    <n v="486"/>
  </r>
  <r>
    <x v="2"/>
    <n v="58"/>
    <x v="49"/>
    <x v="0"/>
    <s v="Cambiemos "/>
    <x v="2"/>
    <n v="10674"/>
  </r>
  <r>
    <x v="2"/>
    <n v="58"/>
    <x v="49"/>
    <x v="0"/>
    <s v="Nulo"/>
    <x v="3"/>
    <n v="814"/>
  </r>
  <r>
    <x v="2"/>
    <n v="58"/>
    <x v="49"/>
    <x v="0"/>
    <s v="Blanco"/>
    <x v="3"/>
    <n v="346"/>
  </r>
  <r>
    <x v="2"/>
    <n v="59"/>
    <x v="50"/>
    <x v="0"/>
    <s v="PJ"/>
    <x v="0"/>
    <n v="192"/>
  </r>
  <r>
    <x v="2"/>
    <n v="59"/>
    <x v="50"/>
    <x v="0"/>
    <s v="Humanista"/>
    <x v="1"/>
    <n v="4"/>
  </r>
  <r>
    <x v="2"/>
    <n v="59"/>
    <x v="50"/>
    <x v="0"/>
    <s v="Partido de los Trabajadores Soc."/>
    <x v="1"/>
    <n v="1"/>
  </r>
  <r>
    <x v="2"/>
    <n v="59"/>
    <x v="50"/>
    <x v="0"/>
    <s v="FREPAM"/>
    <x v="2"/>
    <n v="26"/>
  </r>
  <r>
    <x v="2"/>
    <n v="59"/>
    <x v="50"/>
    <x v="0"/>
    <s v="Izquierda al Frente por el Soc."/>
    <x v="1"/>
    <n v="4"/>
  </r>
  <r>
    <x v="2"/>
    <n v="59"/>
    <x v="50"/>
    <x v="0"/>
    <s v="Cambiemos "/>
    <x v="2"/>
    <n v="155"/>
  </r>
  <r>
    <x v="2"/>
    <n v="59"/>
    <x v="50"/>
    <x v="0"/>
    <s v="Nulo"/>
    <x v="3"/>
    <n v="6"/>
  </r>
  <r>
    <x v="2"/>
    <n v="59"/>
    <x v="50"/>
    <x v="0"/>
    <s v="Blanco"/>
    <x v="3"/>
    <n v="2"/>
  </r>
  <r>
    <x v="2"/>
    <n v="60"/>
    <x v="51"/>
    <x v="0"/>
    <s v="PJ"/>
    <x v="0"/>
    <n v="7"/>
  </r>
  <r>
    <x v="2"/>
    <n v="60"/>
    <x v="51"/>
    <x v="0"/>
    <s v="Humanista"/>
    <x v="1"/>
    <n v="0"/>
  </r>
  <r>
    <x v="2"/>
    <n v="60"/>
    <x v="51"/>
    <x v="0"/>
    <s v="Partido de los Trabajadores Soc."/>
    <x v="1"/>
    <n v="0"/>
  </r>
  <r>
    <x v="2"/>
    <n v="60"/>
    <x v="51"/>
    <x v="0"/>
    <s v="FREPAM"/>
    <x v="2"/>
    <n v="6"/>
  </r>
  <r>
    <x v="2"/>
    <n v="60"/>
    <x v="51"/>
    <x v="0"/>
    <s v="Izquierda al Frente por el Soc."/>
    <x v="1"/>
    <n v="0"/>
  </r>
  <r>
    <x v="2"/>
    <n v="60"/>
    <x v="51"/>
    <x v="0"/>
    <s v="Cambiemos "/>
    <x v="2"/>
    <n v="23"/>
  </r>
  <r>
    <x v="2"/>
    <n v="60"/>
    <x v="51"/>
    <x v="0"/>
    <s v="Nulo"/>
    <x v="3"/>
    <n v="1"/>
  </r>
  <r>
    <x v="2"/>
    <n v="60"/>
    <x v="51"/>
    <x v="0"/>
    <s v="Blanco"/>
    <x v="3"/>
    <n v="0"/>
  </r>
  <r>
    <x v="2"/>
    <n v="61"/>
    <x v="52"/>
    <x v="0"/>
    <s v="PJ"/>
    <x v="0"/>
    <n v="2016"/>
  </r>
  <r>
    <x v="2"/>
    <n v="61"/>
    <x v="52"/>
    <x v="0"/>
    <s v="Humanista"/>
    <x v="1"/>
    <n v="83"/>
  </r>
  <r>
    <x v="2"/>
    <n v="61"/>
    <x v="52"/>
    <x v="0"/>
    <s v="Partido de los Trabajadores Soc."/>
    <x v="1"/>
    <n v="57"/>
  </r>
  <r>
    <x v="2"/>
    <n v="61"/>
    <x v="52"/>
    <x v="0"/>
    <s v="FREPAM"/>
    <x v="2"/>
    <n v="227"/>
  </r>
  <r>
    <x v="2"/>
    <n v="61"/>
    <x v="52"/>
    <x v="0"/>
    <s v="Izquierda al Frente por el Soc."/>
    <x v="1"/>
    <n v="140"/>
  </r>
  <r>
    <x v="2"/>
    <n v="61"/>
    <x v="52"/>
    <x v="0"/>
    <s v="Cambiemos "/>
    <x v="2"/>
    <n v="2307"/>
  </r>
  <r>
    <x v="2"/>
    <n v="61"/>
    <x v="52"/>
    <x v="0"/>
    <s v="Nulo"/>
    <x v="3"/>
    <n v="297"/>
  </r>
  <r>
    <x v="2"/>
    <n v="61"/>
    <x v="52"/>
    <x v="0"/>
    <s v="Blanco"/>
    <x v="3"/>
    <n v="115"/>
  </r>
  <r>
    <x v="2"/>
    <n v="62"/>
    <x v="53"/>
    <x v="0"/>
    <s v="PJ"/>
    <x v="0"/>
    <n v="155"/>
  </r>
  <r>
    <x v="2"/>
    <n v="62"/>
    <x v="53"/>
    <x v="0"/>
    <s v="Humanista"/>
    <x v="1"/>
    <n v="2"/>
  </r>
  <r>
    <x v="2"/>
    <n v="62"/>
    <x v="53"/>
    <x v="0"/>
    <s v="Partido de los Trabajadores Soc."/>
    <x v="1"/>
    <n v="3"/>
  </r>
  <r>
    <x v="2"/>
    <n v="62"/>
    <x v="53"/>
    <x v="0"/>
    <s v="FREPAM"/>
    <x v="2"/>
    <n v="21"/>
  </r>
  <r>
    <x v="2"/>
    <n v="62"/>
    <x v="53"/>
    <x v="0"/>
    <s v="Izquierda al Frente por el Soc."/>
    <x v="1"/>
    <n v="6"/>
  </r>
  <r>
    <x v="2"/>
    <n v="62"/>
    <x v="53"/>
    <x v="0"/>
    <s v="Cambiemos "/>
    <x v="2"/>
    <n v="146"/>
  </r>
  <r>
    <x v="2"/>
    <n v="62"/>
    <x v="53"/>
    <x v="0"/>
    <s v="Nulo"/>
    <x v="3"/>
    <n v="15"/>
  </r>
  <r>
    <x v="2"/>
    <n v="62"/>
    <x v="53"/>
    <x v="0"/>
    <s v="Blanco"/>
    <x v="3"/>
    <n v="7"/>
  </r>
  <r>
    <x v="2"/>
    <n v="63"/>
    <x v="54"/>
    <x v="0"/>
    <s v="PJ"/>
    <x v="0"/>
    <n v="685"/>
  </r>
  <r>
    <x v="2"/>
    <n v="63"/>
    <x v="54"/>
    <x v="0"/>
    <s v="Humanista"/>
    <x v="1"/>
    <n v="15"/>
  </r>
  <r>
    <x v="2"/>
    <n v="63"/>
    <x v="54"/>
    <x v="0"/>
    <s v="Partido de los Trabajadores Soc."/>
    <x v="1"/>
    <n v="120"/>
  </r>
  <r>
    <x v="2"/>
    <n v="63"/>
    <x v="54"/>
    <x v="0"/>
    <s v="FREPAM"/>
    <x v="2"/>
    <n v="53"/>
  </r>
  <r>
    <x v="2"/>
    <n v="63"/>
    <x v="54"/>
    <x v="0"/>
    <s v="Izquierda al Frente por el Soc."/>
    <x v="1"/>
    <n v="42"/>
  </r>
  <r>
    <x v="2"/>
    <n v="63"/>
    <x v="54"/>
    <x v="0"/>
    <s v="Cambiemos "/>
    <x v="2"/>
    <n v="935"/>
  </r>
  <r>
    <x v="2"/>
    <n v="63"/>
    <x v="54"/>
    <x v="0"/>
    <s v="Nulo"/>
    <x v="3"/>
    <n v="31"/>
  </r>
  <r>
    <x v="2"/>
    <n v="63"/>
    <x v="54"/>
    <x v="0"/>
    <s v="Blanco"/>
    <x v="3"/>
    <n v="72"/>
  </r>
  <r>
    <x v="2"/>
    <n v="64"/>
    <x v="55"/>
    <x v="0"/>
    <s v="PJ"/>
    <x v="0"/>
    <n v="299"/>
  </r>
  <r>
    <x v="2"/>
    <n v="64"/>
    <x v="55"/>
    <x v="0"/>
    <s v="Humanista"/>
    <x v="1"/>
    <n v="6"/>
  </r>
  <r>
    <x v="2"/>
    <n v="64"/>
    <x v="55"/>
    <x v="0"/>
    <s v="Partido de los Trabajadores Soc."/>
    <x v="1"/>
    <n v="2"/>
  </r>
  <r>
    <x v="2"/>
    <n v="64"/>
    <x v="55"/>
    <x v="0"/>
    <s v="FREPAM"/>
    <x v="2"/>
    <n v="8"/>
  </r>
  <r>
    <x v="2"/>
    <n v="64"/>
    <x v="55"/>
    <x v="0"/>
    <s v="Izquierda al Frente por el Soc."/>
    <x v="1"/>
    <n v="4"/>
  </r>
  <r>
    <x v="2"/>
    <n v="64"/>
    <x v="55"/>
    <x v="0"/>
    <s v="Cambiemos "/>
    <x v="2"/>
    <n v="223"/>
  </r>
  <r>
    <x v="2"/>
    <n v="64"/>
    <x v="55"/>
    <x v="0"/>
    <s v="Nulo"/>
    <x v="3"/>
    <n v="15"/>
  </r>
  <r>
    <x v="2"/>
    <n v="64"/>
    <x v="55"/>
    <x v="0"/>
    <s v="Blanco"/>
    <x v="3"/>
    <n v="5"/>
  </r>
  <r>
    <x v="2"/>
    <n v="65"/>
    <x v="56"/>
    <x v="0"/>
    <s v="PJ"/>
    <x v="0"/>
    <n v="899"/>
  </r>
  <r>
    <x v="2"/>
    <n v="65"/>
    <x v="56"/>
    <x v="0"/>
    <s v="Humanista"/>
    <x v="1"/>
    <n v="36"/>
  </r>
  <r>
    <x v="2"/>
    <n v="65"/>
    <x v="56"/>
    <x v="0"/>
    <s v="Partido de los Trabajadores Soc."/>
    <x v="1"/>
    <n v="25"/>
  </r>
  <r>
    <x v="2"/>
    <n v="65"/>
    <x v="56"/>
    <x v="0"/>
    <s v="FREPAM"/>
    <x v="2"/>
    <n v="63"/>
  </r>
  <r>
    <x v="2"/>
    <n v="65"/>
    <x v="56"/>
    <x v="0"/>
    <s v="Izquierda al Frente por el Soc."/>
    <x v="1"/>
    <n v="45"/>
  </r>
  <r>
    <x v="2"/>
    <n v="65"/>
    <x v="56"/>
    <x v="0"/>
    <s v="Cambiemos "/>
    <x v="2"/>
    <n v="1346"/>
  </r>
  <r>
    <x v="2"/>
    <n v="65"/>
    <x v="56"/>
    <x v="0"/>
    <s v="Nulo"/>
    <x v="3"/>
    <n v="87"/>
  </r>
  <r>
    <x v="2"/>
    <n v="65"/>
    <x v="56"/>
    <x v="0"/>
    <s v="Blanco"/>
    <x v="3"/>
    <n v="27"/>
  </r>
  <r>
    <x v="2"/>
    <n v="66"/>
    <x v="57"/>
    <x v="0"/>
    <s v="PJ"/>
    <x v="0"/>
    <n v="36"/>
  </r>
  <r>
    <x v="2"/>
    <n v="66"/>
    <x v="57"/>
    <x v="0"/>
    <s v="Humanista"/>
    <x v="1"/>
    <n v="1"/>
  </r>
  <r>
    <x v="2"/>
    <n v="66"/>
    <x v="57"/>
    <x v="0"/>
    <s v="Partido de los Trabajadores Soc."/>
    <x v="1"/>
    <n v="0"/>
  </r>
  <r>
    <x v="2"/>
    <n v="66"/>
    <x v="57"/>
    <x v="0"/>
    <s v="FREPAM"/>
    <x v="2"/>
    <n v="7"/>
  </r>
  <r>
    <x v="2"/>
    <n v="66"/>
    <x v="57"/>
    <x v="0"/>
    <s v="Izquierda al Frente por el Soc."/>
    <x v="1"/>
    <n v="1"/>
  </r>
  <r>
    <x v="2"/>
    <n v="66"/>
    <x v="57"/>
    <x v="0"/>
    <s v="Cambiemos "/>
    <x v="2"/>
    <n v="61"/>
  </r>
  <r>
    <x v="2"/>
    <n v="66"/>
    <x v="57"/>
    <x v="0"/>
    <s v="Nulo"/>
    <x v="3"/>
    <n v="7"/>
  </r>
  <r>
    <x v="2"/>
    <n v="66"/>
    <x v="57"/>
    <x v="0"/>
    <s v="Blanco"/>
    <x v="3"/>
    <n v="0"/>
  </r>
  <r>
    <x v="2"/>
    <n v="67"/>
    <x v="58"/>
    <x v="0"/>
    <s v="PJ"/>
    <x v="0"/>
    <n v="6"/>
  </r>
  <r>
    <x v="2"/>
    <n v="67"/>
    <x v="58"/>
    <x v="0"/>
    <s v="Humanista"/>
    <x v="1"/>
    <n v="0"/>
  </r>
  <r>
    <x v="2"/>
    <n v="67"/>
    <x v="58"/>
    <x v="0"/>
    <s v="Partido de los Trabajadores Soc."/>
    <x v="1"/>
    <n v="0"/>
  </r>
  <r>
    <x v="2"/>
    <n v="67"/>
    <x v="58"/>
    <x v="0"/>
    <s v="FREPAM"/>
    <x v="2"/>
    <n v="2"/>
  </r>
  <r>
    <x v="2"/>
    <n v="67"/>
    <x v="58"/>
    <x v="0"/>
    <s v="Izquierda al Frente por el Soc."/>
    <x v="1"/>
    <n v="1"/>
  </r>
  <r>
    <x v="2"/>
    <n v="67"/>
    <x v="58"/>
    <x v="0"/>
    <s v="Cambiemos "/>
    <x v="2"/>
    <n v="18"/>
  </r>
  <r>
    <x v="2"/>
    <n v="67"/>
    <x v="58"/>
    <x v="0"/>
    <s v="Nulo"/>
    <x v="3"/>
    <n v="0"/>
  </r>
  <r>
    <x v="2"/>
    <n v="67"/>
    <x v="58"/>
    <x v="0"/>
    <s v="Blanco"/>
    <x v="3"/>
    <n v="1"/>
  </r>
  <r>
    <x v="2"/>
    <n v="68"/>
    <x v="59"/>
    <x v="0"/>
    <s v="PJ"/>
    <x v="0"/>
    <n v="141"/>
  </r>
  <r>
    <x v="2"/>
    <n v="68"/>
    <x v="59"/>
    <x v="0"/>
    <s v="Humanista"/>
    <x v="1"/>
    <n v="5"/>
  </r>
  <r>
    <x v="2"/>
    <n v="68"/>
    <x v="59"/>
    <x v="0"/>
    <s v="Partido de los Trabajadores Soc."/>
    <x v="1"/>
    <n v="22"/>
  </r>
  <r>
    <x v="2"/>
    <n v="68"/>
    <x v="59"/>
    <x v="0"/>
    <s v="FREPAM"/>
    <x v="2"/>
    <n v="13"/>
  </r>
  <r>
    <x v="2"/>
    <n v="68"/>
    <x v="59"/>
    <x v="0"/>
    <s v="Izquierda al Frente por el Soc."/>
    <x v="1"/>
    <n v="16"/>
  </r>
  <r>
    <x v="2"/>
    <n v="68"/>
    <x v="59"/>
    <x v="0"/>
    <s v="Cambiemos "/>
    <x v="2"/>
    <n v="220"/>
  </r>
  <r>
    <x v="2"/>
    <n v="68"/>
    <x v="59"/>
    <x v="0"/>
    <s v="Nulo"/>
    <x v="3"/>
    <n v="16"/>
  </r>
  <r>
    <x v="2"/>
    <n v="68"/>
    <x v="59"/>
    <x v="0"/>
    <s v="Blanco"/>
    <x v="3"/>
    <n v="8"/>
  </r>
  <r>
    <x v="2"/>
    <n v="69"/>
    <x v="60"/>
    <x v="0"/>
    <s v="PJ"/>
    <x v="0"/>
    <n v="621"/>
  </r>
  <r>
    <x v="2"/>
    <n v="69"/>
    <x v="60"/>
    <x v="0"/>
    <s v="Humanista"/>
    <x v="1"/>
    <n v="15"/>
  </r>
  <r>
    <x v="2"/>
    <n v="69"/>
    <x v="60"/>
    <x v="0"/>
    <s v="Partido de los Trabajadores Soc."/>
    <x v="1"/>
    <n v="23"/>
  </r>
  <r>
    <x v="2"/>
    <n v="69"/>
    <x v="60"/>
    <x v="0"/>
    <s v="FREPAM"/>
    <x v="2"/>
    <n v="27"/>
  </r>
  <r>
    <x v="2"/>
    <n v="69"/>
    <x v="60"/>
    <x v="0"/>
    <s v="Izquierda al Frente por el Soc."/>
    <x v="1"/>
    <n v="22"/>
  </r>
  <r>
    <x v="2"/>
    <n v="69"/>
    <x v="60"/>
    <x v="0"/>
    <s v="Cambiemos "/>
    <x v="2"/>
    <n v="615"/>
  </r>
  <r>
    <x v="2"/>
    <n v="69"/>
    <x v="60"/>
    <x v="0"/>
    <s v="Nulo"/>
    <x v="3"/>
    <n v="70"/>
  </r>
  <r>
    <x v="2"/>
    <n v="69"/>
    <x v="60"/>
    <x v="0"/>
    <s v="Blanco"/>
    <x v="3"/>
    <n v="24"/>
  </r>
  <r>
    <x v="2"/>
    <n v="70"/>
    <x v="61"/>
    <x v="0"/>
    <s v="PJ"/>
    <x v="0"/>
    <n v="0"/>
  </r>
  <r>
    <x v="2"/>
    <n v="70"/>
    <x v="61"/>
    <x v="0"/>
    <s v="Humanista"/>
    <x v="1"/>
    <n v="0"/>
  </r>
  <r>
    <x v="2"/>
    <n v="70"/>
    <x v="61"/>
    <x v="0"/>
    <s v="Partido de los Trabajadores Soc."/>
    <x v="1"/>
    <n v="0"/>
  </r>
  <r>
    <x v="2"/>
    <n v="70"/>
    <x v="61"/>
    <x v="0"/>
    <s v="FREPAM"/>
    <x v="2"/>
    <n v="0"/>
  </r>
  <r>
    <x v="2"/>
    <n v="70"/>
    <x v="61"/>
    <x v="0"/>
    <s v="Izquierda al Frente por el Soc."/>
    <x v="1"/>
    <n v="0"/>
  </r>
  <r>
    <x v="2"/>
    <n v="70"/>
    <x v="61"/>
    <x v="0"/>
    <s v="Cambiemos "/>
    <x v="2"/>
    <n v="4"/>
  </r>
  <r>
    <x v="2"/>
    <n v="70"/>
    <x v="61"/>
    <x v="0"/>
    <s v="Nulo"/>
    <x v="3"/>
    <n v="0"/>
  </r>
  <r>
    <x v="2"/>
    <n v="70"/>
    <x v="61"/>
    <x v="0"/>
    <s v="Blanco"/>
    <x v="3"/>
    <n v="0"/>
  </r>
  <r>
    <x v="2"/>
    <n v="71"/>
    <x v="62"/>
    <x v="0"/>
    <s v="PJ"/>
    <x v="0"/>
    <n v="411"/>
  </r>
  <r>
    <x v="2"/>
    <n v="71"/>
    <x v="62"/>
    <x v="0"/>
    <s v="Humanista"/>
    <x v="1"/>
    <n v="7"/>
  </r>
  <r>
    <x v="2"/>
    <n v="71"/>
    <x v="62"/>
    <x v="0"/>
    <s v="Partido de los Trabajadores Soc."/>
    <x v="1"/>
    <n v="6"/>
  </r>
  <r>
    <x v="2"/>
    <n v="71"/>
    <x v="62"/>
    <x v="0"/>
    <s v="FREPAM"/>
    <x v="2"/>
    <n v="40"/>
  </r>
  <r>
    <x v="2"/>
    <n v="71"/>
    <x v="62"/>
    <x v="0"/>
    <s v="Izquierda al Frente por el Soc."/>
    <x v="1"/>
    <n v="6"/>
  </r>
  <r>
    <x v="2"/>
    <n v="71"/>
    <x v="62"/>
    <x v="0"/>
    <s v="Cambiemos "/>
    <x v="2"/>
    <n v="331"/>
  </r>
  <r>
    <x v="2"/>
    <n v="71"/>
    <x v="62"/>
    <x v="0"/>
    <s v="Nulo"/>
    <x v="3"/>
    <n v="17"/>
  </r>
  <r>
    <x v="2"/>
    <n v="71"/>
    <x v="62"/>
    <x v="0"/>
    <s v="Blanco"/>
    <x v="3"/>
    <n v="30"/>
  </r>
  <r>
    <x v="2"/>
    <n v="72"/>
    <x v="63"/>
    <x v="0"/>
    <s v="PJ"/>
    <x v="0"/>
    <n v="504"/>
  </r>
  <r>
    <x v="2"/>
    <n v="72"/>
    <x v="63"/>
    <x v="0"/>
    <s v="Humanista"/>
    <x v="1"/>
    <n v="16"/>
  </r>
  <r>
    <x v="2"/>
    <n v="72"/>
    <x v="63"/>
    <x v="0"/>
    <s v="Partido de los Trabajadores Soc."/>
    <x v="1"/>
    <n v="14"/>
  </r>
  <r>
    <x v="2"/>
    <n v="72"/>
    <x v="63"/>
    <x v="0"/>
    <s v="FREPAM"/>
    <x v="2"/>
    <n v="45"/>
  </r>
  <r>
    <x v="2"/>
    <n v="72"/>
    <x v="63"/>
    <x v="0"/>
    <s v="Izquierda al Frente por el Soc."/>
    <x v="1"/>
    <n v="21"/>
  </r>
  <r>
    <x v="2"/>
    <n v="72"/>
    <x v="63"/>
    <x v="0"/>
    <s v="Cambiemos "/>
    <x v="2"/>
    <n v="824"/>
  </r>
  <r>
    <x v="2"/>
    <n v="72"/>
    <x v="63"/>
    <x v="0"/>
    <s v="Nulo"/>
    <x v="3"/>
    <n v="59"/>
  </r>
  <r>
    <x v="2"/>
    <n v="72"/>
    <x v="63"/>
    <x v="0"/>
    <s v="Blanco"/>
    <x v="3"/>
    <n v="34"/>
  </r>
  <r>
    <x v="2"/>
    <n v="73"/>
    <x v="64"/>
    <x v="0"/>
    <s v="PJ"/>
    <x v="0"/>
    <n v="85"/>
  </r>
  <r>
    <x v="2"/>
    <n v="73"/>
    <x v="64"/>
    <x v="0"/>
    <s v="Humanista"/>
    <x v="1"/>
    <n v="1"/>
  </r>
  <r>
    <x v="2"/>
    <n v="73"/>
    <x v="64"/>
    <x v="0"/>
    <s v="Partido de los Trabajadores Soc."/>
    <x v="1"/>
    <n v="3"/>
  </r>
  <r>
    <x v="2"/>
    <n v="73"/>
    <x v="64"/>
    <x v="0"/>
    <s v="FREPAM"/>
    <x v="2"/>
    <n v="4"/>
  </r>
  <r>
    <x v="2"/>
    <n v="73"/>
    <x v="64"/>
    <x v="0"/>
    <s v="Izquierda al Frente por el Soc."/>
    <x v="1"/>
    <n v="4"/>
  </r>
  <r>
    <x v="2"/>
    <n v="73"/>
    <x v="64"/>
    <x v="0"/>
    <s v="Cambiemos "/>
    <x v="2"/>
    <n v="56"/>
  </r>
  <r>
    <x v="2"/>
    <n v="73"/>
    <x v="64"/>
    <x v="0"/>
    <s v="Nulo"/>
    <x v="3"/>
    <n v="5"/>
  </r>
  <r>
    <x v="2"/>
    <n v="73"/>
    <x v="64"/>
    <x v="0"/>
    <s v="Blanco"/>
    <x v="3"/>
    <n v="5"/>
  </r>
  <r>
    <x v="2"/>
    <n v="74"/>
    <x v="65"/>
    <x v="0"/>
    <s v="PJ"/>
    <x v="0"/>
    <n v="141"/>
  </r>
  <r>
    <x v="2"/>
    <n v="74"/>
    <x v="65"/>
    <x v="0"/>
    <s v="Humanista"/>
    <x v="1"/>
    <n v="2"/>
  </r>
  <r>
    <x v="2"/>
    <n v="74"/>
    <x v="65"/>
    <x v="0"/>
    <s v="Partido de los Trabajadores Soc."/>
    <x v="1"/>
    <n v="1"/>
  </r>
  <r>
    <x v="2"/>
    <n v="74"/>
    <x v="65"/>
    <x v="0"/>
    <s v="FREPAM"/>
    <x v="2"/>
    <n v="8"/>
  </r>
  <r>
    <x v="2"/>
    <n v="74"/>
    <x v="65"/>
    <x v="0"/>
    <s v="Izquierda al Frente por el Soc."/>
    <x v="1"/>
    <n v="3"/>
  </r>
  <r>
    <x v="2"/>
    <n v="74"/>
    <x v="65"/>
    <x v="0"/>
    <s v="Cambiemos "/>
    <x v="2"/>
    <n v="145"/>
  </r>
  <r>
    <x v="2"/>
    <n v="74"/>
    <x v="65"/>
    <x v="0"/>
    <s v="Nulo"/>
    <x v="3"/>
    <n v="14"/>
  </r>
  <r>
    <x v="2"/>
    <n v="74"/>
    <x v="65"/>
    <x v="0"/>
    <s v="Blanco"/>
    <x v="3"/>
    <n v="6"/>
  </r>
  <r>
    <x v="2"/>
    <n v="75"/>
    <x v="66"/>
    <x v="0"/>
    <s v="PJ"/>
    <x v="0"/>
    <n v="1139"/>
  </r>
  <r>
    <x v="2"/>
    <n v="75"/>
    <x v="66"/>
    <x v="0"/>
    <s v="Humanista"/>
    <x v="1"/>
    <n v="18"/>
  </r>
  <r>
    <x v="2"/>
    <n v="75"/>
    <x v="66"/>
    <x v="0"/>
    <s v="Partido de los Trabajadores Soc."/>
    <x v="1"/>
    <n v="27"/>
  </r>
  <r>
    <x v="2"/>
    <n v="75"/>
    <x v="66"/>
    <x v="0"/>
    <s v="FREPAM"/>
    <x v="2"/>
    <n v="50"/>
  </r>
  <r>
    <x v="2"/>
    <n v="75"/>
    <x v="66"/>
    <x v="0"/>
    <s v="Izquierda al Frente por el Soc."/>
    <x v="1"/>
    <n v="23"/>
  </r>
  <r>
    <x v="2"/>
    <n v="75"/>
    <x v="66"/>
    <x v="0"/>
    <s v="Cambiemos "/>
    <x v="2"/>
    <n v="909"/>
  </r>
  <r>
    <x v="2"/>
    <n v="75"/>
    <x v="66"/>
    <x v="0"/>
    <s v="Nulo"/>
    <x v="3"/>
    <n v="54"/>
  </r>
  <r>
    <x v="2"/>
    <n v="75"/>
    <x v="66"/>
    <x v="0"/>
    <s v="Blanco"/>
    <x v="3"/>
    <n v="44"/>
  </r>
  <r>
    <x v="2"/>
    <n v="76"/>
    <x v="67"/>
    <x v="0"/>
    <s v="PJ"/>
    <x v="0"/>
    <n v="102"/>
  </r>
  <r>
    <x v="2"/>
    <n v="76"/>
    <x v="67"/>
    <x v="0"/>
    <s v="Humanista"/>
    <x v="1"/>
    <n v="3"/>
  </r>
  <r>
    <x v="2"/>
    <n v="76"/>
    <x v="67"/>
    <x v="0"/>
    <s v="Partido de los Trabajadores Soc."/>
    <x v="1"/>
    <n v="1"/>
  </r>
  <r>
    <x v="2"/>
    <n v="76"/>
    <x v="67"/>
    <x v="0"/>
    <s v="FREPAM"/>
    <x v="2"/>
    <n v="7"/>
  </r>
  <r>
    <x v="2"/>
    <n v="76"/>
    <x v="67"/>
    <x v="0"/>
    <s v="Izquierda al Frente por el Soc."/>
    <x v="1"/>
    <n v="5"/>
  </r>
  <r>
    <x v="2"/>
    <n v="76"/>
    <x v="67"/>
    <x v="0"/>
    <s v="Cambiemos "/>
    <x v="2"/>
    <n v="104"/>
  </r>
  <r>
    <x v="2"/>
    <n v="76"/>
    <x v="67"/>
    <x v="0"/>
    <s v="Nulo"/>
    <x v="3"/>
    <n v="0"/>
  </r>
  <r>
    <x v="2"/>
    <n v="76"/>
    <x v="67"/>
    <x v="0"/>
    <s v="Blanco"/>
    <x v="3"/>
    <n v="11"/>
  </r>
  <r>
    <x v="2"/>
    <n v="77"/>
    <x v="68"/>
    <x v="0"/>
    <s v="PJ"/>
    <x v="0"/>
    <n v="334"/>
  </r>
  <r>
    <x v="2"/>
    <n v="77"/>
    <x v="68"/>
    <x v="0"/>
    <s v="Humanista"/>
    <x v="1"/>
    <n v="8"/>
  </r>
  <r>
    <x v="2"/>
    <n v="77"/>
    <x v="68"/>
    <x v="0"/>
    <s v="Partido de los Trabajadores Soc."/>
    <x v="1"/>
    <n v="11"/>
  </r>
  <r>
    <x v="2"/>
    <n v="77"/>
    <x v="68"/>
    <x v="0"/>
    <s v="FREPAM"/>
    <x v="2"/>
    <n v="63"/>
  </r>
  <r>
    <x v="2"/>
    <n v="77"/>
    <x v="68"/>
    <x v="0"/>
    <s v="Izquierda al Frente por el Soc."/>
    <x v="1"/>
    <n v="9"/>
  </r>
  <r>
    <x v="2"/>
    <n v="77"/>
    <x v="68"/>
    <x v="0"/>
    <s v="Cambiemos "/>
    <x v="2"/>
    <n v="459"/>
  </r>
  <r>
    <x v="2"/>
    <n v="77"/>
    <x v="68"/>
    <x v="0"/>
    <s v="Nulo"/>
    <x v="3"/>
    <n v="0"/>
  </r>
  <r>
    <x v="2"/>
    <n v="77"/>
    <x v="68"/>
    <x v="0"/>
    <s v="Blanco"/>
    <x v="3"/>
    <n v="119"/>
  </r>
  <r>
    <x v="2"/>
    <n v="78"/>
    <x v="69"/>
    <x v="0"/>
    <s v="PJ"/>
    <x v="0"/>
    <n v="69"/>
  </r>
  <r>
    <x v="2"/>
    <n v="78"/>
    <x v="69"/>
    <x v="0"/>
    <s v="Humanista"/>
    <x v="1"/>
    <n v="5"/>
  </r>
  <r>
    <x v="2"/>
    <n v="78"/>
    <x v="69"/>
    <x v="0"/>
    <s v="Partido de los Trabajadores Soc."/>
    <x v="1"/>
    <n v="3"/>
  </r>
  <r>
    <x v="2"/>
    <n v="78"/>
    <x v="69"/>
    <x v="0"/>
    <s v="FREPAM"/>
    <x v="2"/>
    <n v="2"/>
  </r>
  <r>
    <x v="2"/>
    <n v="78"/>
    <x v="69"/>
    <x v="0"/>
    <s v="Izquierda al Frente por el Soc."/>
    <x v="1"/>
    <n v="3"/>
  </r>
  <r>
    <x v="2"/>
    <n v="78"/>
    <x v="69"/>
    <x v="0"/>
    <s v="Cambiemos "/>
    <x v="2"/>
    <n v="111"/>
  </r>
  <r>
    <x v="2"/>
    <n v="78"/>
    <x v="69"/>
    <x v="0"/>
    <s v="Nulo"/>
    <x v="3"/>
    <n v="12"/>
  </r>
  <r>
    <x v="2"/>
    <n v="78"/>
    <x v="69"/>
    <x v="0"/>
    <s v="Blanco"/>
    <x v="3"/>
    <n v="7"/>
  </r>
  <r>
    <x v="2"/>
    <n v="79"/>
    <x v="70"/>
    <x v="0"/>
    <s v="PJ"/>
    <x v="0"/>
    <n v="276"/>
  </r>
  <r>
    <x v="2"/>
    <n v="79"/>
    <x v="70"/>
    <x v="0"/>
    <s v="Humanista"/>
    <x v="1"/>
    <n v="11"/>
  </r>
  <r>
    <x v="2"/>
    <n v="79"/>
    <x v="70"/>
    <x v="0"/>
    <s v="Partido de los Trabajadores Soc."/>
    <x v="1"/>
    <n v="8"/>
  </r>
  <r>
    <x v="2"/>
    <n v="79"/>
    <x v="70"/>
    <x v="0"/>
    <s v="FREPAM"/>
    <x v="2"/>
    <n v="91"/>
  </r>
  <r>
    <x v="2"/>
    <n v="79"/>
    <x v="70"/>
    <x v="0"/>
    <s v="Izquierda al Frente por el Soc."/>
    <x v="1"/>
    <n v="18"/>
  </r>
  <r>
    <x v="2"/>
    <n v="79"/>
    <x v="70"/>
    <x v="0"/>
    <s v="Cambiemos "/>
    <x v="2"/>
    <n v="470"/>
  </r>
  <r>
    <x v="2"/>
    <n v="79"/>
    <x v="70"/>
    <x v="0"/>
    <s v="Nulo"/>
    <x v="3"/>
    <n v="40"/>
  </r>
  <r>
    <x v="2"/>
    <n v="79"/>
    <x v="70"/>
    <x v="0"/>
    <s v="Blanco"/>
    <x v="3"/>
    <n v="23"/>
  </r>
  <r>
    <x v="2"/>
    <n v="80"/>
    <x v="71"/>
    <x v="0"/>
    <s v="PJ"/>
    <x v="0"/>
    <n v="95"/>
  </r>
  <r>
    <x v="2"/>
    <n v="80"/>
    <x v="71"/>
    <x v="0"/>
    <s v="Humanista"/>
    <x v="1"/>
    <n v="0"/>
  </r>
  <r>
    <x v="2"/>
    <n v="80"/>
    <x v="71"/>
    <x v="0"/>
    <s v="Partido de los Trabajadores Soc."/>
    <x v="1"/>
    <n v="3"/>
  </r>
  <r>
    <x v="2"/>
    <n v="80"/>
    <x v="71"/>
    <x v="0"/>
    <s v="FREPAM"/>
    <x v="2"/>
    <n v="2"/>
  </r>
  <r>
    <x v="2"/>
    <n v="80"/>
    <x v="71"/>
    <x v="0"/>
    <s v="Izquierda al Frente por el Soc."/>
    <x v="1"/>
    <n v="3"/>
  </r>
  <r>
    <x v="2"/>
    <n v="80"/>
    <x v="71"/>
    <x v="0"/>
    <s v="Cambiemos "/>
    <x v="2"/>
    <n v="53"/>
  </r>
  <r>
    <x v="2"/>
    <n v="80"/>
    <x v="71"/>
    <x v="0"/>
    <s v="Nulo"/>
    <x v="3"/>
    <n v="1"/>
  </r>
  <r>
    <x v="2"/>
    <n v="80"/>
    <x v="71"/>
    <x v="0"/>
    <s v="Blanco"/>
    <x v="3"/>
    <n v="2"/>
  </r>
  <r>
    <x v="2"/>
    <n v="81"/>
    <x v="72"/>
    <x v="0"/>
    <s v="PJ"/>
    <x v="0"/>
    <n v="1420"/>
  </r>
  <r>
    <x v="2"/>
    <n v="81"/>
    <x v="72"/>
    <x v="0"/>
    <s v="Humanista"/>
    <x v="1"/>
    <n v="23"/>
  </r>
  <r>
    <x v="2"/>
    <n v="81"/>
    <x v="72"/>
    <x v="0"/>
    <s v="Partido de los Trabajadores Soc."/>
    <x v="1"/>
    <n v="18"/>
  </r>
  <r>
    <x v="2"/>
    <n v="81"/>
    <x v="72"/>
    <x v="0"/>
    <s v="FREPAM"/>
    <x v="2"/>
    <n v="79"/>
  </r>
  <r>
    <x v="2"/>
    <n v="81"/>
    <x v="72"/>
    <x v="0"/>
    <s v="Izquierda al Frente por el Soc."/>
    <x v="1"/>
    <n v="38"/>
  </r>
  <r>
    <x v="2"/>
    <n v="81"/>
    <x v="72"/>
    <x v="0"/>
    <s v="Cambiemos "/>
    <x v="2"/>
    <n v="1448"/>
  </r>
  <r>
    <x v="2"/>
    <n v="81"/>
    <x v="72"/>
    <x v="0"/>
    <s v="Nulo"/>
    <x v="3"/>
    <n v="133"/>
  </r>
  <r>
    <x v="2"/>
    <n v="81"/>
    <x v="72"/>
    <x v="0"/>
    <s v="Blanco"/>
    <x v="3"/>
    <n v="50"/>
  </r>
  <r>
    <x v="2"/>
    <n v="82"/>
    <x v="73"/>
    <x v="0"/>
    <s v="PJ"/>
    <x v="0"/>
    <n v="1930"/>
  </r>
  <r>
    <x v="2"/>
    <n v="82"/>
    <x v="73"/>
    <x v="0"/>
    <s v="Humanista"/>
    <x v="1"/>
    <n v="64"/>
  </r>
  <r>
    <x v="2"/>
    <n v="82"/>
    <x v="73"/>
    <x v="0"/>
    <s v="Partido de los Trabajadores Soc."/>
    <x v="1"/>
    <n v="56"/>
  </r>
  <r>
    <x v="2"/>
    <n v="82"/>
    <x v="73"/>
    <x v="0"/>
    <s v="FREPAM"/>
    <x v="2"/>
    <n v="126"/>
  </r>
  <r>
    <x v="2"/>
    <n v="82"/>
    <x v="73"/>
    <x v="0"/>
    <s v="Izquierda al Frente por el Soc."/>
    <x v="1"/>
    <n v="90"/>
  </r>
  <r>
    <x v="2"/>
    <n v="82"/>
    <x v="73"/>
    <x v="0"/>
    <s v="Cambiemos "/>
    <x v="2"/>
    <n v="2386"/>
  </r>
  <r>
    <x v="2"/>
    <n v="82"/>
    <x v="73"/>
    <x v="0"/>
    <s v="Nulo"/>
    <x v="3"/>
    <n v="291"/>
  </r>
  <r>
    <x v="2"/>
    <n v="82"/>
    <x v="73"/>
    <x v="0"/>
    <s v="Blanco"/>
    <x v="3"/>
    <n v="83"/>
  </r>
  <r>
    <x v="2"/>
    <n v="83"/>
    <x v="74"/>
    <x v="0"/>
    <s v="PJ"/>
    <x v="0"/>
    <n v="0"/>
  </r>
  <r>
    <x v="2"/>
    <n v="83"/>
    <x v="74"/>
    <x v="0"/>
    <s v="Humanista"/>
    <x v="1"/>
    <n v="0"/>
  </r>
  <r>
    <x v="2"/>
    <n v="83"/>
    <x v="74"/>
    <x v="0"/>
    <s v="Partido de los Trabajadores Soc."/>
    <x v="1"/>
    <n v="0"/>
  </r>
  <r>
    <x v="2"/>
    <n v="83"/>
    <x v="74"/>
    <x v="0"/>
    <s v="FREPAM"/>
    <x v="2"/>
    <n v="0"/>
  </r>
  <r>
    <x v="2"/>
    <n v="83"/>
    <x v="74"/>
    <x v="0"/>
    <s v="Izquierda al Frente por el Soc."/>
    <x v="1"/>
    <n v="1"/>
  </r>
  <r>
    <x v="2"/>
    <n v="83"/>
    <x v="74"/>
    <x v="0"/>
    <s v="Cambiemos "/>
    <x v="2"/>
    <n v="1"/>
  </r>
  <r>
    <x v="2"/>
    <n v="83"/>
    <x v="74"/>
    <x v="0"/>
    <s v="Nulo"/>
    <x v="3"/>
    <n v="0"/>
  </r>
  <r>
    <x v="2"/>
    <n v="83"/>
    <x v="74"/>
    <x v="0"/>
    <s v="Blanco"/>
    <x v="3"/>
    <n v="0"/>
  </r>
  <r>
    <x v="2"/>
    <n v="84"/>
    <x v="75"/>
    <x v="0"/>
    <s v="PJ"/>
    <x v="0"/>
    <n v="0"/>
  </r>
  <r>
    <x v="2"/>
    <n v="84"/>
    <x v="75"/>
    <x v="0"/>
    <s v="Humanista"/>
    <x v="1"/>
    <n v="0"/>
  </r>
  <r>
    <x v="2"/>
    <n v="84"/>
    <x v="75"/>
    <x v="0"/>
    <s v="Partido de los Trabajadores Soc."/>
    <x v="1"/>
    <n v="0"/>
  </r>
  <r>
    <x v="2"/>
    <n v="84"/>
    <x v="75"/>
    <x v="0"/>
    <s v="FREPAM"/>
    <x v="2"/>
    <n v="0"/>
  </r>
  <r>
    <x v="2"/>
    <n v="84"/>
    <x v="75"/>
    <x v="0"/>
    <s v="Izquierda al Frente por el Soc."/>
    <x v="1"/>
    <n v="0"/>
  </r>
  <r>
    <x v="2"/>
    <n v="84"/>
    <x v="75"/>
    <x v="0"/>
    <s v="Cambiemos "/>
    <x v="2"/>
    <n v="5"/>
  </r>
  <r>
    <x v="2"/>
    <n v="84"/>
    <x v="75"/>
    <x v="0"/>
    <s v="Nulo"/>
    <x v="3"/>
    <n v="0"/>
  </r>
  <r>
    <x v="2"/>
    <n v="84"/>
    <x v="75"/>
    <x v="0"/>
    <s v="Blanco"/>
    <x v="3"/>
    <n v="0"/>
  </r>
  <r>
    <x v="2"/>
    <n v="85"/>
    <x v="76"/>
    <x v="0"/>
    <s v="PJ"/>
    <x v="0"/>
    <n v="2"/>
  </r>
  <r>
    <x v="2"/>
    <n v="85"/>
    <x v="76"/>
    <x v="0"/>
    <s v="Humanista"/>
    <x v="1"/>
    <n v="0"/>
  </r>
  <r>
    <x v="2"/>
    <n v="85"/>
    <x v="76"/>
    <x v="0"/>
    <s v="Partido de los Trabajadores Soc."/>
    <x v="1"/>
    <n v="0"/>
  </r>
  <r>
    <x v="2"/>
    <n v="85"/>
    <x v="76"/>
    <x v="0"/>
    <s v="FREPAM"/>
    <x v="2"/>
    <n v="0"/>
  </r>
  <r>
    <x v="2"/>
    <n v="85"/>
    <x v="76"/>
    <x v="0"/>
    <s v="Izquierda al Frente por el Soc."/>
    <x v="1"/>
    <n v="0"/>
  </r>
  <r>
    <x v="2"/>
    <n v="85"/>
    <x v="76"/>
    <x v="0"/>
    <s v="Cambiemos "/>
    <x v="2"/>
    <n v="1"/>
  </r>
  <r>
    <x v="2"/>
    <n v="85"/>
    <x v="76"/>
    <x v="0"/>
    <s v="Nulo"/>
    <x v="3"/>
    <n v="0"/>
  </r>
  <r>
    <x v="2"/>
    <n v="85"/>
    <x v="76"/>
    <x v="0"/>
    <s v="Blanco"/>
    <x v="3"/>
    <n v="0"/>
  </r>
  <r>
    <x v="2"/>
    <n v="86"/>
    <x v="77"/>
    <x v="0"/>
    <s v="PJ"/>
    <x v="0"/>
    <n v="3678"/>
  </r>
  <r>
    <x v="2"/>
    <n v="86"/>
    <x v="77"/>
    <x v="0"/>
    <s v="Humanista"/>
    <x v="1"/>
    <n v="252"/>
  </r>
  <r>
    <x v="2"/>
    <n v="86"/>
    <x v="77"/>
    <x v="0"/>
    <s v="Partido de los Trabajadores Soc."/>
    <x v="1"/>
    <n v="197"/>
  </r>
  <r>
    <x v="2"/>
    <n v="86"/>
    <x v="77"/>
    <x v="0"/>
    <s v="FREPAM"/>
    <x v="2"/>
    <n v="256"/>
  </r>
  <r>
    <x v="2"/>
    <n v="86"/>
    <x v="77"/>
    <x v="0"/>
    <s v="Izquierda al Frente por el Soc."/>
    <x v="1"/>
    <n v="172"/>
  </r>
  <r>
    <x v="2"/>
    <n v="86"/>
    <x v="77"/>
    <x v="0"/>
    <s v="Cambiemos "/>
    <x v="2"/>
    <n v="3986"/>
  </r>
  <r>
    <x v="2"/>
    <n v="86"/>
    <x v="77"/>
    <x v="0"/>
    <s v="Nulo"/>
    <x v="3"/>
    <n v="321"/>
  </r>
  <r>
    <x v="2"/>
    <n v="86"/>
    <x v="77"/>
    <x v="0"/>
    <s v="Blanco"/>
    <x v="3"/>
    <n v="135"/>
  </r>
  <r>
    <x v="2"/>
    <n v="87"/>
    <x v="78"/>
    <x v="0"/>
    <s v="PJ"/>
    <x v="0"/>
    <n v="375"/>
  </r>
  <r>
    <x v="2"/>
    <n v="87"/>
    <x v="78"/>
    <x v="0"/>
    <s v="Humanista"/>
    <x v="1"/>
    <n v="3"/>
  </r>
  <r>
    <x v="2"/>
    <n v="87"/>
    <x v="78"/>
    <x v="0"/>
    <s v="Partido de los Trabajadores Soc."/>
    <x v="1"/>
    <n v="14"/>
  </r>
  <r>
    <x v="2"/>
    <n v="87"/>
    <x v="78"/>
    <x v="0"/>
    <s v="FREPAM"/>
    <x v="2"/>
    <n v="12"/>
  </r>
  <r>
    <x v="2"/>
    <n v="87"/>
    <x v="78"/>
    <x v="0"/>
    <s v="Izquierda al Frente por el Soc."/>
    <x v="1"/>
    <n v="10"/>
  </r>
  <r>
    <x v="2"/>
    <n v="87"/>
    <x v="78"/>
    <x v="0"/>
    <s v="Cambiemos "/>
    <x v="2"/>
    <n v="318"/>
  </r>
  <r>
    <x v="2"/>
    <n v="87"/>
    <x v="78"/>
    <x v="0"/>
    <s v="Nulo"/>
    <x v="3"/>
    <n v="22"/>
  </r>
  <r>
    <x v="2"/>
    <n v="87"/>
    <x v="78"/>
    <x v="0"/>
    <s v="Blanco"/>
    <x v="3"/>
    <n v="23"/>
  </r>
  <r>
    <x v="2"/>
    <n v="88"/>
    <x v="79"/>
    <x v="0"/>
    <s v="PJ"/>
    <x v="0"/>
    <n v="188"/>
  </r>
  <r>
    <x v="2"/>
    <n v="88"/>
    <x v="79"/>
    <x v="0"/>
    <s v="Humanista"/>
    <x v="1"/>
    <n v="1"/>
  </r>
  <r>
    <x v="2"/>
    <n v="88"/>
    <x v="79"/>
    <x v="0"/>
    <s v="Partido de los Trabajadores Soc."/>
    <x v="1"/>
    <n v="7"/>
  </r>
  <r>
    <x v="2"/>
    <n v="88"/>
    <x v="79"/>
    <x v="0"/>
    <s v="FREPAM"/>
    <x v="2"/>
    <n v="20"/>
  </r>
  <r>
    <x v="2"/>
    <n v="88"/>
    <x v="79"/>
    <x v="0"/>
    <s v="Izquierda al Frente por el Soc."/>
    <x v="1"/>
    <n v="4"/>
  </r>
  <r>
    <x v="2"/>
    <n v="88"/>
    <x v="79"/>
    <x v="0"/>
    <s v="Cambiemos "/>
    <x v="2"/>
    <n v="152"/>
  </r>
  <r>
    <x v="2"/>
    <n v="88"/>
    <x v="79"/>
    <x v="0"/>
    <s v="Nulo"/>
    <x v="3"/>
    <n v="0"/>
  </r>
  <r>
    <x v="2"/>
    <n v="88"/>
    <x v="79"/>
    <x v="0"/>
    <s v="Blanco"/>
    <x v="3"/>
    <n v="26"/>
  </r>
  <r>
    <x v="2"/>
    <n v="89"/>
    <x v="80"/>
    <x v="0"/>
    <s v="PJ"/>
    <x v="0"/>
    <n v="1062"/>
  </r>
  <r>
    <x v="2"/>
    <n v="89"/>
    <x v="80"/>
    <x v="0"/>
    <s v="Humanista"/>
    <x v="1"/>
    <n v="20"/>
  </r>
  <r>
    <x v="2"/>
    <n v="89"/>
    <x v="80"/>
    <x v="0"/>
    <s v="Partido de los Trabajadores Soc."/>
    <x v="1"/>
    <n v="11"/>
  </r>
  <r>
    <x v="2"/>
    <n v="89"/>
    <x v="80"/>
    <x v="0"/>
    <s v="FREPAM"/>
    <x v="2"/>
    <n v="73"/>
  </r>
  <r>
    <x v="2"/>
    <n v="89"/>
    <x v="80"/>
    <x v="0"/>
    <s v="Izquierda al Frente por el Soc."/>
    <x v="1"/>
    <n v="37"/>
  </r>
  <r>
    <x v="2"/>
    <n v="89"/>
    <x v="80"/>
    <x v="0"/>
    <s v="Cambiemos "/>
    <x v="2"/>
    <n v="1080"/>
  </r>
  <r>
    <x v="2"/>
    <n v="89"/>
    <x v="80"/>
    <x v="0"/>
    <s v="Nulo"/>
    <x v="3"/>
    <n v="91"/>
  </r>
  <r>
    <x v="2"/>
    <n v="89"/>
    <x v="80"/>
    <x v="0"/>
    <s v="Blanco"/>
    <x v="3"/>
    <n v="38"/>
  </r>
  <r>
    <x v="2"/>
    <n v="90"/>
    <x v="81"/>
    <x v="0"/>
    <s v="PJ"/>
    <x v="0"/>
    <n v="229"/>
  </r>
  <r>
    <x v="2"/>
    <n v="90"/>
    <x v="81"/>
    <x v="0"/>
    <s v="Humanista"/>
    <x v="1"/>
    <n v="7"/>
  </r>
  <r>
    <x v="2"/>
    <n v="90"/>
    <x v="81"/>
    <x v="0"/>
    <s v="Partido de los Trabajadores Soc."/>
    <x v="1"/>
    <n v="9"/>
  </r>
  <r>
    <x v="2"/>
    <n v="90"/>
    <x v="81"/>
    <x v="0"/>
    <s v="FREPAM"/>
    <x v="2"/>
    <n v="12"/>
  </r>
  <r>
    <x v="2"/>
    <n v="90"/>
    <x v="81"/>
    <x v="0"/>
    <s v="Izquierda al Frente por el Soc."/>
    <x v="1"/>
    <n v="9"/>
  </r>
  <r>
    <x v="2"/>
    <n v="90"/>
    <x v="81"/>
    <x v="0"/>
    <s v="Cambiemos "/>
    <x v="2"/>
    <n v="231"/>
  </r>
  <r>
    <x v="2"/>
    <n v="90"/>
    <x v="81"/>
    <x v="0"/>
    <s v="Nulo"/>
    <x v="3"/>
    <n v="28"/>
  </r>
  <r>
    <x v="2"/>
    <n v="90"/>
    <x v="81"/>
    <x v="0"/>
    <s v="Blanco"/>
    <x v="3"/>
    <n v="15"/>
  </r>
  <r>
    <x v="2"/>
    <n v="91"/>
    <x v="82"/>
    <x v="0"/>
    <s v="PJ"/>
    <x v="0"/>
    <n v="94"/>
  </r>
  <r>
    <x v="2"/>
    <n v="91"/>
    <x v="82"/>
    <x v="0"/>
    <s v="Humanista"/>
    <x v="1"/>
    <n v="0"/>
  </r>
  <r>
    <x v="2"/>
    <n v="91"/>
    <x v="82"/>
    <x v="0"/>
    <s v="Partido de los Trabajadores Soc."/>
    <x v="1"/>
    <n v="2"/>
  </r>
  <r>
    <x v="2"/>
    <n v="91"/>
    <x v="82"/>
    <x v="0"/>
    <s v="FREPAM"/>
    <x v="2"/>
    <n v="5"/>
  </r>
  <r>
    <x v="2"/>
    <n v="91"/>
    <x v="82"/>
    <x v="0"/>
    <s v="Izquierda al Frente por el Soc."/>
    <x v="1"/>
    <n v="2"/>
  </r>
  <r>
    <x v="2"/>
    <n v="91"/>
    <x v="82"/>
    <x v="0"/>
    <s v="Cambiemos "/>
    <x v="2"/>
    <n v="139"/>
  </r>
  <r>
    <x v="2"/>
    <n v="91"/>
    <x v="82"/>
    <x v="0"/>
    <s v="Nulo"/>
    <x v="3"/>
    <n v="13"/>
  </r>
  <r>
    <x v="2"/>
    <n v="91"/>
    <x v="82"/>
    <x v="0"/>
    <s v="Blanco"/>
    <x v="3"/>
    <n v="7"/>
  </r>
  <r>
    <x v="2"/>
    <n v="92"/>
    <x v="83"/>
    <x v="0"/>
    <s v="PJ"/>
    <x v="0"/>
    <n v="88"/>
  </r>
  <r>
    <x v="2"/>
    <n v="92"/>
    <x v="83"/>
    <x v="0"/>
    <s v="Humanista"/>
    <x v="1"/>
    <n v="0"/>
  </r>
  <r>
    <x v="2"/>
    <n v="92"/>
    <x v="83"/>
    <x v="0"/>
    <s v="Partido de los Trabajadores Soc."/>
    <x v="1"/>
    <n v="0"/>
  </r>
  <r>
    <x v="2"/>
    <n v="92"/>
    <x v="83"/>
    <x v="0"/>
    <s v="FREPAM"/>
    <x v="2"/>
    <n v="3"/>
  </r>
  <r>
    <x v="2"/>
    <n v="92"/>
    <x v="83"/>
    <x v="0"/>
    <s v="Izquierda al Frente por el Soc."/>
    <x v="1"/>
    <n v="1"/>
  </r>
  <r>
    <x v="2"/>
    <n v="92"/>
    <x v="83"/>
    <x v="0"/>
    <s v="Cambiemos "/>
    <x v="2"/>
    <n v="89"/>
  </r>
  <r>
    <x v="2"/>
    <n v="92"/>
    <x v="83"/>
    <x v="0"/>
    <s v="Nulo"/>
    <x v="3"/>
    <n v="4"/>
  </r>
  <r>
    <x v="2"/>
    <n v="92"/>
    <x v="83"/>
    <x v="0"/>
    <s v="Blanco"/>
    <x v="3"/>
    <n v="2"/>
  </r>
  <r>
    <x v="2"/>
    <n v="93"/>
    <x v="84"/>
    <x v="0"/>
    <s v="PJ"/>
    <x v="0"/>
    <n v="2319"/>
  </r>
  <r>
    <x v="2"/>
    <n v="93"/>
    <x v="84"/>
    <x v="0"/>
    <s v="Humanista"/>
    <x v="1"/>
    <n v="102"/>
  </r>
  <r>
    <x v="2"/>
    <n v="93"/>
    <x v="84"/>
    <x v="0"/>
    <s v="Partido de los Trabajadores Soc."/>
    <x v="1"/>
    <n v="102"/>
  </r>
  <r>
    <x v="2"/>
    <n v="93"/>
    <x v="84"/>
    <x v="0"/>
    <s v="FREPAM"/>
    <x v="2"/>
    <n v="239"/>
  </r>
  <r>
    <x v="2"/>
    <n v="93"/>
    <x v="84"/>
    <x v="0"/>
    <s v="Izquierda al Frente por el Soc."/>
    <x v="1"/>
    <n v="175"/>
  </r>
  <r>
    <x v="2"/>
    <n v="93"/>
    <x v="84"/>
    <x v="0"/>
    <s v="Cambiemos "/>
    <x v="2"/>
    <n v="4528"/>
  </r>
  <r>
    <x v="2"/>
    <n v="93"/>
    <x v="84"/>
    <x v="0"/>
    <s v="Nulo"/>
    <x v="3"/>
    <n v="490"/>
  </r>
  <r>
    <x v="2"/>
    <n v="93"/>
    <x v="84"/>
    <x v="0"/>
    <s v="Blanco"/>
    <x v="3"/>
    <n v="177"/>
  </r>
  <r>
    <x v="2"/>
    <n v="94"/>
    <x v="85"/>
    <x v="0"/>
    <s v="PJ"/>
    <x v="0"/>
    <n v="180"/>
  </r>
  <r>
    <x v="2"/>
    <n v="94"/>
    <x v="85"/>
    <x v="0"/>
    <s v="Humanista"/>
    <x v="1"/>
    <n v="2"/>
  </r>
  <r>
    <x v="2"/>
    <n v="94"/>
    <x v="85"/>
    <x v="0"/>
    <s v="Partido de los Trabajadores Soc."/>
    <x v="1"/>
    <n v="2"/>
  </r>
  <r>
    <x v="2"/>
    <n v="94"/>
    <x v="85"/>
    <x v="0"/>
    <s v="FREPAM"/>
    <x v="2"/>
    <n v="6"/>
  </r>
  <r>
    <x v="2"/>
    <n v="94"/>
    <x v="85"/>
    <x v="0"/>
    <s v="Izquierda al Frente por el Soc."/>
    <x v="1"/>
    <n v="1"/>
  </r>
  <r>
    <x v="2"/>
    <n v="94"/>
    <x v="85"/>
    <x v="0"/>
    <s v="Cambiemos "/>
    <x v="2"/>
    <n v="178"/>
  </r>
  <r>
    <x v="2"/>
    <n v="94"/>
    <x v="85"/>
    <x v="0"/>
    <s v="Nulo"/>
    <x v="3"/>
    <n v="10"/>
  </r>
  <r>
    <x v="2"/>
    <n v="94"/>
    <x v="85"/>
    <x v="0"/>
    <s v="Blanco"/>
    <x v="3"/>
    <n v="5"/>
  </r>
  <r>
    <x v="2"/>
    <n v="95"/>
    <x v="86"/>
    <x v="0"/>
    <s v="PJ"/>
    <x v="0"/>
    <n v="30"/>
  </r>
  <r>
    <x v="2"/>
    <n v="95"/>
    <x v="86"/>
    <x v="0"/>
    <s v="Humanista"/>
    <x v="1"/>
    <n v="3"/>
  </r>
  <r>
    <x v="2"/>
    <n v="95"/>
    <x v="86"/>
    <x v="0"/>
    <s v="Partido de los Trabajadores Soc."/>
    <x v="1"/>
    <n v="1"/>
  </r>
  <r>
    <x v="2"/>
    <n v="95"/>
    <x v="86"/>
    <x v="0"/>
    <s v="FREPAM"/>
    <x v="2"/>
    <n v="3"/>
  </r>
  <r>
    <x v="2"/>
    <n v="95"/>
    <x v="86"/>
    <x v="0"/>
    <s v="Izquierda al Frente por el Soc."/>
    <x v="1"/>
    <n v="0"/>
  </r>
  <r>
    <x v="2"/>
    <n v="95"/>
    <x v="86"/>
    <x v="0"/>
    <s v="Cambiemos "/>
    <x v="2"/>
    <n v="53"/>
  </r>
  <r>
    <x v="2"/>
    <n v="95"/>
    <x v="86"/>
    <x v="0"/>
    <s v="Nulo"/>
    <x v="3"/>
    <n v="0"/>
  </r>
  <r>
    <x v="2"/>
    <n v="95"/>
    <x v="86"/>
    <x v="0"/>
    <s v="Blanco"/>
    <x v="3"/>
    <n v="7"/>
  </r>
  <r>
    <x v="2"/>
    <n v="2100"/>
    <x v="87"/>
    <x v="0"/>
    <s v="PJ"/>
    <x v="0"/>
    <n v="27"/>
  </r>
  <r>
    <x v="2"/>
    <n v="2100"/>
    <x v="87"/>
    <x v="0"/>
    <s v="Humanista"/>
    <x v="1"/>
    <n v="3"/>
  </r>
  <r>
    <x v="2"/>
    <n v="2100"/>
    <x v="87"/>
    <x v="0"/>
    <s v="Partido de los Trabajadores Soc."/>
    <x v="1"/>
    <n v="5"/>
  </r>
  <r>
    <x v="2"/>
    <n v="2100"/>
    <x v="87"/>
    <x v="0"/>
    <s v="FREPAM"/>
    <x v="2"/>
    <n v="4"/>
  </r>
  <r>
    <x v="2"/>
    <n v="2100"/>
    <x v="87"/>
    <x v="0"/>
    <s v="Izquierda al Frente por el Soc."/>
    <x v="1"/>
    <n v="3"/>
  </r>
  <r>
    <x v="2"/>
    <n v="2100"/>
    <x v="87"/>
    <x v="0"/>
    <s v="Cambiemos"/>
    <x v="2"/>
    <n v="16"/>
  </r>
  <r>
    <x v="2"/>
    <n v="2100"/>
    <x v="87"/>
    <x v="0"/>
    <s v="Nulo"/>
    <x v="3"/>
    <n v="7"/>
  </r>
  <r>
    <x v="2"/>
    <n v="2100"/>
    <x v="87"/>
    <x v="0"/>
    <s v="Blanco"/>
    <x v="3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0">
  <r>
    <x v="0"/>
    <x v="0"/>
    <x v="0"/>
    <n v="454"/>
  </r>
  <r>
    <x v="0"/>
    <x v="0"/>
    <x v="1"/>
    <n v="318"/>
  </r>
  <r>
    <x v="0"/>
    <x v="0"/>
    <x v="2"/>
    <n v="415"/>
  </r>
  <r>
    <x v="0"/>
    <x v="0"/>
    <x v="3"/>
    <n v="74"/>
  </r>
  <r>
    <x v="0"/>
    <x v="0"/>
    <x v="4"/>
    <n v="2"/>
  </r>
  <r>
    <x v="0"/>
    <x v="1"/>
    <x v="0"/>
    <n v="421"/>
  </r>
  <r>
    <x v="0"/>
    <x v="1"/>
    <x v="1"/>
    <n v="269"/>
  </r>
  <r>
    <x v="0"/>
    <x v="1"/>
    <x v="2"/>
    <n v="473"/>
  </r>
  <r>
    <x v="0"/>
    <x v="1"/>
    <x v="3"/>
    <n v="98"/>
  </r>
  <r>
    <x v="0"/>
    <x v="1"/>
    <x v="4"/>
    <n v="2"/>
  </r>
  <r>
    <x v="0"/>
    <x v="2"/>
    <x v="0"/>
    <n v="386"/>
  </r>
  <r>
    <x v="0"/>
    <x v="2"/>
    <x v="2"/>
    <n v="632"/>
  </r>
  <r>
    <x v="0"/>
    <x v="2"/>
    <x v="3"/>
    <n v="243"/>
  </r>
  <r>
    <x v="0"/>
    <x v="2"/>
    <x v="4"/>
    <n v="2"/>
  </r>
  <r>
    <x v="1"/>
    <x v="0"/>
    <x v="0"/>
    <n v="1730"/>
  </r>
  <r>
    <x v="1"/>
    <x v="0"/>
    <x v="5"/>
    <n v="298"/>
  </r>
  <r>
    <x v="1"/>
    <x v="0"/>
    <x v="1"/>
    <n v="1463"/>
  </r>
  <r>
    <x v="1"/>
    <x v="0"/>
    <x v="3"/>
    <n v="372"/>
  </r>
  <r>
    <x v="1"/>
    <x v="0"/>
    <x v="4"/>
    <n v="16"/>
  </r>
  <r>
    <x v="1"/>
    <x v="1"/>
    <x v="0"/>
    <n v="1680"/>
  </r>
  <r>
    <x v="1"/>
    <x v="1"/>
    <x v="5"/>
    <n v="287"/>
  </r>
  <r>
    <x v="1"/>
    <x v="1"/>
    <x v="1"/>
    <n v="1441"/>
  </r>
  <r>
    <x v="1"/>
    <x v="1"/>
    <x v="3"/>
    <n v="454"/>
  </r>
  <r>
    <x v="1"/>
    <x v="1"/>
    <x v="4"/>
    <n v="17"/>
  </r>
  <r>
    <x v="1"/>
    <x v="2"/>
    <x v="0"/>
    <n v="1886"/>
  </r>
  <r>
    <x v="1"/>
    <x v="2"/>
    <x v="1"/>
    <n v="1311"/>
  </r>
  <r>
    <x v="1"/>
    <x v="2"/>
    <x v="3"/>
    <n v="664"/>
  </r>
  <r>
    <x v="1"/>
    <x v="2"/>
    <x v="4"/>
    <n v="18"/>
  </r>
  <r>
    <x v="2"/>
    <x v="0"/>
    <x v="0"/>
    <n v="1067"/>
  </r>
  <r>
    <x v="2"/>
    <x v="0"/>
    <x v="1"/>
    <n v="769"/>
  </r>
  <r>
    <x v="2"/>
    <x v="0"/>
    <x v="3"/>
    <n v="55"/>
  </r>
  <r>
    <x v="2"/>
    <x v="0"/>
    <x v="4"/>
    <n v="1"/>
  </r>
  <r>
    <x v="2"/>
    <x v="1"/>
    <x v="0"/>
    <n v="1024"/>
  </r>
  <r>
    <x v="2"/>
    <x v="1"/>
    <x v="1"/>
    <n v="791"/>
  </r>
  <r>
    <x v="2"/>
    <x v="1"/>
    <x v="3"/>
    <n v="77"/>
  </r>
  <r>
    <x v="2"/>
    <x v="2"/>
    <x v="0"/>
    <n v="1098"/>
  </r>
  <r>
    <x v="2"/>
    <x v="2"/>
    <x v="1"/>
    <n v="721"/>
  </r>
  <r>
    <x v="2"/>
    <x v="2"/>
    <x v="3"/>
    <n v="73"/>
  </r>
  <r>
    <x v="3"/>
    <x v="0"/>
    <x v="0"/>
    <n v="284"/>
  </r>
  <r>
    <x v="3"/>
    <x v="0"/>
    <x v="1"/>
    <n v="264"/>
  </r>
  <r>
    <x v="3"/>
    <x v="0"/>
    <x v="3"/>
    <n v="29"/>
  </r>
  <r>
    <x v="3"/>
    <x v="0"/>
    <x v="4"/>
    <n v="1"/>
  </r>
  <r>
    <x v="3"/>
    <x v="1"/>
    <x v="0"/>
    <n v="268"/>
  </r>
  <r>
    <x v="3"/>
    <x v="1"/>
    <x v="1"/>
    <n v="260"/>
  </r>
  <r>
    <x v="3"/>
    <x v="1"/>
    <x v="3"/>
    <n v="49"/>
  </r>
  <r>
    <x v="3"/>
    <x v="1"/>
    <x v="4"/>
    <n v="1"/>
  </r>
  <r>
    <x v="3"/>
    <x v="2"/>
    <x v="0"/>
    <n v="280"/>
  </r>
  <r>
    <x v="3"/>
    <x v="2"/>
    <x v="1"/>
    <n v="268"/>
  </r>
  <r>
    <x v="3"/>
    <x v="2"/>
    <x v="3"/>
    <n v="29"/>
  </r>
  <r>
    <x v="3"/>
    <x v="2"/>
    <x v="4"/>
    <n v="1"/>
  </r>
  <r>
    <x v="4"/>
    <x v="0"/>
    <x v="0"/>
    <n v="173"/>
  </r>
  <r>
    <x v="4"/>
    <x v="0"/>
    <x v="1"/>
    <n v="166"/>
  </r>
  <r>
    <x v="4"/>
    <x v="0"/>
    <x v="3"/>
    <n v="5"/>
  </r>
  <r>
    <x v="4"/>
    <x v="0"/>
    <x v="4"/>
    <n v="1"/>
  </r>
  <r>
    <x v="4"/>
    <x v="0"/>
    <x v="0"/>
    <n v="166"/>
  </r>
  <r>
    <x v="4"/>
    <x v="1"/>
    <x v="1"/>
    <n v="168"/>
  </r>
  <r>
    <x v="4"/>
    <x v="1"/>
    <x v="3"/>
    <n v="10"/>
  </r>
  <r>
    <x v="4"/>
    <x v="1"/>
    <x v="4"/>
    <n v="1"/>
  </r>
  <r>
    <x v="4"/>
    <x v="2"/>
    <x v="0"/>
    <n v="167"/>
  </r>
  <r>
    <x v="4"/>
    <x v="2"/>
    <x v="1"/>
    <n v="167"/>
  </r>
  <r>
    <x v="4"/>
    <x v="2"/>
    <x v="3"/>
    <n v="9"/>
  </r>
  <r>
    <x v="4"/>
    <x v="2"/>
    <x v="4"/>
    <n v="2"/>
  </r>
  <r>
    <x v="5"/>
    <x v="0"/>
    <x v="0"/>
    <n v="693"/>
  </r>
  <r>
    <x v="5"/>
    <x v="0"/>
    <x v="1"/>
    <n v="766"/>
  </r>
  <r>
    <x v="5"/>
    <x v="0"/>
    <x v="3"/>
    <n v="75"/>
  </r>
  <r>
    <x v="5"/>
    <x v="0"/>
    <x v="4"/>
    <n v="7"/>
  </r>
  <r>
    <x v="5"/>
    <x v="1"/>
    <x v="0"/>
    <n v="684"/>
  </r>
  <r>
    <x v="5"/>
    <x v="1"/>
    <x v="1"/>
    <n v="746"/>
  </r>
  <r>
    <x v="5"/>
    <x v="1"/>
    <x v="3"/>
    <n v="103"/>
  </r>
  <r>
    <x v="5"/>
    <x v="1"/>
    <x v="4"/>
    <n v="8"/>
  </r>
  <r>
    <x v="5"/>
    <x v="2"/>
    <x v="0"/>
    <n v="704"/>
  </r>
  <r>
    <x v="5"/>
    <x v="2"/>
    <x v="1"/>
    <n v="736"/>
  </r>
  <r>
    <x v="5"/>
    <x v="2"/>
    <x v="3"/>
    <n v="94"/>
  </r>
  <r>
    <x v="5"/>
    <x v="2"/>
    <x v="4"/>
    <n v="7"/>
  </r>
  <r>
    <x v="6"/>
    <x v="0"/>
    <x v="0"/>
    <n v="16833"/>
  </r>
  <r>
    <x v="6"/>
    <x v="0"/>
    <x v="6"/>
    <n v="433"/>
  </r>
  <r>
    <x v="6"/>
    <x v="0"/>
    <x v="5"/>
    <n v="1234"/>
  </r>
  <r>
    <x v="6"/>
    <x v="0"/>
    <x v="7"/>
    <n v="5509"/>
  </r>
  <r>
    <x v="6"/>
    <x v="0"/>
    <x v="1"/>
    <n v="30158"/>
  </r>
  <r>
    <x v="6"/>
    <x v="0"/>
    <x v="8"/>
    <n v="915"/>
  </r>
  <r>
    <x v="6"/>
    <x v="0"/>
    <x v="9"/>
    <n v="5072"/>
  </r>
  <r>
    <x v="6"/>
    <x v="0"/>
    <x v="3"/>
    <n v="9287"/>
  </r>
  <r>
    <x v="6"/>
    <x v="0"/>
    <x v="4"/>
    <n v="613"/>
  </r>
  <r>
    <x v="6"/>
    <x v="1"/>
    <x v="0"/>
    <n v="16959"/>
  </r>
  <r>
    <x v="6"/>
    <x v="1"/>
    <x v="6"/>
    <n v="467"/>
  </r>
  <r>
    <x v="6"/>
    <x v="1"/>
    <x v="5"/>
    <n v="1273"/>
  </r>
  <r>
    <x v="6"/>
    <x v="1"/>
    <x v="7"/>
    <n v="5525"/>
  </r>
  <r>
    <x v="6"/>
    <x v="1"/>
    <x v="1"/>
    <n v="28024"/>
  </r>
  <r>
    <x v="6"/>
    <x v="1"/>
    <x v="8"/>
    <n v="986"/>
  </r>
  <r>
    <x v="6"/>
    <x v="1"/>
    <x v="9"/>
    <n v="5209"/>
  </r>
  <r>
    <x v="6"/>
    <x v="1"/>
    <x v="3"/>
    <n v="11016"/>
  </r>
  <r>
    <x v="6"/>
    <x v="1"/>
    <x v="4"/>
    <n v="595"/>
  </r>
  <r>
    <x v="6"/>
    <x v="2"/>
    <x v="0"/>
    <n v="16822"/>
  </r>
  <r>
    <x v="6"/>
    <x v="2"/>
    <x v="6"/>
    <n v="498"/>
  </r>
  <r>
    <x v="6"/>
    <x v="2"/>
    <x v="5"/>
    <n v="1232"/>
  </r>
  <r>
    <x v="6"/>
    <x v="2"/>
    <x v="7"/>
    <n v="5523"/>
  </r>
  <r>
    <x v="6"/>
    <x v="2"/>
    <x v="1"/>
    <n v="27889"/>
  </r>
  <r>
    <x v="6"/>
    <x v="2"/>
    <x v="8"/>
    <n v="976"/>
  </r>
  <r>
    <x v="6"/>
    <x v="2"/>
    <x v="9"/>
    <n v="5240"/>
  </r>
  <r>
    <x v="6"/>
    <x v="2"/>
    <x v="3"/>
    <n v="11279"/>
  </r>
  <r>
    <x v="6"/>
    <x v="2"/>
    <x v="4"/>
    <n v="595"/>
  </r>
  <r>
    <x v="7"/>
    <x v="0"/>
    <x v="0"/>
    <n v="896"/>
  </r>
  <r>
    <x v="7"/>
    <x v="0"/>
    <x v="5"/>
    <n v="168"/>
  </r>
  <r>
    <x v="7"/>
    <x v="0"/>
    <x v="1"/>
    <n v="203"/>
  </r>
  <r>
    <x v="7"/>
    <x v="0"/>
    <x v="3"/>
    <n v="187"/>
  </r>
  <r>
    <x v="7"/>
    <x v="0"/>
    <x v="4"/>
    <n v="10"/>
  </r>
  <r>
    <x v="7"/>
    <x v="1"/>
    <x v="0"/>
    <n v="934"/>
  </r>
  <r>
    <x v="7"/>
    <x v="1"/>
    <x v="5"/>
    <n v="99"/>
  </r>
  <r>
    <x v="7"/>
    <x v="1"/>
    <x v="7"/>
    <n v="69"/>
  </r>
  <r>
    <x v="7"/>
    <x v="1"/>
    <x v="1"/>
    <n v="190"/>
  </r>
  <r>
    <x v="7"/>
    <x v="1"/>
    <x v="3"/>
    <n v="158"/>
  </r>
  <r>
    <x v="7"/>
    <x v="1"/>
    <x v="4"/>
    <n v="14"/>
  </r>
  <r>
    <x v="7"/>
    <x v="2"/>
    <x v="0"/>
    <n v="848"/>
  </r>
  <r>
    <x v="7"/>
    <x v="2"/>
    <x v="5"/>
    <n v="88"/>
  </r>
  <r>
    <x v="7"/>
    <x v="2"/>
    <x v="1"/>
    <n v="309"/>
  </r>
  <r>
    <x v="7"/>
    <x v="2"/>
    <x v="3"/>
    <n v="209"/>
  </r>
  <r>
    <x v="7"/>
    <x v="2"/>
    <x v="4"/>
    <n v="10"/>
  </r>
  <r>
    <x v="8"/>
    <x v="0"/>
    <x v="0"/>
    <n v="1681"/>
  </r>
  <r>
    <x v="8"/>
    <x v="0"/>
    <x v="1"/>
    <n v="1209"/>
  </r>
  <r>
    <x v="8"/>
    <x v="0"/>
    <x v="3"/>
    <n v="243"/>
  </r>
  <r>
    <x v="8"/>
    <x v="0"/>
    <x v="4"/>
    <n v="9"/>
  </r>
  <r>
    <x v="8"/>
    <x v="1"/>
    <x v="0"/>
    <n v="1658"/>
  </r>
  <r>
    <x v="8"/>
    <x v="1"/>
    <x v="1"/>
    <n v="1159"/>
  </r>
  <r>
    <x v="8"/>
    <x v="1"/>
    <x v="3"/>
    <n v="315"/>
  </r>
  <r>
    <x v="8"/>
    <x v="1"/>
    <x v="4"/>
    <n v="10"/>
  </r>
  <r>
    <x v="8"/>
    <x v="2"/>
    <x v="0"/>
    <n v="1556"/>
  </r>
  <r>
    <x v="8"/>
    <x v="2"/>
    <x v="1"/>
    <n v="1219"/>
  </r>
  <r>
    <x v="8"/>
    <x v="2"/>
    <x v="3"/>
    <n v="357"/>
  </r>
  <r>
    <x v="8"/>
    <x v="2"/>
    <x v="4"/>
    <n v="10"/>
  </r>
  <r>
    <x v="9"/>
    <x v="0"/>
    <x v="0"/>
    <n v="841"/>
  </r>
  <r>
    <x v="9"/>
    <x v="0"/>
    <x v="1"/>
    <n v="390"/>
  </r>
  <r>
    <x v="9"/>
    <x v="0"/>
    <x v="3"/>
    <n v="113"/>
  </r>
  <r>
    <x v="9"/>
    <x v="0"/>
    <x v="4"/>
    <n v="4"/>
  </r>
  <r>
    <x v="9"/>
    <x v="1"/>
    <x v="0"/>
    <n v="768"/>
  </r>
  <r>
    <x v="9"/>
    <x v="1"/>
    <x v="1"/>
    <n v="426"/>
  </r>
  <r>
    <x v="9"/>
    <x v="1"/>
    <x v="3"/>
    <n v="150"/>
  </r>
  <r>
    <x v="9"/>
    <x v="1"/>
    <x v="4"/>
    <n v="4"/>
  </r>
  <r>
    <x v="9"/>
    <x v="2"/>
    <x v="0"/>
    <n v="772"/>
  </r>
  <r>
    <x v="9"/>
    <x v="2"/>
    <x v="1"/>
    <n v="444"/>
  </r>
  <r>
    <x v="9"/>
    <x v="2"/>
    <x v="3"/>
    <n v="128"/>
  </r>
  <r>
    <x v="9"/>
    <x v="2"/>
    <x v="4"/>
    <n v="4"/>
  </r>
  <r>
    <x v="10"/>
    <x v="0"/>
    <x v="0"/>
    <n v="509"/>
  </r>
  <r>
    <x v="10"/>
    <x v="0"/>
    <x v="1"/>
    <n v="236"/>
  </r>
  <r>
    <x v="10"/>
    <x v="0"/>
    <x v="3"/>
    <n v="74"/>
  </r>
  <r>
    <x v="10"/>
    <x v="0"/>
    <x v="4"/>
    <n v="6"/>
  </r>
  <r>
    <x v="10"/>
    <x v="1"/>
    <x v="0"/>
    <n v="475"/>
  </r>
  <r>
    <x v="10"/>
    <x v="1"/>
    <x v="1"/>
    <n v="239"/>
  </r>
  <r>
    <x v="10"/>
    <x v="1"/>
    <x v="3"/>
    <n v="97"/>
  </r>
  <r>
    <x v="10"/>
    <x v="1"/>
    <x v="4"/>
    <n v="14"/>
  </r>
  <r>
    <x v="10"/>
    <x v="2"/>
    <x v="0"/>
    <n v="439"/>
  </r>
  <r>
    <x v="10"/>
    <x v="2"/>
    <x v="1"/>
    <n v="279"/>
  </r>
  <r>
    <x v="10"/>
    <x v="2"/>
    <x v="3"/>
    <n v="94"/>
  </r>
  <r>
    <x v="10"/>
    <x v="2"/>
    <x v="4"/>
    <n v="13"/>
  </r>
  <r>
    <x v="11"/>
    <x v="2"/>
    <x v="0"/>
    <n v="16"/>
  </r>
  <r>
    <x v="11"/>
    <x v="2"/>
    <x v="3"/>
    <n v="3"/>
  </r>
  <r>
    <x v="12"/>
    <x v="0"/>
    <x v="0"/>
    <n v="1192"/>
  </r>
  <r>
    <x v="12"/>
    <x v="0"/>
    <x v="10"/>
    <n v="750"/>
  </r>
  <r>
    <x v="12"/>
    <x v="0"/>
    <x v="3"/>
    <n v="128"/>
  </r>
  <r>
    <x v="12"/>
    <x v="0"/>
    <x v="4"/>
    <n v="6"/>
  </r>
  <r>
    <x v="12"/>
    <x v="1"/>
    <x v="0"/>
    <n v="1177"/>
  </r>
  <r>
    <x v="12"/>
    <x v="1"/>
    <x v="10"/>
    <n v="706"/>
  </r>
  <r>
    <x v="12"/>
    <x v="1"/>
    <x v="3"/>
    <n v="187"/>
  </r>
  <r>
    <x v="12"/>
    <x v="1"/>
    <x v="4"/>
    <n v="6"/>
  </r>
  <r>
    <x v="12"/>
    <x v="2"/>
    <x v="0"/>
    <n v="1107"/>
  </r>
  <r>
    <x v="12"/>
    <x v="2"/>
    <x v="10"/>
    <n v="761"/>
  </r>
  <r>
    <x v="12"/>
    <x v="2"/>
    <x v="3"/>
    <n v="183"/>
  </r>
  <r>
    <x v="12"/>
    <x v="2"/>
    <x v="4"/>
    <n v="6"/>
  </r>
  <r>
    <x v="13"/>
    <x v="0"/>
    <x v="0"/>
    <n v="587"/>
  </r>
  <r>
    <x v="13"/>
    <x v="0"/>
    <x v="1"/>
    <n v="715"/>
  </r>
  <r>
    <x v="13"/>
    <x v="0"/>
    <x v="3"/>
    <n v="36"/>
  </r>
  <r>
    <x v="13"/>
    <x v="1"/>
    <x v="0"/>
    <n v="564"/>
  </r>
  <r>
    <x v="13"/>
    <x v="1"/>
    <x v="1"/>
    <n v="708"/>
  </r>
  <r>
    <x v="13"/>
    <x v="1"/>
    <x v="3"/>
    <n v="66"/>
  </r>
  <r>
    <x v="13"/>
    <x v="2"/>
    <x v="0"/>
    <n v="497"/>
  </r>
  <r>
    <x v="13"/>
    <x v="2"/>
    <x v="1"/>
    <n v="782"/>
  </r>
  <r>
    <x v="13"/>
    <x v="2"/>
    <x v="3"/>
    <n v="59"/>
  </r>
  <r>
    <x v="14"/>
    <x v="3"/>
    <x v="0"/>
    <n v="54"/>
  </r>
  <r>
    <x v="14"/>
    <x v="3"/>
    <x v="1"/>
    <n v="71"/>
  </r>
  <r>
    <x v="14"/>
    <x v="4"/>
    <x v="0"/>
    <n v="53"/>
  </r>
  <r>
    <x v="14"/>
    <x v="4"/>
    <x v="1"/>
    <n v="70"/>
  </r>
  <r>
    <x v="14"/>
    <x v="4"/>
    <x v="3"/>
    <n v="2"/>
  </r>
  <r>
    <x v="15"/>
    <x v="0"/>
    <x v="11"/>
    <n v="182"/>
  </r>
  <r>
    <x v="15"/>
    <x v="0"/>
    <x v="3"/>
    <n v="95"/>
  </r>
  <r>
    <x v="15"/>
    <x v="1"/>
    <x v="0"/>
    <n v="81"/>
  </r>
  <r>
    <x v="15"/>
    <x v="1"/>
    <x v="11"/>
    <n v="165"/>
  </r>
  <r>
    <x v="15"/>
    <x v="1"/>
    <x v="3"/>
    <n v="25"/>
  </r>
  <r>
    <x v="15"/>
    <x v="1"/>
    <x v="4"/>
    <n v="6"/>
  </r>
  <r>
    <x v="15"/>
    <x v="2"/>
    <x v="0"/>
    <n v="72"/>
  </r>
  <r>
    <x v="15"/>
    <x v="2"/>
    <x v="11"/>
    <n v="170"/>
  </r>
  <r>
    <x v="15"/>
    <x v="2"/>
    <x v="3"/>
    <n v="29"/>
  </r>
  <r>
    <x v="15"/>
    <x v="2"/>
    <x v="4"/>
    <n v="6"/>
  </r>
  <r>
    <x v="16"/>
    <x v="0"/>
    <x v="0"/>
    <n v="262"/>
  </r>
  <r>
    <x v="16"/>
    <x v="0"/>
    <x v="3"/>
    <n v="295"/>
  </r>
  <r>
    <x v="16"/>
    <x v="1"/>
    <x v="0"/>
    <n v="257"/>
  </r>
  <r>
    <x v="16"/>
    <x v="1"/>
    <x v="7"/>
    <n v="80"/>
  </r>
  <r>
    <x v="16"/>
    <x v="1"/>
    <x v="3"/>
    <n v="219"/>
  </r>
  <r>
    <x v="16"/>
    <x v="1"/>
    <x v="4"/>
    <n v="1"/>
  </r>
  <r>
    <x v="16"/>
    <x v="2"/>
    <x v="0"/>
    <n v="264"/>
  </r>
  <r>
    <x v="16"/>
    <x v="2"/>
    <x v="3"/>
    <n v="293"/>
  </r>
  <r>
    <x v="17"/>
    <x v="0"/>
    <x v="0"/>
    <n v="2038"/>
  </r>
  <r>
    <x v="17"/>
    <x v="0"/>
    <x v="12"/>
    <n v="3253"/>
  </r>
  <r>
    <x v="17"/>
    <x v="0"/>
    <x v="3"/>
    <n v="465"/>
  </r>
  <r>
    <x v="17"/>
    <x v="0"/>
    <x v="4"/>
    <n v="71"/>
  </r>
  <r>
    <x v="17"/>
    <x v="1"/>
    <x v="0"/>
    <n v="1950"/>
  </r>
  <r>
    <x v="17"/>
    <x v="1"/>
    <x v="7"/>
    <n v="227"/>
  </r>
  <r>
    <x v="17"/>
    <x v="1"/>
    <x v="12"/>
    <n v="3055"/>
  </r>
  <r>
    <x v="17"/>
    <x v="1"/>
    <x v="3"/>
    <n v="453"/>
  </r>
  <r>
    <x v="17"/>
    <x v="1"/>
    <x v="4"/>
    <n v="142"/>
  </r>
  <r>
    <x v="17"/>
    <x v="2"/>
    <x v="0"/>
    <n v="2144"/>
  </r>
  <r>
    <x v="17"/>
    <x v="2"/>
    <x v="12"/>
    <n v="2949"/>
  </r>
  <r>
    <x v="17"/>
    <x v="2"/>
    <x v="3"/>
    <n v="653"/>
  </r>
  <r>
    <x v="17"/>
    <x v="2"/>
    <x v="4"/>
    <n v="81"/>
  </r>
  <r>
    <x v="18"/>
    <x v="0"/>
    <x v="0"/>
    <n v="360"/>
  </r>
  <r>
    <x v="18"/>
    <x v="0"/>
    <x v="5"/>
    <n v="27"/>
  </r>
  <r>
    <x v="18"/>
    <x v="0"/>
    <x v="1"/>
    <n v="166"/>
  </r>
  <r>
    <x v="18"/>
    <x v="0"/>
    <x v="3"/>
    <n v="24"/>
  </r>
  <r>
    <x v="18"/>
    <x v="1"/>
    <x v="0"/>
    <n v="331"/>
  </r>
  <r>
    <x v="18"/>
    <x v="1"/>
    <x v="5"/>
    <n v="57"/>
  </r>
  <r>
    <x v="18"/>
    <x v="1"/>
    <x v="1"/>
    <n v="159"/>
  </r>
  <r>
    <x v="18"/>
    <x v="1"/>
    <x v="3"/>
    <n v="30"/>
  </r>
  <r>
    <x v="18"/>
    <x v="2"/>
    <x v="0"/>
    <n v="267"/>
  </r>
  <r>
    <x v="18"/>
    <x v="2"/>
    <x v="5"/>
    <n v="45"/>
  </r>
  <r>
    <x v="18"/>
    <x v="2"/>
    <x v="1"/>
    <n v="222"/>
  </r>
  <r>
    <x v="18"/>
    <x v="2"/>
    <x v="3"/>
    <n v="43"/>
  </r>
  <r>
    <x v="19"/>
    <x v="3"/>
    <x v="0"/>
    <n v="211"/>
  </r>
  <r>
    <x v="19"/>
    <x v="3"/>
    <x v="3"/>
    <n v="141"/>
  </r>
  <r>
    <x v="19"/>
    <x v="3"/>
    <x v="4"/>
    <n v="1"/>
  </r>
  <r>
    <x v="19"/>
    <x v="4"/>
    <x v="0"/>
    <n v="213"/>
  </r>
  <r>
    <x v="19"/>
    <x v="4"/>
    <x v="3"/>
    <n v="139"/>
  </r>
  <r>
    <x v="19"/>
    <x v="4"/>
    <x v="4"/>
    <n v="1"/>
  </r>
  <r>
    <x v="19"/>
    <x v="2"/>
    <x v="0"/>
    <n v="208"/>
  </r>
  <r>
    <x v="19"/>
    <x v="2"/>
    <x v="3"/>
    <n v="144"/>
  </r>
  <r>
    <x v="19"/>
    <x v="2"/>
    <x v="4"/>
    <n v="1"/>
  </r>
  <r>
    <x v="20"/>
    <x v="0"/>
    <x v="0"/>
    <n v="415"/>
  </r>
  <r>
    <x v="20"/>
    <x v="0"/>
    <x v="1"/>
    <n v="212"/>
  </r>
  <r>
    <x v="20"/>
    <x v="0"/>
    <x v="3"/>
    <n v="36"/>
  </r>
  <r>
    <x v="20"/>
    <x v="1"/>
    <x v="0"/>
    <n v="407"/>
  </r>
  <r>
    <x v="20"/>
    <x v="1"/>
    <x v="1"/>
    <n v="210"/>
  </r>
  <r>
    <x v="20"/>
    <x v="1"/>
    <x v="3"/>
    <n v="46"/>
  </r>
  <r>
    <x v="20"/>
    <x v="2"/>
    <x v="0"/>
    <n v="408"/>
  </r>
  <r>
    <x v="20"/>
    <x v="2"/>
    <x v="3"/>
    <n v="255"/>
  </r>
  <r>
    <x v="21"/>
    <x v="0"/>
    <x v="0"/>
    <n v="277"/>
  </r>
  <r>
    <x v="21"/>
    <x v="0"/>
    <x v="1"/>
    <n v="141"/>
  </r>
  <r>
    <x v="21"/>
    <x v="0"/>
    <x v="3"/>
    <n v="23"/>
  </r>
  <r>
    <x v="21"/>
    <x v="1"/>
    <x v="0"/>
    <n v="268"/>
  </r>
  <r>
    <x v="21"/>
    <x v="1"/>
    <x v="1"/>
    <n v="144"/>
  </r>
  <r>
    <x v="21"/>
    <x v="1"/>
    <x v="3"/>
    <n v="29"/>
  </r>
  <r>
    <x v="21"/>
    <x v="2"/>
    <x v="0"/>
    <n v="253"/>
  </r>
  <r>
    <x v="21"/>
    <x v="2"/>
    <x v="1"/>
    <n v="98"/>
  </r>
  <r>
    <x v="21"/>
    <x v="2"/>
    <x v="3"/>
    <n v="90"/>
  </r>
  <r>
    <x v="22"/>
    <x v="0"/>
    <x v="0"/>
    <n v="3307"/>
  </r>
  <r>
    <x v="22"/>
    <x v="0"/>
    <x v="5"/>
    <n v="53"/>
  </r>
  <r>
    <x v="22"/>
    <x v="0"/>
    <x v="7"/>
    <n v="360"/>
  </r>
  <r>
    <x v="22"/>
    <x v="0"/>
    <x v="1"/>
    <n v="2900"/>
  </r>
  <r>
    <x v="22"/>
    <x v="0"/>
    <x v="3"/>
    <n v="543"/>
  </r>
  <r>
    <x v="22"/>
    <x v="0"/>
    <x v="4"/>
    <n v="42"/>
  </r>
  <r>
    <x v="22"/>
    <x v="1"/>
    <x v="0"/>
    <n v="3275"/>
  </r>
  <r>
    <x v="22"/>
    <x v="1"/>
    <x v="5"/>
    <n v="55"/>
  </r>
  <r>
    <x v="22"/>
    <x v="1"/>
    <x v="7"/>
    <n v="354"/>
  </r>
  <r>
    <x v="22"/>
    <x v="1"/>
    <x v="1"/>
    <n v="2801"/>
  </r>
  <r>
    <x v="22"/>
    <x v="1"/>
    <x v="3"/>
    <n v="678"/>
  </r>
  <r>
    <x v="22"/>
    <x v="1"/>
    <x v="4"/>
    <n v="42"/>
  </r>
  <r>
    <x v="22"/>
    <x v="2"/>
    <x v="0"/>
    <n v="3250"/>
  </r>
  <r>
    <x v="22"/>
    <x v="2"/>
    <x v="7"/>
    <n v="346"/>
  </r>
  <r>
    <x v="22"/>
    <x v="2"/>
    <x v="1"/>
    <n v="2851"/>
  </r>
  <r>
    <x v="22"/>
    <x v="2"/>
    <x v="3"/>
    <n v="717"/>
  </r>
  <r>
    <x v="22"/>
    <x v="2"/>
    <x v="4"/>
    <n v="41"/>
  </r>
  <r>
    <x v="23"/>
    <x v="0"/>
    <x v="0"/>
    <n v="118"/>
  </r>
  <r>
    <x v="23"/>
    <x v="0"/>
    <x v="1"/>
    <n v="178"/>
  </r>
  <r>
    <x v="23"/>
    <x v="0"/>
    <x v="3"/>
    <n v="16"/>
  </r>
  <r>
    <x v="23"/>
    <x v="0"/>
    <x v="4"/>
    <n v="1"/>
  </r>
  <r>
    <x v="23"/>
    <x v="1"/>
    <x v="0"/>
    <n v="104"/>
  </r>
  <r>
    <x v="23"/>
    <x v="1"/>
    <x v="1"/>
    <n v="188"/>
  </r>
  <r>
    <x v="23"/>
    <x v="1"/>
    <x v="3"/>
    <n v="19"/>
  </r>
  <r>
    <x v="23"/>
    <x v="1"/>
    <x v="4"/>
    <n v="2"/>
  </r>
  <r>
    <x v="23"/>
    <x v="2"/>
    <x v="0"/>
    <n v="80"/>
  </r>
  <r>
    <x v="23"/>
    <x v="2"/>
    <x v="7"/>
    <n v="72"/>
  </r>
  <r>
    <x v="23"/>
    <x v="2"/>
    <x v="1"/>
    <n v="150"/>
  </r>
  <r>
    <x v="23"/>
    <x v="2"/>
    <x v="3"/>
    <n v="9"/>
  </r>
  <r>
    <x v="23"/>
    <x v="2"/>
    <x v="4"/>
    <n v="2"/>
  </r>
  <r>
    <x v="24"/>
    <x v="0"/>
    <x v="0"/>
    <n v="177"/>
  </r>
  <r>
    <x v="24"/>
    <x v="0"/>
    <x v="1"/>
    <n v="290"/>
  </r>
  <r>
    <x v="24"/>
    <x v="0"/>
    <x v="3"/>
    <n v="11"/>
  </r>
  <r>
    <x v="24"/>
    <x v="1"/>
    <x v="0"/>
    <n v="193"/>
  </r>
  <r>
    <x v="24"/>
    <x v="1"/>
    <x v="1"/>
    <n v="269"/>
  </r>
  <r>
    <x v="24"/>
    <x v="1"/>
    <x v="3"/>
    <n v="16"/>
  </r>
  <r>
    <x v="24"/>
    <x v="2"/>
    <x v="0"/>
    <n v="183"/>
  </r>
  <r>
    <x v="24"/>
    <x v="2"/>
    <x v="1"/>
    <n v="282"/>
  </r>
  <r>
    <x v="24"/>
    <x v="2"/>
    <x v="3"/>
    <n v="13"/>
  </r>
  <r>
    <x v="25"/>
    <x v="3"/>
    <x v="0"/>
    <n v="136"/>
  </r>
  <r>
    <x v="25"/>
    <x v="3"/>
    <x v="3"/>
    <n v="74"/>
  </r>
  <r>
    <x v="25"/>
    <x v="4"/>
    <x v="0"/>
    <n v="134"/>
  </r>
  <r>
    <x v="25"/>
    <x v="4"/>
    <x v="3"/>
    <n v="76"/>
  </r>
  <r>
    <x v="26"/>
    <x v="0"/>
    <x v="0"/>
    <n v="1022"/>
  </r>
  <r>
    <x v="26"/>
    <x v="0"/>
    <x v="1"/>
    <n v="963"/>
  </r>
  <r>
    <x v="26"/>
    <x v="0"/>
    <x v="3"/>
    <n v="135"/>
  </r>
  <r>
    <x v="26"/>
    <x v="0"/>
    <x v="4"/>
    <n v="4"/>
  </r>
  <r>
    <x v="26"/>
    <x v="1"/>
    <x v="0"/>
    <n v="1038"/>
  </r>
  <r>
    <x v="26"/>
    <x v="1"/>
    <x v="1"/>
    <n v="935"/>
  </r>
  <r>
    <x v="26"/>
    <x v="1"/>
    <x v="3"/>
    <n v="147"/>
  </r>
  <r>
    <x v="26"/>
    <x v="1"/>
    <x v="4"/>
    <n v="4"/>
  </r>
  <r>
    <x v="26"/>
    <x v="2"/>
    <x v="0"/>
    <n v="995"/>
  </r>
  <r>
    <x v="26"/>
    <x v="2"/>
    <x v="1"/>
    <n v="944"/>
  </r>
  <r>
    <x v="26"/>
    <x v="2"/>
    <x v="3"/>
    <n v="181"/>
  </r>
  <r>
    <x v="26"/>
    <x v="2"/>
    <x v="4"/>
    <n v="4"/>
  </r>
  <r>
    <x v="27"/>
    <x v="3"/>
    <x v="0"/>
    <n v="213"/>
  </r>
  <r>
    <x v="27"/>
    <x v="3"/>
    <x v="1"/>
    <n v="44"/>
  </r>
  <r>
    <x v="27"/>
    <x v="3"/>
    <x v="3"/>
    <n v="5"/>
  </r>
  <r>
    <x v="27"/>
    <x v="3"/>
    <x v="4"/>
    <n v="6"/>
  </r>
  <r>
    <x v="27"/>
    <x v="4"/>
    <x v="0"/>
    <n v="211"/>
  </r>
  <r>
    <x v="27"/>
    <x v="4"/>
    <x v="1"/>
    <n v="45"/>
  </r>
  <r>
    <x v="27"/>
    <x v="4"/>
    <x v="3"/>
    <n v="6"/>
  </r>
  <r>
    <x v="27"/>
    <x v="4"/>
    <x v="4"/>
    <n v="6"/>
  </r>
  <r>
    <x v="28"/>
    <x v="0"/>
    <x v="0"/>
    <n v="255"/>
  </r>
  <r>
    <x v="28"/>
    <x v="0"/>
    <x v="7"/>
    <n v="166"/>
  </r>
  <r>
    <x v="28"/>
    <x v="0"/>
    <x v="3"/>
    <n v="8"/>
  </r>
  <r>
    <x v="28"/>
    <x v="0"/>
    <x v="4"/>
    <n v="1"/>
  </r>
  <r>
    <x v="28"/>
    <x v="1"/>
    <x v="0"/>
    <n v="249"/>
  </r>
  <r>
    <x v="28"/>
    <x v="1"/>
    <x v="7"/>
    <n v="149"/>
  </r>
  <r>
    <x v="28"/>
    <x v="1"/>
    <x v="3"/>
    <n v="31"/>
  </r>
  <r>
    <x v="28"/>
    <x v="1"/>
    <x v="4"/>
    <n v="1"/>
  </r>
  <r>
    <x v="28"/>
    <x v="2"/>
    <x v="0"/>
    <n v="253"/>
  </r>
  <r>
    <x v="28"/>
    <x v="2"/>
    <x v="7"/>
    <n v="116"/>
  </r>
  <r>
    <x v="28"/>
    <x v="2"/>
    <x v="3"/>
    <n v="60"/>
  </r>
  <r>
    <x v="28"/>
    <x v="2"/>
    <x v="4"/>
    <n v="1"/>
  </r>
  <r>
    <x v="29"/>
    <x v="0"/>
    <x v="0"/>
    <n v="881"/>
  </r>
  <r>
    <x v="29"/>
    <x v="0"/>
    <x v="1"/>
    <n v="763"/>
  </r>
  <r>
    <x v="29"/>
    <x v="0"/>
    <x v="3"/>
    <n v="27"/>
  </r>
  <r>
    <x v="29"/>
    <x v="1"/>
    <x v="0"/>
    <n v="845"/>
  </r>
  <r>
    <x v="29"/>
    <x v="1"/>
    <x v="1"/>
    <n v="768"/>
  </r>
  <r>
    <x v="29"/>
    <x v="1"/>
    <x v="3"/>
    <n v="58"/>
  </r>
  <r>
    <x v="29"/>
    <x v="2"/>
    <x v="0"/>
    <n v="883"/>
  </r>
  <r>
    <x v="29"/>
    <x v="2"/>
    <x v="1"/>
    <n v="746"/>
  </r>
  <r>
    <x v="29"/>
    <x v="2"/>
    <x v="3"/>
    <n v="42"/>
  </r>
  <r>
    <x v="30"/>
    <x v="0"/>
    <x v="0"/>
    <n v="184"/>
  </r>
  <r>
    <x v="30"/>
    <x v="0"/>
    <x v="1"/>
    <n v="609"/>
  </r>
  <r>
    <x v="30"/>
    <x v="0"/>
    <x v="3"/>
    <n v="35"/>
  </r>
  <r>
    <x v="30"/>
    <x v="0"/>
    <x v="4"/>
    <n v="4"/>
  </r>
  <r>
    <x v="30"/>
    <x v="1"/>
    <x v="0"/>
    <n v="268"/>
  </r>
  <r>
    <x v="30"/>
    <x v="1"/>
    <x v="1"/>
    <n v="504"/>
  </r>
  <r>
    <x v="30"/>
    <x v="1"/>
    <x v="3"/>
    <n v="57"/>
  </r>
  <r>
    <x v="30"/>
    <x v="1"/>
    <x v="4"/>
    <n v="3"/>
  </r>
  <r>
    <x v="30"/>
    <x v="2"/>
    <x v="0"/>
    <n v="209"/>
  </r>
  <r>
    <x v="30"/>
    <x v="2"/>
    <x v="1"/>
    <n v="550"/>
  </r>
  <r>
    <x v="30"/>
    <x v="2"/>
    <x v="3"/>
    <n v="73"/>
  </r>
  <r>
    <x v="31"/>
    <x v="0"/>
    <x v="0"/>
    <n v="759"/>
  </r>
  <r>
    <x v="31"/>
    <x v="0"/>
    <x v="7"/>
    <n v="365"/>
  </r>
  <r>
    <x v="31"/>
    <x v="0"/>
    <x v="1"/>
    <n v="1807"/>
  </r>
  <r>
    <x v="31"/>
    <x v="0"/>
    <x v="3"/>
    <n v="153"/>
  </r>
  <r>
    <x v="31"/>
    <x v="1"/>
    <x v="0"/>
    <n v="707"/>
  </r>
  <r>
    <x v="31"/>
    <x v="1"/>
    <x v="7"/>
    <n v="341"/>
  </r>
  <r>
    <x v="31"/>
    <x v="1"/>
    <x v="1"/>
    <n v="1740"/>
  </r>
  <r>
    <x v="31"/>
    <x v="1"/>
    <x v="9"/>
    <n v="99"/>
  </r>
  <r>
    <x v="31"/>
    <x v="1"/>
    <x v="3"/>
    <n v="197"/>
  </r>
  <r>
    <x v="31"/>
    <x v="2"/>
    <x v="0"/>
    <n v="662"/>
  </r>
  <r>
    <x v="31"/>
    <x v="2"/>
    <x v="7"/>
    <n v="519"/>
  </r>
  <r>
    <x v="31"/>
    <x v="2"/>
    <x v="1"/>
    <n v="1654"/>
  </r>
  <r>
    <x v="31"/>
    <x v="2"/>
    <x v="3"/>
    <n v="249"/>
  </r>
  <r>
    <x v="32"/>
    <x v="3"/>
    <x v="0"/>
    <n v="36"/>
  </r>
  <r>
    <x v="32"/>
    <x v="3"/>
    <x v="3"/>
    <n v="16"/>
  </r>
  <r>
    <x v="32"/>
    <x v="4"/>
    <x v="0"/>
    <n v="36"/>
  </r>
  <r>
    <x v="32"/>
    <x v="4"/>
    <x v="3"/>
    <n v="16"/>
  </r>
  <r>
    <x v="33"/>
    <x v="0"/>
    <x v="0"/>
    <n v="153"/>
  </r>
  <r>
    <x v="33"/>
    <x v="0"/>
    <x v="1"/>
    <n v="253"/>
  </r>
  <r>
    <x v="33"/>
    <x v="0"/>
    <x v="3"/>
    <n v="15"/>
  </r>
  <r>
    <x v="33"/>
    <x v="1"/>
    <x v="0"/>
    <n v="123"/>
  </r>
  <r>
    <x v="33"/>
    <x v="1"/>
    <x v="1"/>
    <n v="273"/>
  </r>
  <r>
    <x v="33"/>
    <x v="1"/>
    <x v="3"/>
    <n v="25"/>
  </r>
  <r>
    <x v="33"/>
    <x v="2"/>
    <x v="0"/>
    <n v="122"/>
  </r>
  <r>
    <x v="33"/>
    <x v="2"/>
    <x v="1"/>
    <n v="284"/>
  </r>
  <r>
    <x v="33"/>
    <x v="2"/>
    <x v="3"/>
    <n v="15"/>
  </r>
  <r>
    <x v="34"/>
    <x v="0"/>
    <x v="0"/>
    <n v="672"/>
  </r>
  <r>
    <x v="34"/>
    <x v="0"/>
    <x v="1"/>
    <n v="609"/>
  </r>
  <r>
    <x v="34"/>
    <x v="0"/>
    <x v="3"/>
    <n v="81"/>
  </r>
  <r>
    <x v="34"/>
    <x v="1"/>
    <x v="0"/>
    <n v="675"/>
  </r>
  <r>
    <x v="34"/>
    <x v="1"/>
    <x v="1"/>
    <n v="587"/>
  </r>
  <r>
    <x v="34"/>
    <x v="1"/>
    <x v="3"/>
    <n v="100"/>
  </r>
  <r>
    <x v="34"/>
    <x v="2"/>
    <x v="0"/>
    <n v="614"/>
  </r>
  <r>
    <x v="34"/>
    <x v="2"/>
    <x v="1"/>
    <n v="627"/>
  </r>
  <r>
    <x v="34"/>
    <x v="2"/>
    <x v="3"/>
    <n v="121"/>
  </r>
  <r>
    <x v="35"/>
    <x v="0"/>
    <x v="0"/>
    <n v="171"/>
  </r>
  <r>
    <x v="35"/>
    <x v="0"/>
    <x v="1"/>
    <n v="171"/>
  </r>
  <r>
    <x v="35"/>
    <x v="0"/>
    <x v="3"/>
    <n v="10"/>
  </r>
  <r>
    <x v="35"/>
    <x v="0"/>
    <x v="4"/>
    <n v="9"/>
  </r>
  <r>
    <x v="35"/>
    <x v="1"/>
    <x v="0"/>
    <n v="167"/>
  </r>
  <r>
    <x v="35"/>
    <x v="1"/>
    <x v="1"/>
    <n v="170"/>
  </r>
  <r>
    <x v="35"/>
    <x v="1"/>
    <x v="3"/>
    <n v="16"/>
  </r>
  <r>
    <x v="35"/>
    <x v="1"/>
    <x v="4"/>
    <n v="8"/>
  </r>
  <r>
    <x v="35"/>
    <x v="2"/>
    <x v="0"/>
    <n v="166"/>
  </r>
  <r>
    <x v="35"/>
    <x v="2"/>
    <x v="1"/>
    <n v="162"/>
  </r>
  <r>
    <x v="35"/>
    <x v="2"/>
    <x v="3"/>
    <n v="25"/>
  </r>
  <r>
    <x v="35"/>
    <x v="2"/>
    <x v="4"/>
    <n v="8"/>
  </r>
  <r>
    <x v="36"/>
    <x v="0"/>
    <x v="0"/>
    <n v="1061"/>
  </r>
  <r>
    <x v="36"/>
    <x v="0"/>
    <x v="1"/>
    <n v="889"/>
  </r>
  <r>
    <x v="36"/>
    <x v="0"/>
    <x v="3"/>
    <n v="153"/>
  </r>
  <r>
    <x v="36"/>
    <x v="0"/>
    <x v="4"/>
    <n v="10"/>
  </r>
  <r>
    <x v="36"/>
    <x v="1"/>
    <x v="0"/>
    <n v="969"/>
  </r>
  <r>
    <x v="36"/>
    <x v="1"/>
    <x v="1"/>
    <n v="968"/>
  </r>
  <r>
    <x v="36"/>
    <x v="1"/>
    <x v="3"/>
    <n v="166"/>
  </r>
  <r>
    <x v="36"/>
    <x v="1"/>
    <x v="4"/>
    <n v="10"/>
  </r>
  <r>
    <x v="36"/>
    <x v="2"/>
    <x v="0"/>
    <n v="928"/>
  </r>
  <r>
    <x v="36"/>
    <x v="2"/>
    <x v="1"/>
    <n v="997"/>
  </r>
  <r>
    <x v="36"/>
    <x v="2"/>
    <x v="3"/>
    <n v="178"/>
  </r>
  <r>
    <x v="36"/>
    <x v="2"/>
    <x v="4"/>
    <n v="10"/>
  </r>
  <r>
    <x v="37"/>
    <x v="0"/>
    <x v="0"/>
    <n v="776"/>
  </r>
  <r>
    <x v="37"/>
    <x v="0"/>
    <x v="1"/>
    <n v="380"/>
  </r>
  <r>
    <x v="37"/>
    <x v="0"/>
    <x v="13"/>
    <n v="770"/>
  </r>
  <r>
    <x v="37"/>
    <x v="0"/>
    <x v="3"/>
    <n v="122"/>
  </r>
  <r>
    <x v="37"/>
    <x v="0"/>
    <x v="4"/>
    <n v="8"/>
  </r>
  <r>
    <x v="37"/>
    <x v="1"/>
    <x v="0"/>
    <n v="774"/>
  </r>
  <r>
    <x v="37"/>
    <x v="1"/>
    <x v="1"/>
    <n v="395"/>
  </r>
  <r>
    <x v="37"/>
    <x v="1"/>
    <x v="13"/>
    <n v="696"/>
  </r>
  <r>
    <x v="37"/>
    <x v="1"/>
    <x v="3"/>
    <n v="181"/>
  </r>
  <r>
    <x v="37"/>
    <x v="1"/>
    <x v="4"/>
    <n v="10"/>
  </r>
  <r>
    <x v="37"/>
    <x v="2"/>
    <x v="0"/>
    <n v="817"/>
  </r>
  <r>
    <x v="37"/>
    <x v="2"/>
    <x v="1"/>
    <n v="404"/>
  </r>
  <r>
    <x v="37"/>
    <x v="2"/>
    <x v="13"/>
    <n v="671"/>
  </r>
  <r>
    <x v="37"/>
    <x v="2"/>
    <x v="3"/>
    <n v="156"/>
  </r>
  <r>
    <x v="37"/>
    <x v="2"/>
    <x v="4"/>
    <n v="8"/>
  </r>
  <r>
    <x v="38"/>
    <x v="0"/>
    <x v="0"/>
    <n v="154"/>
  </r>
  <r>
    <x v="38"/>
    <x v="0"/>
    <x v="1"/>
    <n v="137"/>
  </r>
  <r>
    <x v="38"/>
    <x v="0"/>
    <x v="3"/>
    <n v="10"/>
  </r>
  <r>
    <x v="38"/>
    <x v="1"/>
    <x v="0"/>
    <n v="148"/>
  </r>
  <r>
    <x v="38"/>
    <x v="1"/>
    <x v="1"/>
    <n v="126"/>
  </r>
  <r>
    <x v="38"/>
    <x v="1"/>
    <x v="3"/>
    <n v="27"/>
  </r>
  <r>
    <x v="38"/>
    <x v="2"/>
    <x v="0"/>
    <n v="142"/>
  </r>
  <r>
    <x v="38"/>
    <x v="2"/>
    <x v="1"/>
    <n v="123"/>
  </r>
  <r>
    <x v="38"/>
    <x v="2"/>
    <x v="3"/>
    <n v="36"/>
  </r>
  <r>
    <x v="39"/>
    <x v="3"/>
    <x v="0"/>
    <n v="105"/>
  </r>
  <r>
    <x v="39"/>
    <x v="3"/>
    <x v="3"/>
    <n v="5"/>
  </r>
  <r>
    <x v="39"/>
    <x v="4"/>
    <x v="0"/>
    <n v="97"/>
  </r>
  <r>
    <x v="39"/>
    <x v="4"/>
    <x v="3"/>
    <n v="13"/>
  </r>
  <r>
    <x v="40"/>
    <x v="0"/>
    <x v="0"/>
    <n v="393"/>
  </r>
  <r>
    <x v="40"/>
    <x v="0"/>
    <x v="1"/>
    <n v="188"/>
  </r>
  <r>
    <x v="40"/>
    <x v="0"/>
    <x v="3"/>
    <n v="17"/>
  </r>
  <r>
    <x v="40"/>
    <x v="0"/>
    <x v="4"/>
    <n v="1"/>
  </r>
  <r>
    <x v="40"/>
    <x v="1"/>
    <x v="0"/>
    <n v="367"/>
  </r>
  <r>
    <x v="40"/>
    <x v="1"/>
    <x v="1"/>
    <n v="188"/>
  </r>
  <r>
    <x v="40"/>
    <x v="1"/>
    <x v="3"/>
    <n v="43"/>
  </r>
  <r>
    <x v="40"/>
    <x v="1"/>
    <x v="4"/>
    <n v="1"/>
  </r>
  <r>
    <x v="40"/>
    <x v="2"/>
    <x v="0"/>
    <n v="368"/>
  </r>
  <r>
    <x v="40"/>
    <x v="2"/>
    <x v="1"/>
    <n v="195"/>
  </r>
  <r>
    <x v="40"/>
    <x v="2"/>
    <x v="3"/>
    <n v="35"/>
  </r>
  <r>
    <x v="40"/>
    <x v="2"/>
    <x v="4"/>
    <n v="1"/>
  </r>
  <r>
    <x v="41"/>
    <x v="0"/>
    <x v="0"/>
    <n v="626"/>
  </r>
  <r>
    <x v="41"/>
    <x v="0"/>
    <x v="1"/>
    <n v="369"/>
  </r>
  <r>
    <x v="41"/>
    <x v="0"/>
    <x v="3"/>
    <n v="52"/>
  </r>
  <r>
    <x v="41"/>
    <x v="1"/>
    <x v="0"/>
    <n v="614"/>
  </r>
  <r>
    <x v="41"/>
    <x v="1"/>
    <x v="1"/>
    <n v="341"/>
  </r>
  <r>
    <x v="41"/>
    <x v="1"/>
    <x v="3"/>
    <n v="92"/>
  </r>
  <r>
    <x v="41"/>
    <x v="2"/>
    <x v="0"/>
    <n v="627"/>
  </r>
  <r>
    <x v="41"/>
    <x v="2"/>
    <x v="1"/>
    <n v="336"/>
  </r>
  <r>
    <x v="41"/>
    <x v="2"/>
    <x v="3"/>
    <n v="84"/>
  </r>
  <r>
    <x v="42"/>
    <x v="0"/>
    <x v="0"/>
    <n v="1582"/>
  </r>
  <r>
    <x v="42"/>
    <x v="0"/>
    <x v="14"/>
    <n v="2790"/>
  </r>
  <r>
    <x v="42"/>
    <x v="0"/>
    <x v="3"/>
    <n v="188"/>
  </r>
  <r>
    <x v="42"/>
    <x v="0"/>
    <x v="4"/>
    <n v="43"/>
  </r>
  <r>
    <x v="42"/>
    <x v="1"/>
    <x v="0"/>
    <n v="1519"/>
  </r>
  <r>
    <x v="42"/>
    <x v="1"/>
    <x v="14"/>
    <n v="2699"/>
  </r>
  <r>
    <x v="42"/>
    <x v="1"/>
    <x v="3"/>
    <n v="321"/>
  </r>
  <r>
    <x v="42"/>
    <x v="1"/>
    <x v="4"/>
    <n v="64"/>
  </r>
  <r>
    <x v="42"/>
    <x v="2"/>
    <x v="0"/>
    <n v="1533"/>
  </r>
  <r>
    <x v="42"/>
    <x v="2"/>
    <x v="14"/>
    <n v="2716"/>
  </r>
  <r>
    <x v="42"/>
    <x v="2"/>
    <x v="3"/>
    <n v="302"/>
  </r>
  <r>
    <x v="42"/>
    <x v="2"/>
    <x v="4"/>
    <n v="52"/>
  </r>
  <r>
    <x v="43"/>
    <x v="3"/>
    <x v="0"/>
    <n v="135"/>
  </r>
  <r>
    <x v="43"/>
    <x v="3"/>
    <x v="1"/>
    <n v="78"/>
  </r>
  <r>
    <x v="43"/>
    <x v="3"/>
    <x v="3"/>
    <n v="4"/>
  </r>
  <r>
    <x v="43"/>
    <x v="4"/>
    <x v="0"/>
    <n v="137"/>
  </r>
  <r>
    <x v="43"/>
    <x v="4"/>
    <x v="1"/>
    <n v="77"/>
  </r>
  <r>
    <x v="43"/>
    <x v="4"/>
    <x v="3"/>
    <n v="3"/>
  </r>
  <r>
    <x v="43"/>
    <x v="2"/>
    <x v="0"/>
    <n v="147"/>
  </r>
  <r>
    <x v="43"/>
    <x v="2"/>
    <x v="1"/>
    <n v="66"/>
  </r>
  <r>
    <x v="43"/>
    <x v="2"/>
    <x v="3"/>
    <n v="4"/>
  </r>
  <r>
    <x v="44"/>
    <x v="3"/>
    <x v="0"/>
    <n v="141"/>
  </r>
  <r>
    <x v="44"/>
    <x v="3"/>
    <x v="1"/>
    <n v="82"/>
  </r>
  <r>
    <x v="44"/>
    <x v="3"/>
    <x v="3"/>
    <n v="6"/>
  </r>
  <r>
    <x v="44"/>
    <x v="4"/>
    <x v="0"/>
    <n v="141"/>
  </r>
  <r>
    <x v="44"/>
    <x v="4"/>
    <x v="1"/>
    <n v="82"/>
  </r>
  <r>
    <x v="44"/>
    <x v="4"/>
    <x v="3"/>
    <n v="6"/>
  </r>
  <r>
    <x v="45"/>
    <x v="3"/>
    <x v="0"/>
    <n v="105"/>
  </r>
  <r>
    <x v="45"/>
    <x v="3"/>
    <x v="3"/>
    <n v="30"/>
  </r>
  <r>
    <x v="45"/>
    <x v="4"/>
    <x v="0"/>
    <n v="102"/>
  </r>
  <r>
    <x v="45"/>
    <x v="4"/>
    <x v="3"/>
    <n v="33"/>
  </r>
  <r>
    <x v="45"/>
    <x v="2"/>
    <x v="0"/>
    <n v="105"/>
  </r>
  <r>
    <x v="45"/>
    <x v="2"/>
    <x v="3"/>
    <n v="30"/>
  </r>
  <r>
    <x v="46"/>
    <x v="3"/>
    <x v="0"/>
    <n v="167"/>
  </r>
  <r>
    <x v="46"/>
    <x v="3"/>
    <x v="1"/>
    <n v="119"/>
  </r>
  <r>
    <x v="46"/>
    <x v="3"/>
    <x v="3"/>
    <n v="15"/>
  </r>
  <r>
    <x v="46"/>
    <x v="3"/>
    <x v="4"/>
    <n v="1"/>
  </r>
  <r>
    <x v="46"/>
    <x v="4"/>
    <x v="0"/>
    <n v="161"/>
  </r>
  <r>
    <x v="46"/>
    <x v="4"/>
    <x v="1"/>
    <n v="120"/>
  </r>
  <r>
    <x v="46"/>
    <x v="4"/>
    <x v="3"/>
    <n v="20"/>
  </r>
  <r>
    <x v="46"/>
    <x v="4"/>
    <x v="4"/>
    <n v="1"/>
  </r>
  <r>
    <x v="47"/>
    <x v="3"/>
    <x v="0"/>
    <n v="237"/>
  </r>
  <r>
    <x v="47"/>
    <x v="3"/>
    <x v="7"/>
    <n v="93"/>
  </r>
  <r>
    <x v="47"/>
    <x v="3"/>
    <x v="1"/>
    <n v="87"/>
  </r>
  <r>
    <x v="47"/>
    <x v="3"/>
    <x v="3"/>
    <n v="13"/>
  </r>
  <r>
    <x v="47"/>
    <x v="3"/>
    <x v="4"/>
    <n v="1"/>
  </r>
  <r>
    <x v="47"/>
    <x v="4"/>
    <x v="0"/>
    <n v="228"/>
  </r>
  <r>
    <x v="47"/>
    <x v="4"/>
    <x v="7"/>
    <n v="93"/>
  </r>
  <r>
    <x v="47"/>
    <x v="4"/>
    <x v="1"/>
    <n v="88"/>
  </r>
  <r>
    <x v="47"/>
    <x v="4"/>
    <x v="3"/>
    <n v="21"/>
  </r>
  <r>
    <x v="47"/>
    <x v="4"/>
    <x v="4"/>
    <n v="1"/>
  </r>
  <r>
    <x v="48"/>
    <x v="0"/>
    <x v="0"/>
    <n v="17500"/>
  </r>
  <r>
    <x v="48"/>
    <x v="0"/>
    <x v="6"/>
    <n v="548"/>
  </r>
  <r>
    <x v="48"/>
    <x v="0"/>
    <x v="5"/>
    <n v="696"/>
  </r>
  <r>
    <x v="48"/>
    <x v="0"/>
    <x v="7"/>
    <n v="3532"/>
  </r>
  <r>
    <x v="48"/>
    <x v="0"/>
    <x v="1"/>
    <n v="8914"/>
  </r>
  <r>
    <x v="48"/>
    <x v="0"/>
    <x v="8"/>
    <n v="486"/>
  </r>
  <r>
    <x v="48"/>
    <x v="0"/>
    <x v="9"/>
    <n v="2232"/>
  </r>
  <r>
    <x v="48"/>
    <x v="0"/>
    <x v="3"/>
    <n v="5458"/>
  </r>
  <r>
    <x v="48"/>
    <x v="0"/>
    <x v="4"/>
    <n v="393"/>
  </r>
  <r>
    <x v="48"/>
    <x v="1"/>
    <x v="0"/>
    <n v="16966"/>
  </r>
  <r>
    <x v="48"/>
    <x v="1"/>
    <x v="6"/>
    <n v="474"/>
  </r>
  <r>
    <x v="48"/>
    <x v="1"/>
    <x v="5"/>
    <n v="746"/>
  </r>
  <r>
    <x v="48"/>
    <x v="1"/>
    <x v="7"/>
    <n v="3587"/>
  </r>
  <r>
    <x v="48"/>
    <x v="1"/>
    <x v="1"/>
    <n v="8605"/>
  </r>
  <r>
    <x v="48"/>
    <x v="1"/>
    <x v="8"/>
    <n v="511"/>
  </r>
  <r>
    <x v="48"/>
    <x v="1"/>
    <x v="9"/>
    <n v="2262"/>
  </r>
  <r>
    <x v="48"/>
    <x v="1"/>
    <x v="3"/>
    <n v="6220"/>
  </r>
  <r>
    <x v="48"/>
    <x v="1"/>
    <x v="4"/>
    <n v="388"/>
  </r>
  <r>
    <x v="48"/>
    <x v="2"/>
    <x v="0"/>
    <n v="16708"/>
  </r>
  <r>
    <x v="48"/>
    <x v="2"/>
    <x v="5"/>
    <n v="740"/>
  </r>
  <r>
    <x v="48"/>
    <x v="2"/>
    <x v="7"/>
    <n v="3595"/>
  </r>
  <r>
    <x v="48"/>
    <x v="2"/>
    <x v="1"/>
    <n v="8549"/>
  </r>
  <r>
    <x v="48"/>
    <x v="2"/>
    <x v="8"/>
    <n v="631"/>
  </r>
  <r>
    <x v="48"/>
    <x v="2"/>
    <x v="9"/>
    <n v="2343"/>
  </r>
  <r>
    <x v="48"/>
    <x v="2"/>
    <x v="3"/>
    <n v="6819"/>
  </r>
  <r>
    <x v="48"/>
    <x v="2"/>
    <x v="4"/>
    <n v="374"/>
  </r>
  <r>
    <x v="49"/>
    <x v="3"/>
    <x v="0"/>
    <n v="272"/>
  </r>
  <r>
    <x v="49"/>
    <x v="3"/>
    <x v="1"/>
    <n v="72"/>
  </r>
  <r>
    <x v="49"/>
    <x v="3"/>
    <x v="3"/>
    <n v="31"/>
  </r>
  <r>
    <x v="49"/>
    <x v="3"/>
    <x v="4"/>
    <n v="3"/>
  </r>
  <r>
    <x v="49"/>
    <x v="4"/>
    <x v="0"/>
    <n v="258"/>
  </r>
  <r>
    <x v="49"/>
    <x v="4"/>
    <x v="1"/>
    <n v="74"/>
  </r>
  <r>
    <x v="49"/>
    <x v="4"/>
    <x v="3"/>
    <n v="43"/>
  </r>
  <r>
    <x v="49"/>
    <x v="4"/>
    <x v="4"/>
    <n v="3"/>
  </r>
  <r>
    <x v="50"/>
    <x v="0"/>
    <x v="0"/>
    <n v="2903"/>
  </r>
  <r>
    <x v="50"/>
    <x v="0"/>
    <x v="7"/>
    <n v="244"/>
  </r>
  <r>
    <x v="50"/>
    <x v="0"/>
    <x v="1"/>
    <n v="561"/>
  </r>
  <r>
    <x v="50"/>
    <x v="0"/>
    <x v="15"/>
    <n v="1613"/>
  </r>
  <r>
    <x v="50"/>
    <x v="0"/>
    <x v="16"/>
    <n v="122"/>
  </r>
  <r>
    <x v="50"/>
    <x v="0"/>
    <x v="9"/>
    <n v="226"/>
  </r>
  <r>
    <x v="50"/>
    <x v="0"/>
    <x v="3"/>
    <n v="266"/>
  </r>
  <r>
    <x v="50"/>
    <x v="0"/>
    <x v="4"/>
    <n v="57"/>
  </r>
  <r>
    <x v="50"/>
    <x v="1"/>
    <x v="0"/>
    <n v="2640"/>
  </r>
  <r>
    <x v="50"/>
    <x v="1"/>
    <x v="5"/>
    <n v="27"/>
  </r>
  <r>
    <x v="50"/>
    <x v="1"/>
    <x v="7"/>
    <n v="282"/>
  </r>
  <r>
    <x v="50"/>
    <x v="1"/>
    <x v="1"/>
    <n v="727"/>
  </r>
  <r>
    <x v="50"/>
    <x v="1"/>
    <x v="15"/>
    <n v="1513"/>
  </r>
  <r>
    <x v="50"/>
    <x v="1"/>
    <x v="16"/>
    <n v="118"/>
  </r>
  <r>
    <x v="50"/>
    <x v="1"/>
    <x v="9"/>
    <n v="251"/>
  </r>
  <r>
    <x v="50"/>
    <x v="1"/>
    <x v="3"/>
    <n v="365"/>
  </r>
  <r>
    <x v="50"/>
    <x v="1"/>
    <x v="4"/>
    <n v="69"/>
  </r>
  <r>
    <x v="50"/>
    <x v="2"/>
    <x v="0"/>
    <n v="2601"/>
  </r>
  <r>
    <x v="50"/>
    <x v="2"/>
    <x v="7"/>
    <n v="315"/>
  </r>
  <r>
    <x v="50"/>
    <x v="2"/>
    <x v="1"/>
    <n v="747"/>
  </r>
  <r>
    <x v="50"/>
    <x v="2"/>
    <x v="15"/>
    <n v="1401"/>
  </r>
  <r>
    <x v="50"/>
    <x v="2"/>
    <x v="16"/>
    <n v="115"/>
  </r>
  <r>
    <x v="50"/>
    <x v="2"/>
    <x v="9"/>
    <n v="293"/>
  </r>
  <r>
    <x v="50"/>
    <x v="2"/>
    <x v="3"/>
    <n v="453"/>
  </r>
  <r>
    <x v="50"/>
    <x v="2"/>
    <x v="4"/>
    <n v="67"/>
  </r>
  <r>
    <x v="51"/>
    <x v="0"/>
    <x v="0"/>
    <n v="275"/>
  </r>
  <r>
    <x v="51"/>
    <x v="0"/>
    <x v="1"/>
    <n v="243"/>
  </r>
  <r>
    <x v="51"/>
    <x v="0"/>
    <x v="3"/>
    <n v="27"/>
  </r>
  <r>
    <x v="51"/>
    <x v="0"/>
    <x v="4"/>
    <n v="1"/>
  </r>
  <r>
    <x v="51"/>
    <x v="1"/>
    <x v="0"/>
    <n v="267"/>
  </r>
  <r>
    <x v="51"/>
    <x v="1"/>
    <x v="7"/>
    <n v="20"/>
  </r>
  <r>
    <x v="51"/>
    <x v="1"/>
    <x v="1"/>
    <n v="233"/>
  </r>
  <r>
    <x v="51"/>
    <x v="1"/>
    <x v="3"/>
    <n v="23"/>
  </r>
  <r>
    <x v="51"/>
    <x v="1"/>
    <x v="4"/>
    <n v="3"/>
  </r>
  <r>
    <x v="51"/>
    <x v="2"/>
    <x v="0"/>
    <n v="279"/>
  </r>
  <r>
    <x v="51"/>
    <x v="2"/>
    <x v="1"/>
    <n v="231"/>
  </r>
  <r>
    <x v="51"/>
    <x v="2"/>
    <x v="3"/>
    <n v="35"/>
  </r>
  <r>
    <x v="51"/>
    <x v="2"/>
    <x v="4"/>
    <n v="1"/>
  </r>
  <r>
    <x v="52"/>
    <x v="0"/>
    <x v="0"/>
    <n v="1310"/>
  </r>
  <r>
    <x v="52"/>
    <x v="0"/>
    <x v="1"/>
    <n v="848"/>
  </r>
  <r>
    <x v="52"/>
    <x v="0"/>
    <x v="3"/>
    <n v="117"/>
  </r>
  <r>
    <x v="52"/>
    <x v="0"/>
    <x v="4"/>
    <n v="2"/>
  </r>
  <r>
    <x v="52"/>
    <x v="1"/>
    <x v="0"/>
    <n v="1245"/>
  </r>
  <r>
    <x v="52"/>
    <x v="1"/>
    <x v="1"/>
    <n v="855"/>
  </r>
  <r>
    <x v="52"/>
    <x v="1"/>
    <x v="3"/>
    <n v="174"/>
  </r>
  <r>
    <x v="52"/>
    <x v="1"/>
    <x v="4"/>
    <n v="3"/>
  </r>
  <r>
    <x v="52"/>
    <x v="2"/>
    <x v="0"/>
    <n v="1038"/>
  </r>
  <r>
    <x v="52"/>
    <x v="2"/>
    <x v="1"/>
    <n v="1043"/>
  </r>
  <r>
    <x v="52"/>
    <x v="2"/>
    <x v="3"/>
    <n v="193"/>
  </r>
  <r>
    <x v="52"/>
    <x v="2"/>
    <x v="4"/>
    <n v="3"/>
  </r>
  <r>
    <x v="53"/>
    <x v="0"/>
    <x v="0"/>
    <n v="351"/>
  </r>
  <r>
    <x v="53"/>
    <x v="0"/>
    <x v="1"/>
    <n v="236"/>
  </r>
  <r>
    <x v="53"/>
    <x v="0"/>
    <x v="3"/>
    <n v="15"/>
  </r>
  <r>
    <x v="53"/>
    <x v="1"/>
    <x v="0"/>
    <n v="346"/>
  </r>
  <r>
    <x v="53"/>
    <x v="1"/>
    <x v="1"/>
    <n v="230"/>
  </r>
  <r>
    <x v="53"/>
    <x v="1"/>
    <x v="3"/>
    <n v="24"/>
  </r>
  <r>
    <x v="53"/>
    <x v="1"/>
    <x v="4"/>
    <n v="2"/>
  </r>
  <r>
    <x v="53"/>
    <x v="2"/>
    <x v="0"/>
    <n v="272"/>
  </r>
  <r>
    <x v="53"/>
    <x v="2"/>
    <x v="1"/>
    <n v="297"/>
  </r>
  <r>
    <x v="53"/>
    <x v="2"/>
    <x v="3"/>
    <n v="32"/>
  </r>
  <r>
    <x v="53"/>
    <x v="2"/>
    <x v="4"/>
    <n v="1"/>
  </r>
  <r>
    <x v="54"/>
    <x v="0"/>
    <x v="0"/>
    <n v="1514"/>
  </r>
  <r>
    <x v="54"/>
    <x v="0"/>
    <x v="1"/>
    <n v="1002"/>
  </r>
  <r>
    <x v="54"/>
    <x v="0"/>
    <x v="3"/>
    <n v="284"/>
  </r>
  <r>
    <x v="54"/>
    <x v="0"/>
    <x v="4"/>
    <n v="6"/>
  </r>
  <r>
    <x v="54"/>
    <x v="1"/>
    <x v="0"/>
    <n v="1345"/>
  </r>
  <r>
    <x v="54"/>
    <x v="1"/>
    <x v="1"/>
    <n v="1074"/>
  </r>
  <r>
    <x v="54"/>
    <x v="1"/>
    <x v="3"/>
    <n v="378"/>
  </r>
  <r>
    <x v="54"/>
    <x v="1"/>
    <x v="4"/>
    <n v="9"/>
  </r>
  <r>
    <x v="54"/>
    <x v="2"/>
    <x v="0"/>
    <n v="1291"/>
  </r>
  <r>
    <x v="54"/>
    <x v="2"/>
    <x v="1"/>
    <n v="1104"/>
  </r>
  <r>
    <x v="54"/>
    <x v="2"/>
    <x v="3"/>
    <n v="404"/>
  </r>
  <r>
    <x v="54"/>
    <x v="2"/>
    <x v="4"/>
    <n v="7"/>
  </r>
  <r>
    <x v="55"/>
    <x v="3"/>
    <x v="1"/>
    <n v="63"/>
  </r>
  <r>
    <x v="55"/>
    <x v="3"/>
    <x v="3"/>
    <n v="35"/>
  </r>
  <r>
    <x v="55"/>
    <x v="3"/>
    <x v="4"/>
    <n v="1"/>
  </r>
  <r>
    <x v="55"/>
    <x v="4"/>
    <x v="1"/>
    <n v="62"/>
  </r>
  <r>
    <x v="55"/>
    <x v="4"/>
    <x v="3"/>
    <n v="36"/>
  </r>
  <r>
    <x v="55"/>
    <x v="4"/>
    <x v="4"/>
    <n v="1"/>
  </r>
  <r>
    <x v="56"/>
    <x v="0"/>
    <x v="0"/>
    <n v="238"/>
  </r>
  <r>
    <x v="56"/>
    <x v="0"/>
    <x v="1"/>
    <n v="255"/>
  </r>
  <r>
    <x v="56"/>
    <x v="0"/>
    <x v="3"/>
    <n v="17"/>
  </r>
  <r>
    <x v="56"/>
    <x v="0"/>
    <x v="4"/>
    <n v="2"/>
  </r>
  <r>
    <x v="56"/>
    <x v="1"/>
    <x v="0"/>
    <n v="212"/>
  </r>
  <r>
    <x v="56"/>
    <x v="1"/>
    <x v="1"/>
    <n v="250"/>
  </r>
  <r>
    <x v="56"/>
    <x v="1"/>
    <x v="3"/>
    <n v="48"/>
  </r>
  <r>
    <x v="56"/>
    <x v="1"/>
    <x v="4"/>
    <n v="2"/>
  </r>
  <r>
    <x v="56"/>
    <x v="2"/>
    <x v="0"/>
    <n v="227"/>
  </r>
  <r>
    <x v="56"/>
    <x v="2"/>
    <x v="1"/>
    <n v="251"/>
  </r>
  <r>
    <x v="56"/>
    <x v="2"/>
    <x v="3"/>
    <n v="31"/>
  </r>
  <r>
    <x v="56"/>
    <x v="2"/>
    <x v="4"/>
    <n v="3"/>
  </r>
  <r>
    <x v="57"/>
    <x v="0"/>
    <x v="0"/>
    <n v="1047"/>
  </r>
  <r>
    <x v="57"/>
    <x v="0"/>
    <x v="1"/>
    <n v="513"/>
  </r>
  <r>
    <x v="57"/>
    <x v="0"/>
    <x v="3"/>
    <n v="145"/>
  </r>
  <r>
    <x v="57"/>
    <x v="0"/>
    <x v="4"/>
    <n v="1"/>
  </r>
  <r>
    <x v="57"/>
    <x v="1"/>
    <x v="0"/>
    <n v="1029"/>
  </r>
  <r>
    <x v="57"/>
    <x v="1"/>
    <x v="1"/>
    <n v="535"/>
  </r>
  <r>
    <x v="57"/>
    <x v="1"/>
    <x v="3"/>
    <n v="140"/>
  </r>
  <r>
    <x v="57"/>
    <x v="1"/>
    <x v="4"/>
    <n v="2"/>
  </r>
  <r>
    <x v="57"/>
    <x v="2"/>
    <x v="0"/>
    <n v="934"/>
  </r>
  <r>
    <x v="57"/>
    <x v="2"/>
    <x v="1"/>
    <n v="628"/>
  </r>
  <r>
    <x v="57"/>
    <x v="2"/>
    <x v="3"/>
    <n v="142"/>
  </r>
  <r>
    <x v="57"/>
    <x v="2"/>
    <x v="4"/>
    <n v="2"/>
  </r>
  <r>
    <x v="58"/>
    <x v="0"/>
    <x v="0"/>
    <n v="662"/>
  </r>
  <r>
    <x v="58"/>
    <x v="0"/>
    <x v="1"/>
    <n v="405"/>
  </r>
  <r>
    <x v="58"/>
    <x v="0"/>
    <x v="3"/>
    <n v="25"/>
  </r>
  <r>
    <x v="58"/>
    <x v="0"/>
    <x v="4"/>
    <n v="2"/>
  </r>
  <r>
    <x v="58"/>
    <x v="1"/>
    <x v="0"/>
    <n v="652"/>
  </r>
  <r>
    <x v="58"/>
    <x v="1"/>
    <x v="1"/>
    <n v="413"/>
  </r>
  <r>
    <x v="58"/>
    <x v="1"/>
    <x v="3"/>
    <n v="27"/>
  </r>
  <r>
    <x v="58"/>
    <x v="1"/>
    <x v="4"/>
    <n v="2"/>
  </r>
  <r>
    <x v="58"/>
    <x v="2"/>
    <x v="0"/>
    <n v="645"/>
  </r>
  <r>
    <x v="58"/>
    <x v="2"/>
    <x v="1"/>
    <n v="421"/>
  </r>
  <r>
    <x v="58"/>
    <x v="2"/>
    <x v="3"/>
    <n v="26"/>
  </r>
  <r>
    <x v="58"/>
    <x v="2"/>
    <x v="4"/>
    <n v="2"/>
  </r>
  <r>
    <x v="59"/>
    <x v="0"/>
    <x v="0"/>
    <n v="527"/>
  </r>
  <r>
    <x v="59"/>
    <x v="0"/>
    <x v="1"/>
    <n v="1058"/>
  </r>
  <r>
    <x v="59"/>
    <x v="0"/>
    <x v="3"/>
    <n v="148"/>
  </r>
  <r>
    <x v="59"/>
    <x v="1"/>
    <x v="0"/>
    <n v="486"/>
  </r>
  <r>
    <x v="59"/>
    <x v="1"/>
    <x v="7"/>
    <n v="95"/>
  </r>
  <r>
    <x v="59"/>
    <x v="1"/>
    <x v="1"/>
    <n v="973"/>
  </r>
  <r>
    <x v="59"/>
    <x v="1"/>
    <x v="3"/>
    <n v="170"/>
  </r>
  <r>
    <x v="59"/>
    <x v="1"/>
    <x v="4"/>
    <n v="9"/>
  </r>
  <r>
    <x v="59"/>
    <x v="2"/>
    <x v="0"/>
    <n v="464"/>
  </r>
  <r>
    <x v="59"/>
    <x v="2"/>
    <x v="1"/>
    <n v="1083"/>
  </r>
  <r>
    <x v="59"/>
    <x v="2"/>
    <x v="3"/>
    <n v="184"/>
  </r>
  <r>
    <x v="59"/>
    <x v="2"/>
    <x v="4"/>
    <n v="2"/>
  </r>
  <r>
    <x v="60"/>
    <x v="3"/>
    <x v="0"/>
    <n v="99"/>
  </r>
  <r>
    <x v="60"/>
    <x v="3"/>
    <x v="17"/>
    <n v="90"/>
  </r>
  <r>
    <x v="60"/>
    <x v="4"/>
    <x v="0"/>
    <n v="95"/>
  </r>
  <r>
    <x v="60"/>
    <x v="4"/>
    <x v="17"/>
    <n v="94"/>
  </r>
  <r>
    <x v="61"/>
    <x v="3"/>
    <x v="0"/>
    <n v="173"/>
  </r>
  <r>
    <x v="61"/>
    <x v="3"/>
    <x v="18"/>
    <n v="203"/>
  </r>
  <r>
    <x v="61"/>
    <x v="3"/>
    <x v="3"/>
    <n v="5"/>
  </r>
  <r>
    <x v="61"/>
    <x v="4"/>
    <x v="0"/>
    <n v="173"/>
  </r>
  <r>
    <x v="61"/>
    <x v="4"/>
    <x v="18"/>
    <n v="203"/>
  </r>
  <r>
    <x v="61"/>
    <x v="4"/>
    <x v="3"/>
    <n v="5"/>
  </r>
  <r>
    <x v="62"/>
    <x v="0"/>
    <x v="0"/>
    <n v="1389"/>
  </r>
  <r>
    <x v="62"/>
    <x v="0"/>
    <x v="1"/>
    <n v="1001"/>
  </r>
  <r>
    <x v="62"/>
    <x v="0"/>
    <x v="3"/>
    <n v="267"/>
  </r>
  <r>
    <x v="62"/>
    <x v="0"/>
    <x v="4"/>
    <n v="14"/>
  </r>
  <r>
    <x v="62"/>
    <x v="1"/>
    <x v="0"/>
    <n v="1254"/>
  </r>
  <r>
    <x v="62"/>
    <x v="1"/>
    <x v="1"/>
    <n v="1128"/>
  </r>
  <r>
    <x v="62"/>
    <x v="1"/>
    <x v="3"/>
    <n v="277"/>
  </r>
  <r>
    <x v="62"/>
    <x v="1"/>
    <x v="4"/>
    <n v="12"/>
  </r>
  <r>
    <x v="62"/>
    <x v="2"/>
    <x v="0"/>
    <n v="1232"/>
  </r>
  <r>
    <x v="62"/>
    <x v="2"/>
    <x v="1"/>
    <n v="1139"/>
  </r>
  <r>
    <x v="62"/>
    <x v="2"/>
    <x v="3"/>
    <n v="286"/>
  </r>
  <r>
    <x v="62"/>
    <x v="2"/>
    <x v="4"/>
    <n v="14"/>
  </r>
  <r>
    <x v="63"/>
    <x v="3"/>
    <x v="0"/>
    <n v="143"/>
  </r>
  <r>
    <x v="63"/>
    <x v="3"/>
    <x v="3"/>
    <n v="118"/>
  </r>
  <r>
    <x v="63"/>
    <x v="4"/>
    <x v="0"/>
    <n v="148"/>
  </r>
  <r>
    <x v="63"/>
    <x v="4"/>
    <x v="3"/>
    <n v="113"/>
  </r>
  <r>
    <x v="64"/>
    <x v="0"/>
    <x v="0"/>
    <n v="464"/>
  </r>
  <r>
    <x v="64"/>
    <x v="0"/>
    <x v="1"/>
    <n v="604"/>
  </r>
  <r>
    <x v="64"/>
    <x v="0"/>
    <x v="3"/>
    <n v="72"/>
  </r>
  <r>
    <x v="64"/>
    <x v="1"/>
    <x v="0"/>
    <n v="398"/>
  </r>
  <r>
    <x v="64"/>
    <x v="1"/>
    <x v="1"/>
    <n v="617"/>
  </r>
  <r>
    <x v="64"/>
    <x v="1"/>
    <x v="3"/>
    <n v="125"/>
  </r>
  <r>
    <x v="64"/>
    <x v="2"/>
    <x v="0"/>
    <n v="411"/>
  </r>
  <r>
    <x v="64"/>
    <x v="2"/>
    <x v="1"/>
    <n v="629"/>
  </r>
  <r>
    <x v="64"/>
    <x v="2"/>
    <x v="3"/>
    <n v="100"/>
  </r>
  <r>
    <x v="65"/>
    <x v="3"/>
    <x v="0"/>
    <n v="58"/>
  </r>
  <r>
    <x v="65"/>
    <x v="3"/>
    <x v="1"/>
    <n v="162"/>
  </r>
  <r>
    <x v="65"/>
    <x v="3"/>
    <x v="3"/>
    <n v="21"/>
  </r>
  <r>
    <x v="65"/>
    <x v="3"/>
    <x v="4"/>
    <n v="1"/>
  </r>
  <r>
    <x v="65"/>
    <x v="4"/>
    <x v="0"/>
    <n v="56"/>
  </r>
  <r>
    <x v="65"/>
    <x v="4"/>
    <x v="1"/>
    <n v="157"/>
  </r>
  <r>
    <x v="65"/>
    <x v="4"/>
    <x v="3"/>
    <n v="28"/>
  </r>
  <r>
    <x v="65"/>
    <x v="4"/>
    <x v="4"/>
    <n v="1"/>
  </r>
  <r>
    <x v="66"/>
    <x v="0"/>
    <x v="0"/>
    <n v="443"/>
  </r>
  <r>
    <x v="66"/>
    <x v="0"/>
    <x v="1"/>
    <n v="559"/>
  </r>
  <r>
    <x v="66"/>
    <x v="0"/>
    <x v="3"/>
    <n v="51"/>
  </r>
  <r>
    <x v="66"/>
    <x v="0"/>
    <x v="4"/>
    <n v="1"/>
  </r>
  <r>
    <x v="66"/>
    <x v="1"/>
    <x v="0"/>
    <n v="452"/>
  </r>
  <r>
    <x v="66"/>
    <x v="1"/>
    <x v="1"/>
    <n v="533"/>
  </r>
  <r>
    <x v="66"/>
    <x v="1"/>
    <x v="3"/>
    <n v="67"/>
  </r>
  <r>
    <x v="66"/>
    <x v="1"/>
    <x v="4"/>
    <n v="2"/>
  </r>
  <r>
    <x v="66"/>
    <x v="2"/>
    <x v="0"/>
    <n v="464"/>
  </r>
  <r>
    <x v="66"/>
    <x v="2"/>
    <x v="1"/>
    <n v="530"/>
  </r>
  <r>
    <x v="66"/>
    <x v="2"/>
    <x v="3"/>
    <n v="58"/>
  </r>
  <r>
    <x v="66"/>
    <x v="2"/>
    <x v="4"/>
    <n v="2"/>
  </r>
  <r>
    <x v="67"/>
    <x v="3"/>
    <x v="0"/>
    <n v="62"/>
  </r>
  <r>
    <x v="67"/>
    <x v="3"/>
    <x v="19"/>
    <n v="95"/>
  </r>
  <r>
    <x v="67"/>
    <x v="3"/>
    <x v="3"/>
    <n v="6"/>
  </r>
  <r>
    <x v="67"/>
    <x v="4"/>
    <x v="0"/>
    <n v="63"/>
  </r>
  <r>
    <x v="67"/>
    <x v="4"/>
    <x v="19"/>
    <n v="93"/>
  </r>
  <r>
    <x v="67"/>
    <x v="4"/>
    <x v="3"/>
    <n v="7"/>
  </r>
  <r>
    <x v="68"/>
    <x v="0"/>
    <x v="0"/>
    <n v="1996"/>
  </r>
  <r>
    <x v="68"/>
    <x v="0"/>
    <x v="5"/>
    <n v="59"/>
  </r>
  <r>
    <x v="68"/>
    <x v="0"/>
    <x v="1"/>
    <n v="969"/>
  </r>
  <r>
    <x v="68"/>
    <x v="0"/>
    <x v="3"/>
    <n v="402"/>
  </r>
  <r>
    <x v="68"/>
    <x v="0"/>
    <x v="4"/>
    <n v="22"/>
  </r>
  <r>
    <x v="68"/>
    <x v="1"/>
    <x v="0"/>
    <n v="1908"/>
  </r>
  <r>
    <x v="68"/>
    <x v="1"/>
    <x v="5"/>
    <n v="63"/>
  </r>
  <r>
    <x v="68"/>
    <x v="1"/>
    <x v="1"/>
    <n v="997"/>
  </r>
  <r>
    <x v="68"/>
    <x v="1"/>
    <x v="3"/>
    <n v="458"/>
  </r>
  <r>
    <x v="68"/>
    <x v="1"/>
    <x v="4"/>
    <n v="22"/>
  </r>
  <r>
    <x v="68"/>
    <x v="2"/>
    <x v="0"/>
    <n v="1907"/>
  </r>
  <r>
    <x v="68"/>
    <x v="2"/>
    <x v="5"/>
    <n v="60"/>
  </r>
  <r>
    <x v="68"/>
    <x v="2"/>
    <x v="1"/>
    <n v="993"/>
  </r>
  <r>
    <x v="68"/>
    <x v="2"/>
    <x v="3"/>
    <n v="466"/>
  </r>
  <r>
    <x v="68"/>
    <x v="2"/>
    <x v="4"/>
    <n v="22"/>
  </r>
  <r>
    <x v="69"/>
    <x v="0"/>
    <x v="0"/>
    <n v="2287"/>
  </r>
  <r>
    <x v="69"/>
    <x v="0"/>
    <x v="1"/>
    <n v="2461"/>
  </r>
  <r>
    <x v="69"/>
    <x v="0"/>
    <x v="3"/>
    <n v="793"/>
  </r>
  <r>
    <x v="69"/>
    <x v="0"/>
    <x v="4"/>
    <n v="8"/>
  </r>
  <r>
    <x v="69"/>
    <x v="1"/>
    <x v="0"/>
    <n v="2277"/>
  </r>
  <r>
    <x v="69"/>
    <x v="1"/>
    <x v="1"/>
    <n v="2327"/>
  </r>
  <r>
    <x v="69"/>
    <x v="1"/>
    <x v="3"/>
    <n v="937"/>
  </r>
  <r>
    <x v="69"/>
    <x v="1"/>
    <x v="4"/>
    <n v="8"/>
  </r>
  <r>
    <x v="69"/>
    <x v="2"/>
    <x v="0"/>
    <n v="2454"/>
  </r>
  <r>
    <x v="69"/>
    <x v="2"/>
    <x v="1"/>
    <n v="2165"/>
  </r>
  <r>
    <x v="69"/>
    <x v="2"/>
    <x v="3"/>
    <n v="922"/>
  </r>
  <r>
    <x v="69"/>
    <x v="2"/>
    <x v="4"/>
    <n v="8"/>
  </r>
  <r>
    <x v="70"/>
    <x v="0"/>
    <x v="0"/>
    <n v="3872"/>
  </r>
  <r>
    <x v="70"/>
    <x v="0"/>
    <x v="5"/>
    <n v="124"/>
  </r>
  <r>
    <x v="70"/>
    <x v="0"/>
    <x v="7"/>
    <n v="770"/>
  </r>
  <r>
    <x v="70"/>
    <x v="0"/>
    <x v="1"/>
    <n v="2502"/>
  </r>
  <r>
    <x v="70"/>
    <x v="0"/>
    <x v="3"/>
    <n v="1423"/>
  </r>
  <r>
    <x v="70"/>
    <x v="0"/>
    <x v="4"/>
    <n v="62"/>
  </r>
  <r>
    <x v="70"/>
    <x v="1"/>
    <x v="0"/>
    <n v="3727"/>
  </r>
  <r>
    <x v="70"/>
    <x v="1"/>
    <x v="5"/>
    <n v="114"/>
  </r>
  <r>
    <x v="70"/>
    <x v="1"/>
    <x v="7"/>
    <n v="751"/>
  </r>
  <r>
    <x v="70"/>
    <x v="1"/>
    <x v="1"/>
    <n v="2482"/>
  </r>
  <r>
    <x v="70"/>
    <x v="1"/>
    <x v="3"/>
    <n v="1621"/>
  </r>
  <r>
    <x v="70"/>
    <x v="1"/>
    <x v="4"/>
    <n v="58"/>
  </r>
  <r>
    <x v="70"/>
    <x v="2"/>
    <x v="0"/>
    <n v="3701"/>
  </r>
  <r>
    <x v="70"/>
    <x v="2"/>
    <x v="1"/>
    <n v="2539"/>
  </r>
  <r>
    <x v="70"/>
    <x v="2"/>
    <x v="3"/>
    <n v="2461"/>
  </r>
  <r>
    <x v="70"/>
    <x v="2"/>
    <x v="4"/>
    <n v="52"/>
  </r>
  <r>
    <x v="71"/>
    <x v="0"/>
    <x v="0"/>
    <n v="505"/>
  </r>
  <r>
    <x v="71"/>
    <x v="0"/>
    <x v="1"/>
    <n v="294"/>
  </r>
  <r>
    <x v="71"/>
    <x v="0"/>
    <x v="3"/>
    <n v="54"/>
  </r>
  <r>
    <x v="71"/>
    <x v="1"/>
    <x v="0"/>
    <n v="481"/>
  </r>
  <r>
    <x v="71"/>
    <x v="1"/>
    <x v="1"/>
    <n v="290"/>
  </r>
  <r>
    <x v="71"/>
    <x v="1"/>
    <x v="3"/>
    <n v="82"/>
  </r>
  <r>
    <x v="71"/>
    <x v="2"/>
    <x v="0"/>
    <n v="404"/>
  </r>
  <r>
    <x v="71"/>
    <x v="2"/>
    <x v="1"/>
    <n v="378"/>
  </r>
  <r>
    <x v="71"/>
    <x v="2"/>
    <x v="3"/>
    <n v="71"/>
  </r>
  <r>
    <x v="72"/>
    <x v="0"/>
    <x v="0"/>
    <n v="220"/>
  </r>
  <r>
    <x v="72"/>
    <x v="0"/>
    <x v="1"/>
    <n v="186"/>
  </r>
  <r>
    <x v="72"/>
    <x v="0"/>
    <x v="3"/>
    <n v="27"/>
  </r>
  <r>
    <x v="72"/>
    <x v="1"/>
    <x v="0"/>
    <n v="208"/>
  </r>
  <r>
    <x v="72"/>
    <x v="1"/>
    <x v="1"/>
    <n v="165"/>
  </r>
  <r>
    <x v="72"/>
    <x v="1"/>
    <x v="3"/>
    <n v="60"/>
  </r>
  <r>
    <x v="72"/>
    <x v="2"/>
    <x v="0"/>
    <n v="166"/>
  </r>
  <r>
    <x v="72"/>
    <x v="2"/>
    <x v="1"/>
    <n v="217"/>
  </r>
  <r>
    <x v="72"/>
    <x v="2"/>
    <x v="3"/>
    <n v="50"/>
  </r>
  <r>
    <x v="73"/>
    <x v="0"/>
    <x v="0"/>
    <n v="1436"/>
  </r>
  <r>
    <x v="73"/>
    <x v="0"/>
    <x v="1"/>
    <n v="919"/>
  </r>
  <r>
    <x v="73"/>
    <x v="0"/>
    <x v="3"/>
    <n v="289"/>
  </r>
  <r>
    <x v="73"/>
    <x v="0"/>
    <x v="4"/>
    <n v="9"/>
  </r>
  <r>
    <x v="73"/>
    <x v="1"/>
    <x v="0"/>
    <n v="1415"/>
  </r>
  <r>
    <x v="73"/>
    <x v="1"/>
    <x v="1"/>
    <n v="912"/>
  </r>
  <r>
    <x v="73"/>
    <x v="1"/>
    <x v="3"/>
    <n v="318"/>
  </r>
  <r>
    <x v="73"/>
    <x v="1"/>
    <x v="4"/>
    <n v="8"/>
  </r>
  <r>
    <x v="73"/>
    <x v="2"/>
    <x v="0"/>
    <n v="1466"/>
  </r>
  <r>
    <x v="73"/>
    <x v="2"/>
    <x v="1"/>
    <n v="850"/>
  </r>
  <r>
    <x v="73"/>
    <x v="2"/>
    <x v="3"/>
    <n v="328"/>
  </r>
  <r>
    <x v="73"/>
    <x v="2"/>
    <x v="4"/>
    <n v="9"/>
  </r>
  <r>
    <x v="74"/>
    <x v="0"/>
    <x v="0"/>
    <n v="308"/>
  </r>
  <r>
    <x v="74"/>
    <x v="0"/>
    <x v="1"/>
    <n v="288"/>
  </r>
  <r>
    <x v="74"/>
    <x v="0"/>
    <x v="3"/>
    <n v="34"/>
  </r>
  <r>
    <x v="74"/>
    <x v="1"/>
    <x v="0"/>
    <n v="311"/>
  </r>
  <r>
    <x v="74"/>
    <x v="1"/>
    <x v="1"/>
    <n v="254"/>
  </r>
  <r>
    <x v="74"/>
    <x v="1"/>
    <x v="3"/>
    <n v="65"/>
  </r>
  <r>
    <x v="74"/>
    <x v="2"/>
    <x v="0"/>
    <n v="252"/>
  </r>
  <r>
    <x v="74"/>
    <x v="2"/>
    <x v="1"/>
    <n v="324"/>
  </r>
  <r>
    <x v="74"/>
    <x v="2"/>
    <x v="3"/>
    <n v="54"/>
  </r>
  <r>
    <x v="75"/>
    <x v="3"/>
    <x v="0"/>
    <n v="138"/>
  </r>
  <r>
    <x v="75"/>
    <x v="3"/>
    <x v="1"/>
    <n v="132"/>
  </r>
  <r>
    <x v="75"/>
    <x v="3"/>
    <x v="3"/>
    <n v="7"/>
  </r>
  <r>
    <x v="75"/>
    <x v="3"/>
    <x v="4"/>
    <n v="6"/>
  </r>
  <r>
    <x v="75"/>
    <x v="4"/>
    <x v="0"/>
    <n v="118"/>
  </r>
  <r>
    <x v="75"/>
    <x v="4"/>
    <x v="1"/>
    <n v="126"/>
  </r>
  <r>
    <x v="75"/>
    <x v="4"/>
    <x v="3"/>
    <n v="15"/>
  </r>
  <r>
    <x v="75"/>
    <x v="4"/>
    <x v="4"/>
    <n v="24"/>
  </r>
  <r>
    <x v="75"/>
    <x v="2"/>
    <x v="0"/>
    <n v="63"/>
  </r>
  <r>
    <x v="75"/>
    <x v="2"/>
    <x v="1"/>
    <n v="172"/>
  </r>
  <r>
    <x v="75"/>
    <x v="2"/>
    <x v="3"/>
    <n v="30"/>
  </r>
  <r>
    <x v="75"/>
    <x v="2"/>
    <x v="4"/>
    <n v="18"/>
  </r>
  <r>
    <x v="76"/>
    <x v="3"/>
    <x v="0"/>
    <n v="129"/>
  </r>
  <r>
    <x v="76"/>
    <x v="3"/>
    <x v="3"/>
    <n v="97"/>
  </r>
  <r>
    <x v="76"/>
    <x v="4"/>
    <x v="0"/>
    <n v="125"/>
  </r>
  <r>
    <x v="76"/>
    <x v="4"/>
    <x v="3"/>
    <n v="101"/>
  </r>
  <r>
    <x v="76"/>
    <x v="2"/>
    <x v="0"/>
    <n v="125"/>
  </r>
  <r>
    <x v="76"/>
    <x v="2"/>
    <x v="3"/>
    <n v="101"/>
  </r>
  <r>
    <x v="77"/>
    <x v="0"/>
    <x v="0"/>
    <n v="1889"/>
  </r>
  <r>
    <x v="77"/>
    <x v="0"/>
    <x v="1"/>
    <n v="1507"/>
  </r>
  <r>
    <x v="77"/>
    <x v="0"/>
    <x v="20"/>
    <n v="4211"/>
  </r>
  <r>
    <x v="77"/>
    <x v="0"/>
    <x v="3"/>
    <n v="1133"/>
  </r>
  <r>
    <x v="77"/>
    <x v="0"/>
    <x v="4"/>
    <n v="99"/>
  </r>
  <r>
    <x v="77"/>
    <x v="1"/>
    <x v="0"/>
    <n v="1740"/>
  </r>
  <r>
    <x v="77"/>
    <x v="1"/>
    <x v="7"/>
    <n v="429"/>
  </r>
  <r>
    <x v="77"/>
    <x v="1"/>
    <x v="1"/>
    <n v="1528"/>
  </r>
  <r>
    <x v="77"/>
    <x v="1"/>
    <x v="20"/>
    <n v="3647"/>
  </r>
  <r>
    <x v="77"/>
    <x v="1"/>
    <x v="3"/>
    <n v="1313"/>
  </r>
  <r>
    <x v="77"/>
    <x v="1"/>
    <x v="4"/>
    <n v="182"/>
  </r>
  <r>
    <x v="77"/>
    <x v="2"/>
    <x v="0"/>
    <n v="1763"/>
  </r>
  <r>
    <x v="77"/>
    <x v="2"/>
    <x v="1"/>
    <n v="1562"/>
  </r>
  <r>
    <x v="77"/>
    <x v="2"/>
    <x v="20"/>
    <n v="3795"/>
  </r>
  <r>
    <x v="77"/>
    <x v="2"/>
    <x v="3"/>
    <n v="1623"/>
  </r>
  <r>
    <x v="77"/>
    <x v="2"/>
    <x v="4"/>
    <n v="96"/>
  </r>
  <r>
    <x v="78"/>
    <x v="0"/>
    <x v="0"/>
    <n v="187"/>
  </r>
  <r>
    <x v="78"/>
    <x v="0"/>
    <x v="1"/>
    <n v="226"/>
  </r>
  <r>
    <x v="78"/>
    <x v="0"/>
    <x v="3"/>
    <n v="5"/>
  </r>
  <r>
    <x v="78"/>
    <x v="0"/>
    <x v="4"/>
    <n v="2"/>
  </r>
  <r>
    <x v="78"/>
    <x v="1"/>
    <x v="0"/>
    <n v="184"/>
  </r>
  <r>
    <x v="78"/>
    <x v="1"/>
    <x v="1"/>
    <n v="224"/>
  </r>
  <r>
    <x v="78"/>
    <x v="1"/>
    <x v="3"/>
    <n v="10"/>
  </r>
  <r>
    <x v="78"/>
    <x v="1"/>
    <x v="4"/>
    <n v="2"/>
  </r>
  <r>
    <x v="78"/>
    <x v="2"/>
    <x v="0"/>
    <n v="209"/>
  </r>
  <r>
    <x v="78"/>
    <x v="2"/>
    <x v="1"/>
    <n v="201"/>
  </r>
  <r>
    <x v="78"/>
    <x v="2"/>
    <x v="3"/>
    <n v="8"/>
  </r>
  <r>
    <x v="78"/>
    <x v="2"/>
    <x v="4"/>
    <n v="2"/>
  </r>
  <r>
    <x v="79"/>
    <x v="3"/>
    <x v="0"/>
    <n v="66"/>
  </r>
  <r>
    <x v="79"/>
    <x v="3"/>
    <x v="1"/>
    <n v="54"/>
  </r>
  <r>
    <x v="79"/>
    <x v="3"/>
    <x v="3"/>
    <n v="3"/>
  </r>
  <r>
    <x v="79"/>
    <x v="4"/>
    <x v="0"/>
    <n v="63"/>
  </r>
  <r>
    <x v="79"/>
    <x v="4"/>
    <x v="1"/>
    <n v="53"/>
  </r>
  <r>
    <x v="79"/>
    <x v="4"/>
    <x v="3"/>
    <n v="7"/>
  </r>
  <r>
    <x v="80"/>
    <x v="5"/>
    <x v="21"/>
    <m/>
  </r>
  <r>
    <x v="6"/>
    <x v="6"/>
    <x v="22"/>
    <n v="25054"/>
  </r>
  <r>
    <x v="6"/>
    <x v="6"/>
    <x v="5"/>
    <n v="2497"/>
  </r>
  <r>
    <x v="6"/>
    <x v="6"/>
    <x v="23"/>
    <n v="1066"/>
  </r>
  <r>
    <x v="6"/>
    <x v="6"/>
    <x v="24"/>
    <n v="21078"/>
  </r>
  <r>
    <x v="6"/>
    <x v="6"/>
    <x v="25"/>
    <n v="2549"/>
  </r>
  <r>
    <x v="6"/>
    <x v="6"/>
    <x v="7"/>
    <n v="14063"/>
  </r>
  <r>
    <x v="6"/>
    <x v="6"/>
    <x v="3"/>
    <n v="2973"/>
  </r>
  <r>
    <x v="6"/>
    <x v="6"/>
    <x v="4"/>
    <n v="771"/>
  </r>
  <r>
    <x v="6"/>
    <x v="7"/>
    <x v="22"/>
    <n v="22106"/>
  </r>
  <r>
    <x v="6"/>
    <x v="7"/>
    <x v="5"/>
    <n v="1841"/>
  </r>
  <r>
    <x v="6"/>
    <x v="7"/>
    <x v="24"/>
    <n v="23505"/>
  </r>
  <r>
    <x v="6"/>
    <x v="7"/>
    <x v="7"/>
    <n v="7742"/>
  </r>
  <r>
    <x v="6"/>
    <x v="7"/>
    <x v="3"/>
    <n v="14296"/>
  </r>
  <r>
    <x v="6"/>
    <x v="7"/>
    <x v="4"/>
    <n v="561"/>
  </r>
  <r>
    <x v="6"/>
    <x v="8"/>
    <x v="22"/>
    <n v="21892"/>
  </r>
  <r>
    <x v="6"/>
    <x v="8"/>
    <x v="5"/>
    <n v="1783"/>
  </r>
  <r>
    <x v="6"/>
    <x v="8"/>
    <x v="24"/>
    <n v="23541"/>
  </r>
  <r>
    <x v="6"/>
    <x v="8"/>
    <x v="7"/>
    <n v="7612"/>
  </r>
  <r>
    <x v="6"/>
    <x v="8"/>
    <x v="3"/>
    <n v="14678"/>
  </r>
  <r>
    <x v="6"/>
    <x v="8"/>
    <x v="4"/>
    <n v="545"/>
  </r>
  <r>
    <x v="48"/>
    <x v="6"/>
    <x v="22"/>
    <n v="5508"/>
  </r>
  <r>
    <x v="48"/>
    <x v="6"/>
    <x v="5"/>
    <n v="458"/>
  </r>
  <r>
    <x v="48"/>
    <x v="6"/>
    <x v="23"/>
    <n v="442"/>
  </r>
  <r>
    <x v="48"/>
    <x v="6"/>
    <x v="24"/>
    <n v="4189"/>
  </r>
  <r>
    <x v="48"/>
    <x v="6"/>
    <x v="25"/>
    <n v="411"/>
  </r>
  <r>
    <x v="48"/>
    <x v="6"/>
    <x v="7"/>
    <n v="4604"/>
  </r>
  <r>
    <x v="48"/>
    <x v="6"/>
    <x v="3"/>
    <n v="917"/>
  </r>
  <r>
    <x v="48"/>
    <x v="6"/>
    <x v="4"/>
    <n v="190"/>
  </r>
  <r>
    <x v="48"/>
    <x v="7"/>
    <x v="22"/>
    <n v="6059"/>
  </r>
  <r>
    <x v="48"/>
    <x v="7"/>
    <x v="5"/>
    <n v="335"/>
  </r>
  <r>
    <x v="48"/>
    <x v="7"/>
    <x v="24"/>
    <n v="3416"/>
  </r>
  <r>
    <x v="48"/>
    <x v="7"/>
    <x v="7"/>
    <n v="2472"/>
  </r>
  <r>
    <x v="48"/>
    <x v="7"/>
    <x v="3"/>
    <n v="4283"/>
  </r>
  <r>
    <x v="48"/>
    <x v="7"/>
    <x v="4"/>
    <n v="154"/>
  </r>
  <r>
    <x v="48"/>
    <x v="8"/>
    <x v="22"/>
    <n v="6068"/>
  </r>
  <r>
    <x v="48"/>
    <x v="8"/>
    <x v="5"/>
    <n v="322"/>
  </r>
  <r>
    <x v="48"/>
    <x v="8"/>
    <x v="24"/>
    <n v="3430"/>
  </r>
  <r>
    <x v="48"/>
    <x v="8"/>
    <x v="7"/>
    <n v="2416"/>
  </r>
  <r>
    <x v="48"/>
    <x v="8"/>
    <x v="3"/>
    <n v="4328"/>
  </r>
  <r>
    <x v="48"/>
    <x v="8"/>
    <x v="4"/>
    <n v="155"/>
  </r>
  <r>
    <x v="77"/>
    <x v="6"/>
    <x v="22"/>
    <n v="2360"/>
  </r>
  <r>
    <x v="77"/>
    <x v="6"/>
    <x v="5"/>
    <n v="144"/>
  </r>
  <r>
    <x v="77"/>
    <x v="6"/>
    <x v="23"/>
    <n v="135"/>
  </r>
  <r>
    <x v="77"/>
    <x v="6"/>
    <x v="24"/>
    <n v="2734"/>
  </r>
  <r>
    <x v="77"/>
    <x v="6"/>
    <x v="25"/>
    <n v="186"/>
  </r>
  <r>
    <x v="77"/>
    <x v="6"/>
    <x v="7"/>
    <n v="2335"/>
  </r>
  <r>
    <x v="77"/>
    <x v="6"/>
    <x v="3"/>
    <n v="833"/>
  </r>
  <r>
    <x v="77"/>
    <x v="6"/>
    <x v="4"/>
    <n v="108"/>
  </r>
  <r>
    <x v="77"/>
    <x v="7"/>
    <x v="22"/>
    <n v="2132"/>
  </r>
  <r>
    <x v="77"/>
    <x v="7"/>
    <x v="5"/>
    <n v="90"/>
  </r>
  <r>
    <x v="77"/>
    <x v="7"/>
    <x v="24"/>
    <n v="2225"/>
  </r>
  <r>
    <x v="77"/>
    <x v="7"/>
    <x v="7"/>
    <n v="1137"/>
  </r>
  <r>
    <x v="77"/>
    <x v="7"/>
    <x v="3"/>
    <n v="3163"/>
  </r>
  <r>
    <x v="77"/>
    <x v="7"/>
    <x v="4"/>
    <n v="88"/>
  </r>
  <r>
    <x v="77"/>
    <x v="8"/>
    <x v="22"/>
    <n v="2124"/>
  </r>
  <r>
    <x v="77"/>
    <x v="8"/>
    <x v="5"/>
    <n v="75"/>
  </r>
  <r>
    <x v="77"/>
    <x v="8"/>
    <x v="24"/>
    <n v="2164"/>
  </r>
  <r>
    <x v="77"/>
    <x v="8"/>
    <x v="7"/>
    <n v="1113"/>
  </r>
  <r>
    <x v="77"/>
    <x v="8"/>
    <x v="3"/>
    <n v="3259"/>
  </r>
  <r>
    <x v="77"/>
    <x v="8"/>
    <x v="4"/>
    <n v="100"/>
  </r>
  <r>
    <x v="70"/>
    <x v="6"/>
    <x v="22"/>
    <n v="3416"/>
  </r>
  <r>
    <x v="70"/>
    <x v="6"/>
    <x v="5"/>
    <n v="232"/>
  </r>
  <r>
    <x v="70"/>
    <x v="6"/>
    <x v="23"/>
    <n v="96"/>
  </r>
  <r>
    <x v="70"/>
    <x v="6"/>
    <x v="24"/>
    <n v="2593"/>
  </r>
  <r>
    <x v="70"/>
    <x v="6"/>
    <x v="25"/>
    <n v="235"/>
  </r>
  <r>
    <x v="70"/>
    <x v="6"/>
    <x v="7"/>
    <n v="1745"/>
  </r>
  <r>
    <x v="70"/>
    <x v="6"/>
    <x v="3"/>
    <n v="374"/>
  </r>
  <r>
    <x v="70"/>
    <x v="6"/>
    <x v="4"/>
    <n v="59"/>
  </r>
  <r>
    <x v="70"/>
    <x v="7"/>
    <x v="22"/>
    <n v="3138"/>
  </r>
  <r>
    <x v="70"/>
    <x v="7"/>
    <x v="5"/>
    <n v="198"/>
  </r>
  <r>
    <x v="70"/>
    <x v="7"/>
    <x v="24"/>
    <n v="2598"/>
  </r>
  <r>
    <x v="70"/>
    <x v="7"/>
    <x v="7"/>
    <n v="1019"/>
  </r>
  <r>
    <x v="70"/>
    <x v="7"/>
    <x v="3"/>
    <n v="1756"/>
  </r>
  <r>
    <x v="70"/>
    <x v="7"/>
    <x v="4"/>
    <n v="41"/>
  </r>
  <r>
    <x v="70"/>
    <x v="8"/>
    <x v="22"/>
    <n v="3175"/>
  </r>
  <r>
    <x v="70"/>
    <x v="8"/>
    <x v="5"/>
    <n v="183"/>
  </r>
  <r>
    <x v="70"/>
    <x v="8"/>
    <x v="24"/>
    <n v="2580"/>
  </r>
  <r>
    <x v="70"/>
    <x v="8"/>
    <x v="7"/>
    <n v="959"/>
  </r>
  <r>
    <x v="70"/>
    <x v="8"/>
    <x v="3"/>
    <n v="1812"/>
  </r>
  <r>
    <x v="70"/>
    <x v="8"/>
    <x v="4"/>
    <n v="41"/>
  </r>
  <r>
    <x v="22"/>
    <x v="6"/>
    <x v="22"/>
    <n v="3036"/>
  </r>
  <r>
    <x v="22"/>
    <x v="6"/>
    <x v="5"/>
    <n v="111"/>
  </r>
  <r>
    <x v="22"/>
    <x v="6"/>
    <x v="23"/>
    <n v="101"/>
  </r>
  <r>
    <x v="22"/>
    <x v="6"/>
    <x v="24"/>
    <n v="2421"/>
  </r>
  <r>
    <x v="22"/>
    <x v="6"/>
    <x v="25"/>
    <n v="89"/>
  </r>
  <r>
    <x v="22"/>
    <x v="6"/>
    <x v="7"/>
    <n v="1040"/>
  </r>
  <r>
    <x v="22"/>
    <x v="6"/>
    <x v="3"/>
    <n v="348"/>
  </r>
  <r>
    <x v="22"/>
    <x v="6"/>
    <x v="4"/>
    <n v="51"/>
  </r>
  <r>
    <x v="22"/>
    <x v="7"/>
    <x v="22"/>
    <n v="2993"/>
  </r>
  <r>
    <x v="22"/>
    <x v="7"/>
    <x v="5"/>
    <n v="64"/>
  </r>
  <r>
    <x v="22"/>
    <x v="7"/>
    <x v="24"/>
    <n v="2672"/>
  </r>
  <r>
    <x v="22"/>
    <x v="7"/>
    <x v="7"/>
    <n v="469"/>
  </r>
  <r>
    <x v="22"/>
    <x v="7"/>
    <x v="3"/>
    <n v="933"/>
  </r>
  <r>
    <x v="22"/>
    <x v="7"/>
    <x v="4"/>
    <n v="66"/>
  </r>
  <r>
    <x v="22"/>
    <x v="8"/>
    <x v="22"/>
    <n v="2993"/>
  </r>
  <r>
    <x v="22"/>
    <x v="8"/>
    <x v="5"/>
    <n v="65"/>
  </r>
  <r>
    <x v="22"/>
    <x v="8"/>
    <x v="24"/>
    <n v="2642"/>
  </r>
  <r>
    <x v="22"/>
    <x v="8"/>
    <x v="7"/>
    <n v="460"/>
  </r>
  <r>
    <x v="22"/>
    <x v="8"/>
    <x v="3"/>
    <n v="964"/>
  </r>
  <r>
    <x v="22"/>
    <x v="8"/>
    <x v="4"/>
    <n v="73"/>
  </r>
  <r>
    <x v="50"/>
    <x v="6"/>
    <x v="22"/>
    <n v="1928"/>
  </r>
  <r>
    <x v="50"/>
    <x v="6"/>
    <x v="5"/>
    <n v="99"/>
  </r>
  <r>
    <x v="50"/>
    <x v="6"/>
    <x v="23"/>
    <n v="74"/>
  </r>
  <r>
    <x v="50"/>
    <x v="6"/>
    <x v="24"/>
    <n v="925"/>
  </r>
  <r>
    <x v="50"/>
    <x v="6"/>
    <x v="25"/>
    <n v="79"/>
  </r>
  <r>
    <x v="50"/>
    <x v="6"/>
    <x v="7"/>
    <n v="1680"/>
  </r>
  <r>
    <x v="50"/>
    <x v="6"/>
    <x v="3"/>
    <n v="1081"/>
  </r>
  <r>
    <x v="50"/>
    <x v="6"/>
    <x v="4"/>
    <n v="48"/>
  </r>
  <r>
    <x v="50"/>
    <x v="7"/>
    <x v="22"/>
    <n v="1997"/>
  </r>
  <r>
    <x v="50"/>
    <x v="7"/>
    <x v="5"/>
    <n v="97"/>
  </r>
  <r>
    <x v="50"/>
    <x v="7"/>
    <x v="24"/>
    <n v="759"/>
  </r>
  <r>
    <x v="50"/>
    <x v="7"/>
    <x v="7"/>
    <n v="636"/>
  </r>
  <r>
    <x v="50"/>
    <x v="7"/>
    <x v="3"/>
    <n v="2375"/>
  </r>
  <r>
    <x v="50"/>
    <x v="7"/>
    <x v="4"/>
    <n v="50"/>
  </r>
  <r>
    <x v="50"/>
    <x v="8"/>
    <x v="22"/>
    <n v="2283"/>
  </r>
  <r>
    <x v="50"/>
    <x v="8"/>
    <x v="5"/>
    <n v="96"/>
  </r>
  <r>
    <x v="50"/>
    <x v="8"/>
    <x v="24"/>
    <n v="734"/>
  </r>
  <r>
    <x v="50"/>
    <x v="8"/>
    <x v="7"/>
    <n v="605"/>
  </r>
  <r>
    <x v="50"/>
    <x v="8"/>
    <x v="3"/>
    <n v="2143"/>
  </r>
  <r>
    <x v="50"/>
    <x v="8"/>
    <x v="4"/>
    <n v="53"/>
  </r>
  <r>
    <x v="17"/>
    <x v="6"/>
    <x v="22"/>
    <n v="1905"/>
  </r>
  <r>
    <x v="17"/>
    <x v="6"/>
    <x v="5"/>
    <n v="87"/>
  </r>
  <r>
    <x v="17"/>
    <x v="6"/>
    <x v="23"/>
    <n v="99"/>
  </r>
  <r>
    <x v="17"/>
    <x v="6"/>
    <x v="24"/>
    <n v="2088"/>
  </r>
  <r>
    <x v="17"/>
    <x v="6"/>
    <x v="25"/>
    <n v="71"/>
  </r>
  <r>
    <x v="17"/>
    <x v="6"/>
    <x v="7"/>
    <n v="1100"/>
  </r>
  <r>
    <x v="17"/>
    <x v="6"/>
    <x v="3"/>
    <n v="377"/>
  </r>
  <r>
    <x v="17"/>
    <x v="6"/>
    <x v="4"/>
    <n v="96"/>
  </r>
  <r>
    <x v="17"/>
    <x v="7"/>
    <x v="22"/>
    <n v="1757"/>
  </r>
  <r>
    <x v="17"/>
    <x v="7"/>
    <x v="5"/>
    <n v="59"/>
  </r>
  <r>
    <x v="17"/>
    <x v="7"/>
    <x v="24"/>
    <n v="2210"/>
  </r>
  <r>
    <x v="17"/>
    <x v="7"/>
    <x v="7"/>
    <n v="388"/>
  </r>
  <r>
    <x v="17"/>
    <x v="7"/>
    <x v="3"/>
    <n v="1218"/>
  </r>
  <r>
    <x v="17"/>
    <x v="7"/>
    <x v="4"/>
    <n v="191"/>
  </r>
  <r>
    <x v="17"/>
    <x v="8"/>
    <x v="22"/>
    <n v="1780"/>
  </r>
  <r>
    <x v="17"/>
    <x v="8"/>
    <x v="5"/>
    <n v="68"/>
  </r>
  <r>
    <x v="17"/>
    <x v="8"/>
    <x v="24"/>
    <n v="2193"/>
  </r>
  <r>
    <x v="17"/>
    <x v="8"/>
    <x v="7"/>
    <n v="369"/>
  </r>
  <r>
    <x v="17"/>
    <x v="8"/>
    <x v="3"/>
    <n v="1222"/>
  </r>
  <r>
    <x v="17"/>
    <x v="8"/>
    <x v="4"/>
    <n v="191"/>
  </r>
  <r>
    <x v="69"/>
    <x v="6"/>
    <x v="22"/>
    <n v="2094"/>
  </r>
  <r>
    <x v="69"/>
    <x v="6"/>
    <x v="5"/>
    <n v="98"/>
  </r>
  <r>
    <x v="69"/>
    <x v="6"/>
    <x v="23"/>
    <n v="143"/>
  </r>
  <r>
    <x v="69"/>
    <x v="6"/>
    <x v="24"/>
    <n v="2123"/>
  </r>
  <r>
    <x v="69"/>
    <x v="6"/>
    <x v="25"/>
    <n v="84"/>
  </r>
  <r>
    <x v="69"/>
    <x v="6"/>
    <x v="7"/>
    <n v="687"/>
  </r>
  <r>
    <x v="69"/>
    <x v="6"/>
    <x v="3"/>
    <n v="292"/>
  </r>
  <r>
    <x v="69"/>
    <x v="6"/>
    <x v="4"/>
    <n v="23"/>
  </r>
  <r>
    <x v="69"/>
    <x v="7"/>
    <x v="22"/>
    <n v="2253"/>
  </r>
  <r>
    <x v="69"/>
    <x v="7"/>
    <x v="5"/>
    <n v="56"/>
  </r>
  <r>
    <x v="69"/>
    <x v="7"/>
    <x v="24"/>
    <n v="2096"/>
  </r>
  <r>
    <x v="69"/>
    <x v="7"/>
    <x v="7"/>
    <n v="294"/>
  </r>
  <r>
    <x v="69"/>
    <x v="7"/>
    <x v="3"/>
    <n v="830"/>
  </r>
  <r>
    <x v="69"/>
    <x v="7"/>
    <x v="4"/>
    <n v="15"/>
  </r>
  <r>
    <x v="69"/>
    <x v="8"/>
    <x v="22"/>
    <n v="2241"/>
  </r>
  <r>
    <x v="69"/>
    <x v="8"/>
    <x v="5"/>
    <n v="52"/>
  </r>
  <r>
    <x v="69"/>
    <x v="8"/>
    <x v="24"/>
    <n v="2032"/>
  </r>
  <r>
    <x v="69"/>
    <x v="8"/>
    <x v="7"/>
    <n v="287"/>
  </r>
  <r>
    <x v="69"/>
    <x v="8"/>
    <x v="3"/>
    <n v="918"/>
  </r>
  <r>
    <x v="69"/>
    <x v="8"/>
    <x v="4"/>
    <n v="14"/>
  </r>
  <r>
    <x v="42"/>
    <x v="6"/>
    <x v="22"/>
    <n v="1801"/>
  </r>
  <r>
    <x v="42"/>
    <x v="6"/>
    <x v="5"/>
    <n v="87"/>
  </r>
  <r>
    <x v="42"/>
    <x v="6"/>
    <x v="23"/>
    <n v="72"/>
  </r>
  <r>
    <x v="42"/>
    <x v="6"/>
    <x v="24"/>
    <n v="1079"/>
  </r>
  <r>
    <x v="42"/>
    <x v="6"/>
    <x v="25"/>
    <n v="96"/>
  </r>
  <r>
    <x v="42"/>
    <x v="6"/>
    <x v="7"/>
    <n v="1004"/>
  </r>
  <r>
    <x v="42"/>
    <x v="6"/>
    <x v="3"/>
    <n v="414"/>
  </r>
  <r>
    <x v="42"/>
    <x v="6"/>
    <x v="4"/>
    <n v="50"/>
  </r>
  <r>
    <x v="42"/>
    <x v="7"/>
    <x v="22"/>
    <n v="2093"/>
  </r>
  <r>
    <x v="42"/>
    <x v="7"/>
    <x v="5"/>
    <n v="53"/>
  </r>
  <r>
    <x v="42"/>
    <x v="7"/>
    <x v="24"/>
    <n v="826"/>
  </r>
  <r>
    <x v="42"/>
    <x v="7"/>
    <x v="7"/>
    <n v="240"/>
  </r>
  <r>
    <x v="42"/>
    <x v="7"/>
    <x v="3"/>
    <n v="1245"/>
  </r>
  <r>
    <x v="42"/>
    <x v="7"/>
    <x v="4"/>
    <n v="146"/>
  </r>
  <r>
    <x v="42"/>
    <x v="8"/>
    <x v="22"/>
    <n v="2081"/>
  </r>
  <r>
    <x v="42"/>
    <x v="8"/>
    <x v="5"/>
    <n v="51"/>
  </r>
  <r>
    <x v="42"/>
    <x v="8"/>
    <x v="24"/>
    <n v="830"/>
  </r>
  <r>
    <x v="42"/>
    <x v="8"/>
    <x v="7"/>
    <n v="237"/>
  </r>
  <r>
    <x v="42"/>
    <x v="8"/>
    <x v="3"/>
    <n v="1260"/>
  </r>
  <r>
    <x v="42"/>
    <x v="8"/>
    <x v="4"/>
    <n v="144"/>
  </r>
  <r>
    <x v="31"/>
    <x v="6"/>
    <x v="22"/>
    <n v="621"/>
  </r>
  <r>
    <x v="31"/>
    <x v="6"/>
    <x v="5"/>
    <n v="53"/>
  </r>
  <r>
    <x v="31"/>
    <x v="6"/>
    <x v="23"/>
    <n v="35"/>
  </r>
  <r>
    <x v="31"/>
    <x v="6"/>
    <x v="24"/>
    <n v="1487"/>
  </r>
  <r>
    <x v="31"/>
    <x v="6"/>
    <x v="25"/>
    <n v="54"/>
  </r>
  <r>
    <x v="31"/>
    <x v="6"/>
    <x v="7"/>
    <n v="666"/>
  </r>
  <r>
    <x v="31"/>
    <x v="6"/>
    <x v="3"/>
    <n v="165"/>
  </r>
  <r>
    <x v="31"/>
    <x v="6"/>
    <x v="4"/>
    <n v="1"/>
  </r>
  <r>
    <x v="31"/>
    <x v="7"/>
    <x v="22"/>
    <n v="665"/>
  </r>
  <r>
    <x v="31"/>
    <x v="7"/>
    <x v="5"/>
    <n v="32"/>
  </r>
  <r>
    <x v="31"/>
    <x v="7"/>
    <x v="24"/>
    <n v="1562"/>
  </r>
  <r>
    <x v="31"/>
    <x v="7"/>
    <x v="7"/>
    <n v="350"/>
  </r>
  <r>
    <x v="31"/>
    <x v="7"/>
    <x v="3"/>
    <n v="472"/>
  </r>
  <r>
    <x v="31"/>
    <x v="7"/>
    <x v="4"/>
    <n v="1"/>
  </r>
  <r>
    <x v="31"/>
    <x v="8"/>
    <x v="22"/>
    <n v="654"/>
  </r>
  <r>
    <x v="31"/>
    <x v="8"/>
    <x v="5"/>
    <n v="34"/>
  </r>
  <r>
    <x v="31"/>
    <x v="8"/>
    <x v="24"/>
    <n v="1557"/>
  </r>
  <r>
    <x v="31"/>
    <x v="8"/>
    <x v="7"/>
    <n v="346"/>
  </r>
  <r>
    <x v="31"/>
    <x v="8"/>
    <x v="3"/>
    <n v="490"/>
  </r>
  <r>
    <x v="31"/>
    <x v="8"/>
    <x v="4"/>
    <n v="1"/>
  </r>
  <r>
    <x v="1"/>
    <x v="6"/>
    <x v="22"/>
    <n v="1467"/>
  </r>
  <r>
    <x v="1"/>
    <x v="6"/>
    <x v="5"/>
    <n v="138"/>
  </r>
  <r>
    <x v="1"/>
    <x v="6"/>
    <x v="23"/>
    <n v="31"/>
  </r>
  <r>
    <x v="1"/>
    <x v="6"/>
    <x v="24"/>
    <n v="1496"/>
  </r>
  <r>
    <x v="1"/>
    <x v="6"/>
    <x v="25"/>
    <n v="46"/>
  </r>
  <r>
    <x v="1"/>
    <x v="6"/>
    <x v="7"/>
    <n v="496"/>
  </r>
  <r>
    <x v="1"/>
    <x v="6"/>
    <x v="3"/>
    <n v="171"/>
  </r>
  <r>
    <x v="1"/>
    <x v="6"/>
    <x v="4"/>
    <n v="21"/>
  </r>
  <r>
    <x v="1"/>
    <x v="7"/>
    <x v="22"/>
    <n v="1596"/>
  </r>
  <r>
    <x v="1"/>
    <x v="7"/>
    <x v="5"/>
    <n v="178"/>
  </r>
  <r>
    <x v="1"/>
    <x v="7"/>
    <x v="24"/>
    <n v="1306"/>
  </r>
  <r>
    <x v="1"/>
    <x v="7"/>
    <x v="7"/>
    <n v="227"/>
  </r>
  <r>
    <x v="1"/>
    <x v="7"/>
    <x v="3"/>
    <n v="543"/>
  </r>
  <r>
    <x v="1"/>
    <x v="7"/>
    <x v="4"/>
    <n v="16"/>
  </r>
  <r>
    <x v="1"/>
    <x v="8"/>
    <x v="22"/>
    <n v="1596"/>
  </r>
  <r>
    <x v="1"/>
    <x v="8"/>
    <x v="5"/>
    <n v="175"/>
  </r>
  <r>
    <x v="1"/>
    <x v="8"/>
    <x v="24"/>
    <n v="1304"/>
  </r>
  <r>
    <x v="1"/>
    <x v="8"/>
    <x v="7"/>
    <n v="191"/>
  </r>
  <r>
    <x v="1"/>
    <x v="8"/>
    <x v="3"/>
    <n v="585"/>
  </r>
  <r>
    <x v="1"/>
    <x v="8"/>
    <x v="4"/>
    <n v="15"/>
  </r>
  <r>
    <x v="68"/>
    <x v="6"/>
    <x v="22"/>
    <n v="1360"/>
  </r>
  <r>
    <x v="68"/>
    <x v="6"/>
    <x v="5"/>
    <n v="76"/>
  </r>
  <r>
    <x v="68"/>
    <x v="6"/>
    <x v="23"/>
    <n v="70"/>
  </r>
  <r>
    <x v="68"/>
    <x v="6"/>
    <x v="24"/>
    <n v="1259"/>
  </r>
  <r>
    <x v="68"/>
    <x v="6"/>
    <x v="25"/>
    <n v="31"/>
  </r>
  <r>
    <x v="68"/>
    <x v="6"/>
    <x v="7"/>
    <n v="462"/>
  </r>
  <r>
    <x v="68"/>
    <x v="6"/>
    <x v="3"/>
    <n v="163"/>
  </r>
  <r>
    <x v="68"/>
    <x v="6"/>
    <x v="4"/>
    <n v="24"/>
  </r>
  <r>
    <x v="68"/>
    <x v="7"/>
    <x v="22"/>
    <n v="1531"/>
  </r>
  <r>
    <x v="68"/>
    <x v="7"/>
    <x v="5"/>
    <n v="69"/>
  </r>
  <r>
    <x v="68"/>
    <x v="7"/>
    <x v="24"/>
    <n v="1066"/>
  </r>
  <r>
    <x v="68"/>
    <x v="7"/>
    <x v="7"/>
    <n v="219"/>
  </r>
  <r>
    <x v="68"/>
    <x v="7"/>
    <x v="3"/>
    <n v="538"/>
  </r>
  <r>
    <x v="68"/>
    <x v="7"/>
    <x v="4"/>
    <n v="22"/>
  </r>
  <r>
    <x v="68"/>
    <x v="8"/>
    <x v="22"/>
    <n v="1519"/>
  </r>
  <r>
    <x v="68"/>
    <x v="8"/>
    <x v="5"/>
    <n v="64"/>
  </r>
  <r>
    <x v="68"/>
    <x v="8"/>
    <x v="24"/>
    <n v="1076"/>
  </r>
  <r>
    <x v="68"/>
    <x v="8"/>
    <x v="7"/>
    <n v="211"/>
  </r>
  <r>
    <x v="68"/>
    <x v="8"/>
    <x v="3"/>
    <n v="553"/>
  </r>
  <r>
    <x v="68"/>
    <x v="8"/>
    <x v="4"/>
    <n v="22"/>
  </r>
  <r>
    <x v="8"/>
    <x v="6"/>
    <x v="22"/>
    <n v="1185"/>
  </r>
  <r>
    <x v="8"/>
    <x v="6"/>
    <x v="5"/>
    <n v="21"/>
  </r>
  <r>
    <x v="8"/>
    <x v="6"/>
    <x v="23"/>
    <n v="35"/>
  </r>
  <r>
    <x v="8"/>
    <x v="6"/>
    <x v="24"/>
    <n v="1173"/>
  </r>
  <r>
    <x v="8"/>
    <x v="6"/>
    <x v="25"/>
    <n v="30"/>
  </r>
  <r>
    <x v="8"/>
    <x v="6"/>
    <x v="7"/>
    <n v="510"/>
  </r>
  <r>
    <x v="8"/>
    <x v="6"/>
    <x v="3"/>
    <n v="168"/>
  </r>
  <r>
    <x v="8"/>
    <x v="6"/>
    <x v="4"/>
    <n v="12"/>
  </r>
  <r>
    <x v="8"/>
    <x v="7"/>
    <x v="22"/>
    <n v="1330"/>
  </r>
  <r>
    <x v="8"/>
    <x v="7"/>
    <x v="5"/>
    <n v="17"/>
  </r>
  <r>
    <x v="8"/>
    <x v="7"/>
    <x v="24"/>
    <n v="1076"/>
  </r>
  <r>
    <x v="8"/>
    <x v="7"/>
    <x v="7"/>
    <n v="189"/>
  </r>
  <r>
    <x v="8"/>
    <x v="7"/>
    <x v="3"/>
    <n v="513"/>
  </r>
  <r>
    <x v="8"/>
    <x v="7"/>
    <x v="4"/>
    <n v="9"/>
  </r>
  <r>
    <x v="8"/>
    <x v="8"/>
    <x v="22"/>
    <n v="1322"/>
  </r>
  <r>
    <x v="8"/>
    <x v="8"/>
    <x v="5"/>
    <n v="16"/>
  </r>
  <r>
    <x v="8"/>
    <x v="8"/>
    <x v="24"/>
    <n v="1069"/>
  </r>
  <r>
    <x v="8"/>
    <x v="8"/>
    <x v="7"/>
    <n v="190"/>
  </r>
  <r>
    <x v="8"/>
    <x v="8"/>
    <x v="3"/>
    <n v="528"/>
  </r>
  <r>
    <x v="8"/>
    <x v="8"/>
    <x v="4"/>
    <n v="9"/>
  </r>
  <r>
    <x v="54"/>
    <x v="6"/>
    <x v="22"/>
    <n v="744"/>
  </r>
  <r>
    <x v="54"/>
    <x v="6"/>
    <x v="5"/>
    <n v="30"/>
  </r>
  <r>
    <x v="54"/>
    <x v="6"/>
    <x v="23"/>
    <n v="47"/>
  </r>
  <r>
    <x v="54"/>
    <x v="6"/>
    <x v="24"/>
    <n v="1115"/>
  </r>
  <r>
    <x v="54"/>
    <x v="6"/>
    <x v="25"/>
    <n v="40"/>
  </r>
  <r>
    <x v="54"/>
    <x v="6"/>
    <x v="7"/>
    <n v="641"/>
  </r>
  <r>
    <x v="54"/>
    <x v="6"/>
    <x v="3"/>
    <n v="167"/>
  </r>
  <r>
    <x v="54"/>
    <x v="6"/>
    <x v="4"/>
    <n v="11"/>
  </r>
  <r>
    <x v="54"/>
    <x v="7"/>
    <x v="22"/>
    <n v="968"/>
  </r>
  <r>
    <x v="54"/>
    <x v="7"/>
    <x v="5"/>
    <n v="23"/>
  </r>
  <r>
    <x v="54"/>
    <x v="7"/>
    <x v="24"/>
    <n v="1043"/>
  </r>
  <r>
    <x v="54"/>
    <x v="7"/>
    <x v="7"/>
    <n v="234"/>
  </r>
  <r>
    <x v="54"/>
    <x v="7"/>
    <x v="3"/>
    <n v="517"/>
  </r>
  <r>
    <x v="54"/>
    <x v="7"/>
    <x v="4"/>
    <n v="10"/>
  </r>
  <r>
    <x v="54"/>
    <x v="8"/>
    <x v="22"/>
    <n v="966"/>
  </r>
  <r>
    <x v="54"/>
    <x v="8"/>
    <x v="5"/>
    <n v="30"/>
  </r>
  <r>
    <x v="54"/>
    <x v="8"/>
    <x v="24"/>
    <n v="1052"/>
  </r>
  <r>
    <x v="54"/>
    <x v="8"/>
    <x v="7"/>
    <n v="222"/>
  </r>
  <r>
    <x v="54"/>
    <x v="8"/>
    <x v="3"/>
    <n v="517"/>
  </r>
  <r>
    <x v="54"/>
    <x v="8"/>
    <x v="4"/>
    <n v="8"/>
  </r>
  <r>
    <x v="0"/>
    <x v="6"/>
    <x v="22"/>
    <n v="371"/>
  </r>
  <r>
    <x v="0"/>
    <x v="6"/>
    <x v="5"/>
    <n v="29"/>
  </r>
  <r>
    <x v="0"/>
    <x v="6"/>
    <x v="23"/>
    <n v="7"/>
  </r>
  <r>
    <x v="0"/>
    <x v="6"/>
    <x v="24"/>
    <n v="388"/>
  </r>
  <r>
    <x v="0"/>
    <x v="6"/>
    <x v="25"/>
    <n v="22"/>
  </r>
  <r>
    <x v="0"/>
    <x v="6"/>
    <x v="7"/>
    <n v="328"/>
  </r>
  <r>
    <x v="0"/>
    <x v="6"/>
    <x v="3"/>
    <n v="95"/>
  </r>
  <r>
    <x v="0"/>
    <x v="6"/>
    <x v="4"/>
    <n v="22"/>
  </r>
  <r>
    <x v="0"/>
    <x v="7"/>
    <x v="22"/>
    <n v="404"/>
  </r>
  <r>
    <x v="0"/>
    <x v="7"/>
    <x v="5"/>
    <n v="83"/>
  </r>
  <r>
    <x v="0"/>
    <x v="7"/>
    <x v="24"/>
    <n v="406"/>
  </r>
  <r>
    <x v="0"/>
    <x v="7"/>
    <x v="7"/>
    <n v="83"/>
  </r>
  <r>
    <x v="0"/>
    <x v="7"/>
    <x v="3"/>
    <n v="264"/>
  </r>
  <r>
    <x v="0"/>
    <x v="7"/>
    <x v="4"/>
    <n v="22"/>
  </r>
  <r>
    <x v="0"/>
    <x v="8"/>
    <x v="22"/>
    <n v="390"/>
  </r>
  <r>
    <x v="0"/>
    <x v="8"/>
    <x v="5"/>
    <n v="15"/>
  </r>
  <r>
    <x v="0"/>
    <x v="8"/>
    <x v="24"/>
    <n v="413"/>
  </r>
  <r>
    <x v="0"/>
    <x v="8"/>
    <x v="7"/>
    <n v="79"/>
  </r>
  <r>
    <x v="0"/>
    <x v="8"/>
    <x v="3"/>
    <n v="363"/>
  </r>
  <r>
    <x v="0"/>
    <x v="8"/>
    <x v="4"/>
    <n v="2"/>
  </r>
  <r>
    <x v="2"/>
    <x v="6"/>
    <x v="22"/>
    <n v="679"/>
  </r>
  <r>
    <x v="2"/>
    <x v="6"/>
    <x v="5"/>
    <n v="23"/>
  </r>
  <r>
    <x v="2"/>
    <x v="6"/>
    <x v="23"/>
    <n v="19"/>
  </r>
  <r>
    <x v="2"/>
    <x v="6"/>
    <x v="24"/>
    <n v="837"/>
  </r>
  <r>
    <x v="2"/>
    <x v="6"/>
    <x v="25"/>
    <n v="36"/>
  </r>
  <r>
    <x v="2"/>
    <x v="6"/>
    <x v="7"/>
    <n v="207"/>
  </r>
  <r>
    <x v="2"/>
    <x v="6"/>
    <x v="3"/>
    <n v="85"/>
  </r>
  <r>
    <x v="2"/>
    <x v="6"/>
    <x v="4"/>
    <n v="1"/>
  </r>
  <r>
    <x v="2"/>
    <x v="7"/>
    <x v="22"/>
    <n v="789"/>
  </r>
  <r>
    <x v="2"/>
    <x v="7"/>
    <x v="5"/>
    <n v="25"/>
  </r>
  <r>
    <x v="2"/>
    <x v="7"/>
    <x v="24"/>
    <n v="854"/>
  </r>
  <r>
    <x v="2"/>
    <x v="7"/>
    <x v="7"/>
    <n v="29"/>
  </r>
  <r>
    <x v="2"/>
    <x v="7"/>
    <x v="3"/>
    <n v="190"/>
  </r>
  <r>
    <x v="2"/>
    <x v="7"/>
    <x v="4"/>
    <n v="0"/>
  </r>
  <r>
    <x v="2"/>
    <x v="8"/>
    <x v="22"/>
    <n v="759"/>
  </r>
  <r>
    <x v="2"/>
    <x v="8"/>
    <x v="5"/>
    <n v="9"/>
  </r>
  <r>
    <x v="2"/>
    <x v="8"/>
    <x v="24"/>
    <n v="789"/>
  </r>
  <r>
    <x v="2"/>
    <x v="8"/>
    <x v="7"/>
    <n v="28"/>
  </r>
  <r>
    <x v="2"/>
    <x v="8"/>
    <x v="3"/>
    <n v="302"/>
  </r>
  <r>
    <x v="2"/>
    <x v="8"/>
    <x v="4"/>
    <n v="0"/>
  </r>
  <r>
    <x v="3"/>
    <x v="6"/>
    <x v="22"/>
    <n v="234"/>
  </r>
  <r>
    <x v="3"/>
    <x v="6"/>
    <x v="5"/>
    <n v="14"/>
  </r>
  <r>
    <x v="3"/>
    <x v="6"/>
    <x v="23"/>
    <n v="1"/>
  </r>
  <r>
    <x v="3"/>
    <x v="6"/>
    <x v="24"/>
    <n v="176"/>
  </r>
  <r>
    <x v="3"/>
    <x v="6"/>
    <x v="25"/>
    <n v="4"/>
  </r>
  <r>
    <x v="3"/>
    <x v="6"/>
    <x v="7"/>
    <n v="104"/>
  </r>
  <r>
    <x v="3"/>
    <x v="6"/>
    <x v="3"/>
    <n v="43"/>
  </r>
  <r>
    <x v="3"/>
    <x v="6"/>
    <x v="4"/>
    <n v="2"/>
  </r>
  <r>
    <x v="3"/>
    <x v="7"/>
    <x v="22"/>
    <n v="258"/>
  </r>
  <r>
    <x v="3"/>
    <x v="7"/>
    <x v="5"/>
    <n v="4"/>
  </r>
  <r>
    <x v="3"/>
    <x v="7"/>
    <x v="24"/>
    <n v="173"/>
  </r>
  <r>
    <x v="3"/>
    <x v="7"/>
    <x v="7"/>
    <n v="24"/>
  </r>
  <r>
    <x v="3"/>
    <x v="7"/>
    <x v="3"/>
    <n v="118"/>
  </r>
  <r>
    <x v="3"/>
    <x v="7"/>
    <x v="4"/>
    <n v="1"/>
  </r>
  <r>
    <x v="3"/>
    <x v="8"/>
    <x v="22"/>
    <n v="258"/>
  </r>
  <r>
    <x v="3"/>
    <x v="8"/>
    <x v="5"/>
    <n v="4"/>
  </r>
  <r>
    <x v="3"/>
    <x v="8"/>
    <x v="24"/>
    <n v="179"/>
  </r>
  <r>
    <x v="3"/>
    <x v="8"/>
    <x v="7"/>
    <n v="26"/>
  </r>
  <r>
    <x v="3"/>
    <x v="8"/>
    <x v="3"/>
    <n v="110"/>
  </r>
  <r>
    <x v="3"/>
    <x v="8"/>
    <x v="4"/>
    <n v="1"/>
  </r>
  <r>
    <x v="4"/>
    <x v="6"/>
    <x v="22"/>
    <n v="76"/>
  </r>
  <r>
    <x v="4"/>
    <x v="6"/>
    <x v="5"/>
    <n v="4"/>
  </r>
  <r>
    <x v="4"/>
    <x v="6"/>
    <x v="23"/>
    <n v="0"/>
  </r>
  <r>
    <x v="4"/>
    <x v="6"/>
    <x v="24"/>
    <n v="216"/>
  </r>
  <r>
    <x v="4"/>
    <x v="6"/>
    <x v="25"/>
    <n v="0"/>
  </r>
  <r>
    <x v="4"/>
    <x v="6"/>
    <x v="7"/>
    <n v="25"/>
  </r>
  <r>
    <x v="4"/>
    <x v="6"/>
    <x v="3"/>
    <n v="22"/>
  </r>
  <r>
    <x v="4"/>
    <x v="6"/>
    <x v="4"/>
    <n v="2"/>
  </r>
  <r>
    <x v="4"/>
    <x v="7"/>
    <x v="22"/>
    <n v="90"/>
  </r>
  <r>
    <x v="4"/>
    <x v="7"/>
    <x v="5"/>
    <n v="2"/>
  </r>
  <r>
    <x v="4"/>
    <x v="7"/>
    <x v="24"/>
    <n v="188"/>
  </r>
  <r>
    <x v="4"/>
    <x v="7"/>
    <x v="7"/>
    <n v="5"/>
  </r>
  <r>
    <x v="4"/>
    <x v="7"/>
    <x v="3"/>
    <n v="60"/>
  </r>
  <r>
    <x v="4"/>
    <x v="7"/>
    <x v="4"/>
    <n v="0"/>
  </r>
  <r>
    <x v="4"/>
    <x v="8"/>
    <x v="22"/>
    <n v="90"/>
  </r>
  <r>
    <x v="4"/>
    <x v="8"/>
    <x v="5"/>
    <n v="2"/>
  </r>
  <r>
    <x v="4"/>
    <x v="8"/>
    <x v="24"/>
    <n v="181"/>
  </r>
  <r>
    <x v="4"/>
    <x v="8"/>
    <x v="7"/>
    <n v="5"/>
  </r>
  <r>
    <x v="4"/>
    <x v="8"/>
    <x v="3"/>
    <n v="67"/>
  </r>
  <r>
    <x v="4"/>
    <x v="8"/>
    <x v="4"/>
    <n v="0"/>
  </r>
  <r>
    <x v="5"/>
    <x v="6"/>
    <x v="22"/>
    <n v="672"/>
  </r>
  <r>
    <x v="5"/>
    <x v="6"/>
    <x v="5"/>
    <n v="21"/>
  </r>
  <r>
    <x v="5"/>
    <x v="6"/>
    <x v="23"/>
    <n v="13"/>
  </r>
  <r>
    <x v="5"/>
    <x v="6"/>
    <x v="24"/>
    <n v="597"/>
  </r>
  <r>
    <x v="5"/>
    <x v="6"/>
    <x v="25"/>
    <n v="26"/>
  </r>
  <r>
    <x v="5"/>
    <x v="6"/>
    <x v="7"/>
    <n v="137"/>
  </r>
  <r>
    <x v="5"/>
    <x v="6"/>
    <x v="3"/>
    <n v="71"/>
  </r>
  <r>
    <x v="5"/>
    <x v="6"/>
    <x v="4"/>
    <n v="4"/>
  </r>
  <r>
    <x v="5"/>
    <x v="7"/>
    <x v="22"/>
    <n v="631"/>
  </r>
  <r>
    <x v="5"/>
    <x v="7"/>
    <x v="5"/>
    <n v="6"/>
  </r>
  <r>
    <x v="5"/>
    <x v="7"/>
    <x v="24"/>
    <n v="695"/>
  </r>
  <r>
    <x v="5"/>
    <x v="7"/>
    <x v="7"/>
    <n v="32"/>
  </r>
  <r>
    <x v="5"/>
    <x v="7"/>
    <x v="3"/>
    <n v="170"/>
  </r>
  <r>
    <x v="5"/>
    <x v="7"/>
    <x v="4"/>
    <n v="7"/>
  </r>
  <r>
    <x v="5"/>
    <x v="8"/>
    <x v="22"/>
    <n v="632"/>
  </r>
  <r>
    <x v="5"/>
    <x v="8"/>
    <x v="5"/>
    <n v="5"/>
  </r>
  <r>
    <x v="5"/>
    <x v="8"/>
    <x v="24"/>
    <n v="690"/>
  </r>
  <r>
    <x v="5"/>
    <x v="8"/>
    <x v="7"/>
    <n v="33"/>
  </r>
  <r>
    <x v="5"/>
    <x v="8"/>
    <x v="3"/>
    <n v="174"/>
  </r>
  <r>
    <x v="5"/>
    <x v="8"/>
    <x v="4"/>
    <n v="7"/>
  </r>
  <r>
    <x v="7"/>
    <x v="6"/>
    <x v="22"/>
    <n v="813"/>
  </r>
  <r>
    <x v="7"/>
    <x v="6"/>
    <x v="5"/>
    <n v="56"/>
  </r>
  <r>
    <x v="7"/>
    <x v="6"/>
    <x v="23"/>
    <n v="16"/>
  </r>
  <r>
    <x v="7"/>
    <x v="6"/>
    <x v="24"/>
    <n v="234"/>
  </r>
  <r>
    <x v="7"/>
    <x v="6"/>
    <x v="25"/>
    <n v="43"/>
  </r>
  <r>
    <x v="7"/>
    <x v="6"/>
    <x v="7"/>
    <n v="220"/>
  </r>
  <r>
    <x v="7"/>
    <x v="6"/>
    <x v="3"/>
    <n v="66"/>
  </r>
  <r>
    <x v="7"/>
    <x v="6"/>
    <x v="4"/>
    <n v="13"/>
  </r>
  <r>
    <x v="7"/>
    <x v="7"/>
    <x v="22"/>
    <n v="799"/>
  </r>
  <r>
    <x v="7"/>
    <x v="7"/>
    <x v="5"/>
    <n v="73"/>
  </r>
  <r>
    <x v="7"/>
    <x v="7"/>
    <x v="24"/>
    <n v="194"/>
  </r>
  <r>
    <x v="7"/>
    <x v="7"/>
    <x v="7"/>
    <n v="106"/>
  </r>
  <r>
    <x v="7"/>
    <x v="7"/>
    <x v="3"/>
    <n v="276"/>
  </r>
  <r>
    <x v="7"/>
    <x v="7"/>
    <x v="4"/>
    <n v="13"/>
  </r>
  <r>
    <x v="7"/>
    <x v="8"/>
    <x v="22"/>
    <n v="807"/>
  </r>
  <r>
    <x v="7"/>
    <x v="8"/>
    <x v="5"/>
    <n v="67"/>
  </r>
  <r>
    <x v="7"/>
    <x v="8"/>
    <x v="24"/>
    <n v="192"/>
  </r>
  <r>
    <x v="7"/>
    <x v="8"/>
    <x v="7"/>
    <n v="102"/>
  </r>
  <r>
    <x v="7"/>
    <x v="8"/>
    <x v="3"/>
    <n v="283"/>
  </r>
  <r>
    <x v="7"/>
    <x v="8"/>
    <x v="4"/>
    <n v="10"/>
  </r>
  <r>
    <x v="81"/>
    <x v="6"/>
    <x v="22"/>
    <n v="16"/>
  </r>
  <r>
    <x v="81"/>
    <x v="6"/>
    <x v="5"/>
    <n v="0"/>
  </r>
  <r>
    <x v="81"/>
    <x v="6"/>
    <x v="23"/>
    <n v="3"/>
  </r>
  <r>
    <x v="81"/>
    <x v="6"/>
    <x v="24"/>
    <n v="12"/>
  </r>
  <r>
    <x v="81"/>
    <x v="6"/>
    <x v="25"/>
    <n v="2"/>
  </r>
  <r>
    <x v="81"/>
    <x v="6"/>
    <x v="7"/>
    <n v="8"/>
  </r>
  <r>
    <x v="81"/>
    <x v="6"/>
    <x v="3"/>
    <n v="3"/>
  </r>
  <r>
    <x v="81"/>
    <x v="6"/>
    <x v="4"/>
    <n v="0"/>
  </r>
  <r>
    <x v="81"/>
    <x v="7"/>
    <x v="22"/>
    <n v="18"/>
  </r>
  <r>
    <x v="81"/>
    <x v="7"/>
    <x v="5"/>
    <n v="0"/>
  </r>
  <r>
    <x v="81"/>
    <x v="7"/>
    <x v="24"/>
    <n v="8"/>
  </r>
  <r>
    <x v="81"/>
    <x v="7"/>
    <x v="7"/>
    <n v="4"/>
  </r>
  <r>
    <x v="81"/>
    <x v="7"/>
    <x v="3"/>
    <n v="14"/>
  </r>
  <r>
    <x v="81"/>
    <x v="7"/>
    <x v="4"/>
    <n v="0"/>
  </r>
  <r>
    <x v="81"/>
    <x v="8"/>
    <x v="22"/>
    <n v="18"/>
  </r>
  <r>
    <x v="81"/>
    <x v="8"/>
    <x v="5"/>
    <n v="0"/>
  </r>
  <r>
    <x v="81"/>
    <x v="8"/>
    <x v="24"/>
    <n v="8"/>
  </r>
  <r>
    <x v="81"/>
    <x v="8"/>
    <x v="7"/>
    <n v="4"/>
  </r>
  <r>
    <x v="81"/>
    <x v="8"/>
    <x v="3"/>
    <n v="14"/>
  </r>
  <r>
    <x v="81"/>
    <x v="8"/>
    <x v="4"/>
    <n v="0"/>
  </r>
  <r>
    <x v="9"/>
    <x v="6"/>
    <x v="22"/>
    <n v="509"/>
  </r>
  <r>
    <x v="9"/>
    <x v="6"/>
    <x v="5"/>
    <n v="14"/>
  </r>
  <r>
    <x v="9"/>
    <x v="6"/>
    <x v="23"/>
    <n v="22"/>
  </r>
  <r>
    <x v="9"/>
    <x v="6"/>
    <x v="24"/>
    <n v="510"/>
  </r>
  <r>
    <x v="9"/>
    <x v="6"/>
    <x v="25"/>
    <n v="20"/>
  </r>
  <r>
    <x v="9"/>
    <x v="6"/>
    <x v="7"/>
    <n v="202"/>
  </r>
  <r>
    <x v="9"/>
    <x v="6"/>
    <x v="3"/>
    <n v="65"/>
  </r>
  <r>
    <x v="9"/>
    <x v="6"/>
    <x v="4"/>
    <n v="3"/>
  </r>
  <r>
    <x v="9"/>
    <x v="7"/>
    <x v="22"/>
    <n v="592"/>
  </r>
  <r>
    <x v="9"/>
    <x v="7"/>
    <x v="5"/>
    <n v="7"/>
  </r>
  <r>
    <x v="9"/>
    <x v="7"/>
    <x v="24"/>
    <n v="449"/>
  </r>
  <r>
    <x v="9"/>
    <x v="7"/>
    <x v="7"/>
    <n v="81"/>
  </r>
  <r>
    <x v="9"/>
    <x v="7"/>
    <x v="3"/>
    <n v="211"/>
  </r>
  <r>
    <x v="9"/>
    <x v="7"/>
    <x v="4"/>
    <n v="5"/>
  </r>
  <r>
    <x v="9"/>
    <x v="8"/>
    <x v="22"/>
    <n v="592"/>
  </r>
  <r>
    <x v="9"/>
    <x v="8"/>
    <x v="5"/>
    <n v="6"/>
  </r>
  <r>
    <x v="9"/>
    <x v="8"/>
    <x v="24"/>
    <n v="438"/>
  </r>
  <r>
    <x v="9"/>
    <x v="8"/>
    <x v="7"/>
    <n v="81"/>
  </r>
  <r>
    <x v="9"/>
    <x v="8"/>
    <x v="3"/>
    <n v="223"/>
  </r>
  <r>
    <x v="9"/>
    <x v="8"/>
    <x v="4"/>
    <n v="5"/>
  </r>
  <r>
    <x v="10"/>
    <x v="6"/>
    <x v="22"/>
    <n v="379"/>
  </r>
  <r>
    <x v="10"/>
    <x v="6"/>
    <x v="5"/>
    <n v="4"/>
  </r>
  <r>
    <x v="10"/>
    <x v="6"/>
    <x v="23"/>
    <n v="15"/>
  </r>
  <r>
    <x v="10"/>
    <x v="6"/>
    <x v="24"/>
    <n v="217"/>
  </r>
  <r>
    <x v="10"/>
    <x v="6"/>
    <x v="25"/>
    <n v="12"/>
  </r>
  <r>
    <x v="10"/>
    <x v="6"/>
    <x v="7"/>
    <n v="109"/>
  </r>
  <r>
    <x v="10"/>
    <x v="6"/>
    <x v="3"/>
    <n v="35"/>
  </r>
  <r>
    <x v="10"/>
    <x v="6"/>
    <x v="4"/>
    <n v="10"/>
  </r>
  <r>
    <x v="10"/>
    <x v="7"/>
    <x v="22"/>
    <n v="438"/>
  </r>
  <r>
    <x v="10"/>
    <x v="7"/>
    <x v="5"/>
    <n v="4"/>
  </r>
  <r>
    <x v="10"/>
    <x v="7"/>
    <x v="24"/>
    <n v="197"/>
  </r>
  <r>
    <x v="10"/>
    <x v="7"/>
    <x v="7"/>
    <n v="43"/>
  </r>
  <r>
    <x v="10"/>
    <x v="7"/>
    <x v="3"/>
    <n v="88"/>
  </r>
  <r>
    <x v="10"/>
    <x v="7"/>
    <x v="4"/>
    <n v="11"/>
  </r>
  <r>
    <x v="10"/>
    <x v="8"/>
    <x v="22"/>
    <n v="438"/>
  </r>
  <r>
    <x v="10"/>
    <x v="8"/>
    <x v="5"/>
    <n v="4"/>
  </r>
  <r>
    <x v="10"/>
    <x v="8"/>
    <x v="24"/>
    <n v="201"/>
  </r>
  <r>
    <x v="10"/>
    <x v="8"/>
    <x v="7"/>
    <n v="43"/>
  </r>
  <r>
    <x v="10"/>
    <x v="8"/>
    <x v="3"/>
    <n v="88"/>
  </r>
  <r>
    <x v="10"/>
    <x v="8"/>
    <x v="4"/>
    <n v="7"/>
  </r>
  <r>
    <x v="11"/>
    <x v="6"/>
    <x v="22"/>
    <n v="15"/>
  </r>
  <r>
    <x v="11"/>
    <x v="6"/>
    <x v="5"/>
    <n v="0"/>
  </r>
  <r>
    <x v="11"/>
    <x v="6"/>
    <x v="23"/>
    <n v="0"/>
  </r>
  <r>
    <x v="11"/>
    <x v="6"/>
    <x v="24"/>
    <n v="0"/>
  </r>
  <r>
    <x v="11"/>
    <x v="6"/>
    <x v="25"/>
    <n v="0"/>
  </r>
  <r>
    <x v="11"/>
    <x v="6"/>
    <x v="7"/>
    <n v="4"/>
  </r>
  <r>
    <x v="11"/>
    <x v="6"/>
    <x v="3"/>
    <n v="0"/>
  </r>
  <r>
    <x v="11"/>
    <x v="6"/>
    <x v="4"/>
    <n v="0"/>
  </r>
  <r>
    <x v="11"/>
    <x v="7"/>
    <x v="22"/>
    <n v="16"/>
  </r>
  <r>
    <x v="11"/>
    <x v="7"/>
    <x v="5"/>
    <n v="0"/>
  </r>
  <r>
    <x v="11"/>
    <x v="7"/>
    <x v="24"/>
    <n v="0"/>
  </r>
  <r>
    <x v="11"/>
    <x v="7"/>
    <x v="7"/>
    <n v="1"/>
  </r>
  <r>
    <x v="11"/>
    <x v="7"/>
    <x v="3"/>
    <n v="2"/>
  </r>
  <r>
    <x v="11"/>
    <x v="7"/>
    <x v="4"/>
    <n v="0"/>
  </r>
  <r>
    <x v="11"/>
    <x v="8"/>
    <x v="22"/>
    <n v="16"/>
  </r>
  <r>
    <x v="11"/>
    <x v="8"/>
    <x v="5"/>
    <n v="0"/>
  </r>
  <r>
    <x v="11"/>
    <x v="8"/>
    <x v="24"/>
    <n v="0"/>
  </r>
  <r>
    <x v="11"/>
    <x v="8"/>
    <x v="7"/>
    <n v="1"/>
  </r>
  <r>
    <x v="11"/>
    <x v="8"/>
    <x v="3"/>
    <n v="2"/>
  </r>
  <r>
    <x v="11"/>
    <x v="8"/>
    <x v="4"/>
    <n v="0"/>
  </r>
  <r>
    <x v="12"/>
    <x v="6"/>
    <x v="22"/>
    <n v="1093"/>
  </r>
  <r>
    <x v="12"/>
    <x v="6"/>
    <x v="5"/>
    <n v="17"/>
  </r>
  <r>
    <x v="12"/>
    <x v="6"/>
    <x v="23"/>
    <n v="44"/>
  </r>
  <r>
    <x v="12"/>
    <x v="6"/>
    <x v="24"/>
    <n v="265"/>
  </r>
  <r>
    <x v="12"/>
    <x v="6"/>
    <x v="25"/>
    <n v="25"/>
  </r>
  <r>
    <x v="12"/>
    <x v="6"/>
    <x v="7"/>
    <n v="359"/>
  </r>
  <r>
    <x v="12"/>
    <x v="6"/>
    <x v="3"/>
    <n v="237"/>
  </r>
  <r>
    <x v="12"/>
    <x v="6"/>
    <x v="4"/>
    <n v="13"/>
  </r>
  <r>
    <x v="12"/>
    <x v="7"/>
    <x v="22"/>
    <n v="1133"/>
  </r>
  <r>
    <x v="12"/>
    <x v="7"/>
    <x v="5"/>
    <n v="10"/>
  </r>
  <r>
    <x v="12"/>
    <x v="7"/>
    <x v="24"/>
    <n v="280"/>
  </r>
  <r>
    <x v="12"/>
    <x v="7"/>
    <x v="7"/>
    <n v="118"/>
  </r>
  <r>
    <x v="12"/>
    <x v="7"/>
    <x v="3"/>
    <n v="502"/>
  </r>
  <r>
    <x v="12"/>
    <x v="7"/>
    <x v="4"/>
    <n v="10"/>
  </r>
  <r>
    <x v="12"/>
    <x v="8"/>
    <x v="22"/>
    <n v="1135"/>
  </r>
  <r>
    <x v="12"/>
    <x v="8"/>
    <x v="5"/>
    <n v="10"/>
  </r>
  <r>
    <x v="12"/>
    <x v="8"/>
    <x v="24"/>
    <n v="274"/>
  </r>
  <r>
    <x v="12"/>
    <x v="8"/>
    <x v="7"/>
    <n v="118"/>
  </r>
  <r>
    <x v="12"/>
    <x v="8"/>
    <x v="3"/>
    <n v="509"/>
  </r>
  <r>
    <x v="12"/>
    <x v="8"/>
    <x v="4"/>
    <n v="7"/>
  </r>
  <r>
    <x v="13"/>
    <x v="6"/>
    <x v="22"/>
    <n v="436"/>
  </r>
  <r>
    <x v="13"/>
    <x v="6"/>
    <x v="5"/>
    <n v="5"/>
  </r>
  <r>
    <x v="13"/>
    <x v="6"/>
    <x v="23"/>
    <n v="17"/>
  </r>
  <r>
    <x v="13"/>
    <x v="6"/>
    <x v="24"/>
    <n v="622"/>
  </r>
  <r>
    <x v="13"/>
    <x v="6"/>
    <x v="25"/>
    <n v="7"/>
  </r>
  <r>
    <x v="13"/>
    <x v="6"/>
    <x v="7"/>
    <n v="148"/>
  </r>
  <r>
    <x v="13"/>
    <x v="6"/>
    <x v="3"/>
    <n v="103"/>
  </r>
  <r>
    <x v="13"/>
    <x v="6"/>
    <x v="4"/>
    <n v="0"/>
  </r>
  <r>
    <x v="13"/>
    <x v="7"/>
    <x v="22"/>
    <n v="528"/>
  </r>
  <r>
    <x v="13"/>
    <x v="7"/>
    <x v="5"/>
    <n v="2"/>
  </r>
  <r>
    <x v="13"/>
    <x v="7"/>
    <x v="24"/>
    <n v="605"/>
  </r>
  <r>
    <x v="13"/>
    <x v="7"/>
    <x v="7"/>
    <n v="23"/>
  </r>
  <r>
    <x v="13"/>
    <x v="7"/>
    <x v="3"/>
    <n v="180"/>
  </r>
  <r>
    <x v="13"/>
    <x v="7"/>
    <x v="4"/>
    <n v="0"/>
  </r>
  <r>
    <x v="13"/>
    <x v="8"/>
    <x v="22"/>
    <n v="532"/>
  </r>
  <r>
    <x v="13"/>
    <x v="8"/>
    <x v="5"/>
    <n v="2"/>
  </r>
  <r>
    <x v="13"/>
    <x v="8"/>
    <x v="24"/>
    <n v="603"/>
  </r>
  <r>
    <x v="13"/>
    <x v="8"/>
    <x v="7"/>
    <n v="22"/>
  </r>
  <r>
    <x v="13"/>
    <x v="8"/>
    <x v="3"/>
    <n v="179"/>
  </r>
  <r>
    <x v="13"/>
    <x v="8"/>
    <x v="4"/>
    <n v="0"/>
  </r>
  <r>
    <x v="14"/>
    <x v="6"/>
    <x v="22"/>
    <n v="25"/>
  </r>
  <r>
    <x v="14"/>
    <x v="6"/>
    <x v="5"/>
    <n v="0"/>
  </r>
  <r>
    <x v="14"/>
    <x v="6"/>
    <x v="23"/>
    <n v="1"/>
  </r>
  <r>
    <x v="14"/>
    <x v="6"/>
    <x v="24"/>
    <n v="62"/>
  </r>
  <r>
    <x v="14"/>
    <x v="6"/>
    <x v="25"/>
    <n v="0"/>
  </r>
  <r>
    <x v="14"/>
    <x v="6"/>
    <x v="7"/>
    <n v="26"/>
  </r>
  <r>
    <x v="14"/>
    <x v="6"/>
    <x v="3"/>
    <n v="11"/>
  </r>
  <r>
    <x v="14"/>
    <x v="6"/>
    <x v="4"/>
    <n v="0"/>
  </r>
  <r>
    <x v="14"/>
    <x v="7"/>
    <x v="22"/>
    <n v="34"/>
  </r>
  <r>
    <x v="14"/>
    <x v="7"/>
    <x v="5"/>
    <n v="0"/>
  </r>
  <r>
    <x v="14"/>
    <x v="7"/>
    <x v="24"/>
    <n v="62"/>
  </r>
  <r>
    <x v="14"/>
    <x v="7"/>
    <x v="7"/>
    <n v="2"/>
  </r>
  <r>
    <x v="14"/>
    <x v="7"/>
    <x v="3"/>
    <n v="27"/>
  </r>
  <r>
    <x v="14"/>
    <x v="7"/>
    <x v="4"/>
    <n v="0"/>
  </r>
  <r>
    <x v="14"/>
    <x v="8"/>
    <x v="22"/>
    <n v="34"/>
  </r>
  <r>
    <x v="14"/>
    <x v="8"/>
    <x v="5"/>
    <n v="0"/>
  </r>
  <r>
    <x v="14"/>
    <x v="8"/>
    <x v="24"/>
    <n v="62"/>
  </r>
  <r>
    <x v="14"/>
    <x v="8"/>
    <x v="7"/>
    <n v="2"/>
  </r>
  <r>
    <x v="14"/>
    <x v="8"/>
    <x v="3"/>
    <n v="27"/>
  </r>
  <r>
    <x v="14"/>
    <x v="8"/>
    <x v="4"/>
    <n v="0"/>
  </r>
  <r>
    <x v="15"/>
    <x v="6"/>
    <x v="22"/>
    <n v="108"/>
  </r>
  <r>
    <x v="15"/>
    <x v="6"/>
    <x v="5"/>
    <n v="5"/>
  </r>
  <r>
    <x v="15"/>
    <x v="6"/>
    <x v="23"/>
    <n v="3"/>
  </r>
  <r>
    <x v="15"/>
    <x v="6"/>
    <x v="24"/>
    <n v="98"/>
  </r>
  <r>
    <x v="15"/>
    <x v="6"/>
    <x v="25"/>
    <n v="4"/>
  </r>
  <r>
    <x v="15"/>
    <x v="6"/>
    <x v="7"/>
    <n v="36"/>
  </r>
  <r>
    <x v="15"/>
    <x v="6"/>
    <x v="3"/>
    <n v="23"/>
  </r>
  <r>
    <x v="15"/>
    <x v="6"/>
    <x v="4"/>
    <n v="0"/>
  </r>
  <r>
    <x v="15"/>
    <x v="7"/>
    <x v="22"/>
    <n v="92"/>
  </r>
  <r>
    <x v="15"/>
    <x v="7"/>
    <x v="5"/>
    <n v="4"/>
  </r>
  <r>
    <x v="15"/>
    <x v="7"/>
    <x v="24"/>
    <n v="97"/>
  </r>
  <r>
    <x v="15"/>
    <x v="7"/>
    <x v="7"/>
    <n v="12"/>
  </r>
  <r>
    <x v="15"/>
    <x v="7"/>
    <x v="3"/>
    <n v="72"/>
  </r>
  <r>
    <x v="15"/>
    <x v="7"/>
    <x v="4"/>
    <n v="0"/>
  </r>
  <r>
    <x v="15"/>
    <x v="8"/>
    <x v="22"/>
    <n v="88"/>
  </r>
  <r>
    <x v="15"/>
    <x v="8"/>
    <x v="5"/>
    <n v="4"/>
  </r>
  <r>
    <x v="15"/>
    <x v="8"/>
    <x v="24"/>
    <n v="100"/>
  </r>
  <r>
    <x v="15"/>
    <x v="8"/>
    <x v="7"/>
    <n v="12"/>
  </r>
  <r>
    <x v="15"/>
    <x v="8"/>
    <x v="3"/>
    <n v="73"/>
  </r>
  <r>
    <x v="15"/>
    <x v="8"/>
    <x v="4"/>
    <n v="0"/>
  </r>
  <r>
    <x v="16"/>
    <x v="6"/>
    <x v="22"/>
    <n v="166"/>
  </r>
  <r>
    <x v="16"/>
    <x v="6"/>
    <x v="5"/>
    <n v="7"/>
  </r>
  <r>
    <x v="16"/>
    <x v="6"/>
    <x v="23"/>
    <n v="17"/>
  </r>
  <r>
    <x v="16"/>
    <x v="6"/>
    <x v="24"/>
    <n v="222"/>
  </r>
  <r>
    <x v="16"/>
    <x v="6"/>
    <x v="25"/>
    <n v="12"/>
  </r>
  <r>
    <x v="16"/>
    <x v="6"/>
    <x v="7"/>
    <n v="96"/>
  </r>
  <r>
    <x v="16"/>
    <x v="6"/>
    <x v="3"/>
    <n v="36"/>
  </r>
  <r>
    <x v="16"/>
    <x v="6"/>
    <x v="4"/>
    <n v="0"/>
  </r>
  <r>
    <x v="16"/>
    <x v="7"/>
    <x v="22"/>
    <n v="189"/>
  </r>
  <r>
    <x v="16"/>
    <x v="7"/>
    <x v="5"/>
    <n v="5"/>
  </r>
  <r>
    <x v="16"/>
    <x v="7"/>
    <x v="24"/>
    <n v="158"/>
  </r>
  <r>
    <x v="16"/>
    <x v="7"/>
    <x v="7"/>
    <n v="65"/>
  </r>
  <r>
    <x v="16"/>
    <x v="7"/>
    <x v="3"/>
    <n v="139"/>
  </r>
  <r>
    <x v="16"/>
    <x v="7"/>
    <x v="4"/>
    <n v="0"/>
  </r>
  <r>
    <x v="16"/>
    <x v="8"/>
    <x v="22"/>
    <n v="189"/>
  </r>
  <r>
    <x v="16"/>
    <x v="8"/>
    <x v="5"/>
    <n v="5"/>
  </r>
  <r>
    <x v="16"/>
    <x v="8"/>
    <x v="24"/>
    <n v="156"/>
  </r>
  <r>
    <x v="16"/>
    <x v="8"/>
    <x v="7"/>
    <n v="62"/>
  </r>
  <r>
    <x v="16"/>
    <x v="8"/>
    <x v="3"/>
    <n v="144"/>
  </r>
  <r>
    <x v="16"/>
    <x v="8"/>
    <x v="4"/>
    <n v="0"/>
  </r>
  <r>
    <x v="18"/>
    <x v="6"/>
    <x v="22"/>
    <n v="255"/>
  </r>
  <r>
    <x v="18"/>
    <x v="6"/>
    <x v="5"/>
    <n v="33"/>
  </r>
  <r>
    <x v="18"/>
    <x v="6"/>
    <x v="23"/>
    <n v="5"/>
  </r>
  <r>
    <x v="18"/>
    <x v="6"/>
    <x v="24"/>
    <n v="161"/>
  </r>
  <r>
    <x v="18"/>
    <x v="6"/>
    <x v="25"/>
    <n v="6"/>
  </r>
  <r>
    <x v="18"/>
    <x v="6"/>
    <x v="7"/>
    <n v="78"/>
  </r>
  <r>
    <x v="18"/>
    <x v="6"/>
    <x v="3"/>
    <n v="39"/>
  </r>
  <r>
    <x v="18"/>
    <x v="6"/>
    <x v="4"/>
    <n v="0"/>
  </r>
  <r>
    <x v="18"/>
    <x v="7"/>
    <x v="22"/>
    <n v="299"/>
  </r>
  <r>
    <x v="18"/>
    <x v="7"/>
    <x v="5"/>
    <n v="32"/>
  </r>
  <r>
    <x v="18"/>
    <x v="7"/>
    <x v="24"/>
    <n v="155"/>
  </r>
  <r>
    <x v="18"/>
    <x v="7"/>
    <x v="7"/>
    <n v="19"/>
  </r>
  <r>
    <x v="18"/>
    <x v="7"/>
    <x v="3"/>
    <n v="72"/>
  </r>
  <r>
    <x v="18"/>
    <x v="7"/>
    <x v="4"/>
    <n v="0"/>
  </r>
  <r>
    <x v="18"/>
    <x v="8"/>
    <x v="22"/>
    <n v="298"/>
  </r>
  <r>
    <x v="18"/>
    <x v="8"/>
    <x v="5"/>
    <n v="29"/>
  </r>
  <r>
    <x v="18"/>
    <x v="8"/>
    <x v="24"/>
    <n v="155"/>
  </r>
  <r>
    <x v="18"/>
    <x v="8"/>
    <x v="7"/>
    <n v="19"/>
  </r>
  <r>
    <x v="18"/>
    <x v="8"/>
    <x v="3"/>
    <n v="76"/>
  </r>
  <r>
    <x v="18"/>
    <x v="8"/>
    <x v="4"/>
    <n v="0"/>
  </r>
  <r>
    <x v="19"/>
    <x v="6"/>
    <x v="22"/>
    <n v="173"/>
  </r>
  <r>
    <x v="19"/>
    <x v="6"/>
    <x v="5"/>
    <n v="2"/>
  </r>
  <r>
    <x v="19"/>
    <x v="6"/>
    <x v="23"/>
    <n v="10"/>
  </r>
  <r>
    <x v="19"/>
    <x v="6"/>
    <x v="24"/>
    <n v="39"/>
  </r>
  <r>
    <x v="19"/>
    <x v="6"/>
    <x v="25"/>
    <n v="8"/>
  </r>
  <r>
    <x v="19"/>
    <x v="6"/>
    <x v="7"/>
    <n v="95"/>
  </r>
  <r>
    <x v="19"/>
    <x v="6"/>
    <x v="3"/>
    <n v="25"/>
  </r>
  <r>
    <x v="19"/>
    <x v="6"/>
    <x v="4"/>
    <n v="1"/>
  </r>
  <r>
    <x v="19"/>
    <x v="7"/>
    <x v="22"/>
    <n v="194"/>
  </r>
  <r>
    <x v="19"/>
    <x v="7"/>
    <x v="5"/>
    <n v="2"/>
  </r>
  <r>
    <x v="19"/>
    <x v="7"/>
    <x v="24"/>
    <n v="46"/>
  </r>
  <r>
    <x v="19"/>
    <x v="7"/>
    <x v="7"/>
    <n v="45"/>
  </r>
  <r>
    <x v="19"/>
    <x v="7"/>
    <x v="3"/>
    <n v="65"/>
  </r>
  <r>
    <x v="19"/>
    <x v="7"/>
    <x v="4"/>
    <n v="1"/>
  </r>
  <r>
    <x v="19"/>
    <x v="8"/>
    <x v="22"/>
    <n v="194"/>
  </r>
  <r>
    <x v="19"/>
    <x v="8"/>
    <x v="5"/>
    <n v="2"/>
  </r>
  <r>
    <x v="19"/>
    <x v="8"/>
    <x v="24"/>
    <n v="46"/>
  </r>
  <r>
    <x v="19"/>
    <x v="8"/>
    <x v="7"/>
    <n v="45"/>
  </r>
  <r>
    <x v="19"/>
    <x v="8"/>
    <x v="3"/>
    <n v="65"/>
  </r>
  <r>
    <x v="19"/>
    <x v="8"/>
    <x v="4"/>
    <n v="1"/>
  </r>
  <r>
    <x v="20"/>
    <x v="6"/>
    <x v="22"/>
    <n v="394"/>
  </r>
  <r>
    <x v="20"/>
    <x v="6"/>
    <x v="5"/>
    <n v="1"/>
  </r>
  <r>
    <x v="20"/>
    <x v="6"/>
    <x v="23"/>
    <n v="4"/>
  </r>
  <r>
    <x v="20"/>
    <x v="6"/>
    <x v="24"/>
    <n v="117"/>
  </r>
  <r>
    <x v="20"/>
    <x v="6"/>
    <x v="25"/>
    <n v="5"/>
  </r>
  <r>
    <x v="20"/>
    <x v="6"/>
    <x v="7"/>
    <n v="63"/>
  </r>
  <r>
    <x v="20"/>
    <x v="6"/>
    <x v="3"/>
    <n v="79"/>
  </r>
  <r>
    <x v="20"/>
    <x v="6"/>
    <x v="4"/>
    <n v="0"/>
  </r>
  <r>
    <x v="20"/>
    <x v="7"/>
    <x v="22"/>
    <n v="393"/>
  </r>
  <r>
    <x v="20"/>
    <x v="7"/>
    <x v="5"/>
    <n v="4"/>
  </r>
  <r>
    <x v="20"/>
    <x v="7"/>
    <x v="24"/>
    <n v="74"/>
  </r>
  <r>
    <x v="20"/>
    <x v="7"/>
    <x v="7"/>
    <n v="19"/>
  </r>
  <r>
    <x v="20"/>
    <x v="7"/>
    <x v="3"/>
    <n v="173"/>
  </r>
  <r>
    <x v="20"/>
    <x v="7"/>
    <x v="4"/>
    <n v="0"/>
  </r>
  <r>
    <x v="20"/>
    <x v="8"/>
    <x v="22"/>
    <n v="393"/>
  </r>
  <r>
    <x v="20"/>
    <x v="8"/>
    <x v="5"/>
    <n v="3"/>
  </r>
  <r>
    <x v="20"/>
    <x v="8"/>
    <x v="24"/>
    <n v="73"/>
  </r>
  <r>
    <x v="20"/>
    <x v="8"/>
    <x v="7"/>
    <n v="18"/>
  </r>
  <r>
    <x v="20"/>
    <x v="8"/>
    <x v="3"/>
    <n v="176"/>
  </r>
  <r>
    <x v="20"/>
    <x v="8"/>
    <x v="4"/>
    <n v="0"/>
  </r>
  <r>
    <x v="21"/>
    <x v="6"/>
    <x v="22"/>
    <n v="268"/>
  </r>
  <r>
    <x v="21"/>
    <x v="6"/>
    <x v="5"/>
    <n v="3"/>
  </r>
  <r>
    <x v="21"/>
    <x v="6"/>
    <x v="23"/>
    <n v="7"/>
  </r>
  <r>
    <x v="21"/>
    <x v="6"/>
    <x v="24"/>
    <n v="117"/>
  </r>
  <r>
    <x v="21"/>
    <x v="6"/>
    <x v="25"/>
    <n v="2"/>
  </r>
  <r>
    <x v="21"/>
    <x v="6"/>
    <x v="7"/>
    <n v="25"/>
  </r>
  <r>
    <x v="21"/>
    <x v="6"/>
    <x v="3"/>
    <n v="17"/>
  </r>
  <r>
    <x v="21"/>
    <x v="6"/>
    <x v="4"/>
    <n v="0"/>
  </r>
  <r>
    <x v="21"/>
    <x v="7"/>
    <x v="22"/>
    <n v="272"/>
  </r>
  <r>
    <x v="21"/>
    <x v="7"/>
    <x v="5"/>
    <n v="3"/>
  </r>
  <r>
    <x v="21"/>
    <x v="7"/>
    <x v="24"/>
    <n v="107"/>
  </r>
  <r>
    <x v="21"/>
    <x v="7"/>
    <x v="7"/>
    <n v="13"/>
  </r>
  <r>
    <x v="21"/>
    <x v="7"/>
    <x v="3"/>
    <n v="44"/>
  </r>
  <r>
    <x v="21"/>
    <x v="7"/>
    <x v="4"/>
    <n v="0"/>
  </r>
  <r>
    <x v="21"/>
    <x v="8"/>
    <x v="22"/>
    <n v="268"/>
  </r>
  <r>
    <x v="21"/>
    <x v="8"/>
    <x v="5"/>
    <n v="3"/>
  </r>
  <r>
    <x v="21"/>
    <x v="8"/>
    <x v="24"/>
    <n v="108"/>
  </r>
  <r>
    <x v="21"/>
    <x v="8"/>
    <x v="7"/>
    <n v="13"/>
  </r>
  <r>
    <x v="21"/>
    <x v="8"/>
    <x v="3"/>
    <n v="47"/>
  </r>
  <r>
    <x v="21"/>
    <x v="8"/>
    <x v="4"/>
    <n v="0"/>
  </r>
  <r>
    <x v="23"/>
    <x v="6"/>
    <x v="22"/>
    <n v="66"/>
  </r>
  <r>
    <x v="23"/>
    <x v="6"/>
    <x v="5"/>
    <n v="4"/>
  </r>
  <r>
    <x v="23"/>
    <x v="6"/>
    <x v="23"/>
    <n v="3"/>
  </r>
  <r>
    <x v="23"/>
    <x v="6"/>
    <x v="24"/>
    <n v="119"/>
  </r>
  <r>
    <x v="23"/>
    <x v="6"/>
    <x v="25"/>
    <n v="4"/>
  </r>
  <r>
    <x v="23"/>
    <x v="6"/>
    <x v="7"/>
    <n v="99"/>
  </r>
  <r>
    <x v="23"/>
    <x v="6"/>
    <x v="3"/>
    <n v="16"/>
  </r>
  <r>
    <x v="23"/>
    <x v="6"/>
    <x v="4"/>
    <n v="1"/>
  </r>
  <r>
    <x v="23"/>
    <x v="7"/>
    <x v="22"/>
    <n v="85"/>
  </r>
  <r>
    <x v="23"/>
    <x v="7"/>
    <x v="5"/>
    <n v="4"/>
  </r>
  <r>
    <x v="23"/>
    <x v="7"/>
    <x v="24"/>
    <n v="156"/>
  </r>
  <r>
    <x v="23"/>
    <x v="7"/>
    <x v="7"/>
    <n v="16"/>
  </r>
  <r>
    <x v="23"/>
    <x v="7"/>
    <x v="3"/>
    <n v="48"/>
  </r>
  <r>
    <x v="23"/>
    <x v="7"/>
    <x v="4"/>
    <n v="3"/>
  </r>
  <r>
    <x v="23"/>
    <x v="8"/>
    <x v="22"/>
    <n v="84"/>
  </r>
  <r>
    <x v="23"/>
    <x v="8"/>
    <x v="5"/>
    <n v="4"/>
  </r>
  <r>
    <x v="23"/>
    <x v="8"/>
    <x v="24"/>
    <n v="154"/>
  </r>
  <r>
    <x v="23"/>
    <x v="8"/>
    <x v="7"/>
    <n v="17"/>
  </r>
  <r>
    <x v="23"/>
    <x v="8"/>
    <x v="3"/>
    <n v="50"/>
  </r>
  <r>
    <x v="23"/>
    <x v="8"/>
    <x v="4"/>
    <n v="3"/>
  </r>
  <r>
    <x v="24"/>
    <x v="6"/>
    <x v="22"/>
    <n v="174"/>
  </r>
  <r>
    <x v="24"/>
    <x v="6"/>
    <x v="5"/>
    <n v="6"/>
  </r>
  <r>
    <x v="24"/>
    <x v="6"/>
    <x v="23"/>
    <n v="3"/>
  </r>
  <r>
    <x v="24"/>
    <x v="6"/>
    <x v="24"/>
    <n v="179"/>
  </r>
  <r>
    <x v="24"/>
    <x v="6"/>
    <x v="25"/>
    <n v="5"/>
  </r>
  <r>
    <x v="24"/>
    <x v="6"/>
    <x v="7"/>
    <n v="97"/>
  </r>
  <r>
    <x v="24"/>
    <x v="6"/>
    <x v="3"/>
    <n v="14"/>
  </r>
  <r>
    <x v="24"/>
    <x v="6"/>
    <x v="4"/>
    <n v="0"/>
  </r>
  <r>
    <x v="24"/>
    <x v="7"/>
    <x v="22"/>
    <n v="178"/>
  </r>
  <r>
    <x v="24"/>
    <x v="7"/>
    <x v="5"/>
    <n v="3"/>
  </r>
  <r>
    <x v="24"/>
    <x v="7"/>
    <x v="24"/>
    <n v="203"/>
  </r>
  <r>
    <x v="24"/>
    <x v="7"/>
    <x v="7"/>
    <n v="12"/>
  </r>
  <r>
    <x v="24"/>
    <x v="7"/>
    <x v="3"/>
    <n v="82"/>
  </r>
  <r>
    <x v="24"/>
    <x v="7"/>
    <x v="4"/>
    <n v="0"/>
  </r>
  <r>
    <x v="24"/>
    <x v="8"/>
    <x v="22"/>
    <n v="177"/>
  </r>
  <r>
    <x v="24"/>
    <x v="8"/>
    <x v="5"/>
    <n v="3"/>
  </r>
  <r>
    <x v="24"/>
    <x v="8"/>
    <x v="24"/>
    <n v="200"/>
  </r>
  <r>
    <x v="24"/>
    <x v="8"/>
    <x v="7"/>
    <n v="15"/>
  </r>
  <r>
    <x v="24"/>
    <x v="8"/>
    <x v="3"/>
    <n v="83"/>
  </r>
  <r>
    <x v="24"/>
    <x v="8"/>
    <x v="4"/>
    <n v="0"/>
  </r>
  <r>
    <x v="25"/>
    <x v="6"/>
    <x v="22"/>
    <n v="116"/>
  </r>
  <r>
    <x v="25"/>
    <x v="6"/>
    <x v="5"/>
    <n v="1"/>
  </r>
  <r>
    <x v="25"/>
    <x v="6"/>
    <x v="23"/>
    <n v="2"/>
  </r>
  <r>
    <x v="25"/>
    <x v="6"/>
    <x v="24"/>
    <n v="35"/>
  </r>
  <r>
    <x v="25"/>
    <x v="6"/>
    <x v="25"/>
    <n v="3"/>
  </r>
  <r>
    <x v="25"/>
    <x v="6"/>
    <x v="7"/>
    <n v="29"/>
  </r>
  <r>
    <x v="25"/>
    <x v="6"/>
    <x v="3"/>
    <n v="23"/>
  </r>
  <r>
    <x v="25"/>
    <x v="6"/>
    <x v="4"/>
    <n v="0"/>
  </r>
  <r>
    <x v="25"/>
    <x v="7"/>
    <x v="22"/>
    <n v="127"/>
  </r>
  <r>
    <x v="25"/>
    <x v="7"/>
    <x v="5"/>
    <n v="0"/>
  </r>
  <r>
    <x v="25"/>
    <x v="7"/>
    <x v="24"/>
    <n v="30"/>
  </r>
  <r>
    <x v="25"/>
    <x v="7"/>
    <x v="7"/>
    <n v="13"/>
  </r>
  <r>
    <x v="25"/>
    <x v="7"/>
    <x v="3"/>
    <n v="39"/>
  </r>
  <r>
    <x v="25"/>
    <x v="7"/>
    <x v="4"/>
    <n v="0"/>
  </r>
  <r>
    <x v="25"/>
    <x v="8"/>
    <x v="22"/>
    <n v="127"/>
  </r>
  <r>
    <x v="25"/>
    <x v="8"/>
    <x v="5"/>
    <n v="0"/>
  </r>
  <r>
    <x v="25"/>
    <x v="8"/>
    <x v="24"/>
    <n v="29"/>
  </r>
  <r>
    <x v="25"/>
    <x v="8"/>
    <x v="7"/>
    <n v="13"/>
  </r>
  <r>
    <x v="25"/>
    <x v="8"/>
    <x v="3"/>
    <n v="40"/>
  </r>
  <r>
    <x v="25"/>
    <x v="8"/>
    <x v="4"/>
    <n v="0"/>
  </r>
  <r>
    <x v="26"/>
    <x v="6"/>
    <x v="22"/>
    <n v="707"/>
  </r>
  <r>
    <x v="26"/>
    <x v="6"/>
    <x v="5"/>
    <n v="24"/>
  </r>
  <r>
    <x v="26"/>
    <x v="6"/>
    <x v="23"/>
    <n v="22"/>
  </r>
  <r>
    <x v="26"/>
    <x v="6"/>
    <x v="24"/>
    <n v="811"/>
  </r>
  <r>
    <x v="26"/>
    <x v="6"/>
    <x v="25"/>
    <n v="34"/>
  </r>
  <r>
    <x v="26"/>
    <x v="6"/>
    <x v="7"/>
    <n v="443"/>
  </r>
  <r>
    <x v="26"/>
    <x v="6"/>
    <x v="3"/>
    <n v="68"/>
  </r>
  <r>
    <x v="26"/>
    <x v="6"/>
    <x v="4"/>
    <n v="14"/>
  </r>
  <r>
    <x v="26"/>
    <x v="7"/>
    <x v="22"/>
    <n v="830"/>
  </r>
  <r>
    <x v="26"/>
    <x v="7"/>
    <x v="5"/>
    <n v="16"/>
  </r>
  <r>
    <x v="26"/>
    <x v="7"/>
    <x v="24"/>
    <n v="821"/>
  </r>
  <r>
    <x v="26"/>
    <x v="7"/>
    <x v="7"/>
    <n v="82"/>
  </r>
  <r>
    <x v="26"/>
    <x v="7"/>
    <x v="3"/>
    <n v="370"/>
  </r>
  <r>
    <x v="26"/>
    <x v="7"/>
    <x v="4"/>
    <n v="4"/>
  </r>
  <r>
    <x v="26"/>
    <x v="8"/>
    <x v="22"/>
    <n v="825"/>
  </r>
  <r>
    <x v="26"/>
    <x v="8"/>
    <x v="5"/>
    <n v="11"/>
  </r>
  <r>
    <x v="26"/>
    <x v="8"/>
    <x v="24"/>
    <n v="820"/>
  </r>
  <r>
    <x v="26"/>
    <x v="8"/>
    <x v="7"/>
    <n v="80"/>
  </r>
  <r>
    <x v="26"/>
    <x v="8"/>
    <x v="3"/>
    <n v="383"/>
  </r>
  <r>
    <x v="26"/>
    <x v="8"/>
    <x v="4"/>
    <n v="4"/>
  </r>
  <r>
    <x v="27"/>
    <x v="6"/>
    <x v="22"/>
    <n v="168"/>
  </r>
  <r>
    <x v="27"/>
    <x v="6"/>
    <x v="5"/>
    <n v="0"/>
  </r>
  <r>
    <x v="27"/>
    <x v="6"/>
    <x v="23"/>
    <n v="2"/>
  </r>
  <r>
    <x v="27"/>
    <x v="6"/>
    <x v="24"/>
    <n v="45"/>
  </r>
  <r>
    <x v="27"/>
    <x v="6"/>
    <x v="25"/>
    <n v="2"/>
  </r>
  <r>
    <x v="27"/>
    <x v="6"/>
    <x v="7"/>
    <n v="34"/>
  </r>
  <r>
    <x v="27"/>
    <x v="6"/>
    <x v="3"/>
    <n v="9"/>
  </r>
  <r>
    <x v="27"/>
    <x v="6"/>
    <x v="4"/>
    <n v="6"/>
  </r>
  <r>
    <x v="27"/>
    <x v="7"/>
    <x v="22"/>
    <n v="188"/>
  </r>
  <r>
    <x v="27"/>
    <x v="7"/>
    <x v="5"/>
    <n v="0"/>
  </r>
  <r>
    <x v="27"/>
    <x v="7"/>
    <x v="24"/>
    <n v="24"/>
  </r>
  <r>
    <x v="27"/>
    <x v="7"/>
    <x v="7"/>
    <n v="4"/>
  </r>
  <r>
    <x v="27"/>
    <x v="7"/>
    <x v="3"/>
    <n v="44"/>
  </r>
  <r>
    <x v="27"/>
    <x v="7"/>
    <x v="4"/>
    <n v="6"/>
  </r>
  <r>
    <x v="27"/>
    <x v="8"/>
    <x v="22"/>
    <n v="187"/>
  </r>
  <r>
    <x v="27"/>
    <x v="8"/>
    <x v="5"/>
    <n v="0"/>
  </r>
  <r>
    <x v="27"/>
    <x v="8"/>
    <x v="24"/>
    <n v="24"/>
  </r>
  <r>
    <x v="27"/>
    <x v="8"/>
    <x v="7"/>
    <n v="4"/>
  </r>
  <r>
    <x v="27"/>
    <x v="8"/>
    <x v="3"/>
    <n v="45"/>
  </r>
  <r>
    <x v="27"/>
    <x v="8"/>
    <x v="4"/>
    <n v="6"/>
  </r>
  <r>
    <x v="28"/>
    <x v="6"/>
    <x v="22"/>
    <n v="205"/>
  </r>
  <r>
    <x v="28"/>
    <x v="6"/>
    <x v="5"/>
    <n v="2"/>
  </r>
  <r>
    <x v="28"/>
    <x v="6"/>
    <x v="23"/>
    <n v="0"/>
  </r>
  <r>
    <x v="28"/>
    <x v="6"/>
    <x v="24"/>
    <n v="62"/>
  </r>
  <r>
    <x v="28"/>
    <x v="6"/>
    <x v="25"/>
    <n v="3"/>
  </r>
  <r>
    <x v="28"/>
    <x v="6"/>
    <x v="7"/>
    <n v="126"/>
  </r>
  <r>
    <x v="28"/>
    <x v="6"/>
    <x v="3"/>
    <n v="31"/>
  </r>
  <r>
    <x v="28"/>
    <x v="6"/>
    <x v="4"/>
    <n v="1"/>
  </r>
  <r>
    <x v="28"/>
    <x v="7"/>
    <x v="22"/>
    <n v="227"/>
  </r>
  <r>
    <x v="28"/>
    <x v="7"/>
    <x v="5"/>
    <n v="2"/>
  </r>
  <r>
    <x v="28"/>
    <x v="7"/>
    <x v="24"/>
    <n v="46"/>
  </r>
  <r>
    <x v="28"/>
    <x v="7"/>
    <x v="7"/>
    <n v="65"/>
  </r>
  <r>
    <x v="28"/>
    <x v="7"/>
    <x v="3"/>
    <n v="89"/>
  </r>
  <r>
    <x v="28"/>
    <x v="7"/>
    <x v="4"/>
    <n v="1"/>
  </r>
  <r>
    <x v="28"/>
    <x v="8"/>
    <x v="22"/>
    <n v="225"/>
  </r>
  <r>
    <x v="28"/>
    <x v="8"/>
    <x v="5"/>
    <n v="2"/>
  </r>
  <r>
    <x v="28"/>
    <x v="8"/>
    <x v="24"/>
    <n v="50"/>
  </r>
  <r>
    <x v="28"/>
    <x v="8"/>
    <x v="7"/>
    <n v="65"/>
  </r>
  <r>
    <x v="28"/>
    <x v="8"/>
    <x v="3"/>
    <n v="87"/>
  </r>
  <r>
    <x v="28"/>
    <x v="8"/>
    <x v="4"/>
    <n v="1"/>
  </r>
  <r>
    <x v="29"/>
    <x v="6"/>
    <x v="22"/>
    <n v="632"/>
  </r>
  <r>
    <x v="29"/>
    <x v="6"/>
    <x v="5"/>
    <n v="16"/>
  </r>
  <r>
    <x v="29"/>
    <x v="6"/>
    <x v="23"/>
    <n v="4"/>
  </r>
  <r>
    <x v="29"/>
    <x v="6"/>
    <x v="24"/>
    <n v="718"/>
  </r>
  <r>
    <x v="29"/>
    <x v="6"/>
    <x v="25"/>
    <n v="16"/>
  </r>
  <r>
    <x v="29"/>
    <x v="6"/>
    <x v="7"/>
    <n v="219"/>
  </r>
  <r>
    <x v="29"/>
    <x v="6"/>
    <x v="3"/>
    <n v="66"/>
  </r>
  <r>
    <x v="29"/>
    <x v="6"/>
    <x v="4"/>
    <n v="0"/>
  </r>
  <r>
    <x v="29"/>
    <x v="7"/>
    <x v="22"/>
    <n v="669"/>
  </r>
  <r>
    <x v="29"/>
    <x v="7"/>
    <x v="5"/>
    <n v="6"/>
  </r>
  <r>
    <x v="29"/>
    <x v="7"/>
    <x v="24"/>
    <n v="745"/>
  </r>
  <r>
    <x v="29"/>
    <x v="7"/>
    <x v="7"/>
    <n v="59"/>
  </r>
  <r>
    <x v="29"/>
    <x v="7"/>
    <x v="3"/>
    <n v="192"/>
  </r>
  <r>
    <x v="29"/>
    <x v="7"/>
    <x v="4"/>
    <n v="0"/>
  </r>
  <r>
    <x v="29"/>
    <x v="8"/>
    <x v="22"/>
    <n v="665"/>
  </r>
  <r>
    <x v="29"/>
    <x v="8"/>
    <x v="5"/>
    <n v="6"/>
  </r>
  <r>
    <x v="29"/>
    <x v="8"/>
    <x v="24"/>
    <n v="745"/>
  </r>
  <r>
    <x v="29"/>
    <x v="8"/>
    <x v="7"/>
    <n v="57"/>
  </r>
  <r>
    <x v="29"/>
    <x v="8"/>
    <x v="3"/>
    <n v="198"/>
  </r>
  <r>
    <x v="29"/>
    <x v="8"/>
    <x v="4"/>
    <n v="0"/>
  </r>
  <r>
    <x v="30"/>
    <x v="6"/>
    <x v="22"/>
    <n v="200"/>
  </r>
  <r>
    <x v="30"/>
    <x v="6"/>
    <x v="5"/>
    <n v="22"/>
  </r>
  <r>
    <x v="30"/>
    <x v="6"/>
    <x v="23"/>
    <n v="5"/>
  </r>
  <r>
    <x v="30"/>
    <x v="6"/>
    <x v="24"/>
    <n v="477"/>
  </r>
  <r>
    <x v="30"/>
    <x v="6"/>
    <x v="25"/>
    <n v="10"/>
  </r>
  <r>
    <x v="30"/>
    <x v="6"/>
    <x v="7"/>
    <n v="82"/>
  </r>
  <r>
    <x v="30"/>
    <x v="6"/>
    <x v="3"/>
    <n v="33"/>
  </r>
  <r>
    <x v="30"/>
    <x v="6"/>
    <x v="4"/>
    <n v="2"/>
  </r>
  <r>
    <x v="30"/>
    <x v="7"/>
    <x v="22"/>
    <n v="201"/>
  </r>
  <r>
    <x v="30"/>
    <x v="7"/>
    <x v="5"/>
    <n v="16"/>
  </r>
  <r>
    <x v="30"/>
    <x v="7"/>
    <x v="24"/>
    <n v="488"/>
  </r>
  <r>
    <x v="30"/>
    <x v="7"/>
    <x v="7"/>
    <n v="14"/>
  </r>
  <r>
    <x v="30"/>
    <x v="7"/>
    <x v="3"/>
    <n v="110"/>
  </r>
  <r>
    <x v="30"/>
    <x v="7"/>
    <x v="4"/>
    <n v="2"/>
  </r>
  <r>
    <x v="30"/>
    <x v="8"/>
    <x v="22"/>
    <n v="193"/>
  </r>
  <r>
    <x v="30"/>
    <x v="8"/>
    <x v="5"/>
    <n v="15"/>
  </r>
  <r>
    <x v="30"/>
    <x v="8"/>
    <x v="24"/>
    <n v="491"/>
  </r>
  <r>
    <x v="30"/>
    <x v="8"/>
    <x v="7"/>
    <n v="12"/>
  </r>
  <r>
    <x v="30"/>
    <x v="8"/>
    <x v="3"/>
    <n v="118"/>
  </r>
  <r>
    <x v="30"/>
    <x v="8"/>
    <x v="4"/>
    <n v="2"/>
  </r>
  <r>
    <x v="32"/>
    <x v="6"/>
    <x v="22"/>
    <n v="28"/>
  </r>
  <r>
    <x v="32"/>
    <x v="6"/>
    <x v="5"/>
    <n v="1"/>
  </r>
  <r>
    <x v="32"/>
    <x v="6"/>
    <x v="23"/>
    <n v="1"/>
  </r>
  <r>
    <x v="32"/>
    <x v="6"/>
    <x v="24"/>
    <n v="17"/>
  </r>
  <r>
    <x v="32"/>
    <x v="6"/>
    <x v="25"/>
    <n v="0"/>
  </r>
  <r>
    <x v="32"/>
    <x v="6"/>
    <x v="7"/>
    <n v="5"/>
  </r>
  <r>
    <x v="32"/>
    <x v="6"/>
    <x v="3"/>
    <n v="0"/>
  </r>
  <r>
    <x v="32"/>
    <x v="6"/>
    <x v="4"/>
    <n v="0"/>
  </r>
  <r>
    <x v="32"/>
    <x v="7"/>
    <x v="22"/>
    <n v="30"/>
  </r>
  <r>
    <x v="32"/>
    <x v="7"/>
    <x v="5"/>
    <n v="0"/>
  </r>
  <r>
    <x v="32"/>
    <x v="7"/>
    <x v="24"/>
    <n v="15"/>
  </r>
  <r>
    <x v="32"/>
    <x v="7"/>
    <x v="7"/>
    <n v="2"/>
  </r>
  <r>
    <x v="32"/>
    <x v="7"/>
    <x v="3"/>
    <n v="5"/>
  </r>
  <r>
    <x v="32"/>
    <x v="7"/>
    <x v="4"/>
    <n v="0"/>
  </r>
  <r>
    <x v="32"/>
    <x v="8"/>
    <x v="22"/>
    <n v="30"/>
  </r>
  <r>
    <x v="32"/>
    <x v="8"/>
    <x v="5"/>
    <n v="0"/>
  </r>
  <r>
    <x v="32"/>
    <x v="8"/>
    <x v="24"/>
    <n v="15"/>
  </r>
  <r>
    <x v="32"/>
    <x v="8"/>
    <x v="7"/>
    <n v="2"/>
  </r>
  <r>
    <x v="32"/>
    <x v="8"/>
    <x v="3"/>
    <n v="5"/>
  </r>
  <r>
    <x v="32"/>
    <x v="8"/>
    <x v="4"/>
    <n v="0"/>
  </r>
  <r>
    <x v="33"/>
    <x v="6"/>
    <x v="22"/>
    <n v="67"/>
  </r>
  <r>
    <x v="33"/>
    <x v="6"/>
    <x v="5"/>
    <n v="3"/>
  </r>
  <r>
    <x v="33"/>
    <x v="6"/>
    <x v="23"/>
    <n v="8"/>
  </r>
  <r>
    <x v="33"/>
    <x v="6"/>
    <x v="24"/>
    <n v="238"/>
  </r>
  <r>
    <x v="33"/>
    <x v="6"/>
    <x v="25"/>
    <n v="9"/>
  </r>
  <r>
    <x v="33"/>
    <x v="6"/>
    <x v="7"/>
    <n v="88"/>
  </r>
  <r>
    <x v="33"/>
    <x v="6"/>
    <x v="3"/>
    <n v="8"/>
  </r>
  <r>
    <x v="33"/>
    <x v="6"/>
    <x v="4"/>
    <n v="0"/>
  </r>
  <r>
    <x v="33"/>
    <x v="7"/>
    <x v="22"/>
    <n v="108"/>
  </r>
  <r>
    <x v="33"/>
    <x v="7"/>
    <x v="5"/>
    <n v="2"/>
  </r>
  <r>
    <x v="33"/>
    <x v="7"/>
    <x v="24"/>
    <n v="242"/>
  </r>
  <r>
    <x v="33"/>
    <x v="7"/>
    <x v="7"/>
    <n v="11"/>
  </r>
  <r>
    <x v="33"/>
    <x v="7"/>
    <x v="3"/>
    <n v="58"/>
  </r>
  <r>
    <x v="33"/>
    <x v="7"/>
    <x v="4"/>
    <n v="0"/>
  </r>
  <r>
    <x v="33"/>
    <x v="8"/>
    <x v="22"/>
    <n v="108"/>
  </r>
  <r>
    <x v="33"/>
    <x v="8"/>
    <x v="5"/>
    <n v="2"/>
  </r>
  <r>
    <x v="33"/>
    <x v="8"/>
    <x v="24"/>
    <n v="244"/>
  </r>
  <r>
    <x v="33"/>
    <x v="8"/>
    <x v="7"/>
    <n v="11"/>
  </r>
  <r>
    <x v="33"/>
    <x v="8"/>
    <x v="3"/>
    <n v="56"/>
  </r>
  <r>
    <x v="33"/>
    <x v="8"/>
    <x v="4"/>
    <n v="0"/>
  </r>
  <r>
    <x v="34"/>
    <x v="6"/>
    <x v="22"/>
    <n v="517"/>
  </r>
  <r>
    <x v="34"/>
    <x v="6"/>
    <x v="5"/>
    <n v="16"/>
  </r>
  <r>
    <x v="34"/>
    <x v="6"/>
    <x v="23"/>
    <n v="8"/>
  </r>
  <r>
    <x v="34"/>
    <x v="6"/>
    <x v="24"/>
    <n v="443"/>
  </r>
  <r>
    <x v="34"/>
    <x v="6"/>
    <x v="25"/>
    <n v="17"/>
  </r>
  <r>
    <x v="34"/>
    <x v="6"/>
    <x v="7"/>
    <n v="297"/>
  </r>
  <r>
    <x v="34"/>
    <x v="6"/>
    <x v="3"/>
    <n v="64"/>
  </r>
  <r>
    <x v="34"/>
    <x v="6"/>
    <x v="4"/>
    <n v="0"/>
  </r>
  <r>
    <x v="34"/>
    <x v="7"/>
    <x v="22"/>
    <n v="632"/>
  </r>
  <r>
    <x v="34"/>
    <x v="7"/>
    <x v="5"/>
    <n v="7"/>
  </r>
  <r>
    <x v="34"/>
    <x v="7"/>
    <x v="24"/>
    <n v="429"/>
  </r>
  <r>
    <x v="34"/>
    <x v="7"/>
    <x v="7"/>
    <n v="62"/>
  </r>
  <r>
    <x v="34"/>
    <x v="7"/>
    <x v="3"/>
    <n v="232"/>
  </r>
  <r>
    <x v="34"/>
    <x v="7"/>
    <x v="4"/>
    <n v="0"/>
  </r>
  <r>
    <x v="34"/>
    <x v="8"/>
    <x v="22"/>
    <n v="629"/>
  </r>
  <r>
    <x v="34"/>
    <x v="8"/>
    <x v="5"/>
    <n v="6"/>
  </r>
  <r>
    <x v="34"/>
    <x v="8"/>
    <x v="24"/>
    <n v="431"/>
  </r>
  <r>
    <x v="34"/>
    <x v="8"/>
    <x v="7"/>
    <n v="57"/>
  </r>
  <r>
    <x v="34"/>
    <x v="8"/>
    <x v="3"/>
    <n v="239"/>
  </r>
  <r>
    <x v="34"/>
    <x v="8"/>
    <x v="4"/>
    <n v="0"/>
  </r>
  <r>
    <x v="35"/>
    <x v="6"/>
    <x v="22"/>
    <n v="102"/>
  </r>
  <r>
    <x v="35"/>
    <x v="6"/>
    <x v="5"/>
    <n v="5"/>
  </r>
  <r>
    <x v="35"/>
    <x v="6"/>
    <x v="23"/>
    <n v="1"/>
  </r>
  <r>
    <x v="35"/>
    <x v="6"/>
    <x v="24"/>
    <n v="159"/>
  </r>
  <r>
    <x v="35"/>
    <x v="6"/>
    <x v="25"/>
    <n v="4"/>
  </r>
  <r>
    <x v="35"/>
    <x v="6"/>
    <x v="7"/>
    <n v="61"/>
  </r>
  <r>
    <x v="35"/>
    <x v="6"/>
    <x v="3"/>
    <n v="21"/>
  </r>
  <r>
    <x v="35"/>
    <x v="6"/>
    <x v="4"/>
    <n v="8"/>
  </r>
  <r>
    <x v="35"/>
    <x v="7"/>
    <x v="22"/>
    <n v="139"/>
  </r>
  <r>
    <x v="35"/>
    <x v="7"/>
    <x v="5"/>
    <n v="0"/>
  </r>
  <r>
    <x v="35"/>
    <x v="7"/>
    <x v="24"/>
    <n v="158"/>
  </r>
  <r>
    <x v="35"/>
    <x v="7"/>
    <x v="7"/>
    <n v="9"/>
  </r>
  <r>
    <x v="35"/>
    <x v="7"/>
    <x v="3"/>
    <n v="47"/>
  </r>
  <r>
    <x v="35"/>
    <x v="7"/>
    <x v="4"/>
    <n v="8"/>
  </r>
  <r>
    <x v="35"/>
    <x v="8"/>
    <x v="22"/>
    <n v="139"/>
  </r>
  <r>
    <x v="35"/>
    <x v="8"/>
    <x v="5"/>
    <n v="1"/>
  </r>
  <r>
    <x v="35"/>
    <x v="8"/>
    <x v="24"/>
    <n v="158"/>
  </r>
  <r>
    <x v="35"/>
    <x v="8"/>
    <x v="7"/>
    <n v="6"/>
  </r>
  <r>
    <x v="35"/>
    <x v="8"/>
    <x v="3"/>
    <n v="49"/>
  </r>
  <r>
    <x v="35"/>
    <x v="8"/>
    <x v="4"/>
    <n v="8"/>
  </r>
  <r>
    <x v="36"/>
    <x v="6"/>
    <x v="22"/>
    <n v="553"/>
  </r>
  <r>
    <x v="36"/>
    <x v="6"/>
    <x v="5"/>
    <n v="22"/>
  </r>
  <r>
    <x v="36"/>
    <x v="6"/>
    <x v="23"/>
    <n v="16"/>
  </r>
  <r>
    <x v="36"/>
    <x v="6"/>
    <x v="24"/>
    <n v="956"/>
  </r>
  <r>
    <x v="36"/>
    <x v="6"/>
    <x v="25"/>
    <n v="30"/>
  </r>
  <r>
    <x v="36"/>
    <x v="6"/>
    <x v="7"/>
    <n v="425"/>
  </r>
  <r>
    <x v="36"/>
    <x v="6"/>
    <x v="3"/>
    <n v="96"/>
  </r>
  <r>
    <x v="36"/>
    <x v="6"/>
    <x v="4"/>
    <n v="10"/>
  </r>
  <r>
    <x v="36"/>
    <x v="7"/>
    <x v="22"/>
    <n v="747"/>
  </r>
  <r>
    <x v="36"/>
    <x v="7"/>
    <x v="5"/>
    <n v="10"/>
  </r>
  <r>
    <x v="36"/>
    <x v="7"/>
    <x v="24"/>
    <n v="852"/>
  </r>
  <r>
    <x v="36"/>
    <x v="7"/>
    <x v="7"/>
    <n v="170"/>
  </r>
  <r>
    <x v="36"/>
    <x v="7"/>
    <x v="3"/>
    <n v="319"/>
  </r>
  <r>
    <x v="36"/>
    <x v="7"/>
    <x v="4"/>
    <n v="10"/>
  </r>
  <r>
    <x v="36"/>
    <x v="8"/>
    <x v="22"/>
    <n v="750"/>
  </r>
  <r>
    <x v="36"/>
    <x v="8"/>
    <x v="5"/>
    <n v="10"/>
  </r>
  <r>
    <x v="36"/>
    <x v="8"/>
    <x v="24"/>
    <n v="857"/>
  </r>
  <r>
    <x v="36"/>
    <x v="8"/>
    <x v="7"/>
    <n v="141"/>
  </r>
  <r>
    <x v="36"/>
    <x v="8"/>
    <x v="3"/>
    <n v="340"/>
  </r>
  <r>
    <x v="36"/>
    <x v="8"/>
    <x v="4"/>
    <n v="10"/>
  </r>
  <r>
    <x v="37"/>
    <x v="6"/>
    <x v="22"/>
    <n v="623"/>
  </r>
  <r>
    <x v="37"/>
    <x v="6"/>
    <x v="5"/>
    <n v="62"/>
  </r>
  <r>
    <x v="37"/>
    <x v="6"/>
    <x v="23"/>
    <n v="25"/>
  </r>
  <r>
    <x v="37"/>
    <x v="6"/>
    <x v="24"/>
    <n v="699"/>
  </r>
  <r>
    <x v="37"/>
    <x v="6"/>
    <x v="25"/>
    <n v="31"/>
  </r>
  <r>
    <x v="37"/>
    <x v="6"/>
    <x v="7"/>
    <n v="498"/>
  </r>
  <r>
    <x v="37"/>
    <x v="6"/>
    <x v="3"/>
    <n v="110"/>
  </r>
  <r>
    <x v="37"/>
    <x v="6"/>
    <x v="4"/>
    <n v="7"/>
  </r>
  <r>
    <x v="37"/>
    <x v="7"/>
    <x v="22"/>
    <n v="691"/>
  </r>
  <r>
    <x v="37"/>
    <x v="7"/>
    <x v="5"/>
    <n v="34"/>
  </r>
  <r>
    <x v="37"/>
    <x v="7"/>
    <x v="24"/>
    <n v="576"/>
  </r>
  <r>
    <x v="37"/>
    <x v="7"/>
    <x v="7"/>
    <n v="285"/>
  </r>
  <r>
    <x v="37"/>
    <x v="7"/>
    <x v="3"/>
    <n v="461"/>
  </r>
  <r>
    <x v="37"/>
    <x v="7"/>
    <x v="4"/>
    <n v="8"/>
  </r>
  <r>
    <x v="37"/>
    <x v="8"/>
    <x v="22"/>
    <n v="687"/>
  </r>
  <r>
    <x v="37"/>
    <x v="8"/>
    <x v="5"/>
    <n v="33"/>
  </r>
  <r>
    <x v="37"/>
    <x v="8"/>
    <x v="24"/>
    <n v="570"/>
  </r>
  <r>
    <x v="37"/>
    <x v="8"/>
    <x v="7"/>
    <n v="274"/>
  </r>
  <r>
    <x v="37"/>
    <x v="8"/>
    <x v="3"/>
    <n v="483"/>
  </r>
  <r>
    <x v="37"/>
    <x v="8"/>
    <x v="4"/>
    <n v="8"/>
  </r>
  <r>
    <x v="38"/>
    <x v="6"/>
    <x v="22"/>
    <n v="125"/>
  </r>
  <r>
    <x v="38"/>
    <x v="6"/>
    <x v="5"/>
    <n v="1"/>
  </r>
  <r>
    <x v="38"/>
    <x v="6"/>
    <x v="23"/>
    <n v="1"/>
  </r>
  <r>
    <x v="38"/>
    <x v="6"/>
    <x v="24"/>
    <n v="121"/>
  </r>
  <r>
    <x v="38"/>
    <x v="6"/>
    <x v="25"/>
    <n v="2"/>
  </r>
  <r>
    <x v="38"/>
    <x v="6"/>
    <x v="7"/>
    <n v="21"/>
  </r>
  <r>
    <x v="38"/>
    <x v="6"/>
    <x v="3"/>
    <n v="30"/>
  </r>
  <r>
    <x v="38"/>
    <x v="6"/>
    <x v="4"/>
    <n v="0"/>
  </r>
  <r>
    <x v="38"/>
    <x v="7"/>
    <x v="22"/>
    <n v="122"/>
  </r>
  <r>
    <x v="38"/>
    <x v="7"/>
    <x v="5"/>
    <n v="1"/>
  </r>
  <r>
    <x v="38"/>
    <x v="7"/>
    <x v="24"/>
    <n v="120"/>
  </r>
  <r>
    <x v="38"/>
    <x v="7"/>
    <x v="7"/>
    <n v="15"/>
  </r>
  <r>
    <x v="38"/>
    <x v="7"/>
    <x v="3"/>
    <n v="43"/>
  </r>
  <r>
    <x v="38"/>
    <x v="7"/>
    <x v="4"/>
    <n v="0"/>
  </r>
  <r>
    <x v="38"/>
    <x v="8"/>
    <x v="22"/>
    <n v="122"/>
  </r>
  <r>
    <x v="38"/>
    <x v="8"/>
    <x v="5"/>
    <n v="1"/>
  </r>
  <r>
    <x v="38"/>
    <x v="8"/>
    <x v="24"/>
    <n v="119"/>
  </r>
  <r>
    <x v="38"/>
    <x v="8"/>
    <x v="7"/>
    <n v="5"/>
  </r>
  <r>
    <x v="38"/>
    <x v="8"/>
    <x v="3"/>
    <n v="54"/>
  </r>
  <r>
    <x v="38"/>
    <x v="8"/>
    <x v="4"/>
    <n v="0"/>
  </r>
  <r>
    <x v="39"/>
    <x v="6"/>
    <x v="22"/>
    <n v="62"/>
  </r>
  <r>
    <x v="39"/>
    <x v="6"/>
    <x v="5"/>
    <n v="1"/>
  </r>
  <r>
    <x v="39"/>
    <x v="6"/>
    <x v="23"/>
    <n v="1"/>
  </r>
  <r>
    <x v="39"/>
    <x v="6"/>
    <x v="24"/>
    <n v="8"/>
  </r>
  <r>
    <x v="39"/>
    <x v="6"/>
    <x v="25"/>
    <n v="0"/>
  </r>
  <r>
    <x v="39"/>
    <x v="6"/>
    <x v="7"/>
    <n v="31"/>
  </r>
  <r>
    <x v="39"/>
    <x v="6"/>
    <x v="3"/>
    <n v="7"/>
  </r>
  <r>
    <x v="39"/>
    <x v="6"/>
    <x v="4"/>
    <n v="0"/>
  </r>
  <r>
    <x v="39"/>
    <x v="7"/>
    <x v="22"/>
    <n v="74"/>
  </r>
  <r>
    <x v="39"/>
    <x v="7"/>
    <x v="5"/>
    <n v="0"/>
  </r>
  <r>
    <x v="39"/>
    <x v="7"/>
    <x v="24"/>
    <n v="4"/>
  </r>
  <r>
    <x v="39"/>
    <x v="7"/>
    <x v="7"/>
    <n v="3"/>
  </r>
  <r>
    <x v="39"/>
    <x v="7"/>
    <x v="3"/>
    <n v="29"/>
  </r>
  <r>
    <x v="39"/>
    <x v="7"/>
    <x v="4"/>
    <n v="0"/>
  </r>
  <r>
    <x v="39"/>
    <x v="8"/>
    <x v="22"/>
    <n v="74"/>
  </r>
  <r>
    <x v="39"/>
    <x v="8"/>
    <x v="5"/>
    <n v="0"/>
  </r>
  <r>
    <x v="39"/>
    <x v="8"/>
    <x v="24"/>
    <n v="4"/>
  </r>
  <r>
    <x v="39"/>
    <x v="8"/>
    <x v="7"/>
    <n v="2"/>
  </r>
  <r>
    <x v="39"/>
    <x v="8"/>
    <x v="3"/>
    <n v="30"/>
  </r>
  <r>
    <x v="39"/>
    <x v="8"/>
    <x v="4"/>
    <n v="0"/>
  </r>
  <r>
    <x v="40"/>
    <x v="6"/>
    <x v="22"/>
    <n v="350"/>
  </r>
  <r>
    <x v="40"/>
    <x v="6"/>
    <x v="5"/>
    <n v="2"/>
  </r>
  <r>
    <x v="40"/>
    <x v="6"/>
    <x v="23"/>
    <n v="5"/>
  </r>
  <r>
    <x v="40"/>
    <x v="6"/>
    <x v="24"/>
    <n v="170"/>
  </r>
  <r>
    <x v="40"/>
    <x v="6"/>
    <x v="25"/>
    <n v="3"/>
  </r>
  <r>
    <x v="40"/>
    <x v="6"/>
    <x v="7"/>
    <n v="42"/>
  </r>
  <r>
    <x v="40"/>
    <x v="6"/>
    <x v="3"/>
    <n v="26"/>
  </r>
  <r>
    <x v="40"/>
    <x v="6"/>
    <x v="4"/>
    <n v="1"/>
  </r>
  <r>
    <x v="40"/>
    <x v="7"/>
    <x v="22"/>
    <n v="368"/>
  </r>
  <r>
    <x v="40"/>
    <x v="7"/>
    <x v="5"/>
    <n v="2"/>
  </r>
  <r>
    <x v="40"/>
    <x v="7"/>
    <x v="24"/>
    <n v="155"/>
  </r>
  <r>
    <x v="40"/>
    <x v="7"/>
    <x v="7"/>
    <n v="7"/>
  </r>
  <r>
    <x v="40"/>
    <x v="7"/>
    <x v="3"/>
    <n v="66"/>
  </r>
  <r>
    <x v="40"/>
    <x v="7"/>
    <x v="4"/>
    <n v="1"/>
  </r>
  <r>
    <x v="40"/>
    <x v="8"/>
    <x v="22"/>
    <n v="370"/>
  </r>
  <r>
    <x v="40"/>
    <x v="8"/>
    <x v="5"/>
    <n v="2"/>
  </r>
  <r>
    <x v="40"/>
    <x v="8"/>
    <x v="24"/>
    <n v="155"/>
  </r>
  <r>
    <x v="40"/>
    <x v="8"/>
    <x v="7"/>
    <n v="5"/>
  </r>
  <r>
    <x v="40"/>
    <x v="8"/>
    <x v="3"/>
    <n v="66"/>
  </r>
  <r>
    <x v="40"/>
    <x v="8"/>
    <x v="4"/>
    <n v="1"/>
  </r>
  <r>
    <x v="41"/>
    <x v="6"/>
    <x v="22"/>
    <n v="519"/>
  </r>
  <r>
    <x v="41"/>
    <x v="6"/>
    <x v="5"/>
    <n v="10"/>
  </r>
  <r>
    <x v="41"/>
    <x v="6"/>
    <x v="23"/>
    <n v="9"/>
  </r>
  <r>
    <x v="41"/>
    <x v="6"/>
    <x v="24"/>
    <n v="327"/>
  </r>
  <r>
    <x v="41"/>
    <x v="6"/>
    <x v="25"/>
    <n v="8"/>
  </r>
  <r>
    <x v="41"/>
    <x v="6"/>
    <x v="7"/>
    <n v="106"/>
  </r>
  <r>
    <x v="41"/>
    <x v="6"/>
    <x v="3"/>
    <n v="66"/>
  </r>
  <r>
    <x v="41"/>
    <x v="6"/>
    <x v="4"/>
    <n v="2"/>
  </r>
  <r>
    <x v="41"/>
    <x v="7"/>
    <x v="22"/>
    <n v="594"/>
  </r>
  <r>
    <x v="41"/>
    <x v="7"/>
    <x v="5"/>
    <n v="4"/>
  </r>
  <r>
    <x v="41"/>
    <x v="7"/>
    <x v="24"/>
    <n v="295"/>
  </r>
  <r>
    <x v="41"/>
    <x v="7"/>
    <x v="7"/>
    <n v="21"/>
  </r>
  <r>
    <x v="41"/>
    <x v="7"/>
    <x v="3"/>
    <n v="133"/>
  </r>
  <r>
    <x v="41"/>
    <x v="7"/>
    <x v="4"/>
    <n v="0"/>
  </r>
  <r>
    <x v="41"/>
    <x v="8"/>
    <x v="22"/>
    <n v="598"/>
  </r>
  <r>
    <x v="41"/>
    <x v="8"/>
    <x v="5"/>
    <n v="3"/>
  </r>
  <r>
    <x v="41"/>
    <x v="8"/>
    <x v="24"/>
    <n v="292"/>
  </r>
  <r>
    <x v="41"/>
    <x v="8"/>
    <x v="7"/>
    <n v="20"/>
  </r>
  <r>
    <x v="41"/>
    <x v="8"/>
    <x v="3"/>
    <n v="134"/>
  </r>
  <r>
    <x v="41"/>
    <x v="8"/>
    <x v="4"/>
    <n v="0"/>
  </r>
  <r>
    <x v="43"/>
    <x v="6"/>
    <x v="22"/>
    <n v="117"/>
  </r>
  <r>
    <x v="43"/>
    <x v="6"/>
    <x v="5"/>
    <n v="0"/>
  </r>
  <r>
    <x v="43"/>
    <x v="6"/>
    <x v="23"/>
    <n v="0"/>
  </r>
  <r>
    <x v="43"/>
    <x v="6"/>
    <x v="24"/>
    <n v="76"/>
  </r>
  <r>
    <x v="43"/>
    <x v="6"/>
    <x v="25"/>
    <n v="1"/>
  </r>
  <r>
    <x v="43"/>
    <x v="6"/>
    <x v="7"/>
    <n v="16"/>
  </r>
  <r>
    <x v="43"/>
    <x v="6"/>
    <x v="3"/>
    <n v="7"/>
  </r>
  <r>
    <x v="43"/>
    <x v="6"/>
    <x v="4"/>
    <n v="0"/>
  </r>
  <r>
    <x v="43"/>
    <x v="7"/>
    <x v="22"/>
    <n v="129"/>
  </r>
  <r>
    <x v="43"/>
    <x v="7"/>
    <x v="5"/>
    <n v="0"/>
  </r>
  <r>
    <x v="43"/>
    <x v="7"/>
    <x v="24"/>
    <n v="63"/>
  </r>
  <r>
    <x v="43"/>
    <x v="7"/>
    <x v="7"/>
    <n v="8"/>
  </r>
  <r>
    <x v="43"/>
    <x v="7"/>
    <x v="3"/>
    <n v="17"/>
  </r>
  <r>
    <x v="43"/>
    <x v="7"/>
    <x v="4"/>
    <n v="0"/>
  </r>
  <r>
    <x v="43"/>
    <x v="8"/>
    <x v="22"/>
    <n v="129"/>
  </r>
  <r>
    <x v="43"/>
    <x v="8"/>
    <x v="5"/>
    <n v="0"/>
  </r>
  <r>
    <x v="43"/>
    <x v="8"/>
    <x v="24"/>
    <n v="63"/>
  </r>
  <r>
    <x v="43"/>
    <x v="8"/>
    <x v="7"/>
    <n v="8"/>
  </r>
  <r>
    <x v="43"/>
    <x v="8"/>
    <x v="3"/>
    <n v="17"/>
  </r>
  <r>
    <x v="43"/>
    <x v="8"/>
    <x v="4"/>
    <n v="0"/>
  </r>
  <r>
    <x v="44"/>
    <x v="6"/>
    <x v="22"/>
    <n v="107"/>
  </r>
  <r>
    <x v="44"/>
    <x v="6"/>
    <x v="5"/>
    <n v="0"/>
  </r>
  <r>
    <x v="44"/>
    <x v="6"/>
    <x v="23"/>
    <n v="4"/>
  </r>
  <r>
    <x v="44"/>
    <x v="6"/>
    <x v="24"/>
    <n v="76"/>
  </r>
  <r>
    <x v="44"/>
    <x v="6"/>
    <x v="25"/>
    <n v="1"/>
  </r>
  <r>
    <x v="44"/>
    <x v="6"/>
    <x v="7"/>
    <n v="35"/>
  </r>
  <r>
    <x v="44"/>
    <x v="6"/>
    <x v="3"/>
    <n v="6"/>
  </r>
  <r>
    <x v="44"/>
    <x v="6"/>
    <x v="4"/>
    <n v="0"/>
  </r>
  <r>
    <x v="44"/>
    <x v="7"/>
    <x v="22"/>
    <n v="123"/>
  </r>
  <r>
    <x v="44"/>
    <x v="7"/>
    <x v="5"/>
    <n v="0"/>
  </r>
  <r>
    <x v="44"/>
    <x v="7"/>
    <x v="24"/>
    <n v="65"/>
  </r>
  <r>
    <x v="44"/>
    <x v="7"/>
    <x v="7"/>
    <n v="19"/>
  </r>
  <r>
    <x v="44"/>
    <x v="7"/>
    <x v="3"/>
    <n v="22"/>
  </r>
  <r>
    <x v="44"/>
    <x v="7"/>
    <x v="4"/>
    <n v="0"/>
  </r>
  <r>
    <x v="44"/>
    <x v="8"/>
    <x v="22"/>
    <n v="123"/>
  </r>
  <r>
    <x v="44"/>
    <x v="8"/>
    <x v="5"/>
    <n v="0"/>
  </r>
  <r>
    <x v="44"/>
    <x v="8"/>
    <x v="24"/>
    <n v="65"/>
  </r>
  <r>
    <x v="44"/>
    <x v="8"/>
    <x v="7"/>
    <n v="19"/>
  </r>
  <r>
    <x v="44"/>
    <x v="8"/>
    <x v="3"/>
    <n v="22"/>
  </r>
  <r>
    <x v="44"/>
    <x v="8"/>
    <x v="4"/>
    <n v="0"/>
  </r>
  <r>
    <x v="45"/>
    <x v="6"/>
    <x v="22"/>
    <n v="81"/>
  </r>
  <r>
    <x v="45"/>
    <x v="6"/>
    <x v="5"/>
    <n v="1"/>
  </r>
  <r>
    <x v="45"/>
    <x v="6"/>
    <x v="23"/>
    <n v="2"/>
  </r>
  <r>
    <x v="45"/>
    <x v="6"/>
    <x v="24"/>
    <n v="16"/>
  </r>
  <r>
    <x v="45"/>
    <x v="6"/>
    <x v="25"/>
    <n v="0"/>
  </r>
  <r>
    <x v="45"/>
    <x v="6"/>
    <x v="7"/>
    <n v="24"/>
  </r>
  <r>
    <x v="45"/>
    <x v="6"/>
    <x v="3"/>
    <n v="11"/>
  </r>
  <r>
    <x v="45"/>
    <x v="6"/>
    <x v="4"/>
    <n v="0"/>
  </r>
  <r>
    <x v="45"/>
    <x v="7"/>
    <x v="22"/>
    <n v="93"/>
  </r>
  <r>
    <x v="45"/>
    <x v="7"/>
    <x v="5"/>
    <n v="0"/>
  </r>
  <r>
    <x v="45"/>
    <x v="7"/>
    <x v="24"/>
    <n v="10"/>
  </r>
  <r>
    <x v="45"/>
    <x v="7"/>
    <x v="7"/>
    <n v="6"/>
  </r>
  <r>
    <x v="45"/>
    <x v="7"/>
    <x v="3"/>
    <n v="26"/>
  </r>
  <r>
    <x v="45"/>
    <x v="7"/>
    <x v="4"/>
    <n v="0"/>
  </r>
  <r>
    <x v="45"/>
    <x v="8"/>
    <x v="22"/>
    <n v="91"/>
  </r>
  <r>
    <x v="45"/>
    <x v="8"/>
    <x v="5"/>
    <n v="0"/>
  </r>
  <r>
    <x v="45"/>
    <x v="8"/>
    <x v="24"/>
    <n v="9"/>
  </r>
  <r>
    <x v="45"/>
    <x v="8"/>
    <x v="7"/>
    <n v="6"/>
  </r>
  <r>
    <x v="45"/>
    <x v="8"/>
    <x v="3"/>
    <n v="29"/>
  </r>
  <r>
    <x v="45"/>
    <x v="8"/>
    <x v="4"/>
    <n v="0"/>
  </r>
  <r>
    <x v="46"/>
    <x v="6"/>
    <x v="22"/>
    <n v="112"/>
  </r>
  <r>
    <x v="46"/>
    <x v="6"/>
    <x v="5"/>
    <n v="9"/>
  </r>
  <r>
    <x v="46"/>
    <x v="6"/>
    <x v="23"/>
    <n v="1"/>
  </r>
  <r>
    <x v="46"/>
    <x v="6"/>
    <x v="24"/>
    <n v="108"/>
  </r>
  <r>
    <x v="46"/>
    <x v="6"/>
    <x v="25"/>
    <n v="1"/>
  </r>
  <r>
    <x v="46"/>
    <x v="6"/>
    <x v="7"/>
    <n v="48"/>
  </r>
  <r>
    <x v="46"/>
    <x v="6"/>
    <x v="3"/>
    <n v="20"/>
  </r>
  <r>
    <x v="46"/>
    <x v="6"/>
    <x v="4"/>
    <n v="3"/>
  </r>
  <r>
    <x v="46"/>
    <x v="7"/>
    <x v="22"/>
    <n v="142"/>
  </r>
  <r>
    <x v="46"/>
    <x v="7"/>
    <x v="5"/>
    <n v="3"/>
  </r>
  <r>
    <x v="46"/>
    <x v="7"/>
    <x v="24"/>
    <n v="87"/>
  </r>
  <r>
    <x v="46"/>
    <x v="7"/>
    <x v="7"/>
    <n v="23"/>
  </r>
  <r>
    <x v="46"/>
    <x v="7"/>
    <x v="3"/>
    <n v="46"/>
  </r>
  <r>
    <x v="46"/>
    <x v="7"/>
    <x v="4"/>
    <n v="1"/>
  </r>
  <r>
    <x v="46"/>
    <x v="8"/>
    <x v="22"/>
    <n v="142"/>
  </r>
  <r>
    <x v="46"/>
    <x v="8"/>
    <x v="5"/>
    <n v="3"/>
  </r>
  <r>
    <x v="46"/>
    <x v="8"/>
    <x v="24"/>
    <n v="87"/>
  </r>
  <r>
    <x v="46"/>
    <x v="8"/>
    <x v="7"/>
    <n v="22"/>
  </r>
  <r>
    <x v="46"/>
    <x v="8"/>
    <x v="3"/>
    <n v="47"/>
  </r>
  <r>
    <x v="46"/>
    <x v="8"/>
    <x v="4"/>
    <n v="1"/>
  </r>
  <r>
    <x v="47"/>
    <x v="6"/>
    <x v="22"/>
    <n v="161"/>
  </r>
  <r>
    <x v="47"/>
    <x v="6"/>
    <x v="5"/>
    <n v="5"/>
  </r>
  <r>
    <x v="47"/>
    <x v="6"/>
    <x v="23"/>
    <n v="9"/>
  </r>
  <r>
    <x v="47"/>
    <x v="6"/>
    <x v="24"/>
    <n v="121"/>
  </r>
  <r>
    <x v="47"/>
    <x v="6"/>
    <x v="25"/>
    <n v="5"/>
  </r>
  <r>
    <x v="47"/>
    <x v="6"/>
    <x v="7"/>
    <n v="107"/>
  </r>
  <r>
    <x v="47"/>
    <x v="6"/>
    <x v="3"/>
    <n v="20"/>
  </r>
  <r>
    <x v="47"/>
    <x v="6"/>
    <x v="4"/>
    <n v="0"/>
  </r>
  <r>
    <x v="47"/>
    <x v="7"/>
    <x v="22"/>
    <n v="170"/>
  </r>
  <r>
    <x v="47"/>
    <x v="7"/>
    <x v="5"/>
    <n v="3"/>
  </r>
  <r>
    <x v="47"/>
    <x v="7"/>
    <x v="24"/>
    <n v="107"/>
  </r>
  <r>
    <x v="47"/>
    <x v="7"/>
    <x v="7"/>
    <n v="79"/>
  </r>
  <r>
    <x v="47"/>
    <x v="7"/>
    <x v="3"/>
    <n v="69"/>
  </r>
  <r>
    <x v="47"/>
    <x v="7"/>
    <x v="4"/>
    <n v="0"/>
  </r>
  <r>
    <x v="47"/>
    <x v="8"/>
    <x v="22"/>
    <n v="168"/>
  </r>
  <r>
    <x v="47"/>
    <x v="8"/>
    <x v="5"/>
    <n v="2"/>
  </r>
  <r>
    <x v="47"/>
    <x v="8"/>
    <x v="24"/>
    <n v="106"/>
  </r>
  <r>
    <x v="47"/>
    <x v="8"/>
    <x v="7"/>
    <n v="79"/>
  </r>
  <r>
    <x v="47"/>
    <x v="8"/>
    <x v="3"/>
    <n v="73"/>
  </r>
  <r>
    <x v="47"/>
    <x v="8"/>
    <x v="4"/>
    <n v="0"/>
  </r>
  <r>
    <x v="49"/>
    <x v="6"/>
    <x v="22"/>
    <n v="177"/>
  </r>
  <r>
    <x v="49"/>
    <x v="6"/>
    <x v="5"/>
    <n v="6"/>
  </r>
  <r>
    <x v="49"/>
    <x v="6"/>
    <x v="23"/>
    <n v="14"/>
  </r>
  <r>
    <x v="49"/>
    <x v="6"/>
    <x v="24"/>
    <n v="86"/>
  </r>
  <r>
    <x v="49"/>
    <x v="6"/>
    <x v="25"/>
    <n v="6"/>
  </r>
  <r>
    <x v="49"/>
    <x v="6"/>
    <x v="7"/>
    <n v="66"/>
  </r>
  <r>
    <x v="49"/>
    <x v="6"/>
    <x v="3"/>
    <n v="21"/>
  </r>
  <r>
    <x v="49"/>
    <x v="6"/>
    <x v="4"/>
    <n v="2"/>
  </r>
  <r>
    <x v="49"/>
    <x v="7"/>
    <x v="22"/>
    <n v="190"/>
  </r>
  <r>
    <x v="49"/>
    <x v="7"/>
    <x v="5"/>
    <n v="5"/>
  </r>
  <r>
    <x v="49"/>
    <x v="7"/>
    <x v="24"/>
    <n v="89"/>
  </r>
  <r>
    <x v="49"/>
    <x v="7"/>
    <x v="7"/>
    <n v="25"/>
  </r>
  <r>
    <x v="49"/>
    <x v="7"/>
    <x v="3"/>
    <n v="67"/>
  </r>
  <r>
    <x v="49"/>
    <x v="7"/>
    <x v="4"/>
    <n v="2"/>
  </r>
  <r>
    <x v="49"/>
    <x v="8"/>
    <x v="22"/>
    <n v="193"/>
  </r>
  <r>
    <x v="49"/>
    <x v="8"/>
    <x v="5"/>
    <n v="3"/>
  </r>
  <r>
    <x v="49"/>
    <x v="8"/>
    <x v="24"/>
    <n v="88"/>
  </r>
  <r>
    <x v="49"/>
    <x v="8"/>
    <x v="7"/>
    <n v="23"/>
  </r>
  <r>
    <x v="49"/>
    <x v="8"/>
    <x v="3"/>
    <n v="69"/>
  </r>
  <r>
    <x v="49"/>
    <x v="8"/>
    <x v="4"/>
    <n v="2"/>
  </r>
  <r>
    <x v="82"/>
    <x v="6"/>
    <x v="22"/>
    <n v="6"/>
  </r>
  <r>
    <x v="82"/>
    <x v="6"/>
    <x v="5"/>
    <n v="1"/>
  </r>
  <r>
    <x v="82"/>
    <x v="6"/>
    <x v="23"/>
    <n v="4"/>
  </r>
  <r>
    <x v="82"/>
    <x v="6"/>
    <x v="24"/>
    <n v="16"/>
  </r>
  <r>
    <x v="82"/>
    <x v="6"/>
    <x v="25"/>
    <n v="0"/>
  </r>
  <r>
    <x v="82"/>
    <x v="6"/>
    <x v="7"/>
    <n v="8"/>
  </r>
  <r>
    <x v="82"/>
    <x v="6"/>
    <x v="3"/>
    <n v="1"/>
  </r>
  <r>
    <x v="82"/>
    <x v="6"/>
    <x v="4"/>
    <n v="0"/>
  </r>
  <r>
    <x v="82"/>
    <x v="7"/>
    <x v="22"/>
    <n v="4"/>
  </r>
  <r>
    <x v="82"/>
    <x v="7"/>
    <x v="5"/>
    <n v="1"/>
  </r>
  <r>
    <x v="82"/>
    <x v="7"/>
    <x v="24"/>
    <n v="13"/>
  </r>
  <r>
    <x v="82"/>
    <x v="7"/>
    <x v="7"/>
    <n v="7"/>
  </r>
  <r>
    <x v="82"/>
    <x v="7"/>
    <x v="3"/>
    <n v="11"/>
  </r>
  <r>
    <x v="82"/>
    <x v="7"/>
    <x v="4"/>
    <n v="0"/>
  </r>
  <r>
    <x v="82"/>
    <x v="8"/>
    <x v="22"/>
    <n v="4"/>
  </r>
  <r>
    <x v="82"/>
    <x v="8"/>
    <x v="5"/>
    <n v="1"/>
  </r>
  <r>
    <x v="82"/>
    <x v="8"/>
    <x v="24"/>
    <n v="13"/>
  </r>
  <r>
    <x v="82"/>
    <x v="8"/>
    <x v="7"/>
    <n v="7"/>
  </r>
  <r>
    <x v="82"/>
    <x v="8"/>
    <x v="3"/>
    <n v="11"/>
  </r>
  <r>
    <x v="82"/>
    <x v="8"/>
    <x v="4"/>
    <n v="0"/>
  </r>
  <r>
    <x v="51"/>
    <x v="6"/>
    <x v="22"/>
    <n v="217"/>
  </r>
  <r>
    <x v="51"/>
    <x v="6"/>
    <x v="5"/>
    <n v="1"/>
  </r>
  <r>
    <x v="51"/>
    <x v="6"/>
    <x v="23"/>
    <n v="1"/>
  </r>
  <r>
    <x v="51"/>
    <x v="6"/>
    <x v="24"/>
    <n v="166"/>
  </r>
  <r>
    <x v="51"/>
    <x v="6"/>
    <x v="25"/>
    <n v="4"/>
  </r>
  <r>
    <x v="51"/>
    <x v="6"/>
    <x v="7"/>
    <n v="48"/>
  </r>
  <r>
    <x v="51"/>
    <x v="6"/>
    <x v="3"/>
    <n v="108"/>
  </r>
  <r>
    <x v="51"/>
    <x v="6"/>
    <x v="4"/>
    <n v="1"/>
  </r>
  <r>
    <x v="51"/>
    <x v="7"/>
    <x v="22"/>
    <n v="232"/>
  </r>
  <r>
    <x v="51"/>
    <x v="7"/>
    <x v="5"/>
    <n v="2"/>
  </r>
  <r>
    <x v="51"/>
    <x v="7"/>
    <x v="24"/>
    <n v="175"/>
  </r>
  <r>
    <x v="51"/>
    <x v="7"/>
    <x v="7"/>
    <n v="11"/>
  </r>
  <r>
    <x v="51"/>
    <x v="7"/>
    <x v="3"/>
    <n v="125"/>
  </r>
  <r>
    <x v="51"/>
    <x v="7"/>
    <x v="4"/>
    <n v="1"/>
  </r>
  <r>
    <x v="51"/>
    <x v="8"/>
    <x v="22"/>
    <n v="235"/>
  </r>
  <r>
    <x v="51"/>
    <x v="8"/>
    <x v="5"/>
    <n v="2"/>
  </r>
  <r>
    <x v="51"/>
    <x v="8"/>
    <x v="24"/>
    <n v="169"/>
  </r>
  <r>
    <x v="51"/>
    <x v="8"/>
    <x v="7"/>
    <n v="12"/>
  </r>
  <r>
    <x v="51"/>
    <x v="8"/>
    <x v="3"/>
    <n v="127"/>
  </r>
  <r>
    <x v="51"/>
    <x v="8"/>
    <x v="4"/>
    <n v="1"/>
  </r>
  <r>
    <x v="52"/>
    <x v="6"/>
    <x v="22"/>
    <n v="691"/>
  </r>
  <r>
    <x v="52"/>
    <x v="6"/>
    <x v="5"/>
    <n v="29"/>
  </r>
  <r>
    <x v="52"/>
    <x v="6"/>
    <x v="23"/>
    <n v="19"/>
  </r>
  <r>
    <x v="52"/>
    <x v="6"/>
    <x v="24"/>
    <n v="836"/>
  </r>
  <r>
    <x v="52"/>
    <x v="6"/>
    <x v="25"/>
    <n v="51"/>
  </r>
  <r>
    <x v="52"/>
    <x v="6"/>
    <x v="7"/>
    <n v="508"/>
  </r>
  <r>
    <x v="52"/>
    <x v="6"/>
    <x v="3"/>
    <n v="99"/>
  </r>
  <r>
    <x v="52"/>
    <x v="6"/>
    <x v="4"/>
    <n v="1"/>
  </r>
  <r>
    <x v="52"/>
    <x v="7"/>
    <x v="22"/>
    <n v="974"/>
  </r>
  <r>
    <x v="52"/>
    <x v="7"/>
    <x v="5"/>
    <n v="24"/>
  </r>
  <r>
    <x v="52"/>
    <x v="7"/>
    <x v="24"/>
    <n v="762"/>
  </r>
  <r>
    <x v="52"/>
    <x v="7"/>
    <x v="7"/>
    <n v="72"/>
  </r>
  <r>
    <x v="52"/>
    <x v="7"/>
    <x v="3"/>
    <n v="399"/>
  </r>
  <r>
    <x v="52"/>
    <x v="7"/>
    <x v="4"/>
    <n v="3"/>
  </r>
  <r>
    <x v="52"/>
    <x v="8"/>
    <x v="22"/>
    <n v="980"/>
  </r>
  <r>
    <x v="52"/>
    <x v="8"/>
    <x v="5"/>
    <n v="24"/>
  </r>
  <r>
    <x v="52"/>
    <x v="8"/>
    <x v="24"/>
    <n v="794"/>
  </r>
  <r>
    <x v="52"/>
    <x v="8"/>
    <x v="7"/>
    <n v="70"/>
  </r>
  <r>
    <x v="52"/>
    <x v="8"/>
    <x v="3"/>
    <n v="363"/>
  </r>
  <r>
    <x v="52"/>
    <x v="8"/>
    <x v="4"/>
    <n v="3"/>
  </r>
  <r>
    <x v="53"/>
    <x v="6"/>
    <x v="22"/>
    <n v="301"/>
  </r>
  <r>
    <x v="53"/>
    <x v="6"/>
    <x v="5"/>
    <n v="13"/>
  </r>
  <r>
    <x v="53"/>
    <x v="6"/>
    <x v="23"/>
    <n v="7"/>
  </r>
  <r>
    <x v="53"/>
    <x v="6"/>
    <x v="24"/>
    <n v="194"/>
  </r>
  <r>
    <x v="53"/>
    <x v="6"/>
    <x v="25"/>
    <n v="3"/>
  </r>
  <r>
    <x v="53"/>
    <x v="6"/>
    <x v="7"/>
    <n v="60"/>
  </r>
  <r>
    <x v="53"/>
    <x v="6"/>
    <x v="3"/>
    <n v="21"/>
  </r>
  <r>
    <x v="53"/>
    <x v="6"/>
    <x v="4"/>
    <n v="2"/>
  </r>
  <r>
    <x v="53"/>
    <x v="7"/>
    <x v="22"/>
    <n v="328"/>
  </r>
  <r>
    <x v="53"/>
    <x v="7"/>
    <x v="5"/>
    <n v="5"/>
  </r>
  <r>
    <x v="53"/>
    <x v="7"/>
    <x v="24"/>
    <n v="200"/>
  </r>
  <r>
    <x v="53"/>
    <x v="7"/>
    <x v="7"/>
    <n v="16"/>
  </r>
  <r>
    <x v="53"/>
    <x v="7"/>
    <x v="3"/>
    <n v="52"/>
  </r>
  <r>
    <x v="53"/>
    <x v="7"/>
    <x v="4"/>
    <n v="0"/>
  </r>
  <r>
    <x v="53"/>
    <x v="8"/>
    <x v="22"/>
    <n v="323"/>
  </r>
  <r>
    <x v="53"/>
    <x v="8"/>
    <x v="5"/>
    <n v="5"/>
  </r>
  <r>
    <x v="53"/>
    <x v="8"/>
    <x v="24"/>
    <n v="204"/>
  </r>
  <r>
    <x v="53"/>
    <x v="8"/>
    <x v="7"/>
    <n v="16"/>
  </r>
  <r>
    <x v="53"/>
    <x v="8"/>
    <x v="3"/>
    <n v="53"/>
  </r>
  <r>
    <x v="53"/>
    <x v="8"/>
    <x v="4"/>
    <n v="0"/>
  </r>
  <r>
    <x v="55"/>
    <x v="6"/>
    <x v="22"/>
    <n v="17"/>
  </r>
  <r>
    <x v="55"/>
    <x v="6"/>
    <x v="5"/>
    <n v="1"/>
  </r>
  <r>
    <x v="55"/>
    <x v="6"/>
    <x v="23"/>
    <n v="0"/>
  </r>
  <r>
    <x v="55"/>
    <x v="6"/>
    <x v="24"/>
    <n v="55"/>
  </r>
  <r>
    <x v="55"/>
    <x v="6"/>
    <x v="25"/>
    <n v="2"/>
  </r>
  <r>
    <x v="55"/>
    <x v="6"/>
    <x v="7"/>
    <n v="13"/>
  </r>
  <r>
    <x v="55"/>
    <x v="6"/>
    <x v="3"/>
    <n v="10"/>
  </r>
  <r>
    <x v="55"/>
    <x v="6"/>
    <x v="4"/>
    <n v="1"/>
  </r>
  <r>
    <x v="55"/>
    <x v="7"/>
    <x v="22"/>
    <n v="20"/>
  </r>
  <r>
    <x v="55"/>
    <x v="7"/>
    <x v="5"/>
    <n v="1"/>
  </r>
  <r>
    <x v="55"/>
    <x v="7"/>
    <x v="24"/>
    <n v="51"/>
  </r>
  <r>
    <x v="55"/>
    <x v="7"/>
    <x v="7"/>
    <n v="4"/>
  </r>
  <r>
    <x v="55"/>
    <x v="7"/>
    <x v="3"/>
    <n v="22"/>
  </r>
  <r>
    <x v="55"/>
    <x v="7"/>
    <x v="4"/>
    <n v="1"/>
  </r>
  <r>
    <x v="55"/>
    <x v="8"/>
    <x v="22"/>
    <n v="20"/>
  </r>
  <r>
    <x v="55"/>
    <x v="8"/>
    <x v="5"/>
    <n v="1"/>
  </r>
  <r>
    <x v="55"/>
    <x v="8"/>
    <x v="24"/>
    <n v="51"/>
  </r>
  <r>
    <x v="55"/>
    <x v="8"/>
    <x v="7"/>
    <n v="4"/>
  </r>
  <r>
    <x v="55"/>
    <x v="8"/>
    <x v="3"/>
    <n v="22"/>
  </r>
  <r>
    <x v="55"/>
    <x v="8"/>
    <x v="4"/>
    <n v="1"/>
  </r>
  <r>
    <x v="83"/>
    <x v="6"/>
    <x v="22"/>
    <n v="8"/>
  </r>
  <r>
    <x v="83"/>
    <x v="6"/>
    <x v="5"/>
    <n v="0"/>
  </r>
  <r>
    <x v="83"/>
    <x v="6"/>
    <x v="23"/>
    <n v="0"/>
  </r>
  <r>
    <x v="83"/>
    <x v="6"/>
    <x v="24"/>
    <n v="13"/>
  </r>
  <r>
    <x v="83"/>
    <x v="6"/>
    <x v="25"/>
    <n v="0"/>
  </r>
  <r>
    <x v="83"/>
    <x v="6"/>
    <x v="7"/>
    <n v="15"/>
  </r>
  <r>
    <x v="83"/>
    <x v="6"/>
    <x v="3"/>
    <n v="0"/>
  </r>
  <r>
    <x v="83"/>
    <x v="6"/>
    <x v="4"/>
    <n v="0"/>
  </r>
  <r>
    <x v="83"/>
    <x v="7"/>
    <x v="22"/>
    <n v="19"/>
  </r>
  <r>
    <x v="83"/>
    <x v="7"/>
    <x v="5"/>
    <n v="1"/>
  </r>
  <r>
    <x v="83"/>
    <x v="7"/>
    <x v="24"/>
    <n v="11"/>
  </r>
  <r>
    <x v="83"/>
    <x v="7"/>
    <x v="7"/>
    <n v="2"/>
  </r>
  <r>
    <x v="83"/>
    <x v="7"/>
    <x v="3"/>
    <n v="3"/>
  </r>
  <r>
    <x v="83"/>
    <x v="7"/>
    <x v="4"/>
    <n v="0"/>
  </r>
  <r>
    <x v="83"/>
    <x v="8"/>
    <x v="22"/>
    <n v="19"/>
  </r>
  <r>
    <x v="83"/>
    <x v="8"/>
    <x v="5"/>
    <n v="1"/>
  </r>
  <r>
    <x v="83"/>
    <x v="8"/>
    <x v="24"/>
    <n v="10"/>
  </r>
  <r>
    <x v="83"/>
    <x v="8"/>
    <x v="7"/>
    <n v="2"/>
  </r>
  <r>
    <x v="83"/>
    <x v="8"/>
    <x v="3"/>
    <n v="4"/>
  </r>
  <r>
    <x v="83"/>
    <x v="8"/>
    <x v="4"/>
    <n v="0"/>
  </r>
  <r>
    <x v="56"/>
    <x v="6"/>
    <x v="22"/>
    <n v="97"/>
  </r>
  <r>
    <x v="56"/>
    <x v="6"/>
    <x v="5"/>
    <n v="5"/>
  </r>
  <r>
    <x v="56"/>
    <x v="6"/>
    <x v="23"/>
    <n v="6"/>
  </r>
  <r>
    <x v="56"/>
    <x v="6"/>
    <x v="24"/>
    <n v="217"/>
  </r>
  <r>
    <x v="56"/>
    <x v="6"/>
    <x v="25"/>
    <n v="12"/>
  </r>
  <r>
    <x v="56"/>
    <x v="6"/>
    <x v="7"/>
    <n v="133"/>
  </r>
  <r>
    <x v="56"/>
    <x v="6"/>
    <x v="3"/>
    <n v="41"/>
  </r>
  <r>
    <x v="56"/>
    <x v="6"/>
    <x v="4"/>
    <n v="1"/>
  </r>
  <r>
    <x v="56"/>
    <x v="7"/>
    <x v="22"/>
    <n v="151"/>
  </r>
  <r>
    <x v="56"/>
    <x v="7"/>
    <x v="5"/>
    <n v="5"/>
  </r>
  <r>
    <x v="56"/>
    <x v="7"/>
    <x v="24"/>
    <n v="203"/>
  </r>
  <r>
    <x v="56"/>
    <x v="7"/>
    <x v="7"/>
    <n v="15"/>
  </r>
  <r>
    <x v="56"/>
    <x v="7"/>
    <x v="3"/>
    <n v="137"/>
  </r>
  <r>
    <x v="56"/>
    <x v="7"/>
    <x v="4"/>
    <n v="1"/>
  </r>
  <r>
    <x v="56"/>
    <x v="8"/>
    <x v="22"/>
    <n v="152"/>
  </r>
  <r>
    <x v="56"/>
    <x v="8"/>
    <x v="5"/>
    <n v="7"/>
  </r>
  <r>
    <x v="56"/>
    <x v="8"/>
    <x v="24"/>
    <n v="207"/>
  </r>
  <r>
    <x v="56"/>
    <x v="8"/>
    <x v="7"/>
    <n v="13"/>
  </r>
  <r>
    <x v="56"/>
    <x v="8"/>
    <x v="3"/>
    <n v="132"/>
  </r>
  <r>
    <x v="56"/>
    <x v="8"/>
    <x v="4"/>
    <n v="1"/>
  </r>
  <r>
    <x v="57"/>
    <x v="6"/>
    <x v="22"/>
    <n v="741"/>
  </r>
  <r>
    <x v="57"/>
    <x v="6"/>
    <x v="5"/>
    <n v="15"/>
  </r>
  <r>
    <x v="57"/>
    <x v="6"/>
    <x v="23"/>
    <n v="30"/>
  </r>
  <r>
    <x v="57"/>
    <x v="6"/>
    <x v="24"/>
    <n v="485"/>
  </r>
  <r>
    <x v="57"/>
    <x v="6"/>
    <x v="25"/>
    <n v="84"/>
  </r>
  <r>
    <x v="57"/>
    <x v="6"/>
    <x v="7"/>
    <n v="207"/>
  </r>
  <r>
    <x v="57"/>
    <x v="6"/>
    <x v="3"/>
    <n v="121"/>
  </r>
  <r>
    <x v="57"/>
    <x v="6"/>
    <x v="4"/>
    <n v="23"/>
  </r>
  <r>
    <x v="57"/>
    <x v="7"/>
    <x v="22"/>
    <n v="882"/>
  </r>
  <r>
    <x v="57"/>
    <x v="7"/>
    <x v="5"/>
    <n v="8"/>
  </r>
  <r>
    <x v="57"/>
    <x v="7"/>
    <x v="24"/>
    <n v="545"/>
  </r>
  <r>
    <x v="57"/>
    <x v="7"/>
    <x v="7"/>
    <n v="68"/>
  </r>
  <r>
    <x v="57"/>
    <x v="7"/>
    <x v="3"/>
    <n v="202"/>
  </r>
  <r>
    <x v="57"/>
    <x v="7"/>
    <x v="4"/>
    <n v="1"/>
  </r>
  <r>
    <x v="57"/>
    <x v="8"/>
    <x v="22"/>
    <n v="857"/>
  </r>
  <r>
    <x v="57"/>
    <x v="8"/>
    <x v="5"/>
    <n v="10"/>
  </r>
  <r>
    <x v="57"/>
    <x v="8"/>
    <x v="24"/>
    <n v="534"/>
  </r>
  <r>
    <x v="57"/>
    <x v="8"/>
    <x v="7"/>
    <n v="64"/>
  </r>
  <r>
    <x v="57"/>
    <x v="8"/>
    <x v="3"/>
    <n v="240"/>
  </r>
  <r>
    <x v="57"/>
    <x v="8"/>
    <x v="4"/>
    <n v="1"/>
  </r>
  <r>
    <x v="84"/>
    <x v="6"/>
    <x v="22"/>
    <n v="0"/>
  </r>
  <r>
    <x v="84"/>
    <x v="6"/>
    <x v="5"/>
    <n v="0"/>
  </r>
  <r>
    <x v="84"/>
    <x v="6"/>
    <x v="23"/>
    <n v="0"/>
  </r>
  <r>
    <x v="84"/>
    <x v="6"/>
    <x v="24"/>
    <n v="0"/>
  </r>
  <r>
    <x v="84"/>
    <x v="6"/>
    <x v="25"/>
    <n v="0"/>
  </r>
  <r>
    <x v="84"/>
    <x v="6"/>
    <x v="7"/>
    <n v="1"/>
  </r>
  <r>
    <x v="84"/>
    <x v="6"/>
    <x v="3"/>
    <n v="0"/>
  </r>
  <r>
    <x v="84"/>
    <x v="6"/>
    <x v="4"/>
    <n v="0"/>
  </r>
  <r>
    <x v="84"/>
    <x v="7"/>
    <x v="22"/>
    <n v="0"/>
  </r>
  <r>
    <x v="84"/>
    <x v="7"/>
    <x v="5"/>
    <n v="0"/>
  </r>
  <r>
    <x v="84"/>
    <x v="7"/>
    <x v="24"/>
    <n v="0"/>
  </r>
  <r>
    <x v="84"/>
    <x v="7"/>
    <x v="7"/>
    <n v="1"/>
  </r>
  <r>
    <x v="84"/>
    <x v="7"/>
    <x v="3"/>
    <n v="0"/>
  </r>
  <r>
    <x v="84"/>
    <x v="7"/>
    <x v="4"/>
    <n v="0"/>
  </r>
  <r>
    <x v="84"/>
    <x v="8"/>
    <x v="22"/>
    <n v="0"/>
  </r>
  <r>
    <x v="84"/>
    <x v="8"/>
    <x v="5"/>
    <n v="0"/>
  </r>
  <r>
    <x v="84"/>
    <x v="8"/>
    <x v="24"/>
    <n v="0"/>
  </r>
  <r>
    <x v="84"/>
    <x v="8"/>
    <x v="7"/>
    <n v="1"/>
  </r>
  <r>
    <x v="84"/>
    <x v="8"/>
    <x v="3"/>
    <n v="0"/>
  </r>
  <r>
    <x v="84"/>
    <x v="8"/>
    <x v="4"/>
    <n v="0"/>
  </r>
  <r>
    <x v="58"/>
    <x v="6"/>
    <x v="22"/>
    <n v="624"/>
  </r>
  <r>
    <x v="58"/>
    <x v="6"/>
    <x v="5"/>
    <n v="3"/>
  </r>
  <r>
    <x v="58"/>
    <x v="6"/>
    <x v="23"/>
    <n v="6"/>
  </r>
  <r>
    <x v="58"/>
    <x v="6"/>
    <x v="24"/>
    <n v="399"/>
  </r>
  <r>
    <x v="58"/>
    <x v="6"/>
    <x v="25"/>
    <n v="1"/>
  </r>
  <r>
    <x v="58"/>
    <x v="6"/>
    <x v="7"/>
    <n v="44"/>
  </r>
  <r>
    <x v="58"/>
    <x v="6"/>
    <x v="3"/>
    <n v="15"/>
  </r>
  <r>
    <x v="58"/>
    <x v="6"/>
    <x v="4"/>
    <n v="2"/>
  </r>
  <r>
    <x v="58"/>
    <x v="7"/>
    <x v="22"/>
    <n v="644"/>
  </r>
  <r>
    <x v="58"/>
    <x v="7"/>
    <x v="5"/>
    <n v="3"/>
  </r>
  <r>
    <x v="58"/>
    <x v="7"/>
    <x v="24"/>
    <n v="372"/>
  </r>
  <r>
    <x v="58"/>
    <x v="7"/>
    <x v="7"/>
    <n v="15"/>
  </r>
  <r>
    <x v="58"/>
    <x v="7"/>
    <x v="3"/>
    <n v="58"/>
  </r>
  <r>
    <x v="58"/>
    <x v="7"/>
    <x v="4"/>
    <n v="2"/>
  </r>
  <r>
    <x v="58"/>
    <x v="8"/>
    <x v="22"/>
    <n v="644"/>
  </r>
  <r>
    <x v="58"/>
    <x v="8"/>
    <x v="5"/>
    <n v="3"/>
  </r>
  <r>
    <x v="58"/>
    <x v="8"/>
    <x v="24"/>
    <n v="371"/>
  </r>
  <r>
    <x v="58"/>
    <x v="8"/>
    <x v="7"/>
    <n v="15"/>
  </r>
  <r>
    <x v="58"/>
    <x v="8"/>
    <x v="3"/>
    <n v="59"/>
  </r>
  <r>
    <x v="58"/>
    <x v="8"/>
    <x v="4"/>
    <n v="2"/>
  </r>
  <r>
    <x v="59"/>
    <x v="6"/>
    <x v="22"/>
    <n v="547"/>
  </r>
  <r>
    <x v="59"/>
    <x v="6"/>
    <x v="5"/>
    <n v="16"/>
  </r>
  <r>
    <x v="59"/>
    <x v="6"/>
    <x v="23"/>
    <n v="42"/>
  </r>
  <r>
    <x v="59"/>
    <x v="6"/>
    <x v="24"/>
    <n v="776"/>
  </r>
  <r>
    <x v="59"/>
    <x v="6"/>
    <x v="25"/>
    <n v="18"/>
  </r>
  <r>
    <x v="59"/>
    <x v="6"/>
    <x v="7"/>
    <n v="218"/>
  </r>
  <r>
    <x v="59"/>
    <x v="6"/>
    <x v="3"/>
    <n v="106"/>
  </r>
  <r>
    <x v="59"/>
    <x v="6"/>
    <x v="4"/>
    <n v="8"/>
  </r>
  <r>
    <x v="59"/>
    <x v="7"/>
    <x v="22"/>
    <n v="462"/>
  </r>
  <r>
    <x v="59"/>
    <x v="7"/>
    <x v="5"/>
    <n v="10"/>
  </r>
  <r>
    <x v="59"/>
    <x v="7"/>
    <x v="24"/>
    <n v="809"/>
  </r>
  <r>
    <x v="59"/>
    <x v="7"/>
    <x v="7"/>
    <n v="99"/>
  </r>
  <r>
    <x v="59"/>
    <x v="7"/>
    <x v="3"/>
    <n v="349"/>
  </r>
  <r>
    <x v="59"/>
    <x v="7"/>
    <x v="4"/>
    <n v="2"/>
  </r>
  <r>
    <x v="59"/>
    <x v="8"/>
    <x v="22"/>
    <n v="465"/>
  </r>
  <r>
    <x v="59"/>
    <x v="8"/>
    <x v="5"/>
    <n v="10"/>
  </r>
  <r>
    <x v="59"/>
    <x v="8"/>
    <x v="24"/>
    <n v="794"/>
  </r>
  <r>
    <x v="59"/>
    <x v="8"/>
    <x v="7"/>
    <n v="98"/>
  </r>
  <r>
    <x v="59"/>
    <x v="8"/>
    <x v="3"/>
    <n v="362"/>
  </r>
  <r>
    <x v="59"/>
    <x v="8"/>
    <x v="4"/>
    <n v="2"/>
  </r>
  <r>
    <x v="60"/>
    <x v="6"/>
    <x v="22"/>
    <n v="65"/>
  </r>
  <r>
    <x v="60"/>
    <x v="6"/>
    <x v="5"/>
    <n v="1"/>
  </r>
  <r>
    <x v="60"/>
    <x v="6"/>
    <x v="23"/>
    <n v="14"/>
  </r>
  <r>
    <x v="60"/>
    <x v="6"/>
    <x v="24"/>
    <n v="59"/>
  </r>
  <r>
    <x v="60"/>
    <x v="6"/>
    <x v="25"/>
    <n v="3"/>
  </r>
  <r>
    <x v="60"/>
    <x v="6"/>
    <x v="7"/>
    <n v="29"/>
  </r>
  <r>
    <x v="60"/>
    <x v="6"/>
    <x v="3"/>
    <n v="18"/>
  </r>
  <r>
    <x v="60"/>
    <x v="6"/>
    <x v="4"/>
    <n v="0"/>
  </r>
  <r>
    <x v="60"/>
    <x v="7"/>
    <x v="22"/>
    <n v="79"/>
  </r>
  <r>
    <x v="60"/>
    <x v="7"/>
    <x v="5"/>
    <n v="0"/>
  </r>
  <r>
    <x v="60"/>
    <x v="7"/>
    <x v="24"/>
    <n v="42"/>
  </r>
  <r>
    <x v="60"/>
    <x v="7"/>
    <x v="7"/>
    <n v="7"/>
  </r>
  <r>
    <x v="60"/>
    <x v="7"/>
    <x v="3"/>
    <n v="61"/>
  </r>
  <r>
    <x v="60"/>
    <x v="7"/>
    <x v="4"/>
    <n v="0"/>
  </r>
  <r>
    <x v="60"/>
    <x v="8"/>
    <x v="22"/>
    <n v="79"/>
  </r>
  <r>
    <x v="60"/>
    <x v="8"/>
    <x v="5"/>
    <n v="0"/>
  </r>
  <r>
    <x v="60"/>
    <x v="8"/>
    <x v="24"/>
    <n v="42"/>
  </r>
  <r>
    <x v="60"/>
    <x v="8"/>
    <x v="7"/>
    <n v="7"/>
  </r>
  <r>
    <x v="60"/>
    <x v="8"/>
    <x v="3"/>
    <n v="61"/>
  </r>
  <r>
    <x v="60"/>
    <x v="8"/>
    <x v="4"/>
    <n v="0"/>
  </r>
  <r>
    <x v="61"/>
    <x v="6"/>
    <x v="22"/>
    <n v="147"/>
  </r>
  <r>
    <x v="61"/>
    <x v="6"/>
    <x v="5"/>
    <n v="2"/>
  </r>
  <r>
    <x v="61"/>
    <x v="6"/>
    <x v="23"/>
    <n v="10"/>
  </r>
  <r>
    <x v="61"/>
    <x v="6"/>
    <x v="24"/>
    <n v="98"/>
  </r>
  <r>
    <x v="61"/>
    <x v="6"/>
    <x v="25"/>
    <n v="1"/>
  </r>
  <r>
    <x v="61"/>
    <x v="6"/>
    <x v="7"/>
    <n v="61"/>
  </r>
  <r>
    <x v="61"/>
    <x v="6"/>
    <x v="3"/>
    <n v="62"/>
  </r>
  <r>
    <x v="61"/>
    <x v="6"/>
    <x v="4"/>
    <n v="0"/>
  </r>
  <r>
    <x v="61"/>
    <x v="7"/>
    <x v="22"/>
    <n v="170"/>
  </r>
  <r>
    <x v="61"/>
    <x v="7"/>
    <x v="5"/>
    <n v="0"/>
  </r>
  <r>
    <x v="61"/>
    <x v="7"/>
    <x v="24"/>
    <n v="80"/>
  </r>
  <r>
    <x v="61"/>
    <x v="7"/>
    <x v="7"/>
    <n v="11"/>
  </r>
  <r>
    <x v="61"/>
    <x v="7"/>
    <x v="3"/>
    <n v="119"/>
  </r>
  <r>
    <x v="61"/>
    <x v="7"/>
    <x v="4"/>
    <n v="1"/>
  </r>
  <r>
    <x v="61"/>
    <x v="8"/>
    <x v="22"/>
    <n v="169"/>
  </r>
  <r>
    <x v="61"/>
    <x v="8"/>
    <x v="5"/>
    <n v="0"/>
  </r>
  <r>
    <x v="61"/>
    <x v="8"/>
    <x v="24"/>
    <n v="79"/>
  </r>
  <r>
    <x v="61"/>
    <x v="8"/>
    <x v="7"/>
    <n v="11"/>
  </r>
  <r>
    <x v="61"/>
    <x v="8"/>
    <x v="3"/>
    <n v="121"/>
  </r>
  <r>
    <x v="61"/>
    <x v="8"/>
    <x v="4"/>
    <n v="1"/>
  </r>
  <r>
    <x v="62"/>
    <x v="6"/>
    <x v="22"/>
    <n v="1126"/>
  </r>
  <r>
    <x v="62"/>
    <x v="6"/>
    <x v="5"/>
    <n v="18"/>
  </r>
  <r>
    <x v="62"/>
    <x v="6"/>
    <x v="23"/>
    <n v="70"/>
  </r>
  <r>
    <x v="62"/>
    <x v="6"/>
    <x v="24"/>
    <n v="978"/>
  </r>
  <r>
    <x v="62"/>
    <x v="6"/>
    <x v="25"/>
    <n v="20"/>
  </r>
  <r>
    <x v="62"/>
    <x v="6"/>
    <x v="7"/>
    <n v="306"/>
  </r>
  <r>
    <x v="62"/>
    <x v="6"/>
    <x v="3"/>
    <n v="125"/>
  </r>
  <r>
    <x v="62"/>
    <x v="6"/>
    <x v="4"/>
    <n v="16"/>
  </r>
  <r>
    <x v="62"/>
    <x v="7"/>
    <x v="22"/>
    <n v="1209"/>
  </r>
  <r>
    <x v="62"/>
    <x v="7"/>
    <x v="5"/>
    <n v="6"/>
  </r>
  <r>
    <x v="62"/>
    <x v="7"/>
    <x v="24"/>
    <n v="1008"/>
  </r>
  <r>
    <x v="62"/>
    <x v="7"/>
    <x v="7"/>
    <n v="77"/>
  </r>
  <r>
    <x v="62"/>
    <x v="7"/>
    <x v="3"/>
    <n v="341"/>
  </r>
  <r>
    <x v="62"/>
    <x v="7"/>
    <x v="4"/>
    <n v="18"/>
  </r>
  <r>
    <x v="62"/>
    <x v="8"/>
    <x v="22"/>
    <n v="1210"/>
  </r>
  <r>
    <x v="62"/>
    <x v="8"/>
    <x v="5"/>
    <n v="7"/>
  </r>
  <r>
    <x v="62"/>
    <x v="8"/>
    <x v="24"/>
    <n v="1003"/>
  </r>
  <r>
    <x v="62"/>
    <x v="8"/>
    <x v="7"/>
    <n v="78"/>
  </r>
  <r>
    <x v="62"/>
    <x v="8"/>
    <x v="3"/>
    <n v="345"/>
  </r>
  <r>
    <x v="62"/>
    <x v="8"/>
    <x v="4"/>
    <n v="16"/>
  </r>
  <r>
    <x v="63"/>
    <x v="6"/>
    <x v="22"/>
    <n v="88"/>
  </r>
  <r>
    <x v="63"/>
    <x v="6"/>
    <x v="5"/>
    <n v="2"/>
  </r>
  <r>
    <x v="63"/>
    <x v="6"/>
    <x v="23"/>
    <n v="15"/>
  </r>
  <r>
    <x v="63"/>
    <x v="6"/>
    <x v="24"/>
    <n v="74"/>
  </r>
  <r>
    <x v="63"/>
    <x v="6"/>
    <x v="25"/>
    <n v="4"/>
  </r>
  <r>
    <x v="63"/>
    <x v="6"/>
    <x v="7"/>
    <n v="53"/>
  </r>
  <r>
    <x v="63"/>
    <x v="6"/>
    <x v="3"/>
    <n v="25"/>
  </r>
  <r>
    <x v="63"/>
    <x v="6"/>
    <x v="4"/>
    <n v="0"/>
  </r>
  <r>
    <x v="63"/>
    <x v="7"/>
    <x v="22"/>
    <n v="98"/>
  </r>
  <r>
    <x v="63"/>
    <x v="7"/>
    <x v="5"/>
    <n v="2"/>
  </r>
  <r>
    <x v="63"/>
    <x v="7"/>
    <x v="24"/>
    <n v="55"/>
  </r>
  <r>
    <x v="63"/>
    <x v="7"/>
    <x v="7"/>
    <n v="23"/>
  </r>
  <r>
    <x v="63"/>
    <x v="7"/>
    <x v="3"/>
    <n v="83"/>
  </r>
  <r>
    <x v="63"/>
    <x v="7"/>
    <x v="4"/>
    <n v="0"/>
  </r>
  <r>
    <x v="63"/>
    <x v="8"/>
    <x v="22"/>
    <n v="97"/>
  </r>
  <r>
    <x v="63"/>
    <x v="8"/>
    <x v="5"/>
    <n v="2"/>
  </r>
  <r>
    <x v="63"/>
    <x v="8"/>
    <x v="24"/>
    <n v="55"/>
  </r>
  <r>
    <x v="63"/>
    <x v="8"/>
    <x v="7"/>
    <n v="23"/>
  </r>
  <r>
    <x v="63"/>
    <x v="8"/>
    <x v="3"/>
    <n v="84"/>
  </r>
  <r>
    <x v="63"/>
    <x v="8"/>
    <x v="4"/>
    <n v="0"/>
  </r>
  <r>
    <x v="64"/>
    <x v="6"/>
    <x v="22"/>
    <n v="322"/>
  </r>
  <r>
    <x v="64"/>
    <x v="6"/>
    <x v="5"/>
    <n v="37"/>
  </r>
  <r>
    <x v="64"/>
    <x v="6"/>
    <x v="23"/>
    <n v="28"/>
  </r>
  <r>
    <x v="64"/>
    <x v="6"/>
    <x v="24"/>
    <n v="479"/>
  </r>
  <r>
    <x v="64"/>
    <x v="6"/>
    <x v="25"/>
    <n v="16"/>
  </r>
  <r>
    <x v="64"/>
    <x v="6"/>
    <x v="7"/>
    <n v="199"/>
  </r>
  <r>
    <x v="64"/>
    <x v="6"/>
    <x v="3"/>
    <n v="57"/>
  </r>
  <r>
    <x v="64"/>
    <x v="6"/>
    <x v="4"/>
    <n v="1"/>
  </r>
  <r>
    <x v="64"/>
    <x v="7"/>
    <x v="22"/>
    <n v="350"/>
  </r>
  <r>
    <x v="64"/>
    <x v="7"/>
    <x v="5"/>
    <n v="48"/>
  </r>
  <r>
    <x v="64"/>
    <x v="7"/>
    <x v="24"/>
    <n v="497"/>
  </r>
  <r>
    <x v="64"/>
    <x v="7"/>
    <x v="7"/>
    <n v="65"/>
  </r>
  <r>
    <x v="64"/>
    <x v="7"/>
    <x v="3"/>
    <n v="178"/>
  </r>
  <r>
    <x v="64"/>
    <x v="7"/>
    <x v="4"/>
    <n v="1"/>
  </r>
  <r>
    <x v="64"/>
    <x v="8"/>
    <x v="22"/>
    <n v="351"/>
  </r>
  <r>
    <x v="64"/>
    <x v="8"/>
    <x v="5"/>
    <n v="23"/>
  </r>
  <r>
    <x v="64"/>
    <x v="8"/>
    <x v="24"/>
    <n v="504"/>
  </r>
  <r>
    <x v="64"/>
    <x v="8"/>
    <x v="7"/>
    <n v="64"/>
  </r>
  <r>
    <x v="64"/>
    <x v="8"/>
    <x v="3"/>
    <n v="196"/>
  </r>
  <r>
    <x v="64"/>
    <x v="8"/>
    <x v="4"/>
    <n v="1"/>
  </r>
  <r>
    <x v="65"/>
    <x v="6"/>
    <x v="22"/>
    <n v="82"/>
  </r>
  <r>
    <x v="65"/>
    <x v="6"/>
    <x v="5"/>
    <n v="10"/>
  </r>
  <r>
    <x v="65"/>
    <x v="6"/>
    <x v="23"/>
    <n v="9"/>
  </r>
  <r>
    <x v="65"/>
    <x v="6"/>
    <x v="24"/>
    <n v="88"/>
  </r>
  <r>
    <x v="65"/>
    <x v="6"/>
    <x v="25"/>
    <n v="1"/>
  </r>
  <r>
    <x v="65"/>
    <x v="6"/>
    <x v="7"/>
    <n v="42"/>
  </r>
  <r>
    <x v="65"/>
    <x v="6"/>
    <x v="3"/>
    <n v="9"/>
  </r>
  <r>
    <x v="65"/>
    <x v="6"/>
    <x v="4"/>
    <n v="1"/>
  </r>
  <r>
    <x v="65"/>
    <x v="7"/>
    <x v="22"/>
    <n v="70"/>
  </r>
  <r>
    <x v="65"/>
    <x v="7"/>
    <x v="5"/>
    <n v="1"/>
  </r>
  <r>
    <x v="65"/>
    <x v="7"/>
    <x v="24"/>
    <n v="123"/>
  </r>
  <r>
    <x v="65"/>
    <x v="7"/>
    <x v="7"/>
    <n v="5"/>
  </r>
  <r>
    <x v="65"/>
    <x v="7"/>
    <x v="3"/>
    <n v="42"/>
  </r>
  <r>
    <x v="65"/>
    <x v="7"/>
    <x v="4"/>
    <n v="1"/>
  </r>
  <r>
    <x v="65"/>
    <x v="8"/>
    <x v="22"/>
    <n v="70"/>
  </r>
  <r>
    <x v="65"/>
    <x v="8"/>
    <x v="5"/>
    <n v="1"/>
  </r>
  <r>
    <x v="65"/>
    <x v="8"/>
    <x v="24"/>
    <n v="123"/>
  </r>
  <r>
    <x v="65"/>
    <x v="8"/>
    <x v="7"/>
    <n v="5"/>
  </r>
  <r>
    <x v="65"/>
    <x v="8"/>
    <x v="3"/>
    <n v="42"/>
  </r>
  <r>
    <x v="65"/>
    <x v="8"/>
    <x v="4"/>
    <n v="1"/>
  </r>
  <r>
    <x v="66"/>
    <x v="6"/>
    <x v="22"/>
    <n v="295"/>
  </r>
  <r>
    <x v="66"/>
    <x v="6"/>
    <x v="5"/>
    <n v="21"/>
  </r>
  <r>
    <x v="66"/>
    <x v="6"/>
    <x v="23"/>
    <n v="22"/>
  </r>
  <r>
    <x v="66"/>
    <x v="6"/>
    <x v="24"/>
    <n v="481"/>
  </r>
  <r>
    <x v="66"/>
    <x v="6"/>
    <x v="25"/>
    <n v="8"/>
  </r>
  <r>
    <x v="66"/>
    <x v="6"/>
    <x v="7"/>
    <n v="175"/>
  </r>
  <r>
    <x v="66"/>
    <x v="6"/>
    <x v="3"/>
    <n v="38"/>
  </r>
  <r>
    <x v="66"/>
    <x v="6"/>
    <x v="4"/>
    <n v="4"/>
  </r>
  <r>
    <x v="66"/>
    <x v="7"/>
    <x v="22"/>
    <n v="340"/>
  </r>
  <r>
    <x v="66"/>
    <x v="7"/>
    <x v="5"/>
    <n v="13"/>
  </r>
  <r>
    <x v="66"/>
    <x v="7"/>
    <x v="24"/>
    <n v="489"/>
  </r>
  <r>
    <x v="66"/>
    <x v="7"/>
    <x v="7"/>
    <n v="52"/>
  </r>
  <r>
    <x v="66"/>
    <x v="7"/>
    <x v="3"/>
    <n v="145"/>
  </r>
  <r>
    <x v="66"/>
    <x v="7"/>
    <x v="4"/>
    <n v="5"/>
  </r>
  <r>
    <x v="66"/>
    <x v="8"/>
    <x v="22"/>
    <n v="334"/>
  </r>
  <r>
    <x v="66"/>
    <x v="8"/>
    <x v="5"/>
    <n v="12"/>
  </r>
  <r>
    <x v="66"/>
    <x v="8"/>
    <x v="24"/>
    <n v="489"/>
  </r>
  <r>
    <x v="66"/>
    <x v="8"/>
    <x v="7"/>
    <n v="52"/>
  </r>
  <r>
    <x v="66"/>
    <x v="8"/>
    <x v="3"/>
    <n v="154"/>
  </r>
  <r>
    <x v="66"/>
    <x v="8"/>
    <x v="4"/>
    <n v="3"/>
  </r>
  <r>
    <x v="67"/>
    <x v="6"/>
    <x v="22"/>
    <n v="52"/>
  </r>
  <r>
    <x v="67"/>
    <x v="6"/>
    <x v="5"/>
    <n v="0"/>
  </r>
  <r>
    <x v="67"/>
    <x v="6"/>
    <x v="23"/>
    <n v="4"/>
  </r>
  <r>
    <x v="67"/>
    <x v="6"/>
    <x v="24"/>
    <n v="56"/>
  </r>
  <r>
    <x v="67"/>
    <x v="6"/>
    <x v="25"/>
    <n v="2"/>
  </r>
  <r>
    <x v="67"/>
    <x v="6"/>
    <x v="7"/>
    <n v="27"/>
  </r>
  <r>
    <x v="67"/>
    <x v="6"/>
    <x v="3"/>
    <n v="22"/>
  </r>
  <r>
    <x v="67"/>
    <x v="6"/>
    <x v="4"/>
    <n v="0"/>
  </r>
  <r>
    <x v="67"/>
    <x v="7"/>
    <x v="22"/>
    <n v="68"/>
  </r>
  <r>
    <x v="67"/>
    <x v="7"/>
    <x v="5"/>
    <n v="0"/>
  </r>
  <r>
    <x v="67"/>
    <x v="7"/>
    <x v="24"/>
    <n v="45"/>
  </r>
  <r>
    <x v="67"/>
    <x v="7"/>
    <x v="7"/>
    <n v="11"/>
  </r>
  <r>
    <x v="67"/>
    <x v="7"/>
    <x v="3"/>
    <n v="39"/>
  </r>
  <r>
    <x v="67"/>
    <x v="7"/>
    <x v="4"/>
    <n v="0"/>
  </r>
  <r>
    <x v="67"/>
    <x v="8"/>
    <x v="22"/>
    <n v="66"/>
  </r>
  <r>
    <x v="67"/>
    <x v="8"/>
    <x v="5"/>
    <n v="0"/>
  </r>
  <r>
    <x v="67"/>
    <x v="8"/>
    <x v="24"/>
    <n v="45"/>
  </r>
  <r>
    <x v="67"/>
    <x v="8"/>
    <x v="7"/>
    <n v="10"/>
  </r>
  <r>
    <x v="67"/>
    <x v="8"/>
    <x v="3"/>
    <n v="42"/>
  </r>
  <r>
    <x v="67"/>
    <x v="8"/>
    <x v="4"/>
    <n v="0"/>
  </r>
  <r>
    <x v="85"/>
    <x v="6"/>
    <x v="22"/>
    <n v="0"/>
  </r>
  <r>
    <x v="85"/>
    <x v="6"/>
    <x v="5"/>
    <n v="0"/>
  </r>
  <r>
    <x v="85"/>
    <x v="6"/>
    <x v="23"/>
    <n v="0"/>
  </r>
  <r>
    <x v="85"/>
    <x v="6"/>
    <x v="24"/>
    <n v="0"/>
  </r>
  <r>
    <x v="85"/>
    <x v="6"/>
    <x v="25"/>
    <n v="0"/>
  </r>
  <r>
    <x v="85"/>
    <x v="6"/>
    <x v="7"/>
    <n v="0"/>
  </r>
  <r>
    <x v="85"/>
    <x v="6"/>
    <x v="3"/>
    <n v="0"/>
  </r>
  <r>
    <x v="85"/>
    <x v="6"/>
    <x v="4"/>
    <n v="0"/>
  </r>
  <r>
    <x v="85"/>
    <x v="7"/>
    <x v="22"/>
    <n v="0"/>
  </r>
  <r>
    <x v="85"/>
    <x v="7"/>
    <x v="5"/>
    <n v="0"/>
  </r>
  <r>
    <x v="85"/>
    <x v="7"/>
    <x v="24"/>
    <n v="0"/>
  </r>
  <r>
    <x v="85"/>
    <x v="7"/>
    <x v="7"/>
    <n v="0"/>
  </r>
  <r>
    <x v="85"/>
    <x v="7"/>
    <x v="3"/>
    <n v="0"/>
  </r>
  <r>
    <x v="85"/>
    <x v="7"/>
    <x v="4"/>
    <n v="0"/>
  </r>
  <r>
    <x v="85"/>
    <x v="8"/>
    <x v="22"/>
    <n v="0"/>
  </r>
  <r>
    <x v="85"/>
    <x v="8"/>
    <x v="5"/>
    <n v="0"/>
  </r>
  <r>
    <x v="85"/>
    <x v="8"/>
    <x v="24"/>
    <n v="0"/>
  </r>
  <r>
    <x v="85"/>
    <x v="8"/>
    <x v="7"/>
    <n v="0"/>
  </r>
  <r>
    <x v="85"/>
    <x v="8"/>
    <x v="3"/>
    <n v="0"/>
  </r>
  <r>
    <x v="85"/>
    <x v="8"/>
    <x v="4"/>
    <n v="0"/>
  </r>
  <r>
    <x v="86"/>
    <x v="6"/>
    <x v="22"/>
    <n v="0"/>
  </r>
  <r>
    <x v="86"/>
    <x v="6"/>
    <x v="5"/>
    <n v="0"/>
  </r>
  <r>
    <x v="86"/>
    <x v="6"/>
    <x v="23"/>
    <n v="0"/>
  </r>
  <r>
    <x v="86"/>
    <x v="6"/>
    <x v="24"/>
    <n v="3"/>
  </r>
  <r>
    <x v="86"/>
    <x v="6"/>
    <x v="25"/>
    <n v="0"/>
  </r>
  <r>
    <x v="86"/>
    <x v="6"/>
    <x v="7"/>
    <n v="2"/>
  </r>
  <r>
    <x v="86"/>
    <x v="6"/>
    <x v="3"/>
    <n v="0"/>
  </r>
  <r>
    <x v="86"/>
    <x v="6"/>
    <x v="4"/>
    <n v="0"/>
  </r>
  <r>
    <x v="86"/>
    <x v="7"/>
    <x v="22"/>
    <n v="0"/>
  </r>
  <r>
    <x v="86"/>
    <x v="7"/>
    <x v="5"/>
    <n v="0"/>
  </r>
  <r>
    <x v="86"/>
    <x v="7"/>
    <x v="24"/>
    <n v="1"/>
  </r>
  <r>
    <x v="86"/>
    <x v="7"/>
    <x v="7"/>
    <n v="2"/>
  </r>
  <r>
    <x v="86"/>
    <x v="7"/>
    <x v="3"/>
    <n v="2"/>
  </r>
  <r>
    <x v="86"/>
    <x v="7"/>
    <x v="4"/>
    <n v="0"/>
  </r>
  <r>
    <x v="86"/>
    <x v="8"/>
    <x v="22"/>
    <n v="0"/>
  </r>
  <r>
    <x v="86"/>
    <x v="8"/>
    <x v="5"/>
    <n v="0"/>
  </r>
  <r>
    <x v="86"/>
    <x v="8"/>
    <x v="24"/>
    <n v="1"/>
  </r>
  <r>
    <x v="86"/>
    <x v="8"/>
    <x v="7"/>
    <n v="2"/>
  </r>
  <r>
    <x v="86"/>
    <x v="8"/>
    <x v="3"/>
    <n v="2"/>
  </r>
  <r>
    <x v="86"/>
    <x v="8"/>
    <x v="4"/>
    <n v="0"/>
  </r>
  <r>
    <x v="87"/>
    <x v="6"/>
    <x v="22"/>
    <n v="0"/>
  </r>
  <r>
    <x v="87"/>
    <x v="6"/>
    <x v="5"/>
    <n v="0"/>
  </r>
  <r>
    <x v="87"/>
    <x v="6"/>
    <x v="23"/>
    <n v="0"/>
  </r>
  <r>
    <x v="87"/>
    <x v="6"/>
    <x v="24"/>
    <n v="1"/>
  </r>
  <r>
    <x v="87"/>
    <x v="6"/>
    <x v="25"/>
    <n v="0"/>
  </r>
  <r>
    <x v="87"/>
    <x v="6"/>
    <x v="7"/>
    <n v="2"/>
  </r>
  <r>
    <x v="87"/>
    <x v="6"/>
    <x v="3"/>
    <n v="0"/>
  </r>
  <r>
    <x v="87"/>
    <x v="6"/>
    <x v="4"/>
    <n v="0"/>
  </r>
  <r>
    <x v="87"/>
    <x v="7"/>
    <x v="22"/>
    <n v="0"/>
  </r>
  <r>
    <x v="87"/>
    <x v="7"/>
    <x v="5"/>
    <n v="0"/>
  </r>
  <r>
    <x v="87"/>
    <x v="7"/>
    <x v="24"/>
    <n v="1"/>
  </r>
  <r>
    <x v="87"/>
    <x v="7"/>
    <x v="7"/>
    <n v="2"/>
  </r>
  <r>
    <x v="87"/>
    <x v="7"/>
    <x v="3"/>
    <n v="0"/>
  </r>
  <r>
    <x v="87"/>
    <x v="7"/>
    <x v="4"/>
    <n v="0"/>
  </r>
  <r>
    <x v="87"/>
    <x v="8"/>
    <x v="22"/>
    <n v="0"/>
  </r>
  <r>
    <x v="87"/>
    <x v="8"/>
    <x v="5"/>
    <n v="0"/>
  </r>
  <r>
    <x v="87"/>
    <x v="8"/>
    <x v="24"/>
    <n v="1"/>
  </r>
  <r>
    <x v="87"/>
    <x v="8"/>
    <x v="7"/>
    <n v="2"/>
  </r>
  <r>
    <x v="87"/>
    <x v="8"/>
    <x v="3"/>
    <n v="0"/>
  </r>
  <r>
    <x v="87"/>
    <x v="8"/>
    <x v="4"/>
    <n v="0"/>
  </r>
  <r>
    <x v="71"/>
    <x v="6"/>
    <x v="22"/>
    <n v="367"/>
  </r>
  <r>
    <x v="71"/>
    <x v="6"/>
    <x v="5"/>
    <n v="10"/>
  </r>
  <r>
    <x v="71"/>
    <x v="6"/>
    <x v="23"/>
    <n v="15"/>
  </r>
  <r>
    <x v="71"/>
    <x v="6"/>
    <x v="24"/>
    <n v="298"/>
  </r>
  <r>
    <x v="71"/>
    <x v="6"/>
    <x v="25"/>
    <n v="17"/>
  </r>
  <r>
    <x v="71"/>
    <x v="6"/>
    <x v="7"/>
    <n v="102"/>
  </r>
  <r>
    <x v="71"/>
    <x v="6"/>
    <x v="3"/>
    <n v="36"/>
  </r>
  <r>
    <x v="71"/>
    <x v="6"/>
    <x v="4"/>
    <n v="0"/>
  </r>
  <r>
    <x v="71"/>
    <x v="7"/>
    <x v="22"/>
    <n v="424"/>
  </r>
  <r>
    <x v="71"/>
    <x v="7"/>
    <x v="5"/>
    <n v="3"/>
  </r>
  <r>
    <x v="71"/>
    <x v="7"/>
    <x v="24"/>
    <n v="294"/>
  </r>
  <r>
    <x v="71"/>
    <x v="7"/>
    <x v="7"/>
    <n v="26"/>
  </r>
  <r>
    <x v="71"/>
    <x v="7"/>
    <x v="3"/>
    <n v="98"/>
  </r>
  <r>
    <x v="71"/>
    <x v="7"/>
    <x v="4"/>
    <n v="0"/>
  </r>
  <r>
    <x v="71"/>
    <x v="8"/>
    <x v="22"/>
    <n v="407"/>
  </r>
  <r>
    <x v="71"/>
    <x v="8"/>
    <x v="5"/>
    <n v="4"/>
  </r>
  <r>
    <x v="71"/>
    <x v="8"/>
    <x v="24"/>
    <n v="292"/>
  </r>
  <r>
    <x v="71"/>
    <x v="8"/>
    <x v="7"/>
    <n v="23"/>
  </r>
  <r>
    <x v="71"/>
    <x v="8"/>
    <x v="3"/>
    <n v="119"/>
  </r>
  <r>
    <x v="71"/>
    <x v="8"/>
    <x v="4"/>
    <n v="0"/>
  </r>
  <r>
    <x v="72"/>
    <x v="6"/>
    <x v="22"/>
    <n v="127"/>
  </r>
  <r>
    <x v="72"/>
    <x v="6"/>
    <x v="5"/>
    <n v="5"/>
  </r>
  <r>
    <x v="72"/>
    <x v="6"/>
    <x v="23"/>
    <n v="2"/>
  </r>
  <r>
    <x v="72"/>
    <x v="6"/>
    <x v="24"/>
    <n v="142"/>
  </r>
  <r>
    <x v="72"/>
    <x v="6"/>
    <x v="25"/>
    <n v="7"/>
  </r>
  <r>
    <x v="72"/>
    <x v="6"/>
    <x v="7"/>
    <n v="116"/>
  </r>
  <r>
    <x v="72"/>
    <x v="6"/>
    <x v="3"/>
    <n v="34"/>
  </r>
  <r>
    <x v="72"/>
    <x v="6"/>
    <x v="4"/>
    <n v="0"/>
  </r>
  <r>
    <x v="72"/>
    <x v="7"/>
    <x v="22"/>
    <n v="163"/>
  </r>
  <r>
    <x v="72"/>
    <x v="7"/>
    <x v="5"/>
    <n v="7"/>
  </r>
  <r>
    <x v="72"/>
    <x v="7"/>
    <x v="24"/>
    <n v="135"/>
  </r>
  <r>
    <x v="72"/>
    <x v="7"/>
    <x v="7"/>
    <n v="37"/>
  </r>
  <r>
    <x v="72"/>
    <x v="7"/>
    <x v="3"/>
    <n v="91"/>
  </r>
  <r>
    <x v="72"/>
    <x v="7"/>
    <x v="4"/>
    <n v="0"/>
  </r>
  <r>
    <x v="72"/>
    <x v="8"/>
    <x v="22"/>
    <n v="163"/>
  </r>
  <r>
    <x v="72"/>
    <x v="8"/>
    <x v="5"/>
    <n v="6"/>
  </r>
  <r>
    <x v="72"/>
    <x v="8"/>
    <x v="24"/>
    <n v="136"/>
  </r>
  <r>
    <x v="72"/>
    <x v="8"/>
    <x v="7"/>
    <n v="36"/>
  </r>
  <r>
    <x v="72"/>
    <x v="8"/>
    <x v="3"/>
    <n v="92"/>
  </r>
  <r>
    <x v="72"/>
    <x v="8"/>
    <x v="4"/>
    <n v="0"/>
  </r>
  <r>
    <x v="73"/>
    <x v="6"/>
    <x v="22"/>
    <n v="1258"/>
  </r>
  <r>
    <x v="73"/>
    <x v="6"/>
    <x v="5"/>
    <n v="23"/>
  </r>
  <r>
    <x v="73"/>
    <x v="6"/>
    <x v="23"/>
    <n v="71"/>
  </r>
  <r>
    <x v="73"/>
    <x v="6"/>
    <x v="24"/>
    <n v="792"/>
  </r>
  <r>
    <x v="73"/>
    <x v="6"/>
    <x v="25"/>
    <n v="33"/>
  </r>
  <r>
    <x v="73"/>
    <x v="6"/>
    <x v="7"/>
    <n v="328"/>
  </r>
  <r>
    <x v="73"/>
    <x v="6"/>
    <x v="3"/>
    <n v="131"/>
  </r>
  <r>
    <x v="73"/>
    <x v="6"/>
    <x v="4"/>
    <n v="11"/>
  </r>
  <r>
    <x v="73"/>
    <x v="7"/>
    <x v="22"/>
    <n v="1252"/>
  </r>
  <r>
    <x v="73"/>
    <x v="7"/>
    <x v="5"/>
    <n v="10"/>
  </r>
  <r>
    <x v="73"/>
    <x v="7"/>
    <x v="24"/>
    <n v="792"/>
  </r>
  <r>
    <x v="73"/>
    <x v="7"/>
    <x v="7"/>
    <n v="134"/>
  </r>
  <r>
    <x v="73"/>
    <x v="7"/>
    <x v="3"/>
    <n v="447"/>
  </r>
  <r>
    <x v="73"/>
    <x v="7"/>
    <x v="4"/>
    <n v="12"/>
  </r>
  <r>
    <x v="73"/>
    <x v="8"/>
    <x v="22"/>
    <n v="1244"/>
  </r>
  <r>
    <x v="73"/>
    <x v="8"/>
    <x v="5"/>
    <n v="91"/>
  </r>
  <r>
    <x v="73"/>
    <x v="8"/>
    <x v="24"/>
    <n v="728"/>
  </r>
  <r>
    <x v="73"/>
    <x v="8"/>
    <x v="7"/>
    <n v="154"/>
  </r>
  <r>
    <x v="73"/>
    <x v="8"/>
    <x v="3"/>
    <n v="417"/>
  </r>
  <r>
    <x v="73"/>
    <x v="8"/>
    <x v="4"/>
    <n v="13"/>
  </r>
  <r>
    <x v="74"/>
    <x v="6"/>
    <x v="22"/>
    <n v="224"/>
  </r>
  <r>
    <x v="74"/>
    <x v="6"/>
    <x v="5"/>
    <n v="10"/>
  </r>
  <r>
    <x v="74"/>
    <x v="6"/>
    <x v="23"/>
    <n v="1"/>
  </r>
  <r>
    <x v="74"/>
    <x v="6"/>
    <x v="24"/>
    <n v="208"/>
  </r>
  <r>
    <x v="74"/>
    <x v="6"/>
    <x v="25"/>
    <n v="10"/>
  </r>
  <r>
    <x v="74"/>
    <x v="6"/>
    <x v="7"/>
    <n v="137"/>
  </r>
  <r>
    <x v="74"/>
    <x v="6"/>
    <x v="3"/>
    <n v="33"/>
  </r>
  <r>
    <x v="74"/>
    <x v="6"/>
    <x v="4"/>
    <n v="0"/>
  </r>
  <r>
    <x v="74"/>
    <x v="7"/>
    <x v="22"/>
    <n v="205"/>
  </r>
  <r>
    <x v="74"/>
    <x v="7"/>
    <x v="5"/>
    <n v="2"/>
  </r>
  <r>
    <x v="74"/>
    <x v="7"/>
    <x v="24"/>
    <n v="236"/>
  </r>
  <r>
    <x v="74"/>
    <x v="7"/>
    <x v="7"/>
    <n v="54"/>
  </r>
  <r>
    <x v="74"/>
    <x v="7"/>
    <x v="3"/>
    <n v="126"/>
  </r>
  <r>
    <x v="74"/>
    <x v="7"/>
    <x v="4"/>
    <n v="0"/>
  </r>
  <r>
    <x v="74"/>
    <x v="8"/>
    <x v="22"/>
    <n v="210"/>
  </r>
  <r>
    <x v="74"/>
    <x v="8"/>
    <x v="5"/>
    <n v="2"/>
  </r>
  <r>
    <x v="74"/>
    <x v="8"/>
    <x v="24"/>
    <n v="237"/>
  </r>
  <r>
    <x v="74"/>
    <x v="8"/>
    <x v="7"/>
    <n v="33"/>
  </r>
  <r>
    <x v="74"/>
    <x v="8"/>
    <x v="3"/>
    <n v="141"/>
  </r>
  <r>
    <x v="74"/>
    <x v="8"/>
    <x v="4"/>
    <n v="0"/>
  </r>
  <r>
    <x v="75"/>
    <x v="6"/>
    <x v="22"/>
    <n v="93"/>
  </r>
  <r>
    <x v="75"/>
    <x v="6"/>
    <x v="5"/>
    <n v="6"/>
  </r>
  <r>
    <x v="75"/>
    <x v="6"/>
    <x v="23"/>
    <n v="3"/>
  </r>
  <r>
    <x v="75"/>
    <x v="6"/>
    <x v="24"/>
    <n v="119"/>
  </r>
  <r>
    <x v="75"/>
    <x v="6"/>
    <x v="25"/>
    <n v="3"/>
  </r>
  <r>
    <x v="75"/>
    <x v="6"/>
    <x v="7"/>
    <n v="19"/>
  </r>
  <r>
    <x v="75"/>
    <x v="6"/>
    <x v="3"/>
    <n v="30"/>
  </r>
  <r>
    <x v="75"/>
    <x v="6"/>
    <x v="4"/>
    <n v="10"/>
  </r>
  <r>
    <x v="75"/>
    <x v="7"/>
    <x v="22"/>
    <n v="112"/>
  </r>
  <r>
    <x v="75"/>
    <x v="7"/>
    <x v="5"/>
    <n v="0"/>
  </r>
  <r>
    <x v="75"/>
    <x v="7"/>
    <x v="24"/>
    <n v="111"/>
  </r>
  <r>
    <x v="75"/>
    <x v="7"/>
    <x v="7"/>
    <n v="2"/>
  </r>
  <r>
    <x v="75"/>
    <x v="7"/>
    <x v="3"/>
    <n v="40"/>
  </r>
  <r>
    <x v="75"/>
    <x v="7"/>
    <x v="4"/>
    <n v="18"/>
  </r>
  <r>
    <x v="75"/>
    <x v="8"/>
    <x v="22"/>
    <n v="113"/>
  </r>
  <r>
    <x v="75"/>
    <x v="8"/>
    <x v="5"/>
    <n v="0"/>
  </r>
  <r>
    <x v="75"/>
    <x v="8"/>
    <x v="24"/>
    <n v="108"/>
  </r>
  <r>
    <x v="75"/>
    <x v="8"/>
    <x v="7"/>
    <n v="2"/>
  </r>
  <r>
    <x v="75"/>
    <x v="8"/>
    <x v="3"/>
    <n v="40"/>
  </r>
  <r>
    <x v="75"/>
    <x v="8"/>
    <x v="4"/>
    <n v="20"/>
  </r>
  <r>
    <x v="76"/>
    <x v="6"/>
    <x v="22"/>
    <n v="86"/>
  </r>
  <r>
    <x v="76"/>
    <x v="6"/>
    <x v="5"/>
    <n v="2"/>
  </r>
  <r>
    <x v="76"/>
    <x v="6"/>
    <x v="23"/>
    <n v="5"/>
  </r>
  <r>
    <x v="76"/>
    <x v="6"/>
    <x v="24"/>
    <n v="65"/>
  </r>
  <r>
    <x v="76"/>
    <x v="6"/>
    <x v="25"/>
    <n v="1"/>
  </r>
  <r>
    <x v="76"/>
    <x v="6"/>
    <x v="7"/>
    <n v="50"/>
  </r>
  <r>
    <x v="76"/>
    <x v="6"/>
    <x v="3"/>
    <n v="17"/>
  </r>
  <r>
    <x v="76"/>
    <x v="6"/>
    <x v="4"/>
    <n v="0"/>
  </r>
  <r>
    <x v="76"/>
    <x v="7"/>
    <x v="22"/>
    <n v="97"/>
  </r>
  <r>
    <x v="76"/>
    <x v="7"/>
    <x v="5"/>
    <n v="2"/>
  </r>
  <r>
    <x v="76"/>
    <x v="7"/>
    <x v="24"/>
    <n v="53"/>
  </r>
  <r>
    <x v="76"/>
    <x v="7"/>
    <x v="7"/>
    <n v="24"/>
  </r>
  <r>
    <x v="76"/>
    <x v="7"/>
    <x v="3"/>
    <n v="50"/>
  </r>
  <r>
    <x v="76"/>
    <x v="7"/>
    <x v="4"/>
    <n v="0"/>
  </r>
  <r>
    <x v="76"/>
    <x v="8"/>
    <x v="22"/>
    <n v="97"/>
  </r>
  <r>
    <x v="76"/>
    <x v="8"/>
    <x v="5"/>
    <n v="2"/>
  </r>
  <r>
    <x v="76"/>
    <x v="8"/>
    <x v="24"/>
    <n v="52"/>
  </r>
  <r>
    <x v="76"/>
    <x v="8"/>
    <x v="7"/>
    <n v="24"/>
  </r>
  <r>
    <x v="76"/>
    <x v="8"/>
    <x v="3"/>
    <n v="51"/>
  </r>
  <r>
    <x v="76"/>
    <x v="8"/>
    <x v="4"/>
    <n v="0"/>
  </r>
  <r>
    <x v="78"/>
    <x v="6"/>
    <x v="22"/>
    <n v="181"/>
  </r>
  <r>
    <x v="78"/>
    <x v="6"/>
    <x v="5"/>
    <n v="3"/>
  </r>
  <r>
    <x v="78"/>
    <x v="6"/>
    <x v="23"/>
    <n v="2"/>
  </r>
  <r>
    <x v="78"/>
    <x v="6"/>
    <x v="24"/>
    <n v="164"/>
  </r>
  <r>
    <x v="78"/>
    <x v="6"/>
    <x v="25"/>
    <n v="0"/>
  </r>
  <r>
    <x v="78"/>
    <x v="6"/>
    <x v="7"/>
    <n v="50"/>
  </r>
  <r>
    <x v="78"/>
    <x v="6"/>
    <x v="3"/>
    <n v="12"/>
  </r>
  <r>
    <x v="78"/>
    <x v="6"/>
    <x v="4"/>
    <n v="3"/>
  </r>
  <r>
    <x v="78"/>
    <x v="7"/>
    <x v="22"/>
    <n v="199"/>
  </r>
  <r>
    <x v="78"/>
    <x v="7"/>
    <x v="5"/>
    <n v="1"/>
  </r>
  <r>
    <x v="78"/>
    <x v="7"/>
    <x v="24"/>
    <n v="168"/>
  </r>
  <r>
    <x v="78"/>
    <x v="7"/>
    <x v="7"/>
    <n v="9"/>
  </r>
  <r>
    <x v="78"/>
    <x v="7"/>
    <x v="3"/>
    <n v="36"/>
  </r>
  <r>
    <x v="78"/>
    <x v="7"/>
    <x v="4"/>
    <n v="2"/>
  </r>
  <r>
    <x v="78"/>
    <x v="8"/>
    <x v="22"/>
    <n v="199"/>
  </r>
  <r>
    <x v="78"/>
    <x v="8"/>
    <x v="5"/>
    <n v="0"/>
  </r>
  <r>
    <x v="78"/>
    <x v="8"/>
    <x v="24"/>
    <n v="167"/>
  </r>
  <r>
    <x v="78"/>
    <x v="8"/>
    <x v="7"/>
    <n v="8"/>
  </r>
  <r>
    <x v="78"/>
    <x v="8"/>
    <x v="3"/>
    <n v="39"/>
  </r>
  <r>
    <x v="78"/>
    <x v="8"/>
    <x v="4"/>
    <n v="2"/>
  </r>
  <r>
    <x v="79"/>
    <x v="6"/>
    <x v="22"/>
    <n v="29"/>
  </r>
  <r>
    <x v="79"/>
    <x v="6"/>
    <x v="5"/>
    <n v="0"/>
  </r>
  <r>
    <x v="79"/>
    <x v="6"/>
    <x v="23"/>
    <n v="0"/>
  </r>
  <r>
    <x v="79"/>
    <x v="6"/>
    <x v="24"/>
    <n v="55"/>
  </r>
  <r>
    <x v="79"/>
    <x v="6"/>
    <x v="25"/>
    <n v="1"/>
  </r>
  <r>
    <x v="79"/>
    <x v="6"/>
    <x v="7"/>
    <n v="32"/>
  </r>
  <r>
    <x v="79"/>
    <x v="6"/>
    <x v="3"/>
    <n v="6"/>
  </r>
  <r>
    <x v="79"/>
    <x v="6"/>
    <x v="4"/>
    <n v="0"/>
  </r>
  <r>
    <x v="79"/>
    <x v="7"/>
    <x v="22"/>
    <n v="41"/>
  </r>
  <r>
    <x v="79"/>
    <x v="7"/>
    <x v="5"/>
    <n v="0"/>
  </r>
  <r>
    <x v="79"/>
    <x v="7"/>
    <x v="24"/>
    <n v="45"/>
  </r>
  <r>
    <x v="79"/>
    <x v="7"/>
    <x v="7"/>
    <n v="7"/>
  </r>
  <r>
    <x v="79"/>
    <x v="7"/>
    <x v="3"/>
    <n v="30"/>
  </r>
  <r>
    <x v="79"/>
    <x v="7"/>
    <x v="4"/>
    <n v="0"/>
  </r>
  <r>
    <x v="79"/>
    <x v="8"/>
    <x v="22"/>
    <n v="41"/>
  </r>
  <r>
    <x v="79"/>
    <x v="8"/>
    <x v="5"/>
    <n v="0"/>
  </r>
  <r>
    <x v="79"/>
    <x v="8"/>
    <x v="24"/>
    <n v="43"/>
  </r>
  <r>
    <x v="79"/>
    <x v="8"/>
    <x v="7"/>
    <n v="5"/>
  </r>
  <r>
    <x v="79"/>
    <x v="8"/>
    <x v="3"/>
    <n v="34"/>
  </r>
  <r>
    <x v="79"/>
    <x v="8"/>
    <x v="4"/>
    <n v="0"/>
  </r>
  <r>
    <x v="88"/>
    <x v="6"/>
    <x v="22"/>
    <n v="31"/>
  </r>
  <r>
    <x v="88"/>
    <x v="6"/>
    <x v="5"/>
    <n v="0"/>
  </r>
  <r>
    <x v="88"/>
    <x v="6"/>
    <x v="23"/>
    <n v="1"/>
  </r>
  <r>
    <x v="88"/>
    <x v="6"/>
    <x v="24"/>
    <n v="12"/>
  </r>
  <r>
    <x v="88"/>
    <x v="6"/>
    <x v="25"/>
    <n v="0"/>
  </r>
  <r>
    <x v="88"/>
    <x v="6"/>
    <x v="7"/>
    <n v="2"/>
  </r>
  <r>
    <x v="88"/>
    <x v="6"/>
    <x v="3"/>
    <n v="3"/>
  </r>
  <r>
    <x v="88"/>
    <x v="6"/>
    <x v="4"/>
    <n v="0"/>
  </r>
  <r>
    <x v="88"/>
    <x v="7"/>
    <x v="22"/>
    <n v="12"/>
  </r>
  <r>
    <x v="88"/>
    <x v="7"/>
    <x v="5"/>
    <n v="3"/>
  </r>
  <r>
    <x v="88"/>
    <x v="7"/>
    <x v="24"/>
    <n v="10"/>
  </r>
  <r>
    <x v="88"/>
    <x v="7"/>
    <x v="7"/>
    <n v="2"/>
  </r>
  <r>
    <x v="88"/>
    <x v="7"/>
    <x v="3"/>
    <n v="22"/>
  </r>
  <r>
    <x v="88"/>
    <x v="7"/>
    <x v="4"/>
    <n v="0"/>
  </r>
  <r>
    <x v="88"/>
    <x v="8"/>
    <x v="22"/>
    <n v="13"/>
  </r>
  <r>
    <x v="88"/>
    <x v="8"/>
    <x v="5"/>
    <n v="6"/>
  </r>
  <r>
    <x v="88"/>
    <x v="8"/>
    <x v="24"/>
    <n v="5"/>
  </r>
  <r>
    <x v="88"/>
    <x v="8"/>
    <x v="7"/>
    <n v="3"/>
  </r>
  <r>
    <x v="88"/>
    <x v="8"/>
    <x v="3"/>
    <n v="22"/>
  </r>
  <r>
    <x v="88"/>
    <x v="8"/>
    <x v="4"/>
    <n v="0"/>
  </r>
  <r>
    <x v="89"/>
    <x v="6"/>
    <x v="22"/>
    <n v="3"/>
  </r>
  <r>
    <x v="89"/>
    <x v="6"/>
    <x v="5"/>
    <n v="2"/>
  </r>
  <r>
    <x v="89"/>
    <x v="6"/>
    <x v="23"/>
    <n v="0"/>
  </r>
  <r>
    <x v="89"/>
    <x v="6"/>
    <x v="24"/>
    <n v="19"/>
  </r>
  <r>
    <x v="89"/>
    <x v="6"/>
    <x v="25"/>
    <n v="0"/>
  </r>
  <r>
    <x v="89"/>
    <x v="6"/>
    <x v="7"/>
    <n v="2"/>
  </r>
  <r>
    <x v="89"/>
    <x v="6"/>
    <x v="3"/>
    <n v="0"/>
  </r>
  <r>
    <x v="89"/>
    <x v="6"/>
    <x v="4"/>
    <n v="1"/>
  </r>
  <r>
    <x v="89"/>
    <x v="7"/>
    <x v="22"/>
    <n v="1"/>
  </r>
  <r>
    <x v="89"/>
    <x v="7"/>
    <x v="5"/>
    <n v="10"/>
  </r>
  <r>
    <x v="89"/>
    <x v="7"/>
    <x v="24"/>
    <n v="8"/>
  </r>
  <r>
    <x v="89"/>
    <x v="7"/>
    <x v="7"/>
    <n v="5"/>
  </r>
  <r>
    <x v="89"/>
    <x v="7"/>
    <x v="3"/>
    <n v="2"/>
  </r>
  <r>
    <x v="89"/>
    <x v="7"/>
    <x v="4"/>
    <n v="1"/>
  </r>
  <r>
    <x v="89"/>
    <x v="8"/>
    <x v="22"/>
    <n v="1"/>
  </r>
  <r>
    <x v="89"/>
    <x v="8"/>
    <x v="5"/>
    <n v="9"/>
  </r>
  <r>
    <x v="89"/>
    <x v="8"/>
    <x v="24"/>
    <n v="10"/>
  </r>
  <r>
    <x v="89"/>
    <x v="8"/>
    <x v="7"/>
    <n v="4"/>
  </r>
  <r>
    <x v="89"/>
    <x v="8"/>
    <x v="3"/>
    <n v="2"/>
  </r>
  <r>
    <x v="89"/>
    <x v="8"/>
    <x v="4"/>
    <n v="1"/>
  </r>
  <r>
    <x v="90"/>
    <x v="6"/>
    <x v="22"/>
    <n v="20"/>
  </r>
  <r>
    <x v="90"/>
    <x v="6"/>
    <x v="5"/>
    <n v="1"/>
  </r>
  <r>
    <x v="90"/>
    <x v="6"/>
    <x v="23"/>
    <n v="2"/>
  </r>
  <r>
    <x v="90"/>
    <x v="6"/>
    <x v="24"/>
    <n v="43"/>
  </r>
  <r>
    <x v="90"/>
    <x v="6"/>
    <x v="25"/>
    <n v="3"/>
  </r>
  <r>
    <x v="90"/>
    <x v="6"/>
    <x v="7"/>
    <n v="53"/>
  </r>
  <r>
    <x v="90"/>
    <x v="6"/>
    <x v="3"/>
    <n v="4"/>
  </r>
  <r>
    <x v="90"/>
    <x v="6"/>
    <x v="4"/>
    <n v="4"/>
  </r>
  <r>
    <x v="90"/>
    <x v="7"/>
    <x v="22"/>
    <n v="18"/>
  </r>
  <r>
    <x v="90"/>
    <x v="7"/>
    <x v="5"/>
    <n v="1"/>
  </r>
  <r>
    <x v="90"/>
    <x v="7"/>
    <x v="24"/>
    <n v="32"/>
  </r>
  <r>
    <x v="90"/>
    <x v="7"/>
    <x v="7"/>
    <n v="37"/>
  </r>
  <r>
    <x v="90"/>
    <x v="7"/>
    <x v="3"/>
    <n v="39"/>
  </r>
  <r>
    <x v="90"/>
    <x v="7"/>
    <x v="4"/>
    <n v="3"/>
  </r>
  <r>
    <x v="90"/>
    <x v="8"/>
    <x v="22"/>
    <n v="19"/>
  </r>
  <r>
    <x v="90"/>
    <x v="8"/>
    <x v="5"/>
    <n v="1"/>
  </r>
  <r>
    <x v="90"/>
    <x v="8"/>
    <x v="24"/>
    <n v="31"/>
  </r>
  <r>
    <x v="90"/>
    <x v="8"/>
    <x v="7"/>
    <n v="37"/>
  </r>
  <r>
    <x v="90"/>
    <x v="8"/>
    <x v="3"/>
    <n v="39"/>
  </r>
  <r>
    <x v="90"/>
    <x v="8"/>
    <x v="4"/>
    <n v="3"/>
  </r>
  <r>
    <x v="35"/>
    <x v="9"/>
    <x v="0"/>
    <n v="175"/>
  </r>
  <r>
    <x v="35"/>
    <x v="9"/>
    <x v="7"/>
    <n v="2"/>
  </r>
  <r>
    <x v="35"/>
    <x v="9"/>
    <x v="24"/>
    <n v="152"/>
  </r>
  <r>
    <x v="35"/>
    <x v="9"/>
    <x v="3"/>
    <n v="20"/>
  </r>
  <r>
    <x v="35"/>
    <x v="9"/>
    <x v="4"/>
    <n v="12"/>
  </r>
  <r>
    <x v="35"/>
    <x v="10"/>
    <x v="0"/>
    <n v="177"/>
  </r>
  <r>
    <x v="35"/>
    <x v="10"/>
    <x v="7"/>
    <n v="4"/>
  </r>
  <r>
    <x v="35"/>
    <x v="10"/>
    <x v="24"/>
    <n v="147"/>
  </r>
  <r>
    <x v="35"/>
    <x v="10"/>
    <x v="3"/>
    <n v="21"/>
  </r>
  <r>
    <x v="35"/>
    <x v="10"/>
    <x v="4"/>
    <n v="12"/>
  </r>
  <r>
    <x v="63"/>
    <x v="9"/>
    <x v="0"/>
    <n v="143"/>
  </r>
  <r>
    <x v="63"/>
    <x v="9"/>
    <x v="5"/>
    <n v="2"/>
  </r>
  <r>
    <x v="63"/>
    <x v="9"/>
    <x v="7"/>
    <n v="19"/>
  </r>
  <r>
    <x v="63"/>
    <x v="9"/>
    <x v="24"/>
    <n v="52"/>
  </r>
  <r>
    <x v="63"/>
    <x v="9"/>
    <x v="8"/>
    <n v="2"/>
  </r>
  <r>
    <x v="63"/>
    <x v="9"/>
    <x v="9"/>
    <n v="13"/>
  </r>
  <r>
    <x v="63"/>
    <x v="9"/>
    <x v="3"/>
    <n v="30"/>
  </r>
  <r>
    <x v="63"/>
    <x v="10"/>
    <x v="0"/>
    <n v="142"/>
  </r>
  <r>
    <x v="63"/>
    <x v="10"/>
    <x v="5"/>
    <n v="4"/>
  </r>
  <r>
    <x v="63"/>
    <x v="10"/>
    <x v="7"/>
    <n v="19"/>
  </r>
  <r>
    <x v="63"/>
    <x v="10"/>
    <x v="24"/>
    <n v="47"/>
  </r>
  <r>
    <x v="63"/>
    <x v="10"/>
    <x v="8"/>
    <n v="2"/>
  </r>
  <r>
    <x v="63"/>
    <x v="10"/>
    <x v="9"/>
    <n v="13"/>
  </r>
  <r>
    <x v="63"/>
    <x v="10"/>
    <x v="3"/>
    <n v="34"/>
  </r>
  <r>
    <x v="46"/>
    <x v="9"/>
    <x v="0"/>
    <n v="178"/>
  </r>
  <r>
    <x v="46"/>
    <x v="9"/>
    <x v="5"/>
    <n v="1"/>
  </r>
  <r>
    <x v="46"/>
    <x v="9"/>
    <x v="7"/>
    <n v="14"/>
  </r>
  <r>
    <x v="46"/>
    <x v="9"/>
    <x v="24"/>
    <n v="91"/>
  </r>
  <r>
    <x v="46"/>
    <x v="9"/>
    <x v="8"/>
    <n v="1"/>
  </r>
  <r>
    <x v="46"/>
    <x v="9"/>
    <x v="3"/>
    <n v="14"/>
  </r>
  <r>
    <x v="46"/>
    <x v="9"/>
    <x v="4"/>
    <n v="3"/>
  </r>
  <r>
    <x v="46"/>
    <x v="10"/>
    <x v="0"/>
    <n v="174"/>
  </r>
  <r>
    <x v="46"/>
    <x v="10"/>
    <x v="5"/>
    <n v="1"/>
  </r>
  <r>
    <x v="46"/>
    <x v="10"/>
    <x v="7"/>
    <n v="23"/>
  </r>
  <r>
    <x v="46"/>
    <x v="10"/>
    <x v="24"/>
    <n v="87"/>
  </r>
  <r>
    <x v="46"/>
    <x v="10"/>
    <x v="8"/>
    <n v="1"/>
  </r>
  <r>
    <x v="46"/>
    <x v="10"/>
    <x v="3"/>
    <n v="13"/>
  </r>
  <r>
    <x v="46"/>
    <x v="10"/>
    <x v="4"/>
    <n v="3"/>
  </r>
  <r>
    <x v="19"/>
    <x v="9"/>
    <x v="0"/>
    <n v="215"/>
  </r>
  <r>
    <x v="19"/>
    <x v="9"/>
    <x v="6"/>
    <n v="4"/>
  </r>
  <r>
    <x v="19"/>
    <x v="9"/>
    <x v="5"/>
    <n v="1"/>
  </r>
  <r>
    <x v="19"/>
    <x v="9"/>
    <x v="7"/>
    <n v="26"/>
  </r>
  <r>
    <x v="19"/>
    <x v="9"/>
    <x v="24"/>
    <n v="58"/>
  </r>
  <r>
    <x v="19"/>
    <x v="9"/>
    <x v="8"/>
    <n v="2"/>
  </r>
  <r>
    <x v="19"/>
    <x v="9"/>
    <x v="9"/>
    <n v="8"/>
  </r>
  <r>
    <x v="19"/>
    <x v="9"/>
    <x v="3"/>
    <n v="38"/>
  </r>
  <r>
    <x v="19"/>
    <x v="9"/>
    <x v="4"/>
    <n v="1"/>
  </r>
  <r>
    <x v="19"/>
    <x v="10"/>
    <x v="0"/>
    <n v="215"/>
  </r>
  <r>
    <x v="19"/>
    <x v="10"/>
    <x v="6"/>
    <n v="4"/>
  </r>
  <r>
    <x v="19"/>
    <x v="10"/>
    <x v="5"/>
    <n v="2"/>
  </r>
  <r>
    <x v="19"/>
    <x v="10"/>
    <x v="7"/>
    <n v="28"/>
  </r>
  <r>
    <x v="19"/>
    <x v="10"/>
    <x v="24"/>
    <n v="55"/>
  </r>
  <r>
    <x v="19"/>
    <x v="10"/>
    <x v="8"/>
    <n v="2"/>
  </r>
  <r>
    <x v="19"/>
    <x v="10"/>
    <x v="9"/>
    <n v="9"/>
  </r>
  <r>
    <x v="19"/>
    <x v="10"/>
    <x v="3"/>
    <n v="37"/>
  </r>
  <r>
    <x v="19"/>
    <x v="10"/>
    <x v="4"/>
    <n v="1"/>
  </r>
  <r>
    <x v="29"/>
    <x v="9"/>
    <x v="0"/>
    <n v="892"/>
  </r>
  <r>
    <x v="29"/>
    <x v="9"/>
    <x v="6"/>
    <n v="1"/>
  </r>
  <r>
    <x v="29"/>
    <x v="9"/>
    <x v="5"/>
    <n v="3"/>
  </r>
  <r>
    <x v="29"/>
    <x v="9"/>
    <x v="7"/>
    <n v="17"/>
  </r>
  <r>
    <x v="29"/>
    <x v="9"/>
    <x v="24"/>
    <n v="690"/>
  </r>
  <r>
    <x v="29"/>
    <x v="9"/>
    <x v="8"/>
    <n v="2"/>
  </r>
  <r>
    <x v="29"/>
    <x v="9"/>
    <x v="9"/>
    <n v="8"/>
  </r>
  <r>
    <x v="29"/>
    <x v="9"/>
    <x v="3"/>
    <n v="58"/>
  </r>
  <r>
    <x v="29"/>
    <x v="10"/>
    <x v="0"/>
    <n v="842"/>
  </r>
  <r>
    <x v="29"/>
    <x v="10"/>
    <x v="6"/>
    <n v="2"/>
  </r>
  <r>
    <x v="29"/>
    <x v="10"/>
    <x v="5"/>
    <n v="3"/>
  </r>
  <r>
    <x v="29"/>
    <x v="10"/>
    <x v="7"/>
    <n v="18"/>
  </r>
  <r>
    <x v="29"/>
    <x v="10"/>
    <x v="24"/>
    <n v="708"/>
  </r>
  <r>
    <x v="29"/>
    <x v="10"/>
    <x v="8"/>
    <n v="2"/>
  </r>
  <r>
    <x v="29"/>
    <x v="10"/>
    <x v="9"/>
    <n v="8"/>
  </r>
  <r>
    <x v="29"/>
    <x v="10"/>
    <x v="3"/>
    <n v="88"/>
  </r>
  <r>
    <x v="64"/>
    <x v="9"/>
    <x v="0"/>
    <n v="497"/>
  </r>
  <r>
    <x v="64"/>
    <x v="9"/>
    <x v="5"/>
    <n v="9"/>
  </r>
  <r>
    <x v="64"/>
    <x v="9"/>
    <x v="7"/>
    <n v="30"/>
  </r>
  <r>
    <x v="64"/>
    <x v="9"/>
    <x v="24"/>
    <n v="510"/>
  </r>
  <r>
    <x v="64"/>
    <x v="9"/>
    <x v="8"/>
    <n v="1"/>
  </r>
  <r>
    <x v="64"/>
    <x v="9"/>
    <x v="9"/>
    <n v="8"/>
  </r>
  <r>
    <x v="64"/>
    <x v="9"/>
    <x v="3"/>
    <n v="84"/>
  </r>
  <r>
    <x v="64"/>
    <x v="10"/>
    <x v="0"/>
    <n v="449"/>
  </r>
  <r>
    <x v="64"/>
    <x v="10"/>
    <x v="5"/>
    <n v="12"/>
  </r>
  <r>
    <x v="64"/>
    <x v="10"/>
    <x v="7"/>
    <n v="35"/>
  </r>
  <r>
    <x v="64"/>
    <x v="10"/>
    <x v="24"/>
    <n v="515"/>
  </r>
  <r>
    <x v="64"/>
    <x v="10"/>
    <x v="8"/>
    <n v="1"/>
  </r>
  <r>
    <x v="64"/>
    <x v="10"/>
    <x v="9"/>
    <n v="8"/>
  </r>
  <r>
    <x v="64"/>
    <x v="10"/>
    <x v="3"/>
    <n v="119"/>
  </r>
  <r>
    <x v="4"/>
    <x v="9"/>
    <x v="0"/>
    <n v="150"/>
  </r>
  <r>
    <x v="4"/>
    <x v="9"/>
    <x v="5"/>
    <n v="1"/>
  </r>
  <r>
    <x v="4"/>
    <x v="9"/>
    <x v="7"/>
    <n v="2"/>
  </r>
  <r>
    <x v="4"/>
    <x v="9"/>
    <x v="24"/>
    <n v="181"/>
  </r>
  <r>
    <x v="4"/>
    <x v="9"/>
    <x v="3"/>
    <n v="10"/>
  </r>
  <r>
    <x v="4"/>
    <x v="9"/>
    <x v="4"/>
    <n v="1"/>
  </r>
  <r>
    <x v="4"/>
    <x v="10"/>
    <x v="0"/>
    <n v="142"/>
  </r>
  <r>
    <x v="4"/>
    <x v="10"/>
    <x v="5"/>
    <n v="1"/>
  </r>
  <r>
    <x v="4"/>
    <x v="10"/>
    <x v="7"/>
    <n v="4"/>
  </r>
  <r>
    <x v="4"/>
    <x v="10"/>
    <x v="24"/>
    <n v="178"/>
  </r>
  <r>
    <x v="4"/>
    <x v="10"/>
    <x v="3"/>
    <n v="19"/>
  </r>
  <r>
    <x v="4"/>
    <x v="10"/>
    <x v="4"/>
    <n v="1"/>
  </r>
  <r>
    <x v="5"/>
    <x v="9"/>
    <x v="0"/>
    <n v="675"/>
  </r>
  <r>
    <x v="5"/>
    <x v="9"/>
    <x v="6"/>
    <n v="6"/>
  </r>
  <r>
    <x v="5"/>
    <x v="9"/>
    <x v="5"/>
    <n v="1"/>
  </r>
  <r>
    <x v="5"/>
    <x v="9"/>
    <x v="7"/>
    <n v="20"/>
  </r>
  <r>
    <x v="5"/>
    <x v="9"/>
    <x v="24"/>
    <n v="701"/>
  </r>
  <r>
    <x v="5"/>
    <x v="9"/>
    <x v="8"/>
    <n v="12"/>
  </r>
  <r>
    <x v="5"/>
    <x v="9"/>
    <x v="9"/>
    <n v="40"/>
  </r>
  <r>
    <x v="5"/>
    <x v="9"/>
    <x v="3"/>
    <n v="74"/>
  </r>
  <r>
    <x v="5"/>
    <x v="9"/>
    <x v="4"/>
    <n v="12"/>
  </r>
  <r>
    <x v="5"/>
    <x v="10"/>
    <x v="0"/>
    <n v="657"/>
  </r>
  <r>
    <x v="5"/>
    <x v="10"/>
    <x v="6"/>
    <n v="6"/>
  </r>
  <r>
    <x v="5"/>
    <x v="10"/>
    <x v="5"/>
    <n v="1"/>
  </r>
  <r>
    <x v="5"/>
    <x v="10"/>
    <x v="7"/>
    <n v="18"/>
  </r>
  <r>
    <x v="5"/>
    <x v="10"/>
    <x v="24"/>
    <n v="709"/>
  </r>
  <r>
    <x v="5"/>
    <x v="10"/>
    <x v="8"/>
    <n v="11"/>
  </r>
  <r>
    <x v="5"/>
    <x v="10"/>
    <x v="9"/>
    <n v="39"/>
  </r>
  <r>
    <x v="5"/>
    <x v="10"/>
    <x v="3"/>
    <n v="89"/>
  </r>
  <r>
    <x v="5"/>
    <x v="10"/>
    <x v="4"/>
    <n v="11"/>
  </r>
  <r>
    <x v="71"/>
    <x v="9"/>
    <x v="0"/>
    <n v="481"/>
  </r>
  <r>
    <x v="71"/>
    <x v="9"/>
    <x v="6"/>
    <n v="2"/>
  </r>
  <r>
    <x v="71"/>
    <x v="9"/>
    <x v="5"/>
    <n v="1"/>
  </r>
  <r>
    <x v="71"/>
    <x v="9"/>
    <x v="7"/>
    <n v="11"/>
  </r>
  <r>
    <x v="71"/>
    <x v="9"/>
    <x v="24"/>
    <n v="291"/>
  </r>
  <r>
    <x v="71"/>
    <x v="9"/>
    <x v="9"/>
    <n v="10"/>
  </r>
  <r>
    <x v="71"/>
    <x v="9"/>
    <x v="3"/>
    <n v="49"/>
  </r>
  <r>
    <x v="71"/>
    <x v="10"/>
    <x v="0"/>
    <n v="462"/>
  </r>
  <r>
    <x v="71"/>
    <x v="10"/>
    <x v="6"/>
    <n v="2"/>
  </r>
  <r>
    <x v="71"/>
    <x v="10"/>
    <x v="5"/>
    <n v="5"/>
  </r>
  <r>
    <x v="71"/>
    <x v="10"/>
    <x v="7"/>
    <n v="12"/>
  </r>
  <r>
    <x v="71"/>
    <x v="10"/>
    <x v="24"/>
    <n v="281"/>
  </r>
  <r>
    <x v="71"/>
    <x v="10"/>
    <x v="8"/>
    <n v="1"/>
  </r>
  <r>
    <x v="71"/>
    <x v="10"/>
    <x v="9"/>
    <n v="10"/>
  </r>
  <r>
    <x v="71"/>
    <x v="10"/>
    <x v="3"/>
    <n v="72"/>
  </r>
  <r>
    <x v="74"/>
    <x v="9"/>
    <x v="0"/>
    <n v="292"/>
  </r>
  <r>
    <x v="74"/>
    <x v="9"/>
    <x v="5"/>
    <n v="1"/>
  </r>
  <r>
    <x v="74"/>
    <x v="9"/>
    <x v="7"/>
    <n v="19"/>
  </r>
  <r>
    <x v="74"/>
    <x v="9"/>
    <x v="24"/>
    <n v="257"/>
  </r>
  <r>
    <x v="74"/>
    <x v="9"/>
    <x v="8"/>
    <n v="1"/>
  </r>
  <r>
    <x v="74"/>
    <x v="9"/>
    <x v="9"/>
    <n v="3"/>
  </r>
  <r>
    <x v="74"/>
    <x v="9"/>
    <x v="3"/>
    <n v="57"/>
  </r>
  <r>
    <x v="74"/>
    <x v="10"/>
    <x v="0"/>
    <n v="266"/>
  </r>
  <r>
    <x v="74"/>
    <x v="10"/>
    <x v="5"/>
    <n v="1"/>
  </r>
  <r>
    <x v="74"/>
    <x v="10"/>
    <x v="7"/>
    <n v="19"/>
  </r>
  <r>
    <x v="74"/>
    <x v="10"/>
    <x v="24"/>
    <n v="257"/>
  </r>
  <r>
    <x v="74"/>
    <x v="10"/>
    <x v="8"/>
    <n v="3"/>
  </r>
  <r>
    <x v="74"/>
    <x v="10"/>
    <x v="9"/>
    <n v="2"/>
  </r>
  <r>
    <x v="74"/>
    <x v="10"/>
    <x v="3"/>
    <n v="82"/>
  </r>
  <r>
    <x v="13"/>
    <x v="9"/>
    <x v="0"/>
    <n v="636"/>
  </r>
  <r>
    <x v="13"/>
    <x v="9"/>
    <x v="6"/>
    <n v="3"/>
  </r>
  <r>
    <x v="13"/>
    <x v="9"/>
    <x v="7"/>
    <n v="10"/>
  </r>
  <r>
    <x v="13"/>
    <x v="9"/>
    <x v="24"/>
    <n v="590"/>
  </r>
  <r>
    <x v="13"/>
    <x v="9"/>
    <x v="8"/>
    <n v="1"/>
  </r>
  <r>
    <x v="13"/>
    <x v="9"/>
    <x v="9"/>
    <n v="3"/>
  </r>
  <r>
    <x v="13"/>
    <x v="9"/>
    <x v="3"/>
    <n v="95"/>
  </r>
  <r>
    <x v="13"/>
    <x v="10"/>
    <x v="0"/>
    <n v="610"/>
  </r>
  <r>
    <x v="13"/>
    <x v="10"/>
    <x v="6"/>
    <n v="3"/>
  </r>
  <r>
    <x v="13"/>
    <x v="10"/>
    <x v="7"/>
    <n v="10"/>
  </r>
  <r>
    <x v="13"/>
    <x v="10"/>
    <x v="24"/>
    <n v="583"/>
  </r>
  <r>
    <x v="13"/>
    <x v="10"/>
    <x v="8"/>
    <n v="1"/>
  </r>
  <r>
    <x v="13"/>
    <x v="10"/>
    <x v="9"/>
    <n v="7"/>
  </r>
  <r>
    <x v="13"/>
    <x v="10"/>
    <x v="3"/>
    <n v="124"/>
  </r>
  <r>
    <x v="34"/>
    <x v="9"/>
    <x v="0"/>
    <n v="781"/>
  </r>
  <r>
    <x v="34"/>
    <x v="9"/>
    <x v="5"/>
    <n v="4"/>
  </r>
  <r>
    <x v="34"/>
    <x v="9"/>
    <x v="7"/>
    <n v="33"/>
  </r>
  <r>
    <x v="34"/>
    <x v="9"/>
    <x v="24"/>
    <n v="417"/>
  </r>
  <r>
    <x v="34"/>
    <x v="9"/>
    <x v="8"/>
    <n v="1"/>
  </r>
  <r>
    <x v="34"/>
    <x v="9"/>
    <x v="9"/>
    <n v="24"/>
  </r>
  <r>
    <x v="34"/>
    <x v="9"/>
    <x v="3"/>
    <n v="100"/>
  </r>
  <r>
    <x v="34"/>
    <x v="9"/>
    <x v="4"/>
    <n v="2"/>
  </r>
  <r>
    <x v="34"/>
    <x v="10"/>
    <x v="0"/>
    <n v="742"/>
  </r>
  <r>
    <x v="34"/>
    <x v="10"/>
    <x v="6"/>
    <n v="1"/>
  </r>
  <r>
    <x v="34"/>
    <x v="10"/>
    <x v="5"/>
    <n v="4"/>
  </r>
  <r>
    <x v="34"/>
    <x v="10"/>
    <x v="7"/>
    <n v="34"/>
  </r>
  <r>
    <x v="34"/>
    <x v="10"/>
    <x v="24"/>
    <n v="423"/>
  </r>
  <r>
    <x v="34"/>
    <x v="10"/>
    <x v="8"/>
    <n v="1"/>
  </r>
  <r>
    <x v="34"/>
    <x v="10"/>
    <x v="9"/>
    <n v="21"/>
  </r>
  <r>
    <x v="34"/>
    <x v="10"/>
    <x v="3"/>
    <n v="133"/>
  </r>
  <r>
    <x v="34"/>
    <x v="10"/>
    <x v="4"/>
    <n v="3"/>
  </r>
  <r>
    <x v="57"/>
    <x v="9"/>
    <x v="0"/>
    <n v="1033"/>
  </r>
  <r>
    <x v="57"/>
    <x v="9"/>
    <x v="6"/>
    <n v="4"/>
  </r>
  <r>
    <x v="57"/>
    <x v="9"/>
    <x v="5"/>
    <n v="2"/>
  </r>
  <r>
    <x v="57"/>
    <x v="9"/>
    <x v="7"/>
    <n v="14"/>
  </r>
  <r>
    <x v="57"/>
    <x v="9"/>
    <x v="24"/>
    <n v="534"/>
  </r>
  <r>
    <x v="57"/>
    <x v="9"/>
    <x v="8"/>
    <n v="5"/>
  </r>
  <r>
    <x v="57"/>
    <x v="9"/>
    <x v="9"/>
    <n v="30"/>
  </r>
  <r>
    <x v="57"/>
    <x v="9"/>
    <x v="3"/>
    <n v="75"/>
  </r>
  <r>
    <x v="57"/>
    <x v="9"/>
    <x v="4"/>
    <n v="9"/>
  </r>
  <r>
    <x v="57"/>
    <x v="10"/>
    <x v="0"/>
    <n v="988"/>
  </r>
  <r>
    <x v="57"/>
    <x v="10"/>
    <x v="6"/>
    <n v="4"/>
  </r>
  <r>
    <x v="57"/>
    <x v="10"/>
    <x v="5"/>
    <n v="3"/>
  </r>
  <r>
    <x v="57"/>
    <x v="10"/>
    <x v="7"/>
    <n v="15"/>
  </r>
  <r>
    <x v="57"/>
    <x v="10"/>
    <x v="24"/>
    <n v="532"/>
  </r>
  <r>
    <x v="57"/>
    <x v="10"/>
    <x v="8"/>
    <n v="5"/>
  </r>
  <r>
    <x v="57"/>
    <x v="10"/>
    <x v="9"/>
    <n v="29"/>
  </r>
  <r>
    <x v="57"/>
    <x v="10"/>
    <x v="3"/>
    <n v="119"/>
  </r>
  <r>
    <x v="57"/>
    <x v="10"/>
    <x v="4"/>
    <n v="11"/>
  </r>
  <r>
    <x v="38"/>
    <x v="9"/>
    <x v="0"/>
    <n v="168"/>
  </r>
  <r>
    <x v="38"/>
    <x v="9"/>
    <x v="5"/>
    <n v="1"/>
  </r>
  <r>
    <x v="38"/>
    <x v="9"/>
    <x v="7"/>
    <n v="1"/>
  </r>
  <r>
    <x v="38"/>
    <x v="9"/>
    <x v="24"/>
    <n v="114"/>
  </r>
  <r>
    <x v="38"/>
    <x v="9"/>
    <x v="9"/>
    <n v="1"/>
  </r>
  <r>
    <x v="38"/>
    <x v="9"/>
    <x v="3"/>
    <n v="16"/>
  </r>
  <r>
    <x v="38"/>
    <x v="10"/>
    <x v="0"/>
    <n v="147"/>
  </r>
  <r>
    <x v="38"/>
    <x v="10"/>
    <x v="5"/>
    <n v="1"/>
  </r>
  <r>
    <x v="38"/>
    <x v="10"/>
    <x v="7"/>
    <n v="1"/>
  </r>
  <r>
    <x v="38"/>
    <x v="10"/>
    <x v="24"/>
    <n v="124"/>
  </r>
  <r>
    <x v="38"/>
    <x v="10"/>
    <x v="9"/>
    <n v="2"/>
  </r>
  <r>
    <x v="38"/>
    <x v="10"/>
    <x v="3"/>
    <n v="26"/>
  </r>
  <r>
    <x v="8"/>
    <x v="9"/>
    <x v="0"/>
    <n v="1739"/>
  </r>
  <r>
    <x v="8"/>
    <x v="9"/>
    <x v="6"/>
    <n v="6"/>
  </r>
  <r>
    <x v="8"/>
    <x v="9"/>
    <x v="5"/>
    <n v="6"/>
  </r>
  <r>
    <x v="8"/>
    <x v="9"/>
    <x v="7"/>
    <n v="68"/>
  </r>
  <r>
    <x v="8"/>
    <x v="9"/>
    <x v="24"/>
    <n v="997"/>
  </r>
  <r>
    <x v="8"/>
    <x v="9"/>
    <x v="8"/>
    <n v="4"/>
  </r>
  <r>
    <x v="8"/>
    <x v="9"/>
    <x v="9"/>
    <n v="54"/>
  </r>
  <r>
    <x v="8"/>
    <x v="9"/>
    <x v="3"/>
    <n v="234"/>
  </r>
  <r>
    <x v="8"/>
    <x v="9"/>
    <x v="4"/>
    <n v="26"/>
  </r>
  <r>
    <x v="8"/>
    <x v="10"/>
    <x v="0"/>
    <n v="1643"/>
  </r>
  <r>
    <x v="8"/>
    <x v="10"/>
    <x v="6"/>
    <n v="6"/>
  </r>
  <r>
    <x v="8"/>
    <x v="10"/>
    <x v="5"/>
    <n v="6"/>
  </r>
  <r>
    <x v="8"/>
    <x v="10"/>
    <x v="7"/>
    <n v="67"/>
  </r>
  <r>
    <x v="8"/>
    <x v="10"/>
    <x v="24"/>
    <n v="1020"/>
  </r>
  <r>
    <x v="8"/>
    <x v="10"/>
    <x v="8"/>
    <n v="4"/>
  </r>
  <r>
    <x v="8"/>
    <x v="10"/>
    <x v="9"/>
    <n v="57"/>
  </r>
  <r>
    <x v="8"/>
    <x v="10"/>
    <x v="3"/>
    <n v="306"/>
  </r>
  <r>
    <x v="8"/>
    <x v="10"/>
    <x v="4"/>
    <n v="25"/>
  </r>
  <r>
    <x v="15"/>
    <x v="9"/>
    <x v="0"/>
    <n v="111"/>
  </r>
  <r>
    <x v="15"/>
    <x v="9"/>
    <x v="5"/>
    <n v="3"/>
  </r>
  <r>
    <x v="15"/>
    <x v="9"/>
    <x v="7"/>
    <n v="10"/>
  </r>
  <r>
    <x v="15"/>
    <x v="9"/>
    <x v="24"/>
    <n v="104"/>
  </r>
  <r>
    <x v="15"/>
    <x v="9"/>
    <x v="9"/>
    <n v="11"/>
  </r>
  <r>
    <x v="15"/>
    <x v="9"/>
    <x v="3"/>
    <n v="36"/>
  </r>
  <r>
    <x v="15"/>
    <x v="9"/>
    <x v="4"/>
    <n v="2"/>
  </r>
  <r>
    <x v="15"/>
    <x v="10"/>
    <x v="0"/>
    <n v="104"/>
  </r>
  <r>
    <x v="15"/>
    <x v="10"/>
    <x v="5"/>
    <n v="4"/>
  </r>
  <r>
    <x v="15"/>
    <x v="10"/>
    <x v="7"/>
    <n v="10"/>
  </r>
  <r>
    <x v="15"/>
    <x v="10"/>
    <x v="24"/>
    <n v="101"/>
  </r>
  <r>
    <x v="15"/>
    <x v="10"/>
    <x v="9"/>
    <n v="11"/>
  </r>
  <r>
    <x v="15"/>
    <x v="10"/>
    <x v="3"/>
    <n v="45"/>
  </r>
  <r>
    <x v="15"/>
    <x v="10"/>
    <x v="4"/>
    <n v="2"/>
  </r>
  <r>
    <x v="76"/>
    <x v="9"/>
    <x v="0"/>
    <n v="126"/>
  </r>
  <r>
    <x v="76"/>
    <x v="9"/>
    <x v="5"/>
    <n v="2"/>
  </r>
  <r>
    <x v="76"/>
    <x v="9"/>
    <x v="7"/>
    <n v="17"/>
  </r>
  <r>
    <x v="76"/>
    <x v="9"/>
    <x v="24"/>
    <n v="56"/>
  </r>
  <r>
    <x v="76"/>
    <x v="9"/>
    <x v="8"/>
    <n v="1"/>
  </r>
  <r>
    <x v="76"/>
    <x v="9"/>
    <x v="9"/>
    <n v="4"/>
  </r>
  <r>
    <x v="76"/>
    <x v="9"/>
    <x v="3"/>
    <n v="20"/>
  </r>
  <r>
    <x v="76"/>
    <x v="10"/>
    <x v="0"/>
    <n v="122"/>
  </r>
  <r>
    <x v="76"/>
    <x v="10"/>
    <x v="5"/>
    <n v="2"/>
  </r>
  <r>
    <x v="76"/>
    <x v="10"/>
    <x v="7"/>
    <n v="21"/>
  </r>
  <r>
    <x v="76"/>
    <x v="10"/>
    <x v="24"/>
    <n v="53"/>
  </r>
  <r>
    <x v="76"/>
    <x v="10"/>
    <x v="8"/>
    <n v="1"/>
  </r>
  <r>
    <x v="76"/>
    <x v="10"/>
    <x v="9"/>
    <n v="4"/>
  </r>
  <r>
    <x v="76"/>
    <x v="10"/>
    <x v="3"/>
    <n v="23"/>
  </r>
  <r>
    <x v="16"/>
    <x v="9"/>
    <x v="0"/>
    <n v="258"/>
  </r>
  <r>
    <x v="16"/>
    <x v="9"/>
    <x v="6"/>
    <n v="3"/>
  </r>
  <r>
    <x v="16"/>
    <x v="9"/>
    <x v="5"/>
    <n v="4"/>
  </r>
  <r>
    <x v="16"/>
    <x v="9"/>
    <x v="7"/>
    <n v="52"/>
  </r>
  <r>
    <x v="16"/>
    <x v="9"/>
    <x v="24"/>
    <n v="153"/>
  </r>
  <r>
    <x v="16"/>
    <x v="9"/>
    <x v="8"/>
    <n v="3"/>
  </r>
  <r>
    <x v="16"/>
    <x v="9"/>
    <x v="9"/>
    <n v="21"/>
  </r>
  <r>
    <x v="16"/>
    <x v="9"/>
    <x v="3"/>
    <n v="61"/>
  </r>
  <r>
    <x v="16"/>
    <x v="9"/>
    <x v="4"/>
    <n v="2"/>
  </r>
  <r>
    <x v="16"/>
    <x v="10"/>
    <x v="0"/>
    <n v="249"/>
  </r>
  <r>
    <x v="16"/>
    <x v="10"/>
    <x v="6"/>
    <n v="3"/>
  </r>
  <r>
    <x v="16"/>
    <x v="10"/>
    <x v="5"/>
    <n v="4"/>
  </r>
  <r>
    <x v="16"/>
    <x v="10"/>
    <x v="7"/>
    <n v="53"/>
  </r>
  <r>
    <x v="16"/>
    <x v="10"/>
    <x v="24"/>
    <n v="145"/>
  </r>
  <r>
    <x v="16"/>
    <x v="10"/>
    <x v="8"/>
    <n v="3"/>
  </r>
  <r>
    <x v="16"/>
    <x v="10"/>
    <x v="9"/>
    <n v="21"/>
  </r>
  <r>
    <x v="16"/>
    <x v="10"/>
    <x v="3"/>
    <n v="77"/>
  </r>
  <r>
    <x v="16"/>
    <x v="10"/>
    <x v="4"/>
    <n v="2"/>
  </r>
  <r>
    <x v="52"/>
    <x v="9"/>
    <x v="0"/>
    <n v="1299"/>
  </r>
  <r>
    <x v="52"/>
    <x v="9"/>
    <x v="6"/>
    <n v="6"/>
  </r>
  <r>
    <x v="52"/>
    <x v="9"/>
    <x v="5"/>
    <n v="4"/>
  </r>
  <r>
    <x v="52"/>
    <x v="9"/>
    <x v="7"/>
    <n v="18"/>
  </r>
  <r>
    <x v="52"/>
    <x v="9"/>
    <x v="24"/>
    <n v="755"/>
  </r>
  <r>
    <x v="52"/>
    <x v="9"/>
    <x v="8"/>
    <n v="4"/>
  </r>
  <r>
    <x v="52"/>
    <x v="9"/>
    <x v="9"/>
    <n v="47"/>
  </r>
  <r>
    <x v="52"/>
    <x v="9"/>
    <x v="3"/>
    <n v="130"/>
  </r>
  <r>
    <x v="52"/>
    <x v="9"/>
    <x v="4"/>
    <n v="7"/>
  </r>
  <r>
    <x v="52"/>
    <x v="10"/>
    <x v="0"/>
    <n v="1190"/>
  </r>
  <r>
    <x v="52"/>
    <x v="10"/>
    <x v="6"/>
    <n v="6"/>
  </r>
  <r>
    <x v="52"/>
    <x v="10"/>
    <x v="5"/>
    <n v="4"/>
  </r>
  <r>
    <x v="52"/>
    <x v="10"/>
    <x v="7"/>
    <n v="18"/>
  </r>
  <r>
    <x v="52"/>
    <x v="10"/>
    <x v="24"/>
    <n v="752"/>
  </r>
  <r>
    <x v="52"/>
    <x v="10"/>
    <x v="8"/>
    <n v="9"/>
  </r>
  <r>
    <x v="52"/>
    <x v="10"/>
    <x v="9"/>
    <n v="85"/>
  </r>
  <r>
    <x v="52"/>
    <x v="10"/>
    <x v="3"/>
    <n v="196"/>
  </r>
  <r>
    <x v="52"/>
    <x v="10"/>
    <x v="4"/>
    <n v="10"/>
  </r>
  <r>
    <x v="75"/>
    <x v="9"/>
    <x v="0"/>
    <n v="144"/>
  </r>
  <r>
    <x v="75"/>
    <x v="9"/>
    <x v="24"/>
    <n v="109"/>
  </r>
  <r>
    <x v="75"/>
    <x v="9"/>
    <x v="3"/>
    <n v="26"/>
  </r>
  <r>
    <x v="75"/>
    <x v="9"/>
    <x v="4"/>
    <n v="4"/>
  </r>
  <r>
    <x v="75"/>
    <x v="10"/>
    <x v="0"/>
    <n v="130"/>
  </r>
  <r>
    <x v="75"/>
    <x v="10"/>
    <x v="24"/>
    <n v="111"/>
  </r>
  <r>
    <x v="75"/>
    <x v="10"/>
    <x v="3"/>
    <n v="30"/>
  </r>
  <r>
    <x v="75"/>
    <x v="10"/>
    <x v="4"/>
    <n v="12"/>
  </r>
  <r>
    <x v="21"/>
    <x v="9"/>
    <x v="0"/>
    <n v="304"/>
  </r>
  <r>
    <x v="21"/>
    <x v="9"/>
    <x v="6"/>
    <n v="2"/>
  </r>
  <r>
    <x v="21"/>
    <x v="9"/>
    <x v="5"/>
    <n v="2"/>
  </r>
  <r>
    <x v="21"/>
    <x v="9"/>
    <x v="7"/>
    <n v="8"/>
  </r>
  <r>
    <x v="21"/>
    <x v="9"/>
    <x v="24"/>
    <n v="97"/>
  </r>
  <r>
    <x v="21"/>
    <x v="9"/>
    <x v="8"/>
    <n v="2"/>
  </r>
  <r>
    <x v="21"/>
    <x v="9"/>
    <x v="9"/>
    <n v="4"/>
  </r>
  <r>
    <x v="21"/>
    <x v="9"/>
    <x v="3"/>
    <n v="20"/>
  </r>
  <r>
    <x v="21"/>
    <x v="10"/>
    <x v="0"/>
    <n v="297"/>
  </r>
  <r>
    <x v="21"/>
    <x v="10"/>
    <x v="6"/>
    <n v="2"/>
  </r>
  <r>
    <x v="21"/>
    <x v="10"/>
    <x v="5"/>
    <n v="2"/>
  </r>
  <r>
    <x v="21"/>
    <x v="10"/>
    <x v="7"/>
    <n v="8"/>
  </r>
  <r>
    <x v="21"/>
    <x v="10"/>
    <x v="24"/>
    <n v="98"/>
  </r>
  <r>
    <x v="21"/>
    <x v="10"/>
    <x v="8"/>
    <n v="2"/>
  </r>
  <r>
    <x v="21"/>
    <x v="10"/>
    <x v="9"/>
    <n v="4"/>
  </r>
  <r>
    <x v="21"/>
    <x v="10"/>
    <x v="3"/>
    <n v="26"/>
  </r>
  <r>
    <x v="43"/>
    <x v="9"/>
    <x v="0"/>
    <n v="150"/>
  </r>
  <r>
    <x v="43"/>
    <x v="9"/>
    <x v="7"/>
    <n v="5"/>
  </r>
  <r>
    <x v="43"/>
    <x v="9"/>
    <x v="24"/>
    <n v="57"/>
  </r>
  <r>
    <x v="43"/>
    <x v="9"/>
    <x v="8"/>
    <n v="1"/>
  </r>
  <r>
    <x v="43"/>
    <x v="9"/>
    <x v="3"/>
    <n v="4"/>
  </r>
  <r>
    <x v="43"/>
    <x v="10"/>
    <x v="0"/>
    <n v="147"/>
  </r>
  <r>
    <x v="43"/>
    <x v="10"/>
    <x v="7"/>
    <n v="5"/>
  </r>
  <r>
    <x v="43"/>
    <x v="10"/>
    <x v="24"/>
    <n v="57"/>
  </r>
  <r>
    <x v="43"/>
    <x v="10"/>
    <x v="8"/>
    <n v="1"/>
  </r>
  <r>
    <x v="43"/>
    <x v="10"/>
    <x v="3"/>
    <n v="7"/>
  </r>
  <r>
    <x v="0"/>
    <x v="9"/>
    <x v="0"/>
    <n v="532"/>
  </r>
  <r>
    <x v="0"/>
    <x v="9"/>
    <x v="6"/>
    <n v="2"/>
  </r>
  <r>
    <x v="0"/>
    <x v="9"/>
    <x v="5"/>
    <n v="9"/>
  </r>
  <r>
    <x v="0"/>
    <x v="9"/>
    <x v="7"/>
    <n v="45"/>
  </r>
  <r>
    <x v="0"/>
    <x v="9"/>
    <x v="24"/>
    <n v="445"/>
  </r>
  <r>
    <x v="0"/>
    <x v="9"/>
    <x v="8"/>
    <n v="4"/>
  </r>
  <r>
    <x v="0"/>
    <x v="9"/>
    <x v="9"/>
    <n v="67"/>
  </r>
  <r>
    <x v="0"/>
    <x v="9"/>
    <x v="3"/>
    <n v="156"/>
  </r>
  <r>
    <x v="0"/>
    <x v="9"/>
    <x v="4"/>
    <n v="2"/>
  </r>
  <r>
    <x v="0"/>
    <x v="10"/>
    <x v="0"/>
    <n v="471"/>
  </r>
  <r>
    <x v="0"/>
    <x v="10"/>
    <x v="6"/>
    <n v="2"/>
  </r>
  <r>
    <x v="0"/>
    <x v="10"/>
    <x v="5"/>
    <n v="18"/>
  </r>
  <r>
    <x v="0"/>
    <x v="10"/>
    <x v="7"/>
    <n v="45"/>
  </r>
  <r>
    <x v="0"/>
    <x v="10"/>
    <x v="24"/>
    <n v="407"/>
  </r>
  <r>
    <x v="0"/>
    <x v="10"/>
    <x v="8"/>
    <n v="5"/>
  </r>
  <r>
    <x v="0"/>
    <x v="10"/>
    <x v="9"/>
    <n v="81"/>
  </r>
  <r>
    <x v="0"/>
    <x v="10"/>
    <x v="3"/>
    <n v="221"/>
  </r>
  <r>
    <x v="0"/>
    <x v="10"/>
    <x v="4"/>
    <n v="12"/>
  </r>
  <r>
    <x v="47"/>
    <x v="9"/>
    <x v="0"/>
    <n v="240"/>
  </r>
  <r>
    <x v="47"/>
    <x v="9"/>
    <x v="6"/>
    <n v="2"/>
  </r>
  <r>
    <x v="47"/>
    <x v="9"/>
    <x v="7"/>
    <n v="66"/>
  </r>
  <r>
    <x v="47"/>
    <x v="9"/>
    <x v="24"/>
    <n v="98"/>
  </r>
  <r>
    <x v="47"/>
    <x v="9"/>
    <x v="9"/>
    <n v="4"/>
  </r>
  <r>
    <x v="47"/>
    <x v="9"/>
    <x v="3"/>
    <n v="15"/>
  </r>
  <r>
    <x v="47"/>
    <x v="9"/>
    <x v="4"/>
    <n v="3"/>
  </r>
  <r>
    <x v="47"/>
    <x v="10"/>
    <x v="0"/>
    <n v="230"/>
  </r>
  <r>
    <x v="47"/>
    <x v="10"/>
    <x v="6"/>
    <n v="2"/>
  </r>
  <r>
    <x v="47"/>
    <x v="10"/>
    <x v="7"/>
    <n v="68"/>
  </r>
  <r>
    <x v="47"/>
    <x v="10"/>
    <x v="24"/>
    <n v="97"/>
  </r>
  <r>
    <x v="47"/>
    <x v="10"/>
    <x v="9"/>
    <n v="4"/>
  </r>
  <r>
    <x v="47"/>
    <x v="10"/>
    <x v="3"/>
    <n v="25"/>
  </r>
  <r>
    <x v="47"/>
    <x v="10"/>
    <x v="4"/>
    <n v="2"/>
  </r>
  <r>
    <x v="22"/>
    <x v="9"/>
    <x v="0"/>
    <n v="3384"/>
  </r>
  <r>
    <x v="22"/>
    <x v="9"/>
    <x v="6"/>
    <n v="22"/>
  </r>
  <r>
    <x v="22"/>
    <x v="9"/>
    <x v="5"/>
    <n v="48"/>
  </r>
  <r>
    <x v="22"/>
    <x v="9"/>
    <x v="7"/>
    <n v="332"/>
  </r>
  <r>
    <x v="22"/>
    <x v="9"/>
    <x v="24"/>
    <n v="2596"/>
  </r>
  <r>
    <x v="22"/>
    <x v="9"/>
    <x v="8"/>
    <n v="20"/>
  </r>
  <r>
    <x v="22"/>
    <x v="9"/>
    <x v="9"/>
    <n v="197"/>
  </r>
  <r>
    <x v="22"/>
    <x v="9"/>
    <x v="3"/>
    <n v="546"/>
  </r>
  <r>
    <x v="22"/>
    <x v="9"/>
    <x v="4"/>
    <n v="52"/>
  </r>
  <r>
    <x v="22"/>
    <x v="10"/>
    <x v="0"/>
    <n v="3224"/>
  </r>
  <r>
    <x v="22"/>
    <x v="10"/>
    <x v="6"/>
    <n v="20"/>
  </r>
  <r>
    <x v="22"/>
    <x v="10"/>
    <x v="5"/>
    <n v="53"/>
  </r>
  <r>
    <x v="22"/>
    <x v="10"/>
    <x v="7"/>
    <n v="371"/>
  </r>
  <r>
    <x v="22"/>
    <x v="10"/>
    <x v="24"/>
    <n v="2592"/>
  </r>
  <r>
    <x v="22"/>
    <x v="10"/>
    <x v="8"/>
    <n v="20"/>
  </r>
  <r>
    <x v="22"/>
    <x v="10"/>
    <x v="9"/>
    <n v="193"/>
  </r>
  <r>
    <x v="22"/>
    <x v="10"/>
    <x v="3"/>
    <n v="675"/>
  </r>
  <r>
    <x v="22"/>
    <x v="10"/>
    <x v="4"/>
    <n v="49"/>
  </r>
  <r>
    <x v="66"/>
    <x v="9"/>
    <x v="0"/>
    <n v="473"/>
  </r>
  <r>
    <x v="66"/>
    <x v="9"/>
    <x v="6"/>
    <n v="2"/>
  </r>
  <r>
    <x v="66"/>
    <x v="9"/>
    <x v="5"/>
    <n v="6"/>
  </r>
  <r>
    <x v="66"/>
    <x v="9"/>
    <x v="7"/>
    <n v="11"/>
  </r>
  <r>
    <x v="66"/>
    <x v="9"/>
    <x v="24"/>
    <n v="468"/>
  </r>
  <r>
    <x v="66"/>
    <x v="9"/>
    <x v="8"/>
    <n v="3"/>
  </r>
  <r>
    <x v="66"/>
    <x v="9"/>
    <x v="9"/>
    <n v="17"/>
  </r>
  <r>
    <x v="66"/>
    <x v="9"/>
    <x v="3"/>
    <n v="57"/>
  </r>
  <r>
    <x v="66"/>
    <x v="9"/>
    <x v="4"/>
    <n v="7"/>
  </r>
  <r>
    <x v="66"/>
    <x v="10"/>
    <x v="0"/>
    <n v="384"/>
  </r>
  <r>
    <x v="66"/>
    <x v="10"/>
    <x v="6"/>
    <n v="2"/>
  </r>
  <r>
    <x v="66"/>
    <x v="10"/>
    <x v="5"/>
    <n v="62"/>
  </r>
  <r>
    <x v="66"/>
    <x v="10"/>
    <x v="7"/>
    <n v="33"/>
  </r>
  <r>
    <x v="66"/>
    <x v="10"/>
    <x v="24"/>
    <n v="451"/>
  </r>
  <r>
    <x v="66"/>
    <x v="10"/>
    <x v="8"/>
    <n v="3"/>
  </r>
  <r>
    <x v="66"/>
    <x v="10"/>
    <x v="9"/>
    <n v="18"/>
  </r>
  <r>
    <x v="66"/>
    <x v="10"/>
    <x v="3"/>
    <n v="82"/>
  </r>
  <r>
    <x v="66"/>
    <x v="10"/>
    <x v="4"/>
    <n v="9"/>
  </r>
  <r>
    <x v="11"/>
    <x v="9"/>
    <x v="0"/>
    <n v="17"/>
  </r>
  <r>
    <x v="11"/>
    <x v="9"/>
    <x v="9"/>
    <n v="1"/>
  </r>
  <r>
    <x v="11"/>
    <x v="9"/>
    <x v="3"/>
    <n v="1"/>
  </r>
  <r>
    <x v="11"/>
    <x v="10"/>
    <x v="0"/>
    <n v="16"/>
  </r>
  <r>
    <x v="11"/>
    <x v="10"/>
    <x v="9"/>
    <n v="1"/>
  </r>
  <r>
    <x v="11"/>
    <x v="10"/>
    <x v="3"/>
    <n v="2"/>
  </r>
  <r>
    <x v="67"/>
    <x v="9"/>
    <x v="0"/>
    <n v="82"/>
  </r>
  <r>
    <x v="67"/>
    <x v="9"/>
    <x v="7"/>
    <n v="7"/>
  </r>
  <r>
    <x v="67"/>
    <x v="9"/>
    <x v="24"/>
    <n v="52"/>
  </r>
  <r>
    <x v="67"/>
    <x v="9"/>
    <x v="9"/>
    <n v="3"/>
  </r>
  <r>
    <x v="67"/>
    <x v="9"/>
    <x v="3"/>
    <n v="19"/>
  </r>
  <r>
    <x v="67"/>
    <x v="10"/>
    <x v="0"/>
    <n v="85"/>
  </r>
  <r>
    <x v="67"/>
    <x v="10"/>
    <x v="7"/>
    <n v="7"/>
  </r>
  <r>
    <x v="67"/>
    <x v="10"/>
    <x v="24"/>
    <n v="46"/>
  </r>
  <r>
    <x v="67"/>
    <x v="10"/>
    <x v="9"/>
    <n v="3"/>
  </r>
  <r>
    <x v="67"/>
    <x v="10"/>
    <x v="3"/>
    <n v="22"/>
  </r>
  <r>
    <x v="27"/>
    <x v="9"/>
    <x v="0"/>
    <n v="224"/>
  </r>
  <r>
    <x v="27"/>
    <x v="9"/>
    <x v="7"/>
    <n v="1"/>
  </r>
  <r>
    <x v="27"/>
    <x v="9"/>
    <x v="24"/>
    <n v="22"/>
  </r>
  <r>
    <x v="27"/>
    <x v="9"/>
    <x v="3"/>
    <n v="13"/>
  </r>
  <r>
    <x v="27"/>
    <x v="9"/>
    <x v="4"/>
    <n v="6"/>
  </r>
  <r>
    <x v="27"/>
    <x v="10"/>
    <x v="0"/>
    <n v="215"/>
  </r>
  <r>
    <x v="27"/>
    <x v="10"/>
    <x v="7"/>
    <n v="1"/>
  </r>
  <r>
    <x v="27"/>
    <x v="10"/>
    <x v="24"/>
    <n v="23"/>
  </r>
  <r>
    <x v="27"/>
    <x v="10"/>
    <x v="3"/>
    <n v="21"/>
  </r>
  <r>
    <x v="27"/>
    <x v="10"/>
    <x v="4"/>
    <n v="6"/>
  </r>
  <r>
    <x v="77"/>
    <x v="9"/>
    <x v="0"/>
    <n v="3272"/>
  </r>
  <r>
    <x v="77"/>
    <x v="9"/>
    <x v="6"/>
    <n v="42"/>
  </r>
  <r>
    <x v="77"/>
    <x v="9"/>
    <x v="5"/>
    <n v="47"/>
  </r>
  <r>
    <x v="77"/>
    <x v="9"/>
    <x v="7"/>
    <n v="629"/>
  </r>
  <r>
    <x v="77"/>
    <x v="9"/>
    <x v="24"/>
    <n v="2390"/>
  </r>
  <r>
    <x v="77"/>
    <x v="9"/>
    <x v="8"/>
    <n v="33"/>
  </r>
  <r>
    <x v="77"/>
    <x v="9"/>
    <x v="9"/>
    <n v="332"/>
  </r>
  <r>
    <x v="77"/>
    <x v="9"/>
    <x v="3"/>
    <n v="1979"/>
  </r>
  <r>
    <x v="77"/>
    <x v="9"/>
    <x v="4"/>
    <n v="111"/>
  </r>
  <r>
    <x v="77"/>
    <x v="10"/>
    <x v="0"/>
    <n v="2768"/>
  </r>
  <r>
    <x v="77"/>
    <x v="10"/>
    <x v="6"/>
    <n v="40"/>
  </r>
  <r>
    <x v="77"/>
    <x v="10"/>
    <x v="5"/>
    <n v="52"/>
  </r>
  <r>
    <x v="77"/>
    <x v="10"/>
    <x v="7"/>
    <n v="574"/>
  </r>
  <r>
    <x v="77"/>
    <x v="10"/>
    <x v="24"/>
    <n v="2256"/>
  </r>
  <r>
    <x v="77"/>
    <x v="10"/>
    <x v="8"/>
    <n v="32"/>
  </r>
  <r>
    <x v="77"/>
    <x v="10"/>
    <x v="9"/>
    <n v="334"/>
  </r>
  <r>
    <x v="77"/>
    <x v="10"/>
    <x v="3"/>
    <n v="2678"/>
  </r>
  <r>
    <x v="77"/>
    <x v="10"/>
    <x v="4"/>
    <n v="101"/>
  </r>
  <r>
    <x v="30"/>
    <x v="9"/>
    <x v="0"/>
    <n v="276"/>
  </r>
  <r>
    <x v="30"/>
    <x v="9"/>
    <x v="6"/>
    <n v="1"/>
  </r>
  <r>
    <x v="30"/>
    <x v="9"/>
    <x v="5"/>
    <n v="7"/>
  </r>
  <r>
    <x v="30"/>
    <x v="9"/>
    <x v="7"/>
    <n v="8"/>
  </r>
  <r>
    <x v="30"/>
    <x v="9"/>
    <x v="24"/>
    <n v="483"/>
  </r>
  <r>
    <x v="30"/>
    <x v="9"/>
    <x v="9"/>
    <n v="7"/>
  </r>
  <r>
    <x v="30"/>
    <x v="9"/>
    <x v="3"/>
    <n v="43"/>
  </r>
  <r>
    <x v="30"/>
    <x v="9"/>
    <x v="4"/>
    <n v="6"/>
  </r>
  <r>
    <x v="30"/>
    <x v="10"/>
    <x v="0"/>
    <n v="224"/>
  </r>
  <r>
    <x v="30"/>
    <x v="10"/>
    <x v="6"/>
    <n v="1"/>
  </r>
  <r>
    <x v="30"/>
    <x v="10"/>
    <x v="5"/>
    <n v="8"/>
  </r>
  <r>
    <x v="30"/>
    <x v="10"/>
    <x v="7"/>
    <n v="8"/>
  </r>
  <r>
    <x v="30"/>
    <x v="10"/>
    <x v="24"/>
    <n v="493"/>
  </r>
  <r>
    <x v="30"/>
    <x v="10"/>
    <x v="9"/>
    <n v="5"/>
  </r>
  <r>
    <x v="30"/>
    <x v="10"/>
    <x v="3"/>
    <n v="82"/>
  </r>
  <r>
    <x v="30"/>
    <x v="10"/>
    <x v="4"/>
    <n v="10"/>
  </r>
  <r>
    <x v="48"/>
    <x v="9"/>
    <x v="0"/>
    <n v="19980"/>
  </r>
  <r>
    <x v="48"/>
    <x v="9"/>
    <x v="6"/>
    <n v="384"/>
  </r>
  <r>
    <x v="48"/>
    <x v="9"/>
    <x v="5"/>
    <n v="658"/>
  </r>
  <r>
    <x v="48"/>
    <x v="9"/>
    <x v="7"/>
    <n v="3500"/>
  </r>
  <r>
    <x v="48"/>
    <x v="9"/>
    <x v="24"/>
    <n v="8241"/>
  </r>
  <r>
    <x v="48"/>
    <x v="9"/>
    <x v="8"/>
    <n v="413"/>
  </r>
  <r>
    <x v="48"/>
    <x v="9"/>
    <x v="9"/>
    <n v="2124"/>
  </r>
  <r>
    <x v="48"/>
    <x v="9"/>
    <x v="3"/>
    <n v="3976"/>
  </r>
  <r>
    <x v="48"/>
    <x v="9"/>
    <x v="4"/>
    <n v="477"/>
  </r>
  <r>
    <x v="48"/>
    <x v="10"/>
    <x v="0"/>
    <n v="18147"/>
  </r>
  <r>
    <x v="48"/>
    <x v="10"/>
    <x v="6"/>
    <n v="359"/>
  </r>
  <r>
    <x v="48"/>
    <x v="10"/>
    <x v="5"/>
    <n v="686"/>
  </r>
  <r>
    <x v="48"/>
    <x v="10"/>
    <x v="7"/>
    <n v="3568"/>
  </r>
  <r>
    <x v="48"/>
    <x v="10"/>
    <x v="24"/>
    <n v="8334"/>
  </r>
  <r>
    <x v="48"/>
    <x v="10"/>
    <x v="8"/>
    <n v="445"/>
  </r>
  <r>
    <x v="48"/>
    <x v="10"/>
    <x v="9"/>
    <n v="2135"/>
  </r>
  <r>
    <x v="48"/>
    <x v="10"/>
    <x v="3"/>
    <n v="5648"/>
  </r>
  <r>
    <x v="48"/>
    <x v="10"/>
    <x v="4"/>
    <n v="431"/>
  </r>
  <r>
    <x v="36"/>
    <x v="9"/>
    <x v="0"/>
    <n v="1018"/>
  </r>
  <r>
    <x v="36"/>
    <x v="9"/>
    <x v="6"/>
    <n v="5"/>
  </r>
  <r>
    <x v="36"/>
    <x v="9"/>
    <x v="5"/>
    <n v="6"/>
  </r>
  <r>
    <x v="36"/>
    <x v="9"/>
    <x v="7"/>
    <n v="73"/>
  </r>
  <r>
    <x v="36"/>
    <x v="9"/>
    <x v="24"/>
    <n v="799"/>
  </r>
  <r>
    <x v="36"/>
    <x v="9"/>
    <x v="8"/>
    <n v="6"/>
  </r>
  <r>
    <x v="36"/>
    <x v="9"/>
    <x v="9"/>
    <n v="53"/>
  </r>
  <r>
    <x v="36"/>
    <x v="9"/>
    <x v="3"/>
    <n v="138"/>
  </r>
  <r>
    <x v="36"/>
    <x v="9"/>
    <x v="4"/>
    <n v="10"/>
  </r>
  <r>
    <x v="36"/>
    <x v="10"/>
    <x v="0"/>
    <n v="950"/>
  </r>
  <r>
    <x v="36"/>
    <x v="10"/>
    <x v="6"/>
    <n v="6"/>
  </r>
  <r>
    <x v="36"/>
    <x v="10"/>
    <x v="5"/>
    <n v="6"/>
  </r>
  <r>
    <x v="36"/>
    <x v="10"/>
    <x v="7"/>
    <n v="100"/>
  </r>
  <r>
    <x v="36"/>
    <x v="10"/>
    <x v="24"/>
    <n v="790"/>
  </r>
  <r>
    <x v="36"/>
    <x v="10"/>
    <x v="8"/>
    <n v="6"/>
  </r>
  <r>
    <x v="36"/>
    <x v="10"/>
    <x v="9"/>
    <n v="69"/>
  </r>
  <r>
    <x v="36"/>
    <x v="10"/>
    <x v="3"/>
    <n v="171"/>
  </r>
  <r>
    <x v="36"/>
    <x v="10"/>
    <x v="4"/>
    <n v="10"/>
  </r>
  <r>
    <x v="31"/>
    <x v="9"/>
    <x v="0"/>
    <n v="951"/>
  </r>
  <r>
    <x v="31"/>
    <x v="9"/>
    <x v="6"/>
    <n v="5"/>
  </r>
  <r>
    <x v="31"/>
    <x v="9"/>
    <x v="5"/>
    <n v="17"/>
  </r>
  <r>
    <x v="31"/>
    <x v="9"/>
    <x v="7"/>
    <n v="245"/>
  </r>
  <r>
    <x v="31"/>
    <x v="9"/>
    <x v="24"/>
    <n v="1551"/>
  </r>
  <r>
    <x v="31"/>
    <x v="9"/>
    <x v="8"/>
    <n v="11"/>
  </r>
  <r>
    <x v="31"/>
    <x v="9"/>
    <x v="9"/>
    <n v="98"/>
  </r>
  <r>
    <x v="31"/>
    <x v="9"/>
    <x v="3"/>
    <n v="201"/>
  </r>
  <r>
    <x v="31"/>
    <x v="9"/>
    <x v="4"/>
    <n v="3"/>
  </r>
  <r>
    <x v="31"/>
    <x v="10"/>
    <x v="0"/>
    <n v="759"/>
  </r>
  <r>
    <x v="31"/>
    <x v="10"/>
    <x v="6"/>
    <n v="5"/>
  </r>
  <r>
    <x v="31"/>
    <x v="10"/>
    <x v="5"/>
    <n v="22"/>
  </r>
  <r>
    <x v="31"/>
    <x v="10"/>
    <x v="7"/>
    <n v="291"/>
  </r>
  <r>
    <x v="31"/>
    <x v="10"/>
    <x v="24"/>
    <n v="1534"/>
  </r>
  <r>
    <x v="31"/>
    <x v="10"/>
    <x v="8"/>
    <n v="11"/>
  </r>
  <r>
    <x v="31"/>
    <x v="10"/>
    <x v="9"/>
    <n v="179"/>
  </r>
  <r>
    <x v="31"/>
    <x v="10"/>
    <x v="3"/>
    <n v="280"/>
  </r>
  <r>
    <x v="31"/>
    <x v="10"/>
    <x v="4"/>
    <n v="1"/>
  </r>
  <r>
    <x v="68"/>
    <x v="9"/>
    <x v="0"/>
    <n v="1844"/>
  </r>
  <r>
    <x v="68"/>
    <x v="9"/>
    <x v="6"/>
    <n v="8"/>
  </r>
  <r>
    <x v="68"/>
    <x v="9"/>
    <x v="5"/>
    <n v="47"/>
  </r>
  <r>
    <x v="68"/>
    <x v="9"/>
    <x v="7"/>
    <n v="140"/>
  </r>
  <r>
    <x v="68"/>
    <x v="9"/>
    <x v="24"/>
    <n v="1023"/>
  </r>
  <r>
    <x v="68"/>
    <x v="9"/>
    <x v="8"/>
    <n v="3"/>
  </r>
  <r>
    <x v="68"/>
    <x v="9"/>
    <x v="9"/>
    <n v="105"/>
  </r>
  <r>
    <x v="68"/>
    <x v="9"/>
    <x v="3"/>
    <n v="240"/>
  </r>
  <r>
    <x v="68"/>
    <x v="9"/>
    <x v="4"/>
    <n v="35"/>
  </r>
  <r>
    <x v="68"/>
    <x v="10"/>
    <x v="0"/>
    <n v="1807"/>
  </r>
  <r>
    <x v="68"/>
    <x v="10"/>
    <x v="6"/>
    <n v="8"/>
  </r>
  <r>
    <x v="68"/>
    <x v="10"/>
    <x v="5"/>
    <n v="66"/>
  </r>
  <r>
    <x v="68"/>
    <x v="10"/>
    <x v="7"/>
    <n v="143"/>
  </r>
  <r>
    <x v="68"/>
    <x v="10"/>
    <x v="24"/>
    <n v="977"/>
  </r>
  <r>
    <x v="68"/>
    <x v="10"/>
    <x v="8"/>
    <n v="3"/>
  </r>
  <r>
    <x v="68"/>
    <x v="10"/>
    <x v="9"/>
    <n v="105"/>
  </r>
  <r>
    <x v="68"/>
    <x v="10"/>
    <x v="3"/>
    <n v="302"/>
  </r>
  <r>
    <x v="68"/>
    <x v="10"/>
    <x v="4"/>
    <n v="34"/>
  </r>
  <r>
    <x v="17"/>
    <x v="9"/>
    <x v="0"/>
    <n v="2269"/>
  </r>
  <r>
    <x v="17"/>
    <x v="9"/>
    <x v="6"/>
    <n v="17"/>
  </r>
  <r>
    <x v="17"/>
    <x v="9"/>
    <x v="5"/>
    <n v="32"/>
  </r>
  <r>
    <x v="17"/>
    <x v="9"/>
    <x v="7"/>
    <n v="227"/>
  </r>
  <r>
    <x v="17"/>
    <x v="9"/>
    <x v="24"/>
    <n v="2313"/>
  </r>
  <r>
    <x v="17"/>
    <x v="9"/>
    <x v="8"/>
    <n v="11"/>
  </r>
  <r>
    <x v="17"/>
    <x v="9"/>
    <x v="9"/>
    <n v="236"/>
  </r>
  <r>
    <x v="17"/>
    <x v="9"/>
    <x v="3"/>
    <n v="601"/>
  </r>
  <r>
    <x v="17"/>
    <x v="9"/>
    <x v="4"/>
    <n v="117"/>
  </r>
  <r>
    <x v="17"/>
    <x v="10"/>
    <x v="0"/>
    <n v="2078"/>
  </r>
  <r>
    <x v="17"/>
    <x v="10"/>
    <x v="6"/>
    <n v="18"/>
  </r>
  <r>
    <x v="17"/>
    <x v="10"/>
    <x v="5"/>
    <n v="34"/>
  </r>
  <r>
    <x v="17"/>
    <x v="10"/>
    <x v="7"/>
    <n v="225"/>
  </r>
  <r>
    <x v="17"/>
    <x v="10"/>
    <x v="24"/>
    <n v="2258"/>
  </r>
  <r>
    <x v="17"/>
    <x v="10"/>
    <x v="8"/>
    <n v="12"/>
  </r>
  <r>
    <x v="17"/>
    <x v="10"/>
    <x v="9"/>
    <n v="290"/>
  </r>
  <r>
    <x v="17"/>
    <x v="10"/>
    <x v="3"/>
    <n v="784"/>
  </r>
  <r>
    <x v="17"/>
    <x v="10"/>
    <x v="4"/>
    <n v="124"/>
  </r>
  <r>
    <x v="37"/>
    <x v="9"/>
    <x v="0"/>
    <n v="878"/>
  </r>
  <r>
    <x v="37"/>
    <x v="9"/>
    <x v="6"/>
    <n v="4"/>
  </r>
  <r>
    <x v="37"/>
    <x v="9"/>
    <x v="5"/>
    <n v="18"/>
  </r>
  <r>
    <x v="37"/>
    <x v="9"/>
    <x v="7"/>
    <n v="239"/>
  </r>
  <r>
    <x v="37"/>
    <x v="9"/>
    <x v="24"/>
    <n v="548"/>
  </r>
  <r>
    <x v="37"/>
    <x v="9"/>
    <x v="8"/>
    <n v="2"/>
  </r>
  <r>
    <x v="37"/>
    <x v="9"/>
    <x v="9"/>
    <n v="60"/>
  </r>
  <r>
    <x v="37"/>
    <x v="9"/>
    <x v="3"/>
    <n v="295"/>
  </r>
  <r>
    <x v="37"/>
    <x v="9"/>
    <x v="4"/>
    <n v="11"/>
  </r>
  <r>
    <x v="37"/>
    <x v="10"/>
    <x v="0"/>
    <n v="747"/>
  </r>
  <r>
    <x v="37"/>
    <x v="10"/>
    <x v="6"/>
    <n v="3"/>
  </r>
  <r>
    <x v="37"/>
    <x v="10"/>
    <x v="5"/>
    <n v="20"/>
  </r>
  <r>
    <x v="37"/>
    <x v="10"/>
    <x v="7"/>
    <n v="379"/>
  </r>
  <r>
    <x v="37"/>
    <x v="10"/>
    <x v="24"/>
    <n v="491"/>
  </r>
  <r>
    <x v="37"/>
    <x v="10"/>
    <x v="8"/>
    <n v="1"/>
  </r>
  <r>
    <x v="37"/>
    <x v="10"/>
    <x v="9"/>
    <n v="59"/>
  </r>
  <r>
    <x v="37"/>
    <x v="10"/>
    <x v="3"/>
    <n v="344"/>
  </r>
  <r>
    <x v="37"/>
    <x v="10"/>
    <x v="4"/>
    <n v="11"/>
  </r>
  <r>
    <x v="7"/>
    <x v="9"/>
    <x v="0"/>
    <n v="864"/>
  </r>
  <r>
    <x v="7"/>
    <x v="9"/>
    <x v="6"/>
    <n v="7"/>
  </r>
  <r>
    <x v="7"/>
    <x v="9"/>
    <x v="5"/>
    <n v="53"/>
  </r>
  <r>
    <x v="7"/>
    <x v="9"/>
    <x v="7"/>
    <n v="49"/>
  </r>
  <r>
    <x v="7"/>
    <x v="9"/>
    <x v="24"/>
    <n v="281"/>
  </r>
  <r>
    <x v="7"/>
    <x v="9"/>
    <x v="8"/>
    <n v="8"/>
  </r>
  <r>
    <x v="7"/>
    <x v="9"/>
    <x v="9"/>
    <n v="59"/>
  </r>
  <r>
    <x v="7"/>
    <x v="9"/>
    <x v="3"/>
    <n v="130"/>
  </r>
  <r>
    <x v="7"/>
    <x v="9"/>
    <x v="4"/>
    <n v="10"/>
  </r>
  <r>
    <x v="7"/>
    <x v="10"/>
    <x v="0"/>
    <n v="942"/>
  </r>
  <r>
    <x v="7"/>
    <x v="10"/>
    <x v="6"/>
    <n v="7"/>
  </r>
  <r>
    <x v="7"/>
    <x v="10"/>
    <x v="5"/>
    <n v="56"/>
  </r>
  <r>
    <x v="7"/>
    <x v="10"/>
    <x v="7"/>
    <n v="48"/>
  </r>
  <r>
    <x v="7"/>
    <x v="10"/>
    <x v="24"/>
    <n v="179"/>
  </r>
  <r>
    <x v="7"/>
    <x v="10"/>
    <x v="8"/>
    <n v="8"/>
  </r>
  <r>
    <x v="7"/>
    <x v="10"/>
    <x v="9"/>
    <n v="65"/>
  </r>
  <r>
    <x v="7"/>
    <x v="10"/>
    <x v="3"/>
    <n v="144"/>
  </r>
  <r>
    <x v="7"/>
    <x v="10"/>
    <x v="4"/>
    <n v="12"/>
  </r>
  <r>
    <x v="20"/>
    <x v="9"/>
    <x v="0"/>
    <n v="528"/>
  </r>
  <r>
    <x v="20"/>
    <x v="9"/>
    <x v="6"/>
    <n v="2"/>
  </r>
  <r>
    <x v="20"/>
    <x v="9"/>
    <x v="7"/>
    <n v="5"/>
  </r>
  <r>
    <x v="20"/>
    <x v="9"/>
    <x v="24"/>
    <n v="68"/>
  </r>
  <r>
    <x v="20"/>
    <x v="9"/>
    <x v="8"/>
    <n v="7"/>
  </r>
  <r>
    <x v="20"/>
    <x v="9"/>
    <x v="9"/>
    <n v="8"/>
  </r>
  <r>
    <x v="20"/>
    <x v="9"/>
    <x v="3"/>
    <n v="40"/>
  </r>
  <r>
    <x v="20"/>
    <x v="9"/>
    <x v="4"/>
    <n v="5"/>
  </r>
  <r>
    <x v="20"/>
    <x v="10"/>
    <x v="0"/>
    <n v="471"/>
  </r>
  <r>
    <x v="20"/>
    <x v="10"/>
    <x v="6"/>
    <n v="2"/>
  </r>
  <r>
    <x v="20"/>
    <x v="10"/>
    <x v="7"/>
    <n v="6"/>
  </r>
  <r>
    <x v="20"/>
    <x v="10"/>
    <x v="24"/>
    <n v="90"/>
  </r>
  <r>
    <x v="20"/>
    <x v="10"/>
    <x v="8"/>
    <n v="7"/>
  </r>
  <r>
    <x v="20"/>
    <x v="10"/>
    <x v="9"/>
    <n v="8"/>
  </r>
  <r>
    <x v="20"/>
    <x v="10"/>
    <x v="3"/>
    <n v="76"/>
  </r>
  <r>
    <x v="20"/>
    <x v="10"/>
    <x v="4"/>
    <n v="3"/>
  </r>
  <r>
    <x v="58"/>
    <x v="9"/>
    <x v="0"/>
    <n v="693"/>
  </r>
  <r>
    <x v="58"/>
    <x v="9"/>
    <x v="5"/>
    <n v="3"/>
  </r>
  <r>
    <x v="58"/>
    <x v="9"/>
    <x v="7"/>
    <n v="6"/>
  </r>
  <r>
    <x v="58"/>
    <x v="9"/>
    <x v="24"/>
    <n v="352"/>
  </r>
  <r>
    <x v="58"/>
    <x v="9"/>
    <x v="8"/>
    <n v="1"/>
  </r>
  <r>
    <x v="58"/>
    <x v="9"/>
    <x v="9"/>
    <n v="3"/>
  </r>
  <r>
    <x v="58"/>
    <x v="9"/>
    <x v="3"/>
    <n v="34"/>
  </r>
  <r>
    <x v="58"/>
    <x v="9"/>
    <x v="4"/>
    <n v="2"/>
  </r>
  <r>
    <x v="58"/>
    <x v="10"/>
    <x v="0"/>
    <n v="666"/>
  </r>
  <r>
    <x v="58"/>
    <x v="10"/>
    <x v="5"/>
    <n v="3"/>
  </r>
  <r>
    <x v="58"/>
    <x v="10"/>
    <x v="7"/>
    <n v="6"/>
  </r>
  <r>
    <x v="58"/>
    <x v="10"/>
    <x v="24"/>
    <n v="374"/>
  </r>
  <r>
    <x v="58"/>
    <x v="10"/>
    <x v="8"/>
    <n v="1"/>
  </r>
  <r>
    <x v="58"/>
    <x v="10"/>
    <x v="9"/>
    <n v="4"/>
  </r>
  <r>
    <x v="58"/>
    <x v="10"/>
    <x v="3"/>
    <n v="38"/>
  </r>
  <r>
    <x v="58"/>
    <x v="10"/>
    <x v="4"/>
    <n v="2"/>
  </r>
  <r>
    <x v="44"/>
    <x v="9"/>
    <x v="0"/>
    <n v="139"/>
  </r>
  <r>
    <x v="44"/>
    <x v="9"/>
    <x v="7"/>
    <n v="11"/>
  </r>
  <r>
    <x v="44"/>
    <x v="9"/>
    <x v="24"/>
    <n v="75"/>
  </r>
  <r>
    <x v="44"/>
    <x v="9"/>
    <x v="3"/>
    <n v="4"/>
  </r>
  <r>
    <x v="44"/>
    <x v="10"/>
    <x v="0"/>
    <n v="136"/>
  </r>
  <r>
    <x v="44"/>
    <x v="10"/>
    <x v="7"/>
    <n v="14"/>
  </r>
  <r>
    <x v="44"/>
    <x v="10"/>
    <x v="24"/>
    <n v="68"/>
  </r>
  <r>
    <x v="44"/>
    <x v="10"/>
    <x v="8"/>
    <n v="1"/>
  </r>
  <r>
    <x v="44"/>
    <x v="10"/>
    <x v="3"/>
    <n v="10"/>
  </r>
  <r>
    <x v="45"/>
    <x v="9"/>
    <x v="0"/>
    <n v="110"/>
  </r>
  <r>
    <x v="45"/>
    <x v="9"/>
    <x v="7"/>
    <n v="3"/>
  </r>
  <r>
    <x v="45"/>
    <x v="9"/>
    <x v="24"/>
    <n v="10"/>
  </r>
  <r>
    <x v="45"/>
    <x v="9"/>
    <x v="3"/>
    <n v="12"/>
  </r>
  <r>
    <x v="45"/>
    <x v="10"/>
    <x v="0"/>
    <n v="106"/>
  </r>
  <r>
    <x v="45"/>
    <x v="10"/>
    <x v="7"/>
    <n v="3"/>
  </r>
  <r>
    <x v="45"/>
    <x v="10"/>
    <x v="24"/>
    <n v="8"/>
  </r>
  <r>
    <x v="45"/>
    <x v="10"/>
    <x v="3"/>
    <n v="18"/>
  </r>
  <r>
    <x v="9"/>
    <x v="9"/>
    <x v="0"/>
    <n v="769"/>
  </r>
  <r>
    <x v="9"/>
    <x v="9"/>
    <x v="6"/>
    <n v="1"/>
  </r>
  <r>
    <x v="9"/>
    <x v="9"/>
    <x v="5"/>
    <n v="5"/>
  </r>
  <r>
    <x v="9"/>
    <x v="9"/>
    <x v="7"/>
    <n v="31"/>
  </r>
  <r>
    <x v="9"/>
    <x v="9"/>
    <x v="24"/>
    <n v="439"/>
  </r>
  <r>
    <x v="9"/>
    <x v="9"/>
    <x v="8"/>
    <n v="5"/>
  </r>
  <r>
    <x v="9"/>
    <x v="9"/>
    <x v="9"/>
    <n v="10"/>
  </r>
  <r>
    <x v="9"/>
    <x v="9"/>
    <x v="3"/>
    <n v="80"/>
  </r>
  <r>
    <x v="9"/>
    <x v="9"/>
    <x v="4"/>
    <n v="5"/>
  </r>
  <r>
    <x v="9"/>
    <x v="10"/>
    <x v="0"/>
    <n v="740"/>
  </r>
  <r>
    <x v="9"/>
    <x v="10"/>
    <x v="6"/>
    <n v="1"/>
  </r>
  <r>
    <x v="9"/>
    <x v="10"/>
    <x v="5"/>
    <n v="5"/>
  </r>
  <r>
    <x v="9"/>
    <x v="10"/>
    <x v="7"/>
    <n v="31"/>
  </r>
  <r>
    <x v="9"/>
    <x v="10"/>
    <x v="24"/>
    <n v="427"/>
  </r>
  <r>
    <x v="9"/>
    <x v="10"/>
    <x v="8"/>
    <n v="5"/>
  </r>
  <r>
    <x v="9"/>
    <x v="10"/>
    <x v="9"/>
    <n v="10"/>
  </r>
  <r>
    <x v="9"/>
    <x v="10"/>
    <x v="3"/>
    <n v="121"/>
  </r>
  <r>
    <x v="9"/>
    <x v="10"/>
    <x v="4"/>
    <n v="5"/>
  </r>
  <r>
    <x v="39"/>
    <x v="9"/>
    <x v="0"/>
    <n v="101"/>
  </r>
  <r>
    <x v="39"/>
    <x v="9"/>
    <x v="7"/>
    <n v="2"/>
  </r>
  <r>
    <x v="39"/>
    <x v="9"/>
    <x v="24"/>
    <n v="5"/>
  </r>
  <r>
    <x v="39"/>
    <x v="9"/>
    <x v="9"/>
    <n v="1"/>
  </r>
  <r>
    <x v="39"/>
    <x v="9"/>
    <x v="3"/>
    <n v="1"/>
  </r>
  <r>
    <x v="39"/>
    <x v="10"/>
    <x v="0"/>
    <n v="98"/>
  </r>
  <r>
    <x v="39"/>
    <x v="10"/>
    <x v="7"/>
    <n v="2"/>
  </r>
  <r>
    <x v="39"/>
    <x v="10"/>
    <x v="24"/>
    <n v="5"/>
  </r>
  <r>
    <x v="39"/>
    <x v="10"/>
    <x v="9"/>
    <n v="1"/>
  </r>
  <r>
    <x v="39"/>
    <x v="10"/>
    <x v="3"/>
    <n v="4"/>
  </r>
  <r>
    <x v="40"/>
    <x v="9"/>
    <x v="0"/>
    <n v="416"/>
  </r>
  <r>
    <x v="40"/>
    <x v="9"/>
    <x v="5"/>
    <n v="1"/>
  </r>
  <r>
    <x v="40"/>
    <x v="9"/>
    <x v="7"/>
    <n v="4"/>
  </r>
  <r>
    <x v="40"/>
    <x v="9"/>
    <x v="24"/>
    <n v="150"/>
  </r>
  <r>
    <x v="40"/>
    <x v="9"/>
    <x v="8"/>
    <n v="1"/>
  </r>
  <r>
    <x v="40"/>
    <x v="9"/>
    <x v="9"/>
    <n v="2"/>
  </r>
  <r>
    <x v="40"/>
    <x v="9"/>
    <x v="3"/>
    <n v="23"/>
  </r>
  <r>
    <x v="40"/>
    <x v="9"/>
    <x v="4"/>
    <n v="2"/>
  </r>
  <r>
    <x v="40"/>
    <x v="10"/>
    <x v="0"/>
    <n v="399"/>
  </r>
  <r>
    <x v="40"/>
    <x v="10"/>
    <x v="6"/>
    <n v="1"/>
  </r>
  <r>
    <x v="40"/>
    <x v="10"/>
    <x v="7"/>
    <n v="4"/>
  </r>
  <r>
    <x v="40"/>
    <x v="10"/>
    <x v="24"/>
    <n v="156"/>
  </r>
  <r>
    <x v="40"/>
    <x v="10"/>
    <x v="8"/>
    <n v="1"/>
  </r>
  <r>
    <x v="40"/>
    <x v="10"/>
    <x v="9"/>
    <n v="1"/>
  </r>
  <r>
    <x v="40"/>
    <x v="10"/>
    <x v="3"/>
    <n v="35"/>
  </r>
  <r>
    <x v="40"/>
    <x v="10"/>
    <x v="4"/>
    <n v="2"/>
  </r>
  <r>
    <x v="1"/>
    <x v="9"/>
    <x v="0"/>
    <n v="1853"/>
  </r>
  <r>
    <x v="1"/>
    <x v="9"/>
    <x v="6"/>
    <n v="4"/>
  </r>
  <r>
    <x v="1"/>
    <x v="9"/>
    <x v="5"/>
    <n v="129"/>
  </r>
  <r>
    <x v="1"/>
    <x v="9"/>
    <x v="7"/>
    <n v="109"/>
  </r>
  <r>
    <x v="1"/>
    <x v="9"/>
    <x v="24"/>
    <n v="1276"/>
  </r>
  <r>
    <x v="1"/>
    <x v="9"/>
    <x v="8"/>
    <n v="8"/>
  </r>
  <r>
    <x v="1"/>
    <x v="9"/>
    <x v="9"/>
    <n v="117"/>
  </r>
  <r>
    <x v="1"/>
    <x v="9"/>
    <x v="3"/>
    <n v="342"/>
  </r>
  <r>
    <x v="1"/>
    <x v="9"/>
    <x v="4"/>
    <n v="28"/>
  </r>
  <r>
    <x v="1"/>
    <x v="10"/>
    <x v="0"/>
    <n v="1718"/>
  </r>
  <r>
    <x v="1"/>
    <x v="10"/>
    <x v="6"/>
    <n v="5"/>
  </r>
  <r>
    <x v="1"/>
    <x v="10"/>
    <x v="5"/>
    <n v="165"/>
  </r>
  <r>
    <x v="1"/>
    <x v="10"/>
    <x v="7"/>
    <n v="124"/>
  </r>
  <r>
    <x v="1"/>
    <x v="10"/>
    <x v="24"/>
    <n v="1229"/>
  </r>
  <r>
    <x v="1"/>
    <x v="10"/>
    <x v="8"/>
    <n v="8"/>
  </r>
  <r>
    <x v="1"/>
    <x v="10"/>
    <x v="9"/>
    <n v="123"/>
  </r>
  <r>
    <x v="1"/>
    <x v="10"/>
    <x v="3"/>
    <n v="462"/>
  </r>
  <r>
    <x v="1"/>
    <x v="10"/>
    <x v="4"/>
    <n v="32"/>
  </r>
  <r>
    <x v="65"/>
    <x v="9"/>
    <x v="0"/>
    <n v="93"/>
  </r>
  <r>
    <x v="65"/>
    <x v="9"/>
    <x v="6"/>
    <n v="1"/>
  </r>
  <r>
    <x v="65"/>
    <x v="9"/>
    <x v="7"/>
    <n v="4"/>
  </r>
  <r>
    <x v="65"/>
    <x v="9"/>
    <x v="24"/>
    <n v="130"/>
  </r>
  <r>
    <x v="65"/>
    <x v="9"/>
    <x v="3"/>
    <n v="13"/>
  </r>
  <r>
    <x v="65"/>
    <x v="9"/>
    <x v="4"/>
    <n v="1"/>
  </r>
  <r>
    <x v="65"/>
    <x v="10"/>
    <x v="0"/>
    <n v="83"/>
  </r>
  <r>
    <x v="65"/>
    <x v="10"/>
    <x v="5"/>
    <n v="1"/>
  </r>
  <r>
    <x v="65"/>
    <x v="10"/>
    <x v="7"/>
    <n v="4"/>
  </r>
  <r>
    <x v="65"/>
    <x v="10"/>
    <x v="24"/>
    <n v="133"/>
  </r>
  <r>
    <x v="65"/>
    <x v="10"/>
    <x v="3"/>
    <n v="18"/>
  </r>
  <r>
    <x v="65"/>
    <x v="10"/>
    <x v="4"/>
    <n v="3"/>
  </r>
  <r>
    <x v="23"/>
    <x v="9"/>
    <x v="0"/>
    <n v="141"/>
  </r>
  <r>
    <x v="23"/>
    <x v="9"/>
    <x v="7"/>
    <n v="6"/>
  </r>
  <r>
    <x v="23"/>
    <x v="9"/>
    <x v="24"/>
    <n v="143"/>
  </r>
  <r>
    <x v="23"/>
    <x v="9"/>
    <x v="3"/>
    <n v="17"/>
  </r>
  <r>
    <x v="23"/>
    <x v="9"/>
    <x v="4"/>
    <n v="5"/>
  </r>
  <r>
    <x v="23"/>
    <x v="10"/>
    <x v="0"/>
    <n v="116"/>
  </r>
  <r>
    <x v="23"/>
    <x v="10"/>
    <x v="7"/>
    <n v="5"/>
  </r>
  <r>
    <x v="23"/>
    <x v="10"/>
    <x v="24"/>
    <n v="152"/>
  </r>
  <r>
    <x v="23"/>
    <x v="10"/>
    <x v="3"/>
    <n v="34"/>
  </r>
  <r>
    <x v="23"/>
    <x v="10"/>
    <x v="4"/>
    <n v="5"/>
  </r>
  <r>
    <x v="72"/>
    <x v="9"/>
    <x v="0"/>
    <n v="242"/>
  </r>
  <r>
    <x v="72"/>
    <x v="9"/>
    <x v="5"/>
    <n v="2"/>
  </r>
  <r>
    <x v="72"/>
    <x v="9"/>
    <x v="7"/>
    <n v="14"/>
  </r>
  <r>
    <x v="72"/>
    <x v="9"/>
    <x v="24"/>
    <n v="131"/>
  </r>
  <r>
    <x v="72"/>
    <x v="9"/>
    <x v="8"/>
    <n v="1"/>
  </r>
  <r>
    <x v="72"/>
    <x v="9"/>
    <x v="9"/>
    <n v="6"/>
  </r>
  <r>
    <x v="72"/>
    <x v="9"/>
    <x v="3"/>
    <n v="37"/>
  </r>
  <r>
    <x v="72"/>
    <x v="10"/>
    <x v="0"/>
    <n v="163"/>
  </r>
  <r>
    <x v="72"/>
    <x v="10"/>
    <x v="6"/>
    <n v="1"/>
  </r>
  <r>
    <x v="72"/>
    <x v="10"/>
    <x v="5"/>
    <n v="9"/>
  </r>
  <r>
    <x v="72"/>
    <x v="10"/>
    <x v="7"/>
    <n v="19"/>
  </r>
  <r>
    <x v="72"/>
    <x v="10"/>
    <x v="24"/>
    <n v="127"/>
  </r>
  <r>
    <x v="72"/>
    <x v="10"/>
    <x v="8"/>
    <n v="1"/>
  </r>
  <r>
    <x v="72"/>
    <x v="10"/>
    <x v="9"/>
    <n v="6"/>
  </r>
  <r>
    <x v="72"/>
    <x v="10"/>
    <x v="3"/>
    <n v="107"/>
  </r>
  <r>
    <x v="53"/>
    <x v="9"/>
    <x v="0"/>
    <n v="350"/>
  </r>
  <r>
    <x v="53"/>
    <x v="9"/>
    <x v="5"/>
    <n v="1"/>
  </r>
  <r>
    <x v="53"/>
    <x v="9"/>
    <x v="24"/>
    <n v="206"/>
  </r>
  <r>
    <x v="53"/>
    <x v="9"/>
    <x v="8"/>
    <n v="3"/>
  </r>
  <r>
    <x v="53"/>
    <x v="9"/>
    <x v="9"/>
    <n v="3"/>
  </r>
  <r>
    <x v="53"/>
    <x v="9"/>
    <x v="3"/>
    <n v="35"/>
  </r>
  <r>
    <x v="53"/>
    <x v="9"/>
    <x v="4"/>
    <n v="3"/>
  </r>
  <r>
    <x v="53"/>
    <x v="10"/>
    <x v="0"/>
    <n v="329"/>
  </r>
  <r>
    <x v="53"/>
    <x v="10"/>
    <x v="5"/>
    <n v="19"/>
  </r>
  <r>
    <x v="53"/>
    <x v="10"/>
    <x v="24"/>
    <n v="199"/>
  </r>
  <r>
    <x v="53"/>
    <x v="10"/>
    <x v="8"/>
    <n v="12"/>
  </r>
  <r>
    <x v="53"/>
    <x v="10"/>
    <x v="9"/>
    <n v="3"/>
  </r>
  <r>
    <x v="53"/>
    <x v="10"/>
    <x v="3"/>
    <n v="34"/>
  </r>
  <r>
    <x v="53"/>
    <x v="10"/>
    <x v="4"/>
    <n v="5"/>
  </r>
  <r>
    <x v="2"/>
    <x v="9"/>
    <x v="0"/>
    <n v="1010"/>
  </r>
  <r>
    <x v="2"/>
    <x v="9"/>
    <x v="5"/>
    <n v="3"/>
  </r>
  <r>
    <x v="2"/>
    <x v="9"/>
    <x v="7"/>
    <n v="15"/>
  </r>
  <r>
    <x v="2"/>
    <x v="9"/>
    <x v="24"/>
    <n v="766"/>
  </r>
  <r>
    <x v="2"/>
    <x v="9"/>
    <x v="8"/>
    <n v="1"/>
  </r>
  <r>
    <x v="2"/>
    <x v="9"/>
    <x v="9"/>
    <n v="15"/>
  </r>
  <r>
    <x v="2"/>
    <x v="9"/>
    <x v="3"/>
    <n v="73"/>
  </r>
  <r>
    <x v="2"/>
    <x v="9"/>
    <x v="4"/>
    <n v="4"/>
  </r>
  <r>
    <x v="2"/>
    <x v="10"/>
    <x v="0"/>
    <n v="972"/>
  </r>
  <r>
    <x v="2"/>
    <x v="10"/>
    <x v="5"/>
    <n v="4"/>
  </r>
  <r>
    <x v="2"/>
    <x v="10"/>
    <x v="7"/>
    <n v="16"/>
  </r>
  <r>
    <x v="2"/>
    <x v="10"/>
    <x v="24"/>
    <n v="744"/>
  </r>
  <r>
    <x v="2"/>
    <x v="10"/>
    <x v="9"/>
    <n v="22"/>
  </r>
  <r>
    <x v="2"/>
    <x v="10"/>
    <x v="3"/>
    <n v="126"/>
  </r>
  <r>
    <x v="2"/>
    <x v="10"/>
    <x v="4"/>
    <n v="3"/>
  </r>
  <r>
    <x v="24"/>
    <x v="9"/>
    <x v="0"/>
    <n v="251"/>
  </r>
  <r>
    <x v="24"/>
    <x v="9"/>
    <x v="5"/>
    <n v="1"/>
  </r>
  <r>
    <x v="24"/>
    <x v="9"/>
    <x v="7"/>
    <n v="11"/>
  </r>
  <r>
    <x v="24"/>
    <x v="9"/>
    <x v="24"/>
    <n v="195"/>
  </r>
  <r>
    <x v="24"/>
    <x v="9"/>
    <x v="8"/>
    <n v="1"/>
  </r>
  <r>
    <x v="24"/>
    <x v="9"/>
    <x v="9"/>
    <n v="3"/>
  </r>
  <r>
    <x v="24"/>
    <x v="9"/>
    <x v="3"/>
    <n v="16"/>
  </r>
  <r>
    <x v="24"/>
    <x v="10"/>
    <x v="0"/>
    <n v="212"/>
  </r>
  <r>
    <x v="24"/>
    <x v="10"/>
    <x v="5"/>
    <n v="2"/>
  </r>
  <r>
    <x v="24"/>
    <x v="10"/>
    <x v="7"/>
    <n v="48"/>
  </r>
  <r>
    <x v="24"/>
    <x v="10"/>
    <x v="24"/>
    <n v="184"/>
  </r>
  <r>
    <x v="24"/>
    <x v="10"/>
    <x v="9"/>
    <n v="3"/>
  </r>
  <r>
    <x v="24"/>
    <x v="10"/>
    <x v="3"/>
    <n v="29"/>
  </r>
  <r>
    <x v="59"/>
    <x v="9"/>
    <x v="0"/>
    <n v="581"/>
  </r>
  <r>
    <x v="59"/>
    <x v="9"/>
    <x v="6"/>
    <n v="9"/>
  </r>
  <r>
    <x v="59"/>
    <x v="9"/>
    <x v="5"/>
    <n v="6"/>
  </r>
  <r>
    <x v="59"/>
    <x v="9"/>
    <x v="7"/>
    <n v="69"/>
  </r>
  <r>
    <x v="59"/>
    <x v="9"/>
    <x v="24"/>
    <n v="788"/>
  </r>
  <r>
    <x v="59"/>
    <x v="9"/>
    <x v="8"/>
    <n v="6"/>
  </r>
  <r>
    <x v="59"/>
    <x v="9"/>
    <x v="9"/>
    <n v="76"/>
  </r>
  <r>
    <x v="59"/>
    <x v="9"/>
    <x v="3"/>
    <n v="189"/>
  </r>
  <r>
    <x v="59"/>
    <x v="9"/>
    <x v="4"/>
    <n v="7"/>
  </r>
  <r>
    <x v="59"/>
    <x v="10"/>
    <x v="0"/>
    <n v="473"/>
  </r>
  <r>
    <x v="59"/>
    <x v="10"/>
    <x v="6"/>
    <n v="10"/>
  </r>
  <r>
    <x v="59"/>
    <x v="10"/>
    <x v="5"/>
    <n v="7"/>
  </r>
  <r>
    <x v="59"/>
    <x v="10"/>
    <x v="7"/>
    <n v="150"/>
  </r>
  <r>
    <x v="59"/>
    <x v="10"/>
    <x v="24"/>
    <n v="796"/>
  </r>
  <r>
    <x v="59"/>
    <x v="10"/>
    <x v="8"/>
    <n v="7"/>
  </r>
  <r>
    <x v="59"/>
    <x v="10"/>
    <x v="9"/>
    <n v="69"/>
  </r>
  <r>
    <x v="59"/>
    <x v="10"/>
    <x v="3"/>
    <n v="212"/>
  </r>
  <r>
    <x v="59"/>
    <x v="10"/>
    <x v="4"/>
    <n v="7"/>
  </r>
  <r>
    <x v="32"/>
    <x v="9"/>
    <x v="0"/>
    <n v="35"/>
  </r>
  <r>
    <x v="32"/>
    <x v="9"/>
    <x v="7"/>
    <n v="2"/>
  </r>
  <r>
    <x v="32"/>
    <x v="9"/>
    <x v="24"/>
    <n v="15"/>
  </r>
  <r>
    <x v="32"/>
    <x v="10"/>
    <x v="0"/>
    <n v="35"/>
  </r>
  <r>
    <x v="32"/>
    <x v="10"/>
    <x v="7"/>
    <n v="2"/>
  </r>
  <r>
    <x v="32"/>
    <x v="10"/>
    <x v="24"/>
    <n v="15"/>
  </r>
  <r>
    <x v="60"/>
    <x v="9"/>
    <x v="0"/>
    <n v="111"/>
  </r>
  <r>
    <x v="60"/>
    <x v="9"/>
    <x v="7"/>
    <n v="6"/>
  </r>
  <r>
    <x v="60"/>
    <x v="9"/>
    <x v="24"/>
    <n v="40"/>
  </r>
  <r>
    <x v="60"/>
    <x v="9"/>
    <x v="8"/>
    <n v="1"/>
  </r>
  <r>
    <x v="60"/>
    <x v="9"/>
    <x v="9"/>
    <n v="10"/>
  </r>
  <r>
    <x v="60"/>
    <x v="9"/>
    <x v="3"/>
    <n v="21"/>
  </r>
  <r>
    <x v="60"/>
    <x v="10"/>
    <x v="0"/>
    <n v="110"/>
  </r>
  <r>
    <x v="60"/>
    <x v="10"/>
    <x v="7"/>
    <n v="6"/>
  </r>
  <r>
    <x v="60"/>
    <x v="10"/>
    <x v="24"/>
    <n v="37"/>
  </r>
  <r>
    <x v="60"/>
    <x v="10"/>
    <x v="8"/>
    <n v="1"/>
  </r>
  <r>
    <x v="60"/>
    <x v="10"/>
    <x v="9"/>
    <n v="10"/>
  </r>
  <r>
    <x v="60"/>
    <x v="10"/>
    <x v="3"/>
    <n v="25"/>
  </r>
  <r>
    <x v="28"/>
    <x v="9"/>
    <x v="0"/>
    <n v="304"/>
  </r>
  <r>
    <x v="28"/>
    <x v="9"/>
    <x v="7"/>
    <n v="49"/>
  </r>
  <r>
    <x v="28"/>
    <x v="9"/>
    <x v="24"/>
    <n v="48"/>
  </r>
  <r>
    <x v="28"/>
    <x v="9"/>
    <x v="8"/>
    <n v="1"/>
  </r>
  <r>
    <x v="28"/>
    <x v="9"/>
    <x v="3"/>
    <n v="27"/>
  </r>
  <r>
    <x v="28"/>
    <x v="9"/>
    <x v="4"/>
    <n v="1"/>
  </r>
  <r>
    <x v="28"/>
    <x v="10"/>
    <x v="0"/>
    <n v="279"/>
  </r>
  <r>
    <x v="28"/>
    <x v="10"/>
    <x v="7"/>
    <n v="50"/>
  </r>
  <r>
    <x v="28"/>
    <x v="10"/>
    <x v="24"/>
    <n v="48"/>
  </r>
  <r>
    <x v="28"/>
    <x v="10"/>
    <x v="8"/>
    <n v="1"/>
  </r>
  <r>
    <x v="28"/>
    <x v="10"/>
    <x v="3"/>
    <n v="51"/>
  </r>
  <r>
    <x v="28"/>
    <x v="10"/>
    <x v="4"/>
    <n v="1"/>
  </r>
  <r>
    <x v="51"/>
    <x v="9"/>
    <x v="0"/>
    <n v="277"/>
  </r>
  <r>
    <x v="51"/>
    <x v="9"/>
    <x v="6"/>
    <n v="2"/>
  </r>
  <r>
    <x v="51"/>
    <x v="9"/>
    <x v="5"/>
    <n v="1"/>
  </r>
  <r>
    <x v="51"/>
    <x v="9"/>
    <x v="7"/>
    <n v="9"/>
  </r>
  <r>
    <x v="51"/>
    <x v="9"/>
    <x v="24"/>
    <n v="181"/>
  </r>
  <r>
    <x v="51"/>
    <x v="9"/>
    <x v="8"/>
    <n v="2"/>
  </r>
  <r>
    <x v="51"/>
    <x v="9"/>
    <x v="9"/>
    <n v="2"/>
  </r>
  <r>
    <x v="51"/>
    <x v="9"/>
    <x v="3"/>
    <n v="71"/>
  </r>
  <r>
    <x v="51"/>
    <x v="9"/>
    <x v="4"/>
    <n v="1"/>
  </r>
  <r>
    <x v="51"/>
    <x v="10"/>
    <x v="0"/>
    <n v="275"/>
  </r>
  <r>
    <x v="51"/>
    <x v="10"/>
    <x v="6"/>
    <n v="2"/>
  </r>
  <r>
    <x v="51"/>
    <x v="10"/>
    <x v="5"/>
    <n v="1"/>
  </r>
  <r>
    <x v="51"/>
    <x v="10"/>
    <x v="7"/>
    <n v="17"/>
  </r>
  <r>
    <x v="51"/>
    <x v="10"/>
    <x v="24"/>
    <n v="190"/>
  </r>
  <r>
    <x v="51"/>
    <x v="10"/>
    <x v="8"/>
    <n v="2"/>
  </r>
  <r>
    <x v="51"/>
    <x v="10"/>
    <x v="9"/>
    <n v="2"/>
  </r>
  <r>
    <x v="51"/>
    <x v="10"/>
    <x v="3"/>
    <n v="56"/>
  </r>
  <r>
    <x v="51"/>
    <x v="10"/>
    <x v="4"/>
    <n v="1"/>
  </r>
  <r>
    <x v="78"/>
    <x v="9"/>
    <x v="0"/>
    <n v="224"/>
  </r>
  <r>
    <x v="78"/>
    <x v="9"/>
    <x v="6"/>
    <n v="1"/>
  </r>
  <r>
    <x v="78"/>
    <x v="9"/>
    <x v="7"/>
    <n v="1"/>
  </r>
  <r>
    <x v="78"/>
    <x v="9"/>
    <x v="24"/>
    <n v="175"/>
  </r>
  <r>
    <x v="78"/>
    <x v="9"/>
    <x v="9"/>
    <n v="3"/>
  </r>
  <r>
    <x v="78"/>
    <x v="9"/>
    <x v="3"/>
    <n v="9"/>
  </r>
  <r>
    <x v="78"/>
    <x v="9"/>
    <x v="4"/>
    <n v="2"/>
  </r>
  <r>
    <x v="78"/>
    <x v="10"/>
    <x v="0"/>
    <n v="210"/>
  </r>
  <r>
    <x v="78"/>
    <x v="10"/>
    <x v="6"/>
    <n v="1"/>
  </r>
  <r>
    <x v="78"/>
    <x v="10"/>
    <x v="7"/>
    <n v="1"/>
  </r>
  <r>
    <x v="78"/>
    <x v="10"/>
    <x v="24"/>
    <n v="179"/>
  </r>
  <r>
    <x v="78"/>
    <x v="10"/>
    <x v="9"/>
    <n v="3"/>
  </r>
  <r>
    <x v="78"/>
    <x v="10"/>
    <x v="3"/>
    <n v="19"/>
  </r>
  <r>
    <x v="78"/>
    <x v="10"/>
    <x v="4"/>
    <n v="2"/>
  </r>
  <r>
    <x v="54"/>
    <x v="9"/>
    <x v="0"/>
    <n v="1366"/>
  </r>
  <r>
    <x v="54"/>
    <x v="9"/>
    <x v="6"/>
    <n v="3"/>
  </r>
  <r>
    <x v="54"/>
    <x v="9"/>
    <x v="5"/>
    <n v="7"/>
  </r>
  <r>
    <x v="54"/>
    <x v="9"/>
    <x v="7"/>
    <n v="132"/>
  </r>
  <r>
    <x v="54"/>
    <x v="9"/>
    <x v="24"/>
    <n v="1006"/>
  </r>
  <r>
    <x v="54"/>
    <x v="9"/>
    <x v="8"/>
    <n v="13"/>
  </r>
  <r>
    <x v="54"/>
    <x v="9"/>
    <x v="9"/>
    <n v="60"/>
  </r>
  <r>
    <x v="54"/>
    <x v="9"/>
    <x v="3"/>
    <n v="175"/>
  </r>
  <r>
    <x v="54"/>
    <x v="9"/>
    <x v="4"/>
    <n v="33"/>
  </r>
  <r>
    <x v="54"/>
    <x v="10"/>
    <x v="0"/>
    <n v="1277"/>
  </r>
  <r>
    <x v="54"/>
    <x v="10"/>
    <x v="6"/>
    <n v="2"/>
  </r>
  <r>
    <x v="54"/>
    <x v="10"/>
    <x v="5"/>
    <n v="8"/>
  </r>
  <r>
    <x v="54"/>
    <x v="10"/>
    <x v="7"/>
    <n v="133"/>
  </r>
  <r>
    <x v="54"/>
    <x v="10"/>
    <x v="24"/>
    <n v="1010"/>
  </r>
  <r>
    <x v="54"/>
    <x v="10"/>
    <x v="8"/>
    <n v="16"/>
  </r>
  <r>
    <x v="54"/>
    <x v="10"/>
    <x v="9"/>
    <n v="64"/>
  </r>
  <r>
    <x v="54"/>
    <x v="10"/>
    <x v="3"/>
    <n v="252"/>
  </r>
  <r>
    <x v="54"/>
    <x v="10"/>
    <x v="4"/>
    <n v="33"/>
  </r>
  <r>
    <x v="61"/>
    <x v="9"/>
    <x v="0"/>
    <n v="223"/>
  </r>
  <r>
    <x v="61"/>
    <x v="9"/>
    <x v="7"/>
    <n v="5"/>
  </r>
  <r>
    <x v="61"/>
    <x v="9"/>
    <x v="24"/>
    <n v="81"/>
  </r>
  <r>
    <x v="61"/>
    <x v="9"/>
    <x v="9"/>
    <n v="4"/>
  </r>
  <r>
    <x v="61"/>
    <x v="9"/>
    <x v="3"/>
    <n v="66"/>
  </r>
  <r>
    <x v="61"/>
    <x v="9"/>
    <x v="4"/>
    <n v="2"/>
  </r>
  <r>
    <x v="61"/>
    <x v="10"/>
    <x v="0"/>
    <n v="218"/>
  </r>
  <r>
    <x v="61"/>
    <x v="10"/>
    <x v="7"/>
    <n v="5"/>
  </r>
  <r>
    <x v="61"/>
    <x v="10"/>
    <x v="24"/>
    <n v="68"/>
  </r>
  <r>
    <x v="61"/>
    <x v="10"/>
    <x v="9"/>
    <n v="17"/>
  </r>
  <r>
    <x v="61"/>
    <x v="10"/>
    <x v="3"/>
    <n v="71"/>
  </r>
  <r>
    <x v="61"/>
    <x v="10"/>
    <x v="4"/>
    <n v="2"/>
  </r>
  <r>
    <x v="62"/>
    <x v="9"/>
    <x v="0"/>
    <n v="1379"/>
  </r>
  <r>
    <x v="62"/>
    <x v="9"/>
    <x v="6"/>
    <n v="10"/>
  </r>
  <r>
    <x v="62"/>
    <x v="9"/>
    <x v="5"/>
    <n v="10"/>
  </r>
  <r>
    <x v="62"/>
    <x v="9"/>
    <x v="7"/>
    <n v="41"/>
  </r>
  <r>
    <x v="62"/>
    <x v="9"/>
    <x v="24"/>
    <n v="956"/>
  </r>
  <r>
    <x v="62"/>
    <x v="9"/>
    <x v="8"/>
    <n v="4"/>
  </r>
  <r>
    <x v="62"/>
    <x v="9"/>
    <x v="9"/>
    <n v="72"/>
  </r>
  <r>
    <x v="62"/>
    <x v="9"/>
    <x v="3"/>
    <n v="155"/>
  </r>
  <r>
    <x v="62"/>
    <x v="9"/>
    <x v="4"/>
    <n v="33"/>
  </r>
  <r>
    <x v="62"/>
    <x v="10"/>
    <x v="0"/>
    <n v="1280"/>
  </r>
  <r>
    <x v="62"/>
    <x v="10"/>
    <x v="6"/>
    <n v="10"/>
  </r>
  <r>
    <x v="62"/>
    <x v="10"/>
    <x v="5"/>
    <n v="13"/>
  </r>
  <r>
    <x v="62"/>
    <x v="10"/>
    <x v="7"/>
    <n v="45"/>
  </r>
  <r>
    <x v="62"/>
    <x v="10"/>
    <x v="24"/>
    <n v="968"/>
  </r>
  <r>
    <x v="62"/>
    <x v="10"/>
    <x v="8"/>
    <n v="4"/>
  </r>
  <r>
    <x v="62"/>
    <x v="10"/>
    <x v="9"/>
    <n v="69"/>
  </r>
  <r>
    <x v="62"/>
    <x v="10"/>
    <x v="3"/>
    <n v="236"/>
  </r>
  <r>
    <x v="62"/>
    <x v="10"/>
    <x v="4"/>
    <n v="35"/>
  </r>
  <r>
    <x v="69"/>
    <x v="9"/>
    <x v="0"/>
    <n v="2517"/>
  </r>
  <r>
    <x v="69"/>
    <x v="9"/>
    <x v="6"/>
    <n v="15"/>
  </r>
  <r>
    <x v="69"/>
    <x v="9"/>
    <x v="5"/>
    <n v="36"/>
  </r>
  <r>
    <x v="69"/>
    <x v="9"/>
    <x v="7"/>
    <n v="213"/>
  </r>
  <r>
    <x v="69"/>
    <x v="9"/>
    <x v="24"/>
    <n v="1928"/>
  </r>
  <r>
    <x v="69"/>
    <x v="9"/>
    <x v="8"/>
    <n v="9"/>
  </r>
  <r>
    <x v="69"/>
    <x v="9"/>
    <x v="9"/>
    <n v="329"/>
  </r>
  <r>
    <x v="69"/>
    <x v="9"/>
    <x v="3"/>
    <n v="458"/>
  </r>
  <r>
    <x v="69"/>
    <x v="9"/>
    <x v="4"/>
    <n v="39"/>
  </r>
  <r>
    <x v="69"/>
    <x v="10"/>
    <x v="0"/>
    <n v="2406"/>
  </r>
  <r>
    <x v="69"/>
    <x v="10"/>
    <x v="6"/>
    <n v="18"/>
  </r>
  <r>
    <x v="69"/>
    <x v="10"/>
    <x v="5"/>
    <n v="39"/>
  </r>
  <r>
    <x v="69"/>
    <x v="10"/>
    <x v="7"/>
    <n v="224"/>
  </r>
  <r>
    <x v="69"/>
    <x v="10"/>
    <x v="24"/>
    <n v="1922"/>
  </r>
  <r>
    <x v="69"/>
    <x v="10"/>
    <x v="8"/>
    <n v="11"/>
  </r>
  <r>
    <x v="69"/>
    <x v="10"/>
    <x v="9"/>
    <n v="332"/>
  </r>
  <r>
    <x v="69"/>
    <x v="10"/>
    <x v="3"/>
    <n v="552"/>
  </r>
  <r>
    <x v="69"/>
    <x v="10"/>
    <x v="4"/>
    <n v="40"/>
  </r>
  <r>
    <x v="55"/>
    <x v="9"/>
    <x v="0"/>
    <n v="31"/>
  </r>
  <r>
    <x v="55"/>
    <x v="9"/>
    <x v="7"/>
    <n v="2"/>
  </r>
  <r>
    <x v="55"/>
    <x v="9"/>
    <x v="24"/>
    <n v="52"/>
  </r>
  <r>
    <x v="55"/>
    <x v="9"/>
    <x v="8"/>
    <n v="1"/>
  </r>
  <r>
    <x v="55"/>
    <x v="9"/>
    <x v="3"/>
    <n v="12"/>
  </r>
  <r>
    <x v="55"/>
    <x v="9"/>
    <x v="4"/>
    <n v="1"/>
  </r>
  <r>
    <x v="55"/>
    <x v="10"/>
    <x v="0"/>
    <n v="31"/>
  </r>
  <r>
    <x v="55"/>
    <x v="10"/>
    <x v="7"/>
    <n v="2"/>
  </r>
  <r>
    <x v="55"/>
    <x v="10"/>
    <x v="24"/>
    <n v="52"/>
  </r>
  <r>
    <x v="55"/>
    <x v="10"/>
    <x v="8"/>
    <n v="1"/>
  </r>
  <r>
    <x v="55"/>
    <x v="10"/>
    <x v="3"/>
    <n v="12"/>
  </r>
  <r>
    <x v="55"/>
    <x v="10"/>
    <x v="4"/>
    <n v="1"/>
  </r>
  <r>
    <x v="3"/>
    <x v="9"/>
    <x v="0"/>
    <n v="369"/>
  </r>
  <r>
    <x v="3"/>
    <x v="9"/>
    <x v="6"/>
    <n v="1"/>
  </r>
  <r>
    <x v="3"/>
    <x v="9"/>
    <x v="5"/>
    <n v="3"/>
  </r>
  <r>
    <x v="3"/>
    <x v="9"/>
    <x v="7"/>
    <n v="8"/>
  </r>
  <r>
    <x v="3"/>
    <x v="9"/>
    <x v="24"/>
    <n v="147"/>
  </r>
  <r>
    <x v="3"/>
    <x v="9"/>
    <x v="9"/>
    <n v="3"/>
  </r>
  <r>
    <x v="3"/>
    <x v="9"/>
    <x v="3"/>
    <n v="38"/>
  </r>
  <r>
    <x v="3"/>
    <x v="9"/>
    <x v="4"/>
    <n v="9"/>
  </r>
  <r>
    <x v="3"/>
    <x v="10"/>
    <x v="0"/>
    <n v="334"/>
  </r>
  <r>
    <x v="3"/>
    <x v="10"/>
    <x v="6"/>
    <n v="1"/>
  </r>
  <r>
    <x v="3"/>
    <x v="10"/>
    <x v="5"/>
    <n v="3"/>
  </r>
  <r>
    <x v="3"/>
    <x v="10"/>
    <x v="7"/>
    <n v="8"/>
  </r>
  <r>
    <x v="3"/>
    <x v="10"/>
    <x v="24"/>
    <n v="151"/>
  </r>
  <r>
    <x v="3"/>
    <x v="10"/>
    <x v="9"/>
    <n v="3"/>
  </r>
  <r>
    <x v="3"/>
    <x v="10"/>
    <x v="3"/>
    <n v="69"/>
  </r>
  <r>
    <x v="3"/>
    <x v="10"/>
    <x v="4"/>
    <n v="9"/>
  </r>
  <r>
    <x v="25"/>
    <x v="9"/>
    <x v="0"/>
    <n v="138"/>
  </r>
  <r>
    <x v="25"/>
    <x v="9"/>
    <x v="7"/>
    <n v="11"/>
  </r>
  <r>
    <x v="25"/>
    <x v="9"/>
    <x v="24"/>
    <n v="30"/>
  </r>
  <r>
    <x v="25"/>
    <x v="9"/>
    <x v="8"/>
    <n v="3"/>
  </r>
  <r>
    <x v="25"/>
    <x v="9"/>
    <x v="9"/>
    <n v="5"/>
  </r>
  <r>
    <x v="25"/>
    <x v="9"/>
    <x v="3"/>
    <n v="22"/>
  </r>
  <r>
    <x v="25"/>
    <x v="10"/>
    <x v="0"/>
    <n v="134"/>
  </r>
  <r>
    <x v="25"/>
    <x v="10"/>
    <x v="7"/>
    <n v="11"/>
  </r>
  <r>
    <x v="25"/>
    <x v="10"/>
    <x v="24"/>
    <n v="30"/>
  </r>
  <r>
    <x v="25"/>
    <x v="10"/>
    <x v="8"/>
    <n v="3"/>
  </r>
  <r>
    <x v="25"/>
    <x v="10"/>
    <x v="9"/>
    <n v="5"/>
  </r>
  <r>
    <x v="25"/>
    <x v="10"/>
    <x v="3"/>
    <n v="26"/>
  </r>
  <r>
    <x v="12"/>
    <x v="9"/>
    <x v="0"/>
    <n v="1259"/>
  </r>
  <r>
    <x v="12"/>
    <x v="9"/>
    <x v="6"/>
    <n v="3"/>
  </r>
  <r>
    <x v="12"/>
    <x v="9"/>
    <x v="5"/>
    <n v="5"/>
  </r>
  <r>
    <x v="12"/>
    <x v="9"/>
    <x v="7"/>
    <n v="96"/>
  </r>
  <r>
    <x v="12"/>
    <x v="9"/>
    <x v="24"/>
    <n v="297"/>
  </r>
  <r>
    <x v="12"/>
    <x v="9"/>
    <x v="8"/>
    <n v="15"/>
  </r>
  <r>
    <x v="12"/>
    <x v="9"/>
    <x v="9"/>
    <n v="46"/>
  </r>
  <r>
    <x v="12"/>
    <x v="9"/>
    <x v="3"/>
    <n v="319"/>
  </r>
  <r>
    <x v="12"/>
    <x v="9"/>
    <x v="4"/>
    <n v="13"/>
  </r>
  <r>
    <x v="12"/>
    <x v="10"/>
    <x v="0"/>
    <n v="1195"/>
  </r>
  <r>
    <x v="12"/>
    <x v="10"/>
    <x v="6"/>
    <n v="4"/>
  </r>
  <r>
    <x v="12"/>
    <x v="10"/>
    <x v="5"/>
    <n v="6"/>
  </r>
  <r>
    <x v="12"/>
    <x v="10"/>
    <x v="7"/>
    <n v="101"/>
  </r>
  <r>
    <x v="12"/>
    <x v="10"/>
    <x v="24"/>
    <n v="285"/>
  </r>
  <r>
    <x v="12"/>
    <x v="10"/>
    <x v="8"/>
    <n v="14"/>
  </r>
  <r>
    <x v="12"/>
    <x v="10"/>
    <x v="9"/>
    <n v="46"/>
  </r>
  <r>
    <x v="12"/>
    <x v="10"/>
    <x v="3"/>
    <n v="387"/>
  </r>
  <r>
    <x v="12"/>
    <x v="10"/>
    <x v="4"/>
    <n v="15"/>
  </r>
  <r>
    <x v="6"/>
    <x v="9"/>
    <x v="0"/>
    <n v="20864"/>
  </r>
  <r>
    <x v="6"/>
    <x v="9"/>
    <x v="6"/>
    <n v="438"/>
  </r>
  <r>
    <x v="6"/>
    <x v="9"/>
    <x v="5"/>
    <n v="1005"/>
  </r>
  <r>
    <x v="6"/>
    <x v="9"/>
    <x v="7"/>
    <n v="5484"/>
  </r>
  <r>
    <x v="6"/>
    <x v="9"/>
    <x v="24"/>
    <n v="27246"/>
  </r>
  <r>
    <x v="6"/>
    <x v="9"/>
    <x v="8"/>
    <n v="942"/>
  </r>
  <r>
    <x v="6"/>
    <x v="9"/>
    <x v="9"/>
    <n v="5497"/>
  </r>
  <r>
    <x v="6"/>
    <x v="9"/>
    <x v="3"/>
    <n v="7836"/>
  </r>
  <r>
    <x v="6"/>
    <x v="9"/>
    <x v="4"/>
    <n v="739"/>
  </r>
  <r>
    <x v="6"/>
    <x v="10"/>
    <x v="0"/>
    <n v="19490"/>
  </r>
  <r>
    <x v="6"/>
    <x v="10"/>
    <x v="6"/>
    <n v="529"/>
  </r>
  <r>
    <x v="6"/>
    <x v="10"/>
    <x v="5"/>
    <n v="1107"/>
  </r>
  <r>
    <x v="6"/>
    <x v="10"/>
    <x v="7"/>
    <n v="5563"/>
  </r>
  <r>
    <x v="6"/>
    <x v="10"/>
    <x v="24"/>
    <n v="26399"/>
  </r>
  <r>
    <x v="6"/>
    <x v="10"/>
    <x v="8"/>
    <n v="945"/>
  </r>
  <r>
    <x v="6"/>
    <x v="10"/>
    <x v="9"/>
    <n v="5507"/>
  </r>
  <r>
    <x v="6"/>
    <x v="10"/>
    <x v="3"/>
    <n v="9800"/>
  </r>
  <r>
    <x v="6"/>
    <x v="10"/>
    <x v="4"/>
    <n v="711"/>
  </r>
  <r>
    <x v="33"/>
    <x v="9"/>
    <x v="0"/>
    <n v="159"/>
  </r>
  <r>
    <x v="33"/>
    <x v="9"/>
    <x v="5"/>
    <n v="1"/>
  </r>
  <r>
    <x v="33"/>
    <x v="9"/>
    <x v="7"/>
    <n v="6"/>
  </r>
  <r>
    <x v="33"/>
    <x v="9"/>
    <x v="24"/>
    <n v="219"/>
  </r>
  <r>
    <x v="33"/>
    <x v="9"/>
    <x v="9"/>
    <n v="18"/>
  </r>
  <r>
    <x v="33"/>
    <x v="9"/>
    <x v="3"/>
    <n v="15"/>
  </r>
  <r>
    <x v="33"/>
    <x v="9"/>
    <x v="4"/>
    <n v="3"/>
  </r>
  <r>
    <x v="33"/>
    <x v="10"/>
    <x v="0"/>
    <n v="125"/>
  </r>
  <r>
    <x v="33"/>
    <x v="10"/>
    <x v="5"/>
    <n v="1"/>
  </r>
  <r>
    <x v="33"/>
    <x v="10"/>
    <x v="7"/>
    <n v="6"/>
  </r>
  <r>
    <x v="33"/>
    <x v="10"/>
    <x v="24"/>
    <n v="223"/>
  </r>
  <r>
    <x v="33"/>
    <x v="10"/>
    <x v="9"/>
    <n v="33"/>
  </r>
  <r>
    <x v="33"/>
    <x v="10"/>
    <x v="3"/>
    <n v="31"/>
  </r>
  <r>
    <x v="33"/>
    <x v="10"/>
    <x v="4"/>
    <n v="2"/>
  </r>
  <r>
    <x v="14"/>
    <x v="9"/>
    <x v="0"/>
    <n v="49"/>
  </r>
  <r>
    <x v="14"/>
    <x v="9"/>
    <x v="7"/>
    <n v="2"/>
  </r>
  <r>
    <x v="14"/>
    <x v="9"/>
    <x v="24"/>
    <n v="62"/>
  </r>
  <r>
    <x v="14"/>
    <x v="9"/>
    <x v="9"/>
    <n v="1"/>
  </r>
  <r>
    <x v="14"/>
    <x v="9"/>
    <x v="3"/>
    <n v="11"/>
  </r>
  <r>
    <x v="14"/>
    <x v="10"/>
    <x v="0"/>
    <n v="49"/>
  </r>
  <r>
    <x v="14"/>
    <x v="10"/>
    <x v="6"/>
    <n v="3"/>
  </r>
  <r>
    <x v="14"/>
    <x v="10"/>
    <x v="7"/>
    <n v="2"/>
  </r>
  <r>
    <x v="14"/>
    <x v="10"/>
    <x v="24"/>
    <n v="63"/>
  </r>
  <r>
    <x v="14"/>
    <x v="10"/>
    <x v="9"/>
    <n v="1"/>
  </r>
  <r>
    <x v="14"/>
    <x v="10"/>
    <x v="3"/>
    <n v="7"/>
  </r>
  <r>
    <x v="49"/>
    <x v="9"/>
    <x v="0"/>
    <n v="238"/>
  </r>
  <r>
    <x v="49"/>
    <x v="9"/>
    <x v="5"/>
    <n v="2"/>
  </r>
  <r>
    <x v="49"/>
    <x v="9"/>
    <x v="7"/>
    <n v="13"/>
  </r>
  <r>
    <x v="49"/>
    <x v="9"/>
    <x v="24"/>
    <n v="84"/>
  </r>
  <r>
    <x v="49"/>
    <x v="9"/>
    <x v="9"/>
    <n v="4"/>
  </r>
  <r>
    <x v="49"/>
    <x v="9"/>
    <x v="3"/>
    <n v="27"/>
  </r>
  <r>
    <x v="49"/>
    <x v="9"/>
    <x v="4"/>
    <n v="10"/>
  </r>
  <r>
    <x v="49"/>
    <x v="10"/>
    <x v="0"/>
    <n v="239"/>
  </r>
  <r>
    <x v="49"/>
    <x v="10"/>
    <x v="5"/>
    <n v="2"/>
  </r>
  <r>
    <x v="49"/>
    <x v="10"/>
    <x v="7"/>
    <n v="11"/>
  </r>
  <r>
    <x v="49"/>
    <x v="10"/>
    <x v="24"/>
    <n v="79"/>
  </r>
  <r>
    <x v="49"/>
    <x v="10"/>
    <x v="9"/>
    <n v="4"/>
  </r>
  <r>
    <x v="49"/>
    <x v="10"/>
    <x v="3"/>
    <n v="33"/>
  </r>
  <r>
    <x v="49"/>
    <x v="10"/>
    <x v="4"/>
    <n v="10"/>
  </r>
  <r>
    <x v="41"/>
    <x v="9"/>
    <x v="0"/>
    <n v="669"/>
  </r>
  <r>
    <x v="41"/>
    <x v="9"/>
    <x v="6"/>
    <n v="3"/>
  </r>
  <r>
    <x v="41"/>
    <x v="9"/>
    <x v="5"/>
    <n v="2"/>
  </r>
  <r>
    <x v="41"/>
    <x v="9"/>
    <x v="7"/>
    <n v="7"/>
  </r>
  <r>
    <x v="41"/>
    <x v="9"/>
    <x v="24"/>
    <n v="294"/>
  </r>
  <r>
    <x v="41"/>
    <x v="9"/>
    <x v="9"/>
    <n v="15"/>
  </r>
  <r>
    <x v="41"/>
    <x v="9"/>
    <x v="3"/>
    <n v="52"/>
  </r>
  <r>
    <x v="41"/>
    <x v="9"/>
    <x v="4"/>
    <n v="5"/>
  </r>
  <r>
    <x v="41"/>
    <x v="10"/>
    <x v="0"/>
    <n v="632"/>
  </r>
  <r>
    <x v="41"/>
    <x v="10"/>
    <x v="6"/>
    <n v="3"/>
  </r>
  <r>
    <x v="41"/>
    <x v="10"/>
    <x v="5"/>
    <n v="2"/>
  </r>
  <r>
    <x v="41"/>
    <x v="10"/>
    <x v="7"/>
    <n v="7"/>
  </r>
  <r>
    <x v="41"/>
    <x v="10"/>
    <x v="24"/>
    <n v="291"/>
  </r>
  <r>
    <x v="41"/>
    <x v="10"/>
    <x v="9"/>
    <n v="15"/>
  </r>
  <r>
    <x v="41"/>
    <x v="10"/>
    <x v="3"/>
    <n v="93"/>
  </r>
  <r>
    <x v="41"/>
    <x v="10"/>
    <x v="4"/>
    <n v="4"/>
  </r>
  <r>
    <x v="70"/>
    <x v="9"/>
    <x v="0"/>
    <n v="3486"/>
  </r>
  <r>
    <x v="70"/>
    <x v="9"/>
    <x v="6"/>
    <n v="45"/>
  </r>
  <r>
    <x v="70"/>
    <x v="9"/>
    <x v="5"/>
    <n v="101"/>
  </r>
  <r>
    <x v="70"/>
    <x v="9"/>
    <x v="7"/>
    <n v="692"/>
  </r>
  <r>
    <x v="70"/>
    <x v="9"/>
    <x v="24"/>
    <n v="2889"/>
  </r>
  <r>
    <x v="70"/>
    <x v="9"/>
    <x v="8"/>
    <n v="53"/>
  </r>
  <r>
    <x v="70"/>
    <x v="9"/>
    <x v="9"/>
    <n v="507"/>
  </r>
  <r>
    <x v="70"/>
    <x v="9"/>
    <x v="3"/>
    <n v="915"/>
  </r>
  <r>
    <x v="70"/>
    <x v="9"/>
    <x v="4"/>
    <n v="62"/>
  </r>
  <r>
    <x v="70"/>
    <x v="10"/>
    <x v="0"/>
    <n v="3368"/>
  </r>
  <r>
    <x v="70"/>
    <x v="10"/>
    <x v="6"/>
    <n v="51"/>
  </r>
  <r>
    <x v="70"/>
    <x v="10"/>
    <x v="5"/>
    <n v="114"/>
  </r>
  <r>
    <x v="70"/>
    <x v="10"/>
    <x v="7"/>
    <n v="704"/>
  </r>
  <r>
    <x v="70"/>
    <x v="10"/>
    <x v="24"/>
    <n v="2703"/>
  </r>
  <r>
    <x v="70"/>
    <x v="10"/>
    <x v="8"/>
    <n v="53"/>
  </r>
  <r>
    <x v="70"/>
    <x v="10"/>
    <x v="9"/>
    <n v="510"/>
  </r>
  <r>
    <x v="70"/>
    <x v="10"/>
    <x v="3"/>
    <n v="1185"/>
  </r>
  <r>
    <x v="70"/>
    <x v="10"/>
    <x v="4"/>
    <n v="62"/>
  </r>
  <r>
    <x v="73"/>
    <x v="9"/>
    <x v="0"/>
    <n v="1407"/>
  </r>
  <r>
    <x v="73"/>
    <x v="9"/>
    <x v="6"/>
    <n v="10"/>
  </r>
  <r>
    <x v="73"/>
    <x v="9"/>
    <x v="5"/>
    <n v="7"/>
  </r>
  <r>
    <x v="73"/>
    <x v="9"/>
    <x v="7"/>
    <n v="66"/>
  </r>
  <r>
    <x v="73"/>
    <x v="9"/>
    <x v="24"/>
    <n v="781"/>
  </r>
  <r>
    <x v="73"/>
    <x v="9"/>
    <x v="8"/>
    <n v="6"/>
  </r>
  <r>
    <x v="73"/>
    <x v="9"/>
    <x v="9"/>
    <n v="142"/>
  </r>
  <r>
    <x v="73"/>
    <x v="9"/>
    <x v="3"/>
    <n v="209"/>
  </r>
  <r>
    <x v="73"/>
    <x v="9"/>
    <x v="4"/>
    <n v="19"/>
  </r>
  <r>
    <x v="73"/>
    <x v="10"/>
    <x v="0"/>
    <n v="1373"/>
  </r>
  <r>
    <x v="73"/>
    <x v="10"/>
    <x v="6"/>
    <n v="10"/>
  </r>
  <r>
    <x v="73"/>
    <x v="10"/>
    <x v="5"/>
    <n v="10"/>
  </r>
  <r>
    <x v="73"/>
    <x v="10"/>
    <x v="7"/>
    <n v="81"/>
  </r>
  <r>
    <x v="73"/>
    <x v="10"/>
    <x v="24"/>
    <n v="776"/>
  </r>
  <r>
    <x v="73"/>
    <x v="10"/>
    <x v="8"/>
    <n v="7"/>
  </r>
  <r>
    <x v="73"/>
    <x v="10"/>
    <x v="9"/>
    <n v="136"/>
  </r>
  <r>
    <x v="73"/>
    <x v="10"/>
    <x v="3"/>
    <n v="234"/>
  </r>
  <r>
    <x v="73"/>
    <x v="10"/>
    <x v="4"/>
    <n v="20"/>
  </r>
  <r>
    <x v="79"/>
    <x v="9"/>
    <x v="0"/>
    <n v="72"/>
  </r>
  <r>
    <x v="79"/>
    <x v="9"/>
    <x v="7"/>
    <n v="1"/>
  </r>
  <r>
    <x v="79"/>
    <x v="9"/>
    <x v="24"/>
    <n v="44"/>
  </r>
  <r>
    <x v="79"/>
    <x v="9"/>
    <x v="3"/>
    <n v="6"/>
  </r>
  <r>
    <x v="79"/>
    <x v="10"/>
    <x v="0"/>
    <n v="71"/>
  </r>
  <r>
    <x v="79"/>
    <x v="10"/>
    <x v="7"/>
    <n v="1"/>
  </r>
  <r>
    <x v="79"/>
    <x v="10"/>
    <x v="24"/>
    <n v="44"/>
  </r>
  <r>
    <x v="79"/>
    <x v="10"/>
    <x v="3"/>
    <n v="7"/>
  </r>
  <r>
    <x v="10"/>
    <x v="9"/>
    <x v="0"/>
    <n v="509"/>
  </r>
  <r>
    <x v="10"/>
    <x v="9"/>
    <x v="6"/>
    <n v="1"/>
  </r>
  <r>
    <x v="10"/>
    <x v="9"/>
    <x v="5"/>
    <n v="3"/>
  </r>
  <r>
    <x v="10"/>
    <x v="9"/>
    <x v="7"/>
    <n v="22"/>
  </r>
  <r>
    <x v="10"/>
    <x v="9"/>
    <x v="24"/>
    <n v="211"/>
  </r>
  <r>
    <x v="10"/>
    <x v="9"/>
    <x v="8"/>
    <n v="4"/>
  </r>
  <r>
    <x v="10"/>
    <x v="9"/>
    <x v="9"/>
    <n v="12"/>
  </r>
  <r>
    <x v="10"/>
    <x v="9"/>
    <x v="3"/>
    <n v="50"/>
  </r>
  <r>
    <x v="10"/>
    <x v="9"/>
    <x v="4"/>
    <n v="13"/>
  </r>
  <r>
    <x v="10"/>
    <x v="10"/>
    <x v="0"/>
    <n v="496"/>
  </r>
  <r>
    <x v="10"/>
    <x v="10"/>
    <x v="6"/>
    <n v="2"/>
  </r>
  <r>
    <x v="10"/>
    <x v="10"/>
    <x v="5"/>
    <n v="4"/>
  </r>
  <r>
    <x v="10"/>
    <x v="10"/>
    <x v="7"/>
    <n v="22"/>
  </r>
  <r>
    <x v="10"/>
    <x v="10"/>
    <x v="24"/>
    <n v="201"/>
  </r>
  <r>
    <x v="10"/>
    <x v="10"/>
    <x v="8"/>
    <n v="5"/>
  </r>
  <r>
    <x v="10"/>
    <x v="10"/>
    <x v="9"/>
    <n v="11"/>
  </r>
  <r>
    <x v="10"/>
    <x v="10"/>
    <x v="3"/>
    <n v="71"/>
  </r>
  <r>
    <x v="10"/>
    <x v="10"/>
    <x v="4"/>
    <n v="13"/>
  </r>
  <r>
    <x v="50"/>
    <x v="9"/>
    <x v="0"/>
    <n v="2877"/>
  </r>
  <r>
    <x v="50"/>
    <x v="9"/>
    <x v="6"/>
    <n v="19"/>
  </r>
  <r>
    <x v="50"/>
    <x v="9"/>
    <x v="5"/>
    <n v="34"/>
  </r>
  <r>
    <x v="50"/>
    <x v="9"/>
    <x v="7"/>
    <n v="303"/>
  </r>
  <r>
    <x v="50"/>
    <x v="9"/>
    <x v="24"/>
    <n v="939"/>
  </r>
  <r>
    <x v="50"/>
    <x v="9"/>
    <x v="8"/>
    <n v="10"/>
  </r>
  <r>
    <x v="50"/>
    <x v="9"/>
    <x v="9"/>
    <n v="175"/>
  </r>
  <r>
    <x v="50"/>
    <x v="9"/>
    <x v="3"/>
    <n v="1497"/>
  </r>
  <r>
    <x v="50"/>
    <x v="9"/>
    <x v="4"/>
    <n v="60"/>
  </r>
  <r>
    <x v="50"/>
    <x v="10"/>
    <x v="0"/>
    <n v="2401"/>
  </r>
  <r>
    <x v="50"/>
    <x v="10"/>
    <x v="6"/>
    <n v="17"/>
  </r>
  <r>
    <x v="50"/>
    <x v="10"/>
    <x v="5"/>
    <n v="65"/>
  </r>
  <r>
    <x v="50"/>
    <x v="10"/>
    <x v="7"/>
    <n v="294"/>
  </r>
  <r>
    <x v="50"/>
    <x v="10"/>
    <x v="24"/>
    <n v="827"/>
  </r>
  <r>
    <x v="50"/>
    <x v="10"/>
    <x v="8"/>
    <n v="12"/>
  </r>
  <r>
    <x v="50"/>
    <x v="10"/>
    <x v="9"/>
    <n v="192"/>
  </r>
  <r>
    <x v="50"/>
    <x v="10"/>
    <x v="3"/>
    <n v="2043"/>
  </r>
  <r>
    <x v="50"/>
    <x v="10"/>
    <x v="4"/>
    <n v="63"/>
  </r>
  <r>
    <x v="18"/>
    <x v="9"/>
    <x v="0"/>
    <n v="350"/>
  </r>
  <r>
    <x v="18"/>
    <x v="9"/>
    <x v="5"/>
    <n v="26"/>
  </r>
  <r>
    <x v="18"/>
    <x v="9"/>
    <x v="7"/>
    <n v="10"/>
  </r>
  <r>
    <x v="18"/>
    <x v="9"/>
    <x v="24"/>
    <n v="154"/>
  </r>
  <r>
    <x v="18"/>
    <x v="9"/>
    <x v="8"/>
    <n v="5"/>
  </r>
  <r>
    <x v="18"/>
    <x v="9"/>
    <x v="9"/>
    <n v="6"/>
  </r>
  <r>
    <x v="18"/>
    <x v="9"/>
    <x v="3"/>
    <n v="26"/>
  </r>
  <r>
    <x v="18"/>
    <x v="10"/>
    <x v="0"/>
    <n v="339"/>
  </r>
  <r>
    <x v="18"/>
    <x v="10"/>
    <x v="5"/>
    <n v="29"/>
  </r>
  <r>
    <x v="18"/>
    <x v="10"/>
    <x v="7"/>
    <n v="9"/>
  </r>
  <r>
    <x v="18"/>
    <x v="10"/>
    <x v="24"/>
    <n v="155"/>
  </r>
  <r>
    <x v="18"/>
    <x v="10"/>
    <x v="8"/>
    <n v="5"/>
  </r>
  <r>
    <x v="18"/>
    <x v="10"/>
    <x v="9"/>
    <n v="5"/>
  </r>
  <r>
    <x v="18"/>
    <x v="10"/>
    <x v="3"/>
    <n v="35"/>
  </r>
  <r>
    <x v="42"/>
    <x v="9"/>
    <x v="0"/>
    <n v="2836"/>
  </r>
  <r>
    <x v="42"/>
    <x v="9"/>
    <x v="6"/>
    <n v="12"/>
  </r>
  <r>
    <x v="42"/>
    <x v="9"/>
    <x v="5"/>
    <n v="31"/>
  </r>
  <r>
    <x v="42"/>
    <x v="9"/>
    <x v="7"/>
    <n v="89"/>
  </r>
  <r>
    <x v="42"/>
    <x v="9"/>
    <x v="24"/>
    <n v="769"/>
  </r>
  <r>
    <x v="42"/>
    <x v="9"/>
    <x v="8"/>
    <n v="15"/>
  </r>
  <r>
    <x v="42"/>
    <x v="9"/>
    <x v="9"/>
    <n v="246"/>
  </r>
  <r>
    <x v="42"/>
    <x v="9"/>
    <x v="3"/>
    <n v="515"/>
  </r>
  <r>
    <x v="42"/>
    <x v="9"/>
    <x v="4"/>
    <n v="90"/>
  </r>
  <r>
    <x v="42"/>
    <x v="10"/>
    <x v="0"/>
    <n v="2541"/>
  </r>
  <r>
    <x v="42"/>
    <x v="10"/>
    <x v="6"/>
    <n v="11"/>
  </r>
  <r>
    <x v="42"/>
    <x v="10"/>
    <x v="5"/>
    <n v="28"/>
  </r>
  <r>
    <x v="42"/>
    <x v="10"/>
    <x v="7"/>
    <n v="89"/>
  </r>
  <r>
    <x v="42"/>
    <x v="10"/>
    <x v="24"/>
    <n v="787"/>
  </r>
  <r>
    <x v="42"/>
    <x v="10"/>
    <x v="8"/>
    <n v="15"/>
  </r>
  <r>
    <x v="42"/>
    <x v="10"/>
    <x v="9"/>
    <n v="222"/>
  </r>
  <r>
    <x v="42"/>
    <x v="10"/>
    <x v="3"/>
    <n v="802"/>
  </r>
  <r>
    <x v="42"/>
    <x v="10"/>
    <x v="4"/>
    <n v="108"/>
  </r>
  <r>
    <x v="56"/>
    <x v="9"/>
    <x v="0"/>
    <n v="261"/>
  </r>
  <r>
    <x v="56"/>
    <x v="9"/>
    <x v="6"/>
    <n v="3"/>
  </r>
  <r>
    <x v="56"/>
    <x v="9"/>
    <x v="7"/>
    <n v="2"/>
  </r>
  <r>
    <x v="56"/>
    <x v="9"/>
    <x v="24"/>
    <n v="197"/>
  </r>
  <r>
    <x v="56"/>
    <x v="9"/>
    <x v="8"/>
    <n v="6"/>
  </r>
  <r>
    <x v="56"/>
    <x v="9"/>
    <x v="9"/>
    <n v="6"/>
  </r>
  <r>
    <x v="56"/>
    <x v="9"/>
    <x v="3"/>
    <n v="30"/>
  </r>
  <r>
    <x v="56"/>
    <x v="9"/>
    <x v="4"/>
    <n v="7"/>
  </r>
  <r>
    <x v="56"/>
    <x v="10"/>
    <x v="0"/>
    <n v="219"/>
  </r>
  <r>
    <x v="56"/>
    <x v="10"/>
    <x v="6"/>
    <n v="4"/>
  </r>
  <r>
    <x v="56"/>
    <x v="10"/>
    <x v="7"/>
    <n v="2"/>
  </r>
  <r>
    <x v="56"/>
    <x v="10"/>
    <x v="24"/>
    <n v="189"/>
  </r>
  <r>
    <x v="56"/>
    <x v="10"/>
    <x v="8"/>
    <n v="31"/>
  </r>
  <r>
    <x v="56"/>
    <x v="10"/>
    <x v="9"/>
    <n v="7"/>
  </r>
  <r>
    <x v="56"/>
    <x v="10"/>
    <x v="3"/>
    <n v="56"/>
  </r>
  <r>
    <x v="56"/>
    <x v="10"/>
    <x v="4"/>
    <n v="4"/>
  </r>
  <r>
    <x v="26"/>
    <x v="9"/>
    <x v="0"/>
    <n v="1010"/>
  </r>
  <r>
    <x v="26"/>
    <x v="9"/>
    <x v="6"/>
    <n v="6"/>
  </r>
  <r>
    <x v="26"/>
    <x v="9"/>
    <x v="5"/>
    <n v="5"/>
  </r>
  <r>
    <x v="26"/>
    <x v="9"/>
    <x v="7"/>
    <n v="25"/>
  </r>
  <r>
    <x v="26"/>
    <x v="9"/>
    <x v="24"/>
    <n v="857"/>
  </r>
  <r>
    <x v="26"/>
    <x v="9"/>
    <x v="8"/>
    <n v="5"/>
  </r>
  <r>
    <x v="26"/>
    <x v="9"/>
    <x v="9"/>
    <n v="39"/>
  </r>
  <r>
    <x v="26"/>
    <x v="9"/>
    <x v="3"/>
    <n v="172"/>
  </r>
  <r>
    <x v="26"/>
    <x v="9"/>
    <x v="4"/>
    <n v="4"/>
  </r>
  <r>
    <x v="26"/>
    <x v="10"/>
    <x v="0"/>
    <n v="949"/>
  </r>
  <r>
    <x v="26"/>
    <x v="10"/>
    <x v="6"/>
    <n v="7"/>
  </r>
  <r>
    <x v="26"/>
    <x v="10"/>
    <x v="5"/>
    <n v="8"/>
  </r>
  <r>
    <x v="26"/>
    <x v="10"/>
    <x v="7"/>
    <n v="21"/>
  </r>
  <r>
    <x v="26"/>
    <x v="10"/>
    <x v="24"/>
    <n v="846"/>
  </r>
  <r>
    <x v="26"/>
    <x v="10"/>
    <x v="8"/>
    <n v="6"/>
  </r>
  <r>
    <x v="26"/>
    <x v="10"/>
    <x v="9"/>
    <n v="44"/>
  </r>
  <r>
    <x v="26"/>
    <x v="10"/>
    <x v="3"/>
    <n v="238"/>
  </r>
  <r>
    <x v="26"/>
    <x v="1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 dinámica 1" cacheId="39" applyNumberFormats="0" applyBorderFormats="0" applyFontFormats="0" applyPatternFormats="0" applyAlignmentFormats="0" applyWidthHeightFormats="0" dataCaption="" updatedVersion="7" colGrandTotals="0" compact="0" compactData="0">
  <location ref="A5:M98" firstHeaderRow="1" firstDataRow="3" firstDataCol="1"/>
  <pivotFields count="4">
    <pivotField name="Localidad" axis="axisRow" compact="0" outline="0" multipleItemSelectionAllowed="1" showAll="0" sortType="descending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tegoria" axis="axisCol" compact="0" outline="0" multipleItemSelectionAllowed="1" showAll="0" sortType="descending">
      <items count="12">
        <item h="1" x="0"/>
        <item h="1" x="1"/>
        <item h="1" x="2"/>
        <item h="1" x="3"/>
        <item h="1" x="4"/>
        <item h="1" x="5"/>
        <item h="1" x="6"/>
        <item x="7"/>
        <item x="8"/>
        <item h="1" x="9"/>
        <item h="1"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estino" axis="axisCol" compact="0" outline="0" multipleItemSelectionAllowed="1" showAll="0" sortType="descending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ntidad" dataField="1" compact="0" outline="0" multipleItemSelectionAllowed="1" showAll="0"/>
  </pivotFields>
  <rowFields count="1">
    <field x="0"/>
  </rowFields>
  <rowItems count="91">
    <i>
      <x v="6"/>
    </i>
    <i>
      <x v="48"/>
    </i>
    <i>
      <x v="77"/>
    </i>
    <i>
      <x v="70"/>
    </i>
    <i>
      <x v="22"/>
    </i>
    <i>
      <x v="50"/>
    </i>
    <i>
      <x v="17"/>
    </i>
    <i>
      <x v="69"/>
    </i>
    <i>
      <x v="42"/>
    </i>
    <i>
      <x v="1"/>
    </i>
    <i>
      <x v="68"/>
    </i>
    <i>
      <x v="8"/>
    </i>
    <i>
      <x v="31"/>
    </i>
    <i>
      <x v="54"/>
    </i>
    <i>
      <x v="62"/>
    </i>
    <i>
      <x v="73"/>
    </i>
    <i>
      <x v="52"/>
    </i>
    <i>
      <x v="26"/>
    </i>
    <i>
      <x v="36"/>
    </i>
    <i>
      <x v="37"/>
    </i>
    <i>
      <x v="12"/>
    </i>
    <i>
      <x v="2"/>
    </i>
    <i>
      <x v="59"/>
    </i>
    <i>
      <x v="57"/>
    </i>
    <i>
      <x v="29"/>
    </i>
    <i>
      <x v="5"/>
    </i>
    <i>
      <x v="7"/>
    </i>
    <i>
      <x v="34"/>
    </i>
    <i>
      <x v="9"/>
    </i>
    <i>
      <x v="13"/>
    </i>
    <i>
      <x/>
    </i>
    <i>
      <x v="64"/>
    </i>
    <i>
      <x v="58"/>
    </i>
    <i>
      <x v="41"/>
    </i>
    <i>
      <x v="66"/>
    </i>
    <i>
      <x v="71"/>
    </i>
    <i>
      <x v="30"/>
    </i>
    <i>
      <x v="10"/>
    </i>
    <i>
      <x v="20"/>
    </i>
    <i>
      <x v="74"/>
    </i>
    <i>
      <x v="53"/>
    </i>
    <i>
      <x v="40"/>
    </i>
    <i>
      <x v="3"/>
    </i>
    <i>
      <x v="18"/>
    </i>
    <i>
      <x v="16"/>
    </i>
    <i>
      <x v="51"/>
    </i>
    <i>
      <x v="56"/>
    </i>
    <i>
      <x v="24"/>
    </i>
    <i>
      <x v="21"/>
    </i>
    <i>
      <x v="72"/>
    </i>
    <i>
      <x v="28"/>
    </i>
    <i>
      <x v="47"/>
    </i>
    <i>
      <x v="33"/>
    </i>
    <i>
      <x v="78"/>
    </i>
    <i>
      <x v="61"/>
    </i>
    <i>
      <x v="49"/>
    </i>
    <i>
      <x v="35"/>
    </i>
    <i>
      <x v="19"/>
    </i>
    <i>
      <x v="4"/>
    </i>
    <i>
      <x v="23"/>
    </i>
    <i>
      <x v="46"/>
    </i>
    <i>
      <x v="38"/>
    </i>
    <i>
      <x v="75"/>
    </i>
    <i>
      <x v="15"/>
    </i>
    <i>
      <x v="27"/>
    </i>
    <i>
      <x v="63"/>
    </i>
    <i>
      <x v="65"/>
    </i>
    <i>
      <x v="44"/>
    </i>
    <i>
      <x v="76"/>
    </i>
    <i>
      <x v="43"/>
    </i>
    <i>
      <x v="25"/>
    </i>
    <i>
      <x v="60"/>
    </i>
    <i>
      <x v="67"/>
    </i>
    <i>
      <x v="45"/>
    </i>
    <i>
      <x v="90"/>
    </i>
    <i>
      <x v="14"/>
    </i>
    <i>
      <x v="79"/>
    </i>
    <i>
      <x v="39"/>
    </i>
    <i>
      <x v="55"/>
    </i>
    <i>
      <x v="32"/>
    </i>
    <i>
      <x v="88"/>
    </i>
    <i>
      <x v="81"/>
    </i>
    <i>
      <x v="83"/>
    </i>
    <i>
      <x v="82"/>
    </i>
    <i>
      <x v="89"/>
    </i>
    <i>
      <x v="11"/>
    </i>
    <i>
      <x v="86"/>
    </i>
    <i>
      <x v="87"/>
    </i>
    <i>
      <x v="84"/>
    </i>
    <i>
      <x v="85"/>
    </i>
    <i t="grand">
      <x/>
    </i>
  </rowItems>
  <colFields count="2">
    <field x="2"/>
    <field x="1"/>
  </colFields>
  <colItems count="12">
    <i>
      <x v="22"/>
      <x v="7"/>
    </i>
    <i r="1">
      <x v="8"/>
    </i>
    <i>
      <x v="24"/>
      <x v="7"/>
    </i>
    <i r="1">
      <x v="8"/>
    </i>
    <i>
      <x v="3"/>
      <x v="8"/>
    </i>
    <i r="1">
      <x v="7"/>
    </i>
    <i>
      <x v="7"/>
      <x v="7"/>
    </i>
    <i r="1">
      <x v="8"/>
    </i>
    <i>
      <x v="5"/>
      <x v="7"/>
    </i>
    <i r="1">
      <x v="8"/>
    </i>
    <i>
      <x v="4"/>
      <x v="7"/>
    </i>
    <i r="1">
      <x v="8"/>
    </i>
  </colItems>
  <dataFields count="1">
    <dataField name="SUM of Cantidad" fld="3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 2" cacheId="34" applyNumberFormats="0" applyBorderFormats="0" applyFontFormats="0" applyPatternFormats="0" applyAlignmentFormats="0" applyWidthHeightFormats="0" dataCaption="" updatedVersion="7" colGrandTotals="0" compact="0" compactData="0">
  <location ref="A3:H444" firstHeaderRow="1" firstDataRow="4" firstDataCol="2"/>
  <pivotFields count="7">
    <pivotField name="ELECCION" axis="axisCol" compact="0" outline="0" multipleItemSelectionAllowed="1" showAll="0" sortType="ascending" defaultSubtotal="0">
      <items count="3">
        <item x="2"/>
        <item x="0"/>
        <item sd="0" x="1"/>
      </items>
    </pivotField>
    <pivotField name="CIRCUITO" compact="0" outline="0" multipleItemSelectionAllowed="1" showAll="0"/>
    <pivotField name="LOCALIDAD" axis="axisRow" compact="0" outline="0" multipleItemSelectionAllowed="1" showAll="0" sortType="descending">
      <items count="89">
        <item x="0"/>
        <item x="1"/>
        <item x="2"/>
        <item x="3"/>
        <item x="4"/>
        <item x="5"/>
        <item sd="0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TEGORIA" axis="axisCol" compact="0" outline="0" multipleItemSelectionAllowed="1" showAll="0" sortType="ascending">
      <items count="7">
        <item x="0"/>
        <item h="1" x="2"/>
        <item x="3"/>
        <item x="1"/>
        <item h="1" x="4"/>
        <item h="1" x="5"/>
        <item t="default"/>
      </items>
    </pivotField>
    <pivotField name="DESTINO" compact="0" outline="0" multipleItemSelectionAllowed="1" showAll="0"/>
    <pivotField name="DESTINO " axis="axisRow" compact="0" outline="0" multipleItemSelectionAllowed="1" showAll="0" sortType="ascending">
      <items count="6">
        <item x="4"/>
        <item x="0"/>
        <item x="2"/>
        <item x="1"/>
        <item x="3"/>
        <item t="default"/>
      </items>
    </pivotField>
    <pivotField name="VOTOS" dataField="1" compact="0" outline="0" multipleItemSelectionAllowed="1" showAll="0"/>
  </pivotFields>
  <rowFields count="2">
    <field x="2"/>
    <field x="5"/>
  </rowFields>
  <rowItems count="438">
    <i>
      <x v="6"/>
    </i>
    <i>
      <x v="49"/>
      <x v="1"/>
    </i>
    <i r="1">
      <x v="2"/>
    </i>
    <i r="1">
      <x v="3"/>
    </i>
    <i r="1">
      <x v="4"/>
    </i>
    <i t="default">
      <x v="49"/>
    </i>
    <i>
      <x v="77"/>
      <x v="1"/>
    </i>
    <i r="1">
      <x v="2"/>
    </i>
    <i r="1">
      <x v="3"/>
    </i>
    <i r="1">
      <x v="4"/>
    </i>
    <i t="default">
      <x v="77"/>
    </i>
    <i>
      <x v="84"/>
      <x v="1"/>
    </i>
    <i r="1">
      <x v="2"/>
    </i>
    <i r="1">
      <x v="3"/>
    </i>
    <i r="1">
      <x v="4"/>
    </i>
    <i t="default">
      <x v="84"/>
    </i>
    <i>
      <x v="23"/>
      <x v="1"/>
    </i>
    <i r="1">
      <x v="2"/>
    </i>
    <i r="1">
      <x v="3"/>
    </i>
    <i r="1">
      <x v="4"/>
    </i>
    <i t="default">
      <x v="23"/>
    </i>
    <i>
      <x v="52"/>
      <x v="1"/>
    </i>
    <i r="1">
      <x v="2"/>
    </i>
    <i r="1">
      <x v="3"/>
    </i>
    <i r="1">
      <x v="4"/>
    </i>
    <i t="default">
      <x v="52"/>
    </i>
    <i>
      <x v="18"/>
      <x v="1"/>
    </i>
    <i r="1">
      <x v="2"/>
    </i>
    <i r="1">
      <x v="3"/>
    </i>
    <i r="1">
      <x v="4"/>
    </i>
    <i t="default">
      <x v="18"/>
    </i>
    <i>
      <x v="73"/>
      <x v="1"/>
    </i>
    <i r="1">
      <x v="2"/>
    </i>
    <i r="1">
      <x v="3"/>
    </i>
    <i r="1">
      <x v="4"/>
    </i>
    <i t="default">
      <x v="73"/>
    </i>
    <i>
      <x v="43"/>
      <x/>
    </i>
    <i r="1">
      <x v="1"/>
    </i>
    <i r="1">
      <x v="2"/>
    </i>
    <i r="1">
      <x v="3"/>
    </i>
    <i r="1">
      <x v="4"/>
    </i>
    <i t="default">
      <x v="43"/>
    </i>
    <i>
      <x v="1"/>
      <x v="1"/>
    </i>
    <i r="1">
      <x v="2"/>
    </i>
    <i r="1">
      <x v="3"/>
    </i>
    <i r="1">
      <x v="4"/>
    </i>
    <i t="default">
      <x v="1"/>
    </i>
    <i>
      <x v="72"/>
      <x v="1"/>
    </i>
    <i r="1">
      <x v="2"/>
    </i>
    <i r="1">
      <x v="3"/>
    </i>
    <i r="1">
      <x v="4"/>
    </i>
    <i t="default">
      <x v="72"/>
    </i>
    <i>
      <x v="8"/>
      <x v="1"/>
    </i>
    <i r="1">
      <x v="2"/>
    </i>
    <i r="1">
      <x v="3"/>
    </i>
    <i r="1">
      <x v="4"/>
    </i>
    <i t="default">
      <x v="8"/>
    </i>
    <i>
      <x v="32"/>
      <x v="1"/>
    </i>
    <i r="1">
      <x v="2"/>
    </i>
    <i r="1">
      <x v="3"/>
    </i>
    <i r="1">
      <x v="4"/>
    </i>
    <i t="default">
      <x v="32"/>
    </i>
    <i>
      <x v="56"/>
      <x v="1"/>
    </i>
    <i r="1">
      <x v="2"/>
    </i>
    <i r="1">
      <x v="3"/>
    </i>
    <i r="1">
      <x v="4"/>
    </i>
    <i t="default">
      <x v="56"/>
    </i>
    <i>
      <x v="80"/>
      <x v="1"/>
    </i>
    <i r="1">
      <x v="2"/>
    </i>
    <i r="1">
      <x v="3"/>
    </i>
    <i r="1">
      <x v="4"/>
    </i>
    <i t="default">
      <x v="80"/>
    </i>
    <i>
      <x v="66"/>
      <x v="1"/>
    </i>
    <i r="1">
      <x v="2"/>
    </i>
    <i r="1">
      <x v="3"/>
    </i>
    <i r="1">
      <x v="4"/>
    </i>
    <i t="default">
      <x v="66"/>
    </i>
    <i>
      <x v="37"/>
      <x v="1"/>
    </i>
    <i r="1">
      <x v="2"/>
    </i>
    <i r="1">
      <x v="3"/>
    </i>
    <i r="1">
      <x v="4"/>
    </i>
    <i t="default">
      <x v="37"/>
    </i>
    <i>
      <x v="27"/>
      <x v="1"/>
    </i>
    <i r="1">
      <x v="2"/>
    </i>
    <i r="1">
      <x v="3"/>
    </i>
    <i r="1">
      <x v="4"/>
    </i>
    <i t="default">
      <x v="27"/>
    </i>
    <i>
      <x v="54"/>
      <x v="1"/>
    </i>
    <i r="1">
      <x v="2"/>
    </i>
    <i r="1">
      <x v="3"/>
    </i>
    <i r="1">
      <x v="4"/>
    </i>
    <i t="default">
      <x v="54"/>
    </i>
    <i>
      <x v="13"/>
      <x v="1"/>
    </i>
    <i r="1">
      <x v="2"/>
    </i>
    <i r="1">
      <x v="3"/>
    </i>
    <i r="1">
      <x v="4"/>
    </i>
    <i t="default">
      <x v="13"/>
    </i>
    <i>
      <x v="38"/>
      <x v="1"/>
    </i>
    <i r="1">
      <x v="2"/>
    </i>
    <i r="1">
      <x v="3"/>
    </i>
    <i r="1">
      <x v="4"/>
    </i>
    <i t="default">
      <x v="38"/>
    </i>
    <i>
      <x v="2"/>
      <x v="1"/>
    </i>
    <i r="1">
      <x v="2"/>
    </i>
    <i r="1">
      <x v="3"/>
    </i>
    <i r="1">
      <x v="4"/>
    </i>
    <i t="default">
      <x v="2"/>
    </i>
    <i>
      <x v="63"/>
      <x v="1"/>
    </i>
    <i r="1">
      <x v="2"/>
    </i>
    <i r="1">
      <x v="3"/>
    </i>
    <i r="1">
      <x v="4"/>
    </i>
    <i t="default">
      <x v="63"/>
    </i>
    <i>
      <x v="30"/>
      <x v="1"/>
    </i>
    <i r="1">
      <x v="2"/>
    </i>
    <i r="1">
      <x v="3"/>
    </i>
    <i r="1">
      <x v="4"/>
    </i>
    <i t="default">
      <x v="30"/>
    </i>
    <i>
      <x v="60"/>
      <x v="1"/>
    </i>
    <i r="1">
      <x v="2"/>
    </i>
    <i r="1">
      <x v="3"/>
    </i>
    <i r="1">
      <x v="4"/>
    </i>
    <i t="default">
      <x v="60"/>
    </i>
    <i>
      <x v="7"/>
      <x v="1"/>
    </i>
    <i r="1">
      <x v="2"/>
    </i>
    <i r="1">
      <x v="3"/>
    </i>
    <i r="1">
      <x v="4"/>
    </i>
    <i t="default">
      <x v="7"/>
    </i>
    <i>
      <x v="5"/>
      <x v="1"/>
    </i>
    <i r="1">
      <x v="2"/>
    </i>
    <i r="1">
      <x v="3"/>
    </i>
    <i r="1">
      <x v="4"/>
    </i>
    <i t="default">
      <x v="5"/>
    </i>
    <i>
      <x v="10"/>
      <x v="1"/>
    </i>
    <i r="1">
      <x v="2"/>
    </i>
    <i r="1">
      <x v="3"/>
    </i>
    <i r="1">
      <x v="4"/>
    </i>
    <i t="default">
      <x v="10"/>
    </i>
    <i>
      <x v="35"/>
      <x v="1"/>
    </i>
    <i r="1">
      <x v="2"/>
    </i>
    <i r="1">
      <x v="3"/>
    </i>
    <i r="1">
      <x v="4"/>
    </i>
    <i t="default">
      <x v="35"/>
    </i>
    <i>
      <x v="14"/>
      <x v="1"/>
    </i>
    <i r="1">
      <x v="2"/>
    </i>
    <i r="1">
      <x v="3"/>
    </i>
    <i r="1">
      <x v="4"/>
    </i>
    <i t="default">
      <x v="14"/>
    </i>
    <i>
      <x/>
      <x v="1"/>
    </i>
    <i r="1">
      <x v="2"/>
    </i>
    <i r="1">
      <x v="3"/>
    </i>
    <i r="1">
      <x v="4"/>
    </i>
    <i t="default">
      <x/>
    </i>
    <i>
      <x v="68"/>
      <x v="1"/>
    </i>
    <i r="1">
      <x v="2"/>
    </i>
    <i r="1">
      <x v="3"/>
    </i>
    <i r="1">
      <x v="4"/>
    </i>
    <i t="default">
      <x v="68"/>
    </i>
    <i>
      <x v="42"/>
      <x v="1"/>
    </i>
    <i r="1">
      <x v="2"/>
    </i>
    <i r="1">
      <x v="3"/>
    </i>
    <i r="1">
      <x v="4"/>
    </i>
    <i t="default">
      <x v="42"/>
    </i>
    <i>
      <x v="70"/>
      <x v="1"/>
    </i>
    <i r="1">
      <x v="2"/>
    </i>
    <i r="1">
      <x v="3"/>
    </i>
    <i r="1">
      <x v="4"/>
    </i>
    <i t="default">
      <x v="70"/>
    </i>
    <i>
      <x v="62"/>
      <x v="1"/>
    </i>
    <i r="1">
      <x v="2"/>
    </i>
    <i r="1">
      <x v="3"/>
    </i>
    <i r="1">
      <x v="4"/>
    </i>
    <i t="default">
      <x v="62"/>
    </i>
    <i>
      <x v="31"/>
      <x v="1"/>
    </i>
    <i r="1">
      <x v="2"/>
    </i>
    <i r="1">
      <x v="3"/>
    </i>
    <i r="1">
      <x v="4"/>
    </i>
    <i t="default">
      <x v="31"/>
    </i>
    <i>
      <x v="78"/>
      <x v="1"/>
    </i>
    <i r="1">
      <x v="2"/>
    </i>
    <i r="1">
      <x v="3"/>
    </i>
    <i r="1">
      <x v="4"/>
    </i>
    <i t="default">
      <x v="78"/>
    </i>
    <i>
      <x v="11"/>
      <x v="1"/>
    </i>
    <i r="1">
      <x v="2"/>
    </i>
    <i r="1">
      <x v="3"/>
    </i>
    <i r="1">
      <x v="4"/>
    </i>
    <i t="default">
      <x v="11"/>
    </i>
    <i>
      <x v="21"/>
      <x v="1"/>
    </i>
    <i r="1">
      <x v="2"/>
    </i>
    <i r="1">
      <x v="3"/>
    </i>
    <i r="1">
      <x v="4"/>
    </i>
    <i t="default">
      <x v="21"/>
    </i>
    <i>
      <x v="81"/>
      <x v="1"/>
    </i>
    <i r="1">
      <x v="2"/>
    </i>
    <i r="1">
      <x v="3"/>
    </i>
    <i r="1">
      <x v="4"/>
    </i>
    <i t="default">
      <x v="81"/>
    </i>
    <i>
      <x v="55"/>
      <x v="1"/>
    </i>
    <i r="1">
      <x v="2"/>
    </i>
    <i r="1">
      <x v="3"/>
    </i>
    <i r="1">
      <x v="4"/>
    </i>
    <i t="default">
      <x v="55"/>
    </i>
    <i>
      <x v="3"/>
      <x v="1"/>
    </i>
    <i r="1">
      <x v="2"/>
    </i>
    <i r="1">
      <x v="3"/>
    </i>
    <i r="1">
      <x v="4"/>
    </i>
    <i t="default">
      <x v="3"/>
    </i>
    <i>
      <x v="19"/>
      <x v="1"/>
    </i>
    <i r="1">
      <x v="2"/>
    </i>
    <i r="1">
      <x v="3"/>
    </i>
    <i r="1">
      <x v="4"/>
    </i>
    <i t="default">
      <x v="19"/>
    </i>
    <i>
      <x v="41"/>
      <x v="1"/>
    </i>
    <i r="1">
      <x v="2"/>
    </i>
    <i r="1">
      <x v="3"/>
    </i>
    <i r="1">
      <x v="4"/>
    </i>
    <i t="default">
      <x v="41"/>
    </i>
    <i>
      <x v="17"/>
      <x v="1"/>
    </i>
    <i r="1">
      <x v="2"/>
    </i>
    <i r="1">
      <x v="3"/>
    </i>
    <i r="1">
      <x v="4"/>
    </i>
    <i t="default">
      <x v="17"/>
    </i>
    <i>
      <x v="59"/>
      <x v="1"/>
    </i>
    <i r="1">
      <x v="2"/>
    </i>
    <i r="1">
      <x v="3"/>
    </i>
    <i r="1">
      <x v="4"/>
    </i>
    <i t="default">
      <x v="59"/>
    </i>
    <i>
      <x v="53"/>
      <x v="1"/>
    </i>
    <i r="1">
      <x v="2"/>
    </i>
    <i r="1">
      <x v="3"/>
    </i>
    <i r="1">
      <x v="4"/>
    </i>
    <i t="default">
      <x v="53"/>
    </i>
    <i>
      <x v="48"/>
      <x v="1"/>
    </i>
    <i r="1">
      <x v="2"/>
    </i>
    <i r="1">
      <x v="3"/>
    </i>
    <i r="1">
      <x v="4"/>
    </i>
    <i t="default">
      <x v="48"/>
    </i>
    <i>
      <x v="25"/>
      <x v="1"/>
    </i>
    <i r="1">
      <x v="2"/>
    </i>
    <i r="1">
      <x v="3"/>
    </i>
    <i r="1">
      <x v="4"/>
    </i>
    <i t="default">
      <x v="25"/>
    </i>
    <i>
      <x v="79"/>
      <x v="1"/>
    </i>
    <i r="1">
      <x v="2"/>
    </i>
    <i r="1">
      <x v="3"/>
    </i>
    <i r="1">
      <x v="4"/>
    </i>
    <i t="default">
      <x v="79"/>
    </i>
    <i>
      <x v="85"/>
      <x v="1"/>
    </i>
    <i r="1">
      <x v="2"/>
    </i>
    <i r="1">
      <x v="3"/>
    </i>
    <i r="1">
      <x v="4"/>
    </i>
    <i t="default">
      <x v="85"/>
    </i>
    <i>
      <x v="22"/>
      <x v="1"/>
    </i>
    <i r="1">
      <x v="2"/>
    </i>
    <i r="1">
      <x v="3"/>
    </i>
    <i r="1">
      <x v="4"/>
    </i>
    <i t="default">
      <x v="22"/>
    </i>
    <i>
      <x v="36"/>
      <x v="1"/>
    </i>
    <i r="1">
      <x v="2"/>
    </i>
    <i r="1">
      <x v="3"/>
    </i>
    <i r="1">
      <x v="4"/>
    </i>
    <i t="default">
      <x v="36"/>
    </i>
    <i>
      <x v="29"/>
      <x v="1"/>
    </i>
    <i r="1">
      <x v="2"/>
    </i>
    <i r="1">
      <x v="3"/>
    </i>
    <i r="1">
      <x v="4"/>
    </i>
    <i t="default">
      <x v="29"/>
    </i>
    <i>
      <x v="34"/>
      <x v="1"/>
    </i>
    <i r="1">
      <x v="2"/>
    </i>
    <i r="1">
      <x v="3"/>
    </i>
    <i r="1">
      <x v="4"/>
    </i>
    <i t="default">
      <x v="34"/>
    </i>
    <i>
      <x v="20"/>
      <x v="1"/>
    </i>
    <i r="1">
      <x v="2"/>
    </i>
    <i r="1">
      <x v="3"/>
    </i>
    <i r="1">
      <x v="4"/>
    </i>
    <i t="default">
      <x v="20"/>
    </i>
    <i>
      <x v="4"/>
      <x v="1"/>
    </i>
    <i r="1">
      <x v="2"/>
    </i>
    <i r="1">
      <x v="3"/>
    </i>
    <i r="1">
      <x v="4"/>
    </i>
    <i t="default">
      <x v="4"/>
    </i>
    <i>
      <x v="24"/>
      <x v="1"/>
    </i>
    <i r="1">
      <x v="2"/>
    </i>
    <i r="1">
      <x v="3"/>
    </i>
    <i r="1">
      <x v="4"/>
    </i>
    <i t="default">
      <x v="24"/>
    </i>
    <i>
      <x v="50"/>
      <x v="1"/>
    </i>
    <i r="1">
      <x v="2"/>
    </i>
    <i r="1">
      <x v="3"/>
    </i>
    <i r="1">
      <x v="4"/>
    </i>
    <i t="default">
      <x v="50"/>
    </i>
    <i>
      <x v="39"/>
      <x v="1"/>
    </i>
    <i r="1">
      <x v="2"/>
    </i>
    <i r="1">
      <x v="3"/>
    </i>
    <i r="1">
      <x v="4"/>
    </i>
    <i t="default">
      <x v="39"/>
    </i>
    <i>
      <x v="16"/>
      <x v="1"/>
    </i>
    <i r="1">
      <x v="2"/>
    </i>
    <i r="1">
      <x v="3"/>
    </i>
    <i r="1">
      <x v="4"/>
    </i>
    <i t="default">
      <x v="16"/>
    </i>
    <i>
      <x v="28"/>
      <x v="1"/>
    </i>
    <i r="1">
      <x v="2"/>
    </i>
    <i r="1">
      <x v="3"/>
    </i>
    <i r="1">
      <x v="4"/>
    </i>
    <i t="default">
      <x v="28"/>
    </i>
    <i>
      <x v="65"/>
      <x v="1"/>
    </i>
    <i r="1">
      <x v="2"/>
    </i>
    <i r="1">
      <x v="3"/>
    </i>
    <i r="1">
      <x v="4"/>
    </i>
    <i t="default">
      <x v="65"/>
    </i>
    <i>
      <x v="82"/>
      <x v="1"/>
    </i>
    <i r="1">
      <x v="2"/>
    </i>
    <i r="1">
      <x v="3"/>
    </i>
    <i r="1">
      <x v="4"/>
    </i>
    <i t="default">
      <x v="82"/>
    </i>
    <i>
      <x v="47"/>
      <x v="1"/>
    </i>
    <i r="1">
      <x v="2"/>
    </i>
    <i r="1">
      <x v="3"/>
    </i>
    <i r="1">
      <x v="4"/>
    </i>
    <i t="default">
      <x v="47"/>
    </i>
    <i>
      <x v="67"/>
      <x v="1"/>
    </i>
    <i r="1">
      <x v="2"/>
    </i>
    <i r="1">
      <x v="3"/>
    </i>
    <i r="1">
      <x v="4"/>
    </i>
    <i t="default">
      <x v="67"/>
    </i>
    <i>
      <x v="69"/>
      <x v="1"/>
    </i>
    <i r="1">
      <x v="2"/>
    </i>
    <i r="1">
      <x v="3"/>
    </i>
    <i r="1">
      <x v="4"/>
    </i>
    <i t="default">
      <x v="69"/>
    </i>
    <i>
      <x v="64"/>
      <x v="1"/>
    </i>
    <i r="1">
      <x v="2"/>
    </i>
    <i r="1">
      <x v="3"/>
    </i>
    <i r="1">
      <x v="4"/>
    </i>
    <i t="default">
      <x v="64"/>
    </i>
    <i>
      <x v="83"/>
      <x v="1"/>
    </i>
    <i r="1">
      <x v="2"/>
    </i>
    <i r="1">
      <x v="3"/>
    </i>
    <i r="1">
      <x v="4"/>
    </i>
    <i t="default">
      <x v="83"/>
    </i>
    <i>
      <x v="45"/>
      <x v="1"/>
    </i>
    <i r="1">
      <x v="2"/>
    </i>
    <i r="1">
      <x v="3"/>
    </i>
    <i r="1">
      <x v="4"/>
    </i>
    <i t="default">
      <x v="45"/>
    </i>
    <i>
      <x v="26"/>
      <x v="1"/>
    </i>
    <i r="1">
      <x v="2"/>
    </i>
    <i r="1">
      <x v="3"/>
    </i>
    <i r="1">
      <x v="4"/>
    </i>
    <i t="default">
      <x v="26"/>
    </i>
    <i>
      <x v="44"/>
      <x v="1"/>
    </i>
    <i r="1">
      <x v="2"/>
    </i>
    <i r="1">
      <x v="3"/>
    </i>
    <i r="1">
      <x v="4"/>
    </i>
    <i t="default">
      <x v="44"/>
    </i>
    <i>
      <x v="71"/>
      <x v="1"/>
    </i>
    <i r="1">
      <x v="2"/>
    </i>
    <i r="1">
      <x v="3"/>
    </i>
    <i r="1">
      <x v="4"/>
    </i>
    <i t="default">
      <x v="71"/>
    </i>
    <i>
      <x v="15"/>
      <x v="1"/>
    </i>
    <i r="1">
      <x v="2"/>
    </i>
    <i r="1">
      <x v="3"/>
    </i>
    <i r="1">
      <x v="4"/>
    </i>
    <i t="default">
      <x v="15"/>
    </i>
    <i>
      <x v="46"/>
      <x v="1"/>
    </i>
    <i r="1">
      <x v="2"/>
    </i>
    <i r="1">
      <x v="3"/>
    </i>
    <i r="1">
      <x v="4"/>
    </i>
    <i t="default">
      <x v="46"/>
    </i>
    <i>
      <x v="57"/>
      <x v="1"/>
    </i>
    <i r="1">
      <x v="2"/>
    </i>
    <i r="1">
      <x v="3"/>
    </i>
    <i r="1">
      <x v="4"/>
    </i>
    <i t="default">
      <x v="57"/>
    </i>
    <i>
      <x v="86"/>
      <x v="1"/>
    </i>
    <i r="1">
      <x v="2"/>
    </i>
    <i r="1">
      <x v="3"/>
    </i>
    <i r="1">
      <x v="4"/>
    </i>
    <i t="default">
      <x v="86"/>
    </i>
    <i>
      <x v="40"/>
      <x v="1"/>
    </i>
    <i r="1">
      <x v="2"/>
    </i>
    <i r="1">
      <x v="3"/>
    </i>
    <i r="1">
      <x v="4"/>
    </i>
    <i t="default">
      <x v="40"/>
    </i>
    <i>
      <x v="33"/>
      <x v="1"/>
    </i>
    <i r="1">
      <x v="2"/>
    </i>
    <i r="1">
      <x v="3"/>
    </i>
    <i r="1">
      <x v="4"/>
    </i>
    <i t="default">
      <x v="33"/>
    </i>
    <i>
      <x v="9"/>
      <x v="1"/>
    </i>
    <i r="1">
      <x v="2"/>
    </i>
    <i r="1">
      <x v="3"/>
    </i>
    <i r="1">
      <x v="4"/>
    </i>
    <i t="default">
      <x v="9"/>
    </i>
    <i>
      <x v="51"/>
      <x v="1"/>
    </i>
    <i r="1">
      <x v="2"/>
    </i>
    <i r="1">
      <x v="3"/>
    </i>
    <i r="1">
      <x v="4"/>
    </i>
    <i t="default">
      <x v="51"/>
    </i>
    <i>
      <x v="87"/>
      <x v="1"/>
    </i>
    <i r="1">
      <x v="2"/>
    </i>
    <i r="1">
      <x v="3"/>
    </i>
    <i r="1">
      <x v="4"/>
    </i>
    <i t="default">
      <x v="87"/>
    </i>
    <i>
      <x v="58"/>
      <x v="1"/>
    </i>
    <i r="1">
      <x v="2"/>
    </i>
    <i r="1">
      <x v="3"/>
    </i>
    <i r="1">
      <x v="4"/>
    </i>
    <i t="default">
      <x v="58"/>
    </i>
    <i>
      <x v="12"/>
      <x v="1"/>
    </i>
    <i r="1">
      <x v="2"/>
    </i>
    <i r="1">
      <x v="3"/>
    </i>
    <i r="1">
      <x v="4"/>
    </i>
    <i t="default">
      <x v="12"/>
    </i>
    <i>
      <x v="61"/>
      <x v="1"/>
    </i>
    <i r="1">
      <x v="2"/>
    </i>
    <i r="1">
      <x v="3"/>
    </i>
    <i r="1">
      <x v="4"/>
    </i>
    <i t="default">
      <x v="61"/>
    </i>
    <i>
      <x v="75"/>
      <x v="1"/>
    </i>
    <i r="1">
      <x v="2"/>
    </i>
    <i r="1">
      <x v="3"/>
    </i>
    <i r="1">
      <x v="4"/>
    </i>
    <i t="default">
      <x v="75"/>
    </i>
    <i>
      <x v="76"/>
      <x v="1"/>
    </i>
    <i r="1">
      <x v="2"/>
    </i>
    <i r="1">
      <x v="3"/>
    </i>
    <i r="1">
      <x v="4"/>
    </i>
    <i t="default">
      <x v="76"/>
    </i>
    <i>
      <x v="74"/>
      <x v="1"/>
    </i>
    <i r="1">
      <x v="2"/>
    </i>
    <i r="1">
      <x v="3"/>
    </i>
    <i r="1">
      <x v="4"/>
    </i>
    <i t="default">
      <x v="74"/>
    </i>
    <i t="grand">
      <x/>
    </i>
  </rowItems>
  <colFields count="3">
    <field x="0"/>
    <field x="3"/>
    <field x="-2"/>
  </colFields>
  <colItems count="6">
    <i>
      <x/>
      <x/>
      <x/>
    </i>
    <i r="2" i="1">
      <x v="1"/>
    </i>
    <i>
      <x v="1"/>
      <x/>
      <x/>
    </i>
    <i r="2" i="1">
      <x v="1"/>
    </i>
    <i>
      <x v="2"/>
      <x v="1048832"/>
      <x/>
    </i>
    <i r="2" i="1">
      <x v="1"/>
    </i>
  </colItems>
  <dataFields count="2">
    <dataField name="Votos" fld="6" baseField="0"/>
    <dataField name="%" fld="6" baseField="5" baseItem="4294967295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52">
    <format dxfId="151">
      <pivotArea outline="0" fieldPosition="0"/>
    </format>
    <format dxfId="150">
      <pivotArea field="0" type="button" dataOnly="0" labelOnly="1" outline="0" axis="axisCol" fieldPosition="0"/>
    </format>
    <format dxfId="149">
      <pivotArea field="3" type="button" dataOnly="0" labelOnly="1" outline="0" axis="axisCol" fieldPosition="1"/>
    </format>
    <format dxfId="148">
      <pivotArea field="-2" type="button" dataOnly="0" labelOnly="1" outline="0" axis="axisCol" fieldPosition="2"/>
    </format>
    <format dxfId="147">
      <pivotArea type="topRight" dataOnly="0" labelOnly="1" outline="0" fieldPosition="0"/>
    </format>
    <format dxfId="146">
      <pivotArea dataOnly="0" labelOnly="1" outline="0" fieldPosition="0">
        <references count="1">
          <reference field="0" count="0"/>
        </references>
      </pivotArea>
    </format>
    <format dxfId="145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2"/>
          </reference>
          <reference field="3" count="2">
            <x v="2"/>
            <x v="3"/>
          </reference>
        </references>
      </pivotArea>
    </format>
    <format dxfId="143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42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141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40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3"/>
          </reference>
        </references>
      </pivotArea>
    </format>
    <format dxfId="139">
      <pivotArea outline="0" fieldPosition="0"/>
    </format>
    <format dxfId="138">
      <pivotArea field="0" type="button" dataOnly="0" labelOnly="1" outline="0" axis="axisCol" fieldPosition="0"/>
    </format>
    <format dxfId="137">
      <pivotArea field="3" type="button" dataOnly="0" labelOnly="1" outline="0" axis="axisCol" fieldPosition="1"/>
    </format>
    <format dxfId="136">
      <pivotArea field="-2" type="button" dataOnly="0" labelOnly="1" outline="0" axis="axisCol" fieldPosition="2"/>
    </format>
    <format dxfId="135">
      <pivotArea type="topRight" dataOnly="0" labelOnly="1" outline="0" fieldPosition="0"/>
    </format>
    <format dxfId="134">
      <pivotArea dataOnly="0" labelOnly="1" outline="0" fieldPosition="0">
        <references count="1">
          <reference field="0" count="0"/>
        </references>
      </pivotArea>
    </format>
    <format dxfId="133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2"/>
          </reference>
          <reference field="3" count="2">
            <x v="2"/>
            <x v="3"/>
          </reference>
        </references>
      </pivotArea>
    </format>
    <format dxfId="131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30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129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28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3"/>
          </reference>
        </references>
      </pivotArea>
    </format>
    <format dxfId="127">
      <pivotArea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26">
      <pivotArea field="0" type="button" dataOnly="0" labelOnly="1" outline="0" axis="axisCol" fieldPosition="0"/>
    </format>
    <format dxfId="125">
      <pivotArea dataOnly="0" labelOnly="1" outline="0" fieldPosition="0">
        <references count="1">
          <reference field="0" count="1">
            <x v="0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23">
      <pivotArea dataOnly="0" labelOnly="1" outline="0"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22">
      <pivotArea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21">
      <pivotArea field="0" type="button" dataOnly="0" labelOnly="1" outline="0" axis="axisCol" fieldPosition="0"/>
    </format>
    <format dxfId="120">
      <pivotArea dataOnly="0" labelOnly="1" outline="0" fieldPosition="0">
        <references count="1">
          <reference field="0" count="1">
            <x v="0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18">
      <pivotArea dataOnly="0" labelOnly="1" outline="0"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117">
      <pivotArea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116">
      <pivotArea field="-2" type="button" dataOnly="0" labelOnly="1" outline="0" axis="axisCol" fieldPosition="2"/>
    </format>
    <format dxfId="115">
      <pivotArea dataOnly="0" labelOnly="1" outline="0" fieldPosition="0">
        <references count="1">
          <reference field="0" count="1">
            <x v="1"/>
          </reference>
        </references>
      </pivotArea>
    </format>
    <format dxfId="114">
      <pivotArea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3">
      <pivotArea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3"/>
          </reference>
        </references>
      </pivotArea>
    </format>
    <format dxfId="112">
      <pivotArea type="all" dataOnly="0" outline="0" fieldPosition="0"/>
    </format>
    <format dxfId="111">
      <pivotArea outline="0" fieldPosition="0"/>
    </format>
    <format dxfId="110">
      <pivotArea type="origin" dataOnly="0" labelOnly="1" outline="0" fieldPosition="0"/>
    </format>
    <format dxfId="109">
      <pivotArea field="0" type="button" dataOnly="0" labelOnly="1" outline="0" axis="axisCol" fieldPosition="0"/>
    </format>
    <format dxfId="108">
      <pivotArea field="3" type="button" dataOnly="0" labelOnly="1" outline="0" axis="axisCol" fieldPosition="1"/>
    </format>
    <format dxfId="107">
      <pivotArea field="-2" type="button" dataOnly="0" labelOnly="1" outline="0" axis="axisCol" fieldPosition="2"/>
    </format>
    <format dxfId="106">
      <pivotArea type="topRight" dataOnly="0" labelOnly="1" outline="0" fieldPosition="0"/>
    </format>
    <format dxfId="105">
      <pivotArea field="2" type="button" dataOnly="0" labelOnly="1" outline="0" axis="axisRow" fieldPosition="0"/>
    </format>
    <format dxfId="104">
      <pivotArea field="5" type="button" dataOnly="0" labelOnly="1" outline="0" axis="axisRow" fieldPosition="1"/>
    </format>
    <format dxfId="103">
      <pivotArea dataOnly="0" labelOnly="1" outline="0" fieldPosition="0">
        <references count="1">
          <reference field="2" count="25">
            <x v="1"/>
            <x v="2"/>
            <x v="6"/>
            <x v="8"/>
            <x v="13"/>
            <x v="18"/>
            <x v="23"/>
            <x v="27"/>
            <x v="30"/>
            <x v="32"/>
            <x v="37"/>
            <x v="38"/>
            <x v="43"/>
            <x v="49"/>
            <x v="52"/>
            <x v="54"/>
            <x v="56"/>
            <x v="60"/>
            <x v="63"/>
            <x v="66"/>
            <x v="72"/>
            <x v="73"/>
            <x v="77"/>
            <x v="80"/>
            <x v="84"/>
          </reference>
        </references>
      </pivotArea>
    </format>
    <format dxfId="102">
      <pivotArea dataOnly="0" labelOnly="1" outline="0" fieldPosition="0">
        <references count="1">
          <reference field="2" count="25" defaultSubtotal="1">
            <x v="1"/>
            <x v="2"/>
            <x v="6"/>
            <x v="8"/>
            <x v="13"/>
            <x v="18"/>
            <x v="23"/>
            <x v="27"/>
            <x v="30"/>
            <x v="32"/>
            <x v="37"/>
            <x v="38"/>
            <x v="43"/>
            <x v="49"/>
            <x v="52"/>
            <x v="54"/>
            <x v="56"/>
            <x v="60"/>
            <x v="63"/>
            <x v="66"/>
            <x v="72"/>
            <x v="73"/>
            <x v="77"/>
            <x v="80"/>
            <x v="84"/>
          </reference>
        </references>
      </pivotArea>
    </format>
    <format dxfId="101">
      <pivotArea dataOnly="0" labelOnly="1" outline="0" fieldPosition="0">
        <references count="1">
          <reference field="2" count="25">
            <x v="0"/>
            <x v="3"/>
            <x v="5"/>
            <x v="7"/>
            <x v="10"/>
            <x v="11"/>
            <x v="14"/>
            <x v="17"/>
            <x v="19"/>
            <x v="21"/>
            <x v="25"/>
            <x v="31"/>
            <x v="35"/>
            <x v="41"/>
            <x v="42"/>
            <x v="48"/>
            <x v="53"/>
            <x v="55"/>
            <x v="59"/>
            <x v="62"/>
            <x v="68"/>
            <x v="70"/>
            <x v="78"/>
            <x v="79"/>
            <x v="81"/>
          </reference>
        </references>
      </pivotArea>
    </format>
    <format dxfId="100">
      <pivotArea dataOnly="0" labelOnly="1" outline="0" fieldPosition="0">
        <references count="1">
          <reference field="2" count="25" defaultSubtotal="1">
            <x v="0"/>
            <x v="3"/>
            <x v="5"/>
            <x v="7"/>
            <x v="10"/>
            <x v="11"/>
            <x v="14"/>
            <x v="17"/>
            <x v="19"/>
            <x v="21"/>
            <x v="25"/>
            <x v="31"/>
            <x v="35"/>
            <x v="41"/>
            <x v="42"/>
            <x v="48"/>
            <x v="53"/>
            <x v="55"/>
            <x v="59"/>
            <x v="62"/>
            <x v="68"/>
            <x v="70"/>
            <x v="78"/>
            <x v="79"/>
            <x v="81"/>
          </reference>
        </references>
      </pivotArea>
    </format>
    <format dxfId="99">
      <pivotArea dataOnly="0" labelOnly="1" outline="0" fieldPosition="0">
        <references count="1">
          <reference field="2" count="25">
            <x v="4"/>
            <x v="15"/>
            <x v="16"/>
            <x v="20"/>
            <x v="22"/>
            <x v="24"/>
            <x v="26"/>
            <x v="28"/>
            <x v="29"/>
            <x v="34"/>
            <x v="36"/>
            <x v="39"/>
            <x v="44"/>
            <x v="45"/>
            <x v="46"/>
            <x v="47"/>
            <x v="50"/>
            <x v="64"/>
            <x v="65"/>
            <x v="67"/>
            <x v="69"/>
            <x v="71"/>
            <x v="82"/>
            <x v="83"/>
            <x v="85"/>
          </reference>
        </references>
      </pivotArea>
    </format>
    <format dxfId="98">
      <pivotArea dataOnly="0" labelOnly="1" outline="0" fieldPosition="0">
        <references count="1">
          <reference field="2" count="25" defaultSubtotal="1">
            <x v="4"/>
            <x v="15"/>
            <x v="16"/>
            <x v="20"/>
            <x v="22"/>
            <x v="24"/>
            <x v="26"/>
            <x v="28"/>
            <x v="29"/>
            <x v="34"/>
            <x v="36"/>
            <x v="39"/>
            <x v="44"/>
            <x v="45"/>
            <x v="46"/>
            <x v="47"/>
            <x v="50"/>
            <x v="64"/>
            <x v="65"/>
            <x v="67"/>
            <x v="69"/>
            <x v="71"/>
            <x v="82"/>
            <x v="83"/>
            <x v="85"/>
          </reference>
        </references>
      </pivotArea>
    </format>
    <format dxfId="97">
      <pivotArea dataOnly="0" labelOnly="1" outline="0" fieldPosition="0">
        <references count="1">
          <reference field="2" count="13">
            <x v="9"/>
            <x v="12"/>
            <x v="33"/>
            <x v="40"/>
            <x v="51"/>
            <x v="57"/>
            <x v="58"/>
            <x v="61"/>
            <x v="74"/>
            <x v="75"/>
            <x v="76"/>
            <x v="86"/>
            <x v="87"/>
          </reference>
        </references>
      </pivotArea>
    </format>
    <format dxfId="96">
      <pivotArea dataOnly="0" labelOnly="1" outline="0" fieldPosition="0">
        <references count="1">
          <reference field="2" count="13" defaultSubtotal="1">
            <x v="9"/>
            <x v="12"/>
            <x v="33"/>
            <x v="40"/>
            <x v="51"/>
            <x v="57"/>
            <x v="58"/>
            <x v="61"/>
            <x v="74"/>
            <x v="75"/>
            <x v="76"/>
            <x v="86"/>
            <x v="87"/>
          </reference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2">
          <reference field="2" count="1" selected="0">
            <x v="6"/>
          </reference>
          <reference field="5" count="4">
            <x v="1"/>
            <x v="2"/>
            <x v="3"/>
            <x v="4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49"/>
          </reference>
          <reference field="5" count="4">
            <x v="1"/>
            <x v="2"/>
            <x v="3"/>
            <x v="4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77"/>
          </reference>
          <reference field="5" count="4">
            <x v="1"/>
            <x v="2"/>
            <x v="3"/>
            <x v="4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84"/>
          </reference>
          <reference field="5" count="4">
            <x v="1"/>
            <x v="2"/>
            <x v="3"/>
            <x v="4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23"/>
          </reference>
          <reference field="5" count="4">
            <x v="1"/>
            <x v="2"/>
            <x v="3"/>
            <x v="4"/>
          </reference>
        </references>
      </pivotArea>
    </format>
    <format dxfId="89">
      <pivotArea dataOnly="0" labelOnly="1" outline="0" fieldPosition="0">
        <references count="2">
          <reference field="2" count="1" selected="0">
            <x v="52"/>
          </reference>
          <reference field="5" count="4">
            <x v="1"/>
            <x v="2"/>
            <x v="3"/>
            <x v="4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18"/>
          </reference>
          <reference field="5" count="4">
            <x v="1"/>
            <x v="2"/>
            <x v="3"/>
            <x v="4"/>
          </reference>
        </references>
      </pivotArea>
    </format>
    <format dxfId="87">
      <pivotArea dataOnly="0" labelOnly="1" outline="0" fieldPosition="0">
        <references count="2">
          <reference field="2" count="1" selected="0">
            <x v="73"/>
          </reference>
          <reference field="5" count="4">
            <x v="1"/>
            <x v="2"/>
            <x v="3"/>
            <x v="4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43"/>
          </reference>
          <reference field="5" count="0"/>
        </references>
      </pivotArea>
    </format>
    <format dxfId="85">
      <pivotArea dataOnly="0" labelOnly="1" outline="0" fieldPosition="0">
        <references count="2">
          <reference field="2" count="1" selected="0">
            <x v="1"/>
          </reference>
          <reference field="5" count="4">
            <x v="1"/>
            <x v="2"/>
            <x v="3"/>
            <x v="4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72"/>
          </reference>
          <reference field="5" count="4">
            <x v="1"/>
            <x v="2"/>
            <x v="3"/>
            <x v="4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8"/>
          </reference>
          <reference field="5" count="4">
            <x v="1"/>
            <x v="2"/>
            <x v="3"/>
            <x v="4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32"/>
          </reference>
          <reference field="5" count="4">
            <x v="1"/>
            <x v="2"/>
            <x v="3"/>
            <x v="4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56"/>
          </reference>
          <reference field="5" count="4">
            <x v="1"/>
            <x v="2"/>
            <x v="3"/>
            <x v="4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80"/>
          </reference>
          <reference field="5" count="4">
            <x v="1"/>
            <x v="2"/>
            <x v="3"/>
            <x v="4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66"/>
          </reference>
          <reference field="5" count="4">
            <x v="1"/>
            <x v="2"/>
            <x v="3"/>
            <x v="4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37"/>
          </reference>
          <reference field="5" count="4">
            <x v="1"/>
            <x v="2"/>
            <x v="3"/>
            <x v="4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27"/>
          </reference>
          <reference field="5" count="4">
            <x v="1"/>
            <x v="2"/>
            <x v="3"/>
            <x v="4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54"/>
          </reference>
          <reference field="5" count="4">
            <x v="1"/>
            <x v="2"/>
            <x v="3"/>
            <x v="4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13"/>
          </reference>
          <reference field="5" count="4">
            <x v="1"/>
            <x v="2"/>
            <x v="3"/>
            <x v="4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38"/>
          </reference>
          <reference field="5" count="4">
            <x v="1"/>
            <x v="2"/>
            <x v="3"/>
            <x v="4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2"/>
          </reference>
          <reference field="5" count="4">
            <x v="1"/>
            <x v="2"/>
            <x v="3"/>
            <x v="4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63"/>
          </reference>
          <reference field="5" count="4">
            <x v="1"/>
            <x v="2"/>
            <x v="3"/>
            <x v="4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30"/>
          </reference>
          <reference field="5" count="4">
            <x v="1"/>
            <x v="2"/>
            <x v="3"/>
            <x v="4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60"/>
          </reference>
          <reference field="5" count="4"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7"/>
          </reference>
          <reference field="5" count="4">
            <x v="1"/>
            <x v="2"/>
            <x v="3"/>
            <x v="4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5"/>
          </reference>
          <reference field="5" count="4">
            <x v="1"/>
            <x v="2"/>
            <x v="3"/>
            <x v="4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10"/>
          </reference>
          <reference field="5" count="4">
            <x v="1"/>
            <x v="2"/>
            <x v="3"/>
            <x v="4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35"/>
          </reference>
          <reference field="5" count="4">
            <x v="1"/>
            <x v="2"/>
            <x v="3"/>
            <x v="4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14"/>
          </reference>
          <reference field="5" count="4">
            <x v="1"/>
            <x v="2"/>
            <x v="3"/>
            <x v="4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0"/>
          </reference>
          <reference field="5" count="4">
            <x v="1"/>
            <x v="2"/>
            <x v="3"/>
            <x v="4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68"/>
          </reference>
          <reference field="5" count="4">
            <x v="1"/>
            <x v="2"/>
            <x v="3"/>
            <x v="4"/>
          </reference>
        </references>
      </pivotArea>
    </format>
    <format dxfId="62">
      <pivotArea dataOnly="0" labelOnly="1" outline="0" fieldPosition="0">
        <references count="2">
          <reference field="2" count="1" selected="0">
            <x v="42"/>
          </reference>
          <reference field="5" count="4"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70"/>
          </reference>
          <reference field="5" count="4">
            <x v="1"/>
            <x v="2"/>
            <x v="3"/>
            <x v="4"/>
          </reference>
        </references>
      </pivotArea>
    </format>
    <format dxfId="60">
      <pivotArea dataOnly="0" labelOnly="1" outline="0" fieldPosition="0">
        <references count="2">
          <reference field="2" count="1" selected="0">
            <x v="62"/>
          </reference>
          <reference field="5" count="4">
            <x v="1"/>
            <x v="2"/>
            <x v="3"/>
            <x v="4"/>
          </reference>
        </references>
      </pivotArea>
    </format>
    <format dxfId="59">
      <pivotArea dataOnly="0" labelOnly="1" outline="0" fieldPosition="0">
        <references count="2">
          <reference field="2" count="1" selected="0">
            <x v="31"/>
          </reference>
          <reference field="5" count="4">
            <x v="1"/>
            <x v="2"/>
            <x v="3"/>
            <x v="4"/>
          </reference>
        </references>
      </pivotArea>
    </format>
    <format dxfId="58">
      <pivotArea dataOnly="0" labelOnly="1" outline="0" fieldPosition="0">
        <references count="2">
          <reference field="2" count="1" selected="0">
            <x v="78"/>
          </reference>
          <reference field="5" count="4">
            <x v="1"/>
            <x v="2"/>
            <x v="3"/>
            <x v="4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11"/>
          </reference>
          <reference field="5" count="4">
            <x v="1"/>
            <x v="2"/>
            <x v="3"/>
            <x v="4"/>
          </reference>
        </references>
      </pivotArea>
    </format>
    <format dxfId="56">
      <pivotArea dataOnly="0" labelOnly="1" outline="0" fieldPosition="0">
        <references count="2">
          <reference field="2" count="1" selected="0">
            <x v="21"/>
          </reference>
          <reference field="5" count="4">
            <x v="1"/>
            <x v="2"/>
            <x v="3"/>
            <x v="4"/>
          </reference>
        </references>
      </pivotArea>
    </format>
    <format dxfId="55">
      <pivotArea dataOnly="0" labelOnly="1" outline="0" fieldPosition="0">
        <references count="2">
          <reference field="2" count="1" selected="0">
            <x v="81"/>
          </reference>
          <reference field="5" count="4">
            <x v="1"/>
            <x v="2"/>
            <x v="3"/>
            <x v="4"/>
          </reference>
        </references>
      </pivotArea>
    </format>
    <format dxfId="54">
      <pivotArea dataOnly="0" labelOnly="1" outline="0" fieldPosition="0">
        <references count="2">
          <reference field="2" count="1" selected="0">
            <x v="55"/>
          </reference>
          <reference field="5" count="4">
            <x v="1"/>
            <x v="2"/>
            <x v="3"/>
            <x v="4"/>
          </reference>
        </references>
      </pivotArea>
    </format>
    <format dxfId="53">
      <pivotArea dataOnly="0" labelOnly="1" outline="0" fieldPosition="0">
        <references count="2">
          <reference field="2" count="1" selected="0">
            <x v="3"/>
          </reference>
          <reference field="5" count="4">
            <x v="1"/>
            <x v="2"/>
            <x v="3"/>
            <x v="4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9"/>
          </reference>
          <reference field="5" count="4">
            <x v="1"/>
            <x v="2"/>
            <x v="3"/>
            <x v="4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41"/>
          </reference>
          <reference field="5" count="4">
            <x v="1"/>
            <x v="2"/>
            <x v="3"/>
            <x v="4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17"/>
          </reference>
          <reference field="5" count="4"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59"/>
          </reference>
          <reference field="5" count="4">
            <x v="1"/>
            <x v="2"/>
            <x v="3"/>
            <x v="4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53"/>
          </reference>
          <reference field="5" count="4">
            <x v="1"/>
            <x v="2"/>
            <x v="3"/>
            <x v="4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48"/>
          </reference>
          <reference field="5" count="4">
            <x v="1"/>
            <x v="2"/>
            <x v="3"/>
            <x v="4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25"/>
          </reference>
          <reference field="5" count="4">
            <x v="1"/>
            <x v="2"/>
            <x v="3"/>
            <x v="4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79"/>
          </reference>
          <reference field="5" count="4">
            <x v="1"/>
            <x v="2"/>
            <x v="3"/>
            <x v="4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85"/>
          </reference>
          <reference field="5" count="4">
            <x v="1"/>
            <x v="2"/>
            <x v="3"/>
            <x v="4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22"/>
          </reference>
          <reference field="5" count="4">
            <x v="1"/>
            <x v="2"/>
            <x v="3"/>
            <x v="4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36"/>
          </reference>
          <reference field="5" count="4">
            <x v="1"/>
            <x v="2"/>
            <x v="3"/>
            <x v="4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29"/>
          </reference>
          <reference field="5" count="4">
            <x v="1"/>
            <x v="2"/>
            <x v="3"/>
            <x v="4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34"/>
          </reference>
          <reference field="5" count="4">
            <x v="1"/>
            <x v="2"/>
            <x v="3"/>
            <x v="4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20"/>
          </reference>
          <reference field="5" count="4">
            <x v="1"/>
            <x v="2"/>
            <x v="3"/>
            <x v="4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4"/>
          </reference>
          <reference field="5" count="4">
            <x v="1"/>
            <x v="2"/>
            <x v="3"/>
            <x v="4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24"/>
          </reference>
          <reference field="5" count="4">
            <x v="1"/>
            <x v="2"/>
            <x v="3"/>
            <x v="4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50"/>
          </reference>
          <reference field="5" count="4">
            <x v="1"/>
            <x v="2"/>
            <x v="3"/>
            <x v="4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39"/>
          </reference>
          <reference field="5" count="4">
            <x v="1"/>
            <x v="2"/>
            <x v="3"/>
            <x v="4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16"/>
          </reference>
          <reference field="5" count="4">
            <x v="1"/>
            <x v="2"/>
            <x v="3"/>
            <x v="4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28"/>
          </reference>
          <reference field="5" count="4">
            <x v="1"/>
            <x v="2"/>
            <x v="3"/>
            <x v="4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65"/>
          </reference>
          <reference field="5" count="4">
            <x v="1"/>
            <x v="2"/>
            <x v="3"/>
            <x v="4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82"/>
          </reference>
          <reference field="5" count="4">
            <x v="1"/>
            <x v="2"/>
            <x v="3"/>
            <x v="4"/>
          </reference>
        </references>
      </pivotArea>
    </format>
    <format dxfId="30">
      <pivotArea dataOnly="0" labelOnly="1" outline="0" fieldPosition="0">
        <references count="2">
          <reference field="2" count="1" selected="0">
            <x v="47"/>
          </reference>
          <reference field="5" count="4">
            <x v="1"/>
            <x v="2"/>
            <x v="3"/>
            <x v="4"/>
          </reference>
        </references>
      </pivotArea>
    </format>
    <format dxfId="29">
      <pivotArea dataOnly="0" labelOnly="1" outline="0" fieldPosition="0">
        <references count="2">
          <reference field="2" count="1" selected="0">
            <x v="67"/>
          </reference>
          <reference field="5" count="4"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2" count="1" selected="0">
            <x v="69"/>
          </reference>
          <reference field="5" count="4"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2" count="1" selected="0">
            <x v="64"/>
          </reference>
          <reference field="5" count="4"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83"/>
          </reference>
          <reference field="5" count="4"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2" count="1" selected="0">
            <x v="45"/>
          </reference>
          <reference field="5" count="4"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2" count="1" selected="0">
            <x v="26"/>
          </reference>
          <reference field="5" count="4"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2">
          <reference field="2" count="1" selected="0">
            <x v="44"/>
          </reference>
          <reference field="5" count="4">
            <x v="1"/>
            <x v="2"/>
            <x v="3"/>
            <x v="4"/>
          </reference>
        </references>
      </pivotArea>
    </format>
    <format dxfId="22">
      <pivotArea dataOnly="0" labelOnly="1" outline="0" fieldPosition="0">
        <references count="2">
          <reference field="2" count="1" selected="0">
            <x v="71"/>
          </reference>
          <reference field="5" count="4">
            <x v="1"/>
            <x v="2"/>
            <x v="3"/>
            <x v="4"/>
          </reference>
        </references>
      </pivotArea>
    </format>
    <format dxfId="21">
      <pivotArea dataOnly="0" labelOnly="1" outline="0" fieldPosition="0">
        <references count="2">
          <reference field="2" count="1" selected="0">
            <x v="15"/>
          </reference>
          <reference field="5" count="4">
            <x v="1"/>
            <x v="2"/>
            <x v="3"/>
            <x v="4"/>
          </reference>
        </references>
      </pivotArea>
    </format>
    <format dxfId="20">
      <pivotArea dataOnly="0" labelOnly="1" outline="0" fieldPosition="0">
        <references count="2">
          <reference field="2" count="1" selected="0">
            <x v="46"/>
          </reference>
          <reference field="5" count="4"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2" count="1" selected="0">
            <x v="57"/>
          </reference>
          <reference field="5" count="4"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2" count="1" selected="0">
            <x v="86"/>
          </reference>
          <reference field="5" count="4"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2" count="1" selected="0">
            <x v="40"/>
          </reference>
          <reference field="5" count="4">
            <x v="1"/>
            <x v="2"/>
            <x v="3"/>
            <x v="4"/>
          </reference>
        </references>
      </pivotArea>
    </format>
    <format dxfId="16">
      <pivotArea dataOnly="0" labelOnly="1" outline="0" fieldPosition="0">
        <references count="2">
          <reference field="2" count="1" selected="0">
            <x v="33"/>
          </reference>
          <reference field="5" count="4">
            <x v="1"/>
            <x v="2"/>
            <x v="3"/>
            <x v="4"/>
          </reference>
        </references>
      </pivotArea>
    </format>
    <format dxfId="15">
      <pivotArea dataOnly="0" labelOnly="1" outline="0" fieldPosition="0">
        <references count="2">
          <reference field="2" count="1" selected="0">
            <x v="9"/>
          </reference>
          <reference field="5" count="4">
            <x v="1"/>
            <x v="2"/>
            <x v="3"/>
            <x v="4"/>
          </reference>
        </references>
      </pivotArea>
    </format>
    <format dxfId="14">
      <pivotArea dataOnly="0" labelOnly="1" outline="0" fieldPosition="0">
        <references count="2">
          <reference field="2" count="1" selected="0">
            <x v="51"/>
          </reference>
          <reference field="5" count="4">
            <x v="1"/>
            <x v="2"/>
            <x v="3"/>
            <x v="4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87"/>
          </reference>
          <reference field="5" count="4">
            <x v="1"/>
            <x v="2"/>
            <x v="3"/>
            <x v="4"/>
          </reference>
        </references>
      </pivotArea>
    </format>
    <format dxfId="12">
      <pivotArea dataOnly="0" labelOnly="1" outline="0" fieldPosition="0">
        <references count="2">
          <reference field="2" count="1" selected="0">
            <x v="58"/>
          </reference>
          <reference field="5" count="4">
            <x v="1"/>
            <x v="2"/>
            <x v="3"/>
            <x v="4"/>
          </reference>
        </references>
      </pivotArea>
    </format>
    <format dxfId="11">
      <pivotArea dataOnly="0" labelOnly="1" outline="0" fieldPosition="0">
        <references count="2">
          <reference field="2" count="1" selected="0">
            <x v="12"/>
          </reference>
          <reference field="5" count="4">
            <x v="1"/>
            <x v="2"/>
            <x v="3"/>
            <x v="4"/>
          </reference>
        </references>
      </pivotArea>
    </format>
    <format dxfId="10">
      <pivotArea dataOnly="0" labelOnly="1" outline="0" fieldPosition="0">
        <references count="2">
          <reference field="2" count="1" selected="0">
            <x v="61"/>
          </reference>
          <reference field="5" count="4">
            <x v="1"/>
            <x v="2"/>
            <x v="3"/>
            <x v="4"/>
          </reference>
        </references>
      </pivotArea>
    </format>
    <format dxfId="9">
      <pivotArea dataOnly="0" labelOnly="1" outline="0" fieldPosition="0">
        <references count="2">
          <reference field="2" count="1" selected="0">
            <x v="75"/>
          </reference>
          <reference field="5" count="4"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2">
          <reference field="2" count="1" selected="0">
            <x v="76"/>
          </reference>
          <reference field="5" count="4"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74"/>
          </reference>
          <reference field="5" count="4">
            <x v="1"/>
            <x v="2"/>
            <x v="3"/>
            <x v="4"/>
          </reference>
        </references>
      </pivotArea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2"/>
          </reference>
          <reference field="3" count="2">
            <x v="2"/>
            <x v="3"/>
          </reference>
        </references>
      </pivotArea>
    </format>
    <format dxfId="3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2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1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0">
      <pivotArea dataOnly="0" labelOnly="1" outline="0" fieldPosition="0">
        <references count="3">
          <reference field="4294967294" count="2">
            <x v="0"/>
            <x v="1"/>
          </reference>
          <reference field="0" count="1" selected="0">
            <x v="2"/>
          </reference>
          <reference field="3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9"/>
  <sheetViews>
    <sheetView workbookViewId="0"/>
  </sheetViews>
  <sheetFormatPr baseColWidth="10" defaultColWidth="14.42578125" defaultRowHeight="15.75" customHeight="1" x14ac:dyDescent="0.2"/>
  <cols>
    <col min="7" max="7" width="24.28515625" customWidth="1"/>
    <col min="8" max="8" width="5.85546875" customWidth="1"/>
    <col min="9" max="9" width="10.28515625" customWidth="1"/>
    <col min="10" max="10" width="29.28515625" customWidth="1"/>
    <col min="11" max="11" width="39.28515625" customWidth="1"/>
  </cols>
  <sheetData>
    <row r="1" spans="1:11" ht="15.75" customHeight="1" x14ac:dyDescent="0.2">
      <c r="G1" s="1"/>
    </row>
    <row r="2" spans="1:11" ht="15.75" customHeight="1" x14ac:dyDescent="0.2">
      <c r="G2" s="1"/>
    </row>
    <row r="3" spans="1:11" ht="15.75" customHeight="1" x14ac:dyDescent="0.2">
      <c r="G3" s="1"/>
      <c r="J3" s="3" t="s">
        <v>0</v>
      </c>
      <c r="K3" s="3" t="s">
        <v>1</v>
      </c>
    </row>
    <row r="4" spans="1:11" ht="15.75" customHeight="1" x14ac:dyDescent="0.2">
      <c r="G4" s="1"/>
      <c r="J4" s="3" t="s">
        <v>2</v>
      </c>
      <c r="K4" s="3" t="s">
        <v>3</v>
      </c>
    </row>
    <row r="5" spans="1:11" ht="15.75" customHeight="1" x14ac:dyDescent="0.2">
      <c r="A5" s="31" t="s">
        <v>4</v>
      </c>
      <c r="B5" s="31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" t="s">
        <v>9</v>
      </c>
      <c r="J5" s="3" t="s">
        <v>10</v>
      </c>
      <c r="K5" s="3" t="s">
        <v>11</v>
      </c>
    </row>
    <row r="6" spans="1:11" ht="15.75" customHeight="1" x14ac:dyDescent="0.2">
      <c r="A6" s="3">
        <v>1</v>
      </c>
      <c r="B6" s="3" t="s">
        <v>12</v>
      </c>
      <c r="C6" s="3" t="s">
        <v>2</v>
      </c>
      <c r="D6" s="3" t="s">
        <v>3</v>
      </c>
      <c r="E6" s="3">
        <v>480</v>
      </c>
      <c r="F6">
        <f>SUM(E6:E8)</f>
        <v>1237</v>
      </c>
      <c r="G6" s="56">
        <v>1241</v>
      </c>
      <c r="J6" s="3" t="s">
        <v>13</v>
      </c>
      <c r="K6" s="3" t="s">
        <v>14</v>
      </c>
    </row>
    <row r="7" spans="1:11" ht="15.75" customHeight="1" x14ac:dyDescent="0.2">
      <c r="A7" s="3">
        <v>1</v>
      </c>
      <c r="B7" s="3" t="s">
        <v>12</v>
      </c>
      <c r="C7" s="3" t="s">
        <v>2</v>
      </c>
      <c r="D7" s="3" t="s">
        <v>11</v>
      </c>
      <c r="E7" s="3">
        <v>737</v>
      </c>
      <c r="G7" s="57"/>
      <c r="J7" s="3" t="s">
        <v>15</v>
      </c>
      <c r="K7" s="3" t="s">
        <v>16</v>
      </c>
    </row>
    <row r="8" spans="1:11" ht="15.75" customHeight="1" x14ac:dyDescent="0.2">
      <c r="A8" s="3">
        <v>1</v>
      </c>
      <c r="B8" s="3" t="s">
        <v>12</v>
      </c>
      <c r="C8" s="3" t="s">
        <v>2</v>
      </c>
      <c r="D8" s="3" t="s">
        <v>14</v>
      </c>
      <c r="E8" s="3">
        <v>20</v>
      </c>
      <c r="G8" s="57"/>
      <c r="J8" s="3" t="s">
        <v>17</v>
      </c>
      <c r="K8" s="3" t="s">
        <v>18</v>
      </c>
    </row>
    <row r="9" spans="1:11" ht="15.75" customHeight="1" x14ac:dyDescent="0.2">
      <c r="A9" s="3">
        <v>1</v>
      </c>
      <c r="B9" s="3" t="s">
        <v>12</v>
      </c>
      <c r="C9" s="3" t="s">
        <v>10</v>
      </c>
      <c r="D9" s="3" t="s">
        <v>3</v>
      </c>
      <c r="E9" s="3">
        <v>454</v>
      </c>
      <c r="F9">
        <f>SUM(E9:E11)</f>
        <v>1227</v>
      </c>
      <c r="G9" s="57"/>
      <c r="K9" s="3" t="s">
        <v>19</v>
      </c>
    </row>
    <row r="10" spans="1:11" ht="15.75" customHeight="1" x14ac:dyDescent="0.2">
      <c r="A10" s="3">
        <v>1</v>
      </c>
      <c r="B10" s="3" t="s">
        <v>12</v>
      </c>
      <c r="C10" s="3" t="s">
        <v>10</v>
      </c>
      <c r="D10" s="3" t="s">
        <v>11</v>
      </c>
      <c r="E10" s="3">
        <v>727</v>
      </c>
      <c r="G10" s="57"/>
      <c r="K10" s="3" t="s">
        <v>20</v>
      </c>
    </row>
    <row r="11" spans="1:11" ht="15.75" customHeight="1" x14ac:dyDescent="0.2">
      <c r="A11" s="3">
        <v>1</v>
      </c>
      <c r="B11" s="3" t="s">
        <v>12</v>
      </c>
      <c r="C11" s="3" t="s">
        <v>10</v>
      </c>
      <c r="D11" s="3" t="s">
        <v>14</v>
      </c>
      <c r="E11" s="3">
        <v>46</v>
      </c>
      <c r="G11" s="57"/>
      <c r="K11" s="3" t="s">
        <v>21</v>
      </c>
    </row>
    <row r="12" spans="1:11" ht="15.75" customHeight="1" x14ac:dyDescent="0.2">
      <c r="A12" s="3">
        <v>1</v>
      </c>
      <c r="B12" s="3" t="s">
        <v>12</v>
      </c>
      <c r="C12" s="3" t="s">
        <v>13</v>
      </c>
      <c r="D12" s="3" t="s">
        <v>3</v>
      </c>
      <c r="E12" s="3">
        <v>457</v>
      </c>
      <c r="F12">
        <f>SUM(E12:E14)</f>
        <v>1232</v>
      </c>
      <c r="G12" s="57"/>
      <c r="K12" s="3" t="s">
        <v>22</v>
      </c>
    </row>
    <row r="13" spans="1:11" ht="15.75" customHeight="1" x14ac:dyDescent="0.2">
      <c r="A13" s="3">
        <v>1</v>
      </c>
      <c r="B13" s="3" t="s">
        <v>12</v>
      </c>
      <c r="C13" s="3" t="s">
        <v>13</v>
      </c>
      <c r="D13" s="3" t="s">
        <v>11</v>
      </c>
      <c r="E13" s="3">
        <v>749</v>
      </c>
      <c r="G13" s="57"/>
      <c r="K13" s="3" t="s">
        <v>23</v>
      </c>
    </row>
    <row r="14" spans="1:11" ht="15.75" customHeight="1" x14ac:dyDescent="0.2">
      <c r="A14" s="3">
        <v>1</v>
      </c>
      <c r="B14" s="3" t="s">
        <v>12</v>
      </c>
      <c r="C14" s="3" t="s">
        <v>13</v>
      </c>
      <c r="D14" s="3" t="s">
        <v>14</v>
      </c>
      <c r="E14" s="3">
        <v>26</v>
      </c>
      <c r="G14" s="57"/>
      <c r="K14" s="3" t="s">
        <v>24</v>
      </c>
    </row>
    <row r="15" spans="1:11" ht="15.75" customHeight="1" x14ac:dyDescent="0.2">
      <c r="A15" s="3">
        <v>2</v>
      </c>
      <c r="B15" s="3" t="s">
        <v>25</v>
      </c>
      <c r="C15" s="3" t="s">
        <v>2</v>
      </c>
      <c r="D15" s="3" t="s">
        <v>3</v>
      </c>
      <c r="E15" s="3">
        <v>1453</v>
      </c>
      <c r="F15">
        <f>SUM(E15:E17)</f>
        <v>3283</v>
      </c>
      <c r="G15" s="56">
        <v>3288</v>
      </c>
      <c r="K15" s="3" t="s">
        <v>26</v>
      </c>
    </row>
    <row r="16" spans="1:11" ht="15.75" customHeight="1" x14ac:dyDescent="0.2">
      <c r="A16" s="3">
        <v>2</v>
      </c>
      <c r="B16" s="3" t="s">
        <v>25</v>
      </c>
      <c r="C16" s="3" t="s">
        <v>2</v>
      </c>
      <c r="D16" s="3" t="s">
        <v>11</v>
      </c>
      <c r="E16" s="3">
        <v>1670</v>
      </c>
      <c r="G16" s="57"/>
      <c r="K16" s="3" t="s">
        <v>27</v>
      </c>
    </row>
    <row r="17" spans="1:11" ht="15.75" customHeight="1" x14ac:dyDescent="0.2">
      <c r="A17" s="3">
        <v>2</v>
      </c>
      <c r="B17" s="3" t="s">
        <v>25</v>
      </c>
      <c r="C17" s="3" t="s">
        <v>2</v>
      </c>
      <c r="D17" s="3" t="s">
        <v>14</v>
      </c>
      <c r="E17" s="3">
        <v>160</v>
      </c>
      <c r="G17" s="57"/>
      <c r="K17" s="3" t="s">
        <v>28</v>
      </c>
    </row>
    <row r="18" spans="1:11" ht="15.75" customHeight="1" x14ac:dyDescent="0.2">
      <c r="A18" s="3">
        <v>2</v>
      </c>
      <c r="B18" s="3" t="s">
        <v>25</v>
      </c>
      <c r="C18" s="3" t="s">
        <v>10</v>
      </c>
      <c r="D18" s="3" t="s">
        <v>3</v>
      </c>
      <c r="E18" s="3">
        <v>1352</v>
      </c>
      <c r="F18">
        <f>SUM(E18:E20)</f>
        <v>3281</v>
      </c>
      <c r="G18" s="57"/>
      <c r="K18" s="3" t="s">
        <v>29</v>
      </c>
    </row>
    <row r="19" spans="1:11" ht="15.75" customHeight="1" x14ac:dyDescent="0.2">
      <c r="A19" s="3">
        <v>2</v>
      </c>
      <c r="B19" s="3" t="s">
        <v>25</v>
      </c>
      <c r="C19" s="3" t="s">
        <v>10</v>
      </c>
      <c r="D19" s="3" t="s">
        <v>11</v>
      </c>
      <c r="E19" s="3">
        <v>1674</v>
      </c>
      <c r="G19" s="57"/>
      <c r="K19" s="3" t="s">
        <v>30</v>
      </c>
    </row>
    <row r="20" spans="1:11" ht="15.75" customHeight="1" x14ac:dyDescent="0.2">
      <c r="A20" s="3">
        <v>2</v>
      </c>
      <c r="B20" s="3" t="s">
        <v>25</v>
      </c>
      <c r="C20" s="3" t="s">
        <v>10</v>
      </c>
      <c r="D20" s="3" t="s">
        <v>14</v>
      </c>
      <c r="E20" s="3">
        <v>255</v>
      </c>
      <c r="G20" s="57"/>
      <c r="K20" s="3" t="s">
        <v>31</v>
      </c>
    </row>
    <row r="21" spans="1:11" ht="15.75" customHeight="1" x14ac:dyDescent="0.2">
      <c r="A21" s="3">
        <v>2</v>
      </c>
      <c r="B21" s="3" t="s">
        <v>25</v>
      </c>
      <c r="C21" s="3" t="s">
        <v>13</v>
      </c>
      <c r="D21" s="3" t="s">
        <v>3</v>
      </c>
      <c r="E21" s="3">
        <v>1325</v>
      </c>
      <c r="F21">
        <f>SUM(E21:E23)</f>
        <v>3283</v>
      </c>
      <c r="G21" s="57"/>
      <c r="K21" s="3" t="s">
        <v>32</v>
      </c>
    </row>
    <row r="22" spans="1:11" ht="15.75" customHeight="1" x14ac:dyDescent="0.2">
      <c r="A22" s="3">
        <v>2</v>
      </c>
      <c r="B22" s="3" t="s">
        <v>25</v>
      </c>
      <c r="C22" s="3" t="s">
        <v>13</v>
      </c>
      <c r="D22" s="3" t="s">
        <v>11</v>
      </c>
      <c r="E22" s="3">
        <v>1723</v>
      </c>
      <c r="G22" s="57"/>
      <c r="K22" s="3" t="s">
        <v>33</v>
      </c>
    </row>
    <row r="23" spans="1:11" ht="15.75" customHeight="1" x14ac:dyDescent="0.2">
      <c r="A23" s="3">
        <v>2</v>
      </c>
      <c r="B23" s="3" t="s">
        <v>25</v>
      </c>
      <c r="C23" s="3" t="s">
        <v>13</v>
      </c>
      <c r="D23" s="3" t="s">
        <v>14</v>
      </c>
      <c r="E23" s="3">
        <v>235</v>
      </c>
      <c r="G23" s="57"/>
      <c r="K23" s="3" t="s">
        <v>34</v>
      </c>
    </row>
    <row r="24" spans="1:11" ht="15.75" customHeight="1" x14ac:dyDescent="0.2">
      <c r="A24" s="3">
        <v>3</v>
      </c>
      <c r="B24" s="3" t="s">
        <v>35</v>
      </c>
      <c r="C24" s="3" t="s">
        <v>2</v>
      </c>
      <c r="D24" s="3" t="s">
        <v>3</v>
      </c>
      <c r="E24" s="3">
        <v>531</v>
      </c>
      <c r="F24">
        <f>SUM(E24:E26)</f>
        <v>1655</v>
      </c>
      <c r="G24" s="56">
        <v>1659</v>
      </c>
    </row>
    <row r="25" spans="1:11" ht="15.75" customHeight="1" x14ac:dyDescent="0.2">
      <c r="A25" s="3">
        <v>3</v>
      </c>
      <c r="B25" s="3" t="s">
        <v>35</v>
      </c>
      <c r="C25" s="3" t="s">
        <v>2</v>
      </c>
      <c r="D25" s="3" t="s">
        <v>11</v>
      </c>
      <c r="E25" s="3">
        <v>1080</v>
      </c>
      <c r="G25" s="57"/>
    </row>
    <row r="26" spans="1:11" ht="15.75" customHeight="1" x14ac:dyDescent="0.2">
      <c r="A26" s="3">
        <v>3</v>
      </c>
      <c r="B26" s="3" t="s">
        <v>35</v>
      </c>
      <c r="C26" s="3" t="s">
        <v>2</v>
      </c>
      <c r="D26" s="3" t="s">
        <v>14</v>
      </c>
      <c r="E26" s="3">
        <v>44</v>
      </c>
      <c r="G26" s="57"/>
    </row>
    <row r="27" spans="1:11" ht="15.75" customHeight="1" x14ac:dyDescent="0.2">
      <c r="A27" s="3">
        <v>3</v>
      </c>
      <c r="B27" s="3" t="s">
        <v>35</v>
      </c>
      <c r="C27" s="3" t="s">
        <v>10</v>
      </c>
      <c r="D27" s="3" t="s">
        <v>3</v>
      </c>
      <c r="E27" s="3">
        <v>541</v>
      </c>
      <c r="F27">
        <f>SUM(E27:E29)</f>
        <v>1657</v>
      </c>
      <c r="G27" s="57"/>
    </row>
    <row r="28" spans="1:11" ht="15.75" customHeight="1" x14ac:dyDescent="0.2">
      <c r="A28" s="3">
        <v>3</v>
      </c>
      <c r="B28" s="3" t="s">
        <v>35</v>
      </c>
      <c r="C28" s="3" t="s">
        <v>10</v>
      </c>
      <c r="D28" s="3" t="s">
        <v>11</v>
      </c>
      <c r="E28" s="3">
        <v>1041</v>
      </c>
      <c r="G28" s="57"/>
    </row>
    <row r="29" spans="1:11" ht="15.75" customHeight="1" x14ac:dyDescent="0.2">
      <c r="A29" s="3">
        <v>3</v>
      </c>
      <c r="B29" s="3" t="s">
        <v>35</v>
      </c>
      <c r="C29" s="3" t="s">
        <v>10</v>
      </c>
      <c r="D29" s="3" t="s">
        <v>14</v>
      </c>
      <c r="E29" s="3">
        <v>75</v>
      </c>
      <c r="G29" s="57"/>
    </row>
    <row r="30" spans="1:11" ht="15.75" customHeight="1" x14ac:dyDescent="0.2">
      <c r="A30" s="3">
        <v>3</v>
      </c>
      <c r="B30" s="3" t="s">
        <v>35</v>
      </c>
      <c r="C30" s="3" t="s">
        <v>13</v>
      </c>
      <c r="D30" s="3" t="s">
        <v>3</v>
      </c>
      <c r="E30" s="3">
        <v>628</v>
      </c>
      <c r="F30">
        <f>SUM(E30:E32)</f>
        <v>1657</v>
      </c>
      <c r="G30" s="57"/>
    </row>
    <row r="31" spans="1:11" ht="15.75" customHeight="1" x14ac:dyDescent="0.2">
      <c r="A31" s="3">
        <v>3</v>
      </c>
      <c r="B31" s="3" t="s">
        <v>35</v>
      </c>
      <c r="C31" s="3" t="s">
        <v>13</v>
      </c>
      <c r="D31" s="3" t="s">
        <v>11</v>
      </c>
      <c r="E31" s="3">
        <v>975</v>
      </c>
      <c r="G31" s="57"/>
    </row>
    <row r="32" spans="1:11" ht="15.75" customHeight="1" x14ac:dyDescent="0.2">
      <c r="A32" s="3">
        <v>3</v>
      </c>
      <c r="B32" s="3" t="s">
        <v>35</v>
      </c>
      <c r="C32" s="3" t="s">
        <v>13</v>
      </c>
      <c r="D32" s="3" t="s">
        <v>14</v>
      </c>
      <c r="E32" s="3">
        <v>54</v>
      </c>
      <c r="G32" s="57"/>
    </row>
    <row r="33" spans="1:7" ht="15.75" customHeight="1" x14ac:dyDescent="0.2">
      <c r="A33" s="3">
        <v>4</v>
      </c>
      <c r="B33" s="3" t="s">
        <v>36</v>
      </c>
      <c r="C33" s="3" t="s">
        <v>2</v>
      </c>
      <c r="D33" s="3" t="s">
        <v>3</v>
      </c>
      <c r="E33" s="3">
        <v>283</v>
      </c>
      <c r="F33">
        <f>SUM(E33:E35)</f>
        <v>604</v>
      </c>
      <c r="G33" s="56">
        <v>605</v>
      </c>
    </row>
    <row r="34" spans="1:7" ht="15.75" customHeight="1" x14ac:dyDescent="0.2">
      <c r="A34" s="3">
        <v>4</v>
      </c>
      <c r="B34" s="3" t="s">
        <v>36</v>
      </c>
      <c r="C34" s="3" t="s">
        <v>2</v>
      </c>
      <c r="D34" s="3" t="s">
        <v>11</v>
      </c>
      <c r="E34" s="3">
        <v>298</v>
      </c>
      <c r="G34" s="57"/>
    </row>
    <row r="35" spans="1:7" ht="15.75" customHeight="1" x14ac:dyDescent="0.2">
      <c r="A35" s="3">
        <v>4</v>
      </c>
      <c r="B35" s="3" t="s">
        <v>36</v>
      </c>
      <c r="C35" s="3" t="s">
        <v>2</v>
      </c>
      <c r="D35" s="3" t="s">
        <v>14</v>
      </c>
      <c r="E35" s="3">
        <v>23</v>
      </c>
      <c r="G35" s="57"/>
    </row>
    <row r="36" spans="1:7" ht="15.75" customHeight="1" x14ac:dyDescent="0.2">
      <c r="A36" s="3">
        <v>4</v>
      </c>
      <c r="B36" s="3" t="s">
        <v>36</v>
      </c>
      <c r="C36" s="3" t="s">
        <v>10</v>
      </c>
      <c r="D36" s="3" t="s">
        <v>3</v>
      </c>
      <c r="E36" s="3">
        <v>262</v>
      </c>
      <c r="F36">
        <f>SUM(E36:E38)</f>
        <v>604</v>
      </c>
      <c r="G36" s="57"/>
    </row>
    <row r="37" spans="1:7" ht="15.75" customHeight="1" x14ac:dyDescent="0.2">
      <c r="A37" s="3">
        <v>4</v>
      </c>
      <c r="B37" s="3" t="s">
        <v>36</v>
      </c>
      <c r="C37" s="3" t="s">
        <v>10</v>
      </c>
      <c r="D37" s="3" t="s">
        <v>11</v>
      </c>
      <c r="E37" s="3">
        <v>297</v>
      </c>
      <c r="G37" s="57"/>
    </row>
    <row r="38" spans="1:7" ht="12.75" x14ac:dyDescent="0.2">
      <c r="A38" s="3">
        <v>4</v>
      </c>
      <c r="B38" s="3" t="s">
        <v>36</v>
      </c>
      <c r="C38" s="3" t="s">
        <v>10</v>
      </c>
      <c r="D38" s="3" t="s">
        <v>14</v>
      </c>
      <c r="E38" s="3">
        <v>45</v>
      </c>
      <c r="G38" s="57"/>
    </row>
    <row r="39" spans="1:7" ht="12.75" x14ac:dyDescent="0.2">
      <c r="A39" s="3">
        <v>4</v>
      </c>
      <c r="B39" s="3" t="s">
        <v>36</v>
      </c>
      <c r="C39" s="3" t="s">
        <v>13</v>
      </c>
      <c r="D39" s="3" t="s">
        <v>3</v>
      </c>
      <c r="E39" s="3">
        <v>247</v>
      </c>
      <c r="F39">
        <f>SUM(E39:E41)</f>
        <v>604</v>
      </c>
      <c r="G39" s="57"/>
    </row>
    <row r="40" spans="1:7" ht="12.75" x14ac:dyDescent="0.2">
      <c r="A40" s="3">
        <v>4</v>
      </c>
      <c r="B40" s="3" t="s">
        <v>36</v>
      </c>
      <c r="C40" s="3" t="s">
        <v>13</v>
      </c>
      <c r="D40" s="3" t="s">
        <v>11</v>
      </c>
      <c r="E40" s="3">
        <v>314</v>
      </c>
      <c r="G40" s="57"/>
    </row>
    <row r="41" spans="1:7" ht="12.75" x14ac:dyDescent="0.2">
      <c r="A41" s="3">
        <v>4</v>
      </c>
      <c r="B41" s="3" t="s">
        <v>36</v>
      </c>
      <c r="C41" s="3" t="s">
        <v>13</v>
      </c>
      <c r="D41" s="3" t="s">
        <v>14</v>
      </c>
      <c r="E41" s="3">
        <v>43</v>
      </c>
      <c r="G41" s="57"/>
    </row>
    <row r="42" spans="1:7" ht="12.75" x14ac:dyDescent="0.2">
      <c r="A42" s="3">
        <v>5</v>
      </c>
      <c r="B42" s="3" t="s">
        <v>37</v>
      </c>
      <c r="C42" s="3" t="s">
        <v>2</v>
      </c>
      <c r="D42" s="3" t="s">
        <v>3</v>
      </c>
      <c r="E42" s="3">
        <v>101</v>
      </c>
      <c r="F42">
        <f>SUM(E42:E44)</f>
        <v>412</v>
      </c>
      <c r="G42" s="56">
        <v>412</v>
      </c>
    </row>
    <row r="43" spans="1:7" ht="12.75" x14ac:dyDescent="0.2">
      <c r="A43" s="3">
        <v>5</v>
      </c>
      <c r="B43" s="3" t="s">
        <v>37</v>
      </c>
      <c r="C43" s="3" t="s">
        <v>2</v>
      </c>
      <c r="D43" s="3" t="s">
        <v>11</v>
      </c>
      <c r="E43" s="3">
        <v>303</v>
      </c>
      <c r="G43" s="57"/>
    </row>
    <row r="44" spans="1:7" ht="12.75" x14ac:dyDescent="0.2">
      <c r="A44" s="3">
        <v>5</v>
      </c>
      <c r="B44" s="3" t="s">
        <v>37</v>
      </c>
      <c r="C44" s="3" t="s">
        <v>2</v>
      </c>
      <c r="D44" s="3" t="s">
        <v>14</v>
      </c>
      <c r="E44" s="3">
        <v>8</v>
      </c>
      <c r="G44" s="57"/>
    </row>
    <row r="45" spans="1:7" ht="12.75" x14ac:dyDescent="0.2">
      <c r="A45" s="3">
        <v>5</v>
      </c>
      <c r="B45" s="3" t="s">
        <v>37</v>
      </c>
      <c r="C45" s="3" t="s">
        <v>10</v>
      </c>
      <c r="D45" s="3" t="s">
        <v>3</v>
      </c>
      <c r="E45" s="3">
        <v>103</v>
      </c>
      <c r="F45">
        <f>SUM(E45:E47)</f>
        <v>412</v>
      </c>
      <c r="G45" s="57"/>
    </row>
    <row r="46" spans="1:7" ht="12.75" x14ac:dyDescent="0.2">
      <c r="A46" s="3">
        <v>5</v>
      </c>
      <c r="B46" s="3" t="s">
        <v>37</v>
      </c>
      <c r="C46" s="3" t="s">
        <v>10</v>
      </c>
      <c r="D46" s="3" t="s">
        <v>11</v>
      </c>
      <c r="E46" s="3">
        <v>292</v>
      </c>
      <c r="G46" s="57"/>
    </row>
    <row r="47" spans="1:7" ht="12.75" x14ac:dyDescent="0.2">
      <c r="A47" s="3">
        <v>5</v>
      </c>
      <c r="B47" s="3" t="s">
        <v>37</v>
      </c>
      <c r="C47" s="3" t="s">
        <v>10</v>
      </c>
      <c r="D47" s="3" t="s">
        <v>14</v>
      </c>
      <c r="E47" s="3">
        <v>17</v>
      </c>
      <c r="G47" s="57"/>
    </row>
    <row r="48" spans="1:7" ht="12.75" x14ac:dyDescent="0.2">
      <c r="A48" s="3">
        <v>5</v>
      </c>
      <c r="B48" s="3" t="s">
        <v>37</v>
      </c>
      <c r="C48" s="3" t="s">
        <v>13</v>
      </c>
      <c r="D48" s="3" t="s">
        <v>3</v>
      </c>
      <c r="E48" s="3">
        <v>108</v>
      </c>
      <c r="F48">
        <f>SUM(E48:E50)</f>
        <v>412</v>
      </c>
      <c r="G48" s="57"/>
    </row>
    <row r="49" spans="1:7" ht="12.75" x14ac:dyDescent="0.2">
      <c r="A49" s="3">
        <v>5</v>
      </c>
      <c r="B49" s="3" t="s">
        <v>37</v>
      </c>
      <c r="C49" s="3" t="s">
        <v>13</v>
      </c>
      <c r="D49" s="3" t="s">
        <v>11</v>
      </c>
      <c r="E49" s="3">
        <v>289</v>
      </c>
      <c r="G49" s="57"/>
    </row>
    <row r="50" spans="1:7" ht="12.75" x14ac:dyDescent="0.2">
      <c r="A50" s="3">
        <v>5</v>
      </c>
      <c r="B50" s="3" t="s">
        <v>37</v>
      </c>
      <c r="C50" s="3" t="s">
        <v>13</v>
      </c>
      <c r="D50" s="3" t="s">
        <v>14</v>
      </c>
      <c r="E50" s="3">
        <v>15</v>
      </c>
      <c r="G50" s="57"/>
    </row>
    <row r="51" spans="1:7" ht="12.75" x14ac:dyDescent="0.2">
      <c r="A51" s="3">
        <v>6</v>
      </c>
      <c r="B51" s="3" t="s">
        <v>38</v>
      </c>
      <c r="C51" s="3" t="s">
        <v>2</v>
      </c>
      <c r="D51" s="3" t="s">
        <v>3</v>
      </c>
      <c r="E51" s="3">
        <v>564</v>
      </c>
      <c r="F51">
        <f>SUM(E51:E53)</f>
        <v>1349</v>
      </c>
      <c r="G51" s="56">
        <v>1352</v>
      </c>
    </row>
    <row r="52" spans="1:7" ht="12.75" x14ac:dyDescent="0.2">
      <c r="A52" s="3">
        <v>6</v>
      </c>
      <c r="B52" s="3" t="s">
        <v>38</v>
      </c>
      <c r="C52" s="3" t="s">
        <v>2</v>
      </c>
      <c r="D52" s="3" t="s">
        <v>11</v>
      </c>
      <c r="E52" s="3">
        <v>715</v>
      </c>
      <c r="G52" s="57"/>
    </row>
    <row r="53" spans="1:7" ht="12.75" x14ac:dyDescent="0.2">
      <c r="A53" s="3">
        <v>6</v>
      </c>
      <c r="B53" s="3" t="s">
        <v>38</v>
      </c>
      <c r="C53" s="3" t="s">
        <v>2</v>
      </c>
      <c r="D53" s="3" t="s">
        <v>14</v>
      </c>
      <c r="E53" s="3">
        <v>70</v>
      </c>
      <c r="G53" s="57"/>
    </row>
    <row r="54" spans="1:7" ht="12.75" x14ac:dyDescent="0.2">
      <c r="A54" s="3">
        <v>6</v>
      </c>
      <c r="B54" s="3" t="s">
        <v>38</v>
      </c>
      <c r="C54" s="3" t="s">
        <v>10</v>
      </c>
      <c r="D54" s="3" t="s">
        <v>3</v>
      </c>
      <c r="E54" s="3">
        <v>563</v>
      </c>
      <c r="F54">
        <f>SUM(E54:E56)</f>
        <v>1349</v>
      </c>
      <c r="G54" s="57"/>
    </row>
    <row r="55" spans="1:7" ht="12.75" x14ac:dyDescent="0.2">
      <c r="A55" s="3">
        <v>6</v>
      </c>
      <c r="B55" s="3" t="s">
        <v>38</v>
      </c>
      <c r="C55" s="3" t="s">
        <v>10</v>
      </c>
      <c r="D55" s="3" t="s">
        <v>11</v>
      </c>
      <c r="E55" s="3">
        <v>712</v>
      </c>
      <c r="G55" s="57"/>
    </row>
    <row r="56" spans="1:7" ht="12.75" x14ac:dyDescent="0.2">
      <c r="A56" s="3">
        <v>6</v>
      </c>
      <c r="B56" s="3" t="s">
        <v>38</v>
      </c>
      <c r="C56" s="3" t="s">
        <v>10</v>
      </c>
      <c r="D56" s="3" t="s">
        <v>14</v>
      </c>
      <c r="E56" s="3">
        <v>74</v>
      </c>
      <c r="G56" s="57"/>
    </row>
    <row r="57" spans="1:7" ht="12.75" x14ac:dyDescent="0.2">
      <c r="A57" s="3">
        <v>6</v>
      </c>
      <c r="B57" s="3" t="s">
        <v>38</v>
      </c>
      <c r="C57" s="3" t="s">
        <v>13</v>
      </c>
      <c r="D57" s="3" t="s">
        <v>3</v>
      </c>
      <c r="E57" s="3">
        <v>561</v>
      </c>
      <c r="F57">
        <f>SUM(E57:E59)</f>
        <v>1349</v>
      </c>
      <c r="G57" s="57"/>
    </row>
    <row r="58" spans="1:7" ht="12.75" x14ac:dyDescent="0.2">
      <c r="A58" s="3">
        <v>6</v>
      </c>
      <c r="B58" s="3" t="s">
        <v>38</v>
      </c>
      <c r="C58" s="3" t="s">
        <v>13</v>
      </c>
      <c r="D58" s="3" t="s">
        <v>11</v>
      </c>
      <c r="E58" s="3">
        <v>731</v>
      </c>
      <c r="G58" s="57"/>
    </row>
    <row r="59" spans="1:7" ht="12.75" x14ac:dyDescent="0.2">
      <c r="A59" s="3">
        <v>6</v>
      </c>
      <c r="B59" s="3" t="s">
        <v>38</v>
      </c>
      <c r="C59" s="3" t="s">
        <v>13</v>
      </c>
      <c r="D59" s="3" t="s">
        <v>14</v>
      </c>
      <c r="E59" s="3">
        <v>57</v>
      </c>
      <c r="G59" s="57"/>
    </row>
    <row r="60" spans="1:7" ht="12.75" x14ac:dyDescent="0.2">
      <c r="A60" s="2" t="s">
        <v>39</v>
      </c>
      <c r="B60" s="3" t="s">
        <v>40</v>
      </c>
      <c r="C60" s="3" t="s">
        <v>2</v>
      </c>
      <c r="D60" s="3" t="s">
        <v>3</v>
      </c>
      <c r="E60" s="3">
        <v>27313</v>
      </c>
      <c r="F60">
        <f>SUM(E60:E66)</f>
        <v>53516</v>
      </c>
      <c r="G60" s="56">
        <v>53987</v>
      </c>
    </row>
    <row r="61" spans="1:7" ht="12.75" x14ac:dyDescent="0.2">
      <c r="A61" s="2" t="s">
        <v>39</v>
      </c>
      <c r="B61" s="3" t="s">
        <v>40</v>
      </c>
      <c r="C61" s="3" t="s">
        <v>2</v>
      </c>
      <c r="D61" s="3" t="s">
        <v>16</v>
      </c>
      <c r="E61" s="3">
        <v>361</v>
      </c>
      <c r="G61" s="57"/>
    </row>
    <row r="62" spans="1:7" ht="12.75" x14ac:dyDescent="0.2">
      <c r="A62" s="2" t="s">
        <v>39</v>
      </c>
      <c r="B62" s="3" t="s">
        <v>40</v>
      </c>
      <c r="C62" s="3" t="s">
        <v>2</v>
      </c>
      <c r="D62" s="3" t="s">
        <v>18</v>
      </c>
      <c r="E62" s="3">
        <v>1039</v>
      </c>
      <c r="G62" s="57"/>
    </row>
    <row r="63" spans="1:7" ht="12.75" x14ac:dyDescent="0.2">
      <c r="A63" s="2" t="s">
        <v>39</v>
      </c>
      <c r="B63" s="3" t="s">
        <v>40</v>
      </c>
      <c r="C63" s="3" t="s">
        <v>2</v>
      </c>
      <c r="D63" s="3" t="s">
        <v>19</v>
      </c>
      <c r="E63" s="3">
        <v>227</v>
      </c>
      <c r="G63" s="57"/>
    </row>
    <row r="64" spans="1:7" ht="12.75" x14ac:dyDescent="0.2">
      <c r="A64" s="2" t="s">
        <v>39</v>
      </c>
      <c r="B64" s="3" t="s">
        <v>40</v>
      </c>
      <c r="C64" s="3" t="s">
        <v>2</v>
      </c>
      <c r="D64" s="3" t="s">
        <v>11</v>
      </c>
      <c r="E64" s="3">
        <v>20984</v>
      </c>
      <c r="G64" s="57"/>
    </row>
    <row r="65" spans="1:7" ht="12.75" x14ac:dyDescent="0.2">
      <c r="A65" s="2" t="s">
        <v>39</v>
      </c>
      <c r="B65" s="3" t="s">
        <v>40</v>
      </c>
      <c r="C65" s="3" t="s">
        <v>2</v>
      </c>
      <c r="D65" s="3" t="s">
        <v>20</v>
      </c>
      <c r="E65" s="3">
        <v>524</v>
      </c>
      <c r="G65" s="57"/>
    </row>
    <row r="66" spans="1:7" ht="12.75" x14ac:dyDescent="0.2">
      <c r="A66" s="2" t="s">
        <v>39</v>
      </c>
      <c r="B66" s="3" t="s">
        <v>40</v>
      </c>
      <c r="C66" s="3" t="s">
        <v>2</v>
      </c>
      <c r="D66" s="3" t="s">
        <v>14</v>
      </c>
      <c r="E66" s="3">
        <v>3068</v>
      </c>
      <c r="G66" s="57"/>
    </row>
    <row r="67" spans="1:7" ht="12.75" x14ac:dyDescent="0.2">
      <c r="A67" s="2" t="s">
        <v>39</v>
      </c>
      <c r="B67" s="3" t="s">
        <v>40</v>
      </c>
      <c r="C67" s="3" t="s">
        <v>10</v>
      </c>
      <c r="D67" s="3" t="s">
        <v>3</v>
      </c>
      <c r="E67" s="3">
        <v>25328</v>
      </c>
      <c r="F67">
        <f>SUM(E67:E73)</f>
        <v>53523</v>
      </c>
      <c r="G67" s="57"/>
    </row>
    <row r="68" spans="1:7" ht="12.75" x14ac:dyDescent="0.2">
      <c r="A68" s="2" t="s">
        <v>39</v>
      </c>
      <c r="B68" s="3" t="s">
        <v>40</v>
      </c>
      <c r="C68" s="3" t="s">
        <v>10</v>
      </c>
      <c r="D68" s="3" t="s">
        <v>16</v>
      </c>
      <c r="E68" s="3">
        <v>388</v>
      </c>
      <c r="G68" s="57"/>
    </row>
    <row r="69" spans="1:7" ht="12.75" x14ac:dyDescent="0.2">
      <c r="A69" s="2" t="s">
        <v>39</v>
      </c>
      <c r="B69" s="3" t="s">
        <v>40</v>
      </c>
      <c r="C69" s="3" t="s">
        <v>10</v>
      </c>
      <c r="D69" s="3" t="s">
        <v>18</v>
      </c>
      <c r="E69" s="3">
        <v>1196</v>
      </c>
      <c r="G69" s="57"/>
    </row>
    <row r="70" spans="1:7" ht="12.75" x14ac:dyDescent="0.2">
      <c r="A70" s="2" t="s">
        <v>39</v>
      </c>
      <c r="B70" s="3" t="s">
        <v>40</v>
      </c>
      <c r="C70" s="3" t="s">
        <v>10</v>
      </c>
      <c r="D70" s="3" t="s">
        <v>19</v>
      </c>
      <c r="E70" s="3">
        <v>290</v>
      </c>
      <c r="G70" s="57"/>
    </row>
    <row r="71" spans="1:7" ht="12.75" x14ac:dyDescent="0.2">
      <c r="A71" s="2" t="s">
        <v>39</v>
      </c>
      <c r="B71" s="3" t="s">
        <v>40</v>
      </c>
      <c r="C71" s="3" t="s">
        <v>10</v>
      </c>
      <c r="D71" s="3" t="s">
        <v>11</v>
      </c>
      <c r="E71" s="3">
        <v>21665</v>
      </c>
      <c r="G71" s="57"/>
    </row>
    <row r="72" spans="1:7" ht="12.75" x14ac:dyDescent="0.2">
      <c r="A72" s="2" t="s">
        <v>39</v>
      </c>
      <c r="B72" s="3" t="s">
        <v>40</v>
      </c>
      <c r="C72" s="3" t="s">
        <v>10</v>
      </c>
      <c r="D72" s="3" t="s">
        <v>20</v>
      </c>
      <c r="E72" s="3">
        <v>609</v>
      </c>
      <c r="G72" s="57"/>
    </row>
    <row r="73" spans="1:7" ht="12.75" x14ac:dyDescent="0.2">
      <c r="A73" s="2" t="s">
        <v>39</v>
      </c>
      <c r="B73" s="3" t="s">
        <v>40</v>
      </c>
      <c r="C73" s="3" t="s">
        <v>10</v>
      </c>
      <c r="D73" s="3" t="s">
        <v>14</v>
      </c>
      <c r="E73" s="3">
        <v>4047</v>
      </c>
      <c r="G73" s="57"/>
    </row>
    <row r="74" spans="1:7" ht="12.75" x14ac:dyDescent="0.2">
      <c r="A74" s="2" t="s">
        <v>39</v>
      </c>
      <c r="B74" s="3" t="s">
        <v>40</v>
      </c>
      <c r="C74" s="3" t="s">
        <v>13</v>
      </c>
      <c r="D74" s="3" t="s">
        <v>3</v>
      </c>
      <c r="E74" s="3">
        <v>26051</v>
      </c>
      <c r="F74">
        <f>SUM(E74:E80)</f>
        <v>53527</v>
      </c>
      <c r="G74" s="57"/>
    </row>
    <row r="75" spans="1:7" ht="12.75" x14ac:dyDescent="0.2">
      <c r="A75" s="2" t="s">
        <v>39</v>
      </c>
      <c r="B75" s="3" t="s">
        <v>40</v>
      </c>
      <c r="C75" s="3" t="s">
        <v>13</v>
      </c>
      <c r="D75" s="3" t="s">
        <v>16</v>
      </c>
      <c r="E75" s="3">
        <v>385</v>
      </c>
      <c r="G75" s="57"/>
    </row>
    <row r="76" spans="1:7" ht="12.75" x14ac:dyDescent="0.2">
      <c r="A76" s="2" t="s">
        <v>39</v>
      </c>
      <c r="B76" s="3" t="s">
        <v>40</v>
      </c>
      <c r="C76" s="3" t="s">
        <v>13</v>
      </c>
      <c r="D76" s="3" t="s">
        <v>18</v>
      </c>
      <c r="E76" s="3">
        <v>1134</v>
      </c>
      <c r="G76" s="57"/>
    </row>
    <row r="77" spans="1:7" ht="12.75" x14ac:dyDescent="0.2">
      <c r="A77" s="2" t="s">
        <v>39</v>
      </c>
      <c r="B77" s="3" t="s">
        <v>40</v>
      </c>
      <c r="C77" s="3" t="s">
        <v>13</v>
      </c>
      <c r="D77" s="3" t="s">
        <v>19</v>
      </c>
      <c r="E77" s="3">
        <v>272</v>
      </c>
      <c r="G77" s="57"/>
    </row>
    <row r="78" spans="1:7" ht="12.75" x14ac:dyDescent="0.2">
      <c r="A78" s="2" t="s">
        <v>39</v>
      </c>
      <c r="B78" s="3" t="s">
        <v>40</v>
      </c>
      <c r="C78" s="3" t="s">
        <v>13</v>
      </c>
      <c r="D78" s="3" t="s">
        <v>11</v>
      </c>
      <c r="E78" s="3">
        <v>21119</v>
      </c>
      <c r="G78" s="57"/>
    </row>
    <row r="79" spans="1:7" ht="12.75" x14ac:dyDescent="0.2">
      <c r="A79" s="2" t="s">
        <v>39</v>
      </c>
      <c r="B79" s="3" t="s">
        <v>40</v>
      </c>
      <c r="C79" s="3" t="s">
        <v>13</v>
      </c>
      <c r="D79" s="3" t="s">
        <v>20</v>
      </c>
      <c r="E79" s="3">
        <v>597</v>
      </c>
      <c r="G79" s="57"/>
    </row>
    <row r="80" spans="1:7" ht="12.75" x14ac:dyDescent="0.2">
      <c r="A80" s="2" t="s">
        <v>39</v>
      </c>
      <c r="B80" s="3" t="s">
        <v>40</v>
      </c>
      <c r="C80" s="3" t="s">
        <v>13</v>
      </c>
      <c r="D80" s="3" t="s">
        <v>14</v>
      </c>
      <c r="E80" s="3">
        <v>3969</v>
      </c>
      <c r="G80" s="57"/>
    </row>
    <row r="81" spans="1:7" ht="12.75" x14ac:dyDescent="0.2">
      <c r="A81" s="3">
        <v>11</v>
      </c>
      <c r="B81" s="3" t="s">
        <v>41</v>
      </c>
      <c r="C81" s="3" t="s">
        <v>2</v>
      </c>
      <c r="D81" s="3" t="s">
        <v>3</v>
      </c>
      <c r="E81" s="3">
        <v>328</v>
      </c>
      <c r="F81">
        <f>SUM(E81:E84)</f>
        <v>1060</v>
      </c>
      <c r="G81" s="56">
        <v>1063</v>
      </c>
    </row>
    <row r="82" spans="1:7" ht="12.75" x14ac:dyDescent="0.2">
      <c r="A82" s="3">
        <v>11</v>
      </c>
      <c r="B82" s="3" t="s">
        <v>41</v>
      </c>
      <c r="C82" s="3" t="s">
        <v>2</v>
      </c>
      <c r="D82" s="3" t="s">
        <v>21</v>
      </c>
      <c r="E82" s="3">
        <v>555</v>
      </c>
      <c r="G82" s="57"/>
    </row>
    <row r="83" spans="1:7" ht="12.75" x14ac:dyDescent="0.2">
      <c r="A83" s="3">
        <v>11</v>
      </c>
      <c r="B83" s="3" t="s">
        <v>41</v>
      </c>
      <c r="C83" s="3" t="s">
        <v>2</v>
      </c>
      <c r="D83" s="3" t="s">
        <v>11</v>
      </c>
      <c r="E83" s="3">
        <v>127</v>
      </c>
      <c r="G83" s="57"/>
    </row>
    <row r="84" spans="1:7" ht="12.75" x14ac:dyDescent="0.2">
      <c r="A84" s="3">
        <v>11</v>
      </c>
      <c r="B84" s="3" t="s">
        <v>41</v>
      </c>
      <c r="C84" s="3" t="s">
        <v>2</v>
      </c>
      <c r="D84" s="3" t="s">
        <v>14</v>
      </c>
      <c r="E84" s="3">
        <v>50</v>
      </c>
      <c r="G84" s="57"/>
    </row>
    <row r="85" spans="1:7" ht="12.75" x14ac:dyDescent="0.2">
      <c r="A85" s="3">
        <v>11</v>
      </c>
      <c r="B85" s="3" t="s">
        <v>41</v>
      </c>
      <c r="C85" s="3" t="s">
        <v>10</v>
      </c>
      <c r="D85" s="3" t="s">
        <v>3</v>
      </c>
      <c r="E85" s="3">
        <v>318</v>
      </c>
      <c r="F85">
        <f>SUM(E85:E88)</f>
        <v>1060</v>
      </c>
      <c r="G85" s="57"/>
    </row>
    <row r="86" spans="1:7" ht="12.75" x14ac:dyDescent="0.2">
      <c r="A86" s="3">
        <v>11</v>
      </c>
      <c r="B86" s="3" t="s">
        <v>41</v>
      </c>
      <c r="C86" s="3" t="s">
        <v>10</v>
      </c>
      <c r="D86" s="3" t="s">
        <v>21</v>
      </c>
      <c r="E86" s="3">
        <v>535</v>
      </c>
      <c r="G86" s="57"/>
    </row>
    <row r="87" spans="1:7" ht="12.75" x14ac:dyDescent="0.2">
      <c r="A87" s="3">
        <v>11</v>
      </c>
      <c r="B87" s="3" t="s">
        <v>41</v>
      </c>
      <c r="C87" s="3" t="s">
        <v>10</v>
      </c>
      <c r="D87" s="3" t="s">
        <v>11</v>
      </c>
      <c r="E87" s="3">
        <v>132</v>
      </c>
      <c r="G87" s="57"/>
    </row>
    <row r="88" spans="1:7" ht="12.75" x14ac:dyDescent="0.2">
      <c r="A88" s="3">
        <v>11</v>
      </c>
      <c r="B88" s="3" t="s">
        <v>41</v>
      </c>
      <c r="C88" s="3" t="s">
        <v>10</v>
      </c>
      <c r="D88" s="3" t="s">
        <v>14</v>
      </c>
      <c r="E88" s="3">
        <v>75</v>
      </c>
      <c r="G88" s="57"/>
    </row>
    <row r="89" spans="1:7" ht="12.75" x14ac:dyDescent="0.2">
      <c r="A89" s="3">
        <v>11</v>
      </c>
      <c r="B89" s="3" t="s">
        <v>41</v>
      </c>
      <c r="C89" s="3" t="s">
        <v>13</v>
      </c>
      <c r="D89" s="3" t="s">
        <v>3</v>
      </c>
      <c r="E89" s="3">
        <v>318</v>
      </c>
      <c r="F89">
        <f>SUM(E89:E92)</f>
        <v>1060</v>
      </c>
      <c r="G89" s="57"/>
    </row>
    <row r="90" spans="1:7" ht="12.75" x14ac:dyDescent="0.2">
      <c r="A90" s="3">
        <v>11</v>
      </c>
      <c r="B90" s="3" t="s">
        <v>41</v>
      </c>
      <c r="C90" s="3" t="s">
        <v>13</v>
      </c>
      <c r="D90" s="3" t="s">
        <v>21</v>
      </c>
      <c r="E90" s="3">
        <v>533</v>
      </c>
      <c r="G90" s="57"/>
    </row>
    <row r="91" spans="1:7" ht="12.75" x14ac:dyDescent="0.2">
      <c r="A91" s="3">
        <v>11</v>
      </c>
      <c r="B91" s="3" t="s">
        <v>41</v>
      </c>
      <c r="C91" s="3" t="s">
        <v>13</v>
      </c>
      <c r="D91" s="3" t="s">
        <v>11</v>
      </c>
      <c r="E91" s="3">
        <v>131</v>
      </c>
      <c r="G91" s="57"/>
    </row>
    <row r="92" spans="1:7" ht="12.75" x14ac:dyDescent="0.2">
      <c r="A92" s="3">
        <v>11</v>
      </c>
      <c r="B92" s="3" t="s">
        <v>41</v>
      </c>
      <c r="C92" s="3" t="s">
        <v>13</v>
      </c>
      <c r="D92" s="3" t="s">
        <v>14</v>
      </c>
      <c r="E92" s="3">
        <v>78</v>
      </c>
      <c r="G92" s="57"/>
    </row>
    <row r="93" spans="1:7" ht="12.75" x14ac:dyDescent="0.2">
      <c r="A93" s="3">
        <v>13</v>
      </c>
      <c r="B93" s="3" t="s">
        <v>42</v>
      </c>
      <c r="C93" s="3" t="s">
        <v>2</v>
      </c>
      <c r="D93" s="3" t="s">
        <v>3</v>
      </c>
      <c r="E93" s="3">
        <v>1091</v>
      </c>
      <c r="F93">
        <f>SUM(E93:E95)</f>
        <v>2387</v>
      </c>
      <c r="G93" s="56">
        <v>2387</v>
      </c>
    </row>
    <row r="94" spans="1:7" ht="12.75" x14ac:dyDescent="0.2">
      <c r="A94" s="3">
        <v>13</v>
      </c>
      <c r="B94" s="3" t="s">
        <v>42</v>
      </c>
      <c r="C94" s="3" t="s">
        <v>2</v>
      </c>
      <c r="D94" s="3" t="s">
        <v>11</v>
      </c>
      <c r="E94" s="3">
        <v>1225</v>
      </c>
      <c r="G94" s="57"/>
    </row>
    <row r="95" spans="1:7" ht="12.75" x14ac:dyDescent="0.2">
      <c r="A95" s="3">
        <v>13</v>
      </c>
      <c r="B95" s="3" t="s">
        <v>42</v>
      </c>
      <c r="C95" s="3" t="s">
        <v>2</v>
      </c>
      <c r="D95" s="3" t="s">
        <v>14</v>
      </c>
      <c r="E95" s="3">
        <v>71</v>
      </c>
      <c r="G95" s="57"/>
    </row>
    <row r="96" spans="1:7" ht="12.75" x14ac:dyDescent="0.2">
      <c r="A96" s="3">
        <v>13</v>
      </c>
      <c r="B96" s="3" t="s">
        <v>42</v>
      </c>
      <c r="C96" s="3" t="s">
        <v>10</v>
      </c>
      <c r="D96" s="3" t="s">
        <v>3</v>
      </c>
      <c r="E96" s="3">
        <v>1056</v>
      </c>
      <c r="F96">
        <f>SUM(E96:E98)</f>
        <v>2387</v>
      </c>
      <c r="G96" s="57"/>
    </row>
    <row r="97" spans="1:7" ht="12.75" x14ac:dyDescent="0.2">
      <c r="A97" s="3">
        <v>13</v>
      </c>
      <c r="B97" s="3" t="s">
        <v>42</v>
      </c>
      <c r="C97" s="3" t="s">
        <v>10</v>
      </c>
      <c r="D97" s="3" t="s">
        <v>11</v>
      </c>
      <c r="E97" s="3">
        <v>1168</v>
      </c>
      <c r="G97" s="57"/>
    </row>
    <row r="98" spans="1:7" ht="12.75" x14ac:dyDescent="0.2">
      <c r="A98" s="3">
        <v>13</v>
      </c>
      <c r="B98" s="3" t="s">
        <v>42</v>
      </c>
      <c r="C98" s="3" t="s">
        <v>10</v>
      </c>
      <c r="D98" s="3" t="s">
        <v>14</v>
      </c>
      <c r="E98" s="3">
        <v>163</v>
      </c>
      <c r="G98" s="57"/>
    </row>
    <row r="99" spans="1:7" ht="12.75" x14ac:dyDescent="0.2">
      <c r="A99" s="3">
        <v>13</v>
      </c>
      <c r="B99" s="3" t="s">
        <v>42</v>
      </c>
      <c r="C99" s="3" t="s">
        <v>13</v>
      </c>
      <c r="D99" s="3" t="s">
        <v>3</v>
      </c>
      <c r="E99" s="3">
        <v>1052</v>
      </c>
      <c r="F99">
        <f>SUM(E99:E101)</f>
        <v>2387</v>
      </c>
      <c r="G99" s="57"/>
    </row>
    <row r="100" spans="1:7" ht="12.75" x14ac:dyDescent="0.2">
      <c r="A100" s="3">
        <v>13</v>
      </c>
      <c r="B100" s="3" t="s">
        <v>42</v>
      </c>
      <c r="C100" s="3" t="s">
        <v>13</v>
      </c>
      <c r="D100" s="3" t="s">
        <v>11</v>
      </c>
      <c r="E100" s="3">
        <v>1176</v>
      </c>
      <c r="G100" s="57"/>
    </row>
    <row r="101" spans="1:7" ht="12.75" x14ac:dyDescent="0.2">
      <c r="A101" s="3">
        <v>13</v>
      </c>
      <c r="B101" s="3" t="s">
        <v>42</v>
      </c>
      <c r="C101" s="3" t="s">
        <v>13</v>
      </c>
      <c r="D101" s="3" t="s">
        <v>14</v>
      </c>
      <c r="E101" s="3">
        <v>159</v>
      </c>
      <c r="G101" s="57"/>
    </row>
    <row r="102" spans="1:7" ht="12.75" x14ac:dyDescent="0.2">
      <c r="A102" s="3">
        <v>15</v>
      </c>
      <c r="B102" s="3" t="s">
        <v>43</v>
      </c>
      <c r="C102" s="3" t="s">
        <v>2</v>
      </c>
      <c r="D102" s="3" t="s">
        <v>3</v>
      </c>
      <c r="E102" s="3">
        <v>460</v>
      </c>
      <c r="F102">
        <f>SUM(E102:E105)</f>
        <v>1134</v>
      </c>
      <c r="G102" s="56">
        <v>1135</v>
      </c>
    </row>
    <row r="103" spans="1:7" ht="12.75" x14ac:dyDescent="0.2">
      <c r="A103" s="3">
        <v>15</v>
      </c>
      <c r="B103" s="3" t="s">
        <v>43</v>
      </c>
      <c r="C103" s="3" t="s">
        <v>2</v>
      </c>
      <c r="D103" s="3" t="s">
        <v>22</v>
      </c>
      <c r="E103" s="3">
        <v>456</v>
      </c>
      <c r="G103" s="57"/>
    </row>
    <row r="104" spans="1:7" ht="12.75" x14ac:dyDescent="0.2">
      <c r="A104" s="3">
        <v>15</v>
      </c>
      <c r="B104" s="3" t="s">
        <v>43</v>
      </c>
      <c r="C104" s="3" t="s">
        <v>2</v>
      </c>
      <c r="D104" s="3" t="s">
        <v>11</v>
      </c>
      <c r="E104" s="3">
        <v>181</v>
      </c>
      <c r="G104" s="57"/>
    </row>
    <row r="105" spans="1:7" ht="12.75" x14ac:dyDescent="0.2">
      <c r="A105" s="3">
        <v>15</v>
      </c>
      <c r="B105" s="3" t="s">
        <v>43</v>
      </c>
      <c r="C105" s="3" t="s">
        <v>2</v>
      </c>
      <c r="D105" s="3" t="s">
        <v>14</v>
      </c>
      <c r="E105" s="3">
        <v>37</v>
      </c>
      <c r="G105" s="57"/>
    </row>
    <row r="106" spans="1:7" ht="12.75" x14ac:dyDescent="0.2">
      <c r="A106" s="3">
        <v>15</v>
      </c>
      <c r="B106" s="3" t="s">
        <v>43</v>
      </c>
      <c r="C106" s="3" t="s">
        <v>10</v>
      </c>
      <c r="D106" s="3" t="s">
        <v>3</v>
      </c>
      <c r="E106" s="3">
        <v>406</v>
      </c>
      <c r="F106">
        <f>SUM(E106:E109)</f>
        <v>1134</v>
      </c>
      <c r="G106" s="57"/>
    </row>
    <row r="107" spans="1:7" ht="12.75" x14ac:dyDescent="0.2">
      <c r="A107" s="3">
        <v>15</v>
      </c>
      <c r="B107" s="3" t="s">
        <v>43</v>
      </c>
      <c r="C107" s="3" t="s">
        <v>10</v>
      </c>
      <c r="D107" s="3" t="s">
        <v>22</v>
      </c>
      <c r="E107" s="3">
        <v>475</v>
      </c>
      <c r="G107" s="57"/>
    </row>
    <row r="108" spans="1:7" ht="12.75" x14ac:dyDescent="0.2">
      <c r="A108" s="3">
        <v>15</v>
      </c>
      <c r="B108" s="3" t="s">
        <v>43</v>
      </c>
      <c r="C108" s="3" t="s">
        <v>10</v>
      </c>
      <c r="D108" s="3" t="s">
        <v>11</v>
      </c>
      <c r="E108" s="3">
        <v>195</v>
      </c>
      <c r="G108" s="57"/>
    </row>
    <row r="109" spans="1:7" ht="12.75" x14ac:dyDescent="0.2">
      <c r="A109" s="3">
        <v>15</v>
      </c>
      <c r="B109" s="3" t="s">
        <v>43</v>
      </c>
      <c r="C109" s="3" t="s">
        <v>10</v>
      </c>
      <c r="D109" s="3" t="s">
        <v>14</v>
      </c>
      <c r="E109" s="3">
        <v>58</v>
      </c>
      <c r="G109" s="57"/>
    </row>
    <row r="110" spans="1:7" ht="12.75" x14ac:dyDescent="0.2">
      <c r="A110" s="3">
        <v>15</v>
      </c>
      <c r="B110" s="3" t="s">
        <v>43</v>
      </c>
      <c r="C110" s="3" t="s">
        <v>13</v>
      </c>
      <c r="D110" s="3" t="s">
        <v>3</v>
      </c>
      <c r="E110" s="3">
        <v>358</v>
      </c>
      <c r="F110">
        <f>SUM(E110:E113)</f>
        <v>1134</v>
      </c>
      <c r="G110" s="57"/>
    </row>
    <row r="111" spans="1:7" ht="12.75" x14ac:dyDescent="0.2">
      <c r="A111" s="3">
        <v>15</v>
      </c>
      <c r="B111" s="3" t="s">
        <v>43</v>
      </c>
      <c r="C111" s="3" t="s">
        <v>13</v>
      </c>
      <c r="D111" s="3" t="s">
        <v>22</v>
      </c>
      <c r="E111" s="3">
        <v>488</v>
      </c>
      <c r="G111" s="57"/>
    </row>
    <row r="112" spans="1:7" ht="12.75" x14ac:dyDescent="0.2">
      <c r="A112" s="3">
        <v>15</v>
      </c>
      <c r="B112" s="3" t="s">
        <v>43</v>
      </c>
      <c r="C112" s="3" t="s">
        <v>13</v>
      </c>
      <c r="D112" s="3" t="s">
        <v>11</v>
      </c>
      <c r="E112" s="3">
        <v>205</v>
      </c>
      <c r="G112" s="57"/>
    </row>
    <row r="113" spans="1:7" ht="12.75" x14ac:dyDescent="0.2">
      <c r="A113" s="3">
        <v>15</v>
      </c>
      <c r="B113" s="3" t="s">
        <v>43</v>
      </c>
      <c r="C113" s="3" t="s">
        <v>13</v>
      </c>
      <c r="D113" s="3" t="s">
        <v>14</v>
      </c>
      <c r="E113" s="3">
        <v>83</v>
      </c>
      <c r="G113" s="57"/>
    </row>
    <row r="114" spans="1:7" ht="12.75" x14ac:dyDescent="0.2">
      <c r="A114" s="3">
        <v>16</v>
      </c>
      <c r="B114" s="3" t="s">
        <v>44</v>
      </c>
      <c r="C114" s="3" t="s">
        <v>2</v>
      </c>
      <c r="D114" s="3" t="s">
        <v>3</v>
      </c>
      <c r="E114" s="3">
        <v>334</v>
      </c>
      <c r="F114">
        <f>SUM(E114:E116)</f>
        <v>720</v>
      </c>
      <c r="G114" s="56">
        <v>721</v>
      </c>
    </row>
    <row r="115" spans="1:7" ht="12.75" x14ac:dyDescent="0.2">
      <c r="A115" s="3">
        <v>16</v>
      </c>
      <c r="B115" s="3" t="s">
        <v>44</v>
      </c>
      <c r="C115" s="3" t="s">
        <v>2</v>
      </c>
      <c r="D115" s="3" t="s">
        <v>11</v>
      </c>
      <c r="E115" s="3">
        <v>367</v>
      </c>
      <c r="G115" s="57"/>
    </row>
    <row r="116" spans="1:7" ht="12.75" x14ac:dyDescent="0.2">
      <c r="A116" s="3">
        <v>16</v>
      </c>
      <c r="B116" s="3" t="s">
        <v>44</v>
      </c>
      <c r="C116" s="3" t="s">
        <v>2</v>
      </c>
      <c r="D116" s="3" t="s">
        <v>14</v>
      </c>
      <c r="E116" s="3">
        <v>19</v>
      </c>
      <c r="G116" s="57"/>
    </row>
    <row r="117" spans="1:7" ht="12.75" x14ac:dyDescent="0.2">
      <c r="A117" s="3">
        <v>16</v>
      </c>
      <c r="B117" s="3" t="s">
        <v>44</v>
      </c>
      <c r="C117" s="3" t="s">
        <v>10</v>
      </c>
      <c r="D117" s="3" t="s">
        <v>3</v>
      </c>
      <c r="E117" s="3">
        <v>317</v>
      </c>
      <c r="F117">
        <f>SUM(E117:E119)</f>
        <v>720</v>
      </c>
      <c r="G117" s="57"/>
    </row>
    <row r="118" spans="1:7" ht="12.75" x14ac:dyDescent="0.2">
      <c r="A118" s="3">
        <v>16</v>
      </c>
      <c r="B118" s="3" t="s">
        <v>44</v>
      </c>
      <c r="C118" s="3" t="s">
        <v>10</v>
      </c>
      <c r="D118" s="3" t="s">
        <v>11</v>
      </c>
      <c r="E118" s="3">
        <v>376</v>
      </c>
      <c r="G118" s="57"/>
    </row>
    <row r="119" spans="1:7" ht="12.75" x14ac:dyDescent="0.2">
      <c r="A119" s="3">
        <v>16</v>
      </c>
      <c r="B119" s="3" t="s">
        <v>44</v>
      </c>
      <c r="C119" s="3" t="s">
        <v>10</v>
      </c>
      <c r="D119" s="3" t="s">
        <v>14</v>
      </c>
      <c r="E119" s="3">
        <v>27</v>
      </c>
      <c r="G119" s="57"/>
    </row>
    <row r="120" spans="1:7" ht="12.75" x14ac:dyDescent="0.2">
      <c r="A120" s="3">
        <v>16</v>
      </c>
      <c r="B120" s="3" t="s">
        <v>44</v>
      </c>
      <c r="C120" s="3" t="s">
        <v>13</v>
      </c>
      <c r="D120" s="3" t="s">
        <v>3</v>
      </c>
      <c r="E120" s="3">
        <v>323</v>
      </c>
      <c r="F120">
        <f>SUM(E120:E122)</f>
        <v>720</v>
      </c>
      <c r="G120" s="57"/>
    </row>
    <row r="121" spans="1:7" ht="12.75" x14ac:dyDescent="0.2">
      <c r="A121" s="3">
        <v>16</v>
      </c>
      <c r="B121" s="3" t="s">
        <v>44</v>
      </c>
      <c r="C121" s="3" t="s">
        <v>13</v>
      </c>
      <c r="D121" s="3" t="s">
        <v>11</v>
      </c>
      <c r="E121" s="3">
        <v>372</v>
      </c>
      <c r="G121" s="57"/>
    </row>
    <row r="122" spans="1:7" ht="12.75" x14ac:dyDescent="0.2">
      <c r="A122" s="3">
        <v>16</v>
      </c>
      <c r="B122" s="3" t="s">
        <v>44</v>
      </c>
      <c r="C122" s="3" t="s">
        <v>13</v>
      </c>
      <c r="D122" s="3" t="s">
        <v>14</v>
      </c>
      <c r="E122" s="3">
        <v>25</v>
      </c>
      <c r="G122" s="57"/>
    </row>
    <row r="123" spans="1:7" ht="12.75" x14ac:dyDescent="0.2">
      <c r="A123" s="3">
        <v>17</v>
      </c>
      <c r="B123" s="3" t="s">
        <v>45</v>
      </c>
      <c r="C123" s="3" t="s">
        <v>13</v>
      </c>
      <c r="D123" s="3" t="s">
        <v>3</v>
      </c>
      <c r="E123" s="3">
        <v>39</v>
      </c>
      <c r="F123">
        <f>SUM(E123:E124)</f>
        <v>47</v>
      </c>
      <c r="G123" s="56">
        <v>47</v>
      </c>
    </row>
    <row r="124" spans="1:7" ht="12.75" x14ac:dyDescent="0.2">
      <c r="A124" s="3">
        <v>17</v>
      </c>
      <c r="B124" s="3" t="s">
        <v>45</v>
      </c>
      <c r="C124" s="3" t="s">
        <v>13</v>
      </c>
      <c r="D124" s="3" t="s">
        <v>14</v>
      </c>
      <c r="E124" s="3">
        <v>8</v>
      </c>
      <c r="G124" s="57"/>
    </row>
    <row r="125" spans="1:7" ht="12.75" x14ac:dyDescent="0.2">
      <c r="A125" s="3">
        <v>18</v>
      </c>
      <c r="B125" s="3" t="s">
        <v>46</v>
      </c>
      <c r="C125" s="3" t="s">
        <v>2</v>
      </c>
      <c r="D125" s="3" t="s">
        <v>3</v>
      </c>
      <c r="E125" s="3">
        <v>229</v>
      </c>
      <c r="F125">
        <f>SUM(E125:E127)</f>
        <v>439</v>
      </c>
      <c r="G125" s="56">
        <v>439</v>
      </c>
    </row>
    <row r="126" spans="1:7" ht="12.75" x14ac:dyDescent="0.2">
      <c r="A126" s="3">
        <v>18</v>
      </c>
      <c r="B126" s="3" t="s">
        <v>46</v>
      </c>
      <c r="C126" s="3" t="s">
        <v>2</v>
      </c>
      <c r="D126" s="3" t="s">
        <v>11</v>
      </c>
      <c r="E126" s="3">
        <v>202</v>
      </c>
      <c r="G126" s="57"/>
    </row>
    <row r="127" spans="1:7" ht="12.75" x14ac:dyDescent="0.2">
      <c r="A127" s="3">
        <v>18</v>
      </c>
      <c r="B127" s="3" t="s">
        <v>46</v>
      </c>
      <c r="C127" s="3" t="s">
        <v>2</v>
      </c>
      <c r="D127" s="3" t="s">
        <v>14</v>
      </c>
      <c r="E127" s="3">
        <v>8</v>
      </c>
      <c r="G127" s="57"/>
    </row>
    <row r="128" spans="1:7" ht="12.75" x14ac:dyDescent="0.2">
      <c r="A128" s="3">
        <v>18</v>
      </c>
      <c r="B128" s="3" t="s">
        <v>46</v>
      </c>
      <c r="C128" s="3" t="s">
        <v>10</v>
      </c>
      <c r="D128" s="3" t="s">
        <v>3</v>
      </c>
      <c r="E128" s="3">
        <v>218</v>
      </c>
      <c r="F128">
        <f>SUM(E128:E130)</f>
        <v>432</v>
      </c>
      <c r="G128" s="57"/>
    </row>
    <row r="129" spans="1:7" ht="12.75" x14ac:dyDescent="0.2">
      <c r="A129" s="3">
        <v>18</v>
      </c>
      <c r="B129" s="3" t="s">
        <v>46</v>
      </c>
      <c r="C129" s="3" t="s">
        <v>10</v>
      </c>
      <c r="D129" s="3" t="s">
        <v>11</v>
      </c>
      <c r="E129" s="3">
        <v>197</v>
      </c>
      <c r="G129" s="57"/>
    </row>
    <row r="130" spans="1:7" ht="12.75" x14ac:dyDescent="0.2">
      <c r="A130" s="3">
        <v>18</v>
      </c>
      <c r="B130" s="3" t="s">
        <v>46</v>
      </c>
      <c r="C130" s="3" t="s">
        <v>10</v>
      </c>
      <c r="D130" s="3" t="s">
        <v>14</v>
      </c>
      <c r="E130" s="3">
        <v>17</v>
      </c>
      <c r="G130" s="57"/>
    </row>
    <row r="131" spans="1:7" ht="12.75" x14ac:dyDescent="0.2">
      <c r="A131" s="3">
        <v>18</v>
      </c>
      <c r="B131" s="3" t="s">
        <v>46</v>
      </c>
      <c r="C131" s="3" t="s">
        <v>13</v>
      </c>
      <c r="D131" s="3" t="s">
        <v>3</v>
      </c>
      <c r="E131" s="3">
        <v>219</v>
      </c>
      <c r="F131">
        <f>SUM(E131:E133)</f>
        <v>438</v>
      </c>
      <c r="G131" s="57"/>
    </row>
    <row r="132" spans="1:7" ht="12.75" x14ac:dyDescent="0.2">
      <c r="A132" s="3">
        <v>18</v>
      </c>
      <c r="B132" s="3" t="s">
        <v>46</v>
      </c>
      <c r="C132" s="3" t="s">
        <v>13</v>
      </c>
      <c r="D132" s="3" t="s">
        <v>11</v>
      </c>
      <c r="E132" s="3">
        <v>205</v>
      </c>
      <c r="G132" s="57"/>
    </row>
    <row r="133" spans="1:7" ht="12.75" x14ac:dyDescent="0.2">
      <c r="A133" s="3">
        <v>18</v>
      </c>
      <c r="B133" s="3" t="s">
        <v>46</v>
      </c>
      <c r="C133" s="3" t="s">
        <v>13</v>
      </c>
      <c r="D133" s="3" t="s">
        <v>14</v>
      </c>
      <c r="E133" s="3">
        <v>14</v>
      </c>
      <c r="G133" s="57"/>
    </row>
    <row r="134" spans="1:7" ht="12.75" x14ac:dyDescent="0.2">
      <c r="A134" s="3">
        <v>19</v>
      </c>
      <c r="B134" s="3" t="s">
        <v>47</v>
      </c>
      <c r="C134" s="3" t="s">
        <v>2</v>
      </c>
      <c r="D134" s="3" t="s">
        <v>3</v>
      </c>
      <c r="E134" s="3">
        <v>670</v>
      </c>
      <c r="F134">
        <f>SUM(E134:E136)</f>
        <v>1161</v>
      </c>
      <c r="G134" s="56">
        <v>1162</v>
      </c>
    </row>
    <row r="135" spans="1:7" ht="12.75" x14ac:dyDescent="0.2">
      <c r="A135" s="3">
        <v>19</v>
      </c>
      <c r="B135" s="3" t="s">
        <v>47</v>
      </c>
      <c r="C135" s="3" t="s">
        <v>2</v>
      </c>
      <c r="D135" s="3" t="s">
        <v>11</v>
      </c>
      <c r="E135" s="3">
        <v>422</v>
      </c>
      <c r="G135" s="57"/>
    </row>
    <row r="136" spans="1:7" ht="12.75" x14ac:dyDescent="0.2">
      <c r="A136" s="3">
        <v>19</v>
      </c>
      <c r="B136" s="3" t="s">
        <v>47</v>
      </c>
      <c r="C136" s="3" t="s">
        <v>2</v>
      </c>
      <c r="D136" s="3" t="s">
        <v>14</v>
      </c>
      <c r="E136" s="3">
        <v>69</v>
      </c>
      <c r="G136" s="57"/>
    </row>
    <row r="137" spans="1:7" ht="12.75" x14ac:dyDescent="0.2">
      <c r="A137" s="3">
        <v>19</v>
      </c>
      <c r="B137" s="3" t="s">
        <v>47</v>
      </c>
      <c r="C137" s="3" t="s">
        <v>10</v>
      </c>
      <c r="D137" s="3" t="s">
        <v>3</v>
      </c>
      <c r="E137" s="3">
        <v>652</v>
      </c>
      <c r="F137">
        <f>SUM(E137:E139)</f>
        <v>1161</v>
      </c>
      <c r="G137" s="57"/>
    </row>
    <row r="138" spans="1:7" ht="12.75" x14ac:dyDescent="0.2">
      <c r="A138" s="3">
        <v>19</v>
      </c>
      <c r="B138" s="3" t="s">
        <v>47</v>
      </c>
      <c r="C138" s="3" t="s">
        <v>10</v>
      </c>
      <c r="D138" s="3" t="s">
        <v>11</v>
      </c>
      <c r="E138" s="3">
        <v>417</v>
      </c>
      <c r="G138" s="57"/>
    </row>
    <row r="139" spans="1:7" ht="12.75" x14ac:dyDescent="0.2">
      <c r="A139" s="3">
        <v>19</v>
      </c>
      <c r="B139" s="3" t="s">
        <v>47</v>
      </c>
      <c r="C139" s="3" t="s">
        <v>10</v>
      </c>
      <c r="D139" s="3" t="s">
        <v>14</v>
      </c>
      <c r="E139" s="3">
        <v>92</v>
      </c>
      <c r="G139" s="57"/>
    </row>
    <row r="140" spans="1:7" ht="12.75" x14ac:dyDescent="0.2">
      <c r="A140" s="3">
        <v>19</v>
      </c>
      <c r="B140" s="3" t="s">
        <v>47</v>
      </c>
      <c r="C140" s="3" t="s">
        <v>13</v>
      </c>
      <c r="D140" s="3" t="s">
        <v>3</v>
      </c>
      <c r="E140" s="3">
        <v>643</v>
      </c>
      <c r="F140">
        <f>SUM(E140:E142)</f>
        <v>1161</v>
      </c>
      <c r="G140" s="57"/>
    </row>
    <row r="141" spans="1:7" ht="12.75" x14ac:dyDescent="0.2">
      <c r="A141" s="3">
        <v>19</v>
      </c>
      <c r="B141" s="3" t="s">
        <v>47</v>
      </c>
      <c r="C141" s="3" t="s">
        <v>13</v>
      </c>
      <c r="D141" s="3" t="s">
        <v>11</v>
      </c>
      <c r="E141" s="3">
        <v>417</v>
      </c>
      <c r="G141" s="57"/>
    </row>
    <row r="142" spans="1:7" ht="12.75" x14ac:dyDescent="0.2">
      <c r="A142" s="3">
        <v>19</v>
      </c>
      <c r="B142" s="3" t="s">
        <v>47</v>
      </c>
      <c r="C142" s="3" t="s">
        <v>13</v>
      </c>
      <c r="D142" s="3" t="s">
        <v>14</v>
      </c>
      <c r="E142" s="3">
        <v>101</v>
      </c>
      <c r="G142" s="57"/>
    </row>
    <row r="143" spans="1:7" ht="12.75" x14ac:dyDescent="0.2">
      <c r="A143" s="2" t="s">
        <v>48</v>
      </c>
      <c r="B143" s="3" t="s">
        <v>49</v>
      </c>
      <c r="C143" s="3" t="s">
        <v>15</v>
      </c>
      <c r="D143" s="3" t="s">
        <v>3</v>
      </c>
      <c r="E143" s="3">
        <v>71</v>
      </c>
      <c r="F143">
        <f>SUM(E143:E144)</f>
        <v>93</v>
      </c>
      <c r="G143" s="56">
        <v>93</v>
      </c>
    </row>
    <row r="144" spans="1:7" ht="12.75" x14ac:dyDescent="0.2">
      <c r="A144" s="2" t="s">
        <v>48</v>
      </c>
      <c r="B144" s="3" t="s">
        <v>49</v>
      </c>
      <c r="C144" s="3" t="s">
        <v>15</v>
      </c>
      <c r="D144" s="3" t="s">
        <v>14</v>
      </c>
      <c r="E144" s="3">
        <v>22</v>
      </c>
      <c r="G144" s="57"/>
    </row>
    <row r="145" spans="1:7" ht="12.75" x14ac:dyDescent="0.2">
      <c r="A145" s="2" t="s">
        <v>48</v>
      </c>
      <c r="B145" s="3" t="s">
        <v>49</v>
      </c>
      <c r="C145" s="3" t="s">
        <v>17</v>
      </c>
      <c r="D145" s="3" t="s">
        <v>3</v>
      </c>
      <c r="E145" s="3">
        <v>68</v>
      </c>
      <c r="F145">
        <f>SUM(E145:E146)</f>
        <v>93</v>
      </c>
      <c r="G145" s="57"/>
    </row>
    <row r="146" spans="1:7" ht="12.75" x14ac:dyDescent="0.2">
      <c r="A146" s="2" t="s">
        <v>48</v>
      </c>
      <c r="B146" s="3" t="s">
        <v>49</v>
      </c>
      <c r="C146" s="3" t="s">
        <v>17</v>
      </c>
      <c r="D146" s="3" t="s">
        <v>14</v>
      </c>
      <c r="E146" s="3">
        <v>25</v>
      </c>
      <c r="G146" s="57"/>
    </row>
    <row r="147" spans="1:7" ht="12.75" x14ac:dyDescent="0.2">
      <c r="A147" s="3">
        <v>20</v>
      </c>
      <c r="B147" s="3" t="s">
        <v>50</v>
      </c>
      <c r="C147" s="3" t="s">
        <v>2</v>
      </c>
      <c r="D147" s="3" t="s">
        <v>3</v>
      </c>
      <c r="E147" s="3">
        <v>152</v>
      </c>
      <c r="F147">
        <f>SUM(E147:E149)</f>
        <v>274</v>
      </c>
      <c r="G147" s="56">
        <v>274</v>
      </c>
    </row>
    <row r="148" spans="1:7" ht="12.75" x14ac:dyDescent="0.2">
      <c r="A148" s="3">
        <v>20</v>
      </c>
      <c r="B148" s="3" t="s">
        <v>50</v>
      </c>
      <c r="C148" s="3" t="s">
        <v>2</v>
      </c>
      <c r="D148" s="3" t="s">
        <v>11</v>
      </c>
      <c r="E148" s="3">
        <v>106</v>
      </c>
      <c r="G148" s="57"/>
    </row>
    <row r="149" spans="1:7" ht="12.75" x14ac:dyDescent="0.2">
      <c r="A149" s="3">
        <v>20</v>
      </c>
      <c r="B149" s="3" t="s">
        <v>50</v>
      </c>
      <c r="C149" s="3" t="s">
        <v>2</v>
      </c>
      <c r="D149" s="3" t="s">
        <v>14</v>
      </c>
      <c r="E149" s="3">
        <v>16</v>
      </c>
      <c r="G149" s="57"/>
    </row>
    <row r="150" spans="1:7" ht="12.75" x14ac:dyDescent="0.2">
      <c r="A150" s="3">
        <v>20</v>
      </c>
      <c r="B150" s="3" t="s">
        <v>50</v>
      </c>
      <c r="C150" s="3" t="s">
        <v>10</v>
      </c>
      <c r="D150" s="3" t="s">
        <v>3</v>
      </c>
      <c r="E150" s="3">
        <v>141</v>
      </c>
      <c r="F150">
        <f>SUM(E150:E152)</f>
        <v>274</v>
      </c>
      <c r="G150" s="57"/>
    </row>
    <row r="151" spans="1:7" ht="12.75" x14ac:dyDescent="0.2">
      <c r="A151" s="3">
        <v>20</v>
      </c>
      <c r="B151" s="3" t="s">
        <v>50</v>
      </c>
      <c r="C151" s="3" t="s">
        <v>10</v>
      </c>
      <c r="D151" s="3" t="s">
        <v>11</v>
      </c>
      <c r="E151" s="3">
        <v>118</v>
      </c>
      <c r="G151" s="57"/>
    </row>
    <row r="152" spans="1:7" ht="12.75" x14ac:dyDescent="0.2">
      <c r="A152" s="3">
        <v>20</v>
      </c>
      <c r="B152" s="3" t="s">
        <v>50</v>
      </c>
      <c r="C152" s="3" t="s">
        <v>10</v>
      </c>
      <c r="D152" s="3" t="s">
        <v>14</v>
      </c>
      <c r="E152" s="3">
        <v>15</v>
      </c>
      <c r="G152" s="57"/>
    </row>
    <row r="153" spans="1:7" ht="12.75" x14ac:dyDescent="0.2">
      <c r="A153" s="3">
        <v>21</v>
      </c>
      <c r="B153" s="3" t="s">
        <v>51</v>
      </c>
      <c r="C153" s="3" t="s">
        <v>2</v>
      </c>
      <c r="D153" s="3" t="s">
        <v>3</v>
      </c>
      <c r="E153" s="3">
        <v>365</v>
      </c>
      <c r="F153">
        <f>SUM(E153:E155)</f>
        <v>521</v>
      </c>
      <c r="G153" s="56">
        <v>522</v>
      </c>
    </row>
    <row r="154" spans="1:7" ht="12.75" x14ac:dyDescent="0.2">
      <c r="A154" s="3">
        <v>21</v>
      </c>
      <c r="B154" s="3" t="s">
        <v>51</v>
      </c>
      <c r="C154" s="3" t="s">
        <v>2</v>
      </c>
      <c r="D154" s="3" t="s">
        <v>11</v>
      </c>
      <c r="E154" s="3">
        <v>136</v>
      </c>
      <c r="G154" s="57"/>
    </row>
    <row r="155" spans="1:7" ht="12.75" x14ac:dyDescent="0.2">
      <c r="A155" s="3">
        <v>21</v>
      </c>
      <c r="B155" s="3" t="s">
        <v>51</v>
      </c>
      <c r="C155" s="3" t="s">
        <v>2</v>
      </c>
      <c r="D155" s="3" t="s">
        <v>14</v>
      </c>
      <c r="E155" s="3">
        <v>20</v>
      </c>
      <c r="G155" s="57"/>
    </row>
    <row r="156" spans="1:7" ht="12.75" x14ac:dyDescent="0.2">
      <c r="A156" s="3">
        <v>21</v>
      </c>
      <c r="B156" s="3" t="s">
        <v>51</v>
      </c>
      <c r="C156" s="3" t="s">
        <v>10</v>
      </c>
      <c r="D156" s="3" t="s">
        <v>3</v>
      </c>
      <c r="E156" s="3">
        <v>305</v>
      </c>
      <c r="F156">
        <f>SUM(E156:E158)</f>
        <v>521</v>
      </c>
      <c r="G156" s="57"/>
    </row>
    <row r="157" spans="1:7" ht="12.75" x14ac:dyDescent="0.2">
      <c r="A157" s="3">
        <v>21</v>
      </c>
      <c r="B157" s="3" t="s">
        <v>51</v>
      </c>
      <c r="C157" s="3" t="s">
        <v>10</v>
      </c>
      <c r="D157" s="3" t="s">
        <v>11</v>
      </c>
      <c r="E157" s="3">
        <v>198</v>
      </c>
      <c r="G157" s="57"/>
    </row>
    <row r="158" spans="1:7" ht="12.75" x14ac:dyDescent="0.2">
      <c r="A158" s="3">
        <v>21</v>
      </c>
      <c r="B158" s="3" t="s">
        <v>51</v>
      </c>
      <c r="C158" s="3" t="s">
        <v>10</v>
      </c>
      <c r="D158" s="3" t="s">
        <v>14</v>
      </c>
      <c r="E158" s="3">
        <v>18</v>
      </c>
      <c r="G158" s="57"/>
    </row>
    <row r="159" spans="1:7" ht="12.75" x14ac:dyDescent="0.2">
      <c r="A159" s="3">
        <v>21</v>
      </c>
      <c r="B159" s="3" t="s">
        <v>51</v>
      </c>
      <c r="C159" s="3" t="s">
        <v>13</v>
      </c>
      <c r="D159" s="3" t="s">
        <v>3</v>
      </c>
      <c r="E159" s="3">
        <v>236</v>
      </c>
      <c r="F159">
        <f>SUM(E159:E161)</f>
        <v>521</v>
      </c>
      <c r="G159" s="57"/>
    </row>
    <row r="160" spans="1:7" ht="12.75" x14ac:dyDescent="0.2">
      <c r="A160" s="3">
        <v>21</v>
      </c>
      <c r="B160" s="3" t="s">
        <v>51</v>
      </c>
      <c r="C160" s="3" t="s">
        <v>13</v>
      </c>
      <c r="D160" s="3" t="s">
        <v>11</v>
      </c>
      <c r="E160" s="3">
        <v>240</v>
      </c>
      <c r="G160" s="57"/>
    </row>
    <row r="161" spans="1:7" ht="12.75" x14ac:dyDescent="0.2">
      <c r="A161" s="3">
        <v>21</v>
      </c>
      <c r="B161" s="3" t="s">
        <v>51</v>
      </c>
      <c r="C161" s="3" t="s">
        <v>13</v>
      </c>
      <c r="D161" s="3" t="s">
        <v>14</v>
      </c>
      <c r="E161" s="3">
        <v>45</v>
      </c>
      <c r="G161" s="57"/>
    </row>
    <row r="162" spans="1:7" ht="12.75" x14ac:dyDescent="0.2">
      <c r="A162" s="3">
        <v>22</v>
      </c>
      <c r="B162" s="3" t="s">
        <v>52</v>
      </c>
      <c r="C162" s="3" t="s">
        <v>2</v>
      </c>
      <c r="D162" s="3" t="s">
        <v>3</v>
      </c>
      <c r="E162" s="3">
        <v>2333</v>
      </c>
      <c r="F162">
        <f>SUM(E162:E165)</f>
        <v>4691</v>
      </c>
      <c r="G162" s="56">
        <v>4700</v>
      </c>
    </row>
    <row r="163" spans="1:7" ht="12.75" x14ac:dyDescent="0.2">
      <c r="A163" s="3">
        <v>22</v>
      </c>
      <c r="B163" s="3" t="s">
        <v>52</v>
      </c>
      <c r="C163" s="3" t="s">
        <v>2</v>
      </c>
      <c r="D163" s="3" t="s">
        <v>11</v>
      </c>
      <c r="E163" s="3">
        <v>2074</v>
      </c>
      <c r="G163" s="57"/>
    </row>
    <row r="164" spans="1:7" ht="12.75" x14ac:dyDescent="0.2">
      <c r="A164" s="3">
        <v>22</v>
      </c>
      <c r="B164" s="3" t="s">
        <v>52</v>
      </c>
      <c r="C164" s="3" t="s">
        <v>2</v>
      </c>
      <c r="D164" s="3" t="s">
        <v>20</v>
      </c>
      <c r="E164" s="3">
        <v>88</v>
      </c>
      <c r="G164" s="57"/>
    </row>
    <row r="165" spans="1:7" ht="12.75" x14ac:dyDescent="0.2">
      <c r="A165" s="3">
        <v>22</v>
      </c>
      <c r="B165" s="3" t="s">
        <v>52</v>
      </c>
      <c r="C165" s="3" t="s">
        <v>2</v>
      </c>
      <c r="D165" s="3" t="s">
        <v>14</v>
      </c>
      <c r="E165" s="3">
        <v>196</v>
      </c>
      <c r="G165" s="57"/>
    </row>
    <row r="166" spans="1:7" ht="12.75" x14ac:dyDescent="0.2">
      <c r="A166" s="3">
        <v>22</v>
      </c>
      <c r="B166" s="3" t="s">
        <v>52</v>
      </c>
      <c r="C166" s="3" t="s">
        <v>10</v>
      </c>
      <c r="D166" s="3" t="s">
        <v>3</v>
      </c>
      <c r="E166" s="3">
        <v>2373</v>
      </c>
      <c r="F166">
        <f>SUM(E166:E169)</f>
        <v>4690</v>
      </c>
      <c r="G166" s="57"/>
    </row>
    <row r="167" spans="1:7" ht="12.75" x14ac:dyDescent="0.2">
      <c r="A167" s="3">
        <v>22</v>
      </c>
      <c r="B167" s="3" t="s">
        <v>52</v>
      </c>
      <c r="C167" s="3" t="s">
        <v>10</v>
      </c>
      <c r="D167" s="3" t="s">
        <v>11</v>
      </c>
      <c r="E167" s="3">
        <v>1926</v>
      </c>
      <c r="G167" s="57"/>
    </row>
    <row r="168" spans="1:7" ht="12.75" x14ac:dyDescent="0.2">
      <c r="A168" s="3">
        <v>22</v>
      </c>
      <c r="B168" s="3" t="s">
        <v>52</v>
      </c>
      <c r="C168" s="3" t="s">
        <v>10</v>
      </c>
      <c r="D168" s="3" t="s">
        <v>20</v>
      </c>
      <c r="E168" s="3">
        <v>164</v>
      </c>
      <c r="G168" s="57"/>
    </row>
    <row r="169" spans="1:7" ht="12.75" x14ac:dyDescent="0.2">
      <c r="A169" s="3">
        <v>22</v>
      </c>
      <c r="B169" s="3" t="s">
        <v>52</v>
      </c>
      <c r="C169" s="3" t="s">
        <v>10</v>
      </c>
      <c r="D169" s="3" t="s">
        <v>14</v>
      </c>
      <c r="E169" s="3">
        <v>227</v>
      </c>
      <c r="G169" s="57"/>
    </row>
    <row r="170" spans="1:7" ht="12.75" x14ac:dyDescent="0.2">
      <c r="A170" s="3">
        <v>22</v>
      </c>
      <c r="B170" s="3" t="s">
        <v>52</v>
      </c>
      <c r="C170" s="3" t="s">
        <v>13</v>
      </c>
      <c r="D170" s="3" t="s">
        <v>3</v>
      </c>
      <c r="E170" s="3">
        <v>2435</v>
      </c>
      <c r="F170">
        <f>SUM(E170:E173)</f>
        <v>4690</v>
      </c>
      <c r="G170" s="57"/>
    </row>
    <row r="171" spans="1:7" ht="12.75" x14ac:dyDescent="0.2">
      <c r="A171" s="3">
        <v>22</v>
      </c>
      <c r="B171" s="3" t="s">
        <v>52</v>
      </c>
      <c r="C171" s="3" t="s">
        <v>13</v>
      </c>
      <c r="D171" s="3" t="s">
        <v>11</v>
      </c>
      <c r="E171" s="3">
        <v>1873</v>
      </c>
      <c r="G171" s="57"/>
    </row>
    <row r="172" spans="1:7" ht="12.75" x14ac:dyDescent="0.2">
      <c r="A172" s="3">
        <v>22</v>
      </c>
      <c r="B172" s="3" t="s">
        <v>52</v>
      </c>
      <c r="C172" s="3" t="s">
        <v>13</v>
      </c>
      <c r="D172" s="3" t="s">
        <v>20</v>
      </c>
      <c r="E172" s="3">
        <v>127</v>
      </c>
      <c r="G172" s="57"/>
    </row>
    <row r="173" spans="1:7" ht="12.75" x14ac:dyDescent="0.2">
      <c r="A173" s="3">
        <v>22</v>
      </c>
      <c r="B173" s="3" t="s">
        <v>52</v>
      </c>
      <c r="C173" s="3" t="s">
        <v>13</v>
      </c>
      <c r="D173" s="3" t="s">
        <v>14</v>
      </c>
      <c r="E173" s="3">
        <v>255</v>
      </c>
      <c r="G173" s="57"/>
    </row>
    <row r="174" spans="1:7" ht="12.75" x14ac:dyDescent="0.2">
      <c r="A174" s="3">
        <v>23</v>
      </c>
      <c r="B174" s="3" t="s">
        <v>53</v>
      </c>
      <c r="C174" s="3" t="s">
        <v>2</v>
      </c>
      <c r="D174" s="3" t="s">
        <v>3</v>
      </c>
      <c r="E174" s="3">
        <v>365</v>
      </c>
      <c r="F174">
        <f>SUM(E174:E176)</f>
        <v>576</v>
      </c>
      <c r="G174" s="56">
        <v>576</v>
      </c>
    </row>
    <row r="175" spans="1:7" ht="12.75" x14ac:dyDescent="0.2">
      <c r="A175" s="3">
        <v>23</v>
      </c>
      <c r="B175" s="3" t="s">
        <v>53</v>
      </c>
      <c r="C175" s="3" t="s">
        <v>2</v>
      </c>
      <c r="D175" s="3" t="s">
        <v>11</v>
      </c>
      <c r="E175" s="3">
        <v>187</v>
      </c>
      <c r="G175" s="57"/>
    </row>
    <row r="176" spans="1:7" ht="12.75" x14ac:dyDescent="0.2">
      <c r="A176" s="3">
        <v>23</v>
      </c>
      <c r="B176" s="3" t="s">
        <v>53</v>
      </c>
      <c r="C176" s="3" t="s">
        <v>2</v>
      </c>
      <c r="D176" s="3" t="s">
        <v>14</v>
      </c>
      <c r="E176" s="3">
        <v>24</v>
      </c>
      <c r="G176" s="57"/>
    </row>
    <row r="177" spans="1:7" ht="12.75" x14ac:dyDescent="0.2">
      <c r="A177" s="3">
        <v>23</v>
      </c>
      <c r="B177" s="3" t="s">
        <v>53</v>
      </c>
      <c r="C177" s="3" t="s">
        <v>10</v>
      </c>
      <c r="D177" s="3" t="s">
        <v>3</v>
      </c>
      <c r="E177" s="3">
        <v>345</v>
      </c>
      <c r="F177">
        <f>SUM(E177:E179)</f>
        <v>576</v>
      </c>
      <c r="G177" s="57"/>
    </row>
    <row r="178" spans="1:7" ht="12.75" x14ac:dyDescent="0.2">
      <c r="A178" s="3">
        <v>23</v>
      </c>
      <c r="B178" s="3" t="s">
        <v>53</v>
      </c>
      <c r="C178" s="3" t="s">
        <v>10</v>
      </c>
      <c r="D178" s="3" t="s">
        <v>11</v>
      </c>
      <c r="E178" s="3">
        <v>198</v>
      </c>
      <c r="G178" s="57"/>
    </row>
    <row r="179" spans="1:7" ht="12.75" x14ac:dyDescent="0.2">
      <c r="A179" s="3">
        <v>23</v>
      </c>
      <c r="B179" s="3" t="s">
        <v>53</v>
      </c>
      <c r="C179" s="3" t="s">
        <v>10</v>
      </c>
      <c r="D179" s="3" t="s">
        <v>14</v>
      </c>
      <c r="E179" s="3">
        <v>33</v>
      </c>
      <c r="G179" s="57"/>
    </row>
    <row r="180" spans="1:7" ht="12.75" x14ac:dyDescent="0.2">
      <c r="A180" s="3">
        <v>23</v>
      </c>
      <c r="B180" s="3" t="s">
        <v>53</v>
      </c>
      <c r="C180" s="3" t="s">
        <v>13</v>
      </c>
      <c r="D180" s="3" t="s">
        <v>3</v>
      </c>
      <c r="E180" s="3">
        <v>334</v>
      </c>
      <c r="F180">
        <f>SUM(E180:E182)</f>
        <v>576</v>
      </c>
      <c r="G180" s="57"/>
    </row>
    <row r="181" spans="1:7" ht="12.75" x14ac:dyDescent="0.2">
      <c r="A181" s="3">
        <v>23</v>
      </c>
      <c r="B181" s="3" t="s">
        <v>53</v>
      </c>
      <c r="C181" s="3" t="s">
        <v>13</v>
      </c>
      <c r="D181" s="3" t="s">
        <v>11</v>
      </c>
      <c r="E181" s="3">
        <v>210</v>
      </c>
      <c r="G181" s="57"/>
    </row>
    <row r="182" spans="1:7" ht="12.75" x14ac:dyDescent="0.2">
      <c r="A182" s="3">
        <v>23</v>
      </c>
      <c r="B182" s="3" t="s">
        <v>53</v>
      </c>
      <c r="C182" s="3" t="s">
        <v>13</v>
      </c>
      <c r="D182" s="3" t="s">
        <v>14</v>
      </c>
      <c r="E182" s="3">
        <v>32</v>
      </c>
      <c r="G182" s="57"/>
    </row>
    <row r="183" spans="1:7" ht="12.75" x14ac:dyDescent="0.2">
      <c r="A183" s="3">
        <v>24</v>
      </c>
      <c r="B183" s="3" t="s">
        <v>54</v>
      </c>
      <c r="C183" s="3" t="s">
        <v>15</v>
      </c>
      <c r="D183" s="3" t="s">
        <v>3</v>
      </c>
      <c r="E183" s="3">
        <v>127</v>
      </c>
      <c r="F183">
        <f>SUM(E183:E185)</f>
        <v>310</v>
      </c>
      <c r="G183" s="56">
        <v>311</v>
      </c>
    </row>
    <row r="184" spans="1:7" ht="12.75" x14ac:dyDescent="0.2">
      <c r="A184" s="3">
        <v>24</v>
      </c>
      <c r="B184" s="3" t="s">
        <v>54</v>
      </c>
      <c r="C184" s="3" t="s">
        <v>15</v>
      </c>
      <c r="D184" s="3" t="s">
        <v>11</v>
      </c>
      <c r="E184" s="3">
        <v>175</v>
      </c>
      <c r="G184" s="57"/>
    </row>
    <row r="185" spans="1:7" ht="12.75" x14ac:dyDescent="0.2">
      <c r="A185" s="3">
        <v>24</v>
      </c>
      <c r="B185" s="3" t="s">
        <v>54</v>
      </c>
      <c r="C185" s="3" t="s">
        <v>15</v>
      </c>
      <c r="D185" s="3" t="s">
        <v>14</v>
      </c>
      <c r="E185" s="3">
        <v>8</v>
      </c>
      <c r="G185" s="57"/>
    </row>
    <row r="186" spans="1:7" ht="12.75" x14ac:dyDescent="0.2">
      <c r="A186" s="3">
        <v>24</v>
      </c>
      <c r="B186" s="3" t="s">
        <v>54</v>
      </c>
      <c r="C186" s="3" t="s">
        <v>17</v>
      </c>
      <c r="D186" s="3" t="s">
        <v>3</v>
      </c>
      <c r="E186" s="3">
        <v>128</v>
      </c>
      <c r="F186">
        <f>SUM(E186:E188)</f>
        <v>310</v>
      </c>
      <c r="G186" s="57"/>
    </row>
    <row r="187" spans="1:7" ht="12.75" x14ac:dyDescent="0.2">
      <c r="A187" s="3">
        <v>24</v>
      </c>
      <c r="B187" s="3" t="s">
        <v>54</v>
      </c>
      <c r="C187" s="3" t="s">
        <v>17</v>
      </c>
      <c r="D187" s="3" t="s">
        <v>11</v>
      </c>
      <c r="E187" s="3">
        <v>170</v>
      </c>
      <c r="G187" s="57"/>
    </row>
    <row r="188" spans="1:7" ht="12.75" x14ac:dyDescent="0.2">
      <c r="A188" s="3">
        <v>24</v>
      </c>
      <c r="B188" s="3" t="s">
        <v>54</v>
      </c>
      <c r="C188" s="3" t="s">
        <v>17</v>
      </c>
      <c r="D188" s="3" t="s">
        <v>14</v>
      </c>
      <c r="E188" s="3">
        <v>12</v>
      </c>
      <c r="G188" s="57"/>
    </row>
    <row r="189" spans="1:7" ht="12.75" x14ac:dyDescent="0.2">
      <c r="A189" s="3">
        <v>24</v>
      </c>
      <c r="B189" s="3" t="s">
        <v>54</v>
      </c>
      <c r="C189" s="3" t="s">
        <v>13</v>
      </c>
      <c r="D189" s="3" t="s">
        <v>3</v>
      </c>
      <c r="E189" s="3">
        <v>127</v>
      </c>
      <c r="F189">
        <f>SUM(E189:E191)</f>
        <v>310</v>
      </c>
      <c r="G189" s="57"/>
    </row>
    <row r="190" spans="1:7" ht="12.75" x14ac:dyDescent="0.2">
      <c r="A190" s="3">
        <v>24</v>
      </c>
      <c r="B190" s="3" t="s">
        <v>54</v>
      </c>
      <c r="C190" s="3" t="s">
        <v>13</v>
      </c>
      <c r="D190" s="3" t="s">
        <v>11</v>
      </c>
      <c r="E190" s="3">
        <v>172</v>
      </c>
      <c r="G190" s="57"/>
    </row>
    <row r="191" spans="1:7" ht="12.75" x14ac:dyDescent="0.2">
      <c r="A191" s="3">
        <v>24</v>
      </c>
      <c r="B191" s="3" t="s">
        <v>54</v>
      </c>
      <c r="C191" s="3" t="s">
        <v>13</v>
      </c>
      <c r="D191" s="3" t="s">
        <v>14</v>
      </c>
      <c r="E191" s="3">
        <v>11</v>
      </c>
      <c r="G191" s="57"/>
    </row>
    <row r="192" spans="1:7" ht="12.75" x14ac:dyDescent="0.2">
      <c r="A192" s="3">
        <v>25</v>
      </c>
      <c r="B192" s="3" t="s">
        <v>55</v>
      </c>
      <c r="C192" s="3" t="s">
        <v>2</v>
      </c>
      <c r="D192" s="3" t="s">
        <v>3</v>
      </c>
      <c r="E192" s="3">
        <v>242</v>
      </c>
      <c r="F192">
        <f>SUM(E192:E194)</f>
        <v>402</v>
      </c>
      <c r="G192" s="56">
        <v>402</v>
      </c>
    </row>
    <row r="193" spans="1:7" ht="12.75" x14ac:dyDescent="0.2">
      <c r="A193" s="3">
        <v>25</v>
      </c>
      <c r="B193" s="3" t="s">
        <v>55</v>
      </c>
      <c r="C193" s="3" t="s">
        <v>2</v>
      </c>
      <c r="D193" s="3" t="s">
        <v>11</v>
      </c>
      <c r="E193" s="3">
        <v>144</v>
      </c>
      <c r="G193" s="57"/>
    </row>
    <row r="194" spans="1:7" ht="12.75" x14ac:dyDescent="0.2">
      <c r="A194" s="3">
        <v>25</v>
      </c>
      <c r="B194" s="3" t="s">
        <v>55</v>
      </c>
      <c r="C194" s="3" t="s">
        <v>2</v>
      </c>
      <c r="D194" s="3" t="s">
        <v>14</v>
      </c>
      <c r="E194" s="3">
        <v>16</v>
      </c>
      <c r="G194" s="57"/>
    </row>
    <row r="195" spans="1:7" ht="12.75" x14ac:dyDescent="0.2">
      <c r="A195" s="3">
        <v>25</v>
      </c>
      <c r="B195" s="3" t="s">
        <v>55</v>
      </c>
      <c r="C195" s="3" t="s">
        <v>10</v>
      </c>
      <c r="D195" s="3" t="s">
        <v>3</v>
      </c>
      <c r="E195" s="3">
        <v>238</v>
      </c>
      <c r="F195">
        <f>SUM(E195:E197)</f>
        <v>402</v>
      </c>
      <c r="G195" s="57"/>
    </row>
    <row r="196" spans="1:7" ht="12.75" x14ac:dyDescent="0.2">
      <c r="A196" s="3">
        <v>25</v>
      </c>
      <c r="B196" s="3" t="s">
        <v>55</v>
      </c>
      <c r="C196" s="3" t="s">
        <v>10</v>
      </c>
      <c r="D196" s="3" t="s">
        <v>11</v>
      </c>
      <c r="E196" s="3">
        <v>146</v>
      </c>
      <c r="G196" s="57"/>
    </row>
    <row r="197" spans="1:7" ht="12.75" x14ac:dyDescent="0.2">
      <c r="A197" s="3">
        <v>25</v>
      </c>
      <c r="B197" s="3" t="s">
        <v>55</v>
      </c>
      <c r="C197" s="3" t="s">
        <v>10</v>
      </c>
      <c r="D197" s="3" t="s">
        <v>14</v>
      </c>
      <c r="E197" s="3">
        <v>18</v>
      </c>
      <c r="G197" s="57"/>
    </row>
    <row r="198" spans="1:7" ht="12.75" x14ac:dyDescent="0.2">
      <c r="A198" s="3">
        <v>26</v>
      </c>
      <c r="B198" s="3" t="s">
        <v>56</v>
      </c>
      <c r="C198" s="3" t="s">
        <v>2</v>
      </c>
      <c r="D198" s="3" t="s">
        <v>3</v>
      </c>
      <c r="E198" s="3">
        <v>220</v>
      </c>
      <c r="F198">
        <f>SUM(E198:E200)</f>
        <v>383</v>
      </c>
      <c r="G198" s="56">
        <v>383</v>
      </c>
    </row>
    <row r="199" spans="1:7" ht="12.75" x14ac:dyDescent="0.2">
      <c r="A199" s="3">
        <v>26</v>
      </c>
      <c r="B199" s="3" t="s">
        <v>56</v>
      </c>
      <c r="C199" s="3" t="s">
        <v>2</v>
      </c>
      <c r="D199" s="3" t="s">
        <v>22</v>
      </c>
      <c r="E199" s="3">
        <v>150</v>
      </c>
      <c r="G199" s="57"/>
    </row>
    <row r="200" spans="1:7" ht="12.75" x14ac:dyDescent="0.2">
      <c r="A200" s="3">
        <v>26</v>
      </c>
      <c r="B200" s="3" t="s">
        <v>56</v>
      </c>
      <c r="C200" s="3" t="s">
        <v>2</v>
      </c>
      <c r="D200" s="3" t="s">
        <v>14</v>
      </c>
      <c r="E200" s="3">
        <v>13</v>
      </c>
      <c r="G200" s="57"/>
    </row>
    <row r="201" spans="1:7" ht="12.75" x14ac:dyDescent="0.2">
      <c r="A201" s="3">
        <v>26</v>
      </c>
      <c r="B201" s="3" t="s">
        <v>56</v>
      </c>
      <c r="C201" s="3" t="s">
        <v>10</v>
      </c>
      <c r="D201" s="3" t="s">
        <v>3</v>
      </c>
      <c r="E201" s="3">
        <v>212</v>
      </c>
      <c r="F201">
        <f>SUM(E201:E203)</f>
        <v>383</v>
      </c>
      <c r="G201" s="57"/>
    </row>
    <row r="202" spans="1:7" ht="12.75" x14ac:dyDescent="0.2">
      <c r="A202" s="3">
        <v>26</v>
      </c>
      <c r="B202" s="3" t="s">
        <v>56</v>
      </c>
      <c r="C202" s="3" t="s">
        <v>10</v>
      </c>
      <c r="D202" s="3" t="s">
        <v>22</v>
      </c>
      <c r="E202" s="3">
        <v>154</v>
      </c>
      <c r="G202" s="57"/>
    </row>
    <row r="203" spans="1:7" ht="12.75" x14ac:dyDescent="0.2">
      <c r="A203" s="3">
        <v>26</v>
      </c>
      <c r="B203" s="3" t="s">
        <v>56</v>
      </c>
      <c r="C203" s="3" t="s">
        <v>10</v>
      </c>
      <c r="D203" s="3" t="s">
        <v>14</v>
      </c>
      <c r="E203" s="3">
        <v>17</v>
      </c>
      <c r="G203" s="57"/>
    </row>
    <row r="204" spans="1:7" ht="12.75" x14ac:dyDescent="0.2">
      <c r="A204" s="3">
        <v>26</v>
      </c>
      <c r="B204" s="3" t="s">
        <v>56</v>
      </c>
      <c r="C204" s="3" t="s">
        <v>13</v>
      </c>
      <c r="D204" s="3" t="s">
        <v>3</v>
      </c>
      <c r="E204" s="3">
        <v>185</v>
      </c>
      <c r="F204">
        <f>SUM(E204:E206)</f>
        <v>383</v>
      </c>
      <c r="G204" s="57"/>
    </row>
    <row r="205" spans="1:7" ht="12.75" x14ac:dyDescent="0.2">
      <c r="A205" s="3">
        <v>26</v>
      </c>
      <c r="B205" s="3" t="s">
        <v>56</v>
      </c>
      <c r="C205" s="3" t="s">
        <v>13</v>
      </c>
      <c r="D205" s="3" t="s">
        <v>22</v>
      </c>
      <c r="E205" s="3">
        <v>179</v>
      </c>
      <c r="G205" s="57"/>
    </row>
    <row r="206" spans="1:7" ht="12.75" x14ac:dyDescent="0.2">
      <c r="A206" s="3">
        <v>26</v>
      </c>
      <c r="B206" s="3" t="s">
        <v>56</v>
      </c>
      <c r="C206" s="3" t="s">
        <v>13</v>
      </c>
      <c r="D206" s="3" t="s">
        <v>14</v>
      </c>
      <c r="E206" s="3">
        <v>19</v>
      </c>
      <c r="G206" s="57"/>
    </row>
    <row r="207" spans="1:7" ht="12.75" x14ac:dyDescent="0.2">
      <c r="A207" s="3">
        <v>27</v>
      </c>
      <c r="B207" s="3" t="s">
        <v>57</v>
      </c>
      <c r="C207" s="3" t="s">
        <v>2</v>
      </c>
      <c r="D207" s="3" t="s">
        <v>3</v>
      </c>
      <c r="E207" s="3">
        <v>2776</v>
      </c>
      <c r="F207">
        <f>SUM(E207:E210)</f>
        <v>6299</v>
      </c>
      <c r="G207" s="56">
        <v>6340</v>
      </c>
    </row>
    <row r="208" spans="1:7" ht="12.75" x14ac:dyDescent="0.2">
      <c r="A208" s="3">
        <v>27</v>
      </c>
      <c r="B208" s="3" t="s">
        <v>57</v>
      </c>
      <c r="C208" s="3" t="s">
        <v>2</v>
      </c>
      <c r="D208" s="3" t="s">
        <v>11</v>
      </c>
      <c r="E208" s="3">
        <v>2907</v>
      </c>
      <c r="G208" s="57"/>
    </row>
    <row r="209" spans="1:7" ht="12.75" x14ac:dyDescent="0.2">
      <c r="A209" s="3">
        <v>27</v>
      </c>
      <c r="B209" s="3" t="s">
        <v>57</v>
      </c>
      <c r="C209" s="3" t="s">
        <v>2</v>
      </c>
      <c r="D209" s="3" t="s">
        <v>20</v>
      </c>
      <c r="E209" s="3">
        <v>251</v>
      </c>
      <c r="G209" s="57"/>
    </row>
    <row r="210" spans="1:7" ht="12.75" x14ac:dyDescent="0.2">
      <c r="A210" s="3">
        <v>27</v>
      </c>
      <c r="B210" s="3" t="s">
        <v>57</v>
      </c>
      <c r="C210" s="3" t="s">
        <v>2</v>
      </c>
      <c r="D210" s="3" t="s">
        <v>14</v>
      </c>
      <c r="E210" s="3">
        <v>365</v>
      </c>
      <c r="G210" s="57"/>
    </row>
    <row r="211" spans="1:7" ht="12.75" x14ac:dyDescent="0.2">
      <c r="A211" s="3">
        <v>27</v>
      </c>
      <c r="B211" s="3" t="s">
        <v>57</v>
      </c>
      <c r="C211" s="3" t="s">
        <v>10</v>
      </c>
      <c r="D211" s="3" t="s">
        <v>3</v>
      </c>
      <c r="E211" s="3">
        <v>2688</v>
      </c>
      <c r="F211">
        <f>SUM(E211:E214)</f>
        <v>6304</v>
      </c>
      <c r="G211" s="57"/>
    </row>
    <row r="212" spans="1:7" ht="12.75" x14ac:dyDescent="0.2">
      <c r="A212" s="3">
        <v>27</v>
      </c>
      <c r="B212" s="3" t="s">
        <v>57</v>
      </c>
      <c r="C212" s="3" t="s">
        <v>10</v>
      </c>
      <c r="D212" s="3" t="s">
        <v>11</v>
      </c>
      <c r="E212" s="3">
        <v>2860</v>
      </c>
      <c r="G212" s="57"/>
    </row>
    <row r="213" spans="1:7" ht="12.75" x14ac:dyDescent="0.2">
      <c r="A213" s="3">
        <v>27</v>
      </c>
      <c r="B213" s="3" t="s">
        <v>57</v>
      </c>
      <c r="C213" s="3" t="s">
        <v>10</v>
      </c>
      <c r="D213" s="3" t="s">
        <v>20</v>
      </c>
      <c r="E213" s="3">
        <v>236</v>
      </c>
      <c r="G213" s="57"/>
    </row>
    <row r="214" spans="1:7" ht="12.75" x14ac:dyDescent="0.2">
      <c r="A214" s="3">
        <v>27</v>
      </c>
      <c r="B214" s="3" t="s">
        <v>57</v>
      </c>
      <c r="C214" s="3" t="s">
        <v>10</v>
      </c>
      <c r="D214" s="3" t="s">
        <v>14</v>
      </c>
      <c r="E214" s="3">
        <v>520</v>
      </c>
      <c r="G214" s="57"/>
    </row>
    <row r="215" spans="1:7" ht="12.75" x14ac:dyDescent="0.2">
      <c r="A215" s="3">
        <v>27</v>
      </c>
      <c r="B215" s="3" t="s">
        <v>57</v>
      </c>
      <c r="C215" s="3" t="s">
        <v>13</v>
      </c>
      <c r="D215" s="3" t="s">
        <v>3</v>
      </c>
      <c r="E215" s="3">
        <v>2617</v>
      </c>
      <c r="F215">
        <f>SUM(E215:E218)</f>
        <v>6302</v>
      </c>
      <c r="G215" s="57"/>
    </row>
    <row r="216" spans="1:7" ht="12.75" x14ac:dyDescent="0.2">
      <c r="A216" s="3">
        <v>27</v>
      </c>
      <c r="B216" s="3" t="s">
        <v>57</v>
      </c>
      <c r="C216" s="3" t="s">
        <v>13</v>
      </c>
      <c r="D216" s="3" t="s">
        <v>11</v>
      </c>
      <c r="E216" s="3">
        <v>2920</v>
      </c>
      <c r="G216" s="57"/>
    </row>
    <row r="217" spans="1:7" ht="12.75" x14ac:dyDescent="0.2">
      <c r="A217" s="3">
        <v>27</v>
      </c>
      <c r="B217" s="3" t="s">
        <v>57</v>
      </c>
      <c r="C217" s="3" t="s">
        <v>13</v>
      </c>
      <c r="D217" s="3" t="s">
        <v>20</v>
      </c>
      <c r="E217" s="3">
        <v>195</v>
      </c>
      <c r="G217" s="57"/>
    </row>
    <row r="218" spans="1:7" ht="12.75" x14ac:dyDescent="0.2">
      <c r="A218" s="3">
        <v>27</v>
      </c>
      <c r="B218" s="3" t="s">
        <v>57</v>
      </c>
      <c r="C218" s="3" t="s">
        <v>13</v>
      </c>
      <c r="D218" s="3" t="s">
        <v>14</v>
      </c>
      <c r="E218" s="3">
        <v>570</v>
      </c>
      <c r="G218" s="57"/>
    </row>
    <row r="219" spans="1:7" ht="12.75" x14ac:dyDescent="0.2">
      <c r="A219" s="3">
        <v>28</v>
      </c>
      <c r="B219" s="3" t="s">
        <v>58</v>
      </c>
      <c r="C219" s="3" t="s">
        <v>2</v>
      </c>
      <c r="D219" s="3" t="s">
        <v>3</v>
      </c>
      <c r="E219" s="3">
        <v>178</v>
      </c>
      <c r="F219">
        <f>SUM(E219:E221)</f>
        <v>351</v>
      </c>
      <c r="G219" s="56">
        <v>351</v>
      </c>
    </row>
    <row r="220" spans="1:7" ht="12.75" x14ac:dyDescent="0.2">
      <c r="A220" s="3">
        <v>28</v>
      </c>
      <c r="B220" s="3" t="s">
        <v>58</v>
      </c>
      <c r="C220" s="3" t="s">
        <v>2</v>
      </c>
      <c r="D220" s="3" t="s">
        <v>23</v>
      </c>
      <c r="E220" s="3">
        <v>166</v>
      </c>
      <c r="G220" s="57"/>
    </row>
    <row r="221" spans="1:7" ht="12.75" x14ac:dyDescent="0.2">
      <c r="A221" s="3">
        <v>28</v>
      </c>
      <c r="B221" s="3" t="s">
        <v>58</v>
      </c>
      <c r="C221" s="3" t="s">
        <v>2</v>
      </c>
      <c r="D221" s="3" t="s">
        <v>14</v>
      </c>
      <c r="E221" s="3">
        <v>7</v>
      </c>
      <c r="G221" s="57"/>
    </row>
    <row r="222" spans="1:7" ht="12.75" x14ac:dyDescent="0.2">
      <c r="A222" s="3">
        <v>28</v>
      </c>
      <c r="B222" s="3" t="s">
        <v>58</v>
      </c>
      <c r="C222" s="3" t="s">
        <v>10</v>
      </c>
      <c r="D222" s="3" t="s">
        <v>3</v>
      </c>
      <c r="E222" s="3">
        <v>151</v>
      </c>
      <c r="F222">
        <f>SUM(E222:E224)</f>
        <v>351</v>
      </c>
      <c r="G222" s="57"/>
    </row>
    <row r="223" spans="1:7" ht="12.75" x14ac:dyDescent="0.2">
      <c r="A223" s="3">
        <v>28</v>
      </c>
      <c r="B223" s="3" t="s">
        <v>58</v>
      </c>
      <c r="C223" s="3" t="s">
        <v>10</v>
      </c>
      <c r="D223" s="3" t="s">
        <v>23</v>
      </c>
      <c r="E223" s="3">
        <v>192</v>
      </c>
      <c r="G223" s="57"/>
    </row>
    <row r="224" spans="1:7" ht="12.75" x14ac:dyDescent="0.2">
      <c r="A224" s="3">
        <v>28</v>
      </c>
      <c r="B224" s="3" t="s">
        <v>58</v>
      </c>
      <c r="C224" s="3" t="s">
        <v>10</v>
      </c>
      <c r="D224" s="3" t="s">
        <v>14</v>
      </c>
      <c r="E224" s="3">
        <v>8</v>
      </c>
      <c r="G224" s="57"/>
    </row>
    <row r="225" spans="1:7" ht="12.75" x14ac:dyDescent="0.2">
      <c r="A225" s="3">
        <v>29</v>
      </c>
      <c r="B225" s="3" t="s">
        <v>59</v>
      </c>
      <c r="C225" s="3" t="s">
        <v>2</v>
      </c>
      <c r="D225" s="3" t="s">
        <v>3</v>
      </c>
      <c r="E225" s="3">
        <v>289</v>
      </c>
      <c r="F225">
        <f>SUM(E225:E227)</f>
        <v>568</v>
      </c>
      <c r="G225" s="56">
        <v>569</v>
      </c>
    </row>
    <row r="226" spans="1:7" ht="12.75" x14ac:dyDescent="0.2">
      <c r="A226" s="3">
        <v>29</v>
      </c>
      <c r="B226" s="3" t="s">
        <v>59</v>
      </c>
      <c r="C226" s="3" t="s">
        <v>2</v>
      </c>
      <c r="D226" s="3" t="s">
        <v>11</v>
      </c>
      <c r="E226" s="3">
        <v>258</v>
      </c>
      <c r="G226" s="57"/>
    </row>
    <row r="227" spans="1:7" ht="12.75" x14ac:dyDescent="0.2">
      <c r="A227" s="3">
        <v>29</v>
      </c>
      <c r="B227" s="3" t="s">
        <v>59</v>
      </c>
      <c r="C227" s="3" t="s">
        <v>2</v>
      </c>
      <c r="D227" s="3" t="s">
        <v>14</v>
      </c>
      <c r="E227" s="3">
        <v>21</v>
      </c>
      <c r="G227" s="57"/>
    </row>
    <row r="228" spans="1:7" ht="12.75" x14ac:dyDescent="0.2">
      <c r="A228" s="3">
        <v>29</v>
      </c>
      <c r="B228" s="3" t="s">
        <v>59</v>
      </c>
      <c r="C228" s="3" t="s">
        <v>10</v>
      </c>
      <c r="D228" s="3" t="s">
        <v>3</v>
      </c>
      <c r="E228" s="3">
        <v>283</v>
      </c>
      <c r="F228">
        <f>SUM(E228:E230)</f>
        <v>568</v>
      </c>
      <c r="G228" s="57"/>
    </row>
    <row r="229" spans="1:7" ht="12.75" x14ac:dyDescent="0.2">
      <c r="A229" s="3">
        <v>29</v>
      </c>
      <c r="B229" s="3" t="s">
        <v>59</v>
      </c>
      <c r="C229" s="3" t="s">
        <v>10</v>
      </c>
      <c r="D229" s="3" t="s">
        <v>11</v>
      </c>
      <c r="E229" s="3">
        <v>258</v>
      </c>
      <c r="G229" s="57"/>
    </row>
    <row r="230" spans="1:7" ht="12.75" x14ac:dyDescent="0.2">
      <c r="A230" s="3">
        <v>29</v>
      </c>
      <c r="B230" s="3" t="s">
        <v>59</v>
      </c>
      <c r="C230" s="3" t="s">
        <v>10</v>
      </c>
      <c r="D230" s="3" t="s">
        <v>14</v>
      </c>
      <c r="E230" s="3">
        <v>27</v>
      </c>
      <c r="G230" s="57"/>
    </row>
    <row r="231" spans="1:7" ht="12.75" x14ac:dyDescent="0.2">
      <c r="A231" s="3">
        <v>29</v>
      </c>
      <c r="B231" s="3" t="s">
        <v>59</v>
      </c>
      <c r="C231" s="3" t="s">
        <v>13</v>
      </c>
      <c r="D231" s="3" t="s">
        <v>3</v>
      </c>
      <c r="E231" s="3">
        <v>326</v>
      </c>
      <c r="F231">
        <f>SUM(E231:E233)</f>
        <v>568</v>
      </c>
      <c r="G231" s="57"/>
    </row>
    <row r="232" spans="1:7" ht="12.75" x14ac:dyDescent="0.2">
      <c r="A232" s="3">
        <v>29</v>
      </c>
      <c r="B232" s="3" t="s">
        <v>59</v>
      </c>
      <c r="C232" s="3" t="s">
        <v>13</v>
      </c>
      <c r="D232" s="3" t="s">
        <v>11</v>
      </c>
      <c r="E232" s="3">
        <v>212</v>
      </c>
      <c r="G232" s="57"/>
    </row>
    <row r="233" spans="1:7" ht="12.75" x14ac:dyDescent="0.2">
      <c r="A233" s="3">
        <v>29</v>
      </c>
      <c r="B233" s="3" t="s">
        <v>59</v>
      </c>
      <c r="C233" s="3" t="s">
        <v>13</v>
      </c>
      <c r="D233" s="3" t="s">
        <v>14</v>
      </c>
      <c r="E233" s="3">
        <v>30</v>
      </c>
      <c r="G233" s="57"/>
    </row>
    <row r="234" spans="1:7" ht="12.75" x14ac:dyDescent="0.2">
      <c r="A234" s="3">
        <v>30</v>
      </c>
      <c r="B234" s="3" t="s">
        <v>60</v>
      </c>
      <c r="C234" s="3" t="s">
        <v>15</v>
      </c>
      <c r="D234" s="3" t="s">
        <v>3</v>
      </c>
      <c r="E234" s="3">
        <v>128</v>
      </c>
      <c r="F234">
        <f>SUM(E234:E235)</f>
        <v>206</v>
      </c>
      <c r="G234" s="56">
        <v>206</v>
      </c>
    </row>
    <row r="235" spans="1:7" ht="12.75" x14ac:dyDescent="0.2">
      <c r="A235" s="3">
        <v>30</v>
      </c>
      <c r="B235" s="3" t="s">
        <v>60</v>
      </c>
      <c r="C235" s="3" t="s">
        <v>15</v>
      </c>
      <c r="D235" s="3" t="s">
        <v>14</v>
      </c>
      <c r="E235" s="3">
        <v>78</v>
      </c>
      <c r="G235" s="57"/>
    </row>
    <row r="236" spans="1:7" ht="12.75" x14ac:dyDescent="0.2">
      <c r="A236" s="3">
        <v>30</v>
      </c>
      <c r="B236" s="3" t="s">
        <v>60</v>
      </c>
      <c r="C236" s="3" t="s">
        <v>17</v>
      </c>
      <c r="D236" s="3" t="s">
        <v>3</v>
      </c>
      <c r="E236" s="3">
        <v>127</v>
      </c>
      <c r="F236">
        <f>SUM(E236:E237)</f>
        <v>206</v>
      </c>
      <c r="G236" s="57"/>
    </row>
    <row r="237" spans="1:7" ht="12.75" x14ac:dyDescent="0.2">
      <c r="A237" s="3">
        <v>30</v>
      </c>
      <c r="B237" s="3" t="s">
        <v>60</v>
      </c>
      <c r="C237" s="3" t="s">
        <v>17</v>
      </c>
      <c r="D237" s="3" t="s">
        <v>14</v>
      </c>
      <c r="E237" s="3">
        <v>79</v>
      </c>
      <c r="G237" s="57"/>
    </row>
    <row r="238" spans="1:7" ht="12.75" x14ac:dyDescent="0.2">
      <c r="A238" s="3">
        <v>31</v>
      </c>
      <c r="B238" s="3" t="s">
        <v>61</v>
      </c>
      <c r="C238" s="3" t="s">
        <v>2</v>
      </c>
      <c r="D238" s="3" t="s">
        <v>3</v>
      </c>
      <c r="E238" s="3">
        <v>1011</v>
      </c>
      <c r="F238">
        <f>SUM(E238:E240)</f>
        <v>2046</v>
      </c>
      <c r="G238" s="56">
        <v>2046</v>
      </c>
    </row>
    <row r="239" spans="1:7" ht="12.75" x14ac:dyDescent="0.2">
      <c r="A239" s="3">
        <v>31</v>
      </c>
      <c r="B239" s="3" t="s">
        <v>61</v>
      </c>
      <c r="C239" s="3" t="s">
        <v>2</v>
      </c>
      <c r="D239" s="3" t="s">
        <v>11</v>
      </c>
      <c r="E239" s="3">
        <v>925</v>
      </c>
      <c r="G239" s="57"/>
    </row>
    <row r="240" spans="1:7" ht="12.75" x14ac:dyDescent="0.2">
      <c r="A240" s="3">
        <v>31</v>
      </c>
      <c r="B240" s="3" t="s">
        <v>61</v>
      </c>
      <c r="C240" s="3" t="s">
        <v>2</v>
      </c>
      <c r="D240" s="3" t="s">
        <v>14</v>
      </c>
      <c r="E240" s="3">
        <v>110</v>
      </c>
      <c r="G240" s="57"/>
    </row>
    <row r="241" spans="1:7" ht="12.75" x14ac:dyDescent="0.2">
      <c r="A241" s="3">
        <v>31</v>
      </c>
      <c r="B241" s="3" t="s">
        <v>61</v>
      </c>
      <c r="C241" s="3" t="s">
        <v>10</v>
      </c>
      <c r="D241" s="3" t="s">
        <v>3</v>
      </c>
      <c r="E241" s="3">
        <v>964</v>
      </c>
      <c r="F241">
        <f>SUM(E241:E243)</f>
        <v>2046</v>
      </c>
      <c r="G241" s="57"/>
    </row>
    <row r="242" spans="1:7" ht="12.75" x14ac:dyDescent="0.2">
      <c r="A242" s="3">
        <v>31</v>
      </c>
      <c r="B242" s="3" t="s">
        <v>61</v>
      </c>
      <c r="C242" s="3" t="s">
        <v>10</v>
      </c>
      <c r="D242" s="3" t="s">
        <v>11</v>
      </c>
      <c r="E242" s="3">
        <v>938</v>
      </c>
      <c r="G242" s="57"/>
    </row>
    <row r="243" spans="1:7" ht="12.75" x14ac:dyDescent="0.2">
      <c r="A243" s="3">
        <v>31</v>
      </c>
      <c r="B243" s="3" t="s">
        <v>61</v>
      </c>
      <c r="C243" s="3" t="s">
        <v>10</v>
      </c>
      <c r="D243" s="3" t="s">
        <v>14</v>
      </c>
      <c r="E243" s="3">
        <v>144</v>
      </c>
      <c r="G243" s="57"/>
    </row>
    <row r="244" spans="1:7" ht="12.75" x14ac:dyDescent="0.2">
      <c r="A244" s="3">
        <v>31</v>
      </c>
      <c r="B244" s="3" t="s">
        <v>61</v>
      </c>
      <c r="C244" s="3" t="s">
        <v>13</v>
      </c>
      <c r="D244" s="3" t="s">
        <v>3</v>
      </c>
      <c r="E244" s="3">
        <v>952</v>
      </c>
      <c r="F244">
        <f>SUM(E244:E246)</f>
        <v>2046</v>
      </c>
      <c r="G244" s="57"/>
    </row>
    <row r="245" spans="1:7" ht="12.75" x14ac:dyDescent="0.2">
      <c r="A245" s="3">
        <v>31</v>
      </c>
      <c r="B245" s="3" t="s">
        <v>61</v>
      </c>
      <c r="C245" s="3" t="s">
        <v>13</v>
      </c>
      <c r="D245" s="3" t="s">
        <v>11</v>
      </c>
      <c r="E245" s="3">
        <v>970</v>
      </c>
      <c r="G245" s="57"/>
    </row>
    <row r="246" spans="1:7" ht="12.75" x14ac:dyDescent="0.2">
      <c r="A246" s="3">
        <v>31</v>
      </c>
      <c r="B246" s="3" t="s">
        <v>61</v>
      </c>
      <c r="C246" s="3" t="s">
        <v>13</v>
      </c>
      <c r="D246" s="3" t="s">
        <v>14</v>
      </c>
      <c r="E246" s="3">
        <v>124</v>
      </c>
      <c r="G246" s="57"/>
    </row>
    <row r="247" spans="1:7" ht="12.75" x14ac:dyDescent="0.2">
      <c r="A247" s="3">
        <v>32</v>
      </c>
      <c r="B247" s="3" t="s">
        <v>62</v>
      </c>
      <c r="C247" s="3" t="s">
        <v>15</v>
      </c>
      <c r="D247" s="3" t="s">
        <v>3</v>
      </c>
      <c r="E247" s="3">
        <v>150</v>
      </c>
      <c r="F247">
        <f>SUM(E247:E249)</f>
        <v>188</v>
      </c>
      <c r="G247" s="56">
        <v>191</v>
      </c>
    </row>
    <row r="248" spans="1:7" ht="12.75" x14ac:dyDescent="0.2">
      <c r="A248" s="3">
        <v>32</v>
      </c>
      <c r="B248" s="3" t="s">
        <v>62</v>
      </c>
      <c r="C248" s="3" t="s">
        <v>15</v>
      </c>
      <c r="D248" s="3" t="s">
        <v>11</v>
      </c>
      <c r="E248" s="3">
        <v>27</v>
      </c>
      <c r="G248" s="57"/>
    </row>
    <row r="249" spans="1:7" ht="12.75" x14ac:dyDescent="0.2">
      <c r="A249" s="3">
        <v>32</v>
      </c>
      <c r="B249" s="3" t="s">
        <v>62</v>
      </c>
      <c r="C249" s="3" t="s">
        <v>15</v>
      </c>
      <c r="D249" s="3" t="s">
        <v>14</v>
      </c>
      <c r="E249" s="3">
        <v>11</v>
      </c>
      <c r="G249" s="57"/>
    </row>
    <row r="250" spans="1:7" ht="12.75" x14ac:dyDescent="0.2">
      <c r="A250" s="3">
        <v>32</v>
      </c>
      <c r="B250" s="3" t="s">
        <v>62</v>
      </c>
      <c r="C250" s="3" t="s">
        <v>17</v>
      </c>
      <c r="D250" s="3" t="s">
        <v>3</v>
      </c>
      <c r="E250" s="3">
        <v>150</v>
      </c>
      <c r="F250">
        <f>SUM(E250:E251)</f>
        <v>177</v>
      </c>
      <c r="G250" s="57"/>
    </row>
    <row r="251" spans="1:7" ht="12.75" x14ac:dyDescent="0.2">
      <c r="A251" s="3">
        <v>32</v>
      </c>
      <c r="B251" s="3" t="s">
        <v>62</v>
      </c>
      <c r="C251" s="3" t="s">
        <v>17</v>
      </c>
      <c r="D251" s="3" t="s">
        <v>11</v>
      </c>
      <c r="E251" s="3">
        <v>27</v>
      </c>
      <c r="G251" s="57"/>
    </row>
    <row r="252" spans="1:7" ht="12.75" x14ac:dyDescent="0.2">
      <c r="A252" s="3">
        <v>33</v>
      </c>
      <c r="B252" s="3" t="s">
        <v>63</v>
      </c>
      <c r="C252" s="3" t="s">
        <v>2</v>
      </c>
      <c r="D252" s="3" t="s">
        <v>3</v>
      </c>
      <c r="E252" s="3">
        <v>154</v>
      </c>
      <c r="F252">
        <f>SUM(E252:E254)</f>
        <v>354</v>
      </c>
      <c r="G252" s="56">
        <v>354</v>
      </c>
    </row>
    <row r="253" spans="1:7" ht="12.75" x14ac:dyDescent="0.2">
      <c r="A253" s="3">
        <v>33</v>
      </c>
      <c r="B253" s="3" t="s">
        <v>63</v>
      </c>
      <c r="C253" s="3" t="s">
        <v>2</v>
      </c>
      <c r="D253" s="3" t="s">
        <v>11</v>
      </c>
      <c r="E253" s="3">
        <v>172</v>
      </c>
      <c r="G253" s="57"/>
    </row>
    <row r="254" spans="1:7" ht="12.75" x14ac:dyDescent="0.2">
      <c r="A254" s="3">
        <v>33</v>
      </c>
      <c r="B254" s="3" t="s">
        <v>63</v>
      </c>
      <c r="C254" s="3" t="s">
        <v>2</v>
      </c>
      <c r="D254" s="3" t="s">
        <v>14</v>
      </c>
      <c r="E254" s="3">
        <v>28</v>
      </c>
      <c r="G254" s="57"/>
    </row>
    <row r="255" spans="1:7" ht="12.75" x14ac:dyDescent="0.2">
      <c r="A255" s="3">
        <v>33</v>
      </c>
      <c r="B255" s="3" t="s">
        <v>63</v>
      </c>
      <c r="C255" s="3" t="s">
        <v>10</v>
      </c>
      <c r="D255" s="3" t="s">
        <v>3</v>
      </c>
      <c r="E255" s="3">
        <v>152</v>
      </c>
      <c r="F255">
        <f>SUM(E255:E257)</f>
        <v>354</v>
      </c>
      <c r="G255" s="57"/>
    </row>
    <row r="256" spans="1:7" ht="12.75" x14ac:dyDescent="0.2">
      <c r="A256" s="3">
        <v>33</v>
      </c>
      <c r="B256" s="3" t="s">
        <v>63</v>
      </c>
      <c r="C256" s="3" t="s">
        <v>10</v>
      </c>
      <c r="D256" s="3" t="s">
        <v>11</v>
      </c>
      <c r="E256" s="3">
        <v>173</v>
      </c>
      <c r="G256" s="57"/>
    </row>
    <row r="257" spans="1:7" ht="12.75" x14ac:dyDescent="0.2">
      <c r="A257" s="3">
        <v>33</v>
      </c>
      <c r="B257" s="3" t="s">
        <v>63</v>
      </c>
      <c r="C257" s="3" t="s">
        <v>10</v>
      </c>
      <c r="D257" s="3" t="s">
        <v>14</v>
      </c>
      <c r="E257" s="3">
        <v>29</v>
      </c>
      <c r="G257" s="57"/>
    </row>
    <row r="258" spans="1:7" ht="12.75" x14ac:dyDescent="0.2">
      <c r="A258" s="3">
        <v>33</v>
      </c>
      <c r="B258" s="3" t="s">
        <v>63</v>
      </c>
      <c r="C258" s="3" t="s">
        <v>13</v>
      </c>
      <c r="D258" s="3" t="s">
        <v>3</v>
      </c>
      <c r="E258" s="3">
        <v>141</v>
      </c>
      <c r="F258">
        <f>SUM(E258:E260)</f>
        <v>354</v>
      </c>
      <c r="G258" s="57"/>
    </row>
    <row r="259" spans="1:7" ht="12.75" x14ac:dyDescent="0.2">
      <c r="A259" s="3">
        <v>33</v>
      </c>
      <c r="B259" s="3" t="s">
        <v>63</v>
      </c>
      <c r="C259" s="3" t="s">
        <v>13</v>
      </c>
      <c r="D259" s="3" t="s">
        <v>11</v>
      </c>
      <c r="E259" s="3">
        <v>195</v>
      </c>
      <c r="G259" s="57"/>
    </row>
    <row r="260" spans="1:7" ht="12.75" x14ac:dyDescent="0.2">
      <c r="A260" s="3">
        <v>33</v>
      </c>
      <c r="B260" s="3" t="s">
        <v>63</v>
      </c>
      <c r="C260" s="3" t="s">
        <v>13</v>
      </c>
      <c r="D260" s="3" t="s">
        <v>14</v>
      </c>
      <c r="E260" s="3">
        <v>18</v>
      </c>
      <c r="G260" s="57"/>
    </row>
    <row r="261" spans="1:7" ht="12.75" x14ac:dyDescent="0.2">
      <c r="A261" s="3">
        <v>34</v>
      </c>
      <c r="B261" s="3" t="s">
        <v>64</v>
      </c>
      <c r="C261" s="3" t="s">
        <v>2</v>
      </c>
      <c r="D261" s="3" t="s">
        <v>3</v>
      </c>
      <c r="E261" s="3">
        <v>769</v>
      </c>
      <c r="F261">
        <f>SUM(E261:E263)</f>
        <v>1699</v>
      </c>
      <c r="G261" s="56">
        <v>1699</v>
      </c>
    </row>
    <row r="262" spans="1:7" ht="12.75" x14ac:dyDescent="0.2">
      <c r="A262" s="3">
        <v>34</v>
      </c>
      <c r="B262" s="3" t="s">
        <v>64</v>
      </c>
      <c r="C262" s="3" t="s">
        <v>2</v>
      </c>
      <c r="D262" s="3" t="s">
        <v>11</v>
      </c>
      <c r="E262" s="3">
        <v>885</v>
      </c>
      <c r="G262" s="57"/>
    </row>
    <row r="263" spans="1:7" ht="12.75" x14ac:dyDescent="0.2">
      <c r="A263" s="3">
        <v>34</v>
      </c>
      <c r="B263" s="3" t="s">
        <v>64</v>
      </c>
      <c r="C263" s="3" t="s">
        <v>2</v>
      </c>
      <c r="D263" s="3" t="s">
        <v>14</v>
      </c>
      <c r="E263" s="3">
        <v>45</v>
      </c>
      <c r="G263" s="57"/>
    </row>
    <row r="264" spans="1:7" ht="12.75" x14ac:dyDescent="0.2">
      <c r="A264" s="3">
        <v>34</v>
      </c>
      <c r="B264" s="3" t="s">
        <v>64</v>
      </c>
      <c r="C264" s="3" t="s">
        <v>10</v>
      </c>
      <c r="D264" s="3" t="s">
        <v>3</v>
      </c>
      <c r="E264" s="3">
        <v>763</v>
      </c>
      <c r="F264">
        <f>SUM(E264:E266)</f>
        <v>1699</v>
      </c>
      <c r="G264" s="57"/>
    </row>
    <row r="265" spans="1:7" ht="12.75" x14ac:dyDescent="0.2">
      <c r="A265" s="3">
        <v>34</v>
      </c>
      <c r="B265" s="3" t="s">
        <v>64</v>
      </c>
      <c r="C265" s="3" t="s">
        <v>10</v>
      </c>
      <c r="D265" s="3" t="s">
        <v>11</v>
      </c>
      <c r="E265" s="3">
        <v>873</v>
      </c>
      <c r="G265" s="57"/>
    </row>
    <row r="266" spans="1:7" ht="12.75" x14ac:dyDescent="0.2">
      <c r="A266" s="3">
        <v>34</v>
      </c>
      <c r="B266" s="3" t="s">
        <v>64</v>
      </c>
      <c r="C266" s="3" t="s">
        <v>10</v>
      </c>
      <c r="D266" s="3" t="s">
        <v>14</v>
      </c>
      <c r="E266" s="3">
        <v>63</v>
      </c>
      <c r="G266" s="57"/>
    </row>
    <row r="267" spans="1:7" ht="12.75" x14ac:dyDescent="0.2">
      <c r="A267" s="3">
        <v>34</v>
      </c>
      <c r="B267" s="3" t="s">
        <v>64</v>
      </c>
      <c r="C267" s="3" t="s">
        <v>13</v>
      </c>
      <c r="D267" s="3" t="s">
        <v>3</v>
      </c>
      <c r="E267" s="3">
        <v>653</v>
      </c>
      <c r="F267">
        <f>SUM(E267:E269)</f>
        <v>1699</v>
      </c>
      <c r="G267" s="57"/>
    </row>
    <row r="268" spans="1:7" ht="12.75" x14ac:dyDescent="0.2">
      <c r="A268" s="3">
        <v>34</v>
      </c>
      <c r="B268" s="3" t="s">
        <v>64</v>
      </c>
      <c r="C268" s="3" t="s">
        <v>13</v>
      </c>
      <c r="D268" s="3" t="s">
        <v>11</v>
      </c>
      <c r="E268" s="3">
        <v>982</v>
      </c>
      <c r="G268" s="57"/>
    </row>
    <row r="269" spans="1:7" ht="12.75" x14ac:dyDescent="0.2">
      <c r="A269" s="3">
        <v>34</v>
      </c>
      <c r="B269" s="3" t="s">
        <v>64</v>
      </c>
      <c r="C269" s="3" t="s">
        <v>13</v>
      </c>
      <c r="D269" s="3" t="s">
        <v>14</v>
      </c>
      <c r="E269" s="3">
        <v>64</v>
      </c>
      <c r="G269" s="57"/>
    </row>
    <row r="270" spans="1:7" ht="12.75" x14ac:dyDescent="0.2">
      <c r="A270" s="3">
        <v>35</v>
      </c>
      <c r="B270" s="3" t="s">
        <v>65</v>
      </c>
      <c r="C270" s="3" t="s">
        <v>2</v>
      </c>
      <c r="D270" s="3" t="s">
        <v>3</v>
      </c>
      <c r="E270" s="3">
        <v>326</v>
      </c>
      <c r="F270">
        <f>SUM(E270:E272)</f>
        <v>742</v>
      </c>
      <c r="G270" s="56">
        <v>743</v>
      </c>
    </row>
    <row r="271" spans="1:7" ht="12.75" x14ac:dyDescent="0.2">
      <c r="A271" s="3">
        <v>35</v>
      </c>
      <c r="B271" s="3" t="s">
        <v>65</v>
      </c>
      <c r="C271" s="3" t="s">
        <v>2</v>
      </c>
      <c r="D271" s="3" t="s">
        <v>11</v>
      </c>
      <c r="E271" s="3">
        <v>395</v>
      </c>
      <c r="G271" s="57"/>
    </row>
    <row r="272" spans="1:7" ht="12.75" x14ac:dyDescent="0.2">
      <c r="A272" s="3">
        <v>35</v>
      </c>
      <c r="B272" s="3" t="s">
        <v>65</v>
      </c>
      <c r="C272" s="3" t="s">
        <v>2</v>
      </c>
      <c r="D272" s="3" t="s">
        <v>14</v>
      </c>
      <c r="E272" s="3">
        <v>21</v>
      </c>
      <c r="G272" s="57"/>
    </row>
    <row r="273" spans="1:7" ht="12.75" x14ac:dyDescent="0.2">
      <c r="A273" s="3">
        <v>35</v>
      </c>
      <c r="B273" s="3" t="s">
        <v>65</v>
      </c>
      <c r="C273" s="3" t="s">
        <v>10</v>
      </c>
      <c r="D273" s="3" t="s">
        <v>3</v>
      </c>
      <c r="E273" s="3">
        <v>324</v>
      </c>
      <c r="F273">
        <f>SUM(E273:E275)</f>
        <v>742</v>
      </c>
      <c r="G273" s="57"/>
    </row>
    <row r="274" spans="1:7" ht="12.75" x14ac:dyDescent="0.2">
      <c r="A274" s="3">
        <v>35</v>
      </c>
      <c r="B274" s="3" t="s">
        <v>65</v>
      </c>
      <c r="C274" s="3" t="s">
        <v>10</v>
      </c>
      <c r="D274" s="3" t="s">
        <v>11</v>
      </c>
      <c r="E274" s="3">
        <v>379</v>
      </c>
      <c r="G274" s="57"/>
    </row>
    <row r="275" spans="1:7" ht="12.75" x14ac:dyDescent="0.2">
      <c r="A275" s="3">
        <v>35</v>
      </c>
      <c r="B275" s="3" t="s">
        <v>65</v>
      </c>
      <c r="C275" s="3" t="s">
        <v>10</v>
      </c>
      <c r="D275" s="3" t="s">
        <v>14</v>
      </c>
      <c r="E275" s="3">
        <v>39</v>
      </c>
      <c r="G275" s="57"/>
    </row>
    <row r="276" spans="1:7" ht="12.75" x14ac:dyDescent="0.2">
      <c r="A276" s="3">
        <v>35</v>
      </c>
      <c r="B276" s="3" t="s">
        <v>65</v>
      </c>
      <c r="C276" s="3" t="s">
        <v>13</v>
      </c>
      <c r="D276" s="3" t="s">
        <v>3</v>
      </c>
      <c r="E276" s="3">
        <v>335</v>
      </c>
      <c r="F276">
        <f>SUM(E276:E278)</f>
        <v>741</v>
      </c>
      <c r="G276" s="57"/>
    </row>
    <row r="277" spans="1:7" ht="12.75" x14ac:dyDescent="0.2">
      <c r="A277" s="3">
        <v>35</v>
      </c>
      <c r="B277" s="3" t="s">
        <v>65</v>
      </c>
      <c r="C277" s="3" t="s">
        <v>13</v>
      </c>
      <c r="D277" s="3" t="s">
        <v>11</v>
      </c>
      <c r="E277" s="3">
        <v>366</v>
      </c>
      <c r="G277" s="57"/>
    </row>
    <row r="278" spans="1:7" ht="12.75" x14ac:dyDescent="0.2">
      <c r="A278" s="3">
        <v>35</v>
      </c>
      <c r="B278" s="3" t="s">
        <v>65</v>
      </c>
      <c r="C278" s="3" t="s">
        <v>13</v>
      </c>
      <c r="D278" s="3" t="s">
        <v>14</v>
      </c>
      <c r="E278" s="3">
        <v>40</v>
      </c>
      <c r="G278" s="57"/>
    </row>
    <row r="279" spans="1:7" ht="12.75" x14ac:dyDescent="0.2">
      <c r="A279" s="3">
        <v>36</v>
      </c>
      <c r="B279" s="3" t="s">
        <v>66</v>
      </c>
      <c r="C279" s="3" t="s">
        <v>2</v>
      </c>
      <c r="D279" s="3" t="s">
        <v>3</v>
      </c>
      <c r="E279" s="3">
        <v>1125</v>
      </c>
      <c r="F279">
        <f>SUM(E279:E281)</f>
        <v>2998</v>
      </c>
      <c r="G279" s="56">
        <v>3002</v>
      </c>
    </row>
    <row r="280" spans="1:7" ht="12.75" x14ac:dyDescent="0.2">
      <c r="A280" s="3">
        <v>36</v>
      </c>
      <c r="B280" s="3" t="s">
        <v>66</v>
      </c>
      <c r="C280" s="3" t="s">
        <v>2</v>
      </c>
      <c r="D280" s="3" t="s">
        <v>11</v>
      </c>
      <c r="E280" s="3">
        <v>1780</v>
      </c>
      <c r="G280" s="57"/>
    </row>
    <row r="281" spans="1:7" ht="12.75" x14ac:dyDescent="0.2">
      <c r="A281" s="3">
        <v>36</v>
      </c>
      <c r="B281" s="3" t="s">
        <v>66</v>
      </c>
      <c r="C281" s="3" t="s">
        <v>2</v>
      </c>
      <c r="D281" s="3" t="s">
        <v>14</v>
      </c>
      <c r="E281" s="3">
        <v>93</v>
      </c>
      <c r="G281" s="57"/>
    </row>
    <row r="282" spans="1:7" ht="12.75" x14ac:dyDescent="0.2">
      <c r="A282" s="3">
        <v>36</v>
      </c>
      <c r="B282" s="3" t="s">
        <v>66</v>
      </c>
      <c r="C282" s="3" t="s">
        <v>10</v>
      </c>
      <c r="D282" s="3" t="s">
        <v>3</v>
      </c>
      <c r="E282" s="3">
        <v>1125</v>
      </c>
      <c r="F282">
        <f>SUM(E282:E284)</f>
        <v>3001</v>
      </c>
      <c r="G282" s="57"/>
    </row>
    <row r="283" spans="1:7" ht="12.75" x14ac:dyDescent="0.2">
      <c r="A283" s="3">
        <v>36</v>
      </c>
      <c r="B283" s="3" t="s">
        <v>66</v>
      </c>
      <c r="C283" s="3" t="s">
        <v>10</v>
      </c>
      <c r="D283" s="3" t="s">
        <v>11</v>
      </c>
      <c r="E283" s="3">
        <v>1719</v>
      </c>
      <c r="G283" s="57"/>
    </row>
    <row r="284" spans="1:7" ht="12.75" x14ac:dyDescent="0.2">
      <c r="A284" s="3">
        <v>36</v>
      </c>
      <c r="B284" s="3" t="s">
        <v>66</v>
      </c>
      <c r="C284" s="3" t="s">
        <v>10</v>
      </c>
      <c r="D284" s="3" t="s">
        <v>14</v>
      </c>
      <c r="E284" s="3">
        <v>157</v>
      </c>
      <c r="G284" s="57"/>
    </row>
    <row r="285" spans="1:7" ht="12.75" x14ac:dyDescent="0.2">
      <c r="A285" s="3">
        <v>36</v>
      </c>
      <c r="B285" s="3" t="s">
        <v>66</v>
      </c>
      <c r="C285" s="3" t="s">
        <v>13</v>
      </c>
      <c r="D285" s="3" t="s">
        <v>3</v>
      </c>
      <c r="E285" s="3">
        <v>1098</v>
      </c>
      <c r="F285">
        <f>SUM(E285:E287)</f>
        <v>3001</v>
      </c>
      <c r="G285" s="57"/>
    </row>
    <row r="286" spans="1:7" ht="12.75" x14ac:dyDescent="0.2">
      <c r="A286" s="3">
        <v>36</v>
      </c>
      <c r="B286" s="3" t="s">
        <v>66</v>
      </c>
      <c r="C286" s="3" t="s">
        <v>13</v>
      </c>
      <c r="D286" s="3" t="s">
        <v>11</v>
      </c>
      <c r="E286" s="3">
        <v>1785</v>
      </c>
      <c r="G286" s="57"/>
    </row>
    <row r="287" spans="1:7" ht="12.75" x14ac:dyDescent="0.2">
      <c r="A287" s="3">
        <v>36</v>
      </c>
      <c r="B287" s="3" t="s">
        <v>66</v>
      </c>
      <c r="C287" s="3" t="s">
        <v>13</v>
      </c>
      <c r="D287" s="3" t="s">
        <v>14</v>
      </c>
      <c r="E287" s="3">
        <v>118</v>
      </c>
      <c r="G287" s="57"/>
    </row>
    <row r="288" spans="1:7" ht="12.75" x14ac:dyDescent="0.2">
      <c r="A288" s="3">
        <v>37</v>
      </c>
      <c r="B288" s="3" t="s">
        <v>67</v>
      </c>
      <c r="C288" s="3" t="s">
        <v>15</v>
      </c>
      <c r="D288" s="3" t="s">
        <v>3</v>
      </c>
      <c r="E288" s="3">
        <v>63</v>
      </c>
      <c r="F288">
        <f>SUM(E288:E290)</f>
        <v>99</v>
      </c>
      <c r="G288" s="56">
        <v>99</v>
      </c>
    </row>
    <row r="289" spans="1:7" ht="12.75" x14ac:dyDescent="0.2">
      <c r="A289" s="3">
        <v>37</v>
      </c>
      <c r="B289" s="3" t="s">
        <v>67</v>
      </c>
      <c r="C289" s="3" t="s">
        <v>15</v>
      </c>
      <c r="D289" s="3" t="s">
        <v>11</v>
      </c>
      <c r="E289" s="3">
        <v>35</v>
      </c>
      <c r="G289" s="57"/>
    </row>
    <row r="290" spans="1:7" ht="12.75" x14ac:dyDescent="0.2">
      <c r="A290" s="3">
        <v>37</v>
      </c>
      <c r="B290" s="3" t="s">
        <v>67</v>
      </c>
      <c r="C290" s="3" t="s">
        <v>15</v>
      </c>
      <c r="D290" s="3" t="s">
        <v>14</v>
      </c>
      <c r="E290" s="3">
        <v>1</v>
      </c>
      <c r="G290" s="57"/>
    </row>
    <row r="291" spans="1:7" ht="12.75" x14ac:dyDescent="0.2">
      <c r="A291" s="3">
        <v>37</v>
      </c>
      <c r="B291" s="3" t="s">
        <v>67</v>
      </c>
      <c r="C291" s="3" t="s">
        <v>17</v>
      </c>
      <c r="D291" s="3" t="s">
        <v>3</v>
      </c>
      <c r="E291" s="3">
        <v>63</v>
      </c>
      <c r="F291">
        <f>SUM(E291:E293)</f>
        <v>99</v>
      </c>
      <c r="G291" s="57"/>
    </row>
    <row r="292" spans="1:7" ht="12.75" x14ac:dyDescent="0.2">
      <c r="A292" s="3">
        <v>37</v>
      </c>
      <c r="B292" s="3" t="s">
        <v>67</v>
      </c>
      <c r="C292" s="3" t="s">
        <v>17</v>
      </c>
      <c r="D292" s="3" t="s">
        <v>11</v>
      </c>
      <c r="E292" s="3">
        <v>35</v>
      </c>
      <c r="G292" s="57"/>
    </row>
    <row r="293" spans="1:7" ht="12.75" x14ac:dyDescent="0.2">
      <c r="A293" s="3">
        <v>37</v>
      </c>
      <c r="B293" s="3" t="s">
        <v>67</v>
      </c>
      <c r="C293" s="3" t="s">
        <v>17</v>
      </c>
      <c r="D293" s="3" t="s">
        <v>14</v>
      </c>
      <c r="E293" s="3">
        <v>1</v>
      </c>
      <c r="G293" s="57"/>
    </row>
    <row r="294" spans="1:7" ht="12.75" x14ac:dyDescent="0.2">
      <c r="A294" s="3">
        <v>38</v>
      </c>
      <c r="B294" s="3" t="s">
        <v>68</v>
      </c>
      <c r="C294" s="3" t="s">
        <v>2</v>
      </c>
      <c r="D294" s="3" t="s">
        <v>3</v>
      </c>
      <c r="E294" s="3">
        <v>226</v>
      </c>
      <c r="F294">
        <f>SUM(E294:E296)</f>
        <v>446</v>
      </c>
      <c r="G294" s="56">
        <v>448</v>
      </c>
    </row>
    <row r="295" spans="1:7" ht="12.75" x14ac:dyDescent="0.2">
      <c r="A295" s="3">
        <v>38</v>
      </c>
      <c r="B295" s="3" t="s">
        <v>68</v>
      </c>
      <c r="C295" s="3" t="s">
        <v>2</v>
      </c>
      <c r="D295" s="3" t="s">
        <v>11</v>
      </c>
      <c r="E295" s="3">
        <v>206</v>
      </c>
      <c r="G295" s="57"/>
    </row>
    <row r="296" spans="1:7" ht="12.75" x14ac:dyDescent="0.2">
      <c r="A296" s="3">
        <v>38</v>
      </c>
      <c r="B296" s="3" t="s">
        <v>68</v>
      </c>
      <c r="C296" s="3" t="s">
        <v>2</v>
      </c>
      <c r="D296" s="3" t="s">
        <v>14</v>
      </c>
      <c r="E296" s="3">
        <v>14</v>
      </c>
      <c r="G296" s="57"/>
    </row>
    <row r="297" spans="1:7" ht="12.75" x14ac:dyDescent="0.2">
      <c r="A297" s="3">
        <v>38</v>
      </c>
      <c r="B297" s="3" t="s">
        <v>68</v>
      </c>
      <c r="C297" s="3" t="s">
        <v>10</v>
      </c>
      <c r="D297" s="3" t="s">
        <v>3</v>
      </c>
      <c r="E297" s="3">
        <v>215</v>
      </c>
      <c r="F297">
        <f>SUM(E297:E299)</f>
        <v>446</v>
      </c>
      <c r="G297" s="57"/>
    </row>
    <row r="298" spans="1:7" ht="12.75" x14ac:dyDescent="0.2">
      <c r="A298" s="3">
        <v>38</v>
      </c>
      <c r="B298" s="3" t="s">
        <v>68</v>
      </c>
      <c r="C298" s="3" t="s">
        <v>10</v>
      </c>
      <c r="D298" s="3" t="s">
        <v>11</v>
      </c>
      <c r="E298" s="3">
        <v>214</v>
      </c>
      <c r="G298" s="57"/>
    </row>
    <row r="299" spans="1:7" ht="12.75" x14ac:dyDescent="0.2">
      <c r="A299" s="3">
        <v>38</v>
      </c>
      <c r="B299" s="3" t="s">
        <v>68</v>
      </c>
      <c r="C299" s="3" t="s">
        <v>10</v>
      </c>
      <c r="D299" s="3" t="s">
        <v>14</v>
      </c>
      <c r="E299" s="3">
        <v>17</v>
      </c>
      <c r="G299" s="57"/>
    </row>
    <row r="300" spans="1:7" ht="12.75" x14ac:dyDescent="0.2">
      <c r="A300" s="3">
        <v>38</v>
      </c>
      <c r="B300" s="3" t="s">
        <v>68</v>
      </c>
      <c r="C300" s="3" t="s">
        <v>13</v>
      </c>
      <c r="D300" s="3" t="s">
        <v>3</v>
      </c>
      <c r="E300" s="3">
        <v>206</v>
      </c>
      <c r="F300">
        <f>SUM(E300:E302)</f>
        <v>446</v>
      </c>
      <c r="G300" s="57"/>
    </row>
    <row r="301" spans="1:7" ht="12.75" x14ac:dyDescent="0.2">
      <c r="A301" s="3">
        <v>38</v>
      </c>
      <c r="B301" s="3" t="s">
        <v>68</v>
      </c>
      <c r="C301" s="3" t="s">
        <v>13</v>
      </c>
      <c r="D301" s="3" t="s">
        <v>11</v>
      </c>
      <c r="E301" s="3">
        <v>218</v>
      </c>
      <c r="G301" s="57"/>
    </row>
    <row r="302" spans="1:7" ht="12.75" x14ac:dyDescent="0.2">
      <c r="A302" s="3">
        <v>38</v>
      </c>
      <c r="B302" s="3" t="s">
        <v>68</v>
      </c>
      <c r="C302" s="3" t="s">
        <v>13</v>
      </c>
      <c r="D302" s="3" t="s">
        <v>14</v>
      </c>
      <c r="E302" s="3">
        <v>22</v>
      </c>
      <c r="G302" s="57"/>
    </row>
    <row r="303" spans="1:7" ht="12.75" x14ac:dyDescent="0.2">
      <c r="A303" s="3">
        <v>39</v>
      </c>
      <c r="B303" s="3" t="s">
        <v>69</v>
      </c>
      <c r="C303" s="3" t="s">
        <v>2</v>
      </c>
      <c r="D303" s="3" t="s">
        <v>3</v>
      </c>
      <c r="E303" s="3">
        <v>587</v>
      </c>
      <c r="F303">
        <f>SUM(E303:E305)</f>
        <v>1316</v>
      </c>
      <c r="G303" s="56">
        <v>1324</v>
      </c>
    </row>
    <row r="304" spans="1:7" ht="12.75" x14ac:dyDescent="0.2">
      <c r="A304" s="3">
        <v>39</v>
      </c>
      <c r="B304" s="3" t="s">
        <v>69</v>
      </c>
      <c r="C304" s="3" t="s">
        <v>2</v>
      </c>
      <c r="D304" s="3" t="s">
        <v>11</v>
      </c>
      <c r="E304" s="3">
        <v>666</v>
      </c>
      <c r="G304" s="57"/>
    </row>
    <row r="305" spans="1:7" ht="12.75" x14ac:dyDescent="0.2">
      <c r="A305" s="3">
        <v>39</v>
      </c>
      <c r="B305" s="3" t="s">
        <v>69</v>
      </c>
      <c r="C305" s="3" t="s">
        <v>2</v>
      </c>
      <c r="D305" s="3" t="s">
        <v>14</v>
      </c>
      <c r="E305" s="3">
        <v>63</v>
      </c>
      <c r="G305" s="57"/>
    </row>
    <row r="306" spans="1:7" ht="12.75" x14ac:dyDescent="0.2">
      <c r="A306" s="3">
        <v>39</v>
      </c>
      <c r="B306" s="3" t="s">
        <v>69</v>
      </c>
      <c r="C306" s="3" t="s">
        <v>10</v>
      </c>
      <c r="D306" s="3" t="s">
        <v>3</v>
      </c>
      <c r="E306" s="3">
        <v>561</v>
      </c>
      <c r="F306">
        <f>SUM(E306:E308)</f>
        <v>1316</v>
      </c>
      <c r="G306" s="57"/>
    </row>
    <row r="307" spans="1:7" ht="12.75" x14ac:dyDescent="0.2">
      <c r="A307" s="3">
        <v>39</v>
      </c>
      <c r="B307" s="3" t="s">
        <v>69</v>
      </c>
      <c r="C307" s="3" t="s">
        <v>10</v>
      </c>
      <c r="D307" s="3" t="s">
        <v>11</v>
      </c>
      <c r="E307" s="3">
        <v>624</v>
      </c>
      <c r="G307" s="57"/>
    </row>
    <row r="308" spans="1:7" ht="12.75" x14ac:dyDescent="0.2">
      <c r="A308" s="3">
        <v>39</v>
      </c>
      <c r="B308" s="3" t="s">
        <v>69</v>
      </c>
      <c r="C308" s="3" t="s">
        <v>10</v>
      </c>
      <c r="D308" s="3" t="s">
        <v>14</v>
      </c>
      <c r="E308" s="3">
        <v>131</v>
      </c>
      <c r="G308" s="57"/>
    </row>
    <row r="309" spans="1:7" ht="12.75" x14ac:dyDescent="0.2">
      <c r="A309" s="3">
        <v>39</v>
      </c>
      <c r="B309" s="3" t="s">
        <v>69</v>
      </c>
      <c r="C309" s="3" t="s">
        <v>13</v>
      </c>
      <c r="D309" s="3" t="s">
        <v>3</v>
      </c>
      <c r="E309" s="3">
        <v>536</v>
      </c>
      <c r="F309">
        <f>SUM(E309:E311)</f>
        <v>1316</v>
      </c>
      <c r="G309" s="57"/>
    </row>
    <row r="310" spans="1:7" ht="12.75" x14ac:dyDescent="0.2">
      <c r="A310" s="3">
        <v>39</v>
      </c>
      <c r="B310" s="3" t="s">
        <v>69</v>
      </c>
      <c r="C310" s="3" t="s">
        <v>13</v>
      </c>
      <c r="D310" s="3" t="s">
        <v>11</v>
      </c>
      <c r="E310" s="3">
        <v>703</v>
      </c>
      <c r="G310" s="57"/>
    </row>
    <row r="311" spans="1:7" ht="12.75" x14ac:dyDescent="0.2">
      <c r="A311" s="3">
        <v>39</v>
      </c>
      <c r="B311" s="3" t="s">
        <v>69</v>
      </c>
      <c r="C311" s="3" t="s">
        <v>13</v>
      </c>
      <c r="D311" s="3" t="s">
        <v>14</v>
      </c>
      <c r="E311" s="3">
        <v>77</v>
      </c>
      <c r="G311" s="57"/>
    </row>
    <row r="312" spans="1:7" ht="12.75" x14ac:dyDescent="0.2">
      <c r="A312" s="2" t="s">
        <v>70</v>
      </c>
      <c r="B312" s="3" t="s">
        <v>71</v>
      </c>
      <c r="C312" s="3" t="s">
        <v>2</v>
      </c>
      <c r="D312" s="3" t="s">
        <v>3</v>
      </c>
      <c r="E312" s="3">
        <v>131</v>
      </c>
      <c r="F312">
        <f>SUM(E312:E314)</f>
        <v>418</v>
      </c>
      <c r="G312" s="56">
        <v>419</v>
      </c>
    </row>
    <row r="313" spans="1:7" ht="12.75" x14ac:dyDescent="0.2">
      <c r="A313" s="2" t="s">
        <v>70</v>
      </c>
      <c r="B313" s="3" t="s">
        <v>71</v>
      </c>
      <c r="C313" s="3" t="s">
        <v>2</v>
      </c>
      <c r="D313" s="3" t="s">
        <v>11</v>
      </c>
      <c r="E313" s="3">
        <v>273</v>
      </c>
      <c r="G313" s="57"/>
    </row>
    <row r="314" spans="1:7" ht="12.75" x14ac:dyDescent="0.2">
      <c r="A314" s="2" t="s">
        <v>70</v>
      </c>
      <c r="B314" s="3" t="s">
        <v>71</v>
      </c>
      <c r="C314" s="3" t="s">
        <v>2</v>
      </c>
      <c r="D314" s="3" t="s">
        <v>14</v>
      </c>
      <c r="E314" s="3">
        <v>14</v>
      </c>
      <c r="G314" s="57"/>
    </row>
    <row r="315" spans="1:7" ht="12.75" x14ac:dyDescent="0.2">
      <c r="A315" s="2" t="s">
        <v>70</v>
      </c>
      <c r="B315" s="3" t="s">
        <v>71</v>
      </c>
      <c r="C315" s="3" t="s">
        <v>10</v>
      </c>
      <c r="D315" s="3" t="s">
        <v>3</v>
      </c>
      <c r="E315" s="3">
        <v>138</v>
      </c>
      <c r="F315">
        <f>SUM(E315:E317)</f>
        <v>418</v>
      </c>
      <c r="G315" s="57"/>
    </row>
    <row r="316" spans="1:7" ht="12.75" x14ac:dyDescent="0.2">
      <c r="A316" s="2" t="s">
        <v>70</v>
      </c>
      <c r="B316" s="3" t="s">
        <v>71</v>
      </c>
      <c r="C316" s="3" t="s">
        <v>10</v>
      </c>
      <c r="D316" s="3" t="s">
        <v>11</v>
      </c>
      <c r="E316" s="3">
        <v>260</v>
      </c>
      <c r="G316" s="57"/>
    </row>
    <row r="317" spans="1:7" ht="12.75" x14ac:dyDescent="0.2">
      <c r="A317" s="2" t="s">
        <v>70</v>
      </c>
      <c r="B317" s="3" t="s">
        <v>71</v>
      </c>
      <c r="C317" s="3" t="s">
        <v>10</v>
      </c>
      <c r="D317" s="3" t="s">
        <v>14</v>
      </c>
      <c r="E317" s="3">
        <v>20</v>
      </c>
      <c r="G317" s="57"/>
    </row>
    <row r="318" spans="1:7" ht="12.75" x14ac:dyDescent="0.2">
      <c r="A318" s="2" t="s">
        <v>70</v>
      </c>
      <c r="B318" s="3" t="s">
        <v>71</v>
      </c>
      <c r="C318" s="3" t="s">
        <v>13</v>
      </c>
      <c r="D318" s="3" t="s">
        <v>3</v>
      </c>
      <c r="E318" s="3">
        <v>131</v>
      </c>
      <c r="F318">
        <f>SUM(E318:E320)</f>
        <v>418</v>
      </c>
      <c r="G318" s="57"/>
    </row>
    <row r="319" spans="1:7" ht="12.75" x14ac:dyDescent="0.2">
      <c r="A319" s="2" t="s">
        <v>70</v>
      </c>
      <c r="B319" s="3" t="s">
        <v>71</v>
      </c>
      <c r="C319" s="3" t="s">
        <v>13</v>
      </c>
      <c r="D319" s="3" t="s">
        <v>11</v>
      </c>
      <c r="E319" s="3">
        <v>267</v>
      </c>
      <c r="G319" s="57"/>
    </row>
    <row r="320" spans="1:7" ht="12.75" x14ac:dyDescent="0.2">
      <c r="A320" s="2" t="s">
        <v>70</v>
      </c>
      <c r="B320" s="3" t="s">
        <v>71</v>
      </c>
      <c r="C320" s="3" t="s">
        <v>13</v>
      </c>
      <c r="D320" s="3" t="s">
        <v>14</v>
      </c>
      <c r="E320" s="3">
        <v>20</v>
      </c>
      <c r="G320" s="57"/>
    </row>
    <row r="321" spans="1:7" ht="12.75" x14ac:dyDescent="0.2">
      <c r="A321" s="2">
        <v>40</v>
      </c>
      <c r="B321" s="3" t="s">
        <v>72</v>
      </c>
      <c r="C321" s="3" t="s">
        <v>2</v>
      </c>
      <c r="D321" s="3" t="s">
        <v>3</v>
      </c>
      <c r="E321" s="3">
        <v>1011</v>
      </c>
      <c r="F321">
        <f>SUM(E321:E323)</f>
        <v>1998</v>
      </c>
      <c r="G321" s="56">
        <v>2002</v>
      </c>
    </row>
    <row r="322" spans="1:7" ht="12.75" x14ac:dyDescent="0.2">
      <c r="A322" s="2">
        <v>40</v>
      </c>
      <c r="B322" s="3" t="s">
        <v>72</v>
      </c>
      <c r="C322" s="3" t="s">
        <v>2</v>
      </c>
      <c r="D322" s="3" t="s">
        <v>11</v>
      </c>
      <c r="E322" s="3">
        <v>888</v>
      </c>
      <c r="G322" s="57"/>
    </row>
    <row r="323" spans="1:7" ht="12.75" x14ac:dyDescent="0.2">
      <c r="A323" s="2">
        <v>40</v>
      </c>
      <c r="B323" s="3" t="s">
        <v>72</v>
      </c>
      <c r="C323" s="3" t="s">
        <v>2</v>
      </c>
      <c r="D323" s="3" t="s">
        <v>14</v>
      </c>
      <c r="E323" s="3">
        <v>99</v>
      </c>
      <c r="G323" s="57"/>
    </row>
    <row r="324" spans="1:7" ht="12.75" x14ac:dyDescent="0.2">
      <c r="A324" s="2">
        <v>40</v>
      </c>
      <c r="B324" s="3" t="s">
        <v>72</v>
      </c>
      <c r="C324" s="3" t="s">
        <v>10</v>
      </c>
      <c r="D324" s="3" t="s">
        <v>3</v>
      </c>
      <c r="E324" s="3">
        <v>978</v>
      </c>
      <c r="F324">
        <f>SUM(E324:E326)</f>
        <v>1999</v>
      </c>
      <c r="G324" s="57"/>
    </row>
    <row r="325" spans="1:7" ht="12.75" x14ac:dyDescent="0.2">
      <c r="A325" s="2">
        <v>40</v>
      </c>
      <c r="B325" s="3" t="s">
        <v>72</v>
      </c>
      <c r="C325" s="3" t="s">
        <v>10</v>
      </c>
      <c r="D325" s="3" t="s">
        <v>11</v>
      </c>
      <c r="E325" s="3">
        <v>856</v>
      </c>
      <c r="G325" s="57"/>
    </row>
    <row r="326" spans="1:7" ht="12.75" x14ac:dyDescent="0.2">
      <c r="A326" s="2">
        <v>40</v>
      </c>
      <c r="B326" s="3" t="s">
        <v>72</v>
      </c>
      <c r="C326" s="3" t="s">
        <v>10</v>
      </c>
      <c r="D326" s="3" t="s">
        <v>14</v>
      </c>
      <c r="E326" s="3">
        <v>165</v>
      </c>
      <c r="G326" s="57"/>
    </row>
    <row r="327" spans="1:7" ht="12.75" x14ac:dyDescent="0.2">
      <c r="A327" s="2">
        <v>40</v>
      </c>
      <c r="B327" s="3" t="s">
        <v>72</v>
      </c>
      <c r="C327" s="3" t="s">
        <v>13</v>
      </c>
      <c r="D327" s="3" t="s">
        <v>3</v>
      </c>
      <c r="E327" s="3">
        <v>1043</v>
      </c>
      <c r="F327">
        <f>SUM(E327:E329)</f>
        <v>1996</v>
      </c>
      <c r="G327" s="57"/>
    </row>
    <row r="328" spans="1:7" ht="12.75" x14ac:dyDescent="0.2">
      <c r="A328" s="2">
        <v>40</v>
      </c>
      <c r="B328" s="3" t="s">
        <v>72</v>
      </c>
      <c r="C328" s="3" t="s">
        <v>13</v>
      </c>
      <c r="D328" s="3" t="s">
        <v>11</v>
      </c>
      <c r="E328" s="3">
        <v>828</v>
      </c>
      <c r="G328" s="57"/>
    </row>
    <row r="329" spans="1:7" ht="12.75" x14ac:dyDescent="0.2">
      <c r="A329" s="2">
        <v>40</v>
      </c>
      <c r="B329" s="3" t="s">
        <v>72</v>
      </c>
      <c r="C329" s="3" t="s">
        <v>13</v>
      </c>
      <c r="D329" s="3" t="s">
        <v>14</v>
      </c>
      <c r="E329" s="3">
        <v>125</v>
      </c>
      <c r="G329" s="57"/>
    </row>
    <row r="330" spans="1:7" ht="12.75" x14ac:dyDescent="0.2">
      <c r="A330" s="3">
        <v>42</v>
      </c>
      <c r="B330" s="3" t="s">
        <v>73</v>
      </c>
      <c r="C330" s="3" t="s">
        <v>2</v>
      </c>
      <c r="D330" s="3" t="s">
        <v>3</v>
      </c>
      <c r="E330" s="3">
        <v>938</v>
      </c>
      <c r="F330">
        <f>SUM(E330:E333)</f>
        <v>2093</v>
      </c>
      <c r="G330" s="56">
        <v>2095</v>
      </c>
    </row>
    <row r="331" spans="1:7" ht="12.75" x14ac:dyDescent="0.2">
      <c r="A331" s="3">
        <v>42</v>
      </c>
      <c r="B331" s="3" t="s">
        <v>73</v>
      </c>
      <c r="C331" s="3" t="s">
        <v>2</v>
      </c>
      <c r="D331" s="3" t="s">
        <v>24</v>
      </c>
      <c r="E331" s="3">
        <v>31</v>
      </c>
      <c r="G331" s="57"/>
    </row>
    <row r="332" spans="1:7" ht="12.75" x14ac:dyDescent="0.2">
      <c r="A332" s="3">
        <v>42</v>
      </c>
      <c r="B332" s="3" t="s">
        <v>73</v>
      </c>
      <c r="C332" s="3" t="s">
        <v>2</v>
      </c>
      <c r="D332" s="3" t="s">
        <v>11</v>
      </c>
      <c r="E332" s="3">
        <v>1058</v>
      </c>
      <c r="G332" s="57"/>
    </row>
    <row r="333" spans="1:7" ht="12.75" x14ac:dyDescent="0.2">
      <c r="A333" s="3">
        <v>42</v>
      </c>
      <c r="B333" s="3" t="s">
        <v>73</v>
      </c>
      <c r="C333" s="3" t="s">
        <v>2</v>
      </c>
      <c r="D333" s="3" t="s">
        <v>14</v>
      </c>
      <c r="E333" s="3">
        <v>66</v>
      </c>
      <c r="G333" s="57"/>
    </row>
    <row r="334" spans="1:7" ht="12.75" x14ac:dyDescent="0.2">
      <c r="A334" s="3">
        <v>42</v>
      </c>
      <c r="B334" s="3" t="s">
        <v>73</v>
      </c>
      <c r="C334" s="3" t="s">
        <v>10</v>
      </c>
      <c r="D334" s="3" t="s">
        <v>3</v>
      </c>
      <c r="E334" s="3">
        <v>857</v>
      </c>
      <c r="F334">
        <f>SUM(E334:E337)</f>
        <v>2092</v>
      </c>
      <c r="G334" s="57"/>
    </row>
    <row r="335" spans="1:7" ht="12.75" x14ac:dyDescent="0.2">
      <c r="A335" s="3">
        <v>42</v>
      </c>
      <c r="B335" s="3" t="s">
        <v>73</v>
      </c>
      <c r="C335" s="3" t="s">
        <v>10</v>
      </c>
      <c r="D335" s="3" t="s">
        <v>24</v>
      </c>
      <c r="E335" s="3">
        <v>139</v>
      </c>
      <c r="G335" s="57"/>
    </row>
    <row r="336" spans="1:7" ht="12.75" x14ac:dyDescent="0.2">
      <c r="A336" s="3">
        <v>42</v>
      </c>
      <c r="B336" s="3" t="s">
        <v>73</v>
      </c>
      <c r="C336" s="3" t="s">
        <v>10</v>
      </c>
      <c r="D336" s="3" t="s">
        <v>11</v>
      </c>
      <c r="E336" s="3">
        <v>1013</v>
      </c>
      <c r="G336" s="57"/>
    </row>
    <row r="337" spans="1:7" ht="12.75" x14ac:dyDescent="0.2">
      <c r="A337" s="3">
        <v>42</v>
      </c>
      <c r="B337" s="3" t="s">
        <v>73</v>
      </c>
      <c r="C337" s="3" t="s">
        <v>10</v>
      </c>
      <c r="D337" s="3" t="s">
        <v>14</v>
      </c>
      <c r="E337" s="3">
        <v>83</v>
      </c>
      <c r="G337" s="57"/>
    </row>
    <row r="338" spans="1:7" ht="12.75" x14ac:dyDescent="0.2">
      <c r="A338" s="3">
        <v>42</v>
      </c>
      <c r="B338" s="3" t="s">
        <v>73</v>
      </c>
      <c r="C338" s="3" t="s">
        <v>13</v>
      </c>
      <c r="D338" s="3" t="s">
        <v>3</v>
      </c>
      <c r="E338" s="3">
        <v>900</v>
      </c>
      <c r="F338">
        <f>SUM(E338:E341)</f>
        <v>2094</v>
      </c>
      <c r="G338" s="57"/>
    </row>
    <row r="339" spans="1:7" ht="12.75" x14ac:dyDescent="0.2">
      <c r="A339" s="3">
        <v>42</v>
      </c>
      <c r="B339" s="3" t="s">
        <v>73</v>
      </c>
      <c r="C339" s="3" t="s">
        <v>13</v>
      </c>
      <c r="D339" s="3" t="s">
        <v>24</v>
      </c>
      <c r="E339" s="3">
        <v>45</v>
      </c>
      <c r="G339" s="57"/>
    </row>
    <row r="340" spans="1:7" ht="12.75" x14ac:dyDescent="0.2">
      <c r="A340" s="3">
        <v>42</v>
      </c>
      <c r="B340" s="3" t="s">
        <v>73</v>
      </c>
      <c r="C340" s="3" t="s">
        <v>13</v>
      </c>
      <c r="D340" s="3" t="s">
        <v>11</v>
      </c>
      <c r="E340" s="3">
        <v>1055</v>
      </c>
      <c r="G340" s="57"/>
    </row>
    <row r="341" spans="1:7" ht="12.75" x14ac:dyDescent="0.2">
      <c r="A341" s="3">
        <v>42</v>
      </c>
      <c r="B341" s="3" t="s">
        <v>73</v>
      </c>
      <c r="C341" s="3" t="s">
        <v>13</v>
      </c>
      <c r="D341" s="3" t="s">
        <v>14</v>
      </c>
      <c r="E341" s="3">
        <v>94</v>
      </c>
      <c r="G341" s="57"/>
    </row>
    <row r="342" spans="1:7" ht="12.75" x14ac:dyDescent="0.2">
      <c r="A342" s="3">
        <v>43</v>
      </c>
      <c r="B342" s="3" t="s">
        <v>74</v>
      </c>
      <c r="C342" s="3" t="s">
        <v>2</v>
      </c>
      <c r="D342" s="3" t="s">
        <v>3</v>
      </c>
      <c r="E342" s="3">
        <v>148</v>
      </c>
      <c r="F342">
        <f>SUM(E342:E344)</f>
        <v>316</v>
      </c>
      <c r="G342" s="56">
        <v>316</v>
      </c>
    </row>
    <row r="343" spans="1:7" ht="12.75" x14ac:dyDescent="0.2">
      <c r="A343" s="3">
        <v>43</v>
      </c>
      <c r="B343" s="3" t="s">
        <v>74</v>
      </c>
      <c r="C343" s="3" t="s">
        <v>2</v>
      </c>
      <c r="D343" s="3" t="s">
        <v>11</v>
      </c>
      <c r="E343" s="3">
        <v>161</v>
      </c>
      <c r="G343" s="57"/>
    </row>
    <row r="344" spans="1:7" ht="12.75" x14ac:dyDescent="0.2">
      <c r="A344" s="3">
        <v>43</v>
      </c>
      <c r="B344" s="3" t="s">
        <v>74</v>
      </c>
      <c r="C344" s="3" t="s">
        <v>2</v>
      </c>
      <c r="D344" s="3" t="s">
        <v>14</v>
      </c>
      <c r="E344" s="3">
        <v>7</v>
      </c>
      <c r="G344" s="57"/>
    </row>
    <row r="345" spans="1:7" ht="12.75" x14ac:dyDescent="0.2">
      <c r="A345" s="3">
        <v>43</v>
      </c>
      <c r="B345" s="3" t="s">
        <v>74</v>
      </c>
      <c r="C345" s="3" t="s">
        <v>10</v>
      </c>
      <c r="D345" s="3" t="s">
        <v>3</v>
      </c>
      <c r="E345" s="3">
        <v>154</v>
      </c>
      <c r="F345">
        <f>SUM(E345:E347)</f>
        <v>316</v>
      </c>
      <c r="G345" s="57"/>
    </row>
    <row r="346" spans="1:7" ht="12.75" x14ac:dyDescent="0.2">
      <c r="A346" s="3">
        <v>43</v>
      </c>
      <c r="B346" s="3" t="s">
        <v>74</v>
      </c>
      <c r="C346" s="3" t="s">
        <v>10</v>
      </c>
      <c r="D346" s="3" t="s">
        <v>11</v>
      </c>
      <c r="E346" s="3">
        <v>152</v>
      </c>
      <c r="G346" s="57"/>
    </row>
    <row r="347" spans="1:7" ht="12.75" x14ac:dyDescent="0.2">
      <c r="A347" s="3">
        <v>43</v>
      </c>
      <c r="B347" s="3" t="s">
        <v>74</v>
      </c>
      <c r="C347" s="3" t="s">
        <v>10</v>
      </c>
      <c r="D347" s="3" t="s">
        <v>14</v>
      </c>
      <c r="E347" s="3">
        <v>10</v>
      </c>
      <c r="G347" s="57"/>
    </row>
    <row r="348" spans="1:7" ht="12.75" x14ac:dyDescent="0.2">
      <c r="A348" s="3">
        <v>43</v>
      </c>
      <c r="B348" s="3" t="s">
        <v>74</v>
      </c>
      <c r="C348" s="3" t="s">
        <v>13</v>
      </c>
      <c r="D348" s="3" t="s">
        <v>3</v>
      </c>
      <c r="E348" s="3">
        <v>141</v>
      </c>
      <c r="F348">
        <f>SUM(E348:E350)</f>
        <v>316</v>
      </c>
      <c r="G348" s="57"/>
    </row>
    <row r="349" spans="1:7" ht="12.75" x14ac:dyDescent="0.2">
      <c r="A349" s="3">
        <v>43</v>
      </c>
      <c r="B349" s="3" t="s">
        <v>74</v>
      </c>
      <c r="C349" s="3" t="s">
        <v>13</v>
      </c>
      <c r="D349" s="3" t="s">
        <v>11</v>
      </c>
      <c r="E349" s="3">
        <v>165</v>
      </c>
      <c r="G349" s="57"/>
    </row>
    <row r="350" spans="1:7" ht="12.75" x14ac:dyDescent="0.2">
      <c r="A350" s="3">
        <v>43</v>
      </c>
      <c r="B350" s="3" t="s">
        <v>74</v>
      </c>
      <c r="C350" s="3" t="s">
        <v>13</v>
      </c>
      <c r="D350" s="3" t="s">
        <v>14</v>
      </c>
      <c r="E350" s="3">
        <v>10</v>
      </c>
      <c r="G350" s="57"/>
    </row>
    <row r="351" spans="1:7" ht="12.75" x14ac:dyDescent="0.2">
      <c r="A351" s="3">
        <v>45</v>
      </c>
      <c r="B351" s="3" t="s">
        <v>75</v>
      </c>
      <c r="C351" s="3" t="s">
        <v>15</v>
      </c>
      <c r="D351" s="3" t="s">
        <v>3</v>
      </c>
      <c r="E351" s="3">
        <v>52</v>
      </c>
      <c r="F351">
        <f>SUM(E351:E352)</f>
        <v>98</v>
      </c>
      <c r="G351" s="56">
        <v>98</v>
      </c>
    </row>
    <row r="352" spans="1:7" ht="12.75" x14ac:dyDescent="0.2">
      <c r="A352" s="3">
        <v>45</v>
      </c>
      <c r="B352" s="3" t="s">
        <v>75</v>
      </c>
      <c r="C352" s="3" t="s">
        <v>15</v>
      </c>
      <c r="D352" s="3" t="s">
        <v>11</v>
      </c>
      <c r="E352" s="3">
        <v>46</v>
      </c>
      <c r="G352" s="57"/>
    </row>
    <row r="353" spans="1:7" ht="12.75" x14ac:dyDescent="0.2">
      <c r="A353" s="3">
        <v>45</v>
      </c>
      <c r="B353" s="3" t="s">
        <v>75</v>
      </c>
      <c r="C353" s="3" t="s">
        <v>17</v>
      </c>
      <c r="D353" s="3" t="s">
        <v>3</v>
      </c>
      <c r="E353" s="3">
        <v>51</v>
      </c>
      <c r="F353">
        <f>SUM(E353:E355)</f>
        <v>98</v>
      </c>
      <c r="G353" s="57"/>
    </row>
    <row r="354" spans="1:7" ht="12.75" x14ac:dyDescent="0.2">
      <c r="A354" s="3">
        <v>45</v>
      </c>
      <c r="B354" s="3" t="s">
        <v>75</v>
      </c>
      <c r="C354" s="3" t="s">
        <v>17</v>
      </c>
      <c r="D354" s="3" t="s">
        <v>11</v>
      </c>
      <c r="E354" s="3">
        <v>44</v>
      </c>
      <c r="G354" s="57"/>
    </row>
    <row r="355" spans="1:7" ht="12.75" x14ac:dyDescent="0.2">
      <c r="A355" s="3">
        <v>45</v>
      </c>
      <c r="B355" s="3" t="s">
        <v>75</v>
      </c>
      <c r="C355" s="3" t="s">
        <v>17</v>
      </c>
      <c r="D355" s="3" t="s">
        <v>14</v>
      </c>
      <c r="E355" s="3">
        <v>3</v>
      </c>
      <c r="G355" s="57"/>
    </row>
    <row r="356" spans="1:7" ht="12.75" x14ac:dyDescent="0.2">
      <c r="A356" s="3">
        <v>46</v>
      </c>
      <c r="B356" s="3" t="s">
        <v>76</v>
      </c>
      <c r="C356" s="3" t="s">
        <v>2</v>
      </c>
      <c r="D356" s="3" t="s">
        <v>3</v>
      </c>
      <c r="E356" s="3">
        <v>262</v>
      </c>
      <c r="F356">
        <f>SUM(E356:E358)</f>
        <v>576</v>
      </c>
      <c r="G356" s="56">
        <v>579</v>
      </c>
    </row>
    <row r="357" spans="1:7" ht="12.75" x14ac:dyDescent="0.2">
      <c r="A357" s="3">
        <v>46</v>
      </c>
      <c r="B357" s="3" t="s">
        <v>76</v>
      </c>
      <c r="C357" s="3" t="s">
        <v>2</v>
      </c>
      <c r="D357" s="3" t="s">
        <v>11</v>
      </c>
      <c r="E357" s="3">
        <v>294</v>
      </c>
      <c r="G357" s="57"/>
    </row>
    <row r="358" spans="1:7" ht="12.75" x14ac:dyDescent="0.2">
      <c r="A358" s="3">
        <v>46</v>
      </c>
      <c r="B358" s="3" t="s">
        <v>76</v>
      </c>
      <c r="C358" s="3" t="s">
        <v>2</v>
      </c>
      <c r="D358" s="3" t="s">
        <v>14</v>
      </c>
      <c r="E358" s="3">
        <v>20</v>
      </c>
      <c r="G358" s="57"/>
    </row>
    <row r="359" spans="1:7" ht="12.75" x14ac:dyDescent="0.2">
      <c r="A359" s="3">
        <v>46</v>
      </c>
      <c r="B359" s="3" t="s">
        <v>76</v>
      </c>
      <c r="C359" s="3" t="s">
        <v>10</v>
      </c>
      <c r="D359" s="3" t="s">
        <v>3</v>
      </c>
      <c r="E359" s="3">
        <v>263</v>
      </c>
      <c r="F359">
        <f>SUM(E359:E361)</f>
        <v>576</v>
      </c>
      <c r="G359" s="57"/>
    </row>
    <row r="360" spans="1:7" ht="12.75" x14ac:dyDescent="0.2">
      <c r="A360" s="3">
        <v>46</v>
      </c>
      <c r="B360" s="3" t="s">
        <v>76</v>
      </c>
      <c r="C360" s="3" t="s">
        <v>10</v>
      </c>
      <c r="D360" s="3" t="s">
        <v>11</v>
      </c>
      <c r="E360" s="3">
        <v>290</v>
      </c>
      <c r="G360" s="57"/>
    </row>
    <row r="361" spans="1:7" ht="12.75" x14ac:dyDescent="0.2">
      <c r="A361" s="3">
        <v>46</v>
      </c>
      <c r="B361" s="3" t="s">
        <v>76</v>
      </c>
      <c r="C361" s="3" t="s">
        <v>10</v>
      </c>
      <c r="D361" s="3" t="s">
        <v>14</v>
      </c>
      <c r="E361" s="3">
        <v>23</v>
      </c>
      <c r="G361" s="57"/>
    </row>
    <row r="362" spans="1:7" ht="12.75" x14ac:dyDescent="0.2">
      <c r="A362" s="3">
        <v>46</v>
      </c>
      <c r="B362" s="3" t="s">
        <v>76</v>
      </c>
      <c r="C362" s="3" t="s">
        <v>13</v>
      </c>
      <c r="D362" s="3" t="s">
        <v>3</v>
      </c>
      <c r="E362" s="3">
        <v>266</v>
      </c>
      <c r="F362">
        <f>SUM(E362:E364)</f>
        <v>576</v>
      </c>
      <c r="G362" s="57"/>
    </row>
    <row r="363" spans="1:7" ht="12.75" x14ac:dyDescent="0.2">
      <c r="A363" s="3">
        <v>46</v>
      </c>
      <c r="B363" s="3" t="s">
        <v>76</v>
      </c>
      <c r="C363" s="3" t="s">
        <v>13</v>
      </c>
      <c r="D363" s="3" t="s">
        <v>11</v>
      </c>
      <c r="E363" s="3">
        <v>286</v>
      </c>
      <c r="G363" s="57"/>
    </row>
    <row r="364" spans="1:7" ht="12.75" x14ac:dyDescent="0.2">
      <c r="A364" s="3">
        <v>46</v>
      </c>
      <c r="B364" s="3" t="s">
        <v>76</v>
      </c>
      <c r="C364" s="3" t="s">
        <v>13</v>
      </c>
      <c r="D364" s="3" t="s">
        <v>14</v>
      </c>
      <c r="E364" s="3">
        <v>24</v>
      </c>
      <c r="G364" s="57"/>
    </row>
    <row r="365" spans="1:7" ht="12.75" x14ac:dyDescent="0.2">
      <c r="A365" s="3">
        <v>47</v>
      </c>
      <c r="B365" s="3" t="s">
        <v>77</v>
      </c>
      <c r="C365" s="3" t="s">
        <v>2</v>
      </c>
      <c r="D365" s="3" t="s">
        <v>3</v>
      </c>
      <c r="E365" s="3">
        <v>510</v>
      </c>
      <c r="F365">
        <f>SUM(E365:E367)</f>
        <v>935</v>
      </c>
      <c r="G365" s="56">
        <v>935</v>
      </c>
    </row>
    <row r="366" spans="1:7" ht="12.75" x14ac:dyDescent="0.2">
      <c r="A366" s="3">
        <v>47</v>
      </c>
      <c r="B366" s="3" t="s">
        <v>77</v>
      </c>
      <c r="C366" s="3" t="s">
        <v>2</v>
      </c>
      <c r="D366" s="3" t="s">
        <v>11</v>
      </c>
      <c r="E366" s="3">
        <v>398</v>
      </c>
      <c r="G366" s="57"/>
    </row>
    <row r="367" spans="1:7" ht="12.75" x14ac:dyDescent="0.2">
      <c r="A367" s="3">
        <v>47</v>
      </c>
      <c r="B367" s="3" t="s">
        <v>77</v>
      </c>
      <c r="C367" s="3" t="s">
        <v>2</v>
      </c>
      <c r="D367" s="3" t="s">
        <v>14</v>
      </c>
      <c r="E367" s="3">
        <v>27</v>
      </c>
      <c r="G367" s="57"/>
    </row>
    <row r="368" spans="1:7" ht="12.75" x14ac:dyDescent="0.2">
      <c r="A368" s="3">
        <v>47</v>
      </c>
      <c r="B368" s="3" t="s">
        <v>77</v>
      </c>
      <c r="C368" s="3" t="s">
        <v>10</v>
      </c>
      <c r="D368" s="3" t="s">
        <v>3</v>
      </c>
      <c r="E368" s="3">
        <v>498</v>
      </c>
      <c r="F368">
        <f>SUM(E368:E370)</f>
        <v>935</v>
      </c>
      <c r="G368" s="57"/>
    </row>
    <row r="369" spans="1:7" ht="12.75" x14ac:dyDescent="0.2">
      <c r="A369" s="3">
        <v>47</v>
      </c>
      <c r="B369" s="3" t="s">
        <v>77</v>
      </c>
      <c r="C369" s="3" t="s">
        <v>10</v>
      </c>
      <c r="D369" s="3" t="s">
        <v>11</v>
      </c>
      <c r="E369" s="3">
        <v>386</v>
      </c>
      <c r="G369" s="57"/>
    </row>
    <row r="370" spans="1:7" ht="12.75" x14ac:dyDescent="0.2">
      <c r="A370" s="3">
        <v>47</v>
      </c>
      <c r="B370" s="3" t="s">
        <v>77</v>
      </c>
      <c r="C370" s="3" t="s">
        <v>10</v>
      </c>
      <c r="D370" s="3" t="s">
        <v>14</v>
      </c>
      <c r="E370" s="3">
        <v>51</v>
      </c>
      <c r="G370" s="57"/>
    </row>
    <row r="371" spans="1:7" ht="12.75" x14ac:dyDescent="0.2">
      <c r="A371" s="3">
        <v>47</v>
      </c>
      <c r="B371" s="3" t="s">
        <v>77</v>
      </c>
      <c r="C371" s="3" t="s">
        <v>13</v>
      </c>
      <c r="D371" s="3" t="s">
        <v>3</v>
      </c>
      <c r="E371" s="3">
        <v>505</v>
      </c>
      <c r="F371">
        <f>SUM(E371:E373)</f>
        <v>935</v>
      </c>
      <c r="G371" s="57"/>
    </row>
    <row r="372" spans="1:7" ht="12.75" x14ac:dyDescent="0.2">
      <c r="A372" s="3">
        <v>47</v>
      </c>
      <c r="B372" s="3" t="s">
        <v>77</v>
      </c>
      <c r="C372" s="3" t="s">
        <v>13</v>
      </c>
      <c r="D372" s="3" t="s">
        <v>11</v>
      </c>
      <c r="E372" s="3">
        <v>392</v>
      </c>
      <c r="G372" s="57"/>
    </row>
    <row r="373" spans="1:7" ht="12.75" x14ac:dyDescent="0.2">
      <c r="A373" s="3">
        <v>47</v>
      </c>
      <c r="B373" s="3" t="s">
        <v>77</v>
      </c>
      <c r="C373" s="3" t="s">
        <v>13</v>
      </c>
      <c r="D373" s="3" t="s">
        <v>14</v>
      </c>
      <c r="E373" s="3">
        <v>38</v>
      </c>
      <c r="G373" s="57"/>
    </row>
    <row r="374" spans="1:7" ht="12.75" x14ac:dyDescent="0.2">
      <c r="A374" s="3">
        <v>48</v>
      </c>
      <c r="B374" s="3" t="s">
        <v>78</v>
      </c>
      <c r="C374" s="3" t="s">
        <v>2</v>
      </c>
      <c r="D374" s="3" t="s">
        <v>3</v>
      </c>
      <c r="E374" s="3">
        <v>1696</v>
      </c>
      <c r="F374">
        <f>SUM(E374:E376)</f>
        <v>3715</v>
      </c>
      <c r="G374" s="56">
        <v>3720</v>
      </c>
    </row>
    <row r="375" spans="1:7" ht="12.75" x14ac:dyDescent="0.2">
      <c r="A375" s="3">
        <v>48</v>
      </c>
      <c r="B375" s="3" t="s">
        <v>78</v>
      </c>
      <c r="C375" s="3" t="s">
        <v>2</v>
      </c>
      <c r="D375" s="3" t="s">
        <v>26</v>
      </c>
      <c r="E375" s="3">
        <v>1858</v>
      </c>
      <c r="G375" s="57"/>
    </row>
    <row r="376" spans="1:7" ht="12.75" x14ac:dyDescent="0.2">
      <c r="A376" s="3">
        <v>48</v>
      </c>
      <c r="B376" s="3" t="s">
        <v>78</v>
      </c>
      <c r="C376" s="3" t="s">
        <v>2</v>
      </c>
      <c r="D376" s="3" t="s">
        <v>14</v>
      </c>
      <c r="E376" s="3">
        <v>161</v>
      </c>
      <c r="G376" s="57"/>
    </row>
    <row r="377" spans="1:7" ht="12.75" x14ac:dyDescent="0.2">
      <c r="A377" s="3">
        <v>48</v>
      </c>
      <c r="B377" s="3" t="s">
        <v>78</v>
      </c>
      <c r="C377" s="3" t="s">
        <v>10</v>
      </c>
      <c r="D377" s="3" t="s">
        <v>3</v>
      </c>
      <c r="E377" s="3">
        <v>1672</v>
      </c>
      <c r="F377">
        <f>SUM(E377:E379)</f>
        <v>3559</v>
      </c>
      <c r="G377" s="57"/>
    </row>
    <row r="378" spans="1:7" ht="12.75" x14ac:dyDescent="0.2">
      <c r="A378" s="3">
        <v>48</v>
      </c>
      <c r="B378" s="3" t="s">
        <v>78</v>
      </c>
      <c r="C378" s="3" t="s">
        <v>10</v>
      </c>
      <c r="D378" s="3" t="s">
        <v>26</v>
      </c>
      <c r="E378" s="3">
        <v>1698</v>
      </c>
      <c r="G378" s="57"/>
    </row>
    <row r="379" spans="1:7" ht="12.75" x14ac:dyDescent="0.2">
      <c r="A379" s="3">
        <v>48</v>
      </c>
      <c r="B379" s="3" t="s">
        <v>78</v>
      </c>
      <c r="C379" s="3" t="s">
        <v>10</v>
      </c>
      <c r="D379" s="3" t="s">
        <v>14</v>
      </c>
      <c r="E379" s="3">
        <v>189</v>
      </c>
      <c r="G379" s="57"/>
    </row>
    <row r="380" spans="1:7" ht="12.75" x14ac:dyDescent="0.2">
      <c r="A380" s="3">
        <v>48</v>
      </c>
      <c r="B380" s="3" t="s">
        <v>78</v>
      </c>
      <c r="C380" s="3" t="s">
        <v>13</v>
      </c>
      <c r="D380" s="3" t="s">
        <v>3</v>
      </c>
      <c r="E380" s="3">
        <v>1893</v>
      </c>
      <c r="F380">
        <f>SUM(E380:E382)</f>
        <v>3714</v>
      </c>
      <c r="G380" s="57"/>
    </row>
    <row r="381" spans="1:7" ht="12.75" x14ac:dyDescent="0.2">
      <c r="A381" s="3">
        <v>48</v>
      </c>
      <c r="B381" s="3" t="s">
        <v>78</v>
      </c>
      <c r="C381" s="3" t="s">
        <v>13</v>
      </c>
      <c r="D381" s="3" t="s">
        <v>26</v>
      </c>
      <c r="E381" s="3">
        <v>1580</v>
      </c>
      <c r="G381" s="57"/>
    </row>
    <row r="382" spans="1:7" ht="12.75" x14ac:dyDescent="0.2">
      <c r="A382" s="3">
        <v>48</v>
      </c>
      <c r="B382" s="3" t="s">
        <v>78</v>
      </c>
      <c r="C382" s="3" t="s">
        <v>13</v>
      </c>
      <c r="D382" s="3" t="s">
        <v>14</v>
      </c>
      <c r="E382" s="3">
        <v>241</v>
      </c>
      <c r="G382" s="57"/>
    </row>
    <row r="383" spans="1:7" ht="12.75" x14ac:dyDescent="0.2">
      <c r="A383" s="3">
        <v>49</v>
      </c>
      <c r="B383" s="3" t="s">
        <v>79</v>
      </c>
      <c r="C383" s="3" t="s">
        <v>15</v>
      </c>
      <c r="D383" s="3" t="s">
        <v>3</v>
      </c>
      <c r="E383" s="3">
        <v>89</v>
      </c>
      <c r="F383">
        <f>SUM(E383:E385)</f>
        <v>198</v>
      </c>
      <c r="G383" s="56">
        <v>200</v>
      </c>
    </row>
    <row r="384" spans="1:7" ht="12.75" x14ac:dyDescent="0.2">
      <c r="A384" s="3">
        <v>49</v>
      </c>
      <c r="B384" s="3" t="s">
        <v>79</v>
      </c>
      <c r="C384" s="3" t="s">
        <v>15</v>
      </c>
      <c r="D384" s="3" t="s">
        <v>11</v>
      </c>
      <c r="E384" s="3">
        <v>101</v>
      </c>
      <c r="G384" s="57"/>
    </row>
    <row r="385" spans="1:7" ht="12.75" x14ac:dyDescent="0.2">
      <c r="A385" s="3">
        <v>49</v>
      </c>
      <c r="B385" s="3" t="s">
        <v>79</v>
      </c>
      <c r="C385" s="3" t="s">
        <v>15</v>
      </c>
      <c r="D385" s="3" t="s">
        <v>14</v>
      </c>
      <c r="E385" s="3">
        <v>8</v>
      </c>
      <c r="G385" s="57"/>
    </row>
    <row r="386" spans="1:7" ht="12.75" x14ac:dyDescent="0.2">
      <c r="A386" s="3">
        <v>49</v>
      </c>
      <c r="B386" s="3" t="s">
        <v>79</v>
      </c>
      <c r="C386" s="3" t="s">
        <v>17</v>
      </c>
      <c r="D386" s="3" t="s">
        <v>3</v>
      </c>
      <c r="E386" s="3">
        <v>89</v>
      </c>
      <c r="F386">
        <f>SUM(E386:E388)</f>
        <v>198</v>
      </c>
      <c r="G386" s="57"/>
    </row>
    <row r="387" spans="1:7" ht="12.75" x14ac:dyDescent="0.2">
      <c r="A387" s="3">
        <v>49</v>
      </c>
      <c r="B387" s="3" t="s">
        <v>79</v>
      </c>
      <c r="C387" s="3" t="s">
        <v>17</v>
      </c>
      <c r="D387" s="3" t="s">
        <v>11</v>
      </c>
      <c r="E387" s="3">
        <v>101</v>
      </c>
      <c r="G387" s="57"/>
    </row>
    <row r="388" spans="1:7" ht="12.75" x14ac:dyDescent="0.2">
      <c r="A388" s="3">
        <v>49</v>
      </c>
      <c r="B388" s="3" t="s">
        <v>79</v>
      </c>
      <c r="C388" s="3" t="s">
        <v>17</v>
      </c>
      <c r="D388" s="3" t="s">
        <v>14</v>
      </c>
      <c r="E388" s="3">
        <v>8</v>
      </c>
      <c r="G388" s="57"/>
    </row>
    <row r="389" spans="1:7" ht="12.75" x14ac:dyDescent="0.2">
      <c r="A389" s="3">
        <v>49</v>
      </c>
      <c r="B389" s="3" t="s">
        <v>79</v>
      </c>
      <c r="C389" s="3" t="s">
        <v>13</v>
      </c>
      <c r="D389" s="3" t="s">
        <v>3</v>
      </c>
      <c r="E389" s="3">
        <v>93</v>
      </c>
      <c r="F389">
        <f>SUM(E389:E391)</f>
        <v>198</v>
      </c>
      <c r="G389" s="57"/>
    </row>
    <row r="390" spans="1:7" ht="12.75" x14ac:dyDescent="0.2">
      <c r="A390" s="3">
        <v>49</v>
      </c>
      <c r="B390" s="3" t="s">
        <v>79</v>
      </c>
      <c r="C390" s="3" t="s">
        <v>13</v>
      </c>
      <c r="D390" s="3" t="s">
        <v>11</v>
      </c>
      <c r="E390" s="3">
        <v>91</v>
      </c>
      <c r="G390" s="57"/>
    </row>
    <row r="391" spans="1:7" ht="12.75" x14ac:dyDescent="0.2">
      <c r="A391" s="3">
        <v>49</v>
      </c>
      <c r="B391" s="3" t="s">
        <v>79</v>
      </c>
      <c r="C391" s="3" t="s">
        <v>13</v>
      </c>
      <c r="D391" s="3" t="s">
        <v>14</v>
      </c>
      <c r="E391" s="3">
        <v>14</v>
      </c>
      <c r="G391" s="57"/>
    </row>
    <row r="392" spans="1:7" ht="12.75" x14ac:dyDescent="0.2">
      <c r="A392" s="3">
        <v>53</v>
      </c>
      <c r="B392" s="3" t="s">
        <v>80</v>
      </c>
      <c r="C392" s="3" t="s">
        <v>15</v>
      </c>
      <c r="D392" s="3" t="s">
        <v>3</v>
      </c>
      <c r="E392" s="3">
        <v>109</v>
      </c>
      <c r="F392">
        <f>SUM(E392:E394)</f>
        <v>167</v>
      </c>
      <c r="G392" s="56">
        <v>167</v>
      </c>
    </row>
    <row r="393" spans="1:7" ht="12.75" x14ac:dyDescent="0.2">
      <c r="A393" s="3">
        <v>53</v>
      </c>
      <c r="B393" s="3" t="s">
        <v>80</v>
      </c>
      <c r="C393" s="3" t="s">
        <v>15</v>
      </c>
      <c r="D393" s="3" t="s">
        <v>11</v>
      </c>
      <c r="E393" s="3">
        <v>54</v>
      </c>
      <c r="G393" s="57"/>
    </row>
    <row r="394" spans="1:7" ht="12.75" x14ac:dyDescent="0.2">
      <c r="A394" s="3">
        <v>53</v>
      </c>
      <c r="B394" s="3" t="s">
        <v>80</v>
      </c>
      <c r="C394" s="3" t="s">
        <v>15</v>
      </c>
      <c r="D394" s="3" t="s">
        <v>14</v>
      </c>
      <c r="E394" s="3">
        <v>4</v>
      </c>
      <c r="G394" s="57"/>
    </row>
    <row r="395" spans="1:7" ht="12.75" x14ac:dyDescent="0.2">
      <c r="A395" s="3">
        <v>53</v>
      </c>
      <c r="B395" s="3" t="s">
        <v>80</v>
      </c>
      <c r="C395" s="3" t="s">
        <v>17</v>
      </c>
      <c r="D395" s="3" t="s">
        <v>3</v>
      </c>
      <c r="E395" s="3">
        <v>119</v>
      </c>
      <c r="F395">
        <f>SUM(E395:E397)</f>
        <v>166</v>
      </c>
      <c r="G395" s="57"/>
    </row>
    <row r="396" spans="1:7" ht="12.75" x14ac:dyDescent="0.2">
      <c r="A396" s="3">
        <v>53</v>
      </c>
      <c r="B396" s="3" t="s">
        <v>80</v>
      </c>
      <c r="C396" s="3" t="s">
        <v>17</v>
      </c>
      <c r="D396" s="3" t="s">
        <v>11</v>
      </c>
      <c r="E396" s="3">
        <v>41</v>
      </c>
      <c r="G396" s="57"/>
    </row>
    <row r="397" spans="1:7" ht="12.75" x14ac:dyDescent="0.2">
      <c r="A397" s="3">
        <v>53</v>
      </c>
      <c r="B397" s="3" t="s">
        <v>80</v>
      </c>
      <c r="C397" s="3" t="s">
        <v>17</v>
      </c>
      <c r="D397" s="3" t="s">
        <v>14</v>
      </c>
      <c r="E397" s="3">
        <v>6</v>
      </c>
      <c r="G397" s="57"/>
    </row>
    <row r="398" spans="1:7" ht="12.75" x14ac:dyDescent="0.2">
      <c r="A398" s="3">
        <v>54</v>
      </c>
      <c r="B398" s="3" t="s">
        <v>81</v>
      </c>
      <c r="C398" s="3" t="s">
        <v>15</v>
      </c>
      <c r="D398" s="3" t="s">
        <v>3</v>
      </c>
      <c r="E398" s="3">
        <v>58</v>
      </c>
      <c r="F398">
        <f>SUM(E398:E400)</f>
        <v>103</v>
      </c>
      <c r="G398" s="56">
        <v>103</v>
      </c>
    </row>
    <row r="399" spans="1:7" ht="12.75" x14ac:dyDescent="0.2">
      <c r="A399" s="3">
        <v>54</v>
      </c>
      <c r="B399" s="3" t="s">
        <v>81</v>
      </c>
      <c r="C399" s="3" t="s">
        <v>15</v>
      </c>
      <c r="D399" s="3" t="s">
        <v>11</v>
      </c>
      <c r="E399" s="3">
        <v>40</v>
      </c>
      <c r="G399" s="57"/>
    </row>
    <row r="400" spans="1:7" ht="12.75" x14ac:dyDescent="0.2">
      <c r="A400" s="3">
        <v>54</v>
      </c>
      <c r="B400" s="3" t="s">
        <v>81</v>
      </c>
      <c r="C400" s="3" t="s">
        <v>15</v>
      </c>
      <c r="D400" s="3" t="s">
        <v>14</v>
      </c>
      <c r="E400" s="3">
        <v>5</v>
      </c>
      <c r="G400" s="57"/>
    </row>
    <row r="401" spans="1:7" ht="12.75" x14ac:dyDescent="0.2">
      <c r="A401" s="3">
        <v>54</v>
      </c>
      <c r="B401" s="3" t="s">
        <v>81</v>
      </c>
      <c r="C401" s="3" t="s">
        <v>17</v>
      </c>
      <c r="D401" s="3" t="s">
        <v>3</v>
      </c>
      <c r="E401" s="3">
        <v>58</v>
      </c>
      <c r="F401">
        <f>SUM(E401:E403)</f>
        <v>103</v>
      </c>
      <c r="G401" s="57"/>
    </row>
    <row r="402" spans="1:7" ht="12.75" x14ac:dyDescent="0.2">
      <c r="A402" s="3">
        <v>54</v>
      </c>
      <c r="B402" s="3" t="s">
        <v>81</v>
      </c>
      <c r="C402" s="3" t="s">
        <v>17</v>
      </c>
      <c r="D402" s="3" t="s">
        <v>11</v>
      </c>
      <c r="E402" s="3">
        <v>40</v>
      </c>
      <c r="G402" s="57"/>
    </row>
    <row r="403" spans="1:7" ht="12.75" x14ac:dyDescent="0.2">
      <c r="A403" s="3">
        <v>54</v>
      </c>
      <c r="B403" s="3" t="s">
        <v>81</v>
      </c>
      <c r="C403" s="3" t="s">
        <v>17</v>
      </c>
      <c r="D403" s="3" t="s">
        <v>14</v>
      </c>
      <c r="E403" s="3">
        <v>5</v>
      </c>
      <c r="G403" s="57"/>
    </row>
    <row r="404" spans="1:7" ht="12.75" x14ac:dyDescent="0.2">
      <c r="A404" s="3">
        <v>54</v>
      </c>
      <c r="B404" s="3" t="s">
        <v>81</v>
      </c>
      <c r="C404" s="3" t="s">
        <v>13</v>
      </c>
      <c r="D404" s="3" t="s">
        <v>3</v>
      </c>
      <c r="E404" s="3">
        <v>58</v>
      </c>
      <c r="F404">
        <f>SUM(E404:E406)</f>
        <v>103</v>
      </c>
      <c r="G404" s="57"/>
    </row>
    <row r="405" spans="1:7" ht="12.75" x14ac:dyDescent="0.2">
      <c r="A405" s="3">
        <v>54</v>
      </c>
      <c r="B405" s="3" t="s">
        <v>81</v>
      </c>
      <c r="C405" s="3" t="s">
        <v>13</v>
      </c>
      <c r="D405" s="3" t="s">
        <v>11</v>
      </c>
      <c r="E405" s="3">
        <v>41</v>
      </c>
      <c r="G405" s="57"/>
    </row>
    <row r="406" spans="1:7" ht="12.75" x14ac:dyDescent="0.2">
      <c r="A406" s="3">
        <v>54</v>
      </c>
      <c r="B406" s="3" t="s">
        <v>81</v>
      </c>
      <c r="C406" s="3" t="s">
        <v>13</v>
      </c>
      <c r="D406" s="3" t="s">
        <v>14</v>
      </c>
      <c r="E406" s="3">
        <v>4</v>
      </c>
      <c r="G406" s="57"/>
    </row>
    <row r="407" spans="1:7" ht="12.75" x14ac:dyDescent="0.2">
      <c r="A407" s="3">
        <v>55</v>
      </c>
      <c r="B407" s="3" t="s">
        <v>82</v>
      </c>
      <c r="C407" s="3" t="s">
        <v>15</v>
      </c>
      <c r="D407" s="3" t="s">
        <v>3</v>
      </c>
      <c r="E407" s="3">
        <v>158</v>
      </c>
      <c r="F407">
        <f>SUM(E407:E409)</f>
        <v>297</v>
      </c>
      <c r="G407" s="56">
        <v>298</v>
      </c>
    </row>
    <row r="408" spans="1:7" ht="12.75" x14ac:dyDescent="0.2">
      <c r="A408" s="3">
        <v>55</v>
      </c>
      <c r="B408" s="3" t="s">
        <v>82</v>
      </c>
      <c r="C408" s="3" t="s">
        <v>15</v>
      </c>
      <c r="D408" s="3" t="s">
        <v>11</v>
      </c>
      <c r="E408" s="3">
        <v>131</v>
      </c>
      <c r="G408" s="57"/>
    </row>
    <row r="409" spans="1:7" ht="12.75" x14ac:dyDescent="0.2">
      <c r="A409" s="3">
        <v>55</v>
      </c>
      <c r="B409" s="3" t="s">
        <v>82</v>
      </c>
      <c r="C409" s="3" t="s">
        <v>15</v>
      </c>
      <c r="D409" s="3" t="s">
        <v>14</v>
      </c>
      <c r="E409" s="3">
        <v>8</v>
      </c>
      <c r="G409" s="57"/>
    </row>
    <row r="410" spans="1:7" ht="12.75" x14ac:dyDescent="0.2">
      <c r="A410" s="3">
        <v>55</v>
      </c>
      <c r="B410" s="3" t="s">
        <v>82</v>
      </c>
      <c r="C410" s="3" t="s">
        <v>17</v>
      </c>
      <c r="D410" s="3" t="s">
        <v>3</v>
      </c>
      <c r="E410" s="3">
        <v>157</v>
      </c>
      <c r="F410">
        <f>SUM(E410:E412)</f>
        <v>297</v>
      </c>
      <c r="G410" s="57"/>
    </row>
    <row r="411" spans="1:7" ht="12.75" x14ac:dyDescent="0.2">
      <c r="A411" s="3">
        <v>55</v>
      </c>
      <c r="B411" s="3" t="s">
        <v>82</v>
      </c>
      <c r="C411" s="3" t="s">
        <v>17</v>
      </c>
      <c r="D411" s="3" t="s">
        <v>11</v>
      </c>
      <c r="E411" s="3">
        <v>130</v>
      </c>
      <c r="G411" s="57"/>
    </row>
    <row r="412" spans="1:7" ht="12.75" x14ac:dyDescent="0.2">
      <c r="A412" s="3">
        <v>55</v>
      </c>
      <c r="B412" s="3" t="s">
        <v>82</v>
      </c>
      <c r="C412" s="3" t="s">
        <v>17</v>
      </c>
      <c r="D412" s="3" t="s">
        <v>14</v>
      </c>
      <c r="E412" s="3">
        <v>10</v>
      </c>
      <c r="G412" s="57"/>
    </row>
    <row r="413" spans="1:7" ht="12.75" x14ac:dyDescent="0.2">
      <c r="A413" s="3">
        <v>56</v>
      </c>
      <c r="B413" s="3" t="s">
        <v>83</v>
      </c>
      <c r="C413" s="3" t="s">
        <v>15</v>
      </c>
      <c r="D413" s="3" t="s">
        <v>3</v>
      </c>
      <c r="E413" s="3">
        <v>149</v>
      </c>
      <c r="F413">
        <f>SUM(E413:E415)</f>
        <v>349</v>
      </c>
      <c r="G413" s="56">
        <v>349</v>
      </c>
    </row>
    <row r="414" spans="1:7" ht="12.75" x14ac:dyDescent="0.2">
      <c r="A414" s="3">
        <v>56</v>
      </c>
      <c r="B414" s="3" t="s">
        <v>83</v>
      </c>
      <c r="C414" s="3" t="s">
        <v>15</v>
      </c>
      <c r="D414" s="3" t="s">
        <v>11</v>
      </c>
      <c r="E414" s="3">
        <v>187</v>
      </c>
      <c r="G414" s="57"/>
    </row>
    <row r="415" spans="1:7" ht="12.75" x14ac:dyDescent="0.2">
      <c r="A415" s="3">
        <v>56</v>
      </c>
      <c r="B415" s="3" t="s">
        <v>83</v>
      </c>
      <c r="C415" s="3" t="s">
        <v>15</v>
      </c>
      <c r="D415" s="3" t="s">
        <v>14</v>
      </c>
      <c r="E415" s="3">
        <v>13</v>
      </c>
      <c r="G415" s="57"/>
    </row>
    <row r="416" spans="1:7" ht="12.75" x14ac:dyDescent="0.2">
      <c r="A416" s="3">
        <v>56</v>
      </c>
      <c r="B416" s="3" t="s">
        <v>83</v>
      </c>
      <c r="C416" s="3" t="s">
        <v>17</v>
      </c>
      <c r="D416" s="3" t="s">
        <v>3</v>
      </c>
      <c r="E416" s="3">
        <v>148</v>
      </c>
      <c r="F416">
        <f>SUM(E416:E418)</f>
        <v>349</v>
      </c>
      <c r="G416" s="57"/>
    </row>
    <row r="417" spans="1:7" ht="12.75" x14ac:dyDescent="0.2">
      <c r="A417" s="3">
        <v>56</v>
      </c>
      <c r="B417" s="3" t="s">
        <v>83</v>
      </c>
      <c r="C417" s="3" t="s">
        <v>17</v>
      </c>
      <c r="D417" s="3" t="s">
        <v>11</v>
      </c>
      <c r="E417" s="3">
        <v>191</v>
      </c>
      <c r="G417" s="57"/>
    </row>
    <row r="418" spans="1:7" ht="12.75" x14ac:dyDescent="0.2">
      <c r="A418" s="3">
        <v>56</v>
      </c>
      <c r="B418" s="3" t="s">
        <v>83</v>
      </c>
      <c r="C418" s="3" t="s">
        <v>17</v>
      </c>
      <c r="D418" s="3" t="s">
        <v>14</v>
      </c>
      <c r="E418" s="3">
        <v>10</v>
      </c>
      <c r="G418" s="57"/>
    </row>
    <row r="419" spans="1:7" ht="12.75" x14ac:dyDescent="0.2">
      <c r="A419" s="3">
        <v>57</v>
      </c>
      <c r="B419" s="3" t="s">
        <v>84</v>
      </c>
      <c r="C419" s="3" t="s">
        <v>2</v>
      </c>
      <c r="D419" s="3" t="s">
        <v>3</v>
      </c>
      <c r="E419" s="3">
        <v>15348</v>
      </c>
      <c r="F419">
        <f>SUM(E419:E422)</f>
        <v>30888</v>
      </c>
      <c r="G419" s="56">
        <v>31110</v>
      </c>
    </row>
    <row r="420" spans="1:7" ht="12.75" x14ac:dyDescent="0.2">
      <c r="A420" s="3">
        <v>57</v>
      </c>
      <c r="B420" s="3" t="s">
        <v>84</v>
      </c>
      <c r="C420" s="3" t="s">
        <v>2</v>
      </c>
      <c r="D420" s="3" t="s">
        <v>16</v>
      </c>
      <c r="E420" s="3">
        <v>345</v>
      </c>
      <c r="G420" s="57"/>
    </row>
    <row r="421" spans="1:7" ht="12.75" x14ac:dyDescent="0.2">
      <c r="A421" s="3">
        <v>57</v>
      </c>
      <c r="B421" s="3" t="s">
        <v>84</v>
      </c>
      <c r="C421" s="3" t="s">
        <v>2</v>
      </c>
      <c r="D421" s="3" t="s">
        <v>11</v>
      </c>
      <c r="E421" s="3">
        <v>12539</v>
      </c>
      <c r="G421" s="57"/>
    </row>
    <row r="422" spans="1:7" ht="12.75" x14ac:dyDescent="0.2">
      <c r="A422" s="3">
        <v>57</v>
      </c>
      <c r="B422" s="3" t="s">
        <v>84</v>
      </c>
      <c r="C422" s="3" t="s">
        <v>2</v>
      </c>
      <c r="D422" s="3" t="s">
        <v>14</v>
      </c>
      <c r="E422" s="3">
        <v>2656</v>
      </c>
      <c r="G422" s="57"/>
    </row>
    <row r="423" spans="1:7" ht="12.75" x14ac:dyDescent="0.2">
      <c r="A423" s="3">
        <v>57</v>
      </c>
      <c r="B423" s="3" t="s">
        <v>84</v>
      </c>
      <c r="C423" s="3" t="s">
        <v>10</v>
      </c>
      <c r="D423" s="3" t="s">
        <v>3</v>
      </c>
      <c r="E423" s="3">
        <v>14894</v>
      </c>
      <c r="F423">
        <f>SUM(E423:E426)</f>
        <v>30903</v>
      </c>
      <c r="G423" s="57"/>
    </row>
    <row r="424" spans="1:7" ht="12.75" x14ac:dyDescent="0.2">
      <c r="A424" s="3">
        <v>57</v>
      </c>
      <c r="B424" s="3" t="s">
        <v>84</v>
      </c>
      <c r="C424" s="3" t="s">
        <v>10</v>
      </c>
      <c r="D424" s="3" t="s">
        <v>16</v>
      </c>
      <c r="E424" s="3">
        <v>370</v>
      </c>
      <c r="G424" s="57"/>
    </row>
    <row r="425" spans="1:7" ht="12.75" x14ac:dyDescent="0.2">
      <c r="A425" s="3">
        <v>57</v>
      </c>
      <c r="B425" s="3" t="s">
        <v>84</v>
      </c>
      <c r="C425" s="3" t="s">
        <v>10</v>
      </c>
      <c r="D425" s="3" t="s">
        <v>11</v>
      </c>
      <c r="E425" s="3">
        <v>12378</v>
      </c>
      <c r="G425" s="57"/>
    </row>
    <row r="426" spans="1:7" ht="12.75" x14ac:dyDescent="0.2">
      <c r="A426" s="3">
        <v>57</v>
      </c>
      <c r="B426" s="3" t="s">
        <v>84</v>
      </c>
      <c r="C426" s="3" t="s">
        <v>10</v>
      </c>
      <c r="D426" s="3" t="s">
        <v>14</v>
      </c>
      <c r="E426" s="3">
        <v>3261</v>
      </c>
      <c r="G426" s="57"/>
    </row>
    <row r="427" spans="1:7" ht="12.75" x14ac:dyDescent="0.2">
      <c r="A427" s="3">
        <v>57</v>
      </c>
      <c r="B427" s="3" t="s">
        <v>84</v>
      </c>
      <c r="C427" s="3" t="s">
        <v>13</v>
      </c>
      <c r="D427" s="3" t="s">
        <v>3</v>
      </c>
      <c r="E427" s="3">
        <v>14979</v>
      </c>
      <c r="F427">
        <f>SUM(E427:E430)</f>
        <v>30903</v>
      </c>
      <c r="G427" s="57"/>
    </row>
    <row r="428" spans="1:7" ht="12.75" x14ac:dyDescent="0.2">
      <c r="A428" s="3">
        <v>57</v>
      </c>
      <c r="B428" s="3" t="s">
        <v>84</v>
      </c>
      <c r="C428" s="3" t="s">
        <v>13</v>
      </c>
      <c r="D428" s="3" t="s">
        <v>16</v>
      </c>
      <c r="E428" s="3">
        <v>360</v>
      </c>
      <c r="G428" s="57"/>
    </row>
    <row r="429" spans="1:7" ht="12.75" x14ac:dyDescent="0.2">
      <c r="A429" s="3">
        <v>57</v>
      </c>
      <c r="B429" s="3" t="s">
        <v>84</v>
      </c>
      <c r="C429" s="3" t="s">
        <v>13</v>
      </c>
      <c r="D429" s="3" t="s">
        <v>11</v>
      </c>
      <c r="E429" s="3">
        <v>12334</v>
      </c>
      <c r="G429" s="57"/>
    </row>
    <row r="430" spans="1:7" ht="12.75" x14ac:dyDescent="0.2">
      <c r="A430" s="3">
        <v>57</v>
      </c>
      <c r="B430" s="3" t="s">
        <v>84</v>
      </c>
      <c r="C430" s="3" t="s">
        <v>13</v>
      </c>
      <c r="D430" s="3" t="s">
        <v>14</v>
      </c>
      <c r="E430" s="3">
        <v>3230</v>
      </c>
      <c r="G430" s="57"/>
    </row>
    <row r="431" spans="1:7" ht="12.75" x14ac:dyDescent="0.2">
      <c r="A431" s="3">
        <v>59</v>
      </c>
      <c r="B431" s="3" t="s">
        <v>85</v>
      </c>
      <c r="C431" s="3" t="s">
        <v>15</v>
      </c>
      <c r="D431" s="3" t="s">
        <v>3</v>
      </c>
      <c r="E431" s="3">
        <v>139</v>
      </c>
      <c r="F431">
        <f>SUM(E431:E433)</f>
        <v>295</v>
      </c>
      <c r="G431" s="56">
        <v>296</v>
      </c>
    </row>
    <row r="432" spans="1:7" ht="12.75" x14ac:dyDescent="0.2">
      <c r="A432" s="3">
        <v>59</v>
      </c>
      <c r="B432" s="3" t="s">
        <v>85</v>
      </c>
      <c r="C432" s="3" t="s">
        <v>15</v>
      </c>
      <c r="D432" s="3" t="s">
        <v>11</v>
      </c>
      <c r="E432" s="3">
        <v>144</v>
      </c>
      <c r="G432" s="57"/>
    </row>
    <row r="433" spans="1:7" ht="12.75" x14ac:dyDescent="0.2">
      <c r="A433" s="3">
        <v>59</v>
      </c>
      <c r="B433" s="3" t="s">
        <v>85</v>
      </c>
      <c r="C433" s="3" t="s">
        <v>15</v>
      </c>
      <c r="D433" s="3" t="s">
        <v>14</v>
      </c>
      <c r="E433" s="3">
        <v>12</v>
      </c>
      <c r="G433" s="57"/>
    </row>
    <row r="434" spans="1:7" ht="12.75" x14ac:dyDescent="0.2">
      <c r="A434" s="3">
        <v>59</v>
      </c>
      <c r="B434" s="3" t="s">
        <v>85</v>
      </c>
      <c r="C434" s="3" t="s">
        <v>17</v>
      </c>
      <c r="D434" s="3" t="s">
        <v>3</v>
      </c>
      <c r="E434" s="3">
        <v>139</v>
      </c>
      <c r="F434">
        <f>SUM(E434:E436)</f>
        <v>295</v>
      </c>
      <c r="G434" s="57"/>
    </row>
    <row r="435" spans="1:7" ht="12.75" x14ac:dyDescent="0.2">
      <c r="A435" s="3">
        <v>59</v>
      </c>
      <c r="B435" s="3" t="s">
        <v>85</v>
      </c>
      <c r="C435" s="3" t="s">
        <v>17</v>
      </c>
      <c r="D435" s="3" t="s">
        <v>11</v>
      </c>
      <c r="E435" s="3">
        <v>144</v>
      </c>
      <c r="G435" s="57"/>
    </row>
    <row r="436" spans="1:7" ht="12.75" x14ac:dyDescent="0.2">
      <c r="A436" s="3">
        <v>59</v>
      </c>
      <c r="B436" s="3" t="s">
        <v>85</v>
      </c>
      <c r="C436" s="3" t="s">
        <v>17</v>
      </c>
      <c r="D436" s="3" t="s">
        <v>14</v>
      </c>
      <c r="E436" s="3">
        <v>12</v>
      </c>
      <c r="G436" s="57"/>
    </row>
    <row r="437" spans="1:7" ht="12.75" x14ac:dyDescent="0.2">
      <c r="A437" s="3">
        <v>61</v>
      </c>
      <c r="B437" s="3" t="s">
        <v>86</v>
      </c>
      <c r="C437" s="3" t="s">
        <v>2</v>
      </c>
      <c r="D437" s="3" t="s">
        <v>3</v>
      </c>
      <c r="E437" s="3">
        <v>1721</v>
      </c>
      <c r="F437">
        <f>SUM(E437:E439)</f>
        <v>3573</v>
      </c>
      <c r="G437" s="56">
        <v>3602</v>
      </c>
    </row>
    <row r="438" spans="1:7" ht="12.75" x14ac:dyDescent="0.2">
      <c r="A438" s="3">
        <v>61</v>
      </c>
      <c r="B438" s="3" t="s">
        <v>86</v>
      </c>
      <c r="C438" s="3" t="s">
        <v>2</v>
      </c>
      <c r="D438" s="3" t="s">
        <v>11</v>
      </c>
      <c r="E438" s="3">
        <v>1669</v>
      </c>
      <c r="G438" s="57"/>
    </row>
    <row r="439" spans="1:7" ht="12.75" x14ac:dyDescent="0.2">
      <c r="A439" s="3">
        <v>61</v>
      </c>
      <c r="B439" s="3" t="s">
        <v>86</v>
      </c>
      <c r="C439" s="3" t="s">
        <v>2</v>
      </c>
      <c r="D439" s="3" t="s">
        <v>14</v>
      </c>
      <c r="E439" s="3">
        <v>183</v>
      </c>
      <c r="G439" s="57"/>
    </row>
    <row r="440" spans="1:7" ht="12.75" x14ac:dyDescent="0.2">
      <c r="A440" s="3">
        <v>61</v>
      </c>
      <c r="B440" s="3" t="s">
        <v>86</v>
      </c>
      <c r="C440" s="3" t="s">
        <v>10</v>
      </c>
      <c r="D440" s="3" t="s">
        <v>3</v>
      </c>
      <c r="E440" s="3">
        <v>1653</v>
      </c>
      <c r="F440">
        <f>SUM(E440:E442)</f>
        <v>3579</v>
      </c>
      <c r="G440" s="57"/>
    </row>
    <row r="441" spans="1:7" ht="12.75" x14ac:dyDescent="0.2">
      <c r="A441" s="3">
        <v>61</v>
      </c>
      <c r="B441" s="3" t="s">
        <v>86</v>
      </c>
      <c r="C441" s="3" t="s">
        <v>10</v>
      </c>
      <c r="D441" s="3" t="s">
        <v>11</v>
      </c>
      <c r="E441" s="3">
        <v>1655</v>
      </c>
      <c r="G441" s="57"/>
    </row>
    <row r="442" spans="1:7" ht="12.75" x14ac:dyDescent="0.2">
      <c r="A442" s="3">
        <v>61</v>
      </c>
      <c r="B442" s="3" t="s">
        <v>86</v>
      </c>
      <c r="C442" s="3" t="s">
        <v>10</v>
      </c>
      <c r="D442" s="3" t="s">
        <v>14</v>
      </c>
      <c r="E442" s="3">
        <v>271</v>
      </c>
      <c r="G442" s="57"/>
    </row>
    <row r="443" spans="1:7" ht="12.75" x14ac:dyDescent="0.2">
      <c r="A443" s="3">
        <v>61</v>
      </c>
      <c r="B443" s="3" t="s">
        <v>86</v>
      </c>
      <c r="C443" s="3" t="s">
        <v>13</v>
      </c>
      <c r="D443" s="3" t="s">
        <v>3</v>
      </c>
      <c r="E443" s="3">
        <v>1610</v>
      </c>
      <c r="F443">
        <f>SUM(E443:E445)</f>
        <v>3579</v>
      </c>
      <c r="G443" s="57"/>
    </row>
    <row r="444" spans="1:7" ht="12.75" x14ac:dyDescent="0.2">
      <c r="A444" s="3">
        <v>61</v>
      </c>
      <c r="B444" s="3" t="s">
        <v>86</v>
      </c>
      <c r="C444" s="3" t="s">
        <v>13</v>
      </c>
      <c r="D444" s="3" t="s">
        <v>11</v>
      </c>
      <c r="E444" s="3">
        <v>1690</v>
      </c>
      <c r="G444" s="57"/>
    </row>
    <row r="445" spans="1:7" ht="12.75" x14ac:dyDescent="0.2">
      <c r="A445" s="3">
        <v>61</v>
      </c>
      <c r="B445" s="3" t="s">
        <v>86</v>
      </c>
      <c r="C445" s="3" t="s">
        <v>13</v>
      </c>
      <c r="D445" s="3" t="s">
        <v>14</v>
      </c>
      <c r="E445" s="3">
        <v>279</v>
      </c>
      <c r="G445" s="57"/>
    </row>
    <row r="446" spans="1:7" ht="12.75" x14ac:dyDescent="0.2">
      <c r="A446" s="3">
        <v>62</v>
      </c>
      <c r="B446" s="3" t="s">
        <v>87</v>
      </c>
      <c r="C446" s="3" t="s">
        <v>2</v>
      </c>
      <c r="D446" s="3" t="s">
        <v>3</v>
      </c>
      <c r="E446" s="3">
        <v>243</v>
      </c>
      <c r="F446">
        <f>SUM(E446:E448)</f>
        <v>498</v>
      </c>
      <c r="G446" s="56">
        <v>499</v>
      </c>
    </row>
    <row r="447" spans="1:7" ht="12.75" x14ac:dyDescent="0.2">
      <c r="A447" s="3">
        <v>62</v>
      </c>
      <c r="B447" s="3" t="s">
        <v>87</v>
      </c>
      <c r="C447" s="3" t="s">
        <v>2</v>
      </c>
      <c r="D447" s="3" t="s">
        <v>11</v>
      </c>
      <c r="E447" s="3">
        <v>232</v>
      </c>
      <c r="G447" s="57"/>
    </row>
    <row r="448" spans="1:7" ht="12.75" x14ac:dyDescent="0.2">
      <c r="A448" s="3">
        <v>62</v>
      </c>
      <c r="B448" s="3" t="s">
        <v>87</v>
      </c>
      <c r="C448" s="3" t="s">
        <v>2</v>
      </c>
      <c r="D448" s="3" t="s">
        <v>14</v>
      </c>
      <c r="E448" s="3">
        <v>23</v>
      </c>
      <c r="G448" s="57"/>
    </row>
    <row r="449" spans="1:7" ht="12.75" x14ac:dyDescent="0.2">
      <c r="A449" s="3">
        <v>62</v>
      </c>
      <c r="B449" s="3" t="s">
        <v>87</v>
      </c>
      <c r="C449" s="3" t="s">
        <v>10</v>
      </c>
      <c r="D449" s="3" t="s">
        <v>3</v>
      </c>
      <c r="E449" s="3">
        <v>240</v>
      </c>
      <c r="F449">
        <f>SUM(E449:E451)</f>
        <v>499</v>
      </c>
      <c r="G449" s="57"/>
    </row>
    <row r="450" spans="1:7" ht="12.75" x14ac:dyDescent="0.2">
      <c r="A450" s="3">
        <v>62</v>
      </c>
      <c r="B450" s="3" t="s">
        <v>87</v>
      </c>
      <c r="C450" s="3" t="s">
        <v>10</v>
      </c>
      <c r="D450" s="3" t="s">
        <v>11</v>
      </c>
      <c r="E450" s="3">
        <v>219</v>
      </c>
      <c r="G450" s="57"/>
    </row>
    <row r="451" spans="1:7" ht="12.75" x14ac:dyDescent="0.2">
      <c r="A451" s="3">
        <v>62</v>
      </c>
      <c r="B451" s="3" t="s">
        <v>87</v>
      </c>
      <c r="C451" s="3" t="s">
        <v>10</v>
      </c>
      <c r="D451" s="3" t="s">
        <v>14</v>
      </c>
      <c r="E451" s="3">
        <v>40</v>
      </c>
      <c r="G451" s="57"/>
    </row>
    <row r="452" spans="1:7" ht="12.75" x14ac:dyDescent="0.2">
      <c r="A452" s="3">
        <v>62</v>
      </c>
      <c r="B452" s="3" t="s">
        <v>87</v>
      </c>
      <c r="C452" s="3" t="s">
        <v>13</v>
      </c>
      <c r="D452" s="3" t="s">
        <v>3</v>
      </c>
      <c r="E452" s="3">
        <v>245</v>
      </c>
      <c r="F452">
        <f>SUM(E452:E454)</f>
        <v>499</v>
      </c>
      <c r="G452" s="57"/>
    </row>
    <row r="453" spans="1:7" ht="12.75" x14ac:dyDescent="0.2">
      <c r="A453" s="3">
        <v>62</v>
      </c>
      <c r="B453" s="3" t="s">
        <v>87</v>
      </c>
      <c r="C453" s="3" t="s">
        <v>13</v>
      </c>
      <c r="D453" s="3" t="s">
        <v>11</v>
      </c>
      <c r="E453" s="3">
        <v>222</v>
      </c>
      <c r="G453" s="57"/>
    </row>
    <row r="454" spans="1:7" ht="12.75" x14ac:dyDescent="0.2">
      <c r="A454" s="3">
        <v>62</v>
      </c>
      <c r="B454" s="3" t="s">
        <v>87</v>
      </c>
      <c r="C454" s="3" t="s">
        <v>13</v>
      </c>
      <c r="D454" s="3" t="s">
        <v>14</v>
      </c>
      <c r="E454" s="3">
        <v>32</v>
      </c>
      <c r="G454" s="57"/>
    </row>
    <row r="455" spans="1:7" ht="12.75" x14ac:dyDescent="0.2">
      <c r="A455" s="3">
        <v>63</v>
      </c>
      <c r="B455" s="3" t="s">
        <v>88</v>
      </c>
      <c r="C455" s="3" t="s">
        <v>2</v>
      </c>
      <c r="D455" s="3" t="s">
        <v>3</v>
      </c>
      <c r="E455" s="3">
        <v>762</v>
      </c>
      <c r="F455">
        <f>SUM(E455:E457)</f>
        <v>2334</v>
      </c>
      <c r="G455" s="56">
        <v>2339</v>
      </c>
    </row>
    <row r="456" spans="1:7" ht="12.75" x14ac:dyDescent="0.2">
      <c r="A456" s="3">
        <v>63</v>
      </c>
      <c r="B456" s="3" t="s">
        <v>88</v>
      </c>
      <c r="C456" s="3" t="s">
        <v>2</v>
      </c>
      <c r="D456" s="3" t="s">
        <v>11</v>
      </c>
      <c r="E456" s="3">
        <v>1496</v>
      </c>
      <c r="G456" s="57"/>
    </row>
    <row r="457" spans="1:7" ht="12.75" x14ac:dyDescent="0.2">
      <c r="A457" s="3">
        <v>63</v>
      </c>
      <c r="B457" s="3" t="s">
        <v>88</v>
      </c>
      <c r="C457" s="3" t="s">
        <v>2</v>
      </c>
      <c r="D457" s="3" t="s">
        <v>14</v>
      </c>
      <c r="E457" s="3">
        <v>76</v>
      </c>
      <c r="G457" s="57"/>
    </row>
    <row r="458" spans="1:7" ht="12.75" x14ac:dyDescent="0.2">
      <c r="A458" s="3">
        <v>63</v>
      </c>
      <c r="B458" s="3" t="s">
        <v>88</v>
      </c>
      <c r="C458" s="3" t="s">
        <v>10</v>
      </c>
      <c r="D458" s="3" t="s">
        <v>3</v>
      </c>
      <c r="E458" s="3">
        <v>819</v>
      </c>
      <c r="F458">
        <f>SUM(E458:E460)</f>
        <v>2336</v>
      </c>
      <c r="G458" s="57"/>
    </row>
    <row r="459" spans="1:7" ht="12.75" x14ac:dyDescent="0.2">
      <c r="A459" s="3">
        <v>63</v>
      </c>
      <c r="B459" s="3" t="s">
        <v>88</v>
      </c>
      <c r="C459" s="3" t="s">
        <v>10</v>
      </c>
      <c r="D459" s="3" t="s">
        <v>11</v>
      </c>
      <c r="E459" s="3">
        <v>1396</v>
      </c>
      <c r="G459" s="57"/>
    </row>
    <row r="460" spans="1:7" ht="12.75" x14ac:dyDescent="0.2">
      <c r="A460" s="3">
        <v>63</v>
      </c>
      <c r="B460" s="3" t="s">
        <v>88</v>
      </c>
      <c r="C460" s="3" t="s">
        <v>10</v>
      </c>
      <c r="D460" s="3" t="s">
        <v>14</v>
      </c>
      <c r="E460" s="3">
        <v>121</v>
      </c>
      <c r="G460" s="57"/>
    </row>
    <row r="461" spans="1:7" ht="12.75" x14ac:dyDescent="0.2">
      <c r="A461" s="3">
        <v>63</v>
      </c>
      <c r="B461" s="3" t="s">
        <v>88</v>
      </c>
      <c r="C461" s="3" t="s">
        <v>13</v>
      </c>
      <c r="D461" s="3" t="s">
        <v>3</v>
      </c>
      <c r="E461" s="3">
        <v>798</v>
      </c>
      <c r="F461">
        <f>SUM(E461:E463)</f>
        <v>2336</v>
      </c>
      <c r="G461" s="57"/>
    </row>
    <row r="462" spans="1:7" ht="12.75" x14ac:dyDescent="0.2">
      <c r="A462" s="3">
        <v>63</v>
      </c>
      <c r="B462" s="3" t="s">
        <v>88</v>
      </c>
      <c r="C462" s="3" t="s">
        <v>13</v>
      </c>
      <c r="D462" s="3" t="s">
        <v>11</v>
      </c>
      <c r="E462" s="3">
        <v>1417</v>
      </c>
      <c r="G462" s="57"/>
    </row>
    <row r="463" spans="1:7" ht="12.75" x14ac:dyDescent="0.2">
      <c r="A463" s="3">
        <v>63</v>
      </c>
      <c r="B463" s="3" t="s">
        <v>88</v>
      </c>
      <c r="C463" s="3" t="s">
        <v>13</v>
      </c>
      <c r="D463" s="3" t="s">
        <v>14</v>
      </c>
      <c r="E463" s="3">
        <v>121</v>
      </c>
      <c r="G463" s="57"/>
    </row>
    <row r="464" spans="1:7" ht="12.75" x14ac:dyDescent="0.2">
      <c r="A464" s="3">
        <v>64</v>
      </c>
      <c r="B464" s="3" t="s">
        <v>89</v>
      </c>
      <c r="C464" s="3" t="s">
        <v>2</v>
      </c>
      <c r="D464" s="3" t="s">
        <v>3</v>
      </c>
      <c r="E464" s="3">
        <v>288</v>
      </c>
      <c r="F464">
        <f>SUM(E464:E466)</f>
        <v>536</v>
      </c>
      <c r="G464" s="56">
        <v>536</v>
      </c>
    </row>
    <row r="465" spans="1:7" ht="12.75" x14ac:dyDescent="0.2">
      <c r="A465" s="3">
        <v>64</v>
      </c>
      <c r="B465" s="3" t="s">
        <v>89</v>
      </c>
      <c r="C465" s="3" t="s">
        <v>2</v>
      </c>
      <c r="D465" s="3" t="s">
        <v>11</v>
      </c>
      <c r="E465" s="3">
        <v>230</v>
      </c>
      <c r="G465" s="57"/>
    </row>
    <row r="466" spans="1:7" ht="12.75" x14ac:dyDescent="0.2">
      <c r="A466" s="3">
        <v>64</v>
      </c>
      <c r="B466" s="3" t="s">
        <v>89</v>
      </c>
      <c r="C466" s="3" t="s">
        <v>2</v>
      </c>
      <c r="D466" s="3" t="s">
        <v>14</v>
      </c>
      <c r="E466" s="3">
        <v>18</v>
      </c>
      <c r="G466" s="57"/>
    </row>
    <row r="467" spans="1:7" ht="12.75" x14ac:dyDescent="0.2">
      <c r="A467" s="3">
        <v>64</v>
      </c>
      <c r="B467" s="3" t="s">
        <v>89</v>
      </c>
      <c r="C467" s="3" t="s">
        <v>10</v>
      </c>
      <c r="D467" s="3" t="s">
        <v>3</v>
      </c>
      <c r="E467" s="3">
        <v>296</v>
      </c>
      <c r="F467">
        <f>SUM(E467:E469)</f>
        <v>536</v>
      </c>
      <c r="G467" s="57"/>
    </row>
    <row r="468" spans="1:7" ht="12.75" x14ac:dyDescent="0.2">
      <c r="A468" s="3">
        <v>64</v>
      </c>
      <c r="B468" s="3" t="s">
        <v>89</v>
      </c>
      <c r="C468" s="3" t="s">
        <v>10</v>
      </c>
      <c r="D468" s="3" t="s">
        <v>11</v>
      </c>
      <c r="E468" s="3">
        <v>212</v>
      </c>
      <c r="G468" s="57"/>
    </row>
    <row r="469" spans="1:7" ht="12.75" x14ac:dyDescent="0.2">
      <c r="A469" s="3">
        <v>64</v>
      </c>
      <c r="B469" s="3" t="s">
        <v>89</v>
      </c>
      <c r="C469" s="3" t="s">
        <v>10</v>
      </c>
      <c r="D469" s="3" t="s">
        <v>14</v>
      </c>
      <c r="E469" s="3">
        <v>28</v>
      </c>
      <c r="G469" s="57"/>
    </row>
    <row r="470" spans="1:7" ht="12.75" x14ac:dyDescent="0.2">
      <c r="A470" s="3">
        <v>64</v>
      </c>
      <c r="B470" s="3" t="s">
        <v>89</v>
      </c>
      <c r="C470" s="3" t="s">
        <v>13</v>
      </c>
      <c r="D470" s="3" t="s">
        <v>3</v>
      </c>
      <c r="E470" s="3">
        <v>298</v>
      </c>
      <c r="F470">
        <f>SUM(E470:E472)</f>
        <v>536</v>
      </c>
      <c r="G470" s="57"/>
    </row>
    <row r="471" spans="1:7" ht="12.75" x14ac:dyDescent="0.2">
      <c r="A471" s="3">
        <v>64</v>
      </c>
      <c r="B471" s="3" t="s">
        <v>89</v>
      </c>
      <c r="C471" s="3" t="s">
        <v>13</v>
      </c>
      <c r="D471" s="3" t="s">
        <v>11</v>
      </c>
      <c r="E471" s="3">
        <v>218</v>
      </c>
      <c r="G471" s="57"/>
    </row>
    <row r="472" spans="1:7" ht="12.75" x14ac:dyDescent="0.2">
      <c r="A472" s="3">
        <v>64</v>
      </c>
      <c r="B472" s="3" t="s">
        <v>89</v>
      </c>
      <c r="C472" s="3" t="s">
        <v>13</v>
      </c>
      <c r="D472" s="3" t="s">
        <v>14</v>
      </c>
      <c r="E472" s="3">
        <v>20</v>
      </c>
      <c r="G472" s="57"/>
    </row>
    <row r="473" spans="1:7" ht="12.75" x14ac:dyDescent="0.2">
      <c r="A473" s="3">
        <v>65</v>
      </c>
      <c r="B473" s="3" t="s">
        <v>90</v>
      </c>
      <c r="C473" s="3" t="s">
        <v>2</v>
      </c>
      <c r="D473" s="3" t="s">
        <v>3</v>
      </c>
      <c r="E473" s="3">
        <v>1250</v>
      </c>
      <c r="F473">
        <f>SUM(E473:E475)</f>
        <v>2441</v>
      </c>
      <c r="G473" s="56">
        <v>2450</v>
      </c>
    </row>
    <row r="474" spans="1:7" ht="12.75" x14ac:dyDescent="0.2">
      <c r="A474" s="3">
        <v>65</v>
      </c>
      <c r="B474" s="3" t="s">
        <v>90</v>
      </c>
      <c r="C474" s="3" t="s">
        <v>2</v>
      </c>
      <c r="D474" s="3" t="s">
        <v>11</v>
      </c>
      <c r="E474" s="3">
        <v>1051</v>
      </c>
      <c r="G474" s="57"/>
    </row>
    <row r="475" spans="1:7" ht="12.75" x14ac:dyDescent="0.2">
      <c r="A475" s="3">
        <v>65</v>
      </c>
      <c r="B475" s="3" t="s">
        <v>90</v>
      </c>
      <c r="C475" s="3" t="s">
        <v>2</v>
      </c>
      <c r="D475" s="3" t="s">
        <v>14</v>
      </c>
      <c r="E475" s="3">
        <v>140</v>
      </c>
      <c r="G475" s="57"/>
    </row>
    <row r="476" spans="1:7" ht="12.75" x14ac:dyDescent="0.2">
      <c r="A476" s="3">
        <v>65</v>
      </c>
      <c r="B476" s="3" t="s">
        <v>90</v>
      </c>
      <c r="C476" s="3" t="s">
        <v>10</v>
      </c>
      <c r="D476" s="3" t="s">
        <v>3</v>
      </c>
      <c r="E476" s="3">
        <v>1216</v>
      </c>
      <c r="F476">
        <f>SUM(E476:E478)</f>
        <v>2441</v>
      </c>
      <c r="G476" s="57"/>
    </row>
    <row r="477" spans="1:7" ht="12.75" x14ac:dyDescent="0.2">
      <c r="A477" s="3">
        <v>65</v>
      </c>
      <c r="B477" s="3" t="s">
        <v>90</v>
      </c>
      <c r="C477" s="3" t="s">
        <v>10</v>
      </c>
      <c r="D477" s="3" t="s">
        <v>11</v>
      </c>
      <c r="E477" s="3">
        <v>1039</v>
      </c>
      <c r="G477" s="57"/>
    </row>
    <row r="478" spans="1:7" ht="12.75" x14ac:dyDescent="0.2">
      <c r="A478" s="3">
        <v>65</v>
      </c>
      <c r="B478" s="3" t="s">
        <v>90</v>
      </c>
      <c r="C478" s="3" t="s">
        <v>10</v>
      </c>
      <c r="D478" s="3" t="s">
        <v>14</v>
      </c>
      <c r="E478" s="3">
        <v>186</v>
      </c>
      <c r="G478" s="57"/>
    </row>
    <row r="479" spans="1:7" ht="12.75" x14ac:dyDescent="0.2">
      <c r="A479" s="3">
        <v>65</v>
      </c>
      <c r="B479" s="3" t="s">
        <v>90</v>
      </c>
      <c r="C479" s="3" t="s">
        <v>13</v>
      </c>
      <c r="D479" s="3" t="s">
        <v>3</v>
      </c>
      <c r="E479" s="3">
        <v>1235</v>
      </c>
      <c r="F479">
        <f>SUM(E479:E481)</f>
        <v>2440</v>
      </c>
      <c r="G479" s="57"/>
    </row>
    <row r="480" spans="1:7" ht="12.75" x14ac:dyDescent="0.2">
      <c r="A480" s="3">
        <v>65</v>
      </c>
      <c r="B480" s="3" t="s">
        <v>90</v>
      </c>
      <c r="C480" s="3" t="s">
        <v>13</v>
      </c>
      <c r="D480" s="3" t="s">
        <v>11</v>
      </c>
      <c r="E480" s="3">
        <v>1012</v>
      </c>
      <c r="G480" s="57"/>
    </row>
    <row r="481" spans="1:7" ht="12.75" x14ac:dyDescent="0.2">
      <c r="A481" s="3">
        <v>65</v>
      </c>
      <c r="B481" s="3" t="s">
        <v>90</v>
      </c>
      <c r="C481" s="3" t="s">
        <v>13</v>
      </c>
      <c r="D481" s="3" t="s">
        <v>14</v>
      </c>
      <c r="E481" s="3">
        <v>193</v>
      </c>
      <c r="G481" s="57"/>
    </row>
    <row r="482" spans="1:7" ht="12.75" x14ac:dyDescent="0.2">
      <c r="A482" s="3">
        <v>66</v>
      </c>
      <c r="B482" s="3" t="s">
        <v>91</v>
      </c>
      <c r="C482" s="3" t="s">
        <v>15</v>
      </c>
      <c r="D482" s="3" t="s">
        <v>27</v>
      </c>
      <c r="E482" s="3">
        <v>20</v>
      </c>
      <c r="F482">
        <f>SUM(E482:E484)</f>
        <v>39</v>
      </c>
      <c r="G482" s="56">
        <v>39</v>
      </c>
    </row>
    <row r="483" spans="1:7" ht="12.75" x14ac:dyDescent="0.2">
      <c r="A483" s="3">
        <v>66</v>
      </c>
      <c r="B483" s="3" t="s">
        <v>91</v>
      </c>
      <c r="C483" s="3" t="s">
        <v>15</v>
      </c>
      <c r="D483" s="3" t="s">
        <v>11</v>
      </c>
      <c r="E483" s="3">
        <v>18</v>
      </c>
      <c r="G483" s="57"/>
    </row>
    <row r="484" spans="1:7" ht="12.75" x14ac:dyDescent="0.2">
      <c r="A484" s="3">
        <v>66</v>
      </c>
      <c r="B484" s="3" t="s">
        <v>91</v>
      </c>
      <c r="C484" s="3" t="s">
        <v>15</v>
      </c>
      <c r="D484" s="3" t="s">
        <v>14</v>
      </c>
      <c r="E484" s="3">
        <v>1</v>
      </c>
      <c r="G484" s="57"/>
    </row>
    <row r="485" spans="1:7" ht="12.75" x14ac:dyDescent="0.2">
      <c r="A485" s="3">
        <v>66</v>
      </c>
      <c r="B485" s="3" t="s">
        <v>91</v>
      </c>
      <c r="C485" s="3" t="s">
        <v>17</v>
      </c>
      <c r="D485" s="3" t="s">
        <v>27</v>
      </c>
      <c r="E485" s="3">
        <v>21</v>
      </c>
      <c r="F485" s="3">
        <f>SUM(E485:E486)</f>
        <v>39</v>
      </c>
      <c r="G485" s="57"/>
    </row>
    <row r="486" spans="1:7" ht="12.75" x14ac:dyDescent="0.2">
      <c r="A486" s="3">
        <v>66</v>
      </c>
      <c r="B486" s="3" t="s">
        <v>91</v>
      </c>
      <c r="C486" s="3" t="s">
        <v>17</v>
      </c>
      <c r="D486" s="3" t="s">
        <v>11</v>
      </c>
      <c r="E486" s="3">
        <v>18</v>
      </c>
      <c r="G486" s="57"/>
    </row>
    <row r="487" spans="1:7" ht="12.75" x14ac:dyDescent="0.2">
      <c r="A487" s="3">
        <v>68</v>
      </c>
      <c r="B487" s="3" t="s">
        <v>92</v>
      </c>
      <c r="C487" s="3" t="s">
        <v>2</v>
      </c>
      <c r="D487" s="3" t="s">
        <v>3</v>
      </c>
      <c r="E487" s="3">
        <v>260</v>
      </c>
      <c r="F487">
        <f>SUM(E487:E490)</f>
        <v>511</v>
      </c>
      <c r="G487" s="56">
        <v>512</v>
      </c>
    </row>
    <row r="488" spans="1:7" ht="12.75" x14ac:dyDescent="0.2">
      <c r="A488" s="3">
        <v>68</v>
      </c>
      <c r="B488" s="3" t="s">
        <v>92</v>
      </c>
      <c r="C488" s="3" t="s">
        <v>2</v>
      </c>
      <c r="D488" s="3" t="s">
        <v>28</v>
      </c>
      <c r="E488" s="3">
        <v>173</v>
      </c>
      <c r="G488" s="57"/>
    </row>
    <row r="489" spans="1:7" ht="12.75" x14ac:dyDescent="0.2">
      <c r="A489" s="3">
        <v>68</v>
      </c>
      <c r="B489" s="3" t="s">
        <v>92</v>
      </c>
      <c r="C489" s="3" t="s">
        <v>2</v>
      </c>
      <c r="D489" s="3" t="s">
        <v>29</v>
      </c>
      <c r="E489" s="3">
        <v>66</v>
      </c>
      <c r="G489" s="57"/>
    </row>
    <row r="490" spans="1:7" ht="12.75" x14ac:dyDescent="0.2">
      <c r="A490" s="3">
        <v>68</v>
      </c>
      <c r="B490" s="3" t="s">
        <v>92</v>
      </c>
      <c r="C490" s="3" t="s">
        <v>2</v>
      </c>
      <c r="D490" s="3" t="s">
        <v>14</v>
      </c>
      <c r="E490" s="3">
        <v>12</v>
      </c>
      <c r="G490" s="57"/>
    </row>
    <row r="491" spans="1:7" ht="12.75" x14ac:dyDescent="0.2">
      <c r="A491" s="3">
        <v>68</v>
      </c>
      <c r="B491" s="3" t="s">
        <v>92</v>
      </c>
      <c r="C491" s="3" t="s">
        <v>10</v>
      </c>
      <c r="D491" s="3" t="s">
        <v>3</v>
      </c>
      <c r="E491" s="3">
        <v>262</v>
      </c>
      <c r="F491">
        <f>SUM(E491:E494)</f>
        <v>512</v>
      </c>
      <c r="G491" s="57"/>
    </row>
    <row r="492" spans="1:7" ht="12.75" x14ac:dyDescent="0.2">
      <c r="A492" s="3">
        <v>68</v>
      </c>
      <c r="B492" s="3" t="s">
        <v>92</v>
      </c>
      <c r="C492" s="3" t="s">
        <v>10</v>
      </c>
      <c r="D492" s="3" t="s">
        <v>28</v>
      </c>
      <c r="E492" s="3">
        <v>150</v>
      </c>
      <c r="G492" s="57"/>
    </row>
    <row r="493" spans="1:7" ht="12.75" x14ac:dyDescent="0.2">
      <c r="A493" s="3">
        <v>68</v>
      </c>
      <c r="B493" s="3" t="s">
        <v>92</v>
      </c>
      <c r="C493" s="3" t="s">
        <v>10</v>
      </c>
      <c r="D493" s="3" t="s">
        <v>29</v>
      </c>
      <c r="E493" s="3">
        <v>75</v>
      </c>
      <c r="G493" s="57"/>
    </row>
    <row r="494" spans="1:7" ht="12.75" x14ac:dyDescent="0.2">
      <c r="A494" s="3">
        <v>68</v>
      </c>
      <c r="B494" s="3" t="s">
        <v>92</v>
      </c>
      <c r="C494" s="3" t="s">
        <v>10</v>
      </c>
      <c r="D494" s="3" t="s">
        <v>14</v>
      </c>
      <c r="E494" s="3">
        <v>25</v>
      </c>
      <c r="G494" s="57"/>
    </row>
    <row r="495" spans="1:7" ht="12.75" x14ac:dyDescent="0.2">
      <c r="A495" s="3">
        <v>68</v>
      </c>
      <c r="B495" s="3" t="s">
        <v>92</v>
      </c>
      <c r="C495" s="3" t="s">
        <v>13</v>
      </c>
      <c r="D495" s="3" t="s">
        <v>3</v>
      </c>
      <c r="E495" s="3">
        <v>229</v>
      </c>
      <c r="F495">
        <f>SUM(E495:E498)</f>
        <v>511</v>
      </c>
      <c r="G495" s="57"/>
    </row>
    <row r="496" spans="1:7" ht="12.75" x14ac:dyDescent="0.2">
      <c r="A496" s="3">
        <v>68</v>
      </c>
      <c r="B496" s="3" t="s">
        <v>92</v>
      </c>
      <c r="C496" s="3" t="s">
        <v>13</v>
      </c>
      <c r="D496" s="3" t="s">
        <v>28</v>
      </c>
      <c r="E496" s="3">
        <v>184</v>
      </c>
      <c r="G496" s="57"/>
    </row>
    <row r="497" spans="1:7" ht="12.75" x14ac:dyDescent="0.2">
      <c r="A497" s="3">
        <v>68</v>
      </c>
      <c r="B497" s="3" t="s">
        <v>92</v>
      </c>
      <c r="C497" s="3" t="s">
        <v>13</v>
      </c>
      <c r="D497" s="3" t="s">
        <v>29</v>
      </c>
      <c r="E497" s="3">
        <v>79</v>
      </c>
      <c r="G497" s="57"/>
    </row>
    <row r="498" spans="1:7" ht="12.75" x14ac:dyDescent="0.2">
      <c r="A498" s="3">
        <v>68</v>
      </c>
      <c r="B498" s="3" t="s">
        <v>92</v>
      </c>
      <c r="C498" s="3" t="s">
        <v>13</v>
      </c>
      <c r="D498" s="3" t="s">
        <v>14</v>
      </c>
      <c r="E498" s="3">
        <v>19</v>
      </c>
      <c r="G498" s="57"/>
    </row>
    <row r="499" spans="1:7" ht="12.75" x14ac:dyDescent="0.2">
      <c r="A499" s="3">
        <v>69</v>
      </c>
      <c r="B499" s="3" t="s">
        <v>93</v>
      </c>
      <c r="C499" s="3" t="s">
        <v>2</v>
      </c>
      <c r="D499" s="3" t="s">
        <v>3</v>
      </c>
      <c r="E499" s="3">
        <v>757</v>
      </c>
      <c r="F499">
        <f>SUM(E499:E501)</f>
        <v>1601</v>
      </c>
      <c r="G499" s="56">
        <v>1601</v>
      </c>
    </row>
    <row r="500" spans="1:7" ht="12.75" x14ac:dyDescent="0.2">
      <c r="A500" s="3">
        <v>69</v>
      </c>
      <c r="B500" s="3" t="s">
        <v>93</v>
      </c>
      <c r="C500" s="3" t="s">
        <v>2</v>
      </c>
      <c r="D500" s="3" t="s">
        <v>11</v>
      </c>
      <c r="E500" s="3">
        <v>770</v>
      </c>
      <c r="G500" s="57"/>
    </row>
    <row r="501" spans="1:7" ht="12.75" x14ac:dyDescent="0.2">
      <c r="A501" s="3">
        <v>69</v>
      </c>
      <c r="B501" s="3" t="s">
        <v>93</v>
      </c>
      <c r="C501" s="3" t="s">
        <v>2</v>
      </c>
      <c r="D501" s="3" t="s">
        <v>14</v>
      </c>
      <c r="E501" s="3">
        <v>74</v>
      </c>
      <c r="G501" s="57"/>
    </row>
    <row r="502" spans="1:7" ht="12.75" x14ac:dyDescent="0.2">
      <c r="A502" s="3">
        <v>69</v>
      </c>
      <c r="B502" s="3" t="s">
        <v>93</v>
      </c>
      <c r="C502" s="3" t="s">
        <v>10</v>
      </c>
      <c r="D502" s="3" t="s">
        <v>3</v>
      </c>
      <c r="E502" s="3">
        <v>728</v>
      </c>
      <c r="F502">
        <f>SUM(E502:E504)</f>
        <v>1601</v>
      </c>
      <c r="G502" s="57"/>
    </row>
    <row r="503" spans="1:7" ht="12.75" x14ac:dyDescent="0.2">
      <c r="A503" s="3">
        <v>69</v>
      </c>
      <c r="B503" s="3" t="s">
        <v>93</v>
      </c>
      <c r="C503" s="3" t="s">
        <v>10</v>
      </c>
      <c r="D503" s="3" t="s">
        <v>11</v>
      </c>
      <c r="E503" s="3">
        <v>779</v>
      </c>
      <c r="G503" s="57"/>
    </row>
    <row r="504" spans="1:7" ht="12.75" x14ac:dyDescent="0.2">
      <c r="A504" s="3">
        <v>69</v>
      </c>
      <c r="B504" s="3" t="s">
        <v>93</v>
      </c>
      <c r="C504" s="3" t="s">
        <v>10</v>
      </c>
      <c r="D504" s="3" t="s">
        <v>14</v>
      </c>
      <c r="E504" s="3">
        <v>94</v>
      </c>
      <c r="G504" s="57"/>
    </row>
    <row r="505" spans="1:7" ht="12.75" x14ac:dyDescent="0.2">
      <c r="A505" s="3">
        <v>69</v>
      </c>
      <c r="B505" s="3" t="s">
        <v>93</v>
      </c>
      <c r="C505" s="3" t="s">
        <v>13</v>
      </c>
      <c r="D505" s="3" t="s">
        <v>3</v>
      </c>
      <c r="E505" s="3">
        <v>730</v>
      </c>
      <c r="F505">
        <f>SUM(E505:E507)</f>
        <v>1601</v>
      </c>
      <c r="G505" s="57"/>
    </row>
    <row r="506" spans="1:7" ht="12.75" x14ac:dyDescent="0.2">
      <c r="A506" s="3">
        <v>69</v>
      </c>
      <c r="B506" s="3" t="s">
        <v>93</v>
      </c>
      <c r="C506" s="3" t="s">
        <v>13</v>
      </c>
      <c r="D506" s="3" t="s">
        <v>11</v>
      </c>
      <c r="E506" s="3">
        <v>784</v>
      </c>
      <c r="G506" s="57"/>
    </row>
    <row r="507" spans="1:7" ht="12.75" x14ac:dyDescent="0.2">
      <c r="A507" s="3">
        <v>69</v>
      </c>
      <c r="B507" s="3" t="s">
        <v>93</v>
      </c>
      <c r="C507" s="3" t="s">
        <v>13</v>
      </c>
      <c r="D507" s="3" t="s">
        <v>14</v>
      </c>
      <c r="E507" s="3">
        <v>87</v>
      </c>
      <c r="G507" s="57"/>
    </row>
    <row r="508" spans="1:7" ht="12.75" x14ac:dyDescent="0.2">
      <c r="A508" s="3">
        <v>71</v>
      </c>
      <c r="B508" s="3" t="s">
        <v>94</v>
      </c>
      <c r="C508" s="3" t="s">
        <v>2</v>
      </c>
      <c r="D508" s="3" t="s">
        <v>3</v>
      </c>
      <c r="E508" s="3">
        <v>383</v>
      </c>
      <c r="F508">
        <f>SUM(E508:E510)</f>
        <v>859</v>
      </c>
      <c r="G508" s="56">
        <v>859</v>
      </c>
    </row>
    <row r="509" spans="1:7" ht="12.75" x14ac:dyDescent="0.2">
      <c r="A509" s="3">
        <v>71</v>
      </c>
      <c r="B509" s="3" t="s">
        <v>94</v>
      </c>
      <c r="C509" s="3" t="s">
        <v>2</v>
      </c>
      <c r="D509" s="3" t="s">
        <v>30</v>
      </c>
      <c r="E509" s="3">
        <v>445</v>
      </c>
      <c r="G509" s="57"/>
    </row>
    <row r="510" spans="1:7" ht="12.75" x14ac:dyDescent="0.2">
      <c r="A510" s="3">
        <v>71</v>
      </c>
      <c r="B510" s="3" t="s">
        <v>94</v>
      </c>
      <c r="C510" s="3" t="s">
        <v>2</v>
      </c>
      <c r="D510" s="3" t="s">
        <v>14</v>
      </c>
      <c r="E510" s="3">
        <v>31</v>
      </c>
      <c r="G510" s="57"/>
    </row>
    <row r="511" spans="1:7" ht="12.75" x14ac:dyDescent="0.2">
      <c r="A511" s="3">
        <v>71</v>
      </c>
      <c r="B511" s="3" t="s">
        <v>94</v>
      </c>
      <c r="C511" s="3" t="s">
        <v>10</v>
      </c>
      <c r="D511" s="3" t="s">
        <v>3</v>
      </c>
      <c r="E511" s="3">
        <v>387</v>
      </c>
      <c r="F511">
        <f>SUM(E511:E513)</f>
        <v>859</v>
      </c>
      <c r="G511" s="57"/>
    </row>
    <row r="512" spans="1:7" ht="12.75" x14ac:dyDescent="0.2">
      <c r="A512" s="3">
        <v>71</v>
      </c>
      <c r="B512" s="3" t="s">
        <v>94</v>
      </c>
      <c r="C512" s="3" t="s">
        <v>10</v>
      </c>
      <c r="D512" s="3" t="s">
        <v>30</v>
      </c>
      <c r="E512" s="3">
        <v>428</v>
      </c>
      <c r="G512" s="57"/>
    </row>
    <row r="513" spans="1:7" ht="12.75" x14ac:dyDescent="0.2">
      <c r="A513" s="3">
        <v>71</v>
      </c>
      <c r="B513" s="3" t="s">
        <v>94</v>
      </c>
      <c r="C513" s="3" t="s">
        <v>10</v>
      </c>
      <c r="D513" s="3" t="s">
        <v>14</v>
      </c>
      <c r="E513" s="3">
        <v>44</v>
      </c>
      <c r="G513" s="57"/>
    </row>
    <row r="514" spans="1:7" ht="12.75" x14ac:dyDescent="0.2">
      <c r="A514" s="3">
        <v>71</v>
      </c>
      <c r="B514" s="3" t="s">
        <v>94</v>
      </c>
      <c r="C514" s="3" t="s">
        <v>13</v>
      </c>
      <c r="D514" s="3" t="s">
        <v>3</v>
      </c>
      <c r="E514" s="3">
        <v>381</v>
      </c>
      <c r="F514">
        <f>SUM(E514:E516)</f>
        <v>859</v>
      </c>
      <c r="G514" s="57"/>
    </row>
    <row r="515" spans="1:7" ht="12.75" x14ac:dyDescent="0.2">
      <c r="A515" s="3">
        <v>71</v>
      </c>
      <c r="B515" s="3" t="s">
        <v>94</v>
      </c>
      <c r="C515" s="3" t="s">
        <v>13</v>
      </c>
      <c r="D515" s="3" t="s">
        <v>30</v>
      </c>
      <c r="E515" s="3">
        <v>448</v>
      </c>
      <c r="G515" s="57"/>
    </row>
    <row r="516" spans="1:7" ht="12.75" x14ac:dyDescent="0.2">
      <c r="A516" s="3">
        <v>71</v>
      </c>
      <c r="B516" s="3" t="s">
        <v>94</v>
      </c>
      <c r="C516" s="3" t="s">
        <v>13</v>
      </c>
      <c r="D516" s="3" t="s">
        <v>14</v>
      </c>
      <c r="E516" s="3">
        <v>30</v>
      </c>
      <c r="G516" s="57"/>
    </row>
    <row r="517" spans="1:7" ht="12.75" x14ac:dyDescent="0.2">
      <c r="A517" s="3">
        <v>72</v>
      </c>
      <c r="B517" s="3" t="s">
        <v>95</v>
      </c>
      <c r="C517" s="3" t="s">
        <v>2</v>
      </c>
      <c r="D517" s="3" t="s">
        <v>3</v>
      </c>
      <c r="E517" s="3">
        <v>764</v>
      </c>
      <c r="F517">
        <f>SUM(E517:E519)</f>
        <v>1489</v>
      </c>
      <c r="G517" s="56">
        <v>1490</v>
      </c>
    </row>
    <row r="518" spans="1:7" ht="12.75" x14ac:dyDescent="0.2">
      <c r="A518" s="3">
        <v>72</v>
      </c>
      <c r="B518" s="3" t="s">
        <v>95</v>
      </c>
      <c r="C518" s="3" t="s">
        <v>2</v>
      </c>
      <c r="D518" s="3" t="s">
        <v>11</v>
      </c>
      <c r="E518" s="3">
        <v>676</v>
      </c>
      <c r="G518" s="57"/>
    </row>
    <row r="519" spans="1:7" ht="12.75" x14ac:dyDescent="0.2">
      <c r="A519" s="3">
        <v>72</v>
      </c>
      <c r="B519" s="3" t="s">
        <v>95</v>
      </c>
      <c r="C519" s="3" t="s">
        <v>2</v>
      </c>
      <c r="D519" s="3" t="s">
        <v>14</v>
      </c>
      <c r="E519" s="3">
        <v>49</v>
      </c>
      <c r="G519" s="57"/>
    </row>
    <row r="520" spans="1:7" ht="12.75" x14ac:dyDescent="0.2">
      <c r="A520" s="3">
        <v>72</v>
      </c>
      <c r="B520" s="3" t="s">
        <v>95</v>
      </c>
      <c r="C520" s="3" t="s">
        <v>10</v>
      </c>
      <c r="D520" s="3" t="s">
        <v>3</v>
      </c>
      <c r="E520" s="3">
        <v>736</v>
      </c>
      <c r="F520">
        <f>SUM(E520:E522)</f>
        <v>1489</v>
      </c>
      <c r="G520" s="57"/>
    </row>
    <row r="521" spans="1:7" ht="12.75" x14ac:dyDescent="0.2">
      <c r="A521" s="3">
        <v>72</v>
      </c>
      <c r="B521" s="3" t="s">
        <v>95</v>
      </c>
      <c r="C521" s="3" t="s">
        <v>10</v>
      </c>
      <c r="D521" s="3" t="s">
        <v>11</v>
      </c>
      <c r="E521" s="3">
        <v>686</v>
      </c>
      <c r="G521" s="57"/>
    </row>
    <row r="522" spans="1:7" ht="12.75" x14ac:dyDescent="0.2">
      <c r="A522" s="3">
        <v>72</v>
      </c>
      <c r="B522" s="3" t="s">
        <v>95</v>
      </c>
      <c r="C522" s="3" t="s">
        <v>10</v>
      </c>
      <c r="D522" s="3" t="s">
        <v>14</v>
      </c>
      <c r="E522" s="3">
        <v>67</v>
      </c>
      <c r="G522" s="57"/>
    </row>
    <row r="523" spans="1:7" ht="12.75" x14ac:dyDescent="0.2">
      <c r="A523" s="3">
        <v>72</v>
      </c>
      <c r="B523" s="3" t="s">
        <v>95</v>
      </c>
      <c r="C523" s="3" t="s">
        <v>13</v>
      </c>
      <c r="D523" s="3" t="s">
        <v>3</v>
      </c>
      <c r="E523" s="3">
        <v>687</v>
      </c>
      <c r="F523">
        <f>SUM(E523:E525)</f>
        <v>1488</v>
      </c>
      <c r="G523" s="57"/>
    </row>
    <row r="524" spans="1:7" ht="12.75" x14ac:dyDescent="0.2">
      <c r="A524" s="3">
        <v>72</v>
      </c>
      <c r="B524" s="3" t="s">
        <v>95</v>
      </c>
      <c r="C524" s="3" t="s">
        <v>13</v>
      </c>
      <c r="D524" s="3" t="s">
        <v>11</v>
      </c>
      <c r="E524" s="3">
        <v>729</v>
      </c>
      <c r="G524" s="57"/>
    </row>
    <row r="525" spans="1:7" ht="12.75" x14ac:dyDescent="0.2">
      <c r="A525" s="3">
        <v>72</v>
      </c>
      <c r="B525" s="3" t="s">
        <v>95</v>
      </c>
      <c r="C525" s="3" t="s">
        <v>13</v>
      </c>
      <c r="D525" s="3" t="s">
        <v>14</v>
      </c>
      <c r="E525" s="3">
        <v>72</v>
      </c>
      <c r="G525" s="57"/>
    </row>
    <row r="526" spans="1:7" ht="12.75" x14ac:dyDescent="0.2">
      <c r="A526" s="3">
        <v>73</v>
      </c>
      <c r="B526" s="3" t="s">
        <v>96</v>
      </c>
      <c r="C526" s="3" t="s">
        <v>15</v>
      </c>
      <c r="D526" s="3" t="s">
        <v>3</v>
      </c>
      <c r="E526" s="3">
        <v>46</v>
      </c>
      <c r="F526">
        <f>SUM(E526:E528)</f>
        <v>171</v>
      </c>
      <c r="G526" s="56">
        <v>172</v>
      </c>
    </row>
    <row r="527" spans="1:7" ht="12.75" x14ac:dyDescent="0.2">
      <c r="A527" s="3">
        <v>73</v>
      </c>
      <c r="B527" s="3" t="s">
        <v>96</v>
      </c>
      <c r="C527" s="3" t="s">
        <v>15</v>
      </c>
      <c r="D527" s="3" t="s">
        <v>31</v>
      </c>
      <c r="E527" s="3">
        <v>120</v>
      </c>
      <c r="G527" s="57"/>
    </row>
    <row r="528" spans="1:7" ht="12.75" x14ac:dyDescent="0.2">
      <c r="A528" s="3">
        <v>73</v>
      </c>
      <c r="B528" s="3" t="s">
        <v>96</v>
      </c>
      <c r="C528" s="3" t="s">
        <v>15</v>
      </c>
      <c r="D528" s="3" t="s">
        <v>14</v>
      </c>
      <c r="E528" s="3">
        <v>5</v>
      </c>
      <c r="G528" s="57"/>
    </row>
    <row r="529" spans="1:7" ht="12.75" x14ac:dyDescent="0.2">
      <c r="A529" s="3">
        <v>73</v>
      </c>
      <c r="B529" s="3" t="s">
        <v>96</v>
      </c>
      <c r="C529" s="3" t="s">
        <v>17</v>
      </c>
      <c r="D529" s="3" t="s">
        <v>3</v>
      </c>
      <c r="E529" s="3">
        <v>45</v>
      </c>
      <c r="F529">
        <f>SUM(E529:E531)</f>
        <v>171</v>
      </c>
      <c r="G529" s="57"/>
    </row>
    <row r="530" spans="1:7" ht="12.75" x14ac:dyDescent="0.2">
      <c r="A530" s="3">
        <v>73</v>
      </c>
      <c r="B530" s="3" t="s">
        <v>96</v>
      </c>
      <c r="C530" s="3" t="s">
        <v>17</v>
      </c>
      <c r="D530" s="3" t="s">
        <v>31</v>
      </c>
      <c r="E530" s="3">
        <v>117</v>
      </c>
      <c r="G530" s="57"/>
    </row>
    <row r="531" spans="1:7" ht="12.75" x14ac:dyDescent="0.2">
      <c r="A531" s="3">
        <v>73</v>
      </c>
      <c r="B531" s="3" t="s">
        <v>96</v>
      </c>
      <c r="C531" s="3" t="s">
        <v>17</v>
      </c>
      <c r="D531" s="3" t="s">
        <v>14</v>
      </c>
      <c r="E531" s="3">
        <v>9</v>
      </c>
      <c r="G531" s="57"/>
    </row>
    <row r="532" spans="1:7" ht="12.75" x14ac:dyDescent="0.2">
      <c r="A532" s="3">
        <v>74</v>
      </c>
      <c r="B532" s="3" t="s">
        <v>97</v>
      </c>
      <c r="C532" s="3" t="s">
        <v>15</v>
      </c>
      <c r="D532" s="3" t="s">
        <v>3</v>
      </c>
      <c r="E532" s="3">
        <v>161</v>
      </c>
      <c r="F532">
        <f>SUM(E532:E534)</f>
        <v>278</v>
      </c>
      <c r="G532" s="56">
        <v>278</v>
      </c>
    </row>
    <row r="533" spans="1:7" ht="12.75" x14ac:dyDescent="0.2">
      <c r="A533" s="3">
        <v>74</v>
      </c>
      <c r="B533" s="3" t="s">
        <v>97</v>
      </c>
      <c r="C533" s="3" t="s">
        <v>15</v>
      </c>
      <c r="D533" s="3" t="s">
        <v>11</v>
      </c>
      <c r="E533" s="3">
        <v>108</v>
      </c>
      <c r="G533" s="57"/>
    </row>
    <row r="534" spans="1:7" ht="12.75" x14ac:dyDescent="0.2">
      <c r="A534" s="3">
        <v>74</v>
      </c>
      <c r="B534" s="3" t="s">
        <v>97</v>
      </c>
      <c r="C534" s="3" t="s">
        <v>15</v>
      </c>
      <c r="D534" s="3" t="s">
        <v>14</v>
      </c>
      <c r="E534" s="3">
        <v>9</v>
      </c>
      <c r="G534" s="57"/>
    </row>
    <row r="535" spans="1:7" ht="12.75" x14ac:dyDescent="0.2">
      <c r="A535" s="3">
        <v>74</v>
      </c>
      <c r="B535" s="3" t="s">
        <v>97</v>
      </c>
      <c r="C535" s="3" t="s">
        <v>17</v>
      </c>
      <c r="D535" s="3" t="s">
        <v>3</v>
      </c>
      <c r="E535" s="3">
        <v>159</v>
      </c>
      <c r="F535">
        <f>SUM(E535:E537)</f>
        <v>278</v>
      </c>
      <c r="G535" s="57"/>
    </row>
    <row r="536" spans="1:7" ht="12.75" x14ac:dyDescent="0.2">
      <c r="A536" s="3">
        <v>74</v>
      </c>
      <c r="B536" s="3" t="s">
        <v>97</v>
      </c>
      <c r="C536" s="3" t="s">
        <v>17</v>
      </c>
      <c r="D536" s="3" t="s">
        <v>11</v>
      </c>
      <c r="E536" s="3">
        <v>108</v>
      </c>
      <c r="G536" s="57"/>
    </row>
    <row r="537" spans="1:7" ht="12.75" x14ac:dyDescent="0.2">
      <c r="A537" s="3">
        <v>74</v>
      </c>
      <c r="B537" s="3" t="s">
        <v>97</v>
      </c>
      <c r="C537" s="3" t="s">
        <v>17</v>
      </c>
      <c r="D537" s="3" t="s">
        <v>14</v>
      </c>
      <c r="E537" s="3">
        <v>11</v>
      </c>
      <c r="G537" s="57"/>
    </row>
    <row r="538" spans="1:7" ht="12.75" x14ac:dyDescent="0.2">
      <c r="A538" s="3">
        <v>75</v>
      </c>
      <c r="B538" s="3" t="s">
        <v>98</v>
      </c>
      <c r="C538" s="3" t="s">
        <v>2</v>
      </c>
      <c r="D538" s="3" t="s">
        <v>3</v>
      </c>
      <c r="E538" s="3">
        <v>955</v>
      </c>
      <c r="F538">
        <f>SUM(E538:E540)</f>
        <v>2322</v>
      </c>
      <c r="G538" s="57"/>
    </row>
    <row r="539" spans="1:7" ht="12.75" x14ac:dyDescent="0.2">
      <c r="A539" s="3">
        <v>75</v>
      </c>
      <c r="B539" s="3" t="s">
        <v>98</v>
      </c>
      <c r="C539" s="3" t="s">
        <v>2</v>
      </c>
      <c r="D539" s="3" t="s">
        <v>11</v>
      </c>
      <c r="E539" s="3">
        <v>1304</v>
      </c>
      <c r="G539" s="56">
        <v>2324</v>
      </c>
    </row>
    <row r="540" spans="1:7" ht="12.75" x14ac:dyDescent="0.2">
      <c r="A540" s="3">
        <v>75</v>
      </c>
      <c r="B540" s="3" t="s">
        <v>98</v>
      </c>
      <c r="C540" s="3" t="s">
        <v>2</v>
      </c>
      <c r="D540" s="3" t="s">
        <v>14</v>
      </c>
      <c r="E540" s="3">
        <v>63</v>
      </c>
      <c r="G540" s="57"/>
    </row>
    <row r="541" spans="1:7" ht="12.75" x14ac:dyDescent="0.2">
      <c r="A541" s="3">
        <v>75</v>
      </c>
      <c r="B541" s="3" t="s">
        <v>98</v>
      </c>
      <c r="C541" s="3" t="s">
        <v>10</v>
      </c>
      <c r="D541" s="3" t="s">
        <v>3</v>
      </c>
      <c r="E541" s="3">
        <v>964</v>
      </c>
      <c r="F541">
        <f>SUM(E541:E543)</f>
        <v>2321</v>
      </c>
      <c r="G541" s="57"/>
    </row>
    <row r="542" spans="1:7" ht="12.75" x14ac:dyDescent="0.2">
      <c r="A542" s="3">
        <v>75</v>
      </c>
      <c r="B542" s="3" t="s">
        <v>98</v>
      </c>
      <c r="C542" s="3" t="s">
        <v>10</v>
      </c>
      <c r="D542" s="3" t="s">
        <v>11</v>
      </c>
      <c r="E542" s="3">
        <v>1250</v>
      </c>
      <c r="G542" s="57"/>
    </row>
    <row r="543" spans="1:7" ht="12.75" x14ac:dyDescent="0.2">
      <c r="A543" s="3">
        <v>75</v>
      </c>
      <c r="B543" s="3" t="s">
        <v>98</v>
      </c>
      <c r="C543" s="3" t="s">
        <v>10</v>
      </c>
      <c r="D543" s="3" t="s">
        <v>14</v>
      </c>
      <c r="E543" s="3">
        <v>107</v>
      </c>
      <c r="G543" s="57"/>
    </row>
    <row r="544" spans="1:7" ht="12.75" x14ac:dyDescent="0.2">
      <c r="A544" s="3">
        <v>75</v>
      </c>
      <c r="B544" s="3" t="s">
        <v>98</v>
      </c>
      <c r="C544" s="3" t="s">
        <v>13</v>
      </c>
      <c r="D544" s="3" t="s">
        <v>3</v>
      </c>
      <c r="E544" s="3">
        <v>1044</v>
      </c>
      <c r="F544">
        <f>SUM(E544:E546)</f>
        <v>2322</v>
      </c>
      <c r="G544" s="57"/>
    </row>
    <row r="545" spans="1:7" ht="12.75" x14ac:dyDescent="0.2">
      <c r="A545" s="3">
        <v>75</v>
      </c>
      <c r="B545" s="3" t="s">
        <v>98</v>
      </c>
      <c r="C545" s="3" t="s">
        <v>13</v>
      </c>
      <c r="D545" s="3" t="s">
        <v>11</v>
      </c>
      <c r="E545" s="3">
        <v>1146</v>
      </c>
      <c r="G545" s="57"/>
    </row>
    <row r="546" spans="1:7" ht="12.75" x14ac:dyDescent="0.2">
      <c r="A546" s="3">
        <v>75</v>
      </c>
      <c r="B546" s="3" t="s">
        <v>98</v>
      </c>
      <c r="C546" s="3" t="s">
        <v>13</v>
      </c>
      <c r="D546" s="3" t="s">
        <v>14</v>
      </c>
      <c r="E546" s="3">
        <v>132</v>
      </c>
      <c r="G546" s="57"/>
    </row>
    <row r="547" spans="1:7" ht="12.75" x14ac:dyDescent="0.2">
      <c r="A547" s="3">
        <v>76</v>
      </c>
      <c r="B547" s="3" t="s">
        <v>99</v>
      </c>
      <c r="C547" s="3" t="s">
        <v>15</v>
      </c>
      <c r="D547" s="3" t="s">
        <v>3</v>
      </c>
      <c r="E547" s="3">
        <v>107</v>
      </c>
      <c r="F547">
        <f>SUM(E547:E549)</f>
        <v>237</v>
      </c>
      <c r="G547" s="56">
        <v>237</v>
      </c>
    </row>
    <row r="548" spans="1:7" ht="12.75" x14ac:dyDescent="0.2">
      <c r="A548" s="3">
        <v>76</v>
      </c>
      <c r="B548" s="3" t="s">
        <v>99</v>
      </c>
      <c r="C548" s="3" t="s">
        <v>15</v>
      </c>
      <c r="D548" s="3" t="s">
        <v>32</v>
      </c>
      <c r="E548" s="3">
        <v>122</v>
      </c>
      <c r="G548" s="57"/>
    </row>
    <row r="549" spans="1:7" ht="12.75" x14ac:dyDescent="0.2">
      <c r="A549" s="3">
        <v>76</v>
      </c>
      <c r="B549" s="3" t="s">
        <v>99</v>
      </c>
      <c r="C549" s="3" t="s">
        <v>15</v>
      </c>
      <c r="D549" s="3" t="s">
        <v>14</v>
      </c>
      <c r="E549" s="3">
        <v>8</v>
      </c>
      <c r="G549" s="57"/>
    </row>
    <row r="550" spans="1:7" ht="12.75" x14ac:dyDescent="0.2">
      <c r="A550" s="3">
        <v>76</v>
      </c>
      <c r="B550" s="3" t="s">
        <v>99</v>
      </c>
      <c r="C550" s="3" t="s">
        <v>17</v>
      </c>
      <c r="D550" s="3" t="s">
        <v>3</v>
      </c>
      <c r="E550" s="3">
        <v>101</v>
      </c>
      <c r="F550">
        <f>SUM(E550:E552)</f>
        <v>237</v>
      </c>
      <c r="G550" s="57"/>
    </row>
    <row r="551" spans="1:7" ht="12.75" x14ac:dyDescent="0.2">
      <c r="A551" s="3">
        <v>76</v>
      </c>
      <c r="B551" s="3" t="s">
        <v>99</v>
      </c>
      <c r="C551" s="3" t="s">
        <v>17</v>
      </c>
      <c r="D551" s="3" t="s">
        <v>32</v>
      </c>
      <c r="E551" s="3">
        <v>114</v>
      </c>
      <c r="G551" s="57"/>
    </row>
    <row r="552" spans="1:7" ht="12.75" x14ac:dyDescent="0.2">
      <c r="A552" s="3">
        <v>76</v>
      </c>
      <c r="B552" s="3" t="s">
        <v>99</v>
      </c>
      <c r="C552" s="3" t="s">
        <v>17</v>
      </c>
      <c r="D552" s="3" t="s">
        <v>14</v>
      </c>
      <c r="E552" s="3">
        <v>22</v>
      </c>
      <c r="G552" s="57"/>
    </row>
    <row r="553" spans="1:7" ht="12.75" x14ac:dyDescent="0.2">
      <c r="A553" s="3">
        <v>77</v>
      </c>
      <c r="B553" s="3" t="s">
        <v>100</v>
      </c>
      <c r="C553" s="3" t="s">
        <v>2</v>
      </c>
      <c r="D553" s="3" t="s">
        <v>3</v>
      </c>
      <c r="E553" s="3">
        <v>403</v>
      </c>
      <c r="F553">
        <f>SUM(E553:E555)</f>
        <v>1060</v>
      </c>
      <c r="G553" s="56">
        <v>1060</v>
      </c>
    </row>
    <row r="554" spans="1:7" ht="12.75" x14ac:dyDescent="0.2">
      <c r="A554" s="3">
        <v>77</v>
      </c>
      <c r="B554" s="3" t="s">
        <v>100</v>
      </c>
      <c r="C554" s="3" t="s">
        <v>2</v>
      </c>
      <c r="D554" s="3" t="s">
        <v>11</v>
      </c>
      <c r="E554" s="3">
        <v>612</v>
      </c>
      <c r="G554" s="57"/>
    </row>
    <row r="555" spans="1:7" ht="12.75" x14ac:dyDescent="0.2">
      <c r="A555" s="3">
        <v>77</v>
      </c>
      <c r="B555" s="3" t="s">
        <v>100</v>
      </c>
      <c r="C555" s="3" t="s">
        <v>2</v>
      </c>
      <c r="D555" s="3" t="s">
        <v>14</v>
      </c>
      <c r="E555" s="3">
        <v>45</v>
      </c>
      <c r="G555" s="57"/>
    </row>
    <row r="556" spans="1:7" ht="12.75" x14ac:dyDescent="0.2">
      <c r="A556" s="3">
        <v>77</v>
      </c>
      <c r="B556" s="3" t="s">
        <v>100</v>
      </c>
      <c r="C556" s="3" t="s">
        <v>10</v>
      </c>
      <c r="D556" s="3" t="s">
        <v>3</v>
      </c>
      <c r="E556" s="3">
        <v>405</v>
      </c>
      <c r="F556">
        <f>SUM(E556:E558)</f>
        <v>1060</v>
      </c>
      <c r="G556" s="57"/>
    </row>
    <row r="557" spans="1:7" ht="12.75" x14ac:dyDescent="0.2">
      <c r="A557" s="3">
        <v>77</v>
      </c>
      <c r="B557" s="3" t="s">
        <v>100</v>
      </c>
      <c r="C557" s="3" t="s">
        <v>10</v>
      </c>
      <c r="D557" s="3" t="s">
        <v>11</v>
      </c>
      <c r="E557" s="3">
        <v>593</v>
      </c>
      <c r="G557" s="57"/>
    </row>
    <row r="558" spans="1:7" ht="12.75" x14ac:dyDescent="0.2">
      <c r="A558" s="3">
        <v>77</v>
      </c>
      <c r="B558" s="3" t="s">
        <v>100</v>
      </c>
      <c r="C558" s="3" t="s">
        <v>10</v>
      </c>
      <c r="D558" s="3" t="s">
        <v>14</v>
      </c>
      <c r="E558" s="3">
        <v>62</v>
      </c>
      <c r="G558" s="57"/>
    </row>
    <row r="559" spans="1:7" ht="12.75" x14ac:dyDescent="0.2">
      <c r="A559" s="3">
        <v>77</v>
      </c>
      <c r="B559" s="3" t="s">
        <v>100</v>
      </c>
      <c r="C559" s="3" t="s">
        <v>13</v>
      </c>
      <c r="D559" s="3" t="s">
        <v>3</v>
      </c>
      <c r="E559" s="3">
        <v>406</v>
      </c>
      <c r="F559">
        <f>SUM(E559:E561)</f>
        <v>1060</v>
      </c>
      <c r="G559" s="57"/>
    </row>
    <row r="560" spans="1:7" ht="12.75" x14ac:dyDescent="0.2">
      <c r="A560" s="3">
        <v>77</v>
      </c>
      <c r="B560" s="3" t="s">
        <v>100</v>
      </c>
      <c r="C560" s="3" t="s">
        <v>13</v>
      </c>
      <c r="D560" s="3" t="s">
        <v>11</v>
      </c>
      <c r="E560" s="3">
        <v>604</v>
      </c>
      <c r="G560" s="57"/>
    </row>
    <row r="561" spans="1:7" ht="12.75" x14ac:dyDescent="0.2">
      <c r="A561" s="3">
        <v>77</v>
      </c>
      <c r="B561" s="3" t="s">
        <v>100</v>
      </c>
      <c r="C561" s="3" t="s">
        <v>13</v>
      </c>
      <c r="D561" s="3" t="s">
        <v>14</v>
      </c>
      <c r="E561" s="3">
        <v>50</v>
      </c>
      <c r="G561" s="57"/>
    </row>
    <row r="562" spans="1:7" ht="12.75" x14ac:dyDescent="0.2">
      <c r="A562" s="3">
        <v>78</v>
      </c>
      <c r="B562" s="3" t="s">
        <v>101</v>
      </c>
      <c r="C562" s="3" t="s">
        <v>15</v>
      </c>
      <c r="D562" s="3" t="s">
        <v>3</v>
      </c>
      <c r="E562" s="3">
        <v>137</v>
      </c>
      <c r="F562">
        <f>SUM(E562:E563)</f>
        <v>194</v>
      </c>
      <c r="G562" s="56">
        <v>195</v>
      </c>
    </row>
    <row r="563" spans="1:7" ht="12.75" x14ac:dyDescent="0.2">
      <c r="A563" s="3">
        <v>78</v>
      </c>
      <c r="B563" s="3" t="s">
        <v>101</v>
      </c>
      <c r="C563" s="3" t="s">
        <v>15</v>
      </c>
      <c r="D563" s="3" t="s">
        <v>14</v>
      </c>
      <c r="E563" s="3">
        <v>57</v>
      </c>
      <c r="G563" s="57"/>
    </row>
    <row r="564" spans="1:7" ht="12.75" x14ac:dyDescent="0.2">
      <c r="A564" s="3">
        <v>78</v>
      </c>
      <c r="B564" s="3" t="s">
        <v>101</v>
      </c>
      <c r="C564" s="3" t="s">
        <v>17</v>
      </c>
      <c r="D564" s="3" t="s">
        <v>3</v>
      </c>
      <c r="E564" s="3">
        <v>120</v>
      </c>
      <c r="F564">
        <f>SUM(E564:E566)</f>
        <v>194</v>
      </c>
      <c r="G564" s="57"/>
    </row>
    <row r="565" spans="1:7" ht="12.75" x14ac:dyDescent="0.2">
      <c r="A565" s="3">
        <v>78</v>
      </c>
      <c r="B565" s="3" t="s">
        <v>101</v>
      </c>
      <c r="C565" s="3" t="s">
        <v>17</v>
      </c>
      <c r="D565" s="3" t="s">
        <v>11</v>
      </c>
      <c r="E565" s="3">
        <v>41</v>
      </c>
      <c r="G565" s="57"/>
    </row>
    <row r="566" spans="1:7" ht="12.75" x14ac:dyDescent="0.2">
      <c r="A566" s="3">
        <v>78</v>
      </c>
      <c r="B566" s="3" t="s">
        <v>101</v>
      </c>
      <c r="C566" s="3" t="s">
        <v>17</v>
      </c>
      <c r="D566" s="3" t="s">
        <v>14</v>
      </c>
      <c r="E566" s="3">
        <v>33</v>
      </c>
      <c r="G566" s="57"/>
    </row>
    <row r="567" spans="1:7" ht="12.75" x14ac:dyDescent="0.2">
      <c r="A567" s="3">
        <v>79</v>
      </c>
      <c r="B567" s="3" t="s">
        <v>102</v>
      </c>
      <c r="C567" s="3" t="s">
        <v>2</v>
      </c>
      <c r="D567" s="3" t="s">
        <v>3</v>
      </c>
      <c r="E567" s="3">
        <v>385</v>
      </c>
      <c r="F567">
        <f>SUM(E567:E569)</f>
        <v>977</v>
      </c>
      <c r="G567" s="56">
        <v>978</v>
      </c>
    </row>
    <row r="568" spans="1:7" ht="12.75" x14ac:dyDescent="0.2">
      <c r="A568" s="3">
        <v>79</v>
      </c>
      <c r="B568" s="3" t="s">
        <v>102</v>
      </c>
      <c r="C568" s="3" t="s">
        <v>2</v>
      </c>
      <c r="D568" s="3" t="s">
        <v>11</v>
      </c>
      <c r="E568" s="3">
        <v>566</v>
      </c>
      <c r="G568" s="57"/>
    </row>
    <row r="569" spans="1:7" ht="12.75" x14ac:dyDescent="0.2">
      <c r="A569" s="3">
        <v>79</v>
      </c>
      <c r="B569" s="3" t="s">
        <v>102</v>
      </c>
      <c r="C569" s="3" t="s">
        <v>2</v>
      </c>
      <c r="D569" s="3" t="s">
        <v>14</v>
      </c>
      <c r="E569" s="3">
        <v>26</v>
      </c>
      <c r="G569" s="57"/>
    </row>
    <row r="570" spans="1:7" ht="12.75" x14ac:dyDescent="0.2">
      <c r="A570" s="3">
        <v>79</v>
      </c>
      <c r="B570" s="3" t="s">
        <v>102</v>
      </c>
      <c r="C570" s="3" t="s">
        <v>10</v>
      </c>
      <c r="D570" s="3" t="s">
        <v>3</v>
      </c>
      <c r="E570" s="3">
        <v>349</v>
      </c>
      <c r="F570">
        <f>SUM(E570:E572)</f>
        <v>977</v>
      </c>
      <c r="G570" s="57"/>
    </row>
    <row r="571" spans="1:7" ht="12.75" x14ac:dyDescent="0.2">
      <c r="A571" s="3">
        <v>79</v>
      </c>
      <c r="B571" s="3" t="s">
        <v>102</v>
      </c>
      <c r="C571" s="3" t="s">
        <v>10</v>
      </c>
      <c r="D571" s="3" t="s">
        <v>11</v>
      </c>
      <c r="E571" s="3">
        <v>583</v>
      </c>
      <c r="G571" s="57"/>
    </row>
    <row r="572" spans="1:7" ht="12.75" x14ac:dyDescent="0.2">
      <c r="A572" s="3">
        <v>79</v>
      </c>
      <c r="B572" s="3" t="s">
        <v>102</v>
      </c>
      <c r="C572" s="3" t="s">
        <v>10</v>
      </c>
      <c r="D572" s="3" t="s">
        <v>14</v>
      </c>
      <c r="E572" s="3">
        <v>45</v>
      </c>
      <c r="G572" s="57"/>
    </row>
    <row r="573" spans="1:7" ht="12.75" x14ac:dyDescent="0.2">
      <c r="A573" s="3">
        <v>79</v>
      </c>
      <c r="B573" s="3" t="s">
        <v>102</v>
      </c>
      <c r="C573" s="3" t="s">
        <v>13</v>
      </c>
      <c r="D573" s="3" t="s">
        <v>3</v>
      </c>
      <c r="E573" s="3">
        <v>374</v>
      </c>
      <c r="F573">
        <f>SUM(E573:E575)</f>
        <v>977</v>
      </c>
      <c r="G573" s="57"/>
    </row>
    <row r="574" spans="1:7" ht="12.75" x14ac:dyDescent="0.2">
      <c r="A574" s="3">
        <v>79</v>
      </c>
      <c r="B574" s="3" t="s">
        <v>102</v>
      </c>
      <c r="C574" s="3" t="s">
        <v>13</v>
      </c>
      <c r="D574" s="3" t="s">
        <v>11</v>
      </c>
      <c r="E574" s="3">
        <v>569</v>
      </c>
      <c r="G574" s="57"/>
    </row>
    <row r="575" spans="1:7" ht="12.75" x14ac:dyDescent="0.2">
      <c r="A575" s="3">
        <v>79</v>
      </c>
      <c r="B575" s="3" t="s">
        <v>102</v>
      </c>
      <c r="C575" s="3" t="s">
        <v>13</v>
      </c>
      <c r="D575" s="3" t="s">
        <v>14</v>
      </c>
      <c r="E575" s="3">
        <v>34</v>
      </c>
      <c r="G575" s="57"/>
    </row>
    <row r="576" spans="1:7" ht="12.75" x14ac:dyDescent="0.2">
      <c r="A576" s="3">
        <v>80</v>
      </c>
      <c r="B576" s="3" t="s">
        <v>103</v>
      </c>
      <c r="C576" s="3" t="s">
        <v>15</v>
      </c>
      <c r="D576" s="3" t="s">
        <v>33</v>
      </c>
      <c r="E576" s="3">
        <v>89</v>
      </c>
      <c r="F576">
        <f>SUM(E576:E577)</f>
        <v>153</v>
      </c>
      <c r="G576" s="56">
        <v>153</v>
      </c>
    </row>
    <row r="577" spans="1:7" ht="12.75" x14ac:dyDescent="0.2">
      <c r="A577" s="3">
        <v>80</v>
      </c>
      <c r="B577" s="3" t="s">
        <v>103</v>
      </c>
      <c r="C577" s="3" t="s">
        <v>15</v>
      </c>
      <c r="D577" s="3" t="s">
        <v>11</v>
      </c>
      <c r="E577" s="3">
        <v>64</v>
      </c>
      <c r="G577" s="57"/>
    </row>
    <row r="578" spans="1:7" ht="12.75" x14ac:dyDescent="0.2">
      <c r="A578" s="3">
        <v>80</v>
      </c>
      <c r="B578" s="3" t="s">
        <v>103</v>
      </c>
      <c r="C578" s="3" t="s">
        <v>17</v>
      </c>
      <c r="D578" s="3" t="s">
        <v>33</v>
      </c>
      <c r="E578" s="3">
        <v>90</v>
      </c>
      <c r="F578">
        <f>SUM(E578:E580)</f>
        <v>153</v>
      </c>
      <c r="G578" s="57"/>
    </row>
    <row r="579" spans="1:7" ht="12.75" x14ac:dyDescent="0.2">
      <c r="A579" s="3">
        <v>80</v>
      </c>
      <c r="B579" s="3" t="s">
        <v>103</v>
      </c>
      <c r="C579" s="3" t="s">
        <v>17</v>
      </c>
      <c r="D579" s="3" t="s">
        <v>11</v>
      </c>
      <c r="E579" s="3">
        <v>61</v>
      </c>
      <c r="G579" s="57"/>
    </row>
    <row r="580" spans="1:7" ht="12.75" x14ac:dyDescent="0.2">
      <c r="A580" s="3">
        <v>80</v>
      </c>
      <c r="B580" s="3" t="s">
        <v>103</v>
      </c>
      <c r="C580" s="3" t="s">
        <v>17</v>
      </c>
      <c r="D580" s="3" t="s">
        <v>14</v>
      </c>
      <c r="E580" s="3">
        <v>2</v>
      </c>
      <c r="G580" s="57"/>
    </row>
    <row r="581" spans="1:7" ht="12.75" x14ac:dyDescent="0.2">
      <c r="A581" s="3">
        <v>81</v>
      </c>
      <c r="B581" s="3" t="s">
        <v>104</v>
      </c>
      <c r="C581" s="3" t="s">
        <v>2</v>
      </c>
      <c r="D581" s="3" t="s">
        <v>3</v>
      </c>
      <c r="E581" s="3">
        <v>1527</v>
      </c>
      <c r="F581">
        <f>SUM(E581:E583)</f>
        <v>3054</v>
      </c>
      <c r="G581" s="56">
        <v>3058</v>
      </c>
    </row>
    <row r="582" spans="1:7" ht="12.75" x14ac:dyDescent="0.2">
      <c r="A582" s="3">
        <v>81</v>
      </c>
      <c r="B582" s="3" t="s">
        <v>104</v>
      </c>
      <c r="C582" s="3" t="s">
        <v>2</v>
      </c>
      <c r="D582" s="3" t="s">
        <v>11</v>
      </c>
      <c r="E582" s="3">
        <v>1335</v>
      </c>
      <c r="G582" s="57"/>
    </row>
    <row r="583" spans="1:7" ht="12.75" x14ac:dyDescent="0.2">
      <c r="A583" s="3">
        <v>81</v>
      </c>
      <c r="B583" s="3" t="s">
        <v>104</v>
      </c>
      <c r="C583" s="3" t="s">
        <v>2</v>
      </c>
      <c r="D583" s="3" t="s">
        <v>14</v>
      </c>
      <c r="E583" s="3">
        <v>192</v>
      </c>
      <c r="G583" s="57"/>
    </row>
    <row r="584" spans="1:7" ht="12.75" x14ac:dyDescent="0.2">
      <c r="A584" s="3">
        <v>81</v>
      </c>
      <c r="B584" s="3" t="s">
        <v>104</v>
      </c>
      <c r="C584" s="3" t="s">
        <v>10</v>
      </c>
      <c r="D584" s="3" t="s">
        <v>3</v>
      </c>
      <c r="E584" s="3">
        <v>1470</v>
      </c>
      <c r="F584">
        <f>SUM(E584:E586)</f>
        <v>3055</v>
      </c>
      <c r="G584" s="57"/>
    </row>
    <row r="585" spans="1:7" ht="12.75" x14ac:dyDescent="0.2">
      <c r="A585" s="3">
        <v>81</v>
      </c>
      <c r="B585" s="3" t="s">
        <v>104</v>
      </c>
      <c r="C585" s="3" t="s">
        <v>10</v>
      </c>
      <c r="D585" s="3" t="s">
        <v>11</v>
      </c>
      <c r="E585" s="3">
        <v>1364</v>
      </c>
      <c r="G585" s="57"/>
    </row>
    <row r="586" spans="1:7" ht="12.75" x14ac:dyDescent="0.2">
      <c r="A586" s="3">
        <v>81</v>
      </c>
      <c r="B586" s="3" t="s">
        <v>104</v>
      </c>
      <c r="C586" s="3" t="s">
        <v>10</v>
      </c>
      <c r="D586" s="3" t="s">
        <v>14</v>
      </c>
      <c r="E586" s="3">
        <v>221</v>
      </c>
      <c r="G586" s="57"/>
    </row>
    <row r="587" spans="1:7" ht="12.75" x14ac:dyDescent="0.2">
      <c r="A587" s="3">
        <v>81</v>
      </c>
      <c r="B587" s="3" t="s">
        <v>104</v>
      </c>
      <c r="C587" s="3" t="s">
        <v>13</v>
      </c>
      <c r="D587" s="3" t="s">
        <v>3</v>
      </c>
      <c r="E587" s="3">
        <v>1512</v>
      </c>
      <c r="F587">
        <f>SUM(E587:E589)</f>
        <v>3055</v>
      </c>
      <c r="G587" s="57"/>
    </row>
    <row r="588" spans="1:7" ht="12.75" x14ac:dyDescent="0.2">
      <c r="A588" s="3">
        <v>81</v>
      </c>
      <c r="B588" s="3" t="s">
        <v>104</v>
      </c>
      <c r="C588" s="3" t="s">
        <v>13</v>
      </c>
      <c r="D588" s="3" t="s">
        <v>11</v>
      </c>
      <c r="E588" s="3">
        <v>1339</v>
      </c>
      <c r="G588" s="57"/>
    </row>
    <row r="589" spans="1:7" ht="12.75" x14ac:dyDescent="0.2">
      <c r="A589" s="3">
        <v>81</v>
      </c>
      <c r="B589" s="3" t="s">
        <v>104</v>
      </c>
      <c r="C589" s="3" t="s">
        <v>13</v>
      </c>
      <c r="D589" s="3" t="s">
        <v>14</v>
      </c>
      <c r="E589" s="3">
        <v>204</v>
      </c>
      <c r="G589" s="57"/>
    </row>
    <row r="590" spans="1:7" ht="12.75" x14ac:dyDescent="0.2">
      <c r="A590" s="3">
        <v>82</v>
      </c>
      <c r="B590" s="3" t="s">
        <v>105</v>
      </c>
      <c r="C590" s="3" t="s">
        <v>2</v>
      </c>
      <c r="D590" s="3" t="s">
        <v>3</v>
      </c>
      <c r="E590" s="3">
        <v>2352</v>
      </c>
      <c r="F590">
        <f>SUM(E590:E592)</f>
        <v>4564</v>
      </c>
      <c r="G590" s="56">
        <v>4586</v>
      </c>
    </row>
    <row r="591" spans="1:7" ht="12.75" x14ac:dyDescent="0.2">
      <c r="A591" s="3">
        <v>82</v>
      </c>
      <c r="B591" s="3" t="s">
        <v>105</v>
      </c>
      <c r="C591" s="3" t="s">
        <v>2</v>
      </c>
      <c r="D591" s="3" t="s">
        <v>11</v>
      </c>
      <c r="E591" s="3">
        <v>1912</v>
      </c>
      <c r="G591" s="57"/>
    </row>
    <row r="592" spans="1:7" ht="12.75" x14ac:dyDescent="0.2">
      <c r="A592" s="3">
        <v>82</v>
      </c>
      <c r="B592" s="3" t="s">
        <v>105</v>
      </c>
      <c r="C592" s="3" t="s">
        <v>2</v>
      </c>
      <c r="D592" s="3" t="s">
        <v>14</v>
      </c>
      <c r="E592" s="3">
        <v>300</v>
      </c>
      <c r="G592" s="57"/>
    </row>
    <row r="593" spans="1:7" ht="12.75" x14ac:dyDescent="0.2">
      <c r="A593" s="3">
        <v>82</v>
      </c>
      <c r="B593" s="3" t="s">
        <v>105</v>
      </c>
      <c r="C593" s="3" t="s">
        <v>10</v>
      </c>
      <c r="D593" s="3" t="s">
        <v>3</v>
      </c>
      <c r="E593" s="3">
        <v>2342</v>
      </c>
      <c r="F593">
        <f>SUM(E593:E595)</f>
        <v>4567</v>
      </c>
      <c r="G593" s="57"/>
    </row>
    <row r="594" spans="1:7" ht="12.75" x14ac:dyDescent="0.2">
      <c r="A594" s="3">
        <v>82</v>
      </c>
      <c r="B594" s="3" t="s">
        <v>105</v>
      </c>
      <c r="C594" s="3" t="s">
        <v>10</v>
      </c>
      <c r="D594" s="3" t="s">
        <v>11</v>
      </c>
      <c r="E594" s="3">
        <v>1845</v>
      </c>
      <c r="G594" s="57"/>
    </row>
    <row r="595" spans="1:7" ht="12.75" x14ac:dyDescent="0.2">
      <c r="A595" s="3">
        <v>82</v>
      </c>
      <c r="B595" s="3" t="s">
        <v>105</v>
      </c>
      <c r="C595" s="3" t="s">
        <v>10</v>
      </c>
      <c r="D595" s="3" t="s">
        <v>14</v>
      </c>
      <c r="E595" s="3">
        <v>380</v>
      </c>
      <c r="G595" s="57"/>
    </row>
    <row r="596" spans="1:7" ht="12.75" x14ac:dyDescent="0.2">
      <c r="A596" s="3">
        <v>82</v>
      </c>
      <c r="B596" s="3" t="s">
        <v>105</v>
      </c>
      <c r="C596" s="3" t="s">
        <v>13</v>
      </c>
      <c r="D596" s="3" t="s">
        <v>3</v>
      </c>
      <c r="E596" s="3">
        <v>2237</v>
      </c>
      <c r="F596">
        <f>SUM(E596:E598)</f>
        <v>4563</v>
      </c>
      <c r="G596" s="57"/>
    </row>
    <row r="597" spans="1:7" ht="12.75" x14ac:dyDescent="0.2">
      <c r="A597" s="3">
        <v>82</v>
      </c>
      <c r="B597" s="3" t="s">
        <v>105</v>
      </c>
      <c r="C597" s="3" t="s">
        <v>13</v>
      </c>
      <c r="D597" s="3" t="s">
        <v>11</v>
      </c>
      <c r="E597" s="3">
        <v>2000</v>
      </c>
      <c r="G597" s="57"/>
    </row>
    <row r="598" spans="1:7" ht="12.75" x14ac:dyDescent="0.2">
      <c r="A598" s="3">
        <v>82</v>
      </c>
      <c r="B598" s="3" t="s">
        <v>105</v>
      </c>
      <c r="C598" s="3" t="s">
        <v>13</v>
      </c>
      <c r="D598" s="3" t="s">
        <v>14</v>
      </c>
      <c r="E598" s="3">
        <v>326</v>
      </c>
      <c r="G598" s="57"/>
    </row>
    <row r="599" spans="1:7" ht="12.75" x14ac:dyDescent="0.2">
      <c r="A599" s="3">
        <v>86</v>
      </c>
      <c r="B599" s="3" t="s">
        <v>106</v>
      </c>
      <c r="C599" s="3" t="s">
        <v>2</v>
      </c>
      <c r="D599" s="3" t="s">
        <v>3</v>
      </c>
      <c r="E599" s="3">
        <v>2690</v>
      </c>
      <c r="F599">
        <f>SUM(E599:E602)</f>
        <v>4915</v>
      </c>
      <c r="G599" s="56">
        <v>4947</v>
      </c>
    </row>
    <row r="600" spans="1:7" ht="12.75" x14ac:dyDescent="0.2">
      <c r="A600" s="3">
        <v>86</v>
      </c>
      <c r="B600" s="3" t="s">
        <v>106</v>
      </c>
      <c r="C600" s="3" t="s">
        <v>2</v>
      </c>
      <c r="D600" s="3" t="s">
        <v>16</v>
      </c>
      <c r="E600" s="3">
        <v>20</v>
      </c>
      <c r="G600" s="57"/>
    </row>
    <row r="601" spans="1:7" ht="12.75" x14ac:dyDescent="0.2">
      <c r="A601" s="3">
        <v>86</v>
      </c>
      <c r="B601" s="3" t="s">
        <v>106</v>
      </c>
      <c r="C601" s="3" t="s">
        <v>2</v>
      </c>
      <c r="D601" s="3" t="s">
        <v>11</v>
      </c>
      <c r="E601" s="3">
        <v>2000</v>
      </c>
      <c r="G601" s="57"/>
    </row>
    <row r="602" spans="1:7" ht="12.75" x14ac:dyDescent="0.2">
      <c r="A602" s="3">
        <v>86</v>
      </c>
      <c r="B602" s="3" t="s">
        <v>106</v>
      </c>
      <c r="C602" s="3" t="s">
        <v>2</v>
      </c>
      <c r="D602" s="3" t="s">
        <v>14</v>
      </c>
      <c r="E602" s="3">
        <v>205</v>
      </c>
      <c r="G602" s="57"/>
    </row>
    <row r="603" spans="1:7" ht="12.75" x14ac:dyDescent="0.2">
      <c r="A603" s="3">
        <v>86</v>
      </c>
      <c r="B603" s="3" t="s">
        <v>106</v>
      </c>
      <c r="C603" s="3" t="s">
        <v>10</v>
      </c>
      <c r="D603" s="3" t="s">
        <v>3</v>
      </c>
      <c r="E603" s="3">
        <v>2589</v>
      </c>
      <c r="F603">
        <f>SUM(E603:E606)</f>
        <v>4914</v>
      </c>
      <c r="G603" s="57"/>
    </row>
    <row r="604" spans="1:7" ht="12.75" x14ac:dyDescent="0.2">
      <c r="A604" s="3">
        <v>86</v>
      </c>
      <c r="B604" s="3" t="s">
        <v>106</v>
      </c>
      <c r="C604" s="3" t="s">
        <v>10</v>
      </c>
      <c r="D604" s="3" t="s">
        <v>16</v>
      </c>
      <c r="E604" s="3">
        <v>20</v>
      </c>
      <c r="G604" s="57"/>
    </row>
    <row r="605" spans="1:7" ht="12.75" x14ac:dyDescent="0.2">
      <c r="A605" s="3">
        <v>86</v>
      </c>
      <c r="B605" s="3" t="s">
        <v>106</v>
      </c>
      <c r="C605" s="3" t="s">
        <v>10</v>
      </c>
      <c r="D605" s="3" t="s">
        <v>11</v>
      </c>
      <c r="E605" s="3">
        <v>1991</v>
      </c>
      <c r="G605" s="57"/>
    </row>
    <row r="606" spans="1:7" ht="12.75" x14ac:dyDescent="0.2">
      <c r="A606" s="3">
        <v>86</v>
      </c>
      <c r="B606" s="3" t="s">
        <v>106</v>
      </c>
      <c r="C606" s="3" t="s">
        <v>10</v>
      </c>
      <c r="D606" s="3" t="s">
        <v>14</v>
      </c>
      <c r="E606" s="3">
        <v>314</v>
      </c>
      <c r="G606" s="57"/>
    </row>
    <row r="607" spans="1:7" ht="12.75" x14ac:dyDescent="0.2">
      <c r="A607" s="3">
        <v>86</v>
      </c>
      <c r="B607" s="3" t="s">
        <v>106</v>
      </c>
      <c r="C607" s="3" t="s">
        <v>13</v>
      </c>
      <c r="D607" s="3" t="s">
        <v>3</v>
      </c>
      <c r="E607" s="3">
        <v>2519</v>
      </c>
      <c r="F607">
        <f>SUM(E607:E610)</f>
        <v>4915</v>
      </c>
      <c r="G607" s="57"/>
    </row>
    <row r="608" spans="1:7" ht="12.75" x14ac:dyDescent="0.2">
      <c r="A608" s="3">
        <v>86</v>
      </c>
      <c r="B608" s="3" t="s">
        <v>106</v>
      </c>
      <c r="C608" s="3" t="s">
        <v>13</v>
      </c>
      <c r="D608" s="3" t="s">
        <v>16</v>
      </c>
      <c r="E608" s="3">
        <v>24</v>
      </c>
      <c r="G608" s="57"/>
    </row>
    <row r="609" spans="1:7" ht="12.75" x14ac:dyDescent="0.2">
      <c r="A609" s="3">
        <v>86</v>
      </c>
      <c r="B609" s="3" t="s">
        <v>106</v>
      </c>
      <c r="C609" s="3" t="s">
        <v>13</v>
      </c>
      <c r="D609" s="3" t="s">
        <v>11</v>
      </c>
      <c r="E609" s="3">
        <v>2078</v>
      </c>
      <c r="G609" s="57"/>
    </row>
    <row r="610" spans="1:7" ht="12.75" x14ac:dyDescent="0.2">
      <c r="A610" s="3">
        <v>86</v>
      </c>
      <c r="B610" s="3" t="s">
        <v>106</v>
      </c>
      <c r="C610" s="3" t="s">
        <v>13</v>
      </c>
      <c r="D610" s="3" t="s">
        <v>14</v>
      </c>
      <c r="E610" s="3">
        <v>294</v>
      </c>
      <c r="G610" s="57"/>
    </row>
    <row r="611" spans="1:7" ht="12.75" x14ac:dyDescent="0.2">
      <c r="A611" s="3">
        <v>87</v>
      </c>
      <c r="B611" s="3" t="s">
        <v>107</v>
      </c>
      <c r="C611" s="3" t="s">
        <v>2</v>
      </c>
      <c r="D611" s="3" t="s">
        <v>3</v>
      </c>
      <c r="E611" s="3">
        <v>349</v>
      </c>
      <c r="F611">
        <f>SUM(E611:E613)</f>
        <v>804</v>
      </c>
      <c r="G611" s="56">
        <v>804</v>
      </c>
    </row>
    <row r="612" spans="1:7" ht="12.75" x14ac:dyDescent="0.2">
      <c r="A612" s="3">
        <v>87</v>
      </c>
      <c r="B612" s="3" t="s">
        <v>107</v>
      </c>
      <c r="C612" s="3" t="s">
        <v>2</v>
      </c>
      <c r="D612" s="3" t="s">
        <v>11</v>
      </c>
      <c r="E612" s="3">
        <v>433</v>
      </c>
      <c r="G612" s="57"/>
    </row>
    <row r="613" spans="1:7" ht="12.75" x14ac:dyDescent="0.2">
      <c r="A613" s="3">
        <v>87</v>
      </c>
      <c r="B613" s="3" t="s">
        <v>107</v>
      </c>
      <c r="C613" s="3" t="s">
        <v>2</v>
      </c>
      <c r="D613" s="3" t="s">
        <v>14</v>
      </c>
      <c r="E613" s="3">
        <v>22</v>
      </c>
      <c r="G613" s="57"/>
    </row>
    <row r="614" spans="1:7" ht="12.75" x14ac:dyDescent="0.2">
      <c r="A614" s="3">
        <v>87</v>
      </c>
      <c r="B614" s="3" t="s">
        <v>107</v>
      </c>
      <c r="C614" s="3" t="s">
        <v>10</v>
      </c>
      <c r="D614" s="3" t="s">
        <v>3</v>
      </c>
      <c r="E614" s="3">
        <v>382</v>
      </c>
      <c r="F614">
        <f>SUM(E614:E616)</f>
        <v>804</v>
      </c>
      <c r="G614" s="57"/>
    </row>
    <row r="615" spans="1:7" ht="12.75" x14ac:dyDescent="0.2">
      <c r="A615" s="3">
        <v>87</v>
      </c>
      <c r="B615" s="3" t="s">
        <v>107</v>
      </c>
      <c r="C615" s="3" t="s">
        <v>10</v>
      </c>
      <c r="D615" s="3" t="s">
        <v>11</v>
      </c>
      <c r="E615" s="3">
        <v>383</v>
      </c>
      <c r="G615" s="57"/>
    </row>
    <row r="616" spans="1:7" ht="12.75" x14ac:dyDescent="0.2">
      <c r="A616" s="3">
        <v>87</v>
      </c>
      <c r="B616" s="3" t="s">
        <v>107</v>
      </c>
      <c r="C616" s="3" t="s">
        <v>10</v>
      </c>
      <c r="D616" s="3" t="s">
        <v>14</v>
      </c>
      <c r="E616" s="3">
        <v>39</v>
      </c>
      <c r="G616" s="57"/>
    </row>
    <row r="617" spans="1:7" ht="12.75" x14ac:dyDescent="0.2">
      <c r="A617" s="3">
        <v>87</v>
      </c>
      <c r="B617" s="3" t="s">
        <v>107</v>
      </c>
      <c r="C617" s="3" t="s">
        <v>13</v>
      </c>
      <c r="D617" s="3" t="s">
        <v>3</v>
      </c>
      <c r="E617" s="3">
        <v>326</v>
      </c>
      <c r="F617">
        <f>SUM(E617:E619)</f>
        <v>802</v>
      </c>
      <c r="G617" s="57"/>
    </row>
    <row r="618" spans="1:7" ht="12.75" x14ac:dyDescent="0.2">
      <c r="A618" s="3">
        <v>87</v>
      </c>
      <c r="B618" s="3" t="s">
        <v>107</v>
      </c>
      <c r="C618" s="3" t="s">
        <v>13</v>
      </c>
      <c r="D618" s="3" t="s">
        <v>11</v>
      </c>
      <c r="E618" s="3">
        <v>430</v>
      </c>
      <c r="G618" s="57"/>
    </row>
    <row r="619" spans="1:7" ht="12.75" x14ac:dyDescent="0.2">
      <c r="A619" s="3">
        <v>87</v>
      </c>
      <c r="B619" s="3" t="s">
        <v>107</v>
      </c>
      <c r="C619" s="3" t="s">
        <v>13</v>
      </c>
      <c r="D619" s="3" t="s">
        <v>14</v>
      </c>
      <c r="E619" s="3">
        <v>46</v>
      </c>
      <c r="G619" s="57"/>
    </row>
    <row r="620" spans="1:7" ht="12.75" x14ac:dyDescent="0.2">
      <c r="A620" s="3">
        <v>88</v>
      </c>
      <c r="B620" s="3" t="s">
        <v>108</v>
      </c>
      <c r="C620" s="3" t="s">
        <v>2</v>
      </c>
      <c r="D620" s="3" t="s">
        <v>3</v>
      </c>
      <c r="E620" s="3">
        <v>178</v>
      </c>
      <c r="F620">
        <f>SUM(E620:E623)</f>
        <v>518</v>
      </c>
      <c r="G620" s="56">
        <v>518</v>
      </c>
    </row>
    <row r="621" spans="1:7" ht="12.75" x14ac:dyDescent="0.2">
      <c r="A621" s="3">
        <v>88</v>
      </c>
      <c r="B621" s="3" t="s">
        <v>108</v>
      </c>
      <c r="C621" s="3" t="s">
        <v>2</v>
      </c>
      <c r="D621" s="3" t="s">
        <v>34</v>
      </c>
      <c r="E621" s="3">
        <v>194</v>
      </c>
      <c r="G621" s="57"/>
    </row>
    <row r="622" spans="1:7" ht="12.75" x14ac:dyDescent="0.2">
      <c r="A622" s="3">
        <v>88</v>
      </c>
      <c r="B622" s="3" t="s">
        <v>108</v>
      </c>
      <c r="C622" s="3" t="s">
        <v>2</v>
      </c>
      <c r="D622" s="3" t="s">
        <v>11</v>
      </c>
      <c r="E622" s="3">
        <v>131</v>
      </c>
      <c r="G622" s="57"/>
    </row>
    <row r="623" spans="1:7" ht="12.75" x14ac:dyDescent="0.2">
      <c r="A623" s="3">
        <v>88</v>
      </c>
      <c r="B623" s="3" t="s">
        <v>108</v>
      </c>
      <c r="C623" s="3" t="s">
        <v>2</v>
      </c>
      <c r="D623" s="3" t="s">
        <v>14</v>
      </c>
      <c r="E623" s="3">
        <v>15</v>
      </c>
      <c r="G623" s="57"/>
    </row>
    <row r="624" spans="1:7" ht="12.75" x14ac:dyDescent="0.2">
      <c r="A624" s="3">
        <v>88</v>
      </c>
      <c r="B624" s="3" t="s">
        <v>108</v>
      </c>
      <c r="C624" s="3" t="s">
        <v>10</v>
      </c>
      <c r="D624" s="3" t="s">
        <v>3</v>
      </c>
      <c r="E624" s="3">
        <v>156</v>
      </c>
      <c r="F624">
        <f>SUM(E624:E627)</f>
        <v>518</v>
      </c>
      <c r="G624" s="57"/>
    </row>
    <row r="625" spans="1:7" ht="12.75" x14ac:dyDescent="0.2">
      <c r="A625" s="3">
        <v>88</v>
      </c>
      <c r="B625" s="3" t="s">
        <v>108</v>
      </c>
      <c r="C625" s="3" t="s">
        <v>10</v>
      </c>
      <c r="D625" s="3" t="s">
        <v>34</v>
      </c>
      <c r="E625" s="3">
        <v>174</v>
      </c>
      <c r="G625" s="57"/>
    </row>
    <row r="626" spans="1:7" ht="12.75" x14ac:dyDescent="0.2">
      <c r="A626" s="3">
        <v>88</v>
      </c>
      <c r="B626" s="3" t="s">
        <v>108</v>
      </c>
      <c r="C626" s="3" t="s">
        <v>10</v>
      </c>
      <c r="D626" s="3" t="s">
        <v>11</v>
      </c>
      <c r="E626" s="3">
        <v>162</v>
      </c>
      <c r="G626" s="57"/>
    </row>
    <row r="627" spans="1:7" ht="12.75" x14ac:dyDescent="0.2">
      <c r="A627" s="3">
        <v>88</v>
      </c>
      <c r="B627" s="3" t="s">
        <v>108</v>
      </c>
      <c r="C627" s="3" t="s">
        <v>10</v>
      </c>
      <c r="D627" s="3" t="s">
        <v>14</v>
      </c>
      <c r="E627" s="3">
        <v>26</v>
      </c>
      <c r="G627" s="57"/>
    </row>
    <row r="628" spans="1:7" ht="12.75" x14ac:dyDescent="0.2">
      <c r="A628" s="3">
        <v>88</v>
      </c>
      <c r="B628" s="3" t="s">
        <v>108</v>
      </c>
      <c r="C628" s="3" t="s">
        <v>13</v>
      </c>
      <c r="D628" s="3" t="s">
        <v>3</v>
      </c>
      <c r="E628" s="3">
        <v>131</v>
      </c>
      <c r="F628">
        <f>SUM(E628:E631)</f>
        <v>518</v>
      </c>
      <c r="G628" s="57"/>
    </row>
    <row r="629" spans="1:7" ht="12.75" x14ac:dyDescent="0.2">
      <c r="A629" s="3">
        <v>88</v>
      </c>
      <c r="B629" s="3" t="s">
        <v>108</v>
      </c>
      <c r="C629" s="3" t="s">
        <v>13</v>
      </c>
      <c r="D629" s="3" t="s">
        <v>34</v>
      </c>
      <c r="E629" s="3">
        <v>145</v>
      </c>
      <c r="G629" s="57"/>
    </row>
    <row r="630" spans="1:7" ht="12.75" x14ac:dyDescent="0.2">
      <c r="A630" s="3">
        <v>88</v>
      </c>
      <c r="B630" s="3" t="s">
        <v>108</v>
      </c>
      <c r="C630" s="3" t="s">
        <v>13</v>
      </c>
      <c r="D630" s="3" t="s">
        <v>11</v>
      </c>
      <c r="E630" s="3">
        <v>216</v>
      </c>
      <c r="G630" s="57"/>
    </row>
    <row r="631" spans="1:7" ht="12.75" x14ac:dyDescent="0.2">
      <c r="A631" s="3">
        <v>88</v>
      </c>
      <c r="B631" s="3" t="s">
        <v>108</v>
      </c>
      <c r="C631" s="3" t="s">
        <v>13</v>
      </c>
      <c r="D631" s="3" t="s">
        <v>14</v>
      </c>
      <c r="E631" s="3">
        <v>26</v>
      </c>
      <c r="G631" s="57"/>
    </row>
    <row r="632" spans="1:7" ht="12.75" x14ac:dyDescent="0.2">
      <c r="A632" s="3">
        <v>89</v>
      </c>
      <c r="B632" s="3" t="s">
        <v>109</v>
      </c>
      <c r="C632" s="3" t="s">
        <v>2</v>
      </c>
      <c r="D632" s="3" t="s">
        <v>3</v>
      </c>
      <c r="E632" s="3">
        <v>1021</v>
      </c>
      <c r="F632">
        <f>SUM(E632:E634)</f>
        <v>2273</v>
      </c>
      <c r="G632" s="56">
        <v>2274</v>
      </c>
    </row>
    <row r="633" spans="1:7" ht="12.75" x14ac:dyDescent="0.2">
      <c r="A633" s="3">
        <v>89</v>
      </c>
      <c r="B633" s="3" t="s">
        <v>109</v>
      </c>
      <c r="C633" s="3" t="s">
        <v>2</v>
      </c>
      <c r="D633" s="3" t="s">
        <v>11</v>
      </c>
      <c r="E633" s="3">
        <v>1195</v>
      </c>
      <c r="G633" s="57"/>
    </row>
    <row r="634" spans="1:7" ht="12.75" x14ac:dyDescent="0.2">
      <c r="A634" s="3">
        <v>89</v>
      </c>
      <c r="B634" s="3" t="s">
        <v>109</v>
      </c>
      <c r="C634" s="3" t="s">
        <v>2</v>
      </c>
      <c r="D634" s="3" t="s">
        <v>14</v>
      </c>
      <c r="E634" s="3">
        <v>57</v>
      </c>
      <c r="G634" s="57"/>
    </row>
    <row r="635" spans="1:7" ht="12.75" x14ac:dyDescent="0.2">
      <c r="A635" s="3">
        <v>89</v>
      </c>
      <c r="B635" s="3" t="s">
        <v>109</v>
      </c>
      <c r="C635" s="3" t="s">
        <v>10</v>
      </c>
      <c r="D635" s="3" t="s">
        <v>3</v>
      </c>
      <c r="E635" s="3">
        <v>1011</v>
      </c>
      <c r="F635">
        <f>SUM(E635:E637)</f>
        <v>2273</v>
      </c>
      <c r="G635" s="57"/>
    </row>
    <row r="636" spans="1:7" ht="12.75" x14ac:dyDescent="0.2">
      <c r="A636" s="3">
        <v>89</v>
      </c>
      <c r="B636" s="3" t="s">
        <v>109</v>
      </c>
      <c r="C636" s="3" t="s">
        <v>10</v>
      </c>
      <c r="D636" s="3" t="s">
        <v>11</v>
      </c>
      <c r="E636" s="3">
        <v>1155</v>
      </c>
      <c r="G636" s="57"/>
    </row>
    <row r="637" spans="1:7" ht="12.75" x14ac:dyDescent="0.2">
      <c r="A637" s="3">
        <v>89</v>
      </c>
      <c r="B637" s="3" t="s">
        <v>109</v>
      </c>
      <c r="C637" s="3" t="s">
        <v>10</v>
      </c>
      <c r="D637" s="3" t="s">
        <v>14</v>
      </c>
      <c r="E637" s="3">
        <v>107</v>
      </c>
      <c r="G637" s="57"/>
    </row>
    <row r="638" spans="1:7" ht="12.75" x14ac:dyDescent="0.2">
      <c r="A638" s="3">
        <v>89</v>
      </c>
      <c r="B638" s="3" t="s">
        <v>109</v>
      </c>
      <c r="C638" s="3" t="s">
        <v>13</v>
      </c>
      <c r="D638" s="3" t="s">
        <v>3</v>
      </c>
      <c r="E638" s="3">
        <v>982</v>
      </c>
      <c r="F638">
        <f>SUM(E638:E640)</f>
        <v>2273</v>
      </c>
      <c r="G638" s="57"/>
    </row>
    <row r="639" spans="1:7" ht="12.75" x14ac:dyDescent="0.2">
      <c r="A639" s="3">
        <v>89</v>
      </c>
      <c r="B639" s="3" t="s">
        <v>109</v>
      </c>
      <c r="C639" s="3" t="s">
        <v>13</v>
      </c>
      <c r="D639" s="3" t="s">
        <v>11</v>
      </c>
      <c r="E639" s="3">
        <v>1202</v>
      </c>
      <c r="G639" s="57"/>
    </row>
    <row r="640" spans="1:7" ht="12.75" x14ac:dyDescent="0.2">
      <c r="A640" s="3">
        <v>89</v>
      </c>
      <c r="B640" s="3" t="s">
        <v>109</v>
      </c>
      <c r="C640" s="3" t="s">
        <v>13</v>
      </c>
      <c r="D640" s="3" t="s">
        <v>14</v>
      </c>
      <c r="E640" s="3">
        <v>89</v>
      </c>
      <c r="G640" s="57"/>
    </row>
    <row r="641" spans="1:7" ht="12.75" x14ac:dyDescent="0.2">
      <c r="A641" s="3">
        <v>90</v>
      </c>
      <c r="B641" s="3" t="s">
        <v>110</v>
      </c>
      <c r="C641" s="3" t="s">
        <v>2</v>
      </c>
      <c r="D641" s="3" t="s">
        <v>3</v>
      </c>
      <c r="E641" s="3">
        <v>250</v>
      </c>
      <c r="F641">
        <f>SUM(E641:E644)</f>
        <v>526</v>
      </c>
      <c r="G641" s="56">
        <v>531</v>
      </c>
    </row>
    <row r="642" spans="1:7" ht="12.75" x14ac:dyDescent="0.2">
      <c r="A642" s="3">
        <v>90</v>
      </c>
      <c r="B642" s="3" t="s">
        <v>110</v>
      </c>
      <c r="C642" s="3" t="s">
        <v>2</v>
      </c>
      <c r="D642" s="3" t="s">
        <v>18</v>
      </c>
      <c r="E642" s="3">
        <v>89</v>
      </c>
      <c r="G642" s="57"/>
    </row>
    <row r="643" spans="1:7" ht="12.75" x14ac:dyDescent="0.2">
      <c r="A643" s="3">
        <v>90</v>
      </c>
      <c r="B643" s="3" t="s">
        <v>110</v>
      </c>
      <c r="C643" s="3" t="s">
        <v>2</v>
      </c>
      <c r="D643" s="3" t="s">
        <v>11</v>
      </c>
      <c r="E643" s="3">
        <v>178</v>
      </c>
      <c r="G643" s="57"/>
    </row>
    <row r="644" spans="1:7" ht="12.75" x14ac:dyDescent="0.2">
      <c r="A644" s="3">
        <v>90</v>
      </c>
      <c r="B644" s="3" t="s">
        <v>110</v>
      </c>
      <c r="C644" s="3" t="s">
        <v>2</v>
      </c>
      <c r="D644" s="3" t="s">
        <v>14</v>
      </c>
      <c r="E644" s="3">
        <v>9</v>
      </c>
      <c r="G644" s="57"/>
    </row>
    <row r="645" spans="1:7" ht="12.75" x14ac:dyDescent="0.2">
      <c r="A645" s="3">
        <v>90</v>
      </c>
      <c r="B645" s="3" t="s">
        <v>110</v>
      </c>
      <c r="C645" s="3" t="s">
        <v>10</v>
      </c>
      <c r="D645" s="3" t="s">
        <v>3</v>
      </c>
      <c r="E645" s="3">
        <v>249</v>
      </c>
      <c r="F645">
        <f>SUM(E645:E648)</f>
        <v>521</v>
      </c>
      <c r="G645" s="57"/>
    </row>
    <row r="646" spans="1:7" ht="12.75" x14ac:dyDescent="0.2">
      <c r="A646" s="3">
        <v>90</v>
      </c>
      <c r="B646" s="3" t="s">
        <v>110</v>
      </c>
      <c r="C646" s="3" t="s">
        <v>10</v>
      </c>
      <c r="D646" s="3" t="s">
        <v>18</v>
      </c>
      <c r="E646" s="3">
        <v>68</v>
      </c>
      <c r="G646" s="57"/>
    </row>
    <row r="647" spans="1:7" ht="12.75" x14ac:dyDescent="0.2">
      <c r="A647" s="3">
        <v>90</v>
      </c>
      <c r="B647" s="3" t="s">
        <v>110</v>
      </c>
      <c r="C647" s="3" t="s">
        <v>10</v>
      </c>
      <c r="D647" s="3" t="s">
        <v>11</v>
      </c>
      <c r="E647" s="3">
        <v>187</v>
      </c>
      <c r="G647" s="57"/>
    </row>
    <row r="648" spans="1:7" ht="12.75" x14ac:dyDescent="0.2">
      <c r="A648" s="3">
        <v>90</v>
      </c>
      <c r="B648" s="3" t="s">
        <v>110</v>
      </c>
      <c r="C648" s="3" t="s">
        <v>10</v>
      </c>
      <c r="D648" s="3" t="s">
        <v>14</v>
      </c>
      <c r="E648" s="3">
        <v>17</v>
      </c>
      <c r="G648" s="57"/>
    </row>
    <row r="649" spans="1:7" ht="12.75" x14ac:dyDescent="0.2">
      <c r="A649" s="3">
        <v>90</v>
      </c>
      <c r="B649" s="3" t="s">
        <v>110</v>
      </c>
      <c r="C649" s="3" t="s">
        <v>13</v>
      </c>
      <c r="D649" s="3" t="s">
        <v>3</v>
      </c>
      <c r="E649" s="3">
        <v>248</v>
      </c>
      <c r="F649">
        <f>SUM(E649:E652)</f>
        <v>516</v>
      </c>
      <c r="G649" s="57"/>
    </row>
    <row r="650" spans="1:7" ht="12.75" x14ac:dyDescent="0.2">
      <c r="A650" s="3">
        <v>90</v>
      </c>
      <c r="B650" s="3" t="s">
        <v>110</v>
      </c>
      <c r="C650" s="3" t="s">
        <v>13</v>
      </c>
      <c r="D650" s="3" t="s">
        <v>18</v>
      </c>
      <c r="E650" s="3">
        <v>64</v>
      </c>
      <c r="G650" s="57"/>
    </row>
    <row r="651" spans="1:7" ht="12.75" x14ac:dyDescent="0.2">
      <c r="A651" s="3">
        <v>90</v>
      </c>
      <c r="B651" s="3" t="s">
        <v>110</v>
      </c>
      <c r="C651" s="3" t="s">
        <v>13</v>
      </c>
      <c r="D651" s="3" t="s">
        <v>11</v>
      </c>
      <c r="E651" s="3">
        <v>189</v>
      </c>
      <c r="G651" s="57"/>
    </row>
    <row r="652" spans="1:7" ht="12.75" x14ac:dyDescent="0.2">
      <c r="A652" s="3">
        <v>90</v>
      </c>
      <c r="B652" s="3" t="s">
        <v>110</v>
      </c>
      <c r="C652" s="3" t="s">
        <v>13</v>
      </c>
      <c r="D652" s="3" t="s">
        <v>14</v>
      </c>
      <c r="E652" s="3">
        <v>15</v>
      </c>
      <c r="G652" s="57"/>
    </row>
    <row r="653" spans="1:7" ht="12.75" x14ac:dyDescent="0.2">
      <c r="A653" s="3">
        <v>91</v>
      </c>
      <c r="B653" s="3" t="s">
        <v>111</v>
      </c>
      <c r="C653" s="3" t="s">
        <v>15</v>
      </c>
      <c r="D653" s="3" t="s">
        <v>3</v>
      </c>
      <c r="E653" s="3">
        <v>136</v>
      </c>
      <c r="F653">
        <f>SUM(E653:E655)</f>
        <v>312</v>
      </c>
      <c r="G653" s="56">
        <v>313</v>
      </c>
    </row>
    <row r="654" spans="1:7" ht="12.75" x14ac:dyDescent="0.2">
      <c r="A654" s="3">
        <v>91</v>
      </c>
      <c r="B654" s="3" t="s">
        <v>111</v>
      </c>
      <c r="C654" s="3" t="s">
        <v>15</v>
      </c>
      <c r="D654" s="3" t="s">
        <v>11</v>
      </c>
      <c r="E654" s="3">
        <v>173</v>
      </c>
      <c r="G654" s="57"/>
    </row>
    <row r="655" spans="1:7" ht="12.75" x14ac:dyDescent="0.2">
      <c r="A655" s="3">
        <v>91</v>
      </c>
      <c r="B655" s="3" t="s">
        <v>111</v>
      </c>
      <c r="C655" s="3" t="s">
        <v>15</v>
      </c>
      <c r="D655" s="3" t="s">
        <v>14</v>
      </c>
      <c r="E655" s="3">
        <v>3</v>
      </c>
      <c r="G655" s="57"/>
    </row>
    <row r="656" spans="1:7" ht="12.75" x14ac:dyDescent="0.2">
      <c r="A656" s="3">
        <v>91</v>
      </c>
      <c r="B656" s="3" t="s">
        <v>111</v>
      </c>
      <c r="C656" s="3" t="s">
        <v>17</v>
      </c>
      <c r="D656" s="3" t="s">
        <v>3</v>
      </c>
      <c r="E656" s="3">
        <v>116</v>
      </c>
      <c r="F656">
        <f>SUM(E656:E658)</f>
        <v>312</v>
      </c>
      <c r="G656" s="57"/>
    </row>
    <row r="657" spans="1:7" ht="12.75" x14ac:dyDescent="0.2">
      <c r="A657" s="3">
        <v>91</v>
      </c>
      <c r="B657" s="3" t="s">
        <v>111</v>
      </c>
      <c r="C657" s="3" t="s">
        <v>17</v>
      </c>
      <c r="D657" s="3" t="s">
        <v>11</v>
      </c>
      <c r="E657" s="3">
        <v>175</v>
      </c>
      <c r="G657" s="57"/>
    </row>
    <row r="658" spans="1:7" ht="12.75" x14ac:dyDescent="0.2">
      <c r="A658" s="3">
        <v>91</v>
      </c>
      <c r="B658" s="3" t="s">
        <v>111</v>
      </c>
      <c r="C658" s="3" t="s">
        <v>17</v>
      </c>
      <c r="D658" s="3" t="s">
        <v>14</v>
      </c>
      <c r="E658" s="3">
        <v>21</v>
      </c>
      <c r="G658" s="57"/>
    </row>
    <row r="659" spans="1:7" ht="12.75" x14ac:dyDescent="0.2">
      <c r="A659" s="3">
        <v>91</v>
      </c>
      <c r="B659" s="3" t="s">
        <v>111</v>
      </c>
      <c r="C659" s="3" t="s">
        <v>13</v>
      </c>
      <c r="D659" s="3" t="s">
        <v>3</v>
      </c>
      <c r="E659" s="3">
        <v>127</v>
      </c>
      <c r="F659">
        <f>SUM(E659:E661)</f>
        <v>312</v>
      </c>
      <c r="G659" s="57"/>
    </row>
    <row r="660" spans="1:7" ht="12.75" x14ac:dyDescent="0.2">
      <c r="A660" s="3">
        <v>91</v>
      </c>
      <c r="B660" s="3" t="s">
        <v>111</v>
      </c>
      <c r="C660" s="3" t="s">
        <v>13</v>
      </c>
      <c r="D660" s="3" t="s">
        <v>11</v>
      </c>
      <c r="E660" s="3">
        <v>178</v>
      </c>
      <c r="G660" s="57"/>
    </row>
    <row r="661" spans="1:7" ht="12.75" x14ac:dyDescent="0.2">
      <c r="A661" s="3">
        <v>91</v>
      </c>
      <c r="B661" s="3" t="s">
        <v>111</v>
      </c>
      <c r="C661" s="3" t="s">
        <v>13</v>
      </c>
      <c r="D661" s="3" t="s">
        <v>14</v>
      </c>
      <c r="E661" s="3">
        <v>7</v>
      </c>
      <c r="G661" s="57"/>
    </row>
    <row r="662" spans="1:7" ht="12.75" x14ac:dyDescent="0.2">
      <c r="A662" s="3">
        <v>92</v>
      </c>
      <c r="B662" s="3" t="s">
        <v>112</v>
      </c>
      <c r="C662" s="3" t="s">
        <v>15</v>
      </c>
      <c r="D662" s="3" t="s">
        <v>3</v>
      </c>
      <c r="E662" s="3">
        <v>59</v>
      </c>
      <c r="F662">
        <f>SUM(E662:E664)</f>
        <v>205</v>
      </c>
      <c r="G662" s="56">
        <v>205</v>
      </c>
    </row>
    <row r="663" spans="1:7" ht="12.75" x14ac:dyDescent="0.2">
      <c r="A663" s="3">
        <v>92</v>
      </c>
      <c r="B663" s="3" t="s">
        <v>112</v>
      </c>
      <c r="C663" s="3" t="s">
        <v>15</v>
      </c>
      <c r="D663" s="3" t="s">
        <v>11</v>
      </c>
      <c r="E663" s="3">
        <v>142</v>
      </c>
      <c r="G663" s="57"/>
    </row>
    <row r="664" spans="1:7" ht="12.75" x14ac:dyDescent="0.2">
      <c r="A664" s="3">
        <v>92</v>
      </c>
      <c r="B664" s="3" t="s">
        <v>112</v>
      </c>
      <c r="C664" s="3" t="s">
        <v>15</v>
      </c>
      <c r="D664" s="3" t="s">
        <v>14</v>
      </c>
      <c r="E664" s="3">
        <v>4</v>
      </c>
      <c r="G664" s="57"/>
    </row>
    <row r="665" spans="1:7" ht="12.75" x14ac:dyDescent="0.2">
      <c r="A665" s="3">
        <v>92</v>
      </c>
      <c r="B665" s="3" t="s">
        <v>112</v>
      </c>
      <c r="C665" s="3" t="s">
        <v>17</v>
      </c>
      <c r="D665" s="3" t="s">
        <v>3</v>
      </c>
      <c r="E665" s="3">
        <v>64</v>
      </c>
      <c r="F665">
        <f>SUM(E665:E667)</f>
        <v>205</v>
      </c>
      <c r="G665" s="57"/>
    </row>
    <row r="666" spans="1:7" ht="12.75" x14ac:dyDescent="0.2">
      <c r="A666" s="3">
        <v>92</v>
      </c>
      <c r="B666" s="3" t="s">
        <v>112</v>
      </c>
      <c r="C666" s="3" t="s">
        <v>17</v>
      </c>
      <c r="D666" s="3" t="s">
        <v>11</v>
      </c>
      <c r="E666" s="3">
        <v>134</v>
      </c>
      <c r="G666" s="57"/>
    </row>
    <row r="667" spans="1:7" ht="12.75" x14ac:dyDescent="0.2">
      <c r="A667" s="3">
        <v>92</v>
      </c>
      <c r="B667" s="3" t="s">
        <v>112</v>
      </c>
      <c r="C667" s="3" t="s">
        <v>17</v>
      </c>
      <c r="D667" s="3" t="s">
        <v>14</v>
      </c>
      <c r="E667" s="3">
        <v>7</v>
      </c>
      <c r="G667" s="57"/>
    </row>
    <row r="668" spans="1:7" ht="12.75" x14ac:dyDescent="0.2">
      <c r="A668" s="3">
        <v>92</v>
      </c>
      <c r="B668" s="3" t="s">
        <v>112</v>
      </c>
      <c r="C668" s="3" t="s">
        <v>13</v>
      </c>
      <c r="D668" s="3" t="s">
        <v>3</v>
      </c>
      <c r="E668" s="3">
        <v>97</v>
      </c>
      <c r="F668">
        <f>SUM(E668:E670)</f>
        <v>205</v>
      </c>
      <c r="G668" s="57"/>
    </row>
    <row r="669" spans="1:7" ht="12.75" x14ac:dyDescent="0.2">
      <c r="A669" s="3">
        <v>92</v>
      </c>
      <c r="B669" s="3" t="s">
        <v>112</v>
      </c>
      <c r="C669" s="3" t="s">
        <v>13</v>
      </c>
      <c r="D669" s="3" t="s">
        <v>11</v>
      </c>
      <c r="E669" s="3">
        <v>103</v>
      </c>
      <c r="G669" s="57"/>
    </row>
    <row r="670" spans="1:7" ht="12.75" x14ac:dyDescent="0.2">
      <c r="A670" s="3">
        <v>92</v>
      </c>
      <c r="B670" s="3" t="s">
        <v>112</v>
      </c>
      <c r="C670" s="3" t="s">
        <v>13</v>
      </c>
      <c r="D670" s="3" t="s">
        <v>14</v>
      </c>
      <c r="E670" s="3">
        <v>5</v>
      </c>
      <c r="G670" s="57"/>
    </row>
    <row r="671" spans="1:7" ht="12.75" x14ac:dyDescent="0.2">
      <c r="A671" s="3">
        <v>93</v>
      </c>
      <c r="B671" s="3" t="s">
        <v>113</v>
      </c>
      <c r="C671" s="3" t="s">
        <v>2</v>
      </c>
      <c r="D671" s="3" t="s">
        <v>3</v>
      </c>
      <c r="E671" s="3">
        <v>3811</v>
      </c>
      <c r="F671">
        <f>SUM(E671:E674)</f>
        <v>7331</v>
      </c>
      <c r="G671" s="56">
        <v>7358</v>
      </c>
    </row>
    <row r="672" spans="1:7" ht="12.75" x14ac:dyDescent="0.2">
      <c r="A672" s="3">
        <v>93</v>
      </c>
      <c r="B672" s="3" t="s">
        <v>113</v>
      </c>
      <c r="C672" s="3" t="s">
        <v>2</v>
      </c>
      <c r="D672" s="3" t="s">
        <v>18</v>
      </c>
      <c r="E672" s="3">
        <v>201</v>
      </c>
      <c r="G672" s="57"/>
    </row>
    <row r="673" spans="1:7" ht="12.75" x14ac:dyDescent="0.2">
      <c r="A673" s="3">
        <v>93</v>
      </c>
      <c r="B673" s="3" t="s">
        <v>113</v>
      </c>
      <c r="C673" s="3" t="s">
        <v>2</v>
      </c>
      <c r="D673" s="3" t="s">
        <v>11</v>
      </c>
      <c r="E673" s="3">
        <v>2921</v>
      </c>
      <c r="G673" s="57"/>
    </row>
    <row r="674" spans="1:7" ht="12.75" x14ac:dyDescent="0.2">
      <c r="A674" s="3">
        <v>93</v>
      </c>
      <c r="B674" s="3" t="s">
        <v>113</v>
      </c>
      <c r="C674" s="3" t="s">
        <v>2</v>
      </c>
      <c r="D674" s="3" t="s">
        <v>14</v>
      </c>
      <c r="E674" s="3">
        <v>398</v>
      </c>
      <c r="G674" s="57"/>
    </row>
    <row r="675" spans="1:7" ht="12.75" x14ac:dyDescent="0.2">
      <c r="A675" s="3">
        <v>93</v>
      </c>
      <c r="B675" s="3" t="s">
        <v>113</v>
      </c>
      <c r="C675" s="3" t="s">
        <v>10</v>
      </c>
      <c r="D675" s="3" t="s">
        <v>3</v>
      </c>
      <c r="E675" s="3">
        <v>3716</v>
      </c>
      <c r="F675">
        <f>SUM(E675:E679)</f>
        <v>7335</v>
      </c>
      <c r="G675" s="57"/>
    </row>
    <row r="676" spans="1:7" ht="12.75" x14ac:dyDescent="0.2">
      <c r="A676" s="3">
        <v>93</v>
      </c>
      <c r="B676" s="3" t="s">
        <v>113</v>
      </c>
      <c r="C676" s="3" t="s">
        <v>10</v>
      </c>
      <c r="D676" s="3" t="s">
        <v>18</v>
      </c>
      <c r="E676" s="3">
        <v>276</v>
      </c>
      <c r="G676" s="57"/>
    </row>
    <row r="677" spans="1:7" ht="12.75" x14ac:dyDescent="0.2">
      <c r="A677" s="3">
        <v>93</v>
      </c>
      <c r="B677" s="3" t="s">
        <v>113</v>
      </c>
      <c r="C677" s="3" t="s">
        <v>10</v>
      </c>
      <c r="D677" s="3" t="s">
        <v>19</v>
      </c>
      <c r="E677" s="3">
        <v>81</v>
      </c>
      <c r="G677" s="57"/>
    </row>
    <row r="678" spans="1:7" ht="12.75" x14ac:dyDescent="0.2">
      <c r="A678" s="3">
        <v>93</v>
      </c>
      <c r="B678" s="3" t="s">
        <v>113</v>
      </c>
      <c r="C678" s="3" t="s">
        <v>10</v>
      </c>
      <c r="D678" s="3" t="s">
        <v>11</v>
      </c>
      <c r="E678" s="3">
        <v>2804</v>
      </c>
      <c r="G678" s="57"/>
    </row>
    <row r="679" spans="1:7" ht="12.75" x14ac:dyDescent="0.2">
      <c r="A679" s="3">
        <v>93</v>
      </c>
      <c r="B679" s="3" t="s">
        <v>113</v>
      </c>
      <c r="C679" s="3" t="s">
        <v>10</v>
      </c>
      <c r="D679" s="3" t="s">
        <v>14</v>
      </c>
      <c r="E679" s="3">
        <v>458</v>
      </c>
      <c r="G679" s="57"/>
    </row>
    <row r="680" spans="1:7" ht="12.75" x14ac:dyDescent="0.2">
      <c r="A680" s="3">
        <v>93</v>
      </c>
      <c r="B680" s="3" t="s">
        <v>113</v>
      </c>
      <c r="C680" s="3" t="s">
        <v>13</v>
      </c>
      <c r="D680" s="3" t="s">
        <v>3</v>
      </c>
      <c r="E680" s="3">
        <v>3539</v>
      </c>
      <c r="F680">
        <f>SUM(E680:E684)</f>
        <v>7337</v>
      </c>
      <c r="G680" s="57"/>
    </row>
    <row r="681" spans="1:7" ht="12.75" x14ac:dyDescent="0.2">
      <c r="A681" s="3">
        <v>93</v>
      </c>
      <c r="B681" s="3" t="s">
        <v>113</v>
      </c>
      <c r="C681" s="3" t="s">
        <v>13</v>
      </c>
      <c r="D681" s="3" t="s">
        <v>18</v>
      </c>
      <c r="E681" s="3">
        <v>226</v>
      </c>
      <c r="G681" s="57"/>
    </row>
    <row r="682" spans="1:7" ht="12.75" x14ac:dyDescent="0.2">
      <c r="A682" s="3">
        <v>93</v>
      </c>
      <c r="B682" s="3" t="s">
        <v>113</v>
      </c>
      <c r="C682" s="3" t="s">
        <v>13</v>
      </c>
      <c r="D682" s="3" t="s">
        <v>19</v>
      </c>
      <c r="E682" s="3">
        <v>75</v>
      </c>
      <c r="G682" s="57"/>
    </row>
    <row r="683" spans="1:7" ht="12.75" x14ac:dyDescent="0.2">
      <c r="A683" s="3">
        <v>93</v>
      </c>
      <c r="B683" s="3" t="s">
        <v>113</v>
      </c>
      <c r="C683" s="3" t="s">
        <v>13</v>
      </c>
      <c r="D683" s="3" t="s">
        <v>11</v>
      </c>
      <c r="E683" s="3">
        <v>3008</v>
      </c>
      <c r="G683" s="57"/>
    </row>
    <row r="684" spans="1:7" ht="12.75" x14ac:dyDescent="0.2">
      <c r="A684" s="3">
        <v>93</v>
      </c>
      <c r="B684" s="3" t="s">
        <v>113</v>
      </c>
      <c r="C684" s="3" t="s">
        <v>13</v>
      </c>
      <c r="D684" s="3" t="s">
        <v>14</v>
      </c>
      <c r="E684" s="3">
        <v>489</v>
      </c>
      <c r="G684" s="57"/>
    </row>
    <row r="685" spans="1:7" ht="12.75" x14ac:dyDescent="0.2">
      <c r="A685" s="3">
        <v>94</v>
      </c>
      <c r="B685" s="3" t="s">
        <v>114</v>
      </c>
      <c r="C685" s="3" t="s">
        <v>2</v>
      </c>
      <c r="D685" s="3" t="s">
        <v>3</v>
      </c>
      <c r="E685" s="3">
        <v>145</v>
      </c>
      <c r="F685">
        <f>SUM(E685:E687)</f>
        <v>353</v>
      </c>
      <c r="G685" s="56">
        <v>353</v>
      </c>
    </row>
    <row r="686" spans="1:7" ht="12.75" x14ac:dyDescent="0.2">
      <c r="A686" s="3">
        <v>94</v>
      </c>
      <c r="B686" s="3" t="s">
        <v>114</v>
      </c>
      <c r="C686" s="3" t="s">
        <v>2</v>
      </c>
      <c r="D686" s="3" t="s">
        <v>11</v>
      </c>
      <c r="E686" s="3">
        <v>190</v>
      </c>
      <c r="G686" s="57"/>
    </row>
    <row r="687" spans="1:7" ht="12.75" x14ac:dyDescent="0.2">
      <c r="A687" s="3">
        <v>94</v>
      </c>
      <c r="B687" s="3" t="s">
        <v>114</v>
      </c>
      <c r="C687" s="3" t="s">
        <v>2</v>
      </c>
      <c r="D687" s="3" t="s">
        <v>14</v>
      </c>
      <c r="E687" s="3">
        <v>18</v>
      </c>
      <c r="G687" s="57"/>
    </row>
    <row r="688" spans="1:7" ht="12.75" x14ac:dyDescent="0.2">
      <c r="A688" s="3">
        <v>94</v>
      </c>
      <c r="B688" s="3" t="s">
        <v>114</v>
      </c>
      <c r="C688" s="3" t="s">
        <v>10</v>
      </c>
      <c r="D688" s="3" t="s">
        <v>3</v>
      </c>
      <c r="E688" s="3">
        <v>146</v>
      </c>
      <c r="F688">
        <f>SUM(E688:E690)</f>
        <v>353</v>
      </c>
      <c r="G688" s="57"/>
    </row>
    <row r="689" spans="1:7" ht="12.75" x14ac:dyDescent="0.2">
      <c r="A689" s="3">
        <v>94</v>
      </c>
      <c r="B689" s="3" t="s">
        <v>114</v>
      </c>
      <c r="C689" s="3" t="s">
        <v>10</v>
      </c>
      <c r="D689" s="3" t="s">
        <v>11</v>
      </c>
      <c r="E689" s="3">
        <v>179</v>
      </c>
      <c r="G689" s="57"/>
    </row>
    <row r="690" spans="1:7" ht="12.75" x14ac:dyDescent="0.2">
      <c r="A690" s="3">
        <v>94</v>
      </c>
      <c r="B690" s="3" t="s">
        <v>114</v>
      </c>
      <c r="C690" s="3" t="s">
        <v>10</v>
      </c>
      <c r="D690" s="3" t="s">
        <v>14</v>
      </c>
      <c r="E690" s="3">
        <v>28</v>
      </c>
      <c r="G690" s="57"/>
    </row>
    <row r="691" spans="1:7" ht="12.75" x14ac:dyDescent="0.2">
      <c r="A691" s="3">
        <v>94</v>
      </c>
      <c r="B691" s="3" t="s">
        <v>114</v>
      </c>
      <c r="C691" s="3" t="s">
        <v>13</v>
      </c>
      <c r="D691" s="3" t="s">
        <v>3</v>
      </c>
      <c r="E691" s="3">
        <v>202</v>
      </c>
      <c r="F691">
        <f>SUM(E691:E693)</f>
        <v>353</v>
      </c>
      <c r="G691" s="57"/>
    </row>
    <row r="692" spans="1:7" ht="12.75" x14ac:dyDescent="0.2">
      <c r="A692" s="3">
        <v>94</v>
      </c>
      <c r="B692" s="3" t="s">
        <v>114</v>
      </c>
      <c r="C692" s="3" t="s">
        <v>13</v>
      </c>
      <c r="D692" s="3" t="s">
        <v>11</v>
      </c>
      <c r="E692" s="3">
        <v>137</v>
      </c>
      <c r="G692" s="57"/>
    </row>
    <row r="693" spans="1:7" ht="12.75" x14ac:dyDescent="0.2">
      <c r="A693" s="3">
        <v>94</v>
      </c>
      <c r="B693" s="3" t="s">
        <v>114</v>
      </c>
      <c r="C693" s="3" t="s">
        <v>13</v>
      </c>
      <c r="D693" s="3" t="s">
        <v>14</v>
      </c>
      <c r="E693" s="3">
        <v>14</v>
      </c>
      <c r="G693" s="57"/>
    </row>
    <row r="694" spans="1:7" ht="12.75" x14ac:dyDescent="0.2">
      <c r="A694" s="3">
        <v>95</v>
      </c>
      <c r="B694" s="3" t="s">
        <v>115</v>
      </c>
      <c r="C694" s="3" t="s">
        <v>15</v>
      </c>
      <c r="D694" s="3" t="s">
        <v>3</v>
      </c>
      <c r="E694" s="3">
        <v>44</v>
      </c>
      <c r="F694">
        <f>SUM(E694:E696)</f>
        <v>137</v>
      </c>
      <c r="G694" s="56">
        <v>137</v>
      </c>
    </row>
    <row r="695" spans="1:7" ht="12.75" x14ac:dyDescent="0.2">
      <c r="A695" s="3">
        <v>95</v>
      </c>
      <c r="B695" s="3" t="s">
        <v>115</v>
      </c>
      <c r="C695" s="3" t="s">
        <v>15</v>
      </c>
      <c r="D695" s="3" t="s">
        <v>11</v>
      </c>
      <c r="E695" s="3">
        <v>87</v>
      </c>
      <c r="G695" s="57"/>
    </row>
    <row r="696" spans="1:7" ht="12.75" x14ac:dyDescent="0.2">
      <c r="A696" s="3">
        <v>95</v>
      </c>
      <c r="B696" s="3" t="s">
        <v>115</v>
      </c>
      <c r="C696" s="3" t="s">
        <v>15</v>
      </c>
      <c r="D696" s="3" t="s">
        <v>14</v>
      </c>
      <c r="E696" s="3">
        <v>6</v>
      </c>
      <c r="G696" s="57"/>
    </row>
    <row r="697" spans="1:7" ht="12.75" x14ac:dyDescent="0.2">
      <c r="A697" s="3">
        <v>95</v>
      </c>
      <c r="B697" s="3" t="s">
        <v>115</v>
      </c>
      <c r="C697" s="3" t="s">
        <v>17</v>
      </c>
      <c r="D697" s="3" t="s">
        <v>3</v>
      </c>
      <c r="E697" s="3">
        <v>44</v>
      </c>
      <c r="F697">
        <f>SUM(E697:E699)</f>
        <v>137</v>
      </c>
      <c r="G697" s="57"/>
    </row>
    <row r="698" spans="1:7" ht="12.75" x14ac:dyDescent="0.2">
      <c r="A698" s="3">
        <v>95</v>
      </c>
      <c r="B698" s="3" t="s">
        <v>115</v>
      </c>
      <c r="C698" s="3" t="s">
        <v>17</v>
      </c>
      <c r="D698" s="3" t="s">
        <v>11</v>
      </c>
      <c r="E698" s="3">
        <v>81</v>
      </c>
      <c r="G698" s="57"/>
    </row>
    <row r="699" spans="1:7" ht="12.75" x14ac:dyDescent="0.2">
      <c r="A699" s="3">
        <v>95</v>
      </c>
      <c r="B699" s="3" t="s">
        <v>115</v>
      </c>
      <c r="C699" s="3" t="s">
        <v>17</v>
      </c>
      <c r="D699" s="3" t="s">
        <v>14</v>
      </c>
      <c r="E699" s="3">
        <v>12</v>
      </c>
      <c r="G699" s="57"/>
    </row>
    <row r="700" spans="1:7" ht="12.75" x14ac:dyDescent="0.2">
      <c r="B700" s="3" t="s">
        <v>71</v>
      </c>
      <c r="G700" s="1"/>
    </row>
    <row r="701" spans="1:7" ht="12.75" x14ac:dyDescent="0.2">
      <c r="G701" s="1"/>
    </row>
    <row r="702" spans="1:7" ht="12.75" x14ac:dyDescent="0.2">
      <c r="G702" s="1"/>
    </row>
    <row r="703" spans="1:7" ht="12.75" x14ac:dyDescent="0.2">
      <c r="G703" s="1"/>
    </row>
    <row r="704" spans="1:7" ht="12.75" x14ac:dyDescent="0.2">
      <c r="G704" s="1"/>
    </row>
    <row r="705" spans="7:7" ht="12.75" x14ac:dyDescent="0.2">
      <c r="G705" s="1"/>
    </row>
    <row r="706" spans="7:7" ht="12.75" x14ac:dyDescent="0.2">
      <c r="G706" s="1"/>
    </row>
    <row r="707" spans="7:7" ht="12.75" x14ac:dyDescent="0.2">
      <c r="G707" s="1"/>
    </row>
    <row r="708" spans="7:7" ht="12.75" x14ac:dyDescent="0.2">
      <c r="G708" s="1"/>
    </row>
    <row r="709" spans="7:7" ht="12.75" x14ac:dyDescent="0.2">
      <c r="G709" s="1"/>
    </row>
    <row r="710" spans="7:7" ht="12.75" x14ac:dyDescent="0.2">
      <c r="G710" s="1"/>
    </row>
    <row r="711" spans="7:7" ht="12.75" x14ac:dyDescent="0.2">
      <c r="G711" s="1"/>
    </row>
    <row r="712" spans="7:7" ht="12.75" x14ac:dyDescent="0.2">
      <c r="G712" s="1"/>
    </row>
    <row r="713" spans="7:7" ht="12.75" x14ac:dyDescent="0.2">
      <c r="G713" s="1"/>
    </row>
    <row r="714" spans="7:7" ht="12.75" x14ac:dyDescent="0.2">
      <c r="G714" s="1"/>
    </row>
    <row r="715" spans="7:7" ht="12.75" x14ac:dyDescent="0.2">
      <c r="G715" s="1"/>
    </row>
    <row r="716" spans="7:7" ht="12.75" x14ac:dyDescent="0.2">
      <c r="G716" s="1"/>
    </row>
    <row r="717" spans="7:7" ht="12.75" x14ac:dyDescent="0.2">
      <c r="G717" s="1"/>
    </row>
    <row r="718" spans="7:7" ht="12.75" x14ac:dyDescent="0.2">
      <c r="G718" s="1"/>
    </row>
    <row r="719" spans="7:7" ht="12.75" x14ac:dyDescent="0.2">
      <c r="G719" s="1"/>
    </row>
    <row r="720" spans="7:7" ht="12.75" x14ac:dyDescent="0.2">
      <c r="G720" s="1"/>
    </row>
    <row r="721" spans="7:7" ht="12.75" x14ac:dyDescent="0.2">
      <c r="G721" s="1"/>
    </row>
    <row r="722" spans="7:7" ht="12.75" x14ac:dyDescent="0.2">
      <c r="G722" s="1"/>
    </row>
    <row r="723" spans="7:7" ht="12.75" x14ac:dyDescent="0.2">
      <c r="G723" s="1"/>
    </row>
    <row r="724" spans="7:7" ht="12.75" x14ac:dyDescent="0.2">
      <c r="G724" s="1"/>
    </row>
    <row r="725" spans="7:7" ht="12.75" x14ac:dyDescent="0.2">
      <c r="G725" s="1"/>
    </row>
    <row r="726" spans="7:7" ht="12.75" x14ac:dyDescent="0.2">
      <c r="G726" s="1"/>
    </row>
    <row r="727" spans="7:7" ht="12.75" x14ac:dyDescent="0.2">
      <c r="G727" s="1"/>
    </row>
    <row r="728" spans="7:7" ht="12.75" x14ac:dyDescent="0.2">
      <c r="G728" s="1"/>
    </row>
    <row r="729" spans="7:7" ht="12.75" x14ac:dyDescent="0.2">
      <c r="G729" s="1"/>
    </row>
    <row r="730" spans="7:7" ht="12.75" x14ac:dyDescent="0.2">
      <c r="G730" s="1"/>
    </row>
    <row r="731" spans="7:7" ht="12.75" x14ac:dyDescent="0.2">
      <c r="G731" s="1"/>
    </row>
    <row r="732" spans="7:7" ht="12.75" x14ac:dyDescent="0.2">
      <c r="G732" s="1"/>
    </row>
    <row r="733" spans="7:7" ht="12.75" x14ac:dyDescent="0.2">
      <c r="G733" s="1"/>
    </row>
    <row r="734" spans="7:7" ht="12.75" x14ac:dyDescent="0.2">
      <c r="G734" s="1"/>
    </row>
    <row r="735" spans="7:7" ht="12.75" x14ac:dyDescent="0.2">
      <c r="G735" s="1"/>
    </row>
    <row r="736" spans="7:7" ht="12.75" x14ac:dyDescent="0.2">
      <c r="G736" s="1"/>
    </row>
    <row r="737" spans="7:7" ht="12.75" x14ac:dyDescent="0.2">
      <c r="G737" s="1"/>
    </row>
    <row r="738" spans="7:7" ht="12.75" x14ac:dyDescent="0.2">
      <c r="G738" s="1"/>
    </row>
    <row r="739" spans="7:7" ht="12.75" x14ac:dyDescent="0.2">
      <c r="G739" s="1"/>
    </row>
    <row r="740" spans="7:7" ht="12.75" x14ac:dyDescent="0.2">
      <c r="G740" s="1"/>
    </row>
    <row r="741" spans="7:7" ht="12.75" x14ac:dyDescent="0.2">
      <c r="G741" s="1"/>
    </row>
    <row r="742" spans="7:7" ht="12.75" x14ac:dyDescent="0.2">
      <c r="G742" s="1"/>
    </row>
    <row r="743" spans="7:7" ht="12.75" x14ac:dyDescent="0.2">
      <c r="G743" s="1"/>
    </row>
    <row r="744" spans="7:7" ht="12.75" x14ac:dyDescent="0.2">
      <c r="G744" s="1"/>
    </row>
    <row r="745" spans="7:7" ht="12.75" x14ac:dyDescent="0.2">
      <c r="G745" s="1"/>
    </row>
    <row r="746" spans="7:7" ht="12.75" x14ac:dyDescent="0.2">
      <c r="G746" s="1"/>
    </row>
    <row r="747" spans="7:7" ht="12.75" x14ac:dyDescent="0.2">
      <c r="G747" s="1"/>
    </row>
    <row r="748" spans="7:7" ht="12.75" x14ac:dyDescent="0.2">
      <c r="G748" s="1"/>
    </row>
    <row r="749" spans="7:7" ht="12.75" x14ac:dyDescent="0.2">
      <c r="G749" s="1"/>
    </row>
    <row r="750" spans="7:7" ht="12.75" x14ac:dyDescent="0.2">
      <c r="G750" s="1"/>
    </row>
    <row r="751" spans="7:7" ht="12.75" x14ac:dyDescent="0.2">
      <c r="G751" s="1"/>
    </row>
    <row r="752" spans="7:7" ht="12.75" x14ac:dyDescent="0.2">
      <c r="G752" s="1"/>
    </row>
    <row r="753" spans="7:7" ht="12.75" x14ac:dyDescent="0.2">
      <c r="G753" s="1"/>
    </row>
    <row r="754" spans="7:7" ht="12.75" x14ac:dyDescent="0.2">
      <c r="G754" s="1"/>
    </row>
    <row r="755" spans="7:7" ht="12.75" x14ac:dyDescent="0.2">
      <c r="G755" s="1"/>
    </row>
    <row r="756" spans="7:7" ht="12.75" x14ac:dyDescent="0.2">
      <c r="G756" s="1"/>
    </row>
    <row r="757" spans="7:7" ht="12.75" x14ac:dyDescent="0.2">
      <c r="G757" s="1"/>
    </row>
    <row r="758" spans="7:7" ht="12.75" x14ac:dyDescent="0.2">
      <c r="G758" s="1"/>
    </row>
    <row r="759" spans="7:7" ht="12.75" x14ac:dyDescent="0.2">
      <c r="G759" s="1"/>
    </row>
    <row r="760" spans="7:7" ht="12.75" x14ac:dyDescent="0.2">
      <c r="G760" s="1"/>
    </row>
    <row r="761" spans="7:7" ht="12.75" x14ac:dyDescent="0.2">
      <c r="G761" s="1"/>
    </row>
    <row r="762" spans="7:7" ht="12.75" x14ac:dyDescent="0.2">
      <c r="G762" s="1"/>
    </row>
    <row r="763" spans="7:7" ht="12.75" x14ac:dyDescent="0.2">
      <c r="G763" s="1"/>
    </row>
    <row r="764" spans="7:7" ht="12.75" x14ac:dyDescent="0.2">
      <c r="G764" s="1"/>
    </row>
    <row r="765" spans="7:7" ht="12.75" x14ac:dyDescent="0.2">
      <c r="G765" s="1"/>
    </row>
    <row r="766" spans="7:7" ht="12.75" x14ac:dyDescent="0.2">
      <c r="G766" s="1"/>
    </row>
    <row r="767" spans="7:7" ht="12.75" x14ac:dyDescent="0.2">
      <c r="G767" s="1"/>
    </row>
    <row r="768" spans="7:7" ht="12.75" x14ac:dyDescent="0.2">
      <c r="G768" s="1"/>
    </row>
    <row r="769" spans="7:7" ht="12.75" x14ac:dyDescent="0.2">
      <c r="G769" s="1"/>
    </row>
    <row r="770" spans="7:7" ht="12.75" x14ac:dyDescent="0.2">
      <c r="G770" s="1"/>
    </row>
    <row r="771" spans="7:7" ht="12.75" x14ac:dyDescent="0.2">
      <c r="G771" s="1"/>
    </row>
    <row r="772" spans="7:7" ht="12.75" x14ac:dyDescent="0.2">
      <c r="G772" s="1"/>
    </row>
    <row r="773" spans="7:7" ht="12.75" x14ac:dyDescent="0.2">
      <c r="G773" s="1"/>
    </row>
    <row r="774" spans="7:7" ht="12.75" x14ac:dyDescent="0.2">
      <c r="G774" s="1"/>
    </row>
    <row r="775" spans="7:7" ht="12.75" x14ac:dyDescent="0.2">
      <c r="G775" s="1"/>
    </row>
    <row r="776" spans="7:7" ht="12.75" x14ac:dyDescent="0.2">
      <c r="G776" s="1"/>
    </row>
    <row r="777" spans="7:7" ht="12.75" x14ac:dyDescent="0.2">
      <c r="G777" s="1"/>
    </row>
    <row r="778" spans="7:7" ht="12.75" x14ac:dyDescent="0.2">
      <c r="G778" s="1"/>
    </row>
    <row r="779" spans="7:7" ht="12.75" x14ac:dyDescent="0.2">
      <c r="G779" s="1"/>
    </row>
    <row r="780" spans="7:7" ht="12.75" x14ac:dyDescent="0.2">
      <c r="G780" s="1"/>
    </row>
    <row r="781" spans="7:7" ht="12.75" x14ac:dyDescent="0.2">
      <c r="G781" s="1"/>
    </row>
    <row r="782" spans="7:7" ht="12.75" x14ac:dyDescent="0.2">
      <c r="G782" s="1"/>
    </row>
    <row r="783" spans="7:7" ht="12.75" x14ac:dyDescent="0.2">
      <c r="G783" s="1"/>
    </row>
    <row r="784" spans="7:7" ht="12.75" x14ac:dyDescent="0.2">
      <c r="G784" s="1"/>
    </row>
    <row r="785" spans="7:7" ht="12.75" x14ac:dyDescent="0.2">
      <c r="G785" s="1"/>
    </row>
    <row r="786" spans="7:7" ht="12.75" x14ac:dyDescent="0.2">
      <c r="G786" s="1"/>
    </row>
    <row r="787" spans="7:7" ht="12.75" x14ac:dyDescent="0.2">
      <c r="G787" s="1"/>
    </row>
    <row r="788" spans="7:7" ht="12.75" x14ac:dyDescent="0.2">
      <c r="G788" s="1"/>
    </row>
    <row r="789" spans="7:7" ht="12.75" x14ac:dyDescent="0.2">
      <c r="G789" s="1"/>
    </row>
    <row r="790" spans="7:7" ht="12.75" x14ac:dyDescent="0.2">
      <c r="G790" s="1"/>
    </row>
    <row r="791" spans="7:7" ht="12.75" x14ac:dyDescent="0.2">
      <c r="G791" s="1"/>
    </row>
    <row r="792" spans="7:7" ht="12.75" x14ac:dyDescent="0.2">
      <c r="G792" s="1"/>
    </row>
    <row r="793" spans="7:7" ht="12.75" x14ac:dyDescent="0.2">
      <c r="G793" s="1"/>
    </row>
    <row r="794" spans="7:7" ht="12.75" x14ac:dyDescent="0.2">
      <c r="G794" s="1"/>
    </row>
    <row r="795" spans="7:7" ht="12.75" x14ac:dyDescent="0.2">
      <c r="G795" s="1"/>
    </row>
    <row r="796" spans="7:7" ht="12.75" x14ac:dyDescent="0.2">
      <c r="G796" s="1"/>
    </row>
    <row r="797" spans="7:7" ht="12.75" x14ac:dyDescent="0.2">
      <c r="G797" s="1"/>
    </row>
    <row r="798" spans="7:7" ht="12.75" x14ac:dyDescent="0.2">
      <c r="G798" s="1"/>
    </row>
    <row r="799" spans="7:7" ht="12.75" x14ac:dyDescent="0.2">
      <c r="G799" s="1"/>
    </row>
    <row r="800" spans="7:7" ht="12.75" x14ac:dyDescent="0.2">
      <c r="G800" s="1"/>
    </row>
    <row r="801" spans="7:7" ht="12.75" x14ac:dyDescent="0.2">
      <c r="G801" s="1"/>
    </row>
    <row r="802" spans="7:7" ht="12.75" x14ac:dyDescent="0.2">
      <c r="G802" s="1"/>
    </row>
    <row r="803" spans="7:7" ht="12.75" x14ac:dyDescent="0.2">
      <c r="G803" s="1"/>
    </row>
    <row r="804" spans="7:7" ht="12.75" x14ac:dyDescent="0.2">
      <c r="G804" s="1"/>
    </row>
    <row r="805" spans="7:7" ht="12.75" x14ac:dyDescent="0.2">
      <c r="G805" s="1"/>
    </row>
    <row r="806" spans="7:7" ht="12.75" x14ac:dyDescent="0.2">
      <c r="G806" s="1"/>
    </row>
    <row r="807" spans="7:7" ht="12.75" x14ac:dyDescent="0.2">
      <c r="G807" s="1"/>
    </row>
    <row r="808" spans="7:7" ht="12.75" x14ac:dyDescent="0.2">
      <c r="G808" s="1"/>
    </row>
    <row r="809" spans="7:7" ht="12.75" x14ac:dyDescent="0.2">
      <c r="G809" s="1"/>
    </row>
    <row r="810" spans="7:7" ht="12.75" x14ac:dyDescent="0.2">
      <c r="G810" s="1"/>
    </row>
    <row r="811" spans="7:7" ht="12.75" x14ac:dyDescent="0.2">
      <c r="G811" s="1"/>
    </row>
    <row r="812" spans="7:7" ht="12.75" x14ac:dyDescent="0.2">
      <c r="G812" s="1"/>
    </row>
    <row r="813" spans="7:7" ht="12.75" x14ac:dyDescent="0.2">
      <c r="G813" s="1"/>
    </row>
    <row r="814" spans="7:7" ht="12.75" x14ac:dyDescent="0.2">
      <c r="G814" s="1"/>
    </row>
    <row r="815" spans="7:7" ht="12.75" x14ac:dyDescent="0.2">
      <c r="G815" s="1"/>
    </row>
    <row r="816" spans="7:7" ht="12.75" x14ac:dyDescent="0.2">
      <c r="G816" s="1"/>
    </row>
    <row r="817" spans="7:7" ht="12.75" x14ac:dyDescent="0.2">
      <c r="G817" s="1"/>
    </row>
    <row r="818" spans="7:7" ht="12.75" x14ac:dyDescent="0.2">
      <c r="G818" s="1"/>
    </row>
    <row r="819" spans="7:7" ht="12.75" x14ac:dyDescent="0.2">
      <c r="G819" s="1"/>
    </row>
    <row r="820" spans="7:7" ht="12.75" x14ac:dyDescent="0.2">
      <c r="G820" s="1"/>
    </row>
    <row r="821" spans="7:7" ht="12.75" x14ac:dyDescent="0.2">
      <c r="G821" s="1"/>
    </row>
    <row r="822" spans="7:7" ht="12.75" x14ac:dyDescent="0.2">
      <c r="G822" s="1"/>
    </row>
    <row r="823" spans="7:7" ht="12.75" x14ac:dyDescent="0.2">
      <c r="G823" s="1"/>
    </row>
    <row r="824" spans="7:7" ht="12.75" x14ac:dyDescent="0.2">
      <c r="G824" s="1"/>
    </row>
    <row r="825" spans="7:7" ht="12.75" x14ac:dyDescent="0.2">
      <c r="G825" s="1"/>
    </row>
    <row r="826" spans="7:7" ht="12.75" x14ac:dyDescent="0.2">
      <c r="G826" s="1"/>
    </row>
    <row r="827" spans="7:7" ht="12.75" x14ac:dyDescent="0.2">
      <c r="G827" s="1"/>
    </row>
    <row r="828" spans="7:7" ht="12.75" x14ac:dyDescent="0.2">
      <c r="G828" s="1"/>
    </row>
    <row r="829" spans="7:7" ht="12.75" x14ac:dyDescent="0.2">
      <c r="G829" s="1"/>
    </row>
    <row r="830" spans="7:7" ht="12.75" x14ac:dyDescent="0.2">
      <c r="G830" s="1"/>
    </row>
    <row r="831" spans="7:7" ht="12.75" x14ac:dyDescent="0.2">
      <c r="G831" s="1"/>
    </row>
    <row r="832" spans="7:7" ht="12.75" x14ac:dyDescent="0.2">
      <c r="G832" s="1"/>
    </row>
    <row r="833" spans="7:7" ht="12.75" x14ac:dyDescent="0.2">
      <c r="G833" s="1"/>
    </row>
    <row r="834" spans="7:7" ht="12.75" x14ac:dyDescent="0.2">
      <c r="G834" s="1"/>
    </row>
    <row r="835" spans="7:7" ht="12.75" x14ac:dyDescent="0.2">
      <c r="G835" s="1"/>
    </row>
    <row r="836" spans="7:7" ht="12.75" x14ac:dyDescent="0.2">
      <c r="G836" s="1"/>
    </row>
    <row r="837" spans="7:7" ht="12.75" x14ac:dyDescent="0.2">
      <c r="G837" s="1"/>
    </row>
    <row r="838" spans="7:7" ht="12.75" x14ac:dyDescent="0.2">
      <c r="G838" s="1"/>
    </row>
    <row r="839" spans="7:7" ht="12.75" x14ac:dyDescent="0.2">
      <c r="G839" s="1"/>
    </row>
    <row r="840" spans="7:7" ht="12.75" x14ac:dyDescent="0.2">
      <c r="G840" s="1"/>
    </row>
    <row r="841" spans="7:7" ht="12.75" x14ac:dyDescent="0.2">
      <c r="G841" s="1"/>
    </row>
    <row r="842" spans="7:7" ht="12.75" x14ac:dyDescent="0.2">
      <c r="G842" s="1"/>
    </row>
    <row r="843" spans="7:7" ht="12.75" x14ac:dyDescent="0.2">
      <c r="G843" s="1"/>
    </row>
    <row r="844" spans="7:7" ht="12.75" x14ac:dyDescent="0.2">
      <c r="G844" s="1"/>
    </row>
    <row r="845" spans="7:7" ht="12.75" x14ac:dyDescent="0.2">
      <c r="G845" s="1"/>
    </row>
    <row r="846" spans="7:7" ht="12.75" x14ac:dyDescent="0.2">
      <c r="G846" s="1"/>
    </row>
    <row r="847" spans="7:7" ht="12.75" x14ac:dyDescent="0.2">
      <c r="G847" s="1"/>
    </row>
    <row r="848" spans="7:7" ht="12.75" x14ac:dyDescent="0.2">
      <c r="G848" s="1"/>
    </row>
    <row r="849" spans="7:7" ht="12.75" x14ac:dyDescent="0.2">
      <c r="G849" s="1"/>
    </row>
    <row r="850" spans="7:7" ht="12.75" x14ac:dyDescent="0.2">
      <c r="G850" s="1"/>
    </row>
    <row r="851" spans="7:7" ht="12.75" x14ac:dyDescent="0.2">
      <c r="G851" s="1"/>
    </row>
    <row r="852" spans="7:7" ht="12.75" x14ac:dyDescent="0.2">
      <c r="G852" s="1"/>
    </row>
    <row r="853" spans="7:7" ht="12.75" x14ac:dyDescent="0.2">
      <c r="G853" s="1"/>
    </row>
    <row r="854" spans="7:7" ht="12.75" x14ac:dyDescent="0.2">
      <c r="G854" s="1"/>
    </row>
    <row r="855" spans="7:7" ht="12.75" x14ac:dyDescent="0.2">
      <c r="G855" s="1"/>
    </row>
    <row r="856" spans="7:7" ht="12.75" x14ac:dyDescent="0.2">
      <c r="G856" s="1"/>
    </row>
    <row r="857" spans="7:7" ht="12.75" x14ac:dyDescent="0.2">
      <c r="G857" s="1"/>
    </row>
    <row r="858" spans="7:7" ht="12.75" x14ac:dyDescent="0.2">
      <c r="G858" s="1"/>
    </row>
    <row r="859" spans="7:7" ht="12.75" x14ac:dyDescent="0.2">
      <c r="G859" s="1"/>
    </row>
    <row r="860" spans="7:7" ht="12.75" x14ac:dyDescent="0.2">
      <c r="G860" s="1"/>
    </row>
    <row r="861" spans="7:7" ht="12.75" x14ac:dyDescent="0.2">
      <c r="G861" s="1"/>
    </row>
    <row r="862" spans="7:7" ht="12.75" x14ac:dyDescent="0.2">
      <c r="G862" s="1"/>
    </row>
    <row r="863" spans="7:7" ht="12.75" x14ac:dyDescent="0.2">
      <c r="G863" s="1"/>
    </row>
    <row r="864" spans="7:7" ht="12.75" x14ac:dyDescent="0.2">
      <c r="G864" s="1"/>
    </row>
    <row r="865" spans="7:7" ht="12.75" x14ac:dyDescent="0.2">
      <c r="G865" s="1"/>
    </row>
    <row r="866" spans="7:7" ht="12.75" x14ac:dyDescent="0.2">
      <c r="G866" s="1"/>
    </row>
    <row r="867" spans="7:7" ht="12.75" x14ac:dyDescent="0.2">
      <c r="G867" s="1"/>
    </row>
    <row r="868" spans="7:7" ht="12.75" x14ac:dyDescent="0.2">
      <c r="G868" s="1"/>
    </row>
    <row r="869" spans="7:7" ht="12.75" x14ac:dyDescent="0.2">
      <c r="G869" s="1"/>
    </row>
    <row r="870" spans="7:7" ht="12.75" x14ac:dyDescent="0.2">
      <c r="G870" s="1"/>
    </row>
    <row r="871" spans="7:7" ht="12.75" x14ac:dyDescent="0.2">
      <c r="G871" s="1"/>
    </row>
    <row r="872" spans="7:7" ht="12.75" x14ac:dyDescent="0.2">
      <c r="G872" s="1"/>
    </row>
    <row r="873" spans="7:7" ht="12.75" x14ac:dyDescent="0.2">
      <c r="G873" s="1"/>
    </row>
    <row r="874" spans="7:7" ht="12.75" x14ac:dyDescent="0.2">
      <c r="G874" s="1"/>
    </row>
    <row r="875" spans="7:7" ht="12.75" x14ac:dyDescent="0.2">
      <c r="G875" s="1"/>
    </row>
    <row r="876" spans="7:7" ht="12.75" x14ac:dyDescent="0.2">
      <c r="G876" s="1"/>
    </row>
    <row r="877" spans="7:7" ht="12.75" x14ac:dyDescent="0.2">
      <c r="G877" s="1"/>
    </row>
    <row r="878" spans="7:7" ht="12.75" x14ac:dyDescent="0.2">
      <c r="G878" s="1"/>
    </row>
    <row r="879" spans="7:7" ht="12.75" x14ac:dyDescent="0.2">
      <c r="G879" s="1"/>
    </row>
    <row r="880" spans="7:7" ht="12.75" x14ac:dyDescent="0.2">
      <c r="G880" s="1"/>
    </row>
    <row r="881" spans="7:7" ht="12.75" x14ac:dyDescent="0.2">
      <c r="G881" s="1"/>
    </row>
    <row r="882" spans="7:7" ht="12.75" x14ac:dyDescent="0.2">
      <c r="G882" s="1"/>
    </row>
    <row r="883" spans="7:7" ht="12.75" x14ac:dyDescent="0.2">
      <c r="G883" s="1"/>
    </row>
    <row r="884" spans="7:7" ht="12.75" x14ac:dyDescent="0.2">
      <c r="G884" s="1"/>
    </row>
    <row r="885" spans="7:7" ht="12.75" x14ac:dyDescent="0.2">
      <c r="G885" s="1"/>
    </row>
    <row r="886" spans="7:7" ht="12.75" x14ac:dyDescent="0.2">
      <c r="G886" s="1"/>
    </row>
    <row r="887" spans="7:7" ht="12.75" x14ac:dyDescent="0.2">
      <c r="G887" s="1"/>
    </row>
    <row r="888" spans="7:7" ht="12.75" x14ac:dyDescent="0.2">
      <c r="G888" s="1"/>
    </row>
    <row r="889" spans="7:7" ht="12.75" x14ac:dyDescent="0.2">
      <c r="G889" s="1"/>
    </row>
    <row r="890" spans="7:7" ht="12.75" x14ac:dyDescent="0.2">
      <c r="G890" s="1"/>
    </row>
    <row r="891" spans="7:7" ht="12.75" x14ac:dyDescent="0.2">
      <c r="G891" s="1"/>
    </row>
    <row r="892" spans="7:7" ht="12.75" x14ac:dyDescent="0.2">
      <c r="G892" s="1"/>
    </row>
    <row r="893" spans="7:7" ht="12.75" x14ac:dyDescent="0.2">
      <c r="G893" s="1"/>
    </row>
    <row r="894" spans="7:7" ht="12.75" x14ac:dyDescent="0.2">
      <c r="G894" s="1"/>
    </row>
    <row r="895" spans="7:7" ht="12.75" x14ac:dyDescent="0.2">
      <c r="G895" s="1"/>
    </row>
    <row r="896" spans="7:7" ht="12.75" x14ac:dyDescent="0.2">
      <c r="G896" s="1"/>
    </row>
    <row r="897" spans="7:7" ht="12.75" x14ac:dyDescent="0.2">
      <c r="G897" s="1"/>
    </row>
    <row r="898" spans="7:7" ht="12.75" x14ac:dyDescent="0.2">
      <c r="G898" s="1"/>
    </row>
    <row r="899" spans="7:7" ht="12.75" x14ac:dyDescent="0.2">
      <c r="G899" s="1"/>
    </row>
    <row r="900" spans="7:7" ht="12.75" x14ac:dyDescent="0.2">
      <c r="G900" s="1"/>
    </row>
    <row r="901" spans="7:7" ht="12.75" x14ac:dyDescent="0.2">
      <c r="G901" s="1"/>
    </row>
    <row r="902" spans="7:7" ht="12.75" x14ac:dyDescent="0.2">
      <c r="G902" s="1"/>
    </row>
    <row r="903" spans="7:7" ht="12.75" x14ac:dyDescent="0.2">
      <c r="G903" s="1"/>
    </row>
    <row r="904" spans="7:7" ht="12.75" x14ac:dyDescent="0.2">
      <c r="G904" s="1"/>
    </row>
    <row r="905" spans="7:7" ht="12.75" x14ac:dyDescent="0.2">
      <c r="G905" s="1"/>
    </row>
    <row r="906" spans="7:7" ht="12.75" x14ac:dyDescent="0.2">
      <c r="G906" s="1"/>
    </row>
    <row r="907" spans="7:7" ht="12.75" x14ac:dyDescent="0.2">
      <c r="G907" s="1"/>
    </row>
    <row r="908" spans="7:7" ht="12.75" x14ac:dyDescent="0.2">
      <c r="G908" s="1"/>
    </row>
    <row r="909" spans="7:7" ht="12.75" x14ac:dyDescent="0.2">
      <c r="G909" s="1"/>
    </row>
    <row r="910" spans="7:7" ht="12.75" x14ac:dyDescent="0.2">
      <c r="G910" s="1"/>
    </row>
    <row r="911" spans="7:7" ht="12.75" x14ac:dyDescent="0.2">
      <c r="G911" s="1"/>
    </row>
    <row r="912" spans="7:7" ht="12.75" x14ac:dyDescent="0.2">
      <c r="G912" s="1"/>
    </row>
    <row r="913" spans="7:7" ht="12.75" x14ac:dyDescent="0.2">
      <c r="G913" s="1"/>
    </row>
    <row r="914" spans="7:7" ht="12.75" x14ac:dyDescent="0.2">
      <c r="G914" s="1"/>
    </row>
    <row r="915" spans="7:7" ht="12.75" x14ac:dyDescent="0.2">
      <c r="G915" s="1"/>
    </row>
    <row r="916" spans="7:7" ht="12.75" x14ac:dyDescent="0.2">
      <c r="G916" s="1"/>
    </row>
    <row r="917" spans="7:7" ht="12.75" x14ac:dyDescent="0.2">
      <c r="G917" s="1"/>
    </row>
    <row r="918" spans="7:7" ht="12.75" x14ac:dyDescent="0.2">
      <c r="G918" s="1"/>
    </row>
    <row r="919" spans="7:7" ht="12.75" x14ac:dyDescent="0.2">
      <c r="G919" s="1"/>
    </row>
    <row r="920" spans="7:7" ht="12.75" x14ac:dyDescent="0.2">
      <c r="G920" s="1"/>
    </row>
    <row r="921" spans="7:7" ht="12.75" x14ac:dyDescent="0.2">
      <c r="G921" s="1"/>
    </row>
    <row r="922" spans="7:7" ht="12.75" x14ac:dyDescent="0.2">
      <c r="G922" s="1"/>
    </row>
    <row r="923" spans="7:7" ht="12.75" x14ac:dyDescent="0.2">
      <c r="G923" s="1"/>
    </row>
    <row r="924" spans="7:7" ht="12.75" x14ac:dyDescent="0.2">
      <c r="G924" s="1"/>
    </row>
    <row r="925" spans="7:7" ht="12.75" x14ac:dyDescent="0.2">
      <c r="G925" s="1"/>
    </row>
    <row r="926" spans="7:7" ht="12.75" x14ac:dyDescent="0.2">
      <c r="G926" s="1"/>
    </row>
    <row r="927" spans="7:7" ht="12.75" x14ac:dyDescent="0.2">
      <c r="G927" s="1"/>
    </row>
    <row r="928" spans="7:7" ht="12.75" x14ac:dyDescent="0.2">
      <c r="G928" s="1"/>
    </row>
    <row r="929" spans="7:7" ht="12.75" x14ac:dyDescent="0.2">
      <c r="G929" s="1"/>
    </row>
    <row r="930" spans="7:7" ht="12.75" x14ac:dyDescent="0.2">
      <c r="G930" s="1"/>
    </row>
    <row r="931" spans="7:7" ht="12.75" x14ac:dyDescent="0.2">
      <c r="G931" s="1"/>
    </row>
    <row r="932" spans="7:7" ht="12.75" x14ac:dyDescent="0.2">
      <c r="G932" s="1"/>
    </row>
    <row r="933" spans="7:7" ht="12.75" x14ac:dyDescent="0.2">
      <c r="G933" s="1"/>
    </row>
    <row r="934" spans="7:7" ht="12.75" x14ac:dyDescent="0.2">
      <c r="G934" s="1"/>
    </row>
    <row r="935" spans="7:7" ht="12.75" x14ac:dyDescent="0.2">
      <c r="G935" s="1"/>
    </row>
    <row r="936" spans="7:7" ht="12.75" x14ac:dyDescent="0.2">
      <c r="G936" s="1"/>
    </row>
    <row r="937" spans="7:7" ht="12.75" x14ac:dyDescent="0.2">
      <c r="G937" s="1"/>
    </row>
    <row r="938" spans="7:7" ht="12.75" x14ac:dyDescent="0.2">
      <c r="G938" s="1"/>
    </row>
    <row r="939" spans="7:7" ht="12.75" x14ac:dyDescent="0.2">
      <c r="G939" s="1"/>
    </row>
    <row r="940" spans="7:7" ht="12.75" x14ac:dyDescent="0.2">
      <c r="G940" s="1"/>
    </row>
    <row r="941" spans="7:7" ht="12.75" x14ac:dyDescent="0.2">
      <c r="G941" s="1"/>
    </row>
    <row r="942" spans="7:7" ht="12.75" x14ac:dyDescent="0.2">
      <c r="G942" s="1"/>
    </row>
    <row r="943" spans="7:7" ht="12.75" x14ac:dyDescent="0.2">
      <c r="G943" s="1"/>
    </row>
    <row r="944" spans="7:7" ht="12.75" x14ac:dyDescent="0.2">
      <c r="G944" s="1"/>
    </row>
    <row r="945" spans="7:7" ht="12.75" x14ac:dyDescent="0.2">
      <c r="G945" s="1"/>
    </row>
    <row r="946" spans="7:7" ht="12.75" x14ac:dyDescent="0.2">
      <c r="G946" s="1"/>
    </row>
    <row r="947" spans="7:7" ht="12.75" x14ac:dyDescent="0.2">
      <c r="G947" s="1"/>
    </row>
    <row r="948" spans="7:7" ht="12.75" x14ac:dyDescent="0.2">
      <c r="G948" s="1"/>
    </row>
    <row r="949" spans="7:7" ht="12.75" x14ac:dyDescent="0.2">
      <c r="G949" s="1"/>
    </row>
    <row r="950" spans="7:7" ht="12.75" x14ac:dyDescent="0.2">
      <c r="G950" s="1"/>
    </row>
    <row r="951" spans="7:7" ht="12.75" x14ac:dyDescent="0.2">
      <c r="G951" s="1"/>
    </row>
    <row r="952" spans="7:7" ht="12.75" x14ac:dyDescent="0.2">
      <c r="G952" s="1"/>
    </row>
    <row r="953" spans="7:7" ht="12.75" x14ac:dyDescent="0.2">
      <c r="G953" s="1"/>
    </row>
    <row r="954" spans="7:7" ht="12.75" x14ac:dyDescent="0.2">
      <c r="G954" s="1"/>
    </row>
    <row r="955" spans="7:7" ht="12.75" x14ac:dyDescent="0.2">
      <c r="G955" s="1"/>
    </row>
    <row r="956" spans="7:7" ht="12.75" x14ac:dyDescent="0.2">
      <c r="G956" s="1"/>
    </row>
    <row r="957" spans="7:7" ht="12.75" x14ac:dyDescent="0.2">
      <c r="G957" s="1"/>
    </row>
    <row r="958" spans="7:7" ht="12.75" x14ac:dyDescent="0.2">
      <c r="G958" s="1"/>
    </row>
    <row r="959" spans="7:7" ht="12.75" x14ac:dyDescent="0.2">
      <c r="G959" s="1"/>
    </row>
    <row r="960" spans="7:7" ht="12.75" x14ac:dyDescent="0.2">
      <c r="G960" s="1"/>
    </row>
    <row r="961" spans="7:7" ht="12.75" x14ac:dyDescent="0.2">
      <c r="G961" s="1"/>
    </row>
    <row r="962" spans="7:7" ht="12.75" x14ac:dyDescent="0.2">
      <c r="G962" s="1"/>
    </row>
    <row r="963" spans="7:7" ht="12.75" x14ac:dyDescent="0.2">
      <c r="G963" s="1"/>
    </row>
    <row r="964" spans="7:7" ht="12.75" x14ac:dyDescent="0.2">
      <c r="G964" s="1"/>
    </row>
    <row r="965" spans="7:7" ht="12.75" x14ac:dyDescent="0.2">
      <c r="G965" s="1"/>
    </row>
    <row r="966" spans="7:7" ht="12.75" x14ac:dyDescent="0.2">
      <c r="G966" s="1"/>
    </row>
    <row r="967" spans="7:7" ht="12.75" x14ac:dyDescent="0.2">
      <c r="G967" s="1"/>
    </row>
    <row r="968" spans="7:7" ht="12.75" x14ac:dyDescent="0.2">
      <c r="G968" s="1"/>
    </row>
    <row r="969" spans="7:7" ht="12.75" x14ac:dyDescent="0.2">
      <c r="G969" s="1"/>
    </row>
    <row r="970" spans="7:7" ht="12.75" x14ac:dyDescent="0.2">
      <c r="G970" s="1"/>
    </row>
    <row r="971" spans="7:7" ht="12.75" x14ac:dyDescent="0.2">
      <c r="G971" s="1"/>
    </row>
    <row r="972" spans="7:7" ht="12.75" x14ac:dyDescent="0.2">
      <c r="G972" s="1"/>
    </row>
    <row r="973" spans="7:7" ht="12.75" x14ac:dyDescent="0.2">
      <c r="G973" s="1"/>
    </row>
    <row r="974" spans="7:7" ht="12.75" x14ac:dyDescent="0.2">
      <c r="G974" s="1"/>
    </row>
    <row r="975" spans="7:7" ht="12.75" x14ac:dyDescent="0.2">
      <c r="G975" s="1"/>
    </row>
    <row r="976" spans="7:7" ht="12.75" x14ac:dyDescent="0.2">
      <c r="G976" s="1"/>
    </row>
    <row r="977" spans="7:7" ht="12.75" x14ac:dyDescent="0.2">
      <c r="G977" s="1"/>
    </row>
    <row r="978" spans="7:7" ht="12.75" x14ac:dyDescent="0.2">
      <c r="G978" s="1"/>
    </row>
    <row r="979" spans="7:7" ht="12.75" x14ac:dyDescent="0.2">
      <c r="G979" s="1"/>
    </row>
    <row r="980" spans="7:7" ht="12.75" x14ac:dyDescent="0.2">
      <c r="G980" s="1"/>
    </row>
    <row r="981" spans="7:7" ht="12.75" x14ac:dyDescent="0.2">
      <c r="G981" s="1"/>
    </row>
    <row r="982" spans="7:7" ht="12.75" x14ac:dyDescent="0.2">
      <c r="G982" s="1"/>
    </row>
    <row r="983" spans="7:7" ht="12.75" x14ac:dyDescent="0.2">
      <c r="G983" s="1"/>
    </row>
    <row r="984" spans="7:7" ht="12.75" x14ac:dyDescent="0.2">
      <c r="G984" s="1"/>
    </row>
    <row r="985" spans="7:7" ht="12.75" x14ac:dyDescent="0.2">
      <c r="G985" s="1"/>
    </row>
    <row r="986" spans="7:7" ht="12.75" x14ac:dyDescent="0.2">
      <c r="G986" s="1"/>
    </row>
    <row r="987" spans="7:7" ht="12.75" x14ac:dyDescent="0.2">
      <c r="G987" s="1"/>
    </row>
    <row r="988" spans="7:7" ht="12.75" x14ac:dyDescent="0.2">
      <c r="G988" s="1"/>
    </row>
    <row r="989" spans="7:7" ht="12.75" x14ac:dyDescent="0.2">
      <c r="G989" s="1"/>
    </row>
    <row r="990" spans="7:7" ht="12.75" x14ac:dyDescent="0.2">
      <c r="G990" s="1"/>
    </row>
    <row r="991" spans="7:7" ht="12.75" x14ac:dyDescent="0.2">
      <c r="G991" s="1"/>
    </row>
    <row r="992" spans="7:7" ht="12.75" x14ac:dyDescent="0.2">
      <c r="G992" s="1"/>
    </row>
    <row r="993" spans="7:7" ht="12.75" x14ac:dyDescent="0.2">
      <c r="G993" s="1"/>
    </row>
    <row r="994" spans="7:7" ht="12.75" x14ac:dyDescent="0.2">
      <c r="G994" s="1"/>
    </row>
    <row r="995" spans="7:7" ht="12.75" x14ac:dyDescent="0.2">
      <c r="G995" s="1"/>
    </row>
    <row r="996" spans="7:7" ht="12.75" x14ac:dyDescent="0.2">
      <c r="G996" s="1"/>
    </row>
    <row r="997" spans="7:7" ht="12.75" x14ac:dyDescent="0.2">
      <c r="G997" s="1"/>
    </row>
    <row r="998" spans="7:7" ht="12.75" x14ac:dyDescent="0.2">
      <c r="G998" s="1"/>
    </row>
    <row r="999" spans="7:7" ht="12.75" x14ac:dyDescent="0.2">
      <c r="G999" s="1"/>
    </row>
  </sheetData>
  <mergeCells count="80">
    <mergeCell ref="G431:G436"/>
    <mergeCell ref="G437:G445"/>
    <mergeCell ref="G446:G454"/>
    <mergeCell ref="G455:G463"/>
    <mergeCell ref="G464:G472"/>
    <mergeCell ref="G473:G481"/>
    <mergeCell ref="G482:G486"/>
    <mergeCell ref="G487:G498"/>
    <mergeCell ref="G499:G507"/>
    <mergeCell ref="G508:G516"/>
    <mergeCell ref="G517:G525"/>
    <mergeCell ref="G526:G531"/>
    <mergeCell ref="G532:G538"/>
    <mergeCell ref="G539:G546"/>
    <mergeCell ref="G547:G552"/>
    <mergeCell ref="G553:G561"/>
    <mergeCell ref="G562:G566"/>
    <mergeCell ref="G567:G575"/>
    <mergeCell ref="G576:G580"/>
    <mergeCell ref="G581:G589"/>
    <mergeCell ref="G590:G598"/>
    <mergeCell ref="G671:G684"/>
    <mergeCell ref="G685:G693"/>
    <mergeCell ref="G694:G699"/>
    <mergeCell ref="G599:G610"/>
    <mergeCell ref="G611:G619"/>
    <mergeCell ref="G620:G631"/>
    <mergeCell ref="G632:G640"/>
    <mergeCell ref="G641:G652"/>
    <mergeCell ref="G653:G661"/>
    <mergeCell ref="G662:G670"/>
    <mergeCell ref="G6:G14"/>
    <mergeCell ref="G15:G23"/>
    <mergeCell ref="G24:G32"/>
    <mergeCell ref="G33:G41"/>
    <mergeCell ref="G42:G50"/>
    <mergeCell ref="G51:G59"/>
    <mergeCell ref="G60:G80"/>
    <mergeCell ref="G81:G92"/>
    <mergeCell ref="G93:G101"/>
    <mergeCell ref="G102:G113"/>
    <mergeCell ref="G114:G122"/>
    <mergeCell ref="G123:G124"/>
    <mergeCell ref="G125:G133"/>
    <mergeCell ref="G134:G142"/>
    <mergeCell ref="G143:G146"/>
    <mergeCell ref="G147:G152"/>
    <mergeCell ref="G153:G161"/>
    <mergeCell ref="G162:G173"/>
    <mergeCell ref="G174:G182"/>
    <mergeCell ref="G183:G191"/>
    <mergeCell ref="G192:G197"/>
    <mergeCell ref="G198:G206"/>
    <mergeCell ref="G207:G218"/>
    <mergeCell ref="G219:G224"/>
    <mergeCell ref="G225:G233"/>
    <mergeCell ref="G234:G237"/>
    <mergeCell ref="G238:G246"/>
    <mergeCell ref="G247:G251"/>
    <mergeCell ref="G252:G260"/>
    <mergeCell ref="G261:G269"/>
    <mergeCell ref="G270:G278"/>
    <mergeCell ref="G279:G287"/>
    <mergeCell ref="G288:G293"/>
    <mergeCell ref="G294:G302"/>
    <mergeCell ref="G303:G311"/>
    <mergeCell ref="G312:G320"/>
    <mergeCell ref="G321:G329"/>
    <mergeCell ref="G330:G341"/>
    <mergeCell ref="G342:G350"/>
    <mergeCell ref="G351:G355"/>
    <mergeCell ref="G398:G406"/>
    <mergeCell ref="G407:G412"/>
    <mergeCell ref="G413:G418"/>
    <mergeCell ref="G419:G430"/>
    <mergeCell ref="G356:G364"/>
    <mergeCell ref="G365:G373"/>
    <mergeCell ref="G374:G382"/>
    <mergeCell ref="G383:G391"/>
    <mergeCell ref="G392:G397"/>
  </mergeCells>
  <dataValidations count="2">
    <dataValidation type="list" allowBlank="1" sqref="D1:D999" xr:uid="{00000000-0002-0000-0000-000001000000}">
      <formula1>$K$4:$K$40</formula1>
    </dataValidation>
    <dataValidation type="list" allowBlank="1" showErrorMessage="1" sqref="C6:C687 C691:C999" xr:uid="{00000000-0002-0000-0000-000002000000}">
      <formula1>$J$4:$J$17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'Copia de Localidades'!$A$4:$A$94</xm:f>
          </x14:formula1>
          <xm:sqref>B1:B999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2:J3082"/>
  <sheetViews>
    <sheetView workbookViewId="0"/>
  </sheetViews>
  <sheetFormatPr baseColWidth="10" defaultColWidth="14.42578125" defaultRowHeight="15.75" customHeight="1" x14ac:dyDescent="0.2"/>
  <cols>
    <col min="9" max="9" width="43" customWidth="1"/>
  </cols>
  <sheetData>
    <row r="2" spans="1:10" ht="12.75" x14ac:dyDescent="0.2">
      <c r="I2" t="s">
        <v>26</v>
      </c>
    </row>
    <row r="3" spans="1:10" ht="12.75" x14ac:dyDescent="0.2">
      <c r="A3" s="3" t="s">
        <v>116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I3" t="s">
        <v>14</v>
      </c>
      <c r="J3" s="3" t="s">
        <v>123</v>
      </c>
    </row>
    <row r="4" spans="1:10" ht="12.75" hidden="1" x14ac:dyDescent="0.2">
      <c r="A4" s="3" t="s">
        <v>124</v>
      </c>
      <c r="B4" s="3">
        <v>1</v>
      </c>
      <c r="C4" s="3" t="s">
        <v>12</v>
      </c>
      <c r="D4" s="3" t="s">
        <v>125</v>
      </c>
      <c r="E4" s="3" t="s">
        <v>3</v>
      </c>
      <c r="F4" s="3" t="str">
        <f t="shared" ref="F4:F3082" si="0">VLOOKUP(E4,$I$2:$J$30,2,FALSE)</f>
        <v>1 - PJ</v>
      </c>
      <c r="G4" s="3">
        <v>489</v>
      </c>
      <c r="I4" t="s">
        <v>126</v>
      </c>
      <c r="J4" s="3" t="s">
        <v>127</v>
      </c>
    </row>
    <row r="5" spans="1:10" ht="12.75" hidden="1" x14ac:dyDescent="0.2">
      <c r="A5" s="3" t="s">
        <v>124</v>
      </c>
      <c r="B5" s="3">
        <v>1</v>
      </c>
      <c r="C5" s="3" t="s">
        <v>12</v>
      </c>
      <c r="D5" s="3" t="s">
        <v>125</v>
      </c>
      <c r="E5" s="3" t="s">
        <v>16</v>
      </c>
      <c r="F5" s="3" t="str">
        <f t="shared" si="0"/>
        <v>3 - Otros</v>
      </c>
      <c r="G5" s="3">
        <v>19</v>
      </c>
      <c r="I5" t="s">
        <v>128</v>
      </c>
      <c r="J5" s="3" t="s">
        <v>127</v>
      </c>
    </row>
    <row r="6" spans="1:10" ht="12.75" hidden="1" x14ac:dyDescent="0.2">
      <c r="A6" s="3" t="s">
        <v>124</v>
      </c>
      <c r="B6" s="3">
        <v>1</v>
      </c>
      <c r="C6" s="3" t="s">
        <v>12</v>
      </c>
      <c r="D6" s="3" t="s">
        <v>125</v>
      </c>
      <c r="E6" s="3" t="s">
        <v>129</v>
      </c>
      <c r="F6" s="3" t="str">
        <f t="shared" si="0"/>
        <v>3 - Otros</v>
      </c>
      <c r="G6" s="3">
        <v>10</v>
      </c>
      <c r="I6" t="s">
        <v>130</v>
      </c>
      <c r="J6" s="3" t="s">
        <v>131</v>
      </c>
    </row>
    <row r="7" spans="1:10" ht="12.75" hidden="1" x14ac:dyDescent="0.2">
      <c r="A7" s="3" t="s">
        <v>124</v>
      </c>
      <c r="B7" s="3">
        <v>1</v>
      </c>
      <c r="C7" s="3" t="s">
        <v>12</v>
      </c>
      <c r="D7" s="3" t="s">
        <v>125</v>
      </c>
      <c r="E7" s="3" t="s">
        <v>132</v>
      </c>
      <c r="F7" s="3" t="str">
        <f t="shared" si="0"/>
        <v>2 - Frepam</v>
      </c>
      <c r="G7" s="3">
        <v>19</v>
      </c>
      <c r="I7" t="s">
        <v>133</v>
      </c>
      <c r="J7" s="3" t="s">
        <v>131</v>
      </c>
    </row>
    <row r="8" spans="1:10" ht="12.75" hidden="1" x14ac:dyDescent="0.2">
      <c r="A8" s="3" t="s">
        <v>124</v>
      </c>
      <c r="B8" s="3">
        <v>1</v>
      </c>
      <c r="C8" s="3" t="s">
        <v>12</v>
      </c>
      <c r="D8" s="3" t="s">
        <v>125</v>
      </c>
      <c r="E8" s="3" t="s">
        <v>134</v>
      </c>
      <c r="F8" s="3" t="str">
        <f t="shared" si="0"/>
        <v>3 - Otros</v>
      </c>
      <c r="G8" s="3">
        <v>14</v>
      </c>
      <c r="I8" t="s">
        <v>135</v>
      </c>
      <c r="J8" s="3" t="s">
        <v>131</v>
      </c>
    </row>
    <row r="9" spans="1:10" ht="12.75" hidden="1" x14ac:dyDescent="0.2">
      <c r="A9" s="3" t="s">
        <v>124</v>
      </c>
      <c r="B9" s="3">
        <v>1</v>
      </c>
      <c r="C9" s="3" t="s">
        <v>12</v>
      </c>
      <c r="D9" s="3" t="s">
        <v>125</v>
      </c>
      <c r="E9" s="3" t="s">
        <v>126</v>
      </c>
      <c r="F9" s="3" t="str">
        <f t="shared" si="0"/>
        <v>2 - Frepam</v>
      </c>
      <c r="G9" s="3">
        <v>548</v>
      </c>
      <c r="I9" t="s">
        <v>136</v>
      </c>
      <c r="J9" s="3" t="s">
        <v>137</v>
      </c>
    </row>
    <row r="10" spans="1:10" ht="12.75" hidden="1" x14ac:dyDescent="0.2">
      <c r="A10" s="3" t="s">
        <v>124</v>
      </c>
      <c r="B10" s="3">
        <v>1</v>
      </c>
      <c r="C10" s="3" t="s">
        <v>12</v>
      </c>
      <c r="D10" s="3" t="s">
        <v>125</v>
      </c>
      <c r="E10" s="3" t="s">
        <v>138</v>
      </c>
      <c r="F10" s="3" t="str">
        <f t="shared" si="0"/>
        <v>4 - Blanco/Nulo</v>
      </c>
      <c r="G10" s="3">
        <v>44</v>
      </c>
      <c r="I10" t="s">
        <v>139</v>
      </c>
      <c r="J10" s="3" t="s">
        <v>131</v>
      </c>
    </row>
    <row r="11" spans="1:10" ht="12.75" hidden="1" x14ac:dyDescent="0.2">
      <c r="A11" s="3" t="s">
        <v>124</v>
      </c>
      <c r="B11" s="3">
        <v>1</v>
      </c>
      <c r="C11" s="3" t="s">
        <v>12</v>
      </c>
      <c r="D11" s="3" t="s">
        <v>125</v>
      </c>
      <c r="E11" s="3" t="s">
        <v>14</v>
      </c>
      <c r="F11" s="3" t="str">
        <f t="shared" si="0"/>
        <v>4 - Blanco/Nulo</v>
      </c>
      <c r="G11" s="3">
        <v>13</v>
      </c>
      <c r="I11" t="s">
        <v>140</v>
      </c>
      <c r="J11" s="3" t="s">
        <v>131</v>
      </c>
    </row>
    <row r="12" spans="1:10" ht="12.75" hidden="1" x14ac:dyDescent="0.2">
      <c r="A12" s="3" t="s">
        <v>124</v>
      </c>
      <c r="B12" s="3">
        <v>2</v>
      </c>
      <c r="C12" s="3" t="s">
        <v>25</v>
      </c>
      <c r="D12" s="3" t="s">
        <v>125</v>
      </c>
      <c r="E12" s="3" t="s">
        <v>3</v>
      </c>
      <c r="F12" s="3" t="str">
        <f t="shared" si="0"/>
        <v>1 - PJ</v>
      </c>
      <c r="G12" s="3">
        <v>1806</v>
      </c>
      <c r="I12" t="s">
        <v>132</v>
      </c>
      <c r="J12" s="3" t="s">
        <v>127</v>
      </c>
    </row>
    <row r="13" spans="1:10" ht="12.75" hidden="1" x14ac:dyDescent="0.2">
      <c r="A13" s="3" t="s">
        <v>124</v>
      </c>
      <c r="B13" s="3">
        <v>2</v>
      </c>
      <c r="C13" s="3" t="s">
        <v>25</v>
      </c>
      <c r="D13" s="3" t="s">
        <v>125</v>
      </c>
      <c r="E13" s="3" t="s">
        <v>16</v>
      </c>
      <c r="F13" s="3" t="str">
        <f t="shared" si="0"/>
        <v>3 - Otros</v>
      </c>
      <c r="G13" s="3">
        <v>31</v>
      </c>
      <c r="I13" t="s">
        <v>16</v>
      </c>
      <c r="J13" s="3" t="s">
        <v>131</v>
      </c>
    </row>
    <row r="14" spans="1:10" ht="12.75" hidden="1" x14ac:dyDescent="0.2">
      <c r="A14" s="3" t="s">
        <v>124</v>
      </c>
      <c r="B14" s="3">
        <v>2</v>
      </c>
      <c r="C14" s="3" t="s">
        <v>25</v>
      </c>
      <c r="D14" s="3" t="s">
        <v>125</v>
      </c>
      <c r="E14" s="3" t="s">
        <v>129</v>
      </c>
      <c r="F14" s="3" t="str">
        <f t="shared" si="0"/>
        <v>3 - Otros</v>
      </c>
      <c r="G14" s="3">
        <v>33</v>
      </c>
      <c r="I14" t="s">
        <v>134</v>
      </c>
      <c r="J14" s="3" t="s">
        <v>131</v>
      </c>
    </row>
    <row r="15" spans="1:10" ht="12.75" hidden="1" x14ac:dyDescent="0.2">
      <c r="A15" s="3" t="s">
        <v>124</v>
      </c>
      <c r="B15" s="3">
        <v>2</v>
      </c>
      <c r="C15" s="3" t="s">
        <v>25</v>
      </c>
      <c r="D15" s="3" t="s">
        <v>125</v>
      </c>
      <c r="E15" s="3" t="s">
        <v>132</v>
      </c>
      <c r="F15" s="3" t="str">
        <f t="shared" si="0"/>
        <v>2 - Frepam</v>
      </c>
      <c r="G15" s="3">
        <v>53</v>
      </c>
      <c r="I15" t="s">
        <v>33</v>
      </c>
      <c r="J15" s="3" t="s">
        <v>131</v>
      </c>
    </row>
    <row r="16" spans="1:10" ht="12.75" hidden="1" x14ac:dyDescent="0.2">
      <c r="A16" s="3" t="s">
        <v>124</v>
      </c>
      <c r="B16" s="3">
        <v>2</v>
      </c>
      <c r="C16" s="3" t="s">
        <v>25</v>
      </c>
      <c r="D16" s="3" t="s">
        <v>125</v>
      </c>
      <c r="E16" s="3" t="s">
        <v>134</v>
      </c>
      <c r="F16" s="3" t="str">
        <f t="shared" si="0"/>
        <v>3 - Otros</v>
      </c>
      <c r="G16" s="3">
        <v>42</v>
      </c>
      <c r="I16" t="s">
        <v>141</v>
      </c>
      <c r="J16" s="3" t="s">
        <v>131</v>
      </c>
    </row>
    <row r="17" spans="1:10" ht="12.75" hidden="1" x14ac:dyDescent="0.2">
      <c r="A17" s="3" t="s">
        <v>124</v>
      </c>
      <c r="B17" s="3">
        <v>2</v>
      </c>
      <c r="C17" s="3" t="s">
        <v>25</v>
      </c>
      <c r="D17" s="3" t="s">
        <v>125</v>
      </c>
      <c r="E17" s="3" t="s">
        <v>126</v>
      </c>
      <c r="F17" s="3" t="str">
        <f t="shared" si="0"/>
        <v>2 - Frepam</v>
      </c>
      <c r="G17" s="3">
        <v>1721</v>
      </c>
      <c r="I17" t="s">
        <v>142</v>
      </c>
      <c r="J17" s="3" t="s">
        <v>131</v>
      </c>
    </row>
    <row r="18" spans="1:10" ht="12.75" hidden="1" x14ac:dyDescent="0.2">
      <c r="A18" s="3" t="s">
        <v>124</v>
      </c>
      <c r="B18" s="3">
        <v>2</v>
      </c>
      <c r="C18" s="3" t="s">
        <v>25</v>
      </c>
      <c r="D18" s="3" t="s">
        <v>125</v>
      </c>
      <c r="E18" s="3" t="s">
        <v>138</v>
      </c>
      <c r="F18" s="3" t="str">
        <f t="shared" si="0"/>
        <v>4 - Blanco/Nulo</v>
      </c>
      <c r="G18" s="3">
        <v>61</v>
      </c>
      <c r="I18" t="s">
        <v>143</v>
      </c>
      <c r="J18" s="3" t="s">
        <v>131</v>
      </c>
    </row>
    <row r="19" spans="1:10" ht="12.75" hidden="1" x14ac:dyDescent="0.2">
      <c r="A19" s="3" t="s">
        <v>124</v>
      </c>
      <c r="B19" s="3">
        <v>2</v>
      </c>
      <c r="C19" s="3" t="s">
        <v>25</v>
      </c>
      <c r="D19" s="3" t="s">
        <v>125</v>
      </c>
      <c r="E19" s="3" t="s">
        <v>14</v>
      </c>
      <c r="F19" s="3" t="str">
        <f t="shared" si="0"/>
        <v>4 - Blanco/Nulo</v>
      </c>
      <c r="G19" s="3">
        <v>44</v>
      </c>
      <c r="I19" t="s">
        <v>144</v>
      </c>
      <c r="J19" s="3" t="s">
        <v>131</v>
      </c>
    </row>
    <row r="20" spans="1:10" ht="12.75" hidden="1" x14ac:dyDescent="0.2">
      <c r="A20" s="3" t="s">
        <v>124</v>
      </c>
      <c r="B20" s="3">
        <v>3</v>
      </c>
      <c r="C20" s="3" t="s">
        <v>35</v>
      </c>
      <c r="D20" s="3" t="s">
        <v>125</v>
      </c>
      <c r="E20" s="3" t="s">
        <v>3</v>
      </c>
      <c r="F20" s="3" t="str">
        <f t="shared" si="0"/>
        <v>1 - PJ</v>
      </c>
      <c r="G20" s="3">
        <v>976</v>
      </c>
      <c r="I20" t="s">
        <v>145</v>
      </c>
      <c r="J20" s="3" t="s">
        <v>131</v>
      </c>
    </row>
    <row r="21" spans="1:10" ht="12.75" hidden="1" x14ac:dyDescent="0.2">
      <c r="A21" s="3" t="s">
        <v>124</v>
      </c>
      <c r="B21" s="3">
        <v>3</v>
      </c>
      <c r="C21" s="3" t="s">
        <v>35</v>
      </c>
      <c r="D21" s="3" t="s">
        <v>125</v>
      </c>
      <c r="E21" s="3" t="s">
        <v>16</v>
      </c>
      <c r="F21" s="3" t="str">
        <f t="shared" si="0"/>
        <v>3 - Otros</v>
      </c>
      <c r="G21" s="3">
        <v>11</v>
      </c>
      <c r="I21" t="s">
        <v>138</v>
      </c>
      <c r="J21" s="3" t="s">
        <v>123</v>
      </c>
    </row>
    <row r="22" spans="1:10" ht="12.75" hidden="1" x14ac:dyDescent="0.2">
      <c r="A22" s="3" t="s">
        <v>124</v>
      </c>
      <c r="B22" s="3">
        <v>3</v>
      </c>
      <c r="C22" s="3" t="s">
        <v>35</v>
      </c>
      <c r="D22" s="3" t="s">
        <v>125</v>
      </c>
      <c r="E22" s="3" t="s">
        <v>129</v>
      </c>
      <c r="F22" s="3" t="str">
        <f t="shared" si="0"/>
        <v>3 - Otros</v>
      </c>
      <c r="G22" s="3">
        <v>12</v>
      </c>
      <c r="I22" t="s">
        <v>129</v>
      </c>
      <c r="J22" s="3" t="s">
        <v>131</v>
      </c>
    </row>
    <row r="23" spans="1:10" ht="12.75" hidden="1" x14ac:dyDescent="0.2">
      <c r="A23" s="3" t="s">
        <v>124</v>
      </c>
      <c r="B23" s="3">
        <v>3</v>
      </c>
      <c r="C23" s="3" t="s">
        <v>35</v>
      </c>
      <c r="D23" s="3" t="s">
        <v>125</v>
      </c>
      <c r="E23" s="3" t="s">
        <v>132</v>
      </c>
      <c r="F23" s="3" t="str">
        <f t="shared" si="0"/>
        <v>2 - Frepam</v>
      </c>
      <c r="G23" s="3">
        <v>13</v>
      </c>
      <c r="I23" t="s">
        <v>146</v>
      </c>
      <c r="J23" s="3" t="s">
        <v>131</v>
      </c>
    </row>
    <row r="24" spans="1:10" ht="12.75" hidden="1" x14ac:dyDescent="0.2">
      <c r="A24" s="3" t="s">
        <v>124</v>
      </c>
      <c r="B24" s="3">
        <v>3</v>
      </c>
      <c r="C24" s="3" t="s">
        <v>35</v>
      </c>
      <c r="D24" s="3" t="s">
        <v>125</v>
      </c>
      <c r="E24" s="3" t="s">
        <v>134</v>
      </c>
      <c r="F24" s="3" t="str">
        <f t="shared" si="0"/>
        <v>3 - Otros</v>
      </c>
      <c r="G24" s="3">
        <v>10</v>
      </c>
      <c r="I24" t="s">
        <v>147</v>
      </c>
      <c r="J24" s="3" t="s">
        <v>131</v>
      </c>
    </row>
    <row r="25" spans="1:10" ht="12.75" hidden="1" x14ac:dyDescent="0.2">
      <c r="A25" s="3" t="s">
        <v>124</v>
      </c>
      <c r="B25" s="3">
        <v>3</v>
      </c>
      <c r="C25" s="3" t="s">
        <v>35</v>
      </c>
      <c r="D25" s="3" t="s">
        <v>125</v>
      </c>
      <c r="E25" s="3" t="s">
        <v>126</v>
      </c>
      <c r="F25" s="3" t="str">
        <f t="shared" si="0"/>
        <v>2 - Frepam</v>
      </c>
      <c r="G25" s="3">
        <v>686</v>
      </c>
      <c r="I25" t="s">
        <v>148</v>
      </c>
      <c r="J25" s="3" t="s">
        <v>131</v>
      </c>
    </row>
    <row r="26" spans="1:10" ht="12.75" hidden="1" x14ac:dyDescent="0.2">
      <c r="A26" s="3" t="s">
        <v>124</v>
      </c>
      <c r="B26" s="3">
        <v>3</v>
      </c>
      <c r="C26" s="3" t="s">
        <v>35</v>
      </c>
      <c r="D26" s="3" t="s">
        <v>125</v>
      </c>
      <c r="E26" s="3" t="s">
        <v>138</v>
      </c>
      <c r="F26" s="3" t="str">
        <f t="shared" si="0"/>
        <v>4 - Blanco/Nulo</v>
      </c>
      <c r="G26" s="3">
        <v>15</v>
      </c>
      <c r="I26" t="s">
        <v>3</v>
      </c>
      <c r="J26" s="3" t="s">
        <v>137</v>
      </c>
    </row>
    <row r="27" spans="1:10" ht="12.75" hidden="1" x14ac:dyDescent="0.2">
      <c r="A27" s="3" t="s">
        <v>124</v>
      </c>
      <c r="B27" s="3">
        <v>3</v>
      </c>
      <c r="C27" s="3" t="s">
        <v>35</v>
      </c>
      <c r="D27" s="3" t="s">
        <v>125</v>
      </c>
      <c r="E27" s="3" t="s">
        <v>14</v>
      </c>
      <c r="F27" s="3" t="str">
        <f t="shared" si="0"/>
        <v>4 - Blanco/Nulo</v>
      </c>
      <c r="G27" s="3">
        <v>13</v>
      </c>
      <c r="I27" t="s">
        <v>149</v>
      </c>
      <c r="J27" s="3" t="s">
        <v>131</v>
      </c>
    </row>
    <row r="28" spans="1:10" ht="12.75" hidden="1" x14ac:dyDescent="0.2">
      <c r="A28" s="3" t="s">
        <v>124</v>
      </c>
      <c r="B28" s="3">
        <v>4</v>
      </c>
      <c r="C28" s="3" t="s">
        <v>36</v>
      </c>
      <c r="D28" s="3" t="s">
        <v>125</v>
      </c>
      <c r="E28" s="3" t="s">
        <v>3</v>
      </c>
      <c r="F28" s="3" t="str">
        <f t="shared" si="0"/>
        <v>1 - PJ</v>
      </c>
      <c r="G28" s="3">
        <v>309</v>
      </c>
      <c r="I28" t="s">
        <v>150</v>
      </c>
      <c r="J28" s="3" t="s">
        <v>131</v>
      </c>
    </row>
    <row r="29" spans="1:10" ht="12.75" hidden="1" x14ac:dyDescent="0.2">
      <c r="A29" s="3" t="s">
        <v>124</v>
      </c>
      <c r="B29" s="3">
        <v>4</v>
      </c>
      <c r="C29" s="3" t="s">
        <v>36</v>
      </c>
      <c r="D29" s="3" t="s">
        <v>125</v>
      </c>
      <c r="E29" s="3" t="s">
        <v>16</v>
      </c>
      <c r="F29" s="3" t="str">
        <f t="shared" si="0"/>
        <v>3 - Otros</v>
      </c>
      <c r="G29" s="3">
        <v>4</v>
      </c>
      <c r="I29" t="s">
        <v>151</v>
      </c>
      <c r="J29" s="3" t="s">
        <v>131</v>
      </c>
    </row>
    <row r="30" spans="1:10" ht="12.75" hidden="1" x14ac:dyDescent="0.2">
      <c r="A30" s="3" t="s">
        <v>124</v>
      </c>
      <c r="B30" s="3">
        <v>4</v>
      </c>
      <c r="C30" s="3" t="s">
        <v>36</v>
      </c>
      <c r="D30" s="3" t="s">
        <v>125</v>
      </c>
      <c r="E30" s="3" t="s">
        <v>129</v>
      </c>
      <c r="F30" s="3" t="str">
        <f t="shared" si="0"/>
        <v>3 - Otros</v>
      </c>
      <c r="G30" s="3">
        <v>1</v>
      </c>
      <c r="I30" s="3" t="s">
        <v>152</v>
      </c>
      <c r="J30" s="3" t="s">
        <v>127</v>
      </c>
    </row>
    <row r="31" spans="1:10" ht="12.75" hidden="1" x14ac:dyDescent="0.2">
      <c r="A31" s="3" t="s">
        <v>124</v>
      </c>
      <c r="B31" s="3">
        <v>4</v>
      </c>
      <c r="C31" s="3" t="s">
        <v>36</v>
      </c>
      <c r="D31" s="3" t="s">
        <v>125</v>
      </c>
      <c r="E31" s="3" t="s">
        <v>132</v>
      </c>
      <c r="F31" s="3" t="str">
        <f t="shared" si="0"/>
        <v>2 - Frepam</v>
      </c>
      <c r="G31" s="3">
        <v>1</v>
      </c>
    </row>
    <row r="32" spans="1:10" ht="12.75" hidden="1" x14ac:dyDescent="0.2">
      <c r="A32" s="3" t="s">
        <v>124</v>
      </c>
      <c r="B32" s="3">
        <v>4</v>
      </c>
      <c r="C32" s="3" t="s">
        <v>36</v>
      </c>
      <c r="D32" s="3" t="s">
        <v>125</v>
      </c>
      <c r="E32" s="3" t="s">
        <v>134</v>
      </c>
      <c r="F32" s="3" t="str">
        <f t="shared" si="0"/>
        <v>3 - Otros</v>
      </c>
      <c r="G32" s="3">
        <v>10</v>
      </c>
    </row>
    <row r="33" spans="1:7" ht="12.75" hidden="1" x14ac:dyDescent="0.2">
      <c r="A33" s="3" t="s">
        <v>124</v>
      </c>
      <c r="B33" s="3">
        <v>4</v>
      </c>
      <c r="C33" s="3" t="s">
        <v>36</v>
      </c>
      <c r="D33" s="3" t="s">
        <v>125</v>
      </c>
      <c r="E33" s="3" t="s">
        <v>126</v>
      </c>
      <c r="F33" s="3" t="str">
        <f t="shared" si="0"/>
        <v>2 - Frepam</v>
      </c>
      <c r="G33" s="3">
        <v>203</v>
      </c>
    </row>
    <row r="34" spans="1:7" ht="12.75" hidden="1" x14ac:dyDescent="0.2">
      <c r="A34" s="3" t="s">
        <v>124</v>
      </c>
      <c r="B34" s="3">
        <v>4</v>
      </c>
      <c r="C34" s="3" t="s">
        <v>36</v>
      </c>
      <c r="D34" s="3" t="s">
        <v>125</v>
      </c>
      <c r="E34" s="3" t="s">
        <v>138</v>
      </c>
      <c r="F34" s="3" t="str">
        <f t="shared" si="0"/>
        <v>4 - Blanco/Nulo</v>
      </c>
      <c r="G34" s="3">
        <v>4</v>
      </c>
    </row>
    <row r="35" spans="1:7" ht="12.75" hidden="1" x14ac:dyDescent="0.2">
      <c r="A35" s="3" t="s">
        <v>124</v>
      </c>
      <c r="B35" s="3">
        <v>4</v>
      </c>
      <c r="C35" s="3" t="s">
        <v>36</v>
      </c>
      <c r="D35" s="3" t="s">
        <v>125</v>
      </c>
      <c r="E35" s="3" t="s">
        <v>14</v>
      </c>
      <c r="F35" s="3" t="str">
        <f t="shared" si="0"/>
        <v>4 - Blanco/Nulo</v>
      </c>
      <c r="G35" s="3">
        <v>13</v>
      </c>
    </row>
    <row r="36" spans="1:7" ht="12.75" hidden="1" x14ac:dyDescent="0.2">
      <c r="A36" s="3" t="s">
        <v>124</v>
      </c>
      <c r="B36" s="3">
        <v>5</v>
      </c>
      <c r="C36" s="3" t="s">
        <v>37</v>
      </c>
      <c r="D36" s="3" t="s">
        <v>125</v>
      </c>
      <c r="E36" s="3" t="s">
        <v>3</v>
      </c>
      <c r="F36" s="3" t="str">
        <f t="shared" si="0"/>
        <v>1 - PJ</v>
      </c>
      <c r="G36" s="3">
        <v>119</v>
      </c>
    </row>
    <row r="37" spans="1:7" ht="12.75" hidden="1" x14ac:dyDescent="0.2">
      <c r="A37" s="3" t="s">
        <v>124</v>
      </c>
      <c r="B37" s="3">
        <v>5</v>
      </c>
      <c r="C37" s="3" t="s">
        <v>37</v>
      </c>
      <c r="D37" s="3" t="s">
        <v>125</v>
      </c>
      <c r="E37" s="3" t="s">
        <v>16</v>
      </c>
      <c r="F37" s="3" t="str">
        <f t="shared" si="0"/>
        <v>3 - Otros</v>
      </c>
      <c r="G37" s="3">
        <v>1</v>
      </c>
    </row>
    <row r="38" spans="1:7" ht="12.75" hidden="1" x14ac:dyDescent="0.2">
      <c r="A38" s="3" t="s">
        <v>124</v>
      </c>
      <c r="B38" s="3">
        <v>5</v>
      </c>
      <c r="C38" s="3" t="s">
        <v>37</v>
      </c>
      <c r="D38" s="3" t="s">
        <v>125</v>
      </c>
      <c r="E38" s="3" t="s">
        <v>129</v>
      </c>
      <c r="F38" s="3" t="str">
        <f t="shared" si="0"/>
        <v>3 - Otros</v>
      </c>
      <c r="G38" s="3">
        <v>2</v>
      </c>
    </row>
    <row r="39" spans="1:7" ht="12.75" hidden="1" x14ac:dyDescent="0.2">
      <c r="A39" s="3" t="s">
        <v>124</v>
      </c>
      <c r="B39" s="3">
        <v>5</v>
      </c>
      <c r="C39" s="3" t="s">
        <v>37</v>
      </c>
      <c r="D39" s="3" t="s">
        <v>125</v>
      </c>
      <c r="E39" s="3" t="s">
        <v>132</v>
      </c>
      <c r="F39" s="3" t="str">
        <f t="shared" si="0"/>
        <v>2 - Frepam</v>
      </c>
      <c r="G39" s="3">
        <v>4</v>
      </c>
    </row>
    <row r="40" spans="1:7" ht="12.75" hidden="1" x14ac:dyDescent="0.2">
      <c r="A40" s="3" t="s">
        <v>124</v>
      </c>
      <c r="B40" s="3">
        <v>5</v>
      </c>
      <c r="C40" s="3" t="s">
        <v>37</v>
      </c>
      <c r="D40" s="3" t="s">
        <v>125</v>
      </c>
      <c r="E40" s="3" t="s">
        <v>134</v>
      </c>
      <c r="F40" s="3" t="str">
        <f t="shared" si="0"/>
        <v>3 - Otros</v>
      </c>
      <c r="G40" s="3">
        <v>1</v>
      </c>
    </row>
    <row r="41" spans="1:7" ht="12.75" hidden="1" x14ac:dyDescent="0.2">
      <c r="A41" s="3" t="s">
        <v>124</v>
      </c>
      <c r="B41" s="3">
        <v>5</v>
      </c>
      <c r="C41" s="3" t="s">
        <v>37</v>
      </c>
      <c r="D41" s="3" t="s">
        <v>125</v>
      </c>
      <c r="E41" s="3" t="s">
        <v>126</v>
      </c>
      <c r="F41" s="3" t="str">
        <f t="shared" si="0"/>
        <v>2 - Frepam</v>
      </c>
      <c r="G41" s="3">
        <v>175</v>
      </c>
    </row>
    <row r="42" spans="1:7" ht="12.75" hidden="1" x14ac:dyDescent="0.2">
      <c r="A42" s="3" t="s">
        <v>124</v>
      </c>
      <c r="B42" s="3">
        <v>5</v>
      </c>
      <c r="C42" s="3" t="s">
        <v>37</v>
      </c>
      <c r="D42" s="3" t="s">
        <v>125</v>
      </c>
      <c r="E42" s="3" t="s">
        <v>138</v>
      </c>
      <c r="F42" s="3" t="str">
        <f t="shared" si="0"/>
        <v>4 - Blanco/Nulo</v>
      </c>
      <c r="G42" s="3">
        <v>1</v>
      </c>
    </row>
    <row r="43" spans="1:7" ht="12.75" hidden="1" x14ac:dyDescent="0.2">
      <c r="A43" s="3" t="s">
        <v>124</v>
      </c>
      <c r="B43" s="3">
        <v>5</v>
      </c>
      <c r="C43" s="3" t="s">
        <v>37</v>
      </c>
      <c r="D43" s="3" t="s">
        <v>125</v>
      </c>
      <c r="E43" s="3" t="s">
        <v>14</v>
      </c>
      <c r="F43" s="3" t="str">
        <f t="shared" si="0"/>
        <v>4 - Blanco/Nulo</v>
      </c>
      <c r="G43" s="3">
        <v>7</v>
      </c>
    </row>
    <row r="44" spans="1:7" ht="12.75" hidden="1" x14ac:dyDescent="0.2">
      <c r="A44" s="3" t="s">
        <v>124</v>
      </c>
      <c r="B44" s="3">
        <v>6</v>
      </c>
      <c r="C44" s="3" t="s">
        <v>38</v>
      </c>
      <c r="D44" s="3" t="s">
        <v>125</v>
      </c>
      <c r="E44" s="3" t="s">
        <v>3</v>
      </c>
      <c r="F44" s="3" t="str">
        <f t="shared" si="0"/>
        <v>1 - PJ</v>
      </c>
      <c r="G44" s="3">
        <v>542</v>
      </c>
    </row>
    <row r="45" spans="1:7" ht="12.75" hidden="1" x14ac:dyDescent="0.2">
      <c r="A45" s="3" t="s">
        <v>124</v>
      </c>
      <c r="B45" s="3">
        <v>6</v>
      </c>
      <c r="C45" s="3" t="s">
        <v>38</v>
      </c>
      <c r="D45" s="3" t="s">
        <v>125</v>
      </c>
      <c r="E45" s="3" t="s">
        <v>16</v>
      </c>
      <c r="F45" s="3" t="str">
        <f t="shared" si="0"/>
        <v>3 - Otros</v>
      </c>
      <c r="G45" s="3">
        <v>24</v>
      </c>
    </row>
    <row r="46" spans="1:7" ht="12.75" hidden="1" x14ac:dyDescent="0.2">
      <c r="A46" s="3" t="s">
        <v>124</v>
      </c>
      <c r="B46" s="3">
        <v>6</v>
      </c>
      <c r="C46" s="3" t="s">
        <v>38</v>
      </c>
      <c r="D46" s="3" t="s">
        <v>125</v>
      </c>
      <c r="E46" s="3" t="s">
        <v>129</v>
      </c>
      <c r="F46" s="3" t="str">
        <f t="shared" si="0"/>
        <v>3 - Otros</v>
      </c>
      <c r="G46" s="3">
        <v>24</v>
      </c>
    </row>
    <row r="47" spans="1:7" ht="12.75" hidden="1" x14ac:dyDescent="0.2">
      <c r="A47" s="3" t="s">
        <v>124</v>
      </c>
      <c r="B47" s="3">
        <v>6</v>
      </c>
      <c r="C47" s="3" t="s">
        <v>38</v>
      </c>
      <c r="D47" s="3" t="s">
        <v>125</v>
      </c>
      <c r="E47" s="3" t="s">
        <v>132</v>
      </c>
      <c r="F47" s="3" t="str">
        <f t="shared" si="0"/>
        <v>2 - Frepam</v>
      </c>
      <c r="G47" s="3">
        <v>30</v>
      </c>
    </row>
    <row r="48" spans="1:7" ht="12.75" hidden="1" x14ac:dyDescent="0.2">
      <c r="A48" s="3" t="s">
        <v>124</v>
      </c>
      <c r="B48" s="3">
        <v>6</v>
      </c>
      <c r="C48" s="3" t="s">
        <v>38</v>
      </c>
      <c r="D48" s="3" t="s">
        <v>125</v>
      </c>
      <c r="E48" s="3" t="s">
        <v>134</v>
      </c>
      <c r="F48" s="3" t="str">
        <f t="shared" si="0"/>
        <v>3 - Otros</v>
      </c>
      <c r="G48" s="3">
        <v>26</v>
      </c>
    </row>
    <row r="49" spans="1:7" ht="12.75" hidden="1" x14ac:dyDescent="0.2">
      <c r="A49" s="3" t="s">
        <v>124</v>
      </c>
      <c r="B49" s="3">
        <v>6</v>
      </c>
      <c r="C49" s="3" t="s">
        <v>38</v>
      </c>
      <c r="D49" s="3" t="s">
        <v>125</v>
      </c>
      <c r="E49" s="3" t="s">
        <v>126</v>
      </c>
      <c r="F49" s="3" t="str">
        <f t="shared" si="0"/>
        <v>2 - Frepam</v>
      </c>
      <c r="G49" s="3">
        <v>607</v>
      </c>
    </row>
    <row r="50" spans="1:7" ht="12.75" hidden="1" x14ac:dyDescent="0.2">
      <c r="A50" s="3" t="s">
        <v>124</v>
      </c>
      <c r="B50" s="3">
        <v>6</v>
      </c>
      <c r="C50" s="3" t="s">
        <v>38</v>
      </c>
      <c r="D50" s="3" t="s">
        <v>125</v>
      </c>
      <c r="E50" s="3" t="s">
        <v>138</v>
      </c>
      <c r="F50" s="3" t="str">
        <f t="shared" si="0"/>
        <v>4 - Blanco/Nulo</v>
      </c>
      <c r="G50" s="3">
        <v>32</v>
      </c>
    </row>
    <row r="51" spans="1:7" ht="12.75" hidden="1" x14ac:dyDescent="0.2">
      <c r="A51" s="3" t="s">
        <v>124</v>
      </c>
      <c r="B51" s="3">
        <v>6</v>
      </c>
      <c r="C51" s="3" t="s">
        <v>38</v>
      </c>
      <c r="D51" s="3" t="s">
        <v>125</v>
      </c>
      <c r="E51" s="3" t="s">
        <v>14</v>
      </c>
      <c r="F51" s="3" t="str">
        <f t="shared" si="0"/>
        <v>4 - Blanco/Nulo</v>
      </c>
      <c r="G51" s="3">
        <v>19</v>
      </c>
    </row>
    <row r="52" spans="1:7" ht="12.75" hidden="1" x14ac:dyDescent="0.2">
      <c r="A52" s="3" t="s">
        <v>124</v>
      </c>
      <c r="B52" s="3" t="s">
        <v>39</v>
      </c>
      <c r="C52" s="3" t="s">
        <v>40</v>
      </c>
      <c r="D52" s="3" t="s">
        <v>125</v>
      </c>
      <c r="E52" s="3" t="s">
        <v>3</v>
      </c>
      <c r="F52" s="3" t="str">
        <f t="shared" si="0"/>
        <v>1 - PJ</v>
      </c>
      <c r="G52" s="3">
        <v>29204</v>
      </c>
    </row>
    <row r="53" spans="1:7" ht="12.75" hidden="1" x14ac:dyDescent="0.2">
      <c r="A53" s="3" t="s">
        <v>124</v>
      </c>
      <c r="B53" s="3" t="s">
        <v>39</v>
      </c>
      <c r="C53" s="3" t="s">
        <v>40</v>
      </c>
      <c r="D53" s="3" t="s">
        <v>125</v>
      </c>
      <c r="E53" s="3" t="s">
        <v>16</v>
      </c>
      <c r="F53" s="3" t="str">
        <f t="shared" si="0"/>
        <v>3 - Otros</v>
      </c>
      <c r="G53" s="3">
        <v>2039</v>
      </c>
    </row>
    <row r="54" spans="1:7" ht="12.75" hidden="1" x14ac:dyDescent="0.2">
      <c r="A54" s="3" t="s">
        <v>124</v>
      </c>
      <c r="B54" s="3" t="s">
        <v>39</v>
      </c>
      <c r="C54" s="3" t="s">
        <v>40</v>
      </c>
      <c r="D54" s="3" t="s">
        <v>125</v>
      </c>
      <c r="E54" s="3" t="s">
        <v>129</v>
      </c>
      <c r="F54" s="3" t="str">
        <f t="shared" si="0"/>
        <v>3 - Otros</v>
      </c>
      <c r="G54" s="3">
        <v>2233</v>
      </c>
    </row>
    <row r="55" spans="1:7" ht="12.75" hidden="1" x14ac:dyDescent="0.2">
      <c r="A55" s="3" t="s">
        <v>124</v>
      </c>
      <c r="B55" s="3" t="s">
        <v>39</v>
      </c>
      <c r="C55" s="3" t="s">
        <v>40</v>
      </c>
      <c r="D55" s="3" t="s">
        <v>125</v>
      </c>
      <c r="E55" s="3" t="s">
        <v>132</v>
      </c>
      <c r="F55" s="3" t="str">
        <f t="shared" si="0"/>
        <v>2 - Frepam</v>
      </c>
      <c r="G55" s="3">
        <v>2070</v>
      </c>
    </row>
    <row r="56" spans="1:7" ht="12.75" hidden="1" x14ac:dyDescent="0.2">
      <c r="A56" s="3" t="s">
        <v>124</v>
      </c>
      <c r="B56" s="3" t="s">
        <v>39</v>
      </c>
      <c r="C56" s="3" t="s">
        <v>40</v>
      </c>
      <c r="D56" s="3" t="s">
        <v>125</v>
      </c>
      <c r="E56" s="3" t="s">
        <v>134</v>
      </c>
      <c r="F56" s="3" t="str">
        <f t="shared" si="0"/>
        <v>3 - Otros</v>
      </c>
      <c r="G56" s="3">
        <v>1785</v>
      </c>
    </row>
    <row r="57" spans="1:7" ht="12.75" hidden="1" x14ac:dyDescent="0.2">
      <c r="A57" s="3" t="s">
        <v>124</v>
      </c>
      <c r="B57" s="3" t="s">
        <v>39</v>
      </c>
      <c r="C57" s="3" t="s">
        <v>40</v>
      </c>
      <c r="D57" s="3" t="s">
        <v>125</v>
      </c>
      <c r="E57" s="3" t="s">
        <v>126</v>
      </c>
      <c r="F57" s="3" t="str">
        <f t="shared" si="0"/>
        <v>2 - Frepam</v>
      </c>
      <c r="G57" s="3">
        <v>28917</v>
      </c>
    </row>
    <row r="58" spans="1:7" ht="12.75" hidden="1" x14ac:dyDescent="0.2">
      <c r="A58" s="3" t="s">
        <v>124</v>
      </c>
      <c r="B58" s="3" t="s">
        <v>39</v>
      </c>
      <c r="C58" s="3" t="s">
        <v>40</v>
      </c>
      <c r="D58" s="3" t="s">
        <v>125</v>
      </c>
      <c r="E58" s="3" t="s">
        <v>138</v>
      </c>
      <c r="F58" s="3" t="str">
        <f t="shared" si="0"/>
        <v>4 - Blanco/Nulo</v>
      </c>
      <c r="G58" s="3">
        <v>1462</v>
      </c>
    </row>
    <row r="59" spans="1:7" ht="12.75" hidden="1" x14ac:dyDescent="0.2">
      <c r="A59" s="3" t="s">
        <v>124</v>
      </c>
      <c r="B59" s="3" t="s">
        <v>39</v>
      </c>
      <c r="C59" s="3" t="s">
        <v>40</v>
      </c>
      <c r="D59" s="3" t="s">
        <v>125</v>
      </c>
      <c r="E59" s="3" t="s">
        <v>14</v>
      </c>
      <c r="F59" s="3" t="str">
        <f t="shared" si="0"/>
        <v>4 - Blanco/Nulo</v>
      </c>
      <c r="G59" s="3">
        <v>554</v>
      </c>
    </row>
    <row r="60" spans="1:7" ht="12.75" hidden="1" x14ac:dyDescent="0.2">
      <c r="A60" s="3" t="s">
        <v>124</v>
      </c>
      <c r="B60" s="3">
        <v>11</v>
      </c>
      <c r="C60" s="3" t="s">
        <v>41</v>
      </c>
      <c r="D60" s="3" t="s">
        <v>125</v>
      </c>
      <c r="E60" s="3" t="s">
        <v>3</v>
      </c>
      <c r="F60" s="3" t="str">
        <f t="shared" si="0"/>
        <v>1 - PJ</v>
      </c>
      <c r="G60" s="3">
        <v>884</v>
      </c>
    </row>
    <row r="61" spans="1:7" ht="12.75" hidden="1" x14ac:dyDescent="0.2">
      <c r="A61" s="3" t="s">
        <v>124</v>
      </c>
      <c r="B61" s="3">
        <v>11</v>
      </c>
      <c r="C61" s="3" t="s">
        <v>41</v>
      </c>
      <c r="D61" s="3" t="s">
        <v>125</v>
      </c>
      <c r="E61" s="3" t="s">
        <v>16</v>
      </c>
      <c r="F61" s="3" t="str">
        <f t="shared" si="0"/>
        <v>3 - Otros</v>
      </c>
      <c r="G61" s="3">
        <v>25</v>
      </c>
    </row>
    <row r="62" spans="1:7" ht="12.75" hidden="1" x14ac:dyDescent="0.2">
      <c r="A62" s="3" t="s">
        <v>124</v>
      </c>
      <c r="B62" s="3">
        <v>11</v>
      </c>
      <c r="C62" s="3" t="s">
        <v>41</v>
      </c>
      <c r="D62" s="3" t="s">
        <v>125</v>
      </c>
      <c r="E62" s="3" t="s">
        <v>129</v>
      </c>
      <c r="F62" s="3" t="str">
        <f t="shared" si="0"/>
        <v>3 - Otros</v>
      </c>
      <c r="G62" s="3">
        <v>18</v>
      </c>
    </row>
    <row r="63" spans="1:7" ht="12.75" hidden="1" x14ac:dyDescent="0.2">
      <c r="A63" s="3" t="s">
        <v>124</v>
      </c>
      <c r="B63" s="3">
        <v>11</v>
      </c>
      <c r="C63" s="3" t="s">
        <v>41</v>
      </c>
      <c r="D63" s="3" t="s">
        <v>125</v>
      </c>
      <c r="E63" s="3" t="s">
        <v>132</v>
      </c>
      <c r="F63" s="3" t="str">
        <f t="shared" si="0"/>
        <v>2 - Frepam</v>
      </c>
      <c r="G63" s="3">
        <v>46</v>
      </c>
    </row>
    <row r="64" spans="1:7" ht="12.75" hidden="1" x14ac:dyDescent="0.2">
      <c r="A64" s="3" t="s">
        <v>124</v>
      </c>
      <c r="B64" s="3">
        <v>11</v>
      </c>
      <c r="C64" s="3" t="s">
        <v>41</v>
      </c>
      <c r="D64" s="3" t="s">
        <v>125</v>
      </c>
      <c r="E64" s="3" t="s">
        <v>134</v>
      </c>
      <c r="F64" s="3" t="str">
        <f t="shared" si="0"/>
        <v>3 - Otros</v>
      </c>
      <c r="G64" s="3">
        <v>30</v>
      </c>
    </row>
    <row r="65" spans="1:7" ht="12.75" hidden="1" x14ac:dyDescent="0.2">
      <c r="A65" s="3" t="s">
        <v>124</v>
      </c>
      <c r="B65" s="3">
        <v>11</v>
      </c>
      <c r="C65" s="3" t="s">
        <v>41</v>
      </c>
      <c r="D65" s="3" t="s">
        <v>125</v>
      </c>
      <c r="E65" s="3" t="s">
        <v>126</v>
      </c>
      <c r="F65" s="3" t="str">
        <f t="shared" si="0"/>
        <v>2 - Frepam</v>
      </c>
      <c r="G65" s="3">
        <v>443</v>
      </c>
    </row>
    <row r="66" spans="1:7" ht="12.75" hidden="1" x14ac:dyDescent="0.2">
      <c r="A66" s="3" t="s">
        <v>124</v>
      </c>
      <c r="B66" s="3">
        <v>11</v>
      </c>
      <c r="C66" s="3" t="s">
        <v>41</v>
      </c>
      <c r="D66" s="3" t="s">
        <v>125</v>
      </c>
      <c r="E66" s="3" t="s">
        <v>138</v>
      </c>
      <c r="F66" s="3" t="str">
        <f t="shared" si="0"/>
        <v>4 - Blanco/Nulo</v>
      </c>
      <c r="G66" s="3">
        <v>31</v>
      </c>
    </row>
    <row r="67" spans="1:7" ht="12.75" hidden="1" x14ac:dyDescent="0.2">
      <c r="A67" s="3" t="s">
        <v>124</v>
      </c>
      <c r="B67" s="3">
        <v>11</v>
      </c>
      <c r="C67" s="3" t="s">
        <v>41</v>
      </c>
      <c r="D67" s="3" t="s">
        <v>125</v>
      </c>
      <c r="E67" s="3" t="s">
        <v>14</v>
      </c>
      <c r="F67" s="3" t="str">
        <f t="shared" si="0"/>
        <v>4 - Blanco/Nulo</v>
      </c>
      <c r="G67" s="3">
        <v>8</v>
      </c>
    </row>
    <row r="68" spans="1:7" ht="12.75" hidden="1" x14ac:dyDescent="0.2">
      <c r="A68" s="3" t="s">
        <v>124</v>
      </c>
      <c r="B68" s="3">
        <v>13</v>
      </c>
      <c r="C68" s="3" t="s">
        <v>42</v>
      </c>
      <c r="D68" s="3" t="s">
        <v>125</v>
      </c>
      <c r="E68" s="3" t="s">
        <v>3</v>
      </c>
      <c r="F68" s="3" t="str">
        <f t="shared" si="0"/>
        <v>1 - PJ</v>
      </c>
      <c r="G68" s="3">
        <v>1514</v>
      </c>
    </row>
    <row r="69" spans="1:7" ht="12.75" hidden="1" x14ac:dyDescent="0.2">
      <c r="A69" s="3" t="s">
        <v>124</v>
      </c>
      <c r="B69" s="3">
        <v>13</v>
      </c>
      <c r="C69" s="3" t="s">
        <v>42</v>
      </c>
      <c r="D69" s="3" t="s">
        <v>125</v>
      </c>
      <c r="E69" s="3" t="s">
        <v>16</v>
      </c>
      <c r="F69" s="3" t="str">
        <f t="shared" si="0"/>
        <v>3 - Otros</v>
      </c>
      <c r="G69" s="3">
        <v>28</v>
      </c>
    </row>
    <row r="70" spans="1:7" ht="12.75" hidden="1" x14ac:dyDescent="0.2">
      <c r="A70" s="3" t="s">
        <v>124</v>
      </c>
      <c r="B70" s="3">
        <v>13</v>
      </c>
      <c r="C70" s="3" t="s">
        <v>42</v>
      </c>
      <c r="D70" s="3" t="s">
        <v>125</v>
      </c>
      <c r="E70" s="3" t="s">
        <v>129</v>
      </c>
      <c r="F70" s="3" t="str">
        <f t="shared" si="0"/>
        <v>3 - Otros</v>
      </c>
      <c r="G70" s="3">
        <v>19</v>
      </c>
    </row>
    <row r="71" spans="1:7" ht="12.75" hidden="1" x14ac:dyDescent="0.2">
      <c r="A71" s="3" t="s">
        <v>124</v>
      </c>
      <c r="B71" s="3">
        <v>13</v>
      </c>
      <c r="C71" s="3" t="s">
        <v>42</v>
      </c>
      <c r="D71" s="3" t="s">
        <v>125</v>
      </c>
      <c r="E71" s="3" t="s">
        <v>132</v>
      </c>
      <c r="F71" s="3" t="str">
        <f t="shared" si="0"/>
        <v>2 - Frepam</v>
      </c>
      <c r="G71" s="3">
        <v>29</v>
      </c>
    </row>
    <row r="72" spans="1:7" ht="12.75" hidden="1" x14ac:dyDescent="0.2">
      <c r="A72" s="3" t="s">
        <v>124</v>
      </c>
      <c r="B72" s="3">
        <v>13</v>
      </c>
      <c r="C72" s="3" t="s">
        <v>42</v>
      </c>
      <c r="D72" s="3" t="s">
        <v>125</v>
      </c>
      <c r="E72" s="3" t="s">
        <v>134</v>
      </c>
      <c r="F72" s="3" t="str">
        <f t="shared" si="0"/>
        <v>3 - Otros</v>
      </c>
      <c r="G72" s="3">
        <v>31</v>
      </c>
    </row>
    <row r="73" spans="1:7" ht="12.75" hidden="1" x14ac:dyDescent="0.2">
      <c r="A73" s="3" t="s">
        <v>124</v>
      </c>
      <c r="B73" s="3">
        <v>13</v>
      </c>
      <c r="C73" s="3" t="s">
        <v>42</v>
      </c>
      <c r="D73" s="3" t="s">
        <v>125</v>
      </c>
      <c r="E73" s="3" t="s">
        <v>126</v>
      </c>
      <c r="F73" s="3" t="str">
        <f t="shared" si="0"/>
        <v>2 - Frepam</v>
      </c>
      <c r="G73" s="3">
        <v>1384</v>
      </c>
    </row>
    <row r="74" spans="1:7" ht="12.75" hidden="1" x14ac:dyDescent="0.2">
      <c r="A74" s="3" t="s">
        <v>124</v>
      </c>
      <c r="B74" s="3">
        <v>13</v>
      </c>
      <c r="C74" s="3" t="s">
        <v>42</v>
      </c>
      <c r="D74" s="3" t="s">
        <v>125</v>
      </c>
      <c r="E74" s="3" t="s">
        <v>138</v>
      </c>
      <c r="F74" s="3" t="str">
        <f t="shared" si="0"/>
        <v>4 - Blanco/Nulo</v>
      </c>
      <c r="G74" s="3">
        <v>58</v>
      </c>
    </row>
    <row r="75" spans="1:7" ht="12.75" hidden="1" x14ac:dyDescent="0.2">
      <c r="A75" s="3" t="s">
        <v>124</v>
      </c>
      <c r="B75" s="3">
        <v>13</v>
      </c>
      <c r="C75" s="3" t="s">
        <v>42</v>
      </c>
      <c r="D75" s="3" t="s">
        <v>125</v>
      </c>
      <c r="E75" s="3" t="s">
        <v>14</v>
      </c>
      <c r="F75" s="3" t="str">
        <f t="shared" si="0"/>
        <v>4 - Blanco/Nulo</v>
      </c>
      <c r="G75" s="3">
        <v>23</v>
      </c>
    </row>
    <row r="76" spans="1:7" ht="12.75" hidden="1" x14ac:dyDescent="0.2">
      <c r="A76" s="3" t="s">
        <v>124</v>
      </c>
      <c r="B76" s="3">
        <v>14</v>
      </c>
      <c r="C76" s="3" t="s">
        <v>153</v>
      </c>
      <c r="D76" s="3" t="s">
        <v>125</v>
      </c>
      <c r="E76" s="3" t="s">
        <v>3</v>
      </c>
      <c r="F76" s="3" t="str">
        <f t="shared" si="0"/>
        <v>1 - PJ</v>
      </c>
      <c r="G76" s="3">
        <v>9</v>
      </c>
    </row>
    <row r="77" spans="1:7" ht="12.75" hidden="1" x14ac:dyDescent="0.2">
      <c r="A77" s="3" t="s">
        <v>124</v>
      </c>
      <c r="B77" s="3">
        <v>14</v>
      </c>
      <c r="C77" s="3" t="s">
        <v>153</v>
      </c>
      <c r="D77" s="3" t="s">
        <v>125</v>
      </c>
      <c r="E77" s="3" t="s">
        <v>16</v>
      </c>
      <c r="F77" s="3" t="str">
        <f t="shared" si="0"/>
        <v>3 - Otros</v>
      </c>
      <c r="G77" s="3">
        <v>3</v>
      </c>
    </row>
    <row r="78" spans="1:7" ht="12.75" hidden="1" x14ac:dyDescent="0.2">
      <c r="A78" s="3" t="s">
        <v>124</v>
      </c>
      <c r="B78" s="3">
        <v>14</v>
      </c>
      <c r="C78" s="3" t="s">
        <v>153</v>
      </c>
      <c r="D78" s="3" t="s">
        <v>125</v>
      </c>
      <c r="E78" s="3" t="s">
        <v>129</v>
      </c>
      <c r="F78" s="3" t="str">
        <f t="shared" si="0"/>
        <v>3 - Otros</v>
      </c>
      <c r="G78" s="3">
        <v>1</v>
      </c>
    </row>
    <row r="79" spans="1:7" ht="12.75" hidden="1" x14ac:dyDescent="0.2">
      <c r="A79" s="3" t="s">
        <v>124</v>
      </c>
      <c r="B79" s="3">
        <v>14</v>
      </c>
      <c r="C79" s="3" t="s">
        <v>153</v>
      </c>
      <c r="D79" s="3" t="s">
        <v>125</v>
      </c>
      <c r="E79" s="3" t="s">
        <v>132</v>
      </c>
      <c r="F79" s="3" t="str">
        <f t="shared" si="0"/>
        <v>2 - Frepam</v>
      </c>
      <c r="G79" s="3">
        <v>3</v>
      </c>
    </row>
    <row r="80" spans="1:7" ht="12.75" hidden="1" x14ac:dyDescent="0.2">
      <c r="A80" s="3" t="s">
        <v>124</v>
      </c>
      <c r="B80" s="3">
        <v>14</v>
      </c>
      <c r="C80" s="3" t="s">
        <v>153</v>
      </c>
      <c r="D80" s="3" t="s">
        <v>125</v>
      </c>
      <c r="E80" s="3" t="s">
        <v>134</v>
      </c>
      <c r="F80" s="3" t="str">
        <f t="shared" si="0"/>
        <v>3 - Otros</v>
      </c>
      <c r="G80" s="3">
        <v>1</v>
      </c>
    </row>
    <row r="81" spans="1:7" ht="12.75" hidden="1" x14ac:dyDescent="0.2">
      <c r="A81" s="3" t="s">
        <v>124</v>
      </c>
      <c r="B81" s="3">
        <v>14</v>
      </c>
      <c r="C81" s="3" t="s">
        <v>153</v>
      </c>
      <c r="D81" s="3" t="s">
        <v>125</v>
      </c>
      <c r="E81" s="3" t="s">
        <v>126</v>
      </c>
      <c r="F81" s="3" t="str">
        <f t="shared" si="0"/>
        <v>2 - Frepam</v>
      </c>
      <c r="G81" s="3">
        <v>25</v>
      </c>
    </row>
    <row r="82" spans="1:7" ht="12.75" hidden="1" x14ac:dyDescent="0.2">
      <c r="A82" s="3" t="s">
        <v>124</v>
      </c>
      <c r="B82" s="3">
        <v>14</v>
      </c>
      <c r="C82" s="3" t="s">
        <v>153</v>
      </c>
      <c r="D82" s="3" t="s">
        <v>125</v>
      </c>
      <c r="E82" s="3" t="s">
        <v>138</v>
      </c>
      <c r="F82" s="3" t="str">
        <f t="shared" si="0"/>
        <v>4 - Blanco/Nulo</v>
      </c>
      <c r="G82" s="3">
        <v>1</v>
      </c>
    </row>
    <row r="83" spans="1:7" ht="12.75" hidden="1" x14ac:dyDescent="0.2">
      <c r="A83" s="3" t="s">
        <v>124</v>
      </c>
      <c r="B83" s="3">
        <v>14</v>
      </c>
      <c r="C83" s="3" t="s">
        <v>153</v>
      </c>
      <c r="D83" s="3" t="s">
        <v>125</v>
      </c>
      <c r="E83" s="3" t="s">
        <v>14</v>
      </c>
      <c r="F83" s="3" t="str">
        <f t="shared" si="0"/>
        <v>4 - Blanco/Nulo</v>
      </c>
      <c r="G83" s="3">
        <v>2</v>
      </c>
    </row>
    <row r="84" spans="1:7" ht="12.75" hidden="1" x14ac:dyDescent="0.2">
      <c r="A84" s="3" t="s">
        <v>124</v>
      </c>
      <c r="B84" s="3">
        <v>15</v>
      </c>
      <c r="C84" s="3" t="s">
        <v>43</v>
      </c>
      <c r="D84" s="3" t="s">
        <v>125</v>
      </c>
      <c r="E84" s="3" t="s">
        <v>3</v>
      </c>
      <c r="F84" s="3" t="str">
        <f t="shared" si="0"/>
        <v>1 - PJ</v>
      </c>
      <c r="G84" s="3">
        <v>494</v>
      </c>
    </row>
    <row r="85" spans="1:7" ht="12.75" hidden="1" x14ac:dyDescent="0.2">
      <c r="A85" s="3" t="s">
        <v>124</v>
      </c>
      <c r="B85" s="3">
        <v>15</v>
      </c>
      <c r="C85" s="3" t="s">
        <v>43</v>
      </c>
      <c r="D85" s="3" t="s">
        <v>125</v>
      </c>
      <c r="E85" s="3" t="s">
        <v>16</v>
      </c>
      <c r="F85" s="3" t="str">
        <f t="shared" si="0"/>
        <v>3 - Otros</v>
      </c>
      <c r="G85" s="3">
        <v>22</v>
      </c>
    </row>
    <row r="86" spans="1:7" ht="12.75" hidden="1" x14ac:dyDescent="0.2">
      <c r="A86" s="3" t="s">
        <v>124</v>
      </c>
      <c r="B86" s="3">
        <v>15</v>
      </c>
      <c r="C86" s="3" t="s">
        <v>43</v>
      </c>
      <c r="D86" s="3" t="s">
        <v>125</v>
      </c>
      <c r="E86" s="3" t="s">
        <v>129</v>
      </c>
      <c r="F86" s="3" t="str">
        <f t="shared" si="0"/>
        <v>3 - Otros</v>
      </c>
      <c r="G86" s="3">
        <v>16</v>
      </c>
    </row>
    <row r="87" spans="1:7" ht="12.75" hidden="1" x14ac:dyDescent="0.2">
      <c r="A87" s="3" t="s">
        <v>124</v>
      </c>
      <c r="B87" s="3">
        <v>15</v>
      </c>
      <c r="C87" s="3" t="s">
        <v>43</v>
      </c>
      <c r="D87" s="3" t="s">
        <v>125</v>
      </c>
      <c r="E87" s="3" t="s">
        <v>132</v>
      </c>
      <c r="F87" s="3" t="str">
        <f t="shared" si="0"/>
        <v>2 - Frepam</v>
      </c>
      <c r="G87" s="3">
        <v>20</v>
      </c>
    </row>
    <row r="88" spans="1:7" ht="12.75" hidden="1" x14ac:dyDescent="0.2">
      <c r="A88" s="3" t="s">
        <v>124</v>
      </c>
      <c r="B88" s="3">
        <v>15</v>
      </c>
      <c r="C88" s="3" t="s">
        <v>43</v>
      </c>
      <c r="D88" s="3" t="s">
        <v>125</v>
      </c>
      <c r="E88" s="3" t="s">
        <v>134</v>
      </c>
      <c r="F88" s="3" t="str">
        <f t="shared" si="0"/>
        <v>3 - Otros</v>
      </c>
      <c r="G88" s="3">
        <v>17</v>
      </c>
    </row>
    <row r="89" spans="1:7" ht="12.75" hidden="1" x14ac:dyDescent="0.2">
      <c r="A89" s="3" t="s">
        <v>124</v>
      </c>
      <c r="B89" s="3">
        <v>15</v>
      </c>
      <c r="C89" s="3" t="s">
        <v>43</v>
      </c>
      <c r="D89" s="3" t="s">
        <v>125</v>
      </c>
      <c r="E89" s="3" t="s">
        <v>126</v>
      </c>
      <c r="F89" s="3" t="str">
        <f t="shared" si="0"/>
        <v>2 - Frepam</v>
      </c>
      <c r="G89" s="3">
        <v>652</v>
      </c>
    </row>
    <row r="90" spans="1:7" ht="12.75" hidden="1" x14ac:dyDescent="0.2">
      <c r="A90" s="3" t="s">
        <v>124</v>
      </c>
      <c r="B90" s="3">
        <v>15</v>
      </c>
      <c r="C90" s="3" t="s">
        <v>43</v>
      </c>
      <c r="D90" s="3" t="s">
        <v>125</v>
      </c>
      <c r="E90" s="3" t="s">
        <v>138</v>
      </c>
      <c r="F90" s="3" t="str">
        <f t="shared" si="0"/>
        <v>4 - Blanco/Nulo</v>
      </c>
      <c r="G90" s="3">
        <v>36</v>
      </c>
    </row>
    <row r="91" spans="1:7" ht="12.75" hidden="1" x14ac:dyDescent="0.2">
      <c r="A91" s="3" t="s">
        <v>124</v>
      </c>
      <c r="B91" s="3">
        <v>15</v>
      </c>
      <c r="C91" s="3" t="s">
        <v>43</v>
      </c>
      <c r="D91" s="3" t="s">
        <v>125</v>
      </c>
      <c r="E91" s="3" t="s">
        <v>14</v>
      </c>
      <c r="F91" s="3" t="str">
        <f t="shared" si="0"/>
        <v>4 - Blanco/Nulo</v>
      </c>
      <c r="G91" s="3">
        <v>6</v>
      </c>
    </row>
    <row r="92" spans="1:7" ht="12.75" hidden="1" x14ac:dyDescent="0.2">
      <c r="A92" s="3" t="s">
        <v>124</v>
      </c>
      <c r="B92" s="3">
        <v>16</v>
      </c>
      <c r="C92" s="3" t="s">
        <v>44</v>
      </c>
      <c r="D92" s="3" t="s">
        <v>125</v>
      </c>
      <c r="E92" s="3" t="s">
        <v>3</v>
      </c>
      <c r="F92" s="3" t="str">
        <f t="shared" si="0"/>
        <v>1 - PJ</v>
      </c>
      <c r="G92" s="3">
        <v>417</v>
      </c>
    </row>
    <row r="93" spans="1:7" ht="12.75" hidden="1" x14ac:dyDescent="0.2">
      <c r="A93" s="3" t="s">
        <v>124</v>
      </c>
      <c r="B93" s="3">
        <v>16</v>
      </c>
      <c r="C93" s="3" t="s">
        <v>44</v>
      </c>
      <c r="D93" s="3" t="s">
        <v>125</v>
      </c>
      <c r="E93" s="3" t="s">
        <v>16</v>
      </c>
      <c r="F93" s="3" t="str">
        <f t="shared" si="0"/>
        <v>3 - Otros</v>
      </c>
      <c r="G93" s="3">
        <v>8</v>
      </c>
    </row>
    <row r="94" spans="1:7" ht="12.75" hidden="1" x14ac:dyDescent="0.2">
      <c r="A94" s="3" t="s">
        <v>124</v>
      </c>
      <c r="B94" s="3">
        <v>16</v>
      </c>
      <c r="C94" s="3" t="s">
        <v>44</v>
      </c>
      <c r="D94" s="3" t="s">
        <v>125</v>
      </c>
      <c r="E94" s="3" t="s">
        <v>129</v>
      </c>
      <c r="F94" s="3" t="str">
        <f t="shared" si="0"/>
        <v>3 - Otros</v>
      </c>
      <c r="G94" s="3">
        <v>7</v>
      </c>
    </row>
    <row r="95" spans="1:7" ht="12.75" hidden="1" x14ac:dyDescent="0.2">
      <c r="A95" s="3" t="s">
        <v>124</v>
      </c>
      <c r="B95" s="3">
        <v>16</v>
      </c>
      <c r="C95" s="3" t="s">
        <v>44</v>
      </c>
      <c r="D95" s="3" t="s">
        <v>125</v>
      </c>
      <c r="E95" s="3" t="s">
        <v>132</v>
      </c>
      <c r="F95" s="3" t="str">
        <f t="shared" si="0"/>
        <v>2 - Frepam</v>
      </c>
      <c r="G95" s="3">
        <v>7</v>
      </c>
    </row>
    <row r="96" spans="1:7" ht="12.75" hidden="1" x14ac:dyDescent="0.2">
      <c r="A96" s="3" t="s">
        <v>124</v>
      </c>
      <c r="B96" s="3">
        <v>16</v>
      </c>
      <c r="C96" s="3" t="s">
        <v>44</v>
      </c>
      <c r="D96" s="3" t="s">
        <v>125</v>
      </c>
      <c r="E96" s="3" t="s">
        <v>134</v>
      </c>
      <c r="F96" s="3" t="str">
        <f t="shared" si="0"/>
        <v>3 - Otros</v>
      </c>
      <c r="G96" s="3">
        <v>11</v>
      </c>
    </row>
    <row r="97" spans="1:7" ht="12.75" hidden="1" x14ac:dyDescent="0.2">
      <c r="A97" s="3" t="s">
        <v>124</v>
      </c>
      <c r="B97" s="3">
        <v>16</v>
      </c>
      <c r="C97" s="3" t="s">
        <v>44</v>
      </c>
      <c r="D97" s="3" t="s">
        <v>125</v>
      </c>
      <c r="E97" s="3" t="s">
        <v>126</v>
      </c>
      <c r="F97" s="3" t="str">
        <f t="shared" si="0"/>
        <v>2 - Frepam</v>
      </c>
      <c r="G97" s="3">
        <v>287</v>
      </c>
    </row>
    <row r="98" spans="1:7" ht="12.75" hidden="1" x14ac:dyDescent="0.2">
      <c r="A98" s="3" t="s">
        <v>124</v>
      </c>
      <c r="B98" s="3">
        <v>16</v>
      </c>
      <c r="C98" s="3" t="s">
        <v>44</v>
      </c>
      <c r="D98" s="3" t="s">
        <v>125</v>
      </c>
      <c r="E98" s="3" t="s">
        <v>138</v>
      </c>
      <c r="F98" s="3" t="str">
        <f t="shared" si="0"/>
        <v>4 - Blanco/Nulo</v>
      </c>
      <c r="G98" s="3">
        <v>13</v>
      </c>
    </row>
    <row r="99" spans="1:7" ht="12.75" hidden="1" x14ac:dyDescent="0.2">
      <c r="A99" s="3" t="s">
        <v>124</v>
      </c>
      <c r="B99" s="3">
        <v>16</v>
      </c>
      <c r="C99" s="3" t="s">
        <v>44</v>
      </c>
      <c r="D99" s="3" t="s">
        <v>125</v>
      </c>
      <c r="E99" s="3" t="s">
        <v>14</v>
      </c>
      <c r="F99" s="3" t="str">
        <f t="shared" si="0"/>
        <v>4 - Blanco/Nulo</v>
      </c>
      <c r="G99" s="3">
        <v>2</v>
      </c>
    </row>
    <row r="100" spans="1:7" ht="12.75" hidden="1" x14ac:dyDescent="0.2">
      <c r="A100" s="3" t="s">
        <v>124</v>
      </c>
      <c r="B100" s="3">
        <v>17</v>
      </c>
      <c r="C100" s="3" t="s">
        <v>45</v>
      </c>
      <c r="D100" s="3" t="s">
        <v>125</v>
      </c>
      <c r="E100" s="3" t="s">
        <v>3</v>
      </c>
      <c r="F100" s="3" t="str">
        <f t="shared" si="0"/>
        <v>1 - PJ</v>
      </c>
      <c r="G100" s="3">
        <v>13</v>
      </c>
    </row>
    <row r="101" spans="1:7" ht="12.75" hidden="1" x14ac:dyDescent="0.2">
      <c r="A101" s="3" t="s">
        <v>124</v>
      </c>
      <c r="B101" s="3">
        <v>17</v>
      </c>
      <c r="C101" s="3" t="s">
        <v>45</v>
      </c>
      <c r="D101" s="3" t="s">
        <v>125</v>
      </c>
      <c r="E101" s="3" t="s">
        <v>16</v>
      </c>
      <c r="F101" s="3" t="str">
        <f t="shared" si="0"/>
        <v>3 - Otros</v>
      </c>
      <c r="G101" s="3">
        <v>0</v>
      </c>
    </row>
    <row r="102" spans="1:7" ht="12.75" hidden="1" x14ac:dyDescent="0.2">
      <c r="A102" s="3" t="s">
        <v>124</v>
      </c>
      <c r="B102" s="3">
        <v>17</v>
      </c>
      <c r="C102" s="3" t="s">
        <v>45</v>
      </c>
      <c r="D102" s="3" t="s">
        <v>125</v>
      </c>
      <c r="E102" s="3" t="s">
        <v>129</v>
      </c>
      <c r="F102" s="3" t="str">
        <f t="shared" si="0"/>
        <v>3 - Otros</v>
      </c>
      <c r="G102" s="3">
        <v>0</v>
      </c>
    </row>
    <row r="103" spans="1:7" ht="12.75" hidden="1" x14ac:dyDescent="0.2">
      <c r="A103" s="3" t="s">
        <v>124</v>
      </c>
      <c r="B103" s="3">
        <v>17</v>
      </c>
      <c r="C103" s="3" t="s">
        <v>45</v>
      </c>
      <c r="D103" s="3" t="s">
        <v>125</v>
      </c>
      <c r="E103" s="3" t="s">
        <v>132</v>
      </c>
      <c r="F103" s="3" t="str">
        <f t="shared" si="0"/>
        <v>2 - Frepam</v>
      </c>
      <c r="G103" s="3">
        <v>0</v>
      </c>
    </row>
    <row r="104" spans="1:7" ht="12.75" hidden="1" x14ac:dyDescent="0.2">
      <c r="A104" s="3" t="s">
        <v>124</v>
      </c>
      <c r="B104" s="3">
        <v>17</v>
      </c>
      <c r="C104" s="3" t="s">
        <v>45</v>
      </c>
      <c r="D104" s="3" t="s">
        <v>125</v>
      </c>
      <c r="E104" s="3" t="s">
        <v>134</v>
      </c>
      <c r="F104" s="3" t="str">
        <f t="shared" si="0"/>
        <v>3 - Otros</v>
      </c>
      <c r="G104" s="3">
        <v>0</v>
      </c>
    </row>
    <row r="105" spans="1:7" ht="12.75" hidden="1" x14ac:dyDescent="0.2">
      <c r="A105" s="3" t="s">
        <v>124</v>
      </c>
      <c r="B105" s="3">
        <v>17</v>
      </c>
      <c r="C105" s="3" t="s">
        <v>45</v>
      </c>
      <c r="D105" s="3" t="s">
        <v>125</v>
      </c>
      <c r="E105" s="3" t="s">
        <v>126</v>
      </c>
      <c r="F105" s="3" t="str">
        <f t="shared" si="0"/>
        <v>2 - Frepam</v>
      </c>
      <c r="G105" s="3">
        <v>2</v>
      </c>
    </row>
    <row r="106" spans="1:7" ht="12.75" hidden="1" x14ac:dyDescent="0.2">
      <c r="A106" s="3" t="s">
        <v>124</v>
      </c>
      <c r="B106" s="3">
        <v>17</v>
      </c>
      <c r="C106" s="3" t="s">
        <v>45</v>
      </c>
      <c r="D106" s="3" t="s">
        <v>125</v>
      </c>
      <c r="E106" s="3" t="s">
        <v>138</v>
      </c>
      <c r="F106" s="3" t="str">
        <f t="shared" si="0"/>
        <v>4 - Blanco/Nulo</v>
      </c>
      <c r="G106" s="3">
        <v>0</v>
      </c>
    </row>
    <row r="107" spans="1:7" ht="12.75" hidden="1" x14ac:dyDescent="0.2">
      <c r="A107" s="3" t="s">
        <v>124</v>
      </c>
      <c r="B107" s="3">
        <v>17</v>
      </c>
      <c r="C107" s="3" t="s">
        <v>45</v>
      </c>
      <c r="D107" s="3" t="s">
        <v>125</v>
      </c>
      <c r="E107" s="3" t="s">
        <v>14</v>
      </c>
      <c r="F107" s="3" t="str">
        <f t="shared" si="0"/>
        <v>4 - Blanco/Nulo</v>
      </c>
      <c r="G107" s="3">
        <v>0</v>
      </c>
    </row>
    <row r="108" spans="1:7" ht="12.75" hidden="1" x14ac:dyDescent="0.2">
      <c r="A108" s="3" t="s">
        <v>124</v>
      </c>
      <c r="B108" s="3">
        <v>18</v>
      </c>
      <c r="C108" s="3" t="s">
        <v>46</v>
      </c>
      <c r="D108" s="3" t="s">
        <v>125</v>
      </c>
      <c r="E108" s="3" t="s">
        <v>3</v>
      </c>
      <c r="F108" s="3" t="str">
        <f t="shared" si="0"/>
        <v>1 - PJ</v>
      </c>
      <c r="G108" s="3">
        <v>1102</v>
      </c>
    </row>
    <row r="109" spans="1:7" ht="12.75" hidden="1" x14ac:dyDescent="0.2">
      <c r="A109" s="3" t="s">
        <v>124</v>
      </c>
      <c r="B109" s="3">
        <v>18</v>
      </c>
      <c r="C109" s="3" t="s">
        <v>46</v>
      </c>
      <c r="D109" s="3" t="s">
        <v>125</v>
      </c>
      <c r="E109" s="3" t="s">
        <v>16</v>
      </c>
      <c r="F109" s="3" t="str">
        <f t="shared" si="0"/>
        <v>3 - Otros</v>
      </c>
      <c r="G109" s="3">
        <v>23</v>
      </c>
    </row>
    <row r="110" spans="1:7" ht="12.75" hidden="1" x14ac:dyDescent="0.2">
      <c r="A110" s="3" t="s">
        <v>124</v>
      </c>
      <c r="B110" s="3">
        <v>18</v>
      </c>
      <c r="C110" s="3" t="s">
        <v>46</v>
      </c>
      <c r="D110" s="3" t="s">
        <v>125</v>
      </c>
      <c r="E110" s="3" t="s">
        <v>129</v>
      </c>
      <c r="F110" s="3" t="str">
        <f t="shared" si="0"/>
        <v>3 - Otros</v>
      </c>
      <c r="G110" s="3">
        <v>25</v>
      </c>
    </row>
    <row r="111" spans="1:7" ht="12.75" hidden="1" x14ac:dyDescent="0.2">
      <c r="A111" s="3" t="s">
        <v>124</v>
      </c>
      <c r="B111" s="3">
        <v>18</v>
      </c>
      <c r="C111" s="3" t="s">
        <v>46</v>
      </c>
      <c r="D111" s="3" t="s">
        <v>125</v>
      </c>
      <c r="E111" s="3" t="s">
        <v>132</v>
      </c>
      <c r="F111" s="3" t="str">
        <f t="shared" si="0"/>
        <v>2 - Frepam</v>
      </c>
      <c r="G111" s="3">
        <v>28</v>
      </c>
    </row>
    <row r="112" spans="1:7" ht="12.75" hidden="1" x14ac:dyDescent="0.2">
      <c r="A112" s="3" t="s">
        <v>124</v>
      </c>
      <c r="B112" s="3">
        <v>18</v>
      </c>
      <c r="C112" s="3" t="s">
        <v>46</v>
      </c>
      <c r="D112" s="3" t="s">
        <v>125</v>
      </c>
      <c r="E112" s="3" t="s">
        <v>134</v>
      </c>
      <c r="F112" s="3" t="str">
        <f t="shared" si="0"/>
        <v>3 - Otros</v>
      </c>
      <c r="G112" s="3">
        <v>40</v>
      </c>
    </row>
    <row r="113" spans="1:7" ht="12.75" hidden="1" x14ac:dyDescent="0.2">
      <c r="A113" s="3" t="s">
        <v>124</v>
      </c>
      <c r="B113" s="3">
        <v>18</v>
      </c>
      <c r="C113" s="3" t="s">
        <v>46</v>
      </c>
      <c r="D113" s="3" t="s">
        <v>125</v>
      </c>
      <c r="E113" s="3" t="s">
        <v>126</v>
      </c>
      <c r="F113" s="3" t="str">
        <f t="shared" si="0"/>
        <v>2 - Frepam</v>
      </c>
      <c r="G113" s="3">
        <v>628</v>
      </c>
    </row>
    <row r="114" spans="1:7" ht="12.75" hidden="1" x14ac:dyDescent="0.2">
      <c r="A114" s="3" t="s">
        <v>124</v>
      </c>
      <c r="B114" s="3">
        <v>18</v>
      </c>
      <c r="C114" s="3" t="s">
        <v>46</v>
      </c>
      <c r="D114" s="3" t="s">
        <v>125</v>
      </c>
      <c r="E114" s="3" t="s">
        <v>138</v>
      </c>
      <c r="F114" s="3" t="str">
        <f t="shared" si="0"/>
        <v>4 - Blanco/Nulo</v>
      </c>
      <c r="G114" s="3">
        <v>44</v>
      </c>
    </row>
    <row r="115" spans="1:7" ht="12.75" hidden="1" x14ac:dyDescent="0.2">
      <c r="A115" s="3" t="s">
        <v>124</v>
      </c>
      <c r="B115" s="3">
        <v>18</v>
      </c>
      <c r="C115" s="3" t="s">
        <v>46</v>
      </c>
      <c r="D115" s="3" t="s">
        <v>125</v>
      </c>
      <c r="E115" s="3" t="s">
        <v>14</v>
      </c>
      <c r="F115" s="3" t="str">
        <f t="shared" si="0"/>
        <v>4 - Blanco/Nulo</v>
      </c>
      <c r="G115" s="3">
        <v>14</v>
      </c>
    </row>
    <row r="116" spans="1:7" ht="12.75" hidden="1" x14ac:dyDescent="0.2">
      <c r="A116" s="3" t="s">
        <v>124</v>
      </c>
      <c r="B116" s="3">
        <v>19</v>
      </c>
      <c r="C116" s="3" t="s">
        <v>47</v>
      </c>
      <c r="D116" s="3" t="s">
        <v>125</v>
      </c>
      <c r="E116" s="3" t="s">
        <v>3</v>
      </c>
      <c r="F116" s="3" t="str">
        <f t="shared" si="0"/>
        <v>1 - PJ</v>
      </c>
      <c r="G116" s="3">
        <v>483</v>
      </c>
    </row>
    <row r="117" spans="1:7" ht="12.75" hidden="1" x14ac:dyDescent="0.2">
      <c r="A117" s="3" t="s">
        <v>124</v>
      </c>
      <c r="B117" s="3">
        <v>19</v>
      </c>
      <c r="C117" s="3" t="s">
        <v>47</v>
      </c>
      <c r="D117" s="3" t="s">
        <v>125</v>
      </c>
      <c r="E117" s="3" t="s">
        <v>16</v>
      </c>
      <c r="F117" s="3" t="str">
        <f t="shared" si="0"/>
        <v>3 - Otros</v>
      </c>
      <c r="G117" s="3">
        <v>11</v>
      </c>
    </row>
    <row r="118" spans="1:7" ht="12.75" hidden="1" x14ac:dyDescent="0.2">
      <c r="A118" s="3" t="s">
        <v>124</v>
      </c>
      <c r="B118" s="3">
        <v>19</v>
      </c>
      <c r="C118" s="3" t="s">
        <v>47</v>
      </c>
      <c r="D118" s="3" t="s">
        <v>125</v>
      </c>
      <c r="E118" s="3" t="s">
        <v>129</v>
      </c>
      <c r="F118" s="3" t="str">
        <f t="shared" si="0"/>
        <v>3 - Otros</v>
      </c>
      <c r="G118" s="3">
        <v>6</v>
      </c>
    </row>
    <row r="119" spans="1:7" ht="12.75" hidden="1" x14ac:dyDescent="0.2">
      <c r="A119" s="3" t="s">
        <v>124</v>
      </c>
      <c r="B119" s="3">
        <v>19</v>
      </c>
      <c r="C119" s="3" t="s">
        <v>47</v>
      </c>
      <c r="D119" s="3" t="s">
        <v>125</v>
      </c>
      <c r="E119" s="3" t="s">
        <v>132</v>
      </c>
      <c r="F119" s="3" t="str">
        <f t="shared" si="0"/>
        <v>2 - Frepam</v>
      </c>
      <c r="G119" s="3">
        <v>24</v>
      </c>
    </row>
    <row r="120" spans="1:7" ht="12.75" hidden="1" x14ac:dyDescent="0.2">
      <c r="A120" s="3" t="s">
        <v>124</v>
      </c>
      <c r="B120" s="3">
        <v>19</v>
      </c>
      <c r="C120" s="3" t="s">
        <v>47</v>
      </c>
      <c r="D120" s="3" t="s">
        <v>125</v>
      </c>
      <c r="E120" s="3" t="s">
        <v>134</v>
      </c>
      <c r="F120" s="3" t="str">
        <f t="shared" si="0"/>
        <v>3 - Otros</v>
      </c>
      <c r="G120" s="3">
        <v>14</v>
      </c>
    </row>
    <row r="121" spans="1:7" ht="12.75" hidden="1" x14ac:dyDescent="0.2">
      <c r="A121" s="3" t="s">
        <v>124</v>
      </c>
      <c r="B121" s="3">
        <v>19</v>
      </c>
      <c r="C121" s="3" t="s">
        <v>47</v>
      </c>
      <c r="D121" s="3" t="s">
        <v>125</v>
      </c>
      <c r="E121" s="3" t="s">
        <v>126</v>
      </c>
      <c r="F121" s="3" t="str">
        <f t="shared" si="0"/>
        <v>2 - Frepam</v>
      </c>
      <c r="G121" s="3">
        <v>638</v>
      </c>
    </row>
    <row r="122" spans="1:7" ht="12.75" hidden="1" x14ac:dyDescent="0.2">
      <c r="A122" s="3" t="s">
        <v>124</v>
      </c>
      <c r="B122" s="3">
        <v>19</v>
      </c>
      <c r="C122" s="3" t="s">
        <v>47</v>
      </c>
      <c r="D122" s="3" t="s">
        <v>125</v>
      </c>
      <c r="E122" s="3" t="s">
        <v>138</v>
      </c>
      <c r="F122" s="3" t="str">
        <f t="shared" si="0"/>
        <v>4 - Blanco/Nulo</v>
      </c>
      <c r="G122" s="3">
        <v>7</v>
      </c>
    </row>
    <row r="123" spans="1:7" ht="12.75" hidden="1" x14ac:dyDescent="0.2">
      <c r="A123" s="3" t="s">
        <v>124</v>
      </c>
      <c r="B123" s="3">
        <v>19</v>
      </c>
      <c r="C123" s="3" t="s">
        <v>47</v>
      </c>
      <c r="D123" s="3" t="s">
        <v>125</v>
      </c>
      <c r="E123" s="3" t="s">
        <v>14</v>
      </c>
      <c r="F123" s="3" t="str">
        <f t="shared" si="0"/>
        <v>4 - Blanco/Nulo</v>
      </c>
      <c r="G123" s="3">
        <v>32</v>
      </c>
    </row>
    <row r="124" spans="1:7" ht="12.75" hidden="1" x14ac:dyDescent="0.2">
      <c r="A124" s="3" t="s">
        <v>124</v>
      </c>
      <c r="B124" s="3" t="s">
        <v>48</v>
      </c>
      <c r="C124" s="3" t="s">
        <v>49</v>
      </c>
      <c r="D124" s="3" t="s">
        <v>125</v>
      </c>
      <c r="E124" s="3" t="s">
        <v>3</v>
      </c>
      <c r="F124" s="3" t="str">
        <f t="shared" si="0"/>
        <v>1 - PJ</v>
      </c>
      <c r="G124" s="3">
        <v>39</v>
      </c>
    </row>
    <row r="125" spans="1:7" ht="12.75" hidden="1" x14ac:dyDescent="0.2">
      <c r="A125" s="3" t="s">
        <v>124</v>
      </c>
      <c r="B125" s="3" t="s">
        <v>48</v>
      </c>
      <c r="C125" s="3" t="s">
        <v>49</v>
      </c>
      <c r="D125" s="3" t="s">
        <v>125</v>
      </c>
      <c r="E125" s="3" t="s">
        <v>16</v>
      </c>
      <c r="F125" s="3" t="str">
        <f t="shared" si="0"/>
        <v>3 - Otros</v>
      </c>
      <c r="G125" s="3">
        <v>1</v>
      </c>
    </row>
    <row r="126" spans="1:7" ht="12.75" hidden="1" x14ac:dyDescent="0.2">
      <c r="A126" s="3" t="s">
        <v>124</v>
      </c>
      <c r="B126" s="3" t="s">
        <v>48</v>
      </c>
      <c r="C126" s="3" t="s">
        <v>49</v>
      </c>
      <c r="D126" s="3" t="s">
        <v>125</v>
      </c>
      <c r="E126" s="3" t="s">
        <v>129</v>
      </c>
      <c r="F126" s="3" t="str">
        <f t="shared" si="0"/>
        <v>3 - Otros</v>
      </c>
      <c r="G126" s="3">
        <v>3</v>
      </c>
    </row>
    <row r="127" spans="1:7" ht="12.75" hidden="1" x14ac:dyDescent="0.2">
      <c r="A127" s="3" t="s">
        <v>124</v>
      </c>
      <c r="B127" s="3" t="s">
        <v>48</v>
      </c>
      <c r="C127" s="3" t="s">
        <v>49</v>
      </c>
      <c r="D127" s="3" t="s">
        <v>125</v>
      </c>
      <c r="E127" s="3" t="s">
        <v>132</v>
      </c>
      <c r="F127" s="3" t="str">
        <f t="shared" si="0"/>
        <v>2 - Frepam</v>
      </c>
      <c r="G127" s="3">
        <v>9</v>
      </c>
    </row>
    <row r="128" spans="1:7" ht="12.75" hidden="1" x14ac:dyDescent="0.2">
      <c r="A128" s="3" t="s">
        <v>124</v>
      </c>
      <c r="B128" s="3" t="s">
        <v>48</v>
      </c>
      <c r="C128" s="3" t="s">
        <v>49</v>
      </c>
      <c r="D128" s="3" t="s">
        <v>125</v>
      </c>
      <c r="E128" s="3" t="s">
        <v>134</v>
      </c>
      <c r="F128" s="3" t="str">
        <f t="shared" si="0"/>
        <v>3 - Otros</v>
      </c>
      <c r="G128" s="3">
        <v>2</v>
      </c>
    </row>
    <row r="129" spans="1:7" ht="12.75" hidden="1" x14ac:dyDescent="0.2">
      <c r="A129" s="3" t="s">
        <v>124</v>
      </c>
      <c r="B129" s="3" t="s">
        <v>48</v>
      </c>
      <c r="C129" s="3" t="s">
        <v>49</v>
      </c>
      <c r="D129" s="3" t="s">
        <v>125</v>
      </c>
      <c r="E129" s="3" t="s">
        <v>126</v>
      </c>
      <c r="F129" s="3" t="str">
        <f t="shared" si="0"/>
        <v>2 - Frepam</v>
      </c>
      <c r="G129" s="3">
        <v>69</v>
      </c>
    </row>
    <row r="130" spans="1:7" ht="12.75" hidden="1" x14ac:dyDescent="0.2">
      <c r="A130" s="3" t="s">
        <v>124</v>
      </c>
      <c r="B130" s="3" t="s">
        <v>48</v>
      </c>
      <c r="C130" s="3" t="s">
        <v>49</v>
      </c>
      <c r="D130" s="3" t="s">
        <v>125</v>
      </c>
      <c r="E130" s="3" t="s">
        <v>138</v>
      </c>
      <c r="F130" s="3" t="str">
        <f t="shared" si="0"/>
        <v>4 - Blanco/Nulo</v>
      </c>
      <c r="G130" s="3">
        <v>2</v>
      </c>
    </row>
    <row r="131" spans="1:7" ht="12.75" hidden="1" x14ac:dyDescent="0.2">
      <c r="A131" s="3" t="s">
        <v>124</v>
      </c>
      <c r="B131" s="3" t="s">
        <v>48</v>
      </c>
      <c r="C131" s="3" t="s">
        <v>49</v>
      </c>
      <c r="D131" s="3" t="s">
        <v>125</v>
      </c>
      <c r="E131" s="3" t="s">
        <v>14</v>
      </c>
      <c r="F131" s="3" t="str">
        <f t="shared" si="0"/>
        <v>4 - Blanco/Nulo</v>
      </c>
      <c r="G131" s="3">
        <v>4</v>
      </c>
    </row>
    <row r="132" spans="1:7" ht="12.75" hidden="1" x14ac:dyDescent="0.2">
      <c r="A132" s="3" t="s">
        <v>124</v>
      </c>
      <c r="B132" s="3">
        <v>20</v>
      </c>
      <c r="C132" s="3" t="s">
        <v>50</v>
      </c>
      <c r="D132" s="3" t="s">
        <v>125</v>
      </c>
      <c r="E132" s="3" t="s">
        <v>3</v>
      </c>
      <c r="F132" s="3" t="str">
        <f t="shared" si="0"/>
        <v>1 - PJ</v>
      </c>
      <c r="G132" s="3">
        <v>102</v>
      </c>
    </row>
    <row r="133" spans="1:7" ht="12.75" hidden="1" x14ac:dyDescent="0.2">
      <c r="A133" s="3" t="s">
        <v>124</v>
      </c>
      <c r="B133" s="3">
        <v>20</v>
      </c>
      <c r="C133" s="3" t="s">
        <v>50</v>
      </c>
      <c r="D133" s="3" t="s">
        <v>125</v>
      </c>
      <c r="E133" s="3" t="s">
        <v>16</v>
      </c>
      <c r="F133" s="3" t="str">
        <f t="shared" si="0"/>
        <v>3 - Otros</v>
      </c>
      <c r="G133" s="3">
        <v>1</v>
      </c>
    </row>
    <row r="134" spans="1:7" ht="12.75" hidden="1" x14ac:dyDescent="0.2">
      <c r="A134" s="3" t="s">
        <v>124</v>
      </c>
      <c r="B134" s="3">
        <v>20</v>
      </c>
      <c r="C134" s="3" t="s">
        <v>50</v>
      </c>
      <c r="D134" s="3" t="s">
        <v>125</v>
      </c>
      <c r="E134" s="3" t="s">
        <v>129</v>
      </c>
      <c r="F134" s="3" t="str">
        <f t="shared" si="0"/>
        <v>3 - Otros</v>
      </c>
      <c r="G134" s="3">
        <v>1</v>
      </c>
    </row>
    <row r="135" spans="1:7" ht="12.75" hidden="1" x14ac:dyDescent="0.2">
      <c r="A135" s="3" t="s">
        <v>124</v>
      </c>
      <c r="B135" s="3">
        <v>20</v>
      </c>
      <c r="C135" s="3" t="s">
        <v>50</v>
      </c>
      <c r="D135" s="3" t="s">
        <v>125</v>
      </c>
      <c r="E135" s="3" t="s">
        <v>132</v>
      </c>
      <c r="F135" s="3" t="str">
        <f t="shared" si="0"/>
        <v>2 - Frepam</v>
      </c>
      <c r="G135" s="3">
        <v>16</v>
      </c>
    </row>
    <row r="136" spans="1:7" ht="12.75" hidden="1" x14ac:dyDescent="0.2">
      <c r="A136" s="3" t="s">
        <v>124</v>
      </c>
      <c r="B136" s="3">
        <v>20</v>
      </c>
      <c r="C136" s="3" t="s">
        <v>50</v>
      </c>
      <c r="D136" s="3" t="s">
        <v>125</v>
      </c>
      <c r="E136" s="3" t="s">
        <v>134</v>
      </c>
      <c r="F136" s="3" t="str">
        <f t="shared" si="0"/>
        <v>3 - Otros</v>
      </c>
      <c r="G136" s="3">
        <v>1</v>
      </c>
    </row>
    <row r="137" spans="1:7" ht="12.75" hidden="1" x14ac:dyDescent="0.2">
      <c r="A137" s="3" t="s">
        <v>124</v>
      </c>
      <c r="B137" s="3">
        <v>20</v>
      </c>
      <c r="C137" s="3" t="s">
        <v>50</v>
      </c>
      <c r="D137" s="3" t="s">
        <v>125</v>
      </c>
      <c r="E137" s="3" t="s">
        <v>126</v>
      </c>
      <c r="F137" s="3" t="str">
        <f t="shared" si="0"/>
        <v>2 - Frepam</v>
      </c>
      <c r="G137" s="3">
        <v>141</v>
      </c>
    </row>
    <row r="138" spans="1:7" ht="12.75" hidden="1" x14ac:dyDescent="0.2">
      <c r="A138" s="3" t="s">
        <v>124</v>
      </c>
      <c r="B138" s="3">
        <v>20</v>
      </c>
      <c r="C138" s="3" t="s">
        <v>50</v>
      </c>
      <c r="D138" s="3" t="s">
        <v>125</v>
      </c>
      <c r="E138" s="3" t="s">
        <v>138</v>
      </c>
      <c r="F138" s="3" t="str">
        <f t="shared" si="0"/>
        <v>4 - Blanco/Nulo</v>
      </c>
      <c r="G138" s="3">
        <v>6</v>
      </c>
    </row>
    <row r="139" spans="1:7" ht="12.75" hidden="1" x14ac:dyDescent="0.2">
      <c r="A139" s="3" t="s">
        <v>124</v>
      </c>
      <c r="B139" s="3">
        <v>20</v>
      </c>
      <c r="C139" s="3" t="s">
        <v>50</v>
      </c>
      <c r="D139" s="3" t="s">
        <v>125</v>
      </c>
      <c r="E139" s="3" t="s">
        <v>14</v>
      </c>
      <c r="F139" s="3" t="str">
        <f t="shared" si="0"/>
        <v>4 - Blanco/Nulo</v>
      </c>
      <c r="G139" s="3">
        <v>0</v>
      </c>
    </row>
    <row r="140" spans="1:7" ht="12.75" hidden="1" x14ac:dyDescent="0.2">
      <c r="A140" s="3" t="s">
        <v>124</v>
      </c>
      <c r="B140" s="3">
        <v>21</v>
      </c>
      <c r="C140" s="3" t="s">
        <v>51</v>
      </c>
      <c r="D140" s="3" t="s">
        <v>125</v>
      </c>
      <c r="E140" s="3" t="s">
        <v>3</v>
      </c>
      <c r="F140" s="3" t="str">
        <f t="shared" si="0"/>
        <v>1 - PJ</v>
      </c>
      <c r="G140" s="3">
        <v>158</v>
      </c>
    </row>
    <row r="141" spans="1:7" ht="12.75" hidden="1" x14ac:dyDescent="0.2">
      <c r="A141" s="3" t="s">
        <v>124</v>
      </c>
      <c r="B141" s="3">
        <v>21</v>
      </c>
      <c r="C141" s="3" t="s">
        <v>51</v>
      </c>
      <c r="D141" s="3" t="s">
        <v>125</v>
      </c>
      <c r="E141" s="3" t="s">
        <v>16</v>
      </c>
      <c r="F141" s="3" t="str">
        <f t="shared" si="0"/>
        <v>3 - Otros</v>
      </c>
      <c r="G141" s="3">
        <v>10</v>
      </c>
    </row>
    <row r="142" spans="1:7" ht="12.75" hidden="1" x14ac:dyDescent="0.2">
      <c r="A142" s="3" t="s">
        <v>124</v>
      </c>
      <c r="B142" s="3">
        <v>21</v>
      </c>
      <c r="C142" s="3" t="s">
        <v>51</v>
      </c>
      <c r="D142" s="3" t="s">
        <v>125</v>
      </c>
      <c r="E142" s="3" t="s">
        <v>129</v>
      </c>
      <c r="F142" s="3" t="str">
        <f t="shared" si="0"/>
        <v>3 - Otros</v>
      </c>
      <c r="G142" s="3">
        <v>9</v>
      </c>
    </row>
    <row r="143" spans="1:7" ht="12.75" hidden="1" x14ac:dyDescent="0.2">
      <c r="A143" s="3" t="s">
        <v>124</v>
      </c>
      <c r="B143" s="3">
        <v>21</v>
      </c>
      <c r="C143" s="3" t="s">
        <v>51</v>
      </c>
      <c r="D143" s="3" t="s">
        <v>125</v>
      </c>
      <c r="E143" s="3" t="s">
        <v>132</v>
      </c>
      <c r="F143" s="3" t="str">
        <f t="shared" si="0"/>
        <v>2 - Frepam</v>
      </c>
      <c r="G143" s="3">
        <v>10</v>
      </c>
    </row>
    <row r="144" spans="1:7" ht="12.75" hidden="1" x14ac:dyDescent="0.2">
      <c r="A144" s="3" t="s">
        <v>124</v>
      </c>
      <c r="B144" s="3">
        <v>21</v>
      </c>
      <c r="C144" s="3" t="s">
        <v>51</v>
      </c>
      <c r="D144" s="3" t="s">
        <v>125</v>
      </c>
      <c r="E144" s="3" t="s">
        <v>134</v>
      </c>
      <c r="F144" s="3" t="str">
        <f t="shared" si="0"/>
        <v>3 - Otros</v>
      </c>
      <c r="G144" s="3">
        <v>7</v>
      </c>
    </row>
    <row r="145" spans="1:7" ht="12.75" hidden="1" x14ac:dyDescent="0.2">
      <c r="A145" s="3" t="s">
        <v>124</v>
      </c>
      <c r="B145" s="3">
        <v>21</v>
      </c>
      <c r="C145" s="3" t="s">
        <v>51</v>
      </c>
      <c r="D145" s="3" t="s">
        <v>125</v>
      </c>
      <c r="E145" s="3" t="s">
        <v>126</v>
      </c>
      <c r="F145" s="3" t="str">
        <f t="shared" si="0"/>
        <v>2 - Frepam</v>
      </c>
      <c r="G145" s="3">
        <v>272</v>
      </c>
    </row>
    <row r="146" spans="1:7" ht="12.75" hidden="1" x14ac:dyDescent="0.2">
      <c r="A146" s="3" t="s">
        <v>124</v>
      </c>
      <c r="B146" s="3">
        <v>21</v>
      </c>
      <c r="C146" s="3" t="s">
        <v>51</v>
      </c>
      <c r="D146" s="3" t="s">
        <v>125</v>
      </c>
      <c r="E146" s="3" t="s">
        <v>138</v>
      </c>
      <c r="F146" s="3" t="str">
        <f t="shared" si="0"/>
        <v>4 - Blanco/Nulo</v>
      </c>
      <c r="G146" s="3">
        <v>11</v>
      </c>
    </row>
    <row r="147" spans="1:7" ht="12.75" hidden="1" x14ac:dyDescent="0.2">
      <c r="A147" s="3" t="s">
        <v>124</v>
      </c>
      <c r="B147" s="3">
        <v>21</v>
      </c>
      <c r="C147" s="3" t="s">
        <v>51</v>
      </c>
      <c r="D147" s="3" t="s">
        <v>125</v>
      </c>
      <c r="E147" s="3" t="s">
        <v>14</v>
      </c>
      <c r="F147" s="3" t="str">
        <f t="shared" si="0"/>
        <v>4 - Blanco/Nulo</v>
      </c>
      <c r="G147" s="3">
        <v>9</v>
      </c>
    </row>
    <row r="148" spans="1:7" ht="12.75" hidden="1" x14ac:dyDescent="0.2">
      <c r="A148" s="3" t="s">
        <v>124</v>
      </c>
      <c r="B148" s="3">
        <v>22</v>
      </c>
      <c r="C148" s="3" t="s">
        <v>52</v>
      </c>
      <c r="D148" s="3" t="s">
        <v>125</v>
      </c>
      <c r="E148" s="3" t="s">
        <v>3</v>
      </c>
      <c r="F148" s="3" t="str">
        <f t="shared" si="0"/>
        <v>1 - PJ</v>
      </c>
      <c r="G148" s="3">
        <v>2257</v>
      </c>
    </row>
    <row r="149" spans="1:7" ht="12.75" hidden="1" x14ac:dyDescent="0.2">
      <c r="A149" s="3" t="s">
        <v>124</v>
      </c>
      <c r="B149" s="3">
        <v>22</v>
      </c>
      <c r="C149" s="3" t="s">
        <v>52</v>
      </c>
      <c r="D149" s="3" t="s">
        <v>125</v>
      </c>
      <c r="E149" s="3" t="s">
        <v>16</v>
      </c>
      <c r="F149" s="3" t="str">
        <f t="shared" si="0"/>
        <v>3 - Otros</v>
      </c>
      <c r="G149" s="3">
        <v>54</v>
      </c>
    </row>
    <row r="150" spans="1:7" ht="12.75" hidden="1" x14ac:dyDescent="0.2">
      <c r="A150" s="3" t="s">
        <v>124</v>
      </c>
      <c r="B150" s="3">
        <v>22</v>
      </c>
      <c r="C150" s="3" t="s">
        <v>52</v>
      </c>
      <c r="D150" s="3" t="s">
        <v>125</v>
      </c>
      <c r="E150" s="3" t="s">
        <v>129</v>
      </c>
      <c r="F150" s="3" t="str">
        <f t="shared" si="0"/>
        <v>3 - Otros</v>
      </c>
      <c r="G150" s="3">
        <v>61</v>
      </c>
    </row>
    <row r="151" spans="1:7" ht="12.75" hidden="1" x14ac:dyDescent="0.2">
      <c r="A151" s="3" t="s">
        <v>124</v>
      </c>
      <c r="B151" s="3">
        <v>22</v>
      </c>
      <c r="C151" s="3" t="s">
        <v>52</v>
      </c>
      <c r="D151" s="3" t="s">
        <v>125</v>
      </c>
      <c r="E151" s="3" t="s">
        <v>132</v>
      </c>
      <c r="F151" s="3" t="str">
        <f t="shared" si="0"/>
        <v>2 - Frepam</v>
      </c>
      <c r="G151" s="3">
        <v>178</v>
      </c>
    </row>
    <row r="152" spans="1:7" ht="12.75" hidden="1" x14ac:dyDescent="0.2">
      <c r="A152" s="3" t="s">
        <v>124</v>
      </c>
      <c r="B152" s="3">
        <v>22</v>
      </c>
      <c r="C152" s="3" t="s">
        <v>52</v>
      </c>
      <c r="D152" s="3" t="s">
        <v>125</v>
      </c>
      <c r="E152" s="3" t="s">
        <v>134</v>
      </c>
      <c r="F152" s="3" t="str">
        <f t="shared" si="0"/>
        <v>3 - Otros</v>
      </c>
      <c r="G152" s="3">
        <v>85</v>
      </c>
    </row>
    <row r="153" spans="1:7" ht="12.75" hidden="1" x14ac:dyDescent="0.2">
      <c r="A153" s="3" t="s">
        <v>124</v>
      </c>
      <c r="B153" s="3">
        <v>22</v>
      </c>
      <c r="C153" s="3" t="s">
        <v>52</v>
      </c>
      <c r="D153" s="3" t="s">
        <v>125</v>
      </c>
      <c r="E153" s="3" t="s">
        <v>126</v>
      </c>
      <c r="F153" s="3" t="str">
        <f t="shared" si="0"/>
        <v>2 - Frepam</v>
      </c>
      <c r="G153" s="3">
        <v>2793</v>
      </c>
    </row>
    <row r="154" spans="1:7" ht="12.75" hidden="1" x14ac:dyDescent="0.2">
      <c r="A154" s="3" t="s">
        <v>124</v>
      </c>
      <c r="B154" s="3">
        <v>22</v>
      </c>
      <c r="C154" s="3" t="s">
        <v>52</v>
      </c>
      <c r="D154" s="3" t="s">
        <v>125</v>
      </c>
      <c r="E154" s="3" t="s">
        <v>138</v>
      </c>
      <c r="F154" s="3" t="str">
        <f t="shared" si="0"/>
        <v>4 - Blanco/Nulo</v>
      </c>
      <c r="G154" s="3">
        <v>89</v>
      </c>
    </row>
    <row r="155" spans="1:7" ht="12.75" hidden="1" x14ac:dyDescent="0.2">
      <c r="A155" s="3" t="s">
        <v>124</v>
      </c>
      <c r="B155" s="3">
        <v>22</v>
      </c>
      <c r="C155" s="3" t="s">
        <v>52</v>
      </c>
      <c r="D155" s="3" t="s">
        <v>125</v>
      </c>
      <c r="E155" s="3" t="s">
        <v>14</v>
      </c>
      <c r="F155" s="3" t="str">
        <f t="shared" si="0"/>
        <v>4 - Blanco/Nulo</v>
      </c>
      <c r="G155" s="3">
        <v>50</v>
      </c>
    </row>
    <row r="156" spans="1:7" ht="12.75" hidden="1" x14ac:dyDescent="0.2">
      <c r="A156" s="3" t="s">
        <v>124</v>
      </c>
      <c r="B156" s="3">
        <v>23</v>
      </c>
      <c r="C156" s="3" t="s">
        <v>53</v>
      </c>
      <c r="D156" s="3" t="s">
        <v>125</v>
      </c>
      <c r="E156" s="3" t="s">
        <v>3</v>
      </c>
      <c r="F156" s="3" t="str">
        <f t="shared" si="0"/>
        <v>1 - PJ</v>
      </c>
      <c r="G156" s="3">
        <v>208</v>
      </c>
    </row>
    <row r="157" spans="1:7" ht="12.75" hidden="1" x14ac:dyDescent="0.2">
      <c r="A157" s="3" t="s">
        <v>124</v>
      </c>
      <c r="B157" s="3">
        <v>23</v>
      </c>
      <c r="C157" s="3" t="s">
        <v>53</v>
      </c>
      <c r="D157" s="3" t="s">
        <v>125</v>
      </c>
      <c r="E157" s="3" t="s">
        <v>16</v>
      </c>
      <c r="F157" s="3" t="str">
        <f t="shared" si="0"/>
        <v>3 - Otros</v>
      </c>
      <c r="G157" s="3">
        <v>4</v>
      </c>
    </row>
    <row r="158" spans="1:7" ht="12.75" hidden="1" x14ac:dyDescent="0.2">
      <c r="A158" s="3" t="s">
        <v>124</v>
      </c>
      <c r="B158" s="3">
        <v>23</v>
      </c>
      <c r="C158" s="3" t="s">
        <v>53</v>
      </c>
      <c r="D158" s="3" t="s">
        <v>125</v>
      </c>
      <c r="E158" s="3" t="s">
        <v>129</v>
      </c>
      <c r="F158" s="3" t="str">
        <f t="shared" si="0"/>
        <v>3 - Otros</v>
      </c>
      <c r="G158" s="3">
        <v>4</v>
      </c>
    </row>
    <row r="159" spans="1:7" ht="12.75" hidden="1" x14ac:dyDescent="0.2">
      <c r="A159" s="3" t="s">
        <v>124</v>
      </c>
      <c r="B159" s="3">
        <v>23</v>
      </c>
      <c r="C159" s="3" t="s">
        <v>53</v>
      </c>
      <c r="D159" s="3" t="s">
        <v>125</v>
      </c>
      <c r="E159" s="3" t="s">
        <v>132</v>
      </c>
      <c r="F159" s="3" t="str">
        <f t="shared" si="0"/>
        <v>2 - Frepam</v>
      </c>
      <c r="G159" s="3">
        <v>104</v>
      </c>
    </row>
    <row r="160" spans="1:7" ht="12.75" hidden="1" x14ac:dyDescent="0.2">
      <c r="A160" s="3" t="s">
        <v>124</v>
      </c>
      <c r="B160" s="3">
        <v>23</v>
      </c>
      <c r="C160" s="3" t="s">
        <v>53</v>
      </c>
      <c r="D160" s="3" t="s">
        <v>125</v>
      </c>
      <c r="E160" s="3" t="s">
        <v>134</v>
      </c>
      <c r="F160" s="3" t="str">
        <f t="shared" si="0"/>
        <v>3 - Otros</v>
      </c>
      <c r="G160" s="3">
        <v>9</v>
      </c>
    </row>
    <row r="161" spans="1:7" ht="12.75" hidden="1" x14ac:dyDescent="0.2">
      <c r="A161" s="3" t="s">
        <v>124</v>
      </c>
      <c r="B161" s="3">
        <v>23</v>
      </c>
      <c r="C161" s="3" t="s">
        <v>53</v>
      </c>
      <c r="D161" s="3" t="s">
        <v>125</v>
      </c>
      <c r="E161" s="3" t="s">
        <v>126</v>
      </c>
      <c r="F161" s="3" t="str">
        <f t="shared" si="0"/>
        <v>2 - Frepam</v>
      </c>
      <c r="G161" s="3">
        <v>202</v>
      </c>
    </row>
    <row r="162" spans="1:7" ht="12.75" hidden="1" x14ac:dyDescent="0.2">
      <c r="A162" s="3" t="s">
        <v>124</v>
      </c>
      <c r="B162" s="3">
        <v>23</v>
      </c>
      <c r="C162" s="3" t="s">
        <v>53</v>
      </c>
      <c r="D162" s="3" t="s">
        <v>125</v>
      </c>
      <c r="E162" s="3" t="s">
        <v>138</v>
      </c>
      <c r="F162" s="3" t="str">
        <f t="shared" si="0"/>
        <v>4 - Blanco/Nulo</v>
      </c>
      <c r="G162" s="3">
        <v>0</v>
      </c>
    </row>
    <row r="163" spans="1:7" ht="12.75" hidden="1" x14ac:dyDescent="0.2">
      <c r="A163" s="3" t="s">
        <v>124</v>
      </c>
      <c r="B163" s="3">
        <v>23</v>
      </c>
      <c r="C163" s="3" t="s">
        <v>53</v>
      </c>
      <c r="D163" s="3" t="s">
        <v>125</v>
      </c>
      <c r="E163" s="3" t="s">
        <v>14</v>
      </c>
      <c r="F163" s="3" t="str">
        <f t="shared" si="0"/>
        <v>4 - Blanco/Nulo</v>
      </c>
      <c r="G163" s="3">
        <v>9</v>
      </c>
    </row>
    <row r="164" spans="1:7" ht="12.75" hidden="1" x14ac:dyDescent="0.2">
      <c r="A164" s="3" t="s">
        <v>124</v>
      </c>
      <c r="B164" s="3">
        <v>24</v>
      </c>
      <c r="C164" s="3" t="s">
        <v>54</v>
      </c>
      <c r="D164" s="3" t="s">
        <v>125</v>
      </c>
      <c r="E164" s="3" t="s">
        <v>3</v>
      </c>
      <c r="F164" s="3" t="str">
        <f t="shared" si="0"/>
        <v>1 - PJ</v>
      </c>
      <c r="G164" s="3">
        <v>216</v>
      </c>
    </row>
    <row r="165" spans="1:7" ht="12.75" hidden="1" x14ac:dyDescent="0.2">
      <c r="A165" s="3" t="s">
        <v>124</v>
      </c>
      <c r="B165" s="3">
        <v>24</v>
      </c>
      <c r="C165" s="3" t="s">
        <v>54</v>
      </c>
      <c r="D165" s="3" t="s">
        <v>125</v>
      </c>
      <c r="E165" s="3" t="s">
        <v>16</v>
      </c>
      <c r="F165" s="3" t="str">
        <f t="shared" si="0"/>
        <v>3 - Otros</v>
      </c>
      <c r="G165" s="3">
        <v>2</v>
      </c>
    </row>
    <row r="166" spans="1:7" ht="12.75" hidden="1" x14ac:dyDescent="0.2">
      <c r="A166" s="3" t="s">
        <v>124</v>
      </c>
      <c r="B166" s="3">
        <v>24</v>
      </c>
      <c r="C166" s="3" t="s">
        <v>54</v>
      </c>
      <c r="D166" s="3" t="s">
        <v>125</v>
      </c>
      <c r="E166" s="3" t="s">
        <v>129</v>
      </c>
      <c r="F166" s="3" t="str">
        <f t="shared" si="0"/>
        <v>3 - Otros</v>
      </c>
      <c r="G166" s="3">
        <v>6</v>
      </c>
    </row>
    <row r="167" spans="1:7" ht="12.75" hidden="1" x14ac:dyDescent="0.2">
      <c r="A167" s="3" t="s">
        <v>124</v>
      </c>
      <c r="B167" s="3">
        <v>24</v>
      </c>
      <c r="C167" s="3" t="s">
        <v>54</v>
      </c>
      <c r="D167" s="3" t="s">
        <v>125</v>
      </c>
      <c r="E167" s="3" t="s">
        <v>132</v>
      </c>
      <c r="F167" s="3" t="str">
        <f t="shared" si="0"/>
        <v>2 - Frepam</v>
      </c>
      <c r="G167" s="3">
        <v>8</v>
      </c>
    </row>
    <row r="168" spans="1:7" ht="12.75" hidden="1" x14ac:dyDescent="0.2">
      <c r="A168" s="3" t="s">
        <v>124</v>
      </c>
      <c r="B168" s="3">
        <v>24</v>
      </c>
      <c r="C168" s="3" t="s">
        <v>54</v>
      </c>
      <c r="D168" s="3" t="s">
        <v>125</v>
      </c>
      <c r="E168" s="3" t="s">
        <v>134</v>
      </c>
      <c r="F168" s="3" t="str">
        <f t="shared" si="0"/>
        <v>3 - Otros</v>
      </c>
      <c r="G168" s="3">
        <v>5</v>
      </c>
    </row>
    <row r="169" spans="1:7" ht="12.75" hidden="1" x14ac:dyDescent="0.2">
      <c r="A169" s="3" t="s">
        <v>124</v>
      </c>
      <c r="B169" s="3">
        <v>24</v>
      </c>
      <c r="C169" s="3" t="s">
        <v>54</v>
      </c>
      <c r="D169" s="3" t="s">
        <v>125</v>
      </c>
      <c r="E169" s="3" t="s">
        <v>126</v>
      </c>
      <c r="F169" s="3" t="str">
        <f t="shared" si="0"/>
        <v>2 - Frepam</v>
      </c>
      <c r="G169" s="3">
        <v>122</v>
      </c>
    </row>
    <row r="170" spans="1:7" ht="12.75" hidden="1" x14ac:dyDescent="0.2">
      <c r="A170" s="3" t="s">
        <v>124</v>
      </c>
      <c r="B170" s="3">
        <v>24</v>
      </c>
      <c r="C170" s="3" t="s">
        <v>54</v>
      </c>
      <c r="D170" s="3" t="s">
        <v>125</v>
      </c>
      <c r="E170" s="3" t="s">
        <v>138</v>
      </c>
      <c r="F170" s="3" t="str">
        <f t="shared" si="0"/>
        <v>4 - Blanco/Nulo</v>
      </c>
      <c r="G170" s="3">
        <v>5</v>
      </c>
    </row>
    <row r="171" spans="1:7" ht="12.75" hidden="1" x14ac:dyDescent="0.2">
      <c r="A171" s="3" t="s">
        <v>124</v>
      </c>
      <c r="B171" s="3">
        <v>24</v>
      </c>
      <c r="C171" s="3" t="s">
        <v>54</v>
      </c>
      <c r="D171" s="3" t="s">
        <v>125</v>
      </c>
      <c r="E171" s="3" t="s">
        <v>14</v>
      </c>
      <c r="F171" s="3" t="str">
        <f t="shared" si="0"/>
        <v>4 - Blanco/Nulo</v>
      </c>
      <c r="G171" s="3">
        <v>3</v>
      </c>
    </row>
    <row r="172" spans="1:7" ht="12.75" hidden="1" x14ac:dyDescent="0.2">
      <c r="A172" s="3" t="s">
        <v>124</v>
      </c>
      <c r="B172" s="3">
        <v>25</v>
      </c>
      <c r="C172" s="3" t="s">
        <v>55</v>
      </c>
      <c r="D172" s="3" t="s">
        <v>125</v>
      </c>
      <c r="E172" s="3" t="s">
        <v>3</v>
      </c>
      <c r="F172" s="3" t="str">
        <f t="shared" si="0"/>
        <v>1 - PJ</v>
      </c>
      <c r="G172" s="3">
        <v>450</v>
      </c>
    </row>
    <row r="173" spans="1:7" ht="12.75" hidden="1" x14ac:dyDescent="0.2">
      <c r="A173" s="3" t="s">
        <v>124</v>
      </c>
      <c r="B173" s="3">
        <v>25</v>
      </c>
      <c r="C173" s="3" t="s">
        <v>55</v>
      </c>
      <c r="D173" s="3" t="s">
        <v>125</v>
      </c>
      <c r="E173" s="3" t="s">
        <v>16</v>
      </c>
      <c r="F173" s="3" t="str">
        <f t="shared" si="0"/>
        <v>3 - Otros</v>
      </c>
      <c r="G173" s="3">
        <v>7</v>
      </c>
    </row>
    <row r="174" spans="1:7" ht="12.75" hidden="1" x14ac:dyDescent="0.2">
      <c r="A174" s="3" t="s">
        <v>124</v>
      </c>
      <c r="B174" s="3">
        <v>25</v>
      </c>
      <c r="C174" s="3" t="s">
        <v>55</v>
      </c>
      <c r="D174" s="3" t="s">
        <v>125</v>
      </c>
      <c r="E174" s="3" t="s">
        <v>129</v>
      </c>
      <c r="F174" s="3" t="str">
        <f t="shared" si="0"/>
        <v>3 - Otros</v>
      </c>
      <c r="G174" s="3">
        <v>8</v>
      </c>
    </row>
    <row r="175" spans="1:7" ht="12.75" hidden="1" x14ac:dyDescent="0.2">
      <c r="A175" s="3" t="s">
        <v>124</v>
      </c>
      <c r="B175" s="3">
        <v>25</v>
      </c>
      <c r="C175" s="3" t="s">
        <v>55</v>
      </c>
      <c r="D175" s="3" t="s">
        <v>125</v>
      </c>
      <c r="E175" s="3" t="s">
        <v>132</v>
      </c>
      <c r="F175" s="3" t="str">
        <f t="shared" si="0"/>
        <v>2 - Frepam</v>
      </c>
      <c r="G175" s="3">
        <v>10</v>
      </c>
    </row>
    <row r="176" spans="1:7" ht="12.75" hidden="1" x14ac:dyDescent="0.2">
      <c r="A176" s="3" t="s">
        <v>124</v>
      </c>
      <c r="B176" s="3">
        <v>25</v>
      </c>
      <c r="C176" s="3" t="s">
        <v>55</v>
      </c>
      <c r="D176" s="3" t="s">
        <v>125</v>
      </c>
      <c r="E176" s="3" t="s">
        <v>134</v>
      </c>
      <c r="F176" s="3" t="str">
        <f t="shared" si="0"/>
        <v>3 - Otros</v>
      </c>
      <c r="G176" s="3">
        <v>7</v>
      </c>
    </row>
    <row r="177" spans="1:7" ht="12.75" hidden="1" x14ac:dyDescent="0.2">
      <c r="A177" s="3" t="s">
        <v>124</v>
      </c>
      <c r="B177" s="3">
        <v>25</v>
      </c>
      <c r="C177" s="3" t="s">
        <v>55</v>
      </c>
      <c r="D177" s="3" t="s">
        <v>125</v>
      </c>
      <c r="E177" s="3" t="s">
        <v>126</v>
      </c>
      <c r="F177" s="3" t="str">
        <f t="shared" si="0"/>
        <v>2 - Frepam</v>
      </c>
      <c r="G177" s="3">
        <v>109</v>
      </c>
    </row>
    <row r="178" spans="1:7" ht="12.75" hidden="1" x14ac:dyDescent="0.2">
      <c r="A178" s="3" t="s">
        <v>124</v>
      </c>
      <c r="B178" s="3">
        <v>25</v>
      </c>
      <c r="C178" s="3" t="s">
        <v>55</v>
      </c>
      <c r="D178" s="3" t="s">
        <v>125</v>
      </c>
      <c r="E178" s="3" t="s">
        <v>138</v>
      </c>
      <c r="F178" s="3" t="str">
        <f t="shared" si="0"/>
        <v>4 - Blanco/Nulo</v>
      </c>
      <c r="G178" s="3">
        <v>4</v>
      </c>
    </row>
    <row r="179" spans="1:7" ht="12.75" hidden="1" x14ac:dyDescent="0.2">
      <c r="A179" s="3" t="s">
        <v>124</v>
      </c>
      <c r="B179" s="3">
        <v>25</v>
      </c>
      <c r="C179" s="3" t="s">
        <v>55</v>
      </c>
      <c r="D179" s="3" t="s">
        <v>125</v>
      </c>
      <c r="E179" s="3" t="s">
        <v>14</v>
      </c>
      <c r="F179" s="3" t="str">
        <f t="shared" si="0"/>
        <v>4 - Blanco/Nulo</v>
      </c>
      <c r="G179" s="3">
        <v>3</v>
      </c>
    </row>
    <row r="180" spans="1:7" ht="12.75" hidden="1" x14ac:dyDescent="0.2">
      <c r="A180" s="3" t="s">
        <v>124</v>
      </c>
      <c r="B180" s="3">
        <v>26</v>
      </c>
      <c r="C180" s="3" t="s">
        <v>56</v>
      </c>
      <c r="D180" s="3" t="s">
        <v>125</v>
      </c>
      <c r="E180" s="3" t="s">
        <v>3</v>
      </c>
      <c r="F180" s="3" t="str">
        <f t="shared" si="0"/>
        <v>1 - PJ</v>
      </c>
      <c r="G180" s="3">
        <v>278</v>
      </c>
    </row>
    <row r="181" spans="1:7" ht="12.75" hidden="1" x14ac:dyDescent="0.2">
      <c r="A181" s="3" t="s">
        <v>124</v>
      </c>
      <c r="B181" s="3">
        <v>26</v>
      </c>
      <c r="C181" s="3" t="s">
        <v>56</v>
      </c>
      <c r="D181" s="3" t="s">
        <v>125</v>
      </c>
      <c r="E181" s="3" t="s">
        <v>16</v>
      </c>
      <c r="F181" s="3" t="str">
        <f t="shared" si="0"/>
        <v>3 - Otros</v>
      </c>
      <c r="G181" s="3">
        <v>2</v>
      </c>
    </row>
    <row r="182" spans="1:7" ht="12.75" hidden="1" x14ac:dyDescent="0.2">
      <c r="A182" s="3" t="s">
        <v>124</v>
      </c>
      <c r="B182" s="3">
        <v>26</v>
      </c>
      <c r="C182" s="3" t="s">
        <v>56</v>
      </c>
      <c r="D182" s="3" t="s">
        <v>125</v>
      </c>
      <c r="E182" s="3" t="s">
        <v>129</v>
      </c>
      <c r="F182" s="3" t="str">
        <f t="shared" si="0"/>
        <v>3 - Otros</v>
      </c>
      <c r="G182" s="3">
        <v>6</v>
      </c>
    </row>
    <row r="183" spans="1:7" ht="12.75" hidden="1" x14ac:dyDescent="0.2">
      <c r="A183" s="3" t="s">
        <v>124</v>
      </c>
      <c r="B183" s="3">
        <v>26</v>
      </c>
      <c r="C183" s="3" t="s">
        <v>56</v>
      </c>
      <c r="D183" s="3" t="s">
        <v>125</v>
      </c>
      <c r="E183" s="3" t="s">
        <v>132</v>
      </c>
      <c r="F183" s="3" t="str">
        <f t="shared" si="0"/>
        <v>2 - Frepam</v>
      </c>
      <c r="G183" s="3">
        <v>5</v>
      </c>
    </row>
    <row r="184" spans="1:7" ht="12.75" hidden="1" x14ac:dyDescent="0.2">
      <c r="A184" s="3" t="s">
        <v>124</v>
      </c>
      <c r="B184" s="3">
        <v>26</v>
      </c>
      <c r="C184" s="3" t="s">
        <v>56</v>
      </c>
      <c r="D184" s="3" t="s">
        <v>125</v>
      </c>
      <c r="E184" s="3" t="s">
        <v>134</v>
      </c>
      <c r="F184" s="3" t="str">
        <f t="shared" si="0"/>
        <v>3 - Otros</v>
      </c>
      <c r="G184" s="3">
        <v>5</v>
      </c>
    </row>
    <row r="185" spans="1:7" ht="12.75" hidden="1" x14ac:dyDescent="0.2">
      <c r="A185" s="3" t="s">
        <v>124</v>
      </c>
      <c r="B185" s="3">
        <v>26</v>
      </c>
      <c r="C185" s="3" t="s">
        <v>56</v>
      </c>
      <c r="D185" s="3" t="s">
        <v>125</v>
      </c>
      <c r="E185" s="3" t="s">
        <v>126</v>
      </c>
      <c r="F185" s="3" t="str">
        <f t="shared" si="0"/>
        <v>2 - Frepam</v>
      </c>
      <c r="G185" s="3">
        <v>120</v>
      </c>
    </row>
    <row r="186" spans="1:7" ht="12.75" hidden="1" x14ac:dyDescent="0.2">
      <c r="A186" s="3" t="s">
        <v>124</v>
      </c>
      <c r="B186" s="3">
        <v>26</v>
      </c>
      <c r="C186" s="3" t="s">
        <v>56</v>
      </c>
      <c r="D186" s="3" t="s">
        <v>125</v>
      </c>
      <c r="E186" s="3" t="s">
        <v>138</v>
      </c>
      <c r="F186" s="3" t="str">
        <f t="shared" si="0"/>
        <v>4 - Blanco/Nulo</v>
      </c>
      <c r="G186" s="3">
        <v>6</v>
      </c>
    </row>
    <row r="187" spans="1:7" ht="12.75" hidden="1" x14ac:dyDescent="0.2">
      <c r="A187" s="3" t="s">
        <v>124</v>
      </c>
      <c r="B187" s="3">
        <v>26</v>
      </c>
      <c r="C187" s="3" t="s">
        <v>56</v>
      </c>
      <c r="D187" s="3" t="s">
        <v>125</v>
      </c>
      <c r="E187" s="3" t="s">
        <v>14</v>
      </c>
      <c r="F187" s="3" t="str">
        <f t="shared" si="0"/>
        <v>4 - Blanco/Nulo</v>
      </c>
      <c r="G187" s="3">
        <v>1</v>
      </c>
    </row>
    <row r="188" spans="1:7" ht="12.75" hidden="1" x14ac:dyDescent="0.2">
      <c r="A188" s="3" t="s">
        <v>124</v>
      </c>
      <c r="B188" s="3">
        <v>27</v>
      </c>
      <c r="C188" s="3" t="s">
        <v>57</v>
      </c>
      <c r="D188" s="3" t="s">
        <v>125</v>
      </c>
      <c r="E188" s="3" t="s">
        <v>3</v>
      </c>
      <c r="F188" s="3" t="str">
        <f t="shared" si="0"/>
        <v>1 - PJ</v>
      </c>
      <c r="G188" s="3">
        <v>3100</v>
      </c>
    </row>
    <row r="189" spans="1:7" ht="12.75" hidden="1" x14ac:dyDescent="0.2">
      <c r="A189" s="3" t="s">
        <v>124</v>
      </c>
      <c r="B189" s="3">
        <v>27</v>
      </c>
      <c r="C189" s="3" t="s">
        <v>57</v>
      </c>
      <c r="D189" s="3" t="s">
        <v>125</v>
      </c>
      <c r="E189" s="3" t="s">
        <v>16</v>
      </c>
      <c r="F189" s="3" t="str">
        <f t="shared" si="0"/>
        <v>3 - Otros</v>
      </c>
      <c r="G189" s="3">
        <v>86</v>
      </c>
    </row>
    <row r="190" spans="1:7" ht="12.75" hidden="1" x14ac:dyDescent="0.2">
      <c r="A190" s="3" t="s">
        <v>124</v>
      </c>
      <c r="B190" s="3">
        <v>27</v>
      </c>
      <c r="C190" s="3" t="s">
        <v>57</v>
      </c>
      <c r="D190" s="3" t="s">
        <v>125</v>
      </c>
      <c r="E190" s="3" t="s">
        <v>129</v>
      </c>
      <c r="F190" s="3" t="str">
        <f t="shared" si="0"/>
        <v>3 - Otros</v>
      </c>
      <c r="G190" s="3">
        <v>110</v>
      </c>
    </row>
    <row r="191" spans="1:7" ht="12.75" hidden="1" x14ac:dyDescent="0.2">
      <c r="A191" s="3" t="s">
        <v>124</v>
      </c>
      <c r="B191" s="3">
        <v>27</v>
      </c>
      <c r="C191" s="3" t="s">
        <v>57</v>
      </c>
      <c r="D191" s="3" t="s">
        <v>125</v>
      </c>
      <c r="E191" s="3" t="s">
        <v>132</v>
      </c>
      <c r="F191" s="3" t="str">
        <f t="shared" si="0"/>
        <v>2 - Frepam</v>
      </c>
      <c r="G191" s="3">
        <v>89</v>
      </c>
    </row>
    <row r="192" spans="1:7" ht="12.75" hidden="1" x14ac:dyDescent="0.2">
      <c r="A192" s="3" t="s">
        <v>124</v>
      </c>
      <c r="B192" s="3">
        <v>27</v>
      </c>
      <c r="C192" s="3" t="s">
        <v>57</v>
      </c>
      <c r="D192" s="3" t="s">
        <v>125</v>
      </c>
      <c r="E192" s="3" t="s">
        <v>134</v>
      </c>
      <c r="F192" s="3" t="str">
        <f t="shared" si="0"/>
        <v>3 - Otros</v>
      </c>
      <c r="G192" s="3">
        <v>102</v>
      </c>
    </row>
    <row r="193" spans="1:7" ht="12.75" hidden="1" x14ac:dyDescent="0.2">
      <c r="A193" s="3" t="s">
        <v>124</v>
      </c>
      <c r="B193" s="3">
        <v>27</v>
      </c>
      <c r="C193" s="3" t="s">
        <v>57</v>
      </c>
      <c r="D193" s="3" t="s">
        <v>125</v>
      </c>
      <c r="E193" s="3" t="s">
        <v>126</v>
      </c>
      <c r="F193" s="3" t="str">
        <f t="shared" si="0"/>
        <v>2 - Frepam</v>
      </c>
      <c r="G193" s="3">
        <v>2750</v>
      </c>
    </row>
    <row r="194" spans="1:7" ht="12.75" hidden="1" x14ac:dyDescent="0.2">
      <c r="A194" s="3" t="s">
        <v>124</v>
      </c>
      <c r="B194" s="3">
        <v>27</v>
      </c>
      <c r="C194" s="3" t="s">
        <v>57</v>
      </c>
      <c r="D194" s="3" t="s">
        <v>125</v>
      </c>
      <c r="E194" s="3" t="s">
        <v>138</v>
      </c>
      <c r="F194" s="3" t="str">
        <f t="shared" si="0"/>
        <v>4 - Blanco/Nulo</v>
      </c>
      <c r="G194" s="3">
        <v>156</v>
      </c>
    </row>
    <row r="195" spans="1:7" ht="12.75" hidden="1" x14ac:dyDescent="0.2">
      <c r="A195" s="3" t="s">
        <v>124</v>
      </c>
      <c r="B195" s="3">
        <v>27</v>
      </c>
      <c r="C195" s="3" t="s">
        <v>57</v>
      </c>
      <c r="D195" s="3" t="s">
        <v>125</v>
      </c>
      <c r="E195" s="3" t="s">
        <v>14</v>
      </c>
      <c r="F195" s="3" t="str">
        <f t="shared" si="0"/>
        <v>4 - Blanco/Nulo</v>
      </c>
      <c r="G195" s="3">
        <v>68</v>
      </c>
    </row>
    <row r="196" spans="1:7" ht="12.75" hidden="1" x14ac:dyDescent="0.2">
      <c r="A196" s="3" t="s">
        <v>124</v>
      </c>
      <c r="B196" s="3">
        <v>28</v>
      </c>
      <c r="C196" s="3" t="s">
        <v>58</v>
      </c>
      <c r="D196" s="3" t="s">
        <v>125</v>
      </c>
      <c r="E196" s="3" t="s">
        <v>3</v>
      </c>
      <c r="F196" s="3" t="str">
        <f t="shared" si="0"/>
        <v>1 - PJ</v>
      </c>
      <c r="G196" s="3">
        <v>131</v>
      </c>
    </row>
    <row r="197" spans="1:7" ht="12.75" hidden="1" x14ac:dyDescent="0.2">
      <c r="A197" s="3" t="s">
        <v>124</v>
      </c>
      <c r="B197" s="3">
        <v>28</v>
      </c>
      <c r="C197" s="3" t="s">
        <v>58</v>
      </c>
      <c r="D197" s="3" t="s">
        <v>125</v>
      </c>
      <c r="E197" s="3" t="s">
        <v>16</v>
      </c>
      <c r="F197" s="3" t="str">
        <f t="shared" si="0"/>
        <v>3 - Otros</v>
      </c>
      <c r="G197" s="3">
        <v>3</v>
      </c>
    </row>
    <row r="198" spans="1:7" ht="12.75" hidden="1" x14ac:dyDescent="0.2">
      <c r="A198" s="3" t="s">
        <v>124</v>
      </c>
      <c r="B198" s="3">
        <v>28</v>
      </c>
      <c r="C198" s="3" t="s">
        <v>58</v>
      </c>
      <c r="D198" s="3" t="s">
        <v>125</v>
      </c>
      <c r="E198" s="3" t="s">
        <v>129</v>
      </c>
      <c r="F198" s="3" t="str">
        <f t="shared" si="0"/>
        <v>3 - Otros</v>
      </c>
      <c r="G198" s="3">
        <v>4</v>
      </c>
    </row>
    <row r="199" spans="1:7" ht="12.75" hidden="1" x14ac:dyDescent="0.2">
      <c r="A199" s="3" t="s">
        <v>124</v>
      </c>
      <c r="B199" s="3">
        <v>28</v>
      </c>
      <c r="C199" s="3" t="s">
        <v>58</v>
      </c>
      <c r="D199" s="3" t="s">
        <v>125</v>
      </c>
      <c r="E199" s="3" t="s">
        <v>132</v>
      </c>
      <c r="F199" s="3" t="str">
        <f t="shared" si="0"/>
        <v>2 - Frepam</v>
      </c>
      <c r="G199" s="3">
        <v>8</v>
      </c>
    </row>
    <row r="200" spans="1:7" ht="12.75" hidden="1" x14ac:dyDescent="0.2">
      <c r="A200" s="3" t="s">
        <v>124</v>
      </c>
      <c r="B200" s="3">
        <v>28</v>
      </c>
      <c r="C200" s="3" t="s">
        <v>58</v>
      </c>
      <c r="D200" s="3" t="s">
        <v>125</v>
      </c>
      <c r="E200" s="3" t="s">
        <v>134</v>
      </c>
      <c r="F200" s="3" t="str">
        <f t="shared" si="0"/>
        <v>3 - Otros</v>
      </c>
      <c r="G200" s="3">
        <v>2</v>
      </c>
    </row>
    <row r="201" spans="1:7" ht="12.75" hidden="1" x14ac:dyDescent="0.2">
      <c r="A201" s="3" t="s">
        <v>124</v>
      </c>
      <c r="B201" s="3">
        <v>28</v>
      </c>
      <c r="C201" s="3" t="s">
        <v>58</v>
      </c>
      <c r="D201" s="3" t="s">
        <v>125</v>
      </c>
      <c r="E201" s="3" t="s">
        <v>126</v>
      </c>
      <c r="F201" s="3" t="str">
        <f t="shared" si="0"/>
        <v>2 - Frepam</v>
      </c>
      <c r="G201" s="3">
        <v>141</v>
      </c>
    </row>
    <row r="202" spans="1:7" ht="12.75" hidden="1" x14ac:dyDescent="0.2">
      <c r="A202" s="3" t="s">
        <v>124</v>
      </c>
      <c r="B202" s="3">
        <v>28</v>
      </c>
      <c r="C202" s="3" t="s">
        <v>58</v>
      </c>
      <c r="D202" s="3" t="s">
        <v>125</v>
      </c>
      <c r="E202" s="3" t="s">
        <v>138</v>
      </c>
      <c r="F202" s="3" t="str">
        <f t="shared" si="0"/>
        <v>4 - Blanco/Nulo</v>
      </c>
      <c r="G202" s="3">
        <v>0</v>
      </c>
    </row>
    <row r="203" spans="1:7" ht="12.75" hidden="1" x14ac:dyDescent="0.2">
      <c r="A203" s="3" t="s">
        <v>124</v>
      </c>
      <c r="B203" s="3">
        <v>28</v>
      </c>
      <c r="C203" s="3" t="s">
        <v>58</v>
      </c>
      <c r="D203" s="3" t="s">
        <v>125</v>
      </c>
      <c r="E203" s="3" t="s">
        <v>14</v>
      </c>
      <c r="F203" s="3" t="str">
        <f t="shared" si="0"/>
        <v>4 - Blanco/Nulo</v>
      </c>
      <c r="G203" s="3">
        <v>1</v>
      </c>
    </row>
    <row r="204" spans="1:7" ht="12.75" hidden="1" x14ac:dyDescent="0.2">
      <c r="A204" s="3" t="s">
        <v>124</v>
      </c>
      <c r="B204" s="3">
        <v>29</v>
      </c>
      <c r="C204" s="3" t="s">
        <v>59</v>
      </c>
      <c r="D204" s="3" t="s">
        <v>125</v>
      </c>
      <c r="E204" s="3" t="s">
        <v>3</v>
      </c>
      <c r="F204" s="3" t="str">
        <f t="shared" si="0"/>
        <v>1 - PJ</v>
      </c>
      <c r="G204" s="3">
        <v>163</v>
      </c>
    </row>
    <row r="205" spans="1:7" ht="12.75" hidden="1" x14ac:dyDescent="0.2">
      <c r="A205" s="3" t="s">
        <v>124</v>
      </c>
      <c r="B205" s="3">
        <v>29</v>
      </c>
      <c r="C205" s="3" t="s">
        <v>59</v>
      </c>
      <c r="D205" s="3" t="s">
        <v>125</v>
      </c>
      <c r="E205" s="3" t="s">
        <v>16</v>
      </c>
      <c r="F205" s="3" t="str">
        <f t="shared" si="0"/>
        <v>3 - Otros</v>
      </c>
      <c r="G205" s="3">
        <v>2</v>
      </c>
    </row>
    <row r="206" spans="1:7" ht="12.75" hidden="1" x14ac:dyDescent="0.2">
      <c r="A206" s="3" t="s">
        <v>124</v>
      </c>
      <c r="B206" s="3">
        <v>29</v>
      </c>
      <c r="C206" s="3" t="s">
        <v>59</v>
      </c>
      <c r="D206" s="3" t="s">
        <v>125</v>
      </c>
      <c r="E206" s="3" t="s">
        <v>129</v>
      </c>
      <c r="F206" s="3" t="str">
        <f t="shared" si="0"/>
        <v>3 - Otros</v>
      </c>
      <c r="G206" s="3">
        <v>2</v>
      </c>
    </row>
    <row r="207" spans="1:7" ht="12.75" hidden="1" x14ac:dyDescent="0.2">
      <c r="A207" s="3" t="s">
        <v>124</v>
      </c>
      <c r="B207" s="3">
        <v>29</v>
      </c>
      <c r="C207" s="3" t="s">
        <v>59</v>
      </c>
      <c r="D207" s="3" t="s">
        <v>125</v>
      </c>
      <c r="E207" s="3" t="s">
        <v>132</v>
      </c>
      <c r="F207" s="3" t="str">
        <f t="shared" si="0"/>
        <v>2 - Frepam</v>
      </c>
      <c r="G207" s="3">
        <v>16</v>
      </c>
    </row>
    <row r="208" spans="1:7" ht="12.75" hidden="1" x14ac:dyDescent="0.2">
      <c r="A208" s="3" t="s">
        <v>124</v>
      </c>
      <c r="B208" s="3">
        <v>29</v>
      </c>
      <c r="C208" s="3" t="s">
        <v>59</v>
      </c>
      <c r="D208" s="3" t="s">
        <v>125</v>
      </c>
      <c r="E208" s="3" t="s">
        <v>134</v>
      </c>
      <c r="F208" s="3" t="str">
        <f t="shared" si="0"/>
        <v>3 - Otros</v>
      </c>
      <c r="G208" s="3">
        <v>1</v>
      </c>
    </row>
    <row r="209" spans="1:7" ht="12.75" hidden="1" x14ac:dyDescent="0.2">
      <c r="A209" s="3" t="s">
        <v>124</v>
      </c>
      <c r="B209" s="3">
        <v>29</v>
      </c>
      <c r="C209" s="3" t="s">
        <v>59</v>
      </c>
      <c r="D209" s="3" t="s">
        <v>125</v>
      </c>
      <c r="E209" s="3" t="s">
        <v>126</v>
      </c>
      <c r="F209" s="3" t="str">
        <f t="shared" si="0"/>
        <v>2 - Frepam</v>
      </c>
      <c r="G209" s="3">
        <v>214</v>
      </c>
    </row>
    <row r="210" spans="1:7" ht="12.75" hidden="1" x14ac:dyDescent="0.2">
      <c r="A210" s="3" t="s">
        <v>124</v>
      </c>
      <c r="B210" s="3">
        <v>29</v>
      </c>
      <c r="C210" s="3" t="s">
        <v>59</v>
      </c>
      <c r="D210" s="3" t="s">
        <v>125</v>
      </c>
      <c r="E210" s="3" t="s">
        <v>138</v>
      </c>
      <c r="F210" s="3" t="str">
        <f t="shared" si="0"/>
        <v>4 - Blanco/Nulo</v>
      </c>
      <c r="G210" s="3">
        <v>13</v>
      </c>
    </row>
    <row r="211" spans="1:7" ht="12.75" hidden="1" x14ac:dyDescent="0.2">
      <c r="A211" s="3" t="s">
        <v>124</v>
      </c>
      <c r="B211" s="3">
        <v>29</v>
      </c>
      <c r="C211" s="3" t="s">
        <v>59</v>
      </c>
      <c r="D211" s="3" t="s">
        <v>125</v>
      </c>
      <c r="E211" s="3" t="s">
        <v>14</v>
      </c>
      <c r="F211" s="3" t="str">
        <f t="shared" si="0"/>
        <v>4 - Blanco/Nulo</v>
      </c>
      <c r="G211" s="3">
        <v>2</v>
      </c>
    </row>
    <row r="212" spans="1:7" ht="12.75" hidden="1" x14ac:dyDescent="0.2">
      <c r="A212" s="3" t="s">
        <v>124</v>
      </c>
      <c r="B212" s="3">
        <v>30</v>
      </c>
      <c r="C212" s="3" t="s">
        <v>60</v>
      </c>
      <c r="D212" s="3" t="s">
        <v>125</v>
      </c>
      <c r="E212" s="3" t="s">
        <v>3</v>
      </c>
      <c r="F212" s="3" t="str">
        <f t="shared" si="0"/>
        <v>1 - PJ</v>
      </c>
      <c r="G212" s="3">
        <v>137</v>
      </c>
    </row>
    <row r="213" spans="1:7" ht="12.75" hidden="1" x14ac:dyDescent="0.2">
      <c r="A213" s="3" t="s">
        <v>124</v>
      </c>
      <c r="B213" s="3">
        <v>30</v>
      </c>
      <c r="C213" s="3" t="s">
        <v>60</v>
      </c>
      <c r="D213" s="3" t="s">
        <v>125</v>
      </c>
      <c r="E213" s="3" t="s">
        <v>16</v>
      </c>
      <c r="F213" s="3" t="str">
        <f t="shared" si="0"/>
        <v>3 - Otros</v>
      </c>
      <c r="G213" s="3">
        <v>3</v>
      </c>
    </row>
    <row r="214" spans="1:7" ht="12.75" hidden="1" x14ac:dyDescent="0.2">
      <c r="A214" s="3" t="s">
        <v>124</v>
      </c>
      <c r="B214" s="3">
        <v>30</v>
      </c>
      <c r="C214" s="3" t="s">
        <v>60</v>
      </c>
      <c r="D214" s="3" t="s">
        <v>125</v>
      </c>
      <c r="E214" s="3" t="s">
        <v>129</v>
      </c>
      <c r="F214" s="3" t="str">
        <f t="shared" si="0"/>
        <v>3 - Otros</v>
      </c>
      <c r="G214" s="3">
        <v>2</v>
      </c>
    </row>
    <row r="215" spans="1:7" ht="12.75" hidden="1" x14ac:dyDescent="0.2">
      <c r="A215" s="3" t="s">
        <v>124</v>
      </c>
      <c r="B215" s="3">
        <v>30</v>
      </c>
      <c r="C215" s="3" t="s">
        <v>60</v>
      </c>
      <c r="D215" s="3" t="s">
        <v>125</v>
      </c>
      <c r="E215" s="3" t="s">
        <v>132</v>
      </c>
      <c r="F215" s="3" t="str">
        <f t="shared" si="0"/>
        <v>2 - Frepam</v>
      </c>
      <c r="G215" s="3">
        <v>2</v>
      </c>
    </row>
    <row r="216" spans="1:7" ht="12.75" hidden="1" x14ac:dyDescent="0.2">
      <c r="A216" s="3" t="s">
        <v>124</v>
      </c>
      <c r="B216" s="3">
        <v>30</v>
      </c>
      <c r="C216" s="3" t="s">
        <v>60</v>
      </c>
      <c r="D216" s="3" t="s">
        <v>125</v>
      </c>
      <c r="E216" s="3" t="s">
        <v>134</v>
      </c>
      <c r="F216" s="3" t="str">
        <f t="shared" si="0"/>
        <v>3 - Otros</v>
      </c>
      <c r="G216" s="3">
        <v>3</v>
      </c>
    </row>
    <row r="217" spans="1:7" ht="12.75" hidden="1" x14ac:dyDescent="0.2">
      <c r="A217" s="3" t="s">
        <v>124</v>
      </c>
      <c r="B217" s="3">
        <v>30</v>
      </c>
      <c r="C217" s="3" t="s">
        <v>60</v>
      </c>
      <c r="D217" s="3" t="s">
        <v>125</v>
      </c>
      <c r="E217" s="3" t="s">
        <v>126</v>
      </c>
      <c r="F217" s="3" t="str">
        <f t="shared" si="0"/>
        <v>2 - Frepam</v>
      </c>
      <c r="G217" s="3">
        <v>49</v>
      </c>
    </row>
    <row r="218" spans="1:7" ht="12.75" hidden="1" x14ac:dyDescent="0.2">
      <c r="A218" s="3" t="s">
        <v>124</v>
      </c>
      <c r="B218" s="3">
        <v>30</v>
      </c>
      <c r="C218" s="3" t="s">
        <v>60</v>
      </c>
      <c r="D218" s="3" t="s">
        <v>125</v>
      </c>
      <c r="E218" s="3" t="s">
        <v>138</v>
      </c>
      <c r="F218" s="3" t="str">
        <f t="shared" si="0"/>
        <v>4 - Blanco/Nulo</v>
      </c>
      <c r="G218" s="3">
        <v>0</v>
      </c>
    </row>
    <row r="219" spans="1:7" ht="12.75" hidden="1" x14ac:dyDescent="0.2">
      <c r="A219" s="3" t="s">
        <v>124</v>
      </c>
      <c r="B219" s="3">
        <v>30</v>
      </c>
      <c r="C219" s="3" t="s">
        <v>60</v>
      </c>
      <c r="D219" s="3" t="s">
        <v>125</v>
      </c>
      <c r="E219" s="3" t="s">
        <v>14</v>
      </c>
      <c r="F219" s="3" t="str">
        <f t="shared" si="0"/>
        <v>4 - Blanco/Nulo</v>
      </c>
      <c r="G219" s="3">
        <v>7</v>
      </c>
    </row>
    <row r="220" spans="1:7" ht="12.75" hidden="1" x14ac:dyDescent="0.2">
      <c r="A220" s="3" t="s">
        <v>124</v>
      </c>
      <c r="B220" s="3">
        <v>31</v>
      </c>
      <c r="C220" s="3" t="s">
        <v>61</v>
      </c>
      <c r="D220" s="3" t="s">
        <v>125</v>
      </c>
      <c r="E220" s="3" t="s">
        <v>3</v>
      </c>
      <c r="F220" s="3" t="str">
        <f t="shared" si="0"/>
        <v>1 - PJ</v>
      </c>
      <c r="G220" s="3">
        <v>906</v>
      </c>
    </row>
    <row r="221" spans="1:7" ht="12.75" hidden="1" x14ac:dyDescent="0.2">
      <c r="A221" s="3" t="s">
        <v>124</v>
      </c>
      <c r="B221" s="3">
        <v>31</v>
      </c>
      <c r="C221" s="3" t="s">
        <v>61</v>
      </c>
      <c r="D221" s="3" t="s">
        <v>125</v>
      </c>
      <c r="E221" s="3" t="s">
        <v>16</v>
      </c>
      <c r="F221" s="3" t="str">
        <f t="shared" si="0"/>
        <v>3 - Otros</v>
      </c>
      <c r="G221" s="3">
        <v>32</v>
      </c>
    </row>
    <row r="222" spans="1:7" ht="12.75" hidden="1" x14ac:dyDescent="0.2">
      <c r="A222" s="3" t="s">
        <v>124</v>
      </c>
      <c r="B222" s="3">
        <v>31</v>
      </c>
      <c r="C222" s="3" t="s">
        <v>61</v>
      </c>
      <c r="D222" s="3" t="s">
        <v>125</v>
      </c>
      <c r="E222" s="3" t="s">
        <v>129</v>
      </c>
      <c r="F222" s="3" t="str">
        <f t="shared" si="0"/>
        <v>3 - Otros</v>
      </c>
      <c r="G222" s="3">
        <v>32</v>
      </c>
    </row>
    <row r="223" spans="1:7" ht="12.75" hidden="1" x14ac:dyDescent="0.2">
      <c r="A223" s="3" t="s">
        <v>124</v>
      </c>
      <c r="B223" s="3">
        <v>31</v>
      </c>
      <c r="C223" s="3" t="s">
        <v>61</v>
      </c>
      <c r="D223" s="3" t="s">
        <v>125</v>
      </c>
      <c r="E223" s="3" t="s">
        <v>132</v>
      </c>
      <c r="F223" s="3" t="str">
        <f t="shared" si="0"/>
        <v>2 - Frepam</v>
      </c>
      <c r="G223" s="3">
        <v>26</v>
      </c>
    </row>
    <row r="224" spans="1:7" ht="12.75" hidden="1" x14ac:dyDescent="0.2">
      <c r="A224" s="3" t="s">
        <v>124</v>
      </c>
      <c r="B224" s="3">
        <v>31</v>
      </c>
      <c r="C224" s="3" t="s">
        <v>61</v>
      </c>
      <c r="D224" s="3" t="s">
        <v>125</v>
      </c>
      <c r="E224" s="3" t="s">
        <v>134</v>
      </c>
      <c r="F224" s="3" t="str">
        <f t="shared" si="0"/>
        <v>3 - Otros</v>
      </c>
      <c r="G224" s="3">
        <v>29</v>
      </c>
    </row>
    <row r="225" spans="1:7" ht="12.75" hidden="1" x14ac:dyDescent="0.2">
      <c r="A225" s="3" t="s">
        <v>124</v>
      </c>
      <c r="B225" s="3">
        <v>31</v>
      </c>
      <c r="C225" s="3" t="s">
        <v>61</v>
      </c>
      <c r="D225" s="3" t="s">
        <v>125</v>
      </c>
      <c r="E225" s="3" t="s">
        <v>126</v>
      </c>
      <c r="F225" s="3" t="str">
        <f t="shared" si="0"/>
        <v>2 - Frepam</v>
      </c>
      <c r="G225" s="3">
        <v>897</v>
      </c>
    </row>
    <row r="226" spans="1:7" ht="12.75" hidden="1" x14ac:dyDescent="0.2">
      <c r="A226" s="3" t="s">
        <v>124</v>
      </c>
      <c r="B226" s="3">
        <v>31</v>
      </c>
      <c r="C226" s="3" t="s">
        <v>61</v>
      </c>
      <c r="D226" s="3" t="s">
        <v>125</v>
      </c>
      <c r="E226" s="3" t="s">
        <v>138</v>
      </c>
      <c r="F226" s="3" t="str">
        <f t="shared" si="0"/>
        <v>4 - Blanco/Nulo</v>
      </c>
      <c r="G226" s="3">
        <v>28</v>
      </c>
    </row>
    <row r="227" spans="1:7" ht="12.75" hidden="1" x14ac:dyDescent="0.2">
      <c r="A227" s="3" t="s">
        <v>124</v>
      </c>
      <c r="B227" s="3">
        <v>31</v>
      </c>
      <c r="C227" s="3" t="s">
        <v>61</v>
      </c>
      <c r="D227" s="3" t="s">
        <v>125</v>
      </c>
      <c r="E227" s="3" t="s">
        <v>14</v>
      </c>
      <c r="F227" s="3" t="str">
        <f t="shared" si="0"/>
        <v>4 - Blanco/Nulo</v>
      </c>
      <c r="G227" s="3">
        <v>18</v>
      </c>
    </row>
    <row r="228" spans="1:7" ht="12.75" hidden="1" x14ac:dyDescent="0.2">
      <c r="A228" s="3" t="s">
        <v>124</v>
      </c>
      <c r="B228" s="3">
        <v>32</v>
      </c>
      <c r="C228" s="3" t="s">
        <v>62</v>
      </c>
      <c r="D228" s="3" t="s">
        <v>125</v>
      </c>
      <c r="E228" s="3" t="s">
        <v>3</v>
      </c>
      <c r="F228" s="3" t="str">
        <f t="shared" si="0"/>
        <v>1 - PJ</v>
      </c>
      <c r="G228" s="3">
        <v>175</v>
      </c>
    </row>
    <row r="229" spans="1:7" ht="12.75" hidden="1" x14ac:dyDescent="0.2">
      <c r="A229" s="3" t="s">
        <v>124</v>
      </c>
      <c r="B229" s="3">
        <v>32</v>
      </c>
      <c r="C229" s="3" t="s">
        <v>62</v>
      </c>
      <c r="D229" s="3" t="s">
        <v>125</v>
      </c>
      <c r="E229" s="3" t="s">
        <v>16</v>
      </c>
      <c r="F229" s="3" t="str">
        <f t="shared" si="0"/>
        <v>3 - Otros</v>
      </c>
      <c r="G229" s="3">
        <v>1</v>
      </c>
    </row>
    <row r="230" spans="1:7" ht="12.75" hidden="1" x14ac:dyDescent="0.2">
      <c r="A230" s="3" t="s">
        <v>124</v>
      </c>
      <c r="B230" s="3">
        <v>32</v>
      </c>
      <c r="C230" s="3" t="s">
        <v>62</v>
      </c>
      <c r="D230" s="3" t="s">
        <v>125</v>
      </c>
      <c r="E230" s="3" t="s">
        <v>129</v>
      </c>
      <c r="F230" s="3" t="str">
        <f t="shared" si="0"/>
        <v>3 - Otros</v>
      </c>
      <c r="G230" s="3">
        <v>3</v>
      </c>
    </row>
    <row r="231" spans="1:7" ht="12.75" hidden="1" x14ac:dyDescent="0.2">
      <c r="A231" s="3" t="s">
        <v>124</v>
      </c>
      <c r="B231" s="3">
        <v>32</v>
      </c>
      <c r="C231" s="3" t="s">
        <v>62</v>
      </c>
      <c r="D231" s="3" t="s">
        <v>125</v>
      </c>
      <c r="E231" s="3" t="s">
        <v>132</v>
      </c>
      <c r="F231" s="3" t="str">
        <f t="shared" si="0"/>
        <v>2 - Frepam</v>
      </c>
      <c r="G231" s="3">
        <v>5</v>
      </c>
    </row>
    <row r="232" spans="1:7" ht="12.75" hidden="1" x14ac:dyDescent="0.2">
      <c r="A232" s="3" t="s">
        <v>124</v>
      </c>
      <c r="B232" s="3">
        <v>32</v>
      </c>
      <c r="C232" s="3" t="s">
        <v>62</v>
      </c>
      <c r="D232" s="3" t="s">
        <v>125</v>
      </c>
      <c r="E232" s="3" t="s">
        <v>134</v>
      </c>
      <c r="F232" s="3" t="str">
        <f t="shared" si="0"/>
        <v>3 - Otros</v>
      </c>
      <c r="G232" s="3">
        <v>2</v>
      </c>
    </row>
    <row r="233" spans="1:7" ht="12.75" hidden="1" x14ac:dyDescent="0.2">
      <c r="A233" s="3" t="s">
        <v>124</v>
      </c>
      <c r="B233" s="3">
        <v>32</v>
      </c>
      <c r="C233" s="3" t="s">
        <v>62</v>
      </c>
      <c r="D233" s="3" t="s">
        <v>125</v>
      </c>
      <c r="E233" s="3" t="s">
        <v>126</v>
      </c>
      <c r="F233" s="3" t="str">
        <f t="shared" si="0"/>
        <v>2 - Frepam</v>
      </c>
      <c r="G233" s="3">
        <v>59</v>
      </c>
    </row>
    <row r="234" spans="1:7" ht="12.75" hidden="1" x14ac:dyDescent="0.2">
      <c r="A234" s="3" t="s">
        <v>124</v>
      </c>
      <c r="B234" s="3">
        <v>32</v>
      </c>
      <c r="C234" s="3" t="s">
        <v>62</v>
      </c>
      <c r="D234" s="3" t="s">
        <v>125</v>
      </c>
      <c r="E234" s="3" t="s">
        <v>138</v>
      </c>
      <c r="F234" s="3" t="str">
        <f t="shared" si="0"/>
        <v>4 - Blanco/Nulo</v>
      </c>
      <c r="G234" s="3">
        <v>9</v>
      </c>
    </row>
    <row r="235" spans="1:7" ht="12.75" hidden="1" x14ac:dyDescent="0.2">
      <c r="A235" s="3" t="s">
        <v>124</v>
      </c>
      <c r="B235" s="3">
        <v>32</v>
      </c>
      <c r="C235" s="3" t="s">
        <v>62</v>
      </c>
      <c r="D235" s="3" t="s">
        <v>125</v>
      </c>
      <c r="E235" s="3" t="s">
        <v>14</v>
      </c>
      <c r="F235" s="3" t="str">
        <f t="shared" si="0"/>
        <v>4 - Blanco/Nulo</v>
      </c>
      <c r="G235" s="3">
        <v>1</v>
      </c>
    </row>
    <row r="236" spans="1:7" ht="12.75" hidden="1" x14ac:dyDescent="0.2">
      <c r="A236" s="3" t="s">
        <v>124</v>
      </c>
      <c r="B236" s="3">
        <v>33</v>
      </c>
      <c r="C236" s="3" t="s">
        <v>63</v>
      </c>
      <c r="D236" s="3" t="s">
        <v>125</v>
      </c>
      <c r="E236" s="3" t="s">
        <v>3</v>
      </c>
      <c r="F236" s="3" t="str">
        <f t="shared" si="0"/>
        <v>1 - PJ</v>
      </c>
      <c r="G236" s="3">
        <v>250</v>
      </c>
    </row>
    <row r="237" spans="1:7" ht="12.75" hidden="1" x14ac:dyDescent="0.2">
      <c r="A237" s="3" t="s">
        <v>124</v>
      </c>
      <c r="B237" s="3">
        <v>33</v>
      </c>
      <c r="C237" s="3" t="s">
        <v>63</v>
      </c>
      <c r="D237" s="3" t="s">
        <v>125</v>
      </c>
      <c r="E237" s="3" t="s">
        <v>16</v>
      </c>
      <c r="F237" s="3" t="str">
        <f t="shared" si="0"/>
        <v>3 - Otros</v>
      </c>
      <c r="G237" s="3">
        <v>2</v>
      </c>
    </row>
    <row r="238" spans="1:7" ht="12.75" hidden="1" x14ac:dyDescent="0.2">
      <c r="A238" s="3" t="s">
        <v>124</v>
      </c>
      <c r="B238" s="3">
        <v>33</v>
      </c>
      <c r="C238" s="3" t="s">
        <v>63</v>
      </c>
      <c r="D238" s="3" t="s">
        <v>125</v>
      </c>
      <c r="E238" s="3" t="s">
        <v>129</v>
      </c>
      <c r="F238" s="3" t="str">
        <f t="shared" si="0"/>
        <v>3 - Otros</v>
      </c>
      <c r="G238" s="3">
        <v>2</v>
      </c>
    </row>
    <row r="239" spans="1:7" ht="12.75" hidden="1" x14ac:dyDescent="0.2">
      <c r="A239" s="3" t="s">
        <v>124</v>
      </c>
      <c r="B239" s="3">
        <v>33</v>
      </c>
      <c r="C239" s="3" t="s">
        <v>63</v>
      </c>
      <c r="D239" s="3" t="s">
        <v>125</v>
      </c>
      <c r="E239" s="3" t="s">
        <v>132</v>
      </c>
      <c r="F239" s="3" t="str">
        <f t="shared" si="0"/>
        <v>2 - Frepam</v>
      </c>
      <c r="G239" s="3">
        <v>2</v>
      </c>
    </row>
    <row r="240" spans="1:7" ht="12.75" hidden="1" x14ac:dyDescent="0.2">
      <c r="A240" s="3" t="s">
        <v>124</v>
      </c>
      <c r="B240" s="3">
        <v>33</v>
      </c>
      <c r="C240" s="3" t="s">
        <v>63</v>
      </c>
      <c r="D240" s="3" t="s">
        <v>125</v>
      </c>
      <c r="E240" s="3" t="s">
        <v>134</v>
      </c>
      <c r="F240" s="3" t="str">
        <f t="shared" si="0"/>
        <v>3 - Otros</v>
      </c>
      <c r="G240" s="3">
        <v>4</v>
      </c>
    </row>
    <row r="241" spans="1:7" ht="12.75" hidden="1" x14ac:dyDescent="0.2">
      <c r="A241" s="3" t="s">
        <v>124</v>
      </c>
      <c r="B241" s="3">
        <v>33</v>
      </c>
      <c r="C241" s="3" t="s">
        <v>63</v>
      </c>
      <c r="D241" s="3" t="s">
        <v>125</v>
      </c>
      <c r="E241" s="3" t="s">
        <v>126</v>
      </c>
      <c r="F241" s="3" t="str">
        <f t="shared" si="0"/>
        <v>2 - Frepam</v>
      </c>
      <c r="G241" s="3">
        <v>113</v>
      </c>
    </row>
    <row r="242" spans="1:7" ht="12.75" hidden="1" x14ac:dyDescent="0.2">
      <c r="A242" s="3" t="s">
        <v>124</v>
      </c>
      <c r="B242" s="3">
        <v>33</v>
      </c>
      <c r="C242" s="3" t="s">
        <v>63</v>
      </c>
      <c r="D242" s="3" t="s">
        <v>125</v>
      </c>
      <c r="E242" s="3" t="s">
        <v>138</v>
      </c>
      <c r="F242" s="3" t="str">
        <f t="shared" si="0"/>
        <v>4 - Blanco/Nulo</v>
      </c>
      <c r="G242" s="3">
        <v>1</v>
      </c>
    </row>
    <row r="243" spans="1:7" ht="12.75" hidden="1" x14ac:dyDescent="0.2">
      <c r="A243" s="3" t="s">
        <v>124</v>
      </c>
      <c r="B243" s="3">
        <v>33</v>
      </c>
      <c r="C243" s="3" t="s">
        <v>63</v>
      </c>
      <c r="D243" s="3" t="s">
        <v>125</v>
      </c>
      <c r="E243" s="3" t="s">
        <v>14</v>
      </c>
      <c r="F243" s="3" t="str">
        <f t="shared" si="0"/>
        <v>4 - Blanco/Nulo</v>
      </c>
      <c r="G243" s="3">
        <v>3</v>
      </c>
    </row>
    <row r="244" spans="1:7" ht="12.75" hidden="1" x14ac:dyDescent="0.2">
      <c r="A244" s="3" t="s">
        <v>124</v>
      </c>
      <c r="B244" s="3">
        <v>34</v>
      </c>
      <c r="C244" s="3" t="s">
        <v>64</v>
      </c>
      <c r="D244" s="3" t="s">
        <v>125</v>
      </c>
      <c r="E244" s="3" t="s">
        <v>3</v>
      </c>
      <c r="F244" s="3" t="str">
        <f t="shared" si="0"/>
        <v>1 - PJ</v>
      </c>
      <c r="G244" s="3">
        <v>719</v>
      </c>
    </row>
    <row r="245" spans="1:7" ht="12.75" hidden="1" x14ac:dyDescent="0.2">
      <c r="A245" s="3" t="s">
        <v>124</v>
      </c>
      <c r="B245" s="3">
        <v>34</v>
      </c>
      <c r="C245" s="3" t="s">
        <v>64</v>
      </c>
      <c r="D245" s="3" t="s">
        <v>125</v>
      </c>
      <c r="E245" s="3" t="s">
        <v>16</v>
      </c>
      <c r="F245" s="3" t="str">
        <f t="shared" si="0"/>
        <v>3 - Otros</v>
      </c>
      <c r="G245" s="3">
        <v>16</v>
      </c>
    </row>
    <row r="246" spans="1:7" ht="12.75" hidden="1" x14ac:dyDescent="0.2">
      <c r="A246" s="3" t="s">
        <v>124</v>
      </c>
      <c r="B246" s="3">
        <v>34</v>
      </c>
      <c r="C246" s="3" t="s">
        <v>64</v>
      </c>
      <c r="D246" s="3" t="s">
        <v>125</v>
      </c>
      <c r="E246" s="3" t="s">
        <v>129</v>
      </c>
      <c r="F246" s="3" t="str">
        <f t="shared" si="0"/>
        <v>3 - Otros</v>
      </c>
      <c r="G246" s="3">
        <v>9</v>
      </c>
    </row>
    <row r="247" spans="1:7" ht="12.75" hidden="1" x14ac:dyDescent="0.2">
      <c r="A247" s="3" t="s">
        <v>124</v>
      </c>
      <c r="B247" s="3">
        <v>34</v>
      </c>
      <c r="C247" s="3" t="s">
        <v>64</v>
      </c>
      <c r="D247" s="3" t="s">
        <v>125</v>
      </c>
      <c r="E247" s="3" t="s">
        <v>132</v>
      </c>
      <c r="F247" s="3" t="str">
        <f t="shared" si="0"/>
        <v>2 - Frepam</v>
      </c>
      <c r="G247" s="3">
        <v>20</v>
      </c>
    </row>
    <row r="248" spans="1:7" ht="12.75" hidden="1" x14ac:dyDescent="0.2">
      <c r="A248" s="3" t="s">
        <v>124</v>
      </c>
      <c r="B248" s="3">
        <v>34</v>
      </c>
      <c r="C248" s="3" t="s">
        <v>64</v>
      </c>
      <c r="D248" s="3" t="s">
        <v>125</v>
      </c>
      <c r="E248" s="3" t="s">
        <v>134</v>
      </c>
      <c r="F248" s="3" t="str">
        <f t="shared" si="0"/>
        <v>3 - Otros</v>
      </c>
      <c r="G248" s="3">
        <v>11</v>
      </c>
    </row>
    <row r="249" spans="1:7" ht="12.75" hidden="1" x14ac:dyDescent="0.2">
      <c r="A249" s="3" t="s">
        <v>124</v>
      </c>
      <c r="B249" s="3">
        <v>34</v>
      </c>
      <c r="C249" s="3" t="s">
        <v>64</v>
      </c>
      <c r="D249" s="3" t="s">
        <v>125</v>
      </c>
      <c r="E249" s="3" t="s">
        <v>126</v>
      </c>
      <c r="F249" s="3" t="str">
        <f t="shared" si="0"/>
        <v>2 - Frepam</v>
      </c>
      <c r="G249" s="3">
        <v>712</v>
      </c>
    </row>
    <row r="250" spans="1:7" ht="12.75" hidden="1" x14ac:dyDescent="0.2">
      <c r="A250" s="3" t="s">
        <v>124</v>
      </c>
      <c r="B250" s="3">
        <v>34</v>
      </c>
      <c r="C250" s="3" t="s">
        <v>64</v>
      </c>
      <c r="D250" s="3" t="s">
        <v>125</v>
      </c>
      <c r="E250" s="3" t="s">
        <v>138</v>
      </c>
      <c r="F250" s="3" t="str">
        <f t="shared" si="0"/>
        <v>4 - Blanco/Nulo</v>
      </c>
      <c r="G250" s="3">
        <v>0</v>
      </c>
    </row>
    <row r="251" spans="1:7" ht="12.75" hidden="1" x14ac:dyDescent="0.2">
      <c r="A251" s="3" t="s">
        <v>124</v>
      </c>
      <c r="B251" s="3">
        <v>34</v>
      </c>
      <c r="C251" s="3" t="s">
        <v>64</v>
      </c>
      <c r="D251" s="3" t="s">
        <v>125</v>
      </c>
      <c r="E251" s="3" t="s">
        <v>14</v>
      </c>
      <c r="F251" s="3" t="str">
        <f t="shared" si="0"/>
        <v>4 - Blanco/Nulo</v>
      </c>
      <c r="G251" s="3">
        <v>3</v>
      </c>
    </row>
    <row r="252" spans="1:7" ht="12.75" hidden="1" x14ac:dyDescent="0.2">
      <c r="A252" s="3" t="s">
        <v>124</v>
      </c>
      <c r="B252" s="3">
        <v>35</v>
      </c>
      <c r="C252" s="3" t="s">
        <v>65</v>
      </c>
      <c r="D252" s="3" t="s">
        <v>125</v>
      </c>
      <c r="E252" s="3" t="s">
        <v>3</v>
      </c>
      <c r="F252" s="3" t="str">
        <f t="shared" si="0"/>
        <v>1 - PJ</v>
      </c>
      <c r="G252" s="3">
        <v>237</v>
      </c>
    </row>
    <row r="253" spans="1:7" ht="12.75" hidden="1" x14ac:dyDescent="0.2">
      <c r="A253" s="3" t="s">
        <v>124</v>
      </c>
      <c r="B253" s="3">
        <v>35</v>
      </c>
      <c r="C253" s="3" t="s">
        <v>65</v>
      </c>
      <c r="D253" s="3" t="s">
        <v>125</v>
      </c>
      <c r="E253" s="3" t="s">
        <v>16</v>
      </c>
      <c r="F253" s="3" t="str">
        <f t="shared" si="0"/>
        <v>3 - Otros</v>
      </c>
      <c r="G253" s="3">
        <v>7</v>
      </c>
    </row>
    <row r="254" spans="1:7" ht="12.75" hidden="1" x14ac:dyDescent="0.2">
      <c r="A254" s="3" t="s">
        <v>124</v>
      </c>
      <c r="B254" s="3">
        <v>35</v>
      </c>
      <c r="C254" s="3" t="s">
        <v>65</v>
      </c>
      <c r="D254" s="3" t="s">
        <v>125</v>
      </c>
      <c r="E254" s="3" t="s">
        <v>129</v>
      </c>
      <c r="F254" s="3" t="str">
        <f t="shared" si="0"/>
        <v>3 - Otros</v>
      </c>
      <c r="G254" s="3">
        <v>13</v>
      </c>
    </row>
    <row r="255" spans="1:7" ht="12.75" hidden="1" x14ac:dyDescent="0.2">
      <c r="A255" s="3" t="s">
        <v>124</v>
      </c>
      <c r="B255" s="3">
        <v>35</v>
      </c>
      <c r="C255" s="3" t="s">
        <v>65</v>
      </c>
      <c r="D255" s="3" t="s">
        <v>125</v>
      </c>
      <c r="E255" s="3" t="s">
        <v>132</v>
      </c>
      <c r="F255" s="3" t="str">
        <f t="shared" si="0"/>
        <v>2 - Frepam</v>
      </c>
      <c r="G255" s="3">
        <v>10</v>
      </c>
    </row>
    <row r="256" spans="1:7" ht="12.75" hidden="1" x14ac:dyDescent="0.2">
      <c r="A256" s="3" t="s">
        <v>124</v>
      </c>
      <c r="B256" s="3">
        <v>35</v>
      </c>
      <c r="C256" s="3" t="s">
        <v>65</v>
      </c>
      <c r="D256" s="3" t="s">
        <v>125</v>
      </c>
      <c r="E256" s="3" t="s">
        <v>134</v>
      </c>
      <c r="F256" s="3" t="str">
        <f t="shared" si="0"/>
        <v>3 - Otros</v>
      </c>
      <c r="G256" s="3">
        <v>15</v>
      </c>
    </row>
    <row r="257" spans="1:7" ht="12.75" hidden="1" x14ac:dyDescent="0.2">
      <c r="A257" s="3" t="s">
        <v>124</v>
      </c>
      <c r="B257" s="3">
        <v>35</v>
      </c>
      <c r="C257" s="3" t="s">
        <v>65</v>
      </c>
      <c r="D257" s="3" t="s">
        <v>125</v>
      </c>
      <c r="E257" s="3" t="s">
        <v>126</v>
      </c>
      <c r="F257" s="3" t="str">
        <f t="shared" si="0"/>
        <v>2 - Frepam</v>
      </c>
      <c r="G257" s="3">
        <v>478</v>
      </c>
    </row>
    <row r="258" spans="1:7" ht="12.75" hidden="1" x14ac:dyDescent="0.2">
      <c r="A258" s="3" t="s">
        <v>124</v>
      </c>
      <c r="B258" s="3">
        <v>35</v>
      </c>
      <c r="C258" s="3" t="s">
        <v>65</v>
      </c>
      <c r="D258" s="3" t="s">
        <v>125</v>
      </c>
      <c r="E258" s="3" t="s">
        <v>138</v>
      </c>
      <c r="F258" s="3" t="str">
        <f t="shared" si="0"/>
        <v>4 - Blanco/Nulo</v>
      </c>
      <c r="G258" s="3">
        <v>14</v>
      </c>
    </row>
    <row r="259" spans="1:7" ht="12.75" hidden="1" x14ac:dyDescent="0.2">
      <c r="A259" s="3" t="s">
        <v>124</v>
      </c>
      <c r="B259" s="3">
        <v>35</v>
      </c>
      <c r="C259" s="3" t="s">
        <v>65</v>
      </c>
      <c r="D259" s="3" t="s">
        <v>125</v>
      </c>
      <c r="E259" s="3" t="s">
        <v>14</v>
      </c>
      <c r="F259" s="3" t="str">
        <f t="shared" si="0"/>
        <v>4 - Blanco/Nulo</v>
      </c>
      <c r="G259" s="3">
        <v>12</v>
      </c>
    </row>
    <row r="260" spans="1:7" ht="12.75" hidden="1" x14ac:dyDescent="0.2">
      <c r="A260" s="3" t="s">
        <v>124</v>
      </c>
      <c r="B260" s="3">
        <v>36</v>
      </c>
      <c r="C260" s="3" t="s">
        <v>66</v>
      </c>
      <c r="D260" s="3" t="s">
        <v>125</v>
      </c>
      <c r="E260" s="3" t="s">
        <v>3</v>
      </c>
      <c r="F260" s="3" t="str">
        <f t="shared" si="0"/>
        <v>1 - PJ</v>
      </c>
      <c r="G260" s="3">
        <v>987</v>
      </c>
    </row>
    <row r="261" spans="1:7" ht="12.75" hidden="1" x14ac:dyDescent="0.2">
      <c r="A261" s="3" t="s">
        <v>124</v>
      </c>
      <c r="B261" s="3">
        <v>36</v>
      </c>
      <c r="C261" s="3" t="s">
        <v>66</v>
      </c>
      <c r="D261" s="3" t="s">
        <v>125</v>
      </c>
      <c r="E261" s="3" t="s">
        <v>16</v>
      </c>
      <c r="F261" s="3" t="str">
        <f t="shared" si="0"/>
        <v>3 - Otros</v>
      </c>
      <c r="G261" s="3">
        <v>46</v>
      </c>
    </row>
    <row r="262" spans="1:7" ht="12.75" hidden="1" x14ac:dyDescent="0.2">
      <c r="A262" s="3" t="s">
        <v>124</v>
      </c>
      <c r="B262" s="3">
        <v>36</v>
      </c>
      <c r="C262" s="3" t="s">
        <v>66</v>
      </c>
      <c r="D262" s="3" t="s">
        <v>125</v>
      </c>
      <c r="E262" s="3" t="s">
        <v>129</v>
      </c>
      <c r="F262" s="3" t="str">
        <f t="shared" si="0"/>
        <v>3 - Otros</v>
      </c>
      <c r="G262" s="3">
        <v>32</v>
      </c>
    </row>
    <row r="263" spans="1:7" ht="12.75" hidden="1" x14ac:dyDescent="0.2">
      <c r="A263" s="3" t="s">
        <v>124</v>
      </c>
      <c r="B263" s="3">
        <v>36</v>
      </c>
      <c r="C263" s="3" t="s">
        <v>66</v>
      </c>
      <c r="D263" s="3" t="s">
        <v>125</v>
      </c>
      <c r="E263" s="3" t="s">
        <v>132</v>
      </c>
      <c r="F263" s="3" t="str">
        <f t="shared" si="0"/>
        <v>2 - Frepam</v>
      </c>
      <c r="G263" s="3">
        <v>59</v>
      </c>
    </row>
    <row r="264" spans="1:7" ht="12.75" hidden="1" x14ac:dyDescent="0.2">
      <c r="A264" s="3" t="s">
        <v>124</v>
      </c>
      <c r="B264" s="3">
        <v>36</v>
      </c>
      <c r="C264" s="3" t="s">
        <v>66</v>
      </c>
      <c r="D264" s="3" t="s">
        <v>125</v>
      </c>
      <c r="E264" s="3" t="s">
        <v>134</v>
      </c>
      <c r="F264" s="3" t="str">
        <f t="shared" si="0"/>
        <v>3 - Otros</v>
      </c>
      <c r="G264" s="3">
        <v>54</v>
      </c>
    </row>
    <row r="265" spans="1:7" ht="12.75" hidden="1" x14ac:dyDescent="0.2">
      <c r="A265" s="3" t="s">
        <v>124</v>
      </c>
      <c r="B265" s="3">
        <v>36</v>
      </c>
      <c r="C265" s="3" t="s">
        <v>66</v>
      </c>
      <c r="D265" s="3" t="s">
        <v>125</v>
      </c>
      <c r="E265" s="3" t="s">
        <v>126</v>
      </c>
      <c r="F265" s="3" t="str">
        <f t="shared" si="0"/>
        <v>2 - Frepam</v>
      </c>
      <c r="G265" s="3">
        <v>1730</v>
      </c>
    </row>
    <row r="266" spans="1:7" ht="12.75" hidden="1" x14ac:dyDescent="0.2">
      <c r="A266" s="3" t="s">
        <v>124</v>
      </c>
      <c r="B266" s="3">
        <v>36</v>
      </c>
      <c r="C266" s="3" t="s">
        <v>66</v>
      </c>
      <c r="D266" s="3" t="s">
        <v>125</v>
      </c>
      <c r="E266" s="3" t="s">
        <v>138</v>
      </c>
      <c r="F266" s="3" t="str">
        <f t="shared" si="0"/>
        <v>4 - Blanco/Nulo</v>
      </c>
      <c r="G266" s="3">
        <v>44</v>
      </c>
    </row>
    <row r="267" spans="1:7" ht="12.75" hidden="1" x14ac:dyDescent="0.2">
      <c r="A267" s="3" t="s">
        <v>124</v>
      </c>
      <c r="B267" s="3">
        <v>36</v>
      </c>
      <c r="C267" s="3" t="s">
        <v>66</v>
      </c>
      <c r="D267" s="3" t="s">
        <v>125</v>
      </c>
      <c r="E267" s="3" t="s">
        <v>14</v>
      </c>
      <c r="F267" s="3" t="str">
        <f t="shared" si="0"/>
        <v>4 - Blanco/Nulo</v>
      </c>
      <c r="G267" s="3">
        <v>57</v>
      </c>
    </row>
    <row r="268" spans="1:7" ht="12.75" hidden="1" x14ac:dyDescent="0.2">
      <c r="A268" s="3" t="s">
        <v>124</v>
      </c>
      <c r="B268" s="3">
        <v>37</v>
      </c>
      <c r="C268" s="3" t="s">
        <v>67</v>
      </c>
      <c r="D268" s="3" t="s">
        <v>125</v>
      </c>
      <c r="E268" s="3" t="s">
        <v>3</v>
      </c>
      <c r="F268" s="3" t="str">
        <f t="shared" si="0"/>
        <v>1 - PJ</v>
      </c>
      <c r="G268" s="3">
        <v>27</v>
      </c>
    </row>
    <row r="269" spans="1:7" ht="12.75" hidden="1" x14ac:dyDescent="0.2">
      <c r="A269" s="3" t="s">
        <v>124</v>
      </c>
      <c r="B269" s="3">
        <v>37</v>
      </c>
      <c r="C269" s="3" t="s">
        <v>67</v>
      </c>
      <c r="D269" s="3" t="s">
        <v>125</v>
      </c>
      <c r="E269" s="3" t="s">
        <v>16</v>
      </c>
      <c r="F269" s="3" t="str">
        <f t="shared" si="0"/>
        <v>3 - Otros</v>
      </c>
      <c r="G269" s="3">
        <v>0</v>
      </c>
    </row>
    <row r="270" spans="1:7" ht="12.75" hidden="1" x14ac:dyDescent="0.2">
      <c r="A270" s="3" t="s">
        <v>124</v>
      </c>
      <c r="B270" s="3">
        <v>37</v>
      </c>
      <c r="C270" s="3" t="s">
        <v>67</v>
      </c>
      <c r="D270" s="3" t="s">
        <v>125</v>
      </c>
      <c r="E270" s="3" t="s">
        <v>129</v>
      </c>
      <c r="F270" s="3" t="str">
        <f t="shared" si="0"/>
        <v>3 - Otros</v>
      </c>
      <c r="G270" s="3">
        <v>0</v>
      </c>
    </row>
    <row r="271" spans="1:7" ht="12.75" hidden="1" x14ac:dyDescent="0.2">
      <c r="A271" s="3" t="s">
        <v>124</v>
      </c>
      <c r="B271" s="3">
        <v>37</v>
      </c>
      <c r="C271" s="3" t="s">
        <v>67</v>
      </c>
      <c r="D271" s="3" t="s">
        <v>125</v>
      </c>
      <c r="E271" s="3" t="s">
        <v>132</v>
      </c>
      <c r="F271" s="3" t="str">
        <f t="shared" si="0"/>
        <v>2 - Frepam</v>
      </c>
      <c r="G271" s="3">
        <v>2</v>
      </c>
    </row>
    <row r="272" spans="1:7" ht="12.75" hidden="1" x14ac:dyDescent="0.2">
      <c r="A272" s="3" t="s">
        <v>124</v>
      </c>
      <c r="B272" s="3">
        <v>37</v>
      </c>
      <c r="C272" s="3" t="s">
        <v>67</v>
      </c>
      <c r="D272" s="3" t="s">
        <v>125</v>
      </c>
      <c r="E272" s="3" t="s">
        <v>134</v>
      </c>
      <c r="F272" s="3" t="str">
        <f t="shared" si="0"/>
        <v>3 - Otros</v>
      </c>
      <c r="G272" s="3">
        <v>0</v>
      </c>
    </row>
    <row r="273" spans="1:7" ht="12.75" hidden="1" x14ac:dyDescent="0.2">
      <c r="A273" s="3" t="s">
        <v>124</v>
      </c>
      <c r="B273" s="3">
        <v>37</v>
      </c>
      <c r="C273" s="3" t="s">
        <v>67</v>
      </c>
      <c r="D273" s="3" t="s">
        <v>125</v>
      </c>
      <c r="E273" s="3" t="s">
        <v>126</v>
      </c>
      <c r="F273" s="3" t="str">
        <f t="shared" si="0"/>
        <v>2 - Frepam</v>
      </c>
      <c r="G273" s="3">
        <v>19</v>
      </c>
    </row>
    <row r="274" spans="1:7" ht="12.75" hidden="1" x14ac:dyDescent="0.2">
      <c r="A274" s="3" t="s">
        <v>124</v>
      </c>
      <c r="B274" s="3">
        <v>37</v>
      </c>
      <c r="C274" s="3" t="s">
        <v>67</v>
      </c>
      <c r="D274" s="3" t="s">
        <v>125</v>
      </c>
      <c r="E274" s="3" t="s">
        <v>138</v>
      </c>
      <c r="F274" s="3" t="str">
        <f t="shared" si="0"/>
        <v>4 - Blanco/Nulo</v>
      </c>
      <c r="G274" s="3">
        <v>0</v>
      </c>
    </row>
    <row r="275" spans="1:7" ht="12.75" hidden="1" x14ac:dyDescent="0.2">
      <c r="A275" s="3" t="s">
        <v>124</v>
      </c>
      <c r="B275" s="3">
        <v>37</v>
      </c>
      <c r="C275" s="3" t="s">
        <v>67</v>
      </c>
      <c r="D275" s="3" t="s">
        <v>125</v>
      </c>
      <c r="E275" s="3" t="s">
        <v>14</v>
      </c>
      <c r="F275" s="3" t="str">
        <f t="shared" si="0"/>
        <v>4 - Blanco/Nulo</v>
      </c>
      <c r="G275" s="3">
        <v>0</v>
      </c>
    </row>
    <row r="276" spans="1:7" ht="12.75" hidden="1" x14ac:dyDescent="0.2">
      <c r="A276" s="3" t="s">
        <v>124</v>
      </c>
      <c r="B276" s="3">
        <v>38</v>
      </c>
      <c r="C276" s="3" t="s">
        <v>68</v>
      </c>
      <c r="D276" s="3" t="s">
        <v>125</v>
      </c>
      <c r="E276" s="3" t="s">
        <v>3</v>
      </c>
      <c r="F276" s="3" t="str">
        <f t="shared" si="0"/>
        <v>1 - PJ</v>
      </c>
      <c r="G276" s="3">
        <v>76</v>
      </c>
    </row>
    <row r="277" spans="1:7" ht="12.75" hidden="1" x14ac:dyDescent="0.2">
      <c r="A277" s="3" t="s">
        <v>124</v>
      </c>
      <c r="B277" s="3">
        <v>38</v>
      </c>
      <c r="C277" s="3" t="s">
        <v>68</v>
      </c>
      <c r="D277" s="3" t="s">
        <v>125</v>
      </c>
      <c r="E277" s="3" t="s">
        <v>16</v>
      </c>
      <c r="F277" s="3" t="str">
        <f t="shared" si="0"/>
        <v>3 - Otros</v>
      </c>
      <c r="G277" s="3">
        <v>9</v>
      </c>
    </row>
    <row r="278" spans="1:7" ht="12.75" hidden="1" x14ac:dyDescent="0.2">
      <c r="A278" s="3" t="s">
        <v>124</v>
      </c>
      <c r="B278" s="3">
        <v>38</v>
      </c>
      <c r="C278" s="3" t="s">
        <v>68</v>
      </c>
      <c r="D278" s="3" t="s">
        <v>125</v>
      </c>
      <c r="E278" s="3" t="s">
        <v>129</v>
      </c>
      <c r="F278" s="3" t="str">
        <f t="shared" si="0"/>
        <v>3 - Otros</v>
      </c>
      <c r="G278" s="3">
        <v>9</v>
      </c>
    </row>
    <row r="279" spans="1:7" ht="12.75" hidden="1" x14ac:dyDescent="0.2">
      <c r="A279" s="3" t="s">
        <v>124</v>
      </c>
      <c r="B279" s="3">
        <v>38</v>
      </c>
      <c r="C279" s="3" t="s">
        <v>68</v>
      </c>
      <c r="D279" s="3" t="s">
        <v>125</v>
      </c>
      <c r="E279" s="3" t="s">
        <v>132</v>
      </c>
      <c r="F279" s="3" t="str">
        <f t="shared" si="0"/>
        <v>2 - Frepam</v>
      </c>
      <c r="G279" s="3">
        <v>6</v>
      </c>
    </row>
    <row r="280" spans="1:7" ht="12.75" hidden="1" x14ac:dyDescent="0.2">
      <c r="A280" s="3" t="s">
        <v>124</v>
      </c>
      <c r="B280" s="3">
        <v>38</v>
      </c>
      <c r="C280" s="3" t="s">
        <v>68</v>
      </c>
      <c r="D280" s="3" t="s">
        <v>125</v>
      </c>
      <c r="E280" s="3" t="s">
        <v>134</v>
      </c>
      <c r="F280" s="3" t="str">
        <f t="shared" si="0"/>
        <v>3 - Otros</v>
      </c>
      <c r="G280" s="3">
        <v>5</v>
      </c>
    </row>
    <row r="281" spans="1:7" ht="12.75" hidden="1" x14ac:dyDescent="0.2">
      <c r="A281" s="3" t="s">
        <v>124</v>
      </c>
      <c r="B281" s="3">
        <v>38</v>
      </c>
      <c r="C281" s="3" t="s">
        <v>68</v>
      </c>
      <c r="D281" s="3" t="s">
        <v>125</v>
      </c>
      <c r="E281" s="3" t="s">
        <v>126</v>
      </c>
      <c r="F281" s="3" t="str">
        <f t="shared" si="0"/>
        <v>2 - Frepam</v>
      </c>
      <c r="G281" s="3">
        <v>161</v>
      </c>
    </row>
    <row r="282" spans="1:7" ht="12.75" hidden="1" x14ac:dyDescent="0.2">
      <c r="A282" s="3" t="s">
        <v>124</v>
      </c>
      <c r="B282" s="3">
        <v>38</v>
      </c>
      <c r="C282" s="3" t="s">
        <v>68</v>
      </c>
      <c r="D282" s="3" t="s">
        <v>125</v>
      </c>
      <c r="E282" s="3" t="s">
        <v>138</v>
      </c>
      <c r="F282" s="3" t="str">
        <f t="shared" si="0"/>
        <v>4 - Blanco/Nulo</v>
      </c>
      <c r="G282" s="3">
        <v>7</v>
      </c>
    </row>
    <row r="283" spans="1:7" ht="12.75" hidden="1" x14ac:dyDescent="0.2">
      <c r="A283" s="3" t="s">
        <v>124</v>
      </c>
      <c r="B283" s="3">
        <v>38</v>
      </c>
      <c r="C283" s="3" t="s">
        <v>68</v>
      </c>
      <c r="D283" s="3" t="s">
        <v>125</v>
      </c>
      <c r="E283" s="3" t="s">
        <v>14</v>
      </c>
      <c r="F283" s="3" t="str">
        <f t="shared" si="0"/>
        <v>4 - Blanco/Nulo</v>
      </c>
      <c r="G283" s="3">
        <v>5</v>
      </c>
    </row>
    <row r="284" spans="1:7" ht="12.75" hidden="1" x14ac:dyDescent="0.2">
      <c r="A284" s="3" t="s">
        <v>124</v>
      </c>
      <c r="B284" s="3">
        <v>39</v>
      </c>
      <c r="C284" s="3" t="s">
        <v>69</v>
      </c>
      <c r="D284" s="3" t="s">
        <v>125</v>
      </c>
      <c r="E284" s="3" t="s">
        <v>3</v>
      </c>
      <c r="F284" s="3" t="str">
        <f t="shared" si="0"/>
        <v>1 - PJ</v>
      </c>
      <c r="G284" s="3">
        <v>742</v>
      </c>
    </row>
    <row r="285" spans="1:7" ht="12.75" hidden="1" x14ac:dyDescent="0.2">
      <c r="A285" s="3" t="s">
        <v>124</v>
      </c>
      <c r="B285" s="3">
        <v>39</v>
      </c>
      <c r="C285" s="3" t="s">
        <v>69</v>
      </c>
      <c r="D285" s="3" t="s">
        <v>125</v>
      </c>
      <c r="E285" s="3" t="s">
        <v>16</v>
      </c>
      <c r="F285" s="3" t="str">
        <f t="shared" si="0"/>
        <v>3 - Otros</v>
      </c>
      <c r="G285" s="3">
        <v>14</v>
      </c>
    </row>
    <row r="286" spans="1:7" ht="12.75" hidden="1" x14ac:dyDescent="0.2">
      <c r="A286" s="3" t="s">
        <v>124</v>
      </c>
      <c r="B286" s="3">
        <v>39</v>
      </c>
      <c r="C286" s="3" t="s">
        <v>69</v>
      </c>
      <c r="D286" s="3" t="s">
        <v>125</v>
      </c>
      <c r="E286" s="3" t="s">
        <v>129</v>
      </c>
      <c r="F286" s="3" t="str">
        <f t="shared" si="0"/>
        <v>3 - Otros</v>
      </c>
      <c r="G286" s="3">
        <v>7</v>
      </c>
    </row>
    <row r="287" spans="1:7" ht="12.75" hidden="1" x14ac:dyDescent="0.2">
      <c r="A287" s="3" t="s">
        <v>124</v>
      </c>
      <c r="B287" s="3">
        <v>39</v>
      </c>
      <c r="C287" s="3" t="s">
        <v>69</v>
      </c>
      <c r="D287" s="3" t="s">
        <v>125</v>
      </c>
      <c r="E287" s="3" t="s">
        <v>132</v>
      </c>
      <c r="F287" s="3" t="str">
        <f t="shared" si="0"/>
        <v>2 - Frepam</v>
      </c>
      <c r="G287" s="3">
        <v>14</v>
      </c>
    </row>
    <row r="288" spans="1:7" ht="12.75" hidden="1" x14ac:dyDescent="0.2">
      <c r="A288" s="3" t="s">
        <v>124</v>
      </c>
      <c r="B288" s="3">
        <v>39</v>
      </c>
      <c r="C288" s="3" t="s">
        <v>69</v>
      </c>
      <c r="D288" s="3" t="s">
        <v>125</v>
      </c>
      <c r="E288" s="3" t="s">
        <v>134</v>
      </c>
      <c r="F288" s="3" t="str">
        <f t="shared" si="0"/>
        <v>3 - Otros</v>
      </c>
      <c r="G288" s="3">
        <v>26</v>
      </c>
    </row>
    <row r="289" spans="1:7" ht="12.75" hidden="1" x14ac:dyDescent="0.2">
      <c r="A289" s="3" t="s">
        <v>124</v>
      </c>
      <c r="B289" s="3">
        <v>39</v>
      </c>
      <c r="C289" s="3" t="s">
        <v>69</v>
      </c>
      <c r="D289" s="3" t="s">
        <v>125</v>
      </c>
      <c r="E289" s="3" t="s">
        <v>126</v>
      </c>
      <c r="F289" s="3" t="str">
        <f t="shared" si="0"/>
        <v>2 - Frepam</v>
      </c>
      <c r="G289" s="3">
        <v>444</v>
      </c>
    </row>
    <row r="290" spans="1:7" ht="12.75" hidden="1" x14ac:dyDescent="0.2">
      <c r="A290" s="3" t="s">
        <v>124</v>
      </c>
      <c r="B290" s="3">
        <v>39</v>
      </c>
      <c r="C290" s="3" t="s">
        <v>69</v>
      </c>
      <c r="D290" s="3" t="s">
        <v>125</v>
      </c>
      <c r="E290" s="3" t="s">
        <v>138</v>
      </c>
      <c r="F290" s="3" t="str">
        <f t="shared" si="0"/>
        <v>4 - Blanco/Nulo</v>
      </c>
      <c r="G290" s="3">
        <v>20</v>
      </c>
    </row>
    <row r="291" spans="1:7" ht="12.75" hidden="1" x14ac:dyDescent="0.2">
      <c r="A291" s="3" t="s">
        <v>124</v>
      </c>
      <c r="B291" s="3">
        <v>39</v>
      </c>
      <c r="C291" s="3" t="s">
        <v>69</v>
      </c>
      <c r="D291" s="3" t="s">
        <v>125</v>
      </c>
      <c r="E291" s="3" t="s">
        <v>14</v>
      </c>
      <c r="F291" s="3" t="str">
        <f t="shared" si="0"/>
        <v>4 - Blanco/Nulo</v>
      </c>
      <c r="G291" s="3">
        <v>20</v>
      </c>
    </row>
    <row r="292" spans="1:7" ht="12.75" hidden="1" x14ac:dyDescent="0.2">
      <c r="A292" s="3" t="s">
        <v>124</v>
      </c>
      <c r="B292" s="3" t="s">
        <v>70</v>
      </c>
      <c r="C292" s="3" t="s">
        <v>71</v>
      </c>
      <c r="D292" s="3" t="s">
        <v>125</v>
      </c>
      <c r="E292" s="3" t="s">
        <v>3</v>
      </c>
      <c r="F292" s="3" t="str">
        <f t="shared" si="0"/>
        <v>1 - PJ</v>
      </c>
      <c r="G292" s="3">
        <v>184</v>
      </c>
    </row>
    <row r="293" spans="1:7" ht="12.75" hidden="1" x14ac:dyDescent="0.2">
      <c r="A293" s="3" t="s">
        <v>124</v>
      </c>
      <c r="B293" s="3" t="s">
        <v>70</v>
      </c>
      <c r="C293" s="3" t="s">
        <v>71</v>
      </c>
      <c r="D293" s="3" t="s">
        <v>125</v>
      </c>
      <c r="E293" s="3" t="s">
        <v>16</v>
      </c>
      <c r="F293" s="3" t="str">
        <f t="shared" si="0"/>
        <v>3 - Otros</v>
      </c>
      <c r="G293" s="3">
        <v>190</v>
      </c>
    </row>
    <row r="294" spans="1:7" ht="12.75" hidden="1" x14ac:dyDescent="0.2">
      <c r="A294" s="3" t="s">
        <v>124</v>
      </c>
      <c r="B294" s="3" t="s">
        <v>70</v>
      </c>
      <c r="C294" s="3" t="s">
        <v>71</v>
      </c>
      <c r="D294" s="3" t="s">
        <v>125</v>
      </c>
      <c r="E294" s="3" t="s">
        <v>129</v>
      </c>
      <c r="F294" s="3" t="str">
        <f t="shared" si="0"/>
        <v>3 - Otros</v>
      </c>
      <c r="G294" s="3">
        <v>4</v>
      </c>
    </row>
    <row r="295" spans="1:7" ht="12.75" hidden="1" x14ac:dyDescent="0.2">
      <c r="A295" s="3" t="s">
        <v>124</v>
      </c>
      <c r="B295" s="3" t="s">
        <v>70</v>
      </c>
      <c r="C295" s="3" t="s">
        <v>71</v>
      </c>
      <c r="D295" s="3" t="s">
        <v>125</v>
      </c>
      <c r="E295" s="3" t="s">
        <v>132</v>
      </c>
      <c r="F295" s="3" t="str">
        <f t="shared" si="0"/>
        <v>2 - Frepam</v>
      </c>
      <c r="G295" s="3">
        <v>3</v>
      </c>
    </row>
    <row r="296" spans="1:7" ht="12.75" hidden="1" x14ac:dyDescent="0.2">
      <c r="A296" s="3" t="s">
        <v>124</v>
      </c>
      <c r="B296" s="3" t="s">
        <v>70</v>
      </c>
      <c r="C296" s="3" t="s">
        <v>71</v>
      </c>
      <c r="D296" s="3" t="s">
        <v>125</v>
      </c>
      <c r="E296" s="3" t="s">
        <v>134</v>
      </c>
      <c r="F296" s="3" t="str">
        <f t="shared" si="0"/>
        <v>3 - Otros</v>
      </c>
      <c r="G296" s="3">
        <v>2</v>
      </c>
    </row>
    <row r="297" spans="1:7" ht="12.75" hidden="1" x14ac:dyDescent="0.2">
      <c r="A297" s="3" t="s">
        <v>124</v>
      </c>
      <c r="B297" s="3" t="s">
        <v>70</v>
      </c>
      <c r="C297" s="3" t="s">
        <v>71</v>
      </c>
      <c r="D297" s="3" t="s">
        <v>125</v>
      </c>
      <c r="E297" s="3" t="s">
        <v>126</v>
      </c>
      <c r="F297" s="3" t="str">
        <f t="shared" si="0"/>
        <v>2 - Frepam</v>
      </c>
      <c r="G297" s="3">
        <v>121</v>
      </c>
    </row>
    <row r="298" spans="1:7" ht="12.75" hidden="1" x14ac:dyDescent="0.2">
      <c r="A298" s="3" t="s">
        <v>124</v>
      </c>
      <c r="B298" s="3" t="s">
        <v>70</v>
      </c>
      <c r="C298" s="3" t="s">
        <v>71</v>
      </c>
      <c r="D298" s="3" t="s">
        <v>125</v>
      </c>
      <c r="E298" s="3" t="s">
        <v>138</v>
      </c>
      <c r="F298" s="3" t="str">
        <f t="shared" si="0"/>
        <v>4 - Blanco/Nulo</v>
      </c>
      <c r="G298" s="3">
        <v>3</v>
      </c>
    </row>
    <row r="299" spans="1:7" ht="12.75" hidden="1" x14ac:dyDescent="0.2">
      <c r="A299" s="3" t="s">
        <v>124</v>
      </c>
      <c r="B299" s="3" t="s">
        <v>70</v>
      </c>
      <c r="C299" s="3" t="s">
        <v>71</v>
      </c>
      <c r="D299" s="3" t="s">
        <v>125</v>
      </c>
      <c r="E299" s="3" t="s">
        <v>14</v>
      </c>
      <c r="F299" s="3" t="str">
        <f t="shared" si="0"/>
        <v>4 - Blanco/Nulo</v>
      </c>
      <c r="G299" s="3">
        <v>8</v>
      </c>
    </row>
    <row r="300" spans="1:7" ht="12.75" hidden="1" x14ac:dyDescent="0.2">
      <c r="A300" s="3" t="s">
        <v>124</v>
      </c>
      <c r="B300" s="3">
        <v>40</v>
      </c>
      <c r="C300" s="3" t="s">
        <v>72</v>
      </c>
      <c r="D300" s="3" t="s">
        <v>125</v>
      </c>
      <c r="E300" s="3" t="s">
        <v>3</v>
      </c>
      <c r="F300" s="3" t="str">
        <f t="shared" si="0"/>
        <v>1 - PJ</v>
      </c>
      <c r="G300" s="3">
        <v>799</v>
      </c>
    </row>
    <row r="301" spans="1:7" ht="12.75" hidden="1" x14ac:dyDescent="0.2">
      <c r="A301" s="3" t="s">
        <v>124</v>
      </c>
      <c r="B301" s="3">
        <v>40</v>
      </c>
      <c r="C301" s="3" t="s">
        <v>72</v>
      </c>
      <c r="D301" s="3" t="s">
        <v>125</v>
      </c>
      <c r="E301" s="3" t="s">
        <v>16</v>
      </c>
      <c r="F301" s="3" t="str">
        <f t="shared" si="0"/>
        <v>3 - Otros</v>
      </c>
      <c r="G301" s="3">
        <v>11</v>
      </c>
    </row>
    <row r="302" spans="1:7" ht="12.75" hidden="1" x14ac:dyDescent="0.2">
      <c r="A302" s="3" t="s">
        <v>124</v>
      </c>
      <c r="B302" s="3">
        <v>40</v>
      </c>
      <c r="C302" s="3" t="s">
        <v>72</v>
      </c>
      <c r="D302" s="3" t="s">
        <v>125</v>
      </c>
      <c r="E302" s="3" t="s">
        <v>129</v>
      </c>
      <c r="F302" s="3" t="str">
        <f t="shared" si="0"/>
        <v>3 - Otros</v>
      </c>
      <c r="G302" s="3">
        <v>12</v>
      </c>
    </row>
    <row r="303" spans="1:7" ht="12.75" hidden="1" x14ac:dyDescent="0.2">
      <c r="A303" s="3" t="s">
        <v>124</v>
      </c>
      <c r="B303" s="3">
        <v>40</v>
      </c>
      <c r="C303" s="3" t="s">
        <v>72</v>
      </c>
      <c r="D303" s="3" t="s">
        <v>125</v>
      </c>
      <c r="E303" s="3" t="s">
        <v>132</v>
      </c>
      <c r="F303" s="3" t="str">
        <f t="shared" si="0"/>
        <v>2 - Frepam</v>
      </c>
      <c r="G303" s="3">
        <v>18</v>
      </c>
    </row>
    <row r="304" spans="1:7" ht="12.75" hidden="1" x14ac:dyDescent="0.2">
      <c r="A304" s="3" t="s">
        <v>124</v>
      </c>
      <c r="B304" s="3">
        <v>40</v>
      </c>
      <c r="C304" s="3" t="s">
        <v>72</v>
      </c>
      <c r="D304" s="3" t="s">
        <v>125</v>
      </c>
      <c r="E304" s="3" t="s">
        <v>134</v>
      </c>
      <c r="F304" s="3" t="str">
        <f t="shared" si="0"/>
        <v>3 - Otros</v>
      </c>
      <c r="G304" s="3">
        <v>20</v>
      </c>
    </row>
    <row r="305" spans="1:7" ht="12.75" hidden="1" x14ac:dyDescent="0.2">
      <c r="A305" s="3" t="s">
        <v>124</v>
      </c>
      <c r="B305" s="3">
        <v>40</v>
      </c>
      <c r="C305" s="3" t="s">
        <v>72</v>
      </c>
      <c r="D305" s="3" t="s">
        <v>125</v>
      </c>
      <c r="E305" s="3" t="s">
        <v>126</v>
      </c>
      <c r="F305" s="3" t="str">
        <f t="shared" si="0"/>
        <v>2 - Frepam</v>
      </c>
      <c r="G305" s="3">
        <v>1073</v>
      </c>
    </row>
    <row r="306" spans="1:7" ht="12.75" hidden="1" x14ac:dyDescent="0.2">
      <c r="A306" s="3" t="s">
        <v>124</v>
      </c>
      <c r="B306" s="3">
        <v>40</v>
      </c>
      <c r="C306" s="3" t="s">
        <v>72</v>
      </c>
      <c r="D306" s="3" t="s">
        <v>125</v>
      </c>
      <c r="E306" s="3" t="s">
        <v>138</v>
      </c>
      <c r="F306" s="3" t="str">
        <f t="shared" si="0"/>
        <v>4 - Blanco/Nulo</v>
      </c>
      <c r="G306" s="3">
        <v>27</v>
      </c>
    </row>
    <row r="307" spans="1:7" ht="12.75" hidden="1" x14ac:dyDescent="0.2">
      <c r="A307" s="3" t="s">
        <v>124</v>
      </c>
      <c r="B307" s="3">
        <v>40</v>
      </c>
      <c r="C307" s="3" t="s">
        <v>72</v>
      </c>
      <c r="D307" s="3" t="s">
        <v>125</v>
      </c>
      <c r="E307" s="3" t="s">
        <v>14</v>
      </c>
      <c r="F307" s="3" t="str">
        <f t="shared" si="0"/>
        <v>4 - Blanco/Nulo</v>
      </c>
      <c r="G307" s="3">
        <v>21</v>
      </c>
    </row>
    <row r="308" spans="1:7" ht="12.75" hidden="1" x14ac:dyDescent="0.2">
      <c r="A308" s="3" t="s">
        <v>124</v>
      </c>
      <c r="B308" s="3">
        <v>42</v>
      </c>
      <c r="C308" s="3" t="s">
        <v>73</v>
      </c>
      <c r="D308" s="3" t="s">
        <v>125</v>
      </c>
      <c r="E308" s="3" t="s">
        <v>3</v>
      </c>
      <c r="F308" s="3" t="str">
        <f t="shared" si="0"/>
        <v>1 - PJ</v>
      </c>
      <c r="G308" s="3">
        <v>862</v>
      </c>
    </row>
    <row r="309" spans="1:7" ht="12.75" hidden="1" x14ac:dyDescent="0.2">
      <c r="A309" s="3" t="s">
        <v>124</v>
      </c>
      <c r="B309" s="3">
        <v>42</v>
      </c>
      <c r="C309" s="3" t="s">
        <v>73</v>
      </c>
      <c r="D309" s="3" t="s">
        <v>125</v>
      </c>
      <c r="E309" s="3" t="s">
        <v>16</v>
      </c>
      <c r="F309" s="3" t="str">
        <f t="shared" si="0"/>
        <v>3 - Otros</v>
      </c>
      <c r="G309" s="3">
        <v>11</v>
      </c>
    </row>
    <row r="310" spans="1:7" ht="12.75" hidden="1" x14ac:dyDescent="0.2">
      <c r="A310" s="3" t="s">
        <v>124</v>
      </c>
      <c r="B310" s="3">
        <v>42</v>
      </c>
      <c r="C310" s="3" t="s">
        <v>73</v>
      </c>
      <c r="D310" s="3" t="s">
        <v>125</v>
      </c>
      <c r="E310" s="3" t="s">
        <v>129</v>
      </c>
      <c r="F310" s="3" t="str">
        <f t="shared" si="0"/>
        <v>3 - Otros</v>
      </c>
      <c r="G310" s="3">
        <v>17</v>
      </c>
    </row>
    <row r="311" spans="1:7" ht="12.75" hidden="1" x14ac:dyDescent="0.2">
      <c r="A311" s="3" t="s">
        <v>124</v>
      </c>
      <c r="B311" s="3">
        <v>42</v>
      </c>
      <c r="C311" s="3" t="s">
        <v>73</v>
      </c>
      <c r="D311" s="3" t="s">
        <v>125</v>
      </c>
      <c r="E311" s="3" t="s">
        <v>132</v>
      </c>
      <c r="F311" s="3" t="str">
        <f t="shared" si="0"/>
        <v>2 - Frepam</v>
      </c>
      <c r="G311" s="3">
        <v>14</v>
      </c>
    </row>
    <row r="312" spans="1:7" ht="12.75" hidden="1" x14ac:dyDescent="0.2">
      <c r="A312" s="3" t="s">
        <v>124</v>
      </c>
      <c r="B312" s="3">
        <v>42</v>
      </c>
      <c r="C312" s="3" t="s">
        <v>73</v>
      </c>
      <c r="D312" s="3" t="s">
        <v>125</v>
      </c>
      <c r="E312" s="3" t="s">
        <v>134</v>
      </c>
      <c r="F312" s="3" t="str">
        <f t="shared" si="0"/>
        <v>3 - Otros</v>
      </c>
      <c r="G312" s="3">
        <v>31</v>
      </c>
    </row>
    <row r="313" spans="1:7" ht="12.75" hidden="1" x14ac:dyDescent="0.2">
      <c r="A313" s="3" t="s">
        <v>124</v>
      </c>
      <c r="B313" s="3">
        <v>42</v>
      </c>
      <c r="C313" s="3" t="s">
        <v>73</v>
      </c>
      <c r="D313" s="3" t="s">
        <v>125</v>
      </c>
      <c r="E313" s="3" t="s">
        <v>126</v>
      </c>
      <c r="F313" s="3" t="str">
        <f t="shared" si="0"/>
        <v>2 - Frepam</v>
      </c>
      <c r="G313" s="3">
        <v>972</v>
      </c>
    </row>
    <row r="314" spans="1:7" ht="12.75" hidden="1" x14ac:dyDescent="0.2">
      <c r="A314" s="3" t="s">
        <v>124</v>
      </c>
      <c r="B314" s="3">
        <v>42</v>
      </c>
      <c r="C314" s="3" t="s">
        <v>73</v>
      </c>
      <c r="D314" s="3" t="s">
        <v>125</v>
      </c>
      <c r="E314" s="3" t="s">
        <v>138</v>
      </c>
      <c r="F314" s="3" t="str">
        <f t="shared" si="0"/>
        <v>4 - Blanco/Nulo</v>
      </c>
      <c r="G314" s="3">
        <v>28</v>
      </c>
    </row>
    <row r="315" spans="1:7" ht="12.75" hidden="1" x14ac:dyDescent="0.2">
      <c r="A315" s="3" t="s">
        <v>124</v>
      </c>
      <c r="B315" s="3">
        <v>42</v>
      </c>
      <c r="C315" s="3" t="s">
        <v>73</v>
      </c>
      <c r="D315" s="3" t="s">
        <v>125</v>
      </c>
      <c r="E315" s="3" t="s">
        <v>14</v>
      </c>
      <c r="F315" s="3" t="str">
        <f t="shared" si="0"/>
        <v>4 - Blanco/Nulo</v>
      </c>
      <c r="G315" s="3">
        <v>13</v>
      </c>
    </row>
    <row r="316" spans="1:7" ht="12.75" hidden="1" x14ac:dyDescent="0.2">
      <c r="A316" s="3" t="s">
        <v>124</v>
      </c>
      <c r="B316" s="3">
        <v>43</v>
      </c>
      <c r="C316" s="3" t="s">
        <v>74</v>
      </c>
      <c r="D316" s="3" t="s">
        <v>125</v>
      </c>
      <c r="E316" s="3" t="s">
        <v>3</v>
      </c>
      <c r="F316" s="3" t="str">
        <f t="shared" si="0"/>
        <v>1 - PJ</v>
      </c>
      <c r="G316" s="3">
        <v>173</v>
      </c>
    </row>
    <row r="317" spans="1:7" ht="12.75" hidden="1" x14ac:dyDescent="0.2">
      <c r="A317" s="3" t="s">
        <v>124</v>
      </c>
      <c r="B317" s="3">
        <v>43</v>
      </c>
      <c r="C317" s="3" t="s">
        <v>74</v>
      </c>
      <c r="D317" s="3" t="s">
        <v>125</v>
      </c>
      <c r="E317" s="3" t="s">
        <v>16</v>
      </c>
      <c r="F317" s="3" t="str">
        <f t="shared" si="0"/>
        <v>3 - Otros</v>
      </c>
      <c r="G317" s="3">
        <v>2</v>
      </c>
    </row>
    <row r="318" spans="1:7" ht="12.75" hidden="1" x14ac:dyDescent="0.2">
      <c r="A318" s="3" t="s">
        <v>124</v>
      </c>
      <c r="B318" s="3">
        <v>43</v>
      </c>
      <c r="C318" s="3" t="s">
        <v>74</v>
      </c>
      <c r="D318" s="3" t="s">
        <v>125</v>
      </c>
      <c r="E318" s="3" t="s">
        <v>129</v>
      </c>
      <c r="F318" s="3" t="str">
        <f t="shared" si="0"/>
        <v>3 - Otros</v>
      </c>
      <c r="G318" s="3">
        <v>3</v>
      </c>
    </row>
    <row r="319" spans="1:7" ht="12.75" hidden="1" x14ac:dyDescent="0.2">
      <c r="A319" s="3" t="s">
        <v>124</v>
      </c>
      <c r="B319" s="3">
        <v>43</v>
      </c>
      <c r="C319" s="3" t="s">
        <v>74</v>
      </c>
      <c r="D319" s="3" t="s">
        <v>125</v>
      </c>
      <c r="E319" s="3" t="s">
        <v>132</v>
      </c>
      <c r="F319" s="3" t="str">
        <f t="shared" si="0"/>
        <v>2 - Frepam</v>
      </c>
      <c r="G319" s="3">
        <v>1</v>
      </c>
    </row>
    <row r="320" spans="1:7" ht="12.75" hidden="1" x14ac:dyDescent="0.2">
      <c r="A320" s="3" t="s">
        <v>124</v>
      </c>
      <c r="B320" s="3">
        <v>43</v>
      </c>
      <c r="C320" s="3" t="s">
        <v>74</v>
      </c>
      <c r="D320" s="3" t="s">
        <v>125</v>
      </c>
      <c r="E320" s="3" t="s">
        <v>134</v>
      </c>
      <c r="F320" s="3" t="str">
        <f t="shared" si="0"/>
        <v>3 - Otros</v>
      </c>
      <c r="G320" s="3">
        <v>2</v>
      </c>
    </row>
    <row r="321" spans="1:7" ht="12.75" hidden="1" x14ac:dyDescent="0.2">
      <c r="A321" s="3" t="s">
        <v>124</v>
      </c>
      <c r="B321" s="3">
        <v>43</v>
      </c>
      <c r="C321" s="3" t="s">
        <v>74</v>
      </c>
      <c r="D321" s="3" t="s">
        <v>125</v>
      </c>
      <c r="E321" s="3" t="s">
        <v>126</v>
      </c>
      <c r="F321" s="3" t="str">
        <f t="shared" si="0"/>
        <v>2 - Frepam</v>
      </c>
      <c r="G321" s="3">
        <v>93</v>
      </c>
    </row>
    <row r="322" spans="1:7" ht="12.75" hidden="1" x14ac:dyDescent="0.2">
      <c r="A322" s="3" t="s">
        <v>124</v>
      </c>
      <c r="B322" s="3">
        <v>43</v>
      </c>
      <c r="C322" s="3" t="s">
        <v>74</v>
      </c>
      <c r="D322" s="3" t="s">
        <v>125</v>
      </c>
      <c r="E322" s="3" t="s">
        <v>138</v>
      </c>
      <c r="F322" s="3" t="str">
        <f t="shared" si="0"/>
        <v>4 - Blanco/Nulo</v>
      </c>
      <c r="G322" s="3">
        <v>0</v>
      </c>
    </row>
    <row r="323" spans="1:7" ht="12.75" hidden="1" x14ac:dyDescent="0.2">
      <c r="A323" s="3" t="s">
        <v>124</v>
      </c>
      <c r="B323" s="3">
        <v>43</v>
      </c>
      <c r="C323" s="3" t="s">
        <v>74</v>
      </c>
      <c r="D323" s="3" t="s">
        <v>125</v>
      </c>
      <c r="E323" s="3" t="s">
        <v>14</v>
      </c>
      <c r="F323" s="3" t="str">
        <f t="shared" si="0"/>
        <v>4 - Blanco/Nulo</v>
      </c>
      <c r="G323" s="3">
        <v>2</v>
      </c>
    </row>
    <row r="324" spans="1:7" ht="12.75" hidden="1" x14ac:dyDescent="0.2">
      <c r="A324" s="3" t="s">
        <v>124</v>
      </c>
      <c r="B324" s="3">
        <v>45</v>
      </c>
      <c r="C324" s="3" t="s">
        <v>75</v>
      </c>
      <c r="D324" s="3" t="s">
        <v>125</v>
      </c>
      <c r="E324" s="3" t="s">
        <v>3</v>
      </c>
      <c r="F324" s="3" t="str">
        <f t="shared" si="0"/>
        <v>1 - PJ</v>
      </c>
      <c r="G324" s="3">
        <v>81</v>
      </c>
    </row>
    <row r="325" spans="1:7" ht="12.75" hidden="1" x14ac:dyDescent="0.2">
      <c r="A325" s="3" t="s">
        <v>124</v>
      </c>
      <c r="B325" s="3">
        <v>45</v>
      </c>
      <c r="C325" s="3" t="s">
        <v>75</v>
      </c>
      <c r="D325" s="3" t="s">
        <v>125</v>
      </c>
      <c r="E325" s="3" t="s">
        <v>16</v>
      </c>
      <c r="F325" s="3" t="str">
        <f t="shared" si="0"/>
        <v>3 - Otros</v>
      </c>
      <c r="G325" s="3">
        <v>0</v>
      </c>
    </row>
    <row r="326" spans="1:7" ht="12.75" hidden="1" x14ac:dyDescent="0.2">
      <c r="A326" s="3" t="s">
        <v>124</v>
      </c>
      <c r="B326" s="3">
        <v>45</v>
      </c>
      <c r="C326" s="3" t="s">
        <v>75</v>
      </c>
      <c r="D326" s="3" t="s">
        <v>125</v>
      </c>
      <c r="E326" s="3" t="s">
        <v>129</v>
      </c>
      <c r="F326" s="3" t="str">
        <f t="shared" si="0"/>
        <v>3 - Otros</v>
      </c>
      <c r="G326" s="3">
        <v>0</v>
      </c>
    </row>
    <row r="327" spans="1:7" ht="12.75" hidden="1" x14ac:dyDescent="0.2">
      <c r="A327" s="3" t="s">
        <v>124</v>
      </c>
      <c r="B327" s="3">
        <v>45</v>
      </c>
      <c r="C327" s="3" t="s">
        <v>75</v>
      </c>
      <c r="D327" s="3" t="s">
        <v>125</v>
      </c>
      <c r="E327" s="3" t="s">
        <v>132</v>
      </c>
      <c r="F327" s="3" t="str">
        <f t="shared" si="0"/>
        <v>2 - Frepam</v>
      </c>
      <c r="G327" s="3">
        <v>1</v>
      </c>
    </row>
    <row r="328" spans="1:7" ht="12.75" hidden="1" x14ac:dyDescent="0.2">
      <c r="A328" s="3" t="s">
        <v>124</v>
      </c>
      <c r="B328" s="3">
        <v>45</v>
      </c>
      <c r="C328" s="3" t="s">
        <v>75</v>
      </c>
      <c r="D328" s="3" t="s">
        <v>125</v>
      </c>
      <c r="E328" s="3" t="s">
        <v>134</v>
      </c>
      <c r="F328" s="3" t="str">
        <f t="shared" si="0"/>
        <v>3 - Otros</v>
      </c>
      <c r="G328" s="3">
        <v>0</v>
      </c>
    </row>
    <row r="329" spans="1:7" ht="12.75" hidden="1" x14ac:dyDescent="0.2">
      <c r="A329" s="3" t="s">
        <v>124</v>
      </c>
      <c r="B329" s="3">
        <v>45</v>
      </c>
      <c r="C329" s="3" t="s">
        <v>75</v>
      </c>
      <c r="D329" s="3" t="s">
        <v>125</v>
      </c>
      <c r="E329" s="3" t="s">
        <v>126</v>
      </c>
      <c r="F329" s="3" t="str">
        <f t="shared" si="0"/>
        <v>2 - Frepam</v>
      </c>
      <c r="G329" s="3">
        <v>18</v>
      </c>
    </row>
    <row r="330" spans="1:7" ht="12.75" hidden="1" x14ac:dyDescent="0.2">
      <c r="A330" s="3" t="s">
        <v>124</v>
      </c>
      <c r="B330" s="3">
        <v>45</v>
      </c>
      <c r="C330" s="3" t="s">
        <v>75</v>
      </c>
      <c r="D330" s="3" t="s">
        <v>125</v>
      </c>
      <c r="E330" s="3" t="s">
        <v>138</v>
      </c>
      <c r="F330" s="3" t="str">
        <f t="shared" si="0"/>
        <v>4 - Blanco/Nulo</v>
      </c>
      <c r="G330" s="3">
        <v>1</v>
      </c>
    </row>
    <row r="331" spans="1:7" ht="12.75" hidden="1" x14ac:dyDescent="0.2">
      <c r="A331" s="3" t="s">
        <v>124</v>
      </c>
      <c r="B331" s="3">
        <v>45</v>
      </c>
      <c r="C331" s="3" t="s">
        <v>75</v>
      </c>
      <c r="D331" s="3" t="s">
        <v>125</v>
      </c>
      <c r="E331" s="3" t="s">
        <v>14</v>
      </c>
      <c r="F331" s="3" t="str">
        <f t="shared" si="0"/>
        <v>4 - Blanco/Nulo</v>
      </c>
      <c r="G331" s="3">
        <v>0</v>
      </c>
    </row>
    <row r="332" spans="1:7" ht="12.75" hidden="1" x14ac:dyDescent="0.2">
      <c r="A332" s="3" t="s">
        <v>124</v>
      </c>
      <c r="B332" s="3">
        <v>46</v>
      </c>
      <c r="C332" s="3" t="s">
        <v>76</v>
      </c>
      <c r="D332" s="3" t="s">
        <v>125</v>
      </c>
      <c r="E332" s="3" t="s">
        <v>3</v>
      </c>
      <c r="F332" s="3" t="str">
        <f t="shared" si="0"/>
        <v>1 - PJ</v>
      </c>
      <c r="G332" s="3">
        <v>301</v>
      </c>
    </row>
    <row r="333" spans="1:7" ht="12.75" hidden="1" x14ac:dyDescent="0.2">
      <c r="A333" s="3" t="s">
        <v>124</v>
      </c>
      <c r="B333" s="3">
        <v>46</v>
      </c>
      <c r="C333" s="3" t="s">
        <v>76</v>
      </c>
      <c r="D333" s="3" t="s">
        <v>125</v>
      </c>
      <c r="E333" s="3" t="s">
        <v>16</v>
      </c>
      <c r="F333" s="3" t="str">
        <f t="shared" si="0"/>
        <v>3 - Otros</v>
      </c>
      <c r="G333" s="3">
        <v>5</v>
      </c>
    </row>
    <row r="334" spans="1:7" ht="12.75" hidden="1" x14ac:dyDescent="0.2">
      <c r="A334" s="3" t="s">
        <v>124</v>
      </c>
      <c r="B334" s="3">
        <v>46</v>
      </c>
      <c r="C334" s="3" t="s">
        <v>76</v>
      </c>
      <c r="D334" s="3" t="s">
        <v>125</v>
      </c>
      <c r="E334" s="3" t="s">
        <v>129</v>
      </c>
      <c r="F334" s="3" t="str">
        <f t="shared" si="0"/>
        <v>3 - Otros</v>
      </c>
      <c r="G334" s="3">
        <v>4</v>
      </c>
    </row>
    <row r="335" spans="1:7" ht="12.75" hidden="1" x14ac:dyDescent="0.2">
      <c r="A335" s="3" t="s">
        <v>124</v>
      </c>
      <c r="B335" s="3">
        <v>46</v>
      </c>
      <c r="C335" s="3" t="s">
        <v>76</v>
      </c>
      <c r="D335" s="3" t="s">
        <v>125</v>
      </c>
      <c r="E335" s="3" t="s">
        <v>132</v>
      </c>
      <c r="F335" s="3" t="str">
        <f t="shared" si="0"/>
        <v>2 - Frepam</v>
      </c>
      <c r="G335" s="3">
        <v>3</v>
      </c>
    </row>
    <row r="336" spans="1:7" ht="12.75" hidden="1" x14ac:dyDescent="0.2">
      <c r="A336" s="3" t="s">
        <v>124</v>
      </c>
      <c r="B336" s="3">
        <v>46</v>
      </c>
      <c r="C336" s="3" t="s">
        <v>76</v>
      </c>
      <c r="D336" s="3" t="s">
        <v>125</v>
      </c>
      <c r="E336" s="3" t="s">
        <v>134</v>
      </c>
      <c r="F336" s="3" t="str">
        <f t="shared" si="0"/>
        <v>3 - Otros</v>
      </c>
      <c r="G336" s="3">
        <v>5</v>
      </c>
    </row>
    <row r="337" spans="1:7" ht="12.75" hidden="1" x14ac:dyDescent="0.2">
      <c r="A337" s="3" t="s">
        <v>124</v>
      </c>
      <c r="B337" s="3">
        <v>46</v>
      </c>
      <c r="C337" s="3" t="s">
        <v>76</v>
      </c>
      <c r="D337" s="3" t="s">
        <v>125</v>
      </c>
      <c r="E337" s="3" t="s">
        <v>126</v>
      </c>
      <c r="F337" s="3" t="str">
        <f t="shared" si="0"/>
        <v>2 - Frepam</v>
      </c>
      <c r="G337" s="3">
        <v>224</v>
      </c>
    </row>
    <row r="338" spans="1:7" ht="12.75" hidden="1" x14ac:dyDescent="0.2">
      <c r="A338" s="3" t="s">
        <v>124</v>
      </c>
      <c r="B338" s="3">
        <v>46</v>
      </c>
      <c r="C338" s="3" t="s">
        <v>76</v>
      </c>
      <c r="D338" s="3" t="s">
        <v>125</v>
      </c>
      <c r="E338" s="3" t="s">
        <v>138</v>
      </c>
      <c r="F338" s="3" t="str">
        <f t="shared" si="0"/>
        <v>4 - Blanco/Nulo</v>
      </c>
      <c r="G338" s="3">
        <v>5</v>
      </c>
    </row>
    <row r="339" spans="1:7" ht="12.75" hidden="1" x14ac:dyDescent="0.2">
      <c r="A339" s="3" t="s">
        <v>124</v>
      </c>
      <c r="B339" s="3">
        <v>46</v>
      </c>
      <c r="C339" s="3" t="s">
        <v>76</v>
      </c>
      <c r="D339" s="3" t="s">
        <v>125</v>
      </c>
      <c r="E339" s="3" t="s">
        <v>14</v>
      </c>
      <c r="F339" s="3" t="str">
        <f t="shared" si="0"/>
        <v>4 - Blanco/Nulo</v>
      </c>
      <c r="G339" s="3">
        <v>6</v>
      </c>
    </row>
    <row r="340" spans="1:7" ht="12.75" hidden="1" x14ac:dyDescent="0.2">
      <c r="A340" s="3" t="s">
        <v>124</v>
      </c>
      <c r="B340" s="3">
        <v>47</v>
      </c>
      <c r="C340" s="3" t="s">
        <v>77</v>
      </c>
      <c r="D340" s="3" t="s">
        <v>125</v>
      </c>
      <c r="E340" s="3" t="s">
        <v>3</v>
      </c>
      <c r="F340" s="3" t="str">
        <f t="shared" si="0"/>
        <v>1 - PJ</v>
      </c>
      <c r="G340" s="3">
        <v>551</v>
      </c>
    </row>
    <row r="341" spans="1:7" ht="12.75" hidden="1" x14ac:dyDescent="0.2">
      <c r="A341" s="3" t="s">
        <v>124</v>
      </c>
      <c r="B341" s="3">
        <v>47</v>
      </c>
      <c r="C341" s="3" t="s">
        <v>77</v>
      </c>
      <c r="D341" s="3" t="s">
        <v>125</v>
      </c>
      <c r="E341" s="3" t="s">
        <v>16</v>
      </c>
      <c r="F341" s="3" t="str">
        <f t="shared" si="0"/>
        <v>3 - Otros</v>
      </c>
      <c r="G341" s="3">
        <v>8</v>
      </c>
    </row>
    <row r="342" spans="1:7" ht="12.75" hidden="1" x14ac:dyDescent="0.2">
      <c r="A342" s="3" t="s">
        <v>124</v>
      </c>
      <c r="B342" s="3">
        <v>47</v>
      </c>
      <c r="C342" s="3" t="s">
        <v>77</v>
      </c>
      <c r="D342" s="3" t="s">
        <v>125</v>
      </c>
      <c r="E342" s="3" t="s">
        <v>129</v>
      </c>
      <c r="F342" s="3" t="str">
        <f t="shared" si="0"/>
        <v>3 - Otros</v>
      </c>
      <c r="G342" s="3">
        <v>7</v>
      </c>
    </row>
    <row r="343" spans="1:7" ht="12.75" hidden="1" x14ac:dyDescent="0.2">
      <c r="A343" s="3" t="s">
        <v>124</v>
      </c>
      <c r="B343" s="3">
        <v>47</v>
      </c>
      <c r="C343" s="3" t="s">
        <v>77</v>
      </c>
      <c r="D343" s="3" t="s">
        <v>125</v>
      </c>
      <c r="E343" s="3" t="s">
        <v>132</v>
      </c>
      <c r="F343" s="3" t="str">
        <f t="shared" si="0"/>
        <v>2 - Frepam</v>
      </c>
      <c r="G343" s="3">
        <v>5</v>
      </c>
    </row>
    <row r="344" spans="1:7" ht="12.75" hidden="1" x14ac:dyDescent="0.2">
      <c r="A344" s="3" t="s">
        <v>124</v>
      </c>
      <c r="B344" s="3">
        <v>47</v>
      </c>
      <c r="C344" s="3" t="s">
        <v>77</v>
      </c>
      <c r="D344" s="3" t="s">
        <v>125</v>
      </c>
      <c r="E344" s="3" t="s">
        <v>134</v>
      </c>
      <c r="F344" s="3" t="str">
        <f t="shared" si="0"/>
        <v>3 - Otros</v>
      </c>
      <c r="G344" s="3">
        <v>7</v>
      </c>
    </row>
    <row r="345" spans="1:7" ht="12.75" hidden="1" x14ac:dyDescent="0.2">
      <c r="A345" s="3" t="s">
        <v>124</v>
      </c>
      <c r="B345" s="3">
        <v>47</v>
      </c>
      <c r="C345" s="3" t="s">
        <v>77</v>
      </c>
      <c r="D345" s="3" t="s">
        <v>125</v>
      </c>
      <c r="E345" s="3" t="s">
        <v>126</v>
      </c>
      <c r="F345" s="3" t="str">
        <f t="shared" si="0"/>
        <v>2 - Frepam</v>
      </c>
      <c r="G345" s="3">
        <v>379</v>
      </c>
    </row>
    <row r="346" spans="1:7" ht="12.75" hidden="1" x14ac:dyDescent="0.2">
      <c r="A346" s="3" t="s">
        <v>124</v>
      </c>
      <c r="B346" s="3">
        <v>47</v>
      </c>
      <c r="C346" s="3" t="s">
        <v>77</v>
      </c>
      <c r="D346" s="3" t="s">
        <v>125</v>
      </c>
      <c r="E346" s="3" t="s">
        <v>138</v>
      </c>
      <c r="F346" s="3" t="str">
        <f t="shared" si="0"/>
        <v>4 - Blanco/Nulo</v>
      </c>
      <c r="G346" s="3">
        <v>14</v>
      </c>
    </row>
    <row r="347" spans="1:7" ht="12.75" hidden="1" x14ac:dyDescent="0.2">
      <c r="A347" s="3" t="s">
        <v>124</v>
      </c>
      <c r="B347" s="3">
        <v>47</v>
      </c>
      <c r="C347" s="3" t="s">
        <v>77</v>
      </c>
      <c r="D347" s="3" t="s">
        <v>125</v>
      </c>
      <c r="E347" s="3" t="s">
        <v>14</v>
      </c>
      <c r="F347" s="3" t="str">
        <f t="shared" si="0"/>
        <v>4 - Blanco/Nulo</v>
      </c>
      <c r="G347" s="3">
        <v>36</v>
      </c>
    </row>
    <row r="348" spans="1:7" ht="12.75" hidden="1" x14ac:dyDescent="0.2">
      <c r="A348" s="3" t="s">
        <v>124</v>
      </c>
      <c r="B348" s="3">
        <v>48</v>
      </c>
      <c r="C348" s="3" t="s">
        <v>78</v>
      </c>
      <c r="D348" s="3" t="s">
        <v>125</v>
      </c>
      <c r="E348" s="3" t="s">
        <v>3</v>
      </c>
      <c r="F348" s="3" t="str">
        <f t="shared" si="0"/>
        <v>1 - PJ</v>
      </c>
      <c r="G348" s="3">
        <v>1912</v>
      </c>
    </row>
    <row r="349" spans="1:7" ht="12.75" hidden="1" x14ac:dyDescent="0.2">
      <c r="A349" s="3" t="s">
        <v>124</v>
      </c>
      <c r="B349" s="3">
        <v>48</v>
      </c>
      <c r="C349" s="3" t="s">
        <v>78</v>
      </c>
      <c r="D349" s="3" t="s">
        <v>125</v>
      </c>
      <c r="E349" s="3" t="s">
        <v>16</v>
      </c>
      <c r="F349" s="3" t="str">
        <f t="shared" si="0"/>
        <v>3 - Otros</v>
      </c>
      <c r="G349" s="3">
        <v>30</v>
      </c>
    </row>
    <row r="350" spans="1:7" ht="12.75" hidden="1" x14ac:dyDescent="0.2">
      <c r="A350" s="3" t="s">
        <v>124</v>
      </c>
      <c r="B350" s="3">
        <v>48</v>
      </c>
      <c r="C350" s="3" t="s">
        <v>78</v>
      </c>
      <c r="D350" s="3" t="s">
        <v>125</v>
      </c>
      <c r="E350" s="3" t="s">
        <v>129</v>
      </c>
      <c r="F350" s="3" t="str">
        <f t="shared" si="0"/>
        <v>3 - Otros</v>
      </c>
      <c r="G350" s="3">
        <v>42</v>
      </c>
    </row>
    <row r="351" spans="1:7" ht="12.75" hidden="1" x14ac:dyDescent="0.2">
      <c r="A351" s="3" t="s">
        <v>124</v>
      </c>
      <c r="B351" s="3">
        <v>48</v>
      </c>
      <c r="C351" s="3" t="s">
        <v>78</v>
      </c>
      <c r="D351" s="3" t="s">
        <v>125</v>
      </c>
      <c r="E351" s="3" t="s">
        <v>132</v>
      </c>
      <c r="F351" s="3" t="str">
        <f t="shared" si="0"/>
        <v>2 - Frepam</v>
      </c>
      <c r="G351" s="3">
        <v>91</v>
      </c>
    </row>
    <row r="352" spans="1:7" ht="12.75" hidden="1" x14ac:dyDescent="0.2">
      <c r="A352" s="3" t="s">
        <v>124</v>
      </c>
      <c r="B352" s="3">
        <v>48</v>
      </c>
      <c r="C352" s="3" t="s">
        <v>78</v>
      </c>
      <c r="D352" s="3" t="s">
        <v>125</v>
      </c>
      <c r="E352" s="3" t="s">
        <v>134</v>
      </c>
      <c r="F352" s="3" t="str">
        <f t="shared" si="0"/>
        <v>3 - Otros</v>
      </c>
      <c r="G352" s="3">
        <v>47</v>
      </c>
    </row>
    <row r="353" spans="1:7" ht="12.75" hidden="1" x14ac:dyDescent="0.2">
      <c r="A353" s="3" t="s">
        <v>124</v>
      </c>
      <c r="B353" s="3">
        <v>48</v>
      </c>
      <c r="C353" s="3" t="s">
        <v>78</v>
      </c>
      <c r="D353" s="3" t="s">
        <v>125</v>
      </c>
      <c r="E353" s="3" t="s">
        <v>126</v>
      </c>
      <c r="F353" s="3" t="str">
        <f t="shared" si="0"/>
        <v>2 - Frepam</v>
      </c>
      <c r="G353" s="3">
        <v>1844</v>
      </c>
    </row>
    <row r="354" spans="1:7" ht="12.75" hidden="1" x14ac:dyDescent="0.2">
      <c r="A354" s="3" t="s">
        <v>124</v>
      </c>
      <c r="B354" s="3">
        <v>48</v>
      </c>
      <c r="C354" s="3" t="s">
        <v>78</v>
      </c>
      <c r="D354" s="3" t="s">
        <v>125</v>
      </c>
      <c r="E354" s="3" t="s">
        <v>138</v>
      </c>
      <c r="F354" s="3" t="str">
        <f t="shared" si="0"/>
        <v>4 - Blanco/Nulo</v>
      </c>
      <c r="G354" s="3">
        <v>91</v>
      </c>
    </row>
    <row r="355" spans="1:7" ht="12.75" hidden="1" x14ac:dyDescent="0.2">
      <c r="A355" s="3" t="s">
        <v>124</v>
      </c>
      <c r="B355" s="3">
        <v>48</v>
      </c>
      <c r="C355" s="3" t="s">
        <v>78</v>
      </c>
      <c r="D355" s="3" t="s">
        <v>125</v>
      </c>
      <c r="E355" s="3" t="s">
        <v>14</v>
      </c>
      <c r="F355" s="3" t="str">
        <f t="shared" si="0"/>
        <v>4 - Blanco/Nulo</v>
      </c>
      <c r="G355" s="3">
        <v>39</v>
      </c>
    </row>
    <row r="356" spans="1:7" ht="12.75" hidden="1" x14ac:dyDescent="0.2">
      <c r="A356" s="3" t="s">
        <v>124</v>
      </c>
      <c r="B356" s="3">
        <v>49</v>
      </c>
      <c r="C356" s="3" t="s">
        <v>79</v>
      </c>
      <c r="D356" s="3" t="s">
        <v>125</v>
      </c>
      <c r="E356" s="3" t="s">
        <v>3</v>
      </c>
      <c r="F356" s="3" t="str">
        <f t="shared" si="0"/>
        <v>1 - PJ</v>
      </c>
      <c r="G356" s="3">
        <v>97</v>
      </c>
    </row>
    <row r="357" spans="1:7" ht="12.75" hidden="1" x14ac:dyDescent="0.2">
      <c r="A357" s="3" t="s">
        <v>124</v>
      </c>
      <c r="B357" s="3">
        <v>49</v>
      </c>
      <c r="C357" s="3" t="s">
        <v>79</v>
      </c>
      <c r="D357" s="3" t="s">
        <v>125</v>
      </c>
      <c r="E357" s="3" t="s">
        <v>16</v>
      </c>
      <c r="F357" s="3" t="str">
        <f t="shared" si="0"/>
        <v>3 - Otros</v>
      </c>
      <c r="G357" s="3">
        <v>2</v>
      </c>
    </row>
    <row r="358" spans="1:7" ht="12.75" hidden="1" x14ac:dyDescent="0.2">
      <c r="A358" s="3" t="s">
        <v>124</v>
      </c>
      <c r="B358" s="3">
        <v>49</v>
      </c>
      <c r="C358" s="3" t="s">
        <v>79</v>
      </c>
      <c r="D358" s="3" t="s">
        <v>125</v>
      </c>
      <c r="E358" s="3" t="s">
        <v>129</v>
      </c>
      <c r="F358" s="3" t="str">
        <f t="shared" si="0"/>
        <v>3 - Otros</v>
      </c>
      <c r="G358" s="3">
        <v>2</v>
      </c>
    </row>
    <row r="359" spans="1:7" ht="12.75" hidden="1" x14ac:dyDescent="0.2">
      <c r="A359" s="3" t="s">
        <v>124</v>
      </c>
      <c r="B359" s="3">
        <v>49</v>
      </c>
      <c r="C359" s="3" t="s">
        <v>79</v>
      </c>
      <c r="D359" s="3" t="s">
        <v>125</v>
      </c>
      <c r="E359" s="3" t="s">
        <v>132</v>
      </c>
      <c r="F359" s="3" t="str">
        <f t="shared" si="0"/>
        <v>2 - Frepam</v>
      </c>
      <c r="G359" s="3">
        <v>1</v>
      </c>
    </row>
    <row r="360" spans="1:7" ht="12.75" hidden="1" x14ac:dyDescent="0.2">
      <c r="A360" s="3" t="s">
        <v>124</v>
      </c>
      <c r="B360" s="3">
        <v>49</v>
      </c>
      <c r="C360" s="3" t="s">
        <v>79</v>
      </c>
      <c r="D360" s="3" t="s">
        <v>125</v>
      </c>
      <c r="E360" s="3" t="s">
        <v>134</v>
      </c>
      <c r="F360" s="3" t="str">
        <f t="shared" si="0"/>
        <v>3 - Otros</v>
      </c>
      <c r="G360" s="3">
        <v>4</v>
      </c>
    </row>
    <row r="361" spans="1:7" ht="12.75" hidden="1" x14ac:dyDescent="0.2">
      <c r="A361" s="3" t="s">
        <v>124</v>
      </c>
      <c r="B361" s="3">
        <v>49</v>
      </c>
      <c r="C361" s="3" t="s">
        <v>79</v>
      </c>
      <c r="D361" s="3" t="s">
        <v>125</v>
      </c>
      <c r="E361" s="3" t="s">
        <v>126</v>
      </c>
      <c r="F361" s="3" t="str">
        <f t="shared" si="0"/>
        <v>2 - Frepam</v>
      </c>
      <c r="G361" s="3">
        <v>56</v>
      </c>
    </row>
    <row r="362" spans="1:7" ht="12.75" hidden="1" x14ac:dyDescent="0.2">
      <c r="A362" s="3" t="s">
        <v>124</v>
      </c>
      <c r="B362" s="3">
        <v>49</v>
      </c>
      <c r="C362" s="3" t="s">
        <v>79</v>
      </c>
      <c r="D362" s="3" t="s">
        <v>125</v>
      </c>
      <c r="E362" s="3" t="s">
        <v>138</v>
      </c>
      <c r="F362" s="3" t="str">
        <f t="shared" si="0"/>
        <v>4 - Blanco/Nulo</v>
      </c>
      <c r="G362" s="3">
        <v>3</v>
      </c>
    </row>
    <row r="363" spans="1:7" ht="12.75" hidden="1" x14ac:dyDescent="0.2">
      <c r="A363" s="3" t="s">
        <v>124</v>
      </c>
      <c r="B363" s="3">
        <v>49</v>
      </c>
      <c r="C363" s="3" t="s">
        <v>79</v>
      </c>
      <c r="D363" s="3" t="s">
        <v>125</v>
      </c>
      <c r="E363" s="3" t="s">
        <v>14</v>
      </c>
      <c r="F363" s="3" t="str">
        <f t="shared" si="0"/>
        <v>4 - Blanco/Nulo</v>
      </c>
      <c r="G363" s="3">
        <v>0</v>
      </c>
    </row>
    <row r="364" spans="1:7" ht="12.75" hidden="1" x14ac:dyDescent="0.2">
      <c r="A364" s="3" t="s">
        <v>124</v>
      </c>
      <c r="B364" s="3">
        <v>53</v>
      </c>
      <c r="C364" s="3" t="s">
        <v>80</v>
      </c>
      <c r="D364" s="3" t="s">
        <v>125</v>
      </c>
      <c r="E364" s="3" t="s">
        <v>3</v>
      </c>
      <c r="F364" s="3" t="str">
        <f t="shared" si="0"/>
        <v>1 - PJ</v>
      </c>
      <c r="G364" s="3">
        <v>103</v>
      </c>
    </row>
    <row r="365" spans="1:7" ht="12.75" hidden="1" x14ac:dyDescent="0.2">
      <c r="A365" s="3" t="s">
        <v>124</v>
      </c>
      <c r="B365" s="3">
        <v>53</v>
      </c>
      <c r="C365" s="3" t="s">
        <v>80</v>
      </c>
      <c r="D365" s="3" t="s">
        <v>125</v>
      </c>
      <c r="E365" s="3" t="s">
        <v>16</v>
      </c>
      <c r="F365" s="3" t="str">
        <f t="shared" si="0"/>
        <v>3 - Otros</v>
      </c>
      <c r="G365" s="3">
        <v>0</v>
      </c>
    </row>
    <row r="366" spans="1:7" ht="12.75" hidden="1" x14ac:dyDescent="0.2">
      <c r="A366" s="3" t="s">
        <v>124</v>
      </c>
      <c r="B366" s="3">
        <v>53</v>
      </c>
      <c r="C366" s="3" t="s">
        <v>80</v>
      </c>
      <c r="D366" s="3" t="s">
        <v>125</v>
      </c>
      <c r="E366" s="3" t="s">
        <v>129</v>
      </c>
      <c r="F366" s="3" t="str">
        <f t="shared" si="0"/>
        <v>3 - Otros</v>
      </c>
      <c r="G366" s="3">
        <v>3</v>
      </c>
    </row>
    <row r="367" spans="1:7" ht="12.75" hidden="1" x14ac:dyDescent="0.2">
      <c r="A367" s="3" t="s">
        <v>124</v>
      </c>
      <c r="B367" s="3">
        <v>53</v>
      </c>
      <c r="C367" s="3" t="s">
        <v>80</v>
      </c>
      <c r="D367" s="3" t="s">
        <v>125</v>
      </c>
      <c r="E367" s="3" t="s">
        <v>132</v>
      </c>
      <c r="F367" s="3" t="str">
        <f t="shared" si="0"/>
        <v>2 - Frepam</v>
      </c>
      <c r="G367" s="3">
        <v>2</v>
      </c>
    </row>
    <row r="368" spans="1:7" ht="12.75" hidden="1" x14ac:dyDescent="0.2">
      <c r="A368" s="3" t="s">
        <v>124</v>
      </c>
      <c r="B368" s="3">
        <v>53</v>
      </c>
      <c r="C368" s="3" t="s">
        <v>80</v>
      </c>
      <c r="D368" s="3" t="s">
        <v>125</v>
      </c>
      <c r="E368" s="3" t="s">
        <v>134</v>
      </c>
      <c r="F368" s="3" t="str">
        <f t="shared" si="0"/>
        <v>3 - Otros</v>
      </c>
      <c r="G368" s="3">
        <v>4</v>
      </c>
    </row>
    <row r="369" spans="1:7" ht="12.75" hidden="1" x14ac:dyDescent="0.2">
      <c r="A369" s="3" t="s">
        <v>124</v>
      </c>
      <c r="B369" s="3">
        <v>53</v>
      </c>
      <c r="C369" s="3" t="s">
        <v>80</v>
      </c>
      <c r="D369" s="3" t="s">
        <v>125</v>
      </c>
      <c r="E369" s="3" t="s">
        <v>126</v>
      </c>
      <c r="F369" s="3" t="str">
        <f t="shared" si="0"/>
        <v>2 - Frepam</v>
      </c>
      <c r="G369" s="3">
        <v>82</v>
      </c>
    </row>
    <row r="370" spans="1:7" ht="12.75" hidden="1" x14ac:dyDescent="0.2">
      <c r="A370" s="3" t="s">
        <v>124</v>
      </c>
      <c r="B370" s="3">
        <v>53</v>
      </c>
      <c r="C370" s="3" t="s">
        <v>80</v>
      </c>
      <c r="D370" s="3" t="s">
        <v>125</v>
      </c>
      <c r="E370" s="3" t="s">
        <v>138</v>
      </c>
      <c r="F370" s="3" t="str">
        <f t="shared" si="0"/>
        <v>4 - Blanco/Nulo</v>
      </c>
      <c r="G370" s="3">
        <v>1</v>
      </c>
    </row>
    <row r="371" spans="1:7" ht="12.75" hidden="1" x14ac:dyDescent="0.2">
      <c r="A371" s="3" t="s">
        <v>124</v>
      </c>
      <c r="B371" s="3">
        <v>53</v>
      </c>
      <c r="C371" s="3" t="s">
        <v>80</v>
      </c>
      <c r="D371" s="3" t="s">
        <v>125</v>
      </c>
      <c r="E371" s="3" t="s">
        <v>14</v>
      </c>
      <c r="F371" s="3" t="str">
        <f t="shared" si="0"/>
        <v>4 - Blanco/Nulo</v>
      </c>
      <c r="G371" s="3">
        <v>5</v>
      </c>
    </row>
    <row r="372" spans="1:7" ht="12.75" hidden="1" x14ac:dyDescent="0.2">
      <c r="A372" s="3" t="s">
        <v>124</v>
      </c>
      <c r="B372" s="3">
        <v>54</v>
      </c>
      <c r="C372" s="3" t="s">
        <v>81</v>
      </c>
      <c r="D372" s="3" t="s">
        <v>125</v>
      </c>
      <c r="E372" s="3" t="s">
        <v>3</v>
      </c>
      <c r="F372" s="3" t="str">
        <f t="shared" si="0"/>
        <v>1 - PJ</v>
      </c>
      <c r="G372" s="3">
        <v>64</v>
      </c>
    </row>
    <row r="373" spans="1:7" ht="12.75" hidden="1" x14ac:dyDescent="0.2">
      <c r="A373" s="3" t="s">
        <v>124</v>
      </c>
      <c r="B373" s="3">
        <v>54</v>
      </c>
      <c r="C373" s="3" t="s">
        <v>81</v>
      </c>
      <c r="D373" s="3" t="s">
        <v>125</v>
      </c>
      <c r="E373" s="3" t="s">
        <v>16</v>
      </c>
      <c r="F373" s="3" t="str">
        <f t="shared" si="0"/>
        <v>3 - Otros</v>
      </c>
      <c r="G373" s="3">
        <v>0</v>
      </c>
    </row>
    <row r="374" spans="1:7" ht="12.75" hidden="1" x14ac:dyDescent="0.2">
      <c r="A374" s="3" t="s">
        <v>124</v>
      </c>
      <c r="B374" s="3">
        <v>54</v>
      </c>
      <c r="C374" s="3" t="s">
        <v>81</v>
      </c>
      <c r="D374" s="3" t="s">
        <v>125</v>
      </c>
      <c r="E374" s="3" t="s">
        <v>129</v>
      </c>
      <c r="F374" s="3" t="str">
        <f t="shared" si="0"/>
        <v>3 - Otros</v>
      </c>
      <c r="G374" s="3">
        <v>0</v>
      </c>
    </row>
    <row r="375" spans="1:7" ht="12.75" hidden="1" x14ac:dyDescent="0.2">
      <c r="A375" s="3" t="s">
        <v>124</v>
      </c>
      <c r="B375" s="3">
        <v>54</v>
      </c>
      <c r="C375" s="3" t="s">
        <v>81</v>
      </c>
      <c r="D375" s="3" t="s">
        <v>125</v>
      </c>
      <c r="E375" s="3" t="s">
        <v>132</v>
      </c>
      <c r="F375" s="3" t="str">
        <f t="shared" si="0"/>
        <v>2 - Frepam</v>
      </c>
      <c r="G375" s="3">
        <v>2</v>
      </c>
    </row>
    <row r="376" spans="1:7" ht="12.75" hidden="1" x14ac:dyDescent="0.2">
      <c r="A376" s="3" t="s">
        <v>124</v>
      </c>
      <c r="B376" s="3">
        <v>54</v>
      </c>
      <c r="C376" s="3" t="s">
        <v>81</v>
      </c>
      <c r="D376" s="3" t="s">
        <v>125</v>
      </c>
      <c r="E376" s="3" t="s">
        <v>134</v>
      </c>
      <c r="F376" s="3" t="str">
        <f t="shared" si="0"/>
        <v>3 - Otros</v>
      </c>
      <c r="G376" s="3">
        <v>2</v>
      </c>
    </row>
    <row r="377" spans="1:7" ht="12.75" hidden="1" x14ac:dyDescent="0.2">
      <c r="A377" s="3" t="s">
        <v>124</v>
      </c>
      <c r="B377" s="3">
        <v>54</v>
      </c>
      <c r="C377" s="3" t="s">
        <v>81</v>
      </c>
      <c r="D377" s="3" t="s">
        <v>125</v>
      </c>
      <c r="E377" s="3" t="s">
        <v>126</v>
      </c>
      <c r="F377" s="3" t="str">
        <f t="shared" si="0"/>
        <v>2 - Frepam</v>
      </c>
      <c r="G377" s="3">
        <v>45</v>
      </c>
    </row>
    <row r="378" spans="1:7" ht="12.75" hidden="1" x14ac:dyDescent="0.2">
      <c r="A378" s="3" t="s">
        <v>124</v>
      </c>
      <c r="B378" s="3">
        <v>54</v>
      </c>
      <c r="C378" s="3" t="s">
        <v>81</v>
      </c>
      <c r="D378" s="3" t="s">
        <v>125</v>
      </c>
      <c r="E378" s="3" t="s">
        <v>138</v>
      </c>
      <c r="F378" s="3" t="str">
        <f t="shared" si="0"/>
        <v>4 - Blanco/Nulo</v>
      </c>
      <c r="G378" s="3">
        <v>0</v>
      </c>
    </row>
    <row r="379" spans="1:7" ht="12.75" hidden="1" x14ac:dyDescent="0.2">
      <c r="A379" s="3" t="s">
        <v>124</v>
      </c>
      <c r="B379" s="3">
        <v>54</v>
      </c>
      <c r="C379" s="3" t="s">
        <v>81</v>
      </c>
      <c r="D379" s="3" t="s">
        <v>125</v>
      </c>
      <c r="E379" s="3" t="s">
        <v>14</v>
      </c>
      <c r="F379" s="3" t="str">
        <f t="shared" si="0"/>
        <v>4 - Blanco/Nulo</v>
      </c>
      <c r="G379" s="3">
        <v>0</v>
      </c>
    </row>
    <row r="380" spans="1:7" ht="12.75" hidden="1" x14ac:dyDescent="0.2">
      <c r="A380" s="3" t="s">
        <v>124</v>
      </c>
      <c r="B380" s="3">
        <v>55</v>
      </c>
      <c r="C380" s="3" t="s">
        <v>82</v>
      </c>
      <c r="D380" s="3" t="s">
        <v>125</v>
      </c>
      <c r="E380" s="3" t="s">
        <v>3</v>
      </c>
      <c r="F380" s="3" t="str">
        <f t="shared" si="0"/>
        <v>1 - PJ</v>
      </c>
      <c r="G380" s="3">
        <v>124</v>
      </c>
    </row>
    <row r="381" spans="1:7" ht="12.75" hidden="1" x14ac:dyDescent="0.2">
      <c r="A381" s="3" t="s">
        <v>124</v>
      </c>
      <c r="B381" s="3">
        <v>55</v>
      </c>
      <c r="C381" s="3" t="s">
        <v>82</v>
      </c>
      <c r="D381" s="3" t="s">
        <v>125</v>
      </c>
      <c r="E381" s="3" t="s">
        <v>16</v>
      </c>
      <c r="F381" s="3" t="str">
        <f t="shared" si="0"/>
        <v>3 - Otros</v>
      </c>
      <c r="G381" s="3">
        <v>3</v>
      </c>
    </row>
    <row r="382" spans="1:7" ht="12.75" hidden="1" x14ac:dyDescent="0.2">
      <c r="A382" s="3" t="s">
        <v>124</v>
      </c>
      <c r="B382" s="3">
        <v>55</v>
      </c>
      <c r="C382" s="3" t="s">
        <v>82</v>
      </c>
      <c r="D382" s="3" t="s">
        <v>125</v>
      </c>
      <c r="E382" s="3" t="s">
        <v>129</v>
      </c>
      <c r="F382" s="3" t="str">
        <f t="shared" si="0"/>
        <v>3 - Otros</v>
      </c>
      <c r="G382" s="3">
        <v>1</v>
      </c>
    </row>
    <row r="383" spans="1:7" ht="12.75" hidden="1" x14ac:dyDescent="0.2">
      <c r="A383" s="3" t="s">
        <v>124</v>
      </c>
      <c r="B383" s="3">
        <v>55</v>
      </c>
      <c r="C383" s="3" t="s">
        <v>82</v>
      </c>
      <c r="D383" s="3" t="s">
        <v>125</v>
      </c>
      <c r="E383" s="3" t="s">
        <v>132</v>
      </c>
      <c r="F383" s="3" t="str">
        <f t="shared" si="0"/>
        <v>2 - Frepam</v>
      </c>
      <c r="G383" s="3">
        <v>9</v>
      </c>
    </row>
    <row r="384" spans="1:7" ht="12.75" hidden="1" x14ac:dyDescent="0.2">
      <c r="A384" s="3" t="s">
        <v>124</v>
      </c>
      <c r="B384" s="3">
        <v>55</v>
      </c>
      <c r="C384" s="3" t="s">
        <v>82</v>
      </c>
      <c r="D384" s="3" t="s">
        <v>125</v>
      </c>
      <c r="E384" s="3" t="s">
        <v>134</v>
      </c>
      <c r="F384" s="3" t="str">
        <f t="shared" si="0"/>
        <v>3 - Otros</v>
      </c>
      <c r="G384" s="3">
        <v>5</v>
      </c>
    </row>
    <row r="385" spans="1:7" ht="12.75" hidden="1" x14ac:dyDescent="0.2">
      <c r="A385" s="3" t="s">
        <v>124</v>
      </c>
      <c r="B385" s="3">
        <v>55</v>
      </c>
      <c r="C385" s="3" t="s">
        <v>82</v>
      </c>
      <c r="D385" s="3" t="s">
        <v>125</v>
      </c>
      <c r="E385" s="3" t="s">
        <v>126</v>
      </c>
      <c r="F385" s="3" t="str">
        <f t="shared" si="0"/>
        <v>2 - Frepam</v>
      </c>
      <c r="G385" s="3">
        <v>130</v>
      </c>
    </row>
    <row r="386" spans="1:7" ht="12.75" hidden="1" x14ac:dyDescent="0.2">
      <c r="A386" s="3" t="s">
        <v>124</v>
      </c>
      <c r="B386" s="3">
        <v>55</v>
      </c>
      <c r="C386" s="3" t="s">
        <v>82</v>
      </c>
      <c r="D386" s="3" t="s">
        <v>125</v>
      </c>
      <c r="E386" s="3" t="s">
        <v>138</v>
      </c>
      <c r="F386" s="3" t="str">
        <f t="shared" si="0"/>
        <v>4 - Blanco/Nulo</v>
      </c>
      <c r="G386" s="3">
        <v>4</v>
      </c>
    </row>
    <row r="387" spans="1:7" ht="12.75" hidden="1" x14ac:dyDescent="0.2">
      <c r="A387" s="3" t="s">
        <v>124</v>
      </c>
      <c r="B387" s="3">
        <v>55</v>
      </c>
      <c r="C387" s="3" t="s">
        <v>82</v>
      </c>
      <c r="D387" s="3" t="s">
        <v>125</v>
      </c>
      <c r="E387" s="3" t="s">
        <v>14</v>
      </c>
      <c r="F387" s="3" t="str">
        <f t="shared" si="0"/>
        <v>4 - Blanco/Nulo</v>
      </c>
      <c r="G387" s="3">
        <v>0</v>
      </c>
    </row>
    <row r="388" spans="1:7" ht="12.75" hidden="1" x14ac:dyDescent="0.2">
      <c r="A388" s="3" t="s">
        <v>124</v>
      </c>
      <c r="B388" s="3">
        <v>56</v>
      </c>
      <c r="C388" s="3" t="s">
        <v>83</v>
      </c>
      <c r="D388" s="3" t="s">
        <v>125</v>
      </c>
      <c r="E388" s="3" t="s">
        <v>3</v>
      </c>
      <c r="F388" s="3" t="str">
        <f t="shared" si="0"/>
        <v>1 - PJ</v>
      </c>
      <c r="G388" s="3">
        <v>242</v>
      </c>
    </row>
    <row r="389" spans="1:7" ht="12.75" hidden="1" x14ac:dyDescent="0.2">
      <c r="A389" s="3" t="s">
        <v>124</v>
      </c>
      <c r="B389" s="3">
        <v>56</v>
      </c>
      <c r="C389" s="3" t="s">
        <v>83</v>
      </c>
      <c r="D389" s="3" t="s">
        <v>125</v>
      </c>
      <c r="E389" s="3" t="s">
        <v>16</v>
      </c>
      <c r="F389" s="3" t="str">
        <f t="shared" si="0"/>
        <v>3 - Otros</v>
      </c>
      <c r="G389" s="3">
        <v>4</v>
      </c>
    </row>
    <row r="390" spans="1:7" ht="12.75" hidden="1" x14ac:dyDescent="0.2">
      <c r="A390" s="3" t="s">
        <v>124</v>
      </c>
      <c r="B390" s="3">
        <v>56</v>
      </c>
      <c r="C390" s="3" t="s">
        <v>83</v>
      </c>
      <c r="D390" s="3" t="s">
        <v>125</v>
      </c>
      <c r="E390" s="3" t="s">
        <v>129</v>
      </c>
      <c r="F390" s="3" t="str">
        <f t="shared" si="0"/>
        <v>3 - Otros</v>
      </c>
      <c r="G390" s="3">
        <v>3</v>
      </c>
    </row>
    <row r="391" spans="1:7" ht="12.75" hidden="1" x14ac:dyDescent="0.2">
      <c r="A391" s="3" t="s">
        <v>124</v>
      </c>
      <c r="B391" s="3">
        <v>56</v>
      </c>
      <c r="C391" s="3" t="s">
        <v>83</v>
      </c>
      <c r="D391" s="3" t="s">
        <v>125</v>
      </c>
      <c r="E391" s="3" t="s">
        <v>132</v>
      </c>
      <c r="F391" s="3" t="str">
        <f t="shared" si="0"/>
        <v>2 - Frepam</v>
      </c>
      <c r="G391" s="3">
        <v>5</v>
      </c>
    </row>
    <row r="392" spans="1:7" ht="12.75" hidden="1" x14ac:dyDescent="0.2">
      <c r="A392" s="3" t="s">
        <v>124</v>
      </c>
      <c r="B392" s="3">
        <v>56</v>
      </c>
      <c r="C392" s="3" t="s">
        <v>83</v>
      </c>
      <c r="D392" s="3" t="s">
        <v>125</v>
      </c>
      <c r="E392" s="3" t="s">
        <v>134</v>
      </c>
      <c r="F392" s="3" t="str">
        <f t="shared" si="0"/>
        <v>3 - Otros</v>
      </c>
      <c r="G392" s="3">
        <v>5</v>
      </c>
    </row>
    <row r="393" spans="1:7" ht="12.75" hidden="1" x14ac:dyDescent="0.2">
      <c r="A393" s="3" t="s">
        <v>124</v>
      </c>
      <c r="B393" s="3">
        <v>56</v>
      </c>
      <c r="C393" s="3" t="s">
        <v>83</v>
      </c>
      <c r="D393" s="3" t="s">
        <v>125</v>
      </c>
      <c r="E393" s="3" t="s">
        <v>126</v>
      </c>
      <c r="F393" s="3" t="str">
        <f t="shared" si="0"/>
        <v>2 - Frepam</v>
      </c>
      <c r="G393" s="3">
        <v>159</v>
      </c>
    </row>
    <row r="394" spans="1:7" ht="12.75" hidden="1" x14ac:dyDescent="0.2">
      <c r="A394" s="3" t="s">
        <v>124</v>
      </c>
      <c r="B394" s="3">
        <v>56</v>
      </c>
      <c r="C394" s="3" t="s">
        <v>83</v>
      </c>
      <c r="D394" s="3" t="s">
        <v>125</v>
      </c>
      <c r="E394" s="3" t="s">
        <v>138</v>
      </c>
      <c r="F394" s="3" t="str">
        <f t="shared" si="0"/>
        <v>4 - Blanco/Nulo</v>
      </c>
      <c r="G394" s="3">
        <v>2</v>
      </c>
    </row>
    <row r="395" spans="1:7" ht="12.75" hidden="1" x14ac:dyDescent="0.2">
      <c r="A395" s="3" t="s">
        <v>124</v>
      </c>
      <c r="B395" s="3">
        <v>56</v>
      </c>
      <c r="C395" s="3" t="s">
        <v>83</v>
      </c>
      <c r="D395" s="3" t="s">
        <v>125</v>
      </c>
      <c r="E395" s="3" t="s">
        <v>14</v>
      </c>
      <c r="F395" s="3" t="str">
        <f t="shared" si="0"/>
        <v>4 - Blanco/Nulo</v>
      </c>
      <c r="G395" s="3">
        <v>0</v>
      </c>
    </row>
    <row r="396" spans="1:7" ht="12.75" hidden="1" x14ac:dyDescent="0.2">
      <c r="A396" s="3" t="s">
        <v>124</v>
      </c>
      <c r="B396" s="3">
        <v>58</v>
      </c>
      <c r="C396" s="3" t="s">
        <v>84</v>
      </c>
      <c r="D396" s="3" t="s">
        <v>125</v>
      </c>
      <c r="E396" s="3" t="s">
        <v>3</v>
      </c>
      <c r="F396" s="3" t="str">
        <f t="shared" si="0"/>
        <v>1 - PJ</v>
      </c>
      <c r="G396" s="3">
        <v>16854</v>
      </c>
    </row>
    <row r="397" spans="1:7" ht="12.75" hidden="1" x14ac:dyDescent="0.2">
      <c r="A397" s="3" t="s">
        <v>124</v>
      </c>
      <c r="B397" s="3">
        <v>58</v>
      </c>
      <c r="C397" s="3" t="s">
        <v>84</v>
      </c>
      <c r="D397" s="3" t="s">
        <v>125</v>
      </c>
      <c r="E397" s="3" t="s">
        <v>16</v>
      </c>
      <c r="F397" s="3" t="str">
        <f t="shared" si="0"/>
        <v>3 - Otros</v>
      </c>
      <c r="G397" s="3">
        <v>528</v>
      </c>
    </row>
    <row r="398" spans="1:7" ht="12.75" hidden="1" x14ac:dyDescent="0.2">
      <c r="A398" s="3" t="s">
        <v>124</v>
      </c>
      <c r="B398" s="3">
        <v>58</v>
      </c>
      <c r="C398" s="3" t="s">
        <v>84</v>
      </c>
      <c r="D398" s="3" t="s">
        <v>125</v>
      </c>
      <c r="E398" s="3" t="s">
        <v>129</v>
      </c>
      <c r="F398" s="3" t="str">
        <f t="shared" si="0"/>
        <v>3 - Otros</v>
      </c>
      <c r="G398" s="3">
        <v>491</v>
      </c>
    </row>
    <row r="399" spans="1:7" ht="12.75" hidden="1" x14ac:dyDescent="0.2">
      <c r="A399" s="3" t="s">
        <v>124</v>
      </c>
      <c r="B399" s="3">
        <v>58</v>
      </c>
      <c r="C399" s="3" t="s">
        <v>84</v>
      </c>
      <c r="D399" s="3" t="s">
        <v>125</v>
      </c>
      <c r="E399" s="3" t="s">
        <v>132</v>
      </c>
      <c r="F399" s="3" t="str">
        <f t="shared" si="0"/>
        <v>2 - Frepam</v>
      </c>
      <c r="G399" s="3">
        <v>4964</v>
      </c>
    </row>
    <row r="400" spans="1:7" ht="12.75" hidden="1" x14ac:dyDescent="0.2">
      <c r="A400" s="3" t="s">
        <v>124</v>
      </c>
      <c r="B400" s="3">
        <v>58</v>
      </c>
      <c r="C400" s="3" t="s">
        <v>84</v>
      </c>
      <c r="D400" s="3" t="s">
        <v>125</v>
      </c>
      <c r="E400" s="3" t="s">
        <v>134</v>
      </c>
      <c r="F400" s="3" t="str">
        <f t="shared" si="0"/>
        <v>3 - Otros</v>
      </c>
      <c r="G400" s="3">
        <v>764</v>
      </c>
    </row>
    <row r="401" spans="1:7" ht="12.75" hidden="1" x14ac:dyDescent="0.2">
      <c r="A401" s="3" t="s">
        <v>124</v>
      </c>
      <c r="B401" s="3">
        <v>58</v>
      </c>
      <c r="C401" s="3" t="s">
        <v>84</v>
      </c>
      <c r="D401" s="3" t="s">
        <v>125</v>
      </c>
      <c r="E401" s="3" t="s">
        <v>126</v>
      </c>
      <c r="F401" s="3" t="str">
        <f t="shared" si="0"/>
        <v>2 - Frepam</v>
      </c>
      <c r="G401" s="3">
        <v>17027</v>
      </c>
    </row>
    <row r="402" spans="1:7" ht="12.75" hidden="1" x14ac:dyDescent="0.2">
      <c r="A402" s="3" t="s">
        <v>124</v>
      </c>
      <c r="B402" s="3">
        <v>58</v>
      </c>
      <c r="C402" s="3" t="s">
        <v>84</v>
      </c>
      <c r="D402" s="3" t="s">
        <v>125</v>
      </c>
      <c r="E402" s="3" t="s">
        <v>138</v>
      </c>
      <c r="F402" s="3" t="str">
        <f t="shared" si="0"/>
        <v>4 - Blanco/Nulo</v>
      </c>
      <c r="G402" s="3">
        <v>358</v>
      </c>
    </row>
    <row r="403" spans="1:7" ht="12.75" hidden="1" x14ac:dyDescent="0.2">
      <c r="A403" s="3" t="s">
        <v>124</v>
      </c>
      <c r="B403" s="3">
        <v>58</v>
      </c>
      <c r="C403" s="3" t="s">
        <v>84</v>
      </c>
      <c r="D403" s="3" t="s">
        <v>125</v>
      </c>
      <c r="E403" s="3" t="s">
        <v>14</v>
      </c>
      <c r="F403" s="3" t="str">
        <f t="shared" si="0"/>
        <v>4 - Blanco/Nulo</v>
      </c>
      <c r="G403" s="3">
        <v>267</v>
      </c>
    </row>
    <row r="404" spans="1:7" ht="12.75" hidden="1" x14ac:dyDescent="0.2">
      <c r="A404" s="3" t="s">
        <v>124</v>
      </c>
      <c r="B404" s="3">
        <v>59</v>
      </c>
      <c r="C404" s="3" t="s">
        <v>85</v>
      </c>
      <c r="D404" s="3" t="s">
        <v>125</v>
      </c>
      <c r="E404" s="3" t="s">
        <v>3</v>
      </c>
      <c r="F404" s="3" t="str">
        <f t="shared" si="0"/>
        <v>1 - PJ</v>
      </c>
      <c r="G404" s="3">
        <v>206</v>
      </c>
    </row>
    <row r="405" spans="1:7" ht="12.75" hidden="1" x14ac:dyDescent="0.2">
      <c r="A405" s="3" t="s">
        <v>124</v>
      </c>
      <c r="B405" s="3">
        <v>59</v>
      </c>
      <c r="C405" s="3" t="s">
        <v>85</v>
      </c>
      <c r="D405" s="3" t="s">
        <v>125</v>
      </c>
      <c r="E405" s="3" t="s">
        <v>16</v>
      </c>
      <c r="F405" s="3" t="str">
        <f t="shared" si="0"/>
        <v>3 - Otros</v>
      </c>
      <c r="G405" s="3">
        <v>5</v>
      </c>
    </row>
    <row r="406" spans="1:7" ht="12.75" hidden="1" x14ac:dyDescent="0.2">
      <c r="A406" s="3" t="s">
        <v>124</v>
      </c>
      <c r="B406" s="3">
        <v>59</v>
      </c>
      <c r="C406" s="3" t="s">
        <v>85</v>
      </c>
      <c r="D406" s="3" t="s">
        <v>125</v>
      </c>
      <c r="E406" s="3" t="s">
        <v>129</v>
      </c>
      <c r="F406" s="3" t="str">
        <f t="shared" si="0"/>
        <v>3 - Otros</v>
      </c>
      <c r="G406" s="3">
        <v>4</v>
      </c>
    </row>
    <row r="407" spans="1:7" ht="12.75" hidden="1" x14ac:dyDescent="0.2">
      <c r="A407" s="3" t="s">
        <v>124</v>
      </c>
      <c r="B407" s="3">
        <v>59</v>
      </c>
      <c r="C407" s="3" t="s">
        <v>85</v>
      </c>
      <c r="D407" s="3" t="s">
        <v>125</v>
      </c>
      <c r="E407" s="3" t="s">
        <v>132</v>
      </c>
      <c r="F407" s="3" t="str">
        <f t="shared" si="0"/>
        <v>2 - Frepam</v>
      </c>
      <c r="G407" s="3">
        <v>19</v>
      </c>
    </row>
    <row r="408" spans="1:7" ht="12.75" hidden="1" x14ac:dyDescent="0.2">
      <c r="A408" s="3" t="s">
        <v>124</v>
      </c>
      <c r="B408" s="3">
        <v>59</v>
      </c>
      <c r="C408" s="3" t="s">
        <v>85</v>
      </c>
      <c r="D408" s="3" t="s">
        <v>125</v>
      </c>
      <c r="E408" s="3" t="s">
        <v>134</v>
      </c>
      <c r="F408" s="3" t="str">
        <f t="shared" si="0"/>
        <v>3 - Otros</v>
      </c>
      <c r="G408" s="3">
        <v>3</v>
      </c>
    </row>
    <row r="409" spans="1:7" ht="12.75" hidden="1" x14ac:dyDescent="0.2">
      <c r="A409" s="3" t="s">
        <v>124</v>
      </c>
      <c r="B409" s="3">
        <v>59</v>
      </c>
      <c r="C409" s="3" t="s">
        <v>85</v>
      </c>
      <c r="D409" s="3" t="s">
        <v>125</v>
      </c>
      <c r="E409" s="3" t="s">
        <v>126</v>
      </c>
      <c r="F409" s="3" t="str">
        <f t="shared" si="0"/>
        <v>2 - Frepam</v>
      </c>
      <c r="G409" s="3">
        <v>160</v>
      </c>
    </row>
    <row r="410" spans="1:7" ht="12.75" hidden="1" x14ac:dyDescent="0.2">
      <c r="A410" s="3" t="s">
        <v>124</v>
      </c>
      <c r="B410" s="3">
        <v>59</v>
      </c>
      <c r="C410" s="3" t="s">
        <v>85</v>
      </c>
      <c r="D410" s="3" t="s">
        <v>125</v>
      </c>
      <c r="E410" s="3" t="s">
        <v>138</v>
      </c>
      <c r="F410" s="3" t="str">
        <f t="shared" si="0"/>
        <v>4 - Blanco/Nulo</v>
      </c>
      <c r="G410" s="3">
        <v>1</v>
      </c>
    </row>
    <row r="411" spans="1:7" ht="12.75" hidden="1" x14ac:dyDescent="0.2">
      <c r="A411" s="3" t="s">
        <v>124</v>
      </c>
      <c r="B411" s="3">
        <v>59</v>
      </c>
      <c r="C411" s="3" t="s">
        <v>85</v>
      </c>
      <c r="D411" s="3" t="s">
        <v>125</v>
      </c>
      <c r="E411" s="3" t="s">
        <v>14</v>
      </c>
      <c r="F411" s="3" t="str">
        <f t="shared" si="0"/>
        <v>4 - Blanco/Nulo</v>
      </c>
      <c r="G411" s="3">
        <v>0</v>
      </c>
    </row>
    <row r="412" spans="1:7" ht="12.75" hidden="1" x14ac:dyDescent="0.2">
      <c r="A412" s="3" t="s">
        <v>124</v>
      </c>
      <c r="B412" s="3">
        <v>60</v>
      </c>
      <c r="C412" s="3" t="s">
        <v>154</v>
      </c>
      <c r="D412" s="3" t="s">
        <v>125</v>
      </c>
      <c r="E412" s="3" t="s">
        <v>3</v>
      </c>
      <c r="F412" s="3" t="str">
        <f t="shared" si="0"/>
        <v>1 - PJ</v>
      </c>
      <c r="G412" s="3">
        <v>12</v>
      </c>
    </row>
    <row r="413" spans="1:7" ht="12.75" hidden="1" x14ac:dyDescent="0.2">
      <c r="A413" s="3" t="s">
        <v>124</v>
      </c>
      <c r="B413" s="3">
        <v>60</v>
      </c>
      <c r="C413" s="3" t="s">
        <v>154</v>
      </c>
      <c r="D413" s="3" t="s">
        <v>125</v>
      </c>
      <c r="E413" s="3" t="s">
        <v>16</v>
      </c>
      <c r="F413" s="3" t="str">
        <f t="shared" si="0"/>
        <v>3 - Otros</v>
      </c>
      <c r="G413" s="3">
        <v>0</v>
      </c>
    </row>
    <row r="414" spans="1:7" ht="12.75" hidden="1" x14ac:dyDescent="0.2">
      <c r="A414" s="3" t="s">
        <v>124</v>
      </c>
      <c r="B414" s="3">
        <v>60</v>
      </c>
      <c r="C414" s="3" t="s">
        <v>154</v>
      </c>
      <c r="D414" s="3" t="s">
        <v>125</v>
      </c>
      <c r="E414" s="3" t="s">
        <v>129</v>
      </c>
      <c r="F414" s="3" t="str">
        <f t="shared" si="0"/>
        <v>3 - Otros</v>
      </c>
      <c r="G414" s="3">
        <v>0</v>
      </c>
    </row>
    <row r="415" spans="1:7" ht="12.75" hidden="1" x14ac:dyDescent="0.2">
      <c r="A415" s="3" t="s">
        <v>124</v>
      </c>
      <c r="B415" s="3">
        <v>60</v>
      </c>
      <c r="C415" s="3" t="s">
        <v>154</v>
      </c>
      <c r="D415" s="3" t="s">
        <v>125</v>
      </c>
      <c r="E415" s="3" t="s">
        <v>132</v>
      </c>
      <c r="F415" s="3" t="str">
        <f t="shared" si="0"/>
        <v>2 - Frepam</v>
      </c>
      <c r="G415" s="3">
        <v>1</v>
      </c>
    </row>
    <row r="416" spans="1:7" ht="12.75" hidden="1" x14ac:dyDescent="0.2">
      <c r="A416" s="3" t="s">
        <v>124</v>
      </c>
      <c r="B416" s="3">
        <v>60</v>
      </c>
      <c r="C416" s="3" t="s">
        <v>154</v>
      </c>
      <c r="D416" s="3" t="s">
        <v>125</v>
      </c>
      <c r="E416" s="3" t="s">
        <v>134</v>
      </c>
      <c r="F416" s="3" t="str">
        <f t="shared" si="0"/>
        <v>3 - Otros</v>
      </c>
      <c r="G416" s="3">
        <v>0</v>
      </c>
    </row>
    <row r="417" spans="1:7" ht="12.75" hidden="1" x14ac:dyDescent="0.2">
      <c r="A417" s="3" t="s">
        <v>124</v>
      </c>
      <c r="B417" s="3">
        <v>60</v>
      </c>
      <c r="C417" s="3" t="s">
        <v>154</v>
      </c>
      <c r="D417" s="3" t="s">
        <v>125</v>
      </c>
      <c r="E417" s="3" t="s">
        <v>126</v>
      </c>
      <c r="F417" s="3" t="str">
        <f t="shared" si="0"/>
        <v>2 - Frepam</v>
      </c>
      <c r="G417" s="3">
        <v>26</v>
      </c>
    </row>
    <row r="418" spans="1:7" ht="12.75" hidden="1" x14ac:dyDescent="0.2">
      <c r="A418" s="3" t="s">
        <v>124</v>
      </c>
      <c r="B418" s="3">
        <v>60</v>
      </c>
      <c r="C418" s="3" t="s">
        <v>154</v>
      </c>
      <c r="D418" s="3" t="s">
        <v>125</v>
      </c>
      <c r="E418" s="3" t="s">
        <v>138</v>
      </c>
      <c r="F418" s="3" t="str">
        <f t="shared" si="0"/>
        <v>4 - Blanco/Nulo</v>
      </c>
      <c r="G418" s="3">
        <v>0</v>
      </c>
    </row>
    <row r="419" spans="1:7" ht="12.75" hidden="1" x14ac:dyDescent="0.2">
      <c r="A419" s="3" t="s">
        <v>124</v>
      </c>
      <c r="B419" s="3">
        <v>60</v>
      </c>
      <c r="C419" s="3" t="s">
        <v>154</v>
      </c>
      <c r="D419" s="3" t="s">
        <v>125</v>
      </c>
      <c r="E419" s="3" t="s">
        <v>14</v>
      </c>
      <c r="F419" s="3" t="str">
        <f t="shared" si="0"/>
        <v>4 - Blanco/Nulo</v>
      </c>
      <c r="G419" s="3">
        <v>0</v>
      </c>
    </row>
    <row r="420" spans="1:7" ht="12.75" hidden="1" x14ac:dyDescent="0.2">
      <c r="A420" s="3" t="s">
        <v>124</v>
      </c>
      <c r="B420" s="3">
        <v>61</v>
      </c>
      <c r="C420" s="3" t="s">
        <v>86</v>
      </c>
      <c r="D420" s="3" t="s">
        <v>125</v>
      </c>
      <c r="E420" s="3" t="s">
        <v>3</v>
      </c>
      <c r="F420" s="3" t="str">
        <f t="shared" si="0"/>
        <v>1 - PJ</v>
      </c>
      <c r="G420" s="3">
        <v>2917</v>
      </c>
    </row>
    <row r="421" spans="1:7" ht="12.75" hidden="1" x14ac:dyDescent="0.2">
      <c r="A421" s="3" t="s">
        <v>124</v>
      </c>
      <c r="B421" s="3">
        <v>61</v>
      </c>
      <c r="C421" s="3" t="s">
        <v>86</v>
      </c>
      <c r="D421" s="3" t="s">
        <v>125</v>
      </c>
      <c r="E421" s="3" t="s">
        <v>16</v>
      </c>
      <c r="F421" s="3" t="str">
        <f t="shared" si="0"/>
        <v>3 - Otros</v>
      </c>
      <c r="G421" s="3">
        <v>80</v>
      </c>
    </row>
    <row r="422" spans="1:7" ht="12.75" hidden="1" x14ac:dyDescent="0.2">
      <c r="A422" s="3" t="s">
        <v>124</v>
      </c>
      <c r="B422" s="3">
        <v>61</v>
      </c>
      <c r="C422" s="3" t="s">
        <v>86</v>
      </c>
      <c r="D422" s="3" t="s">
        <v>125</v>
      </c>
      <c r="E422" s="3" t="s">
        <v>129</v>
      </c>
      <c r="F422" s="3" t="str">
        <f t="shared" si="0"/>
        <v>3 - Otros</v>
      </c>
      <c r="G422" s="3">
        <v>76</v>
      </c>
    </row>
    <row r="423" spans="1:7" ht="12.75" hidden="1" x14ac:dyDescent="0.2">
      <c r="A423" s="3" t="s">
        <v>124</v>
      </c>
      <c r="B423" s="3">
        <v>61</v>
      </c>
      <c r="C423" s="3" t="s">
        <v>86</v>
      </c>
      <c r="D423" s="3" t="s">
        <v>125</v>
      </c>
      <c r="E423" s="3" t="s">
        <v>132</v>
      </c>
      <c r="F423" s="3" t="str">
        <f t="shared" si="0"/>
        <v>2 - Frepam</v>
      </c>
      <c r="G423" s="3">
        <v>157</v>
      </c>
    </row>
    <row r="424" spans="1:7" ht="12.75" hidden="1" x14ac:dyDescent="0.2">
      <c r="A424" s="3" t="s">
        <v>124</v>
      </c>
      <c r="B424" s="3">
        <v>61</v>
      </c>
      <c r="C424" s="3" t="s">
        <v>86</v>
      </c>
      <c r="D424" s="3" t="s">
        <v>125</v>
      </c>
      <c r="E424" s="3" t="s">
        <v>134</v>
      </c>
      <c r="F424" s="3" t="str">
        <f t="shared" si="0"/>
        <v>3 - Otros</v>
      </c>
      <c r="G424" s="3">
        <v>183</v>
      </c>
    </row>
    <row r="425" spans="1:7" ht="12.75" hidden="1" x14ac:dyDescent="0.2">
      <c r="A425" s="3" t="s">
        <v>124</v>
      </c>
      <c r="B425" s="3">
        <v>61</v>
      </c>
      <c r="C425" s="3" t="s">
        <v>86</v>
      </c>
      <c r="D425" s="3" t="s">
        <v>125</v>
      </c>
      <c r="E425" s="3" t="s">
        <v>126</v>
      </c>
      <c r="F425" s="3" t="str">
        <f t="shared" si="0"/>
        <v>2 - Frepam</v>
      </c>
      <c r="G425" s="3">
        <v>2391</v>
      </c>
    </row>
    <row r="426" spans="1:7" ht="12.75" hidden="1" x14ac:dyDescent="0.2">
      <c r="A426" s="3" t="s">
        <v>124</v>
      </c>
      <c r="B426" s="3">
        <v>61</v>
      </c>
      <c r="C426" s="3" t="s">
        <v>86</v>
      </c>
      <c r="D426" s="3" t="s">
        <v>125</v>
      </c>
      <c r="E426" s="3" t="s">
        <v>138</v>
      </c>
      <c r="F426" s="3" t="str">
        <f t="shared" si="0"/>
        <v>4 - Blanco/Nulo</v>
      </c>
      <c r="G426" s="3">
        <v>153</v>
      </c>
    </row>
    <row r="427" spans="1:7" ht="12.75" hidden="1" x14ac:dyDescent="0.2">
      <c r="A427" s="3" t="s">
        <v>124</v>
      </c>
      <c r="B427" s="3">
        <v>61</v>
      </c>
      <c r="C427" s="3" t="s">
        <v>86</v>
      </c>
      <c r="D427" s="3" t="s">
        <v>125</v>
      </c>
      <c r="E427" s="3" t="s">
        <v>14</v>
      </c>
      <c r="F427" s="3" t="str">
        <f t="shared" si="0"/>
        <v>4 - Blanco/Nulo</v>
      </c>
      <c r="G427" s="3">
        <v>58</v>
      </c>
    </row>
    <row r="428" spans="1:7" ht="12.75" hidden="1" x14ac:dyDescent="0.2">
      <c r="A428" s="3" t="s">
        <v>124</v>
      </c>
      <c r="B428" s="3">
        <v>62</v>
      </c>
      <c r="C428" s="3" t="s">
        <v>87</v>
      </c>
      <c r="D428" s="3" t="s">
        <v>125</v>
      </c>
      <c r="E428" s="3" t="s">
        <v>3</v>
      </c>
      <c r="F428" s="3" t="str">
        <f t="shared" si="0"/>
        <v>1 - PJ</v>
      </c>
      <c r="G428" s="3">
        <v>220</v>
      </c>
    </row>
    <row r="429" spans="1:7" ht="12.75" hidden="1" x14ac:dyDescent="0.2">
      <c r="A429" s="3" t="s">
        <v>124</v>
      </c>
      <c r="B429" s="3">
        <v>62</v>
      </c>
      <c r="C429" s="3" t="s">
        <v>87</v>
      </c>
      <c r="D429" s="3" t="s">
        <v>125</v>
      </c>
      <c r="E429" s="3" t="s">
        <v>16</v>
      </c>
      <c r="F429" s="3" t="str">
        <f t="shared" si="0"/>
        <v>3 - Otros</v>
      </c>
      <c r="G429" s="3">
        <v>5</v>
      </c>
    </row>
    <row r="430" spans="1:7" ht="12.75" hidden="1" x14ac:dyDescent="0.2">
      <c r="A430" s="3" t="s">
        <v>124</v>
      </c>
      <c r="B430" s="3">
        <v>62</v>
      </c>
      <c r="C430" s="3" t="s">
        <v>87</v>
      </c>
      <c r="D430" s="3" t="s">
        <v>125</v>
      </c>
      <c r="E430" s="3" t="s">
        <v>129</v>
      </c>
      <c r="F430" s="3" t="str">
        <f t="shared" si="0"/>
        <v>3 - Otros</v>
      </c>
      <c r="G430" s="3">
        <v>4</v>
      </c>
    </row>
    <row r="431" spans="1:7" ht="12.75" hidden="1" x14ac:dyDescent="0.2">
      <c r="A431" s="3" t="s">
        <v>124</v>
      </c>
      <c r="B431" s="3">
        <v>62</v>
      </c>
      <c r="C431" s="3" t="s">
        <v>87</v>
      </c>
      <c r="D431" s="3" t="s">
        <v>125</v>
      </c>
      <c r="E431" s="3" t="s">
        <v>132</v>
      </c>
      <c r="F431" s="3" t="str">
        <f t="shared" si="0"/>
        <v>2 - Frepam</v>
      </c>
      <c r="G431" s="3">
        <v>4</v>
      </c>
    </row>
    <row r="432" spans="1:7" ht="12.75" hidden="1" x14ac:dyDescent="0.2">
      <c r="A432" s="3" t="s">
        <v>124</v>
      </c>
      <c r="B432" s="3">
        <v>62</v>
      </c>
      <c r="C432" s="3" t="s">
        <v>87</v>
      </c>
      <c r="D432" s="3" t="s">
        <v>125</v>
      </c>
      <c r="E432" s="3" t="s">
        <v>134</v>
      </c>
      <c r="F432" s="3" t="str">
        <f t="shared" si="0"/>
        <v>3 - Otros</v>
      </c>
      <c r="G432" s="3">
        <v>5</v>
      </c>
    </row>
    <row r="433" spans="1:7" ht="12.75" hidden="1" x14ac:dyDescent="0.2">
      <c r="A433" s="3" t="s">
        <v>124</v>
      </c>
      <c r="B433" s="3">
        <v>62</v>
      </c>
      <c r="C433" s="3" t="s">
        <v>87</v>
      </c>
      <c r="D433" s="3" t="s">
        <v>125</v>
      </c>
      <c r="E433" s="3" t="s">
        <v>126</v>
      </c>
      <c r="F433" s="3" t="str">
        <f t="shared" si="0"/>
        <v>2 - Frepam</v>
      </c>
      <c r="G433" s="3">
        <v>161</v>
      </c>
    </row>
    <row r="434" spans="1:7" ht="12.75" hidden="1" x14ac:dyDescent="0.2">
      <c r="A434" s="3" t="s">
        <v>124</v>
      </c>
      <c r="B434" s="3">
        <v>62</v>
      </c>
      <c r="C434" s="3" t="s">
        <v>87</v>
      </c>
      <c r="D434" s="3" t="s">
        <v>125</v>
      </c>
      <c r="E434" s="3" t="s">
        <v>138</v>
      </c>
      <c r="F434" s="3" t="str">
        <f t="shared" si="0"/>
        <v>4 - Blanco/Nulo</v>
      </c>
      <c r="G434" s="3">
        <v>9</v>
      </c>
    </row>
    <row r="435" spans="1:7" ht="12.75" hidden="1" x14ac:dyDescent="0.2">
      <c r="A435" s="3" t="s">
        <v>124</v>
      </c>
      <c r="B435" s="3">
        <v>62</v>
      </c>
      <c r="C435" s="3" t="s">
        <v>87</v>
      </c>
      <c r="D435" s="3" t="s">
        <v>125</v>
      </c>
      <c r="E435" s="3" t="s">
        <v>14</v>
      </c>
      <c r="F435" s="3" t="str">
        <f t="shared" si="0"/>
        <v>4 - Blanco/Nulo</v>
      </c>
      <c r="G435" s="3">
        <v>6</v>
      </c>
    </row>
    <row r="436" spans="1:7" ht="12.75" hidden="1" x14ac:dyDescent="0.2">
      <c r="A436" s="3" t="s">
        <v>124</v>
      </c>
      <c r="B436" s="3">
        <v>63</v>
      </c>
      <c r="C436" s="3" t="s">
        <v>88</v>
      </c>
      <c r="D436" s="3" t="s">
        <v>125</v>
      </c>
      <c r="E436" s="3" t="s">
        <v>3</v>
      </c>
      <c r="F436" s="3" t="str">
        <f t="shared" si="0"/>
        <v>1 - PJ</v>
      </c>
      <c r="G436" s="3">
        <v>818</v>
      </c>
    </row>
    <row r="437" spans="1:7" ht="12.75" hidden="1" x14ac:dyDescent="0.2">
      <c r="A437" s="3" t="s">
        <v>124</v>
      </c>
      <c r="B437" s="3">
        <v>63</v>
      </c>
      <c r="C437" s="3" t="s">
        <v>88</v>
      </c>
      <c r="D437" s="3" t="s">
        <v>125</v>
      </c>
      <c r="E437" s="3" t="s">
        <v>16</v>
      </c>
      <c r="F437" s="3" t="str">
        <f t="shared" si="0"/>
        <v>3 - Otros</v>
      </c>
      <c r="G437" s="3">
        <v>28</v>
      </c>
    </row>
    <row r="438" spans="1:7" ht="12.75" hidden="1" x14ac:dyDescent="0.2">
      <c r="A438" s="3" t="s">
        <v>124</v>
      </c>
      <c r="B438" s="3">
        <v>63</v>
      </c>
      <c r="C438" s="3" t="s">
        <v>88</v>
      </c>
      <c r="D438" s="3" t="s">
        <v>125</v>
      </c>
      <c r="E438" s="3" t="s">
        <v>129</v>
      </c>
      <c r="F438" s="3" t="str">
        <f t="shared" si="0"/>
        <v>3 - Otros</v>
      </c>
      <c r="G438" s="3">
        <v>68</v>
      </c>
    </row>
    <row r="439" spans="1:7" ht="12.75" hidden="1" x14ac:dyDescent="0.2">
      <c r="A439" s="3" t="s">
        <v>124</v>
      </c>
      <c r="B439" s="3">
        <v>63</v>
      </c>
      <c r="C439" s="3" t="s">
        <v>88</v>
      </c>
      <c r="D439" s="3" t="s">
        <v>125</v>
      </c>
      <c r="E439" s="3" t="s">
        <v>132</v>
      </c>
      <c r="F439" s="3" t="str">
        <f t="shared" si="0"/>
        <v>2 - Frepam</v>
      </c>
      <c r="G439" s="3">
        <v>31</v>
      </c>
    </row>
    <row r="440" spans="1:7" ht="12.75" hidden="1" x14ac:dyDescent="0.2">
      <c r="A440" s="3" t="s">
        <v>124</v>
      </c>
      <c r="B440" s="3">
        <v>63</v>
      </c>
      <c r="C440" s="3" t="s">
        <v>88</v>
      </c>
      <c r="D440" s="3" t="s">
        <v>125</v>
      </c>
      <c r="E440" s="3" t="s">
        <v>134</v>
      </c>
      <c r="F440" s="3" t="str">
        <f t="shared" si="0"/>
        <v>3 - Otros</v>
      </c>
      <c r="G440" s="3">
        <v>27</v>
      </c>
    </row>
    <row r="441" spans="1:7" ht="12.75" hidden="1" x14ac:dyDescent="0.2">
      <c r="A441" s="3" t="s">
        <v>124</v>
      </c>
      <c r="B441" s="3">
        <v>63</v>
      </c>
      <c r="C441" s="3" t="s">
        <v>88</v>
      </c>
      <c r="D441" s="3" t="s">
        <v>125</v>
      </c>
      <c r="E441" s="3" t="s">
        <v>126</v>
      </c>
      <c r="F441" s="3" t="str">
        <f t="shared" si="0"/>
        <v>2 - Frepam</v>
      </c>
      <c r="G441" s="3">
        <v>725</v>
      </c>
    </row>
    <row r="442" spans="1:7" ht="12.75" hidden="1" x14ac:dyDescent="0.2">
      <c r="A442" s="3" t="s">
        <v>124</v>
      </c>
      <c r="B442" s="3">
        <v>63</v>
      </c>
      <c r="C442" s="3" t="s">
        <v>88</v>
      </c>
      <c r="D442" s="3" t="s">
        <v>125</v>
      </c>
      <c r="E442" s="3" t="s">
        <v>138</v>
      </c>
      <c r="F442" s="3" t="str">
        <f t="shared" si="0"/>
        <v>4 - Blanco/Nulo</v>
      </c>
      <c r="G442" s="3">
        <v>21</v>
      </c>
    </row>
    <row r="443" spans="1:7" ht="12.75" hidden="1" x14ac:dyDescent="0.2">
      <c r="A443" s="3" t="s">
        <v>124</v>
      </c>
      <c r="B443" s="3">
        <v>63</v>
      </c>
      <c r="C443" s="3" t="s">
        <v>88</v>
      </c>
      <c r="D443" s="3" t="s">
        <v>125</v>
      </c>
      <c r="E443" s="3" t="s">
        <v>14</v>
      </c>
      <c r="F443" s="3" t="str">
        <f t="shared" si="0"/>
        <v>4 - Blanco/Nulo</v>
      </c>
      <c r="G443" s="3">
        <v>40</v>
      </c>
    </row>
    <row r="444" spans="1:7" ht="12.75" hidden="1" x14ac:dyDescent="0.2">
      <c r="A444" s="3" t="s">
        <v>124</v>
      </c>
      <c r="B444" s="3">
        <v>64</v>
      </c>
      <c r="C444" s="3" t="s">
        <v>89</v>
      </c>
      <c r="D444" s="3" t="s">
        <v>125</v>
      </c>
      <c r="E444" s="3" t="s">
        <v>3</v>
      </c>
      <c r="F444" s="3" t="str">
        <f t="shared" si="0"/>
        <v>1 - PJ</v>
      </c>
      <c r="G444" s="3">
        <v>308</v>
      </c>
    </row>
    <row r="445" spans="1:7" ht="12.75" hidden="1" x14ac:dyDescent="0.2">
      <c r="A445" s="3" t="s">
        <v>124</v>
      </c>
      <c r="B445" s="3">
        <v>64</v>
      </c>
      <c r="C445" s="3" t="s">
        <v>89</v>
      </c>
      <c r="D445" s="3" t="s">
        <v>125</v>
      </c>
      <c r="E445" s="3" t="s">
        <v>16</v>
      </c>
      <c r="F445" s="3" t="str">
        <f t="shared" si="0"/>
        <v>3 - Otros</v>
      </c>
      <c r="G445" s="3">
        <v>14</v>
      </c>
    </row>
    <row r="446" spans="1:7" ht="12.75" hidden="1" x14ac:dyDescent="0.2">
      <c r="A446" s="3" t="s">
        <v>124</v>
      </c>
      <c r="B446" s="3">
        <v>64</v>
      </c>
      <c r="C446" s="3" t="s">
        <v>89</v>
      </c>
      <c r="D446" s="3" t="s">
        <v>125</v>
      </c>
      <c r="E446" s="3" t="s">
        <v>129</v>
      </c>
      <c r="F446" s="3" t="str">
        <f t="shared" si="0"/>
        <v>3 - Otros</v>
      </c>
      <c r="G446" s="3">
        <v>7</v>
      </c>
    </row>
    <row r="447" spans="1:7" ht="12.75" hidden="1" x14ac:dyDescent="0.2">
      <c r="A447" s="3" t="s">
        <v>124</v>
      </c>
      <c r="B447" s="3">
        <v>64</v>
      </c>
      <c r="C447" s="3" t="s">
        <v>89</v>
      </c>
      <c r="D447" s="3" t="s">
        <v>125</v>
      </c>
      <c r="E447" s="3" t="s">
        <v>132</v>
      </c>
      <c r="F447" s="3" t="str">
        <f t="shared" si="0"/>
        <v>2 - Frepam</v>
      </c>
      <c r="G447" s="3">
        <v>8</v>
      </c>
    </row>
    <row r="448" spans="1:7" ht="12.75" hidden="1" x14ac:dyDescent="0.2">
      <c r="A448" s="3" t="s">
        <v>124</v>
      </c>
      <c r="B448" s="3">
        <v>64</v>
      </c>
      <c r="C448" s="3" t="s">
        <v>89</v>
      </c>
      <c r="D448" s="3" t="s">
        <v>125</v>
      </c>
      <c r="E448" s="3" t="s">
        <v>134</v>
      </c>
      <c r="F448" s="3" t="str">
        <f t="shared" si="0"/>
        <v>3 - Otros</v>
      </c>
      <c r="G448" s="3">
        <v>9</v>
      </c>
    </row>
    <row r="449" spans="1:7" ht="12.75" hidden="1" x14ac:dyDescent="0.2">
      <c r="A449" s="3" t="s">
        <v>124</v>
      </c>
      <c r="B449" s="3">
        <v>64</v>
      </c>
      <c r="C449" s="3" t="s">
        <v>89</v>
      </c>
      <c r="D449" s="3" t="s">
        <v>125</v>
      </c>
      <c r="E449" s="3" t="s">
        <v>126</v>
      </c>
      <c r="F449" s="3" t="str">
        <f t="shared" si="0"/>
        <v>2 - Frepam</v>
      </c>
      <c r="G449" s="3">
        <v>216</v>
      </c>
    </row>
    <row r="450" spans="1:7" ht="12.75" hidden="1" x14ac:dyDescent="0.2">
      <c r="A450" s="3" t="s">
        <v>124</v>
      </c>
      <c r="B450" s="3">
        <v>64</v>
      </c>
      <c r="C450" s="3" t="s">
        <v>89</v>
      </c>
      <c r="D450" s="3" t="s">
        <v>125</v>
      </c>
      <c r="E450" s="3" t="s">
        <v>138</v>
      </c>
      <c r="F450" s="3" t="str">
        <f t="shared" si="0"/>
        <v>4 - Blanco/Nulo</v>
      </c>
      <c r="G450" s="3">
        <v>12</v>
      </c>
    </row>
    <row r="451" spans="1:7" ht="12.75" hidden="1" x14ac:dyDescent="0.2">
      <c r="A451" s="3" t="s">
        <v>124</v>
      </c>
      <c r="B451" s="3">
        <v>64</v>
      </c>
      <c r="C451" s="3" t="s">
        <v>89</v>
      </c>
      <c r="D451" s="3" t="s">
        <v>125</v>
      </c>
      <c r="E451" s="3" t="s">
        <v>14</v>
      </c>
      <c r="F451" s="3" t="str">
        <f t="shared" si="0"/>
        <v>4 - Blanco/Nulo</v>
      </c>
      <c r="G451" s="3">
        <v>4</v>
      </c>
    </row>
    <row r="452" spans="1:7" ht="12.75" hidden="1" x14ac:dyDescent="0.2">
      <c r="A452" s="3" t="s">
        <v>124</v>
      </c>
      <c r="B452" s="3">
        <v>65</v>
      </c>
      <c r="C452" s="3" t="s">
        <v>90</v>
      </c>
      <c r="D452" s="3" t="s">
        <v>125</v>
      </c>
      <c r="E452" s="3" t="s">
        <v>3</v>
      </c>
      <c r="F452" s="3" t="str">
        <f t="shared" si="0"/>
        <v>1 - PJ</v>
      </c>
      <c r="G452" s="3">
        <v>1036</v>
      </c>
    </row>
    <row r="453" spans="1:7" ht="12.75" hidden="1" x14ac:dyDescent="0.2">
      <c r="A453" s="3" t="s">
        <v>124</v>
      </c>
      <c r="B453" s="3">
        <v>65</v>
      </c>
      <c r="C453" s="3" t="s">
        <v>90</v>
      </c>
      <c r="D453" s="3" t="s">
        <v>125</v>
      </c>
      <c r="E453" s="3" t="s">
        <v>16</v>
      </c>
      <c r="F453" s="3" t="str">
        <f t="shared" si="0"/>
        <v>3 - Otros</v>
      </c>
      <c r="G453" s="3">
        <v>38</v>
      </c>
    </row>
    <row r="454" spans="1:7" ht="12.75" hidden="1" x14ac:dyDescent="0.2">
      <c r="A454" s="3" t="s">
        <v>124</v>
      </c>
      <c r="B454" s="3">
        <v>65</v>
      </c>
      <c r="C454" s="3" t="s">
        <v>90</v>
      </c>
      <c r="D454" s="3" t="s">
        <v>125</v>
      </c>
      <c r="E454" s="3" t="s">
        <v>129</v>
      </c>
      <c r="F454" s="3" t="str">
        <f t="shared" si="0"/>
        <v>3 - Otros</v>
      </c>
      <c r="G454" s="3">
        <v>28</v>
      </c>
    </row>
    <row r="455" spans="1:7" ht="12.75" hidden="1" x14ac:dyDescent="0.2">
      <c r="A455" s="3" t="s">
        <v>124</v>
      </c>
      <c r="B455" s="3">
        <v>65</v>
      </c>
      <c r="C455" s="3" t="s">
        <v>90</v>
      </c>
      <c r="D455" s="3" t="s">
        <v>125</v>
      </c>
      <c r="E455" s="3" t="s">
        <v>132</v>
      </c>
      <c r="F455" s="3" t="str">
        <f t="shared" si="0"/>
        <v>2 - Frepam</v>
      </c>
      <c r="G455" s="3">
        <v>54</v>
      </c>
    </row>
    <row r="456" spans="1:7" ht="12.75" hidden="1" x14ac:dyDescent="0.2">
      <c r="A456" s="3" t="s">
        <v>124</v>
      </c>
      <c r="B456" s="3">
        <v>65</v>
      </c>
      <c r="C456" s="3" t="s">
        <v>90</v>
      </c>
      <c r="D456" s="3" t="s">
        <v>125</v>
      </c>
      <c r="E456" s="3" t="s">
        <v>134</v>
      </c>
      <c r="F456" s="3" t="str">
        <f t="shared" si="0"/>
        <v>3 - Otros</v>
      </c>
      <c r="G456" s="3">
        <v>32</v>
      </c>
    </row>
    <row r="457" spans="1:7" ht="12.75" hidden="1" x14ac:dyDescent="0.2">
      <c r="A457" s="3" t="s">
        <v>124</v>
      </c>
      <c r="B457" s="3">
        <v>65</v>
      </c>
      <c r="C457" s="3" t="s">
        <v>90</v>
      </c>
      <c r="D457" s="3" t="s">
        <v>125</v>
      </c>
      <c r="E457" s="3" t="s">
        <v>126</v>
      </c>
      <c r="F457" s="3" t="str">
        <f t="shared" si="0"/>
        <v>2 - Frepam</v>
      </c>
      <c r="G457" s="3">
        <v>1457</v>
      </c>
    </row>
    <row r="458" spans="1:7" ht="12.75" hidden="1" x14ac:dyDescent="0.2">
      <c r="A458" s="3" t="s">
        <v>124</v>
      </c>
      <c r="B458" s="3">
        <v>65</v>
      </c>
      <c r="C458" s="3" t="s">
        <v>90</v>
      </c>
      <c r="D458" s="3" t="s">
        <v>125</v>
      </c>
      <c r="E458" s="3" t="s">
        <v>138</v>
      </c>
      <c r="F458" s="3" t="str">
        <f t="shared" si="0"/>
        <v>4 - Blanco/Nulo</v>
      </c>
      <c r="G458" s="3">
        <v>41</v>
      </c>
    </row>
    <row r="459" spans="1:7" ht="12.75" hidden="1" x14ac:dyDescent="0.2">
      <c r="A459" s="3" t="s">
        <v>124</v>
      </c>
      <c r="B459" s="3">
        <v>65</v>
      </c>
      <c r="C459" s="3" t="s">
        <v>90</v>
      </c>
      <c r="D459" s="3" t="s">
        <v>125</v>
      </c>
      <c r="E459" s="3" t="s">
        <v>14</v>
      </c>
      <c r="F459" s="3" t="str">
        <f t="shared" si="0"/>
        <v>4 - Blanco/Nulo</v>
      </c>
      <c r="G459" s="3">
        <v>15</v>
      </c>
    </row>
    <row r="460" spans="1:7" ht="12.75" hidden="1" x14ac:dyDescent="0.2">
      <c r="A460" s="3" t="s">
        <v>124</v>
      </c>
      <c r="B460" s="3">
        <v>66</v>
      </c>
      <c r="C460" s="3" t="s">
        <v>91</v>
      </c>
      <c r="D460" s="3" t="s">
        <v>125</v>
      </c>
      <c r="E460" s="3" t="s">
        <v>3</v>
      </c>
      <c r="F460" s="3" t="str">
        <f t="shared" si="0"/>
        <v>1 - PJ</v>
      </c>
      <c r="G460" s="3">
        <v>45</v>
      </c>
    </row>
    <row r="461" spans="1:7" ht="12.75" hidden="1" x14ac:dyDescent="0.2">
      <c r="A461" s="3" t="s">
        <v>124</v>
      </c>
      <c r="B461" s="3">
        <v>66</v>
      </c>
      <c r="C461" s="3" t="s">
        <v>91</v>
      </c>
      <c r="D461" s="3" t="s">
        <v>125</v>
      </c>
      <c r="E461" s="3" t="s">
        <v>16</v>
      </c>
      <c r="F461" s="3" t="str">
        <f t="shared" si="0"/>
        <v>3 - Otros</v>
      </c>
      <c r="G461" s="3">
        <v>2</v>
      </c>
    </row>
    <row r="462" spans="1:7" ht="12.75" hidden="1" x14ac:dyDescent="0.2">
      <c r="A462" s="3" t="s">
        <v>124</v>
      </c>
      <c r="B462" s="3">
        <v>66</v>
      </c>
      <c r="C462" s="3" t="s">
        <v>91</v>
      </c>
      <c r="D462" s="3" t="s">
        <v>125</v>
      </c>
      <c r="E462" s="3" t="s">
        <v>129</v>
      </c>
      <c r="F462" s="3" t="str">
        <f t="shared" si="0"/>
        <v>3 - Otros</v>
      </c>
      <c r="G462" s="3">
        <v>1</v>
      </c>
    </row>
    <row r="463" spans="1:7" ht="12.75" hidden="1" x14ac:dyDescent="0.2">
      <c r="A463" s="3" t="s">
        <v>124</v>
      </c>
      <c r="B463" s="3">
        <v>66</v>
      </c>
      <c r="C463" s="3" t="s">
        <v>91</v>
      </c>
      <c r="D463" s="3" t="s">
        <v>125</v>
      </c>
      <c r="E463" s="3" t="s">
        <v>132</v>
      </c>
      <c r="F463" s="3" t="str">
        <f t="shared" si="0"/>
        <v>2 - Frepam</v>
      </c>
      <c r="G463" s="3">
        <v>2</v>
      </c>
    </row>
    <row r="464" spans="1:7" ht="12.75" hidden="1" x14ac:dyDescent="0.2">
      <c r="A464" s="3" t="s">
        <v>124</v>
      </c>
      <c r="B464" s="3">
        <v>66</v>
      </c>
      <c r="C464" s="3" t="s">
        <v>91</v>
      </c>
      <c r="D464" s="3" t="s">
        <v>125</v>
      </c>
      <c r="E464" s="3" t="s">
        <v>134</v>
      </c>
      <c r="F464" s="3" t="str">
        <f t="shared" si="0"/>
        <v>3 - Otros</v>
      </c>
      <c r="G464" s="3">
        <v>1</v>
      </c>
    </row>
    <row r="465" spans="1:7" ht="12.75" hidden="1" x14ac:dyDescent="0.2">
      <c r="A465" s="3" t="s">
        <v>124</v>
      </c>
      <c r="B465" s="3">
        <v>66</v>
      </c>
      <c r="C465" s="3" t="s">
        <v>91</v>
      </c>
      <c r="D465" s="3" t="s">
        <v>125</v>
      </c>
      <c r="E465" s="3" t="s">
        <v>126</v>
      </c>
      <c r="F465" s="3" t="str">
        <f t="shared" si="0"/>
        <v>2 - Frepam</v>
      </c>
      <c r="G465" s="3">
        <v>59</v>
      </c>
    </row>
    <row r="466" spans="1:7" ht="12.75" hidden="1" x14ac:dyDescent="0.2">
      <c r="A466" s="3" t="s">
        <v>124</v>
      </c>
      <c r="B466" s="3">
        <v>66</v>
      </c>
      <c r="C466" s="3" t="s">
        <v>91</v>
      </c>
      <c r="D466" s="3" t="s">
        <v>125</v>
      </c>
      <c r="E466" s="3" t="s">
        <v>138</v>
      </c>
      <c r="F466" s="3" t="str">
        <f t="shared" si="0"/>
        <v>4 - Blanco/Nulo</v>
      </c>
      <c r="G466" s="3">
        <v>2</v>
      </c>
    </row>
    <row r="467" spans="1:7" ht="12.75" hidden="1" x14ac:dyDescent="0.2">
      <c r="A467" s="3" t="s">
        <v>124</v>
      </c>
      <c r="B467" s="3">
        <v>66</v>
      </c>
      <c r="C467" s="3" t="s">
        <v>91</v>
      </c>
      <c r="D467" s="3" t="s">
        <v>125</v>
      </c>
      <c r="E467" s="3" t="s">
        <v>14</v>
      </c>
      <c r="F467" s="3" t="str">
        <f t="shared" si="0"/>
        <v>4 - Blanco/Nulo</v>
      </c>
      <c r="G467" s="3">
        <v>0</v>
      </c>
    </row>
    <row r="468" spans="1:7" ht="12.75" hidden="1" x14ac:dyDescent="0.2">
      <c r="A468" s="3" t="s">
        <v>124</v>
      </c>
      <c r="B468" s="3">
        <v>67</v>
      </c>
      <c r="C468" s="3" t="s">
        <v>155</v>
      </c>
      <c r="D468" s="3" t="s">
        <v>125</v>
      </c>
      <c r="E468" s="3" t="s">
        <v>3</v>
      </c>
      <c r="F468" s="3" t="str">
        <f t="shared" si="0"/>
        <v>1 - PJ</v>
      </c>
      <c r="G468" s="3">
        <v>10</v>
      </c>
    </row>
    <row r="469" spans="1:7" ht="12.75" hidden="1" x14ac:dyDescent="0.2">
      <c r="A469" s="3" t="s">
        <v>124</v>
      </c>
      <c r="B469" s="3">
        <v>67</v>
      </c>
      <c r="C469" s="3" t="s">
        <v>155</v>
      </c>
      <c r="D469" s="3" t="s">
        <v>125</v>
      </c>
      <c r="E469" s="3" t="s">
        <v>16</v>
      </c>
      <c r="F469" s="3" t="str">
        <f t="shared" si="0"/>
        <v>3 - Otros</v>
      </c>
      <c r="G469" s="3">
        <v>0</v>
      </c>
    </row>
    <row r="470" spans="1:7" ht="12.75" hidden="1" x14ac:dyDescent="0.2">
      <c r="A470" s="3" t="s">
        <v>124</v>
      </c>
      <c r="B470" s="3">
        <v>67</v>
      </c>
      <c r="C470" s="3" t="s">
        <v>155</v>
      </c>
      <c r="D470" s="3" t="s">
        <v>125</v>
      </c>
      <c r="E470" s="3" t="s">
        <v>129</v>
      </c>
      <c r="F470" s="3" t="str">
        <f t="shared" si="0"/>
        <v>3 - Otros</v>
      </c>
      <c r="G470" s="3">
        <v>2</v>
      </c>
    </row>
    <row r="471" spans="1:7" ht="12.75" hidden="1" x14ac:dyDescent="0.2">
      <c r="A471" s="3" t="s">
        <v>124</v>
      </c>
      <c r="B471" s="3">
        <v>67</v>
      </c>
      <c r="C471" s="3" t="s">
        <v>155</v>
      </c>
      <c r="D471" s="3" t="s">
        <v>125</v>
      </c>
      <c r="E471" s="3" t="s">
        <v>132</v>
      </c>
      <c r="F471" s="3" t="str">
        <f t="shared" si="0"/>
        <v>2 - Frepam</v>
      </c>
      <c r="G471" s="3">
        <v>2</v>
      </c>
    </row>
    <row r="472" spans="1:7" ht="12.75" hidden="1" x14ac:dyDescent="0.2">
      <c r="A472" s="3" t="s">
        <v>124</v>
      </c>
      <c r="B472" s="3">
        <v>67</v>
      </c>
      <c r="C472" s="3" t="s">
        <v>155</v>
      </c>
      <c r="D472" s="3" t="s">
        <v>125</v>
      </c>
      <c r="E472" s="3" t="s">
        <v>134</v>
      </c>
      <c r="F472" s="3" t="str">
        <f t="shared" si="0"/>
        <v>3 - Otros</v>
      </c>
      <c r="G472" s="3">
        <v>2</v>
      </c>
    </row>
    <row r="473" spans="1:7" ht="12.75" hidden="1" x14ac:dyDescent="0.2">
      <c r="A473" s="3" t="s">
        <v>124</v>
      </c>
      <c r="B473" s="3">
        <v>67</v>
      </c>
      <c r="C473" s="3" t="s">
        <v>155</v>
      </c>
      <c r="D473" s="3" t="s">
        <v>125</v>
      </c>
      <c r="E473" s="3" t="s">
        <v>126</v>
      </c>
      <c r="F473" s="3" t="str">
        <f t="shared" si="0"/>
        <v>2 - Frepam</v>
      </c>
      <c r="G473" s="3">
        <v>17</v>
      </c>
    </row>
    <row r="474" spans="1:7" ht="12.75" hidden="1" x14ac:dyDescent="0.2">
      <c r="A474" s="3" t="s">
        <v>124</v>
      </c>
      <c r="B474" s="3">
        <v>67</v>
      </c>
      <c r="C474" s="3" t="s">
        <v>155</v>
      </c>
      <c r="D474" s="3" t="s">
        <v>125</v>
      </c>
      <c r="E474" s="3" t="s">
        <v>138</v>
      </c>
      <c r="F474" s="3" t="str">
        <f t="shared" si="0"/>
        <v>4 - Blanco/Nulo</v>
      </c>
      <c r="G474" s="3">
        <v>0</v>
      </c>
    </row>
    <row r="475" spans="1:7" ht="12.75" hidden="1" x14ac:dyDescent="0.2">
      <c r="A475" s="3" t="s">
        <v>124</v>
      </c>
      <c r="B475" s="3">
        <v>67</v>
      </c>
      <c r="C475" s="3" t="s">
        <v>155</v>
      </c>
      <c r="D475" s="3" t="s">
        <v>125</v>
      </c>
      <c r="E475" s="3" t="s">
        <v>14</v>
      </c>
      <c r="F475" s="3" t="str">
        <f t="shared" si="0"/>
        <v>4 - Blanco/Nulo</v>
      </c>
      <c r="G475" s="3">
        <v>0</v>
      </c>
    </row>
    <row r="476" spans="1:7" ht="12.75" hidden="1" x14ac:dyDescent="0.2">
      <c r="A476" s="3" t="s">
        <v>124</v>
      </c>
      <c r="B476" s="3">
        <v>68</v>
      </c>
      <c r="C476" s="3" t="s">
        <v>92</v>
      </c>
      <c r="D476" s="3" t="s">
        <v>125</v>
      </c>
      <c r="E476" s="3" t="s">
        <v>3</v>
      </c>
      <c r="F476" s="3" t="str">
        <f t="shared" si="0"/>
        <v>1 - PJ</v>
      </c>
      <c r="G476" s="3">
        <v>187</v>
      </c>
    </row>
    <row r="477" spans="1:7" ht="12.75" hidden="1" x14ac:dyDescent="0.2">
      <c r="A477" s="3" t="s">
        <v>124</v>
      </c>
      <c r="B477" s="3">
        <v>68</v>
      </c>
      <c r="C477" s="3" t="s">
        <v>92</v>
      </c>
      <c r="D477" s="3" t="s">
        <v>125</v>
      </c>
      <c r="E477" s="3" t="s">
        <v>16</v>
      </c>
      <c r="F477" s="3" t="str">
        <f t="shared" si="0"/>
        <v>3 - Otros</v>
      </c>
      <c r="G477" s="3">
        <v>4</v>
      </c>
    </row>
    <row r="478" spans="1:7" ht="12.75" hidden="1" x14ac:dyDescent="0.2">
      <c r="A478" s="3" t="s">
        <v>124</v>
      </c>
      <c r="B478" s="3">
        <v>68</v>
      </c>
      <c r="C478" s="3" t="s">
        <v>92</v>
      </c>
      <c r="D478" s="3" t="s">
        <v>125</v>
      </c>
      <c r="E478" s="3" t="s">
        <v>129</v>
      </c>
      <c r="F478" s="3" t="str">
        <f t="shared" si="0"/>
        <v>3 - Otros</v>
      </c>
      <c r="G478" s="3">
        <v>14</v>
      </c>
    </row>
    <row r="479" spans="1:7" ht="12.75" hidden="1" x14ac:dyDescent="0.2">
      <c r="A479" s="3" t="s">
        <v>124</v>
      </c>
      <c r="B479" s="3">
        <v>68</v>
      </c>
      <c r="C479" s="3" t="s">
        <v>92</v>
      </c>
      <c r="D479" s="3" t="s">
        <v>125</v>
      </c>
      <c r="E479" s="3" t="s">
        <v>132</v>
      </c>
      <c r="F479" s="3" t="str">
        <f t="shared" si="0"/>
        <v>2 - Frepam</v>
      </c>
      <c r="G479" s="3">
        <v>13</v>
      </c>
    </row>
    <row r="480" spans="1:7" ht="12.75" hidden="1" x14ac:dyDescent="0.2">
      <c r="A480" s="3" t="s">
        <v>124</v>
      </c>
      <c r="B480" s="3">
        <v>68</v>
      </c>
      <c r="C480" s="3" t="s">
        <v>92</v>
      </c>
      <c r="D480" s="3" t="s">
        <v>125</v>
      </c>
      <c r="E480" s="3" t="s">
        <v>134</v>
      </c>
      <c r="F480" s="3" t="str">
        <f t="shared" si="0"/>
        <v>3 - Otros</v>
      </c>
      <c r="G480" s="3">
        <v>11</v>
      </c>
    </row>
    <row r="481" spans="1:7" ht="12.75" hidden="1" x14ac:dyDescent="0.2">
      <c r="A481" s="3" t="s">
        <v>124</v>
      </c>
      <c r="B481" s="3">
        <v>68</v>
      </c>
      <c r="C481" s="3" t="s">
        <v>92</v>
      </c>
      <c r="D481" s="3" t="s">
        <v>125</v>
      </c>
      <c r="E481" s="3" t="s">
        <v>126</v>
      </c>
      <c r="F481" s="3" t="str">
        <f t="shared" si="0"/>
        <v>2 - Frepam</v>
      </c>
      <c r="G481" s="3">
        <v>217</v>
      </c>
    </row>
    <row r="482" spans="1:7" ht="12.75" hidden="1" x14ac:dyDescent="0.2">
      <c r="A482" s="3" t="s">
        <v>124</v>
      </c>
      <c r="B482" s="3">
        <v>68</v>
      </c>
      <c r="C482" s="3" t="s">
        <v>92</v>
      </c>
      <c r="D482" s="3" t="s">
        <v>125</v>
      </c>
      <c r="E482" s="3" t="s">
        <v>138</v>
      </c>
      <c r="F482" s="3" t="str">
        <f t="shared" si="0"/>
        <v>4 - Blanco/Nulo</v>
      </c>
      <c r="G482" s="3">
        <v>5</v>
      </c>
    </row>
    <row r="483" spans="1:7" ht="12.75" hidden="1" x14ac:dyDescent="0.2">
      <c r="A483" s="3" t="s">
        <v>124</v>
      </c>
      <c r="B483" s="3">
        <v>68</v>
      </c>
      <c r="C483" s="3" t="s">
        <v>92</v>
      </c>
      <c r="D483" s="3" t="s">
        <v>125</v>
      </c>
      <c r="E483" s="3" t="s">
        <v>14</v>
      </c>
      <c r="F483" s="3" t="str">
        <f t="shared" si="0"/>
        <v>4 - Blanco/Nulo</v>
      </c>
      <c r="G483" s="3">
        <v>7</v>
      </c>
    </row>
    <row r="484" spans="1:7" ht="12.75" hidden="1" x14ac:dyDescent="0.2">
      <c r="A484" s="3" t="s">
        <v>124</v>
      </c>
      <c r="B484" s="3">
        <v>69</v>
      </c>
      <c r="C484" s="3" t="s">
        <v>93</v>
      </c>
      <c r="D484" s="3" t="s">
        <v>125</v>
      </c>
      <c r="E484" s="3" t="s">
        <v>3</v>
      </c>
      <c r="F484" s="3" t="str">
        <f t="shared" si="0"/>
        <v>1 - PJ</v>
      </c>
      <c r="G484" s="3">
        <v>729</v>
      </c>
    </row>
    <row r="485" spans="1:7" ht="12.75" hidden="1" x14ac:dyDescent="0.2">
      <c r="A485" s="3" t="s">
        <v>124</v>
      </c>
      <c r="B485" s="3">
        <v>69</v>
      </c>
      <c r="C485" s="3" t="s">
        <v>93</v>
      </c>
      <c r="D485" s="3" t="s">
        <v>125</v>
      </c>
      <c r="E485" s="3" t="s">
        <v>16</v>
      </c>
      <c r="F485" s="3" t="str">
        <f t="shared" si="0"/>
        <v>3 - Otros</v>
      </c>
      <c r="G485" s="3">
        <v>14</v>
      </c>
    </row>
    <row r="486" spans="1:7" ht="12.75" hidden="1" x14ac:dyDescent="0.2">
      <c r="A486" s="3" t="s">
        <v>124</v>
      </c>
      <c r="B486" s="3">
        <v>69</v>
      </c>
      <c r="C486" s="3" t="s">
        <v>93</v>
      </c>
      <c r="D486" s="3" t="s">
        <v>125</v>
      </c>
      <c r="E486" s="3" t="s">
        <v>129</v>
      </c>
      <c r="F486" s="3" t="str">
        <f t="shared" si="0"/>
        <v>3 - Otros</v>
      </c>
      <c r="G486" s="3">
        <v>26</v>
      </c>
    </row>
    <row r="487" spans="1:7" ht="12.75" hidden="1" x14ac:dyDescent="0.2">
      <c r="A487" s="3" t="s">
        <v>124</v>
      </c>
      <c r="B487" s="3">
        <v>69</v>
      </c>
      <c r="C487" s="3" t="s">
        <v>93</v>
      </c>
      <c r="D487" s="3" t="s">
        <v>125</v>
      </c>
      <c r="E487" s="3" t="s">
        <v>132</v>
      </c>
      <c r="F487" s="3" t="str">
        <f t="shared" si="0"/>
        <v>2 - Frepam</v>
      </c>
      <c r="G487" s="3">
        <v>23</v>
      </c>
    </row>
    <row r="488" spans="1:7" ht="12.75" hidden="1" x14ac:dyDescent="0.2">
      <c r="A488" s="3" t="s">
        <v>124</v>
      </c>
      <c r="B488" s="3">
        <v>69</v>
      </c>
      <c r="C488" s="3" t="s">
        <v>93</v>
      </c>
      <c r="D488" s="3" t="s">
        <v>125</v>
      </c>
      <c r="E488" s="3" t="s">
        <v>134</v>
      </c>
      <c r="F488" s="3" t="str">
        <f t="shared" si="0"/>
        <v>3 - Otros</v>
      </c>
      <c r="G488" s="3">
        <v>18</v>
      </c>
    </row>
    <row r="489" spans="1:7" ht="12.75" hidden="1" x14ac:dyDescent="0.2">
      <c r="A489" s="3" t="s">
        <v>124</v>
      </c>
      <c r="B489" s="3">
        <v>69</v>
      </c>
      <c r="C489" s="3" t="s">
        <v>93</v>
      </c>
      <c r="D489" s="3" t="s">
        <v>125</v>
      </c>
      <c r="E489" s="3" t="s">
        <v>126</v>
      </c>
      <c r="F489" s="3" t="str">
        <f t="shared" si="0"/>
        <v>2 - Frepam</v>
      </c>
      <c r="G489" s="3">
        <v>676</v>
      </c>
    </row>
    <row r="490" spans="1:7" ht="12.75" hidden="1" x14ac:dyDescent="0.2">
      <c r="A490" s="3" t="s">
        <v>124</v>
      </c>
      <c r="B490" s="3">
        <v>69</v>
      </c>
      <c r="C490" s="3" t="s">
        <v>93</v>
      </c>
      <c r="D490" s="3" t="s">
        <v>125</v>
      </c>
      <c r="E490" s="3" t="s">
        <v>138</v>
      </c>
      <c r="F490" s="3" t="str">
        <f t="shared" si="0"/>
        <v>4 - Blanco/Nulo</v>
      </c>
      <c r="G490" s="3">
        <v>35</v>
      </c>
    </row>
    <row r="491" spans="1:7" ht="12.75" hidden="1" x14ac:dyDescent="0.2">
      <c r="A491" s="3" t="s">
        <v>124</v>
      </c>
      <c r="B491" s="3">
        <v>69</v>
      </c>
      <c r="C491" s="3" t="s">
        <v>93</v>
      </c>
      <c r="D491" s="3" t="s">
        <v>125</v>
      </c>
      <c r="E491" s="3" t="s">
        <v>14</v>
      </c>
      <c r="F491" s="3" t="str">
        <f t="shared" si="0"/>
        <v>4 - Blanco/Nulo</v>
      </c>
      <c r="G491" s="3">
        <v>12</v>
      </c>
    </row>
    <row r="492" spans="1:7" ht="12.75" hidden="1" x14ac:dyDescent="0.2">
      <c r="A492" s="3" t="s">
        <v>124</v>
      </c>
      <c r="B492" s="3">
        <v>70</v>
      </c>
      <c r="C492" s="3" t="s">
        <v>156</v>
      </c>
      <c r="D492" s="3" t="s">
        <v>125</v>
      </c>
      <c r="E492" s="3" t="s">
        <v>3</v>
      </c>
      <c r="F492" s="3" t="str">
        <f t="shared" si="0"/>
        <v>1 - PJ</v>
      </c>
      <c r="G492" s="3">
        <v>2</v>
      </c>
    </row>
    <row r="493" spans="1:7" ht="12.75" hidden="1" x14ac:dyDescent="0.2">
      <c r="A493" s="3" t="s">
        <v>124</v>
      </c>
      <c r="B493" s="3">
        <v>70</v>
      </c>
      <c r="C493" s="3" t="s">
        <v>156</v>
      </c>
      <c r="D493" s="3" t="s">
        <v>125</v>
      </c>
      <c r="E493" s="3" t="s">
        <v>16</v>
      </c>
      <c r="F493" s="3" t="str">
        <f t="shared" si="0"/>
        <v>3 - Otros</v>
      </c>
      <c r="G493" s="3">
        <v>0</v>
      </c>
    </row>
    <row r="494" spans="1:7" ht="12.75" hidden="1" x14ac:dyDescent="0.2">
      <c r="A494" s="3" t="s">
        <v>124</v>
      </c>
      <c r="B494" s="3">
        <v>70</v>
      </c>
      <c r="C494" s="3" t="s">
        <v>156</v>
      </c>
      <c r="D494" s="3" t="s">
        <v>125</v>
      </c>
      <c r="E494" s="3" t="s">
        <v>129</v>
      </c>
      <c r="F494" s="3" t="str">
        <f t="shared" si="0"/>
        <v>3 - Otros</v>
      </c>
      <c r="G494" s="3">
        <v>0</v>
      </c>
    </row>
    <row r="495" spans="1:7" ht="12.75" hidden="1" x14ac:dyDescent="0.2">
      <c r="A495" s="3" t="s">
        <v>124</v>
      </c>
      <c r="B495" s="3">
        <v>70</v>
      </c>
      <c r="C495" s="3" t="s">
        <v>156</v>
      </c>
      <c r="D495" s="3" t="s">
        <v>125</v>
      </c>
      <c r="E495" s="3" t="s">
        <v>132</v>
      </c>
      <c r="F495" s="3" t="str">
        <f t="shared" si="0"/>
        <v>2 - Frepam</v>
      </c>
      <c r="G495" s="3">
        <v>0</v>
      </c>
    </row>
    <row r="496" spans="1:7" ht="12.75" hidden="1" x14ac:dyDescent="0.2">
      <c r="A496" s="3" t="s">
        <v>124</v>
      </c>
      <c r="B496" s="3">
        <v>70</v>
      </c>
      <c r="C496" s="3" t="s">
        <v>156</v>
      </c>
      <c r="D496" s="3" t="s">
        <v>125</v>
      </c>
      <c r="E496" s="3" t="s">
        <v>134</v>
      </c>
      <c r="F496" s="3" t="str">
        <f t="shared" si="0"/>
        <v>3 - Otros</v>
      </c>
      <c r="G496" s="3">
        <v>0</v>
      </c>
    </row>
    <row r="497" spans="1:7" ht="12.75" hidden="1" x14ac:dyDescent="0.2">
      <c r="A497" s="3" t="s">
        <v>124</v>
      </c>
      <c r="B497" s="3">
        <v>70</v>
      </c>
      <c r="C497" s="3" t="s">
        <v>156</v>
      </c>
      <c r="D497" s="3" t="s">
        <v>125</v>
      </c>
      <c r="E497" s="3" t="s">
        <v>126</v>
      </c>
      <c r="F497" s="3" t="str">
        <f t="shared" si="0"/>
        <v>2 - Frepam</v>
      </c>
      <c r="G497" s="3">
        <v>4</v>
      </c>
    </row>
    <row r="498" spans="1:7" ht="12.75" hidden="1" x14ac:dyDescent="0.2">
      <c r="A498" s="3" t="s">
        <v>124</v>
      </c>
      <c r="B498" s="3">
        <v>70</v>
      </c>
      <c r="C498" s="3" t="s">
        <v>156</v>
      </c>
      <c r="D498" s="3" t="s">
        <v>125</v>
      </c>
      <c r="E498" s="3" t="s">
        <v>138</v>
      </c>
      <c r="F498" s="3" t="str">
        <f t="shared" si="0"/>
        <v>4 - Blanco/Nulo</v>
      </c>
      <c r="G498" s="3">
        <v>0</v>
      </c>
    </row>
    <row r="499" spans="1:7" ht="12.75" hidden="1" x14ac:dyDescent="0.2">
      <c r="A499" s="3" t="s">
        <v>124</v>
      </c>
      <c r="B499" s="3">
        <v>70</v>
      </c>
      <c r="C499" s="3" t="s">
        <v>156</v>
      </c>
      <c r="D499" s="3" t="s">
        <v>125</v>
      </c>
      <c r="E499" s="3" t="s">
        <v>14</v>
      </c>
      <c r="F499" s="3" t="str">
        <f t="shared" si="0"/>
        <v>4 - Blanco/Nulo</v>
      </c>
      <c r="G499" s="3">
        <v>0</v>
      </c>
    </row>
    <row r="500" spans="1:7" ht="12.75" hidden="1" x14ac:dyDescent="0.2">
      <c r="A500" s="3" t="s">
        <v>124</v>
      </c>
      <c r="B500" s="3">
        <v>71</v>
      </c>
      <c r="C500" s="3" t="s">
        <v>94</v>
      </c>
      <c r="D500" s="3" t="s">
        <v>125</v>
      </c>
      <c r="E500" s="3" t="s">
        <v>3</v>
      </c>
      <c r="F500" s="3" t="str">
        <f t="shared" si="0"/>
        <v>1 - PJ</v>
      </c>
      <c r="G500" s="3">
        <v>577</v>
      </c>
    </row>
    <row r="501" spans="1:7" ht="12.75" hidden="1" x14ac:dyDescent="0.2">
      <c r="A501" s="3" t="s">
        <v>124</v>
      </c>
      <c r="B501" s="3">
        <v>71</v>
      </c>
      <c r="C501" s="3" t="s">
        <v>94</v>
      </c>
      <c r="D501" s="3" t="s">
        <v>125</v>
      </c>
      <c r="E501" s="3" t="s">
        <v>16</v>
      </c>
      <c r="F501" s="3" t="str">
        <f t="shared" si="0"/>
        <v>3 - Otros</v>
      </c>
      <c r="G501" s="3">
        <v>6</v>
      </c>
    </row>
    <row r="502" spans="1:7" ht="12.75" hidden="1" x14ac:dyDescent="0.2">
      <c r="A502" s="3" t="s">
        <v>124</v>
      </c>
      <c r="B502" s="3">
        <v>71</v>
      </c>
      <c r="C502" s="3" t="s">
        <v>94</v>
      </c>
      <c r="D502" s="3" t="s">
        <v>125</v>
      </c>
      <c r="E502" s="3" t="s">
        <v>129</v>
      </c>
      <c r="F502" s="3" t="str">
        <f t="shared" si="0"/>
        <v>3 - Otros</v>
      </c>
      <c r="G502" s="3">
        <v>5</v>
      </c>
    </row>
    <row r="503" spans="1:7" ht="12.75" hidden="1" x14ac:dyDescent="0.2">
      <c r="A503" s="3" t="s">
        <v>124</v>
      </c>
      <c r="B503" s="3">
        <v>71</v>
      </c>
      <c r="C503" s="3" t="s">
        <v>94</v>
      </c>
      <c r="D503" s="3" t="s">
        <v>125</v>
      </c>
      <c r="E503" s="3" t="s">
        <v>132</v>
      </c>
      <c r="F503" s="3" t="str">
        <f t="shared" si="0"/>
        <v>2 - Frepam</v>
      </c>
      <c r="G503" s="3">
        <v>5</v>
      </c>
    </row>
    <row r="504" spans="1:7" ht="12.75" hidden="1" x14ac:dyDescent="0.2">
      <c r="A504" s="3" t="s">
        <v>124</v>
      </c>
      <c r="B504" s="3">
        <v>71</v>
      </c>
      <c r="C504" s="3" t="s">
        <v>94</v>
      </c>
      <c r="D504" s="3" t="s">
        <v>125</v>
      </c>
      <c r="E504" s="3" t="s">
        <v>134</v>
      </c>
      <c r="F504" s="3" t="str">
        <f t="shared" si="0"/>
        <v>3 - Otros</v>
      </c>
      <c r="G504" s="3">
        <v>2</v>
      </c>
    </row>
    <row r="505" spans="1:7" ht="12.75" hidden="1" x14ac:dyDescent="0.2">
      <c r="A505" s="3" t="s">
        <v>124</v>
      </c>
      <c r="B505" s="3">
        <v>71</v>
      </c>
      <c r="C505" s="3" t="s">
        <v>94</v>
      </c>
      <c r="D505" s="3" t="s">
        <v>125</v>
      </c>
      <c r="E505" s="3" t="s">
        <v>126</v>
      </c>
      <c r="F505" s="3" t="str">
        <f t="shared" si="0"/>
        <v>2 - Frepam</v>
      </c>
      <c r="G505" s="3">
        <v>378</v>
      </c>
    </row>
    <row r="506" spans="1:7" ht="12.75" hidden="1" x14ac:dyDescent="0.2">
      <c r="A506" s="3" t="s">
        <v>124</v>
      </c>
      <c r="B506" s="3">
        <v>71</v>
      </c>
      <c r="C506" s="3" t="s">
        <v>94</v>
      </c>
      <c r="D506" s="3" t="s">
        <v>125</v>
      </c>
      <c r="E506" s="3" t="s">
        <v>138</v>
      </c>
      <c r="F506" s="3" t="str">
        <f t="shared" si="0"/>
        <v>4 - Blanco/Nulo</v>
      </c>
      <c r="G506" s="3">
        <v>12</v>
      </c>
    </row>
    <row r="507" spans="1:7" ht="12.75" hidden="1" x14ac:dyDescent="0.2">
      <c r="A507" s="3" t="s">
        <v>124</v>
      </c>
      <c r="B507" s="3">
        <v>71</v>
      </c>
      <c r="C507" s="3" t="s">
        <v>94</v>
      </c>
      <c r="D507" s="3" t="s">
        <v>125</v>
      </c>
      <c r="E507" s="3" t="s">
        <v>14</v>
      </c>
      <c r="F507" s="3" t="str">
        <f t="shared" si="0"/>
        <v>4 - Blanco/Nulo</v>
      </c>
      <c r="G507" s="3">
        <v>13</v>
      </c>
    </row>
    <row r="508" spans="1:7" ht="12.75" hidden="1" x14ac:dyDescent="0.2">
      <c r="A508" s="3" t="s">
        <v>124</v>
      </c>
      <c r="B508" s="3">
        <v>72</v>
      </c>
      <c r="C508" s="3" t="s">
        <v>95</v>
      </c>
      <c r="D508" s="3" t="s">
        <v>125</v>
      </c>
      <c r="E508" s="3" t="s">
        <v>3</v>
      </c>
      <c r="F508" s="3" t="str">
        <f t="shared" si="0"/>
        <v>1 - PJ</v>
      </c>
      <c r="G508" s="3">
        <v>618</v>
      </c>
    </row>
    <row r="509" spans="1:7" ht="12.75" hidden="1" x14ac:dyDescent="0.2">
      <c r="A509" s="3" t="s">
        <v>124</v>
      </c>
      <c r="B509" s="3">
        <v>72</v>
      </c>
      <c r="C509" s="3" t="s">
        <v>95</v>
      </c>
      <c r="D509" s="3" t="s">
        <v>125</v>
      </c>
      <c r="E509" s="3" t="s">
        <v>16</v>
      </c>
      <c r="F509" s="3" t="str">
        <f t="shared" si="0"/>
        <v>3 - Otros</v>
      </c>
      <c r="G509" s="3">
        <v>16</v>
      </c>
    </row>
    <row r="510" spans="1:7" ht="12.75" hidden="1" x14ac:dyDescent="0.2">
      <c r="A510" s="3" t="s">
        <v>124</v>
      </c>
      <c r="B510" s="3">
        <v>72</v>
      </c>
      <c r="C510" s="3" t="s">
        <v>95</v>
      </c>
      <c r="D510" s="3" t="s">
        <v>125</v>
      </c>
      <c r="E510" s="3" t="s">
        <v>129</v>
      </c>
      <c r="F510" s="3" t="str">
        <f t="shared" si="0"/>
        <v>3 - Otros</v>
      </c>
      <c r="G510" s="3">
        <v>17</v>
      </c>
    </row>
    <row r="511" spans="1:7" ht="12.75" hidden="1" x14ac:dyDescent="0.2">
      <c r="A511" s="3" t="s">
        <v>124</v>
      </c>
      <c r="B511" s="3">
        <v>72</v>
      </c>
      <c r="C511" s="3" t="s">
        <v>95</v>
      </c>
      <c r="D511" s="3" t="s">
        <v>125</v>
      </c>
      <c r="E511" s="3" t="s">
        <v>132</v>
      </c>
      <c r="F511" s="3" t="str">
        <f t="shared" si="0"/>
        <v>2 - Frepam</v>
      </c>
      <c r="G511" s="3">
        <v>43</v>
      </c>
    </row>
    <row r="512" spans="1:7" ht="12.75" hidden="1" x14ac:dyDescent="0.2">
      <c r="A512" s="3" t="s">
        <v>124</v>
      </c>
      <c r="B512" s="3">
        <v>72</v>
      </c>
      <c r="C512" s="3" t="s">
        <v>95</v>
      </c>
      <c r="D512" s="3" t="s">
        <v>125</v>
      </c>
      <c r="E512" s="3" t="s">
        <v>134</v>
      </c>
      <c r="F512" s="3" t="str">
        <f t="shared" si="0"/>
        <v>3 - Otros</v>
      </c>
      <c r="G512" s="3">
        <v>22</v>
      </c>
    </row>
    <row r="513" spans="1:7" ht="12.75" hidden="1" x14ac:dyDescent="0.2">
      <c r="A513" s="3" t="s">
        <v>124</v>
      </c>
      <c r="B513" s="3">
        <v>72</v>
      </c>
      <c r="C513" s="3" t="s">
        <v>95</v>
      </c>
      <c r="D513" s="3" t="s">
        <v>125</v>
      </c>
      <c r="E513" s="3" t="s">
        <v>126</v>
      </c>
      <c r="F513" s="3" t="str">
        <f t="shared" si="0"/>
        <v>2 - Frepam</v>
      </c>
      <c r="G513" s="3">
        <v>842</v>
      </c>
    </row>
    <row r="514" spans="1:7" ht="12.75" hidden="1" x14ac:dyDescent="0.2">
      <c r="A514" s="3" t="s">
        <v>124</v>
      </c>
      <c r="B514" s="3">
        <v>72</v>
      </c>
      <c r="C514" s="3" t="s">
        <v>95</v>
      </c>
      <c r="D514" s="3" t="s">
        <v>125</v>
      </c>
      <c r="E514" s="3" t="s">
        <v>138</v>
      </c>
      <c r="F514" s="3" t="str">
        <f t="shared" si="0"/>
        <v>4 - Blanco/Nulo</v>
      </c>
      <c r="G514" s="3">
        <v>18</v>
      </c>
    </row>
    <row r="515" spans="1:7" ht="12.75" hidden="1" x14ac:dyDescent="0.2">
      <c r="A515" s="3" t="s">
        <v>124</v>
      </c>
      <c r="B515" s="3">
        <v>72</v>
      </c>
      <c r="C515" s="3" t="s">
        <v>95</v>
      </c>
      <c r="D515" s="3" t="s">
        <v>125</v>
      </c>
      <c r="E515" s="3" t="s">
        <v>14</v>
      </c>
      <c r="F515" s="3" t="str">
        <f t="shared" si="0"/>
        <v>4 - Blanco/Nulo</v>
      </c>
      <c r="G515" s="3">
        <v>28</v>
      </c>
    </row>
    <row r="516" spans="1:7" ht="12.75" hidden="1" x14ac:dyDescent="0.2">
      <c r="A516" s="3" t="s">
        <v>124</v>
      </c>
      <c r="B516" s="3">
        <v>73</v>
      </c>
      <c r="C516" s="3" t="s">
        <v>96</v>
      </c>
      <c r="D516" s="3" t="s">
        <v>125</v>
      </c>
      <c r="E516" s="3" t="s">
        <v>3</v>
      </c>
      <c r="F516" s="3" t="str">
        <f t="shared" si="0"/>
        <v>1 - PJ</v>
      </c>
      <c r="G516" s="3">
        <v>93</v>
      </c>
    </row>
    <row r="517" spans="1:7" ht="12.75" hidden="1" x14ac:dyDescent="0.2">
      <c r="A517" s="3" t="s">
        <v>124</v>
      </c>
      <c r="B517" s="3">
        <v>73</v>
      </c>
      <c r="C517" s="3" t="s">
        <v>96</v>
      </c>
      <c r="D517" s="3" t="s">
        <v>125</v>
      </c>
      <c r="E517" s="3" t="s">
        <v>16</v>
      </c>
      <c r="F517" s="3" t="str">
        <f t="shared" si="0"/>
        <v>3 - Otros</v>
      </c>
      <c r="G517" s="3">
        <v>1</v>
      </c>
    </row>
    <row r="518" spans="1:7" ht="12.75" hidden="1" x14ac:dyDescent="0.2">
      <c r="A518" s="3" t="s">
        <v>124</v>
      </c>
      <c r="B518" s="3">
        <v>73</v>
      </c>
      <c r="C518" s="3" t="s">
        <v>96</v>
      </c>
      <c r="D518" s="3" t="s">
        <v>125</v>
      </c>
      <c r="E518" s="3" t="s">
        <v>129</v>
      </c>
      <c r="F518" s="3" t="str">
        <f t="shared" si="0"/>
        <v>3 - Otros</v>
      </c>
      <c r="G518" s="3">
        <v>2</v>
      </c>
    </row>
    <row r="519" spans="1:7" ht="12.75" hidden="1" x14ac:dyDescent="0.2">
      <c r="A519" s="3" t="s">
        <v>124</v>
      </c>
      <c r="B519" s="3">
        <v>73</v>
      </c>
      <c r="C519" s="3" t="s">
        <v>96</v>
      </c>
      <c r="D519" s="3" t="s">
        <v>125</v>
      </c>
      <c r="E519" s="3" t="s">
        <v>132</v>
      </c>
      <c r="F519" s="3" t="str">
        <f t="shared" si="0"/>
        <v>2 - Frepam</v>
      </c>
      <c r="G519" s="3">
        <v>3</v>
      </c>
    </row>
    <row r="520" spans="1:7" ht="12.75" hidden="1" x14ac:dyDescent="0.2">
      <c r="A520" s="3" t="s">
        <v>124</v>
      </c>
      <c r="B520" s="3">
        <v>73</v>
      </c>
      <c r="C520" s="3" t="s">
        <v>96</v>
      </c>
      <c r="D520" s="3" t="s">
        <v>125</v>
      </c>
      <c r="E520" s="3" t="s">
        <v>134</v>
      </c>
      <c r="F520" s="3" t="str">
        <f t="shared" si="0"/>
        <v>3 - Otros</v>
      </c>
      <c r="G520" s="3">
        <v>1</v>
      </c>
    </row>
    <row r="521" spans="1:7" ht="12.75" hidden="1" x14ac:dyDescent="0.2">
      <c r="A521" s="3" t="s">
        <v>124</v>
      </c>
      <c r="B521" s="3">
        <v>73</v>
      </c>
      <c r="C521" s="3" t="s">
        <v>96</v>
      </c>
      <c r="D521" s="3" t="s">
        <v>125</v>
      </c>
      <c r="E521" s="3" t="s">
        <v>126</v>
      </c>
      <c r="F521" s="3" t="str">
        <f t="shared" si="0"/>
        <v>2 - Frepam</v>
      </c>
      <c r="G521" s="3">
        <v>67</v>
      </c>
    </row>
    <row r="522" spans="1:7" ht="12.75" hidden="1" x14ac:dyDescent="0.2">
      <c r="A522" s="3" t="s">
        <v>124</v>
      </c>
      <c r="B522" s="3">
        <v>73</v>
      </c>
      <c r="C522" s="3" t="s">
        <v>96</v>
      </c>
      <c r="D522" s="3" t="s">
        <v>125</v>
      </c>
      <c r="E522" s="3" t="s">
        <v>138</v>
      </c>
      <c r="F522" s="3" t="str">
        <f t="shared" si="0"/>
        <v>4 - Blanco/Nulo</v>
      </c>
      <c r="G522" s="3">
        <v>0</v>
      </c>
    </row>
    <row r="523" spans="1:7" ht="12.75" hidden="1" x14ac:dyDescent="0.2">
      <c r="A523" s="3" t="s">
        <v>124</v>
      </c>
      <c r="B523" s="3">
        <v>73</v>
      </c>
      <c r="C523" s="3" t="s">
        <v>96</v>
      </c>
      <c r="D523" s="3" t="s">
        <v>125</v>
      </c>
      <c r="E523" s="3" t="s">
        <v>14</v>
      </c>
      <c r="F523" s="3" t="str">
        <f t="shared" si="0"/>
        <v>4 - Blanco/Nulo</v>
      </c>
      <c r="G523" s="3">
        <v>5</v>
      </c>
    </row>
    <row r="524" spans="1:7" ht="12.75" hidden="1" x14ac:dyDescent="0.2">
      <c r="A524" s="3" t="s">
        <v>124</v>
      </c>
      <c r="B524" s="3">
        <v>74</v>
      </c>
      <c r="C524" s="3" t="s">
        <v>97</v>
      </c>
      <c r="D524" s="3" t="s">
        <v>125</v>
      </c>
      <c r="E524" s="3" t="s">
        <v>3</v>
      </c>
      <c r="F524" s="3" t="str">
        <f t="shared" si="0"/>
        <v>1 - PJ</v>
      </c>
      <c r="G524" s="3">
        <v>212</v>
      </c>
    </row>
    <row r="525" spans="1:7" ht="12.75" hidden="1" x14ac:dyDescent="0.2">
      <c r="A525" s="3" t="s">
        <v>124</v>
      </c>
      <c r="B525" s="3">
        <v>74</v>
      </c>
      <c r="C525" s="3" t="s">
        <v>97</v>
      </c>
      <c r="D525" s="3" t="s">
        <v>125</v>
      </c>
      <c r="E525" s="3" t="s">
        <v>16</v>
      </c>
      <c r="F525" s="3" t="str">
        <f t="shared" si="0"/>
        <v>3 - Otros</v>
      </c>
      <c r="G525" s="3">
        <v>1</v>
      </c>
    </row>
    <row r="526" spans="1:7" ht="12.75" hidden="1" x14ac:dyDescent="0.2">
      <c r="A526" s="3" t="s">
        <v>124</v>
      </c>
      <c r="B526" s="3">
        <v>74</v>
      </c>
      <c r="C526" s="3" t="s">
        <v>97</v>
      </c>
      <c r="D526" s="3" t="s">
        <v>125</v>
      </c>
      <c r="E526" s="3" t="s">
        <v>129</v>
      </c>
      <c r="F526" s="3" t="str">
        <f t="shared" si="0"/>
        <v>3 - Otros</v>
      </c>
      <c r="G526" s="3">
        <v>2</v>
      </c>
    </row>
    <row r="527" spans="1:7" ht="12.75" hidden="1" x14ac:dyDescent="0.2">
      <c r="A527" s="3" t="s">
        <v>124</v>
      </c>
      <c r="B527" s="3">
        <v>74</v>
      </c>
      <c r="C527" s="3" t="s">
        <v>97</v>
      </c>
      <c r="D527" s="3" t="s">
        <v>125</v>
      </c>
      <c r="E527" s="3" t="s">
        <v>132</v>
      </c>
      <c r="F527" s="3" t="str">
        <f t="shared" si="0"/>
        <v>2 - Frepam</v>
      </c>
      <c r="G527" s="3">
        <v>4</v>
      </c>
    </row>
    <row r="528" spans="1:7" ht="12.75" hidden="1" x14ac:dyDescent="0.2">
      <c r="A528" s="3" t="s">
        <v>124</v>
      </c>
      <c r="B528" s="3">
        <v>74</v>
      </c>
      <c r="C528" s="3" t="s">
        <v>97</v>
      </c>
      <c r="D528" s="3" t="s">
        <v>125</v>
      </c>
      <c r="E528" s="3" t="s">
        <v>134</v>
      </c>
      <c r="F528" s="3" t="str">
        <f t="shared" si="0"/>
        <v>3 - Otros</v>
      </c>
      <c r="G528" s="3">
        <v>5</v>
      </c>
    </row>
    <row r="529" spans="1:7" ht="12.75" hidden="1" x14ac:dyDescent="0.2">
      <c r="A529" s="3" t="s">
        <v>124</v>
      </c>
      <c r="B529" s="3">
        <v>74</v>
      </c>
      <c r="C529" s="3" t="s">
        <v>97</v>
      </c>
      <c r="D529" s="3" t="s">
        <v>125</v>
      </c>
      <c r="E529" s="3" t="s">
        <v>126</v>
      </c>
      <c r="F529" s="3" t="str">
        <f t="shared" si="0"/>
        <v>2 - Frepam</v>
      </c>
      <c r="G529" s="3">
        <v>97</v>
      </c>
    </row>
    <row r="530" spans="1:7" ht="12.75" hidden="1" x14ac:dyDescent="0.2">
      <c r="A530" s="3" t="s">
        <v>124</v>
      </c>
      <c r="B530" s="3">
        <v>74</v>
      </c>
      <c r="C530" s="3" t="s">
        <v>97</v>
      </c>
      <c r="D530" s="3" t="s">
        <v>125</v>
      </c>
      <c r="E530" s="3" t="s">
        <v>138</v>
      </c>
      <c r="F530" s="3" t="str">
        <f t="shared" si="0"/>
        <v>4 - Blanco/Nulo</v>
      </c>
      <c r="G530" s="3">
        <v>5</v>
      </c>
    </row>
    <row r="531" spans="1:7" ht="12.75" hidden="1" x14ac:dyDescent="0.2">
      <c r="A531" s="3" t="s">
        <v>124</v>
      </c>
      <c r="B531" s="3">
        <v>74</v>
      </c>
      <c r="C531" s="3" t="s">
        <v>97</v>
      </c>
      <c r="D531" s="3" t="s">
        <v>125</v>
      </c>
      <c r="E531" s="3" t="s">
        <v>14</v>
      </c>
      <c r="F531" s="3" t="str">
        <f t="shared" si="0"/>
        <v>4 - Blanco/Nulo</v>
      </c>
      <c r="G531" s="3">
        <v>7</v>
      </c>
    </row>
    <row r="532" spans="1:7" ht="12.75" hidden="1" x14ac:dyDescent="0.2">
      <c r="A532" s="3" t="s">
        <v>124</v>
      </c>
      <c r="B532" s="3">
        <v>75</v>
      </c>
      <c r="C532" s="3" t="s">
        <v>98</v>
      </c>
      <c r="D532" s="3" t="s">
        <v>125</v>
      </c>
      <c r="E532" s="3" t="s">
        <v>3</v>
      </c>
      <c r="F532" s="3" t="str">
        <f t="shared" si="0"/>
        <v>1 - PJ</v>
      </c>
      <c r="G532" s="3">
        <v>1217</v>
      </c>
    </row>
    <row r="533" spans="1:7" ht="12.75" hidden="1" x14ac:dyDescent="0.2">
      <c r="A533" s="3" t="s">
        <v>124</v>
      </c>
      <c r="B533" s="3">
        <v>75</v>
      </c>
      <c r="C533" s="3" t="s">
        <v>98</v>
      </c>
      <c r="D533" s="3" t="s">
        <v>125</v>
      </c>
      <c r="E533" s="3" t="s">
        <v>16</v>
      </c>
      <c r="F533" s="3" t="str">
        <f t="shared" si="0"/>
        <v>3 - Otros</v>
      </c>
      <c r="G533" s="3">
        <v>32</v>
      </c>
    </row>
    <row r="534" spans="1:7" ht="12.75" hidden="1" x14ac:dyDescent="0.2">
      <c r="A534" s="3" t="s">
        <v>124</v>
      </c>
      <c r="B534" s="3">
        <v>75</v>
      </c>
      <c r="C534" s="3" t="s">
        <v>98</v>
      </c>
      <c r="D534" s="3" t="s">
        <v>125</v>
      </c>
      <c r="E534" s="3" t="s">
        <v>129</v>
      </c>
      <c r="F534" s="3" t="str">
        <f t="shared" si="0"/>
        <v>3 - Otros</v>
      </c>
      <c r="G534" s="3">
        <v>23</v>
      </c>
    </row>
    <row r="535" spans="1:7" ht="12.75" hidden="1" x14ac:dyDescent="0.2">
      <c r="A535" s="3" t="s">
        <v>124</v>
      </c>
      <c r="B535" s="3">
        <v>75</v>
      </c>
      <c r="C535" s="3" t="s">
        <v>98</v>
      </c>
      <c r="D535" s="3" t="s">
        <v>125</v>
      </c>
      <c r="E535" s="3" t="s">
        <v>132</v>
      </c>
      <c r="F535" s="3" t="str">
        <f t="shared" si="0"/>
        <v>2 - Frepam</v>
      </c>
      <c r="G535" s="3">
        <v>34</v>
      </c>
    </row>
    <row r="536" spans="1:7" ht="12.75" hidden="1" x14ac:dyDescent="0.2">
      <c r="A536" s="3" t="s">
        <v>124</v>
      </c>
      <c r="B536" s="3">
        <v>75</v>
      </c>
      <c r="C536" s="3" t="s">
        <v>98</v>
      </c>
      <c r="D536" s="3" t="s">
        <v>125</v>
      </c>
      <c r="E536" s="3" t="s">
        <v>134</v>
      </c>
      <c r="F536" s="3" t="str">
        <f t="shared" si="0"/>
        <v>3 - Otros</v>
      </c>
      <c r="G536" s="3">
        <v>26</v>
      </c>
    </row>
    <row r="537" spans="1:7" ht="12.75" hidden="1" x14ac:dyDescent="0.2">
      <c r="A537" s="3" t="s">
        <v>124</v>
      </c>
      <c r="B537" s="3">
        <v>75</v>
      </c>
      <c r="C537" s="3" t="s">
        <v>98</v>
      </c>
      <c r="D537" s="3" t="s">
        <v>125</v>
      </c>
      <c r="E537" s="3" t="s">
        <v>126</v>
      </c>
      <c r="F537" s="3" t="str">
        <f t="shared" si="0"/>
        <v>2 - Frepam</v>
      </c>
      <c r="G537" s="3">
        <v>1051</v>
      </c>
    </row>
    <row r="538" spans="1:7" ht="12.75" hidden="1" x14ac:dyDescent="0.2">
      <c r="A538" s="3" t="s">
        <v>124</v>
      </c>
      <c r="B538" s="3">
        <v>75</v>
      </c>
      <c r="C538" s="3" t="s">
        <v>98</v>
      </c>
      <c r="D538" s="3" t="s">
        <v>125</v>
      </c>
      <c r="E538" s="3" t="s">
        <v>138</v>
      </c>
      <c r="F538" s="3" t="str">
        <f t="shared" si="0"/>
        <v>4 - Blanco/Nulo</v>
      </c>
      <c r="G538" s="3">
        <v>36</v>
      </c>
    </row>
    <row r="539" spans="1:7" ht="12.75" hidden="1" x14ac:dyDescent="0.2">
      <c r="A539" s="3" t="s">
        <v>124</v>
      </c>
      <c r="B539" s="3">
        <v>75</v>
      </c>
      <c r="C539" s="3" t="s">
        <v>98</v>
      </c>
      <c r="D539" s="3" t="s">
        <v>125</v>
      </c>
      <c r="E539" s="3" t="s">
        <v>14</v>
      </c>
      <c r="F539" s="3" t="str">
        <f t="shared" si="0"/>
        <v>4 - Blanco/Nulo</v>
      </c>
      <c r="G539" s="3">
        <v>26</v>
      </c>
    </row>
    <row r="540" spans="1:7" ht="12.75" hidden="1" x14ac:dyDescent="0.2">
      <c r="A540" s="3" t="s">
        <v>124</v>
      </c>
      <c r="B540" s="3">
        <v>76</v>
      </c>
      <c r="C540" s="3" t="s">
        <v>99</v>
      </c>
      <c r="D540" s="3" t="s">
        <v>125</v>
      </c>
      <c r="E540" s="3" t="s">
        <v>3</v>
      </c>
      <c r="F540" s="3" t="str">
        <f t="shared" si="0"/>
        <v>1 - PJ</v>
      </c>
      <c r="G540" s="3">
        <v>116</v>
      </c>
    </row>
    <row r="541" spans="1:7" ht="12.75" hidden="1" x14ac:dyDescent="0.2">
      <c r="A541" s="3" t="s">
        <v>124</v>
      </c>
      <c r="B541" s="3">
        <v>76</v>
      </c>
      <c r="C541" s="3" t="s">
        <v>99</v>
      </c>
      <c r="D541" s="3" t="s">
        <v>125</v>
      </c>
      <c r="E541" s="3" t="s">
        <v>16</v>
      </c>
      <c r="F541" s="3" t="str">
        <f t="shared" si="0"/>
        <v>3 - Otros</v>
      </c>
      <c r="G541" s="3">
        <v>3</v>
      </c>
    </row>
    <row r="542" spans="1:7" ht="12.75" hidden="1" x14ac:dyDescent="0.2">
      <c r="A542" s="3" t="s">
        <v>124</v>
      </c>
      <c r="B542" s="3">
        <v>76</v>
      </c>
      <c r="C542" s="3" t="s">
        <v>99</v>
      </c>
      <c r="D542" s="3" t="s">
        <v>125</v>
      </c>
      <c r="E542" s="3" t="s">
        <v>129</v>
      </c>
      <c r="F542" s="3" t="str">
        <f t="shared" si="0"/>
        <v>3 - Otros</v>
      </c>
      <c r="G542" s="3">
        <v>4</v>
      </c>
    </row>
    <row r="543" spans="1:7" ht="12.75" hidden="1" x14ac:dyDescent="0.2">
      <c r="A543" s="3" t="s">
        <v>124</v>
      </c>
      <c r="B543" s="3">
        <v>76</v>
      </c>
      <c r="C543" s="3" t="s">
        <v>99</v>
      </c>
      <c r="D543" s="3" t="s">
        <v>125</v>
      </c>
      <c r="E543" s="3" t="s">
        <v>132</v>
      </c>
      <c r="F543" s="3" t="str">
        <f t="shared" si="0"/>
        <v>2 - Frepam</v>
      </c>
      <c r="G543" s="3">
        <v>4</v>
      </c>
    </row>
    <row r="544" spans="1:7" ht="12.75" hidden="1" x14ac:dyDescent="0.2">
      <c r="A544" s="3" t="s">
        <v>124</v>
      </c>
      <c r="B544" s="3">
        <v>76</v>
      </c>
      <c r="C544" s="3" t="s">
        <v>99</v>
      </c>
      <c r="D544" s="3" t="s">
        <v>125</v>
      </c>
      <c r="E544" s="3" t="s">
        <v>134</v>
      </c>
      <c r="F544" s="3" t="str">
        <f t="shared" si="0"/>
        <v>3 - Otros</v>
      </c>
      <c r="G544" s="3">
        <v>4</v>
      </c>
    </row>
    <row r="545" spans="1:7" ht="12.75" hidden="1" x14ac:dyDescent="0.2">
      <c r="A545" s="3" t="s">
        <v>124</v>
      </c>
      <c r="B545" s="3">
        <v>76</v>
      </c>
      <c r="C545" s="3" t="s">
        <v>99</v>
      </c>
      <c r="D545" s="3" t="s">
        <v>125</v>
      </c>
      <c r="E545" s="3" t="s">
        <v>126</v>
      </c>
      <c r="F545" s="3" t="str">
        <f t="shared" si="0"/>
        <v>2 - Frepam</v>
      </c>
      <c r="G545" s="3">
        <v>101</v>
      </c>
    </row>
    <row r="546" spans="1:7" ht="12.75" hidden="1" x14ac:dyDescent="0.2">
      <c r="A546" s="3" t="s">
        <v>124</v>
      </c>
      <c r="B546" s="3">
        <v>76</v>
      </c>
      <c r="C546" s="3" t="s">
        <v>99</v>
      </c>
      <c r="D546" s="3" t="s">
        <v>125</v>
      </c>
      <c r="E546" s="3" t="s">
        <v>138</v>
      </c>
      <c r="F546" s="3" t="str">
        <f t="shared" si="0"/>
        <v>4 - Blanco/Nulo</v>
      </c>
      <c r="G546" s="3">
        <v>6</v>
      </c>
    </row>
    <row r="547" spans="1:7" ht="12.75" hidden="1" x14ac:dyDescent="0.2">
      <c r="A547" s="3" t="s">
        <v>124</v>
      </c>
      <c r="B547" s="3">
        <v>76</v>
      </c>
      <c r="C547" s="3" t="s">
        <v>99</v>
      </c>
      <c r="D547" s="3" t="s">
        <v>125</v>
      </c>
      <c r="E547" s="3" t="s">
        <v>14</v>
      </c>
      <c r="F547" s="3" t="str">
        <f t="shared" si="0"/>
        <v>4 - Blanco/Nulo</v>
      </c>
      <c r="G547" s="3">
        <v>1</v>
      </c>
    </row>
    <row r="548" spans="1:7" ht="12.75" hidden="1" x14ac:dyDescent="0.2">
      <c r="A548" s="3" t="s">
        <v>124</v>
      </c>
      <c r="B548" s="3">
        <v>77</v>
      </c>
      <c r="C548" s="3" t="s">
        <v>100</v>
      </c>
      <c r="D548" s="3" t="s">
        <v>125</v>
      </c>
      <c r="E548" s="3" t="s">
        <v>3</v>
      </c>
      <c r="F548" s="3" t="str">
        <f t="shared" si="0"/>
        <v>1 - PJ</v>
      </c>
      <c r="G548" s="3">
        <v>388</v>
      </c>
    </row>
    <row r="549" spans="1:7" ht="12.75" hidden="1" x14ac:dyDescent="0.2">
      <c r="A549" s="3" t="s">
        <v>124</v>
      </c>
      <c r="B549" s="3">
        <v>77</v>
      </c>
      <c r="C549" s="3" t="s">
        <v>100</v>
      </c>
      <c r="D549" s="3" t="s">
        <v>125</v>
      </c>
      <c r="E549" s="3" t="s">
        <v>16</v>
      </c>
      <c r="F549" s="3" t="str">
        <f t="shared" si="0"/>
        <v>3 - Otros</v>
      </c>
      <c r="G549" s="3">
        <v>10</v>
      </c>
    </row>
    <row r="550" spans="1:7" ht="12.75" hidden="1" x14ac:dyDescent="0.2">
      <c r="A550" s="3" t="s">
        <v>124</v>
      </c>
      <c r="B550" s="3">
        <v>77</v>
      </c>
      <c r="C550" s="3" t="s">
        <v>100</v>
      </c>
      <c r="D550" s="3" t="s">
        <v>125</v>
      </c>
      <c r="E550" s="3" t="s">
        <v>129</v>
      </c>
      <c r="F550" s="3" t="str">
        <f t="shared" si="0"/>
        <v>3 - Otros</v>
      </c>
      <c r="G550" s="3">
        <v>9</v>
      </c>
    </row>
    <row r="551" spans="1:7" ht="12.75" hidden="1" x14ac:dyDescent="0.2">
      <c r="A551" s="3" t="s">
        <v>124</v>
      </c>
      <c r="B551" s="3">
        <v>77</v>
      </c>
      <c r="C551" s="3" t="s">
        <v>100</v>
      </c>
      <c r="D551" s="3" t="s">
        <v>125</v>
      </c>
      <c r="E551" s="3" t="s">
        <v>132</v>
      </c>
      <c r="F551" s="3" t="str">
        <f t="shared" si="0"/>
        <v>2 - Frepam</v>
      </c>
      <c r="G551" s="3">
        <v>46</v>
      </c>
    </row>
    <row r="552" spans="1:7" ht="12.75" hidden="1" x14ac:dyDescent="0.2">
      <c r="A552" s="3" t="s">
        <v>124</v>
      </c>
      <c r="B552" s="3">
        <v>77</v>
      </c>
      <c r="C552" s="3" t="s">
        <v>100</v>
      </c>
      <c r="D552" s="3" t="s">
        <v>125</v>
      </c>
      <c r="E552" s="3" t="s">
        <v>134</v>
      </c>
      <c r="F552" s="3" t="str">
        <f t="shared" si="0"/>
        <v>3 - Otros</v>
      </c>
      <c r="G552" s="3">
        <v>6</v>
      </c>
    </row>
    <row r="553" spans="1:7" ht="12.75" hidden="1" x14ac:dyDescent="0.2">
      <c r="A553" s="3" t="s">
        <v>124</v>
      </c>
      <c r="B553" s="3">
        <v>77</v>
      </c>
      <c r="C553" s="3" t="s">
        <v>100</v>
      </c>
      <c r="D553" s="3" t="s">
        <v>125</v>
      </c>
      <c r="E553" s="3" t="s">
        <v>126</v>
      </c>
      <c r="F553" s="3" t="str">
        <f t="shared" si="0"/>
        <v>2 - Frepam</v>
      </c>
      <c r="G553" s="3">
        <v>557</v>
      </c>
    </row>
    <row r="554" spans="1:7" ht="12.75" hidden="1" x14ac:dyDescent="0.2">
      <c r="A554" s="3" t="s">
        <v>124</v>
      </c>
      <c r="B554" s="3">
        <v>77</v>
      </c>
      <c r="C554" s="3" t="s">
        <v>100</v>
      </c>
      <c r="D554" s="3" t="s">
        <v>125</v>
      </c>
      <c r="E554" s="3" t="s">
        <v>138</v>
      </c>
      <c r="F554" s="3" t="str">
        <f t="shared" si="0"/>
        <v>4 - Blanco/Nulo</v>
      </c>
      <c r="G554" s="3">
        <v>9</v>
      </c>
    </row>
    <row r="555" spans="1:7" ht="12.75" hidden="1" x14ac:dyDescent="0.2">
      <c r="A555" s="3" t="s">
        <v>124</v>
      </c>
      <c r="B555" s="3">
        <v>77</v>
      </c>
      <c r="C555" s="3" t="s">
        <v>100</v>
      </c>
      <c r="D555" s="3" t="s">
        <v>125</v>
      </c>
      <c r="E555" s="3" t="s">
        <v>14</v>
      </c>
      <c r="F555" s="3" t="str">
        <f t="shared" si="0"/>
        <v>4 - Blanco/Nulo</v>
      </c>
      <c r="G555" s="3">
        <v>37</v>
      </c>
    </row>
    <row r="556" spans="1:7" ht="12.75" hidden="1" x14ac:dyDescent="0.2">
      <c r="A556" s="3" t="s">
        <v>124</v>
      </c>
      <c r="B556" s="3">
        <v>78</v>
      </c>
      <c r="C556" s="3" t="s">
        <v>101</v>
      </c>
      <c r="D556" s="3" t="s">
        <v>125</v>
      </c>
      <c r="E556" s="3" t="s">
        <v>3</v>
      </c>
      <c r="F556" s="3" t="str">
        <f t="shared" si="0"/>
        <v>1 - PJ</v>
      </c>
      <c r="G556" s="3">
        <v>71</v>
      </c>
    </row>
    <row r="557" spans="1:7" ht="12.75" hidden="1" x14ac:dyDescent="0.2">
      <c r="A557" s="3" t="s">
        <v>124</v>
      </c>
      <c r="B557" s="3">
        <v>78</v>
      </c>
      <c r="C557" s="3" t="s">
        <v>101</v>
      </c>
      <c r="D557" s="3" t="s">
        <v>125</v>
      </c>
      <c r="E557" s="3" t="s">
        <v>16</v>
      </c>
      <c r="F557" s="3" t="str">
        <f t="shared" si="0"/>
        <v>3 - Otros</v>
      </c>
      <c r="G557" s="3">
        <v>2</v>
      </c>
    </row>
    <row r="558" spans="1:7" ht="12.75" hidden="1" x14ac:dyDescent="0.2">
      <c r="A558" s="3" t="s">
        <v>124</v>
      </c>
      <c r="B558" s="3">
        <v>78</v>
      </c>
      <c r="C558" s="3" t="s">
        <v>101</v>
      </c>
      <c r="D558" s="3" t="s">
        <v>125</v>
      </c>
      <c r="E558" s="3" t="s">
        <v>129</v>
      </c>
      <c r="F558" s="3" t="str">
        <f t="shared" si="0"/>
        <v>3 - Otros</v>
      </c>
      <c r="G558" s="3">
        <v>4</v>
      </c>
    </row>
    <row r="559" spans="1:7" ht="12.75" hidden="1" x14ac:dyDescent="0.2">
      <c r="A559" s="3" t="s">
        <v>124</v>
      </c>
      <c r="B559" s="3">
        <v>78</v>
      </c>
      <c r="C559" s="3" t="s">
        <v>101</v>
      </c>
      <c r="D559" s="3" t="s">
        <v>125</v>
      </c>
      <c r="E559" s="3" t="s">
        <v>132</v>
      </c>
      <c r="F559" s="3" t="str">
        <f t="shared" si="0"/>
        <v>2 - Frepam</v>
      </c>
      <c r="G559" s="3">
        <v>1</v>
      </c>
    </row>
    <row r="560" spans="1:7" ht="12.75" hidden="1" x14ac:dyDescent="0.2">
      <c r="A560" s="3" t="s">
        <v>124</v>
      </c>
      <c r="B560" s="3">
        <v>78</v>
      </c>
      <c r="C560" s="3" t="s">
        <v>101</v>
      </c>
      <c r="D560" s="3" t="s">
        <v>125</v>
      </c>
      <c r="E560" s="3" t="s">
        <v>134</v>
      </c>
      <c r="F560" s="3" t="str">
        <f t="shared" si="0"/>
        <v>3 - Otros</v>
      </c>
      <c r="G560" s="3">
        <v>5</v>
      </c>
    </row>
    <row r="561" spans="1:7" ht="12.75" hidden="1" x14ac:dyDescent="0.2">
      <c r="A561" s="3" t="s">
        <v>124</v>
      </c>
      <c r="B561" s="3">
        <v>78</v>
      </c>
      <c r="C561" s="3" t="s">
        <v>101</v>
      </c>
      <c r="D561" s="3" t="s">
        <v>125</v>
      </c>
      <c r="E561" s="3" t="s">
        <v>126</v>
      </c>
      <c r="F561" s="3" t="str">
        <f t="shared" si="0"/>
        <v>2 - Frepam</v>
      </c>
      <c r="G561" s="3">
        <v>125</v>
      </c>
    </row>
    <row r="562" spans="1:7" ht="12.75" hidden="1" x14ac:dyDescent="0.2">
      <c r="A562" s="3" t="s">
        <v>124</v>
      </c>
      <c r="B562" s="3">
        <v>78</v>
      </c>
      <c r="C562" s="3" t="s">
        <v>101</v>
      </c>
      <c r="D562" s="3" t="s">
        <v>125</v>
      </c>
      <c r="E562" s="3" t="s">
        <v>138</v>
      </c>
      <c r="F562" s="3" t="str">
        <f t="shared" si="0"/>
        <v>4 - Blanco/Nulo</v>
      </c>
      <c r="G562" s="3">
        <v>4</v>
      </c>
    </row>
    <row r="563" spans="1:7" ht="12.75" hidden="1" x14ac:dyDescent="0.2">
      <c r="A563" s="3" t="s">
        <v>124</v>
      </c>
      <c r="B563" s="3">
        <v>78</v>
      </c>
      <c r="C563" s="3" t="s">
        <v>101</v>
      </c>
      <c r="D563" s="3" t="s">
        <v>125</v>
      </c>
      <c r="E563" s="3" t="s">
        <v>14</v>
      </c>
      <c r="F563" s="3" t="str">
        <f t="shared" si="0"/>
        <v>4 - Blanco/Nulo</v>
      </c>
      <c r="G563" s="3">
        <v>0</v>
      </c>
    </row>
    <row r="564" spans="1:7" ht="12.75" hidden="1" x14ac:dyDescent="0.2">
      <c r="A564" s="3" t="s">
        <v>124</v>
      </c>
      <c r="B564" s="3">
        <v>79</v>
      </c>
      <c r="C564" s="3" t="s">
        <v>102</v>
      </c>
      <c r="D564" s="3" t="s">
        <v>125</v>
      </c>
      <c r="E564" s="3" t="s">
        <v>3</v>
      </c>
      <c r="F564" s="3" t="str">
        <f t="shared" si="0"/>
        <v>1 - PJ</v>
      </c>
      <c r="G564" s="3">
        <v>351</v>
      </c>
    </row>
    <row r="565" spans="1:7" ht="12.75" hidden="1" x14ac:dyDescent="0.2">
      <c r="A565" s="3" t="s">
        <v>124</v>
      </c>
      <c r="B565" s="3">
        <v>79</v>
      </c>
      <c r="C565" s="3" t="s">
        <v>102</v>
      </c>
      <c r="D565" s="3" t="s">
        <v>125</v>
      </c>
      <c r="E565" s="3" t="s">
        <v>16</v>
      </c>
      <c r="F565" s="3" t="str">
        <f t="shared" si="0"/>
        <v>3 - Otros</v>
      </c>
      <c r="G565" s="3">
        <v>6</v>
      </c>
    </row>
    <row r="566" spans="1:7" ht="12.75" hidden="1" x14ac:dyDescent="0.2">
      <c r="A566" s="3" t="s">
        <v>124</v>
      </c>
      <c r="B566" s="3">
        <v>79</v>
      </c>
      <c r="C566" s="3" t="s">
        <v>102</v>
      </c>
      <c r="D566" s="3" t="s">
        <v>125</v>
      </c>
      <c r="E566" s="3" t="s">
        <v>129</v>
      </c>
      <c r="F566" s="3" t="str">
        <f t="shared" si="0"/>
        <v>3 - Otros</v>
      </c>
      <c r="G566" s="3">
        <v>13</v>
      </c>
    </row>
    <row r="567" spans="1:7" ht="12.75" hidden="1" x14ac:dyDescent="0.2">
      <c r="A567" s="3" t="s">
        <v>124</v>
      </c>
      <c r="B567" s="3">
        <v>79</v>
      </c>
      <c r="C567" s="3" t="s">
        <v>102</v>
      </c>
      <c r="D567" s="3" t="s">
        <v>125</v>
      </c>
      <c r="E567" s="3" t="s">
        <v>132</v>
      </c>
      <c r="F567" s="3" t="str">
        <f t="shared" si="0"/>
        <v>2 - Frepam</v>
      </c>
      <c r="G567" s="3">
        <v>44</v>
      </c>
    </row>
    <row r="568" spans="1:7" ht="12.75" hidden="1" x14ac:dyDescent="0.2">
      <c r="A568" s="3" t="s">
        <v>124</v>
      </c>
      <c r="B568" s="3">
        <v>79</v>
      </c>
      <c r="C568" s="3" t="s">
        <v>102</v>
      </c>
      <c r="D568" s="3" t="s">
        <v>125</v>
      </c>
      <c r="E568" s="3" t="s">
        <v>134</v>
      </c>
      <c r="F568" s="3" t="str">
        <f t="shared" si="0"/>
        <v>3 - Otros</v>
      </c>
      <c r="G568" s="3">
        <v>10</v>
      </c>
    </row>
    <row r="569" spans="1:7" ht="12.75" hidden="1" x14ac:dyDescent="0.2">
      <c r="A569" s="3" t="s">
        <v>124</v>
      </c>
      <c r="B569" s="3">
        <v>79</v>
      </c>
      <c r="C569" s="3" t="s">
        <v>102</v>
      </c>
      <c r="D569" s="3" t="s">
        <v>125</v>
      </c>
      <c r="E569" s="3" t="s">
        <v>126</v>
      </c>
      <c r="F569" s="3" t="str">
        <f t="shared" si="0"/>
        <v>2 - Frepam</v>
      </c>
      <c r="G569" s="3">
        <v>488</v>
      </c>
    </row>
    <row r="570" spans="1:7" ht="12.75" hidden="1" x14ac:dyDescent="0.2">
      <c r="A570" s="3" t="s">
        <v>124</v>
      </c>
      <c r="B570" s="3">
        <v>79</v>
      </c>
      <c r="C570" s="3" t="s">
        <v>102</v>
      </c>
      <c r="D570" s="3" t="s">
        <v>125</v>
      </c>
      <c r="E570" s="3" t="s">
        <v>138</v>
      </c>
      <c r="F570" s="3" t="str">
        <f t="shared" si="0"/>
        <v>4 - Blanco/Nulo</v>
      </c>
      <c r="G570" s="3">
        <v>12</v>
      </c>
    </row>
    <row r="571" spans="1:7" ht="12.75" hidden="1" x14ac:dyDescent="0.2">
      <c r="A571" s="3" t="s">
        <v>124</v>
      </c>
      <c r="B571" s="3">
        <v>79</v>
      </c>
      <c r="C571" s="3" t="s">
        <v>102</v>
      </c>
      <c r="D571" s="3" t="s">
        <v>125</v>
      </c>
      <c r="E571" s="3" t="s">
        <v>14</v>
      </c>
      <c r="F571" s="3" t="str">
        <f t="shared" si="0"/>
        <v>4 - Blanco/Nulo</v>
      </c>
      <c r="G571" s="3">
        <v>14</v>
      </c>
    </row>
    <row r="572" spans="1:7" ht="12.75" hidden="1" x14ac:dyDescent="0.2">
      <c r="A572" s="3" t="s">
        <v>124</v>
      </c>
      <c r="B572" s="3">
        <v>80</v>
      </c>
      <c r="C572" s="3" t="s">
        <v>103</v>
      </c>
      <c r="D572" s="3" t="s">
        <v>125</v>
      </c>
      <c r="E572" s="3" t="s">
        <v>3</v>
      </c>
      <c r="F572" s="3" t="str">
        <f t="shared" si="0"/>
        <v>1 - PJ</v>
      </c>
      <c r="G572" s="3">
        <v>104</v>
      </c>
    </row>
    <row r="573" spans="1:7" ht="12.75" hidden="1" x14ac:dyDescent="0.2">
      <c r="A573" s="3" t="s">
        <v>124</v>
      </c>
      <c r="B573" s="3">
        <v>80</v>
      </c>
      <c r="C573" s="3" t="s">
        <v>103</v>
      </c>
      <c r="D573" s="3" t="s">
        <v>125</v>
      </c>
      <c r="E573" s="3" t="s">
        <v>16</v>
      </c>
      <c r="F573" s="3" t="str">
        <f t="shared" si="0"/>
        <v>3 - Otros</v>
      </c>
      <c r="G573" s="3">
        <v>2</v>
      </c>
    </row>
    <row r="574" spans="1:7" ht="12.75" hidden="1" x14ac:dyDescent="0.2">
      <c r="A574" s="3" t="s">
        <v>124</v>
      </c>
      <c r="B574" s="3">
        <v>80</v>
      </c>
      <c r="C574" s="3" t="s">
        <v>103</v>
      </c>
      <c r="D574" s="3" t="s">
        <v>125</v>
      </c>
      <c r="E574" s="3" t="s">
        <v>129</v>
      </c>
      <c r="F574" s="3" t="str">
        <f t="shared" si="0"/>
        <v>3 - Otros</v>
      </c>
      <c r="G574" s="3">
        <v>2</v>
      </c>
    </row>
    <row r="575" spans="1:7" ht="12.75" hidden="1" x14ac:dyDescent="0.2">
      <c r="A575" s="3" t="s">
        <v>124</v>
      </c>
      <c r="B575" s="3">
        <v>80</v>
      </c>
      <c r="C575" s="3" t="s">
        <v>103</v>
      </c>
      <c r="D575" s="3" t="s">
        <v>125</v>
      </c>
      <c r="E575" s="3" t="s">
        <v>132</v>
      </c>
      <c r="F575" s="3" t="str">
        <f t="shared" si="0"/>
        <v>2 - Frepam</v>
      </c>
      <c r="G575" s="3">
        <v>0</v>
      </c>
    </row>
    <row r="576" spans="1:7" ht="12.75" hidden="1" x14ac:dyDescent="0.2">
      <c r="A576" s="3" t="s">
        <v>124</v>
      </c>
      <c r="B576" s="3">
        <v>80</v>
      </c>
      <c r="C576" s="3" t="s">
        <v>103</v>
      </c>
      <c r="D576" s="3" t="s">
        <v>125</v>
      </c>
      <c r="E576" s="3" t="s">
        <v>134</v>
      </c>
      <c r="F576" s="3" t="str">
        <f t="shared" si="0"/>
        <v>3 - Otros</v>
      </c>
      <c r="G576" s="3">
        <v>1</v>
      </c>
    </row>
    <row r="577" spans="1:7" ht="12.75" hidden="1" x14ac:dyDescent="0.2">
      <c r="A577" s="3" t="s">
        <v>124</v>
      </c>
      <c r="B577" s="3">
        <v>80</v>
      </c>
      <c r="C577" s="3" t="s">
        <v>103</v>
      </c>
      <c r="D577" s="3" t="s">
        <v>125</v>
      </c>
      <c r="E577" s="3" t="s">
        <v>126</v>
      </c>
      <c r="F577" s="3" t="str">
        <f t="shared" si="0"/>
        <v>2 - Frepam</v>
      </c>
      <c r="G577" s="3">
        <v>51</v>
      </c>
    </row>
    <row r="578" spans="1:7" ht="12.75" hidden="1" x14ac:dyDescent="0.2">
      <c r="A578" s="3" t="s">
        <v>124</v>
      </c>
      <c r="B578" s="3">
        <v>80</v>
      </c>
      <c r="C578" s="3" t="s">
        <v>103</v>
      </c>
      <c r="D578" s="3" t="s">
        <v>125</v>
      </c>
      <c r="E578" s="3" t="s">
        <v>138</v>
      </c>
      <c r="F578" s="3" t="str">
        <f t="shared" si="0"/>
        <v>4 - Blanco/Nulo</v>
      </c>
      <c r="G578" s="3">
        <v>1</v>
      </c>
    </row>
    <row r="579" spans="1:7" ht="12.75" hidden="1" x14ac:dyDescent="0.2">
      <c r="A579" s="3" t="s">
        <v>124</v>
      </c>
      <c r="B579" s="3">
        <v>80</v>
      </c>
      <c r="C579" s="3" t="s">
        <v>103</v>
      </c>
      <c r="D579" s="3" t="s">
        <v>125</v>
      </c>
      <c r="E579" s="3" t="s">
        <v>14</v>
      </c>
      <c r="F579" s="3" t="str">
        <f t="shared" si="0"/>
        <v>4 - Blanco/Nulo</v>
      </c>
      <c r="G579" s="3">
        <v>2</v>
      </c>
    </row>
    <row r="580" spans="1:7" ht="12.75" hidden="1" x14ac:dyDescent="0.2">
      <c r="A580" s="3" t="s">
        <v>124</v>
      </c>
      <c r="B580" s="3">
        <v>81</v>
      </c>
      <c r="C580" s="3" t="s">
        <v>104</v>
      </c>
      <c r="D580" s="3" t="s">
        <v>125</v>
      </c>
      <c r="E580" s="3" t="s">
        <v>3</v>
      </c>
      <c r="F580" s="3" t="str">
        <f t="shared" si="0"/>
        <v>1 - PJ</v>
      </c>
      <c r="G580" s="3">
        <v>1528</v>
      </c>
    </row>
    <row r="581" spans="1:7" ht="12.75" hidden="1" x14ac:dyDescent="0.2">
      <c r="A581" s="3" t="s">
        <v>124</v>
      </c>
      <c r="B581" s="3">
        <v>81</v>
      </c>
      <c r="C581" s="3" t="s">
        <v>104</v>
      </c>
      <c r="D581" s="3" t="s">
        <v>125</v>
      </c>
      <c r="E581" s="3" t="s">
        <v>16</v>
      </c>
      <c r="F581" s="3" t="str">
        <f t="shared" si="0"/>
        <v>3 - Otros</v>
      </c>
      <c r="G581" s="3">
        <v>27</v>
      </c>
    </row>
    <row r="582" spans="1:7" ht="12.75" hidden="1" x14ac:dyDescent="0.2">
      <c r="A582" s="3" t="s">
        <v>124</v>
      </c>
      <c r="B582" s="3">
        <v>81</v>
      </c>
      <c r="C582" s="3" t="s">
        <v>104</v>
      </c>
      <c r="D582" s="3" t="s">
        <v>125</v>
      </c>
      <c r="E582" s="3" t="s">
        <v>129</v>
      </c>
      <c r="F582" s="3" t="str">
        <f t="shared" si="0"/>
        <v>3 - Otros</v>
      </c>
      <c r="G582" s="3">
        <v>21</v>
      </c>
    </row>
    <row r="583" spans="1:7" ht="12.75" hidden="1" x14ac:dyDescent="0.2">
      <c r="A583" s="3" t="s">
        <v>124</v>
      </c>
      <c r="B583" s="3">
        <v>81</v>
      </c>
      <c r="C583" s="3" t="s">
        <v>104</v>
      </c>
      <c r="D583" s="3" t="s">
        <v>125</v>
      </c>
      <c r="E583" s="3" t="s">
        <v>132</v>
      </c>
      <c r="F583" s="3" t="str">
        <f t="shared" si="0"/>
        <v>2 - Frepam</v>
      </c>
      <c r="G583" s="3">
        <v>44</v>
      </c>
    </row>
    <row r="584" spans="1:7" ht="12.75" hidden="1" x14ac:dyDescent="0.2">
      <c r="A584" s="3" t="s">
        <v>124</v>
      </c>
      <c r="B584" s="3">
        <v>81</v>
      </c>
      <c r="C584" s="3" t="s">
        <v>104</v>
      </c>
      <c r="D584" s="3" t="s">
        <v>125</v>
      </c>
      <c r="E584" s="3" t="s">
        <v>134</v>
      </c>
      <c r="F584" s="3" t="str">
        <f t="shared" si="0"/>
        <v>3 - Otros</v>
      </c>
      <c r="G584" s="3">
        <v>40</v>
      </c>
    </row>
    <row r="585" spans="1:7" ht="12.75" hidden="1" x14ac:dyDescent="0.2">
      <c r="A585" s="3" t="s">
        <v>124</v>
      </c>
      <c r="B585" s="3">
        <v>81</v>
      </c>
      <c r="C585" s="3" t="s">
        <v>104</v>
      </c>
      <c r="D585" s="3" t="s">
        <v>125</v>
      </c>
      <c r="E585" s="3" t="s">
        <v>126</v>
      </c>
      <c r="F585" s="3" t="str">
        <f t="shared" si="0"/>
        <v>2 - Frepam</v>
      </c>
      <c r="G585" s="3">
        <v>1599</v>
      </c>
    </row>
    <row r="586" spans="1:7" ht="12.75" hidden="1" x14ac:dyDescent="0.2">
      <c r="A586" s="3" t="s">
        <v>124</v>
      </c>
      <c r="B586" s="3">
        <v>81</v>
      </c>
      <c r="C586" s="3" t="s">
        <v>104</v>
      </c>
      <c r="D586" s="3" t="s">
        <v>125</v>
      </c>
      <c r="E586" s="3" t="s">
        <v>138</v>
      </c>
      <c r="F586" s="3" t="str">
        <f t="shared" si="0"/>
        <v>4 - Blanco/Nulo</v>
      </c>
      <c r="G586" s="3">
        <v>53</v>
      </c>
    </row>
    <row r="587" spans="1:7" ht="12.75" hidden="1" x14ac:dyDescent="0.2">
      <c r="A587" s="3" t="s">
        <v>124</v>
      </c>
      <c r="B587" s="3">
        <v>81</v>
      </c>
      <c r="C587" s="3" t="s">
        <v>104</v>
      </c>
      <c r="D587" s="3" t="s">
        <v>125</v>
      </c>
      <c r="E587" s="3" t="s">
        <v>14</v>
      </c>
      <c r="F587" s="3" t="str">
        <f t="shared" si="0"/>
        <v>4 - Blanco/Nulo</v>
      </c>
      <c r="G587" s="3">
        <v>25</v>
      </c>
    </row>
    <row r="588" spans="1:7" ht="12.75" hidden="1" x14ac:dyDescent="0.2">
      <c r="A588" s="3" t="s">
        <v>124</v>
      </c>
      <c r="B588" s="3">
        <v>82</v>
      </c>
      <c r="C588" s="3" t="s">
        <v>105</v>
      </c>
      <c r="D588" s="3" t="s">
        <v>125</v>
      </c>
      <c r="E588" s="3" t="s">
        <v>3</v>
      </c>
      <c r="F588" s="3" t="str">
        <f t="shared" si="0"/>
        <v>1 - PJ</v>
      </c>
      <c r="G588" s="3">
        <v>2177</v>
      </c>
    </row>
    <row r="589" spans="1:7" ht="12.75" hidden="1" x14ac:dyDescent="0.2">
      <c r="A589" s="3" t="s">
        <v>124</v>
      </c>
      <c r="B589" s="3">
        <v>82</v>
      </c>
      <c r="C589" s="3" t="s">
        <v>105</v>
      </c>
      <c r="D589" s="3" t="s">
        <v>125</v>
      </c>
      <c r="E589" s="3" t="s">
        <v>16</v>
      </c>
      <c r="F589" s="3" t="str">
        <f t="shared" si="0"/>
        <v>3 - Otros</v>
      </c>
      <c r="G589" s="3">
        <v>51</v>
      </c>
    </row>
    <row r="590" spans="1:7" ht="12.75" hidden="1" x14ac:dyDescent="0.2">
      <c r="A590" s="3" t="s">
        <v>124</v>
      </c>
      <c r="B590" s="3">
        <v>82</v>
      </c>
      <c r="C590" s="3" t="s">
        <v>105</v>
      </c>
      <c r="D590" s="3" t="s">
        <v>125</v>
      </c>
      <c r="E590" s="3" t="s">
        <v>129</v>
      </c>
      <c r="F590" s="3" t="str">
        <f t="shared" si="0"/>
        <v>3 - Otros</v>
      </c>
      <c r="G590" s="3">
        <v>63</v>
      </c>
    </row>
    <row r="591" spans="1:7" ht="12.75" hidden="1" x14ac:dyDescent="0.2">
      <c r="A591" s="3" t="s">
        <v>124</v>
      </c>
      <c r="B591" s="3">
        <v>82</v>
      </c>
      <c r="C591" s="3" t="s">
        <v>105</v>
      </c>
      <c r="D591" s="3" t="s">
        <v>125</v>
      </c>
      <c r="E591" s="3" t="s">
        <v>132</v>
      </c>
      <c r="F591" s="3" t="str">
        <f t="shared" si="0"/>
        <v>2 - Frepam</v>
      </c>
      <c r="G591" s="3">
        <v>87</v>
      </c>
    </row>
    <row r="592" spans="1:7" ht="12.75" hidden="1" x14ac:dyDescent="0.2">
      <c r="A592" s="3" t="s">
        <v>124</v>
      </c>
      <c r="B592" s="3">
        <v>82</v>
      </c>
      <c r="C592" s="3" t="s">
        <v>105</v>
      </c>
      <c r="D592" s="3" t="s">
        <v>125</v>
      </c>
      <c r="E592" s="3" t="s">
        <v>134</v>
      </c>
      <c r="F592" s="3" t="str">
        <f t="shared" si="0"/>
        <v>3 - Otros</v>
      </c>
      <c r="G592" s="3">
        <v>87</v>
      </c>
    </row>
    <row r="593" spans="1:7" ht="12.75" hidden="1" x14ac:dyDescent="0.2">
      <c r="A593" s="3" t="s">
        <v>124</v>
      </c>
      <c r="B593" s="3">
        <v>82</v>
      </c>
      <c r="C593" s="3" t="s">
        <v>105</v>
      </c>
      <c r="D593" s="3" t="s">
        <v>125</v>
      </c>
      <c r="E593" s="3" t="s">
        <v>126</v>
      </c>
      <c r="F593" s="3" t="str">
        <f t="shared" si="0"/>
        <v>2 - Frepam</v>
      </c>
      <c r="G593" s="3">
        <v>2614</v>
      </c>
    </row>
    <row r="594" spans="1:7" ht="12.75" hidden="1" x14ac:dyDescent="0.2">
      <c r="A594" s="3" t="s">
        <v>124</v>
      </c>
      <c r="B594" s="3">
        <v>82</v>
      </c>
      <c r="C594" s="3" t="s">
        <v>105</v>
      </c>
      <c r="D594" s="3" t="s">
        <v>125</v>
      </c>
      <c r="E594" s="3" t="s">
        <v>138</v>
      </c>
      <c r="F594" s="3" t="str">
        <f t="shared" si="0"/>
        <v>4 - Blanco/Nulo</v>
      </c>
      <c r="G594" s="3">
        <v>124</v>
      </c>
    </row>
    <row r="595" spans="1:7" ht="12.75" hidden="1" x14ac:dyDescent="0.2">
      <c r="A595" s="3" t="s">
        <v>124</v>
      </c>
      <c r="B595" s="3">
        <v>82</v>
      </c>
      <c r="C595" s="3" t="s">
        <v>105</v>
      </c>
      <c r="D595" s="3" t="s">
        <v>125</v>
      </c>
      <c r="E595" s="3" t="s">
        <v>14</v>
      </c>
      <c r="F595" s="3" t="str">
        <f t="shared" si="0"/>
        <v>4 - Blanco/Nulo</v>
      </c>
      <c r="G595" s="3">
        <v>47</v>
      </c>
    </row>
    <row r="596" spans="1:7" ht="12.75" hidden="1" x14ac:dyDescent="0.2">
      <c r="A596" s="3" t="s">
        <v>124</v>
      </c>
      <c r="B596" s="3">
        <v>83</v>
      </c>
      <c r="C596" s="3" t="s">
        <v>157</v>
      </c>
      <c r="D596" s="3" t="s">
        <v>125</v>
      </c>
      <c r="E596" s="3" t="s">
        <v>3</v>
      </c>
      <c r="F596" s="3" t="str">
        <f t="shared" si="0"/>
        <v>1 - PJ</v>
      </c>
      <c r="G596" s="3">
        <v>1</v>
      </c>
    </row>
    <row r="597" spans="1:7" ht="12.75" hidden="1" x14ac:dyDescent="0.2">
      <c r="A597" s="3" t="s">
        <v>124</v>
      </c>
      <c r="B597" s="3">
        <v>83</v>
      </c>
      <c r="C597" s="3" t="s">
        <v>157</v>
      </c>
      <c r="D597" s="3" t="s">
        <v>125</v>
      </c>
      <c r="E597" s="3" t="s">
        <v>16</v>
      </c>
      <c r="F597" s="3" t="str">
        <f t="shared" si="0"/>
        <v>3 - Otros</v>
      </c>
      <c r="G597" s="3">
        <v>0</v>
      </c>
    </row>
    <row r="598" spans="1:7" ht="12.75" hidden="1" x14ac:dyDescent="0.2">
      <c r="A598" s="3" t="s">
        <v>124</v>
      </c>
      <c r="B598" s="3">
        <v>83</v>
      </c>
      <c r="C598" s="3" t="s">
        <v>157</v>
      </c>
      <c r="D598" s="3" t="s">
        <v>125</v>
      </c>
      <c r="E598" s="3" t="s">
        <v>129</v>
      </c>
      <c r="F598" s="3" t="str">
        <f t="shared" si="0"/>
        <v>3 - Otros</v>
      </c>
      <c r="G598" s="3">
        <v>0</v>
      </c>
    </row>
    <row r="599" spans="1:7" ht="12.75" hidden="1" x14ac:dyDescent="0.2">
      <c r="A599" s="3" t="s">
        <v>124</v>
      </c>
      <c r="B599" s="3">
        <v>83</v>
      </c>
      <c r="C599" s="3" t="s">
        <v>157</v>
      </c>
      <c r="D599" s="3" t="s">
        <v>125</v>
      </c>
      <c r="E599" s="3" t="s">
        <v>132</v>
      </c>
      <c r="F599" s="3" t="str">
        <f t="shared" si="0"/>
        <v>2 - Frepam</v>
      </c>
      <c r="G599" s="3">
        <v>0</v>
      </c>
    </row>
    <row r="600" spans="1:7" ht="12.75" hidden="1" x14ac:dyDescent="0.2">
      <c r="A600" s="3" t="s">
        <v>124</v>
      </c>
      <c r="B600" s="3">
        <v>83</v>
      </c>
      <c r="C600" s="3" t="s">
        <v>157</v>
      </c>
      <c r="D600" s="3" t="s">
        <v>125</v>
      </c>
      <c r="E600" s="3" t="s">
        <v>134</v>
      </c>
      <c r="F600" s="3" t="str">
        <f t="shared" si="0"/>
        <v>3 - Otros</v>
      </c>
      <c r="G600" s="3">
        <v>0</v>
      </c>
    </row>
    <row r="601" spans="1:7" ht="12.75" hidden="1" x14ac:dyDescent="0.2">
      <c r="A601" s="3" t="s">
        <v>124</v>
      </c>
      <c r="B601" s="3">
        <v>83</v>
      </c>
      <c r="C601" s="3" t="s">
        <v>157</v>
      </c>
      <c r="D601" s="3" t="s">
        <v>125</v>
      </c>
      <c r="E601" s="3" t="s">
        <v>126</v>
      </c>
      <c r="F601" s="3" t="str">
        <f t="shared" si="0"/>
        <v>2 - Frepam</v>
      </c>
      <c r="G601" s="3">
        <v>1</v>
      </c>
    </row>
    <row r="602" spans="1:7" ht="12.75" hidden="1" x14ac:dyDescent="0.2">
      <c r="A602" s="3" t="s">
        <v>124</v>
      </c>
      <c r="B602" s="3">
        <v>83</v>
      </c>
      <c r="C602" s="3" t="s">
        <v>157</v>
      </c>
      <c r="D602" s="3" t="s">
        <v>125</v>
      </c>
      <c r="E602" s="3" t="s">
        <v>138</v>
      </c>
      <c r="F602" s="3" t="str">
        <f t="shared" si="0"/>
        <v>4 - Blanco/Nulo</v>
      </c>
      <c r="G602" s="3">
        <v>0</v>
      </c>
    </row>
    <row r="603" spans="1:7" ht="12.75" hidden="1" x14ac:dyDescent="0.2">
      <c r="A603" s="3" t="s">
        <v>124</v>
      </c>
      <c r="B603" s="3">
        <v>83</v>
      </c>
      <c r="C603" s="3" t="s">
        <v>157</v>
      </c>
      <c r="D603" s="3" t="s">
        <v>125</v>
      </c>
      <c r="E603" s="3" t="s">
        <v>14</v>
      </c>
      <c r="F603" s="3" t="str">
        <f t="shared" si="0"/>
        <v>4 - Blanco/Nulo</v>
      </c>
      <c r="G603" s="3">
        <v>0</v>
      </c>
    </row>
    <row r="604" spans="1:7" ht="12.75" hidden="1" x14ac:dyDescent="0.2">
      <c r="A604" s="3" t="s">
        <v>124</v>
      </c>
      <c r="B604" s="3">
        <v>84</v>
      </c>
      <c r="C604" s="3" t="s">
        <v>158</v>
      </c>
      <c r="D604" s="3" t="s">
        <v>125</v>
      </c>
      <c r="E604" s="3" t="s">
        <v>3</v>
      </c>
      <c r="F604" s="3" t="str">
        <f t="shared" si="0"/>
        <v>1 - PJ</v>
      </c>
      <c r="G604" s="3">
        <v>1</v>
      </c>
    </row>
    <row r="605" spans="1:7" ht="12.75" hidden="1" x14ac:dyDescent="0.2">
      <c r="A605" s="3" t="s">
        <v>124</v>
      </c>
      <c r="B605" s="3">
        <v>84</v>
      </c>
      <c r="C605" s="3" t="s">
        <v>158</v>
      </c>
      <c r="D605" s="3" t="s">
        <v>125</v>
      </c>
      <c r="E605" s="3" t="s">
        <v>16</v>
      </c>
      <c r="F605" s="3" t="str">
        <f t="shared" si="0"/>
        <v>3 - Otros</v>
      </c>
      <c r="G605" s="3">
        <v>0</v>
      </c>
    </row>
    <row r="606" spans="1:7" ht="12.75" hidden="1" x14ac:dyDescent="0.2">
      <c r="A606" s="3" t="s">
        <v>124</v>
      </c>
      <c r="B606" s="3">
        <v>84</v>
      </c>
      <c r="C606" s="3" t="s">
        <v>158</v>
      </c>
      <c r="D606" s="3" t="s">
        <v>125</v>
      </c>
      <c r="E606" s="3" t="s">
        <v>129</v>
      </c>
      <c r="F606" s="3" t="str">
        <f t="shared" si="0"/>
        <v>3 - Otros</v>
      </c>
      <c r="G606" s="3">
        <v>0</v>
      </c>
    </row>
    <row r="607" spans="1:7" ht="12.75" hidden="1" x14ac:dyDescent="0.2">
      <c r="A607" s="3" t="s">
        <v>124</v>
      </c>
      <c r="B607" s="3">
        <v>84</v>
      </c>
      <c r="C607" s="3" t="s">
        <v>158</v>
      </c>
      <c r="D607" s="3" t="s">
        <v>125</v>
      </c>
      <c r="E607" s="3" t="s">
        <v>132</v>
      </c>
      <c r="F607" s="3" t="str">
        <f t="shared" si="0"/>
        <v>2 - Frepam</v>
      </c>
      <c r="G607" s="3">
        <v>0</v>
      </c>
    </row>
    <row r="608" spans="1:7" ht="12.75" hidden="1" x14ac:dyDescent="0.2">
      <c r="A608" s="3" t="s">
        <v>124</v>
      </c>
      <c r="B608" s="3">
        <v>84</v>
      </c>
      <c r="C608" s="3" t="s">
        <v>158</v>
      </c>
      <c r="D608" s="3" t="s">
        <v>125</v>
      </c>
      <c r="E608" s="3" t="s">
        <v>134</v>
      </c>
      <c r="F608" s="3" t="str">
        <f t="shared" si="0"/>
        <v>3 - Otros</v>
      </c>
      <c r="G608" s="3">
        <v>0</v>
      </c>
    </row>
    <row r="609" spans="1:7" ht="12.75" hidden="1" x14ac:dyDescent="0.2">
      <c r="A609" s="3" t="s">
        <v>124</v>
      </c>
      <c r="B609" s="3">
        <v>84</v>
      </c>
      <c r="C609" s="3" t="s">
        <v>158</v>
      </c>
      <c r="D609" s="3" t="s">
        <v>125</v>
      </c>
      <c r="E609" s="3" t="s">
        <v>126</v>
      </c>
      <c r="F609" s="3" t="str">
        <f t="shared" si="0"/>
        <v>2 - Frepam</v>
      </c>
      <c r="G609" s="3">
        <v>4</v>
      </c>
    </row>
    <row r="610" spans="1:7" ht="12.75" hidden="1" x14ac:dyDescent="0.2">
      <c r="A610" s="3" t="s">
        <v>124</v>
      </c>
      <c r="B610" s="3">
        <v>84</v>
      </c>
      <c r="C610" s="3" t="s">
        <v>158</v>
      </c>
      <c r="D610" s="3" t="s">
        <v>125</v>
      </c>
      <c r="E610" s="3" t="s">
        <v>138</v>
      </c>
      <c r="F610" s="3" t="str">
        <f t="shared" si="0"/>
        <v>4 - Blanco/Nulo</v>
      </c>
      <c r="G610" s="3">
        <v>0</v>
      </c>
    </row>
    <row r="611" spans="1:7" ht="12.75" hidden="1" x14ac:dyDescent="0.2">
      <c r="A611" s="3" t="s">
        <v>124</v>
      </c>
      <c r="B611" s="3">
        <v>84</v>
      </c>
      <c r="C611" s="3" t="s">
        <v>158</v>
      </c>
      <c r="D611" s="3" t="s">
        <v>125</v>
      </c>
      <c r="E611" s="3" t="s">
        <v>14</v>
      </c>
      <c r="F611" s="3" t="str">
        <f t="shared" si="0"/>
        <v>4 - Blanco/Nulo</v>
      </c>
      <c r="G611" s="3">
        <v>0</v>
      </c>
    </row>
    <row r="612" spans="1:7" ht="12.75" hidden="1" x14ac:dyDescent="0.2">
      <c r="A612" s="3" t="s">
        <v>124</v>
      </c>
      <c r="B612" s="3">
        <v>85</v>
      </c>
      <c r="C612" s="3" t="s">
        <v>159</v>
      </c>
      <c r="D612" s="3" t="s">
        <v>125</v>
      </c>
      <c r="E612" s="3" t="s">
        <v>3</v>
      </c>
      <c r="F612" s="3" t="str">
        <f t="shared" si="0"/>
        <v>1 - PJ</v>
      </c>
      <c r="G612" s="3">
        <v>2</v>
      </c>
    </row>
    <row r="613" spans="1:7" ht="12.75" hidden="1" x14ac:dyDescent="0.2">
      <c r="A613" s="3" t="s">
        <v>124</v>
      </c>
      <c r="B613" s="3">
        <v>85</v>
      </c>
      <c r="C613" s="3" t="s">
        <v>159</v>
      </c>
      <c r="D613" s="3" t="s">
        <v>125</v>
      </c>
      <c r="E613" s="3" t="s">
        <v>16</v>
      </c>
      <c r="F613" s="3" t="str">
        <f t="shared" si="0"/>
        <v>3 - Otros</v>
      </c>
      <c r="G613" s="3">
        <v>0</v>
      </c>
    </row>
    <row r="614" spans="1:7" ht="12.75" hidden="1" x14ac:dyDescent="0.2">
      <c r="A614" s="3" t="s">
        <v>124</v>
      </c>
      <c r="B614" s="3">
        <v>85</v>
      </c>
      <c r="C614" s="3" t="s">
        <v>159</v>
      </c>
      <c r="D614" s="3" t="s">
        <v>125</v>
      </c>
      <c r="E614" s="3" t="s">
        <v>129</v>
      </c>
      <c r="F614" s="3" t="str">
        <f t="shared" si="0"/>
        <v>3 - Otros</v>
      </c>
      <c r="G614" s="3">
        <v>0</v>
      </c>
    </row>
    <row r="615" spans="1:7" ht="12.75" hidden="1" x14ac:dyDescent="0.2">
      <c r="A615" s="3" t="s">
        <v>124</v>
      </c>
      <c r="B615" s="3">
        <v>85</v>
      </c>
      <c r="C615" s="3" t="s">
        <v>159</v>
      </c>
      <c r="D615" s="3" t="s">
        <v>125</v>
      </c>
      <c r="E615" s="3" t="s">
        <v>132</v>
      </c>
      <c r="F615" s="3" t="str">
        <f t="shared" si="0"/>
        <v>2 - Frepam</v>
      </c>
      <c r="G615" s="3">
        <v>0</v>
      </c>
    </row>
    <row r="616" spans="1:7" ht="12.75" hidden="1" x14ac:dyDescent="0.2">
      <c r="A616" s="3" t="s">
        <v>124</v>
      </c>
      <c r="B616" s="3">
        <v>85</v>
      </c>
      <c r="C616" s="3" t="s">
        <v>159</v>
      </c>
      <c r="D616" s="3" t="s">
        <v>125</v>
      </c>
      <c r="E616" s="3" t="s">
        <v>134</v>
      </c>
      <c r="F616" s="3" t="str">
        <f t="shared" si="0"/>
        <v>3 - Otros</v>
      </c>
      <c r="G616" s="3">
        <v>0</v>
      </c>
    </row>
    <row r="617" spans="1:7" ht="12.75" hidden="1" x14ac:dyDescent="0.2">
      <c r="A617" s="3" t="s">
        <v>124</v>
      </c>
      <c r="B617" s="3">
        <v>85</v>
      </c>
      <c r="C617" s="3" t="s">
        <v>159</v>
      </c>
      <c r="D617" s="3" t="s">
        <v>125</v>
      </c>
      <c r="E617" s="3" t="s">
        <v>126</v>
      </c>
      <c r="F617" s="3" t="str">
        <f t="shared" si="0"/>
        <v>2 - Frepam</v>
      </c>
      <c r="G617" s="3">
        <v>2</v>
      </c>
    </row>
    <row r="618" spans="1:7" ht="12.75" hidden="1" x14ac:dyDescent="0.2">
      <c r="A618" s="3" t="s">
        <v>124</v>
      </c>
      <c r="B618" s="3">
        <v>85</v>
      </c>
      <c r="C618" s="3" t="s">
        <v>159</v>
      </c>
      <c r="D618" s="3" t="s">
        <v>125</v>
      </c>
      <c r="E618" s="3" t="s">
        <v>138</v>
      </c>
      <c r="F618" s="3" t="str">
        <f t="shared" si="0"/>
        <v>4 - Blanco/Nulo</v>
      </c>
      <c r="G618" s="3">
        <v>0</v>
      </c>
    </row>
    <row r="619" spans="1:7" ht="12.75" hidden="1" x14ac:dyDescent="0.2">
      <c r="A619" s="3" t="s">
        <v>124</v>
      </c>
      <c r="B619" s="3">
        <v>85</v>
      </c>
      <c r="C619" s="3" t="s">
        <v>159</v>
      </c>
      <c r="D619" s="3" t="s">
        <v>125</v>
      </c>
      <c r="E619" s="3" t="s">
        <v>14</v>
      </c>
      <c r="F619" s="3" t="str">
        <f t="shared" si="0"/>
        <v>4 - Blanco/Nulo</v>
      </c>
      <c r="G619" s="3">
        <v>0</v>
      </c>
    </row>
    <row r="620" spans="1:7" ht="12.75" hidden="1" x14ac:dyDescent="0.2">
      <c r="A620" s="3" t="s">
        <v>124</v>
      </c>
      <c r="B620" s="3">
        <v>86</v>
      </c>
      <c r="C620" s="3" t="s">
        <v>106</v>
      </c>
      <c r="D620" s="3" t="s">
        <v>125</v>
      </c>
      <c r="E620" s="3" t="s">
        <v>3</v>
      </c>
      <c r="F620" s="3" t="str">
        <f t="shared" si="0"/>
        <v>1 - PJ</v>
      </c>
      <c r="G620" s="3">
        <v>4247</v>
      </c>
    </row>
    <row r="621" spans="1:7" ht="12.75" hidden="1" x14ac:dyDescent="0.2">
      <c r="A621" s="3" t="s">
        <v>124</v>
      </c>
      <c r="B621" s="3">
        <v>86</v>
      </c>
      <c r="C621" s="3" t="s">
        <v>106</v>
      </c>
      <c r="D621" s="3" t="s">
        <v>125</v>
      </c>
      <c r="E621" s="3" t="s">
        <v>16</v>
      </c>
      <c r="F621" s="3" t="str">
        <f t="shared" si="0"/>
        <v>3 - Otros</v>
      </c>
      <c r="G621" s="3">
        <v>205</v>
      </c>
    </row>
    <row r="622" spans="1:7" ht="12.75" hidden="1" x14ac:dyDescent="0.2">
      <c r="A622" s="3" t="s">
        <v>124</v>
      </c>
      <c r="B622" s="3">
        <v>86</v>
      </c>
      <c r="C622" s="3" t="s">
        <v>106</v>
      </c>
      <c r="D622" s="3" t="s">
        <v>125</v>
      </c>
      <c r="E622" s="3" t="s">
        <v>129</v>
      </c>
      <c r="F622" s="3" t="str">
        <f t="shared" si="0"/>
        <v>3 - Otros</v>
      </c>
      <c r="G622" s="3">
        <v>220</v>
      </c>
    </row>
    <row r="623" spans="1:7" ht="12.75" hidden="1" x14ac:dyDescent="0.2">
      <c r="A623" s="3" t="s">
        <v>124</v>
      </c>
      <c r="B623" s="3">
        <v>86</v>
      </c>
      <c r="C623" s="3" t="s">
        <v>106</v>
      </c>
      <c r="D623" s="3" t="s">
        <v>125</v>
      </c>
      <c r="E623" s="3" t="s">
        <v>132</v>
      </c>
      <c r="F623" s="3" t="str">
        <f t="shared" si="0"/>
        <v>2 - Frepam</v>
      </c>
      <c r="G623" s="3">
        <v>241</v>
      </c>
    </row>
    <row r="624" spans="1:7" ht="12.75" hidden="1" x14ac:dyDescent="0.2">
      <c r="A624" s="3" t="s">
        <v>124</v>
      </c>
      <c r="B624" s="3">
        <v>86</v>
      </c>
      <c r="C624" s="3" t="s">
        <v>106</v>
      </c>
      <c r="D624" s="3" t="s">
        <v>125</v>
      </c>
      <c r="E624" s="3" t="s">
        <v>134</v>
      </c>
      <c r="F624" s="3" t="str">
        <f t="shared" si="0"/>
        <v>3 - Otros</v>
      </c>
      <c r="G624" s="3">
        <v>177</v>
      </c>
    </row>
    <row r="625" spans="1:7" ht="12.75" hidden="1" x14ac:dyDescent="0.2">
      <c r="A625" s="3" t="s">
        <v>124</v>
      </c>
      <c r="B625" s="3">
        <v>86</v>
      </c>
      <c r="C625" s="3" t="s">
        <v>106</v>
      </c>
      <c r="D625" s="3" t="s">
        <v>125</v>
      </c>
      <c r="E625" s="3" t="s">
        <v>126</v>
      </c>
      <c r="F625" s="3" t="str">
        <f t="shared" si="0"/>
        <v>2 - Frepam</v>
      </c>
      <c r="G625" s="3">
        <v>3805</v>
      </c>
    </row>
    <row r="626" spans="1:7" ht="12.75" hidden="1" x14ac:dyDescent="0.2">
      <c r="A626" s="3" t="s">
        <v>124</v>
      </c>
      <c r="B626" s="3">
        <v>86</v>
      </c>
      <c r="C626" s="3" t="s">
        <v>106</v>
      </c>
      <c r="D626" s="3" t="s">
        <v>125</v>
      </c>
      <c r="E626" s="3" t="s">
        <v>138</v>
      </c>
      <c r="F626" s="3" t="str">
        <f t="shared" si="0"/>
        <v>4 - Blanco/Nulo</v>
      </c>
      <c r="G626" s="3">
        <v>185</v>
      </c>
    </row>
    <row r="627" spans="1:7" ht="12.75" hidden="1" x14ac:dyDescent="0.2">
      <c r="A627" s="3" t="s">
        <v>124</v>
      </c>
      <c r="B627" s="3">
        <v>86</v>
      </c>
      <c r="C627" s="3" t="s">
        <v>106</v>
      </c>
      <c r="D627" s="3" t="s">
        <v>125</v>
      </c>
      <c r="E627" s="3" t="s">
        <v>14</v>
      </c>
      <c r="F627" s="3" t="str">
        <f t="shared" si="0"/>
        <v>4 - Blanco/Nulo</v>
      </c>
      <c r="G627" s="3">
        <v>80</v>
      </c>
    </row>
    <row r="628" spans="1:7" ht="12.75" hidden="1" x14ac:dyDescent="0.2">
      <c r="A628" s="3" t="s">
        <v>124</v>
      </c>
      <c r="B628" s="3">
        <v>87</v>
      </c>
      <c r="C628" s="3" t="s">
        <v>107</v>
      </c>
      <c r="D628" s="3" t="s">
        <v>125</v>
      </c>
      <c r="E628" s="3" t="s">
        <v>3</v>
      </c>
      <c r="F628" s="3" t="str">
        <f t="shared" si="0"/>
        <v>1 - PJ</v>
      </c>
      <c r="G628" s="3">
        <v>380</v>
      </c>
    </row>
    <row r="629" spans="1:7" ht="12.75" hidden="1" x14ac:dyDescent="0.2">
      <c r="A629" s="3" t="s">
        <v>124</v>
      </c>
      <c r="B629" s="3">
        <v>87</v>
      </c>
      <c r="C629" s="3" t="s">
        <v>107</v>
      </c>
      <c r="D629" s="3" t="s">
        <v>125</v>
      </c>
      <c r="E629" s="3" t="s">
        <v>16</v>
      </c>
      <c r="F629" s="3" t="str">
        <f t="shared" si="0"/>
        <v>3 - Otros</v>
      </c>
      <c r="G629" s="3">
        <v>6</v>
      </c>
    </row>
    <row r="630" spans="1:7" ht="12.75" hidden="1" x14ac:dyDescent="0.2">
      <c r="A630" s="3" t="s">
        <v>124</v>
      </c>
      <c r="B630" s="3">
        <v>87</v>
      </c>
      <c r="C630" s="3" t="s">
        <v>107</v>
      </c>
      <c r="D630" s="3" t="s">
        <v>125</v>
      </c>
      <c r="E630" s="3" t="s">
        <v>129</v>
      </c>
      <c r="F630" s="3" t="str">
        <f t="shared" si="0"/>
        <v>3 - Otros</v>
      </c>
      <c r="G630" s="3">
        <v>10</v>
      </c>
    </row>
    <row r="631" spans="1:7" ht="12.75" hidden="1" x14ac:dyDescent="0.2">
      <c r="A631" s="3" t="s">
        <v>124</v>
      </c>
      <c r="B631" s="3">
        <v>87</v>
      </c>
      <c r="C631" s="3" t="s">
        <v>107</v>
      </c>
      <c r="D631" s="3" t="s">
        <v>125</v>
      </c>
      <c r="E631" s="3" t="s">
        <v>132</v>
      </c>
      <c r="F631" s="3" t="str">
        <f t="shared" si="0"/>
        <v>2 - Frepam</v>
      </c>
      <c r="G631" s="3">
        <v>9</v>
      </c>
    </row>
    <row r="632" spans="1:7" ht="12.75" hidden="1" x14ac:dyDescent="0.2">
      <c r="A632" s="3" t="s">
        <v>124</v>
      </c>
      <c r="B632" s="3">
        <v>87</v>
      </c>
      <c r="C632" s="3" t="s">
        <v>107</v>
      </c>
      <c r="D632" s="3" t="s">
        <v>125</v>
      </c>
      <c r="E632" s="3" t="s">
        <v>134</v>
      </c>
      <c r="F632" s="3" t="str">
        <f t="shared" si="0"/>
        <v>3 - Otros</v>
      </c>
      <c r="G632" s="3">
        <v>10</v>
      </c>
    </row>
    <row r="633" spans="1:7" ht="12.75" hidden="1" x14ac:dyDescent="0.2">
      <c r="A633" s="3" t="s">
        <v>124</v>
      </c>
      <c r="B633" s="3">
        <v>87</v>
      </c>
      <c r="C633" s="3" t="s">
        <v>107</v>
      </c>
      <c r="D633" s="3" t="s">
        <v>125</v>
      </c>
      <c r="E633" s="3" t="s">
        <v>126</v>
      </c>
      <c r="F633" s="3" t="str">
        <f t="shared" si="0"/>
        <v>2 - Frepam</v>
      </c>
      <c r="G633" s="3">
        <v>375</v>
      </c>
    </row>
    <row r="634" spans="1:7" ht="12.75" hidden="1" x14ac:dyDescent="0.2">
      <c r="A634" s="3" t="s">
        <v>124</v>
      </c>
      <c r="B634" s="3">
        <v>87</v>
      </c>
      <c r="C634" s="3" t="s">
        <v>107</v>
      </c>
      <c r="D634" s="3" t="s">
        <v>125</v>
      </c>
      <c r="E634" s="3" t="s">
        <v>138</v>
      </c>
      <c r="F634" s="3" t="str">
        <f t="shared" si="0"/>
        <v>4 - Blanco/Nulo</v>
      </c>
      <c r="G634" s="3">
        <v>8</v>
      </c>
    </row>
    <row r="635" spans="1:7" ht="12.75" hidden="1" x14ac:dyDescent="0.2">
      <c r="A635" s="3" t="s">
        <v>124</v>
      </c>
      <c r="B635" s="3">
        <v>87</v>
      </c>
      <c r="C635" s="3" t="s">
        <v>107</v>
      </c>
      <c r="D635" s="3" t="s">
        <v>125</v>
      </c>
      <c r="E635" s="3" t="s">
        <v>14</v>
      </c>
      <c r="F635" s="3" t="str">
        <f t="shared" si="0"/>
        <v>4 - Blanco/Nulo</v>
      </c>
      <c r="G635" s="3">
        <v>7</v>
      </c>
    </row>
    <row r="636" spans="1:7" ht="12.75" hidden="1" x14ac:dyDescent="0.2">
      <c r="A636" s="3" t="s">
        <v>124</v>
      </c>
      <c r="B636" s="3">
        <v>88</v>
      </c>
      <c r="C636" s="3" t="s">
        <v>108</v>
      </c>
      <c r="D636" s="3" t="s">
        <v>125</v>
      </c>
      <c r="E636" s="3" t="s">
        <v>3</v>
      </c>
      <c r="F636" s="3" t="str">
        <f t="shared" si="0"/>
        <v>1 - PJ</v>
      </c>
      <c r="G636" s="3">
        <v>195</v>
      </c>
    </row>
    <row r="637" spans="1:7" ht="12.75" hidden="1" x14ac:dyDescent="0.2">
      <c r="A637" s="3" t="s">
        <v>124</v>
      </c>
      <c r="B637" s="3">
        <v>88</v>
      </c>
      <c r="C637" s="3" t="s">
        <v>108</v>
      </c>
      <c r="D637" s="3" t="s">
        <v>125</v>
      </c>
      <c r="E637" s="3" t="s">
        <v>16</v>
      </c>
      <c r="F637" s="3" t="str">
        <f t="shared" si="0"/>
        <v>3 - Otros</v>
      </c>
      <c r="G637" s="3">
        <v>1</v>
      </c>
    </row>
    <row r="638" spans="1:7" ht="12.75" hidden="1" x14ac:dyDescent="0.2">
      <c r="A638" s="3" t="s">
        <v>124</v>
      </c>
      <c r="B638" s="3">
        <v>88</v>
      </c>
      <c r="C638" s="3" t="s">
        <v>108</v>
      </c>
      <c r="D638" s="3" t="s">
        <v>125</v>
      </c>
      <c r="E638" s="3" t="s">
        <v>129</v>
      </c>
      <c r="F638" s="3" t="str">
        <f t="shared" si="0"/>
        <v>3 - Otros</v>
      </c>
      <c r="G638" s="3">
        <v>9</v>
      </c>
    </row>
    <row r="639" spans="1:7" ht="12.75" hidden="1" x14ac:dyDescent="0.2">
      <c r="A639" s="3" t="s">
        <v>124</v>
      </c>
      <c r="B639" s="3">
        <v>88</v>
      </c>
      <c r="C639" s="3" t="s">
        <v>108</v>
      </c>
      <c r="D639" s="3" t="s">
        <v>125</v>
      </c>
      <c r="E639" s="3" t="s">
        <v>132</v>
      </c>
      <c r="F639" s="3" t="str">
        <f t="shared" si="0"/>
        <v>2 - Frepam</v>
      </c>
      <c r="G639" s="3">
        <v>20</v>
      </c>
    </row>
    <row r="640" spans="1:7" ht="12.75" hidden="1" x14ac:dyDescent="0.2">
      <c r="A640" s="3" t="s">
        <v>124</v>
      </c>
      <c r="B640" s="3">
        <v>88</v>
      </c>
      <c r="C640" s="3" t="s">
        <v>108</v>
      </c>
      <c r="D640" s="3" t="s">
        <v>125</v>
      </c>
      <c r="E640" s="3" t="s">
        <v>134</v>
      </c>
      <c r="F640" s="3" t="str">
        <f t="shared" si="0"/>
        <v>3 - Otros</v>
      </c>
      <c r="G640" s="3">
        <v>7</v>
      </c>
    </row>
    <row r="641" spans="1:7" ht="12.75" hidden="1" x14ac:dyDescent="0.2">
      <c r="A641" s="3" t="s">
        <v>124</v>
      </c>
      <c r="B641" s="3">
        <v>88</v>
      </c>
      <c r="C641" s="3" t="s">
        <v>108</v>
      </c>
      <c r="D641" s="3" t="s">
        <v>125</v>
      </c>
      <c r="E641" s="3" t="s">
        <v>126</v>
      </c>
      <c r="F641" s="3" t="str">
        <f t="shared" si="0"/>
        <v>2 - Frepam</v>
      </c>
      <c r="G641" s="3">
        <v>169</v>
      </c>
    </row>
    <row r="642" spans="1:7" ht="12.75" hidden="1" x14ac:dyDescent="0.2">
      <c r="A642" s="3" t="s">
        <v>124</v>
      </c>
      <c r="B642" s="3">
        <v>88</v>
      </c>
      <c r="C642" s="3" t="s">
        <v>108</v>
      </c>
      <c r="D642" s="3" t="s">
        <v>125</v>
      </c>
      <c r="E642" s="3" t="s">
        <v>138</v>
      </c>
      <c r="F642" s="3" t="str">
        <f t="shared" si="0"/>
        <v>4 - Blanco/Nulo</v>
      </c>
      <c r="G642" s="3">
        <v>0</v>
      </c>
    </row>
    <row r="643" spans="1:7" ht="12.75" hidden="1" x14ac:dyDescent="0.2">
      <c r="A643" s="3" t="s">
        <v>124</v>
      </c>
      <c r="B643" s="3">
        <v>88</v>
      </c>
      <c r="C643" s="3" t="s">
        <v>108</v>
      </c>
      <c r="D643" s="3" t="s">
        <v>125</v>
      </c>
      <c r="E643" s="3" t="s">
        <v>14</v>
      </c>
      <c r="F643" s="3" t="str">
        <f t="shared" si="0"/>
        <v>4 - Blanco/Nulo</v>
      </c>
      <c r="G643" s="3">
        <v>9</v>
      </c>
    </row>
    <row r="644" spans="1:7" ht="12.75" hidden="1" x14ac:dyDescent="0.2">
      <c r="A644" s="3" t="s">
        <v>124</v>
      </c>
      <c r="B644" s="3">
        <v>89</v>
      </c>
      <c r="C644" s="3" t="s">
        <v>109</v>
      </c>
      <c r="D644" s="3" t="s">
        <v>125</v>
      </c>
      <c r="E644" s="3" t="s">
        <v>3</v>
      </c>
      <c r="F644" s="3" t="str">
        <f t="shared" si="0"/>
        <v>1 - PJ</v>
      </c>
      <c r="G644" s="3">
        <v>1252</v>
      </c>
    </row>
    <row r="645" spans="1:7" ht="12.75" hidden="1" x14ac:dyDescent="0.2">
      <c r="A645" s="3" t="s">
        <v>124</v>
      </c>
      <c r="B645" s="3">
        <v>89</v>
      </c>
      <c r="C645" s="3" t="s">
        <v>109</v>
      </c>
      <c r="D645" s="3" t="s">
        <v>125</v>
      </c>
      <c r="E645" s="3" t="s">
        <v>16</v>
      </c>
      <c r="F645" s="3" t="str">
        <f t="shared" si="0"/>
        <v>3 - Otros</v>
      </c>
      <c r="G645" s="3">
        <v>30</v>
      </c>
    </row>
    <row r="646" spans="1:7" ht="12.75" hidden="1" x14ac:dyDescent="0.2">
      <c r="A646" s="3" t="s">
        <v>124</v>
      </c>
      <c r="B646" s="3">
        <v>89</v>
      </c>
      <c r="C646" s="3" t="s">
        <v>109</v>
      </c>
      <c r="D646" s="3" t="s">
        <v>125</v>
      </c>
      <c r="E646" s="3" t="s">
        <v>129</v>
      </c>
      <c r="F646" s="3" t="str">
        <f t="shared" si="0"/>
        <v>3 - Otros</v>
      </c>
      <c r="G646" s="3">
        <v>26</v>
      </c>
    </row>
    <row r="647" spans="1:7" ht="12.75" hidden="1" x14ac:dyDescent="0.2">
      <c r="A647" s="3" t="s">
        <v>124</v>
      </c>
      <c r="B647" s="3">
        <v>89</v>
      </c>
      <c r="C647" s="3" t="s">
        <v>109</v>
      </c>
      <c r="D647" s="3" t="s">
        <v>125</v>
      </c>
      <c r="E647" s="3" t="s">
        <v>132</v>
      </c>
      <c r="F647" s="3" t="str">
        <f t="shared" si="0"/>
        <v>2 - Frepam</v>
      </c>
      <c r="G647" s="3">
        <v>51</v>
      </c>
    </row>
    <row r="648" spans="1:7" ht="12.75" hidden="1" x14ac:dyDescent="0.2">
      <c r="A648" s="3" t="s">
        <v>124</v>
      </c>
      <c r="B648" s="3">
        <v>89</v>
      </c>
      <c r="C648" s="3" t="s">
        <v>109</v>
      </c>
      <c r="D648" s="3" t="s">
        <v>125</v>
      </c>
      <c r="E648" s="3" t="s">
        <v>134</v>
      </c>
      <c r="F648" s="3" t="str">
        <f t="shared" si="0"/>
        <v>3 - Otros</v>
      </c>
      <c r="G648" s="3">
        <v>38</v>
      </c>
    </row>
    <row r="649" spans="1:7" ht="12.75" hidden="1" x14ac:dyDescent="0.2">
      <c r="A649" s="3" t="s">
        <v>124</v>
      </c>
      <c r="B649" s="3">
        <v>89</v>
      </c>
      <c r="C649" s="3" t="s">
        <v>109</v>
      </c>
      <c r="D649" s="3" t="s">
        <v>125</v>
      </c>
      <c r="E649" s="3" t="s">
        <v>126</v>
      </c>
      <c r="F649" s="3" t="str">
        <f t="shared" si="0"/>
        <v>2 - Frepam</v>
      </c>
      <c r="G649" s="3">
        <v>1022</v>
      </c>
    </row>
    <row r="650" spans="1:7" ht="12.75" hidden="1" x14ac:dyDescent="0.2">
      <c r="A650" s="3" t="s">
        <v>124</v>
      </c>
      <c r="B650" s="3">
        <v>89</v>
      </c>
      <c r="C650" s="3" t="s">
        <v>109</v>
      </c>
      <c r="D650" s="3" t="s">
        <v>125</v>
      </c>
      <c r="E650" s="3" t="s">
        <v>138</v>
      </c>
      <c r="F650" s="3" t="str">
        <f t="shared" si="0"/>
        <v>4 - Blanco/Nulo</v>
      </c>
      <c r="G650" s="3">
        <v>46</v>
      </c>
    </row>
    <row r="651" spans="1:7" ht="12.75" hidden="1" x14ac:dyDescent="0.2">
      <c r="A651" s="3" t="s">
        <v>124</v>
      </c>
      <c r="B651" s="3">
        <v>89</v>
      </c>
      <c r="C651" s="3" t="s">
        <v>109</v>
      </c>
      <c r="D651" s="3" t="s">
        <v>125</v>
      </c>
      <c r="E651" s="3" t="s">
        <v>14</v>
      </c>
      <c r="F651" s="3" t="str">
        <f t="shared" si="0"/>
        <v>4 - Blanco/Nulo</v>
      </c>
      <c r="G651" s="3">
        <v>29</v>
      </c>
    </row>
    <row r="652" spans="1:7" ht="12.75" hidden="1" x14ac:dyDescent="0.2">
      <c r="A652" s="3" t="s">
        <v>124</v>
      </c>
      <c r="B652" s="3">
        <v>90</v>
      </c>
      <c r="C652" s="3" t="s">
        <v>110</v>
      </c>
      <c r="D652" s="3" t="s">
        <v>125</v>
      </c>
      <c r="E652" s="3" t="s">
        <v>3</v>
      </c>
      <c r="F652" s="3" t="str">
        <f t="shared" si="0"/>
        <v>1 - PJ</v>
      </c>
      <c r="G652" s="3">
        <v>320</v>
      </c>
    </row>
    <row r="653" spans="1:7" ht="12.75" hidden="1" x14ac:dyDescent="0.2">
      <c r="A653" s="3" t="s">
        <v>124</v>
      </c>
      <c r="B653" s="3">
        <v>90</v>
      </c>
      <c r="C653" s="3" t="s">
        <v>110</v>
      </c>
      <c r="D653" s="3" t="s">
        <v>125</v>
      </c>
      <c r="E653" s="3" t="s">
        <v>16</v>
      </c>
      <c r="F653" s="3" t="str">
        <f t="shared" si="0"/>
        <v>3 - Otros</v>
      </c>
      <c r="G653" s="3">
        <v>8</v>
      </c>
    </row>
    <row r="654" spans="1:7" ht="12.75" hidden="1" x14ac:dyDescent="0.2">
      <c r="A654" s="3" t="s">
        <v>124</v>
      </c>
      <c r="B654" s="3">
        <v>90</v>
      </c>
      <c r="C654" s="3" t="s">
        <v>110</v>
      </c>
      <c r="D654" s="3" t="s">
        <v>125</v>
      </c>
      <c r="E654" s="3" t="s">
        <v>129</v>
      </c>
      <c r="F654" s="3" t="str">
        <f t="shared" si="0"/>
        <v>3 - Otros</v>
      </c>
      <c r="G654" s="3">
        <v>10</v>
      </c>
    </row>
    <row r="655" spans="1:7" ht="12.75" hidden="1" x14ac:dyDescent="0.2">
      <c r="A655" s="3" t="s">
        <v>124</v>
      </c>
      <c r="B655" s="3">
        <v>90</v>
      </c>
      <c r="C655" s="3" t="s">
        <v>110</v>
      </c>
      <c r="D655" s="3" t="s">
        <v>125</v>
      </c>
      <c r="E655" s="3" t="s">
        <v>132</v>
      </c>
      <c r="F655" s="3" t="str">
        <f t="shared" si="0"/>
        <v>2 - Frepam</v>
      </c>
      <c r="G655" s="3">
        <v>17</v>
      </c>
    </row>
    <row r="656" spans="1:7" ht="12.75" hidden="1" x14ac:dyDescent="0.2">
      <c r="A656" s="3" t="s">
        <v>124</v>
      </c>
      <c r="B656" s="3">
        <v>90</v>
      </c>
      <c r="C656" s="3" t="s">
        <v>110</v>
      </c>
      <c r="D656" s="3" t="s">
        <v>125</v>
      </c>
      <c r="E656" s="3" t="s">
        <v>134</v>
      </c>
      <c r="F656" s="3" t="str">
        <f t="shared" si="0"/>
        <v>3 - Otros</v>
      </c>
      <c r="G656" s="3">
        <v>10</v>
      </c>
    </row>
    <row r="657" spans="1:7" ht="12.75" hidden="1" x14ac:dyDescent="0.2">
      <c r="A657" s="3" t="s">
        <v>124</v>
      </c>
      <c r="B657" s="3">
        <v>90</v>
      </c>
      <c r="C657" s="3" t="s">
        <v>110</v>
      </c>
      <c r="D657" s="3" t="s">
        <v>125</v>
      </c>
      <c r="E657" s="3" t="s">
        <v>126</v>
      </c>
      <c r="F657" s="3" t="str">
        <f t="shared" si="0"/>
        <v>2 - Frepam</v>
      </c>
      <c r="G657" s="3">
        <v>208</v>
      </c>
    </row>
    <row r="658" spans="1:7" ht="12.75" hidden="1" x14ac:dyDescent="0.2">
      <c r="A658" s="3" t="s">
        <v>124</v>
      </c>
      <c r="B658" s="3">
        <v>90</v>
      </c>
      <c r="C658" s="3" t="s">
        <v>110</v>
      </c>
      <c r="D658" s="3" t="s">
        <v>125</v>
      </c>
      <c r="E658" s="3" t="s">
        <v>138</v>
      </c>
      <c r="F658" s="3" t="str">
        <f t="shared" si="0"/>
        <v>4 - Blanco/Nulo</v>
      </c>
      <c r="G658" s="3">
        <v>14</v>
      </c>
    </row>
    <row r="659" spans="1:7" ht="12.75" hidden="1" x14ac:dyDescent="0.2">
      <c r="A659" s="3" t="s">
        <v>124</v>
      </c>
      <c r="B659" s="3">
        <v>90</v>
      </c>
      <c r="C659" s="3" t="s">
        <v>110</v>
      </c>
      <c r="D659" s="3" t="s">
        <v>125</v>
      </c>
      <c r="E659" s="3" t="s">
        <v>14</v>
      </c>
      <c r="F659" s="3" t="str">
        <f t="shared" si="0"/>
        <v>4 - Blanco/Nulo</v>
      </c>
      <c r="G659" s="3">
        <v>1</v>
      </c>
    </row>
    <row r="660" spans="1:7" ht="12.75" hidden="1" x14ac:dyDescent="0.2">
      <c r="A660" s="3" t="s">
        <v>124</v>
      </c>
      <c r="B660" s="3">
        <v>91</v>
      </c>
      <c r="C660" s="3" t="s">
        <v>111</v>
      </c>
      <c r="D660" s="3" t="s">
        <v>125</v>
      </c>
      <c r="E660" s="3" t="s">
        <v>3</v>
      </c>
      <c r="F660" s="3" t="str">
        <f t="shared" si="0"/>
        <v>1 - PJ</v>
      </c>
      <c r="G660" s="3">
        <v>116</v>
      </c>
    </row>
    <row r="661" spans="1:7" ht="12.75" hidden="1" x14ac:dyDescent="0.2">
      <c r="A661" s="3" t="s">
        <v>124</v>
      </c>
      <c r="B661" s="3">
        <v>91</v>
      </c>
      <c r="C661" s="3" t="s">
        <v>111</v>
      </c>
      <c r="D661" s="3" t="s">
        <v>125</v>
      </c>
      <c r="E661" s="3" t="s">
        <v>16</v>
      </c>
      <c r="F661" s="3" t="str">
        <f t="shared" si="0"/>
        <v>3 - Otros</v>
      </c>
      <c r="G661" s="3">
        <v>5</v>
      </c>
    </row>
    <row r="662" spans="1:7" ht="12.75" hidden="1" x14ac:dyDescent="0.2">
      <c r="A662" s="3" t="s">
        <v>124</v>
      </c>
      <c r="B662" s="3">
        <v>91</v>
      </c>
      <c r="C662" s="3" t="s">
        <v>111</v>
      </c>
      <c r="D662" s="3" t="s">
        <v>125</v>
      </c>
      <c r="E662" s="3" t="s">
        <v>129</v>
      </c>
      <c r="F662" s="3" t="str">
        <f t="shared" si="0"/>
        <v>3 - Otros</v>
      </c>
      <c r="G662" s="3">
        <v>2</v>
      </c>
    </row>
    <row r="663" spans="1:7" ht="12.75" hidden="1" x14ac:dyDescent="0.2">
      <c r="A663" s="3" t="s">
        <v>124</v>
      </c>
      <c r="B663" s="3">
        <v>91</v>
      </c>
      <c r="C663" s="3" t="s">
        <v>111</v>
      </c>
      <c r="D663" s="3" t="s">
        <v>125</v>
      </c>
      <c r="E663" s="3" t="s">
        <v>132</v>
      </c>
      <c r="F663" s="3" t="str">
        <f t="shared" si="0"/>
        <v>2 - Frepam</v>
      </c>
      <c r="G663" s="3">
        <v>12</v>
      </c>
    </row>
    <row r="664" spans="1:7" ht="12.75" hidden="1" x14ac:dyDescent="0.2">
      <c r="A664" s="3" t="s">
        <v>124</v>
      </c>
      <c r="B664" s="3">
        <v>91</v>
      </c>
      <c r="C664" s="3" t="s">
        <v>111</v>
      </c>
      <c r="D664" s="3" t="s">
        <v>125</v>
      </c>
      <c r="E664" s="3" t="s">
        <v>134</v>
      </c>
      <c r="F664" s="3" t="str">
        <f t="shared" si="0"/>
        <v>3 - Otros</v>
      </c>
      <c r="G664" s="3">
        <v>5</v>
      </c>
    </row>
    <row r="665" spans="1:7" ht="12.75" hidden="1" x14ac:dyDescent="0.2">
      <c r="A665" s="3" t="s">
        <v>124</v>
      </c>
      <c r="B665" s="3">
        <v>91</v>
      </c>
      <c r="C665" s="3" t="s">
        <v>111</v>
      </c>
      <c r="D665" s="3" t="s">
        <v>125</v>
      </c>
      <c r="E665" s="3" t="s">
        <v>126</v>
      </c>
      <c r="F665" s="3" t="str">
        <f t="shared" si="0"/>
        <v>2 - Frepam</v>
      </c>
      <c r="G665" s="3">
        <v>221</v>
      </c>
    </row>
    <row r="666" spans="1:7" ht="12.75" hidden="1" x14ac:dyDescent="0.2">
      <c r="A666" s="3" t="s">
        <v>124</v>
      </c>
      <c r="B666" s="3">
        <v>91</v>
      </c>
      <c r="C666" s="3" t="s">
        <v>111</v>
      </c>
      <c r="D666" s="3" t="s">
        <v>125</v>
      </c>
      <c r="E666" s="3" t="s">
        <v>138</v>
      </c>
      <c r="F666" s="3" t="str">
        <f t="shared" si="0"/>
        <v>4 - Blanco/Nulo</v>
      </c>
      <c r="G666" s="3">
        <v>8</v>
      </c>
    </row>
    <row r="667" spans="1:7" ht="12.75" hidden="1" x14ac:dyDescent="0.2">
      <c r="A667" s="3" t="s">
        <v>124</v>
      </c>
      <c r="B667" s="3">
        <v>91</v>
      </c>
      <c r="C667" s="3" t="s">
        <v>111</v>
      </c>
      <c r="D667" s="3" t="s">
        <v>125</v>
      </c>
      <c r="E667" s="3" t="s">
        <v>14</v>
      </c>
      <c r="F667" s="3" t="str">
        <f t="shared" si="0"/>
        <v>4 - Blanco/Nulo</v>
      </c>
      <c r="G667" s="3">
        <v>2</v>
      </c>
    </row>
    <row r="668" spans="1:7" ht="12.75" hidden="1" x14ac:dyDescent="0.2">
      <c r="A668" s="3" t="s">
        <v>124</v>
      </c>
      <c r="B668" s="3">
        <v>92</v>
      </c>
      <c r="C668" s="3" t="s">
        <v>112</v>
      </c>
      <c r="D668" s="3" t="s">
        <v>125</v>
      </c>
      <c r="E668" s="3" t="s">
        <v>3</v>
      </c>
      <c r="F668" s="3" t="str">
        <f t="shared" si="0"/>
        <v>1 - PJ</v>
      </c>
      <c r="G668" s="3">
        <v>110</v>
      </c>
    </row>
    <row r="669" spans="1:7" ht="12.75" hidden="1" x14ac:dyDescent="0.2">
      <c r="A669" s="3" t="s">
        <v>124</v>
      </c>
      <c r="B669" s="3">
        <v>92</v>
      </c>
      <c r="C669" s="3" t="s">
        <v>112</v>
      </c>
      <c r="D669" s="3" t="s">
        <v>125</v>
      </c>
      <c r="E669" s="3" t="s">
        <v>16</v>
      </c>
      <c r="F669" s="3" t="str">
        <f t="shared" si="0"/>
        <v>3 - Otros</v>
      </c>
      <c r="G669" s="3">
        <v>3</v>
      </c>
    </row>
    <row r="670" spans="1:7" ht="12.75" hidden="1" x14ac:dyDescent="0.2">
      <c r="A670" s="3" t="s">
        <v>124</v>
      </c>
      <c r="B670" s="3">
        <v>92</v>
      </c>
      <c r="C670" s="3" t="s">
        <v>112</v>
      </c>
      <c r="D670" s="3" t="s">
        <v>125</v>
      </c>
      <c r="E670" s="3" t="s">
        <v>129</v>
      </c>
      <c r="F670" s="3" t="str">
        <f t="shared" si="0"/>
        <v>3 - Otros</v>
      </c>
      <c r="G670" s="3">
        <v>0</v>
      </c>
    </row>
    <row r="671" spans="1:7" ht="12.75" hidden="1" x14ac:dyDescent="0.2">
      <c r="A671" s="3" t="s">
        <v>124</v>
      </c>
      <c r="B671" s="3">
        <v>92</v>
      </c>
      <c r="C671" s="3" t="s">
        <v>112</v>
      </c>
      <c r="D671" s="3" t="s">
        <v>125</v>
      </c>
      <c r="E671" s="3" t="s">
        <v>132</v>
      </c>
      <c r="F671" s="3" t="str">
        <f t="shared" si="0"/>
        <v>2 - Frepam</v>
      </c>
      <c r="G671" s="3">
        <v>6</v>
      </c>
    </row>
    <row r="672" spans="1:7" ht="12.75" hidden="1" x14ac:dyDescent="0.2">
      <c r="A672" s="3" t="s">
        <v>124</v>
      </c>
      <c r="B672" s="3">
        <v>92</v>
      </c>
      <c r="C672" s="3" t="s">
        <v>112</v>
      </c>
      <c r="D672" s="3" t="s">
        <v>125</v>
      </c>
      <c r="E672" s="3" t="s">
        <v>134</v>
      </c>
      <c r="F672" s="3" t="str">
        <f t="shared" si="0"/>
        <v>3 - Otros</v>
      </c>
      <c r="G672" s="3">
        <v>2</v>
      </c>
    </row>
    <row r="673" spans="1:7" ht="12.75" hidden="1" x14ac:dyDescent="0.2">
      <c r="A673" s="3" t="s">
        <v>124</v>
      </c>
      <c r="B673" s="3">
        <v>92</v>
      </c>
      <c r="C673" s="3" t="s">
        <v>112</v>
      </c>
      <c r="D673" s="3" t="s">
        <v>125</v>
      </c>
      <c r="E673" s="3" t="s">
        <v>126</v>
      </c>
      <c r="F673" s="3" t="str">
        <f t="shared" si="0"/>
        <v>2 - Frepam</v>
      </c>
      <c r="G673" s="3">
        <v>79</v>
      </c>
    </row>
    <row r="674" spans="1:7" ht="12.75" hidden="1" x14ac:dyDescent="0.2">
      <c r="A674" s="3" t="s">
        <v>124</v>
      </c>
      <c r="B674" s="3">
        <v>92</v>
      </c>
      <c r="C674" s="3" t="s">
        <v>112</v>
      </c>
      <c r="D674" s="3" t="s">
        <v>125</v>
      </c>
      <c r="E674" s="3" t="s">
        <v>138</v>
      </c>
      <c r="F674" s="3" t="str">
        <f t="shared" si="0"/>
        <v>4 - Blanco/Nulo</v>
      </c>
      <c r="G674" s="3">
        <v>5</v>
      </c>
    </row>
    <row r="675" spans="1:7" ht="12.75" hidden="1" x14ac:dyDescent="0.2">
      <c r="A675" s="3" t="s">
        <v>124</v>
      </c>
      <c r="B675" s="3">
        <v>92</v>
      </c>
      <c r="C675" s="3" t="s">
        <v>112</v>
      </c>
      <c r="D675" s="3" t="s">
        <v>125</v>
      </c>
      <c r="E675" s="3" t="s">
        <v>14</v>
      </c>
      <c r="F675" s="3" t="str">
        <f t="shared" si="0"/>
        <v>4 - Blanco/Nulo</v>
      </c>
      <c r="G675" s="3">
        <v>0</v>
      </c>
    </row>
    <row r="676" spans="1:7" ht="12.75" hidden="1" x14ac:dyDescent="0.2">
      <c r="A676" s="3" t="s">
        <v>124</v>
      </c>
      <c r="B676" s="3">
        <v>93</v>
      </c>
      <c r="C676" s="3" t="s">
        <v>113</v>
      </c>
      <c r="D676" s="3" t="s">
        <v>125</v>
      </c>
      <c r="E676" s="3" t="s">
        <v>3</v>
      </c>
      <c r="F676" s="3" t="str">
        <f t="shared" si="0"/>
        <v>1 - PJ</v>
      </c>
      <c r="G676" s="3">
        <v>3096</v>
      </c>
    </row>
    <row r="677" spans="1:7" ht="12.75" hidden="1" x14ac:dyDescent="0.2">
      <c r="A677" s="3" t="s">
        <v>124</v>
      </c>
      <c r="B677" s="3">
        <v>93</v>
      </c>
      <c r="C677" s="3" t="s">
        <v>113</v>
      </c>
      <c r="D677" s="3" t="s">
        <v>125</v>
      </c>
      <c r="E677" s="3" t="s">
        <v>16</v>
      </c>
      <c r="F677" s="3" t="str">
        <f t="shared" si="0"/>
        <v>3 - Otros</v>
      </c>
      <c r="G677" s="3">
        <v>104</v>
      </c>
    </row>
    <row r="678" spans="1:7" ht="12.75" hidden="1" x14ac:dyDescent="0.2">
      <c r="A678" s="3" t="s">
        <v>124</v>
      </c>
      <c r="B678" s="3">
        <v>93</v>
      </c>
      <c r="C678" s="3" t="s">
        <v>113</v>
      </c>
      <c r="D678" s="3" t="s">
        <v>125</v>
      </c>
      <c r="E678" s="3" t="s">
        <v>129</v>
      </c>
      <c r="F678" s="3" t="str">
        <f t="shared" si="0"/>
        <v>3 - Otros</v>
      </c>
      <c r="G678" s="3">
        <v>128</v>
      </c>
    </row>
    <row r="679" spans="1:7" ht="12.75" hidden="1" x14ac:dyDescent="0.2">
      <c r="A679" s="3" t="s">
        <v>124</v>
      </c>
      <c r="B679" s="3">
        <v>93</v>
      </c>
      <c r="C679" s="3" t="s">
        <v>113</v>
      </c>
      <c r="D679" s="3" t="s">
        <v>125</v>
      </c>
      <c r="E679" s="3" t="s">
        <v>132</v>
      </c>
      <c r="F679" s="3" t="str">
        <f t="shared" si="0"/>
        <v>2 - Frepam</v>
      </c>
      <c r="G679" s="3">
        <v>190</v>
      </c>
    </row>
    <row r="680" spans="1:7" ht="12.75" hidden="1" x14ac:dyDescent="0.2">
      <c r="A680" s="3" t="s">
        <v>124</v>
      </c>
      <c r="B680" s="3">
        <v>93</v>
      </c>
      <c r="C680" s="3" t="s">
        <v>113</v>
      </c>
      <c r="D680" s="3" t="s">
        <v>125</v>
      </c>
      <c r="E680" s="3" t="s">
        <v>134</v>
      </c>
      <c r="F680" s="3" t="str">
        <f t="shared" si="0"/>
        <v>3 - Otros</v>
      </c>
      <c r="G680" s="3">
        <v>225</v>
      </c>
    </row>
    <row r="681" spans="1:7" ht="12.75" hidden="1" x14ac:dyDescent="0.2">
      <c r="A681" s="3" t="s">
        <v>124</v>
      </c>
      <c r="B681" s="3">
        <v>93</v>
      </c>
      <c r="C681" s="3" t="s">
        <v>113</v>
      </c>
      <c r="D681" s="3" t="s">
        <v>125</v>
      </c>
      <c r="E681" s="3" t="s">
        <v>126</v>
      </c>
      <c r="F681" s="3" t="str">
        <f t="shared" si="0"/>
        <v>2 - Frepam</v>
      </c>
      <c r="G681" s="3">
        <v>4527</v>
      </c>
    </row>
    <row r="682" spans="1:7" ht="12.75" hidden="1" x14ac:dyDescent="0.2">
      <c r="A682" s="3" t="s">
        <v>124</v>
      </c>
      <c r="B682" s="3">
        <v>93</v>
      </c>
      <c r="C682" s="3" t="s">
        <v>113</v>
      </c>
      <c r="D682" s="3" t="s">
        <v>125</v>
      </c>
      <c r="E682" s="3" t="s">
        <v>138</v>
      </c>
      <c r="F682" s="3" t="str">
        <f t="shared" si="0"/>
        <v>4 - Blanco/Nulo</v>
      </c>
      <c r="G682" s="3">
        <v>228</v>
      </c>
    </row>
    <row r="683" spans="1:7" ht="12.75" hidden="1" x14ac:dyDescent="0.2">
      <c r="A683" s="3" t="s">
        <v>124</v>
      </c>
      <c r="B683" s="3">
        <v>93</v>
      </c>
      <c r="C683" s="3" t="s">
        <v>113</v>
      </c>
      <c r="D683" s="3" t="s">
        <v>125</v>
      </c>
      <c r="E683" s="3" t="s">
        <v>14</v>
      </c>
      <c r="F683" s="3" t="str">
        <f t="shared" si="0"/>
        <v>4 - Blanco/Nulo</v>
      </c>
      <c r="G683" s="3">
        <v>115</v>
      </c>
    </row>
    <row r="684" spans="1:7" ht="12.75" hidden="1" x14ac:dyDescent="0.2">
      <c r="A684" s="3" t="s">
        <v>124</v>
      </c>
      <c r="B684" s="3">
        <v>94</v>
      </c>
      <c r="C684" s="3" t="s">
        <v>114</v>
      </c>
      <c r="D684" s="3" t="s">
        <v>125</v>
      </c>
      <c r="E684" s="3" t="s">
        <v>3</v>
      </c>
      <c r="F684" s="3" t="str">
        <f t="shared" si="0"/>
        <v>1 - PJ</v>
      </c>
      <c r="G684" s="3">
        <v>215</v>
      </c>
    </row>
    <row r="685" spans="1:7" ht="12.75" hidden="1" x14ac:dyDescent="0.2">
      <c r="A685" s="3" t="s">
        <v>124</v>
      </c>
      <c r="B685" s="3">
        <v>94</v>
      </c>
      <c r="C685" s="3" t="s">
        <v>114</v>
      </c>
      <c r="D685" s="3" t="s">
        <v>125</v>
      </c>
      <c r="E685" s="3" t="s">
        <v>16</v>
      </c>
      <c r="F685" s="3" t="str">
        <f t="shared" si="0"/>
        <v>3 - Otros</v>
      </c>
      <c r="G685" s="3">
        <v>4</v>
      </c>
    </row>
    <row r="686" spans="1:7" ht="12.75" hidden="1" x14ac:dyDescent="0.2">
      <c r="A686" s="3" t="s">
        <v>124</v>
      </c>
      <c r="B686" s="3">
        <v>94</v>
      </c>
      <c r="C686" s="3" t="s">
        <v>114</v>
      </c>
      <c r="D686" s="3" t="s">
        <v>125</v>
      </c>
      <c r="E686" s="3" t="s">
        <v>129</v>
      </c>
      <c r="F686" s="3" t="str">
        <f t="shared" si="0"/>
        <v>3 - Otros</v>
      </c>
      <c r="G686" s="3">
        <v>1</v>
      </c>
    </row>
    <row r="687" spans="1:7" ht="12.75" hidden="1" x14ac:dyDescent="0.2">
      <c r="A687" s="3" t="s">
        <v>124</v>
      </c>
      <c r="B687" s="3">
        <v>94</v>
      </c>
      <c r="C687" s="3" t="s">
        <v>114</v>
      </c>
      <c r="D687" s="3" t="s">
        <v>125</v>
      </c>
      <c r="E687" s="3" t="s">
        <v>132</v>
      </c>
      <c r="F687" s="3" t="str">
        <f t="shared" si="0"/>
        <v>2 - Frepam</v>
      </c>
      <c r="G687" s="3">
        <v>8</v>
      </c>
    </row>
    <row r="688" spans="1:7" ht="12.75" hidden="1" x14ac:dyDescent="0.2">
      <c r="A688" s="3" t="s">
        <v>124</v>
      </c>
      <c r="B688" s="3">
        <v>94</v>
      </c>
      <c r="C688" s="3" t="s">
        <v>114</v>
      </c>
      <c r="D688" s="3" t="s">
        <v>125</v>
      </c>
      <c r="E688" s="3" t="s">
        <v>134</v>
      </c>
      <c r="F688" s="3" t="str">
        <f t="shared" si="0"/>
        <v>3 - Otros</v>
      </c>
      <c r="G688" s="3">
        <v>3</v>
      </c>
    </row>
    <row r="689" spans="1:8" ht="12.75" hidden="1" x14ac:dyDescent="0.2">
      <c r="A689" s="3" t="s">
        <v>124</v>
      </c>
      <c r="B689" s="3">
        <v>94</v>
      </c>
      <c r="C689" s="3" t="s">
        <v>114</v>
      </c>
      <c r="D689" s="3" t="s">
        <v>125</v>
      </c>
      <c r="E689" s="3" t="s">
        <v>126</v>
      </c>
      <c r="F689" s="3" t="str">
        <f t="shared" si="0"/>
        <v>2 - Frepam</v>
      </c>
      <c r="G689" s="3">
        <v>159</v>
      </c>
    </row>
    <row r="690" spans="1:8" ht="12.75" hidden="1" x14ac:dyDescent="0.2">
      <c r="A690" s="3" t="s">
        <v>124</v>
      </c>
      <c r="B690" s="3">
        <v>94</v>
      </c>
      <c r="C690" s="3" t="s">
        <v>114</v>
      </c>
      <c r="D690" s="3" t="s">
        <v>125</v>
      </c>
      <c r="E690" s="3" t="s">
        <v>138</v>
      </c>
      <c r="F690" s="3" t="str">
        <f t="shared" si="0"/>
        <v>4 - Blanco/Nulo</v>
      </c>
      <c r="G690" s="3">
        <v>6</v>
      </c>
    </row>
    <row r="691" spans="1:8" ht="12.75" hidden="1" x14ac:dyDescent="0.2">
      <c r="A691" s="3" t="s">
        <v>124</v>
      </c>
      <c r="B691" s="3">
        <v>94</v>
      </c>
      <c r="C691" s="3" t="s">
        <v>114</v>
      </c>
      <c r="D691" s="3" t="s">
        <v>125</v>
      </c>
      <c r="E691" s="3" t="s">
        <v>14</v>
      </c>
      <c r="F691" s="3" t="str">
        <f t="shared" si="0"/>
        <v>4 - Blanco/Nulo</v>
      </c>
      <c r="G691" s="3">
        <v>5</v>
      </c>
    </row>
    <row r="692" spans="1:8" ht="12.75" hidden="1" x14ac:dyDescent="0.2">
      <c r="A692" s="3" t="s">
        <v>124</v>
      </c>
      <c r="B692" s="3">
        <v>95</v>
      </c>
      <c r="C692" s="3" t="s">
        <v>115</v>
      </c>
      <c r="D692" s="3" t="s">
        <v>125</v>
      </c>
      <c r="E692" s="3" t="s">
        <v>3</v>
      </c>
      <c r="F692" s="3" t="str">
        <f t="shared" si="0"/>
        <v>1 - PJ</v>
      </c>
      <c r="G692" s="3">
        <v>32</v>
      </c>
    </row>
    <row r="693" spans="1:8" ht="12.75" hidden="1" x14ac:dyDescent="0.2">
      <c r="A693" s="3" t="s">
        <v>124</v>
      </c>
      <c r="B693" s="3">
        <v>95</v>
      </c>
      <c r="C693" s="3" t="s">
        <v>115</v>
      </c>
      <c r="D693" s="3" t="s">
        <v>125</v>
      </c>
      <c r="E693" s="3" t="s">
        <v>16</v>
      </c>
      <c r="F693" s="3" t="str">
        <f t="shared" si="0"/>
        <v>3 - Otros</v>
      </c>
      <c r="G693" s="3">
        <v>1</v>
      </c>
    </row>
    <row r="694" spans="1:8" ht="12.75" hidden="1" x14ac:dyDescent="0.2">
      <c r="A694" s="3" t="s">
        <v>124</v>
      </c>
      <c r="B694" s="3">
        <v>95</v>
      </c>
      <c r="C694" s="3" t="s">
        <v>115</v>
      </c>
      <c r="D694" s="3" t="s">
        <v>125</v>
      </c>
      <c r="E694" s="3" t="s">
        <v>129</v>
      </c>
      <c r="F694" s="3" t="str">
        <f t="shared" si="0"/>
        <v>3 - Otros</v>
      </c>
      <c r="G694" s="3">
        <v>0</v>
      </c>
    </row>
    <row r="695" spans="1:8" ht="12.75" hidden="1" x14ac:dyDescent="0.2">
      <c r="A695" s="3" t="s">
        <v>124</v>
      </c>
      <c r="B695" s="3">
        <v>95</v>
      </c>
      <c r="C695" s="3" t="s">
        <v>115</v>
      </c>
      <c r="D695" s="3" t="s">
        <v>125</v>
      </c>
      <c r="E695" s="3" t="s">
        <v>132</v>
      </c>
      <c r="F695" s="3" t="str">
        <f t="shared" si="0"/>
        <v>2 - Frepam</v>
      </c>
      <c r="G695" s="3">
        <v>1</v>
      </c>
    </row>
    <row r="696" spans="1:8" ht="12.75" hidden="1" x14ac:dyDescent="0.2">
      <c r="A696" s="3" t="s">
        <v>124</v>
      </c>
      <c r="B696" s="3">
        <v>95</v>
      </c>
      <c r="C696" s="3" t="s">
        <v>115</v>
      </c>
      <c r="D696" s="3" t="s">
        <v>125</v>
      </c>
      <c r="E696" s="3" t="s">
        <v>134</v>
      </c>
      <c r="F696" s="3" t="str">
        <f t="shared" si="0"/>
        <v>3 - Otros</v>
      </c>
      <c r="G696" s="3">
        <v>0</v>
      </c>
    </row>
    <row r="697" spans="1:8" ht="12.75" hidden="1" x14ac:dyDescent="0.2">
      <c r="A697" s="3" t="s">
        <v>124</v>
      </c>
      <c r="B697" s="3">
        <v>95</v>
      </c>
      <c r="C697" s="3" t="s">
        <v>115</v>
      </c>
      <c r="D697" s="3" t="s">
        <v>125</v>
      </c>
      <c r="E697" s="3" t="s">
        <v>126</v>
      </c>
      <c r="F697" s="3" t="str">
        <f t="shared" si="0"/>
        <v>2 - Frepam</v>
      </c>
      <c r="G697" s="3">
        <v>66</v>
      </c>
    </row>
    <row r="698" spans="1:8" ht="12.75" hidden="1" x14ac:dyDescent="0.2">
      <c r="A698" s="3" t="s">
        <v>124</v>
      </c>
      <c r="B698" s="3">
        <v>95</v>
      </c>
      <c r="C698" s="3" t="s">
        <v>115</v>
      </c>
      <c r="D698" s="3" t="s">
        <v>125</v>
      </c>
      <c r="E698" s="3" t="s">
        <v>138</v>
      </c>
      <c r="F698" s="3" t="str">
        <f t="shared" si="0"/>
        <v>4 - Blanco/Nulo</v>
      </c>
      <c r="G698" s="3">
        <v>0</v>
      </c>
    </row>
    <row r="699" spans="1:8" ht="12.75" hidden="1" x14ac:dyDescent="0.2">
      <c r="A699" s="3" t="s">
        <v>124</v>
      </c>
      <c r="B699" s="3">
        <v>95</v>
      </c>
      <c r="C699" s="3" t="s">
        <v>115</v>
      </c>
      <c r="D699" s="3" t="s">
        <v>125</v>
      </c>
      <c r="E699" s="3" t="s">
        <v>14</v>
      </c>
      <c r="F699" s="3" t="str">
        <f t="shared" si="0"/>
        <v>4 - Blanco/Nulo</v>
      </c>
      <c r="G699" s="3">
        <v>1</v>
      </c>
    </row>
    <row r="700" spans="1:8" ht="12.75" x14ac:dyDescent="0.2">
      <c r="A700" s="3" t="s">
        <v>160</v>
      </c>
      <c r="B700" s="2">
        <v>1</v>
      </c>
      <c r="C700" s="4" t="s">
        <v>12</v>
      </c>
      <c r="D700" s="3" t="s">
        <v>2</v>
      </c>
      <c r="E700" s="3" t="s">
        <v>136</v>
      </c>
      <c r="F700" s="3" t="str">
        <f t="shared" si="0"/>
        <v>1 - PJ</v>
      </c>
      <c r="G700" s="2">
        <v>477</v>
      </c>
      <c r="H700" s="3"/>
    </row>
    <row r="701" spans="1:8" ht="12.75" x14ac:dyDescent="0.2">
      <c r="A701" s="3" t="s">
        <v>160</v>
      </c>
      <c r="B701" s="2">
        <v>1</v>
      </c>
      <c r="C701" s="4" t="s">
        <v>12</v>
      </c>
      <c r="D701" s="3" t="s">
        <v>2</v>
      </c>
      <c r="E701" s="3" t="s">
        <v>128</v>
      </c>
      <c r="F701" s="3" t="str">
        <f t="shared" si="0"/>
        <v>2 - Frepam</v>
      </c>
      <c r="G701" s="2">
        <v>316</v>
      </c>
      <c r="H701" s="3"/>
    </row>
    <row r="702" spans="1:8" ht="12.75" x14ac:dyDescent="0.2">
      <c r="A702" s="3" t="s">
        <v>160</v>
      </c>
      <c r="B702" s="2">
        <v>1</v>
      </c>
      <c r="C702" s="4" t="s">
        <v>12</v>
      </c>
      <c r="D702" s="3" t="s">
        <v>2</v>
      </c>
      <c r="E702" s="3" t="s">
        <v>133</v>
      </c>
      <c r="F702" s="3" t="str">
        <f t="shared" si="0"/>
        <v>3 - Otros</v>
      </c>
      <c r="G702" s="2">
        <v>308</v>
      </c>
      <c r="H702" s="3"/>
    </row>
    <row r="703" spans="1:8" ht="12.75" x14ac:dyDescent="0.2">
      <c r="A703" s="3" t="s">
        <v>160</v>
      </c>
      <c r="B703" s="2">
        <v>1</v>
      </c>
      <c r="C703" s="4" t="s">
        <v>12</v>
      </c>
      <c r="D703" s="3" t="s">
        <v>2</v>
      </c>
      <c r="E703" s="3" t="s">
        <v>139</v>
      </c>
      <c r="F703" s="3" t="str">
        <f t="shared" si="0"/>
        <v>3 - Otros</v>
      </c>
      <c r="G703" s="2">
        <v>92</v>
      </c>
      <c r="H703" s="3"/>
    </row>
    <row r="704" spans="1:8" ht="12.75" x14ac:dyDescent="0.2">
      <c r="A704" s="3" t="s">
        <v>160</v>
      </c>
      <c r="B704" s="2">
        <v>1</v>
      </c>
      <c r="C704" s="4" t="s">
        <v>12</v>
      </c>
      <c r="D704" s="3" t="s">
        <v>2</v>
      </c>
      <c r="E704" s="3" t="s">
        <v>14</v>
      </c>
      <c r="F704" s="3" t="str">
        <f t="shared" si="0"/>
        <v>4 - Blanco/Nulo</v>
      </c>
      <c r="G704" s="2">
        <v>49</v>
      </c>
      <c r="H704" s="2">
        <f>SUM(G700:G705)</f>
        <v>1249</v>
      </c>
    </row>
    <row r="705" spans="1:8" ht="12.75" x14ac:dyDescent="0.2">
      <c r="A705" s="3" t="s">
        <v>160</v>
      </c>
      <c r="B705" s="2">
        <v>1</v>
      </c>
      <c r="C705" s="4" t="s">
        <v>12</v>
      </c>
      <c r="D705" s="3" t="s">
        <v>2</v>
      </c>
      <c r="E705" s="3" t="s">
        <v>138</v>
      </c>
      <c r="F705" s="3" t="str">
        <f t="shared" si="0"/>
        <v>4 - Blanco/Nulo</v>
      </c>
      <c r="G705" s="2">
        <v>7</v>
      </c>
      <c r="H705" s="3"/>
    </row>
    <row r="706" spans="1:8" ht="12.75" x14ac:dyDescent="0.2">
      <c r="A706" s="3" t="s">
        <v>160</v>
      </c>
      <c r="B706" s="2">
        <v>1</v>
      </c>
      <c r="C706" s="4" t="s">
        <v>12</v>
      </c>
      <c r="D706" s="3" t="s">
        <v>161</v>
      </c>
      <c r="E706" s="3" t="s">
        <v>136</v>
      </c>
      <c r="F706" s="3" t="str">
        <f t="shared" si="0"/>
        <v>1 - PJ</v>
      </c>
      <c r="G706" s="2">
        <v>419</v>
      </c>
      <c r="H706" s="3"/>
    </row>
    <row r="707" spans="1:8" ht="12.75" x14ac:dyDescent="0.2">
      <c r="A707" s="3" t="s">
        <v>160</v>
      </c>
      <c r="B707" s="2">
        <v>1</v>
      </c>
      <c r="C707" s="4" t="s">
        <v>12</v>
      </c>
      <c r="D707" s="3" t="s">
        <v>161</v>
      </c>
      <c r="E707" s="3" t="s">
        <v>128</v>
      </c>
      <c r="F707" s="3" t="str">
        <f t="shared" si="0"/>
        <v>2 - Frepam</v>
      </c>
      <c r="G707" s="2">
        <v>346</v>
      </c>
      <c r="H707" s="3"/>
    </row>
    <row r="708" spans="1:8" ht="12.75" x14ac:dyDescent="0.2">
      <c r="A708" s="3" t="s">
        <v>160</v>
      </c>
      <c r="B708" s="2">
        <v>1</v>
      </c>
      <c r="C708" s="4" t="s">
        <v>12</v>
      </c>
      <c r="D708" s="3" t="s">
        <v>161</v>
      </c>
      <c r="E708" s="3" t="s">
        <v>133</v>
      </c>
      <c r="F708" s="3" t="str">
        <f t="shared" si="0"/>
        <v>3 - Otros</v>
      </c>
      <c r="G708" s="2">
        <v>230</v>
      </c>
      <c r="H708" s="3"/>
    </row>
    <row r="709" spans="1:8" ht="12.75" x14ac:dyDescent="0.2">
      <c r="A709" s="3" t="s">
        <v>160</v>
      </c>
      <c r="B709" s="2">
        <v>1</v>
      </c>
      <c r="C709" s="4" t="s">
        <v>12</v>
      </c>
      <c r="D709" s="3" t="s">
        <v>161</v>
      </c>
      <c r="E709" s="3" t="s">
        <v>14</v>
      </c>
      <c r="F709" s="3" t="str">
        <f t="shared" si="0"/>
        <v>4 - Blanco/Nulo</v>
      </c>
      <c r="G709" s="2">
        <v>167</v>
      </c>
      <c r="H709" s="3"/>
    </row>
    <row r="710" spans="1:8" ht="12.75" x14ac:dyDescent="0.2">
      <c r="A710" s="3" t="s">
        <v>160</v>
      </c>
      <c r="B710" s="2">
        <v>1</v>
      </c>
      <c r="C710" s="4" t="s">
        <v>12</v>
      </c>
      <c r="D710" s="3" t="s">
        <v>161</v>
      </c>
      <c r="E710" s="3" t="s">
        <v>139</v>
      </c>
      <c r="F710" s="3" t="str">
        <f t="shared" si="0"/>
        <v>3 - Otros</v>
      </c>
      <c r="G710" s="2">
        <v>60</v>
      </c>
      <c r="H710" s="2">
        <f>SUM(G706:G715)</f>
        <v>1249</v>
      </c>
    </row>
    <row r="711" spans="1:8" ht="12.75" x14ac:dyDescent="0.2">
      <c r="A711" s="3" t="s">
        <v>160</v>
      </c>
      <c r="B711" s="2">
        <v>1</v>
      </c>
      <c r="C711" s="4" t="s">
        <v>12</v>
      </c>
      <c r="D711" s="3" t="s">
        <v>161</v>
      </c>
      <c r="E711" s="3" t="s">
        <v>148</v>
      </c>
      <c r="F711" s="3" t="str">
        <f t="shared" si="0"/>
        <v>3 - Otros</v>
      </c>
      <c r="G711" s="2">
        <v>8</v>
      </c>
      <c r="H711" s="3"/>
    </row>
    <row r="712" spans="1:8" ht="12.75" x14ac:dyDescent="0.2">
      <c r="A712" s="3" t="s">
        <v>160</v>
      </c>
      <c r="B712" s="2">
        <v>1</v>
      </c>
      <c r="C712" s="4" t="s">
        <v>12</v>
      </c>
      <c r="D712" s="3" t="s">
        <v>161</v>
      </c>
      <c r="E712" s="3" t="s">
        <v>138</v>
      </c>
      <c r="F712" s="3" t="str">
        <f t="shared" si="0"/>
        <v>4 - Blanco/Nulo</v>
      </c>
      <c r="G712" s="2">
        <v>8</v>
      </c>
      <c r="H712" s="3"/>
    </row>
    <row r="713" spans="1:8" ht="12.75" x14ac:dyDescent="0.2">
      <c r="A713" s="3" t="s">
        <v>160</v>
      </c>
      <c r="B713" s="2">
        <v>1</v>
      </c>
      <c r="C713" s="4" t="s">
        <v>12</v>
      </c>
      <c r="D713" s="3" t="s">
        <v>161</v>
      </c>
      <c r="E713" s="3" t="s">
        <v>149</v>
      </c>
      <c r="F713" s="3" t="str">
        <f t="shared" si="0"/>
        <v>3 - Otros</v>
      </c>
      <c r="G713" s="2">
        <v>6</v>
      </c>
      <c r="H713" s="3"/>
    </row>
    <row r="714" spans="1:8" ht="12.75" x14ac:dyDescent="0.2">
      <c r="A714" s="3" t="s">
        <v>160</v>
      </c>
      <c r="B714" s="2">
        <v>1</v>
      </c>
      <c r="C714" s="4" t="s">
        <v>12</v>
      </c>
      <c r="D714" s="3" t="s">
        <v>161</v>
      </c>
      <c r="E714" s="3" t="s">
        <v>135</v>
      </c>
      <c r="F714" s="3" t="str">
        <f t="shared" si="0"/>
        <v>3 - Otros</v>
      </c>
      <c r="G714" s="2">
        <v>3</v>
      </c>
      <c r="H714" s="3"/>
    </row>
    <row r="715" spans="1:8" ht="12.75" x14ac:dyDescent="0.2">
      <c r="A715" s="3" t="s">
        <v>160</v>
      </c>
      <c r="B715" s="2">
        <v>1</v>
      </c>
      <c r="C715" s="4" t="s">
        <v>12</v>
      </c>
      <c r="D715" s="3" t="s">
        <v>161</v>
      </c>
      <c r="E715" s="3" t="s">
        <v>145</v>
      </c>
      <c r="F715" s="3" t="str">
        <f t="shared" si="0"/>
        <v>3 - Otros</v>
      </c>
      <c r="G715" s="2">
        <v>2</v>
      </c>
      <c r="H715" s="3"/>
    </row>
    <row r="716" spans="1:8" ht="12.75" x14ac:dyDescent="0.2">
      <c r="A716" s="3" t="s">
        <v>160</v>
      </c>
      <c r="B716" s="2">
        <v>1</v>
      </c>
      <c r="C716" s="4" t="s">
        <v>12</v>
      </c>
      <c r="D716" s="3" t="s">
        <v>162</v>
      </c>
      <c r="E716" s="3" t="s">
        <v>136</v>
      </c>
      <c r="F716" s="3" t="str">
        <f t="shared" si="0"/>
        <v>1 - PJ</v>
      </c>
      <c r="G716" s="2">
        <v>456</v>
      </c>
      <c r="H716" s="3"/>
    </row>
    <row r="717" spans="1:8" ht="12.75" x14ac:dyDescent="0.2">
      <c r="A717" s="3" t="s">
        <v>160</v>
      </c>
      <c r="B717" s="2">
        <v>1</v>
      </c>
      <c r="C717" s="4" t="s">
        <v>12</v>
      </c>
      <c r="D717" s="3" t="s">
        <v>162</v>
      </c>
      <c r="E717" s="3" t="s">
        <v>128</v>
      </c>
      <c r="F717" s="3" t="str">
        <f t="shared" si="0"/>
        <v>2 - Frepam</v>
      </c>
      <c r="G717" s="2">
        <v>369</v>
      </c>
      <c r="H717" s="3"/>
    </row>
    <row r="718" spans="1:8" ht="12.75" x14ac:dyDescent="0.2">
      <c r="A718" s="3" t="s">
        <v>160</v>
      </c>
      <c r="B718" s="2">
        <v>1</v>
      </c>
      <c r="C718" s="4" t="s">
        <v>12</v>
      </c>
      <c r="D718" s="3" t="s">
        <v>162</v>
      </c>
      <c r="E718" s="3" t="s">
        <v>133</v>
      </c>
      <c r="F718" s="3" t="str">
        <f t="shared" si="0"/>
        <v>3 - Otros</v>
      </c>
      <c r="G718" s="2">
        <v>241</v>
      </c>
      <c r="H718" s="3"/>
    </row>
    <row r="719" spans="1:8" ht="12.75" x14ac:dyDescent="0.2">
      <c r="A719" s="3" t="s">
        <v>160</v>
      </c>
      <c r="B719" s="2">
        <v>1</v>
      </c>
      <c r="C719" s="4" t="s">
        <v>12</v>
      </c>
      <c r="D719" s="3" t="s">
        <v>162</v>
      </c>
      <c r="E719" s="3" t="s">
        <v>14</v>
      </c>
      <c r="F719" s="3" t="str">
        <f t="shared" si="0"/>
        <v>4 - Blanco/Nulo</v>
      </c>
      <c r="G719" s="2">
        <v>98</v>
      </c>
      <c r="H719" s="3"/>
    </row>
    <row r="720" spans="1:8" ht="12.75" x14ac:dyDescent="0.2">
      <c r="A720" s="3" t="s">
        <v>160</v>
      </c>
      <c r="B720" s="2">
        <v>1</v>
      </c>
      <c r="C720" s="4" t="s">
        <v>12</v>
      </c>
      <c r="D720" s="3" t="s">
        <v>162</v>
      </c>
      <c r="E720" s="3" t="s">
        <v>139</v>
      </c>
      <c r="F720" s="3" t="str">
        <f t="shared" si="0"/>
        <v>3 - Otros</v>
      </c>
      <c r="G720" s="2">
        <v>58</v>
      </c>
      <c r="H720" s="2">
        <f>SUM(G716:G725)</f>
        <v>1249</v>
      </c>
    </row>
    <row r="721" spans="1:8" ht="12.75" x14ac:dyDescent="0.2">
      <c r="A721" s="3" t="s">
        <v>160</v>
      </c>
      <c r="B721" s="2">
        <v>1</v>
      </c>
      <c r="C721" s="4" t="s">
        <v>12</v>
      </c>
      <c r="D721" s="3" t="s">
        <v>162</v>
      </c>
      <c r="E721" s="3" t="s">
        <v>149</v>
      </c>
      <c r="F721" s="3" t="str">
        <f t="shared" si="0"/>
        <v>3 - Otros</v>
      </c>
      <c r="G721" s="2">
        <v>8</v>
      </c>
      <c r="H721" s="3"/>
    </row>
    <row r="722" spans="1:8" ht="12.75" x14ac:dyDescent="0.2">
      <c r="A722" s="3" t="s">
        <v>160</v>
      </c>
      <c r="B722" s="2">
        <v>1</v>
      </c>
      <c r="C722" s="4" t="s">
        <v>12</v>
      </c>
      <c r="D722" s="3" t="s">
        <v>162</v>
      </c>
      <c r="E722" s="3" t="s">
        <v>138</v>
      </c>
      <c r="F722" s="3" t="str">
        <f t="shared" si="0"/>
        <v>4 - Blanco/Nulo</v>
      </c>
      <c r="G722" s="2">
        <v>7</v>
      </c>
      <c r="H722" s="3"/>
    </row>
    <row r="723" spans="1:8" ht="12.75" x14ac:dyDescent="0.2">
      <c r="A723" s="3" t="s">
        <v>160</v>
      </c>
      <c r="B723" s="2">
        <v>1</v>
      </c>
      <c r="C723" s="4" t="s">
        <v>12</v>
      </c>
      <c r="D723" s="3" t="s">
        <v>162</v>
      </c>
      <c r="E723" s="3" t="s">
        <v>148</v>
      </c>
      <c r="F723" s="3" t="str">
        <f t="shared" si="0"/>
        <v>3 - Otros</v>
      </c>
      <c r="G723" s="2">
        <v>6</v>
      </c>
      <c r="H723" s="3"/>
    </row>
    <row r="724" spans="1:8" ht="12.75" x14ac:dyDescent="0.2">
      <c r="A724" s="3" t="s">
        <v>160</v>
      </c>
      <c r="B724" s="2">
        <v>1</v>
      </c>
      <c r="C724" s="4" t="s">
        <v>12</v>
      </c>
      <c r="D724" s="3" t="s">
        <v>162</v>
      </c>
      <c r="E724" s="3" t="s">
        <v>135</v>
      </c>
      <c r="F724" s="3" t="str">
        <f t="shared" si="0"/>
        <v>3 - Otros</v>
      </c>
      <c r="G724" s="2">
        <v>3</v>
      </c>
      <c r="H724" s="3"/>
    </row>
    <row r="725" spans="1:8" ht="12.75" x14ac:dyDescent="0.2">
      <c r="A725" s="3" t="s">
        <v>160</v>
      </c>
      <c r="B725" s="2">
        <v>1</v>
      </c>
      <c r="C725" s="4" t="s">
        <v>12</v>
      </c>
      <c r="D725" s="3" t="s">
        <v>162</v>
      </c>
      <c r="E725" s="3" t="s">
        <v>145</v>
      </c>
      <c r="F725" s="3" t="str">
        <f t="shared" si="0"/>
        <v>3 - Otros</v>
      </c>
      <c r="G725" s="2">
        <v>3</v>
      </c>
      <c r="H725" s="3"/>
    </row>
    <row r="726" spans="1:8" ht="12.75" hidden="1" x14ac:dyDescent="0.2">
      <c r="A726" s="3" t="s">
        <v>160</v>
      </c>
      <c r="B726" s="2">
        <v>2</v>
      </c>
      <c r="C726" s="4" t="s">
        <v>25</v>
      </c>
      <c r="D726" s="3" t="s">
        <v>2</v>
      </c>
      <c r="E726" s="3" t="s">
        <v>3</v>
      </c>
      <c r="F726" s="3" t="str">
        <f t="shared" si="0"/>
        <v>1 - PJ</v>
      </c>
      <c r="G726" s="2">
        <v>2218</v>
      </c>
      <c r="H726" s="2">
        <f>SUM(G726:G729)</f>
        <v>3886</v>
      </c>
    </row>
    <row r="727" spans="1:8" ht="12.75" hidden="1" x14ac:dyDescent="0.2">
      <c r="A727" s="3" t="s">
        <v>160</v>
      </c>
      <c r="B727" s="2">
        <v>2</v>
      </c>
      <c r="C727" s="4" t="s">
        <v>25</v>
      </c>
      <c r="D727" s="3" t="s">
        <v>2</v>
      </c>
      <c r="E727" s="3" t="s">
        <v>128</v>
      </c>
      <c r="F727" s="3" t="str">
        <f t="shared" si="0"/>
        <v>2 - Frepam</v>
      </c>
      <c r="G727" s="2">
        <v>1422</v>
      </c>
      <c r="H727" s="3"/>
    </row>
    <row r="728" spans="1:8" ht="12.75" hidden="1" x14ac:dyDescent="0.2">
      <c r="A728" s="3" t="s">
        <v>160</v>
      </c>
      <c r="B728" s="2">
        <v>2</v>
      </c>
      <c r="C728" s="4" t="s">
        <v>25</v>
      </c>
      <c r="D728" s="3" t="s">
        <v>2</v>
      </c>
      <c r="E728" s="3" t="s">
        <v>14</v>
      </c>
      <c r="F728" s="3" t="str">
        <f t="shared" si="0"/>
        <v>4 - Blanco/Nulo</v>
      </c>
      <c r="G728" s="2">
        <v>207</v>
      </c>
      <c r="H728" s="3"/>
    </row>
    <row r="729" spans="1:8" ht="12.75" hidden="1" x14ac:dyDescent="0.2">
      <c r="A729" s="3" t="s">
        <v>160</v>
      </c>
      <c r="B729" s="2">
        <v>2</v>
      </c>
      <c r="C729" s="4" t="s">
        <v>25</v>
      </c>
      <c r="D729" s="3" t="s">
        <v>2</v>
      </c>
      <c r="E729" s="3" t="s">
        <v>138</v>
      </c>
      <c r="F729" s="3" t="str">
        <f t="shared" si="0"/>
        <v>4 - Blanco/Nulo</v>
      </c>
      <c r="G729" s="2">
        <v>39</v>
      </c>
      <c r="H729" s="3"/>
    </row>
    <row r="730" spans="1:8" ht="12.75" hidden="1" x14ac:dyDescent="0.2">
      <c r="A730" s="3" t="s">
        <v>160</v>
      </c>
      <c r="B730" s="2">
        <v>2</v>
      </c>
      <c r="C730" s="4" t="s">
        <v>25</v>
      </c>
      <c r="D730" s="3" t="s">
        <v>162</v>
      </c>
      <c r="E730" s="3" t="s">
        <v>3</v>
      </c>
      <c r="F730" s="3" t="str">
        <f t="shared" si="0"/>
        <v>1 - PJ</v>
      </c>
      <c r="G730" s="2">
        <v>2157</v>
      </c>
      <c r="H730" s="3"/>
    </row>
    <row r="731" spans="1:8" ht="12.75" hidden="1" x14ac:dyDescent="0.2">
      <c r="A731" s="3" t="s">
        <v>160</v>
      </c>
      <c r="B731" s="2">
        <v>2</v>
      </c>
      <c r="C731" s="4" t="s">
        <v>25</v>
      </c>
      <c r="D731" s="3" t="s">
        <v>162</v>
      </c>
      <c r="E731" s="3" t="s">
        <v>128</v>
      </c>
      <c r="F731" s="3" t="str">
        <f t="shared" si="0"/>
        <v>2 - Frepam</v>
      </c>
      <c r="G731" s="2">
        <v>1277</v>
      </c>
      <c r="H731" s="3"/>
    </row>
    <row r="732" spans="1:8" ht="12.75" hidden="1" x14ac:dyDescent="0.2">
      <c r="A732" s="3" t="s">
        <v>160</v>
      </c>
      <c r="B732" s="2">
        <v>2</v>
      </c>
      <c r="C732" s="4" t="s">
        <v>25</v>
      </c>
      <c r="D732" s="3" t="s">
        <v>162</v>
      </c>
      <c r="E732" s="3" t="s">
        <v>133</v>
      </c>
      <c r="F732" s="3" t="str">
        <f t="shared" si="0"/>
        <v>3 - Otros</v>
      </c>
      <c r="G732" s="2">
        <v>224</v>
      </c>
      <c r="H732" s="3"/>
    </row>
    <row r="733" spans="1:8" ht="12.75" hidden="1" x14ac:dyDescent="0.2">
      <c r="A733" s="3" t="s">
        <v>160</v>
      </c>
      <c r="B733" s="2">
        <v>2</v>
      </c>
      <c r="C733" s="4" t="s">
        <v>25</v>
      </c>
      <c r="D733" s="3" t="s">
        <v>162</v>
      </c>
      <c r="E733" s="3" t="s">
        <v>14</v>
      </c>
      <c r="F733" s="3" t="str">
        <f t="shared" si="0"/>
        <v>4 - Blanco/Nulo</v>
      </c>
      <c r="G733" s="2">
        <v>94</v>
      </c>
      <c r="H733" s="3"/>
    </row>
    <row r="734" spans="1:8" ht="12.75" hidden="1" x14ac:dyDescent="0.2">
      <c r="A734" s="3" t="s">
        <v>160</v>
      </c>
      <c r="B734" s="2">
        <v>2</v>
      </c>
      <c r="C734" s="4" t="s">
        <v>25</v>
      </c>
      <c r="D734" s="3" t="s">
        <v>162</v>
      </c>
      <c r="E734" s="3" t="s">
        <v>138</v>
      </c>
      <c r="F734" s="3" t="str">
        <f t="shared" si="0"/>
        <v>4 - Blanco/Nulo</v>
      </c>
      <c r="G734" s="2">
        <v>64</v>
      </c>
      <c r="H734" s="2">
        <f>SUM(G730:G739)</f>
        <v>3886</v>
      </c>
    </row>
    <row r="735" spans="1:8" ht="12.75" hidden="1" x14ac:dyDescent="0.2">
      <c r="A735" s="3" t="s">
        <v>160</v>
      </c>
      <c r="B735" s="2">
        <v>2</v>
      </c>
      <c r="C735" s="4" t="s">
        <v>25</v>
      </c>
      <c r="D735" s="3" t="s">
        <v>162</v>
      </c>
      <c r="E735" s="3" t="s">
        <v>149</v>
      </c>
      <c r="F735" s="3" t="str">
        <f t="shared" si="0"/>
        <v>3 - Otros</v>
      </c>
      <c r="G735" s="2">
        <v>28</v>
      </c>
      <c r="H735" s="3"/>
    </row>
    <row r="736" spans="1:8" ht="12.75" hidden="1" x14ac:dyDescent="0.2">
      <c r="A736" s="3" t="s">
        <v>160</v>
      </c>
      <c r="B736" s="2">
        <v>2</v>
      </c>
      <c r="C736" s="4" t="s">
        <v>25</v>
      </c>
      <c r="D736" s="3" t="s">
        <v>162</v>
      </c>
      <c r="E736" s="3" t="s">
        <v>139</v>
      </c>
      <c r="F736" s="3" t="str">
        <f t="shared" si="0"/>
        <v>3 - Otros</v>
      </c>
      <c r="G736" s="2">
        <v>18</v>
      </c>
      <c r="H736" s="3"/>
    </row>
    <row r="737" spans="1:8" ht="12.75" hidden="1" x14ac:dyDescent="0.2">
      <c r="A737" s="3" t="s">
        <v>160</v>
      </c>
      <c r="B737" s="2">
        <v>2</v>
      </c>
      <c r="C737" s="4" t="s">
        <v>25</v>
      </c>
      <c r="D737" s="3" t="s">
        <v>162</v>
      </c>
      <c r="E737" s="3" t="s">
        <v>145</v>
      </c>
      <c r="F737" s="3" t="str">
        <f t="shared" si="0"/>
        <v>3 - Otros</v>
      </c>
      <c r="G737" s="2">
        <v>13</v>
      </c>
      <c r="H737" s="3"/>
    </row>
    <row r="738" spans="1:8" ht="12.75" hidden="1" x14ac:dyDescent="0.2">
      <c r="A738" s="3" t="s">
        <v>160</v>
      </c>
      <c r="B738" s="2">
        <v>2</v>
      </c>
      <c r="C738" s="4" t="s">
        <v>25</v>
      </c>
      <c r="D738" s="3" t="s">
        <v>162</v>
      </c>
      <c r="E738" s="3" t="s">
        <v>148</v>
      </c>
      <c r="F738" s="3" t="str">
        <f t="shared" si="0"/>
        <v>3 - Otros</v>
      </c>
      <c r="G738" s="2">
        <v>8</v>
      </c>
      <c r="H738" s="3"/>
    </row>
    <row r="739" spans="1:8" ht="12.75" hidden="1" x14ac:dyDescent="0.2">
      <c r="A739" s="3" t="s">
        <v>160</v>
      </c>
      <c r="B739" s="2">
        <v>2</v>
      </c>
      <c r="C739" s="4" t="s">
        <v>25</v>
      </c>
      <c r="D739" s="3" t="s">
        <v>162</v>
      </c>
      <c r="E739" s="3" t="s">
        <v>135</v>
      </c>
      <c r="F739" s="3" t="str">
        <f t="shared" si="0"/>
        <v>3 - Otros</v>
      </c>
      <c r="G739" s="2">
        <v>3</v>
      </c>
      <c r="H739" s="3"/>
    </row>
    <row r="740" spans="1:8" ht="12.75" hidden="1" x14ac:dyDescent="0.2">
      <c r="A740" s="3" t="s">
        <v>160</v>
      </c>
      <c r="B740" s="2">
        <v>2</v>
      </c>
      <c r="C740" s="4" t="s">
        <v>25</v>
      </c>
      <c r="D740" s="3" t="s">
        <v>161</v>
      </c>
      <c r="E740" s="3" t="s">
        <v>3</v>
      </c>
      <c r="F740" s="3" t="str">
        <f t="shared" si="0"/>
        <v>1 - PJ</v>
      </c>
      <c r="G740" s="2">
        <v>2156</v>
      </c>
      <c r="H740" s="3"/>
    </row>
    <row r="741" spans="1:8" ht="12.75" hidden="1" x14ac:dyDescent="0.2">
      <c r="A741" s="3" t="s">
        <v>160</v>
      </c>
      <c r="B741" s="2">
        <v>2</v>
      </c>
      <c r="C741" s="4" t="s">
        <v>25</v>
      </c>
      <c r="D741" s="3" t="s">
        <v>161</v>
      </c>
      <c r="E741" s="3" t="s">
        <v>128</v>
      </c>
      <c r="F741" s="3" t="str">
        <f t="shared" si="0"/>
        <v>2 - Frepam</v>
      </c>
      <c r="G741" s="2">
        <v>1290</v>
      </c>
      <c r="H741" s="3"/>
    </row>
    <row r="742" spans="1:8" ht="12.75" hidden="1" x14ac:dyDescent="0.2">
      <c r="A742" s="3" t="s">
        <v>160</v>
      </c>
      <c r="B742" s="2">
        <v>2</v>
      </c>
      <c r="C742" s="4" t="s">
        <v>25</v>
      </c>
      <c r="D742" s="3" t="s">
        <v>161</v>
      </c>
      <c r="E742" s="3" t="s">
        <v>133</v>
      </c>
      <c r="F742" s="3" t="str">
        <f t="shared" si="0"/>
        <v>3 - Otros</v>
      </c>
      <c r="G742" s="2">
        <v>173</v>
      </c>
      <c r="H742" s="3"/>
    </row>
    <row r="743" spans="1:8" ht="12.75" hidden="1" x14ac:dyDescent="0.2">
      <c r="A743" s="3" t="s">
        <v>160</v>
      </c>
      <c r="B743" s="2">
        <v>2</v>
      </c>
      <c r="C743" s="4" t="s">
        <v>25</v>
      </c>
      <c r="D743" s="3" t="s">
        <v>161</v>
      </c>
      <c r="E743" s="3" t="s">
        <v>14</v>
      </c>
      <c r="F743" s="3" t="str">
        <f t="shared" si="0"/>
        <v>4 - Blanco/Nulo</v>
      </c>
      <c r="G743" s="2">
        <v>135</v>
      </c>
      <c r="H743" s="3"/>
    </row>
    <row r="744" spans="1:8" ht="12.75" hidden="1" x14ac:dyDescent="0.2">
      <c r="A744" s="3" t="s">
        <v>160</v>
      </c>
      <c r="B744" s="2">
        <v>2</v>
      </c>
      <c r="C744" s="4" t="s">
        <v>25</v>
      </c>
      <c r="D744" s="3" t="s">
        <v>161</v>
      </c>
      <c r="E744" s="3" t="s">
        <v>138</v>
      </c>
      <c r="F744" s="3" t="str">
        <f t="shared" si="0"/>
        <v>4 - Blanco/Nulo</v>
      </c>
      <c r="G744" s="2">
        <v>65</v>
      </c>
      <c r="H744" s="3"/>
    </row>
    <row r="745" spans="1:8" ht="12.75" hidden="1" x14ac:dyDescent="0.2">
      <c r="A745" s="3" t="s">
        <v>160</v>
      </c>
      <c r="B745" s="2">
        <v>2</v>
      </c>
      <c r="C745" s="4" t="s">
        <v>25</v>
      </c>
      <c r="D745" s="3" t="s">
        <v>161</v>
      </c>
      <c r="E745" s="3" t="s">
        <v>149</v>
      </c>
      <c r="F745" s="3" t="str">
        <f t="shared" si="0"/>
        <v>3 - Otros</v>
      </c>
      <c r="G745" s="2">
        <v>23</v>
      </c>
      <c r="H745" s="2">
        <f>SUM(G740:G749)</f>
        <v>3886</v>
      </c>
    </row>
    <row r="746" spans="1:8" ht="12.75" hidden="1" x14ac:dyDescent="0.2">
      <c r="A746" s="3" t="s">
        <v>160</v>
      </c>
      <c r="B746" s="2">
        <v>2</v>
      </c>
      <c r="C746" s="4" t="s">
        <v>25</v>
      </c>
      <c r="D746" s="3" t="s">
        <v>161</v>
      </c>
      <c r="E746" s="3" t="s">
        <v>145</v>
      </c>
      <c r="F746" s="3" t="str">
        <f t="shared" si="0"/>
        <v>3 - Otros</v>
      </c>
      <c r="G746" s="2">
        <v>16</v>
      </c>
      <c r="H746" s="3"/>
    </row>
    <row r="747" spans="1:8" ht="12.75" hidden="1" x14ac:dyDescent="0.2">
      <c r="A747" s="3" t="s">
        <v>160</v>
      </c>
      <c r="B747" s="2">
        <v>2</v>
      </c>
      <c r="C747" s="4" t="s">
        <v>25</v>
      </c>
      <c r="D747" s="3" t="s">
        <v>161</v>
      </c>
      <c r="E747" s="3" t="s">
        <v>139</v>
      </c>
      <c r="F747" s="3" t="str">
        <f t="shared" si="0"/>
        <v>3 - Otros</v>
      </c>
      <c r="G747" s="2">
        <v>16</v>
      </c>
      <c r="H747" s="3"/>
    </row>
    <row r="748" spans="1:8" ht="12.75" hidden="1" x14ac:dyDescent="0.2">
      <c r="A748" s="3" t="s">
        <v>160</v>
      </c>
      <c r="B748" s="2">
        <v>2</v>
      </c>
      <c r="C748" s="4" t="s">
        <v>25</v>
      </c>
      <c r="D748" s="3" t="s">
        <v>161</v>
      </c>
      <c r="E748" s="3" t="s">
        <v>148</v>
      </c>
      <c r="F748" s="3" t="str">
        <f t="shared" si="0"/>
        <v>3 - Otros</v>
      </c>
      <c r="G748" s="2">
        <v>10</v>
      </c>
      <c r="H748" s="3"/>
    </row>
    <row r="749" spans="1:8" ht="12.75" hidden="1" x14ac:dyDescent="0.2">
      <c r="A749" s="3" t="s">
        <v>160</v>
      </c>
      <c r="B749" s="2">
        <v>2</v>
      </c>
      <c r="C749" s="4" t="s">
        <v>25</v>
      </c>
      <c r="D749" s="3" t="s">
        <v>161</v>
      </c>
      <c r="E749" s="3" t="s">
        <v>135</v>
      </c>
      <c r="F749" s="3" t="str">
        <f t="shared" si="0"/>
        <v>3 - Otros</v>
      </c>
      <c r="G749" s="2">
        <v>2</v>
      </c>
      <c r="H749" s="3"/>
    </row>
    <row r="750" spans="1:8" ht="12.75" hidden="1" x14ac:dyDescent="0.2">
      <c r="A750" s="3" t="s">
        <v>160</v>
      </c>
      <c r="B750" s="2">
        <v>3</v>
      </c>
      <c r="C750" s="4" t="s">
        <v>35</v>
      </c>
      <c r="D750" s="3" t="s">
        <v>2</v>
      </c>
      <c r="E750" s="3" t="s">
        <v>136</v>
      </c>
      <c r="F750" s="3" t="str">
        <f t="shared" si="0"/>
        <v>1 - PJ</v>
      </c>
      <c r="G750" s="2">
        <v>1088</v>
      </c>
      <c r="H750" s="2">
        <f>SUM(G750:G753)</f>
        <v>1948</v>
      </c>
    </row>
    <row r="751" spans="1:8" ht="12.75" hidden="1" x14ac:dyDescent="0.2">
      <c r="A751" s="3" t="s">
        <v>160</v>
      </c>
      <c r="B751" s="2">
        <v>3</v>
      </c>
      <c r="C751" s="4" t="s">
        <v>35</v>
      </c>
      <c r="D751" s="3" t="s">
        <v>2</v>
      </c>
      <c r="E751" s="3" t="s">
        <v>128</v>
      </c>
      <c r="F751" s="3" t="str">
        <f t="shared" si="0"/>
        <v>2 - Frepam</v>
      </c>
      <c r="G751" s="2">
        <v>827</v>
      </c>
      <c r="H751" s="3"/>
    </row>
    <row r="752" spans="1:8" ht="12.75" hidden="1" x14ac:dyDescent="0.2">
      <c r="A752" s="3" t="s">
        <v>160</v>
      </c>
      <c r="B752" s="2">
        <v>3</v>
      </c>
      <c r="C752" s="4" t="s">
        <v>35</v>
      </c>
      <c r="D752" s="3" t="s">
        <v>2</v>
      </c>
      <c r="E752" s="3" t="s">
        <v>14</v>
      </c>
      <c r="F752" s="3" t="str">
        <f t="shared" si="0"/>
        <v>4 - Blanco/Nulo</v>
      </c>
      <c r="G752" s="2">
        <v>26</v>
      </c>
      <c r="H752" s="3"/>
    </row>
    <row r="753" spans="1:8" ht="12.75" hidden="1" x14ac:dyDescent="0.2">
      <c r="A753" s="3" t="s">
        <v>160</v>
      </c>
      <c r="B753" s="2">
        <v>3</v>
      </c>
      <c r="C753" s="4" t="s">
        <v>35</v>
      </c>
      <c r="D753" s="3" t="s">
        <v>2</v>
      </c>
      <c r="E753" s="3" t="s">
        <v>138</v>
      </c>
      <c r="F753" s="3" t="str">
        <f t="shared" si="0"/>
        <v>4 - Blanco/Nulo</v>
      </c>
      <c r="G753" s="2">
        <v>7</v>
      </c>
      <c r="H753" s="3"/>
    </row>
    <row r="754" spans="1:8" ht="12.75" hidden="1" x14ac:dyDescent="0.2">
      <c r="A754" s="3" t="s">
        <v>160</v>
      </c>
      <c r="B754" s="2">
        <v>3</v>
      </c>
      <c r="C754" s="4" t="s">
        <v>35</v>
      </c>
      <c r="D754" s="3" t="s">
        <v>161</v>
      </c>
      <c r="E754" s="3" t="s">
        <v>136</v>
      </c>
      <c r="F754" s="3" t="str">
        <f t="shared" si="0"/>
        <v>1 - PJ</v>
      </c>
      <c r="G754" s="2">
        <v>1047</v>
      </c>
      <c r="H754" s="3"/>
    </row>
    <row r="755" spans="1:8" ht="12.75" hidden="1" x14ac:dyDescent="0.2">
      <c r="A755" s="3" t="s">
        <v>160</v>
      </c>
      <c r="B755" s="2">
        <v>3</v>
      </c>
      <c r="C755" s="4" t="s">
        <v>35</v>
      </c>
      <c r="D755" s="3" t="s">
        <v>161</v>
      </c>
      <c r="E755" s="3" t="s">
        <v>128</v>
      </c>
      <c r="F755" s="3" t="str">
        <f t="shared" si="0"/>
        <v>2 - Frepam</v>
      </c>
      <c r="G755" s="2">
        <v>708</v>
      </c>
      <c r="H755" s="3"/>
    </row>
    <row r="756" spans="1:8" ht="12.75" hidden="1" x14ac:dyDescent="0.2">
      <c r="A756" s="3" t="s">
        <v>160</v>
      </c>
      <c r="B756" s="2">
        <v>3</v>
      </c>
      <c r="C756" s="4" t="s">
        <v>35</v>
      </c>
      <c r="D756" s="3" t="s">
        <v>161</v>
      </c>
      <c r="E756" s="3" t="s">
        <v>14</v>
      </c>
      <c r="F756" s="3" t="str">
        <f t="shared" si="0"/>
        <v>4 - Blanco/Nulo</v>
      </c>
      <c r="G756" s="2">
        <v>64</v>
      </c>
      <c r="H756" s="3"/>
    </row>
    <row r="757" spans="1:8" ht="12.75" hidden="1" x14ac:dyDescent="0.2">
      <c r="A757" s="3" t="s">
        <v>160</v>
      </c>
      <c r="B757" s="2">
        <v>3</v>
      </c>
      <c r="C757" s="4" t="s">
        <v>35</v>
      </c>
      <c r="D757" s="3" t="s">
        <v>161</v>
      </c>
      <c r="E757" s="3" t="s">
        <v>138</v>
      </c>
      <c r="F757" s="3" t="str">
        <f t="shared" si="0"/>
        <v>4 - Blanco/Nulo</v>
      </c>
      <c r="G757" s="2">
        <v>63</v>
      </c>
      <c r="H757" s="3"/>
    </row>
    <row r="758" spans="1:8" ht="12.75" hidden="1" x14ac:dyDescent="0.2">
      <c r="A758" s="3" t="s">
        <v>160</v>
      </c>
      <c r="B758" s="2">
        <v>3</v>
      </c>
      <c r="C758" s="4" t="s">
        <v>35</v>
      </c>
      <c r="D758" s="3" t="s">
        <v>161</v>
      </c>
      <c r="E758" s="3" t="s">
        <v>133</v>
      </c>
      <c r="F758" s="3" t="str">
        <f t="shared" si="0"/>
        <v>3 - Otros</v>
      </c>
      <c r="G758" s="2">
        <v>25</v>
      </c>
      <c r="H758" s="2">
        <f>SUM(G754:G763)</f>
        <v>1948</v>
      </c>
    </row>
    <row r="759" spans="1:8" ht="12.75" hidden="1" x14ac:dyDescent="0.2">
      <c r="A759" s="3" t="s">
        <v>160</v>
      </c>
      <c r="B759" s="2">
        <v>3</v>
      </c>
      <c r="C759" s="4" t="s">
        <v>35</v>
      </c>
      <c r="D759" s="3" t="s">
        <v>161</v>
      </c>
      <c r="E759" s="3" t="s">
        <v>149</v>
      </c>
      <c r="F759" s="3" t="str">
        <f t="shared" si="0"/>
        <v>3 - Otros</v>
      </c>
      <c r="G759" s="2">
        <v>22</v>
      </c>
      <c r="H759" s="3"/>
    </row>
    <row r="760" spans="1:8" ht="12.75" hidden="1" x14ac:dyDescent="0.2">
      <c r="A760" s="3" t="s">
        <v>160</v>
      </c>
      <c r="B760" s="2">
        <v>3</v>
      </c>
      <c r="C760" s="4" t="s">
        <v>35</v>
      </c>
      <c r="D760" s="3" t="s">
        <v>161</v>
      </c>
      <c r="E760" s="3" t="s">
        <v>148</v>
      </c>
      <c r="F760" s="3" t="str">
        <f t="shared" si="0"/>
        <v>3 - Otros</v>
      </c>
      <c r="G760" s="2">
        <v>8</v>
      </c>
      <c r="H760" s="3"/>
    </row>
    <row r="761" spans="1:8" ht="12.75" hidden="1" x14ac:dyDescent="0.2">
      <c r="A761" s="3" t="s">
        <v>160</v>
      </c>
      <c r="B761" s="2">
        <v>3</v>
      </c>
      <c r="C761" s="4" t="s">
        <v>35</v>
      </c>
      <c r="D761" s="3" t="s">
        <v>161</v>
      </c>
      <c r="E761" s="3" t="s">
        <v>139</v>
      </c>
      <c r="F761" s="3" t="str">
        <f t="shared" si="0"/>
        <v>3 - Otros</v>
      </c>
      <c r="G761" s="2">
        <v>7</v>
      </c>
      <c r="H761" s="3"/>
    </row>
    <row r="762" spans="1:8" ht="12.75" hidden="1" x14ac:dyDescent="0.2">
      <c r="A762" s="3" t="s">
        <v>160</v>
      </c>
      <c r="B762" s="2">
        <v>3</v>
      </c>
      <c r="C762" s="4" t="s">
        <v>35</v>
      </c>
      <c r="D762" s="3" t="s">
        <v>161</v>
      </c>
      <c r="E762" s="3" t="s">
        <v>135</v>
      </c>
      <c r="F762" s="3" t="str">
        <f t="shared" si="0"/>
        <v>3 - Otros</v>
      </c>
      <c r="G762" s="2">
        <v>2</v>
      </c>
      <c r="H762" s="3"/>
    </row>
    <row r="763" spans="1:8" ht="12.75" hidden="1" x14ac:dyDescent="0.2">
      <c r="A763" s="3" t="s">
        <v>160</v>
      </c>
      <c r="B763" s="2">
        <v>3</v>
      </c>
      <c r="C763" s="4" t="s">
        <v>35</v>
      </c>
      <c r="D763" s="3" t="s">
        <v>161</v>
      </c>
      <c r="E763" s="3" t="s">
        <v>145</v>
      </c>
      <c r="F763" s="3" t="str">
        <f t="shared" si="0"/>
        <v>3 - Otros</v>
      </c>
      <c r="G763" s="2">
        <v>2</v>
      </c>
      <c r="H763" s="3"/>
    </row>
    <row r="764" spans="1:8" ht="12.75" hidden="1" x14ac:dyDescent="0.2">
      <c r="A764" s="3" t="s">
        <v>160</v>
      </c>
      <c r="B764" s="2">
        <v>3</v>
      </c>
      <c r="C764" s="4" t="s">
        <v>35</v>
      </c>
      <c r="D764" s="3" t="s">
        <v>162</v>
      </c>
      <c r="E764" s="3" t="s">
        <v>136</v>
      </c>
      <c r="F764" s="3" t="str">
        <f t="shared" si="0"/>
        <v>1 - PJ</v>
      </c>
      <c r="G764" s="2">
        <v>1041</v>
      </c>
      <c r="H764" s="3"/>
    </row>
    <row r="765" spans="1:8" ht="12.75" hidden="1" x14ac:dyDescent="0.2">
      <c r="A765" s="3" t="s">
        <v>160</v>
      </c>
      <c r="B765" s="2">
        <v>3</v>
      </c>
      <c r="C765" s="4" t="s">
        <v>35</v>
      </c>
      <c r="D765" s="3" t="s">
        <v>162</v>
      </c>
      <c r="E765" s="3" t="s">
        <v>128</v>
      </c>
      <c r="F765" s="3" t="str">
        <f t="shared" si="0"/>
        <v>2 - Frepam</v>
      </c>
      <c r="G765" s="2">
        <v>653</v>
      </c>
      <c r="H765" s="3"/>
    </row>
    <row r="766" spans="1:8" ht="12.75" hidden="1" x14ac:dyDescent="0.2">
      <c r="A766" s="3" t="s">
        <v>160</v>
      </c>
      <c r="B766" s="2">
        <v>3</v>
      </c>
      <c r="C766" s="4" t="s">
        <v>35</v>
      </c>
      <c r="D766" s="3" t="s">
        <v>162</v>
      </c>
      <c r="E766" s="3" t="s">
        <v>138</v>
      </c>
      <c r="F766" s="3" t="str">
        <f t="shared" si="0"/>
        <v>4 - Blanco/Nulo</v>
      </c>
      <c r="G766" s="2">
        <v>86</v>
      </c>
      <c r="H766" s="3"/>
    </row>
    <row r="767" spans="1:8" ht="12.75" hidden="1" x14ac:dyDescent="0.2">
      <c r="A767" s="3" t="s">
        <v>160</v>
      </c>
      <c r="B767" s="2">
        <v>3</v>
      </c>
      <c r="C767" s="4" t="s">
        <v>35</v>
      </c>
      <c r="D767" s="3" t="s">
        <v>162</v>
      </c>
      <c r="E767" s="3" t="s">
        <v>14</v>
      </c>
      <c r="F767" s="3" t="str">
        <f t="shared" si="0"/>
        <v>4 - Blanco/Nulo</v>
      </c>
      <c r="G767" s="2">
        <v>74</v>
      </c>
      <c r="H767" s="3"/>
    </row>
    <row r="768" spans="1:8" ht="12.75" hidden="1" x14ac:dyDescent="0.2">
      <c r="A768" s="3" t="s">
        <v>160</v>
      </c>
      <c r="B768" s="2">
        <v>3</v>
      </c>
      <c r="C768" s="4" t="s">
        <v>35</v>
      </c>
      <c r="D768" s="3" t="s">
        <v>162</v>
      </c>
      <c r="E768" s="3" t="s">
        <v>133</v>
      </c>
      <c r="F768" s="3" t="str">
        <f t="shared" si="0"/>
        <v>3 - Otros</v>
      </c>
      <c r="G768" s="2">
        <v>45</v>
      </c>
      <c r="H768" s="2">
        <f>SUM(G764:G773)</f>
        <v>1948</v>
      </c>
    </row>
    <row r="769" spans="1:8" ht="12.75" hidden="1" x14ac:dyDescent="0.2">
      <c r="A769" s="3" t="s">
        <v>160</v>
      </c>
      <c r="B769" s="2">
        <v>3</v>
      </c>
      <c r="C769" s="4" t="s">
        <v>35</v>
      </c>
      <c r="D769" s="3" t="s">
        <v>162</v>
      </c>
      <c r="E769" s="3" t="s">
        <v>149</v>
      </c>
      <c r="F769" s="3" t="str">
        <f t="shared" si="0"/>
        <v>3 - Otros</v>
      </c>
      <c r="G769" s="2">
        <v>26</v>
      </c>
      <c r="H769" s="3"/>
    </row>
    <row r="770" spans="1:8" ht="12.75" hidden="1" x14ac:dyDescent="0.2">
      <c r="A770" s="3" t="s">
        <v>160</v>
      </c>
      <c r="B770" s="2">
        <v>3</v>
      </c>
      <c r="C770" s="4" t="s">
        <v>35</v>
      </c>
      <c r="D770" s="3" t="s">
        <v>162</v>
      </c>
      <c r="E770" s="3" t="s">
        <v>148</v>
      </c>
      <c r="F770" s="3" t="str">
        <f t="shared" si="0"/>
        <v>3 - Otros</v>
      </c>
      <c r="G770" s="2">
        <v>9</v>
      </c>
      <c r="H770" s="3"/>
    </row>
    <row r="771" spans="1:8" ht="12.75" hidden="1" x14ac:dyDescent="0.2">
      <c r="A771" s="3" t="s">
        <v>160</v>
      </c>
      <c r="B771" s="2">
        <v>3</v>
      </c>
      <c r="C771" s="4" t="s">
        <v>35</v>
      </c>
      <c r="D771" s="3" t="s">
        <v>162</v>
      </c>
      <c r="E771" s="3" t="s">
        <v>139</v>
      </c>
      <c r="F771" s="3" t="str">
        <f t="shared" si="0"/>
        <v>3 - Otros</v>
      </c>
      <c r="G771" s="2">
        <v>8</v>
      </c>
      <c r="H771" s="3"/>
    </row>
    <row r="772" spans="1:8" ht="12.75" hidden="1" x14ac:dyDescent="0.2">
      <c r="A772" s="3" t="s">
        <v>160</v>
      </c>
      <c r="B772" s="2">
        <v>3</v>
      </c>
      <c r="C772" s="4" t="s">
        <v>35</v>
      </c>
      <c r="D772" s="3" t="s">
        <v>162</v>
      </c>
      <c r="E772" s="3" t="s">
        <v>135</v>
      </c>
      <c r="F772" s="3" t="str">
        <f t="shared" si="0"/>
        <v>3 - Otros</v>
      </c>
      <c r="G772" s="2">
        <v>3</v>
      </c>
      <c r="H772" s="3"/>
    </row>
    <row r="773" spans="1:8" ht="12.75" hidden="1" x14ac:dyDescent="0.2">
      <c r="A773" s="3" t="s">
        <v>160</v>
      </c>
      <c r="B773" s="2">
        <v>3</v>
      </c>
      <c r="C773" s="4" t="s">
        <v>35</v>
      </c>
      <c r="D773" s="3" t="s">
        <v>162</v>
      </c>
      <c r="E773" s="3" t="s">
        <v>145</v>
      </c>
      <c r="F773" s="3" t="str">
        <f t="shared" si="0"/>
        <v>3 - Otros</v>
      </c>
      <c r="G773" s="2">
        <v>3</v>
      </c>
      <c r="H773" s="3"/>
    </row>
    <row r="774" spans="1:8" ht="12.75" hidden="1" x14ac:dyDescent="0.2">
      <c r="A774" s="3" t="s">
        <v>160</v>
      </c>
      <c r="B774" s="2">
        <v>4</v>
      </c>
      <c r="C774" s="4" t="s">
        <v>36</v>
      </c>
      <c r="D774" s="3" t="s">
        <v>2</v>
      </c>
      <c r="E774" s="3" t="s">
        <v>136</v>
      </c>
      <c r="F774" s="3" t="str">
        <f t="shared" si="0"/>
        <v>1 - PJ</v>
      </c>
      <c r="G774" s="2">
        <v>363</v>
      </c>
      <c r="H774" s="3"/>
    </row>
    <row r="775" spans="1:8" ht="12.75" hidden="1" x14ac:dyDescent="0.2">
      <c r="A775" s="3" t="s">
        <v>160</v>
      </c>
      <c r="B775" s="2">
        <v>4</v>
      </c>
      <c r="C775" s="4" t="s">
        <v>36</v>
      </c>
      <c r="D775" s="3" t="s">
        <v>2</v>
      </c>
      <c r="E775" s="3" t="s">
        <v>128</v>
      </c>
      <c r="F775" s="3" t="str">
        <f t="shared" si="0"/>
        <v>2 - Frepam</v>
      </c>
      <c r="G775" s="2">
        <v>183</v>
      </c>
      <c r="H775" s="3"/>
    </row>
    <row r="776" spans="1:8" ht="12.75" hidden="1" x14ac:dyDescent="0.2">
      <c r="A776" s="3" t="s">
        <v>160</v>
      </c>
      <c r="B776" s="2">
        <v>4</v>
      </c>
      <c r="C776" s="4" t="s">
        <v>36</v>
      </c>
      <c r="D776" s="3" t="s">
        <v>2</v>
      </c>
      <c r="E776" s="3" t="s">
        <v>14</v>
      </c>
      <c r="F776" s="3" t="str">
        <f t="shared" si="0"/>
        <v>4 - Blanco/Nulo</v>
      </c>
      <c r="G776" s="2">
        <v>21</v>
      </c>
      <c r="H776" s="2">
        <f>SUM(G774:G777)</f>
        <v>572</v>
      </c>
    </row>
    <row r="777" spans="1:8" ht="12.75" hidden="1" x14ac:dyDescent="0.2">
      <c r="A777" s="3" t="s">
        <v>160</v>
      </c>
      <c r="B777" s="2">
        <v>4</v>
      </c>
      <c r="C777" s="4" t="s">
        <v>36</v>
      </c>
      <c r="D777" s="3" t="s">
        <v>2</v>
      </c>
      <c r="E777" s="3" t="s">
        <v>138</v>
      </c>
      <c r="F777" s="3" t="str">
        <f t="shared" si="0"/>
        <v>4 - Blanco/Nulo</v>
      </c>
      <c r="G777" s="2">
        <v>5</v>
      </c>
      <c r="H777" s="3"/>
    </row>
    <row r="778" spans="1:8" ht="12.75" hidden="1" x14ac:dyDescent="0.2">
      <c r="A778" s="3" t="s">
        <v>160</v>
      </c>
      <c r="B778" s="2">
        <v>4</v>
      </c>
      <c r="C778" s="4" t="s">
        <v>36</v>
      </c>
      <c r="D778" s="3" t="s">
        <v>161</v>
      </c>
      <c r="E778" s="3" t="s">
        <v>136</v>
      </c>
      <c r="F778" s="3" t="str">
        <f t="shared" si="0"/>
        <v>1 - PJ</v>
      </c>
      <c r="G778" s="2">
        <v>341</v>
      </c>
      <c r="H778" s="3"/>
    </row>
    <row r="779" spans="1:8" ht="12.75" hidden="1" x14ac:dyDescent="0.2">
      <c r="A779" s="3" t="s">
        <v>160</v>
      </c>
      <c r="B779" s="2">
        <v>4</v>
      </c>
      <c r="C779" s="4" t="s">
        <v>36</v>
      </c>
      <c r="D779" s="3" t="s">
        <v>161</v>
      </c>
      <c r="E779" s="3" t="s">
        <v>128</v>
      </c>
      <c r="F779" s="3" t="str">
        <f t="shared" si="0"/>
        <v>2 - Frepam</v>
      </c>
      <c r="G779" s="2">
        <v>169</v>
      </c>
      <c r="H779" s="3"/>
    </row>
    <row r="780" spans="1:8" ht="12.75" hidden="1" x14ac:dyDescent="0.2">
      <c r="A780" s="3" t="s">
        <v>160</v>
      </c>
      <c r="B780" s="2">
        <v>4</v>
      </c>
      <c r="C780" s="4" t="s">
        <v>36</v>
      </c>
      <c r="D780" s="3" t="s">
        <v>161</v>
      </c>
      <c r="E780" s="3" t="s">
        <v>14</v>
      </c>
      <c r="F780" s="3" t="str">
        <f t="shared" si="0"/>
        <v>4 - Blanco/Nulo</v>
      </c>
      <c r="G780" s="2">
        <v>25</v>
      </c>
      <c r="H780" s="3"/>
    </row>
    <row r="781" spans="1:8" ht="12.75" hidden="1" x14ac:dyDescent="0.2">
      <c r="A781" s="3" t="s">
        <v>160</v>
      </c>
      <c r="B781" s="2">
        <v>4</v>
      </c>
      <c r="C781" s="4" t="s">
        <v>36</v>
      </c>
      <c r="D781" s="3" t="s">
        <v>161</v>
      </c>
      <c r="E781" s="3" t="s">
        <v>133</v>
      </c>
      <c r="F781" s="3" t="str">
        <f t="shared" si="0"/>
        <v>3 - Otros</v>
      </c>
      <c r="G781" s="2">
        <v>14</v>
      </c>
      <c r="H781" s="2">
        <f>SUM(G778:G784)</f>
        <v>572</v>
      </c>
    </row>
    <row r="782" spans="1:8" ht="12.75" hidden="1" x14ac:dyDescent="0.2">
      <c r="A782" s="3" t="s">
        <v>160</v>
      </c>
      <c r="B782" s="2">
        <v>4</v>
      </c>
      <c r="C782" s="4" t="s">
        <v>36</v>
      </c>
      <c r="D782" s="3" t="s">
        <v>161</v>
      </c>
      <c r="E782" s="3" t="s">
        <v>145</v>
      </c>
      <c r="F782" s="3" t="str">
        <f t="shared" si="0"/>
        <v>3 - Otros</v>
      </c>
      <c r="G782" s="2">
        <v>9</v>
      </c>
      <c r="H782" s="3"/>
    </row>
    <row r="783" spans="1:8" ht="12.75" hidden="1" x14ac:dyDescent="0.2">
      <c r="A783" s="3" t="s">
        <v>160</v>
      </c>
      <c r="B783" s="2">
        <v>4</v>
      </c>
      <c r="C783" s="4" t="s">
        <v>36</v>
      </c>
      <c r="D783" s="3" t="s">
        <v>161</v>
      </c>
      <c r="E783" s="3" t="s">
        <v>148</v>
      </c>
      <c r="F783" s="3" t="str">
        <f t="shared" si="0"/>
        <v>3 - Otros</v>
      </c>
      <c r="G783" s="2">
        <v>8</v>
      </c>
      <c r="H783" s="3"/>
    </row>
    <row r="784" spans="1:8" ht="12.75" hidden="1" x14ac:dyDescent="0.2">
      <c r="A784" s="3" t="s">
        <v>160</v>
      </c>
      <c r="B784" s="2">
        <v>4</v>
      </c>
      <c r="C784" s="4" t="s">
        <v>36</v>
      </c>
      <c r="D784" s="3" t="s">
        <v>161</v>
      </c>
      <c r="E784" s="3" t="s">
        <v>138</v>
      </c>
      <c r="F784" s="3" t="str">
        <f t="shared" si="0"/>
        <v>4 - Blanco/Nulo</v>
      </c>
      <c r="G784" s="2">
        <v>6</v>
      </c>
      <c r="H784" s="3"/>
    </row>
    <row r="785" spans="1:8" ht="12.75" hidden="1" x14ac:dyDescent="0.2">
      <c r="A785" s="3" t="s">
        <v>160</v>
      </c>
      <c r="B785" s="2">
        <v>4</v>
      </c>
      <c r="C785" s="4" t="s">
        <v>36</v>
      </c>
      <c r="D785" s="3" t="s">
        <v>162</v>
      </c>
      <c r="E785" s="3" t="s">
        <v>136</v>
      </c>
      <c r="F785" s="3" t="str">
        <f t="shared" si="0"/>
        <v>1 - PJ</v>
      </c>
      <c r="G785" s="2">
        <v>349</v>
      </c>
      <c r="H785" s="3"/>
    </row>
    <row r="786" spans="1:8" ht="12.75" hidden="1" x14ac:dyDescent="0.2">
      <c r="A786" s="3" t="s">
        <v>160</v>
      </c>
      <c r="B786" s="2">
        <v>4</v>
      </c>
      <c r="C786" s="4" t="s">
        <v>36</v>
      </c>
      <c r="D786" s="3" t="s">
        <v>162</v>
      </c>
      <c r="E786" s="3" t="s">
        <v>128</v>
      </c>
      <c r="F786" s="3" t="str">
        <f t="shared" si="0"/>
        <v>2 - Frepam</v>
      </c>
      <c r="G786" s="2">
        <v>172</v>
      </c>
      <c r="H786" s="3"/>
    </row>
    <row r="787" spans="1:8" ht="12.75" hidden="1" x14ac:dyDescent="0.2">
      <c r="A787" s="3" t="s">
        <v>160</v>
      </c>
      <c r="B787" s="2">
        <v>4</v>
      </c>
      <c r="C787" s="4" t="s">
        <v>36</v>
      </c>
      <c r="D787" s="3" t="s">
        <v>162</v>
      </c>
      <c r="E787" s="3" t="s">
        <v>14</v>
      </c>
      <c r="F787" s="3" t="str">
        <f t="shared" si="0"/>
        <v>4 - Blanco/Nulo</v>
      </c>
      <c r="G787" s="2">
        <v>18</v>
      </c>
      <c r="H787" s="3"/>
    </row>
    <row r="788" spans="1:8" ht="12.75" hidden="1" x14ac:dyDescent="0.2">
      <c r="A788" s="3" t="s">
        <v>160</v>
      </c>
      <c r="B788" s="2">
        <v>4</v>
      </c>
      <c r="C788" s="4" t="s">
        <v>36</v>
      </c>
      <c r="D788" s="3" t="s">
        <v>162</v>
      </c>
      <c r="E788" s="3" t="s">
        <v>133</v>
      </c>
      <c r="F788" s="3" t="str">
        <f t="shared" si="0"/>
        <v>3 - Otros</v>
      </c>
      <c r="G788" s="2">
        <v>15</v>
      </c>
      <c r="H788" s="2">
        <f>SUM(G785:G791)</f>
        <v>572</v>
      </c>
    </row>
    <row r="789" spans="1:8" ht="12.75" hidden="1" x14ac:dyDescent="0.2">
      <c r="A789" s="3" t="s">
        <v>160</v>
      </c>
      <c r="B789" s="2">
        <v>4</v>
      </c>
      <c r="C789" s="4" t="s">
        <v>36</v>
      </c>
      <c r="D789" s="3" t="s">
        <v>162</v>
      </c>
      <c r="E789" s="3" t="s">
        <v>148</v>
      </c>
      <c r="F789" s="3" t="str">
        <f t="shared" si="0"/>
        <v>3 - Otros</v>
      </c>
      <c r="G789" s="2">
        <v>8</v>
      </c>
      <c r="H789" s="3"/>
    </row>
    <row r="790" spans="1:8" ht="12.75" hidden="1" x14ac:dyDescent="0.2">
      <c r="A790" s="3" t="s">
        <v>160</v>
      </c>
      <c r="B790" s="2">
        <v>4</v>
      </c>
      <c r="C790" s="4" t="s">
        <v>36</v>
      </c>
      <c r="D790" s="3" t="s">
        <v>162</v>
      </c>
      <c r="E790" s="3" t="s">
        <v>138</v>
      </c>
      <c r="F790" s="3" t="str">
        <f t="shared" si="0"/>
        <v>4 - Blanco/Nulo</v>
      </c>
      <c r="G790" s="2">
        <v>6</v>
      </c>
      <c r="H790" s="3"/>
    </row>
    <row r="791" spans="1:8" ht="12.75" hidden="1" x14ac:dyDescent="0.2">
      <c r="A791" s="3" t="s">
        <v>160</v>
      </c>
      <c r="B791" s="2">
        <v>4</v>
      </c>
      <c r="C791" s="4" t="s">
        <v>36</v>
      </c>
      <c r="D791" s="3" t="s">
        <v>162</v>
      </c>
      <c r="E791" s="3" t="s">
        <v>145</v>
      </c>
      <c r="F791" s="3" t="str">
        <f t="shared" si="0"/>
        <v>3 - Otros</v>
      </c>
      <c r="G791" s="2">
        <v>4</v>
      </c>
      <c r="H791" s="3"/>
    </row>
    <row r="792" spans="1:8" ht="12.75" hidden="1" x14ac:dyDescent="0.2">
      <c r="A792" s="3" t="s">
        <v>160</v>
      </c>
      <c r="B792" s="2">
        <v>5</v>
      </c>
      <c r="C792" s="4" t="s">
        <v>37</v>
      </c>
      <c r="D792" s="3" t="s">
        <v>2</v>
      </c>
      <c r="E792" s="3" t="s">
        <v>136</v>
      </c>
      <c r="F792" s="3" t="str">
        <f t="shared" si="0"/>
        <v>1 - PJ</v>
      </c>
      <c r="G792" s="2">
        <v>246</v>
      </c>
      <c r="H792" s="3"/>
    </row>
    <row r="793" spans="1:8" ht="12.75" hidden="1" x14ac:dyDescent="0.2">
      <c r="A793" s="3" t="s">
        <v>160</v>
      </c>
      <c r="B793" s="2">
        <v>5</v>
      </c>
      <c r="C793" s="4" t="s">
        <v>37</v>
      </c>
      <c r="D793" s="3" t="s">
        <v>2</v>
      </c>
      <c r="E793" s="3" t="s">
        <v>128</v>
      </c>
      <c r="F793" s="3" t="str">
        <f t="shared" si="0"/>
        <v>2 - Frepam</v>
      </c>
      <c r="G793" s="2">
        <v>74</v>
      </c>
      <c r="H793" s="2">
        <f>SUM(G792:G794)</f>
        <v>326</v>
      </c>
    </row>
    <row r="794" spans="1:8" ht="12.75" hidden="1" x14ac:dyDescent="0.2">
      <c r="A794" s="3" t="s">
        <v>160</v>
      </c>
      <c r="B794" s="2">
        <v>5</v>
      </c>
      <c r="C794" s="4" t="s">
        <v>37</v>
      </c>
      <c r="D794" s="3" t="s">
        <v>2</v>
      </c>
      <c r="E794" s="3" t="s">
        <v>14</v>
      </c>
      <c r="F794" s="3" t="str">
        <f t="shared" si="0"/>
        <v>4 - Blanco/Nulo</v>
      </c>
      <c r="G794" s="2">
        <v>6</v>
      </c>
      <c r="H794" s="3"/>
    </row>
    <row r="795" spans="1:8" ht="12.75" hidden="1" x14ac:dyDescent="0.2">
      <c r="A795" s="3" t="s">
        <v>160</v>
      </c>
      <c r="B795" s="2">
        <v>5</v>
      </c>
      <c r="C795" s="4" t="s">
        <v>37</v>
      </c>
      <c r="D795" s="3" t="s">
        <v>161</v>
      </c>
      <c r="E795" s="3" t="s">
        <v>136</v>
      </c>
      <c r="F795" s="3" t="str">
        <f t="shared" si="0"/>
        <v>1 - PJ</v>
      </c>
      <c r="G795" s="2">
        <v>204</v>
      </c>
      <c r="H795" s="3"/>
    </row>
    <row r="796" spans="1:8" ht="12.75" hidden="1" x14ac:dyDescent="0.2">
      <c r="A796" s="3" t="s">
        <v>160</v>
      </c>
      <c r="B796" s="2">
        <v>5</v>
      </c>
      <c r="C796" s="4" t="s">
        <v>37</v>
      </c>
      <c r="D796" s="3" t="s">
        <v>161</v>
      </c>
      <c r="E796" s="3" t="s">
        <v>128</v>
      </c>
      <c r="F796" s="3" t="str">
        <f t="shared" si="0"/>
        <v>2 - Frepam</v>
      </c>
      <c r="G796" s="2">
        <v>94</v>
      </c>
      <c r="H796" s="3"/>
    </row>
    <row r="797" spans="1:8" ht="12.75" hidden="1" x14ac:dyDescent="0.2">
      <c r="A797" s="3" t="s">
        <v>160</v>
      </c>
      <c r="B797" s="2">
        <v>5</v>
      </c>
      <c r="C797" s="4" t="s">
        <v>37</v>
      </c>
      <c r="D797" s="3" t="s">
        <v>161</v>
      </c>
      <c r="E797" s="3" t="s">
        <v>133</v>
      </c>
      <c r="F797" s="3" t="str">
        <f t="shared" si="0"/>
        <v>3 - Otros</v>
      </c>
      <c r="G797" s="2">
        <v>14</v>
      </c>
      <c r="H797" s="3"/>
    </row>
    <row r="798" spans="1:8" ht="12.75" hidden="1" x14ac:dyDescent="0.2">
      <c r="A798" s="3" t="s">
        <v>160</v>
      </c>
      <c r="B798" s="2">
        <v>5</v>
      </c>
      <c r="C798" s="4" t="s">
        <v>37</v>
      </c>
      <c r="D798" s="3" t="s">
        <v>161</v>
      </c>
      <c r="E798" s="3" t="s">
        <v>14</v>
      </c>
      <c r="F798" s="3" t="str">
        <f t="shared" si="0"/>
        <v>4 - Blanco/Nulo</v>
      </c>
      <c r="G798" s="2">
        <v>11</v>
      </c>
      <c r="H798" s="2">
        <f>SUM(G795:G800)</f>
        <v>326</v>
      </c>
    </row>
    <row r="799" spans="1:8" ht="12.75" hidden="1" x14ac:dyDescent="0.2">
      <c r="A799" s="3" t="s">
        <v>160</v>
      </c>
      <c r="B799" s="2">
        <v>5</v>
      </c>
      <c r="C799" s="4" t="s">
        <v>37</v>
      </c>
      <c r="D799" s="3" t="s">
        <v>161</v>
      </c>
      <c r="E799" s="3" t="s">
        <v>145</v>
      </c>
      <c r="F799" s="3" t="str">
        <f t="shared" si="0"/>
        <v>3 - Otros</v>
      </c>
      <c r="G799" s="2">
        <v>2</v>
      </c>
      <c r="H799" s="3"/>
    </row>
    <row r="800" spans="1:8" ht="12.75" hidden="1" x14ac:dyDescent="0.2">
      <c r="A800" s="3" t="s">
        <v>160</v>
      </c>
      <c r="B800" s="2">
        <v>5</v>
      </c>
      <c r="C800" s="4" t="s">
        <v>37</v>
      </c>
      <c r="D800" s="3" t="s">
        <v>161</v>
      </c>
      <c r="E800" s="3" t="s">
        <v>148</v>
      </c>
      <c r="F800" s="3" t="str">
        <f t="shared" si="0"/>
        <v>3 - Otros</v>
      </c>
      <c r="G800" s="2">
        <v>1</v>
      </c>
      <c r="H800" s="3"/>
    </row>
    <row r="801" spans="1:8" ht="12.75" hidden="1" x14ac:dyDescent="0.2">
      <c r="A801" s="3" t="s">
        <v>160</v>
      </c>
      <c r="B801" s="2">
        <v>5</v>
      </c>
      <c r="C801" s="4" t="s">
        <v>37</v>
      </c>
      <c r="D801" s="3" t="s">
        <v>162</v>
      </c>
      <c r="E801" s="3" t="s">
        <v>136</v>
      </c>
      <c r="F801" s="3" t="str">
        <f t="shared" si="0"/>
        <v>1 - PJ</v>
      </c>
      <c r="G801" s="2">
        <v>206</v>
      </c>
      <c r="H801" s="3"/>
    </row>
    <row r="802" spans="1:8" ht="12.75" hidden="1" x14ac:dyDescent="0.2">
      <c r="A802" s="3" t="s">
        <v>160</v>
      </c>
      <c r="B802" s="2">
        <v>5</v>
      </c>
      <c r="C802" s="4" t="s">
        <v>37</v>
      </c>
      <c r="D802" s="3" t="s">
        <v>162</v>
      </c>
      <c r="E802" s="3" t="s">
        <v>128</v>
      </c>
      <c r="F802" s="3" t="str">
        <f t="shared" si="0"/>
        <v>2 - Frepam</v>
      </c>
      <c r="G802" s="2">
        <v>97</v>
      </c>
      <c r="H802" s="3"/>
    </row>
    <row r="803" spans="1:8" ht="12.75" hidden="1" x14ac:dyDescent="0.2">
      <c r="A803" s="3" t="s">
        <v>160</v>
      </c>
      <c r="B803" s="2">
        <v>5</v>
      </c>
      <c r="C803" s="4" t="s">
        <v>37</v>
      </c>
      <c r="D803" s="3" t="s">
        <v>162</v>
      </c>
      <c r="E803" s="3" t="s">
        <v>133</v>
      </c>
      <c r="F803" s="3" t="str">
        <f t="shared" si="0"/>
        <v>3 - Otros</v>
      </c>
      <c r="G803" s="2">
        <v>14</v>
      </c>
      <c r="H803" s="2">
        <f>SUM(G801:G806)</f>
        <v>326</v>
      </c>
    </row>
    <row r="804" spans="1:8" ht="12.75" hidden="1" x14ac:dyDescent="0.2">
      <c r="A804" s="3" t="s">
        <v>160</v>
      </c>
      <c r="B804" s="2">
        <v>5</v>
      </c>
      <c r="C804" s="4" t="s">
        <v>37</v>
      </c>
      <c r="D804" s="3" t="s">
        <v>162</v>
      </c>
      <c r="E804" s="3" t="s">
        <v>14</v>
      </c>
      <c r="F804" s="3" t="str">
        <f t="shared" si="0"/>
        <v>4 - Blanco/Nulo</v>
      </c>
      <c r="G804" s="2">
        <v>6</v>
      </c>
      <c r="H804" s="3"/>
    </row>
    <row r="805" spans="1:8" ht="12.75" hidden="1" x14ac:dyDescent="0.2">
      <c r="A805" s="3" t="s">
        <v>160</v>
      </c>
      <c r="B805" s="2">
        <v>5</v>
      </c>
      <c r="C805" s="4" t="s">
        <v>37</v>
      </c>
      <c r="D805" s="3" t="s">
        <v>162</v>
      </c>
      <c r="E805" s="3" t="s">
        <v>145</v>
      </c>
      <c r="F805" s="3" t="str">
        <f t="shared" si="0"/>
        <v>3 - Otros</v>
      </c>
      <c r="G805" s="2">
        <v>2</v>
      </c>
      <c r="H805" s="3"/>
    </row>
    <row r="806" spans="1:8" ht="12.75" hidden="1" x14ac:dyDescent="0.2">
      <c r="A806" s="3" t="s">
        <v>160</v>
      </c>
      <c r="B806" s="2">
        <v>5</v>
      </c>
      <c r="C806" s="4" t="s">
        <v>37</v>
      </c>
      <c r="D806" s="3" t="s">
        <v>162</v>
      </c>
      <c r="E806" s="3" t="s">
        <v>148</v>
      </c>
      <c r="F806" s="3" t="str">
        <f t="shared" si="0"/>
        <v>3 - Otros</v>
      </c>
      <c r="G806" s="2">
        <v>1</v>
      </c>
      <c r="H806" s="3"/>
    </row>
    <row r="807" spans="1:8" ht="12.75" hidden="1" x14ac:dyDescent="0.2">
      <c r="A807" s="3" t="s">
        <v>160</v>
      </c>
      <c r="B807" s="2">
        <v>6</v>
      </c>
      <c r="C807" s="4" t="s">
        <v>38</v>
      </c>
      <c r="D807" s="3" t="s">
        <v>2</v>
      </c>
      <c r="E807" s="3" t="s">
        <v>128</v>
      </c>
      <c r="F807" s="3" t="str">
        <f t="shared" si="0"/>
        <v>2 - Frepam</v>
      </c>
      <c r="G807" s="2">
        <v>733</v>
      </c>
      <c r="H807" s="3"/>
    </row>
    <row r="808" spans="1:8" ht="12.75" hidden="1" x14ac:dyDescent="0.2">
      <c r="A808" s="3" t="s">
        <v>160</v>
      </c>
      <c r="B808" s="2">
        <v>6</v>
      </c>
      <c r="C808" s="4" t="s">
        <v>38</v>
      </c>
      <c r="D808" s="3" t="s">
        <v>2</v>
      </c>
      <c r="E808" s="3" t="s">
        <v>136</v>
      </c>
      <c r="F808" s="3" t="str">
        <f t="shared" si="0"/>
        <v>1 - PJ</v>
      </c>
      <c r="G808" s="2">
        <v>703</v>
      </c>
      <c r="H808" s="3"/>
    </row>
    <row r="809" spans="1:8" ht="12.75" hidden="1" x14ac:dyDescent="0.2">
      <c r="A809" s="3" t="s">
        <v>160</v>
      </c>
      <c r="B809" s="2">
        <v>6</v>
      </c>
      <c r="C809" s="4" t="s">
        <v>38</v>
      </c>
      <c r="D809" s="3" t="s">
        <v>2</v>
      </c>
      <c r="E809" s="3" t="s">
        <v>14</v>
      </c>
      <c r="F809" s="3" t="str">
        <f t="shared" si="0"/>
        <v>4 - Blanco/Nulo</v>
      </c>
      <c r="G809" s="2">
        <v>69</v>
      </c>
      <c r="H809" s="2">
        <f>SUM(G807:G810)</f>
        <v>1521</v>
      </c>
    </row>
    <row r="810" spans="1:8" ht="12.75" hidden="1" x14ac:dyDescent="0.2">
      <c r="A810" s="3" t="s">
        <v>160</v>
      </c>
      <c r="B810" s="2">
        <v>6</v>
      </c>
      <c r="C810" s="4" t="s">
        <v>38</v>
      </c>
      <c r="D810" s="3" t="s">
        <v>2</v>
      </c>
      <c r="E810" s="3" t="s">
        <v>138</v>
      </c>
      <c r="F810" s="3" t="str">
        <f t="shared" si="0"/>
        <v>4 - Blanco/Nulo</v>
      </c>
      <c r="G810" s="2">
        <v>16</v>
      </c>
      <c r="H810" s="3"/>
    </row>
    <row r="811" spans="1:8" ht="12.75" hidden="1" x14ac:dyDescent="0.2">
      <c r="A811" s="3" t="s">
        <v>160</v>
      </c>
      <c r="B811" s="2">
        <v>6</v>
      </c>
      <c r="C811" s="4" t="s">
        <v>38</v>
      </c>
      <c r="D811" s="3" t="s">
        <v>161</v>
      </c>
      <c r="E811" s="3" t="s">
        <v>136</v>
      </c>
      <c r="F811" s="3" t="str">
        <f t="shared" si="0"/>
        <v>1 - PJ</v>
      </c>
      <c r="G811" s="2">
        <v>705</v>
      </c>
      <c r="H811" s="3"/>
    </row>
    <row r="812" spans="1:8" ht="12.75" hidden="1" x14ac:dyDescent="0.2">
      <c r="A812" s="3" t="s">
        <v>160</v>
      </c>
      <c r="B812" s="2">
        <v>6</v>
      </c>
      <c r="C812" s="4" t="s">
        <v>38</v>
      </c>
      <c r="D812" s="3" t="s">
        <v>161</v>
      </c>
      <c r="E812" s="3" t="s">
        <v>128</v>
      </c>
      <c r="F812" s="3" t="str">
        <f t="shared" si="0"/>
        <v>2 - Frepam</v>
      </c>
      <c r="G812" s="2">
        <v>677</v>
      </c>
      <c r="H812" s="3"/>
    </row>
    <row r="813" spans="1:8" ht="12.75" hidden="1" x14ac:dyDescent="0.2">
      <c r="A813" s="3" t="s">
        <v>160</v>
      </c>
      <c r="B813" s="2">
        <v>6</v>
      </c>
      <c r="C813" s="4" t="s">
        <v>38</v>
      </c>
      <c r="D813" s="3" t="s">
        <v>161</v>
      </c>
      <c r="E813" s="3" t="s">
        <v>14</v>
      </c>
      <c r="F813" s="3" t="str">
        <f t="shared" si="0"/>
        <v>4 - Blanco/Nulo</v>
      </c>
      <c r="G813" s="2">
        <v>44</v>
      </c>
      <c r="H813" s="3"/>
    </row>
    <row r="814" spans="1:8" ht="12.75" hidden="1" x14ac:dyDescent="0.2">
      <c r="A814" s="3" t="s">
        <v>160</v>
      </c>
      <c r="B814" s="2">
        <v>6</v>
      </c>
      <c r="C814" s="4" t="s">
        <v>38</v>
      </c>
      <c r="D814" s="3" t="s">
        <v>161</v>
      </c>
      <c r="E814" s="3" t="s">
        <v>133</v>
      </c>
      <c r="F814" s="3" t="str">
        <f t="shared" si="0"/>
        <v>3 - Otros</v>
      </c>
      <c r="G814" s="2">
        <v>30</v>
      </c>
      <c r="H814" s="3"/>
    </row>
    <row r="815" spans="1:8" ht="12.75" hidden="1" x14ac:dyDescent="0.2">
      <c r="A815" s="3" t="s">
        <v>160</v>
      </c>
      <c r="B815" s="2">
        <v>6</v>
      </c>
      <c r="C815" s="4" t="s">
        <v>38</v>
      </c>
      <c r="D815" s="3" t="s">
        <v>161</v>
      </c>
      <c r="E815" s="3" t="s">
        <v>138</v>
      </c>
      <c r="F815" s="3" t="str">
        <f t="shared" si="0"/>
        <v>4 - Blanco/Nulo</v>
      </c>
      <c r="G815" s="2">
        <v>26</v>
      </c>
      <c r="H815" s="3"/>
    </row>
    <row r="816" spans="1:8" ht="12.75" hidden="1" x14ac:dyDescent="0.2">
      <c r="A816" s="3" t="s">
        <v>160</v>
      </c>
      <c r="B816" s="2">
        <v>6</v>
      </c>
      <c r="C816" s="4" t="s">
        <v>38</v>
      </c>
      <c r="D816" s="3" t="s">
        <v>161</v>
      </c>
      <c r="E816" s="3" t="s">
        <v>149</v>
      </c>
      <c r="F816" s="3" t="str">
        <f t="shared" si="0"/>
        <v>3 - Otros</v>
      </c>
      <c r="G816" s="2">
        <v>18</v>
      </c>
      <c r="H816" s="2">
        <f>SUM(G811:G820)</f>
        <v>1521</v>
      </c>
    </row>
    <row r="817" spans="1:8" ht="12.75" hidden="1" x14ac:dyDescent="0.2">
      <c r="A817" s="3" t="s">
        <v>160</v>
      </c>
      <c r="B817" s="2">
        <v>6</v>
      </c>
      <c r="C817" s="4" t="s">
        <v>38</v>
      </c>
      <c r="D817" s="3" t="s">
        <v>161</v>
      </c>
      <c r="E817" s="3" t="s">
        <v>148</v>
      </c>
      <c r="F817" s="3" t="str">
        <f t="shared" si="0"/>
        <v>3 - Otros</v>
      </c>
      <c r="G817" s="2">
        <v>10</v>
      </c>
      <c r="H817" s="3"/>
    </row>
    <row r="818" spans="1:8" ht="12.75" hidden="1" x14ac:dyDescent="0.2">
      <c r="A818" s="3" t="s">
        <v>160</v>
      </c>
      <c r="B818" s="2">
        <v>6</v>
      </c>
      <c r="C818" s="4" t="s">
        <v>38</v>
      </c>
      <c r="D818" s="3" t="s">
        <v>161</v>
      </c>
      <c r="E818" s="3" t="s">
        <v>145</v>
      </c>
      <c r="F818" s="3" t="str">
        <f t="shared" si="0"/>
        <v>3 - Otros</v>
      </c>
      <c r="G818" s="2">
        <v>5</v>
      </c>
      <c r="H818" s="3"/>
    </row>
    <row r="819" spans="1:8" ht="12.75" hidden="1" x14ac:dyDescent="0.2">
      <c r="A819" s="3" t="s">
        <v>160</v>
      </c>
      <c r="B819" s="2">
        <v>6</v>
      </c>
      <c r="C819" s="4" t="s">
        <v>38</v>
      </c>
      <c r="D819" s="3" t="s">
        <v>161</v>
      </c>
      <c r="E819" s="3" t="s">
        <v>139</v>
      </c>
      <c r="F819" s="3" t="str">
        <f t="shared" si="0"/>
        <v>3 - Otros</v>
      </c>
      <c r="G819" s="2">
        <v>5</v>
      </c>
      <c r="H819" s="3"/>
    </row>
    <row r="820" spans="1:8" ht="12.75" hidden="1" x14ac:dyDescent="0.2">
      <c r="A820" s="3" t="s">
        <v>160</v>
      </c>
      <c r="B820" s="2">
        <v>6</v>
      </c>
      <c r="C820" s="4" t="s">
        <v>38</v>
      </c>
      <c r="D820" s="3" t="s">
        <v>161</v>
      </c>
      <c r="E820" s="3" t="s">
        <v>135</v>
      </c>
      <c r="F820" s="3" t="str">
        <f t="shared" si="0"/>
        <v>3 - Otros</v>
      </c>
      <c r="G820" s="2">
        <v>1</v>
      </c>
      <c r="H820" s="3"/>
    </row>
    <row r="821" spans="1:8" ht="12.75" hidden="1" x14ac:dyDescent="0.2">
      <c r="A821" s="3" t="s">
        <v>160</v>
      </c>
      <c r="B821" s="2">
        <v>6</v>
      </c>
      <c r="C821" s="4" t="s">
        <v>38</v>
      </c>
      <c r="D821" s="3" t="s">
        <v>162</v>
      </c>
      <c r="E821" s="3" t="s">
        <v>136</v>
      </c>
      <c r="F821" s="3" t="str">
        <f t="shared" si="0"/>
        <v>1 - PJ</v>
      </c>
      <c r="G821" s="2">
        <v>712</v>
      </c>
      <c r="H821" s="3"/>
    </row>
    <row r="822" spans="1:8" ht="12.75" hidden="1" x14ac:dyDescent="0.2">
      <c r="A822" s="3" t="s">
        <v>160</v>
      </c>
      <c r="B822" s="2">
        <v>6</v>
      </c>
      <c r="C822" s="4" t="s">
        <v>38</v>
      </c>
      <c r="D822" s="3" t="s">
        <v>162</v>
      </c>
      <c r="E822" s="3" t="s">
        <v>128</v>
      </c>
      <c r="F822" s="3" t="str">
        <f t="shared" si="0"/>
        <v>2 - Frepam</v>
      </c>
      <c r="G822" s="2">
        <v>669</v>
      </c>
      <c r="H822" s="3"/>
    </row>
    <row r="823" spans="1:8" ht="12.75" hidden="1" x14ac:dyDescent="0.2">
      <c r="A823" s="3" t="s">
        <v>160</v>
      </c>
      <c r="B823" s="2">
        <v>6</v>
      </c>
      <c r="C823" s="4" t="s">
        <v>38</v>
      </c>
      <c r="D823" s="3" t="s">
        <v>162</v>
      </c>
      <c r="E823" s="3" t="s">
        <v>14</v>
      </c>
      <c r="F823" s="3" t="str">
        <f t="shared" si="0"/>
        <v>4 - Blanco/Nulo</v>
      </c>
      <c r="G823" s="2">
        <v>39</v>
      </c>
      <c r="H823" s="3"/>
    </row>
    <row r="824" spans="1:8" ht="12.75" hidden="1" x14ac:dyDescent="0.2">
      <c r="A824" s="3" t="s">
        <v>160</v>
      </c>
      <c r="B824" s="2">
        <v>6</v>
      </c>
      <c r="C824" s="4" t="s">
        <v>38</v>
      </c>
      <c r="D824" s="3" t="s">
        <v>162</v>
      </c>
      <c r="E824" s="3" t="s">
        <v>133</v>
      </c>
      <c r="F824" s="3" t="str">
        <f t="shared" si="0"/>
        <v>3 - Otros</v>
      </c>
      <c r="G824" s="2">
        <v>33</v>
      </c>
      <c r="H824" s="3"/>
    </row>
    <row r="825" spans="1:8" ht="12.75" hidden="1" x14ac:dyDescent="0.2">
      <c r="A825" s="3" t="s">
        <v>160</v>
      </c>
      <c r="B825" s="2">
        <v>6</v>
      </c>
      <c r="C825" s="4" t="s">
        <v>38</v>
      </c>
      <c r="D825" s="3" t="s">
        <v>162</v>
      </c>
      <c r="E825" s="3" t="s">
        <v>138</v>
      </c>
      <c r="F825" s="3" t="str">
        <f t="shared" si="0"/>
        <v>4 - Blanco/Nulo</v>
      </c>
      <c r="G825" s="2">
        <v>24</v>
      </c>
      <c r="H825" s="2">
        <f>SUM(G821:G829)</f>
        <v>1521</v>
      </c>
    </row>
    <row r="826" spans="1:8" ht="12.75" hidden="1" x14ac:dyDescent="0.2">
      <c r="A826" s="3" t="s">
        <v>160</v>
      </c>
      <c r="B826" s="2">
        <v>6</v>
      </c>
      <c r="C826" s="4" t="s">
        <v>38</v>
      </c>
      <c r="D826" s="3" t="s">
        <v>162</v>
      </c>
      <c r="E826" s="3" t="s">
        <v>149</v>
      </c>
      <c r="F826" s="3" t="str">
        <f t="shared" si="0"/>
        <v>3 - Otros</v>
      </c>
      <c r="G826" s="2">
        <v>20</v>
      </c>
      <c r="H826" s="3"/>
    </row>
    <row r="827" spans="1:8" ht="12.75" hidden="1" x14ac:dyDescent="0.2">
      <c r="A827" s="3" t="s">
        <v>160</v>
      </c>
      <c r="B827" s="2">
        <v>6</v>
      </c>
      <c r="C827" s="4" t="s">
        <v>38</v>
      </c>
      <c r="D827" s="3" t="s">
        <v>162</v>
      </c>
      <c r="E827" s="3" t="s">
        <v>148</v>
      </c>
      <c r="F827" s="3" t="str">
        <f t="shared" si="0"/>
        <v>3 - Otros</v>
      </c>
      <c r="G827" s="2">
        <v>13</v>
      </c>
      <c r="H827" s="3"/>
    </row>
    <row r="828" spans="1:8" ht="12.75" hidden="1" x14ac:dyDescent="0.2">
      <c r="A828" s="3" t="s">
        <v>160</v>
      </c>
      <c r="B828" s="2">
        <v>6</v>
      </c>
      <c r="C828" s="4" t="s">
        <v>38</v>
      </c>
      <c r="D828" s="3" t="s">
        <v>162</v>
      </c>
      <c r="E828" s="3" t="s">
        <v>139</v>
      </c>
      <c r="F828" s="3" t="str">
        <f t="shared" si="0"/>
        <v>3 - Otros</v>
      </c>
      <c r="G828" s="2">
        <v>6</v>
      </c>
      <c r="H828" s="3"/>
    </row>
    <row r="829" spans="1:8" ht="12.75" hidden="1" x14ac:dyDescent="0.2">
      <c r="A829" s="3" t="s">
        <v>160</v>
      </c>
      <c r="B829" s="2">
        <v>6</v>
      </c>
      <c r="C829" s="4" t="s">
        <v>38</v>
      </c>
      <c r="D829" s="3" t="s">
        <v>162</v>
      </c>
      <c r="E829" s="3" t="s">
        <v>145</v>
      </c>
      <c r="F829" s="3" t="str">
        <f t="shared" si="0"/>
        <v>3 - Otros</v>
      </c>
      <c r="G829" s="2">
        <v>5</v>
      </c>
      <c r="H829" s="3"/>
    </row>
    <row r="830" spans="1:8" ht="12.75" hidden="1" x14ac:dyDescent="0.2">
      <c r="A830" s="3" t="s">
        <v>160</v>
      </c>
      <c r="B830" s="2" t="s">
        <v>39</v>
      </c>
      <c r="C830" s="4" t="s">
        <v>40</v>
      </c>
      <c r="D830" s="3" t="s">
        <v>2</v>
      </c>
      <c r="E830" s="3" t="s">
        <v>3</v>
      </c>
      <c r="F830" s="3" t="str">
        <f t="shared" si="0"/>
        <v>1 - PJ</v>
      </c>
      <c r="G830" s="2">
        <v>32560</v>
      </c>
      <c r="H830" s="3"/>
    </row>
    <row r="831" spans="1:8" ht="12.75" hidden="1" x14ac:dyDescent="0.2">
      <c r="A831" s="3" t="s">
        <v>160</v>
      </c>
      <c r="B831" s="2" t="s">
        <v>39</v>
      </c>
      <c r="C831" s="4" t="s">
        <v>40</v>
      </c>
      <c r="D831" s="3" t="s">
        <v>2</v>
      </c>
      <c r="E831" s="3" t="s">
        <v>128</v>
      </c>
      <c r="F831" s="3" t="str">
        <f t="shared" si="0"/>
        <v>2 - Frepam</v>
      </c>
      <c r="G831" s="2">
        <v>17162</v>
      </c>
      <c r="H831" s="3"/>
    </row>
    <row r="832" spans="1:8" ht="12.75" hidden="1" x14ac:dyDescent="0.2">
      <c r="A832" s="3" t="s">
        <v>160</v>
      </c>
      <c r="B832" s="2" t="s">
        <v>39</v>
      </c>
      <c r="C832" s="4" t="s">
        <v>40</v>
      </c>
      <c r="D832" s="3" t="s">
        <v>2</v>
      </c>
      <c r="E832" s="3" t="s">
        <v>133</v>
      </c>
      <c r="F832" s="3" t="str">
        <f t="shared" si="0"/>
        <v>3 - Otros</v>
      </c>
      <c r="G832" s="2">
        <v>5957</v>
      </c>
      <c r="H832" s="3"/>
    </row>
    <row r="833" spans="1:8" ht="12.75" hidden="1" x14ac:dyDescent="0.2">
      <c r="A833" s="3" t="s">
        <v>160</v>
      </c>
      <c r="B833" s="2" t="s">
        <v>39</v>
      </c>
      <c r="C833" s="4" t="s">
        <v>40</v>
      </c>
      <c r="D833" s="3" t="s">
        <v>2</v>
      </c>
      <c r="E833" s="3" t="s">
        <v>149</v>
      </c>
      <c r="F833" s="3" t="str">
        <f t="shared" si="0"/>
        <v>3 - Otros</v>
      </c>
      <c r="G833" s="2">
        <v>2332</v>
      </c>
      <c r="H833" s="3"/>
    </row>
    <row r="834" spans="1:8" ht="12.75" hidden="1" x14ac:dyDescent="0.2">
      <c r="A834" s="3" t="s">
        <v>160</v>
      </c>
      <c r="B834" s="2" t="s">
        <v>39</v>
      </c>
      <c r="C834" s="4" t="s">
        <v>40</v>
      </c>
      <c r="D834" s="3" t="s">
        <v>2</v>
      </c>
      <c r="E834" s="3" t="s">
        <v>14</v>
      </c>
      <c r="F834" s="3" t="str">
        <f t="shared" si="0"/>
        <v>4 - Blanco/Nulo</v>
      </c>
      <c r="G834" s="2">
        <v>1954</v>
      </c>
      <c r="H834" s="3"/>
    </row>
    <row r="835" spans="1:8" ht="12.75" hidden="1" x14ac:dyDescent="0.2">
      <c r="A835" s="3" t="s">
        <v>160</v>
      </c>
      <c r="B835" s="2" t="s">
        <v>39</v>
      </c>
      <c r="C835" s="4" t="s">
        <v>40</v>
      </c>
      <c r="D835" s="3" t="s">
        <v>2</v>
      </c>
      <c r="E835" s="3" t="s">
        <v>148</v>
      </c>
      <c r="F835" s="3" t="str">
        <f t="shared" si="0"/>
        <v>3 - Otros</v>
      </c>
      <c r="G835" s="2">
        <v>1660</v>
      </c>
      <c r="H835" s="3"/>
    </row>
    <row r="836" spans="1:8" ht="12.75" hidden="1" x14ac:dyDescent="0.2">
      <c r="A836" s="3" t="s">
        <v>160</v>
      </c>
      <c r="B836" s="2" t="s">
        <v>39</v>
      </c>
      <c r="C836" s="4" t="s">
        <v>40</v>
      </c>
      <c r="D836" s="3" t="s">
        <v>2</v>
      </c>
      <c r="E836" s="3" t="s">
        <v>139</v>
      </c>
      <c r="F836" s="3" t="str">
        <f t="shared" si="0"/>
        <v>3 - Otros</v>
      </c>
      <c r="G836" s="2">
        <v>1129</v>
      </c>
      <c r="H836" s="2">
        <f>SUM(G830:G840)</f>
        <v>65565</v>
      </c>
    </row>
    <row r="837" spans="1:8" ht="12.75" hidden="1" x14ac:dyDescent="0.2">
      <c r="A837" s="3" t="s">
        <v>160</v>
      </c>
      <c r="B837" s="2" t="s">
        <v>39</v>
      </c>
      <c r="C837" s="4" t="s">
        <v>40</v>
      </c>
      <c r="D837" s="3" t="s">
        <v>2</v>
      </c>
      <c r="E837" s="3" t="s">
        <v>145</v>
      </c>
      <c r="F837" s="3" t="str">
        <f t="shared" si="0"/>
        <v>3 - Otros</v>
      </c>
      <c r="G837" s="2">
        <v>774</v>
      </c>
      <c r="H837" s="3"/>
    </row>
    <row r="838" spans="1:8" ht="12.75" hidden="1" x14ac:dyDescent="0.2">
      <c r="A838" s="3" t="s">
        <v>160</v>
      </c>
      <c r="B838" s="2" t="s">
        <v>39</v>
      </c>
      <c r="C838" s="4" t="s">
        <v>40</v>
      </c>
      <c r="D838" s="3" t="s">
        <v>2</v>
      </c>
      <c r="E838" s="3" t="s">
        <v>138</v>
      </c>
      <c r="F838" s="3" t="str">
        <f t="shared" si="0"/>
        <v>4 - Blanco/Nulo</v>
      </c>
      <c r="G838" s="2">
        <v>764</v>
      </c>
      <c r="H838" s="3"/>
    </row>
    <row r="839" spans="1:8" ht="12.75" hidden="1" x14ac:dyDescent="0.2">
      <c r="A839" s="3" t="s">
        <v>160</v>
      </c>
      <c r="B839" s="2" t="s">
        <v>39</v>
      </c>
      <c r="C839" s="4" t="s">
        <v>40</v>
      </c>
      <c r="D839" s="3" t="s">
        <v>2</v>
      </c>
      <c r="E839" s="3" t="s">
        <v>135</v>
      </c>
      <c r="F839" s="3" t="str">
        <f t="shared" si="0"/>
        <v>3 - Otros</v>
      </c>
      <c r="G839" s="2">
        <v>642</v>
      </c>
      <c r="H839" s="3"/>
    </row>
    <row r="840" spans="1:8" ht="12.75" hidden="1" x14ac:dyDescent="0.2">
      <c r="A840" s="3" t="s">
        <v>160</v>
      </c>
      <c r="B840" s="2" t="s">
        <v>39</v>
      </c>
      <c r="C840" s="4" t="s">
        <v>40</v>
      </c>
      <c r="D840" s="3" t="s">
        <v>2</v>
      </c>
      <c r="E840" s="3" t="s">
        <v>130</v>
      </c>
      <c r="F840" s="3" t="str">
        <f t="shared" si="0"/>
        <v>3 - Otros</v>
      </c>
      <c r="G840" s="2">
        <v>631</v>
      </c>
      <c r="H840" s="3"/>
    </row>
    <row r="841" spans="1:8" ht="12.75" hidden="1" x14ac:dyDescent="0.2">
      <c r="A841" s="3" t="s">
        <v>160</v>
      </c>
      <c r="B841" s="2" t="s">
        <v>39</v>
      </c>
      <c r="C841" s="4" t="s">
        <v>40</v>
      </c>
      <c r="D841" s="3" t="s">
        <v>162</v>
      </c>
      <c r="E841" s="3" t="s">
        <v>3</v>
      </c>
      <c r="F841" s="3" t="str">
        <f t="shared" si="0"/>
        <v>1 - PJ</v>
      </c>
      <c r="G841" s="2">
        <v>33285</v>
      </c>
      <c r="H841" s="3"/>
    </row>
    <row r="842" spans="1:8" ht="12.75" hidden="1" x14ac:dyDescent="0.2">
      <c r="A842" s="3" t="s">
        <v>160</v>
      </c>
      <c r="B842" s="2" t="s">
        <v>39</v>
      </c>
      <c r="C842" s="4" t="s">
        <v>40</v>
      </c>
      <c r="D842" s="3" t="s">
        <v>162</v>
      </c>
      <c r="E842" s="3" t="s">
        <v>128</v>
      </c>
      <c r="F842" s="3" t="str">
        <f t="shared" si="0"/>
        <v>2 - Frepam</v>
      </c>
      <c r="G842" s="2">
        <v>16400</v>
      </c>
      <c r="H842" s="3"/>
    </row>
    <row r="843" spans="1:8" ht="12.75" hidden="1" x14ac:dyDescent="0.2">
      <c r="A843" s="3" t="s">
        <v>160</v>
      </c>
      <c r="B843" s="2" t="s">
        <v>39</v>
      </c>
      <c r="C843" s="4" t="s">
        <v>40</v>
      </c>
      <c r="D843" s="3" t="s">
        <v>162</v>
      </c>
      <c r="E843" s="3" t="s">
        <v>133</v>
      </c>
      <c r="F843" s="3" t="str">
        <f t="shared" si="0"/>
        <v>3 - Otros</v>
      </c>
      <c r="G843" s="2">
        <v>7012</v>
      </c>
      <c r="H843" s="3"/>
    </row>
    <row r="844" spans="1:8" ht="12.75" hidden="1" x14ac:dyDescent="0.2">
      <c r="A844" s="3" t="s">
        <v>160</v>
      </c>
      <c r="B844" s="2" t="s">
        <v>39</v>
      </c>
      <c r="C844" s="4" t="s">
        <v>40</v>
      </c>
      <c r="D844" s="3" t="s">
        <v>162</v>
      </c>
      <c r="E844" s="3" t="s">
        <v>149</v>
      </c>
      <c r="F844" s="3" t="str">
        <f t="shared" si="0"/>
        <v>3 - Otros</v>
      </c>
      <c r="G844" s="2">
        <v>2216</v>
      </c>
      <c r="H844" s="3"/>
    </row>
    <row r="845" spans="1:8" ht="12.75" hidden="1" x14ac:dyDescent="0.2">
      <c r="A845" s="3" t="s">
        <v>160</v>
      </c>
      <c r="B845" s="2" t="s">
        <v>39</v>
      </c>
      <c r="C845" s="4" t="s">
        <v>40</v>
      </c>
      <c r="D845" s="3" t="s">
        <v>162</v>
      </c>
      <c r="E845" s="3" t="s">
        <v>14</v>
      </c>
      <c r="F845" s="3" t="str">
        <f t="shared" si="0"/>
        <v>4 - Blanco/Nulo</v>
      </c>
      <c r="G845" s="2">
        <v>1706</v>
      </c>
      <c r="H845" s="3"/>
    </row>
    <row r="846" spans="1:8" ht="12.75" hidden="1" x14ac:dyDescent="0.2">
      <c r="A846" s="3" t="s">
        <v>160</v>
      </c>
      <c r="B846" s="2" t="s">
        <v>39</v>
      </c>
      <c r="C846" s="4" t="s">
        <v>40</v>
      </c>
      <c r="D846" s="3" t="s">
        <v>162</v>
      </c>
      <c r="E846" s="3" t="s">
        <v>148</v>
      </c>
      <c r="F846" s="3" t="str">
        <f t="shared" si="0"/>
        <v>3 - Otros</v>
      </c>
      <c r="G846" s="2">
        <v>1655</v>
      </c>
      <c r="H846" s="2">
        <f>SUM(G841:G850)</f>
        <v>65565</v>
      </c>
    </row>
    <row r="847" spans="1:8" ht="12.75" hidden="1" x14ac:dyDescent="0.2">
      <c r="A847" s="3" t="s">
        <v>160</v>
      </c>
      <c r="B847" s="2" t="s">
        <v>39</v>
      </c>
      <c r="C847" s="4" t="s">
        <v>40</v>
      </c>
      <c r="D847" s="3" t="s">
        <v>162</v>
      </c>
      <c r="E847" s="3" t="s">
        <v>139</v>
      </c>
      <c r="F847" s="3" t="str">
        <f t="shared" si="0"/>
        <v>3 - Otros</v>
      </c>
      <c r="G847" s="2">
        <v>1144</v>
      </c>
      <c r="H847" s="3"/>
    </row>
    <row r="848" spans="1:8" ht="12.75" hidden="1" x14ac:dyDescent="0.2">
      <c r="A848" s="3" t="s">
        <v>160</v>
      </c>
      <c r="B848" s="2" t="s">
        <v>39</v>
      </c>
      <c r="C848" s="4" t="s">
        <v>40</v>
      </c>
      <c r="D848" s="3" t="s">
        <v>162</v>
      </c>
      <c r="E848" s="3" t="s">
        <v>138</v>
      </c>
      <c r="F848" s="3" t="str">
        <f t="shared" si="0"/>
        <v>4 - Blanco/Nulo</v>
      </c>
      <c r="G848" s="2">
        <v>801</v>
      </c>
      <c r="H848" s="3"/>
    </row>
    <row r="849" spans="1:8" ht="12.75" hidden="1" x14ac:dyDescent="0.2">
      <c r="A849" s="3" t="s">
        <v>160</v>
      </c>
      <c r="B849" s="2" t="s">
        <v>39</v>
      </c>
      <c r="C849" s="4" t="s">
        <v>40</v>
      </c>
      <c r="D849" s="3" t="s">
        <v>162</v>
      </c>
      <c r="E849" s="3" t="s">
        <v>145</v>
      </c>
      <c r="F849" s="3" t="str">
        <f t="shared" si="0"/>
        <v>3 - Otros</v>
      </c>
      <c r="G849" s="2">
        <v>743</v>
      </c>
      <c r="H849" s="3"/>
    </row>
    <row r="850" spans="1:8" ht="12.75" hidden="1" x14ac:dyDescent="0.2">
      <c r="A850" s="3" t="s">
        <v>160</v>
      </c>
      <c r="B850" s="2" t="s">
        <v>39</v>
      </c>
      <c r="C850" s="4" t="s">
        <v>40</v>
      </c>
      <c r="D850" s="3" t="s">
        <v>162</v>
      </c>
      <c r="E850" s="3" t="s">
        <v>135</v>
      </c>
      <c r="F850" s="3" t="str">
        <f t="shared" si="0"/>
        <v>3 - Otros</v>
      </c>
      <c r="G850" s="2">
        <v>603</v>
      </c>
      <c r="H850" s="3"/>
    </row>
    <row r="851" spans="1:8" ht="12.75" hidden="1" x14ac:dyDescent="0.2">
      <c r="A851" s="3" t="s">
        <v>160</v>
      </c>
      <c r="B851" s="2" t="s">
        <v>39</v>
      </c>
      <c r="C851" s="4" t="s">
        <v>40</v>
      </c>
      <c r="D851" s="3" t="s">
        <v>161</v>
      </c>
      <c r="E851" s="3" t="s">
        <v>3</v>
      </c>
      <c r="F851" s="3" t="str">
        <f t="shared" si="0"/>
        <v>1 - PJ</v>
      </c>
      <c r="G851" s="2">
        <v>32868</v>
      </c>
      <c r="H851" s="3"/>
    </row>
    <row r="852" spans="1:8" ht="12.75" hidden="1" x14ac:dyDescent="0.2">
      <c r="A852" s="3" t="s">
        <v>160</v>
      </c>
      <c r="B852" s="2" t="s">
        <v>39</v>
      </c>
      <c r="C852" s="4" t="s">
        <v>40</v>
      </c>
      <c r="D852" s="3" t="s">
        <v>161</v>
      </c>
      <c r="E852" s="3" t="s">
        <v>128</v>
      </c>
      <c r="F852" s="3" t="str">
        <f t="shared" si="0"/>
        <v>2 - Frepam</v>
      </c>
      <c r="G852" s="2">
        <v>16579</v>
      </c>
      <c r="H852" s="3"/>
    </row>
    <row r="853" spans="1:8" ht="12.75" hidden="1" x14ac:dyDescent="0.2">
      <c r="A853" s="3" t="s">
        <v>160</v>
      </c>
      <c r="B853" s="2" t="s">
        <v>39</v>
      </c>
      <c r="C853" s="4" t="s">
        <v>40</v>
      </c>
      <c r="D853" s="3" t="s">
        <v>161</v>
      </c>
      <c r="E853" s="3" t="s">
        <v>133</v>
      </c>
      <c r="F853" s="3" t="str">
        <f t="shared" si="0"/>
        <v>3 - Otros</v>
      </c>
      <c r="G853" s="2">
        <v>6386</v>
      </c>
      <c r="H853" s="3"/>
    </row>
    <row r="854" spans="1:8" ht="12.75" hidden="1" x14ac:dyDescent="0.2">
      <c r="A854" s="3" t="s">
        <v>160</v>
      </c>
      <c r="B854" s="2" t="s">
        <v>39</v>
      </c>
      <c r="C854" s="4" t="s">
        <v>40</v>
      </c>
      <c r="D854" s="3" t="s">
        <v>161</v>
      </c>
      <c r="E854" s="3" t="s">
        <v>14</v>
      </c>
      <c r="F854" s="3" t="str">
        <f t="shared" si="0"/>
        <v>4 - Blanco/Nulo</v>
      </c>
      <c r="G854" s="2">
        <v>2485</v>
      </c>
      <c r="H854" s="3"/>
    </row>
    <row r="855" spans="1:8" ht="12.75" hidden="1" x14ac:dyDescent="0.2">
      <c r="A855" s="3" t="s">
        <v>160</v>
      </c>
      <c r="B855" s="2" t="s">
        <v>39</v>
      </c>
      <c r="C855" s="4" t="s">
        <v>40</v>
      </c>
      <c r="D855" s="3" t="s">
        <v>161</v>
      </c>
      <c r="E855" s="3" t="s">
        <v>149</v>
      </c>
      <c r="F855" s="3" t="str">
        <f t="shared" si="0"/>
        <v>3 - Otros</v>
      </c>
      <c r="G855" s="2">
        <v>2248</v>
      </c>
      <c r="H855" s="3"/>
    </row>
    <row r="856" spans="1:8" ht="12.75" hidden="1" x14ac:dyDescent="0.2">
      <c r="A856" s="3" t="s">
        <v>160</v>
      </c>
      <c r="B856" s="2" t="s">
        <v>39</v>
      </c>
      <c r="C856" s="4" t="s">
        <v>40</v>
      </c>
      <c r="D856" s="3" t="s">
        <v>161</v>
      </c>
      <c r="E856" s="3" t="s">
        <v>148</v>
      </c>
      <c r="F856" s="3" t="str">
        <f t="shared" si="0"/>
        <v>3 - Otros</v>
      </c>
      <c r="G856" s="2">
        <v>1738</v>
      </c>
      <c r="H856" s="2">
        <f>SUM(G851:G860)</f>
        <v>65565</v>
      </c>
    </row>
    <row r="857" spans="1:8" ht="12.75" hidden="1" x14ac:dyDescent="0.2">
      <c r="A857" s="3" t="s">
        <v>160</v>
      </c>
      <c r="B857" s="2" t="s">
        <v>39</v>
      </c>
      <c r="C857" s="4" t="s">
        <v>40</v>
      </c>
      <c r="D857" s="3" t="s">
        <v>161</v>
      </c>
      <c r="E857" s="3" t="s">
        <v>139</v>
      </c>
      <c r="F857" s="3" t="str">
        <f t="shared" si="0"/>
        <v>3 - Otros</v>
      </c>
      <c r="G857" s="2">
        <v>1106</v>
      </c>
      <c r="H857" s="3"/>
    </row>
    <row r="858" spans="1:8" ht="12.75" hidden="1" x14ac:dyDescent="0.2">
      <c r="A858" s="3" t="s">
        <v>160</v>
      </c>
      <c r="B858" s="2" t="s">
        <v>39</v>
      </c>
      <c r="C858" s="4" t="s">
        <v>40</v>
      </c>
      <c r="D858" s="3" t="s">
        <v>161</v>
      </c>
      <c r="E858" s="3" t="s">
        <v>138</v>
      </c>
      <c r="F858" s="3" t="str">
        <f t="shared" si="0"/>
        <v>4 - Blanco/Nulo</v>
      </c>
      <c r="G858" s="2">
        <v>770</v>
      </c>
      <c r="H858" s="3"/>
    </row>
    <row r="859" spans="1:8" ht="12.75" hidden="1" x14ac:dyDescent="0.2">
      <c r="A859" s="3" t="s">
        <v>160</v>
      </c>
      <c r="B859" s="2" t="s">
        <v>39</v>
      </c>
      <c r="C859" s="4" t="s">
        <v>40</v>
      </c>
      <c r="D859" s="3" t="s">
        <v>161</v>
      </c>
      <c r="E859" s="3" t="s">
        <v>145</v>
      </c>
      <c r="F859" s="3" t="str">
        <f t="shared" si="0"/>
        <v>3 - Otros</v>
      </c>
      <c r="G859" s="2">
        <v>763</v>
      </c>
      <c r="H859" s="3"/>
    </row>
    <row r="860" spans="1:8" ht="12.75" hidden="1" x14ac:dyDescent="0.2">
      <c r="A860" s="3" t="s">
        <v>160</v>
      </c>
      <c r="B860" s="2" t="s">
        <v>39</v>
      </c>
      <c r="C860" s="4" t="s">
        <v>40</v>
      </c>
      <c r="D860" s="3" t="s">
        <v>161</v>
      </c>
      <c r="E860" s="3" t="s">
        <v>135</v>
      </c>
      <c r="F860" s="3" t="str">
        <f t="shared" si="0"/>
        <v>3 - Otros</v>
      </c>
      <c r="G860" s="2">
        <v>622</v>
      </c>
      <c r="H860" s="3"/>
    </row>
    <row r="861" spans="1:8" ht="12.75" hidden="1" x14ac:dyDescent="0.2">
      <c r="A861" s="3" t="s">
        <v>160</v>
      </c>
      <c r="B861" s="2">
        <v>11</v>
      </c>
      <c r="C861" s="4" t="s">
        <v>41</v>
      </c>
      <c r="D861" s="3" t="s">
        <v>2</v>
      </c>
      <c r="E861" s="3" t="s">
        <v>136</v>
      </c>
      <c r="F861" s="3" t="str">
        <f t="shared" si="0"/>
        <v>1 - PJ</v>
      </c>
      <c r="G861" s="2">
        <v>1040</v>
      </c>
      <c r="H861" s="3"/>
    </row>
    <row r="862" spans="1:8" ht="12.75" hidden="1" x14ac:dyDescent="0.2">
      <c r="A862" s="3" t="s">
        <v>160</v>
      </c>
      <c r="B862" s="2">
        <v>11</v>
      </c>
      <c r="C862" s="4" t="s">
        <v>41</v>
      </c>
      <c r="D862" s="3" t="s">
        <v>2</v>
      </c>
      <c r="E862" s="3" t="s">
        <v>128</v>
      </c>
      <c r="F862" s="3" t="str">
        <f t="shared" si="0"/>
        <v>2 - Frepam</v>
      </c>
      <c r="G862" s="2">
        <v>367</v>
      </c>
      <c r="H862" s="3"/>
    </row>
    <row r="863" spans="1:8" ht="12.75" hidden="1" x14ac:dyDescent="0.2">
      <c r="A863" s="3" t="s">
        <v>160</v>
      </c>
      <c r="B863" s="2">
        <v>11</v>
      </c>
      <c r="C863" s="4" t="s">
        <v>41</v>
      </c>
      <c r="D863" s="3" t="s">
        <v>2</v>
      </c>
      <c r="E863" s="3" t="s">
        <v>14</v>
      </c>
      <c r="F863" s="3" t="str">
        <f t="shared" si="0"/>
        <v>4 - Blanco/Nulo</v>
      </c>
      <c r="G863" s="2">
        <v>46</v>
      </c>
      <c r="H863" s="2">
        <f>SUM(G861:G864)</f>
        <v>1460</v>
      </c>
    </row>
    <row r="864" spans="1:8" ht="12.75" hidden="1" x14ac:dyDescent="0.2">
      <c r="A864" s="3" t="s">
        <v>160</v>
      </c>
      <c r="B864" s="2">
        <v>11</v>
      </c>
      <c r="C864" s="4" t="s">
        <v>41</v>
      </c>
      <c r="D864" s="3" t="s">
        <v>2</v>
      </c>
      <c r="E864" s="3" t="s">
        <v>138</v>
      </c>
      <c r="F864" s="3" t="str">
        <f t="shared" si="0"/>
        <v>4 - Blanco/Nulo</v>
      </c>
      <c r="G864" s="2">
        <v>7</v>
      </c>
      <c r="H864" s="3"/>
    </row>
    <row r="865" spans="1:8" ht="12.75" hidden="1" x14ac:dyDescent="0.2">
      <c r="A865" s="3" t="s">
        <v>160</v>
      </c>
      <c r="B865" s="2">
        <v>11</v>
      </c>
      <c r="C865" s="4" t="s">
        <v>41</v>
      </c>
      <c r="D865" s="3" t="s">
        <v>161</v>
      </c>
      <c r="E865" s="3" t="s">
        <v>136</v>
      </c>
      <c r="F865" s="3" t="str">
        <f t="shared" si="0"/>
        <v>1 - PJ</v>
      </c>
      <c r="G865" s="2">
        <v>1025</v>
      </c>
      <c r="H865" s="3"/>
    </row>
    <row r="866" spans="1:8" ht="12.75" hidden="1" x14ac:dyDescent="0.2">
      <c r="A866" s="3" t="s">
        <v>160</v>
      </c>
      <c r="B866" s="2">
        <v>11</v>
      </c>
      <c r="C866" s="4" t="s">
        <v>41</v>
      </c>
      <c r="D866" s="3" t="s">
        <v>161</v>
      </c>
      <c r="E866" s="3" t="s">
        <v>128</v>
      </c>
      <c r="F866" s="3" t="str">
        <f t="shared" si="0"/>
        <v>2 - Frepam</v>
      </c>
      <c r="G866" s="2">
        <v>344</v>
      </c>
      <c r="H866" s="3"/>
    </row>
    <row r="867" spans="1:8" ht="12.75" hidden="1" x14ac:dyDescent="0.2">
      <c r="A867" s="3" t="s">
        <v>160</v>
      </c>
      <c r="B867" s="2">
        <v>11</v>
      </c>
      <c r="C867" s="4" t="s">
        <v>41</v>
      </c>
      <c r="D867" s="3" t="s">
        <v>161</v>
      </c>
      <c r="E867" s="3" t="s">
        <v>14</v>
      </c>
      <c r="F867" s="3" t="str">
        <f t="shared" si="0"/>
        <v>4 - Blanco/Nulo</v>
      </c>
      <c r="G867" s="2">
        <v>41</v>
      </c>
      <c r="H867" s="3"/>
    </row>
    <row r="868" spans="1:8" ht="12.75" hidden="1" x14ac:dyDescent="0.2">
      <c r="A868" s="3" t="s">
        <v>160</v>
      </c>
      <c r="B868" s="2">
        <v>11</v>
      </c>
      <c r="C868" s="4" t="s">
        <v>41</v>
      </c>
      <c r="D868" s="3" t="s">
        <v>161</v>
      </c>
      <c r="E868" s="3" t="s">
        <v>138</v>
      </c>
      <c r="F868" s="3" t="str">
        <f t="shared" si="0"/>
        <v>4 - Blanco/Nulo</v>
      </c>
      <c r="G868" s="2">
        <v>12</v>
      </c>
      <c r="H868" s="3"/>
    </row>
    <row r="869" spans="1:8" ht="12.75" hidden="1" x14ac:dyDescent="0.2">
      <c r="A869" s="3" t="s">
        <v>160</v>
      </c>
      <c r="B869" s="2">
        <v>11</v>
      </c>
      <c r="C869" s="4" t="s">
        <v>41</v>
      </c>
      <c r="D869" s="3" t="s">
        <v>161</v>
      </c>
      <c r="E869" s="3" t="s">
        <v>133</v>
      </c>
      <c r="F869" s="3" t="str">
        <f t="shared" si="0"/>
        <v>3 - Otros</v>
      </c>
      <c r="G869" s="2">
        <v>10</v>
      </c>
      <c r="H869" s="2">
        <f>SUM(G865:G874)</f>
        <v>1460</v>
      </c>
    </row>
    <row r="870" spans="1:8" ht="12.75" hidden="1" x14ac:dyDescent="0.2">
      <c r="A870" s="3" t="s">
        <v>160</v>
      </c>
      <c r="B870" s="2">
        <v>11</v>
      </c>
      <c r="C870" s="4" t="s">
        <v>41</v>
      </c>
      <c r="D870" s="3" t="s">
        <v>161</v>
      </c>
      <c r="E870" s="3" t="s">
        <v>148</v>
      </c>
      <c r="F870" s="3" t="str">
        <f t="shared" si="0"/>
        <v>3 - Otros</v>
      </c>
      <c r="G870" s="2">
        <v>8</v>
      </c>
      <c r="H870" s="3"/>
    </row>
    <row r="871" spans="1:8" ht="12.75" hidden="1" x14ac:dyDescent="0.2">
      <c r="A871" s="3" t="s">
        <v>160</v>
      </c>
      <c r="B871" s="2">
        <v>11</v>
      </c>
      <c r="C871" s="4" t="s">
        <v>41</v>
      </c>
      <c r="D871" s="3" t="s">
        <v>161</v>
      </c>
      <c r="E871" s="3" t="s">
        <v>139</v>
      </c>
      <c r="F871" s="3" t="str">
        <f t="shared" si="0"/>
        <v>3 - Otros</v>
      </c>
      <c r="G871" s="2">
        <v>6</v>
      </c>
      <c r="H871" s="2"/>
    </row>
    <row r="872" spans="1:8" ht="12.75" hidden="1" x14ac:dyDescent="0.2">
      <c r="A872" s="3" t="s">
        <v>160</v>
      </c>
      <c r="B872" s="2">
        <v>11</v>
      </c>
      <c r="C872" s="4" t="s">
        <v>41</v>
      </c>
      <c r="D872" s="3" t="s">
        <v>161</v>
      </c>
      <c r="E872" s="3" t="s">
        <v>145</v>
      </c>
      <c r="F872" s="3" t="str">
        <f t="shared" si="0"/>
        <v>3 - Otros</v>
      </c>
      <c r="G872" s="2">
        <v>5</v>
      </c>
      <c r="H872" s="3"/>
    </row>
    <row r="873" spans="1:8" ht="12.75" hidden="1" x14ac:dyDescent="0.2">
      <c r="A873" s="3" t="s">
        <v>160</v>
      </c>
      <c r="B873" s="2">
        <v>11</v>
      </c>
      <c r="C873" s="4" t="s">
        <v>41</v>
      </c>
      <c r="D873" s="3" t="s">
        <v>161</v>
      </c>
      <c r="E873" s="3" t="s">
        <v>149</v>
      </c>
      <c r="F873" s="3" t="str">
        <f t="shared" si="0"/>
        <v>3 - Otros</v>
      </c>
      <c r="G873" s="2">
        <v>5</v>
      </c>
      <c r="H873" s="3"/>
    </row>
    <row r="874" spans="1:8" ht="12.75" hidden="1" x14ac:dyDescent="0.2">
      <c r="A874" s="3" t="s">
        <v>160</v>
      </c>
      <c r="B874" s="2">
        <v>11</v>
      </c>
      <c r="C874" s="4" t="s">
        <v>41</v>
      </c>
      <c r="D874" s="3" t="s">
        <v>161</v>
      </c>
      <c r="E874" s="3" t="s">
        <v>135</v>
      </c>
      <c r="F874" s="3" t="str">
        <f t="shared" si="0"/>
        <v>3 - Otros</v>
      </c>
      <c r="G874" s="2">
        <v>4</v>
      </c>
      <c r="H874" s="3"/>
    </row>
    <row r="875" spans="1:8" ht="12.75" hidden="1" x14ac:dyDescent="0.2">
      <c r="A875" s="3" t="s">
        <v>160</v>
      </c>
      <c r="B875" s="2">
        <v>11</v>
      </c>
      <c r="C875" s="4" t="s">
        <v>41</v>
      </c>
      <c r="D875" s="3" t="s">
        <v>162</v>
      </c>
      <c r="E875" s="3" t="s">
        <v>136</v>
      </c>
      <c r="F875" s="3" t="str">
        <f t="shared" si="0"/>
        <v>1 - PJ</v>
      </c>
      <c r="G875" s="2">
        <v>1040</v>
      </c>
      <c r="H875" s="3"/>
    </row>
    <row r="876" spans="1:8" ht="12.75" hidden="1" x14ac:dyDescent="0.2">
      <c r="A876" s="3" t="s">
        <v>160</v>
      </c>
      <c r="B876" s="2">
        <v>11</v>
      </c>
      <c r="C876" s="4" t="s">
        <v>41</v>
      </c>
      <c r="D876" s="3" t="s">
        <v>162</v>
      </c>
      <c r="E876" s="3" t="s">
        <v>128</v>
      </c>
      <c r="F876" s="3" t="str">
        <f t="shared" si="0"/>
        <v>2 - Frepam</v>
      </c>
      <c r="G876" s="2">
        <v>339</v>
      </c>
      <c r="H876" s="3"/>
    </row>
    <row r="877" spans="1:8" ht="12.75" hidden="1" x14ac:dyDescent="0.2">
      <c r="A877" s="3" t="s">
        <v>160</v>
      </c>
      <c r="B877" s="2">
        <v>11</v>
      </c>
      <c r="C877" s="4" t="s">
        <v>41</v>
      </c>
      <c r="D877" s="3" t="s">
        <v>162</v>
      </c>
      <c r="E877" s="3" t="s">
        <v>14</v>
      </c>
      <c r="F877" s="3" t="str">
        <f t="shared" si="0"/>
        <v>4 - Blanco/Nulo</v>
      </c>
      <c r="G877" s="2">
        <v>23</v>
      </c>
      <c r="H877" s="2">
        <f>SUM(G875:G884)</f>
        <v>1460</v>
      </c>
    </row>
    <row r="878" spans="1:8" ht="12.75" hidden="1" x14ac:dyDescent="0.2">
      <c r="A878" s="3" t="s">
        <v>160</v>
      </c>
      <c r="B878" s="2">
        <v>11</v>
      </c>
      <c r="C878" s="4" t="s">
        <v>41</v>
      </c>
      <c r="D878" s="3" t="s">
        <v>162</v>
      </c>
      <c r="E878" s="3" t="s">
        <v>138</v>
      </c>
      <c r="F878" s="3" t="str">
        <f t="shared" si="0"/>
        <v>4 - Blanco/Nulo</v>
      </c>
      <c r="G878" s="2">
        <v>16</v>
      </c>
      <c r="H878" s="3"/>
    </row>
    <row r="879" spans="1:8" ht="12.75" hidden="1" x14ac:dyDescent="0.2">
      <c r="A879" s="3" t="s">
        <v>160</v>
      </c>
      <c r="B879" s="2">
        <v>11</v>
      </c>
      <c r="C879" s="4" t="s">
        <v>41</v>
      </c>
      <c r="D879" s="3" t="s">
        <v>162</v>
      </c>
      <c r="E879" s="3" t="s">
        <v>133</v>
      </c>
      <c r="F879" s="3" t="str">
        <f t="shared" si="0"/>
        <v>3 - Otros</v>
      </c>
      <c r="G879" s="2">
        <v>13</v>
      </c>
      <c r="H879" s="3"/>
    </row>
    <row r="880" spans="1:8" ht="12.75" hidden="1" x14ac:dyDescent="0.2">
      <c r="A880" s="3" t="s">
        <v>160</v>
      </c>
      <c r="B880" s="2">
        <v>11</v>
      </c>
      <c r="C880" s="4" t="s">
        <v>41</v>
      </c>
      <c r="D880" s="3" t="s">
        <v>162</v>
      </c>
      <c r="E880" s="3" t="s">
        <v>148</v>
      </c>
      <c r="F880" s="3" t="str">
        <f t="shared" si="0"/>
        <v>3 - Otros</v>
      </c>
      <c r="G880" s="2">
        <v>8</v>
      </c>
      <c r="H880" s="3"/>
    </row>
    <row r="881" spans="1:8" ht="12.75" hidden="1" x14ac:dyDescent="0.2">
      <c r="A881" s="3" t="s">
        <v>160</v>
      </c>
      <c r="B881" s="2">
        <v>11</v>
      </c>
      <c r="C881" s="4" t="s">
        <v>41</v>
      </c>
      <c r="D881" s="3" t="s">
        <v>162</v>
      </c>
      <c r="E881" s="3" t="s">
        <v>149</v>
      </c>
      <c r="F881" s="3" t="str">
        <f t="shared" si="0"/>
        <v>3 - Otros</v>
      </c>
      <c r="G881" s="2">
        <v>6</v>
      </c>
      <c r="H881" s="3"/>
    </row>
    <row r="882" spans="1:8" ht="12.75" hidden="1" x14ac:dyDescent="0.2">
      <c r="A882" s="3" t="s">
        <v>160</v>
      </c>
      <c r="B882" s="2">
        <v>11</v>
      </c>
      <c r="C882" s="4" t="s">
        <v>41</v>
      </c>
      <c r="D882" s="3" t="s">
        <v>162</v>
      </c>
      <c r="E882" s="3" t="s">
        <v>139</v>
      </c>
      <c r="F882" s="3" t="str">
        <f t="shared" si="0"/>
        <v>3 - Otros</v>
      </c>
      <c r="G882" s="2">
        <v>6</v>
      </c>
      <c r="H882" s="3"/>
    </row>
    <row r="883" spans="1:8" ht="12.75" hidden="1" x14ac:dyDescent="0.2">
      <c r="A883" s="3" t="s">
        <v>160</v>
      </c>
      <c r="B883" s="2">
        <v>11</v>
      </c>
      <c r="C883" s="4" t="s">
        <v>41</v>
      </c>
      <c r="D883" s="3" t="s">
        <v>162</v>
      </c>
      <c r="E883" s="3" t="s">
        <v>145</v>
      </c>
      <c r="F883" s="3" t="str">
        <f t="shared" si="0"/>
        <v>3 - Otros</v>
      </c>
      <c r="G883" s="2">
        <v>5</v>
      </c>
      <c r="H883" s="3"/>
    </row>
    <row r="884" spans="1:8" ht="12.75" hidden="1" x14ac:dyDescent="0.2">
      <c r="A884" s="3" t="s">
        <v>160</v>
      </c>
      <c r="B884" s="2">
        <v>11</v>
      </c>
      <c r="C884" s="4" t="s">
        <v>41</v>
      </c>
      <c r="D884" s="3" t="s">
        <v>162</v>
      </c>
      <c r="E884" s="3" t="s">
        <v>135</v>
      </c>
      <c r="F884" s="3" t="str">
        <f t="shared" si="0"/>
        <v>3 - Otros</v>
      </c>
      <c r="G884" s="2">
        <v>4</v>
      </c>
      <c r="H884" s="3"/>
    </row>
    <row r="885" spans="1:8" ht="12.75" hidden="1" x14ac:dyDescent="0.2">
      <c r="A885" s="3" t="s">
        <v>160</v>
      </c>
      <c r="B885" s="2">
        <v>13</v>
      </c>
      <c r="C885" s="4" t="s">
        <v>42</v>
      </c>
      <c r="D885" s="3" t="s">
        <v>2</v>
      </c>
      <c r="E885" s="3" t="s">
        <v>3</v>
      </c>
      <c r="F885" s="3" t="str">
        <f t="shared" si="0"/>
        <v>1 - PJ</v>
      </c>
      <c r="G885" s="2">
        <v>1035</v>
      </c>
      <c r="H885" s="3"/>
    </row>
    <row r="886" spans="1:8" ht="12.75" hidden="1" x14ac:dyDescent="0.2">
      <c r="A886" s="3" t="s">
        <v>160</v>
      </c>
      <c r="B886" s="2">
        <v>13</v>
      </c>
      <c r="C886" s="4" t="s">
        <v>42</v>
      </c>
      <c r="D886" s="3" t="s">
        <v>2</v>
      </c>
      <c r="E886" s="3" t="s">
        <v>133</v>
      </c>
      <c r="F886" s="3" t="str">
        <f t="shared" si="0"/>
        <v>3 - Otros</v>
      </c>
      <c r="G886" s="2">
        <v>970</v>
      </c>
      <c r="H886" s="2">
        <f>SUM(G885:G890)</f>
        <v>3179</v>
      </c>
    </row>
    <row r="887" spans="1:8" ht="12.75" hidden="1" x14ac:dyDescent="0.2">
      <c r="A887" s="3" t="s">
        <v>160</v>
      </c>
      <c r="B887" s="2">
        <v>13</v>
      </c>
      <c r="C887" s="4" t="s">
        <v>42</v>
      </c>
      <c r="D887" s="3" t="s">
        <v>2</v>
      </c>
      <c r="E887" s="3" t="s">
        <v>128</v>
      </c>
      <c r="F887" s="3" t="str">
        <f t="shared" si="0"/>
        <v>2 - Frepam</v>
      </c>
      <c r="G887" s="2">
        <v>766</v>
      </c>
      <c r="H887" s="3"/>
    </row>
    <row r="888" spans="1:8" ht="12.75" hidden="1" x14ac:dyDescent="0.2">
      <c r="A888" s="3" t="s">
        <v>160</v>
      </c>
      <c r="B888" s="2">
        <v>13</v>
      </c>
      <c r="C888" s="4" t="s">
        <v>42</v>
      </c>
      <c r="D888" s="3" t="s">
        <v>2</v>
      </c>
      <c r="E888" s="3" t="s">
        <v>149</v>
      </c>
      <c r="F888" s="3" t="str">
        <f t="shared" si="0"/>
        <v>3 - Otros</v>
      </c>
      <c r="G888" s="2">
        <v>341</v>
      </c>
      <c r="H888" s="3"/>
    </row>
    <row r="889" spans="1:8" ht="12.75" hidden="1" x14ac:dyDescent="0.2">
      <c r="A889" s="3" t="s">
        <v>160</v>
      </c>
      <c r="B889" s="2">
        <v>13</v>
      </c>
      <c r="C889" s="4" t="s">
        <v>42</v>
      </c>
      <c r="D889" s="3" t="s">
        <v>2</v>
      </c>
      <c r="E889" s="3" t="s">
        <v>14</v>
      </c>
      <c r="F889" s="3" t="str">
        <f t="shared" si="0"/>
        <v>4 - Blanco/Nulo</v>
      </c>
      <c r="G889" s="2">
        <v>51</v>
      </c>
      <c r="H889" s="3"/>
    </row>
    <row r="890" spans="1:8" ht="12.75" hidden="1" x14ac:dyDescent="0.2">
      <c r="A890" s="3" t="s">
        <v>160</v>
      </c>
      <c r="B890" s="2">
        <v>13</v>
      </c>
      <c r="C890" s="4" t="s">
        <v>42</v>
      </c>
      <c r="D890" s="3" t="s">
        <v>2</v>
      </c>
      <c r="E890" s="3" t="s">
        <v>138</v>
      </c>
      <c r="F890" s="3" t="str">
        <f t="shared" si="0"/>
        <v>4 - Blanco/Nulo</v>
      </c>
      <c r="G890" s="2">
        <v>16</v>
      </c>
      <c r="H890" s="3"/>
    </row>
    <row r="891" spans="1:8" ht="12.75" hidden="1" x14ac:dyDescent="0.2">
      <c r="A891" s="3" t="s">
        <v>160</v>
      </c>
      <c r="B891" s="2">
        <v>13</v>
      </c>
      <c r="C891" s="4" t="s">
        <v>42</v>
      </c>
      <c r="D891" s="3" t="s">
        <v>162</v>
      </c>
      <c r="E891" s="3" t="s">
        <v>3</v>
      </c>
      <c r="F891" s="3" t="str">
        <f t="shared" si="0"/>
        <v>1 - PJ</v>
      </c>
      <c r="G891" s="2">
        <v>1077</v>
      </c>
      <c r="H891" s="3"/>
    </row>
    <row r="892" spans="1:8" ht="12.75" hidden="1" x14ac:dyDescent="0.2">
      <c r="A892" s="3" t="s">
        <v>160</v>
      </c>
      <c r="B892" s="2">
        <v>13</v>
      </c>
      <c r="C892" s="4" t="s">
        <v>42</v>
      </c>
      <c r="D892" s="3" t="s">
        <v>162</v>
      </c>
      <c r="E892" s="3" t="s">
        <v>133</v>
      </c>
      <c r="F892" s="3" t="str">
        <f t="shared" si="0"/>
        <v>3 - Otros</v>
      </c>
      <c r="G892" s="2">
        <v>896</v>
      </c>
      <c r="H892" s="3"/>
    </row>
    <row r="893" spans="1:8" ht="12.75" hidden="1" x14ac:dyDescent="0.2">
      <c r="A893" s="3" t="s">
        <v>160</v>
      </c>
      <c r="B893" s="2">
        <v>13</v>
      </c>
      <c r="C893" s="4" t="s">
        <v>42</v>
      </c>
      <c r="D893" s="3" t="s">
        <v>162</v>
      </c>
      <c r="E893" s="3" t="s">
        <v>128</v>
      </c>
      <c r="F893" s="3" t="str">
        <f t="shared" si="0"/>
        <v>2 - Frepam</v>
      </c>
      <c r="G893" s="2">
        <v>766</v>
      </c>
      <c r="H893" s="3"/>
    </row>
    <row r="894" spans="1:8" ht="12.75" hidden="1" x14ac:dyDescent="0.2">
      <c r="A894" s="3" t="s">
        <v>160</v>
      </c>
      <c r="B894" s="2">
        <v>13</v>
      </c>
      <c r="C894" s="4" t="s">
        <v>42</v>
      </c>
      <c r="D894" s="3" t="s">
        <v>162</v>
      </c>
      <c r="E894" s="3" t="s">
        <v>149</v>
      </c>
      <c r="F894" s="3" t="str">
        <f t="shared" si="0"/>
        <v>3 - Otros</v>
      </c>
      <c r="G894" s="2">
        <v>290</v>
      </c>
      <c r="H894" s="3"/>
    </row>
    <row r="895" spans="1:8" ht="12.75" hidden="1" x14ac:dyDescent="0.2">
      <c r="A895" s="3" t="s">
        <v>160</v>
      </c>
      <c r="B895" s="2">
        <v>13</v>
      </c>
      <c r="C895" s="4" t="s">
        <v>42</v>
      </c>
      <c r="D895" s="3" t="s">
        <v>162</v>
      </c>
      <c r="E895" s="3" t="s">
        <v>14</v>
      </c>
      <c r="F895" s="3" t="str">
        <f t="shared" si="0"/>
        <v>4 - Blanco/Nulo</v>
      </c>
      <c r="G895" s="2">
        <v>88</v>
      </c>
      <c r="H895" s="3"/>
    </row>
    <row r="896" spans="1:8" ht="12.75" hidden="1" x14ac:dyDescent="0.2">
      <c r="A896" s="3" t="s">
        <v>160</v>
      </c>
      <c r="B896" s="2">
        <v>13</v>
      </c>
      <c r="C896" s="4" t="s">
        <v>42</v>
      </c>
      <c r="D896" s="3" t="s">
        <v>162</v>
      </c>
      <c r="E896" s="3" t="s">
        <v>138</v>
      </c>
      <c r="F896" s="3" t="str">
        <f t="shared" si="0"/>
        <v>4 - Blanco/Nulo</v>
      </c>
      <c r="G896" s="2">
        <v>27</v>
      </c>
      <c r="H896" s="2">
        <f>SUM(G891:G900)</f>
        <v>3179</v>
      </c>
    </row>
    <row r="897" spans="1:8" ht="12.75" hidden="1" x14ac:dyDescent="0.2">
      <c r="A897" s="3" t="s">
        <v>160</v>
      </c>
      <c r="B897" s="2">
        <v>13</v>
      </c>
      <c r="C897" s="4" t="s">
        <v>42</v>
      </c>
      <c r="D897" s="3" t="s">
        <v>162</v>
      </c>
      <c r="E897" s="3" t="s">
        <v>135</v>
      </c>
      <c r="F897" s="3" t="str">
        <f t="shared" si="0"/>
        <v>3 - Otros</v>
      </c>
      <c r="G897" s="2">
        <v>11</v>
      </c>
      <c r="H897" s="3"/>
    </row>
    <row r="898" spans="1:8" ht="12.75" hidden="1" x14ac:dyDescent="0.2">
      <c r="A898" s="3" t="s">
        <v>160</v>
      </c>
      <c r="B898" s="2">
        <v>13</v>
      </c>
      <c r="C898" s="4" t="s">
        <v>42</v>
      </c>
      <c r="D898" s="3" t="s">
        <v>162</v>
      </c>
      <c r="E898" s="3" t="s">
        <v>139</v>
      </c>
      <c r="F898" s="3" t="str">
        <f t="shared" si="0"/>
        <v>3 - Otros</v>
      </c>
      <c r="G898" s="2">
        <v>9</v>
      </c>
      <c r="H898" s="3"/>
    </row>
    <row r="899" spans="1:8" ht="12.75" hidden="1" x14ac:dyDescent="0.2">
      <c r="A899" s="3" t="s">
        <v>160</v>
      </c>
      <c r="B899" s="2">
        <v>13</v>
      </c>
      <c r="C899" s="4" t="s">
        <v>42</v>
      </c>
      <c r="D899" s="3" t="s">
        <v>162</v>
      </c>
      <c r="E899" s="3" t="s">
        <v>145</v>
      </c>
      <c r="F899" s="3" t="str">
        <f t="shared" si="0"/>
        <v>3 - Otros</v>
      </c>
      <c r="G899" s="2">
        <v>8</v>
      </c>
      <c r="H899" s="3"/>
    </row>
    <row r="900" spans="1:8" ht="12.75" hidden="1" x14ac:dyDescent="0.2">
      <c r="A900" s="3" t="s">
        <v>160</v>
      </c>
      <c r="B900" s="2">
        <v>13</v>
      </c>
      <c r="C900" s="4" t="s">
        <v>42</v>
      </c>
      <c r="D900" s="3" t="s">
        <v>162</v>
      </c>
      <c r="E900" s="3" t="s">
        <v>148</v>
      </c>
      <c r="F900" s="3" t="str">
        <f t="shared" si="0"/>
        <v>3 - Otros</v>
      </c>
      <c r="G900" s="2">
        <v>7</v>
      </c>
      <c r="H900" s="3"/>
    </row>
    <row r="901" spans="1:8" ht="12.75" hidden="1" x14ac:dyDescent="0.2">
      <c r="A901" s="3" t="s">
        <v>160</v>
      </c>
      <c r="B901" s="2">
        <v>13</v>
      </c>
      <c r="C901" s="4" t="s">
        <v>42</v>
      </c>
      <c r="D901" s="3" t="s">
        <v>161</v>
      </c>
      <c r="E901" s="3" t="s">
        <v>3</v>
      </c>
      <c r="F901" s="3" t="str">
        <f t="shared" si="0"/>
        <v>1 - PJ</v>
      </c>
      <c r="G901" s="2">
        <v>1039</v>
      </c>
      <c r="H901" s="3"/>
    </row>
    <row r="902" spans="1:8" ht="12.75" hidden="1" x14ac:dyDescent="0.2">
      <c r="A902" s="3" t="s">
        <v>160</v>
      </c>
      <c r="B902" s="2">
        <v>13</v>
      </c>
      <c r="C902" s="4" t="s">
        <v>42</v>
      </c>
      <c r="D902" s="3" t="s">
        <v>161</v>
      </c>
      <c r="E902" s="3" t="s">
        <v>133</v>
      </c>
      <c r="F902" s="3" t="str">
        <f t="shared" si="0"/>
        <v>3 - Otros</v>
      </c>
      <c r="G902" s="2">
        <v>901</v>
      </c>
      <c r="H902" s="3"/>
    </row>
    <row r="903" spans="1:8" ht="12.75" hidden="1" x14ac:dyDescent="0.2">
      <c r="A903" s="3" t="s">
        <v>160</v>
      </c>
      <c r="B903" s="2">
        <v>13</v>
      </c>
      <c r="C903" s="4" t="s">
        <v>42</v>
      </c>
      <c r="D903" s="3" t="s">
        <v>161</v>
      </c>
      <c r="E903" s="3" t="s">
        <v>128</v>
      </c>
      <c r="F903" s="3" t="str">
        <f t="shared" si="0"/>
        <v>2 - Frepam</v>
      </c>
      <c r="G903" s="2">
        <v>752</v>
      </c>
      <c r="H903" s="3"/>
    </row>
    <row r="904" spans="1:8" ht="12.75" hidden="1" x14ac:dyDescent="0.2">
      <c r="A904" s="3" t="s">
        <v>160</v>
      </c>
      <c r="B904" s="2">
        <v>13</v>
      </c>
      <c r="C904" s="4" t="s">
        <v>42</v>
      </c>
      <c r="D904" s="3" t="s">
        <v>161</v>
      </c>
      <c r="E904" s="3" t="s">
        <v>149</v>
      </c>
      <c r="F904" s="3" t="str">
        <f t="shared" si="0"/>
        <v>3 - Otros</v>
      </c>
      <c r="G904" s="2">
        <v>302</v>
      </c>
      <c r="H904" s="3"/>
    </row>
    <row r="905" spans="1:8" ht="12.75" hidden="1" x14ac:dyDescent="0.2">
      <c r="A905" s="3" t="s">
        <v>160</v>
      </c>
      <c r="B905" s="2">
        <v>13</v>
      </c>
      <c r="C905" s="4" t="s">
        <v>42</v>
      </c>
      <c r="D905" s="3" t="s">
        <v>161</v>
      </c>
      <c r="E905" s="3" t="s">
        <v>14</v>
      </c>
      <c r="F905" s="3" t="str">
        <f t="shared" si="0"/>
        <v>4 - Blanco/Nulo</v>
      </c>
      <c r="G905" s="2">
        <v>124</v>
      </c>
      <c r="H905" s="3"/>
    </row>
    <row r="906" spans="1:8" ht="12.75" hidden="1" x14ac:dyDescent="0.2">
      <c r="A906" s="3" t="s">
        <v>160</v>
      </c>
      <c r="B906" s="2">
        <v>13</v>
      </c>
      <c r="C906" s="4" t="s">
        <v>42</v>
      </c>
      <c r="D906" s="3" t="s">
        <v>161</v>
      </c>
      <c r="E906" s="3" t="s">
        <v>138</v>
      </c>
      <c r="F906" s="3" t="str">
        <f t="shared" si="0"/>
        <v>4 - Blanco/Nulo</v>
      </c>
      <c r="G906" s="2">
        <v>27</v>
      </c>
      <c r="H906" s="2">
        <f>SUM(G901:G910)</f>
        <v>3179</v>
      </c>
    </row>
    <row r="907" spans="1:8" ht="12.75" hidden="1" x14ac:dyDescent="0.2">
      <c r="A907" s="3" t="s">
        <v>160</v>
      </c>
      <c r="B907" s="2">
        <v>13</v>
      </c>
      <c r="C907" s="4" t="s">
        <v>42</v>
      </c>
      <c r="D907" s="3" t="s">
        <v>161</v>
      </c>
      <c r="E907" s="3" t="s">
        <v>135</v>
      </c>
      <c r="F907" s="3" t="str">
        <f t="shared" si="0"/>
        <v>3 - Otros</v>
      </c>
      <c r="G907" s="2">
        <v>11</v>
      </c>
      <c r="H907" s="3"/>
    </row>
    <row r="908" spans="1:8" ht="12.75" hidden="1" x14ac:dyDescent="0.2">
      <c r="A908" s="3" t="s">
        <v>160</v>
      </c>
      <c r="B908" s="2">
        <v>13</v>
      </c>
      <c r="C908" s="4" t="s">
        <v>42</v>
      </c>
      <c r="D908" s="3" t="s">
        <v>161</v>
      </c>
      <c r="E908" s="3" t="s">
        <v>145</v>
      </c>
      <c r="F908" s="3" t="str">
        <f t="shared" si="0"/>
        <v>3 - Otros</v>
      </c>
      <c r="G908" s="2">
        <v>8</v>
      </c>
      <c r="H908" s="3"/>
    </row>
    <row r="909" spans="1:8" ht="12.75" hidden="1" x14ac:dyDescent="0.2">
      <c r="A909" s="3" t="s">
        <v>160</v>
      </c>
      <c r="B909" s="2">
        <v>13</v>
      </c>
      <c r="C909" s="4" t="s">
        <v>42</v>
      </c>
      <c r="D909" s="3" t="s">
        <v>161</v>
      </c>
      <c r="E909" s="3" t="s">
        <v>139</v>
      </c>
      <c r="F909" s="3" t="str">
        <f t="shared" si="0"/>
        <v>3 - Otros</v>
      </c>
      <c r="G909" s="2">
        <v>8</v>
      </c>
      <c r="H909" s="3"/>
    </row>
    <row r="910" spans="1:8" ht="12.75" hidden="1" x14ac:dyDescent="0.2">
      <c r="A910" s="3" t="s">
        <v>160</v>
      </c>
      <c r="B910" s="2">
        <v>13</v>
      </c>
      <c r="C910" s="4" t="s">
        <v>42</v>
      </c>
      <c r="D910" s="3" t="s">
        <v>161</v>
      </c>
      <c r="E910" s="3" t="s">
        <v>148</v>
      </c>
      <c r="F910" s="3" t="str">
        <f t="shared" si="0"/>
        <v>3 - Otros</v>
      </c>
      <c r="G910" s="2">
        <v>7</v>
      </c>
      <c r="H910" s="3"/>
    </row>
    <row r="911" spans="1:8" ht="12.75" hidden="1" x14ac:dyDescent="0.2">
      <c r="A911" s="3" t="s">
        <v>160</v>
      </c>
      <c r="B911" s="2">
        <v>15</v>
      </c>
      <c r="C911" s="4" t="s">
        <v>43</v>
      </c>
      <c r="D911" s="3" t="s">
        <v>2</v>
      </c>
      <c r="E911" s="3" t="s">
        <v>136</v>
      </c>
      <c r="F911" s="3" t="str">
        <f t="shared" si="0"/>
        <v>1 - PJ</v>
      </c>
      <c r="G911" s="2">
        <v>842</v>
      </c>
      <c r="H911" s="3"/>
    </row>
    <row r="912" spans="1:8" ht="12.75" hidden="1" x14ac:dyDescent="0.2">
      <c r="A912" s="3" t="s">
        <v>160</v>
      </c>
      <c r="B912" s="2">
        <v>15</v>
      </c>
      <c r="C912" s="4" t="s">
        <v>43</v>
      </c>
      <c r="D912" s="3" t="s">
        <v>2</v>
      </c>
      <c r="E912" s="3" t="s">
        <v>128</v>
      </c>
      <c r="F912" s="3" t="str">
        <f t="shared" si="0"/>
        <v>2 - Frepam</v>
      </c>
      <c r="G912" s="2">
        <v>418</v>
      </c>
      <c r="H912" s="3"/>
    </row>
    <row r="913" spans="1:8" ht="12.75" hidden="1" x14ac:dyDescent="0.2">
      <c r="A913" s="3" t="s">
        <v>160</v>
      </c>
      <c r="B913" s="2">
        <v>15</v>
      </c>
      <c r="C913" s="4" t="s">
        <v>43</v>
      </c>
      <c r="D913" s="3" t="s">
        <v>2</v>
      </c>
      <c r="E913" s="3" t="s">
        <v>14</v>
      </c>
      <c r="F913" s="3" t="str">
        <f t="shared" si="0"/>
        <v>4 - Blanco/Nulo</v>
      </c>
      <c r="G913" s="2">
        <v>51</v>
      </c>
      <c r="H913" s="2">
        <f>SUM(G911:G914)</f>
        <v>1318</v>
      </c>
    </row>
    <row r="914" spans="1:8" ht="12.75" hidden="1" x14ac:dyDescent="0.2">
      <c r="A914" s="3" t="s">
        <v>160</v>
      </c>
      <c r="B914" s="2">
        <v>15</v>
      </c>
      <c r="C914" s="4" t="s">
        <v>43</v>
      </c>
      <c r="D914" s="3" t="s">
        <v>2</v>
      </c>
      <c r="E914" s="3" t="s">
        <v>138</v>
      </c>
      <c r="F914" s="3" t="str">
        <f t="shared" si="0"/>
        <v>4 - Blanco/Nulo</v>
      </c>
      <c r="G914" s="2">
        <v>7</v>
      </c>
      <c r="H914" s="3"/>
    </row>
    <row r="915" spans="1:8" ht="12.75" hidden="1" x14ac:dyDescent="0.2">
      <c r="A915" s="3" t="s">
        <v>160</v>
      </c>
      <c r="B915" s="2">
        <v>15</v>
      </c>
      <c r="C915" s="4" t="s">
        <v>43</v>
      </c>
      <c r="D915" s="3" t="s">
        <v>161</v>
      </c>
      <c r="E915" s="3" t="s">
        <v>136</v>
      </c>
      <c r="F915" s="3" t="str">
        <f t="shared" si="0"/>
        <v>1 - PJ</v>
      </c>
      <c r="G915" s="2">
        <v>780</v>
      </c>
      <c r="H915" s="3"/>
    </row>
    <row r="916" spans="1:8" ht="12.75" hidden="1" x14ac:dyDescent="0.2">
      <c r="A916" s="3" t="s">
        <v>160</v>
      </c>
      <c r="B916" s="2">
        <v>15</v>
      </c>
      <c r="C916" s="4" t="s">
        <v>43</v>
      </c>
      <c r="D916" s="3" t="s">
        <v>161</v>
      </c>
      <c r="E916" s="3" t="s">
        <v>128</v>
      </c>
      <c r="F916" s="3" t="str">
        <f t="shared" si="0"/>
        <v>2 - Frepam</v>
      </c>
      <c r="G916" s="2">
        <v>375</v>
      </c>
      <c r="H916" s="3"/>
    </row>
    <row r="917" spans="1:8" ht="12.75" hidden="1" x14ac:dyDescent="0.2">
      <c r="A917" s="3" t="s">
        <v>160</v>
      </c>
      <c r="B917" s="2">
        <v>15</v>
      </c>
      <c r="C917" s="4" t="s">
        <v>43</v>
      </c>
      <c r="D917" s="3" t="s">
        <v>161</v>
      </c>
      <c r="E917" s="3" t="s">
        <v>14</v>
      </c>
      <c r="F917" s="3" t="str">
        <f t="shared" si="0"/>
        <v>4 - Blanco/Nulo</v>
      </c>
      <c r="G917" s="2">
        <v>80</v>
      </c>
      <c r="H917" s="3"/>
    </row>
    <row r="918" spans="1:8" ht="12.75" hidden="1" x14ac:dyDescent="0.2">
      <c r="A918" s="3" t="s">
        <v>160</v>
      </c>
      <c r="B918" s="2">
        <v>15</v>
      </c>
      <c r="C918" s="4" t="s">
        <v>43</v>
      </c>
      <c r="D918" s="3" t="s">
        <v>161</v>
      </c>
      <c r="E918" s="3" t="s">
        <v>133</v>
      </c>
      <c r="F918" s="3" t="str">
        <f t="shared" si="0"/>
        <v>3 - Otros</v>
      </c>
      <c r="G918" s="2">
        <v>54</v>
      </c>
      <c r="H918" s="3"/>
    </row>
    <row r="919" spans="1:8" ht="12.75" hidden="1" x14ac:dyDescent="0.2">
      <c r="A919" s="3" t="s">
        <v>160</v>
      </c>
      <c r="B919" s="2">
        <v>15</v>
      </c>
      <c r="C919" s="4" t="s">
        <v>43</v>
      </c>
      <c r="D919" s="3" t="s">
        <v>161</v>
      </c>
      <c r="E919" s="3" t="s">
        <v>138</v>
      </c>
      <c r="F919" s="3" t="str">
        <f t="shared" si="0"/>
        <v>4 - Blanco/Nulo</v>
      </c>
      <c r="G919" s="2">
        <v>10</v>
      </c>
      <c r="H919" s="3"/>
    </row>
    <row r="920" spans="1:8" ht="12.75" hidden="1" x14ac:dyDescent="0.2">
      <c r="A920" s="3" t="s">
        <v>160</v>
      </c>
      <c r="B920" s="2">
        <v>15</v>
      </c>
      <c r="C920" s="4" t="s">
        <v>43</v>
      </c>
      <c r="D920" s="3" t="s">
        <v>161</v>
      </c>
      <c r="E920" s="3" t="s">
        <v>149</v>
      </c>
      <c r="F920" s="3" t="str">
        <f t="shared" si="0"/>
        <v>3 - Otros</v>
      </c>
      <c r="G920" s="2">
        <v>9</v>
      </c>
      <c r="H920" s="2">
        <f>SUM(G915:G924)</f>
        <v>1318</v>
      </c>
    </row>
    <row r="921" spans="1:8" ht="12.75" hidden="1" x14ac:dyDescent="0.2">
      <c r="A921" s="3" t="s">
        <v>160</v>
      </c>
      <c r="B921" s="2">
        <v>15</v>
      </c>
      <c r="C921" s="4" t="s">
        <v>43</v>
      </c>
      <c r="D921" s="3" t="s">
        <v>161</v>
      </c>
      <c r="E921" s="3" t="s">
        <v>148</v>
      </c>
      <c r="F921" s="3" t="str">
        <f t="shared" si="0"/>
        <v>3 - Otros</v>
      </c>
      <c r="G921" s="2">
        <v>5</v>
      </c>
      <c r="H921" s="3"/>
    </row>
    <row r="922" spans="1:8" ht="12.75" hidden="1" x14ac:dyDescent="0.2">
      <c r="A922" s="3" t="s">
        <v>160</v>
      </c>
      <c r="B922" s="2">
        <v>15</v>
      </c>
      <c r="C922" s="4" t="s">
        <v>43</v>
      </c>
      <c r="D922" s="3" t="s">
        <v>161</v>
      </c>
      <c r="E922" s="3" t="s">
        <v>135</v>
      </c>
      <c r="F922" s="3" t="str">
        <f t="shared" si="0"/>
        <v>3 - Otros</v>
      </c>
      <c r="G922" s="2">
        <v>3</v>
      </c>
      <c r="H922" s="3"/>
    </row>
    <row r="923" spans="1:8" ht="12.75" hidden="1" x14ac:dyDescent="0.2">
      <c r="A923" s="3" t="s">
        <v>160</v>
      </c>
      <c r="B923" s="2">
        <v>15</v>
      </c>
      <c r="C923" s="4" t="s">
        <v>43</v>
      </c>
      <c r="D923" s="3" t="s">
        <v>161</v>
      </c>
      <c r="E923" s="3" t="s">
        <v>145</v>
      </c>
      <c r="F923" s="3" t="str">
        <f t="shared" si="0"/>
        <v>3 - Otros</v>
      </c>
      <c r="G923" s="2">
        <v>1</v>
      </c>
      <c r="H923" s="3"/>
    </row>
    <row r="924" spans="1:8" ht="12.75" hidden="1" x14ac:dyDescent="0.2">
      <c r="A924" s="3" t="s">
        <v>160</v>
      </c>
      <c r="B924" s="2">
        <v>15</v>
      </c>
      <c r="C924" s="4" t="s">
        <v>43</v>
      </c>
      <c r="D924" s="3" t="s">
        <v>161</v>
      </c>
      <c r="E924" s="3" t="s">
        <v>139</v>
      </c>
      <c r="F924" s="3" t="str">
        <f t="shared" si="0"/>
        <v>3 - Otros</v>
      </c>
      <c r="G924" s="2">
        <v>1</v>
      </c>
      <c r="H924" s="3"/>
    </row>
    <row r="925" spans="1:8" ht="12.75" hidden="1" x14ac:dyDescent="0.2">
      <c r="A925" s="3" t="s">
        <v>160</v>
      </c>
      <c r="B925" s="2">
        <v>15</v>
      </c>
      <c r="C925" s="4" t="s">
        <v>43</v>
      </c>
      <c r="D925" s="3" t="s">
        <v>162</v>
      </c>
      <c r="E925" s="3" t="s">
        <v>136</v>
      </c>
      <c r="F925" s="3" t="str">
        <f t="shared" si="0"/>
        <v>1 - PJ</v>
      </c>
      <c r="G925" s="2">
        <v>789</v>
      </c>
      <c r="H925" s="3"/>
    </row>
    <row r="926" spans="1:8" ht="12.75" hidden="1" x14ac:dyDescent="0.2">
      <c r="A926" s="3" t="s">
        <v>160</v>
      </c>
      <c r="B926" s="2">
        <v>15</v>
      </c>
      <c r="C926" s="4" t="s">
        <v>43</v>
      </c>
      <c r="D926" s="3" t="s">
        <v>162</v>
      </c>
      <c r="E926" s="3" t="s">
        <v>128</v>
      </c>
      <c r="F926" s="3" t="str">
        <f t="shared" si="0"/>
        <v>2 - Frepam</v>
      </c>
      <c r="G926" s="2">
        <v>387</v>
      </c>
      <c r="H926" s="3"/>
    </row>
    <row r="927" spans="1:8" ht="12.75" hidden="1" x14ac:dyDescent="0.2">
      <c r="A927" s="3" t="s">
        <v>160</v>
      </c>
      <c r="B927" s="2">
        <v>15</v>
      </c>
      <c r="C927" s="4" t="s">
        <v>43</v>
      </c>
      <c r="D927" s="3" t="s">
        <v>162</v>
      </c>
      <c r="E927" s="3" t="s">
        <v>133</v>
      </c>
      <c r="F927" s="3" t="str">
        <f t="shared" si="0"/>
        <v>3 - Otros</v>
      </c>
      <c r="G927" s="2">
        <v>65</v>
      </c>
      <c r="H927" s="3"/>
    </row>
    <row r="928" spans="1:8" ht="12.75" hidden="1" x14ac:dyDescent="0.2">
      <c r="A928" s="3" t="s">
        <v>160</v>
      </c>
      <c r="B928" s="2">
        <v>15</v>
      </c>
      <c r="C928" s="4" t="s">
        <v>43</v>
      </c>
      <c r="D928" s="3" t="s">
        <v>162</v>
      </c>
      <c r="E928" s="3" t="s">
        <v>14</v>
      </c>
      <c r="F928" s="3" t="str">
        <f t="shared" si="0"/>
        <v>4 - Blanco/Nulo</v>
      </c>
      <c r="G928" s="2">
        <v>45</v>
      </c>
      <c r="H928" s="3"/>
    </row>
    <row r="929" spans="1:8" ht="12.75" hidden="1" x14ac:dyDescent="0.2">
      <c r="A929" s="3" t="s">
        <v>160</v>
      </c>
      <c r="B929" s="2">
        <v>15</v>
      </c>
      <c r="C929" s="4" t="s">
        <v>43</v>
      </c>
      <c r="D929" s="3" t="s">
        <v>162</v>
      </c>
      <c r="E929" s="3" t="s">
        <v>149</v>
      </c>
      <c r="F929" s="3" t="str">
        <f t="shared" si="0"/>
        <v>3 - Otros</v>
      </c>
      <c r="G929" s="2">
        <v>13</v>
      </c>
      <c r="H929" s="3"/>
    </row>
    <row r="930" spans="1:8" ht="12.75" hidden="1" x14ac:dyDescent="0.2">
      <c r="A930" s="3" t="s">
        <v>160</v>
      </c>
      <c r="B930" s="2">
        <v>15</v>
      </c>
      <c r="C930" s="4" t="s">
        <v>43</v>
      </c>
      <c r="D930" s="3" t="s">
        <v>162</v>
      </c>
      <c r="E930" s="3" t="s">
        <v>138</v>
      </c>
      <c r="F930" s="3" t="str">
        <f t="shared" si="0"/>
        <v>4 - Blanco/Nulo</v>
      </c>
      <c r="G930" s="2">
        <v>10</v>
      </c>
      <c r="H930" s="2">
        <f>SUM(G925:G934)</f>
        <v>1318</v>
      </c>
    </row>
    <row r="931" spans="1:8" ht="12.75" hidden="1" x14ac:dyDescent="0.2">
      <c r="A931" s="3" t="s">
        <v>160</v>
      </c>
      <c r="B931" s="2">
        <v>15</v>
      </c>
      <c r="C931" s="4" t="s">
        <v>43</v>
      </c>
      <c r="D931" s="3" t="s">
        <v>162</v>
      </c>
      <c r="E931" s="3" t="s">
        <v>148</v>
      </c>
      <c r="F931" s="3" t="str">
        <f t="shared" si="0"/>
        <v>3 - Otros</v>
      </c>
      <c r="G931" s="2">
        <v>4</v>
      </c>
      <c r="H931" s="3"/>
    </row>
    <row r="932" spans="1:8" ht="12.75" hidden="1" x14ac:dyDescent="0.2">
      <c r="A932" s="3" t="s">
        <v>160</v>
      </c>
      <c r="B932" s="2">
        <v>15</v>
      </c>
      <c r="C932" s="4" t="s">
        <v>43</v>
      </c>
      <c r="D932" s="3" t="s">
        <v>162</v>
      </c>
      <c r="E932" s="3" t="s">
        <v>135</v>
      </c>
      <c r="F932" s="3" t="str">
        <f t="shared" si="0"/>
        <v>3 - Otros</v>
      </c>
      <c r="G932" s="2">
        <v>3</v>
      </c>
      <c r="H932" s="3"/>
    </row>
    <row r="933" spans="1:8" ht="12.75" hidden="1" x14ac:dyDescent="0.2">
      <c r="A933" s="3" t="s">
        <v>160</v>
      </c>
      <c r="B933" s="2">
        <v>15</v>
      </c>
      <c r="C933" s="4" t="s">
        <v>43</v>
      </c>
      <c r="D933" s="3" t="s">
        <v>162</v>
      </c>
      <c r="E933" s="3" t="s">
        <v>145</v>
      </c>
      <c r="F933" s="3" t="str">
        <f t="shared" si="0"/>
        <v>3 - Otros</v>
      </c>
      <c r="G933" s="2">
        <v>1</v>
      </c>
      <c r="H933" s="3"/>
    </row>
    <row r="934" spans="1:8" ht="12.75" hidden="1" x14ac:dyDescent="0.2">
      <c r="A934" s="3" t="s">
        <v>160</v>
      </c>
      <c r="B934" s="2">
        <v>15</v>
      </c>
      <c r="C934" s="4" t="s">
        <v>43</v>
      </c>
      <c r="D934" s="3" t="s">
        <v>162</v>
      </c>
      <c r="E934" s="3" t="s">
        <v>139</v>
      </c>
      <c r="F934" s="3" t="str">
        <f t="shared" si="0"/>
        <v>3 - Otros</v>
      </c>
      <c r="G934" s="2">
        <v>1</v>
      </c>
      <c r="H934" s="3"/>
    </row>
    <row r="935" spans="1:8" ht="12.75" hidden="1" x14ac:dyDescent="0.2">
      <c r="A935" s="3" t="s">
        <v>160</v>
      </c>
      <c r="B935" s="2">
        <v>16</v>
      </c>
      <c r="C935" s="4" t="s">
        <v>44</v>
      </c>
      <c r="D935" s="3" t="s">
        <v>2</v>
      </c>
      <c r="E935" s="3" t="s">
        <v>136</v>
      </c>
      <c r="F935" s="3" t="str">
        <f t="shared" si="0"/>
        <v>1 - PJ</v>
      </c>
      <c r="G935" s="2">
        <v>447</v>
      </c>
      <c r="H935" s="3"/>
    </row>
    <row r="936" spans="1:8" ht="12.75" hidden="1" x14ac:dyDescent="0.2">
      <c r="A936" s="3" t="s">
        <v>160</v>
      </c>
      <c r="B936" s="2">
        <v>16</v>
      </c>
      <c r="C936" s="4" t="s">
        <v>44</v>
      </c>
      <c r="D936" s="3" t="s">
        <v>2</v>
      </c>
      <c r="E936" s="3" t="s">
        <v>128</v>
      </c>
      <c r="F936" s="3" t="str">
        <f t="shared" si="0"/>
        <v>2 - Frepam</v>
      </c>
      <c r="G936" s="2">
        <v>397</v>
      </c>
      <c r="H936" s="3"/>
    </row>
    <row r="937" spans="1:8" ht="12.75" hidden="1" x14ac:dyDescent="0.2">
      <c r="A937" s="3" t="s">
        <v>160</v>
      </c>
      <c r="B937" s="2">
        <v>16</v>
      </c>
      <c r="C937" s="4" t="s">
        <v>44</v>
      </c>
      <c r="D937" s="3" t="s">
        <v>2</v>
      </c>
      <c r="E937" s="3" t="s">
        <v>14</v>
      </c>
      <c r="F937" s="3" t="str">
        <f t="shared" si="0"/>
        <v>4 - Blanco/Nulo</v>
      </c>
      <c r="G937" s="2">
        <v>8</v>
      </c>
      <c r="H937" s="2">
        <f>SUM(G935:G938)</f>
        <v>858</v>
      </c>
    </row>
    <row r="938" spans="1:8" ht="12.75" hidden="1" x14ac:dyDescent="0.2">
      <c r="A938" s="3" t="s">
        <v>160</v>
      </c>
      <c r="B938" s="2">
        <v>16</v>
      </c>
      <c r="C938" s="4" t="s">
        <v>44</v>
      </c>
      <c r="D938" s="3" t="s">
        <v>2</v>
      </c>
      <c r="E938" s="3" t="s">
        <v>138</v>
      </c>
      <c r="F938" s="3" t="str">
        <f t="shared" si="0"/>
        <v>4 - Blanco/Nulo</v>
      </c>
      <c r="G938" s="2">
        <v>6</v>
      </c>
      <c r="H938" s="3"/>
    </row>
    <row r="939" spans="1:8" ht="12.75" hidden="1" x14ac:dyDescent="0.2">
      <c r="A939" s="3" t="s">
        <v>160</v>
      </c>
      <c r="B939" s="2">
        <v>16</v>
      </c>
      <c r="C939" s="4" t="s">
        <v>44</v>
      </c>
      <c r="D939" s="3" t="s">
        <v>161</v>
      </c>
      <c r="E939" s="3" t="s">
        <v>136</v>
      </c>
      <c r="F939" s="3" t="str">
        <f t="shared" si="0"/>
        <v>1 - PJ</v>
      </c>
      <c r="G939" s="2">
        <v>433</v>
      </c>
      <c r="H939" s="3"/>
    </row>
    <row r="940" spans="1:8" ht="12.75" hidden="1" x14ac:dyDescent="0.2">
      <c r="A940" s="3" t="s">
        <v>160</v>
      </c>
      <c r="B940" s="2">
        <v>16</v>
      </c>
      <c r="C940" s="4" t="s">
        <v>44</v>
      </c>
      <c r="D940" s="3" t="s">
        <v>161</v>
      </c>
      <c r="E940" s="3" t="s">
        <v>128</v>
      </c>
      <c r="F940" s="3" t="str">
        <f t="shared" si="0"/>
        <v>2 - Frepam</v>
      </c>
      <c r="G940" s="2">
        <v>377</v>
      </c>
      <c r="H940" s="3"/>
    </row>
    <row r="941" spans="1:8" ht="12.75" hidden="1" x14ac:dyDescent="0.2">
      <c r="A941" s="3" t="s">
        <v>160</v>
      </c>
      <c r="B941" s="2">
        <v>16</v>
      </c>
      <c r="C941" s="4" t="s">
        <v>44</v>
      </c>
      <c r="D941" s="3" t="s">
        <v>161</v>
      </c>
      <c r="E941" s="3" t="s">
        <v>14</v>
      </c>
      <c r="F941" s="3" t="str">
        <f t="shared" si="0"/>
        <v>4 - Blanco/Nulo</v>
      </c>
      <c r="G941" s="2">
        <v>17</v>
      </c>
      <c r="H941" s="3"/>
    </row>
    <row r="942" spans="1:8" ht="12.75" hidden="1" x14ac:dyDescent="0.2">
      <c r="A942" s="3" t="s">
        <v>160</v>
      </c>
      <c r="B942" s="2">
        <v>16</v>
      </c>
      <c r="C942" s="4" t="s">
        <v>44</v>
      </c>
      <c r="D942" s="3" t="s">
        <v>161</v>
      </c>
      <c r="E942" s="3" t="s">
        <v>133</v>
      </c>
      <c r="F942" s="3" t="str">
        <f t="shared" si="0"/>
        <v>3 - Otros</v>
      </c>
      <c r="G942" s="2">
        <v>12</v>
      </c>
      <c r="H942" s="3"/>
    </row>
    <row r="943" spans="1:8" ht="12.75" hidden="1" x14ac:dyDescent="0.2">
      <c r="A943" s="3" t="s">
        <v>160</v>
      </c>
      <c r="B943" s="2">
        <v>16</v>
      </c>
      <c r="C943" s="4" t="s">
        <v>44</v>
      </c>
      <c r="D943" s="3" t="s">
        <v>161</v>
      </c>
      <c r="E943" s="3" t="s">
        <v>138</v>
      </c>
      <c r="F943" s="3" t="str">
        <f t="shared" si="0"/>
        <v>4 - Blanco/Nulo</v>
      </c>
      <c r="G943" s="2">
        <v>10</v>
      </c>
      <c r="H943" s="3"/>
    </row>
    <row r="944" spans="1:8" ht="12.75" hidden="1" x14ac:dyDescent="0.2">
      <c r="A944" s="3" t="s">
        <v>160</v>
      </c>
      <c r="B944" s="2">
        <v>16</v>
      </c>
      <c r="C944" s="4" t="s">
        <v>44</v>
      </c>
      <c r="D944" s="3" t="s">
        <v>161</v>
      </c>
      <c r="E944" s="3" t="s">
        <v>149</v>
      </c>
      <c r="F944" s="3" t="str">
        <f t="shared" si="0"/>
        <v>3 - Otros</v>
      </c>
      <c r="G944" s="2">
        <v>5</v>
      </c>
      <c r="H944" s="2">
        <f>SUM(G939:G947)</f>
        <v>858</v>
      </c>
    </row>
    <row r="945" spans="1:8" ht="12.75" hidden="1" x14ac:dyDescent="0.2">
      <c r="A945" s="3" t="s">
        <v>160</v>
      </c>
      <c r="B945" s="2">
        <v>16</v>
      </c>
      <c r="C945" s="4" t="s">
        <v>44</v>
      </c>
      <c r="D945" s="3" t="s">
        <v>161</v>
      </c>
      <c r="E945" s="3" t="s">
        <v>148</v>
      </c>
      <c r="F945" s="3" t="str">
        <f t="shared" si="0"/>
        <v>3 - Otros</v>
      </c>
      <c r="G945" s="2">
        <v>2</v>
      </c>
      <c r="H945" s="3"/>
    </row>
    <row r="946" spans="1:8" ht="12.75" hidden="1" x14ac:dyDescent="0.2">
      <c r="A946" s="3" t="s">
        <v>160</v>
      </c>
      <c r="B946" s="2">
        <v>16</v>
      </c>
      <c r="C946" s="4" t="s">
        <v>44</v>
      </c>
      <c r="D946" s="3" t="s">
        <v>161</v>
      </c>
      <c r="E946" s="3" t="s">
        <v>135</v>
      </c>
      <c r="F946" s="3" t="str">
        <f t="shared" si="0"/>
        <v>3 - Otros</v>
      </c>
      <c r="G946" s="2">
        <v>1</v>
      </c>
      <c r="H946" s="3"/>
    </row>
    <row r="947" spans="1:8" ht="12.75" hidden="1" x14ac:dyDescent="0.2">
      <c r="A947" s="3" t="s">
        <v>160</v>
      </c>
      <c r="B947" s="2">
        <v>16</v>
      </c>
      <c r="C947" s="4" t="s">
        <v>44</v>
      </c>
      <c r="D947" s="3" t="s">
        <v>161</v>
      </c>
      <c r="E947" s="3" t="s">
        <v>145</v>
      </c>
      <c r="F947" s="3" t="str">
        <f t="shared" si="0"/>
        <v>3 - Otros</v>
      </c>
      <c r="G947" s="2">
        <v>1</v>
      </c>
      <c r="H947" s="3"/>
    </row>
    <row r="948" spans="1:8" ht="12.75" hidden="1" x14ac:dyDescent="0.2">
      <c r="A948" s="3" t="s">
        <v>160</v>
      </c>
      <c r="B948" s="2">
        <v>16</v>
      </c>
      <c r="C948" s="4" t="s">
        <v>44</v>
      </c>
      <c r="D948" s="3" t="s">
        <v>162</v>
      </c>
      <c r="E948" s="3" t="s">
        <v>136</v>
      </c>
      <c r="F948" s="3" t="str">
        <f t="shared" si="0"/>
        <v>1 - PJ</v>
      </c>
      <c r="G948" s="2">
        <v>432</v>
      </c>
      <c r="H948" s="3"/>
    </row>
    <row r="949" spans="1:8" ht="12.75" hidden="1" x14ac:dyDescent="0.2">
      <c r="A949" s="3" t="s">
        <v>160</v>
      </c>
      <c r="B949" s="2">
        <v>16</v>
      </c>
      <c r="C949" s="4" t="s">
        <v>44</v>
      </c>
      <c r="D949" s="3" t="s">
        <v>162</v>
      </c>
      <c r="E949" s="3" t="s">
        <v>128</v>
      </c>
      <c r="F949" s="3" t="str">
        <f t="shared" si="0"/>
        <v>2 - Frepam</v>
      </c>
      <c r="G949" s="2">
        <v>375</v>
      </c>
      <c r="H949" s="3"/>
    </row>
    <row r="950" spans="1:8" ht="12.75" hidden="1" x14ac:dyDescent="0.2">
      <c r="A950" s="3" t="s">
        <v>160</v>
      </c>
      <c r="B950" s="2">
        <v>16</v>
      </c>
      <c r="C950" s="4" t="s">
        <v>44</v>
      </c>
      <c r="D950" s="3" t="s">
        <v>162</v>
      </c>
      <c r="E950" s="3" t="s">
        <v>14</v>
      </c>
      <c r="F950" s="3" t="str">
        <f t="shared" si="0"/>
        <v>4 - Blanco/Nulo</v>
      </c>
      <c r="G950" s="2">
        <v>15</v>
      </c>
      <c r="H950" s="3"/>
    </row>
    <row r="951" spans="1:8" ht="12.75" hidden="1" x14ac:dyDescent="0.2">
      <c r="A951" s="3" t="s">
        <v>160</v>
      </c>
      <c r="B951" s="2">
        <v>16</v>
      </c>
      <c r="C951" s="4" t="s">
        <v>44</v>
      </c>
      <c r="D951" s="3" t="s">
        <v>162</v>
      </c>
      <c r="E951" s="3" t="s">
        <v>133</v>
      </c>
      <c r="F951" s="3" t="str">
        <f t="shared" si="0"/>
        <v>3 - Otros</v>
      </c>
      <c r="G951" s="2">
        <v>14</v>
      </c>
      <c r="H951" s="3"/>
    </row>
    <row r="952" spans="1:8" ht="12.75" hidden="1" x14ac:dyDescent="0.2">
      <c r="A952" s="3" t="s">
        <v>160</v>
      </c>
      <c r="B952" s="2">
        <v>16</v>
      </c>
      <c r="C952" s="4" t="s">
        <v>44</v>
      </c>
      <c r="D952" s="3" t="s">
        <v>162</v>
      </c>
      <c r="E952" s="3" t="s">
        <v>138</v>
      </c>
      <c r="F952" s="3" t="str">
        <f t="shared" si="0"/>
        <v>4 - Blanco/Nulo</v>
      </c>
      <c r="G952" s="2">
        <v>10</v>
      </c>
      <c r="H952" s="2">
        <f>SUM(G948:G956)</f>
        <v>858</v>
      </c>
    </row>
    <row r="953" spans="1:8" ht="12.75" hidden="1" x14ac:dyDescent="0.2">
      <c r="A953" s="3" t="s">
        <v>160</v>
      </c>
      <c r="B953" s="2">
        <v>16</v>
      </c>
      <c r="C953" s="4" t="s">
        <v>44</v>
      </c>
      <c r="D953" s="3" t="s">
        <v>162</v>
      </c>
      <c r="E953" s="3" t="s">
        <v>149</v>
      </c>
      <c r="F953" s="3" t="str">
        <f t="shared" si="0"/>
        <v>3 - Otros</v>
      </c>
      <c r="G953" s="2">
        <v>8</v>
      </c>
      <c r="H953" s="3"/>
    </row>
    <row r="954" spans="1:8" ht="12.75" hidden="1" x14ac:dyDescent="0.2">
      <c r="A954" s="3" t="s">
        <v>160</v>
      </c>
      <c r="B954" s="2">
        <v>16</v>
      </c>
      <c r="C954" s="4" t="s">
        <v>44</v>
      </c>
      <c r="D954" s="3" t="s">
        <v>162</v>
      </c>
      <c r="E954" s="3" t="s">
        <v>148</v>
      </c>
      <c r="F954" s="3" t="str">
        <f t="shared" si="0"/>
        <v>3 - Otros</v>
      </c>
      <c r="G954" s="2">
        <v>2</v>
      </c>
      <c r="H954" s="3"/>
    </row>
    <row r="955" spans="1:8" ht="12.75" hidden="1" x14ac:dyDescent="0.2">
      <c r="A955" s="3" t="s">
        <v>160</v>
      </c>
      <c r="B955" s="2">
        <v>16</v>
      </c>
      <c r="C955" s="4" t="s">
        <v>44</v>
      </c>
      <c r="D955" s="3" t="s">
        <v>162</v>
      </c>
      <c r="E955" s="3" t="s">
        <v>135</v>
      </c>
      <c r="F955" s="3" t="str">
        <f t="shared" si="0"/>
        <v>3 - Otros</v>
      </c>
      <c r="G955" s="2">
        <v>1</v>
      </c>
      <c r="H955" s="3"/>
    </row>
    <row r="956" spans="1:8" ht="12.75" hidden="1" x14ac:dyDescent="0.2">
      <c r="A956" s="3" t="s">
        <v>160</v>
      </c>
      <c r="B956" s="2">
        <v>16</v>
      </c>
      <c r="C956" s="4" t="s">
        <v>44</v>
      </c>
      <c r="D956" s="3" t="s">
        <v>162</v>
      </c>
      <c r="E956" s="3" t="s">
        <v>145</v>
      </c>
      <c r="F956" s="3" t="str">
        <f t="shared" si="0"/>
        <v>3 - Otros</v>
      </c>
      <c r="G956" s="2">
        <v>1</v>
      </c>
      <c r="H956" s="3"/>
    </row>
    <row r="957" spans="1:8" ht="12.75" hidden="1" x14ac:dyDescent="0.2">
      <c r="A957" s="3" t="s">
        <v>160</v>
      </c>
      <c r="B957" s="2">
        <v>17</v>
      </c>
      <c r="C957" s="4" t="s">
        <v>45</v>
      </c>
      <c r="D957" s="3" t="s">
        <v>162</v>
      </c>
      <c r="E957" s="3" t="s">
        <v>136</v>
      </c>
      <c r="F957" s="3" t="str">
        <f t="shared" si="0"/>
        <v>1 - PJ</v>
      </c>
      <c r="G957" s="2">
        <v>10</v>
      </c>
      <c r="H957" s="2">
        <f>SUM(G957:G958)</f>
        <v>11</v>
      </c>
    </row>
    <row r="958" spans="1:8" ht="12.75" hidden="1" x14ac:dyDescent="0.2">
      <c r="A958" s="3" t="s">
        <v>160</v>
      </c>
      <c r="B958" s="2">
        <v>17</v>
      </c>
      <c r="C958" s="4" t="s">
        <v>45</v>
      </c>
      <c r="D958" s="3" t="s">
        <v>162</v>
      </c>
      <c r="E958" s="3" t="s">
        <v>128</v>
      </c>
      <c r="F958" s="3" t="str">
        <f t="shared" si="0"/>
        <v>2 - Frepam</v>
      </c>
      <c r="G958" s="2">
        <v>1</v>
      </c>
      <c r="H958" s="3"/>
    </row>
    <row r="959" spans="1:8" ht="12.75" hidden="1" x14ac:dyDescent="0.2">
      <c r="A959" s="3" t="s">
        <v>160</v>
      </c>
      <c r="B959" s="2">
        <v>17</v>
      </c>
      <c r="C959" s="4" t="s">
        <v>45</v>
      </c>
      <c r="D959" s="3" t="s">
        <v>161</v>
      </c>
      <c r="E959" s="3" t="s">
        <v>136</v>
      </c>
      <c r="F959" s="3" t="str">
        <f t="shared" si="0"/>
        <v>1 - PJ</v>
      </c>
      <c r="G959" s="2">
        <v>10</v>
      </c>
      <c r="H959" s="3"/>
    </row>
    <row r="960" spans="1:8" ht="12.75" hidden="1" x14ac:dyDescent="0.2">
      <c r="A960" s="3" t="s">
        <v>160</v>
      </c>
      <c r="B960" s="2">
        <v>17</v>
      </c>
      <c r="C960" s="4" t="s">
        <v>45</v>
      </c>
      <c r="D960" s="3" t="s">
        <v>161</v>
      </c>
      <c r="E960" s="3" t="s">
        <v>128</v>
      </c>
      <c r="F960" s="3" t="str">
        <f t="shared" si="0"/>
        <v>2 - Frepam</v>
      </c>
      <c r="G960" s="2">
        <v>1</v>
      </c>
      <c r="H960" s="2">
        <f>SUM(G959:G960)</f>
        <v>11</v>
      </c>
    </row>
    <row r="961" spans="1:8" ht="12.75" hidden="1" x14ac:dyDescent="0.2">
      <c r="A961" s="3" t="s">
        <v>160</v>
      </c>
      <c r="B961" s="2">
        <v>17</v>
      </c>
      <c r="C961" s="4" t="s">
        <v>45</v>
      </c>
      <c r="D961" s="3" t="s">
        <v>13</v>
      </c>
      <c r="E961" s="3" t="s">
        <v>136</v>
      </c>
      <c r="F961" s="3" t="str">
        <f t="shared" si="0"/>
        <v>1 - PJ</v>
      </c>
      <c r="G961" s="2">
        <v>10</v>
      </c>
      <c r="H961" s="3"/>
    </row>
    <row r="962" spans="1:8" ht="12.75" hidden="1" x14ac:dyDescent="0.2">
      <c r="A962" s="3" t="s">
        <v>160</v>
      </c>
      <c r="B962" s="2">
        <v>17</v>
      </c>
      <c r="C962" s="4" t="s">
        <v>45</v>
      </c>
      <c r="D962" s="3" t="s">
        <v>13</v>
      </c>
      <c r="E962" s="3" t="s">
        <v>14</v>
      </c>
      <c r="F962" s="3" t="str">
        <f t="shared" si="0"/>
        <v>4 - Blanco/Nulo</v>
      </c>
      <c r="G962" s="2">
        <v>1</v>
      </c>
      <c r="H962" s="2">
        <f>SUM(G961:G962)</f>
        <v>11</v>
      </c>
    </row>
    <row r="963" spans="1:8" ht="12.75" hidden="1" x14ac:dyDescent="0.2">
      <c r="A963" s="3" t="s">
        <v>160</v>
      </c>
      <c r="B963" s="2">
        <v>18</v>
      </c>
      <c r="C963" s="4" t="s">
        <v>46</v>
      </c>
      <c r="D963" s="3" t="s">
        <v>2</v>
      </c>
      <c r="E963" s="3" t="s">
        <v>136</v>
      </c>
      <c r="F963" s="3" t="str">
        <f t="shared" si="0"/>
        <v>1 - PJ</v>
      </c>
      <c r="G963" s="2">
        <v>1019</v>
      </c>
      <c r="H963" s="3"/>
    </row>
    <row r="964" spans="1:8" ht="12.75" hidden="1" x14ac:dyDescent="0.2">
      <c r="A964" s="3" t="s">
        <v>160</v>
      </c>
      <c r="B964" s="2">
        <v>18</v>
      </c>
      <c r="C964" s="4" t="s">
        <v>46</v>
      </c>
      <c r="D964" s="3" t="s">
        <v>2</v>
      </c>
      <c r="E964" s="3" t="s">
        <v>128</v>
      </c>
      <c r="F964" s="3" t="str">
        <f t="shared" si="0"/>
        <v>2 - Frepam</v>
      </c>
      <c r="G964" s="2">
        <v>753</v>
      </c>
      <c r="H964" s="3"/>
    </row>
    <row r="965" spans="1:8" ht="12.75" hidden="1" x14ac:dyDescent="0.2">
      <c r="A965" s="3" t="s">
        <v>160</v>
      </c>
      <c r="B965" s="2">
        <v>18</v>
      </c>
      <c r="C965" s="4" t="s">
        <v>46</v>
      </c>
      <c r="D965" s="3" t="s">
        <v>2</v>
      </c>
      <c r="E965" s="3" t="s">
        <v>135</v>
      </c>
      <c r="F965" s="3" t="str">
        <f t="shared" si="0"/>
        <v>3 - Otros</v>
      </c>
      <c r="G965" s="2">
        <v>106</v>
      </c>
      <c r="H965" s="3"/>
    </row>
    <row r="966" spans="1:8" ht="12.75" hidden="1" x14ac:dyDescent="0.2">
      <c r="A966" s="3" t="s">
        <v>160</v>
      </c>
      <c r="B966" s="2">
        <v>18</v>
      </c>
      <c r="C966" s="4" t="s">
        <v>46</v>
      </c>
      <c r="D966" s="3" t="s">
        <v>2</v>
      </c>
      <c r="E966" s="3" t="s">
        <v>149</v>
      </c>
      <c r="F966" s="3" t="str">
        <f t="shared" si="0"/>
        <v>3 - Otros</v>
      </c>
      <c r="G966" s="2">
        <v>75</v>
      </c>
      <c r="H966" s="2">
        <f>SUM(G963:G969)</f>
        <v>2024</v>
      </c>
    </row>
    <row r="967" spans="1:8" ht="12.75" hidden="1" x14ac:dyDescent="0.2">
      <c r="A967" s="3" t="s">
        <v>160</v>
      </c>
      <c r="B967" s="2">
        <v>18</v>
      </c>
      <c r="C967" s="4" t="s">
        <v>46</v>
      </c>
      <c r="D967" s="3" t="s">
        <v>2</v>
      </c>
      <c r="E967" s="3" t="s">
        <v>14</v>
      </c>
      <c r="F967" s="3" t="str">
        <f t="shared" si="0"/>
        <v>4 - Blanco/Nulo</v>
      </c>
      <c r="G967" s="2">
        <v>61</v>
      </c>
      <c r="H967" s="3"/>
    </row>
    <row r="968" spans="1:8" ht="12.75" hidden="1" x14ac:dyDescent="0.2">
      <c r="A968" s="3" t="s">
        <v>160</v>
      </c>
      <c r="B968" s="2">
        <v>18</v>
      </c>
      <c r="C968" s="4" t="s">
        <v>46</v>
      </c>
      <c r="D968" s="3" t="s">
        <v>2</v>
      </c>
      <c r="E968" s="3" t="s">
        <v>138</v>
      </c>
      <c r="F968" s="3" t="str">
        <f t="shared" si="0"/>
        <v>4 - Blanco/Nulo</v>
      </c>
      <c r="G968" s="2">
        <v>7</v>
      </c>
      <c r="H968" s="3"/>
    </row>
    <row r="969" spans="1:8" ht="12.75" hidden="1" x14ac:dyDescent="0.2">
      <c r="A969" s="3" t="s">
        <v>160</v>
      </c>
      <c r="B969" s="2">
        <v>18</v>
      </c>
      <c r="C969" s="4" t="s">
        <v>46</v>
      </c>
      <c r="D969" s="3" t="s">
        <v>2</v>
      </c>
      <c r="E969" s="3" t="s">
        <v>145</v>
      </c>
      <c r="F969" s="3" t="str">
        <f t="shared" si="0"/>
        <v>3 - Otros</v>
      </c>
      <c r="G969" s="2">
        <v>3</v>
      </c>
      <c r="H969" s="3"/>
    </row>
    <row r="970" spans="1:8" ht="12.75" hidden="1" x14ac:dyDescent="0.2">
      <c r="A970" s="3" t="s">
        <v>160</v>
      </c>
      <c r="B970" s="2">
        <v>18</v>
      </c>
      <c r="C970" s="4" t="s">
        <v>46</v>
      </c>
      <c r="D970" s="3" t="s">
        <v>161</v>
      </c>
      <c r="E970" s="3" t="s">
        <v>136</v>
      </c>
      <c r="F970" s="3" t="str">
        <f t="shared" si="0"/>
        <v>1 - PJ</v>
      </c>
      <c r="G970" s="2">
        <v>1165</v>
      </c>
      <c r="H970" s="3"/>
    </row>
    <row r="971" spans="1:8" ht="12.75" hidden="1" x14ac:dyDescent="0.2">
      <c r="A971" s="3" t="s">
        <v>160</v>
      </c>
      <c r="B971" s="2">
        <v>18</v>
      </c>
      <c r="C971" s="4" t="s">
        <v>46</v>
      </c>
      <c r="D971" s="3" t="s">
        <v>161</v>
      </c>
      <c r="E971" s="3" t="s">
        <v>128</v>
      </c>
      <c r="F971" s="3" t="str">
        <f t="shared" si="0"/>
        <v>2 - Frepam</v>
      </c>
      <c r="G971" s="2">
        <v>520</v>
      </c>
      <c r="H971" s="3"/>
    </row>
    <row r="972" spans="1:8" ht="12.75" hidden="1" x14ac:dyDescent="0.2">
      <c r="A972" s="3" t="s">
        <v>160</v>
      </c>
      <c r="B972" s="2">
        <v>18</v>
      </c>
      <c r="C972" s="4" t="s">
        <v>46</v>
      </c>
      <c r="D972" s="3" t="s">
        <v>161</v>
      </c>
      <c r="E972" s="3" t="s">
        <v>14</v>
      </c>
      <c r="F972" s="3" t="str">
        <f t="shared" si="0"/>
        <v>4 - Blanco/Nulo</v>
      </c>
      <c r="G972" s="2">
        <v>140</v>
      </c>
      <c r="H972" s="3"/>
    </row>
    <row r="973" spans="1:8" ht="12.75" hidden="1" x14ac:dyDescent="0.2">
      <c r="A973" s="3" t="s">
        <v>160</v>
      </c>
      <c r="B973" s="2">
        <v>18</v>
      </c>
      <c r="C973" s="4" t="s">
        <v>46</v>
      </c>
      <c r="D973" s="3" t="s">
        <v>161</v>
      </c>
      <c r="E973" s="3" t="s">
        <v>135</v>
      </c>
      <c r="F973" s="3" t="str">
        <f t="shared" si="0"/>
        <v>3 - Otros</v>
      </c>
      <c r="G973" s="2">
        <v>88</v>
      </c>
      <c r="H973" s="3"/>
    </row>
    <row r="974" spans="1:8" ht="12.75" hidden="1" x14ac:dyDescent="0.2">
      <c r="A974" s="3" t="s">
        <v>160</v>
      </c>
      <c r="B974" s="2">
        <v>18</v>
      </c>
      <c r="C974" s="4" t="s">
        <v>46</v>
      </c>
      <c r="D974" s="3" t="s">
        <v>161</v>
      </c>
      <c r="E974" s="3" t="s">
        <v>149</v>
      </c>
      <c r="F974" s="3" t="str">
        <f t="shared" si="0"/>
        <v>3 - Otros</v>
      </c>
      <c r="G974" s="2">
        <v>61</v>
      </c>
      <c r="H974" s="3"/>
    </row>
    <row r="975" spans="1:8" ht="12.75" hidden="1" x14ac:dyDescent="0.2">
      <c r="A975" s="3" t="s">
        <v>160</v>
      </c>
      <c r="B975" s="2">
        <v>18</v>
      </c>
      <c r="C975" s="4" t="s">
        <v>46</v>
      </c>
      <c r="D975" s="3" t="s">
        <v>161</v>
      </c>
      <c r="E975" s="3" t="s">
        <v>138</v>
      </c>
      <c r="F975" s="3" t="str">
        <f t="shared" si="0"/>
        <v>4 - Blanco/Nulo</v>
      </c>
      <c r="G975" s="2">
        <v>11</v>
      </c>
      <c r="H975" s="2">
        <f>SUM(G970:G979)</f>
        <v>2013</v>
      </c>
    </row>
    <row r="976" spans="1:8" ht="12.75" hidden="1" x14ac:dyDescent="0.2">
      <c r="A976" s="3" t="s">
        <v>160</v>
      </c>
      <c r="B976" s="2">
        <v>18</v>
      </c>
      <c r="C976" s="4" t="s">
        <v>46</v>
      </c>
      <c r="D976" s="3" t="s">
        <v>161</v>
      </c>
      <c r="E976" s="3" t="s">
        <v>133</v>
      </c>
      <c r="F976" s="3" t="str">
        <f t="shared" si="0"/>
        <v>3 - Otros</v>
      </c>
      <c r="G976" s="2">
        <v>11</v>
      </c>
      <c r="H976" s="3"/>
    </row>
    <row r="977" spans="1:8" ht="12.75" hidden="1" x14ac:dyDescent="0.2">
      <c r="A977" s="3" t="s">
        <v>160</v>
      </c>
      <c r="B977" s="2">
        <v>18</v>
      </c>
      <c r="C977" s="4" t="s">
        <v>46</v>
      </c>
      <c r="D977" s="3" t="s">
        <v>161</v>
      </c>
      <c r="E977" s="3" t="s">
        <v>145</v>
      </c>
      <c r="F977" s="3" t="str">
        <f t="shared" si="0"/>
        <v>3 - Otros</v>
      </c>
      <c r="G977" s="2">
        <v>8</v>
      </c>
      <c r="H977" s="3"/>
    </row>
    <row r="978" spans="1:8" ht="12.75" hidden="1" x14ac:dyDescent="0.2">
      <c r="A978" s="3" t="s">
        <v>160</v>
      </c>
      <c r="B978" s="2">
        <v>18</v>
      </c>
      <c r="C978" s="4" t="s">
        <v>46</v>
      </c>
      <c r="D978" s="3" t="s">
        <v>161</v>
      </c>
      <c r="E978" s="3" t="s">
        <v>148</v>
      </c>
      <c r="F978" s="3" t="str">
        <f t="shared" si="0"/>
        <v>3 - Otros</v>
      </c>
      <c r="G978" s="2">
        <v>7</v>
      </c>
      <c r="H978" s="3"/>
    </row>
    <row r="979" spans="1:8" ht="12.75" hidden="1" x14ac:dyDescent="0.2">
      <c r="A979" s="3" t="s">
        <v>160</v>
      </c>
      <c r="B979" s="2">
        <v>18</v>
      </c>
      <c r="C979" s="4" t="s">
        <v>46</v>
      </c>
      <c r="D979" s="3" t="s">
        <v>161</v>
      </c>
      <c r="E979" s="3" t="s">
        <v>139</v>
      </c>
      <c r="F979" s="3" t="str">
        <f t="shared" si="0"/>
        <v>3 - Otros</v>
      </c>
      <c r="G979" s="2">
        <v>2</v>
      </c>
      <c r="H979" s="3"/>
    </row>
    <row r="980" spans="1:8" ht="12.75" hidden="1" x14ac:dyDescent="0.2">
      <c r="A980" s="3" t="s">
        <v>160</v>
      </c>
      <c r="B980" s="2">
        <v>18</v>
      </c>
      <c r="C980" s="4" t="s">
        <v>46</v>
      </c>
      <c r="D980" s="3" t="s">
        <v>162</v>
      </c>
      <c r="E980" s="3" t="s">
        <v>136</v>
      </c>
      <c r="F980" s="3" t="str">
        <f t="shared" si="0"/>
        <v>1 - PJ</v>
      </c>
      <c r="G980" s="2">
        <v>1218</v>
      </c>
      <c r="H980" s="3"/>
    </row>
    <row r="981" spans="1:8" ht="12.75" hidden="1" x14ac:dyDescent="0.2">
      <c r="A981" s="3" t="s">
        <v>160</v>
      </c>
      <c r="B981" s="2">
        <v>18</v>
      </c>
      <c r="C981" s="4" t="s">
        <v>46</v>
      </c>
      <c r="D981" s="3" t="s">
        <v>162</v>
      </c>
      <c r="E981" s="3" t="s">
        <v>128</v>
      </c>
      <c r="F981" s="3" t="str">
        <f t="shared" si="0"/>
        <v>2 - Frepam</v>
      </c>
      <c r="G981" s="2">
        <v>524</v>
      </c>
      <c r="H981" s="3"/>
    </row>
    <row r="982" spans="1:8" ht="12.75" hidden="1" x14ac:dyDescent="0.2">
      <c r="A982" s="3" t="s">
        <v>160</v>
      </c>
      <c r="B982" s="2">
        <v>18</v>
      </c>
      <c r="C982" s="4" t="s">
        <v>46</v>
      </c>
      <c r="D982" s="3" t="s">
        <v>162</v>
      </c>
      <c r="E982" s="3" t="s">
        <v>135</v>
      </c>
      <c r="F982" s="3" t="str">
        <f t="shared" si="0"/>
        <v>3 - Otros</v>
      </c>
      <c r="G982" s="2">
        <v>88</v>
      </c>
      <c r="H982" s="3"/>
    </row>
    <row r="983" spans="1:8" ht="12.75" hidden="1" x14ac:dyDescent="0.2">
      <c r="A983" s="3" t="s">
        <v>160</v>
      </c>
      <c r="B983" s="2">
        <v>18</v>
      </c>
      <c r="C983" s="4" t="s">
        <v>46</v>
      </c>
      <c r="D983" s="3" t="s">
        <v>162</v>
      </c>
      <c r="E983" s="3" t="s">
        <v>14</v>
      </c>
      <c r="F983" s="3" t="str">
        <f t="shared" si="0"/>
        <v>4 - Blanco/Nulo</v>
      </c>
      <c r="G983" s="2">
        <v>71</v>
      </c>
      <c r="H983" s="3"/>
    </row>
    <row r="984" spans="1:8" ht="12.75" hidden="1" x14ac:dyDescent="0.2">
      <c r="A984" s="3" t="s">
        <v>160</v>
      </c>
      <c r="B984" s="2">
        <v>18</v>
      </c>
      <c r="C984" s="4" t="s">
        <v>46</v>
      </c>
      <c r="D984" s="3" t="s">
        <v>162</v>
      </c>
      <c r="E984" s="3" t="s">
        <v>149</v>
      </c>
      <c r="F984" s="3" t="str">
        <f t="shared" si="0"/>
        <v>3 - Otros</v>
      </c>
      <c r="G984" s="2">
        <v>67</v>
      </c>
      <c r="H984" s="3"/>
    </row>
    <row r="985" spans="1:8" ht="12.75" hidden="1" x14ac:dyDescent="0.2">
      <c r="A985" s="3" t="s">
        <v>160</v>
      </c>
      <c r="B985" s="2">
        <v>18</v>
      </c>
      <c r="C985" s="4" t="s">
        <v>46</v>
      </c>
      <c r="D985" s="3" t="s">
        <v>162</v>
      </c>
      <c r="E985" s="3" t="s">
        <v>133</v>
      </c>
      <c r="F985" s="3" t="str">
        <f t="shared" si="0"/>
        <v>3 - Otros</v>
      </c>
      <c r="G985" s="2">
        <v>15</v>
      </c>
      <c r="H985" s="2">
        <f>SUM(G980:G989)</f>
        <v>2013</v>
      </c>
    </row>
    <row r="986" spans="1:8" ht="12.75" hidden="1" x14ac:dyDescent="0.2">
      <c r="A986" s="3" t="s">
        <v>160</v>
      </c>
      <c r="B986" s="2">
        <v>18</v>
      </c>
      <c r="C986" s="4" t="s">
        <v>46</v>
      </c>
      <c r="D986" s="3" t="s">
        <v>162</v>
      </c>
      <c r="E986" s="3" t="s">
        <v>138</v>
      </c>
      <c r="F986" s="3" t="str">
        <f t="shared" si="0"/>
        <v>4 - Blanco/Nulo</v>
      </c>
      <c r="G986" s="2">
        <v>12</v>
      </c>
      <c r="H986" s="3"/>
    </row>
    <row r="987" spans="1:8" ht="12.75" hidden="1" x14ac:dyDescent="0.2">
      <c r="A987" s="3" t="s">
        <v>160</v>
      </c>
      <c r="B987" s="2">
        <v>18</v>
      </c>
      <c r="C987" s="4" t="s">
        <v>46</v>
      </c>
      <c r="D987" s="3" t="s">
        <v>162</v>
      </c>
      <c r="E987" s="3" t="s">
        <v>148</v>
      </c>
      <c r="F987" s="3" t="str">
        <f t="shared" si="0"/>
        <v>3 - Otros</v>
      </c>
      <c r="G987" s="2">
        <v>8</v>
      </c>
      <c r="H987" s="3"/>
    </row>
    <row r="988" spans="1:8" ht="12.75" hidden="1" x14ac:dyDescent="0.2">
      <c r="A988" s="3" t="s">
        <v>160</v>
      </c>
      <c r="B988" s="2">
        <v>18</v>
      </c>
      <c r="C988" s="4" t="s">
        <v>46</v>
      </c>
      <c r="D988" s="3" t="s">
        <v>162</v>
      </c>
      <c r="E988" s="3" t="s">
        <v>145</v>
      </c>
      <c r="F988" s="3" t="str">
        <f t="shared" si="0"/>
        <v>3 - Otros</v>
      </c>
      <c r="G988" s="2">
        <v>8</v>
      </c>
      <c r="H988" s="3"/>
    </row>
    <row r="989" spans="1:8" ht="12.75" hidden="1" x14ac:dyDescent="0.2">
      <c r="A989" s="3" t="s">
        <v>160</v>
      </c>
      <c r="B989" s="2">
        <v>18</v>
      </c>
      <c r="C989" s="4" t="s">
        <v>46</v>
      </c>
      <c r="D989" s="3" t="s">
        <v>162</v>
      </c>
      <c r="E989" s="3" t="s">
        <v>139</v>
      </c>
      <c r="F989" s="3" t="str">
        <f t="shared" si="0"/>
        <v>3 - Otros</v>
      </c>
      <c r="G989" s="2">
        <v>2</v>
      </c>
      <c r="H989" s="3"/>
    </row>
    <row r="990" spans="1:8" ht="12.75" hidden="1" x14ac:dyDescent="0.2">
      <c r="A990" s="3" t="s">
        <v>160</v>
      </c>
      <c r="B990" s="2">
        <v>19</v>
      </c>
      <c r="C990" s="4" t="s">
        <v>47</v>
      </c>
      <c r="D990" s="3" t="s">
        <v>2</v>
      </c>
      <c r="E990" s="3" t="s">
        <v>128</v>
      </c>
      <c r="F990" s="3" t="str">
        <f t="shared" si="0"/>
        <v>2 - Frepam</v>
      </c>
      <c r="G990" s="2">
        <v>735</v>
      </c>
      <c r="H990" s="3"/>
    </row>
    <row r="991" spans="1:8" ht="12.75" hidden="1" x14ac:dyDescent="0.2">
      <c r="A991" s="3" t="s">
        <v>160</v>
      </c>
      <c r="B991" s="2">
        <v>19</v>
      </c>
      <c r="C991" s="4" t="s">
        <v>47</v>
      </c>
      <c r="D991" s="3" t="s">
        <v>2</v>
      </c>
      <c r="E991" s="3" t="s">
        <v>136</v>
      </c>
      <c r="F991" s="3" t="str">
        <f t="shared" si="0"/>
        <v>1 - PJ</v>
      </c>
      <c r="G991" s="2">
        <v>492</v>
      </c>
      <c r="H991" s="2">
        <f>SUM(G990:G993)</f>
        <v>1298</v>
      </c>
    </row>
    <row r="992" spans="1:8" ht="12.75" hidden="1" x14ac:dyDescent="0.2">
      <c r="A992" s="3" t="s">
        <v>160</v>
      </c>
      <c r="B992" s="2">
        <v>19</v>
      </c>
      <c r="C992" s="4" t="s">
        <v>47</v>
      </c>
      <c r="D992" s="3" t="s">
        <v>2</v>
      </c>
      <c r="E992" s="3" t="s">
        <v>14</v>
      </c>
      <c r="F992" s="3" t="str">
        <f t="shared" si="0"/>
        <v>4 - Blanco/Nulo</v>
      </c>
      <c r="G992" s="2">
        <v>70</v>
      </c>
      <c r="H992" s="3"/>
    </row>
    <row r="993" spans="1:8" ht="12.75" hidden="1" x14ac:dyDescent="0.2">
      <c r="A993" s="3" t="s">
        <v>160</v>
      </c>
      <c r="B993" s="2">
        <v>19</v>
      </c>
      <c r="C993" s="4" t="s">
        <v>47</v>
      </c>
      <c r="D993" s="3" t="s">
        <v>2</v>
      </c>
      <c r="E993" s="3" t="s">
        <v>138</v>
      </c>
      <c r="F993" s="3" t="str">
        <f t="shared" si="0"/>
        <v>4 - Blanco/Nulo</v>
      </c>
      <c r="G993" s="2">
        <v>1</v>
      </c>
      <c r="H993" s="3"/>
    </row>
    <row r="994" spans="1:8" ht="12.75" hidden="1" x14ac:dyDescent="0.2">
      <c r="A994" s="3" t="s">
        <v>160</v>
      </c>
      <c r="B994" s="2">
        <v>19</v>
      </c>
      <c r="C994" s="4" t="s">
        <v>47</v>
      </c>
      <c r="D994" s="3" t="s">
        <v>161</v>
      </c>
      <c r="E994" s="3" t="s">
        <v>128</v>
      </c>
      <c r="F994" s="3" t="str">
        <f t="shared" si="0"/>
        <v>2 - Frepam</v>
      </c>
      <c r="G994" s="2">
        <v>628</v>
      </c>
      <c r="H994" s="3"/>
    </row>
    <row r="995" spans="1:8" ht="12.75" hidden="1" x14ac:dyDescent="0.2">
      <c r="A995" s="3" t="s">
        <v>160</v>
      </c>
      <c r="B995" s="2">
        <v>19</v>
      </c>
      <c r="C995" s="4" t="s">
        <v>47</v>
      </c>
      <c r="D995" s="3" t="s">
        <v>161</v>
      </c>
      <c r="E995" s="3" t="s">
        <v>136</v>
      </c>
      <c r="F995" s="3" t="str">
        <f t="shared" si="0"/>
        <v>1 - PJ</v>
      </c>
      <c r="G995" s="2">
        <v>557</v>
      </c>
      <c r="H995" s="3"/>
    </row>
    <row r="996" spans="1:8" ht="12.75" hidden="1" x14ac:dyDescent="0.2">
      <c r="A996" s="3" t="s">
        <v>160</v>
      </c>
      <c r="B996" s="2">
        <v>19</v>
      </c>
      <c r="C996" s="4" t="s">
        <v>47</v>
      </c>
      <c r="D996" s="3" t="s">
        <v>161</v>
      </c>
      <c r="E996" s="3" t="s">
        <v>14</v>
      </c>
      <c r="F996" s="3" t="str">
        <f t="shared" si="0"/>
        <v>4 - Blanco/Nulo</v>
      </c>
      <c r="G996" s="2">
        <v>66</v>
      </c>
      <c r="H996" s="3"/>
    </row>
    <row r="997" spans="1:8" ht="12.75" hidden="1" x14ac:dyDescent="0.2">
      <c r="A997" s="3" t="s">
        <v>160</v>
      </c>
      <c r="B997" s="2">
        <v>19</v>
      </c>
      <c r="C997" s="4" t="s">
        <v>47</v>
      </c>
      <c r="D997" s="3" t="s">
        <v>161</v>
      </c>
      <c r="E997" s="3" t="s">
        <v>149</v>
      </c>
      <c r="F997" s="3" t="str">
        <f t="shared" si="0"/>
        <v>3 - Otros</v>
      </c>
      <c r="G997" s="2">
        <v>23</v>
      </c>
      <c r="H997" s="3"/>
    </row>
    <row r="998" spans="1:8" ht="12.75" hidden="1" x14ac:dyDescent="0.2">
      <c r="A998" s="3" t="s">
        <v>160</v>
      </c>
      <c r="B998" s="2">
        <v>19</v>
      </c>
      <c r="C998" s="4" t="s">
        <v>47</v>
      </c>
      <c r="D998" s="3" t="s">
        <v>161</v>
      </c>
      <c r="E998" s="3" t="s">
        <v>133</v>
      </c>
      <c r="F998" s="3" t="str">
        <f t="shared" si="0"/>
        <v>3 - Otros</v>
      </c>
      <c r="G998" s="2">
        <v>13</v>
      </c>
      <c r="H998" s="2">
        <f>SUM(G994:G1003)</f>
        <v>1298</v>
      </c>
    </row>
    <row r="999" spans="1:8" ht="12.75" hidden="1" x14ac:dyDescent="0.2">
      <c r="A999" s="3" t="s">
        <v>160</v>
      </c>
      <c r="B999" s="2">
        <v>19</v>
      </c>
      <c r="C999" s="4" t="s">
        <v>47</v>
      </c>
      <c r="D999" s="3" t="s">
        <v>161</v>
      </c>
      <c r="E999" s="3" t="s">
        <v>148</v>
      </c>
      <c r="F999" s="3" t="str">
        <f t="shared" si="0"/>
        <v>3 - Otros</v>
      </c>
      <c r="G999" s="2">
        <v>5</v>
      </c>
      <c r="H999" s="3"/>
    </row>
    <row r="1000" spans="1:8" ht="12.75" hidden="1" x14ac:dyDescent="0.2">
      <c r="A1000" s="3" t="s">
        <v>160</v>
      </c>
      <c r="B1000" s="2">
        <v>19</v>
      </c>
      <c r="C1000" s="4" t="s">
        <v>47</v>
      </c>
      <c r="D1000" s="3" t="s">
        <v>161</v>
      </c>
      <c r="E1000" s="3" t="s">
        <v>139</v>
      </c>
      <c r="F1000" s="3" t="str">
        <f t="shared" si="0"/>
        <v>3 - Otros</v>
      </c>
      <c r="G1000" s="2">
        <v>2</v>
      </c>
      <c r="H1000" s="3"/>
    </row>
    <row r="1001" spans="1:8" ht="12.75" hidden="1" x14ac:dyDescent="0.2">
      <c r="A1001" s="3" t="s">
        <v>160</v>
      </c>
      <c r="B1001" s="2">
        <v>19</v>
      </c>
      <c r="C1001" s="4" t="s">
        <v>47</v>
      </c>
      <c r="D1001" s="3" t="s">
        <v>161</v>
      </c>
      <c r="E1001" s="3" t="s">
        <v>135</v>
      </c>
      <c r="F1001" s="3" t="str">
        <f t="shared" si="0"/>
        <v>3 - Otros</v>
      </c>
      <c r="G1001" s="2">
        <v>2</v>
      </c>
      <c r="H1001" s="3"/>
    </row>
    <row r="1002" spans="1:8" ht="12.75" hidden="1" x14ac:dyDescent="0.2">
      <c r="A1002" s="3" t="s">
        <v>160</v>
      </c>
      <c r="B1002" s="2">
        <v>19</v>
      </c>
      <c r="C1002" s="4" t="s">
        <v>47</v>
      </c>
      <c r="D1002" s="3" t="s">
        <v>161</v>
      </c>
      <c r="E1002" s="3" t="s">
        <v>145</v>
      </c>
      <c r="F1002" s="3" t="str">
        <f t="shared" si="0"/>
        <v>3 - Otros</v>
      </c>
      <c r="G1002" s="2">
        <v>1</v>
      </c>
      <c r="H1002" s="3"/>
    </row>
    <row r="1003" spans="1:8" ht="12.75" hidden="1" x14ac:dyDescent="0.2">
      <c r="A1003" s="3" t="s">
        <v>160</v>
      </c>
      <c r="B1003" s="2">
        <v>19</v>
      </c>
      <c r="C1003" s="4" t="s">
        <v>47</v>
      </c>
      <c r="D1003" s="3" t="s">
        <v>161</v>
      </c>
      <c r="E1003" s="3" t="s">
        <v>138</v>
      </c>
      <c r="F1003" s="3" t="str">
        <f t="shared" si="0"/>
        <v>4 - Blanco/Nulo</v>
      </c>
      <c r="G1003" s="2">
        <v>1</v>
      </c>
      <c r="H1003" s="3"/>
    </row>
    <row r="1004" spans="1:8" ht="12.75" hidden="1" x14ac:dyDescent="0.2">
      <c r="A1004" s="3" t="s">
        <v>160</v>
      </c>
      <c r="B1004" s="2">
        <v>19</v>
      </c>
      <c r="C1004" s="4" t="s">
        <v>47</v>
      </c>
      <c r="D1004" s="3" t="s">
        <v>162</v>
      </c>
      <c r="E1004" s="3" t="s">
        <v>136</v>
      </c>
      <c r="F1004" s="3" t="str">
        <f t="shared" si="0"/>
        <v>1 - PJ</v>
      </c>
      <c r="G1004" s="2">
        <v>602</v>
      </c>
      <c r="H1004" s="3"/>
    </row>
    <row r="1005" spans="1:8" ht="12.75" hidden="1" x14ac:dyDescent="0.2">
      <c r="A1005" s="3" t="s">
        <v>160</v>
      </c>
      <c r="B1005" s="2">
        <v>19</v>
      </c>
      <c r="C1005" s="4" t="s">
        <v>47</v>
      </c>
      <c r="D1005" s="3" t="s">
        <v>162</v>
      </c>
      <c r="E1005" s="3" t="s">
        <v>128</v>
      </c>
      <c r="F1005" s="3" t="str">
        <f t="shared" si="0"/>
        <v>2 - Frepam</v>
      </c>
      <c r="G1005" s="2">
        <v>594</v>
      </c>
      <c r="H1005" s="3"/>
    </row>
    <row r="1006" spans="1:8" ht="12.75" hidden="1" x14ac:dyDescent="0.2">
      <c r="A1006" s="3" t="s">
        <v>160</v>
      </c>
      <c r="B1006" s="2">
        <v>19</v>
      </c>
      <c r="C1006" s="4" t="s">
        <v>47</v>
      </c>
      <c r="D1006" s="3" t="s">
        <v>162</v>
      </c>
      <c r="E1006" s="3" t="s">
        <v>14</v>
      </c>
      <c r="F1006" s="3" t="str">
        <f t="shared" si="0"/>
        <v>4 - Blanco/Nulo</v>
      </c>
      <c r="G1006" s="2">
        <v>44</v>
      </c>
      <c r="H1006" s="3"/>
    </row>
    <row r="1007" spans="1:8" ht="12.75" hidden="1" x14ac:dyDescent="0.2">
      <c r="A1007" s="3" t="s">
        <v>160</v>
      </c>
      <c r="B1007" s="2">
        <v>19</v>
      </c>
      <c r="C1007" s="4" t="s">
        <v>47</v>
      </c>
      <c r="D1007" s="3" t="s">
        <v>162</v>
      </c>
      <c r="E1007" s="3" t="s">
        <v>149</v>
      </c>
      <c r="F1007" s="3" t="str">
        <f t="shared" si="0"/>
        <v>3 - Otros</v>
      </c>
      <c r="G1007" s="2">
        <v>28</v>
      </c>
      <c r="H1007" s="3"/>
    </row>
    <row r="1008" spans="1:8" ht="12.75" hidden="1" x14ac:dyDescent="0.2">
      <c r="A1008" s="3" t="s">
        <v>160</v>
      </c>
      <c r="B1008" s="2">
        <v>19</v>
      </c>
      <c r="C1008" s="4" t="s">
        <v>47</v>
      </c>
      <c r="D1008" s="3" t="s">
        <v>162</v>
      </c>
      <c r="E1008" s="3" t="s">
        <v>133</v>
      </c>
      <c r="F1008" s="3" t="str">
        <f t="shared" si="0"/>
        <v>3 - Otros</v>
      </c>
      <c r="G1008" s="2">
        <v>17</v>
      </c>
      <c r="H1008" s="2">
        <f>SUM(G1004:G1013)</f>
        <v>1298</v>
      </c>
    </row>
    <row r="1009" spans="1:8" ht="12.75" hidden="1" x14ac:dyDescent="0.2">
      <c r="A1009" s="3" t="s">
        <v>160</v>
      </c>
      <c r="B1009" s="2">
        <v>19</v>
      </c>
      <c r="C1009" s="4" t="s">
        <v>47</v>
      </c>
      <c r="D1009" s="3" t="s">
        <v>162</v>
      </c>
      <c r="E1009" s="3" t="s">
        <v>148</v>
      </c>
      <c r="F1009" s="3" t="str">
        <f t="shared" si="0"/>
        <v>3 - Otros</v>
      </c>
      <c r="G1009" s="2">
        <v>7</v>
      </c>
      <c r="H1009" s="3"/>
    </row>
    <row r="1010" spans="1:8" ht="12.75" hidden="1" x14ac:dyDescent="0.2">
      <c r="A1010" s="3" t="s">
        <v>160</v>
      </c>
      <c r="B1010" s="2">
        <v>19</v>
      </c>
      <c r="C1010" s="4" t="s">
        <v>47</v>
      </c>
      <c r="D1010" s="3" t="s">
        <v>162</v>
      </c>
      <c r="E1010" s="3" t="s">
        <v>139</v>
      </c>
      <c r="F1010" s="3" t="str">
        <f t="shared" si="0"/>
        <v>3 - Otros</v>
      </c>
      <c r="G1010" s="2">
        <v>2</v>
      </c>
      <c r="H1010" s="3"/>
    </row>
    <row r="1011" spans="1:8" ht="12.75" hidden="1" x14ac:dyDescent="0.2">
      <c r="A1011" s="3" t="s">
        <v>160</v>
      </c>
      <c r="B1011" s="2">
        <v>19</v>
      </c>
      <c r="C1011" s="4" t="s">
        <v>47</v>
      </c>
      <c r="D1011" s="3" t="s">
        <v>162</v>
      </c>
      <c r="E1011" s="3" t="s">
        <v>135</v>
      </c>
      <c r="F1011" s="3" t="str">
        <f t="shared" si="0"/>
        <v>3 - Otros</v>
      </c>
      <c r="G1011" s="2">
        <v>2</v>
      </c>
      <c r="H1011" s="3"/>
    </row>
    <row r="1012" spans="1:8" ht="12.75" hidden="1" x14ac:dyDescent="0.2">
      <c r="A1012" s="3" t="s">
        <v>160</v>
      </c>
      <c r="B1012" s="2">
        <v>19</v>
      </c>
      <c r="C1012" s="4" t="s">
        <v>47</v>
      </c>
      <c r="D1012" s="3" t="s">
        <v>162</v>
      </c>
      <c r="E1012" s="3" t="s">
        <v>145</v>
      </c>
      <c r="F1012" s="3" t="str">
        <f t="shared" si="0"/>
        <v>3 - Otros</v>
      </c>
      <c r="G1012" s="2">
        <v>1</v>
      </c>
      <c r="H1012" s="3"/>
    </row>
    <row r="1013" spans="1:8" ht="12.75" hidden="1" x14ac:dyDescent="0.2">
      <c r="A1013" s="3" t="s">
        <v>160</v>
      </c>
      <c r="B1013" s="2">
        <v>19</v>
      </c>
      <c r="C1013" s="4" t="s">
        <v>47</v>
      </c>
      <c r="D1013" s="3" t="s">
        <v>162</v>
      </c>
      <c r="E1013" s="3" t="s">
        <v>138</v>
      </c>
      <c r="F1013" s="3" t="str">
        <f t="shared" si="0"/>
        <v>4 - Blanco/Nulo</v>
      </c>
      <c r="G1013" s="2">
        <v>1</v>
      </c>
      <c r="H1013" s="3"/>
    </row>
    <row r="1014" spans="1:8" ht="12.75" hidden="1" x14ac:dyDescent="0.2">
      <c r="A1014" s="3" t="s">
        <v>160</v>
      </c>
      <c r="B1014" s="2" t="s">
        <v>48</v>
      </c>
      <c r="C1014" s="4" t="s">
        <v>49</v>
      </c>
      <c r="D1014" s="3" t="s">
        <v>15</v>
      </c>
      <c r="E1014" s="3" t="s">
        <v>136</v>
      </c>
      <c r="F1014" s="3" t="str">
        <f t="shared" si="0"/>
        <v>1 - PJ</v>
      </c>
      <c r="G1014" s="2">
        <v>92</v>
      </c>
      <c r="H1014" s="2">
        <f>SUM(G1014:G1015)</f>
        <v>125</v>
      </c>
    </row>
    <row r="1015" spans="1:8" ht="12.75" hidden="1" x14ac:dyDescent="0.2">
      <c r="A1015" s="3" t="s">
        <v>160</v>
      </c>
      <c r="B1015" s="2" t="s">
        <v>48</v>
      </c>
      <c r="C1015" s="4" t="s">
        <v>49</v>
      </c>
      <c r="D1015" s="3" t="s">
        <v>15</v>
      </c>
      <c r="E1015" s="3" t="s">
        <v>14</v>
      </c>
      <c r="F1015" s="3" t="str">
        <f t="shared" si="0"/>
        <v>4 - Blanco/Nulo</v>
      </c>
      <c r="G1015" s="2">
        <v>33</v>
      </c>
      <c r="H1015" s="3"/>
    </row>
    <row r="1016" spans="1:8" ht="12.75" hidden="1" x14ac:dyDescent="0.2">
      <c r="A1016" s="3" t="s">
        <v>160</v>
      </c>
      <c r="B1016" s="2" t="s">
        <v>48</v>
      </c>
      <c r="C1016" s="4" t="s">
        <v>49</v>
      </c>
      <c r="D1016" s="3" t="s">
        <v>161</v>
      </c>
      <c r="E1016" s="3" t="s">
        <v>136</v>
      </c>
      <c r="F1016" s="3" t="str">
        <f t="shared" si="0"/>
        <v>1 - PJ</v>
      </c>
      <c r="G1016" s="2">
        <v>88</v>
      </c>
      <c r="H1016" s="3"/>
    </row>
    <row r="1017" spans="1:8" ht="12.75" hidden="1" x14ac:dyDescent="0.2">
      <c r="A1017" s="3" t="s">
        <v>160</v>
      </c>
      <c r="B1017" s="2" t="s">
        <v>48</v>
      </c>
      <c r="C1017" s="4" t="s">
        <v>49</v>
      </c>
      <c r="D1017" s="3" t="s">
        <v>161</v>
      </c>
      <c r="E1017" s="3" t="s">
        <v>128</v>
      </c>
      <c r="F1017" s="3" t="str">
        <f t="shared" si="0"/>
        <v>2 - Frepam</v>
      </c>
      <c r="G1017" s="2">
        <v>17</v>
      </c>
      <c r="H1017" s="3"/>
    </row>
    <row r="1018" spans="1:8" ht="12.75" hidden="1" x14ac:dyDescent="0.2">
      <c r="A1018" s="3" t="s">
        <v>160</v>
      </c>
      <c r="B1018" s="2" t="s">
        <v>48</v>
      </c>
      <c r="C1018" s="4" t="s">
        <v>49</v>
      </c>
      <c r="D1018" s="3" t="s">
        <v>161</v>
      </c>
      <c r="E1018" s="3" t="s">
        <v>149</v>
      </c>
      <c r="F1018" s="3" t="str">
        <f t="shared" si="0"/>
        <v>3 - Otros</v>
      </c>
      <c r="G1018" s="2">
        <v>10</v>
      </c>
      <c r="H1018" s="3"/>
    </row>
    <row r="1019" spans="1:8" ht="12.75" hidden="1" x14ac:dyDescent="0.2">
      <c r="A1019" s="3" t="s">
        <v>160</v>
      </c>
      <c r="B1019" s="2" t="s">
        <v>48</v>
      </c>
      <c r="C1019" s="4" t="s">
        <v>49</v>
      </c>
      <c r="D1019" s="3" t="s">
        <v>161</v>
      </c>
      <c r="E1019" s="3" t="s">
        <v>14</v>
      </c>
      <c r="F1019" s="3" t="str">
        <f t="shared" si="0"/>
        <v>4 - Blanco/Nulo</v>
      </c>
      <c r="G1019" s="2">
        <v>4</v>
      </c>
      <c r="H1019" s="3"/>
    </row>
    <row r="1020" spans="1:8" ht="12.75" hidden="1" x14ac:dyDescent="0.2">
      <c r="A1020" s="3" t="s">
        <v>160</v>
      </c>
      <c r="B1020" s="2" t="s">
        <v>48</v>
      </c>
      <c r="C1020" s="4" t="s">
        <v>49</v>
      </c>
      <c r="D1020" s="3" t="s">
        <v>161</v>
      </c>
      <c r="E1020" s="3" t="s">
        <v>133</v>
      </c>
      <c r="F1020" s="3" t="str">
        <f t="shared" si="0"/>
        <v>3 - Otros</v>
      </c>
      <c r="G1020" s="2">
        <v>2</v>
      </c>
      <c r="H1020" s="2">
        <f>SUM(G1016:G1024)</f>
        <v>125</v>
      </c>
    </row>
    <row r="1021" spans="1:8" ht="12.75" hidden="1" x14ac:dyDescent="0.2">
      <c r="A1021" s="3" t="s">
        <v>160</v>
      </c>
      <c r="B1021" s="2" t="s">
        <v>48</v>
      </c>
      <c r="C1021" s="4" t="s">
        <v>49</v>
      </c>
      <c r="D1021" s="3" t="s">
        <v>161</v>
      </c>
      <c r="E1021" s="3" t="s">
        <v>148</v>
      </c>
      <c r="F1021" s="3" t="str">
        <f t="shared" si="0"/>
        <v>3 - Otros</v>
      </c>
      <c r="G1021" s="2">
        <v>1</v>
      </c>
      <c r="H1021" s="3"/>
    </row>
    <row r="1022" spans="1:8" ht="12.75" hidden="1" x14ac:dyDescent="0.2">
      <c r="A1022" s="3" t="s">
        <v>160</v>
      </c>
      <c r="B1022" s="2" t="s">
        <v>48</v>
      </c>
      <c r="C1022" s="4" t="s">
        <v>49</v>
      </c>
      <c r="D1022" s="3" t="s">
        <v>161</v>
      </c>
      <c r="E1022" s="3" t="s">
        <v>145</v>
      </c>
      <c r="F1022" s="3" t="str">
        <f t="shared" si="0"/>
        <v>3 - Otros</v>
      </c>
      <c r="G1022" s="2">
        <v>1</v>
      </c>
      <c r="H1022" s="3"/>
    </row>
    <row r="1023" spans="1:8" ht="12.75" hidden="1" x14ac:dyDescent="0.2">
      <c r="A1023" s="3" t="s">
        <v>160</v>
      </c>
      <c r="B1023" s="2" t="s">
        <v>48</v>
      </c>
      <c r="C1023" s="4" t="s">
        <v>49</v>
      </c>
      <c r="D1023" s="3" t="s">
        <v>161</v>
      </c>
      <c r="E1023" s="3" t="s">
        <v>139</v>
      </c>
      <c r="F1023" s="3" t="str">
        <f t="shared" si="0"/>
        <v>3 - Otros</v>
      </c>
      <c r="G1023" s="2">
        <v>1</v>
      </c>
      <c r="H1023" s="3"/>
    </row>
    <row r="1024" spans="1:8" ht="12.75" hidden="1" x14ac:dyDescent="0.2">
      <c r="A1024" s="3" t="s">
        <v>160</v>
      </c>
      <c r="B1024" s="2" t="s">
        <v>48</v>
      </c>
      <c r="C1024" s="4" t="s">
        <v>49</v>
      </c>
      <c r="D1024" s="3" t="s">
        <v>161</v>
      </c>
      <c r="E1024" s="3" t="s">
        <v>138</v>
      </c>
      <c r="F1024" s="3" t="str">
        <f t="shared" si="0"/>
        <v>4 - Blanco/Nulo</v>
      </c>
      <c r="G1024" s="2">
        <v>1</v>
      </c>
      <c r="H1024" s="3"/>
    </row>
    <row r="1025" spans="1:8" ht="12.75" hidden="1" x14ac:dyDescent="0.2">
      <c r="A1025" s="3" t="s">
        <v>160</v>
      </c>
      <c r="B1025" s="2" t="s">
        <v>48</v>
      </c>
      <c r="C1025" s="4" t="s">
        <v>49</v>
      </c>
      <c r="D1025" s="3" t="s">
        <v>162</v>
      </c>
      <c r="E1025" s="3" t="s">
        <v>136</v>
      </c>
      <c r="F1025" s="3" t="str">
        <f t="shared" si="0"/>
        <v>1 - PJ</v>
      </c>
      <c r="G1025" s="2">
        <v>90</v>
      </c>
      <c r="H1025" s="3"/>
    </row>
    <row r="1026" spans="1:8" ht="12.75" hidden="1" x14ac:dyDescent="0.2">
      <c r="A1026" s="3" t="s">
        <v>160</v>
      </c>
      <c r="B1026" s="2" t="s">
        <v>48</v>
      </c>
      <c r="C1026" s="4" t="s">
        <v>49</v>
      </c>
      <c r="D1026" s="3" t="s">
        <v>162</v>
      </c>
      <c r="E1026" s="3" t="s">
        <v>128</v>
      </c>
      <c r="F1026" s="3" t="str">
        <f t="shared" si="0"/>
        <v>2 - Frepam</v>
      </c>
      <c r="G1026" s="2">
        <v>16</v>
      </c>
      <c r="H1026" s="3"/>
    </row>
    <row r="1027" spans="1:8" ht="12.75" hidden="1" x14ac:dyDescent="0.2">
      <c r="A1027" s="3" t="s">
        <v>160</v>
      </c>
      <c r="B1027" s="2" t="s">
        <v>48</v>
      </c>
      <c r="C1027" s="4" t="s">
        <v>49</v>
      </c>
      <c r="D1027" s="3" t="s">
        <v>162</v>
      </c>
      <c r="E1027" s="3" t="s">
        <v>149</v>
      </c>
      <c r="F1027" s="3" t="str">
        <f t="shared" si="0"/>
        <v>3 - Otros</v>
      </c>
      <c r="G1027" s="2">
        <v>10</v>
      </c>
      <c r="H1027" s="3"/>
    </row>
    <row r="1028" spans="1:8" ht="12.75" hidden="1" x14ac:dyDescent="0.2">
      <c r="A1028" s="3" t="s">
        <v>160</v>
      </c>
      <c r="B1028" s="2" t="s">
        <v>48</v>
      </c>
      <c r="C1028" s="4" t="s">
        <v>49</v>
      </c>
      <c r="D1028" s="3" t="s">
        <v>162</v>
      </c>
      <c r="E1028" s="3" t="s">
        <v>14</v>
      </c>
      <c r="F1028" s="3" t="str">
        <f t="shared" si="0"/>
        <v>4 - Blanco/Nulo</v>
      </c>
      <c r="G1028" s="2">
        <v>4</v>
      </c>
      <c r="H1028" s="2">
        <f>SUM(G1025:G1031)</f>
        <v>125</v>
      </c>
    </row>
    <row r="1029" spans="1:8" ht="12.75" hidden="1" x14ac:dyDescent="0.2">
      <c r="A1029" s="3" t="s">
        <v>160</v>
      </c>
      <c r="B1029" s="2" t="s">
        <v>48</v>
      </c>
      <c r="C1029" s="4" t="s">
        <v>49</v>
      </c>
      <c r="D1029" s="3" t="s">
        <v>162</v>
      </c>
      <c r="E1029" s="3" t="s">
        <v>133</v>
      </c>
      <c r="F1029" s="3" t="str">
        <f t="shared" si="0"/>
        <v>3 - Otros</v>
      </c>
      <c r="G1029" s="2">
        <v>2</v>
      </c>
      <c r="H1029" s="3"/>
    </row>
    <row r="1030" spans="1:8" ht="12.75" hidden="1" x14ac:dyDescent="0.2">
      <c r="A1030" s="3" t="s">
        <v>160</v>
      </c>
      <c r="B1030" s="2" t="s">
        <v>48</v>
      </c>
      <c r="C1030" s="4" t="s">
        <v>49</v>
      </c>
      <c r="D1030" s="3" t="s">
        <v>162</v>
      </c>
      <c r="E1030" s="3" t="s">
        <v>138</v>
      </c>
      <c r="F1030" s="3" t="str">
        <f t="shared" si="0"/>
        <v>4 - Blanco/Nulo</v>
      </c>
      <c r="G1030" s="2">
        <v>2</v>
      </c>
      <c r="H1030" s="3"/>
    </row>
    <row r="1031" spans="1:8" ht="12.75" hidden="1" x14ac:dyDescent="0.2">
      <c r="A1031" s="3" t="s">
        <v>160</v>
      </c>
      <c r="B1031" s="2" t="s">
        <v>48</v>
      </c>
      <c r="C1031" s="4" t="s">
        <v>49</v>
      </c>
      <c r="D1031" s="3" t="s">
        <v>162</v>
      </c>
      <c r="E1031" s="3" t="s">
        <v>145</v>
      </c>
      <c r="F1031" s="3" t="str">
        <f t="shared" si="0"/>
        <v>3 - Otros</v>
      </c>
      <c r="G1031" s="2">
        <v>1</v>
      </c>
      <c r="H1031" s="3"/>
    </row>
    <row r="1032" spans="1:8" ht="12.75" hidden="1" x14ac:dyDescent="0.2">
      <c r="A1032" s="3" t="s">
        <v>160</v>
      </c>
      <c r="B1032" s="2">
        <v>20</v>
      </c>
      <c r="C1032" s="4" t="s">
        <v>50</v>
      </c>
      <c r="D1032" s="3" t="s">
        <v>2</v>
      </c>
      <c r="E1032" s="3" t="s">
        <v>141</v>
      </c>
      <c r="F1032" s="3" t="str">
        <f t="shared" si="0"/>
        <v>3 - Otros</v>
      </c>
      <c r="G1032" s="2">
        <v>160</v>
      </c>
      <c r="H1032" s="3"/>
    </row>
    <row r="1033" spans="1:8" ht="12.75" hidden="1" x14ac:dyDescent="0.2">
      <c r="A1033" s="3" t="s">
        <v>160</v>
      </c>
      <c r="B1033" s="2">
        <v>20</v>
      </c>
      <c r="C1033" s="4" t="s">
        <v>50</v>
      </c>
      <c r="D1033" s="3" t="s">
        <v>2</v>
      </c>
      <c r="E1033" s="3" t="s">
        <v>14</v>
      </c>
      <c r="F1033" s="3" t="str">
        <f t="shared" si="0"/>
        <v>4 - Blanco/Nulo</v>
      </c>
      <c r="G1033" s="2">
        <v>110</v>
      </c>
      <c r="H1033" s="2">
        <f>SUM(G1032:G1034)</f>
        <v>274</v>
      </c>
    </row>
    <row r="1034" spans="1:8" ht="12.75" hidden="1" x14ac:dyDescent="0.2">
      <c r="A1034" s="3" t="s">
        <v>160</v>
      </c>
      <c r="B1034" s="2">
        <v>20</v>
      </c>
      <c r="C1034" s="4" t="s">
        <v>50</v>
      </c>
      <c r="D1034" s="3" t="s">
        <v>2</v>
      </c>
      <c r="E1034" s="3" t="s">
        <v>138</v>
      </c>
      <c r="F1034" s="3" t="str">
        <f t="shared" si="0"/>
        <v>4 - Blanco/Nulo</v>
      </c>
      <c r="G1034" s="2">
        <v>4</v>
      </c>
      <c r="H1034" s="3"/>
    </row>
    <row r="1035" spans="1:8" ht="12.75" hidden="1" x14ac:dyDescent="0.2">
      <c r="A1035" s="3" t="s">
        <v>160</v>
      </c>
      <c r="B1035" s="2">
        <v>20</v>
      </c>
      <c r="C1035" s="4" t="s">
        <v>50</v>
      </c>
      <c r="D1035" s="3" t="s">
        <v>161</v>
      </c>
      <c r="E1035" s="3" t="s">
        <v>136</v>
      </c>
      <c r="F1035" s="3" t="str">
        <f t="shared" si="0"/>
        <v>1 - PJ</v>
      </c>
      <c r="G1035" s="2">
        <v>133</v>
      </c>
      <c r="H1035" s="3"/>
    </row>
    <row r="1036" spans="1:8" ht="12.75" hidden="1" x14ac:dyDescent="0.2">
      <c r="A1036" s="3" t="s">
        <v>160</v>
      </c>
      <c r="B1036" s="2">
        <v>20</v>
      </c>
      <c r="C1036" s="4" t="s">
        <v>50</v>
      </c>
      <c r="D1036" s="3" t="s">
        <v>161</v>
      </c>
      <c r="E1036" s="3" t="s">
        <v>128</v>
      </c>
      <c r="F1036" s="3" t="str">
        <f t="shared" si="0"/>
        <v>2 - Frepam</v>
      </c>
      <c r="G1036" s="2">
        <v>85</v>
      </c>
      <c r="H1036" s="3"/>
    </row>
    <row r="1037" spans="1:8" ht="12.75" hidden="1" x14ac:dyDescent="0.2">
      <c r="A1037" s="3" t="s">
        <v>160</v>
      </c>
      <c r="B1037" s="2">
        <v>20</v>
      </c>
      <c r="C1037" s="4" t="s">
        <v>50</v>
      </c>
      <c r="D1037" s="3" t="s">
        <v>161</v>
      </c>
      <c r="E1037" s="3" t="s">
        <v>14</v>
      </c>
      <c r="F1037" s="3" t="str">
        <f t="shared" si="0"/>
        <v>4 - Blanco/Nulo</v>
      </c>
      <c r="G1037" s="2">
        <v>25</v>
      </c>
      <c r="H1037" s="3"/>
    </row>
    <row r="1038" spans="1:8" ht="12.75" hidden="1" x14ac:dyDescent="0.2">
      <c r="A1038" s="3" t="s">
        <v>160</v>
      </c>
      <c r="B1038" s="2">
        <v>20</v>
      </c>
      <c r="C1038" s="4" t="s">
        <v>50</v>
      </c>
      <c r="D1038" s="3" t="s">
        <v>161</v>
      </c>
      <c r="E1038" s="3" t="s">
        <v>133</v>
      </c>
      <c r="F1038" s="3" t="str">
        <f t="shared" si="0"/>
        <v>3 - Otros</v>
      </c>
      <c r="G1038" s="2">
        <v>18</v>
      </c>
      <c r="H1038" s="3"/>
    </row>
    <row r="1039" spans="1:8" ht="12.75" hidden="1" x14ac:dyDescent="0.2">
      <c r="A1039" s="3" t="s">
        <v>160</v>
      </c>
      <c r="B1039" s="2">
        <v>20</v>
      </c>
      <c r="C1039" s="4" t="s">
        <v>50</v>
      </c>
      <c r="D1039" s="3" t="s">
        <v>161</v>
      </c>
      <c r="E1039" s="3" t="s">
        <v>138</v>
      </c>
      <c r="F1039" s="3" t="str">
        <f t="shared" si="0"/>
        <v>4 - Blanco/Nulo</v>
      </c>
      <c r="G1039" s="2">
        <v>4</v>
      </c>
      <c r="H1039" s="2">
        <f>SUM(G1035:G1043)</f>
        <v>274</v>
      </c>
    </row>
    <row r="1040" spans="1:8" ht="12.75" hidden="1" x14ac:dyDescent="0.2">
      <c r="A1040" s="3" t="s">
        <v>160</v>
      </c>
      <c r="B1040" s="2">
        <v>20</v>
      </c>
      <c r="C1040" s="4" t="s">
        <v>50</v>
      </c>
      <c r="D1040" s="3" t="s">
        <v>161</v>
      </c>
      <c r="E1040" s="3" t="s">
        <v>148</v>
      </c>
      <c r="F1040" s="3" t="str">
        <f t="shared" si="0"/>
        <v>3 - Otros</v>
      </c>
      <c r="G1040" s="2">
        <v>3</v>
      </c>
      <c r="H1040" s="3"/>
    </row>
    <row r="1041" spans="1:8" ht="12.75" hidden="1" x14ac:dyDescent="0.2">
      <c r="A1041" s="3" t="s">
        <v>160</v>
      </c>
      <c r="B1041" s="2">
        <v>20</v>
      </c>
      <c r="C1041" s="4" t="s">
        <v>50</v>
      </c>
      <c r="D1041" s="3" t="s">
        <v>161</v>
      </c>
      <c r="E1041" s="3" t="s">
        <v>139</v>
      </c>
      <c r="F1041" s="3" t="str">
        <f t="shared" si="0"/>
        <v>3 - Otros</v>
      </c>
      <c r="G1041" s="2">
        <v>2</v>
      </c>
      <c r="H1041" s="3"/>
    </row>
    <row r="1042" spans="1:8" ht="12.75" hidden="1" x14ac:dyDescent="0.2">
      <c r="A1042" s="3" t="s">
        <v>160</v>
      </c>
      <c r="B1042" s="2">
        <v>20</v>
      </c>
      <c r="C1042" s="4" t="s">
        <v>50</v>
      </c>
      <c r="D1042" s="3" t="s">
        <v>161</v>
      </c>
      <c r="E1042" s="3" t="s">
        <v>135</v>
      </c>
      <c r="F1042" s="3" t="str">
        <f t="shared" si="0"/>
        <v>3 - Otros</v>
      </c>
      <c r="G1042" s="2">
        <v>2</v>
      </c>
      <c r="H1042" s="3"/>
    </row>
    <row r="1043" spans="1:8" ht="12.75" hidden="1" x14ac:dyDescent="0.2">
      <c r="A1043" s="3" t="s">
        <v>160</v>
      </c>
      <c r="B1043" s="2">
        <v>20</v>
      </c>
      <c r="C1043" s="4" t="s">
        <v>50</v>
      </c>
      <c r="D1043" s="3" t="s">
        <v>161</v>
      </c>
      <c r="E1043" s="3" t="s">
        <v>149</v>
      </c>
      <c r="F1043" s="3" t="str">
        <f t="shared" si="0"/>
        <v>3 - Otros</v>
      </c>
      <c r="G1043" s="2">
        <v>2</v>
      </c>
      <c r="H1043" s="3"/>
    </row>
    <row r="1044" spans="1:8" ht="12.75" hidden="1" x14ac:dyDescent="0.2">
      <c r="A1044" s="3" t="s">
        <v>160</v>
      </c>
      <c r="B1044" s="2">
        <v>20</v>
      </c>
      <c r="C1044" s="4" t="s">
        <v>50</v>
      </c>
      <c r="D1044" s="3" t="s">
        <v>162</v>
      </c>
      <c r="E1044" s="3" t="s">
        <v>136</v>
      </c>
      <c r="F1044" s="3" t="str">
        <f t="shared" si="0"/>
        <v>1 - PJ</v>
      </c>
      <c r="G1044" s="2">
        <v>134</v>
      </c>
      <c r="H1044" s="3"/>
    </row>
    <row r="1045" spans="1:8" ht="12.75" hidden="1" x14ac:dyDescent="0.2">
      <c r="A1045" s="3" t="s">
        <v>160</v>
      </c>
      <c r="B1045" s="2">
        <v>20</v>
      </c>
      <c r="C1045" s="4" t="s">
        <v>50</v>
      </c>
      <c r="D1045" s="3" t="s">
        <v>162</v>
      </c>
      <c r="E1045" s="3" t="s">
        <v>128</v>
      </c>
      <c r="F1045" s="3" t="str">
        <f t="shared" si="0"/>
        <v>2 - Frepam</v>
      </c>
      <c r="G1045" s="2">
        <v>87</v>
      </c>
      <c r="H1045" s="3"/>
    </row>
    <row r="1046" spans="1:8" ht="12.75" hidden="1" x14ac:dyDescent="0.2">
      <c r="A1046" s="3" t="s">
        <v>160</v>
      </c>
      <c r="B1046" s="2">
        <v>20</v>
      </c>
      <c r="C1046" s="4" t="s">
        <v>50</v>
      </c>
      <c r="D1046" s="3" t="s">
        <v>162</v>
      </c>
      <c r="E1046" s="3" t="s">
        <v>14</v>
      </c>
      <c r="F1046" s="3" t="str">
        <f t="shared" si="0"/>
        <v>4 - Blanco/Nulo</v>
      </c>
      <c r="G1046" s="2">
        <v>22</v>
      </c>
      <c r="H1046" s="3"/>
    </row>
    <row r="1047" spans="1:8" ht="12.75" hidden="1" x14ac:dyDescent="0.2">
      <c r="A1047" s="3" t="s">
        <v>160</v>
      </c>
      <c r="B1047" s="2">
        <v>20</v>
      </c>
      <c r="C1047" s="4" t="s">
        <v>50</v>
      </c>
      <c r="D1047" s="3" t="s">
        <v>162</v>
      </c>
      <c r="E1047" s="3" t="s">
        <v>133</v>
      </c>
      <c r="F1047" s="3" t="str">
        <f t="shared" si="0"/>
        <v>3 - Otros</v>
      </c>
      <c r="G1047" s="2">
        <v>18</v>
      </c>
      <c r="H1047" s="3"/>
    </row>
    <row r="1048" spans="1:8" ht="12.75" hidden="1" x14ac:dyDescent="0.2">
      <c r="A1048" s="3" t="s">
        <v>160</v>
      </c>
      <c r="B1048" s="2">
        <v>20</v>
      </c>
      <c r="C1048" s="4" t="s">
        <v>50</v>
      </c>
      <c r="D1048" s="3" t="s">
        <v>162</v>
      </c>
      <c r="E1048" s="3" t="s">
        <v>138</v>
      </c>
      <c r="F1048" s="3" t="str">
        <f t="shared" si="0"/>
        <v>4 - Blanco/Nulo</v>
      </c>
      <c r="G1048" s="2">
        <v>4</v>
      </c>
      <c r="H1048" s="2">
        <f>SUM(G1044:G1052)</f>
        <v>274</v>
      </c>
    </row>
    <row r="1049" spans="1:8" ht="12.75" hidden="1" x14ac:dyDescent="0.2">
      <c r="A1049" s="3" t="s">
        <v>160</v>
      </c>
      <c r="B1049" s="2">
        <v>20</v>
      </c>
      <c r="C1049" s="4" t="s">
        <v>50</v>
      </c>
      <c r="D1049" s="3" t="s">
        <v>162</v>
      </c>
      <c r="E1049" s="3" t="s">
        <v>148</v>
      </c>
      <c r="F1049" s="3" t="str">
        <f t="shared" si="0"/>
        <v>3 - Otros</v>
      </c>
      <c r="G1049" s="2">
        <v>3</v>
      </c>
      <c r="H1049" s="3"/>
    </row>
    <row r="1050" spans="1:8" ht="12.75" hidden="1" x14ac:dyDescent="0.2">
      <c r="A1050" s="3" t="s">
        <v>160</v>
      </c>
      <c r="B1050" s="2">
        <v>20</v>
      </c>
      <c r="C1050" s="4" t="s">
        <v>50</v>
      </c>
      <c r="D1050" s="3" t="s">
        <v>162</v>
      </c>
      <c r="E1050" s="3" t="s">
        <v>149</v>
      </c>
      <c r="F1050" s="3" t="str">
        <f t="shared" si="0"/>
        <v>3 - Otros</v>
      </c>
      <c r="G1050" s="2">
        <v>2</v>
      </c>
      <c r="H1050" s="3"/>
    </row>
    <row r="1051" spans="1:8" ht="12.75" hidden="1" x14ac:dyDescent="0.2">
      <c r="A1051" s="3" t="s">
        <v>160</v>
      </c>
      <c r="B1051" s="2">
        <v>20</v>
      </c>
      <c r="C1051" s="4" t="s">
        <v>50</v>
      </c>
      <c r="D1051" s="3" t="s">
        <v>162</v>
      </c>
      <c r="E1051" s="3" t="s">
        <v>135</v>
      </c>
      <c r="F1051" s="3" t="str">
        <f t="shared" si="0"/>
        <v>3 - Otros</v>
      </c>
      <c r="G1051" s="2">
        <v>2</v>
      </c>
      <c r="H1051" s="3"/>
    </row>
    <row r="1052" spans="1:8" ht="12.75" hidden="1" x14ac:dyDescent="0.2">
      <c r="A1052" s="3" t="s">
        <v>160</v>
      </c>
      <c r="B1052" s="2">
        <v>20</v>
      </c>
      <c r="C1052" s="4" t="s">
        <v>50</v>
      </c>
      <c r="D1052" s="3" t="s">
        <v>162</v>
      </c>
      <c r="E1052" s="3" t="s">
        <v>139</v>
      </c>
      <c r="F1052" s="3" t="str">
        <f t="shared" si="0"/>
        <v>3 - Otros</v>
      </c>
      <c r="G1052" s="2">
        <v>2</v>
      </c>
      <c r="H1052" s="3"/>
    </row>
    <row r="1053" spans="1:8" ht="12.75" hidden="1" x14ac:dyDescent="0.2">
      <c r="A1053" s="3" t="s">
        <v>160</v>
      </c>
      <c r="B1053" s="2">
        <v>21</v>
      </c>
      <c r="C1053" s="4" t="s">
        <v>51</v>
      </c>
      <c r="D1053" s="3" t="s">
        <v>2</v>
      </c>
      <c r="E1053" s="3" t="s">
        <v>136</v>
      </c>
      <c r="F1053" s="3" t="str">
        <f t="shared" si="0"/>
        <v>1 - PJ</v>
      </c>
      <c r="G1053" s="2">
        <v>207</v>
      </c>
      <c r="H1053" s="3"/>
    </row>
    <row r="1054" spans="1:8" ht="12.75" hidden="1" x14ac:dyDescent="0.2">
      <c r="A1054" s="3" t="s">
        <v>160</v>
      </c>
      <c r="B1054" s="2">
        <v>21</v>
      </c>
      <c r="C1054" s="4" t="s">
        <v>51</v>
      </c>
      <c r="D1054" s="3" t="s">
        <v>2</v>
      </c>
      <c r="E1054" s="3" t="s">
        <v>128</v>
      </c>
      <c r="F1054" s="3" t="str">
        <f t="shared" si="0"/>
        <v>2 - Frepam</v>
      </c>
      <c r="G1054" s="2">
        <v>162</v>
      </c>
      <c r="H1054" s="2">
        <f>SUM(G1053:G1057)</f>
        <v>528</v>
      </c>
    </row>
    <row r="1055" spans="1:8" ht="12.75" hidden="1" x14ac:dyDescent="0.2">
      <c r="A1055" s="3" t="s">
        <v>160</v>
      </c>
      <c r="B1055" s="2">
        <v>21</v>
      </c>
      <c r="C1055" s="4" t="s">
        <v>51</v>
      </c>
      <c r="D1055" s="3" t="s">
        <v>2</v>
      </c>
      <c r="E1055" s="3" t="s">
        <v>151</v>
      </c>
      <c r="F1055" s="3" t="str">
        <f t="shared" si="0"/>
        <v>3 - Otros</v>
      </c>
      <c r="G1055" s="2">
        <v>150</v>
      </c>
      <c r="H1055" s="3"/>
    </row>
    <row r="1056" spans="1:8" ht="12.75" hidden="1" x14ac:dyDescent="0.2">
      <c r="A1056" s="3" t="s">
        <v>160</v>
      </c>
      <c r="B1056" s="2">
        <v>21</v>
      </c>
      <c r="C1056" s="4" t="s">
        <v>51</v>
      </c>
      <c r="D1056" s="3" t="s">
        <v>2</v>
      </c>
      <c r="E1056" s="3" t="s">
        <v>14</v>
      </c>
      <c r="F1056" s="3" t="str">
        <f t="shared" si="0"/>
        <v>4 - Blanco/Nulo</v>
      </c>
      <c r="G1056" s="2">
        <v>8</v>
      </c>
      <c r="H1056" s="3"/>
    </row>
    <row r="1057" spans="1:8" ht="12.75" hidden="1" x14ac:dyDescent="0.2">
      <c r="A1057" s="3" t="s">
        <v>160</v>
      </c>
      <c r="B1057" s="2">
        <v>21</v>
      </c>
      <c r="C1057" s="4" t="s">
        <v>51</v>
      </c>
      <c r="D1057" s="3" t="s">
        <v>2</v>
      </c>
      <c r="E1057" s="3" t="s">
        <v>138</v>
      </c>
      <c r="F1057" s="3" t="str">
        <f t="shared" si="0"/>
        <v>4 - Blanco/Nulo</v>
      </c>
      <c r="G1057" s="2">
        <v>1</v>
      </c>
      <c r="H1057" s="3"/>
    </row>
    <row r="1058" spans="1:8" ht="12.75" hidden="1" x14ac:dyDescent="0.2">
      <c r="A1058" s="3" t="s">
        <v>160</v>
      </c>
      <c r="B1058" s="2">
        <v>21</v>
      </c>
      <c r="C1058" s="4" t="s">
        <v>51</v>
      </c>
      <c r="D1058" s="3" t="s">
        <v>161</v>
      </c>
      <c r="E1058" s="3" t="s">
        <v>136</v>
      </c>
      <c r="F1058" s="3" t="str">
        <f t="shared" si="0"/>
        <v>1 - PJ</v>
      </c>
      <c r="G1058" s="2">
        <v>241</v>
      </c>
      <c r="H1058" s="3"/>
    </row>
    <row r="1059" spans="1:8" ht="12.75" hidden="1" x14ac:dyDescent="0.2">
      <c r="A1059" s="3" t="s">
        <v>160</v>
      </c>
      <c r="B1059" s="2">
        <v>21</v>
      </c>
      <c r="C1059" s="4" t="s">
        <v>51</v>
      </c>
      <c r="D1059" s="3" t="s">
        <v>161</v>
      </c>
      <c r="E1059" s="3" t="s">
        <v>128</v>
      </c>
      <c r="F1059" s="3" t="str">
        <f t="shared" si="0"/>
        <v>2 - Frepam</v>
      </c>
      <c r="G1059" s="2">
        <v>167</v>
      </c>
      <c r="H1059" s="3"/>
    </row>
    <row r="1060" spans="1:8" ht="12.75" hidden="1" x14ac:dyDescent="0.2">
      <c r="A1060" s="3" t="s">
        <v>160</v>
      </c>
      <c r="B1060" s="2">
        <v>21</v>
      </c>
      <c r="C1060" s="4" t="s">
        <v>51</v>
      </c>
      <c r="D1060" s="3" t="s">
        <v>161</v>
      </c>
      <c r="E1060" s="3" t="s">
        <v>14</v>
      </c>
      <c r="F1060" s="3" t="str">
        <f t="shared" si="0"/>
        <v>4 - Blanco/Nulo</v>
      </c>
      <c r="G1060" s="2">
        <v>82</v>
      </c>
      <c r="H1060" s="3"/>
    </row>
    <row r="1061" spans="1:8" ht="12.75" hidden="1" x14ac:dyDescent="0.2">
      <c r="A1061" s="3" t="s">
        <v>160</v>
      </c>
      <c r="B1061" s="2">
        <v>21</v>
      </c>
      <c r="C1061" s="4" t="s">
        <v>51</v>
      </c>
      <c r="D1061" s="3" t="s">
        <v>161</v>
      </c>
      <c r="E1061" s="3" t="s">
        <v>148</v>
      </c>
      <c r="F1061" s="3" t="str">
        <f t="shared" si="0"/>
        <v>3 - Otros</v>
      </c>
      <c r="G1061" s="2">
        <v>16</v>
      </c>
      <c r="H1061" s="3"/>
    </row>
    <row r="1062" spans="1:8" ht="12.75" hidden="1" x14ac:dyDescent="0.2">
      <c r="A1062" s="3" t="s">
        <v>160</v>
      </c>
      <c r="B1062" s="2">
        <v>21</v>
      </c>
      <c r="C1062" s="4" t="s">
        <v>51</v>
      </c>
      <c r="D1062" s="3" t="s">
        <v>161</v>
      </c>
      <c r="E1062" s="3" t="s">
        <v>133</v>
      </c>
      <c r="F1062" s="3" t="str">
        <f t="shared" si="0"/>
        <v>3 - Otros</v>
      </c>
      <c r="G1062" s="2">
        <v>11</v>
      </c>
      <c r="H1062" s="3"/>
    </row>
    <row r="1063" spans="1:8" ht="12.75" hidden="1" x14ac:dyDescent="0.2">
      <c r="A1063" s="3" t="s">
        <v>160</v>
      </c>
      <c r="B1063" s="2">
        <v>21</v>
      </c>
      <c r="C1063" s="4" t="s">
        <v>51</v>
      </c>
      <c r="D1063" s="3" t="s">
        <v>161</v>
      </c>
      <c r="E1063" s="3" t="s">
        <v>138</v>
      </c>
      <c r="F1063" s="3" t="str">
        <f t="shared" si="0"/>
        <v>4 - Blanco/Nulo</v>
      </c>
      <c r="G1063" s="2">
        <v>4</v>
      </c>
      <c r="H1063" s="2">
        <f>SUM(G1058:G1067)</f>
        <v>528</v>
      </c>
    </row>
    <row r="1064" spans="1:8" ht="12.75" hidden="1" x14ac:dyDescent="0.2">
      <c r="A1064" s="3" t="s">
        <v>160</v>
      </c>
      <c r="B1064" s="2">
        <v>21</v>
      </c>
      <c r="C1064" s="4" t="s">
        <v>51</v>
      </c>
      <c r="D1064" s="3" t="s">
        <v>161</v>
      </c>
      <c r="E1064" s="3" t="s">
        <v>149</v>
      </c>
      <c r="F1064" s="3" t="str">
        <f t="shared" si="0"/>
        <v>3 - Otros</v>
      </c>
      <c r="G1064" s="2">
        <v>3</v>
      </c>
      <c r="H1064" s="3"/>
    </row>
    <row r="1065" spans="1:8" ht="12.75" hidden="1" x14ac:dyDescent="0.2">
      <c r="A1065" s="3" t="s">
        <v>160</v>
      </c>
      <c r="B1065" s="2">
        <v>21</v>
      </c>
      <c r="C1065" s="4" t="s">
        <v>51</v>
      </c>
      <c r="D1065" s="3" t="s">
        <v>161</v>
      </c>
      <c r="E1065" s="3" t="s">
        <v>145</v>
      </c>
      <c r="F1065" s="3" t="str">
        <f t="shared" si="0"/>
        <v>3 - Otros</v>
      </c>
      <c r="G1065" s="2">
        <v>2</v>
      </c>
      <c r="H1065" s="3"/>
    </row>
    <row r="1066" spans="1:8" ht="12.75" hidden="1" x14ac:dyDescent="0.2">
      <c r="A1066" s="3" t="s">
        <v>160</v>
      </c>
      <c r="B1066" s="2">
        <v>21</v>
      </c>
      <c r="C1066" s="4" t="s">
        <v>51</v>
      </c>
      <c r="D1066" s="3" t="s">
        <v>161</v>
      </c>
      <c r="E1066" s="3" t="s">
        <v>135</v>
      </c>
      <c r="F1066" s="3" t="str">
        <f t="shared" si="0"/>
        <v>3 - Otros</v>
      </c>
      <c r="G1066" s="2">
        <v>1</v>
      </c>
      <c r="H1066" s="3"/>
    </row>
    <row r="1067" spans="1:8" ht="12.75" hidden="1" x14ac:dyDescent="0.2">
      <c r="A1067" s="3" t="s">
        <v>160</v>
      </c>
      <c r="B1067" s="2">
        <v>21</v>
      </c>
      <c r="C1067" s="4" t="s">
        <v>51</v>
      </c>
      <c r="D1067" s="3" t="s">
        <v>161</v>
      </c>
      <c r="E1067" s="3" t="s">
        <v>139</v>
      </c>
      <c r="F1067" s="3" t="str">
        <f t="shared" si="0"/>
        <v>3 - Otros</v>
      </c>
      <c r="G1067" s="2">
        <v>1</v>
      </c>
      <c r="H1067" s="3"/>
    </row>
    <row r="1068" spans="1:8" ht="12.75" hidden="1" x14ac:dyDescent="0.2">
      <c r="A1068" s="3" t="s">
        <v>160</v>
      </c>
      <c r="B1068" s="2">
        <v>21</v>
      </c>
      <c r="C1068" s="4" t="s">
        <v>51</v>
      </c>
      <c r="D1068" s="3" t="s">
        <v>162</v>
      </c>
      <c r="E1068" s="3" t="s">
        <v>136</v>
      </c>
      <c r="F1068" s="3" t="str">
        <f t="shared" si="0"/>
        <v>1 - PJ</v>
      </c>
      <c r="G1068" s="2">
        <v>251</v>
      </c>
      <c r="H1068" s="3"/>
    </row>
    <row r="1069" spans="1:8" ht="12.75" hidden="1" x14ac:dyDescent="0.2">
      <c r="A1069" s="3" t="s">
        <v>160</v>
      </c>
      <c r="B1069" s="2">
        <v>21</v>
      </c>
      <c r="C1069" s="4" t="s">
        <v>51</v>
      </c>
      <c r="D1069" s="3" t="s">
        <v>162</v>
      </c>
      <c r="E1069" s="3" t="s">
        <v>128</v>
      </c>
      <c r="F1069" s="3" t="str">
        <f t="shared" si="0"/>
        <v>2 - Frepam</v>
      </c>
      <c r="G1069" s="2">
        <v>175</v>
      </c>
      <c r="H1069" s="3"/>
    </row>
    <row r="1070" spans="1:8" ht="12.75" hidden="1" x14ac:dyDescent="0.2">
      <c r="A1070" s="3" t="s">
        <v>160</v>
      </c>
      <c r="B1070" s="2">
        <v>21</v>
      </c>
      <c r="C1070" s="4" t="s">
        <v>51</v>
      </c>
      <c r="D1070" s="3" t="s">
        <v>162</v>
      </c>
      <c r="E1070" s="3" t="s">
        <v>14</v>
      </c>
      <c r="F1070" s="3" t="str">
        <f t="shared" si="0"/>
        <v>4 - Blanco/Nulo</v>
      </c>
      <c r="G1070" s="2">
        <v>61</v>
      </c>
      <c r="H1070" s="3"/>
    </row>
    <row r="1071" spans="1:8" ht="12.75" hidden="1" x14ac:dyDescent="0.2">
      <c r="A1071" s="3" t="s">
        <v>160</v>
      </c>
      <c r="B1071" s="2">
        <v>21</v>
      </c>
      <c r="C1071" s="4" t="s">
        <v>51</v>
      </c>
      <c r="D1071" s="3" t="s">
        <v>162</v>
      </c>
      <c r="E1071" s="3" t="s">
        <v>148</v>
      </c>
      <c r="F1071" s="3" t="str">
        <f t="shared" si="0"/>
        <v>3 - Otros</v>
      </c>
      <c r="G1071" s="2">
        <v>15</v>
      </c>
      <c r="H1071" s="3"/>
    </row>
    <row r="1072" spans="1:8" ht="12.75" hidden="1" x14ac:dyDescent="0.2">
      <c r="A1072" s="3" t="s">
        <v>160</v>
      </c>
      <c r="B1072" s="2">
        <v>21</v>
      </c>
      <c r="C1072" s="4" t="s">
        <v>51</v>
      </c>
      <c r="D1072" s="3" t="s">
        <v>162</v>
      </c>
      <c r="E1072" s="3" t="s">
        <v>133</v>
      </c>
      <c r="F1072" s="3" t="str">
        <f t="shared" si="0"/>
        <v>3 - Otros</v>
      </c>
      <c r="G1072" s="2">
        <v>13</v>
      </c>
      <c r="H1072" s="3"/>
    </row>
    <row r="1073" spans="1:8" ht="12.75" hidden="1" x14ac:dyDescent="0.2">
      <c r="A1073" s="3" t="s">
        <v>160</v>
      </c>
      <c r="B1073" s="2">
        <v>21</v>
      </c>
      <c r="C1073" s="4" t="s">
        <v>51</v>
      </c>
      <c r="D1073" s="3" t="s">
        <v>162</v>
      </c>
      <c r="E1073" s="3" t="s">
        <v>149</v>
      </c>
      <c r="F1073" s="3" t="str">
        <f t="shared" si="0"/>
        <v>3 - Otros</v>
      </c>
      <c r="G1073" s="2">
        <v>3</v>
      </c>
      <c r="H1073" s="2">
        <f>SUM(G1068:G1077)</f>
        <v>528</v>
      </c>
    </row>
    <row r="1074" spans="1:8" ht="12.75" hidden="1" x14ac:dyDescent="0.2">
      <c r="A1074" s="3" t="s">
        <v>160</v>
      </c>
      <c r="B1074" s="2">
        <v>21</v>
      </c>
      <c r="C1074" s="4" t="s">
        <v>51</v>
      </c>
      <c r="D1074" s="3" t="s">
        <v>162</v>
      </c>
      <c r="E1074" s="3" t="s">
        <v>145</v>
      </c>
      <c r="F1074" s="3" t="str">
        <f t="shared" si="0"/>
        <v>3 - Otros</v>
      </c>
      <c r="G1074" s="2">
        <v>3</v>
      </c>
      <c r="H1074" s="3"/>
    </row>
    <row r="1075" spans="1:8" ht="12.75" hidden="1" x14ac:dyDescent="0.2">
      <c r="A1075" s="3" t="s">
        <v>160</v>
      </c>
      <c r="B1075" s="2">
        <v>21</v>
      </c>
      <c r="C1075" s="4" t="s">
        <v>51</v>
      </c>
      <c r="D1075" s="3" t="s">
        <v>162</v>
      </c>
      <c r="E1075" s="3" t="s">
        <v>139</v>
      </c>
      <c r="F1075" s="3" t="str">
        <f t="shared" si="0"/>
        <v>3 - Otros</v>
      </c>
      <c r="G1075" s="2">
        <v>3</v>
      </c>
      <c r="H1075" s="3"/>
    </row>
    <row r="1076" spans="1:8" ht="12.75" hidden="1" x14ac:dyDescent="0.2">
      <c r="A1076" s="3" t="s">
        <v>160</v>
      </c>
      <c r="B1076" s="2">
        <v>21</v>
      </c>
      <c r="C1076" s="4" t="s">
        <v>51</v>
      </c>
      <c r="D1076" s="3" t="s">
        <v>162</v>
      </c>
      <c r="E1076" s="3" t="s">
        <v>138</v>
      </c>
      <c r="F1076" s="3" t="str">
        <f t="shared" si="0"/>
        <v>4 - Blanco/Nulo</v>
      </c>
      <c r="G1076" s="2">
        <v>3</v>
      </c>
      <c r="H1076" s="3"/>
    </row>
    <row r="1077" spans="1:8" ht="12.75" hidden="1" x14ac:dyDescent="0.2">
      <c r="A1077" s="3" t="s">
        <v>160</v>
      </c>
      <c r="B1077" s="2">
        <v>21</v>
      </c>
      <c r="C1077" s="4" t="s">
        <v>51</v>
      </c>
      <c r="D1077" s="3" t="s">
        <v>162</v>
      </c>
      <c r="E1077" s="3" t="s">
        <v>135</v>
      </c>
      <c r="F1077" s="3" t="str">
        <f t="shared" si="0"/>
        <v>3 - Otros</v>
      </c>
      <c r="G1077" s="2">
        <v>1</v>
      </c>
      <c r="H1077" s="3"/>
    </row>
    <row r="1078" spans="1:8" ht="12.75" hidden="1" x14ac:dyDescent="0.2">
      <c r="A1078" s="3" t="s">
        <v>160</v>
      </c>
      <c r="B1078" s="2">
        <v>22</v>
      </c>
      <c r="C1078" s="4" t="s">
        <v>52</v>
      </c>
      <c r="D1078" s="3" t="s">
        <v>2</v>
      </c>
      <c r="E1078" s="3" t="s">
        <v>3</v>
      </c>
      <c r="F1078" s="3" t="str">
        <f t="shared" si="0"/>
        <v>1 - PJ</v>
      </c>
      <c r="G1078" s="2">
        <v>3104</v>
      </c>
      <c r="H1078" s="3"/>
    </row>
    <row r="1079" spans="1:8" ht="12.75" hidden="1" x14ac:dyDescent="0.2">
      <c r="A1079" s="3" t="s">
        <v>160</v>
      </c>
      <c r="B1079" s="2">
        <v>22</v>
      </c>
      <c r="C1079" s="4" t="s">
        <v>52</v>
      </c>
      <c r="D1079" s="3" t="s">
        <v>2</v>
      </c>
      <c r="E1079" s="3" t="s">
        <v>140</v>
      </c>
      <c r="F1079" s="3" t="str">
        <f t="shared" si="0"/>
        <v>3 - Otros</v>
      </c>
      <c r="G1079" s="2">
        <v>2491</v>
      </c>
      <c r="H1079" s="3"/>
    </row>
    <row r="1080" spans="1:8" ht="12.75" hidden="1" x14ac:dyDescent="0.2">
      <c r="A1080" s="3" t="s">
        <v>160</v>
      </c>
      <c r="B1080" s="2">
        <v>22</v>
      </c>
      <c r="C1080" s="4" t="s">
        <v>52</v>
      </c>
      <c r="D1080" s="3" t="s">
        <v>2</v>
      </c>
      <c r="E1080" s="3" t="s">
        <v>14</v>
      </c>
      <c r="F1080" s="3" t="str">
        <f t="shared" si="0"/>
        <v>4 - Blanco/Nulo</v>
      </c>
      <c r="G1080" s="2">
        <v>222</v>
      </c>
      <c r="H1080" s="3"/>
    </row>
    <row r="1081" spans="1:8" ht="12.75" hidden="1" x14ac:dyDescent="0.2">
      <c r="A1081" s="3" t="s">
        <v>160</v>
      </c>
      <c r="B1081" s="2">
        <v>22</v>
      </c>
      <c r="C1081" s="4" t="s">
        <v>52</v>
      </c>
      <c r="D1081" s="3" t="s">
        <v>2</v>
      </c>
      <c r="E1081" s="3" t="s">
        <v>138</v>
      </c>
      <c r="F1081" s="3" t="str">
        <f t="shared" si="0"/>
        <v>4 - Blanco/Nulo</v>
      </c>
      <c r="G1081" s="2">
        <v>26</v>
      </c>
      <c r="H1081" s="3"/>
    </row>
    <row r="1082" spans="1:8" ht="12.75" hidden="1" x14ac:dyDescent="0.2">
      <c r="A1082" s="3" t="s">
        <v>160</v>
      </c>
      <c r="B1082" s="2">
        <v>22</v>
      </c>
      <c r="C1082" s="4" t="s">
        <v>52</v>
      </c>
      <c r="D1082" s="3" t="s">
        <v>162</v>
      </c>
      <c r="E1082" s="3" t="s">
        <v>3</v>
      </c>
      <c r="F1082" s="3" t="str">
        <f t="shared" si="0"/>
        <v>1 - PJ</v>
      </c>
      <c r="G1082" s="2">
        <v>3109</v>
      </c>
      <c r="H1082" s="3"/>
    </row>
    <row r="1083" spans="1:8" ht="12.75" hidden="1" x14ac:dyDescent="0.2">
      <c r="A1083" s="3" t="s">
        <v>160</v>
      </c>
      <c r="B1083" s="2">
        <v>22</v>
      </c>
      <c r="C1083" s="4" t="s">
        <v>52</v>
      </c>
      <c r="D1083" s="3" t="s">
        <v>162</v>
      </c>
      <c r="E1083" s="3" t="s">
        <v>128</v>
      </c>
      <c r="F1083" s="3" t="str">
        <f t="shared" si="0"/>
        <v>2 - Frepam</v>
      </c>
      <c r="G1083" s="2">
        <v>1590</v>
      </c>
      <c r="H1083" s="3"/>
    </row>
    <row r="1084" spans="1:8" ht="12.75" hidden="1" x14ac:dyDescent="0.2">
      <c r="A1084" s="3" t="s">
        <v>160</v>
      </c>
      <c r="B1084" s="2">
        <v>22</v>
      </c>
      <c r="C1084" s="4" t="s">
        <v>52</v>
      </c>
      <c r="D1084" s="3" t="s">
        <v>162</v>
      </c>
      <c r="E1084" s="3" t="s">
        <v>14</v>
      </c>
      <c r="F1084" s="3" t="str">
        <f t="shared" si="0"/>
        <v>4 - Blanco/Nulo</v>
      </c>
      <c r="G1084" s="2">
        <v>678</v>
      </c>
      <c r="H1084" s="3"/>
    </row>
    <row r="1085" spans="1:8" ht="12.75" hidden="1" x14ac:dyDescent="0.2">
      <c r="A1085" s="3" t="s">
        <v>160</v>
      </c>
      <c r="B1085" s="2">
        <v>22</v>
      </c>
      <c r="C1085" s="4" t="s">
        <v>52</v>
      </c>
      <c r="D1085" s="3" t="s">
        <v>162</v>
      </c>
      <c r="E1085" s="3" t="s">
        <v>149</v>
      </c>
      <c r="F1085" s="3" t="str">
        <f t="shared" si="0"/>
        <v>3 - Otros</v>
      </c>
      <c r="G1085" s="2">
        <v>218</v>
      </c>
      <c r="H1085" s="3"/>
    </row>
    <row r="1086" spans="1:8" ht="12.75" hidden="1" x14ac:dyDescent="0.2">
      <c r="A1086" s="3" t="s">
        <v>160</v>
      </c>
      <c r="B1086" s="2">
        <v>22</v>
      </c>
      <c r="C1086" s="4" t="s">
        <v>52</v>
      </c>
      <c r="D1086" s="3" t="s">
        <v>162</v>
      </c>
      <c r="E1086" s="3" t="s">
        <v>133</v>
      </c>
      <c r="F1086" s="3" t="str">
        <f t="shared" si="0"/>
        <v>3 - Otros</v>
      </c>
      <c r="G1086" s="2">
        <v>116</v>
      </c>
      <c r="H1086" s="3"/>
    </row>
    <row r="1087" spans="1:8" ht="12.75" hidden="1" x14ac:dyDescent="0.2">
      <c r="A1087" s="3" t="s">
        <v>160</v>
      </c>
      <c r="B1087" s="2">
        <v>22</v>
      </c>
      <c r="C1087" s="4" t="s">
        <v>52</v>
      </c>
      <c r="D1087" s="3" t="s">
        <v>162</v>
      </c>
      <c r="E1087" s="3" t="s">
        <v>138</v>
      </c>
      <c r="F1087" s="3" t="str">
        <f t="shared" si="0"/>
        <v>4 - Blanco/Nulo</v>
      </c>
      <c r="G1087" s="2">
        <v>65</v>
      </c>
      <c r="H1087" s="2">
        <f>SUM(G1082:G1091)</f>
        <v>5843</v>
      </c>
    </row>
    <row r="1088" spans="1:8" ht="12.75" hidden="1" x14ac:dyDescent="0.2">
      <c r="A1088" s="3" t="s">
        <v>160</v>
      </c>
      <c r="B1088" s="2">
        <v>22</v>
      </c>
      <c r="C1088" s="4" t="s">
        <v>52</v>
      </c>
      <c r="D1088" s="3" t="s">
        <v>162</v>
      </c>
      <c r="E1088" s="3" t="s">
        <v>139</v>
      </c>
      <c r="F1088" s="3" t="str">
        <f t="shared" si="0"/>
        <v>3 - Otros</v>
      </c>
      <c r="G1088" s="2">
        <v>34</v>
      </c>
      <c r="H1088" s="3"/>
    </row>
    <row r="1089" spans="1:8" ht="12.75" hidden="1" x14ac:dyDescent="0.2">
      <c r="A1089" s="3" t="s">
        <v>160</v>
      </c>
      <c r="B1089" s="2">
        <v>22</v>
      </c>
      <c r="C1089" s="4" t="s">
        <v>52</v>
      </c>
      <c r="D1089" s="3" t="s">
        <v>162</v>
      </c>
      <c r="E1089" s="3" t="s">
        <v>148</v>
      </c>
      <c r="F1089" s="3" t="str">
        <f t="shared" si="0"/>
        <v>3 - Otros</v>
      </c>
      <c r="G1089" s="2">
        <v>14</v>
      </c>
      <c r="H1089" s="3"/>
    </row>
    <row r="1090" spans="1:8" ht="12.75" hidden="1" x14ac:dyDescent="0.2">
      <c r="A1090" s="3" t="s">
        <v>160</v>
      </c>
      <c r="B1090" s="2">
        <v>22</v>
      </c>
      <c r="C1090" s="4" t="s">
        <v>52</v>
      </c>
      <c r="D1090" s="3" t="s">
        <v>162</v>
      </c>
      <c r="E1090" s="3" t="s">
        <v>135</v>
      </c>
      <c r="F1090" s="3" t="str">
        <f t="shared" si="0"/>
        <v>3 - Otros</v>
      </c>
      <c r="G1090" s="2">
        <v>11</v>
      </c>
      <c r="H1090" s="3"/>
    </row>
    <row r="1091" spans="1:8" ht="12.75" hidden="1" x14ac:dyDescent="0.2">
      <c r="A1091" s="3" t="s">
        <v>160</v>
      </c>
      <c r="B1091" s="2">
        <v>22</v>
      </c>
      <c r="C1091" s="4" t="s">
        <v>52</v>
      </c>
      <c r="D1091" s="3" t="s">
        <v>162</v>
      </c>
      <c r="E1091" s="3" t="s">
        <v>145</v>
      </c>
      <c r="F1091" s="3" t="str">
        <f t="shared" si="0"/>
        <v>3 - Otros</v>
      </c>
      <c r="G1091" s="2">
        <v>8</v>
      </c>
      <c r="H1091" s="3"/>
    </row>
    <row r="1092" spans="1:8" ht="12.75" hidden="1" x14ac:dyDescent="0.2">
      <c r="A1092" s="3" t="s">
        <v>160</v>
      </c>
      <c r="B1092" s="2">
        <v>22</v>
      </c>
      <c r="C1092" s="4" t="s">
        <v>52</v>
      </c>
      <c r="D1092" s="3" t="s">
        <v>161</v>
      </c>
      <c r="E1092" s="3" t="s">
        <v>3</v>
      </c>
      <c r="F1092" s="3" t="str">
        <f t="shared" si="0"/>
        <v>1 - PJ</v>
      </c>
      <c r="G1092" s="2">
        <v>2952</v>
      </c>
      <c r="H1092" s="3"/>
    </row>
    <row r="1093" spans="1:8" ht="12.75" hidden="1" x14ac:dyDescent="0.2">
      <c r="A1093" s="3" t="s">
        <v>160</v>
      </c>
      <c r="B1093" s="2">
        <v>22</v>
      </c>
      <c r="C1093" s="4" t="s">
        <v>52</v>
      </c>
      <c r="D1093" s="3" t="s">
        <v>161</v>
      </c>
      <c r="E1093" s="3" t="s">
        <v>128</v>
      </c>
      <c r="F1093" s="3" t="str">
        <f t="shared" si="0"/>
        <v>2 - Frepam</v>
      </c>
      <c r="G1093" s="2">
        <v>1709</v>
      </c>
      <c r="H1093" s="3"/>
    </row>
    <row r="1094" spans="1:8" ht="12.75" hidden="1" x14ac:dyDescent="0.2">
      <c r="A1094" s="3" t="s">
        <v>160</v>
      </c>
      <c r="B1094" s="2">
        <v>22</v>
      </c>
      <c r="C1094" s="4" t="s">
        <v>52</v>
      </c>
      <c r="D1094" s="3" t="s">
        <v>161</v>
      </c>
      <c r="E1094" s="3" t="s">
        <v>14</v>
      </c>
      <c r="F1094" s="3" t="str">
        <f t="shared" si="0"/>
        <v>4 - Blanco/Nulo</v>
      </c>
      <c r="G1094" s="2">
        <v>750</v>
      </c>
      <c r="H1094" s="3"/>
    </row>
    <row r="1095" spans="1:8" ht="12.75" hidden="1" x14ac:dyDescent="0.2">
      <c r="A1095" s="3" t="s">
        <v>160</v>
      </c>
      <c r="B1095" s="2">
        <v>22</v>
      </c>
      <c r="C1095" s="4" t="s">
        <v>52</v>
      </c>
      <c r="D1095" s="3" t="s">
        <v>161</v>
      </c>
      <c r="E1095" s="3" t="s">
        <v>149</v>
      </c>
      <c r="F1095" s="3" t="str">
        <f t="shared" si="0"/>
        <v>3 - Otros</v>
      </c>
      <c r="G1095" s="2">
        <v>202</v>
      </c>
      <c r="H1095" s="3"/>
    </row>
    <row r="1096" spans="1:8" ht="12.75" hidden="1" x14ac:dyDescent="0.2">
      <c r="A1096" s="3" t="s">
        <v>160</v>
      </c>
      <c r="B1096" s="2">
        <v>22</v>
      </c>
      <c r="C1096" s="4" t="s">
        <v>52</v>
      </c>
      <c r="D1096" s="3" t="s">
        <v>161</v>
      </c>
      <c r="E1096" s="3" t="s">
        <v>133</v>
      </c>
      <c r="F1096" s="3" t="str">
        <f t="shared" si="0"/>
        <v>3 - Otros</v>
      </c>
      <c r="G1096" s="2">
        <v>99</v>
      </c>
      <c r="H1096" s="3"/>
    </row>
    <row r="1097" spans="1:8" ht="12.75" hidden="1" x14ac:dyDescent="0.2">
      <c r="A1097" s="3" t="s">
        <v>160</v>
      </c>
      <c r="B1097" s="2">
        <v>22</v>
      </c>
      <c r="C1097" s="4" t="s">
        <v>52</v>
      </c>
      <c r="D1097" s="3" t="s">
        <v>161</v>
      </c>
      <c r="E1097" s="3" t="s">
        <v>138</v>
      </c>
      <c r="F1097" s="3" t="str">
        <f t="shared" si="0"/>
        <v>4 - Blanco/Nulo</v>
      </c>
      <c r="G1097" s="2">
        <v>64</v>
      </c>
      <c r="H1097" s="2">
        <f>SUM(G1092:G1101)</f>
        <v>5843</v>
      </c>
    </row>
    <row r="1098" spans="1:8" ht="12.75" hidden="1" x14ac:dyDescent="0.2">
      <c r="A1098" s="3" t="s">
        <v>160</v>
      </c>
      <c r="B1098" s="2">
        <v>22</v>
      </c>
      <c r="C1098" s="4" t="s">
        <v>52</v>
      </c>
      <c r="D1098" s="3" t="s">
        <v>161</v>
      </c>
      <c r="E1098" s="3" t="s">
        <v>139</v>
      </c>
      <c r="F1098" s="3" t="str">
        <f t="shared" si="0"/>
        <v>3 - Otros</v>
      </c>
      <c r="G1098" s="2">
        <v>29</v>
      </c>
      <c r="H1098" s="3"/>
    </row>
    <row r="1099" spans="1:8" ht="12.75" hidden="1" x14ac:dyDescent="0.2">
      <c r="A1099" s="3" t="s">
        <v>160</v>
      </c>
      <c r="B1099" s="2">
        <v>22</v>
      </c>
      <c r="C1099" s="4" t="s">
        <v>52</v>
      </c>
      <c r="D1099" s="3" t="s">
        <v>161</v>
      </c>
      <c r="E1099" s="3" t="s">
        <v>148</v>
      </c>
      <c r="F1099" s="3" t="str">
        <f t="shared" si="0"/>
        <v>3 - Otros</v>
      </c>
      <c r="G1099" s="2">
        <v>21</v>
      </c>
      <c r="H1099" s="3"/>
    </row>
    <row r="1100" spans="1:8" ht="12.75" hidden="1" x14ac:dyDescent="0.2">
      <c r="A1100" s="3" t="s">
        <v>160</v>
      </c>
      <c r="B1100" s="2">
        <v>22</v>
      </c>
      <c r="C1100" s="4" t="s">
        <v>52</v>
      </c>
      <c r="D1100" s="3" t="s">
        <v>161</v>
      </c>
      <c r="E1100" s="3" t="s">
        <v>135</v>
      </c>
      <c r="F1100" s="3" t="str">
        <f t="shared" si="0"/>
        <v>3 - Otros</v>
      </c>
      <c r="G1100" s="2">
        <v>10</v>
      </c>
      <c r="H1100" s="3"/>
    </row>
    <row r="1101" spans="1:8" ht="12.75" hidden="1" x14ac:dyDescent="0.2">
      <c r="A1101" s="3" t="s">
        <v>160</v>
      </c>
      <c r="B1101" s="2">
        <v>22</v>
      </c>
      <c r="C1101" s="4" t="s">
        <v>52</v>
      </c>
      <c r="D1101" s="3" t="s">
        <v>161</v>
      </c>
      <c r="E1101" s="3" t="s">
        <v>145</v>
      </c>
      <c r="F1101" s="3" t="str">
        <f t="shared" si="0"/>
        <v>3 - Otros</v>
      </c>
      <c r="G1101" s="2">
        <v>7</v>
      </c>
      <c r="H1101" s="3"/>
    </row>
    <row r="1102" spans="1:8" ht="12.75" hidden="1" x14ac:dyDescent="0.2">
      <c r="A1102" s="3" t="s">
        <v>160</v>
      </c>
      <c r="B1102" s="2">
        <v>23</v>
      </c>
      <c r="C1102" s="4" t="s">
        <v>53</v>
      </c>
      <c r="D1102" s="3" t="s">
        <v>2</v>
      </c>
      <c r="E1102" s="3" t="s">
        <v>136</v>
      </c>
      <c r="F1102" s="3" t="str">
        <f t="shared" si="0"/>
        <v>1 - PJ</v>
      </c>
      <c r="G1102" s="2">
        <v>275</v>
      </c>
      <c r="H1102" s="3"/>
    </row>
    <row r="1103" spans="1:8" ht="12.75" hidden="1" x14ac:dyDescent="0.2">
      <c r="A1103" s="3" t="s">
        <v>160</v>
      </c>
      <c r="B1103" s="2">
        <v>23</v>
      </c>
      <c r="C1103" s="4" t="s">
        <v>53</v>
      </c>
      <c r="D1103" s="3" t="s">
        <v>2</v>
      </c>
      <c r="E1103" s="3" t="s">
        <v>128</v>
      </c>
      <c r="F1103" s="3" t="str">
        <f t="shared" si="0"/>
        <v>2 - Frepam</v>
      </c>
      <c r="G1103" s="2">
        <v>244</v>
      </c>
      <c r="H1103" s="2">
        <f>SUM(G1102:G1104)</f>
        <v>548</v>
      </c>
    </row>
    <row r="1104" spans="1:8" ht="12.75" hidden="1" x14ac:dyDescent="0.2">
      <c r="A1104" s="3" t="s">
        <v>160</v>
      </c>
      <c r="B1104" s="2">
        <v>23</v>
      </c>
      <c r="C1104" s="4" t="s">
        <v>53</v>
      </c>
      <c r="D1104" s="3" t="s">
        <v>2</v>
      </c>
      <c r="E1104" s="3" t="s">
        <v>14</v>
      </c>
      <c r="F1104" s="3" t="str">
        <f t="shared" si="0"/>
        <v>4 - Blanco/Nulo</v>
      </c>
      <c r="G1104" s="2">
        <v>29</v>
      </c>
      <c r="H1104" s="3"/>
    </row>
    <row r="1105" spans="1:8" ht="12.75" hidden="1" x14ac:dyDescent="0.2">
      <c r="A1105" s="3" t="s">
        <v>160</v>
      </c>
      <c r="B1105" s="2">
        <v>23</v>
      </c>
      <c r="C1105" s="4" t="s">
        <v>53</v>
      </c>
      <c r="D1105" s="3" t="s">
        <v>161</v>
      </c>
      <c r="E1105" s="3" t="s">
        <v>136</v>
      </c>
      <c r="F1105" s="3" t="str">
        <f t="shared" si="0"/>
        <v>1 - PJ</v>
      </c>
      <c r="G1105" s="2">
        <v>270</v>
      </c>
      <c r="H1105" s="3"/>
    </row>
    <row r="1106" spans="1:8" ht="12.75" hidden="1" x14ac:dyDescent="0.2">
      <c r="A1106" s="3" t="s">
        <v>160</v>
      </c>
      <c r="B1106" s="2">
        <v>23</v>
      </c>
      <c r="C1106" s="4" t="s">
        <v>53</v>
      </c>
      <c r="D1106" s="3" t="s">
        <v>161</v>
      </c>
      <c r="E1106" s="3" t="s">
        <v>128</v>
      </c>
      <c r="F1106" s="3" t="str">
        <f t="shared" si="0"/>
        <v>2 - Frepam</v>
      </c>
      <c r="G1106" s="2">
        <v>218</v>
      </c>
      <c r="H1106" s="3"/>
    </row>
    <row r="1107" spans="1:8" ht="12.75" hidden="1" x14ac:dyDescent="0.2">
      <c r="A1107" s="3" t="s">
        <v>160</v>
      </c>
      <c r="B1107" s="2">
        <v>23</v>
      </c>
      <c r="C1107" s="4" t="s">
        <v>53</v>
      </c>
      <c r="D1107" s="3" t="s">
        <v>161</v>
      </c>
      <c r="E1107" s="3" t="s">
        <v>14</v>
      </c>
      <c r="F1107" s="3" t="str">
        <f t="shared" si="0"/>
        <v>4 - Blanco/Nulo</v>
      </c>
      <c r="G1107" s="2">
        <v>33</v>
      </c>
      <c r="H1107" s="3"/>
    </row>
    <row r="1108" spans="1:8" ht="12.75" hidden="1" x14ac:dyDescent="0.2">
      <c r="A1108" s="3" t="s">
        <v>160</v>
      </c>
      <c r="B1108" s="2">
        <v>23</v>
      </c>
      <c r="C1108" s="4" t="s">
        <v>53</v>
      </c>
      <c r="D1108" s="3" t="s">
        <v>161</v>
      </c>
      <c r="E1108" s="3" t="s">
        <v>133</v>
      </c>
      <c r="F1108" s="3" t="str">
        <f t="shared" si="0"/>
        <v>3 - Otros</v>
      </c>
      <c r="G1108" s="2">
        <v>8</v>
      </c>
      <c r="H1108" s="3"/>
    </row>
    <row r="1109" spans="1:8" ht="12.75" hidden="1" x14ac:dyDescent="0.2">
      <c r="A1109" s="3" t="s">
        <v>160</v>
      </c>
      <c r="B1109" s="2">
        <v>23</v>
      </c>
      <c r="C1109" s="4" t="s">
        <v>53</v>
      </c>
      <c r="D1109" s="3" t="s">
        <v>161</v>
      </c>
      <c r="E1109" s="3" t="s">
        <v>149</v>
      </c>
      <c r="F1109" s="3" t="str">
        <f t="shared" si="0"/>
        <v>3 - Otros</v>
      </c>
      <c r="G1109" s="2">
        <v>6</v>
      </c>
      <c r="H1109" s="2">
        <f>SUM(G1105:G1113)</f>
        <v>548</v>
      </c>
    </row>
    <row r="1110" spans="1:8" ht="12.75" hidden="1" x14ac:dyDescent="0.2">
      <c r="A1110" s="3" t="s">
        <v>160</v>
      </c>
      <c r="B1110" s="2">
        <v>23</v>
      </c>
      <c r="C1110" s="4" t="s">
        <v>53</v>
      </c>
      <c r="D1110" s="3" t="s">
        <v>161</v>
      </c>
      <c r="E1110" s="3" t="s">
        <v>148</v>
      </c>
      <c r="F1110" s="3" t="str">
        <f t="shared" si="0"/>
        <v>3 - Otros</v>
      </c>
      <c r="G1110" s="2">
        <v>4</v>
      </c>
      <c r="H1110" s="3"/>
    </row>
    <row r="1111" spans="1:8" ht="12.75" hidden="1" x14ac:dyDescent="0.2">
      <c r="A1111" s="3" t="s">
        <v>160</v>
      </c>
      <c r="B1111" s="2">
        <v>23</v>
      </c>
      <c r="C1111" s="4" t="s">
        <v>53</v>
      </c>
      <c r="D1111" s="3" t="s">
        <v>161</v>
      </c>
      <c r="E1111" s="3" t="s">
        <v>135</v>
      </c>
      <c r="F1111" s="3" t="str">
        <f t="shared" si="0"/>
        <v>3 - Otros</v>
      </c>
      <c r="G1111" s="2">
        <v>4</v>
      </c>
      <c r="H1111" s="3"/>
    </row>
    <row r="1112" spans="1:8" ht="12.75" hidden="1" x14ac:dyDescent="0.2">
      <c r="A1112" s="3" t="s">
        <v>160</v>
      </c>
      <c r="B1112" s="2">
        <v>23</v>
      </c>
      <c r="C1112" s="4" t="s">
        <v>53</v>
      </c>
      <c r="D1112" s="3" t="s">
        <v>161</v>
      </c>
      <c r="E1112" s="3" t="s">
        <v>145</v>
      </c>
      <c r="F1112" s="3" t="str">
        <f t="shared" si="0"/>
        <v>3 - Otros</v>
      </c>
      <c r="G1112" s="2">
        <v>3</v>
      </c>
      <c r="H1112" s="3"/>
    </row>
    <row r="1113" spans="1:8" ht="12.75" hidden="1" x14ac:dyDescent="0.2">
      <c r="A1113" s="3" t="s">
        <v>160</v>
      </c>
      <c r="B1113" s="2">
        <v>23</v>
      </c>
      <c r="C1113" s="4" t="s">
        <v>53</v>
      </c>
      <c r="D1113" s="3" t="s">
        <v>161</v>
      </c>
      <c r="E1113" s="3" t="s">
        <v>139</v>
      </c>
      <c r="F1113" s="3" t="str">
        <f t="shared" si="0"/>
        <v>3 - Otros</v>
      </c>
      <c r="G1113" s="2">
        <v>2</v>
      </c>
      <c r="H1113" s="3"/>
    </row>
    <row r="1114" spans="1:8" ht="12.75" hidden="1" x14ac:dyDescent="0.2">
      <c r="A1114" s="3" t="s">
        <v>160</v>
      </c>
      <c r="B1114" s="2">
        <v>23</v>
      </c>
      <c r="C1114" s="4" t="s">
        <v>53</v>
      </c>
      <c r="D1114" s="3" t="s">
        <v>162</v>
      </c>
      <c r="E1114" s="3" t="s">
        <v>136</v>
      </c>
      <c r="F1114" s="3" t="str">
        <f t="shared" si="0"/>
        <v>1 - PJ</v>
      </c>
      <c r="G1114" s="2">
        <v>278</v>
      </c>
      <c r="H1114" s="3"/>
    </row>
    <row r="1115" spans="1:8" ht="12.75" hidden="1" x14ac:dyDescent="0.2">
      <c r="A1115" s="3" t="s">
        <v>160</v>
      </c>
      <c r="B1115" s="2">
        <v>23</v>
      </c>
      <c r="C1115" s="4" t="s">
        <v>53</v>
      </c>
      <c r="D1115" s="3" t="s">
        <v>162</v>
      </c>
      <c r="E1115" s="3" t="s">
        <v>128</v>
      </c>
      <c r="F1115" s="3" t="str">
        <f t="shared" si="0"/>
        <v>2 - Frepam</v>
      </c>
      <c r="G1115" s="2">
        <v>217</v>
      </c>
      <c r="H1115" s="3"/>
    </row>
    <row r="1116" spans="1:8" ht="12.75" hidden="1" x14ac:dyDescent="0.2">
      <c r="A1116" s="3" t="s">
        <v>160</v>
      </c>
      <c r="B1116" s="2">
        <v>23</v>
      </c>
      <c r="C1116" s="4" t="s">
        <v>53</v>
      </c>
      <c r="D1116" s="3" t="s">
        <v>162</v>
      </c>
      <c r="E1116" s="3" t="s">
        <v>14</v>
      </c>
      <c r="F1116" s="3" t="str">
        <f t="shared" si="0"/>
        <v>4 - Blanco/Nulo</v>
      </c>
      <c r="G1116" s="2">
        <v>26</v>
      </c>
      <c r="H1116" s="3"/>
    </row>
    <row r="1117" spans="1:8" ht="12.75" hidden="1" x14ac:dyDescent="0.2">
      <c r="A1117" s="3" t="s">
        <v>160</v>
      </c>
      <c r="B1117" s="2">
        <v>23</v>
      </c>
      <c r="C1117" s="4" t="s">
        <v>53</v>
      </c>
      <c r="D1117" s="3" t="s">
        <v>162</v>
      </c>
      <c r="E1117" s="3" t="s">
        <v>133</v>
      </c>
      <c r="F1117" s="3" t="str">
        <f t="shared" si="0"/>
        <v>3 - Otros</v>
      </c>
      <c r="G1117" s="2">
        <v>8</v>
      </c>
      <c r="H1117" s="3"/>
    </row>
    <row r="1118" spans="1:8" ht="12.75" hidden="1" x14ac:dyDescent="0.2">
      <c r="A1118" s="3" t="s">
        <v>160</v>
      </c>
      <c r="B1118" s="2">
        <v>23</v>
      </c>
      <c r="C1118" s="4" t="s">
        <v>53</v>
      </c>
      <c r="D1118" s="3" t="s">
        <v>162</v>
      </c>
      <c r="E1118" s="3" t="s">
        <v>149</v>
      </c>
      <c r="F1118" s="3" t="str">
        <f t="shared" si="0"/>
        <v>3 - Otros</v>
      </c>
      <c r="G1118" s="2">
        <v>6</v>
      </c>
      <c r="H1118" s="2">
        <f>SUM(G1114:G1122)</f>
        <v>548</v>
      </c>
    </row>
    <row r="1119" spans="1:8" ht="12.75" hidden="1" x14ac:dyDescent="0.2">
      <c r="A1119" s="3" t="s">
        <v>160</v>
      </c>
      <c r="B1119" s="2">
        <v>23</v>
      </c>
      <c r="C1119" s="4" t="s">
        <v>53</v>
      </c>
      <c r="D1119" s="3" t="s">
        <v>162</v>
      </c>
      <c r="E1119" s="3" t="s">
        <v>148</v>
      </c>
      <c r="F1119" s="3" t="str">
        <f t="shared" si="0"/>
        <v>3 - Otros</v>
      </c>
      <c r="G1119" s="2">
        <v>4</v>
      </c>
      <c r="H1119" s="3"/>
    </row>
    <row r="1120" spans="1:8" ht="12.75" hidden="1" x14ac:dyDescent="0.2">
      <c r="A1120" s="3" t="s">
        <v>160</v>
      </c>
      <c r="B1120" s="2">
        <v>23</v>
      </c>
      <c r="C1120" s="4" t="s">
        <v>53</v>
      </c>
      <c r="D1120" s="3" t="s">
        <v>162</v>
      </c>
      <c r="E1120" s="3" t="s">
        <v>135</v>
      </c>
      <c r="F1120" s="3" t="str">
        <f t="shared" si="0"/>
        <v>3 - Otros</v>
      </c>
      <c r="G1120" s="2">
        <v>4</v>
      </c>
      <c r="H1120" s="3"/>
    </row>
    <row r="1121" spans="1:8" ht="12.75" hidden="1" x14ac:dyDescent="0.2">
      <c r="A1121" s="3" t="s">
        <v>160</v>
      </c>
      <c r="B1121" s="2">
        <v>23</v>
      </c>
      <c r="C1121" s="4" t="s">
        <v>53</v>
      </c>
      <c r="D1121" s="3" t="s">
        <v>162</v>
      </c>
      <c r="E1121" s="3" t="s">
        <v>145</v>
      </c>
      <c r="F1121" s="3" t="str">
        <f t="shared" si="0"/>
        <v>3 - Otros</v>
      </c>
      <c r="G1121" s="2">
        <v>3</v>
      </c>
      <c r="H1121" s="3"/>
    </row>
    <row r="1122" spans="1:8" ht="12.75" hidden="1" x14ac:dyDescent="0.2">
      <c r="A1122" s="3" t="s">
        <v>160</v>
      </c>
      <c r="B1122" s="2">
        <v>23</v>
      </c>
      <c r="C1122" s="4" t="s">
        <v>53</v>
      </c>
      <c r="D1122" s="3" t="s">
        <v>162</v>
      </c>
      <c r="E1122" s="3" t="s">
        <v>139</v>
      </c>
      <c r="F1122" s="3" t="str">
        <f t="shared" si="0"/>
        <v>3 - Otros</v>
      </c>
      <c r="G1122" s="2">
        <v>2</v>
      </c>
      <c r="H1122" s="3"/>
    </row>
    <row r="1123" spans="1:8" ht="12.75" hidden="1" x14ac:dyDescent="0.2">
      <c r="A1123" s="3" t="s">
        <v>160</v>
      </c>
      <c r="B1123" s="2">
        <v>24</v>
      </c>
      <c r="C1123" s="4" t="s">
        <v>54</v>
      </c>
      <c r="D1123" s="3" t="s">
        <v>2</v>
      </c>
      <c r="E1123" s="3" t="s">
        <v>136</v>
      </c>
      <c r="F1123" s="3" t="str">
        <f t="shared" si="0"/>
        <v>1 - PJ</v>
      </c>
      <c r="G1123" s="2">
        <v>196</v>
      </c>
      <c r="H1123" s="3"/>
    </row>
    <row r="1124" spans="1:8" ht="12.75" hidden="1" x14ac:dyDescent="0.2">
      <c r="A1124" s="3" t="s">
        <v>160</v>
      </c>
      <c r="B1124" s="2">
        <v>24</v>
      </c>
      <c r="C1124" s="4" t="s">
        <v>54</v>
      </c>
      <c r="D1124" s="3" t="s">
        <v>2</v>
      </c>
      <c r="E1124" s="3" t="s">
        <v>14</v>
      </c>
      <c r="F1124" s="3" t="str">
        <f t="shared" si="0"/>
        <v>4 - Blanco/Nulo</v>
      </c>
      <c r="G1124" s="2">
        <v>132</v>
      </c>
      <c r="H1124" s="2">
        <f>SUM(G1123:G1124)</f>
        <v>328</v>
      </c>
    </row>
    <row r="1125" spans="1:8" ht="12.75" hidden="1" x14ac:dyDescent="0.2">
      <c r="A1125" s="3" t="s">
        <v>160</v>
      </c>
      <c r="B1125" s="2">
        <v>24</v>
      </c>
      <c r="C1125" s="4" t="s">
        <v>54</v>
      </c>
      <c r="D1125" s="3" t="s">
        <v>161</v>
      </c>
      <c r="E1125" s="3" t="s">
        <v>136</v>
      </c>
      <c r="F1125" s="3" t="str">
        <f t="shared" si="0"/>
        <v>1 - PJ</v>
      </c>
      <c r="G1125" s="2">
        <v>195</v>
      </c>
      <c r="H1125" s="3"/>
    </row>
    <row r="1126" spans="1:8" ht="12.75" hidden="1" x14ac:dyDescent="0.2">
      <c r="A1126" s="3" t="s">
        <v>160</v>
      </c>
      <c r="B1126" s="2">
        <v>24</v>
      </c>
      <c r="C1126" s="4" t="s">
        <v>54</v>
      </c>
      <c r="D1126" s="3" t="s">
        <v>161</v>
      </c>
      <c r="E1126" s="3" t="s">
        <v>128</v>
      </c>
      <c r="F1126" s="3" t="str">
        <f t="shared" si="0"/>
        <v>2 - Frepam</v>
      </c>
      <c r="G1126" s="2">
        <v>84</v>
      </c>
      <c r="H1126" s="3"/>
    </row>
    <row r="1127" spans="1:8" ht="12.75" hidden="1" x14ac:dyDescent="0.2">
      <c r="A1127" s="3" t="s">
        <v>160</v>
      </c>
      <c r="B1127" s="2">
        <v>24</v>
      </c>
      <c r="C1127" s="4" t="s">
        <v>54</v>
      </c>
      <c r="D1127" s="3" t="s">
        <v>161</v>
      </c>
      <c r="E1127" s="3" t="s">
        <v>133</v>
      </c>
      <c r="F1127" s="3" t="str">
        <f t="shared" si="0"/>
        <v>3 - Otros</v>
      </c>
      <c r="G1127" s="2">
        <v>10</v>
      </c>
      <c r="H1127" s="3"/>
    </row>
    <row r="1128" spans="1:8" ht="12.75" hidden="1" x14ac:dyDescent="0.2">
      <c r="A1128" s="3" t="s">
        <v>160</v>
      </c>
      <c r="B1128" s="2">
        <v>24</v>
      </c>
      <c r="C1128" s="4" t="s">
        <v>54</v>
      </c>
      <c r="D1128" s="3" t="s">
        <v>161</v>
      </c>
      <c r="E1128" s="3" t="s">
        <v>148</v>
      </c>
      <c r="F1128" s="3" t="str">
        <f t="shared" si="0"/>
        <v>3 - Otros</v>
      </c>
      <c r="G1128" s="2">
        <v>9</v>
      </c>
      <c r="H1128" s="3"/>
    </row>
    <row r="1129" spans="1:8" ht="12.75" hidden="1" x14ac:dyDescent="0.2">
      <c r="A1129" s="3" t="s">
        <v>160</v>
      </c>
      <c r="B1129" s="2">
        <v>24</v>
      </c>
      <c r="C1129" s="4" t="s">
        <v>54</v>
      </c>
      <c r="D1129" s="3" t="s">
        <v>161</v>
      </c>
      <c r="E1129" s="3" t="s">
        <v>14</v>
      </c>
      <c r="F1129" s="3" t="str">
        <f t="shared" si="0"/>
        <v>4 - Blanco/Nulo</v>
      </c>
      <c r="G1129" s="2">
        <v>9</v>
      </c>
      <c r="H1129" s="2">
        <f>SUM(G1125:G1133)</f>
        <v>328</v>
      </c>
    </row>
    <row r="1130" spans="1:8" ht="12.75" hidden="1" x14ac:dyDescent="0.2">
      <c r="A1130" s="3" t="s">
        <v>160</v>
      </c>
      <c r="B1130" s="2">
        <v>24</v>
      </c>
      <c r="C1130" s="4" t="s">
        <v>54</v>
      </c>
      <c r="D1130" s="3" t="s">
        <v>161</v>
      </c>
      <c r="E1130" s="3" t="s">
        <v>149</v>
      </c>
      <c r="F1130" s="3" t="str">
        <f t="shared" si="0"/>
        <v>3 - Otros</v>
      </c>
      <c r="G1130" s="2">
        <v>8</v>
      </c>
      <c r="H1130" s="3"/>
    </row>
    <row r="1131" spans="1:8" ht="12.75" hidden="1" x14ac:dyDescent="0.2">
      <c r="A1131" s="3" t="s">
        <v>160</v>
      </c>
      <c r="B1131" s="2">
        <v>24</v>
      </c>
      <c r="C1131" s="4" t="s">
        <v>54</v>
      </c>
      <c r="D1131" s="3" t="s">
        <v>161</v>
      </c>
      <c r="E1131" s="3" t="s">
        <v>135</v>
      </c>
      <c r="F1131" s="3" t="str">
        <f t="shared" si="0"/>
        <v>3 - Otros</v>
      </c>
      <c r="G1131" s="2">
        <v>6</v>
      </c>
      <c r="H1131" s="3"/>
    </row>
    <row r="1132" spans="1:8" ht="12.75" hidden="1" x14ac:dyDescent="0.2">
      <c r="A1132" s="3" t="s">
        <v>160</v>
      </c>
      <c r="B1132" s="2">
        <v>24</v>
      </c>
      <c r="C1132" s="4" t="s">
        <v>54</v>
      </c>
      <c r="D1132" s="3" t="s">
        <v>161</v>
      </c>
      <c r="E1132" s="3" t="s">
        <v>145</v>
      </c>
      <c r="F1132" s="3" t="str">
        <f t="shared" si="0"/>
        <v>3 - Otros</v>
      </c>
      <c r="G1132" s="2">
        <v>4</v>
      </c>
      <c r="H1132" s="3"/>
    </row>
    <row r="1133" spans="1:8" ht="12.75" hidden="1" x14ac:dyDescent="0.2">
      <c r="A1133" s="3" t="s">
        <v>160</v>
      </c>
      <c r="B1133" s="2">
        <v>24</v>
      </c>
      <c r="C1133" s="4" t="s">
        <v>54</v>
      </c>
      <c r="D1133" s="3" t="s">
        <v>161</v>
      </c>
      <c r="E1133" s="3" t="s">
        <v>139</v>
      </c>
      <c r="F1133" s="3" t="str">
        <f t="shared" si="0"/>
        <v>3 - Otros</v>
      </c>
      <c r="G1133" s="2">
        <v>3</v>
      </c>
      <c r="H1133" s="3"/>
    </row>
    <row r="1134" spans="1:8" ht="12.75" hidden="1" x14ac:dyDescent="0.2">
      <c r="A1134" s="3" t="s">
        <v>160</v>
      </c>
      <c r="B1134" s="2">
        <v>24</v>
      </c>
      <c r="C1134" s="4" t="s">
        <v>54</v>
      </c>
      <c r="D1134" s="3" t="s">
        <v>162</v>
      </c>
      <c r="E1134" s="3" t="s">
        <v>136</v>
      </c>
      <c r="F1134" s="3" t="str">
        <f t="shared" si="0"/>
        <v>1 - PJ</v>
      </c>
      <c r="G1134" s="2">
        <v>196</v>
      </c>
      <c r="H1134" s="3"/>
    </row>
    <row r="1135" spans="1:8" ht="12.75" hidden="1" x14ac:dyDescent="0.2">
      <c r="A1135" s="3" t="s">
        <v>160</v>
      </c>
      <c r="B1135" s="2">
        <v>24</v>
      </c>
      <c r="C1135" s="4" t="s">
        <v>54</v>
      </c>
      <c r="D1135" s="3" t="s">
        <v>162</v>
      </c>
      <c r="E1135" s="3" t="s">
        <v>128</v>
      </c>
      <c r="F1135" s="3" t="str">
        <f t="shared" si="0"/>
        <v>2 - Frepam</v>
      </c>
      <c r="G1135" s="2">
        <v>83</v>
      </c>
      <c r="H1135" s="3"/>
    </row>
    <row r="1136" spans="1:8" ht="12.75" hidden="1" x14ac:dyDescent="0.2">
      <c r="A1136" s="3" t="s">
        <v>160</v>
      </c>
      <c r="B1136" s="2">
        <v>24</v>
      </c>
      <c r="C1136" s="4" t="s">
        <v>54</v>
      </c>
      <c r="D1136" s="3" t="s">
        <v>162</v>
      </c>
      <c r="E1136" s="3" t="s">
        <v>133</v>
      </c>
      <c r="F1136" s="3" t="str">
        <f t="shared" si="0"/>
        <v>3 - Otros</v>
      </c>
      <c r="G1136" s="2">
        <v>11</v>
      </c>
      <c r="H1136" s="3"/>
    </row>
    <row r="1137" spans="1:8" ht="12.75" hidden="1" x14ac:dyDescent="0.2">
      <c r="A1137" s="3" t="s">
        <v>160</v>
      </c>
      <c r="B1137" s="2">
        <v>24</v>
      </c>
      <c r="C1137" s="4" t="s">
        <v>54</v>
      </c>
      <c r="D1137" s="3" t="s">
        <v>162</v>
      </c>
      <c r="E1137" s="3" t="s">
        <v>148</v>
      </c>
      <c r="F1137" s="3" t="str">
        <f t="shared" si="0"/>
        <v>3 - Otros</v>
      </c>
      <c r="G1137" s="2">
        <v>9</v>
      </c>
      <c r="H1137" s="3"/>
    </row>
    <row r="1138" spans="1:8" ht="12.75" hidden="1" x14ac:dyDescent="0.2">
      <c r="A1138" s="3" t="s">
        <v>160</v>
      </c>
      <c r="B1138" s="2">
        <v>24</v>
      </c>
      <c r="C1138" s="4" t="s">
        <v>54</v>
      </c>
      <c r="D1138" s="3" t="s">
        <v>162</v>
      </c>
      <c r="E1138" s="3" t="s">
        <v>149</v>
      </c>
      <c r="F1138" s="3" t="str">
        <f t="shared" si="0"/>
        <v>3 - Otros</v>
      </c>
      <c r="G1138" s="2">
        <v>8</v>
      </c>
      <c r="H1138" s="2">
        <f>SUM(G1134:G1142)</f>
        <v>328</v>
      </c>
    </row>
    <row r="1139" spans="1:8" ht="12.75" hidden="1" x14ac:dyDescent="0.2">
      <c r="A1139" s="3" t="s">
        <v>160</v>
      </c>
      <c r="B1139" s="2">
        <v>24</v>
      </c>
      <c r="C1139" s="4" t="s">
        <v>54</v>
      </c>
      <c r="D1139" s="3" t="s">
        <v>162</v>
      </c>
      <c r="E1139" s="3" t="s">
        <v>14</v>
      </c>
      <c r="F1139" s="3" t="str">
        <f t="shared" si="0"/>
        <v>4 - Blanco/Nulo</v>
      </c>
      <c r="G1139" s="2">
        <v>8</v>
      </c>
      <c r="H1139" s="3"/>
    </row>
    <row r="1140" spans="1:8" ht="12.75" hidden="1" x14ac:dyDescent="0.2">
      <c r="A1140" s="3" t="s">
        <v>160</v>
      </c>
      <c r="B1140" s="2">
        <v>24</v>
      </c>
      <c r="C1140" s="4" t="s">
        <v>54</v>
      </c>
      <c r="D1140" s="3" t="s">
        <v>162</v>
      </c>
      <c r="E1140" s="3" t="s">
        <v>135</v>
      </c>
      <c r="F1140" s="3" t="str">
        <f t="shared" si="0"/>
        <v>3 - Otros</v>
      </c>
      <c r="G1140" s="2">
        <v>6</v>
      </c>
      <c r="H1140" s="3"/>
    </row>
    <row r="1141" spans="1:8" ht="12.75" hidden="1" x14ac:dyDescent="0.2">
      <c r="A1141" s="3" t="s">
        <v>160</v>
      </c>
      <c r="B1141" s="2">
        <v>24</v>
      </c>
      <c r="C1141" s="4" t="s">
        <v>54</v>
      </c>
      <c r="D1141" s="3" t="s">
        <v>162</v>
      </c>
      <c r="E1141" s="3" t="s">
        <v>145</v>
      </c>
      <c r="F1141" s="3" t="str">
        <f t="shared" si="0"/>
        <v>3 - Otros</v>
      </c>
      <c r="G1141" s="2">
        <v>4</v>
      </c>
      <c r="H1141" s="3"/>
    </row>
    <row r="1142" spans="1:8" ht="12.75" hidden="1" x14ac:dyDescent="0.2">
      <c r="A1142" s="3" t="s">
        <v>160</v>
      </c>
      <c r="B1142" s="2">
        <v>24</v>
      </c>
      <c r="C1142" s="4" t="s">
        <v>54</v>
      </c>
      <c r="D1142" s="3" t="s">
        <v>162</v>
      </c>
      <c r="E1142" s="3" t="s">
        <v>139</v>
      </c>
      <c r="F1142" s="3" t="str">
        <f t="shared" si="0"/>
        <v>3 - Otros</v>
      </c>
      <c r="G1142" s="2">
        <v>3</v>
      </c>
      <c r="H1142" s="3"/>
    </row>
    <row r="1143" spans="1:8" ht="12.75" hidden="1" x14ac:dyDescent="0.2">
      <c r="A1143" s="3" t="s">
        <v>160</v>
      </c>
      <c r="B1143" s="2">
        <v>25</v>
      </c>
      <c r="C1143" s="4" t="s">
        <v>55</v>
      </c>
      <c r="D1143" s="3" t="s">
        <v>2</v>
      </c>
      <c r="E1143" s="3" t="s">
        <v>136</v>
      </c>
      <c r="F1143" s="3" t="str">
        <f t="shared" si="0"/>
        <v>1 - PJ</v>
      </c>
      <c r="G1143" s="2">
        <v>412</v>
      </c>
      <c r="H1143" s="3"/>
    </row>
    <row r="1144" spans="1:8" ht="12.75" hidden="1" x14ac:dyDescent="0.2">
      <c r="A1144" s="3" t="s">
        <v>160</v>
      </c>
      <c r="B1144" s="2">
        <v>25</v>
      </c>
      <c r="C1144" s="4" t="s">
        <v>55</v>
      </c>
      <c r="D1144" s="3" t="s">
        <v>2</v>
      </c>
      <c r="E1144" s="3" t="s">
        <v>148</v>
      </c>
      <c r="F1144" s="3" t="str">
        <f t="shared" si="0"/>
        <v>3 - Otros</v>
      </c>
      <c r="G1144" s="2">
        <v>270</v>
      </c>
      <c r="H1144" s="2">
        <f>SUM(G1143:G1146)</f>
        <v>700</v>
      </c>
    </row>
    <row r="1145" spans="1:8" ht="12.75" hidden="1" x14ac:dyDescent="0.2">
      <c r="A1145" s="3" t="s">
        <v>160</v>
      </c>
      <c r="B1145" s="2">
        <v>25</v>
      </c>
      <c r="C1145" s="4" t="s">
        <v>55</v>
      </c>
      <c r="D1145" s="3" t="s">
        <v>2</v>
      </c>
      <c r="E1145" s="3" t="s">
        <v>14</v>
      </c>
      <c r="F1145" s="3" t="str">
        <f t="shared" si="0"/>
        <v>4 - Blanco/Nulo</v>
      </c>
      <c r="G1145" s="2">
        <v>16</v>
      </c>
      <c r="H1145" s="3"/>
    </row>
    <row r="1146" spans="1:8" ht="12.75" hidden="1" x14ac:dyDescent="0.2">
      <c r="A1146" s="3" t="s">
        <v>160</v>
      </c>
      <c r="B1146" s="2">
        <v>25</v>
      </c>
      <c r="C1146" s="4" t="s">
        <v>55</v>
      </c>
      <c r="D1146" s="3" t="s">
        <v>2</v>
      </c>
      <c r="E1146" s="3" t="s">
        <v>138</v>
      </c>
      <c r="F1146" s="3" t="str">
        <f t="shared" si="0"/>
        <v>4 - Blanco/Nulo</v>
      </c>
      <c r="G1146" s="2">
        <v>2</v>
      </c>
      <c r="H1146" s="3"/>
    </row>
    <row r="1147" spans="1:8" ht="12.75" hidden="1" x14ac:dyDescent="0.2">
      <c r="A1147" s="3" t="s">
        <v>160</v>
      </c>
      <c r="B1147" s="2">
        <v>25</v>
      </c>
      <c r="C1147" s="4" t="s">
        <v>55</v>
      </c>
      <c r="D1147" s="3" t="s">
        <v>161</v>
      </c>
      <c r="E1147" s="3" t="s">
        <v>136</v>
      </c>
      <c r="F1147" s="3" t="str">
        <f t="shared" si="0"/>
        <v>1 - PJ</v>
      </c>
      <c r="G1147" s="2">
        <v>426</v>
      </c>
      <c r="H1147" s="3"/>
    </row>
    <row r="1148" spans="1:8" ht="12.75" hidden="1" x14ac:dyDescent="0.2">
      <c r="A1148" s="3" t="s">
        <v>160</v>
      </c>
      <c r="B1148" s="2">
        <v>25</v>
      </c>
      <c r="C1148" s="4" t="s">
        <v>55</v>
      </c>
      <c r="D1148" s="3" t="s">
        <v>161</v>
      </c>
      <c r="E1148" s="3" t="s">
        <v>148</v>
      </c>
      <c r="F1148" s="3" t="str">
        <f t="shared" si="0"/>
        <v>3 - Otros</v>
      </c>
      <c r="G1148" s="2">
        <v>194</v>
      </c>
      <c r="H1148" s="3"/>
    </row>
    <row r="1149" spans="1:8" ht="12.75" hidden="1" x14ac:dyDescent="0.2">
      <c r="A1149" s="3" t="s">
        <v>160</v>
      </c>
      <c r="B1149" s="2">
        <v>25</v>
      </c>
      <c r="C1149" s="4" t="s">
        <v>55</v>
      </c>
      <c r="D1149" s="3" t="s">
        <v>161</v>
      </c>
      <c r="E1149" s="3" t="s">
        <v>128</v>
      </c>
      <c r="F1149" s="3" t="str">
        <f t="shared" si="0"/>
        <v>2 - Frepam</v>
      </c>
      <c r="G1149" s="2">
        <v>55</v>
      </c>
      <c r="H1149" s="3"/>
    </row>
    <row r="1150" spans="1:8" ht="12.75" hidden="1" x14ac:dyDescent="0.2">
      <c r="A1150" s="3" t="s">
        <v>160</v>
      </c>
      <c r="B1150" s="2">
        <v>25</v>
      </c>
      <c r="C1150" s="4" t="s">
        <v>55</v>
      </c>
      <c r="D1150" s="3" t="s">
        <v>161</v>
      </c>
      <c r="E1150" s="3" t="s">
        <v>14</v>
      </c>
      <c r="F1150" s="3" t="str">
        <f t="shared" si="0"/>
        <v>4 - Blanco/Nulo</v>
      </c>
      <c r="G1150" s="2">
        <v>14</v>
      </c>
      <c r="H1150" s="3"/>
    </row>
    <row r="1151" spans="1:8" ht="12.75" hidden="1" x14ac:dyDescent="0.2">
      <c r="A1151" s="3" t="s">
        <v>160</v>
      </c>
      <c r="B1151" s="2">
        <v>25</v>
      </c>
      <c r="C1151" s="4" t="s">
        <v>55</v>
      </c>
      <c r="D1151" s="3" t="s">
        <v>161</v>
      </c>
      <c r="E1151" s="3" t="s">
        <v>149</v>
      </c>
      <c r="F1151" s="3" t="str">
        <f t="shared" si="0"/>
        <v>3 - Otros</v>
      </c>
      <c r="G1151" s="2">
        <v>4</v>
      </c>
      <c r="H1151" s="2">
        <f>SUM(G1147:G1155)</f>
        <v>700</v>
      </c>
    </row>
    <row r="1152" spans="1:8" ht="12.75" hidden="1" x14ac:dyDescent="0.2">
      <c r="A1152" s="3" t="s">
        <v>160</v>
      </c>
      <c r="B1152" s="2">
        <v>25</v>
      </c>
      <c r="C1152" s="4" t="s">
        <v>55</v>
      </c>
      <c r="D1152" s="3" t="s">
        <v>161</v>
      </c>
      <c r="E1152" s="3" t="s">
        <v>139</v>
      </c>
      <c r="F1152" s="3" t="str">
        <f t="shared" si="0"/>
        <v>3 - Otros</v>
      </c>
      <c r="G1152" s="2">
        <v>3</v>
      </c>
      <c r="H1152" s="3"/>
    </row>
    <row r="1153" spans="1:8" ht="12.75" hidden="1" x14ac:dyDescent="0.2">
      <c r="A1153" s="3" t="s">
        <v>160</v>
      </c>
      <c r="B1153" s="2">
        <v>25</v>
      </c>
      <c r="C1153" s="4" t="s">
        <v>55</v>
      </c>
      <c r="D1153" s="3" t="s">
        <v>161</v>
      </c>
      <c r="E1153" s="3" t="s">
        <v>138</v>
      </c>
      <c r="F1153" s="3" t="str">
        <f t="shared" si="0"/>
        <v>4 - Blanco/Nulo</v>
      </c>
      <c r="G1153" s="2">
        <v>2</v>
      </c>
      <c r="H1153" s="3"/>
    </row>
    <row r="1154" spans="1:8" ht="12.75" hidden="1" x14ac:dyDescent="0.2">
      <c r="A1154" s="3" t="s">
        <v>160</v>
      </c>
      <c r="B1154" s="2">
        <v>25</v>
      </c>
      <c r="C1154" s="4" t="s">
        <v>55</v>
      </c>
      <c r="D1154" s="3" t="s">
        <v>161</v>
      </c>
      <c r="E1154" s="3" t="s">
        <v>145</v>
      </c>
      <c r="F1154" s="3" t="str">
        <f t="shared" si="0"/>
        <v>3 - Otros</v>
      </c>
      <c r="G1154" s="2">
        <v>1</v>
      </c>
      <c r="H1154" s="3"/>
    </row>
    <row r="1155" spans="1:8" ht="12.75" hidden="1" x14ac:dyDescent="0.2">
      <c r="A1155" s="3" t="s">
        <v>160</v>
      </c>
      <c r="B1155" s="2">
        <v>25</v>
      </c>
      <c r="C1155" s="4" t="s">
        <v>55</v>
      </c>
      <c r="D1155" s="3" t="s">
        <v>161</v>
      </c>
      <c r="E1155" s="3" t="s">
        <v>133</v>
      </c>
      <c r="F1155" s="3" t="str">
        <f t="shared" si="0"/>
        <v>3 - Otros</v>
      </c>
      <c r="G1155" s="2">
        <v>1</v>
      </c>
      <c r="H1155" s="3"/>
    </row>
    <row r="1156" spans="1:8" ht="12.75" hidden="1" x14ac:dyDescent="0.2">
      <c r="A1156" s="3" t="s">
        <v>160</v>
      </c>
      <c r="B1156" s="2">
        <v>25</v>
      </c>
      <c r="C1156" s="4" t="s">
        <v>55</v>
      </c>
      <c r="D1156" s="3" t="s">
        <v>162</v>
      </c>
      <c r="E1156" s="3" t="s">
        <v>136</v>
      </c>
      <c r="F1156" s="3" t="str">
        <f t="shared" si="0"/>
        <v>1 - PJ</v>
      </c>
      <c r="G1156" s="2">
        <v>429</v>
      </c>
      <c r="H1156" s="3"/>
    </row>
    <row r="1157" spans="1:8" ht="12.75" hidden="1" x14ac:dyDescent="0.2">
      <c r="A1157" s="3" t="s">
        <v>160</v>
      </c>
      <c r="B1157" s="2">
        <v>25</v>
      </c>
      <c r="C1157" s="4" t="s">
        <v>55</v>
      </c>
      <c r="D1157" s="3" t="s">
        <v>162</v>
      </c>
      <c r="E1157" s="3" t="s">
        <v>148</v>
      </c>
      <c r="F1157" s="3" t="str">
        <f t="shared" si="0"/>
        <v>3 - Otros</v>
      </c>
      <c r="G1157" s="2">
        <v>191</v>
      </c>
      <c r="H1157" s="3"/>
    </row>
    <row r="1158" spans="1:8" ht="12.75" hidden="1" x14ac:dyDescent="0.2">
      <c r="A1158" s="3" t="s">
        <v>160</v>
      </c>
      <c r="B1158" s="2">
        <v>25</v>
      </c>
      <c r="C1158" s="4" t="s">
        <v>55</v>
      </c>
      <c r="D1158" s="3" t="s">
        <v>162</v>
      </c>
      <c r="E1158" s="3" t="s">
        <v>128</v>
      </c>
      <c r="F1158" s="3" t="str">
        <f t="shared" si="0"/>
        <v>2 - Frepam</v>
      </c>
      <c r="G1158" s="2">
        <v>56</v>
      </c>
      <c r="H1158" s="3"/>
    </row>
    <row r="1159" spans="1:8" ht="12.75" hidden="1" x14ac:dyDescent="0.2">
      <c r="A1159" s="3" t="s">
        <v>160</v>
      </c>
      <c r="B1159" s="2">
        <v>25</v>
      </c>
      <c r="C1159" s="4" t="s">
        <v>55</v>
      </c>
      <c r="D1159" s="3" t="s">
        <v>162</v>
      </c>
      <c r="E1159" s="3" t="s">
        <v>14</v>
      </c>
      <c r="F1159" s="3" t="str">
        <f t="shared" si="0"/>
        <v>4 - Blanco/Nulo</v>
      </c>
      <c r="G1159" s="2">
        <v>13</v>
      </c>
      <c r="H1159" s="3"/>
    </row>
    <row r="1160" spans="1:8" ht="12.75" hidden="1" x14ac:dyDescent="0.2">
      <c r="A1160" s="3" t="s">
        <v>160</v>
      </c>
      <c r="B1160" s="2">
        <v>25</v>
      </c>
      <c r="C1160" s="4" t="s">
        <v>55</v>
      </c>
      <c r="D1160" s="3" t="s">
        <v>162</v>
      </c>
      <c r="E1160" s="3" t="s">
        <v>149</v>
      </c>
      <c r="F1160" s="3" t="str">
        <f t="shared" si="0"/>
        <v>3 - Otros</v>
      </c>
      <c r="G1160" s="2">
        <v>4</v>
      </c>
      <c r="H1160" s="3"/>
    </row>
    <row r="1161" spans="1:8" ht="12.75" hidden="1" x14ac:dyDescent="0.2">
      <c r="A1161" s="3" t="s">
        <v>160</v>
      </c>
      <c r="B1161" s="2">
        <v>25</v>
      </c>
      <c r="C1161" s="4" t="s">
        <v>55</v>
      </c>
      <c r="D1161" s="3" t="s">
        <v>162</v>
      </c>
      <c r="E1161" s="3" t="s">
        <v>139</v>
      </c>
      <c r="F1161" s="3" t="str">
        <f t="shared" si="0"/>
        <v>3 - Otros</v>
      </c>
      <c r="G1161" s="2">
        <v>3</v>
      </c>
      <c r="H1161" s="2">
        <f>SUM(G1156:G1164)</f>
        <v>700</v>
      </c>
    </row>
    <row r="1162" spans="1:8" ht="12.75" hidden="1" x14ac:dyDescent="0.2">
      <c r="A1162" s="3" t="s">
        <v>160</v>
      </c>
      <c r="B1162" s="2">
        <v>25</v>
      </c>
      <c r="C1162" s="4" t="s">
        <v>55</v>
      </c>
      <c r="D1162" s="3" t="s">
        <v>162</v>
      </c>
      <c r="E1162" s="3" t="s">
        <v>138</v>
      </c>
      <c r="F1162" s="3" t="str">
        <f t="shared" si="0"/>
        <v>4 - Blanco/Nulo</v>
      </c>
      <c r="G1162" s="2">
        <v>2</v>
      </c>
      <c r="H1162" s="3"/>
    </row>
    <row r="1163" spans="1:8" ht="12.75" hidden="1" x14ac:dyDescent="0.2">
      <c r="A1163" s="3" t="s">
        <v>160</v>
      </c>
      <c r="B1163" s="2">
        <v>25</v>
      </c>
      <c r="C1163" s="4" t="s">
        <v>55</v>
      </c>
      <c r="D1163" s="3" t="s">
        <v>162</v>
      </c>
      <c r="E1163" s="3" t="s">
        <v>145</v>
      </c>
      <c r="F1163" s="3" t="str">
        <f t="shared" si="0"/>
        <v>3 - Otros</v>
      </c>
      <c r="G1163" s="2">
        <v>1</v>
      </c>
      <c r="H1163" s="3"/>
    </row>
    <row r="1164" spans="1:8" ht="12.75" hidden="1" x14ac:dyDescent="0.2">
      <c r="A1164" s="3" t="s">
        <v>160</v>
      </c>
      <c r="B1164" s="2">
        <v>25</v>
      </c>
      <c r="C1164" s="4" t="s">
        <v>55</v>
      </c>
      <c r="D1164" s="3" t="s">
        <v>162</v>
      </c>
      <c r="E1164" s="3" t="s">
        <v>133</v>
      </c>
      <c r="F1164" s="3" t="str">
        <f t="shared" si="0"/>
        <v>3 - Otros</v>
      </c>
      <c r="G1164" s="2">
        <v>1</v>
      </c>
      <c r="H1164" s="3"/>
    </row>
    <row r="1165" spans="1:8" ht="12.75" hidden="1" x14ac:dyDescent="0.2">
      <c r="A1165" s="3" t="s">
        <v>160</v>
      </c>
      <c r="B1165" s="2">
        <v>26</v>
      </c>
      <c r="C1165" s="4" t="s">
        <v>56</v>
      </c>
      <c r="D1165" s="3" t="s">
        <v>2</v>
      </c>
      <c r="E1165" s="3" t="s">
        <v>136</v>
      </c>
      <c r="F1165" s="3" t="str">
        <f t="shared" si="0"/>
        <v>1 - PJ</v>
      </c>
      <c r="G1165" s="2">
        <v>299</v>
      </c>
      <c r="H1165" s="3"/>
    </row>
    <row r="1166" spans="1:8" ht="12.75" hidden="1" x14ac:dyDescent="0.2">
      <c r="A1166" s="3" t="s">
        <v>160</v>
      </c>
      <c r="B1166" s="2">
        <v>26</v>
      </c>
      <c r="C1166" s="4" t="s">
        <v>56</v>
      </c>
      <c r="D1166" s="3" t="s">
        <v>2</v>
      </c>
      <c r="E1166" s="3" t="s">
        <v>14</v>
      </c>
      <c r="F1166" s="3" t="str">
        <f t="shared" si="0"/>
        <v>4 - Blanco/Nulo</v>
      </c>
      <c r="G1166" s="2">
        <v>96</v>
      </c>
      <c r="H1166" s="2">
        <f>SUM(G1165:G1166)</f>
        <v>395</v>
      </c>
    </row>
    <row r="1167" spans="1:8" ht="12.75" hidden="1" x14ac:dyDescent="0.2">
      <c r="A1167" s="3" t="s">
        <v>160</v>
      </c>
      <c r="B1167" s="2">
        <v>26</v>
      </c>
      <c r="C1167" s="4" t="s">
        <v>56</v>
      </c>
      <c r="D1167" s="3" t="s">
        <v>161</v>
      </c>
      <c r="E1167" s="3" t="s">
        <v>136</v>
      </c>
      <c r="F1167" s="3" t="str">
        <f t="shared" si="0"/>
        <v>1 - PJ</v>
      </c>
      <c r="G1167" s="2">
        <v>291</v>
      </c>
      <c r="H1167" s="3"/>
    </row>
    <row r="1168" spans="1:8" ht="12.75" hidden="1" x14ac:dyDescent="0.2">
      <c r="A1168" s="3" t="s">
        <v>160</v>
      </c>
      <c r="B1168" s="2">
        <v>26</v>
      </c>
      <c r="C1168" s="4" t="s">
        <v>56</v>
      </c>
      <c r="D1168" s="3" t="s">
        <v>161</v>
      </c>
      <c r="E1168" s="3" t="s">
        <v>128</v>
      </c>
      <c r="F1168" s="3" t="str">
        <f t="shared" si="0"/>
        <v>2 - Frepam</v>
      </c>
      <c r="G1168" s="2">
        <v>49</v>
      </c>
      <c r="H1168" s="3"/>
    </row>
    <row r="1169" spans="1:8" ht="12.75" hidden="1" x14ac:dyDescent="0.2">
      <c r="A1169" s="3" t="s">
        <v>160</v>
      </c>
      <c r="B1169" s="2">
        <v>26</v>
      </c>
      <c r="C1169" s="4" t="s">
        <v>56</v>
      </c>
      <c r="D1169" s="3" t="s">
        <v>161</v>
      </c>
      <c r="E1169" s="3" t="s">
        <v>14</v>
      </c>
      <c r="F1169" s="3" t="str">
        <f t="shared" si="0"/>
        <v>4 - Blanco/Nulo</v>
      </c>
      <c r="G1169" s="2">
        <v>19</v>
      </c>
      <c r="H1169" s="3"/>
    </row>
    <row r="1170" spans="1:8" ht="12.75" hidden="1" x14ac:dyDescent="0.2">
      <c r="A1170" s="3" t="s">
        <v>160</v>
      </c>
      <c r="B1170" s="2">
        <v>26</v>
      </c>
      <c r="C1170" s="4" t="s">
        <v>56</v>
      </c>
      <c r="D1170" s="3" t="s">
        <v>161</v>
      </c>
      <c r="E1170" s="3" t="s">
        <v>133</v>
      </c>
      <c r="F1170" s="3" t="str">
        <f t="shared" si="0"/>
        <v>3 - Otros</v>
      </c>
      <c r="G1170" s="2">
        <v>13</v>
      </c>
      <c r="H1170" s="3"/>
    </row>
    <row r="1171" spans="1:8" ht="12.75" hidden="1" x14ac:dyDescent="0.2">
      <c r="A1171" s="3" t="s">
        <v>160</v>
      </c>
      <c r="B1171" s="2">
        <v>26</v>
      </c>
      <c r="C1171" s="4" t="s">
        <v>56</v>
      </c>
      <c r="D1171" s="3" t="s">
        <v>161</v>
      </c>
      <c r="E1171" s="3" t="s">
        <v>148</v>
      </c>
      <c r="F1171" s="3" t="str">
        <f t="shared" si="0"/>
        <v>3 - Otros</v>
      </c>
      <c r="G1171" s="2">
        <v>9</v>
      </c>
      <c r="H1171" s="2">
        <f>SUM(G1167:G1175)</f>
        <v>395</v>
      </c>
    </row>
    <row r="1172" spans="1:8" ht="12.75" hidden="1" x14ac:dyDescent="0.2">
      <c r="A1172" s="3" t="s">
        <v>160</v>
      </c>
      <c r="B1172" s="2">
        <v>26</v>
      </c>
      <c r="C1172" s="4" t="s">
        <v>56</v>
      </c>
      <c r="D1172" s="3" t="s">
        <v>161</v>
      </c>
      <c r="E1172" s="3" t="s">
        <v>149</v>
      </c>
      <c r="F1172" s="3" t="str">
        <f t="shared" si="0"/>
        <v>3 - Otros</v>
      </c>
      <c r="G1172" s="2">
        <v>7</v>
      </c>
      <c r="H1172" s="3"/>
    </row>
    <row r="1173" spans="1:8" ht="12.75" hidden="1" x14ac:dyDescent="0.2">
      <c r="A1173" s="3" t="s">
        <v>160</v>
      </c>
      <c r="B1173" s="2">
        <v>26</v>
      </c>
      <c r="C1173" s="4" t="s">
        <v>56</v>
      </c>
      <c r="D1173" s="3" t="s">
        <v>161</v>
      </c>
      <c r="E1173" s="3" t="s">
        <v>135</v>
      </c>
      <c r="F1173" s="3" t="str">
        <f t="shared" si="0"/>
        <v>3 - Otros</v>
      </c>
      <c r="G1173" s="2">
        <v>3</v>
      </c>
      <c r="H1173" s="3"/>
    </row>
    <row r="1174" spans="1:8" ht="12.75" hidden="1" x14ac:dyDescent="0.2">
      <c r="A1174" s="3" t="s">
        <v>160</v>
      </c>
      <c r="B1174" s="2">
        <v>26</v>
      </c>
      <c r="C1174" s="4" t="s">
        <v>56</v>
      </c>
      <c r="D1174" s="3" t="s">
        <v>161</v>
      </c>
      <c r="E1174" s="3" t="s">
        <v>145</v>
      </c>
      <c r="F1174" s="3" t="str">
        <f t="shared" si="0"/>
        <v>3 - Otros</v>
      </c>
      <c r="G1174" s="2">
        <v>2</v>
      </c>
      <c r="H1174" s="3"/>
    </row>
    <row r="1175" spans="1:8" ht="12.75" hidden="1" x14ac:dyDescent="0.2">
      <c r="A1175" s="3" t="s">
        <v>160</v>
      </c>
      <c r="B1175" s="2">
        <v>26</v>
      </c>
      <c r="C1175" s="4" t="s">
        <v>56</v>
      </c>
      <c r="D1175" s="3" t="s">
        <v>161</v>
      </c>
      <c r="E1175" s="3" t="s">
        <v>139</v>
      </c>
      <c r="F1175" s="3" t="str">
        <f t="shared" si="0"/>
        <v>3 - Otros</v>
      </c>
      <c r="G1175" s="2">
        <v>2</v>
      </c>
      <c r="H1175" s="3"/>
    </row>
    <row r="1176" spans="1:8" ht="12.75" hidden="1" x14ac:dyDescent="0.2">
      <c r="A1176" s="3" t="s">
        <v>160</v>
      </c>
      <c r="B1176" s="2">
        <v>26</v>
      </c>
      <c r="C1176" s="4" t="s">
        <v>56</v>
      </c>
      <c r="D1176" s="3" t="s">
        <v>162</v>
      </c>
      <c r="E1176" s="3" t="s">
        <v>136</v>
      </c>
      <c r="F1176" s="3" t="str">
        <f t="shared" si="0"/>
        <v>1 - PJ</v>
      </c>
      <c r="G1176" s="2">
        <v>293</v>
      </c>
      <c r="H1176" s="3"/>
    </row>
    <row r="1177" spans="1:8" ht="12.75" hidden="1" x14ac:dyDescent="0.2">
      <c r="A1177" s="3" t="s">
        <v>160</v>
      </c>
      <c r="B1177" s="2">
        <v>26</v>
      </c>
      <c r="C1177" s="4" t="s">
        <v>56</v>
      </c>
      <c r="D1177" s="3" t="s">
        <v>162</v>
      </c>
      <c r="E1177" s="3" t="s">
        <v>128</v>
      </c>
      <c r="F1177" s="3" t="str">
        <f t="shared" si="0"/>
        <v>2 - Frepam</v>
      </c>
      <c r="G1177" s="2">
        <v>49</v>
      </c>
      <c r="H1177" s="3"/>
    </row>
    <row r="1178" spans="1:8" ht="12.75" hidden="1" x14ac:dyDescent="0.2">
      <c r="A1178" s="3" t="s">
        <v>160</v>
      </c>
      <c r="B1178" s="2">
        <v>26</v>
      </c>
      <c r="C1178" s="4" t="s">
        <v>56</v>
      </c>
      <c r="D1178" s="3" t="s">
        <v>162</v>
      </c>
      <c r="E1178" s="3" t="s">
        <v>14</v>
      </c>
      <c r="F1178" s="3" t="str">
        <f t="shared" si="0"/>
        <v>4 - Blanco/Nulo</v>
      </c>
      <c r="G1178" s="2">
        <v>16</v>
      </c>
      <c r="H1178" s="3"/>
    </row>
    <row r="1179" spans="1:8" ht="12.75" hidden="1" x14ac:dyDescent="0.2">
      <c r="A1179" s="3" t="s">
        <v>160</v>
      </c>
      <c r="B1179" s="2">
        <v>26</v>
      </c>
      <c r="C1179" s="4" t="s">
        <v>56</v>
      </c>
      <c r="D1179" s="3" t="s">
        <v>162</v>
      </c>
      <c r="E1179" s="3" t="s">
        <v>133</v>
      </c>
      <c r="F1179" s="3" t="str">
        <f t="shared" si="0"/>
        <v>3 - Otros</v>
      </c>
      <c r="G1179" s="2">
        <v>14</v>
      </c>
      <c r="H1179" s="3"/>
    </row>
    <row r="1180" spans="1:8" ht="12.75" hidden="1" x14ac:dyDescent="0.2">
      <c r="A1180" s="3" t="s">
        <v>160</v>
      </c>
      <c r="B1180" s="2">
        <v>26</v>
      </c>
      <c r="C1180" s="4" t="s">
        <v>56</v>
      </c>
      <c r="D1180" s="3" t="s">
        <v>162</v>
      </c>
      <c r="E1180" s="3" t="s">
        <v>148</v>
      </c>
      <c r="F1180" s="3" t="str">
        <f t="shared" si="0"/>
        <v>3 - Otros</v>
      </c>
      <c r="G1180" s="2">
        <v>9</v>
      </c>
      <c r="H1180" s="2">
        <f>SUM(G1176:G1184)</f>
        <v>395</v>
      </c>
    </row>
    <row r="1181" spans="1:8" ht="12.75" hidden="1" x14ac:dyDescent="0.2">
      <c r="A1181" s="3" t="s">
        <v>160</v>
      </c>
      <c r="B1181" s="2">
        <v>26</v>
      </c>
      <c r="C1181" s="4" t="s">
        <v>56</v>
      </c>
      <c r="D1181" s="3" t="s">
        <v>162</v>
      </c>
      <c r="E1181" s="3" t="s">
        <v>149</v>
      </c>
      <c r="F1181" s="3" t="str">
        <f t="shared" si="0"/>
        <v>3 - Otros</v>
      </c>
      <c r="G1181" s="2">
        <v>7</v>
      </c>
      <c r="H1181" s="3"/>
    </row>
    <row r="1182" spans="1:8" ht="12.75" hidden="1" x14ac:dyDescent="0.2">
      <c r="A1182" s="3" t="s">
        <v>160</v>
      </c>
      <c r="B1182" s="2">
        <v>26</v>
      </c>
      <c r="C1182" s="4" t="s">
        <v>56</v>
      </c>
      <c r="D1182" s="3" t="s">
        <v>162</v>
      </c>
      <c r="E1182" s="3" t="s">
        <v>135</v>
      </c>
      <c r="F1182" s="3" t="str">
        <f t="shared" si="0"/>
        <v>3 - Otros</v>
      </c>
      <c r="G1182" s="2">
        <v>3</v>
      </c>
      <c r="H1182" s="3"/>
    </row>
    <row r="1183" spans="1:8" ht="12.75" hidden="1" x14ac:dyDescent="0.2">
      <c r="A1183" s="3" t="s">
        <v>160</v>
      </c>
      <c r="B1183" s="2">
        <v>26</v>
      </c>
      <c r="C1183" s="4" t="s">
        <v>56</v>
      </c>
      <c r="D1183" s="3" t="s">
        <v>162</v>
      </c>
      <c r="E1183" s="3" t="s">
        <v>145</v>
      </c>
      <c r="F1183" s="3" t="str">
        <f t="shared" si="0"/>
        <v>3 - Otros</v>
      </c>
      <c r="G1183" s="2">
        <v>2</v>
      </c>
      <c r="H1183" s="3"/>
    </row>
    <row r="1184" spans="1:8" ht="12.75" hidden="1" x14ac:dyDescent="0.2">
      <c r="A1184" s="3" t="s">
        <v>160</v>
      </c>
      <c r="B1184" s="2">
        <v>26</v>
      </c>
      <c r="C1184" s="4" t="s">
        <v>56</v>
      </c>
      <c r="D1184" s="3" t="s">
        <v>162</v>
      </c>
      <c r="E1184" s="3" t="s">
        <v>139</v>
      </c>
      <c r="F1184" s="3" t="str">
        <f t="shared" si="0"/>
        <v>3 - Otros</v>
      </c>
      <c r="G1184" s="2">
        <v>2</v>
      </c>
      <c r="H1184" s="3"/>
    </row>
    <row r="1185" spans="1:8" ht="12.75" hidden="1" x14ac:dyDescent="0.2">
      <c r="A1185" s="3" t="s">
        <v>160</v>
      </c>
      <c r="B1185" s="2">
        <v>27</v>
      </c>
      <c r="C1185" s="4" t="s">
        <v>57</v>
      </c>
      <c r="D1185" s="3" t="s">
        <v>2</v>
      </c>
      <c r="E1185" s="3" t="s">
        <v>128</v>
      </c>
      <c r="F1185" s="3" t="str">
        <f t="shared" si="0"/>
        <v>2 - Frepam</v>
      </c>
      <c r="G1185" s="2">
        <v>3081</v>
      </c>
      <c r="H1185" s="3"/>
    </row>
    <row r="1186" spans="1:8" ht="12.75" hidden="1" x14ac:dyDescent="0.2">
      <c r="A1186" s="3" t="s">
        <v>160</v>
      </c>
      <c r="B1186" s="2">
        <v>27</v>
      </c>
      <c r="C1186" s="4" t="s">
        <v>57</v>
      </c>
      <c r="D1186" s="3" t="s">
        <v>2</v>
      </c>
      <c r="E1186" s="3" t="s">
        <v>3</v>
      </c>
      <c r="F1186" s="3" t="str">
        <f t="shared" si="0"/>
        <v>1 - PJ</v>
      </c>
      <c r="G1186" s="2">
        <v>2725</v>
      </c>
      <c r="H1186" s="2">
        <f>SUM(G1185:G1190)</f>
        <v>6934</v>
      </c>
    </row>
    <row r="1187" spans="1:8" ht="12.75" hidden="1" x14ac:dyDescent="0.2">
      <c r="A1187" s="3" t="s">
        <v>160</v>
      </c>
      <c r="B1187" s="2">
        <v>27</v>
      </c>
      <c r="C1187" s="4" t="s">
        <v>57</v>
      </c>
      <c r="D1187" s="3" t="s">
        <v>2</v>
      </c>
      <c r="E1187" s="3" t="s">
        <v>149</v>
      </c>
      <c r="F1187" s="3" t="str">
        <f t="shared" si="0"/>
        <v>3 - Otros</v>
      </c>
      <c r="G1187" s="2">
        <v>446</v>
      </c>
      <c r="H1187" s="3"/>
    </row>
    <row r="1188" spans="1:8" ht="12.75" hidden="1" x14ac:dyDescent="0.2">
      <c r="A1188" s="3" t="s">
        <v>160</v>
      </c>
      <c r="B1188" s="2">
        <v>27</v>
      </c>
      <c r="C1188" s="4" t="s">
        <v>57</v>
      </c>
      <c r="D1188" s="3" t="s">
        <v>2</v>
      </c>
      <c r="E1188" s="3" t="s">
        <v>148</v>
      </c>
      <c r="F1188" s="3" t="str">
        <f t="shared" si="0"/>
        <v>3 - Otros</v>
      </c>
      <c r="G1188" s="2">
        <v>389</v>
      </c>
      <c r="H1188" s="3"/>
    </row>
    <row r="1189" spans="1:8" ht="12.75" hidden="1" x14ac:dyDescent="0.2">
      <c r="A1189" s="3" t="s">
        <v>160</v>
      </c>
      <c r="B1189" s="2">
        <v>27</v>
      </c>
      <c r="C1189" s="4" t="s">
        <v>57</v>
      </c>
      <c r="D1189" s="3" t="s">
        <v>2</v>
      </c>
      <c r="E1189" s="3" t="s">
        <v>14</v>
      </c>
      <c r="F1189" s="3" t="str">
        <f t="shared" si="0"/>
        <v>4 - Blanco/Nulo</v>
      </c>
      <c r="G1189" s="2">
        <v>235</v>
      </c>
      <c r="H1189" s="3"/>
    </row>
    <row r="1190" spans="1:8" ht="12.75" hidden="1" x14ac:dyDescent="0.2">
      <c r="A1190" s="3" t="s">
        <v>160</v>
      </c>
      <c r="B1190" s="2">
        <v>27</v>
      </c>
      <c r="C1190" s="4" t="s">
        <v>57</v>
      </c>
      <c r="D1190" s="3" t="s">
        <v>2</v>
      </c>
      <c r="E1190" s="3" t="s">
        <v>138</v>
      </c>
      <c r="F1190" s="3" t="str">
        <f t="shared" si="0"/>
        <v>4 - Blanco/Nulo</v>
      </c>
      <c r="G1190" s="2">
        <v>58</v>
      </c>
      <c r="H1190" s="3"/>
    </row>
    <row r="1191" spans="1:8" ht="12.75" hidden="1" x14ac:dyDescent="0.2">
      <c r="A1191" s="3" t="s">
        <v>160</v>
      </c>
      <c r="B1191" s="2">
        <v>27</v>
      </c>
      <c r="C1191" s="4" t="s">
        <v>57</v>
      </c>
      <c r="D1191" s="3" t="s">
        <v>162</v>
      </c>
      <c r="E1191" s="3" t="s">
        <v>3</v>
      </c>
      <c r="F1191" s="3" t="str">
        <f t="shared" si="0"/>
        <v>1 - PJ</v>
      </c>
      <c r="G1191" s="2">
        <v>2903</v>
      </c>
      <c r="H1191" s="3"/>
    </row>
    <row r="1192" spans="1:8" ht="12.75" hidden="1" x14ac:dyDescent="0.2">
      <c r="A1192" s="3" t="s">
        <v>160</v>
      </c>
      <c r="B1192" s="2">
        <v>27</v>
      </c>
      <c r="C1192" s="4" t="s">
        <v>57</v>
      </c>
      <c r="D1192" s="3" t="s">
        <v>162</v>
      </c>
      <c r="E1192" s="3" t="s">
        <v>128</v>
      </c>
      <c r="F1192" s="3" t="str">
        <f t="shared" si="0"/>
        <v>2 - Frepam</v>
      </c>
      <c r="G1192" s="2">
        <v>2680</v>
      </c>
      <c r="H1192" s="3"/>
    </row>
    <row r="1193" spans="1:8" ht="12.75" hidden="1" x14ac:dyDescent="0.2">
      <c r="A1193" s="3" t="s">
        <v>160</v>
      </c>
      <c r="B1193" s="2">
        <v>27</v>
      </c>
      <c r="C1193" s="4" t="s">
        <v>57</v>
      </c>
      <c r="D1193" s="3" t="s">
        <v>162</v>
      </c>
      <c r="E1193" s="3" t="s">
        <v>149</v>
      </c>
      <c r="F1193" s="3" t="str">
        <f t="shared" si="0"/>
        <v>3 - Otros</v>
      </c>
      <c r="G1193" s="2">
        <v>390</v>
      </c>
      <c r="H1193" s="3"/>
    </row>
    <row r="1194" spans="1:8" ht="12.75" hidden="1" x14ac:dyDescent="0.2">
      <c r="A1194" s="3" t="s">
        <v>160</v>
      </c>
      <c r="B1194" s="2">
        <v>27</v>
      </c>
      <c r="C1194" s="4" t="s">
        <v>57</v>
      </c>
      <c r="D1194" s="3" t="s">
        <v>162</v>
      </c>
      <c r="E1194" s="3" t="s">
        <v>148</v>
      </c>
      <c r="F1194" s="3" t="str">
        <f t="shared" si="0"/>
        <v>3 - Otros</v>
      </c>
      <c r="G1194" s="2">
        <v>330</v>
      </c>
      <c r="H1194" s="3"/>
    </row>
    <row r="1195" spans="1:8" ht="12.75" hidden="1" x14ac:dyDescent="0.2">
      <c r="A1195" s="3" t="s">
        <v>160</v>
      </c>
      <c r="B1195" s="2">
        <v>27</v>
      </c>
      <c r="C1195" s="4" t="s">
        <v>57</v>
      </c>
      <c r="D1195" s="3" t="s">
        <v>162</v>
      </c>
      <c r="E1195" s="3" t="s">
        <v>133</v>
      </c>
      <c r="F1195" s="3" t="str">
        <f t="shared" si="0"/>
        <v>3 - Otros</v>
      </c>
      <c r="G1195" s="2">
        <v>275</v>
      </c>
      <c r="H1195" s="3"/>
    </row>
    <row r="1196" spans="1:8" ht="12.75" hidden="1" x14ac:dyDescent="0.2">
      <c r="A1196" s="3" t="s">
        <v>160</v>
      </c>
      <c r="B1196" s="2">
        <v>27</v>
      </c>
      <c r="C1196" s="4" t="s">
        <v>57</v>
      </c>
      <c r="D1196" s="3" t="s">
        <v>162</v>
      </c>
      <c r="E1196" s="3" t="s">
        <v>14</v>
      </c>
      <c r="F1196" s="3" t="str">
        <f t="shared" si="0"/>
        <v>4 - Blanco/Nulo</v>
      </c>
      <c r="G1196" s="2">
        <v>218</v>
      </c>
      <c r="H1196" s="2">
        <f>SUM(G1191:G1200)</f>
        <v>6934</v>
      </c>
    </row>
    <row r="1197" spans="1:8" ht="12.75" hidden="1" x14ac:dyDescent="0.2">
      <c r="A1197" s="3" t="s">
        <v>160</v>
      </c>
      <c r="B1197" s="2">
        <v>27</v>
      </c>
      <c r="C1197" s="4" t="s">
        <v>57</v>
      </c>
      <c r="D1197" s="3" t="s">
        <v>162</v>
      </c>
      <c r="E1197" s="3" t="s">
        <v>138</v>
      </c>
      <c r="F1197" s="3" t="str">
        <f t="shared" si="0"/>
        <v>4 - Blanco/Nulo</v>
      </c>
      <c r="G1197" s="2">
        <v>78</v>
      </c>
      <c r="H1197" s="3"/>
    </row>
    <row r="1198" spans="1:8" ht="12.75" hidden="1" x14ac:dyDescent="0.2">
      <c r="A1198" s="3" t="s">
        <v>160</v>
      </c>
      <c r="B1198" s="2">
        <v>27</v>
      </c>
      <c r="C1198" s="4" t="s">
        <v>57</v>
      </c>
      <c r="D1198" s="3" t="s">
        <v>162</v>
      </c>
      <c r="E1198" s="3" t="s">
        <v>145</v>
      </c>
      <c r="F1198" s="3" t="str">
        <f t="shared" si="0"/>
        <v>3 - Otros</v>
      </c>
      <c r="G1198" s="2">
        <v>26</v>
      </c>
      <c r="H1198" s="3"/>
    </row>
    <row r="1199" spans="1:8" ht="12.75" hidden="1" x14ac:dyDescent="0.2">
      <c r="A1199" s="3" t="s">
        <v>160</v>
      </c>
      <c r="B1199" s="2">
        <v>27</v>
      </c>
      <c r="C1199" s="4" t="s">
        <v>57</v>
      </c>
      <c r="D1199" s="3" t="s">
        <v>162</v>
      </c>
      <c r="E1199" s="3" t="s">
        <v>135</v>
      </c>
      <c r="F1199" s="3" t="str">
        <f t="shared" si="0"/>
        <v>3 - Otros</v>
      </c>
      <c r="G1199" s="2">
        <v>21</v>
      </c>
      <c r="H1199" s="3"/>
    </row>
    <row r="1200" spans="1:8" ht="12.75" hidden="1" x14ac:dyDescent="0.2">
      <c r="A1200" s="3" t="s">
        <v>160</v>
      </c>
      <c r="B1200" s="2">
        <v>27</v>
      </c>
      <c r="C1200" s="4" t="s">
        <v>57</v>
      </c>
      <c r="D1200" s="3" t="s">
        <v>162</v>
      </c>
      <c r="E1200" s="3" t="s">
        <v>139</v>
      </c>
      <c r="F1200" s="3" t="str">
        <f t="shared" si="0"/>
        <v>3 - Otros</v>
      </c>
      <c r="G1200" s="2">
        <v>13</v>
      </c>
      <c r="H1200" s="3"/>
    </row>
    <row r="1201" spans="1:8" ht="12.75" hidden="1" x14ac:dyDescent="0.2">
      <c r="A1201" s="3" t="s">
        <v>160</v>
      </c>
      <c r="B1201" s="2">
        <v>27</v>
      </c>
      <c r="C1201" s="4" t="s">
        <v>57</v>
      </c>
      <c r="D1201" s="3" t="s">
        <v>161</v>
      </c>
      <c r="E1201" s="3" t="s">
        <v>3</v>
      </c>
      <c r="F1201" s="3" t="str">
        <f t="shared" si="0"/>
        <v>1 - PJ</v>
      </c>
      <c r="G1201" s="2">
        <v>2770</v>
      </c>
      <c r="H1201" s="3"/>
    </row>
    <row r="1202" spans="1:8" ht="12.75" hidden="1" x14ac:dyDescent="0.2">
      <c r="A1202" s="3" t="s">
        <v>160</v>
      </c>
      <c r="B1202" s="2">
        <v>27</v>
      </c>
      <c r="C1202" s="4" t="s">
        <v>57</v>
      </c>
      <c r="D1202" s="3" t="s">
        <v>161</v>
      </c>
      <c r="E1202" s="3" t="s">
        <v>128</v>
      </c>
      <c r="F1202" s="3" t="str">
        <f t="shared" si="0"/>
        <v>2 - Frepam</v>
      </c>
      <c r="G1202" s="2">
        <v>2769</v>
      </c>
      <c r="H1202" s="3"/>
    </row>
    <row r="1203" spans="1:8" ht="12.75" hidden="1" x14ac:dyDescent="0.2">
      <c r="A1203" s="3" t="s">
        <v>160</v>
      </c>
      <c r="B1203" s="2">
        <v>27</v>
      </c>
      <c r="C1203" s="4" t="s">
        <v>57</v>
      </c>
      <c r="D1203" s="3" t="s">
        <v>161</v>
      </c>
      <c r="E1203" s="3" t="s">
        <v>149</v>
      </c>
      <c r="F1203" s="3" t="str">
        <f t="shared" si="0"/>
        <v>3 - Otros</v>
      </c>
      <c r="G1203" s="2">
        <v>399</v>
      </c>
      <c r="H1203" s="3"/>
    </row>
    <row r="1204" spans="1:8" ht="12.75" hidden="1" x14ac:dyDescent="0.2">
      <c r="A1204" s="3" t="s">
        <v>160</v>
      </c>
      <c r="B1204" s="2">
        <v>27</v>
      </c>
      <c r="C1204" s="4" t="s">
        <v>57</v>
      </c>
      <c r="D1204" s="3" t="s">
        <v>161</v>
      </c>
      <c r="E1204" s="3" t="s">
        <v>148</v>
      </c>
      <c r="F1204" s="3" t="str">
        <f t="shared" si="0"/>
        <v>3 - Otros</v>
      </c>
      <c r="G1204" s="2">
        <v>350</v>
      </c>
      <c r="H1204" s="3"/>
    </row>
    <row r="1205" spans="1:8" ht="12.75" hidden="1" x14ac:dyDescent="0.2">
      <c r="A1205" s="3" t="s">
        <v>160</v>
      </c>
      <c r="B1205" s="2">
        <v>27</v>
      </c>
      <c r="C1205" s="4" t="s">
        <v>57</v>
      </c>
      <c r="D1205" s="3" t="s">
        <v>161</v>
      </c>
      <c r="E1205" s="3" t="s">
        <v>14</v>
      </c>
      <c r="F1205" s="3" t="str">
        <f t="shared" si="0"/>
        <v>4 - Blanco/Nulo</v>
      </c>
      <c r="G1205" s="2">
        <v>297</v>
      </c>
      <c r="H1205" s="3"/>
    </row>
    <row r="1206" spans="1:8" ht="12.75" hidden="1" x14ac:dyDescent="0.2">
      <c r="A1206" s="3" t="s">
        <v>160</v>
      </c>
      <c r="B1206" s="2">
        <v>27</v>
      </c>
      <c r="C1206" s="4" t="s">
        <v>57</v>
      </c>
      <c r="D1206" s="3" t="s">
        <v>161</v>
      </c>
      <c r="E1206" s="3" t="s">
        <v>133</v>
      </c>
      <c r="F1206" s="3" t="str">
        <f t="shared" si="0"/>
        <v>3 - Otros</v>
      </c>
      <c r="G1206" s="2">
        <v>208</v>
      </c>
      <c r="H1206" s="2">
        <f>SUM(G1201:G1210)</f>
        <v>6934</v>
      </c>
    </row>
    <row r="1207" spans="1:8" ht="12.75" hidden="1" x14ac:dyDescent="0.2">
      <c r="A1207" s="3" t="s">
        <v>160</v>
      </c>
      <c r="B1207" s="2">
        <v>27</v>
      </c>
      <c r="C1207" s="4" t="s">
        <v>57</v>
      </c>
      <c r="D1207" s="3" t="s">
        <v>161</v>
      </c>
      <c r="E1207" s="3" t="s">
        <v>138</v>
      </c>
      <c r="F1207" s="3" t="str">
        <f t="shared" si="0"/>
        <v>4 - Blanco/Nulo</v>
      </c>
      <c r="G1207" s="2">
        <v>75</v>
      </c>
      <c r="H1207" s="3"/>
    </row>
    <row r="1208" spans="1:8" ht="12.75" hidden="1" x14ac:dyDescent="0.2">
      <c r="A1208" s="3" t="s">
        <v>160</v>
      </c>
      <c r="B1208" s="2">
        <v>27</v>
      </c>
      <c r="C1208" s="4" t="s">
        <v>57</v>
      </c>
      <c r="D1208" s="3" t="s">
        <v>161</v>
      </c>
      <c r="E1208" s="3" t="s">
        <v>145</v>
      </c>
      <c r="F1208" s="3" t="str">
        <f t="shared" si="0"/>
        <v>3 - Otros</v>
      </c>
      <c r="G1208" s="2">
        <v>28</v>
      </c>
      <c r="H1208" s="3"/>
    </row>
    <row r="1209" spans="1:8" ht="12.75" hidden="1" x14ac:dyDescent="0.2">
      <c r="A1209" s="3" t="s">
        <v>160</v>
      </c>
      <c r="B1209" s="2">
        <v>27</v>
      </c>
      <c r="C1209" s="4" t="s">
        <v>57</v>
      </c>
      <c r="D1209" s="3" t="s">
        <v>161</v>
      </c>
      <c r="E1209" s="3" t="s">
        <v>135</v>
      </c>
      <c r="F1209" s="3" t="str">
        <f t="shared" si="0"/>
        <v>3 - Otros</v>
      </c>
      <c r="G1209" s="2">
        <v>23</v>
      </c>
      <c r="H1209" s="3"/>
    </row>
    <row r="1210" spans="1:8" ht="12.75" hidden="1" x14ac:dyDescent="0.2">
      <c r="A1210" s="3" t="s">
        <v>160</v>
      </c>
      <c r="B1210" s="2">
        <v>27</v>
      </c>
      <c r="C1210" s="4" t="s">
        <v>57</v>
      </c>
      <c r="D1210" s="3" t="s">
        <v>161</v>
      </c>
      <c r="E1210" s="3" t="s">
        <v>139</v>
      </c>
      <c r="F1210" s="3" t="str">
        <f t="shared" si="0"/>
        <v>3 - Otros</v>
      </c>
      <c r="G1210" s="2">
        <v>15</v>
      </c>
      <c r="H1210" s="3"/>
    </row>
    <row r="1211" spans="1:8" ht="12.75" hidden="1" x14ac:dyDescent="0.2">
      <c r="A1211" s="3" t="s">
        <v>160</v>
      </c>
      <c r="B1211" s="2">
        <v>28</v>
      </c>
      <c r="C1211" s="4" t="s">
        <v>58</v>
      </c>
      <c r="D1211" s="3" t="s">
        <v>2</v>
      </c>
      <c r="E1211" s="3" t="s">
        <v>128</v>
      </c>
      <c r="F1211" s="3" t="str">
        <f t="shared" si="0"/>
        <v>2 - Frepam</v>
      </c>
      <c r="G1211" s="2">
        <v>137</v>
      </c>
      <c r="H1211" s="3"/>
    </row>
    <row r="1212" spans="1:8" ht="12.75" hidden="1" x14ac:dyDescent="0.2">
      <c r="A1212" s="3" t="s">
        <v>160</v>
      </c>
      <c r="B1212" s="2">
        <v>28</v>
      </c>
      <c r="C1212" s="4" t="s">
        <v>58</v>
      </c>
      <c r="D1212" s="3" t="s">
        <v>2</v>
      </c>
      <c r="E1212" s="3" t="s">
        <v>133</v>
      </c>
      <c r="F1212" s="3" t="str">
        <f t="shared" si="0"/>
        <v>3 - Otros</v>
      </c>
      <c r="G1212" s="2">
        <v>108</v>
      </c>
      <c r="H1212" s="3"/>
    </row>
    <row r="1213" spans="1:8" ht="12.75" hidden="1" x14ac:dyDescent="0.2">
      <c r="A1213" s="3" t="s">
        <v>160</v>
      </c>
      <c r="B1213" s="2">
        <v>28</v>
      </c>
      <c r="C1213" s="4" t="s">
        <v>58</v>
      </c>
      <c r="D1213" s="3" t="s">
        <v>2</v>
      </c>
      <c r="E1213" s="3" t="s">
        <v>136</v>
      </c>
      <c r="F1213" s="3" t="str">
        <f t="shared" si="0"/>
        <v>1 - PJ</v>
      </c>
      <c r="G1213" s="2">
        <v>78</v>
      </c>
      <c r="H1213" s="2">
        <f>SUM(G1211:G1215)</f>
        <v>326</v>
      </c>
    </row>
    <row r="1214" spans="1:8" ht="12.75" hidden="1" x14ac:dyDescent="0.2">
      <c r="A1214" s="3" t="s">
        <v>160</v>
      </c>
      <c r="B1214" s="2">
        <v>28</v>
      </c>
      <c r="C1214" s="4" t="s">
        <v>58</v>
      </c>
      <c r="D1214" s="3" t="s">
        <v>2</v>
      </c>
      <c r="E1214" s="3" t="s">
        <v>138</v>
      </c>
      <c r="F1214" s="3" t="str">
        <f t="shared" si="0"/>
        <v>4 - Blanco/Nulo</v>
      </c>
      <c r="G1214" s="2">
        <v>2</v>
      </c>
      <c r="H1214" s="3"/>
    </row>
    <row r="1215" spans="1:8" ht="12.75" hidden="1" x14ac:dyDescent="0.2">
      <c r="A1215" s="3" t="s">
        <v>160</v>
      </c>
      <c r="B1215" s="2">
        <v>28</v>
      </c>
      <c r="C1215" s="4" t="s">
        <v>58</v>
      </c>
      <c r="D1215" s="3" t="s">
        <v>2</v>
      </c>
      <c r="E1215" s="3" t="s">
        <v>14</v>
      </c>
      <c r="F1215" s="3" t="str">
        <f t="shared" si="0"/>
        <v>4 - Blanco/Nulo</v>
      </c>
      <c r="G1215" s="2">
        <v>1</v>
      </c>
      <c r="H1215" s="3"/>
    </row>
    <row r="1216" spans="1:8" ht="12.75" hidden="1" x14ac:dyDescent="0.2">
      <c r="A1216" s="3" t="s">
        <v>160</v>
      </c>
      <c r="B1216" s="2">
        <v>28</v>
      </c>
      <c r="C1216" s="4" t="s">
        <v>58</v>
      </c>
      <c r="D1216" s="3" t="s">
        <v>161</v>
      </c>
      <c r="E1216" s="3" t="s">
        <v>128</v>
      </c>
      <c r="F1216" s="3" t="str">
        <f t="shared" si="0"/>
        <v>2 - Frepam</v>
      </c>
      <c r="G1216" s="2">
        <v>129</v>
      </c>
      <c r="H1216" s="3"/>
    </row>
    <row r="1217" spans="1:8" ht="12.75" hidden="1" x14ac:dyDescent="0.2">
      <c r="A1217" s="3" t="s">
        <v>160</v>
      </c>
      <c r="B1217" s="2">
        <v>28</v>
      </c>
      <c r="C1217" s="4" t="s">
        <v>58</v>
      </c>
      <c r="D1217" s="3" t="s">
        <v>161</v>
      </c>
      <c r="E1217" s="3" t="s">
        <v>136</v>
      </c>
      <c r="F1217" s="3" t="str">
        <f t="shared" si="0"/>
        <v>1 - PJ</v>
      </c>
      <c r="G1217" s="2">
        <v>94</v>
      </c>
      <c r="H1217" s="3"/>
    </row>
    <row r="1218" spans="1:8" ht="12.75" hidden="1" x14ac:dyDescent="0.2">
      <c r="A1218" s="3" t="s">
        <v>160</v>
      </c>
      <c r="B1218" s="2">
        <v>28</v>
      </c>
      <c r="C1218" s="4" t="s">
        <v>58</v>
      </c>
      <c r="D1218" s="3" t="s">
        <v>161</v>
      </c>
      <c r="E1218" s="3" t="s">
        <v>133</v>
      </c>
      <c r="F1218" s="3" t="str">
        <f t="shared" si="0"/>
        <v>3 - Otros</v>
      </c>
      <c r="G1218" s="2">
        <v>73</v>
      </c>
      <c r="H1218" s="3"/>
    </row>
    <row r="1219" spans="1:8" ht="12.75" hidden="1" x14ac:dyDescent="0.2">
      <c r="A1219" s="3" t="s">
        <v>160</v>
      </c>
      <c r="B1219" s="2">
        <v>28</v>
      </c>
      <c r="C1219" s="4" t="s">
        <v>58</v>
      </c>
      <c r="D1219" s="3" t="s">
        <v>161</v>
      </c>
      <c r="E1219" s="3" t="s">
        <v>14</v>
      </c>
      <c r="F1219" s="3" t="str">
        <f t="shared" si="0"/>
        <v>4 - Blanco/Nulo</v>
      </c>
      <c r="G1219" s="2">
        <v>21</v>
      </c>
      <c r="H1219" s="3"/>
    </row>
    <row r="1220" spans="1:8" ht="12.75" hidden="1" x14ac:dyDescent="0.2">
      <c r="A1220" s="3" t="s">
        <v>160</v>
      </c>
      <c r="B1220" s="2">
        <v>28</v>
      </c>
      <c r="C1220" s="4" t="s">
        <v>58</v>
      </c>
      <c r="D1220" s="3" t="s">
        <v>161</v>
      </c>
      <c r="E1220" s="3" t="s">
        <v>138</v>
      </c>
      <c r="F1220" s="3" t="str">
        <f t="shared" si="0"/>
        <v>4 - Blanco/Nulo</v>
      </c>
      <c r="G1220" s="2">
        <v>5</v>
      </c>
      <c r="H1220" s="2">
        <f>SUM(G1216:G1223)</f>
        <v>326</v>
      </c>
    </row>
    <row r="1221" spans="1:8" ht="12.75" hidden="1" x14ac:dyDescent="0.2">
      <c r="A1221" s="3" t="s">
        <v>160</v>
      </c>
      <c r="B1221" s="2">
        <v>28</v>
      </c>
      <c r="C1221" s="4" t="s">
        <v>58</v>
      </c>
      <c r="D1221" s="3" t="s">
        <v>161</v>
      </c>
      <c r="E1221" s="3" t="s">
        <v>139</v>
      </c>
      <c r="F1221" s="3" t="str">
        <f t="shared" si="0"/>
        <v>3 - Otros</v>
      </c>
      <c r="G1221" s="2">
        <v>2</v>
      </c>
      <c r="H1221" s="3"/>
    </row>
    <row r="1222" spans="1:8" ht="12.75" hidden="1" x14ac:dyDescent="0.2">
      <c r="A1222" s="3" t="s">
        <v>160</v>
      </c>
      <c r="B1222" s="2">
        <v>28</v>
      </c>
      <c r="C1222" s="4" t="s">
        <v>58</v>
      </c>
      <c r="D1222" s="3" t="s">
        <v>161</v>
      </c>
      <c r="E1222" s="3" t="s">
        <v>149</v>
      </c>
      <c r="F1222" s="3" t="str">
        <f t="shared" si="0"/>
        <v>3 - Otros</v>
      </c>
      <c r="G1222" s="2">
        <v>1</v>
      </c>
      <c r="H1222" s="3"/>
    </row>
    <row r="1223" spans="1:8" ht="12.75" hidden="1" x14ac:dyDescent="0.2">
      <c r="A1223" s="3" t="s">
        <v>160</v>
      </c>
      <c r="B1223" s="2">
        <v>28</v>
      </c>
      <c r="C1223" s="4" t="s">
        <v>58</v>
      </c>
      <c r="D1223" s="3" t="s">
        <v>161</v>
      </c>
      <c r="E1223" s="3" t="s">
        <v>148</v>
      </c>
      <c r="F1223" s="3" t="str">
        <f t="shared" si="0"/>
        <v>3 - Otros</v>
      </c>
      <c r="G1223" s="2">
        <v>1</v>
      </c>
      <c r="H1223" s="3"/>
    </row>
    <row r="1224" spans="1:8" ht="12.75" hidden="1" x14ac:dyDescent="0.2">
      <c r="A1224" s="3" t="s">
        <v>160</v>
      </c>
      <c r="B1224" s="2">
        <v>28</v>
      </c>
      <c r="C1224" s="4" t="s">
        <v>58</v>
      </c>
      <c r="D1224" s="3" t="s">
        <v>162</v>
      </c>
      <c r="E1224" s="3" t="s">
        <v>128</v>
      </c>
      <c r="F1224" s="3" t="str">
        <f t="shared" si="0"/>
        <v>2 - Frepam</v>
      </c>
      <c r="G1224" s="2">
        <v>131</v>
      </c>
      <c r="H1224" s="3"/>
    </row>
    <row r="1225" spans="1:8" ht="12.75" hidden="1" x14ac:dyDescent="0.2">
      <c r="A1225" s="3" t="s">
        <v>160</v>
      </c>
      <c r="B1225" s="2">
        <v>28</v>
      </c>
      <c r="C1225" s="4" t="s">
        <v>58</v>
      </c>
      <c r="D1225" s="3" t="s">
        <v>162</v>
      </c>
      <c r="E1225" s="3" t="s">
        <v>136</v>
      </c>
      <c r="F1225" s="3" t="str">
        <f t="shared" si="0"/>
        <v>1 - PJ</v>
      </c>
      <c r="G1225" s="2">
        <v>107</v>
      </c>
      <c r="H1225" s="3"/>
    </row>
    <row r="1226" spans="1:8" ht="12.75" hidden="1" x14ac:dyDescent="0.2">
      <c r="A1226" s="3" t="s">
        <v>160</v>
      </c>
      <c r="B1226" s="2">
        <v>28</v>
      </c>
      <c r="C1226" s="4" t="s">
        <v>58</v>
      </c>
      <c r="D1226" s="3" t="s">
        <v>162</v>
      </c>
      <c r="E1226" s="3" t="s">
        <v>133</v>
      </c>
      <c r="F1226" s="3" t="str">
        <f t="shared" si="0"/>
        <v>3 - Otros</v>
      </c>
      <c r="G1226" s="2">
        <v>71</v>
      </c>
      <c r="H1226" s="2">
        <f>SUM(G1224:G1229)</f>
        <v>326</v>
      </c>
    </row>
    <row r="1227" spans="1:8" ht="12.75" hidden="1" x14ac:dyDescent="0.2">
      <c r="A1227" s="3" t="s">
        <v>160</v>
      </c>
      <c r="B1227" s="2">
        <v>28</v>
      </c>
      <c r="C1227" s="4" t="s">
        <v>58</v>
      </c>
      <c r="D1227" s="3" t="s">
        <v>162</v>
      </c>
      <c r="E1227" s="3" t="s">
        <v>148</v>
      </c>
      <c r="F1227" s="3" t="str">
        <f t="shared" si="0"/>
        <v>3 - Otros</v>
      </c>
      <c r="G1227" s="2">
        <v>10</v>
      </c>
      <c r="H1227" s="3"/>
    </row>
    <row r="1228" spans="1:8" ht="12.75" hidden="1" x14ac:dyDescent="0.2">
      <c r="A1228" s="3" t="s">
        <v>160</v>
      </c>
      <c r="B1228" s="2">
        <v>28</v>
      </c>
      <c r="C1228" s="4" t="s">
        <v>58</v>
      </c>
      <c r="D1228" s="3" t="s">
        <v>162</v>
      </c>
      <c r="E1228" s="3" t="s">
        <v>138</v>
      </c>
      <c r="F1228" s="3" t="str">
        <f t="shared" si="0"/>
        <v>4 - Blanco/Nulo</v>
      </c>
      <c r="G1228" s="2">
        <v>5</v>
      </c>
      <c r="H1228" s="3"/>
    </row>
    <row r="1229" spans="1:8" ht="12.75" hidden="1" x14ac:dyDescent="0.2">
      <c r="A1229" s="3" t="s">
        <v>160</v>
      </c>
      <c r="B1229" s="2">
        <v>28</v>
      </c>
      <c r="C1229" s="4" t="s">
        <v>58</v>
      </c>
      <c r="D1229" s="3" t="s">
        <v>162</v>
      </c>
      <c r="E1229" s="3" t="s">
        <v>14</v>
      </c>
      <c r="F1229" s="3" t="str">
        <f t="shared" si="0"/>
        <v>4 - Blanco/Nulo</v>
      </c>
      <c r="G1229" s="2">
        <v>2</v>
      </c>
      <c r="H1229" s="3"/>
    </row>
    <row r="1230" spans="1:8" ht="12.75" hidden="1" x14ac:dyDescent="0.2">
      <c r="A1230" s="3" t="s">
        <v>160</v>
      </c>
      <c r="B1230" s="2">
        <v>29</v>
      </c>
      <c r="C1230" s="4" t="s">
        <v>59</v>
      </c>
      <c r="D1230" s="3" t="s">
        <v>2</v>
      </c>
      <c r="E1230" s="3" t="s">
        <v>150</v>
      </c>
      <c r="F1230" s="3" t="str">
        <f t="shared" si="0"/>
        <v>3 - Otros</v>
      </c>
      <c r="G1230" s="2">
        <v>250</v>
      </c>
      <c r="H1230" s="3"/>
    </row>
    <row r="1231" spans="1:8" ht="12.75" hidden="1" x14ac:dyDescent="0.2">
      <c r="A1231" s="3" t="s">
        <v>160</v>
      </c>
      <c r="B1231" s="2">
        <v>29</v>
      </c>
      <c r="C1231" s="4" t="s">
        <v>59</v>
      </c>
      <c r="D1231" s="3" t="s">
        <v>2</v>
      </c>
      <c r="E1231" s="3" t="s">
        <v>136</v>
      </c>
      <c r="F1231" s="3" t="str">
        <f t="shared" si="0"/>
        <v>1 - PJ</v>
      </c>
      <c r="G1231" s="2">
        <v>186</v>
      </c>
      <c r="H1231" s="2">
        <f>SUM(G1230:G1233)</f>
        <v>447</v>
      </c>
    </row>
    <row r="1232" spans="1:8" ht="12.75" hidden="1" x14ac:dyDescent="0.2">
      <c r="A1232" s="3" t="s">
        <v>160</v>
      </c>
      <c r="B1232" s="2">
        <v>29</v>
      </c>
      <c r="C1232" s="4" t="s">
        <v>59</v>
      </c>
      <c r="D1232" s="3" t="s">
        <v>2</v>
      </c>
      <c r="E1232" s="3" t="s">
        <v>14</v>
      </c>
      <c r="F1232" s="3" t="str">
        <f t="shared" si="0"/>
        <v>4 - Blanco/Nulo</v>
      </c>
      <c r="G1232" s="2">
        <v>10</v>
      </c>
      <c r="H1232" s="3"/>
    </row>
    <row r="1233" spans="1:8" ht="12.75" hidden="1" x14ac:dyDescent="0.2">
      <c r="A1233" s="3" t="s">
        <v>160</v>
      </c>
      <c r="B1233" s="2">
        <v>29</v>
      </c>
      <c r="C1233" s="4" t="s">
        <v>59</v>
      </c>
      <c r="D1233" s="3" t="s">
        <v>2</v>
      </c>
      <c r="E1233" s="3" t="s">
        <v>138</v>
      </c>
      <c r="F1233" s="3" t="str">
        <f t="shared" si="0"/>
        <v>4 - Blanco/Nulo</v>
      </c>
      <c r="G1233" s="2">
        <v>1</v>
      </c>
      <c r="H1233" s="3"/>
    </row>
    <row r="1234" spans="1:8" ht="12.75" hidden="1" x14ac:dyDescent="0.2">
      <c r="A1234" s="3" t="s">
        <v>160</v>
      </c>
      <c r="B1234" s="2">
        <v>29</v>
      </c>
      <c r="C1234" s="4" t="s">
        <v>59</v>
      </c>
      <c r="D1234" s="3" t="s">
        <v>161</v>
      </c>
      <c r="E1234" s="3" t="s">
        <v>136</v>
      </c>
      <c r="F1234" s="3" t="str">
        <f t="shared" si="0"/>
        <v>1 - PJ</v>
      </c>
      <c r="G1234" s="2">
        <v>218</v>
      </c>
      <c r="H1234" s="3"/>
    </row>
    <row r="1235" spans="1:8" ht="12.75" hidden="1" x14ac:dyDescent="0.2">
      <c r="A1235" s="3" t="s">
        <v>160</v>
      </c>
      <c r="B1235" s="2">
        <v>29</v>
      </c>
      <c r="C1235" s="4" t="s">
        <v>59</v>
      </c>
      <c r="D1235" s="3" t="s">
        <v>161</v>
      </c>
      <c r="E1235" s="3" t="s">
        <v>128</v>
      </c>
      <c r="F1235" s="3" t="str">
        <f t="shared" si="0"/>
        <v>2 - Frepam</v>
      </c>
      <c r="G1235" s="2">
        <v>104</v>
      </c>
      <c r="H1235" s="3"/>
    </row>
    <row r="1236" spans="1:8" ht="12.75" hidden="1" x14ac:dyDescent="0.2">
      <c r="A1236" s="3" t="s">
        <v>160</v>
      </c>
      <c r="B1236" s="2">
        <v>29</v>
      </c>
      <c r="C1236" s="4" t="s">
        <v>59</v>
      </c>
      <c r="D1236" s="3" t="s">
        <v>161</v>
      </c>
      <c r="E1236" s="3" t="s">
        <v>14</v>
      </c>
      <c r="F1236" s="3" t="str">
        <f t="shared" si="0"/>
        <v>4 - Blanco/Nulo</v>
      </c>
      <c r="G1236" s="2">
        <v>86</v>
      </c>
      <c r="H1236" s="3"/>
    </row>
    <row r="1237" spans="1:8" ht="12.75" hidden="1" x14ac:dyDescent="0.2">
      <c r="A1237" s="3" t="s">
        <v>160</v>
      </c>
      <c r="B1237" s="2">
        <v>29</v>
      </c>
      <c r="C1237" s="4" t="s">
        <v>59</v>
      </c>
      <c r="D1237" s="3" t="s">
        <v>161</v>
      </c>
      <c r="E1237" s="3" t="s">
        <v>133</v>
      </c>
      <c r="F1237" s="3" t="str">
        <f t="shared" si="0"/>
        <v>3 - Otros</v>
      </c>
      <c r="G1237" s="2">
        <v>18</v>
      </c>
      <c r="H1237" s="3"/>
    </row>
    <row r="1238" spans="1:8" ht="12.75" hidden="1" x14ac:dyDescent="0.2">
      <c r="A1238" s="3" t="s">
        <v>160</v>
      </c>
      <c r="B1238" s="2">
        <v>29</v>
      </c>
      <c r="C1238" s="4" t="s">
        <v>59</v>
      </c>
      <c r="D1238" s="3" t="s">
        <v>161</v>
      </c>
      <c r="E1238" s="3" t="s">
        <v>148</v>
      </c>
      <c r="F1238" s="3" t="str">
        <f t="shared" si="0"/>
        <v>3 - Otros</v>
      </c>
      <c r="G1238" s="2">
        <v>12</v>
      </c>
      <c r="H1238" s="2">
        <f>SUM(G1234:G1241)</f>
        <v>447</v>
      </c>
    </row>
    <row r="1239" spans="1:8" ht="12.75" hidden="1" x14ac:dyDescent="0.2">
      <c r="A1239" s="3" t="s">
        <v>160</v>
      </c>
      <c r="B1239" s="2">
        <v>29</v>
      </c>
      <c r="C1239" s="4" t="s">
        <v>59</v>
      </c>
      <c r="D1239" s="3" t="s">
        <v>161</v>
      </c>
      <c r="E1239" s="3" t="s">
        <v>138</v>
      </c>
      <c r="F1239" s="3" t="str">
        <f t="shared" si="0"/>
        <v>4 - Blanco/Nulo</v>
      </c>
      <c r="G1239" s="2">
        <v>5</v>
      </c>
      <c r="H1239" s="3"/>
    </row>
    <row r="1240" spans="1:8" ht="12.75" hidden="1" x14ac:dyDescent="0.2">
      <c r="A1240" s="3" t="s">
        <v>160</v>
      </c>
      <c r="B1240" s="2">
        <v>29</v>
      </c>
      <c r="C1240" s="4" t="s">
        <v>59</v>
      </c>
      <c r="D1240" s="3" t="s">
        <v>161</v>
      </c>
      <c r="E1240" s="3" t="s">
        <v>139</v>
      </c>
      <c r="F1240" s="3" t="str">
        <f t="shared" si="0"/>
        <v>3 - Otros</v>
      </c>
      <c r="G1240" s="2">
        <v>2</v>
      </c>
      <c r="H1240" s="3"/>
    </row>
    <row r="1241" spans="1:8" ht="12.75" hidden="1" x14ac:dyDescent="0.2">
      <c r="A1241" s="3" t="s">
        <v>160</v>
      </c>
      <c r="B1241" s="2">
        <v>29</v>
      </c>
      <c r="C1241" s="4" t="s">
        <v>59</v>
      </c>
      <c r="D1241" s="3" t="s">
        <v>161</v>
      </c>
      <c r="E1241" s="3" t="s">
        <v>145</v>
      </c>
      <c r="F1241" s="3" t="str">
        <f t="shared" si="0"/>
        <v>3 - Otros</v>
      </c>
      <c r="G1241" s="2">
        <v>2</v>
      </c>
      <c r="H1241" s="3"/>
    </row>
    <row r="1242" spans="1:8" ht="12.75" hidden="1" x14ac:dyDescent="0.2">
      <c r="A1242" s="3" t="s">
        <v>160</v>
      </c>
      <c r="B1242" s="2">
        <v>29</v>
      </c>
      <c r="C1242" s="4" t="s">
        <v>59</v>
      </c>
      <c r="D1242" s="3" t="s">
        <v>162</v>
      </c>
      <c r="E1242" s="3" t="s">
        <v>136</v>
      </c>
      <c r="F1242" s="3" t="str">
        <f t="shared" si="0"/>
        <v>1 - PJ</v>
      </c>
      <c r="G1242" s="2">
        <v>229</v>
      </c>
      <c r="H1242" s="3"/>
    </row>
    <row r="1243" spans="1:8" ht="12.75" hidden="1" x14ac:dyDescent="0.2">
      <c r="A1243" s="3" t="s">
        <v>160</v>
      </c>
      <c r="B1243" s="2">
        <v>29</v>
      </c>
      <c r="C1243" s="4" t="s">
        <v>59</v>
      </c>
      <c r="D1243" s="3" t="s">
        <v>162</v>
      </c>
      <c r="E1243" s="3" t="s">
        <v>128</v>
      </c>
      <c r="F1243" s="3" t="str">
        <f t="shared" si="0"/>
        <v>2 - Frepam</v>
      </c>
      <c r="G1243" s="2">
        <v>104</v>
      </c>
      <c r="H1243" s="3"/>
    </row>
    <row r="1244" spans="1:8" ht="12.75" hidden="1" x14ac:dyDescent="0.2">
      <c r="A1244" s="3" t="s">
        <v>160</v>
      </c>
      <c r="B1244" s="2">
        <v>29</v>
      </c>
      <c r="C1244" s="4" t="s">
        <v>59</v>
      </c>
      <c r="D1244" s="3" t="s">
        <v>162</v>
      </c>
      <c r="E1244" s="3" t="s">
        <v>14</v>
      </c>
      <c r="F1244" s="3" t="str">
        <f t="shared" si="0"/>
        <v>4 - Blanco/Nulo</v>
      </c>
      <c r="G1244" s="2">
        <v>72</v>
      </c>
      <c r="H1244" s="3"/>
    </row>
    <row r="1245" spans="1:8" ht="12.75" hidden="1" x14ac:dyDescent="0.2">
      <c r="A1245" s="3" t="s">
        <v>160</v>
      </c>
      <c r="B1245" s="2">
        <v>29</v>
      </c>
      <c r="C1245" s="4" t="s">
        <v>59</v>
      </c>
      <c r="D1245" s="3" t="s">
        <v>162</v>
      </c>
      <c r="E1245" s="3" t="s">
        <v>133</v>
      </c>
      <c r="F1245" s="3" t="str">
        <f t="shared" si="0"/>
        <v>3 - Otros</v>
      </c>
      <c r="G1245" s="2">
        <v>21</v>
      </c>
      <c r="H1245" s="2">
        <f>SUM(G1242:G1249)</f>
        <v>447</v>
      </c>
    </row>
    <row r="1246" spans="1:8" ht="12.75" hidden="1" x14ac:dyDescent="0.2">
      <c r="A1246" s="3" t="s">
        <v>160</v>
      </c>
      <c r="B1246" s="2">
        <v>29</v>
      </c>
      <c r="C1246" s="4" t="s">
        <v>59</v>
      </c>
      <c r="D1246" s="3" t="s">
        <v>162</v>
      </c>
      <c r="E1246" s="3" t="s">
        <v>148</v>
      </c>
      <c r="F1246" s="3" t="str">
        <f t="shared" si="0"/>
        <v>3 - Otros</v>
      </c>
      <c r="G1246" s="2">
        <v>13</v>
      </c>
      <c r="H1246" s="3"/>
    </row>
    <row r="1247" spans="1:8" ht="12.75" hidden="1" x14ac:dyDescent="0.2">
      <c r="A1247" s="3" t="s">
        <v>160</v>
      </c>
      <c r="B1247" s="2">
        <v>29</v>
      </c>
      <c r="C1247" s="4" t="s">
        <v>59</v>
      </c>
      <c r="D1247" s="3" t="s">
        <v>162</v>
      </c>
      <c r="E1247" s="3" t="s">
        <v>138</v>
      </c>
      <c r="F1247" s="3" t="str">
        <f t="shared" si="0"/>
        <v>4 - Blanco/Nulo</v>
      </c>
      <c r="G1247" s="2">
        <v>4</v>
      </c>
      <c r="H1247" s="3"/>
    </row>
    <row r="1248" spans="1:8" ht="12.75" hidden="1" x14ac:dyDescent="0.2">
      <c r="A1248" s="3" t="s">
        <v>160</v>
      </c>
      <c r="B1248" s="2">
        <v>29</v>
      </c>
      <c r="C1248" s="4" t="s">
        <v>59</v>
      </c>
      <c r="D1248" s="3" t="s">
        <v>162</v>
      </c>
      <c r="E1248" s="3" t="s">
        <v>139</v>
      </c>
      <c r="F1248" s="3" t="str">
        <f t="shared" si="0"/>
        <v>3 - Otros</v>
      </c>
      <c r="G1248" s="2">
        <v>2</v>
      </c>
      <c r="H1248" s="3"/>
    </row>
    <row r="1249" spans="1:8" ht="12.75" hidden="1" x14ac:dyDescent="0.2">
      <c r="A1249" s="3" t="s">
        <v>160</v>
      </c>
      <c r="B1249" s="2">
        <v>29</v>
      </c>
      <c r="C1249" s="4" t="s">
        <v>59</v>
      </c>
      <c r="D1249" s="3" t="s">
        <v>162</v>
      </c>
      <c r="E1249" s="3" t="s">
        <v>145</v>
      </c>
      <c r="F1249" s="3" t="str">
        <f t="shared" si="0"/>
        <v>3 - Otros</v>
      </c>
      <c r="G1249" s="2">
        <v>2</v>
      </c>
      <c r="H1249" s="3"/>
    </row>
    <row r="1250" spans="1:8" ht="12.75" hidden="1" x14ac:dyDescent="0.2">
      <c r="A1250" s="3" t="s">
        <v>160</v>
      </c>
      <c r="B1250" s="2">
        <v>30</v>
      </c>
      <c r="C1250" s="4" t="s">
        <v>60</v>
      </c>
      <c r="D1250" s="3" t="s">
        <v>15</v>
      </c>
      <c r="E1250" s="3" t="s">
        <v>136</v>
      </c>
      <c r="F1250" s="3" t="str">
        <f t="shared" si="0"/>
        <v>1 - PJ</v>
      </c>
      <c r="G1250" s="2">
        <v>136</v>
      </c>
      <c r="H1250" s="2">
        <f>SUM(G1250:G1251)</f>
        <v>180</v>
      </c>
    </row>
    <row r="1251" spans="1:8" ht="12.75" hidden="1" x14ac:dyDescent="0.2">
      <c r="A1251" s="3" t="s">
        <v>160</v>
      </c>
      <c r="B1251" s="2">
        <v>30</v>
      </c>
      <c r="C1251" s="4" t="s">
        <v>60</v>
      </c>
      <c r="D1251" s="3" t="s">
        <v>15</v>
      </c>
      <c r="E1251" s="3" t="s">
        <v>14</v>
      </c>
      <c r="F1251" s="3" t="str">
        <f t="shared" si="0"/>
        <v>4 - Blanco/Nulo</v>
      </c>
      <c r="G1251" s="2">
        <v>44</v>
      </c>
      <c r="H1251" s="3"/>
    </row>
    <row r="1252" spans="1:8" ht="12.75" hidden="1" x14ac:dyDescent="0.2">
      <c r="A1252" s="3" t="s">
        <v>160</v>
      </c>
      <c r="B1252" s="2">
        <v>30</v>
      </c>
      <c r="C1252" s="4" t="s">
        <v>60</v>
      </c>
      <c r="D1252" s="3" t="s">
        <v>161</v>
      </c>
      <c r="E1252" s="3" t="s">
        <v>136</v>
      </c>
      <c r="F1252" s="3" t="str">
        <f t="shared" si="0"/>
        <v>1 - PJ</v>
      </c>
      <c r="G1252" s="2">
        <v>139</v>
      </c>
      <c r="H1252" s="3"/>
    </row>
    <row r="1253" spans="1:8" ht="12.75" hidden="1" x14ac:dyDescent="0.2">
      <c r="A1253" s="3" t="s">
        <v>160</v>
      </c>
      <c r="B1253" s="2">
        <v>30</v>
      </c>
      <c r="C1253" s="4" t="s">
        <v>60</v>
      </c>
      <c r="D1253" s="3" t="s">
        <v>161</v>
      </c>
      <c r="E1253" s="3" t="s">
        <v>128</v>
      </c>
      <c r="F1253" s="3" t="str">
        <f t="shared" si="0"/>
        <v>2 - Frepam</v>
      </c>
      <c r="G1253" s="2">
        <v>15</v>
      </c>
      <c r="H1253" s="3"/>
    </row>
    <row r="1254" spans="1:8" ht="12.75" hidden="1" x14ac:dyDescent="0.2">
      <c r="A1254" s="3" t="s">
        <v>160</v>
      </c>
      <c r="B1254" s="2">
        <v>30</v>
      </c>
      <c r="C1254" s="4" t="s">
        <v>60</v>
      </c>
      <c r="D1254" s="3" t="s">
        <v>161</v>
      </c>
      <c r="E1254" s="3" t="s">
        <v>14</v>
      </c>
      <c r="F1254" s="3" t="str">
        <f t="shared" si="0"/>
        <v>4 - Blanco/Nulo</v>
      </c>
      <c r="G1254" s="2">
        <v>8</v>
      </c>
      <c r="H1254" s="3"/>
    </row>
    <row r="1255" spans="1:8" ht="12.75" hidden="1" x14ac:dyDescent="0.2">
      <c r="A1255" s="3" t="s">
        <v>160</v>
      </c>
      <c r="B1255" s="2">
        <v>30</v>
      </c>
      <c r="C1255" s="4" t="s">
        <v>60</v>
      </c>
      <c r="D1255" s="3" t="s">
        <v>161</v>
      </c>
      <c r="E1255" s="3" t="s">
        <v>133</v>
      </c>
      <c r="F1255" s="3" t="str">
        <f t="shared" si="0"/>
        <v>3 - Otros</v>
      </c>
      <c r="G1255" s="2">
        <v>7</v>
      </c>
      <c r="H1255" s="2">
        <f>SUM(G1252:G1261)</f>
        <v>180</v>
      </c>
    </row>
    <row r="1256" spans="1:8" ht="12.75" hidden="1" x14ac:dyDescent="0.2">
      <c r="A1256" s="3" t="s">
        <v>160</v>
      </c>
      <c r="B1256" s="2">
        <v>30</v>
      </c>
      <c r="C1256" s="4" t="s">
        <v>60</v>
      </c>
      <c r="D1256" s="3" t="s">
        <v>161</v>
      </c>
      <c r="E1256" s="3" t="s">
        <v>148</v>
      </c>
      <c r="F1256" s="3" t="str">
        <f t="shared" si="0"/>
        <v>3 - Otros</v>
      </c>
      <c r="G1256" s="2">
        <v>4</v>
      </c>
      <c r="H1256" s="3"/>
    </row>
    <row r="1257" spans="1:8" ht="12.75" hidden="1" x14ac:dyDescent="0.2">
      <c r="A1257" s="3" t="s">
        <v>160</v>
      </c>
      <c r="B1257" s="2">
        <v>30</v>
      </c>
      <c r="C1257" s="4" t="s">
        <v>60</v>
      </c>
      <c r="D1257" s="3" t="s">
        <v>161</v>
      </c>
      <c r="E1257" s="3" t="s">
        <v>149</v>
      </c>
      <c r="F1257" s="3" t="str">
        <f t="shared" si="0"/>
        <v>3 - Otros</v>
      </c>
      <c r="G1257" s="2">
        <v>3</v>
      </c>
      <c r="H1257" s="3"/>
    </row>
    <row r="1258" spans="1:8" ht="12.75" hidden="1" x14ac:dyDescent="0.2">
      <c r="A1258" s="3" t="s">
        <v>160</v>
      </c>
      <c r="B1258" s="2">
        <v>30</v>
      </c>
      <c r="C1258" s="4" t="s">
        <v>60</v>
      </c>
      <c r="D1258" s="3" t="s">
        <v>161</v>
      </c>
      <c r="E1258" s="3" t="s">
        <v>135</v>
      </c>
      <c r="F1258" s="3" t="str">
        <f t="shared" si="0"/>
        <v>3 - Otros</v>
      </c>
      <c r="G1258" s="2">
        <v>1</v>
      </c>
      <c r="H1258" s="3"/>
    </row>
    <row r="1259" spans="1:8" ht="12.75" hidden="1" x14ac:dyDescent="0.2">
      <c r="A1259" s="3" t="s">
        <v>160</v>
      </c>
      <c r="B1259" s="2">
        <v>30</v>
      </c>
      <c r="C1259" s="4" t="s">
        <v>60</v>
      </c>
      <c r="D1259" s="3" t="s">
        <v>161</v>
      </c>
      <c r="E1259" s="3" t="s">
        <v>145</v>
      </c>
      <c r="F1259" s="3" t="str">
        <f t="shared" si="0"/>
        <v>3 - Otros</v>
      </c>
      <c r="G1259" s="2">
        <v>1</v>
      </c>
      <c r="H1259" s="3"/>
    </row>
    <row r="1260" spans="1:8" ht="12.75" hidden="1" x14ac:dyDescent="0.2">
      <c r="A1260" s="3" t="s">
        <v>160</v>
      </c>
      <c r="B1260" s="2">
        <v>30</v>
      </c>
      <c r="C1260" s="4" t="s">
        <v>60</v>
      </c>
      <c r="D1260" s="3" t="s">
        <v>161</v>
      </c>
      <c r="E1260" s="3" t="s">
        <v>139</v>
      </c>
      <c r="F1260" s="3" t="str">
        <f t="shared" si="0"/>
        <v>3 - Otros</v>
      </c>
      <c r="G1260" s="2">
        <v>1</v>
      </c>
      <c r="H1260" s="3"/>
    </row>
    <row r="1261" spans="1:8" ht="12.75" hidden="1" x14ac:dyDescent="0.2">
      <c r="A1261" s="3" t="s">
        <v>160</v>
      </c>
      <c r="B1261" s="2">
        <v>30</v>
      </c>
      <c r="C1261" s="4" t="s">
        <v>60</v>
      </c>
      <c r="D1261" s="3" t="s">
        <v>161</v>
      </c>
      <c r="E1261" s="3" t="s">
        <v>138</v>
      </c>
      <c r="F1261" s="3" t="str">
        <f t="shared" si="0"/>
        <v>4 - Blanco/Nulo</v>
      </c>
      <c r="G1261" s="2">
        <v>1</v>
      </c>
      <c r="H1261" s="3"/>
    </row>
    <row r="1262" spans="1:8" ht="12.75" hidden="1" x14ac:dyDescent="0.2">
      <c r="A1262" s="3" t="s">
        <v>160</v>
      </c>
      <c r="B1262" s="2">
        <v>30</v>
      </c>
      <c r="C1262" s="4" t="s">
        <v>60</v>
      </c>
      <c r="D1262" s="3" t="s">
        <v>162</v>
      </c>
      <c r="E1262" s="3" t="s">
        <v>136</v>
      </c>
      <c r="F1262" s="3" t="str">
        <f t="shared" si="0"/>
        <v>1 - PJ</v>
      </c>
      <c r="G1262" s="2">
        <v>139</v>
      </c>
      <c r="H1262" s="3"/>
    </row>
    <row r="1263" spans="1:8" ht="12.75" hidden="1" x14ac:dyDescent="0.2">
      <c r="A1263" s="3" t="s">
        <v>160</v>
      </c>
      <c r="B1263" s="2">
        <v>30</v>
      </c>
      <c r="C1263" s="4" t="s">
        <v>60</v>
      </c>
      <c r="D1263" s="3" t="s">
        <v>162</v>
      </c>
      <c r="E1263" s="3" t="s">
        <v>128</v>
      </c>
      <c r="F1263" s="3" t="str">
        <f t="shared" si="0"/>
        <v>2 - Frepam</v>
      </c>
      <c r="G1263" s="2">
        <v>15</v>
      </c>
      <c r="H1263" s="3"/>
    </row>
    <row r="1264" spans="1:8" ht="12.75" hidden="1" x14ac:dyDescent="0.2">
      <c r="A1264" s="3" t="s">
        <v>160</v>
      </c>
      <c r="B1264" s="2">
        <v>30</v>
      </c>
      <c r="C1264" s="4" t="s">
        <v>60</v>
      </c>
      <c r="D1264" s="3" t="s">
        <v>162</v>
      </c>
      <c r="E1264" s="3" t="s">
        <v>133</v>
      </c>
      <c r="F1264" s="3" t="str">
        <f t="shared" si="0"/>
        <v>3 - Otros</v>
      </c>
      <c r="G1264" s="2">
        <v>11</v>
      </c>
      <c r="H1264" s="3"/>
    </row>
    <row r="1265" spans="1:8" ht="12.75" hidden="1" x14ac:dyDescent="0.2">
      <c r="A1265" s="3" t="s">
        <v>160</v>
      </c>
      <c r="B1265" s="2">
        <v>30</v>
      </c>
      <c r="C1265" s="4" t="s">
        <v>60</v>
      </c>
      <c r="D1265" s="3" t="s">
        <v>162</v>
      </c>
      <c r="E1265" s="3" t="s">
        <v>148</v>
      </c>
      <c r="F1265" s="3" t="str">
        <f t="shared" si="0"/>
        <v>3 - Otros</v>
      </c>
      <c r="G1265" s="2">
        <v>4</v>
      </c>
      <c r="H1265" s="2">
        <f>SUM(G1262:G1271)</f>
        <v>180</v>
      </c>
    </row>
    <row r="1266" spans="1:8" ht="12.75" hidden="1" x14ac:dyDescent="0.2">
      <c r="A1266" s="3" t="s">
        <v>160</v>
      </c>
      <c r="B1266" s="2">
        <v>30</v>
      </c>
      <c r="C1266" s="4" t="s">
        <v>60</v>
      </c>
      <c r="D1266" s="3" t="s">
        <v>162</v>
      </c>
      <c r="E1266" s="3" t="s">
        <v>14</v>
      </c>
      <c r="F1266" s="3" t="str">
        <f t="shared" si="0"/>
        <v>4 - Blanco/Nulo</v>
      </c>
      <c r="G1266" s="2">
        <v>4</v>
      </c>
      <c r="H1266" s="3"/>
    </row>
    <row r="1267" spans="1:8" ht="12.75" hidden="1" x14ac:dyDescent="0.2">
      <c r="A1267" s="3" t="s">
        <v>160</v>
      </c>
      <c r="B1267" s="2">
        <v>30</v>
      </c>
      <c r="C1267" s="4" t="s">
        <v>60</v>
      </c>
      <c r="D1267" s="3" t="s">
        <v>162</v>
      </c>
      <c r="E1267" s="3" t="s">
        <v>149</v>
      </c>
      <c r="F1267" s="3" t="str">
        <f t="shared" si="0"/>
        <v>3 - Otros</v>
      </c>
      <c r="G1267" s="2">
        <v>3</v>
      </c>
      <c r="H1267" s="3"/>
    </row>
    <row r="1268" spans="1:8" ht="12.75" hidden="1" x14ac:dyDescent="0.2">
      <c r="A1268" s="3" t="s">
        <v>160</v>
      </c>
      <c r="B1268" s="2">
        <v>30</v>
      </c>
      <c r="C1268" s="4" t="s">
        <v>60</v>
      </c>
      <c r="D1268" s="3" t="s">
        <v>162</v>
      </c>
      <c r="E1268" s="3" t="s">
        <v>135</v>
      </c>
      <c r="F1268" s="3" t="str">
        <f t="shared" si="0"/>
        <v>3 - Otros</v>
      </c>
      <c r="G1268" s="2">
        <v>1</v>
      </c>
      <c r="H1268" s="3"/>
    </row>
    <row r="1269" spans="1:8" ht="12.75" hidden="1" x14ac:dyDescent="0.2">
      <c r="A1269" s="3" t="s">
        <v>160</v>
      </c>
      <c r="B1269" s="2">
        <v>30</v>
      </c>
      <c r="C1269" s="4" t="s">
        <v>60</v>
      </c>
      <c r="D1269" s="3" t="s">
        <v>162</v>
      </c>
      <c r="E1269" s="3" t="s">
        <v>145</v>
      </c>
      <c r="F1269" s="3" t="str">
        <f t="shared" si="0"/>
        <v>3 - Otros</v>
      </c>
      <c r="G1269" s="2">
        <v>1</v>
      </c>
      <c r="H1269" s="3"/>
    </row>
    <row r="1270" spans="1:8" ht="12.75" hidden="1" x14ac:dyDescent="0.2">
      <c r="A1270" s="3" t="s">
        <v>160</v>
      </c>
      <c r="B1270" s="2">
        <v>30</v>
      </c>
      <c r="C1270" s="4" t="s">
        <v>60</v>
      </c>
      <c r="D1270" s="3" t="s">
        <v>162</v>
      </c>
      <c r="E1270" s="3" t="s">
        <v>139</v>
      </c>
      <c r="F1270" s="3" t="str">
        <f t="shared" si="0"/>
        <v>3 - Otros</v>
      </c>
      <c r="G1270" s="2">
        <v>1</v>
      </c>
      <c r="H1270" s="3"/>
    </row>
    <row r="1271" spans="1:8" ht="12.75" hidden="1" x14ac:dyDescent="0.2">
      <c r="A1271" s="3" t="s">
        <v>160</v>
      </c>
      <c r="B1271" s="2">
        <v>30</v>
      </c>
      <c r="C1271" s="4" t="s">
        <v>60</v>
      </c>
      <c r="D1271" s="3" t="s">
        <v>162</v>
      </c>
      <c r="E1271" s="3" t="s">
        <v>138</v>
      </c>
      <c r="F1271" s="3" t="str">
        <f t="shared" si="0"/>
        <v>4 - Blanco/Nulo</v>
      </c>
      <c r="G1271" s="2">
        <v>1</v>
      </c>
      <c r="H1271" s="3"/>
    </row>
    <row r="1272" spans="1:8" ht="12.75" hidden="1" x14ac:dyDescent="0.2">
      <c r="A1272" s="3" t="s">
        <v>160</v>
      </c>
      <c r="B1272" s="2">
        <v>31</v>
      </c>
      <c r="C1272" s="4" t="s">
        <v>61</v>
      </c>
      <c r="D1272" s="3" t="s">
        <v>2</v>
      </c>
      <c r="E1272" s="3" t="s">
        <v>136</v>
      </c>
      <c r="F1272" s="3" t="str">
        <f t="shared" si="0"/>
        <v>1 - PJ</v>
      </c>
      <c r="G1272" s="2">
        <v>1005</v>
      </c>
      <c r="H1272" s="3"/>
    </row>
    <row r="1273" spans="1:8" ht="12.75" hidden="1" x14ac:dyDescent="0.2">
      <c r="A1273" s="3" t="s">
        <v>160</v>
      </c>
      <c r="B1273" s="2">
        <v>31</v>
      </c>
      <c r="C1273" s="4" t="s">
        <v>61</v>
      </c>
      <c r="D1273" s="3" t="s">
        <v>2</v>
      </c>
      <c r="E1273" s="3" t="s">
        <v>128</v>
      </c>
      <c r="F1273" s="3" t="str">
        <f t="shared" si="0"/>
        <v>2 - Frepam</v>
      </c>
      <c r="G1273" s="2">
        <v>946</v>
      </c>
      <c r="H1273" s="2">
        <f>SUM(G1272:G1275)</f>
        <v>2049</v>
      </c>
    </row>
    <row r="1274" spans="1:8" ht="12.75" hidden="1" x14ac:dyDescent="0.2">
      <c r="A1274" s="3" t="s">
        <v>160</v>
      </c>
      <c r="B1274" s="2">
        <v>31</v>
      </c>
      <c r="C1274" s="4" t="s">
        <v>61</v>
      </c>
      <c r="D1274" s="3" t="s">
        <v>2</v>
      </c>
      <c r="E1274" s="3" t="s">
        <v>14</v>
      </c>
      <c r="F1274" s="3" t="str">
        <f t="shared" si="0"/>
        <v>4 - Blanco/Nulo</v>
      </c>
      <c r="G1274" s="2">
        <v>87</v>
      </c>
      <c r="H1274" s="3"/>
    </row>
    <row r="1275" spans="1:8" ht="12.75" hidden="1" x14ac:dyDescent="0.2">
      <c r="A1275" s="3" t="s">
        <v>160</v>
      </c>
      <c r="B1275" s="2">
        <v>31</v>
      </c>
      <c r="C1275" s="4" t="s">
        <v>61</v>
      </c>
      <c r="D1275" s="3" t="s">
        <v>2</v>
      </c>
      <c r="E1275" s="3" t="s">
        <v>138</v>
      </c>
      <c r="F1275" s="3" t="str">
        <f t="shared" si="0"/>
        <v>4 - Blanco/Nulo</v>
      </c>
      <c r="G1275" s="2">
        <v>11</v>
      </c>
      <c r="H1275" s="3"/>
    </row>
    <row r="1276" spans="1:8" ht="12.75" hidden="1" x14ac:dyDescent="0.2">
      <c r="A1276" s="3" t="s">
        <v>160</v>
      </c>
      <c r="B1276" s="2">
        <v>31</v>
      </c>
      <c r="C1276" s="4" t="s">
        <v>61</v>
      </c>
      <c r="D1276" s="3" t="s">
        <v>161</v>
      </c>
      <c r="E1276" s="3" t="s">
        <v>136</v>
      </c>
      <c r="F1276" s="3" t="str">
        <f t="shared" si="0"/>
        <v>1 - PJ</v>
      </c>
      <c r="G1276" s="2">
        <v>993</v>
      </c>
      <c r="H1276" s="3"/>
    </row>
    <row r="1277" spans="1:8" ht="12.75" hidden="1" x14ac:dyDescent="0.2">
      <c r="A1277" s="3" t="s">
        <v>160</v>
      </c>
      <c r="B1277" s="2">
        <v>31</v>
      </c>
      <c r="C1277" s="4" t="s">
        <v>61</v>
      </c>
      <c r="D1277" s="3" t="s">
        <v>161</v>
      </c>
      <c r="E1277" s="3" t="s">
        <v>128</v>
      </c>
      <c r="F1277" s="3" t="str">
        <f t="shared" si="0"/>
        <v>2 - Frepam</v>
      </c>
      <c r="G1277" s="2">
        <v>882</v>
      </c>
      <c r="H1277" s="3"/>
    </row>
    <row r="1278" spans="1:8" ht="12.75" hidden="1" x14ac:dyDescent="0.2">
      <c r="A1278" s="3" t="s">
        <v>160</v>
      </c>
      <c r="B1278" s="2">
        <v>31</v>
      </c>
      <c r="C1278" s="4" t="s">
        <v>61</v>
      </c>
      <c r="D1278" s="3" t="s">
        <v>161</v>
      </c>
      <c r="E1278" s="3" t="s">
        <v>14</v>
      </c>
      <c r="F1278" s="3" t="str">
        <f t="shared" si="0"/>
        <v>4 - Blanco/Nulo</v>
      </c>
      <c r="G1278" s="2">
        <v>66</v>
      </c>
      <c r="H1278" s="3"/>
    </row>
    <row r="1279" spans="1:8" ht="12.75" hidden="1" x14ac:dyDescent="0.2">
      <c r="A1279" s="3" t="s">
        <v>160</v>
      </c>
      <c r="B1279" s="2">
        <v>31</v>
      </c>
      <c r="C1279" s="4" t="s">
        <v>61</v>
      </c>
      <c r="D1279" s="3" t="s">
        <v>161</v>
      </c>
      <c r="E1279" s="3" t="s">
        <v>133</v>
      </c>
      <c r="F1279" s="3" t="str">
        <f t="shared" si="0"/>
        <v>3 - Otros</v>
      </c>
      <c r="G1279" s="2">
        <v>49</v>
      </c>
      <c r="H1279" s="3"/>
    </row>
    <row r="1280" spans="1:8" ht="12.75" hidden="1" x14ac:dyDescent="0.2">
      <c r="A1280" s="3" t="s">
        <v>160</v>
      </c>
      <c r="B1280" s="2">
        <v>31</v>
      </c>
      <c r="C1280" s="4" t="s">
        <v>61</v>
      </c>
      <c r="D1280" s="3" t="s">
        <v>161</v>
      </c>
      <c r="E1280" s="3" t="s">
        <v>148</v>
      </c>
      <c r="F1280" s="3" t="str">
        <f t="shared" si="0"/>
        <v>3 - Otros</v>
      </c>
      <c r="G1280" s="2">
        <v>14</v>
      </c>
      <c r="H1280" s="3"/>
    </row>
    <row r="1281" spans="1:8" ht="12.75" hidden="1" x14ac:dyDescent="0.2">
      <c r="A1281" s="3" t="s">
        <v>160</v>
      </c>
      <c r="B1281" s="2">
        <v>31</v>
      </c>
      <c r="C1281" s="4" t="s">
        <v>61</v>
      </c>
      <c r="D1281" s="3" t="s">
        <v>161</v>
      </c>
      <c r="E1281" s="3" t="s">
        <v>138</v>
      </c>
      <c r="F1281" s="3" t="str">
        <f t="shared" si="0"/>
        <v>4 - Blanco/Nulo</v>
      </c>
      <c r="G1281" s="2">
        <v>13</v>
      </c>
      <c r="H1281" s="2">
        <f>SUM(G1276:G1285)</f>
        <v>2049</v>
      </c>
    </row>
    <row r="1282" spans="1:8" ht="12.75" hidden="1" x14ac:dyDescent="0.2">
      <c r="A1282" s="3" t="s">
        <v>160</v>
      </c>
      <c r="B1282" s="2">
        <v>31</v>
      </c>
      <c r="C1282" s="4" t="s">
        <v>61</v>
      </c>
      <c r="D1282" s="3" t="s">
        <v>161</v>
      </c>
      <c r="E1282" s="3" t="s">
        <v>149</v>
      </c>
      <c r="F1282" s="3" t="str">
        <f t="shared" si="0"/>
        <v>3 - Otros</v>
      </c>
      <c r="G1282" s="2">
        <v>11</v>
      </c>
      <c r="H1282" s="3"/>
    </row>
    <row r="1283" spans="1:8" ht="12.75" hidden="1" x14ac:dyDescent="0.2">
      <c r="A1283" s="3" t="s">
        <v>160</v>
      </c>
      <c r="B1283" s="2">
        <v>31</v>
      </c>
      <c r="C1283" s="4" t="s">
        <v>61</v>
      </c>
      <c r="D1283" s="3" t="s">
        <v>161</v>
      </c>
      <c r="E1283" s="3" t="s">
        <v>139</v>
      </c>
      <c r="F1283" s="3" t="str">
        <f t="shared" si="0"/>
        <v>3 - Otros</v>
      </c>
      <c r="G1283" s="2">
        <v>8</v>
      </c>
      <c r="H1283" s="3"/>
    </row>
    <row r="1284" spans="1:8" ht="12.75" hidden="1" x14ac:dyDescent="0.2">
      <c r="A1284" s="3" t="s">
        <v>160</v>
      </c>
      <c r="B1284" s="2">
        <v>31</v>
      </c>
      <c r="C1284" s="4" t="s">
        <v>61</v>
      </c>
      <c r="D1284" s="3" t="s">
        <v>161</v>
      </c>
      <c r="E1284" s="3" t="s">
        <v>145</v>
      </c>
      <c r="F1284" s="3" t="str">
        <f t="shared" si="0"/>
        <v>3 - Otros</v>
      </c>
      <c r="G1284" s="2">
        <v>7</v>
      </c>
      <c r="H1284" s="3"/>
    </row>
    <row r="1285" spans="1:8" ht="12.75" hidden="1" x14ac:dyDescent="0.2">
      <c r="A1285" s="3" t="s">
        <v>160</v>
      </c>
      <c r="B1285" s="2">
        <v>31</v>
      </c>
      <c r="C1285" s="4" t="s">
        <v>61</v>
      </c>
      <c r="D1285" s="3" t="s">
        <v>161</v>
      </c>
      <c r="E1285" s="3" t="s">
        <v>135</v>
      </c>
      <c r="F1285" s="3" t="str">
        <f t="shared" si="0"/>
        <v>3 - Otros</v>
      </c>
      <c r="G1285" s="2">
        <v>6</v>
      </c>
      <c r="H1285" s="3"/>
    </row>
    <row r="1286" spans="1:8" ht="12.75" hidden="1" x14ac:dyDescent="0.2">
      <c r="A1286" s="3" t="s">
        <v>160</v>
      </c>
      <c r="B1286" s="2">
        <v>31</v>
      </c>
      <c r="C1286" s="4" t="s">
        <v>61</v>
      </c>
      <c r="D1286" s="3" t="s">
        <v>162</v>
      </c>
      <c r="E1286" s="3" t="s">
        <v>136</v>
      </c>
      <c r="F1286" s="3" t="str">
        <f t="shared" si="0"/>
        <v>1 - PJ</v>
      </c>
      <c r="G1286" s="2">
        <v>1013</v>
      </c>
      <c r="H1286" s="3"/>
    </row>
    <row r="1287" spans="1:8" ht="12.75" hidden="1" x14ac:dyDescent="0.2">
      <c r="A1287" s="3" t="s">
        <v>160</v>
      </c>
      <c r="B1287" s="2">
        <v>31</v>
      </c>
      <c r="C1287" s="4" t="s">
        <v>61</v>
      </c>
      <c r="D1287" s="3" t="s">
        <v>162</v>
      </c>
      <c r="E1287" s="3" t="s">
        <v>128</v>
      </c>
      <c r="F1287" s="3" t="str">
        <f t="shared" si="0"/>
        <v>2 - Frepam</v>
      </c>
      <c r="G1287" s="2">
        <v>850</v>
      </c>
      <c r="H1287" s="3"/>
    </row>
    <row r="1288" spans="1:8" ht="12.75" hidden="1" x14ac:dyDescent="0.2">
      <c r="A1288" s="3" t="s">
        <v>160</v>
      </c>
      <c r="B1288" s="2">
        <v>31</v>
      </c>
      <c r="C1288" s="4" t="s">
        <v>61</v>
      </c>
      <c r="D1288" s="3" t="s">
        <v>162</v>
      </c>
      <c r="E1288" s="3" t="s">
        <v>133</v>
      </c>
      <c r="F1288" s="3" t="str">
        <f t="shared" si="0"/>
        <v>3 - Otros</v>
      </c>
      <c r="G1288" s="2">
        <v>70</v>
      </c>
      <c r="H1288" s="3"/>
    </row>
    <row r="1289" spans="1:8" ht="12.75" hidden="1" x14ac:dyDescent="0.2">
      <c r="A1289" s="3" t="s">
        <v>160</v>
      </c>
      <c r="B1289" s="2">
        <v>31</v>
      </c>
      <c r="C1289" s="4" t="s">
        <v>61</v>
      </c>
      <c r="D1289" s="3" t="s">
        <v>162</v>
      </c>
      <c r="E1289" s="3" t="s">
        <v>14</v>
      </c>
      <c r="F1289" s="3" t="str">
        <f t="shared" si="0"/>
        <v>4 - Blanco/Nulo</v>
      </c>
      <c r="G1289" s="2">
        <v>54</v>
      </c>
      <c r="H1289" s="3"/>
    </row>
    <row r="1290" spans="1:8" ht="12.75" hidden="1" x14ac:dyDescent="0.2">
      <c r="A1290" s="3" t="s">
        <v>160</v>
      </c>
      <c r="B1290" s="2">
        <v>31</v>
      </c>
      <c r="C1290" s="4" t="s">
        <v>61</v>
      </c>
      <c r="D1290" s="3" t="s">
        <v>162</v>
      </c>
      <c r="E1290" s="3" t="s">
        <v>148</v>
      </c>
      <c r="F1290" s="3" t="str">
        <f t="shared" si="0"/>
        <v>3 - Otros</v>
      </c>
      <c r="G1290" s="2">
        <v>16</v>
      </c>
      <c r="H1290" s="2">
        <f>SUM(G1286:G1295)</f>
        <v>2049</v>
      </c>
    </row>
    <row r="1291" spans="1:8" ht="12.75" hidden="1" x14ac:dyDescent="0.2">
      <c r="A1291" s="3" t="s">
        <v>160</v>
      </c>
      <c r="B1291" s="2">
        <v>31</v>
      </c>
      <c r="C1291" s="4" t="s">
        <v>61</v>
      </c>
      <c r="D1291" s="3" t="s">
        <v>162</v>
      </c>
      <c r="E1291" s="3" t="s">
        <v>138</v>
      </c>
      <c r="F1291" s="3" t="str">
        <f t="shared" si="0"/>
        <v>4 - Blanco/Nulo</v>
      </c>
      <c r="G1291" s="2">
        <v>13</v>
      </c>
      <c r="H1291" s="3"/>
    </row>
    <row r="1292" spans="1:8" ht="12.75" hidden="1" x14ac:dyDescent="0.2">
      <c r="A1292" s="3" t="s">
        <v>160</v>
      </c>
      <c r="B1292" s="2">
        <v>31</v>
      </c>
      <c r="C1292" s="4" t="s">
        <v>61</v>
      </c>
      <c r="D1292" s="3" t="s">
        <v>162</v>
      </c>
      <c r="E1292" s="3" t="s">
        <v>149</v>
      </c>
      <c r="F1292" s="3" t="str">
        <f t="shared" si="0"/>
        <v>3 - Otros</v>
      </c>
      <c r="G1292" s="2">
        <v>11</v>
      </c>
      <c r="H1292" s="3"/>
    </row>
    <row r="1293" spans="1:8" ht="12.75" hidden="1" x14ac:dyDescent="0.2">
      <c r="A1293" s="3" t="s">
        <v>160</v>
      </c>
      <c r="B1293" s="2">
        <v>31</v>
      </c>
      <c r="C1293" s="4" t="s">
        <v>61</v>
      </c>
      <c r="D1293" s="3" t="s">
        <v>162</v>
      </c>
      <c r="E1293" s="3" t="s">
        <v>139</v>
      </c>
      <c r="F1293" s="3" t="str">
        <f t="shared" si="0"/>
        <v>3 - Otros</v>
      </c>
      <c r="G1293" s="2">
        <v>9</v>
      </c>
      <c r="H1293" s="3"/>
    </row>
    <row r="1294" spans="1:8" ht="12.75" hidden="1" x14ac:dyDescent="0.2">
      <c r="A1294" s="3" t="s">
        <v>160</v>
      </c>
      <c r="B1294" s="2">
        <v>31</v>
      </c>
      <c r="C1294" s="4" t="s">
        <v>61</v>
      </c>
      <c r="D1294" s="3" t="s">
        <v>162</v>
      </c>
      <c r="E1294" s="3" t="s">
        <v>145</v>
      </c>
      <c r="F1294" s="3" t="str">
        <f t="shared" si="0"/>
        <v>3 - Otros</v>
      </c>
      <c r="G1294" s="2">
        <v>7</v>
      </c>
      <c r="H1294" s="3"/>
    </row>
    <row r="1295" spans="1:8" ht="12.75" hidden="1" x14ac:dyDescent="0.2">
      <c r="A1295" s="3" t="s">
        <v>160</v>
      </c>
      <c r="B1295" s="2">
        <v>31</v>
      </c>
      <c r="C1295" s="4" t="s">
        <v>61</v>
      </c>
      <c r="D1295" s="3" t="s">
        <v>162</v>
      </c>
      <c r="E1295" s="3" t="s">
        <v>135</v>
      </c>
      <c r="F1295" s="3" t="str">
        <f t="shared" si="0"/>
        <v>3 - Otros</v>
      </c>
      <c r="G1295" s="2">
        <v>6</v>
      </c>
      <c r="H1295" s="3"/>
    </row>
    <row r="1296" spans="1:8" ht="12.75" hidden="1" x14ac:dyDescent="0.2">
      <c r="A1296" s="3" t="s">
        <v>160</v>
      </c>
      <c r="B1296" s="2">
        <v>32</v>
      </c>
      <c r="C1296" s="4" t="s">
        <v>62</v>
      </c>
      <c r="D1296" s="3" t="s">
        <v>2</v>
      </c>
      <c r="E1296" s="3" t="s">
        <v>136</v>
      </c>
      <c r="F1296" s="3" t="str">
        <f t="shared" si="0"/>
        <v>1 - PJ</v>
      </c>
      <c r="G1296" s="2">
        <v>216</v>
      </c>
      <c r="H1296" s="3"/>
    </row>
    <row r="1297" spans="1:8" ht="12.75" hidden="1" x14ac:dyDescent="0.2">
      <c r="A1297" s="3" t="s">
        <v>160</v>
      </c>
      <c r="B1297" s="2">
        <v>32</v>
      </c>
      <c r="C1297" s="4" t="s">
        <v>62</v>
      </c>
      <c r="D1297" s="3" t="s">
        <v>2</v>
      </c>
      <c r="E1297" s="3" t="s">
        <v>14</v>
      </c>
      <c r="F1297" s="3" t="str">
        <f t="shared" si="0"/>
        <v>4 - Blanco/Nulo</v>
      </c>
      <c r="G1297" s="2">
        <v>28</v>
      </c>
      <c r="H1297" s="2">
        <f>SUM(G1296:G1298)</f>
        <v>248</v>
      </c>
    </row>
    <row r="1298" spans="1:8" ht="12.75" hidden="1" x14ac:dyDescent="0.2">
      <c r="A1298" s="3" t="s">
        <v>160</v>
      </c>
      <c r="B1298" s="2">
        <v>32</v>
      </c>
      <c r="C1298" s="4" t="s">
        <v>62</v>
      </c>
      <c r="D1298" s="3" t="s">
        <v>2</v>
      </c>
      <c r="E1298" s="3" t="s">
        <v>138</v>
      </c>
      <c r="F1298" s="3" t="str">
        <f t="shared" si="0"/>
        <v>4 - Blanco/Nulo</v>
      </c>
      <c r="G1298" s="2">
        <v>4</v>
      </c>
      <c r="H1298" s="3"/>
    </row>
    <row r="1299" spans="1:8" ht="12.75" hidden="1" x14ac:dyDescent="0.2">
      <c r="A1299" s="3" t="s">
        <v>160</v>
      </c>
      <c r="B1299" s="2">
        <v>32</v>
      </c>
      <c r="C1299" s="4" t="s">
        <v>62</v>
      </c>
      <c r="D1299" s="3" t="s">
        <v>161</v>
      </c>
      <c r="E1299" s="3" t="s">
        <v>136</v>
      </c>
      <c r="F1299" s="3" t="str">
        <f t="shared" si="0"/>
        <v>1 - PJ</v>
      </c>
      <c r="G1299" s="2">
        <v>206</v>
      </c>
      <c r="H1299" s="3"/>
    </row>
    <row r="1300" spans="1:8" ht="12.75" hidden="1" x14ac:dyDescent="0.2">
      <c r="A1300" s="3" t="s">
        <v>160</v>
      </c>
      <c r="B1300" s="2">
        <v>32</v>
      </c>
      <c r="C1300" s="4" t="s">
        <v>62</v>
      </c>
      <c r="D1300" s="3" t="s">
        <v>161</v>
      </c>
      <c r="E1300" s="3" t="s">
        <v>138</v>
      </c>
      <c r="F1300" s="3" t="str">
        <f t="shared" si="0"/>
        <v>4 - Blanco/Nulo</v>
      </c>
      <c r="G1300" s="2">
        <v>9</v>
      </c>
      <c r="H1300" s="3"/>
    </row>
    <row r="1301" spans="1:8" ht="12.75" hidden="1" x14ac:dyDescent="0.2">
      <c r="A1301" s="3" t="s">
        <v>160</v>
      </c>
      <c r="B1301" s="2">
        <v>32</v>
      </c>
      <c r="C1301" s="4" t="s">
        <v>62</v>
      </c>
      <c r="D1301" s="3" t="s">
        <v>161</v>
      </c>
      <c r="E1301" s="3" t="s">
        <v>128</v>
      </c>
      <c r="F1301" s="3" t="str">
        <f t="shared" si="0"/>
        <v>2 - Frepam</v>
      </c>
      <c r="G1301" s="2">
        <v>8</v>
      </c>
      <c r="H1301" s="3"/>
    </row>
    <row r="1302" spans="1:8" ht="12.75" hidden="1" x14ac:dyDescent="0.2">
      <c r="A1302" s="3" t="s">
        <v>160</v>
      </c>
      <c r="B1302" s="2">
        <v>32</v>
      </c>
      <c r="C1302" s="4" t="s">
        <v>62</v>
      </c>
      <c r="D1302" s="3" t="s">
        <v>161</v>
      </c>
      <c r="E1302" s="3" t="s">
        <v>149</v>
      </c>
      <c r="F1302" s="3" t="str">
        <f t="shared" si="0"/>
        <v>3 - Otros</v>
      </c>
      <c r="G1302" s="2">
        <v>8</v>
      </c>
      <c r="H1302" s="3"/>
    </row>
    <row r="1303" spans="1:8" ht="12.75" hidden="1" x14ac:dyDescent="0.2">
      <c r="A1303" s="3" t="s">
        <v>160</v>
      </c>
      <c r="B1303" s="2">
        <v>32</v>
      </c>
      <c r="C1303" s="4" t="s">
        <v>62</v>
      </c>
      <c r="D1303" s="3" t="s">
        <v>161</v>
      </c>
      <c r="E1303" s="3" t="s">
        <v>148</v>
      </c>
      <c r="F1303" s="3" t="str">
        <f t="shared" si="0"/>
        <v>3 - Otros</v>
      </c>
      <c r="G1303" s="2">
        <v>6</v>
      </c>
      <c r="H1303" s="3"/>
    </row>
    <row r="1304" spans="1:8" ht="12.75" hidden="1" x14ac:dyDescent="0.2">
      <c r="A1304" s="3" t="s">
        <v>160</v>
      </c>
      <c r="B1304" s="2">
        <v>32</v>
      </c>
      <c r="C1304" s="4" t="s">
        <v>62</v>
      </c>
      <c r="D1304" s="3" t="s">
        <v>161</v>
      </c>
      <c r="E1304" s="3" t="s">
        <v>133</v>
      </c>
      <c r="F1304" s="3" t="str">
        <f t="shared" si="0"/>
        <v>3 - Otros</v>
      </c>
      <c r="G1304" s="2">
        <v>5</v>
      </c>
      <c r="H1304" s="2">
        <f>SUM(G1299:G1307)</f>
        <v>248</v>
      </c>
    </row>
    <row r="1305" spans="1:8" ht="12.75" hidden="1" x14ac:dyDescent="0.2">
      <c r="A1305" s="3" t="s">
        <v>160</v>
      </c>
      <c r="B1305" s="2">
        <v>32</v>
      </c>
      <c r="C1305" s="4" t="s">
        <v>62</v>
      </c>
      <c r="D1305" s="3" t="s">
        <v>161</v>
      </c>
      <c r="E1305" s="3" t="s">
        <v>14</v>
      </c>
      <c r="F1305" s="3" t="str">
        <f t="shared" si="0"/>
        <v>4 - Blanco/Nulo</v>
      </c>
      <c r="G1305" s="2">
        <v>4</v>
      </c>
      <c r="H1305" s="3"/>
    </row>
    <row r="1306" spans="1:8" ht="12.75" hidden="1" x14ac:dyDescent="0.2">
      <c r="A1306" s="3" t="s">
        <v>160</v>
      </c>
      <c r="B1306" s="2">
        <v>32</v>
      </c>
      <c r="C1306" s="4" t="s">
        <v>62</v>
      </c>
      <c r="D1306" s="3" t="s">
        <v>161</v>
      </c>
      <c r="E1306" s="3" t="s">
        <v>135</v>
      </c>
      <c r="F1306" s="3" t="str">
        <f t="shared" si="0"/>
        <v>3 - Otros</v>
      </c>
      <c r="G1306" s="2">
        <v>1</v>
      </c>
      <c r="H1306" s="3"/>
    </row>
    <row r="1307" spans="1:8" ht="12.75" hidden="1" x14ac:dyDescent="0.2">
      <c r="A1307" s="3" t="s">
        <v>160</v>
      </c>
      <c r="B1307" s="2">
        <v>32</v>
      </c>
      <c r="C1307" s="4" t="s">
        <v>62</v>
      </c>
      <c r="D1307" s="3" t="s">
        <v>161</v>
      </c>
      <c r="E1307" s="3" t="s">
        <v>139</v>
      </c>
      <c r="F1307" s="3" t="str">
        <f t="shared" si="0"/>
        <v>3 - Otros</v>
      </c>
      <c r="G1307" s="2">
        <v>1</v>
      </c>
      <c r="H1307" s="3"/>
    </row>
    <row r="1308" spans="1:8" ht="12.75" hidden="1" x14ac:dyDescent="0.2">
      <c r="A1308" s="3" t="s">
        <v>160</v>
      </c>
      <c r="B1308" s="2">
        <v>32</v>
      </c>
      <c r="C1308" s="4" t="s">
        <v>62</v>
      </c>
      <c r="D1308" s="3" t="s">
        <v>162</v>
      </c>
      <c r="E1308" s="3" t="s">
        <v>136</v>
      </c>
      <c r="F1308" s="3" t="str">
        <f t="shared" si="0"/>
        <v>1 - PJ</v>
      </c>
      <c r="G1308" s="2">
        <v>207</v>
      </c>
      <c r="H1308" s="3"/>
    </row>
    <row r="1309" spans="1:8" ht="12.75" hidden="1" x14ac:dyDescent="0.2">
      <c r="A1309" s="3" t="s">
        <v>160</v>
      </c>
      <c r="B1309" s="2">
        <v>32</v>
      </c>
      <c r="C1309" s="4" t="s">
        <v>62</v>
      </c>
      <c r="D1309" s="3" t="s">
        <v>162</v>
      </c>
      <c r="E1309" s="3" t="s">
        <v>138</v>
      </c>
      <c r="F1309" s="3" t="str">
        <f t="shared" si="0"/>
        <v>4 - Blanco/Nulo</v>
      </c>
      <c r="G1309" s="2">
        <v>9</v>
      </c>
      <c r="H1309" s="3"/>
    </row>
    <row r="1310" spans="1:8" ht="12.75" hidden="1" x14ac:dyDescent="0.2">
      <c r="A1310" s="3" t="s">
        <v>160</v>
      </c>
      <c r="B1310" s="2">
        <v>32</v>
      </c>
      <c r="C1310" s="4" t="s">
        <v>62</v>
      </c>
      <c r="D1310" s="3" t="s">
        <v>162</v>
      </c>
      <c r="E1310" s="3" t="s">
        <v>128</v>
      </c>
      <c r="F1310" s="3" t="str">
        <f t="shared" si="0"/>
        <v>2 - Frepam</v>
      </c>
      <c r="G1310" s="2">
        <v>8</v>
      </c>
      <c r="H1310" s="3"/>
    </row>
    <row r="1311" spans="1:8" ht="12.75" hidden="1" x14ac:dyDescent="0.2">
      <c r="A1311" s="3" t="s">
        <v>160</v>
      </c>
      <c r="B1311" s="2">
        <v>32</v>
      </c>
      <c r="C1311" s="4" t="s">
        <v>62</v>
      </c>
      <c r="D1311" s="3" t="s">
        <v>162</v>
      </c>
      <c r="E1311" s="3" t="s">
        <v>149</v>
      </c>
      <c r="F1311" s="3" t="str">
        <f t="shared" si="0"/>
        <v>3 - Otros</v>
      </c>
      <c r="G1311" s="2">
        <v>8</v>
      </c>
      <c r="H1311" s="3"/>
    </row>
    <row r="1312" spans="1:8" ht="12.75" hidden="1" x14ac:dyDescent="0.2">
      <c r="A1312" s="3" t="s">
        <v>160</v>
      </c>
      <c r="B1312" s="2">
        <v>32</v>
      </c>
      <c r="C1312" s="4" t="s">
        <v>62</v>
      </c>
      <c r="D1312" s="3" t="s">
        <v>162</v>
      </c>
      <c r="E1312" s="3" t="s">
        <v>148</v>
      </c>
      <c r="F1312" s="3" t="str">
        <f t="shared" si="0"/>
        <v>3 - Otros</v>
      </c>
      <c r="G1312" s="2">
        <v>5</v>
      </c>
      <c r="H1312" s="2">
        <f>SUM(G1308:G1316)</f>
        <v>248</v>
      </c>
    </row>
    <row r="1313" spans="1:8" ht="12.75" hidden="1" x14ac:dyDescent="0.2">
      <c r="A1313" s="3" t="s">
        <v>160</v>
      </c>
      <c r="B1313" s="2">
        <v>32</v>
      </c>
      <c r="C1313" s="4" t="s">
        <v>62</v>
      </c>
      <c r="D1313" s="3" t="s">
        <v>162</v>
      </c>
      <c r="E1313" s="3" t="s">
        <v>133</v>
      </c>
      <c r="F1313" s="3" t="str">
        <f t="shared" si="0"/>
        <v>3 - Otros</v>
      </c>
      <c r="G1313" s="2">
        <v>5</v>
      </c>
      <c r="H1313" s="3"/>
    </row>
    <row r="1314" spans="1:8" ht="12.75" hidden="1" x14ac:dyDescent="0.2">
      <c r="A1314" s="3" t="s">
        <v>160</v>
      </c>
      <c r="B1314" s="2">
        <v>32</v>
      </c>
      <c r="C1314" s="4" t="s">
        <v>62</v>
      </c>
      <c r="D1314" s="3" t="s">
        <v>162</v>
      </c>
      <c r="E1314" s="3" t="s">
        <v>14</v>
      </c>
      <c r="F1314" s="3" t="str">
        <f t="shared" si="0"/>
        <v>4 - Blanco/Nulo</v>
      </c>
      <c r="G1314" s="2">
        <v>4</v>
      </c>
      <c r="H1314" s="3"/>
    </row>
    <row r="1315" spans="1:8" ht="12.75" hidden="1" x14ac:dyDescent="0.2">
      <c r="A1315" s="3" t="s">
        <v>160</v>
      </c>
      <c r="B1315" s="2">
        <v>32</v>
      </c>
      <c r="C1315" s="4" t="s">
        <v>62</v>
      </c>
      <c r="D1315" s="3" t="s">
        <v>162</v>
      </c>
      <c r="E1315" s="3" t="s">
        <v>139</v>
      </c>
      <c r="F1315" s="3" t="str">
        <f t="shared" si="0"/>
        <v>3 - Otros</v>
      </c>
      <c r="G1315" s="2">
        <v>1</v>
      </c>
      <c r="H1315" s="3"/>
    </row>
    <row r="1316" spans="1:8" ht="12.75" hidden="1" x14ac:dyDescent="0.2">
      <c r="A1316" s="3" t="s">
        <v>160</v>
      </c>
      <c r="B1316" s="2">
        <v>32</v>
      </c>
      <c r="C1316" s="4" t="s">
        <v>62</v>
      </c>
      <c r="D1316" s="3" t="s">
        <v>162</v>
      </c>
      <c r="E1316" s="3" t="s">
        <v>135</v>
      </c>
      <c r="F1316" s="3" t="str">
        <f t="shared" si="0"/>
        <v>3 - Otros</v>
      </c>
      <c r="G1316" s="2">
        <v>1</v>
      </c>
      <c r="H1316" s="3"/>
    </row>
    <row r="1317" spans="1:8" ht="12.75" hidden="1" x14ac:dyDescent="0.2">
      <c r="A1317" s="3" t="s">
        <v>160</v>
      </c>
      <c r="B1317" s="2">
        <v>33</v>
      </c>
      <c r="C1317" s="4" t="s">
        <v>63</v>
      </c>
      <c r="D1317" s="3" t="s">
        <v>2</v>
      </c>
      <c r="E1317" s="3" t="s">
        <v>136</v>
      </c>
      <c r="F1317" s="3" t="str">
        <f t="shared" si="0"/>
        <v>1 - PJ</v>
      </c>
      <c r="G1317" s="2">
        <v>289</v>
      </c>
      <c r="H1317" s="2">
        <f>SUM(G1317:G1318)</f>
        <v>395</v>
      </c>
    </row>
    <row r="1318" spans="1:8" ht="12.75" hidden="1" x14ac:dyDescent="0.2">
      <c r="A1318" s="3" t="s">
        <v>160</v>
      </c>
      <c r="B1318" s="2">
        <v>33</v>
      </c>
      <c r="C1318" s="4" t="s">
        <v>63</v>
      </c>
      <c r="D1318" s="3" t="s">
        <v>2</v>
      </c>
      <c r="E1318" s="3" t="s">
        <v>14</v>
      </c>
      <c r="F1318" s="3" t="str">
        <f t="shared" si="0"/>
        <v>4 - Blanco/Nulo</v>
      </c>
      <c r="G1318" s="2">
        <v>106</v>
      </c>
      <c r="H1318" s="3"/>
    </row>
    <row r="1319" spans="1:8" ht="12.75" hidden="1" x14ac:dyDescent="0.2">
      <c r="A1319" s="3" t="s">
        <v>160</v>
      </c>
      <c r="B1319" s="2">
        <v>33</v>
      </c>
      <c r="C1319" s="4" t="s">
        <v>63</v>
      </c>
      <c r="D1319" s="3" t="s">
        <v>161</v>
      </c>
      <c r="E1319" s="3" t="s">
        <v>136</v>
      </c>
      <c r="F1319" s="3" t="str">
        <f t="shared" si="0"/>
        <v>1 - PJ</v>
      </c>
      <c r="G1319" s="2">
        <v>269</v>
      </c>
      <c r="H1319" s="3"/>
    </row>
    <row r="1320" spans="1:8" ht="12.75" hidden="1" x14ac:dyDescent="0.2">
      <c r="A1320" s="3" t="s">
        <v>160</v>
      </c>
      <c r="B1320" s="2">
        <v>33</v>
      </c>
      <c r="C1320" s="4" t="s">
        <v>63</v>
      </c>
      <c r="D1320" s="3" t="s">
        <v>161</v>
      </c>
      <c r="E1320" s="3" t="s">
        <v>128</v>
      </c>
      <c r="F1320" s="3" t="str">
        <f t="shared" si="0"/>
        <v>2 - Frepam</v>
      </c>
      <c r="G1320" s="2">
        <v>87</v>
      </c>
      <c r="H1320" s="3"/>
    </row>
    <row r="1321" spans="1:8" ht="12.75" hidden="1" x14ac:dyDescent="0.2">
      <c r="A1321" s="3" t="s">
        <v>160</v>
      </c>
      <c r="B1321" s="2">
        <v>33</v>
      </c>
      <c r="C1321" s="4" t="s">
        <v>63</v>
      </c>
      <c r="D1321" s="3" t="s">
        <v>161</v>
      </c>
      <c r="E1321" s="3" t="s">
        <v>14</v>
      </c>
      <c r="F1321" s="3" t="str">
        <f t="shared" si="0"/>
        <v>4 - Blanco/Nulo</v>
      </c>
      <c r="G1321" s="2">
        <v>31</v>
      </c>
      <c r="H1321" s="3"/>
    </row>
    <row r="1322" spans="1:8" ht="12.75" hidden="1" x14ac:dyDescent="0.2">
      <c r="A1322" s="3" t="s">
        <v>160</v>
      </c>
      <c r="B1322" s="2">
        <v>33</v>
      </c>
      <c r="C1322" s="4" t="s">
        <v>63</v>
      </c>
      <c r="D1322" s="3" t="s">
        <v>161</v>
      </c>
      <c r="E1322" s="3" t="s">
        <v>148</v>
      </c>
      <c r="F1322" s="3" t="str">
        <f t="shared" si="0"/>
        <v>3 - Otros</v>
      </c>
      <c r="G1322" s="2">
        <v>3</v>
      </c>
      <c r="H1322" s="3"/>
    </row>
    <row r="1323" spans="1:8" ht="12.75" hidden="1" x14ac:dyDescent="0.2">
      <c r="A1323" s="3" t="s">
        <v>160</v>
      </c>
      <c r="B1323" s="2">
        <v>33</v>
      </c>
      <c r="C1323" s="4" t="s">
        <v>63</v>
      </c>
      <c r="D1323" s="3" t="s">
        <v>161</v>
      </c>
      <c r="E1323" s="3" t="s">
        <v>149</v>
      </c>
      <c r="F1323" s="3" t="str">
        <f t="shared" si="0"/>
        <v>3 - Otros</v>
      </c>
      <c r="G1323" s="2">
        <v>2</v>
      </c>
      <c r="H1323" s="2">
        <f>SUM(G1319:G1325)</f>
        <v>395</v>
      </c>
    </row>
    <row r="1324" spans="1:8" ht="12.75" hidden="1" x14ac:dyDescent="0.2">
      <c r="A1324" s="3" t="s">
        <v>160</v>
      </c>
      <c r="B1324" s="2">
        <v>33</v>
      </c>
      <c r="C1324" s="4" t="s">
        <v>63</v>
      </c>
      <c r="D1324" s="3" t="s">
        <v>161</v>
      </c>
      <c r="E1324" s="3" t="s">
        <v>133</v>
      </c>
      <c r="F1324" s="3" t="str">
        <f t="shared" si="0"/>
        <v>3 - Otros</v>
      </c>
      <c r="G1324" s="2">
        <v>2</v>
      </c>
      <c r="H1324" s="3"/>
    </row>
    <row r="1325" spans="1:8" ht="12.75" hidden="1" x14ac:dyDescent="0.2">
      <c r="A1325" s="3" t="s">
        <v>160</v>
      </c>
      <c r="B1325" s="2">
        <v>33</v>
      </c>
      <c r="C1325" s="4" t="s">
        <v>63</v>
      </c>
      <c r="D1325" s="3" t="s">
        <v>161</v>
      </c>
      <c r="E1325" s="3" t="s">
        <v>135</v>
      </c>
      <c r="F1325" s="3" t="str">
        <f t="shared" si="0"/>
        <v>3 - Otros</v>
      </c>
      <c r="G1325" s="2">
        <v>1</v>
      </c>
      <c r="H1325" s="3"/>
    </row>
    <row r="1326" spans="1:8" ht="12.75" hidden="1" x14ac:dyDescent="0.2">
      <c r="A1326" s="3" t="s">
        <v>160</v>
      </c>
      <c r="B1326" s="2">
        <v>33</v>
      </c>
      <c r="C1326" s="4" t="s">
        <v>63</v>
      </c>
      <c r="D1326" s="3" t="s">
        <v>162</v>
      </c>
      <c r="E1326" s="3" t="s">
        <v>136</v>
      </c>
      <c r="F1326" s="3" t="str">
        <f t="shared" si="0"/>
        <v>1 - PJ</v>
      </c>
      <c r="G1326" s="2">
        <v>270</v>
      </c>
      <c r="H1326" s="3"/>
    </row>
    <row r="1327" spans="1:8" ht="12.75" hidden="1" x14ac:dyDescent="0.2">
      <c r="A1327" s="3" t="s">
        <v>160</v>
      </c>
      <c r="B1327" s="2">
        <v>33</v>
      </c>
      <c r="C1327" s="4" t="s">
        <v>63</v>
      </c>
      <c r="D1327" s="3" t="s">
        <v>162</v>
      </c>
      <c r="E1327" s="3" t="s">
        <v>128</v>
      </c>
      <c r="F1327" s="3" t="str">
        <f t="shared" si="0"/>
        <v>2 - Frepam</v>
      </c>
      <c r="G1327" s="2">
        <v>91</v>
      </c>
      <c r="H1327" s="3"/>
    </row>
    <row r="1328" spans="1:8" ht="12.75" hidden="1" x14ac:dyDescent="0.2">
      <c r="A1328" s="3" t="s">
        <v>160</v>
      </c>
      <c r="B1328" s="2">
        <v>33</v>
      </c>
      <c r="C1328" s="4" t="s">
        <v>63</v>
      </c>
      <c r="D1328" s="3" t="s">
        <v>162</v>
      </c>
      <c r="E1328" s="3" t="s">
        <v>14</v>
      </c>
      <c r="F1328" s="3" t="str">
        <f t="shared" si="0"/>
        <v>4 - Blanco/Nulo</v>
      </c>
      <c r="G1328" s="2">
        <v>22</v>
      </c>
      <c r="H1328" s="3"/>
    </row>
    <row r="1329" spans="1:8" ht="12.75" hidden="1" x14ac:dyDescent="0.2">
      <c r="A1329" s="3" t="s">
        <v>160</v>
      </c>
      <c r="B1329" s="2">
        <v>33</v>
      </c>
      <c r="C1329" s="4" t="s">
        <v>63</v>
      </c>
      <c r="D1329" s="3" t="s">
        <v>162</v>
      </c>
      <c r="E1329" s="3" t="s">
        <v>133</v>
      </c>
      <c r="F1329" s="3" t="str">
        <f t="shared" si="0"/>
        <v>3 - Otros</v>
      </c>
      <c r="G1329" s="2">
        <v>5</v>
      </c>
      <c r="H1329" s="2">
        <f>SUM(G1326:G1332)</f>
        <v>395</v>
      </c>
    </row>
    <row r="1330" spans="1:8" ht="12.75" hidden="1" x14ac:dyDescent="0.2">
      <c r="A1330" s="3" t="s">
        <v>160</v>
      </c>
      <c r="B1330" s="2">
        <v>33</v>
      </c>
      <c r="C1330" s="4" t="s">
        <v>63</v>
      </c>
      <c r="D1330" s="3" t="s">
        <v>162</v>
      </c>
      <c r="E1330" s="3" t="s">
        <v>149</v>
      </c>
      <c r="F1330" s="3" t="str">
        <f t="shared" si="0"/>
        <v>3 - Otros</v>
      </c>
      <c r="G1330" s="2">
        <v>4</v>
      </c>
      <c r="H1330" s="3"/>
    </row>
    <row r="1331" spans="1:8" ht="12.75" hidden="1" x14ac:dyDescent="0.2">
      <c r="A1331" s="3" t="s">
        <v>160</v>
      </c>
      <c r="B1331" s="2">
        <v>33</v>
      </c>
      <c r="C1331" s="4" t="s">
        <v>63</v>
      </c>
      <c r="D1331" s="3" t="s">
        <v>162</v>
      </c>
      <c r="E1331" s="3" t="s">
        <v>148</v>
      </c>
      <c r="F1331" s="3" t="str">
        <f t="shared" si="0"/>
        <v>3 - Otros</v>
      </c>
      <c r="G1331" s="2">
        <v>2</v>
      </c>
      <c r="H1331" s="3"/>
    </row>
    <row r="1332" spans="1:8" ht="12.75" hidden="1" x14ac:dyDescent="0.2">
      <c r="A1332" s="3" t="s">
        <v>160</v>
      </c>
      <c r="B1332" s="2">
        <v>33</v>
      </c>
      <c r="C1332" s="4" t="s">
        <v>63</v>
      </c>
      <c r="D1332" s="3" t="s">
        <v>162</v>
      </c>
      <c r="E1332" s="3" t="s">
        <v>135</v>
      </c>
      <c r="F1332" s="3" t="str">
        <f t="shared" si="0"/>
        <v>3 - Otros</v>
      </c>
      <c r="G1332" s="2">
        <v>1</v>
      </c>
      <c r="H1332" s="3"/>
    </row>
    <row r="1333" spans="1:8" ht="12.75" hidden="1" x14ac:dyDescent="0.2">
      <c r="A1333" s="3" t="s">
        <v>160</v>
      </c>
      <c r="B1333" s="2">
        <v>34</v>
      </c>
      <c r="C1333" s="4" t="s">
        <v>64</v>
      </c>
      <c r="D1333" s="3" t="s">
        <v>2</v>
      </c>
      <c r="E1333" s="3" t="s">
        <v>136</v>
      </c>
      <c r="F1333" s="3" t="str">
        <f t="shared" si="0"/>
        <v>1 - PJ</v>
      </c>
      <c r="G1333" s="2">
        <v>817</v>
      </c>
      <c r="H1333" s="3"/>
    </row>
    <row r="1334" spans="1:8" ht="12.75" hidden="1" x14ac:dyDescent="0.2">
      <c r="A1334" s="3" t="s">
        <v>160</v>
      </c>
      <c r="B1334" s="2">
        <v>34</v>
      </c>
      <c r="C1334" s="4" t="s">
        <v>64</v>
      </c>
      <c r="D1334" s="3" t="s">
        <v>2</v>
      </c>
      <c r="E1334" s="3" t="s">
        <v>128</v>
      </c>
      <c r="F1334" s="3" t="str">
        <f t="shared" si="0"/>
        <v>2 - Frepam</v>
      </c>
      <c r="G1334" s="2">
        <v>758</v>
      </c>
      <c r="H1334" s="2">
        <f>SUM(G1333:G1335)</f>
        <v>1634</v>
      </c>
    </row>
    <row r="1335" spans="1:8" ht="12.75" hidden="1" x14ac:dyDescent="0.2">
      <c r="A1335" s="3" t="s">
        <v>160</v>
      </c>
      <c r="B1335" s="2">
        <v>34</v>
      </c>
      <c r="C1335" s="4" t="s">
        <v>64</v>
      </c>
      <c r="D1335" s="3" t="s">
        <v>2</v>
      </c>
      <c r="E1335" s="3" t="s">
        <v>14</v>
      </c>
      <c r="F1335" s="3" t="str">
        <f t="shared" si="0"/>
        <v>4 - Blanco/Nulo</v>
      </c>
      <c r="G1335" s="2">
        <v>59</v>
      </c>
      <c r="H1335" s="3"/>
    </row>
    <row r="1336" spans="1:8" ht="12.75" hidden="1" x14ac:dyDescent="0.2">
      <c r="A1336" s="3" t="s">
        <v>160</v>
      </c>
      <c r="B1336" s="2">
        <v>34</v>
      </c>
      <c r="C1336" s="4" t="s">
        <v>64</v>
      </c>
      <c r="D1336" s="3" t="s">
        <v>161</v>
      </c>
      <c r="E1336" s="3" t="s">
        <v>136</v>
      </c>
      <c r="F1336" s="3" t="str">
        <f t="shared" si="0"/>
        <v>1 - PJ</v>
      </c>
      <c r="G1336" s="2">
        <v>823</v>
      </c>
      <c r="H1336" s="3"/>
    </row>
    <row r="1337" spans="1:8" ht="12.75" hidden="1" x14ac:dyDescent="0.2">
      <c r="A1337" s="3" t="s">
        <v>160</v>
      </c>
      <c r="B1337" s="2">
        <v>34</v>
      </c>
      <c r="C1337" s="4" t="s">
        <v>64</v>
      </c>
      <c r="D1337" s="3" t="s">
        <v>161</v>
      </c>
      <c r="E1337" s="3" t="s">
        <v>128</v>
      </c>
      <c r="F1337" s="3" t="str">
        <f t="shared" si="0"/>
        <v>2 - Frepam</v>
      </c>
      <c r="G1337" s="2">
        <v>717</v>
      </c>
      <c r="H1337" s="3"/>
    </row>
    <row r="1338" spans="1:8" ht="12.75" hidden="1" x14ac:dyDescent="0.2">
      <c r="A1338" s="3" t="s">
        <v>160</v>
      </c>
      <c r="B1338" s="2">
        <v>34</v>
      </c>
      <c r="C1338" s="4" t="s">
        <v>64</v>
      </c>
      <c r="D1338" s="3" t="s">
        <v>161</v>
      </c>
      <c r="E1338" s="3" t="s">
        <v>14</v>
      </c>
      <c r="F1338" s="3" t="str">
        <f t="shared" si="0"/>
        <v>4 - Blanco/Nulo</v>
      </c>
      <c r="G1338" s="2">
        <v>49</v>
      </c>
      <c r="H1338" s="3"/>
    </row>
    <row r="1339" spans="1:8" ht="12.75" hidden="1" x14ac:dyDescent="0.2">
      <c r="A1339" s="3" t="s">
        <v>160</v>
      </c>
      <c r="B1339" s="2">
        <v>34</v>
      </c>
      <c r="C1339" s="4" t="s">
        <v>64</v>
      </c>
      <c r="D1339" s="3" t="s">
        <v>161</v>
      </c>
      <c r="E1339" s="3" t="s">
        <v>133</v>
      </c>
      <c r="F1339" s="3" t="str">
        <f t="shared" si="0"/>
        <v>3 - Otros</v>
      </c>
      <c r="G1339" s="2">
        <v>24</v>
      </c>
      <c r="H1339" s="3"/>
    </row>
    <row r="1340" spans="1:8" ht="12.75" hidden="1" x14ac:dyDescent="0.2">
      <c r="A1340" s="3" t="s">
        <v>160</v>
      </c>
      <c r="B1340" s="2">
        <v>34</v>
      </c>
      <c r="C1340" s="4" t="s">
        <v>64</v>
      </c>
      <c r="D1340" s="3" t="s">
        <v>161</v>
      </c>
      <c r="E1340" s="3" t="s">
        <v>149</v>
      </c>
      <c r="F1340" s="3" t="str">
        <f t="shared" si="0"/>
        <v>3 - Otros</v>
      </c>
      <c r="G1340" s="2">
        <v>6</v>
      </c>
      <c r="H1340" s="2">
        <f>SUM(G1336:G1344)</f>
        <v>1634</v>
      </c>
    </row>
    <row r="1341" spans="1:8" ht="12.75" hidden="1" x14ac:dyDescent="0.2">
      <c r="A1341" s="3" t="s">
        <v>160</v>
      </c>
      <c r="B1341" s="2">
        <v>34</v>
      </c>
      <c r="C1341" s="4" t="s">
        <v>64</v>
      </c>
      <c r="D1341" s="3" t="s">
        <v>161</v>
      </c>
      <c r="E1341" s="3" t="s">
        <v>139</v>
      </c>
      <c r="F1341" s="3" t="str">
        <f t="shared" si="0"/>
        <v>3 - Otros</v>
      </c>
      <c r="G1341" s="2">
        <v>5</v>
      </c>
      <c r="H1341" s="3"/>
    </row>
    <row r="1342" spans="1:8" ht="12.75" hidden="1" x14ac:dyDescent="0.2">
      <c r="A1342" s="3" t="s">
        <v>160</v>
      </c>
      <c r="B1342" s="2">
        <v>34</v>
      </c>
      <c r="C1342" s="4" t="s">
        <v>64</v>
      </c>
      <c r="D1342" s="3" t="s">
        <v>161</v>
      </c>
      <c r="E1342" s="3" t="s">
        <v>148</v>
      </c>
      <c r="F1342" s="3" t="str">
        <f t="shared" si="0"/>
        <v>3 - Otros</v>
      </c>
      <c r="G1342" s="2">
        <v>4</v>
      </c>
      <c r="H1342" s="3"/>
    </row>
    <row r="1343" spans="1:8" ht="12.75" hidden="1" x14ac:dyDescent="0.2">
      <c r="A1343" s="3" t="s">
        <v>160</v>
      </c>
      <c r="B1343" s="2">
        <v>34</v>
      </c>
      <c r="C1343" s="4" t="s">
        <v>64</v>
      </c>
      <c r="D1343" s="3" t="s">
        <v>161</v>
      </c>
      <c r="E1343" s="3" t="s">
        <v>135</v>
      </c>
      <c r="F1343" s="3" t="str">
        <f t="shared" si="0"/>
        <v>3 - Otros</v>
      </c>
      <c r="G1343" s="2">
        <v>3</v>
      </c>
      <c r="H1343" s="3"/>
    </row>
    <row r="1344" spans="1:8" ht="12.75" hidden="1" x14ac:dyDescent="0.2">
      <c r="A1344" s="3" t="s">
        <v>160</v>
      </c>
      <c r="B1344" s="2">
        <v>34</v>
      </c>
      <c r="C1344" s="4" t="s">
        <v>64</v>
      </c>
      <c r="D1344" s="3" t="s">
        <v>161</v>
      </c>
      <c r="E1344" s="3" t="s">
        <v>145</v>
      </c>
      <c r="F1344" s="3" t="str">
        <f t="shared" si="0"/>
        <v>3 - Otros</v>
      </c>
      <c r="G1344" s="2">
        <v>3</v>
      </c>
      <c r="H1344" s="3"/>
    </row>
    <row r="1345" spans="1:8" ht="12.75" hidden="1" x14ac:dyDescent="0.2">
      <c r="A1345" s="3" t="s">
        <v>160</v>
      </c>
      <c r="B1345" s="2">
        <v>34</v>
      </c>
      <c r="C1345" s="4" t="s">
        <v>64</v>
      </c>
      <c r="D1345" s="3" t="s">
        <v>162</v>
      </c>
      <c r="E1345" s="3" t="s">
        <v>136</v>
      </c>
      <c r="F1345" s="3" t="str">
        <f t="shared" si="0"/>
        <v>1 - PJ</v>
      </c>
      <c r="G1345" s="2">
        <v>843</v>
      </c>
      <c r="H1345" s="3"/>
    </row>
    <row r="1346" spans="1:8" ht="12.75" hidden="1" x14ac:dyDescent="0.2">
      <c r="A1346" s="3" t="s">
        <v>160</v>
      </c>
      <c r="B1346" s="2">
        <v>34</v>
      </c>
      <c r="C1346" s="4" t="s">
        <v>64</v>
      </c>
      <c r="D1346" s="3" t="s">
        <v>162</v>
      </c>
      <c r="E1346" s="3" t="s">
        <v>128</v>
      </c>
      <c r="F1346" s="3" t="str">
        <f t="shared" si="0"/>
        <v>2 - Frepam</v>
      </c>
      <c r="G1346" s="2">
        <v>707</v>
      </c>
      <c r="H1346" s="3"/>
    </row>
    <row r="1347" spans="1:8" ht="12.75" hidden="1" x14ac:dyDescent="0.2">
      <c r="A1347" s="3" t="s">
        <v>160</v>
      </c>
      <c r="B1347" s="2">
        <v>34</v>
      </c>
      <c r="C1347" s="4" t="s">
        <v>64</v>
      </c>
      <c r="D1347" s="3" t="s">
        <v>162</v>
      </c>
      <c r="E1347" s="3" t="s">
        <v>14</v>
      </c>
      <c r="F1347" s="3" t="str">
        <f t="shared" si="0"/>
        <v>4 - Blanco/Nulo</v>
      </c>
      <c r="G1347" s="2">
        <v>35</v>
      </c>
      <c r="H1347" s="3"/>
    </row>
    <row r="1348" spans="1:8" ht="12.75" hidden="1" x14ac:dyDescent="0.2">
      <c r="A1348" s="3" t="s">
        <v>160</v>
      </c>
      <c r="B1348" s="2">
        <v>34</v>
      </c>
      <c r="C1348" s="4" t="s">
        <v>64</v>
      </c>
      <c r="D1348" s="3" t="s">
        <v>162</v>
      </c>
      <c r="E1348" s="3" t="s">
        <v>133</v>
      </c>
      <c r="F1348" s="3" t="str">
        <f t="shared" si="0"/>
        <v>3 - Otros</v>
      </c>
      <c r="G1348" s="2">
        <v>27</v>
      </c>
      <c r="H1348" s="3"/>
    </row>
    <row r="1349" spans="1:8" ht="12.75" hidden="1" x14ac:dyDescent="0.2">
      <c r="A1349" s="3" t="s">
        <v>160</v>
      </c>
      <c r="B1349" s="2">
        <v>34</v>
      </c>
      <c r="C1349" s="4" t="s">
        <v>64</v>
      </c>
      <c r="D1349" s="3" t="s">
        <v>162</v>
      </c>
      <c r="E1349" s="3" t="s">
        <v>149</v>
      </c>
      <c r="F1349" s="3" t="str">
        <f t="shared" si="0"/>
        <v>3 - Otros</v>
      </c>
      <c r="G1349" s="2">
        <v>6</v>
      </c>
      <c r="H1349" s="2">
        <f>SUM(G1345:G1353)</f>
        <v>1634</v>
      </c>
    </row>
    <row r="1350" spans="1:8" ht="12.75" hidden="1" x14ac:dyDescent="0.2">
      <c r="A1350" s="3" t="s">
        <v>160</v>
      </c>
      <c r="B1350" s="2">
        <v>34</v>
      </c>
      <c r="C1350" s="4" t="s">
        <v>64</v>
      </c>
      <c r="D1350" s="3" t="s">
        <v>162</v>
      </c>
      <c r="E1350" s="3" t="s">
        <v>148</v>
      </c>
      <c r="F1350" s="3" t="str">
        <f t="shared" si="0"/>
        <v>3 - Otros</v>
      </c>
      <c r="G1350" s="2">
        <v>5</v>
      </c>
      <c r="H1350" s="3"/>
    </row>
    <row r="1351" spans="1:8" ht="12.75" hidden="1" x14ac:dyDescent="0.2">
      <c r="A1351" s="3" t="s">
        <v>160</v>
      </c>
      <c r="B1351" s="2">
        <v>34</v>
      </c>
      <c r="C1351" s="4" t="s">
        <v>64</v>
      </c>
      <c r="D1351" s="3" t="s">
        <v>162</v>
      </c>
      <c r="E1351" s="3" t="s">
        <v>139</v>
      </c>
      <c r="F1351" s="3" t="str">
        <f t="shared" si="0"/>
        <v>3 - Otros</v>
      </c>
      <c r="G1351" s="2">
        <v>5</v>
      </c>
      <c r="H1351" s="3"/>
    </row>
    <row r="1352" spans="1:8" ht="12.75" hidden="1" x14ac:dyDescent="0.2">
      <c r="A1352" s="3" t="s">
        <v>160</v>
      </c>
      <c r="B1352" s="2">
        <v>34</v>
      </c>
      <c r="C1352" s="4" t="s">
        <v>64</v>
      </c>
      <c r="D1352" s="3" t="s">
        <v>162</v>
      </c>
      <c r="E1352" s="3" t="s">
        <v>135</v>
      </c>
      <c r="F1352" s="3" t="str">
        <f t="shared" si="0"/>
        <v>3 - Otros</v>
      </c>
      <c r="G1352" s="2">
        <v>3</v>
      </c>
      <c r="H1352" s="3"/>
    </row>
    <row r="1353" spans="1:8" ht="12.75" hidden="1" x14ac:dyDescent="0.2">
      <c r="A1353" s="3" t="s">
        <v>160</v>
      </c>
      <c r="B1353" s="2">
        <v>34</v>
      </c>
      <c r="C1353" s="4" t="s">
        <v>64</v>
      </c>
      <c r="D1353" s="3" t="s">
        <v>162</v>
      </c>
      <c r="E1353" s="3" t="s">
        <v>145</v>
      </c>
      <c r="F1353" s="3" t="str">
        <f t="shared" si="0"/>
        <v>3 - Otros</v>
      </c>
      <c r="G1353" s="2">
        <v>3</v>
      </c>
      <c r="H1353" s="3"/>
    </row>
    <row r="1354" spans="1:8" ht="12.75" hidden="1" x14ac:dyDescent="0.2">
      <c r="A1354" s="3" t="s">
        <v>160</v>
      </c>
      <c r="B1354" s="2">
        <v>35</v>
      </c>
      <c r="C1354" s="4" t="s">
        <v>65</v>
      </c>
      <c r="D1354" s="3" t="s">
        <v>2</v>
      </c>
      <c r="E1354" s="3" t="s">
        <v>128</v>
      </c>
      <c r="F1354" s="3" t="str">
        <f t="shared" si="0"/>
        <v>2 - Frepam</v>
      </c>
      <c r="G1354" s="2">
        <v>661</v>
      </c>
      <c r="H1354" s="3"/>
    </row>
    <row r="1355" spans="1:8" ht="12.75" hidden="1" x14ac:dyDescent="0.2">
      <c r="A1355" s="3" t="s">
        <v>160</v>
      </c>
      <c r="B1355" s="2">
        <v>35</v>
      </c>
      <c r="C1355" s="4" t="s">
        <v>65</v>
      </c>
      <c r="D1355" s="3" t="s">
        <v>2</v>
      </c>
      <c r="E1355" s="3" t="s">
        <v>136</v>
      </c>
      <c r="F1355" s="3" t="str">
        <f t="shared" si="0"/>
        <v>1 - PJ</v>
      </c>
      <c r="G1355" s="2">
        <v>171</v>
      </c>
      <c r="H1355" s="2">
        <f>SUM(G1354:G1357)</f>
        <v>852</v>
      </c>
    </row>
    <row r="1356" spans="1:8" ht="12.75" hidden="1" x14ac:dyDescent="0.2">
      <c r="A1356" s="3" t="s">
        <v>160</v>
      </c>
      <c r="B1356" s="2">
        <v>35</v>
      </c>
      <c r="C1356" s="4" t="s">
        <v>65</v>
      </c>
      <c r="D1356" s="3" t="s">
        <v>2</v>
      </c>
      <c r="E1356" s="3" t="s">
        <v>14</v>
      </c>
      <c r="F1356" s="3" t="str">
        <f t="shared" si="0"/>
        <v>4 - Blanco/Nulo</v>
      </c>
      <c r="G1356" s="2">
        <v>18</v>
      </c>
      <c r="H1356" s="3"/>
    </row>
    <row r="1357" spans="1:8" ht="12.75" hidden="1" x14ac:dyDescent="0.2">
      <c r="A1357" s="3" t="s">
        <v>160</v>
      </c>
      <c r="B1357" s="2">
        <v>35</v>
      </c>
      <c r="C1357" s="4" t="s">
        <v>65</v>
      </c>
      <c r="D1357" s="3" t="s">
        <v>2</v>
      </c>
      <c r="E1357" s="3" t="s">
        <v>138</v>
      </c>
      <c r="F1357" s="3" t="str">
        <f t="shared" si="0"/>
        <v>4 - Blanco/Nulo</v>
      </c>
      <c r="G1357" s="2">
        <v>2</v>
      </c>
      <c r="H1357" s="3"/>
    </row>
    <row r="1358" spans="1:8" ht="12.75" hidden="1" x14ac:dyDescent="0.2">
      <c r="A1358" s="3" t="s">
        <v>160</v>
      </c>
      <c r="B1358" s="2">
        <v>35</v>
      </c>
      <c r="C1358" s="4" t="s">
        <v>65</v>
      </c>
      <c r="D1358" s="3" t="s">
        <v>161</v>
      </c>
      <c r="E1358" s="3" t="s">
        <v>128</v>
      </c>
      <c r="F1358" s="3" t="str">
        <f t="shared" si="0"/>
        <v>2 - Frepam</v>
      </c>
      <c r="G1358" s="2">
        <v>523</v>
      </c>
      <c r="H1358" s="3"/>
    </row>
    <row r="1359" spans="1:8" ht="12.75" hidden="1" x14ac:dyDescent="0.2">
      <c r="A1359" s="3" t="s">
        <v>160</v>
      </c>
      <c r="B1359" s="2">
        <v>35</v>
      </c>
      <c r="C1359" s="4" t="s">
        <v>65</v>
      </c>
      <c r="D1359" s="3" t="s">
        <v>161</v>
      </c>
      <c r="E1359" s="3" t="s">
        <v>136</v>
      </c>
      <c r="F1359" s="3" t="str">
        <f t="shared" si="0"/>
        <v>1 - PJ</v>
      </c>
      <c r="G1359" s="2">
        <v>243</v>
      </c>
      <c r="H1359" s="3"/>
    </row>
    <row r="1360" spans="1:8" ht="12.75" hidden="1" x14ac:dyDescent="0.2">
      <c r="A1360" s="3" t="s">
        <v>160</v>
      </c>
      <c r="B1360" s="2">
        <v>35</v>
      </c>
      <c r="C1360" s="4" t="s">
        <v>65</v>
      </c>
      <c r="D1360" s="3" t="s">
        <v>161</v>
      </c>
      <c r="E1360" s="3" t="s">
        <v>14</v>
      </c>
      <c r="F1360" s="3" t="str">
        <f t="shared" si="0"/>
        <v>4 - Blanco/Nulo</v>
      </c>
      <c r="G1360" s="2">
        <v>58</v>
      </c>
      <c r="H1360" s="3"/>
    </row>
    <row r="1361" spans="1:8" ht="12.75" hidden="1" x14ac:dyDescent="0.2">
      <c r="A1361" s="3" t="s">
        <v>160</v>
      </c>
      <c r="B1361" s="2">
        <v>35</v>
      </c>
      <c r="C1361" s="4" t="s">
        <v>65</v>
      </c>
      <c r="D1361" s="3" t="s">
        <v>161</v>
      </c>
      <c r="E1361" s="3" t="s">
        <v>133</v>
      </c>
      <c r="F1361" s="3" t="str">
        <f t="shared" si="0"/>
        <v>3 - Otros</v>
      </c>
      <c r="G1361" s="2">
        <v>11</v>
      </c>
      <c r="H1361" s="2">
        <f>SUM(G1358:G1365)</f>
        <v>852</v>
      </c>
    </row>
    <row r="1362" spans="1:8" ht="12.75" hidden="1" x14ac:dyDescent="0.2">
      <c r="A1362" s="3" t="s">
        <v>160</v>
      </c>
      <c r="B1362" s="2">
        <v>35</v>
      </c>
      <c r="C1362" s="4" t="s">
        <v>65</v>
      </c>
      <c r="D1362" s="3" t="s">
        <v>161</v>
      </c>
      <c r="E1362" s="3" t="s">
        <v>148</v>
      </c>
      <c r="F1362" s="3" t="str">
        <f t="shared" si="0"/>
        <v>3 - Otros</v>
      </c>
      <c r="G1362" s="2">
        <v>9</v>
      </c>
      <c r="H1362" s="3"/>
    </row>
    <row r="1363" spans="1:8" ht="12.75" hidden="1" x14ac:dyDescent="0.2">
      <c r="A1363" s="3" t="s">
        <v>160</v>
      </c>
      <c r="B1363" s="2">
        <v>35</v>
      </c>
      <c r="C1363" s="4" t="s">
        <v>65</v>
      </c>
      <c r="D1363" s="3" t="s">
        <v>161</v>
      </c>
      <c r="E1363" s="3" t="s">
        <v>138</v>
      </c>
      <c r="F1363" s="3" t="str">
        <f t="shared" si="0"/>
        <v>4 - Blanco/Nulo</v>
      </c>
      <c r="G1363" s="2">
        <v>6</v>
      </c>
      <c r="H1363" s="3"/>
    </row>
    <row r="1364" spans="1:8" ht="12.75" hidden="1" x14ac:dyDescent="0.2">
      <c r="A1364" s="3" t="s">
        <v>160</v>
      </c>
      <c r="B1364" s="2">
        <v>35</v>
      </c>
      <c r="C1364" s="4" t="s">
        <v>65</v>
      </c>
      <c r="D1364" s="3" t="s">
        <v>161</v>
      </c>
      <c r="E1364" s="3" t="s">
        <v>135</v>
      </c>
      <c r="F1364" s="3" t="str">
        <f t="shared" si="0"/>
        <v>3 - Otros</v>
      </c>
      <c r="G1364" s="2">
        <v>1</v>
      </c>
      <c r="H1364" s="3"/>
    </row>
    <row r="1365" spans="1:8" ht="12.75" hidden="1" x14ac:dyDescent="0.2">
      <c r="A1365" s="3" t="s">
        <v>160</v>
      </c>
      <c r="B1365" s="2">
        <v>35</v>
      </c>
      <c r="C1365" s="4" t="s">
        <v>65</v>
      </c>
      <c r="D1365" s="3" t="s">
        <v>161</v>
      </c>
      <c r="E1365" s="3" t="s">
        <v>145</v>
      </c>
      <c r="F1365" s="3" t="str">
        <f t="shared" si="0"/>
        <v>3 - Otros</v>
      </c>
      <c r="G1365" s="2">
        <v>1</v>
      </c>
      <c r="H1365" s="3"/>
    </row>
    <row r="1366" spans="1:8" ht="12.75" hidden="1" x14ac:dyDescent="0.2">
      <c r="A1366" s="3" t="s">
        <v>160</v>
      </c>
      <c r="B1366" s="2">
        <v>35</v>
      </c>
      <c r="C1366" s="4" t="s">
        <v>65</v>
      </c>
      <c r="D1366" s="3" t="s">
        <v>162</v>
      </c>
      <c r="E1366" s="3" t="s">
        <v>128</v>
      </c>
      <c r="F1366" s="3" t="str">
        <f t="shared" si="0"/>
        <v>2 - Frepam</v>
      </c>
      <c r="G1366" s="2">
        <v>517</v>
      </c>
      <c r="H1366" s="3"/>
    </row>
    <row r="1367" spans="1:8" ht="12.75" hidden="1" x14ac:dyDescent="0.2">
      <c r="A1367" s="3" t="s">
        <v>160</v>
      </c>
      <c r="B1367" s="2">
        <v>35</v>
      </c>
      <c r="C1367" s="4" t="s">
        <v>65</v>
      </c>
      <c r="D1367" s="3" t="s">
        <v>162</v>
      </c>
      <c r="E1367" s="3" t="s">
        <v>136</v>
      </c>
      <c r="F1367" s="3" t="str">
        <f t="shared" si="0"/>
        <v>1 - PJ</v>
      </c>
      <c r="G1367" s="2">
        <v>277</v>
      </c>
      <c r="H1367" s="3"/>
    </row>
    <row r="1368" spans="1:8" ht="12.75" hidden="1" x14ac:dyDescent="0.2">
      <c r="A1368" s="3" t="s">
        <v>160</v>
      </c>
      <c r="B1368" s="2">
        <v>35</v>
      </c>
      <c r="C1368" s="4" t="s">
        <v>65</v>
      </c>
      <c r="D1368" s="3" t="s">
        <v>162</v>
      </c>
      <c r="E1368" s="3" t="s">
        <v>14</v>
      </c>
      <c r="F1368" s="3" t="str">
        <f t="shared" si="0"/>
        <v>4 - Blanco/Nulo</v>
      </c>
      <c r="G1368" s="2">
        <v>31</v>
      </c>
      <c r="H1368" s="3"/>
    </row>
    <row r="1369" spans="1:8" ht="12.75" hidden="1" x14ac:dyDescent="0.2">
      <c r="A1369" s="3" t="s">
        <v>160</v>
      </c>
      <c r="B1369" s="2">
        <v>35</v>
      </c>
      <c r="C1369" s="4" t="s">
        <v>65</v>
      </c>
      <c r="D1369" s="3" t="s">
        <v>162</v>
      </c>
      <c r="E1369" s="3" t="s">
        <v>133</v>
      </c>
      <c r="F1369" s="3" t="str">
        <f t="shared" si="0"/>
        <v>3 - Otros</v>
      </c>
      <c r="G1369" s="2">
        <v>15</v>
      </c>
      <c r="H1369" s="2">
        <f>SUM(G1366:G1373)</f>
        <v>852</v>
      </c>
    </row>
    <row r="1370" spans="1:8" ht="12.75" hidden="1" x14ac:dyDescent="0.2">
      <c r="A1370" s="3" t="s">
        <v>160</v>
      </c>
      <c r="B1370" s="2">
        <v>35</v>
      </c>
      <c r="C1370" s="4" t="s">
        <v>65</v>
      </c>
      <c r="D1370" s="3" t="s">
        <v>162</v>
      </c>
      <c r="E1370" s="3" t="s">
        <v>148</v>
      </c>
      <c r="F1370" s="3" t="str">
        <f t="shared" si="0"/>
        <v>3 - Otros</v>
      </c>
      <c r="G1370" s="2">
        <v>6</v>
      </c>
      <c r="H1370" s="3"/>
    </row>
    <row r="1371" spans="1:8" ht="12.75" hidden="1" x14ac:dyDescent="0.2">
      <c r="A1371" s="3" t="s">
        <v>160</v>
      </c>
      <c r="B1371" s="2">
        <v>35</v>
      </c>
      <c r="C1371" s="4" t="s">
        <v>65</v>
      </c>
      <c r="D1371" s="3" t="s">
        <v>162</v>
      </c>
      <c r="E1371" s="3" t="s">
        <v>138</v>
      </c>
      <c r="F1371" s="3" t="str">
        <f t="shared" si="0"/>
        <v>4 - Blanco/Nulo</v>
      </c>
      <c r="G1371" s="2">
        <v>4</v>
      </c>
      <c r="H1371" s="3"/>
    </row>
    <row r="1372" spans="1:8" ht="12.75" hidden="1" x14ac:dyDescent="0.2">
      <c r="A1372" s="3" t="s">
        <v>160</v>
      </c>
      <c r="B1372" s="2">
        <v>35</v>
      </c>
      <c r="C1372" s="4" t="s">
        <v>65</v>
      </c>
      <c r="D1372" s="3" t="s">
        <v>162</v>
      </c>
      <c r="E1372" s="3" t="s">
        <v>135</v>
      </c>
      <c r="F1372" s="3" t="str">
        <f t="shared" si="0"/>
        <v>3 - Otros</v>
      </c>
      <c r="G1372" s="2">
        <v>1</v>
      </c>
      <c r="H1372" s="3"/>
    </row>
    <row r="1373" spans="1:8" ht="12.75" hidden="1" x14ac:dyDescent="0.2">
      <c r="A1373" s="3" t="s">
        <v>160</v>
      </c>
      <c r="B1373" s="2">
        <v>35</v>
      </c>
      <c r="C1373" s="4" t="s">
        <v>65</v>
      </c>
      <c r="D1373" s="3" t="s">
        <v>162</v>
      </c>
      <c r="E1373" s="3" t="s">
        <v>145</v>
      </c>
      <c r="F1373" s="3" t="str">
        <f t="shared" si="0"/>
        <v>3 - Otros</v>
      </c>
      <c r="G1373" s="2">
        <v>1</v>
      </c>
      <c r="H1373" s="3"/>
    </row>
    <row r="1374" spans="1:8" ht="12.75" hidden="1" x14ac:dyDescent="0.2">
      <c r="A1374" s="3" t="s">
        <v>160</v>
      </c>
      <c r="B1374" s="2">
        <v>36</v>
      </c>
      <c r="C1374" s="4" t="s">
        <v>66</v>
      </c>
      <c r="D1374" s="3" t="s">
        <v>2</v>
      </c>
      <c r="E1374" s="3" t="s">
        <v>128</v>
      </c>
      <c r="F1374" s="3" t="str">
        <f t="shared" si="0"/>
        <v>2 - Frepam</v>
      </c>
      <c r="G1374" s="2">
        <v>1794</v>
      </c>
      <c r="H1374" s="3"/>
    </row>
    <row r="1375" spans="1:8" ht="12.75" hidden="1" x14ac:dyDescent="0.2">
      <c r="A1375" s="3" t="s">
        <v>160</v>
      </c>
      <c r="B1375" s="2">
        <v>36</v>
      </c>
      <c r="C1375" s="4" t="s">
        <v>66</v>
      </c>
      <c r="D1375" s="3" t="s">
        <v>2</v>
      </c>
      <c r="E1375" s="3" t="s">
        <v>3</v>
      </c>
      <c r="F1375" s="3" t="str">
        <f t="shared" si="0"/>
        <v>1 - PJ</v>
      </c>
      <c r="G1375" s="2">
        <v>904</v>
      </c>
      <c r="H1375" s="2">
        <f>SUM(G1374:G1377)</f>
        <v>2909</v>
      </c>
    </row>
    <row r="1376" spans="1:8" ht="12.75" hidden="1" x14ac:dyDescent="0.2">
      <c r="A1376" s="3" t="s">
        <v>160</v>
      </c>
      <c r="B1376" s="2">
        <v>36</v>
      </c>
      <c r="C1376" s="4" t="s">
        <v>66</v>
      </c>
      <c r="D1376" s="3" t="s">
        <v>2</v>
      </c>
      <c r="E1376" s="3" t="s">
        <v>14</v>
      </c>
      <c r="F1376" s="3" t="str">
        <f t="shared" si="0"/>
        <v>4 - Blanco/Nulo</v>
      </c>
      <c r="G1376" s="2">
        <v>193</v>
      </c>
      <c r="H1376" s="3"/>
    </row>
    <row r="1377" spans="1:8" ht="12.75" hidden="1" x14ac:dyDescent="0.2">
      <c r="A1377" s="3" t="s">
        <v>160</v>
      </c>
      <c r="B1377" s="2">
        <v>36</v>
      </c>
      <c r="C1377" s="4" t="s">
        <v>66</v>
      </c>
      <c r="D1377" s="3" t="s">
        <v>2</v>
      </c>
      <c r="E1377" s="3" t="s">
        <v>138</v>
      </c>
      <c r="F1377" s="3" t="str">
        <f t="shared" si="0"/>
        <v>4 - Blanco/Nulo</v>
      </c>
      <c r="G1377" s="2">
        <v>18</v>
      </c>
      <c r="H1377" s="3"/>
    </row>
    <row r="1378" spans="1:8" ht="12.75" hidden="1" x14ac:dyDescent="0.2">
      <c r="A1378" s="3" t="s">
        <v>160</v>
      </c>
      <c r="B1378" s="2">
        <v>36</v>
      </c>
      <c r="C1378" s="4" t="s">
        <v>66</v>
      </c>
      <c r="D1378" s="3" t="s">
        <v>162</v>
      </c>
      <c r="E1378" s="3" t="s">
        <v>128</v>
      </c>
      <c r="F1378" s="3" t="str">
        <f t="shared" si="0"/>
        <v>2 - Frepam</v>
      </c>
      <c r="G1378" s="2">
        <v>1490</v>
      </c>
      <c r="H1378" s="3"/>
    </row>
    <row r="1379" spans="1:8" ht="12.75" hidden="1" x14ac:dyDescent="0.2">
      <c r="A1379" s="3" t="s">
        <v>160</v>
      </c>
      <c r="B1379" s="2">
        <v>36</v>
      </c>
      <c r="C1379" s="4" t="s">
        <v>66</v>
      </c>
      <c r="D1379" s="3" t="s">
        <v>162</v>
      </c>
      <c r="E1379" s="3" t="s">
        <v>3</v>
      </c>
      <c r="F1379" s="3" t="str">
        <f t="shared" si="0"/>
        <v>1 - PJ</v>
      </c>
      <c r="G1379" s="2">
        <v>966</v>
      </c>
      <c r="H1379" s="3"/>
    </row>
    <row r="1380" spans="1:8" ht="12.75" hidden="1" x14ac:dyDescent="0.2">
      <c r="A1380" s="3" t="s">
        <v>160</v>
      </c>
      <c r="B1380" s="2">
        <v>36</v>
      </c>
      <c r="C1380" s="4" t="s">
        <v>66</v>
      </c>
      <c r="D1380" s="3" t="s">
        <v>162</v>
      </c>
      <c r="E1380" s="3" t="s">
        <v>133</v>
      </c>
      <c r="F1380" s="3" t="str">
        <f t="shared" si="0"/>
        <v>3 - Otros</v>
      </c>
      <c r="G1380" s="2">
        <v>221</v>
      </c>
      <c r="H1380" s="3"/>
    </row>
    <row r="1381" spans="1:8" ht="12.75" hidden="1" x14ac:dyDescent="0.2">
      <c r="A1381" s="3" t="s">
        <v>160</v>
      </c>
      <c r="B1381" s="2">
        <v>36</v>
      </c>
      <c r="C1381" s="4" t="s">
        <v>66</v>
      </c>
      <c r="D1381" s="3" t="s">
        <v>162</v>
      </c>
      <c r="E1381" s="3" t="s">
        <v>14</v>
      </c>
      <c r="F1381" s="3" t="str">
        <f t="shared" si="0"/>
        <v>4 - Blanco/Nulo</v>
      </c>
      <c r="G1381" s="2">
        <v>92</v>
      </c>
      <c r="H1381" s="3"/>
    </row>
    <row r="1382" spans="1:8" ht="12.75" hidden="1" x14ac:dyDescent="0.2">
      <c r="A1382" s="3" t="s">
        <v>160</v>
      </c>
      <c r="B1382" s="2">
        <v>36</v>
      </c>
      <c r="C1382" s="4" t="s">
        <v>66</v>
      </c>
      <c r="D1382" s="3" t="s">
        <v>162</v>
      </c>
      <c r="E1382" s="3" t="s">
        <v>149</v>
      </c>
      <c r="F1382" s="3" t="str">
        <f t="shared" si="0"/>
        <v>3 - Otros</v>
      </c>
      <c r="G1382" s="2">
        <v>68</v>
      </c>
      <c r="H1382" s="3"/>
    </row>
    <row r="1383" spans="1:8" ht="12.75" hidden="1" x14ac:dyDescent="0.2">
      <c r="A1383" s="3" t="s">
        <v>160</v>
      </c>
      <c r="B1383" s="2">
        <v>36</v>
      </c>
      <c r="C1383" s="4" t="s">
        <v>66</v>
      </c>
      <c r="D1383" s="3" t="s">
        <v>162</v>
      </c>
      <c r="E1383" s="3" t="s">
        <v>138</v>
      </c>
      <c r="F1383" s="3" t="str">
        <f t="shared" si="0"/>
        <v>4 - Blanco/Nulo</v>
      </c>
      <c r="G1383" s="2">
        <v>26</v>
      </c>
      <c r="H1383" s="2">
        <f>SUM(G1378:G1387)</f>
        <v>2909</v>
      </c>
    </row>
    <row r="1384" spans="1:8" ht="12.75" hidden="1" x14ac:dyDescent="0.2">
      <c r="A1384" s="3" t="s">
        <v>160</v>
      </c>
      <c r="B1384" s="2">
        <v>36</v>
      </c>
      <c r="C1384" s="4" t="s">
        <v>66</v>
      </c>
      <c r="D1384" s="3" t="s">
        <v>162</v>
      </c>
      <c r="E1384" s="3" t="s">
        <v>148</v>
      </c>
      <c r="F1384" s="3" t="str">
        <f t="shared" si="0"/>
        <v>3 - Otros</v>
      </c>
      <c r="G1384" s="2">
        <v>18</v>
      </c>
      <c r="H1384" s="3"/>
    </row>
    <row r="1385" spans="1:8" ht="12.75" hidden="1" x14ac:dyDescent="0.2">
      <c r="A1385" s="3" t="s">
        <v>160</v>
      </c>
      <c r="B1385" s="2">
        <v>36</v>
      </c>
      <c r="C1385" s="4" t="s">
        <v>66</v>
      </c>
      <c r="D1385" s="3" t="s">
        <v>162</v>
      </c>
      <c r="E1385" s="3" t="s">
        <v>139</v>
      </c>
      <c r="F1385" s="3" t="str">
        <f t="shared" si="0"/>
        <v>3 - Otros</v>
      </c>
      <c r="G1385" s="2">
        <v>13</v>
      </c>
      <c r="H1385" s="3"/>
    </row>
    <row r="1386" spans="1:8" ht="12.75" hidden="1" x14ac:dyDescent="0.2">
      <c r="A1386" s="3" t="s">
        <v>160</v>
      </c>
      <c r="B1386" s="2">
        <v>36</v>
      </c>
      <c r="C1386" s="4" t="s">
        <v>66</v>
      </c>
      <c r="D1386" s="3" t="s">
        <v>162</v>
      </c>
      <c r="E1386" s="3" t="s">
        <v>135</v>
      </c>
      <c r="F1386" s="3" t="str">
        <f t="shared" si="0"/>
        <v>3 - Otros</v>
      </c>
      <c r="G1386" s="2">
        <v>8</v>
      </c>
      <c r="H1386" s="3"/>
    </row>
    <row r="1387" spans="1:8" ht="12.75" hidden="1" x14ac:dyDescent="0.2">
      <c r="A1387" s="3" t="s">
        <v>160</v>
      </c>
      <c r="B1387" s="2">
        <v>36</v>
      </c>
      <c r="C1387" s="4" t="s">
        <v>66</v>
      </c>
      <c r="D1387" s="3" t="s">
        <v>162</v>
      </c>
      <c r="E1387" s="3" t="s">
        <v>145</v>
      </c>
      <c r="F1387" s="3" t="str">
        <f t="shared" si="0"/>
        <v>3 - Otros</v>
      </c>
      <c r="G1387" s="2">
        <v>7</v>
      </c>
      <c r="H1387" s="3"/>
    </row>
    <row r="1388" spans="1:8" ht="12.75" hidden="1" x14ac:dyDescent="0.2">
      <c r="A1388" s="3" t="s">
        <v>160</v>
      </c>
      <c r="B1388" s="2">
        <v>36</v>
      </c>
      <c r="C1388" s="4" t="s">
        <v>66</v>
      </c>
      <c r="D1388" s="3" t="s">
        <v>161</v>
      </c>
      <c r="E1388" s="3" t="s">
        <v>128</v>
      </c>
      <c r="F1388" s="3" t="str">
        <f t="shared" si="0"/>
        <v>2 - Frepam</v>
      </c>
      <c r="G1388" s="2">
        <v>1527</v>
      </c>
      <c r="H1388" s="3"/>
    </row>
    <row r="1389" spans="1:8" ht="12.75" hidden="1" x14ac:dyDescent="0.2">
      <c r="A1389" s="3" t="s">
        <v>160</v>
      </c>
      <c r="B1389" s="2">
        <v>36</v>
      </c>
      <c r="C1389" s="4" t="s">
        <v>66</v>
      </c>
      <c r="D1389" s="3" t="s">
        <v>161</v>
      </c>
      <c r="E1389" s="3" t="s">
        <v>3</v>
      </c>
      <c r="F1389" s="3" t="str">
        <f t="shared" si="0"/>
        <v>1 - PJ</v>
      </c>
      <c r="G1389" s="2">
        <v>918</v>
      </c>
      <c r="H1389" s="3"/>
    </row>
    <row r="1390" spans="1:8" ht="12.75" hidden="1" x14ac:dyDescent="0.2">
      <c r="A1390" s="3" t="s">
        <v>160</v>
      </c>
      <c r="B1390" s="2">
        <v>36</v>
      </c>
      <c r="C1390" s="4" t="s">
        <v>66</v>
      </c>
      <c r="D1390" s="3" t="s">
        <v>161</v>
      </c>
      <c r="E1390" s="3" t="s">
        <v>133</v>
      </c>
      <c r="F1390" s="3" t="str">
        <f t="shared" si="0"/>
        <v>3 - Otros</v>
      </c>
      <c r="G1390" s="2">
        <v>174</v>
      </c>
      <c r="H1390" s="3"/>
    </row>
    <row r="1391" spans="1:8" ht="12.75" hidden="1" x14ac:dyDescent="0.2">
      <c r="A1391" s="3" t="s">
        <v>160</v>
      </c>
      <c r="B1391" s="2">
        <v>36</v>
      </c>
      <c r="C1391" s="4" t="s">
        <v>66</v>
      </c>
      <c r="D1391" s="3" t="s">
        <v>161</v>
      </c>
      <c r="E1391" s="3" t="s">
        <v>14</v>
      </c>
      <c r="F1391" s="3" t="str">
        <f t="shared" si="0"/>
        <v>4 - Blanco/Nulo</v>
      </c>
      <c r="G1391" s="2">
        <v>147</v>
      </c>
      <c r="H1391" s="3"/>
    </row>
    <row r="1392" spans="1:8" ht="12.75" hidden="1" x14ac:dyDescent="0.2">
      <c r="A1392" s="3" t="s">
        <v>160</v>
      </c>
      <c r="B1392" s="2">
        <v>36</v>
      </c>
      <c r="C1392" s="4" t="s">
        <v>66</v>
      </c>
      <c r="D1392" s="3" t="s">
        <v>161</v>
      </c>
      <c r="E1392" s="3" t="s">
        <v>149</v>
      </c>
      <c r="F1392" s="3" t="str">
        <f t="shared" si="0"/>
        <v>3 - Otros</v>
      </c>
      <c r="G1392" s="2">
        <v>73</v>
      </c>
      <c r="H1392" s="3"/>
    </row>
    <row r="1393" spans="1:8" ht="12.75" hidden="1" x14ac:dyDescent="0.2">
      <c r="A1393" s="3" t="s">
        <v>160</v>
      </c>
      <c r="B1393" s="2">
        <v>36</v>
      </c>
      <c r="C1393" s="4" t="s">
        <v>66</v>
      </c>
      <c r="D1393" s="3" t="s">
        <v>161</v>
      </c>
      <c r="E1393" s="3" t="s">
        <v>138</v>
      </c>
      <c r="F1393" s="3" t="str">
        <f t="shared" si="0"/>
        <v>4 - Blanco/Nulo</v>
      </c>
      <c r="G1393" s="2">
        <v>23</v>
      </c>
      <c r="H1393" s="2">
        <f>SUM(G1388:G1397)</f>
        <v>2909</v>
      </c>
    </row>
    <row r="1394" spans="1:8" ht="12.75" hidden="1" x14ac:dyDescent="0.2">
      <c r="A1394" s="3" t="s">
        <v>160</v>
      </c>
      <c r="B1394" s="2">
        <v>36</v>
      </c>
      <c r="C1394" s="4" t="s">
        <v>66</v>
      </c>
      <c r="D1394" s="3" t="s">
        <v>161</v>
      </c>
      <c r="E1394" s="3" t="s">
        <v>148</v>
      </c>
      <c r="F1394" s="3" t="str">
        <f t="shared" si="0"/>
        <v>3 - Otros</v>
      </c>
      <c r="G1394" s="2">
        <v>19</v>
      </c>
      <c r="H1394" s="3"/>
    </row>
    <row r="1395" spans="1:8" ht="12.75" hidden="1" x14ac:dyDescent="0.2">
      <c r="A1395" s="3" t="s">
        <v>160</v>
      </c>
      <c r="B1395" s="2">
        <v>36</v>
      </c>
      <c r="C1395" s="4" t="s">
        <v>66</v>
      </c>
      <c r="D1395" s="3" t="s">
        <v>161</v>
      </c>
      <c r="E1395" s="3" t="s">
        <v>139</v>
      </c>
      <c r="F1395" s="3" t="str">
        <f t="shared" si="0"/>
        <v>3 - Otros</v>
      </c>
      <c r="G1395" s="2">
        <v>12</v>
      </c>
      <c r="H1395" s="3"/>
    </row>
    <row r="1396" spans="1:8" ht="12.75" hidden="1" x14ac:dyDescent="0.2">
      <c r="A1396" s="3" t="s">
        <v>160</v>
      </c>
      <c r="B1396" s="2">
        <v>36</v>
      </c>
      <c r="C1396" s="4" t="s">
        <v>66</v>
      </c>
      <c r="D1396" s="3" t="s">
        <v>161</v>
      </c>
      <c r="E1396" s="3" t="s">
        <v>145</v>
      </c>
      <c r="F1396" s="3" t="str">
        <f t="shared" si="0"/>
        <v>3 - Otros</v>
      </c>
      <c r="G1396" s="2">
        <v>9</v>
      </c>
      <c r="H1396" s="3"/>
    </row>
    <row r="1397" spans="1:8" ht="12.75" hidden="1" x14ac:dyDescent="0.2">
      <c r="A1397" s="3" t="s">
        <v>160</v>
      </c>
      <c r="B1397" s="2">
        <v>36</v>
      </c>
      <c r="C1397" s="4" t="s">
        <v>66</v>
      </c>
      <c r="D1397" s="3" t="s">
        <v>161</v>
      </c>
      <c r="E1397" s="3" t="s">
        <v>135</v>
      </c>
      <c r="F1397" s="3" t="str">
        <f t="shared" si="0"/>
        <v>3 - Otros</v>
      </c>
      <c r="G1397" s="2">
        <v>7</v>
      </c>
      <c r="H1397" s="3"/>
    </row>
    <row r="1398" spans="1:8" ht="12.75" hidden="1" x14ac:dyDescent="0.2">
      <c r="A1398" s="3" t="s">
        <v>160</v>
      </c>
      <c r="B1398" s="2">
        <v>37</v>
      </c>
      <c r="C1398" s="4" t="s">
        <v>67</v>
      </c>
      <c r="D1398" s="3" t="s">
        <v>15</v>
      </c>
      <c r="E1398" s="3" t="s">
        <v>136</v>
      </c>
      <c r="F1398" s="3" t="str">
        <f t="shared" si="0"/>
        <v>1 - PJ</v>
      </c>
      <c r="G1398" s="2">
        <v>33</v>
      </c>
      <c r="H1398" s="2">
        <f>SUM(G1398:G1399)</f>
        <v>47</v>
      </c>
    </row>
    <row r="1399" spans="1:8" ht="12.75" hidden="1" x14ac:dyDescent="0.2">
      <c r="A1399" s="3" t="s">
        <v>160</v>
      </c>
      <c r="B1399" s="2">
        <v>37</v>
      </c>
      <c r="C1399" s="4" t="s">
        <v>67</v>
      </c>
      <c r="D1399" s="3" t="s">
        <v>15</v>
      </c>
      <c r="E1399" s="3" t="s">
        <v>128</v>
      </c>
      <c r="F1399" s="3" t="str">
        <f t="shared" si="0"/>
        <v>2 - Frepam</v>
      </c>
      <c r="G1399" s="2">
        <v>14</v>
      </c>
      <c r="H1399" s="3"/>
    </row>
    <row r="1400" spans="1:8" ht="12.75" hidden="1" x14ac:dyDescent="0.2">
      <c r="A1400" s="3" t="s">
        <v>160</v>
      </c>
      <c r="B1400" s="2">
        <v>37</v>
      </c>
      <c r="C1400" s="4" t="s">
        <v>67</v>
      </c>
      <c r="D1400" s="3" t="s">
        <v>161</v>
      </c>
      <c r="E1400" s="3" t="s">
        <v>136</v>
      </c>
      <c r="F1400" s="3" t="str">
        <f t="shared" si="0"/>
        <v>1 - PJ</v>
      </c>
      <c r="G1400" s="2">
        <v>31</v>
      </c>
      <c r="H1400" s="2">
        <f>SUM(G1400:G1401)</f>
        <v>47</v>
      </c>
    </row>
    <row r="1401" spans="1:8" ht="12.75" hidden="1" x14ac:dyDescent="0.2">
      <c r="A1401" s="3" t="s">
        <v>160</v>
      </c>
      <c r="B1401" s="2">
        <v>37</v>
      </c>
      <c r="C1401" s="4" t="s">
        <v>67</v>
      </c>
      <c r="D1401" s="3" t="s">
        <v>161</v>
      </c>
      <c r="E1401" s="3" t="s">
        <v>128</v>
      </c>
      <c r="F1401" s="3" t="str">
        <f t="shared" si="0"/>
        <v>2 - Frepam</v>
      </c>
      <c r="G1401" s="2">
        <v>16</v>
      </c>
      <c r="H1401" s="3"/>
    </row>
    <row r="1402" spans="1:8" ht="12.75" hidden="1" x14ac:dyDescent="0.2">
      <c r="A1402" s="3" t="s">
        <v>160</v>
      </c>
      <c r="B1402" s="2">
        <v>37</v>
      </c>
      <c r="C1402" s="4" t="s">
        <v>67</v>
      </c>
      <c r="D1402" s="3" t="s">
        <v>162</v>
      </c>
      <c r="E1402" s="3" t="s">
        <v>136</v>
      </c>
      <c r="F1402" s="3" t="str">
        <f t="shared" si="0"/>
        <v>1 - PJ</v>
      </c>
      <c r="G1402" s="2">
        <v>31</v>
      </c>
      <c r="H1402" s="3"/>
    </row>
    <row r="1403" spans="1:8" ht="12.75" hidden="1" x14ac:dyDescent="0.2">
      <c r="A1403" s="3" t="s">
        <v>160</v>
      </c>
      <c r="B1403" s="2">
        <v>37</v>
      </c>
      <c r="C1403" s="4" t="s">
        <v>67</v>
      </c>
      <c r="D1403" s="3" t="s">
        <v>162</v>
      </c>
      <c r="E1403" s="3" t="s">
        <v>128</v>
      </c>
      <c r="F1403" s="3" t="str">
        <f t="shared" si="0"/>
        <v>2 - Frepam</v>
      </c>
      <c r="G1403" s="2">
        <v>15</v>
      </c>
      <c r="H1403" s="2">
        <f>SUM(G1402:G1404)</f>
        <v>47</v>
      </c>
    </row>
    <row r="1404" spans="1:8" ht="12.75" hidden="1" x14ac:dyDescent="0.2">
      <c r="A1404" s="3" t="s">
        <v>160</v>
      </c>
      <c r="B1404" s="2">
        <v>37</v>
      </c>
      <c r="C1404" s="4" t="s">
        <v>67</v>
      </c>
      <c r="D1404" s="3" t="s">
        <v>162</v>
      </c>
      <c r="E1404" s="3" t="s">
        <v>133</v>
      </c>
      <c r="F1404" s="3" t="str">
        <f t="shared" si="0"/>
        <v>3 - Otros</v>
      </c>
      <c r="G1404" s="2">
        <v>1</v>
      </c>
      <c r="H1404" s="3"/>
    </row>
    <row r="1405" spans="1:8" ht="12.75" hidden="1" x14ac:dyDescent="0.2">
      <c r="A1405" s="3" t="s">
        <v>160</v>
      </c>
      <c r="B1405" s="2">
        <v>38</v>
      </c>
      <c r="C1405" s="4" t="s">
        <v>68</v>
      </c>
      <c r="D1405" s="3" t="s">
        <v>2</v>
      </c>
      <c r="E1405" s="3" t="s">
        <v>128</v>
      </c>
      <c r="F1405" s="3" t="str">
        <f t="shared" si="0"/>
        <v>2 - Frepam</v>
      </c>
      <c r="G1405" s="2">
        <v>269</v>
      </c>
      <c r="H1405" s="3"/>
    </row>
    <row r="1406" spans="1:8" ht="12.75" hidden="1" x14ac:dyDescent="0.2">
      <c r="A1406" s="3" t="s">
        <v>160</v>
      </c>
      <c r="B1406" s="2">
        <v>38</v>
      </c>
      <c r="C1406" s="4" t="s">
        <v>68</v>
      </c>
      <c r="D1406" s="3" t="s">
        <v>2</v>
      </c>
      <c r="E1406" s="3" t="s">
        <v>14</v>
      </c>
      <c r="F1406" s="3" t="str">
        <f t="shared" si="0"/>
        <v>4 - Blanco/Nulo</v>
      </c>
      <c r="G1406" s="2">
        <v>106</v>
      </c>
      <c r="H1406" s="2">
        <f>SUM(G1405:G1407)</f>
        <v>376</v>
      </c>
    </row>
    <row r="1407" spans="1:8" ht="12.75" hidden="1" x14ac:dyDescent="0.2">
      <c r="A1407" s="3" t="s">
        <v>160</v>
      </c>
      <c r="B1407" s="2">
        <v>38</v>
      </c>
      <c r="C1407" s="4" t="s">
        <v>68</v>
      </c>
      <c r="D1407" s="3" t="s">
        <v>2</v>
      </c>
      <c r="E1407" s="3" t="s">
        <v>138</v>
      </c>
      <c r="F1407" s="3" t="str">
        <f t="shared" si="0"/>
        <v>4 - Blanco/Nulo</v>
      </c>
      <c r="G1407" s="2">
        <v>1</v>
      </c>
      <c r="H1407" s="3"/>
    </row>
    <row r="1408" spans="1:8" ht="12.75" hidden="1" x14ac:dyDescent="0.2">
      <c r="A1408" s="3" t="s">
        <v>160</v>
      </c>
      <c r="B1408" s="2">
        <v>38</v>
      </c>
      <c r="C1408" s="4" t="s">
        <v>68</v>
      </c>
      <c r="D1408" s="3" t="s">
        <v>161</v>
      </c>
      <c r="E1408" s="3" t="s">
        <v>128</v>
      </c>
      <c r="F1408" s="3" t="str">
        <f t="shared" si="0"/>
        <v>2 - Frepam</v>
      </c>
      <c r="G1408" s="2">
        <v>218</v>
      </c>
      <c r="H1408" s="3"/>
    </row>
    <row r="1409" spans="1:8" ht="12.75" hidden="1" x14ac:dyDescent="0.2">
      <c r="A1409" s="3" t="s">
        <v>160</v>
      </c>
      <c r="B1409" s="2">
        <v>38</v>
      </c>
      <c r="C1409" s="4" t="s">
        <v>68</v>
      </c>
      <c r="D1409" s="3" t="s">
        <v>161</v>
      </c>
      <c r="E1409" s="3" t="s">
        <v>136</v>
      </c>
      <c r="F1409" s="3" t="str">
        <f t="shared" si="0"/>
        <v>1 - PJ</v>
      </c>
      <c r="G1409" s="2">
        <v>85</v>
      </c>
      <c r="H1409" s="3"/>
    </row>
    <row r="1410" spans="1:8" ht="12.75" hidden="1" x14ac:dyDescent="0.2">
      <c r="A1410" s="3" t="s">
        <v>160</v>
      </c>
      <c r="B1410" s="2">
        <v>38</v>
      </c>
      <c r="C1410" s="4" t="s">
        <v>68</v>
      </c>
      <c r="D1410" s="3" t="s">
        <v>161</v>
      </c>
      <c r="E1410" s="3" t="s">
        <v>133</v>
      </c>
      <c r="F1410" s="3" t="str">
        <f t="shared" si="0"/>
        <v>3 - Otros</v>
      </c>
      <c r="G1410" s="2">
        <v>31</v>
      </c>
      <c r="H1410" s="3"/>
    </row>
    <row r="1411" spans="1:8" ht="12.75" hidden="1" x14ac:dyDescent="0.2">
      <c r="A1411" s="3" t="s">
        <v>160</v>
      </c>
      <c r="B1411" s="2">
        <v>38</v>
      </c>
      <c r="C1411" s="4" t="s">
        <v>68</v>
      </c>
      <c r="D1411" s="3" t="s">
        <v>161</v>
      </c>
      <c r="E1411" s="3" t="s">
        <v>14</v>
      </c>
      <c r="F1411" s="3" t="str">
        <f t="shared" si="0"/>
        <v>4 - Blanco/Nulo</v>
      </c>
      <c r="G1411" s="2">
        <v>17</v>
      </c>
      <c r="H1411" s="3"/>
    </row>
    <row r="1412" spans="1:8" ht="12.75" hidden="1" x14ac:dyDescent="0.2">
      <c r="A1412" s="3" t="s">
        <v>160</v>
      </c>
      <c r="B1412" s="2">
        <v>38</v>
      </c>
      <c r="C1412" s="4" t="s">
        <v>68</v>
      </c>
      <c r="D1412" s="3" t="s">
        <v>161</v>
      </c>
      <c r="E1412" s="3" t="s">
        <v>149</v>
      </c>
      <c r="F1412" s="3" t="str">
        <f t="shared" si="0"/>
        <v>3 - Otros</v>
      </c>
      <c r="G1412" s="2">
        <v>5</v>
      </c>
      <c r="H1412" s="2">
        <f>SUM(G1408:G1417)</f>
        <v>376</v>
      </c>
    </row>
    <row r="1413" spans="1:8" ht="12.75" hidden="1" x14ac:dyDescent="0.2">
      <c r="A1413" s="3" t="s">
        <v>160</v>
      </c>
      <c r="B1413" s="2">
        <v>38</v>
      </c>
      <c r="C1413" s="4" t="s">
        <v>68</v>
      </c>
      <c r="D1413" s="3" t="s">
        <v>161</v>
      </c>
      <c r="E1413" s="3" t="s">
        <v>135</v>
      </c>
      <c r="F1413" s="3" t="str">
        <f t="shared" si="0"/>
        <v>3 - Otros</v>
      </c>
      <c r="G1413" s="2">
        <v>5</v>
      </c>
      <c r="H1413" s="3"/>
    </row>
    <row r="1414" spans="1:8" ht="12.75" hidden="1" x14ac:dyDescent="0.2">
      <c r="A1414" s="3" t="s">
        <v>160</v>
      </c>
      <c r="B1414" s="2">
        <v>38</v>
      </c>
      <c r="C1414" s="4" t="s">
        <v>68</v>
      </c>
      <c r="D1414" s="3" t="s">
        <v>161</v>
      </c>
      <c r="E1414" s="3" t="s">
        <v>139</v>
      </c>
      <c r="F1414" s="3" t="str">
        <f t="shared" si="0"/>
        <v>3 - Otros</v>
      </c>
      <c r="G1414" s="2">
        <v>5</v>
      </c>
      <c r="H1414" s="3"/>
    </row>
    <row r="1415" spans="1:8" ht="12.75" hidden="1" x14ac:dyDescent="0.2">
      <c r="A1415" s="3" t="s">
        <v>160</v>
      </c>
      <c r="B1415" s="2">
        <v>38</v>
      </c>
      <c r="C1415" s="4" t="s">
        <v>68</v>
      </c>
      <c r="D1415" s="3" t="s">
        <v>161</v>
      </c>
      <c r="E1415" s="3" t="s">
        <v>148</v>
      </c>
      <c r="F1415" s="3" t="str">
        <f t="shared" si="0"/>
        <v>3 - Otros</v>
      </c>
      <c r="G1415" s="2">
        <v>4</v>
      </c>
      <c r="H1415" s="3"/>
    </row>
    <row r="1416" spans="1:8" ht="12.75" hidden="1" x14ac:dyDescent="0.2">
      <c r="A1416" s="3" t="s">
        <v>160</v>
      </c>
      <c r="B1416" s="2">
        <v>38</v>
      </c>
      <c r="C1416" s="4" t="s">
        <v>68</v>
      </c>
      <c r="D1416" s="3" t="s">
        <v>161</v>
      </c>
      <c r="E1416" s="3" t="s">
        <v>138</v>
      </c>
      <c r="F1416" s="3" t="str">
        <f t="shared" si="0"/>
        <v>4 - Blanco/Nulo</v>
      </c>
      <c r="G1416" s="2">
        <v>4</v>
      </c>
      <c r="H1416" s="3"/>
    </row>
    <row r="1417" spans="1:8" ht="12.75" hidden="1" x14ac:dyDescent="0.2">
      <c r="A1417" s="3" t="s">
        <v>160</v>
      </c>
      <c r="B1417" s="2">
        <v>38</v>
      </c>
      <c r="C1417" s="4" t="s">
        <v>68</v>
      </c>
      <c r="D1417" s="3" t="s">
        <v>161</v>
      </c>
      <c r="E1417" s="3" t="s">
        <v>145</v>
      </c>
      <c r="F1417" s="3" t="str">
        <f t="shared" si="0"/>
        <v>3 - Otros</v>
      </c>
      <c r="G1417" s="2">
        <v>2</v>
      </c>
      <c r="H1417" s="3"/>
    </row>
    <row r="1418" spans="1:8" ht="12.75" hidden="1" x14ac:dyDescent="0.2">
      <c r="A1418" s="3" t="s">
        <v>160</v>
      </c>
      <c r="B1418" s="2">
        <v>38</v>
      </c>
      <c r="C1418" s="4" t="s">
        <v>68</v>
      </c>
      <c r="D1418" s="3" t="s">
        <v>162</v>
      </c>
      <c r="E1418" s="3" t="s">
        <v>128</v>
      </c>
      <c r="F1418" s="3" t="str">
        <f t="shared" si="0"/>
        <v>2 - Frepam</v>
      </c>
      <c r="G1418" s="2">
        <v>213</v>
      </c>
      <c r="H1418" s="3"/>
    </row>
    <row r="1419" spans="1:8" ht="12.75" hidden="1" x14ac:dyDescent="0.2">
      <c r="A1419" s="3" t="s">
        <v>160</v>
      </c>
      <c r="B1419" s="2">
        <v>38</v>
      </c>
      <c r="C1419" s="4" t="s">
        <v>68</v>
      </c>
      <c r="D1419" s="3" t="s">
        <v>162</v>
      </c>
      <c r="E1419" s="3" t="s">
        <v>136</v>
      </c>
      <c r="F1419" s="3" t="str">
        <f t="shared" si="0"/>
        <v>1 - PJ</v>
      </c>
      <c r="G1419" s="2">
        <v>88</v>
      </c>
      <c r="H1419" s="3"/>
    </row>
    <row r="1420" spans="1:8" ht="12.75" hidden="1" x14ac:dyDescent="0.2">
      <c r="A1420" s="3" t="s">
        <v>160</v>
      </c>
      <c r="B1420" s="2">
        <v>38</v>
      </c>
      <c r="C1420" s="4" t="s">
        <v>68</v>
      </c>
      <c r="D1420" s="3" t="s">
        <v>162</v>
      </c>
      <c r="E1420" s="3" t="s">
        <v>133</v>
      </c>
      <c r="F1420" s="3" t="str">
        <f t="shared" si="0"/>
        <v>3 - Otros</v>
      </c>
      <c r="G1420" s="2">
        <v>37</v>
      </c>
      <c r="H1420" s="3"/>
    </row>
    <row r="1421" spans="1:8" ht="12.75" hidden="1" x14ac:dyDescent="0.2">
      <c r="A1421" s="3" t="s">
        <v>160</v>
      </c>
      <c r="B1421" s="2">
        <v>38</v>
      </c>
      <c r="C1421" s="4" t="s">
        <v>68</v>
      </c>
      <c r="D1421" s="3" t="s">
        <v>162</v>
      </c>
      <c r="E1421" s="3" t="s">
        <v>14</v>
      </c>
      <c r="F1421" s="3" t="str">
        <f t="shared" si="0"/>
        <v>4 - Blanco/Nulo</v>
      </c>
      <c r="G1421" s="2">
        <v>13</v>
      </c>
      <c r="H1421" s="3"/>
    </row>
    <row r="1422" spans="1:8" ht="12.75" hidden="1" x14ac:dyDescent="0.2">
      <c r="A1422" s="3" t="s">
        <v>160</v>
      </c>
      <c r="B1422" s="2">
        <v>38</v>
      </c>
      <c r="C1422" s="4" t="s">
        <v>68</v>
      </c>
      <c r="D1422" s="3" t="s">
        <v>162</v>
      </c>
      <c r="E1422" s="3" t="s">
        <v>149</v>
      </c>
      <c r="F1422" s="3" t="str">
        <f t="shared" si="0"/>
        <v>3 - Otros</v>
      </c>
      <c r="G1422" s="2">
        <v>5</v>
      </c>
      <c r="H1422" s="2">
        <f>SUM(G1418:G1427)</f>
        <v>376</v>
      </c>
    </row>
    <row r="1423" spans="1:8" ht="12.75" hidden="1" x14ac:dyDescent="0.2">
      <c r="A1423" s="3" t="s">
        <v>160</v>
      </c>
      <c r="B1423" s="2">
        <v>38</v>
      </c>
      <c r="C1423" s="4" t="s">
        <v>68</v>
      </c>
      <c r="D1423" s="3" t="s">
        <v>162</v>
      </c>
      <c r="E1423" s="3" t="s">
        <v>135</v>
      </c>
      <c r="F1423" s="3" t="str">
        <f t="shared" si="0"/>
        <v>3 - Otros</v>
      </c>
      <c r="G1423" s="2">
        <v>5</v>
      </c>
      <c r="H1423" s="3"/>
    </row>
    <row r="1424" spans="1:8" ht="12.75" hidden="1" x14ac:dyDescent="0.2">
      <c r="A1424" s="3" t="s">
        <v>160</v>
      </c>
      <c r="B1424" s="2">
        <v>38</v>
      </c>
      <c r="C1424" s="4" t="s">
        <v>68</v>
      </c>
      <c r="D1424" s="3" t="s">
        <v>162</v>
      </c>
      <c r="E1424" s="3" t="s">
        <v>139</v>
      </c>
      <c r="F1424" s="3" t="str">
        <f t="shared" si="0"/>
        <v>3 - Otros</v>
      </c>
      <c r="G1424" s="2">
        <v>5</v>
      </c>
      <c r="H1424" s="3"/>
    </row>
    <row r="1425" spans="1:8" ht="12.75" hidden="1" x14ac:dyDescent="0.2">
      <c r="A1425" s="3" t="s">
        <v>160</v>
      </c>
      <c r="B1425" s="2">
        <v>38</v>
      </c>
      <c r="C1425" s="4" t="s">
        <v>68</v>
      </c>
      <c r="D1425" s="3" t="s">
        <v>162</v>
      </c>
      <c r="E1425" s="3" t="s">
        <v>148</v>
      </c>
      <c r="F1425" s="3" t="str">
        <f t="shared" si="0"/>
        <v>3 - Otros</v>
      </c>
      <c r="G1425" s="2">
        <v>4</v>
      </c>
      <c r="H1425" s="3"/>
    </row>
    <row r="1426" spans="1:8" ht="12.75" hidden="1" x14ac:dyDescent="0.2">
      <c r="A1426" s="3" t="s">
        <v>160</v>
      </c>
      <c r="B1426" s="2">
        <v>38</v>
      </c>
      <c r="C1426" s="4" t="s">
        <v>68</v>
      </c>
      <c r="D1426" s="3" t="s">
        <v>162</v>
      </c>
      <c r="E1426" s="3" t="s">
        <v>138</v>
      </c>
      <c r="F1426" s="3" t="str">
        <f t="shared" si="0"/>
        <v>4 - Blanco/Nulo</v>
      </c>
      <c r="G1426" s="2">
        <v>4</v>
      </c>
      <c r="H1426" s="3"/>
    </row>
    <row r="1427" spans="1:8" ht="12.75" hidden="1" x14ac:dyDescent="0.2">
      <c r="A1427" s="3" t="s">
        <v>160</v>
      </c>
      <c r="B1427" s="2">
        <v>38</v>
      </c>
      <c r="C1427" s="4" t="s">
        <v>68</v>
      </c>
      <c r="D1427" s="3" t="s">
        <v>162</v>
      </c>
      <c r="E1427" s="3" t="s">
        <v>145</v>
      </c>
      <c r="F1427" s="3" t="str">
        <f t="shared" si="0"/>
        <v>3 - Otros</v>
      </c>
      <c r="G1427" s="2">
        <v>2</v>
      </c>
      <c r="H1427" s="3"/>
    </row>
    <row r="1428" spans="1:8" ht="12.75" hidden="1" x14ac:dyDescent="0.2">
      <c r="A1428" s="3" t="s">
        <v>160</v>
      </c>
      <c r="B1428" s="2">
        <v>39</v>
      </c>
      <c r="C1428" s="4" t="s">
        <v>69</v>
      </c>
      <c r="D1428" s="3" t="s">
        <v>2</v>
      </c>
      <c r="E1428" s="3" t="s">
        <v>128</v>
      </c>
      <c r="F1428" s="3" t="str">
        <f t="shared" si="0"/>
        <v>2 - Frepam</v>
      </c>
      <c r="G1428" s="2">
        <v>654</v>
      </c>
      <c r="H1428" s="3"/>
    </row>
    <row r="1429" spans="1:8" ht="12.75" hidden="1" x14ac:dyDescent="0.2">
      <c r="A1429" s="3" t="s">
        <v>160</v>
      </c>
      <c r="B1429" s="2">
        <v>39</v>
      </c>
      <c r="C1429" s="4" t="s">
        <v>69</v>
      </c>
      <c r="D1429" s="3" t="s">
        <v>2</v>
      </c>
      <c r="E1429" s="3" t="s">
        <v>136</v>
      </c>
      <c r="F1429" s="3" t="str">
        <f t="shared" si="0"/>
        <v>1 - PJ</v>
      </c>
      <c r="G1429" s="2">
        <v>605</v>
      </c>
      <c r="H1429" s="3"/>
    </row>
    <row r="1430" spans="1:8" ht="12.75" hidden="1" x14ac:dyDescent="0.2">
      <c r="A1430" s="3" t="s">
        <v>160</v>
      </c>
      <c r="B1430" s="2">
        <v>39</v>
      </c>
      <c r="C1430" s="4" t="s">
        <v>69</v>
      </c>
      <c r="D1430" s="3" t="s">
        <v>2</v>
      </c>
      <c r="E1430" s="3" t="s">
        <v>14</v>
      </c>
      <c r="F1430" s="3" t="str">
        <f t="shared" si="0"/>
        <v>4 - Blanco/Nulo</v>
      </c>
      <c r="G1430" s="2">
        <v>33</v>
      </c>
      <c r="H1430" s="2">
        <f>SUM(G1428:G1431)</f>
        <v>1296</v>
      </c>
    </row>
    <row r="1431" spans="1:8" ht="12.75" hidden="1" x14ac:dyDescent="0.2">
      <c r="A1431" s="3" t="s">
        <v>160</v>
      </c>
      <c r="B1431" s="2">
        <v>39</v>
      </c>
      <c r="C1431" s="4" t="s">
        <v>69</v>
      </c>
      <c r="D1431" s="3" t="s">
        <v>2</v>
      </c>
      <c r="E1431" s="3" t="s">
        <v>138</v>
      </c>
      <c r="F1431" s="3" t="str">
        <f t="shared" si="0"/>
        <v>4 - Blanco/Nulo</v>
      </c>
      <c r="G1431" s="2">
        <v>4</v>
      </c>
      <c r="H1431" s="3"/>
    </row>
    <row r="1432" spans="1:8" ht="12.75" hidden="1" x14ac:dyDescent="0.2">
      <c r="A1432" s="3" t="s">
        <v>160</v>
      </c>
      <c r="B1432" s="2">
        <v>39</v>
      </c>
      <c r="C1432" s="4" t="s">
        <v>69</v>
      </c>
      <c r="D1432" s="3" t="s">
        <v>161</v>
      </c>
      <c r="E1432" s="3" t="s">
        <v>136</v>
      </c>
      <c r="F1432" s="3" t="str">
        <f t="shared" si="0"/>
        <v>1 - PJ</v>
      </c>
      <c r="G1432" s="2">
        <v>655</v>
      </c>
      <c r="H1432" s="3"/>
    </row>
    <row r="1433" spans="1:8" ht="12.75" hidden="1" x14ac:dyDescent="0.2">
      <c r="A1433" s="3" t="s">
        <v>160</v>
      </c>
      <c r="B1433" s="2">
        <v>39</v>
      </c>
      <c r="C1433" s="4" t="s">
        <v>69</v>
      </c>
      <c r="D1433" s="3" t="s">
        <v>161</v>
      </c>
      <c r="E1433" s="3" t="s">
        <v>128</v>
      </c>
      <c r="F1433" s="3" t="str">
        <f t="shared" si="0"/>
        <v>2 - Frepam</v>
      </c>
      <c r="G1433" s="2">
        <v>536</v>
      </c>
      <c r="H1433" s="3"/>
    </row>
    <row r="1434" spans="1:8" ht="12.75" hidden="1" x14ac:dyDescent="0.2">
      <c r="A1434" s="3" t="s">
        <v>160</v>
      </c>
      <c r="B1434" s="2">
        <v>39</v>
      </c>
      <c r="C1434" s="4" t="s">
        <v>69</v>
      </c>
      <c r="D1434" s="3" t="s">
        <v>161</v>
      </c>
      <c r="E1434" s="3" t="s">
        <v>14</v>
      </c>
      <c r="F1434" s="3" t="str">
        <f t="shared" si="0"/>
        <v>4 - Blanco/Nulo</v>
      </c>
      <c r="G1434" s="2">
        <v>69</v>
      </c>
      <c r="H1434" s="3"/>
    </row>
    <row r="1435" spans="1:8" ht="12.75" hidden="1" x14ac:dyDescent="0.2">
      <c r="A1435" s="3" t="s">
        <v>160</v>
      </c>
      <c r="B1435" s="2">
        <v>39</v>
      </c>
      <c r="C1435" s="4" t="s">
        <v>69</v>
      </c>
      <c r="D1435" s="3" t="s">
        <v>161</v>
      </c>
      <c r="E1435" s="3" t="s">
        <v>148</v>
      </c>
      <c r="F1435" s="3" t="str">
        <f t="shared" si="0"/>
        <v>3 - Otros</v>
      </c>
      <c r="G1435" s="2">
        <v>14</v>
      </c>
      <c r="H1435" s="3"/>
    </row>
    <row r="1436" spans="1:8" ht="12.75" hidden="1" x14ac:dyDescent="0.2">
      <c r="A1436" s="3" t="s">
        <v>160</v>
      </c>
      <c r="B1436" s="2">
        <v>39</v>
      </c>
      <c r="C1436" s="4" t="s">
        <v>69</v>
      </c>
      <c r="D1436" s="3" t="s">
        <v>161</v>
      </c>
      <c r="E1436" s="3" t="s">
        <v>133</v>
      </c>
      <c r="F1436" s="3" t="str">
        <f t="shared" si="0"/>
        <v>3 - Otros</v>
      </c>
      <c r="G1436" s="2">
        <v>10</v>
      </c>
      <c r="H1436" s="2">
        <f>SUM(G1432:G1440)</f>
        <v>1296</v>
      </c>
    </row>
    <row r="1437" spans="1:8" ht="12.75" hidden="1" x14ac:dyDescent="0.2">
      <c r="A1437" s="3" t="s">
        <v>160</v>
      </c>
      <c r="B1437" s="2">
        <v>39</v>
      </c>
      <c r="C1437" s="4" t="s">
        <v>69</v>
      </c>
      <c r="D1437" s="3" t="s">
        <v>161</v>
      </c>
      <c r="E1437" s="3" t="s">
        <v>138</v>
      </c>
      <c r="F1437" s="3" t="str">
        <f t="shared" si="0"/>
        <v>4 - Blanco/Nulo</v>
      </c>
      <c r="G1437" s="2">
        <v>5</v>
      </c>
      <c r="H1437" s="3"/>
    </row>
    <row r="1438" spans="1:8" ht="12.75" hidden="1" x14ac:dyDescent="0.2">
      <c r="A1438" s="3" t="s">
        <v>160</v>
      </c>
      <c r="B1438" s="2">
        <v>39</v>
      </c>
      <c r="C1438" s="4" t="s">
        <v>69</v>
      </c>
      <c r="D1438" s="3" t="s">
        <v>161</v>
      </c>
      <c r="E1438" s="3" t="s">
        <v>145</v>
      </c>
      <c r="F1438" s="3" t="str">
        <f t="shared" si="0"/>
        <v>3 - Otros</v>
      </c>
      <c r="G1438" s="2">
        <v>3</v>
      </c>
      <c r="H1438" s="3"/>
    </row>
    <row r="1439" spans="1:8" ht="12.75" hidden="1" x14ac:dyDescent="0.2">
      <c r="A1439" s="3" t="s">
        <v>160</v>
      </c>
      <c r="B1439" s="2">
        <v>39</v>
      </c>
      <c r="C1439" s="4" t="s">
        <v>69</v>
      </c>
      <c r="D1439" s="3" t="s">
        <v>161</v>
      </c>
      <c r="E1439" s="3" t="s">
        <v>149</v>
      </c>
      <c r="F1439" s="3" t="str">
        <f t="shared" si="0"/>
        <v>3 - Otros</v>
      </c>
      <c r="G1439" s="2">
        <v>2</v>
      </c>
      <c r="H1439" s="3"/>
    </row>
    <row r="1440" spans="1:8" ht="12.75" hidden="1" x14ac:dyDescent="0.2">
      <c r="A1440" s="3" t="s">
        <v>160</v>
      </c>
      <c r="B1440" s="2">
        <v>39</v>
      </c>
      <c r="C1440" s="4" t="s">
        <v>69</v>
      </c>
      <c r="D1440" s="3" t="s">
        <v>161</v>
      </c>
      <c r="E1440" s="3" t="s">
        <v>139</v>
      </c>
      <c r="F1440" s="3" t="str">
        <f t="shared" si="0"/>
        <v>3 - Otros</v>
      </c>
      <c r="G1440" s="2">
        <v>2</v>
      </c>
      <c r="H1440" s="3"/>
    </row>
    <row r="1441" spans="1:8" ht="12.75" hidden="1" x14ac:dyDescent="0.2">
      <c r="A1441" s="3" t="s">
        <v>160</v>
      </c>
      <c r="B1441" s="2">
        <v>39</v>
      </c>
      <c r="C1441" s="4" t="s">
        <v>69</v>
      </c>
      <c r="D1441" s="3" t="s">
        <v>162</v>
      </c>
      <c r="E1441" s="3" t="s">
        <v>136</v>
      </c>
      <c r="F1441" s="3" t="str">
        <f t="shared" si="0"/>
        <v>1 - PJ</v>
      </c>
      <c r="G1441" s="2">
        <v>688</v>
      </c>
      <c r="H1441" s="3"/>
    </row>
    <row r="1442" spans="1:8" ht="12.75" hidden="1" x14ac:dyDescent="0.2">
      <c r="A1442" s="3" t="s">
        <v>160</v>
      </c>
      <c r="B1442" s="2">
        <v>39</v>
      </c>
      <c r="C1442" s="4" t="s">
        <v>69</v>
      </c>
      <c r="D1442" s="3" t="s">
        <v>162</v>
      </c>
      <c r="E1442" s="3" t="s">
        <v>128</v>
      </c>
      <c r="F1442" s="3" t="str">
        <f t="shared" si="0"/>
        <v>2 - Frepam</v>
      </c>
      <c r="G1442" s="2">
        <v>517</v>
      </c>
      <c r="H1442" s="3"/>
    </row>
    <row r="1443" spans="1:8" ht="12.75" hidden="1" x14ac:dyDescent="0.2">
      <c r="A1443" s="3" t="s">
        <v>160</v>
      </c>
      <c r="B1443" s="2">
        <v>39</v>
      </c>
      <c r="C1443" s="4" t="s">
        <v>69</v>
      </c>
      <c r="D1443" s="3" t="s">
        <v>162</v>
      </c>
      <c r="E1443" s="3" t="s">
        <v>14</v>
      </c>
      <c r="F1443" s="3" t="str">
        <f t="shared" si="0"/>
        <v>4 - Blanco/Nulo</v>
      </c>
      <c r="G1443" s="2">
        <v>51</v>
      </c>
      <c r="H1443" s="3"/>
    </row>
    <row r="1444" spans="1:8" ht="12.75" hidden="1" x14ac:dyDescent="0.2">
      <c r="A1444" s="3" t="s">
        <v>160</v>
      </c>
      <c r="B1444" s="2">
        <v>39</v>
      </c>
      <c r="C1444" s="4" t="s">
        <v>69</v>
      </c>
      <c r="D1444" s="3" t="s">
        <v>162</v>
      </c>
      <c r="E1444" s="3" t="s">
        <v>148</v>
      </c>
      <c r="F1444" s="3" t="str">
        <f t="shared" si="0"/>
        <v>3 - Otros</v>
      </c>
      <c r="G1444" s="2">
        <v>15</v>
      </c>
      <c r="H1444" s="3"/>
    </row>
    <row r="1445" spans="1:8" ht="12.75" hidden="1" x14ac:dyDescent="0.2">
      <c r="A1445" s="3" t="s">
        <v>160</v>
      </c>
      <c r="B1445" s="2">
        <v>39</v>
      </c>
      <c r="C1445" s="4" t="s">
        <v>69</v>
      </c>
      <c r="D1445" s="3" t="s">
        <v>162</v>
      </c>
      <c r="E1445" s="3" t="s">
        <v>133</v>
      </c>
      <c r="F1445" s="3" t="str">
        <f t="shared" si="0"/>
        <v>3 - Otros</v>
      </c>
      <c r="G1445" s="2">
        <v>13</v>
      </c>
      <c r="H1445" s="2">
        <f>SUM(G1441:G1449)</f>
        <v>1296</v>
      </c>
    </row>
    <row r="1446" spans="1:8" ht="12.75" hidden="1" x14ac:dyDescent="0.2">
      <c r="A1446" s="3" t="s">
        <v>160</v>
      </c>
      <c r="B1446" s="2">
        <v>39</v>
      </c>
      <c r="C1446" s="4" t="s">
        <v>69</v>
      </c>
      <c r="D1446" s="3" t="s">
        <v>162</v>
      </c>
      <c r="E1446" s="3" t="s">
        <v>138</v>
      </c>
      <c r="F1446" s="3" t="str">
        <f t="shared" si="0"/>
        <v>4 - Blanco/Nulo</v>
      </c>
      <c r="G1446" s="2">
        <v>7</v>
      </c>
      <c r="H1446" s="3"/>
    </row>
    <row r="1447" spans="1:8" ht="12.75" hidden="1" x14ac:dyDescent="0.2">
      <c r="A1447" s="3" t="s">
        <v>160</v>
      </c>
      <c r="B1447" s="2">
        <v>39</v>
      </c>
      <c r="C1447" s="4" t="s">
        <v>69</v>
      </c>
      <c r="D1447" s="3" t="s">
        <v>162</v>
      </c>
      <c r="E1447" s="3" t="s">
        <v>139</v>
      </c>
      <c r="F1447" s="3" t="str">
        <f t="shared" si="0"/>
        <v>3 - Otros</v>
      </c>
      <c r="G1447" s="2">
        <v>2</v>
      </c>
      <c r="H1447" s="3"/>
    </row>
    <row r="1448" spans="1:8" ht="12.75" hidden="1" x14ac:dyDescent="0.2">
      <c r="A1448" s="3" t="s">
        <v>160</v>
      </c>
      <c r="B1448" s="2">
        <v>39</v>
      </c>
      <c r="C1448" s="4" t="s">
        <v>69</v>
      </c>
      <c r="D1448" s="3" t="s">
        <v>162</v>
      </c>
      <c r="E1448" s="3" t="s">
        <v>145</v>
      </c>
      <c r="F1448" s="3" t="str">
        <f t="shared" si="0"/>
        <v>3 - Otros</v>
      </c>
      <c r="G1448" s="2">
        <v>2</v>
      </c>
      <c r="H1448" s="3"/>
    </row>
    <row r="1449" spans="1:8" ht="12.75" hidden="1" x14ac:dyDescent="0.2">
      <c r="A1449" s="3" t="s">
        <v>160</v>
      </c>
      <c r="B1449" s="2">
        <v>39</v>
      </c>
      <c r="C1449" s="4" t="s">
        <v>69</v>
      </c>
      <c r="D1449" s="3" t="s">
        <v>162</v>
      </c>
      <c r="E1449" s="3" t="s">
        <v>149</v>
      </c>
      <c r="F1449" s="3" t="str">
        <f t="shared" si="0"/>
        <v>3 - Otros</v>
      </c>
      <c r="G1449" s="2">
        <v>1</v>
      </c>
      <c r="H1449" s="3"/>
    </row>
    <row r="1450" spans="1:8" ht="12.75" hidden="1" x14ac:dyDescent="0.2">
      <c r="A1450" s="3" t="s">
        <v>160</v>
      </c>
      <c r="B1450" s="2" t="s">
        <v>70</v>
      </c>
      <c r="C1450" s="4" t="s">
        <v>71</v>
      </c>
      <c r="D1450" s="3" t="s">
        <v>2</v>
      </c>
      <c r="E1450" s="3" t="s">
        <v>136</v>
      </c>
      <c r="F1450" s="3" t="str">
        <f t="shared" si="0"/>
        <v>1 - PJ</v>
      </c>
      <c r="G1450" s="2">
        <v>219</v>
      </c>
      <c r="H1450" s="3"/>
    </row>
    <row r="1451" spans="1:8" ht="12.75" hidden="1" x14ac:dyDescent="0.2">
      <c r="A1451" s="3" t="s">
        <v>160</v>
      </c>
      <c r="B1451" s="2" t="s">
        <v>70</v>
      </c>
      <c r="C1451" s="4" t="s">
        <v>71</v>
      </c>
      <c r="D1451" s="3" t="s">
        <v>2</v>
      </c>
      <c r="E1451" s="3" t="s">
        <v>128</v>
      </c>
      <c r="F1451" s="3" t="str">
        <f t="shared" si="0"/>
        <v>2 - Frepam</v>
      </c>
      <c r="G1451" s="2">
        <v>98</v>
      </c>
      <c r="H1451" s="2">
        <f>SUM(G1450:G1453)</f>
        <v>333</v>
      </c>
    </row>
    <row r="1452" spans="1:8" ht="12.75" hidden="1" x14ac:dyDescent="0.2">
      <c r="A1452" s="3" t="s">
        <v>160</v>
      </c>
      <c r="B1452" s="2" t="s">
        <v>70</v>
      </c>
      <c r="C1452" s="4" t="s">
        <v>71</v>
      </c>
      <c r="D1452" s="3" t="s">
        <v>2</v>
      </c>
      <c r="E1452" s="3" t="s">
        <v>138</v>
      </c>
      <c r="F1452" s="3" t="str">
        <f t="shared" si="0"/>
        <v>4 - Blanco/Nulo</v>
      </c>
      <c r="G1452" s="2">
        <v>9</v>
      </c>
      <c r="H1452" s="3"/>
    </row>
    <row r="1453" spans="1:8" ht="12.75" hidden="1" x14ac:dyDescent="0.2">
      <c r="A1453" s="3" t="s">
        <v>160</v>
      </c>
      <c r="B1453" s="2" t="s">
        <v>70</v>
      </c>
      <c r="C1453" s="4" t="s">
        <v>71</v>
      </c>
      <c r="D1453" s="3" t="s">
        <v>2</v>
      </c>
      <c r="E1453" s="3" t="s">
        <v>14</v>
      </c>
      <c r="F1453" s="3" t="str">
        <f t="shared" si="0"/>
        <v>4 - Blanco/Nulo</v>
      </c>
      <c r="G1453" s="2">
        <v>7</v>
      </c>
      <c r="H1453" s="3"/>
    </row>
    <row r="1454" spans="1:8" ht="12.75" hidden="1" x14ac:dyDescent="0.2">
      <c r="A1454" s="3" t="s">
        <v>160</v>
      </c>
      <c r="B1454" s="2" t="s">
        <v>163</v>
      </c>
      <c r="C1454" s="4" t="s">
        <v>71</v>
      </c>
      <c r="D1454" s="3" t="s">
        <v>161</v>
      </c>
      <c r="E1454" s="3" t="s">
        <v>136</v>
      </c>
      <c r="F1454" s="3" t="str">
        <f t="shared" si="0"/>
        <v>1 - PJ</v>
      </c>
      <c r="G1454" s="2">
        <v>197</v>
      </c>
      <c r="H1454" s="3"/>
    </row>
    <row r="1455" spans="1:8" ht="12.75" hidden="1" x14ac:dyDescent="0.2">
      <c r="A1455" s="3" t="s">
        <v>160</v>
      </c>
      <c r="B1455" s="2" t="s">
        <v>164</v>
      </c>
      <c r="C1455" s="4" t="s">
        <v>71</v>
      </c>
      <c r="D1455" s="3" t="s">
        <v>161</v>
      </c>
      <c r="E1455" s="3" t="s">
        <v>128</v>
      </c>
      <c r="F1455" s="3" t="str">
        <f t="shared" si="0"/>
        <v>2 - Frepam</v>
      </c>
      <c r="G1455" s="2">
        <v>117</v>
      </c>
      <c r="H1455" s="3"/>
    </row>
    <row r="1456" spans="1:8" ht="12.75" hidden="1" x14ac:dyDescent="0.2">
      <c r="A1456" s="3" t="s">
        <v>160</v>
      </c>
      <c r="B1456" s="2" t="s">
        <v>165</v>
      </c>
      <c r="C1456" s="4" t="s">
        <v>71</v>
      </c>
      <c r="D1456" s="3" t="s">
        <v>161</v>
      </c>
      <c r="E1456" s="3" t="s">
        <v>138</v>
      </c>
      <c r="F1456" s="3" t="str">
        <f t="shared" si="0"/>
        <v>4 - Blanco/Nulo</v>
      </c>
      <c r="G1456" s="2">
        <v>9</v>
      </c>
      <c r="H1456" s="3"/>
    </row>
    <row r="1457" spans="1:8" ht="12.75" hidden="1" x14ac:dyDescent="0.2">
      <c r="A1457" s="3" t="s">
        <v>160</v>
      </c>
      <c r="B1457" s="2" t="s">
        <v>166</v>
      </c>
      <c r="C1457" s="4" t="s">
        <v>71</v>
      </c>
      <c r="D1457" s="3" t="s">
        <v>161</v>
      </c>
      <c r="E1457" s="3" t="s">
        <v>14</v>
      </c>
      <c r="F1457" s="3" t="str">
        <f t="shared" si="0"/>
        <v>4 - Blanco/Nulo</v>
      </c>
      <c r="G1457" s="2">
        <v>6</v>
      </c>
      <c r="H1457" s="2">
        <f>SUM(G1454:G1461)</f>
        <v>333</v>
      </c>
    </row>
    <row r="1458" spans="1:8" ht="12.75" hidden="1" x14ac:dyDescent="0.2">
      <c r="A1458" s="3" t="s">
        <v>160</v>
      </c>
      <c r="B1458" s="2" t="s">
        <v>167</v>
      </c>
      <c r="C1458" s="4" t="s">
        <v>71</v>
      </c>
      <c r="D1458" s="3" t="s">
        <v>161</v>
      </c>
      <c r="E1458" s="3" t="s">
        <v>139</v>
      </c>
      <c r="F1458" s="3" t="str">
        <f t="shared" si="0"/>
        <v>3 - Otros</v>
      </c>
      <c r="G1458" s="2">
        <v>1</v>
      </c>
      <c r="H1458" s="3"/>
    </row>
    <row r="1459" spans="1:8" ht="12.75" hidden="1" x14ac:dyDescent="0.2">
      <c r="A1459" s="3" t="s">
        <v>160</v>
      </c>
      <c r="B1459" s="2" t="s">
        <v>168</v>
      </c>
      <c r="C1459" s="4" t="s">
        <v>71</v>
      </c>
      <c r="D1459" s="3" t="s">
        <v>161</v>
      </c>
      <c r="E1459" s="3" t="s">
        <v>145</v>
      </c>
      <c r="F1459" s="3" t="str">
        <f t="shared" si="0"/>
        <v>3 - Otros</v>
      </c>
      <c r="G1459" s="2">
        <v>1</v>
      </c>
      <c r="H1459" s="3"/>
    </row>
    <row r="1460" spans="1:8" ht="12.75" hidden="1" x14ac:dyDescent="0.2">
      <c r="A1460" s="3" t="s">
        <v>160</v>
      </c>
      <c r="B1460" s="2" t="s">
        <v>169</v>
      </c>
      <c r="C1460" s="4" t="s">
        <v>71</v>
      </c>
      <c r="D1460" s="3" t="s">
        <v>161</v>
      </c>
      <c r="E1460" s="3" t="s">
        <v>133</v>
      </c>
      <c r="F1460" s="3" t="str">
        <f t="shared" si="0"/>
        <v>3 - Otros</v>
      </c>
      <c r="G1460" s="2">
        <v>1</v>
      </c>
      <c r="H1460" s="3"/>
    </row>
    <row r="1461" spans="1:8" ht="12.75" hidden="1" x14ac:dyDescent="0.2">
      <c r="A1461" s="3" t="s">
        <v>160</v>
      </c>
      <c r="B1461" s="2" t="s">
        <v>170</v>
      </c>
      <c r="C1461" s="4" t="s">
        <v>71</v>
      </c>
      <c r="D1461" s="3" t="s">
        <v>161</v>
      </c>
      <c r="E1461" s="3" t="s">
        <v>148</v>
      </c>
      <c r="F1461" s="3" t="str">
        <f t="shared" si="0"/>
        <v>3 - Otros</v>
      </c>
      <c r="G1461" s="2">
        <v>1</v>
      </c>
      <c r="H1461" s="3"/>
    </row>
    <row r="1462" spans="1:8" ht="12.75" hidden="1" x14ac:dyDescent="0.2">
      <c r="A1462" s="3" t="s">
        <v>160</v>
      </c>
      <c r="B1462" s="2" t="s">
        <v>171</v>
      </c>
      <c r="C1462" s="4" t="s">
        <v>71</v>
      </c>
      <c r="D1462" s="3" t="s">
        <v>162</v>
      </c>
      <c r="E1462" s="3" t="s">
        <v>136</v>
      </c>
      <c r="F1462" s="3" t="str">
        <f t="shared" si="0"/>
        <v>1 - PJ</v>
      </c>
      <c r="G1462" s="2">
        <v>197</v>
      </c>
      <c r="H1462" s="3"/>
    </row>
    <row r="1463" spans="1:8" ht="12.75" hidden="1" x14ac:dyDescent="0.2">
      <c r="A1463" s="3" t="s">
        <v>160</v>
      </c>
      <c r="B1463" s="2" t="s">
        <v>172</v>
      </c>
      <c r="C1463" s="4" t="s">
        <v>71</v>
      </c>
      <c r="D1463" s="3" t="s">
        <v>162</v>
      </c>
      <c r="E1463" s="3" t="s">
        <v>128</v>
      </c>
      <c r="F1463" s="3" t="str">
        <f t="shared" si="0"/>
        <v>2 - Frepam</v>
      </c>
      <c r="G1463" s="2">
        <v>118</v>
      </c>
      <c r="H1463" s="3"/>
    </row>
    <row r="1464" spans="1:8" ht="12.75" hidden="1" x14ac:dyDescent="0.2">
      <c r="A1464" s="3" t="s">
        <v>160</v>
      </c>
      <c r="B1464" s="2" t="s">
        <v>173</v>
      </c>
      <c r="C1464" s="4" t="s">
        <v>71</v>
      </c>
      <c r="D1464" s="3" t="s">
        <v>162</v>
      </c>
      <c r="E1464" s="3" t="s">
        <v>138</v>
      </c>
      <c r="F1464" s="3" t="str">
        <f t="shared" si="0"/>
        <v>4 - Blanco/Nulo</v>
      </c>
      <c r="G1464" s="2">
        <v>9</v>
      </c>
      <c r="H1464" s="3"/>
    </row>
    <row r="1465" spans="1:8" ht="12.75" hidden="1" x14ac:dyDescent="0.2">
      <c r="A1465" s="3" t="s">
        <v>160</v>
      </c>
      <c r="B1465" s="2" t="s">
        <v>174</v>
      </c>
      <c r="C1465" s="4" t="s">
        <v>71</v>
      </c>
      <c r="D1465" s="3" t="s">
        <v>162</v>
      </c>
      <c r="E1465" s="3" t="s">
        <v>14</v>
      </c>
      <c r="F1465" s="3" t="str">
        <f t="shared" si="0"/>
        <v>4 - Blanco/Nulo</v>
      </c>
      <c r="G1465" s="2">
        <v>4</v>
      </c>
      <c r="H1465" s="3"/>
    </row>
    <row r="1466" spans="1:8" ht="12.75" hidden="1" x14ac:dyDescent="0.2">
      <c r="A1466" s="3" t="s">
        <v>160</v>
      </c>
      <c r="B1466" s="2" t="s">
        <v>70</v>
      </c>
      <c r="C1466" s="4" t="s">
        <v>71</v>
      </c>
      <c r="D1466" s="3" t="s">
        <v>162</v>
      </c>
      <c r="E1466" s="3" t="s">
        <v>133</v>
      </c>
      <c r="F1466" s="3" t="str">
        <f t="shared" si="0"/>
        <v>3 - Otros</v>
      </c>
      <c r="G1466" s="2">
        <v>2</v>
      </c>
      <c r="H1466" s="2">
        <f>SUM(G1462:G1469)</f>
        <v>333</v>
      </c>
    </row>
    <row r="1467" spans="1:8" ht="12.75" hidden="1" x14ac:dyDescent="0.2">
      <c r="A1467" s="3" t="s">
        <v>160</v>
      </c>
      <c r="B1467" s="2" t="s">
        <v>70</v>
      </c>
      <c r="C1467" s="4" t="s">
        <v>71</v>
      </c>
      <c r="D1467" s="3" t="s">
        <v>162</v>
      </c>
      <c r="E1467" s="3" t="s">
        <v>139</v>
      </c>
      <c r="F1467" s="3" t="str">
        <f t="shared" si="0"/>
        <v>3 - Otros</v>
      </c>
      <c r="G1467" s="2">
        <v>1</v>
      </c>
      <c r="H1467" s="3"/>
    </row>
    <row r="1468" spans="1:8" ht="12.75" hidden="1" x14ac:dyDescent="0.2">
      <c r="A1468" s="3" t="s">
        <v>160</v>
      </c>
      <c r="B1468" s="2" t="s">
        <v>70</v>
      </c>
      <c r="C1468" s="4" t="s">
        <v>71</v>
      </c>
      <c r="D1468" s="3" t="s">
        <v>162</v>
      </c>
      <c r="E1468" s="3" t="s">
        <v>145</v>
      </c>
      <c r="F1468" s="3" t="str">
        <f t="shared" si="0"/>
        <v>3 - Otros</v>
      </c>
      <c r="G1468" s="2">
        <v>1</v>
      </c>
      <c r="H1468" s="3"/>
    </row>
    <row r="1469" spans="1:8" ht="12.75" hidden="1" x14ac:dyDescent="0.2">
      <c r="A1469" s="3" t="s">
        <v>160</v>
      </c>
      <c r="B1469" s="2" t="s">
        <v>70</v>
      </c>
      <c r="C1469" s="4" t="s">
        <v>71</v>
      </c>
      <c r="D1469" s="3" t="s">
        <v>162</v>
      </c>
      <c r="E1469" s="3" t="s">
        <v>148</v>
      </c>
      <c r="F1469" s="3" t="str">
        <f t="shared" si="0"/>
        <v>3 - Otros</v>
      </c>
      <c r="G1469" s="2">
        <v>1</v>
      </c>
      <c r="H1469" s="3"/>
    </row>
    <row r="1470" spans="1:8" ht="12.75" hidden="1" x14ac:dyDescent="0.2">
      <c r="A1470" s="3" t="s">
        <v>160</v>
      </c>
      <c r="B1470" s="2">
        <v>40</v>
      </c>
      <c r="C1470" s="4" t="s">
        <v>72</v>
      </c>
      <c r="D1470" s="3" t="s">
        <v>2</v>
      </c>
      <c r="E1470" s="3" t="s">
        <v>128</v>
      </c>
      <c r="F1470" s="3" t="str">
        <f t="shared" si="0"/>
        <v>2 - Frepam</v>
      </c>
      <c r="G1470" s="2">
        <v>1198</v>
      </c>
      <c r="H1470" s="3"/>
    </row>
    <row r="1471" spans="1:8" ht="12.75" hidden="1" x14ac:dyDescent="0.2">
      <c r="A1471" s="3" t="s">
        <v>160</v>
      </c>
      <c r="B1471" s="2">
        <v>40</v>
      </c>
      <c r="C1471" s="4" t="s">
        <v>72</v>
      </c>
      <c r="D1471" s="3" t="s">
        <v>2</v>
      </c>
      <c r="E1471" s="3" t="s">
        <v>136</v>
      </c>
      <c r="F1471" s="3" t="str">
        <f t="shared" si="0"/>
        <v>1 - PJ</v>
      </c>
      <c r="G1471" s="2">
        <v>786</v>
      </c>
      <c r="H1471" s="3"/>
    </row>
    <row r="1472" spans="1:8" ht="12.75" hidden="1" x14ac:dyDescent="0.2">
      <c r="A1472" s="3" t="s">
        <v>160</v>
      </c>
      <c r="B1472" s="2">
        <v>40</v>
      </c>
      <c r="C1472" s="4" t="s">
        <v>72</v>
      </c>
      <c r="D1472" s="3" t="s">
        <v>2</v>
      </c>
      <c r="E1472" s="3" t="s">
        <v>14</v>
      </c>
      <c r="F1472" s="3" t="str">
        <f t="shared" si="0"/>
        <v>4 - Blanco/Nulo</v>
      </c>
      <c r="G1472" s="2">
        <v>58</v>
      </c>
      <c r="H1472" s="2">
        <f>SUM(G1470:G1473)</f>
        <v>2049</v>
      </c>
    </row>
    <row r="1473" spans="1:8" ht="12.75" hidden="1" x14ac:dyDescent="0.2">
      <c r="A1473" s="3" t="s">
        <v>160</v>
      </c>
      <c r="B1473" s="2">
        <v>40</v>
      </c>
      <c r="C1473" s="4" t="s">
        <v>72</v>
      </c>
      <c r="D1473" s="3" t="s">
        <v>2</v>
      </c>
      <c r="E1473" s="3" t="s">
        <v>138</v>
      </c>
      <c r="F1473" s="3" t="str">
        <f t="shared" si="0"/>
        <v>4 - Blanco/Nulo</v>
      </c>
      <c r="G1473" s="2">
        <v>7</v>
      </c>
      <c r="H1473" s="3"/>
    </row>
    <row r="1474" spans="1:8" ht="12.75" hidden="1" x14ac:dyDescent="0.2">
      <c r="A1474" s="3" t="s">
        <v>160</v>
      </c>
      <c r="B1474" s="2">
        <v>40</v>
      </c>
      <c r="C1474" s="4" t="s">
        <v>72</v>
      </c>
      <c r="D1474" s="3" t="s">
        <v>161</v>
      </c>
      <c r="E1474" s="3" t="s">
        <v>128</v>
      </c>
      <c r="F1474" s="3" t="str">
        <f t="shared" si="0"/>
        <v>2 - Frepam</v>
      </c>
      <c r="G1474" s="2">
        <v>1088</v>
      </c>
      <c r="H1474" s="3"/>
    </row>
    <row r="1475" spans="1:8" ht="12.75" hidden="1" x14ac:dyDescent="0.2">
      <c r="A1475" s="3" t="s">
        <v>160</v>
      </c>
      <c r="B1475" s="2">
        <v>40</v>
      </c>
      <c r="C1475" s="4" t="s">
        <v>72</v>
      </c>
      <c r="D1475" s="3" t="s">
        <v>161</v>
      </c>
      <c r="E1475" s="3" t="s">
        <v>136</v>
      </c>
      <c r="F1475" s="3" t="str">
        <f t="shared" si="0"/>
        <v>1 - PJ</v>
      </c>
      <c r="G1475" s="2">
        <v>828</v>
      </c>
      <c r="H1475" s="3"/>
    </row>
    <row r="1476" spans="1:8" ht="12.75" hidden="1" x14ac:dyDescent="0.2">
      <c r="A1476" s="3" t="s">
        <v>160</v>
      </c>
      <c r="B1476" s="2">
        <v>40</v>
      </c>
      <c r="C1476" s="4" t="s">
        <v>72</v>
      </c>
      <c r="D1476" s="3" t="s">
        <v>161</v>
      </c>
      <c r="E1476" s="3" t="s">
        <v>14</v>
      </c>
      <c r="F1476" s="3" t="str">
        <f t="shared" si="0"/>
        <v>4 - Blanco/Nulo</v>
      </c>
      <c r="G1476" s="2">
        <v>90</v>
      </c>
      <c r="H1476" s="3"/>
    </row>
    <row r="1477" spans="1:8" ht="12.75" hidden="1" x14ac:dyDescent="0.2">
      <c r="A1477" s="3" t="s">
        <v>160</v>
      </c>
      <c r="B1477" s="2">
        <v>40</v>
      </c>
      <c r="C1477" s="4" t="s">
        <v>72</v>
      </c>
      <c r="D1477" s="3" t="s">
        <v>161</v>
      </c>
      <c r="E1477" s="3" t="s">
        <v>138</v>
      </c>
      <c r="F1477" s="3" t="str">
        <f t="shared" si="0"/>
        <v>4 - Blanco/Nulo</v>
      </c>
      <c r="G1477" s="2">
        <v>13</v>
      </c>
      <c r="H1477" s="3"/>
    </row>
    <row r="1478" spans="1:8" ht="12.75" hidden="1" x14ac:dyDescent="0.2">
      <c r="A1478" s="3" t="s">
        <v>160</v>
      </c>
      <c r="B1478" s="2">
        <v>40</v>
      </c>
      <c r="C1478" s="4" t="s">
        <v>72</v>
      </c>
      <c r="D1478" s="3" t="s">
        <v>161</v>
      </c>
      <c r="E1478" s="3" t="s">
        <v>133</v>
      </c>
      <c r="F1478" s="3" t="str">
        <f t="shared" si="0"/>
        <v>3 - Otros</v>
      </c>
      <c r="G1478" s="2">
        <v>9</v>
      </c>
      <c r="H1478" s="2">
        <f>SUM(G1474:G1483)</f>
        <v>2049</v>
      </c>
    </row>
    <row r="1479" spans="1:8" ht="12.75" hidden="1" x14ac:dyDescent="0.2">
      <c r="A1479" s="3" t="s">
        <v>160</v>
      </c>
      <c r="B1479" s="2">
        <v>40</v>
      </c>
      <c r="C1479" s="4" t="s">
        <v>72</v>
      </c>
      <c r="D1479" s="3" t="s">
        <v>161</v>
      </c>
      <c r="E1479" s="3" t="s">
        <v>139</v>
      </c>
      <c r="F1479" s="3" t="str">
        <f t="shared" si="0"/>
        <v>3 - Otros</v>
      </c>
      <c r="G1479" s="2">
        <v>5</v>
      </c>
      <c r="H1479" s="3"/>
    </row>
    <row r="1480" spans="1:8" ht="12.75" hidden="1" x14ac:dyDescent="0.2">
      <c r="A1480" s="3" t="s">
        <v>160</v>
      </c>
      <c r="B1480" s="2">
        <v>40</v>
      </c>
      <c r="C1480" s="4" t="s">
        <v>72</v>
      </c>
      <c r="D1480" s="3" t="s">
        <v>161</v>
      </c>
      <c r="E1480" s="3" t="s">
        <v>149</v>
      </c>
      <c r="F1480" s="3" t="str">
        <f t="shared" si="0"/>
        <v>3 - Otros</v>
      </c>
      <c r="G1480" s="2">
        <v>5</v>
      </c>
      <c r="H1480" s="3"/>
    </row>
    <row r="1481" spans="1:8" ht="12.75" hidden="1" x14ac:dyDescent="0.2">
      <c r="A1481" s="3" t="s">
        <v>160</v>
      </c>
      <c r="B1481" s="2">
        <v>40</v>
      </c>
      <c r="C1481" s="4" t="s">
        <v>72</v>
      </c>
      <c r="D1481" s="3" t="s">
        <v>161</v>
      </c>
      <c r="E1481" s="3" t="s">
        <v>148</v>
      </c>
      <c r="F1481" s="3" t="str">
        <f t="shared" si="0"/>
        <v>3 - Otros</v>
      </c>
      <c r="G1481" s="2">
        <v>5</v>
      </c>
      <c r="H1481" s="3"/>
    </row>
    <row r="1482" spans="1:8" ht="12.75" hidden="1" x14ac:dyDescent="0.2">
      <c r="A1482" s="3" t="s">
        <v>160</v>
      </c>
      <c r="B1482" s="2">
        <v>40</v>
      </c>
      <c r="C1482" s="4" t="s">
        <v>72</v>
      </c>
      <c r="D1482" s="3" t="s">
        <v>161</v>
      </c>
      <c r="E1482" s="3" t="s">
        <v>145</v>
      </c>
      <c r="F1482" s="3" t="str">
        <f t="shared" si="0"/>
        <v>3 - Otros</v>
      </c>
      <c r="G1482" s="2">
        <v>4</v>
      </c>
      <c r="H1482" s="3"/>
    </row>
    <row r="1483" spans="1:8" ht="12.75" hidden="1" x14ac:dyDescent="0.2">
      <c r="A1483" s="3" t="s">
        <v>160</v>
      </c>
      <c r="B1483" s="2">
        <v>40</v>
      </c>
      <c r="C1483" s="4" t="s">
        <v>72</v>
      </c>
      <c r="D1483" s="3" t="s">
        <v>161</v>
      </c>
      <c r="E1483" s="3" t="s">
        <v>135</v>
      </c>
      <c r="F1483" s="3" t="str">
        <f t="shared" si="0"/>
        <v>3 - Otros</v>
      </c>
      <c r="G1483" s="2">
        <v>2</v>
      </c>
      <c r="H1483" s="3"/>
    </row>
    <row r="1484" spans="1:8" ht="12.75" hidden="1" x14ac:dyDescent="0.2">
      <c r="A1484" s="3" t="s">
        <v>160</v>
      </c>
      <c r="B1484" s="2">
        <v>40</v>
      </c>
      <c r="C1484" s="4" t="s">
        <v>72</v>
      </c>
      <c r="D1484" s="3" t="s">
        <v>162</v>
      </c>
      <c r="E1484" s="3" t="s">
        <v>128</v>
      </c>
      <c r="F1484" s="3" t="str">
        <f t="shared" si="0"/>
        <v>2 - Frepam</v>
      </c>
      <c r="G1484" s="2">
        <v>1083</v>
      </c>
      <c r="H1484" s="3"/>
    </row>
    <row r="1485" spans="1:8" ht="12.75" hidden="1" x14ac:dyDescent="0.2">
      <c r="A1485" s="3" t="s">
        <v>160</v>
      </c>
      <c r="B1485" s="2">
        <v>40</v>
      </c>
      <c r="C1485" s="4" t="s">
        <v>72</v>
      </c>
      <c r="D1485" s="3" t="s">
        <v>162</v>
      </c>
      <c r="E1485" s="3" t="s">
        <v>136</v>
      </c>
      <c r="F1485" s="3" t="str">
        <f t="shared" si="0"/>
        <v>1 - PJ</v>
      </c>
      <c r="G1485" s="2">
        <v>844</v>
      </c>
      <c r="H1485" s="3"/>
    </row>
    <row r="1486" spans="1:8" ht="12.75" hidden="1" x14ac:dyDescent="0.2">
      <c r="A1486" s="3" t="s">
        <v>160</v>
      </c>
      <c r="B1486" s="2">
        <v>40</v>
      </c>
      <c r="C1486" s="4" t="s">
        <v>72</v>
      </c>
      <c r="D1486" s="3" t="s">
        <v>162</v>
      </c>
      <c r="E1486" s="3" t="s">
        <v>14</v>
      </c>
      <c r="F1486" s="3" t="str">
        <f t="shared" si="0"/>
        <v>4 - Blanco/Nulo</v>
      </c>
      <c r="G1486" s="2">
        <v>67</v>
      </c>
      <c r="H1486" s="3"/>
    </row>
    <row r="1487" spans="1:8" ht="12.75" hidden="1" x14ac:dyDescent="0.2">
      <c r="A1487" s="3" t="s">
        <v>160</v>
      </c>
      <c r="B1487" s="2">
        <v>40</v>
      </c>
      <c r="C1487" s="4" t="s">
        <v>72</v>
      </c>
      <c r="D1487" s="3" t="s">
        <v>162</v>
      </c>
      <c r="E1487" s="3" t="s">
        <v>133</v>
      </c>
      <c r="F1487" s="3" t="str">
        <f t="shared" si="0"/>
        <v>3 - Otros</v>
      </c>
      <c r="G1487" s="2">
        <v>19</v>
      </c>
      <c r="H1487" s="3"/>
    </row>
    <row r="1488" spans="1:8" ht="12.75" hidden="1" x14ac:dyDescent="0.2">
      <c r="A1488" s="3" t="s">
        <v>160</v>
      </c>
      <c r="B1488" s="2">
        <v>40</v>
      </c>
      <c r="C1488" s="4" t="s">
        <v>72</v>
      </c>
      <c r="D1488" s="3" t="s">
        <v>162</v>
      </c>
      <c r="E1488" s="3" t="s">
        <v>138</v>
      </c>
      <c r="F1488" s="3" t="str">
        <f t="shared" si="0"/>
        <v>4 - Blanco/Nulo</v>
      </c>
      <c r="G1488" s="2">
        <v>14</v>
      </c>
      <c r="H1488" s="3"/>
    </row>
    <row r="1489" spans="1:8" ht="12.75" hidden="1" x14ac:dyDescent="0.2">
      <c r="A1489" s="3" t="s">
        <v>160</v>
      </c>
      <c r="B1489" s="2">
        <v>40</v>
      </c>
      <c r="C1489" s="4" t="s">
        <v>72</v>
      </c>
      <c r="D1489" s="3" t="s">
        <v>162</v>
      </c>
      <c r="E1489" s="3" t="s">
        <v>149</v>
      </c>
      <c r="F1489" s="3" t="str">
        <f t="shared" si="0"/>
        <v>3 - Otros</v>
      </c>
      <c r="G1489" s="2">
        <v>7</v>
      </c>
      <c r="H1489" s="2">
        <f>SUM(G1484:G1493)</f>
        <v>2049</v>
      </c>
    </row>
    <row r="1490" spans="1:8" ht="12.75" hidden="1" x14ac:dyDescent="0.2">
      <c r="A1490" s="3" t="s">
        <v>160</v>
      </c>
      <c r="B1490" s="2">
        <v>40</v>
      </c>
      <c r="C1490" s="4" t="s">
        <v>72</v>
      </c>
      <c r="D1490" s="3" t="s">
        <v>162</v>
      </c>
      <c r="E1490" s="3" t="s">
        <v>148</v>
      </c>
      <c r="F1490" s="3" t="str">
        <f t="shared" si="0"/>
        <v>3 - Otros</v>
      </c>
      <c r="G1490" s="2">
        <v>5</v>
      </c>
      <c r="H1490" s="3"/>
    </row>
    <row r="1491" spans="1:8" ht="12.75" hidden="1" x14ac:dyDescent="0.2">
      <c r="A1491" s="3" t="s">
        <v>160</v>
      </c>
      <c r="B1491" s="2">
        <v>40</v>
      </c>
      <c r="C1491" s="4" t="s">
        <v>72</v>
      </c>
      <c r="D1491" s="3" t="s">
        <v>162</v>
      </c>
      <c r="E1491" s="3" t="s">
        <v>139</v>
      </c>
      <c r="F1491" s="3" t="str">
        <f t="shared" si="0"/>
        <v>3 - Otros</v>
      </c>
      <c r="G1491" s="2">
        <v>5</v>
      </c>
      <c r="H1491" s="3"/>
    </row>
    <row r="1492" spans="1:8" ht="12.75" hidden="1" x14ac:dyDescent="0.2">
      <c r="A1492" s="3" t="s">
        <v>160</v>
      </c>
      <c r="B1492" s="2">
        <v>40</v>
      </c>
      <c r="C1492" s="4" t="s">
        <v>72</v>
      </c>
      <c r="D1492" s="3" t="s">
        <v>162</v>
      </c>
      <c r="E1492" s="3" t="s">
        <v>145</v>
      </c>
      <c r="F1492" s="3" t="str">
        <f t="shared" si="0"/>
        <v>3 - Otros</v>
      </c>
      <c r="G1492" s="2">
        <v>3</v>
      </c>
      <c r="H1492" s="3"/>
    </row>
    <row r="1493" spans="1:8" ht="12.75" hidden="1" x14ac:dyDescent="0.2">
      <c r="A1493" s="3" t="s">
        <v>160</v>
      </c>
      <c r="B1493" s="2">
        <v>40</v>
      </c>
      <c r="C1493" s="4" t="s">
        <v>72</v>
      </c>
      <c r="D1493" s="3" t="s">
        <v>162</v>
      </c>
      <c r="E1493" s="3" t="s">
        <v>135</v>
      </c>
      <c r="F1493" s="3" t="str">
        <f t="shared" si="0"/>
        <v>3 - Otros</v>
      </c>
      <c r="G1493" s="2">
        <v>2</v>
      </c>
      <c r="H1493" s="3"/>
    </row>
    <row r="1494" spans="1:8" ht="12.75" hidden="1" x14ac:dyDescent="0.2">
      <c r="A1494" s="3" t="s">
        <v>160</v>
      </c>
      <c r="B1494" s="2">
        <v>42</v>
      </c>
      <c r="C1494" s="4" t="s">
        <v>73</v>
      </c>
      <c r="D1494" s="3" t="s">
        <v>2</v>
      </c>
      <c r="E1494" s="3" t="s">
        <v>136</v>
      </c>
      <c r="F1494" s="3" t="str">
        <f t="shared" si="0"/>
        <v>1 - PJ</v>
      </c>
      <c r="G1494" s="2">
        <v>1111</v>
      </c>
      <c r="H1494" s="3"/>
    </row>
    <row r="1495" spans="1:8" ht="12.75" hidden="1" x14ac:dyDescent="0.2">
      <c r="A1495" s="3" t="s">
        <v>160</v>
      </c>
      <c r="B1495" s="2">
        <v>42</v>
      </c>
      <c r="C1495" s="4" t="s">
        <v>73</v>
      </c>
      <c r="D1495" s="3" t="s">
        <v>2</v>
      </c>
      <c r="E1495" s="3" t="s">
        <v>128</v>
      </c>
      <c r="F1495" s="3" t="str">
        <f t="shared" si="0"/>
        <v>2 - Frepam</v>
      </c>
      <c r="G1495" s="2">
        <v>617</v>
      </c>
      <c r="H1495" s="2">
        <f>SUM(G1494:G1497)</f>
        <v>1822</v>
      </c>
    </row>
    <row r="1496" spans="1:8" ht="12.75" hidden="1" x14ac:dyDescent="0.2">
      <c r="A1496" s="3" t="s">
        <v>160</v>
      </c>
      <c r="B1496" s="2">
        <v>42</v>
      </c>
      <c r="C1496" s="4" t="s">
        <v>73</v>
      </c>
      <c r="D1496" s="3" t="s">
        <v>2</v>
      </c>
      <c r="E1496" s="3" t="s">
        <v>14</v>
      </c>
      <c r="F1496" s="3" t="str">
        <f t="shared" si="0"/>
        <v>4 - Blanco/Nulo</v>
      </c>
      <c r="G1496" s="2">
        <v>81</v>
      </c>
      <c r="H1496" s="3"/>
    </row>
    <row r="1497" spans="1:8" ht="12.75" hidden="1" x14ac:dyDescent="0.2">
      <c r="A1497" s="3" t="s">
        <v>160</v>
      </c>
      <c r="B1497" s="2">
        <v>42</v>
      </c>
      <c r="C1497" s="4" t="s">
        <v>73</v>
      </c>
      <c r="D1497" s="3" t="s">
        <v>2</v>
      </c>
      <c r="E1497" s="3" t="s">
        <v>138</v>
      </c>
      <c r="F1497" s="3" t="str">
        <f t="shared" si="0"/>
        <v>4 - Blanco/Nulo</v>
      </c>
      <c r="G1497" s="2">
        <v>13</v>
      </c>
      <c r="H1497" s="3"/>
    </row>
    <row r="1498" spans="1:8" ht="12.75" hidden="1" x14ac:dyDescent="0.2">
      <c r="A1498" s="3" t="s">
        <v>160</v>
      </c>
      <c r="B1498" s="2">
        <v>42</v>
      </c>
      <c r="C1498" s="4" t="s">
        <v>73</v>
      </c>
      <c r="D1498" s="3" t="s">
        <v>161</v>
      </c>
      <c r="E1498" s="3" t="s">
        <v>136</v>
      </c>
      <c r="F1498" s="3" t="str">
        <f t="shared" si="0"/>
        <v>1 - PJ</v>
      </c>
      <c r="G1498" s="2">
        <v>1027</v>
      </c>
      <c r="H1498" s="3"/>
    </row>
    <row r="1499" spans="1:8" ht="12.75" hidden="1" x14ac:dyDescent="0.2">
      <c r="A1499" s="3" t="s">
        <v>160</v>
      </c>
      <c r="B1499" s="2">
        <v>42</v>
      </c>
      <c r="C1499" s="4" t="s">
        <v>73</v>
      </c>
      <c r="D1499" s="3" t="s">
        <v>161</v>
      </c>
      <c r="E1499" s="3" t="s">
        <v>128</v>
      </c>
      <c r="F1499" s="3" t="str">
        <f t="shared" si="0"/>
        <v>2 - Frepam</v>
      </c>
      <c r="G1499" s="2">
        <v>594</v>
      </c>
      <c r="H1499" s="3"/>
    </row>
    <row r="1500" spans="1:8" ht="12.75" hidden="1" x14ac:dyDescent="0.2">
      <c r="A1500" s="3" t="s">
        <v>160</v>
      </c>
      <c r="B1500" s="2">
        <v>42</v>
      </c>
      <c r="C1500" s="4" t="s">
        <v>73</v>
      </c>
      <c r="D1500" s="3" t="s">
        <v>161</v>
      </c>
      <c r="E1500" s="3" t="s">
        <v>14</v>
      </c>
      <c r="F1500" s="3" t="str">
        <f t="shared" si="0"/>
        <v>4 - Blanco/Nulo</v>
      </c>
      <c r="G1500" s="2">
        <v>99</v>
      </c>
      <c r="H1500" s="3"/>
    </row>
    <row r="1501" spans="1:8" ht="12.75" hidden="1" x14ac:dyDescent="0.2">
      <c r="A1501" s="3" t="s">
        <v>160</v>
      </c>
      <c r="B1501" s="2">
        <v>42</v>
      </c>
      <c r="C1501" s="4" t="s">
        <v>73</v>
      </c>
      <c r="D1501" s="3" t="s">
        <v>161</v>
      </c>
      <c r="E1501" s="3" t="s">
        <v>133</v>
      </c>
      <c r="F1501" s="3" t="str">
        <f t="shared" si="0"/>
        <v>3 - Otros</v>
      </c>
      <c r="G1501" s="2">
        <v>45</v>
      </c>
      <c r="H1501" s="3"/>
    </row>
    <row r="1502" spans="1:8" ht="12.75" hidden="1" x14ac:dyDescent="0.2">
      <c r="A1502" s="3" t="s">
        <v>160</v>
      </c>
      <c r="B1502" s="2">
        <v>42</v>
      </c>
      <c r="C1502" s="4" t="s">
        <v>73</v>
      </c>
      <c r="D1502" s="3" t="s">
        <v>161</v>
      </c>
      <c r="E1502" s="3" t="s">
        <v>148</v>
      </c>
      <c r="F1502" s="3" t="str">
        <f t="shared" si="0"/>
        <v>3 - Otros</v>
      </c>
      <c r="G1502" s="2">
        <v>17</v>
      </c>
      <c r="H1502" s="3"/>
    </row>
    <row r="1503" spans="1:8" ht="12.75" hidden="1" x14ac:dyDescent="0.2">
      <c r="A1503" s="3" t="s">
        <v>160</v>
      </c>
      <c r="B1503" s="2">
        <v>42</v>
      </c>
      <c r="C1503" s="4" t="s">
        <v>73</v>
      </c>
      <c r="D1503" s="3" t="s">
        <v>161</v>
      </c>
      <c r="E1503" s="3" t="s">
        <v>138</v>
      </c>
      <c r="F1503" s="3" t="str">
        <f t="shared" si="0"/>
        <v>4 - Blanco/Nulo</v>
      </c>
      <c r="G1503" s="2">
        <v>14</v>
      </c>
      <c r="H1503" s="2">
        <f>SUM(G1498:G1507)</f>
        <v>1822</v>
      </c>
    </row>
    <row r="1504" spans="1:8" ht="12.75" hidden="1" x14ac:dyDescent="0.2">
      <c r="A1504" s="3" t="s">
        <v>160</v>
      </c>
      <c r="B1504" s="2">
        <v>42</v>
      </c>
      <c r="C1504" s="4" t="s">
        <v>73</v>
      </c>
      <c r="D1504" s="3" t="s">
        <v>161</v>
      </c>
      <c r="E1504" s="3" t="s">
        <v>149</v>
      </c>
      <c r="F1504" s="3" t="str">
        <f t="shared" si="0"/>
        <v>3 - Otros</v>
      </c>
      <c r="G1504" s="2">
        <v>8</v>
      </c>
      <c r="H1504" s="3"/>
    </row>
    <row r="1505" spans="1:8" ht="12.75" hidden="1" x14ac:dyDescent="0.2">
      <c r="A1505" s="3" t="s">
        <v>160</v>
      </c>
      <c r="B1505" s="2">
        <v>42</v>
      </c>
      <c r="C1505" s="4" t="s">
        <v>73</v>
      </c>
      <c r="D1505" s="3" t="s">
        <v>161</v>
      </c>
      <c r="E1505" s="3" t="s">
        <v>145</v>
      </c>
      <c r="F1505" s="3" t="str">
        <f t="shared" si="0"/>
        <v>3 - Otros</v>
      </c>
      <c r="G1505" s="2">
        <v>8</v>
      </c>
      <c r="H1505" s="3"/>
    </row>
    <row r="1506" spans="1:8" ht="12.75" hidden="1" x14ac:dyDescent="0.2">
      <c r="A1506" s="3" t="s">
        <v>160</v>
      </c>
      <c r="B1506" s="2">
        <v>42</v>
      </c>
      <c r="C1506" s="4" t="s">
        <v>73</v>
      </c>
      <c r="D1506" s="3" t="s">
        <v>161</v>
      </c>
      <c r="E1506" s="3" t="s">
        <v>139</v>
      </c>
      <c r="F1506" s="3" t="str">
        <f t="shared" si="0"/>
        <v>3 - Otros</v>
      </c>
      <c r="G1506" s="2">
        <v>7</v>
      </c>
      <c r="H1506" s="3"/>
    </row>
    <row r="1507" spans="1:8" ht="12.75" hidden="1" x14ac:dyDescent="0.2">
      <c r="A1507" s="3" t="s">
        <v>160</v>
      </c>
      <c r="B1507" s="2">
        <v>42</v>
      </c>
      <c r="C1507" s="4" t="s">
        <v>73</v>
      </c>
      <c r="D1507" s="3" t="s">
        <v>161</v>
      </c>
      <c r="E1507" s="3" t="s">
        <v>135</v>
      </c>
      <c r="F1507" s="3" t="str">
        <f t="shared" si="0"/>
        <v>3 - Otros</v>
      </c>
      <c r="G1507" s="2">
        <v>3</v>
      </c>
      <c r="H1507" s="3"/>
    </row>
    <row r="1508" spans="1:8" ht="12.75" hidden="1" x14ac:dyDescent="0.2">
      <c r="A1508" s="3" t="s">
        <v>160</v>
      </c>
      <c r="B1508" s="2">
        <v>42</v>
      </c>
      <c r="C1508" s="4" t="s">
        <v>73</v>
      </c>
      <c r="D1508" s="3" t="s">
        <v>162</v>
      </c>
      <c r="E1508" s="3" t="s">
        <v>136</v>
      </c>
      <c r="F1508" s="3" t="str">
        <f t="shared" si="0"/>
        <v>1 - PJ</v>
      </c>
      <c r="G1508" s="2">
        <v>1051</v>
      </c>
      <c r="H1508" s="3"/>
    </row>
    <row r="1509" spans="1:8" ht="12.75" hidden="1" x14ac:dyDescent="0.2">
      <c r="A1509" s="3" t="s">
        <v>160</v>
      </c>
      <c r="B1509" s="2">
        <v>42</v>
      </c>
      <c r="C1509" s="4" t="s">
        <v>73</v>
      </c>
      <c r="D1509" s="3" t="s">
        <v>162</v>
      </c>
      <c r="E1509" s="3" t="s">
        <v>128</v>
      </c>
      <c r="F1509" s="3" t="str">
        <f t="shared" si="0"/>
        <v>2 - Frepam</v>
      </c>
      <c r="G1509" s="2">
        <v>599</v>
      </c>
      <c r="H1509" s="3"/>
    </row>
    <row r="1510" spans="1:8" ht="12.75" hidden="1" x14ac:dyDescent="0.2">
      <c r="A1510" s="3" t="s">
        <v>160</v>
      </c>
      <c r="B1510" s="2">
        <v>42</v>
      </c>
      <c r="C1510" s="4" t="s">
        <v>73</v>
      </c>
      <c r="D1510" s="3" t="s">
        <v>162</v>
      </c>
      <c r="E1510" s="3" t="s">
        <v>14</v>
      </c>
      <c r="F1510" s="3" t="str">
        <f t="shared" si="0"/>
        <v>4 - Blanco/Nulo</v>
      </c>
      <c r="G1510" s="2">
        <v>66</v>
      </c>
      <c r="H1510" s="3"/>
    </row>
    <row r="1511" spans="1:8" ht="12.75" hidden="1" x14ac:dyDescent="0.2">
      <c r="A1511" s="3" t="s">
        <v>160</v>
      </c>
      <c r="B1511" s="2">
        <v>42</v>
      </c>
      <c r="C1511" s="4" t="s">
        <v>73</v>
      </c>
      <c r="D1511" s="3" t="s">
        <v>162</v>
      </c>
      <c r="E1511" s="3" t="s">
        <v>133</v>
      </c>
      <c r="F1511" s="3" t="str">
        <f t="shared" si="0"/>
        <v>3 - Otros</v>
      </c>
      <c r="G1511" s="2">
        <v>51</v>
      </c>
      <c r="H1511" s="3"/>
    </row>
    <row r="1512" spans="1:8" ht="12.75" hidden="1" x14ac:dyDescent="0.2">
      <c r="A1512" s="3" t="s">
        <v>160</v>
      </c>
      <c r="B1512" s="2">
        <v>42</v>
      </c>
      <c r="C1512" s="4" t="s">
        <v>73</v>
      </c>
      <c r="D1512" s="3" t="s">
        <v>162</v>
      </c>
      <c r="E1512" s="3" t="s">
        <v>148</v>
      </c>
      <c r="F1512" s="3" t="str">
        <f t="shared" si="0"/>
        <v>3 - Otros</v>
      </c>
      <c r="G1512" s="2">
        <v>16</v>
      </c>
      <c r="H1512" s="2">
        <f>SUM(G1508:G1517)</f>
        <v>1822</v>
      </c>
    </row>
    <row r="1513" spans="1:8" ht="12.75" hidden="1" x14ac:dyDescent="0.2">
      <c r="A1513" s="3" t="s">
        <v>160</v>
      </c>
      <c r="B1513" s="2">
        <v>42</v>
      </c>
      <c r="C1513" s="4" t="s">
        <v>73</v>
      </c>
      <c r="D1513" s="3" t="s">
        <v>162</v>
      </c>
      <c r="E1513" s="3" t="s">
        <v>138</v>
      </c>
      <c r="F1513" s="3" t="str">
        <f t="shared" si="0"/>
        <v>4 - Blanco/Nulo</v>
      </c>
      <c r="G1513" s="2">
        <v>15</v>
      </c>
      <c r="H1513" s="3"/>
    </row>
    <row r="1514" spans="1:8" ht="12.75" hidden="1" x14ac:dyDescent="0.2">
      <c r="A1514" s="3" t="s">
        <v>160</v>
      </c>
      <c r="B1514" s="2">
        <v>42</v>
      </c>
      <c r="C1514" s="4" t="s">
        <v>73</v>
      </c>
      <c r="D1514" s="3" t="s">
        <v>162</v>
      </c>
      <c r="E1514" s="3" t="s">
        <v>145</v>
      </c>
      <c r="F1514" s="3" t="str">
        <f t="shared" si="0"/>
        <v>3 - Otros</v>
      </c>
      <c r="G1514" s="2">
        <v>8</v>
      </c>
      <c r="H1514" s="3"/>
    </row>
    <row r="1515" spans="1:8" ht="12.75" hidden="1" x14ac:dyDescent="0.2">
      <c r="A1515" s="3" t="s">
        <v>160</v>
      </c>
      <c r="B1515" s="2">
        <v>42</v>
      </c>
      <c r="C1515" s="4" t="s">
        <v>73</v>
      </c>
      <c r="D1515" s="3" t="s">
        <v>162</v>
      </c>
      <c r="E1515" s="3" t="s">
        <v>139</v>
      </c>
      <c r="F1515" s="3" t="str">
        <f t="shared" si="0"/>
        <v>3 - Otros</v>
      </c>
      <c r="G1515" s="2">
        <v>7</v>
      </c>
      <c r="H1515" s="3"/>
    </row>
    <row r="1516" spans="1:8" ht="12.75" hidden="1" x14ac:dyDescent="0.2">
      <c r="A1516" s="3" t="s">
        <v>160</v>
      </c>
      <c r="B1516" s="2">
        <v>42</v>
      </c>
      <c r="C1516" s="4" t="s">
        <v>73</v>
      </c>
      <c r="D1516" s="3" t="s">
        <v>162</v>
      </c>
      <c r="E1516" s="3" t="s">
        <v>149</v>
      </c>
      <c r="F1516" s="3" t="str">
        <f t="shared" si="0"/>
        <v>3 - Otros</v>
      </c>
      <c r="G1516" s="2">
        <v>6</v>
      </c>
      <c r="H1516" s="3"/>
    </row>
    <row r="1517" spans="1:8" ht="12.75" hidden="1" x14ac:dyDescent="0.2">
      <c r="A1517" s="3" t="s">
        <v>160</v>
      </c>
      <c r="B1517" s="2">
        <v>42</v>
      </c>
      <c r="C1517" s="4" t="s">
        <v>73</v>
      </c>
      <c r="D1517" s="3" t="s">
        <v>162</v>
      </c>
      <c r="E1517" s="3" t="s">
        <v>135</v>
      </c>
      <c r="F1517" s="3" t="str">
        <f t="shared" si="0"/>
        <v>3 - Otros</v>
      </c>
      <c r="G1517" s="2">
        <v>3</v>
      </c>
      <c r="H1517" s="3"/>
    </row>
    <row r="1518" spans="1:8" ht="12.75" hidden="1" x14ac:dyDescent="0.2">
      <c r="A1518" s="3" t="s">
        <v>160</v>
      </c>
      <c r="B1518" s="2">
        <v>43</v>
      </c>
      <c r="C1518" s="4" t="s">
        <v>74</v>
      </c>
      <c r="D1518" s="3" t="s">
        <v>2</v>
      </c>
      <c r="E1518" s="3" t="s">
        <v>136</v>
      </c>
      <c r="F1518" s="3" t="str">
        <f t="shared" si="0"/>
        <v>1 - PJ</v>
      </c>
      <c r="G1518" s="2">
        <v>214</v>
      </c>
      <c r="H1518" s="3"/>
    </row>
    <row r="1519" spans="1:8" ht="12.75" hidden="1" x14ac:dyDescent="0.2">
      <c r="A1519" s="3" t="s">
        <v>160</v>
      </c>
      <c r="B1519" s="2">
        <v>43</v>
      </c>
      <c r="C1519" s="4" t="s">
        <v>74</v>
      </c>
      <c r="D1519" s="3" t="s">
        <v>2</v>
      </c>
      <c r="E1519" s="3" t="s">
        <v>133</v>
      </c>
      <c r="F1519" s="3" t="str">
        <f t="shared" si="0"/>
        <v>3 - Otros</v>
      </c>
      <c r="G1519" s="2">
        <v>71</v>
      </c>
      <c r="H1519" s="2">
        <f>SUM(G1518:G1520)</f>
        <v>286</v>
      </c>
    </row>
    <row r="1520" spans="1:8" ht="12.75" hidden="1" x14ac:dyDescent="0.2">
      <c r="A1520" s="3" t="s">
        <v>160</v>
      </c>
      <c r="B1520" s="2">
        <v>43</v>
      </c>
      <c r="C1520" s="4" t="s">
        <v>74</v>
      </c>
      <c r="D1520" s="3" t="s">
        <v>2</v>
      </c>
      <c r="E1520" s="3" t="s">
        <v>14</v>
      </c>
      <c r="F1520" s="3" t="str">
        <f t="shared" si="0"/>
        <v>4 - Blanco/Nulo</v>
      </c>
      <c r="G1520" s="2">
        <v>1</v>
      </c>
      <c r="H1520" s="3"/>
    </row>
    <row r="1521" spans="1:8" ht="12.75" hidden="1" x14ac:dyDescent="0.2">
      <c r="A1521" s="3" t="s">
        <v>160</v>
      </c>
      <c r="B1521" s="2">
        <v>43</v>
      </c>
      <c r="C1521" s="4" t="s">
        <v>74</v>
      </c>
      <c r="D1521" s="3" t="s">
        <v>161</v>
      </c>
      <c r="E1521" s="3" t="s">
        <v>136</v>
      </c>
      <c r="F1521" s="3" t="str">
        <f t="shared" si="0"/>
        <v>1 - PJ</v>
      </c>
      <c r="G1521" s="2">
        <v>182</v>
      </c>
      <c r="H1521" s="3"/>
    </row>
    <row r="1522" spans="1:8" ht="12.75" hidden="1" x14ac:dyDescent="0.2">
      <c r="A1522" s="3" t="s">
        <v>160</v>
      </c>
      <c r="B1522" s="2">
        <v>43</v>
      </c>
      <c r="C1522" s="4" t="s">
        <v>74</v>
      </c>
      <c r="D1522" s="3" t="s">
        <v>161</v>
      </c>
      <c r="E1522" s="3" t="s">
        <v>133</v>
      </c>
      <c r="F1522" s="3" t="str">
        <f t="shared" si="0"/>
        <v>3 - Otros</v>
      </c>
      <c r="G1522" s="2">
        <v>54</v>
      </c>
      <c r="H1522" s="3"/>
    </row>
    <row r="1523" spans="1:8" ht="12.75" hidden="1" x14ac:dyDescent="0.2">
      <c r="A1523" s="3" t="s">
        <v>160</v>
      </c>
      <c r="B1523" s="2">
        <v>43</v>
      </c>
      <c r="C1523" s="4" t="s">
        <v>74</v>
      </c>
      <c r="D1523" s="3" t="s">
        <v>161</v>
      </c>
      <c r="E1523" s="3" t="s">
        <v>128</v>
      </c>
      <c r="F1523" s="3" t="str">
        <f t="shared" si="0"/>
        <v>2 - Frepam</v>
      </c>
      <c r="G1523" s="2">
        <v>32</v>
      </c>
      <c r="H1523" s="2">
        <f>SUM(G1521:G1525)</f>
        <v>286</v>
      </c>
    </row>
    <row r="1524" spans="1:8" ht="12.75" hidden="1" x14ac:dyDescent="0.2">
      <c r="A1524" s="3" t="s">
        <v>160</v>
      </c>
      <c r="B1524" s="2">
        <v>43</v>
      </c>
      <c r="C1524" s="4" t="s">
        <v>74</v>
      </c>
      <c r="D1524" s="3" t="s">
        <v>161</v>
      </c>
      <c r="E1524" s="3" t="s">
        <v>148</v>
      </c>
      <c r="F1524" s="3" t="str">
        <f t="shared" si="0"/>
        <v>3 - Otros</v>
      </c>
      <c r="G1524" s="2">
        <v>11</v>
      </c>
      <c r="H1524" s="3"/>
    </row>
    <row r="1525" spans="1:8" ht="12.75" hidden="1" x14ac:dyDescent="0.2">
      <c r="A1525" s="3" t="s">
        <v>160</v>
      </c>
      <c r="B1525" s="2">
        <v>43</v>
      </c>
      <c r="C1525" s="4" t="s">
        <v>74</v>
      </c>
      <c r="D1525" s="3" t="s">
        <v>161</v>
      </c>
      <c r="E1525" s="3" t="s">
        <v>14</v>
      </c>
      <c r="F1525" s="3" t="str">
        <f t="shared" si="0"/>
        <v>4 - Blanco/Nulo</v>
      </c>
      <c r="G1525" s="2">
        <v>7</v>
      </c>
      <c r="H1525" s="3"/>
    </row>
    <row r="1526" spans="1:8" ht="12.75" hidden="1" x14ac:dyDescent="0.2">
      <c r="A1526" s="3" t="s">
        <v>160</v>
      </c>
      <c r="B1526" s="2">
        <v>43</v>
      </c>
      <c r="C1526" s="4" t="s">
        <v>74</v>
      </c>
      <c r="D1526" s="3" t="s">
        <v>162</v>
      </c>
      <c r="E1526" s="3" t="s">
        <v>136</v>
      </c>
      <c r="F1526" s="3" t="str">
        <f t="shared" si="0"/>
        <v>1 - PJ</v>
      </c>
      <c r="G1526" s="2">
        <v>183</v>
      </c>
      <c r="H1526" s="3"/>
    </row>
    <row r="1527" spans="1:8" ht="12.75" hidden="1" x14ac:dyDescent="0.2">
      <c r="A1527" s="3" t="s">
        <v>160</v>
      </c>
      <c r="B1527" s="2">
        <v>43</v>
      </c>
      <c r="C1527" s="4" t="s">
        <v>74</v>
      </c>
      <c r="D1527" s="3" t="s">
        <v>162</v>
      </c>
      <c r="E1527" s="3" t="s">
        <v>133</v>
      </c>
      <c r="F1527" s="3" t="str">
        <f t="shared" si="0"/>
        <v>3 - Otros</v>
      </c>
      <c r="G1527" s="2">
        <v>54</v>
      </c>
      <c r="H1527" s="3"/>
    </row>
    <row r="1528" spans="1:8" ht="12.75" hidden="1" x14ac:dyDescent="0.2">
      <c r="A1528" s="3" t="s">
        <v>160</v>
      </c>
      <c r="B1528" s="2">
        <v>43</v>
      </c>
      <c r="C1528" s="4" t="s">
        <v>74</v>
      </c>
      <c r="D1528" s="3" t="s">
        <v>162</v>
      </c>
      <c r="E1528" s="3" t="s">
        <v>128</v>
      </c>
      <c r="F1528" s="3" t="str">
        <f t="shared" si="0"/>
        <v>2 - Frepam</v>
      </c>
      <c r="G1528" s="2">
        <v>35</v>
      </c>
      <c r="H1528" s="2">
        <f>SUM(G1526:G1530)</f>
        <v>286</v>
      </c>
    </row>
    <row r="1529" spans="1:8" ht="12.75" hidden="1" x14ac:dyDescent="0.2">
      <c r="A1529" s="3" t="s">
        <v>160</v>
      </c>
      <c r="B1529" s="2">
        <v>43</v>
      </c>
      <c r="C1529" s="4" t="s">
        <v>74</v>
      </c>
      <c r="D1529" s="3" t="s">
        <v>162</v>
      </c>
      <c r="E1529" s="3" t="s">
        <v>148</v>
      </c>
      <c r="F1529" s="3" t="str">
        <f t="shared" si="0"/>
        <v>3 - Otros</v>
      </c>
      <c r="G1529" s="2">
        <v>11</v>
      </c>
      <c r="H1529" s="3"/>
    </row>
    <row r="1530" spans="1:8" ht="12.75" hidden="1" x14ac:dyDescent="0.2">
      <c r="A1530" s="3" t="s">
        <v>160</v>
      </c>
      <c r="B1530" s="2">
        <v>43</v>
      </c>
      <c r="C1530" s="4" t="s">
        <v>74</v>
      </c>
      <c r="D1530" s="3" t="s">
        <v>162</v>
      </c>
      <c r="E1530" s="3" t="s">
        <v>14</v>
      </c>
      <c r="F1530" s="3" t="str">
        <f t="shared" si="0"/>
        <v>4 - Blanco/Nulo</v>
      </c>
      <c r="G1530" s="2">
        <v>3</v>
      </c>
      <c r="H1530" s="3"/>
    </row>
    <row r="1531" spans="1:8" ht="12.75" hidden="1" x14ac:dyDescent="0.2">
      <c r="A1531" s="3" t="s">
        <v>160</v>
      </c>
      <c r="B1531" s="2">
        <v>45</v>
      </c>
      <c r="C1531" s="4" t="s">
        <v>75</v>
      </c>
      <c r="D1531" s="3" t="s">
        <v>15</v>
      </c>
      <c r="E1531" s="3" t="s">
        <v>136</v>
      </c>
      <c r="F1531" s="3" t="str">
        <f t="shared" si="0"/>
        <v>1 - PJ</v>
      </c>
      <c r="G1531" s="2">
        <v>94</v>
      </c>
      <c r="H1531" s="3"/>
    </row>
    <row r="1532" spans="1:8" ht="12.75" hidden="1" x14ac:dyDescent="0.2">
      <c r="A1532" s="3" t="s">
        <v>160</v>
      </c>
      <c r="B1532" s="2">
        <v>45</v>
      </c>
      <c r="C1532" s="4" t="s">
        <v>75</v>
      </c>
      <c r="D1532" s="3" t="s">
        <v>15</v>
      </c>
      <c r="E1532" s="3" t="s">
        <v>14</v>
      </c>
      <c r="F1532" s="3" t="str">
        <f t="shared" si="0"/>
        <v>4 - Blanco/Nulo</v>
      </c>
      <c r="G1532" s="2">
        <v>8</v>
      </c>
      <c r="H1532" s="2">
        <f>SUM(G1531:G1532)</f>
        <v>102</v>
      </c>
    </row>
    <row r="1533" spans="1:8" ht="12.75" hidden="1" x14ac:dyDescent="0.2">
      <c r="A1533" s="3" t="s">
        <v>160</v>
      </c>
      <c r="B1533" s="2">
        <v>45</v>
      </c>
      <c r="C1533" s="4" t="s">
        <v>75</v>
      </c>
      <c r="D1533" s="3" t="s">
        <v>161</v>
      </c>
      <c r="E1533" s="3" t="s">
        <v>136</v>
      </c>
      <c r="F1533" s="3" t="str">
        <f t="shared" si="0"/>
        <v>1 - PJ</v>
      </c>
      <c r="G1533" s="2">
        <v>85</v>
      </c>
      <c r="H1533" s="3"/>
    </row>
    <row r="1534" spans="1:8" ht="12.75" hidden="1" x14ac:dyDescent="0.2">
      <c r="A1534" s="3" t="s">
        <v>160</v>
      </c>
      <c r="B1534" s="2">
        <v>45</v>
      </c>
      <c r="C1534" s="4" t="s">
        <v>75</v>
      </c>
      <c r="D1534" s="3" t="s">
        <v>161</v>
      </c>
      <c r="E1534" s="3" t="s">
        <v>128</v>
      </c>
      <c r="F1534" s="3" t="str">
        <f t="shared" si="0"/>
        <v>2 - Frepam</v>
      </c>
      <c r="G1534" s="2">
        <v>9</v>
      </c>
      <c r="H1534" s="3"/>
    </row>
    <row r="1535" spans="1:8" ht="12.75" hidden="1" x14ac:dyDescent="0.2">
      <c r="A1535" s="3" t="s">
        <v>160</v>
      </c>
      <c r="B1535" s="2">
        <v>45</v>
      </c>
      <c r="C1535" s="4" t="s">
        <v>75</v>
      </c>
      <c r="D1535" s="3" t="s">
        <v>161</v>
      </c>
      <c r="E1535" s="3" t="s">
        <v>148</v>
      </c>
      <c r="F1535" s="3" t="str">
        <f t="shared" si="0"/>
        <v>3 - Otros</v>
      </c>
      <c r="G1535" s="2">
        <v>4</v>
      </c>
      <c r="H1535" s="2">
        <f>SUM(G1533:G1536)</f>
        <v>102</v>
      </c>
    </row>
    <row r="1536" spans="1:8" ht="12.75" hidden="1" x14ac:dyDescent="0.2">
      <c r="A1536" s="3" t="s">
        <v>160</v>
      </c>
      <c r="B1536" s="2">
        <v>45</v>
      </c>
      <c r="C1536" s="4" t="s">
        <v>75</v>
      </c>
      <c r="D1536" s="3" t="s">
        <v>161</v>
      </c>
      <c r="E1536" s="3" t="s">
        <v>14</v>
      </c>
      <c r="F1536" s="3" t="str">
        <f t="shared" si="0"/>
        <v>4 - Blanco/Nulo</v>
      </c>
      <c r="G1536" s="2">
        <v>4</v>
      </c>
      <c r="H1536" s="3"/>
    </row>
    <row r="1537" spans="1:8" ht="12.75" hidden="1" x14ac:dyDescent="0.2">
      <c r="A1537" s="3" t="s">
        <v>160</v>
      </c>
      <c r="B1537" s="2">
        <v>45</v>
      </c>
      <c r="C1537" s="4" t="s">
        <v>75</v>
      </c>
      <c r="D1537" s="3" t="s">
        <v>162</v>
      </c>
      <c r="E1537" s="3" t="s">
        <v>136</v>
      </c>
      <c r="F1537" s="3" t="str">
        <f t="shared" si="0"/>
        <v>1 - PJ</v>
      </c>
      <c r="G1537" s="2">
        <v>85</v>
      </c>
      <c r="H1537" s="3"/>
    </row>
    <row r="1538" spans="1:8" ht="12.75" hidden="1" x14ac:dyDescent="0.2">
      <c r="A1538" s="3" t="s">
        <v>160</v>
      </c>
      <c r="B1538" s="2">
        <v>45</v>
      </c>
      <c r="C1538" s="4" t="s">
        <v>75</v>
      </c>
      <c r="D1538" s="3" t="s">
        <v>162</v>
      </c>
      <c r="E1538" s="3" t="s">
        <v>128</v>
      </c>
      <c r="F1538" s="3" t="str">
        <f t="shared" si="0"/>
        <v>2 - Frepam</v>
      </c>
      <c r="G1538" s="2">
        <v>11</v>
      </c>
      <c r="H1538" s="3"/>
    </row>
    <row r="1539" spans="1:8" ht="12.75" hidden="1" x14ac:dyDescent="0.2">
      <c r="A1539" s="3" t="s">
        <v>160</v>
      </c>
      <c r="B1539" s="2">
        <v>45</v>
      </c>
      <c r="C1539" s="4" t="s">
        <v>75</v>
      </c>
      <c r="D1539" s="3" t="s">
        <v>162</v>
      </c>
      <c r="E1539" s="3" t="s">
        <v>14</v>
      </c>
      <c r="F1539" s="3" t="str">
        <f t="shared" si="0"/>
        <v>4 - Blanco/Nulo</v>
      </c>
      <c r="G1539" s="2">
        <v>3</v>
      </c>
      <c r="H1539" s="2">
        <f>SUM(G1537:G1541)</f>
        <v>102</v>
      </c>
    </row>
    <row r="1540" spans="1:8" ht="12.75" hidden="1" x14ac:dyDescent="0.2">
      <c r="A1540" s="3" t="s">
        <v>160</v>
      </c>
      <c r="B1540" s="2">
        <v>45</v>
      </c>
      <c r="C1540" s="4" t="s">
        <v>75</v>
      </c>
      <c r="D1540" s="3" t="s">
        <v>162</v>
      </c>
      <c r="E1540" s="3" t="s">
        <v>148</v>
      </c>
      <c r="F1540" s="3" t="str">
        <f t="shared" si="0"/>
        <v>3 - Otros</v>
      </c>
      <c r="G1540" s="2">
        <v>2</v>
      </c>
      <c r="H1540" s="3"/>
    </row>
    <row r="1541" spans="1:8" ht="12.75" hidden="1" x14ac:dyDescent="0.2">
      <c r="A1541" s="3" t="s">
        <v>160</v>
      </c>
      <c r="B1541" s="2">
        <v>45</v>
      </c>
      <c r="C1541" s="4" t="s">
        <v>75</v>
      </c>
      <c r="D1541" s="3" t="s">
        <v>162</v>
      </c>
      <c r="E1541" s="3" t="s">
        <v>133</v>
      </c>
      <c r="F1541" s="3" t="str">
        <f t="shared" si="0"/>
        <v>3 - Otros</v>
      </c>
      <c r="G1541" s="2">
        <v>1</v>
      </c>
      <c r="H1541" s="3"/>
    </row>
    <row r="1542" spans="1:8" ht="12.75" hidden="1" x14ac:dyDescent="0.2">
      <c r="A1542" s="3" t="s">
        <v>160</v>
      </c>
      <c r="B1542" s="2">
        <v>46</v>
      </c>
      <c r="C1542" s="4" t="s">
        <v>76</v>
      </c>
      <c r="D1542" s="3" t="s">
        <v>2</v>
      </c>
      <c r="E1542" s="3" t="s">
        <v>136</v>
      </c>
      <c r="F1542" s="3" t="str">
        <f t="shared" si="0"/>
        <v>1 - PJ</v>
      </c>
      <c r="G1542" s="2">
        <v>327</v>
      </c>
      <c r="H1542" s="3"/>
    </row>
    <row r="1543" spans="1:8" ht="12.75" hidden="1" x14ac:dyDescent="0.2">
      <c r="A1543" s="3" t="s">
        <v>160</v>
      </c>
      <c r="B1543" s="2">
        <v>46</v>
      </c>
      <c r="C1543" s="4" t="s">
        <v>76</v>
      </c>
      <c r="D1543" s="3" t="s">
        <v>2</v>
      </c>
      <c r="E1543" s="3" t="s">
        <v>14</v>
      </c>
      <c r="F1543" s="3" t="str">
        <f t="shared" si="0"/>
        <v>4 - Blanco/Nulo</v>
      </c>
      <c r="G1543" s="2">
        <v>199</v>
      </c>
      <c r="H1543" s="2">
        <f>SUM(G1542:G1544)</f>
        <v>527</v>
      </c>
    </row>
    <row r="1544" spans="1:8" ht="12.75" hidden="1" x14ac:dyDescent="0.2">
      <c r="A1544" s="3" t="s">
        <v>160</v>
      </c>
      <c r="B1544" s="2">
        <v>46</v>
      </c>
      <c r="C1544" s="4" t="s">
        <v>76</v>
      </c>
      <c r="D1544" s="3" t="s">
        <v>2</v>
      </c>
      <c r="E1544" s="3" t="s">
        <v>138</v>
      </c>
      <c r="F1544" s="3" t="str">
        <f t="shared" si="0"/>
        <v>4 - Blanco/Nulo</v>
      </c>
      <c r="G1544" s="2">
        <v>1</v>
      </c>
      <c r="H1544" s="3"/>
    </row>
    <row r="1545" spans="1:8" ht="12.75" hidden="1" x14ac:dyDescent="0.2">
      <c r="A1545" s="3" t="s">
        <v>160</v>
      </c>
      <c r="B1545" s="2">
        <v>46</v>
      </c>
      <c r="C1545" s="4" t="s">
        <v>76</v>
      </c>
      <c r="D1545" s="3" t="s">
        <v>161</v>
      </c>
      <c r="E1545" s="3" t="s">
        <v>136</v>
      </c>
      <c r="F1545" s="3" t="str">
        <f t="shared" si="0"/>
        <v>1 - PJ</v>
      </c>
      <c r="G1545" s="2">
        <v>318</v>
      </c>
      <c r="H1545" s="3"/>
    </row>
    <row r="1546" spans="1:8" ht="12.75" hidden="1" x14ac:dyDescent="0.2">
      <c r="A1546" s="3" t="s">
        <v>160</v>
      </c>
      <c r="B1546" s="2">
        <v>46</v>
      </c>
      <c r="C1546" s="4" t="s">
        <v>76</v>
      </c>
      <c r="D1546" s="3" t="s">
        <v>161</v>
      </c>
      <c r="E1546" s="3" t="s">
        <v>128</v>
      </c>
      <c r="F1546" s="3" t="str">
        <f t="shared" si="0"/>
        <v>2 - Frepam</v>
      </c>
      <c r="G1546" s="2">
        <v>146</v>
      </c>
      <c r="H1546" s="3"/>
    </row>
    <row r="1547" spans="1:8" ht="12.75" hidden="1" x14ac:dyDescent="0.2">
      <c r="A1547" s="3" t="s">
        <v>160</v>
      </c>
      <c r="B1547" s="2">
        <v>46</v>
      </c>
      <c r="C1547" s="4" t="s">
        <v>76</v>
      </c>
      <c r="D1547" s="3" t="s">
        <v>161</v>
      </c>
      <c r="E1547" s="3" t="s">
        <v>14</v>
      </c>
      <c r="F1547" s="3" t="str">
        <f t="shared" si="0"/>
        <v>4 - Blanco/Nulo</v>
      </c>
      <c r="G1547" s="2">
        <v>25</v>
      </c>
      <c r="H1547" s="3"/>
    </row>
    <row r="1548" spans="1:8" ht="12.75" hidden="1" x14ac:dyDescent="0.2">
      <c r="A1548" s="3" t="s">
        <v>160</v>
      </c>
      <c r="B1548" s="2">
        <v>46</v>
      </c>
      <c r="C1548" s="4" t="s">
        <v>76</v>
      </c>
      <c r="D1548" s="3" t="s">
        <v>161</v>
      </c>
      <c r="E1548" s="3" t="s">
        <v>133</v>
      </c>
      <c r="F1548" s="3" t="str">
        <f t="shared" si="0"/>
        <v>3 - Otros</v>
      </c>
      <c r="G1548" s="2">
        <v>12</v>
      </c>
      <c r="H1548" s="3"/>
    </row>
    <row r="1549" spans="1:8" ht="12.75" hidden="1" x14ac:dyDescent="0.2">
      <c r="A1549" s="3" t="s">
        <v>160</v>
      </c>
      <c r="B1549" s="2">
        <v>46</v>
      </c>
      <c r="C1549" s="4" t="s">
        <v>76</v>
      </c>
      <c r="D1549" s="3" t="s">
        <v>161</v>
      </c>
      <c r="E1549" s="3" t="s">
        <v>139</v>
      </c>
      <c r="F1549" s="3" t="str">
        <f t="shared" si="0"/>
        <v>3 - Otros</v>
      </c>
      <c r="G1549" s="2">
        <v>9</v>
      </c>
      <c r="H1549" s="3"/>
    </row>
    <row r="1550" spans="1:8" ht="12.75" hidden="1" x14ac:dyDescent="0.2">
      <c r="A1550" s="3" t="s">
        <v>160</v>
      </c>
      <c r="B1550" s="2">
        <v>46</v>
      </c>
      <c r="C1550" s="4" t="s">
        <v>76</v>
      </c>
      <c r="D1550" s="3" t="s">
        <v>161</v>
      </c>
      <c r="E1550" s="3" t="s">
        <v>148</v>
      </c>
      <c r="F1550" s="3" t="str">
        <f t="shared" si="0"/>
        <v>3 - Otros</v>
      </c>
      <c r="G1550" s="2">
        <v>6</v>
      </c>
      <c r="H1550" s="2">
        <f>SUM(G1545:G1554)</f>
        <v>527</v>
      </c>
    </row>
    <row r="1551" spans="1:8" ht="12.75" hidden="1" x14ac:dyDescent="0.2">
      <c r="A1551" s="3" t="s">
        <v>160</v>
      </c>
      <c r="B1551" s="2">
        <v>46</v>
      </c>
      <c r="C1551" s="4" t="s">
        <v>76</v>
      </c>
      <c r="D1551" s="3" t="s">
        <v>161</v>
      </c>
      <c r="E1551" s="3" t="s">
        <v>138</v>
      </c>
      <c r="F1551" s="3" t="str">
        <f t="shared" si="0"/>
        <v>4 - Blanco/Nulo</v>
      </c>
      <c r="G1551" s="2">
        <v>5</v>
      </c>
      <c r="H1551" s="3"/>
    </row>
    <row r="1552" spans="1:8" ht="12.75" hidden="1" x14ac:dyDescent="0.2">
      <c r="A1552" s="3" t="s">
        <v>160</v>
      </c>
      <c r="B1552" s="2">
        <v>46</v>
      </c>
      <c r="C1552" s="4" t="s">
        <v>76</v>
      </c>
      <c r="D1552" s="3" t="s">
        <v>161</v>
      </c>
      <c r="E1552" s="3" t="s">
        <v>149</v>
      </c>
      <c r="F1552" s="3" t="str">
        <f t="shared" si="0"/>
        <v>3 - Otros</v>
      </c>
      <c r="G1552" s="2">
        <v>3</v>
      </c>
      <c r="H1552" s="3"/>
    </row>
    <row r="1553" spans="1:8" ht="12.75" hidden="1" x14ac:dyDescent="0.2">
      <c r="A1553" s="3" t="s">
        <v>160</v>
      </c>
      <c r="B1553" s="2">
        <v>46</v>
      </c>
      <c r="C1553" s="4" t="s">
        <v>76</v>
      </c>
      <c r="D1553" s="3" t="s">
        <v>161</v>
      </c>
      <c r="E1553" s="3" t="s">
        <v>145</v>
      </c>
      <c r="F1553" s="3" t="str">
        <f t="shared" si="0"/>
        <v>3 - Otros</v>
      </c>
      <c r="G1553" s="2">
        <v>2</v>
      </c>
      <c r="H1553" s="3"/>
    </row>
    <row r="1554" spans="1:8" ht="12.75" hidden="1" x14ac:dyDescent="0.2">
      <c r="A1554" s="3" t="s">
        <v>160</v>
      </c>
      <c r="B1554" s="2">
        <v>46</v>
      </c>
      <c r="C1554" s="4" t="s">
        <v>76</v>
      </c>
      <c r="D1554" s="3" t="s">
        <v>161</v>
      </c>
      <c r="E1554" s="3" t="s">
        <v>135</v>
      </c>
      <c r="F1554" s="3" t="str">
        <f t="shared" si="0"/>
        <v>3 - Otros</v>
      </c>
      <c r="G1554" s="2">
        <v>1</v>
      </c>
      <c r="H1554" s="3"/>
    </row>
    <row r="1555" spans="1:8" ht="12.75" hidden="1" x14ac:dyDescent="0.2">
      <c r="A1555" s="3" t="s">
        <v>160</v>
      </c>
      <c r="B1555" s="2">
        <v>46</v>
      </c>
      <c r="C1555" s="4" t="s">
        <v>76</v>
      </c>
      <c r="D1555" s="3" t="s">
        <v>162</v>
      </c>
      <c r="E1555" s="3" t="s">
        <v>136</v>
      </c>
      <c r="F1555" s="3" t="str">
        <f t="shared" si="0"/>
        <v>1 - PJ</v>
      </c>
      <c r="G1555" s="2">
        <v>333</v>
      </c>
      <c r="H1555" s="3"/>
    </row>
    <row r="1556" spans="1:8" ht="12.75" hidden="1" x14ac:dyDescent="0.2">
      <c r="A1556" s="3" t="s">
        <v>160</v>
      </c>
      <c r="B1556" s="2">
        <v>46</v>
      </c>
      <c r="C1556" s="4" t="s">
        <v>76</v>
      </c>
      <c r="D1556" s="3" t="s">
        <v>162</v>
      </c>
      <c r="E1556" s="3" t="s">
        <v>128</v>
      </c>
      <c r="F1556" s="3" t="str">
        <f t="shared" si="0"/>
        <v>2 - Frepam</v>
      </c>
      <c r="G1556" s="2">
        <v>143</v>
      </c>
      <c r="H1556" s="3"/>
    </row>
    <row r="1557" spans="1:8" ht="12.75" hidden="1" x14ac:dyDescent="0.2">
      <c r="A1557" s="3" t="s">
        <v>160</v>
      </c>
      <c r="B1557" s="2">
        <v>46</v>
      </c>
      <c r="C1557" s="4" t="s">
        <v>76</v>
      </c>
      <c r="D1557" s="3" t="s">
        <v>162</v>
      </c>
      <c r="E1557" s="3" t="s">
        <v>133</v>
      </c>
      <c r="F1557" s="3" t="str">
        <f t="shared" si="0"/>
        <v>3 - Otros</v>
      </c>
      <c r="G1557" s="2">
        <v>14</v>
      </c>
      <c r="H1557" s="3"/>
    </row>
    <row r="1558" spans="1:8" ht="12.75" hidden="1" x14ac:dyDescent="0.2">
      <c r="A1558" s="3" t="s">
        <v>160</v>
      </c>
      <c r="B1558" s="2">
        <v>46</v>
      </c>
      <c r="C1558" s="4" t="s">
        <v>76</v>
      </c>
      <c r="D1558" s="3" t="s">
        <v>162</v>
      </c>
      <c r="E1558" s="3" t="s">
        <v>14</v>
      </c>
      <c r="F1558" s="3" t="str">
        <f t="shared" si="0"/>
        <v>4 - Blanco/Nulo</v>
      </c>
      <c r="G1558" s="2">
        <v>13</v>
      </c>
      <c r="H1558" s="2">
        <f>SUM(G1555:G1564)</f>
        <v>527</v>
      </c>
    </row>
    <row r="1559" spans="1:8" ht="12.75" hidden="1" x14ac:dyDescent="0.2">
      <c r="A1559" s="3" t="s">
        <v>160</v>
      </c>
      <c r="B1559" s="2">
        <v>46</v>
      </c>
      <c r="C1559" s="4" t="s">
        <v>76</v>
      </c>
      <c r="D1559" s="3" t="s">
        <v>162</v>
      </c>
      <c r="E1559" s="3" t="s">
        <v>139</v>
      </c>
      <c r="F1559" s="3" t="str">
        <f t="shared" si="0"/>
        <v>3 - Otros</v>
      </c>
      <c r="G1559" s="2">
        <v>7</v>
      </c>
      <c r="H1559" s="3"/>
    </row>
    <row r="1560" spans="1:8" ht="12.75" hidden="1" x14ac:dyDescent="0.2">
      <c r="A1560" s="3" t="s">
        <v>160</v>
      </c>
      <c r="B1560" s="2">
        <v>46</v>
      </c>
      <c r="C1560" s="4" t="s">
        <v>76</v>
      </c>
      <c r="D1560" s="3" t="s">
        <v>162</v>
      </c>
      <c r="E1560" s="3" t="s">
        <v>148</v>
      </c>
      <c r="F1560" s="3" t="str">
        <f t="shared" si="0"/>
        <v>3 - Otros</v>
      </c>
      <c r="G1560" s="2">
        <v>6</v>
      </c>
      <c r="H1560" s="3"/>
    </row>
    <row r="1561" spans="1:8" ht="12.75" hidden="1" x14ac:dyDescent="0.2">
      <c r="A1561" s="3" t="s">
        <v>160</v>
      </c>
      <c r="B1561" s="2">
        <v>46</v>
      </c>
      <c r="C1561" s="4" t="s">
        <v>76</v>
      </c>
      <c r="D1561" s="3" t="s">
        <v>162</v>
      </c>
      <c r="E1561" s="3" t="s">
        <v>138</v>
      </c>
      <c r="F1561" s="3" t="str">
        <f t="shared" si="0"/>
        <v>4 - Blanco/Nulo</v>
      </c>
      <c r="G1561" s="2">
        <v>5</v>
      </c>
      <c r="H1561" s="3"/>
    </row>
    <row r="1562" spans="1:8" ht="12.75" hidden="1" x14ac:dyDescent="0.2">
      <c r="A1562" s="3" t="s">
        <v>160</v>
      </c>
      <c r="B1562" s="2">
        <v>46</v>
      </c>
      <c r="C1562" s="4" t="s">
        <v>76</v>
      </c>
      <c r="D1562" s="3" t="s">
        <v>162</v>
      </c>
      <c r="E1562" s="3" t="s">
        <v>149</v>
      </c>
      <c r="F1562" s="3" t="str">
        <f t="shared" si="0"/>
        <v>3 - Otros</v>
      </c>
      <c r="G1562" s="2">
        <v>3</v>
      </c>
      <c r="H1562" s="3"/>
    </row>
    <row r="1563" spans="1:8" ht="12.75" hidden="1" x14ac:dyDescent="0.2">
      <c r="A1563" s="3" t="s">
        <v>160</v>
      </c>
      <c r="B1563" s="2">
        <v>46</v>
      </c>
      <c r="C1563" s="4" t="s">
        <v>76</v>
      </c>
      <c r="D1563" s="3" t="s">
        <v>162</v>
      </c>
      <c r="E1563" s="3" t="s">
        <v>145</v>
      </c>
      <c r="F1563" s="3" t="str">
        <f t="shared" si="0"/>
        <v>3 - Otros</v>
      </c>
      <c r="G1563" s="2">
        <v>2</v>
      </c>
      <c r="H1563" s="3"/>
    </row>
    <row r="1564" spans="1:8" ht="12.75" hidden="1" x14ac:dyDescent="0.2">
      <c r="A1564" s="3" t="s">
        <v>160</v>
      </c>
      <c r="B1564" s="2">
        <v>46</v>
      </c>
      <c r="C1564" s="4" t="s">
        <v>76</v>
      </c>
      <c r="D1564" s="3" t="s">
        <v>162</v>
      </c>
      <c r="E1564" s="3" t="s">
        <v>135</v>
      </c>
      <c r="F1564" s="3" t="str">
        <f t="shared" si="0"/>
        <v>3 - Otros</v>
      </c>
      <c r="G1564" s="2">
        <v>1</v>
      </c>
      <c r="H1564" s="3"/>
    </row>
    <row r="1565" spans="1:8" ht="12.75" hidden="1" x14ac:dyDescent="0.2">
      <c r="A1565" s="3" t="s">
        <v>160</v>
      </c>
      <c r="B1565" s="2">
        <v>47</v>
      </c>
      <c r="C1565" s="4" t="s">
        <v>77</v>
      </c>
      <c r="D1565" s="3" t="s">
        <v>2</v>
      </c>
      <c r="E1565" s="3" t="s">
        <v>136</v>
      </c>
      <c r="F1565" s="3" t="str">
        <f t="shared" si="0"/>
        <v>1 - PJ</v>
      </c>
      <c r="G1565" s="2">
        <v>680</v>
      </c>
      <c r="H1565" s="3"/>
    </row>
    <row r="1566" spans="1:8" ht="12.75" hidden="1" x14ac:dyDescent="0.2">
      <c r="A1566" s="3" t="s">
        <v>160</v>
      </c>
      <c r="B1566" s="2">
        <v>47</v>
      </c>
      <c r="C1566" s="4" t="s">
        <v>77</v>
      </c>
      <c r="D1566" s="3" t="s">
        <v>2</v>
      </c>
      <c r="E1566" s="3" t="s">
        <v>128</v>
      </c>
      <c r="F1566" s="3" t="str">
        <f t="shared" si="0"/>
        <v>2 - Frepam</v>
      </c>
      <c r="G1566" s="2">
        <v>290</v>
      </c>
      <c r="H1566" s="3"/>
    </row>
    <row r="1567" spans="1:8" ht="12.75" hidden="1" x14ac:dyDescent="0.2">
      <c r="A1567" s="3" t="s">
        <v>160</v>
      </c>
      <c r="B1567" s="2">
        <v>47</v>
      </c>
      <c r="C1567" s="4" t="s">
        <v>77</v>
      </c>
      <c r="D1567" s="3" t="s">
        <v>2</v>
      </c>
      <c r="E1567" s="3" t="s">
        <v>14</v>
      </c>
      <c r="F1567" s="3" t="str">
        <f t="shared" si="0"/>
        <v>4 - Blanco/Nulo</v>
      </c>
      <c r="G1567" s="2">
        <v>53</v>
      </c>
      <c r="H1567" s="2">
        <f>SUM(G1565:G1568)</f>
        <v>1029</v>
      </c>
    </row>
    <row r="1568" spans="1:8" ht="12.75" hidden="1" x14ac:dyDescent="0.2">
      <c r="A1568" s="3" t="s">
        <v>160</v>
      </c>
      <c r="B1568" s="2">
        <v>47</v>
      </c>
      <c r="C1568" s="4" t="s">
        <v>77</v>
      </c>
      <c r="D1568" s="3" t="s">
        <v>2</v>
      </c>
      <c r="E1568" s="3" t="s">
        <v>138</v>
      </c>
      <c r="F1568" s="3" t="str">
        <f t="shared" si="0"/>
        <v>4 - Blanco/Nulo</v>
      </c>
      <c r="G1568" s="2">
        <v>6</v>
      </c>
      <c r="H1568" s="3"/>
    </row>
    <row r="1569" spans="1:8" ht="12.75" hidden="1" x14ac:dyDescent="0.2">
      <c r="A1569" s="3" t="s">
        <v>160</v>
      </c>
      <c r="B1569" s="2">
        <v>47</v>
      </c>
      <c r="C1569" s="4" t="s">
        <v>77</v>
      </c>
      <c r="D1569" s="3" t="s">
        <v>161</v>
      </c>
      <c r="E1569" s="3" t="s">
        <v>136</v>
      </c>
      <c r="F1569" s="3" t="str">
        <f t="shared" si="0"/>
        <v>1 - PJ</v>
      </c>
      <c r="G1569" s="2">
        <v>643</v>
      </c>
      <c r="H1569" s="3"/>
    </row>
    <row r="1570" spans="1:8" ht="12.75" hidden="1" x14ac:dyDescent="0.2">
      <c r="A1570" s="3" t="s">
        <v>160</v>
      </c>
      <c r="B1570" s="2">
        <v>47</v>
      </c>
      <c r="C1570" s="4" t="s">
        <v>77</v>
      </c>
      <c r="D1570" s="3" t="s">
        <v>161</v>
      </c>
      <c r="E1570" s="3" t="s">
        <v>128</v>
      </c>
      <c r="F1570" s="3" t="str">
        <f t="shared" si="0"/>
        <v>2 - Frepam</v>
      </c>
      <c r="G1570" s="2">
        <v>270</v>
      </c>
      <c r="H1570" s="3"/>
    </row>
    <row r="1571" spans="1:8" ht="12.75" hidden="1" x14ac:dyDescent="0.2">
      <c r="A1571" s="3" t="s">
        <v>160</v>
      </c>
      <c r="B1571" s="2">
        <v>47</v>
      </c>
      <c r="C1571" s="4" t="s">
        <v>77</v>
      </c>
      <c r="D1571" s="3" t="s">
        <v>161</v>
      </c>
      <c r="E1571" s="3" t="s">
        <v>14</v>
      </c>
      <c r="F1571" s="3" t="str">
        <f t="shared" si="0"/>
        <v>4 - Blanco/Nulo</v>
      </c>
      <c r="G1571" s="2">
        <v>61</v>
      </c>
      <c r="H1571" s="3"/>
    </row>
    <row r="1572" spans="1:8" ht="12.75" hidden="1" x14ac:dyDescent="0.2">
      <c r="A1572" s="3" t="s">
        <v>160</v>
      </c>
      <c r="B1572" s="2">
        <v>47</v>
      </c>
      <c r="C1572" s="4" t="s">
        <v>77</v>
      </c>
      <c r="D1572" s="3" t="s">
        <v>161</v>
      </c>
      <c r="E1572" s="3" t="s">
        <v>133</v>
      </c>
      <c r="F1572" s="3" t="str">
        <f t="shared" si="0"/>
        <v>3 - Otros</v>
      </c>
      <c r="G1572" s="2">
        <v>24</v>
      </c>
      <c r="H1572" s="3"/>
    </row>
    <row r="1573" spans="1:8" ht="12.75" hidden="1" x14ac:dyDescent="0.2">
      <c r="A1573" s="3" t="s">
        <v>160</v>
      </c>
      <c r="B1573" s="2">
        <v>47</v>
      </c>
      <c r="C1573" s="4" t="s">
        <v>77</v>
      </c>
      <c r="D1573" s="3" t="s">
        <v>161</v>
      </c>
      <c r="E1573" s="3" t="s">
        <v>138</v>
      </c>
      <c r="F1573" s="3" t="str">
        <f t="shared" si="0"/>
        <v>4 - Blanco/Nulo</v>
      </c>
      <c r="G1573" s="2">
        <v>10</v>
      </c>
      <c r="H1573" s="3"/>
    </row>
    <row r="1574" spans="1:8" ht="12.75" hidden="1" x14ac:dyDescent="0.2">
      <c r="A1574" s="3" t="s">
        <v>160</v>
      </c>
      <c r="B1574" s="2">
        <v>47</v>
      </c>
      <c r="C1574" s="4" t="s">
        <v>77</v>
      </c>
      <c r="D1574" s="3" t="s">
        <v>161</v>
      </c>
      <c r="E1574" s="3" t="s">
        <v>149</v>
      </c>
      <c r="F1574" s="3" t="str">
        <f t="shared" si="0"/>
        <v>3 - Otros</v>
      </c>
      <c r="G1574" s="2">
        <v>8</v>
      </c>
      <c r="H1574" s="2">
        <f>SUM(G1569:G1578)</f>
        <v>1029</v>
      </c>
    </row>
    <row r="1575" spans="1:8" ht="12.75" hidden="1" x14ac:dyDescent="0.2">
      <c r="A1575" s="3" t="s">
        <v>160</v>
      </c>
      <c r="B1575" s="2">
        <v>47</v>
      </c>
      <c r="C1575" s="4" t="s">
        <v>77</v>
      </c>
      <c r="D1575" s="3" t="s">
        <v>161</v>
      </c>
      <c r="E1575" s="3" t="s">
        <v>139</v>
      </c>
      <c r="F1575" s="3" t="str">
        <f t="shared" si="0"/>
        <v>3 - Otros</v>
      </c>
      <c r="G1575" s="2">
        <v>4</v>
      </c>
      <c r="H1575" s="3"/>
    </row>
    <row r="1576" spans="1:8" ht="12.75" hidden="1" x14ac:dyDescent="0.2">
      <c r="A1576" s="3" t="s">
        <v>160</v>
      </c>
      <c r="B1576" s="2">
        <v>47</v>
      </c>
      <c r="C1576" s="4" t="s">
        <v>77</v>
      </c>
      <c r="D1576" s="3" t="s">
        <v>161</v>
      </c>
      <c r="E1576" s="3" t="s">
        <v>148</v>
      </c>
      <c r="F1576" s="3" t="str">
        <f t="shared" si="0"/>
        <v>3 - Otros</v>
      </c>
      <c r="G1576" s="2">
        <v>4</v>
      </c>
      <c r="H1576" s="3"/>
    </row>
    <row r="1577" spans="1:8" ht="12.75" hidden="1" x14ac:dyDescent="0.2">
      <c r="A1577" s="3" t="s">
        <v>160</v>
      </c>
      <c r="B1577" s="2">
        <v>47</v>
      </c>
      <c r="C1577" s="4" t="s">
        <v>77</v>
      </c>
      <c r="D1577" s="3" t="s">
        <v>161</v>
      </c>
      <c r="E1577" s="3" t="s">
        <v>145</v>
      </c>
      <c r="F1577" s="3" t="str">
        <f t="shared" si="0"/>
        <v>3 - Otros</v>
      </c>
      <c r="G1577" s="2">
        <v>3</v>
      </c>
      <c r="H1577" s="3"/>
    </row>
    <row r="1578" spans="1:8" ht="12.75" hidden="1" x14ac:dyDescent="0.2">
      <c r="A1578" s="3" t="s">
        <v>160</v>
      </c>
      <c r="B1578" s="2">
        <v>47</v>
      </c>
      <c r="C1578" s="4" t="s">
        <v>77</v>
      </c>
      <c r="D1578" s="3" t="s">
        <v>161</v>
      </c>
      <c r="E1578" s="3" t="s">
        <v>135</v>
      </c>
      <c r="F1578" s="3" t="str">
        <f t="shared" si="0"/>
        <v>3 - Otros</v>
      </c>
      <c r="G1578" s="2">
        <v>2</v>
      </c>
      <c r="H1578" s="3"/>
    </row>
    <row r="1579" spans="1:8" ht="12.75" hidden="1" x14ac:dyDescent="0.2">
      <c r="A1579" s="3" t="s">
        <v>160</v>
      </c>
      <c r="B1579" s="2">
        <v>47</v>
      </c>
      <c r="C1579" s="4" t="s">
        <v>77</v>
      </c>
      <c r="D1579" s="3" t="s">
        <v>162</v>
      </c>
      <c r="E1579" s="3" t="s">
        <v>136</v>
      </c>
      <c r="F1579" s="3" t="str">
        <f t="shared" si="0"/>
        <v>1 - PJ</v>
      </c>
      <c r="G1579" s="2">
        <v>661</v>
      </c>
      <c r="H1579" s="3"/>
    </row>
    <row r="1580" spans="1:8" ht="12.75" hidden="1" x14ac:dyDescent="0.2">
      <c r="A1580" s="3" t="s">
        <v>160</v>
      </c>
      <c r="B1580" s="2">
        <v>47</v>
      </c>
      <c r="C1580" s="4" t="s">
        <v>77</v>
      </c>
      <c r="D1580" s="3" t="s">
        <v>162</v>
      </c>
      <c r="E1580" s="3" t="s">
        <v>128</v>
      </c>
      <c r="F1580" s="3" t="str">
        <f t="shared" si="0"/>
        <v>2 - Frepam</v>
      </c>
      <c r="G1580" s="2">
        <v>275</v>
      </c>
      <c r="H1580" s="3"/>
    </row>
    <row r="1581" spans="1:8" ht="12.75" hidden="1" x14ac:dyDescent="0.2">
      <c r="A1581" s="3" t="s">
        <v>160</v>
      </c>
      <c r="B1581" s="2">
        <v>47</v>
      </c>
      <c r="C1581" s="4" t="s">
        <v>77</v>
      </c>
      <c r="D1581" s="3" t="s">
        <v>162</v>
      </c>
      <c r="E1581" s="3" t="s">
        <v>14</v>
      </c>
      <c r="F1581" s="3" t="str">
        <f t="shared" si="0"/>
        <v>4 - Blanco/Nulo</v>
      </c>
      <c r="G1581" s="2">
        <v>43</v>
      </c>
      <c r="H1581" s="3"/>
    </row>
    <row r="1582" spans="1:8" ht="12.75" hidden="1" x14ac:dyDescent="0.2">
      <c r="A1582" s="3" t="s">
        <v>160</v>
      </c>
      <c r="B1582" s="2">
        <v>47</v>
      </c>
      <c r="C1582" s="4" t="s">
        <v>77</v>
      </c>
      <c r="D1582" s="3" t="s">
        <v>162</v>
      </c>
      <c r="E1582" s="3" t="s">
        <v>133</v>
      </c>
      <c r="F1582" s="3" t="str">
        <f t="shared" si="0"/>
        <v>3 - Otros</v>
      </c>
      <c r="G1582" s="2">
        <v>25</v>
      </c>
      <c r="H1582" s="3"/>
    </row>
    <row r="1583" spans="1:8" ht="12.75" hidden="1" x14ac:dyDescent="0.2">
      <c r="A1583" s="3" t="s">
        <v>160</v>
      </c>
      <c r="B1583" s="2">
        <v>47</v>
      </c>
      <c r="C1583" s="4" t="s">
        <v>77</v>
      </c>
      <c r="D1583" s="3" t="s">
        <v>162</v>
      </c>
      <c r="E1583" s="3" t="s">
        <v>138</v>
      </c>
      <c r="F1583" s="3" t="str">
        <f t="shared" si="0"/>
        <v>4 - Blanco/Nulo</v>
      </c>
      <c r="G1583" s="2">
        <v>8</v>
      </c>
      <c r="H1583" s="3"/>
    </row>
    <row r="1584" spans="1:8" ht="12.75" hidden="1" x14ac:dyDescent="0.2">
      <c r="A1584" s="3" t="s">
        <v>160</v>
      </c>
      <c r="B1584" s="2">
        <v>47</v>
      </c>
      <c r="C1584" s="4" t="s">
        <v>77</v>
      </c>
      <c r="D1584" s="3" t="s">
        <v>162</v>
      </c>
      <c r="E1584" s="3" t="s">
        <v>149</v>
      </c>
      <c r="F1584" s="3" t="str">
        <f t="shared" si="0"/>
        <v>3 - Otros</v>
      </c>
      <c r="G1584" s="2">
        <v>7</v>
      </c>
      <c r="H1584" s="3"/>
    </row>
    <row r="1585" spans="1:8" ht="12.75" hidden="1" x14ac:dyDescent="0.2">
      <c r="A1585" s="3" t="s">
        <v>160</v>
      </c>
      <c r="B1585" s="2">
        <v>47</v>
      </c>
      <c r="C1585" s="4" t="s">
        <v>77</v>
      </c>
      <c r="D1585" s="3" t="s">
        <v>162</v>
      </c>
      <c r="E1585" s="3" t="s">
        <v>148</v>
      </c>
      <c r="F1585" s="3" t="str">
        <f t="shared" si="0"/>
        <v>3 - Otros</v>
      </c>
      <c r="G1585" s="2">
        <v>3</v>
      </c>
      <c r="H1585" s="3"/>
    </row>
    <row r="1586" spans="1:8" ht="12.75" hidden="1" x14ac:dyDescent="0.2">
      <c r="A1586" s="3" t="s">
        <v>160</v>
      </c>
      <c r="B1586" s="2">
        <v>47</v>
      </c>
      <c r="C1586" s="4" t="s">
        <v>77</v>
      </c>
      <c r="D1586" s="3" t="s">
        <v>162</v>
      </c>
      <c r="E1586" s="3" t="s">
        <v>135</v>
      </c>
      <c r="F1586" s="3" t="str">
        <f t="shared" si="0"/>
        <v>3 - Otros</v>
      </c>
      <c r="G1586" s="2">
        <v>3</v>
      </c>
      <c r="H1586" s="2">
        <f>SUM(G1579:G1588)</f>
        <v>1029</v>
      </c>
    </row>
    <row r="1587" spans="1:8" ht="12.75" hidden="1" x14ac:dyDescent="0.2">
      <c r="A1587" s="3" t="s">
        <v>160</v>
      </c>
      <c r="B1587" s="2">
        <v>47</v>
      </c>
      <c r="C1587" s="4" t="s">
        <v>77</v>
      </c>
      <c r="D1587" s="3" t="s">
        <v>162</v>
      </c>
      <c r="E1587" s="3" t="s">
        <v>145</v>
      </c>
      <c r="F1587" s="3" t="str">
        <f t="shared" si="0"/>
        <v>3 - Otros</v>
      </c>
      <c r="G1587" s="2">
        <v>3</v>
      </c>
      <c r="H1587" s="3"/>
    </row>
    <row r="1588" spans="1:8" ht="12.75" hidden="1" x14ac:dyDescent="0.2">
      <c r="A1588" s="3" t="s">
        <v>160</v>
      </c>
      <c r="B1588" s="2">
        <v>47</v>
      </c>
      <c r="C1588" s="4" t="s">
        <v>77</v>
      </c>
      <c r="D1588" s="3" t="s">
        <v>162</v>
      </c>
      <c r="E1588" s="3" t="s">
        <v>139</v>
      </c>
      <c r="F1588" s="3" t="str">
        <f t="shared" si="0"/>
        <v>3 - Otros</v>
      </c>
      <c r="G1588" s="2">
        <v>1</v>
      </c>
      <c r="H1588" s="3"/>
    </row>
    <row r="1589" spans="1:8" ht="12.75" hidden="1" x14ac:dyDescent="0.2">
      <c r="A1589" s="3" t="s">
        <v>160</v>
      </c>
      <c r="B1589" s="2">
        <v>48</v>
      </c>
      <c r="C1589" s="4" t="s">
        <v>78</v>
      </c>
      <c r="D1589" s="3" t="s">
        <v>2</v>
      </c>
      <c r="E1589" s="3" t="s">
        <v>26</v>
      </c>
      <c r="F1589" s="3">
        <f t="shared" si="0"/>
        <v>0</v>
      </c>
      <c r="G1589" s="2">
        <v>2188</v>
      </c>
      <c r="H1589" s="3"/>
    </row>
    <row r="1590" spans="1:8" ht="12.75" hidden="1" x14ac:dyDescent="0.2">
      <c r="A1590" s="3" t="s">
        <v>160</v>
      </c>
      <c r="B1590" s="2">
        <v>48</v>
      </c>
      <c r="C1590" s="4" t="s">
        <v>78</v>
      </c>
      <c r="D1590" s="3" t="s">
        <v>2</v>
      </c>
      <c r="E1590" s="3" t="s">
        <v>3</v>
      </c>
      <c r="F1590" s="3" t="str">
        <f t="shared" si="0"/>
        <v>1 - PJ</v>
      </c>
      <c r="G1590" s="2">
        <v>2187</v>
      </c>
      <c r="H1590" s="3"/>
    </row>
    <row r="1591" spans="1:8" ht="12.75" hidden="1" x14ac:dyDescent="0.2">
      <c r="A1591" s="3" t="s">
        <v>160</v>
      </c>
      <c r="B1591" s="2">
        <v>48</v>
      </c>
      <c r="C1591" s="4" t="s">
        <v>78</v>
      </c>
      <c r="D1591" s="3" t="s">
        <v>2</v>
      </c>
      <c r="E1591" s="3" t="s">
        <v>14</v>
      </c>
      <c r="F1591" s="3" t="str">
        <f t="shared" si="0"/>
        <v>4 - Blanco/Nulo</v>
      </c>
      <c r="G1591" s="2">
        <v>122</v>
      </c>
      <c r="H1591" s="2">
        <f>SUM(G1589:G1592)</f>
        <v>4524</v>
      </c>
    </row>
    <row r="1592" spans="1:8" ht="12.75" hidden="1" x14ac:dyDescent="0.2">
      <c r="A1592" s="3" t="s">
        <v>160</v>
      </c>
      <c r="B1592" s="2">
        <v>48</v>
      </c>
      <c r="C1592" s="4" t="s">
        <v>78</v>
      </c>
      <c r="D1592" s="3" t="s">
        <v>2</v>
      </c>
      <c r="E1592" s="3" t="s">
        <v>138</v>
      </c>
      <c r="F1592" s="3" t="str">
        <f t="shared" si="0"/>
        <v>4 - Blanco/Nulo</v>
      </c>
      <c r="G1592" s="2">
        <v>27</v>
      </c>
      <c r="H1592" s="3"/>
    </row>
    <row r="1593" spans="1:8" ht="12.75" hidden="1" x14ac:dyDescent="0.2">
      <c r="A1593" s="3" t="s">
        <v>160</v>
      </c>
      <c r="B1593" s="2">
        <v>48</v>
      </c>
      <c r="C1593" s="4" t="s">
        <v>78</v>
      </c>
      <c r="D1593" s="3" t="s">
        <v>162</v>
      </c>
      <c r="E1593" s="3" t="s">
        <v>3</v>
      </c>
      <c r="F1593" s="3" t="str">
        <f t="shared" si="0"/>
        <v>1 - PJ</v>
      </c>
      <c r="G1593" s="2">
        <v>2268</v>
      </c>
      <c r="H1593" s="3"/>
    </row>
    <row r="1594" spans="1:8" ht="12.75" hidden="1" x14ac:dyDescent="0.2">
      <c r="A1594" s="3" t="s">
        <v>160</v>
      </c>
      <c r="B1594" s="2">
        <v>48</v>
      </c>
      <c r="C1594" s="4" t="s">
        <v>78</v>
      </c>
      <c r="D1594" s="3" t="s">
        <v>162</v>
      </c>
      <c r="E1594" s="3" t="s">
        <v>128</v>
      </c>
      <c r="F1594" s="3" t="str">
        <f t="shared" si="0"/>
        <v>2 - Frepam</v>
      </c>
      <c r="G1594" s="2">
        <v>954</v>
      </c>
      <c r="H1594" s="3"/>
    </row>
    <row r="1595" spans="1:8" ht="12.75" hidden="1" x14ac:dyDescent="0.2">
      <c r="A1595" s="3" t="s">
        <v>160</v>
      </c>
      <c r="B1595" s="2">
        <v>48</v>
      </c>
      <c r="C1595" s="4" t="s">
        <v>78</v>
      </c>
      <c r="D1595" s="3" t="s">
        <v>162</v>
      </c>
      <c r="E1595" s="3" t="s">
        <v>14</v>
      </c>
      <c r="F1595" s="3" t="str">
        <f t="shared" si="0"/>
        <v>4 - Blanco/Nulo</v>
      </c>
      <c r="G1595" s="2">
        <v>829</v>
      </c>
      <c r="H1595" s="3"/>
    </row>
    <row r="1596" spans="1:8" ht="12.75" hidden="1" x14ac:dyDescent="0.2">
      <c r="A1596" s="3" t="s">
        <v>160</v>
      </c>
      <c r="B1596" s="2">
        <v>48</v>
      </c>
      <c r="C1596" s="4" t="s">
        <v>78</v>
      </c>
      <c r="D1596" s="3" t="s">
        <v>162</v>
      </c>
      <c r="E1596" s="3" t="s">
        <v>133</v>
      </c>
      <c r="F1596" s="3" t="str">
        <f t="shared" si="0"/>
        <v>3 - Otros</v>
      </c>
      <c r="G1596" s="2">
        <v>157</v>
      </c>
      <c r="H1596" s="3"/>
    </row>
    <row r="1597" spans="1:8" ht="12.75" hidden="1" x14ac:dyDescent="0.2">
      <c r="A1597" s="3" t="s">
        <v>160</v>
      </c>
      <c r="B1597" s="2">
        <v>48</v>
      </c>
      <c r="C1597" s="4" t="s">
        <v>78</v>
      </c>
      <c r="D1597" s="3" t="s">
        <v>162</v>
      </c>
      <c r="E1597" s="3" t="s">
        <v>149</v>
      </c>
      <c r="F1597" s="3" t="str">
        <f t="shared" si="0"/>
        <v>3 - Otros</v>
      </c>
      <c r="G1597" s="2">
        <v>127</v>
      </c>
      <c r="H1597" s="3"/>
    </row>
    <row r="1598" spans="1:8" ht="12.75" hidden="1" x14ac:dyDescent="0.2">
      <c r="A1598" s="3" t="s">
        <v>160</v>
      </c>
      <c r="B1598" s="2">
        <v>48</v>
      </c>
      <c r="C1598" s="4" t="s">
        <v>78</v>
      </c>
      <c r="D1598" s="3" t="s">
        <v>162</v>
      </c>
      <c r="E1598" s="3" t="s">
        <v>148</v>
      </c>
      <c r="F1598" s="3" t="str">
        <f t="shared" si="0"/>
        <v>3 - Otros</v>
      </c>
      <c r="G1598" s="2">
        <v>93</v>
      </c>
      <c r="H1598" s="2">
        <f>SUM(G1593:G1602)</f>
        <v>4524</v>
      </c>
    </row>
    <row r="1599" spans="1:8" ht="12.75" hidden="1" x14ac:dyDescent="0.2">
      <c r="A1599" s="3" t="s">
        <v>160</v>
      </c>
      <c r="B1599" s="2">
        <v>48</v>
      </c>
      <c r="C1599" s="4" t="s">
        <v>78</v>
      </c>
      <c r="D1599" s="3" t="s">
        <v>162</v>
      </c>
      <c r="E1599" s="3" t="s">
        <v>138</v>
      </c>
      <c r="F1599" s="3" t="str">
        <f t="shared" si="0"/>
        <v>4 - Blanco/Nulo</v>
      </c>
      <c r="G1599" s="2">
        <v>42</v>
      </c>
      <c r="H1599" s="3"/>
    </row>
    <row r="1600" spans="1:8" ht="12.75" hidden="1" x14ac:dyDescent="0.2">
      <c r="A1600" s="3" t="s">
        <v>160</v>
      </c>
      <c r="B1600" s="2">
        <v>48</v>
      </c>
      <c r="C1600" s="4" t="s">
        <v>78</v>
      </c>
      <c r="D1600" s="3" t="s">
        <v>162</v>
      </c>
      <c r="E1600" s="3" t="s">
        <v>139</v>
      </c>
      <c r="F1600" s="3" t="str">
        <f t="shared" si="0"/>
        <v>3 - Otros</v>
      </c>
      <c r="G1600" s="2">
        <v>27</v>
      </c>
      <c r="H1600" s="3"/>
    </row>
    <row r="1601" spans="1:8" ht="12.75" hidden="1" x14ac:dyDescent="0.2">
      <c r="A1601" s="3" t="s">
        <v>160</v>
      </c>
      <c r="B1601" s="2">
        <v>48</v>
      </c>
      <c r="C1601" s="4" t="s">
        <v>78</v>
      </c>
      <c r="D1601" s="3" t="s">
        <v>162</v>
      </c>
      <c r="E1601" s="3" t="s">
        <v>145</v>
      </c>
      <c r="F1601" s="3" t="str">
        <f t="shared" si="0"/>
        <v>3 - Otros</v>
      </c>
      <c r="G1601" s="2">
        <v>14</v>
      </c>
      <c r="H1601" s="3"/>
    </row>
    <row r="1602" spans="1:8" ht="12.75" hidden="1" x14ac:dyDescent="0.2">
      <c r="A1602" s="3" t="s">
        <v>160</v>
      </c>
      <c r="B1602" s="2">
        <v>48</v>
      </c>
      <c r="C1602" s="4" t="s">
        <v>78</v>
      </c>
      <c r="D1602" s="3" t="s">
        <v>162</v>
      </c>
      <c r="E1602" s="3" t="s">
        <v>135</v>
      </c>
      <c r="F1602" s="3" t="str">
        <f t="shared" si="0"/>
        <v>3 - Otros</v>
      </c>
      <c r="G1602" s="2">
        <v>13</v>
      </c>
      <c r="H1602" s="3"/>
    </row>
    <row r="1603" spans="1:8" ht="12.75" hidden="1" x14ac:dyDescent="0.2">
      <c r="A1603" s="3" t="s">
        <v>160</v>
      </c>
      <c r="B1603" s="2">
        <v>48</v>
      </c>
      <c r="C1603" s="4" t="s">
        <v>78</v>
      </c>
      <c r="D1603" s="3" t="s">
        <v>161</v>
      </c>
      <c r="E1603" s="3" t="s">
        <v>3</v>
      </c>
      <c r="F1603" s="3" t="str">
        <f t="shared" si="0"/>
        <v>1 - PJ</v>
      </c>
      <c r="G1603" s="2">
        <v>2144</v>
      </c>
      <c r="H1603" s="3"/>
    </row>
    <row r="1604" spans="1:8" ht="12.75" hidden="1" x14ac:dyDescent="0.2">
      <c r="A1604" s="3" t="s">
        <v>160</v>
      </c>
      <c r="B1604" s="2">
        <v>48</v>
      </c>
      <c r="C1604" s="4" t="s">
        <v>78</v>
      </c>
      <c r="D1604" s="3" t="s">
        <v>161</v>
      </c>
      <c r="E1604" s="3" t="s">
        <v>14</v>
      </c>
      <c r="F1604" s="3" t="str">
        <f t="shared" si="0"/>
        <v>4 - Blanco/Nulo</v>
      </c>
      <c r="G1604" s="2">
        <v>934</v>
      </c>
      <c r="H1604" s="3"/>
    </row>
    <row r="1605" spans="1:8" ht="12.75" hidden="1" x14ac:dyDescent="0.2">
      <c r="A1605" s="3" t="s">
        <v>160</v>
      </c>
      <c r="B1605" s="2">
        <v>48</v>
      </c>
      <c r="C1605" s="4" t="s">
        <v>78</v>
      </c>
      <c r="D1605" s="3" t="s">
        <v>161</v>
      </c>
      <c r="E1605" s="3" t="s">
        <v>128</v>
      </c>
      <c r="F1605" s="3" t="str">
        <f t="shared" si="0"/>
        <v>2 - Frepam</v>
      </c>
      <c r="G1605" s="2">
        <v>869</v>
      </c>
      <c r="H1605" s="3"/>
    </row>
    <row r="1606" spans="1:8" ht="12.75" hidden="1" x14ac:dyDescent="0.2">
      <c r="A1606" s="3" t="s">
        <v>160</v>
      </c>
      <c r="B1606" s="2">
        <v>48</v>
      </c>
      <c r="C1606" s="4" t="s">
        <v>78</v>
      </c>
      <c r="D1606" s="3" t="s">
        <v>161</v>
      </c>
      <c r="E1606" s="3" t="s">
        <v>148</v>
      </c>
      <c r="F1606" s="3" t="str">
        <f t="shared" si="0"/>
        <v>3 - Otros</v>
      </c>
      <c r="G1606" s="2">
        <v>205</v>
      </c>
      <c r="H1606" s="3"/>
    </row>
    <row r="1607" spans="1:8" ht="12.75" hidden="1" x14ac:dyDescent="0.2">
      <c r="A1607" s="3" t="s">
        <v>160</v>
      </c>
      <c r="B1607" s="2">
        <v>48</v>
      </c>
      <c r="C1607" s="4" t="s">
        <v>78</v>
      </c>
      <c r="D1607" s="3" t="s">
        <v>161</v>
      </c>
      <c r="E1607" s="3" t="s">
        <v>133</v>
      </c>
      <c r="F1607" s="3" t="str">
        <f t="shared" si="0"/>
        <v>3 - Otros</v>
      </c>
      <c r="G1607" s="2">
        <v>138</v>
      </c>
      <c r="H1607" s="3"/>
    </row>
    <row r="1608" spans="1:8" ht="12.75" hidden="1" x14ac:dyDescent="0.2">
      <c r="A1608" s="3" t="s">
        <v>160</v>
      </c>
      <c r="B1608" s="2">
        <v>48</v>
      </c>
      <c r="C1608" s="4" t="s">
        <v>78</v>
      </c>
      <c r="D1608" s="3" t="s">
        <v>161</v>
      </c>
      <c r="E1608" s="3" t="s">
        <v>149</v>
      </c>
      <c r="F1608" s="3" t="str">
        <f t="shared" si="0"/>
        <v>3 - Otros</v>
      </c>
      <c r="G1608" s="2">
        <v>135</v>
      </c>
      <c r="H1608" s="2">
        <f>SUM(G1603:G1612)</f>
        <v>4524</v>
      </c>
    </row>
    <row r="1609" spans="1:8" ht="12.75" hidden="1" x14ac:dyDescent="0.2">
      <c r="A1609" s="3" t="s">
        <v>160</v>
      </c>
      <c r="B1609" s="2">
        <v>48</v>
      </c>
      <c r="C1609" s="4" t="s">
        <v>78</v>
      </c>
      <c r="D1609" s="3" t="s">
        <v>161</v>
      </c>
      <c r="E1609" s="3" t="s">
        <v>138</v>
      </c>
      <c r="F1609" s="3" t="str">
        <f t="shared" si="0"/>
        <v>4 - Blanco/Nulo</v>
      </c>
      <c r="G1609" s="2">
        <v>44</v>
      </c>
      <c r="H1609" s="3"/>
    </row>
    <row r="1610" spans="1:8" ht="12.75" hidden="1" x14ac:dyDescent="0.2">
      <c r="A1610" s="3" t="s">
        <v>160</v>
      </c>
      <c r="B1610" s="2">
        <v>48</v>
      </c>
      <c r="C1610" s="4" t="s">
        <v>78</v>
      </c>
      <c r="D1610" s="3" t="s">
        <v>161</v>
      </c>
      <c r="E1610" s="3" t="s">
        <v>139</v>
      </c>
      <c r="F1610" s="3" t="str">
        <f t="shared" si="0"/>
        <v>3 - Otros</v>
      </c>
      <c r="G1610" s="2">
        <v>28</v>
      </c>
      <c r="H1610" s="3"/>
    </row>
    <row r="1611" spans="1:8" ht="12.75" hidden="1" x14ac:dyDescent="0.2">
      <c r="A1611" s="3" t="s">
        <v>160</v>
      </c>
      <c r="B1611" s="2">
        <v>48</v>
      </c>
      <c r="C1611" s="4" t="s">
        <v>78</v>
      </c>
      <c r="D1611" s="3" t="s">
        <v>161</v>
      </c>
      <c r="E1611" s="3" t="s">
        <v>145</v>
      </c>
      <c r="F1611" s="3" t="str">
        <f t="shared" si="0"/>
        <v>3 - Otros</v>
      </c>
      <c r="G1611" s="2">
        <v>15</v>
      </c>
      <c r="H1611" s="3"/>
    </row>
    <row r="1612" spans="1:8" ht="12.75" hidden="1" x14ac:dyDescent="0.2">
      <c r="A1612" s="3" t="s">
        <v>160</v>
      </c>
      <c r="B1612" s="2">
        <v>48</v>
      </c>
      <c r="C1612" s="4" t="s">
        <v>78</v>
      </c>
      <c r="D1612" s="3" t="s">
        <v>161</v>
      </c>
      <c r="E1612" s="3" t="s">
        <v>135</v>
      </c>
      <c r="F1612" s="3" t="str">
        <f t="shared" si="0"/>
        <v>3 - Otros</v>
      </c>
      <c r="G1612" s="2">
        <v>12</v>
      </c>
      <c r="H1612" s="3"/>
    </row>
    <row r="1613" spans="1:8" ht="12.75" hidden="1" x14ac:dyDescent="0.2">
      <c r="A1613" s="3" t="s">
        <v>160</v>
      </c>
      <c r="B1613" s="2">
        <v>49</v>
      </c>
      <c r="C1613" s="4" t="s">
        <v>79</v>
      </c>
      <c r="D1613" s="3" t="s">
        <v>15</v>
      </c>
      <c r="E1613" s="3" t="s">
        <v>133</v>
      </c>
      <c r="F1613" s="3" t="str">
        <f t="shared" si="0"/>
        <v>3 - Otros</v>
      </c>
      <c r="G1613" s="2">
        <v>99</v>
      </c>
      <c r="H1613" s="3"/>
    </row>
    <row r="1614" spans="1:8" ht="12.75" hidden="1" x14ac:dyDescent="0.2">
      <c r="A1614" s="3" t="s">
        <v>160</v>
      </c>
      <c r="B1614" s="2">
        <v>49</v>
      </c>
      <c r="C1614" s="4" t="s">
        <v>79</v>
      </c>
      <c r="D1614" s="3" t="s">
        <v>15</v>
      </c>
      <c r="E1614" s="3" t="s">
        <v>136</v>
      </c>
      <c r="F1614" s="3" t="str">
        <f t="shared" si="0"/>
        <v>1 - PJ</v>
      </c>
      <c r="G1614" s="2">
        <v>96</v>
      </c>
      <c r="H1614" s="2">
        <f>SUM(G1613:G1616)</f>
        <v>204</v>
      </c>
    </row>
    <row r="1615" spans="1:8" ht="12.75" hidden="1" x14ac:dyDescent="0.2">
      <c r="A1615" s="3" t="s">
        <v>160</v>
      </c>
      <c r="B1615" s="2">
        <v>49</v>
      </c>
      <c r="C1615" s="4" t="s">
        <v>79</v>
      </c>
      <c r="D1615" s="3" t="s">
        <v>15</v>
      </c>
      <c r="E1615" s="3" t="s">
        <v>14</v>
      </c>
      <c r="F1615" s="3" t="str">
        <f t="shared" si="0"/>
        <v>4 - Blanco/Nulo</v>
      </c>
      <c r="G1615" s="2">
        <v>7</v>
      </c>
      <c r="H1615" s="3"/>
    </row>
    <row r="1616" spans="1:8" ht="12.75" hidden="1" x14ac:dyDescent="0.2">
      <c r="A1616" s="3" t="s">
        <v>160</v>
      </c>
      <c r="B1616" s="2">
        <v>49</v>
      </c>
      <c r="C1616" s="4" t="s">
        <v>79</v>
      </c>
      <c r="D1616" s="3" t="s">
        <v>15</v>
      </c>
      <c r="E1616" s="3" t="s">
        <v>138</v>
      </c>
      <c r="F1616" s="3" t="str">
        <f t="shared" si="0"/>
        <v>4 - Blanco/Nulo</v>
      </c>
      <c r="G1616" s="2">
        <v>2</v>
      </c>
      <c r="H1616" s="3"/>
    </row>
    <row r="1617" spans="1:8" ht="12.75" hidden="1" x14ac:dyDescent="0.2">
      <c r="A1617" s="3" t="s">
        <v>160</v>
      </c>
      <c r="B1617" s="2">
        <v>49</v>
      </c>
      <c r="C1617" s="4" t="s">
        <v>79</v>
      </c>
      <c r="D1617" s="3" t="s">
        <v>161</v>
      </c>
      <c r="E1617" s="3" t="s">
        <v>136</v>
      </c>
      <c r="F1617" s="3" t="str">
        <f t="shared" si="0"/>
        <v>1 - PJ</v>
      </c>
      <c r="G1617" s="2">
        <v>103</v>
      </c>
      <c r="H1617" s="3"/>
    </row>
    <row r="1618" spans="1:8" ht="12.75" hidden="1" x14ac:dyDescent="0.2">
      <c r="A1618" s="3" t="s">
        <v>160</v>
      </c>
      <c r="B1618" s="2">
        <v>49</v>
      </c>
      <c r="C1618" s="4" t="s">
        <v>79</v>
      </c>
      <c r="D1618" s="3" t="s">
        <v>161</v>
      </c>
      <c r="E1618" s="3" t="s">
        <v>133</v>
      </c>
      <c r="F1618" s="3" t="str">
        <f t="shared" si="0"/>
        <v>3 - Otros</v>
      </c>
      <c r="G1618" s="2">
        <v>68</v>
      </c>
      <c r="H1618" s="3"/>
    </row>
    <row r="1619" spans="1:8" ht="12.75" hidden="1" x14ac:dyDescent="0.2">
      <c r="A1619" s="3" t="s">
        <v>160</v>
      </c>
      <c r="B1619" s="2">
        <v>49</v>
      </c>
      <c r="C1619" s="4" t="s">
        <v>79</v>
      </c>
      <c r="D1619" s="3" t="s">
        <v>161</v>
      </c>
      <c r="E1619" s="3" t="s">
        <v>128</v>
      </c>
      <c r="F1619" s="3" t="str">
        <f t="shared" si="0"/>
        <v>2 - Frepam</v>
      </c>
      <c r="G1619" s="2">
        <v>24</v>
      </c>
      <c r="H1619" s="3"/>
    </row>
    <row r="1620" spans="1:8" ht="12.75" hidden="1" x14ac:dyDescent="0.2">
      <c r="A1620" s="3" t="s">
        <v>160</v>
      </c>
      <c r="B1620" s="2">
        <v>49</v>
      </c>
      <c r="C1620" s="4" t="s">
        <v>79</v>
      </c>
      <c r="D1620" s="3" t="s">
        <v>161</v>
      </c>
      <c r="E1620" s="3" t="s">
        <v>148</v>
      </c>
      <c r="F1620" s="3" t="str">
        <f t="shared" si="0"/>
        <v>3 - Otros</v>
      </c>
      <c r="G1620" s="2">
        <v>4</v>
      </c>
      <c r="H1620" s="2">
        <f>SUM(G1617:G1624)</f>
        <v>204</v>
      </c>
    </row>
    <row r="1621" spans="1:8" ht="12.75" hidden="1" x14ac:dyDescent="0.2">
      <c r="A1621" s="3" t="s">
        <v>160</v>
      </c>
      <c r="B1621" s="2">
        <v>49</v>
      </c>
      <c r="C1621" s="4" t="s">
        <v>79</v>
      </c>
      <c r="D1621" s="3" t="s">
        <v>161</v>
      </c>
      <c r="E1621" s="3" t="s">
        <v>138</v>
      </c>
      <c r="F1621" s="3" t="str">
        <f t="shared" si="0"/>
        <v>4 - Blanco/Nulo</v>
      </c>
      <c r="G1621" s="2">
        <v>2</v>
      </c>
      <c r="H1621" s="3"/>
    </row>
    <row r="1622" spans="1:8" ht="12.75" hidden="1" x14ac:dyDescent="0.2">
      <c r="A1622" s="3" t="s">
        <v>160</v>
      </c>
      <c r="B1622" s="2">
        <v>49</v>
      </c>
      <c r="C1622" s="4" t="s">
        <v>79</v>
      </c>
      <c r="D1622" s="3" t="s">
        <v>161</v>
      </c>
      <c r="E1622" s="3" t="s">
        <v>149</v>
      </c>
      <c r="F1622" s="3" t="str">
        <f t="shared" si="0"/>
        <v>3 - Otros</v>
      </c>
      <c r="G1622" s="2">
        <v>1</v>
      </c>
      <c r="H1622" s="3"/>
    </row>
    <row r="1623" spans="1:8" ht="12.75" hidden="1" x14ac:dyDescent="0.2">
      <c r="A1623" s="3" t="s">
        <v>160</v>
      </c>
      <c r="B1623" s="2">
        <v>49</v>
      </c>
      <c r="C1623" s="4" t="s">
        <v>79</v>
      </c>
      <c r="D1623" s="3" t="s">
        <v>161</v>
      </c>
      <c r="E1623" s="3" t="s">
        <v>139</v>
      </c>
      <c r="F1623" s="3" t="str">
        <f t="shared" si="0"/>
        <v>3 - Otros</v>
      </c>
      <c r="G1623" s="2">
        <v>1</v>
      </c>
      <c r="H1623" s="3"/>
    </row>
    <row r="1624" spans="1:8" ht="12.75" hidden="1" x14ac:dyDescent="0.2">
      <c r="A1624" s="3" t="s">
        <v>160</v>
      </c>
      <c r="B1624" s="2">
        <v>49</v>
      </c>
      <c r="C1624" s="4" t="s">
        <v>79</v>
      </c>
      <c r="D1624" s="3" t="s">
        <v>161</v>
      </c>
      <c r="E1624" s="3" t="s">
        <v>14</v>
      </c>
      <c r="F1624" s="3" t="str">
        <f t="shared" si="0"/>
        <v>4 - Blanco/Nulo</v>
      </c>
      <c r="G1624" s="2">
        <v>1</v>
      </c>
      <c r="H1624" s="3"/>
    </row>
    <row r="1625" spans="1:8" ht="12.75" hidden="1" x14ac:dyDescent="0.2">
      <c r="A1625" s="3" t="s">
        <v>160</v>
      </c>
      <c r="B1625" s="2">
        <v>49</v>
      </c>
      <c r="C1625" s="4" t="s">
        <v>79</v>
      </c>
      <c r="D1625" s="3" t="s">
        <v>162</v>
      </c>
      <c r="E1625" s="3" t="s">
        <v>136</v>
      </c>
      <c r="F1625" s="3" t="str">
        <f t="shared" si="0"/>
        <v>1 - PJ</v>
      </c>
      <c r="G1625" s="2">
        <v>104</v>
      </c>
      <c r="H1625" s="3"/>
    </row>
    <row r="1626" spans="1:8" ht="12.75" hidden="1" x14ac:dyDescent="0.2">
      <c r="A1626" s="3" t="s">
        <v>160</v>
      </c>
      <c r="B1626" s="2">
        <v>49</v>
      </c>
      <c r="C1626" s="4" t="s">
        <v>79</v>
      </c>
      <c r="D1626" s="3" t="s">
        <v>162</v>
      </c>
      <c r="E1626" s="3" t="s">
        <v>133</v>
      </c>
      <c r="F1626" s="3" t="str">
        <f t="shared" si="0"/>
        <v>3 - Otros</v>
      </c>
      <c r="G1626" s="2">
        <v>67</v>
      </c>
      <c r="H1626" s="3"/>
    </row>
    <row r="1627" spans="1:8" ht="12.75" hidden="1" x14ac:dyDescent="0.2">
      <c r="A1627" s="3" t="s">
        <v>160</v>
      </c>
      <c r="B1627" s="2">
        <v>49</v>
      </c>
      <c r="C1627" s="4" t="s">
        <v>79</v>
      </c>
      <c r="D1627" s="3" t="s">
        <v>162</v>
      </c>
      <c r="E1627" s="3" t="s">
        <v>128</v>
      </c>
      <c r="F1627" s="3" t="str">
        <f t="shared" si="0"/>
        <v>2 - Frepam</v>
      </c>
      <c r="G1627" s="2">
        <v>24</v>
      </c>
      <c r="H1627" s="3"/>
    </row>
    <row r="1628" spans="1:8" ht="12.75" hidden="1" x14ac:dyDescent="0.2">
      <c r="A1628" s="3" t="s">
        <v>160</v>
      </c>
      <c r="B1628" s="2">
        <v>49</v>
      </c>
      <c r="C1628" s="4" t="s">
        <v>79</v>
      </c>
      <c r="D1628" s="3" t="s">
        <v>162</v>
      </c>
      <c r="E1628" s="3" t="s">
        <v>148</v>
      </c>
      <c r="F1628" s="3" t="str">
        <f t="shared" si="0"/>
        <v>3 - Otros</v>
      </c>
      <c r="G1628" s="2">
        <v>4</v>
      </c>
      <c r="H1628" s="2">
        <f>SUM(G1625:G1632)</f>
        <v>204</v>
      </c>
    </row>
    <row r="1629" spans="1:8" ht="12.75" hidden="1" x14ac:dyDescent="0.2">
      <c r="A1629" s="3" t="s">
        <v>160</v>
      </c>
      <c r="B1629" s="2">
        <v>49</v>
      </c>
      <c r="C1629" s="4" t="s">
        <v>79</v>
      </c>
      <c r="D1629" s="3" t="s">
        <v>162</v>
      </c>
      <c r="E1629" s="3" t="s">
        <v>138</v>
      </c>
      <c r="F1629" s="3" t="str">
        <f t="shared" si="0"/>
        <v>4 - Blanco/Nulo</v>
      </c>
      <c r="G1629" s="2">
        <v>2</v>
      </c>
      <c r="H1629" s="3"/>
    </row>
    <row r="1630" spans="1:8" ht="12.75" hidden="1" x14ac:dyDescent="0.2">
      <c r="A1630" s="3" t="s">
        <v>160</v>
      </c>
      <c r="B1630" s="2">
        <v>49</v>
      </c>
      <c r="C1630" s="4" t="s">
        <v>79</v>
      </c>
      <c r="D1630" s="3" t="s">
        <v>162</v>
      </c>
      <c r="E1630" s="3" t="s">
        <v>14</v>
      </c>
      <c r="F1630" s="3" t="str">
        <f t="shared" si="0"/>
        <v>4 - Blanco/Nulo</v>
      </c>
      <c r="G1630" s="2">
        <v>1</v>
      </c>
      <c r="H1630" s="3"/>
    </row>
    <row r="1631" spans="1:8" ht="12.75" hidden="1" x14ac:dyDescent="0.2">
      <c r="A1631" s="3" t="s">
        <v>160</v>
      </c>
      <c r="B1631" s="2">
        <v>49</v>
      </c>
      <c r="C1631" s="4" t="s">
        <v>79</v>
      </c>
      <c r="D1631" s="3" t="s">
        <v>162</v>
      </c>
      <c r="E1631" s="3" t="s">
        <v>139</v>
      </c>
      <c r="F1631" s="3" t="str">
        <f t="shared" si="0"/>
        <v>3 - Otros</v>
      </c>
      <c r="G1631" s="2">
        <v>1</v>
      </c>
      <c r="H1631" s="3"/>
    </row>
    <row r="1632" spans="1:8" ht="12.75" hidden="1" x14ac:dyDescent="0.2">
      <c r="A1632" s="3" t="s">
        <v>160</v>
      </c>
      <c r="B1632" s="2">
        <v>49</v>
      </c>
      <c r="C1632" s="4" t="s">
        <v>79</v>
      </c>
      <c r="D1632" s="3" t="s">
        <v>162</v>
      </c>
      <c r="E1632" s="3" t="s">
        <v>149</v>
      </c>
      <c r="F1632" s="3" t="str">
        <f t="shared" si="0"/>
        <v>3 - Otros</v>
      </c>
      <c r="G1632" s="2">
        <v>1</v>
      </c>
      <c r="H1632" s="3"/>
    </row>
    <row r="1633" spans="1:8" ht="12.75" hidden="1" x14ac:dyDescent="0.2">
      <c r="A1633" s="3" t="s">
        <v>160</v>
      </c>
      <c r="B1633" s="2">
        <v>53</v>
      </c>
      <c r="C1633" s="4" t="s">
        <v>80</v>
      </c>
      <c r="D1633" s="3" t="s">
        <v>15</v>
      </c>
      <c r="E1633" s="3" t="s">
        <v>128</v>
      </c>
      <c r="F1633" s="3" t="str">
        <f t="shared" si="0"/>
        <v>2 - Frepam</v>
      </c>
      <c r="G1633" s="2">
        <v>103</v>
      </c>
      <c r="H1633" s="3"/>
    </row>
    <row r="1634" spans="1:8" ht="12.75" hidden="1" x14ac:dyDescent="0.2">
      <c r="A1634" s="3" t="s">
        <v>160</v>
      </c>
      <c r="B1634" s="2">
        <v>53</v>
      </c>
      <c r="C1634" s="4" t="s">
        <v>80</v>
      </c>
      <c r="D1634" s="3" t="s">
        <v>15</v>
      </c>
      <c r="E1634" s="3" t="s">
        <v>136</v>
      </c>
      <c r="F1634" s="3" t="str">
        <f t="shared" si="0"/>
        <v>1 - PJ</v>
      </c>
      <c r="G1634" s="2">
        <v>102</v>
      </c>
      <c r="H1634" s="2">
        <f>SUM(G1633:G1635)</f>
        <v>209</v>
      </c>
    </row>
    <row r="1635" spans="1:8" ht="12.75" hidden="1" x14ac:dyDescent="0.2">
      <c r="A1635" s="3" t="s">
        <v>160</v>
      </c>
      <c r="B1635" s="2">
        <v>53</v>
      </c>
      <c r="C1635" s="4" t="s">
        <v>80</v>
      </c>
      <c r="D1635" s="3" t="s">
        <v>15</v>
      </c>
      <c r="E1635" s="3" t="s">
        <v>14</v>
      </c>
      <c r="F1635" s="3" t="str">
        <f t="shared" si="0"/>
        <v>4 - Blanco/Nulo</v>
      </c>
      <c r="G1635" s="2">
        <v>4</v>
      </c>
      <c r="H1635" s="3"/>
    </row>
    <row r="1636" spans="1:8" ht="12.75" hidden="1" x14ac:dyDescent="0.2">
      <c r="A1636" s="3" t="s">
        <v>160</v>
      </c>
      <c r="B1636" s="2">
        <v>53</v>
      </c>
      <c r="C1636" s="4" t="s">
        <v>80</v>
      </c>
      <c r="D1636" s="3" t="s">
        <v>161</v>
      </c>
      <c r="E1636" s="3" t="s">
        <v>136</v>
      </c>
      <c r="F1636" s="3" t="str">
        <f t="shared" si="0"/>
        <v>1 - PJ</v>
      </c>
      <c r="G1636" s="2">
        <v>100</v>
      </c>
      <c r="H1636" s="3"/>
    </row>
    <row r="1637" spans="1:8" ht="12.75" hidden="1" x14ac:dyDescent="0.2">
      <c r="A1637" s="3" t="s">
        <v>160</v>
      </c>
      <c r="B1637" s="2">
        <v>53</v>
      </c>
      <c r="C1637" s="4" t="s">
        <v>80</v>
      </c>
      <c r="D1637" s="3" t="s">
        <v>161</v>
      </c>
      <c r="E1637" s="3" t="s">
        <v>128</v>
      </c>
      <c r="F1637" s="3" t="str">
        <f t="shared" si="0"/>
        <v>2 - Frepam</v>
      </c>
      <c r="G1637" s="2">
        <v>92</v>
      </c>
      <c r="H1637" s="3"/>
    </row>
    <row r="1638" spans="1:8" ht="12.75" hidden="1" x14ac:dyDescent="0.2">
      <c r="A1638" s="3" t="s">
        <v>160</v>
      </c>
      <c r="B1638" s="2">
        <v>53</v>
      </c>
      <c r="C1638" s="4" t="s">
        <v>80</v>
      </c>
      <c r="D1638" s="3" t="s">
        <v>161</v>
      </c>
      <c r="E1638" s="3" t="s">
        <v>14</v>
      </c>
      <c r="F1638" s="3" t="str">
        <f t="shared" si="0"/>
        <v>4 - Blanco/Nulo</v>
      </c>
      <c r="G1638" s="2">
        <v>5</v>
      </c>
      <c r="H1638" s="2">
        <f>SUM(G1636:G1643)</f>
        <v>209</v>
      </c>
    </row>
    <row r="1639" spans="1:8" ht="12.75" hidden="1" x14ac:dyDescent="0.2">
      <c r="A1639" s="3" t="s">
        <v>160</v>
      </c>
      <c r="B1639" s="2">
        <v>53</v>
      </c>
      <c r="C1639" s="4" t="s">
        <v>80</v>
      </c>
      <c r="D1639" s="3" t="s">
        <v>161</v>
      </c>
      <c r="E1639" s="3" t="s">
        <v>133</v>
      </c>
      <c r="F1639" s="3" t="str">
        <f t="shared" si="0"/>
        <v>3 - Otros</v>
      </c>
      <c r="G1639" s="2">
        <v>5</v>
      </c>
      <c r="H1639" s="3"/>
    </row>
    <row r="1640" spans="1:8" ht="12.75" hidden="1" x14ac:dyDescent="0.2">
      <c r="A1640" s="3" t="s">
        <v>160</v>
      </c>
      <c r="B1640" s="2">
        <v>53</v>
      </c>
      <c r="C1640" s="4" t="s">
        <v>80</v>
      </c>
      <c r="D1640" s="3" t="s">
        <v>161</v>
      </c>
      <c r="E1640" s="3" t="s">
        <v>149</v>
      </c>
      <c r="F1640" s="3" t="str">
        <f t="shared" si="0"/>
        <v>3 - Otros</v>
      </c>
      <c r="G1640" s="2">
        <v>4</v>
      </c>
      <c r="H1640" s="3"/>
    </row>
    <row r="1641" spans="1:8" ht="12.75" hidden="1" x14ac:dyDescent="0.2">
      <c r="A1641" s="3" t="s">
        <v>160</v>
      </c>
      <c r="B1641" s="2">
        <v>53</v>
      </c>
      <c r="C1641" s="4" t="s">
        <v>80</v>
      </c>
      <c r="D1641" s="3" t="s">
        <v>161</v>
      </c>
      <c r="E1641" s="3" t="s">
        <v>148</v>
      </c>
      <c r="F1641" s="3" t="str">
        <f t="shared" si="0"/>
        <v>3 - Otros</v>
      </c>
      <c r="G1641" s="2">
        <v>1</v>
      </c>
      <c r="H1641" s="3"/>
    </row>
    <row r="1642" spans="1:8" ht="12.75" hidden="1" x14ac:dyDescent="0.2">
      <c r="A1642" s="3" t="s">
        <v>160</v>
      </c>
      <c r="B1642" s="2">
        <v>53</v>
      </c>
      <c r="C1642" s="4" t="s">
        <v>80</v>
      </c>
      <c r="D1642" s="3" t="s">
        <v>161</v>
      </c>
      <c r="E1642" s="3" t="s">
        <v>145</v>
      </c>
      <c r="F1642" s="3" t="str">
        <f t="shared" si="0"/>
        <v>3 - Otros</v>
      </c>
      <c r="G1642" s="2">
        <v>1</v>
      </c>
      <c r="H1642" s="3"/>
    </row>
    <row r="1643" spans="1:8" ht="12.75" hidden="1" x14ac:dyDescent="0.2">
      <c r="A1643" s="3" t="s">
        <v>160</v>
      </c>
      <c r="B1643" s="2">
        <v>53</v>
      </c>
      <c r="C1643" s="4" t="s">
        <v>80</v>
      </c>
      <c r="D1643" s="3" t="s">
        <v>161</v>
      </c>
      <c r="E1643" s="3" t="s">
        <v>139</v>
      </c>
      <c r="F1643" s="3" t="str">
        <f t="shared" si="0"/>
        <v>3 - Otros</v>
      </c>
      <c r="G1643" s="2">
        <v>1</v>
      </c>
      <c r="H1643" s="3"/>
    </row>
    <row r="1644" spans="1:8" ht="12.75" hidden="1" x14ac:dyDescent="0.2">
      <c r="A1644" s="3" t="s">
        <v>160</v>
      </c>
      <c r="B1644" s="2">
        <v>53</v>
      </c>
      <c r="C1644" s="4" t="s">
        <v>80</v>
      </c>
      <c r="D1644" s="3" t="s">
        <v>162</v>
      </c>
      <c r="E1644" s="3" t="s">
        <v>136</v>
      </c>
      <c r="F1644" s="3" t="str">
        <f t="shared" si="0"/>
        <v>1 - PJ</v>
      </c>
      <c r="G1644" s="2">
        <v>98</v>
      </c>
      <c r="H1644" s="3"/>
    </row>
    <row r="1645" spans="1:8" ht="12.75" hidden="1" x14ac:dyDescent="0.2">
      <c r="A1645" s="3" t="s">
        <v>160</v>
      </c>
      <c r="B1645" s="2">
        <v>53</v>
      </c>
      <c r="C1645" s="4" t="s">
        <v>80</v>
      </c>
      <c r="D1645" s="3" t="s">
        <v>162</v>
      </c>
      <c r="E1645" s="3" t="s">
        <v>128</v>
      </c>
      <c r="F1645" s="3" t="str">
        <f t="shared" si="0"/>
        <v>2 - Frepam</v>
      </c>
      <c r="G1645" s="2">
        <v>90</v>
      </c>
      <c r="H1645" s="3"/>
    </row>
    <row r="1646" spans="1:8" ht="12.75" hidden="1" x14ac:dyDescent="0.2">
      <c r="A1646" s="3" t="s">
        <v>160</v>
      </c>
      <c r="B1646" s="2">
        <v>53</v>
      </c>
      <c r="C1646" s="4" t="s">
        <v>80</v>
      </c>
      <c r="D1646" s="3" t="s">
        <v>162</v>
      </c>
      <c r="E1646" s="3" t="s">
        <v>138</v>
      </c>
      <c r="F1646" s="3" t="str">
        <f t="shared" si="0"/>
        <v>4 - Blanco/Nulo</v>
      </c>
      <c r="G1646" s="2">
        <v>9</v>
      </c>
      <c r="H1646" s="3"/>
    </row>
    <row r="1647" spans="1:8" ht="12.75" hidden="1" x14ac:dyDescent="0.2">
      <c r="A1647" s="3" t="s">
        <v>160</v>
      </c>
      <c r="B1647" s="2">
        <v>53</v>
      </c>
      <c r="C1647" s="4" t="s">
        <v>80</v>
      </c>
      <c r="D1647" s="3" t="s">
        <v>162</v>
      </c>
      <c r="E1647" s="3" t="s">
        <v>133</v>
      </c>
      <c r="F1647" s="3" t="str">
        <f t="shared" si="0"/>
        <v>3 - Otros</v>
      </c>
      <c r="G1647" s="2">
        <v>5</v>
      </c>
      <c r="H1647" s="2">
        <f>SUM(G1644:G1651)</f>
        <v>209</v>
      </c>
    </row>
    <row r="1648" spans="1:8" ht="12.75" hidden="1" x14ac:dyDescent="0.2">
      <c r="A1648" s="3" t="s">
        <v>160</v>
      </c>
      <c r="B1648" s="2">
        <v>53</v>
      </c>
      <c r="C1648" s="4" t="s">
        <v>80</v>
      </c>
      <c r="D1648" s="3" t="s">
        <v>162</v>
      </c>
      <c r="E1648" s="3" t="s">
        <v>149</v>
      </c>
      <c r="F1648" s="3" t="str">
        <f t="shared" si="0"/>
        <v>3 - Otros</v>
      </c>
      <c r="G1648" s="2">
        <v>4</v>
      </c>
      <c r="H1648" s="3"/>
    </row>
    <row r="1649" spans="1:8" ht="12.75" hidden="1" x14ac:dyDescent="0.2">
      <c r="A1649" s="3" t="s">
        <v>160</v>
      </c>
      <c r="B1649" s="2">
        <v>53</v>
      </c>
      <c r="C1649" s="4" t="s">
        <v>80</v>
      </c>
      <c r="D1649" s="3" t="s">
        <v>162</v>
      </c>
      <c r="E1649" s="3" t="s">
        <v>148</v>
      </c>
      <c r="F1649" s="3" t="str">
        <f t="shared" si="0"/>
        <v>3 - Otros</v>
      </c>
      <c r="G1649" s="2">
        <v>1</v>
      </c>
      <c r="H1649" s="3"/>
    </row>
    <row r="1650" spans="1:8" ht="12.75" hidden="1" x14ac:dyDescent="0.2">
      <c r="A1650" s="3" t="s">
        <v>160</v>
      </c>
      <c r="B1650" s="2">
        <v>53</v>
      </c>
      <c r="C1650" s="4" t="s">
        <v>80</v>
      </c>
      <c r="D1650" s="3" t="s">
        <v>162</v>
      </c>
      <c r="E1650" s="3" t="s">
        <v>145</v>
      </c>
      <c r="F1650" s="3" t="str">
        <f t="shared" si="0"/>
        <v>3 - Otros</v>
      </c>
      <c r="G1650" s="2">
        <v>1</v>
      </c>
      <c r="H1650" s="3"/>
    </row>
    <row r="1651" spans="1:8" ht="12.75" hidden="1" x14ac:dyDescent="0.2">
      <c r="A1651" s="3" t="s">
        <v>160</v>
      </c>
      <c r="B1651" s="2">
        <v>53</v>
      </c>
      <c r="C1651" s="4" t="s">
        <v>80</v>
      </c>
      <c r="D1651" s="3" t="s">
        <v>162</v>
      </c>
      <c r="E1651" s="3" t="s">
        <v>139</v>
      </c>
      <c r="F1651" s="3" t="str">
        <f t="shared" si="0"/>
        <v>3 - Otros</v>
      </c>
      <c r="G1651" s="2">
        <v>1</v>
      </c>
      <c r="H1651" s="3"/>
    </row>
    <row r="1652" spans="1:8" ht="12.75" hidden="1" x14ac:dyDescent="0.2">
      <c r="A1652" s="3" t="s">
        <v>160</v>
      </c>
      <c r="B1652" s="2">
        <v>54</v>
      </c>
      <c r="C1652" s="4" t="s">
        <v>81</v>
      </c>
      <c r="D1652" s="3" t="s">
        <v>15</v>
      </c>
      <c r="E1652" s="3" t="s">
        <v>136</v>
      </c>
      <c r="F1652" s="3" t="str">
        <f t="shared" si="0"/>
        <v>1 - PJ</v>
      </c>
      <c r="G1652" s="2">
        <v>94</v>
      </c>
      <c r="H1652" s="3"/>
    </row>
    <row r="1653" spans="1:8" ht="12.75" hidden="1" x14ac:dyDescent="0.2">
      <c r="A1653" s="3" t="s">
        <v>160</v>
      </c>
      <c r="B1653" s="2">
        <v>54</v>
      </c>
      <c r="C1653" s="4" t="s">
        <v>81</v>
      </c>
      <c r="D1653" s="3" t="s">
        <v>15</v>
      </c>
      <c r="E1653" s="3" t="s">
        <v>128</v>
      </c>
      <c r="F1653" s="3" t="str">
        <f t="shared" si="0"/>
        <v>2 - Frepam</v>
      </c>
      <c r="G1653" s="2">
        <v>78</v>
      </c>
      <c r="H1653" s="2">
        <f>SUM(G1652:G1654)</f>
        <v>174</v>
      </c>
    </row>
    <row r="1654" spans="1:8" ht="12.75" hidden="1" x14ac:dyDescent="0.2">
      <c r="A1654" s="3" t="s">
        <v>160</v>
      </c>
      <c r="B1654" s="2">
        <v>54</v>
      </c>
      <c r="C1654" s="4" t="s">
        <v>81</v>
      </c>
      <c r="D1654" s="3" t="s">
        <v>15</v>
      </c>
      <c r="E1654" s="3" t="s">
        <v>138</v>
      </c>
      <c r="F1654" s="3" t="str">
        <f t="shared" si="0"/>
        <v>4 - Blanco/Nulo</v>
      </c>
      <c r="G1654" s="2">
        <v>2</v>
      </c>
      <c r="H1654" s="3"/>
    </row>
    <row r="1655" spans="1:8" ht="12.75" hidden="1" x14ac:dyDescent="0.2">
      <c r="A1655" s="3" t="s">
        <v>160</v>
      </c>
      <c r="B1655" s="2">
        <v>54</v>
      </c>
      <c r="C1655" s="4" t="s">
        <v>81</v>
      </c>
      <c r="D1655" s="3" t="s">
        <v>161</v>
      </c>
      <c r="E1655" s="3" t="s">
        <v>136</v>
      </c>
      <c r="F1655" s="3" t="str">
        <f t="shared" si="0"/>
        <v>1 - PJ</v>
      </c>
      <c r="G1655" s="2">
        <v>87</v>
      </c>
      <c r="H1655" s="3"/>
    </row>
    <row r="1656" spans="1:8" ht="12.75" hidden="1" x14ac:dyDescent="0.2">
      <c r="A1656" s="3" t="s">
        <v>160</v>
      </c>
      <c r="B1656" s="2">
        <v>54</v>
      </c>
      <c r="C1656" s="4" t="s">
        <v>81</v>
      </c>
      <c r="D1656" s="3" t="s">
        <v>161</v>
      </c>
      <c r="E1656" s="3" t="s">
        <v>128</v>
      </c>
      <c r="F1656" s="3" t="str">
        <f t="shared" si="0"/>
        <v>2 - Frepam</v>
      </c>
      <c r="G1656" s="2">
        <v>78</v>
      </c>
      <c r="H1656" s="3"/>
    </row>
    <row r="1657" spans="1:8" ht="12.75" hidden="1" x14ac:dyDescent="0.2">
      <c r="A1657" s="3" t="s">
        <v>160</v>
      </c>
      <c r="B1657" s="2">
        <v>54</v>
      </c>
      <c r="C1657" s="4" t="s">
        <v>81</v>
      </c>
      <c r="D1657" s="3" t="s">
        <v>161</v>
      </c>
      <c r="E1657" s="3" t="s">
        <v>138</v>
      </c>
      <c r="F1657" s="3" t="str">
        <f t="shared" si="0"/>
        <v>4 - Blanco/Nulo</v>
      </c>
      <c r="G1657" s="2">
        <v>6</v>
      </c>
      <c r="H1657" s="2">
        <f>SUM(G1655:G1659)</f>
        <v>174</v>
      </c>
    </row>
    <row r="1658" spans="1:8" ht="12.75" hidden="1" x14ac:dyDescent="0.2">
      <c r="A1658" s="3" t="s">
        <v>160</v>
      </c>
      <c r="B1658" s="2">
        <v>54</v>
      </c>
      <c r="C1658" s="4" t="s">
        <v>81</v>
      </c>
      <c r="D1658" s="3" t="s">
        <v>161</v>
      </c>
      <c r="E1658" s="3" t="s">
        <v>133</v>
      </c>
      <c r="F1658" s="3" t="str">
        <f t="shared" si="0"/>
        <v>3 - Otros</v>
      </c>
      <c r="G1658" s="2">
        <v>2</v>
      </c>
      <c r="H1658" s="3"/>
    </row>
    <row r="1659" spans="1:8" ht="12.75" hidden="1" x14ac:dyDescent="0.2">
      <c r="A1659" s="3" t="s">
        <v>160</v>
      </c>
      <c r="B1659" s="2">
        <v>54</v>
      </c>
      <c r="C1659" s="4" t="s">
        <v>81</v>
      </c>
      <c r="D1659" s="3" t="s">
        <v>161</v>
      </c>
      <c r="E1659" s="3" t="s">
        <v>145</v>
      </c>
      <c r="F1659" s="3" t="str">
        <f t="shared" si="0"/>
        <v>3 - Otros</v>
      </c>
      <c r="G1659" s="2">
        <v>1</v>
      </c>
      <c r="H1659" s="3"/>
    </row>
    <row r="1660" spans="1:8" ht="12.75" hidden="1" x14ac:dyDescent="0.2">
      <c r="A1660" s="3" t="s">
        <v>160</v>
      </c>
      <c r="B1660" s="2">
        <v>54</v>
      </c>
      <c r="C1660" s="4" t="s">
        <v>81</v>
      </c>
      <c r="D1660" s="3" t="s">
        <v>162</v>
      </c>
      <c r="E1660" s="3" t="s">
        <v>136</v>
      </c>
      <c r="F1660" s="3" t="str">
        <f t="shared" si="0"/>
        <v>1 - PJ</v>
      </c>
      <c r="G1660" s="2">
        <v>87</v>
      </c>
      <c r="H1660" s="3"/>
    </row>
    <row r="1661" spans="1:8" ht="12.75" hidden="1" x14ac:dyDescent="0.2">
      <c r="A1661" s="3" t="s">
        <v>160</v>
      </c>
      <c r="B1661" s="2">
        <v>54</v>
      </c>
      <c r="C1661" s="4" t="s">
        <v>81</v>
      </c>
      <c r="D1661" s="3" t="s">
        <v>162</v>
      </c>
      <c r="E1661" s="3" t="s">
        <v>128</v>
      </c>
      <c r="F1661" s="3" t="str">
        <f t="shared" si="0"/>
        <v>2 - Frepam</v>
      </c>
      <c r="G1661" s="2">
        <v>79</v>
      </c>
      <c r="H1661" s="3"/>
    </row>
    <row r="1662" spans="1:8" ht="12.75" hidden="1" x14ac:dyDescent="0.2">
      <c r="A1662" s="3" t="s">
        <v>160</v>
      </c>
      <c r="B1662" s="2">
        <v>54</v>
      </c>
      <c r="C1662" s="4" t="s">
        <v>81</v>
      </c>
      <c r="D1662" s="3" t="s">
        <v>162</v>
      </c>
      <c r="E1662" s="3" t="s">
        <v>138</v>
      </c>
      <c r="F1662" s="3" t="str">
        <f t="shared" si="0"/>
        <v>4 - Blanco/Nulo</v>
      </c>
      <c r="G1662" s="2">
        <v>5</v>
      </c>
      <c r="H1662" s="2">
        <f>SUM(G1660:G1664)</f>
        <v>174</v>
      </c>
    </row>
    <row r="1663" spans="1:8" ht="12.75" hidden="1" x14ac:dyDescent="0.2">
      <c r="A1663" s="3" t="s">
        <v>160</v>
      </c>
      <c r="B1663" s="2">
        <v>54</v>
      </c>
      <c r="C1663" s="4" t="s">
        <v>81</v>
      </c>
      <c r="D1663" s="3" t="s">
        <v>162</v>
      </c>
      <c r="E1663" s="3" t="s">
        <v>133</v>
      </c>
      <c r="F1663" s="3" t="str">
        <f t="shared" si="0"/>
        <v>3 - Otros</v>
      </c>
      <c r="G1663" s="2">
        <v>2</v>
      </c>
      <c r="H1663" s="3"/>
    </row>
    <row r="1664" spans="1:8" ht="12.75" hidden="1" x14ac:dyDescent="0.2">
      <c r="A1664" s="3" t="s">
        <v>160</v>
      </c>
      <c r="B1664" s="2">
        <v>54</v>
      </c>
      <c r="C1664" s="4" t="s">
        <v>81</v>
      </c>
      <c r="D1664" s="3" t="s">
        <v>162</v>
      </c>
      <c r="E1664" s="3" t="s">
        <v>145</v>
      </c>
      <c r="F1664" s="3" t="str">
        <f t="shared" si="0"/>
        <v>3 - Otros</v>
      </c>
      <c r="G1664" s="2">
        <v>1</v>
      </c>
      <c r="H1664" s="3"/>
    </row>
    <row r="1665" spans="1:8" ht="12.75" hidden="1" x14ac:dyDescent="0.2">
      <c r="A1665" s="3" t="s">
        <v>160</v>
      </c>
      <c r="B1665" s="2">
        <v>55</v>
      </c>
      <c r="C1665" s="4" t="s">
        <v>82</v>
      </c>
      <c r="D1665" s="3" t="s">
        <v>15</v>
      </c>
      <c r="E1665" s="3" t="s">
        <v>136</v>
      </c>
      <c r="F1665" s="3" t="str">
        <f t="shared" si="0"/>
        <v>1 - PJ</v>
      </c>
      <c r="G1665" s="2">
        <v>127</v>
      </c>
      <c r="H1665" s="3"/>
    </row>
    <row r="1666" spans="1:8" ht="12.75" hidden="1" x14ac:dyDescent="0.2">
      <c r="A1666" s="3" t="s">
        <v>160</v>
      </c>
      <c r="B1666" s="2">
        <v>55</v>
      </c>
      <c r="C1666" s="4" t="s">
        <v>82</v>
      </c>
      <c r="D1666" s="3" t="s">
        <v>15</v>
      </c>
      <c r="E1666" s="3" t="s">
        <v>128</v>
      </c>
      <c r="F1666" s="3" t="str">
        <f t="shared" si="0"/>
        <v>2 - Frepam</v>
      </c>
      <c r="G1666" s="2">
        <v>113</v>
      </c>
      <c r="H1666" s="2">
        <f>SUM(G1665:G1669)</f>
        <v>293</v>
      </c>
    </row>
    <row r="1667" spans="1:8" ht="12.75" hidden="1" x14ac:dyDescent="0.2">
      <c r="A1667" s="3" t="s">
        <v>160</v>
      </c>
      <c r="B1667" s="2">
        <v>55</v>
      </c>
      <c r="C1667" s="4" t="s">
        <v>82</v>
      </c>
      <c r="D1667" s="3" t="s">
        <v>15</v>
      </c>
      <c r="E1667" s="3" t="s">
        <v>149</v>
      </c>
      <c r="F1667" s="3" t="str">
        <f t="shared" si="0"/>
        <v>3 - Otros</v>
      </c>
      <c r="G1667" s="2">
        <v>48</v>
      </c>
      <c r="H1667" s="3"/>
    </row>
    <row r="1668" spans="1:8" ht="12.75" hidden="1" x14ac:dyDescent="0.2">
      <c r="A1668" s="3" t="s">
        <v>160</v>
      </c>
      <c r="B1668" s="2">
        <v>55</v>
      </c>
      <c r="C1668" s="4" t="s">
        <v>82</v>
      </c>
      <c r="D1668" s="3" t="s">
        <v>15</v>
      </c>
      <c r="E1668" s="3" t="s">
        <v>14</v>
      </c>
      <c r="F1668" s="3" t="str">
        <f t="shared" si="0"/>
        <v>4 - Blanco/Nulo</v>
      </c>
      <c r="G1668" s="2">
        <v>4</v>
      </c>
      <c r="H1668" s="3"/>
    </row>
    <row r="1669" spans="1:8" ht="12.75" hidden="1" x14ac:dyDescent="0.2">
      <c r="A1669" s="3" t="s">
        <v>160</v>
      </c>
      <c r="B1669" s="2">
        <v>55</v>
      </c>
      <c r="C1669" s="4" t="s">
        <v>82</v>
      </c>
      <c r="D1669" s="3" t="s">
        <v>15</v>
      </c>
      <c r="E1669" s="3" t="s">
        <v>138</v>
      </c>
      <c r="F1669" s="3" t="str">
        <f t="shared" si="0"/>
        <v>4 - Blanco/Nulo</v>
      </c>
      <c r="G1669" s="2">
        <v>1</v>
      </c>
      <c r="H1669" s="3"/>
    </row>
    <row r="1670" spans="1:8" ht="12.75" hidden="1" x14ac:dyDescent="0.2">
      <c r="A1670" s="3" t="s">
        <v>160</v>
      </c>
      <c r="B1670" s="2">
        <v>55</v>
      </c>
      <c r="C1670" s="4" t="s">
        <v>82</v>
      </c>
      <c r="D1670" s="3" t="s">
        <v>161</v>
      </c>
      <c r="E1670" s="3" t="s">
        <v>136</v>
      </c>
      <c r="F1670" s="3" t="str">
        <f t="shared" si="0"/>
        <v>1 - PJ</v>
      </c>
      <c r="G1670" s="2">
        <v>130</v>
      </c>
      <c r="H1670" s="3"/>
    </row>
    <row r="1671" spans="1:8" ht="12.75" hidden="1" x14ac:dyDescent="0.2">
      <c r="A1671" s="3" t="s">
        <v>160</v>
      </c>
      <c r="B1671" s="2">
        <v>55</v>
      </c>
      <c r="C1671" s="4" t="s">
        <v>82</v>
      </c>
      <c r="D1671" s="3" t="s">
        <v>161</v>
      </c>
      <c r="E1671" s="3" t="s">
        <v>128</v>
      </c>
      <c r="F1671" s="3" t="str">
        <f t="shared" si="0"/>
        <v>2 - Frepam</v>
      </c>
      <c r="G1671" s="2">
        <v>104</v>
      </c>
      <c r="H1671" s="3"/>
    </row>
    <row r="1672" spans="1:8" ht="12.75" hidden="1" x14ac:dyDescent="0.2">
      <c r="A1672" s="3" t="s">
        <v>160</v>
      </c>
      <c r="B1672" s="2">
        <v>55</v>
      </c>
      <c r="C1672" s="4" t="s">
        <v>82</v>
      </c>
      <c r="D1672" s="3" t="s">
        <v>161</v>
      </c>
      <c r="E1672" s="3" t="s">
        <v>149</v>
      </c>
      <c r="F1672" s="3" t="str">
        <f t="shared" si="0"/>
        <v>3 - Otros</v>
      </c>
      <c r="G1672" s="2">
        <v>38</v>
      </c>
      <c r="H1672" s="3"/>
    </row>
    <row r="1673" spans="1:8" ht="12.75" hidden="1" x14ac:dyDescent="0.2">
      <c r="A1673" s="3" t="s">
        <v>160</v>
      </c>
      <c r="B1673" s="2">
        <v>55</v>
      </c>
      <c r="C1673" s="4" t="s">
        <v>82</v>
      </c>
      <c r="D1673" s="3" t="s">
        <v>161</v>
      </c>
      <c r="E1673" s="3" t="s">
        <v>14</v>
      </c>
      <c r="F1673" s="3" t="str">
        <f t="shared" si="0"/>
        <v>4 - Blanco/Nulo</v>
      </c>
      <c r="G1673" s="2">
        <v>10</v>
      </c>
      <c r="H1673" s="2">
        <f>SUM(G1670:G1677)</f>
        <v>293</v>
      </c>
    </row>
    <row r="1674" spans="1:8" ht="12.75" hidden="1" x14ac:dyDescent="0.2">
      <c r="A1674" s="3" t="s">
        <v>160</v>
      </c>
      <c r="B1674" s="2">
        <v>55</v>
      </c>
      <c r="C1674" s="4" t="s">
        <v>82</v>
      </c>
      <c r="D1674" s="3" t="s">
        <v>161</v>
      </c>
      <c r="E1674" s="3" t="s">
        <v>133</v>
      </c>
      <c r="F1674" s="3" t="str">
        <f t="shared" si="0"/>
        <v>3 - Otros</v>
      </c>
      <c r="G1674" s="2">
        <v>6</v>
      </c>
      <c r="H1674" s="3"/>
    </row>
    <row r="1675" spans="1:8" ht="12.75" hidden="1" x14ac:dyDescent="0.2">
      <c r="A1675" s="3" t="s">
        <v>160</v>
      </c>
      <c r="B1675" s="2">
        <v>55</v>
      </c>
      <c r="C1675" s="4" t="s">
        <v>82</v>
      </c>
      <c r="D1675" s="3" t="s">
        <v>161</v>
      </c>
      <c r="E1675" s="3" t="s">
        <v>148</v>
      </c>
      <c r="F1675" s="3" t="str">
        <f t="shared" si="0"/>
        <v>3 - Otros</v>
      </c>
      <c r="G1675" s="2">
        <v>2</v>
      </c>
      <c r="H1675" s="3"/>
    </row>
    <row r="1676" spans="1:8" ht="12.75" hidden="1" x14ac:dyDescent="0.2">
      <c r="A1676" s="3" t="s">
        <v>160</v>
      </c>
      <c r="B1676" s="2">
        <v>55</v>
      </c>
      <c r="C1676" s="4" t="s">
        <v>82</v>
      </c>
      <c r="D1676" s="3" t="s">
        <v>161</v>
      </c>
      <c r="E1676" s="3" t="s">
        <v>138</v>
      </c>
      <c r="F1676" s="3" t="str">
        <f t="shared" si="0"/>
        <v>4 - Blanco/Nulo</v>
      </c>
      <c r="G1676" s="2">
        <v>2</v>
      </c>
      <c r="H1676" s="3"/>
    </row>
    <row r="1677" spans="1:8" ht="12.75" hidden="1" x14ac:dyDescent="0.2">
      <c r="A1677" s="3" t="s">
        <v>160</v>
      </c>
      <c r="B1677" s="2">
        <v>55</v>
      </c>
      <c r="C1677" s="4" t="s">
        <v>82</v>
      </c>
      <c r="D1677" s="3" t="s">
        <v>161</v>
      </c>
      <c r="E1677" s="3" t="s">
        <v>145</v>
      </c>
      <c r="F1677" s="3" t="str">
        <f t="shared" si="0"/>
        <v>3 - Otros</v>
      </c>
      <c r="G1677" s="2">
        <v>1</v>
      </c>
      <c r="H1677" s="3"/>
    </row>
    <row r="1678" spans="1:8" ht="12.75" hidden="1" x14ac:dyDescent="0.2">
      <c r="A1678" s="3" t="s">
        <v>160</v>
      </c>
      <c r="B1678" s="2">
        <v>55</v>
      </c>
      <c r="C1678" s="4" t="s">
        <v>82</v>
      </c>
      <c r="D1678" s="3" t="s">
        <v>162</v>
      </c>
      <c r="E1678" s="3" t="s">
        <v>136</v>
      </c>
      <c r="F1678" s="3" t="str">
        <f t="shared" si="0"/>
        <v>1 - PJ</v>
      </c>
      <c r="G1678" s="2">
        <v>130</v>
      </c>
      <c r="H1678" s="3"/>
    </row>
    <row r="1679" spans="1:8" ht="12.75" hidden="1" x14ac:dyDescent="0.2">
      <c r="A1679" s="3" t="s">
        <v>160</v>
      </c>
      <c r="B1679" s="2">
        <v>55</v>
      </c>
      <c r="C1679" s="4" t="s">
        <v>82</v>
      </c>
      <c r="D1679" s="3" t="s">
        <v>162</v>
      </c>
      <c r="E1679" s="3" t="s">
        <v>128</v>
      </c>
      <c r="F1679" s="3" t="str">
        <f t="shared" si="0"/>
        <v>2 - Frepam</v>
      </c>
      <c r="G1679" s="2">
        <v>105</v>
      </c>
      <c r="H1679" s="3"/>
    </row>
    <row r="1680" spans="1:8" ht="12.75" hidden="1" x14ac:dyDescent="0.2">
      <c r="A1680" s="3" t="s">
        <v>160</v>
      </c>
      <c r="B1680" s="2">
        <v>55</v>
      </c>
      <c r="C1680" s="4" t="s">
        <v>82</v>
      </c>
      <c r="D1680" s="3" t="s">
        <v>162</v>
      </c>
      <c r="E1680" s="3" t="s">
        <v>149</v>
      </c>
      <c r="F1680" s="3" t="str">
        <f t="shared" si="0"/>
        <v>3 - Otros</v>
      </c>
      <c r="G1680" s="2">
        <v>39</v>
      </c>
      <c r="H1680" s="3"/>
    </row>
    <row r="1681" spans="1:8" ht="12.75" hidden="1" x14ac:dyDescent="0.2">
      <c r="A1681" s="3" t="s">
        <v>160</v>
      </c>
      <c r="B1681" s="2">
        <v>55</v>
      </c>
      <c r="C1681" s="4" t="s">
        <v>82</v>
      </c>
      <c r="D1681" s="3" t="s">
        <v>162</v>
      </c>
      <c r="E1681" s="3" t="s">
        <v>14</v>
      </c>
      <c r="F1681" s="3" t="str">
        <f t="shared" si="0"/>
        <v>4 - Blanco/Nulo</v>
      </c>
      <c r="G1681" s="2">
        <v>10</v>
      </c>
      <c r="H1681" s="2">
        <f>SUM(G1678:G1684)</f>
        <v>293</v>
      </c>
    </row>
    <row r="1682" spans="1:8" ht="12.75" hidden="1" x14ac:dyDescent="0.2">
      <c r="A1682" s="3" t="s">
        <v>160</v>
      </c>
      <c r="B1682" s="2">
        <v>55</v>
      </c>
      <c r="C1682" s="4" t="s">
        <v>82</v>
      </c>
      <c r="D1682" s="3" t="s">
        <v>162</v>
      </c>
      <c r="E1682" s="3" t="s">
        <v>133</v>
      </c>
      <c r="F1682" s="3" t="str">
        <f t="shared" si="0"/>
        <v>3 - Otros</v>
      </c>
      <c r="G1682" s="2">
        <v>6</v>
      </c>
      <c r="H1682" s="3"/>
    </row>
    <row r="1683" spans="1:8" ht="12.75" hidden="1" x14ac:dyDescent="0.2">
      <c r="A1683" s="3" t="s">
        <v>160</v>
      </c>
      <c r="B1683" s="2">
        <v>55</v>
      </c>
      <c r="C1683" s="4" t="s">
        <v>82</v>
      </c>
      <c r="D1683" s="3" t="s">
        <v>162</v>
      </c>
      <c r="E1683" s="3" t="s">
        <v>138</v>
      </c>
      <c r="F1683" s="3" t="str">
        <f t="shared" si="0"/>
        <v>4 - Blanco/Nulo</v>
      </c>
      <c r="G1683" s="2">
        <v>2</v>
      </c>
      <c r="H1683" s="3"/>
    </row>
    <row r="1684" spans="1:8" ht="12.75" hidden="1" x14ac:dyDescent="0.2">
      <c r="A1684" s="3" t="s">
        <v>160</v>
      </c>
      <c r="B1684" s="2">
        <v>55</v>
      </c>
      <c r="C1684" s="4" t="s">
        <v>82</v>
      </c>
      <c r="D1684" s="3" t="s">
        <v>162</v>
      </c>
      <c r="E1684" s="3" t="s">
        <v>145</v>
      </c>
      <c r="F1684" s="3" t="str">
        <f t="shared" si="0"/>
        <v>3 - Otros</v>
      </c>
      <c r="G1684" s="2">
        <v>1</v>
      </c>
      <c r="H1684" s="3"/>
    </row>
    <row r="1685" spans="1:8" ht="12.75" hidden="1" x14ac:dyDescent="0.2">
      <c r="A1685" s="3" t="s">
        <v>160</v>
      </c>
      <c r="B1685" s="2">
        <v>56</v>
      </c>
      <c r="C1685" s="4" t="s">
        <v>83</v>
      </c>
      <c r="D1685" s="3" t="s">
        <v>2</v>
      </c>
      <c r="E1685" s="3" t="s">
        <v>136</v>
      </c>
      <c r="F1685" s="3" t="str">
        <f t="shared" si="0"/>
        <v>1 - PJ</v>
      </c>
      <c r="G1685" s="2">
        <v>289</v>
      </c>
      <c r="H1685" s="3"/>
    </row>
    <row r="1686" spans="1:8" ht="12.75" hidden="1" x14ac:dyDescent="0.2">
      <c r="A1686" s="3" t="s">
        <v>160</v>
      </c>
      <c r="B1686" s="2">
        <v>56</v>
      </c>
      <c r="C1686" s="4" t="s">
        <v>83</v>
      </c>
      <c r="D1686" s="3" t="s">
        <v>2</v>
      </c>
      <c r="E1686" s="3" t="s">
        <v>128</v>
      </c>
      <c r="F1686" s="3" t="str">
        <f t="shared" si="0"/>
        <v>2 - Frepam</v>
      </c>
      <c r="G1686" s="2">
        <v>157</v>
      </c>
      <c r="H1686" s="2">
        <f>SUM(G1685:G1687)</f>
        <v>458</v>
      </c>
    </row>
    <row r="1687" spans="1:8" ht="12.75" hidden="1" x14ac:dyDescent="0.2">
      <c r="A1687" s="3" t="s">
        <v>160</v>
      </c>
      <c r="B1687" s="2">
        <v>56</v>
      </c>
      <c r="C1687" s="4" t="s">
        <v>83</v>
      </c>
      <c r="D1687" s="3" t="s">
        <v>2</v>
      </c>
      <c r="E1687" s="3" t="s">
        <v>14</v>
      </c>
      <c r="F1687" s="3" t="str">
        <f t="shared" si="0"/>
        <v>4 - Blanco/Nulo</v>
      </c>
      <c r="G1687" s="2">
        <v>12</v>
      </c>
      <c r="H1687" s="3"/>
    </row>
    <row r="1688" spans="1:8" ht="12.75" hidden="1" x14ac:dyDescent="0.2">
      <c r="A1688" s="3" t="s">
        <v>160</v>
      </c>
      <c r="B1688" s="2">
        <v>56</v>
      </c>
      <c r="C1688" s="4" t="s">
        <v>83</v>
      </c>
      <c r="D1688" s="3" t="s">
        <v>161</v>
      </c>
      <c r="E1688" s="3" t="s">
        <v>136</v>
      </c>
      <c r="F1688" s="3" t="str">
        <f t="shared" si="0"/>
        <v>1 - PJ</v>
      </c>
      <c r="G1688" s="2">
        <v>269</v>
      </c>
      <c r="H1688" s="3"/>
    </row>
    <row r="1689" spans="1:8" ht="12.75" hidden="1" x14ac:dyDescent="0.2">
      <c r="A1689" s="3" t="s">
        <v>160</v>
      </c>
      <c r="B1689" s="2">
        <v>56</v>
      </c>
      <c r="C1689" s="4" t="s">
        <v>83</v>
      </c>
      <c r="D1689" s="3" t="s">
        <v>161</v>
      </c>
      <c r="E1689" s="3" t="s">
        <v>128</v>
      </c>
      <c r="F1689" s="3" t="str">
        <f t="shared" si="0"/>
        <v>2 - Frepam</v>
      </c>
      <c r="G1689" s="2">
        <v>143</v>
      </c>
      <c r="H1689" s="3"/>
    </row>
    <row r="1690" spans="1:8" ht="12.75" hidden="1" x14ac:dyDescent="0.2">
      <c r="A1690" s="3" t="s">
        <v>160</v>
      </c>
      <c r="B1690" s="2">
        <v>56</v>
      </c>
      <c r="C1690" s="4" t="s">
        <v>83</v>
      </c>
      <c r="D1690" s="3" t="s">
        <v>161</v>
      </c>
      <c r="E1690" s="3" t="s">
        <v>149</v>
      </c>
      <c r="F1690" s="3" t="str">
        <f t="shared" si="0"/>
        <v>3 - Otros</v>
      </c>
      <c r="G1690" s="2">
        <v>12</v>
      </c>
      <c r="H1690" s="3"/>
    </row>
    <row r="1691" spans="1:8" ht="12.75" hidden="1" x14ac:dyDescent="0.2">
      <c r="A1691" s="3" t="s">
        <v>160</v>
      </c>
      <c r="B1691" s="2">
        <v>56</v>
      </c>
      <c r="C1691" s="4" t="s">
        <v>83</v>
      </c>
      <c r="D1691" s="3" t="s">
        <v>161</v>
      </c>
      <c r="E1691" s="3" t="s">
        <v>133</v>
      </c>
      <c r="F1691" s="3" t="str">
        <f t="shared" si="0"/>
        <v>3 - Otros</v>
      </c>
      <c r="G1691" s="2">
        <v>10</v>
      </c>
      <c r="H1691" s="3"/>
    </row>
    <row r="1692" spans="1:8" ht="12.75" hidden="1" x14ac:dyDescent="0.2">
      <c r="A1692" s="3" t="s">
        <v>160</v>
      </c>
      <c r="B1692" s="2">
        <v>56</v>
      </c>
      <c r="C1692" s="4" t="s">
        <v>83</v>
      </c>
      <c r="D1692" s="3" t="s">
        <v>161</v>
      </c>
      <c r="E1692" s="3" t="s">
        <v>14</v>
      </c>
      <c r="F1692" s="3" t="str">
        <f t="shared" si="0"/>
        <v>4 - Blanco/Nulo</v>
      </c>
      <c r="G1692" s="2">
        <v>9</v>
      </c>
      <c r="H1692" s="3"/>
    </row>
    <row r="1693" spans="1:8" ht="12.75" hidden="1" x14ac:dyDescent="0.2">
      <c r="A1693" s="3" t="s">
        <v>160</v>
      </c>
      <c r="B1693" s="2">
        <v>56</v>
      </c>
      <c r="C1693" s="4" t="s">
        <v>83</v>
      </c>
      <c r="D1693" s="3" t="s">
        <v>161</v>
      </c>
      <c r="E1693" s="3" t="s">
        <v>148</v>
      </c>
      <c r="F1693" s="3" t="str">
        <f t="shared" si="0"/>
        <v>3 - Otros</v>
      </c>
      <c r="G1693" s="2">
        <v>9</v>
      </c>
      <c r="H1693" s="2">
        <f>SUM(G1688:G1696)</f>
        <v>458</v>
      </c>
    </row>
    <row r="1694" spans="1:8" ht="12.75" hidden="1" x14ac:dyDescent="0.2">
      <c r="A1694" s="3" t="s">
        <v>160</v>
      </c>
      <c r="B1694" s="2">
        <v>56</v>
      </c>
      <c r="C1694" s="4" t="s">
        <v>83</v>
      </c>
      <c r="D1694" s="3" t="s">
        <v>161</v>
      </c>
      <c r="E1694" s="3" t="s">
        <v>138</v>
      </c>
      <c r="F1694" s="3" t="str">
        <f t="shared" si="0"/>
        <v>4 - Blanco/Nulo</v>
      </c>
      <c r="G1694" s="2">
        <v>3</v>
      </c>
      <c r="H1694" s="3"/>
    </row>
    <row r="1695" spans="1:8" ht="12.75" hidden="1" x14ac:dyDescent="0.2">
      <c r="A1695" s="3" t="s">
        <v>160</v>
      </c>
      <c r="B1695" s="2">
        <v>56</v>
      </c>
      <c r="C1695" s="4" t="s">
        <v>83</v>
      </c>
      <c r="D1695" s="3" t="s">
        <v>161</v>
      </c>
      <c r="E1695" s="3" t="s">
        <v>145</v>
      </c>
      <c r="F1695" s="3" t="str">
        <f t="shared" si="0"/>
        <v>3 - Otros</v>
      </c>
      <c r="G1695" s="2">
        <v>2</v>
      </c>
      <c r="H1695" s="3"/>
    </row>
    <row r="1696" spans="1:8" ht="12.75" hidden="1" x14ac:dyDescent="0.2">
      <c r="A1696" s="3" t="s">
        <v>160</v>
      </c>
      <c r="B1696" s="2">
        <v>56</v>
      </c>
      <c r="C1696" s="4" t="s">
        <v>83</v>
      </c>
      <c r="D1696" s="3" t="s">
        <v>161</v>
      </c>
      <c r="E1696" s="3" t="s">
        <v>139</v>
      </c>
      <c r="F1696" s="3" t="str">
        <f t="shared" si="0"/>
        <v>3 - Otros</v>
      </c>
      <c r="G1696" s="2">
        <v>1</v>
      </c>
      <c r="H1696" s="3"/>
    </row>
    <row r="1697" spans="1:8" ht="12.75" hidden="1" x14ac:dyDescent="0.2">
      <c r="A1697" s="3" t="s">
        <v>160</v>
      </c>
      <c r="B1697" s="2">
        <v>56</v>
      </c>
      <c r="C1697" s="4" t="s">
        <v>83</v>
      </c>
      <c r="D1697" s="3" t="s">
        <v>162</v>
      </c>
      <c r="E1697" s="3" t="s">
        <v>136</v>
      </c>
      <c r="F1697" s="3" t="str">
        <f t="shared" si="0"/>
        <v>1 - PJ</v>
      </c>
      <c r="G1697" s="2">
        <v>266</v>
      </c>
      <c r="H1697" s="3"/>
    </row>
    <row r="1698" spans="1:8" ht="12.75" hidden="1" x14ac:dyDescent="0.2">
      <c r="A1698" s="3" t="s">
        <v>160</v>
      </c>
      <c r="B1698" s="2">
        <v>56</v>
      </c>
      <c r="C1698" s="4" t="s">
        <v>83</v>
      </c>
      <c r="D1698" s="3" t="s">
        <v>162</v>
      </c>
      <c r="E1698" s="3" t="s">
        <v>128</v>
      </c>
      <c r="F1698" s="3" t="str">
        <f t="shared" si="0"/>
        <v>2 - Frepam</v>
      </c>
      <c r="G1698" s="2">
        <v>145</v>
      </c>
      <c r="H1698" s="3"/>
    </row>
    <row r="1699" spans="1:8" ht="12.75" hidden="1" x14ac:dyDescent="0.2">
      <c r="A1699" s="3" t="s">
        <v>160</v>
      </c>
      <c r="B1699" s="2">
        <v>56</v>
      </c>
      <c r="C1699" s="4" t="s">
        <v>83</v>
      </c>
      <c r="D1699" s="3" t="s">
        <v>162</v>
      </c>
      <c r="E1699" s="3" t="s">
        <v>133</v>
      </c>
      <c r="F1699" s="3" t="str">
        <f t="shared" si="0"/>
        <v>3 - Otros</v>
      </c>
      <c r="G1699" s="2">
        <v>12</v>
      </c>
      <c r="H1699" s="3"/>
    </row>
    <row r="1700" spans="1:8" ht="12.75" hidden="1" x14ac:dyDescent="0.2">
      <c r="A1700" s="3" t="s">
        <v>160</v>
      </c>
      <c r="B1700" s="2">
        <v>56</v>
      </c>
      <c r="C1700" s="4" t="s">
        <v>83</v>
      </c>
      <c r="D1700" s="3" t="s">
        <v>162</v>
      </c>
      <c r="E1700" s="3" t="s">
        <v>149</v>
      </c>
      <c r="F1700" s="3" t="str">
        <f t="shared" si="0"/>
        <v>3 - Otros</v>
      </c>
      <c r="G1700" s="2">
        <v>11</v>
      </c>
      <c r="H1700" s="3"/>
    </row>
    <row r="1701" spans="1:8" ht="12.75" hidden="1" x14ac:dyDescent="0.2">
      <c r="A1701" s="3" t="s">
        <v>160</v>
      </c>
      <c r="B1701" s="2">
        <v>56</v>
      </c>
      <c r="C1701" s="4" t="s">
        <v>83</v>
      </c>
      <c r="D1701" s="3" t="s">
        <v>162</v>
      </c>
      <c r="E1701" s="3" t="s">
        <v>148</v>
      </c>
      <c r="F1701" s="3" t="str">
        <f t="shared" si="0"/>
        <v>3 - Otros</v>
      </c>
      <c r="G1701" s="2">
        <v>10</v>
      </c>
      <c r="H1701" s="2">
        <f>SUM(G1697:G1705)</f>
        <v>458</v>
      </c>
    </row>
    <row r="1702" spans="1:8" ht="12.75" hidden="1" x14ac:dyDescent="0.2">
      <c r="A1702" s="3" t="s">
        <v>160</v>
      </c>
      <c r="B1702" s="2">
        <v>56</v>
      </c>
      <c r="C1702" s="4" t="s">
        <v>83</v>
      </c>
      <c r="D1702" s="3" t="s">
        <v>162</v>
      </c>
      <c r="E1702" s="3" t="s">
        <v>14</v>
      </c>
      <c r="F1702" s="3" t="str">
        <f t="shared" si="0"/>
        <v>4 - Blanco/Nulo</v>
      </c>
      <c r="G1702" s="2">
        <v>8</v>
      </c>
      <c r="H1702" s="3"/>
    </row>
    <row r="1703" spans="1:8" ht="12.75" hidden="1" x14ac:dyDescent="0.2">
      <c r="A1703" s="3" t="s">
        <v>160</v>
      </c>
      <c r="B1703" s="2">
        <v>56</v>
      </c>
      <c r="C1703" s="4" t="s">
        <v>83</v>
      </c>
      <c r="D1703" s="3" t="s">
        <v>162</v>
      </c>
      <c r="E1703" s="3" t="s">
        <v>138</v>
      </c>
      <c r="F1703" s="3" t="str">
        <f t="shared" si="0"/>
        <v>4 - Blanco/Nulo</v>
      </c>
      <c r="G1703" s="2">
        <v>3</v>
      </c>
      <c r="H1703" s="3"/>
    </row>
    <row r="1704" spans="1:8" ht="12.75" hidden="1" x14ac:dyDescent="0.2">
      <c r="A1704" s="3" t="s">
        <v>160</v>
      </c>
      <c r="B1704" s="2">
        <v>56</v>
      </c>
      <c r="C1704" s="4" t="s">
        <v>83</v>
      </c>
      <c r="D1704" s="3" t="s">
        <v>162</v>
      </c>
      <c r="E1704" s="3" t="s">
        <v>145</v>
      </c>
      <c r="F1704" s="3" t="str">
        <f t="shared" si="0"/>
        <v>3 - Otros</v>
      </c>
      <c r="G1704" s="2">
        <v>2</v>
      </c>
      <c r="H1704" s="3"/>
    </row>
    <row r="1705" spans="1:8" ht="12.75" hidden="1" x14ac:dyDescent="0.2">
      <c r="A1705" s="3" t="s">
        <v>160</v>
      </c>
      <c r="B1705" s="2">
        <v>56</v>
      </c>
      <c r="C1705" s="4" t="s">
        <v>83</v>
      </c>
      <c r="D1705" s="3" t="s">
        <v>162</v>
      </c>
      <c r="E1705" s="3" t="s">
        <v>139</v>
      </c>
      <c r="F1705" s="3" t="str">
        <f t="shared" si="0"/>
        <v>3 - Otros</v>
      </c>
      <c r="G1705" s="2">
        <v>1</v>
      </c>
      <c r="H1705" s="3"/>
    </row>
    <row r="1706" spans="1:8" ht="12.75" hidden="1" x14ac:dyDescent="0.2">
      <c r="A1706" s="3" t="s">
        <v>160</v>
      </c>
      <c r="B1706" s="3" t="s">
        <v>175</v>
      </c>
      <c r="C1706" s="4" t="s">
        <v>84</v>
      </c>
      <c r="D1706" s="3" t="s">
        <v>2</v>
      </c>
      <c r="E1706" s="3" t="s">
        <v>3</v>
      </c>
      <c r="F1706" s="3" t="str">
        <f t="shared" si="0"/>
        <v>1 - PJ</v>
      </c>
      <c r="G1706" s="2">
        <v>18337</v>
      </c>
      <c r="H1706" s="3"/>
    </row>
    <row r="1707" spans="1:8" ht="12.75" hidden="1" x14ac:dyDescent="0.2">
      <c r="A1707" s="3" t="s">
        <v>160</v>
      </c>
      <c r="B1707" s="3" t="s">
        <v>175</v>
      </c>
      <c r="C1707" s="4" t="s">
        <v>84</v>
      </c>
      <c r="D1707" s="3" t="s">
        <v>2</v>
      </c>
      <c r="E1707" s="3" t="s">
        <v>128</v>
      </c>
      <c r="F1707" s="3" t="str">
        <f t="shared" si="0"/>
        <v>2 - Frepam</v>
      </c>
      <c r="G1707" s="2">
        <v>11630</v>
      </c>
      <c r="H1707" s="3"/>
    </row>
    <row r="1708" spans="1:8" ht="12.75" hidden="1" x14ac:dyDescent="0.2">
      <c r="A1708" s="3" t="s">
        <v>160</v>
      </c>
      <c r="B1708" s="3" t="s">
        <v>175</v>
      </c>
      <c r="C1708" s="4" t="s">
        <v>84</v>
      </c>
      <c r="D1708" s="3" t="s">
        <v>2</v>
      </c>
      <c r="E1708" s="3" t="s">
        <v>149</v>
      </c>
      <c r="F1708" s="3" t="str">
        <f t="shared" si="0"/>
        <v>3 - Otros</v>
      </c>
      <c r="G1708" s="2">
        <v>1918</v>
      </c>
      <c r="H1708" s="3"/>
    </row>
    <row r="1709" spans="1:8" ht="12.75" hidden="1" x14ac:dyDescent="0.2">
      <c r="A1709" s="3" t="s">
        <v>160</v>
      </c>
      <c r="B1709" s="3" t="s">
        <v>175</v>
      </c>
      <c r="C1709" s="4" t="s">
        <v>84</v>
      </c>
      <c r="D1709" s="3" t="s">
        <v>2</v>
      </c>
      <c r="E1709" s="3" t="s">
        <v>133</v>
      </c>
      <c r="F1709" s="3" t="str">
        <f t="shared" si="0"/>
        <v>3 - Otros</v>
      </c>
      <c r="G1709" s="2">
        <v>1312</v>
      </c>
      <c r="H1709" s="3"/>
    </row>
    <row r="1710" spans="1:8" ht="12.75" hidden="1" x14ac:dyDescent="0.2">
      <c r="A1710" s="3" t="s">
        <v>160</v>
      </c>
      <c r="B1710" s="3" t="s">
        <v>175</v>
      </c>
      <c r="C1710" s="4" t="s">
        <v>84</v>
      </c>
      <c r="D1710" s="3" t="s">
        <v>2</v>
      </c>
      <c r="E1710" s="3" t="s">
        <v>130</v>
      </c>
      <c r="F1710" s="3" t="str">
        <f t="shared" si="0"/>
        <v>3 - Otros</v>
      </c>
      <c r="G1710" s="2">
        <v>1176</v>
      </c>
      <c r="H1710" s="3"/>
    </row>
    <row r="1711" spans="1:8" ht="12.75" hidden="1" x14ac:dyDescent="0.2">
      <c r="A1711" s="3" t="s">
        <v>160</v>
      </c>
      <c r="B1711" s="3" t="s">
        <v>175</v>
      </c>
      <c r="C1711" s="4" t="s">
        <v>84</v>
      </c>
      <c r="D1711" s="3" t="s">
        <v>2</v>
      </c>
      <c r="E1711" s="3" t="s">
        <v>14</v>
      </c>
      <c r="F1711" s="3" t="str">
        <f t="shared" si="0"/>
        <v>4 - Blanco/Nulo</v>
      </c>
      <c r="G1711" s="2">
        <v>954</v>
      </c>
      <c r="H1711" s="3"/>
    </row>
    <row r="1712" spans="1:8" ht="12.75" hidden="1" x14ac:dyDescent="0.2">
      <c r="A1712" s="3" t="s">
        <v>160</v>
      </c>
      <c r="B1712" s="3" t="s">
        <v>175</v>
      </c>
      <c r="C1712" s="4" t="s">
        <v>84</v>
      </c>
      <c r="D1712" s="3" t="s">
        <v>2</v>
      </c>
      <c r="E1712" s="3" t="s">
        <v>135</v>
      </c>
      <c r="F1712" s="3" t="str">
        <f t="shared" si="0"/>
        <v>3 - Otros</v>
      </c>
      <c r="G1712" s="2">
        <v>811</v>
      </c>
      <c r="H1712" s="2">
        <f>SUM(G1706:G1716)</f>
        <v>38282</v>
      </c>
    </row>
    <row r="1713" spans="1:8" ht="12.75" hidden="1" x14ac:dyDescent="0.2">
      <c r="A1713" s="3" t="s">
        <v>160</v>
      </c>
      <c r="B1713" s="3" t="s">
        <v>175</v>
      </c>
      <c r="C1713" s="4" t="s">
        <v>84</v>
      </c>
      <c r="D1713" s="3" t="s">
        <v>2</v>
      </c>
      <c r="E1713" s="3" t="s">
        <v>139</v>
      </c>
      <c r="F1713" s="3" t="str">
        <f t="shared" si="0"/>
        <v>3 - Otros</v>
      </c>
      <c r="G1713" s="2">
        <v>672</v>
      </c>
      <c r="H1713" s="3"/>
    </row>
    <row r="1714" spans="1:8" ht="12.75" hidden="1" x14ac:dyDescent="0.2">
      <c r="A1714" s="3" t="s">
        <v>160</v>
      </c>
      <c r="B1714" s="3" t="s">
        <v>175</v>
      </c>
      <c r="C1714" s="4" t="s">
        <v>84</v>
      </c>
      <c r="D1714" s="3" t="s">
        <v>2</v>
      </c>
      <c r="E1714" s="3" t="s">
        <v>148</v>
      </c>
      <c r="F1714" s="3" t="str">
        <f t="shared" si="0"/>
        <v>3 - Otros</v>
      </c>
      <c r="G1714" s="2">
        <v>626</v>
      </c>
      <c r="H1714" s="3"/>
    </row>
    <row r="1715" spans="1:8" ht="12.75" hidden="1" x14ac:dyDescent="0.2">
      <c r="A1715" s="3" t="s">
        <v>160</v>
      </c>
      <c r="B1715" s="3" t="s">
        <v>175</v>
      </c>
      <c r="C1715" s="4" t="s">
        <v>84</v>
      </c>
      <c r="D1715" s="3" t="s">
        <v>2</v>
      </c>
      <c r="E1715" s="3" t="s">
        <v>138</v>
      </c>
      <c r="F1715" s="3" t="str">
        <f t="shared" si="0"/>
        <v>4 - Blanco/Nulo</v>
      </c>
      <c r="G1715" s="2">
        <v>499</v>
      </c>
      <c r="H1715" s="3"/>
    </row>
    <row r="1716" spans="1:8" ht="12.75" hidden="1" x14ac:dyDescent="0.2">
      <c r="A1716" s="3" t="s">
        <v>160</v>
      </c>
      <c r="B1716" s="3" t="s">
        <v>175</v>
      </c>
      <c r="C1716" s="4" t="s">
        <v>84</v>
      </c>
      <c r="D1716" s="3" t="s">
        <v>2</v>
      </c>
      <c r="E1716" s="3" t="s">
        <v>145</v>
      </c>
      <c r="F1716" s="3" t="str">
        <f t="shared" si="0"/>
        <v>3 - Otros</v>
      </c>
      <c r="G1716" s="2">
        <v>347</v>
      </c>
      <c r="H1716" s="3"/>
    </row>
    <row r="1717" spans="1:8" ht="12.75" hidden="1" x14ac:dyDescent="0.2">
      <c r="A1717" s="3" t="s">
        <v>160</v>
      </c>
      <c r="B1717" s="3" t="s">
        <v>175</v>
      </c>
      <c r="C1717" s="4" t="s">
        <v>84</v>
      </c>
      <c r="D1717" s="3" t="s">
        <v>162</v>
      </c>
      <c r="E1717" s="3" t="s">
        <v>3</v>
      </c>
      <c r="F1717" s="3" t="str">
        <f t="shared" si="0"/>
        <v>1 - PJ</v>
      </c>
      <c r="G1717" s="2">
        <v>18299</v>
      </c>
      <c r="H1717" s="3"/>
    </row>
    <row r="1718" spans="1:8" ht="12.75" hidden="1" x14ac:dyDescent="0.2">
      <c r="A1718" s="3" t="s">
        <v>160</v>
      </c>
      <c r="B1718" s="3" t="s">
        <v>175</v>
      </c>
      <c r="C1718" s="4" t="s">
        <v>84</v>
      </c>
      <c r="D1718" s="3" t="s">
        <v>162</v>
      </c>
      <c r="E1718" s="3" t="s">
        <v>128</v>
      </c>
      <c r="F1718" s="3" t="str">
        <f t="shared" si="0"/>
        <v>2 - Frepam</v>
      </c>
      <c r="G1718" s="2">
        <v>11117</v>
      </c>
      <c r="H1718" s="3"/>
    </row>
    <row r="1719" spans="1:8" ht="12.75" hidden="1" x14ac:dyDescent="0.2">
      <c r="A1719" s="3" t="s">
        <v>160</v>
      </c>
      <c r="B1719" s="3" t="s">
        <v>175</v>
      </c>
      <c r="C1719" s="4" t="s">
        <v>84</v>
      </c>
      <c r="D1719" s="3" t="s">
        <v>162</v>
      </c>
      <c r="E1719" s="3" t="s">
        <v>149</v>
      </c>
      <c r="F1719" s="3" t="str">
        <f t="shared" si="0"/>
        <v>3 - Otros</v>
      </c>
      <c r="G1719" s="2">
        <v>2022</v>
      </c>
      <c r="H1719" s="3"/>
    </row>
    <row r="1720" spans="1:8" ht="12.75" hidden="1" x14ac:dyDescent="0.2">
      <c r="A1720" s="3" t="s">
        <v>160</v>
      </c>
      <c r="B1720" s="3" t="s">
        <v>175</v>
      </c>
      <c r="C1720" s="4" t="s">
        <v>84</v>
      </c>
      <c r="D1720" s="3" t="s">
        <v>162</v>
      </c>
      <c r="E1720" s="3" t="s">
        <v>14</v>
      </c>
      <c r="F1720" s="3" t="str">
        <f t="shared" si="0"/>
        <v>4 - Blanco/Nulo</v>
      </c>
      <c r="G1720" s="2">
        <v>1981</v>
      </c>
      <c r="H1720" s="3"/>
    </row>
    <row r="1721" spans="1:8" ht="12.75" hidden="1" x14ac:dyDescent="0.2">
      <c r="A1721" s="3" t="s">
        <v>160</v>
      </c>
      <c r="B1721" s="3" t="s">
        <v>175</v>
      </c>
      <c r="C1721" s="4" t="s">
        <v>84</v>
      </c>
      <c r="D1721" s="3" t="s">
        <v>162</v>
      </c>
      <c r="E1721" s="3" t="s">
        <v>133</v>
      </c>
      <c r="F1721" s="3" t="str">
        <f t="shared" si="0"/>
        <v>3 - Otros</v>
      </c>
      <c r="G1721" s="2">
        <v>1949</v>
      </c>
      <c r="H1721" s="3"/>
    </row>
    <row r="1722" spans="1:8" ht="12.75" hidden="1" x14ac:dyDescent="0.2">
      <c r="A1722" s="3" t="s">
        <v>160</v>
      </c>
      <c r="B1722" s="3" t="s">
        <v>175</v>
      </c>
      <c r="C1722" s="4" t="s">
        <v>84</v>
      </c>
      <c r="D1722" s="3" t="s">
        <v>162</v>
      </c>
      <c r="E1722" s="3" t="s">
        <v>135</v>
      </c>
      <c r="F1722" s="3" t="str">
        <f t="shared" si="0"/>
        <v>3 - Otros</v>
      </c>
      <c r="G1722" s="2">
        <v>713</v>
      </c>
      <c r="H1722" s="2">
        <f>SUM(G1717:G1726)</f>
        <v>38282</v>
      </c>
    </row>
    <row r="1723" spans="1:8" ht="12.75" hidden="1" x14ac:dyDescent="0.2">
      <c r="A1723" s="3" t="s">
        <v>160</v>
      </c>
      <c r="B1723" s="3" t="s">
        <v>175</v>
      </c>
      <c r="C1723" s="4" t="s">
        <v>84</v>
      </c>
      <c r="D1723" s="3" t="s">
        <v>162</v>
      </c>
      <c r="E1723" s="3" t="s">
        <v>139</v>
      </c>
      <c r="F1723" s="3" t="str">
        <f t="shared" si="0"/>
        <v>3 - Otros</v>
      </c>
      <c r="G1723" s="2">
        <v>687</v>
      </c>
      <c r="H1723" s="3"/>
    </row>
    <row r="1724" spans="1:8" ht="12.75" hidden="1" x14ac:dyDescent="0.2">
      <c r="A1724" s="3" t="s">
        <v>160</v>
      </c>
      <c r="B1724" s="3" t="s">
        <v>175</v>
      </c>
      <c r="C1724" s="4" t="s">
        <v>84</v>
      </c>
      <c r="D1724" s="3" t="s">
        <v>162</v>
      </c>
      <c r="E1724" s="3" t="s">
        <v>148</v>
      </c>
      <c r="F1724" s="3" t="str">
        <f t="shared" si="0"/>
        <v>3 - Otros</v>
      </c>
      <c r="G1724" s="2">
        <v>627</v>
      </c>
      <c r="H1724" s="3"/>
    </row>
    <row r="1725" spans="1:8" ht="12.75" hidden="1" x14ac:dyDescent="0.2">
      <c r="A1725" s="3" t="s">
        <v>160</v>
      </c>
      <c r="B1725" s="3" t="s">
        <v>175</v>
      </c>
      <c r="C1725" s="4" t="s">
        <v>84</v>
      </c>
      <c r="D1725" s="3" t="s">
        <v>162</v>
      </c>
      <c r="E1725" s="3" t="s">
        <v>138</v>
      </c>
      <c r="F1725" s="3" t="str">
        <f t="shared" si="0"/>
        <v>4 - Blanco/Nulo</v>
      </c>
      <c r="G1725" s="2">
        <v>536</v>
      </c>
      <c r="H1725" s="3"/>
    </row>
    <row r="1726" spans="1:8" ht="12.75" hidden="1" x14ac:dyDescent="0.2">
      <c r="A1726" s="3" t="s">
        <v>160</v>
      </c>
      <c r="B1726" s="3" t="s">
        <v>175</v>
      </c>
      <c r="C1726" s="4" t="s">
        <v>84</v>
      </c>
      <c r="D1726" s="3" t="s">
        <v>162</v>
      </c>
      <c r="E1726" s="3" t="s">
        <v>145</v>
      </c>
      <c r="F1726" s="3" t="str">
        <f t="shared" si="0"/>
        <v>3 - Otros</v>
      </c>
      <c r="G1726" s="2">
        <v>351</v>
      </c>
      <c r="H1726" s="3"/>
    </row>
    <row r="1727" spans="1:8" ht="12.75" hidden="1" x14ac:dyDescent="0.2">
      <c r="A1727" s="3" t="s">
        <v>160</v>
      </c>
      <c r="B1727" s="2">
        <v>59</v>
      </c>
      <c r="C1727" s="4" t="s">
        <v>85</v>
      </c>
      <c r="D1727" s="3" t="s">
        <v>15</v>
      </c>
      <c r="E1727" s="3" t="s">
        <v>136</v>
      </c>
      <c r="F1727" s="3" t="str">
        <f t="shared" si="0"/>
        <v>1 - PJ</v>
      </c>
      <c r="G1727" s="2">
        <v>301</v>
      </c>
      <c r="H1727" s="3"/>
    </row>
    <row r="1728" spans="1:8" ht="12.75" hidden="1" x14ac:dyDescent="0.2">
      <c r="A1728" s="3" t="s">
        <v>160</v>
      </c>
      <c r="B1728" s="2">
        <v>59</v>
      </c>
      <c r="C1728" s="4" t="s">
        <v>85</v>
      </c>
      <c r="D1728" s="3" t="s">
        <v>15</v>
      </c>
      <c r="E1728" s="3" t="s">
        <v>147</v>
      </c>
      <c r="F1728" s="3" t="str">
        <f t="shared" si="0"/>
        <v>3 - Otros</v>
      </c>
      <c r="G1728" s="2">
        <v>68</v>
      </c>
      <c r="H1728" s="3"/>
    </row>
    <row r="1729" spans="1:8" ht="12.75" hidden="1" x14ac:dyDescent="0.2">
      <c r="A1729" s="3" t="s">
        <v>160</v>
      </c>
      <c r="B1729" s="2">
        <v>59</v>
      </c>
      <c r="C1729" s="4" t="s">
        <v>85</v>
      </c>
      <c r="D1729" s="3" t="s">
        <v>15</v>
      </c>
      <c r="E1729" s="3" t="s">
        <v>14</v>
      </c>
      <c r="F1729" s="3" t="str">
        <f t="shared" si="0"/>
        <v>4 - Blanco/Nulo</v>
      </c>
      <c r="G1729" s="2">
        <v>50</v>
      </c>
      <c r="H1729" s="2">
        <f>SUM(G1727:G1730)</f>
        <v>420</v>
      </c>
    </row>
    <row r="1730" spans="1:8" ht="12.75" hidden="1" x14ac:dyDescent="0.2">
      <c r="A1730" s="3" t="s">
        <v>160</v>
      </c>
      <c r="B1730" s="2">
        <v>59</v>
      </c>
      <c r="C1730" s="4" t="s">
        <v>85</v>
      </c>
      <c r="D1730" s="3" t="s">
        <v>15</v>
      </c>
      <c r="E1730" s="3" t="s">
        <v>138</v>
      </c>
      <c r="F1730" s="3" t="str">
        <f t="shared" si="0"/>
        <v>4 - Blanco/Nulo</v>
      </c>
      <c r="G1730" s="2">
        <v>1</v>
      </c>
      <c r="H1730" s="3"/>
    </row>
    <row r="1731" spans="1:8" ht="12.75" hidden="1" x14ac:dyDescent="0.2">
      <c r="A1731" s="3" t="s">
        <v>160</v>
      </c>
      <c r="B1731" s="2">
        <v>59</v>
      </c>
      <c r="C1731" s="4" t="s">
        <v>85</v>
      </c>
      <c r="D1731" s="3" t="s">
        <v>161</v>
      </c>
      <c r="E1731" s="3" t="s">
        <v>136</v>
      </c>
      <c r="F1731" s="3" t="str">
        <f t="shared" si="0"/>
        <v>1 - PJ</v>
      </c>
      <c r="G1731" s="2">
        <v>266</v>
      </c>
      <c r="H1731" s="3"/>
    </row>
    <row r="1732" spans="1:8" ht="12.75" hidden="1" x14ac:dyDescent="0.2">
      <c r="A1732" s="3" t="s">
        <v>160</v>
      </c>
      <c r="B1732" s="2">
        <v>59</v>
      </c>
      <c r="C1732" s="4" t="s">
        <v>85</v>
      </c>
      <c r="D1732" s="3" t="s">
        <v>161</v>
      </c>
      <c r="E1732" s="3" t="s">
        <v>128</v>
      </c>
      <c r="F1732" s="3" t="str">
        <f t="shared" si="0"/>
        <v>2 - Frepam</v>
      </c>
      <c r="G1732" s="2">
        <v>73</v>
      </c>
      <c r="H1732" s="3"/>
    </row>
    <row r="1733" spans="1:8" ht="12.75" hidden="1" x14ac:dyDescent="0.2">
      <c r="A1733" s="3" t="s">
        <v>160</v>
      </c>
      <c r="B1733" s="2">
        <v>59</v>
      </c>
      <c r="C1733" s="4" t="s">
        <v>85</v>
      </c>
      <c r="D1733" s="3" t="s">
        <v>161</v>
      </c>
      <c r="E1733" s="3" t="s">
        <v>139</v>
      </c>
      <c r="F1733" s="3" t="str">
        <f t="shared" si="0"/>
        <v>3 - Otros</v>
      </c>
      <c r="G1733" s="2">
        <v>33</v>
      </c>
      <c r="H1733" s="3"/>
    </row>
    <row r="1734" spans="1:8" ht="12.75" hidden="1" x14ac:dyDescent="0.2">
      <c r="A1734" s="3" t="s">
        <v>160</v>
      </c>
      <c r="B1734" s="2">
        <v>59</v>
      </c>
      <c r="C1734" s="4" t="s">
        <v>85</v>
      </c>
      <c r="D1734" s="3" t="s">
        <v>161</v>
      </c>
      <c r="E1734" s="3" t="s">
        <v>14</v>
      </c>
      <c r="F1734" s="3" t="str">
        <f t="shared" si="0"/>
        <v>4 - Blanco/Nulo</v>
      </c>
      <c r="G1734" s="2">
        <v>20</v>
      </c>
      <c r="H1734" s="3"/>
    </row>
    <row r="1735" spans="1:8" ht="12.75" hidden="1" x14ac:dyDescent="0.2">
      <c r="A1735" s="3" t="s">
        <v>160</v>
      </c>
      <c r="B1735" s="2">
        <v>59</v>
      </c>
      <c r="C1735" s="4" t="s">
        <v>85</v>
      </c>
      <c r="D1735" s="3" t="s">
        <v>161</v>
      </c>
      <c r="E1735" s="3" t="s">
        <v>149</v>
      </c>
      <c r="F1735" s="3" t="str">
        <f t="shared" si="0"/>
        <v>3 - Otros</v>
      </c>
      <c r="G1735" s="2">
        <v>10</v>
      </c>
      <c r="H1735" s="2">
        <f>SUM(G1731:G1740)</f>
        <v>420</v>
      </c>
    </row>
    <row r="1736" spans="1:8" ht="12.75" hidden="1" x14ac:dyDescent="0.2">
      <c r="A1736" s="3" t="s">
        <v>160</v>
      </c>
      <c r="B1736" s="2">
        <v>59</v>
      </c>
      <c r="C1736" s="4" t="s">
        <v>85</v>
      </c>
      <c r="D1736" s="3" t="s">
        <v>161</v>
      </c>
      <c r="E1736" s="3" t="s">
        <v>133</v>
      </c>
      <c r="F1736" s="3" t="str">
        <f t="shared" si="0"/>
        <v>3 - Otros</v>
      </c>
      <c r="G1736" s="2">
        <v>6</v>
      </c>
      <c r="H1736" s="3"/>
    </row>
    <row r="1737" spans="1:8" ht="12.75" hidden="1" x14ac:dyDescent="0.2">
      <c r="A1737" s="3" t="s">
        <v>160</v>
      </c>
      <c r="B1737" s="2">
        <v>59</v>
      </c>
      <c r="C1737" s="4" t="s">
        <v>85</v>
      </c>
      <c r="D1737" s="3" t="s">
        <v>161</v>
      </c>
      <c r="E1737" s="3" t="s">
        <v>145</v>
      </c>
      <c r="F1737" s="3" t="str">
        <f t="shared" si="0"/>
        <v>3 - Otros</v>
      </c>
      <c r="G1737" s="2">
        <v>4</v>
      </c>
      <c r="H1737" s="3"/>
    </row>
    <row r="1738" spans="1:8" ht="12.75" hidden="1" x14ac:dyDescent="0.2">
      <c r="A1738" s="3" t="s">
        <v>160</v>
      </c>
      <c r="B1738" s="2">
        <v>59</v>
      </c>
      <c r="C1738" s="4" t="s">
        <v>85</v>
      </c>
      <c r="D1738" s="3" t="s">
        <v>161</v>
      </c>
      <c r="E1738" s="3" t="s">
        <v>138</v>
      </c>
      <c r="F1738" s="3" t="str">
        <f t="shared" si="0"/>
        <v>4 - Blanco/Nulo</v>
      </c>
      <c r="G1738" s="2">
        <v>3</v>
      </c>
      <c r="H1738" s="3"/>
    </row>
    <row r="1739" spans="1:8" ht="12.75" hidden="1" x14ac:dyDescent="0.2">
      <c r="A1739" s="3" t="s">
        <v>160</v>
      </c>
      <c r="B1739" s="2">
        <v>59</v>
      </c>
      <c r="C1739" s="4" t="s">
        <v>85</v>
      </c>
      <c r="D1739" s="3" t="s">
        <v>161</v>
      </c>
      <c r="E1739" s="3" t="s">
        <v>148</v>
      </c>
      <c r="F1739" s="3" t="str">
        <f t="shared" si="0"/>
        <v>3 - Otros</v>
      </c>
      <c r="G1739" s="2">
        <v>3</v>
      </c>
      <c r="H1739" s="3"/>
    </row>
    <row r="1740" spans="1:8" ht="12.75" hidden="1" x14ac:dyDescent="0.2">
      <c r="A1740" s="3" t="s">
        <v>160</v>
      </c>
      <c r="B1740" s="2">
        <v>59</v>
      </c>
      <c r="C1740" s="4" t="s">
        <v>85</v>
      </c>
      <c r="D1740" s="3" t="s">
        <v>161</v>
      </c>
      <c r="E1740" s="3" t="s">
        <v>135</v>
      </c>
      <c r="F1740" s="3" t="str">
        <f t="shared" si="0"/>
        <v>3 - Otros</v>
      </c>
      <c r="G1740" s="2">
        <v>2</v>
      </c>
      <c r="H1740" s="3"/>
    </row>
    <row r="1741" spans="1:8" ht="12.75" hidden="1" x14ac:dyDescent="0.2">
      <c r="A1741" s="3" t="s">
        <v>160</v>
      </c>
      <c r="B1741" s="2">
        <v>59</v>
      </c>
      <c r="C1741" s="4" t="s">
        <v>85</v>
      </c>
      <c r="D1741" s="3" t="s">
        <v>162</v>
      </c>
      <c r="E1741" s="3" t="s">
        <v>136</v>
      </c>
      <c r="F1741" s="3" t="str">
        <f t="shared" si="0"/>
        <v>1 - PJ</v>
      </c>
      <c r="G1741" s="2">
        <v>267</v>
      </c>
      <c r="H1741" s="3"/>
    </row>
    <row r="1742" spans="1:8" ht="12.75" hidden="1" x14ac:dyDescent="0.2">
      <c r="A1742" s="3" t="s">
        <v>160</v>
      </c>
      <c r="B1742" s="2">
        <v>59</v>
      </c>
      <c r="C1742" s="4" t="s">
        <v>85</v>
      </c>
      <c r="D1742" s="3" t="s">
        <v>162</v>
      </c>
      <c r="E1742" s="3" t="s">
        <v>128</v>
      </c>
      <c r="F1742" s="3" t="str">
        <f t="shared" si="0"/>
        <v>2 - Frepam</v>
      </c>
      <c r="G1742" s="2">
        <v>80</v>
      </c>
      <c r="H1742" s="3"/>
    </row>
    <row r="1743" spans="1:8" ht="12.75" hidden="1" x14ac:dyDescent="0.2">
      <c r="A1743" s="3" t="s">
        <v>160</v>
      </c>
      <c r="B1743" s="2">
        <v>59</v>
      </c>
      <c r="C1743" s="4" t="s">
        <v>85</v>
      </c>
      <c r="D1743" s="3" t="s">
        <v>162</v>
      </c>
      <c r="E1743" s="3" t="s">
        <v>139</v>
      </c>
      <c r="F1743" s="3" t="str">
        <f t="shared" si="0"/>
        <v>3 - Otros</v>
      </c>
      <c r="G1743" s="2">
        <v>33</v>
      </c>
      <c r="H1743" s="3"/>
    </row>
    <row r="1744" spans="1:8" ht="12.75" hidden="1" x14ac:dyDescent="0.2">
      <c r="A1744" s="3" t="s">
        <v>160</v>
      </c>
      <c r="B1744" s="2">
        <v>59</v>
      </c>
      <c r="C1744" s="4" t="s">
        <v>85</v>
      </c>
      <c r="D1744" s="3" t="s">
        <v>162</v>
      </c>
      <c r="E1744" s="3" t="s">
        <v>133</v>
      </c>
      <c r="F1744" s="3" t="str">
        <f t="shared" si="0"/>
        <v>3 - Otros</v>
      </c>
      <c r="G1744" s="2">
        <v>10</v>
      </c>
      <c r="H1744" s="3"/>
    </row>
    <row r="1745" spans="1:8" ht="12.75" hidden="1" x14ac:dyDescent="0.2">
      <c r="A1745" s="3" t="s">
        <v>160</v>
      </c>
      <c r="B1745" s="2">
        <v>59</v>
      </c>
      <c r="C1745" s="4" t="s">
        <v>85</v>
      </c>
      <c r="D1745" s="3" t="s">
        <v>162</v>
      </c>
      <c r="E1745" s="3" t="s">
        <v>14</v>
      </c>
      <c r="F1745" s="3" t="str">
        <f t="shared" si="0"/>
        <v>4 - Blanco/Nulo</v>
      </c>
      <c r="G1745" s="2">
        <v>9</v>
      </c>
      <c r="H1745" s="3"/>
    </row>
    <row r="1746" spans="1:8" ht="12.75" hidden="1" x14ac:dyDescent="0.2">
      <c r="A1746" s="3" t="s">
        <v>160</v>
      </c>
      <c r="B1746" s="2">
        <v>59</v>
      </c>
      <c r="C1746" s="4" t="s">
        <v>85</v>
      </c>
      <c r="D1746" s="3" t="s">
        <v>162</v>
      </c>
      <c r="E1746" s="3" t="s">
        <v>149</v>
      </c>
      <c r="F1746" s="3" t="str">
        <f t="shared" si="0"/>
        <v>3 - Otros</v>
      </c>
      <c r="G1746" s="2">
        <v>8</v>
      </c>
      <c r="H1746" s="2">
        <f>SUM(G1741:G1750)</f>
        <v>420</v>
      </c>
    </row>
    <row r="1747" spans="1:8" ht="12.75" hidden="1" x14ac:dyDescent="0.2">
      <c r="A1747" s="3" t="s">
        <v>160</v>
      </c>
      <c r="B1747" s="2">
        <v>59</v>
      </c>
      <c r="C1747" s="4" t="s">
        <v>85</v>
      </c>
      <c r="D1747" s="3" t="s">
        <v>162</v>
      </c>
      <c r="E1747" s="3" t="s">
        <v>145</v>
      </c>
      <c r="F1747" s="3" t="str">
        <f t="shared" si="0"/>
        <v>3 - Otros</v>
      </c>
      <c r="G1747" s="2">
        <v>4</v>
      </c>
      <c r="H1747" s="3"/>
    </row>
    <row r="1748" spans="1:8" ht="12.75" hidden="1" x14ac:dyDescent="0.2">
      <c r="A1748" s="3" t="s">
        <v>160</v>
      </c>
      <c r="B1748" s="2">
        <v>59</v>
      </c>
      <c r="C1748" s="4" t="s">
        <v>85</v>
      </c>
      <c r="D1748" s="3" t="s">
        <v>162</v>
      </c>
      <c r="E1748" s="3" t="s">
        <v>138</v>
      </c>
      <c r="F1748" s="3" t="str">
        <f t="shared" si="0"/>
        <v>4 - Blanco/Nulo</v>
      </c>
      <c r="G1748" s="2">
        <v>3</v>
      </c>
      <c r="H1748" s="3"/>
    </row>
    <row r="1749" spans="1:8" ht="12.75" hidden="1" x14ac:dyDescent="0.2">
      <c r="A1749" s="3" t="s">
        <v>160</v>
      </c>
      <c r="B1749" s="2">
        <v>59</v>
      </c>
      <c r="C1749" s="4" t="s">
        <v>85</v>
      </c>
      <c r="D1749" s="3" t="s">
        <v>162</v>
      </c>
      <c r="E1749" s="3" t="s">
        <v>148</v>
      </c>
      <c r="F1749" s="3" t="str">
        <f t="shared" si="0"/>
        <v>3 - Otros</v>
      </c>
      <c r="G1749" s="2">
        <v>3</v>
      </c>
      <c r="H1749" s="3"/>
    </row>
    <row r="1750" spans="1:8" ht="12.75" hidden="1" x14ac:dyDescent="0.2">
      <c r="A1750" s="3" t="s">
        <v>160</v>
      </c>
      <c r="B1750" s="2">
        <v>59</v>
      </c>
      <c r="C1750" s="4" t="s">
        <v>85</v>
      </c>
      <c r="D1750" s="3" t="s">
        <v>162</v>
      </c>
      <c r="E1750" s="3" t="s">
        <v>135</v>
      </c>
      <c r="F1750" s="3" t="str">
        <f t="shared" si="0"/>
        <v>3 - Otros</v>
      </c>
      <c r="G1750" s="2">
        <v>3</v>
      </c>
      <c r="H1750" s="3"/>
    </row>
    <row r="1751" spans="1:8" ht="12.75" hidden="1" x14ac:dyDescent="0.2">
      <c r="A1751" s="3" t="s">
        <v>160</v>
      </c>
      <c r="B1751" s="2">
        <v>61</v>
      </c>
      <c r="C1751" s="4" t="s">
        <v>86</v>
      </c>
      <c r="D1751" s="3" t="s">
        <v>2</v>
      </c>
      <c r="E1751" s="3" t="s">
        <v>3</v>
      </c>
      <c r="F1751" s="3" t="str">
        <f t="shared" si="0"/>
        <v>1 - PJ</v>
      </c>
      <c r="G1751" s="2">
        <v>3023</v>
      </c>
      <c r="H1751" s="3"/>
    </row>
    <row r="1752" spans="1:8" ht="12.75" hidden="1" x14ac:dyDescent="0.2">
      <c r="A1752" s="3" t="s">
        <v>160</v>
      </c>
      <c r="B1752" s="2">
        <v>61</v>
      </c>
      <c r="C1752" s="4" t="s">
        <v>86</v>
      </c>
      <c r="D1752" s="3" t="s">
        <v>2</v>
      </c>
      <c r="E1752" s="3" t="s">
        <v>144</v>
      </c>
      <c r="F1752" s="3" t="str">
        <f t="shared" si="0"/>
        <v>3 - Otros</v>
      </c>
      <c r="G1752" s="2">
        <v>1691</v>
      </c>
      <c r="H1752" s="2">
        <f>SUM(G1751:G1756)</f>
        <v>6036</v>
      </c>
    </row>
    <row r="1753" spans="1:8" ht="12.75" hidden="1" x14ac:dyDescent="0.2">
      <c r="A1753" s="3" t="s">
        <v>160</v>
      </c>
      <c r="B1753" s="2">
        <v>61</v>
      </c>
      <c r="C1753" s="4" t="s">
        <v>86</v>
      </c>
      <c r="D1753" s="3" t="s">
        <v>2</v>
      </c>
      <c r="E1753" s="3" t="s">
        <v>128</v>
      </c>
      <c r="F1753" s="3" t="str">
        <f t="shared" si="0"/>
        <v>2 - Frepam</v>
      </c>
      <c r="G1753" s="2">
        <v>1062</v>
      </c>
      <c r="H1753" s="3"/>
    </row>
    <row r="1754" spans="1:8" ht="12.75" hidden="1" x14ac:dyDescent="0.2">
      <c r="A1754" s="3" t="s">
        <v>160</v>
      </c>
      <c r="B1754" s="2">
        <v>61</v>
      </c>
      <c r="C1754" s="4" t="s">
        <v>86</v>
      </c>
      <c r="D1754" s="3" t="s">
        <v>2</v>
      </c>
      <c r="E1754" s="3" t="s">
        <v>14</v>
      </c>
      <c r="F1754" s="3" t="str">
        <f t="shared" si="0"/>
        <v>4 - Blanco/Nulo</v>
      </c>
      <c r="G1754" s="2">
        <v>162</v>
      </c>
      <c r="H1754" s="3"/>
    </row>
    <row r="1755" spans="1:8" ht="12.75" hidden="1" x14ac:dyDescent="0.2">
      <c r="A1755" s="3" t="s">
        <v>160</v>
      </c>
      <c r="B1755" s="2">
        <v>61</v>
      </c>
      <c r="C1755" s="4" t="s">
        <v>86</v>
      </c>
      <c r="D1755" s="3" t="s">
        <v>2</v>
      </c>
      <c r="E1755" s="3" t="s">
        <v>148</v>
      </c>
      <c r="F1755" s="3" t="str">
        <f t="shared" si="0"/>
        <v>3 - Otros</v>
      </c>
      <c r="G1755" s="2">
        <v>49</v>
      </c>
      <c r="H1755" s="3"/>
    </row>
    <row r="1756" spans="1:8" ht="12.75" hidden="1" x14ac:dyDescent="0.2">
      <c r="A1756" s="3" t="s">
        <v>160</v>
      </c>
      <c r="B1756" s="2">
        <v>61</v>
      </c>
      <c r="C1756" s="4" t="s">
        <v>86</v>
      </c>
      <c r="D1756" s="3" t="s">
        <v>2</v>
      </c>
      <c r="E1756" s="3" t="s">
        <v>138</v>
      </c>
      <c r="F1756" s="3" t="str">
        <f t="shared" si="0"/>
        <v>4 - Blanco/Nulo</v>
      </c>
      <c r="G1756" s="2">
        <v>49</v>
      </c>
      <c r="H1756" s="3"/>
    </row>
    <row r="1757" spans="1:8" ht="12.75" hidden="1" x14ac:dyDescent="0.2">
      <c r="A1757" s="3" t="s">
        <v>160</v>
      </c>
      <c r="B1757" s="2">
        <v>61</v>
      </c>
      <c r="C1757" s="4" t="s">
        <v>86</v>
      </c>
      <c r="D1757" s="3" t="s">
        <v>162</v>
      </c>
      <c r="E1757" s="3" t="s">
        <v>3</v>
      </c>
      <c r="F1757" s="3" t="str">
        <f t="shared" si="0"/>
        <v>1 - PJ</v>
      </c>
      <c r="G1757" s="2">
        <v>2913</v>
      </c>
      <c r="H1757" s="3"/>
    </row>
    <row r="1758" spans="1:8" ht="12.75" hidden="1" x14ac:dyDescent="0.2">
      <c r="A1758" s="3" t="s">
        <v>160</v>
      </c>
      <c r="B1758" s="2">
        <v>61</v>
      </c>
      <c r="C1758" s="4" t="s">
        <v>86</v>
      </c>
      <c r="D1758" s="3" t="s">
        <v>162</v>
      </c>
      <c r="E1758" s="3" t="s">
        <v>14</v>
      </c>
      <c r="F1758" s="3" t="str">
        <f t="shared" si="0"/>
        <v>4 - Blanco/Nulo</v>
      </c>
      <c r="G1758" s="2">
        <v>1490</v>
      </c>
      <c r="H1758" s="3"/>
    </row>
    <row r="1759" spans="1:8" ht="12.75" hidden="1" x14ac:dyDescent="0.2">
      <c r="A1759" s="3" t="s">
        <v>160</v>
      </c>
      <c r="B1759" s="2">
        <v>61</v>
      </c>
      <c r="C1759" s="4" t="s">
        <v>86</v>
      </c>
      <c r="D1759" s="3" t="s">
        <v>162</v>
      </c>
      <c r="E1759" s="3" t="s">
        <v>128</v>
      </c>
      <c r="F1759" s="3" t="str">
        <f t="shared" si="0"/>
        <v>2 - Frepam</v>
      </c>
      <c r="G1759" s="2">
        <v>1051</v>
      </c>
      <c r="H1759" s="3"/>
    </row>
    <row r="1760" spans="1:8" ht="12.75" hidden="1" x14ac:dyDescent="0.2">
      <c r="A1760" s="3" t="s">
        <v>160</v>
      </c>
      <c r="B1760" s="2">
        <v>61</v>
      </c>
      <c r="C1760" s="4" t="s">
        <v>86</v>
      </c>
      <c r="D1760" s="3" t="s">
        <v>162</v>
      </c>
      <c r="E1760" s="3" t="s">
        <v>133</v>
      </c>
      <c r="F1760" s="3" t="str">
        <f t="shared" si="0"/>
        <v>3 - Otros</v>
      </c>
      <c r="G1760" s="2">
        <v>178</v>
      </c>
      <c r="H1760" s="3"/>
    </row>
    <row r="1761" spans="1:8" ht="12.75" hidden="1" x14ac:dyDescent="0.2">
      <c r="A1761" s="3" t="s">
        <v>160</v>
      </c>
      <c r="B1761" s="2">
        <v>61</v>
      </c>
      <c r="C1761" s="4" t="s">
        <v>86</v>
      </c>
      <c r="D1761" s="3" t="s">
        <v>162</v>
      </c>
      <c r="E1761" s="3" t="s">
        <v>149</v>
      </c>
      <c r="F1761" s="3" t="str">
        <f t="shared" si="0"/>
        <v>3 - Otros</v>
      </c>
      <c r="G1761" s="2">
        <v>159</v>
      </c>
      <c r="H1761" s="3"/>
    </row>
    <row r="1762" spans="1:8" ht="12.75" hidden="1" x14ac:dyDescent="0.2">
      <c r="A1762" s="3" t="s">
        <v>160</v>
      </c>
      <c r="B1762" s="2">
        <v>61</v>
      </c>
      <c r="C1762" s="4" t="s">
        <v>86</v>
      </c>
      <c r="D1762" s="3" t="s">
        <v>162</v>
      </c>
      <c r="E1762" s="3" t="s">
        <v>138</v>
      </c>
      <c r="F1762" s="3" t="str">
        <f t="shared" si="0"/>
        <v>4 - Blanco/Nulo</v>
      </c>
      <c r="G1762" s="2">
        <v>116</v>
      </c>
      <c r="H1762" s="2">
        <f>SUM(G1757:G1766)</f>
        <v>6036</v>
      </c>
    </row>
    <row r="1763" spans="1:8" ht="12.75" hidden="1" x14ac:dyDescent="0.2">
      <c r="A1763" s="3" t="s">
        <v>160</v>
      </c>
      <c r="B1763" s="2">
        <v>61</v>
      </c>
      <c r="C1763" s="4" t="s">
        <v>86</v>
      </c>
      <c r="D1763" s="3" t="s">
        <v>162</v>
      </c>
      <c r="E1763" s="3" t="s">
        <v>148</v>
      </c>
      <c r="F1763" s="3" t="str">
        <f t="shared" si="0"/>
        <v>3 - Otros</v>
      </c>
      <c r="G1763" s="2">
        <v>50</v>
      </c>
      <c r="H1763" s="3"/>
    </row>
    <row r="1764" spans="1:8" ht="12.75" hidden="1" x14ac:dyDescent="0.2">
      <c r="A1764" s="3" t="s">
        <v>160</v>
      </c>
      <c r="B1764" s="2">
        <v>61</v>
      </c>
      <c r="C1764" s="4" t="s">
        <v>86</v>
      </c>
      <c r="D1764" s="3" t="s">
        <v>162</v>
      </c>
      <c r="E1764" s="3" t="s">
        <v>135</v>
      </c>
      <c r="F1764" s="3" t="str">
        <f t="shared" si="0"/>
        <v>3 - Otros</v>
      </c>
      <c r="G1764" s="2">
        <v>28</v>
      </c>
      <c r="H1764" s="3"/>
    </row>
    <row r="1765" spans="1:8" ht="12.75" hidden="1" x14ac:dyDescent="0.2">
      <c r="A1765" s="3" t="s">
        <v>160</v>
      </c>
      <c r="B1765" s="2">
        <v>61</v>
      </c>
      <c r="C1765" s="4" t="s">
        <v>86</v>
      </c>
      <c r="D1765" s="3" t="s">
        <v>162</v>
      </c>
      <c r="E1765" s="3" t="s">
        <v>139</v>
      </c>
      <c r="F1765" s="3" t="str">
        <f t="shared" si="0"/>
        <v>3 - Otros</v>
      </c>
      <c r="G1765" s="2">
        <v>28</v>
      </c>
      <c r="H1765" s="3"/>
    </row>
    <row r="1766" spans="1:8" ht="12.75" hidden="1" x14ac:dyDescent="0.2">
      <c r="A1766" s="3" t="s">
        <v>160</v>
      </c>
      <c r="B1766" s="2">
        <v>61</v>
      </c>
      <c r="C1766" s="4" t="s">
        <v>86</v>
      </c>
      <c r="D1766" s="3" t="s">
        <v>162</v>
      </c>
      <c r="E1766" s="3" t="s">
        <v>145</v>
      </c>
      <c r="F1766" s="3" t="str">
        <f t="shared" si="0"/>
        <v>3 - Otros</v>
      </c>
      <c r="G1766" s="2">
        <v>23</v>
      </c>
      <c r="H1766" s="3"/>
    </row>
    <row r="1767" spans="1:8" ht="12.75" hidden="1" x14ac:dyDescent="0.2">
      <c r="A1767" s="3" t="s">
        <v>160</v>
      </c>
      <c r="B1767" s="2">
        <v>61</v>
      </c>
      <c r="C1767" s="4" t="s">
        <v>86</v>
      </c>
      <c r="D1767" s="3" t="s">
        <v>161</v>
      </c>
      <c r="E1767" s="3" t="s">
        <v>3</v>
      </c>
      <c r="F1767" s="3" t="str">
        <f t="shared" si="0"/>
        <v>1 - PJ</v>
      </c>
      <c r="G1767" s="2">
        <v>2872</v>
      </c>
      <c r="H1767" s="3"/>
    </row>
    <row r="1768" spans="1:8" ht="12.75" hidden="1" x14ac:dyDescent="0.2">
      <c r="A1768" s="3" t="s">
        <v>160</v>
      </c>
      <c r="B1768" s="2">
        <v>61</v>
      </c>
      <c r="C1768" s="4" t="s">
        <v>86</v>
      </c>
      <c r="D1768" s="3" t="s">
        <v>161</v>
      </c>
      <c r="E1768" s="3" t="s">
        <v>14</v>
      </c>
      <c r="F1768" s="3" t="str">
        <f t="shared" si="0"/>
        <v>4 - Blanco/Nulo</v>
      </c>
      <c r="G1768" s="2">
        <v>1610</v>
      </c>
      <c r="H1768" s="3"/>
    </row>
    <row r="1769" spans="1:8" ht="12.75" hidden="1" x14ac:dyDescent="0.2">
      <c r="A1769" s="3" t="s">
        <v>160</v>
      </c>
      <c r="B1769" s="2">
        <v>61</v>
      </c>
      <c r="C1769" s="4" t="s">
        <v>86</v>
      </c>
      <c r="D1769" s="3" t="s">
        <v>161</v>
      </c>
      <c r="E1769" s="3" t="s">
        <v>128</v>
      </c>
      <c r="F1769" s="3" t="str">
        <f t="shared" si="0"/>
        <v>2 - Frepam</v>
      </c>
      <c r="G1769" s="2">
        <v>1022</v>
      </c>
      <c r="H1769" s="3"/>
    </row>
    <row r="1770" spans="1:8" ht="12.75" hidden="1" x14ac:dyDescent="0.2">
      <c r="A1770" s="3" t="s">
        <v>160</v>
      </c>
      <c r="B1770" s="2">
        <v>61</v>
      </c>
      <c r="C1770" s="4" t="s">
        <v>86</v>
      </c>
      <c r="D1770" s="3" t="s">
        <v>161</v>
      </c>
      <c r="E1770" s="3" t="s">
        <v>149</v>
      </c>
      <c r="F1770" s="3" t="str">
        <f t="shared" si="0"/>
        <v>3 - Otros</v>
      </c>
      <c r="G1770" s="2">
        <v>145</v>
      </c>
      <c r="H1770" s="3"/>
    </row>
    <row r="1771" spans="1:8" ht="12.75" hidden="1" x14ac:dyDescent="0.2">
      <c r="A1771" s="3" t="s">
        <v>160</v>
      </c>
      <c r="B1771" s="2">
        <v>61</v>
      </c>
      <c r="C1771" s="4" t="s">
        <v>86</v>
      </c>
      <c r="D1771" s="3" t="s">
        <v>161</v>
      </c>
      <c r="E1771" s="3" t="s">
        <v>133</v>
      </c>
      <c r="F1771" s="3" t="str">
        <f t="shared" si="0"/>
        <v>3 - Otros</v>
      </c>
      <c r="G1771" s="2">
        <v>144</v>
      </c>
      <c r="H1771" s="3"/>
    </row>
    <row r="1772" spans="1:8" ht="12.75" hidden="1" x14ac:dyDescent="0.2">
      <c r="A1772" s="3" t="s">
        <v>160</v>
      </c>
      <c r="B1772" s="2">
        <v>61</v>
      </c>
      <c r="C1772" s="4" t="s">
        <v>86</v>
      </c>
      <c r="D1772" s="3" t="s">
        <v>161</v>
      </c>
      <c r="E1772" s="3" t="s">
        <v>138</v>
      </c>
      <c r="F1772" s="3" t="str">
        <f t="shared" si="0"/>
        <v>4 - Blanco/Nulo</v>
      </c>
      <c r="G1772" s="2">
        <v>115</v>
      </c>
      <c r="H1772" s="2">
        <f>SUM(G1767:G1776)</f>
        <v>6036</v>
      </c>
    </row>
    <row r="1773" spans="1:8" ht="12.75" hidden="1" x14ac:dyDescent="0.2">
      <c r="A1773" s="3" t="s">
        <v>160</v>
      </c>
      <c r="B1773" s="2">
        <v>61</v>
      </c>
      <c r="C1773" s="4" t="s">
        <v>86</v>
      </c>
      <c r="D1773" s="3" t="s">
        <v>161</v>
      </c>
      <c r="E1773" s="3" t="s">
        <v>148</v>
      </c>
      <c r="F1773" s="3" t="str">
        <f t="shared" si="0"/>
        <v>3 - Otros</v>
      </c>
      <c r="G1773" s="2">
        <v>51</v>
      </c>
      <c r="H1773" s="3"/>
    </row>
    <row r="1774" spans="1:8" ht="12.75" hidden="1" x14ac:dyDescent="0.2">
      <c r="A1774" s="3" t="s">
        <v>160</v>
      </c>
      <c r="B1774" s="2">
        <v>61</v>
      </c>
      <c r="C1774" s="4" t="s">
        <v>86</v>
      </c>
      <c r="D1774" s="3" t="s">
        <v>161</v>
      </c>
      <c r="E1774" s="3" t="s">
        <v>135</v>
      </c>
      <c r="F1774" s="3" t="str">
        <f t="shared" si="0"/>
        <v>3 - Otros</v>
      </c>
      <c r="G1774" s="2">
        <v>31</v>
      </c>
      <c r="H1774" s="3"/>
    </row>
    <row r="1775" spans="1:8" ht="12.75" hidden="1" x14ac:dyDescent="0.2">
      <c r="A1775" s="3" t="s">
        <v>160</v>
      </c>
      <c r="B1775" s="2">
        <v>61</v>
      </c>
      <c r="C1775" s="4" t="s">
        <v>86</v>
      </c>
      <c r="D1775" s="3" t="s">
        <v>161</v>
      </c>
      <c r="E1775" s="3" t="s">
        <v>145</v>
      </c>
      <c r="F1775" s="3" t="str">
        <f t="shared" si="0"/>
        <v>3 - Otros</v>
      </c>
      <c r="G1775" s="2">
        <v>23</v>
      </c>
      <c r="H1775" s="3"/>
    </row>
    <row r="1776" spans="1:8" ht="12.75" hidden="1" x14ac:dyDescent="0.2">
      <c r="A1776" s="3" t="s">
        <v>160</v>
      </c>
      <c r="B1776" s="2">
        <v>61</v>
      </c>
      <c r="C1776" s="4" t="s">
        <v>86</v>
      </c>
      <c r="D1776" s="3" t="s">
        <v>161</v>
      </c>
      <c r="E1776" s="3" t="s">
        <v>139</v>
      </c>
      <c r="F1776" s="3" t="str">
        <f t="shared" si="0"/>
        <v>3 - Otros</v>
      </c>
      <c r="G1776" s="2">
        <v>23</v>
      </c>
      <c r="H1776" s="3"/>
    </row>
    <row r="1777" spans="1:8" ht="12.75" hidden="1" x14ac:dyDescent="0.2">
      <c r="A1777" s="3" t="s">
        <v>160</v>
      </c>
      <c r="B1777" s="2">
        <v>62</v>
      </c>
      <c r="C1777" s="4" t="s">
        <v>87</v>
      </c>
      <c r="D1777" s="3" t="s">
        <v>2</v>
      </c>
      <c r="E1777" s="3" t="s">
        <v>128</v>
      </c>
      <c r="F1777" s="3" t="str">
        <f t="shared" si="0"/>
        <v>2 - Frepam</v>
      </c>
      <c r="G1777" s="2">
        <v>155</v>
      </c>
      <c r="H1777" s="3"/>
    </row>
    <row r="1778" spans="1:8" ht="12.75" hidden="1" x14ac:dyDescent="0.2">
      <c r="A1778" s="3" t="s">
        <v>160</v>
      </c>
      <c r="B1778" s="2">
        <v>62</v>
      </c>
      <c r="C1778" s="4" t="s">
        <v>87</v>
      </c>
      <c r="D1778" s="3" t="s">
        <v>2</v>
      </c>
      <c r="E1778" s="3" t="s">
        <v>136</v>
      </c>
      <c r="F1778" s="3" t="str">
        <f t="shared" si="0"/>
        <v>1 - PJ</v>
      </c>
      <c r="G1778" s="2">
        <v>146</v>
      </c>
      <c r="H1778" s="3"/>
    </row>
    <row r="1779" spans="1:8" ht="12.75" hidden="1" x14ac:dyDescent="0.2">
      <c r="A1779" s="3" t="s">
        <v>160</v>
      </c>
      <c r="B1779" s="2">
        <v>62</v>
      </c>
      <c r="C1779" s="4" t="s">
        <v>87</v>
      </c>
      <c r="D1779" s="3" t="s">
        <v>2</v>
      </c>
      <c r="E1779" s="3" t="s">
        <v>148</v>
      </c>
      <c r="F1779" s="3" t="str">
        <f t="shared" si="0"/>
        <v>3 - Otros</v>
      </c>
      <c r="G1779" s="2">
        <v>102</v>
      </c>
      <c r="H1779" s="3"/>
    </row>
    <row r="1780" spans="1:8" ht="12.75" hidden="1" x14ac:dyDescent="0.2">
      <c r="A1780" s="3" t="s">
        <v>160</v>
      </c>
      <c r="B1780" s="2">
        <v>62</v>
      </c>
      <c r="C1780" s="4" t="s">
        <v>87</v>
      </c>
      <c r="D1780" s="3" t="s">
        <v>2</v>
      </c>
      <c r="E1780" s="3" t="s">
        <v>133</v>
      </c>
      <c r="F1780" s="3" t="str">
        <f t="shared" si="0"/>
        <v>3 - Otros</v>
      </c>
      <c r="G1780" s="2">
        <v>77</v>
      </c>
      <c r="H1780" s="2">
        <f>SUM(G1777:G1783)</f>
        <v>531</v>
      </c>
    </row>
    <row r="1781" spans="1:8" ht="12.75" hidden="1" x14ac:dyDescent="0.2">
      <c r="A1781" s="3" t="s">
        <v>160</v>
      </c>
      <c r="B1781" s="2">
        <v>62</v>
      </c>
      <c r="C1781" s="4" t="s">
        <v>87</v>
      </c>
      <c r="D1781" s="3" t="s">
        <v>2</v>
      </c>
      <c r="E1781" s="3" t="s">
        <v>149</v>
      </c>
      <c r="F1781" s="3" t="str">
        <f t="shared" si="0"/>
        <v>3 - Otros</v>
      </c>
      <c r="G1781" s="2">
        <v>31</v>
      </c>
      <c r="H1781" s="3"/>
    </row>
    <row r="1782" spans="1:8" ht="12.75" hidden="1" x14ac:dyDescent="0.2">
      <c r="A1782" s="3" t="s">
        <v>160</v>
      </c>
      <c r="B1782" s="2">
        <v>62</v>
      </c>
      <c r="C1782" s="4" t="s">
        <v>87</v>
      </c>
      <c r="D1782" s="3" t="s">
        <v>2</v>
      </c>
      <c r="E1782" s="3" t="s">
        <v>14</v>
      </c>
      <c r="F1782" s="3" t="str">
        <f t="shared" si="0"/>
        <v>4 - Blanco/Nulo</v>
      </c>
      <c r="G1782" s="2">
        <v>16</v>
      </c>
      <c r="H1782" s="3"/>
    </row>
    <row r="1783" spans="1:8" ht="12.75" hidden="1" x14ac:dyDescent="0.2">
      <c r="A1783" s="3" t="s">
        <v>160</v>
      </c>
      <c r="B1783" s="2">
        <v>62</v>
      </c>
      <c r="C1783" s="4" t="s">
        <v>87</v>
      </c>
      <c r="D1783" s="3" t="s">
        <v>2</v>
      </c>
      <c r="E1783" s="3" t="s">
        <v>138</v>
      </c>
      <c r="F1783" s="3" t="str">
        <f t="shared" si="0"/>
        <v>4 - Blanco/Nulo</v>
      </c>
      <c r="G1783" s="2">
        <v>4</v>
      </c>
      <c r="H1783" s="3"/>
    </row>
    <row r="1784" spans="1:8" ht="12.75" hidden="1" x14ac:dyDescent="0.2">
      <c r="A1784" s="3" t="s">
        <v>160</v>
      </c>
      <c r="B1784" s="2">
        <v>62</v>
      </c>
      <c r="C1784" s="4" t="s">
        <v>87</v>
      </c>
      <c r="D1784" s="3" t="s">
        <v>161</v>
      </c>
      <c r="E1784" s="3" t="s">
        <v>136</v>
      </c>
      <c r="F1784" s="3" t="str">
        <f t="shared" si="0"/>
        <v>1 - PJ</v>
      </c>
      <c r="G1784" s="2">
        <v>170</v>
      </c>
      <c r="H1784" s="3"/>
    </row>
    <row r="1785" spans="1:8" ht="12.75" hidden="1" x14ac:dyDescent="0.2">
      <c r="A1785" s="3" t="s">
        <v>160</v>
      </c>
      <c r="B1785" s="2">
        <v>62</v>
      </c>
      <c r="C1785" s="4" t="s">
        <v>87</v>
      </c>
      <c r="D1785" s="3" t="s">
        <v>161</v>
      </c>
      <c r="E1785" s="3" t="s">
        <v>128</v>
      </c>
      <c r="F1785" s="3" t="str">
        <f t="shared" si="0"/>
        <v>2 - Frepam</v>
      </c>
      <c r="G1785" s="2">
        <v>133</v>
      </c>
      <c r="H1785" s="3"/>
    </row>
    <row r="1786" spans="1:8" ht="12.75" hidden="1" x14ac:dyDescent="0.2">
      <c r="A1786" s="3" t="s">
        <v>160</v>
      </c>
      <c r="B1786" s="2">
        <v>62</v>
      </c>
      <c r="C1786" s="4" t="s">
        <v>87</v>
      </c>
      <c r="D1786" s="3" t="s">
        <v>161</v>
      </c>
      <c r="E1786" s="3" t="s">
        <v>133</v>
      </c>
      <c r="F1786" s="3" t="str">
        <f t="shared" si="0"/>
        <v>3 - Otros</v>
      </c>
      <c r="G1786" s="2">
        <v>70</v>
      </c>
      <c r="H1786" s="3"/>
    </row>
    <row r="1787" spans="1:8" ht="12.75" hidden="1" x14ac:dyDescent="0.2">
      <c r="A1787" s="3" t="s">
        <v>160</v>
      </c>
      <c r="B1787" s="2">
        <v>62</v>
      </c>
      <c r="C1787" s="4" t="s">
        <v>87</v>
      </c>
      <c r="D1787" s="3" t="s">
        <v>161</v>
      </c>
      <c r="E1787" s="3" t="s">
        <v>14</v>
      </c>
      <c r="F1787" s="3" t="str">
        <f t="shared" si="0"/>
        <v>4 - Blanco/Nulo</v>
      </c>
      <c r="G1787" s="2">
        <v>68</v>
      </c>
      <c r="H1787" s="3"/>
    </row>
    <row r="1788" spans="1:8" ht="12.75" hidden="1" x14ac:dyDescent="0.2">
      <c r="A1788" s="3" t="s">
        <v>160</v>
      </c>
      <c r="B1788" s="2">
        <v>62</v>
      </c>
      <c r="C1788" s="4" t="s">
        <v>87</v>
      </c>
      <c r="D1788" s="3" t="s">
        <v>161</v>
      </c>
      <c r="E1788" s="3" t="s">
        <v>148</v>
      </c>
      <c r="F1788" s="3" t="str">
        <f t="shared" si="0"/>
        <v>3 - Otros</v>
      </c>
      <c r="G1788" s="2">
        <v>66</v>
      </c>
      <c r="H1788" s="3"/>
    </row>
    <row r="1789" spans="1:8" ht="12.75" hidden="1" x14ac:dyDescent="0.2">
      <c r="A1789" s="3" t="s">
        <v>160</v>
      </c>
      <c r="B1789" s="2">
        <v>62</v>
      </c>
      <c r="C1789" s="4" t="s">
        <v>87</v>
      </c>
      <c r="D1789" s="3" t="s">
        <v>161</v>
      </c>
      <c r="E1789" s="3" t="s">
        <v>149</v>
      </c>
      <c r="F1789" s="3" t="str">
        <f t="shared" si="0"/>
        <v>3 - Otros</v>
      </c>
      <c r="G1789" s="2">
        <v>17</v>
      </c>
      <c r="H1789" s="3"/>
    </row>
    <row r="1790" spans="1:8" ht="12.75" hidden="1" x14ac:dyDescent="0.2">
      <c r="A1790" s="3" t="s">
        <v>160</v>
      </c>
      <c r="B1790" s="2">
        <v>62</v>
      </c>
      <c r="C1790" s="4" t="s">
        <v>87</v>
      </c>
      <c r="D1790" s="3" t="s">
        <v>161</v>
      </c>
      <c r="E1790" s="3" t="s">
        <v>138</v>
      </c>
      <c r="F1790" s="3" t="str">
        <f t="shared" si="0"/>
        <v>4 - Blanco/Nulo</v>
      </c>
      <c r="G1790" s="2">
        <v>4</v>
      </c>
      <c r="H1790" s="2">
        <f>SUM(G1784:G1792)</f>
        <v>531</v>
      </c>
    </row>
    <row r="1791" spans="1:8" ht="12.75" hidden="1" x14ac:dyDescent="0.2">
      <c r="A1791" s="3" t="s">
        <v>160</v>
      </c>
      <c r="B1791" s="2">
        <v>62</v>
      </c>
      <c r="C1791" s="4" t="s">
        <v>87</v>
      </c>
      <c r="D1791" s="3" t="s">
        <v>161</v>
      </c>
      <c r="E1791" s="3" t="s">
        <v>145</v>
      </c>
      <c r="F1791" s="3" t="str">
        <f t="shared" si="0"/>
        <v>3 - Otros</v>
      </c>
      <c r="G1791" s="2">
        <v>2</v>
      </c>
      <c r="H1791" s="3"/>
    </row>
    <row r="1792" spans="1:8" ht="12.75" hidden="1" x14ac:dyDescent="0.2">
      <c r="A1792" s="3" t="s">
        <v>160</v>
      </c>
      <c r="B1792" s="2">
        <v>62</v>
      </c>
      <c r="C1792" s="4" t="s">
        <v>87</v>
      </c>
      <c r="D1792" s="3" t="s">
        <v>161</v>
      </c>
      <c r="E1792" s="3" t="s">
        <v>135</v>
      </c>
      <c r="F1792" s="3" t="str">
        <f t="shared" si="0"/>
        <v>3 - Otros</v>
      </c>
      <c r="G1792" s="2">
        <v>1</v>
      </c>
      <c r="H1792" s="3"/>
    </row>
    <row r="1793" spans="1:8" ht="12.75" hidden="1" x14ac:dyDescent="0.2">
      <c r="A1793" s="3" t="s">
        <v>160</v>
      </c>
      <c r="B1793" s="2">
        <v>62</v>
      </c>
      <c r="C1793" s="4" t="s">
        <v>87</v>
      </c>
      <c r="D1793" s="3" t="s">
        <v>162</v>
      </c>
      <c r="E1793" s="3" t="s">
        <v>136</v>
      </c>
      <c r="F1793" s="3" t="str">
        <f t="shared" si="0"/>
        <v>1 - PJ</v>
      </c>
      <c r="G1793" s="2">
        <v>199</v>
      </c>
      <c r="H1793" s="3"/>
    </row>
    <row r="1794" spans="1:8" ht="12.75" hidden="1" x14ac:dyDescent="0.2">
      <c r="A1794" s="3" t="s">
        <v>160</v>
      </c>
      <c r="B1794" s="2">
        <v>62</v>
      </c>
      <c r="C1794" s="4" t="s">
        <v>87</v>
      </c>
      <c r="D1794" s="3" t="s">
        <v>162</v>
      </c>
      <c r="E1794" s="3" t="s">
        <v>128</v>
      </c>
      <c r="F1794" s="3" t="str">
        <f t="shared" si="0"/>
        <v>2 - Frepam</v>
      </c>
      <c r="G1794" s="2">
        <v>129</v>
      </c>
      <c r="H1794" s="3"/>
    </row>
    <row r="1795" spans="1:8" ht="12.75" hidden="1" x14ac:dyDescent="0.2">
      <c r="A1795" s="3" t="s">
        <v>160</v>
      </c>
      <c r="B1795" s="2">
        <v>62</v>
      </c>
      <c r="C1795" s="4" t="s">
        <v>87</v>
      </c>
      <c r="D1795" s="3" t="s">
        <v>162</v>
      </c>
      <c r="E1795" s="3" t="s">
        <v>133</v>
      </c>
      <c r="F1795" s="3" t="str">
        <f t="shared" si="0"/>
        <v>3 - Otros</v>
      </c>
      <c r="G1795" s="2">
        <v>71</v>
      </c>
      <c r="H1795" s="3"/>
    </row>
    <row r="1796" spans="1:8" ht="12.75" hidden="1" x14ac:dyDescent="0.2">
      <c r="A1796" s="3" t="s">
        <v>160</v>
      </c>
      <c r="B1796" s="2">
        <v>62</v>
      </c>
      <c r="C1796" s="4" t="s">
        <v>87</v>
      </c>
      <c r="D1796" s="3" t="s">
        <v>162</v>
      </c>
      <c r="E1796" s="3" t="s">
        <v>148</v>
      </c>
      <c r="F1796" s="3" t="str">
        <f t="shared" si="0"/>
        <v>3 - Otros</v>
      </c>
      <c r="G1796" s="2">
        <v>65</v>
      </c>
      <c r="H1796" s="3"/>
    </row>
    <row r="1797" spans="1:8" ht="12.75" hidden="1" x14ac:dyDescent="0.2">
      <c r="A1797" s="3" t="s">
        <v>160</v>
      </c>
      <c r="B1797" s="2">
        <v>62</v>
      </c>
      <c r="C1797" s="4" t="s">
        <v>87</v>
      </c>
      <c r="D1797" s="3" t="s">
        <v>162</v>
      </c>
      <c r="E1797" s="3" t="s">
        <v>14</v>
      </c>
      <c r="F1797" s="3" t="str">
        <f t="shared" si="0"/>
        <v>4 - Blanco/Nulo</v>
      </c>
      <c r="G1797" s="2">
        <v>43</v>
      </c>
      <c r="H1797" s="2">
        <f>SUM(G1793:G1799)</f>
        <v>524</v>
      </c>
    </row>
    <row r="1798" spans="1:8" ht="12.75" hidden="1" x14ac:dyDescent="0.2">
      <c r="A1798" s="3" t="s">
        <v>160</v>
      </c>
      <c r="B1798" s="2">
        <v>62</v>
      </c>
      <c r="C1798" s="4" t="s">
        <v>87</v>
      </c>
      <c r="D1798" s="3" t="s">
        <v>162</v>
      </c>
      <c r="E1798" s="3" t="s">
        <v>149</v>
      </c>
      <c r="F1798" s="3" t="str">
        <f t="shared" si="0"/>
        <v>3 - Otros</v>
      </c>
      <c r="G1798" s="2">
        <v>17</v>
      </c>
      <c r="H1798" s="3"/>
    </row>
    <row r="1799" spans="1:8" ht="12.75" hidden="1" x14ac:dyDescent="0.2">
      <c r="A1799" s="3" t="s">
        <v>160</v>
      </c>
      <c r="B1799" s="2">
        <v>62</v>
      </c>
      <c r="C1799" s="4" t="s">
        <v>87</v>
      </c>
      <c r="D1799" s="3" t="s">
        <v>162</v>
      </c>
      <c r="E1799" s="3" t="s">
        <v>138</v>
      </c>
      <c r="F1799" s="3" t="str">
        <f t="shared" si="0"/>
        <v>4 - Blanco/Nulo</v>
      </c>
      <c r="G1799" s="3"/>
      <c r="H1799" s="3"/>
    </row>
    <row r="1800" spans="1:8" ht="12.75" hidden="1" x14ac:dyDescent="0.2">
      <c r="A1800" s="3" t="s">
        <v>160</v>
      </c>
      <c r="B1800" s="2">
        <v>63</v>
      </c>
      <c r="C1800" s="4" t="s">
        <v>88</v>
      </c>
      <c r="D1800" s="3" t="s">
        <v>2</v>
      </c>
      <c r="E1800" s="3" t="s">
        <v>136</v>
      </c>
      <c r="F1800" s="3" t="str">
        <f t="shared" si="0"/>
        <v>1 - PJ</v>
      </c>
      <c r="G1800" s="2">
        <v>1173</v>
      </c>
      <c r="H1800" s="3"/>
    </row>
    <row r="1801" spans="1:8" ht="12.75" hidden="1" x14ac:dyDescent="0.2">
      <c r="A1801" s="3" t="s">
        <v>160</v>
      </c>
      <c r="B1801" s="2">
        <v>63</v>
      </c>
      <c r="C1801" s="4" t="s">
        <v>88</v>
      </c>
      <c r="D1801" s="3" t="s">
        <v>2</v>
      </c>
      <c r="E1801" s="3" t="s">
        <v>128</v>
      </c>
      <c r="F1801" s="3" t="str">
        <f t="shared" si="0"/>
        <v>2 - Frepam</v>
      </c>
      <c r="G1801" s="2">
        <v>727</v>
      </c>
      <c r="H1801" s="3"/>
    </row>
    <row r="1802" spans="1:8" ht="12.75" hidden="1" x14ac:dyDescent="0.2">
      <c r="A1802" s="3" t="s">
        <v>160</v>
      </c>
      <c r="B1802" s="2">
        <v>63</v>
      </c>
      <c r="C1802" s="4" t="s">
        <v>88</v>
      </c>
      <c r="D1802" s="3" t="s">
        <v>2</v>
      </c>
      <c r="E1802" s="3" t="s">
        <v>139</v>
      </c>
      <c r="F1802" s="3" t="str">
        <f t="shared" si="0"/>
        <v>3 - Otros</v>
      </c>
      <c r="G1802" s="2">
        <v>112</v>
      </c>
      <c r="H1802" s="3"/>
    </row>
    <row r="1803" spans="1:8" ht="12.75" hidden="1" x14ac:dyDescent="0.2">
      <c r="A1803" s="3" t="s">
        <v>160</v>
      </c>
      <c r="B1803" s="2">
        <v>63</v>
      </c>
      <c r="C1803" s="4" t="s">
        <v>88</v>
      </c>
      <c r="D1803" s="3" t="s">
        <v>2</v>
      </c>
      <c r="E1803" s="3" t="s">
        <v>14</v>
      </c>
      <c r="F1803" s="3" t="str">
        <f t="shared" si="0"/>
        <v>4 - Blanco/Nulo</v>
      </c>
      <c r="G1803" s="2">
        <v>81</v>
      </c>
      <c r="H1803" s="3"/>
    </row>
    <row r="1804" spans="1:8" ht="12.75" hidden="1" x14ac:dyDescent="0.2">
      <c r="A1804" s="3" t="s">
        <v>160</v>
      </c>
      <c r="B1804" s="2">
        <v>63</v>
      </c>
      <c r="C1804" s="4" t="s">
        <v>88</v>
      </c>
      <c r="D1804" s="3" t="s">
        <v>2</v>
      </c>
      <c r="E1804" s="3" t="s">
        <v>138</v>
      </c>
      <c r="F1804" s="3" t="str">
        <f t="shared" si="0"/>
        <v>4 - Blanco/Nulo</v>
      </c>
      <c r="G1804" s="2">
        <v>11</v>
      </c>
      <c r="H1804" s="2">
        <f>SUM(G1800:G1804)</f>
        <v>2104</v>
      </c>
    </row>
    <row r="1805" spans="1:8" ht="12.75" hidden="1" x14ac:dyDescent="0.2">
      <c r="A1805" s="3" t="s">
        <v>160</v>
      </c>
      <c r="B1805" s="2">
        <v>63</v>
      </c>
      <c r="C1805" s="4" t="s">
        <v>88</v>
      </c>
      <c r="D1805" s="3" t="s">
        <v>161</v>
      </c>
      <c r="E1805" s="3" t="s">
        <v>136</v>
      </c>
      <c r="F1805" s="3" t="str">
        <f t="shared" si="0"/>
        <v>1 - PJ</v>
      </c>
      <c r="G1805" s="2">
        <v>981</v>
      </c>
      <c r="H1805" s="3"/>
    </row>
    <row r="1806" spans="1:8" ht="12.75" hidden="1" x14ac:dyDescent="0.2">
      <c r="A1806" s="3" t="s">
        <v>160</v>
      </c>
      <c r="B1806" s="2">
        <v>63</v>
      </c>
      <c r="C1806" s="4" t="s">
        <v>88</v>
      </c>
      <c r="D1806" s="3" t="s">
        <v>161</v>
      </c>
      <c r="E1806" s="3" t="s">
        <v>128</v>
      </c>
      <c r="F1806" s="3" t="str">
        <f t="shared" si="0"/>
        <v>2 - Frepam</v>
      </c>
      <c r="G1806" s="2">
        <v>858</v>
      </c>
      <c r="H1806" s="3"/>
    </row>
    <row r="1807" spans="1:8" ht="12.75" hidden="1" x14ac:dyDescent="0.2">
      <c r="A1807" s="3" t="s">
        <v>160</v>
      </c>
      <c r="B1807" s="2">
        <v>63</v>
      </c>
      <c r="C1807" s="4" t="s">
        <v>88</v>
      </c>
      <c r="D1807" s="3" t="s">
        <v>161</v>
      </c>
      <c r="E1807" s="3" t="s">
        <v>14</v>
      </c>
      <c r="F1807" s="3" t="str">
        <f t="shared" si="0"/>
        <v>4 - Blanco/Nulo</v>
      </c>
      <c r="G1807" s="2">
        <v>106</v>
      </c>
      <c r="H1807" s="3"/>
    </row>
    <row r="1808" spans="1:8" ht="12.75" hidden="1" x14ac:dyDescent="0.2">
      <c r="A1808" s="3" t="s">
        <v>160</v>
      </c>
      <c r="B1808" s="2">
        <v>63</v>
      </c>
      <c r="C1808" s="4" t="s">
        <v>88</v>
      </c>
      <c r="D1808" s="3" t="s">
        <v>161</v>
      </c>
      <c r="E1808" s="3" t="s">
        <v>139</v>
      </c>
      <c r="F1808" s="3" t="str">
        <f t="shared" si="0"/>
        <v>3 - Otros</v>
      </c>
      <c r="G1808" s="2">
        <v>75</v>
      </c>
      <c r="H1808" s="3"/>
    </row>
    <row r="1809" spans="1:8" ht="12.75" hidden="1" x14ac:dyDescent="0.2">
      <c r="A1809" s="3" t="s">
        <v>160</v>
      </c>
      <c r="B1809" s="2">
        <v>63</v>
      </c>
      <c r="C1809" s="4" t="s">
        <v>88</v>
      </c>
      <c r="D1809" s="3" t="s">
        <v>161</v>
      </c>
      <c r="E1809" s="3" t="s">
        <v>133</v>
      </c>
      <c r="F1809" s="3" t="str">
        <f t="shared" si="0"/>
        <v>3 - Otros</v>
      </c>
      <c r="G1809" s="2">
        <v>21</v>
      </c>
      <c r="H1809" s="3"/>
    </row>
    <row r="1810" spans="1:8" ht="12.75" hidden="1" x14ac:dyDescent="0.2">
      <c r="A1810" s="3" t="s">
        <v>160</v>
      </c>
      <c r="B1810" s="2">
        <v>63</v>
      </c>
      <c r="C1810" s="4" t="s">
        <v>88</v>
      </c>
      <c r="D1810" s="3" t="s">
        <v>161</v>
      </c>
      <c r="E1810" s="3" t="s">
        <v>138</v>
      </c>
      <c r="F1810" s="3" t="str">
        <f t="shared" si="0"/>
        <v>4 - Blanco/Nulo</v>
      </c>
      <c r="G1810" s="2">
        <v>18</v>
      </c>
      <c r="H1810" s="3"/>
    </row>
    <row r="1811" spans="1:8" ht="12.75" hidden="1" x14ac:dyDescent="0.2">
      <c r="A1811" s="3" t="s">
        <v>160</v>
      </c>
      <c r="B1811" s="2">
        <v>63</v>
      </c>
      <c r="C1811" s="4" t="s">
        <v>88</v>
      </c>
      <c r="D1811" s="3" t="s">
        <v>161</v>
      </c>
      <c r="E1811" s="3" t="s">
        <v>148</v>
      </c>
      <c r="F1811" s="3" t="str">
        <f t="shared" si="0"/>
        <v>3 - Otros</v>
      </c>
      <c r="G1811" s="2">
        <v>16</v>
      </c>
      <c r="H1811" s="3"/>
    </row>
    <row r="1812" spans="1:8" ht="12.75" hidden="1" x14ac:dyDescent="0.2">
      <c r="A1812" s="3" t="s">
        <v>160</v>
      </c>
      <c r="B1812" s="2">
        <v>63</v>
      </c>
      <c r="C1812" s="4" t="s">
        <v>88</v>
      </c>
      <c r="D1812" s="3" t="s">
        <v>161</v>
      </c>
      <c r="E1812" s="3" t="s">
        <v>149</v>
      </c>
      <c r="F1812" s="3" t="str">
        <f t="shared" si="0"/>
        <v>3 - Otros</v>
      </c>
      <c r="G1812" s="2">
        <v>15</v>
      </c>
      <c r="H1812" s="3"/>
    </row>
    <row r="1813" spans="1:8" ht="12.75" hidden="1" x14ac:dyDescent="0.2">
      <c r="A1813" s="3" t="s">
        <v>160</v>
      </c>
      <c r="B1813" s="2">
        <v>63</v>
      </c>
      <c r="C1813" s="4" t="s">
        <v>88</v>
      </c>
      <c r="D1813" s="3" t="s">
        <v>161</v>
      </c>
      <c r="E1813" s="3" t="s">
        <v>145</v>
      </c>
      <c r="F1813" s="3" t="str">
        <f t="shared" si="0"/>
        <v>3 - Otros</v>
      </c>
      <c r="G1813" s="2">
        <v>12</v>
      </c>
      <c r="H1813" s="3"/>
    </row>
    <row r="1814" spans="1:8" ht="12.75" hidden="1" x14ac:dyDescent="0.2">
      <c r="A1814" s="3" t="s">
        <v>160</v>
      </c>
      <c r="B1814" s="2">
        <v>63</v>
      </c>
      <c r="C1814" s="4" t="s">
        <v>88</v>
      </c>
      <c r="D1814" s="3" t="s">
        <v>161</v>
      </c>
      <c r="E1814" s="3" t="s">
        <v>135</v>
      </c>
      <c r="F1814" s="3" t="str">
        <f t="shared" si="0"/>
        <v>3 - Otros</v>
      </c>
      <c r="G1814" s="2">
        <v>2</v>
      </c>
      <c r="H1814" s="2">
        <f>SUM(G1805:G1814)</f>
        <v>2104</v>
      </c>
    </row>
    <row r="1815" spans="1:8" ht="12.75" hidden="1" x14ac:dyDescent="0.2">
      <c r="A1815" s="3" t="s">
        <v>160</v>
      </c>
      <c r="B1815" s="2">
        <v>63</v>
      </c>
      <c r="C1815" s="4" t="s">
        <v>88</v>
      </c>
      <c r="D1815" s="3" t="s">
        <v>162</v>
      </c>
      <c r="E1815" s="3" t="s">
        <v>136</v>
      </c>
      <c r="F1815" s="3" t="str">
        <f t="shared" si="0"/>
        <v>1 - PJ</v>
      </c>
      <c r="G1815" s="2">
        <v>954</v>
      </c>
      <c r="H1815" s="3"/>
    </row>
    <row r="1816" spans="1:8" ht="12.75" hidden="1" x14ac:dyDescent="0.2">
      <c r="A1816" s="3" t="s">
        <v>160</v>
      </c>
      <c r="B1816" s="2">
        <v>63</v>
      </c>
      <c r="C1816" s="4" t="s">
        <v>88</v>
      </c>
      <c r="D1816" s="3" t="s">
        <v>162</v>
      </c>
      <c r="E1816" s="3" t="s">
        <v>128</v>
      </c>
      <c r="F1816" s="3" t="str">
        <f t="shared" si="0"/>
        <v>2 - Frepam</v>
      </c>
      <c r="G1816" s="2">
        <v>931</v>
      </c>
      <c r="H1816" s="3"/>
    </row>
    <row r="1817" spans="1:8" ht="12.75" hidden="1" x14ac:dyDescent="0.2">
      <c r="A1817" s="3" t="s">
        <v>160</v>
      </c>
      <c r="B1817" s="2">
        <v>63</v>
      </c>
      <c r="C1817" s="4" t="s">
        <v>88</v>
      </c>
      <c r="D1817" s="3" t="s">
        <v>162</v>
      </c>
      <c r="E1817" s="3" t="s">
        <v>139</v>
      </c>
      <c r="F1817" s="3" t="str">
        <f t="shared" si="0"/>
        <v>3 - Otros</v>
      </c>
      <c r="G1817" s="2">
        <v>76</v>
      </c>
      <c r="H1817" s="3"/>
    </row>
    <row r="1818" spans="1:8" ht="12.75" hidden="1" x14ac:dyDescent="0.2">
      <c r="A1818" s="3" t="s">
        <v>160</v>
      </c>
      <c r="B1818" s="2">
        <v>63</v>
      </c>
      <c r="C1818" s="4" t="s">
        <v>88</v>
      </c>
      <c r="D1818" s="3" t="s">
        <v>162</v>
      </c>
      <c r="E1818" s="3" t="s">
        <v>14</v>
      </c>
      <c r="F1818" s="3" t="str">
        <f t="shared" si="0"/>
        <v>4 - Blanco/Nulo</v>
      </c>
      <c r="G1818" s="2">
        <v>53</v>
      </c>
      <c r="H1818" s="3"/>
    </row>
    <row r="1819" spans="1:8" ht="12.75" hidden="1" x14ac:dyDescent="0.2">
      <c r="A1819" s="3" t="s">
        <v>160</v>
      </c>
      <c r="B1819" s="2">
        <v>63</v>
      </c>
      <c r="C1819" s="4" t="s">
        <v>88</v>
      </c>
      <c r="D1819" s="3" t="s">
        <v>162</v>
      </c>
      <c r="E1819" s="3" t="s">
        <v>133</v>
      </c>
      <c r="F1819" s="3" t="str">
        <f t="shared" si="0"/>
        <v>3 - Otros</v>
      </c>
      <c r="G1819" s="2">
        <v>28</v>
      </c>
      <c r="H1819" s="3"/>
    </row>
    <row r="1820" spans="1:8" ht="12.75" hidden="1" x14ac:dyDescent="0.2">
      <c r="A1820" s="3" t="s">
        <v>160</v>
      </c>
      <c r="B1820" s="2">
        <v>63</v>
      </c>
      <c r="C1820" s="4" t="s">
        <v>88</v>
      </c>
      <c r="D1820" s="3" t="s">
        <v>162</v>
      </c>
      <c r="E1820" s="3" t="s">
        <v>138</v>
      </c>
      <c r="F1820" s="3" t="str">
        <f t="shared" si="0"/>
        <v>4 - Blanco/Nulo</v>
      </c>
      <c r="G1820" s="2">
        <v>20</v>
      </c>
      <c r="H1820" s="3"/>
    </row>
    <row r="1821" spans="1:8" ht="12.75" hidden="1" x14ac:dyDescent="0.2">
      <c r="A1821" s="3" t="s">
        <v>160</v>
      </c>
      <c r="B1821" s="2">
        <v>63</v>
      </c>
      <c r="C1821" s="4" t="s">
        <v>88</v>
      </c>
      <c r="D1821" s="3" t="s">
        <v>162</v>
      </c>
      <c r="E1821" s="3" t="s">
        <v>148</v>
      </c>
      <c r="F1821" s="3" t="str">
        <f t="shared" si="0"/>
        <v>3 - Otros</v>
      </c>
      <c r="G1821" s="2">
        <v>17</v>
      </c>
      <c r="H1821" s="3"/>
    </row>
    <row r="1822" spans="1:8" ht="12.75" hidden="1" x14ac:dyDescent="0.2">
      <c r="A1822" s="3" t="s">
        <v>160</v>
      </c>
      <c r="B1822" s="2">
        <v>63</v>
      </c>
      <c r="C1822" s="4" t="s">
        <v>88</v>
      </c>
      <c r="D1822" s="3" t="s">
        <v>162</v>
      </c>
      <c r="E1822" s="3" t="s">
        <v>149</v>
      </c>
      <c r="F1822" s="3" t="str">
        <f t="shared" si="0"/>
        <v>3 - Otros</v>
      </c>
      <c r="G1822" s="2">
        <v>12</v>
      </c>
      <c r="H1822" s="3"/>
    </row>
    <row r="1823" spans="1:8" ht="12.75" hidden="1" x14ac:dyDescent="0.2">
      <c r="A1823" s="3" t="s">
        <v>160</v>
      </c>
      <c r="B1823" s="2">
        <v>63</v>
      </c>
      <c r="C1823" s="4" t="s">
        <v>88</v>
      </c>
      <c r="D1823" s="3" t="s">
        <v>162</v>
      </c>
      <c r="E1823" s="3" t="s">
        <v>145</v>
      </c>
      <c r="F1823" s="3" t="str">
        <f t="shared" si="0"/>
        <v>3 - Otros</v>
      </c>
      <c r="G1823" s="2">
        <v>11</v>
      </c>
      <c r="H1823" s="3"/>
    </row>
    <row r="1824" spans="1:8" ht="12.75" hidden="1" x14ac:dyDescent="0.2">
      <c r="A1824" s="3" t="s">
        <v>160</v>
      </c>
      <c r="B1824" s="2">
        <v>63</v>
      </c>
      <c r="C1824" s="4" t="s">
        <v>88</v>
      </c>
      <c r="D1824" s="3" t="s">
        <v>162</v>
      </c>
      <c r="E1824" s="3" t="s">
        <v>135</v>
      </c>
      <c r="F1824" s="3" t="str">
        <f t="shared" si="0"/>
        <v>3 - Otros</v>
      </c>
      <c r="G1824" s="2">
        <v>2</v>
      </c>
      <c r="H1824" s="2">
        <f>SUM(G1815:G1824)</f>
        <v>2104</v>
      </c>
    </row>
    <row r="1825" spans="1:8" ht="12.75" hidden="1" x14ac:dyDescent="0.2">
      <c r="A1825" s="3" t="s">
        <v>160</v>
      </c>
      <c r="B1825" s="2">
        <v>64</v>
      </c>
      <c r="C1825" s="4" t="s">
        <v>89</v>
      </c>
      <c r="D1825" s="3" t="s">
        <v>2</v>
      </c>
      <c r="E1825" s="3" t="s">
        <v>136</v>
      </c>
      <c r="F1825" s="3" t="str">
        <f t="shared" si="0"/>
        <v>1 - PJ</v>
      </c>
      <c r="G1825" s="2">
        <v>397</v>
      </c>
      <c r="H1825" s="3"/>
    </row>
    <row r="1826" spans="1:8" ht="12.75" hidden="1" x14ac:dyDescent="0.2">
      <c r="A1826" s="3" t="s">
        <v>160</v>
      </c>
      <c r="B1826" s="2">
        <v>64</v>
      </c>
      <c r="C1826" s="4" t="s">
        <v>89</v>
      </c>
      <c r="D1826" s="3" t="s">
        <v>2</v>
      </c>
      <c r="E1826" s="3" t="s">
        <v>128</v>
      </c>
      <c r="F1826" s="3" t="str">
        <f t="shared" si="0"/>
        <v>2 - Frepam</v>
      </c>
      <c r="G1826" s="2">
        <v>176</v>
      </c>
      <c r="H1826" s="3"/>
    </row>
    <row r="1827" spans="1:8" ht="12.75" hidden="1" x14ac:dyDescent="0.2">
      <c r="A1827" s="3" t="s">
        <v>160</v>
      </c>
      <c r="B1827" s="2">
        <v>64</v>
      </c>
      <c r="C1827" s="4" t="s">
        <v>89</v>
      </c>
      <c r="D1827" s="3" t="s">
        <v>2</v>
      </c>
      <c r="E1827" s="3" t="s">
        <v>14</v>
      </c>
      <c r="F1827" s="3" t="str">
        <f t="shared" si="0"/>
        <v>4 - Blanco/Nulo</v>
      </c>
      <c r="G1827" s="2">
        <v>5</v>
      </c>
      <c r="H1827" s="3"/>
    </row>
    <row r="1828" spans="1:8" ht="12.75" hidden="1" x14ac:dyDescent="0.2">
      <c r="A1828" s="3" t="s">
        <v>160</v>
      </c>
      <c r="B1828" s="2">
        <v>64</v>
      </c>
      <c r="C1828" s="4" t="s">
        <v>89</v>
      </c>
      <c r="D1828" s="3" t="s">
        <v>2</v>
      </c>
      <c r="E1828" s="3" t="s">
        <v>138</v>
      </c>
      <c r="F1828" s="3" t="str">
        <f t="shared" si="0"/>
        <v>4 - Blanco/Nulo</v>
      </c>
      <c r="G1828" s="2">
        <v>1</v>
      </c>
      <c r="H1828" s="2">
        <f>SUM(G1825:G1828)</f>
        <v>579</v>
      </c>
    </row>
    <row r="1829" spans="1:8" ht="12.75" hidden="1" x14ac:dyDescent="0.2">
      <c r="A1829" s="3" t="s">
        <v>160</v>
      </c>
      <c r="B1829" s="2">
        <v>64</v>
      </c>
      <c r="C1829" s="4" t="s">
        <v>89</v>
      </c>
      <c r="D1829" s="3" t="s">
        <v>161</v>
      </c>
      <c r="E1829" s="3" t="s">
        <v>136</v>
      </c>
      <c r="F1829" s="3" t="str">
        <f t="shared" si="0"/>
        <v>1 - PJ</v>
      </c>
      <c r="G1829" s="2">
        <v>381</v>
      </c>
      <c r="H1829" s="3"/>
    </row>
    <row r="1830" spans="1:8" ht="12.75" hidden="1" x14ac:dyDescent="0.2">
      <c r="A1830" s="3" t="s">
        <v>160</v>
      </c>
      <c r="B1830" s="2">
        <v>64</v>
      </c>
      <c r="C1830" s="4" t="s">
        <v>89</v>
      </c>
      <c r="D1830" s="3" t="s">
        <v>161</v>
      </c>
      <c r="E1830" s="3" t="s">
        <v>128</v>
      </c>
      <c r="F1830" s="3" t="str">
        <f t="shared" si="0"/>
        <v>2 - Frepam</v>
      </c>
      <c r="G1830" s="2">
        <v>155</v>
      </c>
      <c r="H1830" s="3"/>
    </row>
    <row r="1831" spans="1:8" ht="12.75" hidden="1" x14ac:dyDescent="0.2">
      <c r="A1831" s="3" t="s">
        <v>160</v>
      </c>
      <c r="B1831" s="2">
        <v>64</v>
      </c>
      <c r="C1831" s="4" t="s">
        <v>89</v>
      </c>
      <c r="D1831" s="3" t="s">
        <v>161</v>
      </c>
      <c r="E1831" s="3" t="s">
        <v>14</v>
      </c>
      <c r="F1831" s="3" t="str">
        <f t="shared" si="0"/>
        <v>4 - Blanco/Nulo</v>
      </c>
      <c r="G1831" s="2">
        <v>21</v>
      </c>
      <c r="H1831" s="3"/>
    </row>
    <row r="1832" spans="1:8" ht="12.75" hidden="1" x14ac:dyDescent="0.2">
      <c r="A1832" s="3" t="s">
        <v>160</v>
      </c>
      <c r="B1832" s="2">
        <v>64</v>
      </c>
      <c r="C1832" s="4" t="s">
        <v>89</v>
      </c>
      <c r="D1832" s="3" t="s">
        <v>161</v>
      </c>
      <c r="E1832" s="3" t="s">
        <v>135</v>
      </c>
      <c r="F1832" s="3" t="str">
        <f t="shared" si="0"/>
        <v>3 - Otros</v>
      </c>
      <c r="G1832" s="2">
        <v>7</v>
      </c>
      <c r="H1832" s="3"/>
    </row>
    <row r="1833" spans="1:8" ht="12.75" hidden="1" x14ac:dyDescent="0.2">
      <c r="A1833" s="3" t="s">
        <v>160</v>
      </c>
      <c r="B1833" s="2">
        <v>64</v>
      </c>
      <c r="C1833" s="4" t="s">
        <v>89</v>
      </c>
      <c r="D1833" s="3" t="s">
        <v>161</v>
      </c>
      <c r="E1833" s="3" t="s">
        <v>133</v>
      </c>
      <c r="F1833" s="3" t="str">
        <f t="shared" si="0"/>
        <v>3 - Otros</v>
      </c>
      <c r="G1833" s="2">
        <v>6</v>
      </c>
      <c r="H1833" s="3"/>
    </row>
    <row r="1834" spans="1:8" ht="12.75" hidden="1" x14ac:dyDescent="0.2">
      <c r="A1834" s="3" t="s">
        <v>160</v>
      </c>
      <c r="B1834" s="2">
        <v>64</v>
      </c>
      <c r="C1834" s="4" t="s">
        <v>89</v>
      </c>
      <c r="D1834" s="3" t="s">
        <v>161</v>
      </c>
      <c r="E1834" s="3" t="s">
        <v>148</v>
      </c>
      <c r="F1834" s="3" t="str">
        <f t="shared" si="0"/>
        <v>3 - Otros</v>
      </c>
      <c r="G1834" s="2">
        <v>3</v>
      </c>
      <c r="H1834" s="3"/>
    </row>
    <row r="1835" spans="1:8" ht="12.75" hidden="1" x14ac:dyDescent="0.2">
      <c r="A1835" s="3" t="s">
        <v>160</v>
      </c>
      <c r="B1835" s="2">
        <v>64</v>
      </c>
      <c r="C1835" s="4" t="s">
        <v>89</v>
      </c>
      <c r="D1835" s="3" t="s">
        <v>161</v>
      </c>
      <c r="E1835" s="3" t="s">
        <v>138</v>
      </c>
      <c r="F1835" s="3" t="str">
        <f t="shared" si="0"/>
        <v>4 - Blanco/Nulo</v>
      </c>
      <c r="G1835" s="2">
        <v>3</v>
      </c>
      <c r="H1835" s="3"/>
    </row>
    <row r="1836" spans="1:8" ht="12.75" hidden="1" x14ac:dyDescent="0.2">
      <c r="A1836" s="3" t="s">
        <v>160</v>
      </c>
      <c r="B1836" s="2">
        <v>64</v>
      </c>
      <c r="C1836" s="4" t="s">
        <v>89</v>
      </c>
      <c r="D1836" s="3" t="s">
        <v>161</v>
      </c>
      <c r="E1836" s="3" t="s">
        <v>139</v>
      </c>
      <c r="F1836" s="3" t="str">
        <f t="shared" si="0"/>
        <v>3 - Otros</v>
      </c>
      <c r="G1836" s="2">
        <v>2</v>
      </c>
      <c r="H1836" s="3"/>
    </row>
    <row r="1837" spans="1:8" ht="12.75" hidden="1" x14ac:dyDescent="0.2">
      <c r="A1837" s="3" t="s">
        <v>160</v>
      </c>
      <c r="B1837" s="2">
        <v>64</v>
      </c>
      <c r="C1837" s="4" t="s">
        <v>89</v>
      </c>
      <c r="D1837" s="3" t="s">
        <v>161</v>
      </c>
      <c r="E1837" s="3" t="s">
        <v>145</v>
      </c>
      <c r="F1837" s="3" t="str">
        <f t="shared" si="0"/>
        <v>3 - Otros</v>
      </c>
      <c r="G1837" s="2">
        <v>1</v>
      </c>
      <c r="H1837" s="2">
        <f>SUM(G1829:G1837)</f>
        <v>579</v>
      </c>
    </row>
    <row r="1838" spans="1:8" ht="12.75" hidden="1" x14ac:dyDescent="0.2">
      <c r="A1838" s="3" t="s">
        <v>160</v>
      </c>
      <c r="B1838" s="2">
        <v>64</v>
      </c>
      <c r="C1838" s="4" t="s">
        <v>89</v>
      </c>
      <c r="D1838" s="3" t="s">
        <v>162</v>
      </c>
      <c r="E1838" s="3" t="s">
        <v>136</v>
      </c>
      <c r="F1838" s="3" t="str">
        <f t="shared" si="0"/>
        <v>1 - PJ</v>
      </c>
      <c r="G1838" s="2">
        <v>382</v>
      </c>
      <c r="H1838" s="3"/>
    </row>
    <row r="1839" spans="1:8" ht="12.75" hidden="1" x14ac:dyDescent="0.2">
      <c r="A1839" s="3" t="s">
        <v>160</v>
      </c>
      <c r="B1839" s="2">
        <v>64</v>
      </c>
      <c r="C1839" s="4" t="s">
        <v>89</v>
      </c>
      <c r="D1839" s="3" t="s">
        <v>162</v>
      </c>
      <c r="E1839" s="3" t="s">
        <v>128</v>
      </c>
      <c r="F1839" s="3" t="str">
        <f t="shared" si="0"/>
        <v>2 - Frepam</v>
      </c>
      <c r="G1839" s="2">
        <v>165</v>
      </c>
      <c r="H1839" s="3"/>
    </row>
    <row r="1840" spans="1:8" ht="12.75" hidden="1" x14ac:dyDescent="0.2">
      <c r="A1840" s="3" t="s">
        <v>160</v>
      </c>
      <c r="B1840" s="2">
        <v>64</v>
      </c>
      <c r="C1840" s="4" t="s">
        <v>89</v>
      </c>
      <c r="D1840" s="3" t="s">
        <v>162</v>
      </c>
      <c r="E1840" s="3" t="s">
        <v>14</v>
      </c>
      <c r="F1840" s="3" t="str">
        <f t="shared" si="0"/>
        <v>4 - Blanco/Nulo</v>
      </c>
      <c r="G1840" s="2">
        <v>14</v>
      </c>
      <c r="H1840" s="3"/>
    </row>
    <row r="1841" spans="1:8" ht="12.75" hidden="1" x14ac:dyDescent="0.2">
      <c r="A1841" s="3" t="s">
        <v>160</v>
      </c>
      <c r="B1841" s="2">
        <v>64</v>
      </c>
      <c r="C1841" s="4" t="s">
        <v>89</v>
      </c>
      <c r="D1841" s="3" t="s">
        <v>162</v>
      </c>
      <c r="E1841" s="3" t="s">
        <v>133</v>
      </c>
      <c r="F1841" s="3" t="str">
        <f t="shared" si="0"/>
        <v>3 - Otros</v>
      </c>
      <c r="G1841" s="2">
        <v>9</v>
      </c>
      <c r="H1841" s="3"/>
    </row>
    <row r="1842" spans="1:8" ht="12.75" hidden="1" x14ac:dyDescent="0.2">
      <c r="A1842" s="3" t="s">
        <v>160</v>
      </c>
      <c r="B1842" s="2">
        <v>64</v>
      </c>
      <c r="C1842" s="4" t="s">
        <v>89</v>
      </c>
      <c r="D1842" s="3" t="s">
        <v>162</v>
      </c>
      <c r="E1842" s="3" t="s">
        <v>148</v>
      </c>
      <c r="F1842" s="3" t="str">
        <f t="shared" si="0"/>
        <v>3 - Otros</v>
      </c>
      <c r="G1842" s="2">
        <v>3</v>
      </c>
      <c r="H1842" s="3"/>
    </row>
    <row r="1843" spans="1:8" ht="12.75" hidden="1" x14ac:dyDescent="0.2">
      <c r="A1843" s="3" t="s">
        <v>160</v>
      </c>
      <c r="B1843" s="2">
        <v>64</v>
      </c>
      <c r="C1843" s="4" t="s">
        <v>89</v>
      </c>
      <c r="D1843" s="3" t="s">
        <v>162</v>
      </c>
      <c r="E1843" s="3" t="s">
        <v>139</v>
      </c>
      <c r="F1843" s="3" t="str">
        <f t="shared" si="0"/>
        <v>3 - Otros</v>
      </c>
      <c r="G1843" s="2">
        <v>2</v>
      </c>
      <c r="H1843" s="3"/>
    </row>
    <row r="1844" spans="1:8" ht="12.75" hidden="1" x14ac:dyDescent="0.2">
      <c r="A1844" s="3" t="s">
        <v>160</v>
      </c>
      <c r="B1844" s="2">
        <v>64</v>
      </c>
      <c r="C1844" s="4" t="s">
        <v>89</v>
      </c>
      <c r="D1844" s="3" t="s">
        <v>162</v>
      </c>
      <c r="E1844" s="3" t="s">
        <v>138</v>
      </c>
      <c r="F1844" s="3" t="str">
        <f t="shared" si="0"/>
        <v>4 - Blanco/Nulo</v>
      </c>
      <c r="G1844" s="2">
        <v>2</v>
      </c>
      <c r="H1844" s="3"/>
    </row>
    <row r="1845" spans="1:8" ht="12.75" hidden="1" x14ac:dyDescent="0.2">
      <c r="A1845" s="3" t="s">
        <v>160</v>
      </c>
      <c r="B1845" s="2">
        <v>64</v>
      </c>
      <c r="C1845" s="4" t="s">
        <v>89</v>
      </c>
      <c r="D1845" s="3" t="s">
        <v>162</v>
      </c>
      <c r="E1845" s="3" t="s">
        <v>135</v>
      </c>
      <c r="F1845" s="3" t="str">
        <f t="shared" si="0"/>
        <v>3 - Otros</v>
      </c>
      <c r="G1845" s="2">
        <v>1</v>
      </c>
      <c r="H1845" s="3"/>
    </row>
    <row r="1846" spans="1:8" ht="12.75" hidden="1" x14ac:dyDescent="0.2">
      <c r="A1846" s="3" t="s">
        <v>160</v>
      </c>
      <c r="B1846" s="2">
        <v>64</v>
      </c>
      <c r="C1846" s="4" t="s">
        <v>89</v>
      </c>
      <c r="D1846" s="3" t="s">
        <v>162</v>
      </c>
      <c r="E1846" s="3" t="s">
        <v>145</v>
      </c>
      <c r="F1846" s="3" t="str">
        <f t="shared" si="0"/>
        <v>3 - Otros</v>
      </c>
      <c r="G1846" s="2">
        <v>1</v>
      </c>
      <c r="H1846" s="2">
        <f>SUM(G1838:G1846)</f>
        <v>579</v>
      </c>
    </row>
    <row r="1847" spans="1:8" ht="12.75" hidden="1" x14ac:dyDescent="0.2">
      <c r="A1847" s="3" t="s">
        <v>160</v>
      </c>
      <c r="B1847" s="2">
        <v>65</v>
      </c>
      <c r="C1847" s="4" t="s">
        <v>90</v>
      </c>
      <c r="D1847" s="3" t="s">
        <v>2</v>
      </c>
      <c r="E1847" s="3" t="s">
        <v>3</v>
      </c>
      <c r="F1847" s="3" t="str">
        <f t="shared" si="0"/>
        <v>1 - PJ</v>
      </c>
      <c r="G1847" s="2">
        <v>1377</v>
      </c>
      <c r="H1847" s="3"/>
    </row>
    <row r="1848" spans="1:8" ht="12.75" hidden="1" x14ac:dyDescent="0.2">
      <c r="A1848" s="3" t="s">
        <v>160</v>
      </c>
      <c r="B1848" s="2">
        <v>65</v>
      </c>
      <c r="C1848" s="4" t="s">
        <v>90</v>
      </c>
      <c r="D1848" s="3" t="s">
        <v>2</v>
      </c>
      <c r="E1848" s="3" t="s">
        <v>128</v>
      </c>
      <c r="F1848" s="3" t="str">
        <f t="shared" si="0"/>
        <v>2 - Frepam</v>
      </c>
      <c r="G1848" s="2">
        <v>1154</v>
      </c>
      <c r="H1848" s="3"/>
    </row>
    <row r="1849" spans="1:8" ht="12.75" hidden="1" x14ac:dyDescent="0.2">
      <c r="A1849" s="3" t="s">
        <v>160</v>
      </c>
      <c r="B1849" s="2">
        <v>65</v>
      </c>
      <c r="C1849" s="4" t="s">
        <v>90</v>
      </c>
      <c r="D1849" s="3" t="s">
        <v>2</v>
      </c>
      <c r="E1849" s="3" t="s">
        <v>14</v>
      </c>
      <c r="F1849" s="3" t="str">
        <f t="shared" si="0"/>
        <v>4 - Blanco/Nulo</v>
      </c>
      <c r="G1849" s="2">
        <v>88</v>
      </c>
      <c r="H1849" s="2">
        <f>SUM(G1847:G1851)</f>
        <v>2717</v>
      </c>
    </row>
    <row r="1850" spans="1:8" ht="12.75" hidden="1" x14ac:dyDescent="0.2">
      <c r="A1850" s="3" t="s">
        <v>160</v>
      </c>
      <c r="B1850" s="2">
        <v>65</v>
      </c>
      <c r="C1850" s="4" t="s">
        <v>90</v>
      </c>
      <c r="D1850" s="3" t="s">
        <v>2</v>
      </c>
      <c r="E1850" s="3" t="s">
        <v>139</v>
      </c>
      <c r="F1850" s="3" t="str">
        <f t="shared" si="0"/>
        <v>3 - Otros</v>
      </c>
      <c r="G1850" s="2">
        <v>78</v>
      </c>
      <c r="H1850" s="3"/>
    </row>
    <row r="1851" spans="1:8" ht="12.75" hidden="1" x14ac:dyDescent="0.2">
      <c r="A1851" s="3" t="s">
        <v>160</v>
      </c>
      <c r="B1851" s="2">
        <v>65</v>
      </c>
      <c r="C1851" s="4" t="s">
        <v>90</v>
      </c>
      <c r="D1851" s="3" t="s">
        <v>2</v>
      </c>
      <c r="E1851" s="3" t="s">
        <v>138</v>
      </c>
      <c r="F1851" s="3" t="str">
        <f t="shared" si="0"/>
        <v>4 - Blanco/Nulo</v>
      </c>
      <c r="G1851" s="2">
        <v>20</v>
      </c>
      <c r="H1851" s="3"/>
    </row>
    <row r="1852" spans="1:8" ht="12.75" hidden="1" x14ac:dyDescent="0.2">
      <c r="A1852" s="3" t="s">
        <v>160</v>
      </c>
      <c r="B1852" s="2">
        <v>65</v>
      </c>
      <c r="C1852" s="4" t="s">
        <v>90</v>
      </c>
      <c r="D1852" s="3" t="s">
        <v>162</v>
      </c>
      <c r="E1852" s="3" t="s">
        <v>3</v>
      </c>
      <c r="F1852" s="3" t="str">
        <f t="shared" si="0"/>
        <v>1 - PJ</v>
      </c>
      <c r="G1852" s="2">
        <v>1289</v>
      </c>
      <c r="H1852" s="3"/>
    </row>
    <row r="1853" spans="1:8" ht="12.75" hidden="1" x14ac:dyDescent="0.2">
      <c r="A1853" s="3" t="s">
        <v>160</v>
      </c>
      <c r="B1853" s="2">
        <v>65</v>
      </c>
      <c r="C1853" s="4" t="s">
        <v>90</v>
      </c>
      <c r="D1853" s="3" t="s">
        <v>162</v>
      </c>
      <c r="E1853" s="3" t="s">
        <v>128</v>
      </c>
      <c r="F1853" s="3" t="str">
        <f t="shared" si="0"/>
        <v>2 - Frepam</v>
      </c>
      <c r="G1853" s="2">
        <v>1088</v>
      </c>
      <c r="H1853" s="3"/>
    </row>
    <row r="1854" spans="1:8" ht="12.75" hidden="1" x14ac:dyDescent="0.2">
      <c r="A1854" s="3" t="s">
        <v>160</v>
      </c>
      <c r="B1854" s="2">
        <v>65</v>
      </c>
      <c r="C1854" s="4" t="s">
        <v>90</v>
      </c>
      <c r="D1854" s="3" t="s">
        <v>162</v>
      </c>
      <c r="E1854" s="3" t="s">
        <v>14</v>
      </c>
      <c r="F1854" s="3" t="str">
        <f t="shared" si="0"/>
        <v>4 - Blanco/Nulo</v>
      </c>
      <c r="G1854" s="2">
        <v>89</v>
      </c>
      <c r="H1854" s="3"/>
    </row>
    <row r="1855" spans="1:8" ht="12.75" hidden="1" x14ac:dyDescent="0.2">
      <c r="A1855" s="3" t="s">
        <v>160</v>
      </c>
      <c r="B1855" s="2">
        <v>65</v>
      </c>
      <c r="C1855" s="4" t="s">
        <v>90</v>
      </c>
      <c r="D1855" s="3" t="s">
        <v>162</v>
      </c>
      <c r="E1855" s="3" t="s">
        <v>133</v>
      </c>
      <c r="F1855" s="3" t="str">
        <f t="shared" si="0"/>
        <v>3 - Otros</v>
      </c>
      <c r="G1855" s="2">
        <v>76</v>
      </c>
      <c r="H1855" s="3"/>
    </row>
    <row r="1856" spans="1:8" ht="12.75" hidden="1" x14ac:dyDescent="0.2">
      <c r="A1856" s="3" t="s">
        <v>160</v>
      </c>
      <c r="B1856" s="2">
        <v>65</v>
      </c>
      <c r="C1856" s="4" t="s">
        <v>90</v>
      </c>
      <c r="D1856" s="3" t="s">
        <v>162</v>
      </c>
      <c r="E1856" s="3" t="s">
        <v>139</v>
      </c>
      <c r="F1856" s="3" t="str">
        <f t="shared" si="0"/>
        <v>3 - Otros</v>
      </c>
      <c r="G1856" s="2">
        <v>69</v>
      </c>
      <c r="H1856" s="3"/>
    </row>
    <row r="1857" spans="1:8" ht="12.75" hidden="1" x14ac:dyDescent="0.2">
      <c r="A1857" s="3" t="s">
        <v>160</v>
      </c>
      <c r="B1857" s="2">
        <v>65</v>
      </c>
      <c r="C1857" s="4" t="s">
        <v>90</v>
      </c>
      <c r="D1857" s="3" t="s">
        <v>162</v>
      </c>
      <c r="E1857" s="3" t="s">
        <v>138</v>
      </c>
      <c r="F1857" s="3" t="str">
        <f t="shared" si="0"/>
        <v>4 - Blanco/Nulo</v>
      </c>
      <c r="G1857" s="2">
        <v>41</v>
      </c>
      <c r="H1857" s="2">
        <f>SUM(G1852:G1861)</f>
        <v>2717</v>
      </c>
    </row>
    <row r="1858" spans="1:8" ht="12.75" hidden="1" x14ac:dyDescent="0.2">
      <c r="A1858" s="3" t="s">
        <v>160</v>
      </c>
      <c r="B1858" s="2">
        <v>65</v>
      </c>
      <c r="C1858" s="4" t="s">
        <v>90</v>
      </c>
      <c r="D1858" s="3" t="s">
        <v>162</v>
      </c>
      <c r="E1858" s="3" t="s">
        <v>149</v>
      </c>
      <c r="F1858" s="3" t="str">
        <f t="shared" si="0"/>
        <v>3 - Otros</v>
      </c>
      <c r="G1858" s="2">
        <v>35</v>
      </c>
      <c r="H1858" s="3"/>
    </row>
    <row r="1859" spans="1:8" ht="12.75" hidden="1" x14ac:dyDescent="0.2">
      <c r="A1859" s="3" t="s">
        <v>160</v>
      </c>
      <c r="B1859" s="2">
        <v>65</v>
      </c>
      <c r="C1859" s="4" t="s">
        <v>90</v>
      </c>
      <c r="D1859" s="3" t="s">
        <v>162</v>
      </c>
      <c r="E1859" s="3" t="s">
        <v>148</v>
      </c>
      <c r="F1859" s="3" t="str">
        <f t="shared" si="0"/>
        <v>3 - Otros</v>
      </c>
      <c r="G1859" s="2">
        <v>10</v>
      </c>
      <c r="H1859" s="3"/>
    </row>
    <row r="1860" spans="1:8" ht="12.75" hidden="1" x14ac:dyDescent="0.2">
      <c r="A1860" s="3" t="s">
        <v>160</v>
      </c>
      <c r="B1860" s="2">
        <v>65</v>
      </c>
      <c r="C1860" s="4" t="s">
        <v>90</v>
      </c>
      <c r="D1860" s="3" t="s">
        <v>162</v>
      </c>
      <c r="E1860" s="3" t="s">
        <v>145</v>
      </c>
      <c r="F1860" s="3" t="str">
        <f t="shared" si="0"/>
        <v>3 - Otros</v>
      </c>
      <c r="G1860" s="2">
        <v>10</v>
      </c>
      <c r="H1860" s="3"/>
    </row>
    <row r="1861" spans="1:8" ht="12.75" hidden="1" x14ac:dyDescent="0.2">
      <c r="A1861" s="3" t="s">
        <v>160</v>
      </c>
      <c r="B1861" s="2">
        <v>65</v>
      </c>
      <c r="C1861" s="4" t="s">
        <v>90</v>
      </c>
      <c r="D1861" s="3" t="s">
        <v>162</v>
      </c>
      <c r="E1861" s="3" t="s">
        <v>135</v>
      </c>
      <c r="F1861" s="3" t="str">
        <f t="shared" si="0"/>
        <v>3 - Otros</v>
      </c>
      <c r="G1861" s="2">
        <v>10</v>
      </c>
      <c r="H1861" s="3"/>
    </row>
    <row r="1862" spans="1:8" ht="12.75" hidden="1" x14ac:dyDescent="0.2">
      <c r="A1862" s="3" t="s">
        <v>160</v>
      </c>
      <c r="B1862" s="2">
        <v>65</v>
      </c>
      <c r="C1862" s="4" t="s">
        <v>90</v>
      </c>
      <c r="D1862" s="3" t="s">
        <v>161</v>
      </c>
      <c r="E1862" s="3" t="s">
        <v>3</v>
      </c>
      <c r="F1862" s="3" t="str">
        <f t="shared" si="0"/>
        <v>1 - PJ</v>
      </c>
      <c r="G1862" s="2">
        <v>1268</v>
      </c>
      <c r="H1862" s="3"/>
    </row>
    <row r="1863" spans="1:8" ht="12.75" hidden="1" x14ac:dyDescent="0.2">
      <c r="A1863" s="3" t="s">
        <v>160</v>
      </c>
      <c r="B1863" s="2">
        <v>65</v>
      </c>
      <c r="C1863" s="4" t="s">
        <v>90</v>
      </c>
      <c r="D1863" s="3" t="s">
        <v>161</v>
      </c>
      <c r="E1863" s="3" t="s">
        <v>128</v>
      </c>
      <c r="F1863" s="3" t="str">
        <f t="shared" si="0"/>
        <v>2 - Frepam</v>
      </c>
      <c r="G1863" s="2">
        <v>1123</v>
      </c>
      <c r="H1863" s="3"/>
    </row>
    <row r="1864" spans="1:8" ht="12.75" hidden="1" x14ac:dyDescent="0.2">
      <c r="A1864" s="3" t="s">
        <v>160</v>
      </c>
      <c r="B1864" s="2">
        <v>65</v>
      </c>
      <c r="C1864" s="4" t="s">
        <v>90</v>
      </c>
      <c r="D1864" s="3" t="s">
        <v>161</v>
      </c>
      <c r="E1864" s="3" t="s">
        <v>14</v>
      </c>
      <c r="F1864" s="3" t="str">
        <f t="shared" si="0"/>
        <v>4 - Blanco/Nulo</v>
      </c>
      <c r="G1864" s="2">
        <v>113</v>
      </c>
      <c r="H1864" s="3"/>
    </row>
    <row r="1865" spans="1:8" ht="12.75" hidden="1" x14ac:dyDescent="0.2">
      <c r="A1865" s="3" t="s">
        <v>160</v>
      </c>
      <c r="B1865" s="2">
        <v>65</v>
      </c>
      <c r="C1865" s="4" t="s">
        <v>90</v>
      </c>
      <c r="D1865" s="3" t="s">
        <v>161</v>
      </c>
      <c r="E1865" s="3" t="s">
        <v>139</v>
      </c>
      <c r="F1865" s="3" t="str">
        <f t="shared" si="0"/>
        <v>3 - Otros</v>
      </c>
      <c r="G1865" s="2">
        <v>62</v>
      </c>
      <c r="H1865" s="3"/>
    </row>
    <row r="1866" spans="1:8" ht="12.75" hidden="1" x14ac:dyDescent="0.2">
      <c r="A1866" s="3" t="s">
        <v>160</v>
      </c>
      <c r="B1866" s="2">
        <v>65</v>
      </c>
      <c r="C1866" s="4" t="s">
        <v>90</v>
      </c>
      <c r="D1866" s="3" t="s">
        <v>161</v>
      </c>
      <c r="E1866" s="3" t="s">
        <v>133</v>
      </c>
      <c r="F1866" s="3" t="str">
        <f t="shared" si="0"/>
        <v>3 - Otros</v>
      </c>
      <c r="G1866" s="2">
        <v>47</v>
      </c>
      <c r="H1866" s="3"/>
    </row>
    <row r="1867" spans="1:8" ht="12.75" hidden="1" x14ac:dyDescent="0.2">
      <c r="A1867" s="3" t="s">
        <v>160</v>
      </c>
      <c r="B1867" s="2">
        <v>65</v>
      </c>
      <c r="C1867" s="4" t="s">
        <v>90</v>
      </c>
      <c r="D1867" s="3" t="s">
        <v>161</v>
      </c>
      <c r="E1867" s="3" t="s">
        <v>138</v>
      </c>
      <c r="F1867" s="3" t="str">
        <f t="shared" si="0"/>
        <v>4 - Blanco/Nulo</v>
      </c>
      <c r="G1867" s="2">
        <v>45</v>
      </c>
      <c r="H1867" s="2">
        <f>SUM(G1862:G1871)</f>
        <v>2717</v>
      </c>
    </row>
    <row r="1868" spans="1:8" ht="12.75" hidden="1" x14ac:dyDescent="0.2">
      <c r="A1868" s="3" t="s">
        <v>160</v>
      </c>
      <c r="B1868" s="2">
        <v>65</v>
      </c>
      <c r="C1868" s="4" t="s">
        <v>90</v>
      </c>
      <c r="D1868" s="3" t="s">
        <v>161</v>
      </c>
      <c r="E1868" s="3" t="s">
        <v>149</v>
      </c>
      <c r="F1868" s="3" t="str">
        <f t="shared" si="0"/>
        <v>3 - Otros</v>
      </c>
      <c r="G1868" s="2">
        <v>29</v>
      </c>
      <c r="H1868" s="3"/>
    </row>
    <row r="1869" spans="1:8" ht="12.75" hidden="1" x14ac:dyDescent="0.2">
      <c r="A1869" s="3" t="s">
        <v>160</v>
      </c>
      <c r="B1869" s="2">
        <v>65</v>
      </c>
      <c r="C1869" s="4" t="s">
        <v>90</v>
      </c>
      <c r="D1869" s="3" t="s">
        <v>161</v>
      </c>
      <c r="E1869" s="3" t="s">
        <v>148</v>
      </c>
      <c r="F1869" s="3" t="str">
        <f t="shared" si="0"/>
        <v>3 - Otros</v>
      </c>
      <c r="G1869" s="2">
        <v>10</v>
      </c>
      <c r="H1869" s="3"/>
    </row>
    <row r="1870" spans="1:8" ht="12.75" hidden="1" x14ac:dyDescent="0.2">
      <c r="A1870" s="3" t="s">
        <v>160</v>
      </c>
      <c r="B1870" s="2">
        <v>65</v>
      </c>
      <c r="C1870" s="4" t="s">
        <v>90</v>
      </c>
      <c r="D1870" s="3" t="s">
        <v>161</v>
      </c>
      <c r="E1870" s="3" t="s">
        <v>145</v>
      </c>
      <c r="F1870" s="3" t="str">
        <f t="shared" si="0"/>
        <v>3 - Otros</v>
      </c>
      <c r="G1870" s="2">
        <v>10</v>
      </c>
      <c r="H1870" s="3"/>
    </row>
    <row r="1871" spans="1:8" ht="12.75" hidden="1" x14ac:dyDescent="0.2">
      <c r="A1871" s="3" t="s">
        <v>160</v>
      </c>
      <c r="B1871" s="2">
        <v>65</v>
      </c>
      <c r="C1871" s="4" t="s">
        <v>90</v>
      </c>
      <c r="D1871" s="3" t="s">
        <v>161</v>
      </c>
      <c r="E1871" s="3" t="s">
        <v>135</v>
      </c>
      <c r="F1871" s="3" t="str">
        <f t="shared" si="0"/>
        <v>3 - Otros</v>
      </c>
      <c r="G1871" s="2">
        <v>10</v>
      </c>
      <c r="H1871" s="3"/>
    </row>
    <row r="1872" spans="1:8" ht="12.75" hidden="1" x14ac:dyDescent="0.2">
      <c r="A1872" s="3" t="s">
        <v>160</v>
      </c>
      <c r="B1872" s="2">
        <v>66</v>
      </c>
      <c r="C1872" s="4" t="s">
        <v>91</v>
      </c>
      <c r="D1872" s="3" t="s">
        <v>15</v>
      </c>
      <c r="E1872" s="3" t="s">
        <v>128</v>
      </c>
      <c r="F1872" s="3" t="str">
        <f t="shared" si="0"/>
        <v>2 - Frepam</v>
      </c>
      <c r="G1872" s="2">
        <v>89</v>
      </c>
      <c r="H1872" s="3"/>
    </row>
    <row r="1873" spans="1:8" ht="12.75" hidden="1" x14ac:dyDescent="0.2">
      <c r="A1873" s="3" t="s">
        <v>160</v>
      </c>
      <c r="B1873" s="2">
        <v>66</v>
      </c>
      <c r="C1873" s="4" t="s">
        <v>91</v>
      </c>
      <c r="D1873" s="3" t="s">
        <v>15</v>
      </c>
      <c r="E1873" s="3" t="s">
        <v>136</v>
      </c>
      <c r="F1873" s="3" t="str">
        <f t="shared" si="0"/>
        <v>1 - PJ</v>
      </c>
      <c r="G1873" s="2">
        <v>39</v>
      </c>
      <c r="H1873" s="3"/>
    </row>
    <row r="1874" spans="1:8" ht="12.75" hidden="1" x14ac:dyDescent="0.2">
      <c r="A1874" s="3" t="s">
        <v>160</v>
      </c>
      <c r="B1874" s="2">
        <v>66</v>
      </c>
      <c r="C1874" s="4" t="s">
        <v>91</v>
      </c>
      <c r="D1874" s="3" t="s">
        <v>15</v>
      </c>
      <c r="E1874" s="3" t="s">
        <v>14</v>
      </c>
      <c r="F1874" s="3" t="str">
        <f t="shared" si="0"/>
        <v>4 - Blanco/Nulo</v>
      </c>
      <c r="G1874" s="2">
        <v>4</v>
      </c>
      <c r="H1874" s="2">
        <f>SUM(G1872:G1874)</f>
        <v>132</v>
      </c>
    </row>
    <row r="1875" spans="1:8" ht="12.75" hidden="1" x14ac:dyDescent="0.2">
      <c r="A1875" s="3" t="s">
        <v>160</v>
      </c>
      <c r="B1875" s="2">
        <v>66</v>
      </c>
      <c r="C1875" s="4" t="s">
        <v>91</v>
      </c>
      <c r="D1875" s="3" t="s">
        <v>161</v>
      </c>
      <c r="E1875" s="3" t="s">
        <v>128</v>
      </c>
      <c r="F1875" s="3" t="str">
        <f t="shared" si="0"/>
        <v>2 - Frepam</v>
      </c>
      <c r="G1875" s="2">
        <v>67</v>
      </c>
      <c r="H1875" s="3"/>
    </row>
    <row r="1876" spans="1:8" ht="12.75" hidden="1" x14ac:dyDescent="0.2">
      <c r="A1876" s="3" t="s">
        <v>160</v>
      </c>
      <c r="B1876" s="2">
        <v>66</v>
      </c>
      <c r="C1876" s="4" t="s">
        <v>91</v>
      </c>
      <c r="D1876" s="3" t="s">
        <v>161</v>
      </c>
      <c r="E1876" s="3" t="s">
        <v>136</v>
      </c>
      <c r="F1876" s="3" t="str">
        <f t="shared" si="0"/>
        <v>1 - PJ</v>
      </c>
      <c r="G1876" s="2">
        <v>57</v>
      </c>
      <c r="H1876" s="3"/>
    </row>
    <row r="1877" spans="1:8" ht="12.75" hidden="1" x14ac:dyDescent="0.2">
      <c r="A1877" s="3" t="s">
        <v>160</v>
      </c>
      <c r="B1877" s="2">
        <v>66</v>
      </c>
      <c r="C1877" s="4" t="s">
        <v>91</v>
      </c>
      <c r="D1877" s="3" t="s">
        <v>161</v>
      </c>
      <c r="E1877" s="3" t="s">
        <v>133</v>
      </c>
      <c r="F1877" s="3" t="str">
        <f t="shared" si="0"/>
        <v>3 - Otros</v>
      </c>
      <c r="G1877" s="2">
        <v>2</v>
      </c>
      <c r="H1877" s="3"/>
    </row>
    <row r="1878" spans="1:8" ht="12.75" hidden="1" x14ac:dyDescent="0.2">
      <c r="A1878" s="3" t="s">
        <v>160</v>
      </c>
      <c r="B1878" s="2">
        <v>66</v>
      </c>
      <c r="C1878" s="4" t="s">
        <v>91</v>
      </c>
      <c r="D1878" s="3" t="s">
        <v>161</v>
      </c>
      <c r="E1878" s="3" t="s">
        <v>14</v>
      </c>
      <c r="F1878" s="3" t="str">
        <f t="shared" si="0"/>
        <v>4 - Blanco/Nulo</v>
      </c>
      <c r="G1878" s="2">
        <v>2</v>
      </c>
      <c r="H1878" s="3"/>
    </row>
    <row r="1879" spans="1:8" ht="12.75" hidden="1" x14ac:dyDescent="0.2">
      <c r="A1879" s="3" t="s">
        <v>160</v>
      </c>
      <c r="B1879" s="2">
        <v>66</v>
      </c>
      <c r="C1879" s="4" t="s">
        <v>91</v>
      </c>
      <c r="D1879" s="3" t="s">
        <v>161</v>
      </c>
      <c r="E1879" s="3" t="s">
        <v>138</v>
      </c>
      <c r="F1879" s="3" t="str">
        <f t="shared" si="0"/>
        <v>4 - Blanco/Nulo</v>
      </c>
      <c r="G1879" s="2">
        <v>2</v>
      </c>
      <c r="H1879" s="3"/>
    </row>
    <row r="1880" spans="1:8" ht="12.75" hidden="1" x14ac:dyDescent="0.2">
      <c r="A1880" s="3" t="s">
        <v>160</v>
      </c>
      <c r="B1880" s="2">
        <v>66</v>
      </c>
      <c r="C1880" s="4" t="s">
        <v>91</v>
      </c>
      <c r="D1880" s="3" t="s">
        <v>161</v>
      </c>
      <c r="E1880" s="3" t="s">
        <v>145</v>
      </c>
      <c r="F1880" s="3" t="str">
        <f t="shared" si="0"/>
        <v>3 - Otros</v>
      </c>
      <c r="G1880" s="2">
        <v>1</v>
      </c>
      <c r="H1880" s="3"/>
    </row>
    <row r="1881" spans="1:8" ht="12.75" hidden="1" x14ac:dyDescent="0.2">
      <c r="A1881" s="3" t="s">
        <v>160</v>
      </c>
      <c r="B1881" s="2">
        <v>66</v>
      </c>
      <c r="C1881" s="4" t="s">
        <v>91</v>
      </c>
      <c r="D1881" s="3" t="s">
        <v>161</v>
      </c>
      <c r="E1881" s="3" t="s">
        <v>149</v>
      </c>
      <c r="F1881" s="3" t="str">
        <f t="shared" si="0"/>
        <v>3 - Otros</v>
      </c>
      <c r="G1881" s="2">
        <v>1</v>
      </c>
      <c r="H1881" s="2">
        <f>SUM(G1875:G1881)</f>
        <v>132</v>
      </c>
    </row>
    <row r="1882" spans="1:8" ht="12.75" hidden="1" x14ac:dyDescent="0.2">
      <c r="A1882" s="3" t="s">
        <v>160</v>
      </c>
      <c r="B1882" s="2">
        <v>66</v>
      </c>
      <c r="C1882" s="4" t="s">
        <v>91</v>
      </c>
      <c r="D1882" s="3" t="s">
        <v>162</v>
      </c>
      <c r="E1882" s="3" t="s">
        <v>128</v>
      </c>
      <c r="F1882" s="3" t="str">
        <f t="shared" si="0"/>
        <v>2 - Frepam</v>
      </c>
      <c r="G1882" s="2">
        <v>67</v>
      </c>
      <c r="H1882" s="3"/>
    </row>
    <row r="1883" spans="1:8" ht="12.75" hidden="1" x14ac:dyDescent="0.2">
      <c r="A1883" s="3" t="s">
        <v>160</v>
      </c>
      <c r="B1883" s="2">
        <v>66</v>
      </c>
      <c r="C1883" s="4" t="s">
        <v>91</v>
      </c>
      <c r="D1883" s="3" t="s">
        <v>162</v>
      </c>
      <c r="E1883" s="3" t="s">
        <v>136</v>
      </c>
      <c r="F1883" s="3" t="str">
        <f t="shared" si="0"/>
        <v>1 - PJ</v>
      </c>
      <c r="G1883" s="2">
        <v>58</v>
      </c>
      <c r="H1883" s="3"/>
    </row>
    <row r="1884" spans="1:8" ht="12.75" hidden="1" x14ac:dyDescent="0.2">
      <c r="A1884" s="3" t="s">
        <v>160</v>
      </c>
      <c r="B1884" s="2">
        <v>66</v>
      </c>
      <c r="C1884" s="4" t="s">
        <v>91</v>
      </c>
      <c r="D1884" s="3" t="s">
        <v>162</v>
      </c>
      <c r="E1884" s="3" t="s">
        <v>133</v>
      </c>
      <c r="F1884" s="3" t="str">
        <f t="shared" si="0"/>
        <v>3 - Otros</v>
      </c>
      <c r="G1884" s="2">
        <v>2</v>
      </c>
      <c r="H1884" s="3"/>
    </row>
    <row r="1885" spans="1:8" ht="12.75" hidden="1" x14ac:dyDescent="0.2">
      <c r="A1885" s="3" t="s">
        <v>160</v>
      </c>
      <c r="B1885" s="2">
        <v>66</v>
      </c>
      <c r="C1885" s="4" t="s">
        <v>91</v>
      </c>
      <c r="D1885" s="3" t="s">
        <v>162</v>
      </c>
      <c r="E1885" s="3" t="s">
        <v>138</v>
      </c>
      <c r="F1885" s="3" t="str">
        <f t="shared" si="0"/>
        <v>4 - Blanco/Nulo</v>
      </c>
      <c r="G1885" s="2">
        <v>2</v>
      </c>
      <c r="H1885" s="3"/>
    </row>
    <row r="1886" spans="1:8" ht="12.75" hidden="1" x14ac:dyDescent="0.2">
      <c r="A1886" s="3" t="s">
        <v>160</v>
      </c>
      <c r="B1886" s="2">
        <v>66</v>
      </c>
      <c r="C1886" s="4" t="s">
        <v>91</v>
      </c>
      <c r="D1886" s="3" t="s">
        <v>162</v>
      </c>
      <c r="E1886" s="3" t="s">
        <v>149</v>
      </c>
      <c r="F1886" s="3" t="str">
        <f t="shared" si="0"/>
        <v>3 - Otros</v>
      </c>
      <c r="G1886" s="2">
        <v>1</v>
      </c>
      <c r="H1886" s="3"/>
    </row>
    <row r="1887" spans="1:8" ht="12.75" hidden="1" x14ac:dyDescent="0.2">
      <c r="A1887" s="3" t="s">
        <v>160</v>
      </c>
      <c r="B1887" s="2">
        <v>66</v>
      </c>
      <c r="C1887" s="4" t="s">
        <v>91</v>
      </c>
      <c r="D1887" s="3" t="s">
        <v>162</v>
      </c>
      <c r="E1887" s="3" t="s">
        <v>145</v>
      </c>
      <c r="F1887" s="3" t="str">
        <f t="shared" si="0"/>
        <v>3 - Otros</v>
      </c>
      <c r="G1887" s="2">
        <v>1</v>
      </c>
      <c r="H1887" s="3"/>
    </row>
    <row r="1888" spans="1:8" ht="12.75" hidden="1" x14ac:dyDescent="0.2">
      <c r="A1888" s="3" t="s">
        <v>160</v>
      </c>
      <c r="B1888" s="2">
        <v>66</v>
      </c>
      <c r="C1888" s="4" t="s">
        <v>91</v>
      </c>
      <c r="D1888" s="3" t="s">
        <v>162</v>
      </c>
      <c r="E1888" s="3" t="s">
        <v>14</v>
      </c>
      <c r="F1888" s="3" t="str">
        <f t="shared" si="0"/>
        <v>4 - Blanco/Nulo</v>
      </c>
      <c r="G1888" s="2">
        <v>1</v>
      </c>
      <c r="H1888" s="2">
        <f>SUM(G1882:G1888)</f>
        <v>132</v>
      </c>
    </row>
    <row r="1889" spans="1:8" ht="12.75" hidden="1" x14ac:dyDescent="0.2">
      <c r="A1889" s="3" t="s">
        <v>160</v>
      </c>
      <c r="B1889" s="2">
        <v>68</v>
      </c>
      <c r="C1889" s="4" t="s">
        <v>92</v>
      </c>
      <c r="D1889" s="3" t="s">
        <v>2</v>
      </c>
      <c r="E1889" s="3" t="s">
        <v>136</v>
      </c>
      <c r="F1889" s="3" t="str">
        <f t="shared" si="0"/>
        <v>1 - PJ</v>
      </c>
      <c r="G1889" s="2">
        <v>265</v>
      </c>
      <c r="H1889" s="3"/>
    </row>
    <row r="1890" spans="1:8" ht="12.75" hidden="1" x14ac:dyDescent="0.2">
      <c r="A1890" s="3" t="s">
        <v>160</v>
      </c>
      <c r="B1890" s="2">
        <v>68</v>
      </c>
      <c r="C1890" s="4" t="s">
        <v>92</v>
      </c>
      <c r="D1890" s="3" t="s">
        <v>2</v>
      </c>
      <c r="E1890" s="3" t="s">
        <v>128</v>
      </c>
      <c r="F1890" s="3" t="str">
        <f t="shared" si="0"/>
        <v>2 - Frepam</v>
      </c>
      <c r="G1890" s="2">
        <v>220</v>
      </c>
      <c r="H1890" s="3"/>
    </row>
    <row r="1891" spans="1:8" ht="12.75" hidden="1" x14ac:dyDescent="0.2">
      <c r="A1891" s="3" t="s">
        <v>160</v>
      </c>
      <c r="B1891" s="2">
        <v>68</v>
      </c>
      <c r="C1891" s="4" t="s">
        <v>92</v>
      </c>
      <c r="D1891" s="3" t="s">
        <v>2</v>
      </c>
      <c r="E1891" s="3" t="s">
        <v>14</v>
      </c>
      <c r="F1891" s="3" t="str">
        <f t="shared" si="0"/>
        <v>4 - Blanco/Nulo</v>
      </c>
      <c r="G1891" s="2">
        <v>8</v>
      </c>
      <c r="H1891" s="2">
        <f>SUM(G1889:G1891)</f>
        <v>493</v>
      </c>
    </row>
    <row r="1892" spans="1:8" ht="12.75" hidden="1" x14ac:dyDescent="0.2">
      <c r="A1892" s="3" t="s">
        <v>160</v>
      </c>
      <c r="B1892" s="2">
        <v>68</v>
      </c>
      <c r="C1892" s="4" t="s">
        <v>92</v>
      </c>
      <c r="D1892" s="3" t="s">
        <v>161</v>
      </c>
      <c r="E1892" s="3" t="s">
        <v>136</v>
      </c>
      <c r="F1892" s="3" t="str">
        <f t="shared" si="0"/>
        <v>1 - PJ</v>
      </c>
      <c r="G1892" s="2">
        <v>213</v>
      </c>
      <c r="H1892" s="3"/>
    </row>
    <row r="1893" spans="1:8" ht="12.75" hidden="1" x14ac:dyDescent="0.2">
      <c r="A1893" s="3" t="s">
        <v>160</v>
      </c>
      <c r="B1893" s="2">
        <v>68</v>
      </c>
      <c r="C1893" s="4" t="s">
        <v>92</v>
      </c>
      <c r="D1893" s="3" t="s">
        <v>161</v>
      </c>
      <c r="E1893" s="3" t="s">
        <v>128</v>
      </c>
      <c r="F1893" s="3" t="str">
        <f t="shared" si="0"/>
        <v>2 - Frepam</v>
      </c>
      <c r="G1893" s="2">
        <v>169</v>
      </c>
      <c r="H1893" s="3"/>
    </row>
    <row r="1894" spans="1:8" ht="12.75" hidden="1" x14ac:dyDescent="0.2">
      <c r="A1894" s="3" t="s">
        <v>160</v>
      </c>
      <c r="B1894" s="2">
        <v>68</v>
      </c>
      <c r="C1894" s="4" t="s">
        <v>92</v>
      </c>
      <c r="D1894" s="3" t="s">
        <v>161</v>
      </c>
      <c r="E1894" s="3" t="s">
        <v>135</v>
      </c>
      <c r="F1894" s="3" t="str">
        <f t="shared" si="0"/>
        <v>3 - Otros</v>
      </c>
      <c r="G1894" s="2">
        <v>42</v>
      </c>
      <c r="H1894" s="3"/>
    </row>
    <row r="1895" spans="1:8" ht="12.75" hidden="1" x14ac:dyDescent="0.2">
      <c r="A1895" s="3" t="s">
        <v>160</v>
      </c>
      <c r="B1895" s="2">
        <v>68</v>
      </c>
      <c r="C1895" s="4" t="s">
        <v>92</v>
      </c>
      <c r="D1895" s="3" t="s">
        <v>161</v>
      </c>
      <c r="E1895" s="3" t="s">
        <v>133</v>
      </c>
      <c r="F1895" s="3" t="str">
        <f t="shared" si="0"/>
        <v>3 - Otros</v>
      </c>
      <c r="G1895" s="2">
        <v>34</v>
      </c>
      <c r="H1895" s="3"/>
    </row>
    <row r="1896" spans="1:8" ht="12.75" hidden="1" x14ac:dyDescent="0.2">
      <c r="A1896" s="3" t="s">
        <v>160</v>
      </c>
      <c r="B1896" s="2">
        <v>68</v>
      </c>
      <c r="C1896" s="4" t="s">
        <v>92</v>
      </c>
      <c r="D1896" s="3" t="s">
        <v>161</v>
      </c>
      <c r="E1896" s="3" t="s">
        <v>14</v>
      </c>
      <c r="F1896" s="3" t="str">
        <f t="shared" si="0"/>
        <v>4 - Blanco/Nulo</v>
      </c>
      <c r="G1896" s="2">
        <v>28</v>
      </c>
      <c r="H1896" s="3"/>
    </row>
    <row r="1897" spans="1:8" ht="12.75" hidden="1" x14ac:dyDescent="0.2">
      <c r="A1897" s="3" t="s">
        <v>160</v>
      </c>
      <c r="B1897" s="2">
        <v>68</v>
      </c>
      <c r="C1897" s="4" t="s">
        <v>92</v>
      </c>
      <c r="D1897" s="3" t="s">
        <v>161</v>
      </c>
      <c r="E1897" s="3" t="s">
        <v>145</v>
      </c>
      <c r="F1897" s="3" t="str">
        <f t="shared" si="0"/>
        <v>3 - Otros</v>
      </c>
      <c r="G1897" s="2">
        <v>3</v>
      </c>
      <c r="H1897" s="3"/>
    </row>
    <row r="1898" spans="1:8" ht="12.75" hidden="1" x14ac:dyDescent="0.2">
      <c r="A1898" s="3" t="s">
        <v>160</v>
      </c>
      <c r="B1898" s="2">
        <v>68</v>
      </c>
      <c r="C1898" s="4" t="s">
        <v>92</v>
      </c>
      <c r="D1898" s="3" t="s">
        <v>161</v>
      </c>
      <c r="E1898" s="3" t="s">
        <v>138</v>
      </c>
      <c r="F1898" s="3" t="str">
        <f t="shared" si="0"/>
        <v>4 - Blanco/Nulo</v>
      </c>
      <c r="G1898" s="2">
        <v>3</v>
      </c>
      <c r="H1898" s="3"/>
    </row>
    <row r="1899" spans="1:8" ht="12.75" hidden="1" x14ac:dyDescent="0.2">
      <c r="A1899" s="3" t="s">
        <v>160</v>
      </c>
      <c r="B1899" s="2">
        <v>68</v>
      </c>
      <c r="C1899" s="4" t="s">
        <v>92</v>
      </c>
      <c r="D1899" s="3" t="s">
        <v>161</v>
      </c>
      <c r="E1899" s="3" t="s">
        <v>148</v>
      </c>
      <c r="F1899" s="3" t="str">
        <f t="shared" si="0"/>
        <v>3 - Otros</v>
      </c>
      <c r="G1899" s="2">
        <v>1</v>
      </c>
      <c r="H1899" s="2">
        <f>SUM(G1892:G1899)</f>
        <v>493</v>
      </c>
    </row>
    <row r="1900" spans="1:8" ht="12.75" hidden="1" x14ac:dyDescent="0.2">
      <c r="A1900" s="3" t="s">
        <v>160</v>
      </c>
      <c r="B1900" s="2">
        <v>68</v>
      </c>
      <c r="C1900" s="4" t="s">
        <v>92</v>
      </c>
      <c r="D1900" s="3" t="s">
        <v>162</v>
      </c>
      <c r="E1900" s="3" t="s">
        <v>136</v>
      </c>
      <c r="F1900" s="3" t="str">
        <f t="shared" si="0"/>
        <v>1 - PJ</v>
      </c>
      <c r="G1900" s="2">
        <v>252</v>
      </c>
      <c r="H1900" s="3"/>
    </row>
    <row r="1901" spans="1:8" ht="12.75" hidden="1" x14ac:dyDescent="0.2">
      <c r="A1901" s="3" t="s">
        <v>160</v>
      </c>
      <c r="B1901" s="2">
        <v>68</v>
      </c>
      <c r="C1901" s="4" t="s">
        <v>92</v>
      </c>
      <c r="D1901" s="3" t="s">
        <v>162</v>
      </c>
      <c r="E1901" s="3" t="s">
        <v>128</v>
      </c>
      <c r="F1901" s="3" t="str">
        <f t="shared" si="0"/>
        <v>2 - Frepam</v>
      </c>
      <c r="G1901" s="2">
        <v>183</v>
      </c>
      <c r="H1901" s="3"/>
    </row>
    <row r="1902" spans="1:8" ht="12.75" hidden="1" x14ac:dyDescent="0.2">
      <c r="A1902" s="3" t="s">
        <v>160</v>
      </c>
      <c r="B1902" s="2">
        <v>68</v>
      </c>
      <c r="C1902" s="4" t="s">
        <v>92</v>
      </c>
      <c r="D1902" s="3" t="s">
        <v>162</v>
      </c>
      <c r="E1902" s="3" t="s">
        <v>133</v>
      </c>
      <c r="F1902" s="3" t="str">
        <f t="shared" si="0"/>
        <v>3 - Otros</v>
      </c>
      <c r="G1902" s="2">
        <v>33</v>
      </c>
      <c r="H1902" s="3"/>
    </row>
    <row r="1903" spans="1:8" ht="12.75" hidden="1" x14ac:dyDescent="0.2">
      <c r="A1903" s="3" t="s">
        <v>160</v>
      </c>
      <c r="B1903" s="2">
        <v>68</v>
      </c>
      <c r="C1903" s="4" t="s">
        <v>92</v>
      </c>
      <c r="D1903" s="3" t="s">
        <v>162</v>
      </c>
      <c r="E1903" s="3" t="s">
        <v>14</v>
      </c>
      <c r="F1903" s="3" t="str">
        <f t="shared" si="0"/>
        <v>4 - Blanco/Nulo</v>
      </c>
      <c r="G1903" s="2">
        <v>10</v>
      </c>
      <c r="H1903" s="3"/>
    </row>
    <row r="1904" spans="1:8" ht="12.75" hidden="1" x14ac:dyDescent="0.2">
      <c r="A1904" s="3" t="s">
        <v>160</v>
      </c>
      <c r="B1904" s="2">
        <v>68</v>
      </c>
      <c r="C1904" s="4" t="s">
        <v>92</v>
      </c>
      <c r="D1904" s="3" t="s">
        <v>162</v>
      </c>
      <c r="E1904" s="3" t="s">
        <v>135</v>
      </c>
      <c r="F1904" s="3" t="str">
        <f t="shared" si="0"/>
        <v>3 - Otros</v>
      </c>
      <c r="G1904" s="2">
        <v>8</v>
      </c>
      <c r="H1904" s="3"/>
    </row>
    <row r="1905" spans="1:8" ht="12.75" hidden="1" x14ac:dyDescent="0.2">
      <c r="A1905" s="3" t="s">
        <v>160</v>
      </c>
      <c r="B1905" s="2">
        <v>68</v>
      </c>
      <c r="C1905" s="4" t="s">
        <v>92</v>
      </c>
      <c r="D1905" s="3" t="s">
        <v>162</v>
      </c>
      <c r="E1905" s="3" t="s">
        <v>145</v>
      </c>
      <c r="F1905" s="3" t="str">
        <f t="shared" si="0"/>
        <v>3 - Otros</v>
      </c>
      <c r="G1905" s="2">
        <v>3</v>
      </c>
      <c r="H1905" s="3"/>
    </row>
    <row r="1906" spans="1:8" ht="12.75" hidden="1" x14ac:dyDescent="0.2">
      <c r="A1906" s="3" t="s">
        <v>160</v>
      </c>
      <c r="B1906" s="2">
        <v>68</v>
      </c>
      <c r="C1906" s="4" t="s">
        <v>92</v>
      </c>
      <c r="D1906" s="3" t="s">
        <v>162</v>
      </c>
      <c r="E1906" s="3" t="s">
        <v>148</v>
      </c>
      <c r="F1906" s="3" t="str">
        <f t="shared" si="0"/>
        <v>3 - Otros</v>
      </c>
      <c r="G1906" s="2">
        <v>2</v>
      </c>
      <c r="H1906" s="3"/>
    </row>
    <row r="1907" spans="1:8" ht="12.75" hidden="1" x14ac:dyDescent="0.2">
      <c r="A1907" s="3" t="s">
        <v>160</v>
      </c>
      <c r="B1907" s="2">
        <v>68</v>
      </c>
      <c r="C1907" s="4" t="s">
        <v>92</v>
      </c>
      <c r="D1907" s="3" t="s">
        <v>162</v>
      </c>
      <c r="E1907" s="3" t="s">
        <v>138</v>
      </c>
      <c r="F1907" s="3" t="str">
        <f t="shared" si="0"/>
        <v>4 - Blanco/Nulo</v>
      </c>
      <c r="G1907" s="2">
        <v>2</v>
      </c>
      <c r="H1907" s="2">
        <f>SUM(G1900:G1906)</f>
        <v>491</v>
      </c>
    </row>
    <row r="1908" spans="1:8" ht="12.75" hidden="1" x14ac:dyDescent="0.2">
      <c r="A1908" s="3" t="s">
        <v>160</v>
      </c>
      <c r="B1908" s="2">
        <v>69</v>
      </c>
      <c r="C1908" s="4" t="s">
        <v>93</v>
      </c>
      <c r="D1908" s="3" t="s">
        <v>2</v>
      </c>
      <c r="E1908" s="3" t="s">
        <v>136</v>
      </c>
      <c r="F1908" s="3" t="str">
        <f t="shared" si="0"/>
        <v>1 - PJ</v>
      </c>
      <c r="G1908" s="2">
        <v>979</v>
      </c>
      <c r="H1908" s="3"/>
    </row>
    <row r="1909" spans="1:8" ht="12.75" hidden="1" x14ac:dyDescent="0.2">
      <c r="A1909" s="3" t="s">
        <v>160</v>
      </c>
      <c r="B1909" s="2">
        <v>69</v>
      </c>
      <c r="C1909" s="4" t="s">
        <v>93</v>
      </c>
      <c r="D1909" s="3" t="s">
        <v>2</v>
      </c>
      <c r="E1909" s="3" t="s">
        <v>128</v>
      </c>
      <c r="F1909" s="3" t="str">
        <f t="shared" si="0"/>
        <v>2 - Frepam</v>
      </c>
      <c r="G1909" s="2">
        <v>537</v>
      </c>
      <c r="H1909" s="3"/>
    </row>
    <row r="1910" spans="1:8" ht="12.75" hidden="1" x14ac:dyDescent="0.2">
      <c r="A1910" s="3" t="s">
        <v>160</v>
      </c>
      <c r="B1910" s="2">
        <v>69</v>
      </c>
      <c r="C1910" s="4" t="s">
        <v>93</v>
      </c>
      <c r="D1910" s="3" t="s">
        <v>2</v>
      </c>
      <c r="E1910" s="3" t="s">
        <v>14</v>
      </c>
      <c r="F1910" s="3" t="str">
        <f t="shared" si="0"/>
        <v>4 - Blanco/Nulo</v>
      </c>
      <c r="G1910" s="2">
        <v>86</v>
      </c>
      <c r="H1910" s="3"/>
    </row>
    <row r="1911" spans="1:8" ht="12.75" hidden="1" x14ac:dyDescent="0.2">
      <c r="A1911" s="3" t="s">
        <v>160</v>
      </c>
      <c r="B1911" s="2">
        <v>69</v>
      </c>
      <c r="C1911" s="4" t="s">
        <v>93</v>
      </c>
      <c r="D1911" s="3" t="s">
        <v>2</v>
      </c>
      <c r="E1911" s="3" t="s">
        <v>138</v>
      </c>
      <c r="F1911" s="3" t="str">
        <f t="shared" si="0"/>
        <v>4 - Blanco/Nulo</v>
      </c>
      <c r="G1911" s="2">
        <v>10</v>
      </c>
      <c r="H1911" s="2">
        <f>SUM(G1908:G1911)</f>
        <v>1612</v>
      </c>
    </row>
    <row r="1912" spans="1:8" ht="12.75" hidden="1" x14ac:dyDescent="0.2">
      <c r="A1912" s="3" t="s">
        <v>160</v>
      </c>
      <c r="B1912" s="2">
        <v>69</v>
      </c>
      <c r="C1912" s="4" t="s">
        <v>93</v>
      </c>
      <c r="D1912" s="3" t="s">
        <v>161</v>
      </c>
      <c r="E1912" s="3" t="s">
        <v>136</v>
      </c>
      <c r="F1912" s="3" t="str">
        <f t="shared" si="0"/>
        <v>1 - PJ</v>
      </c>
      <c r="G1912" s="2">
        <v>945</v>
      </c>
      <c r="H1912" s="3"/>
    </row>
    <row r="1913" spans="1:8" ht="12.75" hidden="1" x14ac:dyDescent="0.2">
      <c r="A1913" s="3" t="s">
        <v>160</v>
      </c>
      <c r="B1913" s="2">
        <v>69</v>
      </c>
      <c r="C1913" s="4" t="s">
        <v>93</v>
      </c>
      <c r="D1913" s="3" t="s">
        <v>161</v>
      </c>
      <c r="E1913" s="3" t="s">
        <v>128</v>
      </c>
      <c r="F1913" s="3" t="str">
        <f t="shared" si="0"/>
        <v>2 - Frepam</v>
      </c>
      <c r="G1913" s="2">
        <v>516</v>
      </c>
      <c r="H1913" s="3"/>
    </row>
    <row r="1914" spans="1:8" ht="12.75" hidden="1" x14ac:dyDescent="0.2">
      <c r="A1914" s="3" t="s">
        <v>160</v>
      </c>
      <c r="B1914" s="2">
        <v>69</v>
      </c>
      <c r="C1914" s="4" t="s">
        <v>93</v>
      </c>
      <c r="D1914" s="3" t="s">
        <v>161</v>
      </c>
      <c r="E1914" s="3" t="s">
        <v>14</v>
      </c>
      <c r="F1914" s="3" t="str">
        <f t="shared" si="0"/>
        <v>4 - Blanco/Nulo</v>
      </c>
      <c r="G1914" s="2">
        <v>84</v>
      </c>
      <c r="H1914" s="3"/>
    </row>
    <row r="1915" spans="1:8" ht="12.75" hidden="1" x14ac:dyDescent="0.2">
      <c r="A1915" s="3" t="s">
        <v>160</v>
      </c>
      <c r="B1915" s="2">
        <v>69</v>
      </c>
      <c r="C1915" s="4" t="s">
        <v>93</v>
      </c>
      <c r="D1915" s="3" t="s">
        <v>161</v>
      </c>
      <c r="E1915" s="3" t="s">
        <v>133</v>
      </c>
      <c r="F1915" s="3" t="str">
        <f t="shared" si="0"/>
        <v>3 - Otros</v>
      </c>
      <c r="G1915" s="2">
        <v>19</v>
      </c>
      <c r="H1915" s="3"/>
    </row>
    <row r="1916" spans="1:8" ht="12.75" hidden="1" x14ac:dyDescent="0.2">
      <c r="A1916" s="3" t="s">
        <v>160</v>
      </c>
      <c r="B1916" s="2">
        <v>69</v>
      </c>
      <c r="C1916" s="4" t="s">
        <v>93</v>
      </c>
      <c r="D1916" s="3" t="s">
        <v>161</v>
      </c>
      <c r="E1916" s="3" t="s">
        <v>138</v>
      </c>
      <c r="F1916" s="3" t="str">
        <f t="shared" si="0"/>
        <v>4 - Blanco/Nulo</v>
      </c>
      <c r="G1916" s="2">
        <v>16</v>
      </c>
      <c r="H1916" s="3"/>
    </row>
    <row r="1917" spans="1:8" ht="12.75" hidden="1" x14ac:dyDescent="0.2">
      <c r="A1917" s="3" t="s">
        <v>160</v>
      </c>
      <c r="B1917" s="2">
        <v>69</v>
      </c>
      <c r="C1917" s="4" t="s">
        <v>93</v>
      </c>
      <c r="D1917" s="3" t="s">
        <v>161</v>
      </c>
      <c r="E1917" s="3" t="s">
        <v>149</v>
      </c>
      <c r="F1917" s="3" t="str">
        <f t="shared" si="0"/>
        <v>3 - Otros</v>
      </c>
      <c r="G1917" s="2">
        <v>12</v>
      </c>
      <c r="H1917" s="3"/>
    </row>
    <row r="1918" spans="1:8" ht="12.75" hidden="1" x14ac:dyDescent="0.2">
      <c r="A1918" s="3" t="s">
        <v>160</v>
      </c>
      <c r="B1918" s="2">
        <v>69</v>
      </c>
      <c r="C1918" s="4" t="s">
        <v>93</v>
      </c>
      <c r="D1918" s="3" t="s">
        <v>161</v>
      </c>
      <c r="E1918" s="3" t="s">
        <v>145</v>
      </c>
      <c r="F1918" s="3" t="str">
        <f t="shared" si="0"/>
        <v>3 - Otros</v>
      </c>
      <c r="G1918" s="2">
        <v>8</v>
      </c>
      <c r="H1918" s="3"/>
    </row>
    <row r="1919" spans="1:8" ht="12.75" hidden="1" x14ac:dyDescent="0.2">
      <c r="A1919" s="3" t="s">
        <v>160</v>
      </c>
      <c r="B1919" s="2">
        <v>69</v>
      </c>
      <c r="C1919" s="4" t="s">
        <v>93</v>
      </c>
      <c r="D1919" s="3" t="s">
        <v>161</v>
      </c>
      <c r="E1919" s="3" t="s">
        <v>148</v>
      </c>
      <c r="F1919" s="3" t="str">
        <f t="shared" si="0"/>
        <v>3 - Otros</v>
      </c>
      <c r="G1919" s="2">
        <v>5</v>
      </c>
      <c r="H1919" s="3"/>
    </row>
    <row r="1920" spans="1:8" ht="12.75" hidden="1" x14ac:dyDescent="0.2">
      <c r="A1920" s="3" t="s">
        <v>160</v>
      </c>
      <c r="B1920" s="2">
        <v>69</v>
      </c>
      <c r="C1920" s="4" t="s">
        <v>93</v>
      </c>
      <c r="D1920" s="3" t="s">
        <v>161</v>
      </c>
      <c r="E1920" s="3" t="s">
        <v>139</v>
      </c>
      <c r="F1920" s="3" t="str">
        <f t="shared" si="0"/>
        <v>3 - Otros</v>
      </c>
      <c r="G1920" s="2">
        <v>4</v>
      </c>
      <c r="H1920" s="3"/>
    </row>
    <row r="1921" spans="1:8" ht="12.75" hidden="1" x14ac:dyDescent="0.2">
      <c r="A1921" s="3" t="s">
        <v>160</v>
      </c>
      <c r="B1921" s="2">
        <v>69</v>
      </c>
      <c r="C1921" s="4" t="s">
        <v>93</v>
      </c>
      <c r="D1921" s="3" t="s">
        <v>161</v>
      </c>
      <c r="E1921" s="3" t="s">
        <v>135</v>
      </c>
      <c r="F1921" s="3" t="str">
        <f t="shared" si="0"/>
        <v>3 - Otros</v>
      </c>
      <c r="G1921" s="2">
        <v>3</v>
      </c>
      <c r="H1921" s="2">
        <f>SUM(G1912:G1921)</f>
        <v>1612</v>
      </c>
    </row>
    <row r="1922" spans="1:8" ht="12.75" hidden="1" x14ac:dyDescent="0.2">
      <c r="A1922" s="3" t="s">
        <v>160</v>
      </c>
      <c r="B1922" s="2">
        <v>69</v>
      </c>
      <c r="C1922" s="4" t="s">
        <v>93</v>
      </c>
      <c r="D1922" s="3" t="s">
        <v>162</v>
      </c>
      <c r="E1922" s="3" t="s">
        <v>136</v>
      </c>
      <c r="F1922" s="3" t="str">
        <f t="shared" si="0"/>
        <v>1 - PJ</v>
      </c>
      <c r="G1922" s="2">
        <v>954</v>
      </c>
      <c r="H1922" s="3"/>
    </row>
    <row r="1923" spans="1:8" ht="12.75" hidden="1" x14ac:dyDescent="0.2">
      <c r="A1923" s="3" t="s">
        <v>160</v>
      </c>
      <c r="B1923" s="2">
        <v>69</v>
      </c>
      <c r="C1923" s="4" t="s">
        <v>93</v>
      </c>
      <c r="D1923" s="3" t="s">
        <v>162</v>
      </c>
      <c r="E1923" s="3" t="s">
        <v>128</v>
      </c>
      <c r="F1923" s="3" t="str">
        <f t="shared" si="0"/>
        <v>2 - Frepam</v>
      </c>
      <c r="G1923" s="2">
        <v>523</v>
      </c>
      <c r="H1923" s="3"/>
    </row>
    <row r="1924" spans="1:8" ht="12.75" hidden="1" x14ac:dyDescent="0.2">
      <c r="A1924" s="3" t="s">
        <v>160</v>
      </c>
      <c r="B1924" s="2">
        <v>69</v>
      </c>
      <c r="C1924" s="4" t="s">
        <v>93</v>
      </c>
      <c r="D1924" s="3" t="s">
        <v>162</v>
      </c>
      <c r="E1924" s="3" t="s">
        <v>14</v>
      </c>
      <c r="F1924" s="3" t="str">
        <f t="shared" si="0"/>
        <v>4 - Blanco/Nulo</v>
      </c>
      <c r="G1924" s="2">
        <v>68</v>
      </c>
      <c r="H1924" s="3"/>
    </row>
    <row r="1925" spans="1:8" ht="12.75" hidden="1" x14ac:dyDescent="0.2">
      <c r="A1925" s="3" t="s">
        <v>160</v>
      </c>
      <c r="B1925" s="2">
        <v>69</v>
      </c>
      <c r="C1925" s="4" t="s">
        <v>93</v>
      </c>
      <c r="D1925" s="3" t="s">
        <v>162</v>
      </c>
      <c r="E1925" s="3" t="s">
        <v>133</v>
      </c>
      <c r="F1925" s="3" t="str">
        <f t="shared" si="0"/>
        <v>3 - Otros</v>
      </c>
      <c r="G1925" s="2">
        <v>19</v>
      </c>
      <c r="H1925" s="3"/>
    </row>
    <row r="1926" spans="1:8" ht="12.75" hidden="1" x14ac:dyDescent="0.2">
      <c r="A1926" s="3" t="s">
        <v>160</v>
      </c>
      <c r="B1926" s="2">
        <v>69</v>
      </c>
      <c r="C1926" s="4" t="s">
        <v>93</v>
      </c>
      <c r="D1926" s="3" t="s">
        <v>162</v>
      </c>
      <c r="E1926" s="3" t="s">
        <v>138</v>
      </c>
      <c r="F1926" s="3" t="str">
        <f t="shared" si="0"/>
        <v>4 - Blanco/Nulo</v>
      </c>
      <c r="G1926" s="2">
        <v>16</v>
      </c>
      <c r="H1926" s="3"/>
    </row>
    <row r="1927" spans="1:8" ht="12.75" hidden="1" x14ac:dyDescent="0.2">
      <c r="A1927" s="3" t="s">
        <v>160</v>
      </c>
      <c r="B1927" s="2">
        <v>69</v>
      </c>
      <c r="C1927" s="4" t="s">
        <v>93</v>
      </c>
      <c r="D1927" s="3" t="s">
        <v>162</v>
      </c>
      <c r="E1927" s="3" t="s">
        <v>149</v>
      </c>
      <c r="F1927" s="3" t="str">
        <f t="shared" si="0"/>
        <v>3 - Otros</v>
      </c>
      <c r="G1927" s="2">
        <v>14</v>
      </c>
      <c r="H1927" s="3"/>
    </row>
    <row r="1928" spans="1:8" ht="12.75" hidden="1" x14ac:dyDescent="0.2">
      <c r="A1928" s="3" t="s">
        <v>160</v>
      </c>
      <c r="B1928" s="2">
        <v>69</v>
      </c>
      <c r="C1928" s="4" t="s">
        <v>93</v>
      </c>
      <c r="D1928" s="3" t="s">
        <v>162</v>
      </c>
      <c r="E1928" s="3" t="s">
        <v>145</v>
      </c>
      <c r="F1928" s="3" t="str">
        <f t="shared" si="0"/>
        <v>3 - Otros</v>
      </c>
      <c r="G1928" s="2">
        <v>8</v>
      </c>
      <c r="H1928" s="3"/>
    </row>
    <row r="1929" spans="1:8" ht="12.75" hidden="1" x14ac:dyDescent="0.2">
      <c r="A1929" s="3" t="s">
        <v>160</v>
      </c>
      <c r="B1929" s="2">
        <v>69</v>
      </c>
      <c r="C1929" s="4" t="s">
        <v>93</v>
      </c>
      <c r="D1929" s="3" t="s">
        <v>162</v>
      </c>
      <c r="E1929" s="3" t="s">
        <v>139</v>
      </c>
      <c r="F1929" s="3" t="str">
        <f t="shared" si="0"/>
        <v>3 - Otros</v>
      </c>
      <c r="G1929" s="2">
        <v>4</v>
      </c>
      <c r="H1929" s="3"/>
    </row>
    <row r="1930" spans="1:8" ht="12.75" hidden="1" x14ac:dyDescent="0.2">
      <c r="A1930" s="3" t="s">
        <v>160</v>
      </c>
      <c r="B1930" s="2">
        <v>69</v>
      </c>
      <c r="C1930" s="4" t="s">
        <v>93</v>
      </c>
      <c r="D1930" s="3" t="s">
        <v>162</v>
      </c>
      <c r="E1930" s="3" t="s">
        <v>135</v>
      </c>
      <c r="F1930" s="3" t="str">
        <f t="shared" si="0"/>
        <v>3 - Otros</v>
      </c>
      <c r="G1930" s="2">
        <v>3</v>
      </c>
      <c r="H1930" s="3"/>
    </row>
    <row r="1931" spans="1:8" ht="12.75" hidden="1" x14ac:dyDescent="0.2">
      <c r="A1931" s="3" t="s">
        <v>160</v>
      </c>
      <c r="B1931" s="2">
        <v>69</v>
      </c>
      <c r="C1931" s="4" t="s">
        <v>93</v>
      </c>
      <c r="D1931" s="3" t="s">
        <v>162</v>
      </c>
      <c r="E1931" s="3" t="s">
        <v>148</v>
      </c>
      <c r="F1931" s="3" t="str">
        <f t="shared" si="0"/>
        <v>3 - Otros</v>
      </c>
      <c r="G1931" s="2">
        <v>3</v>
      </c>
      <c r="H1931" s="2">
        <f>SUM(G1922:G1931)</f>
        <v>1612</v>
      </c>
    </row>
    <row r="1932" spans="1:8" ht="12.75" hidden="1" x14ac:dyDescent="0.2">
      <c r="A1932" s="3" t="s">
        <v>160</v>
      </c>
      <c r="B1932" s="2">
        <v>71</v>
      </c>
      <c r="C1932" s="4" t="s">
        <v>94</v>
      </c>
      <c r="D1932" s="3" t="s">
        <v>2</v>
      </c>
      <c r="E1932" s="3" t="s">
        <v>136</v>
      </c>
      <c r="F1932" s="3" t="str">
        <f t="shared" si="0"/>
        <v>1 - PJ</v>
      </c>
      <c r="G1932" s="2">
        <v>611</v>
      </c>
      <c r="H1932" s="3"/>
    </row>
    <row r="1933" spans="1:8" ht="12.75" hidden="1" x14ac:dyDescent="0.2">
      <c r="A1933" s="3" t="s">
        <v>160</v>
      </c>
      <c r="B1933" s="2">
        <v>71</v>
      </c>
      <c r="C1933" s="4" t="s">
        <v>94</v>
      </c>
      <c r="D1933" s="3" t="s">
        <v>2</v>
      </c>
      <c r="E1933" s="3" t="s">
        <v>128</v>
      </c>
      <c r="F1933" s="3" t="str">
        <f t="shared" si="0"/>
        <v>2 - Frepam</v>
      </c>
      <c r="G1933" s="2">
        <v>375</v>
      </c>
      <c r="H1933" s="3"/>
    </row>
    <row r="1934" spans="1:8" ht="12.75" hidden="1" x14ac:dyDescent="0.2">
      <c r="A1934" s="3" t="s">
        <v>160</v>
      </c>
      <c r="B1934" s="2">
        <v>71</v>
      </c>
      <c r="C1934" s="4" t="s">
        <v>94</v>
      </c>
      <c r="D1934" s="3" t="s">
        <v>2</v>
      </c>
      <c r="E1934" s="3" t="s">
        <v>14</v>
      </c>
      <c r="F1934" s="3" t="str">
        <f t="shared" si="0"/>
        <v>4 - Blanco/Nulo</v>
      </c>
      <c r="G1934" s="2">
        <v>60</v>
      </c>
      <c r="H1934" s="2">
        <f>SUM(G1932:G1934)</f>
        <v>1046</v>
      </c>
    </row>
    <row r="1935" spans="1:8" ht="12.75" hidden="1" x14ac:dyDescent="0.2">
      <c r="A1935" s="3" t="s">
        <v>160</v>
      </c>
      <c r="B1935" s="2">
        <v>71</v>
      </c>
      <c r="C1935" s="4" t="s">
        <v>94</v>
      </c>
      <c r="D1935" s="3" t="s">
        <v>161</v>
      </c>
      <c r="E1935" s="3" t="s">
        <v>136</v>
      </c>
      <c r="F1935" s="3" t="str">
        <f t="shared" si="0"/>
        <v>1 - PJ</v>
      </c>
      <c r="G1935" s="2">
        <v>617</v>
      </c>
      <c r="H1935" s="3"/>
    </row>
    <row r="1936" spans="1:8" ht="12.75" hidden="1" x14ac:dyDescent="0.2">
      <c r="A1936" s="3" t="s">
        <v>160</v>
      </c>
      <c r="B1936" s="2">
        <v>71</v>
      </c>
      <c r="C1936" s="4" t="s">
        <v>94</v>
      </c>
      <c r="D1936" s="3" t="s">
        <v>161</v>
      </c>
      <c r="E1936" s="3" t="s">
        <v>128</v>
      </c>
      <c r="F1936" s="3" t="str">
        <f t="shared" si="0"/>
        <v>2 - Frepam</v>
      </c>
      <c r="G1936" s="2">
        <v>325</v>
      </c>
      <c r="H1936" s="3"/>
    </row>
    <row r="1937" spans="1:8" ht="12.75" hidden="1" x14ac:dyDescent="0.2">
      <c r="A1937" s="3" t="s">
        <v>160</v>
      </c>
      <c r="B1937" s="2">
        <v>71</v>
      </c>
      <c r="C1937" s="4" t="s">
        <v>94</v>
      </c>
      <c r="D1937" s="3" t="s">
        <v>161</v>
      </c>
      <c r="E1937" s="3" t="s">
        <v>14</v>
      </c>
      <c r="F1937" s="3" t="str">
        <f t="shared" si="0"/>
        <v>4 - Blanco/Nulo</v>
      </c>
      <c r="G1937" s="2">
        <v>50</v>
      </c>
      <c r="H1937" s="3"/>
    </row>
    <row r="1938" spans="1:8" ht="12.75" hidden="1" x14ac:dyDescent="0.2">
      <c r="A1938" s="3" t="s">
        <v>160</v>
      </c>
      <c r="B1938" s="2">
        <v>71</v>
      </c>
      <c r="C1938" s="4" t="s">
        <v>94</v>
      </c>
      <c r="D1938" s="3" t="s">
        <v>161</v>
      </c>
      <c r="E1938" s="3" t="s">
        <v>149</v>
      </c>
      <c r="F1938" s="3" t="str">
        <f t="shared" si="0"/>
        <v>3 - Otros</v>
      </c>
      <c r="G1938" s="2">
        <v>31</v>
      </c>
      <c r="H1938" s="3"/>
    </row>
    <row r="1939" spans="1:8" ht="12.75" hidden="1" x14ac:dyDescent="0.2">
      <c r="A1939" s="3" t="s">
        <v>160</v>
      </c>
      <c r="B1939" s="2">
        <v>71</v>
      </c>
      <c r="C1939" s="4" t="s">
        <v>94</v>
      </c>
      <c r="D1939" s="3" t="s">
        <v>161</v>
      </c>
      <c r="E1939" s="3" t="s">
        <v>133</v>
      </c>
      <c r="F1939" s="3" t="str">
        <f t="shared" si="0"/>
        <v>3 - Otros</v>
      </c>
      <c r="G1939" s="2">
        <v>9</v>
      </c>
      <c r="H1939" s="3"/>
    </row>
    <row r="1940" spans="1:8" ht="12.75" hidden="1" x14ac:dyDescent="0.2">
      <c r="A1940" s="3" t="s">
        <v>160</v>
      </c>
      <c r="B1940" s="2">
        <v>71</v>
      </c>
      <c r="C1940" s="4" t="s">
        <v>94</v>
      </c>
      <c r="D1940" s="3" t="s">
        <v>161</v>
      </c>
      <c r="E1940" s="3" t="s">
        <v>139</v>
      </c>
      <c r="F1940" s="3" t="str">
        <f t="shared" si="0"/>
        <v>3 - Otros</v>
      </c>
      <c r="G1940" s="2">
        <v>4</v>
      </c>
      <c r="H1940" s="3"/>
    </row>
    <row r="1941" spans="1:8" ht="12.75" hidden="1" x14ac:dyDescent="0.2">
      <c r="A1941" s="3" t="s">
        <v>160</v>
      </c>
      <c r="B1941" s="2">
        <v>71</v>
      </c>
      <c r="C1941" s="4" t="s">
        <v>94</v>
      </c>
      <c r="D1941" s="3" t="s">
        <v>161</v>
      </c>
      <c r="E1941" s="3" t="s">
        <v>148</v>
      </c>
      <c r="F1941" s="3" t="str">
        <f t="shared" si="0"/>
        <v>3 - Otros</v>
      </c>
      <c r="G1941" s="2">
        <v>4</v>
      </c>
      <c r="H1941" s="3"/>
    </row>
    <row r="1942" spans="1:8" ht="12.75" hidden="1" x14ac:dyDescent="0.2">
      <c r="A1942" s="3" t="s">
        <v>160</v>
      </c>
      <c r="B1942" s="2">
        <v>71</v>
      </c>
      <c r="C1942" s="4" t="s">
        <v>94</v>
      </c>
      <c r="D1942" s="3" t="s">
        <v>161</v>
      </c>
      <c r="E1942" s="3" t="s">
        <v>138</v>
      </c>
      <c r="F1942" s="3" t="str">
        <f t="shared" si="0"/>
        <v>4 - Blanco/Nulo</v>
      </c>
      <c r="G1942" s="2">
        <v>3</v>
      </c>
      <c r="H1942" s="3"/>
    </row>
    <row r="1943" spans="1:8" ht="12.75" hidden="1" x14ac:dyDescent="0.2">
      <c r="A1943" s="3" t="s">
        <v>160</v>
      </c>
      <c r="B1943" s="2">
        <v>71</v>
      </c>
      <c r="C1943" s="4" t="s">
        <v>94</v>
      </c>
      <c r="D1943" s="3" t="s">
        <v>161</v>
      </c>
      <c r="E1943" s="3" t="s">
        <v>145</v>
      </c>
      <c r="F1943" s="3" t="str">
        <f t="shared" si="0"/>
        <v>3 - Otros</v>
      </c>
      <c r="G1943" s="2">
        <v>2</v>
      </c>
      <c r="H1943" s="3"/>
    </row>
    <row r="1944" spans="1:8" ht="12.75" hidden="1" x14ac:dyDescent="0.2">
      <c r="A1944" s="3" t="s">
        <v>160</v>
      </c>
      <c r="B1944" s="2">
        <v>71</v>
      </c>
      <c r="C1944" s="4" t="s">
        <v>94</v>
      </c>
      <c r="D1944" s="3" t="s">
        <v>161</v>
      </c>
      <c r="E1944" s="3" t="s">
        <v>135</v>
      </c>
      <c r="F1944" s="3" t="str">
        <f t="shared" si="0"/>
        <v>3 - Otros</v>
      </c>
      <c r="G1944" s="2">
        <v>1</v>
      </c>
      <c r="H1944" s="2">
        <f>SUM(G1935:G1944)</f>
        <v>1046</v>
      </c>
    </row>
    <row r="1945" spans="1:8" ht="12.75" hidden="1" x14ac:dyDescent="0.2">
      <c r="A1945" s="3" t="s">
        <v>160</v>
      </c>
      <c r="B1945" s="2">
        <v>71</v>
      </c>
      <c r="C1945" s="4" t="s">
        <v>94</v>
      </c>
      <c r="D1945" s="3" t="s">
        <v>162</v>
      </c>
      <c r="E1945" s="3" t="s">
        <v>136</v>
      </c>
      <c r="F1945" s="3" t="str">
        <f t="shared" si="0"/>
        <v>1 - PJ</v>
      </c>
      <c r="G1945" s="2">
        <v>633</v>
      </c>
      <c r="H1945" s="3"/>
    </row>
    <row r="1946" spans="1:8" ht="12.75" hidden="1" x14ac:dyDescent="0.2">
      <c r="A1946" s="3" t="s">
        <v>160</v>
      </c>
      <c r="B1946" s="2">
        <v>71</v>
      </c>
      <c r="C1946" s="4" t="s">
        <v>94</v>
      </c>
      <c r="D1946" s="3" t="s">
        <v>162</v>
      </c>
      <c r="E1946" s="3" t="s">
        <v>128</v>
      </c>
      <c r="F1946" s="3" t="str">
        <f t="shared" si="0"/>
        <v>2 - Frepam</v>
      </c>
      <c r="G1946" s="2">
        <v>325</v>
      </c>
      <c r="H1946" s="3"/>
    </row>
    <row r="1947" spans="1:8" ht="12.75" hidden="1" x14ac:dyDescent="0.2">
      <c r="A1947" s="3" t="s">
        <v>160</v>
      </c>
      <c r="B1947" s="2">
        <v>71</v>
      </c>
      <c r="C1947" s="4" t="s">
        <v>94</v>
      </c>
      <c r="D1947" s="3" t="s">
        <v>162</v>
      </c>
      <c r="E1947" s="3" t="s">
        <v>14</v>
      </c>
      <c r="F1947" s="3" t="str">
        <f t="shared" si="0"/>
        <v>4 - Blanco/Nulo</v>
      </c>
      <c r="G1947" s="2">
        <v>35</v>
      </c>
      <c r="H1947" s="3"/>
    </row>
    <row r="1948" spans="1:8" ht="12.75" hidden="1" x14ac:dyDescent="0.2">
      <c r="A1948" s="3" t="s">
        <v>160</v>
      </c>
      <c r="B1948" s="2">
        <v>71</v>
      </c>
      <c r="C1948" s="4" t="s">
        <v>94</v>
      </c>
      <c r="D1948" s="3" t="s">
        <v>162</v>
      </c>
      <c r="E1948" s="3" t="s">
        <v>149</v>
      </c>
      <c r="F1948" s="3" t="str">
        <f t="shared" si="0"/>
        <v>3 - Otros</v>
      </c>
      <c r="G1948" s="2">
        <v>31</v>
      </c>
      <c r="H1948" s="3"/>
    </row>
    <row r="1949" spans="1:8" ht="12.75" hidden="1" x14ac:dyDescent="0.2">
      <c r="A1949" s="3" t="s">
        <v>160</v>
      </c>
      <c r="B1949" s="2">
        <v>71</v>
      </c>
      <c r="C1949" s="4" t="s">
        <v>94</v>
      </c>
      <c r="D1949" s="3" t="s">
        <v>162</v>
      </c>
      <c r="E1949" s="3" t="s">
        <v>133</v>
      </c>
      <c r="F1949" s="3" t="str">
        <f t="shared" si="0"/>
        <v>3 - Otros</v>
      </c>
      <c r="G1949" s="2">
        <v>8</v>
      </c>
      <c r="H1949" s="3"/>
    </row>
    <row r="1950" spans="1:8" ht="12.75" hidden="1" x14ac:dyDescent="0.2">
      <c r="A1950" s="3" t="s">
        <v>160</v>
      </c>
      <c r="B1950" s="2">
        <v>71</v>
      </c>
      <c r="C1950" s="4" t="s">
        <v>94</v>
      </c>
      <c r="D1950" s="3" t="s">
        <v>162</v>
      </c>
      <c r="E1950" s="3" t="s">
        <v>148</v>
      </c>
      <c r="F1950" s="3" t="str">
        <f t="shared" si="0"/>
        <v>3 - Otros</v>
      </c>
      <c r="G1950" s="2">
        <v>4</v>
      </c>
      <c r="H1950" s="3"/>
    </row>
    <row r="1951" spans="1:8" ht="12.75" hidden="1" x14ac:dyDescent="0.2">
      <c r="A1951" s="3" t="s">
        <v>160</v>
      </c>
      <c r="B1951" s="2">
        <v>71</v>
      </c>
      <c r="C1951" s="4" t="s">
        <v>94</v>
      </c>
      <c r="D1951" s="3" t="s">
        <v>162</v>
      </c>
      <c r="E1951" s="3" t="s">
        <v>139</v>
      </c>
      <c r="F1951" s="3" t="str">
        <f t="shared" si="0"/>
        <v>3 - Otros</v>
      </c>
      <c r="G1951" s="2">
        <v>4</v>
      </c>
      <c r="H1951" s="3"/>
    </row>
    <row r="1952" spans="1:8" ht="12.75" hidden="1" x14ac:dyDescent="0.2">
      <c r="A1952" s="3" t="s">
        <v>160</v>
      </c>
      <c r="B1952" s="2">
        <v>71</v>
      </c>
      <c r="C1952" s="4" t="s">
        <v>94</v>
      </c>
      <c r="D1952" s="3" t="s">
        <v>162</v>
      </c>
      <c r="E1952" s="3" t="s">
        <v>138</v>
      </c>
      <c r="F1952" s="3" t="str">
        <f t="shared" si="0"/>
        <v>4 - Blanco/Nulo</v>
      </c>
      <c r="G1952" s="2">
        <v>3</v>
      </c>
      <c r="H1952" s="3"/>
    </row>
    <row r="1953" spans="1:8" ht="12.75" hidden="1" x14ac:dyDescent="0.2">
      <c r="A1953" s="3" t="s">
        <v>160</v>
      </c>
      <c r="B1953" s="2">
        <v>71</v>
      </c>
      <c r="C1953" s="4" t="s">
        <v>94</v>
      </c>
      <c r="D1953" s="3" t="s">
        <v>162</v>
      </c>
      <c r="E1953" s="3" t="s">
        <v>145</v>
      </c>
      <c r="F1953" s="3" t="str">
        <f t="shared" si="0"/>
        <v>3 - Otros</v>
      </c>
      <c r="G1953" s="2">
        <v>2</v>
      </c>
      <c r="H1953" s="3"/>
    </row>
    <row r="1954" spans="1:8" ht="12.75" hidden="1" x14ac:dyDescent="0.2">
      <c r="A1954" s="3" t="s">
        <v>160</v>
      </c>
      <c r="B1954" s="2">
        <v>71</v>
      </c>
      <c r="C1954" s="4" t="s">
        <v>94</v>
      </c>
      <c r="D1954" s="3" t="s">
        <v>162</v>
      </c>
      <c r="E1954" s="3" t="s">
        <v>135</v>
      </c>
      <c r="F1954" s="3" t="str">
        <f t="shared" si="0"/>
        <v>3 - Otros</v>
      </c>
      <c r="G1954" s="2">
        <v>1</v>
      </c>
      <c r="H1954" s="2">
        <f>SUM(G1945:G1954)</f>
        <v>1046</v>
      </c>
    </row>
    <row r="1955" spans="1:8" ht="12.75" hidden="1" x14ac:dyDescent="0.2">
      <c r="A1955" s="3" t="s">
        <v>160</v>
      </c>
      <c r="B1955" s="2">
        <v>72</v>
      </c>
      <c r="C1955" s="4" t="s">
        <v>95</v>
      </c>
      <c r="D1955" s="3" t="s">
        <v>2</v>
      </c>
      <c r="E1955" s="3" t="s">
        <v>128</v>
      </c>
      <c r="F1955" s="3" t="str">
        <f t="shared" si="0"/>
        <v>2 - Frepam</v>
      </c>
      <c r="G1955" s="2">
        <v>895</v>
      </c>
      <c r="H1955" s="3"/>
    </row>
    <row r="1956" spans="1:8" ht="12.75" hidden="1" x14ac:dyDescent="0.2">
      <c r="A1956" s="3" t="s">
        <v>160</v>
      </c>
      <c r="B1956" s="2">
        <v>72</v>
      </c>
      <c r="C1956" s="4" t="s">
        <v>95</v>
      </c>
      <c r="D1956" s="3" t="s">
        <v>2</v>
      </c>
      <c r="E1956" s="3" t="s">
        <v>136</v>
      </c>
      <c r="F1956" s="3" t="str">
        <f t="shared" si="0"/>
        <v>1 - PJ</v>
      </c>
      <c r="G1956" s="2">
        <v>761</v>
      </c>
      <c r="H1956" s="3"/>
    </row>
    <row r="1957" spans="1:8" ht="12.75" hidden="1" x14ac:dyDescent="0.2">
      <c r="A1957" s="3" t="s">
        <v>160</v>
      </c>
      <c r="B1957" s="2">
        <v>72</v>
      </c>
      <c r="C1957" s="4" t="s">
        <v>95</v>
      </c>
      <c r="D1957" s="3" t="s">
        <v>2</v>
      </c>
      <c r="E1957" s="3" t="s">
        <v>14</v>
      </c>
      <c r="F1957" s="3" t="str">
        <f t="shared" si="0"/>
        <v>4 - Blanco/Nulo</v>
      </c>
      <c r="G1957" s="2">
        <v>99</v>
      </c>
      <c r="H1957" s="3"/>
    </row>
    <row r="1958" spans="1:8" ht="12.75" hidden="1" x14ac:dyDescent="0.2">
      <c r="A1958" s="3" t="s">
        <v>160</v>
      </c>
      <c r="B1958" s="2">
        <v>72</v>
      </c>
      <c r="C1958" s="4" t="s">
        <v>95</v>
      </c>
      <c r="D1958" s="3" t="s">
        <v>2</v>
      </c>
      <c r="E1958" s="3" t="s">
        <v>138</v>
      </c>
      <c r="F1958" s="3" t="str">
        <f t="shared" si="0"/>
        <v>4 - Blanco/Nulo</v>
      </c>
      <c r="G1958" s="2">
        <v>10</v>
      </c>
      <c r="H1958" s="2">
        <f>SUM(G1955:G1958)</f>
        <v>1765</v>
      </c>
    </row>
    <row r="1959" spans="1:8" ht="12.75" hidden="1" x14ac:dyDescent="0.2">
      <c r="A1959" s="3" t="s">
        <v>160</v>
      </c>
      <c r="B1959" s="2">
        <v>72</v>
      </c>
      <c r="C1959" s="4" t="s">
        <v>95</v>
      </c>
      <c r="D1959" s="3" t="s">
        <v>161</v>
      </c>
      <c r="E1959" s="3" t="s">
        <v>128</v>
      </c>
      <c r="F1959" s="3" t="str">
        <f t="shared" si="0"/>
        <v>2 - Frepam</v>
      </c>
      <c r="G1959" s="2">
        <v>768</v>
      </c>
      <c r="H1959" s="3"/>
    </row>
    <row r="1960" spans="1:8" ht="12.75" hidden="1" x14ac:dyDescent="0.2">
      <c r="A1960" s="3" t="s">
        <v>160</v>
      </c>
      <c r="B1960" s="2">
        <v>72</v>
      </c>
      <c r="C1960" s="4" t="s">
        <v>95</v>
      </c>
      <c r="D1960" s="3" t="s">
        <v>161</v>
      </c>
      <c r="E1960" s="3" t="s">
        <v>136</v>
      </c>
      <c r="F1960" s="3" t="str">
        <f t="shared" si="0"/>
        <v>1 - PJ</v>
      </c>
      <c r="G1960" s="2">
        <v>729</v>
      </c>
      <c r="H1960" s="3"/>
    </row>
    <row r="1961" spans="1:8" ht="12.75" hidden="1" x14ac:dyDescent="0.2">
      <c r="A1961" s="3" t="s">
        <v>160</v>
      </c>
      <c r="B1961" s="2">
        <v>72</v>
      </c>
      <c r="C1961" s="4" t="s">
        <v>95</v>
      </c>
      <c r="D1961" s="3" t="s">
        <v>161</v>
      </c>
      <c r="E1961" s="3" t="s">
        <v>149</v>
      </c>
      <c r="F1961" s="3" t="str">
        <f t="shared" si="0"/>
        <v>3 - Otros</v>
      </c>
      <c r="G1961" s="2">
        <v>102</v>
      </c>
      <c r="H1961" s="3"/>
    </row>
    <row r="1962" spans="1:8" ht="12.75" hidden="1" x14ac:dyDescent="0.2">
      <c r="A1962" s="3" t="s">
        <v>160</v>
      </c>
      <c r="B1962" s="2">
        <v>72</v>
      </c>
      <c r="C1962" s="4" t="s">
        <v>95</v>
      </c>
      <c r="D1962" s="3" t="s">
        <v>161</v>
      </c>
      <c r="E1962" s="3" t="s">
        <v>14</v>
      </c>
      <c r="F1962" s="3" t="str">
        <f t="shared" si="0"/>
        <v>4 - Blanco/Nulo</v>
      </c>
      <c r="G1962" s="2">
        <v>93</v>
      </c>
      <c r="H1962" s="3"/>
    </row>
    <row r="1963" spans="1:8" ht="12.75" hidden="1" x14ac:dyDescent="0.2">
      <c r="A1963" s="3" t="s">
        <v>160</v>
      </c>
      <c r="B1963" s="2">
        <v>72</v>
      </c>
      <c r="C1963" s="4" t="s">
        <v>95</v>
      </c>
      <c r="D1963" s="3" t="s">
        <v>161</v>
      </c>
      <c r="E1963" s="3" t="s">
        <v>133</v>
      </c>
      <c r="F1963" s="3" t="str">
        <f t="shared" si="0"/>
        <v>3 - Otros</v>
      </c>
      <c r="G1963" s="2">
        <v>31</v>
      </c>
      <c r="H1963" s="3"/>
    </row>
    <row r="1964" spans="1:8" ht="12.75" hidden="1" x14ac:dyDescent="0.2">
      <c r="A1964" s="3" t="s">
        <v>160</v>
      </c>
      <c r="B1964" s="2">
        <v>72</v>
      </c>
      <c r="C1964" s="4" t="s">
        <v>95</v>
      </c>
      <c r="D1964" s="3" t="s">
        <v>161</v>
      </c>
      <c r="E1964" s="3" t="s">
        <v>138</v>
      </c>
      <c r="F1964" s="3" t="str">
        <f t="shared" si="0"/>
        <v>4 - Blanco/Nulo</v>
      </c>
      <c r="G1964" s="2">
        <v>17</v>
      </c>
      <c r="H1964" s="3"/>
    </row>
    <row r="1965" spans="1:8" ht="12.75" hidden="1" x14ac:dyDescent="0.2">
      <c r="A1965" s="3" t="s">
        <v>160</v>
      </c>
      <c r="B1965" s="2">
        <v>72</v>
      </c>
      <c r="C1965" s="4" t="s">
        <v>95</v>
      </c>
      <c r="D1965" s="3" t="s">
        <v>161</v>
      </c>
      <c r="E1965" s="3" t="s">
        <v>148</v>
      </c>
      <c r="F1965" s="3" t="str">
        <f t="shared" si="0"/>
        <v>3 - Otros</v>
      </c>
      <c r="G1965" s="2">
        <v>8</v>
      </c>
      <c r="H1965" s="3"/>
    </row>
    <row r="1966" spans="1:8" ht="12.75" hidden="1" x14ac:dyDescent="0.2">
      <c r="A1966" s="3" t="s">
        <v>160</v>
      </c>
      <c r="B1966" s="2">
        <v>72</v>
      </c>
      <c r="C1966" s="4" t="s">
        <v>95</v>
      </c>
      <c r="D1966" s="3" t="s">
        <v>161</v>
      </c>
      <c r="E1966" s="3" t="s">
        <v>139</v>
      </c>
      <c r="F1966" s="3" t="str">
        <f t="shared" si="0"/>
        <v>3 - Otros</v>
      </c>
      <c r="G1966" s="2">
        <v>8</v>
      </c>
      <c r="H1966" s="3"/>
    </row>
    <row r="1967" spans="1:8" ht="12.75" hidden="1" x14ac:dyDescent="0.2">
      <c r="A1967" s="3" t="s">
        <v>160</v>
      </c>
      <c r="B1967" s="2">
        <v>72</v>
      </c>
      <c r="C1967" s="4" t="s">
        <v>95</v>
      </c>
      <c r="D1967" s="3" t="s">
        <v>161</v>
      </c>
      <c r="E1967" s="3" t="s">
        <v>145</v>
      </c>
      <c r="F1967" s="3" t="str">
        <f t="shared" si="0"/>
        <v>3 - Otros</v>
      </c>
      <c r="G1967" s="2">
        <v>5</v>
      </c>
      <c r="H1967" s="3"/>
    </row>
    <row r="1968" spans="1:8" ht="12.75" hidden="1" x14ac:dyDescent="0.2">
      <c r="A1968" s="3" t="s">
        <v>160</v>
      </c>
      <c r="B1968" s="2">
        <v>72</v>
      </c>
      <c r="C1968" s="4" t="s">
        <v>95</v>
      </c>
      <c r="D1968" s="3" t="s">
        <v>161</v>
      </c>
      <c r="E1968" s="3" t="s">
        <v>135</v>
      </c>
      <c r="F1968" s="3" t="str">
        <f t="shared" si="0"/>
        <v>3 - Otros</v>
      </c>
      <c r="G1968" s="2">
        <v>4</v>
      </c>
      <c r="H1968" s="2">
        <f>SUM(G1959:G1968)</f>
        <v>1765</v>
      </c>
    </row>
    <row r="1969" spans="1:8" ht="12.75" hidden="1" x14ac:dyDescent="0.2">
      <c r="A1969" s="3" t="s">
        <v>160</v>
      </c>
      <c r="B1969" s="2">
        <v>72</v>
      </c>
      <c r="C1969" s="4" t="s">
        <v>95</v>
      </c>
      <c r="D1969" s="3" t="s">
        <v>162</v>
      </c>
      <c r="E1969" s="3" t="s">
        <v>128</v>
      </c>
      <c r="F1969" s="3" t="str">
        <f t="shared" si="0"/>
        <v>2 - Frepam</v>
      </c>
      <c r="G1969" s="2">
        <v>762</v>
      </c>
      <c r="H1969" s="3"/>
    </row>
    <row r="1970" spans="1:8" ht="12.75" hidden="1" x14ac:dyDescent="0.2">
      <c r="A1970" s="3" t="s">
        <v>160</v>
      </c>
      <c r="B1970" s="2">
        <v>72</v>
      </c>
      <c r="C1970" s="4" t="s">
        <v>95</v>
      </c>
      <c r="D1970" s="3" t="s">
        <v>162</v>
      </c>
      <c r="E1970" s="3" t="s">
        <v>136</v>
      </c>
      <c r="F1970" s="3" t="str">
        <f t="shared" si="0"/>
        <v>1 - PJ</v>
      </c>
      <c r="G1970" s="2">
        <v>749</v>
      </c>
      <c r="H1970" s="3"/>
    </row>
    <row r="1971" spans="1:8" ht="12.75" hidden="1" x14ac:dyDescent="0.2">
      <c r="A1971" s="3" t="s">
        <v>160</v>
      </c>
      <c r="B1971" s="2">
        <v>72</v>
      </c>
      <c r="C1971" s="4" t="s">
        <v>95</v>
      </c>
      <c r="D1971" s="3" t="s">
        <v>162</v>
      </c>
      <c r="E1971" s="3" t="s">
        <v>149</v>
      </c>
      <c r="F1971" s="3" t="str">
        <f t="shared" si="0"/>
        <v>3 - Otros</v>
      </c>
      <c r="G1971" s="2">
        <v>100</v>
      </c>
      <c r="H1971" s="3"/>
    </row>
    <row r="1972" spans="1:8" ht="12.75" hidden="1" x14ac:dyDescent="0.2">
      <c r="A1972" s="3" t="s">
        <v>160</v>
      </c>
      <c r="B1972" s="2">
        <v>72</v>
      </c>
      <c r="C1972" s="4" t="s">
        <v>95</v>
      </c>
      <c r="D1972" s="3" t="s">
        <v>162</v>
      </c>
      <c r="E1972" s="3" t="s">
        <v>14</v>
      </c>
      <c r="F1972" s="3" t="str">
        <f t="shared" si="0"/>
        <v>4 - Blanco/Nulo</v>
      </c>
      <c r="G1972" s="2">
        <v>71</v>
      </c>
      <c r="H1972" s="3"/>
    </row>
    <row r="1973" spans="1:8" ht="12.75" hidden="1" x14ac:dyDescent="0.2">
      <c r="A1973" s="3" t="s">
        <v>160</v>
      </c>
      <c r="B1973" s="2">
        <v>72</v>
      </c>
      <c r="C1973" s="4" t="s">
        <v>95</v>
      </c>
      <c r="D1973" s="3" t="s">
        <v>162</v>
      </c>
      <c r="E1973" s="3" t="s">
        <v>133</v>
      </c>
      <c r="F1973" s="3" t="str">
        <f t="shared" si="0"/>
        <v>3 - Otros</v>
      </c>
      <c r="G1973" s="2">
        <v>46</v>
      </c>
      <c r="H1973" s="3"/>
    </row>
    <row r="1974" spans="1:8" ht="12.75" hidden="1" x14ac:dyDescent="0.2">
      <c r="A1974" s="3" t="s">
        <v>160</v>
      </c>
      <c r="B1974" s="2">
        <v>72</v>
      </c>
      <c r="C1974" s="4" t="s">
        <v>95</v>
      </c>
      <c r="D1974" s="3" t="s">
        <v>162</v>
      </c>
      <c r="E1974" s="3" t="s">
        <v>138</v>
      </c>
      <c r="F1974" s="3" t="str">
        <f t="shared" si="0"/>
        <v>4 - Blanco/Nulo</v>
      </c>
      <c r="G1974" s="2">
        <v>14</v>
      </c>
      <c r="H1974" s="3"/>
    </row>
    <row r="1975" spans="1:8" ht="12.75" hidden="1" x14ac:dyDescent="0.2">
      <c r="A1975" s="3" t="s">
        <v>160</v>
      </c>
      <c r="B1975" s="2">
        <v>72</v>
      </c>
      <c r="C1975" s="4" t="s">
        <v>95</v>
      </c>
      <c r="D1975" s="3" t="s">
        <v>162</v>
      </c>
      <c r="E1975" s="3" t="s">
        <v>139</v>
      </c>
      <c r="F1975" s="3" t="str">
        <f t="shared" si="0"/>
        <v>3 - Otros</v>
      </c>
      <c r="G1975" s="2">
        <v>8</v>
      </c>
      <c r="H1975" s="3"/>
    </row>
    <row r="1976" spans="1:8" ht="12.75" hidden="1" x14ac:dyDescent="0.2">
      <c r="A1976" s="3" t="s">
        <v>160</v>
      </c>
      <c r="B1976" s="2">
        <v>72</v>
      </c>
      <c r="C1976" s="4" t="s">
        <v>95</v>
      </c>
      <c r="D1976" s="3" t="s">
        <v>162</v>
      </c>
      <c r="E1976" s="3" t="s">
        <v>148</v>
      </c>
      <c r="F1976" s="3" t="str">
        <f t="shared" si="0"/>
        <v>3 - Otros</v>
      </c>
      <c r="G1976" s="2">
        <v>6</v>
      </c>
      <c r="H1976" s="3"/>
    </row>
    <row r="1977" spans="1:8" ht="12.75" hidden="1" x14ac:dyDescent="0.2">
      <c r="A1977" s="3" t="s">
        <v>160</v>
      </c>
      <c r="B1977" s="2">
        <v>72</v>
      </c>
      <c r="C1977" s="4" t="s">
        <v>95</v>
      </c>
      <c r="D1977" s="3" t="s">
        <v>162</v>
      </c>
      <c r="E1977" s="3" t="s">
        <v>145</v>
      </c>
      <c r="F1977" s="3" t="str">
        <f t="shared" si="0"/>
        <v>3 - Otros</v>
      </c>
      <c r="G1977" s="2">
        <v>5</v>
      </c>
      <c r="H1977" s="3"/>
    </row>
    <row r="1978" spans="1:8" ht="12.75" hidden="1" x14ac:dyDescent="0.2">
      <c r="A1978" s="3" t="s">
        <v>160</v>
      </c>
      <c r="B1978" s="2">
        <v>72</v>
      </c>
      <c r="C1978" s="4" t="s">
        <v>95</v>
      </c>
      <c r="D1978" s="3" t="s">
        <v>162</v>
      </c>
      <c r="E1978" s="3" t="s">
        <v>135</v>
      </c>
      <c r="F1978" s="3" t="str">
        <f t="shared" si="0"/>
        <v>3 - Otros</v>
      </c>
      <c r="G1978" s="2">
        <v>4</v>
      </c>
      <c r="H1978" s="2">
        <f>SUM(G1969:G1978)</f>
        <v>1765</v>
      </c>
    </row>
    <row r="1979" spans="1:8" ht="12.75" hidden="1" x14ac:dyDescent="0.2">
      <c r="A1979" s="3" t="s">
        <v>160</v>
      </c>
      <c r="B1979" s="2">
        <v>73</v>
      </c>
      <c r="C1979" s="4" t="s">
        <v>96</v>
      </c>
      <c r="D1979" s="3" t="s">
        <v>2</v>
      </c>
      <c r="E1979" s="3" t="s">
        <v>136</v>
      </c>
      <c r="F1979" s="3" t="str">
        <f t="shared" si="0"/>
        <v>1 - PJ</v>
      </c>
      <c r="G1979" s="2">
        <v>102</v>
      </c>
      <c r="H1979" s="3"/>
    </row>
    <row r="1980" spans="1:8" ht="12.75" hidden="1" x14ac:dyDescent="0.2">
      <c r="A1980" s="3" t="s">
        <v>160</v>
      </c>
      <c r="B1980" s="2">
        <v>73</v>
      </c>
      <c r="C1980" s="4" t="s">
        <v>96</v>
      </c>
      <c r="D1980" s="3" t="s">
        <v>2</v>
      </c>
      <c r="E1980" s="3" t="s">
        <v>14</v>
      </c>
      <c r="F1980" s="3" t="str">
        <f t="shared" si="0"/>
        <v>4 - Blanco/Nulo</v>
      </c>
      <c r="G1980" s="2">
        <v>58</v>
      </c>
      <c r="H1980" s="2">
        <f>SUM(G1979:G1980)</f>
        <v>160</v>
      </c>
    </row>
    <row r="1981" spans="1:8" ht="12.75" hidden="1" x14ac:dyDescent="0.2">
      <c r="A1981" s="3" t="s">
        <v>160</v>
      </c>
      <c r="B1981" s="2">
        <v>73</v>
      </c>
      <c r="C1981" s="4" t="s">
        <v>96</v>
      </c>
      <c r="D1981" s="3" t="s">
        <v>161</v>
      </c>
      <c r="E1981" s="3" t="s">
        <v>136</v>
      </c>
      <c r="F1981" s="3" t="str">
        <f t="shared" si="0"/>
        <v>1 - PJ</v>
      </c>
      <c r="G1981" s="2">
        <v>96</v>
      </c>
      <c r="H1981" s="3"/>
    </row>
    <row r="1982" spans="1:8" ht="12.75" hidden="1" x14ac:dyDescent="0.2">
      <c r="A1982" s="3" t="s">
        <v>160</v>
      </c>
      <c r="B1982" s="2">
        <v>73</v>
      </c>
      <c r="C1982" s="4" t="s">
        <v>96</v>
      </c>
      <c r="D1982" s="3" t="s">
        <v>161</v>
      </c>
      <c r="E1982" s="3" t="s">
        <v>128</v>
      </c>
      <c r="F1982" s="3" t="str">
        <f t="shared" si="0"/>
        <v>2 - Frepam</v>
      </c>
      <c r="G1982" s="2">
        <v>36</v>
      </c>
      <c r="H1982" s="3"/>
    </row>
    <row r="1983" spans="1:8" ht="12.75" hidden="1" x14ac:dyDescent="0.2">
      <c r="A1983" s="3" t="s">
        <v>160</v>
      </c>
      <c r="B1983" s="2">
        <v>73</v>
      </c>
      <c r="C1983" s="4" t="s">
        <v>96</v>
      </c>
      <c r="D1983" s="3" t="s">
        <v>161</v>
      </c>
      <c r="E1983" s="3" t="s">
        <v>14</v>
      </c>
      <c r="F1983" s="3" t="str">
        <f t="shared" si="0"/>
        <v>4 - Blanco/Nulo</v>
      </c>
      <c r="G1983" s="2">
        <v>11</v>
      </c>
      <c r="H1983" s="3"/>
    </row>
    <row r="1984" spans="1:8" ht="12.75" hidden="1" x14ac:dyDescent="0.2">
      <c r="A1984" s="3" t="s">
        <v>160</v>
      </c>
      <c r="B1984" s="2">
        <v>73</v>
      </c>
      <c r="C1984" s="4" t="s">
        <v>96</v>
      </c>
      <c r="D1984" s="3" t="s">
        <v>161</v>
      </c>
      <c r="E1984" s="3" t="s">
        <v>133</v>
      </c>
      <c r="F1984" s="3" t="str">
        <f t="shared" si="0"/>
        <v>3 - Otros</v>
      </c>
      <c r="G1984" s="2">
        <v>7</v>
      </c>
      <c r="H1984" s="3"/>
    </row>
    <row r="1985" spans="1:8" ht="12.75" hidden="1" x14ac:dyDescent="0.2">
      <c r="A1985" s="3" t="s">
        <v>160</v>
      </c>
      <c r="B1985" s="2">
        <v>73</v>
      </c>
      <c r="C1985" s="4" t="s">
        <v>96</v>
      </c>
      <c r="D1985" s="3" t="s">
        <v>161</v>
      </c>
      <c r="E1985" s="3" t="s">
        <v>149</v>
      </c>
      <c r="F1985" s="3" t="str">
        <f t="shared" si="0"/>
        <v>3 - Otros</v>
      </c>
      <c r="G1985" s="2">
        <v>5</v>
      </c>
      <c r="H1985" s="3"/>
    </row>
    <row r="1986" spans="1:8" ht="12.75" hidden="1" x14ac:dyDescent="0.2">
      <c r="A1986" s="3" t="s">
        <v>160</v>
      </c>
      <c r="B1986" s="2">
        <v>73</v>
      </c>
      <c r="C1986" s="4" t="s">
        <v>96</v>
      </c>
      <c r="D1986" s="3" t="s">
        <v>161</v>
      </c>
      <c r="E1986" s="3" t="s">
        <v>148</v>
      </c>
      <c r="F1986" s="3" t="str">
        <f t="shared" si="0"/>
        <v>3 - Otros</v>
      </c>
      <c r="G1986" s="2">
        <v>3</v>
      </c>
      <c r="H1986" s="3"/>
    </row>
    <row r="1987" spans="1:8" ht="12.75" hidden="1" x14ac:dyDescent="0.2">
      <c r="A1987" s="3" t="s">
        <v>160</v>
      </c>
      <c r="B1987" s="2">
        <v>73</v>
      </c>
      <c r="C1987" s="4" t="s">
        <v>96</v>
      </c>
      <c r="D1987" s="3" t="s">
        <v>161</v>
      </c>
      <c r="E1987" s="3" t="s">
        <v>138</v>
      </c>
      <c r="F1987" s="3" t="str">
        <f t="shared" si="0"/>
        <v>4 - Blanco/Nulo</v>
      </c>
      <c r="G1987" s="2">
        <v>2</v>
      </c>
      <c r="H1987" s="2">
        <f>SUM(G1981:G1987)</f>
        <v>160</v>
      </c>
    </row>
    <row r="1988" spans="1:8" ht="12.75" hidden="1" x14ac:dyDescent="0.2">
      <c r="A1988" s="3" t="s">
        <v>160</v>
      </c>
      <c r="B1988" s="2">
        <v>73</v>
      </c>
      <c r="C1988" s="4" t="s">
        <v>96</v>
      </c>
      <c r="D1988" s="3" t="s">
        <v>162</v>
      </c>
      <c r="E1988" s="3" t="s">
        <v>136</v>
      </c>
      <c r="F1988" s="3" t="str">
        <f t="shared" si="0"/>
        <v>1 - PJ</v>
      </c>
      <c r="G1988" s="2">
        <v>101</v>
      </c>
      <c r="H1988" s="3"/>
    </row>
    <row r="1989" spans="1:8" ht="12.75" hidden="1" x14ac:dyDescent="0.2">
      <c r="A1989" s="3" t="s">
        <v>160</v>
      </c>
      <c r="B1989" s="2">
        <v>73</v>
      </c>
      <c r="C1989" s="4" t="s">
        <v>96</v>
      </c>
      <c r="D1989" s="3" t="s">
        <v>162</v>
      </c>
      <c r="E1989" s="3" t="s">
        <v>128</v>
      </c>
      <c r="F1989" s="3" t="str">
        <f t="shared" si="0"/>
        <v>2 - Frepam</v>
      </c>
      <c r="G1989" s="2">
        <v>36</v>
      </c>
      <c r="H1989" s="3"/>
    </row>
    <row r="1990" spans="1:8" ht="12.75" hidden="1" x14ac:dyDescent="0.2">
      <c r="A1990" s="3" t="s">
        <v>160</v>
      </c>
      <c r="B1990" s="2">
        <v>73</v>
      </c>
      <c r="C1990" s="4" t="s">
        <v>96</v>
      </c>
      <c r="D1990" s="3" t="s">
        <v>162</v>
      </c>
      <c r="E1990" s="3" t="s">
        <v>133</v>
      </c>
      <c r="F1990" s="3" t="str">
        <f t="shared" si="0"/>
        <v>3 - Otros</v>
      </c>
      <c r="G1990" s="2">
        <v>8</v>
      </c>
      <c r="H1990" s="3"/>
    </row>
    <row r="1991" spans="1:8" ht="12.75" hidden="1" x14ac:dyDescent="0.2">
      <c r="A1991" s="3" t="s">
        <v>160</v>
      </c>
      <c r="B1991" s="2">
        <v>73</v>
      </c>
      <c r="C1991" s="4" t="s">
        <v>96</v>
      </c>
      <c r="D1991" s="3" t="s">
        <v>162</v>
      </c>
      <c r="E1991" s="3" t="s">
        <v>149</v>
      </c>
      <c r="F1991" s="3" t="str">
        <f t="shared" si="0"/>
        <v>3 - Otros</v>
      </c>
      <c r="G1991" s="2">
        <v>5</v>
      </c>
      <c r="H1991" s="3"/>
    </row>
    <row r="1992" spans="1:8" ht="12.75" hidden="1" x14ac:dyDescent="0.2">
      <c r="A1992" s="3" t="s">
        <v>160</v>
      </c>
      <c r="B1992" s="2">
        <v>73</v>
      </c>
      <c r="C1992" s="4" t="s">
        <v>96</v>
      </c>
      <c r="D1992" s="3" t="s">
        <v>162</v>
      </c>
      <c r="E1992" s="3" t="s">
        <v>14</v>
      </c>
      <c r="F1992" s="3" t="str">
        <f t="shared" si="0"/>
        <v>4 - Blanco/Nulo</v>
      </c>
      <c r="G1992" s="2">
        <v>5</v>
      </c>
      <c r="H1992" s="3"/>
    </row>
    <row r="1993" spans="1:8" ht="12.75" hidden="1" x14ac:dyDescent="0.2">
      <c r="A1993" s="3" t="s">
        <v>160</v>
      </c>
      <c r="B1993" s="2">
        <v>73</v>
      </c>
      <c r="C1993" s="4" t="s">
        <v>96</v>
      </c>
      <c r="D1993" s="3" t="s">
        <v>162</v>
      </c>
      <c r="E1993" s="3" t="s">
        <v>148</v>
      </c>
      <c r="F1993" s="3" t="str">
        <f t="shared" si="0"/>
        <v>3 - Otros</v>
      </c>
      <c r="G1993" s="2">
        <v>3</v>
      </c>
      <c r="H1993" s="3"/>
    </row>
    <row r="1994" spans="1:8" ht="12.75" hidden="1" x14ac:dyDescent="0.2">
      <c r="A1994" s="3" t="s">
        <v>160</v>
      </c>
      <c r="B1994" s="2">
        <v>73</v>
      </c>
      <c r="C1994" s="4" t="s">
        <v>96</v>
      </c>
      <c r="D1994" s="3" t="s">
        <v>162</v>
      </c>
      <c r="E1994" s="3" t="s">
        <v>138</v>
      </c>
      <c r="F1994" s="3" t="str">
        <f t="shared" si="0"/>
        <v>4 - Blanco/Nulo</v>
      </c>
      <c r="G1994" s="2">
        <v>2</v>
      </c>
      <c r="H1994" s="2">
        <f>SUM(G1988:G1994)</f>
        <v>160</v>
      </c>
    </row>
    <row r="1995" spans="1:8" ht="12.75" hidden="1" x14ac:dyDescent="0.2">
      <c r="A1995" s="3" t="s">
        <v>160</v>
      </c>
      <c r="B1995" s="2">
        <v>74</v>
      </c>
      <c r="C1995" s="4" t="s">
        <v>97</v>
      </c>
      <c r="D1995" s="3" t="s">
        <v>15</v>
      </c>
      <c r="E1995" s="3" t="s">
        <v>142</v>
      </c>
      <c r="F1995" s="3" t="str">
        <f t="shared" si="0"/>
        <v>3 - Otros</v>
      </c>
      <c r="G1995" s="2">
        <v>160</v>
      </c>
      <c r="H1995" s="3"/>
    </row>
    <row r="1996" spans="1:8" ht="12.75" hidden="1" x14ac:dyDescent="0.2">
      <c r="A1996" s="3" t="s">
        <v>160</v>
      </c>
      <c r="B1996" s="2">
        <v>74</v>
      </c>
      <c r="C1996" s="4" t="s">
        <v>97</v>
      </c>
      <c r="D1996" s="3" t="s">
        <v>15</v>
      </c>
      <c r="E1996" s="3" t="s">
        <v>14</v>
      </c>
      <c r="F1996" s="3" t="str">
        <f t="shared" si="0"/>
        <v>4 - Blanco/Nulo</v>
      </c>
      <c r="G1996" s="2">
        <v>155</v>
      </c>
      <c r="H1996" s="2">
        <f>SUM(G1995:G1996)</f>
        <v>315</v>
      </c>
    </row>
    <row r="1997" spans="1:8" ht="12.75" hidden="1" x14ac:dyDescent="0.2">
      <c r="A1997" s="3" t="s">
        <v>160</v>
      </c>
      <c r="B1997" s="2">
        <v>74</v>
      </c>
      <c r="C1997" s="4" t="s">
        <v>97</v>
      </c>
      <c r="D1997" s="3" t="s">
        <v>161</v>
      </c>
      <c r="E1997" s="3" t="s">
        <v>136</v>
      </c>
      <c r="F1997" s="3" t="str">
        <f t="shared" si="0"/>
        <v>1 - PJ</v>
      </c>
      <c r="G1997" s="2">
        <v>161</v>
      </c>
      <c r="H1997" s="3"/>
    </row>
    <row r="1998" spans="1:8" ht="12.75" hidden="1" x14ac:dyDescent="0.2">
      <c r="A1998" s="3" t="s">
        <v>160</v>
      </c>
      <c r="B1998" s="2">
        <v>74</v>
      </c>
      <c r="C1998" s="4" t="s">
        <v>97</v>
      </c>
      <c r="D1998" s="3" t="s">
        <v>161</v>
      </c>
      <c r="E1998" s="3" t="s">
        <v>128</v>
      </c>
      <c r="F1998" s="3" t="str">
        <f t="shared" si="0"/>
        <v>2 - Frepam</v>
      </c>
      <c r="G1998" s="2">
        <v>108</v>
      </c>
      <c r="H1998" s="3"/>
    </row>
    <row r="1999" spans="1:8" ht="12.75" hidden="1" x14ac:dyDescent="0.2">
      <c r="A1999" s="3" t="s">
        <v>160</v>
      </c>
      <c r="B1999" s="2">
        <v>74</v>
      </c>
      <c r="C1999" s="4" t="s">
        <v>97</v>
      </c>
      <c r="D1999" s="3" t="s">
        <v>161</v>
      </c>
      <c r="E1999" s="3" t="s">
        <v>14</v>
      </c>
      <c r="F1999" s="3" t="str">
        <f t="shared" si="0"/>
        <v>4 - Blanco/Nulo</v>
      </c>
      <c r="G1999" s="2">
        <v>27</v>
      </c>
      <c r="H1999" s="3"/>
    </row>
    <row r="2000" spans="1:8" ht="12.75" hidden="1" x14ac:dyDescent="0.2">
      <c r="A2000" s="3" t="s">
        <v>160</v>
      </c>
      <c r="B2000" s="2">
        <v>74</v>
      </c>
      <c r="C2000" s="4" t="s">
        <v>97</v>
      </c>
      <c r="D2000" s="3" t="s">
        <v>161</v>
      </c>
      <c r="E2000" s="3" t="s">
        <v>138</v>
      </c>
      <c r="F2000" s="3" t="str">
        <f t="shared" si="0"/>
        <v>4 - Blanco/Nulo</v>
      </c>
      <c r="G2000" s="2">
        <v>11</v>
      </c>
      <c r="H2000" s="3"/>
    </row>
    <row r="2001" spans="1:8" ht="12.75" hidden="1" x14ac:dyDescent="0.2">
      <c r="A2001" s="3" t="s">
        <v>160</v>
      </c>
      <c r="B2001" s="2">
        <v>74</v>
      </c>
      <c r="C2001" s="4" t="s">
        <v>97</v>
      </c>
      <c r="D2001" s="3" t="s">
        <v>161</v>
      </c>
      <c r="E2001" s="3" t="s">
        <v>148</v>
      </c>
      <c r="F2001" s="3" t="str">
        <f t="shared" si="0"/>
        <v>3 - Otros</v>
      </c>
      <c r="G2001" s="2">
        <v>3</v>
      </c>
      <c r="H2001" s="3"/>
    </row>
    <row r="2002" spans="1:8" ht="12.75" hidden="1" x14ac:dyDescent="0.2">
      <c r="A2002" s="3" t="s">
        <v>160</v>
      </c>
      <c r="B2002" s="2">
        <v>74</v>
      </c>
      <c r="C2002" s="4" t="s">
        <v>97</v>
      </c>
      <c r="D2002" s="3" t="s">
        <v>161</v>
      </c>
      <c r="E2002" s="3" t="s">
        <v>149</v>
      </c>
      <c r="F2002" s="3" t="str">
        <f t="shared" si="0"/>
        <v>3 - Otros</v>
      </c>
      <c r="G2002" s="2">
        <v>2</v>
      </c>
      <c r="H2002" s="3"/>
    </row>
    <row r="2003" spans="1:8" ht="12.75" hidden="1" x14ac:dyDescent="0.2">
      <c r="A2003" s="3" t="s">
        <v>160</v>
      </c>
      <c r="B2003" s="2">
        <v>74</v>
      </c>
      <c r="C2003" s="4" t="s">
        <v>97</v>
      </c>
      <c r="D2003" s="3" t="s">
        <v>161</v>
      </c>
      <c r="E2003" s="3" t="s">
        <v>135</v>
      </c>
      <c r="F2003" s="3" t="str">
        <f t="shared" si="0"/>
        <v>3 - Otros</v>
      </c>
      <c r="G2003" s="2">
        <v>2</v>
      </c>
      <c r="H2003" s="3"/>
    </row>
    <row r="2004" spans="1:8" ht="12.75" hidden="1" x14ac:dyDescent="0.2">
      <c r="A2004" s="3" t="s">
        <v>160</v>
      </c>
      <c r="B2004" s="2">
        <v>74</v>
      </c>
      <c r="C2004" s="4" t="s">
        <v>97</v>
      </c>
      <c r="D2004" s="3" t="s">
        <v>161</v>
      </c>
      <c r="E2004" s="3" t="s">
        <v>139</v>
      </c>
      <c r="F2004" s="3" t="str">
        <f t="shared" si="0"/>
        <v>3 - Otros</v>
      </c>
      <c r="G2004" s="2">
        <v>1</v>
      </c>
      <c r="H2004" s="2">
        <f>SUM(G1997:G2004)</f>
        <v>315</v>
      </c>
    </row>
    <row r="2005" spans="1:8" ht="12.75" hidden="1" x14ac:dyDescent="0.2">
      <c r="A2005" s="3" t="s">
        <v>160</v>
      </c>
      <c r="B2005" s="2">
        <v>74</v>
      </c>
      <c r="C2005" s="4" t="s">
        <v>97</v>
      </c>
      <c r="D2005" s="3" t="s">
        <v>162</v>
      </c>
      <c r="E2005" s="3" t="s">
        <v>136</v>
      </c>
      <c r="F2005" s="3" t="str">
        <f t="shared" si="0"/>
        <v>1 - PJ</v>
      </c>
      <c r="G2005" s="2">
        <v>161</v>
      </c>
      <c r="H2005" s="3"/>
    </row>
    <row r="2006" spans="1:8" ht="12.75" hidden="1" x14ac:dyDescent="0.2">
      <c r="A2006" s="3" t="s">
        <v>160</v>
      </c>
      <c r="B2006" s="2">
        <v>74</v>
      </c>
      <c r="C2006" s="4" t="s">
        <v>97</v>
      </c>
      <c r="D2006" s="3" t="s">
        <v>162</v>
      </c>
      <c r="E2006" s="3" t="s">
        <v>128</v>
      </c>
      <c r="F2006" s="3" t="str">
        <f t="shared" si="0"/>
        <v>2 - Frepam</v>
      </c>
      <c r="G2006" s="2">
        <v>108</v>
      </c>
      <c r="H2006" s="3"/>
    </row>
    <row r="2007" spans="1:8" ht="12.75" hidden="1" x14ac:dyDescent="0.2">
      <c r="A2007" s="3" t="s">
        <v>160</v>
      </c>
      <c r="B2007" s="2">
        <v>74</v>
      </c>
      <c r="C2007" s="4" t="s">
        <v>97</v>
      </c>
      <c r="D2007" s="3" t="s">
        <v>162</v>
      </c>
      <c r="E2007" s="3" t="s">
        <v>14</v>
      </c>
      <c r="F2007" s="3" t="str">
        <f t="shared" si="0"/>
        <v>4 - Blanco/Nulo</v>
      </c>
      <c r="G2007" s="2">
        <v>27</v>
      </c>
      <c r="H2007" s="3"/>
    </row>
    <row r="2008" spans="1:8" ht="12.75" hidden="1" x14ac:dyDescent="0.2">
      <c r="A2008" s="3" t="s">
        <v>160</v>
      </c>
      <c r="B2008" s="2">
        <v>74</v>
      </c>
      <c r="C2008" s="4" t="s">
        <v>97</v>
      </c>
      <c r="D2008" s="3" t="s">
        <v>162</v>
      </c>
      <c r="E2008" s="3" t="s">
        <v>138</v>
      </c>
      <c r="F2008" s="3" t="str">
        <f t="shared" si="0"/>
        <v>4 - Blanco/Nulo</v>
      </c>
      <c r="G2008" s="2">
        <v>11</v>
      </c>
      <c r="H2008" s="3"/>
    </row>
    <row r="2009" spans="1:8" ht="12.75" hidden="1" x14ac:dyDescent="0.2">
      <c r="A2009" s="3" t="s">
        <v>160</v>
      </c>
      <c r="B2009" s="2">
        <v>74</v>
      </c>
      <c r="C2009" s="4" t="s">
        <v>97</v>
      </c>
      <c r="D2009" s="3" t="s">
        <v>162</v>
      </c>
      <c r="E2009" s="3" t="s">
        <v>148</v>
      </c>
      <c r="F2009" s="3" t="str">
        <f t="shared" si="0"/>
        <v>3 - Otros</v>
      </c>
      <c r="G2009" s="2">
        <v>3</v>
      </c>
      <c r="H2009" s="3"/>
    </row>
    <row r="2010" spans="1:8" ht="12.75" hidden="1" x14ac:dyDescent="0.2">
      <c r="A2010" s="3" t="s">
        <v>160</v>
      </c>
      <c r="B2010" s="2">
        <v>74</v>
      </c>
      <c r="C2010" s="4" t="s">
        <v>97</v>
      </c>
      <c r="D2010" s="3" t="s">
        <v>162</v>
      </c>
      <c r="E2010" s="3" t="s">
        <v>149</v>
      </c>
      <c r="F2010" s="3" t="str">
        <f t="shared" si="0"/>
        <v>3 - Otros</v>
      </c>
      <c r="G2010" s="2">
        <v>2</v>
      </c>
      <c r="H2010" s="3"/>
    </row>
    <row r="2011" spans="1:8" ht="12.75" hidden="1" x14ac:dyDescent="0.2">
      <c r="A2011" s="3" t="s">
        <v>160</v>
      </c>
      <c r="B2011" s="2">
        <v>74</v>
      </c>
      <c r="C2011" s="4" t="s">
        <v>97</v>
      </c>
      <c r="D2011" s="3" t="s">
        <v>162</v>
      </c>
      <c r="E2011" s="3" t="s">
        <v>135</v>
      </c>
      <c r="F2011" s="3" t="str">
        <f t="shared" si="0"/>
        <v>3 - Otros</v>
      </c>
      <c r="G2011" s="2">
        <v>2</v>
      </c>
      <c r="H2011" s="3"/>
    </row>
    <row r="2012" spans="1:8" ht="12.75" hidden="1" x14ac:dyDescent="0.2">
      <c r="A2012" s="3" t="s">
        <v>160</v>
      </c>
      <c r="B2012" s="2">
        <v>74</v>
      </c>
      <c r="C2012" s="4" t="s">
        <v>97</v>
      </c>
      <c r="D2012" s="3" t="s">
        <v>162</v>
      </c>
      <c r="E2012" s="3" t="s">
        <v>139</v>
      </c>
      <c r="F2012" s="3" t="str">
        <f t="shared" si="0"/>
        <v>3 - Otros</v>
      </c>
      <c r="G2012" s="2">
        <v>1</v>
      </c>
      <c r="H2012" s="2">
        <f>SUM(G2005:G2012)</f>
        <v>315</v>
      </c>
    </row>
    <row r="2013" spans="1:8" ht="12.75" hidden="1" x14ac:dyDescent="0.2">
      <c r="A2013" s="3" t="s">
        <v>160</v>
      </c>
      <c r="B2013" s="2">
        <v>75</v>
      </c>
      <c r="C2013" s="4" t="s">
        <v>98</v>
      </c>
      <c r="D2013" s="3" t="s">
        <v>2</v>
      </c>
      <c r="E2013" s="3" t="s">
        <v>128</v>
      </c>
      <c r="F2013" s="3" t="str">
        <f t="shared" si="0"/>
        <v>2 - Frepam</v>
      </c>
      <c r="G2013" s="2">
        <v>1637</v>
      </c>
      <c r="H2013" s="3"/>
    </row>
    <row r="2014" spans="1:8" ht="12.75" hidden="1" x14ac:dyDescent="0.2">
      <c r="A2014" s="3" t="s">
        <v>160</v>
      </c>
      <c r="B2014" s="2">
        <v>75</v>
      </c>
      <c r="C2014" s="4" t="s">
        <v>98</v>
      </c>
      <c r="D2014" s="3" t="s">
        <v>2</v>
      </c>
      <c r="E2014" s="3" t="s">
        <v>136</v>
      </c>
      <c r="F2014" s="3" t="str">
        <f t="shared" si="0"/>
        <v>1 - PJ</v>
      </c>
      <c r="G2014" s="2">
        <v>1010</v>
      </c>
      <c r="H2014" s="3"/>
    </row>
    <row r="2015" spans="1:8" ht="12.75" hidden="1" x14ac:dyDescent="0.2">
      <c r="A2015" s="3" t="s">
        <v>160</v>
      </c>
      <c r="B2015" s="2">
        <v>75</v>
      </c>
      <c r="C2015" s="4" t="s">
        <v>98</v>
      </c>
      <c r="D2015" s="3" t="s">
        <v>2</v>
      </c>
      <c r="E2015" s="3" t="s">
        <v>14</v>
      </c>
      <c r="F2015" s="3" t="str">
        <f t="shared" si="0"/>
        <v>4 - Blanco/Nulo</v>
      </c>
      <c r="G2015" s="2">
        <v>61</v>
      </c>
      <c r="H2015" s="3"/>
    </row>
    <row r="2016" spans="1:8" ht="12.75" hidden="1" x14ac:dyDescent="0.2">
      <c r="A2016" s="3" t="s">
        <v>160</v>
      </c>
      <c r="B2016" s="2">
        <v>75</v>
      </c>
      <c r="C2016" s="4" t="s">
        <v>98</v>
      </c>
      <c r="D2016" s="3" t="s">
        <v>2</v>
      </c>
      <c r="E2016" s="3" t="s">
        <v>138</v>
      </c>
      <c r="F2016" s="3" t="str">
        <f t="shared" si="0"/>
        <v>4 - Blanco/Nulo</v>
      </c>
      <c r="G2016" s="2">
        <v>5</v>
      </c>
      <c r="H2016" s="2">
        <f>SUM(G2013:G2016)</f>
        <v>2713</v>
      </c>
    </row>
    <row r="2017" spans="1:8" ht="12.75" hidden="1" x14ac:dyDescent="0.2">
      <c r="A2017" s="3" t="s">
        <v>160</v>
      </c>
      <c r="B2017" s="2">
        <v>75</v>
      </c>
      <c r="C2017" s="4" t="s">
        <v>98</v>
      </c>
      <c r="D2017" s="3" t="s">
        <v>161</v>
      </c>
      <c r="E2017" s="3" t="s">
        <v>128</v>
      </c>
      <c r="F2017" s="3" t="str">
        <f t="shared" si="0"/>
        <v>2 - Frepam</v>
      </c>
      <c r="G2017" s="2">
        <v>1449</v>
      </c>
      <c r="H2017" s="3"/>
    </row>
    <row r="2018" spans="1:8" ht="12.75" hidden="1" x14ac:dyDescent="0.2">
      <c r="A2018" s="3" t="s">
        <v>160</v>
      </c>
      <c r="B2018" s="2">
        <v>75</v>
      </c>
      <c r="C2018" s="4" t="s">
        <v>98</v>
      </c>
      <c r="D2018" s="3" t="s">
        <v>161</v>
      </c>
      <c r="E2018" s="3" t="s">
        <v>136</v>
      </c>
      <c r="F2018" s="3" t="str">
        <f t="shared" si="0"/>
        <v>1 - PJ</v>
      </c>
      <c r="G2018" s="2">
        <v>1107</v>
      </c>
      <c r="H2018" s="3"/>
    </row>
    <row r="2019" spans="1:8" ht="12.75" hidden="1" x14ac:dyDescent="0.2">
      <c r="A2019" s="3" t="s">
        <v>160</v>
      </c>
      <c r="B2019" s="2">
        <v>75</v>
      </c>
      <c r="C2019" s="4" t="s">
        <v>98</v>
      </c>
      <c r="D2019" s="3" t="s">
        <v>161</v>
      </c>
      <c r="E2019" s="3" t="s">
        <v>14</v>
      </c>
      <c r="F2019" s="3" t="str">
        <f t="shared" si="0"/>
        <v>4 - Blanco/Nulo</v>
      </c>
      <c r="G2019" s="2">
        <v>81</v>
      </c>
      <c r="H2019" s="3"/>
    </row>
    <row r="2020" spans="1:8" ht="12.75" hidden="1" x14ac:dyDescent="0.2">
      <c r="A2020" s="3" t="s">
        <v>160</v>
      </c>
      <c r="B2020" s="2">
        <v>75</v>
      </c>
      <c r="C2020" s="4" t="s">
        <v>98</v>
      </c>
      <c r="D2020" s="3" t="s">
        <v>161</v>
      </c>
      <c r="E2020" s="3" t="s">
        <v>133</v>
      </c>
      <c r="F2020" s="3" t="str">
        <f t="shared" si="0"/>
        <v>3 - Otros</v>
      </c>
      <c r="G2020" s="2">
        <v>21</v>
      </c>
      <c r="H2020" s="3"/>
    </row>
    <row r="2021" spans="1:8" ht="12.75" hidden="1" x14ac:dyDescent="0.2">
      <c r="A2021" s="3" t="s">
        <v>160</v>
      </c>
      <c r="B2021" s="2">
        <v>75</v>
      </c>
      <c r="C2021" s="4" t="s">
        <v>98</v>
      </c>
      <c r="D2021" s="3" t="s">
        <v>161</v>
      </c>
      <c r="E2021" s="3" t="s">
        <v>138</v>
      </c>
      <c r="F2021" s="3" t="str">
        <f t="shared" si="0"/>
        <v>4 - Blanco/Nulo</v>
      </c>
      <c r="G2021" s="2">
        <v>17</v>
      </c>
      <c r="H2021" s="3"/>
    </row>
    <row r="2022" spans="1:8" ht="12.75" hidden="1" x14ac:dyDescent="0.2">
      <c r="A2022" s="3" t="s">
        <v>160</v>
      </c>
      <c r="B2022" s="2">
        <v>75</v>
      </c>
      <c r="C2022" s="4" t="s">
        <v>98</v>
      </c>
      <c r="D2022" s="3" t="s">
        <v>161</v>
      </c>
      <c r="E2022" s="3" t="s">
        <v>148</v>
      </c>
      <c r="F2022" s="3" t="str">
        <f t="shared" si="0"/>
        <v>3 - Otros</v>
      </c>
      <c r="G2022" s="2">
        <v>17</v>
      </c>
      <c r="H2022" s="3"/>
    </row>
    <row r="2023" spans="1:8" ht="12.75" hidden="1" x14ac:dyDescent="0.2">
      <c r="A2023" s="3" t="s">
        <v>160</v>
      </c>
      <c r="B2023" s="2">
        <v>75</v>
      </c>
      <c r="C2023" s="4" t="s">
        <v>98</v>
      </c>
      <c r="D2023" s="3" t="s">
        <v>161</v>
      </c>
      <c r="E2023" s="3" t="s">
        <v>139</v>
      </c>
      <c r="F2023" s="3" t="str">
        <f t="shared" si="0"/>
        <v>3 - Otros</v>
      </c>
      <c r="G2023" s="2">
        <v>7</v>
      </c>
      <c r="H2023" s="3"/>
    </row>
    <row r="2024" spans="1:8" ht="12.75" hidden="1" x14ac:dyDescent="0.2">
      <c r="A2024" s="3" t="s">
        <v>160</v>
      </c>
      <c r="B2024" s="2">
        <v>75</v>
      </c>
      <c r="C2024" s="4" t="s">
        <v>98</v>
      </c>
      <c r="D2024" s="3" t="s">
        <v>161</v>
      </c>
      <c r="E2024" s="3" t="s">
        <v>149</v>
      </c>
      <c r="F2024" s="3" t="str">
        <f t="shared" si="0"/>
        <v>3 - Otros</v>
      </c>
      <c r="G2024" s="2">
        <v>6</v>
      </c>
      <c r="H2024" s="3"/>
    </row>
    <row r="2025" spans="1:8" ht="12.75" hidden="1" x14ac:dyDescent="0.2">
      <c r="A2025" s="3" t="s">
        <v>160</v>
      </c>
      <c r="B2025" s="2">
        <v>75</v>
      </c>
      <c r="C2025" s="4" t="s">
        <v>98</v>
      </c>
      <c r="D2025" s="3" t="s">
        <v>161</v>
      </c>
      <c r="E2025" s="3" t="s">
        <v>145</v>
      </c>
      <c r="F2025" s="3" t="str">
        <f t="shared" si="0"/>
        <v>3 - Otros</v>
      </c>
      <c r="G2025" s="2">
        <v>4</v>
      </c>
      <c r="H2025" s="3"/>
    </row>
    <row r="2026" spans="1:8" ht="12.75" hidden="1" x14ac:dyDescent="0.2">
      <c r="A2026" s="3" t="s">
        <v>160</v>
      </c>
      <c r="B2026" s="2">
        <v>75</v>
      </c>
      <c r="C2026" s="4" t="s">
        <v>98</v>
      </c>
      <c r="D2026" s="3" t="s">
        <v>161</v>
      </c>
      <c r="E2026" s="3" t="s">
        <v>135</v>
      </c>
      <c r="F2026" s="3" t="str">
        <f t="shared" si="0"/>
        <v>3 - Otros</v>
      </c>
      <c r="G2026" s="2">
        <v>4</v>
      </c>
      <c r="H2026" s="2">
        <f>SUM(G2017:G2026)</f>
        <v>2713</v>
      </c>
    </row>
    <row r="2027" spans="1:8" ht="12.75" hidden="1" x14ac:dyDescent="0.2">
      <c r="A2027" s="3" t="s">
        <v>160</v>
      </c>
      <c r="B2027" s="2">
        <v>75</v>
      </c>
      <c r="C2027" s="4" t="s">
        <v>98</v>
      </c>
      <c r="D2027" s="3" t="s">
        <v>162</v>
      </c>
      <c r="E2027" s="3" t="s">
        <v>128</v>
      </c>
      <c r="F2027" s="3" t="str">
        <f t="shared" si="0"/>
        <v>2 - Frepam</v>
      </c>
      <c r="G2027" s="2">
        <v>1439</v>
      </c>
      <c r="H2027" s="3"/>
    </row>
    <row r="2028" spans="1:8" ht="12.75" hidden="1" x14ac:dyDescent="0.2">
      <c r="A2028" s="3" t="s">
        <v>160</v>
      </c>
      <c r="B2028" s="2">
        <v>75</v>
      </c>
      <c r="C2028" s="4" t="s">
        <v>98</v>
      </c>
      <c r="D2028" s="3" t="s">
        <v>162</v>
      </c>
      <c r="E2028" s="3" t="s">
        <v>136</v>
      </c>
      <c r="F2028" s="3" t="str">
        <f t="shared" si="0"/>
        <v>1 - PJ</v>
      </c>
      <c r="G2028" s="2">
        <v>1126</v>
      </c>
      <c r="H2028" s="3"/>
    </row>
    <row r="2029" spans="1:8" ht="12.75" hidden="1" x14ac:dyDescent="0.2">
      <c r="A2029" s="3" t="s">
        <v>160</v>
      </c>
      <c r="B2029" s="2">
        <v>75</v>
      </c>
      <c r="C2029" s="4" t="s">
        <v>98</v>
      </c>
      <c r="D2029" s="3" t="s">
        <v>162</v>
      </c>
      <c r="E2029" s="3" t="s">
        <v>14</v>
      </c>
      <c r="F2029" s="3" t="str">
        <f t="shared" si="0"/>
        <v>4 - Blanco/Nulo</v>
      </c>
      <c r="G2029" s="2">
        <v>68</v>
      </c>
      <c r="H2029" s="3"/>
    </row>
    <row r="2030" spans="1:8" ht="12.75" hidden="1" x14ac:dyDescent="0.2">
      <c r="A2030" s="3" t="s">
        <v>160</v>
      </c>
      <c r="B2030" s="2">
        <v>75</v>
      </c>
      <c r="C2030" s="4" t="s">
        <v>98</v>
      </c>
      <c r="D2030" s="3" t="s">
        <v>162</v>
      </c>
      <c r="E2030" s="3" t="s">
        <v>133</v>
      </c>
      <c r="F2030" s="3" t="str">
        <f t="shared" si="0"/>
        <v>3 - Otros</v>
      </c>
      <c r="G2030" s="2">
        <v>28</v>
      </c>
      <c r="H2030" s="3"/>
    </row>
    <row r="2031" spans="1:8" ht="12.75" hidden="1" x14ac:dyDescent="0.2">
      <c r="A2031" s="3" t="s">
        <v>160</v>
      </c>
      <c r="B2031" s="2">
        <v>75</v>
      </c>
      <c r="C2031" s="4" t="s">
        <v>98</v>
      </c>
      <c r="D2031" s="3" t="s">
        <v>162</v>
      </c>
      <c r="E2031" s="3" t="s">
        <v>138</v>
      </c>
      <c r="F2031" s="3" t="str">
        <f t="shared" si="0"/>
        <v>4 - Blanco/Nulo</v>
      </c>
      <c r="G2031" s="2">
        <v>18</v>
      </c>
      <c r="H2031" s="3"/>
    </row>
    <row r="2032" spans="1:8" ht="12.75" hidden="1" x14ac:dyDescent="0.2">
      <c r="A2032" s="3" t="s">
        <v>160</v>
      </c>
      <c r="B2032" s="2">
        <v>75</v>
      </c>
      <c r="C2032" s="4" t="s">
        <v>98</v>
      </c>
      <c r="D2032" s="3" t="s">
        <v>162</v>
      </c>
      <c r="E2032" s="3" t="s">
        <v>148</v>
      </c>
      <c r="F2032" s="3" t="str">
        <f t="shared" si="0"/>
        <v>3 - Otros</v>
      </c>
      <c r="G2032" s="2">
        <v>12</v>
      </c>
      <c r="H2032" s="3"/>
    </row>
    <row r="2033" spans="1:8" ht="12.75" hidden="1" x14ac:dyDescent="0.2">
      <c r="A2033" s="3" t="s">
        <v>160</v>
      </c>
      <c r="B2033" s="2">
        <v>75</v>
      </c>
      <c r="C2033" s="4" t="s">
        <v>98</v>
      </c>
      <c r="D2033" s="3" t="s">
        <v>162</v>
      </c>
      <c r="E2033" s="3" t="s">
        <v>139</v>
      </c>
      <c r="F2033" s="3" t="str">
        <f t="shared" si="0"/>
        <v>3 - Otros</v>
      </c>
      <c r="G2033" s="2">
        <v>8</v>
      </c>
      <c r="H2033" s="3"/>
    </row>
    <row r="2034" spans="1:8" ht="12.75" hidden="1" x14ac:dyDescent="0.2">
      <c r="A2034" s="3" t="s">
        <v>160</v>
      </c>
      <c r="B2034" s="2">
        <v>75</v>
      </c>
      <c r="C2034" s="4" t="s">
        <v>98</v>
      </c>
      <c r="D2034" s="3" t="s">
        <v>162</v>
      </c>
      <c r="E2034" s="3" t="s">
        <v>149</v>
      </c>
      <c r="F2034" s="3" t="str">
        <f t="shared" si="0"/>
        <v>3 - Otros</v>
      </c>
      <c r="G2034" s="2">
        <v>6</v>
      </c>
      <c r="H2034" s="3"/>
    </row>
    <row r="2035" spans="1:8" ht="12.75" hidden="1" x14ac:dyDescent="0.2">
      <c r="A2035" s="3" t="s">
        <v>160</v>
      </c>
      <c r="B2035" s="2">
        <v>75</v>
      </c>
      <c r="C2035" s="4" t="s">
        <v>98</v>
      </c>
      <c r="D2035" s="3" t="s">
        <v>162</v>
      </c>
      <c r="E2035" s="3" t="s">
        <v>145</v>
      </c>
      <c r="F2035" s="3" t="str">
        <f t="shared" si="0"/>
        <v>3 - Otros</v>
      </c>
      <c r="G2035" s="2">
        <v>4</v>
      </c>
      <c r="H2035" s="3"/>
    </row>
    <row r="2036" spans="1:8" ht="12.75" hidden="1" x14ac:dyDescent="0.2">
      <c r="A2036" s="3" t="s">
        <v>160</v>
      </c>
      <c r="B2036" s="2">
        <v>75</v>
      </c>
      <c r="C2036" s="4" t="s">
        <v>98</v>
      </c>
      <c r="D2036" s="3" t="s">
        <v>162</v>
      </c>
      <c r="E2036" s="3" t="s">
        <v>135</v>
      </c>
      <c r="F2036" s="3" t="str">
        <f t="shared" si="0"/>
        <v>3 - Otros</v>
      </c>
      <c r="G2036" s="2">
        <v>4</v>
      </c>
      <c r="H2036" s="2">
        <f>SUM(G2027:G2036)</f>
        <v>2713</v>
      </c>
    </row>
    <row r="2037" spans="1:8" ht="12.75" hidden="1" x14ac:dyDescent="0.2">
      <c r="A2037" s="3" t="s">
        <v>160</v>
      </c>
      <c r="B2037" s="2">
        <v>76</v>
      </c>
      <c r="C2037" s="4" t="s">
        <v>99</v>
      </c>
      <c r="D2037" s="3" t="s">
        <v>15</v>
      </c>
      <c r="E2037" s="3" t="s">
        <v>128</v>
      </c>
      <c r="F2037" s="3" t="str">
        <f t="shared" si="0"/>
        <v>2 - Frepam</v>
      </c>
      <c r="G2037" s="2">
        <v>95</v>
      </c>
      <c r="H2037" s="3"/>
    </row>
    <row r="2038" spans="1:8" ht="12.75" hidden="1" x14ac:dyDescent="0.2">
      <c r="A2038" s="3" t="s">
        <v>160</v>
      </c>
      <c r="B2038" s="2">
        <v>76</v>
      </c>
      <c r="C2038" s="4" t="s">
        <v>99</v>
      </c>
      <c r="D2038" s="3" t="s">
        <v>15</v>
      </c>
      <c r="E2038" s="3" t="s">
        <v>136</v>
      </c>
      <c r="F2038" s="3" t="str">
        <f t="shared" si="0"/>
        <v>1 - PJ</v>
      </c>
      <c r="G2038" s="2">
        <v>79</v>
      </c>
      <c r="H2038" s="3"/>
    </row>
    <row r="2039" spans="1:8" ht="12.75" hidden="1" x14ac:dyDescent="0.2">
      <c r="A2039" s="3" t="s">
        <v>160</v>
      </c>
      <c r="B2039" s="2">
        <v>76</v>
      </c>
      <c r="C2039" s="4" t="s">
        <v>99</v>
      </c>
      <c r="D2039" s="3" t="s">
        <v>15</v>
      </c>
      <c r="E2039" s="3" t="s">
        <v>146</v>
      </c>
      <c r="F2039" s="3" t="str">
        <f t="shared" si="0"/>
        <v>3 - Otros</v>
      </c>
      <c r="G2039" s="2">
        <v>70</v>
      </c>
      <c r="H2039" s="3"/>
    </row>
    <row r="2040" spans="1:8" ht="12.75" hidden="1" x14ac:dyDescent="0.2">
      <c r="A2040" s="3" t="s">
        <v>160</v>
      </c>
      <c r="B2040" s="2">
        <v>76</v>
      </c>
      <c r="C2040" s="4" t="s">
        <v>99</v>
      </c>
      <c r="D2040" s="3" t="s">
        <v>15</v>
      </c>
      <c r="E2040" s="3" t="s">
        <v>14</v>
      </c>
      <c r="F2040" s="3" t="str">
        <f t="shared" si="0"/>
        <v>4 - Blanco/Nulo</v>
      </c>
      <c r="G2040" s="2">
        <v>6</v>
      </c>
      <c r="H2040" s="2">
        <f>SUM(G2037:G2040)</f>
        <v>250</v>
      </c>
    </row>
    <row r="2041" spans="1:8" ht="12.75" hidden="1" x14ac:dyDescent="0.2">
      <c r="A2041" s="3" t="s">
        <v>160</v>
      </c>
      <c r="B2041" s="2">
        <v>76</v>
      </c>
      <c r="C2041" s="4" t="s">
        <v>99</v>
      </c>
      <c r="D2041" s="3" t="s">
        <v>161</v>
      </c>
      <c r="E2041" s="3" t="s">
        <v>128</v>
      </c>
      <c r="F2041" s="3" t="str">
        <f t="shared" si="0"/>
        <v>2 - Frepam</v>
      </c>
      <c r="G2041" s="2">
        <v>96</v>
      </c>
      <c r="H2041" s="3"/>
    </row>
    <row r="2042" spans="1:8" ht="12.75" hidden="1" x14ac:dyDescent="0.2">
      <c r="A2042" s="3" t="s">
        <v>160</v>
      </c>
      <c r="B2042" s="2">
        <v>76</v>
      </c>
      <c r="C2042" s="4" t="s">
        <v>99</v>
      </c>
      <c r="D2042" s="3" t="s">
        <v>161</v>
      </c>
      <c r="E2042" s="3" t="s">
        <v>136</v>
      </c>
      <c r="F2042" s="3" t="str">
        <f t="shared" si="0"/>
        <v>1 - PJ</v>
      </c>
      <c r="G2042" s="2">
        <v>96</v>
      </c>
      <c r="H2042" s="3"/>
    </row>
    <row r="2043" spans="1:8" ht="12.75" hidden="1" x14ac:dyDescent="0.2">
      <c r="A2043" s="3" t="s">
        <v>160</v>
      </c>
      <c r="B2043" s="2">
        <v>76</v>
      </c>
      <c r="C2043" s="4" t="s">
        <v>99</v>
      </c>
      <c r="D2043" s="3" t="s">
        <v>161</v>
      </c>
      <c r="E2043" s="3" t="s">
        <v>139</v>
      </c>
      <c r="F2043" s="3" t="str">
        <f t="shared" si="0"/>
        <v>3 - Otros</v>
      </c>
      <c r="G2043" s="2">
        <v>45</v>
      </c>
      <c r="H2043" s="3"/>
    </row>
    <row r="2044" spans="1:8" ht="12.75" hidden="1" x14ac:dyDescent="0.2">
      <c r="A2044" s="3" t="s">
        <v>160</v>
      </c>
      <c r="B2044" s="2">
        <v>76</v>
      </c>
      <c r="C2044" s="4" t="s">
        <v>99</v>
      </c>
      <c r="D2044" s="3" t="s">
        <v>161</v>
      </c>
      <c r="E2044" s="3" t="s">
        <v>14</v>
      </c>
      <c r="F2044" s="3" t="str">
        <f t="shared" si="0"/>
        <v>4 - Blanco/Nulo</v>
      </c>
      <c r="G2044" s="2">
        <v>10</v>
      </c>
      <c r="H2044" s="3"/>
    </row>
    <row r="2045" spans="1:8" ht="12.75" hidden="1" x14ac:dyDescent="0.2">
      <c r="A2045" s="3" t="s">
        <v>160</v>
      </c>
      <c r="B2045" s="2">
        <v>76</v>
      </c>
      <c r="C2045" s="4" t="s">
        <v>99</v>
      </c>
      <c r="D2045" s="3" t="s">
        <v>161</v>
      </c>
      <c r="E2045" s="3" t="s">
        <v>133</v>
      </c>
      <c r="F2045" s="3" t="str">
        <f t="shared" si="0"/>
        <v>3 - Otros</v>
      </c>
      <c r="G2045" s="2">
        <v>2</v>
      </c>
      <c r="H2045" s="3"/>
    </row>
    <row r="2046" spans="1:8" ht="12.75" hidden="1" x14ac:dyDescent="0.2">
      <c r="A2046" s="3" t="s">
        <v>160</v>
      </c>
      <c r="B2046" s="2">
        <v>76</v>
      </c>
      <c r="C2046" s="4" t="s">
        <v>99</v>
      </c>
      <c r="D2046" s="3" t="s">
        <v>161</v>
      </c>
      <c r="E2046" s="3" t="s">
        <v>148</v>
      </c>
      <c r="F2046" s="3" t="str">
        <f t="shared" si="0"/>
        <v>3 - Otros</v>
      </c>
      <c r="G2046" s="2">
        <v>1</v>
      </c>
      <c r="H2046" s="2">
        <f>SUM(G2041:G2046)</f>
        <v>250</v>
      </c>
    </row>
    <row r="2047" spans="1:8" ht="12.75" hidden="1" x14ac:dyDescent="0.2">
      <c r="A2047" s="3" t="s">
        <v>160</v>
      </c>
      <c r="B2047" s="2">
        <v>76</v>
      </c>
      <c r="C2047" s="4" t="s">
        <v>99</v>
      </c>
      <c r="D2047" s="3" t="s">
        <v>162</v>
      </c>
      <c r="E2047" s="3" t="s">
        <v>128</v>
      </c>
      <c r="F2047" s="3" t="str">
        <f t="shared" si="0"/>
        <v>2 - Frepam</v>
      </c>
      <c r="G2047" s="2">
        <v>96</v>
      </c>
      <c r="H2047" s="3"/>
    </row>
    <row r="2048" spans="1:8" ht="12.75" hidden="1" x14ac:dyDescent="0.2">
      <c r="A2048" s="3" t="s">
        <v>160</v>
      </c>
      <c r="B2048" s="2">
        <v>76</v>
      </c>
      <c r="C2048" s="4" t="s">
        <v>99</v>
      </c>
      <c r="D2048" s="3" t="s">
        <v>162</v>
      </c>
      <c r="E2048" s="3" t="s">
        <v>136</v>
      </c>
      <c r="F2048" s="3" t="str">
        <f t="shared" si="0"/>
        <v>1 - PJ</v>
      </c>
      <c r="G2048" s="2">
        <v>96</v>
      </c>
      <c r="H2048" s="3"/>
    </row>
    <row r="2049" spans="1:8" ht="12.75" hidden="1" x14ac:dyDescent="0.2">
      <c r="A2049" s="3" t="s">
        <v>160</v>
      </c>
      <c r="B2049" s="2">
        <v>76</v>
      </c>
      <c r="C2049" s="4" t="s">
        <v>99</v>
      </c>
      <c r="D2049" s="3" t="s">
        <v>162</v>
      </c>
      <c r="E2049" s="3" t="s">
        <v>139</v>
      </c>
      <c r="F2049" s="3" t="str">
        <f t="shared" si="0"/>
        <v>3 - Otros</v>
      </c>
      <c r="G2049" s="2">
        <v>45</v>
      </c>
      <c r="H2049" s="3"/>
    </row>
    <row r="2050" spans="1:8" ht="12.75" hidden="1" x14ac:dyDescent="0.2">
      <c r="A2050" s="3" t="s">
        <v>160</v>
      </c>
      <c r="B2050" s="2">
        <v>76</v>
      </c>
      <c r="C2050" s="4" t="s">
        <v>99</v>
      </c>
      <c r="D2050" s="3" t="s">
        <v>162</v>
      </c>
      <c r="E2050" s="3" t="s">
        <v>14</v>
      </c>
      <c r="F2050" s="3" t="str">
        <f t="shared" si="0"/>
        <v>4 - Blanco/Nulo</v>
      </c>
      <c r="G2050" s="2">
        <v>10</v>
      </c>
      <c r="H2050" s="3"/>
    </row>
    <row r="2051" spans="1:8" ht="12.75" hidden="1" x14ac:dyDescent="0.2">
      <c r="A2051" s="3" t="s">
        <v>160</v>
      </c>
      <c r="B2051" s="2">
        <v>76</v>
      </c>
      <c r="C2051" s="4" t="s">
        <v>99</v>
      </c>
      <c r="D2051" s="3" t="s">
        <v>162</v>
      </c>
      <c r="E2051" s="3" t="s">
        <v>133</v>
      </c>
      <c r="F2051" s="3" t="str">
        <f t="shared" si="0"/>
        <v>3 - Otros</v>
      </c>
      <c r="G2051" s="2">
        <v>2</v>
      </c>
      <c r="H2051" s="3"/>
    </row>
    <row r="2052" spans="1:8" ht="12.75" hidden="1" x14ac:dyDescent="0.2">
      <c r="A2052" s="3" t="s">
        <v>160</v>
      </c>
      <c r="B2052" s="2">
        <v>76</v>
      </c>
      <c r="C2052" s="4" t="s">
        <v>99</v>
      </c>
      <c r="D2052" s="3" t="s">
        <v>162</v>
      </c>
      <c r="E2052" s="3" t="s">
        <v>148</v>
      </c>
      <c r="F2052" s="3" t="str">
        <f t="shared" si="0"/>
        <v>3 - Otros</v>
      </c>
      <c r="G2052" s="2">
        <v>1</v>
      </c>
      <c r="H2052" s="2">
        <f>SUM(G2047:G2052)</f>
        <v>250</v>
      </c>
    </row>
    <row r="2053" spans="1:8" ht="12.75" hidden="1" x14ac:dyDescent="0.2">
      <c r="A2053" s="3" t="s">
        <v>160</v>
      </c>
      <c r="B2053" s="2">
        <v>77</v>
      </c>
      <c r="C2053" s="4" t="s">
        <v>100</v>
      </c>
      <c r="D2053" s="3" t="s">
        <v>2</v>
      </c>
      <c r="E2053" s="3" t="s">
        <v>128</v>
      </c>
      <c r="F2053" s="3" t="str">
        <f t="shared" si="0"/>
        <v>2 - Frepam</v>
      </c>
      <c r="G2053" s="2">
        <v>618</v>
      </c>
      <c r="H2053" s="3"/>
    </row>
    <row r="2054" spans="1:8" ht="12.75" hidden="1" x14ac:dyDescent="0.2">
      <c r="A2054" s="3" t="s">
        <v>160</v>
      </c>
      <c r="B2054" s="2">
        <v>77</v>
      </c>
      <c r="C2054" s="4" t="s">
        <v>100</v>
      </c>
      <c r="D2054" s="3" t="s">
        <v>2</v>
      </c>
      <c r="E2054" s="3" t="s">
        <v>136</v>
      </c>
      <c r="F2054" s="3" t="str">
        <f t="shared" si="0"/>
        <v>1 - PJ</v>
      </c>
      <c r="G2054" s="2">
        <v>478</v>
      </c>
      <c r="H2054" s="3"/>
    </row>
    <row r="2055" spans="1:8" ht="12.75" hidden="1" x14ac:dyDescent="0.2">
      <c r="A2055" s="3" t="s">
        <v>160</v>
      </c>
      <c r="B2055" s="2">
        <v>77</v>
      </c>
      <c r="C2055" s="4" t="s">
        <v>100</v>
      </c>
      <c r="D2055" s="3" t="s">
        <v>2</v>
      </c>
      <c r="E2055" s="3" t="s">
        <v>14</v>
      </c>
      <c r="F2055" s="3" t="str">
        <f t="shared" si="0"/>
        <v>4 - Blanco/Nulo</v>
      </c>
      <c r="G2055" s="2">
        <v>43</v>
      </c>
      <c r="H2055" s="3"/>
    </row>
    <row r="2056" spans="1:8" ht="12.75" hidden="1" x14ac:dyDescent="0.2">
      <c r="A2056" s="3" t="s">
        <v>160</v>
      </c>
      <c r="B2056" s="2">
        <v>77</v>
      </c>
      <c r="C2056" s="4" t="s">
        <v>100</v>
      </c>
      <c r="D2056" s="3" t="s">
        <v>2</v>
      </c>
      <c r="E2056" s="3" t="s">
        <v>138</v>
      </c>
      <c r="F2056" s="3" t="str">
        <f t="shared" si="0"/>
        <v>4 - Blanco/Nulo</v>
      </c>
      <c r="G2056" s="2">
        <v>3</v>
      </c>
      <c r="H2056" s="2">
        <f>SUM(G2053:G2056)</f>
        <v>1142</v>
      </c>
    </row>
    <row r="2057" spans="1:8" ht="12.75" hidden="1" x14ac:dyDescent="0.2">
      <c r="A2057" s="3" t="s">
        <v>160</v>
      </c>
      <c r="B2057" s="2">
        <v>77</v>
      </c>
      <c r="C2057" s="4" t="s">
        <v>100</v>
      </c>
      <c r="D2057" s="3" t="s">
        <v>161</v>
      </c>
      <c r="E2057" s="3" t="s">
        <v>128</v>
      </c>
      <c r="F2057" s="3" t="str">
        <f t="shared" si="0"/>
        <v>2 - Frepam</v>
      </c>
      <c r="G2057" s="2">
        <v>565</v>
      </c>
      <c r="H2057" s="3"/>
    </row>
    <row r="2058" spans="1:8" ht="12.75" hidden="1" x14ac:dyDescent="0.2">
      <c r="A2058" s="3" t="s">
        <v>160</v>
      </c>
      <c r="B2058" s="2">
        <v>77</v>
      </c>
      <c r="C2058" s="4" t="s">
        <v>100</v>
      </c>
      <c r="D2058" s="3" t="s">
        <v>161</v>
      </c>
      <c r="E2058" s="3" t="s">
        <v>136</v>
      </c>
      <c r="F2058" s="3" t="str">
        <f t="shared" si="0"/>
        <v>1 - PJ</v>
      </c>
      <c r="G2058" s="2">
        <v>424</v>
      </c>
      <c r="H2058" s="3"/>
    </row>
    <row r="2059" spans="1:8" ht="12.75" hidden="1" x14ac:dyDescent="0.2">
      <c r="A2059" s="3" t="s">
        <v>160</v>
      </c>
      <c r="B2059" s="2">
        <v>77</v>
      </c>
      <c r="C2059" s="4" t="s">
        <v>100</v>
      </c>
      <c r="D2059" s="3" t="s">
        <v>161</v>
      </c>
      <c r="E2059" s="3" t="s">
        <v>14</v>
      </c>
      <c r="F2059" s="3" t="str">
        <f t="shared" si="0"/>
        <v>4 - Blanco/Nulo</v>
      </c>
      <c r="G2059" s="2">
        <v>65</v>
      </c>
      <c r="H2059" s="3"/>
    </row>
    <row r="2060" spans="1:8" ht="12.75" hidden="1" x14ac:dyDescent="0.2">
      <c r="A2060" s="3" t="s">
        <v>160</v>
      </c>
      <c r="B2060" s="2">
        <v>77</v>
      </c>
      <c r="C2060" s="4" t="s">
        <v>100</v>
      </c>
      <c r="D2060" s="3" t="s">
        <v>161</v>
      </c>
      <c r="E2060" s="3" t="s">
        <v>149</v>
      </c>
      <c r="F2060" s="3" t="str">
        <f t="shared" si="0"/>
        <v>3 - Otros</v>
      </c>
      <c r="G2060" s="2">
        <v>31</v>
      </c>
      <c r="H2060" s="3"/>
    </row>
    <row r="2061" spans="1:8" ht="12.75" hidden="1" x14ac:dyDescent="0.2">
      <c r="A2061" s="3" t="s">
        <v>160</v>
      </c>
      <c r="B2061" s="2">
        <v>77</v>
      </c>
      <c r="C2061" s="4" t="s">
        <v>100</v>
      </c>
      <c r="D2061" s="3" t="s">
        <v>161</v>
      </c>
      <c r="E2061" s="3" t="s">
        <v>133</v>
      </c>
      <c r="F2061" s="3" t="str">
        <f t="shared" si="0"/>
        <v>3 - Otros</v>
      </c>
      <c r="G2061" s="2">
        <v>30</v>
      </c>
      <c r="H2061" s="3"/>
    </row>
    <row r="2062" spans="1:8" ht="12.75" hidden="1" x14ac:dyDescent="0.2">
      <c r="A2062" s="3" t="s">
        <v>160</v>
      </c>
      <c r="B2062" s="2">
        <v>77</v>
      </c>
      <c r="C2062" s="4" t="s">
        <v>100</v>
      </c>
      <c r="D2062" s="3" t="s">
        <v>161</v>
      </c>
      <c r="E2062" s="3" t="s">
        <v>148</v>
      </c>
      <c r="F2062" s="3" t="str">
        <f t="shared" si="0"/>
        <v>3 - Otros</v>
      </c>
      <c r="G2062" s="2">
        <v>14</v>
      </c>
      <c r="H2062" s="3"/>
    </row>
    <row r="2063" spans="1:8" ht="12.75" hidden="1" x14ac:dyDescent="0.2">
      <c r="A2063" s="3" t="s">
        <v>160</v>
      </c>
      <c r="B2063" s="2">
        <v>77</v>
      </c>
      <c r="C2063" s="4" t="s">
        <v>100</v>
      </c>
      <c r="D2063" s="3" t="s">
        <v>161</v>
      </c>
      <c r="E2063" s="3" t="s">
        <v>138</v>
      </c>
      <c r="F2063" s="3" t="str">
        <f t="shared" si="0"/>
        <v>4 - Blanco/Nulo</v>
      </c>
      <c r="G2063" s="2">
        <v>8</v>
      </c>
      <c r="H2063" s="3"/>
    </row>
    <row r="2064" spans="1:8" ht="12.75" hidden="1" x14ac:dyDescent="0.2">
      <c r="A2064" s="3" t="s">
        <v>160</v>
      </c>
      <c r="B2064" s="2">
        <v>77</v>
      </c>
      <c r="C2064" s="4" t="s">
        <v>100</v>
      </c>
      <c r="D2064" s="3" t="s">
        <v>161</v>
      </c>
      <c r="E2064" s="3" t="s">
        <v>135</v>
      </c>
      <c r="F2064" s="3" t="str">
        <f t="shared" si="0"/>
        <v>3 - Otros</v>
      </c>
      <c r="G2064" s="2">
        <v>2</v>
      </c>
      <c r="H2064" s="3"/>
    </row>
    <row r="2065" spans="1:8" ht="12.75" hidden="1" x14ac:dyDescent="0.2">
      <c r="A2065" s="3" t="s">
        <v>160</v>
      </c>
      <c r="B2065" s="2">
        <v>77</v>
      </c>
      <c r="C2065" s="4" t="s">
        <v>100</v>
      </c>
      <c r="D2065" s="3" t="s">
        <v>161</v>
      </c>
      <c r="E2065" s="3" t="s">
        <v>145</v>
      </c>
      <c r="F2065" s="3" t="str">
        <f t="shared" si="0"/>
        <v>3 - Otros</v>
      </c>
      <c r="G2065" s="2">
        <v>2</v>
      </c>
      <c r="H2065" s="3"/>
    </row>
    <row r="2066" spans="1:8" ht="12.75" hidden="1" x14ac:dyDescent="0.2">
      <c r="A2066" s="3" t="s">
        <v>160</v>
      </c>
      <c r="B2066" s="2">
        <v>77</v>
      </c>
      <c r="C2066" s="4" t="s">
        <v>100</v>
      </c>
      <c r="D2066" s="3" t="s">
        <v>161</v>
      </c>
      <c r="E2066" s="3" t="s">
        <v>139</v>
      </c>
      <c r="F2066" s="3" t="str">
        <f t="shared" si="0"/>
        <v>3 - Otros</v>
      </c>
      <c r="G2066" s="2">
        <v>1</v>
      </c>
      <c r="H2066" s="2">
        <f>SUM(G2057:G2066)</f>
        <v>1142</v>
      </c>
    </row>
    <row r="2067" spans="1:8" ht="12.75" hidden="1" x14ac:dyDescent="0.2">
      <c r="A2067" s="3" t="s">
        <v>160</v>
      </c>
      <c r="B2067" s="2">
        <v>77</v>
      </c>
      <c r="C2067" s="4" t="s">
        <v>100</v>
      </c>
      <c r="D2067" s="3" t="s">
        <v>162</v>
      </c>
      <c r="E2067" s="3" t="s">
        <v>128</v>
      </c>
      <c r="F2067" s="3" t="str">
        <f t="shared" si="0"/>
        <v>2 - Frepam</v>
      </c>
      <c r="G2067" s="2">
        <v>500</v>
      </c>
      <c r="H2067" s="3"/>
    </row>
    <row r="2068" spans="1:8" ht="12.75" hidden="1" x14ac:dyDescent="0.2">
      <c r="A2068" s="3" t="s">
        <v>160</v>
      </c>
      <c r="B2068" s="2">
        <v>77</v>
      </c>
      <c r="C2068" s="4" t="s">
        <v>100</v>
      </c>
      <c r="D2068" s="3" t="s">
        <v>162</v>
      </c>
      <c r="E2068" s="3" t="s">
        <v>136</v>
      </c>
      <c r="F2068" s="3" t="str">
        <f t="shared" si="0"/>
        <v>1 - PJ</v>
      </c>
      <c r="G2068" s="2">
        <v>430</v>
      </c>
      <c r="H2068" s="3"/>
    </row>
    <row r="2069" spans="1:8" ht="12.75" hidden="1" x14ac:dyDescent="0.2">
      <c r="A2069" s="3" t="s">
        <v>160</v>
      </c>
      <c r="B2069" s="2">
        <v>77</v>
      </c>
      <c r="C2069" s="4" t="s">
        <v>100</v>
      </c>
      <c r="D2069" s="3" t="s">
        <v>162</v>
      </c>
      <c r="E2069" s="3" t="s">
        <v>14</v>
      </c>
      <c r="F2069" s="3" t="str">
        <f t="shared" si="0"/>
        <v>4 - Blanco/Nulo</v>
      </c>
      <c r="G2069" s="2">
        <v>98</v>
      </c>
      <c r="H2069" s="3"/>
    </row>
    <row r="2070" spans="1:8" ht="12.75" hidden="1" x14ac:dyDescent="0.2">
      <c r="A2070" s="3" t="s">
        <v>160</v>
      </c>
      <c r="B2070" s="2">
        <v>77</v>
      </c>
      <c r="C2070" s="4" t="s">
        <v>100</v>
      </c>
      <c r="D2070" s="3" t="s">
        <v>162</v>
      </c>
      <c r="E2070" s="3" t="s">
        <v>133</v>
      </c>
      <c r="F2070" s="3" t="str">
        <f t="shared" si="0"/>
        <v>3 - Otros</v>
      </c>
      <c r="G2070" s="2">
        <v>43</v>
      </c>
      <c r="H2070" s="3"/>
    </row>
    <row r="2071" spans="1:8" ht="12.75" hidden="1" x14ac:dyDescent="0.2">
      <c r="A2071" s="3" t="s">
        <v>160</v>
      </c>
      <c r="B2071" s="2">
        <v>77</v>
      </c>
      <c r="C2071" s="4" t="s">
        <v>100</v>
      </c>
      <c r="D2071" s="3" t="s">
        <v>162</v>
      </c>
      <c r="E2071" s="3" t="s">
        <v>149</v>
      </c>
      <c r="F2071" s="3" t="str">
        <f t="shared" si="0"/>
        <v>3 - Otros</v>
      </c>
      <c r="G2071" s="2">
        <v>35</v>
      </c>
      <c r="H2071" s="3"/>
    </row>
    <row r="2072" spans="1:8" ht="12.75" hidden="1" x14ac:dyDescent="0.2">
      <c r="A2072" s="3" t="s">
        <v>160</v>
      </c>
      <c r="B2072" s="2">
        <v>77</v>
      </c>
      <c r="C2072" s="4" t="s">
        <v>100</v>
      </c>
      <c r="D2072" s="3" t="s">
        <v>162</v>
      </c>
      <c r="E2072" s="3" t="s">
        <v>148</v>
      </c>
      <c r="F2072" s="3" t="str">
        <f t="shared" si="0"/>
        <v>3 - Otros</v>
      </c>
      <c r="G2072" s="2">
        <v>23</v>
      </c>
      <c r="H2072" s="3"/>
    </row>
    <row r="2073" spans="1:8" ht="12.75" hidden="1" x14ac:dyDescent="0.2">
      <c r="A2073" s="3" t="s">
        <v>160</v>
      </c>
      <c r="B2073" s="2">
        <v>77</v>
      </c>
      <c r="C2073" s="4" t="s">
        <v>100</v>
      </c>
      <c r="D2073" s="3" t="s">
        <v>162</v>
      </c>
      <c r="E2073" s="3" t="s">
        <v>138</v>
      </c>
      <c r="F2073" s="3" t="str">
        <f t="shared" si="0"/>
        <v>4 - Blanco/Nulo</v>
      </c>
      <c r="G2073" s="2">
        <v>8</v>
      </c>
      <c r="H2073" s="3"/>
    </row>
    <row r="2074" spans="1:8" ht="12.75" hidden="1" x14ac:dyDescent="0.2">
      <c r="A2074" s="3" t="s">
        <v>160</v>
      </c>
      <c r="B2074" s="2">
        <v>77</v>
      </c>
      <c r="C2074" s="4" t="s">
        <v>100</v>
      </c>
      <c r="D2074" s="3" t="s">
        <v>162</v>
      </c>
      <c r="E2074" s="3" t="s">
        <v>145</v>
      </c>
      <c r="F2074" s="3" t="str">
        <f t="shared" si="0"/>
        <v>3 - Otros</v>
      </c>
      <c r="G2074" s="2">
        <v>2</v>
      </c>
      <c r="H2074" s="3"/>
    </row>
    <row r="2075" spans="1:8" ht="12.75" hidden="1" x14ac:dyDescent="0.2">
      <c r="A2075" s="3" t="s">
        <v>160</v>
      </c>
      <c r="B2075" s="2">
        <v>77</v>
      </c>
      <c r="C2075" s="4" t="s">
        <v>100</v>
      </c>
      <c r="D2075" s="3" t="s">
        <v>162</v>
      </c>
      <c r="E2075" s="3" t="s">
        <v>135</v>
      </c>
      <c r="F2075" s="3" t="str">
        <f t="shared" si="0"/>
        <v>3 - Otros</v>
      </c>
      <c r="G2075" s="2">
        <v>2</v>
      </c>
      <c r="H2075" s="3"/>
    </row>
    <row r="2076" spans="1:8" ht="12.75" hidden="1" x14ac:dyDescent="0.2">
      <c r="A2076" s="3" t="s">
        <v>160</v>
      </c>
      <c r="B2076" s="2">
        <v>77</v>
      </c>
      <c r="C2076" s="4" t="s">
        <v>100</v>
      </c>
      <c r="D2076" s="3" t="s">
        <v>162</v>
      </c>
      <c r="E2076" s="3" t="s">
        <v>139</v>
      </c>
      <c r="F2076" s="3" t="str">
        <f t="shared" si="0"/>
        <v>3 - Otros</v>
      </c>
      <c r="G2076" s="2">
        <v>1</v>
      </c>
      <c r="H2076" s="2">
        <f>SUM(G2067:G2076)</f>
        <v>1142</v>
      </c>
    </row>
    <row r="2077" spans="1:8" ht="12.75" hidden="1" x14ac:dyDescent="0.2">
      <c r="A2077" s="3" t="s">
        <v>160</v>
      </c>
      <c r="B2077" s="2">
        <v>78</v>
      </c>
      <c r="C2077" s="4" t="s">
        <v>101</v>
      </c>
      <c r="D2077" s="3" t="s">
        <v>15</v>
      </c>
      <c r="E2077" s="3" t="s">
        <v>128</v>
      </c>
      <c r="F2077" s="3" t="str">
        <f t="shared" si="0"/>
        <v>2 - Frepam</v>
      </c>
      <c r="G2077" s="2">
        <v>134</v>
      </c>
      <c r="H2077" s="3"/>
    </row>
    <row r="2078" spans="1:8" ht="12.75" hidden="1" x14ac:dyDescent="0.2">
      <c r="A2078" s="3" t="s">
        <v>160</v>
      </c>
      <c r="B2078" s="2">
        <v>78</v>
      </c>
      <c r="C2078" s="4" t="s">
        <v>101</v>
      </c>
      <c r="D2078" s="3" t="s">
        <v>15</v>
      </c>
      <c r="E2078" s="3" t="s">
        <v>136</v>
      </c>
      <c r="F2078" s="3" t="str">
        <f t="shared" si="0"/>
        <v>1 - PJ</v>
      </c>
      <c r="G2078" s="2">
        <v>113</v>
      </c>
      <c r="H2078" s="3"/>
    </row>
    <row r="2079" spans="1:8" ht="12.75" hidden="1" x14ac:dyDescent="0.2">
      <c r="A2079" s="3" t="s">
        <v>160</v>
      </c>
      <c r="B2079" s="2">
        <v>78</v>
      </c>
      <c r="C2079" s="4" t="s">
        <v>101</v>
      </c>
      <c r="D2079" s="3" t="s">
        <v>15</v>
      </c>
      <c r="E2079" s="3" t="s">
        <v>14</v>
      </c>
      <c r="F2079" s="3" t="str">
        <f t="shared" si="0"/>
        <v>4 - Blanco/Nulo</v>
      </c>
      <c r="G2079" s="2">
        <v>2</v>
      </c>
      <c r="H2079" s="2">
        <f>SUM(G2077:G2079)</f>
        <v>249</v>
      </c>
    </row>
    <row r="2080" spans="1:8" ht="12.75" hidden="1" x14ac:dyDescent="0.2">
      <c r="A2080" s="3" t="s">
        <v>160</v>
      </c>
      <c r="B2080" s="2">
        <v>78</v>
      </c>
      <c r="C2080" s="4" t="s">
        <v>101</v>
      </c>
      <c r="D2080" s="3" t="s">
        <v>161</v>
      </c>
      <c r="E2080" s="3" t="s">
        <v>136</v>
      </c>
      <c r="F2080" s="3" t="str">
        <f t="shared" si="0"/>
        <v>1 - PJ</v>
      </c>
      <c r="G2080" s="2">
        <v>119</v>
      </c>
      <c r="H2080" s="3"/>
    </row>
    <row r="2081" spans="1:8" ht="12.75" hidden="1" x14ac:dyDescent="0.2">
      <c r="A2081" s="3" t="s">
        <v>160</v>
      </c>
      <c r="B2081" s="2">
        <v>78</v>
      </c>
      <c r="C2081" s="4" t="s">
        <v>101</v>
      </c>
      <c r="D2081" s="3" t="s">
        <v>161</v>
      </c>
      <c r="E2081" s="3" t="s">
        <v>128</v>
      </c>
      <c r="F2081" s="3" t="str">
        <f t="shared" si="0"/>
        <v>2 - Frepam</v>
      </c>
      <c r="G2081" s="2">
        <v>109</v>
      </c>
      <c r="H2081" s="3"/>
    </row>
    <row r="2082" spans="1:8" ht="12.75" hidden="1" x14ac:dyDescent="0.2">
      <c r="A2082" s="3" t="s">
        <v>160</v>
      </c>
      <c r="B2082" s="2">
        <v>78</v>
      </c>
      <c r="C2082" s="4" t="s">
        <v>101</v>
      </c>
      <c r="D2082" s="3" t="s">
        <v>161</v>
      </c>
      <c r="E2082" s="3" t="s">
        <v>14</v>
      </c>
      <c r="F2082" s="3" t="str">
        <f t="shared" si="0"/>
        <v>4 - Blanco/Nulo</v>
      </c>
      <c r="G2082" s="2">
        <v>10</v>
      </c>
      <c r="H2082" s="3"/>
    </row>
    <row r="2083" spans="1:8" ht="12.75" hidden="1" x14ac:dyDescent="0.2">
      <c r="A2083" s="3" t="s">
        <v>160</v>
      </c>
      <c r="B2083" s="2">
        <v>78</v>
      </c>
      <c r="C2083" s="4" t="s">
        <v>101</v>
      </c>
      <c r="D2083" s="3" t="s">
        <v>161</v>
      </c>
      <c r="E2083" s="3" t="s">
        <v>149</v>
      </c>
      <c r="F2083" s="3" t="str">
        <f t="shared" si="0"/>
        <v>3 - Otros</v>
      </c>
      <c r="G2083" s="2">
        <v>5</v>
      </c>
      <c r="H2083" s="3"/>
    </row>
    <row r="2084" spans="1:8" ht="12.75" hidden="1" x14ac:dyDescent="0.2">
      <c r="A2084" s="3" t="s">
        <v>160</v>
      </c>
      <c r="B2084" s="2">
        <v>78</v>
      </c>
      <c r="C2084" s="4" t="s">
        <v>101</v>
      </c>
      <c r="D2084" s="3" t="s">
        <v>161</v>
      </c>
      <c r="E2084" s="3" t="s">
        <v>133</v>
      </c>
      <c r="F2084" s="3" t="str">
        <f t="shared" si="0"/>
        <v>3 - Otros</v>
      </c>
      <c r="G2084" s="2">
        <v>3</v>
      </c>
      <c r="H2084" s="3"/>
    </row>
    <row r="2085" spans="1:8" ht="12.75" hidden="1" x14ac:dyDescent="0.2">
      <c r="A2085" s="3" t="s">
        <v>160</v>
      </c>
      <c r="B2085" s="2">
        <v>78</v>
      </c>
      <c r="C2085" s="4" t="s">
        <v>101</v>
      </c>
      <c r="D2085" s="3" t="s">
        <v>161</v>
      </c>
      <c r="E2085" s="3" t="s">
        <v>148</v>
      </c>
      <c r="F2085" s="3" t="str">
        <f t="shared" si="0"/>
        <v>3 - Otros</v>
      </c>
      <c r="G2085" s="2">
        <v>2</v>
      </c>
      <c r="H2085" s="3"/>
    </row>
    <row r="2086" spans="1:8" ht="12.75" hidden="1" x14ac:dyDescent="0.2">
      <c r="A2086" s="3" t="s">
        <v>160</v>
      </c>
      <c r="B2086" s="2">
        <v>78</v>
      </c>
      <c r="C2086" s="4" t="s">
        <v>101</v>
      </c>
      <c r="D2086" s="3" t="s">
        <v>161</v>
      </c>
      <c r="E2086" s="3" t="s">
        <v>139</v>
      </c>
      <c r="F2086" s="3" t="str">
        <f t="shared" si="0"/>
        <v>3 - Otros</v>
      </c>
      <c r="G2086" s="2">
        <v>1</v>
      </c>
      <c r="H2086" s="2">
        <f>SUM(G2080:G2086)</f>
        <v>249</v>
      </c>
    </row>
    <row r="2087" spans="1:8" ht="12.75" hidden="1" x14ac:dyDescent="0.2">
      <c r="A2087" s="3" t="s">
        <v>160</v>
      </c>
      <c r="B2087" s="2">
        <v>78</v>
      </c>
      <c r="C2087" s="4" t="s">
        <v>101</v>
      </c>
      <c r="D2087" s="3" t="s">
        <v>162</v>
      </c>
      <c r="E2087" s="3" t="s">
        <v>136</v>
      </c>
      <c r="F2087" s="3" t="str">
        <f t="shared" si="0"/>
        <v>1 - PJ</v>
      </c>
      <c r="G2087" s="2">
        <v>125</v>
      </c>
      <c r="H2087" s="3"/>
    </row>
    <row r="2088" spans="1:8" ht="12.75" hidden="1" x14ac:dyDescent="0.2">
      <c r="A2088" s="3" t="s">
        <v>160</v>
      </c>
      <c r="B2088" s="2">
        <v>78</v>
      </c>
      <c r="C2088" s="4" t="s">
        <v>101</v>
      </c>
      <c r="D2088" s="3" t="s">
        <v>162</v>
      </c>
      <c r="E2088" s="3" t="s">
        <v>128</v>
      </c>
      <c r="F2088" s="3" t="str">
        <f t="shared" si="0"/>
        <v>2 - Frepam</v>
      </c>
      <c r="G2088" s="2">
        <v>108</v>
      </c>
      <c r="H2088" s="3"/>
    </row>
    <row r="2089" spans="1:8" ht="12.75" hidden="1" x14ac:dyDescent="0.2">
      <c r="A2089" s="3" t="s">
        <v>160</v>
      </c>
      <c r="B2089" s="2">
        <v>78</v>
      </c>
      <c r="C2089" s="4" t="s">
        <v>101</v>
      </c>
      <c r="D2089" s="3" t="s">
        <v>162</v>
      </c>
      <c r="E2089" s="3" t="s">
        <v>149</v>
      </c>
      <c r="F2089" s="3" t="str">
        <f t="shared" si="0"/>
        <v>3 - Otros</v>
      </c>
      <c r="G2089" s="2">
        <v>5</v>
      </c>
      <c r="H2089" s="3"/>
    </row>
    <row r="2090" spans="1:8" ht="12.75" hidden="1" x14ac:dyDescent="0.2">
      <c r="A2090" s="3" t="s">
        <v>160</v>
      </c>
      <c r="B2090" s="2">
        <v>78</v>
      </c>
      <c r="C2090" s="4" t="s">
        <v>101</v>
      </c>
      <c r="D2090" s="3" t="s">
        <v>162</v>
      </c>
      <c r="E2090" s="3" t="s">
        <v>133</v>
      </c>
      <c r="F2090" s="3" t="str">
        <f t="shared" si="0"/>
        <v>3 - Otros</v>
      </c>
      <c r="G2090" s="2">
        <v>5</v>
      </c>
      <c r="H2090" s="3"/>
    </row>
    <row r="2091" spans="1:8" ht="12.75" hidden="1" x14ac:dyDescent="0.2">
      <c r="A2091" s="3" t="s">
        <v>160</v>
      </c>
      <c r="B2091" s="2">
        <v>78</v>
      </c>
      <c r="C2091" s="4" t="s">
        <v>101</v>
      </c>
      <c r="D2091" s="3" t="s">
        <v>162</v>
      </c>
      <c r="E2091" s="3" t="s">
        <v>14</v>
      </c>
      <c r="F2091" s="3" t="str">
        <f t="shared" si="0"/>
        <v>4 - Blanco/Nulo</v>
      </c>
      <c r="G2091" s="2">
        <v>3</v>
      </c>
      <c r="H2091" s="3"/>
    </row>
    <row r="2092" spans="1:8" ht="12.75" hidden="1" x14ac:dyDescent="0.2">
      <c r="A2092" s="3" t="s">
        <v>160</v>
      </c>
      <c r="B2092" s="2">
        <v>78</v>
      </c>
      <c r="C2092" s="4" t="s">
        <v>101</v>
      </c>
      <c r="D2092" s="3" t="s">
        <v>162</v>
      </c>
      <c r="E2092" s="3" t="s">
        <v>148</v>
      </c>
      <c r="F2092" s="3" t="str">
        <f t="shared" si="0"/>
        <v>3 - Otros</v>
      </c>
      <c r="G2092" s="2">
        <v>1</v>
      </c>
      <c r="H2092" s="3"/>
    </row>
    <row r="2093" spans="1:8" ht="12.75" hidden="1" x14ac:dyDescent="0.2">
      <c r="A2093" s="3" t="s">
        <v>160</v>
      </c>
      <c r="B2093" s="2">
        <v>78</v>
      </c>
      <c r="C2093" s="4" t="s">
        <v>101</v>
      </c>
      <c r="D2093" s="3" t="s">
        <v>162</v>
      </c>
      <c r="E2093" s="3" t="s">
        <v>135</v>
      </c>
      <c r="F2093" s="3" t="str">
        <f t="shared" si="0"/>
        <v>3 - Otros</v>
      </c>
      <c r="G2093" s="2">
        <v>1</v>
      </c>
      <c r="H2093" s="3"/>
    </row>
    <row r="2094" spans="1:8" ht="12.75" hidden="1" x14ac:dyDescent="0.2">
      <c r="A2094" s="3" t="s">
        <v>160</v>
      </c>
      <c r="B2094" s="2">
        <v>78</v>
      </c>
      <c r="C2094" s="4" t="s">
        <v>101</v>
      </c>
      <c r="D2094" s="3" t="s">
        <v>162</v>
      </c>
      <c r="E2094" s="3" t="s">
        <v>139</v>
      </c>
      <c r="F2094" s="3" t="str">
        <f t="shared" si="0"/>
        <v>3 - Otros</v>
      </c>
      <c r="G2094" s="2">
        <v>1</v>
      </c>
      <c r="H2094" s="2">
        <f>SUM(G2087:G2094)</f>
        <v>249</v>
      </c>
    </row>
    <row r="2095" spans="1:8" ht="12.75" hidden="1" x14ac:dyDescent="0.2">
      <c r="A2095" s="3" t="s">
        <v>160</v>
      </c>
      <c r="B2095" s="2">
        <v>79</v>
      </c>
      <c r="C2095" s="4" t="s">
        <v>102</v>
      </c>
      <c r="D2095" s="3" t="s">
        <v>2</v>
      </c>
      <c r="E2095" s="3" t="s">
        <v>128</v>
      </c>
      <c r="F2095" s="3" t="str">
        <f t="shared" si="0"/>
        <v>2 - Frepam</v>
      </c>
      <c r="G2095" s="2">
        <v>674</v>
      </c>
      <c r="H2095" s="3"/>
    </row>
    <row r="2096" spans="1:8" ht="12.75" hidden="1" x14ac:dyDescent="0.2">
      <c r="A2096" s="3" t="s">
        <v>160</v>
      </c>
      <c r="B2096" s="2">
        <v>79</v>
      </c>
      <c r="C2096" s="4" t="s">
        <v>102</v>
      </c>
      <c r="D2096" s="3" t="s">
        <v>2</v>
      </c>
      <c r="E2096" s="3" t="s">
        <v>136</v>
      </c>
      <c r="F2096" s="3" t="str">
        <f t="shared" si="0"/>
        <v>1 - PJ</v>
      </c>
      <c r="G2096" s="2">
        <v>309</v>
      </c>
      <c r="H2096" s="3"/>
    </row>
    <row r="2097" spans="1:8" ht="12.75" hidden="1" x14ac:dyDescent="0.2">
      <c r="A2097" s="3" t="s">
        <v>160</v>
      </c>
      <c r="B2097" s="2">
        <v>79</v>
      </c>
      <c r="C2097" s="4" t="s">
        <v>102</v>
      </c>
      <c r="D2097" s="3" t="s">
        <v>2</v>
      </c>
      <c r="E2097" s="3" t="s">
        <v>14</v>
      </c>
      <c r="F2097" s="3" t="str">
        <f t="shared" si="0"/>
        <v>4 - Blanco/Nulo</v>
      </c>
      <c r="G2097" s="2">
        <v>46</v>
      </c>
      <c r="H2097" s="3"/>
    </row>
    <row r="2098" spans="1:8" ht="12.75" hidden="1" x14ac:dyDescent="0.2">
      <c r="A2098" s="3" t="s">
        <v>160</v>
      </c>
      <c r="B2098" s="2">
        <v>79</v>
      </c>
      <c r="C2098" s="4" t="s">
        <v>102</v>
      </c>
      <c r="D2098" s="3" t="s">
        <v>2</v>
      </c>
      <c r="E2098" s="3" t="s">
        <v>138</v>
      </c>
      <c r="F2098" s="3" t="str">
        <f t="shared" si="0"/>
        <v>4 - Blanco/Nulo</v>
      </c>
      <c r="G2098" s="2">
        <v>3</v>
      </c>
      <c r="H2098" s="2">
        <f>SUM(G2095:G2098)</f>
        <v>1032</v>
      </c>
    </row>
    <row r="2099" spans="1:8" ht="12.75" hidden="1" x14ac:dyDescent="0.2">
      <c r="A2099" s="3" t="s">
        <v>160</v>
      </c>
      <c r="B2099" s="2">
        <v>79</v>
      </c>
      <c r="C2099" s="4" t="s">
        <v>102</v>
      </c>
      <c r="D2099" s="3" t="s">
        <v>161</v>
      </c>
      <c r="E2099" s="3" t="s">
        <v>128</v>
      </c>
      <c r="F2099" s="3" t="str">
        <f t="shared" si="0"/>
        <v>2 - Frepam</v>
      </c>
      <c r="G2099" s="2">
        <v>485</v>
      </c>
      <c r="H2099" s="3"/>
    </row>
    <row r="2100" spans="1:8" ht="12.75" hidden="1" x14ac:dyDescent="0.2">
      <c r="A2100" s="3" t="s">
        <v>160</v>
      </c>
      <c r="B2100" s="2">
        <v>79</v>
      </c>
      <c r="C2100" s="4" t="s">
        <v>102</v>
      </c>
      <c r="D2100" s="3" t="s">
        <v>161</v>
      </c>
      <c r="E2100" s="3" t="s">
        <v>136</v>
      </c>
      <c r="F2100" s="3" t="str">
        <f t="shared" si="0"/>
        <v>1 - PJ</v>
      </c>
      <c r="G2100" s="2">
        <v>390</v>
      </c>
      <c r="H2100" s="3"/>
    </row>
    <row r="2101" spans="1:8" ht="12.75" hidden="1" x14ac:dyDescent="0.2">
      <c r="A2101" s="3" t="s">
        <v>160</v>
      </c>
      <c r="B2101" s="2">
        <v>79</v>
      </c>
      <c r="C2101" s="4" t="s">
        <v>102</v>
      </c>
      <c r="D2101" s="3" t="s">
        <v>161</v>
      </c>
      <c r="E2101" s="3" t="s">
        <v>14</v>
      </c>
      <c r="F2101" s="3" t="str">
        <f t="shared" si="0"/>
        <v>4 - Blanco/Nulo</v>
      </c>
      <c r="G2101" s="2">
        <v>70</v>
      </c>
      <c r="H2101" s="3"/>
    </row>
    <row r="2102" spans="1:8" ht="12.75" hidden="1" x14ac:dyDescent="0.2">
      <c r="A2102" s="3" t="s">
        <v>160</v>
      </c>
      <c r="B2102" s="2">
        <v>79</v>
      </c>
      <c r="C2102" s="4" t="s">
        <v>102</v>
      </c>
      <c r="D2102" s="3" t="s">
        <v>161</v>
      </c>
      <c r="E2102" s="3" t="s">
        <v>149</v>
      </c>
      <c r="F2102" s="3" t="str">
        <f t="shared" si="0"/>
        <v>3 - Otros</v>
      </c>
      <c r="G2102" s="2">
        <v>47</v>
      </c>
      <c r="H2102" s="3"/>
    </row>
    <row r="2103" spans="1:8" ht="12.75" hidden="1" x14ac:dyDescent="0.2">
      <c r="A2103" s="3" t="s">
        <v>160</v>
      </c>
      <c r="B2103" s="2">
        <v>79</v>
      </c>
      <c r="C2103" s="4" t="s">
        <v>102</v>
      </c>
      <c r="D2103" s="3" t="s">
        <v>161</v>
      </c>
      <c r="E2103" s="3" t="s">
        <v>133</v>
      </c>
      <c r="F2103" s="3" t="str">
        <f t="shared" si="0"/>
        <v>3 - Otros</v>
      </c>
      <c r="G2103" s="2">
        <v>17</v>
      </c>
      <c r="H2103" s="3"/>
    </row>
    <row r="2104" spans="1:8" ht="12.75" hidden="1" x14ac:dyDescent="0.2">
      <c r="A2104" s="3" t="s">
        <v>160</v>
      </c>
      <c r="B2104" s="2">
        <v>79</v>
      </c>
      <c r="C2104" s="4" t="s">
        <v>102</v>
      </c>
      <c r="D2104" s="3" t="s">
        <v>161</v>
      </c>
      <c r="E2104" s="3" t="s">
        <v>138</v>
      </c>
      <c r="F2104" s="3" t="str">
        <f t="shared" si="0"/>
        <v>4 - Blanco/Nulo</v>
      </c>
      <c r="G2104" s="2">
        <v>12</v>
      </c>
      <c r="H2104" s="3"/>
    </row>
    <row r="2105" spans="1:8" ht="12.75" hidden="1" x14ac:dyDescent="0.2">
      <c r="A2105" s="3" t="s">
        <v>160</v>
      </c>
      <c r="B2105" s="2">
        <v>79</v>
      </c>
      <c r="C2105" s="4" t="s">
        <v>102</v>
      </c>
      <c r="D2105" s="3" t="s">
        <v>161</v>
      </c>
      <c r="E2105" s="3" t="s">
        <v>148</v>
      </c>
      <c r="F2105" s="3" t="str">
        <f t="shared" si="0"/>
        <v>3 - Otros</v>
      </c>
      <c r="G2105" s="2">
        <v>6</v>
      </c>
      <c r="H2105" s="3"/>
    </row>
    <row r="2106" spans="1:8" ht="12.75" hidden="1" x14ac:dyDescent="0.2">
      <c r="A2106" s="3" t="s">
        <v>160</v>
      </c>
      <c r="B2106" s="2">
        <v>79</v>
      </c>
      <c r="C2106" s="4" t="s">
        <v>102</v>
      </c>
      <c r="D2106" s="3" t="s">
        <v>161</v>
      </c>
      <c r="E2106" s="3" t="s">
        <v>135</v>
      </c>
      <c r="F2106" s="3" t="str">
        <f t="shared" si="0"/>
        <v>3 - Otros</v>
      </c>
      <c r="G2106" s="2">
        <v>3</v>
      </c>
      <c r="H2106" s="3"/>
    </row>
    <row r="2107" spans="1:8" ht="12.75" hidden="1" x14ac:dyDescent="0.2">
      <c r="A2107" s="3" t="s">
        <v>160</v>
      </c>
      <c r="B2107" s="2">
        <v>79</v>
      </c>
      <c r="C2107" s="4" t="s">
        <v>102</v>
      </c>
      <c r="D2107" s="3" t="s">
        <v>161</v>
      </c>
      <c r="E2107" s="3" t="s">
        <v>145</v>
      </c>
      <c r="F2107" s="3" t="str">
        <f t="shared" si="0"/>
        <v>3 - Otros</v>
      </c>
      <c r="G2107" s="2">
        <v>1</v>
      </c>
      <c r="H2107" s="3"/>
    </row>
    <row r="2108" spans="1:8" ht="12.75" hidden="1" x14ac:dyDescent="0.2">
      <c r="A2108" s="3" t="s">
        <v>160</v>
      </c>
      <c r="B2108" s="2">
        <v>79</v>
      </c>
      <c r="C2108" s="4" t="s">
        <v>102</v>
      </c>
      <c r="D2108" s="3" t="s">
        <v>161</v>
      </c>
      <c r="E2108" s="3" t="s">
        <v>139</v>
      </c>
      <c r="F2108" s="3" t="str">
        <f t="shared" si="0"/>
        <v>3 - Otros</v>
      </c>
      <c r="G2108" s="2">
        <v>1</v>
      </c>
      <c r="H2108" s="2">
        <f>SUM(G2099:G2108)</f>
        <v>1032</v>
      </c>
    </row>
    <row r="2109" spans="1:8" ht="12.75" hidden="1" x14ac:dyDescent="0.2">
      <c r="A2109" s="3" t="s">
        <v>160</v>
      </c>
      <c r="B2109" s="2">
        <v>79</v>
      </c>
      <c r="C2109" s="4" t="s">
        <v>102</v>
      </c>
      <c r="D2109" s="3" t="s">
        <v>162</v>
      </c>
      <c r="E2109" s="3" t="s">
        <v>128</v>
      </c>
      <c r="F2109" s="3" t="str">
        <f t="shared" si="0"/>
        <v>2 - Frepam</v>
      </c>
      <c r="G2109" s="2">
        <v>469</v>
      </c>
      <c r="H2109" s="3"/>
    </row>
    <row r="2110" spans="1:8" ht="12.75" hidden="1" x14ac:dyDescent="0.2">
      <c r="A2110" s="3" t="s">
        <v>160</v>
      </c>
      <c r="B2110" s="2">
        <v>79</v>
      </c>
      <c r="C2110" s="4" t="s">
        <v>102</v>
      </c>
      <c r="D2110" s="3" t="s">
        <v>162</v>
      </c>
      <c r="E2110" s="3" t="s">
        <v>136</v>
      </c>
      <c r="F2110" s="3" t="str">
        <f t="shared" si="0"/>
        <v>1 - PJ</v>
      </c>
      <c r="G2110" s="2">
        <v>418</v>
      </c>
      <c r="H2110" s="3"/>
    </row>
    <row r="2111" spans="1:8" ht="12.75" hidden="1" x14ac:dyDescent="0.2">
      <c r="A2111" s="3" t="s">
        <v>160</v>
      </c>
      <c r="B2111" s="2">
        <v>79</v>
      </c>
      <c r="C2111" s="4" t="s">
        <v>102</v>
      </c>
      <c r="D2111" s="3" t="s">
        <v>162</v>
      </c>
      <c r="E2111" s="3" t="s">
        <v>14</v>
      </c>
      <c r="F2111" s="3" t="str">
        <f t="shared" si="0"/>
        <v>4 - Blanco/Nulo</v>
      </c>
      <c r="G2111" s="2">
        <v>51</v>
      </c>
      <c r="H2111" s="3"/>
    </row>
    <row r="2112" spans="1:8" ht="12.75" hidden="1" x14ac:dyDescent="0.2">
      <c r="A2112" s="3" t="s">
        <v>160</v>
      </c>
      <c r="B2112" s="2">
        <v>79</v>
      </c>
      <c r="C2112" s="4" t="s">
        <v>102</v>
      </c>
      <c r="D2112" s="3" t="s">
        <v>162</v>
      </c>
      <c r="E2112" s="3" t="s">
        <v>149</v>
      </c>
      <c r="F2112" s="3" t="str">
        <f t="shared" si="0"/>
        <v>3 - Otros</v>
      </c>
      <c r="G2112" s="2">
        <v>49</v>
      </c>
      <c r="H2112" s="3"/>
    </row>
    <row r="2113" spans="1:8" ht="12.75" hidden="1" x14ac:dyDescent="0.2">
      <c r="A2113" s="3" t="s">
        <v>160</v>
      </c>
      <c r="B2113" s="2">
        <v>79</v>
      </c>
      <c r="C2113" s="4" t="s">
        <v>102</v>
      </c>
      <c r="D2113" s="3" t="s">
        <v>162</v>
      </c>
      <c r="E2113" s="3" t="s">
        <v>133</v>
      </c>
      <c r="F2113" s="3" t="str">
        <f t="shared" si="0"/>
        <v>3 - Otros</v>
      </c>
      <c r="G2113" s="2">
        <v>24</v>
      </c>
      <c r="H2113" s="3"/>
    </row>
    <row r="2114" spans="1:8" ht="12.75" hidden="1" x14ac:dyDescent="0.2">
      <c r="A2114" s="3" t="s">
        <v>160</v>
      </c>
      <c r="B2114" s="2">
        <v>79</v>
      </c>
      <c r="C2114" s="4" t="s">
        <v>102</v>
      </c>
      <c r="D2114" s="3" t="s">
        <v>162</v>
      </c>
      <c r="E2114" s="3" t="s">
        <v>138</v>
      </c>
      <c r="F2114" s="3" t="str">
        <f t="shared" si="0"/>
        <v>4 - Blanco/Nulo</v>
      </c>
      <c r="G2114" s="2">
        <v>12</v>
      </c>
      <c r="H2114" s="3"/>
    </row>
    <row r="2115" spans="1:8" ht="12.75" hidden="1" x14ac:dyDescent="0.2">
      <c r="A2115" s="3" t="s">
        <v>160</v>
      </c>
      <c r="B2115" s="2">
        <v>79</v>
      </c>
      <c r="C2115" s="4" t="s">
        <v>102</v>
      </c>
      <c r="D2115" s="3" t="s">
        <v>162</v>
      </c>
      <c r="E2115" s="3" t="s">
        <v>148</v>
      </c>
      <c r="F2115" s="3" t="str">
        <f t="shared" si="0"/>
        <v>3 - Otros</v>
      </c>
      <c r="G2115" s="2">
        <v>4</v>
      </c>
      <c r="H2115" s="3"/>
    </row>
    <row r="2116" spans="1:8" ht="12.75" hidden="1" x14ac:dyDescent="0.2">
      <c r="A2116" s="3" t="s">
        <v>160</v>
      </c>
      <c r="B2116" s="2">
        <v>79</v>
      </c>
      <c r="C2116" s="4" t="s">
        <v>102</v>
      </c>
      <c r="D2116" s="3" t="s">
        <v>162</v>
      </c>
      <c r="E2116" s="3" t="s">
        <v>135</v>
      </c>
      <c r="F2116" s="3" t="str">
        <f t="shared" si="0"/>
        <v>3 - Otros</v>
      </c>
      <c r="G2116" s="2">
        <v>3</v>
      </c>
      <c r="H2116" s="3"/>
    </row>
    <row r="2117" spans="1:8" ht="12.75" hidden="1" x14ac:dyDescent="0.2">
      <c r="A2117" s="3" t="s">
        <v>160</v>
      </c>
      <c r="B2117" s="2">
        <v>79</v>
      </c>
      <c r="C2117" s="4" t="s">
        <v>102</v>
      </c>
      <c r="D2117" s="3" t="s">
        <v>162</v>
      </c>
      <c r="E2117" s="3" t="s">
        <v>145</v>
      </c>
      <c r="F2117" s="3" t="str">
        <f t="shared" si="0"/>
        <v>3 - Otros</v>
      </c>
      <c r="G2117" s="2">
        <v>1</v>
      </c>
      <c r="H2117" s="3"/>
    </row>
    <row r="2118" spans="1:8" ht="12.75" hidden="1" x14ac:dyDescent="0.2">
      <c r="A2118" s="3" t="s">
        <v>160</v>
      </c>
      <c r="B2118" s="2">
        <v>79</v>
      </c>
      <c r="C2118" s="4" t="s">
        <v>102</v>
      </c>
      <c r="D2118" s="3" t="s">
        <v>162</v>
      </c>
      <c r="E2118" s="3" t="s">
        <v>139</v>
      </c>
      <c r="F2118" s="3" t="str">
        <f t="shared" si="0"/>
        <v>3 - Otros</v>
      </c>
      <c r="G2118" s="2">
        <v>1</v>
      </c>
      <c r="H2118" s="2">
        <f>SUM(G2109:G2118)</f>
        <v>1032</v>
      </c>
    </row>
    <row r="2119" spans="1:8" ht="12.75" hidden="1" x14ac:dyDescent="0.2">
      <c r="A2119" s="3" t="s">
        <v>160</v>
      </c>
      <c r="B2119" s="2">
        <v>80</v>
      </c>
      <c r="C2119" s="4" t="s">
        <v>103</v>
      </c>
      <c r="D2119" s="3" t="s">
        <v>15</v>
      </c>
      <c r="E2119" s="3" t="s">
        <v>33</v>
      </c>
      <c r="F2119" s="3" t="str">
        <f t="shared" si="0"/>
        <v>3 - Otros</v>
      </c>
      <c r="G2119" s="2">
        <v>124</v>
      </c>
      <c r="H2119" s="3"/>
    </row>
    <row r="2120" spans="1:8" ht="12.75" hidden="1" x14ac:dyDescent="0.2">
      <c r="A2120" s="3" t="s">
        <v>160</v>
      </c>
      <c r="B2120" s="2">
        <v>80</v>
      </c>
      <c r="C2120" s="4" t="s">
        <v>103</v>
      </c>
      <c r="D2120" s="3" t="s">
        <v>15</v>
      </c>
      <c r="E2120" s="3" t="s">
        <v>128</v>
      </c>
      <c r="F2120" s="3" t="str">
        <f t="shared" si="0"/>
        <v>2 - Frepam</v>
      </c>
      <c r="G2120" s="2">
        <v>38</v>
      </c>
      <c r="H2120" s="3"/>
    </row>
    <row r="2121" spans="1:8" ht="12.75" hidden="1" x14ac:dyDescent="0.2">
      <c r="A2121" s="3" t="s">
        <v>160</v>
      </c>
      <c r="B2121" s="2">
        <v>80</v>
      </c>
      <c r="C2121" s="4" t="s">
        <v>103</v>
      </c>
      <c r="D2121" s="3" t="s">
        <v>15</v>
      </c>
      <c r="E2121" s="3" t="s">
        <v>14</v>
      </c>
      <c r="F2121" s="3" t="str">
        <f t="shared" si="0"/>
        <v>4 - Blanco/Nulo</v>
      </c>
      <c r="G2121" s="2">
        <v>3</v>
      </c>
      <c r="H2121" s="3"/>
    </row>
    <row r="2122" spans="1:8" ht="12.75" hidden="1" x14ac:dyDescent="0.2">
      <c r="A2122" s="3" t="s">
        <v>160</v>
      </c>
      <c r="B2122" s="2">
        <v>80</v>
      </c>
      <c r="C2122" s="4" t="s">
        <v>103</v>
      </c>
      <c r="D2122" s="3" t="s">
        <v>15</v>
      </c>
      <c r="E2122" s="3" t="s">
        <v>138</v>
      </c>
      <c r="F2122" s="3" t="str">
        <f t="shared" si="0"/>
        <v>4 - Blanco/Nulo</v>
      </c>
      <c r="G2122" s="2">
        <v>1</v>
      </c>
      <c r="H2122" s="2">
        <f>SUM(G2119:G2122)</f>
        <v>166</v>
      </c>
    </row>
    <row r="2123" spans="1:8" ht="12.75" hidden="1" x14ac:dyDescent="0.2">
      <c r="A2123" s="3" t="s">
        <v>160</v>
      </c>
      <c r="B2123" s="2">
        <v>80</v>
      </c>
      <c r="C2123" s="4" t="s">
        <v>103</v>
      </c>
      <c r="D2123" s="3" t="s">
        <v>161</v>
      </c>
      <c r="E2123" s="3" t="s">
        <v>136</v>
      </c>
      <c r="F2123" s="3" t="str">
        <f t="shared" si="0"/>
        <v>1 - PJ</v>
      </c>
      <c r="G2123" s="2">
        <v>88</v>
      </c>
      <c r="H2123" s="3"/>
    </row>
    <row r="2124" spans="1:8" ht="12.75" hidden="1" x14ac:dyDescent="0.2">
      <c r="A2124" s="3" t="s">
        <v>160</v>
      </c>
      <c r="B2124" s="2">
        <v>80</v>
      </c>
      <c r="C2124" s="4" t="s">
        <v>103</v>
      </c>
      <c r="D2124" s="3" t="s">
        <v>161</v>
      </c>
      <c r="E2124" s="3" t="s">
        <v>128</v>
      </c>
      <c r="F2124" s="3" t="str">
        <f t="shared" si="0"/>
        <v>2 - Frepam</v>
      </c>
      <c r="G2124" s="2">
        <v>51</v>
      </c>
      <c r="H2124" s="3"/>
    </row>
    <row r="2125" spans="1:8" ht="12.75" hidden="1" x14ac:dyDescent="0.2">
      <c r="A2125" s="3" t="s">
        <v>160</v>
      </c>
      <c r="B2125" s="2">
        <v>80</v>
      </c>
      <c r="C2125" s="4" t="s">
        <v>103</v>
      </c>
      <c r="D2125" s="3" t="s">
        <v>161</v>
      </c>
      <c r="E2125" s="3" t="s">
        <v>14</v>
      </c>
      <c r="F2125" s="3" t="str">
        <f t="shared" si="0"/>
        <v>4 - Blanco/Nulo</v>
      </c>
      <c r="G2125" s="2">
        <v>22</v>
      </c>
      <c r="H2125" s="3"/>
    </row>
    <row r="2126" spans="1:8" ht="12.75" hidden="1" x14ac:dyDescent="0.2">
      <c r="A2126" s="3" t="s">
        <v>160</v>
      </c>
      <c r="B2126" s="2">
        <v>80</v>
      </c>
      <c r="C2126" s="4" t="s">
        <v>103</v>
      </c>
      <c r="D2126" s="3" t="s">
        <v>161</v>
      </c>
      <c r="E2126" s="3" t="s">
        <v>133</v>
      </c>
      <c r="F2126" s="3" t="str">
        <f t="shared" si="0"/>
        <v>3 - Otros</v>
      </c>
      <c r="G2126" s="2">
        <v>4</v>
      </c>
      <c r="H2126" s="3"/>
    </row>
    <row r="2127" spans="1:8" ht="12.75" hidden="1" x14ac:dyDescent="0.2">
      <c r="A2127" s="3" t="s">
        <v>160</v>
      </c>
      <c r="B2127" s="2">
        <v>80</v>
      </c>
      <c r="C2127" s="4" t="s">
        <v>103</v>
      </c>
      <c r="D2127" s="3" t="s">
        <v>161</v>
      </c>
      <c r="E2127" s="3" t="s">
        <v>138</v>
      </c>
      <c r="F2127" s="3" t="str">
        <f t="shared" si="0"/>
        <v>4 - Blanco/Nulo</v>
      </c>
      <c r="G2127" s="2">
        <v>1</v>
      </c>
      <c r="H2127" s="2">
        <f>SUM(G2123:G2127)</f>
        <v>166</v>
      </c>
    </row>
    <row r="2128" spans="1:8" ht="12.75" hidden="1" x14ac:dyDescent="0.2">
      <c r="A2128" s="3" t="s">
        <v>160</v>
      </c>
      <c r="B2128" s="2">
        <v>80</v>
      </c>
      <c r="C2128" s="4" t="s">
        <v>103</v>
      </c>
      <c r="D2128" s="3" t="s">
        <v>162</v>
      </c>
      <c r="E2128" s="3" t="s">
        <v>136</v>
      </c>
      <c r="F2128" s="3" t="str">
        <f t="shared" si="0"/>
        <v>1 - PJ</v>
      </c>
      <c r="G2128" s="2">
        <v>88</v>
      </c>
      <c r="H2128" s="3"/>
    </row>
    <row r="2129" spans="1:8" ht="12.75" hidden="1" x14ac:dyDescent="0.2">
      <c r="A2129" s="3" t="s">
        <v>160</v>
      </c>
      <c r="B2129" s="2">
        <v>80</v>
      </c>
      <c r="C2129" s="4" t="s">
        <v>103</v>
      </c>
      <c r="D2129" s="3" t="s">
        <v>162</v>
      </c>
      <c r="E2129" s="3" t="s">
        <v>128</v>
      </c>
      <c r="F2129" s="3" t="str">
        <f t="shared" si="0"/>
        <v>2 - Frepam</v>
      </c>
      <c r="G2129" s="2">
        <v>54</v>
      </c>
      <c r="H2129" s="3"/>
    </row>
    <row r="2130" spans="1:8" ht="12.75" hidden="1" x14ac:dyDescent="0.2">
      <c r="A2130" s="3" t="s">
        <v>160</v>
      </c>
      <c r="B2130" s="2">
        <v>80</v>
      </c>
      <c r="C2130" s="4" t="s">
        <v>103</v>
      </c>
      <c r="D2130" s="3" t="s">
        <v>162</v>
      </c>
      <c r="E2130" s="3" t="s">
        <v>14</v>
      </c>
      <c r="F2130" s="3" t="str">
        <f t="shared" si="0"/>
        <v>4 - Blanco/Nulo</v>
      </c>
      <c r="G2130" s="2">
        <v>17</v>
      </c>
      <c r="H2130" s="3"/>
    </row>
    <row r="2131" spans="1:8" ht="12.75" hidden="1" x14ac:dyDescent="0.2">
      <c r="A2131" s="3" t="s">
        <v>160</v>
      </c>
      <c r="B2131" s="2">
        <v>80</v>
      </c>
      <c r="C2131" s="4" t="s">
        <v>103</v>
      </c>
      <c r="D2131" s="3" t="s">
        <v>162</v>
      </c>
      <c r="E2131" s="3" t="s">
        <v>133</v>
      </c>
      <c r="F2131" s="3" t="str">
        <f t="shared" si="0"/>
        <v>3 - Otros</v>
      </c>
      <c r="G2131" s="2">
        <v>5</v>
      </c>
      <c r="H2131" s="3"/>
    </row>
    <row r="2132" spans="1:8" ht="12.75" hidden="1" x14ac:dyDescent="0.2">
      <c r="A2132" s="3" t="s">
        <v>160</v>
      </c>
      <c r="B2132" s="2">
        <v>80</v>
      </c>
      <c r="C2132" s="4" t="s">
        <v>103</v>
      </c>
      <c r="D2132" s="3" t="s">
        <v>162</v>
      </c>
      <c r="E2132" s="3" t="s">
        <v>149</v>
      </c>
      <c r="F2132" s="3" t="str">
        <f t="shared" si="0"/>
        <v>3 - Otros</v>
      </c>
      <c r="G2132" s="2">
        <v>1</v>
      </c>
      <c r="H2132" s="3"/>
    </row>
    <row r="2133" spans="1:8" ht="12.75" hidden="1" x14ac:dyDescent="0.2">
      <c r="A2133" s="3" t="s">
        <v>160</v>
      </c>
      <c r="B2133" s="2">
        <v>80</v>
      </c>
      <c r="C2133" s="4" t="s">
        <v>103</v>
      </c>
      <c r="D2133" s="3" t="s">
        <v>162</v>
      </c>
      <c r="E2133" s="3" t="s">
        <v>138</v>
      </c>
      <c r="F2133" s="3" t="str">
        <f t="shared" si="0"/>
        <v>4 - Blanco/Nulo</v>
      </c>
      <c r="G2133" s="2">
        <v>1</v>
      </c>
      <c r="H2133" s="2">
        <f>SUM(G2128:G2133)</f>
        <v>166</v>
      </c>
    </row>
    <row r="2134" spans="1:8" ht="12.75" hidden="1" x14ac:dyDescent="0.2">
      <c r="A2134" s="3" t="s">
        <v>160</v>
      </c>
      <c r="B2134" s="2">
        <v>81</v>
      </c>
      <c r="C2134" s="4" t="s">
        <v>104</v>
      </c>
      <c r="D2134" s="3" t="s">
        <v>2</v>
      </c>
      <c r="E2134" s="3" t="s">
        <v>3</v>
      </c>
      <c r="F2134" s="3" t="str">
        <f t="shared" si="0"/>
        <v>1 - PJ</v>
      </c>
      <c r="G2134" s="2">
        <v>1890</v>
      </c>
      <c r="H2134" s="3"/>
    </row>
    <row r="2135" spans="1:8" ht="12.75" hidden="1" x14ac:dyDescent="0.2">
      <c r="A2135" s="3" t="s">
        <v>160</v>
      </c>
      <c r="B2135" s="2">
        <v>81</v>
      </c>
      <c r="C2135" s="4" t="s">
        <v>104</v>
      </c>
      <c r="D2135" s="3" t="s">
        <v>2</v>
      </c>
      <c r="E2135" s="3" t="s">
        <v>128</v>
      </c>
      <c r="F2135" s="3" t="str">
        <f t="shared" si="0"/>
        <v>2 - Frepam</v>
      </c>
      <c r="G2135" s="2">
        <v>1214</v>
      </c>
      <c r="H2135" s="3"/>
    </row>
    <row r="2136" spans="1:8" ht="12.75" hidden="1" x14ac:dyDescent="0.2">
      <c r="A2136" s="3" t="s">
        <v>160</v>
      </c>
      <c r="B2136" s="2">
        <v>81</v>
      </c>
      <c r="C2136" s="4" t="s">
        <v>104</v>
      </c>
      <c r="D2136" s="3" t="s">
        <v>2</v>
      </c>
      <c r="E2136" s="3" t="s">
        <v>14</v>
      </c>
      <c r="F2136" s="3" t="str">
        <f t="shared" si="0"/>
        <v>4 - Blanco/Nulo</v>
      </c>
      <c r="G2136" s="2">
        <v>139</v>
      </c>
      <c r="H2136" s="2">
        <f>SUM(G2134:G2137)</f>
        <v>3320</v>
      </c>
    </row>
    <row r="2137" spans="1:8" ht="12.75" hidden="1" x14ac:dyDescent="0.2">
      <c r="A2137" s="3" t="s">
        <v>160</v>
      </c>
      <c r="B2137" s="2">
        <v>81</v>
      </c>
      <c r="C2137" s="4" t="s">
        <v>104</v>
      </c>
      <c r="D2137" s="3" t="s">
        <v>2</v>
      </c>
      <c r="E2137" s="3" t="s">
        <v>138</v>
      </c>
      <c r="F2137" s="3" t="str">
        <f t="shared" si="0"/>
        <v>4 - Blanco/Nulo</v>
      </c>
      <c r="G2137" s="2">
        <v>77</v>
      </c>
      <c r="H2137" s="3"/>
    </row>
    <row r="2138" spans="1:8" ht="12.75" hidden="1" x14ac:dyDescent="0.2">
      <c r="A2138" s="3" t="s">
        <v>160</v>
      </c>
      <c r="B2138" s="2">
        <v>81</v>
      </c>
      <c r="C2138" s="4" t="s">
        <v>104</v>
      </c>
      <c r="D2138" s="3" t="s">
        <v>162</v>
      </c>
      <c r="E2138" s="3" t="s">
        <v>3</v>
      </c>
      <c r="F2138" s="3" t="str">
        <f t="shared" si="0"/>
        <v>1 - PJ</v>
      </c>
      <c r="G2138" s="2">
        <v>1770</v>
      </c>
      <c r="H2138" s="3"/>
    </row>
    <row r="2139" spans="1:8" ht="12.75" hidden="1" x14ac:dyDescent="0.2">
      <c r="A2139" s="3" t="s">
        <v>160</v>
      </c>
      <c r="B2139" s="2">
        <v>81</v>
      </c>
      <c r="C2139" s="4" t="s">
        <v>104</v>
      </c>
      <c r="D2139" s="3" t="s">
        <v>162</v>
      </c>
      <c r="E2139" s="3" t="s">
        <v>128</v>
      </c>
      <c r="F2139" s="3" t="str">
        <f t="shared" si="0"/>
        <v>2 - Frepam</v>
      </c>
      <c r="G2139" s="2">
        <v>1140</v>
      </c>
      <c r="H2139" s="3"/>
    </row>
    <row r="2140" spans="1:8" ht="12.75" hidden="1" x14ac:dyDescent="0.2">
      <c r="A2140" s="3" t="s">
        <v>160</v>
      </c>
      <c r="B2140" s="2">
        <v>81</v>
      </c>
      <c r="C2140" s="4" t="s">
        <v>104</v>
      </c>
      <c r="D2140" s="3" t="s">
        <v>162</v>
      </c>
      <c r="E2140" s="3" t="s">
        <v>133</v>
      </c>
      <c r="F2140" s="3" t="str">
        <f t="shared" si="0"/>
        <v>3 - Otros</v>
      </c>
      <c r="G2140" s="2">
        <v>130</v>
      </c>
      <c r="H2140" s="3"/>
    </row>
    <row r="2141" spans="1:8" ht="12.75" hidden="1" x14ac:dyDescent="0.2">
      <c r="A2141" s="3" t="s">
        <v>160</v>
      </c>
      <c r="B2141" s="2">
        <v>81</v>
      </c>
      <c r="C2141" s="4" t="s">
        <v>104</v>
      </c>
      <c r="D2141" s="3" t="s">
        <v>162</v>
      </c>
      <c r="E2141" s="3" t="s">
        <v>138</v>
      </c>
      <c r="F2141" s="3" t="str">
        <f t="shared" si="0"/>
        <v>4 - Blanco/Nulo</v>
      </c>
      <c r="G2141" s="2">
        <v>78</v>
      </c>
      <c r="H2141" s="3"/>
    </row>
    <row r="2142" spans="1:8" ht="12.75" hidden="1" x14ac:dyDescent="0.2">
      <c r="A2142" s="3" t="s">
        <v>160</v>
      </c>
      <c r="B2142" s="2">
        <v>81</v>
      </c>
      <c r="C2142" s="4" t="s">
        <v>104</v>
      </c>
      <c r="D2142" s="3" t="s">
        <v>162</v>
      </c>
      <c r="E2142" s="3" t="s">
        <v>14</v>
      </c>
      <c r="F2142" s="3" t="str">
        <f t="shared" si="0"/>
        <v>4 - Blanco/Nulo</v>
      </c>
      <c r="G2142" s="2">
        <v>73</v>
      </c>
      <c r="H2142" s="3"/>
    </row>
    <row r="2143" spans="1:8" ht="12.75" hidden="1" x14ac:dyDescent="0.2">
      <c r="A2143" s="3" t="s">
        <v>160</v>
      </c>
      <c r="B2143" s="2">
        <v>81</v>
      </c>
      <c r="C2143" s="4" t="s">
        <v>104</v>
      </c>
      <c r="D2143" s="3" t="s">
        <v>162</v>
      </c>
      <c r="E2143" s="3" t="s">
        <v>149</v>
      </c>
      <c r="F2143" s="3" t="str">
        <f t="shared" si="0"/>
        <v>3 - Otros</v>
      </c>
      <c r="G2143" s="2">
        <v>59</v>
      </c>
      <c r="H2143" s="2">
        <f>SUM(G2138:G2147)</f>
        <v>3320</v>
      </c>
    </row>
    <row r="2144" spans="1:8" ht="12.75" hidden="1" x14ac:dyDescent="0.2">
      <c r="A2144" s="3" t="s">
        <v>160</v>
      </c>
      <c r="B2144" s="2">
        <v>81</v>
      </c>
      <c r="C2144" s="4" t="s">
        <v>104</v>
      </c>
      <c r="D2144" s="3" t="s">
        <v>162</v>
      </c>
      <c r="E2144" s="3" t="s">
        <v>148</v>
      </c>
      <c r="F2144" s="3" t="str">
        <f t="shared" si="0"/>
        <v>3 - Otros</v>
      </c>
      <c r="G2144" s="2">
        <v>34</v>
      </c>
      <c r="H2144" s="3"/>
    </row>
    <row r="2145" spans="1:8" ht="12.75" hidden="1" x14ac:dyDescent="0.2">
      <c r="A2145" s="3" t="s">
        <v>160</v>
      </c>
      <c r="B2145" s="2">
        <v>81</v>
      </c>
      <c r="C2145" s="4" t="s">
        <v>104</v>
      </c>
      <c r="D2145" s="3" t="s">
        <v>162</v>
      </c>
      <c r="E2145" s="3" t="s">
        <v>145</v>
      </c>
      <c r="F2145" s="3" t="str">
        <f t="shared" si="0"/>
        <v>3 - Otros</v>
      </c>
      <c r="G2145" s="2">
        <v>15</v>
      </c>
      <c r="H2145" s="3"/>
    </row>
    <row r="2146" spans="1:8" ht="12.75" hidden="1" x14ac:dyDescent="0.2">
      <c r="A2146" s="3" t="s">
        <v>160</v>
      </c>
      <c r="B2146" s="2">
        <v>81</v>
      </c>
      <c r="C2146" s="4" t="s">
        <v>104</v>
      </c>
      <c r="D2146" s="3" t="s">
        <v>162</v>
      </c>
      <c r="E2146" s="3" t="s">
        <v>139</v>
      </c>
      <c r="F2146" s="3" t="str">
        <f t="shared" si="0"/>
        <v>3 - Otros</v>
      </c>
      <c r="G2146" s="2">
        <v>11</v>
      </c>
      <c r="H2146" s="3"/>
    </row>
    <row r="2147" spans="1:8" ht="12.75" hidden="1" x14ac:dyDescent="0.2">
      <c r="A2147" s="3" t="s">
        <v>160</v>
      </c>
      <c r="B2147" s="2">
        <v>81</v>
      </c>
      <c r="C2147" s="4" t="s">
        <v>104</v>
      </c>
      <c r="D2147" s="3" t="s">
        <v>162</v>
      </c>
      <c r="E2147" s="3" t="s">
        <v>135</v>
      </c>
      <c r="F2147" s="3" t="str">
        <f t="shared" si="0"/>
        <v>3 - Otros</v>
      </c>
      <c r="G2147" s="2">
        <v>10</v>
      </c>
      <c r="H2147" s="3"/>
    </row>
    <row r="2148" spans="1:8" ht="12.75" hidden="1" x14ac:dyDescent="0.2">
      <c r="A2148" s="3" t="s">
        <v>160</v>
      </c>
      <c r="B2148" s="2">
        <v>81</v>
      </c>
      <c r="C2148" s="4" t="s">
        <v>104</v>
      </c>
      <c r="D2148" s="3" t="s">
        <v>161</v>
      </c>
      <c r="E2148" s="3" t="s">
        <v>3</v>
      </c>
      <c r="F2148" s="3" t="str">
        <f t="shared" si="0"/>
        <v>1 - PJ</v>
      </c>
      <c r="G2148" s="2">
        <v>1783</v>
      </c>
      <c r="H2148" s="3"/>
    </row>
    <row r="2149" spans="1:8" ht="12.75" hidden="1" x14ac:dyDescent="0.2">
      <c r="A2149" s="3" t="s">
        <v>160</v>
      </c>
      <c r="B2149" s="2">
        <v>81</v>
      </c>
      <c r="C2149" s="4" t="s">
        <v>104</v>
      </c>
      <c r="D2149" s="3" t="s">
        <v>161</v>
      </c>
      <c r="E2149" s="3" t="s">
        <v>128</v>
      </c>
      <c r="F2149" s="3" t="str">
        <f t="shared" si="0"/>
        <v>2 - Frepam</v>
      </c>
      <c r="G2149" s="2">
        <v>1114</v>
      </c>
      <c r="H2149" s="3"/>
    </row>
    <row r="2150" spans="1:8" ht="12.75" hidden="1" x14ac:dyDescent="0.2">
      <c r="A2150" s="3" t="s">
        <v>160</v>
      </c>
      <c r="B2150" s="2">
        <v>81</v>
      </c>
      <c r="C2150" s="4" t="s">
        <v>104</v>
      </c>
      <c r="D2150" s="3" t="s">
        <v>161</v>
      </c>
      <c r="E2150" s="3" t="s">
        <v>14</v>
      </c>
      <c r="F2150" s="3" t="str">
        <f t="shared" si="0"/>
        <v>4 - Blanco/Nulo</v>
      </c>
      <c r="G2150" s="2">
        <v>100</v>
      </c>
      <c r="H2150" s="3"/>
    </row>
    <row r="2151" spans="1:8" ht="12.75" hidden="1" x14ac:dyDescent="0.2">
      <c r="A2151" s="3" t="s">
        <v>160</v>
      </c>
      <c r="B2151" s="2">
        <v>81</v>
      </c>
      <c r="C2151" s="4" t="s">
        <v>104</v>
      </c>
      <c r="D2151" s="3" t="s">
        <v>161</v>
      </c>
      <c r="E2151" s="3" t="s">
        <v>138</v>
      </c>
      <c r="F2151" s="3" t="str">
        <f t="shared" si="0"/>
        <v>4 - Blanco/Nulo</v>
      </c>
      <c r="G2151" s="2">
        <v>92</v>
      </c>
      <c r="H2151" s="3"/>
    </row>
    <row r="2152" spans="1:8" ht="12.75" hidden="1" x14ac:dyDescent="0.2">
      <c r="A2152" s="3" t="s">
        <v>160</v>
      </c>
      <c r="B2152" s="2">
        <v>81</v>
      </c>
      <c r="C2152" s="4" t="s">
        <v>104</v>
      </c>
      <c r="D2152" s="3" t="s">
        <v>161</v>
      </c>
      <c r="E2152" s="3" t="s">
        <v>133</v>
      </c>
      <c r="F2152" s="3" t="str">
        <f t="shared" si="0"/>
        <v>3 - Otros</v>
      </c>
      <c r="G2152" s="2">
        <v>84</v>
      </c>
      <c r="H2152" s="3"/>
    </row>
    <row r="2153" spans="1:8" ht="12.75" hidden="1" x14ac:dyDescent="0.2">
      <c r="A2153" s="3" t="s">
        <v>160</v>
      </c>
      <c r="B2153" s="2">
        <v>81</v>
      </c>
      <c r="C2153" s="4" t="s">
        <v>104</v>
      </c>
      <c r="D2153" s="3" t="s">
        <v>161</v>
      </c>
      <c r="E2153" s="3" t="s">
        <v>149</v>
      </c>
      <c r="F2153" s="3" t="str">
        <f t="shared" si="0"/>
        <v>3 - Otros</v>
      </c>
      <c r="G2153" s="2">
        <v>56</v>
      </c>
      <c r="H2153" s="2">
        <f>SUM(G2148:G2157)</f>
        <v>3320</v>
      </c>
    </row>
    <row r="2154" spans="1:8" ht="12.75" hidden="1" x14ac:dyDescent="0.2">
      <c r="A2154" s="3" t="s">
        <v>160</v>
      </c>
      <c r="B2154" s="2">
        <v>81</v>
      </c>
      <c r="C2154" s="4" t="s">
        <v>104</v>
      </c>
      <c r="D2154" s="3" t="s">
        <v>161</v>
      </c>
      <c r="E2154" s="3" t="s">
        <v>148</v>
      </c>
      <c r="F2154" s="3" t="str">
        <f t="shared" si="0"/>
        <v>3 - Otros</v>
      </c>
      <c r="G2154" s="2">
        <v>52</v>
      </c>
      <c r="H2154" s="3"/>
    </row>
    <row r="2155" spans="1:8" ht="12.75" hidden="1" x14ac:dyDescent="0.2">
      <c r="A2155" s="3" t="s">
        <v>160</v>
      </c>
      <c r="B2155" s="2">
        <v>81</v>
      </c>
      <c r="C2155" s="4" t="s">
        <v>104</v>
      </c>
      <c r="D2155" s="3" t="s">
        <v>161</v>
      </c>
      <c r="E2155" s="3" t="s">
        <v>145</v>
      </c>
      <c r="F2155" s="3" t="str">
        <f t="shared" si="0"/>
        <v>3 - Otros</v>
      </c>
      <c r="G2155" s="2">
        <v>17</v>
      </c>
      <c r="H2155" s="3"/>
    </row>
    <row r="2156" spans="1:8" ht="12.75" hidden="1" x14ac:dyDescent="0.2">
      <c r="A2156" s="3" t="s">
        <v>160</v>
      </c>
      <c r="B2156" s="2">
        <v>81</v>
      </c>
      <c r="C2156" s="4" t="s">
        <v>104</v>
      </c>
      <c r="D2156" s="3" t="s">
        <v>161</v>
      </c>
      <c r="E2156" s="3" t="s">
        <v>139</v>
      </c>
      <c r="F2156" s="3" t="str">
        <f t="shared" si="0"/>
        <v>3 - Otros</v>
      </c>
      <c r="G2156" s="2">
        <v>11</v>
      </c>
      <c r="H2156" s="3"/>
    </row>
    <row r="2157" spans="1:8" ht="12.75" hidden="1" x14ac:dyDescent="0.2">
      <c r="A2157" s="3" t="s">
        <v>160</v>
      </c>
      <c r="B2157" s="2">
        <v>81</v>
      </c>
      <c r="C2157" s="4" t="s">
        <v>104</v>
      </c>
      <c r="D2157" s="3" t="s">
        <v>161</v>
      </c>
      <c r="E2157" s="3" t="s">
        <v>135</v>
      </c>
      <c r="F2157" s="3" t="str">
        <f t="shared" si="0"/>
        <v>3 - Otros</v>
      </c>
      <c r="G2157" s="2">
        <v>11</v>
      </c>
      <c r="H2157" s="3"/>
    </row>
    <row r="2158" spans="1:8" ht="12.75" hidden="1" x14ac:dyDescent="0.2">
      <c r="A2158" s="3" t="s">
        <v>160</v>
      </c>
      <c r="B2158" s="2">
        <v>82</v>
      </c>
      <c r="C2158" s="4" t="s">
        <v>105</v>
      </c>
      <c r="D2158" s="3" t="s">
        <v>2</v>
      </c>
      <c r="E2158" s="3" t="s">
        <v>3</v>
      </c>
      <c r="F2158" s="3" t="str">
        <f t="shared" si="0"/>
        <v>1 - PJ</v>
      </c>
      <c r="G2158" s="2">
        <v>2723</v>
      </c>
      <c r="H2158" s="2">
        <f>SUM(G2158:G2162)</f>
        <v>5376</v>
      </c>
    </row>
    <row r="2159" spans="1:8" ht="12.75" hidden="1" x14ac:dyDescent="0.2">
      <c r="A2159" s="3" t="s">
        <v>160</v>
      </c>
      <c r="B2159" s="2">
        <v>82</v>
      </c>
      <c r="C2159" s="4" t="s">
        <v>105</v>
      </c>
      <c r="D2159" s="3" t="s">
        <v>2</v>
      </c>
      <c r="E2159" s="3" t="s">
        <v>128</v>
      </c>
      <c r="F2159" s="3" t="str">
        <f t="shared" si="0"/>
        <v>2 - Frepam</v>
      </c>
      <c r="G2159" s="2">
        <v>2025</v>
      </c>
      <c r="H2159" s="3"/>
    </row>
    <row r="2160" spans="1:8" ht="12.75" hidden="1" x14ac:dyDescent="0.2">
      <c r="A2160" s="3" t="s">
        <v>160</v>
      </c>
      <c r="B2160" s="2">
        <v>82</v>
      </c>
      <c r="C2160" s="4" t="s">
        <v>105</v>
      </c>
      <c r="D2160" s="3" t="s">
        <v>2</v>
      </c>
      <c r="E2160" s="3" t="s">
        <v>139</v>
      </c>
      <c r="F2160" s="3" t="str">
        <f t="shared" si="0"/>
        <v>3 - Otros</v>
      </c>
      <c r="G2160" s="2">
        <v>300</v>
      </c>
      <c r="H2160" s="3"/>
    </row>
    <row r="2161" spans="1:8" ht="12.75" hidden="1" x14ac:dyDescent="0.2">
      <c r="A2161" s="3" t="s">
        <v>160</v>
      </c>
      <c r="B2161" s="2">
        <v>82</v>
      </c>
      <c r="C2161" s="4" t="s">
        <v>105</v>
      </c>
      <c r="D2161" s="3" t="s">
        <v>2</v>
      </c>
      <c r="E2161" s="3" t="s">
        <v>14</v>
      </c>
      <c r="F2161" s="3" t="str">
        <f t="shared" si="0"/>
        <v>4 - Blanco/Nulo</v>
      </c>
      <c r="G2161" s="2">
        <v>273</v>
      </c>
      <c r="H2161" s="3"/>
    </row>
    <row r="2162" spans="1:8" ht="12.75" hidden="1" x14ac:dyDescent="0.2">
      <c r="A2162" s="3" t="s">
        <v>160</v>
      </c>
      <c r="B2162" s="2">
        <v>82</v>
      </c>
      <c r="C2162" s="4" t="s">
        <v>105</v>
      </c>
      <c r="D2162" s="3" t="s">
        <v>2</v>
      </c>
      <c r="E2162" s="3" t="s">
        <v>138</v>
      </c>
      <c r="F2162" s="3" t="str">
        <f t="shared" si="0"/>
        <v>4 - Blanco/Nulo</v>
      </c>
      <c r="G2162" s="2">
        <v>55</v>
      </c>
      <c r="H2162" s="3"/>
    </row>
    <row r="2163" spans="1:8" ht="12.75" hidden="1" x14ac:dyDescent="0.2">
      <c r="A2163" s="3" t="s">
        <v>160</v>
      </c>
      <c r="B2163" s="2">
        <v>82</v>
      </c>
      <c r="C2163" s="4" t="s">
        <v>105</v>
      </c>
      <c r="D2163" s="3" t="s">
        <v>162</v>
      </c>
      <c r="E2163" s="3" t="s">
        <v>3</v>
      </c>
      <c r="F2163" s="3" t="str">
        <f t="shared" si="0"/>
        <v>1 - PJ</v>
      </c>
      <c r="G2163" s="2">
        <v>2815</v>
      </c>
      <c r="H2163" s="3"/>
    </row>
    <row r="2164" spans="1:8" ht="12.75" hidden="1" x14ac:dyDescent="0.2">
      <c r="A2164" s="3" t="s">
        <v>160</v>
      </c>
      <c r="B2164" s="2">
        <v>82</v>
      </c>
      <c r="C2164" s="4" t="s">
        <v>105</v>
      </c>
      <c r="D2164" s="3" t="s">
        <v>162</v>
      </c>
      <c r="E2164" s="3" t="s">
        <v>128</v>
      </c>
      <c r="F2164" s="3" t="str">
        <f t="shared" si="0"/>
        <v>2 - Frepam</v>
      </c>
      <c r="G2164" s="2">
        <v>1829</v>
      </c>
      <c r="H2164" s="3"/>
    </row>
    <row r="2165" spans="1:8" ht="12.75" hidden="1" x14ac:dyDescent="0.2">
      <c r="A2165" s="3" t="s">
        <v>160</v>
      </c>
      <c r="B2165" s="2">
        <v>82</v>
      </c>
      <c r="C2165" s="4" t="s">
        <v>105</v>
      </c>
      <c r="D2165" s="3" t="s">
        <v>162</v>
      </c>
      <c r="E2165" s="3" t="s">
        <v>139</v>
      </c>
      <c r="F2165" s="3" t="str">
        <f t="shared" si="0"/>
        <v>3 - Otros</v>
      </c>
      <c r="G2165" s="2">
        <v>188</v>
      </c>
      <c r="H2165" s="3"/>
    </row>
    <row r="2166" spans="1:8" ht="12.75" hidden="1" x14ac:dyDescent="0.2">
      <c r="A2166" s="3" t="s">
        <v>160</v>
      </c>
      <c r="B2166" s="2">
        <v>82</v>
      </c>
      <c r="C2166" s="4" t="s">
        <v>105</v>
      </c>
      <c r="D2166" s="3" t="s">
        <v>162</v>
      </c>
      <c r="E2166" s="3" t="s">
        <v>149</v>
      </c>
      <c r="F2166" s="3" t="str">
        <f t="shared" si="0"/>
        <v>3 - Otros</v>
      </c>
      <c r="G2166" s="2">
        <v>152</v>
      </c>
      <c r="H2166" s="3"/>
    </row>
    <row r="2167" spans="1:8" ht="12.75" hidden="1" x14ac:dyDescent="0.2">
      <c r="A2167" s="3" t="s">
        <v>160</v>
      </c>
      <c r="B2167" s="2">
        <v>82</v>
      </c>
      <c r="C2167" s="4" t="s">
        <v>105</v>
      </c>
      <c r="D2167" s="3" t="s">
        <v>162</v>
      </c>
      <c r="E2167" s="3" t="s">
        <v>14</v>
      </c>
      <c r="F2167" s="3" t="str">
        <f t="shared" si="0"/>
        <v>4 - Blanco/Nulo</v>
      </c>
      <c r="G2167" s="2">
        <v>141</v>
      </c>
      <c r="H2167" s="3"/>
    </row>
    <row r="2168" spans="1:8" ht="12.75" hidden="1" x14ac:dyDescent="0.2">
      <c r="A2168" s="3" t="s">
        <v>160</v>
      </c>
      <c r="B2168" s="2">
        <v>82</v>
      </c>
      <c r="C2168" s="4" t="s">
        <v>105</v>
      </c>
      <c r="D2168" s="3" t="s">
        <v>162</v>
      </c>
      <c r="E2168" s="3" t="s">
        <v>133</v>
      </c>
      <c r="F2168" s="3" t="str">
        <f t="shared" si="0"/>
        <v>3 - Otros</v>
      </c>
      <c r="G2168" s="2">
        <v>109</v>
      </c>
      <c r="H2168" s="2">
        <f>SUM(G2163:G2172)</f>
        <v>5376</v>
      </c>
    </row>
    <row r="2169" spans="1:8" ht="12.75" hidden="1" x14ac:dyDescent="0.2">
      <c r="A2169" s="3" t="s">
        <v>160</v>
      </c>
      <c r="B2169" s="2">
        <v>82</v>
      </c>
      <c r="C2169" s="4" t="s">
        <v>105</v>
      </c>
      <c r="D2169" s="3" t="s">
        <v>162</v>
      </c>
      <c r="E2169" s="3" t="s">
        <v>138</v>
      </c>
      <c r="F2169" s="3" t="str">
        <f t="shared" si="0"/>
        <v>4 - Blanco/Nulo</v>
      </c>
      <c r="G2169" s="2">
        <v>70</v>
      </c>
      <c r="H2169" s="3"/>
    </row>
    <row r="2170" spans="1:8" ht="12.75" hidden="1" x14ac:dyDescent="0.2">
      <c r="A2170" s="3" t="s">
        <v>160</v>
      </c>
      <c r="B2170" s="2">
        <v>82</v>
      </c>
      <c r="C2170" s="4" t="s">
        <v>105</v>
      </c>
      <c r="D2170" s="3" t="s">
        <v>162</v>
      </c>
      <c r="E2170" s="3" t="s">
        <v>148</v>
      </c>
      <c r="F2170" s="3" t="str">
        <f t="shared" si="0"/>
        <v>3 - Otros</v>
      </c>
      <c r="G2170" s="2">
        <v>31</v>
      </c>
      <c r="H2170" s="3"/>
    </row>
    <row r="2171" spans="1:8" ht="12.75" hidden="1" x14ac:dyDescent="0.2">
      <c r="A2171" s="3" t="s">
        <v>160</v>
      </c>
      <c r="B2171" s="2">
        <v>82</v>
      </c>
      <c r="C2171" s="4" t="s">
        <v>105</v>
      </c>
      <c r="D2171" s="3" t="s">
        <v>162</v>
      </c>
      <c r="E2171" s="3" t="s">
        <v>145</v>
      </c>
      <c r="F2171" s="3" t="str">
        <f t="shared" si="0"/>
        <v>3 - Otros</v>
      </c>
      <c r="G2171" s="2">
        <v>21</v>
      </c>
      <c r="H2171" s="3"/>
    </row>
    <row r="2172" spans="1:8" ht="12.75" hidden="1" x14ac:dyDescent="0.2">
      <c r="A2172" s="3" t="s">
        <v>160</v>
      </c>
      <c r="B2172" s="2">
        <v>82</v>
      </c>
      <c r="C2172" s="4" t="s">
        <v>105</v>
      </c>
      <c r="D2172" s="3" t="s">
        <v>162</v>
      </c>
      <c r="E2172" s="3" t="s">
        <v>135</v>
      </c>
      <c r="F2172" s="3" t="str">
        <f t="shared" si="0"/>
        <v>3 - Otros</v>
      </c>
      <c r="G2172" s="2">
        <v>20</v>
      </c>
      <c r="H2172" s="3"/>
    </row>
    <row r="2173" spans="1:8" ht="12.75" hidden="1" x14ac:dyDescent="0.2">
      <c r="A2173" s="3" t="s">
        <v>160</v>
      </c>
      <c r="B2173" s="2">
        <v>82</v>
      </c>
      <c r="C2173" s="4" t="s">
        <v>105</v>
      </c>
      <c r="D2173" s="3" t="s">
        <v>161</v>
      </c>
      <c r="E2173" s="3" t="s">
        <v>3</v>
      </c>
      <c r="F2173" s="3" t="str">
        <f t="shared" si="0"/>
        <v>1 - PJ</v>
      </c>
      <c r="G2173" s="2">
        <v>2746</v>
      </c>
      <c r="H2173" s="3"/>
    </row>
    <row r="2174" spans="1:8" ht="12.75" hidden="1" x14ac:dyDescent="0.2">
      <c r="A2174" s="3" t="s">
        <v>160</v>
      </c>
      <c r="B2174" s="2">
        <v>82</v>
      </c>
      <c r="C2174" s="4" t="s">
        <v>105</v>
      </c>
      <c r="D2174" s="3" t="s">
        <v>161</v>
      </c>
      <c r="E2174" s="3" t="s">
        <v>128</v>
      </c>
      <c r="F2174" s="3" t="str">
        <f t="shared" si="0"/>
        <v>2 - Frepam</v>
      </c>
      <c r="G2174" s="2">
        <v>1841</v>
      </c>
      <c r="H2174" s="3"/>
    </row>
    <row r="2175" spans="1:8" ht="12.75" hidden="1" x14ac:dyDescent="0.2">
      <c r="A2175" s="3" t="s">
        <v>160</v>
      </c>
      <c r="B2175" s="2">
        <v>82</v>
      </c>
      <c r="C2175" s="4" t="s">
        <v>105</v>
      </c>
      <c r="D2175" s="3" t="s">
        <v>161</v>
      </c>
      <c r="E2175" s="3" t="s">
        <v>14</v>
      </c>
      <c r="F2175" s="3" t="str">
        <f t="shared" si="0"/>
        <v>4 - Blanco/Nulo</v>
      </c>
      <c r="G2175" s="2">
        <v>199</v>
      </c>
      <c r="H2175" s="3"/>
    </row>
    <row r="2176" spans="1:8" ht="12.75" hidden="1" x14ac:dyDescent="0.2">
      <c r="A2176" s="3" t="s">
        <v>160</v>
      </c>
      <c r="B2176" s="2">
        <v>82</v>
      </c>
      <c r="C2176" s="4" t="s">
        <v>105</v>
      </c>
      <c r="D2176" s="3" t="s">
        <v>161</v>
      </c>
      <c r="E2176" s="3" t="s">
        <v>139</v>
      </c>
      <c r="F2176" s="3" t="str">
        <f t="shared" si="0"/>
        <v>3 - Otros</v>
      </c>
      <c r="G2176" s="2">
        <v>193</v>
      </c>
      <c r="H2176" s="3"/>
    </row>
    <row r="2177" spans="1:8" ht="12.75" hidden="1" x14ac:dyDescent="0.2">
      <c r="A2177" s="3" t="s">
        <v>160</v>
      </c>
      <c r="B2177" s="2">
        <v>82</v>
      </c>
      <c r="C2177" s="4" t="s">
        <v>105</v>
      </c>
      <c r="D2177" s="3" t="s">
        <v>161</v>
      </c>
      <c r="E2177" s="3" t="s">
        <v>149</v>
      </c>
      <c r="F2177" s="3" t="str">
        <f t="shared" si="0"/>
        <v>3 - Otros</v>
      </c>
      <c r="G2177" s="2">
        <v>150</v>
      </c>
      <c r="H2177" s="3"/>
    </row>
    <row r="2178" spans="1:8" ht="12.75" hidden="1" x14ac:dyDescent="0.2">
      <c r="A2178" s="3" t="s">
        <v>160</v>
      </c>
      <c r="B2178" s="2">
        <v>82</v>
      </c>
      <c r="C2178" s="4" t="s">
        <v>105</v>
      </c>
      <c r="D2178" s="3" t="s">
        <v>161</v>
      </c>
      <c r="E2178" s="3" t="s">
        <v>133</v>
      </c>
      <c r="F2178" s="3" t="str">
        <f t="shared" si="0"/>
        <v>3 - Otros</v>
      </c>
      <c r="G2178" s="2">
        <v>89</v>
      </c>
      <c r="H2178" s="2">
        <f>SUM(G2173:G2182)</f>
        <v>5376</v>
      </c>
    </row>
    <row r="2179" spans="1:8" ht="12.75" hidden="1" x14ac:dyDescent="0.2">
      <c r="A2179" s="3" t="s">
        <v>160</v>
      </c>
      <c r="B2179" s="2">
        <v>82</v>
      </c>
      <c r="C2179" s="4" t="s">
        <v>105</v>
      </c>
      <c r="D2179" s="3" t="s">
        <v>161</v>
      </c>
      <c r="E2179" s="3" t="s">
        <v>138</v>
      </c>
      <c r="F2179" s="3" t="str">
        <f t="shared" si="0"/>
        <v>4 - Blanco/Nulo</v>
      </c>
      <c r="G2179" s="2">
        <v>67</v>
      </c>
      <c r="H2179" s="3"/>
    </row>
    <row r="2180" spans="1:8" ht="12.75" hidden="1" x14ac:dyDescent="0.2">
      <c r="A2180" s="3" t="s">
        <v>160</v>
      </c>
      <c r="B2180" s="2">
        <v>82</v>
      </c>
      <c r="C2180" s="4" t="s">
        <v>105</v>
      </c>
      <c r="D2180" s="3" t="s">
        <v>161</v>
      </c>
      <c r="E2180" s="3" t="s">
        <v>148</v>
      </c>
      <c r="F2180" s="3" t="str">
        <f t="shared" si="0"/>
        <v>3 - Otros</v>
      </c>
      <c r="G2180" s="2">
        <v>52</v>
      </c>
      <c r="H2180" s="3"/>
    </row>
    <row r="2181" spans="1:8" ht="12.75" hidden="1" x14ac:dyDescent="0.2">
      <c r="A2181" s="3" t="s">
        <v>160</v>
      </c>
      <c r="B2181" s="2">
        <v>82</v>
      </c>
      <c r="C2181" s="4" t="s">
        <v>105</v>
      </c>
      <c r="D2181" s="3" t="s">
        <v>161</v>
      </c>
      <c r="E2181" s="3" t="s">
        <v>145</v>
      </c>
      <c r="F2181" s="3" t="str">
        <f t="shared" si="0"/>
        <v>3 - Otros</v>
      </c>
      <c r="G2181" s="2">
        <v>20</v>
      </c>
      <c r="H2181" s="3"/>
    </row>
    <row r="2182" spans="1:8" ht="12.75" hidden="1" x14ac:dyDescent="0.2">
      <c r="A2182" s="3" t="s">
        <v>160</v>
      </c>
      <c r="B2182" s="2">
        <v>82</v>
      </c>
      <c r="C2182" s="4" t="s">
        <v>105</v>
      </c>
      <c r="D2182" s="3" t="s">
        <v>161</v>
      </c>
      <c r="E2182" s="3" t="s">
        <v>135</v>
      </c>
      <c r="F2182" s="3" t="str">
        <f t="shared" si="0"/>
        <v>3 - Otros</v>
      </c>
      <c r="G2182" s="2">
        <v>19</v>
      </c>
      <c r="H2182" s="3"/>
    </row>
    <row r="2183" spans="1:8" ht="12.75" hidden="1" x14ac:dyDescent="0.2">
      <c r="A2183" s="3" t="s">
        <v>160</v>
      </c>
      <c r="B2183" s="2">
        <v>86</v>
      </c>
      <c r="C2183" s="4" t="s">
        <v>106</v>
      </c>
      <c r="D2183" s="3" t="s">
        <v>2</v>
      </c>
      <c r="E2183" s="3" t="s">
        <v>3</v>
      </c>
      <c r="F2183" s="3" t="str">
        <f t="shared" si="0"/>
        <v>1 - PJ</v>
      </c>
      <c r="G2183" s="2">
        <v>5309</v>
      </c>
      <c r="H2183" s="3"/>
    </row>
    <row r="2184" spans="1:8" ht="12.75" hidden="1" x14ac:dyDescent="0.2">
      <c r="A2184" s="3" t="s">
        <v>160</v>
      </c>
      <c r="B2184" s="2">
        <v>86</v>
      </c>
      <c r="C2184" s="4" t="s">
        <v>106</v>
      </c>
      <c r="D2184" s="3" t="s">
        <v>2</v>
      </c>
      <c r="E2184" s="3" t="s">
        <v>128</v>
      </c>
      <c r="F2184" s="3" t="str">
        <f t="shared" si="0"/>
        <v>2 - Frepam</v>
      </c>
      <c r="G2184" s="2">
        <v>1964</v>
      </c>
      <c r="H2184" s="3"/>
    </row>
    <row r="2185" spans="1:8" ht="12.75" hidden="1" x14ac:dyDescent="0.2">
      <c r="A2185" s="3" t="s">
        <v>160</v>
      </c>
      <c r="B2185" s="2">
        <v>86</v>
      </c>
      <c r="C2185" s="4" t="s">
        <v>106</v>
      </c>
      <c r="D2185" s="3" t="s">
        <v>2</v>
      </c>
      <c r="E2185" s="3" t="s">
        <v>133</v>
      </c>
      <c r="F2185" s="3" t="str">
        <f t="shared" si="0"/>
        <v>3 - Otros</v>
      </c>
      <c r="G2185" s="2">
        <v>744</v>
      </c>
      <c r="H2185" s="3"/>
    </row>
    <row r="2186" spans="1:8" ht="12.75" hidden="1" x14ac:dyDescent="0.2">
      <c r="A2186" s="3" t="s">
        <v>160</v>
      </c>
      <c r="B2186" s="2">
        <v>86</v>
      </c>
      <c r="C2186" s="4" t="s">
        <v>106</v>
      </c>
      <c r="D2186" s="3" t="s">
        <v>2</v>
      </c>
      <c r="E2186" s="3" t="s">
        <v>14</v>
      </c>
      <c r="F2186" s="3" t="str">
        <f t="shared" si="0"/>
        <v>4 - Blanco/Nulo</v>
      </c>
      <c r="G2186" s="2">
        <v>492</v>
      </c>
      <c r="H2186" s="2">
        <f>SUM(G2183:G2190)</f>
        <v>9440</v>
      </c>
    </row>
    <row r="2187" spans="1:8" ht="12.75" hidden="1" x14ac:dyDescent="0.2">
      <c r="A2187" s="3" t="s">
        <v>160</v>
      </c>
      <c r="B2187" s="2">
        <v>86</v>
      </c>
      <c r="C2187" s="4" t="s">
        <v>106</v>
      </c>
      <c r="D2187" s="3" t="s">
        <v>2</v>
      </c>
      <c r="E2187" s="3" t="s">
        <v>149</v>
      </c>
      <c r="F2187" s="3" t="str">
        <f t="shared" si="0"/>
        <v>3 - Otros</v>
      </c>
      <c r="G2187" s="2">
        <v>383</v>
      </c>
      <c r="H2187" s="3"/>
    </row>
    <row r="2188" spans="1:8" ht="12.75" hidden="1" x14ac:dyDescent="0.2">
      <c r="A2188" s="3" t="s">
        <v>160</v>
      </c>
      <c r="B2188" s="2">
        <v>86</v>
      </c>
      <c r="C2188" s="4" t="s">
        <v>106</v>
      </c>
      <c r="D2188" s="3" t="s">
        <v>2</v>
      </c>
      <c r="E2188" s="3" t="s">
        <v>139</v>
      </c>
      <c r="F2188" s="3" t="str">
        <f t="shared" si="0"/>
        <v>3 - Otros</v>
      </c>
      <c r="G2188" s="2">
        <v>247</v>
      </c>
      <c r="H2188" s="3"/>
    </row>
    <row r="2189" spans="1:8" ht="12.75" hidden="1" x14ac:dyDescent="0.2">
      <c r="A2189" s="3" t="s">
        <v>160</v>
      </c>
      <c r="B2189" s="2">
        <v>86</v>
      </c>
      <c r="C2189" s="4" t="s">
        <v>106</v>
      </c>
      <c r="D2189" s="3" t="s">
        <v>2</v>
      </c>
      <c r="E2189" s="3" t="s">
        <v>148</v>
      </c>
      <c r="F2189" s="3" t="str">
        <f t="shared" si="0"/>
        <v>3 - Otros</v>
      </c>
      <c r="G2189" s="2">
        <v>207</v>
      </c>
      <c r="H2189" s="3"/>
    </row>
    <row r="2190" spans="1:8" ht="12.75" hidden="1" x14ac:dyDescent="0.2">
      <c r="A2190" s="3" t="s">
        <v>160</v>
      </c>
      <c r="B2190" s="2">
        <v>86</v>
      </c>
      <c r="C2190" s="4" t="s">
        <v>106</v>
      </c>
      <c r="D2190" s="3" t="s">
        <v>2</v>
      </c>
      <c r="E2190" s="3" t="s">
        <v>138</v>
      </c>
      <c r="F2190" s="3" t="str">
        <f t="shared" si="0"/>
        <v>4 - Blanco/Nulo</v>
      </c>
      <c r="G2190" s="2">
        <v>94</v>
      </c>
      <c r="H2190" s="3"/>
    </row>
    <row r="2191" spans="1:8" ht="12.75" hidden="1" x14ac:dyDescent="0.2">
      <c r="A2191" s="3" t="s">
        <v>160</v>
      </c>
      <c r="B2191" s="2">
        <v>86</v>
      </c>
      <c r="C2191" s="4" t="s">
        <v>106</v>
      </c>
      <c r="D2191" s="3" t="s">
        <v>162</v>
      </c>
      <c r="E2191" s="3" t="s">
        <v>3</v>
      </c>
      <c r="F2191" s="3" t="str">
        <f t="shared" si="0"/>
        <v>1 - PJ</v>
      </c>
      <c r="G2191" s="2">
        <v>5019</v>
      </c>
      <c r="H2191" s="3"/>
    </row>
    <row r="2192" spans="1:8" ht="12.75" hidden="1" x14ac:dyDescent="0.2">
      <c r="A2192" s="3" t="s">
        <v>160</v>
      </c>
      <c r="B2192" s="2">
        <v>86</v>
      </c>
      <c r="C2192" s="4" t="s">
        <v>106</v>
      </c>
      <c r="D2192" s="3" t="s">
        <v>162</v>
      </c>
      <c r="E2192" s="3" t="s">
        <v>128</v>
      </c>
      <c r="F2192" s="3" t="str">
        <f t="shared" si="0"/>
        <v>2 - Frepam</v>
      </c>
      <c r="G2192" s="2">
        <v>2167</v>
      </c>
      <c r="H2192" s="3"/>
    </row>
    <row r="2193" spans="1:8" ht="12.75" hidden="1" x14ac:dyDescent="0.2">
      <c r="A2193" s="3" t="s">
        <v>160</v>
      </c>
      <c r="B2193" s="2">
        <v>86</v>
      </c>
      <c r="C2193" s="4" t="s">
        <v>106</v>
      </c>
      <c r="D2193" s="3" t="s">
        <v>162</v>
      </c>
      <c r="E2193" s="3" t="s">
        <v>133</v>
      </c>
      <c r="F2193" s="3" t="str">
        <f t="shared" si="0"/>
        <v>3 - Otros</v>
      </c>
      <c r="G2193" s="2">
        <v>940</v>
      </c>
      <c r="H2193" s="3"/>
    </row>
    <row r="2194" spans="1:8" ht="12.75" hidden="1" x14ac:dyDescent="0.2">
      <c r="A2194" s="3" t="s">
        <v>160</v>
      </c>
      <c r="B2194" s="2">
        <v>86</v>
      </c>
      <c r="C2194" s="4" t="s">
        <v>106</v>
      </c>
      <c r="D2194" s="3" t="s">
        <v>162</v>
      </c>
      <c r="E2194" s="3" t="s">
        <v>149</v>
      </c>
      <c r="F2194" s="3" t="str">
        <f t="shared" si="0"/>
        <v>3 - Otros</v>
      </c>
      <c r="G2194" s="2">
        <v>352</v>
      </c>
      <c r="H2194" s="3"/>
    </row>
    <row r="2195" spans="1:8" ht="12.75" hidden="1" x14ac:dyDescent="0.2">
      <c r="A2195" s="3" t="s">
        <v>160</v>
      </c>
      <c r="B2195" s="2">
        <v>86</v>
      </c>
      <c r="C2195" s="4" t="s">
        <v>106</v>
      </c>
      <c r="D2195" s="3" t="s">
        <v>162</v>
      </c>
      <c r="E2195" s="3" t="s">
        <v>14</v>
      </c>
      <c r="F2195" s="3" t="str">
        <f t="shared" si="0"/>
        <v>4 - Blanco/Nulo</v>
      </c>
      <c r="G2195" s="2">
        <v>230</v>
      </c>
      <c r="H2195" s="3"/>
    </row>
    <row r="2196" spans="1:8" ht="12.75" hidden="1" x14ac:dyDescent="0.2">
      <c r="A2196" s="3" t="s">
        <v>160</v>
      </c>
      <c r="B2196" s="2">
        <v>86</v>
      </c>
      <c r="C2196" s="4" t="s">
        <v>106</v>
      </c>
      <c r="D2196" s="3" t="s">
        <v>162</v>
      </c>
      <c r="E2196" s="3" t="s">
        <v>139</v>
      </c>
      <c r="F2196" s="3" t="str">
        <f t="shared" si="0"/>
        <v>3 - Otros</v>
      </c>
      <c r="G2196" s="2">
        <v>219</v>
      </c>
      <c r="H2196" s="2">
        <f>SUM(G2191:G2200)</f>
        <v>9440</v>
      </c>
    </row>
    <row r="2197" spans="1:8" ht="12.75" hidden="1" x14ac:dyDescent="0.2">
      <c r="A2197" s="3" t="s">
        <v>160</v>
      </c>
      <c r="B2197" s="2">
        <v>86</v>
      </c>
      <c r="C2197" s="4" t="s">
        <v>106</v>
      </c>
      <c r="D2197" s="3" t="s">
        <v>162</v>
      </c>
      <c r="E2197" s="3" t="s">
        <v>148</v>
      </c>
      <c r="F2197" s="3" t="str">
        <f t="shared" si="0"/>
        <v>3 - Otros</v>
      </c>
      <c r="G2197" s="2">
        <v>204</v>
      </c>
      <c r="H2197" s="3"/>
    </row>
    <row r="2198" spans="1:8" ht="12.75" hidden="1" x14ac:dyDescent="0.2">
      <c r="A2198" s="3" t="s">
        <v>160</v>
      </c>
      <c r="B2198" s="2">
        <v>86</v>
      </c>
      <c r="C2198" s="4" t="s">
        <v>106</v>
      </c>
      <c r="D2198" s="3" t="s">
        <v>162</v>
      </c>
      <c r="E2198" s="3" t="s">
        <v>138</v>
      </c>
      <c r="F2198" s="3" t="str">
        <f t="shared" si="0"/>
        <v>4 - Blanco/Nulo</v>
      </c>
      <c r="G2198" s="2">
        <v>110</v>
      </c>
      <c r="H2198" s="3"/>
    </row>
    <row r="2199" spans="1:8" ht="12.75" hidden="1" x14ac:dyDescent="0.2">
      <c r="A2199" s="3" t="s">
        <v>160</v>
      </c>
      <c r="B2199" s="2">
        <v>86</v>
      </c>
      <c r="C2199" s="4" t="s">
        <v>106</v>
      </c>
      <c r="D2199" s="3" t="s">
        <v>162</v>
      </c>
      <c r="E2199" s="3" t="s">
        <v>145</v>
      </c>
      <c r="F2199" s="3" t="str">
        <f t="shared" si="0"/>
        <v>3 - Otros</v>
      </c>
      <c r="G2199" s="2">
        <v>106</v>
      </c>
      <c r="H2199" s="3"/>
    </row>
    <row r="2200" spans="1:8" ht="12.75" hidden="1" x14ac:dyDescent="0.2">
      <c r="A2200" s="3" t="s">
        <v>160</v>
      </c>
      <c r="B2200" s="2">
        <v>86</v>
      </c>
      <c r="C2200" s="4" t="s">
        <v>106</v>
      </c>
      <c r="D2200" s="3" t="s">
        <v>162</v>
      </c>
      <c r="E2200" s="3" t="s">
        <v>135</v>
      </c>
      <c r="F2200" s="3" t="str">
        <f t="shared" si="0"/>
        <v>3 - Otros</v>
      </c>
      <c r="G2200" s="2">
        <v>93</v>
      </c>
      <c r="H2200" s="3"/>
    </row>
    <row r="2201" spans="1:8" ht="12.75" hidden="1" x14ac:dyDescent="0.2">
      <c r="A2201" s="3" t="s">
        <v>160</v>
      </c>
      <c r="B2201" s="2">
        <v>86</v>
      </c>
      <c r="C2201" s="4" t="s">
        <v>106</v>
      </c>
      <c r="D2201" s="3" t="s">
        <v>161</v>
      </c>
      <c r="E2201" s="3" t="s">
        <v>3</v>
      </c>
      <c r="F2201" s="3" t="str">
        <f t="shared" si="0"/>
        <v>1 - PJ</v>
      </c>
      <c r="G2201" s="2">
        <v>5067</v>
      </c>
      <c r="H2201" s="3"/>
    </row>
    <row r="2202" spans="1:8" ht="12.75" hidden="1" x14ac:dyDescent="0.2">
      <c r="A2202" s="3" t="s">
        <v>160</v>
      </c>
      <c r="B2202" s="2">
        <v>86</v>
      </c>
      <c r="C2202" s="4" t="s">
        <v>106</v>
      </c>
      <c r="D2202" s="3" t="s">
        <v>161</v>
      </c>
      <c r="E2202" s="3" t="s">
        <v>128</v>
      </c>
      <c r="F2202" s="3" t="str">
        <f t="shared" si="0"/>
        <v>2 - Frepam</v>
      </c>
      <c r="G2202" s="2">
        <v>2112</v>
      </c>
      <c r="H2202" s="3"/>
    </row>
    <row r="2203" spans="1:8" ht="12.75" hidden="1" x14ac:dyDescent="0.2">
      <c r="A2203" s="3" t="s">
        <v>160</v>
      </c>
      <c r="B2203" s="2">
        <v>86</v>
      </c>
      <c r="C2203" s="4" t="s">
        <v>106</v>
      </c>
      <c r="D2203" s="3" t="s">
        <v>161</v>
      </c>
      <c r="E2203" s="3" t="s">
        <v>133</v>
      </c>
      <c r="F2203" s="3" t="str">
        <f t="shared" si="0"/>
        <v>3 - Otros</v>
      </c>
      <c r="G2203" s="2">
        <v>795</v>
      </c>
      <c r="H2203" s="3"/>
    </row>
    <row r="2204" spans="1:8" ht="12.75" hidden="1" x14ac:dyDescent="0.2">
      <c r="A2204" s="3" t="s">
        <v>160</v>
      </c>
      <c r="B2204" s="2">
        <v>86</v>
      </c>
      <c r="C2204" s="4" t="s">
        <v>106</v>
      </c>
      <c r="D2204" s="3" t="s">
        <v>161</v>
      </c>
      <c r="E2204" s="3" t="s">
        <v>14</v>
      </c>
      <c r="F2204" s="3" t="str">
        <f t="shared" si="0"/>
        <v>4 - Blanco/Nulo</v>
      </c>
      <c r="G2204" s="2">
        <v>362</v>
      </c>
      <c r="H2204" s="3"/>
    </row>
    <row r="2205" spans="1:8" ht="12.75" hidden="1" x14ac:dyDescent="0.2">
      <c r="A2205" s="3" t="s">
        <v>160</v>
      </c>
      <c r="B2205" s="2">
        <v>86</v>
      </c>
      <c r="C2205" s="4" t="s">
        <v>106</v>
      </c>
      <c r="D2205" s="3" t="s">
        <v>161</v>
      </c>
      <c r="E2205" s="3" t="s">
        <v>149</v>
      </c>
      <c r="F2205" s="3" t="str">
        <f t="shared" si="0"/>
        <v>3 - Otros</v>
      </c>
      <c r="G2205" s="2">
        <v>361</v>
      </c>
      <c r="H2205" s="3"/>
    </row>
    <row r="2206" spans="1:8" ht="12.75" hidden="1" x14ac:dyDescent="0.2">
      <c r="A2206" s="3" t="s">
        <v>160</v>
      </c>
      <c r="B2206" s="2">
        <v>86</v>
      </c>
      <c r="C2206" s="4" t="s">
        <v>106</v>
      </c>
      <c r="D2206" s="3" t="s">
        <v>161</v>
      </c>
      <c r="E2206" s="3" t="s">
        <v>139</v>
      </c>
      <c r="F2206" s="3" t="str">
        <f t="shared" si="0"/>
        <v>3 - Otros</v>
      </c>
      <c r="G2206" s="2">
        <v>224</v>
      </c>
      <c r="H2206" s="2">
        <f>SUM(G2201:G2210)</f>
        <v>9440</v>
      </c>
    </row>
    <row r="2207" spans="1:8" ht="12.75" hidden="1" x14ac:dyDescent="0.2">
      <c r="A2207" s="3" t="s">
        <v>160</v>
      </c>
      <c r="B2207" s="2">
        <v>86</v>
      </c>
      <c r="C2207" s="4" t="s">
        <v>106</v>
      </c>
      <c r="D2207" s="3" t="s">
        <v>161</v>
      </c>
      <c r="E2207" s="3" t="s">
        <v>148</v>
      </c>
      <c r="F2207" s="3" t="str">
        <f t="shared" si="0"/>
        <v>3 - Otros</v>
      </c>
      <c r="G2207" s="2">
        <v>212</v>
      </c>
      <c r="H2207" s="3"/>
    </row>
    <row r="2208" spans="1:8" ht="12.75" hidden="1" x14ac:dyDescent="0.2">
      <c r="A2208" s="3" t="s">
        <v>160</v>
      </c>
      <c r="B2208" s="2">
        <v>86</v>
      </c>
      <c r="C2208" s="4" t="s">
        <v>106</v>
      </c>
      <c r="D2208" s="3" t="s">
        <v>161</v>
      </c>
      <c r="E2208" s="3" t="s">
        <v>145</v>
      </c>
      <c r="F2208" s="3" t="str">
        <f t="shared" si="0"/>
        <v>3 - Otros</v>
      </c>
      <c r="G2208" s="2">
        <v>106</v>
      </c>
      <c r="H2208" s="3"/>
    </row>
    <row r="2209" spans="1:8" ht="12.75" hidden="1" x14ac:dyDescent="0.2">
      <c r="A2209" s="3" t="s">
        <v>160</v>
      </c>
      <c r="B2209" s="2">
        <v>87</v>
      </c>
      <c r="C2209" s="4" t="s">
        <v>106</v>
      </c>
      <c r="D2209" s="3" t="s">
        <v>161</v>
      </c>
      <c r="E2209" s="3" t="s">
        <v>138</v>
      </c>
      <c r="F2209" s="3" t="str">
        <f t="shared" si="0"/>
        <v>4 - Blanco/Nulo</v>
      </c>
      <c r="G2209" s="2">
        <v>104</v>
      </c>
      <c r="H2209" s="3"/>
    </row>
    <row r="2210" spans="1:8" ht="12.75" hidden="1" x14ac:dyDescent="0.2">
      <c r="A2210" s="3" t="s">
        <v>160</v>
      </c>
      <c r="B2210" s="2">
        <v>87</v>
      </c>
      <c r="C2210" s="4" t="s">
        <v>106</v>
      </c>
      <c r="D2210" s="3" t="s">
        <v>161</v>
      </c>
      <c r="E2210" s="3" t="s">
        <v>135</v>
      </c>
      <c r="F2210" s="3" t="str">
        <f t="shared" si="0"/>
        <v>3 - Otros</v>
      </c>
      <c r="G2210" s="2">
        <v>97</v>
      </c>
      <c r="H2210" s="3"/>
    </row>
    <row r="2211" spans="1:8" ht="12.75" hidden="1" x14ac:dyDescent="0.2">
      <c r="A2211" s="3" t="s">
        <v>160</v>
      </c>
      <c r="B2211" s="2">
        <v>87</v>
      </c>
      <c r="C2211" s="4" t="s">
        <v>107</v>
      </c>
      <c r="D2211" s="3" t="s">
        <v>2</v>
      </c>
      <c r="E2211" s="3" t="s">
        <v>136</v>
      </c>
      <c r="F2211" s="3" t="str">
        <f t="shared" si="0"/>
        <v>1 - PJ</v>
      </c>
      <c r="G2211" s="2">
        <v>453</v>
      </c>
      <c r="H2211" s="3"/>
    </row>
    <row r="2212" spans="1:8" ht="12.75" hidden="1" x14ac:dyDescent="0.2">
      <c r="A2212" s="3" t="s">
        <v>160</v>
      </c>
      <c r="B2212" s="2">
        <v>87</v>
      </c>
      <c r="C2212" s="4" t="s">
        <v>107</v>
      </c>
      <c r="D2212" s="3" t="s">
        <v>2</v>
      </c>
      <c r="E2212" s="3" t="s">
        <v>128</v>
      </c>
      <c r="F2212" s="3" t="str">
        <f t="shared" si="0"/>
        <v>2 - Frepam</v>
      </c>
      <c r="G2212" s="2">
        <v>349</v>
      </c>
      <c r="H2212" s="3"/>
    </row>
    <row r="2213" spans="1:8" ht="12.75" hidden="1" x14ac:dyDescent="0.2">
      <c r="A2213" s="3" t="s">
        <v>160</v>
      </c>
      <c r="B2213" s="2">
        <v>87</v>
      </c>
      <c r="C2213" s="4" t="s">
        <v>107</v>
      </c>
      <c r="D2213" s="3" t="s">
        <v>2</v>
      </c>
      <c r="E2213" s="3" t="s">
        <v>14</v>
      </c>
      <c r="F2213" s="3" t="str">
        <f t="shared" si="0"/>
        <v>4 - Blanco/Nulo</v>
      </c>
      <c r="G2213" s="2">
        <v>24</v>
      </c>
      <c r="H2213" s="3"/>
    </row>
    <row r="2214" spans="1:8" ht="12.75" hidden="1" x14ac:dyDescent="0.2">
      <c r="A2214" s="3" t="s">
        <v>160</v>
      </c>
      <c r="B2214" s="2">
        <v>87</v>
      </c>
      <c r="C2214" s="4" t="s">
        <v>107</v>
      </c>
      <c r="D2214" s="3" t="s">
        <v>2</v>
      </c>
      <c r="E2214" s="3" t="s">
        <v>138</v>
      </c>
      <c r="F2214" s="3" t="str">
        <f t="shared" si="0"/>
        <v>4 - Blanco/Nulo</v>
      </c>
      <c r="G2214" s="2">
        <v>1</v>
      </c>
      <c r="H2214" s="2">
        <f>SUM(G2211:G2214)</f>
        <v>827</v>
      </c>
    </row>
    <row r="2215" spans="1:8" ht="12.75" hidden="1" x14ac:dyDescent="0.2">
      <c r="A2215" s="3" t="s">
        <v>160</v>
      </c>
      <c r="B2215" s="2">
        <v>87</v>
      </c>
      <c r="C2215" s="4" t="s">
        <v>107</v>
      </c>
      <c r="D2215" s="3" t="s">
        <v>161</v>
      </c>
      <c r="E2215" s="3" t="s">
        <v>136</v>
      </c>
      <c r="F2215" s="3" t="str">
        <f t="shared" si="0"/>
        <v>1 - PJ</v>
      </c>
      <c r="G2215" s="2">
        <v>425</v>
      </c>
      <c r="H2215" s="3"/>
    </row>
    <row r="2216" spans="1:8" ht="12.75" hidden="1" x14ac:dyDescent="0.2">
      <c r="A2216" s="3" t="s">
        <v>160</v>
      </c>
      <c r="B2216" s="2">
        <v>87</v>
      </c>
      <c r="C2216" s="4" t="s">
        <v>107</v>
      </c>
      <c r="D2216" s="3" t="s">
        <v>161</v>
      </c>
      <c r="E2216" s="3" t="s">
        <v>128</v>
      </c>
      <c r="F2216" s="3" t="str">
        <f t="shared" si="0"/>
        <v>2 - Frepam</v>
      </c>
      <c r="G2216" s="2">
        <v>275</v>
      </c>
      <c r="H2216" s="3"/>
    </row>
    <row r="2217" spans="1:8" ht="12.75" hidden="1" x14ac:dyDescent="0.2">
      <c r="A2217" s="3" t="s">
        <v>160</v>
      </c>
      <c r="B2217" s="2">
        <v>87</v>
      </c>
      <c r="C2217" s="4" t="s">
        <v>107</v>
      </c>
      <c r="D2217" s="3" t="s">
        <v>161</v>
      </c>
      <c r="E2217" s="3" t="s">
        <v>133</v>
      </c>
      <c r="F2217" s="3" t="str">
        <f t="shared" si="0"/>
        <v>3 - Otros</v>
      </c>
      <c r="G2217" s="2">
        <v>58</v>
      </c>
      <c r="H2217" s="3"/>
    </row>
    <row r="2218" spans="1:8" ht="12.75" hidden="1" x14ac:dyDescent="0.2">
      <c r="A2218" s="3" t="s">
        <v>160</v>
      </c>
      <c r="B2218" s="2">
        <v>87</v>
      </c>
      <c r="C2218" s="4" t="s">
        <v>107</v>
      </c>
      <c r="D2218" s="3" t="s">
        <v>161</v>
      </c>
      <c r="E2218" s="3" t="s">
        <v>14</v>
      </c>
      <c r="F2218" s="3" t="str">
        <f t="shared" si="0"/>
        <v>4 - Blanco/Nulo</v>
      </c>
      <c r="G2218" s="2">
        <v>36</v>
      </c>
      <c r="H2218" s="3"/>
    </row>
    <row r="2219" spans="1:8" ht="12.75" hidden="1" x14ac:dyDescent="0.2">
      <c r="A2219" s="3" t="s">
        <v>160</v>
      </c>
      <c r="B2219" s="2">
        <v>87</v>
      </c>
      <c r="C2219" s="4" t="s">
        <v>107</v>
      </c>
      <c r="D2219" s="3" t="s">
        <v>161</v>
      </c>
      <c r="E2219" s="3" t="s">
        <v>149</v>
      </c>
      <c r="F2219" s="3" t="str">
        <f t="shared" si="0"/>
        <v>3 - Otros</v>
      </c>
      <c r="G2219" s="2">
        <v>19</v>
      </c>
      <c r="H2219" s="3"/>
    </row>
    <row r="2220" spans="1:8" ht="12.75" hidden="1" x14ac:dyDescent="0.2">
      <c r="A2220" s="3" t="s">
        <v>160</v>
      </c>
      <c r="B2220" s="2">
        <v>87</v>
      </c>
      <c r="C2220" s="4" t="s">
        <v>107</v>
      </c>
      <c r="D2220" s="3" t="s">
        <v>161</v>
      </c>
      <c r="E2220" s="3" t="s">
        <v>138</v>
      </c>
      <c r="F2220" s="3" t="str">
        <f t="shared" si="0"/>
        <v>4 - Blanco/Nulo</v>
      </c>
      <c r="G2220" s="2">
        <v>6</v>
      </c>
      <c r="H2220" s="3"/>
    </row>
    <row r="2221" spans="1:8" ht="12.75" hidden="1" x14ac:dyDescent="0.2">
      <c r="A2221" s="3" t="s">
        <v>160</v>
      </c>
      <c r="B2221" s="2">
        <v>87</v>
      </c>
      <c r="C2221" s="4" t="s">
        <v>107</v>
      </c>
      <c r="D2221" s="3" t="s">
        <v>161</v>
      </c>
      <c r="E2221" s="3" t="s">
        <v>135</v>
      </c>
      <c r="F2221" s="3" t="str">
        <f t="shared" si="0"/>
        <v>3 - Otros</v>
      </c>
      <c r="G2221" s="2">
        <v>3</v>
      </c>
      <c r="H2221" s="3"/>
    </row>
    <row r="2222" spans="1:8" ht="12.75" hidden="1" x14ac:dyDescent="0.2">
      <c r="A2222" s="3" t="s">
        <v>160</v>
      </c>
      <c r="B2222" s="2">
        <v>87</v>
      </c>
      <c r="C2222" s="4" t="s">
        <v>107</v>
      </c>
      <c r="D2222" s="3" t="s">
        <v>161</v>
      </c>
      <c r="E2222" s="3" t="s">
        <v>148</v>
      </c>
      <c r="F2222" s="3" t="str">
        <f t="shared" si="0"/>
        <v>3 - Otros</v>
      </c>
      <c r="G2222" s="2">
        <v>2</v>
      </c>
      <c r="H2222" s="3"/>
    </row>
    <row r="2223" spans="1:8" ht="12.75" hidden="1" x14ac:dyDescent="0.2">
      <c r="A2223" s="3" t="s">
        <v>160</v>
      </c>
      <c r="B2223" s="2">
        <v>87</v>
      </c>
      <c r="C2223" s="4" t="s">
        <v>107</v>
      </c>
      <c r="D2223" s="3" t="s">
        <v>161</v>
      </c>
      <c r="E2223" s="3" t="s">
        <v>139</v>
      </c>
      <c r="F2223" s="3" t="str">
        <f t="shared" si="0"/>
        <v>3 - Otros</v>
      </c>
      <c r="G2223" s="2">
        <v>2</v>
      </c>
      <c r="H2223" s="3"/>
    </row>
    <row r="2224" spans="1:8" ht="12.75" hidden="1" x14ac:dyDescent="0.2">
      <c r="A2224" s="3" t="s">
        <v>160</v>
      </c>
      <c r="B2224" s="2">
        <v>87</v>
      </c>
      <c r="C2224" s="4" t="s">
        <v>107</v>
      </c>
      <c r="D2224" s="3" t="s">
        <v>161</v>
      </c>
      <c r="E2224" s="3" t="s">
        <v>145</v>
      </c>
      <c r="F2224" s="3" t="str">
        <f t="shared" si="0"/>
        <v>3 - Otros</v>
      </c>
      <c r="G2224" s="2">
        <v>1</v>
      </c>
      <c r="H2224" s="2">
        <f>SUM(G2215:G2224)</f>
        <v>827</v>
      </c>
    </row>
    <row r="2225" spans="1:8" ht="12.75" hidden="1" x14ac:dyDescent="0.2">
      <c r="A2225" s="3" t="s">
        <v>160</v>
      </c>
      <c r="B2225" s="2">
        <v>87</v>
      </c>
      <c r="C2225" s="4" t="s">
        <v>107</v>
      </c>
      <c r="D2225" s="3" t="s">
        <v>162</v>
      </c>
      <c r="E2225" s="3" t="s">
        <v>136</v>
      </c>
      <c r="F2225" s="3" t="str">
        <f t="shared" si="0"/>
        <v>1 - PJ</v>
      </c>
      <c r="G2225" s="2">
        <v>438</v>
      </c>
      <c r="H2225" s="3"/>
    </row>
    <row r="2226" spans="1:8" ht="12.75" hidden="1" x14ac:dyDescent="0.2">
      <c r="A2226" s="3" t="s">
        <v>160</v>
      </c>
      <c r="B2226" s="2">
        <v>87</v>
      </c>
      <c r="C2226" s="4" t="s">
        <v>107</v>
      </c>
      <c r="D2226" s="3" t="s">
        <v>162</v>
      </c>
      <c r="E2226" s="3" t="s">
        <v>128</v>
      </c>
      <c r="F2226" s="3" t="str">
        <f t="shared" si="0"/>
        <v>2 - Frepam</v>
      </c>
      <c r="G2226" s="2">
        <v>278</v>
      </c>
      <c r="H2226" s="3"/>
    </row>
    <row r="2227" spans="1:8" ht="12.75" hidden="1" x14ac:dyDescent="0.2">
      <c r="A2227" s="3" t="s">
        <v>160</v>
      </c>
      <c r="B2227" s="2">
        <v>87</v>
      </c>
      <c r="C2227" s="4" t="s">
        <v>107</v>
      </c>
      <c r="D2227" s="3" t="s">
        <v>162</v>
      </c>
      <c r="E2227" s="3" t="s">
        <v>133</v>
      </c>
      <c r="F2227" s="3" t="str">
        <f t="shared" si="0"/>
        <v>3 - Otros</v>
      </c>
      <c r="G2227" s="2">
        <v>55</v>
      </c>
      <c r="H2227" s="3"/>
    </row>
    <row r="2228" spans="1:8" ht="12.75" hidden="1" x14ac:dyDescent="0.2">
      <c r="A2228" s="3" t="s">
        <v>160</v>
      </c>
      <c r="B2228" s="2">
        <v>87</v>
      </c>
      <c r="C2228" s="4" t="s">
        <v>107</v>
      </c>
      <c r="D2228" s="3" t="s">
        <v>162</v>
      </c>
      <c r="E2228" s="3" t="s">
        <v>14</v>
      </c>
      <c r="F2228" s="3" t="str">
        <f t="shared" si="0"/>
        <v>4 - Blanco/Nulo</v>
      </c>
      <c r="G2228" s="2">
        <v>25</v>
      </c>
      <c r="H2228" s="3"/>
    </row>
    <row r="2229" spans="1:8" ht="12.75" hidden="1" x14ac:dyDescent="0.2">
      <c r="A2229" s="3" t="s">
        <v>160</v>
      </c>
      <c r="B2229" s="2">
        <v>87</v>
      </c>
      <c r="C2229" s="4" t="s">
        <v>107</v>
      </c>
      <c r="D2229" s="3" t="s">
        <v>162</v>
      </c>
      <c r="E2229" s="3" t="s">
        <v>149</v>
      </c>
      <c r="F2229" s="3" t="str">
        <f t="shared" si="0"/>
        <v>3 - Otros</v>
      </c>
      <c r="G2229" s="2">
        <v>18</v>
      </c>
      <c r="H2229" s="3"/>
    </row>
    <row r="2230" spans="1:8" ht="12.75" hidden="1" x14ac:dyDescent="0.2">
      <c r="A2230" s="3" t="s">
        <v>160</v>
      </c>
      <c r="B2230" s="2">
        <v>87</v>
      </c>
      <c r="C2230" s="4" t="s">
        <v>107</v>
      </c>
      <c r="D2230" s="3" t="s">
        <v>162</v>
      </c>
      <c r="E2230" s="3" t="s">
        <v>138</v>
      </c>
      <c r="F2230" s="3" t="str">
        <f t="shared" si="0"/>
        <v>4 - Blanco/Nulo</v>
      </c>
      <c r="G2230" s="2">
        <v>6</v>
      </c>
      <c r="H2230" s="3"/>
    </row>
    <row r="2231" spans="1:8" ht="12.75" hidden="1" x14ac:dyDescent="0.2">
      <c r="A2231" s="3" t="s">
        <v>160</v>
      </c>
      <c r="B2231" s="2">
        <v>87</v>
      </c>
      <c r="C2231" s="4" t="s">
        <v>107</v>
      </c>
      <c r="D2231" s="3" t="s">
        <v>162</v>
      </c>
      <c r="E2231" s="3" t="s">
        <v>135</v>
      </c>
      <c r="F2231" s="3" t="str">
        <f t="shared" si="0"/>
        <v>3 - Otros</v>
      </c>
      <c r="G2231" s="2">
        <v>3</v>
      </c>
      <c r="H2231" s="3"/>
    </row>
    <row r="2232" spans="1:8" ht="12.75" hidden="1" x14ac:dyDescent="0.2">
      <c r="A2232" s="3" t="s">
        <v>160</v>
      </c>
      <c r="B2232" s="2">
        <v>87</v>
      </c>
      <c r="C2232" s="4" t="s">
        <v>107</v>
      </c>
      <c r="D2232" s="3" t="s">
        <v>162</v>
      </c>
      <c r="E2232" s="3" t="s">
        <v>139</v>
      </c>
      <c r="F2232" s="3" t="str">
        <f t="shared" si="0"/>
        <v>3 - Otros</v>
      </c>
      <c r="G2232" s="2">
        <v>2</v>
      </c>
      <c r="H2232" s="3"/>
    </row>
    <row r="2233" spans="1:8" ht="12.75" hidden="1" x14ac:dyDescent="0.2">
      <c r="A2233" s="3" t="s">
        <v>160</v>
      </c>
      <c r="B2233" s="2">
        <v>87</v>
      </c>
      <c r="C2233" s="4" t="s">
        <v>107</v>
      </c>
      <c r="D2233" s="3" t="s">
        <v>162</v>
      </c>
      <c r="E2233" s="3" t="s">
        <v>148</v>
      </c>
      <c r="F2233" s="3" t="str">
        <f t="shared" si="0"/>
        <v>3 - Otros</v>
      </c>
      <c r="G2233" s="2">
        <v>1</v>
      </c>
      <c r="H2233" s="3"/>
    </row>
    <row r="2234" spans="1:8" ht="12.75" hidden="1" x14ac:dyDescent="0.2">
      <c r="A2234" s="3" t="s">
        <v>160</v>
      </c>
      <c r="B2234" s="2">
        <v>87</v>
      </c>
      <c r="C2234" s="4" t="s">
        <v>107</v>
      </c>
      <c r="D2234" s="3" t="s">
        <v>162</v>
      </c>
      <c r="E2234" s="3" t="s">
        <v>145</v>
      </c>
      <c r="F2234" s="3" t="str">
        <f t="shared" si="0"/>
        <v>3 - Otros</v>
      </c>
      <c r="G2234" s="2">
        <v>1</v>
      </c>
      <c r="H2234" s="2">
        <f>SUM(G2225:G2234)</f>
        <v>827</v>
      </c>
    </row>
    <row r="2235" spans="1:8" ht="12.75" hidden="1" x14ac:dyDescent="0.2">
      <c r="A2235" s="3" t="s">
        <v>160</v>
      </c>
      <c r="B2235" s="2">
        <v>88</v>
      </c>
      <c r="C2235" s="4" t="s">
        <v>108</v>
      </c>
      <c r="D2235" s="3" t="s">
        <v>2</v>
      </c>
      <c r="E2235" s="3" t="s">
        <v>136</v>
      </c>
      <c r="F2235" s="3" t="str">
        <f t="shared" si="0"/>
        <v>1 - PJ</v>
      </c>
      <c r="G2235" s="2">
        <v>218</v>
      </c>
      <c r="H2235" s="3"/>
    </row>
    <row r="2236" spans="1:8" ht="12.75" hidden="1" x14ac:dyDescent="0.2">
      <c r="A2236" s="3" t="s">
        <v>160</v>
      </c>
      <c r="B2236" s="2">
        <v>88</v>
      </c>
      <c r="C2236" s="4" t="s">
        <v>108</v>
      </c>
      <c r="D2236" s="3" t="s">
        <v>2</v>
      </c>
      <c r="E2236" s="3" t="s">
        <v>128</v>
      </c>
      <c r="F2236" s="3" t="str">
        <f t="shared" si="0"/>
        <v>2 - Frepam</v>
      </c>
      <c r="G2236" s="2">
        <v>154</v>
      </c>
      <c r="H2236" s="3"/>
    </row>
    <row r="2237" spans="1:8" ht="12.75" hidden="1" x14ac:dyDescent="0.2">
      <c r="A2237" s="3" t="s">
        <v>160</v>
      </c>
      <c r="B2237" s="2">
        <v>88</v>
      </c>
      <c r="C2237" s="4" t="s">
        <v>108</v>
      </c>
      <c r="D2237" s="3" t="s">
        <v>2</v>
      </c>
      <c r="E2237" s="3" t="s">
        <v>133</v>
      </c>
      <c r="F2237" s="3" t="str">
        <f t="shared" si="0"/>
        <v>3 - Otros</v>
      </c>
      <c r="G2237" s="2">
        <v>56</v>
      </c>
      <c r="H2237" s="3"/>
    </row>
    <row r="2238" spans="1:8" ht="12.75" hidden="1" x14ac:dyDescent="0.2">
      <c r="A2238" s="3" t="s">
        <v>160</v>
      </c>
      <c r="B2238" s="2">
        <v>88</v>
      </c>
      <c r="C2238" s="4" t="s">
        <v>108</v>
      </c>
      <c r="D2238" s="3" t="s">
        <v>2</v>
      </c>
      <c r="E2238" s="3" t="s">
        <v>14</v>
      </c>
      <c r="F2238" s="3" t="str">
        <f t="shared" si="0"/>
        <v>4 - Blanco/Nulo</v>
      </c>
      <c r="G2238" s="2">
        <v>14</v>
      </c>
      <c r="H2238" s="3"/>
    </row>
    <row r="2239" spans="1:8" ht="12.75" hidden="1" x14ac:dyDescent="0.2">
      <c r="A2239" s="3" t="s">
        <v>160</v>
      </c>
      <c r="B2239" s="2">
        <v>88</v>
      </c>
      <c r="C2239" s="4" t="s">
        <v>108</v>
      </c>
      <c r="D2239" s="3" t="s">
        <v>2</v>
      </c>
      <c r="E2239" s="3" t="s">
        <v>138</v>
      </c>
      <c r="F2239" s="3" t="str">
        <f t="shared" si="0"/>
        <v>4 - Blanco/Nulo</v>
      </c>
      <c r="G2239" s="2">
        <v>3</v>
      </c>
      <c r="H2239" s="2">
        <f>SUM(G2235:G2239)</f>
        <v>445</v>
      </c>
    </row>
    <row r="2240" spans="1:8" ht="12.75" hidden="1" x14ac:dyDescent="0.2">
      <c r="A2240" s="3" t="s">
        <v>160</v>
      </c>
      <c r="B2240" s="2">
        <v>88</v>
      </c>
      <c r="C2240" s="4" t="s">
        <v>108</v>
      </c>
      <c r="D2240" s="3" t="s">
        <v>161</v>
      </c>
      <c r="E2240" s="3" t="s">
        <v>136</v>
      </c>
      <c r="F2240" s="3" t="str">
        <f t="shared" si="0"/>
        <v>1 - PJ</v>
      </c>
      <c r="G2240" s="2">
        <v>217</v>
      </c>
      <c r="H2240" s="3"/>
    </row>
    <row r="2241" spans="1:8" ht="12.75" hidden="1" x14ac:dyDescent="0.2">
      <c r="A2241" s="3" t="s">
        <v>160</v>
      </c>
      <c r="B2241" s="2">
        <v>88</v>
      </c>
      <c r="C2241" s="4" t="s">
        <v>108</v>
      </c>
      <c r="D2241" s="3" t="s">
        <v>161</v>
      </c>
      <c r="E2241" s="3" t="s">
        <v>128</v>
      </c>
      <c r="F2241" s="3" t="str">
        <f t="shared" si="0"/>
        <v>2 - Frepam</v>
      </c>
      <c r="G2241" s="2">
        <v>101</v>
      </c>
      <c r="H2241" s="3"/>
    </row>
    <row r="2242" spans="1:8" ht="12.75" hidden="1" x14ac:dyDescent="0.2">
      <c r="A2242" s="3" t="s">
        <v>160</v>
      </c>
      <c r="B2242" s="2">
        <v>88</v>
      </c>
      <c r="C2242" s="4" t="s">
        <v>108</v>
      </c>
      <c r="D2242" s="3" t="s">
        <v>161</v>
      </c>
      <c r="E2242" s="3" t="s">
        <v>14</v>
      </c>
      <c r="F2242" s="3" t="str">
        <f t="shared" si="0"/>
        <v>4 - Blanco/Nulo</v>
      </c>
      <c r="G2242" s="2">
        <v>60</v>
      </c>
      <c r="H2242" s="3"/>
    </row>
    <row r="2243" spans="1:8" ht="12.75" hidden="1" x14ac:dyDescent="0.2">
      <c r="A2243" s="3" t="s">
        <v>160</v>
      </c>
      <c r="B2243" s="2">
        <v>88</v>
      </c>
      <c r="C2243" s="4" t="s">
        <v>108</v>
      </c>
      <c r="D2243" s="3" t="s">
        <v>161</v>
      </c>
      <c r="E2243" s="3" t="s">
        <v>133</v>
      </c>
      <c r="F2243" s="3" t="str">
        <f t="shared" si="0"/>
        <v>3 - Otros</v>
      </c>
      <c r="G2243" s="2">
        <v>50</v>
      </c>
      <c r="H2243" s="3"/>
    </row>
    <row r="2244" spans="1:8" ht="12.75" hidden="1" x14ac:dyDescent="0.2">
      <c r="A2244" s="3" t="s">
        <v>160</v>
      </c>
      <c r="B2244" s="2">
        <v>88</v>
      </c>
      <c r="C2244" s="4" t="s">
        <v>108</v>
      </c>
      <c r="D2244" s="3" t="s">
        <v>161</v>
      </c>
      <c r="E2244" s="3" t="s">
        <v>138</v>
      </c>
      <c r="F2244" s="3" t="str">
        <f t="shared" si="0"/>
        <v>4 - Blanco/Nulo</v>
      </c>
      <c r="G2244" s="2">
        <v>5</v>
      </c>
      <c r="H2244" s="3"/>
    </row>
    <row r="2245" spans="1:8" ht="12.75" hidden="1" x14ac:dyDescent="0.2">
      <c r="A2245" s="3" t="s">
        <v>160</v>
      </c>
      <c r="B2245" s="2">
        <v>88</v>
      </c>
      <c r="C2245" s="4" t="s">
        <v>108</v>
      </c>
      <c r="D2245" s="3" t="s">
        <v>161</v>
      </c>
      <c r="E2245" s="3" t="s">
        <v>145</v>
      </c>
      <c r="F2245" s="3" t="str">
        <f t="shared" si="0"/>
        <v>3 - Otros</v>
      </c>
      <c r="G2245" s="2">
        <v>4</v>
      </c>
      <c r="H2245" s="3"/>
    </row>
    <row r="2246" spans="1:8" ht="12.75" hidden="1" x14ac:dyDescent="0.2">
      <c r="A2246" s="3" t="s">
        <v>160</v>
      </c>
      <c r="B2246" s="2">
        <v>88</v>
      </c>
      <c r="C2246" s="4" t="s">
        <v>108</v>
      </c>
      <c r="D2246" s="3" t="s">
        <v>161</v>
      </c>
      <c r="E2246" s="3" t="s">
        <v>139</v>
      </c>
      <c r="F2246" s="3" t="str">
        <f t="shared" si="0"/>
        <v>3 - Otros</v>
      </c>
      <c r="G2246" s="2">
        <v>4</v>
      </c>
      <c r="H2246" s="3"/>
    </row>
    <row r="2247" spans="1:8" ht="12.75" hidden="1" x14ac:dyDescent="0.2">
      <c r="A2247" s="3" t="s">
        <v>160</v>
      </c>
      <c r="B2247" s="2">
        <v>88</v>
      </c>
      <c r="C2247" s="4" t="s">
        <v>108</v>
      </c>
      <c r="D2247" s="3" t="s">
        <v>161</v>
      </c>
      <c r="E2247" s="3" t="s">
        <v>148</v>
      </c>
      <c r="F2247" s="3" t="str">
        <f t="shared" si="0"/>
        <v>3 - Otros</v>
      </c>
      <c r="G2247" s="2">
        <v>3</v>
      </c>
      <c r="H2247" s="3"/>
    </row>
    <row r="2248" spans="1:8" ht="12.75" hidden="1" x14ac:dyDescent="0.2">
      <c r="A2248" s="3" t="s">
        <v>160</v>
      </c>
      <c r="B2248" s="2">
        <v>88</v>
      </c>
      <c r="C2248" s="4" t="s">
        <v>108</v>
      </c>
      <c r="D2248" s="3" t="s">
        <v>161</v>
      </c>
      <c r="E2248" s="3" t="s">
        <v>149</v>
      </c>
      <c r="F2248" s="3" t="str">
        <f t="shared" si="0"/>
        <v>3 - Otros</v>
      </c>
      <c r="G2248" s="2">
        <v>1</v>
      </c>
      <c r="H2248" s="2">
        <f>SUM(G2240:G2248)</f>
        <v>445</v>
      </c>
    </row>
    <row r="2249" spans="1:8" ht="12.75" hidden="1" x14ac:dyDescent="0.2">
      <c r="A2249" s="3" t="s">
        <v>160</v>
      </c>
      <c r="B2249" s="2">
        <v>88</v>
      </c>
      <c r="C2249" s="4" t="s">
        <v>108</v>
      </c>
      <c r="D2249" s="3" t="s">
        <v>162</v>
      </c>
      <c r="E2249" s="3" t="s">
        <v>136</v>
      </c>
      <c r="F2249" s="3" t="str">
        <f t="shared" si="0"/>
        <v>1 - PJ</v>
      </c>
      <c r="G2249" s="2">
        <v>255</v>
      </c>
      <c r="H2249" s="3"/>
    </row>
    <row r="2250" spans="1:8" ht="12.75" hidden="1" x14ac:dyDescent="0.2">
      <c r="A2250" s="3" t="s">
        <v>160</v>
      </c>
      <c r="B2250" s="2">
        <v>88</v>
      </c>
      <c r="C2250" s="4" t="s">
        <v>108</v>
      </c>
      <c r="D2250" s="3" t="s">
        <v>162</v>
      </c>
      <c r="E2250" s="3" t="s">
        <v>128</v>
      </c>
      <c r="F2250" s="3" t="str">
        <f t="shared" si="0"/>
        <v>2 - Frepam</v>
      </c>
      <c r="G2250" s="2">
        <v>101</v>
      </c>
      <c r="H2250" s="3"/>
    </row>
    <row r="2251" spans="1:8" ht="12.75" hidden="1" x14ac:dyDescent="0.2">
      <c r="A2251" s="3" t="s">
        <v>160</v>
      </c>
      <c r="B2251" s="2">
        <v>88</v>
      </c>
      <c r="C2251" s="4" t="s">
        <v>108</v>
      </c>
      <c r="D2251" s="3" t="s">
        <v>162</v>
      </c>
      <c r="E2251" s="3" t="s">
        <v>133</v>
      </c>
      <c r="F2251" s="3" t="str">
        <f t="shared" si="0"/>
        <v>3 - Otros</v>
      </c>
      <c r="G2251" s="2">
        <v>56</v>
      </c>
      <c r="H2251" s="3"/>
    </row>
    <row r="2252" spans="1:8" ht="12.75" hidden="1" x14ac:dyDescent="0.2">
      <c r="A2252" s="3" t="s">
        <v>160</v>
      </c>
      <c r="B2252" s="2">
        <v>88</v>
      </c>
      <c r="C2252" s="4" t="s">
        <v>108</v>
      </c>
      <c r="D2252" s="3" t="s">
        <v>162</v>
      </c>
      <c r="E2252" s="3" t="s">
        <v>14</v>
      </c>
      <c r="F2252" s="3" t="str">
        <f t="shared" si="0"/>
        <v>4 - Blanco/Nulo</v>
      </c>
      <c r="G2252" s="2">
        <v>22</v>
      </c>
      <c r="H2252" s="3"/>
    </row>
    <row r="2253" spans="1:8" ht="12.75" hidden="1" x14ac:dyDescent="0.2">
      <c r="A2253" s="3" t="s">
        <v>160</v>
      </c>
      <c r="B2253" s="2">
        <v>88</v>
      </c>
      <c r="C2253" s="4" t="s">
        <v>108</v>
      </c>
      <c r="D2253" s="3" t="s">
        <v>162</v>
      </c>
      <c r="E2253" s="3" t="s">
        <v>138</v>
      </c>
      <c r="F2253" s="3" t="str">
        <f t="shared" si="0"/>
        <v>4 - Blanco/Nulo</v>
      </c>
      <c r="G2253" s="2">
        <v>4</v>
      </c>
      <c r="H2253" s="3"/>
    </row>
    <row r="2254" spans="1:8" ht="12.75" hidden="1" x14ac:dyDescent="0.2">
      <c r="A2254" s="3" t="s">
        <v>160</v>
      </c>
      <c r="B2254" s="2">
        <v>88</v>
      </c>
      <c r="C2254" s="4" t="s">
        <v>108</v>
      </c>
      <c r="D2254" s="3" t="s">
        <v>162</v>
      </c>
      <c r="E2254" s="3" t="s">
        <v>139</v>
      </c>
      <c r="F2254" s="3" t="str">
        <f t="shared" si="0"/>
        <v>3 - Otros</v>
      </c>
      <c r="G2254" s="2">
        <v>3</v>
      </c>
      <c r="H2254" s="3"/>
    </row>
    <row r="2255" spans="1:8" ht="12.75" hidden="1" x14ac:dyDescent="0.2">
      <c r="A2255" s="3" t="s">
        <v>160</v>
      </c>
      <c r="B2255" s="2">
        <v>88</v>
      </c>
      <c r="C2255" s="4" t="s">
        <v>108</v>
      </c>
      <c r="D2255" s="3" t="s">
        <v>162</v>
      </c>
      <c r="E2255" s="3" t="s">
        <v>148</v>
      </c>
      <c r="F2255" s="3" t="str">
        <f t="shared" si="0"/>
        <v>3 - Otros</v>
      </c>
      <c r="G2255" s="2">
        <v>2</v>
      </c>
      <c r="H2255" s="3"/>
    </row>
    <row r="2256" spans="1:8" ht="12.75" hidden="1" x14ac:dyDescent="0.2">
      <c r="A2256" s="3" t="s">
        <v>160</v>
      </c>
      <c r="B2256" s="2">
        <v>88</v>
      </c>
      <c r="C2256" s="4" t="s">
        <v>108</v>
      </c>
      <c r="D2256" s="3" t="s">
        <v>162</v>
      </c>
      <c r="E2256" s="3" t="s">
        <v>145</v>
      </c>
      <c r="F2256" s="3" t="str">
        <f t="shared" si="0"/>
        <v>3 - Otros</v>
      </c>
      <c r="G2256" s="2">
        <v>2</v>
      </c>
      <c r="H2256" s="2">
        <f>SUM(G2249:G2256)</f>
        <v>445</v>
      </c>
    </row>
    <row r="2257" spans="1:8" ht="12.75" hidden="1" x14ac:dyDescent="0.2">
      <c r="A2257" s="3" t="s">
        <v>160</v>
      </c>
      <c r="B2257" s="2">
        <v>89</v>
      </c>
      <c r="C2257" s="4" t="s">
        <v>109</v>
      </c>
      <c r="D2257" s="3" t="s">
        <v>2</v>
      </c>
      <c r="E2257" s="3" t="s">
        <v>136</v>
      </c>
      <c r="F2257" s="3" t="str">
        <f t="shared" si="0"/>
        <v>1 - PJ</v>
      </c>
      <c r="G2257" s="2">
        <v>1656</v>
      </c>
      <c r="H2257" s="3"/>
    </row>
    <row r="2258" spans="1:8" ht="12.75" hidden="1" x14ac:dyDescent="0.2">
      <c r="A2258" s="3" t="s">
        <v>160</v>
      </c>
      <c r="B2258" s="2">
        <v>89</v>
      </c>
      <c r="C2258" s="4" t="s">
        <v>109</v>
      </c>
      <c r="D2258" s="3" t="s">
        <v>2</v>
      </c>
      <c r="E2258" s="3" t="s">
        <v>128</v>
      </c>
      <c r="F2258" s="3" t="str">
        <f t="shared" si="0"/>
        <v>2 - Frepam</v>
      </c>
      <c r="G2258" s="2">
        <v>903</v>
      </c>
      <c r="H2258" s="3"/>
    </row>
    <row r="2259" spans="1:8" ht="12.75" hidden="1" x14ac:dyDescent="0.2">
      <c r="A2259" s="3" t="s">
        <v>160</v>
      </c>
      <c r="B2259" s="2">
        <v>89</v>
      </c>
      <c r="C2259" s="4" t="s">
        <v>109</v>
      </c>
      <c r="D2259" s="3" t="s">
        <v>2</v>
      </c>
      <c r="E2259" s="3" t="s">
        <v>14</v>
      </c>
      <c r="F2259" s="3" t="str">
        <f t="shared" si="0"/>
        <v>4 - Blanco/Nulo</v>
      </c>
      <c r="G2259" s="2">
        <v>73</v>
      </c>
      <c r="H2259" s="3"/>
    </row>
    <row r="2260" spans="1:8" ht="12.75" hidden="1" x14ac:dyDescent="0.2">
      <c r="A2260" s="3" t="s">
        <v>160</v>
      </c>
      <c r="B2260" s="2">
        <v>89</v>
      </c>
      <c r="C2260" s="4" t="s">
        <v>109</v>
      </c>
      <c r="D2260" s="3" t="s">
        <v>2</v>
      </c>
      <c r="E2260" s="3" t="s">
        <v>133</v>
      </c>
      <c r="F2260" s="3" t="str">
        <f t="shared" si="0"/>
        <v>3 - Otros</v>
      </c>
      <c r="G2260" s="2">
        <v>62</v>
      </c>
      <c r="H2260" s="3"/>
    </row>
    <row r="2261" spans="1:8" ht="12.75" hidden="1" x14ac:dyDescent="0.2">
      <c r="A2261" s="3" t="s">
        <v>160</v>
      </c>
      <c r="B2261" s="2">
        <v>89</v>
      </c>
      <c r="C2261" s="4" t="s">
        <v>109</v>
      </c>
      <c r="D2261" s="3" t="s">
        <v>2</v>
      </c>
      <c r="E2261" s="3" t="s">
        <v>138</v>
      </c>
      <c r="F2261" s="3" t="str">
        <f t="shared" si="0"/>
        <v>4 - Blanco/Nulo</v>
      </c>
      <c r="G2261" s="2">
        <v>18</v>
      </c>
      <c r="H2261" s="2">
        <f>SUM(G2257:G2261)</f>
        <v>2712</v>
      </c>
    </row>
    <row r="2262" spans="1:8" ht="12.75" hidden="1" x14ac:dyDescent="0.2">
      <c r="A2262" s="3" t="s">
        <v>160</v>
      </c>
      <c r="B2262" s="2">
        <v>89</v>
      </c>
      <c r="C2262" s="4" t="s">
        <v>109</v>
      </c>
      <c r="D2262" s="3" t="s">
        <v>161</v>
      </c>
      <c r="E2262" s="3" t="s">
        <v>136</v>
      </c>
      <c r="F2262" s="3" t="str">
        <f t="shared" si="0"/>
        <v>1 - PJ</v>
      </c>
      <c r="G2262" s="2">
        <v>1608</v>
      </c>
      <c r="H2262" s="3"/>
    </row>
    <row r="2263" spans="1:8" ht="12.75" hidden="1" x14ac:dyDescent="0.2">
      <c r="A2263" s="3" t="s">
        <v>160</v>
      </c>
      <c r="B2263" s="2">
        <v>89</v>
      </c>
      <c r="C2263" s="4" t="s">
        <v>109</v>
      </c>
      <c r="D2263" s="3" t="s">
        <v>161</v>
      </c>
      <c r="E2263" s="3" t="s">
        <v>128</v>
      </c>
      <c r="F2263" s="3" t="str">
        <f t="shared" si="0"/>
        <v>2 - Frepam</v>
      </c>
      <c r="G2263" s="2">
        <v>827</v>
      </c>
      <c r="H2263" s="3"/>
    </row>
    <row r="2264" spans="1:8" ht="12.75" hidden="1" x14ac:dyDescent="0.2">
      <c r="A2264" s="3" t="s">
        <v>160</v>
      </c>
      <c r="B2264" s="2">
        <v>89</v>
      </c>
      <c r="C2264" s="4" t="s">
        <v>109</v>
      </c>
      <c r="D2264" s="3" t="s">
        <v>161</v>
      </c>
      <c r="E2264" s="3" t="s">
        <v>14</v>
      </c>
      <c r="F2264" s="3" t="str">
        <f t="shared" si="0"/>
        <v>4 - Blanco/Nulo</v>
      </c>
      <c r="G2264" s="2">
        <v>114</v>
      </c>
      <c r="H2264" s="3"/>
    </row>
    <row r="2265" spans="1:8" ht="12.75" hidden="1" x14ac:dyDescent="0.2">
      <c r="A2265" s="3" t="s">
        <v>160</v>
      </c>
      <c r="B2265" s="2">
        <v>89</v>
      </c>
      <c r="C2265" s="4" t="s">
        <v>109</v>
      </c>
      <c r="D2265" s="3" t="s">
        <v>161</v>
      </c>
      <c r="E2265" s="3" t="s">
        <v>133</v>
      </c>
      <c r="F2265" s="3" t="str">
        <f t="shared" si="0"/>
        <v>3 - Otros</v>
      </c>
      <c r="G2265" s="2">
        <v>81</v>
      </c>
      <c r="H2265" s="3"/>
    </row>
    <row r="2266" spans="1:8" ht="12.75" hidden="1" x14ac:dyDescent="0.2">
      <c r="A2266" s="3" t="s">
        <v>160</v>
      </c>
      <c r="B2266" s="2">
        <v>89</v>
      </c>
      <c r="C2266" s="4" t="s">
        <v>109</v>
      </c>
      <c r="D2266" s="3" t="s">
        <v>161</v>
      </c>
      <c r="E2266" s="3" t="s">
        <v>138</v>
      </c>
      <c r="F2266" s="3" t="str">
        <f t="shared" si="0"/>
        <v>4 - Blanco/Nulo</v>
      </c>
      <c r="G2266" s="2">
        <v>28</v>
      </c>
      <c r="H2266" s="3"/>
    </row>
    <row r="2267" spans="1:8" ht="12.75" hidden="1" x14ac:dyDescent="0.2">
      <c r="A2267" s="3" t="s">
        <v>160</v>
      </c>
      <c r="B2267" s="2">
        <v>89</v>
      </c>
      <c r="C2267" s="4" t="s">
        <v>109</v>
      </c>
      <c r="D2267" s="3" t="s">
        <v>161</v>
      </c>
      <c r="E2267" s="3" t="s">
        <v>148</v>
      </c>
      <c r="F2267" s="3" t="str">
        <f t="shared" si="0"/>
        <v>3 - Otros</v>
      </c>
      <c r="G2267" s="2">
        <v>21</v>
      </c>
      <c r="H2267" s="3"/>
    </row>
    <row r="2268" spans="1:8" ht="12.75" hidden="1" x14ac:dyDescent="0.2">
      <c r="A2268" s="3" t="s">
        <v>160</v>
      </c>
      <c r="B2268" s="2">
        <v>89</v>
      </c>
      <c r="C2268" s="4" t="s">
        <v>109</v>
      </c>
      <c r="D2268" s="3" t="s">
        <v>161</v>
      </c>
      <c r="E2268" s="3" t="s">
        <v>149</v>
      </c>
      <c r="F2268" s="3" t="str">
        <f t="shared" si="0"/>
        <v>3 - Otros</v>
      </c>
      <c r="G2268" s="2">
        <v>19</v>
      </c>
      <c r="H2268" s="3"/>
    </row>
    <row r="2269" spans="1:8" ht="12.75" hidden="1" x14ac:dyDescent="0.2">
      <c r="A2269" s="3" t="s">
        <v>160</v>
      </c>
      <c r="B2269" s="2">
        <v>89</v>
      </c>
      <c r="C2269" s="4" t="s">
        <v>109</v>
      </c>
      <c r="D2269" s="3" t="s">
        <v>161</v>
      </c>
      <c r="E2269" s="3" t="s">
        <v>135</v>
      </c>
      <c r="F2269" s="3" t="str">
        <f t="shared" si="0"/>
        <v>3 - Otros</v>
      </c>
      <c r="G2269" s="2">
        <v>6</v>
      </c>
      <c r="H2269" s="3"/>
    </row>
    <row r="2270" spans="1:8" ht="12.75" hidden="1" x14ac:dyDescent="0.2">
      <c r="A2270" s="3" t="s">
        <v>160</v>
      </c>
      <c r="B2270" s="2">
        <v>89</v>
      </c>
      <c r="C2270" s="4" t="s">
        <v>109</v>
      </c>
      <c r="D2270" s="3" t="s">
        <v>161</v>
      </c>
      <c r="E2270" s="3" t="s">
        <v>145</v>
      </c>
      <c r="F2270" s="3" t="str">
        <f t="shared" si="0"/>
        <v>3 - Otros</v>
      </c>
      <c r="G2270" s="2">
        <v>5</v>
      </c>
      <c r="H2270" s="3"/>
    </row>
    <row r="2271" spans="1:8" ht="12.75" hidden="1" x14ac:dyDescent="0.2">
      <c r="A2271" s="3" t="s">
        <v>160</v>
      </c>
      <c r="B2271" s="2">
        <v>89</v>
      </c>
      <c r="C2271" s="4" t="s">
        <v>109</v>
      </c>
      <c r="D2271" s="3" t="s">
        <v>161</v>
      </c>
      <c r="E2271" s="3" t="s">
        <v>139</v>
      </c>
      <c r="F2271" s="3" t="str">
        <f t="shared" si="0"/>
        <v>3 - Otros</v>
      </c>
      <c r="G2271" s="2">
        <v>3</v>
      </c>
      <c r="H2271" s="2">
        <f>SUM(G2262:G2271)</f>
        <v>2712</v>
      </c>
    </row>
    <row r="2272" spans="1:8" ht="12.75" hidden="1" x14ac:dyDescent="0.2">
      <c r="A2272" s="3" t="s">
        <v>160</v>
      </c>
      <c r="B2272" s="2">
        <v>89</v>
      </c>
      <c r="C2272" s="4" t="s">
        <v>109</v>
      </c>
      <c r="D2272" s="3" t="s">
        <v>162</v>
      </c>
      <c r="E2272" s="3" t="s">
        <v>136</v>
      </c>
      <c r="F2272" s="3" t="str">
        <f t="shared" si="0"/>
        <v>1 - PJ</v>
      </c>
      <c r="G2272" s="2">
        <v>1604</v>
      </c>
      <c r="H2272" s="3"/>
    </row>
    <row r="2273" spans="1:8" ht="12.75" hidden="1" x14ac:dyDescent="0.2">
      <c r="A2273" s="3" t="s">
        <v>160</v>
      </c>
      <c r="B2273" s="2">
        <v>89</v>
      </c>
      <c r="C2273" s="4" t="s">
        <v>109</v>
      </c>
      <c r="D2273" s="3" t="s">
        <v>162</v>
      </c>
      <c r="E2273" s="3" t="s">
        <v>128</v>
      </c>
      <c r="F2273" s="3" t="str">
        <f t="shared" si="0"/>
        <v>2 - Frepam</v>
      </c>
      <c r="G2273" s="2">
        <v>852</v>
      </c>
      <c r="H2273" s="3"/>
    </row>
    <row r="2274" spans="1:8" ht="12.75" hidden="1" x14ac:dyDescent="0.2">
      <c r="A2274" s="3" t="s">
        <v>160</v>
      </c>
      <c r="B2274" s="2">
        <v>89</v>
      </c>
      <c r="C2274" s="4" t="s">
        <v>109</v>
      </c>
      <c r="D2274" s="3" t="s">
        <v>162</v>
      </c>
      <c r="E2274" s="3" t="s">
        <v>133</v>
      </c>
      <c r="F2274" s="3" t="str">
        <f t="shared" si="0"/>
        <v>3 - Otros</v>
      </c>
      <c r="G2274" s="2">
        <v>119</v>
      </c>
      <c r="H2274" s="3"/>
    </row>
    <row r="2275" spans="1:8" ht="12.75" hidden="1" x14ac:dyDescent="0.2">
      <c r="A2275" s="3" t="s">
        <v>160</v>
      </c>
      <c r="B2275" s="2">
        <v>89</v>
      </c>
      <c r="C2275" s="4" t="s">
        <v>109</v>
      </c>
      <c r="D2275" s="3" t="s">
        <v>162</v>
      </c>
      <c r="E2275" s="3" t="s">
        <v>14</v>
      </c>
      <c r="F2275" s="3" t="str">
        <f t="shared" si="0"/>
        <v>4 - Blanco/Nulo</v>
      </c>
      <c r="G2275" s="2">
        <v>60</v>
      </c>
      <c r="H2275" s="3"/>
    </row>
    <row r="2276" spans="1:8" ht="12.75" hidden="1" x14ac:dyDescent="0.2">
      <c r="A2276" s="3" t="s">
        <v>160</v>
      </c>
      <c r="B2276" s="2">
        <v>89</v>
      </c>
      <c r="C2276" s="4" t="s">
        <v>109</v>
      </c>
      <c r="D2276" s="3" t="s">
        <v>162</v>
      </c>
      <c r="E2276" s="3" t="s">
        <v>138</v>
      </c>
      <c r="F2276" s="3" t="str">
        <f t="shared" si="0"/>
        <v>4 - Blanco/Nulo</v>
      </c>
      <c r="G2276" s="2">
        <v>28</v>
      </c>
      <c r="H2276" s="3"/>
    </row>
    <row r="2277" spans="1:8" ht="12.75" hidden="1" x14ac:dyDescent="0.2">
      <c r="A2277" s="3" t="s">
        <v>160</v>
      </c>
      <c r="B2277" s="2">
        <v>89</v>
      </c>
      <c r="C2277" s="4" t="s">
        <v>109</v>
      </c>
      <c r="D2277" s="3" t="s">
        <v>162</v>
      </c>
      <c r="E2277" s="3" t="s">
        <v>149</v>
      </c>
      <c r="F2277" s="3" t="str">
        <f t="shared" si="0"/>
        <v>3 - Otros</v>
      </c>
      <c r="G2277" s="2">
        <v>19</v>
      </c>
      <c r="H2277" s="3"/>
    </row>
    <row r="2278" spans="1:8" ht="12.75" hidden="1" x14ac:dyDescent="0.2">
      <c r="A2278" s="3" t="s">
        <v>160</v>
      </c>
      <c r="B2278" s="2">
        <v>89</v>
      </c>
      <c r="C2278" s="4" t="s">
        <v>109</v>
      </c>
      <c r="D2278" s="3" t="s">
        <v>162</v>
      </c>
      <c r="E2278" s="3" t="s">
        <v>148</v>
      </c>
      <c r="F2278" s="3" t="str">
        <f t="shared" si="0"/>
        <v>3 - Otros</v>
      </c>
      <c r="G2278" s="2">
        <v>16</v>
      </c>
      <c r="H2278" s="3"/>
    </row>
    <row r="2279" spans="1:8" ht="12.75" hidden="1" x14ac:dyDescent="0.2">
      <c r="A2279" s="3" t="s">
        <v>160</v>
      </c>
      <c r="B2279" s="2">
        <v>89</v>
      </c>
      <c r="C2279" s="4" t="s">
        <v>109</v>
      </c>
      <c r="D2279" s="3" t="s">
        <v>162</v>
      </c>
      <c r="E2279" s="3" t="s">
        <v>135</v>
      </c>
      <c r="F2279" s="3" t="str">
        <f t="shared" si="0"/>
        <v>3 - Otros</v>
      </c>
      <c r="G2279" s="2">
        <v>6</v>
      </c>
      <c r="H2279" s="3"/>
    </row>
    <row r="2280" spans="1:8" ht="12.75" hidden="1" x14ac:dyDescent="0.2">
      <c r="A2280" s="3" t="s">
        <v>160</v>
      </c>
      <c r="B2280" s="2">
        <v>89</v>
      </c>
      <c r="C2280" s="4" t="s">
        <v>109</v>
      </c>
      <c r="D2280" s="3" t="s">
        <v>162</v>
      </c>
      <c r="E2280" s="3" t="s">
        <v>145</v>
      </c>
      <c r="F2280" s="3" t="str">
        <f t="shared" si="0"/>
        <v>3 - Otros</v>
      </c>
      <c r="G2280" s="2">
        <v>5</v>
      </c>
      <c r="H2280" s="3"/>
    </row>
    <row r="2281" spans="1:8" ht="12.75" hidden="1" x14ac:dyDescent="0.2">
      <c r="A2281" s="3" t="s">
        <v>160</v>
      </c>
      <c r="B2281" s="2">
        <v>89</v>
      </c>
      <c r="C2281" s="4" t="s">
        <v>109</v>
      </c>
      <c r="D2281" s="3" t="s">
        <v>162</v>
      </c>
      <c r="E2281" s="3" t="s">
        <v>139</v>
      </c>
      <c r="F2281" s="3" t="str">
        <f t="shared" si="0"/>
        <v>3 - Otros</v>
      </c>
      <c r="G2281" s="2">
        <v>3</v>
      </c>
      <c r="H2281" s="2">
        <f>SUM(G2272:G2281)</f>
        <v>2712</v>
      </c>
    </row>
    <row r="2282" spans="1:8" ht="12.75" hidden="1" x14ac:dyDescent="0.2">
      <c r="A2282" s="3" t="s">
        <v>160</v>
      </c>
      <c r="B2282" s="2">
        <v>90</v>
      </c>
      <c r="C2282" s="4" t="s">
        <v>110</v>
      </c>
      <c r="D2282" s="3" t="s">
        <v>2</v>
      </c>
      <c r="E2282" s="3" t="s">
        <v>128</v>
      </c>
      <c r="F2282" s="3" t="str">
        <f t="shared" si="0"/>
        <v>2 - Frepam</v>
      </c>
      <c r="G2282" s="2">
        <v>358</v>
      </c>
      <c r="H2282" s="3"/>
    </row>
    <row r="2283" spans="1:8" ht="12.75" hidden="1" x14ac:dyDescent="0.2">
      <c r="A2283" s="3" t="s">
        <v>160</v>
      </c>
      <c r="B2283" s="2">
        <v>90</v>
      </c>
      <c r="C2283" s="4" t="s">
        <v>110</v>
      </c>
      <c r="D2283" s="3" t="s">
        <v>2</v>
      </c>
      <c r="E2283" s="3" t="s">
        <v>136</v>
      </c>
      <c r="F2283" s="3" t="str">
        <f t="shared" si="0"/>
        <v>1 - PJ</v>
      </c>
      <c r="G2283" s="2">
        <v>282</v>
      </c>
      <c r="H2283" s="3"/>
    </row>
    <row r="2284" spans="1:8" ht="12.75" hidden="1" x14ac:dyDescent="0.2">
      <c r="A2284" s="3" t="s">
        <v>160</v>
      </c>
      <c r="B2284" s="2">
        <v>90</v>
      </c>
      <c r="C2284" s="4" t="s">
        <v>110</v>
      </c>
      <c r="D2284" s="3" t="s">
        <v>2</v>
      </c>
      <c r="E2284" s="3" t="s">
        <v>138</v>
      </c>
      <c r="F2284" s="3" t="str">
        <f t="shared" si="0"/>
        <v>4 - Blanco/Nulo</v>
      </c>
      <c r="G2284" s="2">
        <v>17</v>
      </c>
      <c r="H2284" s="3"/>
    </row>
    <row r="2285" spans="1:8" ht="12.75" hidden="1" x14ac:dyDescent="0.2">
      <c r="A2285" s="3" t="s">
        <v>160</v>
      </c>
      <c r="B2285" s="2">
        <v>90</v>
      </c>
      <c r="C2285" s="4" t="s">
        <v>110</v>
      </c>
      <c r="D2285" s="3" t="s">
        <v>2</v>
      </c>
      <c r="E2285" s="3" t="s">
        <v>14</v>
      </c>
      <c r="F2285" s="3" t="str">
        <f t="shared" si="0"/>
        <v>4 - Blanco/Nulo</v>
      </c>
      <c r="G2285" s="2">
        <v>2</v>
      </c>
      <c r="H2285" s="2">
        <f>SUM(G2282:G2285)</f>
        <v>659</v>
      </c>
    </row>
    <row r="2286" spans="1:8" ht="12.75" hidden="1" x14ac:dyDescent="0.2">
      <c r="A2286" s="3" t="s">
        <v>160</v>
      </c>
      <c r="B2286" s="2">
        <v>90</v>
      </c>
      <c r="C2286" s="4" t="s">
        <v>110</v>
      </c>
      <c r="D2286" s="3" t="s">
        <v>161</v>
      </c>
      <c r="E2286" s="3" t="s">
        <v>128</v>
      </c>
      <c r="F2286" s="3" t="str">
        <f t="shared" si="0"/>
        <v>2 - Frepam</v>
      </c>
      <c r="G2286" s="2">
        <v>278</v>
      </c>
      <c r="H2286" s="3"/>
    </row>
    <row r="2287" spans="1:8" ht="12.75" hidden="1" x14ac:dyDescent="0.2">
      <c r="A2287" s="3" t="s">
        <v>160</v>
      </c>
      <c r="B2287" s="2">
        <v>90</v>
      </c>
      <c r="C2287" s="4" t="s">
        <v>110</v>
      </c>
      <c r="D2287" s="3" t="s">
        <v>161</v>
      </c>
      <c r="E2287" s="3" t="s">
        <v>136</v>
      </c>
      <c r="F2287" s="3" t="str">
        <f t="shared" si="0"/>
        <v>1 - PJ</v>
      </c>
      <c r="G2287" s="2">
        <v>277</v>
      </c>
      <c r="H2287" s="3"/>
    </row>
    <row r="2288" spans="1:8" ht="12.75" hidden="1" x14ac:dyDescent="0.2">
      <c r="A2288" s="3" t="s">
        <v>160</v>
      </c>
      <c r="B2288" s="2">
        <v>90</v>
      </c>
      <c r="C2288" s="4" t="s">
        <v>110</v>
      </c>
      <c r="D2288" s="3" t="s">
        <v>161</v>
      </c>
      <c r="E2288" s="3" t="s">
        <v>14</v>
      </c>
      <c r="F2288" s="3" t="str">
        <f t="shared" si="0"/>
        <v>4 - Blanco/Nulo</v>
      </c>
      <c r="G2288" s="2">
        <v>45</v>
      </c>
      <c r="H2288" s="3"/>
    </row>
    <row r="2289" spans="1:8" ht="12.75" hidden="1" x14ac:dyDescent="0.2">
      <c r="A2289" s="3" t="s">
        <v>160</v>
      </c>
      <c r="B2289" s="2">
        <v>90</v>
      </c>
      <c r="C2289" s="4" t="s">
        <v>110</v>
      </c>
      <c r="D2289" s="3" t="s">
        <v>161</v>
      </c>
      <c r="E2289" s="3" t="s">
        <v>133</v>
      </c>
      <c r="F2289" s="3" t="str">
        <f t="shared" si="0"/>
        <v>3 - Otros</v>
      </c>
      <c r="G2289" s="2">
        <v>23</v>
      </c>
      <c r="H2289" s="3"/>
    </row>
    <row r="2290" spans="1:8" ht="12.75" hidden="1" x14ac:dyDescent="0.2">
      <c r="A2290" s="3" t="s">
        <v>160</v>
      </c>
      <c r="B2290" s="2">
        <v>90</v>
      </c>
      <c r="C2290" s="4" t="s">
        <v>110</v>
      </c>
      <c r="D2290" s="3" t="s">
        <v>161</v>
      </c>
      <c r="E2290" s="3" t="s">
        <v>138</v>
      </c>
      <c r="F2290" s="3" t="str">
        <f t="shared" si="0"/>
        <v>4 - Blanco/Nulo</v>
      </c>
      <c r="G2290" s="2">
        <v>17</v>
      </c>
      <c r="H2290" s="3"/>
    </row>
    <row r="2291" spans="1:8" ht="12.75" hidden="1" x14ac:dyDescent="0.2">
      <c r="A2291" s="3" t="s">
        <v>160</v>
      </c>
      <c r="B2291" s="2">
        <v>90</v>
      </c>
      <c r="C2291" s="4" t="s">
        <v>110</v>
      </c>
      <c r="D2291" s="3" t="s">
        <v>161</v>
      </c>
      <c r="E2291" s="3" t="s">
        <v>149</v>
      </c>
      <c r="F2291" s="3" t="str">
        <f t="shared" si="0"/>
        <v>3 - Otros</v>
      </c>
      <c r="G2291" s="2">
        <v>8</v>
      </c>
      <c r="H2291" s="3"/>
    </row>
    <row r="2292" spans="1:8" ht="12.75" hidden="1" x14ac:dyDescent="0.2">
      <c r="A2292" s="3" t="s">
        <v>160</v>
      </c>
      <c r="B2292" s="2">
        <v>90</v>
      </c>
      <c r="C2292" s="4" t="s">
        <v>110</v>
      </c>
      <c r="D2292" s="3" t="s">
        <v>161</v>
      </c>
      <c r="E2292" s="3" t="s">
        <v>148</v>
      </c>
      <c r="F2292" s="3" t="str">
        <f t="shared" si="0"/>
        <v>3 - Otros</v>
      </c>
      <c r="G2292" s="2">
        <v>8</v>
      </c>
      <c r="H2292" s="3"/>
    </row>
    <row r="2293" spans="1:8" ht="12.75" hidden="1" x14ac:dyDescent="0.2">
      <c r="A2293" s="3" t="s">
        <v>160</v>
      </c>
      <c r="B2293" s="2">
        <v>90</v>
      </c>
      <c r="C2293" s="4" t="s">
        <v>110</v>
      </c>
      <c r="D2293" s="3" t="s">
        <v>161</v>
      </c>
      <c r="E2293" s="3" t="s">
        <v>135</v>
      </c>
      <c r="F2293" s="3" t="str">
        <f t="shared" si="0"/>
        <v>3 - Otros</v>
      </c>
      <c r="G2293" s="2">
        <v>1</v>
      </c>
      <c r="H2293" s="3"/>
    </row>
    <row r="2294" spans="1:8" ht="12.75" hidden="1" x14ac:dyDescent="0.2">
      <c r="A2294" s="3" t="s">
        <v>160</v>
      </c>
      <c r="B2294" s="2">
        <v>90</v>
      </c>
      <c r="C2294" s="4" t="s">
        <v>110</v>
      </c>
      <c r="D2294" s="3" t="s">
        <v>161</v>
      </c>
      <c r="E2294" s="3" t="s">
        <v>145</v>
      </c>
      <c r="F2294" s="3" t="str">
        <f t="shared" si="0"/>
        <v>3 - Otros</v>
      </c>
      <c r="G2294" s="2">
        <v>1</v>
      </c>
      <c r="H2294" s="3"/>
    </row>
    <row r="2295" spans="1:8" ht="12.75" hidden="1" x14ac:dyDescent="0.2">
      <c r="A2295" s="3" t="s">
        <v>160</v>
      </c>
      <c r="B2295" s="2">
        <v>90</v>
      </c>
      <c r="C2295" s="4" t="s">
        <v>110</v>
      </c>
      <c r="D2295" s="3" t="s">
        <v>161</v>
      </c>
      <c r="E2295" s="3" t="s">
        <v>139</v>
      </c>
      <c r="F2295" s="3" t="str">
        <f t="shared" si="0"/>
        <v>3 - Otros</v>
      </c>
      <c r="G2295" s="2">
        <v>1</v>
      </c>
      <c r="H2295" s="2">
        <f>SUM(G2286:G2295)</f>
        <v>659</v>
      </c>
    </row>
    <row r="2296" spans="1:8" ht="12.75" hidden="1" x14ac:dyDescent="0.2">
      <c r="A2296" s="3" t="s">
        <v>160</v>
      </c>
      <c r="B2296" s="2">
        <v>90</v>
      </c>
      <c r="C2296" s="4" t="s">
        <v>110</v>
      </c>
      <c r="D2296" s="3" t="s">
        <v>162</v>
      </c>
      <c r="E2296" s="3" t="s">
        <v>136</v>
      </c>
      <c r="F2296" s="3" t="str">
        <f t="shared" si="0"/>
        <v>1 - PJ</v>
      </c>
      <c r="G2296" s="2">
        <v>295</v>
      </c>
      <c r="H2296" s="3"/>
    </row>
    <row r="2297" spans="1:8" ht="12.75" hidden="1" x14ac:dyDescent="0.2">
      <c r="A2297" s="3" t="s">
        <v>160</v>
      </c>
      <c r="B2297" s="2">
        <v>90</v>
      </c>
      <c r="C2297" s="4" t="s">
        <v>110</v>
      </c>
      <c r="D2297" s="3" t="s">
        <v>162</v>
      </c>
      <c r="E2297" s="3" t="s">
        <v>128</v>
      </c>
      <c r="F2297" s="3" t="str">
        <f t="shared" si="0"/>
        <v>2 - Frepam</v>
      </c>
      <c r="G2297" s="2">
        <v>266</v>
      </c>
      <c r="H2297" s="3"/>
    </row>
    <row r="2298" spans="1:8" ht="12.75" hidden="1" x14ac:dyDescent="0.2">
      <c r="A2298" s="3" t="s">
        <v>160</v>
      </c>
      <c r="B2298" s="2">
        <v>90</v>
      </c>
      <c r="C2298" s="4" t="s">
        <v>110</v>
      </c>
      <c r="D2298" s="3" t="s">
        <v>162</v>
      </c>
      <c r="E2298" s="3" t="s">
        <v>133</v>
      </c>
      <c r="F2298" s="3" t="str">
        <f t="shared" si="0"/>
        <v>3 - Otros</v>
      </c>
      <c r="G2298" s="2">
        <v>36</v>
      </c>
      <c r="H2298" s="3"/>
    </row>
    <row r="2299" spans="1:8" ht="12.75" hidden="1" x14ac:dyDescent="0.2">
      <c r="A2299" s="3" t="s">
        <v>160</v>
      </c>
      <c r="B2299" s="2">
        <v>90</v>
      </c>
      <c r="C2299" s="4" t="s">
        <v>110</v>
      </c>
      <c r="D2299" s="3" t="s">
        <v>162</v>
      </c>
      <c r="E2299" s="3" t="s">
        <v>14</v>
      </c>
      <c r="F2299" s="3" t="str">
        <f t="shared" si="0"/>
        <v>4 - Blanco/Nulo</v>
      </c>
      <c r="G2299" s="2">
        <v>28</v>
      </c>
      <c r="H2299" s="3"/>
    </row>
    <row r="2300" spans="1:8" ht="12.75" hidden="1" x14ac:dyDescent="0.2">
      <c r="A2300" s="3" t="s">
        <v>160</v>
      </c>
      <c r="B2300" s="2">
        <v>90</v>
      </c>
      <c r="C2300" s="4" t="s">
        <v>110</v>
      </c>
      <c r="D2300" s="3" t="s">
        <v>162</v>
      </c>
      <c r="E2300" s="3" t="s">
        <v>138</v>
      </c>
      <c r="F2300" s="3" t="str">
        <f t="shared" si="0"/>
        <v>4 - Blanco/Nulo</v>
      </c>
      <c r="G2300" s="2">
        <v>17</v>
      </c>
      <c r="H2300" s="3"/>
    </row>
    <row r="2301" spans="1:8" ht="12.75" hidden="1" x14ac:dyDescent="0.2">
      <c r="A2301" s="3" t="s">
        <v>160</v>
      </c>
      <c r="B2301" s="2">
        <v>90</v>
      </c>
      <c r="C2301" s="4" t="s">
        <v>110</v>
      </c>
      <c r="D2301" s="3" t="s">
        <v>162</v>
      </c>
      <c r="E2301" s="3" t="s">
        <v>149</v>
      </c>
      <c r="F2301" s="3" t="str">
        <f t="shared" si="0"/>
        <v>3 - Otros</v>
      </c>
      <c r="G2301" s="2">
        <v>8</v>
      </c>
      <c r="H2301" s="3"/>
    </row>
    <row r="2302" spans="1:8" ht="12.75" hidden="1" x14ac:dyDescent="0.2">
      <c r="A2302" s="3" t="s">
        <v>160</v>
      </c>
      <c r="B2302" s="2">
        <v>90</v>
      </c>
      <c r="C2302" s="4" t="s">
        <v>110</v>
      </c>
      <c r="D2302" s="3" t="s">
        <v>162</v>
      </c>
      <c r="E2302" s="3" t="s">
        <v>148</v>
      </c>
      <c r="F2302" s="3" t="str">
        <f t="shared" si="0"/>
        <v>3 - Otros</v>
      </c>
      <c r="G2302" s="2">
        <v>6</v>
      </c>
      <c r="H2302" s="3"/>
    </row>
    <row r="2303" spans="1:8" ht="12.75" hidden="1" x14ac:dyDescent="0.2">
      <c r="A2303" s="3" t="s">
        <v>160</v>
      </c>
      <c r="B2303" s="2">
        <v>90</v>
      </c>
      <c r="C2303" s="4" t="s">
        <v>110</v>
      </c>
      <c r="D2303" s="3" t="s">
        <v>162</v>
      </c>
      <c r="E2303" s="3" t="s">
        <v>135</v>
      </c>
      <c r="F2303" s="3" t="str">
        <f t="shared" si="0"/>
        <v>3 - Otros</v>
      </c>
      <c r="G2303" s="2">
        <v>1</v>
      </c>
      <c r="H2303" s="3"/>
    </row>
    <row r="2304" spans="1:8" ht="12.75" hidden="1" x14ac:dyDescent="0.2">
      <c r="A2304" s="3" t="s">
        <v>160</v>
      </c>
      <c r="B2304" s="2">
        <v>90</v>
      </c>
      <c r="C2304" s="4" t="s">
        <v>110</v>
      </c>
      <c r="D2304" s="3" t="s">
        <v>162</v>
      </c>
      <c r="E2304" s="3" t="s">
        <v>145</v>
      </c>
      <c r="F2304" s="3" t="str">
        <f t="shared" si="0"/>
        <v>3 - Otros</v>
      </c>
      <c r="G2304" s="2">
        <v>1</v>
      </c>
      <c r="H2304" s="3"/>
    </row>
    <row r="2305" spans="1:8" ht="12.75" hidden="1" x14ac:dyDescent="0.2">
      <c r="A2305" s="3" t="s">
        <v>160</v>
      </c>
      <c r="B2305" s="2">
        <v>90</v>
      </c>
      <c r="C2305" s="4" t="s">
        <v>110</v>
      </c>
      <c r="D2305" s="3" t="s">
        <v>162</v>
      </c>
      <c r="E2305" s="3" t="s">
        <v>139</v>
      </c>
      <c r="F2305" s="3" t="str">
        <f t="shared" si="0"/>
        <v>3 - Otros</v>
      </c>
      <c r="G2305" s="2">
        <v>1</v>
      </c>
      <c r="H2305" s="2">
        <f>SUM(G2296:G2305)</f>
        <v>659</v>
      </c>
    </row>
    <row r="2306" spans="1:8" ht="12.75" hidden="1" x14ac:dyDescent="0.2">
      <c r="A2306" s="3" t="s">
        <v>160</v>
      </c>
      <c r="B2306" s="2">
        <v>91</v>
      </c>
      <c r="C2306" s="4" t="s">
        <v>111</v>
      </c>
      <c r="D2306" s="3" t="s">
        <v>15</v>
      </c>
      <c r="E2306" s="3" t="s">
        <v>128</v>
      </c>
      <c r="F2306" s="3" t="str">
        <f t="shared" si="0"/>
        <v>2 - Frepam</v>
      </c>
      <c r="G2306" s="2">
        <v>146</v>
      </c>
      <c r="H2306" s="3"/>
    </row>
    <row r="2307" spans="1:8" ht="12.75" hidden="1" x14ac:dyDescent="0.2">
      <c r="A2307" s="3" t="s">
        <v>160</v>
      </c>
      <c r="B2307" s="2">
        <v>91</v>
      </c>
      <c r="C2307" s="4" t="s">
        <v>111</v>
      </c>
      <c r="D2307" s="3" t="s">
        <v>15</v>
      </c>
      <c r="E2307" s="3" t="s">
        <v>136</v>
      </c>
      <c r="F2307" s="3" t="str">
        <f t="shared" si="0"/>
        <v>1 - PJ</v>
      </c>
      <c r="G2307" s="2">
        <v>126</v>
      </c>
      <c r="H2307" s="3"/>
    </row>
    <row r="2308" spans="1:8" ht="12.75" hidden="1" x14ac:dyDescent="0.2">
      <c r="A2308" s="3" t="s">
        <v>160</v>
      </c>
      <c r="B2308" s="2">
        <v>91</v>
      </c>
      <c r="C2308" s="4" t="s">
        <v>111</v>
      </c>
      <c r="D2308" s="3" t="s">
        <v>15</v>
      </c>
      <c r="E2308" s="3" t="s">
        <v>14</v>
      </c>
      <c r="F2308" s="3" t="str">
        <f t="shared" si="0"/>
        <v>4 - Blanco/Nulo</v>
      </c>
      <c r="G2308" s="2">
        <v>9</v>
      </c>
      <c r="H2308" s="3"/>
    </row>
    <row r="2309" spans="1:8" ht="12.75" hidden="1" x14ac:dyDescent="0.2">
      <c r="A2309" s="3" t="s">
        <v>160</v>
      </c>
      <c r="B2309" s="2">
        <v>91</v>
      </c>
      <c r="C2309" s="4" t="s">
        <v>111</v>
      </c>
      <c r="D2309" s="3" t="s">
        <v>15</v>
      </c>
      <c r="E2309" s="3" t="s">
        <v>138</v>
      </c>
      <c r="F2309" s="3" t="str">
        <f t="shared" si="0"/>
        <v>4 - Blanco/Nulo</v>
      </c>
      <c r="G2309" s="2">
        <v>2</v>
      </c>
      <c r="H2309" s="2">
        <f>SUM(G2306:G2309)</f>
        <v>283</v>
      </c>
    </row>
    <row r="2310" spans="1:8" ht="12.75" hidden="1" x14ac:dyDescent="0.2">
      <c r="A2310" s="3" t="s">
        <v>160</v>
      </c>
      <c r="B2310" s="2">
        <v>91</v>
      </c>
      <c r="C2310" s="4" t="s">
        <v>111</v>
      </c>
      <c r="D2310" s="3" t="s">
        <v>161</v>
      </c>
      <c r="E2310" s="3" t="s">
        <v>128</v>
      </c>
      <c r="F2310" s="3" t="str">
        <f t="shared" si="0"/>
        <v>2 - Frepam</v>
      </c>
      <c r="G2310" s="2">
        <v>134</v>
      </c>
      <c r="H2310" s="3"/>
    </row>
    <row r="2311" spans="1:8" ht="12.75" hidden="1" x14ac:dyDescent="0.2">
      <c r="A2311" s="3" t="s">
        <v>160</v>
      </c>
      <c r="B2311" s="2">
        <v>91</v>
      </c>
      <c r="C2311" s="4" t="s">
        <v>111</v>
      </c>
      <c r="D2311" s="3" t="s">
        <v>161</v>
      </c>
      <c r="E2311" s="3" t="s">
        <v>136</v>
      </c>
      <c r="F2311" s="3" t="str">
        <f t="shared" si="0"/>
        <v>1 - PJ</v>
      </c>
      <c r="G2311" s="2">
        <v>128</v>
      </c>
      <c r="H2311" s="3"/>
    </row>
    <row r="2312" spans="1:8" ht="12.75" hidden="1" x14ac:dyDescent="0.2">
      <c r="A2312" s="3" t="s">
        <v>160</v>
      </c>
      <c r="B2312" s="2">
        <v>91</v>
      </c>
      <c r="C2312" s="4" t="s">
        <v>111</v>
      </c>
      <c r="D2312" s="3" t="s">
        <v>161</v>
      </c>
      <c r="E2312" s="3" t="s">
        <v>14</v>
      </c>
      <c r="F2312" s="3" t="str">
        <f t="shared" si="0"/>
        <v>4 - Blanco/Nulo</v>
      </c>
      <c r="G2312" s="2">
        <v>12</v>
      </c>
      <c r="H2312" s="3"/>
    </row>
    <row r="2313" spans="1:8" ht="12.75" hidden="1" x14ac:dyDescent="0.2">
      <c r="A2313" s="3" t="s">
        <v>160</v>
      </c>
      <c r="B2313" s="2">
        <v>91</v>
      </c>
      <c r="C2313" s="4" t="s">
        <v>111</v>
      </c>
      <c r="D2313" s="3" t="s">
        <v>161</v>
      </c>
      <c r="E2313" s="3" t="s">
        <v>133</v>
      </c>
      <c r="F2313" s="3" t="str">
        <f t="shared" si="0"/>
        <v>3 - Otros</v>
      </c>
      <c r="G2313" s="2">
        <v>7</v>
      </c>
      <c r="H2313" s="3"/>
    </row>
    <row r="2314" spans="1:8" ht="12.75" hidden="1" x14ac:dyDescent="0.2">
      <c r="A2314" s="3" t="s">
        <v>160</v>
      </c>
      <c r="B2314" s="2">
        <v>91</v>
      </c>
      <c r="C2314" s="4" t="s">
        <v>111</v>
      </c>
      <c r="D2314" s="3" t="s">
        <v>161</v>
      </c>
      <c r="E2314" s="3" t="s">
        <v>138</v>
      </c>
      <c r="F2314" s="3" t="str">
        <f t="shared" si="0"/>
        <v>4 - Blanco/Nulo</v>
      </c>
      <c r="G2314" s="2">
        <v>2</v>
      </c>
      <c r="H2314" s="2">
        <f>SUM(G2310:G2314)</f>
        <v>283</v>
      </c>
    </row>
    <row r="2315" spans="1:8" ht="12.75" hidden="1" x14ac:dyDescent="0.2">
      <c r="A2315" s="3" t="s">
        <v>160</v>
      </c>
      <c r="B2315" s="2">
        <v>91</v>
      </c>
      <c r="C2315" s="4" t="s">
        <v>111</v>
      </c>
      <c r="D2315" s="3" t="s">
        <v>162</v>
      </c>
      <c r="E2315" s="3" t="s">
        <v>136</v>
      </c>
      <c r="F2315" s="3" t="str">
        <f t="shared" si="0"/>
        <v>1 - PJ</v>
      </c>
      <c r="G2315" s="2">
        <v>133</v>
      </c>
      <c r="H2315" s="3"/>
    </row>
    <row r="2316" spans="1:8" ht="12.75" hidden="1" x14ac:dyDescent="0.2">
      <c r="A2316" s="3" t="s">
        <v>160</v>
      </c>
      <c r="B2316" s="2">
        <v>91</v>
      </c>
      <c r="C2316" s="4" t="s">
        <v>111</v>
      </c>
      <c r="D2316" s="3" t="s">
        <v>162</v>
      </c>
      <c r="E2316" s="3" t="s">
        <v>128</v>
      </c>
      <c r="F2316" s="3" t="str">
        <f t="shared" si="0"/>
        <v>2 - Frepam</v>
      </c>
      <c r="G2316" s="2">
        <v>128</v>
      </c>
      <c r="H2316" s="3"/>
    </row>
    <row r="2317" spans="1:8" ht="12.75" hidden="1" x14ac:dyDescent="0.2">
      <c r="A2317" s="3" t="s">
        <v>160</v>
      </c>
      <c r="B2317" s="2">
        <v>91</v>
      </c>
      <c r="C2317" s="4" t="s">
        <v>111</v>
      </c>
      <c r="D2317" s="3" t="s">
        <v>162</v>
      </c>
      <c r="E2317" s="3" t="s">
        <v>133</v>
      </c>
      <c r="F2317" s="3" t="str">
        <f t="shared" si="0"/>
        <v>3 - Otros</v>
      </c>
      <c r="G2317" s="2">
        <v>11</v>
      </c>
      <c r="H2317" s="3"/>
    </row>
    <row r="2318" spans="1:8" ht="12.75" hidden="1" x14ac:dyDescent="0.2">
      <c r="A2318" s="3" t="s">
        <v>160</v>
      </c>
      <c r="B2318" s="2">
        <v>91</v>
      </c>
      <c r="C2318" s="4" t="s">
        <v>111</v>
      </c>
      <c r="D2318" s="3" t="s">
        <v>162</v>
      </c>
      <c r="E2318" s="3" t="s">
        <v>14</v>
      </c>
      <c r="F2318" s="3" t="str">
        <f t="shared" si="0"/>
        <v>4 - Blanco/Nulo</v>
      </c>
      <c r="G2318" s="2">
        <v>9</v>
      </c>
      <c r="H2318" s="3"/>
    </row>
    <row r="2319" spans="1:8" ht="12.75" hidden="1" x14ac:dyDescent="0.2">
      <c r="A2319" s="3" t="s">
        <v>160</v>
      </c>
      <c r="B2319" s="2">
        <v>91</v>
      </c>
      <c r="C2319" s="4" t="s">
        <v>111</v>
      </c>
      <c r="D2319" s="3" t="s">
        <v>162</v>
      </c>
      <c r="E2319" s="3" t="s">
        <v>138</v>
      </c>
      <c r="F2319" s="3" t="str">
        <f t="shared" si="0"/>
        <v>4 - Blanco/Nulo</v>
      </c>
      <c r="G2319" s="2">
        <v>2</v>
      </c>
      <c r="H2319" s="2">
        <f>SUM(G2315:G2319)</f>
        <v>283</v>
      </c>
    </row>
    <row r="2320" spans="1:8" ht="12.75" hidden="1" x14ac:dyDescent="0.2">
      <c r="A2320" s="3" t="s">
        <v>160</v>
      </c>
      <c r="B2320" s="2">
        <v>92</v>
      </c>
      <c r="C2320" s="4" t="s">
        <v>112</v>
      </c>
      <c r="D2320" s="3" t="s">
        <v>15</v>
      </c>
      <c r="E2320" s="3" t="s">
        <v>136</v>
      </c>
      <c r="F2320" s="3" t="str">
        <f t="shared" si="0"/>
        <v>1 - PJ</v>
      </c>
      <c r="G2320" s="2">
        <v>145</v>
      </c>
      <c r="H2320" s="3"/>
    </row>
    <row r="2321" spans="1:8" ht="12.75" hidden="1" x14ac:dyDescent="0.2">
      <c r="A2321" s="3" t="s">
        <v>160</v>
      </c>
      <c r="B2321" s="2">
        <v>92</v>
      </c>
      <c r="C2321" s="4" t="s">
        <v>112</v>
      </c>
      <c r="D2321" s="3" t="s">
        <v>15</v>
      </c>
      <c r="E2321" s="3" t="s">
        <v>128</v>
      </c>
      <c r="F2321" s="3" t="str">
        <f t="shared" si="0"/>
        <v>2 - Frepam</v>
      </c>
      <c r="G2321" s="2">
        <v>99</v>
      </c>
      <c r="H2321" s="2">
        <f>SUM(G2320:G2321)</f>
        <v>244</v>
      </c>
    </row>
    <row r="2322" spans="1:8" ht="12.75" hidden="1" x14ac:dyDescent="0.2">
      <c r="A2322" s="3" t="s">
        <v>160</v>
      </c>
      <c r="B2322" s="2">
        <v>92</v>
      </c>
      <c r="C2322" s="4" t="s">
        <v>112</v>
      </c>
      <c r="D2322" s="3" t="s">
        <v>161</v>
      </c>
      <c r="E2322" s="3" t="s">
        <v>136</v>
      </c>
      <c r="F2322" s="3" t="str">
        <f t="shared" si="0"/>
        <v>1 - PJ</v>
      </c>
      <c r="G2322" s="2">
        <v>146</v>
      </c>
      <c r="H2322" s="3"/>
    </row>
    <row r="2323" spans="1:8" ht="12.75" hidden="1" x14ac:dyDescent="0.2">
      <c r="A2323" s="3" t="s">
        <v>160</v>
      </c>
      <c r="B2323" s="2">
        <v>92</v>
      </c>
      <c r="C2323" s="4" t="s">
        <v>112</v>
      </c>
      <c r="D2323" s="3" t="s">
        <v>161</v>
      </c>
      <c r="E2323" s="3" t="s">
        <v>128</v>
      </c>
      <c r="F2323" s="3" t="str">
        <f t="shared" si="0"/>
        <v>2 - Frepam</v>
      </c>
      <c r="G2323" s="2">
        <v>86</v>
      </c>
      <c r="H2323" s="3"/>
    </row>
    <row r="2324" spans="1:8" ht="12.75" hidden="1" x14ac:dyDescent="0.2">
      <c r="A2324" s="3" t="s">
        <v>160</v>
      </c>
      <c r="B2324" s="2">
        <v>92</v>
      </c>
      <c r="C2324" s="4" t="s">
        <v>112</v>
      </c>
      <c r="D2324" s="3" t="s">
        <v>161</v>
      </c>
      <c r="E2324" s="3" t="s">
        <v>133</v>
      </c>
      <c r="F2324" s="3" t="str">
        <f t="shared" si="0"/>
        <v>3 - Otros</v>
      </c>
      <c r="G2324" s="2">
        <v>7</v>
      </c>
      <c r="H2324" s="3"/>
    </row>
    <row r="2325" spans="1:8" ht="12.75" hidden="1" x14ac:dyDescent="0.2">
      <c r="A2325" s="3" t="s">
        <v>160</v>
      </c>
      <c r="B2325" s="2">
        <v>92</v>
      </c>
      <c r="C2325" s="4" t="s">
        <v>112</v>
      </c>
      <c r="D2325" s="3" t="s">
        <v>161</v>
      </c>
      <c r="E2325" s="3" t="s">
        <v>14</v>
      </c>
      <c r="F2325" s="3" t="str">
        <f t="shared" si="0"/>
        <v>4 - Blanco/Nulo</v>
      </c>
      <c r="G2325" s="2">
        <v>4</v>
      </c>
      <c r="H2325" s="3"/>
    </row>
    <row r="2326" spans="1:8" ht="12.75" hidden="1" x14ac:dyDescent="0.2">
      <c r="A2326" s="3" t="s">
        <v>160</v>
      </c>
      <c r="B2326" s="2">
        <v>92</v>
      </c>
      <c r="C2326" s="4" t="s">
        <v>112</v>
      </c>
      <c r="D2326" s="3" t="s">
        <v>161</v>
      </c>
      <c r="E2326" s="3" t="s">
        <v>148</v>
      </c>
      <c r="F2326" s="3" t="str">
        <f t="shared" si="0"/>
        <v>3 - Otros</v>
      </c>
      <c r="G2326" s="2">
        <v>1</v>
      </c>
      <c r="H2326" s="2">
        <f>SUM(G2322:G2326)</f>
        <v>244</v>
      </c>
    </row>
    <row r="2327" spans="1:8" ht="12.75" hidden="1" x14ac:dyDescent="0.2">
      <c r="A2327" s="3" t="s">
        <v>160</v>
      </c>
      <c r="B2327" s="2">
        <v>92</v>
      </c>
      <c r="C2327" s="4" t="s">
        <v>112</v>
      </c>
      <c r="D2327" s="3" t="s">
        <v>162</v>
      </c>
      <c r="E2327" s="3" t="s">
        <v>136</v>
      </c>
      <c r="F2327" s="3" t="str">
        <f t="shared" si="0"/>
        <v>1 - PJ</v>
      </c>
      <c r="G2327" s="2">
        <v>147</v>
      </c>
      <c r="H2327" s="3"/>
    </row>
    <row r="2328" spans="1:8" ht="12.75" hidden="1" x14ac:dyDescent="0.2">
      <c r="A2328" s="3" t="s">
        <v>160</v>
      </c>
      <c r="B2328" s="2">
        <v>92</v>
      </c>
      <c r="C2328" s="4" t="s">
        <v>112</v>
      </c>
      <c r="D2328" s="3" t="s">
        <v>162</v>
      </c>
      <c r="E2328" s="3" t="s">
        <v>128</v>
      </c>
      <c r="F2328" s="3" t="str">
        <f t="shared" si="0"/>
        <v>2 - Frepam</v>
      </c>
      <c r="G2328" s="2">
        <v>83</v>
      </c>
      <c r="H2328" s="3"/>
    </row>
    <row r="2329" spans="1:8" ht="12.75" hidden="1" x14ac:dyDescent="0.2">
      <c r="A2329" s="3" t="s">
        <v>160</v>
      </c>
      <c r="B2329" s="2">
        <v>92</v>
      </c>
      <c r="C2329" s="4" t="s">
        <v>112</v>
      </c>
      <c r="D2329" s="3" t="s">
        <v>162</v>
      </c>
      <c r="E2329" s="3" t="s">
        <v>133</v>
      </c>
      <c r="F2329" s="3" t="str">
        <f t="shared" si="0"/>
        <v>3 - Otros</v>
      </c>
      <c r="G2329" s="2">
        <v>8</v>
      </c>
      <c r="H2329" s="3"/>
    </row>
    <row r="2330" spans="1:8" ht="12.75" hidden="1" x14ac:dyDescent="0.2">
      <c r="A2330" s="3" t="s">
        <v>160</v>
      </c>
      <c r="B2330" s="2">
        <v>92</v>
      </c>
      <c r="C2330" s="4" t="s">
        <v>112</v>
      </c>
      <c r="D2330" s="3" t="s">
        <v>162</v>
      </c>
      <c r="E2330" s="3" t="s">
        <v>14</v>
      </c>
      <c r="F2330" s="3" t="str">
        <f t="shared" si="0"/>
        <v>4 - Blanco/Nulo</v>
      </c>
      <c r="G2330" s="2">
        <v>5</v>
      </c>
      <c r="H2330" s="3"/>
    </row>
    <row r="2331" spans="1:8" ht="12.75" hidden="1" x14ac:dyDescent="0.2">
      <c r="A2331" s="3" t="s">
        <v>160</v>
      </c>
      <c r="B2331" s="2">
        <v>92</v>
      </c>
      <c r="C2331" s="4" t="s">
        <v>112</v>
      </c>
      <c r="D2331" s="3" t="s">
        <v>162</v>
      </c>
      <c r="E2331" s="3" t="s">
        <v>148</v>
      </c>
      <c r="F2331" s="3" t="str">
        <f t="shared" si="0"/>
        <v>3 - Otros</v>
      </c>
      <c r="G2331" s="2">
        <v>1</v>
      </c>
      <c r="H2331" s="2">
        <f>SUM(G2327:G2331)</f>
        <v>244</v>
      </c>
    </row>
    <row r="2332" spans="1:8" ht="12.75" hidden="1" x14ac:dyDescent="0.2">
      <c r="A2332" s="3" t="s">
        <v>160</v>
      </c>
      <c r="B2332" s="2">
        <v>93</v>
      </c>
      <c r="C2332" s="4" t="s">
        <v>113</v>
      </c>
      <c r="D2332" s="3" t="s">
        <v>2</v>
      </c>
      <c r="E2332" s="3" t="s">
        <v>128</v>
      </c>
      <c r="F2332" s="3" t="str">
        <f t="shared" si="0"/>
        <v>2 - Frepam</v>
      </c>
      <c r="G2332" s="2">
        <v>3168</v>
      </c>
      <c r="H2332" s="3"/>
    </row>
    <row r="2333" spans="1:8" ht="12.75" hidden="1" x14ac:dyDescent="0.2">
      <c r="A2333" s="3" t="s">
        <v>160</v>
      </c>
      <c r="B2333" s="2">
        <v>93</v>
      </c>
      <c r="C2333" s="4" t="s">
        <v>113</v>
      </c>
      <c r="D2333" s="3" t="s">
        <v>2</v>
      </c>
      <c r="E2333" s="3" t="s">
        <v>3</v>
      </c>
      <c r="F2333" s="3" t="str">
        <f t="shared" si="0"/>
        <v>1 - PJ</v>
      </c>
      <c r="G2333" s="2">
        <v>2573</v>
      </c>
      <c r="H2333" s="3"/>
    </row>
    <row r="2334" spans="1:8" ht="12.75" hidden="1" x14ac:dyDescent="0.2">
      <c r="A2334" s="3" t="s">
        <v>160</v>
      </c>
      <c r="B2334" s="2">
        <v>93</v>
      </c>
      <c r="C2334" s="4" t="s">
        <v>113</v>
      </c>
      <c r="D2334" s="3" t="s">
        <v>2</v>
      </c>
      <c r="E2334" s="3" t="s">
        <v>143</v>
      </c>
      <c r="F2334" s="3" t="str">
        <f t="shared" si="0"/>
        <v>3 - Otros</v>
      </c>
      <c r="G2334" s="2">
        <v>2206</v>
      </c>
      <c r="H2334" s="2">
        <f>SUM(G2332:G2338)</f>
        <v>8822</v>
      </c>
    </row>
    <row r="2335" spans="1:8" ht="12.75" hidden="1" x14ac:dyDescent="0.2">
      <c r="A2335" s="3" t="s">
        <v>160</v>
      </c>
      <c r="B2335" s="2">
        <v>93</v>
      </c>
      <c r="C2335" s="4" t="s">
        <v>113</v>
      </c>
      <c r="D2335" s="3" t="s">
        <v>2</v>
      </c>
      <c r="E2335" s="3" t="s">
        <v>133</v>
      </c>
      <c r="F2335" s="3" t="str">
        <f t="shared" si="0"/>
        <v>3 - Otros</v>
      </c>
      <c r="G2335" s="2">
        <v>290</v>
      </c>
      <c r="H2335" s="3"/>
    </row>
    <row r="2336" spans="1:8" ht="12.75" hidden="1" x14ac:dyDescent="0.2">
      <c r="A2336" s="3" t="s">
        <v>160</v>
      </c>
      <c r="B2336" s="2">
        <v>93</v>
      </c>
      <c r="C2336" s="4" t="s">
        <v>113</v>
      </c>
      <c r="D2336" s="3" t="s">
        <v>2</v>
      </c>
      <c r="E2336" s="3" t="s">
        <v>149</v>
      </c>
      <c r="F2336" s="3" t="str">
        <f t="shared" si="0"/>
        <v>3 - Otros</v>
      </c>
      <c r="G2336" s="2">
        <v>281</v>
      </c>
      <c r="H2336" s="3"/>
    </row>
    <row r="2337" spans="1:8" ht="12.75" hidden="1" x14ac:dyDescent="0.2">
      <c r="A2337" s="3" t="s">
        <v>160</v>
      </c>
      <c r="B2337" s="2">
        <v>93</v>
      </c>
      <c r="C2337" s="4" t="s">
        <v>113</v>
      </c>
      <c r="D2337" s="3" t="s">
        <v>2</v>
      </c>
      <c r="E2337" s="3" t="s">
        <v>14</v>
      </c>
      <c r="F2337" s="3" t="str">
        <f t="shared" si="0"/>
        <v>4 - Blanco/Nulo</v>
      </c>
      <c r="G2337" s="2">
        <v>242</v>
      </c>
      <c r="H2337" s="3"/>
    </row>
    <row r="2338" spans="1:8" ht="12.75" hidden="1" x14ac:dyDescent="0.2">
      <c r="A2338" s="3" t="s">
        <v>160</v>
      </c>
      <c r="B2338" s="2">
        <v>93</v>
      </c>
      <c r="C2338" s="4" t="s">
        <v>113</v>
      </c>
      <c r="D2338" s="3" t="s">
        <v>2</v>
      </c>
      <c r="E2338" s="3" t="s">
        <v>138</v>
      </c>
      <c r="F2338" s="3" t="str">
        <f t="shared" si="0"/>
        <v>4 - Blanco/Nulo</v>
      </c>
      <c r="G2338" s="2">
        <v>62</v>
      </c>
      <c r="H2338" s="3"/>
    </row>
    <row r="2339" spans="1:8" ht="12.75" hidden="1" x14ac:dyDescent="0.2">
      <c r="A2339" s="3" t="s">
        <v>160</v>
      </c>
      <c r="B2339" s="2">
        <v>93</v>
      </c>
      <c r="C2339" s="4" t="s">
        <v>113</v>
      </c>
      <c r="D2339" s="3" t="s">
        <v>162</v>
      </c>
      <c r="E2339" s="3" t="s">
        <v>3</v>
      </c>
      <c r="F2339" s="3" t="str">
        <f t="shared" si="0"/>
        <v>1 - PJ</v>
      </c>
      <c r="G2339" s="2">
        <v>3191</v>
      </c>
      <c r="H2339" s="3"/>
    </row>
    <row r="2340" spans="1:8" ht="12.75" hidden="1" x14ac:dyDescent="0.2">
      <c r="A2340" s="3" t="s">
        <v>160</v>
      </c>
      <c r="B2340" s="2">
        <v>93</v>
      </c>
      <c r="C2340" s="4" t="s">
        <v>113</v>
      </c>
      <c r="D2340" s="3" t="s">
        <v>162</v>
      </c>
      <c r="E2340" s="3" t="s">
        <v>128</v>
      </c>
      <c r="F2340" s="3" t="str">
        <f t="shared" si="0"/>
        <v>2 - Frepam</v>
      </c>
      <c r="G2340" s="2">
        <v>2793</v>
      </c>
      <c r="H2340" s="3"/>
    </row>
    <row r="2341" spans="1:8" ht="12.75" hidden="1" x14ac:dyDescent="0.2">
      <c r="A2341" s="3" t="s">
        <v>160</v>
      </c>
      <c r="B2341" s="2">
        <v>93</v>
      </c>
      <c r="C2341" s="4" t="s">
        <v>113</v>
      </c>
      <c r="D2341" s="3" t="s">
        <v>162</v>
      </c>
      <c r="E2341" s="3" t="s">
        <v>14</v>
      </c>
      <c r="F2341" s="3" t="str">
        <f t="shared" si="0"/>
        <v>4 - Blanco/Nulo</v>
      </c>
      <c r="G2341" s="2">
        <v>1541</v>
      </c>
      <c r="H2341" s="3"/>
    </row>
    <row r="2342" spans="1:8" ht="12.75" hidden="1" x14ac:dyDescent="0.2">
      <c r="A2342" s="3" t="s">
        <v>160</v>
      </c>
      <c r="B2342" s="2">
        <v>93</v>
      </c>
      <c r="C2342" s="4" t="s">
        <v>113</v>
      </c>
      <c r="D2342" s="3" t="s">
        <v>162</v>
      </c>
      <c r="E2342" s="3" t="s">
        <v>133</v>
      </c>
      <c r="F2342" s="3" t="str">
        <f t="shared" si="0"/>
        <v>3 - Otros</v>
      </c>
      <c r="G2342" s="2">
        <v>683</v>
      </c>
      <c r="H2342" s="3"/>
    </row>
    <row r="2343" spans="1:8" ht="12.75" hidden="1" x14ac:dyDescent="0.2">
      <c r="A2343" s="3" t="s">
        <v>160</v>
      </c>
      <c r="B2343" s="2">
        <v>93</v>
      </c>
      <c r="C2343" s="4" t="s">
        <v>113</v>
      </c>
      <c r="D2343" s="3" t="s">
        <v>162</v>
      </c>
      <c r="E2343" s="3" t="s">
        <v>149</v>
      </c>
      <c r="F2343" s="3" t="str">
        <f t="shared" si="0"/>
        <v>3 - Otros</v>
      </c>
      <c r="G2343" s="2">
        <v>275</v>
      </c>
      <c r="H2343" s="3"/>
    </row>
    <row r="2344" spans="1:8" ht="12.75" hidden="1" x14ac:dyDescent="0.2">
      <c r="A2344" s="3" t="s">
        <v>160</v>
      </c>
      <c r="B2344" s="2">
        <v>93</v>
      </c>
      <c r="C2344" s="4" t="s">
        <v>113</v>
      </c>
      <c r="D2344" s="3" t="s">
        <v>162</v>
      </c>
      <c r="E2344" s="3" t="s">
        <v>148</v>
      </c>
      <c r="F2344" s="3" t="str">
        <f t="shared" si="0"/>
        <v>3 - Otros</v>
      </c>
      <c r="G2344" s="2">
        <v>118</v>
      </c>
      <c r="H2344" s="2">
        <f>SUM(G2339:G2348)</f>
        <v>8822</v>
      </c>
    </row>
    <row r="2345" spans="1:8" ht="12.75" hidden="1" x14ac:dyDescent="0.2">
      <c r="A2345" s="3" t="s">
        <v>160</v>
      </c>
      <c r="B2345" s="2">
        <v>93</v>
      </c>
      <c r="C2345" s="4" t="s">
        <v>113</v>
      </c>
      <c r="D2345" s="3" t="s">
        <v>162</v>
      </c>
      <c r="E2345" s="3" t="s">
        <v>139</v>
      </c>
      <c r="F2345" s="3" t="str">
        <f t="shared" si="0"/>
        <v>3 - Otros</v>
      </c>
      <c r="G2345" s="2">
        <v>77</v>
      </c>
      <c r="H2345" s="3"/>
    </row>
    <row r="2346" spans="1:8" ht="12.75" hidden="1" x14ac:dyDescent="0.2">
      <c r="A2346" s="3" t="s">
        <v>160</v>
      </c>
      <c r="B2346" s="2">
        <v>93</v>
      </c>
      <c r="C2346" s="4" t="s">
        <v>113</v>
      </c>
      <c r="D2346" s="3" t="s">
        <v>162</v>
      </c>
      <c r="E2346" s="3" t="s">
        <v>138</v>
      </c>
      <c r="F2346" s="3" t="str">
        <f t="shared" si="0"/>
        <v>4 - Blanco/Nulo</v>
      </c>
      <c r="G2346" s="2">
        <v>76</v>
      </c>
      <c r="H2346" s="3"/>
    </row>
    <row r="2347" spans="1:8" ht="12.75" hidden="1" x14ac:dyDescent="0.2">
      <c r="A2347" s="3" t="s">
        <v>160</v>
      </c>
      <c r="B2347" s="2">
        <v>93</v>
      </c>
      <c r="C2347" s="4" t="s">
        <v>113</v>
      </c>
      <c r="D2347" s="3" t="s">
        <v>162</v>
      </c>
      <c r="E2347" s="3" t="s">
        <v>145</v>
      </c>
      <c r="F2347" s="3" t="str">
        <f t="shared" si="0"/>
        <v>3 - Otros</v>
      </c>
      <c r="G2347" s="2">
        <v>40</v>
      </c>
      <c r="H2347" s="3"/>
    </row>
    <row r="2348" spans="1:8" ht="12.75" hidden="1" x14ac:dyDescent="0.2">
      <c r="A2348" s="3" t="s">
        <v>160</v>
      </c>
      <c r="B2348" s="2">
        <v>93</v>
      </c>
      <c r="C2348" s="4" t="s">
        <v>113</v>
      </c>
      <c r="D2348" s="3" t="s">
        <v>162</v>
      </c>
      <c r="E2348" s="3" t="s">
        <v>135</v>
      </c>
      <c r="F2348" s="3" t="str">
        <f t="shared" si="0"/>
        <v>3 - Otros</v>
      </c>
      <c r="G2348" s="2">
        <v>28</v>
      </c>
      <c r="H2348" s="3"/>
    </row>
    <row r="2349" spans="1:8" ht="12.75" hidden="1" x14ac:dyDescent="0.2">
      <c r="A2349" s="3" t="s">
        <v>160</v>
      </c>
      <c r="B2349" s="2">
        <v>94</v>
      </c>
      <c r="C2349" s="4" t="s">
        <v>114</v>
      </c>
      <c r="D2349" s="3" t="s">
        <v>2</v>
      </c>
      <c r="E2349" s="3" t="s">
        <v>128</v>
      </c>
      <c r="F2349" s="3" t="str">
        <f t="shared" si="0"/>
        <v>2 - Frepam</v>
      </c>
      <c r="G2349" s="2">
        <v>232</v>
      </c>
      <c r="H2349" s="3"/>
    </row>
    <row r="2350" spans="1:8" ht="12.75" hidden="1" x14ac:dyDescent="0.2">
      <c r="A2350" s="3" t="s">
        <v>160</v>
      </c>
      <c r="B2350" s="2">
        <v>94</v>
      </c>
      <c r="C2350" s="4" t="s">
        <v>114</v>
      </c>
      <c r="D2350" s="3" t="s">
        <v>2</v>
      </c>
      <c r="E2350" s="3" t="s">
        <v>136</v>
      </c>
      <c r="F2350" s="3" t="str">
        <f t="shared" si="0"/>
        <v>1 - PJ</v>
      </c>
      <c r="G2350" s="2">
        <v>201</v>
      </c>
      <c r="H2350" s="3"/>
    </row>
    <row r="2351" spans="1:8" ht="12.75" hidden="1" x14ac:dyDescent="0.2">
      <c r="A2351" s="3" t="s">
        <v>160</v>
      </c>
      <c r="B2351" s="2">
        <v>94</v>
      </c>
      <c r="C2351" s="4" t="s">
        <v>114</v>
      </c>
      <c r="D2351" s="3" t="s">
        <v>2</v>
      </c>
      <c r="E2351" s="3" t="s">
        <v>14</v>
      </c>
      <c r="F2351" s="3" t="str">
        <f t="shared" si="0"/>
        <v>4 - Blanco/Nulo</v>
      </c>
      <c r="G2351" s="2">
        <v>1</v>
      </c>
      <c r="H2351" s="3"/>
    </row>
    <row r="2352" spans="1:8" ht="12.75" hidden="1" x14ac:dyDescent="0.2">
      <c r="A2352" s="3" t="s">
        <v>160</v>
      </c>
      <c r="B2352" s="2">
        <v>94</v>
      </c>
      <c r="C2352" s="4" t="s">
        <v>114</v>
      </c>
      <c r="D2352" s="3" t="s">
        <v>2</v>
      </c>
      <c r="E2352" s="3" t="s">
        <v>138</v>
      </c>
      <c r="F2352" s="3" t="str">
        <f t="shared" si="0"/>
        <v>4 - Blanco/Nulo</v>
      </c>
      <c r="G2352" s="2">
        <v>1</v>
      </c>
      <c r="H2352" s="2">
        <f>SUM(G2349:G2352)</f>
        <v>435</v>
      </c>
    </row>
    <row r="2353" spans="1:8" ht="12.75" hidden="1" x14ac:dyDescent="0.2">
      <c r="A2353" s="3" t="s">
        <v>160</v>
      </c>
      <c r="B2353" s="2">
        <v>94</v>
      </c>
      <c r="C2353" s="4" t="s">
        <v>114</v>
      </c>
      <c r="D2353" s="3" t="s">
        <v>161</v>
      </c>
      <c r="E2353" s="3" t="s">
        <v>136</v>
      </c>
      <c r="F2353" s="3" t="str">
        <f t="shared" si="0"/>
        <v>1 - PJ</v>
      </c>
      <c r="G2353" s="2">
        <v>208</v>
      </c>
      <c r="H2353" s="3"/>
    </row>
    <row r="2354" spans="1:8" ht="12.75" hidden="1" x14ac:dyDescent="0.2">
      <c r="A2354" s="3" t="s">
        <v>160</v>
      </c>
      <c r="B2354" s="2">
        <v>94</v>
      </c>
      <c r="C2354" s="4" t="s">
        <v>114</v>
      </c>
      <c r="D2354" s="3" t="s">
        <v>161</v>
      </c>
      <c r="E2354" s="3" t="s">
        <v>128</v>
      </c>
      <c r="F2354" s="3" t="str">
        <f t="shared" si="0"/>
        <v>2 - Frepam</v>
      </c>
      <c r="G2354" s="2">
        <v>174</v>
      </c>
      <c r="H2354" s="3"/>
    </row>
    <row r="2355" spans="1:8" ht="12.75" hidden="1" x14ac:dyDescent="0.2">
      <c r="A2355" s="3" t="s">
        <v>160</v>
      </c>
      <c r="B2355" s="2">
        <v>94</v>
      </c>
      <c r="C2355" s="4" t="s">
        <v>114</v>
      </c>
      <c r="D2355" s="3" t="s">
        <v>161</v>
      </c>
      <c r="E2355" s="3" t="s">
        <v>14</v>
      </c>
      <c r="F2355" s="3" t="str">
        <f t="shared" si="0"/>
        <v>4 - Blanco/Nulo</v>
      </c>
      <c r="G2355" s="2">
        <v>28</v>
      </c>
      <c r="H2355" s="3"/>
    </row>
    <row r="2356" spans="1:8" ht="12.75" hidden="1" x14ac:dyDescent="0.2">
      <c r="A2356" s="3" t="s">
        <v>160</v>
      </c>
      <c r="B2356" s="2">
        <v>94</v>
      </c>
      <c r="C2356" s="4" t="s">
        <v>114</v>
      </c>
      <c r="D2356" s="3" t="s">
        <v>161</v>
      </c>
      <c r="E2356" s="3" t="s">
        <v>133</v>
      </c>
      <c r="F2356" s="3" t="str">
        <f t="shared" si="0"/>
        <v>3 - Otros</v>
      </c>
      <c r="G2356" s="2">
        <v>12</v>
      </c>
      <c r="H2356" s="3"/>
    </row>
    <row r="2357" spans="1:8" ht="12.75" hidden="1" x14ac:dyDescent="0.2">
      <c r="A2357" s="3" t="s">
        <v>160</v>
      </c>
      <c r="B2357" s="2">
        <v>94</v>
      </c>
      <c r="C2357" s="4" t="s">
        <v>114</v>
      </c>
      <c r="D2357" s="3" t="s">
        <v>161</v>
      </c>
      <c r="E2357" s="3" t="s">
        <v>138</v>
      </c>
      <c r="F2357" s="3" t="str">
        <f t="shared" si="0"/>
        <v>4 - Blanco/Nulo</v>
      </c>
      <c r="G2357" s="2">
        <v>7</v>
      </c>
      <c r="H2357" s="3"/>
    </row>
    <row r="2358" spans="1:8" ht="12.75" hidden="1" x14ac:dyDescent="0.2">
      <c r="A2358" s="3" t="s">
        <v>160</v>
      </c>
      <c r="B2358" s="2">
        <v>94</v>
      </c>
      <c r="C2358" s="4" t="s">
        <v>114</v>
      </c>
      <c r="D2358" s="3" t="s">
        <v>161</v>
      </c>
      <c r="E2358" s="3" t="s">
        <v>139</v>
      </c>
      <c r="F2358" s="3" t="str">
        <f t="shared" si="0"/>
        <v>3 - Otros</v>
      </c>
      <c r="G2358" s="2">
        <v>4</v>
      </c>
      <c r="H2358" s="3"/>
    </row>
    <row r="2359" spans="1:8" ht="12.75" hidden="1" x14ac:dyDescent="0.2">
      <c r="A2359" s="3" t="s">
        <v>160</v>
      </c>
      <c r="B2359" s="2">
        <v>94</v>
      </c>
      <c r="C2359" s="4" t="s">
        <v>114</v>
      </c>
      <c r="D2359" s="3" t="s">
        <v>161</v>
      </c>
      <c r="E2359" s="3" t="s">
        <v>149</v>
      </c>
      <c r="F2359" s="3" t="str">
        <f t="shared" si="0"/>
        <v>3 - Otros</v>
      </c>
      <c r="G2359" s="2">
        <v>2</v>
      </c>
      <c r="H2359" s="2">
        <f>SUM(G2353:G2359)</f>
        <v>435</v>
      </c>
    </row>
    <row r="2360" spans="1:8" ht="12.75" hidden="1" x14ac:dyDescent="0.2">
      <c r="A2360" s="3" t="s">
        <v>160</v>
      </c>
      <c r="B2360" s="2">
        <v>94</v>
      </c>
      <c r="C2360" s="4" t="s">
        <v>114</v>
      </c>
      <c r="D2360" s="3" t="s">
        <v>162</v>
      </c>
      <c r="E2360" s="3" t="s">
        <v>136</v>
      </c>
      <c r="F2360" s="3" t="str">
        <f t="shared" si="0"/>
        <v>1 - PJ</v>
      </c>
      <c r="G2360" s="2">
        <v>231</v>
      </c>
      <c r="H2360" s="3"/>
    </row>
    <row r="2361" spans="1:8" ht="12.75" hidden="1" x14ac:dyDescent="0.2">
      <c r="A2361" s="3" t="s">
        <v>160</v>
      </c>
      <c r="B2361" s="2">
        <v>94</v>
      </c>
      <c r="C2361" s="4" t="s">
        <v>114</v>
      </c>
      <c r="D2361" s="3" t="s">
        <v>162</v>
      </c>
      <c r="E2361" s="3" t="s">
        <v>128</v>
      </c>
      <c r="F2361" s="3" t="str">
        <f t="shared" si="0"/>
        <v>2 - Frepam</v>
      </c>
      <c r="G2361" s="2">
        <v>164</v>
      </c>
      <c r="H2361" s="3"/>
    </row>
    <row r="2362" spans="1:8" ht="12.75" hidden="1" x14ac:dyDescent="0.2">
      <c r="A2362" s="3" t="s">
        <v>160</v>
      </c>
      <c r="B2362" s="2">
        <v>94</v>
      </c>
      <c r="C2362" s="4" t="s">
        <v>114</v>
      </c>
      <c r="D2362" s="3" t="s">
        <v>162</v>
      </c>
      <c r="E2362" s="3" t="s">
        <v>133</v>
      </c>
      <c r="F2362" s="3" t="str">
        <f t="shared" si="0"/>
        <v>3 - Otros</v>
      </c>
      <c r="G2362" s="2">
        <v>19</v>
      </c>
      <c r="H2362" s="3"/>
    </row>
    <row r="2363" spans="1:8" ht="12.75" hidden="1" x14ac:dyDescent="0.2">
      <c r="A2363" s="3" t="s">
        <v>160</v>
      </c>
      <c r="B2363" s="2">
        <v>94</v>
      </c>
      <c r="C2363" s="4" t="s">
        <v>114</v>
      </c>
      <c r="D2363" s="3" t="s">
        <v>162</v>
      </c>
      <c r="E2363" s="3" t="s">
        <v>14</v>
      </c>
      <c r="F2363" s="3" t="str">
        <f t="shared" si="0"/>
        <v>4 - Blanco/Nulo</v>
      </c>
      <c r="G2363" s="2">
        <v>9</v>
      </c>
      <c r="H2363" s="3"/>
    </row>
    <row r="2364" spans="1:8" ht="12.75" hidden="1" x14ac:dyDescent="0.2">
      <c r="A2364" s="3" t="s">
        <v>160</v>
      </c>
      <c r="B2364" s="2">
        <v>94</v>
      </c>
      <c r="C2364" s="4" t="s">
        <v>114</v>
      </c>
      <c r="D2364" s="3" t="s">
        <v>162</v>
      </c>
      <c r="E2364" s="3" t="s">
        <v>138</v>
      </c>
      <c r="F2364" s="3" t="str">
        <f t="shared" si="0"/>
        <v>4 - Blanco/Nulo</v>
      </c>
      <c r="G2364" s="2">
        <v>8</v>
      </c>
      <c r="H2364" s="3"/>
    </row>
    <row r="2365" spans="1:8" ht="12.75" hidden="1" x14ac:dyDescent="0.2">
      <c r="A2365" s="3" t="s">
        <v>160</v>
      </c>
      <c r="B2365" s="2">
        <v>94</v>
      </c>
      <c r="C2365" s="4" t="s">
        <v>114</v>
      </c>
      <c r="D2365" s="3" t="s">
        <v>162</v>
      </c>
      <c r="E2365" s="3" t="s">
        <v>149</v>
      </c>
      <c r="F2365" s="3" t="str">
        <f t="shared" si="0"/>
        <v>3 - Otros</v>
      </c>
      <c r="G2365" s="2">
        <v>2</v>
      </c>
      <c r="H2365" s="3"/>
    </row>
    <row r="2366" spans="1:8" ht="12.75" hidden="1" x14ac:dyDescent="0.2">
      <c r="A2366" s="3" t="s">
        <v>160</v>
      </c>
      <c r="B2366" s="2">
        <v>94</v>
      </c>
      <c r="C2366" s="4" t="s">
        <v>114</v>
      </c>
      <c r="D2366" s="3" t="s">
        <v>162</v>
      </c>
      <c r="E2366" s="3" t="s">
        <v>139</v>
      </c>
      <c r="F2366" s="3" t="str">
        <f t="shared" si="0"/>
        <v>3 - Otros</v>
      </c>
      <c r="G2366" s="2">
        <v>2</v>
      </c>
      <c r="H2366" s="2">
        <f>SUM(G2360:G2366)</f>
        <v>435</v>
      </c>
    </row>
    <row r="2367" spans="1:8" ht="12.75" hidden="1" x14ac:dyDescent="0.2">
      <c r="A2367" s="3" t="s">
        <v>160</v>
      </c>
      <c r="B2367" s="2">
        <v>95</v>
      </c>
      <c r="C2367" s="4" t="s">
        <v>115</v>
      </c>
      <c r="D2367" s="3" t="s">
        <v>15</v>
      </c>
      <c r="E2367" s="3" t="s">
        <v>128</v>
      </c>
      <c r="F2367" s="3" t="str">
        <f t="shared" si="0"/>
        <v>2 - Frepam</v>
      </c>
      <c r="G2367" s="2">
        <v>66</v>
      </c>
      <c r="H2367" s="3"/>
    </row>
    <row r="2368" spans="1:8" ht="12.75" hidden="1" x14ac:dyDescent="0.2">
      <c r="A2368" s="3" t="s">
        <v>160</v>
      </c>
      <c r="B2368" s="2">
        <v>95</v>
      </c>
      <c r="C2368" s="4" t="s">
        <v>115</v>
      </c>
      <c r="D2368" s="3" t="s">
        <v>15</v>
      </c>
      <c r="E2368" s="3" t="s">
        <v>136</v>
      </c>
      <c r="F2368" s="3" t="str">
        <f t="shared" si="0"/>
        <v>1 - PJ</v>
      </c>
      <c r="G2368" s="2">
        <v>39</v>
      </c>
      <c r="H2368" s="3"/>
    </row>
    <row r="2369" spans="1:8" ht="12.75" hidden="1" x14ac:dyDescent="0.2">
      <c r="A2369" s="3" t="s">
        <v>160</v>
      </c>
      <c r="B2369" s="2">
        <v>95</v>
      </c>
      <c r="C2369" s="4" t="s">
        <v>115</v>
      </c>
      <c r="D2369" s="3" t="s">
        <v>15</v>
      </c>
      <c r="E2369" s="3" t="s">
        <v>14</v>
      </c>
      <c r="F2369" s="3" t="str">
        <f t="shared" si="0"/>
        <v>4 - Blanco/Nulo</v>
      </c>
      <c r="G2369" s="2">
        <v>1</v>
      </c>
      <c r="H2369" s="2">
        <f>SUM(G2367:G2369)</f>
        <v>106</v>
      </c>
    </row>
    <row r="2370" spans="1:8" ht="12.75" hidden="1" x14ac:dyDescent="0.2">
      <c r="A2370" s="3" t="s">
        <v>160</v>
      </c>
      <c r="B2370" s="2">
        <v>95</v>
      </c>
      <c r="C2370" s="4" t="s">
        <v>115</v>
      </c>
      <c r="D2370" s="3" t="s">
        <v>161</v>
      </c>
      <c r="E2370" s="3" t="s">
        <v>128</v>
      </c>
      <c r="F2370" s="3" t="str">
        <f t="shared" si="0"/>
        <v>2 - Frepam</v>
      </c>
      <c r="G2370" s="2">
        <v>65</v>
      </c>
      <c r="H2370" s="3"/>
    </row>
    <row r="2371" spans="1:8" ht="12.75" hidden="1" x14ac:dyDescent="0.2">
      <c r="A2371" s="3" t="s">
        <v>160</v>
      </c>
      <c r="B2371" s="2">
        <v>95</v>
      </c>
      <c r="C2371" s="4" t="s">
        <v>115</v>
      </c>
      <c r="D2371" s="3" t="s">
        <v>161</v>
      </c>
      <c r="E2371" s="3" t="s">
        <v>136</v>
      </c>
      <c r="F2371" s="3" t="str">
        <f t="shared" si="0"/>
        <v>1 - PJ</v>
      </c>
      <c r="G2371" s="2">
        <v>39</v>
      </c>
      <c r="H2371" s="3"/>
    </row>
    <row r="2372" spans="1:8" ht="12.75" hidden="1" x14ac:dyDescent="0.2">
      <c r="A2372" s="3" t="s">
        <v>160</v>
      </c>
      <c r="B2372" s="2">
        <v>95</v>
      </c>
      <c r="C2372" s="4" t="s">
        <v>115</v>
      </c>
      <c r="D2372" s="3" t="s">
        <v>161</v>
      </c>
      <c r="E2372" s="3" t="s">
        <v>145</v>
      </c>
      <c r="F2372" s="3" t="str">
        <f t="shared" si="0"/>
        <v>3 - Otros</v>
      </c>
      <c r="G2372" s="2">
        <v>1</v>
      </c>
      <c r="H2372" s="3"/>
    </row>
    <row r="2373" spans="1:8" ht="12.75" hidden="1" x14ac:dyDescent="0.2">
      <c r="A2373" s="3" t="s">
        <v>160</v>
      </c>
      <c r="B2373" s="2">
        <v>95</v>
      </c>
      <c r="C2373" s="4" t="s">
        <v>115</v>
      </c>
      <c r="D2373" s="3" t="s">
        <v>161</v>
      </c>
      <c r="E2373" s="3" t="s">
        <v>14</v>
      </c>
      <c r="F2373" s="3" t="str">
        <f t="shared" si="0"/>
        <v>4 - Blanco/Nulo</v>
      </c>
      <c r="G2373" s="2">
        <v>1</v>
      </c>
      <c r="H2373" s="2">
        <f>SUM(G2370:G2373)</f>
        <v>106</v>
      </c>
    </row>
    <row r="2374" spans="1:8" ht="12.75" hidden="1" x14ac:dyDescent="0.2">
      <c r="A2374" s="3" t="s">
        <v>160</v>
      </c>
      <c r="B2374" s="2">
        <v>95</v>
      </c>
      <c r="C2374" s="4" t="s">
        <v>115</v>
      </c>
      <c r="D2374" s="3" t="s">
        <v>162</v>
      </c>
      <c r="E2374" s="3" t="s">
        <v>128</v>
      </c>
      <c r="F2374" s="3" t="str">
        <f t="shared" si="0"/>
        <v>2 - Frepam</v>
      </c>
      <c r="G2374" s="2">
        <v>63</v>
      </c>
      <c r="H2374" s="3"/>
    </row>
    <row r="2375" spans="1:8" ht="12.75" hidden="1" x14ac:dyDescent="0.2">
      <c r="A2375" s="3" t="s">
        <v>160</v>
      </c>
      <c r="B2375" s="2">
        <v>95</v>
      </c>
      <c r="C2375" s="4" t="s">
        <v>115</v>
      </c>
      <c r="D2375" s="3" t="s">
        <v>162</v>
      </c>
      <c r="E2375" s="3" t="s">
        <v>136</v>
      </c>
      <c r="F2375" s="3" t="str">
        <f t="shared" si="0"/>
        <v>1 - PJ</v>
      </c>
      <c r="G2375" s="2">
        <v>39</v>
      </c>
      <c r="H2375" s="3"/>
    </row>
    <row r="2376" spans="1:8" ht="12.75" hidden="1" x14ac:dyDescent="0.2">
      <c r="A2376" s="3" t="s">
        <v>160</v>
      </c>
      <c r="B2376" s="2">
        <v>95</v>
      </c>
      <c r="C2376" s="4" t="s">
        <v>115</v>
      </c>
      <c r="D2376" s="3" t="s">
        <v>162</v>
      </c>
      <c r="E2376" s="3" t="s">
        <v>133</v>
      </c>
      <c r="F2376" s="3" t="str">
        <f t="shared" si="0"/>
        <v>3 - Otros</v>
      </c>
      <c r="G2376" s="2">
        <v>2</v>
      </c>
      <c r="H2376" s="3"/>
    </row>
    <row r="2377" spans="1:8" ht="12.75" hidden="1" x14ac:dyDescent="0.2">
      <c r="A2377" s="3" t="s">
        <v>160</v>
      </c>
      <c r="B2377" s="2">
        <v>95</v>
      </c>
      <c r="C2377" s="4" t="s">
        <v>115</v>
      </c>
      <c r="D2377" s="3" t="s">
        <v>162</v>
      </c>
      <c r="E2377" s="3" t="s">
        <v>145</v>
      </c>
      <c r="F2377" s="3" t="str">
        <f t="shared" si="0"/>
        <v>3 - Otros</v>
      </c>
      <c r="G2377" s="2">
        <v>1</v>
      </c>
      <c r="H2377" s="3"/>
    </row>
    <row r="2378" spans="1:8" ht="12.75" hidden="1" x14ac:dyDescent="0.2">
      <c r="A2378" s="3" t="s">
        <v>160</v>
      </c>
      <c r="B2378" s="2">
        <v>95</v>
      </c>
      <c r="C2378" s="4" t="s">
        <v>115</v>
      </c>
      <c r="D2378" s="3" t="s">
        <v>162</v>
      </c>
      <c r="E2378" s="3" t="s">
        <v>14</v>
      </c>
      <c r="F2378" s="3" t="str">
        <f t="shared" si="0"/>
        <v>4 - Blanco/Nulo</v>
      </c>
      <c r="G2378" s="2">
        <v>1</v>
      </c>
      <c r="H2378" s="2">
        <f>SUM(G2374:G2378)</f>
        <v>106</v>
      </c>
    </row>
    <row r="2379" spans="1:8" ht="12.75" hidden="1" x14ac:dyDescent="0.2">
      <c r="A2379" s="3" t="s">
        <v>176</v>
      </c>
      <c r="B2379" s="3">
        <v>1</v>
      </c>
      <c r="C2379" s="4" t="s">
        <v>12</v>
      </c>
      <c r="D2379" s="3" t="s">
        <v>125</v>
      </c>
      <c r="E2379" s="3" t="s">
        <v>3</v>
      </c>
      <c r="F2379" s="3" t="str">
        <f t="shared" si="0"/>
        <v>1 - PJ</v>
      </c>
      <c r="G2379" s="3">
        <v>418</v>
      </c>
      <c r="H2379" s="2"/>
    </row>
    <row r="2380" spans="1:8" ht="12.75" hidden="1" x14ac:dyDescent="0.2">
      <c r="A2380" s="3" t="s">
        <v>176</v>
      </c>
      <c r="B2380" s="3">
        <v>1</v>
      </c>
      <c r="C2380" s="4" t="s">
        <v>12</v>
      </c>
      <c r="D2380" s="3" t="s">
        <v>125</v>
      </c>
      <c r="E2380" s="3" t="s">
        <v>16</v>
      </c>
      <c r="F2380" s="3" t="str">
        <f t="shared" si="0"/>
        <v>3 - Otros</v>
      </c>
      <c r="G2380" s="3">
        <v>15</v>
      </c>
      <c r="H2380" s="2"/>
    </row>
    <row r="2381" spans="1:8" ht="12.75" hidden="1" x14ac:dyDescent="0.2">
      <c r="A2381" s="3" t="s">
        <v>176</v>
      </c>
      <c r="B2381" s="3">
        <v>1</v>
      </c>
      <c r="C2381" s="4" t="s">
        <v>12</v>
      </c>
      <c r="D2381" s="3" t="s">
        <v>125</v>
      </c>
      <c r="E2381" s="3" t="s">
        <v>129</v>
      </c>
      <c r="F2381" s="3" t="str">
        <f t="shared" si="0"/>
        <v>3 - Otros</v>
      </c>
      <c r="G2381" s="3">
        <v>9</v>
      </c>
      <c r="H2381" s="2"/>
    </row>
    <row r="2382" spans="1:8" ht="12.75" hidden="1" x14ac:dyDescent="0.2">
      <c r="A2382" s="3" t="s">
        <v>176</v>
      </c>
      <c r="B2382" s="3">
        <v>1</v>
      </c>
      <c r="C2382" s="4" t="s">
        <v>12</v>
      </c>
      <c r="D2382" s="3" t="s">
        <v>125</v>
      </c>
      <c r="E2382" s="3" t="s">
        <v>132</v>
      </c>
      <c r="F2382" s="3" t="str">
        <f t="shared" si="0"/>
        <v>2 - Frepam</v>
      </c>
      <c r="G2382" s="3">
        <v>13</v>
      </c>
      <c r="H2382" s="2"/>
    </row>
    <row r="2383" spans="1:8" ht="12.75" hidden="1" x14ac:dyDescent="0.2">
      <c r="A2383" s="3" t="s">
        <v>176</v>
      </c>
      <c r="B2383" s="3">
        <v>1</v>
      </c>
      <c r="C2383" s="4" t="s">
        <v>12</v>
      </c>
      <c r="D2383" s="3" t="s">
        <v>125</v>
      </c>
      <c r="E2383" s="3" t="s">
        <v>134</v>
      </c>
      <c r="F2383" s="3" t="str">
        <f t="shared" si="0"/>
        <v>3 - Otros</v>
      </c>
      <c r="G2383" s="3">
        <v>14</v>
      </c>
      <c r="H2383" s="2"/>
    </row>
    <row r="2384" spans="1:8" ht="12.75" hidden="1" x14ac:dyDescent="0.2">
      <c r="A2384" s="3" t="s">
        <v>176</v>
      </c>
      <c r="B2384" s="3">
        <v>1</v>
      </c>
      <c r="C2384" s="4" t="s">
        <v>12</v>
      </c>
      <c r="D2384" s="3" t="s">
        <v>125</v>
      </c>
      <c r="E2384" s="3" t="s">
        <v>152</v>
      </c>
      <c r="F2384" s="3" t="str">
        <f t="shared" si="0"/>
        <v>2 - Frepam</v>
      </c>
      <c r="G2384" s="3">
        <v>544</v>
      </c>
      <c r="H2384" s="2"/>
    </row>
    <row r="2385" spans="1:8" ht="12.75" hidden="1" x14ac:dyDescent="0.2">
      <c r="A2385" s="3" t="s">
        <v>176</v>
      </c>
      <c r="B2385" s="3">
        <v>1</v>
      </c>
      <c r="C2385" s="4" t="s">
        <v>12</v>
      </c>
      <c r="D2385" s="3" t="s">
        <v>125</v>
      </c>
      <c r="E2385" s="3" t="s">
        <v>138</v>
      </c>
      <c r="F2385" s="3" t="str">
        <f t="shared" si="0"/>
        <v>4 - Blanco/Nulo</v>
      </c>
      <c r="G2385" s="3">
        <v>81</v>
      </c>
      <c r="H2385" s="2"/>
    </row>
    <row r="2386" spans="1:8" ht="12.75" hidden="1" x14ac:dyDescent="0.2">
      <c r="A2386" s="3" t="s">
        <v>176</v>
      </c>
      <c r="B2386" s="3">
        <v>1</v>
      </c>
      <c r="C2386" s="4" t="s">
        <v>12</v>
      </c>
      <c r="D2386" s="3" t="s">
        <v>125</v>
      </c>
      <c r="E2386" s="3" t="s">
        <v>14</v>
      </c>
      <c r="F2386" s="3" t="str">
        <f t="shared" si="0"/>
        <v>4 - Blanco/Nulo</v>
      </c>
      <c r="G2386" s="3">
        <v>27</v>
      </c>
      <c r="H2386" s="2"/>
    </row>
    <row r="2387" spans="1:8" ht="12.75" hidden="1" x14ac:dyDescent="0.2">
      <c r="A2387" s="3" t="s">
        <v>176</v>
      </c>
      <c r="B2387" s="3">
        <v>2</v>
      </c>
      <c r="C2387" s="4" t="s">
        <v>25</v>
      </c>
      <c r="D2387" s="3" t="s">
        <v>125</v>
      </c>
      <c r="E2387" s="3" t="s">
        <v>3</v>
      </c>
      <c r="F2387" s="3" t="str">
        <f t="shared" si="0"/>
        <v>1 - PJ</v>
      </c>
      <c r="G2387" s="3">
        <v>1490</v>
      </c>
      <c r="H2387" s="2"/>
    </row>
    <row r="2388" spans="1:8" ht="12.75" hidden="1" x14ac:dyDescent="0.2">
      <c r="A2388" s="3" t="s">
        <v>176</v>
      </c>
      <c r="B2388" s="3">
        <v>2</v>
      </c>
      <c r="C2388" s="4" t="s">
        <v>25</v>
      </c>
      <c r="D2388" s="3" t="s">
        <v>125</v>
      </c>
      <c r="E2388" s="3" t="s">
        <v>16</v>
      </c>
      <c r="F2388" s="3" t="str">
        <f t="shared" si="0"/>
        <v>3 - Otros</v>
      </c>
      <c r="G2388" s="3">
        <v>35</v>
      </c>
      <c r="H2388" s="2"/>
    </row>
    <row r="2389" spans="1:8" ht="12.75" hidden="1" x14ac:dyDescent="0.2">
      <c r="A2389" s="3" t="s">
        <v>176</v>
      </c>
      <c r="B2389" s="3">
        <v>2</v>
      </c>
      <c r="C2389" s="4" t="s">
        <v>25</v>
      </c>
      <c r="D2389" s="3" t="s">
        <v>125</v>
      </c>
      <c r="E2389" s="3" t="s">
        <v>129</v>
      </c>
      <c r="F2389" s="3" t="str">
        <f t="shared" si="0"/>
        <v>3 - Otros</v>
      </c>
      <c r="G2389" s="3">
        <v>24</v>
      </c>
      <c r="H2389" s="2"/>
    </row>
    <row r="2390" spans="1:8" ht="12.75" hidden="1" x14ac:dyDescent="0.2">
      <c r="A2390" s="3" t="s">
        <v>176</v>
      </c>
      <c r="B2390" s="3">
        <v>2</v>
      </c>
      <c r="C2390" s="4" t="s">
        <v>25</v>
      </c>
      <c r="D2390" s="3" t="s">
        <v>125</v>
      </c>
      <c r="E2390" s="3" t="s">
        <v>132</v>
      </c>
      <c r="F2390" s="3" t="str">
        <f t="shared" si="0"/>
        <v>2 - Frepam</v>
      </c>
      <c r="G2390" s="3">
        <v>48</v>
      </c>
      <c r="H2390" s="2"/>
    </row>
    <row r="2391" spans="1:8" ht="12.75" hidden="1" x14ac:dyDescent="0.2">
      <c r="A2391" s="3" t="s">
        <v>176</v>
      </c>
      <c r="B2391" s="3">
        <v>2</v>
      </c>
      <c r="C2391" s="4" t="s">
        <v>25</v>
      </c>
      <c r="D2391" s="3" t="s">
        <v>125</v>
      </c>
      <c r="E2391" s="3" t="s">
        <v>134</v>
      </c>
      <c r="F2391" s="3" t="str">
        <f t="shared" si="0"/>
        <v>3 - Otros</v>
      </c>
      <c r="G2391" s="3">
        <v>51</v>
      </c>
      <c r="H2391" s="2"/>
    </row>
    <row r="2392" spans="1:8" ht="12.75" hidden="1" x14ac:dyDescent="0.2">
      <c r="A2392" s="3" t="s">
        <v>176</v>
      </c>
      <c r="B2392" s="3">
        <v>2</v>
      </c>
      <c r="C2392" s="4" t="s">
        <v>25</v>
      </c>
      <c r="D2392" s="3" t="s">
        <v>125</v>
      </c>
      <c r="E2392" s="3" t="s">
        <v>152</v>
      </c>
      <c r="F2392" s="3" t="str">
        <f t="shared" si="0"/>
        <v>2 - Frepam</v>
      </c>
      <c r="G2392" s="3">
        <v>1846</v>
      </c>
      <c r="H2392" s="2"/>
    </row>
    <row r="2393" spans="1:8" ht="12.75" hidden="1" x14ac:dyDescent="0.2">
      <c r="A2393" s="3" t="s">
        <v>176</v>
      </c>
      <c r="B2393" s="3">
        <v>2</v>
      </c>
      <c r="C2393" s="4" t="s">
        <v>25</v>
      </c>
      <c r="D2393" s="3" t="s">
        <v>125</v>
      </c>
      <c r="E2393" s="3" t="s">
        <v>138</v>
      </c>
      <c r="F2393" s="3" t="str">
        <f t="shared" si="0"/>
        <v>4 - Blanco/Nulo</v>
      </c>
      <c r="G2393" s="3">
        <v>132</v>
      </c>
      <c r="H2393" s="2"/>
    </row>
    <row r="2394" spans="1:8" ht="12.75" hidden="1" x14ac:dyDescent="0.2">
      <c r="A2394" s="3" t="s">
        <v>176</v>
      </c>
      <c r="B2394" s="3">
        <v>2</v>
      </c>
      <c r="C2394" s="4" t="s">
        <v>25</v>
      </c>
      <c r="D2394" s="3" t="s">
        <v>125</v>
      </c>
      <c r="E2394" s="3" t="s">
        <v>14</v>
      </c>
      <c r="F2394" s="3" t="str">
        <f t="shared" si="0"/>
        <v>4 - Blanco/Nulo</v>
      </c>
      <c r="G2394" s="3">
        <v>40</v>
      </c>
      <c r="H2394" s="2"/>
    </row>
    <row r="2395" spans="1:8" ht="12.75" hidden="1" x14ac:dyDescent="0.2">
      <c r="A2395" s="3" t="s">
        <v>176</v>
      </c>
      <c r="B2395" s="3">
        <v>3</v>
      </c>
      <c r="C2395" s="4" t="s">
        <v>35</v>
      </c>
      <c r="D2395" s="3" t="s">
        <v>125</v>
      </c>
      <c r="E2395" s="3" t="s">
        <v>3</v>
      </c>
      <c r="F2395" s="3" t="str">
        <f t="shared" si="0"/>
        <v>1 - PJ</v>
      </c>
      <c r="G2395" s="3">
        <v>902</v>
      </c>
      <c r="H2395" s="2"/>
    </row>
    <row r="2396" spans="1:8" ht="12.75" hidden="1" x14ac:dyDescent="0.2">
      <c r="A2396" s="3" t="s">
        <v>176</v>
      </c>
      <c r="B2396" s="3">
        <v>3</v>
      </c>
      <c r="C2396" s="4" t="s">
        <v>35</v>
      </c>
      <c r="D2396" s="3" t="s">
        <v>125</v>
      </c>
      <c r="E2396" s="3" t="s">
        <v>16</v>
      </c>
      <c r="F2396" s="3" t="str">
        <f t="shared" si="0"/>
        <v>3 - Otros</v>
      </c>
      <c r="G2396" s="3">
        <v>9</v>
      </c>
      <c r="H2396" s="2"/>
    </row>
    <row r="2397" spans="1:8" ht="12.75" hidden="1" x14ac:dyDescent="0.2">
      <c r="A2397" s="3" t="s">
        <v>176</v>
      </c>
      <c r="B2397" s="3">
        <v>3</v>
      </c>
      <c r="C2397" s="4" t="s">
        <v>35</v>
      </c>
      <c r="D2397" s="3" t="s">
        <v>125</v>
      </c>
      <c r="E2397" s="3" t="s">
        <v>129</v>
      </c>
      <c r="F2397" s="3" t="str">
        <f t="shared" si="0"/>
        <v>3 - Otros</v>
      </c>
      <c r="G2397" s="3">
        <v>8</v>
      </c>
      <c r="H2397" s="2"/>
    </row>
    <row r="2398" spans="1:8" ht="12.75" hidden="1" x14ac:dyDescent="0.2">
      <c r="A2398" s="3" t="s">
        <v>176</v>
      </c>
      <c r="B2398" s="3">
        <v>3</v>
      </c>
      <c r="C2398" s="4" t="s">
        <v>35</v>
      </c>
      <c r="D2398" s="3" t="s">
        <v>125</v>
      </c>
      <c r="E2398" s="3" t="s">
        <v>132</v>
      </c>
      <c r="F2398" s="3" t="str">
        <f t="shared" si="0"/>
        <v>2 - Frepam</v>
      </c>
      <c r="G2398" s="3">
        <v>13</v>
      </c>
      <c r="H2398" s="2"/>
    </row>
    <row r="2399" spans="1:8" ht="12.75" hidden="1" x14ac:dyDescent="0.2">
      <c r="A2399" s="3" t="s">
        <v>176</v>
      </c>
      <c r="B2399" s="3">
        <v>3</v>
      </c>
      <c r="C2399" s="4" t="s">
        <v>35</v>
      </c>
      <c r="D2399" s="3" t="s">
        <v>125</v>
      </c>
      <c r="E2399" s="3" t="s">
        <v>134</v>
      </c>
      <c r="F2399" s="3" t="str">
        <f t="shared" si="0"/>
        <v>3 - Otros</v>
      </c>
      <c r="G2399" s="3">
        <v>13</v>
      </c>
      <c r="H2399" s="2"/>
    </row>
    <row r="2400" spans="1:8" ht="12.75" hidden="1" x14ac:dyDescent="0.2">
      <c r="A2400" s="3" t="s">
        <v>176</v>
      </c>
      <c r="B2400" s="3">
        <v>3</v>
      </c>
      <c r="C2400" s="4" t="s">
        <v>35</v>
      </c>
      <c r="D2400" s="3" t="s">
        <v>125</v>
      </c>
      <c r="E2400" s="3" t="s">
        <v>152</v>
      </c>
      <c r="F2400" s="3" t="str">
        <f t="shared" si="0"/>
        <v>2 - Frepam</v>
      </c>
      <c r="G2400" s="3">
        <v>666</v>
      </c>
      <c r="H2400" s="2"/>
    </row>
    <row r="2401" spans="1:8" ht="12.75" hidden="1" x14ac:dyDescent="0.2">
      <c r="A2401" s="3" t="s">
        <v>176</v>
      </c>
      <c r="B2401" s="3">
        <v>3</v>
      </c>
      <c r="C2401" s="4" t="s">
        <v>35</v>
      </c>
      <c r="D2401" s="3" t="s">
        <v>125</v>
      </c>
      <c r="E2401" s="3" t="s">
        <v>138</v>
      </c>
      <c r="F2401" s="3" t="str">
        <f t="shared" si="0"/>
        <v>4 - Blanco/Nulo</v>
      </c>
      <c r="G2401" s="3">
        <v>42</v>
      </c>
      <c r="H2401" s="2"/>
    </row>
    <row r="2402" spans="1:8" ht="12.75" hidden="1" x14ac:dyDescent="0.2">
      <c r="A2402" s="3" t="s">
        <v>176</v>
      </c>
      <c r="B2402" s="3">
        <v>3</v>
      </c>
      <c r="C2402" s="4" t="s">
        <v>35</v>
      </c>
      <c r="D2402" s="3" t="s">
        <v>125</v>
      </c>
      <c r="E2402" s="3" t="s">
        <v>14</v>
      </c>
      <c r="F2402" s="3" t="str">
        <f t="shared" si="0"/>
        <v>4 - Blanco/Nulo</v>
      </c>
      <c r="G2402" s="3">
        <v>28</v>
      </c>
      <c r="H2402" s="2"/>
    </row>
    <row r="2403" spans="1:8" ht="12.75" hidden="1" x14ac:dyDescent="0.2">
      <c r="A2403" s="3" t="s">
        <v>176</v>
      </c>
      <c r="B2403" s="3">
        <v>4</v>
      </c>
      <c r="C2403" s="4" t="s">
        <v>36</v>
      </c>
      <c r="D2403" s="3" t="s">
        <v>125</v>
      </c>
      <c r="E2403" s="3" t="s">
        <v>3</v>
      </c>
      <c r="F2403" s="3" t="str">
        <f t="shared" si="0"/>
        <v>1 - PJ</v>
      </c>
      <c r="G2403" s="3">
        <v>280</v>
      </c>
      <c r="H2403" s="2"/>
    </row>
    <row r="2404" spans="1:8" ht="12.75" hidden="1" x14ac:dyDescent="0.2">
      <c r="A2404" s="3" t="s">
        <v>176</v>
      </c>
      <c r="B2404" s="3">
        <v>4</v>
      </c>
      <c r="C2404" s="4" t="s">
        <v>36</v>
      </c>
      <c r="D2404" s="3" t="s">
        <v>125</v>
      </c>
      <c r="E2404" s="3" t="s">
        <v>16</v>
      </c>
      <c r="F2404" s="3" t="str">
        <f t="shared" si="0"/>
        <v>3 - Otros</v>
      </c>
      <c r="G2404" s="3">
        <v>9</v>
      </c>
      <c r="H2404" s="2"/>
    </row>
    <row r="2405" spans="1:8" ht="12.75" hidden="1" x14ac:dyDescent="0.2">
      <c r="A2405" s="3" t="s">
        <v>176</v>
      </c>
      <c r="B2405" s="3">
        <v>4</v>
      </c>
      <c r="C2405" s="4" t="s">
        <v>36</v>
      </c>
      <c r="D2405" s="3" t="s">
        <v>125</v>
      </c>
      <c r="E2405" s="3" t="s">
        <v>129</v>
      </c>
      <c r="F2405" s="3" t="str">
        <f t="shared" si="0"/>
        <v>3 - Otros</v>
      </c>
      <c r="G2405" s="3">
        <v>8</v>
      </c>
      <c r="H2405" s="2"/>
    </row>
    <row r="2406" spans="1:8" ht="12.75" hidden="1" x14ac:dyDescent="0.2">
      <c r="A2406" s="3" t="s">
        <v>176</v>
      </c>
      <c r="B2406" s="3">
        <v>4</v>
      </c>
      <c r="C2406" s="4" t="s">
        <v>36</v>
      </c>
      <c r="D2406" s="3" t="s">
        <v>125</v>
      </c>
      <c r="E2406" s="3" t="s">
        <v>132</v>
      </c>
      <c r="F2406" s="3" t="str">
        <f t="shared" si="0"/>
        <v>2 - Frepam</v>
      </c>
      <c r="G2406" s="3">
        <v>7</v>
      </c>
      <c r="H2406" s="2"/>
    </row>
    <row r="2407" spans="1:8" ht="12.75" hidden="1" x14ac:dyDescent="0.2">
      <c r="A2407" s="3" t="s">
        <v>176</v>
      </c>
      <c r="B2407" s="3">
        <v>4</v>
      </c>
      <c r="C2407" s="4" t="s">
        <v>36</v>
      </c>
      <c r="D2407" s="3" t="s">
        <v>125</v>
      </c>
      <c r="E2407" s="3" t="s">
        <v>134</v>
      </c>
      <c r="F2407" s="3" t="str">
        <f t="shared" si="0"/>
        <v>3 - Otros</v>
      </c>
      <c r="G2407" s="3">
        <v>7</v>
      </c>
      <c r="H2407" s="2"/>
    </row>
    <row r="2408" spans="1:8" ht="12.75" hidden="1" x14ac:dyDescent="0.2">
      <c r="A2408" s="3" t="s">
        <v>176</v>
      </c>
      <c r="B2408" s="3">
        <v>4</v>
      </c>
      <c r="C2408" s="4" t="s">
        <v>36</v>
      </c>
      <c r="D2408" s="3" t="s">
        <v>125</v>
      </c>
      <c r="E2408" s="3" t="s">
        <v>152</v>
      </c>
      <c r="F2408" s="3" t="str">
        <f t="shared" si="0"/>
        <v>2 - Frepam</v>
      </c>
      <c r="G2408" s="3">
        <v>190</v>
      </c>
      <c r="H2408" s="2"/>
    </row>
    <row r="2409" spans="1:8" ht="12.75" hidden="1" x14ac:dyDescent="0.2">
      <c r="A2409" s="3" t="s">
        <v>176</v>
      </c>
      <c r="B2409" s="3">
        <v>4</v>
      </c>
      <c r="C2409" s="4" t="s">
        <v>36</v>
      </c>
      <c r="D2409" s="3" t="s">
        <v>125</v>
      </c>
      <c r="E2409" s="3" t="s">
        <v>138</v>
      </c>
      <c r="F2409" s="3" t="str">
        <f t="shared" si="0"/>
        <v>4 - Blanco/Nulo</v>
      </c>
      <c r="G2409" s="3">
        <v>16</v>
      </c>
      <c r="H2409" s="2"/>
    </row>
    <row r="2410" spans="1:8" ht="12.75" hidden="1" x14ac:dyDescent="0.2">
      <c r="A2410" s="3" t="s">
        <v>176</v>
      </c>
      <c r="B2410" s="3">
        <v>4</v>
      </c>
      <c r="C2410" s="4" t="s">
        <v>36</v>
      </c>
      <c r="D2410" s="3" t="s">
        <v>125</v>
      </c>
      <c r="E2410" s="3" t="s">
        <v>14</v>
      </c>
      <c r="F2410" s="3" t="str">
        <f t="shared" si="0"/>
        <v>4 - Blanco/Nulo</v>
      </c>
      <c r="G2410" s="3">
        <v>17</v>
      </c>
      <c r="H2410" s="2"/>
    </row>
    <row r="2411" spans="1:8" ht="12.75" hidden="1" x14ac:dyDescent="0.2">
      <c r="A2411" s="3" t="s">
        <v>176</v>
      </c>
      <c r="B2411" s="3">
        <v>5</v>
      </c>
      <c r="C2411" s="4" t="s">
        <v>37</v>
      </c>
      <c r="D2411" s="3" t="s">
        <v>125</v>
      </c>
      <c r="E2411" s="3" t="s">
        <v>3</v>
      </c>
      <c r="F2411" s="3" t="str">
        <f t="shared" si="0"/>
        <v>1 - PJ</v>
      </c>
      <c r="G2411" s="3">
        <v>110</v>
      </c>
      <c r="H2411" s="2"/>
    </row>
    <row r="2412" spans="1:8" ht="12.75" hidden="1" x14ac:dyDescent="0.2">
      <c r="A2412" s="3" t="s">
        <v>176</v>
      </c>
      <c r="B2412" s="3">
        <v>5</v>
      </c>
      <c r="C2412" s="4" t="s">
        <v>37</v>
      </c>
      <c r="D2412" s="3" t="s">
        <v>125</v>
      </c>
      <c r="E2412" s="3" t="s">
        <v>16</v>
      </c>
      <c r="F2412" s="3" t="str">
        <f t="shared" si="0"/>
        <v>3 - Otros</v>
      </c>
      <c r="G2412" s="3">
        <v>0</v>
      </c>
      <c r="H2412" s="2"/>
    </row>
    <row r="2413" spans="1:8" ht="12.75" hidden="1" x14ac:dyDescent="0.2">
      <c r="A2413" s="3" t="s">
        <v>176</v>
      </c>
      <c r="B2413" s="3">
        <v>5</v>
      </c>
      <c r="C2413" s="4" t="s">
        <v>37</v>
      </c>
      <c r="D2413" s="3" t="s">
        <v>125</v>
      </c>
      <c r="E2413" s="3" t="s">
        <v>129</v>
      </c>
      <c r="F2413" s="3" t="str">
        <f t="shared" si="0"/>
        <v>3 - Otros</v>
      </c>
      <c r="G2413" s="3">
        <v>0</v>
      </c>
      <c r="H2413" s="2"/>
    </row>
    <row r="2414" spans="1:8" ht="12.75" hidden="1" x14ac:dyDescent="0.2">
      <c r="A2414" s="3" t="s">
        <v>176</v>
      </c>
      <c r="B2414" s="3">
        <v>5</v>
      </c>
      <c r="C2414" s="4" t="s">
        <v>37</v>
      </c>
      <c r="D2414" s="3" t="s">
        <v>125</v>
      </c>
      <c r="E2414" s="3" t="s">
        <v>132</v>
      </c>
      <c r="F2414" s="3" t="str">
        <f t="shared" si="0"/>
        <v>2 - Frepam</v>
      </c>
      <c r="G2414" s="3">
        <v>3</v>
      </c>
      <c r="H2414" s="2"/>
    </row>
    <row r="2415" spans="1:8" ht="12.75" hidden="1" x14ac:dyDescent="0.2">
      <c r="A2415" s="3" t="s">
        <v>176</v>
      </c>
      <c r="B2415" s="3">
        <v>5</v>
      </c>
      <c r="C2415" s="4" t="s">
        <v>37</v>
      </c>
      <c r="D2415" s="3" t="s">
        <v>125</v>
      </c>
      <c r="E2415" s="3" t="s">
        <v>134</v>
      </c>
      <c r="F2415" s="3" t="str">
        <f t="shared" si="0"/>
        <v>3 - Otros</v>
      </c>
      <c r="G2415" s="3">
        <v>2</v>
      </c>
      <c r="H2415" s="2"/>
    </row>
    <row r="2416" spans="1:8" ht="12.75" hidden="1" x14ac:dyDescent="0.2">
      <c r="A2416" s="3" t="s">
        <v>176</v>
      </c>
      <c r="B2416" s="3">
        <v>5</v>
      </c>
      <c r="C2416" s="4" t="s">
        <v>37</v>
      </c>
      <c r="D2416" s="3" t="s">
        <v>125</v>
      </c>
      <c r="E2416" s="3" t="s">
        <v>152</v>
      </c>
      <c r="F2416" s="3" t="str">
        <f t="shared" si="0"/>
        <v>2 - Frepam</v>
      </c>
      <c r="G2416" s="3">
        <v>166</v>
      </c>
      <c r="H2416" s="2"/>
    </row>
    <row r="2417" spans="1:8" ht="12.75" hidden="1" x14ac:dyDescent="0.2">
      <c r="A2417" s="3" t="s">
        <v>176</v>
      </c>
      <c r="B2417" s="3">
        <v>5</v>
      </c>
      <c r="C2417" s="4" t="s">
        <v>37</v>
      </c>
      <c r="D2417" s="3" t="s">
        <v>125</v>
      </c>
      <c r="E2417" s="3" t="s">
        <v>138</v>
      </c>
      <c r="F2417" s="3" t="str">
        <f t="shared" si="0"/>
        <v>4 - Blanco/Nulo</v>
      </c>
      <c r="G2417" s="3">
        <v>13</v>
      </c>
      <c r="H2417" s="2"/>
    </row>
    <row r="2418" spans="1:8" ht="12.75" hidden="1" x14ac:dyDescent="0.2">
      <c r="A2418" s="3" t="s">
        <v>176</v>
      </c>
      <c r="B2418" s="3">
        <v>5</v>
      </c>
      <c r="C2418" s="4" t="s">
        <v>37</v>
      </c>
      <c r="D2418" s="3" t="s">
        <v>125</v>
      </c>
      <c r="E2418" s="3" t="s">
        <v>14</v>
      </c>
      <c r="F2418" s="3" t="str">
        <f t="shared" si="0"/>
        <v>4 - Blanco/Nulo</v>
      </c>
      <c r="G2418" s="3">
        <v>7</v>
      </c>
      <c r="H2418" s="2"/>
    </row>
    <row r="2419" spans="1:8" ht="12.75" hidden="1" x14ac:dyDescent="0.2">
      <c r="A2419" s="3" t="s">
        <v>176</v>
      </c>
      <c r="B2419" s="3">
        <v>6</v>
      </c>
      <c r="C2419" s="4" t="s">
        <v>38</v>
      </c>
      <c r="D2419" s="3" t="s">
        <v>125</v>
      </c>
      <c r="E2419" s="3" t="s">
        <v>3</v>
      </c>
      <c r="F2419" s="3" t="str">
        <f t="shared" si="0"/>
        <v>1 - PJ</v>
      </c>
      <c r="G2419" s="3">
        <v>556</v>
      </c>
      <c r="H2419" s="2"/>
    </row>
    <row r="2420" spans="1:8" ht="12.75" hidden="1" x14ac:dyDescent="0.2">
      <c r="A2420" s="3" t="s">
        <v>176</v>
      </c>
      <c r="B2420" s="3">
        <v>6</v>
      </c>
      <c r="C2420" s="4" t="s">
        <v>38</v>
      </c>
      <c r="D2420" s="3" t="s">
        <v>125</v>
      </c>
      <c r="E2420" s="3" t="s">
        <v>16</v>
      </c>
      <c r="F2420" s="3" t="str">
        <f t="shared" si="0"/>
        <v>3 - Otros</v>
      </c>
      <c r="G2420" s="3">
        <v>23</v>
      </c>
      <c r="H2420" s="2"/>
    </row>
    <row r="2421" spans="1:8" ht="12.75" hidden="1" x14ac:dyDescent="0.2">
      <c r="A2421" s="3" t="s">
        <v>176</v>
      </c>
      <c r="B2421" s="3">
        <v>6</v>
      </c>
      <c r="C2421" s="4" t="s">
        <v>38</v>
      </c>
      <c r="D2421" s="3" t="s">
        <v>125</v>
      </c>
      <c r="E2421" s="3" t="s">
        <v>129</v>
      </c>
      <c r="F2421" s="3" t="str">
        <f t="shared" si="0"/>
        <v>3 - Otros</v>
      </c>
      <c r="G2421" s="3">
        <v>24</v>
      </c>
      <c r="H2421" s="2"/>
    </row>
    <row r="2422" spans="1:8" ht="12.75" hidden="1" x14ac:dyDescent="0.2">
      <c r="A2422" s="3" t="s">
        <v>176</v>
      </c>
      <c r="B2422" s="3">
        <v>6</v>
      </c>
      <c r="C2422" s="4" t="s">
        <v>38</v>
      </c>
      <c r="D2422" s="3" t="s">
        <v>125</v>
      </c>
      <c r="E2422" s="3" t="s">
        <v>132</v>
      </c>
      <c r="F2422" s="3" t="str">
        <f t="shared" si="0"/>
        <v>2 - Frepam</v>
      </c>
      <c r="G2422" s="3">
        <v>38</v>
      </c>
      <c r="H2422" s="2"/>
    </row>
    <row r="2423" spans="1:8" ht="12.75" hidden="1" x14ac:dyDescent="0.2">
      <c r="A2423" s="3" t="s">
        <v>176</v>
      </c>
      <c r="B2423" s="3">
        <v>6</v>
      </c>
      <c r="C2423" s="4" t="s">
        <v>38</v>
      </c>
      <c r="D2423" s="3" t="s">
        <v>125</v>
      </c>
      <c r="E2423" s="3" t="s">
        <v>134</v>
      </c>
      <c r="F2423" s="3" t="str">
        <f t="shared" si="0"/>
        <v>3 - Otros</v>
      </c>
      <c r="G2423" s="3">
        <v>24</v>
      </c>
      <c r="H2423" s="2"/>
    </row>
    <row r="2424" spans="1:8" ht="12.75" hidden="1" x14ac:dyDescent="0.2">
      <c r="A2424" s="3" t="s">
        <v>176</v>
      </c>
      <c r="B2424" s="3">
        <v>6</v>
      </c>
      <c r="C2424" s="4" t="s">
        <v>38</v>
      </c>
      <c r="D2424" s="3" t="s">
        <v>125</v>
      </c>
      <c r="E2424" s="3" t="s">
        <v>152</v>
      </c>
      <c r="F2424" s="3" t="str">
        <f t="shared" si="0"/>
        <v>2 - Frepam</v>
      </c>
      <c r="G2424" s="3">
        <v>622</v>
      </c>
      <c r="H2424" s="2"/>
    </row>
    <row r="2425" spans="1:8" ht="12.75" hidden="1" x14ac:dyDescent="0.2">
      <c r="A2425" s="3" t="s">
        <v>176</v>
      </c>
      <c r="B2425" s="3">
        <v>6</v>
      </c>
      <c r="C2425" s="4" t="s">
        <v>38</v>
      </c>
      <c r="D2425" s="3" t="s">
        <v>125</v>
      </c>
      <c r="E2425" s="3" t="s">
        <v>138</v>
      </c>
      <c r="F2425" s="3" t="str">
        <f t="shared" si="0"/>
        <v>4 - Blanco/Nulo</v>
      </c>
      <c r="G2425" s="3">
        <v>56</v>
      </c>
      <c r="H2425" s="2"/>
    </row>
    <row r="2426" spans="1:8" ht="12.75" hidden="1" x14ac:dyDescent="0.2">
      <c r="A2426" s="3" t="s">
        <v>176</v>
      </c>
      <c r="B2426" s="3">
        <v>6</v>
      </c>
      <c r="C2426" s="4" t="s">
        <v>38</v>
      </c>
      <c r="D2426" s="3" t="s">
        <v>125</v>
      </c>
      <c r="E2426" s="3" t="s">
        <v>14</v>
      </c>
      <c r="F2426" s="3" t="str">
        <f t="shared" si="0"/>
        <v>4 - Blanco/Nulo</v>
      </c>
      <c r="G2426" s="3">
        <v>26</v>
      </c>
      <c r="H2426" s="2"/>
    </row>
    <row r="2427" spans="1:8" ht="12.75" hidden="1" x14ac:dyDescent="0.2">
      <c r="A2427" s="3" t="s">
        <v>176</v>
      </c>
      <c r="B2427" s="2" t="s">
        <v>39</v>
      </c>
      <c r="C2427" s="4" t="s">
        <v>40</v>
      </c>
      <c r="D2427" s="3" t="s">
        <v>125</v>
      </c>
      <c r="E2427" s="3" t="s">
        <v>3</v>
      </c>
      <c r="F2427" s="3" t="str">
        <f t="shared" si="0"/>
        <v>1 - PJ</v>
      </c>
      <c r="G2427" s="3">
        <v>22866</v>
      </c>
      <c r="H2427" s="2"/>
    </row>
    <row r="2428" spans="1:8" ht="12.75" hidden="1" x14ac:dyDescent="0.2">
      <c r="A2428" s="3" t="s">
        <v>176</v>
      </c>
      <c r="B2428" s="2" t="s">
        <v>39</v>
      </c>
      <c r="C2428" s="4" t="s">
        <v>40</v>
      </c>
      <c r="D2428" s="3" t="s">
        <v>125</v>
      </c>
      <c r="E2428" s="3" t="s">
        <v>16</v>
      </c>
      <c r="F2428" s="3" t="str">
        <f t="shared" si="0"/>
        <v>3 - Otros</v>
      </c>
      <c r="G2428" s="3">
        <v>2397</v>
      </c>
      <c r="H2428" s="2"/>
    </row>
    <row r="2429" spans="1:8" ht="12.75" hidden="1" x14ac:dyDescent="0.2">
      <c r="A2429" s="3" t="s">
        <v>176</v>
      </c>
      <c r="B2429" s="2" t="s">
        <v>39</v>
      </c>
      <c r="C2429" s="4" t="s">
        <v>40</v>
      </c>
      <c r="D2429" s="3" t="s">
        <v>125</v>
      </c>
      <c r="E2429" s="3" t="s">
        <v>129</v>
      </c>
      <c r="F2429" s="3" t="str">
        <f t="shared" si="0"/>
        <v>3 - Otros</v>
      </c>
      <c r="G2429" s="3">
        <v>1989</v>
      </c>
      <c r="H2429" s="2"/>
    </row>
    <row r="2430" spans="1:8" ht="12.75" hidden="1" x14ac:dyDescent="0.2">
      <c r="A2430" s="3" t="s">
        <v>176</v>
      </c>
      <c r="B2430" s="2" t="s">
        <v>39</v>
      </c>
      <c r="C2430" s="4" t="s">
        <v>40</v>
      </c>
      <c r="D2430" s="3" t="s">
        <v>125</v>
      </c>
      <c r="E2430" s="3" t="s">
        <v>132</v>
      </c>
      <c r="F2430" s="3" t="str">
        <f t="shared" si="0"/>
        <v>2 - Frepam</v>
      </c>
      <c r="G2430" s="3">
        <v>2448</v>
      </c>
      <c r="H2430" s="2"/>
    </row>
    <row r="2431" spans="1:8" ht="12.75" hidden="1" x14ac:dyDescent="0.2">
      <c r="A2431" s="3" t="s">
        <v>176</v>
      </c>
      <c r="B2431" s="2" t="s">
        <v>39</v>
      </c>
      <c r="C2431" s="4" t="s">
        <v>40</v>
      </c>
      <c r="D2431" s="3" t="s">
        <v>125</v>
      </c>
      <c r="E2431" s="3" t="s">
        <v>134</v>
      </c>
      <c r="F2431" s="3" t="str">
        <f t="shared" si="0"/>
        <v>3 - Otros</v>
      </c>
      <c r="G2431" s="3">
        <v>1479</v>
      </c>
      <c r="H2431" s="2"/>
    </row>
    <row r="2432" spans="1:8" ht="12.75" hidden="1" x14ac:dyDescent="0.2">
      <c r="A2432" s="3" t="s">
        <v>176</v>
      </c>
      <c r="B2432" s="2" t="s">
        <v>39</v>
      </c>
      <c r="C2432" s="4" t="s">
        <v>40</v>
      </c>
      <c r="D2432" s="3" t="s">
        <v>125</v>
      </c>
      <c r="E2432" s="3" t="s">
        <v>152</v>
      </c>
      <c r="F2432" s="3" t="str">
        <f t="shared" si="0"/>
        <v>2 - Frepam</v>
      </c>
      <c r="G2432" s="3">
        <v>30769</v>
      </c>
      <c r="H2432" s="2"/>
    </row>
    <row r="2433" spans="1:8" ht="12.75" hidden="1" x14ac:dyDescent="0.2">
      <c r="A2433" s="3" t="s">
        <v>176</v>
      </c>
      <c r="B2433" s="2" t="s">
        <v>39</v>
      </c>
      <c r="C2433" s="4" t="s">
        <v>40</v>
      </c>
      <c r="D2433" s="3" t="s">
        <v>125</v>
      </c>
      <c r="E2433" s="3" t="s">
        <v>138</v>
      </c>
      <c r="F2433" s="3" t="str">
        <f t="shared" si="0"/>
        <v>4 - Blanco/Nulo</v>
      </c>
      <c r="G2433" s="3">
        <v>2428</v>
      </c>
      <c r="H2433" s="2"/>
    </row>
    <row r="2434" spans="1:8" ht="12.75" hidden="1" x14ac:dyDescent="0.2">
      <c r="A2434" s="3" t="s">
        <v>176</v>
      </c>
      <c r="B2434" s="2" t="s">
        <v>39</v>
      </c>
      <c r="C2434" s="4" t="s">
        <v>40</v>
      </c>
      <c r="D2434" s="3" t="s">
        <v>125</v>
      </c>
      <c r="E2434" s="3" t="s">
        <v>14</v>
      </c>
      <c r="F2434" s="3" t="str">
        <f t="shared" si="0"/>
        <v>4 - Blanco/Nulo</v>
      </c>
      <c r="G2434" s="3">
        <v>878</v>
      </c>
      <c r="H2434" s="2"/>
    </row>
    <row r="2435" spans="1:8" ht="12.75" hidden="1" x14ac:dyDescent="0.2">
      <c r="A2435" s="3" t="s">
        <v>176</v>
      </c>
      <c r="B2435" s="3">
        <v>11</v>
      </c>
      <c r="C2435" s="4" t="s">
        <v>41</v>
      </c>
      <c r="D2435" s="3" t="s">
        <v>125</v>
      </c>
      <c r="E2435" s="3" t="s">
        <v>3</v>
      </c>
      <c r="F2435" s="3" t="str">
        <f t="shared" si="0"/>
        <v>1 - PJ</v>
      </c>
      <c r="G2435" s="3">
        <v>759</v>
      </c>
      <c r="H2435" s="2"/>
    </row>
    <row r="2436" spans="1:8" ht="12.75" hidden="1" x14ac:dyDescent="0.2">
      <c r="A2436" s="3" t="s">
        <v>176</v>
      </c>
      <c r="B2436" s="3">
        <v>11</v>
      </c>
      <c r="C2436" s="4" t="s">
        <v>41</v>
      </c>
      <c r="D2436" s="3" t="s">
        <v>125</v>
      </c>
      <c r="E2436" s="3" t="s">
        <v>16</v>
      </c>
      <c r="F2436" s="3" t="str">
        <f t="shared" si="0"/>
        <v>3 - Otros</v>
      </c>
      <c r="G2436" s="3">
        <v>30</v>
      </c>
      <c r="H2436" s="2"/>
    </row>
    <row r="2437" spans="1:8" ht="12.75" hidden="1" x14ac:dyDescent="0.2">
      <c r="A2437" s="3" t="s">
        <v>176</v>
      </c>
      <c r="B2437" s="3">
        <v>11</v>
      </c>
      <c r="C2437" s="4" t="s">
        <v>41</v>
      </c>
      <c r="D2437" s="3" t="s">
        <v>125</v>
      </c>
      <c r="E2437" s="3" t="s">
        <v>129</v>
      </c>
      <c r="F2437" s="3" t="str">
        <f t="shared" si="0"/>
        <v>3 - Otros</v>
      </c>
      <c r="G2437" s="3">
        <v>12</v>
      </c>
      <c r="H2437" s="2"/>
    </row>
    <row r="2438" spans="1:8" ht="12.75" hidden="1" x14ac:dyDescent="0.2">
      <c r="A2438" s="3" t="s">
        <v>176</v>
      </c>
      <c r="B2438" s="3">
        <v>11</v>
      </c>
      <c r="C2438" s="4" t="s">
        <v>41</v>
      </c>
      <c r="D2438" s="3" t="s">
        <v>125</v>
      </c>
      <c r="E2438" s="3" t="s">
        <v>132</v>
      </c>
      <c r="F2438" s="3" t="str">
        <f t="shared" si="0"/>
        <v>2 - Frepam</v>
      </c>
      <c r="G2438" s="3">
        <v>46</v>
      </c>
      <c r="H2438" s="2"/>
    </row>
    <row r="2439" spans="1:8" ht="12.75" hidden="1" x14ac:dyDescent="0.2">
      <c r="A2439" s="3" t="s">
        <v>176</v>
      </c>
      <c r="B2439" s="3">
        <v>11</v>
      </c>
      <c r="C2439" s="4" t="s">
        <v>41</v>
      </c>
      <c r="D2439" s="3" t="s">
        <v>125</v>
      </c>
      <c r="E2439" s="3" t="s">
        <v>134</v>
      </c>
      <c r="F2439" s="3" t="str">
        <f t="shared" si="0"/>
        <v>3 - Otros</v>
      </c>
      <c r="G2439" s="3">
        <v>37</v>
      </c>
      <c r="H2439" s="2"/>
    </row>
    <row r="2440" spans="1:8" ht="12.75" hidden="1" x14ac:dyDescent="0.2">
      <c r="A2440" s="3" t="s">
        <v>176</v>
      </c>
      <c r="B2440" s="3">
        <v>11</v>
      </c>
      <c r="C2440" s="4" t="s">
        <v>41</v>
      </c>
      <c r="D2440" s="3" t="s">
        <v>125</v>
      </c>
      <c r="E2440" s="3" t="s">
        <v>152</v>
      </c>
      <c r="F2440" s="3" t="str">
        <f t="shared" si="0"/>
        <v>2 - Frepam</v>
      </c>
      <c r="G2440" s="3">
        <v>421</v>
      </c>
      <c r="H2440" s="2"/>
    </row>
    <row r="2441" spans="1:8" ht="12.75" hidden="1" x14ac:dyDescent="0.2">
      <c r="A2441" s="3" t="s">
        <v>176</v>
      </c>
      <c r="B2441" s="3">
        <v>11</v>
      </c>
      <c r="C2441" s="4" t="s">
        <v>41</v>
      </c>
      <c r="D2441" s="3" t="s">
        <v>125</v>
      </c>
      <c r="E2441" s="3" t="s">
        <v>138</v>
      </c>
      <c r="F2441" s="3" t="str">
        <f t="shared" si="0"/>
        <v>4 - Blanco/Nulo</v>
      </c>
      <c r="G2441" s="3">
        <v>63</v>
      </c>
      <c r="H2441" s="2"/>
    </row>
    <row r="2442" spans="1:8" ht="12.75" hidden="1" x14ac:dyDescent="0.2">
      <c r="A2442" s="3" t="s">
        <v>176</v>
      </c>
      <c r="B2442" s="3">
        <v>11</v>
      </c>
      <c r="C2442" s="4" t="s">
        <v>41</v>
      </c>
      <c r="D2442" s="3" t="s">
        <v>125</v>
      </c>
      <c r="E2442" s="3" t="s">
        <v>14</v>
      </c>
      <c r="F2442" s="3" t="str">
        <f t="shared" si="0"/>
        <v>4 - Blanco/Nulo</v>
      </c>
      <c r="G2442" s="3">
        <v>21</v>
      </c>
      <c r="H2442" s="2"/>
    </row>
    <row r="2443" spans="1:8" ht="12.75" hidden="1" x14ac:dyDescent="0.2">
      <c r="A2443" s="3" t="s">
        <v>176</v>
      </c>
      <c r="B2443" s="3">
        <v>13</v>
      </c>
      <c r="C2443" s="4" t="s">
        <v>42</v>
      </c>
      <c r="D2443" s="3" t="s">
        <v>125</v>
      </c>
      <c r="E2443" s="3" t="s">
        <v>3</v>
      </c>
      <c r="F2443" s="3" t="str">
        <f t="shared" si="0"/>
        <v>1 - PJ</v>
      </c>
      <c r="G2443" s="3">
        <v>1374</v>
      </c>
      <c r="H2443" s="2"/>
    </row>
    <row r="2444" spans="1:8" ht="12.75" hidden="1" x14ac:dyDescent="0.2">
      <c r="A2444" s="3" t="s">
        <v>176</v>
      </c>
      <c r="B2444" s="3">
        <v>13</v>
      </c>
      <c r="C2444" s="4" t="s">
        <v>42</v>
      </c>
      <c r="D2444" s="3" t="s">
        <v>125</v>
      </c>
      <c r="E2444" s="3" t="s">
        <v>16</v>
      </c>
      <c r="F2444" s="3" t="str">
        <f t="shared" si="0"/>
        <v>3 - Otros</v>
      </c>
      <c r="G2444" s="3">
        <v>18</v>
      </c>
      <c r="H2444" s="2"/>
    </row>
    <row r="2445" spans="1:8" ht="12.75" hidden="1" x14ac:dyDescent="0.2">
      <c r="A2445" s="3" t="s">
        <v>176</v>
      </c>
      <c r="B2445" s="3">
        <v>13</v>
      </c>
      <c r="C2445" s="4" t="s">
        <v>42</v>
      </c>
      <c r="D2445" s="3" t="s">
        <v>125</v>
      </c>
      <c r="E2445" s="3" t="s">
        <v>129</v>
      </c>
      <c r="F2445" s="3" t="str">
        <f t="shared" si="0"/>
        <v>3 - Otros</v>
      </c>
      <c r="G2445" s="3">
        <v>14</v>
      </c>
      <c r="H2445" s="2"/>
    </row>
    <row r="2446" spans="1:8" ht="12.75" hidden="1" x14ac:dyDescent="0.2">
      <c r="A2446" s="3" t="s">
        <v>176</v>
      </c>
      <c r="B2446" s="3">
        <v>13</v>
      </c>
      <c r="C2446" s="4" t="s">
        <v>42</v>
      </c>
      <c r="D2446" s="3" t="s">
        <v>125</v>
      </c>
      <c r="E2446" s="3" t="s">
        <v>132</v>
      </c>
      <c r="F2446" s="3" t="str">
        <f t="shared" si="0"/>
        <v>2 - Frepam</v>
      </c>
      <c r="G2446" s="3">
        <v>32</v>
      </c>
      <c r="H2446" s="2"/>
    </row>
    <row r="2447" spans="1:8" ht="12.75" hidden="1" x14ac:dyDescent="0.2">
      <c r="A2447" s="3" t="s">
        <v>176</v>
      </c>
      <c r="B2447" s="3">
        <v>13</v>
      </c>
      <c r="C2447" s="4" t="s">
        <v>42</v>
      </c>
      <c r="D2447" s="3" t="s">
        <v>125</v>
      </c>
      <c r="E2447" s="3" t="s">
        <v>134</v>
      </c>
      <c r="F2447" s="3" t="str">
        <f t="shared" si="0"/>
        <v>3 - Otros</v>
      </c>
      <c r="G2447" s="3">
        <v>36</v>
      </c>
      <c r="H2447" s="2"/>
    </row>
    <row r="2448" spans="1:8" ht="12.75" hidden="1" x14ac:dyDescent="0.2">
      <c r="A2448" s="3" t="s">
        <v>176</v>
      </c>
      <c r="B2448" s="3">
        <v>13</v>
      </c>
      <c r="C2448" s="4" t="s">
        <v>42</v>
      </c>
      <c r="D2448" s="3" t="s">
        <v>125</v>
      </c>
      <c r="E2448" s="3" t="s">
        <v>152</v>
      </c>
      <c r="F2448" s="3" t="str">
        <f t="shared" si="0"/>
        <v>2 - Frepam</v>
      </c>
      <c r="G2448" s="3">
        <v>1331</v>
      </c>
      <c r="H2448" s="2"/>
    </row>
    <row r="2449" spans="1:8" ht="12.75" hidden="1" x14ac:dyDescent="0.2">
      <c r="A2449" s="3" t="s">
        <v>176</v>
      </c>
      <c r="B2449" s="3">
        <v>13</v>
      </c>
      <c r="C2449" s="4" t="s">
        <v>42</v>
      </c>
      <c r="D2449" s="3" t="s">
        <v>125</v>
      </c>
      <c r="E2449" s="3" t="s">
        <v>138</v>
      </c>
      <c r="F2449" s="3" t="str">
        <f t="shared" si="0"/>
        <v>4 - Blanco/Nulo</v>
      </c>
      <c r="G2449" s="3">
        <v>72</v>
      </c>
      <c r="H2449" s="2"/>
    </row>
    <row r="2450" spans="1:8" ht="12.75" hidden="1" x14ac:dyDescent="0.2">
      <c r="A2450" s="3" t="s">
        <v>176</v>
      </c>
      <c r="B2450" s="3">
        <v>13</v>
      </c>
      <c r="C2450" s="4" t="s">
        <v>42</v>
      </c>
      <c r="D2450" s="3" t="s">
        <v>125</v>
      </c>
      <c r="E2450" s="3" t="s">
        <v>14</v>
      </c>
      <c r="F2450" s="3" t="str">
        <f t="shared" si="0"/>
        <v>4 - Blanco/Nulo</v>
      </c>
      <c r="G2450" s="3">
        <v>54</v>
      </c>
      <c r="H2450" s="2"/>
    </row>
    <row r="2451" spans="1:8" ht="12.75" hidden="1" x14ac:dyDescent="0.2">
      <c r="A2451" s="3" t="s">
        <v>176</v>
      </c>
      <c r="B2451" s="3">
        <v>14</v>
      </c>
      <c r="C2451" s="4" t="s">
        <v>153</v>
      </c>
      <c r="D2451" s="3" t="s">
        <v>125</v>
      </c>
      <c r="E2451" s="3" t="s">
        <v>3</v>
      </c>
      <c r="F2451" s="3" t="str">
        <f t="shared" si="0"/>
        <v>1 - PJ</v>
      </c>
      <c r="G2451" s="3">
        <v>15</v>
      </c>
      <c r="H2451" s="2"/>
    </row>
    <row r="2452" spans="1:8" ht="12.75" hidden="1" x14ac:dyDescent="0.2">
      <c r="A2452" s="3" t="s">
        <v>176</v>
      </c>
      <c r="B2452" s="3">
        <v>14</v>
      </c>
      <c r="C2452" s="4" t="s">
        <v>153</v>
      </c>
      <c r="D2452" s="3" t="s">
        <v>125</v>
      </c>
      <c r="E2452" s="3" t="s">
        <v>16</v>
      </c>
      <c r="F2452" s="3" t="str">
        <f t="shared" si="0"/>
        <v>3 - Otros</v>
      </c>
      <c r="G2452" s="3">
        <v>1</v>
      </c>
      <c r="H2452" s="2"/>
    </row>
    <row r="2453" spans="1:8" ht="12.75" hidden="1" x14ac:dyDescent="0.2">
      <c r="A2453" s="3" t="s">
        <v>176</v>
      </c>
      <c r="B2453" s="3">
        <v>14</v>
      </c>
      <c r="C2453" s="4" t="s">
        <v>153</v>
      </c>
      <c r="D2453" s="3" t="s">
        <v>125</v>
      </c>
      <c r="E2453" s="3" t="s">
        <v>129</v>
      </c>
      <c r="F2453" s="3" t="str">
        <f t="shared" si="0"/>
        <v>3 - Otros</v>
      </c>
      <c r="G2453" s="3">
        <v>2</v>
      </c>
      <c r="H2453" s="2"/>
    </row>
    <row r="2454" spans="1:8" ht="12.75" hidden="1" x14ac:dyDescent="0.2">
      <c r="A2454" s="3" t="s">
        <v>176</v>
      </c>
      <c r="B2454" s="3">
        <v>14</v>
      </c>
      <c r="C2454" s="4" t="s">
        <v>153</v>
      </c>
      <c r="D2454" s="3" t="s">
        <v>125</v>
      </c>
      <c r="E2454" s="3" t="s">
        <v>132</v>
      </c>
      <c r="F2454" s="3" t="str">
        <f t="shared" si="0"/>
        <v>2 - Frepam</v>
      </c>
      <c r="G2454" s="3">
        <v>0</v>
      </c>
      <c r="H2454" s="2"/>
    </row>
    <row r="2455" spans="1:8" ht="12.75" hidden="1" x14ac:dyDescent="0.2">
      <c r="A2455" s="3" t="s">
        <v>176</v>
      </c>
      <c r="B2455" s="3">
        <v>14</v>
      </c>
      <c r="C2455" s="4" t="s">
        <v>153</v>
      </c>
      <c r="D2455" s="3" t="s">
        <v>125</v>
      </c>
      <c r="E2455" s="3" t="s">
        <v>134</v>
      </c>
      <c r="F2455" s="3" t="str">
        <f t="shared" si="0"/>
        <v>3 - Otros</v>
      </c>
      <c r="G2455" s="3">
        <v>0</v>
      </c>
      <c r="H2455" s="2"/>
    </row>
    <row r="2456" spans="1:8" ht="12.75" hidden="1" x14ac:dyDescent="0.2">
      <c r="A2456" s="3" t="s">
        <v>176</v>
      </c>
      <c r="B2456" s="3">
        <v>14</v>
      </c>
      <c r="C2456" s="4" t="s">
        <v>153</v>
      </c>
      <c r="D2456" s="3" t="s">
        <v>125</v>
      </c>
      <c r="E2456" s="3" t="s">
        <v>152</v>
      </c>
      <c r="F2456" s="3" t="str">
        <f t="shared" si="0"/>
        <v>2 - Frepam</v>
      </c>
      <c r="G2456" s="3">
        <v>22</v>
      </c>
      <c r="H2456" s="2"/>
    </row>
    <row r="2457" spans="1:8" ht="12.75" hidden="1" x14ac:dyDescent="0.2">
      <c r="A2457" s="3" t="s">
        <v>176</v>
      </c>
      <c r="B2457" s="3">
        <v>14</v>
      </c>
      <c r="C2457" s="4" t="s">
        <v>153</v>
      </c>
      <c r="D2457" s="3" t="s">
        <v>125</v>
      </c>
      <c r="E2457" s="3" t="s">
        <v>138</v>
      </c>
      <c r="F2457" s="3" t="str">
        <f t="shared" si="0"/>
        <v>4 - Blanco/Nulo</v>
      </c>
      <c r="G2457" s="3">
        <v>4</v>
      </c>
      <c r="H2457" s="2"/>
    </row>
    <row r="2458" spans="1:8" ht="12.75" hidden="1" x14ac:dyDescent="0.2">
      <c r="A2458" s="3" t="s">
        <v>176</v>
      </c>
      <c r="B2458" s="3">
        <v>14</v>
      </c>
      <c r="C2458" s="4" t="s">
        <v>153</v>
      </c>
      <c r="D2458" s="3" t="s">
        <v>125</v>
      </c>
      <c r="E2458" s="3" t="s">
        <v>14</v>
      </c>
      <c r="F2458" s="3" t="str">
        <f t="shared" si="0"/>
        <v>4 - Blanco/Nulo</v>
      </c>
      <c r="G2458" s="3">
        <v>2</v>
      </c>
      <c r="H2458" s="2"/>
    </row>
    <row r="2459" spans="1:8" ht="12.75" hidden="1" x14ac:dyDescent="0.2">
      <c r="A2459" s="3" t="s">
        <v>176</v>
      </c>
      <c r="B2459" s="3">
        <v>15</v>
      </c>
      <c r="C2459" s="4" t="s">
        <v>43</v>
      </c>
      <c r="D2459" s="3" t="s">
        <v>125</v>
      </c>
      <c r="E2459" s="3" t="s">
        <v>3</v>
      </c>
      <c r="F2459" s="3" t="str">
        <f t="shared" si="0"/>
        <v>1 - PJ</v>
      </c>
      <c r="G2459" s="3">
        <v>455</v>
      </c>
      <c r="H2459" s="2"/>
    </row>
    <row r="2460" spans="1:8" ht="12.75" hidden="1" x14ac:dyDescent="0.2">
      <c r="A2460" s="3" t="s">
        <v>176</v>
      </c>
      <c r="B2460" s="3">
        <v>15</v>
      </c>
      <c r="C2460" s="4" t="s">
        <v>43</v>
      </c>
      <c r="D2460" s="3" t="s">
        <v>125</v>
      </c>
      <c r="E2460" s="3" t="s">
        <v>16</v>
      </c>
      <c r="F2460" s="3" t="str">
        <f t="shared" si="0"/>
        <v>3 - Otros</v>
      </c>
      <c r="G2460" s="3">
        <v>7</v>
      </c>
      <c r="H2460" s="2"/>
    </row>
    <row r="2461" spans="1:8" ht="12.75" hidden="1" x14ac:dyDescent="0.2">
      <c r="A2461" s="3" t="s">
        <v>176</v>
      </c>
      <c r="B2461" s="3">
        <v>15</v>
      </c>
      <c r="C2461" s="4" t="s">
        <v>43</v>
      </c>
      <c r="D2461" s="3" t="s">
        <v>125</v>
      </c>
      <c r="E2461" s="3" t="s">
        <v>129</v>
      </c>
      <c r="F2461" s="3" t="str">
        <f t="shared" si="0"/>
        <v>3 - Otros</v>
      </c>
      <c r="G2461" s="3">
        <v>10</v>
      </c>
      <c r="H2461" s="2"/>
    </row>
    <row r="2462" spans="1:8" ht="12.75" hidden="1" x14ac:dyDescent="0.2">
      <c r="A2462" s="3" t="s">
        <v>176</v>
      </c>
      <c r="B2462" s="3">
        <v>15</v>
      </c>
      <c r="C2462" s="4" t="s">
        <v>43</v>
      </c>
      <c r="D2462" s="3" t="s">
        <v>125</v>
      </c>
      <c r="E2462" s="3" t="s">
        <v>132</v>
      </c>
      <c r="F2462" s="3" t="str">
        <f t="shared" si="0"/>
        <v>2 - Frepam</v>
      </c>
      <c r="G2462" s="3">
        <v>19</v>
      </c>
      <c r="H2462" s="2"/>
    </row>
    <row r="2463" spans="1:8" ht="12.75" hidden="1" x14ac:dyDescent="0.2">
      <c r="A2463" s="3" t="s">
        <v>176</v>
      </c>
      <c r="B2463" s="3">
        <v>15</v>
      </c>
      <c r="C2463" s="4" t="s">
        <v>43</v>
      </c>
      <c r="D2463" s="3" t="s">
        <v>125</v>
      </c>
      <c r="E2463" s="3" t="s">
        <v>134</v>
      </c>
      <c r="F2463" s="3" t="str">
        <f t="shared" si="0"/>
        <v>3 - Otros</v>
      </c>
      <c r="G2463" s="3">
        <v>17</v>
      </c>
      <c r="H2463" s="2"/>
    </row>
    <row r="2464" spans="1:8" ht="12.75" hidden="1" x14ac:dyDescent="0.2">
      <c r="A2464" s="3" t="s">
        <v>176</v>
      </c>
      <c r="B2464" s="3">
        <v>15</v>
      </c>
      <c r="C2464" s="4" t="s">
        <v>43</v>
      </c>
      <c r="D2464" s="3" t="s">
        <v>125</v>
      </c>
      <c r="E2464" s="3" t="s">
        <v>152</v>
      </c>
      <c r="F2464" s="3" t="str">
        <f t="shared" si="0"/>
        <v>2 - Frepam</v>
      </c>
      <c r="G2464" s="3">
        <v>657</v>
      </c>
      <c r="H2464" s="2"/>
    </row>
    <row r="2465" spans="1:8" ht="12.75" hidden="1" x14ac:dyDescent="0.2">
      <c r="A2465" s="3" t="s">
        <v>176</v>
      </c>
      <c r="B2465" s="3">
        <v>15</v>
      </c>
      <c r="C2465" s="4" t="s">
        <v>43</v>
      </c>
      <c r="D2465" s="3" t="s">
        <v>125</v>
      </c>
      <c r="E2465" s="3" t="s">
        <v>138</v>
      </c>
      <c r="F2465" s="3" t="str">
        <f t="shared" si="0"/>
        <v>4 - Blanco/Nulo</v>
      </c>
      <c r="G2465" s="3">
        <v>51</v>
      </c>
      <c r="H2465" s="2"/>
    </row>
    <row r="2466" spans="1:8" ht="12.75" hidden="1" x14ac:dyDescent="0.2">
      <c r="A2466" s="3" t="s">
        <v>176</v>
      </c>
      <c r="B2466" s="3">
        <v>15</v>
      </c>
      <c r="C2466" s="4" t="s">
        <v>43</v>
      </c>
      <c r="D2466" s="3" t="s">
        <v>125</v>
      </c>
      <c r="E2466" s="3" t="s">
        <v>14</v>
      </c>
      <c r="F2466" s="3" t="str">
        <f t="shared" si="0"/>
        <v>4 - Blanco/Nulo</v>
      </c>
      <c r="G2466" s="3">
        <v>22</v>
      </c>
      <c r="H2466" s="2"/>
    </row>
    <row r="2467" spans="1:8" ht="12.75" hidden="1" x14ac:dyDescent="0.2">
      <c r="A2467" s="3" t="s">
        <v>176</v>
      </c>
      <c r="B2467" s="3">
        <v>16</v>
      </c>
      <c r="C2467" s="4" t="s">
        <v>44</v>
      </c>
      <c r="D2467" s="3" t="s">
        <v>125</v>
      </c>
      <c r="E2467" s="3" t="s">
        <v>3</v>
      </c>
      <c r="F2467" s="3" t="str">
        <f t="shared" si="0"/>
        <v>1 - PJ</v>
      </c>
      <c r="G2467" s="3">
        <v>297</v>
      </c>
      <c r="H2467" s="2"/>
    </row>
    <row r="2468" spans="1:8" ht="12.75" hidden="1" x14ac:dyDescent="0.2">
      <c r="A2468" s="3" t="s">
        <v>176</v>
      </c>
      <c r="B2468" s="3">
        <v>16</v>
      </c>
      <c r="C2468" s="4" t="s">
        <v>44</v>
      </c>
      <c r="D2468" s="3" t="s">
        <v>125</v>
      </c>
      <c r="E2468" s="3" t="s">
        <v>16</v>
      </c>
      <c r="F2468" s="3" t="str">
        <f t="shared" si="0"/>
        <v>3 - Otros</v>
      </c>
      <c r="G2468" s="3">
        <v>6</v>
      </c>
      <c r="H2468" s="2"/>
    </row>
    <row r="2469" spans="1:8" ht="12.75" hidden="1" x14ac:dyDescent="0.2">
      <c r="A2469" s="3" t="s">
        <v>176</v>
      </c>
      <c r="B2469" s="3">
        <v>16</v>
      </c>
      <c r="C2469" s="4" t="s">
        <v>44</v>
      </c>
      <c r="D2469" s="3" t="s">
        <v>125</v>
      </c>
      <c r="E2469" s="3" t="s">
        <v>129</v>
      </c>
      <c r="F2469" s="3" t="str">
        <f t="shared" si="0"/>
        <v>3 - Otros</v>
      </c>
      <c r="G2469" s="3">
        <v>3</v>
      </c>
      <c r="H2469" s="2"/>
    </row>
    <row r="2470" spans="1:8" ht="12.75" hidden="1" x14ac:dyDescent="0.2">
      <c r="A2470" s="3" t="s">
        <v>176</v>
      </c>
      <c r="B2470" s="3">
        <v>16</v>
      </c>
      <c r="C2470" s="4" t="s">
        <v>44</v>
      </c>
      <c r="D2470" s="3" t="s">
        <v>125</v>
      </c>
      <c r="E2470" s="3" t="s">
        <v>132</v>
      </c>
      <c r="F2470" s="3" t="str">
        <f t="shared" si="0"/>
        <v>2 - Frepam</v>
      </c>
      <c r="G2470" s="3">
        <v>12</v>
      </c>
      <c r="H2470" s="2"/>
    </row>
    <row r="2471" spans="1:8" ht="12.75" hidden="1" x14ac:dyDescent="0.2">
      <c r="A2471" s="3" t="s">
        <v>176</v>
      </c>
      <c r="B2471" s="3">
        <v>16</v>
      </c>
      <c r="C2471" s="4" t="s">
        <v>44</v>
      </c>
      <c r="D2471" s="3" t="s">
        <v>125</v>
      </c>
      <c r="E2471" s="3" t="s">
        <v>134</v>
      </c>
      <c r="F2471" s="3" t="str">
        <f t="shared" si="0"/>
        <v>3 - Otros</v>
      </c>
      <c r="G2471" s="3">
        <v>8</v>
      </c>
      <c r="H2471" s="2"/>
    </row>
    <row r="2472" spans="1:8" ht="12.75" hidden="1" x14ac:dyDescent="0.2">
      <c r="A2472" s="3" t="s">
        <v>176</v>
      </c>
      <c r="B2472" s="3">
        <v>16</v>
      </c>
      <c r="C2472" s="4" t="s">
        <v>44</v>
      </c>
      <c r="D2472" s="3" t="s">
        <v>125</v>
      </c>
      <c r="E2472" s="3" t="s">
        <v>152</v>
      </c>
      <c r="F2472" s="3" t="str">
        <f t="shared" si="0"/>
        <v>2 - Frepam</v>
      </c>
      <c r="G2472" s="3">
        <v>369</v>
      </c>
      <c r="H2472" s="2"/>
    </row>
    <row r="2473" spans="1:8" ht="12.75" hidden="1" x14ac:dyDescent="0.2">
      <c r="A2473" s="3" t="s">
        <v>176</v>
      </c>
      <c r="B2473" s="3">
        <v>16</v>
      </c>
      <c r="C2473" s="4" t="s">
        <v>44</v>
      </c>
      <c r="D2473" s="3" t="s">
        <v>125</v>
      </c>
      <c r="E2473" s="3" t="s">
        <v>138</v>
      </c>
      <c r="F2473" s="3" t="str">
        <f t="shared" si="0"/>
        <v>4 - Blanco/Nulo</v>
      </c>
      <c r="G2473" s="3">
        <v>19</v>
      </c>
      <c r="H2473" s="2"/>
    </row>
    <row r="2474" spans="1:8" ht="12.75" hidden="1" x14ac:dyDescent="0.2">
      <c r="A2474" s="3" t="s">
        <v>176</v>
      </c>
      <c r="B2474" s="3">
        <v>16</v>
      </c>
      <c r="C2474" s="4" t="s">
        <v>44</v>
      </c>
      <c r="D2474" s="3" t="s">
        <v>125</v>
      </c>
      <c r="E2474" s="3" t="s">
        <v>14</v>
      </c>
      <c r="F2474" s="3" t="str">
        <f t="shared" si="0"/>
        <v>4 - Blanco/Nulo</v>
      </c>
      <c r="G2474" s="3">
        <v>10</v>
      </c>
      <c r="H2474" s="2"/>
    </row>
    <row r="2475" spans="1:8" ht="12.75" hidden="1" x14ac:dyDescent="0.2">
      <c r="A2475" s="3" t="s">
        <v>176</v>
      </c>
      <c r="B2475" s="3">
        <v>17</v>
      </c>
      <c r="C2475" s="4" t="s">
        <v>45</v>
      </c>
      <c r="D2475" s="3" t="s">
        <v>125</v>
      </c>
      <c r="E2475" s="3" t="s">
        <v>3</v>
      </c>
      <c r="F2475" s="3" t="str">
        <f t="shared" si="0"/>
        <v>1 - PJ</v>
      </c>
      <c r="G2475" s="3">
        <v>11</v>
      </c>
      <c r="H2475" s="2"/>
    </row>
    <row r="2476" spans="1:8" ht="12.75" hidden="1" x14ac:dyDescent="0.2">
      <c r="A2476" s="3" t="s">
        <v>176</v>
      </c>
      <c r="B2476" s="3">
        <v>17</v>
      </c>
      <c r="C2476" s="4" t="s">
        <v>45</v>
      </c>
      <c r="D2476" s="3" t="s">
        <v>125</v>
      </c>
      <c r="E2476" s="3" t="s">
        <v>16</v>
      </c>
      <c r="F2476" s="3" t="str">
        <f t="shared" si="0"/>
        <v>3 - Otros</v>
      </c>
      <c r="G2476" s="3">
        <v>0</v>
      </c>
      <c r="H2476" s="2"/>
    </row>
    <row r="2477" spans="1:8" ht="12.75" hidden="1" x14ac:dyDescent="0.2">
      <c r="A2477" s="3" t="s">
        <v>176</v>
      </c>
      <c r="B2477" s="3">
        <v>17</v>
      </c>
      <c r="C2477" s="4" t="s">
        <v>45</v>
      </c>
      <c r="D2477" s="3" t="s">
        <v>125</v>
      </c>
      <c r="E2477" s="3" t="s">
        <v>129</v>
      </c>
      <c r="F2477" s="3" t="str">
        <f t="shared" si="0"/>
        <v>3 - Otros</v>
      </c>
      <c r="G2477" s="3">
        <v>0</v>
      </c>
      <c r="H2477" s="2"/>
    </row>
    <row r="2478" spans="1:8" ht="12.75" hidden="1" x14ac:dyDescent="0.2">
      <c r="A2478" s="3" t="s">
        <v>176</v>
      </c>
      <c r="B2478" s="3">
        <v>17</v>
      </c>
      <c r="C2478" s="4" t="s">
        <v>45</v>
      </c>
      <c r="D2478" s="3" t="s">
        <v>125</v>
      </c>
      <c r="E2478" s="3" t="s">
        <v>132</v>
      </c>
      <c r="F2478" s="3" t="str">
        <f t="shared" si="0"/>
        <v>2 - Frepam</v>
      </c>
      <c r="G2478" s="3">
        <v>0</v>
      </c>
      <c r="H2478" s="2"/>
    </row>
    <row r="2479" spans="1:8" ht="12.75" hidden="1" x14ac:dyDescent="0.2">
      <c r="A2479" s="3" t="s">
        <v>176</v>
      </c>
      <c r="B2479" s="3">
        <v>17</v>
      </c>
      <c r="C2479" s="4" t="s">
        <v>45</v>
      </c>
      <c r="D2479" s="3" t="s">
        <v>125</v>
      </c>
      <c r="E2479" s="3" t="s">
        <v>134</v>
      </c>
      <c r="F2479" s="3" t="str">
        <f t="shared" si="0"/>
        <v>3 - Otros</v>
      </c>
      <c r="G2479" s="3">
        <v>0</v>
      </c>
      <c r="H2479" s="2"/>
    </row>
    <row r="2480" spans="1:8" ht="12.75" hidden="1" x14ac:dyDescent="0.2">
      <c r="A2480" s="3" t="s">
        <v>176</v>
      </c>
      <c r="B2480" s="3">
        <v>17</v>
      </c>
      <c r="C2480" s="4" t="s">
        <v>45</v>
      </c>
      <c r="D2480" s="3" t="s">
        <v>125</v>
      </c>
      <c r="E2480" s="3" t="s">
        <v>152</v>
      </c>
      <c r="F2480" s="3" t="str">
        <f t="shared" si="0"/>
        <v>2 - Frepam</v>
      </c>
      <c r="G2480" s="3">
        <v>4</v>
      </c>
      <c r="H2480" s="2"/>
    </row>
    <row r="2481" spans="1:8" ht="12.75" hidden="1" x14ac:dyDescent="0.2">
      <c r="A2481" s="3" t="s">
        <v>176</v>
      </c>
      <c r="B2481" s="3">
        <v>17</v>
      </c>
      <c r="C2481" s="4" t="s">
        <v>45</v>
      </c>
      <c r="D2481" s="3" t="s">
        <v>125</v>
      </c>
      <c r="E2481" s="3" t="s">
        <v>138</v>
      </c>
      <c r="F2481" s="3" t="str">
        <f t="shared" si="0"/>
        <v>4 - Blanco/Nulo</v>
      </c>
      <c r="G2481" s="3">
        <v>0</v>
      </c>
      <c r="H2481" s="2"/>
    </row>
    <row r="2482" spans="1:8" ht="12.75" hidden="1" x14ac:dyDescent="0.2">
      <c r="A2482" s="3" t="s">
        <v>176</v>
      </c>
      <c r="B2482" s="3">
        <v>17</v>
      </c>
      <c r="C2482" s="4" t="s">
        <v>45</v>
      </c>
      <c r="D2482" s="3" t="s">
        <v>125</v>
      </c>
      <c r="E2482" s="3" t="s">
        <v>14</v>
      </c>
      <c r="F2482" s="3" t="str">
        <f t="shared" si="0"/>
        <v>4 - Blanco/Nulo</v>
      </c>
      <c r="G2482" s="3">
        <v>0</v>
      </c>
      <c r="H2482" s="2"/>
    </row>
    <row r="2483" spans="1:8" ht="12.75" hidden="1" x14ac:dyDescent="0.2">
      <c r="A2483" s="3" t="s">
        <v>176</v>
      </c>
      <c r="B2483" s="3">
        <v>18</v>
      </c>
      <c r="C2483" s="4" t="s">
        <v>46</v>
      </c>
      <c r="D2483" s="3" t="s">
        <v>125</v>
      </c>
      <c r="E2483" s="3" t="s">
        <v>3</v>
      </c>
      <c r="F2483" s="3" t="str">
        <f t="shared" si="0"/>
        <v>1 - PJ</v>
      </c>
      <c r="G2483" s="3">
        <v>956</v>
      </c>
      <c r="H2483" s="2"/>
    </row>
    <row r="2484" spans="1:8" ht="12.75" hidden="1" x14ac:dyDescent="0.2">
      <c r="A2484" s="3" t="s">
        <v>176</v>
      </c>
      <c r="B2484" s="3">
        <v>18</v>
      </c>
      <c r="C2484" s="4" t="s">
        <v>46</v>
      </c>
      <c r="D2484" s="3" t="s">
        <v>125</v>
      </c>
      <c r="E2484" s="3" t="s">
        <v>16</v>
      </c>
      <c r="F2484" s="3" t="str">
        <f t="shared" si="0"/>
        <v>3 - Otros</v>
      </c>
      <c r="G2484" s="3">
        <v>30</v>
      </c>
      <c r="H2484" s="2"/>
    </row>
    <row r="2485" spans="1:8" ht="12.75" hidden="1" x14ac:dyDescent="0.2">
      <c r="A2485" s="3" t="s">
        <v>176</v>
      </c>
      <c r="B2485" s="3">
        <v>18</v>
      </c>
      <c r="C2485" s="4" t="s">
        <v>46</v>
      </c>
      <c r="D2485" s="3" t="s">
        <v>125</v>
      </c>
      <c r="E2485" s="3" t="s">
        <v>129</v>
      </c>
      <c r="F2485" s="3" t="str">
        <f t="shared" si="0"/>
        <v>3 - Otros</v>
      </c>
      <c r="G2485" s="3">
        <v>13</v>
      </c>
      <c r="H2485" s="2"/>
    </row>
    <row r="2486" spans="1:8" ht="12.75" hidden="1" x14ac:dyDescent="0.2">
      <c r="A2486" s="3" t="s">
        <v>176</v>
      </c>
      <c r="B2486" s="3">
        <v>18</v>
      </c>
      <c r="C2486" s="4" t="s">
        <v>46</v>
      </c>
      <c r="D2486" s="3" t="s">
        <v>125</v>
      </c>
      <c r="E2486" s="3" t="s">
        <v>132</v>
      </c>
      <c r="F2486" s="3" t="str">
        <f t="shared" si="0"/>
        <v>2 - Frepam</v>
      </c>
      <c r="G2486" s="3">
        <v>62</v>
      </c>
      <c r="H2486" s="2"/>
    </row>
    <row r="2487" spans="1:8" ht="12.75" hidden="1" x14ac:dyDescent="0.2">
      <c r="A2487" s="3" t="s">
        <v>176</v>
      </c>
      <c r="B2487" s="3">
        <v>18</v>
      </c>
      <c r="C2487" s="4" t="s">
        <v>46</v>
      </c>
      <c r="D2487" s="3" t="s">
        <v>125</v>
      </c>
      <c r="E2487" s="3" t="s">
        <v>134</v>
      </c>
      <c r="F2487" s="3" t="str">
        <f t="shared" si="0"/>
        <v>3 - Otros</v>
      </c>
      <c r="G2487" s="3">
        <v>22</v>
      </c>
      <c r="H2487" s="2"/>
    </row>
    <row r="2488" spans="1:8" ht="12.75" hidden="1" x14ac:dyDescent="0.2">
      <c r="A2488" s="3" t="s">
        <v>176</v>
      </c>
      <c r="B2488" s="3">
        <v>18</v>
      </c>
      <c r="C2488" s="4" t="s">
        <v>46</v>
      </c>
      <c r="D2488" s="3" t="s">
        <v>125</v>
      </c>
      <c r="E2488" s="3" t="s">
        <v>152</v>
      </c>
      <c r="F2488" s="3" t="str">
        <f t="shared" si="0"/>
        <v>2 - Frepam</v>
      </c>
      <c r="G2488" s="3">
        <v>594</v>
      </c>
      <c r="H2488" s="2"/>
    </row>
    <row r="2489" spans="1:8" ht="12.75" hidden="1" x14ac:dyDescent="0.2">
      <c r="A2489" s="3" t="s">
        <v>176</v>
      </c>
      <c r="B2489" s="3">
        <v>18</v>
      </c>
      <c r="C2489" s="4" t="s">
        <v>46</v>
      </c>
      <c r="D2489" s="3" t="s">
        <v>125</v>
      </c>
      <c r="E2489" s="3" t="s">
        <v>138</v>
      </c>
      <c r="F2489" s="3" t="str">
        <f t="shared" si="0"/>
        <v>4 - Blanco/Nulo</v>
      </c>
      <c r="G2489" s="3">
        <v>79</v>
      </c>
      <c r="H2489" s="2"/>
    </row>
    <row r="2490" spans="1:8" ht="12.75" hidden="1" x14ac:dyDescent="0.2">
      <c r="A2490" s="3" t="s">
        <v>176</v>
      </c>
      <c r="B2490" s="3">
        <v>18</v>
      </c>
      <c r="C2490" s="4" t="s">
        <v>46</v>
      </c>
      <c r="D2490" s="3" t="s">
        <v>125</v>
      </c>
      <c r="E2490" s="3" t="s">
        <v>14</v>
      </c>
      <c r="F2490" s="3" t="str">
        <f t="shared" si="0"/>
        <v>4 - Blanco/Nulo</v>
      </c>
      <c r="G2490" s="3">
        <v>26</v>
      </c>
      <c r="H2490" s="2"/>
    </row>
    <row r="2491" spans="1:8" ht="12.75" hidden="1" x14ac:dyDescent="0.2">
      <c r="A2491" s="3" t="s">
        <v>176</v>
      </c>
      <c r="B2491" s="3">
        <v>19</v>
      </c>
      <c r="C2491" s="4" t="s">
        <v>47</v>
      </c>
      <c r="D2491" s="3" t="s">
        <v>125</v>
      </c>
      <c r="E2491" s="3" t="s">
        <v>3</v>
      </c>
      <c r="F2491" s="3" t="str">
        <f t="shared" si="0"/>
        <v>1 - PJ</v>
      </c>
      <c r="G2491" s="3">
        <v>427</v>
      </c>
      <c r="H2491" s="2"/>
    </row>
    <row r="2492" spans="1:8" ht="12.75" hidden="1" x14ac:dyDescent="0.2">
      <c r="A2492" s="3" t="s">
        <v>176</v>
      </c>
      <c r="B2492" s="3">
        <v>19</v>
      </c>
      <c r="C2492" s="4" t="s">
        <v>47</v>
      </c>
      <c r="D2492" s="3" t="s">
        <v>125</v>
      </c>
      <c r="E2492" s="3" t="s">
        <v>16</v>
      </c>
      <c r="F2492" s="3" t="str">
        <f t="shared" si="0"/>
        <v>3 - Otros</v>
      </c>
      <c r="G2492" s="3">
        <v>12</v>
      </c>
      <c r="H2492" s="2"/>
    </row>
    <row r="2493" spans="1:8" ht="12.75" hidden="1" x14ac:dyDescent="0.2">
      <c r="A2493" s="3" t="s">
        <v>176</v>
      </c>
      <c r="B2493" s="3">
        <v>19</v>
      </c>
      <c r="C2493" s="4" t="s">
        <v>47</v>
      </c>
      <c r="D2493" s="3" t="s">
        <v>125</v>
      </c>
      <c r="E2493" s="3" t="s">
        <v>129</v>
      </c>
      <c r="F2493" s="3" t="str">
        <f t="shared" si="0"/>
        <v>3 - Otros</v>
      </c>
      <c r="G2493" s="3">
        <v>11</v>
      </c>
      <c r="H2493" s="2"/>
    </row>
    <row r="2494" spans="1:8" ht="12.75" hidden="1" x14ac:dyDescent="0.2">
      <c r="A2494" s="3" t="s">
        <v>176</v>
      </c>
      <c r="B2494" s="3">
        <v>19</v>
      </c>
      <c r="C2494" s="4" t="s">
        <v>47</v>
      </c>
      <c r="D2494" s="3" t="s">
        <v>125</v>
      </c>
      <c r="E2494" s="3" t="s">
        <v>132</v>
      </c>
      <c r="F2494" s="3" t="str">
        <f t="shared" si="0"/>
        <v>2 - Frepam</v>
      </c>
      <c r="G2494" s="3">
        <v>40</v>
      </c>
      <c r="H2494" s="2"/>
    </row>
    <row r="2495" spans="1:8" ht="12.75" hidden="1" x14ac:dyDescent="0.2">
      <c r="A2495" s="3" t="s">
        <v>176</v>
      </c>
      <c r="B2495" s="3">
        <v>19</v>
      </c>
      <c r="C2495" s="4" t="s">
        <v>47</v>
      </c>
      <c r="D2495" s="3" t="s">
        <v>125</v>
      </c>
      <c r="E2495" s="3" t="s">
        <v>134</v>
      </c>
      <c r="F2495" s="3" t="str">
        <f t="shared" si="0"/>
        <v>3 - Otros</v>
      </c>
      <c r="G2495" s="3">
        <v>22</v>
      </c>
      <c r="H2495" s="2"/>
    </row>
    <row r="2496" spans="1:8" ht="12.75" hidden="1" x14ac:dyDescent="0.2">
      <c r="A2496" s="3" t="s">
        <v>176</v>
      </c>
      <c r="B2496" s="3">
        <v>19</v>
      </c>
      <c r="C2496" s="4" t="s">
        <v>47</v>
      </c>
      <c r="D2496" s="3" t="s">
        <v>125</v>
      </c>
      <c r="E2496" s="3" t="s">
        <v>152</v>
      </c>
      <c r="F2496" s="3" t="str">
        <f t="shared" si="0"/>
        <v>2 - Frepam</v>
      </c>
      <c r="G2496" s="3">
        <v>578</v>
      </c>
      <c r="H2496" s="2"/>
    </row>
    <row r="2497" spans="1:8" ht="12.75" hidden="1" x14ac:dyDescent="0.2">
      <c r="A2497" s="3" t="s">
        <v>176</v>
      </c>
      <c r="B2497" s="3">
        <v>19</v>
      </c>
      <c r="C2497" s="4" t="s">
        <v>47</v>
      </c>
      <c r="D2497" s="3" t="s">
        <v>125</v>
      </c>
      <c r="E2497" s="3" t="s">
        <v>138</v>
      </c>
      <c r="F2497" s="3" t="str">
        <f t="shared" si="0"/>
        <v>4 - Blanco/Nulo</v>
      </c>
      <c r="G2497" s="3">
        <v>12</v>
      </c>
      <c r="H2497" s="2"/>
    </row>
    <row r="2498" spans="1:8" ht="12.75" hidden="1" x14ac:dyDescent="0.2">
      <c r="A2498" s="3" t="s">
        <v>176</v>
      </c>
      <c r="B2498" s="3">
        <v>19</v>
      </c>
      <c r="C2498" s="4" t="s">
        <v>47</v>
      </c>
      <c r="D2498" s="3" t="s">
        <v>125</v>
      </c>
      <c r="E2498" s="3" t="s">
        <v>14</v>
      </c>
      <c r="F2498" s="3" t="str">
        <f t="shared" si="0"/>
        <v>4 - Blanco/Nulo</v>
      </c>
      <c r="G2498" s="3">
        <v>52</v>
      </c>
      <c r="H2498" s="2"/>
    </row>
    <row r="2499" spans="1:8" ht="12.75" hidden="1" x14ac:dyDescent="0.2">
      <c r="A2499" s="3" t="s">
        <v>176</v>
      </c>
      <c r="B2499" s="2" t="s">
        <v>48</v>
      </c>
      <c r="C2499" s="4" t="s">
        <v>49</v>
      </c>
      <c r="D2499" s="3" t="s">
        <v>125</v>
      </c>
      <c r="E2499" s="3" t="s">
        <v>3</v>
      </c>
      <c r="F2499" s="3" t="str">
        <f t="shared" si="0"/>
        <v>1 - PJ</v>
      </c>
      <c r="G2499" s="3">
        <v>25</v>
      </c>
      <c r="H2499" s="2"/>
    </row>
    <row r="2500" spans="1:8" ht="12.75" hidden="1" x14ac:dyDescent="0.2">
      <c r="A2500" s="3" t="s">
        <v>176</v>
      </c>
      <c r="B2500" s="2" t="s">
        <v>48</v>
      </c>
      <c r="C2500" s="4" t="s">
        <v>49</v>
      </c>
      <c r="D2500" s="3" t="s">
        <v>125</v>
      </c>
      <c r="E2500" s="3" t="s">
        <v>16</v>
      </c>
      <c r="F2500" s="3" t="str">
        <f t="shared" si="0"/>
        <v>3 - Otros</v>
      </c>
      <c r="G2500" s="3">
        <v>1</v>
      </c>
      <c r="H2500" s="2"/>
    </row>
    <row r="2501" spans="1:8" ht="12.75" hidden="1" x14ac:dyDescent="0.2">
      <c r="A2501" s="3" t="s">
        <v>176</v>
      </c>
      <c r="B2501" s="2" t="s">
        <v>48</v>
      </c>
      <c r="C2501" s="4" t="s">
        <v>49</v>
      </c>
      <c r="D2501" s="3" t="s">
        <v>125</v>
      </c>
      <c r="E2501" s="3" t="s">
        <v>129</v>
      </c>
      <c r="F2501" s="3" t="str">
        <f t="shared" si="0"/>
        <v>3 - Otros</v>
      </c>
      <c r="G2501" s="3">
        <v>0</v>
      </c>
      <c r="H2501" s="2"/>
    </row>
    <row r="2502" spans="1:8" ht="12.75" hidden="1" x14ac:dyDescent="0.2">
      <c r="A2502" s="3" t="s">
        <v>176</v>
      </c>
      <c r="B2502" s="2" t="s">
        <v>48</v>
      </c>
      <c r="C2502" s="4" t="s">
        <v>49</v>
      </c>
      <c r="D2502" s="3" t="s">
        <v>125</v>
      </c>
      <c r="E2502" s="3" t="s">
        <v>132</v>
      </c>
      <c r="F2502" s="3" t="str">
        <f t="shared" si="0"/>
        <v>2 - Frepam</v>
      </c>
      <c r="G2502" s="3">
        <v>0</v>
      </c>
      <c r="H2502" s="2"/>
    </row>
    <row r="2503" spans="1:8" ht="12.75" hidden="1" x14ac:dyDescent="0.2">
      <c r="A2503" s="3" t="s">
        <v>176</v>
      </c>
      <c r="B2503" s="2" t="s">
        <v>48</v>
      </c>
      <c r="C2503" s="4" t="s">
        <v>49</v>
      </c>
      <c r="D2503" s="3" t="s">
        <v>125</v>
      </c>
      <c r="E2503" s="3" t="s">
        <v>134</v>
      </c>
      <c r="F2503" s="3" t="str">
        <f t="shared" si="0"/>
        <v>3 - Otros</v>
      </c>
      <c r="G2503" s="3">
        <v>0</v>
      </c>
      <c r="H2503" s="2"/>
    </row>
    <row r="2504" spans="1:8" ht="12.75" hidden="1" x14ac:dyDescent="0.2">
      <c r="A2504" s="3" t="s">
        <v>176</v>
      </c>
      <c r="B2504" s="2" t="s">
        <v>48</v>
      </c>
      <c r="C2504" s="4" t="s">
        <v>49</v>
      </c>
      <c r="D2504" s="3" t="s">
        <v>125</v>
      </c>
      <c r="E2504" s="3" t="s">
        <v>152</v>
      </c>
      <c r="F2504" s="3" t="str">
        <f t="shared" si="0"/>
        <v>2 - Frepam</v>
      </c>
      <c r="G2504" s="3">
        <v>94</v>
      </c>
      <c r="H2504" s="2"/>
    </row>
    <row r="2505" spans="1:8" ht="12.75" hidden="1" x14ac:dyDescent="0.2">
      <c r="A2505" s="3" t="s">
        <v>176</v>
      </c>
      <c r="B2505" s="2" t="s">
        <v>48</v>
      </c>
      <c r="C2505" s="4" t="s">
        <v>49</v>
      </c>
      <c r="D2505" s="3" t="s">
        <v>125</v>
      </c>
      <c r="E2505" s="3" t="s">
        <v>138</v>
      </c>
      <c r="F2505" s="3" t="str">
        <f t="shared" si="0"/>
        <v>4 - Blanco/Nulo</v>
      </c>
      <c r="G2505" s="3">
        <v>2</v>
      </c>
      <c r="H2505" s="2"/>
    </row>
    <row r="2506" spans="1:8" ht="12.75" hidden="1" x14ac:dyDescent="0.2">
      <c r="A2506" s="3" t="s">
        <v>176</v>
      </c>
      <c r="B2506" s="2" t="s">
        <v>48</v>
      </c>
      <c r="C2506" s="4" t="s">
        <v>49</v>
      </c>
      <c r="D2506" s="3" t="s">
        <v>125</v>
      </c>
      <c r="E2506" s="3" t="s">
        <v>14</v>
      </c>
      <c r="F2506" s="3" t="str">
        <f t="shared" si="0"/>
        <v>4 - Blanco/Nulo</v>
      </c>
      <c r="G2506" s="3">
        <v>4</v>
      </c>
      <c r="H2506" s="2"/>
    </row>
    <row r="2507" spans="1:8" ht="12.75" hidden="1" x14ac:dyDescent="0.2">
      <c r="A2507" s="3" t="s">
        <v>176</v>
      </c>
      <c r="B2507" s="3">
        <v>20</v>
      </c>
      <c r="C2507" s="4" t="s">
        <v>50</v>
      </c>
      <c r="D2507" s="3" t="s">
        <v>125</v>
      </c>
      <c r="E2507" s="3" t="s">
        <v>3</v>
      </c>
      <c r="F2507" s="3" t="str">
        <f t="shared" si="0"/>
        <v>1 - PJ</v>
      </c>
      <c r="G2507" s="3">
        <v>69</v>
      </c>
      <c r="H2507" s="2"/>
    </row>
    <row r="2508" spans="1:8" ht="12.75" hidden="1" x14ac:dyDescent="0.2">
      <c r="A2508" s="3" t="s">
        <v>176</v>
      </c>
      <c r="B2508" s="3">
        <v>20</v>
      </c>
      <c r="C2508" s="4" t="s">
        <v>50</v>
      </c>
      <c r="D2508" s="3" t="s">
        <v>125</v>
      </c>
      <c r="E2508" s="3" t="s">
        <v>16</v>
      </c>
      <c r="F2508" s="3" t="str">
        <f t="shared" si="0"/>
        <v>3 - Otros</v>
      </c>
      <c r="G2508" s="3">
        <v>0</v>
      </c>
      <c r="H2508" s="2"/>
    </row>
    <row r="2509" spans="1:8" ht="12.75" hidden="1" x14ac:dyDescent="0.2">
      <c r="A2509" s="3" t="s">
        <v>176</v>
      </c>
      <c r="B2509" s="3">
        <v>20</v>
      </c>
      <c r="C2509" s="4" t="s">
        <v>50</v>
      </c>
      <c r="D2509" s="3" t="s">
        <v>125</v>
      </c>
      <c r="E2509" s="3" t="s">
        <v>129</v>
      </c>
      <c r="F2509" s="3" t="str">
        <f t="shared" si="0"/>
        <v>3 - Otros</v>
      </c>
      <c r="G2509" s="3">
        <v>1</v>
      </c>
      <c r="H2509" s="2"/>
    </row>
    <row r="2510" spans="1:8" ht="12.75" hidden="1" x14ac:dyDescent="0.2">
      <c r="A2510" s="3" t="s">
        <v>176</v>
      </c>
      <c r="B2510" s="3">
        <v>20</v>
      </c>
      <c r="C2510" s="4" t="s">
        <v>50</v>
      </c>
      <c r="D2510" s="3" t="s">
        <v>125</v>
      </c>
      <c r="E2510" s="3" t="s">
        <v>132</v>
      </c>
      <c r="F2510" s="3" t="str">
        <f t="shared" si="0"/>
        <v>2 - Frepam</v>
      </c>
      <c r="G2510" s="3">
        <v>26</v>
      </c>
      <c r="H2510" s="2"/>
    </row>
    <row r="2511" spans="1:8" ht="12.75" hidden="1" x14ac:dyDescent="0.2">
      <c r="A2511" s="3" t="s">
        <v>176</v>
      </c>
      <c r="B2511" s="3">
        <v>20</v>
      </c>
      <c r="C2511" s="4" t="s">
        <v>50</v>
      </c>
      <c r="D2511" s="3" t="s">
        <v>125</v>
      </c>
      <c r="E2511" s="3" t="s">
        <v>134</v>
      </c>
      <c r="F2511" s="3" t="str">
        <f t="shared" si="0"/>
        <v>3 - Otros</v>
      </c>
      <c r="G2511" s="3">
        <v>4</v>
      </c>
      <c r="H2511" s="2"/>
    </row>
    <row r="2512" spans="1:8" ht="12.75" hidden="1" x14ac:dyDescent="0.2">
      <c r="A2512" s="3" t="s">
        <v>176</v>
      </c>
      <c r="B2512" s="3">
        <v>20</v>
      </c>
      <c r="C2512" s="4" t="s">
        <v>50</v>
      </c>
      <c r="D2512" s="3" t="s">
        <v>125</v>
      </c>
      <c r="E2512" s="3" t="s">
        <v>152</v>
      </c>
      <c r="F2512" s="3" t="str">
        <f t="shared" si="0"/>
        <v>2 - Frepam</v>
      </c>
      <c r="G2512" s="3">
        <v>151</v>
      </c>
      <c r="H2512" s="2"/>
    </row>
    <row r="2513" spans="1:8" ht="12.75" hidden="1" x14ac:dyDescent="0.2">
      <c r="A2513" s="3" t="s">
        <v>176</v>
      </c>
      <c r="B2513" s="3">
        <v>20</v>
      </c>
      <c r="C2513" s="4" t="s">
        <v>50</v>
      </c>
      <c r="D2513" s="3" t="s">
        <v>125</v>
      </c>
      <c r="E2513" s="3" t="s">
        <v>138</v>
      </c>
      <c r="F2513" s="3" t="str">
        <f t="shared" si="0"/>
        <v>4 - Blanco/Nulo</v>
      </c>
      <c r="G2513" s="3">
        <v>4</v>
      </c>
      <c r="H2513" s="2"/>
    </row>
    <row r="2514" spans="1:8" ht="12.75" hidden="1" x14ac:dyDescent="0.2">
      <c r="A2514" s="3" t="s">
        <v>176</v>
      </c>
      <c r="B2514" s="3">
        <v>20</v>
      </c>
      <c r="C2514" s="4" t="s">
        <v>50</v>
      </c>
      <c r="D2514" s="3" t="s">
        <v>125</v>
      </c>
      <c r="E2514" s="3" t="s">
        <v>14</v>
      </c>
      <c r="F2514" s="3" t="str">
        <f t="shared" si="0"/>
        <v>4 - Blanco/Nulo</v>
      </c>
      <c r="G2514" s="3">
        <v>2</v>
      </c>
      <c r="H2514" s="2"/>
    </row>
    <row r="2515" spans="1:8" ht="12.75" hidden="1" x14ac:dyDescent="0.2">
      <c r="A2515" s="3" t="s">
        <v>176</v>
      </c>
      <c r="B2515" s="3">
        <v>21</v>
      </c>
      <c r="C2515" s="4" t="s">
        <v>51</v>
      </c>
      <c r="D2515" s="3" t="s">
        <v>125</v>
      </c>
      <c r="E2515" s="3" t="s">
        <v>3</v>
      </c>
      <c r="F2515" s="3" t="str">
        <f t="shared" si="0"/>
        <v>1 - PJ</v>
      </c>
      <c r="G2515" s="3">
        <v>116</v>
      </c>
      <c r="H2515" s="2"/>
    </row>
    <row r="2516" spans="1:8" ht="12.75" hidden="1" x14ac:dyDescent="0.2">
      <c r="A2516" s="3" t="s">
        <v>176</v>
      </c>
      <c r="B2516" s="3">
        <v>21</v>
      </c>
      <c r="C2516" s="4" t="s">
        <v>51</v>
      </c>
      <c r="D2516" s="3" t="s">
        <v>125</v>
      </c>
      <c r="E2516" s="3" t="s">
        <v>16</v>
      </c>
      <c r="F2516" s="3" t="str">
        <f t="shared" si="0"/>
        <v>3 - Otros</v>
      </c>
      <c r="G2516" s="3">
        <v>5</v>
      </c>
      <c r="H2516" s="2"/>
    </row>
    <row r="2517" spans="1:8" ht="12.75" hidden="1" x14ac:dyDescent="0.2">
      <c r="A2517" s="3" t="s">
        <v>176</v>
      </c>
      <c r="B2517" s="3">
        <v>21</v>
      </c>
      <c r="C2517" s="4" t="s">
        <v>51</v>
      </c>
      <c r="D2517" s="3" t="s">
        <v>125</v>
      </c>
      <c r="E2517" s="3" t="s">
        <v>129</v>
      </c>
      <c r="F2517" s="3" t="str">
        <f t="shared" si="0"/>
        <v>3 - Otros</v>
      </c>
      <c r="G2517" s="3">
        <v>8</v>
      </c>
      <c r="H2517" s="2"/>
    </row>
    <row r="2518" spans="1:8" ht="12.75" hidden="1" x14ac:dyDescent="0.2">
      <c r="A2518" s="3" t="s">
        <v>176</v>
      </c>
      <c r="B2518" s="3">
        <v>21</v>
      </c>
      <c r="C2518" s="4" t="s">
        <v>51</v>
      </c>
      <c r="D2518" s="3" t="s">
        <v>125</v>
      </c>
      <c r="E2518" s="3" t="s">
        <v>132</v>
      </c>
      <c r="F2518" s="3" t="str">
        <f t="shared" si="0"/>
        <v>2 - Frepam</v>
      </c>
      <c r="G2518" s="3">
        <v>17</v>
      </c>
      <c r="H2518" s="2"/>
    </row>
    <row r="2519" spans="1:8" ht="12.75" hidden="1" x14ac:dyDescent="0.2">
      <c r="A2519" s="3" t="s">
        <v>176</v>
      </c>
      <c r="B2519" s="3">
        <v>21</v>
      </c>
      <c r="C2519" s="4" t="s">
        <v>51</v>
      </c>
      <c r="D2519" s="3" t="s">
        <v>125</v>
      </c>
      <c r="E2519" s="3" t="s">
        <v>134</v>
      </c>
      <c r="F2519" s="3" t="str">
        <f t="shared" si="0"/>
        <v>3 - Otros</v>
      </c>
      <c r="G2519" s="3">
        <v>6</v>
      </c>
      <c r="H2519" s="2"/>
    </row>
    <row r="2520" spans="1:8" ht="12.75" hidden="1" x14ac:dyDescent="0.2">
      <c r="A2520" s="3" t="s">
        <v>176</v>
      </c>
      <c r="B2520" s="3">
        <v>21</v>
      </c>
      <c r="C2520" s="4" t="s">
        <v>51</v>
      </c>
      <c r="D2520" s="3" t="s">
        <v>125</v>
      </c>
      <c r="E2520" s="3" t="s">
        <v>152</v>
      </c>
      <c r="F2520" s="3" t="str">
        <f t="shared" si="0"/>
        <v>2 - Frepam</v>
      </c>
      <c r="G2520" s="3">
        <v>259</v>
      </c>
      <c r="H2520" s="2"/>
    </row>
    <row r="2521" spans="1:8" ht="12.75" hidden="1" x14ac:dyDescent="0.2">
      <c r="A2521" s="3" t="s">
        <v>176</v>
      </c>
      <c r="B2521" s="3">
        <v>21</v>
      </c>
      <c r="C2521" s="4" t="s">
        <v>51</v>
      </c>
      <c r="D2521" s="3" t="s">
        <v>125</v>
      </c>
      <c r="E2521" s="3" t="s">
        <v>138</v>
      </c>
      <c r="F2521" s="3" t="str">
        <f t="shared" si="0"/>
        <v>4 - Blanco/Nulo</v>
      </c>
      <c r="G2521" s="3">
        <v>32</v>
      </c>
      <c r="H2521" s="2"/>
    </row>
    <row r="2522" spans="1:8" ht="12.75" hidden="1" x14ac:dyDescent="0.2">
      <c r="A2522" s="3" t="s">
        <v>176</v>
      </c>
      <c r="B2522" s="3">
        <v>21</v>
      </c>
      <c r="C2522" s="4" t="s">
        <v>51</v>
      </c>
      <c r="D2522" s="3" t="s">
        <v>125</v>
      </c>
      <c r="E2522" s="3" t="s">
        <v>14</v>
      </c>
      <c r="F2522" s="3" t="str">
        <f t="shared" si="0"/>
        <v>4 - Blanco/Nulo</v>
      </c>
      <c r="G2522" s="3">
        <v>12</v>
      </c>
      <c r="H2522" s="2"/>
    </row>
    <row r="2523" spans="1:8" ht="12.75" hidden="1" x14ac:dyDescent="0.2">
      <c r="A2523" s="3" t="s">
        <v>176</v>
      </c>
      <c r="B2523" s="3">
        <v>22</v>
      </c>
      <c r="C2523" s="4" t="s">
        <v>52</v>
      </c>
      <c r="D2523" s="3" t="s">
        <v>125</v>
      </c>
      <c r="E2523" s="3" t="s">
        <v>3</v>
      </c>
      <c r="F2523" s="3" t="str">
        <f t="shared" si="0"/>
        <v>1 - PJ</v>
      </c>
      <c r="G2523" s="3">
        <v>1706</v>
      </c>
      <c r="H2523" s="2"/>
    </row>
    <row r="2524" spans="1:8" ht="12.75" hidden="1" x14ac:dyDescent="0.2">
      <c r="A2524" s="3" t="s">
        <v>176</v>
      </c>
      <c r="B2524" s="3">
        <v>22</v>
      </c>
      <c r="C2524" s="4" t="s">
        <v>52</v>
      </c>
      <c r="D2524" s="3" t="s">
        <v>125</v>
      </c>
      <c r="E2524" s="3" t="s">
        <v>16</v>
      </c>
      <c r="F2524" s="3" t="str">
        <f t="shared" si="0"/>
        <v>3 - Otros</v>
      </c>
      <c r="G2524" s="3">
        <v>65</v>
      </c>
      <c r="H2524" s="2"/>
    </row>
    <row r="2525" spans="1:8" ht="12.75" hidden="1" x14ac:dyDescent="0.2">
      <c r="A2525" s="3" t="s">
        <v>176</v>
      </c>
      <c r="B2525" s="3">
        <v>22</v>
      </c>
      <c r="C2525" s="4" t="s">
        <v>52</v>
      </c>
      <c r="D2525" s="3" t="s">
        <v>125</v>
      </c>
      <c r="E2525" s="3" t="s">
        <v>129</v>
      </c>
      <c r="F2525" s="3" t="str">
        <f t="shared" si="0"/>
        <v>3 - Otros</v>
      </c>
      <c r="G2525" s="3">
        <v>40</v>
      </c>
      <c r="H2525" s="2"/>
    </row>
    <row r="2526" spans="1:8" ht="12.75" hidden="1" x14ac:dyDescent="0.2">
      <c r="A2526" s="3" t="s">
        <v>176</v>
      </c>
      <c r="B2526" s="3">
        <v>22</v>
      </c>
      <c r="C2526" s="4" t="s">
        <v>52</v>
      </c>
      <c r="D2526" s="3" t="s">
        <v>125</v>
      </c>
      <c r="E2526" s="3" t="s">
        <v>132</v>
      </c>
      <c r="F2526" s="3" t="str">
        <f t="shared" si="0"/>
        <v>2 - Frepam</v>
      </c>
      <c r="G2526" s="3">
        <v>182</v>
      </c>
      <c r="H2526" s="2"/>
    </row>
    <row r="2527" spans="1:8" ht="12.75" hidden="1" x14ac:dyDescent="0.2">
      <c r="A2527" s="3" t="s">
        <v>176</v>
      </c>
      <c r="B2527" s="3">
        <v>22</v>
      </c>
      <c r="C2527" s="4" t="s">
        <v>52</v>
      </c>
      <c r="D2527" s="3" t="s">
        <v>125</v>
      </c>
      <c r="E2527" s="3" t="s">
        <v>134</v>
      </c>
      <c r="F2527" s="3" t="str">
        <f t="shared" si="0"/>
        <v>3 - Otros</v>
      </c>
      <c r="G2527" s="3">
        <v>77</v>
      </c>
      <c r="H2527" s="2"/>
    </row>
    <row r="2528" spans="1:8" ht="12.75" hidden="1" x14ac:dyDescent="0.2">
      <c r="A2528" s="3" t="s">
        <v>176</v>
      </c>
      <c r="B2528" s="3">
        <v>22</v>
      </c>
      <c r="C2528" s="4" t="s">
        <v>52</v>
      </c>
      <c r="D2528" s="3" t="s">
        <v>125</v>
      </c>
      <c r="E2528" s="3" t="s">
        <v>152</v>
      </c>
      <c r="F2528" s="3" t="str">
        <f t="shared" si="0"/>
        <v>2 - Frepam</v>
      </c>
      <c r="G2528" s="3">
        <v>3019</v>
      </c>
      <c r="H2528" s="2"/>
    </row>
    <row r="2529" spans="1:8" ht="12.75" hidden="1" x14ac:dyDescent="0.2">
      <c r="A2529" s="3" t="s">
        <v>176</v>
      </c>
      <c r="B2529" s="3">
        <v>22</v>
      </c>
      <c r="C2529" s="4" t="s">
        <v>52</v>
      </c>
      <c r="D2529" s="3" t="s">
        <v>125</v>
      </c>
      <c r="E2529" s="3" t="s">
        <v>138</v>
      </c>
      <c r="F2529" s="3" t="str">
        <f t="shared" si="0"/>
        <v>4 - Blanco/Nulo</v>
      </c>
      <c r="G2529" s="3">
        <v>210</v>
      </c>
      <c r="H2529" s="2"/>
    </row>
    <row r="2530" spans="1:8" ht="12.75" hidden="1" x14ac:dyDescent="0.2">
      <c r="A2530" s="3" t="s">
        <v>176</v>
      </c>
      <c r="B2530" s="3">
        <v>22</v>
      </c>
      <c r="C2530" s="4" t="s">
        <v>52</v>
      </c>
      <c r="D2530" s="3" t="s">
        <v>125</v>
      </c>
      <c r="E2530" s="3" t="s">
        <v>14</v>
      </c>
      <c r="F2530" s="3" t="str">
        <f t="shared" si="0"/>
        <v>4 - Blanco/Nulo</v>
      </c>
      <c r="G2530" s="3">
        <v>76</v>
      </c>
      <c r="H2530" s="2"/>
    </row>
    <row r="2531" spans="1:8" ht="12.75" hidden="1" x14ac:dyDescent="0.2">
      <c r="A2531" s="3" t="s">
        <v>176</v>
      </c>
      <c r="B2531" s="3">
        <v>23</v>
      </c>
      <c r="C2531" s="4" t="s">
        <v>53</v>
      </c>
      <c r="D2531" s="3" t="s">
        <v>125</v>
      </c>
      <c r="E2531" s="3" t="s">
        <v>3</v>
      </c>
      <c r="F2531" s="3" t="str">
        <f t="shared" si="0"/>
        <v>1 - PJ</v>
      </c>
      <c r="G2531" s="3">
        <v>216</v>
      </c>
      <c r="H2531" s="2"/>
    </row>
    <row r="2532" spans="1:8" ht="12.75" hidden="1" x14ac:dyDescent="0.2">
      <c r="A2532" s="3" t="s">
        <v>176</v>
      </c>
      <c r="B2532" s="3">
        <v>23</v>
      </c>
      <c r="C2532" s="4" t="s">
        <v>53</v>
      </c>
      <c r="D2532" s="3" t="s">
        <v>125</v>
      </c>
      <c r="E2532" s="3" t="s">
        <v>16</v>
      </c>
      <c r="F2532" s="3" t="str">
        <f t="shared" si="0"/>
        <v>3 - Otros</v>
      </c>
      <c r="G2532" s="3">
        <v>4</v>
      </c>
      <c r="H2532" s="2"/>
    </row>
    <row r="2533" spans="1:8" ht="12.75" hidden="1" x14ac:dyDescent="0.2">
      <c r="A2533" s="3" t="s">
        <v>176</v>
      </c>
      <c r="B2533" s="3">
        <v>23</v>
      </c>
      <c r="C2533" s="4" t="s">
        <v>53</v>
      </c>
      <c r="D2533" s="3" t="s">
        <v>125</v>
      </c>
      <c r="E2533" s="3" t="s">
        <v>129</v>
      </c>
      <c r="F2533" s="3" t="str">
        <f t="shared" si="0"/>
        <v>3 - Otros</v>
      </c>
      <c r="G2533" s="3">
        <v>2</v>
      </c>
      <c r="H2533" s="2"/>
    </row>
    <row r="2534" spans="1:8" ht="12.75" hidden="1" x14ac:dyDescent="0.2">
      <c r="A2534" s="3" t="s">
        <v>176</v>
      </c>
      <c r="B2534" s="3">
        <v>23</v>
      </c>
      <c r="C2534" s="4" t="s">
        <v>53</v>
      </c>
      <c r="D2534" s="3" t="s">
        <v>125</v>
      </c>
      <c r="E2534" s="3" t="s">
        <v>132</v>
      </c>
      <c r="F2534" s="3" t="str">
        <f t="shared" si="0"/>
        <v>2 - Frepam</v>
      </c>
      <c r="G2534" s="3">
        <v>92</v>
      </c>
      <c r="H2534" s="2"/>
    </row>
    <row r="2535" spans="1:8" ht="12.75" hidden="1" x14ac:dyDescent="0.2">
      <c r="A2535" s="3" t="s">
        <v>176</v>
      </c>
      <c r="B2535" s="3">
        <v>23</v>
      </c>
      <c r="C2535" s="4" t="s">
        <v>53</v>
      </c>
      <c r="D2535" s="3" t="s">
        <v>125</v>
      </c>
      <c r="E2535" s="3" t="s">
        <v>134</v>
      </c>
      <c r="F2535" s="3" t="str">
        <f t="shared" si="0"/>
        <v>3 - Otros</v>
      </c>
      <c r="G2535" s="3">
        <v>9</v>
      </c>
      <c r="H2535" s="2"/>
    </row>
    <row r="2536" spans="1:8" ht="12.75" hidden="1" x14ac:dyDescent="0.2">
      <c r="A2536" s="3" t="s">
        <v>176</v>
      </c>
      <c r="B2536" s="3">
        <v>23</v>
      </c>
      <c r="C2536" s="4" t="s">
        <v>53</v>
      </c>
      <c r="D2536" s="3" t="s">
        <v>125</v>
      </c>
      <c r="E2536" s="3" t="s">
        <v>152</v>
      </c>
      <c r="F2536" s="3" t="str">
        <f t="shared" si="0"/>
        <v>2 - Frepam</v>
      </c>
      <c r="G2536" s="3">
        <v>182</v>
      </c>
      <c r="H2536" s="2"/>
    </row>
    <row r="2537" spans="1:8" ht="12.75" hidden="1" x14ac:dyDescent="0.2">
      <c r="A2537" s="3" t="s">
        <v>176</v>
      </c>
      <c r="B2537" s="3">
        <v>23</v>
      </c>
      <c r="C2537" s="4" t="s">
        <v>53</v>
      </c>
      <c r="D2537" s="3" t="s">
        <v>125</v>
      </c>
      <c r="E2537" s="3" t="s">
        <v>138</v>
      </c>
      <c r="F2537" s="3" t="str">
        <f t="shared" si="0"/>
        <v>4 - Blanco/Nulo</v>
      </c>
      <c r="G2537" s="3">
        <v>0</v>
      </c>
      <c r="H2537" s="2"/>
    </row>
    <row r="2538" spans="1:8" ht="12.75" hidden="1" x14ac:dyDescent="0.2">
      <c r="A2538" s="3" t="s">
        <v>176</v>
      </c>
      <c r="B2538" s="3">
        <v>23</v>
      </c>
      <c r="C2538" s="4" t="s">
        <v>53</v>
      </c>
      <c r="D2538" s="3" t="s">
        <v>125</v>
      </c>
      <c r="E2538" s="3" t="s">
        <v>14</v>
      </c>
      <c r="F2538" s="3" t="str">
        <f t="shared" si="0"/>
        <v>4 - Blanco/Nulo</v>
      </c>
      <c r="G2538" s="3">
        <v>24</v>
      </c>
      <c r="H2538" s="2"/>
    </row>
    <row r="2539" spans="1:8" ht="12.75" hidden="1" x14ac:dyDescent="0.2">
      <c r="A2539" s="3" t="s">
        <v>176</v>
      </c>
      <c r="B2539" s="3">
        <v>24</v>
      </c>
      <c r="C2539" s="4" t="s">
        <v>54</v>
      </c>
      <c r="D2539" s="3" t="s">
        <v>125</v>
      </c>
      <c r="E2539" s="3" t="s">
        <v>3</v>
      </c>
      <c r="F2539" s="3" t="str">
        <f t="shared" si="0"/>
        <v>1 - PJ</v>
      </c>
      <c r="G2539" s="3">
        <v>187</v>
      </c>
      <c r="H2539" s="2"/>
    </row>
    <row r="2540" spans="1:8" ht="12.75" hidden="1" x14ac:dyDescent="0.2">
      <c r="A2540" s="3" t="s">
        <v>176</v>
      </c>
      <c r="B2540" s="3">
        <v>24</v>
      </c>
      <c r="C2540" s="4" t="s">
        <v>54</v>
      </c>
      <c r="D2540" s="3" t="s">
        <v>125</v>
      </c>
      <c r="E2540" s="3" t="s">
        <v>16</v>
      </c>
      <c r="F2540" s="3" t="str">
        <f t="shared" si="0"/>
        <v>3 - Otros</v>
      </c>
      <c r="G2540" s="3">
        <v>3</v>
      </c>
      <c r="H2540" s="2"/>
    </row>
    <row r="2541" spans="1:8" ht="12.75" hidden="1" x14ac:dyDescent="0.2">
      <c r="A2541" s="3" t="s">
        <v>176</v>
      </c>
      <c r="B2541" s="3">
        <v>24</v>
      </c>
      <c r="C2541" s="4" t="s">
        <v>54</v>
      </c>
      <c r="D2541" s="3" t="s">
        <v>125</v>
      </c>
      <c r="E2541" s="3" t="s">
        <v>129</v>
      </c>
      <c r="F2541" s="3" t="str">
        <f t="shared" si="0"/>
        <v>3 - Otros</v>
      </c>
      <c r="G2541" s="3">
        <v>2</v>
      </c>
      <c r="H2541" s="2"/>
    </row>
    <row r="2542" spans="1:8" ht="12.75" hidden="1" x14ac:dyDescent="0.2">
      <c r="A2542" s="3" t="s">
        <v>176</v>
      </c>
      <c r="B2542" s="3">
        <v>24</v>
      </c>
      <c r="C2542" s="4" t="s">
        <v>54</v>
      </c>
      <c r="D2542" s="3" t="s">
        <v>125</v>
      </c>
      <c r="E2542" s="3" t="s">
        <v>132</v>
      </c>
      <c r="F2542" s="3" t="str">
        <f t="shared" si="0"/>
        <v>2 - Frepam</v>
      </c>
      <c r="G2542" s="3">
        <v>10</v>
      </c>
      <c r="H2542" s="2"/>
    </row>
    <row r="2543" spans="1:8" ht="12.75" hidden="1" x14ac:dyDescent="0.2">
      <c r="A2543" s="3" t="s">
        <v>176</v>
      </c>
      <c r="B2543" s="3">
        <v>24</v>
      </c>
      <c r="C2543" s="4" t="s">
        <v>54</v>
      </c>
      <c r="D2543" s="3" t="s">
        <v>125</v>
      </c>
      <c r="E2543" s="3" t="s">
        <v>134</v>
      </c>
      <c r="F2543" s="3" t="str">
        <f t="shared" si="0"/>
        <v>3 - Otros</v>
      </c>
      <c r="G2543" s="3">
        <v>5</v>
      </c>
      <c r="H2543" s="2"/>
    </row>
    <row r="2544" spans="1:8" ht="12.75" hidden="1" x14ac:dyDescent="0.2">
      <c r="A2544" s="3" t="s">
        <v>176</v>
      </c>
      <c r="B2544" s="3">
        <v>24</v>
      </c>
      <c r="C2544" s="4" t="s">
        <v>54</v>
      </c>
      <c r="D2544" s="3" t="s">
        <v>125</v>
      </c>
      <c r="E2544" s="3" t="s">
        <v>152</v>
      </c>
      <c r="F2544" s="3" t="str">
        <f t="shared" si="0"/>
        <v>2 - Frepam</v>
      </c>
      <c r="G2544" s="3">
        <v>111</v>
      </c>
      <c r="H2544" s="2"/>
    </row>
    <row r="2545" spans="1:8" ht="12.75" hidden="1" x14ac:dyDescent="0.2">
      <c r="A2545" s="3" t="s">
        <v>176</v>
      </c>
      <c r="B2545" s="3">
        <v>24</v>
      </c>
      <c r="C2545" s="4" t="s">
        <v>54</v>
      </c>
      <c r="D2545" s="3" t="s">
        <v>125</v>
      </c>
      <c r="E2545" s="3" t="s">
        <v>138</v>
      </c>
      <c r="F2545" s="3" t="str">
        <f t="shared" si="0"/>
        <v>4 - Blanco/Nulo</v>
      </c>
      <c r="G2545" s="3">
        <v>11</v>
      </c>
      <c r="H2545" s="2"/>
    </row>
    <row r="2546" spans="1:8" ht="12.75" hidden="1" x14ac:dyDescent="0.2">
      <c r="A2546" s="3" t="s">
        <v>176</v>
      </c>
      <c r="B2546" s="3">
        <v>24</v>
      </c>
      <c r="C2546" s="4" t="s">
        <v>54</v>
      </c>
      <c r="D2546" s="3" t="s">
        <v>125</v>
      </c>
      <c r="E2546" s="3" t="s">
        <v>14</v>
      </c>
      <c r="F2546" s="3" t="str">
        <f t="shared" si="0"/>
        <v>4 - Blanco/Nulo</v>
      </c>
      <c r="G2546" s="3">
        <v>8</v>
      </c>
      <c r="H2546" s="2"/>
    </row>
    <row r="2547" spans="1:8" ht="12.75" hidden="1" x14ac:dyDescent="0.2">
      <c r="A2547" s="3" t="s">
        <v>176</v>
      </c>
      <c r="B2547" s="3">
        <v>25</v>
      </c>
      <c r="C2547" s="4" t="s">
        <v>55</v>
      </c>
      <c r="D2547" s="3" t="s">
        <v>125</v>
      </c>
      <c r="E2547" s="3" t="s">
        <v>3</v>
      </c>
      <c r="F2547" s="3" t="str">
        <f t="shared" si="0"/>
        <v>1 - PJ</v>
      </c>
      <c r="G2547" s="3">
        <v>380</v>
      </c>
      <c r="H2547" s="2"/>
    </row>
    <row r="2548" spans="1:8" ht="12.75" hidden="1" x14ac:dyDescent="0.2">
      <c r="A2548" s="3" t="s">
        <v>176</v>
      </c>
      <c r="B2548" s="3">
        <v>25</v>
      </c>
      <c r="C2548" s="4" t="s">
        <v>55</v>
      </c>
      <c r="D2548" s="3" t="s">
        <v>125</v>
      </c>
      <c r="E2548" s="3" t="s">
        <v>16</v>
      </c>
      <c r="F2548" s="3" t="str">
        <f t="shared" si="0"/>
        <v>3 - Otros</v>
      </c>
      <c r="G2548" s="3">
        <v>3</v>
      </c>
      <c r="H2548" s="2"/>
    </row>
    <row r="2549" spans="1:8" ht="12.75" hidden="1" x14ac:dyDescent="0.2">
      <c r="A2549" s="3" t="s">
        <v>176</v>
      </c>
      <c r="B2549" s="3">
        <v>25</v>
      </c>
      <c r="C2549" s="4" t="s">
        <v>55</v>
      </c>
      <c r="D2549" s="3" t="s">
        <v>125</v>
      </c>
      <c r="E2549" s="3" t="s">
        <v>129</v>
      </c>
      <c r="F2549" s="3" t="str">
        <f t="shared" si="0"/>
        <v>3 - Otros</v>
      </c>
      <c r="G2549" s="3">
        <v>3</v>
      </c>
      <c r="H2549" s="2"/>
    </row>
    <row r="2550" spans="1:8" ht="12.75" hidden="1" x14ac:dyDescent="0.2">
      <c r="A2550" s="3" t="s">
        <v>176</v>
      </c>
      <c r="B2550" s="3">
        <v>25</v>
      </c>
      <c r="C2550" s="4" t="s">
        <v>55</v>
      </c>
      <c r="D2550" s="3" t="s">
        <v>125</v>
      </c>
      <c r="E2550" s="3" t="s">
        <v>132</v>
      </c>
      <c r="F2550" s="3" t="str">
        <f t="shared" si="0"/>
        <v>2 - Frepam</v>
      </c>
      <c r="G2550" s="3">
        <v>74</v>
      </c>
      <c r="H2550" s="2"/>
    </row>
    <row r="2551" spans="1:8" ht="12.75" hidden="1" x14ac:dyDescent="0.2">
      <c r="A2551" s="3" t="s">
        <v>176</v>
      </c>
      <c r="B2551" s="3">
        <v>25</v>
      </c>
      <c r="C2551" s="4" t="s">
        <v>55</v>
      </c>
      <c r="D2551" s="3" t="s">
        <v>125</v>
      </c>
      <c r="E2551" s="3" t="s">
        <v>134</v>
      </c>
      <c r="F2551" s="3" t="str">
        <f t="shared" si="0"/>
        <v>3 - Otros</v>
      </c>
      <c r="G2551" s="3">
        <v>3</v>
      </c>
      <c r="H2551" s="2"/>
    </row>
    <row r="2552" spans="1:8" ht="12.75" hidden="1" x14ac:dyDescent="0.2">
      <c r="A2552" s="3" t="s">
        <v>176</v>
      </c>
      <c r="B2552" s="3">
        <v>25</v>
      </c>
      <c r="C2552" s="4" t="s">
        <v>55</v>
      </c>
      <c r="D2552" s="3" t="s">
        <v>125</v>
      </c>
      <c r="E2552" s="3" t="s">
        <v>152</v>
      </c>
      <c r="F2552" s="3" t="str">
        <f t="shared" si="0"/>
        <v>2 - Frepam</v>
      </c>
      <c r="G2552" s="3">
        <v>63</v>
      </c>
      <c r="H2552" s="2"/>
    </row>
    <row r="2553" spans="1:8" ht="12.75" hidden="1" x14ac:dyDescent="0.2">
      <c r="A2553" s="3" t="s">
        <v>176</v>
      </c>
      <c r="B2553" s="3">
        <v>25</v>
      </c>
      <c r="C2553" s="4" t="s">
        <v>55</v>
      </c>
      <c r="D2553" s="3" t="s">
        <v>125</v>
      </c>
      <c r="E2553" s="3" t="s">
        <v>138</v>
      </c>
      <c r="F2553" s="3" t="str">
        <f t="shared" si="0"/>
        <v>4 - Blanco/Nulo</v>
      </c>
      <c r="G2553" s="3">
        <v>9</v>
      </c>
      <c r="H2553" s="2"/>
    </row>
    <row r="2554" spans="1:8" ht="12.75" hidden="1" x14ac:dyDescent="0.2">
      <c r="A2554" s="3" t="s">
        <v>176</v>
      </c>
      <c r="B2554" s="3">
        <v>25</v>
      </c>
      <c r="C2554" s="4" t="s">
        <v>55</v>
      </c>
      <c r="D2554" s="3" t="s">
        <v>125</v>
      </c>
      <c r="E2554" s="3" t="s">
        <v>14</v>
      </c>
      <c r="F2554" s="3" t="str">
        <f t="shared" si="0"/>
        <v>4 - Blanco/Nulo</v>
      </c>
      <c r="G2554" s="3">
        <v>8</v>
      </c>
      <c r="H2554" s="2"/>
    </row>
    <row r="2555" spans="1:8" ht="12.75" hidden="1" x14ac:dyDescent="0.2">
      <c r="A2555" s="3" t="s">
        <v>176</v>
      </c>
      <c r="B2555" s="3">
        <v>26</v>
      </c>
      <c r="C2555" s="4" t="s">
        <v>56</v>
      </c>
      <c r="D2555" s="3" t="s">
        <v>125</v>
      </c>
      <c r="E2555" s="3" t="s">
        <v>3</v>
      </c>
      <c r="F2555" s="3" t="str">
        <f t="shared" si="0"/>
        <v>1 - PJ</v>
      </c>
      <c r="G2555" s="3">
        <v>273</v>
      </c>
      <c r="H2555" s="2"/>
    </row>
    <row r="2556" spans="1:8" ht="12.75" hidden="1" x14ac:dyDescent="0.2">
      <c r="A2556" s="3" t="s">
        <v>176</v>
      </c>
      <c r="B2556" s="3">
        <v>26</v>
      </c>
      <c r="C2556" s="4" t="s">
        <v>56</v>
      </c>
      <c r="D2556" s="3" t="s">
        <v>125</v>
      </c>
      <c r="E2556" s="3" t="s">
        <v>16</v>
      </c>
      <c r="F2556" s="3" t="str">
        <f t="shared" si="0"/>
        <v>3 - Otros</v>
      </c>
      <c r="G2556" s="3">
        <v>0</v>
      </c>
      <c r="H2556" s="2"/>
    </row>
    <row r="2557" spans="1:8" ht="12.75" hidden="1" x14ac:dyDescent="0.2">
      <c r="A2557" s="3" t="s">
        <v>176</v>
      </c>
      <c r="B2557" s="3">
        <v>26</v>
      </c>
      <c r="C2557" s="4" t="s">
        <v>56</v>
      </c>
      <c r="D2557" s="3" t="s">
        <v>125</v>
      </c>
      <c r="E2557" s="3" t="s">
        <v>129</v>
      </c>
      <c r="F2557" s="3" t="str">
        <f t="shared" si="0"/>
        <v>3 - Otros</v>
      </c>
      <c r="G2557" s="3">
        <v>2</v>
      </c>
      <c r="H2557" s="2"/>
    </row>
    <row r="2558" spans="1:8" ht="12.75" hidden="1" x14ac:dyDescent="0.2">
      <c r="A2558" s="3" t="s">
        <v>176</v>
      </c>
      <c r="B2558" s="3">
        <v>26</v>
      </c>
      <c r="C2558" s="4" t="s">
        <v>56</v>
      </c>
      <c r="D2558" s="3" t="s">
        <v>125</v>
      </c>
      <c r="E2558" s="3" t="s">
        <v>132</v>
      </c>
      <c r="F2558" s="3" t="str">
        <f t="shared" si="0"/>
        <v>2 - Frepam</v>
      </c>
      <c r="G2558" s="3">
        <v>6</v>
      </c>
      <c r="H2558" s="2"/>
    </row>
    <row r="2559" spans="1:8" ht="12.75" hidden="1" x14ac:dyDescent="0.2">
      <c r="A2559" s="3" t="s">
        <v>176</v>
      </c>
      <c r="B2559" s="3">
        <v>26</v>
      </c>
      <c r="C2559" s="4" t="s">
        <v>56</v>
      </c>
      <c r="D2559" s="3" t="s">
        <v>125</v>
      </c>
      <c r="E2559" s="3" t="s">
        <v>134</v>
      </c>
      <c r="F2559" s="3" t="str">
        <f t="shared" si="0"/>
        <v>3 - Otros</v>
      </c>
      <c r="G2559" s="3">
        <v>5</v>
      </c>
      <c r="H2559" s="2"/>
    </row>
    <row r="2560" spans="1:8" ht="12.75" hidden="1" x14ac:dyDescent="0.2">
      <c r="A2560" s="3" t="s">
        <v>176</v>
      </c>
      <c r="B2560" s="3">
        <v>26</v>
      </c>
      <c r="C2560" s="4" t="s">
        <v>56</v>
      </c>
      <c r="D2560" s="3" t="s">
        <v>125</v>
      </c>
      <c r="E2560" s="3" t="s">
        <v>152</v>
      </c>
      <c r="F2560" s="3" t="str">
        <f t="shared" si="0"/>
        <v>2 - Frepam</v>
      </c>
      <c r="G2560" s="3">
        <v>101</v>
      </c>
      <c r="H2560" s="2"/>
    </row>
    <row r="2561" spans="1:8" ht="12.75" hidden="1" x14ac:dyDescent="0.2">
      <c r="A2561" s="3" t="s">
        <v>176</v>
      </c>
      <c r="B2561" s="3">
        <v>26</v>
      </c>
      <c r="C2561" s="4" t="s">
        <v>56</v>
      </c>
      <c r="D2561" s="3" t="s">
        <v>125</v>
      </c>
      <c r="E2561" s="3" t="s">
        <v>138</v>
      </c>
      <c r="F2561" s="3" t="str">
        <f t="shared" si="0"/>
        <v>4 - Blanco/Nulo</v>
      </c>
      <c r="G2561" s="3">
        <v>14</v>
      </c>
      <c r="H2561" s="2"/>
    </row>
    <row r="2562" spans="1:8" ht="12.75" hidden="1" x14ac:dyDescent="0.2">
      <c r="A2562" s="3" t="s">
        <v>176</v>
      </c>
      <c r="B2562" s="3">
        <v>26</v>
      </c>
      <c r="C2562" s="4" t="s">
        <v>56</v>
      </c>
      <c r="D2562" s="3" t="s">
        <v>125</v>
      </c>
      <c r="E2562" s="3" t="s">
        <v>14</v>
      </c>
      <c r="F2562" s="3" t="str">
        <f t="shared" si="0"/>
        <v>4 - Blanco/Nulo</v>
      </c>
      <c r="G2562" s="3">
        <v>1</v>
      </c>
      <c r="H2562" s="2"/>
    </row>
    <row r="2563" spans="1:8" ht="12.75" hidden="1" x14ac:dyDescent="0.2">
      <c r="A2563" s="3" t="s">
        <v>176</v>
      </c>
      <c r="B2563" s="3">
        <v>27</v>
      </c>
      <c r="C2563" s="4" t="s">
        <v>57</v>
      </c>
      <c r="D2563" s="3" t="s">
        <v>125</v>
      </c>
      <c r="E2563" s="3" t="s">
        <v>3</v>
      </c>
      <c r="F2563" s="3" t="str">
        <f t="shared" si="0"/>
        <v>1 - PJ</v>
      </c>
      <c r="G2563" s="3">
        <v>2488</v>
      </c>
      <c r="H2563" s="2"/>
    </row>
    <row r="2564" spans="1:8" ht="12.75" hidden="1" x14ac:dyDescent="0.2">
      <c r="A2564" s="3" t="s">
        <v>176</v>
      </c>
      <c r="B2564" s="3">
        <v>27</v>
      </c>
      <c r="C2564" s="4" t="s">
        <v>57</v>
      </c>
      <c r="D2564" s="3" t="s">
        <v>125</v>
      </c>
      <c r="E2564" s="3" t="s">
        <v>16</v>
      </c>
      <c r="F2564" s="3" t="str">
        <f t="shared" si="0"/>
        <v>3 - Otros</v>
      </c>
      <c r="G2564" s="3">
        <v>83</v>
      </c>
      <c r="H2564" s="2"/>
    </row>
    <row r="2565" spans="1:8" ht="12.75" hidden="1" x14ac:dyDescent="0.2">
      <c r="A2565" s="3" t="s">
        <v>176</v>
      </c>
      <c r="B2565" s="3">
        <v>27</v>
      </c>
      <c r="C2565" s="4" t="s">
        <v>57</v>
      </c>
      <c r="D2565" s="3" t="s">
        <v>125</v>
      </c>
      <c r="E2565" s="3" t="s">
        <v>129</v>
      </c>
      <c r="F2565" s="3" t="str">
        <f t="shared" si="0"/>
        <v>3 - Otros</v>
      </c>
      <c r="G2565" s="3">
        <v>106</v>
      </c>
      <c r="H2565" s="2"/>
    </row>
    <row r="2566" spans="1:8" ht="12.75" hidden="1" x14ac:dyDescent="0.2">
      <c r="A2566" s="3" t="s">
        <v>176</v>
      </c>
      <c r="B2566" s="3">
        <v>27</v>
      </c>
      <c r="C2566" s="4" t="s">
        <v>57</v>
      </c>
      <c r="D2566" s="3" t="s">
        <v>125</v>
      </c>
      <c r="E2566" s="3" t="s">
        <v>132</v>
      </c>
      <c r="F2566" s="3" t="str">
        <f t="shared" si="0"/>
        <v>2 - Frepam</v>
      </c>
      <c r="G2566" s="3">
        <v>235</v>
      </c>
      <c r="H2566" s="2"/>
    </row>
    <row r="2567" spans="1:8" ht="12.75" hidden="1" x14ac:dyDescent="0.2">
      <c r="A2567" s="3" t="s">
        <v>176</v>
      </c>
      <c r="B2567" s="3">
        <v>27</v>
      </c>
      <c r="C2567" s="4" t="s">
        <v>57</v>
      </c>
      <c r="D2567" s="3" t="s">
        <v>125</v>
      </c>
      <c r="E2567" s="3" t="s">
        <v>134</v>
      </c>
      <c r="F2567" s="3" t="str">
        <f t="shared" si="0"/>
        <v>3 - Otros</v>
      </c>
      <c r="G2567" s="3">
        <v>78</v>
      </c>
      <c r="H2567" s="2"/>
    </row>
    <row r="2568" spans="1:8" ht="12.75" hidden="1" x14ac:dyDescent="0.2">
      <c r="A2568" s="3" t="s">
        <v>176</v>
      </c>
      <c r="B2568" s="3">
        <v>27</v>
      </c>
      <c r="C2568" s="4" t="s">
        <v>57</v>
      </c>
      <c r="D2568" s="3" t="s">
        <v>125</v>
      </c>
      <c r="E2568" s="3" t="s">
        <v>152</v>
      </c>
      <c r="F2568" s="3" t="str">
        <f t="shared" si="0"/>
        <v>2 - Frepam</v>
      </c>
      <c r="G2568" s="3">
        <v>3130</v>
      </c>
      <c r="H2568" s="2"/>
    </row>
    <row r="2569" spans="1:8" ht="12.75" hidden="1" x14ac:dyDescent="0.2">
      <c r="A2569" s="3" t="s">
        <v>176</v>
      </c>
      <c r="B2569" s="3">
        <v>27</v>
      </c>
      <c r="C2569" s="4" t="s">
        <v>57</v>
      </c>
      <c r="D2569" s="3" t="s">
        <v>125</v>
      </c>
      <c r="E2569" s="3" t="s">
        <v>138</v>
      </c>
      <c r="F2569" s="3" t="str">
        <f t="shared" si="0"/>
        <v>4 - Blanco/Nulo</v>
      </c>
      <c r="G2569" s="3">
        <v>268</v>
      </c>
      <c r="H2569" s="2"/>
    </row>
    <row r="2570" spans="1:8" ht="12.75" hidden="1" x14ac:dyDescent="0.2">
      <c r="A2570" s="3" t="s">
        <v>176</v>
      </c>
      <c r="B2570" s="3">
        <v>27</v>
      </c>
      <c r="C2570" s="4" t="s">
        <v>57</v>
      </c>
      <c r="D2570" s="3" t="s">
        <v>125</v>
      </c>
      <c r="E2570" s="3" t="s">
        <v>14</v>
      </c>
      <c r="F2570" s="3" t="str">
        <f t="shared" si="0"/>
        <v>4 - Blanco/Nulo</v>
      </c>
      <c r="G2570" s="3">
        <v>117</v>
      </c>
      <c r="H2570" s="2"/>
    </row>
    <row r="2571" spans="1:8" ht="12.75" hidden="1" x14ac:dyDescent="0.2">
      <c r="A2571" s="3" t="s">
        <v>176</v>
      </c>
      <c r="B2571" s="3">
        <v>28</v>
      </c>
      <c r="C2571" s="4" t="s">
        <v>58</v>
      </c>
      <c r="D2571" s="3" t="s">
        <v>125</v>
      </c>
      <c r="E2571" s="3" t="s">
        <v>3</v>
      </c>
      <c r="F2571" s="3" t="str">
        <f t="shared" si="0"/>
        <v>1 - PJ</v>
      </c>
      <c r="G2571" s="3">
        <v>100</v>
      </c>
      <c r="H2571" s="2"/>
    </row>
    <row r="2572" spans="1:8" ht="12.75" hidden="1" x14ac:dyDescent="0.2">
      <c r="A2572" s="3" t="s">
        <v>176</v>
      </c>
      <c r="B2572" s="3">
        <v>28</v>
      </c>
      <c r="C2572" s="4" t="s">
        <v>58</v>
      </c>
      <c r="D2572" s="3" t="s">
        <v>125</v>
      </c>
      <c r="E2572" s="3" t="s">
        <v>16</v>
      </c>
      <c r="F2572" s="3" t="str">
        <f t="shared" si="0"/>
        <v>3 - Otros</v>
      </c>
      <c r="G2572" s="3">
        <v>0</v>
      </c>
      <c r="H2572" s="2"/>
    </row>
    <row r="2573" spans="1:8" ht="12.75" hidden="1" x14ac:dyDescent="0.2">
      <c r="A2573" s="3" t="s">
        <v>176</v>
      </c>
      <c r="B2573" s="3">
        <v>28</v>
      </c>
      <c r="C2573" s="4" t="s">
        <v>58</v>
      </c>
      <c r="D2573" s="3" t="s">
        <v>125</v>
      </c>
      <c r="E2573" s="3" t="s">
        <v>129</v>
      </c>
      <c r="F2573" s="3" t="str">
        <f t="shared" si="0"/>
        <v>3 - Otros</v>
      </c>
      <c r="G2573" s="3">
        <v>6</v>
      </c>
      <c r="H2573" s="2"/>
    </row>
    <row r="2574" spans="1:8" ht="12.75" hidden="1" x14ac:dyDescent="0.2">
      <c r="A2574" s="3" t="s">
        <v>176</v>
      </c>
      <c r="B2574" s="3">
        <v>28</v>
      </c>
      <c r="C2574" s="4" t="s">
        <v>58</v>
      </c>
      <c r="D2574" s="3" t="s">
        <v>125</v>
      </c>
      <c r="E2574" s="3" t="s">
        <v>132</v>
      </c>
      <c r="F2574" s="3" t="str">
        <f t="shared" si="0"/>
        <v>2 - Frepam</v>
      </c>
      <c r="G2574" s="3">
        <v>15</v>
      </c>
      <c r="H2574" s="2"/>
    </row>
    <row r="2575" spans="1:8" ht="12.75" hidden="1" x14ac:dyDescent="0.2">
      <c r="A2575" s="3" t="s">
        <v>176</v>
      </c>
      <c r="B2575" s="3">
        <v>28</v>
      </c>
      <c r="C2575" s="4" t="s">
        <v>58</v>
      </c>
      <c r="D2575" s="3" t="s">
        <v>125</v>
      </c>
      <c r="E2575" s="3" t="s">
        <v>134</v>
      </c>
      <c r="F2575" s="3" t="str">
        <f t="shared" si="0"/>
        <v>3 - Otros</v>
      </c>
      <c r="G2575" s="3">
        <v>4</v>
      </c>
      <c r="H2575" s="2"/>
    </row>
    <row r="2576" spans="1:8" ht="12.75" hidden="1" x14ac:dyDescent="0.2">
      <c r="A2576" s="3" t="s">
        <v>176</v>
      </c>
      <c r="B2576" s="3">
        <v>28</v>
      </c>
      <c r="C2576" s="4" t="s">
        <v>58</v>
      </c>
      <c r="D2576" s="3" t="s">
        <v>125</v>
      </c>
      <c r="E2576" s="3" t="s">
        <v>152</v>
      </c>
      <c r="F2576" s="3" t="str">
        <f t="shared" si="0"/>
        <v>2 - Frepam</v>
      </c>
      <c r="G2576" s="3">
        <v>146</v>
      </c>
      <c r="H2576" s="2"/>
    </row>
    <row r="2577" spans="1:8" ht="12.75" hidden="1" x14ac:dyDescent="0.2">
      <c r="A2577" s="3" t="s">
        <v>176</v>
      </c>
      <c r="B2577" s="3">
        <v>28</v>
      </c>
      <c r="C2577" s="4" t="s">
        <v>58</v>
      </c>
      <c r="D2577" s="3" t="s">
        <v>125</v>
      </c>
      <c r="E2577" s="3" t="s">
        <v>138</v>
      </c>
      <c r="F2577" s="3" t="str">
        <f t="shared" si="0"/>
        <v>4 - Blanco/Nulo</v>
      </c>
      <c r="G2577" s="3">
        <v>3</v>
      </c>
      <c r="H2577" s="2"/>
    </row>
    <row r="2578" spans="1:8" ht="12.75" hidden="1" x14ac:dyDescent="0.2">
      <c r="A2578" s="3" t="s">
        <v>176</v>
      </c>
      <c r="B2578" s="3">
        <v>28</v>
      </c>
      <c r="C2578" s="4" t="s">
        <v>58</v>
      </c>
      <c r="D2578" s="3" t="s">
        <v>125</v>
      </c>
      <c r="E2578" s="3" t="s">
        <v>14</v>
      </c>
      <c r="F2578" s="3" t="str">
        <f t="shared" si="0"/>
        <v>4 - Blanco/Nulo</v>
      </c>
      <c r="G2578" s="3">
        <v>2</v>
      </c>
      <c r="H2578" s="2"/>
    </row>
    <row r="2579" spans="1:8" ht="12.75" hidden="1" x14ac:dyDescent="0.2">
      <c r="A2579" s="3" t="s">
        <v>176</v>
      </c>
      <c r="B2579" s="3">
        <v>29</v>
      </c>
      <c r="C2579" s="4" t="s">
        <v>59</v>
      </c>
      <c r="D2579" s="3" t="s">
        <v>125</v>
      </c>
      <c r="E2579" s="3" t="s">
        <v>3</v>
      </c>
      <c r="F2579" s="3" t="str">
        <f t="shared" si="0"/>
        <v>1 - PJ</v>
      </c>
      <c r="G2579" s="3">
        <v>183</v>
      </c>
      <c r="H2579" s="2"/>
    </row>
    <row r="2580" spans="1:8" ht="12.75" hidden="1" x14ac:dyDescent="0.2">
      <c r="A2580" s="3" t="s">
        <v>176</v>
      </c>
      <c r="B2580" s="3">
        <v>29</v>
      </c>
      <c r="C2580" s="4" t="s">
        <v>59</v>
      </c>
      <c r="D2580" s="3" t="s">
        <v>125</v>
      </c>
      <c r="E2580" s="3" t="s">
        <v>16</v>
      </c>
      <c r="F2580" s="3" t="str">
        <f t="shared" si="0"/>
        <v>3 - Otros</v>
      </c>
      <c r="G2580" s="3">
        <v>3</v>
      </c>
      <c r="H2580" s="2"/>
    </row>
    <row r="2581" spans="1:8" ht="12.75" hidden="1" x14ac:dyDescent="0.2">
      <c r="A2581" s="3" t="s">
        <v>176</v>
      </c>
      <c r="B2581" s="3">
        <v>29</v>
      </c>
      <c r="C2581" s="4" t="s">
        <v>59</v>
      </c>
      <c r="D2581" s="3" t="s">
        <v>125</v>
      </c>
      <c r="E2581" s="3" t="s">
        <v>129</v>
      </c>
      <c r="F2581" s="3" t="str">
        <f t="shared" si="0"/>
        <v>3 - Otros</v>
      </c>
      <c r="G2581" s="3">
        <v>2</v>
      </c>
      <c r="H2581" s="2"/>
    </row>
    <row r="2582" spans="1:8" ht="12.75" hidden="1" x14ac:dyDescent="0.2">
      <c r="A2582" s="3" t="s">
        <v>176</v>
      </c>
      <c r="B2582" s="3">
        <v>29</v>
      </c>
      <c r="C2582" s="4" t="s">
        <v>59</v>
      </c>
      <c r="D2582" s="3" t="s">
        <v>125</v>
      </c>
      <c r="E2582" s="3" t="s">
        <v>132</v>
      </c>
      <c r="F2582" s="3" t="str">
        <f t="shared" si="0"/>
        <v>2 - Frepam</v>
      </c>
      <c r="G2582" s="3">
        <v>28</v>
      </c>
      <c r="H2582" s="2"/>
    </row>
    <row r="2583" spans="1:8" ht="12.75" hidden="1" x14ac:dyDescent="0.2">
      <c r="A2583" s="3" t="s">
        <v>176</v>
      </c>
      <c r="B2583" s="3">
        <v>29</v>
      </c>
      <c r="C2583" s="4" t="s">
        <v>59</v>
      </c>
      <c r="D2583" s="3" t="s">
        <v>125</v>
      </c>
      <c r="E2583" s="3" t="s">
        <v>134</v>
      </c>
      <c r="F2583" s="3" t="str">
        <f t="shared" si="0"/>
        <v>3 - Otros</v>
      </c>
      <c r="G2583" s="3">
        <v>5</v>
      </c>
      <c r="H2583" s="2"/>
    </row>
    <row r="2584" spans="1:8" ht="12.75" hidden="1" x14ac:dyDescent="0.2">
      <c r="A2584" s="3" t="s">
        <v>176</v>
      </c>
      <c r="B2584" s="3">
        <v>29</v>
      </c>
      <c r="C2584" s="4" t="s">
        <v>59</v>
      </c>
      <c r="D2584" s="3" t="s">
        <v>125</v>
      </c>
      <c r="E2584" s="3" t="s">
        <v>152</v>
      </c>
      <c r="F2584" s="3" t="str">
        <f t="shared" si="0"/>
        <v>2 - Frepam</v>
      </c>
      <c r="G2584" s="3">
        <v>178</v>
      </c>
      <c r="H2584" s="2"/>
    </row>
    <row r="2585" spans="1:8" ht="12.75" hidden="1" x14ac:dyDescent="0.2">
      <c r="A2585" s="3" t="s">
        <v>176</v>
      </c>
      <c r="B2585" s="3">
        <v>29</v>
      </c>
      <c r="C2585" s="4" t="s">
        <v>59</v>
      </c>
      <c r="D2585" s="3" t="s">
        <v>125</v>
      </c>
      <c r="E2585" s="3" t="s">
        <v>138</v>
      </c>
      <c r="F2585" s="3" t="str">
        <f t="shared" si="0"/>
        <v>4 - Blanco/Nulo</v>
      </c>
      <c r="G2585" s="3">
        <v>14</v>
      </c>
      <c r="H2585" s="2"/>
    </row>
    <row r="2586" spans="1:8" ht="12.75" hidden="1" x14ac:dyDescent="0.2">
      <c r="A2586" s="3" t="s">
        <v>176</v>
      </c>
      <c r="B2586" s="3">
        <v>29</v>
      </c>
      <c r="C2586" s="4" t="s">
        <v>59</v>
      </c>
      <c r="D2586" s="3" t="s">
        <v>125</v>
      </c>
      <c r="E2586" s="3" t="s">
        <v>14</v>
      </c>
      <c r="F2586" s="3" t="str">
        <f t="shared" si="0"/>
        <v>4 - Blanco/Nulo</v>
      </c>
      <c r="G2586" s="3">
        <v>6</v>
      </c>
      <c r="H2586" s="2"/>
    </row>
    <row r="2587" spans="1:8" ht="12.75" hidden="1" x14ac:dyDescent="0.2">
      <c r="A2587" s="3" t="s">
        <v>176</v>
      </c>
      <c r="B2587" s="3">
        <v>30</v>
      </c>
      <c r="C2587" s="4" t="s">
        <v>60</v>
      </c>
      <c r="D2587" s="3" t="s">
        <v>125</v>
      </c>
      <c r="E2587" s="3" t="s">
        <v>3</v>
      </c>
      <c r="F2587" s="3" t="str">
        <f t="shared" si="0"/>
        <v>1 - PJ</v>
      </c>
      <c r="G2587" s="3">
        <v>137</v>
      </c>
      <c r="H2587" s="2"/>
    </row>
    <row r="2588" spans="1:8" ht="12.75" hidden="1" x14ac:dyDescent="0.2">
      <c r="A2588" s="3" t="s">
        <v>176</v>
      </c>
      <c r="B2588" s="3">
        <v>30</v>
      </c>
      <c r="C2588" s="4" t="s">
        <v>60</v>
      </c>
      <c r="D2588" s="3" t="s">
        <v>125</v>
      </c>
      <c r="E2588" s="3" t="s">
        <v>16</v>
      </c>
      <c r="F2588" s="3" t="str">
        <f t="shared" si="0"/>
        <v>3 - Otros</v>
      </c>
      <c r="G2588" s="3">
        <v>0</v>
      </c>
      <c r="H2588" s="2"/>
    </row>
    <row r="2589" spans="1:8" ht="12.75" hidden="1" x14ac:dyDescent="0.2">
      <c r="A2589" s="3" t="s">
        <v>176</v>
      </c>
      <c r="B2589" s="3">
        <v>30</v>
      </c>
      <c r="C2589" s="4" t="s">
        <v>60</v>
      </c>
      <c r="D2589" s="3" t="s">
        <v>125</v>
      </c>
      <c r="E2589" s="3" t="s">
        <v>129</v>
      </c>
      <c r="F2589" s="3" t="str">
        <f t="shared" si="0"/>
        <v>3 - Otros</v>
      </c>
      <c r="G2589" s="3">
        <v>2</v>
      </c>
      <c r="H2589" s="2"/>
    </row>
    <row r="2590" spans="1:8" ht="12.75" hidden="1" x14ac:dyDescent="0.2">
      <c r="A2590" s="3" t="s">
        <v>176</v>
      </c>
      <c r="B2590" s="3">
        <v>30</v>
      </c>
      <c r="C2590" s="4" t="s">
        <v>60</v>
      </c>
      <c r="D2590" s="3" t="s">
        <v>125</v>
      </c>
      <c r="E2590" s="3" t="s">
        <v>132</v>
      </c>
      <c r="F2590" s="3" t="str">
        <f t="shared" si="0"/>
        <v>2 - Frepam</v>
      </c>
      <c r="G2590" s="3">
        <v>3</v>
      </c>
      <c r="H2590" s="2"/>
    </row>
    <row r="2591" spans="1:8" ht="12.75" hidden="1" x14ac:dyDescent="0.2">
      <c r="A2591" s="3" t="s">
        <v>176</v>
      </c>
      <c r="B2591" s="3">
        <v>30</v>
      </c>
      <c r="C2591" s="4" t="s">
        <v>60</v>
      </c>
      <c r="D2591" s="3" t="s">
        <v>125</v>
      </c>
      <c r="E2591" s="3" t="s">
        <v>134</v>
      </c>
      <c r="F2591" s="3" t="str">
        <f t="shared" si="0"/>
        <v>3 - Otros</v>
      </c>
      <c r="G2591" s="3">
        <v>7</v>
      </c>
      <c r="H2591" s="2"/>
    </row>
    <row r="2592" spans="1:8" ht="12.75" hidden="1" x14ac:dyDescent="0.2">
      <c r="A2592" s="3" t="s">
        <v>176</v>
      </c>
      <c r="B2592" s="3">
        <v>30</v>
      </c>
      <c r="C2592" s="4" t="s">
        <v>60</v>
      </c>
      <c r="D2592" s="3" t="s">
        <v>125</v>
      </c>
      <c r="E2592" s="3" t="s">
        <v>152</v>
      </c>
      <c r="F2592" s="3" t="str">
        <f t="shared" si="0"/>
        <v>2 - Frepam</v>
      </c>
      <c r="G2592" s="3">
        <v>41</v>
      </c>
      <c r="H2592" s="2"/>
    </row>
    <row r="2593" spans="1:8" ht="12.75" hidden="1" x14ac:dyDescent="0.2">
      <c r="A2593" s="3" t="s">
        <v>176</v>
      </c>
      <c r="B2593" s="3">
        <v>30</v>
      </c>
      <c r="C2593" s="4" t="s">
        <v>60</v>
      </c>
      <c r="D2593" s="3" t="s">
        <v>125</v>
      </c>
      <c r="E2593" s="3" t="s">
        <v>138</v>
      </c>
      <c r="F2593" s="3" t="str">
        <f t="shared" si="0"/>
        <v>4 - Blanco/Nulo</v>
      </c>
      <c r="G2593" s="3">
        <v>0</v>
      </c>
      <c r="H2593" s="2"/>
    </row>
    <row r="2594" spans="1:8" ht="12.75" hidden="1" x14ac:dyDescent="0.2">
      <c r="A2594" s="3" t="s">
        <v>176</v>
      </c>
      <c r="B2594" s="3">
        <v>30</v>
      </c>
      <c r="C2594" s="4" t="s">
        <v>60</v>
      </c>
      <c r="D2594" s="3" t="s">
        <v>125</v>
      </c>
      <c r="E2594" s="3" t="s">
        <v>14</v>
      </c>
      <c r="F2594" s="3" t="str">
        <f t="shared" si="0"/>
        <v>4 - Blanco/Nulo</v>
      </c>
      <c r="G2594" s="3">
        <v>15</v>
      </c>
      <c r="H2594" s="2"/>
    </row>
    <row r="2595" spans="1:8" ht="12.75" hidden="1" x14ac:dyDescent="0.2">
      <c r="A2595" s="3" t="s">
        <v>176</v>
      </c>
      <c r="B2595" s="3">
        <v>31</v>
      </c>
      <c r="C2595" s="4" t="s">
        <v>61</v>
      </c>
      <c r="D2595" s="3" t="s">
        <v>125</v>
      </c>
      <c r="E2595" s="3" t="s">
        <v>3</v>
      </c>
      <c r="F2595" s="3" t="str">
        <f t="shared" si="0"/>
        <v>1 - PJ</v>
      </c>
      <c r="G2595" s="3">
        <v>657</v>
      </c>
      <c r="H2595" s="2"/>
    </row>
    <row r="2596" spans="1:8" ht="12.75" hidden="1" x14ac:dyDescent="0.2">
      <c r="A2596" s="3" t="s">
        <v>176</v>
      </c>
      <c r="B2596" s="3">
        <v>31</v>
      </c>
      <c r="C2596" s="4" t="s">
        <v>61</v>
      </c>
      <c r="D2596" s="3" t="s">
        <v>125</v>
      </c>
      <c r="E2596" s="3" t="s">
        <v>16</v>
      </c>
      <c r="F2596" s="3" t="str">
        <f t="shared" si="0"/>
        <v>3 - Otros</v>
      </c>
      <c r="G2596" s="3">
        <v>24</v>
      </c>
      <c r="H2596" s="2"/>
    </row>
    <row r="2597" spans="1:8" ht="12.75" hidden="1" x14ac:dyDescent="0.2">
      <c r="A2597" s="3" t="s">
        <v>176</v>
      </c>
      <c r="B2597" s="3">
        <v>31</v>
      </c>
      <c r="C2597" s="4" t="s">
        <v>61</v>
      </c>
      <c r="D2597" s="3" t="s">
        <v>125</v>
      </c>
      <c r="E2597" s="3" t="s">
        <v>129</v>
      </c>
      <c r="F2597" s="3" t="str">
        <f t="shared" si="0"/>
        <v>3 - Otros</v>
      </c>
      <c r="G2597" s="3">
        <v>21</v>
      </c>
      <c r="H2597" s="2"/>
    </row>
    <row r="2598" spans="1:8" ht="12.75" hidden="1" x14ac:dyDescent="0.2">
      <c r="A2598" s="3" t="s">
        <v>176</v>
      </c>
      <c r="B2598" s="3">
        <v>31</v>
      </c>
      <c r="C2598" s="4" t="s">
        <v>61</v>
      </c>
      <c r="D2598" s="3" t="s">
        <v>125</v>
      </c>
      <c r="E2598" s="3" t="s">
        <v>132</v>
      </c>
      <c r="F2598" s="3" t="str">
        <f t="shared" si="0"/>
        <v>2 - Frepam</v>
      </c>
      <c r="G2598" s="3">
        <v>33</v>
      </c>
      <c r="H2598" s="2"/>
    </row>
    <row r="2599" spans="1:8" ht="12.75" hidden="1" x14ac:dyDescent="0.2">
      <c r="A2599" s="3" t="s">
        <v>176</v>
      </c>
      <c r="B2599" s="3">
        <v>31</v>
      </c>
      <c r="C2599" s="4" t="s">
        <v>61</v>
      </c>
      <c r="D2599" s="3" t="s">
        <v>125</v>
      </c>
      <c r="E2599" s="3" t="s">
        <v>134</v>
      </c>
      <c r="F2599" s="3" t="str">
        <f t="shared" si="0"/>
        <v>3 - Otros</v>
      </c>
      <c r="G2599" s="3">
        <v>29</v>
      </c>
      <c r="H2599" s="2"/>
    </row>
    <row r="2600" spans="1:8" ht="12.75" hidden="1" x14ac:dyDescent="0.2">
      <c r="A2600" s="3" t="s">
        <v>176</v>
      </c>
      <c r="B2600" s="3">
        <v>31</v>
      </c>
      <c r="C2600" s="4" t="s">
        <v>61</v>
      </c>
      <c r="D2600" s="3" t="s">
        <v>125</v>
      </c>
      <c r="E2600" s="3" t="s">
        <v>152</v>
      </c>
      <c r="F2600" s="3" t="str">
        <f t="shared" si="0"/>
        <v>2 - Frepam</v>
      </c>
      <c r="G2600" s="3">
        <v>976</v>
      </c>
      <c r="H2600" s="2"/>
    </row>
    <row r="2601" spans="1:8" ht="12.75" hidden="1" x14ac:dyDescent="0.2">
      <c r="A2601" s="3" t="s">
        <v>176</v>
      </c>
      <c r="B2601" s="3">
        <v>31</v>
      </c>
      <c r="C2601" s="4" t="s">
        <v>61</v>
      </c>
      <c r="D2601" s="3" t="s">
        <v>125</v>
      </c>
      <c r="E2601" s="3" t="s">
        <v>138</v>
      </c>
      <c r="F2601" s="3" t="str">
        <f t="shared" si="0"/>
        <v>4 - Blanco/Nulo</v>
      </c>
      <c r="G2601" s="3">
        <v>37</v>
      </c>
      <c r="H2601" s="2"/>
    </row>
    <row r="2602" spans="1:8" ht="12.75" hidden="1" x14ac:dyDescent="0.2">
      <c r="A2602" s="3" t="s">
        <v>176</v>
      </c>
      <c r="B2602" s="3">
        <v>31</v>
      </c>
      <c r="C2602" s="4" t="s">
        <v>61</v>
      </c>
      <c r="D2602" s="3" t="s">
        <v>125</v>
      </c>
      <c r="E2602" s="3" t="s">
        <v>14</v>
      </c>
      <c r="F2602" s="3" t="str">
        <f t="shared" si="0"/>
        <v>4 - Blanco/Nulo</v>
      </c>
      <c r="G2602" s="3">
        <v>78</v>
      </c>
      <c r="H2602" s="2"/>
    </row>
    <row r="2603" spans="1:8" ht="12.75" hidden="1" x14ac:dyDescent="0.2">
      <c r="A2603" s="3" t="s">
        <v>176</v>
      </c>
      <c r="B2603" s="3">
        <v>32</v>
      </c>
      <c r="C2603" s="4" t="s">
        <v>62</v>
      </c>
      <c r="D2603" s="3" t="s">
        <v>125</v>
      </c>
      <c r="E2603" s="3" t="s">
        <v>3</v>
      </c>
      <c r="F2603" s="3" t="str">
        <f t="shared" si="0"/>
        <v>1 - PJ</v>
      </c>
      <c r="G2603" s="3">
        <v>171</v>
      </c>
      <c r="H2603" s="2"/>
    </row>
    <row r="2604" spans="1:8" ht="12.75" hidden="1" x14ac:dyDescent="0.2">
      <c r="A2604" s="3" t="s">
        <v>176</v>
      </c>
      <c r="B2604" s="3">
        <v>32</v>
      </c>
      <c r="C2604" s="4" t="s">
        <v>62</v>
      </c>
      <c r="D2604" s="3" t="s">
        <v>125</v>
      </c>
      <c r="E2604" s="3" t="s">
        <v>16</v>
      </c>
      <c r="F2604" s="3" t="str">
        <f t="shared" si="0"/>
        <v>3 - Otros</v>
      </c>
      <c r="G2604" s="3">
        <v>1</v>
      </c>
      <c r="H2604" s="2"/>
    </row>
    <row r="2605" spans="1:8" ht="12.75" hidden="1" x14ac:dyDescent="0.2">
      <c r="A2605" s="3" t="s">
        <v>176</v>
      </c>
      <c r="B2605" s="3">
        <v>32</v>
      </c>
      <c r="C2605" s="4" t="s">
        <v>62</v>
      </c>
      <c r="D2605" s="3" t="s">
        <v>125</v>
      </c>
      <c r="E2605" s="3" t="s">
        <v>129</v>
      </c>
      <c r="F2605" s="3" t="str">
        <f t="shared" si="0"/>
        <v>3 - Otros</v>
      </c>
      <c r="G2605" s="3">
        <v>2</v>
      </c>
      <c r="H2605" s="2"/>
    </row>
    <row r="2606" spans="1:8" ht="12.75" hidden="1" x14ac:dyDescent="0.2">
      <c r="A2606" s="3" t="s">
        <v>176</v>
      </c>
      <c r="B2606" s="3">
        <v>32</v>
      </c>
      <c r="C2606" s="4" t="s">
        <v>62</v>
      </c>
      <c r="D2606" s="3" t="s">
        <v>125</v>
      </c>
      <c r="E2606" s="3" t="s">
        <v>132</v>
      </c>
      <c r="F2606" s="3" t="str">
        <f t="shared" si="0"/>
        <v>2 - Frepam</v>
      </c>
      <c r="G2606" s="3">
        <v>2</v>
      </c>
      <c r="H2606" s="2"/>
    </row>
    <row r="2607" spans="1:8" ht="12.75" hidden="1" x14ac:dyDescent="0.2">
      <c r="A2607" s="3" t="s">
        <v>176</v>
      </c>
      <c r="B2607" s="3">
        <v>32</v>
      </c>
      <c r="C2607" s="4" t="s">
        <v>62</v>
      </c>
      <c r="D2607" s="3" t="s">
        <v>125</v>
      </c>
      <c r="E2607" s="3" t="s">
        <v>134</v>
      </c>
      <c r="F2607" s="3" t="str">
        <f t="shared" si="0"/>
        <v>3 - Otros</v>
      </c>
      <c r="G2607" s="3">
        <v>1</v>
      </c>
      <c r="H2607" s="2"/>
    </row>
    <row r="2608" spans="1:8" ht="12.75" hidden="1" x14ac:dyDescent="0.2">
      <c r="A2608" s="3" t="s">
        <v>176</v>
      </c>
      <c r="B2608" s="3">
        <v>32</v>
      </c>
      <c r="C2608" s="4" t="s">
        <v>62</v>
      </c>
      <c r="D2608" s="3" t="s">
        <v>125</v>
      </c>
      <c r="E2608" s="3" t="s">
        <v>152</v>
      </c>
      <c r="F2608" s="3" t="str">
        <f t="shared" si="0"/>
        <v>2 - Frepam</v>
      </c>
      <c r="G2608" s="3">
        <v>42</v>
      </c>
      <c r="H2608" s="2"/>
    </row>
    <row r="2609" spans="1:8" ht="12.75" hidden="1" x14ac:dyDescent="0.2">
      <c r="A2609" s="3" t="s">
        <v>176</v>
      </c>
      <c r="B2609" s="3">
        <v>32</v>
      </c>
      <c r="C2609" s="4" t="s">
        <v>62</v>
      </c>
      <c r="D2609" s="3" t="s">
        <v>125</v>
      </c>
      <c r="E2609" s="3" t="s">
        <v>138</v>
      </c>
      <c r="F2609" s="3" t="str">
        <f t="shared" si="0"/>
        <v>4 - Blanco/Nulo</v>
      </c>
      <c r="G2609" s="3">
        <v>4</v>
      </c>
      <c r="H2609" s="2"/>
    </row>
    <row r="2610" spans="1:8" ht="12.75" hidden="1" x14ac:dyDescent="0.2">
      <c r="A2610" s="3" t="s">
        <v>176</v>
      </c>
      <c r="B2610" s="3">
        <v>32</v>
      </c>
      <c r="C2610" s="4" t="s">
        <v>62</v>
      </c>
      <c r="D2610" s="3" t="s">
        <v>125</v>
      </c>
      <c r="E2610" s="3" t="s">
        <v>14</v>
      </c>
      <c r="F2610" s="3" t="str">
        <f t="shared" si="0"/>
        <v>4 - Blanco/Nulo</v>
      </c>
      <c r="G2610" s="3">
        <v>6</v>
      </c>
      <c r="H2610" s="2"/>
    </row>
    <row r="2611" spans="1:8" ht="12.75" hidden="1" x14ac:dyDescent="0.2">
      <c r="A2611" s="3" t="s">
        <v>176</v>
      </c>
      <c r="B2611" s="3">
        <v>33</v>
      </c>
      <c r="C2611" s="4" t="s">
        <v>63</v>
      </c>
      <c r="D2611" s="3" t="s">
        <v>125</v>
      </c>
      <c r="E2611" s="3" t="s">
        <v>3</v>
      </c>
      <c r="F2611" s="3" t="str">
        <f t="shared" si="0"/>
        <v>1 - PJ</v>
      </c>
      <c r="G2611" s="3">
        <v>232</v>
      </c>
      <c r="H2611" s="2"/>
    </row>
    <row r="2612" spans="1:8" ht="12.75" hidden="1" x14ac:dyDescent="0.2">
      <c r="A2612" s="3" t="s">
        <v>176</v>
      </c>
      <c r="B2612" s="3">
        <v>33</v>
      </c>
      <c r="C2612" s="4" t="s">
        <v>63</v>
      </c>
      <c r="D2612" s="3" t="s">
        <v>125</v>
      </c>
      <c r="E2612" s="3" t="s">
        <v>16</v>
      </c>
      <c r="F2612" s="3" t="str">
        <f t="shared" si="0"/>
        <v>3 - Otros</v>
      </c>
      <c r="G2612" s="3">
        <v>1</v>
      </c>
      <c r="H2612" s="2"/>
    </row>
    <row r="2613" spans="1:8" ht="12.75" hidden="1" x14ac:dyDescent="0.2">
      <c r="A2613" s="3" t="s">
        <v>176</v>
      </c>
      <c r="B2613" s="3">
        <v>33</v>
      </c>
      <c r="C2613" s="4" t="s">
        <v>63</v>
      </c>
      <c r="D2613" s="3" t="s">
        <v>125</v>
      </c>
      <c r="E2613" s="3" t="s">
        <v>129</v>
      </c>
      <c r="F2613" s="3" t="str">
        <f t="shared" si="0"/>
        <v>3 - Otros</v>
      </c>
      <c r="G2613" s="3">
        <v>2</v>
      </c>
      <c r="H2613" s="2"/>
    </row>
    <row r="2614" spans="1:8" ht="12.75" hidden="1" x14ac:dyDescent="0.2">
      <c r="A2614" s="3" t="s">
        <v>176</v>
      </c>
      <c r="B2614" s="3">
        <v>33</v>
      </c>
      <c r="C2614" s="4" t="s">
        <v>63</v>
      </c>
      <c r="D2614" s="3" t="s">
        <v>125</v>
      </c>
      <c r="E2614" s="3" t="s">
        <v>132</v>
      </c>
      <c r="F2614" s="3" t="str">
        <f t="shared" si="0"/>
        <v>2 - Frepam</v>
      </c>
      <c r="G2614" s="3">
        <v>3</v>
      </c>
      <c r="H2614" s="2"/>
    </row>
    <row r="2615" spans="1:8" ht="12.75" hidden="1" x14ac:dyDescent="0.2">
      <c r="A2615" s="3" t="s">
        <v>176</v>
      </c>
      <c r="B2615" s="3">
        <v>33</v>
      </c>
      <c r="C2615" s="4" t="s">
        <v>63</v>
      </c>
      <c r="D2615" s="3" t="s">
        <v>125</v>
      </c>
      <c r="E2615" s="3" t="s">
        <v>134</v>
      </c>
      <c r="F2615" s="3" t="str">
        <f t="shared" si="0"/>
        <v>3 - Otros</v>
      </c>
      <c r="G2615" s="3">
        <v>1</v>
      </c>
      <c r="H2615" s="2"/>
    </row>
    <row r="2616" spans="1:8" ht="12.75" hidden="1" x14ac:dyDescent="0.2">
      <c r="A2616" s="3" t="s">
        <v>176</v>
      </c>
      <c r="B2616" s="3">
        <v>33</v>
      </c>
      <c r="C2616" s="4" t="s">
        <v>63</v>
      </c>
      <c r="D2616" s="3" t="s">
        <v>125</v>
      </c>
      <c r="E2616" s="3" t="s">
        <v>152</v>
      </c>
      <c r="F2616" s="3" t="str">
        <f t="shared" si="0"/>
        <v>2 - Frepam</v>
      </c>
      <c r="G2616" s="3">
        <v>92</v>
      </c>
      <c r="H2616" s="2"/>
    </row>
    <row r="2617" spans="1:8" ht="12.75" hidden="1" x14ac:dyDescent="0.2">
      <c r="A2617" s="3" t="s">
        <v>176</v>
      </c>
      <c r="B2617" s="3">
        <v>33</v>
      </c>
      <c r="C2617" s="4" t="s">
        <v>63</v>
      </c>
      <c r="D2617" s="3" t="s">
        <v>125</v>
      </c>
      <c r="E2617" s="3" t="s">
        <v>138</v>
      </c>
      <c r="F2617" s="3" t="str">
        <f t="shared" si="0"/>
        <v>4 - Blanco/Nulo</v>
      </c>
      <c r="G2617" s="3">
        <v>5</v>
      </c>
      <c r="H2617" s="2"/>
    </row>
    <row r="2618" spans="1:8" ht="12.75" hidden="1" x14ac:dyDescent="0.2">
      <c r="A2618" s="3" t="s">
        <v>176</v>
      </c>
      <c r="B2618" s="3">
        <v>33</v>
      </c>
      <c r="C2618" s="4" t="s">
        <v>63</v>
      </c>
      <c r="D2618" s="3" t="s">
        <v>125</v>
      </c>
      <c r="E2618" s="3" t="s">
        <v>14</v>
      </c>
      <c r="F2618" s="3" t="str">
        <f t="shared" si="0"/>
        <v>4 - Blanco/Nulo</v>
      </c>
      <c r="G2618" s="3">
        <v>0</v>
      </c>
      <c r="H2618" s="2"/>
    </row>
    <row r="2619" spans="1:8" ht="12.75" hidden="1" x14ac:dyDescent="0.2">
      <c r="A2619" s="3" t="s">
        <v>176</v>
      </c>
      <c r="B2619" s="3">
        <v>34</v>
      </c>
      <c r="C2619" s="4" t="s">
        <v>64</v>
      </c>
      <c r="D2619" s="3" t="s">
        <v>125</v>
      </c>
      <c r="E2619" s="3" t="s">
        <v>3</v>
      </c>
      <c r="F2619" s="3" t="str">
        <f t="shared" si="0"/>
        <v>1 - PJ</v>
      </c>
      <c r="G2619" s="3">
        <v>637</v>
      </c>
      <c r="H2619" s="2"/>
    </row>
    <row r="2620" spans="1:8" ht="12.75" hidden="1" x14ac:dyDescent="0.2">
      <c r="A2620" s="3" t="s">
        <v>176</v>
      </c>
      <c r="B2620" s="3">
        <v>34</v>
      </c>
      <c r="C2620" s="4" t="s">
        <v>64</v>
      </c>
      <c r="D2620" s="3" t="s">
        <v>125</v>
      </c>
      <c r="E2620" s="3" t="s">
        <v>16</v>
      </c>
      <c r="F2620" s="3" t="str">
        <f t="shared" si="0"/>
        <v>3 - Otros</v>
      </c>
      <c r="G2620" s="3">
        <v>14</v>
      </c>
      <c r="H2620" s="2"/>
    </row>
    <row r="2621" spans="1:8" ht="12.75" hidden="1" x14ac:dyDescent="0.2">
      <c r="A2621" s="3" t="s">
        <v>176</v>
      </c>
      <c r="B2621" s="3">
        <v>34</v>
      </c>
      <c r="C2621" s="4" t="s">
        <v>64</v>
      </c>
      <c r="D2621" s="3" t="s">
        <v>125</v>
      </c>
      <c r="E2621" s="3" t="s">
        <v>129</v>
      </c>
      <c r="F2621" s="3" t="str">
        <f t="shared" si="0"/>
        <v>3 - Otros</v>
      </c>
      <c r="G2621" s="3">
        <v>15</v>
      </c>
      <c r="H2621" s="2"/>
    </row>
    <row r="2622" spans="1:8" ht="12.75" hidden="1" x14ac:dyDescent="0.2">
      <c r="A2622" s="3" t="s">
        <v>176</v>
      </c>
      <c r="B2622" s="3">
        <v>34</v>
      </c>
      <c r="C2622" s="4" t="s">
        <v>64</v>
      </c>
      <c r="D2622" s="3" t="s">
        <v>125</v>
      </c>
      <c r="E2622" s="3" t="s">
        <v>132</v>
      </c>
      <c r="F2622" s="3" t="str">
        <f t="shared" si="0"/>
        <v>2 - Frepam</v>
      </c>
      <c r="G2622" s="3">
        <v>17</v>
      </c>
      <c r="H2622" s="2"/>
    </row>
    <row r="2623" spans="1:8" ht="12.75" hidden="1" x14ac:dyDescent="0.2">
      <c r="A2623" s="3" t="s">
        <v>176</v>
      </c>
      <c r="B2623" s="3">
        <v>34</v>
      </c>
      <c r="C2623" s="4" t="s">
        <v>64</v>
      </c>
      <c r="D2623" s="3" t="s">
        <v>125</v>
      </c>
      <c r="E2623" s="3" t="s">
        <v>134</v>
      </c>
      <c r="F2623" s="3" t="str">
        <f t="shared" si="0"/>
        <v>3 - Otros</v>
      </c>
      <c r="G2623" s="3">
        <v>14</v>
      </c>
      <c r="H2623" s="2"/>
    </row>
    <row r="2624" spans="1:8" ht="12.75" hidden="1" x14ac:dyDescent="0.2">
      <c r="A2624" s="3" t="s">
        <v>176</v>
      </c>
      <c r="B2624" s="3">
        <v>34</v>
      </c>
      <c r="C2624" s="4" t="s">
        <v>64</v>
      </c>
      <c r="D2624" s="3" t="s">
        <v>125</v>
      </c>
      <c r="E2624" s="3" t="s">
        <v>152</v>
      </c>
      <c r="F2624" s="3" t="str">
        <f t="shared" si="0"/>
        <v>2 - Frepam</v>
      </c>
      <c r="G2624" s="3">
        <v>748</v>
      </c>
      <c r="H2624" s="2"/>
    </row>
    <row r="2625" spans="1:8" ht="12.75" hidden="1" x14ac:dyDescent="0.2">
      <c r="A2625" s="3" t="s">
        <v>176</v>
      </c>
      <c r="B2625" s="3">
        <v>34</v>
      </c>
      <c r="C2625" s="4" t="s">
        <v>64</v>
      </c>
      <c r="D2625" s="3" t="s">
        <v>125</v>
      </c>
      <c r="E2625" s="3" t="s">
        <v>138</v>
      </c>
      <c r="F2625" s="3" t="str">
        <f t="shared" si="0"/>
        <v>4 - Blanco/Nulo</v>
      </c>
      <c r="G2625" s="3">
        <v>0</v>
      </c>
      <c r="H2625" s="2"/>
    </row>
    <row r="2626" spans="1:8" ht="12.75" hidden="1" x14ac:dyDescent="0.2">
      <c r="A2626" s="3" t="s">
        <v>176</v>
      </c>
      <c r="B2626" s="3">
        <v>34</v>
      </c>
      <c r="C2626" s="4" t="s">
        <v>64</v>
      </c>
      <c r="D2626" s="3" t="s">
        <v>125</v>
      </c>
      <c r="E2626" s="3" t="s">
        <v>14</v>
      </c>
      <c r="F2626" s="3" t="str">
        <f t="shared" si="0"/>
        <v>4 - Blanco/Nulo</v>
      </c>
      <c r="G2626" s="3">
        <v>41</v>
      </c>
      <c r="H2626" s="2"/>
    </row>
    <row r="2627" spans="1:8" ht="12.75" hidden="1" x14ac:dyDescent="0.2">
      <c r="A2627" s="3" t="s">
        <v>176</v>
      </c>
      <c r="B2627" s="3">
        <v>35</v>
      </c>
      <c r="C2627" s="4" t="s">
        <v>65</v>
      </c>
      <c r="D2627" s="3" t="s">
        <v>125</v>
      </c>
      <c r="E2627" s="3" t="s">
        <v>3</v>
      </c>
      <c r="F2627" s="3" t="str">
        <f t="shared" si="0"/>
        <v>1 - PJ</v>
      </c>
      <c r="G2627" s="3">
        <v>168</v>
      </c>
      <c r="H2627" s="2"/>
    </row>
    <row r="2628" spans="1:8" ht="12.75" hidden="1" x14ac:dyDescent="0.2">
      <c r="A2628" s="3" t="s">
        <v>176</v>
      </c>
      <c r="B2628" s="3">
        <v>35</v>
      </c>
      <c r="C2628" s="4" t="s">
        <v>65</v>
      </c>
      <c r="D2628" s="3" t="s">
        <v>125</v>
      </c>
      <c r="E2628" s="3" t="s">
        <v>16</v>
      </c>
      <c r="F2628" s="3" t="str">
        <f t="shared" si="0"/>
        <v>3 - Otros</v>
      </c>
      <c r="G2628" s="3">
        <v>10</v>
      </c>
      <c r="H2628" s="2"/>
    </row>
    <row r="2629" spans="1:8" ht="12.75" hidden="1" x14ac:dyDescent="0.2">
      <c r="A2629" s="3" t="s">
        <v>176</v>
      </c>
      <c r="B2629" s="3">
        <v>35</v>
      </c>
      <c r="C2629" s="4" t="s">
        <v>65</v>
      </c>
      <c r="D2629" s="3" t="s">
        <v>125</v>
      </c>
      <c r="E2629" s="3" t="s">
        <v>129</v>
      </c>
      <c r="F2629" s="3" t="str">
        <f t="shared" si="0"/>
        <v>3 - Otros</v>
      </c>
      <c r="G2629" s="3">
        <v>8</v>
      </c>
      <c r="H2629" s="2"/>
    </row>
    <row r="2630" spans="1:8" ht="12.75" hidden="1" x14ac:dyDescent="0.2">
      <c r="A2630" s="3" t="s">
        <v>176</v>
      </c>
      <c r="B2630" s="3">
        <v>35</v>
      </c>
      <c r="C2630" s="4" t="s">
        <v>65</v>
      </c>
      <c r="D2630" s="3" t="s">
        <v>125</v>
      </c>
      <c r="E2630" s="3" t="s">
        <v>132</v>
      </c>
      <c r="F2630" s="3" t="str">
        <f t="shared" si="0"/>
        <v>2 - Frepam</v>
      </c>
      <c r="G2630" s="3">
        <v>6</v>
      </c>
      <c r="H2630" s="2"/>
    </row>
    <row r="2631" spans="1:8" ht="12.75" hidden="1" x14ac:dyDescent="0.2">
      <c r="A2631" s="3" t="s">
        <v>176</v>
      </c>
      <c r="B2631" s="3">
        <v>35</v>
      </c>
      <c r="C2631" s="4" t="s">
        <v>65</v>
      </c>
      <c r="D2631" s="3" t="s">
        <v>125</v>
      </c>
      <c r="E2631" s="3" t="s">
        <v>134</v>
      </c>
      <c r="F2631" s="3" t="str">
        <f t="shared" si="0"/>
        <v>3 - Otros</v>
      </c>
      <c r="G2631" s="3">
        <v>13</v>
      </c>
      <c r="H2631" s="2"/>
    </row>
    <row r="2632" spans="1:8" ht="12.75" hidden="1" x14ac:dyDescent="0.2">
      <c r="A2632" s="3" t="s">
        <v>176</v>
      </c>
      <c r="B2632" s="3">
        <v>35</v>
      </c>
      <c r="C2632" s="4" t="s">
        <v>65</v>
      </c>
      <c r="D2632" s="3" t="s">
        <v>125</v>
      </c>
      <c r="E2632" s="3" t="s">
        <v>152</v>
      </c>
      <c r="F2632" s="3" t="str">
        <f t="shared" si="0"/>
        <v>2 - Frepam</v>
      </c>
      <c r="G2632" s="3">
        <v>546</v>
      </c>
      <c r="H2632" s="2"/>
    </row>
    <row r="2633" spans="1:8" ht="12.75" hidden="1" x14ac:dyDescent="0.2">
      <c r="A2633" s="3" t="s">
        <v>176</v>
      </c>
      <c r="B2633" s="3">
        <v>35</v>
      </c>
      <c r="C2633" s="4" t="s">
        <v>65</v>
      </c>
      <c r="D2633" s="3" t="s">
        <v>125</v>
      </c>
      <c r="E2633" s="3" t="s">
        <v>138</v>
      </c>
      <c r="F2633" s="3" t="str">
        <f t="shared" si="0"/>
        <v>4 - Blanco/Nulo</v>
      </c>
      <c r="G2633" s="3">
        <v>21</v>
      </c>
      <c r="H2633" s="2"/>
    </row>
    <row r="2634" spans="1:8" ht="12.75" hidden="1" x14ac:dyDescent="0.2">
      <c r="A2634" s="3" t="s">
        <v>176</v>
      </c>
      <c r="B2634" s="3">
        <v>35</v>
      </c>
      <c r="C2634" s="4" t="s">
        <v>65</v>
      </c>
      <c r="D2634" s="3" t="s">
        <v>125</v>
      </c>
      <c r="E2634" s="3" t="s">
        <v>14</v>
      </c>
      <c r="F2634" s="3" t="str">
        <f t="shared" si="0"/>
        <v>4 - Blanco/Nulo</v>
      </c>
      <c r="G2634" s="3">
        <v>12</v>
      </c>
      <c r="H2634" s="2"/>
    </row>
    <row r="2635" spans="1:8" ht="12.75" hidden="1" x14ac:dyDescent="0.2">
      <c r="A2635" s="3" t="s">
        <v>176</v>
      </c>
      <c r="B2635" s="3">
        <v>36</v>
      </c>
      <c r="C2635" s="4" t="s">
        <v>66</v>
      </c>
      <c r="D2635" s="3" t="s">
        <v>125</v>
      </c>
      <c r="E2635" s="3" t="s">
        <v>3</v>
      </c>
      <c r="F2635" s="3" t="str">
        <f t="shared" si="0"/>
        <v>1 - PJ</v>
      </c>
      <c r="G2635" s="3">
        <v>751</v>
      </c>
      <c r="H2635" s="2"/>
    </row>
    <row r="2636" spans="1:8" ht="12.75" hidden="1" x14ac:dyDescent="0.2">
      <c r="A2636" s="3" t="s">
        <v>176</v>
      </c>
      <c r="B2636" s="3">
        <v>36</v>
      </c>
      <c r="C2636" s="4" t="s">
        <v>66</v>
      </c>
      <c r="D2636" s="3" t="s">
        <v>125</v>
      </c>
      <c r="E2636" s="3" t="s">
        <v>16</v>
      </c>
      <c r="F2636" s="3" t="str">
        <f t="shared" si="0"/>
        <v>3 - Otros</v>
      </c>
      <c r="G2636" s="3">
        <v>32</v>
      </c>
      <c r="H2636" s="2"/>
    </row>
    <row r="2637" spans="1:8" ht="12.75" hidden="1" x14ac:dyDescent="0.2">
      <c r="A2637" s="3" t="s">
        <v>176</v>
      </c>
      <c r="B2637" s="3">
        <v>36</v>
      </c>
      <c r="C2637" s="4" t="s">
        <v>66</v>
      </c>
      <c r="D2637" s="3" t="s">
        <v>125</v>
      </c>
      <c r="E2637" s="3" t="s">
        <v>129</v>
      </c>
      <c r="F2637" s="3" t="str">
        <f t="shared" si="0"/>
        <v>3 - Otros</v>
      </c>
      <c r="G2637" s="3">
        <v>28</v>
      </c>
      <c r="H2637" s="2"/>
    </row>
    <row r="2638" spans="1:8" ht="12.75" hidden="1" x14ac:dyDescent="0.2">
      <c r="A2638" s="3" t="s">
        <v>176</v>
      </c>
      <c r="B2638" s="3">
        <v>36</v>
      </c>
      <c r="C2638" s="4" t="s">
        <v>66</v>
      </c>
      <c r="D2638" s="3" t="s">
        <v>125</v>
      </c>
      <c r="E2638" s="3" t="s">
        <v>132</v>
      </c>
      <c r="F2638" s="3" t="str">
        <f t="shared" si="0"/>
        <v>2 - Frepam</v>
      </c>
      <c r="G2638" s="3">
        <v>56</v>
      </c>
      <c r="H2638" s="2"/>
    </row>
    <row r="2639" spans="1:8" ht="12.75" hidden="1" x14ac:dyDescent="0.2">
      <c r="A2639" s="3" t="s">
        <v>176</v>
      </c>
      <c r="B2639" s="3">
        <v>36</v>
      </c>
      <c r="C2639" s="4" t="s">
        <v>66</v>
      </c>
      <c r="D2639" s="3" t="s">
        <v>125</v>
      </c>
      <c r="E2639" s="3" t="s">
        <v>134</v>
      </c>
      <c r="F2639" s="3" t="str">
        <f t="shared" si="0"/>
        <v>3 - Otros</v>
      </c>
      <c r="G2639" s="3">
        <v>62</v>
      </c>
      <c r="H2639" s="2"/>
    </row>
    <row r="2640" spans="1:8" ht="12.75" hidden="1" x14ac:dyDescent="0.2">
      <c r="A2640" s="3" t="s">
        <v>176</v>
      </c>
      <c r="B2640" s="3">
        <v>36</v>
      </c>
      <c r="C2640" s="4" t="s">
        <v>66</v>
      </c>
      <c r="D2640" s="3" t="s">
        <v>125</v>
      </c>
      <c r="E2640" s="3" t="s">
        <v>152</v>
      </c>
      <c r="F2640" s="3" t="str">
        <f t="shared" si="0"/>
        <v>2 - Frepam</v>
      </c>
      <c r="G2640" s="3">
        <v>1718</v>
      </c>
      <c r="H2640" s="2"/>
    </row>
    <row r="2641" spans="1:8" ht="12.75" hidden="1" x14ac:dyDescent="0.2">
      <c r="A2641" s="3" t="s">
        <v>176</v>
      </c>
      <c r="B2641" s="3">
        <v>36</v>
      </c>
      <c r="C2641" s="4" t="s">
        <v>66</v>
      </c>
      <c r="D2641" s="3" t="s">
        <v>125</v>
      </c>
      <c r="E2641" s="3" t="s">
        <v>138</v>
      </c>
      <c r="F2641" s="3" t="str">
        <f t="shared" si="0"/>
        <v>4 - Blanco/Nulo</v>
      </c>
      <c r="G2641" s="3">
        <v>78</v>
      </c>
      <c r="H2641" s="2"/>
    </row>
    <row r="2642" spans="1:8" ht="12.75" hidden="1" x14ac:dyDescent="0.2">
      <c r="A2642" s="3" t="s">
        <v>176</v>
      </c>
      <c r="B2642" s="3">
        <v>36</v>
      </c>
      <c r="C2642" s="4" t="s">
        <v>66</v>
      </c>
      <c r="D2642" s="3" t="s">
        <v>125</v>
      </c>
      <c r="E2642" s="3" t="s">
        <v>14</v>
      </c>
      <c r="F2642" s="3" t="str">
        <f t="shared" si="0"/>
        <v>4 - Blanco/Nulo</v>
      </c>
      <c r="G2642" s="3">
        <v>118</v>
      </c>
      <c r="H2642" s="2"/>
    </row>
    <row r="2643" spans="1:8" ht="12.75" hidden="1" x14ac:dyDescent="0.2">
      <c r="A2643" s="3" t="s">
        <v>176</v>
      </c>
      <c r="B2643" s="3">
        <v>37</v>
      </c>
      <c r="C2643" s="4" t="s">
        <v>67</v>
      </c>
      <c r="D2643" s="3" t="s">
        <v>125</v>
      </c>
      <c r="E2643" s="3" t="s">
        <v>3</v>
      </c>
      <c r="F2643" s="3" t="str">
        <f t="shared" si="0"/>
        <v>1 - PJ</v>
      </c>
      <c r="G2643" s="3">
        <v>26</v>
      </c>
      <c r="H2643" s="2"/>
    </row>
    <row r="2644" spans="1:8" ht="12.75" hidden="1" x14ac:dyDescent="0.2">
      <c r="A2644" s="3" t="s">
        <v>176</v>
      </c>
      <c r="B2644" s="3">
        <v>37</v>
      </c>
      <c r="C2644" s="4" t="s">
        <v>67</v>
      </c>
      <c r="D2644" s="3" t="s">
        <v>125</v>
      </c>
      <c r="E2644" s="3" t="s">
        <v>16</v>
      </c>
      <c r="F2644" s="3" t="str">
        <f t="shared" si="0"/>
        <v>3 - Otros</v>
      </c>
      <c r="G2644" s="3">
        <v>0</v>
      </c>
      <c r="H2644" s="2"/>
    </row>
    <row r="2645" spans="1:8" ht="12.75" hidden="1" x14ac:dyDescent="0.2">
      <c r="A2645" s="3" t="s">
        <v>176</v>
      </c>
      <c r="B2645" s="3">
        <v>37</v>
      </c>
      <c r="C2645" s="4" t="s">
        <v>67</v>
      </c>
      <c r="D2645" s="3" t="s">
        <v>125</v>
      </c>
      <c r="E2645" s="3" t="s">
        <v>129</v>
      </c>
      <c r="F2645" s="3" t="str">
        <f t="shared" si="0"/>
        <v>3 - Otros</v>
      </c>
      <c r="G2645" s="3">
        <v>0</v>
      </c>
      <c r="H2645" s="2"/>
    </row>
    <row r="2646" spans="1:8" ht="12.75" hidden="1" x14ac:dyDescent="0.2">
      <c r="A2646" s="3" t="s">
        <v>176</v>
      </c>
      <c r="B2646" s="3">
        <v>37</v>
      </c>
      <c r="C2646" s="4" t="s">
        <v>67</v>
      </c>
      <c r="D2646" s="3" t="s">
        <v>125</v>
      </c>
      <c r="E2646" s="3" t="s">
        <v>132</v>
      </c>
      <c r="F2646" s="3" t="str">
        <f t="shared" si="0"/>
        <v>2 - Frepam</v>
      </c>
      <c r="G2646" s="3">
        <v>4</v>
      </c>
      <c r="H2646" s="2"/>
    </row>
    <row r="2647" spans="1:8" ht="12.75" hidden="1" x14ac:dyDescent="0.2">
      <c r="A2647" s="3" t="s">
        <v>176</v>
      </c>
      <c r="B2647" s="3">
        <v>37</v>
      </c>
      <c r="C2647" s="4" t="s">
        <v>67</v>
      </c>
      <c r="D2647" s="3" t="s">
        <v>125</v>
      </c>
      <c r="E2647" s="3" t="s">
        <v>134</v>
      </c>
      <c r="F2647" s="3" t="str">
        <f t="shared" si="0"/>
        <v>3 - Otros</v>
      </c>
      <c r="G2647" s="3">
        <v>0</v>
      </c>
      <c r="H2647" s="2"/>
    </row>
    <row r="2648" spans="1:8" ht="12.75" hidden="1" x14ac:dyDescent="0.2">
      <c r="A2648" s="3" t="s">
        <v>176</v>
      </c>
      <c r="B2648" s="3">
        <v>37</v>
      </c>
      <c r="C2648" s="4" t="s">
        <v>67</v>
      </c>
      <c r="D2648" s="3" t="s">
        <v>125</v>
      </c>
      <c r="E2648" s="3" t="s">
        <v>152</v>
      </c>
      <c r="F2648" s="3" t="str">
        <f t="shared" si="0"/>
        <v>2 - Frepam</v>
      </c>
      <c r="G2648" s="3">
        <v>20</v>
      </c>
      <c r="H2648" s="2"/>
    </row>
    <row r="2649" spans="1:8" ht="12.75" hidden="1" x14ac:dyDescent="0.2">
      <c r="A2649" s="3" t="s">
        <v>176</v>
      </c>
      <c r="B2649" s="3">
        <v>37</v>
      </c>
      <c r="C2649" s="4" t="s">
        <v>67</v>
      </c>
      <c r="D2649" s="3" t="s">
        <v>125</v>
      </c>
      <c r="E2649" s="3" t="s">
        <v>138</v>
      </c>
      <c r="F2649" s="3" t="str">
        <f t="shared" si="0"/>
        <v>4 - Blanco/Nulo</v>
      </c>
      <c r="G2649" s="3">
        <v>0</v>
      </c>
      <c r="H2649" s="2"/>
    </row>
    <row r="2650" spans="1:8" ht="12.75" hidden="1" x14ac:dyDescent="0.2">
      <c r="A2650" s="3" t="s">
        <v>176</v>
      </c>
      <c r="B2650" s="3">
        <v>37</v>
      </c>
      <c r="C2650" s="4" t="s">
        <v>67</v>
      </c>
      <c r="D2650" s="3" t="s">
        <v>125</v>
      </c>
      <c r="E2650" s="3" t="s">
        <v>14</v>
      </c>
      <c r="F2650" s="3" t="str">
        <f t="shared" si="0"/>
        <v>4 - Blanco/Nulo</v>
      </c>
      <c r="G2650" s="3">
        <v>0</v>
      </c>
      <c r="H2650" s="2"/>
    </row>
    <row r="2651" spans="1:8" ht="12.75" hidden="1" x14ac:dyDescent="0.2">
      <c r="A2651" s="3" t="s">
        <v>176</v>
      </c>
      <c r="B2651" s="3">
        <v>38</v>
      </c>
      <c r="C2651" s="4" t="s">
        <v>68</v>
      </c>
      <c r="D2651" s="3" t="s">
        <v>125</v>
      </c>
      <c r="E2651" s="3" t="s">
        <v>3</v>
      </c>
      <c r="F2651" s="3" t="str">
        <f t="shared" si="0"/>
        <v>1 - PJ</v>
      </c>
      <c r="G2651" s="3">
        <v>61</v>
      </c>
      <c r="H2651" s="2"/>
    </row>
    <row r="2652" spans="1:8" ht="12.75" hidden="1" x14ac:dyDescent="0.2">
      <c r="A2652" s="3" t="s">
        <v>176</v>
      </c>
      <c r="B2652" s="3">
        <v>38</v>
      </c>
      <c r="C2652" s="4" t="s">
        <v>68</v>
      </c>
      <c r="D2652" s="3" t="s">
        <v>125</v>
      </c>
      <c r="E2652" s="3" t="s">
        <v>16</v>
      </c>
      <c r="F2652" s="3" t="str">
        <f t="shared" si="0"/>
        <v>3 - Otros</v>
      </c>
      <c r="G2652" s="3">
        <v>7</v>
      </c>
      <c r="H2652" s="2"/>
    </row>
    <row r="2653" spans="1:8" ht="12.75" hidden="1" x14ac:dyDescent="0.2">
      <c r="A2653" s="3" t="s">
        <v>176</v>
      </c>
      <c r="B2653" s="3">
        <v>38</v>
      </c>
      <c r="C2653" s="4" t="s">
        <v>68</v>
      </c>
      <c r="D2653" s="3" t="s">
        <v>125</v>
      </c>
      <c r="E2653" s="3" t="s">
        <v>129</v>
      </c>
      <c r="F2653" s="3" t="str">
        <f t="shared" si="0"/>
        <v>3 - Otros</v>
      </c>
      <c r="G2653" s="3">
        <v>2</v>
      </c>
      <c r="H2653" s="2"/>
    </row>
    <row r="2654" spans="1:8" ht="12.75" hidden="1" x14ac:dyDescent="0.2">
      <c r="A2654" s="3" t="s">
        <v>176</v>
      </c>
      <c r="B2654" s="3">
        <v>38</v>
      </c>
      <c r="C2654" s="4" t="s">
        <v>68</v>
      </c>
      <c r="D2654" s="3" t="s">
        <v>125</v>
      </c>
      <c r="E2654" s="3" t="s">
        <v>132</v>
      </c>
      <c r="F2654" s="3" t="str">
        <f t="shared" si="0"/>
        <v>2 - Frepam</v>
      </c>
      <c r="G2654" s="3">
        <v>8</v>
      </c>
      <c r="H2654" s="2"/>
    </row>
    <row r="2655" spans="1:8" ht="12.75" hidden="1" x14ac:dyDescent="0.2">
      <c r="A2655" s="3" t="s">
        <v>176</v>
      </c>
      <c r="B2655" s="3">
        <v>38</v>
      </c>
      <c r="C2655" s="4" t="s">
        <v>68</v>
      </c>
      <c r="D2655" s="3" t="s">
        <v>125</v>
      </c>
      <c r="E2655" s="3" t="s">
        <v>134</v>
      </c>
      <c r="F2655" s="3" t="str">
        <f t="shared" si="0"/>
        <v>3 - Otros</v>
      </c>
      <c r="G2655" s="3">
        <v>6</v>
      </c>
      <c r="H2655" s="2"/>
    </row>
    <row r="2656" spans="1:8" ht="12.75" hidden="1" x14ac:dyDescent="0.2">
      <c r="A2656" s="3" t="s">
        <v>176</v>
      </c>
      <c r="B2656" s="3">
        <v>38</v>
      </c>
      <c r="C2656" s="4" t="s">
        <v>68</v>
      </c>
      <c r="D2656" s="3" t="s">
        <v>125</v>
      </c>
      <c r="E2656" s="3" t="s">
        <v>152</v>
      </c>
      <c r="F2656" s="3" t="str">
        <f t="shared" si="0"/>
        <v>2 - Frepam</v>
      </c>
      <c r="G2656" s="3">
        <v>252</v>
      </c>
      <c r="H2656" s="2"/>
    </row>
    <row r="2657" spans="1:8" ht="12.75" hidden="1" x14ac:dyDescent="0.2">
      <c r="A2657" s="3" t="s">
        <v>176</v>
      </c>
      <c r="B2657" s="3">
        <v>38</v>
      </c>
      <c r="C2657" s="4" t="s">
        <v>68</v>
      </c>
      <c r="D2657" s="3" t="s">
        <v>125</v>
      </c>
      <c r="E2657" s="3" t="s">
        <v>138</v>
      </c>
      <c r="F2657" s="3" t="str">
        <f t="shared" si="0"/>
        <v>4 - Blanco/Nulo</v>
      </c>
      <c r="G2657" s="3">
        <v>29</v>
      </c>
      <c r="H2657" s="2"/>
    </row>
    <row r="2658" spans="1:8" ht="12.75" hidden="1" x14ac:dyDescent="0.2">
      <c r="A2658" s="3" t="s">
        <v>176</v>
      </c>
      <c r="B2658" s="3">
        <v>38</v>
      </c>
      <c r="C2658" s="4" t="s">
        <v>68</v>
      </c>
      <c r="D2658" s="3" t="s">
        <v>125</v>
      </c>
      <c r="E2658" s="3" t="s">
        <v>14</v>
      </c>
      <c r="F2658" s="3" t="str">
        <f t="shared" si="0"/>
        <v>4 - Blanco/Nulo</v>
      </c>
      <c r="G2658" s="3">
        <v>8</v>
      </c>
      <c r="H2658" s="2"/>
    </row>
    <row r="2659" spans="1:8" ht="12.75" hidden="1" x14ac:dyDescent="0.2">
      <c r="A2659" s="3" t="s">
        <v>176</v>
      </c>
      <c r="B2659" s="3">
        <v>39</v>
      </c>
      <c r="C2659" s="4" t="s">
        <v>69</v>
      </c>
      <c r="D2659" s="3" t="s">
        <v>125</v>
      </c>
      <c r="E2659" s="3" t="s">
        <v>3</v>
      </c>
      <c r="F2659" s="3" t="str">
        <f t="shared" si="0"/>
        <v>1 - PJ</v>
      </c>
      <c r="G2659" s="3">
        <v>770</v>
      </c>
      <c r="H2659" s="2"/>
    </row>
    <row r="2660" spans="1:8" ht="12.75" hidden="1" x14ac:dyDescent="0.2">
      <c r="A2660" s="3" t="s">
        <v>176</v>
      </c>
      <c r="B2660" s="3">
        <v>39</v>
      </c>
      <c r="C2660" s="4" t="s">
        <v>69</v>
      </c>
      <c r="D2660" s="3" t="s">
        <v>125</v>
      </c>
      <c r="E2660" s="3" t="s">
        <v>16</v>
      </c>
      <c r="F2660" s="3" t="str">
        <f t="shared" si="0"/>
        <v>3 - Otros</v>
      </c>
      <c r="G2660" s="3">
        <v>10</v>
      </c>
      <c r="H2660" s="2"/>
    </row>
    <row r="2661" spans="1:8" ht="12.75" hidden="1" x14ac:dyDescent="0.2">
      <c r="A2661" s="3" t="s">
        <v>176</v>
      </c>
      <c r="B2661" s="3">
        <v>39</v>
      </c>
      <c r="C2661" s="4" t="s">
        <v>69</v>
      </c>
      <c r="D2661" s="3" t="s">
        <v>125</v>
      </c>
      <c r="E2661" s="3" t="s">
        <v>129</v>
      </c>
      <c r="F2661" s="3" t="str">
        <f t="shared" si="0"/>
        <v>3 - Otros</v>
      </c>
      <c r="G2661" s="3">
        <v>6</v>
      </c>
      <c r="H2661" s="2"/>
    </row>
    <row r="2662" spans="1:8" ht="12.75" hidden="1" x14ac:dyDescent="0.2">
      <c r="A2662" s="3" t="s">
        <v>176</v>
      </c>
      <c r="B2662" s="3">
        <v>39</v>
      </c>
      <c r="C2662" s="4" t="s">
        <v>69</v>
      </c>
      <c r="D2662" s="3" t="s">
        <v>125</v>
      </c>
      <c r="E2662" s="3" t="s">
        <v>132</v>
      </c>
      <c r="F2662" s="3" t="str">
        <f t="shared" si="0"/>
        <v>2 - Frepam</v>
      </c>
      <c r="G2662" s="3">
        <v>74</v>
      </c>
      <c r="H2662" s="2"/>
    </row>
    <row r="2663" spans="1:8" ht="12.75" hidden="1" x14ac:dyDescent="0.2">
      <c r="A2663" s="3" t="s">
        <v>176</v>
      </c>
      <c r="B2663" s="3">
        <v>39</v>
      </c>
      <c r="C2663" s="4" t="s">
        <v>69</v>
      </c>
      <c r="D2663" s="3" t="s">
        <v>125</v>
      </c>
      <c r="E2663" s="3" t="s">
        <v>134</v>
      </c>
      <c r="F2663" s="3" t="str">
        <f t="shared" si="0"/>
        <v>3 - Otros</v>
      </c>
      <c r="G2663" s="3">
        <v>8</v>
      </c>
      <c r="H2663" s="2"/>
    </row>
    <row r="2664" spans="1:8" ht="12.75" hidden="1" x14ac:dyDescent="0.2">
      <c r="A2664" s="3" t="s">
        <v>176</v>
      </c>
      <c r="B2664" s="3">
        <v>39</v>
      </c>
      <c r="C2664" s="4" t="s">
        <v>69</v>
      </c>
      <c r="D2664" s="3" t="s">
        <v>125</v>
      </c>
      <c r="E2664" s="3" t="s">
        <v>152</v>
      </c>
      <c r="F2664" s="3" t="str">
        <f t="shared" si="0"/>
        <v>2 - Frepam</v>
      </c>
      <c r="G2664" s="3">
        <v>320</v>
      </c>
      <c r="H2664" s="2"/>
    </row>
    <row r="2665" spans="1:8" ht="12.75" hidden="1" x14ac:dyDescent="0.2">
      <c r="A2665" s="3" t="s">
        <v>176</v>
      </c>
      <c r="B2665" s="3">
        <v>39</v>
      </c>
      <c r="C2665" s="4" t="s">
        <v>69</v>
      </c>
      <c r="D2665" s="3" t="s">
        <v>125</v>
      </c>
      <c r="E2665" s="3" t="s">
        <v>138</v>
      </c>
      <c r="F2665" s="3" t="str">
        <f t="shared" si="0"/>
        <v>4 - Blanco/Nulo</v>
      </c>
      <c r="G2665" s="3">
        <v>28</v>
      </c>
      <c r="H2665" s="2"/>
    </row>
    <row r="2666" spans="1:8" ht="12.75" hidden="1" x14ac:dyDescent="0.2">
      <c r="A2666" s="3" t="s">
        <v>176</v>
      </c>
      <c r="B2666" s="3">
        <v>39</v>
      </c>
      <c r="C2666" s="4" t="s">
        <v>69</v>
      </c>
      <c r="D2666" s="3" t="s">
        <v>125</v>
      </c>
      <c r="E2666" s="3" t="s">
        <v>14</v>
      </c>
      <c r="F2666" s="3" t="str">
        <f t="shared" si="0"/>
        <v>4 - Blanco/Nulo</v>
      </c>
      <c r="G2666" s="3">
        <v>17</v>
      </c>
      <c r="H2666" s="2"/>
    </row>
    <row r="2667" spans="1:8" ht="12.75" hidden="1" x14ac:dyDescent="0.2">
      <c r="A2667" s="3" t="s">
        <v>176</v>
      </c>
      <c r="B2667" s="2" t="s">
        <v>70</v>
      </c>
      <c r="C2667" s="4" t="s">
        <v>71</v>
      </c>
      <c r="D2667" s="3" t="s">
        <v>125</v>
      </c>
      <c r="E2667" s="3" t="s">
        <v>3</v>
      </c>
      <c r="F2667" s="3" t="str">
        <f t="shared" si="0"/>
        <v>1 - PJ</v>
      </c>
      <c r="G2667" s="3">
        <v>193</v>
      </c>
      <c r="H2667" s="2"/>
    </row>
    <row r="2668" spans="1:8" ht="12.75" hidden="1" x14ac:dyDescent="0.2">
      <c r="A2668" s="3" t="s">
        <v>176</v>
      </c>
      <c r="B2668" s="2" t="s">
        <v>70</v>
      </c>
      <c r="C2668" s="4" t="s">
        <v>71</v>
      </c>
      <c r="D2668" s="3" t="s">
        <v>125</v>
      </c>
      <c r="E2668" s="3" t="s">
        <v>16</v>
      </c>
      <c r="F2668" s="3" t="str">
        <f t="shared" si="0"/>
        <v>3 - Otros</v>
      </c>
      <c r="G2668" s="3">
        <v>1</v>
      </c>
      <c r="H2668" s="2"/>
    </row>
    <row r="2669" spans="1:8" ht="12.75" hidden="1" x14ac:dyDescent="0.2">
      <c r="A2669" s="3" t="s">
        <v>176</v>
      </c>
      <c r="B2669" s="2" t="s">
        <v>70</v>
      </c>
      <c r="C2669" s="4" t="s">
        <v>71</v>
      </c>
      <c r="D2669" s="3" t="s">
        <v>125</v>
      </c>
      <c r="E2669" s="3" t="s">
        <v>129</v>
      </c>
      <c r="F2669" s="3" t="str">
        <f t="shared" si="0"/>
        <v>3 - Otros</v>
      </c>
      <c r="G2669" s="3">
        <v>7</v>
      </c>
      <c r="H2669" s="2"/>
    </row>
    <row r="2670" spans="1:8" ht="12.75" hidden="1" x14ac:dyDescent="0.2">
      <c r="A2670" s="3" t="s">
        <v>176</v>
      </c>
      <c r="B2670" s="2" t="s">
        <v>70</v>
      </c>
      <c r="C2670" s="4" t="s">
        <v>71</v>
      </c>
      <c r="D2670" s="3" t="s">
        <v>125</v>
      </c>
      <c r="E2670" s="3" t="s">
        <v>132</v>
      </c>
      <c r="F2670" s="3" t="str">
        <f t="shared" si="0"/>
        <v>2 - Frepam</v>
      </c>
      <c r="G2670" s="3">
        <v>2</v>
      </c>
      <c r="H2670" s="2"/>
    </row>
    <row r="2671" spans="1:8" ht="12.75" hidden="1" x14ac:dyDescent="0.2">
      <c r="A2671" s="3" t="s">
        <v>176</v>
      </c>
      <c r="B2671" s="2" t="s">
        <v>70</v>
      </c>
      <c r="C2671" s="4" t="s">
        <v>71</v>
      </c>
      <c r="D2671" s="3" t="s">
        <v>125</v>
      </c>
      <c r="E2671" s="3" t="s">
        <v>134</v>
      </c>
      <c r="F2671" s="3" t="str">
        <f t="shared" si="0"/>
        <v>3 - Otros</v>
      </c>
      <c r="G2671" s="3">
        <v>0</v>
      </c>
      <c r="H2671" s="2"/>
    </row>
    <row r="2672" spans="1:8" ht="12.75" hidden="1" x14ac:dyDescent="0.2">
      <c r="A2672" s="3" t="s">
        <v>176</v>
      </c>
      <c r="B2672" s="2" t="s">
        <v>70</v>
      </c>
      <c r="C2672" s="4" t="s">
        <v>71</v>
      </c>
      <c r="D2672" s="3" t="s">
        <v>125</v>
      </c>
      <c r="E2672" s="3" t="s">
        <v>152</v>
      </c>
      <c r="F2672" s="3" t="str">
        <f t="shared" si="0"/>
        <v>2 - Frepam</v>
      </c>
      <c r="G2672" s="3">
        <v>104</v>
      </c>
      <c r="H2672" s="2"/>
    </row>
    <row r="2673" spans="1:8" ht="12.75" hidden="1" x14ac:dyDescent="0.2">
      <c r="A2673" s="3" t="s">
        <v>176</v>
      </c>
      <c r="B2673" s="2" t="s">
        <v>70</v>
      </c>
      <c r="C2673" s="4" t="s">
        <v>71</v>
      </c>
      <c r="D2673" s="3" t="s">
        <v>125</v>
      </c>
      <c r="E2673" s="3" t="s">
        <v>138</v>
      </c>
      <c r="F2673" s="3" t="str">
        <f t="shared" si="0"/>
        <v>4 - Blanco/Nulo</v>
      </c>
      <c r="G2673" s="3">
        <v>12</v>
      </c>
      <c r="H2673" s="2"/>
    </row>
    <row r="2674" spans="1:8" ht="12.75" hidden="1" x14ac:dyDescent="0.2">
      <c r="A2674" s="3" t="s">
        <v>176</v>
      </c>
      <c r="B2674" s="2" t="s">
        <v>70</v>
      </c>
      <c r="C2674" s="4" t="s">
        <v>71</v>
      </c>
      <c r="D2674" s="3" t="s">
        <v>125</v>
      </c>
      <c r="E2674" s="3" t="s">
        <v>14</v>
      </c>
      <c r="F2674" s="3" t="str">
        <f t="shared" si="0"/>
        <v>4 - Blanco/Nulo</v>
      </c>
      <c r="G2674" s="3">
        <v>4</v>
      </c>
      <c r="H2674" s="2"/>
    </row>
    <row r="2675" spans="1:8" ht="12.75" hidden="1" x14ac:dyDescent="0.2">
      <c r="A2675" s="3" t="s">
        <v>176</v>
      </c>
      <c r="B2675" s="2">
        <v>40</v>
      </c>
      <c r="C2675" s="4" t="s">
        <v>72</v>
      </c>
      <c r="D2675" s="3" t="s">
        <v>125</v>
      </c>
      <c r="E2675" s="3" t="s">
        <v>3</v>
      </c>
      <c r="F2675" s="3" t="str">
        <f t="shared" si="0"/>
        <v>1 - PJ</v>
      </c>
      <c r="G2675" s="3">
        <v>764</v>
      </c>
      <c r="H2675" s="2"/>
    </row>
    <row r="2676" spans="1:8" ht="12.75" hidden="1" x14ac:dyDescent="0.2">
      <c r="A2676" s="3" t="s">
        <v>176</v>
      </c>
      <c r="B2676" s="2">
        <v>40</v>
      </c>
      <c r="C2676" s="4" t="s">
        <v>72</v>
      </c>
      <c r="D2676" s="3" t="s">
        <v>125</v>
      </c>
      <c r="E2676" s="3" t="s">
        <v>16</v>
      </c>
      <c r="F2676" s="3" t="str">
        <f t="shared" si="0"/>
        <v>3 - Otros</v>
      </c>
      <c r="G2676" s="3">
        <v>12</v>
      </c>
      <c r="H2676" s="2"/>
    </row>
    <row r="2677" spans="1:8" ht="12.75" hidden="1" x14ac:dyDescent="0.2">
      <c r="A2677" s="3" t="s">
        <v>176</v>
      </c>
      <c r="B2677" s="2">
        <v>40</v>
      </c>
      <c r="C2677" s="4" t="s">
        <v>72</v>
      </c>
      <c r="D2677" s="3" t="s">
        <v>125</v>
      </c>
      <c r="E2677" s="3" t="s">
        <v>129</v>
      </c>
      <c r="F2677" s="3" t="str">
        <f t="shared" si="0"/>
        <v>3 - Otros</v>
      </c>
      <c r="G2677" s="3">
        <v>14</v>
      </c>
      <c r="H2677" s="2"/>
    </row>
    <row r="2678" spans="1:8" ht="12.75" hidden="1" x14ac:dyDescent="0.2">
      <c r="A2678" s="3" t="s">
        <v>176</v>
      </c>
      <c r="B2678" s="2">
        <v>40</v>
      </c>
      <c r="C2678" s="4" t="s">
        <v>72</v>
      </c>
      <c r="D2678" s="3" t="s">
        <v>125</v>
      </c>
      <c r="E2678" s="3" t="s">
        <v>132</v>
      </c>
      <c r="F2678" s="3" t="str">
        <f t="shared" si="0"/>
        <v>2 - Frepam</v>
      </c>
      <c r="G2678" s="3">
        <v>28</v>
      </c>
      <c r="H2678" s="2"/>
    </row>
    <row r="2679" spans="1:8" ht="12.75" hidden="1" x14ac:dyDescent="0.2">
      <c r="A2679" s="3" t="s">
        <v>176</v>
      </c>
      <c r="B2679" s="2">
        <v>40</v>
      </c>
      <c r="C2679" s="4" t="s">
        <v>72</v>
      </c>
      <c r="D2679" s="3" t="s">
        <v>125</v>
      </c>
      <c r="E2679" s="3" t="s">
        <v>134</v>
      </c>
      <c r="F2679" s="3" t="str">
        <f t="shared" si="0"/>
        <v>3 - Otros</v>
      </c>
      <c r="G2679" s="3">
        <v>30</v>
      </c>
      <c r="H2679" s="2"/>
    </row>
    <row r="2680" spans="1:8" ht="12.75" hidden="1" x14ac:dyDescent="0.2">
      <c r="A2680" s="3" t="s">
        <v>176</v>
      </c>
      <c r="B2680" s="2">
        <v>40</v>
      </c>
      <c r="C2680" s="4" t="s">
        <v>72</v>
      </c>
      <c r="D2680" s="3" t="s">
        <v>125</v>
      </c>
      <c r="E2680" s="3" t="s">
        <v>152</v>
      </c>
      <c r="F2680" s="3" t="str">
        <f t="shared" si="0"/>
        <v>2 - Frepam</v>
      </c>
      <c r="G2680" s="3">
        <v>960</v>
      </c>
      <c r="H2680" s="2"/>
    </row>
    <row r="2681" spans="1:8" ht="12.75" hidden="1" x14ac:dyDescent="0.2">
      <c r="A2681" s="3" t="s">
        <v>176</v>
      </c>
      <c r="B2681" s="2">
        <v>40</v>
      </c>
      <c r="C2681" s="4" t="s">
        <v>72</v>
      </c>
      <c r="D2681" s="3" t="s">
        <v>125</v>
      </c>
      <c r="E2681" s="3" t="s">
        <v>138</v>
      </c>
      <c r="F2681" s="3" t="str">
        <f t="shared" si="0"/>
        <v>4 - Blanco/Nulo</v>
      </c>
      <c r="G2681" s="3">
        <v>59</v>
      </c>
      <c r="H2681" s="2"/>
    </row>
    <row r="2682" spans="1:8" ht="12.75" hidden="1" x14ac:dyDescent="0.2">
      <c r="A2682" s="3" t="s">
        <v>176</v>
      </c>
      <c r="B2682" s="2">
        <v>40</v>
      </c>
      <c r="C2682" s="4" t="s">
        <v>72</v>
      </c>
      <c r="D2682" s="3" t="s">
        <v>125</v>
      </c>
      <c r="E2682" s="3" t="s">
        <v>14</v>
      </c>
      <c r="F2682" s="3" t="str">
        <f t="shared" si="0"/>
        <v>4 - Blanco/Nulo</v>
      </c>
      <c r="G2682" s="3">
        <v>53</v>
      </c>
      <c r="H2682" s="2"/>
    </row>
    <row r="2683" spans="1:8" ht="12.75" hidden="1" x14ac:dyDescent="0.2">
      <c r="A2683" s="3" t="s">
        <v>176</v>
      </c>
      <c r="B2683" s="3">
        <v>42</v>
      </c>
      <c r="C2683" s="4" t="s">
        <v>73</v>
      </c>
      <c r="D2683" s="3" t="s">
        <v>125</v>
      </c>
      <c r="E2683" s="3" t="s">
        <v>3</v>
      </c>
      <c r="F2683" s="3" t="str">
        <f t="shared" si="0"/>
        <v>1 - PJ</v>
      </c>
      <c r="G2683" s="3">
        <v>789</v>
      </c>
      <c r="H2683" s="2"/>
    </row>
    <row r="2684" spans="1:8" ht="12.75" hidden="1" x14ac:dyDescent="0.2">
      <c r="A2684" s="3" t="s">
        <v>176</v>
      </c>
      <c r="B2684" s="3">
        <v>42</v>
      </c>
      <c r="C2684" s="4" t="s">
        <v>73</v>
      </c>
      <c r="D2684" s="3" t="s">
        <v>125</v>
      </c>
      <c r="E2684" s="3" t="s">
        <v>16</v>
      </c>
      <c r="F2684" s="3" t="str">
        <f t="shared" si="0"/>
        <v>3 - Otros</v>
      </c>
      <c r="G2684" s="3">
        <v>23</v>
      </c>
      <c r="H2684" s="2"/>
    </row>
    <row r="2685" spans="1:8" ht="12.75" hidden="1" x14ac:dyDescent="0.2">
      <c r="A2685" s="3" t="s">
        <v>176</v>
      </c>
      <c r="B2685" s="3">
        <v>42</v>
      </c>
      <c r="C2685" s="4" t="s">
        <v>73</v>
      </c>
      <c r="D2685" s="3" t="s">
        <v>125</v>
      </c>
      <c r="E2685" s="3" t="s">
        <v>129</v>
      </c>
      <c r="F2685" s="3" t="str">
        <f t="shared" si="0"/>
        <v>3 - Otros</v>
      </c>
      <c r="G2685" s="3">
        <v>13</v>
      </c>
      <c r="H2685" s="2"/>
    </row>
    <row r="2686" spans="1:8" ht="12.75" hidden="1" x14ac:dyDescent="0.2">
      <c r="A2686" s="3" t="s">
        <v>176</v>
      </c>
      <c r="B2686" s="3">
        <v>42</v>
      </c>
      <c r="C2686" s="4" t="s">
        <v>73</v>
      </c>
      <c r="D2686" s="3" t="s">
        <v>125</v>
      </c>
      <c r="E2686" s="3" t="s">
        <v>132</v>
      </c>
      <c r="F2686" s="3" t="str">
        <f t="shared" si="0"/>
        <v>2 - Frepam</v>
      </c>
      <c r="G2686" s="3">
        <v>29</v>
      </c>
      <c r="H2686" s="2"/>
    </row>
    <row r="2687" spans="1:8" ht="12.75" hidden="1" x14ac:dyDescent="0.2">
      <c r="A2687" s="3" t="s">
        <v>176</v>
      </c>
      <c r="B2687" s="3">
        <v>42</v>
      </c>
      <c r="C2687" s="4" t="s">
        <v>73</v>
      </c>
      <c r="D2687" s="3" t="s">
        <v>125</v>
      </c>
      <c r="E2687" s="3" t="s">
        <v>134</v>
      </c>
      <c r="F2687" s="3" t="str">
        <f t="shared" si="0"/>
        <v>3 - Otros</v>
      </c>
      <c r="G2687" s="3">
        <v>43</v>
      </c>
      <c r="H2687" s="2"/>
    </row>
    <row r="2688" spans="1:8" ht="12.75" hidden="1" x14ac:dyDescent="0.2">
      <c r="A2688" s="3" t="s">
        <v>176</v>
      </c>
      <c r="B2688" s="3">
        <v>42</v>
      </c>
      <c r="C2688" s="4" t="s">
        <v>73</v>
      </c>
      <c r="D2688" s="3" t="s">
        <v>125</v>
      </c>
      <c r="E2688" s="3" t="s">
        <v>152</v>
      </c>
      <c r="F2688" s="3" t="str">
        <f t="shared" si="0"/>
        <v>2 - Frepam</v>
      </c>
      <c r="G2688" s="3">
        <v>889</v>
      </c>
      <c r="H2688" s="2"/>
    </row>
    <row r="2689" spans="1:8" ht="12.75" hidden="1" x14ac:dyDescent="0.2">
      <c r="A2689" s="3" t="s">
        <v>176</v>
      </c>
      <c r="B2689" s="3">
        <v>42</v>
      </c>
      <c r="C2689" s="4" t="s">
        <v>73</v>
      </c>
      <c r="D2689" s="3" t="s">
        <v>125</v>
      </c>
      <c r="E2689" s="3" t="s">
        <v>138</v>
      </c>
      <c r="F2689" s="3" t="str">
        <f t="shared" si="0"/>
        <v>4 - Blanco/Nulo</v>
      </c>
      <c r="G2689" s="3">
        <v>58</v>
      </c>
      <c r="H2689" s="2"/>
    </row>
    <row r="2690" spans="1:8" ht="12.75" hidden="1" x14ac:dyDescent="0.2">
      <c r="A2690" s="3" t="s">
        <v>176</v>
      </c>
      <c r="B2690" s="3">
        <v>42</v>
      </c>
      <c r="C2690" s="4" t="s">
        <v>73</v>
      </c>
      <c r="D2690" s="3" t="s">
        <v>125</v>
      </c>
      <c r="E2690" s="3" t="s">
        <v>14</v>
      </c>
      <c r="F2690" s="3" t="str">
        <f t="shared" si="0"/>
        <v>4 - Blanco/Nulo</v>
      </c>
      <c r="G2690" s="3">
        <v>22</v>
      </c>
      <c r="H2690" s="2"/>
    </row>
    <row r="2691" spans="1:8" ht="12.75" hidden="1" x14ac:dyDescent="0.2">
      <c r="A2691" s="3" t="s">
        <v>176</v>
      </c>
      <c r="B2691" s="3">
        <v>43</v>
      </c>
      <c r="C2691" s="4" t="s">
        <v>74</v>
      </c>
      <c r="D2691" s="3" t="s">
        <v>125</v>
      </c>
      <c r="E2691" s="3" t="s">
        <v>3</v>
      </c>
      <c r="F2691" s="3" t="str">
        <f t="shared" si="0"/>
        <v>1 - PJ</v>
      </c>
      <c r="G2691" s="3">
        <v>147</v>
      </c>
      <c r="H2691" s="2"/>
    </row>
    <row r="2692" spans="1:8" ht="12.75" hidden="1" x14ac:dyDescent="0.2">
      <c r="A2692" s="3" t="s">
        <v>176</v>
      </c>
      <c r="B2692" s="3">
        <v>43</v>
      </c>
      <c r="C2692" s="4" t="s">
        <v>74</v>
      </c>
      <c r="D2692" s="3" t="s">
        <v>125</v>
      </c>
      <c r="E2692" s="3" t="s">
        <v>16</v>
      </c>
      <c r="F2692" s="3" t="str">
        <f t="shared" si="0"/>
        <v>3 - Otros</v>
      </c>
      <c r="G2692" s="3">
        <v>0</v>
      </c>
      <c r="H2692" s="2"/>
    </row>
    <row r="2693" spans="1:8" ht="12.75" hidden="1" x14ac:dyDescent="0.2">
      <c r="A2693" s="3" t="s">
        <v>176</v>
      </c>
      <c r="B2693" s="3">
        <v>43</v>
      </c>
      <c r="C2693" s="4" t="s">
        <v>74</v>
      </c>
      <c r="D2693" s="3" t="s">
        <v>125</v>
      </c>
      <c r="E2693" s="3" t="s">
        <v>129</v>
      </c>
      <c r="F2693" s="3" t="str">
        <f t="shared" si="0"/>
        <v>3 - Otros</v>
      </c>
      <c r="G2693" s="3">
        <v>6</v>
      </c>
      <c r="H2693" s="2"/>
    </row>
    <row r="2694" spans="1:8" ht="12.75" hidden="1" x14ac:dyDescent="0.2">
      <c r="A2694" s="3" t="s">
        <v>176</v>
      </c>
      <c r="B2694" s="3">
        <v>43</v>
      </c>
      <c r="C2694" s="4" t="s">
        <v>74</v>
      </c>
      <c r="D2694" s="3" t="s">
        <v>125</v>
      </c>
      <c r="E2694" s="3" t="s">
        <v>132</v>
      </c>
      <c r="F2694" s="3" t="str">
        <f t="shared" si="0"/>
        <v>2 - Frepam</v>
      </c>
      <c r="G2694" s="3">
        <v>1</v>
      </c>
      <c r="H2694" s="2"/>
    </row>
    <row r="2695" spans="1:8" ht="12.75" hidden="1" x14ac:dyDescent="0.2">
      <c r="A2695" s="3" t="s">
        <v>176</v>
      </c>
      <c r="B2695" s="3">
        <v>43</v>
      </c>
      <c r="C2695" s="4" t="s">
        <v>74</v>
      </c>
      <c r="D2695" s="3" t="s">
        <v>125</v>
      </c>
      <c r="E2695" s="3" t="s">
        <v>134</v>
      </c>
      <c r="F2695" s="3" t="str">
        <f t="shared" si="0"/>
        <v>3 - Otros</v>
      </c>
      <c r="G2695" s="3">
        <v>1</v>
      </c>
      <c r="H2695" s="2"/>
    </row>
    <row r="2696" spans="1:8" ht="12.75" hidden="1" x14ac:dyDescent="0.2">
      <c r="A2696" s="3" t="s">
        <v>176</v>
      </c>
      <c r="B2696" s="3">
        <v>43</v>
      </c>
      <c r="C2696" s="4" t="s">
        <v>74</v>
      </c>
      <c r="D2696" s="3" t="s">
        <v>125</v>
      </c>
      <c r="E2696" s="3" t="s">
        <v>152</v>
      </c>
      <c r="F2696" s="3" t="str">
        <f t="shared" si="0"/>
        <v>2 - Frepam</v>
      </c>
      <c r="G2696" s="3">
        <v>94</v>
      </c>
      <c r="H2696" s="2"/>
    </row>
    <row r="2697" spans="1:8" ht="12.75" hidden="1" x14ac:dyDescent="0.2">
      <c r="A2697" s="3" t="s">
        <v>176</v>
      </c>
      <c r="B2697" s="3">
        <v>43</v>
      </c>
      <c r="C2697" s="4" t="s">
        <v>74</v>
      </c>
      <c r="D2697" s="3" t="s">
        <v>125</v>
      </c>
      <c r="E2697" s="3" t="s">
        <v>138</v>
      </c>
      <c r="F2697" s="3" t="str">
        <f t="shared" si="0"/>
        <v>4 - Blanco/Nulo</v>
      </c>
      <c r="G2697" s="3">
        <v>1</v>
      </c>
      <c r="H2697" s="2"/>
    </row>
    <row r="2698" spans="1:8" ht="12.75" hidden="1" x14ac:dyDescent="0.2">
      <c r="A2698" s="3" t="s">
        <v>176</v>
      </c>
      <c r="B2698" s="3">
        <v>43</v>
      </c>
      <c r="C2698" s="4" t="s">
        <v>74</v>
      </c>
      <c r="D2698" s="3" t="s">
        <v>125</v>
      </c>
      <c r="E2698" s="3" t="s">
        <v>14</v>
      </c>
      <c r="F2698" s="3" t="str">
        <f t="shared" si="0"/>
        <v>4 - Blanco/Nulo</v>
      </c>
      <c r="G2698" s="3">
        <v>13</v>
      </c>
      <c r="H2698" s="2"/>
    </row>
    <row r="2699" spans="1:8" ht="12.75" hidden="1" x14ac:dyDescent="0.2">
      <c r="A2699" s="3" t="s">
        <v>176</v>
      </c>
      <c r="B2699" s="3">
        <v>45</v>
      </c>
      <c r="C2699" s="4" t="s">
        <v>75</v>
      </c>
      <c r="D2699" s="3" t="s">
        <v>125</v>
      </c>
      <c r="E2699" s="3" t="s">
        <v>3</v>
      </c>
      <c r="F2699" s="3" t="str">
        <f t="shared" si="0"/>
        <v>1 - PJ</v>
      </c>
      <c r="G2699" s="3">
        <v>75</v>
      </c>
      <c r="H2699" s="2"/>
    </row>
    <row r="2700" spans="1:8" ht="12.75" hidden="1" x14ac:dyDescent="0.2">
      <c r="A2700" s="3" t="s">
        <v>176</v>
      </c>
      <c r="B2700" s="3">
        <v>45</v>
      </c>
      <c r="C2700" s="4" t="s">
        <v>75</v>
      </c>
      <c r="D2700" s="3" t="s">
        <v>125</v>
      </c>
      <c r="E2700" s="3" t="s">
        <v>16</v>
      </c>
      <c r="F2700" s="3" t="str">
        <f t="shared" si="0"/>
        <v>3 - Otros</v>
      </c>
      <c r="G2700" s="3">
        <v>0</v>
      </c>
      <c r="H2700" s="2"/>
    </row>
    <row r="2701" spans="1:8" ht="12.75" hidden="1" x14ac:dyDescent="0.2">
      <c r="A2701" s="3" t="s">
        <v>176</v>
      </c>
      <c r="B2701" s="3">
        <v>45</v>
      </c>
      <c r="C2701" s="4" t="s">
        <v>75</v>
      </c>
      <c r="D2701" s="3" t="s">
        <v>125</v>
      </c>
      <c r="E2701" s="3" t="s">
        <v>129</v>
      </c>
      <c r="F2701" s="3" t="str">
        <f t="shared" si="0"/>
        <v>3 - Otros</v>
      </c>
      <c r="G2701" s="3">
        <v>0</v>
      </c>
      <c r="H2701" s="2"/>
    </row>
    <row r="2702" spans="1:8" ht="12.75" hidden="1" x14ac:dyDescent="0.2">
      <c r="A2702" s="3" t="s">
        <v>176</v>
      </c>
      <c r="B2702" s="3">
        <v>45</v>
      </c>
      <c r="C2702" s="4" t="s">
        <v>75</v>
      </c>
      <c r="D2702" s="3" t="s">
        <v>125</v>
      </c>
      <c r="E2702" s="3" t="s">
        <v>132</v>
      </c>
      <c r="F2702" s="3" t="str">
        <f t="shared" si="0"/>
        <v>2 - Frepam</v>
      </c>
      <c r="G2702" s="3">
        <v>2</v>
      </c>
      <c r="H2702" s="2"/>
    </row>
    <row r="2703" spans="1:8" ht="12.75" hidden="1" x14ac:dyDescent="0.2">
      <c r="A2703" s="3" t="s">
        <v>176</v>
      </c>
      <c r="B2703" s="3">
        <v>45</v>
      </c>
      <c r="C2703" s="4" t="s">
        <v>75</v>
      </c>
      <c r="D2703" s="3" t="s">
        <v>125</v>
      </c>
      <c r="E2703" s="3" t="s">
        <v>134</v>
      </c>
      <c r="F2703" s="3" t="str">
        <f t="shared" si="0"/>
        <v>3 - Otros</v>
      </c>
      <c r="G2703" s="3">
        <v>0</v>
      </c>
      <c r="H2703" s="2"/>
    </row>
    <row r="2704" spans="1:8" ht="12.75" hidden="1" x14ac:dyDescent="0.2">
      <c r="A2704" s="3" t="s">
        <v>176</v>
      </c>
      <c r="B2704" s="3">
        <v>45</v>
      </c>
      <c r="C2704" s="4" t="s">
        <v>75</v>
      </c>
      <c r="D2704" s="3" t="s">
        <v>125</v>
      </c>
      <c r="E2704" s="3" t="s">
        <v>152</v>
      </c>
      <c r="F2704" s="3" t="str">
        <f t="shared" si="0"/>
        <v>2 - Frepam</v>
      </c>
      <c r="G2704" s="3">
        <v>16</v>
      </c>
      <c r="H2704" s="2"/>
    </row>
    <row r="2705" spans="1:8" ht="12.75" hidden="1" x14ac:dyDescent="0.2">
      <c r="A2705" s="3" t="s">
        <v>176</v>
      </c>
      <c r="B2705" s="3">
        <v>45</v>
      </c>
      <c r="C2705" s="4" t="s">
        <v>75</v>
      </c>
      <c r="D2705" s="3" t="s">
        <v>125</v>
      </c>
      <c r="E2705" s="3" t="s">
        <v>138</v>
      </c>
      <c r="F2705" s="3" t="str">
        <f t="shared" si="0"/>
        <v>4 - Blanco/Nulo</v>
      </c>
      <c r="G2705" s="3">
        <v>3</v>
      </c>
      <c r="H2705" s="2"/>
    </row>
    <row r="2706" spans="1:8" ht="12.75" hidden="1" x14ac:dyDescent="0.2">
      <c r="A2706" s="3" t="s">
        <v>176</v>
      </c>
      <c r="B2706" s="3">
        <v>45</v>
      </c>
      <c r="C2706" s="4" t="s">
        <v>75</v>
      </c>
      <c r="D2706" s="3" t="s">
        <v>125</v>
      </c>
      <c r="E2706" s="3" t="s">
        <v>14</v>
      </c>
      <c r="F2706" s="3" t="str">
        <f t="shared" si="0"/>
        <v>4 - Blanco/Nulo</v>
      </c>
      <c r="G2706" s="3">
        <v>1</v>
      </c>
      <c r="H2706" s="2"/>
    </row>
    <row r="2707" spans="1:8" ht="12.75" hidden="1" x14ac:dyDescent="0.2">
      <c r="A2707" s="3" t="s">
        <v>176</v>
      </c>
      <c r="B2707" s="3">
        <v>46</v>
      </c>
      <c r="C2707" s="4" t="s">
        <v>76</v>
      </c>
      <c r="D2707" s="3" t="s">
        <v>125</v>
      </c>
      <c r="E2707" s="3" t="s">
        <v>3</v>
      </c>
      <c r="F2707" s="3" t="str">
        <f t="shared" si="0"/>
        <v>1 - PJ</v>
      </c>
      <c r="G2707" s="3">
        <v>304</v>
      </c>
      <c r="H2707" s="2"/>
    </row>
    <row r="2708" spans="1:8" ht="12.75" hidden="1" x14ac:dyDescent="0.2">
      <c r="A2708" s="3" t="s">
        <v>176</v>
      </c>
      <c r="B2708" s="3">
        <v>46</v>
      </c>
      <c r="C2708" s="4" t="s">
        <v>76</v>
      </c>
      <c r="D2708" s="3" t="s">
        <v>125</v>
      </c>
      <c r="E2708" s="3" t="s">
        <v>16</v>
      </c>
      <c r="F2708" s="3" t="str">
        <f t="shared" si="0"/>
        <v>3 - Otros</v>
      </c>
      <c r="G2708" s="3">
        <v>7</v>
      </c>
      <c r="H2708" s="2"/>
    </row>
    <row r="2709" spans="1:8" ht="12.75" hidden="1" x14ac:dyDescent="0.2">
      <c r="A2709" s="3" t="s">
        <v>176</v>
      </c>
      <c r="B2709" s="3">
        <v>46</v>
      </c>
      <c r="C2709" s="4" t="s">
        <v>76</v>
      </c>
      <c r="D2709" s="3" t="s">
        <v>125</v>
      </c>
      <c r="E2709" s="3" t="s">
        <v>129</v>
      </c>
      <c r="F2709" s="3" t="str">
        <f t="shared" si="0"/>
        <v>3 - Otros</v>
      </c>
      <c r="G2709" s="3">
        <v>3</v>
      </c>
      <c r="H2709" s="2"/>
    </row>
    <row r="2710" spans="1:8" ht="12.75" hidden="1" x14ac:dyDescent="0.2">
      <c r="A2710" s="3" t="s">
        <v>176</v>
      </c>
      <c r="B2710" s="3">
        <v>46</v>
      </c>
      <c r="C2710" s="4" t="s">
        <v>76</v>
      </c>
      <c r="D2710" s="3" t="s">
        <v>125</v>
      </c>
      <c r="E2710" s="3" t="s">
        <v>132</v>
      </c>
      <c r="F2710" s="3" t="str">
        <f t="shared" si="0"/>
        <v>2 - Frepam</v>
      </c>
      <c r="G2710" s="3">
        <v>7</v>
      </c>
      <c r="H2710" s="2"/>
    </row>
    <row r="2711" spans="1:8" ht="12.75" hidden="1" x14ac:dyDescent="0.2">
      <c r="A2711" s="3" t="s">
        <v>176</v>
      </c>
      <c r="B2711" s="3">
        <v>46</v>
      </c>
      <c r="C2711" s="4" t="s">
        <v>76</v>
      </c>
      <c r="D2711" s="3" t="s">
        <v>125</v>
      </c>
      <c r="E2711" s="3" t="s">
        <v>134</v>
      </c>
      <c r="F2711" s="3" t="str">
        <f t="shared" si="0"/>
        <v>3 - Otros</v>
      </c>
      <c r="G2711" s="3">
        <v>1</v>
      </c>
      <c r="H2711" s="2"/>
    </row>
    <row r="2712" spans="1:8" ht="12.75" hidden="1" x14ac:dyDescent="0.2">
      <c r="A2712" s="3" t="s">
        <v>176</v>
      </c>
      <c r="B2712" s="3">
        <v>46</v>
      </c>
      <c r="C2712" s="4" t="s">
        <v>76</v>
      </c>
      <c r="D2712" s="3" t="s">
        <v>125</v>
      </c>
      <c r="E2712" s="3" t="s">
        <v>152</v>
      </c>
      <c r="F2712" s="3" t="str">
        <f t="shared" si="0"/>
        <v>2 - Frepam</v>
      </c>
      <c r="G2712" s="3">
        <v>196</v>
      </c>
      <c r="H2712" s="2"/>
    </row>
    <row r="2713" spans="1:8" ht="12.75" hidden="1" x14ac:dyDescent="0.2">
      <c r="A2713" s="3" t="s">
        <v>176</v>
      </c>
      <c r="B2713" s="3">
        <v>46</v>
      </c>
      <c r="C2713" s="4" t="s">
        <v>76</v>
      </c>
      <c r="D2713" s="3" t="s">
        <v>125</v>
      </c>
      <c r="E2713" s="3" t="s">
        <v>138</v>
      </c>
      <c r="F2713" s="3" t="str">
        <f t="shared" si="0"/>
        <v>4 - Blanco/Nulo</v>
      </c>
      <c r="G2713" s="3">
        <v>7</v>
      </c>
      <c r="H2713" s="2"/>
    </row>
    <row r="2714" spans="1:8" ht="12.75" hidden="1" x14ac:dyDescent="0.2">
      <c r="A2714" s="3" t="s">
        <v>176</v>
      </c>
      <c r="B2714" s="3">
        <v>46</v>
      </c>
      <c r="C2714" s="4" t="s">
        <v>76</v>
      </c>
      <c r="D2714" s="3" t="s">
        <v>125</v>
      </c>
      <c r="E2714" s="3" t="s">
        <v>14</v>
      </c>
      <c r="F2714" s="3" t="str">
        <f t="shared" si="0"/>
        <v>4 - Blanco/Nulo</v>
      </c>
      <c r="G2714" s="3">
        <v>13</v>
      </c>
      <c r="H2714" s="2"/>
    </row>
    <row r="2715" spans="1:8" ht="12.75" hidden="1" x14ac:dyDescent="0.2">
      <c r="A2715" s="3" t="s">
        <v>176</v>
      </c>
      <c r="B2715" s="3">
        <v>47</v>
      </c>
      <c r="C2715" s="4" t="s">
        <v>77</v>
      </c>
      <c r="D2715" s="3" t="s">
        <v>125</v>
      </c>
      <c r="E2715" s="3" t="s">
        <v>3</v>
      </c>
      <c r="F2715" s="3" t="str">
        <f t="shared" si="0"/>
        <v>1 - PJ</v>
      </c>
      <c r="G2715" s="3">
        <v>537</v>
      </c>
      <c r="H2715" s="2"/>
    </row>
    <row r="2716" spans="1:8" ht="12.75" hidden="1" x14ac:dyDescent="0.2">
      <c r="A2716" s="3" t="s">
        <v>176</v>
      </c>
      <c r="B2716" s="3">
        <v>47</v>
      </c>
      <c r="C2716" s="4" t="s">
        <v>77</v>
      </c>
      <c r="D2716" s="3" t="s">
        <v>125</v>
      </c>
      <c r="E2716" s="3" t="s">
        <v>16</v>
      </c>
      <c r="F2716" s="3" t="str">
        <f t="shared" si="0"/>
        <v>3 - Otros</v>
      </c>
      <c r="G2716" s="3">
        <v>7</v>
      </c>
      <c r="H2716" s="2"/>
    </row>
    <row r="2717" spans="1:8" ht="12.75" hidden="1" x14ac:dyDescent="0.2">
      <c r="A2717" s="3" t="s">
        <v>176</v>
      </c>
      <c r="B2717" s="3">
        <v>47</v>
      </c>
      <c r="C2717" s="4" t="s">
        <v>77</v>
      </c>
      <c r="D2717" s="3" t="s">
        <v>125</v>
      </c>
      <c r="E2717" s="3" t="s">
        <v>129</v>
      </c>
      <c r="F2717" s="3" t="str">
        <f t="shared" si="0"/>
        <v>3 - Otros</v>
      </c>
      <c r="G2717" s="3">
        <v>3</v>
      </c>
      <c r="H2717" s="2"/>
    </row>
    <row r="2718" spans="1:8" ht="12.75" hidden="1" x14ac:dyDescent="0.2">
      <c r="A2718" s="3" t="s">
        <v>176</v>
      </c>
      <c r="B2718" s="3">
        <v>47</v>
      </c>
      <c r="C2718" s="4" t="s">
        <v>77</v>
      </c>
      <c r="D2718" s="3" t="s">
        <v>125</v>
      </c>
      <c r="E2718" s="3" t="s">
        <v>132</v>
      </c>
      <c r="F2718" s="3" t="str">
        <f t="shared" si="0"/>
        <v>2 - Frepam</v>
      </c>
      <c r="G2718" s="3">
        <v>24</v>
      </c>
      <c r="H2718" s="2"/>
    </row>
    <row r="2719" spans="1:8" ht="12.75" hidden="1" x14ac:dyDescent="0.2">
      <c r="A2719" s="3" t="s">
        <v>176</v>
      </c>
      <c r="B2719" s="3">
        <v>47</v>
      </c>
      <c r="C2719" s="4" t="s">
        <v>77</v>
      </c>
      <c r="D2719" s="3" t="s">
        <v>125</v>
      </c>
      <c r="E2719" s="3" t="s">
        <v>134</v>
      </c>
      <c r="F2719" s="3" t="str">
        <f t="shared" si="0"/>
        <v>3 - Otros</v>
      </c>
      <c r="G2719" s="3">
        <v>4</v>
      </c>
      <c r="H2719" s="2"/>
    </row>
    <row r="2720" spans="1:8" ht="12.75" hidden="1" x14ac:dyDescent="0.2">
      <c r="A2720" s="3" t="s">
        <v>176</v>
      </c>
      <c r="B2720" s="3">
        <v>47</v>
      </c>
      <c r="C2720" s="4" t="s">
        <v>77</v>
      </c>
      <c r="D2720" s="3" t="s">
        <v>125</v>
      </c>
      <c r="E2720" s="3" t="s">
        <v>152</v>
      </c>
      <c r="F2720" s="3" t="str">
        <f t="shared" si="0"/>
        <v>2 - Frepam</v>
      </c>
      <c r="G2720" s="3">
        <v>306</v>
      </c>
      <c r="H2720" s="2"/>
    </row>
    <row r="2721" spans="1:8" ht="12.75" hidden="1" x14ac:dyDescent="0.2">
      <c r="A2721" s="3" t="s">
        <v>176</v>
      </c>
      <c r="B2721" s="3">
        <v>47</v>
      </c>
      <c r="C2721" s="4" t="s">
        <v>77</v>
      </c>
      <c r="D2721" s="3" t="s">
        <v>125</v>
      </c>
      <c r="E2721" s="3" t="s">
        <v>138</v>
      </c>
      <c r="F2721" s="3" t="str">
        <f t="shared" si="0"/>
        <v>4 - Blanco/Nulo</v>
      </c>
      <c r="G2721" s="3">
        <v>14</v>
      </c>
      <c r="H2721" s="2"/>
    </row>
    <row r="2722" spans="1:8" ht="12.75" hidden="1" x14ac:dyDescent="0.2">
      <c r="A2722" s="3" t="s">
        <v>176</v>
      </c>
      <c r="B2722" s="3">
        <v>47</v>
      </c>
      <c r="C2722" s="4" t="s">
        <v>77</v>
      </c>
      <c r="D2722" s="3" t="s">
        <v>125</v>
      </c>
      <c r="E2722" s="3" t="s">
        <v>14</v>
      </c>
      <c r="F2722" s="3" t="str">
        <f t="shared" si="0"/>
        <v>4 - Blanco/Nulo</v>
      </c>
      <c r="G2722" s="3">
        <v>18</v>
      </c>
      <c r="H2722" s="2"/>
    </row>
    <row r="2723" spans="1:8" ht="12.75" hidden="1" x14ac:dyDescent="0.2">
      <c r="A2723" s="3" t="s">
        <v>176</v>
      </c>
      <c r="B2723" s="3">
        <v>48</v>
      </c>
      <c r="C2723" s="4" t="s">
        <v>78</v>
      </c>
      <c r="D2723" s="3" t="s">
        <v>125</v>
      </c>
      <c r="E2723" s="3" t="s">
        <v>3</v>
      </c>
      <c r="F2723" s="3" t="str">
        <f t="shared" si="0"/>
        <v>1 - PJ</v>
      </c>
      <c r="G2723" s="3">
        <v>1695</v>
      </c>
      <c r="H2723" s="2"/>
    </row>
    <row r="2724" spans="1:8" ht="12.75" hidden="1" x14ac:dyDescent="0.2">
      <c r="A2724" s="3" t="s">
        <v>176</v>
      </c>
      <c r="B2724" s="3">
        <v>48</v>
      </c>
      <c r="C2724" s="4" t="s">
        <v>78</v>
      </c>
      <c r="D2724" s="3" t="s">
        <v>125</v>
      </c>
      <c r="E2724" s="3" t="s">
        <v>16</v>
      </c>
      <c r="F2724" s="3" t="str">
        <f t="shared" si="0"/>
        <v>3 - Otros</v>
      </c>
      <c r="G2724" s="3">
        <v>34</v>
      </c>
      <c r="H2724" s="2"/>
    </row>
    <row r="2725" spans="1:8" ht="12.75" hidden="1" x14ac:dyDescent="0.2">
      <c r="A2725" s="3" t="s">
        <v>176</v>
      </c>
      <c r="B2725" s="3">
        <v>48</v>
      </c>
      <c r="C2725" s="4" t="s">
        <v>78</v>
      </c>
      <c r="D2725" s="3" t="s">
        <v>125</v>
      </c>
      <c r="E2725" s="3" t="s">
        <v>129</v>
      </c>
      <c r="F2725" s="3" t="str">
        <f t="shared" si="0"/>
        <v>3 - Otros</v>
      </c>
      <c r="G2725" s="3">
        <v>38</v>
      </c>
      <c r="H2725" s="2"/>
    </row>
    <row r="2726" spans="1:8" ht="12.75" hidden="1" x14ac:dyDescent="0.2">
      <c r="A2726" s="3" t="s">
        <v>176</v>
      </c>
      <c r="B2726" s="3">
        <v>48</v>
      </c>
      <c r="C2726" s="4" t="s">
        <v>78</v>
      </c>
      <c r="D2726" s="3" t="s">
        <v>125</v>
      </c>
      <c r="E2726" s="3" t="s">
        <v>132</v>
      </c>
      <c r="F2726" s="3" t="str">
        <f t="shared" si="0"/>
        <v>2 - Frepam</v>
      </c>
      <c r="G2726" s="3">
        <v>175</v>
      </c>
      <c r="H2726" s="2"/>
    </row>
    <row r="2727" spans="1:8" ht="12.75" hidden="1" x14ac:dyDescent="0.2">
      <c r="A2727" s="3" t="s">
        <v>176</v>
      </c>
      <c r="B2727" s="3">
        <v>48</v>
      </c>
      <c r="C2727" s="4" t="s">
        <v>78</v>
      </c>
      <c r="D2727" s="3" t="s">
        <v>125</v>
      </c>
      <c r="E2727" s="3" t="s">
        <v>134</v>
      </c>
      <c r="F2727" s="3" t="str">
        <f t="shared" si="0"/>
        <v>3 - Otros</v>
      </c>
      <c r="G2727" s="3">
        <v>49</v>
      </c>
      <c r="H2727" s="2"/>
    </row>
    <row r="2728" spans="1:8" ht="12.75" hidden="1" x14ac:dyDescent="0.2">
      <c r="A2728" s="3" t="s">
        <v>176</v>
      </c>
      <c r="B2728" s="3">
        <v>48</v>
      </c>
      <c r="C2728" s="4" t="s">
        <v>78</v>
      </c>
      <c r="D2728" s="3" t="s">
        <v>125</v>
      </c>
      <c r="E2728" s="3" t="s">
        <v>152</v>
      </c>
      <c r="F2728" s="3" t="str">
        <f t="shared" si="0"/>
        <v>2 - Frepam</v>
      </c>
      <c r="G2728" s="3">
        <v>1681</v>
      </c>
      <c r="H2728" s="2"/>
    </row>
    <row r="2729" spans="1:8" ht="12.75" hidden="1" x14ac:dyDescent="0.2">
      <c r="A2729" s="3" t="s">
        <v>176</v>
      </c>
      <c r="B2729" s="3">
        <v>48</v>
      </c>
      <c r="C2729" s="4" t="s">
        <v>78</v>
      </c>
      <c r="D2729" s="3" t="s">
        <v>125</v>
      </c>
      <c r="E2729" s="3" t="s">
        <v>138</v>
      </c>
      <c r="F2729" s="3" t="str">
        <f t="shared" si="0"/>
        <v>4 - Blanco/Nulo</v>
      </c>
      <c r="G2729" s="3">
        <v>205</v>
      </c>
      <c r="H2729" s="2"/>
    </row>
    <row r="2730" spans="1:8" ht="12.75" hidden="1" x14ac:dyDescent="0.2">
      <c r="A2730" s="3" t="s">
        <v>176</v>
      </c>
      <c r="B2730" s="3">
        <v>48</v>
      </c>
      <c r="C2730" s="4" t="s">
        <v>78</v>
      </c>
      <c r="D2730" s="3" t="s">
        <v>125</v>
      </c>
      <c r="E2730" s="3" t="s">
        <v>14</v>
      </c>
      <c r="F2730" s="3" t="str">
        <f t="shared" si="0"/>
        <v>4 - Blanco/Nulo</v>
      </c>
      <c r="G2730" s="3">
        <v>61</v>
      </c>
      <c r="H2730" s="2"/>
    </row>
    <row r="2731" spans="1:8" ht="12.75" hidden="1" x14ac:dyDescent="0.2">
      <c r="A2731" s="3" t="s">
        <v>176</v>
      </c>
      <c r="B2731" s="3">
        <v>49</v>
      </c>
      <c r="C2731" s="4" t="s">
        <v>79</v>
      </c>
      <c r="D2731" s="3" t="s">
        <v>125</v>
      </c>
      <c r="E2731" s="3" t="s">
        <v>3</v>
      </c>
      <c r="F2731" s="3" t="str">
        <f t="shared" si="0"/>
        <v>1 - PJ</v>
      </c>
      <c r="G2731" s="3">
        <v>92</v>
      </c>
      <c r="H2731" s="2"/>
    </row>
    <row r="2732" spans="1:8" ht="12.75" hidden="1" x14ac:dyDescent="0.2">
      <c r="A2732" s="3" t="s">
        <v>176</v>
      </c>
      <c r="B2732" s="3">
        <v>49</v>
      </c>
      <c r="C2732" s="4" t="s">
        <v>79</v>
      </c>
      <c r="D2732" s="3" t="s">
        <v>125</v>
      </c>
      <c r="E2732" s="3" t="s">
        <v>16</v>
      </c>
      <c r="F2732" s="3" t="str">
        <f t="shared" si="0"/>
        <v>3 - Otros</v>
      </c>
      <c r="G2732" s="3">
        <v>2</v>
      </c>
      <c r="H2732" s="2"/>
    </row>
    <row r="2733" spans="1:8" ht="12.75" hidden="1" x14ac:dyDescent="0.2">
      <c r="A2733" s="3" t="s">
        <v>176</v>
      </c>
      <c r="B2733" s="3">
        <v>49</v>
      </c>
      <c r="C2733" s="4" t="s">
        <v>79</v>
      </c>
      <c r="D2733" s="3" t="s">
        <v>125</v>
      </c>
      <c r="E2733" s="3" t="s">
        <v>129</v>
      </c>
      <c r="F2733" s="3" t="str">
        <f t="shared" si="0"/>
        <v>3 - Otros</v>
      </c>
      <c r="G2733" s="3">
        <v>1</v>
      </c>
      <c r="H2733" s="2"/>
    </row>
    <row r="2734" spans="1:8" ht="12.75" hidden="1" x14ac:dyDescent="0.2">
      <c r="A2734" s="3" t="s">
        <v>176</v>
      </c>
      <c r="B2734" s="3">
        <v>49</v>
      </c>
      <c r="C2734" s="4" t="s">
        <v>79</v>
      </c>
      <c r="D2734" s="3" t="s">
        <v>125</v>
      </c>
      <c r="E2734" s="3" t="s">
        <v>132</v>
      </c>
      <c r="F2734" s="3" t="str">
        <f t="shared" si="0"/>
        <v>2 - Frepam</v>
      </c>
      <c r="G2734" s="3">
        <v>6</v>
      </c>
      <c r="H2734" s="2"/>
    </row>
    <row r="2735" spans="1:8" ht="12.75" hidden="1" x14ac:dyDescent="0.2">
      <c r="A2735" s="3" t="s">
        <v>176</v>
      </c>
      <c r="B2735" s="3">
        <v>49</v>
      </c>
      <c r="C2735" s="4" t="s">
        <v>79</v>
      </c>
      <c r="D2735" s="3" t="s">
        <v>125</v>
      </c>
      <c r="E2735" s="3" t="s">
        <v>134</v>
      </c>
      <c r="F2735" s="3" t="str">
        <f t="shared" si="0"/>
        <v>3 - Otros</v>
      </c>
      <c r="G2735" s="3">
        <v>1</v>
      </c>
      <c r="H2735" s="2"/>
    </row>
    <row r="2736" spans="1:8" ht="12.75" hidden="1" x14ac:dyDescent="0.2">
      <c r="A2736" s="3" t="s">
        <v>176</v>
      </c>
      <c r="B2736" s="3">
        <v>49</v>
      </c>
      <c r="C2736" s="4" t="s">
        <v>79</v>
      </c>
      <c r="D2736" s="3" t="s">
        <v>125</v>
      </c>
      <c r="E2736" s="3" t="s">
        <v>152</v>
      </c>
      <c r="F2736" s="3" t="str">
        <f t="shared" si="0"/>
        <v>2 - Frepam</v>
      </c>
      <c r="G2736" s="3">
        <v>56</v>
      </c>
      <c r="H2736" s="2"/>
    </row>
    <row r="2737" spans="1:8" ht="12.75" hidden="1" x14ac:dyDescent="0.2">
      <c r="A2737" s="3" t="s">
        <v>176</v>
      </c>
      <c r="B2737" s="3">
        <v>49</v>
      </c>
      <c r="C2737" s="4" t="s">
        <v>79</v>
      </c>
      <c r="D2737" s="3" t="s">
        <v>125</v>
      </c>
      <c r="E2737" s="3" t="s">
        <v>138</v>
      </c>
      <c r="F2737" s="3" t="str">
        <f t="shared" si="0"/>
        <v>4 - Blanco/Nulo</v>
      </c>
      <c r="G2737" s="3">
        <v>0</v>
      </c>
      <c r="H2737" s="2"/>
    </row>
    <row r="2738" spans="1:8" ht="12.75" hidden="1" x14ac:dyDescent="0.2">
      <c r="A2738" s="3" t="s">
        <v>176</v>
      </c>
      <c r="B2738" s="3">
        <v>49</v>
      </c>
      <c r="C2738" s="4" t="s">
        <v>79</v>
      </c>
      <c r="D2738" s="3" t="s">
        <v>125</v>
      </c>
      <c r="E2738" s="3" t="s">
        <v>14</v>
      </c>
      <c r="F2738" s="3" t="str">
        <f t="shared" si="0"/>
        <v>4 - Blanco/Nulo</v>
      </c>
      <c r="G2738" s="3">
        <v>0</v>
      </c>
      <c r="H2738" s="2"/>
    </row>
    <row r="2739" spans="1:8" ht="12.75" hidden="1" x14ac:dyDescent="0.2">
      <c r="A2739" s="3" t="s">
        <v>176</v>
      </c>
      <c r="B2739" s="3">
        <v>53</v>
      </c>
      <c r="C2739" s="4" t="s">
        <v>80</v>
      </c>
      <c r="D2739" s="3" t="s">
        <v>125</v>
      </c>
      <c r="E2739" s="3" t="s">
        <v>3</v>
      </c>
      <c r="F2739" s="3" t="str">
        <f t="shared" si="0"/>
        <v>1 - PJ</v>
      </c>
      <c r="G2739" s="3">
        <v>95</v>
      </c>
      <c r="H2739" s="2"/>
    </row>
    <row r="2740" spans="1:8" ht="12.75" hidden="1" x14ac:dyDescent="0.2">
      <c r="A2740" s="3" t="s">
        <v>176</v>
      </c>
      <c r="B2740" s="3">
        <v>53</v>
      </c>
      <c r="C2740" s="4" t="s">
        <v>80</v>
      </c>
      <c r="D2740" s="3" t="s">
        <v>125</v>
      </c>
      <c r="E2740" s="3" t="s">
        <v>16</v>
      </c>
      <c r="F2740" s="3" t="str">
        <f t="shared" si="0"/>
        <v>3 - Otros</v>
      </c>
      <c r="G2740" s="3">
        <v>0</v>
      </c>
      <c r="H2740" s="2"/>
    </row>
    <row r="2741" spans="1:8" ht="12.75" hidden="1" x14ac:dyDescent="0.2">
      <c r="A2741" s="3" t="s">
        <v>176</v>
      </c>
      <c r="B2741" s="3">
        <v>53</v>
      </c>
      <c r="C2741" s="4" t="s">
        <v>80</v>
      </c>
      <c r="D2741" s="3" t="s">
        <v>125</v>
      </c>
      <c r="E2741" s="3" t="s">
        <v>129</v>
      </c>
      <c r="F2741" s="3" t="str">
        <f t="shared" si="0"/>
        <v>3 - Otros</v>
      </c>
      <c r="G2741" s="3">
        <v>1</v>
      </c>
      <c r="H2741" s="2"/>
    </row>
    <row r="2742" spans="1:8" ht="12.75" hidden="1" x14ac:dyDescent="0.2">
      <c r="A2742" s="3" t="s">
        <v>176</v>
      </c>
      <c r="B2742" s="3">
        <v>53</v>
      </c>
      <c r="C2742" s="4" t="s">
        <v>80</v>
      </c>
      <c r="D2742" s="3" t="s">
        <v>125</v>
      </c>
      <c r="E2742" s="3" t="s">
        <v>132</v>
      </c>
      <c r="F2742" s="3" t="str">
        <f t="shared" si="0"/>
        <v>2 - Frepam</v>
      </c>
      <c r="G2742" s="3">
        <v>22</v>
      </c>
      <c r="H2742" s="2"/>
    </row>
    <row r="2743" spans="1:8" ht="12.75" hidden="1" x14ac:dyDescent="0.2">
      <c r="A2743" s="3" t="s">
        <v>176</v>
      </c>
      <c r="B2743" s="3">
        <v>53</v>
      </c>
      <c r="C2743" s="4" t="s">
        <v>80</v>
      </c>
      <c r="D2743" s="3" t="s">
        <v>125</v>
      </c>
      <c r="E2743" s="3" t="s">
        <v>134</v>
      </c>
      <c r="F2743" s="3" t="str">
        <f t="shared" si="0"/>
        <v>3 - Otros</v>
      </c>
      <c r="G2743" s="3">
        <v>0</v>
      </c>
      <c r="H2743" s="2"/>
    </row>
    <row r="2744" spans="1:8" ht="12.75" hidden="1" x14ac:dyDescent="0.2">
      <c r="A2744" s="3" t="s">
        <v>176</v>
      </c>
      <c r="B2744" s="3">
        <v>53</v>
      </c>
      <c r="C2744" s="4" t="s">
        <v>80</v>
      </c>
      <c r="D2744" s="3" t="s">
        <v>125</v>
      </c>
      <c r="E2744" s="3" t="s">
        <v>152</v>
      </c>
      <c r="F2744" s="3" t="str">
        <f t="shared" si="0"/>
        <v>2 - Frepam</v>
      </c>
      <c r="G2744" s="3">
        <v>60</v>
      </c>
      <c r="H2744" s="2"/>
    </row>
    <row r="2745" spans="1:8" ht="12.75" hidden="1" x14ac:dyDescent="0.2">
      <c r="A2745" s="3" t="s">
        <v>176</v>
      </c>
      <c r="B2745" s="3">
        <v>53</v>
      </c>
      <c r="C2745" s="4" t="s">
        <v>80</v>
      </c>
      <c r="D2745" s="3" t="s">
        <v>125</v>
      </c>
      <c r="E2745" s="3" t="s">
        <v>138</v>
      </c>
      <c r="F2745" s="3" t="str">
        <f t="shared" si="0"/>
        <v>4 - Blanco/Nulo</v>
      </c>
      <c r="G2745" s="3">
        <v>2</v>
      </c>
      <c r="H2745" s="2"/>
    </row>
    <row r="2746" spans="1:8" ht="12.75" hidden="1" x14ac:dyDescent="0.2">
      <c r="A2746" s="3" t="s">
        <v>176</v>
      </c>
      <c r="B2746" s="3">
        <v>53</v>
      </c>
      <c r="C2746" s="4" t="s">
        <v>80</v>
      </c>
      <c r="D2746" s="3" t="s">
        <v>125</v>
      </c>
      <c r="E2746" s="3" t="s">
        <v>14</v>
      </c>
      <c r="F2746" s="3" t="str">
        <f t="shared" si="0"/>
        <v>4 - Blanco/Nulo</v>
      </c>
      <c r="G2746" s="3">
        <v>2</v>
      </c>
      <c r="H2746" s="2"/>
    </row>
    <row r="2747" spans="1:8" ht="12.75" hidden="1" x14ac:dyDescent="0.2">
      <c r="A2747" s="3" t="s">
        <v>176</v>
      </c>
      <c r="B2747" s="3">
        <v>54</v>
      </c>
      <c r="C2747" s="4" t="s">
        <v>81</v>
      </c>
      <c r="D2747" s="3" t="s">
        <v>125</v>
      </c>
      <c r="E2747" s="3" t="s">
        <v>3</v>
      </c>
      <c r="F2747" s="3" t="str">
        <f t="shared" si="0"/>
        <v>1 - PJ</v>
      </c>
      <c r="G2747" s="3">
        <v>47</v>
      </c>
      <c r="H2747" s="2"/>
    </row>
    <row r="2748" spans="1:8" ht="12.75" hidden="1" x14ac:dyDescent="0.2">
      <c r="A2748" s="3" t="s">
        <v>176</v>
      </c>
      <c r="B2748" s="3">
        <v>54</v>
      </c>
      <c r="C2748" s="4" t="s">
        <v>81</v>
      </c>
      <c r="D2748" s="3" t="s">
        <v>125</v>
      </c>
      <c r="E2748" s="3" t="s">
        <v>16</v>
      </c>
      <c r="F2748" s="3" t="str">
        <f t="shared" si="0"/>
        <v>3 - Otros</v>
      </c>
      <c r="G2748" s="3">
        <v>0</v>
      </c>
      <c r="H2748" s="2"/>
    </row>
    <row r="2749" spans="1:8" ht="12.75" hidden="1" x14ac:dyDescent="0.2">
      <c r="A2749" s="3" t="s">
        <v>176</v>
      </c>
      <c r="B2749" s="3">
        <v>54</v>
      </c>
      <c r="C2749" s="4" t="s">
        <v>81</v>
      </c>
      <c r="D2749" s="3" t="s">
        <v>125</v>
      </c>
      <c r="E2749" s="3" t="s">
        <v>129</v>
      </c>
      <c r="F2749" s="3" t="str">
        <f t="shared" si="0"/>
        <v>3 - Otros</v>
      </c>
      <c r="G2749" s="3">
        <v>0</v>
      </c>
      <c r="H2749" s="2"/>
    </row>
    <row r="2750" spans="1:8" ht="12.75" hidden="1" x14ac:dyDescent="0.2">
      <c r="A2750" s="3" t="s">
        <v>176</v>
      </c>
      <c r="B2750" s="3">
        <v>54</v>
      </c>
      <c r="C2750" s="4" t="s">
        <v>81</v>
      </c>
      <c r="D2750" s="3" t="s">
        <v>125</v>
      </c>
      <c r="E2750" s="3" t="s">
        <v>132</v>
      </c>
      <c r="F2750" s="3" t="str">
        <f t="shared" si="0"/>
        <v>2 - Frepam</v>
      </c>
      <c r="G2750" s="3">
        <v>1</v>
      </c>
      <c r="H2750" s="2"/>
    </row>
    <row r="2751" spans="1:8" ht="12.75" hidden="1" x14ac:dyDescent="0.2">
      <c r="A2751" s="3" t="s">
        <v>176</v>
      </c>
      <c r="B2751" s="3">
        <v>54</v>
      </c>
      <c r="C2751" s="4" t="s">
        <v>81</v>
      </c>
      <c r="D2751" s="3" t="s">
        <v>125</v>
      </c>
      <c r="E2751" s="3" t="s">
        <v>134</v>
      </c>
      <c r="F2751" s="3" t="str">
        <f t="shared" si="0"/>
        <v>3 - Otros</v>
      </c>
      <c r="G2751" s="3">
        <v>1</v>
      </c>
      <c r="H2751" s="2"/>
    </row>
    <row r="2752" spans="1:8" ht="12.75" hidden="1" x14ac:dyDescent="0.2">
      <c r="A2752" s="3" t="s">
        <v>176</v>
      </c>
      <c r="B2752" s="3">
        <v>54</v>
      </c>
      <c r="C2752" s="4" t="s">
        <v>81</v>
      </c>
      <c r="D2752" s="3" t="s">
        <v>125</v>
      </c>
      <c r="E2752" s="3" t="s">
        <v>152</v>
      </c>
      <c r="F2752" s="3" t="str">
        <f t="shared" si="0"/>
        <v>2 - Frepam</v>
      </c>
      <c r="G2752" s="3">
        <v>36</v>
      </c>
      <c r="H2752" s="2"/>
    </row>
    <row r="2753" spans="1:8" ht="12.75" hidden="1" x14ac:dyDescent="0.2">
      <c r="A2753" s="3" t="s">
        <v>176</v>
      </c>
      <c r="B2753" s="3">
        <v>54</v>
      </c>
      <c r="C2753" s="4" t="s">
        <v>81</v>
      </c>
      <c r="D2753" s="3" t="s">
        <v>125</v>
      </c>
      <c r="E2753" s="3" t="s">
        <v>138</v>
      </c>
      <c r="F2753" s="3" t="str">
        <f t="shared" si="0"/>
        <v>4 - Blanco/Nulo</v>
      </c>
      <c r="G2753" s="3">
        <v>1</v>
      </c>
      <c r="H2753" s="2"/>
    </row>
    <row r="2754" spans="1:8" ht="12.75" hidden="1" x14ac:dyDescent="0.2">
      <c r="A2754" s="3" t="s">
        <v>176</v>
      </c>
      <c r="B2754" s="3">
        <v>54</v>
      </c>
      <c r="C2754" s="4" t="s">
        <v>81</v>
      </c>
      <c r="D2754" s="3" t="s">
        <v>125</v>
      </c>
      <c r="E2754" s="3" t="s">
        <v>14</v>
      </c>
      <c r="F2754" s="3" t="str">
        <f t="shared" si="0"/>
        <v>4 - Blanco/Nulo</v>
      </c>
      <c r="G2754" s="3">
        <v>5</v>
      </c>
      <c r="H2754" s="2"/>
    </row>
    <row r="2755" spans="1:8" ht="12.75" hidden="1" x14ac:dyDescent="0.2">
      <c r="A2755" s="3" t="s">
        <v>176</v>
      </c>
      <c r="B2755" s="3">
        <v>55</v>
      </c>
      <c r="C2755" s="4" t="s">
        <v>82</v>
      </c>
      <c r="D2755" s="3" t="s">
        <v>125</v>
      </c>
      <c r="E2755" s="3" t="s">
        <v>3</v>
      </c>
      <c r="F2755" s="3" t="str">
        <f t="shared" si="0"/>
        <v>1 - PJ</v>
      </c>
      <c r="G2755" s="3">
        <v>120</v>
      </c>
      <c r="H2755" s="2"/>
    </row>
    <row r="2756" spans="1:8" ht="12.75" hidden="1" x14ac:dyDescent="0.2">
      <c r="A2756" s="3" t="s">
        <v>176</v>
      </c>
      <c r="B2756" s="3">
        <v>55</v>
      </c>
      <c r="C2756" s="4" t="s">
        <v>82</v>
      </c>
      <c r="D2756" s="3" t="s">
        <v>125</v>
      </c>
      <c r="E2756" s="3" t="s">
        <v>16</v>
      </c>
      <c r="F2756" s="3" t="str">
        <f t="shared" si="0"/>
        <v>3 - Otros</v>
      </c>
      <c r="G2756" s="3">
        <v>2</v>
      </c>
      <c r="H2756" s="2"/>
    </row>
    <row r="2757" spans="1:8" ht="12.75" hidden="1" x14ac:dyDescent="0.2">
      <c r="A2757" s="3" t="s">
        <v>176</v>
      </c>
      <c r="B2757" s="3">
        <v>55</v>
      </c>
      <c r="C2757" s="4" t="s">
        <v>82</v>
      </c>
      <c r="D2757" s="3" t="s">
        <v>125</v>
      </c>
      <c r="E2757" s="3" t="s">
        <v>129</v>
      </c>
      <c r="F2757" s="3" t="str">
        <f t="shared" si="0"/>
        <v>3 - Otros</v>
      </c>
      <c r="G2757" s="3">
        <v>1</v>
      </c>
      <c r="H2757" s="2"/>
    </row>
    <row r="2758" spans="1:8" ht="12.75" hidden="1" x14ac:dyDescent="0.2">
      <c r="A2758" s="3" t="s">
        <v>176</v>
      </c>
      <c r="B2758" s="3">
        <v>55</v>
      </c>
      <c r="C2758" s="4" t="s">
        <v>82</v>
      </c>
      <c r="D2758" s="3" t="s">
        <v>125</v>
      </c>
      <c r="E2758" s="3" t="s">
        <v>132</v>
      </c>
      <c r="F2758" s="3" t="str">
        <f t="shared" si="0"/>
        <v>2 - Frepam</v>
      </c>
      <c r="G2758" s="3">
        <v>6</v>
      </c>
      <c r="H2758" s="2"/>
    </row>
    <row r="2759" spans="1:8" ht="12.75" hidden="1" x14ac:dyDescent="0.2">
      <c r="A2759" s="3" t="s">
        <v>176</v>
      </c>
      <c r="B2759" s="3">
        <v>55</v>
      </c>
      <c r="C2759" s="4" t="s">
        <v>82</v>
      </c>
      <c r="D2759" s="3" t="s">
        <v>125</v>
      </c>
      <c r="E2759" s="3" t="s">
        <v>134</v>
      </c>
      <c r="F2759" s="3" t="str">
        <f t="shared" si="0"/>
        <v>3 - Otros</v>
      </c>
      <c r="G2759" s="3">
        <v>5</v>
      </c>
      <c r="H2759" s="2"/>
    </row>
    <row r="2760" spans="1:8" ht="12.75" hidden="1" x14ac:dyDescent="0.2">
      <c r="A2760" s="3" t="s">
        <v>176</v>
      </c>
      <c r="B2760" s="3">
        <v>55</v>
      </c>
      <c r="C2760" s="4" t="s">
        <v>82</v>
      </c>
      <c r="D2760" s="3" t="s">
        <v>125</v>
      </c>
      <c r="E2760" s="3" t="s">
        <v>152</v>
      </c>
      <c r="F2760" s="3" t="str">
        <f t="shared" si="0"/>
        <v>2 - Frepam</v>
      </c>
      <c r="G2760" s="3">
        <v>124</v>
      </c>
      <c r="H2760" s="2"/>
    </row>
    <row r="2761" spans="1:8" ht="12.75" hidden="1" x14ac:dyDescent="0.2">
      <c r="A2761" s="3" t="s">
        <v>176</v>
      </c>
      <c r="B2761" s="3">
        <v>55</v>
      </c>
      <c r="C2761" s="4" t="s">
        <v>82</v>
      </c>
      <c r="D2761" s="3" t="s">
        <v>125</v>
      </c>
      <c r="E2761" s="3" t="s">
        <v>138</v>
      </c>
      <c r="F2761" s="3" t="str">
        <f t="shared" si="0"/>
        <v>4 - Blanco/Nulo</v>
      </c>
      <c r="G2761" s="3">
        <v>3</v>
      </c>
      <c r="H2761" s="2"/>
    </row>
    <row r="2762" spans="1:8" ht="12.75" hidden="1" x14ac:dyDescent="0.2">
      <c r="A2762" s="3" t="s">
        <v>176</v>
      </c>
      <c r="B2762" s="3">
        <v>55</v>
      </c>
      <c r="C2762" s="4" t="s">
        <v>82</v>
      </c>
      <c r="D2762" s="3" t="s">
        <v>125</v>
      </c>
      <c r="E2762" s="3" t="s">
        <v>14</v>
      </c>
      <c r="F2762" s="3" t="str">
        <f t="shared" si="0"/>
        <v>4 - Blanco/Nulo</v>
      </c>
      <c r="G2762" s="3">
        <v>1</v>
      </c>
      <c r="H2762" s="2"/>
    </row>
    <row r="2763" spans="1:8" ht="12.75" hidden="1" x14ac:dyDescent="0.2">
      <c r="A2763" s="3" t="s">
        <v>176</v>
      </c>
      <c r="B2763" s="3">
        <v>56</v>
      </c>
      <c r="C2763" s="4" t="s">
        <v>83</v>
      </c>
      <c r="D2763" s="3" t="s">
        <v>125</v>
      </c>
      <c r="E2763" s="3" t="s">
        <v>3</v>
      </c>
      <c r="F2763" s="3" t="str">
        <f t="shared" si="0"/>
        <v>1 - PJ</v>
      </c>
      <c r="G2763" s="3">
        <v>224</v>
      </c>
      <c r="H2763" s="2"/>
    </row>
    <row r="2764" spans="1:8" ht="12.75" hidden="1" x14ac:dyDescent="0.2">
      <c r="A2764" s="3" t="s">
        <v>176</v>
      </c>
      <c r="B2764" s="3">
        <v>56</v>
      </c>
      <c r="C2764" s="4" t="s">
        <v>83</v>
      </c>
      <c r="D2764" s="3" t="s">
        <v>125</v>
      </c>
      <c r="E2764" s="3" t="s">
        <v>16</v>
      </c>
      <c r="F2764" s="3" t="str">
        <f t="shared" si="0"/>
        <v>3 - Otros</v>
      </c>
      <c r="G2764" s="3">
        <v>2</v>
      </c>
      <c r="H2764" s="2"/>
    </row>
    <row r="2765" spans="1:8" ht="12.75" hidden="1" x14ac:dyDescent="0.2">
      <c r="A2765" s="3" t="s">
        <v>176</v>
      </c>
      <c r="B2765" s="3">
        <v>56</v>
      </c>
      <c r="C2765" s="4" t="s">
        <v>83</v>
      </c>
      <c r="D2765" s="3" t="s">
        <v>125</v>
      </c>
      <c r="E2765" s="3" t="s">
        <v>129</v>
      </c>
      <c r="F2765" s="3" t="str">
        <f t="shared" si="0"/>
        <v>3 - Otros</v>
      </c>
      <c r="G2765" s="3">
        <v>3</v>
      </c>
      <c r="H2765" s="2"/>
    </row>
    <row r="2766" spans="1:8" ht="12.75" hidden="1" x14ac:dyDescent="0.2">
      <c r="A2766" s="3" t="s">
        <v>176</v>
      </c>
      <c r="B2766" s="3">
        <v>56</v>
      </c>
      <c r="C2766" s="4" t="s">
        <v>83</v>
      </c>
      <c r="D2766" s="3" t="s">
        <v>125</v>
      </c>
      <c r="E2766" s="3" t="s">
        <v>132</v>
      </c>
      <c r="F2766" s="3" t="str">
        <f t="shared" si="0"/>
        <v>2 - Frepam</v>
      </c>
      <c r="G2766" s="3">
        <v>21</v>
      </c>
      <c r="H2766" s="2"/>
    </row>
    <row r="2767" spans="1:8" ht="12.75" hidden="1" x14ac:dyDescent="0.2">
      <c r="A2767" s="3" t="s">
        <v>176</v>
      </c>
      <c r="B2767" s="3">
        <v>56</v>
      </c>
      <c r="C2767" s="4" t="s">
        <v>83</v>
      </c>
      <c r="D2767" s="3" t="s">
        <v>125</v>
      </c>
      <c r="E2767" s="3" t="s">
        <v>134</v>
      </c>
      <c r="F2767" s="3" t="str">
        <f t="shared" si="0"/>
        <v>3 - Otros</v>
      </c>
      <c r="G2767" s="3">
        <v>2</v>
      </c>
      <c r="H2767" s="2"/>
    </row>
    <row r="2768" spans="1:8" ht="12.75" hidden="1" x14ac:dyDescent="0.2">
      <c r="A2768" s="3" t="s">
        <v>176</v>
      </c>
      <c r="B2768" s="3">
        <v>56</v>
      </c>
      <c r="C2768" s="4" t="s">
        <v>83</v>
      </c>
      <c r="D2768" s="3" t="s">
        <v>125</v>
      </c>
      <c r="E2768" s="3" t="s">
        <v>152</v>
      </c>
      <c r="F2768" s="3" t="str">
        <f t="shared" si="0"/>
        <v>2 - Frepam</v>
      </c>
      <c r="G2768" s="3">
        <v>152</v>
      </c>
      <c r="H2768" s="2"/>
    </row>
    <row r="2769" spans="1:8" ht="12.75" hidden="1" x14ac:dyDescent="0.2">
      <c r="A2769" s="3" t="s">
        <v>176</v>
      </c>
      <c r="B2769" s="3">
        <v>56</v>
      </c>
      <c r="C2769" s="4" t="s">
        <v>83</v>
      </c>
      <c r="D2769" s="3" t="s">
        <v>125</v>
      </c>
      <c r="E2769" s="3" t="s">
        <v>138</v>
      </c>
      <c r="F2769" s="3" t="str">
        <f t="shared" si="0"/>
        <v>4 - Blanco/Nulo</v>
      </c>
      <c r="G2769" s="3">
        <v>9</v>
      </c>
      <c r="H2769" s="2"/>
    </row>
    <row r="2770" spans="1:8" ht="12.75" hidden="1" x14ac:dyDescent="0.2">
      <c r="A2770" s="3" t="s">
        <v>176</v>
      </c>
      <c r="B2770" s="3">
        <v>56</v>
      </c>
      <c r="C2770" s="4" t="s">
        <v>83</v>
      </c>
      <c r="D2770" s="3" t="s">
        <v>125</v>
      </c>
      <c r="E2770" s="3" t="s">
        <v>14</v>
      </c>
      <c r="F2770" s="3" t="str">
        <f t="shared" si="0"/>
        <v>4 - Blanco/Nulo</v>
      </c>
      <c r="G2770" s="3">
        <v>3</v>
      </c>
      <c r="H2770" s="2"/>
    </row>
    <row r="2771" spans="1:8" ht="12.75" hidden="1" x14ac:dyDescent="0.2">
      <c r="A2771" s="3" t="s">
        <v>176</v>
      </c>
      <c r="B2771" s="2">
        <v>58</v>
      </c>
      <c r="C2771" s="4" t="s">
        <v>84</v>
      </c>
      <c r="D2771" s="3" t="s">
        <v>125</v>
      </c>
      <c r="E2771" s="3" t="s">
        <v>3</v>
      </c>
      <c r="F2771" s="3" t="str">
        <f t="shared" si="0"/>
        <v>1 - PJ</v>
      </c>
      <c r="G2771" s="3">
        <v>6373</v>
      </c>
      <c r="H2771" s="2"/>
    </row>
    <row r="2772" spans="1:8" ht="12.75" hidden="1" x14ac:dyDescent="0.2">
      <c r="A2772" s="3" t="s">
        <v>176</v>
      </c>
      <c r="B2772" s="2">
        <v>58</v>
      </c>
      <c r="C2772" s="4" t="s">
        <v>84</v>
      </c>
      <c r="D2772" s="3" t="s">
        <v>125</v>
      </c>
      <c r="E2772" s="3" t="s">
        <v>16</v>
      </c>
      <c r="F2772" s="3" t="str">
        <f t="shared" si="0"/>
        <v>3 - Otros</v>
      </c>
      <c r="G2772" s="3">
        <v>373</v>
      </c>
      <c r="H2772" s="2"/>
    </row>
    <row r="2773" spans="1:8" ht="12.75" hidden="1" x14ac:dyDescent="0.2">
      <c r="A2773" s="3" t="s">
        <v>176</v>
      </c>
      <c r="B2773" s="2">
        <v>58</v>
      </c>
      <c r="C2773" s="4" t="s">
        <v>84</v>
      </c>
      <c r="D2773" s="3" t="s">
        <v>125</v>
      </c>
      <c r="E2773" s="3" t="s">
        <v>129</v>
      </c>
      <c r="F2773" s="3" t="str">
        <f t="shared" si="0"/>
        <v>3 - Otros</v>
      </c>
      <c r="G2773" s="3">
        <v>311</v>
      </c>
      <c r="H2773" s="2"/>
    </row>
    <row r="2774" spans="1:8" ht="12.75" hidden="1" x14ac:dyDescent="0.2">
      <c r="A2774" s="3" t="s">
        <v>176</v>
      </c>
      <c r="B2774" s="2">
        <v>58</v>
      </c>
      <c r="C2774" s="4" t="s">
        <v>84</v>
      </c>
      <c r="D2774" s="3" t="s">
        <v>125</v>
      </c>
      <c r="E2774" s="3" t="s">
        <v>132</v>
      </c>
      <c r="F2774" s="3" t="str">
        <f t="shared" si="0"/>
        <v>2 - Frepam</v>
      </c>
      <c r="G2774" s="3">
        <v>1939</v>
      </c>
      <c r="H2774" s="2"/>
    </row>
    <row r="2775" spans="1:8" ht="12.75" hidden="1" x14ac:dyDescent="0.2">
      <c r="A2775" s="3" t="s">
        <v>176</v>
      </c>
      <c r="B2775" s="2">
        <v>58</v>
      </c>
      <c r="C2775" s="4" t="s">
        <v>84</v>
      </c>
      <c r="D2775" s="3" t="s">
        <v>125</v>
      </c>
      <c r="E2775" s="3" t="s">
        <v>134</v>
      </c>
      <c r="F2775" s="3" t="str">
        <f t="shared" si="0"/>
        <v>3 - Otros</v>
      </c>
      <c r="G2775" s="3">
        <v>486</v>
      </c>
      <c r="H2775" s="2"/>
    </row>
    <row r="2776" spans="1:8" ht="12.75" hidden="1" x14ac:dyDescent="0.2">
      <c r="A2776" s="3" t="s">
        <v>176</v>
      </c>
      <c r="B2776" s="2">
        <v>58</v>
      </c>
      <c r="C2776" s="4" t="s">
        <v>84</v>
      </c>
      <c r="D2776" s="3" t="s">
        <v>125</v>
      </c>
      <c r="E2776" s="3" t="s">
        <v>152</v>
      </c>
      <c r="F2776" s="3" t="str">
        <f t="shared" si="0"/>
        <v>2 - Frepam</v>
      </c>
      <c r="G2776" s="3">
        <v>10674</v>
      </c>
      <c r="H2776" s="2"/>
    </row>
    <row r="2777" spans="1:8" ht="12.75" hidden="1" x14ac:dyDescent="0.2">
      <c r="A2777" s="3" t="s">
        <v>176</v>
      </c>
      <c r="B2777" s="2">
        <v>58</v>
      </c>
      <c r="C2777" s="4" t="s">
        <v>84</v>
      </c>
      <c r="D2777" s="3" t="s">
        <v>125</v>
      </c>
      <c r="E2777" s="3" t="s">
        <v>138</v>
      </c>
      <c r="F2777" s="3" t="str">
        <f t="shared" si="0"/>
        <v>4 - Blanco/Nulo</v>
      </c>
      <c r="G2777" s="3">
        <v>814</v>
      </c>
      <c r="H2777" s="2"/>
    </row>
    <row r="2778" spans="1:8" ht="12.75" hidden="1" x14ac:dyDescent="0.2">
      <c r="A2778" s="3" t="s">
        <v>176</v>
      </c>
      <c r="B2778" s="2">
        <v>58</v>
      </c>
      <c r="C2778" s="4" t="s">
        <v>84</v>
      </c>
      <c r="D2778" s="3" t="s">
        <v>125</v>
      </c>
      <c r="E2778" s="3" t="s">
        <v>14</v>
      </c>
      <c r="F2778" s="3" t="str">
        <f t="shared" si="0"/>
        <v>4 - Blanco/Nulo</v>
      </c>
      <c r="G2778" s="3">
        <v>346</v>
      </c>
      <c r="H2778" s="2"/>
    </row>
    <row r="2779" spans="1:8" ht="12.75" hidden="1" x14ac:dyDescent="0.2">
      <c r="A2779" s="3" t="s">
        <v>176</v>
      </c>
      <c r="B2779" s="3">
        <v>59</v>
      </c>
      <c r="C2779" s="4" t="s">
        <v>85</v>
      </c>
      <c r="D2779" s="3" t="s">
        <v>125</v>
      </c>
      <c r="E2779" s="3" t="s">
        <v>3</v>
      </c>
      <c r="F2779" s="3" t="str">
        <f t="shared" si="0"/>
        <v>1 - PJ</v>
      </c>
      <c r="G2779" s="3">
        <v>192</v>
      </c>
      <c r="H2779" s="2"/>
    </row>
    <row r="2780" spans="1:8" ht="12.75" hidden="1" x14ac:dyDescent="0.2">
      <c r="A2780" s="3" t="s">
        <v>176</v>
      </c>
      <c r="B2780" s="3">
        <v>59</v>
      </c>
      <c r="C2780" s="4" t="s">
        <v>85</v>
      </c>
      <c r="D2780" s="3" t="s">
        <v>125</v>
      </c>
      <c r="E2780" s="3" t="s">
        <v>16</v>
      </c>
      <c r="F2780" s="3" t="str">
        <f t="shared" si="0"/>
        <v>3 - Otros</v>
      </c>
      <c r="G2780" s="3">
        <v>4</v>
      </c>
      <c r="H2780" s="2"/>
    </row>
    <row r="2781" spans="1:8" ht="12.75" hidden="1" x14ac:dyDescent="0.2">
      <c r="A2781" s="3" t="s">
        <v>176</v>
      </c>
      <c r="B2781" s="3">
        <v>59</v>
      </c>
      <c r="C2781" s="4" t="s">
        <v>85</v>
      </c>
      <c r="D2781" s="3" t="s">
        <v>125</v>
      </c>
      <c r="E2781" s="3" t="s">
        <v>129</v>
      </c>
      <c r="F2781" s="3" t="str">
        <f t="shared" si="0"/>
        <v>3 - Otros</v>
      </c>
      <c r="G2781" s="3">
        <v>1</v>
      </c>
      <c r="H2781" s="2"/>
    </row>
    <row r="2782" spans="1:8" ht="12.75" hidden="1" x14ac:dyDescent="0.2">
      <c r="A2782" s="3" t="s">
        <v>176</v>
      </c>
      <c r="B2782" s="3">
        <v>59</v>
      </c>
      <c r="C2782" s="4" t="s">
        <v>85</v>
      </c>
      <c r="D2782" s="3" t="s">
        <v>125</v>
      </c>
      <c r="E2782" s="3" t="s">
        <v>132</v>
      </c>
      <c r="F2782" s="3" t="str">
        <f t="shared" si="0"/>
        <v>2 - Frepam</v>
      </c>
      <c r="G2782" s="3">
        <v>26</v>
      </c>
      <c r="H2782" s="2"/>
    </row>
    <row r="2783" spans="1:8" ht="12.75" hidden="1" x14ac:dyDescent="0.2">
      <c r="A2783" s="3" t="s">
        <v>176</v>
      </c>
      <c r="B2783" s="3">
        <v>59</v>
      </c>
      <c r="C2783" s="4" t="s">
        <v>85</v>
      </c>
      <c r="D2783" s="3" t="s">
        <v>125</v>
      </c>
      <c r="E2783" s="3" t="s">
        <v>134</v>
      </c>
      <c r="F2783" s="3" t="str">
        <f t="shared" si="0"/>
        <v>3 - Otros</v>
      </c>
      <c r="G2783" s="3">
        <v>4</v>
      </c>
      <c r="H2783" s="2"/>
    </row>
    <row r="2784" spans="1:8" ht="12.75" hidden="1" x14ac:dyDescent="0.2">
      <c r="A2784" s="3" t="s">
        <v>176</v>
      </c>
      <c r="B2784" s="3">
        <v>59</v>
      </c>
      <c r="C2784" s="4" t="s">
        <v>85</v>
      </c>
      <c r="D2784" s="3" t="s">
        <v>125</v>
      </c>
      <c r="E2784" s="3" t="s">
        <v>152</v>
      </c>
      <c r="F2784" s="3" t="str">
        <f t="shared" si="0"/>
        <v>2 - Frepam</v>
      </c>
      <c r="G2784" s="3">
        <v>155</v>
      </c>
      <c r="H2784" s="2"/>
    </row>
    <row r="2785" spans="1:8" ht="12.75" hidden="1" x14ac:dyDescent="0.2">
      <c r="A2785" s="3" t="s">
        <v>176</v>
      </c>
      <c r="B2785" s="3">
        <v>59</v>
      </c>
      <c r="C2785" s="4" t="s">
        <v>85</v>
      </c>
      <c r="D2785" s="3" t="s">
        <v>125</v>
      </c>
      <c r="E2785" s="3" t="s">
        <v>138</v>
      </c>
      <c r="F2785" s="3" t="str">
        <f t="shared" si="0"/>
        <v>4 - Blanco/Nulo</v>
      </c>
      <c r="G2785" s="3">
        <v>6</v>
      </c>
      <c r="H2785" s="2"/>
    </row>
    <row r="2786" spans="1:8" ht="12.75" hidden="1" x14ac:dyDescent="0.2">
      <c r="A2786" s="3" t="s">
        <v>176</v>
      </c>
      <c r="B2786" s="3">
        <v>59</v>
      </c>
      <c r="C2786" s="4" t="s">
        <v>85</v>
      </c>
      <c r="D2786" s="3" t="s">
        <v>125</v>
      </c>
      <c r="E2786" s="3" t="s">
        <v>14</v>
      </c>
      <c r="F2786" s="3" t="str">
        <f t="shared" si="0"/>
        <v>4 - Blanco/Nulo</v>
      </c>
      <c r="G2786" s="3">
        <v>2</v>
      </c>
      <c r="H2786" s="2"/>
    </row>
    <row r="2787" spans="1:8" ht="12.75" hidden="1" x14ac:dyDescent="0.2">
      <c r="A2787" s="3" t="s">
        <v>176</v>
      </c>
      <c r="B2787" s="3">
        <v>60</v>
      </c>
      <c r="C2787" s="4" t="s">
        <v>154</v>
      </c>
      <c r="D2787" s="3" t="s">
        <v>125</v>
      </c>
      <c r="E2787" s="3" t="s">
        <v>3</v>
      </c>
      <c r="F2787" s="3" t="str">
        <f t="shared" si="0"/>
        <v>1 - PJ</v>
      </c>
      <c r="G2787" s="3">
        <v>7</v>
      </c>
      <c r="H2787" s="2"/>
    </row>
    <row r="2788" spans="1:8" ht="12.75" hidden="1" x14ac:dyDescent="0.2">
      <c r="A2788" s="3" t="s">
        <v>176</v>
      </c>
      <c r="B2788" s="3">
        <v>60</v>
      </c>
      <c r="C2788" s="4" t="s">
        <v>154</v>
      </c>
      <c r="D2788" s="3" t="s">
        <v>125</v>
      </c>
      <c r="E2788" s="3" t="s">
        <v>16</v>
      </c>
      <c r="F2788" s="3" t="str">
        <f t="shared" si="0"/>
        <v>3 - Otros</v>
      </c>
      <c r="G2788" s="3">
        <v>0</v>
      </c>
      <c r="H2788" s="2"/>
    </row>
    <row r="2789" spans="1:8" ht="12.75" hidden="1" x14ac:dyDescent="0.2">
      <c r="A2789" s="3" t="s">
        <v>176</v>
      </c>
      <c r="B2789" s="3">
        <v>60</v>
      </c>
      <c r="C2789" s="4" t="s">
        <v>154</v>
      </c>
      <c r="D2789" s="3" t="s">
        <v>125</v>
      </c>
      <c r="E2789" s="3" t="s">
        <v>129</v>
      </c>
      <c r="F2789" s="3" t="str">
        <f t="shared" si="0"/>
        <v>3 - Otros</v>
      </c>
      <c r="G2789" s="3">
        <v>0</v>
      </c>
      <c r="H2789" s="2"/>
    </row>
    <row r="2790" spans="1:8" ht="12.75" hidden="1" x14ac:dyDescent="0.2">
      <c r="A2790" s="3" t="s">
        <v>176</v>
      </c>
      <c r="B2790" s="3">
        <v>60</v>
      </c>
      <c r="C2790" s="4" t="s">
        <v>154</v>
      </c>
      <c r="D2790" s="3" t="s">
        <v>125</v>
      </c>
      <c r="E2790" s="3" t="s">
        <v>132</v>
      </c>
      <c r="F2790" s="3" t="str">
        <f t="shared" si="0"/>
        <v>2 - Frepam</v>
      </c>
      <c r="G2790" s="3">
        <v>6</v>
      </c>
      <c r="H2790" s="2"/>
    </row>
    <row r="2791" spans="1:8" ht="12.75" hidden="1" x14ac:dyDescent="0.2">
      <c r="A2791" s="3" t="s">
        <v>176</v>
      </c>
      <c r="B2791" s="3">
        <v>60</v>
      </c>
      <c r="C2791" s="4" t="s">
        <v>154</v>
      </c>
      <c r="D2791" s="3" t="s">
        <v>125</v>
      </c>
      <c r="E2791" s="3" t="s">
        <v>134</v>
      </c>
      <c r="F2791" s="3" t="str">
        <f t="shared" si="0"/>
        <v>3 - Otros</v>
      </c>
      <c r="G2791" s="3">
        <v>0</v>
      </c>
      <c r="H2791" s="2"/>
    </row>
    <row r="2792" spans="1:8" ht="12.75" hidden="1" x14ac:dyDescent="0.2">
      <c r="A2792" s="3" t="s">
        <v>176</v>
      </c>
      <c r="B2792" s="3">
        <v>60</v>
      </c>
      <c r="C2792" s="4" t="s">
        <v>154</v>
      </c>
      <c r="D2792" s="3" t="s">
        <v>125</v>
      </c>
      <c r="E2792" s="3" t="s">
        <v>152</v>
      </c>
      <c r="F2792" s="3" t="str">
        <f t="shared" si="0"/>
        <v>2 - Frepam</v>
      </c>
      <c r="G2792" s="3">
        <v>23</v>
      </c>
      <c r="H2792" s="2"/>
    </row>
    <row r="2793" spans="1:8" ht="12.75" hidden="1" x14ac:dyDescent="0.2">
      <c r="A2793" s="3" t="s">
        <v>176</v>
      </c>
      <c r="B2793" s="3">
        <v>60</v>
      </c>
      <c r="C2793" s="4" t="s">
        <v>154</v>
      </c>
      <c r="D2793" s="3" t="s">
        <v>125</v>
      </c>
      <c r="E2793" s="3" t="s">
        <v>138</v>
      </c>
      <c r="F2793" s="3" t="str">
        <f t="shared" si="0"/>
        <v>4 - Blanco/Nulo</v>
      </c>
      <c r="G2793" s="3">
        <v>1</v>
      </c>
      <c r="H2793" s="2"/>
    </row>
    <row r="2794" spans="1:8" ht="12.75" hidden="1" x14ac:dyDescent="0.2">
      <c r="A2794" s="3" t="s">
        <v>176</v>
      </c>
      <c r="B2794" s="3">
        <v>60</v>
      </c>
      <c r="C2794" s="4" t="s">
        <v>154</v>
      </c>
      <c r="D2794" s="3" t="s">
        <v>125</v>
      </c>
      <c r="E2794" s="3" t="s">
        <v>14</v>
      </c>
      <c r="F2794" s="3" t="str">
        <f t="shared" si="0"/>
        <v>4 - Blanco/Nulo</v>
      </c>
      <c r="G2794" s="3">
        <v>0</v>
      </c>
      <c r="H2794" s="2"/>
    </row>
    <row r="2795" spans="1:8" ht="12.75" hidden="1" x14ac:dyDescent="0.2">
      <c r="A2795" s="3" t="s">
        <v>176</v>
      </c>
      <c r="B2795" s="3">
        <v>61</v>
      </c>
      <c r="C2795" s="4" t="s">
        <v>86</v>
      </c>
      <c r="D2795" s="3" t="s">
        <v>125</v>
      </c>
      <c r="E2795" s="3" t="s">
        <v>3</v>
      </c>
      <c r="F2795" s="3" t="str">
        <f t="shared" si="0"/>
        <v>1 - PJ</v>
      </c>
      <c r="G2795" s="3">
        <v>2016</v>
      </c>
      <c r="H2795" s="2"/>
    </row>
    <row r="2796" spans="1:8" ht="12.75" hidden="1" x14ac:dyDescent="0.2">
      <c r="A2796" s="3" t="s">
        <v>176</v>
      </c>
      <c r="B2796" s="3">
        <v>61</v>
      </c>
      <c r="C2796" s="4" t="s">
        <v>86</v>
      </c>
      <c r="D2796" s="3" t="s">
        <v>125</v>
      </c>
      <c r="E2796" s="3" t="s">
        <v>16</v>
      </c>
      <c r="F2796" s="3" t="str">
        <f t="shared" si="0"/>
        <v>3 - Otros</v>
      </c>
      <c r="G2796" s="3">
        <v>83</v>
      </c>
      <c r="H2796" s="2"/>
    </row>
    <row r="2797" spans="1:8" ht="12.75" hidden="1" x14ac:dyDescent="0.2">
      <c r="A2797" s="3" t="s">
        <v>176</v>
      </c>
      <c r="B2797" s="3">
        <v>61</v>
      </c>
      <c r="C2797" s="4" t="s">
        <v>86</v>
      </c>
      <c r="D2797" s="3" t="s">
        <v>125</v>
      </c>
      <c r="E2797" s="3" t="s">
        <v>129</v>
      </c>
      <c r="F2797" s="3" t="str">
        <f t="shared" si="0"/>
        <v>3 - Otros</v>
      </c>
      <c r="G2797" s="3">
        <v>57</v>
      </c>
      <c r="H2797" s="2"/>
    </row>
    <row r="2798" spans="1:8" ht="12.75" hidden="1" x14ac:dyDescent="0.2">
      <c r="A2798" s="3" t="s">
        <v>176</v>
      </c>
      <c r="B2798" s="3">
        <v>61</v>
      </c>
      <c r="C2798" s="4" t="s">
        <v>86</v>
      </c>
      <c r="D2798" s="3" t="s">
        <v>125</v>
      </c>
      <c r="E2798" s="3" t="s">
        <v>132</v>
      </c>
      <c r="F2798" s="3" t="str">
        <f t="shared" si="0"/>
        <v>2 - Frepam</v>
      </c>
      <c r="G2798" s="3">
        <v>227</v>
      </c>
      <c r="H2798" s="2"/>
    </row>
    <row r="2799" spans="1:8" ht="12.75" hidden="1" x14ac:dyDescent="0.2">
      <c r="A2799" s="3" t="s">
        <v>176</v>
      </c>
      <c r="B2799" s="3">
        <v>61</v>
      </c>
      <c r="C2799" s="4" t="s">
        <v>86</v>
      </c>
      <c r="D2799" s="3" t="s">
        <v>125</v>
      </c>
      <c r="E2799" s="3" t="s">
        <v>134</v>
      </c>
      <c r="F2799" s="3" t="str">
        <f t="shared" si="0"/>
        <v>3 - Otros</v>
      </c>
      <c r="G2799" s="3">
        <v>140</v>
      </c>
      <c r="H2799" s="2"/>
    </row>
    <row r="2800" spans="1:8" ht="12.75" hidden="1" x14ac:dyDescent="0.2">
      <c r="A2800" s="3" t="s">
        <v>176</v>
      </c>
      <c r="B2800" s="3">
        <v>61</v>
      </c>
      <c r="C2800" s="4" t="s">
        <v>86</v>
      </c>
      <c r="D2800" s="3" t="s">
        <v>125</v>
      </c>
      <c r="E2800" s="3" t="s">
        <v>152</v>
      </c>
      <c r="F2800" s="3" t="str">
        <f t="shared" si="0"/>
        <v>2 - Frepam</v>
      </c>
      <c r="G2800" s="3">
        <v>2307</v>
      </c>
      <c r="H2800" s="2"/>
    </row>
    <row r="2801" spans="1:8" ht="12.75" hidden="1" x14ac:dyDescent="0.2">
      <c r="A2801" s="3" t="s">
        <v>176</v>
      </c>
      <c r="B2801" s="3">
        <v>61</v>
      </c>
      <c r="C2801" s="4" t="s">
        <v>86</v>
      </c>
      <c r="D2801" s="3" t="s">
        <v>125</v>
      </c>
      <c r="E2801" s="3" t="s">
        <v>138</v>
      </c>
      <c r="F2801" s="3" t="str">
        <f t="shared" si="0"/>
        <v>4 - Blanco/Nulo</v>
      </c>
      <c r="G2801" s="3">
        <v>297</v>
      </c>
      <c r="H2801" s="2"/>
    </row>
    <row r="2802" spans="1:8" ht="12.75" hidden="1" x14ac:dyDescent="0.2">
      <c r="A2802" s="3" t="s">
        <v>176</v>
      </c>
      <c r="B2802" s="3">
        <v>61</v>
      </c>
      <c r="C2802" s="4" t="s">
        <v>86</v>
      </c>
      <c r="D2802" s="3" t="s">
        <v>125</v>
      </c>
      <c r="E2802" s="3" t="s">
        <v>14</v>
      </c>
      <c r="F2802" s="3" t="str">
        <f t="shared" si="0"/>
        <v>4 - Blanco/Nulo</v>
      </c>
      <c r="G2802" s="3">
        <v>115</v>
      </c>
      <c r="H2802" s="2"/>
    </row>
    <row r="2803" spans="1:8" ht="12.75" hidden="1" x14ac:dyDescent="0.2">
      <c r="A2803" s="3" t="s">
        <v>176</v>
      </c>
      <c r="B2803" s="3">
        <v>62</v>
      </c>
      <c r="C2803" s="4" t="s">
        <v>87</v>
      </c>
      <c r="D2803" s="3" t="s">
        <v>125</v>
      </c>
      <c r="E2803" s="3" t="s">
        <v>3</v>
      </c>
      <c r="F2803" s="3" t="str">
        <f t="shared" si="0"/>
        <v>1 - PJ</v>
      </c>
      <c r="G2803" s="3">
        <v>155</v>
      </c>
      <c r="H2803" s="2"/>
    </row>
    <row r="2804" spans="1:8" ht="12.75" hidden="1" x14ac:dyDescent="0.2">
      <c r="A2804" s="3" t="s">
        <v>176</v>
      </c>
      <c r="B2804" s="3">
        <v>62</v>
      </c>
      <c r="C2804" s="4" t="s">
        <v>87</v>
      </c>
      <c r="D2804" s="3" t="s">
        <v>125</v>
      </c>
      <c r="E2804" s="3" t="s">
        <v>16</v>
      </c>
      <c r="F2804" s="3" t="str">
        <f t="shared" si="0"/>
        <v>3 - Otros</v>
      </c>
      <c r="G2804" s="3">
        <v>2</v>
      </c>
      <c r="H2804" s="2"/>
    </row>
    <row r="2805" spans="1:8" ht="12.75" hidden="1" x14ac:dyDescent="0.2">
      <c r="A2805" s="3" t="s">
        <v>176</v>
      </c>
      <c r="B2805" s="3">
        <v>62</v>
      </c>
      <c r="C2805" s="4" t="s">
        <v>87</v>
      </c>
      <c r="D2805" s="3" t="s">
        <v>125</v>
      </c>
      <c r="E2805" s="3" t="s">
        <v>129</v>
      </c>
      <c r="F2805" s="3" t="str">
        <f t="shared" si="0"/>
        <v>3 - Otros</v>
      </c>
      <c r="G2805" s="3">
        <v>3</v>
      </c>
      <c r="H2805" s="2"/>
    </row>
    <row r="2806" spans="1:8" ht="12.75" hidden="1" x14ac:dyDescent="0.2">
      <c r="A2806" s="3" t="s">
        <v>176</v>
      </c>
      <c r="B2806" s="3">
        <v>62</v>
      </c>
      <c r="C2806" s="4" t="s">
        <v>87</v>
      </c>
      <c r="D2806" s="3" t="s">
        <v>125</v>
      </c>
      <c r="E2806" s="3" t="s">
        <v>132</v>
      </c>
      <c r="F2806" s="3" t="str">
        <f t="shared" si="0"/>
        <v>2 - Frepam</v>
      </c>
      <c r="G2806" s="3">
        <v>21</v>
      </c>
      <c r="H2806" s="2"/>
    </row>
    <row r="2807" spans="1:8" ht="12.75" hidden="1" x14ac:dyDescent="0.2">
      <c r="A2807" s="3" t="s">
        <v>176</v>
      </c>
      <c r="B2807" s="3">
        <v>62</v>
      </c>
      <c r="C2807" s="4" t="s">
        <v>87</v>
      </c>
      <c r="D2807" s="3" t="s">
        <v>125</v>
      </c>
      <c r="E2807" s="3" t="s">
        <v>134</v>
      </c>
      <c r="F2807" s="3" t="str">
        <f t="shared" si="0"/>
        <v>3 - Otros</v>
      </c>
      <c r="G2807" s="3">
        <v>6</v>
      </c>
      <c r="H2807" s="2"/>
    </row>
    <row r="2808" spans="1:8" ht="12.75" hidden="1" x14ac:dyDescent="0.2">
      <c r="A2808" s="3" t="s">
        <v>176</v>
      </c>
      <c r="B2808" s="3">
        <v>62</v>
      </c>
      <c r="C2808" s="4" t="s">
        <v>87</v>
      </c>
      <c r="D2808" s="3" t="s">
        <v>125</v>
      </c>
      <c r="E2808" s="3" t="s">
        <v>152</v>
      </c>
      <c r="F2808" s="3" t="str">
        <f t="shared" si="0"/>
        <v>2 - Frepam</v>
      </c>
      <c r="G2808" s="3">
        <v>146</v>
      </c>
      <c r="H2808" s="2"/>
    </row>
    <row r="2809" spans="1:8" ht="12.75" hidden="1" x14ac:dyDescent="0.2">
      <c r="A2809" s="3" t="s">
        <v>176</v>
      </c>
      <c r="B2809" s="3">
        <v>62</v>
      </c>
      <c r="C2809" s="4" t="s">
        <v>87</v>
      </c>
      <c r="D2809" s="3" t="s">
        <v>125</v>
      </c>
      <c r="E2809" s="3" t="s">
        <v>138</v>
      </c>
      <c r="F2809" s="3" t="str">
        <f t="shared" si="0"/>
        <v>4 - Blanco/Nulo</v>
      </c>
      <c r="G2809" s="3">
        <v>15</v>
      </c>
      <c r="H2809" s="2"/>
    </row>
    <row r="2810" spans="1:8" ht="12.75" hidden="1" x14ac:dyDescent="0.2">
      <c r="A2810" s="3" t="s">
        <v>176</v>
      </c>
      <c r="B2810" s="3">
        <v>62</v>
      </c>
      <c r="C2810" s="4" t="s">
        <v>87</v>
      </c>
      <c r="D2810" s="3" t="s">
        <v>125</v>
      </c>
      <c r="E2810" s="3" t="s">
        <v>14</v>
      </c>
      <c r="F2810" s="3" t="str">
        <f t="shared" si="0"/>
        <v>4 - Blanco/Nulo</v>
      </c>
      <c r="G2810" s="3">
        <v>7</v>
      </c>
      <c r="H2810" s="2"/>
    </row>
    <row r="2811" spans="1:8" ht="12.75" hidden="1" x14ac:dyDescent="0.2">
      <c r="A2811" s="3" t="s">
        <v>176</v>
      </c>
      <c r="B2811" s="3">
        <v>63</v>
      </c>
      <c r="C2811" s="4" t="s">
        <v>88</v>
      </c>
      <c r="D2811" s="3" t="s">
        <v>125</v>
      </c>
      <c r="E2811" s="3" t="s">
        <v>3</v>
      </c>
      <c r="F2811" s="3" t="str">
        <f t="shared" si="0"/>
        <v>1 - PJ</v>
      </c>
      <c r="G2811" s="3">
        <v>685</v>
      </c>
      <c r="H2811" s="2"/>
    </row>
    <row r="2812" spans="1:8" ht="12.75" hidden="1" x14ac:dyDescent="0.2">
      <c r="A2812" s="3" t="s">
        <v>176</v>
      </c>
      <c r="B2812" s="3">
        <v>63</v>
      </c>
      <c r="C2812" s="4" t="s">
        <v>88</v>
      </c>
      <c r="D2812" s="3" t="s">
        <v>125</v>
      </c>
      <c r="E2812" s="3" t="s">
        <v>16</v>
      </c>
      <c r="F2812" s="3" t="str">
        <f t="shared" si="0"/>
        <v>3 - Otros</v>
      </c>
      <c r="G2812" s="3">
        <v>15</v>
      </c>
      <c r="H2812" s="2"/>
    </row>
    <row r="2813" spans="1:8" ht="12.75" hidden="1" x14ac:dyDescent="0.2">
      <c r="A2813" s="3" t="s">
        <v>176</v>
      </c>
      <c r="B2813" s="3">
        <v>63</v>
      </c>
      <c r="C2813" s="4" t="s">
        <v>88</v>
      </c>
      <c r="D2813" s="3" t="s">
        <v>125</v>
      </c>
      <c r="E2813" s="3" t="s">
        <v>129</v>
      </c>
      <c r="F2813" s="3" t="str">
        <f t="shared" si="0"/>
        <v>3 - Otros</v>
      </c>
      <c r="G2813" s="3">
        <v>120</v>
      </c>
      <c r="H2813" s="2"/>
    </row>
    <row r="2814" spans="1:8" ht="12.75" hidden="1" x14ac:dyDescent="0.2">
      <c r="A2814" s="3" t="s">
        <v>176</v>
      </c>
      <c r="B2814" s="3">
        <v>63</v>
      </c>
      <c r="C2814" s="4" t="s">
        <v>88</v>
      </c>
      <c r="D2814" s="3" t="s">
        <v>125</v>
      </c>
      <c r="E2814" s="3" t="s">
        <v>132</v>
      </c>
      <c r="F2814" s="3" t="str">
        <f t="shared" si="0"/>
        <v>2 - Frepam</v>
      </c>
      <c r="G2814" s="3">
        <v>53</v>
      </c>
      <c r="H2814" s="2"/>
    </row>
    <row r="2815" spans="1:8" ht="12.75" hidden="1" x14ac:dyDescent="0.2">
      <c r="A2815" s="3" t="s">
        <v>176</v>
      </c>
      <c r="B2815" s="3">
        <v>63</v>
      </c>
      <c r="C2815" s="4" t="s">
        <v>88</v>
      </c>
      <c r="D2815" s="3" t="s">
        <v>125</v>
      </c>
      <c r="E2815" s="3" t="s">
        <v>134</v>
      </c>
      <c r="F2815" s="3" t="str">
        <f t="shared" si="0"/>
        <v>3 - Otros</v>
      </c>
      <c r="G2815" s="3">
        <v>42</v>
      </c>
      <c r="H2815" s="2"/>
    </row>
    <row r="2816" spans="1:8" ht="12.75" hidden="1" x14ac:dyDescent="0.2">
      <c r="A2816" s="3" t="s">
        <v>176</v>
      </c>
      <c r="B2816" s="3">
        <v>63</v>
      </c>
      <c r="C2816" s="4" t="s">
        <v>88</v>
      </c>
      <c r="D2816" s="3" t="s">
        <v>125</v>
      </c>
      <c r="E2816" s="3" t="s">
        <v>152</v>
      </c>
      <c r="F2816" s="3" t="str">
        <f t="shared" si="0"/>
        <v>2 - Frepam</v>
      </c>
      <c r="G2816" s="3">
        <v>935</v>
      </c>
      <c r="H2816" s="2"/>
    </row>
    <row r="2817" spans="1:8" ht="12.75" hidden="1" x14ac:dyDescent="0.2">
      <c r="A2817" s="3" t="s">
        <v>176</v>
      </c>
      <c r="B2817" s="3">
        <v>63</v>
      </c>
      <c r="C2817" s="4" t="s">
        <v>88</v>
      </c>
      <c r="D2817" s="3" t="s">
        <v>125</v>
      </c>
      <c r="E2817" s="3" t="s">
        <v>138</v>
      </c>
      <c r="F2817" s="3" t="str">
        <f t="shared" si="0"/>
        <v>4 - Blanco/Nulo</v>
      </c>
      <c r="G2817" s="3">
        <v>31</v>
      </c>
      <c r="H2817" s="2"/>
    </row>
    <row r="2818" spans="1:8" ht="12.75" hidden="1" x14ac:dyDescent="0.2">
      <c r="A2818" s="3" t="s">
        <v>176</v>
      </c>
      <c r="B2818" s="3">
        <v>63</v>
      </c>
      <c r="C2818" s="4" t="s">
        <v>88</v>
      </c>
      <c r="D2818" s="3" t="s">
        <v>125</v>
      </c>
      <c r="E2818" s="3" t="s">
        <v>14</v>
      </c>
      <c r="F2818" s="3" t="str">
        <f t="shared" si="0"/>
        <v>4 - Blanco/Nulo</v>
      </c>
      <c r="G2818" s="3">
        <v>72</v>
      </c>
      <c r="H2818" s="2"/>
    </row>
    <row r="2819" spans="1:8" ht="12.75" hidden="1" x14ac:dyDescent="0.2">
      <c r="A2819" s="3" t="s">
        <v>176</v>
      </c>
      <c r="B2819" s="3">
        <v>64</v>
      </c>
      <c r="C2819" s="4" t="s">
        <v>89</v>
      </c>
      <c r="D2819" s="3" t="s">
        <v>125</v>
      </c>
      <c r="E2819" s="3" t="s">
        <v>3</v>
      </c>
      <c r="F2819" s="3" t="str">
        <f t="shared" si="0"/>
        <v>1 - PJ</v>
      </c>
      <c r="G2819" s="3">
        <v>299</v>
      </c>
      <c r="H2819" s="2"/>
    </row>
    <row r="2820" spans="1:8" ht="12.75" hidden="1" x14ac:dyDescent="0.2">
      <c r="A2820" s="3" t="s">
        <v>176</v>
      </c>
      <c r="B2820" s="3">
        <v>64</v>
      </c>
      <c r="C2820" s="4" t="s">
        <v>89</v>
      </c>
      <c r="D2820" s="3" t="s">
        <v>125</v>
      </c>
      <c r="E2820" s="3" t="s">
        <v>16</v>
      </c>
      <c r="F2820" s="3" t="str">
        <f t="shared" si="0"/>
        <v>3 - Otros</v>
      </c>
      <c r="G2820" s="3">
        <v>6</v>
      </c>
      <c r="H2820" s="2"/>
    </row>
    <row r="2821" spans="1:8" ht="12.75" hidden="1" x14ac:dyDescent="0.2">
      <c r="A2821" s="3" t="s">
        <v>176</v>
      </c>
      <c r="B2821" s="3">
        <v>64</v>
      </c>
      <c r="C2821" s="4" t="s">
        <v>89</v>
      </c>
      <c r="D2821" s="3" t="s">
        <v>125</v>
      </c>
      <c r="E2821" s="3" t="s">
        <v>129</v>
      </c>
      <c r="F2821" s="3" t="str">
        <f t="shared" si="0"/>
        <v>3 - Otros</v>
      </c>
      <c r="G2821" s="3">
        <v>2</v>
      </c>
      <c r="H2821" s="2"/>
    </row>
    <row r="2822" spans="1:8" ht="12.75" hidden="1" x14ac:dyDescent="0.2">
      <c r="A2822" s="3" t="s">
        <v>176</v>
      </c>
      <c r="B2822" s="3">
        <v>64</v>
      </c>
      <c r="C2822" s="4" t="s">
        <v>89</v>
      </c>
      <c r="D2822" s="3" t="s">
        <v>125</v>
      </c>
      <c r="E2822" s="3" t="s">
        <v>132</v>
      </c>
      <c r="F2822" s="3" t="str">
        <f t="shared" si="0"/>
        <v>2 - Frepam</v>
      </c>
      <c r="G2822" s="3">
        <v>8</v>
      </c>
      <c r="H2822" s="2"/>
    </row>
    <row r="2823" spans="1:8" ht="12.75" hidden="1" x14ac:dyDescent="0.2">
      <c r="A2823" s="3" t="s">
        <v>176</v>
      </c>
      <c r="B2823" s="3">
        <v>64</v>
      </c>
      <c r="C2823" s="4" t="s">
        <v>89</v>
      </c>
      <c r="D2823" s="3" t="s">
        <v>125</v>
      </c>
      <c r="E2823" s="3" t="s">
        <v>134</v>
      </c>
      <c r="F2823" s="3" t="str">
        <f t="shared" si="0"/>
        <v>3 - Otros</v>
      </c>
      <c r="G2823" s="3">
        <v>4</v>
      </c>
      <c r="H2823" s="2"/>
    </row>
    <row r="2824" spans="1:8" ht="12.75" hidden="1" x14ac:dyDescent="0.2">
      <c r="A2824" s="3" t="s">
        <v>176</v>
      </c>
      <c r="B2824" s="3">
        <v>64</v>
      </c>
      <c r="C2824" s="4" t="s">
        <v>89</v>
      </c>
      <c r="D2824" s="3" t="s">
        <v>125</v>
      </c>
      <c r="E2824" s="3" t="s">
        <v>152</v>
      </c>
      <c r="F2824" s="3" t="str">
        <f t="shared" si="0"/>
        <v>2 - Frepam</v>
      </c>
      <c r="G2824" s="3">
        <v>223</v>
      </c>
      <c r="H2824" s="2"/>
    </row>
    <row r="2825" spans="1:8" ht="12.75" hidden="1" x14ac:dyDescent="0.2">
      <c r="A2825" s="3" t="s">
        <v>176</v>
      </c>
      <c r="B2825" s="3">
        <v>64</v>
      </c>
      <c r="C2825" s="4" t="s">
        <v>89</v>
      </c>
      <c r="D2825" s="3" t="s">
        <v>125</v>
      </c>
      <c r="E2825" s="3" t="s">
        <v>138</v>
      </c>
      <c r="F2825" s="3" t="str">
        <f t="shared" si="0"/>
        <v>4 - Blanco/Nulo</v>
      </c>
      <c r="G2825" s="3">
        <v>15</v>
      </c>
      <c r="H2825" s="2"/>
    </row>
    <row r="2826" spans="1:8" ht="12.75" hidden="1" x14ac:dyDescent="0.2">
      <c r="A2826" s="3" t="s">
        <v>176</v>
      </c>
      <c r="B2826" s="3">
        <v>64</v>
      </c>
      <c r="C2826" s="4" t="s">
        <v>89</v>
      </c>
      <c r="D2826" s="3" t="s">
        <v>125</v>
      </c>
      <c r="E2826" s="3" t="s">
        <v>14</v>
      </c>
      <c r="F2826" s="3" t="str">
        <f t="shared" si="0"/>
        <v>4 - Blanco/Nulo</v>
      </c>
      <c r="G2826" s="3">
        <v>5</v>
      </c>
      <c r="H2826" s="2"/>
    </row>
    <row r="2827" spans="1:8" ht="12.75" hidden="1" x14ac:dyDescent="0.2">
      <c r="A2827" s="3" t="s">
        <v>176</v>
      </c>
      <c r="B2827" s="3">
        <v>65</v>
      </c>
      <c r="C2827" s="4" t="s">
        <v>90</v>
      </c>
      <c r="D2827" s="3" t="s">
        <v>125</v>
      </c>
      <c r="E2827" s="3" t="s">
        <v>3</v>
      </c>
      <c r="F2827" s="3" t="str">
        <f t="shared" si="0"/>
        <v>1 - PJ</v>
      </c>
      <c r="G2827" s="3">
        <v>899</v>
      </c>
      <c r="H2827" s="2"/>
    </row>
    <row r="2828" spans="1:8" ht="12.75" hidden="1" x14ac:dyDescent="0.2">
      <c r="A2828" s="3" t="s">
        <v>176</v>
      </c>
      <c r="B2828" s="3">
        <v>65</v>
      </c>
      <c r="C2828" s="4" t="s">
        <v>90</v>
      </c>
      <c r="D2828" s="3" t="s">
        <v>125</v>
      </c>
      <c r="E2828" s="3" t="s">
        <v>16</v>
      </c>
      <c r="F2828" s="3" t="str">
        <f t="shared" si="0"/>
        <v>3 - Otros</v>
      </c>
      <c r="G2828" s="3">
        <v>36</v>
      </c>
      <c r="H2828" s="2"/>
    </row>
    <row r="2829" spans="1:8" ht="12.75" hidden="1" x14ac:dyDescent="0.2">
      <c r="A2829" s="3" t="s">
        <v>176</v>
      </c>
      <c r="B2829" s="3">
        <v>65</v>
      </c>
      <c r="C2829" s="4" t="s">
        <v>90</v>
      </c>
      <c r="D2829" s="3" t="s">
        <v>125</v>
      </c>
      <c r="E2829" s="3" t="s">
        <v>129</v>
      </c>
      <c r="F2829" s="3" t="str">
        <f t="shared" si="0"/>
        <v>3 - Otros</v>
      </c>
      <c r="G2829" s="3">
        <v>25</v>
      </c>
      <c r="H2829" s="2"/>
    </row>
    <row r="2830" spans="1:8" ht="12.75" hidden="1" x14ac:dyDescent="0.2">
      <c r="A2830" s="3" t="s">
        <v>176</v>
      </c>
      <c r="B2830" s="3">
        <v>65</v>
      </c>
      <c r="C2830" s="4" t="s">
        <v>90</v>
      </c>
      <c r="D2830" s="3" t="s">
        <v>125</v>
      </c>
      <c r="E2830" s="3" t="s">
        <v>132</v>
      </c>
      <c r="F2830" s="3" t="str">
        <f t="shared" si="0"/>
        <v>2 - Frepam</v>
      </c>
      <c r="G2830" s="3">
        <v>63</v>
      </c>
      <c r="H2830" s="2"/>
    </row>
    <row r="2831" spans="1:8" ht="12.75" hidden="1" x14ac:dyDescent="0.2">
      <c r="A2831" s="3" t="s">
        <v>176</v>
      </c>
      <c r="B2831" s="3">
        <v>65</v>
      </c>
      <c r="C2831" s="4" t="s">
        <v>90</v>
      </c>
      <c r="D2831" s="3" t="s">
        <v>125</v>
      </c>
      <c r="E2831" s="3" t="s">
        <v>134</v>
      </c>
      <c r="F2831" s="3" t="str">
        <f t="shared" si="0"/>
        <v>3 - Otros</v>
      </c>
      <c r="G2831" s="3">
        <v>45</v>
      </c>
      <c r="H2831" s="2"/>
    </row>
    <row r="2832" spans="1:8" ht="12.75" hidden="1" x14ac:dyDescent="0.2">
      <c r="A2832" s="3" t="s">
        <v>176</v>
      </c>
      <c r="B2832" s="3">
        <v>65</v>
      </c>
      <c r="C2832" s="4" t="s">
        <v>90</v>
      </c>
      <c r="D2832" s="3" t="s">
        <v>125</v>
      </c>
      <c r="E2832" s="3" t="s">
        <v>152</v>
      </c>
      <c r="F2832" s="3" t="str">
        <f t="shared" si="0"/>
        <v>2 - Frepam</v>
      </c>
      <c r="G2832" s="3">
        <v>1346</v>
      </c>
      <c r="H2832" s="2"/>
    </row>
    <row r="2833" spans="1:8" ht="12.75" hidden="1" x14ac:dyDescent="0.2">
      <c r="A2833" s="3" t="s">
        <v>176</v>
      </c>
      <c r="B2833" s="3">
        <v>65</v>
      </c>
      <c r="C2833" s="4" t="s">
        <v>90</v>
      </c>
      <c r="D2833" s="3" t="s">
        <v>125</v>
      </c>
      <c r="E2833" s="3" t="s">
        <v>138</v>
      </c>
      <c r="F2833" s="3" t="str">
        <f t="shared" si="0"/>
        <v>4 - Blanco/Nulo</v>
      </c>
      <c r="G2833" s="3">
        <v>87</v>
      </c>
      <c r="H2833" s="2"/>
    </row>
    <row r="2834" spans="1:8" ht="12.75" hidden="1" x14ac:dyDescent="0.2">
      <c r="A2834" s="3" t="s">
        <v>176</v>
      </c>
      <c r="B2834" s="3">
        <v>65</v>
      </c>
      <c r="C2834" s="4" t="s">
        <v>90</v>
      </c>
      <c r="D2834" s="3" t="s">
        <v>125</v>
      </c>
      <c r="E2834" s="3" t="s">
        <v>14</v>
      </c>
      <c r="F2834" s="3" t="str">
        <f t="shared" si="0"/>
        <v>4 - Blanco/Nulo</v>
      </c>
      <c r="G2834" s="3">
        <v>27</v>
      </c>
      <c r="H2834" s="2"/>
    </row>
    <row r="2835" spans="1:8" ht="12.75" hidden="1" x14ac:dyDescent="0.2">
      <c r="A2835" s="3" t="s">
        <v>176</v>
      </c>
      <c r="B2835" s="3">
        <v>66</v>
      </c>
      <c r="C2835" s="4" t="s">
        <v>91</v>
      </c>
      <c r="D2835" s="3" t="s">
        <v>125</v>
      </c>
      <c r="E2835" s="3" t="s">
        <v>3</v>
      </c>
      <c r="F2835" s="3" t="str">
        <f t="shared" si="0"/>
        <v>1 - PJ</v>
      </c>
      <c r="G2835" s="3">
        <v>36</v>
      </c>
      <c r="H2835" s="2"/>
    </row>
    <row r="2836" spans="1:8" ht="12.75" hidden="1" x14ac:dyDescent="0.2">
      <c r="A2836" s="3" t="s">
        <v>176</v>
      </c>
      <c r="B2836" s="3">
        <v>66</v>
      </c>
      <c r="C2836" s="4" t="s">
        <v>91</v>
      </c>
      <c r="D2836" s="3" t="s">
        <v>125</v>
      </c>
      <c r="E2836" s="3" t="s">
        <v>16</v>
      </c>
      <c r="F2836" s="3" t="str">
        <f t="shared" si="0"/>
        <v>3 - Otros</v>
      </c>
      <c r="G2836" s="3">
        <v>1</v>
      </c>
      <c r="H2836" s="2"/>
    </row>
    <row r="2837" spans="1:8" ht="12.75" hidden="1" x14ac:dyDescent="0.2">
      <c r="A2837" s="3" t="s">
        <v>176</v>
      </c>
      <c r="B2837" s="3">
        <v>66</v>
      </c>
      <c r="C2837" s="4" t="s">
        <v>91</v>
      </c>
      <c r="D2837" s="3" t="s">
        <v>125</v>
      </c>
      <c r="E2837" s="3" t="s">
        <v>129</v>
      </c>
      <c r="F2837" s="3" t="str">
        <f t="shared" si="0"/>
        <v>3 - Otros</v>
      </c>
      <c r="G2837" s="3">
        <v>0</v>
      </c>
      <c r="H2837" s="2"/>
    </row>
    <row r="2838" spans="1:8" ht="12.75" hidden="1" x14ac:dyDescent="0.2">
      <c r="A2838" s="3" t="s">
        <v>176</v>
      </c>
      <c r="B2838" s="3">
        <v>66</v>
      </c>
      <c r="C2838" s="4" t="s">
        <v>91</v>
      </c>
      <c r="D2838" s="3" t="s">
        <v>125</v>
      </c>
      <c r="E2838" s="3" t="s">
        <v>132</v>
      </c>
      <c r="F2838" s="3" t="str">
        <f t="shared" si="0"/>
        <v>2 - Frepam</v>
      </c>
      <c r="G2838" s="3">
        <v>7</v>
      </c>
      <c r="H2838" s="2"/>
    </row>
    <row r="2839" spans="1:8" ht="12.75" hidden="1" x14ac:dyDescent="0.2">
      <c r="A2839" s="3" t="s">
        <v>176</v>
      </c>
      <c r="B2839" s="3">
        <v>66</v>
      </c>
      <c r="C2839" s="4" t="s">
        <v>91</v>
      </c>
      <c r="D2839" s="3" t="s">
        <v>125</v>
      </c>
      <c r="E2839" s="3" t="s">
        <v>134</v>
      </c>
      <c r="F2839" s="3" t="str">
        <f t="shared" si="0"/>
        <v>3 - Otros</v>
      </c>
      <c r="G2839" s="3">
        <v>1</v>
      </c>
      <c r="H2839" s="2"/>
    </row>
    <row r="2840" spans="1:8" ht="12.75" hidden="1" x14ac:dyDescent="0.2">
      <c r="A2840" s="3" t="s">
        <v>176</v>
      </c>
      <c r="B2840" s="3">
        <v>66</v>
      </c>
      <c r="C2840" s="4" t="s">
        <v>91</v>
      </c>
      <c r="D2840" s="3" t="s">
        <v>125</v>
      </c>
      <c r="E2840" s="3" t="s">
        <v>152</v>
      </c>
      <c r="F2840" s="3" t="str">
        <f t="shared" si="0"/>
        <v>2 - Frepam</v>
      </c>
      <c r="G2840" s="3">
        <v>61</v>
      </c>
      <c r="H2840" s="2"/>
    </row>
    <row r="2841" spans="1:8" ht="12.75" hidden="1" x14ac:dyDescent="0.2">
      <c r="A2841" s="3" t="s">
        <v>176</v>
      </c>
      <c r="B2841" s="3">
        <v>66</v>
      </c>
      <c r="C2841" s="4" t="s">
        <v>91</v>
      </c>
      <c r="D2841" s="3" t="s">
        <v>125</v>
      </c>
      <c r="E2841" s="3" t="s">
        <v>138</v>
      </c>
      <c r="F2841" s="3" t="str">
        <f t="shared" si="0"/>
        <v>4 - Blanco/Nulo</v>
      </c>
      <c r="G2841" s="3">
        <v>7</v>
      </c>
      <c r="H2841" s="2"/>
    </row>
    <row r="2842" spans="1:8" ht="12.75" hidden="1" x14ac:dyDescent="0.2">
      <c r="A2842" s="3" t="s">
        <v>176</v>
      </c>
      <c r="B2842" s="3">
        <v>66</v>
      </c>
      <c r="C2842" s="4" t="s">
        <v>91</v>
      </c>
      <c r="D2842" s="3" t="s">
        <v>125</v>
      </c>
      <c r="E2842" s="3" t="s">
        <v>14</v>
      </c>
      <c r="F2842" s="3" t="str">
        <f t="shared" si="0"/>
        <v>4 - Blanco/Nulo</v>
      </c>
      <c r="G2842" s="3">
        <v>0</v>
      </c>
      <c r="H2842" s="2"/>
    </row>
    <row r="2843" spans="1:8" ht="12.75" hidden="1" x14ac:dyDescent="0.2">
      <c r="A2843" s="3" t="s">
        <v>176</v>
      </c>
      <c r="B2843" s="3">
        <v>67</v>
      </c>
      <c r="C2843" s="4" t="s">
        <v>155</v>
      </c>
      <c r="D2843" s="3" t="s">
        <v>125</v>
      </c>
      <c r="E2843" s="3" t="s">
        <v>3</v>
      </c>
      <c r="F2843" s="3" t="str">
        <f t="shared" si="0"/>
        <v>1 - PJ</v>
      </c>
      <c r="G2843" s="3">
        <v>6</v>
      </c>
      <c r="H2843" s="2"/>
    </row>
    <row r="2844" spans="1:8" ht="12.75" hidden="1" x14ac:dyDescent="0.2">
      <c r="A2844" s="3" t="s">
        <v>176</v>
      </c>
      <c r="B2844" s="3">
        <v>67</v>
      </c>
      <c r="C2844" s="4" t="s">
        <v>155</v>
      </c>
      <c r="D2844" s="3" t="s">
        <v>125</v>
      </c>
      <c r="E2844" s="3" t="s">
        <v>16</v>
      </c>
      <c r="F2844" s="3" t="str">
        <f t="shared" si="0"/>
        <v>3 - Otros</v>
      </c>
      <c r="G2844" s="3">
        <v>0</v>
      </c>
      <c r="H2844" s="2"/>
    </row>
    <row r="2845" spans="1:8" ht="12.75" hidden="1" x14ac:dyDescent="0.2">
      <c r="A2845" s="3" t="s">
        <v>176</v>
      </c>
      <c r="B2845" s="3">
        <v>67</v>
      </c>
      <c r="C2845" s="4" t="s">
        <v>155</v>
      </c>
      <c r="D2845" s="3" t="s">
        <v>125</v>
      </c>
      <c r="E2845" s="3" t="s">
        <v>129</v>
      </c>
      <c r="F2845" s="3" t="str">
        <f t="shared" si="0"/>
        <v>3 - Otros</v>
      </c>
      <c r="G2845" s="3">
        <v>0</v>
      </c>
      <c r="H2845" s="2"/>
    </row>
    <row r="2846" spans="1:8" ht="12.75" hidden="1" x14ac:dyDescent="0.2">
      <c r="A2846" s="3" t="s">
        <v>176</v>
      </c>
      <c r="B2846" s="3">
        <v>67</v>
      </c>
      <c r="C2846" s="4" t="s">
        <v>155</v>
      </c>
      <c r="D2846" s="3" t="s">
        <v>125</v>
      </c>
      <c r="E2846" s="3" t="s">
        <v>132</v>
      </c>
      <c r="F2846" s="3" t="str">
        <f t="shared" si="0"/>
        <v>2 - Frepam</v>
      </c>
      <c r="G2846" s="3">
        <v>2</v>
      </c>
      <c r="H2846" s="2"/>
    </row>
    <row r="2847" spans="1:8" ht="12.75" hidden="1" x14ac:dyDescent="0.2">
      <c r="A2847" s="3" t="s">
        <v>176</v>
      </c>
      <c r="B2847" s="3">
        <v>67</v>
      </c>
      <c r="C2847" s="4" t="s">
        <v>155</v>
      </c>
      <c r="D2847" s="3" t="s">
        <v>125</v>
      </c>
      <c r="E2847" s="3" t="s">
        <v>134</v>
      </c>
      <c r="F2847" s="3" t="str">
        <f t="shared" si="0"/>
        <v>3 - Otros</v>
      </c>
      <c r="G2847" s="3">
        <v>1</v>
      </c>
      <c r="H2847" s="2"/>
    </row>
    <row r="2848" spans="1:8" ht="12.75" hidden="1" x14ac:dyDescent="0.2">
      <c r="A2848" s="3" t="s">
        <v>176</v>
      </c>
      <c r="B2848" s="3">
        <v>67</v>
      </c>
      <c r="C2848" s="4" t="s">
        <v>155</v>
      </c>
      <c r="D2848" s="3" t="s">
        <v>125</v>
      </c>
      <c r="E2848" s="3" t="s">
        <v>152</v>
      </c>
      <c r="F2848" s="3" t="str">
        <f t="shared" si="0"/>
        <v>2 - Frepam</v>
      </c>
      <c r="G2848" s="3">
        <v>18</v>
      </c>
      <c r="H2848" s="2"/>
    </row>
    <row r="2849" spans="1:8" ht="12.75" hidden="1" x14ac:dyDescent="0.2">
      <c r="A2849" s="3" t="s">
        <v>176</v>
      </c>
      <c r="B2849" s="3">
        <v>67</v>
      </c>
      <c r="C2849" s="4" t="s">
        <v>155</v>
      </c>
      <c r="D2849" s="3" t="s">
        <v>125</v>
      </c>
      <c r="E2849" s="3" t="s">
        <v>138</v>
      </c>
      <c r="F2849" s="3" t="str">
        <f t="shared" si="0"/>
        <v>4 - Blanco/Nulo</v>
      </c>
      <c r="G2849" s="3">
        <v>0</v>
      </c>
      <c r="H2849" s="2"/>
    </row>
    <row r="2850" spans="1:8" ht="12.75" hidden="1" x14ac:dyDescent="0.2">
      <c r="A2850" s="3" t="s">
        <v>176</v>
      </c>
      <c r="B2850" s="3">
        <v>67</v>
      </c>
      <c r="C2850" s="4" t="s">
        <v>155</v>
      </c>
      <c r="D2850" s="3" t="s">
        <v>125</v>
      </c>
      <c r="E2850" s="3" t="s">
        <v>14</v>
      </c>
      <c r="F2850" s="3" t="str">
        <f t="shared" si="0"/>
        <v>4 - Blanco/Nulo</v>
      </c>
      <c r="G2850" s="3">
        <v>1</v>
      </c>
      <c r="H2850" s="2"/>
    </row>
    <row r="2851" spans="1:8" ht="12.75" hidden="1" x14ac:dyDescent="0.2">
      <c r="A2851" s="3" t="s">
        <v>176</v>
      </c>
      <c r="B2851" s="3">
        <v>68</v>
      </c>
      <c r="C2851" s="4" t="s">
        <v>92</v>
      </c>
      <c r="D2851" s="3" t="s">
        <v>125</v>
      </c>
      <c r="E2851" s="3" t="s">
        <v>3</v>
      </c>
      <c r="F2851" s="3" t="str">
        <f t="shared" si="0"/>
        <v>1 - PJ</v>
      </c>
      <c r="G2851" s="3">
        <v>141</v>
      </c>
      <c r="H2851" s="2"/>
    </row>
    <row r="2852" spans="1:8" ht="12.75" hidden="1" x14ac:dyDescent="0.2">
      <c r="A2852" s="3" t="s">
        <v>176</v>
      </c>
      <c r="B2852" s="3">
        <v>68</v>
      </c>
      <c r="C2852" s="4" t="s">
        <v>92</v>
      </c>
      <c r="D2852" s="3" t="s">
        <v>125</v>
      </c>
      <c r="E2852" s="3" t="s">
        <v>16</v>
      </c>
      <c r="F2852" s="3" t="str">
        <f t="shared" si="0"/>
        <v>3 - Otros</v>
      </c>
      <c r="G2852" s="3">
        <v>5</v>
      </c>
      <c r="H2852" s="2"/>
    </row>
    <row r="2853" spans="1:8" ht="12.75" hidden="1" x14ac:dyDescent="0.2">
      <c r="A2853" s="3" t="s">
        <v>176</v>
      </c>
      <c r="B2853" s="3">
        <v>68</v>
      </c>
      <c r="C2853" s="4" t="s">
        <v>92</v>
      </c>
      <c r="D2853" s="3" t="s">
        <v>125</v>
      </c>
      <c r="E2853" s="3" t="s">
        <v>129</v>
      </c>
      <c r="F2853" s="3" t="str">
        <f t="shared" si="0"/>
        <v>3 - Otros</v>
      </c>
      <c r="G2853" s="3">
        <v>22</v>
      </c>
      <c r="H2853" s="2"/>
    </row>
    <row r="2854" spans="1:8" ht="12.75" hidden="1" x14ac:dyDescent="0.2">
      <c r="A2854" s="3" t="s">
        <v>176</v>
      </c>
      <c r="B2854" s="3">
        <v>68</v>
      </c>
      <c r="C2854" s="4" t="s">
        <v>92</v>
      </c>
      <c r="D2854" s="3" t="s">
        <v>125</v>
      </c>
      <c r="E2854" s="3" t="s">
        <v>132</v>
      </c>
      <c r="F2854" s="3" t="str">
        <f t="shared" si="0"/>
        <v>2 - Frepam</v>
      </c>
      <c r="G2854" s="3">
        <v>13</v>
      </c>
      <c r="H2854" s="2"/>
    </row>
    <row r="2855" spans="1:8" ht="12.75" hidden="1" x14ac:dyDescent="0.2">
      <c r="A2855" s="3" t="s">
        <v>176</v>
      </c>
      <c r="B2855" s="3">
        <v>68</v>
      </c>
      <c r="C2855" s="4" t="s">
        <v>92</v>
      </c>
      <c r="D2855" s="3" t="s">
        <v>125</v>
      </c>
      <c r="E2855" s="3" t="s">
        <v>134</v>
      </c>
      <c r="F2855" s="3" t="str">
        <f t="shared" si="0"/>
        <v>3 - Otros</v>
      </c>
      <c r="G2855" s="3">
        <v>16</v>
      </c>
      <c r="H2855" s="2"/>
    </row>
    <row r="2856" spans="1:8" ht="12.75" hidden="1" x14ac:dyDescent="0.2">
      <c r="A2856" s="3" t="s">
        <v>176</v>
      </c>
      <c r="B2856" s="3">
        <v>68</v>
      </c>
      <c r="C2856" s="4" t="s">
        <v>92</v>
      </c>
      <c r="D2856" s="3" t="s">
        <v>125</v>
      </c>
      <c r="E2856" s="3" t="s">
        <v>152</v>
      </c>
      <c r="F2856" s="3" t="str">
        <f t="shared" si="0"/>
        <v>2 - Frepam</v>
      </c>
      <c r="G2856" s="3">
        <v>220</v>
      </c>
      <c r="H2856" s="2"/>
    </row>
    <row r="2857" spans="1:8" ht="12.75" hidden="1" x14ac:dyDescent="0.2">
      <c r="A2857" s="3" t="s">
        <v>176</v>
      </c>
      <c r="B2857" s="3">
        <v>68</v>
      </c>
      <c r="C2857" s="4" t="s">
        <v>92</v>
      </c>
      <c r="D2857" s="3" t="s">
        <v>125</v>
      </c>
      <c r="E2857" s="3" t="s">
        <v>138</v>
      </c>
      <c r="F2857" s="3" t="str">
        <f t="shared" si="0"/>
        <v>4 - Blanco/Nulo</v>
      </c>
      <c r="G2857" s="3">
        <v>16</v>
      </c>
      <c r="H2857" s="2"/>
    </row>
    <row r="2858" spans="1:8" ht="12.75" hidden="1" x14ac:dyDescent="0.2">
      <c r="A2858" s="3" t="s">
        <v>176</v>
      </c>
      <c r="B2858" s="3">
        <v>68</v>
      </c>
      <c r="C2858" s="4" t="s">
        <v>92</v>
      </c>
      <c r="D2858" s="3" t="s">
        <v>125</v>
      </c>
      <c r="E2858" s="3" t="s">
        <v>14</v>
      </c>
      <c r="F2858" s="3" t="str">
        <f t="shared" si="0"/>
        <v>4 - Blanco/Nulo</v>
      </c>
      <c r="G2858" s="3">
        <v>8</v>
      </c>
      <c r="H2858" s="2"/>
    </row>
    <row r="2859" spans="1:8" ht="12.75" hidden="1" x14ac:dyDescent="0.2">
      <c r="A2859" s="3" t="s">
        <v>176</v>
      </c>
      <c r="B2859" s="3">
        <v>69</v>
      </c>
      <c r="C2859" s="4" t="s">
        <v>93</v>
      </c>
      <c r="D2859" s="3" t="s">
        <v>125</v>
      </c>
      <c r="E2859" s="3" t="s">
        <v>3</v>
      </c>
      <c r="F2859" s="3" t="str">
        <f t="shared" si="0"/>
        <v>1 - PJ</v>
      </c>
      <c r="G2859" s="3">
        <v>621</v>
      </c>
      <c r="H2859" s="2"/>
    </row>
    <row r="2860" spans="1:8" ht="12.75" hidden="1" x14ac:dyDescent="0.2">
      <c r="A2860" s="3" t="s">
        <v>176</v>
      </c>
      <c r="B2860" s="3">
        <v>69</v>
      </c>
      <c r="C2860" s="4" t="s">
        <v>93</v>
      </c>
      <c r="D2860" s="3" t="s">
        <v>125</v>
      </c>
      <c r="E2860" s="3" t="s">
        <v>16</v>
      </c>
      <c r="F2860" s="3" t="str">
        <f t="shared" si="0"/>
        <v>3 - Otros</v>
      </c>
      <c r="G2860" s="3">
        <v>15</v>
      </c>
      <c r="H2860" s="2"/>
    </row>
    <row r="2861" spans="1:8" ht="12.75" hidden="1" x14ac:dyDescent="0.2">
      <c r="A2861" s="3" t="s">
        <v>176</v>
      </c>
      <c r="B2861" s="3">
        <v>69</v>
      </c>
      <c r="C2861" s="4" t="s">
        <v>93</v>
      </c>
      <c r="D2861" s="3" t="s">
        <v>125</v>
      </c>
      <c r="E2861" s="3" t="s">
        <v>129</v>
      </c>
      <c r="F2861" s="3" t="str">
        <f t="shared" si="0"/>
        <v>3 - Otros</v>
      </c>
      <c r="G2861" s="3">
        <v>23</v>
      </c>
      <c r="H2861" s="2"/>
    </row>
    <row r="2862" spans="1:8" ht="12.75" hidden="1" x14ac:dyDescent="0.2">
      <c r="A2862" s="3" t="s">
        <v>176</v>
      </c>
      <c r="B2862" s="3">
        <v>69</v>
      </c>
      <c r="C2862" s="4" t="s">
        <v>93</v>
      </c>
      <c r="D2862" s="3" t="s">
        <v>125</v>
      </c>
      <c r="E2862" s="3" t="s">
        <v>132</v>
      </c>
      <c r="F2862" s="3" t="str">
        <f t="shared" si="0"/>
        <v>2 - Frepam</v>
      </c>
      <c r="G2862" s="3">
        <v>27</v>
      </c>
      <c r="H2862" s="2"/>
    </row>
    <row r="2863" spans="1:8" ht="12.75" hidden="1" x14ac:dyDescent="0.2">
      <c r="A2863" s="3" t="s">
        <v>176</v>
      </c>
      <c r="B2863" s="3">
        <v>69</v>
      </c>
      <c r="C2863" s="4" t="s">
        <v>93</v>
      </c>
      <c r="D2863" s="3" t="s">
        <v>125</v>
      </c>
      <c r="E2863" s="3" t="s">
        <v>134</v>
      </c>
      <c r="F2863" s="3" t="str">
        <f t="shared" si="0"/>
        <v>3 - Otros</v>
      </c>
      <c r="G2863" s="3">
        <v>22</v>
      </c>
      <c r="H2863" s="2"/>
    </row>
    <row r="2864" spans="1:8" ht="12.75" hidden="1" x14ac:dyDescent="0.2">
      <c r="A2864" s="3" t="s">
        <v>176</v>
      </c>
      <c r="B2864" s="3">
        <v>69</v>
      </c>
      <c r="C2864" s="4" t="s">
        <v>93</v>
      </c>
      <c r="D2864" s="3" t="s">
        <v>125</v>
      </c>
      <c r="E2864" s="3" t="s">
        <v>152</v>
      </c>
      <c r="F2864" s="3" t="str">
        <f t="shared" si="0"/>
        <v>2 - Frepam</v>
      </c>
      <c r="G2864" s="3">
        <v>615</v>
      </c>
      <c r="H2864" s="2"/>
    </row>
    <row r="2865" spans="1:8" ht="12.75" hidden="1" x14ac:dyDescent="0.2">
      <c r="A2865" s="3" t="s">
        <v>176</v>
      </c>
      <c r="B2865" s="3">
        <v>69</v>
      </c>
      <c r="C2865" s="4" t="s">
        <v>93</v>
      </c>
      <c r="D2865" s="3" t="s">
        <v>125</v>
      </c>
      <c r="E2865" s="3" t="s">
        <v>138</v>
      </c>
      <c r="F2865" s="3" t="str">
        <f t="shared" si="0"/>
        <v>4 - Blanco/Nulo</v>
      </c>
      <c r="G2865" s="3">
        <v>70</v>
      </c>
      <c r="H2865" s="2"/>
    </row>
    <row r="2866" spans="1:8" ht="12.75" hidden="1" x14ac:dyDescent="0.2">
      <c r="A2866" s="3" t="s">
        <v>176</v>
      </c>
      <c r="B2866" s="3">
        <v>69</v>
      </c>
      <c r="C2866" s="4" t="s">
        <v>93</v>
      </c>
      <c r="D2866" s="3" t="s">
        <v>125</v>
      </c>
      <c r="E2866" s="3" t="s">
        <v>14</v>
      </c>
      <c r="F2866" s="3" t="str">
        <f t="shared" si="0"/>
        <v>4 - Blanco/Nulo</v>
      </c>
      <c r="G2866" s="3">
        <v>24</v>
      </c>
      <c r="H2866" s="2"/>
    </row>
    <row r="2867" spans="1:8" ht="12.75" hidden="1" x14ac:dyDescent="0.2">
      <c r="A2867" s="3" t="s">
        <v>176</v>
      </c>
      <c r="B2867" s="3">
        <v>70</v>
      </c>
      <c r="C2867" s="4" t="s">
        <v>156</v>
      </c>
      <c r="D2867" s="3" t="s">
        <v>125</v>
      </c>
      <c r="E2867" s="3" t="s">
        <v>3</v>
      </c>
      <c r="F2867" s="3" t="str">
        <f t="shared" si="0"/>
        <v>1 - PJ</v>
      </c>
      <c r="G2867" s="3">
        <v>0</v>
      </c>
      <c r="H2867" s="2"/>
    </row>
    <row r="2868" spans="1:8" ht="12.75" hidden="1" x14ac:dyDescent="0.2">
      <c r="A2868" s="3" t="s">
        <v>176</v>
      </c>
      <c r="B2868" s="3">
        <v>70</v>
      </c>
      <c r="C2868" s="4" t="s">
        <v>156</v>
      </c>
      <c r="D2868" s="3" t="s">
        <v>125</v>
      </c>
      <c r="E2868" s="3" t="s">
        <v>16</v>
      </c>
      <c r="F2868" s="3" t="str">
        <f t="shared" si="0"/>
        <v>3 - Otros</v>
      </c>
      <c r="G2868" s="3">
        <v>0</v>
      </c>
      <c r="H2868" s="2"/>
    </row>
    <row r="2869" spans="1:8" ht="12.75" hidden="1" x14ac:dyDescent="0.2">
      <c r="A2869" s="3" t="s">
        <v>176</v>
      </c>
      <c r="B2869" s="3">
        <v>70</v>
      </c>
      <c r="C2869" s="4" t="s">
        <v>156</v>
      </c>
      <c r="D2869" s="3" t="s">
        <v>125</v>
      </c>
      <c r="E2869" s="3" t="s">
        <v>129</v>
      </c>
      <c r="F2869" s="3" t="str">
        <f t="shared" si="0"/>
        <v>3 - Otros</v>
      </c>
      <c r="G2869" s="3">
        <v>0</v>
      </c>
      <c r="H2869" s="2"/>
    </row>
    <row r="2870" spans="1:8" ht="12.75" hidden="1" x14ac:dyDescent="0.2">
      <c r="A2870" s="3" t="s">
        <v>176</v>
      </c>
      <c r="B2870" s="3">
        <v>70</v>
      </c>
      <c r="C2870" s="4" t="s">
        <v>156</v>
      </c>
      <c r="D2870" s="3" t="s">
        <v>125</v>
      </c>
      <c r="E2870" s="3" t="s">
        <v>132</v>
      </c>
      <c r="F2870" s="3" t="str">
        <f t="shared" si="0"/>
        <v>2 - Frepam</v>
      </c>
      <c r="G2870" s="3">
        <v>0</v>
      </c>
      <c r="H2870" s="2"/>
    </row>
    <row r="2871" spans="1:8" ht="12.75" hidden="1" x14ac:dyDescent="0.2">
      <c r="A2871" s="3" t="s">
        <v>176</v>
      </c>
      <c r="B2871" s="3">
        <v>70</v>
      </c>
      <c r="C2871" s="4" t="s">
        <v>156</v>
      </c>
      <c r="D2871" s="3" t="s">
        <v>125</v>
      </c>
      <c r="E2871" s="3" t="s">
        <v>134</v>
      </c>
      <c r="F2871" s="3" t="str">
        <f t="shared" si="0"/>
        <v>3 - Otros</v>
      </c>
      <c r="G2871" s="3">
        <v>0</v>
      </c>
      <c r="H2871" s="2"/>
    </row>
    <row r="2872" spans="1:8" ht="12.75" hidden="1" x14ac:dyDescent="0.2">
      <c r="A2872" s="3" t="s">
        <v>176</v>
      </c>
      <c r="B2872" s="3">
        <v>70</v>
      </c>
      <c r="C2872" s="4" t="s">
        <v>156</v>
      </c>
      <c r="D2872" s="3" t="s">
        <v>125</v>
      </c>
      <c r="E2872" s="3" t="s">
        <v>152</v>
      </c>
      <c r="F2872" s="3" t="str">
        <f t="shared" si="0"/>
        <v>2 - Frepam</v>
      </c>
      <c r="G2872" s="3">
        <v>4</v>
      </c>
      <c r="H2872" s="2"/>
    </row>
    <row r="2873" spans="1:8" ht="12.75" hidden="1" x14ac:dyDescent="0.2">
      <c r="A2873" s="3" t="s">
        <v>176</v>
      </c>
      <c r="B2873" s="3">
        <v>70</v>
      </c>
      <c r="C2873" s="4" t="s">
        <v>156</v>
      </c>
      <c r="D2873" s="3" t="s">
        <v>125</v>
      </c>
      <c r="E2873" s="3" t="s">
        <v>138</v>
      </c>
      <c r="F2873" s="3" t="str">
        <f t="shared" si="0"/>
        <v>4 - Blanco/Nulo</v>
      </c>
      <c r="G2873" s="3">
        <v>0</v>
      </c>
      <c r="H2873" s="2"/>
    </row>
    <row r="2874" spans="1:8" ht="12.75" hidden="1" x14ac:dyDescent="0.2">
      <c r="A2874" s="3" t="s">
        <v>176</v>
      </c>
      <c r="B2874" s="3">
        <v>70</v>
      </c>
      <c r="C2874" s="4" t="s">
        <v>156</v>
      </c>
      <c r="D2874" s="3" t="s">
        <v>125</v>
      </c>
      <c r="E2874" s="3" t="s">
        <v>14</v>
      </c>
      <c r="F2874" s="3" t="str">
        <f t="shared" si="0"/>
        <v>4 - Blanco/Nulo</v>
      </c>
      <c r="G2874" s="3">
        <v>0</v>
      </c>
      <c r="H2874" s="2"/>
    </row>
    <row r="2875" spans="1:8" ht="12.75" hidden="1" x14ac:dyDescent="0.2">
      <c r="A2875" s="3" t="s">
        <v>176</v>
      </c>
      <c r="B2875" s="3">
        <v>71</v>
      </c>
      <c r="C2875" s="4" t="s">
        <v>94</v>
      </c>
      <c r="D2875" s="3" t="s">
        <v>125</v>
      </c>
      <c r="E2875" s="3" t="s">
        <v>3</v>
      </c>
      <c r="F2875" s="3" t="str">
        <f t="shared" si="0"/>
        <v>1 - PJ</v>
      </c>
      <c r="G2875" s="3">
        <v>411</v>
      </c>
      <c r="H2875" s="2"/>
    </row>
    <row r="2876" spans="1:8" ht="12.75" hidden="1" x14ac:dyDescent="0.2">
      <c r="A2876" s="3" t="s">
        <v>176</v>
      </c>
      <c r="B2876" s="3">
        <v>71</v>
      </c>
      <c r="C2876" s="4" t="s">
        <v>94</v>
      </c>
      <c r="D2876" s="3" t="s">
        <v>125</v>
      </c>
      <c r="E2876" s="3" t="s">
        <v>16</v>
      </c>
      <c r="F2876" s="3" t="str">
        <f t="shared" si="0"/>
        <v>3 - Otros</v>
      </c>
      <c r="G2876" s="3">
        <v>7</v>
      </c>
      <c r="H2876" s="2"/>
    </row>
    <row r="2877" spans="1:8" ht="12.75" hidden="1" x14ac:dyDescent="0.2">
      <c r="A2877" s="3" t="s">
        <v>176</v>
      </c>
      <c r="B2877" s="3">
        <v>71</v>
      </c>
      <c r="C2877" s="4" t="s">
        <v>94</v>
      </c>
      <c r="D2877" s="3" t="s">
        <v>125</v>
      </c>
      <c r="E2877" s="3" t="s">
        <v>129</v>
      </c>
      <c r="F2877" s="3" t="str">
        <f t="shared" si="0"/>
        <v>3 - Otros</v>
      </c>
      <c r="G2877" s="3">
        <v>6</v>
      </c>
      <c r="H2877" s="2"/>
    </row>
    <row r="2878" spans="1:8" ht="12.75" hidden="1" x14ac:dyDescent="0.2">
      <c r="A2878" s="3" t="s">
        <v>176</v>
      </c>
      <c r="B2878" s="3">
        <v>71</v>
      </c>
      <c r="C2878" s="4" t="s">
        <v>94</v>
      </c>
      <c r="D2878" s="3" t="s">
        <v>125</v>
      </c>
      <c r="E2878" s="3" t="s">
        <v>132</v>
      </c>
      <c r="F2878" s="3" t="str">
        <f t="shared" si="0"/>
        <v>2 - Frepam</v>
      </c>
      <c r="G2878" s="3">
        <v>40</v>
      </c>
      <c r="H2878" s="2"/>
    </row>
    <row r="2879" spans="1:8" ht="12.75" hidden="1" x14ac:dyDescent="0.2">
      <c r="A2879" s="3" t="s">
        <v>176</v>
      </c>
      <c r="B2879" s="3">
        <v>71</v>
      </c>
      <c r="C2879" s="4" t="s">
        <v>94</v>
      </c>
      <c r="D2879" s="3" t="s">
        <v>125</v>
      </c>
      <c r="E2879" s="3" t="s">
        <v>134</v>
      </c>
      <c r="F2879" s="3" t="str">
        <f t="shared" si="0"/>
        <v>3 - Otros</v>
      </c>
      <c r="G2879" s="3">
        <v>6</v>
      </c>
      <c r="H2879" s="2"/>
    </row>
    <row r="2880" spans="1:8" ht="12.75" hidden="1" x14ac:dyDescent="0.2">
      <c r="A2880" s="3" t="s">
        <v>176</v>
      </c>
      <c r="B2880" s="3">
        <v>71</v>
      </c>
      <c r="C2880" s="4" t="s">
        <v>94</v>
      </c>
      <c r="D2880" s="3" t="s">
        <v>125</v>
      </c>
      <c r="E2880" s="3" t="s">
        <v>152</v>
      </c>
      <c r="F2880" s="3" t="str">
        <f t="shared" si="0"/>
        <v>2 - Frepam</v>
      </c>
      <c r="G2880" s="3">
        <v>331</v>
      </c>
      <c r="H2880" s="2"/>
    </row>
    <row r="2881" spans="1:8" ht="12.75" hidden="1" x14ac:dyDescent="0.2">
      <c r="A2881" s="3" t="s">
        <v>176</v>
      </c>
      <c r="B2881" s="3">
        <v>71</v>
      </c>
      <c r="C2881" s="4" t="s">
        <v>94</v>
      </c>
      <c r="D2881" s="3" t="s">
        <v>125</v>
      </c>
      <c r="E2881" s="3" t="s">
        <v>138</v>
      </c>
      <c r="F2881" s="3" t="str">
        <f t="shared" si="0"/>
        <v>4 - Blanco/Nulo</v>
      </c>
      <c r="G2881" s="3">
        <v>17</v>
      </c>
      <c r="H2881" s="2"/>
    </row>
    <row r="2882" spans="1:8" ht="12.75" hidden="1" x14ac:dyDescent="0.2">
      <c r="A2882" s="3" t="s">
        <v>176</v>
      </c>
      <c r="B2882" s="3">
        <v>71</v>
      </c>
      <c r="C2882" s="4" t="s">
        <v>94</v>
      </c>
      <c r="D2882" s="3" t="s">
        <v>125</v>
      </c>
      <c r="E2882" s="3" t="s">
        <v>14</v>
      </c>
      <c r="F2882" s="3" t="str">
        <f t="shared" si="0"/>
        <v>4 - Blanco/Nulo</v>
      </c>
      <c r="G2882" s="3">
        <v>30</v>
      </c>
      <c r="H2882" s="2"/>
    </row>
    <row r="2883" spans="1:8" ht="12.75" hidden="1" x14ac:dyDescent="0.2">
      <c r="A2883" s="3" t="s">
        <v>176</v>
      </c>
      <c r="B2883" s="3">
        <v>72</v>
      </c>
      <c r="C2883" s="4" t="s">
        <v>95</v>
      </c>
      <c r="D2883" s="3" t="s">
        <v>125</v>
      </c>
      <c r="E2883" s="3" t="s">
        <v>3</v>
      </c>
      <c r="F2883" s="3" t="str">
        <f t="shared" si="0"/>
        <v>1 - PJ</v>
      </c>
      <c r="G2883" s="3">
        <v>504</v>
      </c>
      <c r="H2883" s="2"/>
    </row>
    <row r="2884" spans="1:8" ht="12.75" hidden="1" x14ac:dyDescent="0.2">
      <c r="A2884" s="3" t="s">
        <v>176</v>
      </c>
      <c r="B2884" s="3">
        <v>72</v>
      </c>
      <c r="C2884" s="4" t="s">
        <v>95</v>
      </c>
      <c r="D2884" s="3" t="s">
        <v>125</v>
      </c>
      <c r="E2884" s="3" t="s">
        <v>16</v>
      </c>
      <c r="F2884" s="3" t="str">
        <f t="shared" si="0"/>
        <v>3 - Otros</v>
      </c>
      <c r="G2884" s="3">
        <v>16</v>
      </c>
      <c r="H2884" s="2"/>
    </row>
    <row r="2885" spans="1:8" ht="12.75" hidden="1" x14ac:dyDescent="0.2">
      <c r="A2885" s="3" t="s">
        <v>176</v>
      </c>
      <c r="B2885" s="3">
        <v>72</v>
      </c>
      <c r="C2885" s="4" t="s">
        <v>95</v>
      </c>
      <c r="D2885" s="3" t="s">
        <v>125</v>
      </c>
      <c r="E2885" s="3" t="s">
        <v>129</v>
      </c>
      <c r="F2885" s="3" t="str">
        <f t="shared" si="0"/>
        <v>3 - Otros</v>
      </c>
      <c r="G2885" s="3">
        <v>14</v>
      </c>
      <c r="H2885" s="2"/>
    </row>
    <row r="2886" spans="1:8" ht="12.75" hidden="1" x14ac:dyDescent="0.2">
      <c r="A2886" s="3" t="s">
        <v>176</v>
      </c>
      <c r="B2886" s="3">
        <v>72</v>
      </c>
      <c r="C2886" s="4" t="s">
        <v>95</v>
      </c>
      <c r="D2886" s="3" t="s">
        <v>125</v>
      </c>
      <c r="E2886" s="3" t="s">
        <v>132</v>
      </c>
      <c r="F2886" s="3" t="str">
        <f t="shared" si="0"/>
        <v>2 - Frepam</v>
      </c>
      <c r="G2886" s="3">
        <v>45</v>
      </c>
      <c r="H2886" s="2"/>
    </row>
    <row r="2887" spans="1:8" ht="12.75" hidden="1" x14ac:dyDescent="0.2">
      <c r="A2887" s="3" t="s">
        <v>176</v>
      </c>
      <c r="B2887" s="3">
        <v>72</v>
      </c>
      <c r="C2887" s="4" t="s">
        <v>95</v>
      </c>
      <c r="D2887" s="3" t="s">
        <v>125</v>
      </c>
      <c r="E2887" s="3" t="s">
        <v>134</v>
      </c>
      <c r="F2887" s="3" t="str">
        <f t="shared" si="0"/>
        <v>3 - Otros</v>
      </c>
      <c r="G2887" s="3">
        <v>21</v>
      </c>
      <c r="H2887" s="2"/>
    </row>
    <row r="2888" spans="1:8" ht="12.75" hidden="1" x14ac:dyDescent="0.2">
      <c r="A2888" s="3" t="s">
        <v>176</v>
      </c>
      <c r="B2888" s="3">
        <v>72</v>
      </c>
      <c r="C2888" s="4" t="s">
        <v>95</v>
      </c>
      <c r="D2888" s="3" t="s">
        <v>125</v>
      </c>
      <c r="E2888" s="3" t="s">
        <v>152</v>
      </c>
      <c r="F2888" s="3" t="str">
        <f t="shared" si="0"/>
        <v>2 - Frepam</v>
      </c>
      <c r="G2888" s="3">
        <v>824</v>
      </c>
      <c r="H2888" s="2"/>
    </row>
    <row r="2889" spans="1:8" ht="12.75" hidden="1" x14ac:dyDescent="0.2">
      <c r="A2889" s="3" t="s">
        <v>176</v>
      </c>
      <c r="B2889" s="3">
        <v>72</v>
      </c>
      <c r="C2889" s="4" t="s">
        <v>95</v>
      </c>
      <c r="D2889" s="3" t="s">
        <v>125</v>
      </c>
      <c r="E2889" s="3" t="s">
        <v>138</v>
      </c>
      <c r="F2889" s="3" t="str">
        <f t="shared" si="0"/>
        <v>4 - Blanco/Nulo</v>
      </c>
      <c r="G2889" s="3">
        <v>59</v>
      </c>
      <c r="H2889" s="2"/>
    </row>
    <row r="2890" spans="1:8" ht="12.75" hidden="1" x14ac:dyDescent="0.2">
      <c r="A2890" s="3" t="s">
        <v>176</v>
      </c>
      <c r="B2890" s="3">
        <v>72</v>
      </c>
      <c r="C2890" s="4" t="s">
        <v>95</v>
      </c>
      <c r="D2890" s="3" t="s">
        <v>125</v>
      </c>
      <c r="E2890" s="3" t="s">
        <v>14</v>
      </c>
      <c r="F2890" s="3" t="str">
        <f t="shared" si="0"/>
        <v>4 - Blanco/Nulo</v>
      </c>
      <c r="G2890" s="3">
        <v>34</v>
      </c>
      <c r="H2890" s="2"/>
    </row>
    <row r="2891" spans="1:8" ht="12.75" hidden="1" x14ac:dyDescent="0.2">
      <c r="A2891" s="3" t="s">
        <v>176</v>
      </c>
      <c r="B2891" s="3">
        <v>73</v>
      </c>
      <c r="C2891" s="4" t="s">
        <v>96</v>
      </c>
      <c r="D2891" s="3" t="s">
        <v>125</v>
      </c>
      <c r="E2891" s="3" t="s">
        <v>3</v>
      </c>
      <c r="F2891" s="3" t="str">
        <f t="shared" si="0"/>
        <v>1 - PJ</v>
      </c>
      <c r="G2891" s="3">
        <v>85</v>
      </c>
      <c r="H2891" s="2"/>
    </row>
    <row r="2892" spans="1:8" ht="12.75" hidden="1" x14ac:dyDescent="0.2">
      <c r="A2892" s="3" t="s">
        <v>176</v>
      </c>
      <c r="B2892" s="3">
        <v>73</v>
      </c>
      <c r="C2892" s="4" t="s">
        <v>96</v>
      </c>
      <c r="D2892" s="3" t="s">
        <v>125</v>
      </c>
      <c r="E2892" s="3" t="s">
        <v>16</v>
      </c>
      <c r="F2892" s="3" t="str">
        <f t="shared" si="0"/>
        <v>3 - Otros</v>
      </c>
      <c r="G2892" s="3">
        <v>1</v>
      </c>
      <c r="H2892" s="2"/>
    </row>
    <row r="2893" spans="1:8" ht="12.75" hidden="1" x14ac:dyDescent="0.2">
      <c r="A2893" s="3" t="s">
        <v>176</v>
      </c>
      <c r="B2893" s="3">
        <v>73</v>
      </c>
      <c r="C2893" s="4" t="s">
        <v>96</v>
      </c>
      <c r="D2893" s="3" t="s">
        <v>125</v>
      </c>
      <c r="E2893" s="3" t="s">
        <v>129</v>
      </c>
      <c r="F2893" s="3" t="str">
        <f t="shared" si="0"/>
        <v>3 - Otros</v>
      </c>
      <c r="G2893" s="3">
        <v>3</v>
      </c>
      <c r="H2893" s="2"/>
    </row>
    <row r="2894" spans="1:8" ht="12.75" hidden="1" x14ac:dyDescent="0.2">
      <c r="A2894" s="3" t="s">
        <v>176</v>
      </c>
      <c r="B2894" s="3">
        <v>73</v>
      </c>
      <c r="C2894" s="4" t="s">
        <v>96</v>
      </c>
      <c r="D2894" s="3" t="s">
        <v>125</v>
      </c>
      <c r="E2894" s="3" t="s">
        <v>132</v>
      </c>
      <c r="F2894" s="3" t="str">
        <f t="shared" si="0"/>
        <v>2 - Frepam</v>
      </c>
      <c r="G2894" s="3">
        <v>4</v>
      </c>
      <c r="H2894" s="2"/>
    </row>
    <row r="2895" spans="1:8" ht="12.75" hidden="1" x14ac:dyDescent="0.2">
      <c r="A2895" s="3" t="s">
        <v>176</v>
      </c>
      <c r="B2895" s="3">
        <v>73</v>
      </c>
      <c r="C2895" s="4" t="s">
        <v>96</v>
      </c>
      <c r="D2895" s="3" t="s">
        <v>125</v>
      </c>
      <c r="E2895" s="3" t="s">
        <v>134</v>
      </c>
      <c r="F2895" s="3" t="str">
        <f t="shared" si="0"/>
        <v>3 - Otros</v>
      </c>
      <c r="G2895" s="3">
        <v>4</v>
      </c>
      <c r="H2895" s="2"/>
    </row>
    <row r="2896" spans="1:8" ht="12.75" hidden="1" x14ac:dyDescent="0.2">
      <c r="A2896" s="3" t="s">
        <v>176</v>
      </c>
      <c r="B2896" s="3">
        <v>73</v>
      </c>
      <c r="C2896" s="4" t="s">
        <v>96</v>
      </c>
      <c r="D2896" s="3" t="s">
        <v>125</v>
      </c>
      <c r="E2896" s="3" t="s">
        <v>152</v>
      </c>
      <c r="F2896" s="3" t="str">
        <f t="shared" si="0"/>
        <v>2 - Frepam</v>
      </c>
      <c r="G2896" s="3">
        <v>56</v>
      </c>
      <c r="H2896" s="2"/>
    </row>
    <row r="2897" spans="1:8" ht="12.75" hidden="1" x14ac:dyDescent="0.2">
      <c r="A2897" s="3" t="s">
        <v>176</v>
      </c>
      <c r="B2897" s="3">
        <v>73</v>
      </c>
      <c r="C2897" s="4" t="s">
        <v>96</v>
      </c>
      <c r="D2897" s="3" t="s">
        <v>125</v>
      </c>
      <c r="E2897" s="3" t="s">
        <v>138</v>
      </c>
      <c r="F2897" s="3" t="str">
        <f t="shared" si="0"/>
        <v>4 - Blanco/Nulo</v>
      </c>
      <c r="G2897" s="3">
        <v>5</v>
      </c>
      <c r="H2897" s="2"/>
    </row>
    <row r="2898" spans="1:8" ht="12.75" hidden="1" x14ac:dyDescent="0.2">
      <c r="A2898" s="3" t="s">
        <v>176</v>
      </c>
      <c r="B2898" s="3">
        <v>73</v>
      </c>
      <c r="C2898" s="4" t="s">
        <v>96</v>
      </c>
      <c r="D2898" s="3" t="s">
        <v>125</v>
      </c>
      <c r="E2898" s="3" t="s">
        <v>14</v>
      </c>
      <c r="F2898" s="3" t="str">
        <f t="shared" si="0"/>
        <v>4 - Blanco/Nulo</v>
      </c>
      <c r="G2898" s="3">
        <v>5</v>
      </c>
      <c r="H2898" s="2"/>
    </row>
    <row r="2899" spans="1:8" ht="12.75" hidden="1" x14ac:dyDescent="0.2">
      <c r="A2899" s="3" t="s">
        <v>176</v>
      </c>
      <c r="B2899" s="3">
        <v>74</v>
      </c>
      <c r="C2899" s="4" t="s">
        <v>97</v>
      </c>
      <c r="D2899" s="3" t="s">
        <v>125</v>
      </c>
      <c r="E2899" s="3" t="s">
        <v>3</v>
      </c>
      <c r="F2899" s="3" t="str">
        <f t="shared" si="0"/>
        <v>1 - PJ</v>
      </c>
      <c r="G2899" s="3">
        <v>141</v>
      </c>
      <c r="H2899" s="2"/>
    </row>
    <row r="2900" spans="1:8" ht="12.75" hidden="1" x14ac:dyDescent="0.2">
      <c r="A2900" s="3" t="s">
        <v>176</v>
      </c>
      <c r="B2900" s="3">
        <v>74</v>
      </c>
      <c r="C2900" s="4" t="s">
        <v>97</v>
      </c>
      <c r="D2900" s="3" t="s">
        <v>125</v>
      </c>
      <c r="E2900" s="3" t="s">
        <v>16</v>
      </c>
      <c r="F2900" s="3" t="str">
        <f t="shared" si="0"/>
        <v>3 - Otros</v>
      </c>
      <c r="G2900" s="3">
        <v>2</v>
      </c>
      <c r="H2900" s="2"/>
    </row>
    <row r="2901" spans="1:8" ht="12.75" hidden="1" x14ac:dyDescent="0.2">
      <c r="A2901" s="3" t="s">
        <v>176</v>
      </c>
      <c r="B2901" s="3">
        <v>74</v>
      </c>
      <c r="C2901" s="4" t="s">
        <v>97</v>
      </c>
      <c r="D2901" s="3" t="s">
        <v>125</v>
      </c>
      <c r="E2901" s="3" t="s">
        <v>129</v>
      </c>
      <c r="F2901" s="3" t="str">
        <f t="shared" si="0"/>
        <v>3 - Otros</v>
      </c>
      <c r="G2901" s="3">
        <v>1</v>
      </c>
      <c r="H2901" s="2"/>
    </row>
    <row r="2902" spans="1:8" ht="12.75" hidden="1" x14ac:dyDescent="0.2">
      <c r="A2902" s="3" t="s">
        <v>176</v>
      </c>
      <c r="B2902" s="3">
        <v>74</v>
      </c>
      <c r="C2902" s="4" t="s">
        <v>97</v>
      </c>
      <c r="D2902" s="3" t="s">
        <v>125</v>
      </c>
      <c r="E2902" s="3" t="s">
        <v>132</v>
      </c>
      <c r="F2902" s="3" t="str">
        <f t="shared" si="0"/>
        <v>2 - Frepam</v>
      </c>
      <c r="G2902" s="3">
        <v>8</v>
      </c>
      <c r="H2902" s="2"/>
    </row>
    <row r="2903" spans="1:8" ht="12.75" hidden="1" x14ac:dyDescent="0.2">
      <c r="A2903" s="3" t="s">
        <v>176</v>
      </c>
      <c r="B2903" s="3">
        <v>74</v>
      </c>
      <c r="C2903" s="4" t="s">
        <v>97</v>
      </c>
      <c r="D2903" s="3" t="s">
        <v>125</v>
      </c>
      <c r="E2903" s="3" t="s">
        <v>134</v>
      </c>
      <c r="F2903" s="3" t="str">
        <f t="shared" si="0"/>
        <v>3 - Otros</v>
      </c>
      <c r="G2903" s="3">
        <v>3</v>
      </c>
      <c r="H2903" s="2"/>
    </row>
    <row r="2904" spans="1:8" ht="12.75" hidden="1" x14ac:dyDescent="0.2">
      <c r="A2904" s="3" t="s">
        <v>176</v>
      </c>
      <c r="B2904" s="3">
        <v>74</v>
      </c>
      <c r="C2904" s="4" t="s">
        <v>97</v>
      </c>
      <c r="D2904" s="3" t="s">
        <v>125</v>
      </c>
      <c r="E2904" s="3" t="s">
        <v>152</v>
      </c>
      <c r="F2904" s="3" t="str">
        <f t="shared" si="0"/>
        <v>2 - Frepam</v>
      </c>
      <c r="G2904" s="3">
        <v>145</v>
      </c>
      <c r="H2904" s="2"/>
    </row>
    <row r="2905" spans="1:8" ht="12.75" hidden="1" x14ac:dyDescent="0.2">
      <c r="A2905" s="3" t="s">
        <v>176</v>
      </c>
      <c r="B2905" s="3">
        <v>74</v>
      </c>
      <c r="C2905" s="4" t="s">
        <v>97</v>
      </c>
      <c r="D2905" s="3" t="s">
        <v>125</v>
      </c>
      <c r="E2905" s="3" t="s">
        <v>138</v>
      </c>
      <c r="F2905" s="3" t="str">
        <f t="shared" si="0"/>
        <v>4 - Blanco/Nulo</v>
      </c>
      <c r="G2905" s="3">
        <v>14</v>
      </c>
      <c r="H2905" s="2"/>
    </row>
    <row r="2906" spans="1:8" ht="12.75" hidden="1" x14ac:dyDescent="0.2">
      <c r="A2906" s="3" t="s">
        <v>176</v>
      </c>
      <c r="B2906" s="3">
        <v>74</v>
      </c>
      <c r="C2906" s="4" t="s">
        <v>97</v>
      </c>
      <c r="D2906" s="3" t="s">
        <v>125</v>
      </c>
      <c r="E2906" s="3" t="s">
        <v>14</v>
      </c>
      <c r="F2906" s="3" t="str">
        <f t="shared" si="0"/>
        <v>4 - Blanco/Nulo</v>
      </c>
      <c r="G2906" s="3">
        <v>6</v>
      </c>
      <c r="H2906" s="2"/>
    </row>
    <row r="2907" spans="1:8" ht="12.75" hidden="1" x14ac:dyDescent="0.2">
      <c r="A2907" s="3" t="s">
        <v>176</v>
      </c>
      <c r="B2907" s="3">
        <v>75</v>
      </c>
      <c r="C2907" s="4" t="s">
        <v>98</v>
      </c>
      <c r="D2907" s="3" t="s">
        <v>125</v>
      </c>
      <c r="E2907" s="3" t="s">
        <v>3</v>
      </c>
      <c r="F2907" s="3" t="str">
        <f t="shared" si="0"/>
        <v>1 - PJ</v>
      </c>
      <c r="G2907" s="3">
        <v>1139</v>
      </c>
      <c r="H2907" s="2"/>
    </row>
    <row r="2908" spans="1:8" ht="12.75" hidden="1" x14ac:dyDescent="0.2">
      <c r="A2908" s="3" t="s">
        <v>176</v>
      </c>
      <c r="B2908" s="3">
        <v>75</v>
      </c>
      <c r="C2908" s="4" t="s">
        <v>98</v>
      </c>
      <c r="D2908" s="3" t="s">
        <v>125</v>
      </c>
      <c r="E2908" s="3" t="s">
        <v>16</v>
      </c>
      <c r="F2908" s="3" t="str">
        <f t="shared" si="0"/>
        <v>3 - Otros</v>
      </c>
      <c r="G2908" s="3">
        <v>18</v>
      </c>
      <c r="H2908" s="2"/>
    </row>
    <row r="2909" spans="1:8" ht="12.75" hidden="1" x14ac:dyDescent="0.2">
      <c r="A2909" s="3" t="s">
        <v>176</v>
      </c>
      <c r="B2909" s="3">
        <v>75</v>
      </c>
      <c r="C2909" s="4" t="s">
        <v>98</v>
      </c>
      <c r="D2909" s="3" t="s">
        <v>125</v>
      </c>
      <c r="E2909" s="3" t="s">
        <v>129</v>
      </c>
      <c r="F2909" s="3" t="str">
        <f t="shared" si="0"/>
        <v>3 - Otros</v>
      </c>
      <c r="G2909" s="3">
        <v>27</v>
      </c>
      <c r="H2909" s="2"/>
    </row>
    <row r="2910" spans="1:8" ht="12.75" hidden="1" x14ac:dyDescent="0.2">
      <c r="A2910" s="3" t="s">
        <v>176</v>
      </c>
      <c r="B2910" s="3">
        <v>75</v>
      </c>
      <c r="C2910" s="4" t="s">
        <v>98</v>
      </c>
      <c r="D2910" s="3" t="s">
        <v>125</v>
      </c>
      <c r="E2910" s="3" t="s">
        <v>132</v>
      </c>
      <c r="F2910" s="3" t="str">
        <f t="shared" si="0"/>
        <v>2 - Frepam</v>
      </c>
      <c r="G2910" s="3">
        <v>50</v>
      </c>
      <c r="H2910" s="2"/>
    </row>
    <row r="2911" spans="1:8" ht="12.75" hidden="1" x14ac:dyDescent="0.2">
      <c r="A2911" s="3" t="s">
        <v>176</v>
      </c>
      <c r="B2911" s="3">
        <v>75</v>
      </c>
      <c r="C2911" s="4" t="s">
        <v>98</v>
      </c>
      <c r="D2911" s="3" t="s">
        <v>125</v>
      </c>
      <c r="E2911" s="3" t="s">
        <v>134</v>
      </c>
      <c r="F2911" s="3" t="str">
        <f t="shared" si="0"/>
        <v>3 - Otros</v>
      </c>
      <c r="G2911" s="3">
        <v>23</v>
      </c>
      <c r="H2911" s="2"/>
    </row>
    <row r="2912" spans="1:8" ht="12.75" hidden="1" x14ac:dyDescent="0.2">
      <c r="A2912" s="3" t="s">
        <v>176</v>
      </c>
      <c r="B2912" s="3">
        <v>75</v>
      </c>
      <c r="C2912" s="4" t="s">
        <v>98</v>
      </c>
      <c r="D2912" s="3" t="s">
        <v>125</v>
      </c>
      <c r="E2912" s="3" t="s">
        <v>152</v>
      </c>
      <c r="F2912" s="3" t="str">
        <f t="shared" si="0"/>
        <v>2 - Frepam</v>
      </c>
      <c r="G2912" s="3">
        <v>909</v>
      </c>
      <c r="H2912" s="2"/>
    </row>
    <row r="2913" spans="1:8" ht="12.75" hidden="1" x14ac:dyDescent="0.2">
      <c r="A2913" s="3" t="s">
        <v>176</v>
      </c>
      <c r="B2913" s="3">
        <v>75</v>
      </c>
      <c r="C2913" s="4" t="s">
        <v>98</v>
      </c>
      <c r="D2913" s="3" t="s">
        <v>125</v>
      </c>
      <c r="E2913" s="3" t="s">
        <v>138</v>
      </c>
      <c r="F2913" s="3" t="str">
        <f t="shared" si="0"/>
        <v>4 - Blanco/Nulo</v>
      </c>
      <c r="G2913" s="3">
        <v>54</v>
      </c>
      <c r="H2913" s="2"/>
    </row>
    <row r="2914" spans="1:8" ht="12.75" hidden="1" x14ac:dyDescent="0.2">
      <c r="A2914" s="3" t="s">
        <v>176</v>
      </c>
      <c r="B2914" s="3">
        <v>75</v>
      </c>
      <c r="C2914" s="4" t="s">
        <v>98</v>
      </c>
      <c r="D2914" s="3" t="s">
        <v>125</v>
      </c>
      <c r="E2914" s="3" t="s">
        <v>14</v>
      </c>
      <c r="F2914" s="3" t="str">
        <f t="shared" si="0"/>
        <v>4 - Blanco/Nulo</v>
      </c>
      <c r="G2914" s="3">
        <v>44</v>
      </c>
      <c r="H2914" s="2"/>
    </row>
    <row r="2915" spans="1:8" ht="12.75" hidden="1" x14ac:dyDescent="0.2">
      <c r="A2915" s="3" t="s">
        <v>176</v>
      </c>
      <c r="B2915" s="3">
        <v>76</v>
      </c>
      <c r="C2915" s="4" t="s">
        <v>99</v>
      </c>
      <c r="D2915" s="3" t="s">
        <v>125</v>
      </c>
      <c r="E2915" s="3" t="s">
        <v>3</v>
      </c>
      <c r="F2915" s="3" t="str">
        <f t="shared" si="0"/>
        <v>1 - PJ</v>
      </c>
      <c r="G2915" s="3">
        <v>102</v>
      </c>
      <c r="H2915" s="2"/>
    </row>
    <row r="2916" spans="1:8" ht="12.75" hidden="1" x14ac:dyDescent="0.2">
      <c r="A2916" s="3" t="s">
        <v>176</v>
      </c>
      <c r="B2916" s="3">
        <v>76</v>
      </c>
      <c r="C2916" s="4" t="s">
        <v>99</v>
      </c>
      <c r="D2916" s="3" t="s">
        <v>125</v>
      </c>
      <c r="E2916" s="3" t="s">
        <v>16</v>
      </c>
      <c r="F2916" s="3" t="str">
        <f t="shared" si="0"/>
        <v>3 - Otros</v>
      </c>
      <c r="G2916" s="3">
        <v>3</v>
      </c>
      <c r="H2916" s="2"/>
    </row>
    <row r="2917" spans="1:8" ht="12.75" hidden="1" x14ac:dyDescent="0.2">
      <c r="A2917" s="3" t="s">
        <v>176</v>
      </c>
      <c r="B2917" s="3">
        <v>76</v>
      </c>
      <c r="C2917" s="4" t="s">
        <v>99</v>
      </c>
      <c r="D2917" s="3" t="s">
        <v>125</v>
      </c>
      <c r="E2917" s="3" t="s">
        <v>129</v>
      </c>
      <c r="F2917" s="3" t="str">
        <f t="shared" si="0"/>
        <v>3 - Otros</v>
      </c>
      <c r="G2917" s="3">
        <v>1</v>
      </c>
      <c r="H2917" s="2"/>
    </row>
    <row r="2918" spans="1:8" ht="12.75" hidden="1" x14ac:dyDescent="0.2">
      <c r="A2918" s="3" t="s">
        <v>176</v>
      </c>
      <c r="B2918" s="3">
        <v>76</v>
      </c>
      <c r="C2918" s="4" t="s">
        <v>99</v>
      </c>
      <c r="D2918" s="3" t="s">
        <v>125</v>
      </c>
      <c r="E2918" s="3" t="s">
        <v>132</v>
      </c>
      <c r="F2918" s="3" t="str">
        <f t="shared" si="0"/>
        <v>2 - Frepam</v>
      </c>
      <c r="G2918" s="3">
        <v>7</v>
      </c>
      <c r="H2918" s="2"/>
    </row>
    <row r="2919" spans="1:8" ht="12.75" hidden="1" x14ac:dyDescent="0.2">
      <c r="A2919" s="3" t="s">
        <v>176</v>
      </c>
      <c r="B2919" s="3">
        <v>76</v>
      </c>
      <c r="C2919" s="4" t="s">
        <v>99</v>
      </c>
      <c r="D2919" s="3" t="s">
        <v>125</v>
      </c>
      <c r="E2919" s="3" t="s">
        <v>134</v>
      </c>
      <c r="F2919" s="3" t="str">
        <f t="shared" si="0"/>
        <v>3 - Otros</v>
      </c>
      <c r="G2919" s="3">
        <v>5</v>
      </c>
      <c r="H2919" s="2"/>
    </row>
    <row r="2920" spans="1:8" ht="12.75" hidden="1" x14ac:dyDescent="0.2">
      <c r="A2920" s="3" t="s">
        <v>176</v>
      </c>
      <c r="B2920" s="3">
        <v>76</v>
      </c>
      <c r="C2920" s="4" t="s">
        <v>99</v>
      </c>
      <c r="D2920" s="3" t="s">
        <v>125</v>
      </c>
      <c r="E2920" s="3" t="s">
        <v>152</v>
      </c>
      <c r="F2920" s="3" t="str">
        <f t="shared" si="0"/>
        <v>2 - Frepam</v>
      </c>
      <c r="G2920" s="3">
        <v>104</v>
      </c>
      <c r="H2920" s="2"/>
    </row>
    <row r="2921" spans="1:8" ht="12.75" hidden="1" x14ac:dyDescent="0.2">
      <c r="A2921" s="3" t="s">
        <v>176</v>
      </c>
      <c r="B2921" s="3">
        <v>76</v>
      </c>
      <c r="C2921" s="4" t="s">
        <v>99</v>
      </c>
      <c r="D2921" s="3" t="s">
        <v>125</v>
      </c>
      <c r="E2921" s="3" t="s">
        <v>138</v>
      </c>
      <c r="F2921" s="3" t="str">
        <f t="shared" si="0"/>
        <v>4 - Blanco/Nulo</v>
      </c>
      <c r="G2921" s="3">
        <v>0</v>
      </c>
      <c r="H2921" s="2"/>
    </row>
    <row r="2922" spans="1:8" ht="12.75" hidden="1" x14ac:dyDescent="0.2">
      <c r="A2922" s="3" t="s">
        <v>176</v>
      </c>
      <c r="B2922" s="3">
        <v>76</v>
      </c>
      <c r="C2922" s="4" t="s">
        <v>99</v>
      </c>
      <c r="D2922" s="3" t="s">
        <v>125</v>
      </c>
      <c r="E2922" s="3" t="s">
        <v>14</v>
      </c>
      <c r="F2922" s="3" t="str">
        <f t="shared" si="0"/>
        <v>4 - Blanco/Nulo</v>
      </c>
      <c r="G2922" s="3">
        <v>11</v>
      </c>
      <c r="H2922" s="2"/>
    </row>
    <row r="2923" spans="1:8" ht="12.75" hidden="1" x14ac:dyDescent="0.2">
      <c r="A2923" s="3" t="s">
        <v>176</v>
      </c>
      <c r="B2923" s="3">
        <v>77</v>
      </c>
      <c r="C2923" s="4" t="s">
        <v>100</v>
      </c>
      <c r="D2923" s="3" t="s">
        <v>125</v>
      </c>
      <c r="E2923" s="3" t="s">
        <v>3</v>
      </c>
      <c r="F2923" s="3" t="str">
        <f t="shared" si="0"/>
        <v>1 - PJ</v>
      </c>
      <c r="G2923" s="3">
        <v>334</v>
      </c>
      <c r="H2923" s="2"/>
    </row>
    <row r="2924" spans="1:8" ht="12.75" hidden="1" x14ac:dyDescent="0.2">
      <c r="A2924" s="3" t="s">
        <v>176</v>
      </c>
      <c r="B2924" s="3">
        <v>77</v>
      </c>
      <c r="C2924" s="4" t="s">
        <v>100</v>
      </c>
      <c r="D2924" s="3" t="s">
        <v>125</v>
      </c>
      <c r="E2924" s="3" t="s">
        <v>16</v>
      </c>
      <c r="F2924" s="3" t="str">
        <f t="shared" si="0"/>
        <v>3 - Otros</v>
      </c>
      <c r="G2924" s="3">
        <v>8</v>
      </c>
      <c r="H2924" s="2"/>
    </row>
    <row r="2925" spans="1:8" ht="12.75" hidden="1" x14ac:dyDescent="0.2">
      <c r="A2925" s="3" t="s">
        <v>176</v>
      </c>
      <c r="B2925" s="3">
        <v>77</v>
      </c>
      <c r="C2925" s="4" t="s">
        <v>100</v>
      </c>
      <c r="D2925" s="3" t="s">
        <v>125</v>
      </c>
      <c r="E2925" s="3" t="s">
        <v>129</v>
      </c>
      <c r="F2925" s="3" t="str">
        <f t="shared" si="0"/>
        <v>3 - Otros</v>
      </c>
      <c r="G2925" s="3">
        <v>11</v>
      </c>
      <c r="H2925" s="2"/>
    </row>
    <row r="2926" spans="1:8" ht="12.75" hidden="1" x14ac:dyDescent="0.2">
      <c r="A2926" s="3" t="s">
        <v>176</v>
      </c>
      <c r="B2926" s="3">
        <v>77</v>
      </c>
      <c r="C2926" s="4" t="s">
        <v>100</v>
      </c>
      <c r="D2926" s="3" t="s">
        <v>125</v>
      </c>
      <c r="E2926" s="3" t="s">
        <v>132</v>
      </c>
      <c r="F2926" s="3" t="str">
        <f t="shared" si="0"/>
        <v>2 - Frepam</v>
      </c>
      <c r="G2926" s="3">
        <v>63</v>
      </c>
      <c r="H2926" s="2"/>
    </row>
    <row r="2927" spans="1:8" ht="12.75" hidden="1" x14ac:dyDescent="0.2">
      <c r="A2927" s="3" t="s">
        <v>176</v>
      </c>
      <c r="B2927" s="3">
        <v>77</v>
      </c>
      <c r="C2927" s="4" t="s">
        <v>100</v>
      </c>
      <c r="D2927" s="3" t="s">
        <v>125</v>
      </c>
      <c r="E2927" s="3" t="s">
        <v>134</v>
      </c>
      <c r="F2927" s="3" t="str">
        <f t="shared" si="0"/>
        <v>3 - Otros</v>
      </c>
      <c r="G2927" s="3">
        <v>9</v>
      </c>
      <c r="H2927" s="2"/>
    </row>
    <row r="2928" spans="1:8" ht="12.75" hidden="1" x14ac:dyDescent="0.2">
      <c r="A2928" s="3" t="s">
        <v>176</v>
      </c>
      <c r="B2928" s="3">
        <v>77</v>
      </c>
      <c r="C2928" s="4" t="s">
        <v>100</v>
      </c>
      <c r="D2928" s="3" t="s">
        <v>125</v>
      </c>
      <c r="E2928" s="3" t="s">
        <v>152</v>
      </c>
      <c r="F2928" s="3" t="str">
        <f t="shared" si="0"/>
        <v>2 - Frepam</v>
      </c>
      <c r="G2928" s="3">
        <v>459</v>
      </c>
      <c r="H2928" s="2"/>
    </row>
    <row r="2929" spans="1:8" ht="12.75" hidden="1" x14ac:dyDescent="0.2">
      <c r="A2929" s="3" t="s">
        <v>176</v>
      </c>
      <c r="B2929" s="3">
        <v>77</v>
      </c>
      <c r="C2929" s="4" t="s">
        <v>100</v>
      </c>
      <c r="D2929" s="3" t="s">
        <v>125</v>
      </c>
      <c r="E2929" s="3" t="s">
        <v>138</v>
      </c>
      <c r="F2929" s="3" t="str">
        <f t="shared" si="0"/>
        <v>4 - Blanco/Nulo</v>
      </c>
      <c r="G2929" s="3">
        <v>0</v>
      </c>
      <c r="H2929" s="2"/>
    </row>
    <row r="2930" spans="1:8" ht="12.75" hidden="1" x14ac:dyDescent="0.2">
      <c r="A2930" s="3" t="s">
        <v>176</v>
      </c>
      <c r="B2930" s="3">
        <v>77</v>
      </c>
      <c r="C2930" s="4" t="s">
        <v>100</v>
      </c>
      <c r="D2930" s="3" t="s">
        <v>125</v>
      </c>
      <c r="E2930" s="3" t="s">
        <v>14</v>
      </c>
      <c r="F2930" s="3" t="str">
        <f t="shared" si="0"/>
        <v>4 - Blanco/Nulo</v>
      </c>
      <c r="G2930" s="3">
        <v>119</v>
      </c>
      <c r="H2930" s="2"/>
    </row>
    <row r="2931" spans="1:8" ht="12.75" hidden="1" x14ac:dyDescent="0.2">
      <c r="A2931" s="3" t="s">
        <v>176</v>
      </c>
      <c r="B2931" s="3">
        <v>78</v>
      </c>
      <c r="C2931" s="4" t="s">
        <v>101</v>
      </c>
      <c r="D2931" s="3" t="s">
        <v>125</v>
      </c>
      <c r="E2931" s="3" t="s">
        <v>3</v>
      </c>
      <c r="F2931" s="3" t="str">
        <f t="shared" si="0"/>
        <v>1 - PJ</v>
      </c>
      <c r="G2931" s="3">
        <v>69</v>
      </c>
      <c r="H2931" s="2"/>
    </row>
    <row r="2932" spans="1:8" ht="12.75" hidden="1" x14ac:dyDescent="0.2">
      <c r="A2932" s="3" t="s">
        <v>176</v>
      </c>
      <c r="B2932" s="3">
        <v>78</v>
      </c>
      <c r="C2932" s="4" t="s">
        <v>101</v>
      </c>
      <c r="D2932" s="3" t="s">
        <v>125</v>
      </c>
      <c r="E2932" s="3" t="s">
        <v>16</v>
      </c>
      <c r="F2932" s="3" t="str">
        <f t="shared" si="0"/>
        <v>3 - Otros</v>
      </c>
      <c r="G2932" s="3">
        <v>5</v>
      </c>
      <c r="H2932" s="2"/>
    </row>
    <row r="2933" spans="1:8" ht="12.75" hidden="1" x14ac:dyDescent="0.2">
      <c r="A2933" s="3" t="s">
        <v>176</v>
      </c>
      <c r="B2933" s="3">
        <v>78</v>
      </c>
      <c r="C2933" s="4" t="s">
        <v>101</v>
      </c>
      <c r="D2933" s="3" t="s">
        <v>125</v>
      </c>
      <c r="E2933" s="3" t="s">
        <v>129</v>
      </c>
      <c r="F2933" s="3" t="str">
        <f t="shared" si="0"/>
        <v>3 - Otros</v>
      </c>
      <c r="G2933" s="3">
        <v>3</v>
      </c>
      <c r="H2933" s="2"/>
    </row>
    <row r="2934" spans="1:8" ht="12.75" hidden="1" x14ac:dyDescent="0.2">
      <c r="A2934" s="3" t="s">
        <v>176</v>
      </c>
      <c r="B2934" s="3">
        <v>78</v>
      </c>
      <c r="C2934" s="4" t="s">
        <v>101</v>
      </c>
      <c r="D2934" s="3" t="s">
        <v>125</v>
      </c>
      <c r="E2934" s="3" t="s">
        <v>132</v>
      </c>
      <c r="F2934" s="3" t="str">
        <f t="shared" si="0"/>
        <v>2 - Frepam</v>
      </c>
      <c r="G2934" s="3">
        <v>2</v>
      </c>
      <c r="H2934" s="2"/>
    </row>
    <row r="2935" spans="1:8" ht="12.75" hidden="1" x14ac:dyDescent="0.2">
      <c r="A2935" s="3" t="s">
        <v>176</v>
      </c>
      <c r="B2935" s="3">
        <v>78</v>
      </c>
      <c r="C2935" s="4" t="s">
        <v>101</v>
      </c>
      <c r="D2935" s="3" t="s">
        <v>125</v>
      </c>
      <c r="E2935" s="3" t="s">
        <v>134</v>
      </c>
      <c r="F2935" s="3" t="str">
        <f t="shared" si="0"/>
        <v>3 - Otros</v>
      </c>
      <c r="G2935" s="3">
        <v>3</v>
      </c>
      <c r="H2935" s="2"/>
    </row>
    <row r="2936" spans="1:8" ht="12.75" hidden="1" x14ac:dyDescent="0.2">
      <c r="A2936" s="3" t="s">
        <v>176</v>
      </c>
      <c r="B2936" s="3">
        <v>78</v>
      </c>
      <c r="C2936" s="4" t="s">
        <v>101</v>
      </c>
      <c r="D2936" s="3" t="s">
        <v>125</v>
      </c>
      <c r="E2936" s="3" t="s">
        <v>152</v>
      </c>
      <c r="F2936" s="3" t="str">
        <f t="shared" si="0"/>
        <v>2 - Frepam</v>
      </c>
      <c r="G2936" s="3">
        <v>111</v>
      </c>
      <c r="H2936" s="2"/>
    </row>
    <row r="2937" spans="1:8" ht="12.75" hidden="1" x14ac:dyDescent="0.2">
      <c r="A2937" s="3" t="s">
        <v>176</v>
      </c>
      <c r="B2937" s="3">
        <v>78</v>
      </c>
      <c r="C2937" s="4" t="s">
        <v>101</v>
      </c>
      <c r="D2937" s="3" t="s">
        <v>125</v>
      </c>
      <c r="E2937" s="3" t="s">
        <v>138</v>
      </c>
      <c r="F2937" s="3" t="str">
        <f t="shared" si="0"/>
        <v>4 - Blanco/Nulo</v>
      </c>
      <c r="G2937" s="3">
        <v>12</v>
      </c>
      <c r="H2937" s="2"/>
    </row>
    <row r="2938" spans="1:8" ht="12.75" hidden="1" x14ac:dyDescent="0.2">
      <c r="A2938" s="3" t="s">
        <v>176</v>
      </c>
      <c r="B2938" s="3">
        <v>78</v>
      </c>
      <c r="C2938" s="4" t="s">
        <v>101</v>
      </c>
      <c r="D2938" s="3" t="s">
        <v>125</v>
      </c>
      <c r="E2938" s="3" t="s">
        <v>14</v>
      </c>
      <c r="F2938" s="3" t="str">
        <f t="shared" si="0"/>
        <v>4 - Blanco/Nulo</v>
      </c>
      <c r="G2938" s="3">
        <v>7</v>
      </c>
      <c r="H2938" s="2"/>
    </row>
    <row r="2939" spans="1:8" ht="12.75" hidden="1" x14ac:dyDescent="0.2">
      <c r="A2939" s="3" t="s">
        <v>176</v>
      </c>
      <c r="B2939" s="3">
        <v>79</v>
      </c>
      <c r="C2939" s="4" t="s">
        <v>102</v>
      </c>
      <c r="D2939" s="3" t="s">
        <v>125</v>
      </c>
      <c r="E2939" s="3" t="s">
        <v>3</v>
      </c>
      <c r="F2939" s="3" t="str">
        <f t="shared" si="0"/>
        <v>1 - PJ</v>
      </c>
      <c r="G2939" s="3">
        <v>276</v>
      </c>
      <c r="H2939" s="2"/>
    </row>
    <row r="2940" spans="1:8" ht="12.75" hidden="1" x14ac:dyDescent="0.2">
      <c r="A2940" s="3" t="s">
        <v>176</v>
      </c>
      <c r="B2940" s="3">
        <v>79</v>
      </c>
      <c r="C2940" s="4" t="s">
        <v>102</v>
      </c>
      <c r="D2940" s="3" t="s">
        <v>125</v>
      </c>
      <c r="E2940" s="3" t="s">
        <v>16</v>
      </c>
      <c r="F2940" s="3" t="str">
        <f t="shared" si="0"/>
        <v>3 - Otros</v>
      </c>
      <c r="G2940" s="3">
        <v>11</v>
      </c>
      <c r="H2940" s="2"/>
    </row>
    <row r="2941" spans="1:8" ht="12.75" hidden="1" x14ac:dyDescent="0.2">
      <c r="A2941" s="3" t="s">
        <v>176</v>
      </c>
      <c r="B2941" s="3">
        <v>79</v>
      </c>
      <c r="C2941" s="4" t="s">
        <v>102</v>
      </c>
      <c r="D2941" s="3" t="s">
        <v>125</v>
      </c>
      <c r="E2941" s="3" t="s">
        <v>129</v>
      </c>
      <c r="F2941" s="3" t="str">
        <f t="shared" si="0"/>
        <v>3 - Otros</v>
      </c>
      <c r="G2941" s="3">
        <v>8</v>
      </c>
      <c r="H2941" s="2"/>
    </row>
    <row r="2942" spans="1:8" ht="12.75" hidden="1" x14ac:dyDescent="0.2">
      <c r="A2942" s="3" t="s">
        <v>176</v>
      </c>
      <c r="B2942" s="3">
        <v>79</v>
      </c>
      <c r="C2942" s="4" t="s">
        <v>102</v>
      </c>
      <c r="D2942" s="3" t="s">
        <v>125</v>
      </c>
      <c r="E2942" s="3" t="s">
        <v>132</v>
      </c>
      <c r="F2942" s="3" t="str">
        <f t="shared" si="0"/>
        <v>2 - Frepam</v>
      </c>
      <c r="G2942" s="3">
        <v>91</v>
      </c>
      <c r="H2942" s="2"/>
    </row>
    <row r="2943" spans="1:8" ht="12.75" hidden="1" x14ac:dyDescent="0.2">
      <c r="A2943" s="3" t="s">
        <v>176</v>
      </c>
      <c r="B2943" s="3">
        <v>79</v>
      </c>
      <c r="C2943" s="4" t="s">
        <v>102</v>
      </c>
      <c r="D2943" s="3" t="s">
        <v>125</v>
      </c>
      <c r="E2943" s="3" t="s">
        <v>134</v>
      </c>
      <c r="F2943" s="3" t="str">
        <f t="shared" si="0"/>
        <v>3 - Otros</v>
      </c>
      <c r="G2943" s="3">
        <v>18</v>
      </c>
      <c r="H2943" s="2"/>
    </row>
    <row r="2944" spans="1:8" ht="12.75" hidden="1" x14ac:dyDescent="0.2">
      <c r="A2944" s="3" t="s">
        <v>176</v>
      </c>
      <c r="B2944" s="3">
        <v>79</v>
      </c>
      <c r="C2944" s="4" t="s">
        <v>102</v>
      </c>
      <c r="D2944" s="3" t="s">
        <v>125</v>
      </c>
      <c r="E2944" s="3" t="s">
        <v>152</v>
      </c>
      <c r="F2944" s="3" t="str">
        <f t="shared" si="0"/>
        <v>2 - Frepam</v>
      </c>
      <c r="G2944" s="3">
        <v>470</v>
      </c>
      <c r="H2944" s="2"/>
    </row>
    <row r="2945" spans="1:8" ht="12.75" hidden="1" x14ac:dyDescent="0.2">
      <c r="A2945" s="3" t="s">
        <v>176</v>
      </c>
      <c r="B2945" s="3">
        <v>79</v>
      </c>
      <c r="C2945" s="4" t="s">
        <v>102</v>
      </c>
      <c r="D2945" s="3" t="s">
        <v>125</v>
      </c>
      <c r="E2945" s="3" t="s">
        <v>138</v>
      </c>
      <c r="F2945" s="3" t="str">
        <f t="shared" si="0"/>
        <v>4 - Blanco/Nulo</v>
      </c>
      <c r="G2945" s="3">
        <v>40</v>
      </c>
      <c r="H2945" s="2"/>
    </row>
    <row r="2946" spans="1:8" ht="12.75" hidden="1" x14ac:dyDescent="0.2">
      <c r="A2946" s="3" t="s">
        <v>176</v>
      </c>
      <c r="B2946" s="3">
        <v>79</v>
      </c>
      <c r="C2946" s="4" t="s">
        <v>102</v>
      </c>
      <c r="D2946" s="3" t="s">
        <v>125</v>
      </c>
      <c r="E2946" s="3" t="s">
        <v>14</v>
      </c>
      <c r="F2946" s="3" t="str">
        <f t="shared" si="0"/>
        <v>4 - Blanco/Nulo</v>
      </c>
      <c r="G2946" s="3">
        <v>23</v>
      </c>
      <c r="H2946" s="2"/>
    </row>
    <row r="2947" spans="1:8" ht="12.75" hidden="1" x14ac:dyDescent="0.2">
      <c r="A2947" s="3" t="s">
        <v>176</v>
      </c>
      <c r="B2947" s="3">
        <v>80</v>
      </c>
      <c r="C2947" s="4" t="s">
        <v>103</v>
      </c>
      <c r="D2947" s="3" t="s">
        <v>125</v>
      </c>
      <c r="E2947" s="3" t="s">
        <v>3</v>
      </c>
      <c r="F2947" s="3" t="str">
        <f t="shared" si="0"/>
        <v>1 - PJ</v>
      </c>
      <c r="G2947" s="3">
        <v>95</v>
      </c>
      <c r="H2947" s="2"/>
    </row>
    <row r="2948" spans="1:8" ht="12.75" hidden="1" x14ac:dyDescent="0.2">
      <c r="A2948" s="3" t="s">
        <v>176</v>
      </c>
      <c r="B2948" s="3">
        <v>80</v>
      </c>
      <c r="C2948" s="4" t="s">
        <v>103</v>
      </c>
      <c r="D2948" s="3" t="s">
        <v>125</v>
      </c>
      <c r="E2948" s="3" t="s">
        <v>16</v>
      </c>
      <c r="F2948" s="3" t="str">
        <f t="shared" si="0"/>
        <v>3 - Otros</v>
      </c>
      <c r="G2948" s="3">
        <v>0</v>
      </c>
      <c r="H2948" s="2"/>
    </row>
    <row r="2949" spans="1:8" ht="12.75" hidden="1" x14ac:dyDescent="0.2">
      <c r="A2949" s="3" t="s">
        <v>176</v>
      </c>
      <c r="B2949" s="3">
        <v>80</v>
      </c>
      <c r="C2949" s="4" t="s">
        <v>103</v>
      </c>
      <c r="D2949" s="3" t="s">
        <v>125</v>
      </c>
      <c r="E2949" s="3" t="s">
        <v>129</v>
      </c>
      <c r="F2949" s="3" t="str">
        <f t="shared" si="0"/>
        <v>3 - Otros</v>
      </c>
      <c r="G2949" s="3">
        <v>3</v>
      </c>
      <c r="H2949" s="2"/>
    </row>
    <row r="2950" spans="1:8" ht="12.75" hidden="1" x14ac:dyDescent="0.2">
      <c r="A2950" s="3" t="s">
        <v>176</v>
      </c>
      <c r="B2950" s="3">
        <v>80</v>
      </c>
      <c r="C2950" s="4" t="s">
        <v>103</v>
      </c>
      <c r="D2950" s="3" t="s">
        <v>125</v>
      </c>
      <c r="E2950" s="3" t="s">
        <v>132</v>
      </c>
      <c r="F2950" s="3" t="str">
        <f t="shared" si="0"/>
        <v>2 - Frepam</v>
      </c>
      <c r="G2950" s="3">
        <v>2</v>
      </c>
      <c r="H2950" s="2"/>
    </row>
    <row r="2951" spans="1:8" ht="12.75" hidden="1" x14ac:dyDescent="0.2">
      <c r="A2951" s="3" t="s">
        <v>176</v>
      </c>
      <c r="B2951" s="3">
        <v>80</v>
      </c>
      <c r="C2951" s="4" t="s">
        <v>103</v>
      </c>
      <c r="D2951" s="3" t="s">
        <v>125</v>
      </c>
      <c r="E2951" s="3" t="s">
        <v>134</v>
      </c>
      <c r="F2951" s="3" t="str">
        <f t="shared" si="0"/>
        <v>3 - Otros</v>
      </c>
      <c r="G2951" s="3">
        <v>3</v>
      </c>
      <c r="H2951" s="2"/>
    </row>
    <row r="2952" spans="1:8" ht="12.75" hidden="1" x14ac:dyDescent="0.2">
      <c r="A2952" s="3" t="s">
        <v>176</v>
      </c>
      <c r="B2952" s="3">
        <v>80</v>
      </c>
      <c r="C2952" s="4" t="s">
        <v>103</v>
      </c>
      <c r="D2952" s="3" t="s">
        <v>125</v>
      </c>
      <c r="E2952" s="3" t="s">
        <v>152</v>
      </c>
      <c r="F2952" s="3" t="str">
        <f t="shared" si="0"/>
        <v>2 - Frepam</v>
      </c>
      <c r="G2952" s="3">
        <v>53</v>
      </c>
      <c r="H2952" s="2"/>
    </row>
    <row r="2953" spans="1:8" ht="12.75" hidden="1" x14ac:dyDescent="0.2">
      <c r="A2953" s="3" t="s">
        <v>176</v>
      </c>
      <c r="B2953" s="3">
        <v>80</v>
      </c>
      <c r="C2953" s="4" t="s">
        <v>103</v>
      </c>
      <c r="D2953" s="3" t="s">
        <v>125</v>
      </c>
      <c r="E2953" s="3" t="s">
        <v>138</v>
      </c>
      <c r="F2953" s="3" t="str">
        <f t="shared" si="0"/>
        <v>4 - Blanco/Nulo</v>
      </c>
      <c r="G2953" s="3">
        <v>1</v>
      </c>
      <c r="H2953" s="2"/>
    </row>
    <row r="2954" spans="1:8" ht="12.75" hidden="1" x14ac:dyDescent="0.2">
      <c r="A2954" s="3" t="s">
        <v>176</v>
      </c>
      <c r="B2954" s="3">
        <v>80</v>
      </c>
      <c r="C2954" s="4" t="s">
        <v>103</v>
      </c>
      <c r="D2954" s="3" t="s">
        <v>125</v>
      </c>
      <c r="E2954" s="3" t="s">
        <v>14</v>
      </c>
      <c r="F2954" s="3" t="str">
        <f t="shared" si="0"/>
        <v>4 - Blanco/Nulo</v>
      </c>
      <c r="G2954" s="3">
        <v>2</v>
      </c>
      <c r="H2954" s="2"/>
    </row>
    <row r="2955" spans="1:8" ht="12.75" hidden="1" x14ac:dyDescent="0.2">
      <c r="A2955" s="3" t="s">
        <v>176</v>
      </c>
      <c r="B2955" s="3">
        <v>81</v>
      </c>
      <c r="C2955" s="4" t="s">
        <v>104</v>
      </c>
      <c r="D2955" s="3" t="s">
        <v>125</v>
      </c>
      <c r="E2955" s="3" t="s">
        <v>3</v>
      </c>
      <c r="F2955" s="3" t="str">
        <f t="shared" si="0"/>
        <v>1 - PJ</v>
      </c>
      <c r="G2955" s="3">
        <v>1420</v>
      </c>
      <c r="H2955" s="2"/>
    </row>
    <row r="2956" spans="1:8" ht="12.75" hidden="1" x14ac:dyDescent="0.2">
      <c r="A2956" s="3" t="s">
        <v>176</v>
      </c>
      <c r="B2956" s="3">
        <v>81</v>
      </c>
      <c r="C2956" s="4" t="s">
        <v>104</v>
      </c>
      <c r="D2956" s="3" t="s">
        <v>125</v>
      </c>
      <c r="E2956" s="3" t="s">
        <v>16</v>
      </c>
      <c r="F2956" s="3" t="str">
        <f t="shared" si="0"/>
        <v>3 - Otros</v>
      </c>
      <c r="G2956" s="3">
        <v>23</v>
      </c>
      <c r="H2956" s="2"/>
    </row>
    <row r="2957" spans="1:8" ht="12.75" hidden="1" x14ac:dyDescent="0.2">
      <c r="A2957" s="3" t="s">
        <v>176</v>
      </c>
      <c r="B2957" s="3">
        <v>81</v>
      </c>
      <c r="C2957" s="4" t="s">
        <v>104</v>
      </c>
      <c r="D2957" s="3" t="s">
        <v>125</v>
      </c>
      <c r="E2957" s="3" t="s">
        <v>129</v>
      </c>
      <c r="F2957" s="3" t="str">
        <f t="shared" si="0"/>
        <v>3 - Otros</v>
      </c>
      <c r="G2957" s="3">
        <v>18</v>
      </c>
      <c r="H2957" s="2"/>
    </row>
    <row r="2958" spans="1:8" ht="12.75" hidden="1" x14ac:dyDescent="0.2">
      <c r="A2958" s="3" t="s">
        <v>176</v>
      </c>
      <c r="B2958" s="3">
        <v>81</v>
      </c>
      <c r="C2958" s="4" t="s">
        <v>104</v>
      </c>
      <c r="D2958" s="3" t="s">
        <v>125</v>
      </c>
      <c r="E2958" s="3" t="s">
        <v>132</v>
      </c>
      <c r="F2958" s="3" t="str">
        <f t="shared" si="0"/>
        <v>2 - Frepam</v>
      </c>
      <c r="G2958" s="3">
        <v>79</v>
      </c>
      <c r="H2958" s="2"/>
    </row>
    <row r="2959" spans="1:8" ht="12.75" hidden="1" x14ac:dyDescent="0.2">
      <c r="A2959" s="3" t="s">
        <v>176</v>
      </c>
      <c r="B2959" s="3">
        <v>81</v>
      </c>
      <c r="C2959" s="4" t="s">
        <v>104</v>
      </c>
      <c r="D2959" s="3" t="s">
        <v>125</v>
      </c>
      <c r="E2959" s="3" t="s">
        <v>134</v>
      </c>
      <c r="F2959" s="3" t="str">
        <f t="shared" si="0"/>
        <v>3 - Otros</v>
      </c>
      <c r="G2959" s="3">
        <v>38</v>
      </c>
      <c r="H2959" s="2"/>
    </row>
    <row r="2960" spans="1:8" ht="12.75" hidden="1" x14ac:dyDescent="0.2">
      <c r="A2960" s="3" t="s">
        <v>176</v>
      </c>
      <c r="B2960" s="3">
        <v>81</v>
      </c>
      <c r="C2960" s="4" t="s">
        <v>104</v>
      </c>
      <c r="D2960" s="3" t="s">
        <v>125</v>
      </c>
      <c r="E2960" s="3" t="s">
        <v>152</v>
      </c>
      <c r="F2960" s="3" t="str">
        <f t="shared" si="0"/>
        <v>2 - Frepam</v>
      </c>
      <c r="G2960" s="3">
        <v>1448</v>
      </c>
      <c r="H2960" s="2"/>
    </row>
    <row r="2961" spans="1:8" ht="12.75" hidden="1" x14ac:dyDescent="0.2">
      <c r="A2961" s="3" t="s">
        <v>176</v>
      </c>
      <c r="B2961" s="3">
        <v>81</v>
      </c>
      <c r="C2961" s="4" t="s">
        <v>104</v>
      </c>
      <c r="D2961" s="3" t="s">
        <v>125</v>
      </c>
      <c r="E2961" s="3" t="s">
        <v>138</v>
      </c>
      <c r="F2961" s="3" t="str">
        <f t="shared" si="0"/>
        <v>4 - Blanco/Nulo</v>
      </c>
      <c r="G2961" s="3">
        <v>133</v>
      </c>
      <c r="H2961" s="2"/>
    </row>
    <row r="2962" spans="1:8" ht="12.75" hidden="1" x14ac:dyDescent="0.2">
      <c r="A2962" s="3" t="s">
        <v>176</v>
      </c>
      <c r="B2962" s="3">
        <v>81</v>
      </c>
      <c r="C2962" s="4" t="s">
        <v>104</v>
      </c>
      <c r="D2962" s="3" t="s">
        <v>125</v>
      </c>
      <c r="E2962" s="3" t="s">
        <v>14</v>
      </c>
      <c r="F2962" s="3" t="str">
        <f t="shared" si="0"/>
        <v>4 - Blanco/Nulo</v>
      </c>
      <c r="G2962" s="3">
        <v>50</v>
      </c>
      <c r="H2962" s="2"/>
    </row>
    <row r="2963" spans="1:8" ht="12.75" hidden="1" x14ac:dyDescent="0.2">
      <c r="A2963" s="3" t="s">
        <v>176</v>
      </c>
      <c r="B2963" s="3">
        <v>82</v>
      </c>
      <c r="C2963" s="4" t="s">
        <v>105</v>
      </c>
      <c r="D2963" s="3" t="s">
        <v>125</v>
      </c>
      <c r="E2963" s="3" t="s">
        <v>3</v>
      </c>
      <c r="F2963" s="3" t="str">
        <f t="shared" si="0"/>
        <v>1 - PJ</v>
      </c>
      <c r="G2963" s="3">
        <v>1930</v>
      </c>
      <c r="H2963" s="2"/>
    </row>
    <row r="2964" spans="1:8" ht="12.75" hidden="1" x14ac:dyDescent="0.2">
      <c r="A2964" s="3" t="s">
        <v>176</v>
      </c>
      <c r="B2964" s="3">
        <v>82</v>
      </c>
      <c r="C2964" s="4" t="s">
        <v>105</v>
      </c>
      <c r="D2964" s="3" t="s">
        <v>125</v>
      </c>
      <c r="E2964" s="3" t="s">
        <v>16</v>
      </c>
      <c r="F2964" s="3" t="str">
        <f t="shared" si="0"/>
        <v>3 - Otros</v>
      </c>
      <c r="G2964" s="3">
        <v>64</v>
      </c>
      <c r="H2964" s="2"/>
    </row>
    <row r="2965" spans="1:8" ht="12.75" hidden="1" x14ac:dyDescent="0.2">
      <c r="A2965" s="3" t="s">
        <v>176</v>
      </c>
      <c r="B2965" s="3">
        <v>82</v>
      </c>
      <c r="C2965" s="4" t="s">
        <v>105</v>
      </c>
      <c r="D2965" s="3" t="s">
        <v>125</v>
      </c>
      <c r="E2965" s="3" t="s">
        <v>129</v>
      </c>
      <c r="F2965" s="3" t="str">
        <f t="shared" si="0"/>
        <v>3 - Otros</v>
      </c>
      <c r="G2965" s="3">
        <v>56</v>
      </c>
      <c r="H2965" s="2"/>
    </row>
    <row r="2966" spans="1:8" ht="12.75" hidden="1" x14ac:dyDescent="0.2">
      <c r="A2966" s="3" t="s">
        <v>176</v>
      </c>
      <c r="B2966" s="3">
        <v>82</v>
      </c>
      <c r="C2966" s="4" t="s">
        <v>105</v>
      </c>
      <c r="D2966" s="3" t="s">
        <v>125</v>
      </c>
      <c r="E2966" s="3" t="s">
        <v>132</v>
      </c>
      <c r="F2966" s="3" t="str">
        <f t="shared" si="0"/>
        <v>2 - Frepam</v>
      </c>
      <c r="G2966" s="3">
        <v>126</v>
      </c>
      <c r="H2966" s="2"/>
    </row>
    <row r="2967" spans="1:8" ht="12.75" hidden="1" x14ac:dyDescent="0.2">
      <c r="A2967" s="3" t="s">
        <v>176</v>
      </c>
      <c r="B2967" s="3">
        <v>82</v>
      </c>
      <c r="C2967" s="4" t="s">
        <v>105</v>
      </c>
      <c r="D2967" s="3" t="s">
        <v>125</v>
      </c>
      <c r="E2967" s="3" t="s">
        <v>134</v>
      </c>
      <c r="F2967" s="3" t="str">
        <f t="shared" si="0"/>
        <v>3 - Otros</v>
      </c>
      <c r="G2967" s="3">
        <v>90</v>
      </c>
      <c r="H2967" s="2"/>
    </row>
    <row r="2968" spans="1:8" ht="12.75" hidden="1" x14ac:dyDescent="0.2">
      <c r="A2968" s="3" t="s">
        <v>176</v>
      </c>
      <c r="B2968" s="3">
        <v>82</v>
      </c>
      <c r="C2968" s="4" t="s">
        <v>105</v>
      </c>
      <c r="D2968" s="3" t="s">
        <v>125</v>
      </c>
      <c r="E2968" s="3" t="s">
        <v>152</v>
      </c>
      <c r="F2968" s="3" t="str">
        <f t="shared" si="0"/>
        <v>2 - Frepam</v>
      </c>
      <c r="G2968" s="3">
        <v>2386</v>
      </c>
      <c r="H2968" s="2"/>
    </row>
    <row r="2969" spans="1:8" ht="12.75" hidden="1" x14ac:dyDescent="0.2">
      <c r="A2969" s="3" t="s">
        <v>176</v>
      </c>
      <c r="B2969" s="3">
        <v>82</v>
      </c>
      <c r="C2969" s="4" t="s">
        <v>105</v>
      </c>
      <c r="D2969" s="3" t="s">
        <v>125</v>
      </c>
      <c r="E2969" s="3" t="s">
        <v>138</v>
      </c>
      <c r="F2969" s="3" t="str">
        <f t="shared" si="0"/>
        <v>4 - Blanco/Nulo</v>
      </c>
      <c r="G2969" s="3">
        <v>291</v>
      </c>
      <c r="H2969" s="2"/>
    </row>
    <row r="2970" spans="1:8" ht="12.75" hidden="1" x14ac:dyDescent="0.2">
      <c r="A2970" s="3" t="s">
        <v>176</v>
      </c>
      <c r="B2970" s="3">
        <v>82</v>
      </c>
      <c r="C2970" s="4" t="s">
        <v>105</v>
      </c>
      <c r="D2970" s="3" t="s">
        <v>125</v>
      </c>
      <c r="E2970" s="3" t="s">
        <v>14</v>
      </c>
      <c r="F2970" s="3" t="str">
        <f t="shared" si="0"/>
        <v>4 - Blanco/Nulo</v>
      </c>
      <c r="G2970" s="3">
        <v>83</v>
      </c>
      <c r="H2970" s="2"/>
    </row>
    <row r="2971" spans="1:8" ht="12.75" hidden="1" x14ac:dyDescent="0.2">
      <c r="A2971" s="3" t="s">
        <v>176</v>
      </c>
      <c r="B2971" s="3">
        <v>83</v>
      </c>
      <c r="C2971" s="4" t="s">
        <v>157</v>
      </c>
      <c r="D2971" s="3" t="s">
        <v>125</v>
      </c>
      <c r="E2971" s="3" t="s">
        <v>3</v>
      </c>
      <c r="F2971" s="3" t="str">
        <f t="shared" si="0"/>
        <v>1 - PJ</v>
      </c>
      <c r="G2971" s="3">
        <v>0</v>
      </c>
      <c r="H2971" s="2"/>
    </row>
    <row r="2972" spans="1:8" ht="12.75" hidden="1" x14ac:dyDescent="0.2">
      <c r="A2972" s="3" t="s">
        <v>176</v>
      </c>
      <c r="B2972" s="3">
        <v>83</v>
      </c>
      <c r="C2972" s="4" t="s">
        <v>157</v>
      </c>
      <c r="D2972" s="3" t="s">
        <v>125</v>
      </c>
      <c r="E2972" s="3" t="s">
        <v>16</v>
      </c>
      <c r="F2972" s="3" t="str">
        <f t="shared" si="0"/>
        <v>3 - Otros</v>
      </c>
      <c r="G2972" s="3">
        <v>0</v>
      </c>
      <c r="H2972" s="2"/>
    </row>
    <row r="2973" spans="1:8" ht="12.75" hidden="1" x14ac:dyDescent="0.2">
      <c r="A2973" s="3" t="s">
        <v>176</v>
      </c>
      <c r="B2973" s="3">
        <v>83</v>
      </c>
      <c r="C2973" s="4" t="s">
        <v>157</v>
      </c>
      <c r="D2973" s="3" t="s">
        <v>125</v>
      </c>
      <c r="E2973" s="3" t="s">
        <v>129</v>
      </c>
      <c r="F2973" s="3" t="str">
        <f t="shared" si="0"/>
        <v>3 - Otros</v>
      </c>
      <c r="G2973" s="3">
        <v>0</v>
      </c>
      <c r="H2973" s="2"/>
    </row>
    <row r="2974" spans="1:8" ht="12.75" hidden="1" x14ac:dyDescent="0.2">
      <c r="A2974" s="3" t="s">
        <v>176</v>
      </c>
      <c r="B2974" s="3">
        <v>83</v>
      </c>
      <c r="C2974" s="4" t="s">
        <v>157</v>
      </c>
      <c r="D2974" s="3" t="s">
        <v>125</v>
      </c>
      <c r="E2974" s="3" t="s">
        <v>132</v>
      </c>
      <c r="F2974" s="3" t="str">
        <f t="shared" si="0"/>
        <v>2 - Frepam</v>
      </c>
      <c r="G2974" s="3">
        <v>0</v>
      </c>
      <c r="H2974" s="2"/>
    </row>
    <row r="2975" spans="1:8" ht="12.75" hidden="1" x14ac:dyDescent="0.2">
      <c r="A2975" s="3" t="s">
        <v>176</v>
      </c>
      <c r="B2975" s="3">
        <v>83</v>
      </c>
      <c r="C2975" s="4" t="s">
        <v>157</v>
      </c>
      <c r="D2975" s="3" t="s">
        <v>125</v>
      </c>
      <c r="E2975" s="3" t="s">
        <v>134</v>
      </c>
      <c r="F2975" s="3" t="str">
        <f t="shared" si="0"/>
        <v>3 - Otros</v>
      </c>
      <c r="G2975" s="3">
        <v>1</v>
      </c>
      <c r="H2975" s="2"/>
    </row>
    <row r="2976" spans="1:8" ht="12.75" hidden="1" x14ac:dyDescent="0.2">
      <c r="A2976" s="3" t="s">
        <v>176</v>
      </c>
      <c r="B2976" s="3">
        <v>83</v>
      </c>
      <c r="C2976" s="4" t="s">
        <v>157</v>
      </c>
      <c r="D2976" s="3" t="s">
        <v>125</v>
      </c>
      <c r="E2976" s="3" t="s">
        <v>152</v>
      </c>
      <c r="F2976" s="3" t="str">
        <f t="shared" si="0"/>
        <v>2 - Frepam</v>
      </c>
      <c r="G2976" s="3">
        <v>1</v>
      </c>
      <c r="H2976" s="2"/>
    </row>
    <row r="2977" spans="1:8" ht="12.75" hidden="1" x14ac:dyDescent="0.2">
      <c r="A2977" s="3" t="s">
        <v>176</v>
      </c>
      <c r="B2977" s="3">
        <v>83</v>
      </c>
      <c r="C2977" s="4" t="s">
        <v>157</v>
      </c>
      <c r="D2977" s="3" t="s">
        <v>125</v>
      </c>
      <c r="E2977" s="3" t="s">
        <v>138</v>
      </c>
      <c r="F2977" s="3" t="str">
        <f t="shared" si="0"/>
        <v>4 - Blanco/Nulo</v>
      </c>
      <c r="G2977" s="3">
        <v>0</v>
      </c>
      <c r="H2977" s="2"/>
    </row>
    <row r="2978" spans="1:8" ht="12.75" hidden="1" x14ac:dyDescent="0.2">
      <c r="A2978" s="3" t="s">
        <v>176</v>
      </c>
      <c r="B2978" s="3">
        <v>83</v>
      </c>
      <c r="C2978" s="4" t="s">
        <v>157</v>
      </c>
      <c r="D2978" s="3" t="s">
        <v>125</v>
      </c>
      <c r="E2978" s="3" t="s">
        <v>14</v>
      </c>
      <c r="F2978" s="3" t="str">
        <f t="shared" si="0"/>
        <v>4 - Blanco/Nulo</v>
      </c>
      <c r="G2978" s="3">
        <v>0</v>
      </c>
      <c r="H2978" s="2"/>
    </row>
    <row r="2979" spans="1:8" ht="12.75" hidden="1" x14ac:dyDescent="0.2">
      <c r="A2979" s="3" t="s">
        <v>176</v>
      </c>
      <c r="B2979" s="3">
        <v>84</v>
      </c>
      <c r="C2979" s="4" t="s">
        <v>158</v>
      </c>
      <c r="D2979" s="3" t="s">
        <v>125</v>
      </c>
      <c r="E2979" s="3" t="s">
        <v>3</v>
      </c>
      <c r="F2979" s="3" t="str">
        <f t="shared" si="0"/>
        <v>1 - PJ</v>
      </c>
      <c r="G2979" s="3">
        <v>0</v>
      </c>
      <c r="H2979" s="2"/>
    </row>
    <row r="2980" spans="1:8" ht="12.75" hidden="1" x14ac:dyDescent="0.2">
      <c r="A2980" s="3" t="s">
        <v>176</v>
      </c>
      <c r="B2980" s="3">
        <v>84</v>
      </c>
      <c r="C2980" s="4" t="s">
        <v>158</v>
      </c>
      <c r="D2980" s="3" t="s">
        <v>125</v>
      </c>
      <c r="E2980" s="3" t="s">
        <v>16</v>
      </c>
      <c r="F2980" s="3" t="str">
        <f t="shared" si="0"/>
        <v>3 - Otros</v>
      </c>
      <c r="G2980" s="3">
        <v>0</v>
      </c>
      <c r="H2980" s="2"/>
    </row>
    <row r="2981" spans="1:8" ht="12.75" hidden="1" x14ac:dyDescent="0.2">
      <c r="A2981" s="3" t="s">
        <v>176</v>
      </c>
      <c r="B2981" s="3">
        <v>84</v>
      </c>
      <c r="C2981" s="4" t="s">
        <v>158</v>
      </c>
      <c r="D2981" s="3" t="s">
        <v>125</v>
      </c>
      <c r="E2981" s="3" t="s">
        <v>129</v>
      </c>
      <c r="F2981" s="3" t="str">
        <f t="shared" si="0"/>
        <v>3 - Otros</v>
      </c>
      <c r="G2981" s="3">
        <v>0</v>
      </c>
      <c r="H2981" s="2"/>
    </row>
    <row r="2982" spans="1:8" ht="12.75" hidden="1" x14ac:dyDescent="0.2">
      <c r="A2982" s="3" t="s">
        <v>176</v>
      </c>
      <c r="B2982" s="3">
        <v>84</v>
      </c>
      <c r="C2982" s="4" t="s">
        <v>158</v>
      </c>
      <c r="D2982" s="3" t="s">
        <v>125</v>
      </c>
      <c r="E2982" s="3" t="s">
        <v>132</v>
      </c>
      <c r="F2982" s="3" t="str">
        <f t="shared" si="0"/>
        <v>2 - Frepam</v>
      </c>
      <c r="G2982" s="3">
        <v>0</v>
      </c>
      <c r="H2982" s="2"/>
    </row>
    <row r="2983" spans="1:8" ht="12.75" hidden="1" x14ac:dyDescent="0.2">
      <c r="A2983" s="3" t="s">
        <v>176</v>
      </c>
      <c r="B2983" s="3">
        <v>84</v>
      </c>
      <c r="C2983" s="4" t="s">
        <v>158</v>
      </c>
      <c r="D2983" s="3" t="s">
        <v>125</v>
      </c>
      <c r="E2983" s="3" t="s">
        <v>134</v>
      </c>
      <c r="F2983" s="3" t="str">
        <f t="shared" si="0"/>
        <v>3 - Otros</v>
      </c>
      <c r="G2983" s="3">
        <v>0</v>
      </c>
      <c r="H2983" s="2"/>
    </row>
    <row r="2984" spans="1:8" ht="12.75" hidden="1" x14ac:dyDescent="0.2">
      <c r="A2984" s="3" t="s">
        <v>176</v>
      </c>
      <c r="B2984" s="3">
        <v>84</v>
      </c>
      <c r="C2984" s="4" t="s">
        <v>158</v>
      </c>
      <c r="D2984" s="3" t="s">
        <v>125</v>
      </c>
      <c r="E2984" s="3" t="s">
        <v>152</v>
      </c>
      <c r="F2984" s="3" t="str">
        <f t="shared" si="0"/>
        <v>2 - Frepam</v>
      </c>
      <c r="G2984" s="3">
        <v>5</v>
      </c>
      <c r="H2984" s="2"/>
    </row>
    <row r="2985" spans="1:8" ht="12.75" hidden="1" x14ac:dyDescent="0.2">
      <c r="A2985" s="3" t="s">
        <v>176</v>
      </c>
      <c r="B2985" s="3">
        <v>84</v>
      </c>
      <c r="C2985" s="4" t="s">
        <v>158</v>
      </c>
      <c r="D2985" s="3" t="s">
        <v>125</v>
      </c>
      <c r="E2985" s="3" t="s">
        <v>138</v>
      </c>
      <c r="F2985" s="3" t="str">
        <f t="shared" si="0"/>
        <v>4 - Blanco/Nulo</v>
      </c>
      <c r="G2985" s="3">
        <v>0</v>
      </c>
      <c r="H2985" s="2"/>
    </row>
    <row r="2986" spans="1:8" ht="12.75" hidden="1" x14ac:dyDescent="0.2">
      <c r="A2986" s="3" t="s">
        <v>176</v>
      </c>
      <c r="B2986" s="3">
        <v>84</v>
      </c>
      <c r="C2986" s="4" t="s">
        <v>158</v>
      </c>
      <c r="D2986" s="3" t="s">
        <v>125</v>
      </c>
      <c r="E2986" s="3" t="s">
        <v>14</v>
      </c>
      <c r="F2986" s="3" t="str">
        <f t="shared" si="0"/>
        <v>4 - Blanco/Nulo</v>
      </c>
      <c r="G2986" s="3">
        <v>0</v>
      </c>
      <c r="H2986" s="2"/>
    </row>
    <row r="2987" spans="1:8" ht="12.75" hidden="1" x14ac:dyDescent="0.2">
      <c r="A2987" s="3" t="s">
        <v>176</v>
      </c>
      <c r="B2987" s="3">
        <v>85</v>
      </c>
      <c r="C2987" s="4" t="s">
        <v>159</v>
      </c>
      <c r="D2987" s="3" t="s">
        <v>125</v>
      </c>
      <c r="E2987" s="3" t="s">
        <v>3</v>
      </c>
      <c r="F2987" s="3" t="str">
        <f t="shared" si="0"/>
        <v>1 - PJ</v>
      </c>
      <c r="G2987" s="3">
        <v>2</v>
      </c>
      <c r="H2987" s="2"/>
    </row>
    <row r="2988" spans="1:8" ht="12.75" hidden="1" x14ac:dyDescent="0.2">
      <c r="A2988" s="3" t="s">
        <v>176</v>
      </c>
      <c r="B2988" s="3">
        <v>85</v>
      </c>
      <c r="C2988" s="4" t="s">
        <v>159</v>
      </c>
      <c r="D2988" s="3" t="s">
        <v>125</v>
      </c>
      <c r="E2988" s="3" t="s">
        <v>16</v>
      </c>
      <c r="F2988" s="3" t="str">
        <f t="shared" si="0"/>
        <v>3 - Otros</v>
      </c>
      <c r="G2988" s="3">
        <v>0</v>
      </c>
      <c r="H2988" s="2"/>
    </row>
    <row r="2989" spans="1:8" ht="12.75" hidden="1" x14ac:dyDescent="0.2">
      <c r="A2989" s="3" t="s">
        <v>176</v>
      </c>
      <c r="B2989" s="3">
        <v>85</v>
      </c>
      <c r="C2989" s="4" t="s">
        <v>159</v>
      </c>
      <c r="D2989" s="3" t="s">
        <v>125</v>
      </c>
      <c r="E2989" s="3" t="s">
        <v>129</v>
      </c>
      <c r="F2989" s="3" t="str">
        <f t="shared" si="0"/>
        <v>3 - Otros</v>
      </c>
      <c r="G2989" s="3">
        <v>0</v>
      </c>
      <c r="H2989" s="2"/>
    </row>
    <row r="2990" spans="1:8" ht="12.75" hidden="1" x14ac:dyDescent="0.2">
      <c r="A2990" s="3" t="s">
        <v>176</v>
      </c>
      <c r="B2990" s="3">
        <v>85</v>
      </c>
      <c r="C2990" s="4" t="s">
        <v>159</v>
      </c>
      <c r="D2990" s="3" t="s">
        <v>125</v>
      </c>
      <c r="E2990" s="3" t="s">
        <v>132</v>
      </c>
      <c r="F2990" s="3" t="str">
        <f t="shared" si="0"/>
        <v>2 - Frepam</v>
      </c>
      <c r="G2990" s="3">
        <v>0</v>
      </c>
      <c r="H2990" s="2"/>
    </row>
    <row r="2991" spans="1:8" ht="12.75" hidden="1" x14ac:dyDescent="0.2">
      <c r="A2991" s="3" t="s">
        <v>176</v>
      </c>
      <c r="B2991" s="3">
        <v>85</v>
      </c>
      <c r="C2991" s="4" t="s">
        <v>159</v>
      </c>
      <c r="D2991" s="3" t="s">
        <v>125</v>
      </c>
      <c r="E2991" s="3" t="s">
        <v>134</v>
      </c>
      <c r="F2991" s="3" t="str">
        <f t="shared" si="0"/>
        <v>3 - Otros</v>
      </c>
      <c r="G2991" s="3">
        <v>0</v>
      </c>
      <c r="H2991" s="2"/>
    </row>
    <row r="2992" spans="1:8" ht="12.75" hidden="1" x14ac:dyDescent="0.2">
      <c r="A2992" s="3" t="s">
        <v>176</v>
      </c>
      <c r="B2992" s="3">
        <v>85</v>
      </c>
      <c r="C2992" s="4" t="s">
        <v>159</v>
      </c>
      <c r="D2992" s="3" t="s">
        <v>125</v>
      </c>
      <c r="E2992" s="3" t="s">
        <v>152</v>
      </c>
      <c r="F2992" s="3" t="str">
        <f t="shared" si="0"/>
        <v>2 - Frepam</v>
      </c>
      <c r="G2992" s="3">
        <v>1</v>
      </c>
      <c r="H2992" s="2"/>
    </row>
    <row r="2993" spans="1:8" ht="12.75" hidden="1" x14ac:dyDescent="0.2">
      <c r="A2993" s="3" t="s">
        <v>176</v>
      </c>
      <c r="B2993" s="3">
        <v>85</v>
      </c>
      <c r="C2993" s="4" t="s">
        <v>159</v>
      </c>
      <c r="D2993" s="3" t="s">
        <v>125</v>
      </c>
      <c r="E2993" s="3" t="s">
        <v>138</v>
      </c>
      <c r="F2993" s="3" t="str">
        <f t="shared" si="0"/>
        <v>4 - Blanco/Nulo</v>
      </c>
      <c r="G2993" s="3">
        <v>0</v>
      </c>
      <c r="H2993" s="2"/>
    </row>
    <row r="2994" spans="1:8" ht="12.75" hidden="1" x14ac:dyDescent="0.2">
      <c r="A2994" s="3" t="s">
        <v>176</v>
      </c>
      <c r="B2994" s="3">
        <v>85</v>
      </c>
      <c r="C2994" s="4" t="s">
        <v>159</v>
      </c>
      <c r="D2994" s="3" t="s">
        <v>125</v>
      </c>
      <c r="E2994" s="3" t="s">
        <v>14</v>
      </c>
      <c r="F2994" s="3" t="str">
        <f t="shared" si="0"/>
        <v>4 - Blanco/Nulo</v>
      </c>
      <c r="G2994" s="3">
        <v>0</v>
      </c>
      <c r="H2994" s="2"/>
    </row>
    <row r="2995" spans="1:8" ht="12.75" hidden="1" x14ac:dyDescent="0.2">
      <c r="A2995" s="3" t="s">
        <v>176</v>
      </c>
      <c r="B2995" s="3">
        <v>86</v>
      </c>
      <c r="C2995" s="4" t="s">
        <v>106</v>
      </c>
      <c r="D2995" s="3" t="s">
        <v>125</v>
      </c>
      <c r="E2995" s="3" t="s">
        <v>3</v>
      </c>
      <c r="F2995" s="3" t="str">
        <f t="shared" si="0"/>
        <v>1 - PJ</v>
      </c>
      <c r="G2995" s="3">
        <v>3678</v>
      </c>
      <c r="H2995" s="2"/>
    </row>
    <row r="2996" spans="1:8" ht="12.75" hidden="1" x14ac:dyDescent="0.2">
      <c r="A2996" s="3" t="s">
        <v>176</v>
      </c>
      <c r="B2996" s="3">
        <v>86</v>
      </c>
      <c r="C2996" s="4" t="s">
        <v>106</v>
      </c>
      <c r="D2996" s="3" t="s">
        <v>125</v>
      </c>
      <c r="E2996" s="3" t="s">
        <v>16</v>
      </c>
      <c r="F2996" s="3" t="str">
        <f t="shared" si="0"/>
        <v>3 - Otros</v>
      </c>
      <c r="G2996" s="3">
        <v>252</v>
      </c>
      <c r="H2996" s="2"/>
    </row>
    <row r="2997" spans="1:8" ht="12.75" hidden="1" x14ac:dyDescent="0.2">
      <c r="A2997" s="3" t="s">
        <v>176</v>
      </c>
      <c r="B2997" s="3">
        <v>86</v>
      </c>
      <c r="C2997" s="4" t="s">
        <v>106</v>
      </c>
      <c r="D2997" s="3" t="s">
        <v>125</v>
      </c>
      <c r="E2997" s="3" t="s">
        <v>129</v>
      </c>
      <c r="F2997" s="3" t="str">
        <f t="shared" si="0"/>
        <v>3 - Otros</v>
      </c>
      <c r="G2997" s="3">
        <v>197</v>
      </c>
      <c r="H2997" s="2"/>
    </row>
    <row r="2998" spans="1:8" ht="12.75" hidden="1" x14ac:dyDescent="0.2">
      <c r="A2998" s="3" t="s">
        <v>176</v>
      </c>
      <c r="B2998" s="3">
        <v>86</v>
      </c>
      <c r="C2998" s="4" t="s">
        <v>106</v>
      </c>
      <c r="D2998" s="3" t="s">
        <v>125</v>
      </c>
      <c r="E2998" s="3" t="s">
        <v>132</v>
      </c>
      <c r="F2998" s="3" t="str">
        <f t="shared" si="0"/>
        <v>2 - Frepam</v>
      </c>
      <c r="G2998" s="3">
        <v>256</v>
      </c>
      <c r="H2998" s="2"/>
    </row>
    <row r="2999" spans="1:8" ht="12.75" hidden="1" x14ac:dyDescent="0.2">
      <c r="A2999" s="3" t="s">
        <v>176</v>
      </c>
      <c r="B2999" s="3">
        <v>86</v>
      </c>
      <c r="C2999" s="4" t="s">
        <v>106</v>
      </c>
      <c r="D2999" s="3" t="s">
        <v>125</v>
      </c>
      <c r="E2999" s="3" t="s">
        <v>134</v>
      </c>
      <c r="F2999" s="3" t="str">
        <f t="shared" si="0"/>
        <v>3 - Otros</v>
      </c>
      <c r="G2999" s="3">
        <v>172</v>
      </c>
      <c r="H2999" s="2"/>
    </row>
    <row r="3000" spans="1:8" ht="12.75" hidden="1" x14ac:dyDescent="0.2">
      <c r="A3000" s="3" t="s">
        <v>176</v>
      </c>
      <c r="B3000" s="3">
        <v>86</v>
      </c>
      <c r="C3000" s="4" t="s">
        <v>106</v>
      </c>
      <c r="D3000" s="3" t="s">
        <v>125</v>
      </c>
      <c r="E3000" s="3" t="s">
        <v>152</v>
      </c>
      <c r="F3000" s="3" t="str">
        <f t="shared" si="0"/>
        <v>2 - Frepam</v>
      </c>
      <c r="G3000" s="3">
        <v>3986</v>
      </c>
      <c r="H3000" s="2"/>
    </row>
    <row r="3001" spans="1:8" ht="12.75" hidden="1" x14ac:dyDescent="0.2">
      <c r="A3001" s="3" t="s">
        <v>176</v>
      </c>
      <c r="B3001" s="3">
        <v>86</v>
      </c>
      <c r="C3001" s="4" t="s">
        <v>106</v>
      </c>
      <c r="D3001" s="3" t="s">
        <v>125</v>
      </c>
      <c r="E3001" s="3" t="s">
        <v>138</v>
      </c>
      <c r="F3001" s="3" t="str">
        <f t="shared" si="0"/>
        <v>4 - Blanco/Nulo</v>
      </c>
      <c r="G3001" s="3">
        <v>321</v>
      </c>
      <c r="H3001" s="2"/>
    </row>
    <row r="3002" spans="1:8" ht="12.75" hidden="1" x14ac:dyDescent="0.2">
      <c r="A3002" s="3" t="s">
        <v>176</v>
      </c>
      <c r="B3002" s="3">
        <v>86</v>
      </c>
      <c r="C3002" s="4" t="s">
        <v>106</v>
      </c>
      <c r="D3002" s="3" t="s">
        <v>125</v>
      </c>
      <c r="E3002" s="3" t="s">
        <v>14</v>
      </c>
      <c r="F3002" s="3" t="str">
        <f t="shared" si="0"/>
        <v>4 - Blanco/Nulo</v>
      </c>
      <c r="G3002" s="3">
        <v>135</v>
      </c>
      <c r="H3002" s="2"/>
    </row>
    <row r="3003" spans="1:8" ht="12.75" hidden="1" x14ac:dyDescent="0.2">
      <c r="A3003" s="3" t="s">
        <v>176</v>
      </c>
      <c r="B3003" s="3">
        <v>87</v>
      </c>
      <c r="C3003" s="4" t="s">
        <v>107</v>
      </c>
      <c r="D3003" s="3" t="s">
        <v>125</v>
      </c>
      <c r="E3003" s="3" t="s">
        <v>3</v>
      </c>
      <c r="F3003" s="3" t="str">
        <f t="shared" si="0"/>
        <v>1 - PJ</v>
      </c>
      <c r="G3003" s="3">
        <v>375</v>
      </c>
      <c r="H3003" s="2"/>
    </row>
    <row r="3004" spans="1:8" ht="12.75" hidden="1" x14ac:dyDescent="0.2">
      <c r="A3004" s="3" t="s">
        <v>176</v>
      </c>
      <c r="B3004" s="3">
        <v>87</v>
      </c>
      <c r="C3004" s="4" t="s">
        <v>107</v>
      </c>
      <c r="D3004" s="3" t="s">
        <v>125</v>
      </c>
      <c r="E3004" s="3" t="s">
        <v>16</v>
      </c>
      <c r="F3004" s="3" t="str">
        <f t="shared" si="0"/>
        <v>3 - Otros</v>
      </c>
      <c r="G3004" s="3">
        <v>3</v>
      </c>
      <c r="H3004" s="2"/>
    </row>
    <row r="3005" spans="1:8" ht="12.75" hidden="1" x14ac:dyDescent="0.2">
      <c r="A3005" s="3" t="s">
        <v>176</v>
      </c>
      <c r="B3005" s="3">
        <v>87</v>
      </c>
      <c r="C3005" s="4" t="s">
        <v>107</v>
      </c>
      <c r="D3005" s="3" t="s">
        <v>125</v>
      </c>
      <c r="E3005" s="3" t="s">
        <v>129</v>
      </c>
      <c r="F3005" s="3" t="str">
        <f t="shared" si="0"/>
        <v>3 - Otros</v>
      </c>
      <c r="G3005" s="3">
        <v>14</v>
      </c>
      <c r="H3005" s="2"/>
    </row>
    <row r="3006" spans="1:8" ht="12.75" hidden="1" x14ac:dyDescent="0.2">
      <c r="A3006" s="3" t="s">
        <v>176</v>
      </c>
      <c r="B3006" s="3">
        <v>87</v>
      </c>
      <c r="C3006" s="4" t="s">
        <v>107</v>
      </c>
      <c r="D3006" s="3" t="s">
        <v>125</v>
      </c>
      <c r="E3006" s="3" t="s">
        <v>132</v>
      </c>
      <c r="F3006" s="3" t="str">
        <f t="shared" si="0"/>
        <v>2 - Frepam</v>
      </c>
      <c r="G3006" s="3">
        <v>12</v>
      </c>
      <c r="H3006" s="2"/>
    </row>
    <row r="3007" spans="1:8" ht="12.75" hidden="1" x14ac:dyDescent="0.2">
      <c r="A3007" s="3" t="s">
        <v>176</v>
      </c>
      <c r="B3007" s="3">
        <v>87</v>
      </c>
      <c r="C3007" s="4" t="s">
        <v>107</v>
      </c>
      <c r="D3007" s="3" t="s">
        <v>125</v>
      </c>
      <c r="E3007" s="3" t="s">
        <v>134</v>
      </c>
      <c r="F3007" s="3" t="str">
        <f t="shared" si="0"/>
        <v>3 - Otros</v>
      </c>
      <c r="G3007" s="3">
        <v>10</v>
      </c>
      <c r="H3007" s="2"/>
    </row>
    <row r="3008" spans="1:8" ht="12.75" hidden="1" x14ac:dyDescent="0.2">
      <c r="A3008" s="3" t="s">
        <v>176</v>
      </c>
      <c r="B3008" s="3">
        <v>87</v>
      </c>
      <c r="C3008" s="4" t="s">
        <v>107</v>
      </c>
      <c r="D3008" s="3" t="s">
        <v>125</v>
      </c>
      <c r="E3008" s="3" t="s">
        <v>152</v>
      </c>
      <c r="F3008" s="3" t="str">
        <f t="shared" si="0"/>
        <v>2 - Frepam</v>
      </c>
      <c r="G3008" s="3">
        <v>318</v>
      </c>
      <c r="H3008" s="2"/>
    </row>
    <row r="3009" spans="1:8" ht="12.75" hidden="1" x14ac:dyDescent="0.2">
      <c r="A3009" s="3" t="s">
        <v>176</v>
      </c>
      <c r="B3009" s="3">
        <v>87</v>
      </c>
      <c r="C3009" s="4" t="s">
        <v>107</v>
      </c>
      <c r="D3009" s="3" t="s">
        <v>125</v>
      </c>
      <c r="E3009" s="3" t="s">
        <v>138</v>
      </c>
      <c r="F3009" s="3" t="str">
        <f t="shared" si="0"/>
        <v>4 - Blanco/Nulo</v>
      </c>
      <c r="G3009" s="3">
        <v>22</v>
      </c>
      <c r="H3009" s="2"/>
    </row>
    <row r="3010" spans="1:8" ht="12.75" hidden="1" x14ac:dyDescent="0.2">
      <c r="A3010" s="3" t="s">
        <v>176</v>
      </c>
      <c r="B3010" s="3">
        <v>87</v>
      </c>
      <c r="C3010" s="4" t="s">
        <v>107</v>
      </c>
      <c r="D3010" s="3" t="s">
        <v>125</v>
      </c>
      <c r="E3010" s="3" t="s">
        <v>14</v>
      </c>
      <c r="F3010" s="3" t="str">
        <f t="shared" si="0"/>
        <v>4 - Blanco/Nulo</v>
      </c>
      <c r="G3010" s="3">
        <v>23</v>
      </c>
      <c r="H3010" s="2"/>
    </row>
    <row r="3011" spans="1:8" ht="12.75" hidden="1" x14ac:dyDescent="0.2">
      <c r="A3011" s="3" t="s">
        <v>176</v>
      </c>
      <c r="B3011" s="3">
        <v>88</v>
      </c>
      <c r="C3011" s="4" t="s">
        <v>108</v>
      </c>
      <c r="D3011" s="3" t="s">
        <v>125</v>
      </c>
      <c r="E3011" s="3" t="s">
        <v>3</v>
      </c>
      <c r="F3011" s="3" t="str">
        <f t="shared" si="0"/>
        <v>1 - PJ</v>
      </c>
      <c r="G3011" s="3">
        <v>188</v>
      </c>
      <c r="H3011" s="2"/>
    </row>
    <row r="3012" spans="1:8" ht="12.75" hidden="1" x14ac:dyDescent="0.2">
      <c r="A3012" s="3" t="s">
        <v>176</v>
      </c>
      <c r="B3012" s="3">
        <v>88</v>
      </c>
      <c r="C3012" s="4" t="s">
        <v>108</v>
      </c>
      <c r="D3012" s="3" t="s">
        <v>125</v>
      </c>
      <c r="E3012" s="3" t="s">
        <v>16</v>
      </c>
      <c r="F3012" s="3" t="str">
        <f t="shared" si="0"/>
        <v>3 - Otros</v>
      </c>
      <c r="G3012" s="3">
        <v>1</v>
      </c>
      <c r="H3012" s="2"/>
    </row>
    <row r="3013" spans="1:8" ht="12.75" hidden="1" x14ac:dyDescent="0.2">
      <c r="A3013" s="3" t="s">
        <v>176</v>
      </c>
      <c r="B3013" s="3">
        <v>88</v>
      </c>
      <c r="C3013" s="4" t="s">
        <v>108</v>
      </c>
      <c r="D3013" s="3" t="s">
        <v>125</v>
      </c>
      <c r="E3013" s="3" t="s">
        <v>129</v>
      </c>
      <c r="F3013" s="3" t="str">
        <f t="shared" si="0"/>
        <v>3 - Otros</v>
      </c>
      <c r="G3013" s="3">
        <v>7</v>
      </c>
      <c r="H3013" s="2"/>
    </row>
    <row r="3014" spans="1:8" ht="12.75" hidden="1" x14ac:dyDescent="0.2">
      <c r="A3014" s="3" t="s">
        <v>176</v>
      </c>
      <c r="B3014" s="3">
        <v>88</v>
      </c>
      <c r="C3014" s="4" t="s">
        <v>108</v>
      </c>
      <c r="D3014" s="3" t="s">
        <v>125</v>
      </c>
      <c r="E3014" s="3" t="s">
        <v>132</v>
      </c>
      <c r="F3014" s="3" t="str">
        <f t="shared" si="0"/>
        <v>2 - Frepam</v>
      </c>
      <c r="G3014" s="3">
        <v>20</v>
      </c>
      <c r="H3014" s="2"/>
    </row>
    <row r="3015" spans="1:8" ht="12.75" hidden="1" x14ac:dyDescent="0.2">
      <c r="A3015" s="3" t="s">
        <v>176</v>
      </c>
      <c r="B3015" s="3">
        <v>88</v>
      </c>
      <c r="C3015" s="4" t="s">
        <v>108</v>
      </c>
      <c r="D3015" s="3" t="s">
        <v>125</v>
      </c>
      <c r="E3015" s="3" t="s">
        <v>134</v>
      </c>
      <c r="F3015" s="3" t="str">
        <f t="shared" si="0"/>
        <v>3 - Otros</v>
      </c>
      <c r="G3015" s="3">
        <v>4</v>
      </c>
      <c r="H3015" s="2"/>
    </row>
    <row r="3016" spans="1:8" ht="12.75" hidden="1" x14ac:dyDescent="0.2">
      <c r="A3016" s="3" t="s">
        <v>176</v>
      </c>
      <c r="B3016" s="3">
        <v>88</v>
      </c>
      <c r="C3016" s="4" t="s">
        <v>108</v>
      </c>
      <c r="D3016" s="3" t="s">
        <v>125</v>
      </c>
      <c r="E3016" s="3" t="s">
        <v>152</v>
      </c>
      <c r="F3016" s="3" t="str">
        <f t="shared" si="0"/>
        <v>2 - Frepam</v>
      </c>
      <c r="G3016" s="3">
        <v>152</v>
      </c>
      <c r="H3016" s="2"/>
    </row>
    <row r="3017" spans="1:8" ht="12.75" hidden="1" x14ac:dyDescent="0.2">
      <c r="A3017" s="3" t="s">
        <v>176</v>
      </c>
      <c r="B3017" s="3">
        <v>88</v>
      </c>
      <c r="C3017" s="4" t="s">
        <v>108</v>
      </c>
      <c r="D3017" s="3" t="s">
        <v>125</v>
      </c>
      <c r="E3017" s="3" t="s">
        <v>138</v>
      </c>
      <c r="F3017" s="3" t="str">
        <f t="shared" si="0"/>
        <v>4 - Blanco/Nulo</v>
      </c>
      <c r="G3017" s="3">
        <v>0</v>
      </c>
      <c r="H3017" s="2"/>
    </row>
    <row r="3018" spans="1:8" ht="12.75" hidden="1" x14ac:dyDescent="0.2">
      <c r="A3018" s="3" t="s">
        <v>176</v>
      </c>
      <c r="B3018" s="3">
        <v>88</v>
      </c>
      <c r="C3018" s="4" t="s">
        <v>108</v>
      </c>
      <c r="D3018" s="3" t="s">
        <v>125</v>
      </c>
      <c r="E3018" s="3" t="s">
        <v>14</v>
      </c>
      <c r="F3018" s="3" t="str">
        <f t="shared" si="0"/>
        <v>4 - Blanco/Nulo</v>
      </c>
      <c r="G3018" s="3">
        <v>26</v>
      </c>
      <c r="H3018" s="2"/>
    </row>
    <row r="3019" spans="1:8" ht="12.75" hidden="1" x14ac:dyDescent="0.2">
      <c r="A3019" s="3" t="s">
        <v>176</v>
      </c>
      <c r="B3019" s="3">
        <v>89</v>
      </c>
      <c r="C3019" s="4" t="s">
        <v>109</v>
      </c>
      <c r="D3019" s="3" t="s">
        <v>125</v>
      </c>
      <c r="E3019" s="3" t="s">
        <v>3</v>
      </c>
      <c r="F3019" s="3" t="str">
        <f t="shared" si="0"/>
        <v>1 - PJ</v>
      </c>
      <c r="G3019" s="3">
        <v>1062</v>
      </c>
      <c r="H3019" s="2"/>
    </row>
    <row r="3020" spans="1:8" ht="12.75" hidden="1" x14ac:dyDescent="0.2">
      <c r="A3020" s="3" t="s">
        <v>176</v>
      </c>
      <c r="B3020" s="3">
        <v>89</v>
      </c>
      <c r="C3020" s="4" t="s">
        <v>109</v>
      </c>
      <c r="D3020" s="3" t="s">
        <v>125</v>
      </c>
      <c r="E3020" s="3" t="s">
        <v>16</v>
      </c>
      <c r="F3020" s="3" t="str">
        <f t="shared" si="0"/>
        <v>3 - Otros</v>
      </c>
      <c r="G3020" s="3">
        <v>20</v>
      </c>
      <c r="H3020" s="2"/>
    </row>
    <row r="3021" spans="1:8" ht="12.75" hidden="1" x14ac:dyDescent="0.2">
      <c r="A3021" s="3" t="s">
        <v>176</v>
      </c>
      <c r="B3021" s="3">
        <v>89</v>
      </c>
      <c r="C3021" s="4" t="s">
        <v>109</v>
      </c>
      <c r="D3021" s="3" t="s">
        <v>125</v>
      </c>
      <c r="E3021" s="3" t="s">
        <v>129</v>
      </c>
      <c r="F3021" s="3" t="str">
        <f t="shared" si="0"/>
        <v>3 - Otros</v>
      </c>
      <c r="G3021" s="3">
        <v>11</v>
      </c>
      <c r="H3021" s="2"/>
    </row>
    <row r="3022" spans="1:8" ht="12.75" hidden="1" x14ac:dyDescent="0.2">
      <c r="A3022" s="3" t="s">
        <v>176</v>
      </c>
      <c r="B3022" s="3">
        <v>89</v>
      </c>
      <c r="C3022" s="4" t="s">
        <v>109</v>
      </c>
      <c r="D3022" s="3" t="s">
        <v>125</v>
      </c>
      <c r="E3022" s="3" t="s">
        <v>132</v>
      </c>
      <c r="F3022" s="3" t="str">
        <f t="shared" si="0"/>
        <v>2 - Frepam</v>
      </c>
      <c r="G3022" s="3">
        <v>73</v>
      </c>
      <c r="H3022" s="2"/>
    </row>
    <row r="3023" spans="1:8" ht="12.75" hidden="1" x14ac:dyDescent="0.2">
      <c r="A3023" s="3" t="s">
        <v>176</v>
      </c>
      <c r="B3023" s="3">
        <v>89</v>
      </c>
      <c r="C3023" s="4" t="s">
        <v>109</v>
      </c>
      <c r="D3023" s="3" t="s">
        <v>125</v>
      </c>
      <c r="E3023" s="3" t="s">
        <v>134</v>
      </c>
      <c r="F3023" s="3" t="str">
        <f t="shared" si="0"/>
        <v>3 - Otros</v>
      </c>
      <c r="G3023" s="3">
        <v>37</v>
      </c>
      <c r="H3023" s="2"/>
    </row>
    <row r="3024" spans="1:8" ht="12.75" hidden="1" x14ac:dyDescent="0.2">
      <c r="A3024" s="3" t="s">
        <v>176</v>
      </c>
      <c r="B3024" s="3">
        <v>89</v>
      </c>
      <c r="C3024" s="4" t="s">
        <v>109</v>
      </c>
      <c r="D3024" s="3" t="s">
        <v>125</v>
      </c>
      <c r="E3024" s="3" t="s">
        <v>152</v>
      </c>
      <c r="F3024" s="3" t="str">
        <f t="shared" si="0"/>
        <v>2 - Frepam</v>
      </c>
      <c r="G3024" s="3">
        <v>1080</v>
      </c>
      <c r="H3024" s="2"/>
    </row>
    <row r="3025" spans="1:8" ht="12.75" hidden="1" x14ac:dyDescent="0.2">
      <c r="A3025" s="3" t="s">
        <v>176</v>
      </c>
      <c r="B3025" s="3">
        <v>89</v>
      </c>
      <c r="C3025" s="4" t="s">
        <v>109</v>
      </c>
      <c r="D3025" s="3" t="s">
        <v>125</v>
      </c>
      <c r="E3025" s="3" t="s">
        <v>138</v>
      </c>
      <c r="F3025" s="3" t="str">
        <f t="shared" si="0"/>
        <v>4 - Blanco/Nulo</v>
      </c>
      <c r="G3025" s="3">
        <v>91</v>
      </c>
      <c r="H3025" s="2"/>
    </row>
    <row r="3026" spans="1:8" ht="12.75" hidden="1" x14ac:dyDescent="0.2">
      <c r="A3026" s="3" t="s">
        <v>176</v>
      </c>
      <c r="B3026" s="3">
        <v>89</v>
      </c>
      <c r="C3026" s="4" t="s">
        <v>109</v>
      </c>
      <c r="D3026" s="3" t="s">
        <v>125</v>
      </c>
      <c r="E3026" s="3" t="s">
        <v>14</v>
      </c>
      <c r="F3026" s="3" t="str">
        <f t="shared" si="0"/>
        <v>4 - Blanco/Nulo</v>
      </c>
      <c r="G3026" s="3">
        <v>38</v>
      </c>
      <c r="H3026" s="2"/>
    </row>
    <row r="3027" spans="1:8" ht="12.75" hidden="1" x14ac:dyDescent="0.2">
      <c r="A3027" s="3" t="s">
        <v>176</v>
      </c>
      <c r="B3027" s="3">
        <v>90</v>
      </c>
      <c r="C3027" s="4" t="s">
        <v>110</v>
      </c>
      <c r="D3027" s="3" t="s">
        <v>125</v>
      </c>
      <c r="E3027" s="3" t="s">
        <v>3</v>
      </c>
      <c r="F3027" s="3" t="str">
        <f t="shared" si="0"/>
        <v>1 - PJ</v>
      </c>
      <c r="G3027" s="3">
        <v>229</v>
      </c>
      <c r="H3027" s="2"/>
    </row>
    <row r="3028" spans="1:8" ht="12.75" hidden="1" x14ac:dyDescent="0.2">
      <c r="A3028" s="3" t="s">
        <v>176</v>
      </c>
      <c r="B3028" s="3">
        <v>90</v>
      </c>
      <c r="C3028" s="4" t="s">
        <v>110</v>
      </c>
      <c r="D3028" s="3" t="s">
        <v>125</v>
      </c>
      <c r="E3028" s="3" t="s">
        <v>16</v>
      </c>
      <c r="F3028" s="3" t="str">
        <f t="shared" si="0"/>
        <v>3 - Otros</v>
      </c>
      <c r="G3028" s="3">
        <v>7</v>
      </c>
      <c r="H3028" s="2"/>
    </row>
    <row r="3029" spans="1:8" ht="12.75" hidden="1" x14ac:dyDescent="0.2">
      <c r="A3029" s="3" t="s">
        <v>176</v>
      </c>
      <c r="B3029" s="3">
        <v>90</v>
      </c>
      <c r="C3029" s="4" t="s">
        <v>110</v>
      </c>
      <c r="D3029" s="3" t="s">
        <v>125</v>
      </c>
      <c r="E3029" s="3" t="s">
        <v>129</v>
      </c>
      <c r="F3029" s="3" t="str">
        <f t="shared" si="0"/>
        <v>3 - Otros</v>
      </c>
      <c r="G3029" s="3">
        <v>9</v>
      </c>
      <c r="H3029" s="2"/>
    </row>
    <row r="3030" spans="1:8" ht="12.75" hidden="1" x14ac:dyDescent="0.2">
      <c r="A3030" s="3" t="s">
        <v>176</v>
      </c>
      <c r="B3030" s="3">
        <v>90</v>
      </c>
      <c r="C3030" s="4" t="s">
        <v>110</v>
      </c>
      <c r="D3030" s="3" t="s">
        <v>125</v>
      </c>
      <c r="E3030" s="3" t="s">
        <v>132</v>
      </c>
      <c r="F3030" s="3" t="str">
        <f t="shared" si="0"/>
        <v>2 - Frepam</v>
      </c>
      <c r="G3030" s="3">
        <v>12</v>
      </c>
      <c r="H3030" s="2"/>
    </row>
    <row r="3031" spans="1:8" ht="12.75" hidden="1" x14ac:dyDescent="0.2">
      <c r="A3031" s="3" t="s">
        <v>176</v>
      </c>
      <c r="B3031" s="3">
        <v>90</v>
      </c>
      <c r="C3031" s="4" t="s">
        <v>110</v>
      </c>
      <c r="D3031" s="3" t="s">
        <v>125</v>
      </c>
      <c r="E3031" s="3" t="s">
        <v>134</v>
      </c>
      <c r="F3031" s="3" t="str">
        <f t="shared" si="0"/>
        <v>3 - Otros</v>
      </c>
      <c r="G3031" s="3">
        <v>9</v>
      </c>
      <c r="H3031" s="2"/>
    </row>
    <row r="3032" spans="1:8" ht="12.75" hidden="1" x14ac:dyDescent="0.2">
      <c r="A3032" s="3" t="s">
        <v>176</v>
      </c>
      <c r="B3032" s="3">
        <v>90</v>
      </c>
      <c r="C3032" s="4" t="s">
        <v>110</v>
      </c>
      <c r="D3032" s="3" t="s">
        <v>125</v>
      </c>
      <c r="E3032" s="3" t="s">
        <v>152</v>
      </c>
      <c r="F3032" s="3" t="str">
        <f t="shared" si="0"/>
        <v>2 - Frepam</v>
      </c>
      <c r="G3032" s="3">
        <v>231</v>
      </c>
      <c r="H3032" s="2"/>
    </row>
    <row r="3033" spans="1:8" ht="12.75" hidden="1" x14ac:dyDescent="0.2">
      <c r="A3033" s="3" t="s">
        <v>176</v>
      </c>
      <c r="B3033" s="3">
        <v>90</v>
      </c>
      <c r="C3033" s="4" t="s">
        <v>110</v>
      </c>
      <c r="D3033" s="3" t="s">
        <v>125</v>
      </c>
      <c r="E3033" s="3" t="s">
        <v>138</v>
      </c>
      <c r="F3033" s="3" t="str">
        <f t="shared" si="0"/>
        <v>4 - Blanco/Nulo</v>
      </c>
      <c r="G3033" s="3">
        <v>28</v>
      </c>
      <c r="H3033" s="2"/>
    </row>
    <row r="3034" spans="1:8" ht="12.75" hidden="1" x14ac:dyDescent="0.2">
      <c r="A3034" s="3" t="s">
        <v>176</v>
      </c>
      <c r="B3034" s="3">
        <v>90</v>
      </c>
      <c r="C3034" s="4" t="s">
        <v>110</v>
      </c>
      <c r="D3034" s="3" t="s">
        <v>125</v>
      </c>
      <c r="E3034" s="3" t="s">
        <v>14</v>
      </c>
      <c r="F3034" s="3" t="str">
        <f t="shared" si="0"/>
        <v>4 - Blanco/Nulo</v>
      </c>
      <c r="G3034" s="3">
        <v>15</v>
      </c>
      <c r="H3034" s="2"/>
    </row>
    <row r="3035" spans="1:8" ht="12.75" hidden="1" x14ac:dyDescent="0.2">
      <c r="A3035" s="3" t="s">
        <v>176</v>
      </c>
      <c r="B3035" s="3">
        <v>91</v>
      </c>
      <c r="C3035" s="4" t="s">
        <v>111</v>
      </c>
      <c r="D3035" s="3" t="s">
        <v>125</v>
      </c>
      <c r="E3035" s="3" t="s">
        <v>3</v>
      </c>
      <c r="F3035" s="3" t="str">
        <f t="shared" si="0"/>
        <v>1 - PJ</v>
      </c>
      <c r="G3035" s="3">
        <v>94</v>
      </c>
      <c r="H3035" s="2"/>
    </row>
    <row r="3036" spans="1:8" ht="12.75" hidden="1" x14ac:dyDescent="0.2">
      <c r="A3036" s="3" t="s">
        <v>176</v>
      </c>
      <c r="B3036" s="3">
        <v>91</v>
      </c>
      <c r="C3036" s="4" t="s">
        <v>111</v>
      </c>
      <c r="D3036" s="3" t="s">
        <v>125</v>
      </c>
      <c r="E3036" s="3" t="s">
        <v>16</v>
      </c>
      <c r="F3036" s="3" t="str">
        <f t="shared" si="0"/>
        <v>3 - Otros</v>
      </c>
      <c r="G3036" s="3">
        <v>0</v>
      </c>
      <c r="H3036" s="2"/>
    </row>
    <row r="3037" spans="1:8" ht="12.75" hidden="1" x14ac:dyDescent="0.2">
      <c r="A3037" s="3" t="s">
        <v>176</v>
      </c>
      <c r="B3037" s="3">
        <v>91</v>
      </c>
      <c r="C3037" s="4" t="s">
        <v>111</v>
      </c>
      <c r="D3037" s="3" t="s">
        <v>125</v>
      </c>
      <c r="E3037" s="3" t="s">
        <v>129</v>
      </c>
      <c r="F3037" s="3" t="str">
        <f t="shared" si="0"/>
        <v>3 - Otros</v>
      </c>
      <c r="G3037" s="3">
        <v>2</v>
      </c>
      <c r="H3037" s="2"/>
    </row>
    <row r="3038" spans="1:8" ht="12.75" hidden="1" x14ac:dyDescent="0.2">
      <c r="A3038" s="3" t="s">
        <v>176</v>
      </c>
      <c r="B3038" s="3">
        <v>91</v>
      </c>
      <c r="C3038" s="4" t="s">
        <v>111</v>
      </c>
      <c r="D3038" s="3" t="s">
        <v>125</v>
      </c>
      <c r="E3038" s="3" t="s">
        <v>132</v>
      </c>
      <c r="F3038" s="3" t="str">
        <f t="shared" si="0"/>
        <v>2 - Frepam</v>
      </c>
      <c r="G3038" s="3">
        <v>5</v>
      </c>
      <c r="H3038" s="2"/>
    </row>
    <row r="3039" spans="1:8" ht="12.75" hidden="1" x14ac:dyDescent="0.2">
      <c r="A3039" s="3" t="s">
        <v>176</v>
      </c>
      <c r="B3039" s="3">
        <v>91</v>
      </c>
      <c r="C3039" s="4" t="s">
        <v>111</v>
      </c>
      <c r="D3039" s="3" t="s">
        <v>125</v>
      </c>
      <c r="E3039" s="3" t="s">
        <v>134</v>
      </c>
      <c r="F3039" s="3" t="str">
        <f t="shared" si="0"/>
        <v>3 - Otros</v>
      </c>
      <c r="G3039" s="3">
        <v>2</v>
      </c>
      <c r="H3039" s="2"/>
    </row>
    <row r="3040" spans="1:8" ht="12.75" hidden="1" x14ac:dyDescent="0.2">
      <c r="A3040" s="3" t="s">
        <v>176</v>
      </c>
      <c r="B3040" s="3">
        <v>91</v>
      </c>
      <c r="C3040" s="4" t="s">
        <v>111</v>
      </c>
      <c r="D3040" s="3" t="s">
        <v>125</v>
      </c>
      <c r="E3040" s="3" t="s">
        <v>152</v>
      </c>
      <c r="F3040" s="3" t="str">
        <f t="shared" si="0"/>
        <v>2 - Frepam</v>
      </c>
      <c r="G3040" s="3">
        <v>139</v>
      </c>
      <c r="H3040" s="2"/>
    </row>
    <row r="3041" spans="1:8" ht="12.75" hidden="1" x14ac:dyDescent="0.2">
      <c r="A3041" s="3" t="s">
        <v>176</v>
      </c>
      <c r="B3041" s="3">
        <v>91</v>
      </c>
      <c r="C3041" s="4" t="s">
        <v>111</v>
      </c>
      <c r="D3041" s="3" t="s">
        <v>125</v>
      </c>
      <c r="E3041" s="3" t="s">
        <v>138</v>
      </c>
      <c r="F3041" s="3" t="str">
        <f t="shared" si="0"/>
        <v>4 - Blanco/Nulo</v>
      </c>
      <c r="G3041" s="3">
        <v>13</v>
      </c>
      <c r="H3041" s="2"/>
    </row>
    <row r="3042" spans="1:8" ht="12.75" hidden="1" x14ac:dyDescent="0.2">
      <c r="A3042" s="3" t="s">
        <v>176</v>
      </c>
      <c r="B3042" s="3">
        <v>91</v>
      </c>
      <c r="C3042" s="4" t="s">
        <v>111</v>
      </c>
      <c r="D3042" s="3" t="s">
        <v>125</v>
      </c>
      <c r="E3042" s="3" t="s">
        <v>14</v>
      </c>
      <c r="F3042" s="3" t="str">
        <f t="shared" si="0"/>
        <v>4 - Blanco/Nulo</v>
      </c>
      <c r="G3042" s="3">
        <v>7</v>
      </c>
      <c r="H3042" s="2"/>
    </row>
    <row r="3043" spans="1:8" ht="12.75" hidden="1" x14ac:dyDescent="0.2">
      <c r="A3043" s="3" t="s">
        <v>176</v>
      </c>
      <c r="B3043" s="3">
        <v>92</v>
      </c>
      <c r="C3043" s="4" t="s">
        <v>112</v>
      </c>
      <c r="D3043" s="3" t="s">
        <v>125</v>
      </c>
      <c r="E3043" s="3" t="s">
        <v>3</v>
      </c>
      <c r="F3043" s="3" t="str">
        <f t="shared" si="0"/>
        <v>1 - PJ</v>
      </c>
      <c r="G3043" s="3">
        <v>88</v>
      </c>
      <c r="H3043" s="2"/>
    </row>
    <row r="3044" spans="1:8" ht="12.75" hidden="1" x14ac:dyDescent="0.2">
      <c r="A3044" s="3" t="s">
        <v>176</v>
      </c>
      <c r="B3044" s="3">
        <v>92</v>
      </c>
      <c r="C3044" s="4" t="s">
        <v>112</v>
      </c>
      <c r="D3044" s="3" t="s">
        <v>125</v>
      </c>
      <c r="E3044" s="3" t="s">
        <v>16</v>
      </c>
      <c r="F3044" s="3" t="str">
        <f t="shared" si="0"/>
        <v>3 - Otros</v>
      </c>
      <c r="G3044" s="3">
        <v>0</v>
      </c>
      <c r="H3044" s="2"/>
    </row>
    <row r="3045" spans="1:8" ht="12.75" hidden="1" x14ac:dyDescent="0.2">
      <c r="A3045" s="3" t="s">
        <v>176</v>
      </c>
      <c r="B3045" s="3">
        <v>92</v>
      </c>
      <c r="C3045" s="4" t="s">
        <v>112</v>
      </c>
      <c r="D3045" s="3" t="s">
        <v>125</v>
      </c>
      <c r="E3045" s="3" t="s">
        <v>129</v>
      </c>
      <c r="F3045" s="3" t="str">
        <f t="shared" si="0"/>
        <v>3 - Otros</v>
      </c>
      <c r="G3045" s="3">
        <v>0</v>
      </c>
      <c r="H3045" s="2"/>
    </row>
    <row r="3046" spans="1:8" ht="12.75" hidden="1" x14ac:dyDescent="0.2">
      <c r="A3046" s="3" t="s">
        <v>176</v>
      </c>
      <c r="B3046" s="3">
        <v>92</v>
      </c>
      <c r="C3046" s="4" t="s">
        <v>112</v>
      </c>
      <c r="D3046" s="3" t="s">
        <v>125</v>
      </c>
      <c r="E3046" s="3" t="s">
        <v>132</v>
      </c>
      <c r="F3046" s="3" t="str">
        <f t="shared" si="0"/>
        <v>2 - Frepam</v>
      </c>
      <c r="G3046" s="3">
        <v>3</v>
      </c>
      <c r="H3046" s="2"/>
    </row>
    <row r="3047" spans="1:8" ht="12.75" hidden="1" x14ac:dyDescent="0.2">
      <c r="A3047" s="3" t="s">
        <v>176</v>
      </c>
      <c r="B3047" s="3">
        <v>92</v>
      </c>
      <c r="C3047" s="4" t="s">
        <v>112</v>
      </c>
      <c r="D3047" s="3" t="s">
        <v>125</v>
      </c>
      <c r="E3047" s="3" t="s">
        <v>134</v>
      </c>
      <c r="F3047" s="3" t="str">
        <f t="shared" si="0"/>
        <v>3 - Otros</v>
      </c>
      <c r="G3047" s="3">
        <v>1</v>
      </c>
      <c r="H3047" s="2"/>
    </row>
    <row r="3048" spans="1:8" ht="12.75" hidden="1" x14ac:dyDescent="0.2">
      <c r="A3048" s="3" t="s">
        <v>176</v>
      </c>
      <c r="B3048" s="3">
        <v>92</v>
      </c>
      <c r="C3048" s="4" t="s">
        <v>112</v>
      </c>
      <c r="D3048" s="3" t="s">
        <v>125</v>
      </c>
      <c r="E3048" s="3" t="s">
        <v>152</v>
      </c>
      <c r="F3048" s="3" t="str">
        <f t="shared" si="0"/>
        <v>2 - Frepam</v>
      </c>
      <c r="G3048" s="3">
        <v>89</v>
      </c>
      <c r="H3048" s="2"/>
    </row>
    <row r="3049" spans="1:8" ht="12.75" hidden="1" x14ac:dyDescent="0.2">
      <c r="A3049" s="3" t="s">
        <v>176</v>
      </c>
      <c r="B3049" s="3">
        <v>92</v>
      </c>
      <c r="C3049" s="4" t="s">
        <v>112</v>
      </c>
      <c r="D3049" s="3" t="s">
        <v>125</v>
      </c>
      <c r="E3049" s="3" t="s">
        <v>138</v>
      </c>
      <c r="F3049" s="3" t="str">
        <f t="shared" si="0"/>
        <v>4 - Blanco/Nulo</v>
      </c>
      <c r="G3049" s="3">
        <v>4</v>
      </c>
      <c r="H3049" s="2"/>
    </row>
    <row r="3050" spans="1:8" ht="12.75" hidden="1" x14ac:dyDescent="0.2">
      <c r="A3050" s="3" t="s">
        <v>176</v>
      </c>
      <c r="B3050" s="3">
        <v>92</v>
      </c>
      <c r="C3050" s="4" t="s">
        <v>112</v>
      </c>
      <c r="D3050" s="3" t="s">
        <v>125</v>
      </c>
      <c r="E3050" s="3" t="s">
        <v>14</v>
      </c>
      <c r="F3050" s="3" t="str">
        <f t="shared" si="0"/>
        <v>4 - Blanco/Nulo</v>
      </c>
      <c r="G3050" s="3">
        <v>2</v>
      </c>
      <c r="H3050" s="2"/>
    </row>
    <row r="3051" spans="1:8" ht="12.75" hidden="1" x14ac:dyDescent="0.2">
      <c r="A3051" s="3" t="s">
        <v>176</v>
      </c>
      <c r="B3051" s="3">
        <v>93</v>
      </c>
      <c r="C3051" s="4" t="s">
        <v>113</v>
      </c>
      <c r="D3051" s="3" t="s">
        <v>125</v>
      </c>
      <c r="E3051" s="3" t="s">
        <v>3</v>
      </c>
      <c r="F3051" s="3" t="str">
        <f t="shared" si="0"/>
        <v>1 - PJ</v>
      </c>
      <c r="G3051" s="3">
        <v>2319</v>
      </c>
      <c r="H3051" s="2"/>
    </row>
    <row r="3052" spans="1:8" ht="12.75" hidden="1" x14ac:dyDescent="0.2">
      <c r="A3052" s="3" t="s">
        <v>176</v>
      </c>
      <c r="B3052" s="3">
        <v>93</v>
      </c>
      <c r="C3052" s="4" t="s">
        <v>113</v>
      </c>
      <c r="D3052" s="3" t="s">
        <v>125</v>
      </c>
      <c r="E3052" s="3" t="s">
        <v>16</v>
      </c>
      <c r="F3052" s="3" t="str">
        <f t="shared" si="0"/>
        <v>3 - Otros</v>
      </c>
      <c r="G3052" s="3">
        <v>102</v>
      </c>
      <c r="H3052" s="2"/>
    </row>
    <row r="3053" spans="1:8" ht="12.75" hidden="1" x14ac:dyDescent="0.2">
      <c r="A3053" s="3" t="s">
        <v>176</v>
      </c>
      <c r="B3053" s="3">
        <v>93</v>
      </c>
      <c r="C3053" s="4" t="s">
        <v>113</v>
      </c>
      <c r="D3053" s="3" t="s">
        <v>125</v>
      </c>
      <c r="E3053" s="3" t="s">
        <v>129</v>
      </c>
      <c r="F3053" s="3" t="str">
        <f t="shared" si="0"/>
        <v>3 - Otros</v>
      </c>
      <c r="G3053" s="3">
        <v>102</v>
      </c>
      <c r="H3053" s="2"/>
    </row>
    <row r="3054" spans="1:8" ht="12.75" hidden="1" x14ac:dyDescent="0.2">
      <c r="A3054" s="3" t="s">
        <v>176</v>
      </c>
      <c r="B3054" s="3">
        <v>93</v>
      </c>
      <c r="C3054" s="4" t="s">
        <v>113</v>
      </c>
      <c r="D3054" s="3" t="s">
        <v>125</v>
      </c>
      <c r="E3054" s="3" t="s">
        <v>132</v>
      </c>
      <c r="F3054" s="3" t="str">
        <f t="shared" si="0"/>
        <v>2 - Frepam</v>
      </c>
      <c r="G3054" s="3">
        <v>239</v>
      </c>
      <c r="H3054" s="2"/>
    </row>
    <row r="3055" spans="1:8" ht="12.75" hidden="1" x14ac:dyDescent="0.2">
      <c r="A3055" s="3" t="s">
        <v>176</v>
      </c>
      <c r="B3055" s="3">
        <v>93</v>
      </c>
      <c r="C3055" s="4" t="s">
        <v>113</v>
      </c>
      <c r="D3055" s="3" t="s">
        <v>125</v>
      </c>
      <c r="E3055" s="3" t="s">
        <v>134</v>
      </c>
      <c r="F3055" s="3" t="str">
        <f t="shared" si="0"/>
        <v>3 - Otros</v>
      </c>
      <c r="G3055" s="3">
        <v>175</v>
      </c>
      <c r="H3055" s="2"/>
    </row>
    <row r="3056" spans="1:8" ht="12.75" hidden="1" x14ac:dyDescent="0.2">
      <c r="A3056" s="3" t="s">
        <v>176</v>
      </c>
      <c r="B3056" s="3">
        <v>93</v>
      </c>
      <c r="C3056" s="4" t="s">
        <v>113</v>
      </c>
      <c r="D3056" s="3" t="s">
        <v>125</v>
      </c>
      <c r="E3056" s="3" t="s">
        <v>152</v>
      </c>
      <c r="F3056" s="3" t="str">
        <f t="shared" si="0"/>
        <v>2 - Frepam</v>
      </c>
      <c r="G3056" s="3">
        <v>4528</v>
      </c>
      <c r="H3056" s="2"/>
    </row>
    <row r="3057" spans="1:8" ht="12.75" hidden="1" x14ac:dyDescent="0.2">
      <c r="A3057" s="3" t="s">
        <v>176</v>
      </c>
      <c r="B3057" s="3">
        <v>93</v>
      </c>
      <c r="C3057" s="4" t="s">
        <v>113</v>
      </c>
      <c r="D3057" s="3" t="s">
        <v>125</v>
      </c>
      <c r="E3057" s="3" t="s">
        <v>138</v>
      </c>
      <c r="F3057" s="3" t="str">
        <f t="shared" si="0"/>
        <v>4 - Blanco/Nulo</v>
      </c>
      <c r="G3057" s="3">
        <v>490</v>
      </c>
      <c r="H3057" s="2"/>
    </row>
    <row r="3058" spans="1:8" ht="12.75" hidden="1" x14ac:dyDescent="0.2">
      <c r="A3058" s="3" t="s">
        <v>176</v>
      </c>
      <c r="B3058" s="3">
        <v>93</v>
      </c>
      <c r="C3058" s="4" t="s">
        <v>113</v>
      </c>
      <c r="D3058" s="3" t="s">
        <v>125</v>
      </c>
      <c r="E3058" s="3" t="s">
        <v>14</v>
      </c>
      <c r="F3058" s="3" t="str">
        <f t="shared" si="0"/>
        <v>4 - Blanco/Nulo</v>
      </c>
      <c r="G3058" s="3">
        <v>177</v>
      </c>
      <c r="H3058" s="2"/>
    </row>
    <row r="3059" spans="1:8" ht="12.75" hidden="1" x14ac:dyDescent="0.2">
      <c r="A3059" s="3" t="s">
        <v>176</v>
      </c>
      <c r="B3059" s="3">
        <v>94</v>
      </c>
      <c r="C3059" s="4" t="s">
        <v>114</v>
      </c>
      <c r="D3059" s="3" t="s">
        <v>125</v>
      </c>
      <c r="E3059" s="3" t="s">
        <v>3</v>
      </c>
      <c r="F3059" s="3" t="str">
        <f t="shared" si="0"/>
        <v>1 - PJ</v>
      </c>
      <c r="G3059" s="3">
        <v>180</v>
      </c>
      <c r="H3059" s="2"/>
    </row>
    <row r="3060" spans="1:8" ht="12.75" hidden="1" x14ac:dyDescent="0.2">
      <c r="A3060" s="3" t="s">
        <v>176</v>
      </c>
      <c r="B3060" s="3">
        <v>94</v>
      </c>
      <c r="C3060" s="4" t="s">
        <v>114</v>
      </c>
      <c r="D3060" s="3" t="s">
        <v>125</v>
      </c>
      <c r="E3060" s="3" t="s">
        <v>16</v>
      </c>
      <c r="F3060" s="3" t="str">
        <f t="shared" si="0"/>
        <v>3 - Otros</v>
      </c>
      <c r="G3060" s="3">
        <v>2</v>
      </c>
      <c r="H3060" s="2"/>
    </row>
    <row r="3061" spans="1:8" ht="12.75" hidden="1" x14ac:dyDescent="0.2">
      <c r="A3061" s="3" t="s">
        <v>176</v>
      </c>
      <c r="B3061" s="3">
        <v>94</v>
      </c>
      <c r="C3061" s="4" t="s">
        <v>114</v>
      </c>
      <c r="D3061" s="3" t="s">
        <v>125</v>
      </c>
      <c r="E3061" s="3" t="s">
        <v>129</v>
      </c>
      <c r="F3061" s="3" t="str">
        <f t="shared" si="0"/>
        <v>3 - Otros</v>
      </c>
      <c r="G3061" s="3">
        <v>2</v>
      </c>
      <c r="H3061" s="2"/>
    </row>
    <row r="3062" spans="1:8" ht="12.75" hidden="1" x14ac:dyDescent="0.2">
      <c r="A3062" s="3" t="s">
        <v>176</v>
      </c>
      <c r="B3062" s="3">
        <v>94</v>
      </c>
      <c r="C3062" s="4" t="s">
        <v>114</v>
      </c>
      <c r="D3062" s="3" t="s">
        <v>125</v>
      </c>
      <c r="E3062" s="3" t="s">
        <v>132</v>
      </c>
      <c r="F3062" s="3" t="str">
        <f t="shared" si="0"/>
        <v>2 - Frepam</v>
      </c>
      <c r="G3062" s="3">
        <v>6</v>
      </c>
      <c r="H3062" s="2"/>
    </row>
    <row r="3063" spans="1:8" ht="12.75" hidden="1" x14ac:dyDescent="0.2">
      <c r="A3063" s="3" t="s">
        <v>176</v>
      </c>
      <c r="B3063" s="3">
        <v>94</v>
      </c>
      <c r="C3063" s="4" t="s">
        <v>114</v>
      </c>
      <c r="D3063" s="3" t="s">
        <v>125</v>
      </c>
      <c r="E3063" s="3" t="s">
        <v>134</v>
      </c>
      <c r="F3063" s="3" t="str">
        <f t="shared" si="0"/>
        <v>3 - Otros</v>
      </c>
      <c r="G3063" s="3">
        <v>1</v>
      </c>
      <c r="H3063" s="2"/>
    </row>
    <row r="3064" spans="1:8" ht="12.75" hidden="1" x14ac:dyDescent="0.2">
      <c r="A3064" s="3" t="s">
        <v>176</v>
      </c>
      <c r="B3064" s="3">
        <v>94</v>
      </c>
      <c r="C3064" s="4" t="s">
        <v>114</v>
      </c>
      <c r="D3064" s="3" t="s">
        <v>125</v>
      </c>
      <c r="E3064" s="3" t="s">
        <v>152</v>
      </c>
      <c r="F3064" s="3" t="str">
        <f t="shared" si="0"/>
        <v>2 - Frepam</v>
      </c>
      <c r="G3064" s="3">
        <v>178</v>
      </c>
      <c r="H3064" s="2"/>
    </row>
    <row r="3065" spans="1:8" ht="12.75" hidden="1" x14ac:dyDescent="0.2">
      <c r="A3065" s="3" t="s">
        <v>176</v>
      </c>
      <c r="B3065" s="3">
        <v>94</v>
      </c>
      <c r="C3065" s="4" t="s">
        <v>114</v>
      </c>
      <c r="D3065" s="3" t="s">
        <v>125</v>
      </c>
      <c r="E3065" s="3" t="s">
        <v>138</v>
      </c>
      <c r="F3065" s="3" t="str">
        <f t="shared" si="0"/>
        <v>4 - Blanco/Nulo</v>
      </c>
      <c r="G3065" s="3">
        <v>10</v>
      </c>
      <c r="H3065" s="2"/>
    </row>
    <row r="3066" spans="1:8" ht="12.75" hidden="1" x14ac:dyDescent="0.2">
      <c r="A3066" s="3" t="s">
        <v>176</v>
      </c>
      <c r="B3066" s="3">
        <v>94</v>
      </c>
      <c r="C3066" s="4" t="s">
        <v>114</v>
      </c>
      <c r="D3066" s="3" t="s">
        <v>125</v>
      </c>
      <c r="E3066" s="3" t="s">
        <v>14</v>
      </c>
      <c r="F3066" s="3" t="str">
        <f t="shared" si="0"/>
        <v>4 - Blanco/Nulo</v>
      </c>
      <c r="G3066" s="3">
        <v>5</v>
      </c>
      <c r="H3066" s="2"/>
    </row>
    <row r="3067" spans="1:8" ht="12.75" hidden="1" x14ac:dyDescent="0.2">
      <c r="A3067" s="3" t="s">
        <v>176</v>
      </c>
      <c r="B3067" s="3">
        <v>95</v>
      </c>
      <c r="C3067" s="4" t="s">
        <v>115</v>
      </c>
      <c r="D3067" s="3" t="s">
        <v>125</v>
      </c>
      <c r="E3067" s="3" t="s">
        <v>3</v>
      </c>
      <c r="F3067" s="3" t="str">
        <f t="shared" si="0"/>
        <v>1 - PJ</v>
      </c>
      <c r="G3067" s="3">
        <v>30</v>
      </c>
      <c r="H3067" s="2"/>
    </row>
    <row r="3068" spans="1:8" ht="12.75" hidden="1" x14ac:dyDescent="0.2">
      <c r="A3068" s="3" t="s">
        <v>176</v>
      </c>
      <c r="B3068" s="3">
        <v>95</v>
      </c>
      <c r="C3068" s="4" t="s">
        <v>115</v>
      </c>
      <c r="D3068" s="3" t="s">
        <v>125</v>
      </c>
      <c r="E3068" s="3" t="s">
        <v>16</v>
      </c>
      <c r="F3068" s="3" t="str">
        <f t="shared" si="0"/>
        <v>3 - Otros</v>
      </c>
      <c r="G3068" s="3">
        <v>3</v>
      </c>
      <c r="H3068" s="2"/>
    </row>
    <row r="3069" spans="1:8" ht="12.75" hidden="1" x14ac:dyDescent="0.2">
      <c r="A3069" s="3" t="s">
        <v>176</v>
      </c>
      <c r="B3069" s="3">
        <v>95</v>
      </c>
      <c r="C3069" s="4" t="s">
        <v>115</v>
      </c>
      <c r="D3069" s="3" t="s">
        <v>125</v>
      </c>
      <c r="E3069" s="3" t="s">
        <v>129</v>
      </c>
      <c r="F3069" s="3" t="str">
        <f t="shared" si="0"/>
        <v>3 - Otros</v>
      </c>
      <c r="G3069" s="3">
        <v>1</v>
      </c>
      <c r="H3069" s="2"/>
    </row>
    <row r="3070" spans="1:8" ht="12.75" hidden="1" x14ac:dyDescent="0.2">
      <c r="A3070" s="3" t="s">
        <v>176</v>
      </c>
      <c r="B3070" s="3">
        <v>95</v>
      </c>
      <c r="C3070" s="4" t="s">
        <v>115</v>
      </c>
      <c r="D3070" s="3" t="s">
        <v>125</v>
      </c>
      <c r="E3070" s="3" t="s">
        <v>132</v>
      </c>
      <c r="F3070" s="3" t="str">
        <f t="shared" si="0"/>
        <v>2 - Frepam</v>
      </c>
      <c r="G3070" s="3">
        <v>3</v>
      </c>
      <c r="H3070" s="2"/>
    </row>
    <row r="3071" spans="1:8" ht="12.75" hidden="1" x14ac:dyDescent="0.2">
      <c r="A3071" s="3" t="s">
        <v>176</v>
      </c>
      <c r="B3071" s="3">
        <v>95</v>
      </c>
      <c r="C3071" s="4" t="s">
        <v>115</v>
      </c>
      <c r="D3071" s="3" t="s">
        <v>125</v>
      </c>
      <c r="E3071" s="3" t="s">
        <v>134</v>
      </c>
      <c r="F3071" s="3" t="str">
        <f t="shared" si="0"/>
        <v>3 - Otros</v>
      </c>
      <c r="G3071" s="3">
        <v>0</v>
      </c>
      <c r="H3071" s="2"/>
    </row>
    <row r="3072" spans="1:8" ht="12.75" hidden="1" x14ac:dyDescent="0.2">
      <c r="A3072" s="3" t="s">
        <v>176</v>
      </c>
      <c r="B3072" s="3">
        <v>95</v>
      </c>
      <c r="C3072" s="4" t="s">
        <v>115</v>
      </c>
      <c r="D3072" s="3" t="s">
        <v>125</v>
      </c>
      <c r="E3072" s="3" t="s">
        <v>152</v>
      </c>
      <c r="F3072" s="3" t="str">
        <f t="shared" si="0"/>
        <v>2 - Frepam</v>
      </c>
      <c r="G3072" s="3">
        <v>53</v>
      </c>
      <c r="H3072" s="2"/>
    </row>
    <row r="3073" spans="1:8" ht="12.75" hidden="1" x14ac:dyDescent="0.2">
      <c r="A3073" s="3" t="s">
        <v>176</v>
      </c>
      <c r="B3073" s="3">
        <v>95</v>
      </c>
      <c r="C3073" s="4" t="s">
        <v>115</v>
      </c>
      <c r="D3073" s="3" t="s">
        <v>125</v>
      </c>
      <c r="E3073" s="3" t="s">
        <v>138</v>
      </c>
      <c r="F3073" s="3" t="str">
        <f t="shared" si="0"/>
        <v>4 - Blanco/Nulo</v>
      </c>
      <c r="G3073" s="3">
        <v>0</v>
      </c>
      <c r="H3073" s="2"/>
    </row>
    <row r="3074" spans="1:8" ht="12.75" hidden="1" x14ac:dyDescent="0.2">
      <c r="A3074" s="3" t="s">
        <v>176</v>
      </c>
      <c r="B3074" s="3">
        <v>95</v>
      </c>
      <c r="C3074" s="4" t="s">
        <v>115</v>
      </c>
      <c r="D3074" s="3" t="s">
        <v>125</v>
      </c>
      <c r="E3074" s="3" t="s">
        <v>14</v>
      </c>
      <c r="F3074" s="3" t="str">
        <f t="shared" si="0"/>
        <v>4 - Blanco/Nulo</v>
      </c>
      <c r="G3074" s="3">
        <v>7</v>
      </c>
      <c r="H3074" s="2"/>
    </row>
    <row r="3075" spans="1:8" ht="12.75" hidden="1" x14ac:dyDescent="0.2">
      <c r="A3075" s="3" t="s">
        <v>176</v>
      </c>
      <c r="B3075" s="2">
        <v>2100</v>
      </c>
      <c r="C3075" s="4" t="s">
        <v>177</v>
      </c>
      <c r="D3075" s="3" t="s">
        <v>125</v>
      </c>
      <c r="E3075" s="3" t="s">
        <v>3</v>
      </c>
      <c r="F3075" s="3" t="str">
        <f t="shared" si="0"/>
        <v>1 - PJ</v>
      </c>
      <c r="G3075" s="3">
        <v>27</v>
      </c>
      <c r="H3075" s="2"/>
    </row>
    <row r="3076" spans="1:8" ht="12.75" hidden="1" x14ac:dyDescent="0.2">
      <c r="A3076" s="3" t="s">
        <v>176</v>
      </c>
      <c r="B3076" s="2">
        <v>2100</v>
      </c>
      <c r="C3076" s="4" t="s">
        <v>177</v>
      </c>
      <c r="D3076" s="3" t="s">
        <v>125</v>
      </c>
      <c r="E3076" s="3" t="s">
        <v>16</v>
      </c>
      <c r="F3076" s="3" t="str">
        <f t="shared" si="0"/>
        <v>3 - Otros</v>
      </c>
      <c r="G3076" s="3">
        <v>3</v>
      </c>
      <c r="H3076" s="2"/>
    </row>
    <row r="3077" spans="1:8" ht="12.75" hidden="1" x14ac:dyDescent="0.2">
      <c r="A3077" s="3" t="s">
        <v>176</v>
      </c>
      <c r="B3077" s="2">
        <v>2100</v>
      </c>
      <c r="C3077" s="4" t="s">
        <v>177</v>
      </c>
      <c r="D3077" s="3" t="s">
        <v>125</v>
      </c>
      <c r="E3077" s="3" t="s">
        <v>129</v>
      </c>
      <c r="F3077" s="3" t="str">
        <f t="shared" si="0"/>
        <v>3 - Otros</v>
      </c>
      <c r="G3077" s="3">
        <v>5</v>
      </c>
      <c r="H3077" s="2"/>
    </row>
    <row r="3078" spans="1:8" ht="12.75" hidden="1" x14ac:dyDescent="0.2">
      <c r="A3078" s="3" t="s">
        <v>176</v>
      </c>
      <c r="B3078" s="2">
        <v>2100</v>
      </c>
      <c r="C3078" s="4" t="s">
        <v>177</v>
      </c>
      <c r="D3078" s="3" t="s">
        <v>125</v>
      </c>
      <c r="E3078" s="3" t="s">
        <v>132</v>
      </c>
      <c r="F3078" s="3" t="str">
        <f t="shared" si="0"/>
        <v>2 - Frepam</v>
      </c>
      <c r="G3078" s="3">
        <v>4</v>
      </c>
      <c r="H3078" s="2"/>
    </row>
    <row r="3079" spans="1:8" ht="12.75" hidden="1" x14ac:dyDescent="0.2">
      <c r="A3079" s="3" t="s">
        <v>176</v>
      </c>
      <c r="B3079" s="2">
        <v>2100</v>
      </c>
      <c r="C3079" s="4" t="s">
        <v>177</v>
      </c>
      <c r="D3079" s="3" t="s">
        <v>125</v>
      </c>
      <c r="E3079" s="3" t="s">
        <v>134</v>
      </c>
      <c r="F3079" s="3" t="str">
        <f t="shared" si="0"/>
        <v>3 - Otros</v>
      </c>
      <c r="G3079" s="3">
        <v>3</v>
      </c>
      <c r="H3079" s="2"/>
    </row>
    <row r="3080" spans="1:8" ht="12.75" hidden="1" x14ac:dyDescent="0.2">
      <c r="A3080" s="3" t="s">
        <v>176</v>
      </c>
      <c r="B3080" s="2">
        <v>2100</v>
      </c>
      <c r="C3080" s="4" t="s">
        <v>177</v>
      </c>
      <c r="D3080" s="3" t="s">
        <v>125</v>
      </c>
      <c r="E3080" s="3" t="s">
        <v>126</v>
      </c>
      <c r="F3080" s="3" t="str">
        <f t="shared" si="0"/>
        <v>2 - Frepam</v>
      </c>
      <c r="G3080" s="3">
        <v>16</v>
      </c>
      <c r="H3080" s="2"/>
    </row>
    <row r="3081" spans="1:8" ht="12.75" hidden="1" x14ac:dyDescent="0.2">
      <c r="A3081" s="3" t="s">
        <v>176</v>
      </c>
      <c r="B3081" s="2">
        <v>2100</v>
      </c>
      <c r="C3081" s="4" t="s">
        <v>177</v>
      </c>
      <c r="D3081" s="3" t="s">
        <v>125</v>
      </c>
      <c r="E3081" s="3" t="s">
        <v>138</v>
      </c>
      <c r="F3081" s="3" t="str">
        <f t="shared" si="0"/>
        <v>4 - Blanco/Nulo</v>
      </c>
      <c r="G3081" s="3">
        <v>7</v>
      </c>
      <c r="H3081" s="2"/>
    </row>
    <row r="3082" spans="1:8" ht="12.75" hidden="1" x14ac:dyDescent="0.2">
      <c r="A3082" s="3" t="s">
        <v>176</v>
      </c>
      <c r="B3082" s="2">
        <v>2100</v>
      </c>
      <c r="C3082" s="4" t="s">
        <v>177</v>
      </c>
      <c r="D3082" s="3" t="s">
        <v>125</v>
      </c>
      <c r="E3082" s="3" t="s">
        <v>14</v>
      </c>
      <c r="F3082" s="3" t="str">
        <f t="shared" si="0"/>
        <v>4 - Blanco/Nulo</v>
      </c>
      <c r="G3082" s="3">
        <v>4</v>
      </c>
      <c r="H3082" s="2"/>
    </row>
  </sheetData>
  <autoFilter ref="A3:G3082" xr:uid="{00000000-0009-0000-0000-000001000000}">
    <filterColumn colId="0">
      <filters>
        <filter val="2019GRAL"/>
      </filters>
    </filterColumn>
    <filterColumn colId="1">
      <filters>
        <filter val="1"/>
        <filter val="14"/>
        <filter val="2100"/>
        <filter val="58"/>
        <filter val="60"/>
        <filter val="67"/>
        <filter val="70"/>
        <filter val="83"/>
        <filter val="84"/>
        <filter val="85"/>
      </filters>
    </filterColumn>
  </autoFilter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'2017-Primarias'!$I$4:$I$11</xm:f>
          </x14:formula1>
          <xm:sqref>D2379:D3082</xm:sqref>
        </x14:dataValidation>
        <x14:dataValidation type="list" allowBlank="1" xr:uid="{00000000-0002-0000-0100-000001000000}">
          <x14:formula1>
            <xm:f>'2017-Primarias'!$J$4:$J$85</xm:f>
          </x14:formula1>
          <xm:sqref>E2379:E3082</xm:sqref>
        </x14:dataValidation>
        <x14:dataValidation type="list" allowBlank="1" xr:uid="{00000000-0002-0000-0100-000002000000}">
          <x14:formula1>
            <xm:f>'Copia de Localidades'!$A$4:$A$102</xm:f>
          </x14:formula1>
          <xm:sqref>C2379:C3082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124"/>
  <sheetViews>
    <sheetView workbookViewId="0"/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24.28515625" customWidth="1"/>
    <col min="8" max="8" width="5.85546875" customWidth="1"/>
    <col min="9" max="9" width="10.28515625" customWidth="1"/>
    <col min="10" max="10" width="29.28515625" customWidth="1"/>
    <col min="11" max="11" width="39.28515625" customWidth="1"/>
  </cols>
  <sheetData>
    <row r="1" spans="1:11" ht="15.75" customHeight="1" x14ac:dyDescent="0.2">
      <c r="G1" s="13"/>
    </row>
    <row r="2" spans="1:11" ht="15.75" customHeight="1" x14ac:dyDescent="0.2">
      <c r="G2" s="13"/>
    </row>
    <row r="3" spans="1:11" ht="15.75" customHeight="1" x14ac:dyDescent="0.2">
      <c r="G3" s="13"/>
      <c r="J3" s="14" t="s">
        <v>0</v>
      </c>
      <c r="K3" s="14" t="s">
        <v>1</v>
      </c>
    </row>
    <row r="4" spans="1:11" ht="15.75" customHeight="1" x14ac:dyDescent="0.2">
      <c r="G4" s="13"/>
      <c r="J4" s="3" t="s">
        <v>2</v>
      </c>
      <c r="K4" s="3" t="s">
        <v>3</v>
      </c>
    </row>
    <row r="5" spans="1:11" ht="15.75" customHeight="1" x14ac:dyDescent="0.2">
      <c r="A5" s="31" t="s">
        <v>4</v>
      </c>
      <c r="B5" s="31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3" t="s">
        <v>9</v>
      </c>
      <c r="J5" s="3" t="s">
        <v>10</v>
      </c>
      <c r="K5" s="3" t="s">
        <v>11</v>
      </c>
    </row>
    <row r="6" spans="1:11" ht="15.75" customHeight="1" x14ac:dyDescent="0.2">
      <c r="A6" s="3">
        <v>1</v>
      </c>
      <c r="B6" s="3" t="s">
        <v>12</v>
      </c>
      <c r="C6" s="3" t="s">
        <v>2</v>
      </c>
      <c r="D6" s="3" t="s">
        <v>279</v>
      </c>
      <c r="E6" s="3">
        <v>722</v>
      </c>
      <c r="G6" s="56">
        <v>1246</v>
      </c>
      <c r="J6" s="3" t="s">
        <v>13</v>
      </c>
      <c r="K6" s="3" t="s">
        <v>14</v>
      </c>
    </row>
    <row r="7" spans="1:11" ht="15.75" customHeight="1" x14ac:dyDescent="0.2">
      <c r="A7" s="3">
        <v>1</v>
      </c>
      <c r="B7" s="3" t="s">
        <v>12</v>
      </c>
      <c r="C7" s="3" t="s">
        <v>2</v>
      </c>
      <c r="D7" s="3" t="s">
        <v>3</v>
      </c>
      <c r="E7" s="3">
        <v>457</v>
      </c>
      <c r="G7" s="57"/>
      <c r="J7" s="3" t="s">
        <v>15</v>
      </c>
      <c r="K7" s="3" t="s">
        <v>16</v>
      </c>
    </row>
    <row r="8" spans="1:11" ht="15.75" customHeight="1" x14ac:dyDescent="0.2">
      <c r="A8" s="3">
        <v>1</v>
      </c>
      <c r="B8" s="3" t="s">
        <v>12</v>
      </c>
      <c r="C8" s="3" t="s">
        <v>2</v>
      </c>
      <c r="D8" s="3" t="s">
        <v>14</v>
      </c>
      <c r="E8" s="3">
        <v>65</v>
      </c>
      <c r="F8">
        <f>SUM(E6:E8)</f>
        <v>1244</v>
      </c>
      <c r="G8" s="57"/>
      <c r="J8" s="3" t="s">
        <v>17</v>
      </c>
      <c r="K8" s="3" t="s">
        <v>18</v>
      </c>
    </row>
    <row r="9" spans="1:11" ht="15.75" customHeight="1" x14ac:dyDescent="0.2">
      <c r="A9" s="3">
        <v>1</v>
      </c>
      <c r="B9" s="3" t="s">
        <v>12</v>
      </c>
      <c r="C9" s="3" t="s">
        <v>10</v>
      </c>
      <c r="D9" s="3" t="s">
        <v>279</v>
      </c>
      <c r="E9" s="3">
        <v>711</v>
      </c>
      <c r="G9" s="57"/>
      <c r="K9" s="3" t="s">
        <v>19</v>
      </c>
    </row>
    <row r="10" spans="1:11" ht="15.75" customHeight="1" x14ac:dyDescent="0.2">
      <c r="A10" s="3">
        <v>1</v>
      </c>
      <c r="B10" s="3" t="s">
        <v>12</v>
      </c>
      <c r="C10" s="3" t="s">
        <v>10</v>
      </c>
      <c r="D10" s="3" t="s">
        <v>3</v>
      </c>
      <c r="E10" s="3">
        <v>437</v>
      </c>
      <c r="G10" s="57"/>
      <c r="K10" s="3" t="s">
        <v>20</v>
      </c>
    </row>
    <row r="11" spans="1:11" ht="15.75" customHeight="1" x14ac:dyDescent="0.2">
      <c r="A11" s="3">
        <v>1</v>
      </c>
      <c r="B11" s="3" t="s">
        <v>12</v>
      </c>
      <c r="C11" s="3" t="s">
        <v>10</v>
      </c>
      <c r="D11" s="3" t="s">
        <v>14</v>
      </c>
      <c r="E11" s="3">
        <v>97</v>
      </c>
      <c r="F11">
        <f>SUM(E9:E11)</f>
        <v>1245</v>
      </c>
      <c r="G11" s="57"/>
      <c r="K11" s="3" t="s">
        <v>21</v>
      </c>
    </row>
    <row r="12" spans="1:11" ht="15.75" customHeight="1" x14ac:dyDescent="0.2">
      <c r="A12" s="3">
        <v>1</v>
      </c>
      <c r="B12" s="3" t="s">
        <v>12</v>
      </c>
      <c r="C12" s="3" t="s">
        <v>13</v>
      </c>
      <c r="D12" s="3" t="s">
        <v>279</v>
      </c>
      <c r="E12" s="3">
        <v>761</v>
      </c>
      <c r="G12" s="57"/>
      <c r="K12" s="3" t="s">
        <v>22</v>
      </c>
    </row>
    <row r="13" spans="1:11" ht="15.75" customHeight="1" x14ac:dyDescent="0.2">
      <c r="A13" s="3">
        <v>1</v>
      </c>
      <c r="B13" s="3" t="s">
        <v>12</v>
      </c>
      <c r="C13" s="3" t="s">
        <v>13</v>
      </c>
      <c r="D13" s="3" t="s">
        <v>3</v>
      </c>
      <c r="E13" s="3">
        <v>404</v>
      </c>
      <c r="G13" s="57"/>
      <c r="K13" s="3" t="s">
        <v>23</v>
      </c>
    </row>
    <row r="14" spans="1:11" ht="15.75" customHeight="1" x14ac:dyDescent="0.2">
      <c r="A14" s="3">
        <v>1</v>
      </c>
      <c r="B14" s="3" t="s">
        <v>12</v>
      </c>
      <c r="C14" s="3" t="s">
        <v>13</v>
      </c>
      <c r="D14" s="3" t="s">
        <v>14</v>
      </c>
      <c r="E14" s="3">
        <v>81</v>
      </c>
      <c r="F14">
        <f>SUM(E12:E14)</f>
        <v>1246</v>
      </c>
      <c r="G14" s="57"/>
      <c r="K14" s="3" t="s">
        <v>24</v>
      </c>
    </row>
    <row r="15" spans="1:11" ht="15.75" customHeight="1" x14ac:dyDescent="0.2">
      <c r="A15" s="3">
        <v>2</v>
      </c>
      <c r="B15" s="3" t="s">
        <v>25</v>
      </c>
      <c r="C15" s="3" t="s">
        <v>2</v>
      </c>
      <c r="D15" s="3" t="s">
        <v>279</v>
      </c>
      <c r="E15" s="3">
        <v>1551</v>
      </c>
      <c r="G15" s="56">
        <v>3401</v>
      </c>
      <c r="K15" s="3" t="s">
        <v>26</v>
      </c>
    </row>
    <row r="16" spans="1:11" ht="15.75" customHeight="1" x14ac:dyDescent="0.2">
      <c r="A16" s="3">
        <v>2</v>
      </c>
      <c r="B16" s="3" t="s">
        <v>25</v>
      </c>
      <c r="C16" s="3" t="s">
        <v>2</v>
      </c>
      <c r="D16" s="3" t="s">
        <v>3</v>
      </c>
      <c r="E16" s="3">
        <v>1695</v>
      </c>
      <c r="G16" s="57"/>
      <c r="K16" s="3" t="s">
        <v>27</v>
      </c>
    </row>
    <row r="17" spans="1:11" ht="15.75" customHeight="1" x14ac:dyDescent="0.2">
      <c r="A17" s="3">
        <v>2</v>
      </c>
      <c r="B17" s="3" t="s">
        <v>25</v>
      </c>
      <c r="C17" s="3" t="s">
        <v>2</v>
      </c>
      <c r="D17" s="3" t="s">
        <v>14</v>
      </c>
      <c r="E17" s="3">
        <v>144</v>
      </c>
      <c r="F17">
        <f>SUM(E15:E17)</f>
        <v>3390</v>
      </c>
      <c r="G17" s="57"/>
      <c r="K17" s="3" t="s">
        <v>28</v>
      </c>
    </row>
    <row r="18" spans="1:11" ht="15.75" customHeight="1" x14ac:dyDescent="0.2">
      <c r="A18" s="3">
        <v>2</v>
      </c>
      <c r="B18" s="3" t="s">
        <v>25</v>
      </c>
      <c r="C18" s="3" t="s">
        <v>10</v>
      </c>
      <c r="D18" s="3" t="s">
        <v>279</v>
      </c>
      <c r="E18" s="3">
        <v>1400</v>
      </c>
      <c r="G18" s="57"/>
      <c r="K18" s="3" t="s">
        <v>29</v>
      </c>
    </row>
    <row r="19" spans="1:11" ht="15.75" customHeight="1" x14ac:dyDescent="0.2">
      <c r="A19" s="3">
        <v>2</v>
      </c>
      <c r="B19" s="3" t="s">
        <v>25</v>
      </c>
      <c r="C19" s="3" t="s">
        <v>10</v>
      </c>
      <c r="D19" s="3" t="s">
        <v>282</v>
      </c>
      <c r="E19" s="3">
        <v>203</v>
      </c>
      <c r="G19" s="57"/>
      <c r="K19" s="3" t="s">
        <v>30</v>
      </c>
    </row>
    <row r="20" spans="1:11" ht="15.75" customHeight="1" x14ac:dyDescent="0.2">
      <c r="A20" s="3">
        <v>2</v>
      </c>
      <c r="B20" s="3" t="s">
        <v>25</v>
      </c>
      <c r="C20" s="3" t="s">
        <v>10</v>
      </c>
      <c r="D20" s="3" t="s">
        <v>3</v>
      </c>
      <c r="E20" s="3">
        <v>1679</v>
      </c>
      <c r="G20" s="57"/>
      <c r="K20" s="3" t="s">
        <v>31</v>
      </c>
    </row>
    <row r="21" spans="1:11" ht="15.75" customHeight="1" x14ac:dyDescent="0.2">
      <c r="A21" s="3">
        <v>2</v>
      </c>
      <c r="B21" s="3" t="s">
        <v>25</v>
      </c>
      <c r="C21" s="3" t="s">
        <v>10</v>
      </c>
      <c r="D21" s="3" t="s">
        <v>14</v>
      </c>
      <c r="E21" s="3">
        <v>108</v>
      </c>
      <c r="F21">
        <f>SUM(E18:E21)</f>
        <v>3390</v>
      </c>
      <c r="G21" s="57"/>
      <c r="K21" s="3" t="s">
        <v>32</v>
      </c>
    </row>
    <row r="22" spans="1:11" ht="15.75" customHeight="1" x14ac:dyDescent="0.2">
      <c r="A22" s="3">
        <v>2</v>
      </c>
      <c r="B22" s="3" t="s">
        <v>25</v>
      </c>
      <c r="C22" s="3" t="s">
        <v>13</v>
      </c>
      <c r="D22" s="3" t="s">
        <v>279</v>
      </c>
      <c r="E22" s="3">
        <v>1669</v>
      </c>
      <c r="G22" s="57"/>
      <c r="K22" s="3" t="s">
        <v>33</v>
      </c>
    </row>
    <row r="23" spans="1:11" ht="15.75" customHeight="1" x14ac:dyDescent="0.2">
      <c r="A23" s="3">
        <v>2</v>
      </c>
      <c r="B23" s="3" t="s">
        <v>25</v>
      </c>
      <c r="C23" s="3" t="s">
        <v>13</v>
      </c>
      <c r="D23" s="3" t="s">
        <v>3</v>
      </c>
      <c r="E23" s="3">
        <v>1577</v>
      </c>
      <c r="G23" s="57"/>
      <c r="K23" s="3" t="s">
        <v>34</v>
      </c>
    </row>
    <row r="24" spans="1:11" ht="15.75" customHeight="1" x14ac:dyDescent="0.2">
      <c r="A24" s="3">
        <v>2</v>
      </c>
      <c r="B24" s="3" t="s">
        <v>25</v>
      </c>
      <c r="C24" s="3" t="s">
        <v>13</v>
      </c>
      <c r="D24" s="3" t="s">
        <v>14</v>
      </c>
      <c r="E24" s="3">
        <v>145</v>
      </c>
      <c r="F24">
        <f>SUM(E22:E24)</f>
        <v>3391</v>
      </c>
      <c r="G24" s="57"/>
      <c r="K24" s="3" t="s">
        <v>279</v>
      </c>
    </row>
    <row r="25" spans="1:11" ht="15.75" customHeight="1" x14ac:dyDescent="0.2">
      <c r="A25" s="3">
        <v>3</v>
      </c>
      <c r="B25" s="3" t="s">
        <v>35</v>
      </c>
      <c r="C25" s="3" t="s">
        <v>2</v>
      </c>
      <c r="D25" s="3" t="s">
        <v>279</v>
      </c>
      <c r="E25" s="3">
        <v>1025</v>
      </c>
      <c r="G25" s="56">
        <v>1678</v>
      </c>
      <c r="K25" s="3" t="s">
        <v>280</v>
      </c>
    </row>
    <row r="26" spans="1:11" ht="15.75" customHeight="1" x14ac:dyDescent="0.2">
      <c r="A26" s="3">
        <v>3</v>
      </c>
      <c r="B26" s="3" t="s">
        <v>35</v>
      </c>
      <c r="C26" s="3" t="s">
        <v>2</v>
      </c>
      <c r="D26" s="3" t="s">
        <v>283</v>
      </c>
      <c r="E26" s="3">
        <v>327</v>
      </c>
      <c r="G26" s="57"/>
      <c r="K26" s="3" t="s">
        <v>282</v>
      </c>
    </row>
    <row r="27" spans="1:11" ht="15.75" customHeight="1" x14ac:dyDescent="0.2">
      <c r="A27" s="3">
        <v>3</v>
      </c>
      <c r="B27" s="3" t="s">
        <v>35</v>
      </c>
      <c r="C27" s="3" t="s">
        <v>2</v>
      </c>
      <c r="D27" s="3" t="s">
        <v>3</v>
      </c>
      <c r="E27" s="3">
        <v>256</v>
      </c>
      <c r="G27" s="57"/>
      <c r="K27" s="3" t="s">
        <v>283</v>
      </c>
    </row>
    <row r="28" spans="1:11" ht="15.75" customHeight="1" x14ac:dyDescent="0.2">
      <c r="A28" s="3">
        <v>3</v>
      </c>
      <c r="B28" s="3" t="s">
        <v>35</v>
      </c>
      <c r="C28" s="3" t="s">
        <v>2</v>
      </c>
      <c r="D28" s="3" t="s">
        <v>14</v>
      </c>
      <c r="E28" s="3">
        <v>53</v>
      </c>
      <c r="F28">
        <f>SUM(E25:E28)</f>
        <v>1661</v>
      </c>
      <c r="G28" s="57"/>
      <c r="K28" s="3" t="s">
        <v>284</v>
      </c>
    </row>
    <row r="29" spans="1:11" ht="15.75" customHeight="1" x14ac:dyDescent="0.2">
      <c r="A29" s="3">
        <v>3</v>
      </c>
      <c r="B29" s="3" t="s">
        <v>35</v>
      </c>
      <c r="C29" s="3" t="s">
        <v>10</v>
      </c>
      <c r="D29" s="3" t="s">
        <v>279</v>
      </c>
      <c r="E29" s="3">
        <v>1034</v>
      </c>
      <c r="G29" s="57"/>
      <c r="K29" s="3" t="s">
        <v>285</v>
      </c>
    </row>
    <row r="30" spans="1:11" ht="15.75" customHeight="1" x14ac:dyDescent="0.2">
      <c r="A30" s="3">
        <v>3</v>
      </c>
      <c r="B30" s="3" t="s">
        <v>35</v>
      </c>
      <c r="C30" s="3" t="s">
        <v>10</v>
      </c>
      <c r="D30" s="3" t="s">
        <v>283</v>
      </c>
      <c r="E30" s="3">
        <v>273</v>
      </c>
      <c r="G30" s="57"/>
      <c r="K30" s="3" t="s">
        <v>286</v>
      </c>
    </row>
    <row r="31" spans="1:11" ht="15.75" customHeight="1" x14ac:dyDescent="0.2">
      <c r="A31" s="3">
        <v>3</v>
      </c>
      <c r="B31" s="3" t="s">
        <v>35</v>
      </c>
      <c r="C31" s="3" t="s">
        <v>10</v>
      </c>
      <c r="D31" s="3" t="s">
        <v>3</v>
      </c>
      <c r="E31" s="3">
        <v>262</v>
      </c>
      <c r="G31" s="57"/>
      <c r="K31" s="3" t="s">
        <v>149</v>
      </c>
    </row>
    <row r="32" spans="1:11" ht="15.75" customHeight="1" x14ac:dyDescent="0.2">
      <c r="A32" s="3">
        <v>3</v>
      </c>
      <c r="B32" s="3" t="s">
        <v>35</v>
      </c>
      <c r="C32" s="3" t="s">
        <v>10</v>
      </c>
      <c r="D32" s="3" t="s">
        <v>14</v>
      </c>
      <c r="E32" s="3">
        <v>93</v>
      </c>
      <c r="F32">
        <f>SUM(E29:E32)</f>
        <v>1662</v>
      </c>
      <c r="G32" s="57"/>
      <c r="K32" s="3" t="s">
        <v>287</v>
      </c>
    </row>
    <row r="33" spans="1:11" ht="15.75" customHeight="1" x14ac:dyDescent="0.2">
      <c r="A33" s="3">
        <v>3</v>
      </c>
      <c r="B33" s="3" t="s">
        <v>35</v>
      </c>
      <c r="C33" s="3" t="s">
        <v>13</v>
      </c>
      <c r="D33" s="3" t="s">
        <v>279</v>
      </c>
      <c r="E33" s="3">
        <v>1046</v>
      </c>
      <c r="G33" s="57"/>
      <c r="K33" s="3" t="s">
        <v>288</v>
      </c>
    </row>
    <row r="34" spans="1:11" ht="15.75" customHeight="1" x14ac:dyDescent="0.2">
      <c r="A34" s="3">
        <v>3</v>
      </c>
      <c r="B34" s="3" t="s">
        <v>35</v>
      </c>
      <c r="C34" s="3" t="s">
        <v>13</v>
      </c>
      <c r="D34" s="3" t="s">
        <v>283</v>
      </c>
      <c r="E34" s="3">
        <v>266</v>
      </c>
      <c r="G34" s="57"/>
      <c r="K34" s="3" t="s">
        <v>289</v>
      </c>
    </row>
    <row r="35" spans="1:11" ht="15.75" customHeight="1" x14ac:dyDescent="0.2">
      <c r="A35" s="3">
        <v>3</v>
      </c>
      <c r="B35" s="3" t="s">
        <v>35</v>
      </c>
      <c r="C35" s="3" t="s">
        <v>13</v>
      </c>
      <c r="D35" s="3" t="s">
        <v>3</v>
      </c>
      <c r="E35" s="3">
        <v>280</v>
      </c>
      <c r="G35" s="57"/>
      <c r="K35" s="3" t="s">
        <v>290</v>
      </c>
    </row>
    <row r="36" spans="1:11" ht="15.75" customHeight="1" x14ac:dyDescent="0.2">
      <c r="A36" s="3">
        <v>3</v>
      </c>
      <c r="B36" s="3" t="s">
        <v>35</v>
      </c>
      <c r="C36" s="3" t="s">
        <v>13</v>
      </c>
      <c r="D36" s="3" t="s">
        <v>14</v>
      </c>
      <c r="E36" s="3">
        <v>79</v>
      </c>
      <c r="F36">
        <f>SUM(E33:E36)</f>
        <v>1671</v>
      </c>
      <c r="G36" s="57"/>
      <c r="K36" s="3" t="s">
        <v>291</v>
      </c>
    </row>
    <row r="37" spans="1:11" ht="15.75" customHeight="1" x14ac:dyDescent="0.2">
      <c r="A37" s="3">
        <v>4</v>
      </c>
      <c r="B37" s="3" t="s">
        <v>36</v>
      </c>
      <c r="C37" s="3" t="s">
        <v>2</v>
      </c>
      <c r="D37" s="3" t="s">
        <v>279</v>
      </c>
      <c r="E37" s="3">
        <v>212</v>
      </c>
      <c r="G37" s="56">
        <v>558</v>
      </c>
      <c r="K37" s="3" t="s">
        <v>292</v>
      </c>
    </row>
    <row r="38" spans="1:11" ht="12.75" x14ac:dyDescent="0.2">
      <c r="A38" s="3">
        <v>4</v>
      </c>
      <c r="B38" s="3" t="s">
        <v>36</v>
      </c>
      <c r="C38" s="3" t="s">
        <v>2</v>
      </c>
      <c r="D38" s="3" t="s">
        <v>3</v>
      </c>
      <c r="E38" s="3">
        <v>326</v>
      </c>
      <c r="G38" s="57"/>
      <c r="K38" s="3" t="s">
        <v>293</v>
      </c>
    </row>
    <row r="39" spans="1:11" ht="12.75" x14ac:dyDescent="0.2">
      <c r="A39" s="3">
        <v>4</v>
      </c>
      <c r="B39" s="3" t="s">
        <v>36</v>
      </c>
      <c r="C39" s="3" t="s">
        <v>2</v>
      </c>
      <c r="D39" s="3" t="s">
        <v>14</v>
      </c>
      <c r="E39" s="3">
        <v>20</v>
      </c>
      <c r="F39">
        <f>SUM(E37:E39)</f>
        <v>558</v>
      </c>
      <c r="G39" s="57"/>
      <c r="K39" s="3" t="s">
        <v>140</v>
      </c>
    </row>
    <row r="40" spans="1:11" ht="12.75" x14ac:dyDescent="0.2">
      <c r="A40" s="3">
        <v>4</v>
      </c>
      <c r="B40" s="3" t="s">
        <v>36</v>
      </c>
      <c r="C40" s="3" t="s">
        <v>10</v>
      </c>
      <c r="D40" s="3" t="s">
        <v>279</v>
      </c>
      <c r="E40" s="3">
        <v>215</v>
      </c>
      <c r="G40" s="57"/>
      <c r="K40" s="3" t="s">
        <v>294</v>
      </c>
    </row>
    <row r="41" spans="1:11" ht="12.75" x14ac:dyDescent="0.2">
      <c r="A41" s="3">
        <v>4</v>
      </c>
      <c r="B41" s="3" t="s">
        <v>36</v>
      </c>
      <c r="C41" s="3" t="s">
        <v>10</v>
      </c>
      <c r="D41" s="3" t="s">
        <v>3</v>
      </c>
      <c r="E41" s="3">
        <v>319</v>
      </c>
      <c r="G41" s="57"/>
      <c r="K41" s="3" t="s">
        <v>295</v>
      </c>
    </row>
    <row r="42" spans="1:11" ht="12.75" x14ac:dyDescent="0.2">
      <c r="A42" s="3">
        <v>4</v>
      </c>
      <c r="B42" s="3" t="s">
        <v>36</v>
      </c>
      <c r="C42" s="3" t="s">
        <v>10</v>
      </c>
      <c r="D42" s="3" t="s">
        <v>14</v>
      </c>
      <c r="E42" s="3">
        <v>24</v>
      </c>
      <c r="F42">
        <f>SUM(E40:E42)</f>
        <v>558</v>
      </c>
      <c r="G42" s="57"/>
      <c r="K42" s="3" t="s">
        <v>296</v>
      </c>
    </row>
    <row r="43" spans="1:11" ht="12.75" x14ac:dyDescent="0.2">
      <c r="A43" s="3">
        <v>4</v>
      </c>
      <c r="B43" s="3" t="s">
        <v>36</v>
      </c>
      <c r="C43" s="3" t="s">
        <v>13</v>
      </c>
      <c r="D43" s="3" t="s">
        <v>279</v>
      </c>
      <c r="E43" s="3">
        <v>207</v>
      </c>
      <c r="G43" s="57"/>
      <c r="K43" s="3" t="s">
        <v>297</v>
      </c>
    </row>
    <row r="44" spans="1:11" ht="12.75" x14ac:dyDescent="0.2">
      <c r="A44" s="3">
        <v>4</v>
      </c>
      <c r="B44" s="3" t="s">
        <v>36</v>
      </c>
      <c r="C44" s="3" t="s">
        <v>13</v>
      </c>
      <c r="D44" s="3" t="s">
        <v>3</v>
      </c>
      <c r="E44" s="3">
        <v>324</v>
      </c>
      <c r="G44" s="57"/>
      <c r="K44" s="3" t="s">
        <v>298</v>
      </c>
    </row>
    <row r="45" spans="1:11" ht="12.75" x14ac:dyDescent="0.2">
      <c r="A45" s="3">
        <v>4</v>
      </c>
      <c r="B45" s="3" t="s">
        <v>36</v>
      </c>
      <c r="C45" s="3" t="s">
        <v>13</v>
      </c>
      <c r="D45" s="3" t="s">
        <v>14</v>
      </c>
      <c r="E45" s="3">
        <v>27</v>
      </c>
      <c r="F45">
        <f>SUM(E43:E45)</f>
        <v>558</v>
      </c>
      <c r="G45" s="57"/>
      <c r="K45" s="3" t="s">
        <v>299</v>
      </c>
    </row>
    <row r="46" spans="1:11" ht="12.75" x14ac:dyDescent="0.2">
      <c r="A46" s="3">
        <v>5</v>
      </c>
      <c r="B46" s="3" t="s">
        <v>37</v>
      </c>
      <c r="C46" s="3" t="s">
        <v>2</v>
      </c>
      <c r="D46" s="3" t="s">
        <v>279</v>
      </c>
      <c r="E46" s="3">
        <v>248</v>
      </c>
      <c r="G46" s="56">
        <v>365</v>
      </c>
      <c r="K46" s="3" t="s">
        <v>300</v>
      </c>
    </row>
    <row r="47" spans="1:11" ht="12.75" x14ac:dyDescent="0.2">
      <c r="A47" s="3">
        <v>5</v>
      </c>
      <c r="B47" s="3" t="s">
        <v>37</v>
      </c>
      <c r="C47" s="3" t="s">
        <v>2</v>
      </c>
      <c r="D47" s="3" t="s">
        <v>14</v>
      </c>
      <c r="E47" s="3">
        <v>117</v>
      </c>
      <c r="F47">
        <f>SUM(E46:E47)</f>
        <v>365</v>
      </c>
      <c r="G47" s="57"/>
      <c r="K47" s="3" t="s">
        <v>301</v>
      </c>
    </row>
    <row r="48" spans="1:11" ht="12.75" x14ac:dyDescent="0.2">
      <c r="A48" s="3">
        <v>5</v>
      </c>
      <c r="B48" s="3" t="s">
        <v>37</v>
      </c>
      <c r="C48" s="3" t="s">
        <v>10</v>
      </c>
      <c r="D48" s="3" t="s">
        <v>279</v>
      </c>
      <c r="E48" s="3">
        <v>252</v>
      </c>
      <c r="G48" s="57"/>
      <c r="K48" s="3" t="s">
        <v>302</v>
      </c>
    </row>
    <row r="49" spans="1:11" ht="12.75" x14ac:dyDescent="0.2">
      <c r="A49" s="3">
        <v>5</v>
      </c>
      <c r="B49" s="3" t="s">
        <v>37</v>
      </c>
      <c r="C49" s="3" t="s">
        <v>10</v>
      </c>
      <c r="D49" s="3" t="s">
        <v>3</v>
      </c>
      <c r="E49" s="3">
        <v>77</v>
      </c>
      <c r="G49" s="57"/>
      <c r="K49" s="3" t="s">
        <v>303</v>
      </c>
    </row>
    <row r="50" spans="1:11" ht="12.75" x14ac:dyDescent="0.2">
      <c r="A50" s="3">
        <v>5</v>
      </c>
      <c r="B50" s="3" t="s">
        <v>37</v>
      </c>
      <c r="C50" s="3" t="s">
        <v>10</v>
      </c>
      <c r="D50" s="3" t="s">
        <v>14</v>
      </c>
      <c r="E50" s="3">
        <v>36</v>
      </c>
      <c r="F50">
        <f>SUM(E48:E50)</f>
        <v>365</v>
      </c>
      <c r="G50" s="57"/>
      <c r="K50" s="3" t="s">
        <v>304</v>
      </c>
    </row>
    <row r="51" spans="1:11" ht="12.75" x14ac:dyDescent="0.2">
      <c r="A51" s="3">
        <v>5</v>
      </c>
      <c r="B51" s="3" t="s">
        <v>37</v>
      </c>
      <c r="C51" s="3" t="s">
        <v>13</v>
      </c>
      <c r="D51" s="3" t="s">
        <v>279</v>
      </c>
      <c r="E51" s="3">
        <v>256</v>
      </c>
      <c r="G51" s="57"/>
      <c r="K51" s="3" t="s">
        <v>306</v>
      </c>
    </row>
    <row r="52" spans="1:11" ht="12.75" x14ac:dyDescent="0.2">
      <c r="A52" s="3">
        <v>5</v>
      </c>
      <c r="B52" s="3" t="s">
        <v>37</v>
      </c>
      <c r="C52" s="3" t="s">
        <v>13</v>
      </c>
      <c r="D52" s="3" t="s">
        <v>3</v>
      </c>
      <c r="E52" s="3">
        <v>71</v>
      </c>
      <c r="G52" s="57"/>
      <c r="K52" s="3" t="s">
        <v>318</v>
      </c>
    </row>
    <row r="53" spans="1:11" ht="12.75" x14ac:dyDescent="0.2">
      <c r="A53" s="3">
        <v>5</v>
      </c>
      <c r="B53" s="3" t="s">
        <v>37</v>
      </c>
      <c r="C53" s="3" t="s">
        <v>13</v>
      </c>
      <c r="D53" s="3" t="s">
        <v>14</v>
      </c>
      <c r="E53" s="3">
        <v>38</v>
      </c>
      <c r="F53">
        <f>SUM(E51:E53)</f>
        <v>365</v>
      </c>
      <c r="G53" s="57"/>
      <c r="K53" s="3" t="s">
        <v>308</v>
      </c>
    </row>
    <row r="54" spans="1:11" ht="12.75" x14ac:dyDescent="0.2">
      <c r="A54" s="3">
        <v>6</v>
      </c>
      <c r="B54" s="3" t="s">
        <v>38</v>
      </c>
      <c r="C54" s="3" t="s">
        <v>2</v>
      </c>
      <c r="D54" s="3" t="s">
        <v>279</v>
      </c>
      <c r="E54" s="3">
        <v>635</v>
      </c>
      <c r="G54" s="56">
        <v>1294</v>
      </c>
      <c r="K54" s="3" t="s">
        <v>309</v>
      </c>
    </row>
    <row r="55" spans="1:11" ht="12.75" x14ac:dyDescent="0.2">
      <c r="A55" s="3">
        <v>6</v>
      </c>
      <c r="B55" s="3" t="s">
        <v>38</v>
      </c>
      <c r="C55" s="3" t="s">
        <v>2</v>
      </c>
      <c r="D55" s="3" t="s">
        <v>283</v>
      </c>
      <c r="E55" s="3">
        <v>72</v>
      </c>
      <c r="G55" s="57"/>
      <c r="K55" s="3" t="s">
        <v>310</v>
      </c>
    </row>
    <row r="56" spans="1:11" ht="12.75" x14ac:dyDescent="0.2">
      <c r="A56" s="3">
        <v>6</v>
      </c>
      <c r="B56" s="3" t="s">
        <v>38</v>
      </c>
      <c r="C56" s="3" t="s">
        <v>2</v>
      </c>
      <c r="D56" s="3" t="s">
        <v>280</v>
      </c>
      <c r="E56" s="3">
        <v>24</v>
      </c>
      <c r="G56" s="57"/>
      <c r="K56" s="3" t="s">
        <v>311</v>
      </c>
    </row>
    <row r="57" spans="1:11" ht="12.75" x14ac:dyDescent="0.2">
      <c r="A57" s="3">
        <v>6</v>
      </c>
      <c r="B57" s="3" t="s">
        <v>38</v>
      </c>
      <c r="C57" s="3" t="s">
        <v>2</v>
      </c>
      <c r="D57" s="3" t="s">
        <v>3</v>
      </c>
      <c r="E57" s="3">
        <v>467</v>
      </c>
      <c r="G57" s="57"/>
      <c r="K57" s="3" t="s">
        <v>143</v>
      </c>
    </row>
    <row r="58" spans="1:11" ht="12.75" x14ac:dyDescent="0.2">
      <c r="A58" s="3">
        <v>6</v>
      </c>
      <c r="B58" s="3" t="s">
        <v>38</v>
      </c>
      <c r="C58" s="3" t="s">
        <v>2</v>
      </c>
      <c r="D58" s="3" t="s">
        <v>14</v>
      </c>
      <c r="E58" s="3">
        <v>81</v>
      </c>
      <c r="F58">
        <f>SUM(E54:E58)</f>
        <v>1279</v>
      </c>
      <c r="G58" s="57"/>
      <c r="K58" s="3" t="s">
        <v>312</v>
      </c>
    </row>
    <row r="59" spans="1:11" ht="12.75" x14ac:dyDescent="0.2">
      <c r="A59" s="3">
        <v>6</v>
      </c>
      <c r="B59" s="3" t="s">
        <v>38</v>
      </c>
      <c r="C59" s="3" t="s">
        <v>10</v>
      </c>
      <c r="D59" s="3" t="s">
        <v>279</v>
      </c>
      <c r="E59" s="3">
        <v>625</v>
      </c>
      <c r="G59" s="57"/>
      <c r="K59" s="3" t="s">
        <v>313</v>
      </c>
    </row>
    <row r="60" spans="1:11" ht="12.75" x14ac:dyDescent="0.2">
      <c r="A60" s="3">
        <v>6</v>
      </c>
      <c r="B60" s="3" t="s">
        <v>38</v>
      </c>
      <c r="C60" s="3" t="s">
        <v>10</v>
      </c>
      <c r="D60" s="3" t="s">
        <v>283</v>
      </c>
      <c r="E60" s="3">
        <v>84</v>
      </c>
      <c r="G60" s="57"/>
    </row>
    <row r="61" spans="1:11" ht="12.75" x14ac:dyDescent="0.2">
      <c r="A61" s="3">
        <v>6</v>
      </c>
      <c r="B61" s="3" t="s">
        <v>38</v>
      </c>
      <c r="C61" s="3" t="s">
        <v>10</v>
      </c>
      <c r="D61" s="3" t="s">
        <v>280</v>
      </c>
      <c r="E61" s="3">
        <v>27</v>
      </c>
      <c r="G61" s="57"/>
    </row>
    <row r="62" spans="1:11" ht="12.75" x14ac:dyDescent="0.2">
      <c r="A62" s="3">
        <v>6</v>
      </c>
      <c r="B62" s="3" t="s">
        <v>38</v>
      </c>
      <c r="C62" s="3" t="s">
        <v>10</v>
      </c>
      <c r="D62" s="3" t="s">
        <v>3</v>
      </c>
      <c r="E62" s="3">
        <v>446</v>
      </c>
      <c r="G62" s="57"/>
    </row>
    <row r="63" spans="1:11" ht="12.75" x14ac:dyDescent="0.2">
      <c r="A63" s="3">
        <v>6</v>
      </c>
      <c r="B63" s="3" t="s">
        <v>38</v>
      </c>
      <c r="C63" s="3" t="s">
        <v>10</v>
      </c>
      <c r="D63" s="3" t="s">
        <v>14</v>
      </c>
      <c r="E63" s="3">
        <v>106</v>
      </c>
      <c r="F63">
        <f>SUM(E59:E63)</f>
        <v>1288</v>
      </c>
      <c r="G63" s="57"/>
    </row>
    <row r="64" spans="1:11" ht="12.75" x14ac:dyDescent="0.2">
      <c r="A64" s="3">
        <v>6</v>
      </c>
      <c r="B64" s="3" t="s">
        <v>38</v>
      </c>
      <c r="C64" s="3" t="s">
        <v>13</v>
      </c>
      <c r="D64" s="3" t="s">
        <v>279</v>
      </c>
      <c r="E64" s="3">
        <v>638</v>
      </c>
      <c r="G64" s="57"/>
    </row>
    <row r="65" spans="1:7" ht="12.75" x14ac:dyDescent="0.2">
      <c r="A65" s="3">
        <v>6</v>
      </c>
      <c r="B65" s="3" t="s">
        <v>38</v>
      </c>
      <c r="C65" s="3" t="s">
        <v>13</v>
      </c>
      <c r="D65" s="3" t="s">
        <v>283</v>
      </c>
      <c r="E65" s="3">
        <v>103</v>
      </c>
      <c r="G65" s="57"/>
    </row>
    <row r="66" spans="1:7" ht="12.75" x14ac:dyDescent="0.2">
      <c r="A66" s="3">
        <v>6</v>
      </c>
      <c r="B66" s="3" t="s">
        <v>38</v>
      </c>
      <c r="C66" s="3" t="s">
        <v>13</v>
      </c>
      <c r="D66" s="3" t="s">
        <v>280</v>
      </c>
      <c r="E66" s="3">
        <v>27</v>
      </c>
      <c r="G66" s="57"/>
    </row>
    <row r="67" spans="1:7" ht="12.75" x14ac:dyDescent="0.2">
      <c r="A67" s="3">
        <v>6</v>
      </c>
      <c r="B67" s="3" t="s">
        <v>38</v>
      </c>
      <c r="C67" s="3" t="s">
        <v>13</v>
      </c>
      <c r="D67" s="3" t="s">
        <v>3</v>
      </c>
      <c r="E67" s="3">
        <v>418</v>
      </c>
      <c r="G67" s="57"/>
    </row>
    <row r="68" spans="1:7" ht="12.75" x14ac:dyDescent="0.2">
      <c r="A68" s="3">
        <v>6</v>
      </c>
      <c r="B68" s="3" t="s">
        <v>38</v>
      </c>
      <c r="C68" s="3" t="s">
        <v>13</v>
      </c>
      <c r="D68" s="3" t="s">
        <v>14</v>
      </c>
      <c r="E68" s="3">
        <v>97</v>
      </c>
      <c r="F68">
        <f>SUM(E64:E68)</f>
        <v>1283</v>
      </c>
      <c r="G68" s="57"/>
    </row>
    <row r="69" spans="1:7" ht="12.75" x14ac:dyDescent="0.2">
      <c r="A69" s="2" t="s">
        <v>39</v>
      </c>
      <c r="B69" s="3" t="s">
        <v>40</v>
      </c>
      <c r="C69" s="3" t="s">
        <v>2</v>
      </c>
      <c r="D69" s="3" t="s">
        <v>279</v>
      </c>
      <c r="E69" s="3">
        <v>15500</v>
      </c>
      <c r="G69" s="56">
        <v>52901</v>
      </c>
    </row>
    <row r="70" spans="1:7" ht="12.75" x14ac:dyDescent="0.2">
      <c r="A70" s="2" t="s">
        <v>39</v>
      </c>
      <c r="B70" s="3" t="s">
        <v>40</v>
      </c>
      <c r="C70" s="3" t="s">
        <v>2</v>
      </c>
      <c r="D70" s="3" t="s">
        <v>283</v>
      </c>
      <c r="E70" s="3">
        <v>9101</v>
      </c>
      <c r="G70" s="57"/>
    </row>
    <row r="71" spans="1:7" ht="12.75" x14ac:dyDescent="0.2">
      <c r="A71" s="2" t="s">
        <v>39</v>
      </c>
      <c r="B71" s="3" t="s">
        <v>40</v>
      </c>
      <c r="C71" s="3" t="s">
        <v>2</v>
      </c>
      <c r="D71" s="3" t="s">
        <v>284</v>
      </c>
      <c r="E71" s="3">
        <v>872</v>
      </c>
      <c r="G71" s="57"/>
    </row>
    <row r="72" spans="1:7" ht="12.75" x14ac:dyDescent="0.2">
      <c r="A72" s="2" t="s">
        <v>39</v>
      </c>
      <c r="B72" s="3" t="s">
        <v>40</v>
      </c>
      <c r="C72" s="3" t="s">
        <v>2</v>
      </c>
      <c r="D72" s="3" t="s">
        <v>285</v>
      </c>
      <c r="E72" s="3">
        <v>744</v>
      </c>
      <c r="G72" s="57"/>
    </row>
    <row r="73" spans="1:7" ht="12.75" x14ac:dyDescent="0.2">
      <c r="A73" s="2" t="s">
        <v>39</v>
      </c>
      <c r="B73" s="3" t="s">
        <v>40</v>
      </c>
      <c r="C73" s="3" t="s">
        <v>2</v>
      </c>
      <c r="D73" s="3" t="s">
        <v>16</v>
      </c>
      <c r="E73" s="3">
        <v>1717</v>
      </c>
      <c r="G73" s="57"/>
    </row>
    <row r="74" spans="1:7" ht="12.75" x14ac:dyDescent="0.2">
      <c r="A74" s="2" t="s">
        <v>39</v>
      </c>
      <c r="B74" s="3" t="s">
        <v>40</v>
      </c>
      <c r="C74" s="3" t="s">
        <v>2</v>
      </c>
      <c r="D74" s="3" t="s">
        <v>3</v>
      </c>
      <c r="E74" s="3">
        <v>19516</v>
      </c>
      <c r="G74" s="57"/>
    </row>
    <row r="75" spans="1:7" ht="12.75" x14ac:dyDescent="0.2">
      <c r="A75" s="2" t="s">
        <v>39</v>
      </c>
      <c r="B75" s="3" t="s">
        <v>40</v>
      </c>
      <c r="C75" s="3" t="s">
        <v>2</v>
      </c>
      <c r="D75" s="3" t="s">
        <v>286</v>
      </c>
      <c r="E75" s="3">
        <v>520</v>
      </c>
      <c r="G75" s="57"/>
    </row>
    <row r="76" spans="1:7" ht="12.75" x14ac:dyDescent="0.2">
      <c r="A76" s="2" t="s">
        <v>39</v>
      </c>
      <c r="B76" s="3" t="s">
        <v>40</v>
      </c>
      <c r="C76" s="3" t="s">
        <v>2</v>
      </c>
      <c r="D76" s="3" t="s">
        <v>149</v>
      </c>
      <c r="E76" s="3">
        <v>884</v>
      </c>
      <c r="G76" s="57"/>
    </row>
    <row r="77" spans="1:7" ht="12.75" x14ac:dyDescent="0.2">
      <c r="A77" s="2" t="s">
        <v>39</v>
      </c>
      <c r="B77" s="3" t="s">
        <v>40</v>
      </c>
      <c r="C77" s="3" t="s">
        <v>2</v>
      </c>
      <c r="D77" s="3" t="s">
        <v>14</v>
      </c>
      <c r="E77" s="3">
        <v>3270</v>
      </c>
      <c r="F77">
        <f>SUM(E69:E77)</f>
        <v>52124</v>
      </c>
      <c r="G77" s="57"/>
    </row>
    <row r="78" spans="1:7" ht="12.75" x14ac:dyDescent="0.2">
      <c r="A78" s="2" t="s">
        <v>39</v>
      </c>
      <c r="B78" s="3" t="s">
        <v>40</v>
      </c>
      <c r="C78" s="3" t="s">
        <v>10</v>
      </c>
      <c r="D78" s="3" t="s">
        <v>279</v>
      </c>
      <c r="E78" s="3">
        <v>14905</v>
      </c>
      <c r="G78" s="57"/>
    </row>
    <row r="79" spans="1:7" ht="12.75" x14ac:dyDescent="0.2">
      <c r="A79" s="2" t="s">
        <v>39</v>
      </c>
      <c r="B79" s="3" t="s">
        <v>40</v>
      </c>
      <c r="C79" s="3" t="s">
        <v>10</v>
      </c>
      <c r="D79" s="3" t="s">
        <v>283</v>
      </c>
      <c r="E79" s="3">
        <v>8914</v>
      </c>
      <c r="G79" s="57"/>
    </row>
    <row r="80" spans="1:7" ht="12.75" x14ac:dyDescent="0.2">
      <c r="A80" s="2" t="s">
        <v>39</v>
      </c>
      <c r="B80" s="3" t="s">
        <v>40</v>
      </c>
      <c r="C80" s="3" t="s">
        <v>10</v>
      </c>
      <c r="D80" s="3" t="s">
        <v>284</v>
      </c>
      <c r="E80" s="3">
        <v>932</v>
      </c>
      <c r="G80" s="57"/>
    </row>
    <row r="81" spans="1:7" ht="12.75" x14ac:dyDescent="0.2">
      <c r="A81" s="2" t="s">
        <v>39</v>
      </c>
      <c r="B81" s="3" t="s">
        <v>40</v>
      </c>
      <c r="C81" s="3" t="s">
        <v>10</v>
      </c>
      <c r="D81" s="3" t="s">
        <v>285</v>
      </c>
      <c r="E81" s="3">
        <v>735</v>
      </c>
      <c r="G81" s="57"/>
    </row>
    <row r="82" spans="1:7" ht="12.75" x14ac:dyDescent="0.2">
      <c r="A82" s="2" t="s">
        <v>39</v>
      </c>
      <c r="B82" s="3" t="s">
        <v>40</v>
      </c>
      <c r="C82" s="3" t="s">
        <v>10</v>
      </c>
      <c r="D82" s="3" t="s">
        <v>16</v>
      </c>
      <c r="E82" s="3">
        <v>1863</v>
      </c>
      <c r="G82" s="57"/>
    </row>
    <row r="83" spans="1:7" ht="12.75" x14ac:dyDescent="0.2">
      <c r="A83" s="2" t="s">
        <v>39</v>
      </c>
      <c r="B83" s="3" t="s">
        <v>40</v>
      </c>
      <c r="C83" s="3" t="s">
        <v>10</v>
      </c>
      <c r="D83" s="3" t="s">
        <v>3</v>
      </c>
      <c r="E83" s="3">
        <v>19229</v>
      </c>
      <c r="G83" s="57"/>
    </row>
    <row r="84" spans="1:7" ht="12.75" x14ac:dyDescent="0.2">
      <c r="A84" s="2" t="s">
        <v>39</v>
      </c>
      <c r="B84" s="3" t="s">
        <v>40</v>
      </c>
      <c r="C84" s="3" t="s">
        <v>10</v>
      </c>
      <c r="D84" s="3" t="s">
        <v>286</v>
      </c>
      <c r="E84" s="3">
        <v>531</v>
      </c>
      <c r="G84" s="57"/>
    </row>
    <row r="85" spans="1:7" ht="12.75" x14ac:dyDescent="0.2">
      <c r="A85" s="2" t="s">
        <v>39</v>
      </c>
      <c r="B85" s="3" t="s">
        <v>40</v>
      </c>
      <c r="C85" s="3" t="s">
        <v>10</v>
      </c>
      <c r="D85" s="3" t="s">
        <v>149</v>
      </c>
      <c r="E85" s="3">
        <v>913</v>
      </c>
      <c r="G85" s="57"/>
    </row>
    <row r="86" spans="1:7" ht="12.75" x14ac:dyDescent="0.2">
      <c r="A86" s="2" t="s">
        <v>39</v>
      </c>
      <c r="B86" s="3" t="s">
        <v>40</v>
      </c>
      <c r="C86" s="3" t="s">
        <v>10</v>
      </c>
      <c r="D86" s="3" t="s">
        <v>14</v>
      </c>
      <c r="E86" s="3">
        <v>4186</v>
      </c>
      <c r="F86">
        <f>SUM(E78:E86)</f>
        <v>52208</v>
      </c>
      <c r="G86" s="57"/>
    </row>
    <row r="87" spans="1:7" ht="12.75" x14ac:dyDescent="0.2">
      <c r="A87" s="2" t="s">
        <v>39</v>
      </c>
      <c r="B87" s="3" t="s">
        <v>40</v>
      </c>
      <c r="C87" s="3" t="s">
        <v>13</v>
      </c>
      <c r="D87" s="3" t="s">
        <v>279</v>
      </c>
      <c r="E87" s="3">
        <v>14578</v>
      </c>
      <c r="G87" s="57"/>
    </row>
    <row r="88" spans="1:7" ht="12.75" x14ac:dyDescent="0.2">
      <c r="A88" s="2" t="s">
        <v>39</v>
      </c>
      <c r="B88" s="3" t="s">
        <v>40</v>
      </c>
      <c r="C88" s="3" t="s">
        <v>13</v>
      </c>
      <c r="D88" s="3" t="s">
        <v>283</v>
      </c>
      <c r="E88" s="3">
        <v>8751</v>
      </c>
      <c r="G88" s="57"/>
    </row>
    <row r="89" spans="1:7" ht="12.75" x14ac:dyDescent="0.2">
      <c r="A89" s="2" t="s">
        <v>39</v>
      </c>
      <c r="B89" s="3" t="s">
        <v>40</v>
      </c>
      <c r="C89" s="3" t="s">
        <v>13</v>
      </c>
      <c r="D89" s="3" t="s">
        <v>284</v>
      </c>
      <c r="E89" s="3">
        <v>926</v>
      </c>
      <c r="G89" s="57"/>
    </row>
    <row r="90" spans="1:7" ht="12.75" x14ac:dyDescent="0.2">
      <c r="A90" s="2" t="s">
        <v>39</v>
      </c>
      <c r="B90" s="3" t="s">
        <v>40</v>
      </c>
      <c r="C90" s="3" t="s">
        <v>13</v>
      </c>
      <c r="D90" s="3" t="s">
        <v>285</v>
      </c>
      <c r="E90" s="3">
        <v>739</v>
      </c>
      <c r="G90" s="57"/>
    </row>
    <row r="91" spans="1:7" ht="12.75" x14ac:dyDescent="0.2">
      <c r="A91" s="2" t="s">
        <v>39</v>
      </c>
      <c r="B91" s="3" t="s">
        <v>40</v>
      </c>
      <c r="C91" s="3" t="s">
        <v>13</v>
      </c>
      <c r="D91" s="3" t="s">
        <v>16</v>
      </c>
      <c r="E91" s="3">
        <v>1823</v>
      </c>
      <c r="G91" s="57"/>
    </row>
    <row r="92" spans="1:7" ht="12.75" x14ac:dyDescent="0.2">
      <c r="A92" s="2" t="s">
        <v>39</v>
      </c>
      <c r="B92" s="3" t="s">
        <v>40</v>
      </c>
      <c r="C92" s="3" t="s">
        <v>13</v>
      </c>
      <c r="D92" s="3" t="s">
        <v>3</v>
      </c>
      <c r="E92" s="3">
        <v>19794</v>
      </c>
      <c r="G92" s="57"/>
    </row>
    <row r="93" spans="1:7" ht="12.75" x14ac:dyDescent="0.2">
      <c r="A93" s="2" t="s">
        <v>39</v>
      </c>
      <c r="B93" s="3" t="s">
        <v>40</v>
      </c>
      <c r="C93" s="3" t="s">
        <v>13</v>
      </c>
      <c r="D93" s="3" t="s">
        <v>286</v>
      </c>
      <c r="E93" s="3">
        <v>547</v>
      </c>
      <c r="G93" s="57"/>
    </row>
    <row r="94" spans="1:7" ht="12.75" x14ac:dyDescent="0.2">
      <c r="A94" s="2" t="s">
        <v>39</v>
      </c>
      <c r="B94" s="3" t="s">
        <v>40</v>
      </c>
      <c r="C94" s="3" t="s">
        <v>13</v>
      </c>
      <c r="D94" s="3" t="s">
        <v>149</v>
      </c>
      <c r="E94" s="3">
        <v>915</v>
      </c>
      <c r="G94" s="57"/>
    </row>
    <row r="95" spans="1:7" ht="12.75" x14ac:dyDescent="0.2">
      <c r="A95" s="2" t="s">
        <v>39</v>
      </c>
      <c r="B95" s="3" t="s">
        <v>40</v>
      </c>
      <c r="C95" s="3" t="s">
        <v>13</v>
      </c>
      <c r="D95" s="3" t="s">
        <v>14</v>
      </c>
      <c r="E95" s="3">
        <v>4146</v>
      </c>
      <c r="F95">
        <f>SUM(E87:E95)</f>
        <v>52219</v>
      </c>
      <c r="G95" s="57"/>
    </row>
    <row r="96" spans="1:7" ht="12.75" x14ac:dyDescent="0.2">
      <c r="A96" s="3">
        <v>11</v>
      </c>
      <c r="B96" s="3" t="s">
        <v>41</v>
      </c>
      <c r="C96" s="3" t="s">
        <v>2</v>
      </c>
      <c r="D96" s="3" t="s">
        <v>283</v>
      </c>
      <c r="E96" s="3">
        <v>38</v>
      </c>
      <c r="G96" s="56">
        <v>1100</v>
      </c>
    </row>
    <row r="97" spans="1:7" ht="12.75" x14ac:dyDescent="0.2">
      <c r="A97" s="3">
        <v>11</v>
      </c>
      <c r="B97" s="3" t="s">
        <v>41</v>
      </c>
      <c r="C97" s="3" t="s">
        <v>2</v>
      </c>
      <c r="D97" s="3" t="s">
        <v>3</v>
      </c>
      <c r="E97" s="3">
        <v>473</v>
      </c>
      <c r="G97" s="57"/>
    </row>
    <row r="98" spans="1:7" ht="12.75" x14ac:dyDescent="0.2">
      <c r="A98" s="3">
        <v>11</v>
      </c>
      <c r="B98" s="3" t="s">
        <v>41</v>
      </c>
      <c r="C98" s="3" t="s">
        <v>2</v>
      </c>
      <c r="D98" s="3" t="s">
        <v>21</v>
      </c>
      <c r="E98" s="3">
        <v>520</v>
      </c>
      <c r="G98" s="57"/>
    </row>
    <row r="99" spans="1:7" ht="12.75" x14ac:dyDescent="0.2">
      <c r="A99" s="3">
        <v>11</v>
      </c>
      <c r="B99" s="3" t="s">
        <v>41</v>
      </c>
      <c r="C99" s="3" t="s">
        <v>2</v>
      </c>
      <c r="D99" s="3" t="s">
        <v>14</v>
      </c>
      <c r="E99" s="3">
        <v>59</v>
      </c>
      <c r="F99">
        <f>SUM(E96:E99)</f>
        <v>1090</v>
      </c>
      <c r="G99" s="57"/>
    </row>
    <row r="100" spans="1:7" ht="12.75" x14ac:dyDescent="0.2">
      <c r="A100" s="3">
        <v>11</v>
      </c>
      <c r="B100" s="3" t="s">
        <v>41</v>
      </c>
      <c r="C100" s="3" t="s">
        <v>10</v>
      </c>
      <c r="D100" s="3" t="s">
        <v>279</v>
      </c>
      <c r="E100" s="3">
        <v>147</v>
      </c>
      <c r="G100" s="57"/>
    </row>
    <row r="101" spans="1:7" ht="12.75" x14ac:dyDescent="0.2">
      <c r="A101" s="3">
        <v>11</v>
      </c>
      <c r="B101" s="3" t="s">
        <v>41</v>
      </c>
      <c r="C101" s="3" t="s">
        <v>10</v>
      </c>
      <c r="D101" s="3" t="s">
        <v>283</v>
      </c>
      <c r="E101" s="3">
        <v>34</v>
      </c>
      <c r="G101" s="57"/>
    </row>
    <row r="102" spans="1:7" ht="12.75" x14ac:dyDescent="0.2">
      <c r="A102" s="3">
        <v>11</v>
      </c>
      <c r="B102" s="3" t="s">
        <v>41</v>
      </c>
      <c r="C102" s="3" t="s">
        <v>10</v>
      </c>
      <c r="D102" s="3" t="s">
        <v>3</v>
      </c>
      <c r="E102" s="3">
        <v>389</v>
      </c>
      <c r="G102" s="57"/>
    </row>
    <row r="103" spans="1:7" ht="12.75" x14ac:dyDescent="0.2">
      <c r="A103" s="3">
        <v>11</v>
      </c>
      <c r="B103" s="3" t="s">
        <v>41</v>
      </c>
      <c r="C103" s="3" t="s">
        <v>10</v>
      </c>
      <c r="D103" s="3" t="s">
        <v>21</v>
      </c>
      <c r="E103" s="3">
        <v>464</v>
      </c>
      <c r="G103" s="57"/>
    </row>
    <row r="104" spans="1:7" ht="12.75" x14ac:dyDescent="0.2">
      <c r="A104" s="3">
        <v>11</v>
      </c>
      <c r="B104" s="3" t="s">
        <v>41</v>
      </c>
      <c r="C104" s="3" t="s">
        <v>10</v>
      </c>
      <c r="D104" s="3" t="s">
        <v>14</v>
      </c>
      <c r="E104" s="3">
        <v>55</v>
      </c>
      <c r="F104">
        <f>SUM(E100:E104)</f>
        <v>1089</v>
      </c>
      <c r="G104" s="57"/>
    </row>
    <row r="105" spans="1:7" ht="12.75" x14ac:dyDescent="0.2">
      <c r="A105" s="3">
        <v>11</v>
      </c>
      <c r="B105" s="3" t="s">
        <v>41</v>
      </c>
      <c r="C105" s="3" t="s">
        <v>13</v>
      </c>
      <c r="D105" s="3" t="s">
        <v>279</v>
      </c>
      <c r="E105" s="3">
        <v>117</v>
      </c>
      <c r="G105" s="57"/>
    </row>
    <row r="106" spans="1:7" ht="12.75" x14ac:dyDescent="0.2">
      <c r="A106" s="3">
        <v>11</v>
      </c>
      <c r="B106" s="3" t="s">
        <v>41</v>
      </c>
      <c r="C106" s="3" t="s">
        <v>13</v>
      </c>
      <c r="D106" s="3" t="s">
        <v>283</v>
      </c>
      <c r="E106" s="3">
        <v>38</v>
      </c>
      <c r="G106" s="57"/>
    </row>
    <row r="107" spans="1:7" ht="12.75" x14ac:dyDescent="0.2">
      <c r="A107" s="3">
        <v>11</v>
      </c>
      <c r="B107" s="3" t="s">
        <v>41</v>
      </c>
      <c r="C107" s="3" t="s">
        <v>13</v>
      </c>
      <c r="D107" s="3" t="s">
        <v>3</v>
      </c>
      <c r="E107" s="3">
        <v>427</v>
      </c>
      <c r="G107" s="57"/>
    </row>
    <row r="108" spans="1:7" ht="12.75" x14ac:dyDescent="0.2">
      <c r="A108" s="3">
        <v>11</v>
      </c>
      <c r="B108" s="3" t="s">
        <v>41</v>
      </c>
      <c r="C108" s="3" t="s">
        <v>13</v>
      </c>
      <c r="D108" s="3" t="s">
        <v>21</v>
      </c>
      <c r="E108" s="3">
        <v>456</v>
      </c>
      <c r="G108" s="57"/>
    </row>
    <row r="109" spans="1:7" ht="12.75" x14ac:dyDescent="0.2">
      <c r="A109" s="3">
        <v>11</v>
      </c>
      <c r="B109" s="3" t="s">
        <v>41</v>
      </c>
      <c r="C109" s="3" t="s">
        <v>13</v>
      </c>
      <c r="D109" s="3" t="s">
        <v>14</v>
      </c>
      <c r="E109" s="3">
        <v>52</v>
      </c>
      <c r="F109">
        <f>SUM(E105:E109)</f>
        <v>1090</v>
      </c>
      <c r="G109" s="57"/>
    </row>
    <row r="110" spans="1:7" ht="12.75" x14ac:dyDescent="0.2">
      <c r="A110" s="3">
        <v>13</v>
      </c>
      <c r="B110" s="3" t="s">
        <v>42</v>
      </c>
      <c r="C110" s="3" t="s">
        <v>2</v>
      </c>
      <c r="D110" s="3" t="s">
        <v>279</v>
      </c>
      <c r="E110" s="3">
        <v>974</v>
      </c>
      <c r="G110" s="56">
        <v>2340</v>
      </c>
    </row>
    <row r="111" spans="1:7" ht="12.75" x14ac:dyDescent="0.2">
      <c r="A111" s="3">
        <v>13</v>
      </c>
      <c r="B111" s="3" t="s">
        <v>42</v>
      </c>
      <c r="C111" s="3" t="s">
        <v>2</v>
      </c>
      <c r="D111" s="3" t="s">
        <v>287</v>
      </c>
      <c r="E111" s="3">
        <v>544</v>
      </c>
      <c r="G111" s="57"/>
    </row>
    <row r="112" spans="1:7" ht="12.75" x14ac:dyDescent="0.2">
      <c r="A112" s="3">
        <v>13</v>
      </c>
      <c r="B112" s="3" t="s">
        <v>42</v>
      </c>
      <c r="C112" s="3" t="s">
        <v>2</v>
      </c>
      <c r="D112" s="3" t="s">
        <v>3</v>
      </c>
      <c r="E112" s="3">
        <v>758</v>
      </c>
      <c r="G112" s="57"/>
    </row>
    <row r="113" spans="1:7" ht="12.75" x14ac:dyDescent="0.2">
      <c r="A113" s="3">
        <v>13</v>
      </c>
      <c r="B113" s="3" t="s">
        <v>42</v>
      </c>
      <c r="C113" s="3" t="s">
        <v>2</v>
      </c>
      <c r="D113" s="3" t="s">
        <v>14</v>
      </c>
      <c r="E113" s="3">
        <v>62</v>
      </c>
      <c r="F113">
        <f>SUM(E110:E113)</f>
        <v>2338</v>
      </c>
      <c r="G113" s="57"/>
    </row>
    <row r="114" spans="1:7" ht="12.75" x14ac:dyDescent="0.2">
      <c r="A114" s="3">
        <v>13</v>
      </c>
      <c r="B114" s="3" t="s">
        <v>42</v>
      </c>
      <c r="C114" s="3" t="s">
        <v>10</v>
      </c>
      <c r="D114" s="3" t="s">
        <v>279</v>
      </c>
      <c r="E114" s="3">
        <v>828</v>
      </c>
      <c r="G114" s="57"/>
    </row>
    <row r="115" spans="1:7" ht="12.75" x14ac:dyDescent="0.2">
      <c r="A115" s="3">
        <v>13</v>
      </c>
      <c r="B115" s="3" t="s">
        <v>42</v>
      </c>
      <c r="C115" s="3" t="s">
        <v>10</v>
      </c>
      <c r="D115" s="3" t="s">
        <v>283</v>
      </c>
      <c r="E115" s="3">
        <v>34</v>
      </c>
      <c r="G115" s="57"/>
    </row>
    <row r="116" spans="1:7" ht="12.75" x14ac:dyDescent="0.2">
      <c r="A116" s="3">
        <v>13</v>
      </c>
      <c r="B116" s="3" t="s">
        <v>42</v>
      </c>
      <c r="C116" s="3" t="s">
        <v>10</v>
      </c>
      <c r="D116" s="3" t="s">
        <v>287</v>
      </c>
      <c r="E116" s="3">
        <v>752</v>
      </c>
      <c r="G116" s="57"/>
    </row>
    <row r="117" spans="1:7" ht="12.75" x14ac:dyDescent="0.2">
      <c r="A117" s="3">
        <v>13</v>
      </c>
      <c r="B117" s="3" t="s">
        <v>42</v>
      </c>
      <c r="C117" s="3" t="s">
        <v>10</v>
      </c>
      <c r="D117" s="3" t="s">
        <v>3</v>
      </c>
      <c r="E117" s="3">
        <v>637</v>
      </c>
      <c r="G117" s="57"/>
    </row>
    <row r="118" spans="1:7" ht="12.75" x14ac:dyDescent="0.2">
      <c r="A118" s="3">
        <v>13</v>
      </c>
      <c r="B118" s="3" t="s">
        <v>42</v>
      </c>
      <c r="C118" s="3" t="s">
        <v>10</v>
      </c>
      <c r="D118" s="3" t="s">
        <v>14</v>
      </c>
      <c r="E118" s="3">
        <v>77</v>
      </c>
      <c r="F118">
        <f>SUM(E114:E118)</f>
        <v>2328</v>
      </c>
      <c r="G118" s="57"/>
    </row>
    <row r="119" spans="1:7" ht="12.75" x14ac:dyDescent="0.2">
      <c r="A119" s="3">
        <v>13</v>
      </c>
      <c r="B119" s="3" t="s">
        <v>42</v>
      </c>
      <c r="C119" s="3" t="s">
        <v>13</v>
      </c>
      <c r="D119" s="3" t="s">
        <v>279</v>
      </c>
      <c r="E119" s="3">
        <v>955</v>
      </c>
      <c r="G119" s="57"/>
    </row>
    <row r="120" spans="1:7" ht="12.75" x14ac:dyDescent="0.2">
      <c r="A120" s="3">
        <v>13</v>
      </c>
      <c r="B120" s="3" t="s">
        <v>42</v>
      </c>
      <c r="C120" s="3" t="s">
        <v>13</v>
      </c>
      <c r="D120" s="3" t="s">
        <v>287</v>
      </c>
      <c r="E120" s="3">
        <v>584</v>
      </c>
      <c r="G120" s="57"/>
    </row>
    <row r="121" spans="1:7" ht="12.75" x14ac:dyDescent="0.2">
      <c r="A121" s="3">
        <v>13</v>
      </c>
      <c r="B121" s="3" t="s">
        <v>42</v>
      </c>
      <c r="C121" s="3" t="s">
        <v>13</v>
      </c>
      <c r="D121" s="3" t="s">
        <v>3</v>
      </c>
      <c r="E121" s="3">
        <v>676</v>
      </c>
      <c r="G121" s="57"/>
    </row>
    <row r="122" spans="1:7" ht="12.75" x14ac:dyDescent="0.2">
      <c r="A122" s="3">
        <v>13</v>
      </c>
      <c r="B122" s="3" t="s">
        <v>42</v>
      </c>
      <c r="C122" s="3" t="s">
        <v>13</v>
      </c>
      <c r="D122" s="3" t="s">
        <v>14</v>
      </c>
      <c r="E122" s="3">
        <v>110</v>
      </c>
      <c r="F122">
        <f>SUM(E119:E122)</f>
        <v>2325</v>
      </c>
      <c r="G122" s="57"/>
    </row>
    <row r="123" spans="1:7" ht="12.75" x14ac:dyDescent="0.2">
      <c r="A123" s="3">
        <v>15</v>
      </c>
      <c r="B123" s="3" t="s">
        <v>43</v>
      </c>
      <c r="C123" s="3" t="s">
        <v>2</v>
      </c>
      <c r="D123" s="3" t="s">
        <v>283</v>
      </c>
      <c r="E123" s="3">
        <v>188</v>
      </c>
      <c r="G123" s="56">
        <v>1146</v>
      </c>
    </row>
    <row r="124" spans="1:7" ht="12.75" x14ac:dyDescent="0.2">
      <c r="A124" s="3">
        <v>15</v>
      </c>
      <c r="B124" s="3" t="s">
        <v>43</v>
      </c>
      <c r="C124" s="3" t="s">
        <v>2</v>
      </c>
      <c r="D124" s="3" t="s">
        <v>22</v>
      </c>
      <c r="E124" s="3">
        <v>380</v>
      </c>
      <c r="G124" s="57"/>
    </row>
    <row r="125" spans="1:7" ht="12.75" x14ac:dyDescent="0.2">
      <c r="A125" s="3">
        <v>15</v>
      </c>
      <c r="B125" s="3" t="s">
        <v>43</v>
      </c>
      <c r="C125" s="3" t="s">
        <v>2</v>
      </c>
      <c r="D125" s="3" t="s">
        <v>288</v>
      </c>
      <c r="E125" s="3">
        <v>141</v>
      </c>
      <c r="G125" s="57"/>
    </row>
    <row r="126" spans="1:7" ht="12.75" x14ac:dyDescent="0.2">
      <c r="A126" s="3">
        <v>15</v>
      </c>
      <c r="B126" s="3" t="s">
        <v>43</v>
      </c>
      <c r="C126" s="3" t="s">
        <v>2</v>
      </c>
      <c r="D126" s="3" t="s">
        <v>3</v>
      </c>
      <c r="E126" s="3">
        <v>338</v>
      </c>
      <c r="G126" s="57"/>
    </row>
    <row r="127" spans="1:7" ht="12.75" x14ac:dyDescent="0.2">
      <c r="A127" s="3">
        <v>15</v>
      </c>
      <c r="B127" s="3" t="s">
        <v>43</v>
      </c>
      <c r="C127" s="3" t="s">
        <v>2</v>
      </c>
      <c r="D127" s="3" t="s">
        <v>14</v>
      </c>
      <c r="E127" s="3">
        <v>99</v>
      </c>
      <c r="F127">
        <f>SUM(E123:E127)</f>
        <v>1146</v>
      </c>
      <c r="G127" s="57"/>
    </row>
    <row r="128" spans="1:7" ht="12.75" x14ac:dyDescent="0.2">
      <c r="A128" s="3">
        <v>15</v>
      </c>
      <c r="B128" s="3" t="s">
        <v>43</v>
      </c>
      <c r="C128" s="3" t="s">
        <v>10</v>
      </c>
      <c r="D128" s="3" t="s">
        <v>283</v>
      </c>
      <c r="E128" s="3">
        <v>170</v>
      </c>
      <c r="G128" s="57"/>
    </row>
    <row r="129" spans="1:7" ht="12.75" x14ac:dyDescent="0.2">
      <c r="A129" s="3">
        <v>15</v>
      </c>
      <c r="B129" s="3" t="s">
        <v>43</v>
      </c>
      <c r="C129" s="3" t="s">
        <v>10</v>
      </c>
      <c r="D129" s="3" t="s">
        <v>22</v>
      </c>
      <c r="E129" s="3">
        <v>331</v>
      </c>
      <c r="G129" s="57"/>
    </row>
    <row r="130" spans="1:7" ht="12.75" x14ac:dyDescent="0.2">
      <c r="A130" s="3">
        <v>15</v>
      </c>
      <c r="B130" s="3" t="s">
        <v>43</v>
      </c>
      <c r="C130" s="3" t="s">
        <v>10</v>
      </c>
      <c r="D130" s="3" t="s">
        <v>288</v>
      </c>
      <c r="E130" s="3">
        <v>193</v>
      </c>
      <c r="G130" s="57"/>
    </row>
    <row r="131" spans="1:7" ht="12.75" x14ac:dyDescent="0.2">
      <c r="A131" s="3">
        <v>15</v>
      </c>
      <c r="B131" s="3" t="s">
        <v>43</v>
      </c>
      <c r="C131" s="3" t="s">
        <v>10</v>
      </c>
      <c r="D131" s="3" t="s">
        <v>3</v>
      </c>
      <c r="E131" s="3">
        <v>303</v>
      </c>
      <c r="G131" s="57"/>
    </row>
    <row r="132" spans="1:7" ht="12.75" x14ac:dyDescent="0.2">
      <c r="A132" s="3">
        <v>15</v>
      </c>
      <c r="B132" s="3" t="s">
        <v>43</v>
      </c>
      <c r="C132" s="3" t="s">
        <v>10</v>
      </c>
      <c r="D132" s="3" t="s">
        <v>14</v>
      </c>
      <c r="E132" s="3">
        <v>149</v>
      </c>
      <c r="F132">
        <f>SUM(E128:E132)</f>
        <v>1146</v>
      </c>
      <c r="G132" s="57"/>
    </row>
    <row r="133" spans="1:7" ht="12.75" x14ac:dyDescent="0.2">
      <c r="A133" s="3">
        <v>15</v>
      </c>
      <c r="B133" s="3" t="s">
        <v>43</v>
      </c>
      <c r="C133" s="3" t="s">
        <v>13</v>
      </c>
      <c r="D133" s="3" t="s">
        <v>283</v>
      </c>
      <c r="E133" s="3">
        <v>157</v>
      </c>
      <c r="G133" s="57"/>
    </row>
    <row r="134" spans="1:7" ht="12.75" x14ac:dyDescent="0.2">
      <c r="A134" s="3">
        <v>15</v>
      </c>
      <c r="B134" s="3" t="s">
        <v>43</v>
      </c>
      <c r="C134" s="3" t="s">
        <v>13</v>
      </c>
      <c r="D134" s="3" t="s">
        <v>22</v>
      </c>
      <c r="E134" s="3">
        <v>389</v>
      </c>
      <c r="G134" s="57"/>
    </row>
    <row r="135" spans="1:7" ht="12.75" x14ac:dyDescent="0.2">
      <c r="A135" s="3">
        <v>15</v>
      </c>
      <c r="B135" s="3" t="s">
        <v>43</v>
      </c>
      <c r="C135" s="3" t="s">
        <v>13</v>
      </c>
      <c r="D135" s="3" t="s">
        <v>288</v>
      </c>
      <c r="E135" s="3">
        <v>153</v>
      </c>
      <c r="G135" s="57"/>
    </row>
    <row r="136" spans="1:7" ht="12.75" x14ac:dyDescent="0.2">
      <c r="A136" s="3">
        <v>15</v>
      </c>
      <c r="B136" s="3" t="s">
        <v>43</v>
      </c>
      <c r="C136" s="3" t="s">
        <v>13</v>
      </c>
      <c r="D136" s="3" t="s">
        <v>3</v>
      </c>
      <c r="E136" s="3">
        <v>320</v>
      </c>
      <c r="G136" s="57"/>
    </row>
    <row r="137" spans="1:7" ht="12.75" x14ac:dyDescent="0.2">
      <c r="A137" s="3">
        <v>15</v>
      </c>
      <c r="B137" s="3" t="s">
        <v>43</v>
      </c>
      <c r="C137" s="3" t="s">
        <v>13</v>
      </c>
      <c r="D137" s="3" t="s">
        <v>14</v>
      </c>
      <c r="E137" s="3">
        <v>127</v>
      </c>
      <c r="F137">
        <f>SUM(E133:E137)</f>
        <v>1146</v>
      </c>
      <c r="G137" s="57"/>
    </row>
    <row r="138" spans="1:7" ht="12.75" x14ac:dyDescent="0.2">
      <c r="A138" s="3">
        <v>16</v>
      </c>
      <c r="B138" s="3" t="s">
        <v>44</v>
      </c>
      <c r="C138" s="3" t="s">
        <v>2</v>
      </c>
      <c r="D138" s="3" t="s">
        <v>279</v>
      </c>
      <c r="E138" s="3">
        <v>280</v>
      </c>
      <c r="G138" s="56">
        <v>727</v>
      </c>
    </row>
    <row r="139" spans="1:7" ht="12.75" x14ac:dyDescent="0.2">
      <c r="A139" s="3">
        <v>16</v>
      </c>
      <c r="B139" s="3" t="s">
        <v>44</v>
      </c>
      <c r="C139" s="3" t="s">
        <v>2</v>
      </c>
      <c r="D139" s="3" t="s">
        <v>3</v>
      </c>
      <c r="E139" s="3">
        <v>427</v>
      </c>
      <c r="G139" s="57"/>
    </row>
    <row r="140" spans="1:7" ht="12.75" x14ac:dyDescent="0.2">
      <c r="A140" s="3">
        <v>16</v>
      </c>
      <c r="B140" s="3" t="s">
        <v>44</v>
      </c>
      <c r="C140" s="3" t="s">
        <v>2</v>
      </c>
      <c r="D140" s="3" t="s">
        <v>14</v>
      </c>
      <c r="E140" s="3">
        <v>19</v>
      </c>
      <c r="F140">
        <f>SUM(E138:E140)</f>
        <v>726</v>
      </c>
      <c r="G140" s="57"/>
    </row>
    <row r="141" spans="1:7" ht="12.75" x14ac:dyDescent="0.2">
      <c r="A141" s="3">
        <v>16</v>
      </c>
      <c r="B141" s="3" t="s">
        <v>44</v>
      </c>
      <c r="C141" s="3" t="s">
        <v>10</v>
      </c>
      <c r="D141" s="3" t="s">
        <v>279</v>
      </c>
      <c r="E141" s="3">
        <v>266</v>
      </c>
      <c r="G141" s="57"/>
    </row>
    <row r="142" spans="1:7" ht="12.75" x14ac:dyDescent="0.2">
      <c r="A142" s="3">
        <v>16</v>
      </c>
      <c r="B142" s="3" t="s">
        <v>44</v>
      </c>
      <c r="C142" s="3" t="s">
        <v>10</v>
      </c>
      <c r="D142" s="3" t="s">
        <v>3</v>
      </c>
      <c r="E142" s="3">
        <v>428</v>
      </c>
      <c r="G142" s="57"/>
    </row>
    <row r="143" spans="1:7" ht="12.75" x14ac:dyDescent="0.2">
      <c r="A143" s="3">
        <v>16</v>
      </c>
      <c r="B143" s="3" t="s">
        <v>44</v>
      </c>
      <c r="C143" s="3" t="s">
        <v>10</v>
      </c>
      <c r="D143" s="3" t="s">
        <v>14</v>
      </c>
      <c r="E143" s="3">
        <v>32</v>
      </c>
      <c r="F143">
        <f>SUM(E141:E143)</f>
        <v>726</v>
      </c>
      <c r="G143" s="57"/>
    </row>
    <row r="144" spans="1:7" ht="12.75" x14ac:dyDescent="0.2">
      <c r="A144" s="3">
        <v>16</v>
      </c>
      <c r="B144" s="3" t="s">
        <v>44</v>
      </c>
      <c r="C144" s="3" t="s">
        <v>13</v>
      </c>
      <c r="D144" s="3" t="s">
        <v>279</v>
      </c>
      <c r="E144" s="3">
        <v>282</v>
      </c>
      <c r="G144" s="57"/>
    </row>
    <row r="145" spans="1:7" ht="12.75" x14ac:dyDescent="0.2">
      <c r="A145" s="3">
        <v>16</v>
      </c>
      <c r="B145" s="3" t="s">
        <v>44</v>
      </c>
      <c r="C145" s="3" t="s">
        <v>13</v>
      </c>
      <c r="D145" s="3" t="s">
        <v>3</v>
      </c>
      <c r="E145" s="3">
        <v>422</v>
      </c>
      <c r="G145" s="57"/>
    </row>
    <row r="146" spans="1:7" ht="12.75" x14ac:dyDescent="0.2">
      <c r="A146" s="3">
        <v>16</v>
      </c>
      <c r="B146" s="3" t="s">
        <v>44</v>
      </c>
      <c r="C146" s="3" t="s">
        <v>13</v>
      </c>
      <c r="D146" s="3" t="s">
        <v>14</v>
      </c>
      <c r="E146" s="3">
        <v>23</v>
      </c>
      <c r="F146">
        <f>SUM(E144:E146)</f>
        <v>727</v>
      </c>
      <c r="G146" s="57"/>
    </row>
    <row r="147" spans="1:7" ht="12.75" x14ac:dyDescent="0.2">
      <c r="A147" s="3">
        <v>17</v>
      </c>
      <c r="B147" s="3" t="s">
        <v>45</v>
      </c>
      <c r="C147" s="3" t="s">
        <v>13</v>
      </c>
      <c r="D147" s="3" t="s">
        <v>3</v>
      </c>
      <c r="E147" s="3">
        <v>28</v>
      </c>
      <c r="F147" s="3">
        <v>28</v>
      </c>
      <c r="G147" s="13">
        <v>28</v>
      </c>
    </row>
    <row r="148" spans="1:7" ht="12.75" x14ac:dyDescent="0.2">
      <c r="A148" s="3">
        <v>18</v>
      </c>
      <c r="B148" s="3" t="s">
        <v>46</v>
      </c>
      <c r="C148" s="3" t="s">
        <v>2</v>
      </c>
      <c r="D148" s="3" t="s">
        <v>289</v>
      </c>
      <c r="E148" s="3">
        <v>104</v>
      </c>
      <c r="G148" s="56">
        <v>1547</v>
      </c>
    </row>
    <row r="149" spans="1:7" ht="12.75" x14ac:dyDescent="0.2">
      <c r="A149" s="3">
        <v>18</v>
      </c>
      <c r="B149" s="3" t="s">
        <v>46</v>
      </c>
      <c r="C149" s="3" t="s">
        <v>2</v>
      </c>
      <c r="D149" s="3" t="s">
        <v>290</v>
      </c>
      <c r="E149" s="3">
        <v>101</v>
      </c>
      <c r="G149" s="57"/>
    </row>
    <row r="150" spans="1:7" ht="12.75" x14ac:dyDescent="0.2">
      <c r="A150" s="3">
        <v>18</v>
      </c>
      <c r="B150" s="3" t="s">
        <v>46</v>
      </c>
      <c r="C150" s="3" t="s">
        <v>2</v>
      </c>
      <c r="D150" s="3" t="s">
        <v>283</v>
      </c>
      <c r="E150" s="3">
        <v>53</v>
      </c>
      <c r="G150" s="57"/>
    </row>
    <row r="151" spans="1:7" ht="12.75" x14ac:dyDescent="0.2">
      <c r="A151" s="3">
        <v>18</v>
      </c>
      <c r="B151" s="3" t="s">
        <v>46</v>
      </c>
      <c r="C151" s="3" t="s">
        <v>2</v>
      </c>
      <c r="D151" s="3" t="s">
        <v>3</v>
      </c>
      <c r="E151" s="3">
        <v>642</v>
      </c>
      <c r="G151" s="57"/>
    </row>
    <row r="152" spans="1:7" ht="12.75" x14ac:dyDescent="0.2">
      <c r="A152" s="3">
        <v>18</v>
      </c>
      <c r="B152" s="3" t="s">
        <v>46</v>
      </c>
      <c r="C152" s="3" t="s">
        <v>2</v>
      </c>
      <c r="D152" s="3" t="s">
        <v>149</v>
      </c>
      <c r="E152" s="3">
        <v>66</v>
      </c>
      <c r="G152" s="57"/>
    </row>
    <row r="153" spans="1:7" ht="12.75" x14ac:dyDescent="0.2">
      <c r="A153" s="3">
        <v>18</v>
      </c>
      <c r="B153" s="3" t="s">
        <v>46</v>
      </c>
      <c r="C153" s="3" t="s">
        <v>2</v>
      </c>
      <c r="D153" s="3" t="s">
        <v>291</v>
      </c>
      <c r="E153" s="3">
        <v>525</v>
      </c>
      <c r="G153" s="57"/>
    </row>
    <row r="154" spans="1:7" ht="12.75" x14ac:dyDescent="0.2">
      <c r="A154" s="3">
        <v>18</v>
      </c>
      <c r="B154" s="3" t="s">
        <v>46</v>
      </c>
      <c r="C154" s="3" t="s">
        <v>2</v>
      </c>
      <c r="D154" s="3" t="s">
        <v>14</v>
      </c>
      <c r="E154" s="3">
        <v>52</v>
      </c>
      <c r="F154">
        <f>SUM(E148:E154)</f>
        <v>1543</v>
      </c>
      <c r="G154" s="57"/>
    </row>
    <row r="155" spans="1:7" ht="12.75" x14ac:dyDescent="0.2">
      <c r="A155" s="3">
        <v>18</v>
      </c>
      <c r="B155" s="3" t="s">
        <v>46</v>
      </c>
      <c r="C155" s="3" t="s">
        <v>10</v>
      </c>
      <c r="D155" s="3" t="s">
        <v>289</v>
      </c>
      <c r="E155" s="3">
        <v>112</v>
      </c>
      <c r="G155" s="57"/>
    </row>
    <row r="156" spans="1:7" ht="12.75" x14ac:dyDescent="0.2">
      <c r="A156" s="3">
        <v>18</v>
      </c>
      <c r="B156" s="3" t="s">
        <v>46</v>
      </c>
      <c r="C156" s="3" t="s">
        <v>10</v>
      </c>
      <c r="D156" s="3" t="s">
        <v>290</v>
      </c>
      <c r="E156" s="3">
        <v>117</v>
      </c>
      <c r="G156" s="57"/>
    </row>
    <row r="157" spans="1:7" ht="12.75" x14ac:dyDescent="0.2">
      <c r="A157" s="3">
        <v>18</v>
      </c>
      <c r="B157" s="3" t="s">
        <v>46</v>
      </c>
      <c r="C157" s="3" t="s">
        <v>10</v>
      </c>
      <c r="D157" s="3" t="s">
        <v>283</v>
      </c>
      <c r="E157" s="3">
        <v>70</v>
      </c>
      <c r="G157" s="57"/>
    </row>
    <row r="158" spans="1:7" ht="12.75" x14ac:dyDescent="0.2">
      <c r="A158" s="3">
        <v>18</v>
      </c>
      <c r="B158" s="3" t="s">
        <v>46</v>
      </c>
      <c r="C158" s="3" t="s">
        <v>10</v>
      </c>
      <c r="D158" s="3" t="s">
        <v>3</v>
      </c>
      <c r="E158" s="3">
        <v>624</v>
      </c>
      <c r="G158" s="57"/>
    </row>
    <row r="159" spans="1:7" ht="12.75" x14ac:dyDescent="0.2">
      <c r="A159" s="3">
        <v>18</v>
      </c>
      <c r="B159" s="3" t="s">
        <v>46</v>
      </c>
      <c r="C159" s="3" t="s">
        <v>10</v>
      </c>
      <c r="D159" s="3" t="s">
        <v>149</v>
      </c>
      <c r="E159" s="3">
        <v>67</v>
      </c>
      <c r="G159" s="57"/>
    </row>
    <row r="160" spans="1:7" ht="12.75" x14ac:dyDescent="0.2">
      <c r="A160" s="3">
        <v>18</v>
      </c>
      <c r="B160" s="3" t="s">
        <v>46</v>
      </c>
      <c r="C160" s="3" t="s">
        <v>10</v>
      </c>
      <c r="D160" s="3" t="s">
        <v>291</v>
      </c>
      <c r="E160" s="3">
        <v>469</v>
      </c>
      <c r="G160" s="57"/>
    </row>
    <row r="161" spans="1:7" ht="12.75" x14ac:dyDescent="0.2">
      <c r="A161" s="3">
        <v>18</v>
      </c>
      <c r="B161" s="3" t="s">
        <v>46</v>
      </c>
      <c r="C161" s="3" t="s">
        <v>10</v>
      </c>
      <c r="D161" s="3" t="s">
        <v>14</v>
      </c>
      <c r="E161" s="3">
        <v>86</v>
      </c>
      <c r="F161">
        <f>SUM(E155:E161)</f>
        <v>1545</v>
      </c>
      <c r="G161" s="57"/>
    </row>
    <row r="162" spans="1:7" ht="12.75" x14ac:dyDescent="0.2">
      <c r="A162" s="3">
        <v>18</v>
      </c>
      <c r="B162" s="3" t="s">
        <v>46</v>
      </c>
      <c r="C162" s="3" t="s">
        <v>13</v>
      </c>
      <c r="D162" s="3" t="s">
        <v>289</v>
      </c>
      <c r="E162" s="3">
        <v>209</v>
      </c>
      <c r="G162" s="57"/>
    </row>
    <row r="163" spans="1:7" ht="12.75" x14ac:dyDescent="0.2">
      <c r="A163" s="3">
        <v>18</v>
      </c>
      <c r="B163" s="3" t="s">
        <v>46</v>
      </c>
      <c r="C163" s="3" t="s">
        <v>13</v>
      </c>
      <c r="D163" s="3" t="s">
        <v>290</v>
      </c>
      <c r="E163" s="3">
        <v>119</v>
      </c>
      <c r="G163" s="57"/>
    </row>
    <row r="164" spans="1:7" ht="12.75" x14ac:dyDescent="0.2">
      <c r="A164" s="3">
        <v>18</v>
      </c>
      <c r="B164" s="3" t="s">
        <v>46</v>
      </c>
      <c r="C164" s="3" t="s">
        <v>13</v>
      </c>
      <c r="D164" s="3" t="s">
        <v>283</v>
      </c>
      <c r="E164" s="3">
        <v>48</v>
      </c>
      <c r="G164" s="57"/>
    </row>
    <row r="165" spans="1:7" ht="12.75" x14ac:dyDescent="0.2">
      <c r="A165" s="3">
        <v>18</v>
      </c>
      <c r="B165" s="3" t="s">
        <v>46</v>
      </c>
      <c r="C165" s="3" t="s">
        <v>13</v>
      </c>
      <c r="D165" s="3" t="s">
        <v>3</v>
      </c>
      <c r="E165" s="3">
        <v>543</v>
      </c>
      <c r="G165" s="57"/>
    </row>
    <row r="166" spans="1:7" ht="12.75" x14ac:dyDescent="0.2">
      <c r="A166" s="3">
        <v>18</v>
      </c>
      <c r="B166" s="3" t="s">
        <v>46</v>
      </c>
      <c r="C166" s="3" t="s">
        <v>13</v>
      </c>
      <c r="D166" s="3" t="s">
        <v>149</v>
      </c>
      <c r="E166" s="3">
        <v>78</v>
      </c>
      <c r="G166" s="57"/>
    </row>
    <row r="167" spans="1:7" ht="12.75" x14ac:dyDescent="0.2">
      <c r="A167" s="3">
        <v>18</v>
      </c>
      <c r="B167" s="3" t="s">
        <v>46</v>
      </c>
      <c r="C167" s="3" t="s">
        <v>13</v>
      </c>
      <c r="D167" s="3" t="s">
        <v>291</v>
      </c>
      <c r="E167" s="3">
        <v>484</v>
      </c>
      <c r="G167" s="57"/>
    </row>
    <row r="168" spans="1:7" ht="12.75" x14ac:dyDescent="0.2">
      <c r="A168" s="3">
        <v>18</v>
      </c>
      <c r="B168" s="3" t="s">
        <v>46</v>
      </c>
      <c r="C168" s="3" t="s">
        <v>13</v>
      </c>
      <c r="D168" s="3" t="s">
        <v>14</v>
      </c>
      <c r="E168" s="3">
        <v>60</v>
      </c>
      <c r="F168">
        <f>SUM(E162:E168)</f>
        <v>1541</v>
      </c>
      <c r="G168" s="57"/>
    </row>
    <row r="169" spans="1:7" ht="12.75" x14ac:dyDescent="0.2">
      <c r="A169" s="3">
        <v>19</v>
      </c>
      <c r="B169" s="3" t="s">
        <v>47</v>
      </c>
      <c r="C169" s="3" t="s">
        <v>2</v>
      </c>
      <c r="D169" s="3" t="s">
        <v>292</v>
      </c>
      <c r="E169" s="3">
        <v>408</v>
      </c>
      <c r="G169" s="56">
        <v>1119</v>
      </c>
    </row>
    <row r="170" spans="1:7" ht="12.75" x14ac:dyDescent="0.2">
      <c r="A170" s="3">
        <v>19</v>
      </c>
      <c r="B170" s="3" t="s">
        <v>47</v>
      </c>
      <c r="C170" s="3" t="s">
        <v>2</v>
      </c>
      <c r="D170" s="3" t="s">
        <v>3</v>
      </c>
      <c r="E170" s="3">
        <v>630</v>
      </c>
      <c r="G170" s="57"/>
    </row>
    <row r="171" spans="1:7" ht="12.75" x14ac:dyDescent="0.2">
      <c r="A171" s="3">
        <v>19</v>
      </c>
      <c r="B171" s="3" t="s">
        <v>47</v>
      </c>
      <c r="C171" s="3" t="s">
        <v>2</v>
      </c>
      <c r="D171" s="3" t="s">
        <v>14</v>
      </c>
      <c r="E171" s="3">
        <v>77</v>
      </c>
      <c r="F171">
        <f>SUM(E169:E171)</f>
        <v>1115</v>
      </c>
      <c r="G171" s="57"/>
    </row>
    <row r="172" spans="1:7" ht="12.75" x14ac:dyDescent="0.2">
      <c r="A172" s="3">
        <v>19</v>
      </c>
      <c r="B172" s="3" t="s">
        <v>47</v>
      </c>
      <c r="C172" s="3" t="s">
        <v>10</v>
      </c>
      <c r="D172" s="3" t="s">
        <v>292</v>
      </c>
      <c r="E172" s="3">
        <v>402</v>
      </c>
      <c r="G172" s="57"/>
    </row>
    <row r="173" spans="1:7" ht="12.75" x14ac:dyDescent="0.2">
      <c r="A173" s="3">
        <v>19</v>
      </c>
      <c r="B173" s="3" t="s">
        <v>47</v>
      </c>
      <c r="C173" s="3" t="s">
        <v>10</v>
      </c>
      <c r="D173" s="3" t="s">
        <v>3</v>
      </c>
      <c r="E173" s="3">
        <v>618</v>
      </c>
      <c r="G173" s="57"/>
    </row>
    <row r="174" spans="1:7" ht="12.75" x14ac:dyDescent="0.2">
      <c r="A174" s="3">
        <v>19</v>
      </c>
      <c r="B174" s="3" t="s">
        <v>47</v>
      </c>
      <c r="C174" s="3" t="s">
        <v>10</v>
      </c>
      <c r="D174" s="3" t="s">
        <v>14</v>
      </c>
      <c r="E174" s="3">
        <v>95</v>
      </c>
      <c r="F174">
        <f>SUM(E172:E174)</f>
        <v>1115</v>
      </c>
      <c r="G174" s="57"/>
    </row>
    <row r="175" spans="1:7" ht="12.75" x14ac:dyDescent="0.2">
      <c r="A175" s="3">
        <v>19</v>
      </c>
      <c r="B175" s="3" t="s">
        <v>47</v>
      </c>
      <c r="C175" s="3" t="s">
        <v>13</v>
      </c>
      <c r="D175" s="3" t="s">
        <v>292</v>
      </c>
      <c r="E175" s="3">
        <v>404</v>
      </c>
      <c r="G175" s="57"/>
    </row>
    <row r="176" spans="1:7" ht="12.75" x14ac:dyDescent="0.2">
      <c r="A176" s="3">
        <v>19</v>
      </c>
      <c r="B176" s="3" t="s">
        <v>47</v>
      </c>
      <c r="C176" s="3" t="s">
        <v>13</v>
      </c>
      <c r="D176" s="3" t="s">
        <v>3</v>
      </c>
      <c r="E176" s="3">
        <v>623</v>
      </c>
      <c r="G176" s="57"/>
    </row>
    <row r="177" spans="1:7" ht="12.75" x14ac:dyDescent="0.2">
      <c r="A177" s="3">
        <v>19</v>
      </c>
      <c r="B177" s="3" t="s">
        <v>47</v>
      </c>
      <c r="C177" s="3" t="s">
        <v>13</v>
      </c>
      <c r="D177" s="3" t="s">
        <v>14</v>
      </c>
      <c r="E177" s="3">
        <v>90</v>
      </c>
      <c r="F177">
        <f>SUM(E175:E177)</f>
        <v>1117</v>
      </c>
      <c r="G177" s="57"/>
    </row>
    <row r="178" spans="1:7" ht="12.75" x14ac:dyDescent="0.2">
      <c r="A178" s="2" t="s">
        <v>48</v>
      </c>
      <c r="B178" s="3" t="s">
        <v>49</v>
      </c>
      <c r="C178" s="3" t="s">
        <v>15</v>
      </c>
      <c r="D178" s="3" t="s">
        <v>3</v>
      </c>
      <c r="E178" s="3">
        <v>71</v>
      </c>
      <c r="G178" s="56">
        <v>88</v>
      </c>
    </row>
    <row r="179" spans="1:7" ht="12.75" x14ac:dyDescent="0.2">
      <c r="A179" s="2" t="s">
        <v>48</v>
      </c>
      <c r="B179" s="3" t="s">
        <v>49</v>
      </c>
      <c r="C179" s="3" t="s">
        <v>15</v>
      </c>
      <c r="D179" s="3" t="s">
        <v>14</v>
      </c>
      <c r="E179" s="3">
        <v>15</v>
      </c>
      <c r="F179">
        <f>SUM(E178:E179)</f>
        <v>86</v>
      </c>
      <c r="G179" s="57"/>
    </row>
    <row r="180" spans="1:7" ht="12.75" x14ac:dyDescent="0.2">
      <c r="A180" s="2" t="s">
        <v>48</v>
      </c>
      <c r="B180" s="3" t="s">
        <v>49</v>
      </c>
      <c r="C180" s="3" t="s">
        <v>17</v>
      </c>
      <c r="D180" s="3" t="s">
        <v>3</v>
      </c>
      <c r="E180" s="3">
        <v>66</v>
      </c>
      <c r="G180" s="57"/>
    </row>
    <row r="181" spans="1:7" ht="12.75" x14ac:dyDescent="0.2">
      <c r="A181" s="2" t="s">
        <v>48</v>
      </c>
      <c r="B181" s="3" t="s">
        <v>49</v>
      </c>
      <c r="C181" s="3" t="s">
        <v>17</v>
      </c>
      <c r="D181" s="3" t="s">
        <v>14</v>
      </c>
      <c r="E181" s="3">
        <v>20</v>
      </c>
      <c r="F181">
        <f>SUM(E180:E181)</f>
        <v>86</v>
      </c>
      <c r="G181" s="57"/>
    </row>
    <row r="182" spans="1:7" ht="12.75" x14ac:dyDescent="0.2">
      <c r="A182" s="3">
        <v>20</v>
      </c>
      <c r="B182" s="3" t="s">
        <v>50</v>
      </c>
      <c r="C182" s="3" t="s">
        <v>2</v>
      </c>
      <c r="D182" s="3" t="s">
        <v>293</v>
      </c>
      <c r="E182" s="3">
        <v>96</v>
      </c>
      <c r="G182" s="56">
        <v>280</v>
      </c>
    </row>
    <row r="183" spans="1:7" ht="12.75" x14ac:dyDescent="0.2">
      <c r="A183" s="3">
        <v>20</v>
      </c>
      <c r="B183" s="3" t="s">
        <v>50</v>
      </c>
      <c r="C183" s="3" t="s">
        <v>2</v>
      </c>
      <c r="D183" s="3" t="s">
        <v>3</v>
      </c>
      <c r="E183" s="3">
        <v>163</v>
      </c>
      <c r="G183" s="57"/>
    </row>
    <row r="184" spans="1:7" ht="12.75" x14ac:dyDescent="0.2">
      <c r="A184" s="3">
        <v>20</v>
      </c>
      <c r="B184" s="3" t="s">
        <v>50</v>
      </c>
      <c r="C184" s="3" t="s">
        <v>2</v>
      </c>
      <c r="D184" s="3" t="s">
        <v>14</v>
      </c>
      <c r="E184" s="3">
        <v>21</v>
      </c>
      <c r="F184">
        <f>SUM(E182:E184)</f>
        <v>280</v>
      </c>
      <c r="G184" s="57"/>
    </row>
    <row r="185" spans="1:7" ht="12.75" x14ac:dyDescent="0.2">
      <c r="A185" s="3">
        <v>20</v>
      </c>
      <c r="B185" s="3" t="s">
        <v>50</v>
      </c>
      <c r="C185" s="3" t="s">
        <v>10</v>
      </c>
      <c r="D185" s="3" t="s">
        <v>293</v>
      </c>
      <c r="E185" s="3">
        <v>116</v>
      </c>
      <c r="G185" s="57"/>
    </row>
    <row r="186" spans="1:7" ht="12.75" x14ac:dyDescent="0.2">
      <c r="A186" s="3">
        <v>20</v>
      </c>
      <c r="B186" s="3" t="s">
        <v>50</v>
      </c>
      <c r="C186" s="3" t="s">
        <v>10</v>
      </c>
      <c r="D186" s="3" t="s">
        <v>3</v>
      </c>
      <c r="E186" s="3">
        <v>147</v>
      </c>
      <c r="G186" s="57"/>
    </row>
    <row r="187" spans="1:7" ht="12.75" x14ac:dyDescent="0.2">
      <c r="A187" s="3">
        <v>20</v>
      </c>
      <c r="B187" s="3" t="s">
        <v>50</v>
      </c>
      <c r="C187" s="3" t="s">
        <v>10</v>
      </c>
      <c r="D187" s="3" t="s">
        <v>14</v>
      </c>
      <c r="E187" s="3">
        <v>17</v>
      </c>
      <c r="F187">
        <f>SUM(E185:E187)</f>
        <v>280</v>
      </c>
      <c r="G187" s="57"/>
    </row>
    <row r="188" spans="1:7" ht="12.75" x14ac:dyDescent="0.2">
      <c r="A188" s="3">
        <v>21</v>
      </c>
      <c r="B188" s="3" t="s">
        <v>51</v>
      </c>
      <c r="C188" s="3" t="s">
        <v>2</v>
      </c>
      <c r="D188" s="3" t="s">
        <v>279</v>
      </c>
      <c r="E188" s="3">
        <v>179</v>
      </c>
      <c r="G188" s="56">
        <v>507</v>
      </c>
    </row>
    <row r="189" spans="1:7" ht="12.75" x14ac:dyDescent="0.2">
      <c r="A189" s="3">
        <v>21</v>
      </c>
      <c r="B189" s="3" t="s">
        <v>51</v>
      </c>
      <c r="C189" s="3" t="s">
        <v>2</v>
      </c>
      <c r="D189" s="3" t="s">
        <v>3</v>
      </c>
      <c r="E189" s="3">
        <v>310</v>
      </c>
      <c r="G189" s="57"/>
    </row>
    <row r="190" spans="1:7" ht="12.75" x14ac:dyDescent="0.2">
      <c r="A190" s="3">
        <v>21</v>
      </c>
      <c r="B190" s="3" t="s">
        <v>51</v>
      </c>
      <c r="C190" s="3" t="s">
        <v>2</v>
      </c>
      <c r="D190" s="3" t="s">
        <v>14</v>
      </c>
      <c r="E190" s="3">
        <v>17</v>
      </c>
      <c r="F190">
        <f>SUM(E188:E190)</f>
        <v>506</v>
      </c>
      <c r="G190" s="57"/>
    </row>
    <row r="191" spans="1:7" ht="12.75" x14ac:dyDescent="0.2">
      <c r="A191" s="3">
        <v>21</v>
      </c>
      <c r="B191" s="3" t="s">
        <v>51</v>
      </c>
      <c r="C191" s="3" t="s">
        <v>10</v>
      </c>
      <c r="D191" s="3" t="s">
        <v>279</v>
      </c>
      <c r="E191" s="3">
        <v>195</v>
      </c>
      <c r="G191" s="57"/>
    </row>
    <row r="192" spans="1:7" ht="12.75" x14ac:dyDescent="0.2">
      <c r="A192" s="3">
        <v>21</v>
      </c>
      <c r="B192" s="3" t="s">
        <v>51</v>
      </c>
      <c r="C192" s="3" t="s">
        <v>10</v>
      </c>
      <c r="D192" s="3" t="s">
        <v>3</v>
      </c>
      <c r="E192" s="3">
        <v>281</v>
      </c>
      <c r="G192" s="57"/>
    </row>
    <row r="193" spans="1:7" ht="12.75" x14ac:dyDescent="0.2">
      <c r="A193" s="3">
        <v>21</v>
      </c>
      <c r="B193" s="3" t="s">
        <v>51</v>
      </c>
      <c r="C193" s="3" t="s">
        <v>10</v>
      </c>
      <c r="D193" s="3" t="s">
        <v>14</v>
      </c>
      <c r="E193" s="3">
        <v>29</v>
      </c>
      <c r="F193">
        <f>SUM(E191:E193)</f>
        <v>505</v>
      </c>
      <c r="G193" s="57"/>
    </row>
    <row r="194" spans="1:7" ht="12.75" x14ac:dyDescent="0.2">
      <c r="A194" s="3">
        <v>21</v>
      </c>
      <c r="B194" s="3" t="s">
        <v>51</v>
      </c>
      <c r="C194" s="3" t="s">
        <v>13</v>
      </c>
      <c r="D194" s="3" t="s">
        <v>279</v>
      </c>
      <c r="E194" s="3">
        <v>239</v>
      </c>
      <c r="G194" s="57"/>
    </row>
    <row r="195" spans="1:7" ht="12.75" x14ac:dyDescent="0.2">
      <c r="A195" s="3">
        <v>21</v>
      </c>
      <c r="B195" s="3" t="s">
        <v>51</v>
      </c>
      <c r="C195" s="3" t="s">
        <v>13</v>
      </c>
      <c r="D195" s="3" t="s">
        <v>3</v>
      </c>
      <c r="E195" s="3">
        <v>227</v>
      </c>
      <c r="G195" s="57"/>
    </row>
    <row r="196" spans="1:7" ht="12.75" x14ac:dyDescent="0.2">
      <c r="A196" s="3">
        <v>21</v>
      </c>
      <c r="B196" s="3" t="s">
        <v>51</v>
      </c>
      <c r="C196" s="3" t="s">
        <v>13</v>
      </c>
      <c r="D196" s="3" t="s">
        <v>14</v>
      </c>
      <c r="E196" s="3">
        <v>40</v>
      </c>
      <c r="F196">
        <f>SUM(E194:E196)</f>
        <v>506</v>
      </c>
      <c r="G196" s="57"/>
    </row>
    <row r="197" spans="1:7" ht="12.75" x14ac:dyDescent="0.2">
      <c r="A197" s="3">
        <v>22</v>
      </c>
      <c r="B197" s="3" t="s">
        <v>52</v>
      </c>
      <c r="C197" s="3" t="s">
        <v>2</v>
      </c>
      <c r="D197" s="3" t="s">
        <v>140</v>
      </c>
      <c r="E197" s="3">
        <v>2306</v>
      </c>
      <c r="G197" s="56">
        <v>4679</v>
      </c>
    </row>
    <row r="198" spans="1:7" ht="12.75" x14ac:dyDescent="0.2">
      <c r="A198" s="3">
        <v>22</v>
      </c>
      <c r="B198" s="3" t="s">
        <v>52</v>
      </c>
      <c r="C198" s="3" t="s">
        <v>2</v>
      </c>
      <c r="D198" s="3" t="s">
        <v>3</v>
      </c>
      <c r="E198" s="3">
        <v>2154</v>
      </c>
      <c r="G198" s="57"/>
    </row>
    <row r="199" spans="1:7" ht="12.75" x14ac:dyDescent="0.2">
      <c r="A199" s="3">
        <v>22</v>
      </c>
      <c r="B199" s="3" t="s">
        <v>52</v>
      </c>
      <c r="C199" s="3" t="s">
        <v>2</v>
      </c>
      <c r="D199" s="3" t="s">
        <v>14</v>
      </c>
      <c r="E199" s="3">
        <v>200</v>
      </c>
      <c r="F199">
        <f>SUM(E197:E199)</f>
        <v>4660</v>
      </c>
      <c r="G199" s="57"/>
    </row>
    <row r="200" spans="1:7" ht="12.75" x14ac:dyDescent="0.2">
      <c r="A200" s="3">
        <v>22</v>
      </c>
      <c r="B200" s="3" t="s">
        <v>52</v>
      </c>
      <c r="C200" s="3" t="s">
        <v>10</v>
      </c>
      <c r="D200" s="3" t="s">
        <v>140</v>
      </c>
      <c r="E200" s="3">
        <v>2337</v>
      </c>
      <c r="G200" s="57"/>
    </row>
    <row r="201" spans="1:7" ht="12.75" x14ac:dyDescent="0.2">
      <c r="A201" s="3">
        <v>22</v>
      </c>
      <c r="B201" s="3" t="s">
        <v>52</v>
      </c>
      <c r="C201" s="3" t="s">
        <v>10</v>
      </c>
      <c r="D201" s="3" t="s">
        <v>3</v>
      </c>
      <c r="E201" s="3">
        <v>2109</v>
      </c>
      <c r="G201" s="57"/>
    </row>
    <row r="202" spans="1:7" ht="12.75" x14ac:dyDescent="0.2">
      <c r="A202" s="3">
        <v>22</v>
      </c>
      <c r="B202" s="3" t="s">
        <v>52</v>
      </c>
      <c r="C202" s="3" t="s">
        <v>10</v>
      </c>
      <c r="D202" s="3" t="s">
        <v>14</v>
      </c>
      <c r="E202" s="3">
        <v>213</v>
      </c>
      <c r="F202">
        <f>SUM(E200:E202)</f>
        <v>4659</v>
      </c>
      <c r="G202" s="57"/>
    </row>
    <row r="203" spans="1:7" ht="12.75" x14ac:dyDescent="0.2">
      <c r="A203" s="3">
        <v>22</v>
      </c>
      <c r="B203" s="3" t="s">
        <v>52</v>
      </c>
      <c r="C203" s="3" t="s">
        <v>13</v>
      </c>
      <c r="D203" s="3" t="s">
        <v>140</v>
      </c>
      <c r="E203" s="3">
        <v>2310</v>
      </c>
      <c r="G203" s="57"/>
    </row>
    <row r="204" spans="1:7" ht="12.75" x14ac:dyDescent="0.2">
      <c r="A204" s="3">
        <v>22</v>
      </c>
      <c r="B204" s="3" t="s">
        <v>52</v>
      </c>
      <c r="C204" s="3" t="s">
        <v>13</v>
      </c>
      <c r="D204" s="3" t="s">
        <v>3</v>
      </c>
      <c r="E204" s="3">
        <v>2141</v>
      </c>
      <c r="G204" s="57"/>
    </row>
    <row r="205" spans="1:7" ht="12.75" x14ac:dyDescent="0.2">
      <c r="A205" s="3">
        <v>22</v>
      </c>
      <c r="B205" s="3" t="s">
        <v>52</v>
      </c>
      <c r="C205" s="3" t="s">
        <v>13</v>
      </c>
      <c r="D205" s="3" t="s">
        <v>14</v>
      </c>
      <c r="E205" s="3">
        <v>208</v>
      </c>
      <c r="F205">
        <f>SUM(E203:E205)</f>
        <v>4659</v>
      </c>
      <c r="G205" s="57"/>
    </row>
    <row r="206" spans="1:7" ht="12.75" x14ac:dyDescent="0.2">
      <c r="A206" s="3">
        <v>23</v>
      </c>
      <c r="B206" s="3" t="s">
        <v>53</v>
      </c>
      <c r="C206" s="3" t="s">
        <v>2</v>
      </c>
      <c r="D206" s="3" t="s">
        <v>3</v>
      </c>
      <c r="E206" s="3">
        <v>368</v>
      </c>
      <c r="G206" s="56">
        <v>563</v>
      </c>
    </row>
    <row r="207" spans="1:7" ht="12.75" x14ac:dyDescent="0.2">
      <c r="A207" s="3">
        <v>23</v>
      </c>
      <c r="B207" s="3" t="s">
        <v>53</v>
      </c>
      <c r="C207" s="3" t="s">
        <v>2</v>
      </c>
      <c r="D207" s="3" t="s">
        <v>14</v>
      </c>
      <c r="E207" s="3">
        <v>193</v>
      </c>
      <c r="F207">
        <f>SUM(E206:E207)</f>
        <v>561</v>
      </c>
      <c r="G207" s="57"/>
    </row>
    <row r="208" spans="1:7" ht="12.75" x14ac:dyDescent="0.2">
      <c r="A208" s="3">
        <v>23</v>
      </c>
      <c r="B208" s="3" t="s">
        <v>53</v>
      </c>
      <c r="C208" s="3" t="s">
        <v>10</v>
      </c>
      <c r="D208" s="3" t="s">
        <v>279</v>
      </c>
      <c r="E208" s="3">
        <v>140</v>
      </c>
      <c r="G208" s="57"/>
    </row>
    <row r="209" spans="1:7" ht="12.75" x14ac:dyDescent="0.2">
      <c r="A209" s="3">
        <v>23</v>
      </c>
      <c r="B209" s="3" t="s">
        <v>53</v>
      </c>
      <c r="C209" s="3" t="s">
        <v>10</v>
      </c>
      <c r="D209" s="3" t="s">
        <v>3</v>
      </c>
      <c r="E209" s="3">
        <v>352</v>
      </c>
      <c r="G209" s="57"/>
    </row>
    <row r="210" spans="1:7" ht="12.75" x14ac:dyDescent="0.2">
      <c r="A210" s="3">
        <v>23</v>
      </c>
      <c r="B210" s="3" t="s">
        <v>53</v>
      </c>
      <c r="C210" s="3" t="s">
        <v>10</v>
      </c>
      <c r="D210" s="3" t="s">
        <v>14</v>
      </c>
      <c r="E210" s="3">
        <v>69</v>
      </c>
      <c r="F210">
        <f>SUM(E208:E210)</f>
        <v>561</v>
      </c>
      <c r="G210" s="57"/>
    </row>
    <row r="211" spans="1:7" ht="12.75" x14ac:dyDescent="0.2">
      <c r="A211" s="3">
        <v>23</v>
      </c>
      <c r="B211" s="3" t="s">
        <v>53</v>
      </c>
      <c r="C211" s="3" t="s">
        <v>13</v>
      </c>
      <c r="D211" s="3" t="s">
        <v>279</v>
      </c>
      <c r="E211" s="3">
        <v>172</v>
      </c>
      <c r="G211" s="57"/>
    </row>
    <row r="212" spans="1:7" ht="12.75" x14ac:dyDescent="0.2">
      <c r="A212" s="3">
        <v>23</v>
      </c>
      <c r="B212" s="3" t="s">
        <v>53</v>
      </c>
      <c r="C212" s="3" t="s">
        <v>13</v>
      </c>
      <c r="D212" s="3" t="s">
        <v>3</v>
      </c>
      <c r="E212" s="3">
        <v>339</v>
      </c>
      <c r="G212" s="57"/>
    </row>
    <row r="213" spans="1:7" ht="12.75" x14ac:dyDescent="0.2">
      <c r="A213" s="3">
        <v>23</v>
      </c>
      <c r="B213" s="3" t="s">
        <v>53</v>
      </c>
      <c r="C213" s="3" t="s">
        <v>13</v>
      </c>
      <c r="D213" s="3" t="s">
        <v>14</v>
      </c>
      <c r="E213" s="3">
        <v>50</v>
      </c>
      <c r="F213">
        <f>SUM(E211:E213)</f>
        <v>561</v>
      </c>
      <c r="G213" s="57"/>
    </row>
    <row r="214" spans="1:7" ht="12.75" x14ac:dyDescent="0.2">
      <c r="A214" s="3">
        <v>24</v>
      </c>
      <c r="B214" s="3" t="s">
        <v>54</v>
      </c>
      <c r="C214" s="3" t="s">
        <v>15</v>
      </c>
      <c r="D214" s="3" t="s">
        <v>294</v>
      </c>
      <c r="E214" s="3">
        <v>167</v>
      </c>
      <c r="G214" s="56">
        <v>299</v>
      </c>
    </row>
    <row r="215" spans="1:7" ht="12.75" x14ac:dyDescent="0.2">
      <c r="A215" s="3">
        <v>24</v>
      </c>
      <c r="B215" s="3" t="s">
        <v>54</v>
      </c>
      <c r="C215" s="3" t="s">
        <v>15</v>
      </c>
      <c r="D215" s="3" t="s">
        <v>3</v>
      </c>
      <c r="E215" s="3">
        <v>127</v>
      </c>
      <c r="G215" s="57"/>
    </row>
    <row r="216" spans="1:7" ht="12.75" x14ac:dyDescent="0.2">
      <c r="A216" s="3">
        <v>24</v>
      </c>
      <c r="B216" s="3" t="s">
        <v>54</v>
      </c>
      <c r="C216" s="3" t="s">
        <v>15</v>
      </c>
      <c r="D216" s="3" t="s">
        <v>14</v>
      </c>
      <c r="E216" s="3">
        <v>5</v>
      </c>
      <c r="F216">
        <f>SUM(E214:E216)</f>
        <v>299</v>
      </c>
      <c r="G216" s="57"/>
    </row>
    <row r="217" spans="1:7" ht="12.75" x14ac:dyDescent="0.2">
      <c r="A217" s="3">
        <v>24</v>
      </c>
      <c r="B217" s="3" t="s">
        <v>54</v>
      </c>
      <c r="C217" s="3" t="s">
        <v>17</v>
      </c>
      <c r="D217" s="3" t="s">
        <v>294</v>
      </c>
      <c r="E217" s="3">
        <v>165</v>
      </c>
      <c r="G217" s="57"/>
    </row>
    <row r="218" spans="1:7" ht="12.75" x14ac:dyDescent="0.2">
      <c r="A218" s="3">
        <v>24</v>
      </c>
      <c r="B218" s="3" t="s">
        <v>54</v>
      </c>
      <c r="C218" s="3" t="s">
        <v>17</v>
      </c>
      <c r="D218" s="3" t="s">
        <v>3</v>
      </c>
      <c r="E218" s="3">
        <v>126</v>
      </c>
      <c r="G218" s="57"/>
    </row>
    <row r="219" spans="1:7" ht="12.75" x14ac:dyDescent="0.2">
      <c r="A219" s="3">
        <v>24</v>
      </c>
      <c r="B219" s="3" t="s">
        <v>54</v>
      </c>
      <c r="C219" s="3" t="s">
        <v>17</v>
      </c>
      <c r="D219" s="3" t="s">
        <v>14</v>
      </c>
      <c r="E219" s="3">
        <v>8</v>
      </c>
      <c r="F219">
        <f>SUM(E217:E219)</f>
        <v>299</v>
      </c>
      <c r="G219" s="57"/>
    </row>
    <row r="220" spans="1:7" ht="12.75" x14ac:dyDescent="0.2">
      <c r="A220" s="3">
        <v>24</v>
      </c>
      <c r="B220" s="3" t="s">
        <v>54</v>
      </c>
      <c r="C220" s="3" t="s">
        <v>13</v>
      </c>
      <c r="D220" s="3" t="s">
        <v>294</v>
      </c>
      <c r="E220" s="3">
        <v>171</v>
      </c>
      <c r="G220" s="57"/>
    </row>
    <row r="221" spans="1:7" ht="12.75" x14ac:dyDescent="0.2">
      <c r="A221" s="3">
        <v>24</v>
      </c>
      <c r="B221" s="3" t="s">
        <v>54</v>
      </c>
      <c r="C221" s="3" t="s">
        <v>13</v>
      </c>
      <c r="D221" s="3" t="s">
        <v>3</v>
      </c>
      <c r="E221" s="3">
        <v>124</v>
      </c>
      <c r="G221" s="57"/>
    </row>
    <row r="222" spans="1:7" ht="12.75" x14ac:dyDescent="0.2">
      <c r="A222" s="3">
        <v>24</v>
      </c>
      <c r="B222" s="3" t="s">
        <v>54</v>
      </c>
      <c r="C222" s="3" t="s">
        <v>13</v>
      </c>
      <c r="D222" s="3" t="s">
        <v>14</v>
      </c>
      <c r="E222" s="3">
        <v>4</v>
      </c>
      <c r="F222">
        <f>SUM(E220:E222)</f>
        <v>299</v>
      </c>
      <c r="G222" s="57"/>
    </row>
    <row r="223" spans="1:7" ht="12.75" x14ac:dyDescent="0.2">
      <c r="A223" s="3">
        <v>25</v>
      </c>
      <c r="B223" s="3" t="s">
        <v>55</v>
      </c>
      <c r="C223" s="3" t="s">
        <v>2</v>
      </c>
      <c r="D223" s="3" t="s">
        <v>283</v>
      </c>
      <c r="E223" s="3">
        <v>203</v>
      </c>
      <c r="G223" s="56">
        <v>520</v>
      </c>
    </row>
    <row r="224" spans="1:7" ht="12.75" x14ac:dyDescent="0.2">
      <c r="A224" s="3">
        <v>25</v>
      </c>
      <c r="B224" s="3" t="s">
        <v>55</v>
      </c>
      <c r="C224" s="3" t="s">
        <v>2</v>
      </c>
      <c r="D224" s="3" t="s">
        <v>295</v>
      </c>
      <c r="E224" s="3">
        <v>68</v>
      </c>
      <c r="G224" s="57"/>
    </row>
    <row r="225" spans="1:7" ht="12.75" x14ac:dyDescent="0.2">
      <c r="A225" s="3">
        <v>25</v>
      </c>
      <c r="B225" s="3" t="s">
        <v>55</v>
      </c>
      <c r="C225" s="3" t="s">
        <v>2</v>
      </c>
      <c r="D225" s="3" t="s">
        <v>3</v>
      </c>
      <c r="E225" s="3">
        <v>248</v>
      </c>
      <c r="G225" s="57"/>
    </row>
    <row r="226" spans="1:7" ht="12.75" x14ac:dyDescent="0.2">
      <c r="A226" s="3">
        <v>25</v>
      </c>
      <c r="B226" s="3" t="s">
        <v>55</v>
      </c>
      <c r="C226" s="3" t="s">
        <v>2</v>
      </c>
      <c r="D226" s="3" t="s">
        <v>14</v>
      </c>
      <c r="E226" s="3">
        <v>1</v>
      </c>
      <c r="F226">
        <f>SUM(E223:E226)</f>
        <v>520</v>
      </c>
      <c r="G226" s="57"/>
    </row>
    <row r="227" spans="1:7" ht="12.75" x14ac:dyDescent="0.2">
      <c r="A227" s="3">
        <v>25</v>
      </c>
      <c r="B227" s="3" t="s">
        <v>55</v>
      </c>
      <c r="C227" s="3" t="s">
        <v>10</v>
      </c>
      <c r="D227" s="3" t="s">
        <v>283</v>
      </c>
      <c r="E227" s="3">
        <v>202</v>
      </c>
      <c r="G227" s="57"/>
    </row>
    <row r="228" spans="1:7" ht="12.75" x14ac:dyDescent="0.2">
      <c r="A228" s="3">
        <v>25</v>
      </c>
      <c r="B228" s="3" t="s">
        <v>55</v>
      </c>
      <c r="C228" s="3" t="s">
        <v>10</v>
      </c>
      <c r="D228" s="3" t="s">
        <v>295</v>
      </c>
      <c r="E228" s="3">
        <v>69</v>
      </c>
      <c r="G228" s="57"/>
    </row>
    <row r="229" spans="1:7" ht="12.75" x14ac:dyDescent="0.2">
      <c r="A229" s="3">
        <v>25</v>
      </c>
      <c r="B229" s="3" t="s">
        <v>55</v>
      </c>
      <c r="C229" s="3" t="s">
        <v>10</v>
      </c>
      <c r="D229" s="3" t="s">
        <v>3</v>
      </c>
      <c r="E229" s="3">
        <v>247</v>
      </c>
      <c r="G229" s="57"/>
    </row>
    <row r="230" spans="1:7" ht="12.75" x14ac:dyDescent="0.2">
      <c r="A230" s="3">
        <v>25</v>
      </c>
      <c r="B230" s="3" t="s">
        <v>55</v>
      </c>
      <c r="C230" s="3" t="s">
        <v>10</v>
      </c>
      <c r="D230" s="3" t="s">
        <v>14</v>
      </c>
      <c r="E230" s="3">
        <v>2</v>
      </c>
      <c r="F230">
        <f>SUM(E227:E230)</f>
        <v>520</v>
      </c>
      <c r="G230" s="57"/>
    </row>
    <row r="231" spans="1:7" ht="12.75" x14ac:dyDescent="0.2">
      <c r="A231" s="3">
        <v>26</v>
      </c>
      <c r="B231" s="3" t="s">
        <v>56</v>
      </c>
      <c r="C231" s="3" t="s">
        <v>2</v>
      </c>
      <c r="D231" s="3" t="s">
        <v>3</v>
      </c>
      <c r="E231" s="3">
        <v>263</v>
      </c>
      <c r="G231" s="56">
        <v>380</v>
      </c>
    </row>
    <row r="232" spans="1:7" ht="12.75" x14ac:dyDescent="0.2">
      <c r="A232" s="3">
        <v>26</v>
      </c>
      <c r="B232" s="3" t="s">
        <v>56</v>
      </c>
      <c r="C232" s="3" t="s">
        <v>2</v>
      </c>
      <c r="D232" s="3" t="s">
        <v>14</v>
      </c>
      <c r="E232" s="3">
        <v>113</v>
      </c>
      <c r="F232">
        <f>SUM(E231:E232)</f>
        <v>376</v>
      </c>
      <c r="G232" s="57"/>
    </row>
    <row r="233" spans="1:7" ht="12.75" x14ac:dyDescent="0.2">
      <c r="A233" s="3">
        <v>26</v>
      </c>
      <c r="B233" s="3" t="s">
        <v>56</v>
      </c>
      <c r="C233" s="3" t="s">
        <v>10</v>
      </c>
      <c r="D233" s="3" t="s">
        <v>289</v>
      </c>
      <c r="E233" s="3">
        <v>123</v>
      </c>
      <c r="G233" s="57"/>
    </row>
    <row r="234" spans="1:7" ht="12.75" x14ac:dyDescent="0.2">
      <c r="A234" s="3">
        <v>26</v>
      </c>
      <c r="B234" s="3" t="s">
        <v>56</v>
      </c>
      <c r="C234" s="3" t="s">
        <v>10</v>
      </c>
      <c r="D234" s="3" t="s">
        <v>3</v>
      </c>
      <c r="E234" s="3">
        <v>227</v>
      </c>
      <c r="G234" s="57"/>
    </row>
    <row r="235" spans="1:7" ht="12.75" x14ac:dyDescent="0.2">
      <c r="A235" s="3">
        <v>26</v>
      </c>
      <c r="B235" s="3" t="s">
        <v>56</v>
      </c>
      <c r="C235" s="3" t="s">
        <v>10</v>
      </c>
      <c r="D235" s="3" t="s">
        <v>14</v>
      </c>
      <c r="E235" s="3">
        <v>26</v>
      </c>
      <c r="F235">
        <f>SUM(E233:E235)</f>
        <v>376</v>
      </c>
      <c r="G235" s="57"/>
    </row>
    <row r="236" spans="1:7" ht="12.75" x14ac:dyDescent="0.2">
      <c r="A236" s="3">
        <v>26</v>
      </c>
      <c r="B236" s="3" t="s">
        <v>56</v>
      </c>
      <c r="C236" s="3" t="s">
        <v>13</v>
      </c>
      <c r="D236" s="3" t="s">
        <v>289</v>
      </c>
      <c r="E236" s="3">
        <v>143</v>
      </c>
      <c r="G236" s="57"/>
    </row>
    <row r="237" spans="1:7" ht="12.75" x14ac:dyDescent="0.2">
      <c r="A237" s="3">
        <v>26</v>
      </c>
      <c r="B237" s="3" t="s">
        <v>56</v>
      </c>
      <c r="C237" s="3" t="s">
        <v>13</v>
      </c>
      <c r="D237" s="3" t="s">
        <v>3</v>
      </c>
      <c r="E237" s="3">
        <v>209</v>
      </c>
      <c r="G237" s="57"/>
    </row>
    <row r="238" spans="1:7" ht="12.75" x14ac:dyDescent="0.2">
      <c r="A238" s="3">
        <v>26</v>
      </c>
      <c r="B238" s="3" t="s">
        <v>56</v>
      </c>
      <c r="C238" s="3" t="s">
        <v>13</v>
      </c>
      <c r="D238" s="3" t="s">
        <v>14</v>
      </c>
      <c r="E238" s="3">
        <v>24</v>
      </c>
      <c r="F238">
        <f>SUM(E236:E238)</f>
        <v>376</v>
      </c>
      <c r="G238" s="57"/>
    </row>
    <row r="239" spans="1:7" ht="12.75" x14ac:dyDescent="0.2">
      <c r="A239" s="3">
        <v>27</v>
      </c>
      <c r="B239" s="3" t="s">
        <v>57</v>
      </c>
      <c r="C239" s="3" t="s">
        <v>2</v>
      </c>
      <c r="D239" s="3" t="s">
        <v>296</v>
      </c>
      <c r="E239" s="3">
        <v>3545</v>
      </c>
      <c r="G239" s="56">
        <v>6409</v>
      </c>
    </row>
    <row r="240" spans="1:7" ht="12.75" x14ac:dyDescent="0.2">
      <c r="A240" s="3">
        <v>27</v>
      </c>
      <c r="B240" s="3" t="s">
        <v>57</v>
      </c>
      <c r="C240" s="3" t="s">
        <v>2</v>
      </c>
      <c r="D240" s="3" t="s">
        <v>283</v>
      </c>
      <c r="E240" s="3">
        <v>420</v>
      </c>
      <c r="G240" s="57"/>
    </row>
    <row r="241" spans="1:7" ht="12.75" x14ac:dyDescent="0.2">
      <c r="A241" s="3">
        <v>27</v>
      </c>
      <c r="B241" s="3" t="s">
        <v>57</v>
      </c>
      <c r="C241" s="3" t="s">
        <v>2</v>
      </c>
      <c r="D241" s="3" t="s">
        <v>3</v>
      </c>
      <c r="E241" s="3">
        <v>2151</v>
      </c>
      <c r="G241" s="57"/>
    </row>
    <row r="242" spans="1:7" ht="12.75" x14ac:dyDescent="0.2">
      <c r="A242" s="3">
        <v>27</v>
      </c>
      <c r="B242" s="3" t="s">
        <v>57</v>
      </c>
      <c r="C242" s="3" t="s">
        <v>2</v>
      </c>
      <c r="D242" s="3" t="s">
        <v>14</v>
      </c>
      <c r="E242" s="3">
        <v>245</v>
      </c>
      <c r="F242">
        <f>SUM(E239:E242)</f>
        <v>6361</v>
      </c>
      <c r="G242" s="57"/>
    </row>
    <row r="243" spans="1:7" ht="12.75" x14ac:dyDescent="0.2">
      <c r="A243" s="3">
        <v>27</v>
      </c>
      <c r="B243" s="3" t="s">
        <v>57</v>
      </c>
      <c r="C243" s="3" t="s">
        <v>10</v>
      </c>
      <c r="D243" s="3" t="s">
        <v>289</v>
      </c>
      <c r="E243" s="3">
        <v>91</v>
      </c>
      <c r="G243" s="57"/>
    </row>
    <row r="244" spans="1:7" ht="12.75" x14ac:dyDescent="0.2">
      <c r="A244" s="3">
        <v>27</v>
      </c>
      <c r="B244" s="3" t="s">
        <v>57</v>
      </c>
      <c r="C244" s="3" t="s">
        <v>10</v>
      </c>
      <c r="D244" s="3" t="s">
        <v>296</v>
      </c>
      <c r="E244" s="3">
        <v>3437</v>
      </c>
      <c r="G244" s="57"/>
    </row>
    <row r="245" spans="1:7" ht="12.75" x14ac:dyDescent="0.2">
      <c r="A245" s="3">
        <v>27</v>
      </c>
      <c r="B245" s="3" t="s">
        <v>57</v>
      </c>
      <c r="C245" s="3" t="s">
        <v>10</v>
      </c>
      <c r="D245" s="3" t="s">
        <v>283</v>
      </c>
      <c r="E245" s="3">
        <v>418</v>
      </c>
      <c r="G245" s="57"/>
    </row>
    <row r="246" spans="1:7" ht="12.75" x14ac:dyDescent="0.2">
      <c r="A246" s="3">
        <v>27</v>
      </c>
      <c r="B246" s="3" t="s">
        <v>57</v>
      </c>
      <c r="C246" s="3" t="s">
        <v>10</v>
      </c>
      <c r="D246" s="3" t="s">
        <v>3</v>
      </c>
      <c r="E246" s="3">
        <v>2092</v>
      </c>
      <c r="G246" s="57"/>
    </row>
    <row r="247" spans="1:7" ht="12.75" x14ac:dyDescent="0.2">
      <c r="A247" s="3">
        <v>27</v>
      </c>
      <c r="B247" s="3" t="s">
        <v>57</v>
      </c>
      <c r="C247" s="3" t="s">
        <v>10</v>
      </c>
      <c r="D247" s="3" t="s">
        <v>14</v>
      </c>
      <c r="E247" s="3">
        <v>310</v>
      </c>
      <c r="F247">
        <f>SUM(E243:E247)</f>
        <v>6348</v>
      </c>
      <c r="G247" s="57"/>
    </row>
    <row r="248" spans="1:7" ht="12.75" x14ac:dyDescent="0.2">
      <c r="A248" s="3">
        <v>27</v>
      </c>
      <c r="B248" s="3" t="s">
        <v>57</v>
      </c>
      <c r="C248" s="3" t="s">
        <v>13</v>
      </c>
      <c r="D248" s="3" t="s">
        <v>296</v>
      </c>
      <c r="E248" s="3">
        <v>3637</v>
      </c>
      <c r="G248" s="57"/>
    </row>
    <row r="249" spans="1:7" ht="12.75" x14ac:dyDescent="0.2">
      <c r="A249" s="3">
        <v>27</v>
      </c>
      <c r="B249" s="3" t="s">
        <v>57</v>
      </c>
      <c r="C249" s="3" t="s">
        <v>13</v>
      </c>
      <c r="D249" s="3" t="s">
        <v>283</v>
      </c>
      <c r="E249" s="3">
        <v>421</v>
      </c>
      <c r="G249" s="57"/>
    </row>
    <row r="250" spans="1:7" ht="12.75" x14ac:dyDescent="0.2">
      <c r="A250" s="3">
        <v>27</v>
      </c>
      <c r="B250" s="3" t="s">
        <v>57</v>
      </c>
      <c r="C250" s="3" t="s">
        <v>13</v>
      </c>
      <c r="D250" s="3" t="s">
        <v>3</v>
      </c>
      <c r="E250" s="3">
        <v>1947</v>
      </c>
      <c r="G250" s="57"/>
    </row>
    <row r="251" spans="1:7" ht="12.75" x14ac:dyDescent="0.2">
      <c r="A251" s="3">
        <v>27</v>
      </c>
      <c r="B251" s="3" t="s">
        <v>57</v>
      </c>
      <c r="C251" s="3" t="s">
        <v>13</v>
      </c>
      <c r="D251" s="3" t="s">
        <v>14</v>
      </c>
      <c r="E251" s="3">
        <v>344</v>
      </c>
      <c r="F251">
        <f>SUM(E248:E251)</f>
        <v>6349</v>
      </c>
      <c r="G251" s="57"/>
    </row>
    <row r="252" spans="1:7" ht="12.75" x14ac:dyDescent="0.2">
      <c r="A252" s="3">
        <v>28</v>
      </c>
      <c r="B252" s="3" t="s">
        <v>58</v>
      </c>
      <c r="C252" s="3" t="s">
        <v>2</v>
      </c>
      <c r="D252" s="3" t="s">
        <v>279</v>
      </c>
      <c r="E252" s="3">
        <v>191</v>
      </c>
      <c r="G252" s="56">
        <v>348</v>
      </c>
    </row>
    <row r="253" spans="1:7" ht="12.75" x14ac:dyDescent="0.2">
      <c r="A253" s="3">
        <v>28</v>
      </c>
      <c r="B253" s="3" t="s">
        <v>58</v>
      </c>
      <c r="C253" s="3" t="s">
        <v>2</v>
      </c>
      <c r="D253" s="3" t="s">
        <v>3</v>
      </c>
      <c r="E253" s="3">
        <v>144</v>
      </c>
      <c r="G253" s="57"/>
    </row>
    <row r="254" spans="1:7" ht="12.75" x14ac:dyDescent="0.2">
      <c r="A254" s="3">
        <v>28</v>
      </c>
      <c r="B254" s="3" t="s">
        <v>58</v>
      </c>
      <c r="C254" s="3" t="s">
        <v>2</v>
      </c>
      <c r="D254" s="3" t="s">
        <v>14</v>
      </c>
      <c r="E254" s="3">
        <v>12</v>
      </c>
      <c r="F254">
        <f>SUM(E252:E254)</f>
        <v>347</v>
      </c>
      <c r="G254" s="57"/>
    </row>
    <row r="255" spans="1:7" ht="12.75" x14ac:dyDescent="0.2">
      <c r="A255" s="3">
        <v>28</v>
      </c>
      <c r="B255" s="3" t="s">
        <v>58</v>
      </c>
      <c r="C255" s="3" t="s">
        <v>10</v>
      </c>
      <c r="D255" s="3" t="s">
        <v>279</v>
      </c>
      <c r="E255" s="3">
        <v>208</v>
      </c>
      <c r="G255" s="57"/>
    </row>
    <row r="256" spans="1:7" ht="12.75" x14ac:dyDescent="0.2">
      <c r="A256" s="3">
        <v>28</v>
      </c>
      <c r="B256" s="3" t="s">
        <v>58</v>
      </c>
      <c r="C256" s="3" t="s">
        <v>10</v>
      </c>
      <c r="D256" s="3" t="s">
        <v>3</v>
      </c>
      <c r="E256" s="3">
        <v>126</v>
      </c>
      <c r="G256" s="57"/>
    </row>
    <row r="257" spans="1:7" ht="12.75" x14ac:dyDescent="0.2">
      <c r="A257" s="3">
        <v>28</v>
      </c>
      <c r="B257" s="3" t="s">
        <v>58</v>
      </c>
      <c r="C257" s="3" t="s">
        <v>10</v>
      </c>
      <c r="D257" s="3" t="s">
        <v>14</v>
      </c>
      <c r="E257" s="3">
        <v>13</v>
      </c>
      <c r="F257">
        <f>SUM(E255:E257)</f>
        <v>347</v>
      </c>
      <c r="G257" s="57"/>
    </row>
    <row r="258" spans="1:7" ht="12.75" x14ac:dyDescent="0.2">
      <c r="A258" s="3">
        <v>29</v>
      </c>
      <c r="B258" s="3" t="s">
        <v>59</v>
      </c>
      <c r="C258" s="3" t="s">
        <v>2</v>
      </c>
      <c r="D258" s="3" t="s">
        <v>279</v>
      </c>
      <c r="E258" s="3">
        <v>113</v>
      </c>
      <c r="G258" s="56">
        <v>513</v>
      </c>
    </row>
    <row r="259" spans="1:7" ht="12.75" x14ac:dyDescent="0.2">
      <c r="A259" s="3">
        <v>29</v>
      </c>
      <c r="B259" s="3" t="s">
        <v>59</v>
      </c>
      <c r="C259" s="3" t="s">
        <v>2</v>
      </c>
      <c r="D259" s="3" t="s">
        <v>3</v>
      </c>
      <c r="E259" s="3">
        <v>259</v>
      </c>
      <c r="G259" s="57"/>
    </row>
    <row r="260" spans="1:7" ht="12.75" x14ac:dyDescent="0.2">
      <c r="A260" s="3">
        <v>29</v>
      </c>
      <c r="B260" s="3" t="s">
        <v>59</v>
      </c>
      <c r="C260" s="3" t="s">
        <v>2</v>
      </c>
      <c r="D260" s="3" t="s">
        <v>149</v>
      </c>
      <c r="E260" s="3">
        <v>118</v>
      </c>
      <c r="G260" s="57"/>
    </row>
    <row r="261" spans="1:7" ht="12.75" x14ac:dyDescent="0.2">
      <c r="A261" s="3">
        <v>29</v>
      </c>
      <c r="B261" s="3" t="s">
        <v>59</v>
      </c>
      <c r="C261" s="3" t="s">
        <v>2</v>
      </c>
      <c r="D261" s="3" t="s">
        <v>14</v>
      </c>
      <c r="E261" s="3">
        <v>21</v>
      </c>
      <c r="F261">
        <f>SUM(E258:E261)</f>
        <v>511</v>
      </c>
      <c r="G261" s="57"/>
    </row>
    <row r="262" spans="1:7" ht="12.75" x14ac:dyDescent="0.2">
      <c r="A262" s="3">
        <v>29</v>
      </c>
      <c r="B262" s="3" t="s">
        <v>59</v>
      </c>
      <c r="C262" s="3" t="s">
        <v>10</v>
      </c>
      <c r="D262" s="3" t="s">
        <v>279</v>
      </c>
      <c r="E262" s="3">
        <v>105</v>
      </c>
      <c r="G262" s="57"/>
    </row>
    <row r="263" spans="1:7" ht="12.75" x14ac:dyDescent="0.2">
      <c r="A263" s="3">
        <v>29</v>
      </c>
      <c r="B263" s="3" t="s">
        <v>59</v>
      </c>
      <c r="C263" s="3" t="s">
        <v>10</v>
      </c>
      <c r="D263" s="3" t="s">
        <v>3</v>
      </c>
      <c r="E263" s="3">
        <v>249</v>
      </c>
      <c r="G263" s="57"/>
    </row>
    <row r="264" spans="1:7" ht="12.75" x14ac:dyDescent="0.2">
      <c r="A264" s="3">
        <v>29</v>
      </c>
      <c r="B264" s="3" t="s">
        <v>59</v>
      </c>
      <c r="C264" s="3" t="s">
        <v>10</v>
      </c>
      <c r="D264" s="3" t="s">
        <v>149</v>
      </c>
      <c r="E264" s="3">
        <v>129</v>
      </c>
      <c r="G264" s="57"/>
    </row>
    <row r="265" spans="1:7" ht="12.75" x14ac:dyDescent="0.2">
      <c r="A265" s="3">
        <v>29</v>
      </c>
      <c r="B265" s="3" t="s">
        <v>59</v>
      </c>
      <c r="C265" s="3" t="s">
        <v>10</v>
      </c>
      <c r="D265" s="3" t="s">
        <v>14</v>
      </c>
      <c r="E265" s="3">
        <v>25</v>
      </c>
      <c r="F265">
        <f>SUM(E262:E265)</f>
        <v>508</v>
      </c>
      <c r="G265" s="57"/>
    </row>
    <row r="266" spans="1:7" ht="12.75" x14ac:dyDescent="0.2">
      <c r="A266" s="3">
        <v>29</v>
      </c>
      <c r="B266" s="3" t="s">
        <v>59</v>
      </c>
      <c r="C266" s="3" t="s">
        <v>13</v>
      </c>
      <c r="D266" s="3" t="s">
        <v>279</v>
      </c>
      <c r="E266" s="3">
        <v>98</v>
      </c>
      <c r="G266" s="57"/>
    </row>
    <row r="267" spans="1:7" ht="12.75" x14ac:dyDescent="0.2">
      <c r="A267" s="3">
        <v>29</v>
      </c>
      <c r="B267" s="3" t="s">
        <v>59</v>
      </c>
      <c r="C267" s="3" t="s">
        <v>13</v>
      </c>
      <c r="D267" s="3" t="s">
        <v>3</v>
      </c>
      <c r="E267" s="3">
        <v>238</v>
      </c>
      <c r="G267" s="57"/>
    </row>
    <row r="268" spans="1:7" ht="12.75" x14ac:dyDescent="0.2">
      <c r="A268" s="3">
        <v>29</v>
      </c>
      <c r="B268" s="3" t="s">
        <v>59</v>
      </c>
      <c r="C268" s="3" t="s">
        <v>13</v>
      </c>
      <c r="D268" s="3" t="s">
        <v>149</v>
      </c>
      <c r="E268" s="3">
        <v>141</v>
      </c>
      <c r="G268" s="57"/>
    </row>
    <row r="269" spans="1:7" ht="12.75" x14ac:dyDescent="0.2">
      <c r="A269" s="3">
        <v>29</v>
      </c>
      <c r="B269" s="3" t="s">
        <v>59</v>
      </c>
      <c r="C269" s="3" t="s">
        <v>13</v>
      </c>
      <c r="D269" s="3" t="s">
        <v>14</v>
      </c>
      <c r="E269" s="3">
        <v>30</v>
      </c>
      <c r="F269">
        <f>SUM(E266:E269)</f>
        <v>507</v>
      </c>
      <c r="G269" s="57"/>
    </row>
    <row r="270" spans="1:7" ht="12.75" x14ac:dyDescent="0.2">
      <c r="A270" s="3">
        <v>30</v>
      </c>
      <c r="B270" s="3" t="s">
        <v>60</v>
      </c>
      <c r="C270" s="3" t="s">
        <v>15</v>
      </c>
      <c r="D270" s="3" t="s">
        <v>283</v>
      </c>
      <c r="E270" s="3">
        <v>20</v>
      </c>
      <c r="G270" s="56">
        <v>220</v>
      </c>
    </row>
    <row r="271" spans="1:7" ht="12.75" x14ac:dyDescent="0.2">
      <c r="A271" s="3">
        <v>30</v>
      </c>
      <c r="B271" s="3" t="s">
        <v>60</v>
      </c>
      <c r="C271" s="3" t="s">
        <v>15</v>
      </c>
      <c r="D271" s="3" t="s">
        <v>3</v>
      </c>
      <c r="E271" s="3">
        <v>159</v>
      </c>
      <c r="G271" s="57"/>
    </row>
    <row r="272" spans="1:7" ht="12.75" x14ac:dyDescent="0.2">
      <c r="A272" s="3">
        <v>30</v>
      </c>
      <c r="B272" s="3" t="s">
        <v>60</v>
      </c>
      <c r="C272" s="3" t="s">
        <v>15</v>
      </c>
      <c r="D272" s="3" t="s">
        <v>14</v>
      </c>
      <c r="E272" s="3">
        <v>22</v>
      </c>
      <c r="F272">
        <f>SUM(E270:E272)</f>
        <v>201</v>
      </c>
      <c r="G272" s="57"/>
    </row>
    <row r="273" spans="1:7" ht="12.75" x14ac:dyDescent="0.2">
      <c r="A273" s="3">
        <v>30</v>
      </c>
      <c r="B273" s="3" t="s">
        <v>60</v>
      </c>
      <c r="C273" s="3" t="s">
        <v>17</v>
      </c>
      <c r="D273" s="3" t="s">
        <v>283</v>
      </c>
      <c r="E273" s="3">
        <v>20</v>
      </c>
      <c r="G273" s="57"/>
    </row>
    <row r="274" spans="1:7" ht="12.75" x14ac:dyDescent="0.2">
      <c r="A274" s="3">
        <v>30</v>
      </c>
      <c r="B274" s="3" t="s">
        <v>60</v>
      </c>
      <c r="C274" s="3" t="s">
        <v>17</v>
      </c>
      <c r="D274" s="3" t="s">
        <v>3</v>
      </c>
      <c r="E274" s="3">
        <v>157</v>
      </c>
      <c r="G274" s="57"/>
    </row>
    <row r="275" spans="1:7" ht="12.75" x14ac:dyDescent="0.2">
      <c r="A275" s="3">
        <v>30</v>
      </c>
      <c r="B275" s="3" t="s">
        <v>60</v>
      </c>
      <c r="C275" s="3" t="s">
        <v>17</v>
      </c>
      <c r="D275" s="3" t="s">
        <v>14</v>
      </c>
      <c r="E275" s="3">
        <v>43</v>
      </c>
      <c r="F275">
        <f>SUM(E273:E275)</f>
        <v>220</v>
      </c>
      <c r="G275" s="57"/>
    </row>
    <row r="276" spans="1:7" ht="12.75" x14ac:dyDescent="0.2">
      <c r="A276" s="3">
        <v>31</v>
      </c>
      <c r="B276" s="3" t="s">
        <v>61</v>
      </c>
      <c r="C276" s="3" t="s">
        <v>2</v>
      </c>
      <c r="D276" s="3" t="s">
        <v>279</v>
      </c>
      <c r="E276" s="3">
        <v>976</v>
      </c>
      <c r="G276" s="56">
        <v>2014</v>
      </c>
    </row>
    <row r="277" spans="1:7" ht="12.75" x14ac:dyDescent="0.2">
      <c r="A277" s="3">
        <v>31</v>
      </c>
      <c r="B277" s="3" t="s">
        <v>61</v>
      </c>
      <c r="C277" s="3" t="s">
        <v>2</v>
      </c>
      <c r="D277" s="3" t="s">
        <v>283</v>
      </c>
      <c r="E277" s="3">
        <v>810</v>
      </c>
      <c r="G277" s="57"/>
    </row>
    <row r="278" spans="1:7" ht="12.75" x14ac:dyDescent="0.2">
      <c r="A278" s="3">
        <v>31</v>
      </c>
      <c r="B278" s="3" t="s">
        <v>61</v>
      </c>
      <c r="C278" s="3" t="s">
        <v>2</v>
      </c>
      <c r="D278" s="3" t="s">
        <v>3</v>
      </c>
      <c r="E278" s="3">
        <v>164</v>
      </c>
      <c r="G278" s="57"/>
    </row>
    <row r="279" spans="1:7" ht="12.75" x14ac:dyDescent="0.2">
      <c r="A279" s="3">
        <v>31</v>
      </c>
      <c r="B279" s="3" t="s">
        <v>61</v>
      </c>
      <c r="C279" s="3" t="s">
        <v>2</v>
      </c>
      <c r="D279" s="3" t="s">
        <v>14</v>
      </c>
      <c r="E279" s="3">
        <v>63</v>
      </c>
      <c r="F279">
        <f>SUM(E276:E279)</f>
        <v>2013</v>
      </c>
      <c r="G279" s="57"/>
    </row>
    <row r="280" spans="1:7" ht="12.75" x14ac:dyDescent="0.2">
      <c r="A280" s="3">
        <v>31</v>
      </c>
      <c r="B280" s="3" t="s">
        <v>61</v>
      </c>
      <c r="C280" s="3" t="s">
        <v>10</v>
      </c>
      <c r="D280" s="3" t="s">
        <v>279</v>
      </c>
      <c r="E280" s="3">
        <v>880</v>
      </c>
      <c r="G280" s="57"/>
    </row>
    <row r="281" spans="1:7" ht="12.75" x14ac:dyDescent="0.2">
      <c r="A281" s="3">
        <v>31</v>
      </c>
      <c r="B281" s="3" t="s">
        <v>61</v>
      </c>
      <c r="C281" s="3" t="s">
        <v>10</v>
      </c>
      <c r="D281" s="3" t="s">
        <v>283</v>
      </c>
      <c r="E281" s="3">
        <v>792</v>
      </c>
      <c r="G281" s="57"/>
    </row>
    <row r="282" spans="1:7" ht="12.75" x14ac:dyDescent="0.2">
      <c r="A282" s="3">
        <v>31</v>
      </c>
      <c r="B282" s="3" t="s">
        <v>61</v>
      </c>
      <c r="C282" s="3" t="s">
        <v>10</v>
      </c>
      <c r="D282" s="3" t="s">
        <v>3</v>
      </c>
      <c r="E282" s="3">
        <v>224</v>
      </c>
      <c r="G282" s="57"/>
    </row>
    <row r="283" spans="1:7" ht="12.75" x14ac:dyDescent="0.2">
      <c r="A283" s="3">
        <v>31</v>
      </c>
      <c r="B283" s="3" t="s">
        <v>61</v>
      </c>
      <c r="C283" s="3" t="s">
        <v>10</v>
      </c>
      <c r="D283" s="3" t="s">
        <v>14</v>
      </c>
      <c r="E283" s="3">
        <v>107</v>
      </c>
      <c r="F283">
        <f>SUM(E280:E283)</f>
        <v>2003</v>
      </c>
      <c r="G283" s="57"/>
    </row>
    <row r="284" spans="1:7" ht="12.75" x14ac:dyDescent="0.2">
      <c r="A284" s="3">
        <v>31</v>
      </c>
      <c r="B284" s="3" t="s">
        <v>61</v>
      </c>
      <c r="C284" s="3" t="s">
        <v>13</v>
      </c>
      <c r="D284" s="3" t="s">
        <v>279</v>
      </c>
      <c r="E284" s="3">
        <v>835</v>
      </c>
      <c r="G284" s="57"/>
    </row>
    <row r="285" spans="1:7" ht="12.75" x14ac:dyDescent="0.2">
      <c r="A285" s="3">
        <v>31</v>
      </c>
      <c r="B285" s="3" t="s">
        <v>61</v>
      </c>
      <c r="C285" s="3" t="s">
        <v>13</v>
      </c>
      <c r="D285" s="3" t="s">
        <v>283</v>
      </c>
      <c r="E285" s="3">
        <v>808</v>
      </c>
      <c r="G285" s="57"/>
    </row>
    <row r="286" spans="1:7" ht="12.75" x14ac:dyDescent="0.2">
      <c r="A286" s="3">
        <v>31</v>
      </c>
      <c r="B286" s="3" t="s">
        <v>61</v>
      </c>
      <c r="C286" s="3" t="s">
        <v>13</v>
      </c>
      <c r="D286" s="3" t="s">
        <v>3</v>
      </c>
      <c r="E286" s="3">
        <v>269</v>
      </c>
      <c r="G286" s="57"/>
    </row>
    <row r="287" spans="1:7" ht="12.75" x14ac:dyDescent="0.2">
      <c r="A287" s="3">
        <v>31</v>
      </c>
      <c r="B287" s="3" t="s">
        <v>61</v>
      </c>
      <c r="C287" s="3" t="s">
        <v>13</v>
      </c>
      <c r="D287" s="3" t="s">
        <v>14</v>
      </c>
      <c r="E287" s="3">
        <v>92</v>
      </c>
      <c r="F287">
        <f>SUM(E284:E287)</f>
        <v>2004</v>
      </c>
      <c r="G287" s="57"/>
    </row>
    <row r="288" spans="1:7" ht="12.75" x14ac:dyDescent="0.2">
      <c r="A288" s="3">
        <v>32</v>
      </c>
      <c r="B288" s="3" t="s">
        <v>62</v>
      </c>
      <c r="C288" s="3" t="s">
        <v>15</v>
      </c>
      <c r="D288" s="3" t="s">
        <v>3</v>
      </c>
      <c r="E288" s="3">
        <v>129</v>
      </c>
      <c r="G288" s="56">
        <v>131</v>
      </c>
    </row>
    <row r="289" spans="1:7" ht="12.75" x14ac:dyDescent="0.2">
      <c r="A289" s="3">
        <v>32</v>
      </c>
      <c r="B289" s="3" t="s">
        <v>62</v>
      </c>
      <c r="C289" s="3" t="s">
        <v>15</v>
      </c>
      <c r="D289" s="3" t="s">
        <v>14</v>
      </c>
      <c r="E289" s="3">
        <v>2</v>
      </c>
      <c r="F289">
        <f>SUM(E288:E289)</f>
        <v>131</v>
      </c>
      <c r="G289" s="57"/>
    </row>
    <row r="290" spans="1:7" ht="12.75" x14ac:dyDescent="0.2">
      <c r="A290" s="3">
        <v>32</v>
      </c>
      <c r="B290" s="3" t="s">
        <v>62</v>
      </c>
      <c r="C290" s="3" t="s">
        <v>17</v>
      </c>
      <c r="D290" s="3" t="s">
        <v>3</v>
      </c>
      <c r="E290" s="3">
        <v>127</v>
      </c>
      <c r="G290" s="57"/>
    </row>
    <row r="291" spans="1:7" ht="12.75" x14ac:dyDescent="0.2">
      <c r="A291" s="3">
        <v>32</v>
      </c>
      <c r="B291" s="3" t="s">
        <v>62</v>
      </c>
      <c r="C291" s="3" t="s">
        <v>17</v>
      </c>
      <c r="D291" s="3" t="s">
        <v>14</v>
      </c>
      <c r="E291" s="3">
        <v>2</v>
      </c>
      <c r="F291">
        <f>SUM(E290:E291)</f>
        <v>129</v>
      </c>
      <c r="G291" s="57"/>
    </row>
    <row r="292" spans="1:7" ht="12.75" x14ac:dyDescent="0.2">
      <c r="A292" s="3">
        <v>33</v>
      </c>
      <c r="B292" s="3" t="s">
        <v>63</v>
      </c>
      <c r="C292" s="3" t="s">
        <v>2</v>
      </c>
      <c r="D292" s="3" t="s">
        <v>279</v>
      </c>
      <c r="E292" s="3">
        <v>160</v>
      </c>
      <c r="G292" s="56">
        <v>359</v>
      </c>
    </row>
    <row r="293" spans="1:7" ht="12.75" x14ac:dyDescent="0.2">
      <c r="A293" s="3">
        <v>33</v>
      </c>
      <c r="B293" s="3" t="s">
        <v>63</v>
      </c>
      <c r="C293" s="3" t="s">
        <v>2</v>
      </c>
      <c r="D293" s="3" t="s">
        <v>3</v>
      </c>
      <c r="E293" s="3">
        <v>191</v>
      </c>
      <c r="G293" s="57"/>
    </row>
    <row r="294" spans="1:7" ht="12.75" x14ac:dyDescent="0.2">
      <c r="A294" s="3">
        <v>33</v>
      </c>
      <c r="B294" s="3" t="s">
        <v>63</v>
      </c>
      <c r="C294" s="3" t="s">
        <v>2</v>
      </c>
      <c r="D294" s="3" t="s">
        <v>14</v>
      </c>
      <c r="E294" s="3">
        <v>6</v>
      </c>
      <c r="F294">
        <f>SUM(E292:E294)</f>
        <v>357</v>
      </c>
      <c r="G294" s="57"/>
    </row>
    <row r="295" spans="1:7" ht="12.75" x14ac:dyDescent="0.2">
      <c r="A295" s="3">
        <v>33</v>
      </c>
      <c r="B295" s="3" t="s">
        <v>63</v>
      </c>
      <c r="C295" s="3" t="s">
        <v>10</v>
      </c>
      <c r="D295" s="3" t="s">
        <v>279</v>
      </c>
      <c r="E295" s="3">
        <v>161</v>
      </c>
      <c r="G295" s="57"/>
    </row>
    <row r="296" spans="1:7" ht="12.75" x14ac:dyDescent="0.2">
      <c r="A296" s="3">
        <v>33</v>
      </c>
      <c r="B296" s="3" t="s">
        <v>63</v>
      </c>
      <c r="C296" s="3" t="s">
        <v>10</v>
      </c>
      <c r="D296" s="3" t="s">
        <v>3</v>
      </c>
      <c r="E296" s="3">
        <v>185</v>
      </c>
      <c r="G296" s="57"/>
    </row>
    <row r="297" spans="1:7" ht="12.75" x14ac:dyDescent="0.2">
      <c r="A297" s="3">
        <v>33</v>
      </c>
      <c r="B297" s="3" t="s">
        <v>63</v>
      </c>
      <c r="C297" s="3" t="s">
        <v>10</v>
      </c>
      <c r="D297" s="3" t="s">
        <v>14</v>
      </c>
      <c r="E297" s="3">
        <v>11</v>
      </c>
      <c r="F297">
        <f>SUM(E295:E297)</f>
        <v>357</v>
      </c>
      <c r="G297" s="57"/>
    </row>
    <row r="298" spans="1:7" ht="12.75" x14ac:dyDescent="0.2">
      <c r="A298" s="3">
        <v>33</v>
      </c>
      <c r="B298" s="3" t="s">
        <v>63</v>
      </c>
      <c r="C298" s="3" t="s">
        <v>13</v>
      </c>
      <c r="D298" s="3" t="s">
        <v>279</v>
      </c>
      <c r="E298" s="3">
        <v>158</v>
      </c>
      <c r="G298" s="57"/>
    </row>
    <row r="299" spans="1:7" ht="12.75" x14ac:dyDescent="0.2">
      <c r="A299" s="3">
        <v>33</v>
      </c>
      <c r="B299" s="3" t="s">
        <v>63</v>
      </c>
      <c r="C299" s="3" t="s">
        <v>13</v>
      </c>
      <c r="D299" s="3" t="s">
        <v>3</v>
      </c>
      <c r="E299" s="3">
        <v>192</v>
      </c>
      <c r="G299" s="57"/>
    </row>
    <row r="300" spans="1:7" ht="12.75" x14ac:dyDescent="0.2">
      <c r="A300" s="3">
        <v>33</v>
      </c>
      <c r="B300" s="3" t="s">
        <v>63</v>
      </c>
      <c r="C300" s="3" t="s">
        <v>13</v>
      </c>
      <c r="D300" s="3" t="s">
        <v>14</v>
      </c>
      <c r="E300" s="3">
        <v>7</v>
      </c>
      <c r="F300">
        <f>SUM(E298:E300)</f>
        <v>357</v>
      </c>
      <c r="G300" s="57"/>
    </row>
    <row r="301" spans="1:7" ht="12.75" x14ac:dyDescent="0.2">
      <c r="A301" s="3">
        <v>34</v>
      </c>
      <c r="B301" s="3" t="s">
        <v>64</v>
      </c>
      <c r="C301" s="3" t="s">
        <v>2</v>
      </c>
      <c r="D301" s="3" t="s">
        <v>279</v>
      </c>
      <c r="E301" s="3">
        <v>783</v>
      </c>
      <c r="G301" s="56">
        <v>1672</v>
      </c>
    </row>
    <row r="302" spans="1:7" ht="12.75" x14ac:dyDescent="0.2">
      <c r="A302" s="3">
        <v>34</v>
      </c>
      <c r="B302" s="3" t="s">
        <v>64</v>
      </c>
      <c r="C302" s="3" t="s">
        <v>2</v>
      </c>
      <c r="D302" s="3" t="s">
        <v>283</v>
      </c>
      <c r="E302" s="3">
        <v>255</v>
      </c>
      <c r="G302" s="57"/>
    </row>
    <row r="303" spans="1:7" ht="12.75" x14ac:dyDescent="0.2">
      <c r="A303" s="3">
        <v>34</v>
      </c>
      <c r="B303" s="3" t="s">
        <v>64</v>
      </c>
      <c r="C303" s="3" t="s">
        <v>2</v>
      </c>
      <c r="D303" s="3" t="s">
        <v>3</v>
      </c>
      <c r="E303" s="3">
        <v>594</v>
      </c>
      <c r="G303" s="57"/>
    </row>
    <row r="304" spans="1:7" ht="12.75" x14ac:dyDescent="0.2">
      <c r="A304" s="3">
        <v>34</v>
      </c>
      <c r="B304" s="3" t="s">
        <v>64</v>
      </c>
      <c r="C304" s="3" t="s">
        <v>2</v>
      </c>
      <c r="D304" s="3" t="s">
        <v>14</v>
      </c>
      <c r="E304" s="3">
        <v>39</v>
      </c>
      <c r="F304">
        <f>SUM(E301:E304)</f>
        <v>1671</v>
      </c>
      <c r="G304" s="57"/>
    </row>
    <row r="305" spans="1:7" ht="12.75" x14ac:dyDescent="0.2">
      <c r="A305" s="3">
        <v>34</v>
      </c>
      <c r="B305" s="3" t="s">
        <v>64</v>
      </c>
      <c r="C305" s="3" t="s">
        <v>10</v>
      </c>
      <c r="D305" s="3" t="s">
        <v>279</v>
      </c>
      <c r="E305" s="3">
        <v>819</v>
      </c>
      <c r="G305" s="57"/>
    </row>
    <row r="306" spans="1:7" ht="12.75" x14ac:dyDescent="0.2">
      <c r="A306" s="3">
        <v>34</v>
      </c>
      <c r="B306" s="3" t="s">
        <v>64</v>
      </c>
      <c r="C306" s="3" t="s">
        <v>10</v>
      </c>
      <c r="D306" s="3" t="s">
        <v>283</v>
      </c>
      <c r="E306" s="3">
        <v>227</v>
      </c>
      <c r="G306" s="57"/>
    </row>
    <row r="307" spans="1:7" ht="12.75" x14ac:dyDescent="0.2">
      <c r="A307" s="3">
        <v>34</v>
      </c>
      <c r="B307" s="3" t="s">
        <v>64</v>
      </c>
      <c r="C307" s="3" t="s">
        <v>10</v>
      </c>
      <c r="D307" s="3" t="s">
        <v>3</v>
      </c>
      <c r="E307" s="3">
        <v>543</v>
      </c>
      <c r="G307" s="57"/>
    </row>
    <row r="308" spans="1:7" ht="12.75" x14ac:dyDescent="0.2">
      <c r="A308" s="3">
        <v>34</v>
      </c>
      <c r="B308" s="3" t="s">
        <v>64</v>
      </c>
      <c r="C308" s="3" t="s">
        <v>10</v>
      </c>
      <c r="D308" s="3" t="s">
        <v>14</v>
      </c>
      <c r="E308" s="3">
        <v>75</v>
      </c>
      <c r="F308">
        <f>SUM(E305:E308)</f>
        <v>1664</v>
      </c>
      <c r="G308" s="57"/>
    </row>
    <row r="309" spans="1:7" ht="12.75" x14ac:dyDescent="0.2">
      <c r="A309" s="3">
        <v>34</v>
      </c>
      <c r="B309" s="3" t="s">
        <v>64</v>
      </c>
      <c r="C309" s="3" t="s">
        <v>13</v>
      </c>
      <c r="D309" s="3" t="s">
        <v>279</v>
      </c>
      <c r="E309" s="3">
        <v>949</v>
      </c>
      <c r="G309" s="57"/>
    </row>
    <row r="310" spans="1:7" ht="12.75" x14ac:dyDescent="0.2">
      <c r="A310" s="3">
        <v>34</v>
      </c>
      <c r="B310" s="3" t="s">
        <v>64</v>
      </c>
      <c r="C310" s="3" t="s">
        <v>13</v>
      </c>
      <c r="D310" s="3" t="s">
        <v>283</v>
      </c>
      <c r="E310" s="3">
        <v>191</v>
      </c>
      <c r="G310" s="57"/>
    </row>
    <row r="311" spans="1:7" ht="12.75" x14ac:dyDescent="0.2">
      <c r="A311" s="3">
        <v>34</v>
      </c>
      <c r="B311" s="3" t="s">
        <v>64</v>
      </c>
      <c r="C311" s="3" t="s">
        <v>13</v>
      </c>
      <c r="D311" s="3" t="s">
        <v>3</v>
      </c>
      <c r="E311" s="3">
        <v>476</v>
      </c>
      <c r="G311" s="57"/>
    </row>
    <row r="312" spans="1:7" ht="12.75" x14ac:dyDescent="0.2">
      <c r="A312" s="3">
        <v>34</v>
      </c>
      <c r="B312" s="3" t="s">
        <v>64</v>
      </c>
      <c r="C312" s="3" t="s">
        <v>13</v>
      </c>
      <c r="D312" s="3" t="s">
        <v>14</v>
      </c>
      <c r="E312" s="3">
        <v>56</v>
      </c>
      <c r="F312">
        <f>SUM(E309:E312)</f>
        <v>1672</v>
      </c>
      <c r="G312" s="57"/>
    </row>
    <row r="313" spans="1:7" ht="12.75" x14ac:dyDescent="0.2">
      <c r="A313" s="3">
        <v>35</v>
      </c>
      <c r="B313" s="3" t="s">
        <v>65</v>
      </c>
      <c r="C313" s="3" t="s">
        <v>2</v>
      </c>
      <c r="D313" s="3" t="s">
        <v>279</v>
      </c>
      <c r="E313" s="3">
        <v>472</v>
      </c>
      <c r="G313" s="56">
        <v>732</v>
      </c>
    </row>
    <row r="314" spans="1:7" ht="12.75" x14ac:dyDescent="0.2">
      <c r="A314" s="3">
        <v>35</v>
      </c>
      <c r="B314" s="3" t="s">
        <v>65</v>
      </c>
      <c r="C314" s="3" t="s">
        <v>2</v>
      </c>
      <c r="D314" s="3" t="s">
        <v>283</v>
      </c>
      <c r="E314" s="3">
        <v>37</v>
      </c>
      <c r="G314" s="57"/>
    </row>
    <row r="315" spans="1:7" ht="12.75" x14ac:dyDescent="0.2">
      <c r="A315" s="3">
        <v>35</v>
      </c>
      <c r="B315" s="3" t="s">
        <v>65</v>
      </c>
      <c r="C315" s="3" t="s">
        <v>2</v>
      </c>
      <c r="D315" s="3" t="s">
        <v>3</v>
      </c>
      <c r="E315" s="3">
        <v>213</v>
      </c>
      <c r="G315" s="57"/>
    </row>
    <row r="316" spans="1:7" ht="12.75" x14ac:dyDescent="0.2">
      <c r="A316" s="3">
        <v>35</v>
      </c>
      <c r="B316" s="3" t="s">
        <v>65</v>
      </c>
      <c r="C316" s="3" t="s">
        <v>2</v>
      </c>
      <c r="D316" s="3" t="s">
        <v>14</v>
      </c>
      <c r="E316" s="3">
        <v>10</v>
      </c>
      <c r="F316">
        <f>SUM(E313:E316)</f>
        <v>732</v>
      </c>
      <c r="G316" s="57"/>
    </row>
    <row r="317" spans="1:7" ht="12.75" x14ac:dyDescent="0.2">
      <c r="A317" s="3">
        <v>35</v>
      </c>
      <c r="B317" s="3" t="s">
        <v>65</v>
      </c>
      <c r="C317" s="3" t="s">
        <v>10</v>
      </c>
      <c r="D317" s="3" t="s">
        <v>279</v>
      </c>
      <c r="E317" s="3">
        <v>378</v>
      </c>
      <c r="G317" s="57"/>
    </row>
    <row r="318" spans="1:7" ht="12.75" x14ac:dyDescent="0.2">
      <c r="A318" s="3">
        <v>35</v>
      </c>
      <c r="B318" s="3" t="s">
        <v>65</v>
      </c>
      <c r="C318" s="3" t="s">
        <v>10</v>
      </c>
      <c r="D318" s="3" t="s">
        <v>283</v>
      </c>
      <c r="E318" s="3">
        <v>53</v>
      </c>
      <c r="G318" s="57"/>
    </row>
    <row r="319" spans="1:7" ht="12.75" x14ac:dyDescent="0.2">
      <c r="A319" s="3">
        <v>35</v>
      </c>
      <c r="B319" s="3" t="s">
        <v>65</v>
      </c>
      <c r="C319" s="3" t="s">
        <v>10</v>
      </c>
      <c r="D319" s="3" t="s">
        <v>3</v>
      </c>
      <c r="E319" s="3">
        <v>243</v>
      </c>
      <c r="G319" s="57"/>
    </row>
    <row r="320" spans="1:7" ht="12.75" x14ac:dyDescent="0.2">
      <c r="A320" s="3">
        <v>35</v>
      </c>
      <c r="B320" s="3" t="s">
        <v>65</v>
      </c>
      <c r="C320" s="3" t="s">
        <v>10</v>
      </c>
      <c r="D320" s="3" t="s">
        <v>14</v>
      </c>
      <c r="E320" s="3">
        <v>58</v>
      </c>
      <c r="F320">
        <f>SUM(E317:E320)</f>
        <v>732</v>
      </c>
      <c r="G320" s="57"/>
    </row>
    <row r="321" spans="1:7" ht="12.75" x14ac:dyDescent="0.2">
      <c r="A321" s="3">
        <v>35</v>
      </c>
      <c r="B321" s="3" t="s">
        <v>65</v>
      </c>
      <c r="C321" s="3" t="s">
        <v>13</v>
      </c>
      <c r="D321" s="3" t="s">
        <v>279</v>
      </c>
      <c r="E321" s="3">
        <v>349</v>
      </c>
      <c r="G321" s="57"/>
    </row>
    <row r="322" spans="1:7" ht="12.75" x14ac:dyDescent="0.2">
      <c r="A322" s="3">
        <v>35</v>
      </c>
      <c r="B322" s="3" t="s">
        <v>65</v>
      </c>
      <c r="C322" s="3" t="s">
        <v>13</v>
      </c>
      <c r="D322" s="3" t="s">
        <v>283</v>
      </c>
      <c r="E322" s="3">
        <v>115</v>
      </c>
      <c r="G322" s="57"/>
    </row>
    <row r="323" spans="1:7" ht="12.75" x14ac:dyDescent="0.2">
      <c r="A323" s="3">
        <v>35</v>
      </c>
      <c r="B323" s="3" t="s">
        <v>65</v>
      </c>
      <c r="C323" s="3" t="s">
        <v>13</v>
      </c>
      <c r="D323" s="3" t="s">
        <v>3</v>
      </c>
      <c r="E323" s="3">
        <v>235</v>
      </c>
      <c r="G323" s="57"/>
    </row>
    <row r="324" spans="1:7" ht="12.75" x14ac:dyDescent="0.2">
      <c r="A324" s="3">
        <v>35</v>
      </c>
      <c r="B324" s="3" t="s">
        <v>65</v>
      </c>
      <c r="C324" s="3" t="s">
        <v>13</v>
      </c>
      <c r="D324" s="3" t="s">
        <v>14</v>
      </c>
      <c r="E324" s="3">
        <v>33</v>
      </c>
      <c r="F324">
        <f>SUM(E321:E324)</f>
        <v>732</v>
      </c>
      <c r="G324" s="57"/>
    </row>
    <row r="325" spans="1:7" ht="12.75" x14ac:dyDescent="0.2">
      <c r="A325" s="3">
        <v>36</v>
      </c>
      <c r="B325" s="3" t="s">
        <v>66</v>
      </c>
      <c r="C325" s="3" t="s">
        <v>2</v>
      </c>
      <c r="D325" s="3" t="s">
        <v>279</v>
      </c>
      <c r="E325" s="3">
        <v>1506</v>
      </c>
      <c r="G325" s="56">
        <v>2833</v>
      </c>
    </row>
    <row r="326" spans="1:7" ht="12.75" x14ac:dyDescent="0.2">
      <c r="A326" s="3">
        <v>36</v>
      </c>
      <c r="B326" s="3" t="s">
        <v>66</v>
      </c>
      <c r="C326" s="3" t="s">
        <v>2</v>
      </c>
      <c r="D326" s="3" t="s">
        <v>3</v>
      </c>
      <c r="E326" s="3">
        <v>1155</v>
      </c>
      <c r="G326" s="57"/>
    </row>
    <row r="327" spans="1:7" ht="12.75" x14ac:dyDescent="0.2">
      <c r="A327" s="3">
        <v>36</v>
      </c>
      <c r="B327" s="3" t="s">
        <v>66</v>
      </c>
      <c r="C327" s="3" t="s">
        <v>2</v>
      </c>
      <c r="D327" s="3" t="s">
        <v>14</v>
      </c>
      <c r="E327" s="3">
        <v>164</v>
      </c>
      <c r="F327">
        <f>SUM(E325:E327)</f>
        <v>2825</v>
      </c>
      <c r="G327" s="57"/>
    </row>
    <row r="328" spans="1:7" ht="12.75" x14ac:dyDescent="0.2">
      <c r="A328" s="3">
        <v>36</v>
      </c>
      <c r="B328" s="3" t="s">
        <v>66</v>
      </c>
      <c r="C328" s="3" t="s">
        <v>10</v>
      </c>
      <c r="D328" s="3" t="s">
        <v>279</v>
      </c>
      <c r="E328" s="3">
        <v>1449</v>
      </c>
      <c r="G328" s="57"/>
    </row>
    <row r="329" spans="1:7" ht="12.75" x14ac:dyDescent="0.2">
      <c r="A329" s="3">
        <v>36</v>
      </c>
      <c r="B329" s="3" t="s">
        <v>66</v>
      </c>
      <c r="C329" s="3" t="s">
        <v>10</v>
      </c>
      <c r="D329" s="3" t="s">
        <v>3</v>
      </c>
      <c r="E329" s="3">
        <v>1150</v>
      </c>
      <c r="G329" s="57"/>
    </row>
    <row r="330" spans="1:7" ht="12.75" x14ac:dyDescent="0.2">
      <c r="A330" s="3">
        <v>36</v>
      </c>
      <c r="B330" s="3" t="s">
        <v>66</v>
      </c>
      <c r="C330" s="3" t="s">
        <v>10</v>
      </c>
      <c r="D330" s="3" t="s">
        <v>14</v>
      </c>
      <c r="E330" s="3">
        <v>226</v>
      </c>
      <c r="F330">
        <f>SUM(E328:E330)</f>
        <v>2825</v>
      </c>
      <c r="G330" s="57"/>
    </row>
    <row r="331" spans="1:7" ht="12.75" x14ac:dyDescent="0.2">
      <c r="A331" s="3">
        <v>36</v>
      </c>
      <c r="B331" s="3" t="s">
        <v>66</v>
      </c>
      <c r="C331" s="3" t="s">
        <v>13</v>
      </c>
      <c r="D331" s="3" t="s">
        <v>279</v>
      </c>
      <c r="E331" s="3">
        <v>1461</v>
      </c>
      <c r="G331" s="57"/>
    </row>
    <row r="332" spans="1:7" ht="12.75" x14ac:dyDescent="0.2">
      <c r="A332" s="3">
        <v>36</v>
      </c>
      <c r="B332" s="3" t="s">
        <v>66</v>
      </c>
      <c r="C332" s="3" t="s">
        <v>13</v>
      </c>
      <c r="D332" s="3" t="s">
        <v>3</v>
      </c>
      <c r="E332" s="3">
        <v>1148</v>
      </c>
      <c r="G332" s="57"/>
    </row>
    <row r="333" spans="1:7" ht="12.75" x14ac:dyDescent="0.2">
      <c r="A333" s="3">
        <v>36</v>
      </c>
      <c r="B333" s="3" t="s">
        <v>66</v>
      </c>
      <c r="C333" s="3" t="s">
        <v>13</v>
      </c>
      <c r="D333" s="3" t="s">
        <v>14</v>
      </c>
      <c r="E333" s="3">
        <v>216</v>
      </c>
      <c r="F333">
        <f>SUM(E331:E333)</f>
        <v>2825</v>
      </c>
      <c r="G333" s="57"/>
    </row>
    <row r="334" spans="1:7" ht="12.75" x14ac:dyDescent="0.2">
      <c r="A334" s="3">
        <v>37</v>
      </c>
      <c r="B334" s="3" t="s">
        <v>67</v>
      </c>
      <c r="C334" s="3" t="s">
        <v>15</v>
      </c>
      <c r="D334" s="3" t="s">
        <v>279</v>
      </c>
      <c r="E334" s="3">
        <v>37</v>
      </c>
      <c r="G334" s="56">
        <v>95</v>
      </c>
    </row>
    <row r="335" spans="1:7" ht="12.75" x14ac:dyDescent="0.2">
      <c r="A335" s="3">
        <v>37</v>
      </c>
      <c r="B335" s="3" t="s">
        <v>67</v>
      </c>
      <c r="C335" s="3" t="s">
        <v>15</v>
      </c>
      <c r="D335" s="3" t="s">
        <v>3</v>
      </c>
      <c r="E335" s="3">
        <v>58</v>
      </c>
      <c r="F335">
        <f>SUM(E334:E335)</f>
        <v>95</v>
      </c>
      <c r="G335" s="57"/>
    </row>
    <row r="336" spans="1:7" ht="12.75" x14ac:dyDescent="0.2">
      <c r="A336" s="3">
        <v>37</v>
      </c>
      <c r="B336" s="3" t="s">
        <v>67</v>
      </c>
      <c r="C336" s="3" t="s">
        <v>17</v>
      </c>
      <c r="D336" s="3" t="s">
        <v>279</v>
      </c>
      <c r="E336" s="3">
        <v>37</v>
      </c>
      <c r="G336" s="57"/>
    </row>
    <row r="337" spans="1:7" ht="12.75" x14ac:dyDescent="0.2">
      <c r="A337" s="3">
        <v>37</v>
      </c>
      <c r="B337" s="3" t="s">
        <v>67</v>
      </c>
      <c r="C337" s="3" t="s">
        <v>17</v>
      </c>
      <c r="D337" s="3" t="s">
        <v>3</v>
      </c>
      <c r="E337" s="3">
        <v>58</v>
      </c>
      <c r="F337">
        <f>SUM(E336:E337)</f>
        <v>95</v>
      </c>
      <c r="G337" s="57"/>
    </row>
    <row r="338" spans="1:7" ht="12.75" x14ac:dyDescent="0.2">
      <c r="A338" s="3">
        <v>38</v>
      </c>
      <c r="B338" s="3" t="s">
        <v>68</v>
      </c>
      <c r="C338" s="3" t="s">
        <v>2</v>
      </c>
      <c r="D338" s="3" t="s">
        <v>279</v>
      </c>
      <c r="E338" s="3">
        <v>231</v>
      </c>
      <c r="G338" s="56">
        <v>403</v>
      </c>
    </row>
    <row r="339" spans="1:7" ht="12.75" x14ac:dyDescent="0.2">
      <c r="A339" s="3">
        <v>38</v>
      </c>
      <c r="B339" s="3" t="s">
        <v>68</v>
      </c>
      <c r="C339" s="3" t="s">
        <v>2</v>
      </c>
      <c r="D339" s="3" t="s">
        <v>3</v>
      </c>
      <c r="E339" s="3">
        <v>147</v>
      </c>
      <c r="G339" s="57"/>
    </row>
    <row r="340" spans="1:7" ht="12.75" x14ac:dyDescent="0.2">
      <c r="A340" s="3">
        <v>38</v>
      </c>
      <c r="B340" s="3" t="s">
        <v>68</v>
      </c>
      <c r="C340" s="3" t="s">
        <v>2</v>
      </c>
      <c r="D340" s="3" t="s">
        <v>14</v>
      </c>
      <c r="E340" s="3">
        <v>16</v>
      </c>
      <c r="F340">
        <f>SUM(E338:E340)</f>
        <v>394</v>
      </c>
      <c r="G340" s="57"/>
    </row>
    <row r="341" spans="1:7" ht="12.75" x14ac:dyDescent="0.2">
      <c r="A341" s="3">
        <v>38</v>
      </c>
      <c r="B341" s="3" t="s">
        <v>68</v>
      </c>
      <c r="C341" s="3" t="s">
        <v>10</v>
      </c>
      <c r="D341" s="3" t="s">
        <v>279</v>
      </c>
      <c r="E341" s="3">
        <v>228</v>
      </c>
      <c r="G341" s="57"/>
    </row>
    <row r="342" spans="1:7" ht="12.75" x14ac:dyDescent="0.2">
      <c r="A342" s="3">
        <v>38</v>
      </c>
      <c r="B342" s="3" t="s">
        <v>68</v>
      </c>
      <c r="C342" s="3" t="s">
        <v>10</v>
      </c>
      <c r="D342" s="3" t="s">
        <v>3</v>
      </c>
      <c r="E342" s="3">
        <v>152</v>
      </c>
      <c r="G342" s="57"/>
    </row>
    <row r="343" spans="1:7" ht="12.75" x14ac:dyDescent="0.2">
      <c r="A343" s="3">
        <v>38</v>
      </c>
      <c r="B343" s="3" t="s">
        <v>68</v>
      </c>
      <c r="C343" s="3" t="s">
        <v>10</v>
      </c>
      <c r="D343" s="3" t="s">
        <v>14</v>
      </c>
      <c r="E343" s="3">
        <v>14</v>
      </c>
      <c r="F343">
        <f>SUM(E341:E343)</f>
        <v>394</v>
      </c>
      <c r="G343" s="57"/>
    </row>
    <row r="344" spans="1:7" ht="12.75" x14ac:dyDescent="0.2">
      <c r="A344" s="3">
        <v>38</v>
      </c>
      <c r="B344" s="3" t="s">
        <v>68</v>
      </c>
      <c r="C344" s="3" t="s">
        <v>13</v>
      </c>
      <c r="D344" s="3" t="s">
        <v>279</v>
      </c>
      <c r="E344" s="3">
        <v>225</v>
      </c>
      <c r="G344" s="57"/>
    </row>
    <row r="345" spans="1:7" ht="12.75" x14ac:dyDescent="0.2">
      <c r="A345" s="3">
        <v>38</v>
      </c>
      <c r="B345" s="3" t="s">
        <v>68</v>
      </c>
      <c r="C345" s="3" t="s">
        <v>13</v>
      </c>
      <c r="D345" s="3" t="s">
        <v>3</v>
      </c>
      <c r="E345" s="3">
        <v>152</v>
      </c>
      <c r="G345" s="57"/>
    </row>
    <row r="346" spans="1:7" ht="12.75" x14ac:dyDescent="0.2">
      <c r="A346" s="3">
        <v>38</v>
      </c>
      <c r="B346" s="3" t="s">
        <v>68</v>
      </c>
      <c r="C346" s="3" t="s">
        <v>13</v>
      </c>
      <c r="D346" s="3" t="s">
        <v>14</v>
      </c>
      <c r="E346" s="3">
        <v>17</v>
      </c>
      <c r="F346">
        <f>SUM(E344:E346)</f>
        <v>394</v>
      </c>
      <c r="G346" s="57"/>
    </row>
    <row r="347" spans="1:7" ht="12.75" x14ac:dyDescent="0.2">
      <c r="A347" s="3">
        <v>39</v>
      </c>
      <c r="B347" s="3" t="s">
        <v>69</v>
      </c>
      <c r="C347" s="3" t="s">
        <v>2</v>
      </c>
      <c r="D347" s="3" t="s">
        <v>297</v>
      </c>
      <c r="E347" s="3">
        <v>576</v>
      </c>
      <c r="G347" s="56">
        <v>1288</v>
      </c>
    </row>
    <row r="348" spans="1:7" ht="12.75" x14ac:dyDescent="0.2">
      <c r="A348" s="3">
        <v>39</v>
      </c>
      <c r="B348" s="3" t="s">
        <v>69</v>
      </c>
      <c r="C348" s="3" t="s">
        <v>2</v>
      </c>
      <c r="D348" s="3" t="s">
        <v>3</v>
      </c>
      <c r="E348" s="3">
        <v>677</v>
      </c>
      <c r="G348" s="57"/>
    </row>
    <row r="349" spans="1:7" ht="12.75" x14ac:dyDescent="0.2">
      <c r="A349" s="3">
        <v>39</v>
      </c>
      <c r="B349" s="3" t="s">
        <v>69</v>
      </c>
      <c r="C349" s="3" t="s">
        <v>2</v>
      </c>
      <c r="D349" s="3" t="s">
        <v>14</v>
      </c>
      <c r="E349" s="3">
        <v>33</v>
      </c>
      <c r="F349">
        <f>SUM(E347:E349)</f>
        <v>1286</v>
      </c>
      <c r="G349" s="57"/>
    </row>
    <row r="350" spans="1:7" ht="12.75" x14ac:dyDescent="0.2">
      <c r="A350" s="3">
        <v>39</v>
      </c>
      <c r="B350" s="3" t="s">
        <v>69</v>
      </c>
      <c r="C350" s="3" t="s">
        <v>10</v>
      </c>
      <c r="D350" s="3" t="s">
        <v>297</v>
      </c>
      <c r="E350" s="3">
        <v>561</v>
      </c>
      <c r="G350" s="57"/>
    </row>
    <row r="351" spans="1:7" ht="12.75" x14ac:dyDescent="0.2">
      <c r="A351" s="3">
        <v>39</v>
      </c>
      <c r="B351" s="3" t="s">
        <v>69</v>
      </c>
      <c r="C351" s="3" t="s">
        <v>10</v>
      </c>
      <c r="D351" s="3" t="s">
        <v>3</v>
      </c>
      <c r="E351" s="3">
        <v>668</v>
      </c>
      <c r="G351" s="57"/>
    </row>
    <row r="352" spans="1:7" ht="12.75" x14ac:dyDescent="0.2">
      <c r="A352" s="3">
        <v>39</v>
      </c>
      <c r="B352" s="3" t="s">
        <v>69</v>
      </c>
      <c r="C352" s="3" t="s">
        <v>10</v>
      </c>
      <c r="D352" s="3" t="s">
        <v>14</v>
      </c>
      <c r="E352" s="3">
        <v>56</v>
      </c>
      <c r="F352">
        <f>SUM(E350:E352)</f>
        <v>1285</v>
      </c>
      <c r="G352" s="57"/>
    </row>
    <row r="353" spans="1:7" ht="12.75" x14ac:dyDescent="0.2">
      <c r="A353" s="3">
        <v>39</v>
      </c>
      <c r="B353" s="3" t="s">
        <v>69</v>
      </c>
      <c r="C353" s="3" t="s">
        <v>13</v>
      </c>
      <c r="D353" s="3" t="s">
        <v>297</v>
      </c>
      <c r="E353" s="3">
        <v>559</v>
      </c>
      <c r="G353" s="57"/>
    </row>
    <row r="354" spans="1:7" ht="12.75" x14ac:dyDescent="0.2">
      <c r="A354" s="3">
        <v>39</v>
      </c>
      <c r="B354" s="3" t="s">
        <v>69</v>
      </c>
      <c r="C354" s="3" t="s">
        <v>13</v>
      </c>
      <c r="D354" s="3" t="s">
        <v>3</v>
      </c>
      <c r="E354" s="3">
        <v>686</v>
      </c>
      <c r="G354" s="57"/>
    </row>
    <row r="355" spans="1:7" ht="12.75" x14ac:dyDescent="0.2">
      <c r="A355" s="3">
        <v>39</v>
      </c>
      <c r="B355" s="3" t="s">
        <v>69</v>
      </c>
      <c r="C355" s="3" t="s">
        <v>13</v>
      </c>
      <c r="D355" s="3" t="s">
        <v>14</v>
      </c>
      <c r="E355" s="3">
        <v>33</v>
      </c>
      <c r="F355">
        <f>SUM(E353:E355)</f>
        <v>1278</v>
      </c>
      <c r="G355" s="57"/>
    </row>
    <row r="356" spans="1:7" ht="12.75" x14ac:dyDescent="0.2">
      <c r="A356" s="2" t="s">
        <v>70</v>
      </c>
      <c r="B356" s="3" t="s">
        <v>71</v>
      </c>
      <c r="C356" s="3" t="s">
        <v>2</v>
      </c>
      <c r="D356" s="3" t="s">
        <v>279</v>
      </c>
      <c r="E356" s="3">
        <v>255</v>
      </c>
      <c r="G356" s="56">
        <v>368</v>
      </c>
    </row>
    <row r="357" spans="1:7" ht="12.75" x14ac:dyDescent="0.2">
      <c r="A357" s="2" t="s">
        <v>70</v>
      </c>
      <c r="B357" s="3" t="s">
        <v>71</v>
      </c>
      <c r="C357" s="3" t="s">
        <v>2</v>
      </c>
      <c r="D357" s="3" t="s">
        <v>3</v>
      </c>
      <c r="E357" s="3">
        <v>91</v>
      </c>
      <c r="G357" s="57"/>
    </row>
    <row r="358" spans="1:7" ht="12.75" x14ac:dyDescent="0.2">
      <c r="A358" s="2" t="s">
        <v>70</v>
      </c>
      <c r="B358" s="3" t="s">
        <v>71</v>
      </c>
      <c r="C358" s="3" t="s">
        <v>2</v>
      </c>
      <c r="D358" s="3" t="s">
        <v>14</v>
      </c>
      <c r="E358" s="3">
        <v>16</v>
      </c>
      <c r="F358">
        <f>SUM(E356:E358)</f>
        <v>362</v>
      </c>
      <c r="G358" s="57"/>
    </row>
    <row r="359" spans="1:7" ht="12.75" x14ac:dyDescent="0.2">
      <c r="A359" s="2" t="s">
        <v>70</v>
      </c>
      <c r="B359" s="3" t="s">
        <v>71</v>
      </c>
      <c r="C359" s="3" t="s">
        <v>10</v>
      </c>
      <c r="D359" s="3" t="s">
        <v>279</v>
      </c>
      <c r="E359" s="3">
        <v>244</v>
      </c>
      <c r="G359" s="57"/>
    </row>
    <row r="360" spans="1:7" ht="12.75" x14ac:dyDescent="0.2">
      <c r="A360" s="2" t="s">
        <v>70</v>
      </c>
      <c r="B360" s="3" t="s">
        <v>71</v>
      </c>
      <c r="C360" s="3" t="s">
        <v>10</v>
      </c>
      <c r="D360" s="3" t="s">
        <v>3</v>
      </c>
      <c r="E360" s="3">
        <v>93</v>
      </c>
      <c r="G360" s="57"/>
    </row>
    <row r="361" spans="1:7" ht="12.75" x14ac:dyDescent="0.2">
      <c r="A361" s="2" t="s">
        <v>70</v>
      </c>
      <c r="B361" s="3" t="s">
        <v>71</v>
      </c>
      <c r="C361" s="3" t="s">
        <v>10</v>
      </c>
      <c r="D361" s="3" t="s">
        <v>14</v>
      </c>
      <c r="E361" s="3">
        <v>25</v>
      </c>
      <c r="F361">
        <f>SUM(E359:E361)</f>
        <v>362</v>
      </c>
      <c r="G361" s="57"/>
    </row>
    <row r="362" spans="1:7" ht="12.75" x14ac:dyDescent="0.2">
      <c r="A362" s="2" t="s">
        <v>70</v>
      </c>
      <c r="B362" s="3" t="s">
        <v>71</v>
      </c>
      <c r="C362" s="3" t="s">
        <v>13</v>
      </c>
      <c r="D362" s="3" t="s">
        <v>279</v>
      </c>
      <c r="E362" s="3">
        <v>218</v>
      </c>
      <c r="G362" s="57"/>
    </row>
    <row r="363" spans="1:7" ht="12.75" x14ac:dyDescent="0.2">
      <c r="A363" s="2" t="s">
        <v>70</v>
      </c>
      <c r="B363" s="3" t="s">
        <v>71</v>
      </c>
      <c r="C363" s="3" t="s">
        <v>13</v>
      </c>
      <c r="D363" s="3" t="s">
        <v>3</v>
      </c>
      <c r="E363" s="3">
        <v>132</v>
      </c>
      <c r="G363" s="57"/>
    </row>
    <row r="364" spans="1:7" ht="12.75" x14ac:dyDescent="0.2">
      <c r="A364" s="2" t="s">
        <v>70</v>
      </c>
      <c r="B364" s="3" t="s">
        <v>71</v>
      </c>
      <c r="C364" s="3" t="s">
        <v>13</v>
      </c>
      <c r="D364" s="3" t="s">
        <v>14</v>
      </c>
      <c r="E364" s="3">
        <v>11</v>
      </c>
      <c r="F364">
        <f>SUM(E362:E364)</f>
        <v>361</v>
      </c>
      <c r="G364" s="57"/>
    </row>
    <row r="365" spans="1:7" ht="12.75" x14ac:dyDescent="0.2">
      <c r="A365" s="2">
        <v>40</v>
      </c>
      <c r="B365" s="3" t="s">
        <v>72</v>
      </c>
      <c r="C365" s="3" t="s">
        <v>2</v>
      </c>
      <c r="D365" s="3" t="s">
        <v>279</v>
      </c>
      <c r="E365" s="3">
        <v>273</v>
      </c>
      <c r="G365" s="56">
        <v>2101</v>
      </c>
    </row>
    <row r="366" spans="1:7" ht="12.75" x14ac:dyDescent="0.2">
      <c r="A366" s="2">
        <v>40</v>
      </c>
      <c r="B366" s="3" t="s">
        <v>72</v>
      </c>
      <c r="C366" s="3" t="s">
        <v>2</v>
      </c>
      <c r="D366" s="3" t="s">
        <v>283</v>
      </c>
      <c r="E366" s="3">
        <v>429</v>
      </c>
      <c r="G366" s="57"/>
    </row>
    <row r="367" spans="1:7" ht="12.75" x14ac:dyDescent="0.2">
      <c r="A367" s="2">
        <v>40</v>
      </c>
      <c r="B367" s="3" t="s">
        <v>72</v>
      </c>
      <c r="C367" s="3" t="s">
        <v>2</v>
      </c>
      <c r="D367" s="3" t="s">
        <v>3</v>
      </c>
      <c r="E367" s="3">
        <v>898</v>
      </c>
      <c r="G367" s="57"/>
    </row>
    <row r="368" spans="1:7" ht="12.75" x14ac:dyDescent="0.2">
      <c r="A368" s="2">
        <v>40</v>
      </c>
      <c r="B368" s="3" t="s">
        <v>72</v>
      </c>
      <c r="C368" s="3" t="s">
        <v>2</v>
      </c>
      <c r="D368" s="3" t="s">
        <v>298</v>
      </c>
      <c r="E368" s="3">
        <v>380</v>
      </c>
      <c r="G368" s="57"/>
    </row>
    <row r="369" spans="1:7" ht="12.75" x14ac:dyDescent="0.2">
      <c r="A369" s="2">
        <v>40</v>
      </c>
      <c r="B369" s="3" t="s">
        <v>72</v>
      </c>
      <c r="C369" s="3" t="s">
        <v>2</v>
      </c>
      <c r="D369" s="3" t="s">
        <v>14</v>
      </c>
      <c r="E369" s="3">
        <v>117</v>
      </c>
      <c r="F369">
        <f>SUM(E365:E369)</f>
        <v>2097</v>
      </c>
      <c r="G369" s="57"/>
    </row>
    <row r="370" spans="1:7" ht="12.75" x14ac:dyDescent="0.2">
      <c r="A370" s="2">
        <v>40</v>
      </c>
      <c r="B370" s="3" t="s">
        <v>72</v>
      </c>
      <c r="C370" s="3" t="s">
        <v>10</v>
      </c>
      <c r="D370" s="3" t="s">
        <v>279</v>
      </c>
      <c r="E370" s="3">
        <v>360</v>
      </c>
      <c r="G370" s="57"/>
    </row>
    <row r="371" spans="1:7" ht="12.75" x14ac:dyDescent="0.2">
      <c r="A371" s="2">
        <v>40</v>
      </c>
      <c r="B371" s="3" t="s">
        <v>72</v>
      </c>
      <c r="C371" s="3" t="s">
        <v>10</v>
      </c>
      <c r="D371" s="3" t="s">
        <v>283</v>
      </c>
      <c r="E371" s="3">
        <v>415</v>
      </c>
      <c r="G371" s="57"/>
    </row>
    <row r="372" spans="1:7" ht="12.75" x14ac:dyDescent="0.2">
      <c r="A372" s="2">
        <v>40</v>
      </c>
      <c r="B372" s="3" t="s">
        <v>72</v>
      </c>
      <c r="C372" s="3" t="s">
        <v>10</v>
      </c>
      <c r="D372" s="3" t="s">
        <v>3</v>
      </c>
      <c r="E372" s="3">
        <v>849</v>
      </c>
      <c r="G372" s="57"/>
    </row>
    <row r="373" spans="1:7" ht="12.75" x14ac:dyDescent="0.2">
      <c r="A373" s="2">
        <v>40</v>
      </c>
      <c r="B373" s="3" t="s">
        <v>72</v>
      </c>
      <c r="C373" s="3" t="s">
        <v>10</v>
      </c>
      <c r="D373" s="3" t="s">
        <v>298</v>
      </c>
      <c r="E373" s="3">
        <v>328</v>
      </c>
      <c r="G373" s="57"/>
    </row>
    <row r="374" spans="1:7" ht="12.75" x14ac:dyDescent="0.2">
      <c r="A374" s="2">
        <v>40</v>
      </c>
      <c r="B374" s="3" t="s">
        <v>72</v>
      </c>
      <c r="C374" s="3" t="s">
        <v>10</v>
      </c>
      <c r="D374" s="3" t="s">
        <v>14</v>
      </c>
      <c r="E374" s="3">
        <v>135</v>
      </c>
      <c r="F374">
        <f>SUM(E370:E374)</f>
        <v>2087</v>
      </c>
      <c r="G374" s="57"/>
    </row>
    <row r="375" spans="1:7" ht="12.75" x14ac:dyDescent="0.2">
      <c r="A375" s="2">
        <v>40</v>
      </c>
      <c r="B375" s="3" t="s">
        <v>72</v>
      </c>
      <c r="C375" s="3" t="s">
        <v>13</v>
      </c>
      <c r="D375" s="3" t="s">
        <v>279</v>
      </c>
      <c r="E375" s="3">
        <v>290</v>
      </c>
      <c r="G375" s="57"/>
    </row>
    <row r="376" spans="1:7" ht="12.75" x14ac:dyDescent="0.2">
      <c r="A376" s="2">
        <v>40</v>
      </c>
      <c r="B376" s="3" t="s">
        <v>72</v>
      </c>
      <c r="C376" s="3" t="s">
        <v>13</v>
      </c>
      <c r="D376" s="3" t="s">
        <v>283</v>
      </c>
      <c r="E376" s="3">
        <v>354</v>
      </c>
      <c r="G376" s="57"/>
    </row>
    <row r="377" spans="1:7" ht="12.75" x14ac:dyDescent="0.2">
      <c r="A377" s="2">
        <v>40</v>
      </c>
      <c r="B377" s="3" t="s">
        <v>72</v>
      </c>
      <c r="C377" s="3" t="s">
        <v>13</v>
      </c>
      <c r="D377" s="3" t="s">
        <v>3</v>
      </c>
      <c r="E377" s="3">
        <v>994</v>
      </c>
      <c r="G377" s="57"/>
    </row>
    <row r="378" spans="1:7" ht="12.75" x14ac:dyDescent="0.2">
      <c r="A378" s="2">
        <v>40</v>
      </c>
      <c r="B378" s="3" t="s">
        <v>72</v>
      </c>
      <c r="C378" s="3" t="s">
        <v>13</v>
      </c>
      <c r="D378" s="3" t="s">
        <v>298</v>
      </c>
      <c r="E378" s="3">
        <v>328</v>
      </c>
      <c r="G378" s="57"/>
    </row>
    <row r="379" spans="1:7" ht="12.75" x14ac:dyDescent="0.2">
      <c r="A379" s="2">
        <v>40</v>
      </c>
      <c r="B379" s="3" t="s">
        <v>72</v>
      </c>
      <c r="C379" s="3" t="s">
        <v>13</v>
      </c>
      <c r="D379" s="3" t="s">
        <v>14</v>
      </c>
      <c r="E379" s="3">
        <v>125</v>
      </c>
      <c r="F379">
        <f>SUM(E375:E379)</f>
        <v>2091</v>
      </c>
      <c r="G379" s="57"/>
    </row>
    <row r="380" spans="1:7" ht="12.75" x14ac:dyDescent="0.2">
      <c r="A380" s="3">
        <v>42</v>
      </c>
      <c r="B380" s="3" t="s">
        <v>73</v>
      </c>
      <c r="C380" s="3" t="s">
        <v>2</v>
      </c>
      <c r="D380" s="3" t="s">
        <v>279</v>
      </c>
      <c r="E380" s="3">
        <v>1135</v>
      </c>
      <c r="G380" s="56">
        <v>2006</v>
      </c>
    </row>
    <row r="381" spans="1:7" ht="12.75" x14ac:dyDescent="0.2">
      <c r="A381" s="3">
        <v>42</v>
      </c>
      <c r="B381" s="3" t="s">
        <v>73</v>
      </c>
      <c r="C381" s="3" t="s">
        <v>2</v>
      </c>
      <c r="D381" s="3" t="s">
        <v>3</v>
      </c>
      <c r="E381" s="3">
        <v>761</v>
      </c>
      <c r="G381" s="57"/>
    </row>
    <row r="382" spans="1:7" ht="12.75" x14ac:dyDescent="0.2">
      <c r="A382" s="3">
        <v>42</v>
      </c>
      <c r="B382" s="3" t="s">
        <v>73</v>
      </c>
      <c r="C382" s="3" t="s">
        <v>2</v>
      </c>
      <c r="D382" s="3" t="s">
        <v>14</v>
      </c>
      <c r="E382" s="3">
        <v>107</v>
      </c>
      <c r="F382">
        <f>SUM(E380:E382)</f>
        <v>2003</v>
      </c>
      <c r="G382" s="57"/>
    </row>
    <row r="383" spans="1:7" ht="12.75" x14ac:dyDescent="0.2">
      <c r="A383" s="3">
        <v>42</v>
      </c>
      <c r="B383" s="3" t="s">
        <v>73</v>
      </c>
      <c r="C383" s="3" t="s">
        <v>10</v>
      </c>
      <c r="D383" s="3" t="s">
        <v>279</v>
      </c>
      <c r="E383" s="3">
        <v>1004</v>
      </c>
      <c r="G383" s="57"/>
    </row>
    <row r="384" spans="1:7" ht="12.75" x14ac:dyDescent="0.2">
      <c r="A384" s="3">
        <v>42</v>
      </c>
      <c r="B384" s="3" t="s">
        <v>73</v>
      </c>
      <c r="C384" s="3" t="s">
        <v>10</v>
      </c>
      <c r="D384" s="3" t="s">
        <v>3</v>
      </c>
      <c r="E384" s="3">
        <v>742</v>
      </c>
      <c r="G384" s="57"/>
    </row>
    <row r="385" spans="1:7" ht="12.75" x14ac:dyDescent="0.2">
      <c r="A385" s="3">
        <v>42</v>
      </c>
      <c r="B385" s="3" t="s">
        <v>73</v>
      </c>
      <c r="C385" s="3" t="s">
        <v>10</v>
      </c>
      <c r="D385" s="3" t="s">
        <v>299</v>
      </c>
      <c r="E385" s="3">
        <v>115</v>
      </c>
      <c r="G385" s="57"/>
    </row>
    <row r="386" spans="1:7" ht="12.75" x14ac:dyDescent="0.2">
      <c r="A386" s="3">
        <v>42</v>
      </c>
      <c r="B386" s="3" t="s">
        <v>73</v>
      </c>
      <c r="C386" s="3" t="s">
        <v>10</v>
      </c>
      <c r="D386" s="3" t="s">
        <v>14</v>
      </c>
      <c r="E386" s="3">
        <v>124</v>
      </c>
      <c r="F386">
        <f>SUM(E383:E386)</f>
        <v>1985</v>
      </c>
      <c r="G386" s="57"/>
    </row>
    <row r="387" spans="1:7" ht="12.75" x14ac:dyDescent="0.2">
      <c r="A387" s="3">
        <v>42</v>
      </c>
      <c r="B387" s="3" t="s">
        <v>73</v>
      </c>
      <c r="C387" s="3" t="s">
        <v>13</v>
      </c>
      <c r="D387" s="3" t="s">
        <v>279</v>
      </c>
      <c r="E387" s="3">
        <v>1026</v>
      </c>
      <c r="G387" s="57"/>
    </row>
    <row r="388" spans="1:7" ht="12.75" x14ac:dyDescent="0.2">
      <c r="A388" s="3">
        <v>42</v>
      </c>
      <c r="B388" s="3" t="s">
        <v>73</v>
      </c>
      <c r="C388" s="3" t="s">
        <v>13</v>
      </c>
      <c r="D388" s="3" t="s">
        <v>3</v>
      </c>
      <c r="E388" s="3">
        <v>729</v>
      </c>
      <c r="G388" s="57"/>
    </row>
    <row r="389" spans="1:7" ht="12.75" x14ac:dyDescent="0.2">
      <c r="A389" s="3">
        <v>42</v>
      </c>
      <c r="B389" s="3" t="s">
        <v>73</v>
      </c>
      <c r="C389" s="3" t="s">
        <v>13</v>
      </c>
      <c r="D389" s="3" t="s">
        <v>299</v>
      </c>
      <c r="E389" s="3">
        <v>124</v>
      </c>
      <c r="G389" s="57"/>
    </row>
    <row r="390" spans="1:7" ht="12.75" x14ac:dyDescent="0.2">
      <c r="A390" s="3">
        <v>42</v>
      </c>
      <c r="B390" s="3" t="s">
        <v>73</v>
      </c>
      <c r="C390" s="3" t="s">
        <v>13</v>
      </c>
      <c r="D390" s="3" t="s">
        <v>14</v>
      </c>
      <c r="E390" s="3">
        <v>105</v>
      </c>
      <c r="F390">
        <f>SUM(E387:E390)</f>
        <v>1984</v>
      </c>
      <c r="G390" s="57"/>
    </row>
    <row r="391" spans="1:7" ht="12.75" x14ac:dyDescent="0.2">
      <c r="A391" s="3">
        <v>43</v>
      </c>
      <c r="B391" s="3" t="s">
        <v>74</v>
      </c>
      <c r="C391" s="3" t="s">
        <v>2</v>
      </c>
      <c r="D391" s="3" t="s">
        <v>279</v>
      </c>
      <c r="E391" s="3">
        <v>211</v>
      </c>
      <c r="G391" s="56">
        <v>335</v>
      </c>
    </row>
    <row r="392" spans="1:7" ht="12.75" x14ac:dyDescent="0.2">
      <c r="A392" s="3">
        <v>43</v>
      </c>
      <c r="B392" s="3" t="s">
        <v>74</v>
      </c>
      <c r="C392" s="3" t="s">
        <v>2</v>
      </c>
      <c r="D392" s="3" t="s">
        <v>3</v>
      </c>
      <c r="E392" s="3">
        <v>105</v>
      </c>
      <c r="G392" s="57"/>
    </row>
    <row r="393" spans="1:7" ht="12.75" x14ac:dyDescent="0.2">
      <c r="A393" s="3">
        <v>43</v>
      </c>
      <c r="B393" s="3" t="s">
        <v>74</v>
      </c>
      <c r="C393" s="3" t="s">
        <v>2</v>
      </c>
      <c r="D393" s="3" t="s">
        <v>14</v>
      </c>
      <c r="E393" s="3">
        <v>18</v>
      </c>
      <c r="F393">
        <f>SUM(E391:E393)</f>
        <v>334</v>
      </c>
      <c r="G393" s="57"/>
    </row>
    <row r="394" spans="1:7" ht="12.75" x14ac:dyDescent="0.2">
      <c r="A394" s="3">
        <v>43</v>
      </c>
      <c r="B394" s="3" t="s">
        <v>74</v>
      </c>
      <c r="C394" s="3" t="s">
        <v>10</v>
      </c>
      <c r="D394" s="3" t="s">
        <v>279</v>
      </c>
      <c r="E394" s="3">
        <v>214</v>
      </c>
      <c r="G394" s="57"/>
    </row>
    <row r="395" spans="1:7" ht="12.75" x14ac:dyDescent="0.2">
      <c r="A395" s="3">
        <v>43</v>
      </c>
      <c r="B395" s="3" t="s">
        <v>74</v>
      </c>
      <c r="C395" s="3" t="s">
        <v>10</v>
      </c>
      <c r="D395" s="3" t="s">
        <v>3</v>
      </c>
      <c r="E395" s="3">
        <v>104</v>
      </c>
      <c r="G395" s="57"/>
    </row>
    <row r="396" spans="1:7" ht="12.75" x14ac:dyDescent="0.2">
      <c r="A396" s="3">
        <v>43</v>
      </c>
      <c r="B396" s="3" t="s">
        <v>74</v>
      </c>
      <c r="C396" s="3" t="s">
        <v>10</v>
      </c>
      <c r="D396" s="3" t="s">
        <v>14</v>
      </c>
      <c r="E396" s="3">
        <v>12</v>
      </c>
      <c r="F396">
        <f>SUM(E394:E396)</f>
        <v>330</v>
      </c>
      <c r="G396" s="57"/>
    </row>
    <row r="397" spans="1:7" ht="12.75" x14ac:dyDescent="0.2">
      <c r="A397" s="3">
        <v>43</v>
      </c>
      <c r="B397" s="3" t="s">
        <v>74</v>
      </c>
      <c r="C397" s="3" t="s">
        <v>13</v>
      </c>
      <c r="D397" s="3" t="s">
        <v>279</v>
      </c>
      <c r="E397" s="3">
        <v>211</v>
      </c>
      <c r="G397" s="57"/>
    </row>
    <row r="398" spans="1:7" ht="12.75" x14ac:dyDescent="0.2">
      <c r="A398" s="3">
        <v>43</v>
      </c>
      <c r="B398" s="3" t="s">
        <v>74</v>
      </c>
      <c r="C398" s="3" t="s">
        <v>13</v>
      </c>
      <c r="D398" s="3" t="s">
        <v>3</v>
      </c>
      <c r="E398" s="3">
        <v>104</v>
      </c>
      <c r="G398" s="57"/>
    </row>
    <row r="399" spans="1:7" ht="12.75" x14ac:dyDescent="0.2">
      <c r="A399" s="3">
        <v>43</v>
      </c>
      <c r="B399" s="3" t="s">
        <v>74</v>
      </c>
      <c r="C399" s="3" t="s">
        <v>13</v>
      </c>
      <c r="D399" s="3" t="s">
        <v>14</v>
      </c>
      <c r="E399" s="3">
        <v>14</v>
      </c>
      <c r="F399">
        <f>SUM(E397:E399)</f>
        <v>329</v>
      </c>
      <c r="G399" s="57"/>
    </row>
    <row r="400" spans="1:7" ht="12.75" x14ac:dyDescent="0.2">
      <c r="A400" s="3">
        <v>45</v>
      </c>
      <c r="B400" s="3" t="s">
        <v>75</v>
      </c>
      <c r="C400" s="3" t="s">
        <v>15</v>
      </c>
      <c r="D400" s="3" t="s">
        <v>283</v>
      </c>
      <c r="E400" s="3">
        <v>34</v>
      </c>
      <c r="G400" s="56">
        <v>93</v>
      </c>
    </row>
    <row r="401" spans="1:7" ht="12.75" x14ac:dyDescent="0.2">
      <c r="A401" s="3">
        <v>45</v>
      </c>
      <c r="B401" s="3" t="s">
        <v>75</v>
      </c>
      <c r="C401" s="3" t="s">
        <v>15</v>
      </c>
      <c r="D401" s="3" t="s">
        <v>3</v>
      </c>
      <c r="E401" s="3">
        <v>59</v>
      </c>
      <c r="F401">
        <f>SUM(E400:E401)</f>
        <v>93</v>
      </c>
      <c r="G401" s="57"/>
    </row>
    <row r="402" spans="1:7" ht="12.75" x14ac:dyDescent="0.2">
      <c r="A402" s="3">
        <v>45</v>
      </c>
      <c r="B402" s="3" t="s">
        <v>75</v>
      </c>
      <c r="C402" s="3" t="s">
        <v>17</v>
      </c>
      <c r="D402" s="3" t="s">
        <v>283</v>
      </c>
      <c r="E402" s="3">
        <v>34</v>
      </c>
      <c r="G402" s="57"/>
    </row>
    <row r="403" spans="1:7" ht="12.75" x14ac:dyDescent="0.2">
      <c r="A403" s="3">
        <v>45</v>
      </c>
      <c r="B403" s="3" t="s">
        <v>75</v>
      </c>
      <c r="C403" s="3" t="s">
        <v>17</v>
      </c>
      <c r="D403" s="3" t="s">
        <v>3</v>
      </c>
      <c r="E403" s="3">
        <v>57</v>
      </c>
      <c r="F403">
        <f>SUM(E402:E403)</f>
        <v>91</v>
      </c>
      <c r="G403" s="57"/>
    </row>
    <row r="404" spans="1:7" ht="12.75" x14ac:dyDescent="0.2">
      <c r="A404" s="3">
        <v>46</v>
      </c>
      <c r="B404" s="3" t="s">
        <v>76</v>
      </c>
      <c r="C404" s="3" t="s">
        <v>2</v>
      </c>
      <c r="D404" s="3" t="s">
        <v>289</v>
      </c>
      <c r="E404" s="3">
        <v>58</v>
      </c>
      <c r="G404" s="56">
        <v>600</v>
      </c>
    </row>
    <row r="405" spans="1:7" ht="12.75" x14ac:dyDescent="0.2">
      <c r="A405" s="3">
        <v>46</v>
      </c>
      <c r="B405" s="3" t="s">
        <v>76</v>
      </c>
      <c r="C405" s="3" t="s">
        <v>2</v>
      </c>
      <c r="D405" s="3" t="s">
        <v>279</v>
      </c>
      <c r="E405" s="3">
        <v>288</v>
      </c>
      <c r="G405" s="57"/>
    </row>
    <row r="406" spans="1:7" ht="12.75" x14ac:dyDescent="0.2">
      <c r="A406" s="3">
        <v>46</v>
      </c>
      <c r="B406" s="3" t="s">
        <v>76</v>
      </c>
      <c r="C406" s="3" t="s">
        <v>2</v>
      </c>
      <c r="D406" s="3" t="s">
        <v>283</v>
      </c>
      <c r="E406" s="3">
        <v>101</v>
      </c>
      <c r="G406" s="57"/>
    </row>
    <row r="407" spans="1:7" ht="12.75" x14ac:dyDescent="0.2">
      <c r="A407" s="3">
        <v>46</v>
      </c>
      <c r="B407" s="3" t="s">
        <v>76</v>
      </c>
      <c r="C407" s="3" t="s">
        <v>2</v>
      </c>
      <c r="D407" s="3" t="s">
        <v>3</v>
      </c>
      <c r="E407" s="3">
        <v>138</v>
      </c>
      <c r="G407" s="57"/>
    </row>
    <row r="408" spans="1:7" ht="12.75" x14ac:dyDescent="0.2">
      <c r="A408" s="3">
        <v>46</v>
      </c>
      <c r="B408" s="3" t="s">
        <v>76</v>
      </c>
      <c r="C408" s="3" t="s">
        <v>2</v>
      </c>
      <c r="D408" s="3" t="s">
        <v>14</v>
      </c>
      <c r="E408" s="3">
        <v>11</v>
      </c>
      <c r="F408">
        <f>SUM(E404:E408)</f>
        <v>596</v>
      </c>
      <c r="G408" s="57"/>
    </row>
    <row r="409" spans="1:7" ht="12.75" x14ac:dyDescent="0.2">
      <c r="A409" s="3">
        <v>46</v>
      </c>
      <c r="B409" s="3" t="s">
        <v>76</v>
      </c>
      <c r="C409" s="3" t="s">
        <v>10</v>
      </c>
      <c r="D409" s="3" t="s">
        <v>289</v>
      </c>
      <c r="E409" s="3">
        <v>58</v>
      </c>
      <c r="G409" s="57"/>
    </row>
    <row r="410" spans="1:7" ht="12.75" x14ac:dyDescent="0.2">
      <c r="A410" s="3">
        <v>46</v>
      </c>
      <c r="B410" s="3" t="s">
        <v>76</v>
      </c>
      <c r="C410" s="3" t="s">
        <v>10</v>
      </c>
      <c r="D410" s="3" t="s">
        <v>279</v>
      </c>
      <c r="E410" s="3">
        <v>284</v>
      </c>
      <c r="G410" s="57"/>
    </row>
    <row r="411" spans="1:7" ht="12.75" x14ac:dyDescent="0.2">
      <c r="A411" s="3">
        <v>46</v>
      </c>
      <c r="B411" s="3" t="s">
        <v>76</v>
      </c>
      <c r="C411" s="3" t="s">
        <v>10</v>
      </c>
      <c r="D411" s="3" t="s">
        <v>283</v>
      </c>
      <c r="E411" s="3">
        <v>96</v>
      </c>
      <c r="G411" s="57"/>
    </row>
    <row r="412" spans="1:7" ht="12.75" x14ac:dyDescent="0.2">
      <c r="A412" s="3">
        <v>46</v>
      </c>
      <c r="B412" s="3" t="s">
        <v>76</v>
      </c>
      <c r="C412" s="3" t="s">
        <v>10</v>
      </c>
      <c r="D412" s="3" t="s">
        <v>3</v>
      </c>
      <c r="E412" s="3">
        <v>134</v>
      </c>
      <c r="G412" s="57"/>
    </row>
    <row r="413" spans="1:7" ht="12.75" x14ac:dyDescent="0.2">
      <c r="A413" s="3">
        <v>46</v>
      </c>
      <c r="B413" s="3" t="s">
        <v>76</v>
      </c>
      <c r="C413" s="3" t="s">
        <v>10</v>
      </c>
      <c r="D413" s="3" t="s">
        <v>14</v>
      </c>
      <c r="E413" s="3">
        <v>26</v>
      </c>
      <c r="F413">
        <f>SUM(E409:E413)</f>
        <v>598</v>
      </c>
      <c r="G413" s="57"/>
    </row>
    <row r="414" spans="1:7" ht="12.75" x14ac:dyDescent="0.2">
      <c r="A414" s="3">
        <v>46</v>
      </c>
      <c r="B414" s="3" t="s">
        <v>76</v>
      </c>
      <c r="C414" s="3" t="s">
        <v>13</v>
      </c>
      <c r="D414" s="3" t="s">
        <v>289</v>
      </c>
      <c r="E414" s="3">
        <v>81</v>
      </c>
      <c r="G414" s="57"/>
    </row>
    <row r="415" spans="1:7" ht="12.75" x14ac:dyDescent="0.2">
      <c r="A415" s="3">
        <v>46</v>
      </c>
      <c r="B415" s="3" t="s">
        <v>76</v>
      </c>
      <c r="C415" s="3" t="s">
        <v>13</v>
      </c>
      <c r="D415" s="3" t="s">
        <v>279</v>
      </c>
      <c r="E415" s="3">
        <v>252</v>
      </c>
      <c r="G415" s="57"/>
    </row>
    <row r="416" spans="1:7" ht="12.75" x14ac:dyDescent="0.2">
      <c r="A416" s="3">
        <v>46</v>
      </c>
      <c r="B416" s="3" t="s">
        <v>76</v>
      </c>
      <c r="C416" s="3" t="s">
        <v>13</v>
      </c>
      <c r="D416" s="3" t="s">
        <v>283</v>
      </c>
      <c r="E416" s="3">
        <v>106</v>
      </c>
      <c r="G416" s="57"/>
    </row>
    <row r="417" spans="1:7" ht="12.75" x14ac:dyDescent="0.2">
      <c r="A417" s="3">
        <v>46</v>
      </c>
      <c r="B417" s="3" t="s">
        <v>76</v>
      </c>
      <c r="C417" s="3" t="s">
        <v>13</v>
      </c>
      <c r="D417" s="3" t="s">
        <v>3</v>
      </c>
      <c r="E417" s="3">
        <v>141</v>
      </c>
      <c r="G417" s="57"/>
    </row>
    <row r="418" spans="1:7" ht="12.75" x14ac:dyDescent="0.2">
      <c r="A418" s="3">
        <v>46</v>
      </c>
      <c r="B418" s="3" t="s">
        <v>76</v>
      </c>
      <c r="C418" s="3" t="s">
        <v>13</v>
      </c>
      <c r="D418" s="3" t="s">
        <v>14</v>
      </c>
      <c r="E418" s="3">
        <v>18</v>
      </c>
      <c r="F418">
        <f>SUM(E414:E418)</f>
        <v>598</v>
      </c>
      <c r="G418" s="57"/>
    </row>
    <row r="419" spans="1:7" ht="12.75" x14ac:dyDescent="0.2">
      <c r="A419" s="3">
        <v>47</v>
      </c>
      <c r="B419" s="3" t="s">
        <v>77</v>
      </c>
      <c r="C419" s="3" t="s">
        <v>2</v>
      </c>
      <c r="D419" s="3" t="s">
        <v>279</v>
      </c>
      <c r="E419" s="3">
        <v>404</v>
      </c>
      <c r="G419" s="56">
        <v>901</v>
      </c>
    </row>
    <row r="420" spans="1:7" ht="12.75" x14ac:dyDescent="0.2">
      <c r="A420" s="3">
        <v>47</v>
      </c>
      <c r="B420" s="3" t="s">
        <v>77</v>
      </c>
      <c r="C420" s="3" t="s">
        <v>2</v>
      </c>
      <c r="D420" s="3" t="s">
        <v>283</v>
      </c>
      <c r="E420" s="3">
        <v>32</v>
      </c>
      <c r="G420" s="57"/>
    </row>
    <row r="421" spans="1:7" ht="12.75" x14ac:dyDescent="0.2">
      <c r="A421" s="3">
        <v>47</v>
      </c>
      <c r="B421" s="3" t="s">
        <v>77</v>
      </c>
      <c r="C421" s="3" t="s">
        <v>2</v>
      </c>
      <c r="D421" s="3" t="s">
        <v>3</v>
      </c>
      <c r="E421" s="3">
        <v>453</v>
      </c>
      <c r="G421" s="57"/>
    </row>
    <row r="422" spans="1:7" ht="12.75" x14ac:dyDescent="0.2">
      <c r="A422" s="3">
        <v>47</v>
      </c>
      <c r="B422" s="3" t="s">
        <v>77</v>
      </c>
      <c r="C422" s="3" t="s">
        <v>2</v>
      </c>
      <c r="D422" s="3" t="s">
        <v>14</v>
      </c>
      <c r="E422" s="3">
        <v>10</v>
      </c>
      <c r="F422">
        <f>SUM(E419:E422)</f>
        <v>899</v>
      </c>
      <c r="G422" s="57"/>
    </row>
    <row r="423" spans="1:7" ht="12.75" x14ac:dyDescent="0.2">
      <c r="A423" s="3">
        <v>47</v>
      </c>
      <c r="B423" s="3" t="s">
        <v>77</v>
      </c>
      <c r="C423" s="3" t="s">
        <v>10</v>
      </c>
      <c r="D423" s="3" t="s">
        <v>279</v>
      </c>
      <c r="E423" s="3">
        <v>398</v>
      </c>
      <c r="G423" s="57"/>
    </row>
    <row r="424" spans="1:7" ht="12.75" x14ac:dyDescent="0.2">
      <c r="A424" s="3">
        <v>47</v>
      </c>
      <c r="B424" s="3" t="s">
        <v>77</v>
      </c>
      <c r="C424" s="3" t="s">
        <v>10</v>
      </c>
      <c r="D424" s="3" t="s">
        <v>283</v>
      </c>
      <c r="E424" s="3">
        <v>51</v>
      </c>
      <c r="G424" s="57"/>
    </row>
    <row r="425" spans="1:7" ht="12.75" x14ac:dyDescent="0.2">
      <c r="A425" s="3">
        <v>47</v>
      </c>
      <c r="B425" s="3" t="s">
        <v>77</v>
      </c>
      <c r="C425" s="3" t="s">
        <v>10</v>
      </c>
      <c r="D425" s="3" t="s">
        <v>3</v>
      </c>
      <c r="E425" s="3">
        <v>430</v>
      </c>
      <c r="G425" s="57"/>
    </row>
    <row r="426" spans="1:7" ht="12.75" x14ac:dyDescent="0.2">
      <c r="A426" s="3">
        <v>47</v>
      </c>
      <c r="B426" s="3" t="s">
        <v>77</v>
      </c>
      <c r="C426" s="3" t="s">
        <v>10</v>
      </c>
      <c r="D426" s="3" t="s">
        <v>14</v>
      </c>
      <c r="E426" s="3">
        <v>19</v>
      </c>
      <c r="F426">
        <f>SUM(E423:E426)</f>
        <v>898</v>
      </c>
      <c r="G426" s="57"/>
    </row>
    <row r="427" spans="1:7" ht="12.75" x14ac:dyDescent="0.2">
      <c r="A427" s="3">
        <v>47</v>
      </c>
      <c r="B427" s="3" t="s">
        <v>77</v>
      </c>
      <c r="C427" s="3" t="s">
        <v>13</v>
      </c>
      <c r="D427" s="3" t="s">
        <v>279</v>
      </c>
      <c r="E427" s="3">
        <v>423</v>
      </c>
      <c r="G427" s="57"/>
    </row>
    <row r="428" spans="1:7" ht="12.75" x14ac:dyDescent="0.2">
      <c r="A428" s="3">
        <v>47</v>
      </c>
      <c r="B428" s="3" t="s">
        <v>77</v>
      </c>
      <c r="C428" s="3" t="s">
        <v>13</v>
      </c>
      <c r="D428" s="3" t="s">
        <v>3</v>
      </c>
      <c r="E428" s="3">
        <v>435</v>
      </c>
      <c r="G428" s="57"/>
    </row>
    <row r="429" spans="1:7" ht="12.75" x14ac:dyDescent="0.2">
      <c r="A429" s="3">
        <v>47</v>
      </c>
      <c r="B429" s="3" t="s">
        <v>77</v>
      </c>
      <c r="C429" s="3" t="s">
        <v>13</v>
      </c>
      <c r="D429" s="3" t="s">
        <v>14</v>
      </c>
      <c r="E429" s="3">
        <v>36</v>
      </c>
      <c r="F429">
        <f>SUM(E427:E429)</f>
        <v>894</v>
      </c>
      <c r="G429" s="57"/>
    </row>
    <row r="430" spans="1:7" ht="12.75" x14ac:dyDescent="0.2">
      <c r="A430" s="3">
        <v>48</v>
      </c>
      <c r="B430" s="3" t="s">
        <v>78</v>
      </c>
      <c r="C430" s="3" t="s">
        <v>2</v>
      </c>
      <c r="D430" s="3" t="s">
        <v>26</v>
      </c>
      <c r="E430" s="3">
        <v>1820</v>
      </c>
      <c r="G430" s="56">
        <v>3797</v>
      </c>
    </row>
    <row r="431" spans="1:7" ht="12.75" x14ac:dyDescent="0.2">
      <c r="A431" s="3">
        <v>48</v>
      </c>
      <c r="B431" s="3" t="s">
        <v>78</v>
      </c>
      <c r="C431" s="3" t="s">
        <v>2</v>
      </c>
      <c r="D431" s="3" t="s">
        <v>16</v>
      </c>
      <c r="E431" s="3">
        <v>22</v>
      </c>
      <c r="G431" s="57"/>
    </row>
    <row r="432" spans="1:7" ht="12.75" x14ac:dyDescent="0.2">
      <c r="A432" s="3">
        <v>48</v>
      </c>
      <c r="B432" s="3" t="s">
        <v>78</v>
      </c>
      <c r="C432" s="3" t="s">
        <v>2</v>
      </c>
      <c r="D432" s="3" t="s">
        <v>3</v>
      </c>
      <c r="E432" s="3">
        <v>1676</v>
      </c>
      <c r="G432" s="57"/>
    </row>
    <row r="433" spans="1:7" ht="12.75" x14ac:dyDescent="0.2">
      <c r="A433" s="3">
        <v>48</v>
      </c>
      <c r="B433" s="3" t="s">
        <v>78</v>
      </c>
      <c r="C433" s="3" t="s">
        <v>2</v>
      </c>
      <c r="D433" s="3" t="s">
        <v>149</v>
      </c>
      <c r="E433" s="3">
        <v>84</v>
      </c>
      <c r="F433">
        <f>SUM(E430:E433)</f>
        <v>3602</v>
      </c>
      <c r="G433" s="57"/>
    </row>
    <row r="434" spans="1:7" ht="12.75" x14ac:dyDescent="0.2">
      <c r="A434" s="3">
        <v>48</v>
      </c>
      <c r="B434" s="3" t="s">
        <v>78</v>
      </c>
      <c r="C434" s="3" t="s">
        <v>10</v>
      </c>
      <c r="D434" s="3" t="s">
        <v>26</v>
      </c>
      <c r="E434" s="3">
        <v>1732</v>
      </c>
      <c r="G434" s="57"/>
    </row>
    <row r="435" spans="1:7" ht="12.75" x14ac:dyDescent="0.2">
      <c r="A435" s="3">
        <v>48</v>
      </c>
      <c r="B435" s="3" t="s">
        <v>78</v>
      </c>
      <c r="C435" s="3" t="s">
        <v>10</v>
      </c>
      <c r="D435" s="3" t="s">
        <v>16</v>
      </c>
      <c r="E435" s="3">
        <v>44</v>
      </c>
      <c r="G435" s="57"/>
    </row>
    <row r="436" spans="1:7" ht="12.75" x14ac:dyDescent="0.2">
      <c r="A436" s="3">
        <v>48</v>
      </c>
      <c r="B436" s="3" t="s">
        <v>78</v>
      </c>
      <c r="C436" s="3" t="s">
        <v>10</v>
      </c>
      <c r="D436" s="3" t="s">
        <v>3</v>
      </c>
      <c r="E436" s="3">
        <v>1662</v>
      </c>
      <c r="G436" s="57"/>
    </row>
    <row r="437" spans="1:7" ht="12.75" x14ac:dyDescent="0.2">
      <c r="A437" s="3">
        <v>48</v>
      </c>
      <c r="B437" s="3" t="s">
        <v>78</v>
      </c>
      <c r="C437" s="3" t="s">
        <v>10</v>
      </c>
      <c r="D437" s="3" t="s">
        <v>149</v>
      </c>
      <c r="E437" s="3">
        <v>104</v>
      </c>
      <c r="G437" s="57"/>
    </row>
    <row r="438" spans="1:7" ht="12.75" x14ac:dyDescent="0.2">
      <c r="A438" s="3">
        <v>48</v>
      </c>
      <c r="B438" s="3" t="s">
        <v>78</v>
      </c>
      <c r="C438" s="3" t="s">
        <v>10</v>
      </c>
      <c r="D438" s="3" t="s">
        <v>14</v>
      </c>
      <c r="E438" s="3">
        <v>167</v>
      </c>
      <c r="F438">
        <f>SUM(E434:E438)</f>
        <v>3709</v>
      </c>
      <c r="G438" s="57"/>
    </row>
    <row r="439" spans="1:7" ht="12.75" x14ac:dyDescent="0.2">
      <c r="A439" s="3">
        <v>48</v>
      </c>
      <c r="B439" s="3" t="s">
        <v>78</v>
      </c>
      <c r="C439" s="3" t="s">
        <v>13</v>
      </c>
      <c r="D439" s="3" t="s">
        <v>26</v>
      </c>
      <c r="E439" s="3">
        <v>1570</v>
      </c>
      <c r="G439" s="57"/>
    </row>
    <row r="440" spans="1:7" ht="12.75" x14ac:dyDescent="0.2">
      <c r="A440" s="3">
        <v>48</v>
      </c>
      <c r="B440" s="3" t="s">
        <v>78</v>
      </c>
      <c r="C440" s="3" t="s">
        <v>13</v>
      </c>
      <c r="D440" s="3" t="s">
        <v>16</v>
      </c>
      <c r="E440" s="3">
        <v>23</v>
      </c>
      <c r="G440" s="57"/>
    </row>
    <row r="441" spans="1:7" ht="12.75" x14ac:dyDescent="0.2">
      <c r="A441" s="3">
        <v>48</v>
      </c>
      <c r="B441" s="3" t="s">
        <v>78</v>
      </c>
      <c r="C441" s="3" t="s">
        <v>13</v>
      </c>
      <c r="D441" s="3" t="s">
        <v>3</v>
      </c>
      <c r="E441" s="3">
        <v>1878</v>
      </c>
      <c r="G441" s="57"/>
    </row>
    <row r="442" spans="1:7" ht="12.75" x14ac:dyDescent="0.2">
      <c r="A442" s="3">
        <v>48</v>
      </c>
      <c r="B442" s="3" t="s">
        <v>78</v>
      </c>
      <c r="C442" s="3" t="s">
        <v>13</v>
      </c>
      <c r="D442" s="3" t="s">
        <v>149</v>
      </c>
      <c r="E442" s="3">
        <v>86</v>
      </c>
      <c r="G442" s="57"/>
    </row>
    <row r="443" spans="1:7" ht="12.75" x14ac:dyDescent="0.2">
      <c r="A443" s="3">
        <v>48</v>
      </c>
      <c r="B443" s="3" t="s">
        <v>78</v>
      </c>
      <c r="C443" s="3" t="s">
        <v>13</v>
      </c>
      <c r="D443" s="3" t="s">
        <v>14</v>
      </c>
      <c r="E443" s="3">
        <v>175</v>
      </c>
      <c r="F443">
        <f>SUM(E439:E443)</f>
        <v>3732</v>
      </c>
      <c r="G443" s="57"/>
    </row>
    <row r="444" spans="1:7" ht="12.75" x14ac:dyDescent="0.2">
      <c r="A444" s="3">
        <v>49</v>
      </c>
      <c r="B444" s="3" t="s">
        <v>79</v>
      </c>
      <c r="C444" s="3" t="s">
        <v>15</v>
      </c>
      <c r="D444" s="3" t="s">
        <v>279</v>
      </c>
      <c r="E444" s="3">
        <v>110</v>
      </c>
      <c r="G444" s="56">
        <v>211</v>
      </c>
    </row>
    <row r="445" spans="1:7" ht="12.75" x14ac:dyDescent="0.2">
      <c r="A445" s="3">
        <v>49</v>
      </c>
      <c r="B445" s="3" t="s">
        <v>79</v>
      </c>
      <c r="C445" s="3" t="s">
        <v>15</v>
      </c>
      <c r="D445" s="3" t="s">
        <v>3</v>
      </c>
      <c r="E445" s="3">
        <v>99</v>
      </c>
      <c r="G445" s="57"/>
    </row>
    <row r="446" spans="1:7" ht="12.75" x14ac:dyDescent="0.2">
      <c r="A446" s="3">
        <v>49</v>
      </c>
      <c r="B446" s="3" t="s">
        <v>79</v>
      </c>
      <c r="C446" s="3" t="s">
        <v>15</v>
      </c>
      <c r="D446" s="3" t="s">
        <v>14</v>
      </c>
      <c r="E446" s="3">
        <v>1</v>
      </c>
      <c r="F446">
        <f>SUM(E444:E446)</f>
        <v>210</v>
      </c>
      <c r="G446" s="57"/>
    </row>
    <row r="447" spans="1:7" ht="12.75" x14ac:dyDescent="0.2">
      <c r="A447" s="3">
        <v>49</v>
      </c>
      <c r="B447" s="3" t="s">
        <v>79</v>
      </c>
      <c r="C447" s="3" t="s">
        <v>17</v>
      </c>
      <c r="D447" s="3" t="s">
        <v>279</v>
      </c>
      <c r="E447" s="3">
        <v>110</v>
      </c>
      <c r="G447" s="57"/>
    </row>
    <row r="448" spans="1:7" ht="12.75" x14ac:dyDescent="0.2">
      <c r="A448" s="3">
        <v>49</v>
      </c>
      <c r="B448" s="3" t="s">
        <v>79</v>
      </c>
      <c r="C448" s="3" t="s">
        <v>17</v>
      </c>
      <c r="D448" s="3" t="s">
        <v>3</v>
      </c>
      <c r="E448" s="3">
        <v>99</v>
      </c>
      <c r="G448" s="57"/>
    </row>
    <row r="449" spans="1:7" ht="12.75" x14ac:dyDescent="0.2">
      <c r="A449" s="3">
        <v>49</v>
      </c>
      <c r="B449" s="3" t="s">
        <v>79</v>
      </c>
      <c r="C449" s="3" t="s">
        <v>17</v>
      </c>
      <c r="D449" s="3" t="s">
        <v>14</v>
      </c>
      <c r="E449" s="3">
        <v>1</v>
      </c>
      <c r="F449">
        <f>SUM(E447:E449)</f>
        <v>210</v>
      </c>
      <c r="G449" s="57"/>
    </row>
    <row r="450" spans="1:7" ht="12.75" x14ac:dyDescent="0.2">
      <c r="A450" s="3">
        <v>49</v>
      </c>
      <c r="B450" s="3" t="s">
        <v>79</v>
      </c>
      <c r="C450" s="3" t="s">
        <v>13</v>
      </c>
      <c r="D450" s="3" t="s">
        <v>279</v>
      </c>
      <c r="E450" s="3">
        <v>111</v>
      </c>
      <c r="G450" s="57"/>
    </row>
    <row r="451" spans="1:7" ht="12.75" x14ac:dyDescent="0.2">
      <c r="A451" s="3">
        <v>49</v>
      </c>
      <c r="B451" s="3" t="s">
        <v>79</v>
      </c>
      <c r="C451" s="3" t="s">
        <v>13</v>
      </c>
      <c r="D451" s="3" t="s">
        <v>3</v>
      </c>
      <c r="E451" s="3">
        <v>97</v>
      </c>
      <c r="G451" s="57"/>
    </row>
    <row r="452" spans="1:7" ht="12.75" x14ac:dyDescent="0.2">
      <c r="A452" s="3">
        <v>49</v>
      </c>
      <c r="B452" s="3" t="s">
        <v>79</v>
      </c>
      <c r="C452" s="3" t="s">
        <v>13</v>
      </c>
      <c r="D452" s="3" t="s">
        <v>14</v>
      </c>
      <c r="E452" s="3">
        <v>2</v>
      </c>
      <c r="F452">
        <f>SUM(E450:E452)</f>
        <v>210</v>
      </c>
      <c r="G452" s="57"/>
    </row>
    <row r="453" spans="1:7" ht="12.75" x14ac:dyDescent="0.2">
      <c r="A453" s="3">
        <v>53</v>
      </c>
      <c r="B453" s="3" t="s">
        <v>80</v>
      </c>
      <c r="C453" s="3" t="s">
        <v>15</v>
      </c>
      <c r="D453" s="3" t="s">
        <v>283</v>
      </c>
      <c r="E453" s="3">
        <v>79</v>
      </c>
      <c r="G453" s="56">
        <v>185</v>
      </c>
    </row>
    <row r="454" spans="1:7" ht="12.75" x14ac:dyDescent="0.2">
      <c r="A454" s="3">
        <v>53</v>
      </c>
      <c r="B454" s="3" t="s">
        <v>80</v>
      </c>
      <c r="C454" s="3" t="s">
        <v>15</v>
      </c>
      <c r="D454" s="3" t="s">
        <v>3</v>
      </c>
      <c r="E454" s="3">
        <v>105</v>
      </c>
      <c r="G454" s="57"/>
    </row>
    <row r="455" spans="1:7" ht="12.75" x14ac:dyDescent="0.2">
      <c r="A455" s="3">
        <v>53</v>
      </c>
      <c r="B455" s="3" t="s">
        <v>80</v>
      </c>
      <c r="C455" s="3" t="s">
        <v>15</v>
      </c>
      <c r="D455" s="3" t="s">
        <v>14</v>
      </c>
      <c r="E455" s="3">
        <v>1</v>
      </c>
      <c r="F455">
        <f>SUM(E453:E455)</f>
        <v>185</v>
      </c>
      <c r="G455" s="57"/>
    </row>
    <row r="456" spans="1:7" ht="12.75" x14ac:dyDescent="0.2">
      <c r="A456" s="3">
        <v>53</v>
      </c>
      <c r="B456" s="3" t="s">
        <v>80</v>
      </c>
      <c r="C456" s="3" t="s">
        <v>17</v>
      </c>
      <c r="D456" s="3" t="s">
        <v>283</v>
      </c>
      <c r="E456" s="3">
        <v>77</v>
      </c>
      <c r="G456" s="57"/>
    </row>
    <row r="457" spans="1:7" ht="12.75" x14ac:dyDescent="0.2">
      <c r="A457" s="3">
        <v>53</v>
      </c>
      <c r="B457" s="3" t="s">
        <v>80</v>
      </c>
      <c r="C457" s="3" t="s">
        <v>17</v>
      </c>
      <c r="D457" s="3" t="s">
        <v>3</v>
      </c>
      <c r="E457" s="3">
        <v>102</v>
      </c>
      <c r="F457">
        <f>SUM(E456:E457)</f>
        <v>179</v>
      </c>
      <c r="G457" s="57"/>
    </row>
    <row r="458" spans="1:7" ht="12.75" x14ac:dyDescent="0.2">
      <c r="A458" s="3">
        <v>54</v>
      </c>
      <c r="B458" s="3" t="s">
        <v>81</v>
      </c>
      <c r="C458" s="3" t="s">
        <v>15</v>
      </c>
      <c r="D458" s="3" t="s">
        <v>283</v>
      </c>
      <c r="E458" s="3">
        <v>50</v>
      </c>
      <c r="G458" s="56">
        <v>127</v>
      </c>
    </row>
    <row r="459" spans="1:7" ht="12.75" x14ac:dyDescent="0.2">
      <c r="A459" s="3">
        <v>54</v>
      </c>
      <c r="B459" s="3" t="s">
        <v>81</v>
      </c>
      <c r="C459" s="3" t="s">
        <v>15</v>
      </c>
      <c r="D459" s="3" t="s">
        <v>3</v>
      </c>
      <c r="E459" s="3">
        <v>67</v>
      </c>
      <c r="F459">
        <f>SUM(E458:E459)</f>
        <v>117</v>
      </c>
      <c r="G459" s="57"/>
    </row>
    <row r="460" spans="1:7" ht="12.75" x14ac:dyDescent="0.2">
      <c r="A460" s="3">
        <v>54</v>
      </c>
      <c r="B460" s="3" t="s">
        <v>81</v>
      </c>
      <c r="C460" s="3" t="s">
        <v>17</v>
      </c>
      <c r="D460" s="3" t="s">
        <v>283</v>
      </c>
      <c r="E460" s="3">
        <v>51</v>
      </c>
      <c r="G460" s="57"/>
    </row>
    <row r="461" spans="1:7" ht="12.75" x14ac:dyDescent="0.2">
      <c r="A461" s="3">
        <v>54</v>
      </c>
      <c r="B461" s="3" t="s">
        <v>81</v>
      </c>
      <c r="C461" s="3" t="s">
        <v>17</v>
      </c>
      <c r="D461" s="3" t="s">
        <v>3</v>
      </c>
      <c r="E461" s="3">
        <v>68</v>
      </c>
      <c r="F461">
        <f>SUM(E460:E461)</f>
        <v>119</v>
      </c>
      <c r="G461" s="57"/>
    </row>
    <row r="462" spans="1:7" ht="12.75" x14ac:dyDescent="0.2">
      <c r="A462" s="3">
        <v>54</v>
      </c>
      <c r="B462" s="3" t="s">
        <v>81</v>
      </c>
      <c r="C462" s="3" t="s">
        <v>13</v>
      </c>
      <c r="D462" s="3" t="s">
        <v>283</v>
      </c>
      <c r="E462" s="3">
        <v>60</v>
      </c>
      <c r="G462" s="57"/>
    </row>
    <row r="463" spans="1:7" ht="12.75" x14ac:dyDescent="0.2">
      <c r="A463" s="3">
        <v>54</v>
      </c>
      <c r="B463" s="3" t="s">
        <v>81</v>
      </c>
      <c r="C463" s="3" t="s">
        <v>13</v>
      </c>
      <c r="D463" s="3" t="s">
        <v>3</v>
      </c>
      <c r="E463" s="3">
        <v>67</v>
      </c>
      <c r="F463">
        <f>SUM(E462:E463)</f>
        <v>127</v>
      </c>
      <c r="G463" s="57"/>
    </row>
    <row r="464" spans="1:7" ht="12.75" x14ac:dyDescent="0.2">
      <c r="A464" s="3">
        <v>55</v>
      </c>
      <c r="B464" s="3" t="s">
        <v>82</v>
      </c>
      <c r="C464" s="3" t="s">
        <v>15</v>
      </c>
      <c r="D464" s="3" t="s">
        <v>279</v>
      </c>
      <c r="E464" s="3">
        <v>129</v>
      </c>
      <c r="G464" s="56">
        <v>289</v>
      </c>
    </row>
    <row r="465" spans="1:7" ht="12.75" x14ac:dyDescent="0.2">
      <c r="A465" s="3">
        <v>55</v>
      </c>
      <c r="B465" s="3" t="s">
        <v>82</v>
      </c>
      <c r="C465" s="3" t="s">
        <v>15</v>
      </c>
      <c r="D465" s="3" t="s">
        <v>3</v>
      </c>
      <c r="E465" s="3">
        <v>147</v>
      </c>
      <c r="G465" s="57"/>
    </row>
    <row r="466" spans="1:7" ht="12.75" x14ac:dyDescent="0.2">
      <c r="A466" s="3">
        <v>55</v>
      </c>
      <c r="B466" s="3" t="s">
        <v>82</v>
      </c>
      <c r="C466" s="3" t="s">
        <v>15</v>
      </c>
      <c r="D466" s="3" t="s">
        <v>14</v>
      </c>
      <c r="E466" s="3">
        <v>13</v>
      </c>
      <c r="F466">
        <f>SUM(E464:E466)</f>
        <v>289</v>
      </c>
      <c r="G466" s="57"/>
    </row>
    <row r="467" spans="1:7" ht="12.75" x14ac:dyDescent="0.2">
      <c r="A467" s="3">
        <v>55</v>
      </c>
      <c r="B467" s="3" t="s">
        <v>82</v>
      </c>
      <c r="C467" s="3" t="s">
        <v>17</v>
      </c>
      <c r="D467" s="3" t="s">
        <v>279</v>
      </c>
      <c r="E467" s="3">
        <v>129</v>
      </c>
      <c r="G467" s="57"/>
    </row>
    <row r="468" spans="1:7" ht="12.75" x14ac:dyDescent="0.2">
      <c r="A468" s="3">
        <v>55</v>
      </c>
      <c r="B468" s="3" t="s">
        <v>82</v>
      </c>
      <c r="C468" s="3" t="s">
        <v>17</v>
      </c>
      <c r="D468" s="3" t="s">
        <v>3</v>
      </c>
      <c r="E468" s="3">
        <v>145</v>
      </c>
      <c r="G468" s="57"/>
    </row>
    <row r="469" spans="1:7" ht="12.75" x14ac:dyDescent="0.2">
      <c r="A469" s="3">
        <v>55</v>
      </c>
      <c r="B469" s="3" t="s">
        <v>82</v>
      </c>
      <c r="C469" s="3" t="s">
        <v>17</v>
      </c>
      <c r="D469" s="3" t="s">
        <v>14</v>
      </c>
      <c r="E469" s="3">
        <v>15</v>
      </c>
      <c r="F469">
        <f>SUM(E467:E469)</f>
        <v>289</v>
      </c>
      <c r="G469" s="57"/>
    </row>
    <row r="470" spans="1:7" ht="12.75" x14ac:dyDescent="0.2">
      <c r="A470" s="3">
        <v>56</v>
      </c>
      <c r="B470" s="3" t="s">
        <v>83</v>
      </c>
      <c r="C470" s="3" t="s">
        <v>15</v>
      </c>
      <c r="D470" s="3" t="s">
        <v>279</v>
      </c>
      <c r="E470" s="3">
        <v>177</v>
      </c>
      <c r="G470" s="56">
        <v>324</v>
      </c>
    </row>
    <row r="471" spans="1:7" ht="12.75" x14ac:dyDescent="0.2">
      <c r="A471" s="3">
        <v>56</v>
      </c>
      <c r="B471" s="3" t="s">
        <v>83</v>
      </c>
      <c r="C471" s="3" t="s">
        <v>15</v>
      </c>
      <c r="D471" s="3" t="s">
        <v>3</v>
      </c>
      <c r="E471" s="3">
        <v>102</v>
      </c>
      <c r="G471" s="57"/>
    </row>
    <row r="472" spans="1:7" ht="12.75" x14ac:dyDescent="0.2">
      <c r="A472" s="3">
        <v>56</v>
      </c>
      <c r="B472" s="3" t="s">
        <v>83</v>
      </c>
      <c r="C472" s="3" t="s">
        <v>15</v>
      </c>
      <c r="D472" s="3" t="s">
        <v>14</v>
      </c>
      <c r="E472" s="3">
        <v>34</v>
      </c>
      <c r="F472">
        <f>SUM(E470:E472)</f>
        <v>313</v>
      </c>
      <c r="G472" s="57"/>
    </row>
    <row r="473" spans="1:7" ht="12.75" x14ac:dyDescent="0.2">
      <c r="A473" s="3">
        <v>56</v>
      </c>
      <c r="B473" s="3" t="s">
        <v>83</v>
      </c>
      <c r="C473" s="3" t="s">
        <v>17</v>
      </c>
      <c r="D473" s="3" t="s">
        <v>279</v>
      </c>
      <c r="E473" s="3">
        <v>175</v>
      </c>
      <c r="G473" s="57"/>
    </row>
    <row r="474" spans="1:7" ht="12.75" x14ac:dyDescent="0.2">
      <c r="A474" s="3">
        <v>56</v>
      </c>
      <c r="B474" s="3" t="s">
        <v>83</v>
      </c>
      <c r="C474" s="3" t="s">
        <v>17</v>
      </c>
      <c r="D474" s="3" t="s">
        <v>3</v>
      </c>
      <c r="E474" s="3">
        <v>101</v>
      </c>
      <c r="G474" s="57"/>
    </row>
    <row r="475" spans="1:7" ht="12.75" x14ac:dyDescent="0.2">
      <c r="A475" s="3">
        <v>56</v>
      </c>
      <c r="B475" s="3" t="s">
        <v>83</v>
      </c>
      <c r="C475" s="3" t="s">
        <v>17</v>
      </c>
      <c r="D475" s="3" t="s">
        <v>14</v>
      </c>
      <c r="E475" s="3">
        <v>37</v>
      </c>
      <c r="F475">
        <f>SUM(E473:E475)</f>
        <v>313</v>
      </c>
      <c r="G475" s="57"/>
    </row>
    <row r="476" spans="1:7" ht="12.75" x14ac:dyDescent="0.2">
      <c r="A476" s="3" t="s">
        <v>319</v>
      </c>
      <c r="B476" s="3" t="s">
        <v>84</v>
      </c>
      <c r="C476" s="3" t="s">
        <v>2</v>
      </c>
      <c r="D476" s="3" t="s">
        <v>283</v>
      </c>
      <c r="E476" s="3">
        <v>2963</v>
      </c>
      <c r="G476" s="56">
        <v>30645</v>
      </c>
    </row>
    <row r="477" spans="1:7" ht="12.75" x14ac:dyDescent="0.2">
      <c r="A477" s="3" t="s">
        <v>319</v>
      </c>
      <c r="B477" s="3" t="s">
        <v>84</v>
      </c>
      <c r="C477" s="3" t="s">
        <v>2</v>
      </c>
      <c r="D477" s="3" t="s">
        <v>282</v>
      </c>
      <c r="E477" s="3">
        <v>2664</v>
      </c>
      <c r="G477" s="57"/>
    </row>
    <row r="478" spans="1:7" ht="12.75" x14ac:dyDescent="0.2">
      <c r="A478" s="3" t="s">
        <v>319</v>
      </c>
      <c r="B478" s="3" t="s">
        <v>84</v>
      </c>
      <c r="C478" s="3" t="s">
        <v>2</v>
      </c>
      <c r="D478" s="3" t="s">
        <v>300</v>
      </c>
      <c r="E478" s="3">
        <v>8342</v>
      </c>
      <c r="G478" s="57"/>
    </row>
    <row r="479" spans="1:7" ht="12.75" x14ac:dyDescent="0.2">
      <c r="A479" s="3" t="s">
        <v>319</v>
      </c>
      <c r="B479" s="3" t="s">
        <v>84</v>
      </c>
      <c r="C479" s="3" t="s">
        <v>2</v>
      </c>
      <c r="D479" s="3" t="s">
        <v>290</v>
      </c>
      <c r="E479" s="3">
        <v>676</v>
      </c>
      <c r="G479" s="57"/>
    </row>
    <row r="480" spans="1:7" ht="12.75" x14ac:dyDescent="0.2">
      <c r="A480" s="3" t="s">
        <v>319</v>
      </c>
      <c r="B480" s="3" t="s">
        <v>84</v>
      </c>
      <c r="C480" s="3" t="s">
        <v>2</v>
      </c>
      <c r="D480" s="3" t="s">
        <v>301</v>
      </c>
      <c r="E480" s="3">
        <v>273</v>
      </c>
      <c r="G480" s="57"/>
    </row>
    <row r="481" spans="1:7" ht="12.75" x14ac:dyDescent="0.2">
      <c r="A481" s="3" t="s">
        <v>319</v>
      </c>
      <c r="B481" s="3" t="s">
        <v>84</v>
      </c>
      <c r="C481" s="3" t="s">
        <v>2</v>
      </c>
      <c r="D481" s="3" t="s">
        <v>16</v>
      </c>
      <c r="E481" s="3">
        <v>346</v>
      </c>
      <c r="G481" s="57"/>
    </row>
    <row r="482" spans="1:7" ht="12.75" x14ac:dyDescent="0.2">
      <c r="A482" s="3" t="s">
        <v>319</v>
      </c>
      <c r="B482" s="3" t="s">
        <v>84</v>
      </c>
      <c r="C482" s="3" t="s">
        <v>2</v>
      </c>
      <c r="D482" s="3" t="s">
        <v>3</v>
      </c>
      <c r="E482" s="3">
        <v>11183</v>
      </c>
      <c r="G482" s="57"/>
    </row>
    <row r="483" spans="1:7" ht="12.75" x14ac:dyDescent="0.2">
      <c r="A483" s="3" t="s">
        <v>319</v>
      </c>
      <c r="B483" s="3" t="s">
        <v>84</v>
      </c>
      <c r="C483" s="3" t="s">
        <v>2</v>
      </c>
      <c r="D483" s="3" t="s">
        <v>286</v>
      </c>
      <c r="E483" s="3">
        <v>266</v>
      </c>
      <c r="G483" s="57"/>
    </row>
    <row r="484" spans="1:7" ht="12.75" x14ac:dyDescent="0.2">
      <c r="A484" s="3" t="s">
        <v>319</v>
      </c>
      <c r="B484" s="3" t="s">
        <v>84</v>
      </c>
      <c r="C484" s="3" t="s">
        <v>2</v>
      </c>
      <c r="D484" s="3" t="s">
        <v>149</v>
      </c>
      <c r="E484" s="3">
        <v>1691</v>
      </c>
      <c r="G484" s="57"/>
    </row>
    <row r="485" spans="1:7" ht="12.75" x14ac:dyDescent="0.2">
      <c r="A485" s="3" t="s">
        <v>319</v>
      </c>
      <c r="B485" s="3" t="s">
        <v>84</v>
      </c>
      <c r="C485" s="3" t="s">
        <v>2</v>
      </c>
      <c r="D485" s="3" t="s">
        <v>14</v>
      </c>
      <c r="E485" s="3">
        <v>2004</v>
      </c>
      <c r="F485">
        <f>SUM(E476:E485)</f>
        <v>30408</v>
      </c>
      <c r="G485" s="57"/>
    </row>
    <row r="486" spans="1:7" ht="12.75" x14ac:dyDescent="0.2">
      <c r="A486" s="3" t="s">
        <v>319</v>
      </c>
      <c r="B486" s="3" t="s">
        <v>84</v>
      </c>
      <c r="C486" s="3" t="s">
        <v>10</v>
      </c>
      <c r="D486" s="3" t="s">
        <v>283</v>
      </c>
      <c r="E486" s="3">
        <v>2862</v>
      </c>
      <c r="G486" s="57"/>
    </row>
    <row r="487" spans="1:7" ht="12.75" x14ac:dyDescent="0.2">
      <c r="A487" s="3" t="s">
        <v>319</v>
      </c>
      <c r="B487" s="3" t="s">
        <v>84</v>
      </c>
      <c r="C487" s="3" t="s">
        <v>10</v>
      </c>
      <c r="D487" s="3" t="s">
        <v>282</v>
      </c>
      <c r="E487" s="3">
        <v>2482</v>
      </c>
      <c r="G487" s="57"/>
    </row>
    <row r="488" spans="1:7" ht="12.75" x14ac:dyDescent="0.2">
      <c r="A488" s="3" t="s">
        <v>319</v>
      </c>
      <c r="B488" s="3" t="s">
        <v>84</v>
      </c>
      <c r="C488" s="3" t="s">
        <v>10</v>
      </c>
      <c r="D488" s="3" t="s">
        <v>300</v>
      </c>
      <c r="E488" s="3">
        <v>7086</v>
      </c>
      <c r="G488" s="57"/>
    </row>
    <row r="489" spans="1:7" ht="12.75" x14ac:dyDescent="0.2">
      <c r="A489" s="3" t="s">
        <v>319</v>
      </c>
      <c r="B489" s="3" t="s">
        <v>84</v>
      </c>
      <c r="C489" s="3" t="s">
        <v>10</v>
      </c>
      <c r="D489" s="3" t="s">
        <v>290</v>
      </c>
      <c r="E489" s="3">
        <v>767</v>
      </c>
      <c r="G489" s="57"/>
    </row>
    <row r="490" spans="1:7" ht="12.75" x14ac:dyDescent="0.2">
      <c r="A490" s="3" t="s">
        <v>319</v>
      </c>
      <c r="B490" s="3" t="s">
        <v>84</v>
      </c>
      <c r="C490" s="3" t="s">
        <v>10</v>
      </c>
      <c r="D490" s="3" t="s">
        <v>301</v>
      </c>
      <c r="E490" s="3">
        <v>274</v>
      </c>
      <c r="G490" s="57"/>
    </row>
    <row r="491" spans="1:7" ht="12.75" x14ac:dyDescent="0.2">
      <c r="A491" s="3" t="s">
        <v>319</v>
      </c>
      <c r="B491" s="3" t="s">
        <v>84</v>
      </c>
      <c r="C491" s="3" t="s">
        <v>10</v>
      </c>
      <c r="D491" s="3" t="s">
        <v>16</v>
      </c>
      <c r="E491" s="3">
        <v>360</v>
      </c>
      <c r="G491" s="57"/>
    </row>
    <row r="492" spans="1:7" ht="12.75" x14ac:dyDescent="0.2">
      <c r="A492" s="3" t="s">
        <v>319</v>
      </c>
      <c r="B492" s="3" t="s">
        <v>84</v>
      </c>
      <c r="C492" s="3" t="s">
        <v>10</v>
      </c>
      <c r="D492" s="3" t="s">
        <v>3</v>
      </c>
      <c r="E492" s="3">
        <v>11529</v>
      </c>
      <c r="G492" s="57"/>
    </row>
    <row r="493" spans="1:7" ht="12.75" x14ac:dyDescent="0.2">
      <c r="A493" s="3" t="s">
        <v>319</v>
      </c>
      <c r="B493" s="3" t="s">
        <v>84</v>
      </c>
      <c r="C493" s="3" t="s">
        <v>10</v>
      </c>
      <c r="D493" s="3" t="s">
        <v>286</v>
      </c>
      <c r="E493" s="3">
        <v>274</v>
      </c>
      <c r="G493" s="57"/>
    </row>
    <row r="494" spans="1:7" ht="12.75" x14ac:dyDescent="0.2">
      <c r="A494" s="3" t="s">
        <v>319</v>
      </c>
      <c r="B494" s="3" t="s">
        <v>84</v>
      </c>
      <c r="C494" s="3" t="s">
        <v>10</v>
      </c>
      <c r="D494" s="3" t="s">
        <v>149</v>
      </c>
      <c r="E494" s="3">
        <v>1578</v>
      </c>
      <c r="G494" s="57"/>
    </row>
    <row r="495" spans="1:7" ht="12.75" x14ac:dyDescent="0.2">
      <c r="A495" s="3" t="s">
        <v>319</v>
      </c>
      <c r="B495" s="3" t="s">
        <v>84</v>
      </c>
      <c r="C495" s="3" t="s">
        <v>10</v>
      </c>
      <c r="D495" s="3" t="s">
        <v>14</v>
      </c>
      <c r="E495" s="3">
        <v>3076</v>
      </c>
      <c r="F495">
        <f>SUM(E486:E495)</f>
        <v>30288</v>
      </c>
      <c r="G495" s="57"/>
    </row>
    <row r="496" spans="1:7" ht="12.75" x14ac:dyDescent="0.2">
      <c r="A496" s="3" t="s">
        <v>319</v>
      </c>
      <c r="B496" s="3" t="s">
        <v>84</v>
      </c>
      <c r="C496" s="3" t="s">
        <v>13</v>
      </c>
      <c r="D496" s="3" t="s">
        <v>283</v>
      </c>
      <c r="E496" s="3">
        <v>2858</v>
      </c>
      <c r="G496" s="57"/>
    </row>
    <row r="497" spans="1:7" ht="12.75" x14ac:dyDescent="0.2">
      <c r="A497" s="3" t="s">
        <v>319</v>
      </c>
      <c r="B497" s="3" t="s">
        <v>84</v>
      </c>
      <c r="C497" s="3" t="s">
        <v>13</v>
      </c>
      <c r="D497" s="3" t="s">
        <v>282</v>
      </c>
      <c r="E497" s="3">
        <v>2367</v>
      </c>
      <c r="G497" s="57"/>
    </row>
    <row r="498" spans="1:7" ht="12.75" x14ac:dyDescent="0.2">
      <c r="A498" s="3" t="s">
        <v>319</v>
      </c>
      <c r="B498" s="3" t="s">
        <v>84</v>
      </c>
      <c r="C498" s="3" t="s">
        <v>13</v>
      </c>
      <c r="D498" s="3" t="s">
        <v>300</v>
      </c>
      <c r="E498" s="3">
        <v>6877</v>
      </c>
      <c r="G498" s="57"/>
    </row>
    <row r="499" spans="1:7" ht="12.75" x14ac:dyDescent="0.2">
      <c r="A499" s="3" t="s">
        <v>319</v>
      </c>
      <c r="B499" s="3" t="s">
        <v>84</v>
      </c>
      <c r="C499" s="3" t="s">
        <v>13</v>
      </c>
      <c r="D499" s="3" t="s">
        <v>290</v>
      </c>
      <c r="E499" s="3">
        <v>817</v>
      </c>
      <c r="G499" s="57"/>
    </row>
    <row r="500" spans="1:7" ht="12.75" x14ac:dyDescent="0.2">
      <c r="A500" s="3" t="s">
        <v>319</v>
      </c>
      <c r="B500" s="3" t="s">
        <v>84</v>
      </c>
      <c r="C500" s="3" t="s">
        <v>13</v>
      </c>
      <c r="D500" s="3" t="s">
        <v>301</v>
      </c>
      <c r="E500" s="3">
        <v>279</v>
      </c>
      <c r="G500" s="57"/>
    </row>
    <row r="501" spans="1:7" ht="12.75" x14ac:dyDescent="0.2">
      <c r="A501" s="3" t="s">
        <v>319</v>
      </c>
      <c r="B501" s="3" t="s">
        <v>84</v>
      </c>
      <c r="C501" s="3" t="s">
        <v>13</v>
      </c>
      <c r="D501" s="3" t="s">
        <v>16</v>
      </c>
      <c r="E501" s="3">
        <v>356</v>
      </c>
      <c r="G501" s="57"/>
    </row>
    <row r="502" spans="1:7" ht="12.75" x14ac:dyDescent="0.2">
      <c r="A502" s="3" t="s">
        <v>319</v>
      </c>
      <c r="B502" s="3" t="s">
        <v>84</v>
      </c>
      <c r="C502" s="3" t="s">
        <v>13</v>
      </c>
      <c r="D502" s="3" t="s">
        <v>3</v>
      </c>
      <c r="E502" s="3">
        <v>11789</v>
      </c>
      <c r="G502" s="57"/>
    </row>
    <row r="503" spans="1:7" ht="12.75" x14ac:dyDescent="0.2">
      <c r="A503" s="3" t="s">
        <v>319</v>
      </c>
      <c r="B503" s="3" t="s">
        <v>84</v>
      </c>
      <c r="C503" s="3" t="s">
        <v>13</v>
      </c>
      <c r="D503" s="3" t="s">
        <v>286</v>
      </c>
      <c r="E503" s="3">
        <v>258</v>
      </c>
      <c r="G503" s="57"/>
    </row>
    <row r="504" spans="1:7" ht="12.75" x14ac:dyDescent="0.2">
      <c r="A504" s="3" t="s">
        <v>319</v>
      </c>
      <c r="B504" s="3" t="s">
        <v>84</v>
      </c>
      <c r="C504" s="3" t="s">
        <v>13</v>
      </c>
      <c r="D504" s="3" t="s">
        <v>149</v>
      </c>
      <c r="E504" s="3">
        <v>1545</v>
      </c>
      <c r="G504" s="57"/>
    </row>
    <row r="505" spans="1:7" ht="12.75" x14ac:dyDescent="0.2">
      <c r="A505" s="3" t="s">
        <v>319</v>
      </c>
      <c r="B505" s="3" t="s">
        <v>84</v>
      </c>
      <c r="C505" s="3" t="s">
        <v>13</v>
      </c>
      <c r="D505" s="3" t="s">
        <v>14</v>
      </c>
      <c r="E505" s="3">
        <v>3121</v>
      </c>
      <c r="F505">
        <f>SUM(E496:E505)</f>
        <v>30267</v>
      </c>
      <c r="G505" s="57"/>
    </row>
    <row r="506" spans="1:7" ht="12.75" x14ac:dyDescent="0.2">
      <c r="A506" s="3">
        <v>59</v>
      </c>
      <c r="B506" s="3" t="s">
        <v>85</v>
      </c>
      <c r="C506" s="3" t="s">
        <v>15</v>
      </c>
      <c r="D506" s="3" t="s">
        <v>279</v>
      </c>
      <c r="E506" s="3">
        <v>188</v>
      </c>
      <c r="G506" s="56">
        <v>289</v>
      </c>
    </row>
    <row r="507" spans="1:7" ht="12.75" x14ac:dyDescent="0.2">
      <c r="A507" s="3">
        <v>59</v>
      </c>
      <c r="B507" s="3" t="s">
        <v>85</v>
      </c>
      <c r="C507" s="3" t="s">
        <v>15</v>
      </c>
      <c r="D507" s="3" t="s">
        <v>283</v>
      </c>
      <c r="E507" s="3">
        <v>37</v>
      </c>
      <c r="G507" s="57"/>
    </row>
    <row r="508" spans="1:7" ht="12.75" x14ac:dyDescent="0.2">
      <c r="A508" s="3">
        <v>59</v>
      </c>
      <c r="B508" s="3" t="s">
        <v>85</v>
      </c>
      <c r="C508" s="3" t="s">
        <v>15</v>
      </c>
      <c r="D508" s="3" t="s">
        <v>3</v>
      </c>
      <c r="E508" s="3">
        <v>59</v>
      </c>
      <c r="G508" s="57"/>
    </row>
    <row r="509" spans="1:7" ht="12.75" x14ac:dyDescent="0.2">
      <c r="A509" s="3">
        <v>59</v>
      </c>
      <c r="B509" s="3" t="s">
        <v>85</v>
      </c>
      <c r="C509" s="3" t="s">
        <v>15</v>
      </c>
      <c r="D509" s="3" t="s">
        <v>14</v>
      </c>
      <c r="E509" s="3">
        <v>4</v>
      </c>
      <c r="F509">
        <f>SUM(E506:E509)</f>
        <v>288</v>
      </c>
      <c r="G509" s="57"/>
    </row>
    <row r="510" spans="1:7" ht="12.75" x14ac:dyDescent="0.2">
      <c r="A510" s="3">
        <v>59</v>
      </c>
      <c r="B510" s="3" t="s">
        <v>85</v>
      </c>
      <c r="C510" s="3" t="s">
        <v>17</v>
      </c>
      <c r="D510" s="3" t="s">
        <v>279</v>
      </c>
      <c r="E510" s="3">
        <v>186</v>
      </c>
      <c r="G510" s="57"/>
    </row>
    <row r="511" spans="1:7" ht="12.75" x14ac:dyDescent="0.2">
      <c r="A511" s="3">
        <v>59</v>
      </c>
      <c r="B511" s="3" t="s">
        <v>85</v>
      </c>
      <c r="C511" s="3" t="s">
        <v>17</v>
      </c>
      <c r="D511" s="3" t="s">
        <v>283</v>
      </c>
      <c r="E511" s="3">
        <v>37</v>
      </c>
      <c r="G511" s="57"/>
    </row>
    <row r="512" spans="1:7" ht="12.75" x14ac:dyDescent="0.2">
      <c r="A512" s="3">
        <v>59</v>
      </c>
      <c r="B512" s="3" t="s">
        <v>85</v>
      </c>
      <c r="C512" s="3" t="s">
        <v>17</v>
      </c>
      <c r="D512" s="3" t="s">
        <v>3</v>
      </c>
      <c r="E512" s="3">
        <v>58</v>
      </c>
      <c r="G512" s="57"/>
    </row>
    <row r="513" spans="1:7" ht="12.75" x14ac:dyDescent="0.2">
      <c r="A513" s="3">
        <v>59</v>
      </c>
      <c r="B513" s="3" t="s">
        <v>85</v>
      </c>
      <c r="C513" s="3" t="s">
        <v>17</v>
      </c>
      <c r="D513" s="3" t="s">
        <v>14</v>
      </c>
      <c r="E513" s="3">
        <v>6</v>
      </c>
      <c r="F513">
        <f>SUM(E510:E513)</f>
        <v>287</v>
      </c>
      <c r="G513" s="57"/>
    </row>
    <row r="514" spans="1:7" ht="12.75" x14ac:dyDescent="0.2">
      <c r="A514" s="3">
        <v>61</v>
      </c>
      <c r="B514" s="3" t="s">
        <v>86</v>
      </c>
      <c r="C514" s="3" t="s">
        <v>2</v>
      </c>
      <c r="D514" s="3" t="s">
        <v>289</v>
      </c>
      <c r="E514" s="3">
        <v>292</v>
      </c>
      <c r="G514" s="56">
        <v>3552</v>
      </c>
    </row>
    <row r="515" spans="1:7" ht="12.75" x14ac:dyDescent="0.2">
      <c r="A515" s="3">
        <v>61</v>
      </c>
      <c r="B515" s="3" t="s">
        <v>86</v>
      </c>
      <c r="C515" s="3" t="s">
        <v>2</v>
      </c>
      <c r="D515" s="3" t="s">
        <v>279</v>
      </c>
      <c r="E515" s="3">
        <v>764</v>
      </c>
      <c r="G515" s="57"/>
    </row>
    <row r="516" spans="1:7" ht="12.75" x14ac:dyDescent="0.2">
      <c r="A516" s="3">
        <v>61</v>
      </c>
      <c r="B516" s="3" t="s">
        <v>86</v>
      </c>
      <c r="C516" s="3" t="s">
        <v>2</v>
      </c>
      <c r="D516" s="3" t="s">
        <v>283</v>
      </c>
      <c r="E516" s="3">
        <v>895</v>
      </c>
      <c r="G516" s="57"/>
    </row>
    <row r="517" spans="1:7" ht="12.75" x14ac:dyDescent="0.2">
      <c r="A517" s="3">
        <v>61</v>
      </c>
      <c r="B517" s="3" t="s">
        <v>86</v>
      </c>
      <c r="C517" s="3" t="s">
        <v>2</v>
      </c>
      <c r="D517" s="3" t="s">
        <v>3</v>
      </c>
      <c r="E517" s="3">
        <v>1125</v>
      </c>
      <c r="G517" s="57"/>
    </row>
    <row r="518" spans="1:7" ht="12.75" x14ac:dyDescent="0.2">
      <c r="A518" s="3">
        <v>61</v>
      </c>
      <c r="B518" s="3" t="s">
        <v>86</v>
      </c>
      <c r="C518" s="3" t="s">
        <v>2</v>
      </c>
      <c r="D518" s="3" t="s">
        <v>302</v>
      </c>
      <c r="E518" s="3">
        <v>278</v>
      </c>
      <c r="G518" s="57"/>
    </row>
    <row r="519" spans="1:7" ht="12.75" x14ac:dyDescent="0.2">
      <c r="A519" s="3">
        <v>61</v>
      </c>
      <c r="B519" s="3" t="s">
        <v>86</v>
      </c>
      <c r="C519" s="3" t="s">
        <v>2</v>
      </c>
      <c r="D519" s="3" t="s">
        <v>14</v>
      </c>
      <c r="E519" s="3">
        <v>155</v>
      </c>
      <c r="F519">
        <f>SUM(E514:E519)</f>
        <v>3509</v>
      </c>
      <c r="G519" s="57"/>
    </row>
    <row r="520" spans="1:7" ht="12.75" x14ac:dyDescent="0.2">
      <c r="A520" s="3">
        <v>61</v>
      </c>
      <c r="B520" s="3" t="s">
        <v>86</v>
      </c>
      <c r="C520" s="3" t="s">
        <v>10</v>
      </c>
      <c r="D520" s="3" t="s">
        <v>289</v>
      </c>
      <c r="E520" s="3">
        <v>267</v>
      </c>
      <c r="G520" s="57"/>
    </row>
    <row r="521" spans="1:7" ht="12.75" x14ac:dyDescent="0.2">
      <c r="A521" s="3">
        <v>61</v>
      </c>
      <c r="B521" s="3" t="s">
        <v>86</v>
      </c>
      <c r="C521" s="3" t="s">
        <v>10</v>
      </c>
      <c r="D521" s="3" t="s">
        <v>279</v>
      </c>
      <c r="E521" s="3">
        <v>722</v>
      </c>
      <c r="G521" s="57"/>
    </row>
    <row r="522" spans="1:7" ht="12.75" x14ac:dyDescent="0.2">
      <c r="A522" s="3">
        <v>61</v>
      </c>
      <c r="B522" s="3" t="s">
        <v>86</v>
      </c>
      <c r="C522" s="3" t="s">
        <v>10</v>
      </c>
      <c r="D522" s="3" t="s">
        <v>283</v>
      </c>
      <c r="E522" s="3">
        <v>856</v>
      </c>
      <c r="G522" s="57"/>
    </row>
    <row r="523" spans="1:7" ht="12.75" x14ac:dyDescent="0.2">
      <c r="A523" s="3">
        <v>61</v>
      </c>
      <c r="B523" s="3" t="s">
        <v>86</v>
      </c>
      <c r="C523" s="3" t="s">
        <v>10</v>
      </c>
      <c r="D523" s="3" t="s">
        <v>3</v>
      </c>
      <c r="E523" s="3">
        <v>1128</v>
      </c>
      <c r="G523" s="57"/>
    </row>
    <row r="524" spans="1:7" ht="12.75" x14ac:dyDescent="0.2">
      <c r="A524" s="3">
        <v>61</v>
      </c>
      <c r="B524" s="3" t="s">
        <v>86</v>
      </c>
      <c r="C524" s="3" t="s">
        <v>10</v>
      </c>
      <c r="D524" s="3" t="s">
        <v>302</v>
      </c>
      <c r="E524" s="3">
        <v>271</v>
      </c>
      <c r="G524" s="57"/>
    </row>
    <row r="525" spans="1:7" ht="12.75" x14ac:dyDescent="0.2">
      <c r="A525" s="3">
        <v>61</v>
      </c>
      <c r="B525" s="3" t="s">
        <v>86</v>
      </c>
      <c r="C525" s="3" t="s">
        <v>10</v>
      </c>
      <c r="D525" s="3" t="s">
        <v>14</v>
      </c>
      <c r="E525" s="3">
        <v>258</v>
      </c>
      <c r="F525">
        <f>SUM(E520:E525)</f>
        <v>3502</v>
      </c>
      <c r="G525" s="57"/>
    </row>
    <row r="526" spans="1:7" ht="12.75" x14ac:dyDescent="0.2">
      <c r="A526" s="3">
        <v>61</v>
      </c>
      <c r="B526" s="3" t="s">
        <v>86</v>
      </c>
      <c r="C526" s="3" t="s">
        <v>13</v>
      </c>
      <c r="D526" s="3" t="s">
        <v>289</v>
      </c>
      <c r="E526" s="3">
        <v>277</v>
      </c>
      <c r="G526" s="57"/>
    </row>
    <row r="527" spans="1:7" ht="12.75" x14ac:dyDescent="0.2">
      <c r="A527" s="3">
        <v>61</v>
      </c>
      <c r="B527" s="3" t="s">
        <v>86</v>
      </c>
      <c r="C527" s="3" t="s">
        <v>13</v>
      </c>
      <c r="D527" s="3" t="s">
        <v>279</v>
      </c>
      <c r="E527" s="3">
        <v>922</v>
      </c>
      <c r="G527" s="57"/>
    </row>
    <row r="528" spans="1:7" ht="12.75" x14ac:dyDescent="0.2">
      <c r="A528" s="3">
        <v>61</v>
      </c>
      <c r="B528" s="3" t="s">
        <v>86</v>
      </c>
      <c r="C528" s="3" t="s">
        <v>13</v>
      </c>
      <c r="D528" s="3" t="s">
        <v>283</v>
      </c>
      <c r="E528" s="3">
        <v>742</v>
      </c>
      <c r="G528" s="57"/>
    </row>
    <row r="529" spans="1:7" ht="12.75" x14ac:dyDescent="0.2">
      <c r="A529" s="3">
        <v>61</v>
      </c>
      <c r="B529" s="3" t="s">
        <v>86</v>
      </c>
      <c r="C529" s="3" t="s">
        <v>13</v>
      </c>
      <c r="D529" s="3" t="s">
        <v>3</v>
      </c>
      <c r="E529" s="3">
        <v>1075</v>
      </c>
      <c r="G529" s="57"/>
    </row>
    <row r="530" spans="1:7" ht="12.75" x14ac:dyDescent="0.2">
      <c r="A530" s="3">
        <v>61</v>
      </c>
      <c r="B530" s="3" t="s">
        <v>86</v>
      </c>
      <c r="C530" s="3" t="s">
        <v>13</v>
      </c>
      <c r="D530" s="3" t="s">
        <v>302</v>
      </c>
      <c r="E530" s="3">
        <v>248</v>
      </c>
      <c r="G530" s="57"/>
    </row>
    <row r="531" spans="1:7" ht="12.75" x14ac:dyDescent="0.2">
      <c r="A531" s="3">
        <v>61</v>
      </c>
      <c r="B531" s="3" t="s">
        <v>86</v>
      </c>
      <c r="C531" s="3" t="s">
        <v>13</v>
      </c>
      <c r="D531" s="3" t="s">
        <v>14</v>
      </c>
      <c r="E531" s="3">
        <v>248</v>
      </c>
      <c r="F531">
        <f>SUM(E526:E531)</f>
        <v>3512</v>
      </c>
      <c r="G531" s="57"/>
    </row>
    <row r="532" spans="1:7" ht="12.75" x14ac:dyDescent="0.2">
      <c r="A532" s="3">
        <v>62</v>
      </c>
      <c r="B532" s="3" t="s">
        <v>87</v>
      </c>
      <c r="C532" s="3" t="s">
        <v>2</v>
      </c>
      <c r="D532" s="3" t="s">
        <v>283</v>
      </c>
      <c r="E532" s="3">
        <v>67</v>
      </c>
      <c r="G532" s="56">
        <v>517</v>
      </c>
    </row>
    <row r="533" spans="1:7" ht="12.75" x14ac:dyDescent="0.2">
      <c r="A533" s="3">
        <v>62</v>
      </c>
      <c r="B533" s="3" t="s">
        <v>87</v>
      </c>
      <c r="C533" s="3" t="s">
        <v>2</v>
      </c>
      <c r="D533" s="3" t="s">
        <v>303</v>
      </c>
      <c r="E533" s="3">
        <v>231</v>
      </c>
      <c r="G533" s="57"/>
    </row>
    <row r="534" spans="1:7" ht="12.75" x14ac:dyDescent="0.2">
      <c r="A534" s="3">
        <v>62</v>
      </c>
      <c r="B534" s="3" t="s">
        <v>87</v>
      </c>
      <c r="C534" s="3" t="s">
        <v>2</v>
      </c>
      <c r="D534" s="3" t="s">
        <v>3</v>
      </c>
      <c r="E534" s="3">
        <v>209</v>
      </c>
      <c r="G534" s="57"/>
    </row>
    <row r="535" spans="1:7" ht="12.75" x14ac:dyDescent="0.2">
      <c r="A535" s="3">
        <v>62</v>
      </c>
      <c r="B535" s="3" t="s">
        <v>87</v>
      </c>
      <c r="C535" s="3" t="s">
        <v>2</v>
      </c>
      <c r="D535" s="3" t="s">
        <v>14</v>
      </c>
      <c r="E535" s="3">
        <v>5</v>
      </c>
      <c r="F535">
        <f>SUM(E532:E535)</f>
        <v>512</v>
      </c>
      <c r="G535" s="57"/>
    </row>
    <row r="536" spans="1:7" ht="12.75" x14ac:dyDescent="0.2">
      <c r="A536" s="3">
        <v>62</v>
      </c>
      <c r="B536" s="3" t="s">
        <v>87</v>
      </c>
      <c r="C536" s="3" t="s">
        <v>10</v>
      </c>
      <c r="D536" s="3" t="s">
        <v>283</v>
      </c>
      <c r="E536" s="3">
        <v>110</v>
      </c>
      <c r="G536" s="57"/>
    </row>
    <row r="537" spans="1:7" ht="12.75" x14ac:dyDescent="0.2">
      <c r="A537" s="3">
        <v>62</v>
      </c>
      <c r="B537" s="3" t="s">
        <v>87</v>
      </c>
      <c r="C537" s="3" t="s">
        <v>10</v>
      </c>
      <c r="D537" s="3" t="s">
        <v>303</v>
      </c>
      <c r="E537" s="3">
        <v>217</v>
      </c>
      <c r="G537" s="57"/>
    </row>
    <row r="538" spans="1:7" ht="12.75" x14ac:dyDescent="0.2">
      <c r="A538" s="3">
        <v>62</v>
      </c>
      <c r="B538" s="3" t="s">
        <v>87</v>
      </c>
      <c r="C538" s="3" t="s">
        <v>10</v>
      </c>
      <c r="D538" s="3" t="s">
        <v>3</v>
      </c>
      <c r="E538" s="3">
        <v>175</v>
      </c>
      <c r="G538" s="57"/>
    </row>
    <row r="539" spans="1:7" ht="12.75" x14ac:dyDescent="0.2">
      <c r="A539" s="3">
        <v>62</v>
      </c>
      <c r="B539" s="3" t="s">
        <v>87</v>
      </c>
      <c r="C539" s="3" t="s">
        <v>10</v>
      </c>
      <c r="D539" s="3" t="s">
        <v>14</v>
      </c>
      <c r="E539" s="3">
        <v>7</v>
      </c>
      <c r="F539">
        <f>SUM(E536:E539)</f>
        <v>509</v>
      </c>
      <c r="G539" s="57"/>
    </row>
    <row r="540" spans="1:7" ht="12.75" x14ac:dyDescent="0.2">
      <c r="A540" s="3">
        <v>62</v>
      </c>
      <c r="B540" s="3" t="s">
        <v>87</v>
      </c>
      <c r="C540" s="3" t="s">
        <v>13</v>
      </c>
      <c r="D540" s="3" t="s">
        <v>283</v>
      </c>
      <c r="E540" s="3">
        <v>67</v>
      </c>
      <c r="G540" s="57"/>
    </row>
    <row r="541" spans="1:7" ht="12.75" x14ac:dyDescent="0.2">
      <c r="A541" s="3">
        <v>62</v>
      </c>
      <c r="B541" s="3" t="s">
        <v>87</v>
      </c>
      <c r="C541" s="3" t="s">
        <v>13</v>
      </c>
      <c r="D541" s="3" t="s">
        <v>303</v>
      </c>
      <c r="E541" s="3">
        <v>246</v>
      </c>
      <c r="G541" s="57"/>
    </row>
    <row r="542" spans="1:7" ht="12.75" x14ac:dyDescent="0.2">
      <c r="A542" s="3">
        <v>62</v>
      </c>
      <c r="B542" s="3" t="s">
        <v>87</v>
      </c>
      <c r="C542" s="3" t="s">
        <v>13</v>
      </c>
      <c r="D542" s="3" t="s">
        <v>3</v>
      </c>
      <c r="E542" s="3">
        <v>188</v>
      </c>
      <c r="G542" s="57"/>
    </row>
    <row r="543" spans="1:7" ht="12.75" x14ac:dyDescent="0.2">
      <c r="A543" s="3">
        <v>62</v>
      </c>
      <c r="B543" s="3" t="s">
        <v>87</v>
      </c>
      <c r="C543" s="3" t="s">
        <v>13</v>
      </c>
      <c r="D543" s="3" t="s">
        <v>14</v>
      </c>
      <c r="E543" s="3">
        <v>7</v>
      </c>
      <c r="F543">
        <f>SUM(E540:E543)</f>
        <v>508</v>
      </c>
      <c r="G543" s="57"/>
    </row>
    <row r="544" spans="1:7" ht="12.75" x14ac:dyDescent="0.2">
      <c r="A544" s="3">
        <v>63</v>
      </c>
      <c r="B544" s="3" t="s">
        <v>88</v>
      </c>
      <c r="C544" s="3" t="s">
        <v>2</v>
      </c>
      <c r="D544" s="3" t="s">
        <v>279</v>
      </c>
      <c r="E544" s="3">
        <v>1413</v>
      </c>
      <c r="G544" s="56">
        <v>2272</v>
      </c>
    </row>
    <row r="545" spans="1:7" ht="12.75" x14ac:dyDescent="0.2">
      <c r="A545" s="3">
        <v>63</v>
      </c>
      <c r="B545" s="3" t="s">
        <v>88</v>
      </c>
      <c r="C545" s="3" t="s">
        <v>2</v>
      </c>
      <c r="D545" s="3" t="s">
        <v>3</v>
      </c>
      <c r="E545" s="3">
        <v>740</v>
      </c>
      <c r="G545" s="57"/>
    </row>
    <row r="546" spans="1:7" ht="12.75" x14ac:dyDescent="0.2">
      <c r="A546" s="3">
        <v>63</v>
      </c>
      <c r="B546" s="3" t="s">
        <v>88</v>
      </c>
      <c r="C546" s="3" t="s">
        <v>2</v>
      </c>
      <c r="D546" s="3" t="s">
        <v>14</v>
      </c>
      <c r="E546" s="3">
        <v>117</v>
      </c>
      <c r="F546">
        <f>SUM(E544:E546)</f>
        <v>2270</v>
      </c>
      <c r="G546" s="57"/>
    </row>
    <row r="547" spans="1:7" ht="12.75" x14ac:dyDescent="0.2">
      <c r="A547" s="3">
        <v>63</v>
      </c>
      <c r="B547" s="3" t="s">
        <v>88</v>
      </c>
      <c r="C547" s="3" t="s">
        <v>10</v>
      </c>
      <c r="D547" s="3" t="s">
        <v>279</v>
      </c>
      <c r="E547" s="3">
        <v>1393</v>
      </c>
      <c r="G547" s="57"/>
    </row>
    <row r="548" spans="1:7" ht="12.75" x14ac:dyDescent="0.2">
      <c r="A548" s="3">
        <v>63</v>
      </c>
      <c r="B548" s="3" t="s">
        <v>88</v>
      </c>
      <c r="C548" s="3" t="s">
        <v>10</v>
      </c>
      <c r="D548" s="3" t="s">
        <v>3</v>
      </c>
      <c r="E548" s="3">
        <v>692</v>
      </c>
      <c r="G548" s="57"/>
    </row>
    <row r="549" spans="1:7" ht="12.75" x14ac:dyDescent="0.2">
      <c r="A549" s="3">
        <v>63</v>
      </c>
      <c r="B549" s="3" t="s">
        <v>88</v>
      </c>
      <c r="C549" s="3" t="s">
        <v>10</v>
      </c>
      <c r="D549" s="3" t="s">
        <v>14</v>
      </c>
      <c r="E549" s="3">
        <v>185</v>
      </c>
      <c r="F549">
        <f>SUM(E547:E549)</f>
        <v>2270</v>
      </c>
      <c r="G549" s="57"/>
    </row>
    <row r="550" spans="1:7" ht="12.75" x14ac:dyDescent="0.2">
      <c r="A550" s="3">
        <v>63</v>
      </c>
      <c r="B550" s="3" t="s">
        <v>88</v>
      </c>
      <c r="C550" s="3" t="s">
        <v>13</v>
      </c>
      <c r="D550" s="3" t="s">
        <v>279</v>
      </c>
      <c r="E550" s="3">
        <v>1403</v>
      </c>
      <c r="G550" s="57"/>
    </row>
    <row r="551" spans="1:7" ht="12.75" x14ac:dyDescent="0.2">
      <c r="A551" s="3">
        <v>63</v>
      </c>
      <c r="B551" s="3" t="s">
        <v>88</v>
      </c>
      <c r="C551" s="3" t="s">
        <v>13</v>
      </c>
      <c r="D551" s="3" t="s">
        <v>3</v>
      </c>
      <c r="E551" s="3">
        <v>672</v>
      </c>
      <c r="G551" s="57"/>
    </row>
    <row r="552" spans="1:7" ht="12.75" x14ac:dyDescent="0.2">
      <c r="A552" s="3">
        <v>63</v>
      </c>
      <c r="B552" s="3" t="s">
        <v>88</v>
      </c>
      <c r="C552" s="3" t="s">
        <v>13</v>
      </c>
      <c r="D552" s="3" t="s">
        <v>14</v>
      </c>
      <c r="E552" s="3">
        <v>190</v>
      </c>
      <c r="F552">
        <f>SUM(E550:E552)</f>
        <v>2265</v>
      </c>
      <c r="G552" s="57"/>
    </row>
    <row r="553" spans="1:7" ht="12.75" x14ac:dyDescent="0.2">
      <c r="A553" s="3">
        <v>64</v>
      </c>
      <c r="B553" s="3" t="s">
        <v>89</v>
      </c>
      <c r="C553" s="3" t="s">
        <v>2</v>
      </c>
      <c r="D553" s="3" t="s">
        <v>279</v>
      </c>
      <c r="E553" s="3">
        <v>240</v>
      </c>
      <c r="G553" s="56">
        <v>540</v>
      </c>
    </row>
    <row r="554" spans="1:7" ht="12.75" x14ac:dyDescent="0.2">
      <c r="A554" s="3">
        <v>64</v>
      </c>
      <c r="B554" s="3" t="s">
        <v>89</v>
      </c>
      <c r="C554" s="3" t="s">
        <v>2</v>
      </c>
      <c r="D554" s="3" t="s">
        <v>3</v>
      </c>
      <c r="E554" s="3">
        <v>290</v>
      </c>
      <c r="G554" s="57"/>
    </row>
    <row r="555" spans="1:7" ht="12.75" x14ac:dyDescent="0.2">
      <c r="A555" s="3">
        <v>64</v>
      </c>
      <c r="B555" s="3" t="s">
        <v>89</v>
      </c>
      <c r="C555" s="3" t="s">
        <v>2</v>
      </c>
      <c r="D555" s="3" t="s">
        <v>14</v>
      </c>
      <c r="E555" s="3">
        <v>8</v>
      </c>
      <c r="F555">
        <f>SUM(E553:E555)</f>
        <v>538</v>
      </c>
      <c r="G555" s="57"/>
    </row>
    <row r="556" spans="1:7" ht="12.75" x14ac:dyDescent="0.2">
      <c r="A556" s="3">
        <v>64</v>
      </c>
      <c r="B556" s="3" t="s">
        <v>89</v>
      </c>
      <c r="C556" s="3" t="s">
        <v>10</v>
      </c>
      <c r="D556" s="3" t="s">
        <v>279</v>
      </c>
      <c r="E556" s="3">
        <v>243</v>
      </c>
      <c r="G556" s="57"/>
    </row>
    <row r="557" spans="1:7" ht="12.75" x14ac:dyDescent="0.2">
      <c r="A557" s="3">
        <v>64</v>
      </c>
      <c r="B557" s="3" t="s">
        <v>89</v>
      </c>
      <c r="C557" s="3" t="s">
        <v>10</v>
      </c>
      <c r="D557" s="3" t="s">
        <v>3</v>
      </c>
      <c r="E557" s="3">
        <v>279</v>
      </c>
      <c r="G557" s="57"/>
    </row>
    <row r="558" spans="1:7" ht="12.75" x14ac:dyDescent="0.2">
      <c r="A558" s="3">
        <v>64</v>
      </c>
      <c r="B558" s="3" t="s">
        <v>89</v>
      </c>
      <c r="C558" s="3" t="s">
        <v>10</v>
      </c>
      <c r="D558" s="3" t="s">
        <v>14</v>
      </c>
      <c r="E558" s="3">
        <v>14</v>
      </c>
      <c r="F558">
        <f>SUM(E556:E558)</f>
        <v>536</v>
      </c>
      <c r="G558" s="57"/>
    </row>
    <row r="559" spans="1:7" ht="12.75" x14ac:dyDescent="0.2">
      <c r="A559" s="3">
        <v>64</v>
      </c>
      <c r="B559" s="3" t="s">
        <v>89</v>
      </c>
      <c r="C559" s="3" t="s">
        <v>13</v>
      </c>
      <c r="D559" s="3" t="s">
        <v>279</v>
      </c>
      <c r="E559" s="3">
        <v>241</v>
      </c>
      <c r="G559" s="57"/>
    </row>
    <row r="560" spans="1:7" ht="12.75" x14ac:dyDescent="0.2">
      <c r="A560" s="3">
        <v>64</v>
      </c>
      <c r="B560" s="3" t="s">
        <v>89</v>
      </c>
      <c r="C560" s="3" t="s">
        <v>13</v>
      </c>
      <c r="D560" s="3" t="s">
        <v>3</v>
      </c>
      <c r="E560" s="3">
        <v>277</v>
      </c>
      <c r="G560" s="57"/>
    </row>
    <row r="561" spans="1:7" ht="12.75" x14ac:dyDescent="0.2">
      <c r="A561" s="3">
        <v>64</v>
      </c>
      <c r="B561" s="3" t="s">
        <v>89</v>
      </c>
      <c r="C561" s="3" t="s">
        <v>13</v>
      </c>
      <c r="D561" s="3" t="s">
        <v>14</v>
      </c>
      <c r="E561" s="3">
        <v>16</v>
      </c>
      <c r="F561">
        <f>SUM(E559:E561)</f>
        <v>534</v>
      </c>
      <c r="G561" s="57"/>
    </row>
    <row r="562" spans="1:7" ht="12.75" x14ac:dyDescent="0.2">
      <c r="A562" s="3">
        <v>65</v>
      </c>
      <c r="B562" s="3" t="s">
        <v>90</v>
      </c>
      <c r="C562" s="3" t="s">
        <v>2</v>
      </c>
      <c r="D562" s="3" t="s">
        <v>279</v>
      </c>
      <c r="E562" s="3">
        <v>756</v>
      </c>
      <c r="G562" s="56">
        <v>2386</v>
      </c>
    </row>
    <row r="563" spans="1:7" ht="12.75" x14ac:dyDescent="0.2">
      <c r="A563" s="3">
        <v>65</v>
      </c>
      <c r="B563" s="3" t="s">
        <v>90</v>
      </c>
      <c r="C563" s="3" t="s">
        <v>2</v>
      </c>
      <c r="D563" s="3" t="s">
        <v>304</v>
      </c>
      <c r="E563" s="3">
        <v>359</v>
      </c>
      <c r="G563" s="57"/>
    </row>
    <row r="564" spans="1:7" ht="12.75" x14ac:dyDescent="0.2">
      <c r="A564" s="3">
        <v>65</v>
      </c>
      <c r="B564" s="3" t="s">
        <v>90</v>
      </c>
      <c r="C564" s="3" t="s">
        <v>2</v>
      </c>
      <c r="D564" s="3" t="s">
        <v>3</v>
      </c>
      <c r="E564" s="3">
        <v>1146</v>
      </c>
      <c r="G564" s="57"/>
    </row>
    <row r="565" spans="1:7" ht="12.75" x14ac:dyDescent="0.2">
      <c r="A565" s="3">
        <v>65</v>
      </c>
      <c r="B565" s="3" t="s">
        <v>90</v>
      </c>
      <c r="C565" s="3" t="s">
        <v>2</v>
      </c>
      <c r="D565" s="3" t="s">
        <v>14</v>
      </c>
      <c r="E565" s="3">
        <v>112</v>
      </c>
      <c r="F565">
        <f>SUM(E562:E565)</f>
        <v>2373</v>
      </c>
      <c r="G565" s="57"/>
    </row>
    <row r="566" spans="1:7" ht="12.75" x14ac:dyDescent="0.2">
      <c r="A566" s="3">
        <v>65</v>
      </c>
      <c r="B566" s="3" t="s">
        <v>90</v>
      </c>
      <c r="C566" s="3" t="s">
        <v>10</v>
      </c>
      <c r="D566" s="3" t="s">
        <v>279</v>
      </c>
      <c r="E566" s="3">
        <v>716</v>
      </c>
      <c r="G566" s="57"/>
    </row>
    <row r="567" spans="1:7" ht="12.75" x14ac:dyDescent="0.2">
      <c r="A567" s="3">
        <v>65</v>
      </c>
      <c r="B567" s="3" t="s">
        <v>90</v>
      </c>
      <c r="C567" s="3" t="s">
        <v>10</v>
      </c>
      <c r="D567" s="3" t="s">
        <v>304</v>
      </c>
      <c r="E567" s="3">
        <v>463</v>
      </c>
      <c r="G567" s="57"/>
    </row>
    <row r="568" spans="1:7" ht="12.75" x14ac:dyDescent="0.2">
      <c r="A568" s="3">
        <v>65</v>
      </c>
      <c r="B568" s="3" t="s">
        <v>90</v>
      </c>
      <c r="C568" s="3" t="s">
        <v>10</v>
      </c>
      <c r="D568" s="3" t="s">
        <v>3</v>
      </c>
      <c r="E568" s="3">
        <v>1035</v>
      </c>
      <c r="G568" s="57"/>
    </row>
    <row r="569" spans="1:7" ht="12.75" x14ac:dyDescent="0.2">
      <c r="A569" s="3">
        <v>65</v>
      </c>
      <c r="B569" s="3" t="s">
        <v>90</v>
      </c>
      <c r="C569" s="3" t="s">
        <v>10</v>
      </c>
      <c r="D569" s="3" t="s">
        <v>14</v>
      </c>
      <c r="E569" s="3">
        <v>151</v>
      </c>
      <c r="F569">
        <f>SUM(E566:E569)</f>
        <v>2365</v>
      </c>
      <c r="G569" s="57"/>
    </row>
    <row r="570" spans="1:7" ht="12.75" x14ac:dyDescent="0.2">
      <c r="A570" s="3">
        <v>65</v>
      </c>
      <c r="B570" s="3" t="s">
        <v>90</v>
      </c>
      <c r="C570" s="3" t="s">
        <v>13</v>
      </c>
      <c r="D570" s="3" t="s">
        <v>279</v>
      </c>
      <c r="E570" s="3">
        <v>689</v>
      </c>
      <c r="G570" s="57"/>
    </row>
    <row r="571" spans="1:7" ht="12.75" x14ac:dyDescent="0.2">
      <c r="A571" s="3">
        <v>65</v>
      </c>
      <c r="B571" s="3" t="s">
        <v>90</v>
      </c>
      <c r="C571" s="3" t="s">
        <v>13</v>
      </c>
      <c r="D571" s="3" t="s">
        <v>304</v>
      </c>
      <c r="E571" s="3">
        <v>442</v>
      </c>
      <c r="G571" s="57"/>
    </row>
    <row r="572" spans="1:7" ht="12.75" x14ac:dyDescent="0.2">
      <c r="A572" s="3">
        <v>65</v>
      </c>
      <c r="B572" s="3" t="s">
        <v>90</v>
      </c>
      <c r="C572" s="3" t="s">
        <v>13</v>
      </c>
      <c r="D572" s="3" t="s">
        <v>3</v>
      </c>
      <c r="E572" s="3">
        <v>1072</v>
      </c>
      <c r="G572" s="57"/>
    </row>
    <row r="573" spans="1:7" ht="12.75" x14ac:dyDescent="0.2">
      <c r="A573" s="3">
        <v>65</v>
      </c>
      <c r="B573" s="3" t="s">
        <v>90</v>
      </c>
      <c r="C573" s="3" t="s">
        <v>13</v>
      </c>
      <c r="D573" s="3" t="s">
        <v>14</v>
      </c>
      <c r="E573" s="3">
        <v>163</v>
      </c>
      <c r="F573">
        <f>SUM(E570:E573)</f>
        <v>2366</v>
      </c>
      <c r="G573" s="57"/>
    </row>
    <row r="574" spans="1:7" ht="12.75" x14ac:dyDescent="0.2">
      <c r="A574" s="3">
        <v>66</v>
      </c>
      <c r="B574" s="3" t="s">
        <v>91</v>
      </c>
      <c r="C574" s="3" t="s">
        <v>15</v>
      </c>
      <c r="D574" s="3" t="s">
        <v>279</v>
      </c>
      <c r="E574" s="3">
        <v>47</v>
      </c>
      <c r="G574" s="56">
        <v>81</v>
      </c>
    </row>
    <row r="575" spans="1:7" ht="12.75" x14ac:dyDescent="0.2">
      <c r="A575" s="3">
        <v>66</v>
      </c>
      <c r="B575" s="3" t="s">
        <v>91</v>
      </c>
      <c r="C575" s="3" t="s">
        <v>15</v>
      </c>
      <c r="D575" s="3" t="s">
        <v>27</v>
      </c>
      <c r="E575" s="3">
        <v>33</v>
      </c>
      <c r="F575">
        <f>SUM(E574:E575)</f>
        <v>80</v>
      </c>
      <c r="G575" s="57"/>
    </row>
    <row r="576" spans="1:7" ht="12.75" x14ac:dyDescent="0.2">
      <c r="A576" s="3">
        <v>66</v>
      </c>
      <c r="B576" s="3" t="s">
        <v>91</v>
      </c>
      <c r="C576" s="3" t="s">
        <v>17</v>
      </c>
      <c r="D576" s="3" t="s">
        <v>279</v>
      </c>
      <c r="E576" s="3">
        <v>47</v>
      </c>
      <c r="F576" s="3"/>
      <c r="G576" s="57"/>
    </row>
    <row r="577" spans="1:7" ht="12.75" x14ac:dyDescent="0.2">
      <c r="A577" s="3">
        <v>66</v>
      </c>
      <c r="B577" s="3" t="s">
        <v>91</v>
      </c>
      <c r="C577" s="3" t="s">
        <v>17</v>
      </c>
      <c r="D577" s="3" t="s">
        <v>27</v>
      </c>
      <c r="E577" s="3">
        <v>33</v>
      </c>
      <c r="F577">
        <f>SUM(E576:E577)</f>
        <v>80</v>
      </c>
      <c r="G577" s="57"/>
    </row>
    <row r="578" spans="1:7" ht="12.75" x14ac:dyDescent="0.2">
      <c r="A578" s="3">
        <v>68</v>
      </c>
      <c r="B578" s="3" t="s">
        <v>92</v>
      </c>
      <c r="C578" s="3" t="s">
        <v>2</v>
      </c>
      <c r="D578" s="3" t="s">
        <v>279</v>
      </c>
      <c r="E578" s="3">
        <v>211</v>
      </c>
      <c r="G578" s="56">
        <v>489</v>
      </c>
    </row>
    <row r="579" spans="1:7" ht="12.75" x14ac:dyDescent="0.2">
      <c r="A579" s="3">
        <v>68</v>
      </c>
      <c r="B579" s="3" t="s">
        <v>92</v>
      </c>
      <c r="C579" s="3" t="s">
        <v>2</v>
      </c>
      <c r="D579" s="3" t="s">
        <v>283</v>
      </c>
      <c r="E579" s="3">
        <v>65</v>
      </c>
      <c r="G579" s="57"/>
    </row>
    <row r="580" spans="1:7" ht="12.75" x14ac:dyDescent="0.2">
      <c r="A580" s="3">
        <v>68</v>
      </c>
      <c r="B580" s="3" t="s">
        <v>92</v>
      </c>
      <c r="C580" s="3" t="s">
        <v>2</v>
      </c>
      <c r="D580" s="3" t="s">
        <v>3</v>
      </c>
      <c r="E580" s="3">
        <v>195</v>
      </c>
      <c r="G580" s="57"/>
    </row>
    <row r="581" spans="1:7" ht="12.75" x14ac:dyDescent="0.2">
      <c r="A581" s="3">
        <v>68</v>
      </c>
      <c r="B581" s="3" t="s">
        <v>92</v>
      </c>
      <c r="C581" s="3" t="s">
        <v>2</v>
      </c>
      <c r="D581" s="3" t="s">
        <v>14</v>
      </c>
      <c r="E581" s="3">
        <v>16</v>
      </c>
      <c r="F581">
        <f>SUM(E578:E581)</f>
        <v>487</v>
      </c>
      <c r="G581" s="57"/>
    </row>
    <row r="582" spans="1:7" ht="12.75" x14ac:dyDescent="0.2">
      <c r="A582" s="3">
        <v>68</v>
      </c>
      <c r="B582" s="3" t="s">
        <v>92</v>
      </c>
      <c r="C582" s="3" t="s">
        <v>10</v>
      </c>
      <c r="D582" s="3" t="s">
        <v>279</v>
      </c>
      <c r="E582" s="3">
        <v>202</v>
      </c>
      <c r="G582" s="57"/>
    </row>
    <row r="583" spans="1:7" ht="12.75" x14ac:dyDescent="0.2">
      <c r="A583" s="3">
        <v>68</v>
      </c>
      <c r="B583" s="3" t="s">
        <v>92</v>
      </c>
      <c r="C583" s="3" t="s">
        <v>10</v>
      </c>
      <c r="D583" s="3" t="s">
        <v>283</v>
      </c>
      <c r="E583" s="3">
        <v>67</v>
      </c>
      <c r="G583" s="57"/>
    </row>
    <row r="584" spans="1:7" ht="12.75" x14ac:dyDescent="0.2">
      <c r="A584" s="3">
        <v>68</v>
      </c>
      <c r="B584" s="3" t="s">
        <v>92</v>
      </c>
      <c r="C584" s="3" t="s">
        <v>10</v>
      </c>
      <c r="D584" s="3" t="s">
        <v>3</v>
      </c>
      <c r="E584" s="3">
        <v>182</v>
      </c>
      <c r="G584" s="57"/>
    </row>
    <row r="585" spans="1:7" ht="12.75" x14ac:dyDescent="0.2">
      <c r="A585" s="3">
        <v>68</v>
      </c>
      <c r="B585" s="3" t="s">
        <v>92</v>
      </c>
      <c r="C585" s="3" t="s">
        <v>10</v>
      </c>
      <c r="D585" s="3" t="s">
        <v>14</v>
      </c>
      <c r="E585" s="3">
        <v>34</v>
      </c>
      <c r="F585">
        <f>SUM(E582:E585)</f>
        <v>485</v>
      </c>
      <c r="G585" s="57"/>
    </row>
    <row r="586" spans="1:7" ht="12.75" x14ac:dyDescent="0.2">
      <c r="A586" s="3">
        <v>68</v>
      </c>
      <c r="B586" s="3" t="s">
        <v>92</v>
      </c>
      <c r="C586" s="3" t="s">
        <v>13</v>
      </c>
      <c r="D586" s="3" t="s">
        <v>279</v>
      </c>
      <c r="E586" s="3">
        <v>209</v>
      </c>
      <c r="G586" s="57"/>
    </row>
    <row r="587" spans="1:7" ht="12.75" x14ac:dyDescent="0.2">
      <c r="A587" s="3">
        <v>68</v>
      </c>
      <c r="B587" s="3" t="s">
        <v>92</v>
      </c>
      <c r="C587" s="3" t="s">
        <v>13</v>
      </c>
      <c r="D587" s="3" t="s">
        <v>283</v>
      </c>
      <c r="E587" s="3">
        <v>55</v>
      </c>
      <c r="G587" s="57"/>
    </row>
    <row r="588" spans="1:7" ht="12.75" x14ac:dyDescent="0.2">
      <c r="A588" s="3">
        <v>68</v>
      </c>
      <c r="B588" s="3" t="s">
        <v>92</v>
      </c>
      <c r="C588" s="3" t="s">
        <v>13</v>
      </c>
      <c r="D588" s="3" t="s">
        <v>3</v>
      </c>
      <c r="E588" s="3">
        <v>200</v>
      </c>
      <c r="G588" s="57"/>
    </row>
    <row r="589" spans="1:7" ht="12.75" x14ac:dyDescent="0.2">
      <c r="A589" s="3">
        <v>68</v>
      </c>
      <c r="B589" s="3" t="s">
        <v>92</v>
      </c>
      <c r="C589" s="3" t="s">
        <v>13</v>
      </c>
      <c r="D589" s="3" t="s">
        <v>14</v>
      </c>
      <c r="E589" s="3">
        <v>23</v>
      </c>
      <c r="F589">
        <f>SUM(E586:E589)</f>
        <v>487</v>
      </c>
      <c r="G589" s="57"/>
    </row>
    <row r="590" spans="1:7" ht="12.75" x14ac:dyDescent="0.2">
      <c r="A590" s="3">
        <v>69</v>
      </c>
      <c r="B590" s="3" t="s">
        <v>93</v>
      </c>
      <c r="C590" s="3" t="s">
        <v>2</v>
      </c>
      <c r="D590" s="3" t="s">
        <v>279</v>
      </c>
      <c r="E590" s="3">
        <v>772</v>
      </c>
      <c r="G590" s="56">
        <v>1585</v>
      </c>
    </row>
    <row r="591" spans="1:7" ht="12.75" x14ac:dyDescent="0.2">
      <c r="A591" s="3">
        <v>69</v>
      </c>
      <c r="B591" s="3" t="s">
        <v>93</v>
      </c>
      <c r="C591" s="3" t="s">
        <v>2</v>
      </c>
      <c r="D591" s="3" t="s">
        <v>3</v>
      </c>
      <c r="E591" s="3">
        <v>733</v>
      </c>
      <c r="G591" s="57"/>
    </row>
    <row r="592" spans="1:7" ht="12.75" x14ac:dyDescent="0.2">
      <c r="A592" s="3">
        <v>69</v>
      </c>
      <c r="B592" s="3" t="s">
        <v>93</v>
      </c>
      <c r="C592" s="3" t="s">
        <v>2</v>
      </c>
      <c r="D592" s="3" t="s">
        <v>14</v>
      </c>
      <c r="E592" s="3">
        <v>79</v>
      </c>
      <c r="F592">
        <f>SUM(E590:E592)</f>
        <v>1584</v>
      </c>
      <c r="G592" s="57"/>
    </row>
    <row r="593" spans="1:7" ht="12.75" x14ac:dyDescent="0.2">
      <c r="A593" s="3">
        <v>69</v>
      </c>
      <c r="B593" s="3" t="s">
        <v>93</v>
      </c>
      <c r="C593" s="3" t="s">
        <v>10</v>
      </c>
      <c r="D593" s="3" t="s">
        <v>279</v>
      </c>
      <c r="E593" s="3">
        <v>742</v>
      </c>
      <c r="G593" s="57"/>
    </row>
    <row r="594" spans="1:7" ht="12.75" x14ac:dyDescent="0.2">
      <c r="A594" s="3">
        <v>69</v>
      </c>
      <c r="B594" s="3" t="s">
        <v>93</v>
      </c>
      <c r="C594" s="3" t="s">
        <v>10</v>
      </c>
      <c r="D594" s="3" t="s">
        <v>3</v>
      </c>
      <c r="E594" s="3">
        <v>734</v>
      </c>
      <c r="G594" s="57"/>
    </row>
    <row r="595" spans="1:7" ht="12.75" x14ac:dyDescent="0.2">
      <c r="A595" s="3">
        <v>69</v>
      </c>
      <c r="B595" s="3" t="s">
        <v>93</v>
      </c>
      <c r="C595" s="3" t="s">
        <v>10</v>
      </c>
      <c r="D595" s="3" t="s">
        <v>14</v>
      </c>
      <c r="E595" s="3">
        <v>104</v>
      </c>
      <c r="F595">
        <f>SUM(E593:E595)</f>
        <v>1580</v>
      </c>
      <c r="G595" s="57"/>
    </row>
    <row r="596" spans="1:7" ht="12.75" x14ac:dyDescent="0.2">
      <c r="A596" s="3">
        <v>69</v>
      </c>
      <c r="B596" s="3" t="s">
        <v>93</v>
      </c>
      <c r="C596" s="3" t="s">
        <v>13</v>
      </c>
      <c r="D596" s="3" t="s">
        <v>279</v>
      </c>
      <c r="E596" s="3">
        <v>758</v>
      </c>
      <c r="G596" s="57"/>
    </row>
    <row r="597" spans="1:7" ht="12.75" x14ac:dyDescent="0.2">
      <c r="A597" s="3">
        <v>69</v>
      </c>
      <c r="B597" s="3" t="s">
        <v>93</v>
      </c>
      <c r="C597" s="3" t="s">
        <v>13</v>
      </c>
      <c r="D597" s="3" t="s">
        <v>3</v>
      </c>
      <c r="E597" s="3">
        <v>702</v>
      </c>
      <c r="G597" s="57"/>
    </row>
    <row r="598" spans="1:7" ht="12.75" x14ac:dyDescent="0.2">
      <c r="A598" s="3">
        <v>69</v>
      </c>
      <c r="B598" s="3" t="s">
        <v>93</v>
      </c>
      <c r="C598" s="3" t="s">
        <v>13</v>
      </c>
      <c r="D598" s="3" t="s">
        <v>14</v>
      </c>
      <c r="E598" s="3">
        <v>119</v>
      </c>
      <c r="F598">
        <f>SUM(E596:E598)</f>
        <v>1579</v>
      </c>
      <c r="G598" s="57"/>
    </row>
    <row r="599" spans="1:7" ht="12.75" x14ac:dyDescent="0.2">
      <c r="A599" s="3">
        <v>71</v>
      </c>
      <c r="B599" s="3" t="s">
        <v>94</v>
      </c>
      <c r="C599" s="3" t="s">
        <v>2</v>
      </c>
      <c r="D599" s="3" t="s">
        <v>283</v>
      </c>
      <c r="E599" s="3">
        <v>238</v>
      </c>
      <c r="G599" s="56">
        <v>915</v>
      </c>
    </row>
    <row r="600" spans="1:7" ht="12.75" x14ac:dyDescent="0.2">
      <c r="A600" s="3">
        <v>71</v>
      </c>
      <c r="B600" s="3" t="s">
        <v>94</v>
      </c>
      <c r="C600" s="3" t="s">
        <v>2</v>
      </c>
      <c r="D600" s="3" t="s">
        <v>30</v>
      </c>
      <c r="E600" s="3">
        <v>641</v>
      </c>
      <c r="G600" s="57"/>
    </row>
    <row r="601" spans="1:7" ht="12.75" x14ac:dyDescent="0.2">
      <c r="A601" s="3">
        <v>71</v>
      </c>
      <c r="B601" s="3" t="s">
        <v>94</v>
      </c>
      <c r="C601" s="3" t="s">
        <v>2</v>
      </c>
      <c r="D601" s="3" t="s">
        <v>14</v>
      </c>
      <c r="E601" s="3">
        <v>32</v>
      </c>
      <c r="F601">
        <f>SUM(E599:E601)</f>
        <v>911</v>
      </c>
      <c r="G601" s="57"/>
    </row>
    <row r="602" spans="1:7" ht="12.75" x14ac:dyDescent="0.2">
      <c r="A602" s="3">
        <v>71</v>
      </c>
      <c r="B602" s="3" t="s">
        <v>94</v>
      </c>
      <c r="C602" s="3" t="s">
        <v>10</v>
      </c>
      <c r="D602" s="3" t="s">
        <v>283</v>
      </c>
      <c r="E602" s="3">
        <v>236</v>
      </c>
      <c r="G602" s="57"/>
    </row>
    <row r="603" spans="1:7" ht="12.75" x14ac:dyDescent="0.2">
      <c r="A603" s="3">
        <v>71</v>
      </c>
      <c r="B603" s="3" t="s">
        <v>94</v>
      </c>
      <c r="C603" s="3" t="s">
        <v>10</v>
      </c>
      <c r="D603" s="3" t="s">
        <v>30</v>
      </c>
      <c r="E603" s="3">
        <v>628</v>
      </c>
      <c r="G603" s="57"/>
    </row>
    <row r="604" spans="1:7" ht="12.75" x14ac:dyDescent="0.2">
      <c r="A604" s="3">
        <v>71</v>
      </c>
      <c r="B604" s="3" t="s">
        <v>94</v>
      </c>
      <c r="C604" s="3" t="s">
        <v>10</v>
      </c>
      <c r="D604" s="3" t="s">
        <v>14</v>
      </c>
      <c r="E604" s="3">
        <v>43</v>
      </c>
      <c r="F604">
        <f>SUM(E602:E604)</f>
        <v>907</v>
      </c>
      <c r="G604" s="57"/>
    </row>
    <row r="605" spans="1:7" ht="12.75" x14ac:dyDescent="0.2">
      <c r="A605" s="3">
        <v>71</v>
      </c>
      <c r="B605" s="3" t="s">
        <v>94</v>
      </c>
      <c r="C605" s="3" t="s">
        <v>13</v>
      </c>
      <c r="D605" s="3" t="s">
        <v>283</v>
      </c>
      <c r="E605" s="3">
        <v>197</v>
      </c>
      <c r="G605" s="57"/>
    </row>
    <row r="606" spans="1:7" ht="12.75" x14ac:dyDescent="0.2">
      <c r="A606" s="3">
        <v>71</v>
      </c>
      <c r="B606" s="3" t="s">
        <v>94</v>
      </c>
      <c r="C606" s="3" t="s">
        <v>13</v>
      </c>
      <c r="D606" s="3" t="s">
        <v>30</v>
      </c>
      <c r="E606" s="3">
        <v>659</v>
      </c>
      <c r="G606" s="57"/>
    </row>
    <row r="607" spans="1:7" ht="12.75" x14ac:dyDescent="0.2">
      <c r="A607" s="3">
        <v>71</v>
      </c>
      <c r="B607" s="3" t="s">
        <v>94</v>
      </c>
      <c r="C607" s="3" t="s">
        <v>13</v>
      </c>
      <c r="D607" s="3" t="s">
        <v>14</v>
      </c>
      <c r="E607" s="3">
        <v>55</v>
      </c>
      <c r="F607">
        <f>SUM(E605:E607)</f>
        <v>911</v>
      </c>
      <c r="G607" s="57"/>
    </row>
    <row r="608" spans="1:7" ht="12.75" x14ac:dyDescent="0.2">
      <c r="A608" s="3">
        <v>72</v>
      </c>
      <c r="B608" s="3" t="s">
        <v>95</v>
      </c>
      <c r="C608" s="3" t="s">
        <v>2</v>
      </c>
      <c r="D608" s="3" t="s">
        <v>279</v>
      </c>
      <c r="E608" s="3">
        <v>909</v>
      </c>
      <c r="G608" s="56">
        <v>1513</v>
      </c>
    </row>
    <row r="609" spans="1:7" ht="12.75" x14ac:dyDescent="0.2">
      <c r="A609" s="3">
        <v>72</v>
      </c>
      <c r="B609" s="3" t="s">
        <v>95</v>
      </c>
      <c r="C609" s="3" t="s">
        <v>2</v>
      </c>
      <c r="D609" s="3" t="s">
        <v>3</v>
      </c>
      <c r="E609" s="3">
        <v>521</v>
      </c>
      <c r="G609" s="57"/>
    </row>
    <row r="610" spans="1:7" ht="12.75" x14ac:dyDescent="0.2">
      <c r="A610" s="3">
        <v>72</v>
      </c>
      <c r="B610" s="3" t="s">
        <v>95</v>
      </c>
      <c r="C610" s="3" t="s">
        <v>2</v>
      </c>
      <c r="D610" s="3" t="s">
        <v>14</v>
      </c>
      <c r="E610" s="3">
        <v>74</v>
      </c>
      <c r="F610">
        <f>SUM(E608:E610)</f>
        <v>1504</v>
      </c>
      <c r="G610" s="57"/>
    </row>
    <row r="611" spans="1:7" ht="12.75" x14ac:dyDescent="0.2">
      <c r="A611" s="3">
        <v>72</v>
      </c>
      <c r="B611" s="3" t="s">
        <v>95</v>
      </c>
      <c r="C611" s="3" t="s">
        <v>10</v>
      </c>
      <c r="D611" s="3" t="s">
        <v>279</v>
      </c>
      <c r="E611" s="3">
        <v>880</v>
      </c>
      <c r="G611" s="57"/>
    </row>
    <row r="612" spans="1:7" ht="12.75" x14ac:dyDescent="0.2">
      <c r="A612" s="3">
        <v>72</v>
      </c>
      <c r="B612" s="3" t="s">
        <v>95</v>
      </c>
      <c r="C612" s="3" t="s">
        <v>10</v>
      </c>
      <c r="D612" s="3" t="s">
        <v>3</v>
      </c>
      <c r="E612" s="3">
        <v>521</v>
      </c>
      <c r="G612" s="57"/>
    </row>
    <row r="613" spans="1:7" ht="12.75" x14ac:dyDescent="0.2">
      <c r="A613" s="3">
        <v>72</v>
      </c>
      <c r="B613" s="3" t="s">
        <v>95</v>
      </c>
      <c r="C613" s="3" t="s">
        <v>10</v>
      </c>
      <c r="D613" s="3" t="s">
        <v>14</v>
      </c>
      <c r="E613" s="3">
        <v>98</v>
      </c>
      <c r="F613">
        <f>SUM(E611:E613)</f>
        <v>1499</v>
      </c>
      <c r="G613" s="57"/>
    </row>
    <row r="614" spans="1:7" ht="12.75" x14ac:dyDescent="0.2">
      <c r="A614" s="3">
        <v>72</v>
      </c>
      <c r="B614" s="3" t="s">
        <v>95</v>
      </c>
      <c r="C614" s="3" t="s">
        <v>13</v>
      </c>
      <c r="D614" s="3" t="s">
        <v>279</v>
      </c>
      <c r="E614" s="3">
        <v>933</v>
      </c>
      <c r="G614" s="57"/>
    </row>
    <row r="615" spans="1:7" ht="12.75" x14ac:dyDescent="0.2">
      <c r="A615" s="3">
        <v>72</v>
      </c>
      <c r="B615" s="3" t="s">
        <v>95</v>
      </c>
      <c r="C615" s="3" t="s">
        <v>13</v>
      </c>
      <c r="D615" s="3" t="s">
        <v>3</v>
      </c>
      <c r="E615" s="3">
        <v>479</v>
      </c>
      <c r="G615" s="57"/>
    </row>
    <row r="616" spans="1:7" ht="12.75" x14ac:dyDescent="0.2">
      <c r="A616" s="3">
        <v>72</v>
      </c>
      <c r="B616" s="3" t="s">
        <v>95</v>
      </c>
      <c r="C616" s="3" t="s">
        <v>13</v>
      </c>
      <c r="D616" s="3" t="s">
        <v>14</v>
      </c>
      <c r="E616" s="3">
        <v>92</v>
      </c>
      <c r="F616">
        <f>SUM(E614:E616)</f>
        <v>1504</v>
      </c>
      <c r="G616" s="57"/>
    </row>
    <row r="617" spans="1:7" ht="12.75" x14ac:dyDescent="0.2">
      <c r="A617" s="3">
        <v>73</v>
      </c>
      <c r="B617" s="3" t="s">
        <v>96</v>
      </c>
      <c r="C617" s="3" t="s">
        <v>15</v>
      </c>
      <c r="D617" s="3" t="s">
        <v>3</v>
      </c>
      <c r="E617" s="3">
        <v>44</v>
      </c>
      <c r="G617" s="56">
        <v>181</v>
      </c>
    </row>
    <row r="618" spans="1:7" ht="12.75" x14ac:dyDescent="0.2">
      <c r="A618" s="3">
        <v>73</v>
      </c>
      <c r="B618" s="3" t="s">
        <v>96</v>
      </c>
      <c r="C618" s="3" t="s">
        <v>15</v>
      </c>
      <c r="D618" s="3" t="s">
        <v>31</v>
      </c>
      <c r="E618" s="3">
        <v>132</v>
      </c>
      <c r="G618" s="57"/>
    </row>
    <row r="619" spans="1:7" ht="12.75" x14ac:dyDescent="0.2">
      <c r="A619" s="3">
        <v>73</v>
      </c>
      <c r="B619" s="3" t="s">
        <v>96</v>
      </c>
      <c r="C619" s="3" t="s">
        <v>15</v>
      </c>
      <c r="D619" s="3" t="s">
        <v>14</v>
      </c>
      <c r="E619" s="3">
        <v>2</v>
      </c>
      <c r="F619">
        <f>SUM(E617:E619)</f>
        <v>178</v>
      </c>
      <c r="G619" s="57"/>
    </row>
    <row r="620" spans="1:7" ht="12.75" x14ac:dyDescent="0.2">
      <c r="A620" s="3">
        <v>73</v>
      </c>
      <c r="B620" s="3" t="s">
        <v>96</v>
      </c>
      <c r="C620" s="3" t="s">
        <v>17</v>
      </c>
      <c r="D620" s="3" t="s">
        <v>3</v>
      </c>
      <c r="E620" s="3">
        <v>45</v>
      </c>
      <c r="G620" s="57"/>
    </row>
    <row r="621" spans="1:7" ht="12.75" x14ac:dyDescent="0.2">
      <c r="A621" s="3">
        <v>73</v>
      </c>
      <c r="B621" s="3" t="s">
        <v>96</v>
      </c>
      <c r="C621" s="3" t="s">
        <v>17</v>
      </c>
      <c r="D621" s="3" t="s">
        <v>31</v>
      </c>
      <c r="E621" s="3">
        <v>128</v>
      </c>
      <c r="G621" s="57"/>
    </row>
    <row r="622" spans="1:7" ht="12.75" x14ac:dyDescent="0.2">
      <c r="A622" s="3">
        <v>73</v>
      </c>
      <c r="B622" s="3" t="s">
        <v>96</v>
      </c>
      <c r="C622" s="3" t="s">
        <v>17</v>
      </c>
      <c r="D622" s="3" t="s">
        <v>14</v>
      </c>
      <c r="E622" s="3">
        <v>2</v>
      </c>
      <c r="F622">
        <f>SUM(E620:E622)</f>
        <v>175</v>
      </c>
      <c r="G622" s="57"/>
    </row>
    <row r="623" spans="1:7" ht="12.75" x14ac:dyDescent="0.2">
      <c r="A623" s="3">
        <v>74</v>
      </c>
      <c r="B623" s="3" t="s">
        <v>97</v>
      </c>
      <c r="C623" s="3" t="s">
        <v>15</v>
      </c>
      <c r="D623" s="3" t="s">
        <v>3</v>
      </c>
      <c r="E623" s="3">
        <v>175</v>
      </c>
      <c r="G623" s="56">
        <v>265</v>
      </c>
    </row>
    <row r="624" spans="1:7" ht="12.75" x14ac:dyDescent="0.2">
      <c r="A624" s="3">
        <v>74</v>
      </c>
      <c r="B624" s="3" t="s">
        <v>97</v>
      </c>
      <c r="C624" s="3" t="s">
        <v>15</v>
      </c>
      <c r="D624" s="3" t="s">
        <v>14</v>
      </c>
      <c r="E624" s="3">
        <v>87</v>
      </c>
      <c r="F624">
        <f>SUM(E623:E624)</f>
        <v>262</v>
      </c>
      <c r="G624" s="57"/>
    </row>
    <row r="625" spans="1:7" ht="12.75" x14ac:dyDescent="0.2">
      <c r="A625" s="3">
        <v>74</v>
      </c>
      <c r="B625" s="3" t="s">
        <v>97</v>
      </c>
      <c r="C625" s="3" t="s">
        <v>17</v>
      </c>
      <c r="D625" s="3" t="s">
        <v>3</v>
      </c>
      <c r="E625" s="3">
        <v>164</v>
      </c>
      <c r="G625" s="57"/>
    </row>
    <row r="626" spans="1:7" ht="12.75" x14ac:dyDescent="0.2">
      <c r="A626" s="3">
        <v>74</v>
      </c>
      <c r="B626" s="3" t="s">
        <v>97</v>
      </c>
      <c r="C626" s="3" t="s">
        <v>17</v>
      </c>
      <c r="D626" s="3" t="s">
        <v>14</v>
      </c>
      <c r="E626" s="3">
        <v>98</v>
      </c>
      <c r="F626">
        <f>SUM(E625:E626)</f>
        <v>262</v>
      </c>
      <c r="G626" s="57"/>
    </row>
    <row r="627" spans="1:7" ht="12.75" x14ac:dyDescent="0.2">
      <c r="A627" s="3">
        <v>75</v>
      </c>
      <c r="B627" s="3" t="s">
        <v>98</v>
      </c>
      <c r="C627" s="3" t="s">
        <v>2</v>
      </c>
      <c r="D627" s="3" t="s">
        <v>279</v>
      </c>
      <c r="E627" s="3">
        <v>1290</v>
      </c>
      <c r="G627" s="56">
        <v>2349</v>
      </c>
    </row>
    <row r="628" spans="1:7" ht="12.75" x14ac:dyDescent="0.2">
      <c r="A628" s="3">
        <v>75</v>
      </c>
      <c r="B628" s="3" t="s">
        <v>98</v>
      </c>
      <c r="C628" s="3" t="s">
        <v>2</v>
      </c>
      <c r="D628" s="3" t="s">
        <v>3</v>
      </c>
      <c r="E628" s="3">
        <v>961</v>
      </c>
      <c r="G628" s="57"/>
    </row>
    <row r="629" spans="1:7" ht="12.75" x14ac:dyDescent="0.2">
      <c r="A629" s="3">
        <v>75</v>
      </c>
      <c r="B629" s="3" t="s">
        <v>98</v>
      </c>
      <c r="C629" s="3" t="s">
        <v>2</v>
      </c>
      <c r="D629" s="3" t="s">
        <v>14</v>
      </c>
      <c r="E629" s="3">
        <v>90</v>
      </c>
      <c r="F629">
        <f>SUM(E627:E629)</f>
        <v>2341</v>
      </c>
      <c r="G629" s="57"/>
    </row>
    <row r="630" spans="1:7" ht="12.75" x14ac:dyDescent="0.2">
      <c r="A630" s="3">
        <v>75</v>
      </c>
      <c r="B630" s="3" t="s">
        <v>98</v>
      </c>
      <c r="C630" s="3" t="s">
        <v>10</v>
      </c>
      <c r="D630" s="3" t="s">
        <v>279</v>
      </c>
      <c r="E630" s="3">
        <v>1281</v>
      </c>
      <c r="G630" s="57"/>
    </row>
    <row r="631" spans="1:7" ht="12.75" x14ac:dyDescent="0.2">
      <c r="A631" s="3">
        <v>75</v>
      </c>
      <c r="B631" s="3" t="s">
        <v>98</v>
      </c>
      <c r="C631" s="3" t="s">
        <v>10</v>
      </c>
      <c r="D631" s="3" t="s">
        <v>3</v>
      </c>
      <c r="E631" s="3">
        <v>951</v>
      </c>
      <c r="G631" s="57"/>
    </row>
    <row r="632" spans="1:7" ht="12.75" x14ac:dyDescent="0.2">
      <c r="A632" s="3">
        <v>75</v>
      </c>
      <c r="B632" s="3" t="s">
        <v>98</v>
      </c>
      <c r="C632" s="3" t="s">
        <v>10</v>
      </c>
      <c r="D632" s="3" t="s">
        <v>14</v>
      </c>
      <c r="E632" s="3">
        <v>107</v>
      </c>
      <c r="F632">
        <f>SUM(E630:E632)</f>
        <v>2339</v>
      </c>
      <c r="G632" s="57"/>
    </row>
    <row r="633" spans="1:7" ht="12.75" x14ac:dyDescent="0.2">
      <c r="A633" s="3">
        <v>75</v>
      </c>
      <c r="B633" s="3" t="s">
        <v>98</v>
      </c>
      <c r="C633" s="3" t="s">
        <v>13</v>
      </c>
      <c r="D633" s="3" t="s">
        <v>279</v>
      </c>
      <c r="E633" s="3">
        <v>1237</v>
      </c>
      <c r="G633" s="57"/>
    </row>
    <row r="634" spans="1:7" ht="12.75" x14ac:dyDescent="0.2">
      <c r="A634" s="3">
        <v>75</v>
      </c>
      <c r="B634" s="3" t="s">
        <v>98</v>
      </c>
      <c r="C634" s="3" t="s">
        <v>13</v>
      </c>
      <c r="D634" s="3" t="s">
        <v>3</v>
      </c>
      <c r="E634" s="3">
        <v>971</v>
      </c>
      <c r="G634" s="57"/>
    </row>
    <row r="635" spans="1:7" ht="12.75" x14ac:dyDescent="0.2">
      <c r="A635" s="3">
        <v>75</v>
      </c>
      <c r="B635" s="3" t="s">
        <v>98</v>
      </c>
      <c r="C635" s="3" t="s">
        <v>13</v>
      </c>
      <c r="D635" s="3" t="s">
        <v>14</v>
      </c>
      <c r="E635" s="3">
        <v>128</v>
      </c>
      <c r="F635">
        <f>SUM(E633:E635)</f>
        <v>2336</v>
      </c>
      <c r="G635" s="57"/>
    </row>
    <row r="636" spans="1:7" ht="12.75" x14ac:dyDescent="0.2">
      <c r="A636" s="3">
        <v>76</v>
      </c>
      <c r="B636" s="3" t="s">
        <v>99</v>
      </c>
      <c r="C636" s="3" t="s">
        <v>15</v>
      </c>
      <c r="D636" s="3" t="s">
        <v>32</v>
      </c>
      <c r="E636" s="3">
        <v>126</v>
      </c>
      <c r="G636" s="56">
        <v>242</v>
      </c>
    </row>
    <row r="637" spans="1:7" ht="12.75" x14ac:dyDescent="0.2">
      <c r="A637" s="3">
        <v>76</v>
      </c>
      <c r="B637" s="3" t="s">
        <v>99</v>
      </c>
      <c r="C637" s="3" t="s">
        <v>15</v>
      </c>
      <c r="D637" s="3" t="s">
        <v>3</v>
      </c>
      <c r="E637" s="3">
        <v>104</v>
      </c>
      <c r="G637" s="57"/>
    </row>
    <row r="638" spans="1:7" ht="12.75" x14ac:dyDescent="0.2">
      <c r="A638" s="3">
        <v>76</v>
      </c>
      <c r="B638" s="3" t="s">
        <v>99</v>
      </c>
      <c r="C638" s="3" t="s">
        <v>15</v>
      </c>
      <c r="D638" s="3" t="s">
        <v>14</v>
      </c>
      <c r="E638" s="3">
        <v>12</v>
      </c>
      <c r="F638">
        <f>SUM(E636:E638)</f>
        <v>242</v>
      </c>
      <c r="G638" s="57"/>
    </row>
    <row r="639" spans="1:7" ht="12.75" x14ac:dyDescent="0.2">
      <c r="A639" s="3">
        <v>76</v>
      </c>
      <c r="B639" s="3" t="s">
        <v>99</v>
      </c>
      <c r="C639" s="3" t="s">
        <v>17</v>
      </c>
      <c r="D639" s="3" t="s">
        <v>32</v>
      </c>
      <c r="E639" s="3">
        <v>132</v>
      </c>
      <c r="G639" s="57"/>
    </row>
    <row r="640" spans="1:7" ht="12.75" x14ac:dyDescent="0.2">
      <c r="A640" s="3">
        <v>76</v>
      </c>
      <c r="B640" s="3" t="s">
        <v>99</v>
      </c>
      <c r="C640" s="3" t="s">
        <v>17</v>
      </c>
      <c r="D640" s="3" t="s">
        <v>3</v>
      </c>
      <c r="E640" s="3">
        <v>98</v>
      </c>
      <c r="G640" s="57"/>
    </row>
    <row r="641" spans="1:7" ht="12.75" x14ac:dyDescent="0.2">
      <c r="A641" s="3">
        <v>76</v>
      </c>
      <c r="B641" s="3" t="s">
        <v>99</v>
      </c>
      <c r="C641" s="3" t="s">
        <v>17</v>
      </c>
      <c r="D641" s="3" t="s">
        <v>14</v>
      </c>
      <c r="E641" s="3">
        <v>6</v>
      </c>
      <c r="F641">
        <f>SUM(E639:E641)</f>
        <v>236</v>
      </c>
      <c r="G641" s="57"/>
    </row>
    <row r="642" spans="1:7" ht="12.75" x14ac:dyDescent="0.2">
      <c r="A642" s="3">
        <v>77</v>
      </c>
      <c r="B642" s="3" t="s">
        <v>100</v>
      </c>
      <c r="C642" s="3" t="s">
        <v>2</v>
      </c>
      <c r="D642" s="3" t="s">
        <v>279</v>
      </c>
      <c r="E642" s="3">
        <v>534</v>
      </c>
      <c r="G642" s="56">
        <v>1066</v>
      </c>
    </row>
    <row r="643" spans="1:7" ht="12.75" x14ac:dyDescent="0.2">
      <c r="A643" s="3">
        <v>77</v>
      </c>
      <c r="B643" s="3" t="s">
        <v>100</v>
      </c>
      <c r="C643" s="3" t="s">
        <v>2</v>
      </c>
      <c r="D643" s="3" t="s">
        <v>3</v>
      </c>
      <c r="E643" s="3">
        <v>512</v>
      </c>
      <c r="G643" s="57"/>
    </row>
    <row r="644" spans="1:7" ht="12.75" x14ac:dyDescent="0.2">
      <c r="A644" s="3">
        <v>77</v>
      </c>
      <c r="B644" s="3" t="s">
        <v>100</v>
      </c>
      <c r="C644" s="3" t="s">
        <v>2</v>
      </c>
      <c r="D644" s="3" t="s">
        <v>14</v>
      </c>
      <c r="E644" s="3">
        <v>20</v>
      </c>
      <c r="F644">
        <f>SUM(E642:E644)</f>
        <v>1066</v>
      </c>
      <c r="G644" s="57"/>
    </row>
    <row r="645" spans="1:7" ht="12.75" x14ac:dyDescent="0.2">
      <c r="A645" s="3">
        <v>77</v>
      </c>
      <c r="B645" s="3" t="s">
        <v>100</v>
      </c>
      <c r="C645" s="3" t="s">
        <v>10</v>
      </c>
      <c r="D645" s="3" t="s">
        <v>279</v>
      </c>
      <c r="E645" s="3">
        <v>511</v>
      </c>
      <c r="G645" s="57"/>
    </row>
    <row r="646" spans="1:7" ht="12.75" x14ac:dyDescent="0.2">
      <c r="A646" s="3">
        <v>77</v>
      </c>
      <c r="B646" s="3" t="s">
        <v>100</v>
      </c>
      <c r="C646" s="3" t="s">
        <v>10</v>
      </c>
      <c r="D646" s="3" t="s">
        <v>3</v>
      </c>
      <c r="E646" s="3">
        <v>494</v>
      </c>
      <c r="G646" s="57"/>
    </row>
    <row r="647" spans="1:7" ht="12.75" x14ac:dyDescent="0.2">
      <c r="A647" s="3">
        <v>77</v>
      </c>
      <c r="B647" s="3" t="s">
        <v>100</v>
      </c>
      <c r="C647" s="3" t="s">
        <v>10</v>
      </c>
      <c r="D647" s="3" t="s">
        <v>14</v>
      </c>
      <c r="E647" s="3">
        <v>51</v>
      </c>
      <c r="F647">
        <f>SUM(E645:E647)</f>
        <v>1056</v>
      </c>
      <c r="G647" s="57"/>
    </row>
    <row r="648" spans="1:7" ht="12.75" x14ac:dyDescent="0.2">
      <c r="A648" s="3">
        <v>77</v>
      </c>
      <c r="B648" s="3" t="s">
        <v>100</v>
      </c>
      <c r="C648" s="3" t="s">
        <v>13</v>
      </c>
      <c r="D648" s="3" t="s">
        <v>279</v>
      </c>
      <c r="E648" s="3">
        <v>546</v>
      </c>
      <c r="G648" s="57"/>
    </row>
    <row r="649" spans="1:7" ht="12.75" x14ac:dyDescent="0.2">
      <c r="A649" s="3">
        <v>77</v>
      </c>
      <c r="B649" s="3" t="s">
        <v>100</v>
      </c>
      <c r="C649" s="3" t="s">
        <v>13</v>
      </c>
      <c r="D649" s="3" t="s">
        <v>3</v>
      </c>
      <c r="E649" s="3">
        <v>469</v>
      </c>
      <c r="G649" s="57"/>
    </row>
    <row r="650" spans="1:7" ht="12.75" x14ac:dyDescent="0.2">
      <c r="A650" s="3">
        <v>77</v>
      </c>
      <c r="B650" s="3" t="s">
        <v>100</v>
      </c>
      <c r="C650" s="3" t="s">
        <v>13</v>
      </c>
      <c r="D650" s="3" t="s">
        <v>14</v>
      </c>
      <c r="E650" s="3">
        <v>38</v>
      </c>
      <c r="F650">
        <f>SUM(E648:E650)</f>
        <v>1053</v>
      </c>
      <c r="G650" s="57"/>
    </row>
    <row r="651" spans="1:7" ht="12.75" x14ac:dyDescent="0.2">
      <c r="A651" s="3">
        <v>78</v>
      </c>
      <c r="B651" s="3" t="s">
        <v>101</v>
      </c>
      <c r="C651" s="3" t="s">
        <v>15</v>
      </c>
      <c r="D651" s="3" t="s">
        <v>279</v>
      </c>
      <c r="E651" s="3">
        <v>111</v>
      </c>
      <c r="G651" s="56">
        <v>210</v>
      </c>
    </row>
    <row r="652" spans="1:7" ht="12.75" x14ac:dyDescent="0.2">
      <c r="A652" s="3">
        <v>78</v>
      </c>
      <c r="B652" s="3" t="s">
        <v>101</v>
      </c>
      <c r="C652" s="3" t="s">
        <v>15</v>
      </c>
      <c r="D652" s="3" t="s">
        <v>3</v>
      </c>
      <c r="E652" s="3">
        <v>96</v>
      </c>
      <c r="G652" s="57"/>
    </row>
    <row r="653" spans="1:7" ht="12.75" x14ac:dyDescent="0.2">
      <c r="A653" s="3">
        <v>78</v>
      </c>
      <c r="B653" s="3" t="s">
        <v>101</v>
      </c>
      <c r="C653" s="3" t="s">
        <v>15</v>
      </c>
      <c r="D653" s="3" t="s">
        <v>14</v>
      </c>
      <c r="E653" s="3">
        <v>3</v>
      </c>
      <c r="F653">
        <f>SUM(E651:E653)</f>
        <v>210</v>
      </c>
      <c r="G653" s="57"/>
    </row>
    <row r="654" spans="1:7" ht="12.75" x14ac:dyDescent="0.2">
      <c r="A654" s="3">
        <v>78</v>
      </c>
      <c r="B654" s="3" t="s">
        <v>101</v>
      </c>
      <c r="C654" s="3" t="s">
        <v>17</v>
      </c>
      <c r="D654" s="3" t="s">
        <v>279</v>
      </c>
      <c r="E654" s="3">
        <v>112</v>
      </c>
      <c r="G654" s="57"/>
    </row>
    <row r="655" spans="1:7" ht="12.75" x14ac:dyDescent="0.2">
      <c r="A655" s="3">
        <v>78</v>
      </c>
      <c r="B655" s="3" t="s">
        <v>101</v>
      </c>
      <c r="C655" s="3" t="s">
        <v>17</v>
      </c>
      <c r="D655" s="3" t="s">
        <v>3</v>
      </c>
      <c r="E655" s="3">
        <v>92</v>
      </c>
      <c r="G655" s="57"/>
    </row>
    <row r="656" spans="1:7" ht="12.75" x14ac:dyDescent="0.2">
      <c r="A656" s="3">
        <v>78</v>
      </c>
      <c r="B656" s="3" t="s">
        <v>101</v>
      </c>
      <c r="C656" s="3" t="s">
        <v>17</v>
      </c>
      <c r="D656" s="3" t="s">
        <v>14</v>
      </c>
      <c r="E656" s="3">
        <v>6</v>
      </c>
      <c r="F656">
        <f>SUM(E654:E656)</f>
        <v>210</v>
      </c>
      <c r="G656" s="57"/>
    </row>
    <row r="657" spans="1:7" ht="12.75" x14ac:dyDescent="0.2">
      <c r="A657" s="3">
        <v>79</v>
      </c>
      <c r="B657" s="3" t="s">
        <v>102</v>
      </c>
      <c r="C657" s="3" t="s">
        <v>2</v>
      </c>
      <c r="D657" s="3" t="s">
        <v>279</v>
      </c>
      <c r="E657" s="3">
        <v>379</v>
      </c>
      <c r="G657" s="56">
        <v>1005</v>
      </c>
    </row>
    <row r="658" spans="1:7" ht="12.75" x14ac:dyDescent="0.2">
      <c r="A658" s="3">
        <v>79</v>
      </c>
      <c r="B658" s="3" t="s">
        <v>102</v>
      </c>
      <c r="C658" s="3" t="s">
        <v>2</v>
      </c>
      <c r="D658" s="3" t="s">
        <v>283</v>
      </c>
      <c r="E658" s="3">
        <v>107</v>
      </c>
      <c r="G658" s="57"/>
    </row>
    <row r="659" spans="1:7" ht="12.75" x14ac:dyDescent="0.2">
      <c r="A659" s="3">
        <v>79</v>
      </c>
      <c r="B659" s="3" t="s">
        <v>102</v>
      </c>
      <c r="C659" s="3" t="s">
        <v>2</v>
      </c>
      <c r="D659" s="3" t="s">
        <v>282</v>
      </c>
      <c r="E659" s="3">
        <v>130</v>
      </c>
      <c r="G659" s="57"/>
    </row>
    <row r="660" spans="1:7" ht="12.75" x14ac:dyDescent="0.2">
      <c r="A660" s="3">
        <v>79</v>
      </c>
      <c r="B660" s="3" t="s">
        <v>102</v>
      </c>
      <c r="C660" s="3" t="s">
        <v>2</v>
      </c>
      <c r="D660" s="3" t="s">
        <v>3</v>
      </c>
      <c r="E660" s="3">
        <v>349</v>
      </c>
      <c r="G660" s="57"/>
    </row>
    <row r="661" spans="1:7" ht="12.75" x14ac:dyDescent="0.2">
      <c r="A661" s="3">
        <v>79</v>
      </c>
      <c r="B661" s="3" t="s">
        <v>102</v>
      </c>
      <c r="C661" s="3" t="s">
        <v>2</v>
      </c>
      <c r="D661" s="3" t="s">
        <v>14</v>
      </c>
      <c r="E661" s="3">
        <v>40</v>
      </c>
      <c r="F661">
        <f>SUM(E657:E661)</f>
        <v>1005</v>
      </c>
      <c r="G661" s="57"/>
    </row>
    <row r="662" spans="1:7" ht="12.75" x14ac:dyDescent="0.2">
      <c r="A662" s="3">
        <v>79</v>
      </c>
      <c r="B662" s="3" t="s">
        <v>102</v>
      </c>
      <c r="C662" s="3" t="s">
        <v>10</v>
      </c>
      <c r="D662" s="3" t="s">
        <v>279</v>
      </c>
      <c r="E662" s="3">
        <v>363</v>
      </c>
      <c r="G662" s="57"/>
    </row>
    <row r="663" spans="1:7" ht="12.75" x14ac:dyDescent="0.2">
      <c r="A663" s="3">
        <v>79</v>
      </c>
      <c r="B663" s="3" t="s">
        <v>102</v>
      </c>
      <c r="C663" s="3" t="s">
        <v>10</v>
      </c>
      <c r="D663" s="3" t="s">
        <v>283</v>
      </c>
      <c r="E663" s="3">
        <v>121</v>
      </c>
      <c r="G663" s="57"/>
    </row>
    <row r="664" spans="1:7" ht="12.75" x14ac:dyDescent="0.2">
      <c r="A664" s="3">
        <v>79</v>
      </c>
      <c r="B664" s="3" t="s">
        <v>102</v>
      </c>
      <c r="C664" s="3" t="s">
        <v>10</v>
      </c>
      <c r="D664" s="3" t="s">
        <v>282</v>
      </c>
      <c r="E664" s="3">
        <v>120</v>
      </c>
      <c r="G664" s="57"/>
    </row>
    <row r="665" spans="1:7" ht="12.75" x14ac:dyDescent="0.2">
      <c r="A665" s="3">
        <v>79</v>
      </c>
      <c r="B665" s="3" t="s">
        <v>102</v>
      </c>
      <c r="C665" s="3" t="s">
        <v>10</v>
      </c>
      <c r="D665" s="3" t="s">
        <v>3</v>
      </c>
      <c r="E665" s="3">
        <v>333</v>
      </c>
      <c r="G665" s="57"/>
    </row>
    <row r="666" spans="1:7" ht="12.75" x14ac:dyDescent="0.2">
      <c r="A666" s="3">
        <v>79</v>
      </c>
      <c r="B666" s="3" t="s">
        <v>102</v>
      </c>
      <c r="C666" s="3" t="s">
        <v>10</v>
      </c>
      <c r="D666" s="3" t="s">
        <v>14</v>
      </c>
      <c r="E666" s="3">
        <v>68</v>
      </c>
      <c r="F666">
        <f>SUM(E662:E666)</f>
        <v>1005</v>
      </c>
      <c r="G666" s="57"/>
    </row>
    <row r="667" spans="1:7" ht="12.75" x14ac:dyDescent="0.2">
      <c r="A667" s="3">
        <v>79</v>
      </c>
      <c r="B667" s="3" t="s">
        <v>102</v>
      </c>
      <c r="C667" s="3" t="s">
        <v>13</v>
      </c>
      <c r="D667" s="3" t="s">
        <v>279</v>
      </c>
      <c r="E667" s="3">
        <v>351</v>
      </c>
      <c r="G667" s="57"/>
    </row>
    <row r="668" spans="1:7" ht="12.75" x14ac:dyDescent="0.2">
      <c r="A668" s="3">
        <v>79</v>
      </c>
      <c r="B668" s="3" t="s">
        <v>102</v>
      </c>
      <c r="C668" s="3" t="s">
        <v>13</v>
      </c>
      <c r="D668" s="3" t="s">
        <v>283</v>
      </c>
      <c r="E668" s="3">
        <v>137</v>
      </c>
      <c r="G668" s="57"/>
    </row>
    <row r="669" spans="1:7" ht="12.75" x14ac:dyDescent="0.2">
      <c r="A669" s="3">
        <v>79</v>
      </c>
      <c r="B669" s="3" t="s">
        <v>102</v>
      </c>
      <c r="C669" s="3" t="s">
        <v>13</v>
      </c>
      <c r="D669" s="3" t="s">
        <v>282</v>
      </c>
      <c r="E669" s="3">
        <v>104</v>
      </c>
      <c r="G669" s="57"/>
    </row>
    <row r="670" spans="1:7" ht="12.75" x14ac:dyDescent="0.2">
      <c r="A670" s="3">
        <v>79</v>
      </c>
      <c r="B670" s="3" t="s">
        <v>102</v>
      </c>
      <c r="C670" s="3" t="s">
        <v>13</v>
      </c>
      <c r="D670" s="3" t="s">
        <v>3</v>
      </c>
      <c r="E670" s="3">
        <v>361</v>
      </c>
      <c r="G670" s="57"/>
    </row>
    <row r="671" spans="1:7" ht="12.75" x14ac:dyDescent="0.2">
      <c r="A671" s="3">
        <v>79</v>
      </c>
      <c r="B671" s="3" t="s">
        <v>102</v>
      </c>
      <c r="C671" s="3" t="s">
        <v>13</v>
      </c>
      <c r="D671" s="3" t="s">
        <v>14</v>
      </c>
      <c r="E671" s="3">
        <v>52</v>
      </c>
      <c r="F671">
        <f>SUM(E667:E671)</f>
        <v>1005</v>
      </c>
      <c r="G671" s="57"/>
    </row>
    <row r="672" spans="1:7" ht="12.75" x14ac:dyDescent="0.2">
      <c r="A672" s="3">
        <v>80</v>
      </c>
      <c r="B672" s="3" t="s">
        <v>103</v>
      </c>
      <c r="C672" s="3" t="s">
        <v>15</v>
      </c>
      <c r="D672" s="3" t="s">
        <v>33</v>
      </c>
      <c r="E672" s="3">
        <v>87</v>
      </c>
      <c r="G672" s="56">
        <v>124</v>
      </c>
    </row>
    <row r="673" spans="1:7" ht="12.75" x14ac:dyDescent="0.2">
      <c r="A673" s="3">
        <v>80</v>
      </c>
      <c r="B673" s="3" t="s">
        <v>103</v>
      </c>
      <c r="C673" s="3" t="s">
        <v>15</v>
      </c>
      <c r="D673" s="3" t="s">
        <v>14</v>
      </c>
      <c r="E673" s="3">
        <v>37</v>
      </c>
      <c r="F673">
        <f>SUM(E672:E673)</f>
        <v>124</v>
      </c>
      <c r="G673" s="57"/>
    </row>
    <row r="674" spans="1:7" ht="12.75" x14ac:dyDescent="0.2">
      <c r="A674" s="3">
        <v>80</v>
      </c>
      <c r="B674" s="3" t="s">
        <v>103</v>
      </c>
      <c r="C674" s="3" t="s">
        <v>17</v>
      </c>
      <c r="D674" s="3" t="s">
        <v>33</v>
      </c>
      <c r="E674" s="3">
        <v>87</v>
      </c>
      <c r="G674" s="57"/>
    </row>
    <row r="675" spans="1:7" ht="12.75" x14ac:dyDescent="0.2">
      <c r="A675" s="3">
        <v>80</v>
      </c>
      <c r="B675" s="3" t="s">
        <v>103</v>
      </c>
      <c r="C675" s="3" t="s">
        <v>17</v>
      </c>
      <c r="D675" s="3" t="s">
        <v>14</v>
      </c>
      <c r="E675" s="3">
        <v>37</v>
      </c>
      <c r="F675">
        <f>SUM(E674:E675)</f>
        <v>124</v>
      </c>
      <c r="G675" s="57"/>
    </row>
    <row r="676" spans="1:7" ht="12.75" x14ac:dyDescent="0.2">
      <c r="A676" s="3">
        <v>81</v>
      </c>
      <c r="B676" s="3" t="s">
        <v>104</v>
      </c>
      <c r="C676" s="3" t="s">
        <v>2</v>
      </c>
      <c r="D676" s="3" t="s">
        <v>279</v>
      </c>
      <c r="E676" s="3">
        <v>241</v>
      </c>
      <c r="G676" s="56">
        <v>2944</v>
      </c>
    </row>
    <row r="677" spans="1:7" ht="12.75" x14ac:dyDescent="0.2">
      <c r="A677" s="3">
        <v>81</v>
      </c>
      <c r="B677" s="3" t="s">
        <v>104</v>
      </c>
      <c r="C677" s="3" t="s">
        <v>2</v>
      </c>
      <c r="D677" s="3" t="s">
        <v>283</v>
      </c>
      <c r="E677" s="3">
        <v>450</v>
      </c>
      <c r="G677" s="57"/>
    </row>
    <row r="678" spans="1:7" ht="12.75" x14ac:dyDescent="0.2">
      <c r="A678" s="3">
        <v>81</v>
      </c>
      <c r="B678" s="3" t="s">
        <v>104</v>
      </c>
      <c r="C678" s="3" t="s">
        <v>2</v>
      </c>
      <c r="D678" s="3" t="s">
        <v>282</v>
      </c>
      <c r="E678" s="3">
        <v>690</v>
      </c>
      <c r="G678" s="57"/>
    </row>
    <row r="679" spans="1:7" ht="12.75" x14ac:dyDescent="0.2">
      <c r="A679" s="3">
        <v>81</v>
      </c>
      <c r="B679" s="3" t="s">
        <v>104</v>
      </c>
      <c r="C679" s="3" t="s">
        <v>2</v>
      </c>
      <c r="D679" s="3" t="s">
        <v>3</v>
      </c>
      <c r="E679" s="3">
        <v>1453</v>
      </c>
      <c r="G679" s="57"/>
    </row>
    <row r="680" spans="1:7" ht="12.75" x14ac:dyDescent="0.2">
      <c r="A680" s="3">
        <v>81</v>
      </c>
      <c r="B680" s="3" t="s">
        <v>104</v>
      </c>
      <c r="C680" s="3" t="s">
        <v>2</v>
      </c>
      <c r="D680" s="3" t="s">
        <v>14</v>
      </c>
      <c r="E680" s="3">
        <v>96</v>
      </c>
      <c r="F680">
        <f>SUM(E676:E680)</f>
        <v>2930</v>
      </c>
      <c r="G680" s="57"/>
    </row>
    <row r="681" spans="1:7" ht="12.75" x14ac:dyDescent="0.2">
      <c r="A681" s="3">
        <v>81</v>
      </c>
      <c r="B681" s="3" t="s">
        <v>104</v>
      </c>
      <c r="C681" s="3" t="s">
        <v>10</v>
      </c>
      <c r="D681" s="3" t="s">
        <v>279</v>
      </c>
      <c r="E681" s="3">
        <v>241</v>
      </c>
      <c r="G681" s="57"/>
    </row>
    <row r="682" spans="1:7" ht="12.75" x14ac:dyDescent="0.2">
      <c r="A682" s="3">
        <v>81</v>
      </c>
      <c r="B682" s="3" t="s">
        <v>104</v>
      </c>
      <c r="C682" s="3" t="s">
        <v>10</v>
      </c>
      <c r="D682" s="3" t="s">
        <v>283</v>
      </c>
      <c r="E682" s="3">
        <v>365</v>
      </c>
      <c r="G682" s="57"/>
    </row>
    <row r="683" spans="1:7" ht="12.75" x14ac:dyDescent="0.2">
      <c r="A683" s="3">
        <v>81</v>
      </c>
      <c r="B683" s="3" t="s">
        <v>104</v>
      </c>
      <c r="C683" s="3" t="s">
        <v>10</v>
      </c>
      <c r="D683" s="3" t="s">
        <v>282</v>
      </c>
      <c r="E683" s="3">
        <v>859</v>
      </c>
      <c r="G683" s="57"/>
    </row>
    <row r="684" spans="1:7" ht="12.75" x14ac:dyDescent="0.2">
      <c r="A684" s="3">
        <v>81</v>
      </c>
      <c r="B684" s="3" t="s">
        <v>104</v>
      </c>
      <c r="C684" s="3" t="s">
        <v>10</v>
      </c>
      <c r="D684" s="3" t="s">
        <v>3</v>
      </c>
      <c r="E684" s="3">
        <v>1300</v>
      </c>
      <c r="G684" s="57"/>
    </row>
    <row r="685" spans="1:7" ht="12.75" x14ac:dyDescent="0.2">
      <c r="A685" s="3">
        <v>81</v>
      </c>
      <c r="B685" s="3" t="s">
        <v>104</v>
      </c>
      <c r="C685" s="3" t="s">
        <v>10</v>
      </c>
      <c r="D685" s="3" t="s">
        <v>14</v>
      </c>
      <c r="E685" s="3">
        <v>161</v>
      </c>
      <c r="F685">
        <f>SUM(E681:E685)</f>
        <v>2926</v>
      </c>
      <c r="G685" s="57"/>
    </row>
    <row r="686" spans="1:7" ht="12.75" x14ac:dyDescent="0.2">
      <c r="A686" s="3">
        <v>81</v>
      </c>
      <c r="B686" s="3" t="s">
        <v>104</v>
      </c>
      <c r="C686" s="3" t="s">
        <v>13</v>
      </c>
      <c r="D686" s="3" t="s">
        <v>279</v>
      </c>
      <c r="E686" s="3">
        <v>263</v>
      </c>
      <c r="G686" s="57"/>
    </row>
    <row r="687" spans="1:7" ht="12.75" x14ac:dyDescent="0.2">
      <c r="A687" s="3">
        <v>81</v>
      </c>
      <c r="B687" s="3" t="s">
        <v>104</v>
      </c>
      <c r="C687" s="3" t="s">
        <v>13</v>
      </c>
      <c r="D687" s="3" t="s">
        <v>283</v>
      </c>
      <c r="E687" s="3">
        <v>328</v>
      </c>
      <c r="G687" s="57"/>
    </row>
    <row r="688" spans="1:7" ht="12.75" x14ac:dyDescent="0.2">
      <c r="A688" s="3">
        <v>81</v>
      </c>
      <c r="B688" s="3" t="s">
        <v>104</v>
      </c>
      <c r="C688" s="3" t="s">
        <v>13</v>
      </c>
      <c r="D688" s="3" t="s">
        <v>282</v>
      </c>
      <c r="E688" s="3">
        <v>941</v>
      </c>
      <c r="G688" s="57"/>
    </row>
    <row r="689" spans="1:7" ht="12.75" x14ac:dyDescent="0.2">
      <c r="A689" s="3">
        <v>81</v>
      </c>
      <c r="B689" s="3" t="s">
        <v>104</v>
      </c>
      <c r="C689" s="3" t="s">
        <v>13</v>
      </c>
      <c r="D689" s="3" t="s">
        <v>3</v>
      </c>
      <c r="E689" s="3">
        <v>1193</v>
      </c>
      <c r="G689" s="57"/>
    </row>
    <row r="690" spans="1:7" ht="12.75" x14ac:dyDescent="0.2">
      <c r="A690" s="3">
        <v>81</v>
      </c>
      <c r="B690" s="3" t="s">
        <v>104</v>
      </c>
      <c r="C690" s="3" t="s">
        <v>13</v>
      </c>
      <c r="D690" s="3" t="s">
        <v>14</v>
      </c>
      <c r="E690" s="3">
        <v>178</v>
      </c>
      <c r="F690">
        <f>SUM(E686:E690)</f>
        <v>2903</v>
      </c>
      <c r="G690" s="57"/>
    </row>
    <row r="691" spans="1:7" ht="12.75" x14ac:dyDescent="0.2">
      <c r="A691" s="3">
        <v>82</v>
      </c>
      <c r="B691" s="3" t="s">
        <v>105</v>
      </c>
      <c r="C691" s="3" t="s">
        <v>2</v>
      </c>
      <c r="D691" s="3" t="s">
        <v>289</v>
      </c>
      <c r="E691" s="3">
        <v>138</v>
      </c>
      <c r="G691" s="56">
        <v>4450</v>
      </c>
    </row>
    <row r="692" spans="1:7" ht="12.75" x14ac:dyDescent="0.2">
      <c r="A692" s="3">
        <v>82</v>
      </c>
      <c r="B692" s="3" t="s">
        <v>105</v>
      </c>
      <c r="C692" s="3" t="s">
        <v>2</v>
      </c>
      <c r="D692" s="3" t="s">
        <v>279</v>
      </c>
      <c r="E692" s="3">
        <v>1391</v>
      </c>
      <c r="G692" s="57"/>
    </row>
    <row r="693" spans="1:7" ht="12.75" x14ac:dyDescent="0.2">
      <c r="A693" s="3">
        <v>82</v>
      </c>
      <c r="B693" s="3" t="s">
        <v>105</v>
      </c>
      <c r="C693" s="3" t="s">
        <v>2</v>
      </c>
      <c r="D693" s="3" t="s">
        <v>306</v>
      </c>
      <c r="E693" s="3">
        <v>767</v>
      </c>
      <c r="G693" s="57"/>
    </row>
    <row r="694" spans="1:7" ht="12.75" x14ac:dyDescent="0.2">
      <c r="A694" s="3">
        <v>82</v>
      </c>
      <c r="B694" s="3" t="s">
        <v>105</v>
      </c>
      <c r="C694" s="3" t="s">
        <v>2</v>
      </c>
      <c r="D694" s="3" t="s">
        <v>3</v>
      </c>
      <c r="E694" s="3">
        <v>1906</v>
      </c>
      <c r="G694" s="57"/>
    </row>
    <row r="695" spans="1:7" ht="12.75" x14ac:dyDescent="0.2">
      <c r="A695" s="3">
        <v>82</v>
      </c>
      <c r="B695" s="3" t="s">
        <v>105</v>
      </c>
      <c r="C695" s="3" t="s">
        <v>2</v>
      </c>
      <c r="D695" s="3" t="s">
        <v>149</v>
      </c>
      <c r="E695" s="3">
        <v>56</v>
      </c>
      <c r="G695" s="57"/>
    </row>
    <row r="696" spans="1:7" ht="12.75" x14ac:dyDescent="0.2">
      <c r="A696" s="3">
        <v>82</v>
      </c>
      <c r="B696" s="3" t="s">
        <v>105</v>
      </c>
      <c r="C696" s="3" t="s">
        <v>2</v>
      </c>
      <c r="D696" s="3" t="s">
        <v>14</v>
      </c>
      <c r="E696" s="3">
        <v>171</v>
      </c>
      <c r="F696">
        <f>SUM(E691:E696)</f>
        <v>4429</v>
      </c>
      <c r="G696" s="57"/>
    </row>
    <row r="697" spans="1:7" ht="12.75" x14ac:dyDescent="0.2">
      <c r="A697" s="3">
        <v>82</v>
      </c>
      <c r="B697" s="3" t="s">
        <v>105</v>
      </c>
      <c r="C697" s="3" t="s">
        <v>10</v>
      </c>
      <c r="D697" s="3" t="s">
        <v>289</v>
      </c>
      <c r="E697" s="3">
        <v>131</v>
      </c>
      <c r="G697" s="57"/>
    </row>
    <row r="698" spans="1:7" ht="12.75" x14ac:dyDescent="0.2">
      <c r="A698" s="3">
        <v>82</v>
      </c>
      <c r="B698" s="3" t="s">
        <v>105</v>
      </c>
      <c r="C698" s="3" t="s">
        <v>10</v>
      </c>
      <c r="D698" s="3" t="s">
        <v>279</v>
      </c>
      <c r="E698" s="3">
        <v>1461</v>
      </c>
      <c r="G698" s="57"/>
    </row>
    <row r="699" spans="1:7" ht="12.75" x14ac:dyDescent="0.2">
      <c r="A699" s="3">
        <v>82</v>
      </c>
      <c r="B699" s="3" t="s">
        <v>105</v>
      </c>
      <c r="C699" s="3" t="s">
        <v>10</v>
      </c>
      <c r="D699" s="3" t="s">
        <v>306</v>
      </c>
      <c r="E699" s="3">
        <v>694</v>
      </c>
      <c r="G699" s="57"/>
    </row>
    <row r="700" spans="1:7" ht="12.75" x14ac:dyDescent="0.2">
      <c r="A700" s="3">
        <v>82</v>
      </c>
      <c r="B700" s="3" t="s">
        <v>105</v>
      </c>
      <c r="C700" s="3" t="s">
        <v>10</v>
      </c>
      <c r="D700" s="3" t="s">
        <v>3</v>
      </c>
      <c r="E700" s="3">
        <v>1817</v>
      </c>
      <c r="G700" s="57"/>
    </row>
    <row r="701" spans="1:7" ht="12.75" x14ac:dyDescent="0.2">
      <c r="A701" s="3">
        <v>82</v>
      </c>
      <c r="B701" s="3" t="s">
        <v>105</v>
      </c>
      <c r="C701" s="3" t="s">
        <v>10</v>
      </c>
      <c r="D701" s="3" t="s">
        <v>149</v>
      </c>
      <c r="E701" s="3">
        <v>69</v>
      </c>
      <c r="G701" s="57"/>
    </row>
    <row r="702" spans="1:7" ht="12.75" x14ac:dyDescent="0.2">
      <c r="A702" s="3">
        <v>82</v>
      </c>
      <c r="B702" s="3" t="s">
        <v>105</v>
      </c>
      <c r="C702" s="3" t="s">
        <v>10</v>
      </c>
      <c r="D702" s="3" t="s">
        <v>14</v>
      </c>
      <c r="E702" s="3">
        <v>254</v>
      </c>
      <c r="F702">
        <f>SUM(E697:E702)</f>
        <v>4426</v>
      </c>
      <c r="G702" s="57"/>
    </row>
    <row r="703" spans="1:7" ht="12.75" x14ac:dyDescent="0.2">
      <c r="A703" s="3">
        <v>82</v>
      </c>
      <c r="B703" s="3" t="s">
        <v>105</v>
      </c>
      <c r="C703" s="3" t="s">
        <v>13</v>
      </c>
      <c r="D703" s="3" t="s">
        <v>289</v>
      </c>
      <c r="E703" s="3">
        <v>115</v>
      </c>
      <c r="G703" s="57"/>
    </row>
    <row r="704" spans="1:7" ht="12.75" x14ac:dyDescent="0.2">
      <c r="A704" s="3">
        <v>82</v>
      </c>
      <c r="B704" s="3" t="s">
        <v>105</v>
      </c>
      <c r="C704" s="3" t="s">
        <v>13</v>
      </c>
      <c r="D704" s="3" t="s">
        <v>279</v>
      </c>
      <c r="E704" s="3">
        <v>1365</v>
      </c>
      <c r="G704" s="57"/>
    </row>
    <row r="705" spans="1:7" ht="12.75" x14ac:dyDescent="0.2">
      <c r="A705" s="3">
        <v>82</v>
      </c>
      <c r="B705" s="3" t="s">
        <v>105</v>
      </c>
      <c r="C705" s="3" t="s">
        <v>13</v>
      </c>
      <c r="D705" s="3" t="s">
        <v>306</v>
      </c>
      <c r="E705" s="3">
        <v>624</v>
      </c>
      <c r="G705" s="57"/>
    </row>
    <row r="706" spans="1:7" ht="12.75" x14ac:dyDescent="0.2">
      <c r="A706" s="3">
        <v>82</v>
      </c>
      <c r="B706" s="3" t="s">
        <v>105</v>
      </c>
      <c r="C706" s="3" t="s">
        <v>13</v>
      </c>
      <c r="D706" s="3" t="s">
        <v>3</v>
      </c>
      <c r="E706" s="3">
        <v>2055</v>
      </c>
      <c r="G706" s="57"/>
    </row>
    <row r="707" spans="1:7" ht="12.75" x14ac:dyDescent="0.2">
      <c r="A707" s="3">
        <v>82</v>
      </c>
      <c r="B707" s="3" t="s">
        <v>105</v>
      </c>
      <c r="C707" s="3" t="s">
        <v>13</v>
      </c>
      <c r="D707" s="3" t="s">
        <v>14</v>
      </c>
      <c r="E707" s="3">
        <v>261</v>
      </c>
      <c r="F707">
        <f>SUM(E703:E707)</f>
        <v>4420</v>
      </c>
      <c r="G707" s="57"/>
    </row>
    <row r="708" spans="1:7" ht="12.75" x14ac:dyDescent="0.2">
      <c r="A708" s="3">
        <v>86</v>
      </c>
      <c r="B708" s="3" t="s">
        <v>106</v>
      </c>
      <c r="C708" s="3" t="s">
        <v>2</v>
      </c>
      <c r="D708" s="3" t="s">
        <v>318</v>
      </c>
      <c r="E708" s="3">
        <v>382</v>
      </c>
      <c r="G708" s="56">
        <v>5110</v>
      </c>
    </row>
    <row r="709" spans="1:7" ht="12.75" x14ac:dyDescent="0.2">
      <c r="A709" s="3">
        <v>86</v>
      </c>
      <c r="B709" s="3" t="s">
        <v>106</v>
      </c>
      <c r="C709" s="3" t="s">
        <v>2</v>
      </c>
      <c r="D709" s="3" t="s">
        <v>279</v>
      </c>
      <c r="E709" s="3">
        <v>1496</v>
      </c>
      <c r="G709" s="57"/>
    </row>
    <row r="710" spans="1:7" ht="12.75" x14ac:dyDescent="0.2">
      <c r="A710" s="3">
        <v>86</v>
      </c>
      <c r="B710" s="3" t="s">
        <v>106</v>
      </c>
      <c r="C710" s="3" t="s">
        <v>2</v>
      </c>
      <c r="D710" s="3" t="s">
        <v>283</v>
      </c>
      <c r="E710" s="3">
        <v>717</v>
      </c>
      <c r="G710" s="57"/>
    </row>
    <row r="711" spans="1:7" ht="12.75" x14ac:dyDescent="0.2">
      <c r="A711" s="3">
        <v>86</v>
      </c>
      <c r="B711" s="3" t="s">
        <v>106</v>
      </c>
      <c r="C711" s="3" t="s">
        <v>2</v>
      </c>
      <c r="D711" s="3" t="s">
        <v>3</v>
      </c>
      <c r="E711" s="3">
        <v>1947</v>
      </c>
      <c r="G711" s="57"/>
    </row>
    <row r="712" spans="1:7" ht="12.75" x14ac:dyDescent="0.2">
      <c r="A712" s="3">
        <v>86</v>
      </c>
      <c r="B712" s="3" t="s">
        <v>106</v>
      </c>
      <c r="C712" s="3" t="s">
        <v>2</v>
      </c>
      <c r="D712" s="3" t="s">
        <v>149</v>
      </c>
      <c r="E712" s="3">
        <v>144</v>
      </c>
      <c r="G712" s="57"/>
    </row>
    <row r="713" spans="1:7" ht="12.75" x14ac:dyDescent="0.2">
      <c r="A713" s="3">
        <v>86</v>
      </c>
      <c r="B713" s="3" t="s">
        <v>106</v>
      </c>
      <c r="C713" s="3" t="s">
        <v>2</v>
      </c>
      <c r="D713" s="3" t="s">
        <v>14</v>
      </c>
      <c r="E713" s="3">
        <v>376</v>
      </c>
      <c r="F713">
        <f>SUM(E708:E713)</f>
        <v>5062</v>
      </c>
      <c r="G713" s="57"/>
    </row>
    <row r="714" spans="1:7" ht="12.75" x14ac:dyDescent="0.2">
      <c r="A714" s="3">
        <v>86</v>
      </c>
      <c r="B714" s="3" t="s">
        <v>106</v>
      </c>
      <c r="C714" s="3" t="s">
        <v>10</v>
      </c>
      <c r="D714" s="3" t="s">
        <v>318</v>
      </c>
      <c r="E714" s="3">
        <v>348</v>
      </c>
      <c r="G714" s="57"/>
    </row>
    <row r="715" spans="1:7" ht="12.75" x14ac:dyDescent="0.2">
      <c r="A715" s="3">
        <v>86</v>
      </c>
      <c r="B715" s="3" t="s">
        <v>106</v>
      </c>
      <c r="C715" s="3" t="s">
        <v>10</v>
      </c>
      <c r="D715" s="3" t="s">
        <v>279</v>
      </c>
      <c r="E715" s="3">
        <v>1485</v>
      </c>
      <c r="G715" s="57"/>
    </row>
    <row r="716" spans="1:7" ht="12.75" x14ac:dyDescent="0.2">
      <c r="A716" s="3">
        <v>86</v>
      </c>
      <c r="B716" s="3" t="s">
        <v>106</v>
      </c>
      <c r="C716" s="3" t="s">
        <v>10</v>
      </c>
      <c r="D716" s="3" t="s">
        <v>283</v>
      </c>
      <c r="E716" s="3">
        <v>710</v>
      </c>
      <c r="G716" s="57"/>
    </row>
    <row r="717" spans="1:7" ht="12.75" x14ac:dyDescent="0.2">
      <c r="A717" s="3">
        <v>86</v>
      </c>
      <c r="B717" s="3" t="s">
        <v>106</v>
      </c>
      <c r="C717" s="3" t="s">
        <v>10</v>
      </c>
      <c r="D717" s="3" t="s">
        <v>3</v>
      </c>
      <c r="E717" s="3">
        <v>1888</v>
      </c>
      <c r="G717" s="57"/>
    </row>
    <row r="718" spans="1:7" ht="12.75" x14ac:dyDescent="0.2">
      <c r="A718" s="3">
        <v>86</v>
      </c>
      <c r="B718" s="3" t="s">
        <v>106</v>
      </c>
      <c r="C718" s="3" t="s">
        <v>10</v>
      </c>
      <c r="D718" s="3" t="s">
        <v>149</v>
      </c>
      <c r="E718" s="3">
        <v>149</v>
      </c>
      <c r="G718" s="57"/>
    </row>
    <row r="719" spans="1:7" ht="12.75" x14ac:dyDescent="0.2">
      <c r="A719" s="3">
        <v>86</v>
      </c>
      <c r="B719" s="3" t="s">
        <v>106</v>
      </c>
      <c r="C719" s="3" t="s">
        <v>10</v>
      </c>
      <c r="D719" s="3" t="s">
        <v>14</v>
      </c>
      <c r="E719" s="3">
        <v>429</v>
      </c>
      <c r="F719">
        <f>SUM(E714:E719)</f>
        <v>5009</v>
      </c>
      <c r="G719" s="57"/>
    </row>
    <row r="720" spans="1:7" ht="12.75" x14ac:dyDescent="0.2">
      <c r="A720" s="3">
        <v>86</v>
      </c>
      <c r="B720" s="3" t="s">
        <v>106</v>
      </c>
      <c r="C720" s="3" t="s">
        <v>13</v>
      </c>
      <c r="D720" s="3" t="s">
        <v>318</v>
      </c>
      <c r="E720" s="3">
        <v>304</v>
      </c>
      <c r="G720" s="57"/>
    </row>
    <row r="721" spans="1:7" ht="12.75" x14ac:dyDescent="0.2">
      <c r="A721" s="3">
        <v>86</v>
      </c>
      <c r="B721" s="3" t="s">
        <v>106</v>
      </c>
      <c r="C721" s="3" t="s">
        <v>13</v>
      </c>
      <c r="D721" s="3" t="s">
        <v>279</v>
      </c>
      <c r="E721" s="3">
        <v>1727</v>
      </c>
      <c r="G721" s="57"/>
    </row>
    <row r="722" spans="1:7" ht="12.75" x14ac:dyDescent="0.2">
      <c r="A722" s="3">
        <v>86</v>
      </c>
      <c r="B722" s="3" t="s">
        <v>106</v>
      </c>
      <c r="C722" s="3" t="s">
        <v>13</v>
      </c>
      <c r="D722" s="3" t="s">
        <v>283</v>
      </c>
      <c r="E722" s="3">
        <v>625</v>
      </c>
      <c r="G722" s="57"/>
    </row>
    <row r="723" spans="1:7" ht="12.75" x14ac:dyDescent="0.2">
      <c r="A723" s="3">
        <v>86</v>
      </c>
      <c r="B723" s="3" t="s">
        <v>106</v>
      </c>
      <c r="C723" s="3" t="s">
        <v>13</v>
      </c>
      <c r="D723" s="3" t="s">
        <v>3</v>
      </c>
      <c r="E723" s="3">
        <v>1776</v>
      </c>
      <c r="G723" s="57"/>
    </row>
    <row r="724" spans="1:7" ht="12.75" x14ac:dyDescent="0.2">
      <c r="A724" s="3">
        <v>86</v>
      </c>
      <c r="B724" s="3" t="s">
        <v>106</v>
      </c>
      <c r="C724" s="3" t="s">
        <v>13</v>
      </c>
      <c r="D724" s="3" t="s">
        <v>149</v>
      </c>
      <c r="E724" s="3">
        <v>141</v>
      </c>
      <c r="G724" s="57"/>
    </row>
    <row r="725" spans="1:7" ht="12.75" x14ac:dyDescent="0.2">
      <c r="A725" s="3">
        <v>86</v>
      </c>
      <c r="B725" s="3" t="s">
        <v>106</v>
      </c>
      <c r="C725" s="3" t="s">
        <v>13</v>
      </c>
      <c r="D725" s="3" t="s">
        <v>14</v>
      </c>
      <c r="E725" s="3">
        <v>431</v>
      </c>
      <c r="F725">
        <f>SUM(E720:E725)</f>
        <v>5004</v>
      </c>
      <c r="G725" s="57"/>
    </row>
    <row r="726" spans="1:7" ht="12.75" x14ac:dyDescent="0.2">
      <c r="A726" s="3">
        <v>87</v>
      </c>
      <c r="B726" s="3" t="s">
        <v>107</v>
      </c>
      <c r="C726" s="3" t="s">
        <v>2</v>
      </c>
      <c r="D726" s="3" t="s">
        <v>279</v>
      </c>
      <c r="E726" s="3">
        <v>340</v>
      </c>
      <c r="G726" s="56">
        <v>782</v>
      </c>
    </row>
    <row r="727" spans="1:7" ht="12.75" x14ac:dyDescent="0.2">
      <c r="A727" s="3">
        <v>87</v>
      </c>
      <c r="B727" s="3" t="s">
        <v>107</v>
      </c>
      <c r="C727" s="3" t="s">
        <v>2</v>
      </c>
      <c r="D727" s="3" t="s">
        <v>3</v>
      </c>
      <c r="E727" s="3">
        <v>395</v>
      </c>
      <c r="G727" s="57"/>
    </row>
    <row r="728" spans="1:7" ht="12.75" x14ac:dyDescent="0.2">
      <c r="A728" s="3">
        <v>87</v>
      </c>
      <c r="B728" s="3" t="s">
        <v>107</v>
      </c>
      <c r="C728" s="3" t="s">
        <v>2</v>
      </c>
      <c r="D728" s="3" t="s">
        <v>14</v>
      </c>
      <c r="E728" s="3">
        <v>40</v>
      </c>
      <c r="F728">
        <f>SUM(E726:E728)</f>
        <v>775</v>
      </c>
      <c r="G728" s="57"/>
    </row>
    <row r="729" spans="1:7" ht="12.75" x14ac:dyDescent="0.2">
      <c r="A729" s="3">
        <v>87</v>
      </c>
      <c r="B729" s="3" t="s">
        <v>107</v>
      </c>
      <c r="C729" s="3" t="s">
        <v>10</v>
      </c>
      <c r="D729" s="3" t="s">
        <v>279</v>
      </c>
      <c r="E729" s="3">
        <v>316</v>
      </c>
      <c r="G729" s="57"/>
    </row>
    <row r="730" spans="1:7" ht="12.75" x14ac:dyDescent="0.2">
      <c r="A730" s="3">
        <v>87</v>
      </c>
      <c r="B730" s="3" t="s">
        <v>107</v>
      </c>
      <c r="C730" s="3" t="s">
        <v>10</v>
      </c>
      <c r="D730" s="3" t="s">
        <v>3</v>
      </c>
      <c r="E730" s="3">
        <v>391</v>
      </c>
      <c r="G730" s="57"/>
    </row>
    <row r="731" spans="1:7" ht="12.75" x14ac:dyDescent="0.2">
      <c r="A731" s="3">
        <v>87</v>
      </c>
      <c r="B731" s="3" t="s">
        <v>107</v>
      </c>
      <c r="C731" s="3" t="s">
        <v>10</v>
      </c>
      <c r="D731" s="3" t="s">
        <v>14</v>
      </c>
      <c r="E731" s="3">
        <v>68</v>
      </c>
      <c r="F731">
        <f>SUM(E729:E731)</f>
        <v>775</v>
      </c>
      <c r="G731" s="57"/>
    </row>
    <row r="732" spans="1:7" ht="12.75" x14ac:dyDescent="0.2">
      <c r="A732" s="3">
        <v>87</v>
      </c>
      <c r="B732" s="3" t="s">
        <v>107</v>
      </c>
      <c r="C732" s="3" t="s">
        <v>13</v>
      </c>
      <c r="D732" s="3" t="s">
        <v>279</v>
      </c>
      <c r="E732" s="3">
        <v>310</v>
      </c>
      <c r="G732" s="57"/>
    </row>
    <row r="733" spans="1:7" ht="12.75" x14ac:dyDescent="0.2">
      <c r="A733" s="3">
        <v>87</v>
      </c>
      <c r="B733" s="3" t="s">
        <v>107</v>
      </c>
      <c r="C733" s="3" t="s">
        <v>13</v>
      </c>
      <c r="D733" s="3" t="s">
        <v>3</v>
      </c>
      <c r="E733" s="3">
        <v>404</v>
      </c>
      <c r="G733" s="57"/>
    </row>
    <row r="734" spans="1:7" ht="12.75" x14ac:dyDescent="0.2">
      <c r="A734" s="3">
        <v>87</v>
      </c>
      <c r="B734" s="3" t="s">
        <v>107</v>
      </c>
      <c r="C734" s="3" t="s">
        <v>13</v>
      </c>
      <c r="D734" s="3" t="s">
        <v>14</v>
      </c>
      <c r="E734" s="3">
        <v>61</v>
      </c>
      <c r="F734">
        <f>SUM(E732:E734)</f>
        <v>775</v>
      </c>
      <c r="G734" s="57"/>
    </row>
    <row r="735" spans="1:7" ht="12.75" x14ac:dyDescent="0.2">
      <c r="A735" s="3">
        <v>88</v>
      </c>
      <c r="B735" s="3" t="s">
        <v>108</v>
      </c>
      <c r="C735" s="3" t="s">
        <v>2</v>
      </c>
      <c r="D735" s="3" t="s">
        <v>34</v>
      </c>
      <c r="E735" s="3">
        <v>264</v>
      </c>
      <c r="G735" s="56">
        <v>510</v>
      </c>
    </row>
    <row r="736" spans="1:7" ht="12.75" x14ac:dyDescent="0.2">
      <c r="A736" s="3">
        <v>88</v>
      </c>
      <c r="B736" s="3" t="s">
        <v>108</v>
      </c>
      <c r="C736" s="3" t="s">
        <v>2</v>
      </c>
      <c r="D736" s="3" t="s">
        <v>3</v>
      </c>
      <c r="E736" s="3">
        <v>204</v>
      </c>
      <c r="G736" s="57"/>
    </row>
    <row r="737" spans="1:7" ht="12.75" x14ac:dyDescent="0.2">
      <c r="A737" s="3">
        <v>88</v>
      </c>
      <c r="B737" s="3" t="s">
        <v>108</v>
      </c>
      <c r="C737" s="3" t="s">
        <v>2</v>
      </c>
      <c r="D737" s="3" t="s">
        <v>14</v>
      </c>
      <c r="E737" s="3">
        <v>38</v>
      </c>
      <c r="F737">
        <f>SUM(E735:E737)</f>
        <v>506</v>
      </c>
      <c r="G737" s="57"/>
    </row>
    <row r="738" spans="1:7" ht="12.75" x14ac:dyDescent="0.2">
      <c r="A738" s="3">
        <v>88</v>
      </c>
      <c r="B738" s="3" t="s">
        <v>108</v>
      </c>
      <c r="C738" s="3" t="s">
        <v>10</v>
      </c>
      <c r="D738" s="3" t="s">
        <v>279</v>
      </c>
      <c r="E738" s="3">
        <v>171</v>
      </c>
      <c r="G738" s="57"/>
    </row>
    <row r="739" spans="1:7" ht="12.75" x14ac:dyDescent="0.2">
      <c r="A739" s="3">
        <v>88</v>
      </c>
      <c r="B739" s="3" t="s">
        <v>108</v>
      </c>
      <c r="C739" s="3" t="s">
        <v>10</v>
      </c>
      <c r="D739" s="3" t="s">
        <v>34</v>
      </c>
      <c r="E739" s="3">
        <v>139</v>
      </c>
      <c r="G739" s="57"/>
    </row>
    <row r="740" spans="1:7" ht="12.75" x14ac:dyDescent="0.2">
      <c r="A740" s="3">
        <v>88</v>
      </c>
      <c r="B740" s="3" t="s">
        <v>108</v>
      </c>
      <c r="C740" s="3" t="s">
        <v>10</v>
      </c>
      <c r="D740" s="3" t="s">
        <v>290</v>
      </c>
      <c r="E740" s="3">
        <v>46</v>
      </c>
      <c r="G740" s="57"/>
    </row>
    <row r="741" spans="1:7" ht="12.75" x14ac:dyDescent="0.2">
      <c r="A741" s="3">
        <v>88</v>
      </c>
      <c r="B741" s="3" t="s">
        <v>108</v>
      </c>
      <c r="C741" s="3" t="s">
        <v>10</v>
      </c>
      <c r="D741" s="3" t="s">
        <v>3</v>
      </c>
      <c r="E741" s="3">
        <v>120</v>
      </c>
      <c r="G741" s="57"/>
    </row>
    <row r="742" spans="1:7" ht="12.75" x14ac:dyDescent="0.2">
      <c r="A742" s="3">
        <v>88</v>
      </c>
      <c r="B742" s="3" t="s">
        <v>108</v>
      </c>
      <c r="C742" s="3" t="s">
        <v>10</v>
      </c>
      <c r="D742" s="3" t="s">
        <v>14</v>
      </c>
      <c r="E742" s="3">
        <v>30</v>
      </c>
      <c r="F742">
        <f>SUM(E738:E742)</f>
        <v>506</v>
      </c>
      <c r="G742" s="57"/>
    </row>
    <row r="743" spans="1:7" ht="12.75" x14ac:dyDescent="0.2">
      <c r="A743" s="3">
        <v>88</v>
      </c>
      <c r="B743" s="3" t="s">
        <v>108</v>
      </c>
      <c r="C743" s="3" t="s">
        <v>13</v>
      </c>
      <c r="D743" s="3" t="s">
        <v>279</v>
      </c>
      <c r="E743" s="3">
        <v>262</v>
      </c>
      <c r="G743" s="57"/>
    </row>
    <row r="744" spans="1:7" ht="12.75" x14ac:dyDescent="0.2">
      <c r="A744" s="3">
        <v>88</v>
      </c>
      <c r="B744" s="3" t="s">
        <v>108</v>
      </c>
      <c r="C744" s="3" t="s">
        <v>13</v>
      </c>
      <c r="D744" s="3" t="s">
        <v>3</v>
      </c>
      <c r="E744" s="3">
        <v>181</v>
      </c>
      <c r="G744" s="57"/>
    </row>
    <row r="745" spans="1:7" ht="12.75" x14ac:dyDescent="0.2">
      <c r="A745" s="3">
        <v>88</v>
      </c>
      <c r="B745" s="3" t="s">
        <v>108</v>
      </c>
      <c r="C745" s="3" t="s">
        <v>13</v>
      </c>
      <c r="D745" s="3" t="s">
        <v>14</v>
      </c>
      <c r="E745" s="3">
        <v>63</v>
      </c>
      <c r="F745">
        <f>SUM(E743:E745)</f>
        <v>506</v>
      </c>
      <c r="G745" s="57"/>
    </row>
    <row r="746" spans="1:7" ht="12.75" x14ac:dyDescent="0.2">
      <c r="A746" s="3">
        <v>89</v>
      </c>
      <c r="B746" s="3" t="s">
        <v>109</v>
      </c>
      <c r="C746" s="3" t="s">
        <v>2</v>
      </c>
      <c r="D746" s="3" t="s">
        <v>308</v>
      </c>
      <c r="E746" s="3">
        <v>1111</v>
      </c>
      <c r="G746" s="56">
        <v>2347</v>
      </c>
    </row>
    <row r="747" spans="1:7" ht="12.75" x14ac:dyDescent="0.2">
      <c r="A747" s="3">
        <v>89</v>
      </c>
      <c r="B747" s="3" t="s">
        <v>109</v>
      </c>
      <c r="C747" s="3" t="s">
        <v>2</v>
      </c>
      <c r="D747" s="3" t="s">
        <v>3</v>
      </c>
      <c r="E747" s="3">
        <v>1177</v>
      </c>
      <c r="G747" s="57"/>
    </row>
    <row r="748" spans="1:7" ht="12.75" x14ac:dyDescent="0.2">
      <c r="A748" s="3">
        <v>89</v>
      </c>
      <c r="B748" s="3" t="s">
        <v>109</v>
      </c>
      <c r="C748" s="3" t="s">
        <v>2</v>
      </c>
      <c r="D748" s="3" t="s">
        <v>14</v>
      </c>
      <c r="E748" s="3">
        <v>55</v>
      </c>
      <c r="F748">
        <f>SUM(E746:E748)</f>
        <v>2343</v>
      </c>
      <c r="G748" s="57"/>
    </row>
    <row r="749" spans="1:7" ht="12.75" x14ac:dyDescent="0.2">
      <c r="A749" s="3">
        <v>89</v>
      </c>
      <c r="B749" s="3" t="s">
        <v>109</v>
      </c>
      <c r="C749" s="3" t="s">
        <v>10</v>
      </c>
      <c r="D749" s="3" t="s">
        <v>283</v>
      </c>
      <c r="E749" s="3">
        <v>75</v>
      </c>
      <c r="G749" s="57"/>
    </row>
    <row r="750" spans="1:7" ht="12.75" x14ac:dyDescent="0.2">
      <c r="A750" s="3">
        <v>89</v>
      </c>
      <c r="B750" s="3" t="s">
        <v>109</v>
      </c>
      <c r="C750" s="3" t="s">
        <v>10</v>
      </c>
      <c r="D750" s="3" t="s">
        <v>308</v>
      </c>
      <c r="E750" s="3">
        <v>1043</v>
      </c>
      <c r="G750" s="57"/>
    </row>
    <row r="751" spans="1:7" ht="12.75" x14ac:dyDescent="0.2">
      <c r="A751" s="3">
        <v>89</v>
      </c>
      <c r="B751" s="3" t="s">
        <v>109</v>
      </c>
      <c r="C751" s="3" t="s">
        <v>10</v>
      </c>
      <c r="D751" s="3" t="s">
        <v>3</v>
      </c>
      <c r="E751" s="3">
        <v>1139</v>
      </c>
      <c r="G751" s="57"/>
    </row>
    <row r="752" spans="1:7" ht="12.75" x14ac:dyDescent="0.2">
      <c r="A752" s="3">
        <v>89</v>
      </c>
      <c r="B752" s="3" t="s">
        <v>109</v>
      </c>
      <c r="C752" s="3" t="s">
        <v>10</v>
      </c>
      <c r="D752" s="3" t="s">
        <v>14</v>
      </c>
      <c r="E752" s="3">
        <v>76</v>
      </c>
      <c r="F752">
        <f>SUM(E749:E752)</f>
        <v>2333</v>
      </c>
      <c r="G752" s="57"/>
    </row>
    <row r="753" spans="1:7" ht="12.75" x14ac:dyDescent="0.2">
      <c r="A753" s="3">
        <v>89</v>
      </c>
      <c r="B753" s="3" t="s">
        <v>109</v>
      </c>
      <c r="C753" s="3" t="s">
        <v>13</v>
      </c>
      <c r="D753" s="3" t="s">
        <v>308</v>
      </c>
      <c r="E753" s="3">
        <v>1132</v>
      </c>
      <c r="G753" s="57"/>
    </row>
    <row r="754" spans="1:7" ht="12.75" x14ac:dyDescent="0.2">
      <c r="A754" s="3">
        <v>89</v>
      </c>
      <c r="B754" s="3" t="s">
        <v>109</v>
      </c>
      <c r="C754" s="3" t="s">
        <v>13</v>
      </c>
      <c r="D754" s="3" t="s">
        <v>3</v>
      </c>
      <c r="E754" s="3">
        <v>1138</v>
      </c>
      <c r="G754" s="57"/>
    </row>
    <row r="755" spans="1:7" ht="12.75" x14ac:dyDescent="0.2">
      <c r="A755" s="3">
        <v>89</v>
      </c>
      <c r="B755" s="3" t="s">
        <v>109</v>
      </c>
      <c r="C755" s="3" t="s">
        <v>13</v>
      </c>
      <c r="D755" s="3" t="s">
        <v>14</v>
      </c>
      <c r="E755" s="3">
        <v>73</v>
      </c>
      <c r="F755">
        <f>SUM(E753:E755)</f>
        <v>2343</v>
      </c>
      <c r="G755" s="57"/>
    </row>
    <row r="756" spans="1:7" ht="12.75" x14ac:dyDescent="0.2">
      <c r="A756" s="3">
        <v>90</v>
      </c>
      <c r="B756" s="3" t="s">
        <v>110</v>
      </c>
      <c r="C756" s="3" t="s">
        <v>2</v>
      </c>
      <c r="D756" s="3" t="s">
        <v>283</v>
      </c>
      <c r="E756" s="3">
        <v>199</v>
      </c>
      <c r="G756" s="56">
        <v>551</v>
      </c>
    </row>
    <row r="757" spans="1:7" ht="12.75" x14ac:dyDescent="0.2">
      <c r="A757" s="3">
        <v>90</v>
      </c>
      <c r="B757" s="3" t="s">
        <v>110</v>
      </c>
      <c r="C757" s="3" t="s">
        <v>2</v>
      </c>
      <c r="D757" s="3" t="s">
        <v>309</v>
      </c>
      <c r="E757" s="3">
        <v>135</v>
      </c>
      <c r="G757" s="57"/>
    </row>
    <row r="758" spans="1:7" ht="12.75" x14ac:dyDescent="0.2">
      <c r="A758" s="3">
        <v>90</v>
      </c>
      <c r="B758" s="3" t="s">
        <v>110</v>
      </c>
      <c r="C758" s="3" t="s">
        <v>2</v>
      </c>
      <c r="D758" s="3" t="s">
        <v>3</v>
      </c>
      <c r="E758" s="3">
        <v>201</v>
      </c>
      <c r="G758" s="57"/>
    </row>
    <row r="759" spans="1:7" ht="12.75" x14ac:dyDescent="0.2">
      <c r="A759" s="3">
        <v>90</v>
      </c>
      <c r="B759" s="3" t="s">
        <v>110</v>
      </c>
      <c r="C759" s="3" t="s">
        <v>2</v>
      </c>
      <c r="D759" s="3" t="s">
        <v>14</v>
      </c>
      <c r="E759" s="3">
        <v>16</v>
      </c>
      <c r="F759">
        <f>SUM(E756:E759)</f>
        <v>551</v>
      </c>
      <c r="G759" s="57"/>
    </row>
    <row r="760" spans="1:7" ht="12.75" x14ac:dyDescent="0.2">
      <c r="A760" s="3">
        <v>90</v>
      </c>
      <c r="B760" s="3" t="s">
        <v>110</v>
      </c>
      <c r="C760" s="3" t="s">
        <v>10</v>
      </c>
      <c r="D760" s="3" t="s">
        <v>283</v>
      </c>
      <c r="E760" s="3">
        <v>198</v>
      </c>
      <c r="G760" s="57"/>
    </row>
    <row r="761" spans="1:7" ht="12.75" x14ac:dyDescent="0.2">
      <c r="A761" s="3">
        <v>90</v>
      </c>
      <c r="B761" s="3" t="s">
        <v>110</v>
      </c>
      <c r="C761" s="3" t="s">
        <v>10</v>
      </c>
      <c r="D761" s="3" t="s">
        <v>309</v>
      </c>
      <c r="E761" s="3">
        <v>150</v>
      </c>
      <c r="G761" s="57"/>
    </row>
    <row r="762" spans="1:7" ht="12.75" x14ac:dyDescent="0.2">
      <c r="A762" s="3">
        <v>90</v>
      </c>
      <c r="B762" s="3" t="s">
        <v>110</v>
      </c>
      <c r="C762" s="3" t="s">
        <v>10</v>
      </c>
      <c r="D762" s="3" t="s">
        <v>3</v>
      </c>
      <c r="E762" s="3">
        <v>168</v>
      </c>
      <c r="G762" s="57"/>
    </row>
    <row r="763" spans="1:7" ht="12.75" x14ac:dyDescent="0.2">
      <c r="A763" s="3">
        <v>90</v>
      </c>
      <c r="B763" s="3" t="s">
        <v>110</v>
      </c>
      <c r="C763" s="3" t="s">
        <v>10</v>
      </c>
      <c r="D763" s="3" t="s">
        <v>14</v>
      </c>
      <c r="E763" s="3">
        <v>33</v>
      </c>
      <c r="F763">
        <f>SUM(E760:E763)</f>
        <v>549</v>
      </c>
      <c r="G763" s="57"/>
    </row>
    <row r="764" spans="1:7" ht="12.75" x14ac:dyDescent="0.2">
      <c r="A764" s="3">
        <v>90</v>
      </c>
      <c r="B764" s="3" t="s">
        <v>110</v>
      </c>
      <c r="C764" s="3" t="s">
        <v>13</v>
      </c>
      <c r="D764" s="3" t="s">
        <v>283</v>
      </c>
      <c r="E764" s="3">
        <v>184</v>
      </c>
      <c r="G764" s="57"/>
    </row>
    <row r="765" spans="1:7" ht="12.75" x14ac:dyDescent="0.2">
      <c r="A765" s="3">
        <v>90</v>
      </c>
      <c r="B765" s="3" t="s">
        <v>110</v>
      </c>
      <c r="C765" s="3" t="s">
        <v>13</v>
      </c>
      <c r="D765" s="3" t="s">
        <v>309</v>
      </c>
      <c r="E765" s="3">
        <v>218</v>
      </c>
      <c r="G765" s="57"/>
    </row>
    <row r="766" spans="1:7" ht="12.75" x14ac:dyDescent="0.2">
      <c r="A766" s="3">
        <v>90</v>
      </c>
      <c r="B766" s="3" t="s">
        <v>110</v>
      </c>
      <c r="C766" s="3" t="s">
        <v>13</v>
      </c>
      <c r="D766" s="3" t="s">
        <v>3</v>
      </c>
      <c r="E766" s="3">
        <v>127</v>
      </c>
      <c r="G766" s="57"/>
    </row>
    <row r="767" spans="1:7" ht="12.75" x14ac:dyDescent="0.2">
      <c r="A767" s="3">
        <v>90</v>
      </c>
      <c r="B767" s="3" t="s">
        <v>110</v>
      </c>
      <c r="C767" s="3" t="s">
        <v>13</v>
      </c>
      <c r="D767" s="3" t="s">
        <v>14</v>
      </c>
      <c r="E767" s="3">
        <v>20</v>
      </c>
      <c r="F767">
        <f>SUM(E764:E767)</f>
        <v>549</v>
      </c>
      <c r="G767" s="57"/>
    </row>
    <row r="768" spans="1:7" ht="12.75" x14ac:dyDescent="0.2">
      <c r="A768" s="3">
        <v>91</v>
      </c>
      <c r="B768" s="3" t="s">
        <v>111</v>
      </c>
      <c r="C768" s="3" t="s">
        <v>15</v>
      </c>
      <c r="D768" s="3" t="s">
        <v>310</v>
      </c>
      <c r="E768" s="3">
        <v>121</v>
      </c>
      <c r="G768" s="56">
        <v>290</v>
      </c>
    </row>
    <row r="769" spans="1:7" ht="12.75" x14ac:dyDescent="0.2">
      <c r="A769" s="3">
        <v>91</v>
      </c>
      <c r="B769" s="3" t="s">
        <v>111</v>
      </c>
      <c r="C769" s="3" t="s">
        <v>15</v>
      </c>
      <c r="D769" s="3" t="s">
        <v>3</v>
      </c>
      <c r="E769" s="3">
        <v>143</v>
      </c>
      <c r="G769" s="57"/>
    </row>
    <row r="770" spans="1:7" ht="12.75" x14ac:dyDescent="0.2">
      <c r="A770" s="3">
        <v>91</v>
      </c>
      <c r="B770" s="3" t="s">
        <v>111</v>
      </c>
      <c r="C770" s="3" t="s">
        <v>15</v>
      </c>
      <c r="D770" s="3" t="s">
        <v>14</v>
      </c>
      <c r="E770" s="3">
        <v>11</v>
      </c>
      <c r="F770">
        <f>SUM(E768:E770)</f>
        <v>275</v>
      </c>
      <c r="G770" s="57"/>
    </row>
    <row r="771" spans="1:7" ht="12.75" x14ac:dyDescent="0.2">
      <c r="A771" s="3">
        <v>91</v>
      </c>
      <c r="B771" s="3" t="s">
        <v>111</v>
      </c>
      <c r="C771" s="3" t="s">
        <v>17</v>
      </c>
      <c r="D771" s="3" t="s">
        <v>310</v>
      </c>
      <c r="E771" s="3">
        <v>114</v>
      </c>
      <c r="G771" s="57"/>
    </row>
    <row r="772" spans="1:7" ht="12.75" x14ac:dyDescent="0.2">
      <c r="A772" s="3">
        <v>91</v>
      </c>
      <c r="B772" s="3" t="s">
        <v>111</v>
      </c>
      <c r="C772" s="3" t="s">
        <v>17</v>
      </c>
      <c r="D772" s="3" t="s">
        <v>3</v>
      </c>
      <c r="E772" s="3">
        <v>142</v>
      </c>
      <c r="G772" s="57"/>
    </row>
    <row r="773" spans="1:7" ht="12.75" x14ac:dyDescent="0.2">
      <c r="A773" s="3">
        <v>91</v>
      </c>
      <c r="B773" s="3" t="s">
        <v>111</v>
      </c>
      <c r="C773" s="3" t="s">
        <v>17</v>
      </c>
      <c r="D773" s="3" t="s">
        <v>14</v>
      </c>
      <c r="E773" s="3">
        <v>19</v>
      </c>
      <c r="F773">
        <f>SUM(E771:E773)</f>
        <v>275</v>
      </c>
      <c r="G773" s="57"/>
    </row>
    <row r="774" spans="1:7" ht="12.75" x14ac:dyDescent="0.2">
      <c r="A774" s="3">
        <v>91</v>
      </c>
      <c r="B774" s="3" t="s">
        <v>111</v>
      </c>
      <c r="C774" s="3" t="s">
        <v>13</v>
      </c>
      <c r="D774" s="3" t="s">
        <v>310</v>
      </c>
      <c r="E774" s="3">
        <v>108</v>
      </c>
      <c r="G774" s="57"/>
    </row>
    <row r="775" spans="1:7" ht="12.75" x14ac:dyDescent="0.2">
      <c r="A775" s="3">
        <v>91</v>
      </c>
      <c r="B775" s="3" t="s">
        <v>111</v>
      </c>
      <c r="C775" s="3" t="s">
        <v>13</v>
      </c>
      <c r="D775" s="3" t="s">
        <v>3</v>
      </c>
      <c r="E775" s="3">
        <v>158</v>
      </c>
      <c r="G775" s="57"/>
    </row>
    <row r="776" spans="1:7" ht="12.75" x14ac:dyDescent="0.2">
      <c r="A776" s="3">
        <v>91</v>
      </c>
      <c r="B776" s="3" t="s">
        <v>111</v>
      </c>
      <c r="C776" s="3" t="s">
        <v>13</v>
      </c>
      <c r="D776" s="3" t="s">
        <v>14</v>
      </c>
      <c r="E776" s="3">
        <v>10</v>
      </c>
      <c r="F776">
        <f>SUM(E774:E776)</f>
        <v>276</v>
      </c>
      <c r="G776" s="57"/>
    </row>
    <row r="777" spans="1:7" ht="12.75" x14ac:dyDescent="0.2">
      <c r="A777" s="3">
        <v>92</v>
      </c>
      <c r="B777" s="3" t="s">
        <v>112</v>
      </c>
      <c r="C777" s="3" t="s">
        <v>15</v>
      </c>
      <c r="D777" s="3" t="s">
        <v>311</v>
      </c>
      <c r="E777" s="3">
        <v>120</v>
      </c>
      <c r="G777" s="56">
        <v>194</v>
      </c>
    </row>
    <row r="778" spans="1:7" ht="12.75" x14ac:dyDescent="0.2">
      <c r="A778" s="3">
        <v>92</v>
      </c>
      <c r="B778" s="3" t="s">
        <v>112</v>
      </c>
      <c r="C778" s="3" t="s">
        <v>15</v>
      </c>
      <c r="D778" s="3" t="s">
        <v>3</v>
      </c>
      <c r="E778" s="3">
        <v>67</v>
      </c>
      <c r="G778" s="57"/>
    </row>
    <row r="779" spans="1:7" ht="12.75" x14ac:dyDescent="0.2">
      <c r="A779" s="3">
        <v>92</v>
      </c>
      <c r="B779" s="3" t="s">
        <v>112</v>
      </c>
      <c r="C779" s="3" t="s">
        <v>15</v>
      </c>
      <c r="D779" s="3" t="s">
        <v>14</v>
      </c>
      <c r="E779" s="3">
        <v>7</v>
      </c>
      <c r="F779">
        <f>SUM(E777:E779)</f>
        <v>194</v>
      </c>
      <c r="G779" s="57"/>
    </row>
    <row r="780" spans="1:7" ht="12.75" x14ac:dyDescent="0.2">
      <c r="A780" s="3">
        <v>92</v>
      </c>
      <c r="B780" s="3" t="s">
        <v>112</v>
      </c>
      <c r="C780" s="3" t="s">
        <v>17</v>
      </c>
      <c r="D780" s="3" t="s">
        <v>311</v>
      </c>
      <c r="E780" s="3">
        <v>83</v>
      </c>
      <c r="G780" s="57"/>
    </row>
    <row r="781" spans="1:7" ht="12.75" x14ac:dyDescent="0.2">
      <c r="A781" s="3">
        <v>92</v>
      </c>
      <c r="B781" s="3" t="s">
        <v>112</v>
      </c>
      <c r="C781" s="3" t="s">
        <v>17</v>
      </c>
      <c r="D781" s="3" t="s">
        <v>3</v>
      </c>
      <c r="E781" s="3">
        <v>91</v>
      </c>
      <c r="G781" s="57"/>
    </row>
    <row r="782" spans="1:7" ht="12.75" x14ac:dyDescent="0.2">
      <c r="A782" s="3">
        <v>92</v>
      </c>
      <c r="B782" s="3" t="s">
        <v>112</v>
      </c>
      <c r="C782" s="3" t="s">
        <v>17</v>
      </c>
      <c r="D782" s="3" t="s">
        <v>14</v>
      </c>
      <c r="E782" s="3">
        <v>20</v>
      </c>
      <c r="F782">
        <f>SUM(E780:E782)</f>
        <v>194</v>
      </c>
      <c r="G782" s="57"/>
    </row>
    <row r="783" spans="1:7" ht="12.75" x14ac:dyDescent="0.2">
      <c r="A783" s="3">
        <v>92</v>
      </c>
      <c r="B783" s="3" t="s">
        <v>112</v>
      </c>
      <c r="C783" s="3" t="s">
        <v>13</v>
      </c>
      <c r="D783" s="3" t="s">
        <v>311</v>
      </c>
      <c r="E783" s="3">
        <v>74</v>
      </c>
      <c r="G783" s="57"/>
    </row>
    <row r="784" spans="1:7" ht="12.75" x14ac:dyDescent="0.2">
      <c r="A784" s="3">
        <v>92</v>
      </c>
      <c r="B784" s="3" t="s">
        <v>112</v>
      </c>
      <c r="C784" s="3" t="s">
        <v>13</v>
      </c>
      <c r="D784" s="3" t="s">
        <v>3</v>
      </c>
      <c r="E784" s="3">
        <v>111</v>
      </c>
      <c r="G784" s="57"/>
    </row>
    <row r="785" spans="1:7" ht="12.75" x14ac:dyDescent="0.2">
      <c r="A785" s="3">
        <v>92</v>
      </c>
      <c r="B785" s="3" t="s">
        <v>112</v>
      </c>
      <c r="C785" s="3" t="s">
        <v>13</v>
      </c>
      <c r="D785" s="3" t="s">
        <v>14</v>
      </c>
      <c r="E785" s="3">
        <v>9</v>
      </c>
      <c r="F785">
        <f>SUM(E783:E785)</f>
        <v>194</v>
      </c>
      <c r="G785" s="57"/>
    </row>
    <row r="786" spans="1:7" ht="12.75" x14ac:dyDescent="0.2">
      <c r="A786" s="3">
        <v>93</v>
      </c>
      <c r="B786" s="3" t="s">
        <v>113</v>
      </c>
      <c r="C786" s="3" t="s">
        <v>2</v>
      </c>
      <c r="D786" s="3" t="s">
        <v>279</v>
      </c>
      <c r="E786" s="3">
        <v>494</v>
      </c>
      <c r="G786" s="56">
        <v>7154</v>
      </c>
    </row>
    <row r="787" spans="1:7" ht="12.75" x14ac:dyDescent="0.2">
      <c r="A787" s="3">
        <v>93</v>
      </c>
      <c r="B787" s="3" t="s">
        <v>113</v>
      </c>
      <c r="C787" s="3" t="s">
        <v>2</v>
      </c>
      <c r="D787" s="3" t="s">
        <v>283</v>
      </c>
      <c r="E787" s="3">
        <v>1529</v>
      </c>
      <c r="G787" s="57"/>
    </row>
    <row r="788" spans="1:7" ht="12.75" x14ac:dyDescent="0.2">
      <c r="A788" s="3">
        <v>93</v>
      </c>
      <c r="B788" s="3" t="s">
        <v>113</v>
      </c>
      <c r="C788" s="3" t="s">
        <v>2</v>
      </c>
      <c r="D788" s="3" t="s">
        <v>143</v>
      </c>
      <c r="E788" s="3">
        <v>1372</v>
      </c>
      <c r="G788" s="57"/>
    </row>
    <row r="789" spans="1:7" ht="12.75" x14ac:dyDescent="0.2">
      <c r="A789" s="3">
        <v>93</v>
      </c>
      <c r="B789" s="3" t="s">
        <v>113</v>
      </c>
      <c r="C789" s="3" t="s">
        <v>2</v>
      </c>
      <c r="D789" s="3" t="s">
        <v>312</v>
      </c>
      <c r="E789" s="3">
        <v>247</v>
      </c>
      <c r="G789" s="57"/>
    </row>
    <row r="790" spans="1:7" ht="12.75" x14ac:dyDescent="0.2">
      <c r="A790" s="3">
        <v>93</v>
      </c>
      <c r="B790" s="3" t="s">
        <v>113</v>
      </c>
      <c r="C790" s="3" t="s">
        <v>2</v>
      </c>
      <c r="D790" s="3" t="s">
        <v>3</v>
      </c>
      <c r="E790" s="3">
        <v>2236</v>
      </c>
      <c r="G790" s="57"/>
    </row>
    <row r="791" spans="1:7" ht="12.75" x14ac:dyDescent="0.2">
      <c r="A791" s="3">
        <v>93</v>
      </c>
      <c r="B791" s="3" t="s">
        <v>113</v>
      </c>
      <c r="C791" s="3" t="s">
        <v>2</v>
      </c>
      <c r="D791" s="3" t="s">
        <v>149</v>
      </c>
      <c r="E791" s="3">
        <v>107</v>
      </c>
      <c r="G791" s="57"/>
    </row>
    <row r="792" spans="1:7" ht="12.75" x14ac:dyDescent="0.2">
      <c r="A792" s="3">
        <v>93</v>
      </c>
      <c r="B792" s="3" t="s">
        <v>113</v>
      </c>
      <c r="C792" s="3" t="s">
        <v>2</v>
      </c>
      <c r="D792" s="3" t="s">
        <v>313</v>
      </c>
      <c r="E792" s="3">
        <v>765</v>
      </c>
      <c r="G792" s="57"/>
    </row>
    <row r="793" spans="1:7" ht="12.75" x14ac:dyDescent="0.2">
      <c r="A793" s="3">
        <v>93</v>
      </c>
      <c r="B793" s="3" t="s">
        <v>113</v>
      </c>
      <c r="C793" s="3" t="s">
        <v>2</v>
      </c>
      <c r="D793" s="3" t="s">
        <v>14</v>
      </c>
      <c r="E793" s="3">
        <v>359</v>
      </c>
      <c r="F793">
        <f>SUM(E786:E793)</f>
        <v>7109</v>
      </c>
      <c r="G793" s="57"/>
    </row>
    <row r="794" spans="1:7" ht="12.75" x14ac:dyDescent="0.2">
      <c r="A794" s="3">
        <v>93</v>
      </c>
      <c r="B794" s="3" t="s">
        <v>113</v>
      </c>
      <c r="C794" s="3" t="s">
        <v>10</v>
      </c>
      <c r="D794" s="3" t="s">
        <v>279</v>
      </c>
      <c r="E794" s="3">
        <v>517</v>
      </c>
      <c r="G794" s="57"/>
    </row>
    <row r="795" spans="1:7" ht="12.75" x14ac:dyDescent="0.2">
      <c r="A795" s="3">
        <v>93</v>
      </c>
      <c r="B795" s="3" t="s">
        <v>113</v>
      </c>
      <c r="C795" s="3" t="s">
        <v>10</v>
      </c>
      <c r="D795" s="3" t="s">
        <v>283</v>
      </c>
      <c r="E795" s="3">
        <v>1329</v>
      </c>
      <c r="G795" s="57"/>
    </row>
    <row r="796" spans="1:7" ht="12.75" x14ac:dyDescent="0.2">
      <c r="A796" s="3">
        <v>93</v>
      </c>
      <c r="B796" s="3" t="s">
        <v>113</v>
      </c>
      <c r="C796" s="3" t="s">
        <v>10</v>
      </c>
      <c r="D796" s="3" t="s">
        <v>143</v>
      </c>
      <c r="E796" s="3">
        <v>1571</v>
      </c>
      <c r="G796" s="57"/>
    </row>
    <row r="797" spans="1:7" ht="12.75" x14ac:dyDescent="0.2">
      <c r="A797" s="3">
        <v>93</v>
      </c>
      <c r="B797" s="3" t="s">
        <v>113</v>
      </c>
      <c r="C797" s="3" t="s">
        <v>10</v>
      </c>
      <c r="D797" s="3" t="s">
        <v>312</v>
      </c>
      <c r="E797" s="3">
        <v>241</v>
      </c>
      <c r="G797" s="57"/>
    </row>
    <row r="798" spans="1:7" ht="12.75" x14ac:dyDescent="0.2">
      <c r="A798" s="3">
        <v>93</v>
      </c>
      <c r="B798" s="3" t="s">
        <v>113</v>
      </c>
      <c r="C798" s="3" t="s">
        <v>10</v>
      </c>
      <c r="D798" s="3" t="s">
        <v>3</v>
      </c>
      <c r="E798" s="3">
        <v>1981</v>
      </c>
      <c r="G798" s="57"/>
    </row>
    <row r="799" spans="1:7" ht="12.75" x14ac:dyDescent="0.2">
      <c r="A799" s="3">
        <v>93</v>
      </c>
      <c r="B799" s="3" t="s">
        <v>113</v>
      </c>
      <c r="C799" s="3" t="s">
        <v>10</v>
      </c>
      <c r="D799" s="3" t="s">
        <v>149</v>
      </c>
      <c r="E799" s="3">
        <v>130</v>
      </c>
      <c r="G799" s="57"/>
    </row>
    <row r="800" spans="1:7" ht="12.75" x14ac:dyDescent="0.2">
      <c r="A800" s="3">
        <v>93</v>
      </c>
      <c r="B800" s="3" t="s">
        <v>113</v>
      </c>
      <c r="C800" s="3" t="s">
        <v>10</v>
      </c>
      <c r="D800" s="3" t="s">
        <v>313</v>
      </c>
      <c r="E800" s="3">
        <v>745</v>
      </c>
      <c r="G800" s="57"/>
    </row>
    <row r="801" spans="1:7" ht="12.75" x14ac:dyDescent="0.2">
      <c r="A801" s="3">
        <v>93</v>
      </c>
      <c r="B801" s="3" t="s">
        <v>113</v>
      </c>
      <c r="C801" s="3" t="s">
        <v>10</v>
      </c>
      <c r="D801" s="3" t="s">
        <v>14</v>
      </c>
      <c r="E801" s="3">
        <v>573</v>
      </c>
      <c r="F801">
        <f>SUM(E794:E801)</f>
        <v>7087</v>
      </c>
      <c r="G801" s="57"/>
    </row>
    <row r="802" spans="1:7" ht="12.75" x14ac:dyDescent="0.2">
      <c r="A802" s="3">
        <v>93</v>
      </c>
      <c r="B802" s="3" t="s">
        <v>113</v>
      </c>
      <c r="C802" s="3" t="s">
        <v>13</v>
      </c>
      <c r="D802" s="3" t="s">
        <v>279</v>
      </c>
      <c r="E802" s="3">
        <v>543</v>
      </c>
      <c r="G802" s="57"/>
    </row>
    <row r="803" spans="1:7" ht="12.75" x14ac:dyDescent="0.2">
      <c r="A803" s="3">
        <v>93</v>
      </c>
      <c r="B803" s="3" t="s">
        <v>113</v>
      </c>
      <c r="C803" s="3" t="s">
        <v>13</v>
      </c>
      <c r="D803" s="3" t="s">
        <v>283</v>
      </c>
      <c r="E803" s="3">
        <v>1237</v>
      </c>
      <c r="G803" s="57"/>
    </row>
    <row r="804" spans="1:7" ht="12.75" x14ac:dyDescent="0.2">
      <c r="A804" s="3">
        <v>93</v>
      </c>
      <c r="B804" s="3" t="s">
        <v>113</v>
      </c>
      <c r="C804" s="3" t="s">
        <v>13</v>
      </c>
      <c r="D804" s="3" t="s">
        <v>143</v>
      </c>
      <c r="E804" s="3">
        <v>1419</v>
      </c>
      <c r="G804" s="57"/>
    </row>
    <row r="805" spans="1:7" ht="12.75" x14ac:dyDescent="0.2">
      <c r="A805" s="3">
        <v>93</v>
      </c>
      <c r="B805" s="3" t="s">
        <v>113</v>
      </c>
      <c r="C805" s="3" t="s">
        <v>13</v>
      </c>
      <c r="D805" s="3" t="s">
        <v>312</v>
      </c>
      <c r="E805" s="3">
        <v>284</v>
      </c>
      <c r="G805" s="57"/>
    </row>
    <row r="806" spans="1:7" ht="12.75" x14ac:dyDescent="0.2">
      <c r="A806" s="3">
        <v>93</v>
      </c>
      <c r="B806" s="3" t="s">
        <v>113</v>
      </c>
      <c r="C806" s="3" t="s">
        <v>13</v>
      </c>
      <c r="D806" s="3" t="s">
        <v>3</v>
      </c>
      <c r="E806" s="3">
        <v>2142</v>
      </c>
      <c r="G806" s="57"/>
    </row>
    <row r="807" spans="1:7" ht="12.75" x14ac:dyDescent="0.2">
      <c r="A807" s="3">
        <v>93</v>
      </c>
      <c r="B807" s="3" t="s">
        <v>113</v>
      </c>
      <c r="C807" s="3" t="s">
        <v>13</v>
      </c>
      <c r="D807" s="3" t="s">
        <v>149</v>
      </c>
      <c r="E807" s="3">
        <v>152</v>
      </c>
      <c r="G807" s="57"/>
    </row>
    <row r="808" spans="1:7" ht="12.75" x14ac:dyDescent="0.2">
      <c r="A808" s="3">
        <v>93</v>
      </c>
      <c r="B808" s="3" t="s">
        <v>113</v>
      </c>
      <c r="C808" s="3" t="s">
        <v>13</v>
      </c>
      <c r="D808" s="3" t="s">
        <v>313</v>
      </c>
      <c r="E808" s="3">
        <v>751</v>
      </c>
      <c r="G808" s="57"/>
    </row>
    <row r="809" spans="1:7" ht="12.75" x14ac:dyDescent="0.2">
      <c r="A809" s="3">
        <v>93</v>
      </c>
      <c r="B809" s="3" t="s">
        <v>113</v>
      </c>
      <c r="C809" s="3" t="s">
        <v>13</v>
      </c>
      <c r="D809" s="3" t="s">
        <v>14</v>
      </c>
      <c r="E809" s="3">
        <v>561</v>
      </c>
      <c r="F809">
        <f>SUM(E802:E809)</f>
        <v>7089</v>
      </c>
      <c r="G809" s="57"/>
    </row>
    <row r="810" spans="1:7" ht="12.75" x14ac:dyDescent="0.2">
      <c r="A810" s="3">
        <v>94</v>
      </c>
      <c r="B810" s="3" t="s">
        <v>114</v>
      </c>
      <c r="C810" s="3" t="s">
        <v>2</v>
      </c>
      <c r="D810" s="3" t="s">
        <v>279</v>
      </c>
      <c r="E810" s="3">
        <v>186</v>
      </c>
      <c r="G810" s="56">
        <v>350</v>
      </c>
    </row>
    <row r="811" spans="1:7" ht="12.75" x14ac:dyDescent="0.2">
      <c r="A811" s="3">
        <v>94</v>
      </c>
      <c r="B811" s="3" t="s">
        <v>114</v>
      </c>
      <c r="C811" s="3" t="s">
        <v>2</v>
      </c>
      <c r="D811" s="3" t="s">
        <v>3</v>
      </c>
      <c r="E811" s="3">
        <v>155</v>
      </c>
      <c r="G811" s="57"/>
    </row>
    <row r="812" spans="1:7" ht="12.75" x14ac:dyDescent="0.2">
      <c r="A812" s="3">
        <v>94</v>
      </c>
      <c r="B812" s="3" t="s">
        <v>114</v>
      </c>
      <c r="C812" s="3" t="s">
        <v>2</v>
      </c>
      <c r="D812" s="3" t="s">
        <v>14</v>
      </c>
      <c r="E812" s="3">
        <v>9</v>
      </c>
      <c r="F812">
        <f>SUM(E810:E812)</f>
        <v>350</v>
      </c>
      <c r="G812" s="57"/>
    </row>
    <row r="813" spans="1:7" ht="12.75" x14ac:dyDescent="0.2">
      <c r="A813" s="3">
        <v>94</v>
      </c>
      <c r="B813" s="3" t="s">
        <v>114</v>
      </c>
      <c r="C813" s="3" t="s">
        <v>10</v>
      </c>
      <c r="D813" s="3" t="s">
        <v>279</v>
      </c>
      <c r="E813" s="3">
        <v>189</v>
      </c>
      <c r="G813" s="57"/>
    </row>
    <row r="814" spans="1:7" ht="12.75" x14ac:dyDescent="0.2">
      <c r="A814" s="3">
        <v>94</v>
      </c>
      <c r="B814" s="3" t="s">
        <v>114</v>
      </c>
      <c r="C814" s="3" t="s">
        <v>10</v>
      </c>
      <c r="D814" s="3" t="s">
        <v>3</v>
      </c>
      <c r="E814" s="3">
        <v>140</v>
      </c>
      <c r="G814" s="57"/>
    </row>
    <row r="815" spans="1:7" ht="12.75" x14ac:dyDescent="0.2">
      <c r="A815" s="3">
        <v>94</v>
      </c>
      <c r="B815" s="3" t="s">
        <v>114</v>
      </c>
      <c r="C815" s="3" t="s">
        <v>10</v>
      </c>
      <c r="D815" s="3" t="s">
        <v>14</v>
      </c>
      <c r="E815" s="3">
        <v>21</v>
      </c>
      <c r="F815">
        <f>SUM(E813:E815)</f>
        <v>350</v>
      </c>
      <c r="G815" s="57"/>
    </row>
    <row r="816" spans="1:7" ht="12.75" x14ac:dyDescent="0.2">
      <c r="A816" s="3">
        <v>94</v>
      </c>
      <c r="B816" s="3" t="s">
        <v>114</v>
      </c>
      <c r="C816" s="3" t="s">
        <v>13</v>
      </c>
      <c r="D816" s="3" t="s">
        <v>279</v>
      </c>
      <c r="E816" s="3">
        <v>168</v>
      </c>
      <c r="G816" s="57"/>
    </row>
    <row r="817" spans="1:7" ht="12.75" x14ac:dyDescent="0.2">
      <c r="A817" s="3">
        <v>94</v>
      </c>
      <c r="B817" s="3" t="s">
        <v>114</v>
      </c>
      <c r="C817" s="3" t="s">
        <v>13</v>
      </c>
      <c r="D817" s="3" t="s">
        <v>3</v>
      </c>
      <c r="E817" s="3">
        <v>161</v>
      </c>
      <c r="G817" s="57"/>
    </row>
    <row r="818" spans="1:7" ht="12.75" x14ac:dyDescent="0.2">
      <c r="A818" s="3">
        <v>94</v>
      </c>
      <c r="B818" s="3" t="s">
        <v>114</v>
      </c>
      <c r="C818" s="3" t="s">
        <v>13</v>
      </c>
      <c r="D818" s="3" t="s">
        <v>14</v>
      </c>
      <c r="E818" s="3">
        <v>21</v>
      </c>
      <c r="F818">
        <f>SUM(E816:E818)</f>
        <v>350</v>
      </c>
      <c r="G818" s="57"/>
    </row>
    <row r="819" spans="1:7" ht="12.75" x14ac:dyDescent="0.2">
      <c r="A819" s="3">
        <v>95</v>
      </c>
      <c r="B819" s="3" t="s">
        <v>115</v>
      </c>
      <c r="C819" s="3" t="s">
        <v>15</v>
      </c>
      <c r="D819" s="3" t="s">
        <v>279</v>
      </c>
      <c r="E819" s="3">
        <v>54</v>
      </c>
      <c r="G819" s="56">
        <v>117</v>
      </c>
    </row>
    <row r="820" spans="1:7" ht="12.75" x14ac:dyDescent="0.2">
      <c r="A820" s="3">
        <v>95</v>
      </c>
      <c r="B820" s="3" t="s">
        <v>115</v>
      </c>
      <c r="C820" s="3" t="s">
        <v>15</v>
      </c>
      <c r="D820" s="3" t="s">
        <v>3</v>
      </c>
      <c r="E820" s="3">
        <v>57</v>
      </c>
      <c r="G820" s="57"/>
    </row>
    <row r="821" spans="1:7" ht="12.75" x14ac:dyDescent="0.2">
      <c r="A821" s="3">
        <v>95</v>
      </c>
      <c r="B821" s="3" t="s">
        <v>115</v>
      </c>
      <c r="C821" s="3" t="s">
        <v>15</v>
      </c>
      <c r="D821" s="3" t="s">
        <v>14</v>
      </c>
      <c r="E821" s="3">
        <v>6</v>
      </c>
      <c r="F821">
        <f>SUM(E819:E821)</f>
        <v>117</v>
      </c>
      <c r="G821" s="57"/>
    </row>
    <row r="822" spans="1:7" ht="12.75" x14ac:dyDescent="0.2">
      <c r="A822" s="3">
        <v>95</v>
      </c>
      <c r="B822" s="3" t="s">
        <v>115</v>
      </c>
      <c r="C822" s="3" t="s">
        <v>17</v>
      </c>
      <c r="D822" s="3" t="s">
        <v>279</v>
      </c>
      <c r="E822" s="3">
        <v>57</v>
      </c>
      <c r="G822" s="57"/>
    </row>
    <row r="823" spans="1:7" ht="12.75" x14ac:dyDescent="0.2">
      <c r="A823" s="3">
        <v>95</v>
      </c>
      <c r="B823" s="3" t="s">
        <v>115</v>
      </c>
      <c r="C823" s="3" t="s">
        <v>17</v>
      </c>
      <c r="D823" s="3" t="s">
        <v>3</v>
      </c>
      <c r="E823" s="3">
        <v>43</v>
      </c>
      <c r="G823" s="57"/>
    </row>
    <row r="824" spans="1:7" ht="12.75" x14ac:dyDescent="0.2">
      <c r="A824" s="3">
        <v>95</v>
      </c>
      <c r="B824" s="3" t="s">
        <v>115</v>
      </c>
      <c r="C824" s="3" t="s">
        <v>17</v>
      </c>
      <c r="D824" s="3" t="s">
        <v>14</v>
      </c>
      <c r="E824" s="3">
        <v>17</v>
      </c>
      <c r="F824">
        <f>SUM(E822:E824)</f>
        <v>117</v>
      </c>
      <c r="G824" s="57"/>
    </row>
    <row r="825" spans="1:7" ht="12.75" x14ac:dyDescent="0.2">
      <c r="G825" s="13"/>
    </row>
    <row r="826" spans="1:7" ht="12.75" x14ac:dyDescent="0.2">
      <c r="G826" s="13"/>
    </row>
    <row r="827" spans="1:7" ht="12.75" x14ac:dyDescent="0.2">
      <c r="G827" s="13"/>
    </row>
    <row r="828" spans="1:7" ht="12.75" x14ac:dyDescent="0.2">
      <c r="G828" s="13"/>
    </row>
    <row r="829" spans="1:7" ht="12.75" x14ac:dyDescent="0.2">
      <c r="G829" s="13"/>
    </row>
    <row r="830" spans="1:7" ht="12.75" x14ac:dyDescent="0.2">
      <c r="G830" s="13"/>
    </row>
    <row r="831" spans="1:7" ht="12.75" x14ac:dyDescent="0.2">
      <c r="G831" s="13"/>
    </row>
    <row r="832" spans="1:7" ht="12.75" x14ac:dyDescent="0.2">
      <c r="G832" s="13"/>
    </row>
    <row r="833" spans="7:7" ht="12.75" x14ac:dyDescent="0.2">
      <c r="G833" s="13"/>
    </row>
    <row r="834" spans="7:7" ht="12.75" x14ac:dyDescent="0.2">
      <c r="G834" s="13"/>
    </row>
    <row r="835" spans="7:7" ht="12.75" x14ac:dyDescent="0.2">
      <c r="G835" s="13"/>
    </row>
    <row r="836" spans="7:7" ht="12.75" x14ac:dyDescent="0.2">
      <c r="G836" s="13"/>
    </row>
    <row r="837" spans="7:7" ht="12.75" x14ac:dyDescent="0.2">
      <c r="G837" s="13"/>
    </row>
    <row r="838" spans="7:7" ht="12.75" x14ac:dyDescent="0.2">
      <c r="G838" s="13"/>
    </row>
    <row r="839" spans="7:7" ht="12.75" x14ac:dyDescent="0.2">
      <c r="G839" s="13"/>
    </row>
    <row r="840" spans="7:7" ht="12.75" x14ac:dyDescent="0.2">
      <c r="G840" s="13"/>
    </row>
    <row r="841" spans="7:7" ht="12.75" x14ac:dyDescent="0.2">
      <c r="G841" s="13"/>
    </row>
    <row r="842" spans="7:7" ht="12.75" x14ac:dyDescent="0.2">
      <c r="G842" s="13"/>
    </row>
    <row r="843" spans="7:7" ht="12.75" x14ac:dyDescent="0.2">
      <c r="G843" s="13"/>
    </row>
    <row r="844" spans="7:7" ht="12.75" x14ac:dyDescent="0.2">
      <c r="G844" s="13"/>
    </row>
    <row r="845" spans="7:7" ht="12.75" x14ac:dyDescent="0.2">
      <c r="G845" s="13"/>
    </row>
    <row r="846" spans="7:7" ht="12.75" x14ac:dyDescent="0.2">
      <c r="G846" s="13"/>
    </row>
    <row r="847" spans="7:7" ht="12.75" x14ac:dyDescent="0.2">
      <c r="G847" s="13"/>
    </row>
    <row r="848" spans="7:7" ht="12.75" x14ac:dyDescent="0.2">
      <c r="G848" s="13"/>
    </row>
    <row r="849" spans="7:7" ht="12.75" x14ac:dyDescent="0.2">
      <c r="G849" s="13"/>
    </row>
    <row r="850" spans="7:7" ht="12.75" x14ac:dyDescent="0.2">
      <c r="G850" s="13"/>
    </row>
    <row r="851" spans="7:7" ht="12.75" x14ac:dyDescent="0.2">
      <c r="G851" s="13"/>
    </row>
    <row r="852" spans="7:7" ht="12.75" x14ac:dyDescent="0.2">
      <c r="G852" s="13"/>
    </row>
    <row r="853" spans="7:7" ht="12.75" x14ac:dyDescent="0.2">
      <c r="G853" s="13"/>
    </row>
    <row r="854" spans="7:7" ht="12.75" x14ac:dyDescent="0.2">
      <c r="G854" s="13"/>
    </row>
    <row r="855" spans="7:7" ht="12.75" x14ac:dyDescent="0.2">
      <c r="G855" s="13"/>
    </row>
    <row r="856" spans="7:7" ht="12.75" x14ac:dyDescent="0.2">
      <c r="G856" s="13"/>
    </row>
    <row r="857" spans="7:7" ht="12.75" x14ac:dyDescent="0.2">
      <c r="G857" s="13"/>
    </row>
    <row r="858" spans="7:7" ht="12.75" x14ac:dyDescent="0.2">
      <c r="G858" s="13"/>
    </row>
    <row r="859" spans="7:7" ht="12.75" x14ac:dyDescent="0.2">
      <c r="G859" s="13"/>
    </row>
    <row r="860" spans="7:7" ht="12.75" x14ac:dyDescent="0.2">
      <c r="G860" s="13"/>
    </row>
    <row r="861" spans="7:7" ht="12.75" x14ac:dyDescent="0.2">
      <c r="G861" s="13"/>
    </row>
    <row r="862" spans="7:7" ht="12.75" x14ac:dyDescent="0.2">
      <c r="G862" s="13"/>
    </row>
    <row r="863" spans="7:7" ht="12.75" x14ac:dyDescent="0.2">
      <c r="G863" s="13"/>
    </row>
    <row r="864" spans="7:7" ht="12.75" x14ac:dyDescent="0.2">
      <c r="G864" s="13"/>
    </row>
    <row r="865" spans="7:7" ht="12.75" x14ac:dyDescent="0.2">
      <c r="G865" s="13"/>
    </row>
    <row r="866" spans="7:7" ht="12.75" x14ac:dyDescent="0.2">
      <c r="G866" s="13"/>
    </row>
    <row r="867" spans="7:7" ht="12.75" x14ac:dyDescent="0.2">
      <c r="G867" s="13"/>
    </row>
    <row r="868" spans="7:7" ht="12.75" x14ac:dyDescent="0.2">
      <c r="G868" s="13"/>
    </row>
    <row r="869" spans="7:7" ht="12.75" x14ac:dyDescent="0.2">
      <c r="G869" s="13"/>
    </row>
    <row r="870" spans="7:7" ht="12.75" x14ac:dyDescent="0.2">
      <c r="G870" s="13"/>
    </row>
    <row r="871" spans="7:7" ht="12.75" x14ac:dyDescent="0.2">
      <c r="G871" s="13"/>
    </row>
    <row r="872" spans="7:7" ht="12.75" x14ac:dyDescent="0.2">
      <c r="G872" s="13"/>
    </row>
    <row r="873" spans="7:7" ht="12.75" x14ac:dyDescent="0.2">
      <c r="G873" s="13"/>
    </row>
    <row r="874" spans="7:7" ht="12.75" x14ac:dyDescent="0.2">
      <c r="G874" s="13"/>
    </row>
    <row r="875" spans="7:7" ht="12.75" x14ac:dyDescent="0.2">
      <c r="G875" s="13"/>
    </row>
    <row r="876" spans="7:7" ht="12.75" x14ac:dyDescent="0.2">
      <c r="G876" s="13"/>
    </row>
    <row r="877" spans="7:7" ht="12.75" x14ac:dyDescent="0.2">
      <c r="G877" s="13"/>
    </row>
    <row r="878" spans="7:7" ht="12.75" x14ac:dyDescent="0.2">
      <c r="G878" s="13"/>
    </row>
    <row r="879" spans="7:7" ht="12.75" x14ac:dyDescent="0.2">
      <c r="G879" s="13"/>
    </row>
    <row r="880" spans="7:7" ht="12.75" x14ac:dyDescent="0.2">
      <c r="G880" s="13"/>
    </row>
    <row r="881" spans="7:7" ht="12.75" x14ac:dyDescent="0.2">
      <c r="G881" s="13"/>
    </row>
    <row r="882" spans="7:7" ht="12.75" x14ac:dyDescent="0.2">
      <c r="G882" s="13"/>
    </row>
    <row r="883" spans="7:7" ht="12.75" x14ac:dyDescent="0.2">
      <c r="G883" s="13"/>
    </row>
    <row r="884" spans="7:7" ht="12.75" x14ac:dyDescent="0.2">
      <c r="G884" s="13"/>
    </row>
    <row r="885" spans="7:7" ht="12.75" x14ac:dyDescent="0.2">
      <c r="G885" s="13"/>
    </row>
    <row r="886" spans="7:7" ht="12.75" x14ac:dyDescent="0.2">
      <c r="G886" s="13"/>
    </row>
    <row r="887" spans="7:7" ht="12.75" x14ac:dyDescent="0.2">
      <c r="G887" s="13"/>
    </row>
    <row r="888" spans="7:7" ht="12.75" x14ac:dyDescent="0.2">
      <c r="G888" s="13"/>
    </row>
    <row r="889" spans="7:7" ht="12.75" x14ac:dyDescent="0.2">
      <c r="G889" s="13"/>
    </row>
    <row r="890" spans="7:7" ht="12.75" x14ac:dyDescent="0.2">
      <c r="G890" s="13"/>
    </row>
    <row r="891" spans="7:7" ht="12.75" x14ac:dyDescent="0.2">
      <c r="G891" s="13"/>
    </row>
    <row r="892" spans="7:7" ht="12.75" x14ac:dyDescent="0.2">
      <c r="G892" s="13"/>
    </row>
    <row r="893" spans="7:7" ht="12.75" x14ac:dyDescent="0.2">
      <c r="G893" s="13"/>
    </row>
    <row r="894" spans="7:7" ht="12.75" x14ac:dyDescent="0.2">
      <c r="G894" s="13"/>
    </row>
    <row r="895" spans="7:7" ht="12.75" x14ac:dyDescent="0.2">
      <c r="G895" s="13"/>
    </row>
    <row r="896" spans="7:7" ht="12.75" x14ac:dyDescent="0.2">
      <c r="G896" s="13"/>
    </row>
    <row r="897" spans="7:7" ht="12.75" x14ac:dyDescent="0.2">
      <c r="G897" s="13"/>
    </row>
    <row r="898" spans="7:7" ht="12.75" x14ac:dyDescent="0.2">
      <c r="G898" s="13"/>
    </row>
    <row r="899" spans="7:7" ht="12.75" x14ac:dyDescent="0.2">
      <c r="G899" s="13"/>
    </row>
    <row r="900" spans="7:7" ht="12.75" x14ac:dyDescent="0.2">
      <c r="G900" s="13"/>
    </row>
    <row r="901" spans="7:7" ht="12.75" x14ac:dyDescent="0.2">
      <c r="G901" s="13"/>
    </row>
    <row r="902" spans="7:7" ht="12.75" x14ac:dyDescent="0.2">
      <c r="G902" s="13"/>
    </row>
    <row r="903" spans="7:7" ht="12.75" x14ac:dyDescent="0.2">
      <c r="G903" s="13"/>
    </row>
    <row r="904" spans="7:7" ht="12.75" x14ac:dyDescent="0.2">
      <c r="G904" s="13"/>
    </row>
    <row r="905" spans="7:7" ht="12.75" x14ac:dyDescent="0.2">
      <c r="G905" s="13"/>
    </row>
    <row r="906" spans="7:7" ht="12.75" x14ac:dyDescent="0.2">
      <c r="G906" s="13"/>
    </row>
    <row r="907" spans="7:7" ht="12.75" x14ac:dyDescent="0.2">
      <c r="G907" s="13"/>
    </row>
    <row r="908" spans="7:7" ht="12.75" x14ac:dyDescent="0.2">
      <c r="G908" s="13"/>
    </row>
    <row r="909" spans="7:7" ht="12.75" x14ac:dyDescent="0.2">
      <c r="G909" s="13"/>
    </row>
    <row r="910" spans="7:7" ht="12.75" x14ac:dyDescent="0.2">
      <c r="G910" s="13"/>
    </row>
    <row r="911" spans="7:7" ht="12.75" x14ac:dyDescent="0.2">
      <c r="G911" s="13"/>
    </row>
    <row r="912" spans="7:7" ht="12.75" x14ac:dyDescent="0.2">
      <c r="G912" s="13"/>
    </row>
    <row r="913" spans="7:7" ht="12.75" x14ac:dyDescent="0.2">
      <c r="G913" s="13"/>
    </row>
    <row r="914" spans="7:7" ht="12.75" x14ac:dyDescent="0.2">
      <c r="G914" s="13"/>
    </row>
    <row r="915" spans="7:7" ht="12.75" x14ac:dyDescent="0.2">
      <c r="G915" s="13"/>
    </row>
    <row r="916" spans="7:7" ht="12.75" x14ac:dyDescent="0.2">
      <c r="G916" s="13"/>
    </row>
    <row r="917" spans="7:7" ht="12.75" x14ac:dyDescent="0.2">
      <c r="G917" s="13"/>
    </row>
    <row r="918" spans="7:7" ht="12.75" x14ac:dyDescent="0.2">
      <c r="G918" s="13"/>
    </row>
    <row r="919" spans="7:7" ht="12.75" x14ac:dyDescent="0.2">
      <c r="G919" s="13"/>
    </row>
    <row r="920" spans="7:7" ht="12.75" x14ac:dyDescent="0.2">
      <c r="G920" s="13"/>
    </row>
    <row r="921" spans="7:7" ht="12.75" x14ac:dyDescent="0.2">
      <c r="G921" s="13"/>
    </row>
    <row r="922" spans="7:7" ht="12.75" x14ac:dyDescent="0.2">
      <c r="G922" s="13"/>
    </row>
    <row r="923" spans="7:7" ht="12.75" x14ac:dyDescent="0.2">
      <c r="G923" s="13"/>
    </row>
    <row r="924" spans="7:7" ht="12.75" x14ac:dyDescent="0.2">
      <c r="G924" s="13"/>
    </row>
    <row r="925" spans="7:7" ht="12.75" x14ac:dyDescent="0.2">
      <c r="G925" s="13"/>
    </row>
    <row r="926" spans="7:7" ht="12.75" x14ac:dyDescent="0.2">
      <c r="G926" s="13"/>
    </row>
    <row r="927" spans="7:7" ht="12.75" x14ac:dyDescent="0.2">
      <c r="G927" s="13"/>
    </row>
    <row r="928" spans="7:7" ht="12.75" x14ac:dyDescent="0.2">
      <c r="G928" s="13"/>
    </row>
    <row r="929" spans="7:7" ht="12.75" x14ac:dyDescent="0.2">
      <c r="G929" s="13"/>
    </row>
    <row r="930" spans="7:7" ht="12.75" x14ac:dyDescent="0.2">
      <c r="G930" s="13"/>
    </row>
    <row r="931" spans="7:7" ht="12.75" x14ac:dyDescent="0.2">
      <c r="G931" s="13"/>
    </row>
    <row r="932" spans="7:7" ht="12.75" x14ac:dyDescent="0.2">
      <c r="G932" s="13"/>
    </row>
    <row r="933" spans="7:7" ht="12.75" x14ac:dyDescent="0.2">
      <c r="G933" s="13"/>
    </row>
    <row r="934" spans="7:7" ht="12.75" x14ac:dyDescent="0.2">
      <c r="G934" s="13"/>
    </row>
    <row r="935" spans="7:7" ht="12.75" x14ac:dyDescent="0.2">
      <c r="G935" s="13"/>
    </row>
    <row r="936" spans="7:7" ht="12.75" x14ac:dyDescent="0.2">
      <c r="G936" s="13"/>
    </row>
    <row r="937" spans="7:7" ht="12.75" x14ac:dyDescent="0.2">
      <c r="G937" s="13"/>
    </row>
    <row r="938" spans="7:7" ht="12.75" x14ac:dyDescent="0.2">
      <c r="G938" s="13"/>
    </row>
    <row r="939" spans="7:7" ht="12.75" x14ac:dyDescent="0.2">
      <c r="G939" s="13"/>
    </row>
    <row r="940" spans="7:7" ht="12.75" x14ac:dyDescent="0.2">
      <c r="G940" s="13"/>
    </row>
    <row r="941" spans="7:7" ht="12.75" x14ac:dyDescent="0.2">
      <c r="G941" s="13"/>
    </row>
    <row r="942" spans="7:7" ht="12.75" x14ac:dyDescent="0.2">
      <c r="G942" s="13"/>
    </row>
    <row r="943" spans="7:7" ht="12.75" x14ac:dyDescent="0.2">
      <c r="G943" s="13"/>
    </row>
    <row r="944" spans="7:7" ht="12.75" x14ac:dyDescent="0.2">
      <c r="G944" s="13"/>
    </row>
    <row r="945" spans="7:7" ht="12.75" x14ac:dyDescent="0.2">
      <c r="G945" s="13"/>
    </row>
    <row r="946" spans="7:7" ht="12.75" x14ac:dyDescent="0.2">
      <c r="G946" s="13"/>
    </row>
    <row r="947" spans="7:7" ht="12.75" x14ac:dyDescent="0.2">
      <c r="G947" s="13"/>
    </row>
    <row r="948" spans="7:7" ht="12.75" x14ac:dyDescent="0.2">
      <c r="G948" s="13"/>
    </row>
    <row r="949" spans="7:7" ht="12.75" x14ac:dyDescent="0.2">
      <c r="G949" s="13"/>
    </row>
    <row r="950" spans="7:7" ht="12.75" x14ac:dyDescent="0.2">
      <c r="G950" s="13"/>
    </row>
    <row r="951" spans="7:7" ht="12.75" x14ac:dyDescent="0.2">
      <c r="G951" s="13"/>
    </row>
    <row r="952" spans="7:7" ht="12.75" x14ac:dyDescent="0.2">
      <c r="G952" s="13"/>
    </row>
    <row r="953" spans="7:7" ht="12.75" x14ac:dyDescent="0.2">
      <c r="G953" s="13"/>
    </row>
    <row r="954" spans="7:7" ht="12.75" x14ac:dyDescent="0.2">
      <c r="G954" s="13"/>
    </row>
    <row r="955" spans="7:7" ht="12.75" x14ac:dyDescent="0.2">
      <c r="G955" s="13"/>
    </row>
    <row r="956" spans="7:7" ht="12.75" x14ac:dyDescent="0.2">
      <c r="G956" s="13"/>
    </row>
    <row r="957" spans="7:7" ht="12.75" x14ac:dyDescent="0.2">
      <c r="G957" s="13"/>
    </row>
    <row r="958" spans="7:7" ht="12.75" x14ac:dyDescent="0.2">
      <c r="G958" s="13"/>
    </row>
    <row r="959" spans="7:7" ht="12.75" x14ac:dyDescent="0.2">
      <c r="G959" s="13"/>
    </row>
    <row r="960" spans="7:7" ht="12.75" x14ac:dyDescent="0.2">
      <c r="G960" s="13"/>
    </row>
    <row r="961" spans="7:7" ht="12.75" x14ac:dyDescent="0.2">
      <c r="G961" s="13"/>
    </row>
    <row r="962" spans="7:7" ht="12.75" x14ac:dyDescent="0.2">
      <c r="G962" s="13"/>
    </row>
    <row r="963" spans="7:7" ht="12.75" x14ac:dyDescent="0.2">
      <c r="G963" s="13"/>
    </row>
    <row r="964" spans="7:7" ht="12.75" x14ac:dyDescent="0.2">
      <c r="G964" s="13"/>
    </row>
    <row r="965" spans="7:7" ht="12.75" x14ac:dyDescent="0.2">
      <c r="G965" s="13"/>
    </row>
    <row r="966" spans="7:7" ht="12.75" x14ac:dyDescent="0.2">
      <c r="G966" s="13"/>
    </row>
    <row r="967" spans="7:7" ht="12.75" x14ac:dyDescent="0.2">
      <c r="G967" s="13"/>
    </row>
    <row r="968" spans="7:7" ht="12.75" x14ac:dyDescent="0.2">
      <c r="G968" s="13"/>
    </row>
    <row r="969" spans="7:7" ht="12.75" x14ac:dyDescent="0.2">
      <c r="G969" s="13"/>
    </row>
    <row r="970" spans="7:7" ht="12.75" x14ac:dyDescent="0.2">
      <c r="G970" s="13"/>
    </row>
    <row r="971" spans="7:7" ht="12.75" x14ac:dyDescent="0.2">
      <c r="G971" s="13"/>
    </row>
    <row r="972" spans="7:7" ht="12.75" x14ac:dyDescent="0.2">
      <c r="G972" s="13"/>
    </row>
    <row r="973" spans="7:7" ht="12.75" x14ac:dyDescent="0.2">
      <c r="G973" s="13"/>
    </row>
    <row r="974" spans="7:7" ht="12.75" x14ac:dyDescent="0.2">
      <c r="G974" s="13"/>
    </row>
    <row r="975" spans="7:7" ht="12.75" x14ac:dyDescent="0.2">
      <c r="G975" s="13"/>
    </row>
    <row r="976" spans="7:7" ht="12.75" x14ac:dyDescent="0.2">
      <c r="G976" s="13"/>
    </row>
    <row r="977" spans="7:7" ht="12.75" x14ac:dyDescent="0.2">
      <c r="G977" s="13"/>
    </row>
    <row r="978" spans="7:7" ht="12.75" x14ac:dyDescent="0.2">
      <c r="G978" s="13"/>
    </row>
    <row r="979" spans="7:7" ht="12.75" x14ac:dyDescent="0.2">
      <c r="G979" s="13"/>
    </row>
    <row r="980" spans="7:7" ht="12.75" x14ac:dyDescent="0.2">
      <c r="G980" s="13"/>
    </row>
    <row r="981" spans="7:7" ht="12.75" x14ac:dyDescent="0.2">
      <c r="G981" s="13"/>
    </row>
    <row r="982" spans="7:7" ht="12.75" x14ac:dyDescent="0.2">
      <c r="G982" s="13"/>
    </row>
    <row r="983" spans="7:7" ht="12.75" x14ac:dyDescent="0.2">
      <c r="G983" s="13"/>
    </row>
    <row r="984" spans="7:7" ht="12.75" x14ac:dyDescent="0.2">
      <c r="G984" s="13"/>
    </row>
    <row r="985" spans="7:7" ht="12.75" x14ac:dyDescent="0.2">
      <c r="G985" s="13"/>
    </row>
    <row r="986" spans="7:7" ht="12.75" x14ac:dyDescent="0.2">
      <c r="G986" s="13"/>
    </row>
    <row r="987" spans="7:7" ht="12.75" x14ac:dyDescent="0.2">
      <c r="G987" s="13"/>
    </row>
    <row r="988" spans="7:7" ht="12.75" x14ac:dyDescent="0.2">
      <c r="G988" s="13"/>
    </row>
    <row r="989" spans="7:7" ht="12.75" x14ac:dyDescent="0.2">
      <c r="G989" s="13"/>
    </row>
    <row r="990" spans="7:7" ht="12.75" x14ac:dyDescent="0.2">
      <c r="G990" s="13"/>
    </row>
    <row r="991" spans="7:7" ht="12.75" x14ac:dyDescent="0.2">
      <c r="G991" s="13"/>
    </row>
    <row r="992" spans="7:7" ht="12.75" x14ac:dyDescent="0.2">
      <c r="G992" s="13"/>
    </row>
    <row r="993" spans="7:7" ht="12.75" x14ac:dyDescent="0.2">
      <c r="G993" s="13"/>
    </row>
    <row r="994" spans="7:7" ht="12.75" x14ac:dyDescent="0.2">
      <c r="G994" s="13"/>
    </row>
    <row r="995" spans="7:7" ht="12.75" x14ac:dyDescent="0.2">
      <c r="G995" s="13"/>
    </row>
    <row r="996" spans="7:7" ht="12.75" x14ac:dyDescent="0.2">
      <c r="G996" s="13"/>
    </row>
    <row r="997" spans="7:7" ht="12.75" x14ac:dyDescent="0.2">
      <c r="G997" s="13"/>
    </row>
    <row r="998" spans="7:7" ht="12.75" x14ac:dyDescent="0.2">
      <c r="G998" s="13"/>
    </row>
    <row r="999" spans="7:7" ht="12.75" x14ac:dyDescent="0.2">
      <c r="G999" s="13"/>
    </row>
    <row r="1000" spans="7:7" ht="12.75" x14ac:dyDescent="0.2">
      <c r="G1000" s="13"/>
    </row>
    <row r="1001" spans="7:7" ht="12.75" x14ac:dyDescent="0.2">
      <c r="G1001" s="13"/>
    </row>
    <row r="1002" spans="7:7" ht="12.75" x14ac:dyDescent="0.2">
      <c r="G1002" s="13"/>
    </row>
    <row r="1003" spans="7:7" ht="12.75" x14ac:dyDescent="0.2">
      <c r="G1003" s="13"/>
    </row>
    <row r="1004" spans="7:7" ht="12.75" x14ac:dyDescent="0.2">
      <c r="G1004" s="13"/>
    </row>
    <row r="1005" spans="7:7" ht="12.75" x14ac:dyDescent="0.2">
      <c r="G1005" s="13"/>
    </row>
    <row r="1006" spans="7:7" ht="12.75" x14ac:dyDescent="0.2">
      <c r="G1006" s="13"/>
    </row>
    <row r="1007" spans="7:7" ht="12.75" x14ac:dyDescent="0.2">
      <c r="G1007" s="13"/>
    </row>
    <row r="1008" spans="7:7" ht="12.75" x14ac:dyDescent="0.2">
      <c r="G1008" s="13"/>
    </row>
    <row r="1009" spans="7:7" ht="12.75" x14ac:dyDescent="0.2">
      <c r="G1009" s="13"/>
    </row>
    <row r="1010" spans="7:7" ht="12.75" x14ac:dyDescent="0.2">
      <c r="G1010" s="13"/>
    </row>
    <row r="1011" spans="7:7" ht="12.75" x14ac:dyDescent="0.2">
      <c r="G1011" s="13"/>
    </row>
    <row r="1012" spans="7:7" ht="12.75" x14ac:dyDescent="0.2">
      <c r="G1012" s="13"/>
    </row>
    <row r="1013" spans="7:7" ht="12.75" x14ac:dyDescent="0.2">
      <c r="G1013" s="13"/>
    </row>
    <row r="1014" spans="7:7" ht="12.75" x14ac:dyDescent="0.2">
      <c r="G1014" s="13"/>
    </row>
    <row r="1015" spans="7:7" ht="12.75" x14ac:dyDescent="0.2">
      <c r="G1015" s="13"/>
    </row>
    <row r="1016" spans="7:7" ht="12.75" x14ac:dyDescent="0.2">
      <c r="G1016" s="13"/>
    </row>
    <row r="1017" spans="7:7" ht="12.75" x14ac:dyDescent="0.2">
      <c r="G1017" s="13"/>
    </row>
    <row r="1018" spans="7:7" ht="12.75" x14ac:dyDescent="0.2">
      <c r="G1018" s="13"/>
    </row>
    <row r="1019" spans="7:7" ht="12.75" x14ac:dyDescent="0.2">
      <c r="G1019" s="13"/>
    </row>
    <row r="1020" spans="7:7" ht="12.75" x14ac:dyDescent="0.2">
      <c r="G1020" s="13"/>
    </row>
    <row r="1021" spans="7:7" ht="12.75" x14ac:dyDescent="0.2">
      <c r="G1021" s="13"/>
    </row>
    <row r="1022" spans="7:7" ht="12.75" x14ac:dyDescent="0.2">
      <c r="G1022" s="13"/>
    </row>
    <row r="1023" spans="7:7" ht="12.75" x14ac:dyDescent="0.2">
      <c r="G1023" s="13"/>
    </row>
    <row r="1024" spans="7:7" ht="12.75" x14ac:dyDescent="0.2">
      <c r="G1024" s="13"/>
    </row>
    <row r="1025" spans="7:7" ht="12.75" x14ac:dyDescent="0.2">
      <c r="G1025" s="13"/>
    </row>
    <row r="1026" spans="7:7" ht="12.75" x14ac:dyDescent="0.2">
      <c r="G1026" s="13"/>
    </row>
    <row r="1027" spans="7:7" ht="12.75" x14ac:dyDescent="0.2">
      <c r="G1027" s="13"/>
    </row>
    <row r="1028" spans="7:7" ht="12.75" x14ac:dyDescent="0.2">
      <c r="G1028" s="13"/>
    </row>
    <row r="1029" spans="7:7" ht="12.75" x14ac:dyDescent="0.2">
      <c r="G1029" s="13"/>
    </row>
    <row r="1030" spans="7:7" ht="12.75" x14ac:dyDescent="0.2">
      <c r="G1030" s="13"/>
    </row>
    <row r="1031" spans="7:7" ht="12.75" x14ac:dyDescent="0.2">
      <c r="G1031" s="13"/>
    </row>
    <row r="1032" spans="7:7" ht="12.75" x14ac:dyDescent="0.2">
      <c r="G1032" s="13"/>
    </row>
    <row r="1033" spans="7:7" ht="12.75" x14ac:dyDescent="0.2">
      <c r="G1033" s="13"/>
    </row>
    <row r="1034" spans="7:7" ht="12.75" x14ac:dyDescent="0.2">
      <c r="G1034" s="13"/>
    </row>
    <row r="1035" spans="7:7" ht="12.75" x14ac:dyDescent="0.2">
      <c r="G1035" s="13"/>
    </row>
    <row r="1036" spans="7:7" ht="12.75" x14ac:dyDescent="0.2">
      <c r="G1036" s="13"/>
    </row>
    <row r="1037" spans="7:7" ht="12.75" x14ac:dyDescent="0.2">
      <c r="G1037" s="13"/>
    </row>
    <row r="1038" spans="7:7" ht="12.75" x14ac:dyDescent="0.2">
      <c r="G1038" s="13"/>
    </row>
    <row r="1039" spans="7:7" ht="12.75" x14ac:dyDescent="0.2">
      <c r="G1039" s="13"/>
    </row>
    <row r="1040" spans="7:7" ht="12.75" x14ac:dyDescent="0.2">
      <c r="G1040" s="13"/>
    </row>
    <row r="1041" spans="7:7" ht="12.75" x14ac:dyDescent="0.2">
      <c r="G1041" s="13"/>
    </row>
    <row r="1042" spans="7:7" ht="12.75" x14ac:dyDescent="0.2">
      <c r="G1042" s="13"/>
    </row>
    <row r="1043" spans="7:7" ht="12.75" x14ac:dyDescent="0.2">
      <c r="G1043" s="13"/>
    </row>
    <row r="1044" spans="7:7" ht="12.75" x14ac:dyDescent="0.2">
      <c r="G1044" s="13"/>
    </row>
    <row r="1045" spans="7:7" ht="12.75" x14ac:dyDescent="0.2">
      <c r="G1045" s="13"/>
    </row>
    <row r="1046" spans="7:7" ht="12.75" x14ac:dyDescent="0.2">
      <c r="G1046" s="13"/>
    </row>
    <row r="1047" spans="7:7" ht="12.75" x14ac:dyDescent="0.2">
      <c r="G1047" s="13"/>
    </row>
    <row r="1048" spans="7:7" ht="12.75" x14ac:dyDescent="0.2">
      <c r="G1048" s="13"/>
    </row>
    <row r="1049" spans="7:7" ht="12.75" x14ac:dyDescent="0.2">
      <c r="G1049" s="13"/>
    </row>
    <row r="1050" spans="7:7" ht="12.75" x14ac:dyDescent="0.2">
      <c r="G1050" s="13"/>
    </row>
    <row r="1051" spans="7:7" ht="12.75" x14ac:dyDescent="0.2">
      <c r="G1051" s="13"/>
    </row>
    <row r="1052" spans="7:7" ht="12.75" x14ac:dyDescent="0.2">
      <c r="G1052" s="13"/>
    </row>
    <row r="1053" spans="7:7" ht="12.75" x14ac:dyDescent="0.2">
      <c r="G1053" s="13"/>
    </row>
    <row r="1054" spans="7:7" ht="12.75" x14ac:dyDescent="0.2">
      <c r="G1054" s="13"/>
    </row>
    <row r="1055" spans="7:7" ht="12.75" x14ac:dyDescent="0.2">
      <c r="G1055" s="13"/>
    </row>
    <row r="1056" spans="7:7" ht="12.75" x14ac:dyDescent="0.2">
      <c r="G1056" s="13"/>
    </row>
    <row r="1057" spans="7:7" ht="12.75" x14ac:dyDescent="0.2">
      <c r="G1057" s="13"/>
    </row>
    <row r="1058" spans="7:7" ht="12.75" x14ac:dyDescent="0.2">
      <c r="G1058" s="13"/>
    </row>
    <row r="1059" spans="7:7" ht="12.75" x14ac:dyDescent="0.2">
      <c r="G1059" s="13"/>
    </row>
    <row r="1060" spans="7:7" ht="12.75" x14ac:dyDescent="0.2">
      <c r="G1060" s="13"/>
    </row>
    <row r="1061" spans="7:7" ht="12.75" x14ac:dyDescent="0.2">
      <c r="G1061" s="13"/>
    </row>
    <row r="1062" spans="7:7" ht="12.75" x14ac:dyDescent="0.2">
      <c r="G1062" s="13"/>
    </row>
    <row r="1063" spans="7:7" ht="12.75" x14ac:dyDescent="0.2">
      <c r="G1063" s="13"/>
    </row>
    <row r="1064" spans="7:7" ht="12.75" x14ac:dyDescent="0.2">
      <c r="G1064" s="13"/>
    </row>
    <row r="1065" spans="7:7" ht="12.75" x14ac:dyDescent="0.2">
      <c r="G1065" s="13"/>
    </row>
    <row r="1066" spans="7:7" ht="12.75" x14ac:dyDescent="0.2">
      <c r="G1066" s="13"/>
    </row>
    <row r="1067" spans="7:7" ht="12.75" x14ac:dyDescent="0.2">
      <c r="G1067" s="13"/>
    </row>
    <row r="1068" spans="7:7" ht="12.75" x14ac:dyDescent="0.2">
      <c r="G1068" s="13"/>
    </row>
    <row r="1069" spans="7:7" ht="12.75" x14ac:dyDescent="0.2">
      <c r="G1069" s="13"/>
    </row>
    <row r="1070" spans="7:7" ht="12.75" x14ac:dyDescent="0.2">
      <c r="G1070" s="13"/>
    </row>
    <row r="1071" spans="7:7" ht="12.75" x14ac:dyDescent="0.2">
      <c r="G1071" s="13"/>
    </row>
    <row r="1072" spans="7:7" ht="12.75" x14ac:dyDescent="0.2">
      <c r="G1072" s="13"/>
    </row>
    <row r="1073" spans="7:7" ht="12.75" x14ac:dyDescent="0.2">
      <c r="G1073" s="13"/>
    </row>
    <row r="1074" spans="7:7" ht="12.75" x14ac:dyDescent="0.2">
      <c r="G1074" s="13"/>
    </row>
    <row r="1075" spans="7:7" ht="12.75" x14ac:dyDescent="0.2">
      <c r="G1075" s="13"/>
    </row>
    <row r="1076" spans="7:7" ht="12.75" x14ac:dyDescent="0.2">
      <c r="G1076" s="13"/>
    </row>
    <row r="1077" spans="7:7" ht="12.75" x14ac:dyDescent="0.2">
      <c r="G1077" s="13"/>
    </row>
    <row r="1078" spans="7:7" ht="12.75" x14ac:dyDescent="0.2">
      <c r="G1078" s="13"/>
    </row>
    <row r="1079" spans="7:7" ht="12.75" x14ac:dyDescent="0.2">
      <c r="G1079" s="13"/>
    </row>
    <row r="1080" spans="7:7" ht="12.75" x14ac:dyDescent="0.2">
      <c r="G1080" s="13"/>
    </row>
    <row r="1081" spans="7:7" ht="12.75" x14ac:dyDescent="0.2">
      <c r="G1081" s="13"/>
    </row>
    <row r="1082" spans="7:7" ht="12.75" x14ac:dyDescent="0.2">
      <c r="G1082" s="13"/>
    </row>
    <row r="1083" spans="7:7" ht="12.75" x14ac:dyDescent="0.2">
      <c r="G1083" s="13"/>
    </row>
    <row r="1084" spans="7:7" ht="12.75" x14ac:dyDescent="0.2">
      <c r="G1084" s="13"/>
    </row>
    <row r="1085" spans="7:7" ht="12.75" x14ac:dyDescent="0.2">
      <c r="G1085" s="13"/>
    </row>
    <row r="1086" spans="7:7" ht="12.75" x14ac:dyDescent="0.2">
      <c r="G1086" s="13"/>
    </row>
    <row r="1087" spans="7:7" ht="12.75" x14ac:dyDescent="0.2">
      <c r="G1087" s="13"/>
    </row>
    <row r="1088" spans="7:7" ht="12.75" x14ac:dyDescent="0.2">
      <c r="G1088" s="13"/>
    </row>
    <row r="1089" spans="7:7" ht="12.75" x14ac:dyDescent="0.2">
      <c r="G1089" s="13"/>
    </row>
    <row r="1090" spans="7:7" ht="12.75" x14ac:dyDescent="0.2">
      <c r="G1090" s="13"/>
    </row>
    <row r="1091" spans="7:7" ht="12.75" x14ac:dyDescent="0.2">
      <c r="G1091" s="13"/>
    </row>
    <row r="1092" spans="7:7" ht="12.75" x14ac:dyDescent="0.2">
      <c r="G1092" s="13"/>
    </row>
    <row r="1093" spans="7:7" ht="12.75" x14ac:dyDescent="0.2">
      <c r="G1093" s="13"/>
    </row>
    <row r="1094" spans="7:7" ht="12.75" x14ac:dyDescent="0.2">
      <c r="G1094" s="13"/>
    </row>
    <row r="1095" spans="7:7" ht="12.75" x14ac:dyDescent="0.2">
      <c r="G1095" s="13"/>
    </row>
    <row r="1096" spans="7:7" ht="12.75" x14ac:dyDescent="0.2">
      <c r="G1096" s="13"/>
    </row>
    <row r="1097" spans="7:7" ht="12.75" x14ac:dyDescent="0.2">
      <c r="G1097" s="13"/>
    </row>
    <row r="1098" spans="7:7" ht="12.75" x14ac:dyDescent="0.2">
      <c r="G1098" s="13"/>
    </row>
    <row r="1099" spans="7:7" ht="12.75" x14ac:dyDescent="0.2">
      <c r="G1099" s="13"/>
    </row>
    <row r="1100" spans="7:7" ht="12.75" x14ac:dyDescent="0.2">
      <c r="G1100" s="13"/>
    </row>
    <row r="1101" spans="7:7" ht="12.75" x14ac:dyDescent="0.2">
      <c r="G1101" s="13"/>
    </row>
    <row r="1102" spans="7:7" ht="12.75" x14ac:dyDescent="0.2">
      <c r="G1102" s="13"/>
    </row>
    <row r="1103" spans="7:7" ht="12.75" x14ac:dyDescent="0.2">
      <c r="G1103" s="13"/>
    </row>
    <row r="1104" spans="7:7" ht="12.75" x14ac:dyDescent="0.2">
      <c r="G1104" s="13"/>
    </row>
    <row r="1105" spans="7:7" ht="12.75" x14ac:dyDescent="0.2">
      <c r="G1105" s="13"/>
    </row>
    <row r="1106" spans="7:7" ht="12.75" x14ac:dyDescent="0.2">
      <c r="G1106" s="13"/>
    </row>
    <row r="1107" spans="7:7" ht="12.75" x14ac:dyDescent="0.2">
      <c r="G1107" s="13"/>
    </row>
    <row r="1108" spans="7:7" ht="12.75" x14ac:dyDescent="0.2">
      <c r="G1108" s="13"/>
    </row>
    <row r="1109" spans="7:7" ht="12.75" x14ac:dyDescent="0.2">
      <c r="G1109" s="13"/>
    </row>
    <row r="1110" spans="7:7" ht="12.75" x14ac:dyDescent="0.2">
      <c r="G1110" s="13"/>
    </row>
    <row r="1111" spans="7:7" ht="12.75" x14ac:dyDescent="0.2">
      <c r="G1111" s="13"/>
    </row>
    <row r="1112" spans="7:7" ht="12.75" x14ac:dyDescent="0.2">
      <c r="G1112" s="13"/>
    </row>
    <row r="1113" spans="7:7" ht="12.75" x14ac:dyDescent="0.2">
      <c r="G1113" s="13"/>
    </row>
    <row r="1114" spans="7:7" ht="12.75" x14ac:dyDescent="0.2">
      <c r="G1114" s="13"/>
    </row>
    <row r="1115" spans="7:7" ht="12.75" x14ac:dyDescent="0.2">
      <c r="G1115" s="13"/>
    </row>
    <row r="1116" spans="7:7" ht="12.75" x14ac:dyDescent="0.2">
      <c r="G1116" s="13"/>
    </row>
    <row r="1117" spans="7:7" ht="12.75" x14ac:dyDescent="0.2">
      <c r="G1117" s="13"/>
    </row>
    <row r="1118" spans="7:7" ht="12.75" x14ac:dyDescent="0.2">
      <c r="G1118" s="13"/>
    </row>
    <row r="1119" spans="7:7" ht="12.75" x14ac:dyDescent="0.2">
      <c r="G1119" s="13"/>
    </row>
    <row r="1120" spans="7:7" ht="12.75" x14ac:dyDescent="0.2">
      <c r="G1120" s="13"/>
    </row>
    <row r="1121" spans="7:7" ht="12.75" x14ac:dyDescent="0.2">
      <c r="G1121" s="13"/>
    </row>
    <row r="1122" spans="7:7" ht="12.75" x14ac:dyDescent="0.2">
      <c r="G1122" s="13"/>
    </row>
    <row r="1123" spans="7:7" ht="12.75" x14ac:dyDescent="0.2">
      <c r="G1123" s="13"/>
    </row>
    <row r="1124" spans="7:7" ht="12.75" x14ac:dyDescent="0.2">
      <c r="G1124" s="13"/>
    </row>
  </sheetData>
  <mergeCells count="79">
    <mergeCell ref="G514:G531"/>
    <mergeCell ref="G532:G543"/>
    <mergeCell ref="G544:G552"/>
    <mergeCell ref="G553:G561"/>
    <mergeCell ref="G562:G573"/>
    <mergeCell ref="G574:G577"/>
    <mergeCell ref="G578:G589"/>
    <mergeCell ref="G590:G598"/>
    <mergeCell ref="G599:G607"/>
    <mergeCell ref="G608:G616"/>
    <mergeCell ref="G617:G622"/>
    <mergeCell ref="G623:G626"/>
    <mergeCell ref="G627:G635"/>
    <mergeCell ref="G636:G641"/>
    <mergeCell ref="G642:G650"/>
    <mergeCell ref="G651:G656"/>
    <mergeCell ref="G657:G671"/>
    <mergeCell ref="G672:G675"/>
    <mergeCell ref="G676:G690"/>
    <mergeCell ref="G691:G707"/>
    <mergeCell ref="G708:G725"/>
    <mergeCell ref="G810:G818"/>
    <mergeCell ref="G819:G824"/>
    <mergeCell ref="G726:G734"/>
    <mergeCell ref="G735:G745"/>
    <mergeCell ref="G746:G755"/>
    <mergeCell ref="G756:G767"/>
    <mergeCell ref="G768:G776"/>
    <mergeCell ref="G777:G785"/>
    <mergeCell ref="G786:G809"/>
    <mergeCell ref="G6:G14"/>
    <mergeCell ref="G15:G24"/>
    <mergeCell ref="G25:G36"/>
    <mergeCell ref="G37:G45"/>
    <mergeCell ref="G46:G53"/>
    <mergeCell ref="G54:G68"/>
    <mergeCell ref="G69:G95"/>
    <mergeCell ref="G96:G109"/>
    <mergeCell ref="G110:G122"/>
    <mergeCell ref="G123:G137"/>
    <mergeCell ref="G138:G146"/>
    <mergeCell ref="G148:G168"/>
    <mergeCell ref="G169:G177"/>
    <mergeCell ref="G178:G181"/>
    <mergeCell ref="G182:G187"/>
    <mergeCell ref="G188:G196"/>
    <mergeCell ref="G197:G205"/>
    <mergeCell ref="G206:G213"/>
    <mergeCell ref="G214:G222"/>
    <mergeCell ref="G223:G230"/>
    <mergeCell ref="G231:G238"/>
    <mergeCell ref="G239:G251"/>
    <mergeCell ref="G252:G257"/>
    <mergeCell ref="G258:G269"/>
    <mergeCell ref="G270:G275"/>
    <mergeCell ref="G276:G287"/>
    <mergeCell ref="G288:G291"/>
    <mergeCell ref="G292:G300"/>
    <mergeCell ref="G301:G312"/>
    <mergeCell ref="G313:G324"/>
    <mergeCell ref="G325:G333"/>
    <mergeCell ref="G334:G337"/>
    <mergeCell ref="G338:G346"/>
    <mergeCell ref="G347:G355"/>
    <mergeCell ref="G356:G364"/>
    <mergeCell ref="G365:G379"/>
    <mergeCell ref="G380:G390"/>
    <mergeCell ref="G391:G399"/>
    <mergeCell ref="G400:G403"/>
    <mergeCell ref="G404:G418"/>
    <mergeCell ref="G464:G469"/>
    <mergeCell ref="G470:G475"/>
    <mergeCell ref="G476:G505"/>
    <mergeCell ref="G506:G513"/>
    <mergeCell ref="G419:G429"/>
    <mergeCell ref="G430:G443"/>
    <mergeCell ref="G444:G452"/>
    <mergeCell ref="G453:G457"/>
    <mergeCell ref="G458:G463"/>
  </mergeCells>
  <dataValidations count="1">
    <dataValidation type="list" allowBlank="1" sqref="D1:D1124" xr:uid="{00000000-0002-0000-0400-000002000000}">
      <formula1>$K$4:$K$83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'Copia de Localidades'!$A$4:$A$94</xm:f>
          </x14:formula1>
          <xm:sqref>B1:B1124</xm:sqref>
        </x14:dataValidation>
        <x14:dataValidation type="list" allowBlank="1" showErrorMessage="1" xr:uid="{00000000-0002-0000-0400-000001000000}">
          <x14:formula1>
            <xm:f>'1999-Prov'!$J$4:$J$17</xm:f>
          </x14:formula1>
          <xm:sqref>C6:C812 C816:C1124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996"/>
  <sheetViews>
    <sheetView workbookViewId="0"/>
  </sheetViews>
  <sheetFormatPr baseColWidth="10" defaultColWidth="14.42578125" defaultRowHeight="15.75" customHeight="1" x14ac:dyDescent="0.2"/>
  <cols>
    <col min="3" max="3" width="13.28515625" customWidth="1"/>
    <col min="4" max="4" width="12.28515625" customWidth="1"/>
    <col min="5" max="5" width="11.5703125" customWidth="1"/>
  </cols>
  <sheetData>
    <row r="1" spans="1:10" ht="15.75" customHeight="1" x14ac:dyDescent="0.2">
      <c r="F1" s="15"/>
    </row>
    <row r="2" spans="1:10" ht="15.75" customHeight="1" x14ac:dyDescent="0.2">
      <c r="F2" s="15"/>
    </row>
    <row r="3" spans="1:10" ht="15.75" customHeight="1" x14ac:dyDescent="0.2">
      <c r="A3" s="3" t="s">
        <v>320</v>
      </c>
      <c r="B3" s="3" t="s">
        <v>321</v>
      </c>
      <c r="C3" s="3" t="s">
        <v>322</v>
      </c>
      <c r="D3" s="3" t="s">
        <v>323</v>
      </c>
      <c r="E3" s="3" t="s">
        <v>324</v>
      </c>
      <c r="F3" s="15"/>
    </row>
    <row r="4" spans="1:10" ht="15.75" customHeight="1" x14ac:dyDescent="0.2">
      <c r="A4" s="3">
        <v>1</v>
      </c>
      <c r="B4" s="3" t="s">
        <v>325</v>
      </c>
      <c r="C4" s="3">
        <v>74</v>
      </c>
      <c r="D4">
        <f>31347+35363</f>
        <v>66710</v>
      </c>
      <c r="E4">
        <f>40547+44849</f>
        <v>85396</v>
      </c>
      <c r="F4" s="15">
        <f t="shared" ref="F4:F270" si="0">D4/E4</f>
        <v>0.7811841304042344</v>
      </c>
      <c r="J4" s="3" t="s">
        <v>326</v>
      </c>
    </row>
    <row r="5" spans="1:10" ht="15.75" customHeight="1" x14ac:dyDescent="0.2">
      <c r="A5" s="3">
        <v>2</v>
      </c>
      <c r="B5" s="3" t="s">
        <v>325</v>
      </c>
      <c r="C5" s="3">
        <v>35</v>
      </c>
      <c r="D5">
        <f>22169+14858</f>
        <v>37027</v>
      </c>
      <c r="E5">
        <f>18647+28080</f>
        <v>46727</v>
      </c>
      <c r="F5" s="15">
        <f t="shared" si="0"/>
        <v>0.7924112397543176</v>
      </c>
      <c r="J5" s="3" t="s">
        <v>327</v>
      </c>
    </row>
    <row r="6" spans="1:10" ht="15.75" customHeight="1" x14ac:dyDescent="0.2">
      <c r="A6" s="3">
        <v>3</v>
      </c>
      <c r="B6" s="3" t="s">
        <v>325</v>
      </c>
      <c r="C6" s="3">
        <v>37</v>
      </c>
      <c r="D6" s="3">
        <v>8338</v>
      </c>
      <c r="E6" s="3">
        <v>10855</v>
      </c>
      <c r="F6" s="15">
        <f t="shared" si="0"/>
        <v>0.76812528788576695</v>
      </c>
      <c r="J6" s="3" t="s">
        <v>328</v>
      </c>
    </row>
    <row r="7" spans="1:10" ht="15.75" customHeight="1" x14ac:dyDescent="0.2">
      <c r="A7" s="3">
        <v>4</v>
      </c>
      <c r="B7" s="3" t="s">
        <v>325</v>
      </c>
      <c r="C7" s="3">
        <v>78</v>
      </c>
      <c r="D7" s="3">
        <v>7255</v>
      </c>
      <c r="E7" s="3">
        <v>9128</v>
      </c>
      <c r="F7" s="15">
        <f t="shared" si="0"/>
        <v>0.79480718667835237</v>
      </c>
      <c r="J7" s="3" t="s">
        <v>329</v>
      </c>
    </row>
    <row r="8" spans="1:10" ht="15.75" customHeight="1" x14ac:dyDescent="0.2">
      <c r="A8" s="3">
        <v>5</v>
      </c>
      <c r="B8" s="3" t="s">
        <v>325</v>
      </c>
      <c r="C8" s="3">
        <v>32</v>
      </c>
      <c r="D8" s="3">
        <v>6729</v>
      </c>
      <c r="E8" s="3">
        <v>8426</v>
      </c>
      <c r="F8" s="15">
        <f t="shared" si="0"/>
        <v>0.79859957275100879</v>
      </c>
      <c r="J8" s="3" t="s">
        <v>330</v>
      </c>
    </row>
    <row r="9" spans="1:10" ht="15.75" customHeight="1" x14ac:dyDescent="0.2">
      <c r="A9" s="3">
        <v>6</v>
      </c>
      <c r="B9" s="3" t="s">
        <v>325</v>
      </c>
      <c r="C9" s="3">
        <v>19</v>
      </c>
      <c r="D9" s="3">
        <v>5140</v>
      </c>
      <c r="E9" s="3">
        <v>6365</v>
      </c>
      <c r="F9" s="15">
        <f t="shared" si="0"/>
        <v>0.80754124116260806</v>
      </c>
      <c r="J9" s="3" t="s">
        <v>325</v>
      </c>
    </row>
    <row r="10" spans="1:10" ht="15.75" customHeight="1" x14ac:dyDescent="0.2">
      <c r="A10" s="3">
        <v>7</v>
      </c>
      <c r="B10" s="3" t="s">
        <v>325</v>
      </c>
      <c r="C10" s="3">
        <v>43</v>
      </c>
      <c r="D10" s="3">
        <v>5296</v>
      </c>
      <c r="E10" s="3">
        <v>6508</v>
      </c>
      <c r="F10" s="15">
        <f t="shared" si="0"/>
        <v>0.81376767055931165</v>
      </c>
      <c r="J10" s="3" t="s">
        <v>331</v>
      </c>
    </row>
    <row r="11" spans="1:10" ht="15.75" customHeight="1" x14ac:dyDescent="0.2">
      <c r="A11" s="3">
        <v>8</v>
      </c>
      <c r="B11" s="3" t="s">
        <v>325</v>
      </c>
      <c r="C11" s="3">
        <v>71</v>
      </c>
      <c r="D11" s="3">
        <v>5120</v>
      </c>
      <c r="E11" s="3">
        <v>6433</v>
      </c>
      <c r="F11" s="15">
        <f t="shared" si="0"/>
        <v>0.79589616042281985</v>
      </c>
      <c r="J11" s="3" t="s">
        <v>332</v>
      </c>
    </row>
    <row r="12" spans="1:10" ht="15.75" customHeight="1" x14ac:dyDescent="0.2">
      <c r="A12" s="3">
        <v>9</v>
      </c>
      <c r="B12" s="3" t="s">
        <v>325</v>
      </c>
      <c r="C12" s="3">
        <v>86</v>
      </c>
      <c r="D12" s="3">
        <v>4224</v>
      </c>
      <c r="E12" s="3">
        <v>5167</v>
      </c>
      <c r="F12" s="15">
        <f t="shared" si="0"/>
        <v>0.81749564544222952</v>
      </c>
    </row>
    <row r="13" spans="1:10" ht="15.75" customHeight="1" x14ac:dyDescent="0.2">
      <c r="A13" s="3">
        <v>10</v>
      </c>
      <c r="B13" s="3" t="s">
        <v>325</v>
      </c>
      <c r="C13" s="3">
        <v>40</v>
      </c>
      <c r="D13" s="3">
        <v>2902</v>
      </c>
      <c r="E13" s="3">
        <v>3907</v>
      </c>
      <c r="F13" s="15">
        <f t="shared" si="0"/>
        <v>0.74276938827745076</v>
      </c>
    </row>
    <row r="14" spans="1:10" ht="15.75" customHeight="1" x14ac:dyDescent="0.2">
      <c r="A14" s="3">
        <v>11</v>
      </c>
      <c r="B14" s="3" t="s">
        <v>325</v>
      </c>
      <c r="C14" s="3">
        <v>53</v>
      </c>
      <c r="D14" s="3">
        <v>3625</v>
      </c>
      <c r="E14" s="3">
        <v>4313</v>
      </c>
      <c r="F14" s="15">
        <f t="shared" si="0"/>
        <v>0.84048226292603756</v>
      </c>
    </row>
    <row r="15" spans="1:10" ht="15.75" customHeight="1" x14ac:dyDescent="0.2">
      <c r="A15" s="3">
        <v>12</v>
      </c>
      <c r="B15" s="3" t="s">
        <v>325</v>
      </c>
      <c r="C15" s="3">
        <v>42</v>
      </c>
      <c r="D15" s="3">
        <v>3230</v>
      </c>
      <c r="E15" s="3">
        <v>4024</v>
      </c>
      <c r="F15" s="15">
        <f t="shared" si="0"/>
        <v>0.80268389662027828</v>
      </c>
    </row>
    <row r="16" spans="1:10" ht="15.75" customHeight="1" x14ac:dyDescent="0.2">
      <c r="A16" s="3">
        <v>13</v>
      </c>
      <c r="B16" s="3" t="s">
        <v>325</v>
      </c>
      <c r="C16" s="3">
        <v>15</v>
      </c>
      <c r="D16" s="3">
        <v>2743</v>
      </c>
      <c r="E16" s="3">
        <v>3357</v>
      </c>
      <c r="F16" s="15">
        <f t="shared" si="0"/>
        <v>0.817098599940423</v>
      </c>
    </row>
    <row r="17" spans="1:7" ht="15.75" customHeight="1" x14ac:dyDescent="0.2">
      <c r="A17" s="3">
        <v>14</v>
      </c>
      <c r="B17" s="3" t="s">
        <v>325</v>
      </c>
      <c r="C17" s="3">
        <v>68</v>
      </c>
      <c r="D17" s="3">
        <v>2539</v>
      </c>
      <c r="E17" s="3">
        <v>3232</v>
      </c>
      <c r="F17" s="15">
        <f t="shared" si="0"/>
        <v>0.78558168316831678</v>
      </c>
    </row>
    <row r="18" spans="1:7" ht="15.75" customHeight="1" x14ac:dyDescent="0.2">
      <c r="A18" s="3">
        <v>15</v>
      </c>
      <c r="B18" s="3" t="s">
        <v>331</v>
      </c>
      <c r="C18" s="3">
        <v>74</v>
      </c>
      <c r="D18">
        <f>37277+32774</f>
        <v>70051</v>
      </c>
      <c r="E18">
        <f>41964+46707</f>
        <v>88671</v>
      </c>
      <c r="F18" s="15">
        <f t="shared" si="0"/>
        <v>0.79001026265633634</v>
      </c>
    </row>
    <row r="19" spans="1:7" ht="15.75" customHeight="1" x14ac:dyDescent="0.2">
      <c r="A19" s="3">
        <v>16</v>
      </c>
      <c r="B19" s="3" t="s">
        <v>331</v>
      </c>
      <c r="C19" s="3">
        <v>35</v>
      </c>
      <c r="D19">
        <f>22998+16719</f>
        <v>39717</v>
      </c>
      <c r="E19">
        <f>20334+28408</f>
        <v>48742</v>
      </c>
      <c r="F19" s="15">
        <f t="shared" si="0"/>
        <v>0.81484140987238929</v>
      </c>
    </row>
    <row r="20" spans="1:7" ht="15.75" customHeight="1" x14ac:dyDescent="0.2">
      <c r="A20" s="3">
        <v>17</v>
      </c>
      <c r="B20" s="3" t="s">
        <v>331</v>
      </c>
      <c r="C20" s="3">
        <v>37</v>
      </c>
      <c r="D20" s="3">
        <v>8835</v>
      </c>
      <c r="E20" s="3">
        <v>11322</v>
      </c>
      <c r="F20" s="15">
        <f t="shared" si="0"/>
        <v>0.7803391626921039</v>
      </c>
    </row>
    <row r="21" spans="1:7" ht="15.75" customHeight="1" x14ac:dyDescent="0.2">
      <c r="A21" s="3">
        <v>18</v>
      </c>
      <c r="B21" s="3" t="s">
        <v>331</v>
      </c>
      <c r="C21" s="3">
        <v>78</v>
      </c>
      <c r="D21" s="3">
        <v>8750</v>
      </c>
      <c r="E21" s="3">
        <v>10863</v>
      </c>
      <c r="F21" s="15">
        <f t="shared" si="0"/>
        <v>0.80548651385436809</v>
      </c>
    </row>
    <row r="22" spans="1:7" ht="15.75" customHeight="1" x14ac:dyDescent="0.2">
      <c r="A22" s="3">
        <v>19</v>
      </c>
      <c r="B22" s="3" t="s">
        <v>331</v>
      </c>
      <c r="C22" s="3">
        <v>32</v>
      </c>
      <c r="D22" s="3">
        <v>7197</v>
      </c>
      <c r="E22" s="3">
        <v>8639</v>
      </c>
      <c r="F22" s="15">
        <f t="shared" si="0"/>
        <v>0.833082532700544</v>
      </c>
    </row>
    <row r="23" spans="1:7" ht="15.75" customHeight="1" x14ac:dyDescent="0.2">
      <c r="A23" s="3">
        <v>20</v>
      </c>
      <c r="B23" s="3" t="s">
        <v>331</v>
      </c>
      <c r="C23" s="3">
        <v>19</v>
      </c>
      <c r="D23" s="3">
        <v>5914</v>
      </c>
      <c r="E23" s="3">
        <v>6941</v>
      </c>
      <c r="F23" s="15">
        <f t="shared" si="0"/>
        <v>0.852038611151131</v>
      </c>
    </row>
    <row r="24" spans="1:7" ht="15.75" customHeight="1" x14ac:dyDescent="0.2">
      <c r="A24" s="3">
        <v>21</v>
      </c>
      <c r="B24" s="3" t="s">
        <v>331</v>
      </c>
      <c r="C24" s="3">
        <v>43</v>
      </c>
      <c r="D24" s="3">
        <v>5823</v>
      </c>
      <c r="E24" s="3">
        <v>6804</v>
      </c>
      <c r="F24" s="15">
        <f t="shared" si="0"/>
        <v>0.85582010582010581</v>
      </c>
    </row>
    <row r="25" spans="1:7" ht="15.75" customHeight="1" x14ac:dyDescent="0.2">
      <c r="A25" s="3">
        <v>22</v>
      </c>
      <c r="B25" s="3" t="s">
        <v>331</v>
      </c>
      <c r="C25" s="3">
        <v>71</v>
      </c>
      <c r="D25" s="3">
        <v>5544</v>
      </c>
      <c r="E25" s="3">
        <v>6728</v>
      </c>
      <c r="F25" s="15">
        <f t="shared" si="0"/>
        <v>0.82401902497027346</v>
      </c>
    </row>
    <row r="26" spans="1:7" ht="15.75" customHeight="1" x14ac:dyDescent="0.2">
      <c r="A26" s="3">
        <v>23</v>
      </c>
      <c r="B26" s="3" t="s">
        <v>331</v>
      </c>
      <c r="C26" s="3">
        <v>86</v>
      </c>
      <c r="D26" s="3">
        <v>4603</v>
      </c>
      <c r="E26" s="3">
        <v>5329</v>
      </c>
      <c r="F26" s="15">
        <f t="shared" si="0"/>
        <v>0.86376430850065677</v>
      </c>
    </row>
    <row r="27" spans="1:7" ht="15.75" customHeight="1" x14ac:dyDescent="0.2">
      <c r="A27" s="3">
        <v>24</v>
      </c>
      <c r="B27" s="3" t="s">
        <v>331</v>
      </c>
      <c r="C27" s="3">
        <v>40</v>
      </c>
      <c r="D27" s="3">
        <v>3082</v>
      </c>
      <c r="E27" s="3">
        <v>4090</v>
      </c>
      <c r="F27" s="15">
        <f t="shared" si="0"/>
        <v>0.75354523227383863</v>
      </c>
    </row>
    <row r="28" spans="1:7" ht="15.75" customHeight="1" x14ac:dyDescent="0.2">
      <c r="A28" s="3">
        <v>25</v>
      </c>
      <c r="B28" s="3" t="s">
        <v>331</v>
      </c>
      <c r="C28" s="3">
        <v>53</v>
      </c>
      <c r="D28" s="3">
        <v>3866</v>
      </c>
      <c r="E28" s="3">
        <v>4526</v>
      </c>
      <c r="F28" s="15">
        <f t="shared" si="0"/>
        <v>0.85417587273530715</v>
      </c>
    </row>
    <row r="29" spans="1:7" ht="15.75" customHeight="1" x14ac:dyDescent="0.2">
      <c r="A29" s="3">
        <v>26</v>
      </c>
      <c r="B29" s="3" t="s">
        <v>331</v>
      </c>
      <c r="C29" s="3">
        <v>42</v>
      </c>
      <c r="D29" s="3">
        <v>3445</v>
      </c>
      <c r="E29" s="3">
        <v>4158</v>
      </c>
      <c r="F29" s="15">
        <f t="shared" si="0"/>
        <v>0.82852332852332855</v>
      </c>
    </row>
    <row r="30" spans="1:7" ht="15.75" customHeight="1" x14ac:dyDescent="0.2">
      <c r="A30" s="3">
        <v>27</v>
      </c>
      <c r="B30" s="3" t="s">
        <v>331</v>
      </c>
      <c r="C30" s="3">
        <v>15</v>
      </c>
      <c r="D30" s="3">
        <v>3134</v>
      </c>
      <c r="E30" s="3">
        <v>3640</v>
      </c>
      <c r="F30" s="15">
        <f t="shared" si="0"/>
        <v>0.86098901098901104</v>
      </c>
    </row>
    <row r="31" spans="1:7" ht="15.75" customHeight="1" x14ac:dyDescent="0.2">
      <c r="A31" s="3">
        <v>28</v>
      </c>
      <c r="B31" s="3" t="s">
        <v>331</v>
      </c>
      <c r="C31" s="3">
        <v>68</v>
      </c>
      <c r="D31" s="3">
        <v>2795</v>
      </c>
      <c r="E31" s="3">
        <v>3351</v>
      </c>
      <c r="F31" s="15">
        <f t="shared" si="0"/>
        <v>0.83407937928976428</v>
      </c>
    </row>
    <row r="32" spans="1:7" ht="15.75" customHeight="1" x14ac:dyDescent="0.2">
      <c r="A32" s="3">
        <v>29</v>
      </c>
      <c r="B32" s="3" t="s">
        <v>332</v>
      </c>
      <c r="C32" s="3">
        <v>74</v>
      </c>
      <c r="D32">
        <f>35177+30077</f>
        <v>65254</v>
      </c>
      <c r="E32">
        <f>42539+48080</f>
        <v>90619</v>
      </c>
      <c r="F32" s="15">
        <f t="shared" si="0"/>
        <v>0.72009181297520386</v>
      </c>
      <c r="G32" s="3"/>
    </row>
    <row r="33" spans="1:10" ht="15.75" customHeight="1" x14ac:dyDescent="0.2">
      <c r="A33" s="3">
        <v>30</v>
      </c>
      <c r="B33" s="3" t="s">
        <v>332</v>
      </c>
      <c r="C33" s="3">
        <v>35</v>
      </c>
      <c r="D33">
        <f>21316+16367</f>
        <v>37683</v>
      </c>
      <c r="E33">
        <f>21562+28581</f>
        <v>50143</v>
      </c>
      <c r="F33" s="15">
        <f t="shared" si="0"/>
        <v>0.75151067945675365</v>
      </c>
      <c r="G33" s="20"/>
      <c r="H33" s="20"/>
      <c r="I33" s="16"/>
      <c r="J33" s="3"/>
    </row>
    <row r="34" spans="1:10" ht="15.75" customHeight="1" x14ac:dyDescent="0.2">
      <c r="A34" s="3">
        <v>31</v>
      </c>
      <c r="B34" s="3" t="s">
        <v>332</v>
      </c>
      <c r="C34" s="3">
        <v>37</v>
      </c>
      <c r="D34" s="3">
        <v>8132</v>
      </c>
      <c r="E34" s="3">
        <v>11653</v>
      </c>
      <c r="F34" s="15">
        <f t="shared" si="0"/>
        <v>0.69784604822792418</v>
      </c>
      <c r="G34" s="20"/>
      <c r="H34" s="20"/>
      <c r="I34" s="16"/>
      <c r="J34" s="3"/>
    </row>
    <row r="35" spans="1:10" ht="15.75" customHeight="1" x14ac:dyDescent="0.2">
      <c r="A35" s="3">
        <v>32</v>
      </c>
      <c r="B35" s="3" t="s">
        <v>332</v>
      </c>
      <c r="C35" s="3">
        <v>78</v>
      </c>
      <c r="D35" s="3">
        <v>8997</v>
      </c>
      <c r="E35" s="3">
        <v>12268</v>
      </c>
      <c r="F35" s="15">
        <f t="shared" si="0"/>
        <v>0.7333713726768829</v>
      </c>
      <c r="G35" s="20"/>
      <c r="H35" s="20"/>
      <c r="I35" s="16"/>
      <c r="J35" s="3"/>
    </row>
    <row r="36" spans="1:10" ht="15.75" customHeight="1" x14ac:dyDescent="0.2">
      <c r="A36" s="3">
        <v>33</v>
      </c>
      <c r="B36" s="3" t="s">
        <v>332</v>
      </c>
      <c r="C36" s="3">
        <v>32</v>
      </c>
      <c r="D36" s="3">
        <v>6505</v>
      </c>
      <c r="E36" s="3">
        <v>8766</v>
      </c>
      <c r="F36" s="15">
        <f t="shared" si="0"/>
        <v>0.74207164042892992</v>
      </c>
      <c r="G36" s="20"/>
      <c r="H36" s="20"/>
      <c r="I36" s="16"/>
      <c r="J36" s="3"/>
    </row>
    <row r="37" spans="1:10" ht="15.75" customHeight="1" x14ac:dyDescent="0.2">
      <c r="A37" s="3">
        <v>34</v>
      </c>
      <c r="B37" s="3" t="s">
        <v>332</v>
      </c>
      <c r="C37" s="3">
        <v>19</v>
      </c>
      <c r="D37" s="3">
        <v>5242</v>
      </c>
      <c r="E37" s="3">
        <v>7373</v>
      </c>
      <c r="F37" s="15">
        <f t="shared" si="0"/>
        <v>0.71097246710972473</v>
      </c>
      <c r="G37" s="20"/>
      <c r="H37" s="20"/>
      <c r="I37" s="16"/>
      <c r="J37" s="3"/>
    </row>
    <row r="38" spans="1:10" ht="12.75" x14ac:dyDescent="0.2">
      <c r="A38" s="3">
        <v>35</v>
      </c>
      <c r="B38" s="3" t="s">
        <v>332</v>
      </c>
      <c r="C38" s="3">
        <v>43</v>
      </c>
      <c r="D38" s="3">
        <v>5375</v>
      </c>
      <c r="E38" s="3">
        <v>7072</v>
      </c>
      <c r="F38" s="15">
        <f t="shared" si="0"/>
        <v>0.76003959276018096</v>
      </c>
      <c r="G38" s="20"/>
      <c r="H38" s="20"/>
      <c r="I38" s="16"/>
      <c r="J38" s="3"/>
    </row>
    <row r="39" spans="1:10" ht="12.75" x14ac:dyDescent="0.2">
      <c r="A39" s="3">
        <v>36</v>
      </c>
      <c r="B39" s="3" t="s">
        <v>332</v>
      </c>
      <c r="C39" s="3">
        <v>71</v>
      </c>
      <c r="D39" s="3">
        <v>5026</v>
      </c>
      <c r="E39" s="3">
        <v>6960</v>
      </c>
      <c r="F39" s="15">
        <f t="shared" si="0"/>
        <v>0.72212643678160915</v>
      </c>
      <c r="G39" s="20"/>
      <c r="H39" s="20"/>
      <c r="I39" s="16"/>
      <c r="J39" s="3"/>
    </row>
    <row r="40" spans="1:10" ht="12.75" x14ac:dyDescent="0.2">
      <c r="A40" s="3">
        <v>37</v>
      </c>
      <c r="B40" s="3" t="s">
        <v>332</v>
      </c>
      <c r="C40" s="3">
        <v>86</v>
      </c>
      <c r="D40" s="3">
        <v>3938</v>
      </c>
      <c r="E40" s="3">
        <v>5433</v>
      </c>
      <c r="F40" s="15">
        <f t="shared" si="0"/>
        <v>0.72482974415608314</v>
      </c>
      <c r="G40" s="20"/>
      <c r="H40" s="20"/>
      <c r="I40" s="16"/>
      <c r="J40" s="3"/>
    </row>
    <row r="41" spans="1:10" ht="12.75" x14ac:dyDescent="0.2">
      <c r="A41" s="3">
        <v>38</v>
      </c>
      <c r="B41" s="3" t="s">
        <v>332</v>
      </c>
      <c r="C41" s="3">
        <v>40</v>
      </c>
      <c r="D41" s="3">
        <v>2843</v>
      </c>
      <c r="E41" s="3">
        <v>4249</v>
      </c>
      <c r="F41" s="15">
        <f t="shared" si="0"/>
        <v>0.66909861143798544</v>
      </c>
      <c r="G41" s="20"/>
      <c r="H41" s="20"/>
      <c r="I41" s="16"/>
      <c r="J41" s="3"/>
    </row>
    <row r="42" spans="1:10" ht="12.75" x14ac:dyDescent="0.2">
      <c r="A42" s="3">
        <v>39</v>
      </c>
      <c r="B42" s="3" t="s">
        <v>332</v>
      </c>
      <c r="C42" s="3">
        <v>53</v>
      </c>
      <c r="D42" s="3">
        <v>3666</v>
      </c>
      <c r="E42" s="3">
        <v>4555</v>
      </c>
      <c r="F42" s="15">
        <f t="shared" si="0"/>
        <v>0.80482985729967071</v>
      </c>
      <c r="G42" s="20"/>
      <c r="H42" s="20"/>
      <c r="I42" s="16"/>
      <c r="J42" s="3"/>
    </row>
    <row r="43" spans="1:10" ht="12.75" x14ac:dyDescent="0.2">
      <c r="A43" s="3">
        <v>40</v>
      </c>
      <c r="B43" s="3" t="s">
        <v>332</v>
      </c>
      <c r="C43" s="3">
        <v>42</v>
      </c>
      <c r="D43" s="3">
        <v>3209</v>
      </c>
      <c r="E43" s="3">
        <v>4220</v>
      </c>
      <c r="F43" s="15">
        <f t="shared" si="0"/>
        <v>0.76042654028436019</v>
      </c>
      <c r="G43" s="20"/>
      <c r="H43" s="20"/>
      <c r="I43" s="16"/>
      <c r="J43" s="3"/>
    </row>
    <row r="44" spans="1:10" ht="12.75" x14ac:dyDescent="0.2">
      <c r="A44" s="3">
        <v>41</v>
      </c>
      <c r="B44" s="3" t="s">
        <v>332</v>
      </c>
      <c r="C44" s="3">
        <v>15</v>
      </c>
      <c r="D44" s="3">
        <v>2931</v>
      </c>
      <c r="E44" s="3">
        <v>3818</v>
      </c>
      <c r="F44" s="15">
        <f t="shared" si="0"/>
        <v>0.76767941330539546</v>
      </c>
      <c r="G44" s="20"/>
      <c r="H44" s="20"/>
      <c r="I44" s="16"/>
      <c r="J44" s="3"/>
    </row>
    <row r="45" spans="1:10" ht="12.75" x14ac:dyDescent="0.2">
      <c r="A45" s="3">
        <v>42</v>
      </c>
      <c r="B45" s="3" t="s">
        <v>332</v>
      </c>
      <c r="C45" s="3">
        <v>68</v>
      </c>
      <c r="D45" s="3">
        <v>2528</v>
      </c>
      <c r="E45" s="3">
        <v>3453</v>
      </c>
      <c r="F45" s="15">
        <f t="shared" si="0"/>
        <v>0.73211699971039679</v>
      </c>
      <c r="G45" s="20"/>
      <c r="H45" s="20"/>
      <c r="I45" s="16"/>
      <c r="J45" s="3"/>
    </row>
    <row r="46" spans="1:10" ht="12.75" x14ac:dyDescent="0.2">
      <c r="A46" s="3">
        <v>43</v>
      </c>
      <c r="B46" s="3" t="s">
        <v>332</v>
      </c>
      <c r="C46">
        <v>30</v>
      </c>
      <c r="D46" s="3">
        <v>1121</v>
      </c>
      <c r="E46" s="3">
        <v>1505</v>
      </c>
      <c r="F46" s="15">
        <f t="shared" si="0"/>
        <v>0.7448504983388704</v>
      </c>
      <c r="G46">
        <f>VLOOKUP(H46,'Copia de Localidades'!$A$4:$C$92,3,FALSE)</f>
        <v>30</v>
      </c>
      <c r="H46" s="3" t="s">
        <v>12</v>
      </c>
    </row>
    <row r="47" spans="1:10" ht="12.75" x14ac:dyDescent="0.2">
      <c r="A47" s="3">
        <v>44</v>
      </c>
      <c r="B47" s="3" t="s">
        <v>332</v>
      </c>
      <c r="C47">
        <v>58</v>
      </c>
      <c r="D47" s="3">
        <v>1681</v>
      </c>
      <c r="E47" s="3">
        <v>2174</v>
      </c>
      <c r="F47" s="15">
        <f t="shared" si="0"/>
        <v>0.77322907083716652</v>
      </c>
      <c r="G47">
        <f>VLOOKUP(H47,'Copia de Localidades'!$A$4:$C$92,3,FALSE)</f>
        <v>58</v>
      </c>
      <c r="H47" s="3" t="s">
        <v>35</v>
      </c>
    </row>
    <row r="48" spans="1:10" ht="12.75" x14ac:dyDescent="0.2">
      <c r="A48" s="3">
        <v>45</v>
      </c>
      <c r="B48" s="3" t="s">
        <v>332</v>
      </c>
      <c r="C48">
        <v>72</v>
      </c>
      <c r="D48" s="3">
        <v>534</v>
      </c>
      <c r="E48" s="3">
        <v>659</v>
      </c>
      <c r="F48" s="15">
        <f t="shared" si="0"/>
        <v>0.81031866464339908</v>
      </c>
      <c r="G48">
        <f>VLOOKUP(H48,'Copia de Localidades'!$A$4:$C$92,3,FALSE)</f>
        <v>72</v>
      </c>
      <c r="H48" s="3" t="s">
        <v>36</v>
      </c>
    </row>
    <row r="49" spans="1:8" ht="12.75" x14ac:dyDescent="0.2">
      <c r="A49" s="3">
        <v>46</v>
      </c>
      <c r="B49" s="3" t="s">
        <v>332</v>
      </c>
      <c r="C49">
        <v>79</v>
      </c>
      <c r="D49" s="3">
        <v>301</v>
      </c>
      <c r="E49" s="3">
        <v>388</v>
      </c>
      <c r="F49" s="15">
        <f t="shared" si="0"/>
        <v>0.77577319587628868</v>
      </c>
      <c r="G49">
        <f>VLOOKUP(H49,'Copia de Localidades'!$A$4:$C$92,3,FALSE)</f>
        <v>79</v>
      </c>
      <c r="H49" s="3" t="s">
        <v>37</v>
      </c>
    </row>
    <row r="50" spans="1:8" ht="12.75" x14ac:dyDescent="0.2">
      <c r="A50" s="3">
        <v>47</v>
      </c>
      <c r="B50" s="3" t="s">
        <v>332</v>
      </c>
      <c r="C50">
        <v>7</v>
      </c>
      <c r="D50" s="3">
        <v>1369</v>
      </c>
      <c r="E50" s="3">
        <v>1728</v>
      </c>
      <c r="F50" s="15">
        <f t="shared" si="0"/>
        <v>0.79224537037037035</v>
      </c>
      <c r="G50">
        <f>VLOOKUP(H50,'Copia de Localidades'!$A$4:$C$92,3,FALSE)</f>
        <v>7</v>
      </c>
      <c r="H50" s="3" t="s">
        <v>38</v>
      </c>
    </row>
    <row r="51" spans="1:8" ht="12.75" x14ac:dyDescent="0.2">
      <c r="A51" s="3">
        <v>48</v>
      </c>
      <c r="B51" s="3" t="s">
        <v>332</v>
      </c>
      <c r="C51">
        <v>45</v>
      </c>
      <c r="D51" s="3">
        <v>1389</v>
      </c>
      <c r="E51" s="3">
        <v>1896</v>
      </c>
      <c r="F51" s="15">
        <f t="shared" si="0"/>
        <v>0.73259493670886078</v>
      </c>
      <c r="G51">
        <f>VLOOKUP(H51,'Copia de Localidades'!$A$4:$C$92,3,FALSE)</f>
        <v>45</v>
      </c>
      <c r="H51" s="3" t="s">
        <v>41</v>
      </c>
    </row>
    <row r="52" spans="1:8" ht="12.75" x14ac:dyDescent="0.2">
      <c r="A52" s="3">
        <v>49</v>
      </c>
      <c r="B52" s="3" t="s">
        <v>332</v>
      </c>
      <c r="C52" t="e">
        <v>#N/A</v>
      </c>
      <c r="D52" s="3">
        <v>46</v>
      </c>
      <c r="E52" s="3">
        <v>56</v>
      </c>
      <c r="F52" s="15">
        <f t="shared" si="0"/>
        <v>0.8214285714285714</v>
      </c>
      <c r="G52" t="e">
        <f>VLOOKUP(H52,'Copia de Localidades'!$A$4:$C$92,3,FALSE)</f>
        <v>#N/A</v>
      </c>
      <c r="H52" s="3" t="s">
        <v>153</v>
      </c>
    </row>
    <row r="53" spans="1:8" ht="12.75" x14ac:dyDescent="0.2">
      <c r="A53" s="3">
        <v>50</v>
      </c>
      <c r="B53" s="3" t="s">
        <v>332</v>
      </c>
      <c r="C53">
        <v>50</v>
      </c>
      <c r="D53" s="3">
        <v>1238</v>
      </c>
      <c r="E53" s="3">
        <v>1572</v>
      </c>
      <c r="F53" s="15">
        <f t="shared" si="0"/>
        <v>0.78753180661577604</v>
      </c>
      <c r="G53">
        <f>VLOOKUP(H53,'Copia de Localidades'!$A$4:$C$92,3,FALSE)</f>
        <v>50</v>
      </c>
      <c r="H53" s="3" t="s">
        <v>43</v>
      </c>
    </row>
    <row r="54" spans="1:8" ht="12.75" x14ac:dyDescent="0.2">
      <c r="A54" s="3">
        <v>51</v>
      </c>
      <c r="B54" s="3" t="s">
        <v>332</v>
      </c>
      <c r="C54">
        <v>83</v>
      </c>
      <c r="D54" s="3">
        <v>724</v>
      </c>
      <c r="E54" s="3">
        <v>879</v>
      </c>
      <c r="F54" s="15">
        <f t="shared" si="0"/>
        <v>0.82366325369738336</v>
      </c>
      <c r="G54">
        <f>VLOOKUP(H54,'Copia de Localidades'!$A$4:$C$92,3,FALSE)</f>
        <v>83</v>
      </c>
      <c r="H54" s="3" t="s">
        <v>44</v>
      </c>
    </row>
    <row r="55" spans="1:8" ht="12.75" x14ac:dyDescent="0.2">
      <c r="A55" s="3">
        <v>52</v>
      </c>
      <c r="B55" s="3" t="s">
        <v>332</v>
      </c>
      <c r="C55" t="e">
        <v>#N/A</v>
      </c>
      <c r="D55" s="3">
        <v>15</v>
      </c>
      <c r="E55" s="3">
        <v>29</v>
      </c>
      <c r="F55" s="15">
        <f t="shared" si="0"/>
        <v>0.51724137931034486</v>
      </c>
      <c r="G55" t="e">
        <f>VLOOKUP(H55,'Copia de Localidades'!$A$4:$C$92,3,FALSE)</f>
        <v>#N/A</v>
      </c>
      <c r="H55" s="3" t="s">
        <v>45</v>
      </c>
    </row>
    <row r="56" spans="1:8" ht="12.75" x14ac:dyDescent="0.2">
      <c r="A56" s="3">
        <v>53</v>
      </c>
      <c r="B56" s="3" t="s">
        <v>332</v>
      </c>
      <c r="C56">
        <v>29</v>
      </c>
      <c r="D56" s="3">
        <v>1782</v>
      </c>
      <c r="E56" s="3">
        <v>2487</v>
      </c>
      <c r="F56" s="15">
        <f t="shared" si="0"/>
        <v>0.71652593486127869</v>
      </c>
      <c r="G56">
        <f>VLOOKUP(H56,'Copia de Localidades'!$A$4:$C$92,3,FALSE)</f>
        <v>29</v>
      </c>
      <c r="H56" s="3" t="s">
        <v>46</v>
      </c>
    </row>
    <row r="57" spans="1:8" ht="12.75" x14ac:dyDescent="0.2">
      <c r="A57" s="3">
        <v>54</v>
      </c>
      <c r="B57" s="3" t="s">
        <v>332</v>
      </c>
      <c r="C57">
        <v>10</v>
      </c>
      <c r="D57" s="3">
        <v>1154</v>
      </c>
      <c r="E57" s="3">
        <v>1573</v>
      </c>
      <c r="F57" s="15">
        <f t="shared" si="0"/>
        <v>0.73363000635727904</v>
      </c>
      <c r="G57">
        <f>VLOOKUP(H57,'Copia de Localidades'!$A$4:$C$92,3,FALSE)</f>
        <v>10</v>
      </c>
      <c r="H57" s="3" t="s">
        <v>47</v>
      </c>
    </row>
    <row r="58" spans="1:8" ht="12.75" x14ac:dyDescent="0.2">
      <c r="A58" s="3">
        <v>55</v>
      </c>
      <c r="B58" s="3" t="s">
        <v>332</v>
      </c>
      <c r="C58">
        <v>75</v>
      </c>
      <c r="D58" s="3">
        <v>126</v>
      </c>
      <c r="E58" s="3">
        <v>153</v>
      </c>
      <c r="F58" s="15">
        <f t="shared" si="0"/>
        <v>0.82352941176470584</v>
      </c>
      <c r="G58">
        <f>VLOOKUP(H58,'Copia de Localidades'!$A$4:$C$92,3,FALSE)</f>
        <v>75</v>
      </c>
      <c r="H58" s="3" t="s">
        <v>49</v>
      </c>
    </row>
    <row r="59" spans="1:8" ht="12.75" x14ac:dyDescent="0.2">
      <c r="A59" s="3">
        <v>56</v>
      </c>
      <c r="B59" s="3" t="s">
        <v>332</v>
      </c>
      <c r="C59">
        <v>16</v>
      </c>
      <c r="D59" s="3">
        <v>257</v>
      </c>
      <c r="E59" s="3">
        <v>344</v>
      </c>
      <c r="F59" s="15">
        <f t="shared" si="0"/>
        <v>0.74709302325581395</v>
      </c>
      <c r="G59">
        <f>VLOOKUP(H59,'Copia de Localidades'!$A$4:$C$92,3,FALSE)</f>
        <v>16</v>
      </c>
      <c r="H59" s="3" t="s">
        <v>50</v>
      </c>
    </row>
    <row r="60" spans="1:8" ht="12.75" x14ac:dyDescent="0.2">
      <c r="A60" s="3">
        <v>57</v>
      </c>
      <c r="B60" s="3" t="s">
        <v>332</v>
      </c>
      <c r="C60">
        <v>18</v>
      </c>
      <c r="D60" s="3">
        <v>455</v>
      </c>
      <c r="E60" s="3">
        <v>678</v>
      </c>
      <c r="F60" s="15">
        <f t="shared" si="0"/>
        <v>0.67109144542772858</v>
      </c>
      <c r="G60">
        <f>VLOOKUP(H60,'Copia de Localidades'!$A$4:$C$92,3,FALSE)</f>
        <v>18</v>
      </c>
      <c r="H60" s="3" t="s">
        <v>51</v>
      </c>
    </row>
    <row r="61" spans="1:8" ht="12.75" x14ac:dyDescent="0.2">
      <c r="A61" s="3">
        <v>58</v>
      </c>
      <c r="B61" s="3" t="s">
        <v>332</v>
      </c>
      <c r="C61">
        <v>85</v>
      </c>
      <c r="D61" s="3">
        <v>529</v>
      </c>
      <c r="E61" s="3">
        <v>656</v>
      </c>
      <c r="F61" s="15">
        <f t="shared" si="0"/>
        <v>0.80640243902439024</v>
      </c>
      <c r="G61">
        <f>VLOOKUP(H61,'Copia de Localidades'!$A$4:$C$92,3,FALSE)</f>
        <v>85</v>
      </c>
      <c r="H61" s="3" t="s">
        <v>53</v>
      </c>
    </row>
    <row r="62" spans="1:8" ht="12.75" x14ac:dyDescent="0.2">
      <c r="A62" s="3">
        <v>59</v>
      </c>
      <c r="B62" s="3" t="s">
        <v>332</v>
      </c>
      <c r="C62">
        <v>4</v>
      </c>
      <c r="D62" s="3">
        <v>337</v>
      </c>
      <c r="E62" s="3">
        <v>457</v>
      </c>
      <c r="F62" s="15">
        <f t="shared" si="0"/>
        <v>0.73741794310722097</v>
      </c>
      <c r="G62">
        <f>VLOOKUP(H62,'Copia de Localidades'!$A$4:$C$92,3,FALSE)</f>
        <v>4</v>
      </c>
      <c r="H62" s="3" t="s">
        <v>54</v>
      </c>
    </row>
    <row r="63" spans="1:8" ht="12.75" x14ac:dyDescent="0.2">
      <c r="A63" s="3">
        <v>60</v>
      </c>
      <c r="B63" s="3" t="s">
        <v>332</v>
      </c>
      <c r="C63">
        <v>46</v>
      </c>
      <c r="D63" s="3">
        <v>543</v>
      </c>
      <c r="E63" s="3">
        <v>816</v>
      </c>
      <c r="F63" s="15">
        <f t="shared" si="0"/>
        <v>0.6654411764705882</v>
      </c>
      <c r="G63">
        <f>VLOOKUP(H63,'Copia de Localidades'!$A$4:$C$92,3,FALSE)</f>
        <v>46</v>
      </c>
      <c r="H63" s="3" t="s">
        <v>55</v>
      </c>
    </row>
    <row r="64" spans="1:8" ht="12.75" x14ac:dyDescent="0.2">
      <c r="A64" s="3">
        <v>61</v>
      </c>
      <c r="B64" s="3" t="s">
        <v>332</v>
      </c>
      <c r="C64">
        <v>27</v>
      </c>
      <c r="D64" s="3">
        <v>402</v>
      </c>
      <c r="E64" s="3">
        <v>510</v>
      </c>
      <c r="F64" s="15">
        <f t="shared" si="0"/>
        <v>0.78823529411764703</v>
      </c>
      <c r="G64">
        <f>VLOOKUP(H64,'Copia de Localidades'!$A$4:$C$92,3,FALSE)</f>
        <v>27</v>
      </c>
      <c r="H64" s="3" t="s">
        <v>56</v>
      </c>
    </row>
    <row r="65" spans="1:8" ht="12.75" x14ac:dyDescent="0.2">
      <c r="A65" s="3">
        <v>62</v>
      </c>
      <c r="B65" s="3" t="s">
        <v>332</v>
      </c>
      <c r="C65">
        <v>55</v>
      </c>
      <c r="D65" s="3">
        <v>276</v>
      </c>
      <c r="E65" s="3">
        <v>353</v>
      </c>
      <c r="F65" s="15">
        <f t="shared" si="0"/>
        <v>0.78186968838526916</v>
      </c>
      <c r="G65">
        <f>VLOOKUP(H65,'Copia de Localidades'!$A$4:$C$92,3,FALSE)</f>
        <v>55</v>
      </c>
      <c r="H65" s="3" t="s">
        <v>58</v>
      </c>
    </row>
    <row r="66" spans="1:8" ht="12.75" x14ac:dyDescent="0.2">
      <c r="A66" s="3">
        <v>63</v>
      </c>
      <c r="B66" s="3" t="s">
        <v>332</v>
      </c>
      <c r="C66">
        <v>59</v>
      </c>
      <c r="D66" s="3">
        <v>419</v>
      </c>
      <c r="E66" s="3">
        <v>532</v>
      </c>
      <c r="F66" s="15">
        <f t="shared" si="0"/>
        <v>0.78759398496240607</v>
      </c>
      <c r="G66">
        <f>VLOOKUP(H66,'Copia de Localidades'!$A$4:$C$92,3,FALSE)</f>
        <v>59</v>
      </c>
      <c r="H66" s="3" t="s">
        <v>59</v>
      </c>
    </row>
    <row r="67" spans="1:8" ht="12.75" x14ac:dyDescent="0.2">
      <c r="A67" s="3">
        <v>64</v>
      </c>
      <c r="B67" s="3" t="s">
        <v>332</v>
      </c>
      <c r="C67">
        <v>73</v>
      </c>
      <c r="D67" s="3">
        <v>205</v>
      </c>
      <c r="E67" s="3">
        <v>238</v>
      </c>
      <c r="F67" s="15">
        <f t="shared" si="0"/>
        <v>0.8613445378151261</v>
      </c>
      <c r="G67">
        <f>VLOOKUP(H67,'Copia de Localidades'!$A$4:$C$92,3,FALSE)</f>
        <v>73</v>
      </c>
      <c r="H67" s="3" t="s">
        <v>60</v>
      </c>
    </row>
    <row r="68" spans="1:8" ht="12.75" x14ac:dyDescent="0.2">
      <c r="A68" s="3">
        <v>65</v>
      </c>
      <c r="B68" s="3" t="s">
        <v>332</v>
      </c>
      <c r="C68">
        <v>88</v>
      </c>
      <c r="D68" s="3">
        <v>1855</v>
      </c>
      <c r="E68" s="3">
        <v>2464</v>
      </c>
      <c r="F68" s="15">
        <f t="shared" si="0"/>
        <v>0.75284090909090906</v>
      </c>
      <c r="G68">
        <f>VLOOKUP(H68,'Copia de Localidades'!$A$4:$C$92,3,FALSE)</f>
        <v>88</v>
      </c>
      <c r="H68" s="3" t="s">
        <v>61</v>
      </c>
    </row>
    <row r="69" spans="1:8" ht="12.75" x14ac:dyDescent="0.2">
      <c r="A69" s="3">
        <v>66</v>
      </c>
      <c r="B69" s="3" t="s">
        <v>332</v>
      </c>
      <c r="C69">
        <v>36</v>
      </c>
      <c r="D69" s="3">
        <v>229</v>
      </c>
      <c r="E69" s="3">
        <v>294</v>
      </c>
      <c r="F69" s="15">
        <f t="shared" si="0"/>
        <v>0.77891156462585032</v>
      </c>
      <c r="G69">
        <f>VLOOKUP(H69,'Copia de Localidades'!$A$4:$C$92,3,FALSE)</f>
        <v>36</v>
      </c>
      <c r="H69" s="3" t="s">
        <v>62</v>
      </c>
    </row>
    <row r="70" spans="1:8" ht="12.75" x14ac:dyDescent="0.2">
      <c r="A70" s="3">
        <v>67</v>
      </c>
      <c r="B70" s="3" t="s">
        <v>332</v>
      </c>
      <c r="C70">
        <v>65</v>
      </c>
      <c r="D70" s="3">
        <v>336</v>
      </c>
      <c r="E70" s="3">
        <v>491</v>
      </c>
      <c r="F70" s="15">
        <f t="shared" si="0"/>
        <v>0.68431771894093685</v>
      </c>
      <c r="G70">
        <f>VLOOKUP(H70,'Copia de Localidades'!$A$4:$C$92,3,FALSE)</f>
        <v>65</v>
      </c>
      <c r="H70" s="3" t="s">
        <v>63</v>
      </c>
    </row>
    <row r="71" spans="1:8" ht="12.75" x14ac:dyDescent="0.2">
      <c r="A71" s="3">
        <v>68</v>
      </c>
      <c r="B71" s="3" t="s">
        <v>332</v>
      </c>
      <c r="C71">
        <v>5</v>
      </c>
      <c r="D71" s="3">
        <v>1486</v>
      </c>
      <c r="E71" s="3">
        <v>1880</v>
      </c>
      <c r="F71" s="15">
        <f t="shared" si="0"/>
        <v>0.79042553191489362</v>
      </c>
      <c r="G71">
        <f>VLOOKUP(H71,'Copia de Localidades'!$A$4:$C$92,3,FALSE)</f>
        <v>5</v>
      </c>
      <c r="H71" s="3" t="s">
        <v>64</v>
      </c>
    </row>
    <row r="72" spans="1:8" ht="12.75" x14ac:dyDescent="0.2">
      <c r="A72" s="3">
        <v>69</v>
      </c>
      <c r="B72" s="3" t="s">
        <v>332</v>
      </c>
      <c r="C72">
        <v>38</v>
      </c>
      <c r="D72" s="3">
        <v>784</v>
      </c>
      <c r="E72" s="3">
        <v>999</v>
      </c>
      <c r="F72" s="15">
        <f t="shared" si="0"/>
        <v>0.78478478478478475</v>
      </c>
      <c r="G72">
        <f>VLOOKUP(H72,'Copia de Localidades'!$A$4:$C$92,3,FALSE)</f>
        <v>38</v>
      </c>
      <c r="H72" s="3" t="s">
        <v>65</v>
      </c>
    </row>
    <row r="73" spans="1:8" ht="12.75" x14ac:dyDescent="0.2">
      <c r="A73" s="3">
        <v>70</v>
      </c>
      <c r="B73" s="3" t="s">
        <v>332</v>
      </c>
      <c r="C73">
        <v>63</v>
      </c>
      <c r="D73" s="3">
        <v>50</v>
      </c>
      <c r="E73" s="3">
        <v>55</v>
      </c>
      <c r="F73" s="15">
        <f t="shared" si="0"/>
        <v>0.90909090909090906</v>
      </c>
      <c r="G73">
        <f>VLOOKUP(H73,'Copia de Localidades'!$A$4:$C$92,3,FALSE)</f>
        <v>63</v>
      </c>
      <c r="H73" s="3" t="s">
        <v>67</v>
      </c>
    </row>
    <row r="74" spans="1:8" ht="12.75" x14ac:dyDescent="0.2">
      <c r="A74" s="3">
        <v>71</v>
      </c>
      <c r="B74" s="3" t="s">
        <v>332</v>
      </c>
      <c r="C74">
        <v>24</v>
      </c>
      <c r="D74" s="3">
        <v>373</v>
      </c>
      <c r="E74" s="3">
        <v>491</v>
      </c>
      <c r="F74" s="15">
        <f t="shared" si="0"/>
        <v>0.75967413441955189</v>
      </c>
      <c r="G74">
        <f>VLOOKUP(H74,'Copia de Localidades'!$A$4:$C$92,3,FALSE)</f>
        <v>24</v>
      </c>
      <c r="H74" s="3" t="s">
        <v>68</v>
      </c>
    </row>
    <row r="75" spans="1:8" ht="12.75" x14ac:dyDescent="0.2">
      <c r="A75" s="3">
        <v>72</v>
      </c>
      <c r="B75" s="3" t="s">
        <v>332</v>
      </c>
      <c r="C75">
        <v>11</v>
      </c>
      <c r="D75" s="3">
        <v>1233</v>
      </c>
      <c r="E75" s="3">
        <v>1621</v>
      </c>
      <c r="F75" s="15">
        <f t="shared" si="0"/>
        <v>0.76064157927205434</v>
      </c>
      <c r="G75">
        <f>VLOOKUP(H75,'Copia de Localidades'!$A$4:$C$92,3,FALSE)</f>
        <v>11</v>
      </c>
      <c r="H75" s="3" t="s">
        <v>69</v>
      </c>
    </row>
    <row r="76" spans="1:8" ht="12.75" x14ac:dyDescent="0.2">
      <c r="A76" s="3">
        <v>73</v>
      </c>
      <c r="B76" s="3" t="s">
        <v>332</v>
      </c>
      <c r="C76">
        <v>1</v>
      </c>
      <c r="D76" s="3">
        <v>323</v>
      </c>
      <c r="E76" s="3">
        <v>404</v>
      </c>
      <c r="F76" s="15">
        <f t="shared" si="0"/>
        <v>0.79950495049504955</v>
      </c>
      <c r="G76">
        <f>VLOOKUP(H76,'Copia de Localidades'!$A$4:$C$92,3,FALSE)</f>
        <v>1</v>
      </c>
      <c r="H76" s="3" t="s">
        <v>71</v>
      </c>
    </row>
    <row r="77" spans="1:8" ht="12.75" x14ac:dyDescent="0.2">
      <c r="A77" s="3">
        <v>74</v>
      </c>
      <c r="B77" s="3" t="s">
        <v>332</v>
      </c>
      <c r="C77">
        <v>39</v>
      </c>
      <c r="D77" s="3">
        <v>1920</v>
      </c>
      <c r="E77" s="3">
        <v>2486</v>
      </c>
      <c r="F77" s="15">
        <f t="shared" si="0"/>
        <v>0.77232502011263071</v>
      </c>
      <c r="G77">
        <f>VLOOKUP(H77,'Copia de Localidades'!$A$4:$C$92,3,FALSE)</f>
        <v>39</v>
      </c>
      <c r="H77" s="3" t="s">
        <v>72</v>
      </c>
    </row>
    <row r="78" spans="1:8" ht="12.75" x14ac:dyDescent="0.2">
      <c r="A78" s="3">
        <v>75</v>
      </c>
      <c r="B78" s="3" t="s">
        <v>332</v>
      </c>
      <c r="C78">
        <v>44</v>
      </c>
      <c r="D78" s="3">
        <v>1866</v>
      </c>
      <c r="E78" s="3">
        <v>2494</v>
      </c>
      <c r="F78" s="15">
        <f t="shared" si="0"/>
        <v>0.74819566960705697</v>
      </c>
      <c r="G78">
        <f>VLOOKUP(H78,'Copia de Localidades'!$A$4:$C$92,3,FALSE)</f>
        <v>44</v>
      </c>
      <c r="H78" s="3" t="s">
        <v>73</v>
      </c>
    </row>
    <row r="79" spans="1:8" ht="12.75" x14ac:dyDescent="0.2">
      <c r="A79" s="3">
        <v>76</v>
      </c>
      <c r="B79" s="3" t="s">
        <v>332</v>
      </c>
      <c r="C79">
        <v>14</v>
      </c>
      <c r="D79" s="3">
        <v>263</v>
      </c>
      <c r="E79" s="3">
        <v>337</v>
      </c>
      <c r="F79" s="15">
        <f t="shared" si="0"/>
        <v>0.78041543026706228</v>
      </c>
      <c r="G79">
        <f>VLOOKUP(H79,'Copia de Localidades'!$A$4:$C$92,3,FALSE)</f>
        <v>14</v>
      </c>
      <c r="H79" s="3" t="s">
        <v>74</v>
      </c>
    </row>
    <row r="80" spans="1:8" ht="12.75" x14ac:dyDescent="0.2">
      <c r="A80" s="3">
        <v>77</v>
      </c>
      <c r="B80" s="3" t="s">
        <v>332</v>
      </c>
      <c r="C80">
        <v>51</v>
      </c>
      <c r="D80" s="3">
        <v>97</v>
      </c>
      <c r="E80" s="3">
        <v>116</v>
      </c>
      <c r="F80" s="15">
        <f t="shared" si="0"/>
        <v>0.83620689655172409</v>
      </c>
      <c r="G80">
        <f>VLOOKUP(H80,'Copia de Localidades'!$A$4:$C$92,3,FALSE)</f>
        <v>51</v>
      </c>
      <c r="H80" s="3" t="s">
        <v>75</v>
      </c>
    </row>
    <row r="81" spans="1:8" ht="12.75" x14ac:dyDescent="0.2">
      <c r="A81" s="3">
        <v>78</v>
      </c>
      <c r="B81" s="3" t="s">
        <v>332</v>
      </c>
      <c r="C81">
        <v>52</v>
      </c>
      <c r="D81" s="3">
        <v>538</v>
      </c>
      <c r="E81" s="3">
        <v>648</v>
      </c>
      <c r="F81" s="15">
        <f t="shared" si="0"/>
        <v>0.83024691358024694</v>
      </c>
      <c r="G81">
        <f>VLOOKUP(H81,'Copia de Localidades'!$A$4:$C$92,3,FALSE)</f>
        <v>52</v>
      </c>
      <c r="H81" s="3" t="s">
        <v>76</v>
      </c>
    </row>
    <row r="82" spans="1:8" ht="12.75" x14ac:dyDescent="0.2">
      <c r="A82" s="3">
        <v>79</v>
      </c>
      <c r="B82" s="3" t="s">
        <v>332</v>
      </c>
      <c r="C82">
        <v>77</v>
      </c>
      <c r="D82" s="3">
        <v>913</v>
      </c>
      <c r="E82" s="3">
        <v>1222</v>
      </c>
      <c r="F82" s="15">
        <f t="shared" si="0"/>
        <v>0.7471358428805237</v>
      </c>
      <c r="G82">
        <f>VLOOKUP(H82,'Copia de Localidades'!$A$4:$C$92,3,FALSE)</f>
        <v>77</v>
      </c>
      <c r="H82" s="3" t="s">
        <v>77</v>
      </c>
    </row>
    <row r="83" spans="1:8" ht="12.75" x14ac:dyDescent="0.2">
      <c r="A83" s="3">
        <v>80</v>
      </c>
      <c r="B83" s="3" t="s">
        <v>332</v>
      </c>
      <c r="C83">
        <v>28</v>
      </c>
      <c r="D83" s="3">
        <v>158</v>
      </c>
      <c r="E83" s="3">
        <v>240</v>
      </c>
      <c r="F83" s="15">
        <f t="shared" si="0"/>
        <v>0.65833333333333333</v>
      </c>
      <c r="G83">
        <f>VLOOKUP(H83,'Copia de Localidades'!$A$4:$C$92,3,FALSE)</f>
        <v>28</v>
      </c>
      <c r="H83" s="3" t="s">
        <v>79</v>
      </c>
    </row>
    <row r="84" spans="1:8" ht="12.75" x14ac:dyDescent="0.2">
      <c r="A84" s="3">
        <v>81</v>
      </c>
      <c r="B84" s="3" t="s">
        <v>332</v>
      </c>
      <c r="C84">
        <v>48</v>
      </c>
      <c r="D84" s="3">
        <v>182</v>
      </c>
      <c r="E84" s="3">
        <v>231</v>
      </c>
      <c r="F84" s="15">
        <f t="shared" si="0"/>
        <v>0.78787878787878785</v>
      </c>
      <c r="G84">
        <f>VLOOKUP(H84,'Copia de Localidades'!$A$4:$C$92,3,FALSE)</f>
        <v>48</v>
      </c>
      <c r="H84" s="3" t="s">
        <v>80</v>
      </c>
    </row>
    <row r="85" spans="1:8" ht="12.75" x14ac:dyDescent="0.2">
      <c r="A85" s="3">
        <v>82</v>
      </c>
      <c r="B85" s="3" t="s">
        <v>332</v>
      </c>
      <c r="C85">
        <v>49</v>
      </c>
      <c r="D85" s="3">
        <v>91</v>
      </c>
      <c r="E85" s="3">
        <v>160</v>
      </c>
      <c r="F85" s="15">
        <f t="shared" si="0"/>
        <v>0.56874999999999998</v>
      </c>
      <c r="G85">
        <f>VLOOKUP(H85,'Copia de Localidades'!$A$4:$C$92,3,FALSE)</f>
        <v>49</v>
      </c>
      <c r="H85" s="3" t="s">
        <v>81</v>
      </c>
    </row>
    <row r="86" spans="1:8" ht="12.75" x14ac:dyDescent="0.2">
      <c r="A86" s="3">
        <v>83</v>
      </c>
      <c r="B86" s="3" t="s">
        <v>332</v>
      </c>
      <c r="C86">
        <v>3</v>
      </c>
      <c r="D86" s="3">
        <v>262</v>
      </c>
      <c r="E86" s="3">
        <v>325</v>
      </c>
      <c r="F86" s="15">
        <f t="shared" si="0"/>
        <v>0.80615384615384611</v>
      </c>
      <c r="G86">
        <f>VLOOKUP(H86,'Copia de Localidades'!$A$4:$C$92,3,FALSE)</f>
        <v>3</v>
      </c>
      <c r="H86" s="3" t="s">
        <v>82</v>
      </c>
    </row>
    <row r="87" spans="1:8" ht="12.75" x14ac:dyDescent="0.2">
      <c r="A87" s="3">
        <v>84</v>
      </c>
      <c r="B87" s="3" t="s">
        <v>332</v>
      </c>
      <c r="C87">
        <v>31</v>
      </c>
      <c r="D87" s="3">
        <v>416</v>
      </c>
      <c r="E87" s="3">
        <v>494</v>
      </c>
      <c r="F87" s="15">
        <f t="shared" si="0"/>
        <v>0.84210526315789469</v>
      </c>
      <c r="G87">
        <f>VLOOKUP(H87,'Copia de Localidades'!$A$4:$C$92,3,FALSE)</f>
        <v>31</v>
      </c>
      <c r="H87" s="3" t="s">
        <v>83</v>
      </c>
    </row>
    <row r="88" spans="1:8" ht="12.75" x14ac:dyDescent="0.2">
      <c r="A88" s="3">
        <v>85</v>
      </c>
      <c r="B88" s="3" t="s">
        <v>332</v>
      </c>
      <c r="C88">
        <v>76</v>
      </c>
      <c r="D88" s="3">
        <v>390</v>
      </c>
      <c r="E88" s="3">
        <v>459</v>
      </c>
      <c r="F88" s="15">
        <f t="shared" si="0"/>
        <v>0.84967320261437906</v>
      </c>
      <c r="G88">
        <f>VLOOKUP(H88,'Copia de Localidades'!$A$4:$C$92,3,FALSE)</f>
        <v>76</v>
      </c>
      <c r="H88" s="3" t="s">
        <v>85</v>
      </c>
    </row>
    <row r="89" spans="1:8" ht="12.75" x14ac:dyDescent="0.2">
      <c r="A89" s="3">
        <v>86</v>
      </c>
      <c r="B89" s="3" t="s">
        <v>332</v>
      </c>
      <c r="C89">
        <v>80</v>
      </c>
      <c r="D89" s="3">
        <v>37</v>
      </c>
      <c r="E89" s="3">
        <v>53</v>
      </c>
      <c r="F89" s="15">
        <f t="shared" si="0"/>
        <v>0.69811320754716977</v>
      </c>
      <c r="G89">
        <f>VLOOKUP(H89,'Copia de Localidades'!$A$4:$C$92,3,FALSE)</f>
        <v>80</v>
      </c>
      <c r="H89" s="3" t="s">
        <v>154</v>
      </c>
    </row>
    <row r="90" spans="1:8" ht="12.75" x14ac:dyDescent="0.2">
      <c r="A90" s="3">
        <v>87</v>
      </c>
      <c r="B90" s="3" t="s">
        <v>332</v>
      </c>
      <c r="C90">
        <v>66</v>
      </c>
      <c r="D90" s="3">
        <v>355</v>
      </c>
      <c r="E90" s="3">
        <v>634</v>
      </c>
      <c r="F90" s="15">
        <f t="shared" si="0"/>
        <v>0.55993690851735012</v>
      </c>
      <c r="G90">
        <f>VLOOKUP(H90,'Copia de Localidades'!$A$4:$C$92,3,FALSE)</f>
        <v>66</v>
      </c>
      <c r="H90" s="3" t="s">
        <v>87</v>
      </c>
    </row>
    <row r="91" spans="1:8" ht="12.75" x14ac:dyDescent="0.2">
      <c r="A91" s="3">
        <v>88</v>
      </c>
      <c r="B91" s="3" t="s">
        <v>332</v>
      </c>
      <c r="C91">
        <v>25</v>
      </c>
      <c r="D91" s="3">
        <v>1953</v>
      </c>
      <c r="E91" s="3">
        <v>2654</v>
      </c>
      <c r="F91" s="15">
        <f t="shared" si="0"/>
        <v>0.7358703843255463</v>
      </c>
      <c r="G91">
        <f>VLOOKUP(H91,'Copia de Localidades'!$A$4:$C$92,3,FALSE)</f>
        <v>25</v>
      </c>
      <c r="H91" s="3" t="s">
        <v>88</v>
      </c>
    </row>
    <row r="92" spans="1:8" ht="12.75" x14ac:dyDescent="0.2">
      <c r="A92" s="3">
        <v>89</v>
      </c>
      <c r="B92" s="3" t="s">
        <v>332</v>
      </c>
      <c r="C92">
        <v>57</v>
      </c>
      <c r="D92" s="3">
        <v>562</v>
      </c>
      <c r="E92" s="3">
        <v>693</v>
      </c>
      <c r="F92" s="15">
        <f t="shared" si="0"/>
        <v>0.810966810966811</v>
      </c>
      <c r="G92">
        <f>VLOOKUP(H92,'Copia de Localidades'!$A$4:$C$92,3,FALSE)</f>
        <v>57</v>
      </c>
      <c r="H92" s="3" t="s">
        <v>89</v>
      </c>
    </row>
    <row r="93" spans="1:8" ht="12.75" x14ac:dyDescent="0.2">
      <c r="A93" s="3">
        <v>90</v>
      </c>
      <c r="B93" s="3" t="s">
        <v>332</v>
      </c>
      <c r="C93" t="e">
        <v>#N/A</v>
      </c>
      <c r="D93" s="3">
        <v>113</v>
      </c>
      <c r="E93" s="3">
        <v>132</v>
      </c>
      <c r="F93" s="15">
        <f t="shared" si="0"/>
        <v>0.85606060606060608</v>
      </c>
      <c r="G93" t="e">
        <f>VLOOKUP(H93,'Copia de Localidades'!$A$4:$C$92,3,FALSE)</f>
        <v>#N/A</v>
      </c>
      <c r="H93" s="3" t="s">
        <v>91</v>
      </c>
    </row>
    <row r="94" spans="1:8" ht="12.75" x14ac:dyDescent="0.2">
      <c r="A94" s="3">
        <v>91</v>
      </c>
      <c r="B94" s="3" t="s">
        <v>332</v>
      </c>
      <c r="C94">
        <v>22</v>
      </c>
      <c r="D94" s="3">
        <v>28</v>
      </c>
      <c r="E94" s="3">
        <v>41</v>
      </c>
      <c r="F94" s="15">
        <f t="shared" si="0"/>
        <v>0.68292682926829273</v>
      </c>
      <c r="G94">
        <f>VLOOKUP(H94,'Copia de Localidades'!$A$4:$C$92,3,FALSE)</f>
        <v>22</v>
      </c>
      <c r="H94" s="3" t="s">
        <v>155</v>
      </c>
    </row>
    <row r="95" spans="1:8" ht="12.75" x14ac:dyDescent="0.2">
      <c r="A95" s="3">
        <v>92</v>
      </c>
      <c r="B95" s="3" t="s">
        <v>332</v>
      </c>
      <c r="C95">
        <v>87</v>
      </c>
      <c r="D95" s="3">
        <v>441</v>
      </c>
      <c r="E95" s="3">
        <v>593</v>
      </c>
      <c r="F95" s="15">
        <f t="shared" si="0"/>
        <v>0.74367622259696464</v>
      </c>
      <c r="G95">
        <f>VLOOKUP(H95,'Copia de Localidades'!$A$4:$C$92,3,FALSE)</f>
        <v>87</v>
      </c>
      <c r="H95" s="3" t="s">
        <v>92</v>
      </c>
    </row>
    <row r="96" spans="1:8" ht="12.75" x14ac:dyDescent="0.2">
      <c r="A96" s="3">
        <v>93</v>
      </c>
      <c r="B96" s="3" t="s">
        <v>332</v>
      </c>
      <c r="C96">
        <v>13</v>
      </c>
      <c r="D96" s="3">
        <v>1417</v>
      </c>
      <c r="E96" s="3">
        <v>2030</v>
      </c>
      <c r="F96" s="15">
        <f t="shared" si="0"/>
        <v>0.69802955665024635</v>
      </c>
      <c r="G96">
        <f>VLOOKUP(H96,'Copia de Localidades'!$A$4:$C$92,3,FALSE)</f>
        <v>13</v>
      </c>
      <c r="H96" s="3" t="s">
        <v>93</v>
      </c>
    </row>
    <row r="97" spans="1:8" ht="12.75" x14ac:dyDescent="0.2">
      <c r="A97" s="3">
        <v>94</v>
      </c>
      <c r="B97" s="3" t="s">
        <v>332</v>
      </c>
      <c r="C97" t="e">
        <v>#N/A</v>
      </c>
      <c r="D97" s="3">
        <v>4</v>
      </c>
      <c r="E97" s="3">
        <v>7</v>
      </c>
      <c r="F97" s="15">
        <f t="shared" si="0"/>
        <v>0.5714285714285714</v>
      </c>
      <c r="G97" t="e">
        <f>VLOOKUP(H97,'Copia de Localidades'!$A$4:$C$92,3,FALSE)</f>
        <v>#N/A</v>
      </c>
      <c r="H97" s="3" t="s">
        <v>156</v>
      </c>
    </row>
    <row r="98" spans="1:8" ht="12.75" x14ac:dyDescent="0.2">
      <c r="A98" s="3">
        <v>95</v>
      </c>
      <c r="B98" s="3" t="s">
        <v>332</v>
      </c>
      <c r="C98">
        <v>47</v>
      </c>
      <c r="D98" s="3">
        <v>848</v>
      </c>
      <c r="E98" s="3">
        <v>1261</v>
      </c>
      <c r="F98" s="15">
        <f t="shared" si="0"/>
        <v>0.67248215701823955</v>
      </c>
      <c r="G98">
        <f>VLOOKUP(H98,'Copia de Localidades'!$A$4:$C$92,3,FALSE)</f>
        <v>47</v>
      </c>
      <c r="H98" s="3" t="s">
        <v>94</v>
      </c>
    </row>
    <row r="99" spans="1:8" ht="12.75" x14ac:dyDescent="0.2">
      <c r="A99" s="3">
        <v>96</v>
      </c>
      <c r="B99" s="3" t="s">
        <v>332</v>
      </c>
      <c r="C99">
        <v>62</v>
      </c>
      <c r="D99" s="3">
        <v>1517</v>
      </c>
      <c r="E99" s="3">
        <v>2045</v>
      </c>
      <c r="F99" s="15">
        <f t="shared" si="0"/>
        <v>0.7418092909535452</v>
      </c>
      <c r="G99">
        <f>VLOOKUP(H99,'Copia de Localidades'!$A$4:$C$92,3,FALSE)</f>
        <v>62</v>
      </c>
      <c r="H99" s="3" t="s">
        <v>95</v>
      </c>
    </row>
    <row r="100" spans="1:8" ht="12.75" x14ac:dyDescent="0.2">
      <c r="A100" s="3">
        <v>97</v>
      </c>
      <c r="B100" s="3" t="s">
        <v>332</v>
      </c>
      <c r="C100">
        <v>64</v>
      </c>
      <c r="D100" s="3">
        <v>163</v>
      </c>
      <c r="E100" s="3">
        <v>216</v>
      </c>
      <c r="F100" s="15">
        <f t="shared" si="0"/>
        <v>0.75462962962962965</v>
      </c>
      <c r="G100">
        <f>VLOOKUP(H100,'Copia de Localidades'!$A$4:$C$92,3,FALSE)</f>
        <v>64</v>
      </c>
      <c r="H100" s="3" t="s">
        <v>96</v>
      </c>
    </row>
    <row r="101" spans="1:8" ht="12.75" x14ac:dyDescent="0.2">
      <c r="A101" s="3">
        <v>98</v>
      </c>
      <c r="B101" s="3" t="s">
        <v>332</v>
      </c>
      <c r="C101">
        <v>69</v>
      </c>
      <c r="D101" s="3">
        <v>320</v>
      </c>
      <c r="E101" s="3">
        <v>383</v>
      </c>
      <c r="F101" s="15">
        <f t="shared" si="0"/>
        <v>0.835509138381201</v>
      </c>
      <c r="G101">
        <f>VLOOKUP(H101,'Copia de Localidades'!$A$4:$C$92,3,FALSE)</f>
        <v>69</v>
      </c>
      <c r="H101" s="3" t="s">
        <v>97</v>
      </c>
    </row>
    <row r="102" spans="1:8" ht="12.75" x14ac:dyDescent="0.2">
      <c r="A102" s="3">
        <v>99</v>
      </c>
      <c r="B102" s="3" t="s">
        <v>332</v>
      </c>
      <c r="C102">
        <v>70</v>
      </c>
      <c r="D102" s="3">
        <v>2264</v>
      </c>
      <c r="E102" s="3">
        <v>3207</v>
      </c>
      <c r="F102" s="15">
        <f t="shared" si="0"/>
        <v>0.70595572185843469</v>
      </c>
      <c r="G102">
        <f>VLOOKUP(H102,'Copia de Localidades'!$A$4:$C$92,3,FALSE)</f>
        <v>70</v>
      </c>
      <c r="H102" s="3" t="s">
        <v>98</v>
      </c>
    </row>
    <row r="103" spans="1:8" ht="12.75" x14ac:dyDescent="0.2">
      <c r="A103" s="3">
        <v>100</v>
      </c>
      <c r="B103" s="3" t="s">
        <v>332</v>
      </c>
      <c r="C103">
        <v>2</v>
      </c>
      <c r="D103" s="3">
        <v>233</v>
      </c>
      <c r="E103" s="3">
        <v>294</v>
      </c>
      <c r="F103" s="15">
        <f t="shared" si="0"/>
        <v>0.79251700680272108</v>
      </c>
      <c r="G103">
        <f>VLOOKUP(H103,'Copia de Localidades'!$A$4:$C$92,3,FALSE)</f>
        <v>2</v>
      </c>
      <c r="H103" s="3" t="s">
        <v>99</v>
      </c>
    </row>
    <row r="104" spans="1:8" ht="12.75" x14ac:dyDescent="0.2">
      <c r="A104" s="3">
        <v>101</v>
      </c>
      <c r="B104" s="3" t="s">
        <v>332</v>
      </c>
      <c r="C104">
        <v>6</v>
      </c>
      <c r="D104" s="3">
        <v>1003</v>
      </c>
      <c r="E104" s="3">
        <v>1306</v>
      </c>
      <c r="F104" s="15">
        <f t="shared" si="0"/>
        <v>0.76799387442572742</v>
      </c>
      <c r="G104">
        <f>VLOOKUP(H104,'Copia de Localidades'!$A$4:$C$92,3,FALSE)</f>
        <v>6</v>
      </c>
      <c r="H104" s="3" t="s">
        <v>100</v>
      </c>
    </row>
    <row r="105" spans="1:8" ht="12.75" x14ac:dyDescent="0.2">
      <c r="A105" s="3">
        <v>102</v>
      </c>
      <c r="B105" s="3" t="s">
        <v>332</v>
      </c>
      <c r="C105">
        <v>54</v>
      </c>
      <c r="D105" s="3">
        <v>212</v>
      </c>
      <c r="E105" s="3">
        <v>270</v>
      </c>
      <c r="F105" s="15">
        <f t="shared" si="0"/>
        <v>0.78518518518518521</v>
      </c>
      <c r="G105">
        <f>VLOOKUP(H105,'Copia de Localidades'!$A$4:$C$92,3,FALSE)</f>
        <v>54</v>
      </c>
      <c r="H105" s="3" t="s">
        <v>101</v>
      </c>
    </row>
    <row r="106" spans="1:8" ht="12.75" x14ac:dyDescent="0.2">
      <c r="A106" s="3">
        <v>103</v>
      </c>
      <c r="B106" s="3" t="s">
        <v>332</v>
      </c>
      <c r="C106">
        <v>33</v>
      </c>
      <c r="D106" s="3">
        <v>937</v>
      </c>
      <c r="E106" s="3">
        <v>1193</v>
      </c>
      <c r="F106" s="15">
        <f t="shared" si="0"/>
        <v>0.7854149203688181</v>
      </c>
      <c r="G106">
        <f>VLOOKUP(H106,'Copia de Localidades'!$A$4:$C$92,3,FALSE)</f>
        <v>33</v>
      </c>
      <c r="H106" s="3" t="s">
        <v>102</v>
      </c>
    </row>
    <row r="107" spans="1:8" ht="12.75" x14ac:dyDescent="0.2">
      <c r="A107" s="3">
        <v>104</v>
      </c>
      <c r="B107" s="3" t="s">
        <v>332</v>
      </c>
      <c r="C107">
        <v>34</v>
      </c>
      <c r="D107" s="3">
        <v>159</v>
      </c>
      <c r="E107" s="3">
        <v>187</v>
      </c>
      <c r="F107" s="15">
        <f t="shared" si="0"/>
        <v>0.85026737967914434</v>
      </c>
      <c r="G107">
        <f>VLOOKUP(H107,'Copia de Localidades'!$A$4:$C$92,3,FALSE)</f>
        <v>34</v>
      </c>
      <c r="H107" s="3" t="s">
        <v>103</v>
      </c>
    </row>
    <row r="108" spans="1:8" ht="12.75" x14ac:dyDescent="0.2">
      <c r="A108" s="3">
        <v>105</v>
      </c>
      <c r="B108" s="3" t="s">
        <v>332</v>
      </c>
      <c r="C108" s="3" t="s">
        <v>333</v>
      </c>
      <c r="D108" s="3">
        <v>2</v>
      </c>
      <c r="E108" s="3">
        <v>1</v>
      </c>
      <c r="F108" s="15">
        <f t="shared" si="0"/>
        <v>2</v>
      </c>
      <c r="G108" s="3" t="s">
        <v>333</v>
      </c>
      <c r="H108" s="3" t="s">
        <v>157</v>
      </c>
    </row>
    <row r="109" spans="1:8" ht="12.75" x14ac:dyDescent="0.2">
      <c r="A109" s="3">
        <v>106</v>
      </c>
      <c r="B109" s="3" t="s">
        <v>332</v>
      </c>
      <c r="C109">
        <v>60</v>
      </c>
      <c r="D109" s="3">
        <v>5</v>
      </c>
      <c r="E109" s="3">
        <v>11</v>
      </c>
      <c r="F109" s="15">
        <f t="shared" si="0"/>
        <v>0.45454545454545453</v>
      </c>
      <c r="G109">
        <f>VLOOKUP(H109,'Copia de Localidades'!$A$4:$C$92,3,FALSE)</f>
        <v>60</v>
      </c>
      <c r="H109" s="3" t="s">
        <v>158</v>
      </c>
    </row>
    <row r="110" spans="1:8" ht="12.75" x14ac:dyDescent="0.2">
      <c r="A110" s="3">
        <v>107</v>
      </c>
      <c r="B110" s="3" t="s">
        <v>332</v>
      </c>
      <c r="C110" t="e">
        <v>#N/A</v>
      </c>
      <c r="D110" s="3">
        <v>3</v>
      </c>
      <c r="E110" s="3">
        <v>3</v>
      </c>
      <c r="F110" s="15">
        <f t="shared" si="0"/>
        <v>1</v>
      </c>
      <c r="G110" t="e">
        <f>VLOOKUP(H110,'Copia de Localidades'!$A$4:$C$92,3,FALSE)</f>
        <v>#N/A</v>
      </c>
      <c r="H110" s="3" t="s">
        <v>159</v>
      </c>
    </row>
    <row r="111" spans="1:8" ht="12.75" x14ac:dyDescent="0.2">
      <c r="A111" s="3">
        <v>108</v>
      </c>
      <c r="B111" s="3" t="s">
        <v>332</v>
      </c>
      <c r="C111">
        <v>8</v>
      </c>
      <c r="D111" s="3">
        <v>777</v>
      </c>
      <c r="E111" s="3">
        <v>1006</v>
      </c>
      <c r="F111" s="15">
        <f t="shared" si="0"/>
        <v>0.77236580516898612</v>
      </c>
      <c r="G111">
        <f>VLOOKUP(H111,'Copia de Localidades'!$A$4:$C$92,3,FALSE)</f>
        <v>8</v>
      </c>
      <c r="H111" s="3" t="s">
        <v>107</v>
      </c>
    </row>
    <row r="112" spans="1:8" ht="12.75" x14ac:dyDescent="0.2">
      <c r="A112" s="3">
        <v>109</v>
      </c>
      <c r="B112" s="3" t="s">
        <v>332</v>
      </c>
      <c r="C112">
        <v>56</v>
      </c>
      <c r="D112" s="3">
        <v>398</v>
      </c>
      <c r="E112" s="3">
        <v>488</v>
      </c>
      <c r="F112" s="15">
        <f t="shared" si="0"/>
        <v>0.81557377049180324</v>
      </c>
      <c r="G112">
        <f>VLOOKUP(H112,'Copia de Localidades'!$A$4:$C$92,3,FALSE)</f>
        <v>56</v>
      </c>
      <c r="H112" s="3" t="s">
        <v>108</v>
      </c>
    </row>
    <row r="113" spans="1:8" ht="12.75" x14ac:dyDescent="0.2">
      <c r="A113" s="3">
        <v>110</v>
      </c>
      <c r="B113" s="3" t="s">
        <v>332</v>
      </c>
      <c r="C113">
        <v>81</v>
      </c>
      <c r="D113" s="3">
        <v>2412</v>
      </c>
      <c r="E113" s="3">
        <v>3260</v>
      </c>
      <c r="F113" s="15">
        <f t="shared" si="0"/>
        <v>0.73987730061349688</v>
      </c>
      <c r="G113">
        <f>VLOOKUP(H113,'Copia de Localidades'!$A$4:$C$92,3,FALSE)</f>
        <v>81</v>
      </c>
      <c r="H113" s="3" t="s">
        <v>109</v>
      </c>
    </row>
    <row r="114" spans="1:8" ht="12.75" x14ac:dyDescent="0.2">
      <c r="A114" s="3">
        <v>111</v>
      </c>
      <c r="B114" s="3" t="s">
        <v>332</v>
      </c>
      <c r="C114">
        <v>9</v>
      </c>
      <c r="D114" s="3">
        <v>540</v>
      </c>
      <c r="E114" s="3">
        <v>699</v>
      </c>
      <c r="F114" s="15">
        <f t="shared" si="0"/>
        <v>0.77253218884120167</v>
      </c>
      <c r="G114">
        <f>VLOOKUP(H114,'Copia de Localidades'!$A$4:$C$92,3,FALSE)</f>
        <v>9</v>
      </c>
      <c r="H114" s="3" t="s">
        <v>110</v>
      </c>
    </row>
    <row r="115" spans="1:8" ht="12.75" x14ac:dyDescent="0.2">
      <c r="A115" s="3">
        <v>112</v>
      </c>
      <c r="B115" s="3" t="s">
        <v>332</v>
      </c>
      <c r="C115">
        <v>23</v>
      </c>
      <c r="D115" s="3">
        <v>262</v>
      </c>
      <c r="E115" s="3">
        <v>314</v>
      </c>
      <c r="F115" s="15">
        <f t="shared" si="0"/>
        <v>0.83439490445859876</v>
      </c>
      <c r="G115">
        <f>VLOOKUP(H115,'Copia de Localidades'!$A$4:$C$92,3,FALSE)</f>
        <v>23</v>
      </c>
      <c r="H115" s="3" t="s">
        <v>111</v>
      </c>
    </row>
    <row r="116" spans="1:8" ht="12.75" x14ac:dyDescent="0.2">
      <c r="A116" s="3">
        <v>113</v>
      </c>
      <c r="B116" s="3" t="s">
        <v>332</v>
      </c>
      <c r="C116">
        <v>17</v>
      </c>
      <c r="D116" s="3">
        <v>187</v>
      </c>
      <c r="E116" s="3">
        <v>263</v>
      </c>
      <c r="F116" s="15">
        <f t="shared" si="0"/>
        <v>0.71102661596958172</v>
      </c>
      <c r="G116">
        <f>VLOOKUP(H116,'Copia de Localidades'!$A$4:$C$92,3,FALSE)</f>
        <v>17</v>
      </c>
      <c r="H116" s="3" t="s">
        <v>112</v>
      </c>
    </row>
    <row r="117" spans="1:8" ht="12.75" x14ac:dyDescent="0.2">
      <c r="A117" s="3">
        <v>114</v>
      </c>
      <c r="B117" s="3" t="s">
        <v>332</v>
      </c>
      <c r="C117">
        <v>67</v>
      </c>
      <c r="D117" s="3">
        <v>384</v>
      </c>
      <c r="E117" s="3">
        <v>479</v>
      </c>
      <c r="F117" s="15">
        <f t="shared" si="0"/>
        <v>0.80167014613778709</v>
      </c>
      <c r="G117">
        <f>VLOOKUP(H117,'Copia de Localidades'!$A$4:$C$92,3,FALSE)</f>
        <v>67</v>
      </c>
      <c r="H117" s="3" t="s">
        <v>114</v>
      </c>
    </row>
    <row r="118" spans="1:8" ht="12.75" x14ac:dyDescent="0.2">
      <c r="A118" s="3">
        <v>115</v>
      </c>
      <c r="B118" s="3" t="s">
        <v>332</v>
      </c>
      <c r="C118">
        <v>82</v>
      </c>
      <c r="D118" s="3">
        <v>97</v>
      </c>
      <c r="E118" s="3">
        <v>119</v>
      </c>
      <c r="F118" s="15">
        <f t="shared" si="0"/>
        <v>0.81512605042016806</v>
      </c>
      <c r="G118">
        <f>VLOOKUP(H118,'Copia de Localidades'!$A$4:$C$92,3,FALSE)</f>
        <v>82</v>
      </c>
      <c r="H118" s="3" t="s">
        <v>115</v>
      </c>
    </row>
    <row r="119" spans="1:8" ht="12.75" x14ac:dyDescent="0.2">
      <c r="A119" s="3">
        <v>116</v>
      </c>
      <c r="B119" s="3" t="s">
        <v>332</v>
      </c>
      <c r="D119" s="3">
        <v>69</v>
      </c>
      <c r="E119" s="31" t="s">
        <v>334</v>
      </c>
      <c r="F119" s="15" t="e">
        <f t="shared" si="0"/>
        <v>#VALUE!</v>
      </c>
      <c r="H119" s="3" t="s">
        <v>177</v>
      </c>
    </row>
    <row r="120" spans="1:8" ht="12.75" x14ac:dyDescent="0.2">
      <c r="A120" s="3">
        <v>117</v>
      </c>
      <c r="B120" s="3" t="s">
        <v>331</v>
      </c>
      <c r="C120">
        <v>30</v>
      </c>
      <c r="D120" s="3">
        <v>1262</v>
      </c>
      <c r="E120" s="3">
        <v>1484</v>
      </c>
      <c r="F120" s="15">
        <f t="shared" si="0"/>
        <v>0.85040431266846361</v>
      </c>
      <c r="G120">
        <f>VLOOKUP(H120,'Copia de Localidades'!$A$4:$C$92,3,FALSE)</f>
        <v>30</v>
      </c>
      <c r="H120" s="3" t="s">
        <v>12</v>
      </c>
    </row>
    <row r="121" spans="1:8" ht="12.75" x14ac:dyDescent="0.2">
      <c r="A121" s="3">
        <v>118</v>
      </c>
      <c r="B121" s="3" t="s">
        <v>331</v>
      </c>
      <c r="C121">
        <v>58</v>
      </c>
      <c r="D121" s="3">
        <v>1887</v>
      </c>
      <c r="E121" s="3">
        <v>2132</v>
      </c>
      <c r="F121" s="15">
        <f t="shared" si="0"/>
        <v>0.88508442776735463</v>
      </c>
      <c r="G121">
        <f>VLOOKUP(H121,'Copia de Localidades'!$A$4:$C$92,3,FALSE)</f>
        <v>58</v>
      </c>
      <c r="H121" s="3" t="s">
        <v>35</v>
      </c>
    </row>
    <row r="122" spans="1:8" ht="12.75" x14ac:dyDescent="0.2">
      <c r="A122" s="3">
        <v>119</v>
      </c>
      <c r="B122" s="3" t="s">
        <v>331</v>
      </c>
      <c r="C122">
        <v>72</v>
      </c>
      <c r="D122" s="3">
        <v>578</v>
      </c>
      <c r="E122" s="3">
        <v>632</v>
      </c>
      <c r="F122" s="15">
        <f t="shared" si="0"/>
        <v>0.91455696202531644</v>
      </c>
      <c r="G122">
        <f>VLOOKUP(H122,'Copia de Localidades'!$A$4:$C$92,3,FALSE)</f>
        <v>72</v>
      </c>
      <c r="H122" s="3" t="s">
        <v>36</v>
      </c>
    </row>
    <row r="123" spans="1:8" ht="12.75" x14ac:dyDescent="0.2">
      <c r="A123" s="3">
        <v>120</v>
      </c>
      <c r="B123" s="3" t="s">
        <v>331</v>
      </c>
      <c r="C123">
        <v>79</v>
      </c>
      <c r="D123" s="3">
        <v>345</v>
      </c>
      <c r="E123" s="3">
        <v>382</v>
      </c>
      <c r="F123" s="15">
        <f t="shared" si="0"/>
        <v>0.90314136125654454</v>
      </c>
      <c r="G123">
        <f>VLOOKUP(H123,'Copia de Localidades'!$A$4:$C$92,3,FALSE)</f>
        <v>79</v>
      </c>
      <c r="H123" s="3" t="s">
        <v>37</v>
      </c>
    </row>
    <row r="124" spans="1:8" ht="12.75" x14ac:dyDescent="0.2">
      <c r="A124" s="3">
        <v>121</v>
      </c>
      <c r="B124" s="3" t="s">
        <v>331</v>
      </c>
      <c r="C124">
        <v>7</v>
      </c>
      <c r="D124" s="3">
        <v>1541</v>
      </c>
      <c r="E124" s="3">
        <v>1701</v>
      </c>
      <c r="F124" s="15">
        <f t="shared" si="0"/>
        <v>0.90593768371546146</v>
      </c>
      <c r="G124">
        <f>VLOOKUP(H124,'Copia de Localidades'!$A$4:$C$92,3,FALSE)</f>
        <v>7</v>
      </c>
      <c r="H124" s="3" t="s">
        <v>38</v>
      </c>
    </row>
    <row r="125" spans="1:8" ht="12.75" x14ac:dyDescent="0.2">
      <c r="A125" s="3">
        <v>122</v>
      </c>
      <c r="B125" s="3" t="s">
        <v>331</v>
      </c>
      <c r="C125">
        <v>45</v>
      </c>
      <c r="D125" s="3">
        <v>1461</v>
      </c>
      <c r="E125" s="3">
        <v>1724</v>
      </c>
      <c r="F125" s="15">
        <f t="shared" si="0"/>
        <v>0.84744779582366592</v>
      </c>
      <c r="G125">
        <f>VLOOKUP(H125,'Copia de Localidades'!$A$4:$C$92,3,FALSE)</f>
        <v>45</v>
      </c>
      <c r="H125" s="3" t="s">
        <v>41</v>
      </c>
    </row>
    <row r="126" spans="1:8" ht="12.75" x14ac:dyDescent="0.2">
      <c r="A126" s="3">
        <v>123</v>
      </c>
      <c r="B126" s="3" t="s">
        <v>331</v>
      </c>
      <c r="C126" t="e">
        <v>#N/A</v>
      </c>
      <c r="D126" s="3">
        <v>44</v>
      </c>
      <c r="E126" s="3">
        <v>55</v>
      </c>
      <c r="F126" s="15">
        <f t="shared" si="0"/>
        <v>0.8</v>
      </c>
      <c r="G126" t="e">
        <f>VLOOKUP(H126,'Copia de Localidades'!$A$4:$C$92,3,FALSE)</f>
        <v>#N/A</v>
      </c>
      <c r="H126" s="3" t="s">
        <v>153</v>
      </c>
    </row>
    <row r="127" spans="1:8" ht="12.75" x14ac:dyDescent="0.2">
      <c r="A127" s="3">
        <v>124</v>
      </c>
      <c r="B127" s="3" t="s">
        <v>331</v>
      </c>
      <c r="C127">
        <v>50</v>
      </c>
      <c r="D127" s="3">
        <v>1345</v>
      </c>
      <c r="E127" s="3">
        <v>1536</v>
      </c>
      <c r="F127" s="15">
        <f t="shared" si="0"/>
        <v>0.87565104166666663</v>
      </c>
      <c r="G127">
        <f>VLOOKUP(H127,'Copia de Localidades'!$A$4:$C$92,3,FALSE)</f>
        <v>50</v>
      </c>
      <c r="H127" s="3" t="s">
        <v>43</v>
      </c>
    </row>
    <row r="128" spans="1:8" ht="12.75" x14ac:dyDescent="0.2">
      <c r="A128" s="3">
        <v>125</v>
      </c>
      <c r="B128" s="3" t="s">
        <v>331</v>
      </c>
      <c r="C128">
        <v>83</v>
      </c>
      <c r="D128" s="3">
        <v>781</v>
      </c>
      <c r="E128" s="3">
        <v>867</v>
      </c>
      <c r="F128" s="15">
        <f t="shared" si="0"/>
        <v>0.90080738177623987</v>
      </c>
      <c r="G128">
        <f>VLOOKUP(H128,'Copia de Localidades'!$A$4:$C$92,3,FALSE)</f>
        <v>83</v>
      </c>
      <c r="H128" s="3" t="s">
        <v>44</v>
      </c>
    </row>
    <row r="129" spans="1:8" ht="12.75" x14ac:dyDescent="0.2">
      <c r="A129" s="3">
        <v>126</v>
      </c>
      <c r="B129" s="3" t="s">
        <v>331</v>
      </c>
      <c r="C129" t="e">
        <v>#N/A</v>
      </c>
      <c r="D129" s="3">
        <v>19</v>
      </c>
      <c r="E129" s="3">
        <v>31</v>
      </c>
      <c r="F129" s="15">
        <f t="shared" si="0"/>
        <v>0.61290322580645162</v>
      </c>
      <c r="G129" t="e">
        <f>VLOOKUP(H129,'Copia de Localidades'!$A$4:$C$92,3,FALSE)</f>
        <v>#N/A</v>
      </c>
      <c r="H129" s="3" t="s">
        <v>45</v>
      </c>
    </row>
    <row r="130" spans="1:8" ht="12.75" x14ac:dyDescent="0.2">
      <c r="A130" s="3">
        <v>127</v>
      </c>
      <c r="B130" s="3" t="s">
        <v>331</v>
      </c>
      <c r="C130">
        <v>29</v>
      </c>
      <c r="D130" s="3">
        <v>2053</v>
      </c>
      <c r="E130" s="3">
        <v>2420</v>
      </c>
      <c r="F130" s="15">
        <f t="shared" si="0"/>
        <v>0.84834710743801656</v>
      </c>
      <c r="G130">
        <f>VLOOKUP(H130,'Copia de Localidades'!$A$4:$C$92,3,FALSE)</f>
        <v>29</v>
      </c>
      <c r="H130" s="3" t="s">
        <v>46</v>
      </c>
    </row>
    <row r="131" spans="1:8" ht="12.75" x14ac:dyDescent="0.2">
      <c r="A131" s="3">
        <v>128</v>
      </c>
      <c r="B131" s="3" t="s">
        <v>331</v>
      </c>
      <c r="C131">
        <v>10</v>
      </c>
      <c r="D131" s="3">
        <v>1338</v>
      </c>
      <c r="E131" s="3">
        <v>1495</v>
      </c>
      <c r="F131" s="15">
        <f t="shared" si="0"/>
        <v>0.89498327759197327</v>
      </c>
      <c r="G131">
        <f>VLOOKUP(H131,'Copia de Localidades'!$A$4:$C$92,3,FALSE)</f>
        <v>10</v>
      </c>
      <c r="H131" s="3" t="s">
        <v>47</v>
      </c>
    </row>
    <row r="132" spans="1:8" ht="12.75" x14ac:dyDescent="0.2">
      <c r="A132" s="3">
        <v>129</v>
      </c>
      <c r="B132" s="3" t="s">
        <v>331</v>
      </c>
      <c r="C132">
        <v>75</v>
      </c>
      <c r="D132" s="3">
        <v>125</v>
      </c>
      <c r="E132" s="3">
        <v>145</v>
      </c>
      <c r="F132" s="15">
        <f t="shared" si="0"/>
        <v>0.86206896551724133</v>
      </c>
      <c r="G132">
        <f>VLOOKUP(H132,'Copia de Localidades'!$A$4:$C$92,3,FALSE)</f>
        <v>75</v>
      </c>
      <c r="H132" s="3" t="s">
        <v>49</v>
      </c>
    </row>
    <row r="133" spans="1:8" ht="12.75" x14ac:dyDescent="0.2">
      <c r="A133" s="3">
        <v>130</v>
      </c>
      <c r="B133" s="3" t="s">
        <v>331</v>
      </c>
      <c r="C133">
        <v>16</v>
      </c>
      <c r="D133" s="3">
        <v>277</v>
      </c>
      <c r="E133" s="3">
        <v>323</v>
      </c>
      <c r="F133" s="15">
        <f t="shared" si="0"/>
        <v>0.85758513931888547</v>
      </c>
      <c r="G133">
        <f>VLOOKUP(H133,'Copia de Localidades'!$A$4:$C$92,3,FALSE)</f>
        <v>16</v>
      </c>
      <c r="H133" s="3" t="s">
        <v>50</v>
      </c>
    </row>
    <row r="134" spans="1:8" ht="12.75" x14ac:dyDescent="0.2">
      <c r="A134" s="3">
        <v>131</v>
      </c>
      <c r="B134" s="3" t="s">
        <v>331</v>
      </c>
      <c r="C134">
        <v>18</v>
      </c>
      <c r="D134" s="3">
        <v>556</v>
      </c>
      <c r="E134" s="3">
        <v>701</v>
      </c>
      <c r="F134" s="15">
        <f t="shared" si="0"/>
        <v>0.7931526390870185</v>
      </c>
      <c r="G134">
        <f>VLOOKUP(H134,'Copia de Localidades'!$A$4:$C$92,3,FALSE)</f>
        <v>18</v>
      </c>
      <c r="H134" s="3" t="s">
        <v>51</v>
      </c>
    </row>
    <row r="135" spans="1:8" ht="12.75" x14ac:dyDescent="0.2">
      <c r="A135" s="3">
        <v>132</v>
      </c>
      <c r="B135" s="3" t="s">
        <v>331</v>
      </c>
      <c r="C135">
        <v>85</v>
      </c>
      <c r="D135" s="3">
        <v>577</v>
      </c>
      <c r="E135" s="3">
        <v>646</v>
      </c>
      <c r="F135" s="15">
        <f t="shared" si="0"/>
        <v>0.89318885448916407</v>
      </c>
      <c r="G135">
        <f>VLOOKUP(H135,'Copia de Localidades'!$A$4:$C$92,3,FALSE)</f>
        <v>85</v>
      </c>
      <c r="H135" s="3" t="s">
        <v>53</v>
      </c>
    </row>
    <row r="136" spans="1:8" ht="12.75" x14ac:dyDescent="0.2">
      <c r="A136" s="3">
        <v>133</v>
      </c>
      <c r="B136" s="3" t="s">
        <v>331</v>
      </c>
      <c r="C136">
        <v>4</v>
      </c>
      <c r="D136" s="3">
        <v>353</v>
      </c>
      <c r="E136" s="3">
        <v>429</v>
      </c>
      <c r="F136" s="15">
        <f t="shared" si="0"/>
        <v>0.82284382284382285</v>
      </c>
      <c r="G136">
        <f>VLOOKUP(H136,'Copia de Localidades'!$A$4:$C$92,3,FALSE)</f>
        <v>4</v>
      </c>
      <c r="H136" s="3" t="s">
        <v>54</v>
      </c>
    </row>
    <row r="137" spans="1:8" ht="12.75" x14ac:dyDescent="0.2">
      <c r="A137" s="3">
        <v>134</v>
      </c>
      <c r="B137" s="3" t="s">
        <v>331</v>
      </c>
      <c r="C137">
        <v>46</v>
      </c>
      <c r="D137" s="3">
        <v>663</v>
      </c>
      <c r="E137" s="3">
        <v>773</v>
      </c>
      <c r="F137" s="15">
        <f t="shared" si="0"/>
        <v>0.85769728331177231</v>
      </c>
      <c r="G137">
        <f>VLOOKUP(H137,'Copia de Localidades'!$A$4:$C$92,3,FALSE)</f>
        <v>46</v>
      </c>
      <c r="H137" s="3" t="s">
        <v>55</v>
      </c>
    </row>
    <row r="138" spans="1:8" ht="12.75" x14ac:dyDescent="0.2">
      <c r="A138" s="3">
        <v>135</v>
      </c>
      <c r="B138" s="3" t="s">
        <v>331</v>
      </c>
      <c r="C138">
        <v>27</v>
      </c>
      <c r="D138" s="3">
        <v>439</v>
      </c>
      <c r="E138" s="3">
        <v>510</v>
      </c>
      <c r="F138" s="15">
        <f t="shared" si="0"/>
        <v>0.86078431372549025</v>
      </c>
      <c r="G138">
        <f>VLOOKUP(H138,'Copia de Localidades'!$A$4:$C$92,3,FALSE)</f>
        <v>27</v>
      </c>
      <c r="H138" s="3" t="s">
        <v>56</v>
      </c>
    </row>
    <row r="139" spans="1:8" ht="12.75" x14ac:dyDescent="0.2">
      <c r="A139" s="3">
        <v>136</v>
      </c>
      <c r="B139" s="3" t="s">
        <v>331</v>
      </c>
      <c r="C139">
        <v>55</v>
      </c>
      <c r="D139" s="3">
        <v>312</v>
      </c>
      <c r="E139" s="3">
        <v>351</v>
      </c>
      <c r="F139" s="15">
        <f t="shared" si="0"/>
        <v>0.88888888888888884</v>
      </c>
      <c r="G139">
        <f>VLOOKUP(H139,'Copia de Localidades'!$A$4:$C$92,3,FALSE)</f>
        <v>55</v>
      </c>
      <c r="H139" s="3" t="s">
        <v>58</v>
      </c>
    </row>
    <row r="140" spans="1:8" ht="12.75" x14ac:dyDescent="0.2">
      <c r="A140" s="3">
        <v>137</v>
      </c>
      <c r="B140" s="3" t="s">
        <v>331</v>
      </c>
      <c r="C140">
        <v>59</v>
      </c>
      <c r="D140" s="3">
        <v>478</v>
      </c>
      <c r="E140" s="3">
        <v>531</v>
      </c>
      <c r="F140" s="15">
        <f t="shared" si="0"/>
        <v>0.90018832391713743</v>
      </c>
      <c r="G140">
        <f>VLOOKUP(H140,'Copia de Localidades'!$A$4:$C$92,3,FALSE)</f>
        <v>59</v>
      </c>
      <c r="H140" s="3" t="s">
        <v>59</v>
      </c>
    </row>
    <row r="141" spans="1:8" ht="12.75" x14ac:dyDescent="0.2">
      <c r="A141" s="3">
        <v>138</v>
      </c>
      <c r="B141" s="3" t="s">
        <v>331</v>
      </c>
      <c r="C141">
        <v>73</v>
      </c>
      <c r="D141" s="3">
        <v>209</v>
      </c>
      <c r="E141" s="3">
        <v>244</v>
      </c>
      <c r="F141" s="15">
        <f t="shared" si="0"/>
        <v>0.85655737704918034</v>
      </c>
      <c r="G141">
        <f>VLOOKUP(H141,'Copia de Localidades'!$A$4:$C$92,3,FALSE)</f>
        <v>73</v>
      </c>
      <c r="H141" s="3" t="s">
        <v>60</v>
      </c>
    </row>
    <row r="142" spans="1:8" ht="12.75" x14ac:dyDescent="0.2">
      <c r="A142" s="3">
        <v>139</v>
      </c>
      <c r="B142" s="3" t="s">
        <v>331</v>
      </c>
      <c r="C142">
        <v>88</v>
      </c>
      <c r="D142" s="3">
        <v>2123</v>
      </c>
      <c r="E142" s="3">
        <v>2440</v>
      </c>
      <c r="F142" s="15">
        <f t="shared" si="0"/>
        <v>0.8700819672131147</v>
      </c>
      <c r="G142">
        <f>VLOOKUP(H142,'Copia de Localidades'!$A$4:$C$92,3,FALSE)</f>
        <v>88</v>
      </c>
      <c r="H142" s="3" t="s">
        <v>61</v>
      </c>
    </row>
    <row r="143" spans="1:8" ht="12.75" x14ac:dyDescent="0.2">
      <c r="A143" s="3">
        <v>140</v>
      </c>
      <c r="B143" s="3" t="s">
        <v>331</v>
      </c>
      <c r="C143">
        <v>36</v>
      </c>
      <c r="D143" s="3">
        <v>266</v>
      </c>
      <c r="E143" s="3">
        <v>296</v>
      </c>
      <c r="F143" s="15">
        <f t="shared" si="0"/>
        <v>0.89864864864864868</v>
      </c>
      <c r="G143">
        <f>VLOOKUP(H143,'Copia de Localidades'!$A$4:$C$92,3,FALSE)</f>
        <v>36</v>
      </c>
      <c r="H143" s="3" t="s">
        <v>62</v>
      </c>
    </row>
    <row r="144" spans="1:8" ht="12.75" x14ac:dyDescent="0.2">
      <c r="A144" s="3">
        <v>141</v>
      </c>
      <c r="B144" s="3" t="s">
        <v>331</v>
      </c>
      <c r="C144">
        <v>65</v>
      </c>
      <c r="D144" s="3">
        <v>430</v>
      </c>
      <c r="E144" s="3">
        <v>488</v>
      </c>
      <c r="F144" s="15">
        <f t="shared" si="0"/>
        <v>0.88114754098360659</v>
      </c>
      <c r="G144">
        <f>VLOOKUP(H144,'Copia de Localidades'!$A$4:$C$92,3,FALSE)</f>
        <v>65</v>
      </c>
      <c r="H144" s="3" t="s">
        <v>63</v>
      </c>
    </row>
    <row r="145" spans="1:8" ht="12.75" x14ac:dyDescent="0.2">
      <c r="A145" s="3">
        <v>142</v>
      </c>
      <c r="B145" s="3" t="s">
        <v>331</v>
      </c>
      <c r="C145">
        <v>5</v>
      </c>
      <c r="D145" s="3">
        <v>1671</v>
      </c>
      <c r="E145" s="3">
        <v>1869</v>
      </c>
      <c r="F145" s="15">
        <f t="shared" si="0"/>
        <v>0.8940609951845907</v>
      </c>
      <c r="G145">
        <f>VLOOKUP(H145,'Copia de Localidades'!$A$4:$C$92,3,FALSE)</f>
        <v>5</v>
      </c>
      <c r="H145" s="3" t="s">
        <v>64</v>
      </c>
    </row>
    <row r="146" spans="1:8" ht="12.75" x14ac:dyDescent="0.2">
      <c r="A146" s="3">
        <v>143</v>
      </c>
      <c r="B146" s="3" t="s">
        <v>331</v>
      </c>
      <c r="C146">
        <v>38</v>
      </c>
      <c r="D146" s="3">
        <v>831</v>
      </c>
      <c r="E146" s="3">
        <v>949</v>
      </c>
      <c r="F146" s="15">
        <f t="shared" si="0"/>
        <v>0.87565858798735507</v>
      </c>
      <c r="G146">
        <f>VLOOKUP(H146,'Copia de Localidades'!$A$4:$C$92,3,FALSE)</f>
        <v>38</v>
      </c>
      <c r="H146" s="3" t="s">
        <v>65</v>
      </c>
    </row>
    <row r="147" spans="1:8" ht="12.75" x14ac:dyDescent="0.2">
      <c r="A147" s="3">
        <v>144</v>
      </c>
      <c r="B147" s="3" t="s">
        <v>331</v>
      </c>
      <c r="C147">
        <v>63</v>
      </c>
      <c r="D147" s="3">
        <v>52</v>
      </c>
      <c r="E147" s="3">
        <v>63</v>
      </c>
      <c r="F147" s="15">
        <f t="shared" si="0"/>
        <v>0.82539682539682535</v>
      </c>
      <c r="G147">
        <f>VLOOKUP(H147,'Copia de Localidades'!$A$4:$C$92,3,FALSE)</f>
        <v>63</v>
      </c>
      <c r="H147" s="3" t="s">
        <v>67</v>
      </c>
    </row>
    <row r="148" spans="1:8" ht="12.75" x14ac:dyDescent="0.2">
      <c r="A148" s="3">
        <v>145</v>
      </c>
      <c r="B148" s="3" t="s">
        <v>331</v>
      </c>
      <c r="C148">
        <v>24</v>
      </c>
      <c r="D148" s="3">
        <v>421</v>
      </c>
      <c r="E148" s="3">
        <v>478</v>
      </c>
      <c r="F148" s="15">
        <f t="shared" si="0"/>
        <v>0.88075313807531386</v>
      </c>
      <c r="G148">
        <f>VLOOKUP(H148,'Copia de Localidades'!$A$4:$C$92,3,FALSE)</f>
        <v>24</v>
      </c>
      <c r="H148" s="3" t="s">
        <v>68</v>
      </c>
    </row>
    <row r="149" spans="1:8" ht="12.75" x14ac:dyDescent="0.2">
      <c r="A149" s="3">
        <v>146</v>
      </c>
      <c r="B149" s="3" t="s">
        <v>331</v>
      </c>
      <c r="C149">
        <v>11</v>
      </c>
      <c r="D149" s="3">
        <v>1362</v>
      </c>
      <c r="E149" s="3">
        <v>1615</v>
      </c>
      <c r="F149" s="15">
        <f t="shared" si="0"/>
        <v>0.84334365325077398</v>
      </c>
      <c r="G149">
        <f>VLOOKUP(H149,'Copia de Localidades'!$A$4:$C$92,3,FALSE)</f>
        <v>11</v>
      </c>
      <c r="H149" s="3" t="s">
        <v>69</v>
      </c>
    </row>
    <row r="150" spans="1:8" ht="12.75" x14ac:dyDescent="0.2">
      <c r="A150" s="3">
        <v>147</v>
      </c>
      <c r="B150" s="3" t="s">
        <v>331</v>
      </c>
      <c r="C150">
        <v>1</v>
      </c>
      <c r="D150" s="3">
        <v>361</v>
      </c>
      <c r="E150" s="3">
        <v>400</v>
      </c>
      <c r="F150" s="15">
        <f t="shared" si="0"/>
        <v>0.90249999999999997</v>
      </c>
      <c r="G150">
        <f>VLOOKUP(H150,'Copia de Localidades'!$A$4:$C$92,3,FALSE)</f>
        <v>1</v>
      </c>
      <c r="H150" s="3" t="s">
        <v>71</v>
      </c>
    </row>
    <row r="151" spans="1:8" ht="12.75" x14ac:dyDescent="0.2">
      <c r="A151" s="3">
        <v>148</v>
      </c>
      <c r="B151" s="3" t="s">
        <v>331</v>
      </c>
      <c r="C151">
        <v>39</v>
      </c>
      <c r="D151" s="3">
        <v>2108</v>
      </c>
      <c r="E151" s="3">
        <v>2506</v>
      </c>
      <c r="F151" s="15">
        <f t="shared" si="0"/>
        <v>0.8411811652035116</v>
      </c>
      <c r="G151">
        <f>VLOOKUP(H151,'Copia de Localidades'!$A$4:$C$92,3,FALSE)</f>
        <v>39</v>
      </c>
      <c r="H151" s="3" t="s">
        <v>72</v>
      </c>
    </row>
    <row r="152" spans="1:8" ht="12.75" x14ac:dyDescent="0.2">
      <c r="A152" s="3">
        <v>149</v>
      </c>
      <c r="B152" s="3" t="s">
        <v>331</v>
      </c>
      <c r="C152">
        <v>44</v>
      </c>
      <c r="D152" s="3">
        <v>2055</v>
      </c>
      <c r="E152" s="3">
        <v>2466</v>
      </c>
      <c r="F152" s="15">
        <f t="shared" si="0"/>
        <v>0.83333333333333337</v>
      </c>
      <c r="G152">
        <f>VLOOKUP(H152,'Copia de Localidades'!$A$4:$C$92,3,FALSE)</f>
        <v>44</v>
      </c>
      <c r="H152" s="3" t="s">
        <v>73</v>
      </c>
    </row>
    <row r="153" spans="1:8" ht="12.75" x14ac:dyDescent="0.2">
      <c r="A153" s="3">
        <v>150</v>
      </c>
      <c r="B153" s="3" t="s">
        <v>331</v>
      </c>
      <c r="C153">
        <v>14</v>
      </c>
      <c r="D153" s="3">
        <v>301</v>
      </c>
      <c r="E153" s="3">
        <v>337</v>
      </c>
      <c r="F153" s="15">
        <f t="shared" si="0"/>
        <v>0.89317507418397624</v>
      </c>
      <c r="G153">
        <f>VLOOKUP(H153,'Copia de Localidades'!$A$4:$C$92,3,FALSE)</f>
        <v>14</v>
      </c>
      <c r="H153" s="3" t="s">
        <v>74</v>
      </c>
    </row>
    <row r="154" spans="1:8" ht="12.75" x14ac:dyDescent="0.2">
      <c r="A154" s="3">
        <v>151</v>
      </c>
      <c r="B154" s="3" t="s">
        <v>331</v>
      </c>
      <c r="C154">
        <v>51</v>
      </c>
      <c r="D154" s="3">
        <v>110</v>
      </c>
      <c r="E154" s="3">
        <v>127</v>
      </c>
      <c r="F154" s="15">
        <f t="shared" si="0"/>
        <v>0.86614173228346458</v>
      </c>
      <c r="G154">
        <f>VLOOKUP(H154,'Copia de Localidades'!$A$4:$C$92,3,FALSE)</f>
        <v>51</v>
      </c>
      <c r="H154" s="3" t="s">
        <v>75</v>
      </c>
    </row>
    <row r="155" spans="1:8" ht="12.75" x14ac:dyDescent="0.2">
      <c r="A155" s="3">
        <v>152</v>
      </c>
      <c r="B155" s="3" t="s">
        <v>331</v>
      </c>
      <c r="C155">
        <v>52</v>
      </c>
      <c r="D155" s="3">
        <v>599</v>
      </c>
      <c r="E155" s="3">
        <v>673</v>
      </c>
      <c r="F155" s="15">
        <f t="shared" si="0"/>
        <v>0.89004457652303115</v>
      </c>
      <c r="G155">
        <f>VLOOKUP(H155,'Copia de Localidades'!$A$4:$C$92,3,FALSE)</f>
        <v>52</v>
      </c>
      <c r="H155" s="3" t="s">
        <v>76</v>
      </c>
    </row>
    <row r="156" spans="1:8" ht="12.75" x14ac:dyDescent="0.2">
      <c r="A156" s="3">
        <v>153</v>
      </c>
      <c r="B156" s="3" t="s">
        <v>331</v>
      </c>
      <c r="C156">
        <v>77</v>
      </c>
      <c r="D156" s="3">
        <v>1047</v>
      </c>
      <c r="E156" s="3">
        <v>1179</v>
      </c>
      <c r="F156" s="15">
        <f t="shared" si="0"/>
        <v>0.88804071246819338</v>
      </c>
      <c r="G156">
        <f>VLOOKUP(H156,'Copia de Localidades'!$A$4:$C$92,3,FALSE)</f>
        <v>77</v>
      </c>
      <c r="H156" s="3" t="s">
        <v>77</v>
      </c>
    </row>
    <row r="157" spans="1:8" ht="12.75" x14ac:dyDescent="0.2">
      <c r="A157" s="3">
        <v>154</v>
      </c>
      <c r="B157" s="3" t="s">
        <v>331</v>
      </c>
      <c r="C157">
        <v>28</v>
      </c>
      <c r="D157" s="3">
        <v>217</v>
      </c>
      <c r="E157" s="3">
        <v>250</v>
      </c>
      <c r="F157" s="15">
        <f t="shared" si="0"/>
        <v>0.86799999999999999</v>
      </c>
      <c r="G157">
        <f>VLOOKUP(H157,'Copia de Localidades'!$A$4:$C$92,3,FALSE)</f>
        <v>28</v>
      </c>
      <c r="H157" s="3" t="s">
        <v>79</v>
      </c>
    </row>
    <row r="158" spans="1:8" ht="12.75" x14ac:dyDescent="0.2">
      <c r="A158" s="3">
        <v>155</v>
      </c>
      <c r="B158" s="3" t="s">
        <v>331</v>
      </c>
      <c r="C158">
        <v>48</v>
      </c>
      <c r="D158" s="3">
        <v>229</v>
      </c>
      <c r="E158" s="3">
        <v>258</v>
      </c>
      <c r="F158" s="15">
        <f t="shared" si="0"/>
        <v>0.88759689922480622</v>
      </c>
      <c r="G158">
        <f>VLOOKUP(H158,'Copia de Localidades'!$A$4:$C$92,3,FALSE)</f>
        <v>48</v>
      </c>
      <c r="H158" s="3" t="s">
        <v>80</v>
      </c>
    </row>
    <row r="159" spans="1:8" ht="12.75" x14ac:dyDescent="0.2">
      <c r="A159" s="3">
        <v>156</v>
      </c>
      <c r="B159" s="3" t="s">
        <v>331</v>
      </c>
      <c r="C159">
        <v>49</v>
      </c>
      <c r="D159" s="3">
        <v>135</v>
      </c>
      <c r="E159" s="3">
        <v>202</v>
      </c>
      <c r="F159" s="15">
        <f t="shared" si="0"/>
        <v>0.66831683168316836</v>
      </c>
      <c r="G159">
        <f>VLOOKUP(H159,'Copia de Localidades'!$A$4:$C$92,3,FALSE)</f>
        <v>49</v>
      </c>
      <c r="H159" s="3" t="s">
        <v>81</v>
      </c>
    </row>
    <row r="160" spans="1:8" ht="12.75" x14ac:dyDescent="0.2">
      <c r="A160" s="3">
        <v>157</v>
      </c>
      <c r="B160" s="3" t="s">
        <v>331</v>
      </c>
      <c r="C160">
        <v>3</v>
      </c>
      <c r="D160" s="3">
        <v>302</v>
      </c>
      <c r="E160" s="3">
        <v>319</v>
      </c>
      <c r="F160" s="15">
        <f t="shared" si="0"/>
        <v>0.94670846394984332</v>
      </c>
      <c r="G160">
        <f>VLOOKUP(H160,'Copia de Localidades'!$A$4:$C$92,3,FALSE)</f>
        <v>3</v>
      </c>
      <c r="H160" s="3" t="s">
        <v>82</v>
      </c>
    </row>
    <row r="161" spans="1:8" ht="12.75" x14ac:dyDescent="0.2">
      <c r="A161" s="3">
        <v>158</v>
      </c>
      <c r="B161" s="3" t="s">
        <v>331</v>
      </c>
      <c r="C161">
        <v>31</v>
      </c>
      <c r="D161" s="3">
        <v>428</v>
      </c>
      <c r="E161" s="3">
        <v>469</v>
      </c>
      <c r="F161" s="15">
        <f t="shared" si="0"/>
        <v>0.91257995735607678</v>
      </c>
      <c r="G161">
        <f>VLOOKUP(H161,'Copia de Localidades'!$A$4:$C$92,3,FALSE)</f>
        <v>31</v>
      </c>
      <c r="H161" s="3" t="s">
        <v>83</v>
      </c>
    </row>
    <row r="162" spans="1:8" ht="12.75" x14ac:dyDescent="0.2">
      <c r="A162" s="3">
        <v>159</v>
      </c>
      <c r="B162" s="3" t="s">
        <v>331</v>
      </c>
      <c r="C162">
        <v>76</v>
      </c>
      <c r="D162" s="3">
        <v>378</v>
      </c>
      <c r="E162" s="3">
        <v>416</v>
      </c>
      <c r="F162" s="15">
        <f t="shared" si="0"/>
        <v>0.90865384615384615</v>
      </c>
      <c r="G162">
        <f>VLOOKUP(H162,'Copia de Localidades'!$A$4:$C$92,3,FALSE)</f>
        <v>76</v>
      </c>
      <c r="H162" s="3" t="s">
        <v>85</v>
      </c>
    </row>
    <row r="163" spans="1:8" ht="12.75" x14ac:dyDescent="0.2">
      <c r="A163" s="3">
        <v>160</v>
      </c>
      <c r="B163" s="3" t="s">
        <v>331</v>
      </c>
      <c r="C163">
        <v>80</v>
      </c>
      <c r="D163" s="3">
        <v>36</v>
      </c>
      <c r="E163" s="3">
        <v>56</v>
      </c>
      <c r="F163" s="15">
        <f t="shared" si="0"/>
        <v>0.6428571428571429</v>
      </c>
      <c r="G163">
        <f>VLOOKUP(H163,'Copia de Localidades'!$A$4:$C$92,3,FALSE)</f>
        <v>80</v>
      </c>
      <c r="H163" s="3" t="s">
        <v>154</v>
      </c>
    </row>
    <row r="164" spans="1:8" ht="12.75" x14ac:dyDescent="0.2">
      <c r="A164" s="3">
        <v>161</v>
      </c>
      <c r="B164" s="3" t="s">
        <v>331</v>
      </c>
      <c r="C164">
        <v>66</v>
      </c>
      <c r="D164" s="3">
        <v>546</v>
      </c>
      <c r="E164" s="3">
        <v>608</v>
      </c>
      <c r="F164" s="15">
        <f t="shared" si="0"/>
        <v>0.89802631578947367</v>
      </c>
      <c r="G164">
        <f>VLOOKUP(H164,'Copia de Localidades'!$A$4:$C$92,3,FALSE)</f>
        <v>66</v>
      </c>
      <c r="H164" s="3" t="s">
        <v>87</v>
      </c>
    </row>
    <row r="165" spans="1:8" ht="12.75" x14ac:dyDescent="0.2">
      <c r="A165" s="3">
        <v>162</v>
      </c>
      <c r="B165" s="3" t="s">
        <v>331</v>
      </c>
      <c r="C165">
        <v>25</v>
      </c>
      <c r="D165" s="3">
        <v>2234</v>
      </c>
      <c r="E165" s="3">
        <v>2668</v>
      </c>
      <c r="F165" s="15">
        <f t="shared" si="0"/>
        <v>0.83733133433283358</v>
      </c>
      <c r="G165">
        <f>VLOOKUP(H165,'Copia de Localidades'!$A$4:$C$92,3,FALSE)</f>
        <v>25</v>
      </c>
      <c r="H165" s="3" t="s">
        <v>88</v>
      </c>
    </row>
    <row r="166" spans="1:8" ht="12.75" x14ac:dyDescent="0.2">
      <c r="A166" s="3">
        <v>163</v>
      </c>
      <c r="B166" s="3" t="s">
        <v>331</v>
      </c>
      <c r="C166">
        <v>57</v>
      </c>
      <c r="D166" s="3">
        <v>601</v>
      </c>
      <c r="E166" s="3">
        <v>686</v>
      </c>
      <c r="F166" s="15">
        <f t="shared" si="0"/>
        <v>0.87609329446064144</v>
      </c>
      <c r="G166">
        <f>VLOOKUP(H166,'Copia de Localidades'!$A$4:$C$92,3,FALSE)</f>
        <v>57</v>
      </c>
      <c r="H166" s="3" t="s">
        <v>89</v>
      </c>
    </row>
    <row r="167" spans="1:8" ht="12.75" x14ac:dyDescent="0.2">
      <c r="A167" s="3">
        <v>164</v>
      </c>
      <c r="B167" s="3" t="s">
        <v>331</v>
      </c>
      <c r="C167" t="e">
        <v>#N/A</v>
      </c>
      <c r="D167" s="3">
        <v>99</v>
      </c>
      <c r="E167" s="3">
        <v>112</v>
      </c>
      <c r="F167" s="15">
        <f t="shared" si="0"/>
        <v>0.8839285714285714</v>
      </c>
      <c r="G167" t="e">
        <f>VLOOKUP(H167,'Copia de Localidades'!$A$4:$C$92,3,FALSE)</f>
        <v>#N/A</v>
      </c>
      <c r="H167" s="3" t="s">
        <v>91</v>
      </c>
    </row>
    <row r="168" spans="1:8" ht="12.75" x14ac:dyDescent="0.2">
      <c r="A168" s="3">
        <v>165</v>
      </c>
      <c r="B168" s="3" t="s">
        <v>331</v>
      </c>
      <c r="C168">
        <v>22</v>
      </c>
      <c r="D168" s="3">
        <v>36</v>
      </c>
      <c r="E168" s="3">
        <v>44</v>
      </c>
      <c r="F168" s="15">
        <f t="shared" si="0"/>
        <v>0.81818181818181823</v>
      </c>
      <c r="G168">
        <f>VLOOKUP(H168,'Copia de Localidades'!$A$4:$C$92,3,FALSE)</f>
        <v>22</v>
      </c>
      <c r="H168" s="3" t="s">
        <v>155</v>
      </c>
    </row>
    <row r="169" spans="1:8" ht="12.75" x14ac:dyDescent="0.2">
      <c r="A169" s="3">
        <v>166</v>
      </c>
      <c r="B169" s="3" t="s">
        <v>331</v>
      </c>
      <c r="C169">
        <v>87</v>
      </c>
      <c r="D169" s="3">
        <v>512</v>
      </c>
      <c r="E169" s="3">
        <v>585</v>
      </c>
      <c r="F169" s="15">
        <f t="shared" si="0"/>
        <v>0.87521367521367521</v>
      </c>
      <c r="G169">
        <f>VLOOKUP(H169,'Copia de Localidades'!$A$4:$C$92,3,FALSE)</f>
        <v>87</v>
      </c>
      <c r="H169" s="3" t="s">
        <v>92</v>
      </c>
    </row>
    <row r="170" spans="1:8" ht="12.75" x14ac:dyDescent="0.2">
      <c r="A170" s="3">
        <v>167</v>
      </c>
      <c r="B170" s="3" t="s">
        <v>331</v>
      </c>
      <c r="C170">
        <v>13</v>
      </c>
      <c r="D170" s="3">
        <v>1706</v>
      </c>
      <c r="E170" s="3">
        <v>2039</v>
      </c>
      <c r="F170" s="15">
        <f t="shared" si="0"/>
        <v>0.83668464933791076</v>
      </c>
      <c r="G170">
        <f>VLOOKUP(H170,'Copia de Localidades'!$A$4:$C$92,3,FALSE)</f>
        <v>13</v>
      </c>
      <c r="H170" s="3" t="s">
        <v>93</v>
      </c>
    </row>
    <row r="171" spans="1:8" ht="12.75" x14ac:dyDescent="0.2">
      <c r="A171" s="3">
        <v>168</v>
      </c>
      <c r="B171" s="3" t="s">
        <v>331</v>
      </c>
      <c r="C171" t="e">
        <v>#N/A</v>
      </c>
      <c r="D171" s="3">
        <v>1</v>
      </c>
      <c r="E171" s="3">
        <v>5</v>
      </c>
      <c r="F171" s="15">
        <f t="shared" si="0"/>
        <v>0.2</v>
      </c>
      <c r="G171" t="e">
        <f>VLOOKUP(H171,'Copia de Localidades'!$A$4:$C$92,3,FALSE)</f>
        <v>#N/A</v>
      </c>
      <c r="H171" s="3" t="s">
        <v>156</v>
      </c>
    </row>
    <row r="172" spans="1:8" ht="12.75" x14ac:dyDescent="0.2">
      <c r="A172" s="3">
        <v>169</v>
      </c>
      <c r="B172" s="3" t="s">
        <v>331</v>
      </c>
      <c r="C172">
        <v>47</v>
      </c>
      <c r="D172" s="3">
        <v>1094</v>
      </c>
      <c r="E172" s="3">
        <v>1230</v>
      </c>
      <c r="F172" s="15">
        <f t="shared" si="0"/>
        <v>0.88943089430894307</v>
      </c>
      <c r="G172">
        <f>VLOOKUP(H172,'Copia de Localidades'!$A$4:$C$92,3,FALSE)</f>
        <v>47</v>
      </c>
      <c r="H172" s="3" t="s">
        <v>94</v>
      </c>
    </row>
    <row r="173" spans="1:8" ht="12.75" x14ac:dyDescent="0.2">
      <c r="A173" s="3">
        <v>170</v>
      </c>
      <c r="B173" s="3" t="s">
        <v>331</v>
      </c>
      <c r="C173">
        <v>62</v>
      </c>
      <c r="D173" s="3">
        <v>1731</v>
      </c>
      <c r="E173" s="3">
        <v>1997</v>
      </c>
      <c r="F173" s="15">
        <f t="shared" si="0"/>
        <v>0.86680020030045069</v>
      </c>
      <c r="G173">
        <f>VLOOKUP(H173,'Copia de Localidades'!$A$4:$C$92,3,FALSE)</f>
        <v>62</v>
      </c>
      <c r="H173" s="3" t="s">
        <v>95</v>
      </c>
    </row>
    <row r="174" spans="1:8" ht="12.75" x14ac:dyDescent="0.2">
      <c r="A174" s="3">
        <v>171</v>
      </c>
      <c r="B174" s="3" t="s">
        <v>331</v>
      </c>
      <c r="C174">
        <v>64</v>
      </c>
      <c r="D174" s="3">
        <v>189</v>
      </c>
      <c r="E174" s="3">
        <v>203</v>
      </c>
      <c r="F174" s="15">
        <f t="shared" si="0"/>
        <v>0.93103448275862066</v>
      </c>
      <c r="G174">
        <f>VLOOKUP(H174,'Copia de Localidades'!$A$4:$C$92,3,FALSE)</f>
        <v>64</v>
      </c>
      <c r="H174" s="3" t="s">
        <v>96</v>
      </c>
    </row>
    <row r="175" spans="1:8" ht="12.75" x14ac:dyDescent="0.2">
      <c r="A175" s="3">
        <v>172</v>
      </c>
      <c r="B175" s="3" t="s">
        <v>331</v>
      </c>
      <c r="C175">
        <v>69</v>
      </c>
      <c r="D175" s="3">
        <v>381</v>
      </c>
      <c r="E175" s="3">
        <v>405</v>
      </c>
      <c r="F175" s="15">
        <f t="shared" si="0"/>
        <v>0.94074074074074077</v>
      </c>
      <c r="G175">
        <f>VLOOKUP(H175,'Copia de Localidades'!$A$4:$C$92,3,FALSE)</f>
        <v>69</v>
      </c>
      <c r="H175" s="3" t="s">
        <v>97</v>
      </c>
    </row>
    <row r="176" spans="1:8" ht="12.75" x14ac:dyDescent="0.2">
      <c r="A176" s="3">
        <v>173</v>
      </c>
      <c r="B176" s="3" t="s">
        <v>331</v>
      </c>
      <c r="C176">
        <v>70</v>
      </c>
      <c r="D176" s="3">
        <v>2659</v>
      </c>
      <c r="E176" s="3">
        <v>3132</v>
      </c>
      <c r="F176" s="15">
        <f t="shared" si="0"/>
        <v>0.84897828863346103</v>
      </c>
      <c r="G176">
        <f>VLOOKUP(H176,'Copia de Localidades'!$A$4:$C$92,3,FALSE)</f>
        <v>70</v>
      </c>
      <c r="H176" s="3" t="s">
        <v>98</v>
      </c>
    </row>
    <row r="177" spans="1:8" ht="12.75" x14ac:dyDescent="0.2">
      <c r="A177" s="3">
        <v>174</v>
      </c>
      <c r="B177" s="3" t="s">
        <v>331</v>
      </c>
      <c r="C177">
        <v>2</v>
      </c>
      <c r="D177" s="3">
        <v>261</v>
      </c>
      <c r="E177" s="3">
        <v>302</v>
      </c>
      <c r="F177" s="15">
        <f t="shared" si="0"/>
        <v>0.86423841059602646</v>
      </c>
      <c r="G177">
        <f>VLOOKUP(H177,'Copia de Localidades'!$A$4:$C$92,3,FALSE)</f>
        <v>2</v>
      </c>
      <c r="H177" s="3" t="s">
        <v>99</v>
      </c>
    </row>
    <row r="178" spans="1:8" ht="12.75" x14ac:dyDescent="0.2">
      <c r="A178" s="3">
        <v>175</v>
      </c>
      <c r="B178" s="3" t="s">
        <v>331</v>
      </c>
      <c r="C178">
        <v>6</v>
      </c>
      <c r="D178" s="3">
        <v>1139</v>
      </c>
      <c r="E178" s="3">
        <v>1302</v>
      </c>
      <c r="F178" s="15">
        <f t="shared" si="0"/>
        <v>0.87480798771121349</v>
      </c>
      <c r="G178">
        <f>VLOOKUP(H178,'Copia de Localidades'!$A$4:$C$92,3,FALSE)</f>
        <v>6</v>
      </c>
      <c r="H178" s="3" t="s">
        <v>100</v>
      </c>
    </row>
    <row r="179" spans="1:8" ht="12.75" x14ac:dyDescent="0.2">
      <c r="A179" s="3">
        <v>176</v>
      </c>
      <c r="B179" s="3" t="s">
        <v>331</v>
      </c>
      <c r="C179">
        <v>54</v>
      </c>
      <c r="D179" s="3">
        <v>242</v>
      </c>
      <c r="E179" s="3">
        <v>275</v>
      </c>
      <c r="F179" s="15">
        <f t="shared" si="0"/>
        <v>0.88</v>
      </c>
      <c r="G179">
        <f>VLOOKUP(H179,'Copia de Localidades'!$A$4:$C$92,3,FALSE)</f>
        <v>54</v>
      </c>
      <c r="H179" s="3" t="s">
        <v>101</v>
      </c>
    </row>
    <row r="180" spans="1:8" ht="12.75" x14ac:dyDescent="0.2">
      <c r="A180" s="3">
        <v>177</v>
      </c>
      <c r="B180" s="3" t="s">
        <v>331</v>
      </c>
      <c r="C180">
        <v>33</v>
      </c>
      <c r="D180" s="3">
        <v>1044</v>
      </c>
      <c r="E180" s="3">
        <v>1182</v>
      </c>
      <c r="F180" s="15">
        <f t="shared" si="0"/>
        <v>0.88324873096446699</v>
      </c>
      <c r="G180">
        <f>VLOOKUP(H180,'Copia de Localidades'!$A$4:$C$92,3,FALSE)</f>
        <v>33</v>
      </c>
      <c r="H180" s="3" t="s">
        <v>102</v>
      </c>
    </row>
    <row r="181" spans="1:8" ht="12.75" x14ac:dyDescent="0.2">
      <c r="A181" s="3">
        <v>178</v>
      </c>
      <c r="B181" s="3" t="s">
        <v>331</v>
      </c>
      <c r="C181">
        <v>34</v>
      </c>
      <c r="D181" s="3">
        <v>163</v>
      </c>
      <c r="E181" s="3">
        <v>172</v>
      </c>
      <c r="F181" s="15">
        <f t="shared" si="0"/>
        <v>0.94767441860465118</v>
      </c>
      <c r="G181">
        <f>VLOOKUP(H181,'Copia de Localidades'!$A$4:$C$92,3,FALSE)</f>
        <v>34</v>
      </c>
      <c r="H181" s="3" t="s">
        <v>103</v>
      </c>
    </row>
    <row r="182" spans="1:8" ht="12.75" x14ac:dyDescent="0.2">
      <c r="A182" s="3">
        <v>179</v>
      </c>
      <c r="B182" s="3" t="s">
        <v>331</v>
      </c>
      <c r="C182" t="e">
        <v>#N/A</v>
      </c>
      <c r="D182" s="3">
        <v>0</v>
      </c>
      <c r="E182" s="3">
        <v>1</v>
      </c>
      <c r="F182" s="15">
        <f t="shared" si="0"/>
        <v>0</v>
      </c>
      <c r="G182" t="e">
        <f>VLOOKUP(H182,'Copia de Localidades'!$A$4:$C$92,3,FALSE)</f>
        <v>#N/A</v>
      </c>
      <c r="H182" s="3" t="s">
        <v>157</v>
      </c>
    </row>
    <row r="183" spans="1:8" ht="12.75" x14ac:dyDescent="0.2">
      <c r="A183" s="3">
        <v>180</v>
      </c>
      <c r="B183" s="3" t="s">
        <v>331</v>
      </c>
      <c r="C183">
        <v>60</v>
      </c>
      <c r="D183" s="3">
        <v>5</v>
      </c>
      <c r="E183" s="3">
        <v>8</v>
      </c>
      <c r="F183" s="15">
        <f t="shared" si="0"/>
        <v>0.625</v>
      </c>
      <c r="G183">
        <f>VLOOKUP(H183,'Copia de Localidades'!$A$4:$C$92,3,FALSE)</f>
        <v>60</v>
      </c>
      <c r="H183" s="3" t="s">
        <v>158</v>
      </c>
    </row>
    <row r="184" spans="1:8" ht="12.75" x14ac:dyDescent="0.2">
      <c r="A184" s="3">
        <v>181</v>
      </c>
      <c r="B184" s="3" t="s">
        <v>331</v>
      </c>
      <c r="C184" t="e">
        <v>#N/A</v>
      </c>
      <c r="D184" s="3">
        <v>3</v>
      </c>
      <c r="E184" s="3">
        <v>3</v>
      </c>
      <c r="F184" s="15">
        <f t="shared" si="0"/>
        <v>1</v>
      </c>
      <c r="G184" t="e">
        <f>VLOOKUP(H184,'Copia de Localidades'!$A$4:$C$92,3,FALSE)</f>
        <v>#N/A</v>
      </c>
      <c r="H184" s="3" t="s">
        <v>159</v>
      </c>
    </row>
    <row r="185" spans="1:8" ht="12.75" x14ac:dyDescent="0.2">
      <c r="A185" s="3">
        <v>182</v>
      </c>
      <c r="B185" s="3" t="s">
        <v>331</v>
      </c>
      <c r="C185">
        <v>8</v>
      </c>
      <c r="D185" s="3">
        <v>845</v>
      </c>
      <c r="E185" s="3">
        <v>992</v>
      </c>
      <c r="F185" s="15">
        <f t="shared" si="0"/>
        <v>0.85181451612903225</v>
      </c>
      <c r="G185">
        <f>VLOOKUP(H185,'Copia de Localidades'!$A$4:$C$92,3,FALSE)</f>
        <v>8</v>
      </c>
      <c r="H185" s="3" t="s">
        <v>107</v>
      </c>
    </row>
    <row r="186" spans="1:8" ht="12.75" x14ac:dyDescent="0.2">
      <c r="A186" s="3">
        <v>183</v>
      </c>
      <c r="B186" s="3" t="s">
        <v>331</v>
      </c>
      <c r="C186">
        <v>56</v>
      </c>
      <c r="D186" s="3">
        <v>433</v>
      </c>
      <c r="E186" s="3">
        <v>496</v>
      </c>
      <c r="F186" s="15">
        <f t="shared" si="0"/>
        <v>0.87298387096774188</v>
      </c>
      <c r="G186">
        <f>VLOOKUP(H186,'Copia de Localidades'!$A$4:$C$92,3,FALSE)</f>
        <v>56</v>
      </c>
      <c r="H186" s="3" t="s">
        <v>108</v>
      </c>
    </row>
    <row r="187" spans="1:8" ht="12.75" x14ac:dyDescent="0.2">
      <c r="A187" s="3">
        <v>184</v>
      </c>
      <c r="B187" s="3" t="s">
        <v>331</v>
      </c>
      <c r="C187">
        <v>81</v>
      </c>
      <c r="D187" s="3">
        <v>2647</v>
      </c>
      <c r="E187" s="3">
        <v>3217</v>
      </c>
      <c r="F187" s="15">
        <f t="shared" si="0"/>
        <v>0.82281628846751631</v>
      </c>
      <c r="G187">
        <f>VLOOKUP(H187,'Copia de Localidades'!$A$4:$C$92,3,FALSE)</f>
        <v>81</v>
      </c>
      <c r="H187" s="3" t="s">
        <v>109</v>
      </c>
    </row>
    <row r="188" spans="1:8" ht="12.75" x14ac:dyDescent="0.2">
      <c r="A188" s="3">
        <v>185</v>
      </c>
      <c r="B188" s="3" t="s">
        <v>331</v>
      </c>
      <c r="C188">
        <v>9</v>
      </c>
      <c r="D188" s="3">
        <v>623</v>
      </c>
      <c r="E188" s="3">
        <v>685</v>
      </c>
      <c r="F188" s="15">
        <f t="shared" si="0"/>
        <v>0.90948905109489053</v>
      </c>
      <c r="G188">
        <f>VLOOKUP(H188,'Copia de Localidades'!$A$4:$C$92,3,FALSE)</f>
        <v>9</v>
      </c>
      <c r="H188" s="3" t="s">
        <v>110</v>
      </c>
    </row>
    <row r="189" spans="1:8" ht="12.75" x14ac:dyDescent="0.2">
      <c r="A189" s="3">
        <v>186</v>
      </c>
      <c r="B189" s="3" t="s">
        <v>331</v>
      </c>
      <c r="C189">
        <v>23</v>
      </c>
      <c r="D189" s="3">
        <v>283</v>
      </c>
      <c r="E189" s="3">
        <v>314</v>
      </c>
      <c r="F189" s="15">
        <f t="shared" si="0"/>
        <v>0.90127388535031849</v>
      </c>
      <c r="G189">
        <f>VLOOKUP(H189,'Copia de Localidades'!$A$4:$C$92,3,FALSE)</f>
        <v>23</v>
      </c>
      <c r="H189" s="3" t="s">
        <v>111</v>
      </c>
    </row>
    <row r="190" spans="1:8" ht="12.75" x14ac:dyDescent="0.2">
      <c r="A190" s="3">
        <v>187</v>
      </c>
      <c r="B190" s="3" t="s">
        <v>331</v>
      </c>
      <c r="C190">
        <v>17</v>
      </c>
      <c r="D190" s="3">
        <v>226</v>
      </c>
      <c r="E190" s="3">
        <v>264</v>
      </c>
      <c r="F190" s="15">
        <f t="shared" si="0"/>
        <v>0.85606060606060608</v>
      </c>
      <c r="G190">
        <f>VLOOKUP(H190,'Copia de Localidades'!$A$4:$C$92,3,FALSE)</f>
        <v>17</v>
      </c>
      <c r="H190" s="3" t="s">
        <v>112</v>
      </c>
    </row>
    <row r="191" spans="1:8" ht="12.75" x14ac:dyDescent="0.2">
      <c r="A191" s="3">
        <v>188</v>
      </c>
      <c r="B191" s="3" t="s">
        <v>331</v>
      </c>
      <c r="C191">
        <v>67</v>
      </c>
      <c r="D191" s="3">
        <v>415</v>
      </c>
      <c r="E191" s="3">
        <v>446</v>
      </c>
      <c r="F191" s="15">
        <f t="shared" si="0"/>
        <v>0.93049327354260092</v>
      </c>
      <c r="G191">
        <f>VLOOKUP(H191,'Copia de Localidades'!$A$4:$C$92,3,FALSE)</f>
        <v>67</v>
      </c>
      <c r="H191" s="3" t="s">
        <v>114</v>
      </c>
    </row>
    <row r="192" spans="1:8" ht="12.75" x14ac:dyDescent="0.2">
      <c r="A192" s="3">
        <v>189</v>
      </c>
      <c r="B192" s="3" t="s">
        <v>331</v>
      </c>
      <c r="C192">
        <v>82</v>
      </c>
      <c r="D192" s="3">
        <v>123</v>
      </c>
      <c r="E192" s="3">
        <v>127</v>
      </c>
      <c r="F192" s="15">
        <f t="shared" si="0"/>
        <v>0.96850393700787396</v>
      </c>
      <c r="G192">
        <f>VLOOKUP(H192,'Copia de Localidades'!$A$4:$C$92,3,FALSE)</f>
        <v>82</v>
      </c>
      <c r="H192" s="3" t="s">
        <v>115</v>
      </c>
    </row>
    <row r="193" spans="1:8" ht="12.75" x14ac:dyDescent="0.2">
      <c r="A193" s="3">
        <v>190</v>
      </c>
      <c r="B193" s="3" t="s">
        <v>331</v>
      </c>
      <c r="C193" t="e">
        <v>#N/A</v>
      </c>
      <c r="D193" s="3">
        <v>49</v>
      </c>
      <c r="E193" s="3" t="s">
        <v>334</v>
      </c>
      <c r="F193" s="15" t="e">
        <f t="shared" si="0"/>
        <v>#VALUE!</v>
      </c>
      <c r="G193" t="e">
        <f>VLOOKUP(H193,'Copia de Localidades'!$A$4:$C$92,3,FALSE)</f>
        <v>#N/A</v>
      </c>
      <c r="H193" s="3" t="s">
        <v>177</v>
      </c>
    </row>
    <row r="194" spans="1:8" ht="12.75" x14ac:dyDescent="0.2">
      <c r="A194" s="3">
        <v>191</v>
      </c>
      <c r="B194" s="3" t="s">
        <v>331</v>
      </c>
      <c r="C194" t="e">
        <v>#N/A</v>
      </c>
      <c r="D194" s="3">
        <v>27</v>
      </c>
      <c r="E194" s="3">
        <v>111</v>
      </c>
      <c r="F194" s="15">
        <f t="shared" si="0"/>
        <v>0.24324324324324326</v>
      </c>
      <c r="G194" t="e">
        <f>VLOOKUP(H194,'Copia de Localidades'!$A$4:$C$92,3,FALSE)</f>
        <v>#N/A</v>
      </c>
      <c r="H194" s="3" t="s">
        <v>335</v>
      </c>
    </row>
    <row r="195" spans="1:8" ht="12.75" x14ac:dyDescent="0.2">
      <c r="A195" s="3">
        <v>192</v>
      </c>
      <c r="B195" s="3" t="s">
        <v>331</v>
      </c>
      <c r="C195" t="e">
        <v>#N/A</v>
      </c>
      <c r="D195" s="3">
        <v>130</v>
      </c>
      <c r="E195" s="3">
        <v>319</v>
      </c>
      <c r="F195" s="15">
        <f t="shared" si="0"/>
        <v>0.40752351097178685</v>
      </c>
      <c r="G195" t="e">
        <f>VLOOKUP(H195,'Copia de Localidades'!$A$4:$C$92,3,FALSE)</f>
        <v>#N/A</v>
      </c>
      <c r="H195" s="3" t="s">
        <v>336</v>
      </c>
    </row>
    <row r="196" spans="1:8" ht="12.75" x14ac:dyDescent="0.2">
      <c r="A196" s="3">
        <v>193</v>
      </c>
      <c r="B196" s="3" t="s">
        <v>325</v>
      </c>
      <c r="C196">
        <v>30</v>
      </c>
      <c r="D196" s="3">
        <v>1192</v>
      </c>
      <c r="E196" s="3">
        <v>1464</v>
      </c>
      <c r="F196" s="15">
        <f t="shared" si="0"/>
        <v>0.81420765027322406</v>
      </c>
      <c r="G196">
        <f>VLOOKUP(H196,'Copia de Localidades'!$A$4:$C$92,3,FALSE)</f>
        <v>30</v>
      </c>
      <c r="H196" s="3" t="s">
        <v>12</v>
      </c>
    </row>
    <row r="197" spans="1:8" ht="12.75" x14ac:dyDescent="0.2">
      <c r="A197" s="3">
        <v>194</v>
      </c>
      <c r="B197" s="3" t="s">
        <v>325</v>
      </c>
      <c r="C197">
        <v>58</v>
      </c>
      <c r="D197" s="3">
        <v>1681</v>
      </c>
      <c r="E197" s="3">
        <v>2039</v>
      </c>
      <c r="F197" s="15">
        <f t="shared" si="0"/>
        <v>0.82442373712604222</v>
      </c>
      <c r="G197">
        <f>VLOOKUP(H197,'Copia de Localidades'!$A$4:$C$92,3,FALSE)</f>
        <v>58</v>
      </c>
      <c r="H197" s="3" t="s">
        <v>35</v>
      </c>
    </row>
    <row r="198" spans="1:8" ht="12.75" x14ac:dyDescent="0.2">
      <c r="A198" s="3">
        <v>195</v>
      </c>
      <c r="B198" s="3" t="s">
        <v>325</v>
      </c>
      <c r="C198">
        <v>72</v>
      </c>
      <c r="D198" s="3">
        <v>498</v>
      </c>
      <c r="E198" s="3">
        <v>598</v>
      </c>
      <c r="F198" s="15">
        <f t="shared" si="0"/>
        <v>0.83277591973244147</v>
      </c>
      <c r="G198">
        <f>VLOOKUP(H198,'Copia de Localidades'!$A$4:$C$92,3,FALSE)</f>
        <v>72</v>
      </c>
      <c r="H198" s="3" t="s">
        <v>36</v>
      </c>
    </row>
    <row r="199" spans="1:8" ht="12.75" x14ac:dyDescent="0.2">
      <c r="A199" s="3">
        <v>196</v>
      </c>
      <c r="B199" s="3" t="s">
        <v>325</v>
      </c>
      <c r="C199">
        <v>79</v>
      </c>
      <c r="D199" s="3">
        <v>309</v>
      </c>
      <c r="E199" s="3">
        <v>375</v>
      </c>
      <c r="F199" s="15">
        <f t="shared" si="0"/>
        <v>0.82399999999999995</v>
      </c>
      <c r="G199">
        <f>VLOOKUP(H199,'Copia de Localidades'!$A$4:$C$92,3,FALSE)</f>
        <v>79</v>
      </c>
      <c r="H199" s="3" t="s">
        <v>37</v>
      </c>
    </row>
    <row r="200" spans="1:8" ht="12.75" x14ac:dyDescent="0.2">
      <c r="A200" s="3">
        <v>197</v>
      </c>
      <c r="B200" s="3" t="s">
        <v>325</v>
      </c>
      <c r="C200">
        <v>7</v>
      </c>
      <c r="D200" s="3">
        <v>1366</v>
      </c>
      <c r="E200" s="3">
        <v>1605</v>
      </c>
      <c r="F200" s="15">
        <f t="shared" si="0"/>
        <v>0.85109034267912775</v>
      </c>
      <c r="G200">
        <f>VLOOKUP(H200,'Copia de Localidades'!$A$4:$C$92,3,FALSE)</f>
        <v>7</v>
      </c>
      <c r="H200" s="3" t="s">
        <v>38</v>
      </c>
    </row>
    <row r="201" spans="1:8" ht="12.75" x14ac:dyDescent="0.2">
      <c r="A201" s="3">
        <v>198</v>
      </c>
      <c r="B201" s="3" t="s">
        <v>325</v>
      </c>
      <c r="C201">
        <v>45</v>
      </c>
      <c r="D201" s="3">
        <v>1235</v>
      </c>
      <c r="E201" s="3">
        <v>1578</v>
      </c>
      <c r="F201" s="15">
        <f t="shared" si="0"/>
        <v>0.78263624841571611</v>
      </c>
      <c r="G201">
        <f>VLOOKUP(H201,'Copia de Localidades'!$A$4:$C$92,3,FALSE)</f>
        <v>45</v>
      </c>
      <c r="H201" s="3" t="s">
        <v>41</v>
      </c>
    </row>
    <row r="202" spans="1:8" ht="12.75" x14ac:dyDescent="0.2">
      <c r="A202" s="3">
        <v>199</v>
      </c>
      <c r="B202" s="3" t="s">
        <v>325</v>
      </c>
      <c r="C202" t="e">
        <v>#N/A</v>
      </c>
      <c r="D202" s="3">
        <v>24</v>
      </c>
      <c r="E202" s="3">
        <v>37</v>
      </c>
      <c r="F202" s="15">
        <f t="shared" si="0"/>
        <v>0.64864864864864868</v>
      </c>
      <c r="G202" t="e">
        <f>VLOOKUP(H202,'Copia de Localidades'!$A$4:$C$92,3,FALSE)</f>
        <v>#N/A</v>
      </c>
      <c r="H202" s="3" t="s">
        <v>153</v>
      </c>
    </row>
    <row r="203" spans="1:8" ht="12.75" x14ac:dyDescent="0.2">
      <c r="A203" s="3">
        <v>200</v>
      </c>
      <c r="B203" s="3" t="s">
        <v>325</v>
      </c>
      <c r="C203">
        <v>50</v>
      </c>
      <c r="D203" s="3">
        <v>1206</v>
      </c>
      <c r="E203" s="3">
        <v>1476</v>
      </c>
      <c r="F203" s="15">
        <f t="shared" si="0"/>
        <v>0.81707317073170727</v>
      </c>
      <c r="G203">
        <f>VLOOKUP(H203,'Copia de Localidades'!$A$4:$C$92,3,FALSE)</f>
        <v>50</v>
      </c>
      <c r="H203" s="3" t="s">
        <v>43</v>
      </c>
    </row>
    <row r="204" spans="1:8" ht="12.75" x14ac:dyDescent="0.2">
      <c r="A204" s="3">
        <v>201</v>
      </c>
      <c r="B204" s="3" t="s">
        <v>325</v>
      </c>
      <c r="C204">
        <v>83</v>
      </c>
      <c r="D204" s="3">
        <v>736</v>
      </c>
      <c r="E204" s="3">
        <v>843</v>
      </c>
      <c r="F204" s="15">
        <f t="shared" si="0"/>
        <v>0.87307236061684457</v>
      </c>
      <c r="G204">
        <f>VLOOKUP(H204,'Copia de Localidades'!$A$4:$C$92,3,FALSE)</f>
        <v>83</v>
      </c>
      <c r="H204" s="3" t="s">
        <v>44</v>
      </c>
    </row>
    <row r="205" spans="1:8" ht="12.75" x14ac:dyDescent="0.2">
      <c r="A205" s="3">
        <v>202</v>
      </c>
      <c r="B205" s="3" t="s">
        <v>325</v>
      </c>
      <c r="C205" t="e">
        <v>#N/A</v>
      </c>
      <c r="D205" s="3">
        <v>23</v>
      </c>
      <c r="E205" s="3">
        <v>47</v>
      </c>
      <c r="F205" s="15">
        <f t="shared" si="0"/>
        <v>0.48936170212765956</v>
      </c>
      <c r="G205" t="e">
        <f>VLOOKUP(H205,'Copia de Localidades'!$A$4:$C$92,3,FALSE)</f>
        <v>#N/A</v>
      </c>
      <c r="H205" s="3" t="s">
        <v>45</v>
      </c>
    </row>
    <row r="206" spans="1:8" ht="12.75" x14ac:dyDescent="0.2">
      <c r="A206" s="3">
        <v>203</v>
      </c>
      <c r="B206" s="3" t="s">
        <v>325</v>
      </c>
      <c r="C206">
        <v>29</v>
      </c>
      <c r="D206" s="3">
        <v>1882</v>
      </c>
      <c r="E206" s="3">
        <v>2311</v>
      </c>
      <c r="F206" s="15">
        <f t="shared" si="0"/>
        <v>0.81436607529208138</v>
      </c>
      <c r="G206">
        <f>VLOOKUP(H206,'Copia de Localidades'!$A$4:$C$92,3,FALSE)</f>
        <v>29</v>
      </c>
      <c r="H206" s="3" t="s">
        <v>46</v>
      </c>
    </row>
    <row r="207" spans="1:8" ht="12.75" x14ac:dyDescent="0.2">
      <c r="A207" s="3">
        <v>204</v>
      </c>
      <c r="B207" s="3" t="s">
        <v>325</v>
      </c>
      <c r="C207">
        <v>10</v>
      </c>
      <c r="D207" s="3">
        <v>1198</v>
      </c>
      <c r="E207" s="3">
        <v>1448</v>
      </c>
      <c r="F207" s="15">
        <f t="shared" si="0"/>
        <v>0.82734806629834257</v>
      </c>
      <c r="G207">
        <f>VLOOKUP(H207,'Copia de Localidades'!$A$4:$C$92,3,FALSE)</f>
        <v>10</v>
      </c>
      <c r="H207" s="3" t="s">
        <v>47</v>
      </c>
    </row>
    <row r="208" spans="1:8" ht="12.75" x14ac:dyDescent="0.2">
      <c r="A208" s="3">
        <v>205</v>
      </c>
      <c r="B208" s="3" t="s">
        <v>325</v>
      </c>
      <c r="C208">
        <v>75</v>
      </c>
      <c r="D208" s="3">
        <v>118</v>
      </c>
      <c r="E208" s="3">
        <v>137</v>
      </c>
      <c r="F208" s="15">
        <f t="shared" si="0"/>
        <v>0.86131386861313863</v>
      </c>
      <c r="G208">
        <f>VLOOKUP(H208,'Copia de Localidades'!$A$4:$C$92,3,FALSE)</f>
        <v>75</v>
      </c>
      <c r="H208" s="3" t="s">
        <v>49</v>
      </c>
    </row>
    <row r="209" spans="1:8" ht="12.75" x14ac:dyDescent="0.2">
      <c r="A209" s="3">
        <v>206</v>
      </c>
      <c r="B209" s="3" t="s">
        <v>325</v>
      </c>
      <c r="C209">
        <v>16</v>
      </c>
      <c r="D209" s="3">
        <v>277</v>
      </c>
      <c r="E209" s="3">
        <v>315</v>
      </c>
      <c r="F209" s="15">
        <f t="shared" si="0"/>
        <v>0.87936507936507935</v>
      </c>
      <c r="G209">
        <f>VLOOKUP(H209,'Copia de Localidades'!$A$4:$C$92,3,FALSE)</f>
        <v>16</v>
      </c>
      <c r="H209" s="3" t="s">
        <v>50</v>
      </c>
    </row>
    <row r="210" spans="1:8" ht="12.75" x14ac:dyDescent="0.2">
      <c r="A210" s="3">
        <v>207</v>
      </c>
      <c r="B210" s="3" t="s">
        <v>325</v>
      </c>
      <c r="C210">
        <v>18</v>
      </c>
      <c r="D210" s="3">
        <v>542</v>
      </c>
      <c r="E210" s="3">
        <v>682</v>
      </c>
      <c r="F210" s="15">
        <f t="shared" si="0"/>
        <v>0.79472140762463339</v>
      </c>
      <c r="G210">
        <f>VLOOKUP(H210,'Copia de Localidades'!$A$4:$C$92,3,FALSE)</f>
        <v>18</v>
      </c>
      <c r="H210" s="3" t="s">
        <v>51</v>
      </c>
    </row>
    <row r="211" spans="1:8" ht="12.75" x14ac:dyDescent="0.2">
      <c r="A211" s="3">
        <v>208</v>
      </c>
      <c r="B211" s="3" t="s">
        <v>325</v>
      </c>
      <c r="C211">
        <v>85</v>
      </c>
      <c r="D211" s="3">
        <v>541</v>
      </c>
      <c r="E211" s="3">
        <v>650</v>
      </c>
      <c r="F211" s="15">
        <f t="shared" si="0"/>
        <v>0.8323076923076923</v>
      </c>
      <c r="G211">
        <f>VLOOKUP(H211,'Copia de Localidades'!$A$4:$C$92,3,FALSE)</f>
        <v>85</v>
      </c>
      <c r="H211" s="3" t="s">
        <v>53</v>
      </c>
    </row>
    <row r="212" spans="1:8" ht="12.75" x14ac:dyDescent="0.2">
      <c r="A212" s="3">
        <v>209</v>
      </c>
      <c r="B212" s="3" t="s">
        <v>325</v>
      </c>
      <c r="C212">
        <v>4</v>
      </c>
      <c r="D212" s="3">
        <v>307</v>
      </c>
      <c r="E212" s="3">
        <v>374</v>
      </c>
      <c r="F212" s="15">
        <f t="shared" si="0"/>
        <v>0.82085561497326198</v>
      </c>
      <c r="G212">
        <f>VLOOKUP(H212,'Copia de Localidades'!$A$4:$C$92,3,FALSE)</f>
        <v>4</v>
      </c>
      <c r="H212" s="3" t="s">
        <v>54</v>
      </c>
    </row>
    <row r="213" spans="1:8" ht="12.75" x14ac:dyDescent="0.2">
      <c r="A213" s="3">
        <v>210</v>
      </c>
      <c r="B213" s="3" t="s">
        <v>325</v>
      </c>
      <c r="C213">
        <v>46</v>
      </c>
      <c r="D213" s="3">
        <v>538</v>
      </c>
      <c r="E213" s="3">
        <v>708</v>
      </c>
      <c r="F213" s="15">
        <f t="shared" si="0"/>
        <v>0.75988700564971756</v>
      </c>
      <c r="G213">
        <f>VLOOKUP(H213,'Copia de Localidades'!$A$4:$C$92,3,FALSE)</f>
        <v>46</v>
      </c>
      <c r="H213" s="3" t="s">
        <v>55</v>
      </c>
    </row>
    <row r="214" spans="1:8" ht="12.75" x14ac:dyDescent="0.2">
      <c r="A214" s="3">
        <v>211</v>
      </c>
      <c r="B214" s="3" t="s">
        <v>325</v>
      </c>
      <c r="C214">
        <v>27</v>
      </c>
      <c r="D214" s="3">
        <v>419</v>
      </c>
      <c r="E214" s="3">
        <v>500</v>
      </c>
      <c r="F214" s="15">
        <f t="shared" si="0"/>
        <v>0.83799999999999997</v>
      </c>
      <c r="G214">
        <f>VLOOKUP(H214,'Copia de Localidades'!$A$4:$C$92,3,FALSE)</f>
        <v>27</v>
      </c>
      <c r="H214" s="3" t="s">
        <v>56</v>
      </c>
    </row>
    <row r="215" spans="1:8" ht="12.75" x14ac:dyDescent="0.2">
      <c r="A215" s="3">
        <v>212</v>
      </c>
      <c r="B215" s="3" t="s">
        <v>325</v>
      </c>
      <c r="C215">
        <v>55</v>
      </c>
      <c r="D215" s="3">
        <v>296</v>
      </c>
      <c r="E215" s="3">
        <v>358</v>
      </c>
      <c r="F215" s="15">
        <f t="shared" si="0"/>
        <v>0.82681564245810057</v>
      </c>
      <c r="G215">
        <f>VLOOKUP(H215,'Copia de Localidades'!$A$4:$C$92,3,FALSE)</f>
        <v>55</v>
      </c>
      <c r="H215" s="3" t="s">
        <v>58</v>
      </c>
    </row>
    <row r="216" spans="1:8" ht="12.75" x14ac:dyDescent="0.2">
      <c r="A216" s="3">
        <v>213</v>
      </c>
      <c r="B216" s="3" t="s">
        <v>325</v>
      </c>
      <c r="C216">
        <v>59</v>
      </c>
      <c r="D216" s="3">
        <v>406</v>
      </c>
      <c r="E216" s="3">
        <v>488</v>
      </c>
      <c r="F216" s="15">
        <f t="shared" si="0"/>
        <v>0.83196721311475408</v>
      </c>
      <c r="G216">
        <f>VLOOKUP(H216,'Copia de Localidades'!$A$4:$C$92,3,FALSE)</f>
        <v>59</v>
      </c>
      <c r="H216" s="3" t="s">
        <v>59</v>
      </c>
    </row>
    <row r="217" spans="1:8" ht="12.75" x14ac:dyDescent="0.2">
      <c r="A217" s="3">
        <v>214</v>
      </c>
      <c r="B217" s="3" t="s">
        <v>325</v>
      </c>
      <c r="C217">
        <v>73</v>
      </c>
      <c r="D217" s="3">
        <v>199</v>
      </c>
      <c r="E217" s="3">
        <v>247</v>
      </c>
      <c r="F217" s="15">
        <f t="shared" si="0"/>
        <v>0.80566801619433204</v>
      </c>
      <c r="G217">
        <f>VLOOKUP(H217,'Copia de Localidades'!$A$4:$C$92,3,FALSE)</f>
        <v>73</v>
      </c>
      <c r="H217" s="3" t="s">
        <v>60</v>
      </c>
    </row>
    <row r="218" spans="1:8" ht="12.75" x14ac:dyDescent="0.2">
      <c r="A218" s="3">
        <v>215</v>
      </c>
      <c r="B218" s="3" t="s">
        <v>325</v>
      </c>
      <c r="C218">
        <v>88</v>
      </c>
      <c r="D218" s="3">
        <v>1928</v>
      </c>
      <c r="E218" s="3">
        <v>2370</v>
      </c>
      <c r="F218" s="15">
        <f t="shared" si="0"/>
        <v>0.81350210970464132</v>
      </c>
      <c r="G218">
        <f>VLOOKUP(H218,'Copia de Localidades'!$A$4:$C$92,3,FALSE)</f>
        <v>88</v>
      </c>
      <c r="H218" s="3" t="s">
        <v>61</v>
      </c>
    </row>
    <row r="219" spans="1:8" ht="12.75" x14ac:dyDescent="0.2">
      <c r="A219" s="3">
        <v>216</v>
      </c>
      <c r="B219" s="3" t="s">
        <v>325</v>
      </c>
      <c r="C219">
        <v>36</v>
      </c>
      <c r="D219" s="3">
        <v>215</v>
      </c>
      <c r="E219" s="3">
        <v>282</v>
      </c>
      <c r="F219" s="15">
        <f t="shared" si="0"/>
        <v>0.76241134751773054</v>
      </c>
      <c r="G219">
        <f>VLOOKUP(H219,'Copia de Localidades'!$A$4:$C$92,3,FALSE)</f>
        <v>36</v>
      </c>
      <c r="H219" s="3" t="s">
        <v>62</v>
      </c>
    </row>
    <row r="220" spans="1:8" ht="12.75" x14ac:dyDescent="0.2">
      <c r="A220" s="3">
        <v>217</v>
      </c>
      <c r="B220" s="3" t="s">
        <v>325</v>
      </c>
      <c r="C220">
        <v>65</v>
      </c>
      <c r="D220" s="3">
        <v>354</v>
      </c>
      <c r="E220" s="3">
        <v>466</v>
      </c>
      <c r="F220" s="15">
        <f t="shared" si="0"/>
        <v>0.75965665236051505</v>
      </c>
      <c r="G220">
        <f>VLOOKUP(H220,'Copia de Localidades'!$A$4:$C$92,3,FALSE)</f>
        <v>65</v>
      </c>
      <c r="H220" s="3" t="s">
        <v>63</v>
      </c>
    </row>
    <row r="221" spans="1:8" ht="12.75" x14ac:dyDescent="0.2">
      <c r="A221" s="3">
        <v>218</v>
      </c>
      <c r="B221" s="3" t="s">
        <v>325</v>
      </c>
      <c r="C221">
        <v>5</v>
      </c>
      <c r="D221" s="3">
        <v>1518</v>
      </c>
      <c r="E221" s="3">
        <v>1832</v>
      </c>
      <c r="F221" s="15">
        <f t="shared" si="0"/>
        <v>0.82860262008733621</v>
      </c>
      <c r="G221">
        <f>VLOOKUP(H221,'Copia de Localidades'!$A$4:$C$92,3,FALSE)</f>
        <v>5</v>
      </c>
      <c r="H221" s="3" t="s">
        <v>64</v>
      </c>
    </row>
    <row r="222" spans="1:8" ht="12.75" x14ac:dyDescent="0.2">
      <c r="A222" s="3">
        <v>219</v>
      </c>
      <c r="B222" s="3" t="s">
        <v>325</v>
      </c>
      <c r="C222">
        <v>38</v>
      </c>
      <c r="D222" s="3">
        <v>773</v>
      </c>
      <c r="E222" s="3">
        <v>910</v>
      </c>
      <c r="F222" s="15">
        <f t="shared" si="0"/>
        <v>0.84945054945054943</v>
      </c>
      <c r="G222">
        <f>VLOOKUP(H222,'Copia de Localidades'!$A$4:$C$92,3,FALSE)</f>
        <v>38</v>
      </c>
      <c r="H222" s="3" t="s">
        <v>65</v>
      </c>
    </row>
    <row r="223" spans="1:8" ht="12.75" x14ac:dyDescent="0.2">
      <c r="A223" s="3">
        <v>220</v>
      </c>
      <c r="B223" s="3" t="s">
        <v>325</v>
      </c>
      <c r="C223">
        <v>63</v>
      </c>
      <c r="D223" s="3">
        <v>52</v>
      </c>
      <c r="E223" s="3">
        <v>57</v>
      </c>
      <c r="F223" s="15">
        <f t="shared" si="0"/>
        <v>0.91228070175438591</v>
      </c>
      <c r="G223">
        <f>VLOOKUP(H223,'Copia de Localidades'!$A$4:$C$92,3,FALSE)</f>
        <v>63</v>
      </c>
      <c r="H223" s="3" t="s">
        <v>67</v>
      </c>
    </row>
    <row r="224" spans="1:8" ht="12.75" x14ac:dyDescent="0.2">
      <c r="A224" s="3">
        <v>221</v>
      </c>
      <c r="B224" s="3" t="s">
        <v>325</v>
      </c>
      <c r="C224">
        <v>24</v>
      </c>
      <c r="D224" s="3">
        <v>394</v>
      </c>
      <c r="E224" s="3">
        <v>477</v>
      </c>
      <c r="F224" s="15">
        <f t="shared" si="0"/>
        <v>0.82599580712788256</v>
      </c>
      <c r="G224">
        <f>VLOOKUP(H224,'Copia de Localidades'!$A$4:$C$92,3,FALSE)</f>
        <v>24</v>
      </c>
      <c r="H224" s="3" t="s">
        <v>68</v>
      </c>
    </row>
    <row r="225" spans="1:8" ht="12.75" x14ac:dyDescent="0.2">
      <c r="A225" s="3">
        <v>222</v>
      </c>
      <c r="B225" s="3" t="s">
        <v>325</v>
      </c>
      <c r="C225">
        <v>11</v>
      </c>
      <c r="D225" s="3">
        <v>1326</v>
      </c>
      <c r="E225" s="3">
        <v>1645</v>
      </c>
      <c r="F225" s="15">
        <f t="shared" si="0"/>
        <v>0.80607902735562309</v>
      </c>
      <c r="G225">
        <f>VLOOKUP(H225,'Copia de Localidades'!$A$4:$C$92,3,FALSE)</f>
        <v>11</v>
      </c>
      <c r="H225" s="3" t="s">
        <v>69</v>
      </c>
    </row>
    <row r="226" spans="1:8" ht="12.75" x14ac:dyDescent="0.2">
      <c r="A226" s="3">
        <v>223</v>
      </c>
      <c r="B226" s="3" t="s">
        <v>325</v>
      </c>
      <c r="C226">
        <v>1</v>
      </c>
      <c r="D226" s="3">
        <v>319</v>
      </c>
      <c r="E226" s="3">
        <v>390</v>
      </c>
      <c r="F226" s="15">
        <f t="shared" si="0"/>
        <v>0.81794871794871793</v>
      </c>
      <c r="G226">
        <f>VLOOKUP(H226,'Copia de Localidades'!$A$4:$C$92,3,FALSE)</f>
        <v>1</v>
      </c>
      <c r="H226" s="3" t="s">
        <v>71</v>
      </c>
    </row>
    <row r="227" spans="1:8" ht="12.75" x14ac:dyDescent="0.2">
      <c r="A227" s="3">
        <v>224</v>
      </c>
      <c r="B227" s="3" t="s">
        <v>325</v>
      </c>
      <c r="C227">
        <v>39</v>
      </c>
      <c r="D227" s="3">
        <v>1936</v>
      </c>
      <c r="E227" s="3">
        <v>2454</v>
      </c>
      <c r="F227" s="15">
        <f t="shared" si="0"/>
        <v>0.78891605541972287</v>
      </c>
      <c r="G227">
        <f>VLOOKUP(H227,'Copia de Localidades'!$A$4:$C$92,3,FALSE)</f>
        <v>39</v>
      </c>
      <c r="H227" s="3" t="s">
        <v>72</v>
      </c>
    </row>
    <row r="228" spans="1:8" ht="12.75" x14ac:dyDescent="0.2">
      <c r="A228" s="3">
        <v>225</v>
      </c>
      <c r="B228" s="3" t="s">
        <v>325</v>
      </c>
      <c r="C228">
        <v>44</v>
      </c>
      <c r="D228" s="3">
        <v>1916</v>
      </c>
      <c r="E228" s="3">
        <v>2383</v>
      </c>
      <c r="F228" s="15">
        <f t="shared" si="0"/>
        <v>0.80402853545950481</v>
      </c>
      <c r="G228">
        <f>VLOOKUP(H228,'Copia de Localidades'!$A$4:$C$92,3,FALSE)</f>
        <v>44</v>
      </c>
      <c r="H228" s="3" t="s">
        <v>73</v>
      </c>
    </row>
    <row r="229" spans="1:8" ht="12.75" x14ac:dyDescent="0.2">
      <c r="A229" s="3">
        <v>226</v>
      </c>
      <c r="B229" s="3" t="s">
        <v>325</v>
      </c>
      <c r="C229">
        <v>14</v>
      </c>
      <c r="D229" s="3">
        <v>264</v>
      </c>
      <c r="E229" s="3">
        <v>327</v>
      </c>
      <c r="F229" s="15">
        <f t="shared" si="0"/>
        <v>0.80733944954128445</v>
      </c>
      <c r="G229">
        <f>VLOOKUP(H229,'Copia de Localidades'!$A$4:$C$92,3,FALSE)</f>
        <v>14</v>
      </c>
      <c r="H229" s="3" t="s">
        <v>74</v>
      </c>
    </row>
    <row r="230" spans="1:8" ht="12.75" x14ac:dyDescent="0.2">
      <c r="A230" s="3">
        <v>227</v>
      </c>
      <c r="B230" s="3" t="s">
        <v>325</v>
      </c>
      <c r="C230">
        <v>51</v>
      </c>
      <c r="D230" s="3">
        <v>96</v>
      </c>
      <c r="E230" s="3">
        <v>114</v>
      </c>
      <c r="F230" s="15">
        <f t="shared" si="0"/>
        <v>0.84210526315789469</v>
      </c>
      <c r="G230">
        <f>VLOOKUP(H230,'Copia de Localidades'!$A$4:$C$92,3,FALSE)</f>
        <v>51</v>
      </c>
      <c r="H230" s="3" t="s">
        <v>75</v>
      </c>
    </row>
    <row r="231" spans="1:8" ht="12.75" x14ac:dyDescent="0.2">
      <c r="A231" s="3">
        <v>228</v>
      </c>
      <c r="B231" s="3" t="s">
        <v>325</v>
      </c>
      <c r="C231">
        <v>52</v>
      </c>
      <c r="D231" s="3">
        <v>536</v>
      </c>
      <c r="E231" s="3">
        <v>639</v>
      </c>
      <c r="F231" s="15">
        <f t="shared" si="0"/>
        <v>0.83881064162754304</v>
      </c>
      <c r="G231">
        <f>VLOOKUP(H231,'Copia de Localidades'!$A$4:$C$92,3,FALSE)</f>
        <v>52</v>
      </c>
      <c r="H231" s="3" t="s">
        <v>76</v>
      </c>
    </row>
    <row r="232" spans="1:8" ht="12.75" x14ac:dyDescent="0.2">
      <c r="A232" s="3">
        <v>229</v>
      </c>
      <c r="B232" s="3" t="s">
        <v>325</v>
      </c>
      <c r="C232">
        <v>77</v>
      </c>
      <c r="D232" s="3">
        <v>851</v>
      </c>
      <c r="E232" s="3">
        <v>1086</v>
      </c>
      <c r="F232" s="15">
        <f t="shared" si="0"/>
        <v>0.78360957642725604</v>
      </c>
      <c r="G232">
        <f>VLOOKUP(H232,'Copia de Localidades'!$A$4:$C$92,3,FALSE)</f>
        <v>77</v>
      </c>
      <c r="H232" s="3" t="s">
        <v>77</v>
      </c>
    </row>
    <row r="233" spans="1:8" ht="12.75" x14ac:dyDescent="0.2">
      <c r="A233" s="3">
        <v>230</v>
      </c>
      <c r="B233" s="3" t="s">
        <v>325</v>
      </c>
      <c r="C233">
        <v>28</v>
      </c>
      <c r="D233" s="3">
        <v>150</v>
      </c>
      <c r="E233" s="3">
        <v>188</v>
      </c>
      <c r="F233" s="15">
        <f t="shared" si="0"/>
        <v>0.7978723404255319</v>
      </c>
      <c r="G233">
        <f>VLOOKUP(H233,'Copia de Localidades'!$A$4:$C$92,3,FALSE)</f>
        <v>28</v>
      </c>
      <c r="H233" s="3" t="s">
        <v>79</v>
      </c>
    </row>
    <row r="234" spans="1:8" ht="12.75" x14ac:dyDescent="0.2">
      <c r="A234" s="3">
        <v>231</v>
      </c>
      <c r="B234" s="3" t="s">
        <v>325</v>
      </c>
      <c r="C234">
        <v>48</v>
      </c>
      <c r="D234" s="3">
        <v>191</v>
      </c>
      <c r="E234" s="3">
        <v>222</v>
      </c>
      <c r="F234" s="15">
        <f t="shared" si="0"/>
        <v>0.86036036036036034</v>
      </c>
      <c r="G234">
        <f>VLOOKUP(H234,'Copia de Localidades'!$A$4:$C$92,3,FALSE)</f>
        <v>48</v>
      </c>
      <c r="H234" s="3" t="s">
        <v>80</v>
      </c>
    </row>
    <row r="235" spans="1:8" ht="12.75" x14ac:dyDescent="0.2">
      <c r="A235" s="3">
        <v>232</v>
      </c>
      <c r="B235" s="3" t="s">
        <v>325</v>
      </c>
      <c r="C235">
        <v>49</v>
      </c>
      <c r="D235" s="3">
        <v>136</v>
      </c>
      <c r="E235" s="3">
        <v>177</v>
      </c>
      <c r="F235" s="15">
        <f t="shared" si="0"/>
        <v>0.76836158192090398</v>
      </c>
      <c r="G235">
        <f>VLOOKUP(H235,'Copia de Localidades'!$A$4:$C$92,3,FALSE)</f>
        <v>49</v>
      </c>
      <c r="H235" s="3" t="s">
        <v>81</v>
      </c>
    </row>
    <row r="236" spans="1:8" ht="12.75" x14ac:dyDescent="0.2">
      <c r="A236" s="3">
        <v>233</v>
      </c>
      <c r="B236" s="3" t="s">
        <v>325</v>
      </c>
      <c r="C236">
        <v>3</v>
      </c>
      <c r="D236" s="3">
        <v>295</v>
      </c>
      <c r="E236" s="3">
        <v>326</v>
      </c>
      <c r="F236" s="15">
        <f t="shared" si="0"/>
        <v>0.90490797546012269</v>
      </c>
      <c r="G236">
        <f>VLOOKUP(H236,'Copia de Localidades'!$A$4:$C$92,3,FALSE)</f>
        <v>3</v>
      </c>
      <c r="H236" s="3" t="s">
        <v>82</v>
      </c>
    </row>
    <row r="237" spans="1:8" ht="12.75" x14ac:dyDescent="0.2">
      <c r="A237" s="3">
        <v>234</v>
      </c>
      <c r="B237" s="3" t="s">
        <v>325</v>
      </c>
      <c r="C237">
        <v>31</v>
      </c>
      <c r="D237" s="3">
        <v>358</v>
      </c>
      <c r="E237" s="3">
        <v>442</v>
      </c>
      <c r="F237" s="15">
        <f t="shared" si="0"/>
        <v>0.80995475113122173</v>
      </c>
      <c r="G237">
        <f>VLOOKUP(H237,'Copia de Localidades'!$A$4:$C$92,3,FALSE)</f>
        <v>31</v>
      </c>
      <c r="H237" s="3" t="s">
        <v>83</v>
      </c>
    </row>
    <row r="238" spans="1:8" ht="12.75" x14ac:dyDescent="0.2">
      <c r="A238" s="3">
        <v>235</v>
      </c>
      <c r="B238" s="3" t="s">
        <v>325</v>
      </c>
      <c r="C238">
        <v>76</v>
      </c>
      <c r="D238" s="3">
        <v>310</v>
      </c>
      <c r="E238" s="3">
        <v>348</v>
      </c>
      <c r="F238" s="15">
        <f t="shared" si="0"/>
        <v>0.89080459770114939</v>
      </c>
      <c r="G238">
        <f>VLOOKUP(H238,'Copia de Localidades'!$A$4:$C$92,3,FALSE)</f>
        <v>76</v>
      </c>
      <c r="H238" s="3" t="s">
        <v>85</v>
      </c>
    </row>
    <row r="239" spans="1:8" ht="12.75" x14ac:dyDescent="0.2">
      <c r="A239" s="3">
        <v>236</v>
      </c>
      <c r="B239" s="3" t="s">
        <v>325</v>
      </c>
      <c r="C239">
        <v>80</v>
      </c>
      <c r="D239" s="3">
        <v>36</v>
      </c>
      <c r="E239" s="3">
        <v>50</v>
      </c>
      <c r="F239" s="15">
        <f t="shared" si="0"/>
        <v>0.72</v>
      </c>
      <c r="G239">
        <f>VLOOKUP(H239,'Copia de Localidades'!$A$4:$C$92,3,FALSE)</f>
        <v>80</v>
      </c>
      <c r="H239" s="3" t="s">
        <v>154</v>
      </c>
    </row>
    <row r="240" spans="1:8" ht="12.75" x14ac:dyDescent="0.2">
      <c r="A240" s="3">
        <v>237</v>
      </c>
      <c r="B240" s="3" t="s">
        <v>325</v>
      </c>
      <c r="C240">
        <v>66</v>
      </c>
      <c r="D240" s="3">
        <v>470</v>
      </c>
      <c r="E240" s="3">
        <v>636</v>
      </c>
      <c r="F240" s="15">
        <f t="shared" si="0"/>
        <v>0.73899371069182385</v>
      </c>
      <c r="G240">
        <f>VLOOKUP(H240,'Copia de Localidades'!$A$4:$C$92,3,FALSE)</f>
        <v>66</v>
      </c>
      <c r="H240" s="3" t="s">
        <v>87</v>
      </c>
    </row>
    <row r="241" spans="1:8" ht="12.75" x14ac:dyDescent="0.2">
      <c r="A241" s="3">
        <v>238</v>
      </c>
      <c r="B241" s="3" t="s">
        <v>325</v>
      </c>
      <c r="C241">
        <v>25</v>
      </c>
      <c r="D241" s="3">
        <v>2065</v>
      </c>
      <c r="E241" s="3">
        <v>2631</v>
      </c>
      <c r="F241" s="15">
        <f t="shared" si="0"/>
        <v>0.78487267198783728</v>
      </c>
      <c r="G241">
        <f>VLOOKUP(H241,'Copia de Localidades'!$A$4:$C$92,3,FALSE)</f>
        <v>25</v>
      </c>
      <c r="H241" s="3" t="s">
        <v>88</v>
      </c>
    </row>
    <row r="242" spans="1:8" ht="12.75" x14ac:dyDescent="0.2">
      <c r="A242" s="3">
        <v>239</v>
      </c>
      <c r="B242" s="3" t="s">
        <v>325</v>
      </c>
      <c r="C242">
        <v>57</v>
      </c>
      <c r="D242" s="3">
        <v>556</v>
      </c>
      <c r="E242" s="3">
        <v>666</v>
      </c>
      <c r="F242" s="15">
        <f t="shared" si="0"/>
        <v>0.83483483483483478</v>
      </c>
      <c r="G242">
        <f>VLOOKUP(H242,'Copia de Localidades'!$A$4:$C$92,3,FALSE)</f>
        <v>57</v>
      </c>
      <c r="H242" s="3" t="s">
        <v>89</v>
      </c>
    </row>
    <row r="243" spans="1:8" ht="12.75" x14ac:dyDescent="0.2">
      <c r="A243" s="3">
        <v>240</v>
      </c>
      <c r="B243" s="3" t="s">
        <v>325</v>
      </c>
      <c r="C243" t="e">
        <v>#N/A</v>
      </c>
      <c r="D243" s="3">
        <v>78</v>
      </c>
      <c r="E243" s="3">
        <v>92</v>
      </c>
      <c r="F243" s="15">
        <f t="shared" si="0"/>
        <v>0.84782608695652173</v>
      </c>
      <c r="G243" t="e">
        <f>VLOOKUP(H243,'Copia de Localidades'!$A$4:$C$92,3,FALSE)</f>
        <v>#N/A</v>
      </c>
      <c r="H243" s="3" t="s">
        <v>91</v>
      </c>
    </row>
    <row r="244" spans="1:8" ht="12.75" x14ac:dyDescent="0.2">
      <c r="A244" s="3">
        <v>241</v>
      </c>
      <c r="B244" s="3" t="s">
        <v>325</v>
      </c>
      <c r="C244">
        <v>22</v>
      </c>
      <c r="D244" s="3">
        <v>38</v>
      </c>
      <c r="E244" s="3">
        <v>41</v>
      </c>
      <c r="F244" s="15">
        <f t="shared" si="0"/>
        <v>0.92682926829268297</v>
      </c>
      <c r="G244">
        <f>VLOOKUP(H244,'Copia de Localidades'!$A$4:$C$92,3,FALSE)</f>
        <v>22</v>
      </c>
      <c r="H244" s="3" t="s">
        <v>155</v>
      </c>
    </row>
    <row r="245" spans="1:8" ht="12.75" x14ac:dyDescent="0.2">
      <c r="A245" s="3">
        <v>242</v>
      </c>
      <c r="B245" s="3" t="s">
        <v>325</v>
      </c>
      <c r="C245">
        <v>87</v>
      </c>
      <c r="D245" s="3">
        <v>432</v>
      </c>
      <c r="E245" s="3">
        <v>563</v>
      </c>
      <c r="F245" s="15">
        <f t="shared" si="0"/>
        <v>0.76731793960923622</v>
      </c>
      <c r="G245">
        <f>VLOOKUP(H245,'Copia de Localidades'!$A$4:$C$92,3,FALSE)</f>
        <v>87</v>
      </c>
      <c r="H245" s="3" t="s">
        <v>92</v>
      </c>
    </row>
    <row r="246" spans="1:8" ht="12.75" x14ac:dyDescent="0.2">
      <c r="A246" s="3">
        <v>243</v>
      </c>
      <c r="B246" s="3" t="s">
        <v>325</v>
      </c>
      <c r="C246">
        <v>13</v>
      </c>
      <c r="D246" s="3">
        <v>1557</v>
      </c>
      <c r="E246" s="3">
        <v>1941</v>
      </c>
      <c r="F246" s="15">
        <f t="shared" si="0"/>
        <v>0.80216383307573413</v>
      </c>
      <c r="G246">
        <f>VLOOKUP(H246,'Copia de Localidades'!$A$4:$C$92,3,FALSE)</f>
        <v>13</v>
      </c>
      <c r="H246" s="3" t="s">
        <v>93</v>
      </c>
    </row>
    <row r="247" spans="1:8" ht="12.75" x14ac:dyDescent="0.2">
      <c r="A247" s="3">
        <v>244</v>
      </c>
      <c r="B247" s="3" t="s">
        <v>325</v>
      </c>
      <c r="C247" t="e">
        <v>#N/A</v>
      </c>
      <c r="D247" s="3">
        <v>4</v>
      </c>
      <c r="E247" s="3">
        <v>13</v>
      </c>
      <c r="F247" s="15">
        <f t="shared" si="0"/>
        <v>0.30769230769230771</v>
      </c>
      <c r="G247" t="e">
        <f>VLOOKUP(H247,'Copia de Localidades'!$A$4:$C$92,3,FALSE)</f>
        <v>#N/A</v>
      </c>
      <c r="H247" s="3" t="s">
        <v>156</v>
      </c>
    </row>
    <row r="248" spans="1:8" ht="12.75" x14ac:dyDescent="0.2">
      <c r="A248" s="3">
        <v>245</v>
      </c>
      <c r="B248" s="3" t="s">
        <v>325</v>
      </c>
      <c r="C248">
        <v>47</v>
      </c>
      <c r="D248" s="3">
        <v>933</v>
      </c>
      <c r="E248" s="3">
        <v>1138</v>
      </c>
      <c r="F248" s="15">
        <f t="shared" si="0"/>
        <v>0.81985940246045697</v>
      </c>
      <c r="G248">
        <f>VLOOKUP(H248,'Copia de Localidades'!$A$4:$C$92,3,FALSE)</f>
        <v>47</v>
      </c>
      <c r="H248" s="3" t="s">
        <v>94</v>
      </c>
    </row>
    <row r="249" spans="1:8" ht="12.75" x14ac:dyDescent="0.2">
      <c r="A249" s="3">
        <v>246</v>
      </c>
      <c r="B249" s="3" t="s">
        <v>325</v>
      </c>
      <c r="C249">
        <v>62</v>
      </c>
      <c r="D249" s="3">
        <v>1579</v>
      </c>
      <c r="E249" s="3">
        <v>1898</v>
      </c>
      <c r="F249" s="15">
        <f t="shared" si="0"/>
        <v>0.83192834562697582</v>
      </c>
      <c r="G249">
        <f>VLOOKUP(H249,'Copia de Localidades'!$A$4:$C$92,3,FALSE)</f>
        <v>62</v>
      </c>
      <c r="H249" s="3" t="s">
        <v>95</v>
      </c>
    </row>
    <row r="250" spans="1:8" ht="12.75" x14ac:dyDescent="0.2">
      <c r="A250" s="3">
        <v>247</v>
      </c>
      <c r="B250" s="3" t="s">
        <v>325</v>
      </c>
      <c r="C250">
        <v>64</v>
      </c>
      <c r="D250" s="3">
        <v>164</v>
      </c>
      <c r="E250" s="3">
        <v>200</v>
      </c>
      <c r="F250" s="15">
        <f t="shared" si="0"/>
        <v>0.82</v>
      </c>
      <c r="G250">
        <f>VLOOKUP(H250,'Copia de Localidades'!$A$4:$C$92,3,FALSE)</f>
        <v>64</v>
      </c>
      <c r="H250" s="3" t="s">
        <v>96</v>
      </c>
    </row>
    <row r="251" spans="1:8" ht="12.75" x14ac:dyDescent="0.2">
      <c r="A251" s="3">
        <v>248</v>
      </c>
      <c r="B251" s="3" t="s">
        <v>325</v>
      </c>
      <c r="C251">
        <v>69</v>
      </c>
      <c r="D251" s="3">
        <v>300</v>
      </c>
      <c r="E251" s="3">
        <v>345</v>
      </c>
      <c r="F251" s="15">
        <f t="shared" si="0"/>
        <v>0.86956521739130432</v>
      </c>
      <c r="G251">
        <f>VLOOKUP(H251,'Copia de Localidades'!$A$4:$C$92,3,FALSE)</f>
        <v>69</v>
      </c>
      <c r="H251" s="3" t="s">
        <v>97</v>
      </c>
    </row>
    <row r="252" spans="1:8" ht="12.75" x14ac:dyDescent="0.2">
      <c r="A252" s="3">
        <v>249</v>
      </c>
      <c r="B252" s="3" t="s">
        <v>325</v>
      </c>
      <c r="C252">
        <v>70</v>
      </c>
      <c r="D252" s="3">
        <v>2387</v>
      </c>
      <c r="E252" s="3">
        <v>3056</v>
      </c>
      <c r="F252" s="15">
        <f t="shared" si="0"/>
        <v>0.78108638743455494</v>
      </c>
      <c r="G252">
        <f>VLOOKUP(H252,'Copia de Localidades'!$A$4:$C$92,3,FALSE)</f>
        <v>70</v>
      </c>
      <c r="H252" s="3" t="s">
        <v>98</v>
      </c>
    </row>
    <row r="253" spans="1:8" ht="12.75" x14ac:dyDescent="0.2">
      <c r="A253" s="3">
        <v>250</v>
      </c>
      <c r="B253" s="3" t="s">
        <v>325</v>
      </c>
      <c r="C253">
        <v>2</v>
      </c>
      <c r="D253" s="3">
        <v>229</v>
      </c>
      <c r="E253" s="3">
        <v>273</v>
      </c>
      <c r="F253" s="15">
        <f t="shared" si="0"/>
        <v>0.83882783882783885</v>
      </c>
      <c r="G253">
        <f>VLOOKUP(H253,'Copia de Localidades'!$A$4:$C$92,3,FALSE)</f>
        <v>2</v>
      </c>
      <c r="H253" s="3" t="s">
        <v>99</v>
      </c>
    </row>
    <row r="254" spans="1:8" ht="12.75" x14ac:dyDescent="0.2">
      <c r="A254" s="3">
        <v>251</v>
      </c>
      <c r="B254" s="3" t="s">
        <v>325</v>
      </c>
      <c r="C254">
        <v>6</v>
      </c>
      <c r="D254" s="3">
        <v>1023</v>
      </c>
      <c r="E254" s="3">
        <v>1294</v>
      </c>
      <c r="F254" s="15">
        <f t="shared" si="0"/>
        <v>0.7905718701700154</v>
      </c>
      <c r="G254">
        <f>VLOOKUP(H254,'Copia de Localidades'!$A$4:$C$92,3,FALSE)</f>
        <v>6</v>
      </c>
      <c r="H254" s="3" t="s">
        <v>100</v>
      </c>
    </row>
    <row r="255" spans="1:8" ht="12.75" x14ac:dyDescent="0.2">
      <c r="A255" s="3">
        <v>252</v>
      </c>
      <c r="B255" s="3" t="s">
        <v>325</v>
      </c>
      <c r="C255">
        <v>54</v>
      </c>
      <c r="D255" s="3">
        <v>218</v>
      </c>
      <c r="E255" s="3">
        <v>279</v>
      </c>
      <c r="F255" s="15">
        <f t="shared" si="0"/>
        <v>0.78136200716845883</v>
      </c>
      <c r="G255">
        <f>VLOOKUP(H255,'Copia de Localidades'!$A$4:$C$92,3,FALSE)</f>
        <v>54</v>
      </c>
      <c r="H255" s="3" t="s">
        <v>101</v>
      </c>
    </row>
    <row r="256" spans="1:8" ht="12.75" x14ac:dyDescent="0.2">
      <c r="A256" s="3">
        <v>253</v>
      </c>
      <c r="B256" s="3" t="s">
        <v>325</v>
      </c>
      <c r="C256">
        <v>33</v>
      </c>
      <c r="D256" s="3">
        <v>967</v>
      </c>
      <c r="E256" s="3">
        <v>1170</v>
      </c>
      <c r="F256" s="15">
        <f t="shared" si="0"/>
        <v>0.82649572649572645</v>
      </c>
      <c r="G256">
        <f>VLOOKUP(H256,'Copia de Localidades'!$A$4:$C$92,3,FALSE)</f>
        <v>33</v>
      </c>
      <c r="H256" s="3" t="s">
        <v>102</v>
      </c>
    </row>
    <row r="257" spans="1:8" ht="12.75" x14ac:dyDescent="0.2">
      <c r="A257" s="3">
        <v>254</v>
      </c>
      <c r="B257" s="3" t="s">
        <v>325</v>
      </c>
      <c r="C257">
        <v>34</v>
      </c>
      <c r="D257" s="3">
        <v>152</v>
      </c>
      <c r="E257" s="3">
        <v>169</v>
      </c>
      <c r="F257" s="15">
        <f t="shared" si="0"/>
        <v>0.89940828402366868</v>
      </c>
      <c r="G257">
        <f>VLOOKUP(H257,'Copia de Localidades'!$A$4:$C$92,3,FALSE)</f>
        <v>34</v>
      </c>
      <c r="H257" s="3" t="s">
        <v>103</v>
      </c>
    </row>
    <row r="258" spans="1:8" ht="12.75" x14ac:dyDescent="0.2">
      <c r="A258" s="3">
        <v>255</v>
      </c>
      <c r="B258" s="3" t="s">
        <v>325</v>
      </c>
      <c r="C258" t="e">
        <v>#N/A</v>
      </c>
      <c r="D258" s="3">
        <v>2</v>
      </c>
      <c r="E258" s="3">
        <v>1</v>
      </c>
      <c r="F258" s="15">
        <f t="shared" si="0"/>
        <v>2</v>
      </c>
      <c r="G258" t="e">
        <f>VLOOKUP(H258,'Copia de Localidades'!$A$4:$C$92,3,FALSE)</f>
        <v>#N/A</v>
      </c>
      <c r="H258" s="3" t="s">
        <v>157</v>
      </c>
    </row>
    <row r="259" spans="1:8" ht="12.75" x14ac:dyDescent="0.2">
      <c r="A259" s="3">
        <v>256</v>
      </c>
      <c r="B259" s="3" t="s">
        <v>325</v>
      </c>
      <c r="C259">
        <v>60</v>
      </c>
      <c r="D259" s="3">
        <v>10</v>
      </c>
      <c r="E259" s="3">
        <v>13</v>
      </c>
      <c r="F259" s="15">
        <f t="shared" si="0"/>
        <v>0.76923076923076927</v>
      </c>
      <c r="G259">
        <f>VLOOKUP(H259,'Copia de Localidades'!$A$4:$C$92,3,FALSE)</f>
        <v>60</v>
      </c>
      <c r="H259" s="3" t="s">
        <v>158</v>
      </c>
    </row>
    <row r="260" spans="1:8" ht="12.75" x14ac:dyDescent="0.2">
      <c r="A260" s="3">
        <v>257</v>
      </c>
      <c r="B260" s="3" t="s">
        <v>325</v>
      </c>
      <c r="C260" t="e">
        <v>#N/A</v>
      </c>
      <c r="D260" s="3">
        <v>1</v>
      </c>
      <c r="E260" s="3">
        <v>6</v>
      </c>
      <c r="F260" s="15">
        <f t="shared" si="0"/>
        <v>0.16666666666666666</v>
      </c>
      <c r="G260" t="e">
        <f>VLOOKUP(H260,'Copia de Localidades'!$A$4:$C$92,3,FALSE)</f>
        <v>#N/A</v>
      </c>
      <c r="H260" s="3" t="s">
        <v>159</v>
      </c>
    </row>
    <row r="261" spans="1:8" ht="12.75" x14ac:dyDescent="0.2">
      <c r="A261" s="3">
        <v>258</v>
      </c>
      <c r="B261" s="3" t="s">
        <v>325</v>
      </c>
      <c r="C261">
        <v>8</v>
      </c>
      <c r="D261" s="3">
        <v>780</v>
      </c>
      <c r="E261" s="3">
        <v>971</v>
      </c>
      <c r="F261" s="15">
        <f t="shared" si="0"/>
        <v>0.8032955715756952</v>
      </c>
      <c r="G261">
        <f>VLOOKUP(H261,'Copia de Localidades'!$A$4:$C$92,3,FALSE)</f>
        <v>8</v>
      </c>
      <c r="H261" s="3" t="s">
        <v>107</v>
      </c>
    </row>
    <row r="262" spans="1:8" ht="12.75" x14ac:dyDescent="0.2">
      <c r="A262" s="3">
        <v>259</v>
      </c>
      <c r="B262" s="3" t="s">
        <v>325</v>
      </c>
      <c r="C262">
        <v>56</v>
      </c>
      <c r="D262" s="3">
        <v>442</v>
      </c>
      <c r="E262" s="3">
        <v>502</v>
      </c>
      <c r="F262" s="15">
        <f t="shared" si="0"/>
        <v>0.88047808764940239</v>
      </c>
      <c r="G262">
        <f>VLOOKUP(H262,'Copia de Localidades'!$A$4:$C$92,3,FALSE)</f>
        <v>56</v>
      </c>
      <c r="H262" s="3" t="s">
        <v>108</v>
      </c>
    </row>
    <row r="263" spans="1:8" ht="12.75" x14ac:dyDescent="0.2">
      <c r="A263" s="3">
        <v>260</v>
      </c>
      <c r="B263" s="3" t="s">
        <v>325</v>
      </c>
      <c r="C263">
        <v>81</v>
      </c>
      <c r="D263" s="3">
        <v>2360</v>
      </c>
      <c r="E263" s="3">
        <v>3028</v>
      </c>
      <c r="F263" s="15">
        <f t="shared" si="0"/>
        <v>0.77939233817701448</v>
      </c>
      <c r="G263">
        <f>VLOOKUP(H263,'Copia de Localidades'!$A$4:$C$92,3,FALSE)</f>
        <v>81</v>
      </c>
      <c r="H263" s="3" t="s">
        <v>109</v>
      </c>
    </row>
    <row r="264" spans="1:8" ht="12.75" x14ac:dyDescent="0.2">
      <c r="A264" s="3">
        <v>261</v>
      </c>
      <c r="B264" s="3" t="s">
        <v>325</v>
      </c>
      <c r="C264">
        <v>9</v>
      </c>
      <c r="D264" s="3">
        <v>547</v>
      </c>
      <c r="E264" s="3">
        <v>661</v>
      </c>
      <c r="F264" s="15">
        <f t="shared" si="0"/>
        <v>0.82753403933434189</v>
      </c>
      <c r="G264">
        <f>VLOOKUP(H264,'Copia de Localidades'!$A$4:$C$92,3,FALSE)</f>
        <v>9</v>
      </c>
      <c r="H264" s="3" t="s">
        <v>110</v>
      </c>
    </row>
    <row r="265" spans="1:8" ht="12.75" x14ac:dyDescent="0.2">
      <c r="A265" s="3">
        <v>262</v>
      </c>
      <c r="B265" s="3" t="s">
        <v>325</v>
      </c>
      <c r="C265">
        <v>23</v>
      </c>
      <c r="D265" s="3">
        <v>268</v>
      </c>
      <c r="E265" s="3">
        <v>305</v>
      </c>
      <c r="F265" s="15">
        <f t="shared" si="0"/>
        <v>0.87868852459016389</v>
      </c>
      <c r="G265">
        <f>VLOOKUP(H265,'Copia de Localidades'!$A$4:$C$92,3,FALSE)</f>
        <v>23</v>
      </c>
      <c r="H265" s="3" t="s">
        <v>111</v>
      </c>
    </row>
    <row r="266" spans="1:8" ht="12.75" x14ac:dyDescent="0.2">
      <c r="A266" s="3">
        <v>263</v>
      </c>
      <c r="B266" s="3" t="s">
        <v>325</v>
      </c>
      <c r="C266">
        <v>17</v>
      </c>
      <c r="D266" s="3">
        <v>179</v>
      </c>
      <c r="E266" s="3">
        <v>230</v>
      </c>
      <c r="F266" s="15">
        <f t="shared" si="0"/>
        <v>0.77826086956521734</v>
      </c>
      <c r="G266">
        <f>VLOOKUP(H266,'Copia de Localidades'!$A$4:$C$92,3,FALSE)</f>
        <v>17</v>
      </c>
      <c r="H266" s="3" t="s">
        <v>112</v>
      </c>
    </row>
    <row r="267" spans="1:8" ht="12.75" x14ac:dyDescent="0.2">
      <c r="A267" s="3">
        <v>264</v>
      </c>
      <c r="B267" s="3" t="s">
        <v>325</v>
      </c>
      <c r="C267">
        <v>67</v>
      </c>
      <c r="D267" s="3">
        <v>367</v>
      </c>
      <c r="E267" s="3">
        <v>431</v>
      </c>
      <c r="F267" s="15">
        <f t="shared" si="0"/>
        <v>0.85150812064965198</v>
      </c>
      <c r="G267">
        <f>VLOOKUP(H267,'Copia de Localidades'!$A$4:$C$92,3,FALSE)</f>
        <v>67</v>
      </c>
      <c r="H267" s="3" t="s">
        <v>114</v>
      </c>
    </row>
    <row r="268" spans="1:8" ht="12.75" x14ac:dyDescent="0.2">
      <c r="A268" s="3">
        <v>265</v>
      </c>
      <c r="B268" s="3" t="s">
        <v>325</v>
      </c>
      <c r="C268">
        <v>82</v>
      </c>
      <c r="D268" s="3">
        <v>98</v>
      </c>
      <c r="E268" s="3">
        <v>111</v>
      </c>
      <c r="F268" s="15">
        <f t="shared" si="0"/>
        <v>0.88288288288288286</v>
      </c>
      <c r="G268">
        <f>VLOOKUP(H268,'Copia de Localidades'!$A$4:$C$92,3,FALSE)</f>
        <v>82</v>
      </c>
      <c r="H268" s="3" t="s">
        <v>115</v>
      </c>
    </row>
    <row r="269" spans="1:8" ht="12.75" x14ac:dyDescent="0.2">
      <c r="A269" s="3">
        <v>266</v>
      </c>
      <c r="B269" s="3" t="s">
        <v>325</v>
      </c>
      <c r="D269" s="3">
        <v>36</v>
      </c>
      <c r="E269" s="31" t="s">
        <v>334</v>
      </c>
      <c r="F269" s="15" t="e">
        <f t="shared" si="0"/>
        <v>#VALUE!</v>
      </c>
      <c r="G269" t="e">
        <f>VLOOKUP(H269,'Copia de Localidades'!$A$4:$C$92,3,FALSE)</f>
        <v>#N/A</v>
      </c>
      <c r="H269" s="3" t="s">
        <v>177</v>
      </c>
    </row>
    <row r="270" spans="1:8" ht="12.75" x14ac:dyDescent="0.2">
      <c r="A270" s="3">
        <v>267</v>
      </c>
      <c r="B270" s="3" t="s">
        <v>325</v>
      </c>
      <c r="D270" s="3">
        <v>12</v>
      </c>
      <c r="E270" s="3">
        <v>103</v>
      </c>
      <c r="F270" s="15">
        <f t="shared" si="0"/>
        <v>0.11650485436893204</v>
      </c>
      <c r="G270" t="e">
        <f>VLOOKUP(H270,'Copia de Localidades'!$A$4:$C$92,3,FALSE)</f>
        <v>#N/A</v>
      </c>
      <c r="H270" s="3" t="s">
        <v>337</v>
      </c>
    </row>
    <row r="271" spans="1:8" ht="12.75" x14ac:dyDescent="0.2">
      <c r="A271" s="3">
        <v>268</v>
      </c>
      <c r="F271" s="15"/>
    </row>
    <row r="272" spans="1:8" ht="12.75" x14ac:dyDescent="0.2">
      <c r="A272" s="3">
        <v>269</v>
      </c>
      <c r="F272" s="15"/>
    </row>
    <row r="273" spans="1:6" ht="12.75" x14ac:dyDescent="0.2">
      <c r="A273" s="3">
        <v>270</v>
      </c>
      <c r="F273" s="15"/>
    </row>
    <row r="274" spans="1:6" ht="12.75" x14ac:dyDescent="0.2">
      <c r="A274" s="3">
        <v>271</v>
      </c>
      <c r="F274" s="15"/>
    </row>
    <row r="275" spans="1:6" ht="12.75" x14ac:dyDescent="0.2">
      <c r="A275" s="3">
        <v>272</v>
      </c>
      <c r="F275" s="15"/>
    </row>
    <row r="276" spans="1:6" ht="12.75" x14ac:dyDescent="0.2">
      <c r="A276" s="3">
        <v>273</v>
      </c>
      <c r="F276" s="15"/>
    </row>
    <row r="277" spans="1:6" ht="12.75" x14ac:dyDescent="0.2">
      <c r="A277" s="3">
        <v>274</v>
      </c>
      <c r="F277" s="15"/>
    </row>
    <row r="278" spans="1:6" ht="12.75" x14ac:dyDescent="0.2">
      <c r="A278" s="3">
        <v>275</v>
      </c>
      <c r="F278" s="15"/>
    </row>
    <row r="279" spans="1:6" ht="12.75" x14ac:dyDescent="0.2">
      <c r="A279" s="3">
        <v>276</v>
      </c>
      <c r="F279" s="15"/>
    </row>
    <row r="280" spans="1:6" ht="12.75" x14ac:dyDescent="0.2">
      <c r="A280" s="3">
        <v>277</v>
      </c>
      <c r="F280" s="15"/>
    </row>
    <row r="281" spans="1:6" ht="12.75" x14ac:dyDescent="0.2">
      <c r="A281" s="3">
        <v>278</v>
      </c>
      <c r="F281" s="15"/>
    </row>
    <row r="282" spans="1:6" ht="12.75" x14ac:dyDescent="0.2">
      <c r="A282" s="3">
        <v>279</v>
      </c>
      <c r="F282" s="15"/>
    </row>
    <row r="283" spans="1:6" ht="12.75" x14ac:dyDescent="0.2">
      <c r="A283" s="3">
        <v>280</v>
      </c>
      <c r="F283" s="15"/>
    </row>
    <row r="284" spans="1:6" ht="12.75" x14ac:dyDescent="0.2">
      <c r="A284" s="3">
        <v>281</v>
      </c>
      <c r="F284" s="15"/>
    </row>
    <row r="285" spans="1:6" ht="12.75" x14ac:dyDescent="0.2">
      <c r="A285" s="3">
        <v>282</v>
      </c>
      <c r="F285" s="15"/>
    </row>
    <row r="286" spans="1:6" ht="12.75" x14ac:dyDescent="0.2">
      <c r="A286" s="3">
        <v>283</v>
      </c>
      <c r="F286" s="15"/>
    </row>
    <row r="287" spans="1:6" ht="12.75" x14ac:dyDescent="0.2">
      <c r="A287" s="3">
        <v>284</v>
      </c>
      <c r="F287" s="15"/>
    </row>
    <row r="288" spans="1:6" ht="12.75" x14ac:dyDescent="0.2">
      <c r="A288" s="3">
        <v>285</v>
      </c>
      <c r="F288" s="15"/>
    </row>
    <row r="289" spans="1:6" ht="12.75" x14ac:dyDescent="0.2">
      <c r="A289" s="3">
        <v>286</v>
      </c>
      <c r="F289" s="15"/>
    </row>
    <row r="290" spans="1:6" ht="12.75" x14ac:dyDescent="0.2">
      <c r="A290" s="3">
        <v>287</v>
      </c>
      <c r="F290" s="15"/>
    </row>
    <row r="291" spans="1:6" ht="12.75" x14ac:dyDescent="0.2">
      <c r="A291" s="3">
        <v>288</v>
      </c>
      <c r="F291" s="15"/>
    </row>
    <row r="292" spans="1:6" ht="12.75" x14ac:dyDescent="0.2">
      <c r="A292" s="3">
        <v>289</v>
      </c>
      <c r="F292" s="15"/>
    </row>
    <row r="293" spans="1:6" ht="12.75" x14ac:dyDescent="0.2">
      <c r="A293" s="3">
        <v>290</v>
      </c>
      <c r="F293" s="15"/>
    </row>
    <row r="294" spans="1:6" ht="12.75" x14ac:dyDescent="0.2">
      <c r="F294" s="15"/>
    </row>
    <row r="295" spans="1:6" ht="12.75" x14ac:dyDescent="0.2">
      <c r="F295" s="15"/>
    </row>
    <row r="296" spans="1:6" ht="12.75" x14ac:dyDescent="0.2">
      <c r="F296" s="15"/>
    </row>
    <row r="297" spans="1:6" ht="12.75" x14ac:dyDescent="0.2">
      <c r="F297" s="15"/>
    </row>
    <row r="298" spans="1:6" ht="12.75" x14ac:dyDescent="0.2">
      <c r="F298" s="15"/>
    </row>
    <row r="299" spans="1:6" ht="12.75" x14ac:dyDescent="0.2">
      <c r="F299" s="15"/>
    </row>
    <row r="300" spans="1:6" ht="12.75" x14ac:dyDescent="0.2">
      <c r="F300" s="15"/>
    </row>
    <row r="301" spans="1:6" ht="12.75" x14ac:dyDescent="0.2">
      <c r="F301" s="15"/>
    </row>
    <row r="302" spans="1:6" ht="12.75" x14ac:dyDescent="0.2">
      <c r="F302" s="15"/>
    </row>
    <row r="303" spans="1:6" ht="12.75" x14ac:dyDescent="0.2">
      <c r="F303" s="15"/>
    </row>
    <row r="304" spans="1:6" ht="12.75" x14ac:dyDescent="0.2">
      <c r="F304" s="15"/>
    </row>
    <row r="305" spans="6:6" ht="12.75" x14ac:dyDescent="0.2">
      <c r="F305" s="15"/>
    </row>
    <row r="306" spans="6:6" ht="12.75" x14ac:dyDescent="0.2">
      <c r="F306" s="15"/>
    </row>
    <row r="307" spans="6:6" ht="12.75" x14ac:dyDescent="0.2">
      <c r="F307" s="15"/>
    </row>
    <row r="308" spans="6:6" ht="12.75" x14ac:dyDescent="0.2">
      <c r="F308" s="15"/>
    </row>
    <row r="309" spans="6:6" ht="12.75" x14ac:dyDescent="0.2">
      <c r="F309" s="15"/>
    </row>
    <row r="310" spans="6:6" ht="12.75" x14ac:dyDescent="0.2">
      <c r="F310" s="15"/>
    </row>
    <row r="311" spans="6:6" ht="12.75" x14ac:dyDescent="0.2">
      <c r="F311" s="15"/>
    </row>
    <row r="312" spans="6:6" ht="12.75" x14ac:dyDescent="0.2">
      <c r="F312" s="15"/>
    </row>
    <row r="313" spans="6:6" ht="12.75" x14ac:dyDescent="0.2">
      <c r="F313" s="15"/>
    </row>
    <row r="314" spans="6:6" ht="12.75" x14ac:dyDescent="0.2">
      <c r="F314" s="15"/>
    </row>
    <row r="315" spans="6:6" ht="12.75" x14ac:dyDescent="0.2">
      <c r="F315" s="15"/>
    </row>
    <row r="316" spans="6:6" ht="12.75" x14ac:dyDescent="0.2">
      <c r="F316" s="15"/>
    </row>
    <row r="317" spans="6:6" ht="12.75" x14ac:dyDescent="0.2">
      <c r="F317" s="15"/>
    </row>
    <row r="318" spans="6:6" ht="12.75" x14ac:dyDescent="0.2">
      <c r="F318" s="15"/>
    </row>
    <row r="319" spans="6:6" ht="12.75" x14ac:dyDescent="0.2">
      <c r="F319" s="15"/>
    </row>
    <row r="320" spans="6:6" ht="12.75" x14ac:dyDescent="0.2">
      <c r="F320" s="15"/>
    </row>
    <row r="321" spans="6:6" ht="12.75" x14ac:dyDescent="0.2">
      <c r="F321" s="15"/>
    </row>
    <row r="322" spans="6:6" ht="12.75" x14ac:dyDescent="0.2">
      <c r="F322" s="15"/>
    </row>
    <row r="323" spans="6:6" ht="12.75" x14ac:dyDescent="0.2">
      <c r="F323" s="15"/>
    </row>
    <row r="324" spans="6:6" ht="12.75" x14ac:dyDescent="0.2">
      <c r="F324" s="15"/>
    </row>
    <row r="325" spans="6:6" ht="12.75" x14ac:dyDescent="0.2">
      <c r="F325" s="15"/>
    </row>
    <row r="326" spans="6:6" ht="12.75" x14ac:dyDescent="0.2">
      <c r="F326" s="15"/>
    </row>
    <row r="327" spans="6:6" ht="12.75" x14ac:dyDescent="0.2">
      <c r="F327" s="15"/>
    </row>
    <row r="328" spans="6:6" ht="12.75" x14ac:dyDescent="0.2">
      <c r="F328" s="15"/>
    </row>
    <row r="329" spans="6:6" ht="12.75" x14ac:dyDescent="0.2">
      <c r="F329" s="15"/>
    </row>
    <row r="330" spans="6:6" ht="12.75" x14ac:dyDescent="0.2">
      <c r="F330" s="15"/>
    </row>
    <row r="331" spans="6:6" ht="12.75" x14ac:dyDescent="0.2">
      <c r="F331" s="15"/>
    </row>
    <row r="332" spans="6:6" ht="12.75" x14ac:dyDescent="0.2">
      <c r="F332" s="15"/>
    </row>
    <row r="333" spans="6:6" ht="12.75" x14ac:dyDescent="0.2">
      <c r="F333" s="15"/>
    </row>
    <row r="334" spans="6:6" ht="12.75" x14ac:dyDescent="0.2">
      <c r="F334" s="15"/>
    </row>
    <row r="335" spans="6:6" ht="12.75" x14ac:dyDescent="0.2">
      <c r="F335" s="15"/>
    </row>
    <row r="336" spans="6:6" ht="12.75" x14ac:dyDescent="0.2">
      <c r="F336" s="15"/>
    </row>
    <row r="337" spans="6:6" ht="12.75" x14ac:dyDescent="0.2">
      <c r="F337" s="15"/>
    </row>
    <row r="338" spans="6:6" ht="12.75" x14ac:dyDescent="0.2">
      <c r="F338" s="15"/>
    </row>
    <row r="339" spans="6:6" ht="12.75" x14ac:dyDescent="0.2">
      <c r="F339" s="15"/>
    </row>
    <row r="340" spans="6:6" ht="12.75" x14ac:dyDescent="0.2">
      <c r="F340" s="15"/>
    </row>
    <row r="341" spans="6:6" ht="12.75" x14ac:dyDescent="0.2">
      <c r="F341" s="15"/>
    </row>
    <row r="342" spans="6:6" ht="12.75" x14ac:dyDescent="0.2">
      <c r="F342" s="15"/>
    </row>
    <row r="343" spans="6:6" ht="12.75" x14ac:dyDescent="0.2">
      <c r="F343" s="15"/>
    </row>
    <row r="344" spans="6:6" ht="12.75" x14ac:dyDescent="0.2">
      <c r="F344" s="15"/>
    </row>
    <row r="345" spans="6:6" ht="12.75" x14ac:dyDescent="0.2">
      <c r="F345" s="15"/>
    </row>
    <row r="346" spans="6:6" ht="12.75" x14ac:dyDescent="0.2">
      <c r="F346" s="15"/>
    </row>
    <row r="347" spans="6:6" ht="12.75" x14ac:dyDescent="0.2">
      <c r="F347" s="15"/>
    </row>
    <row r="348" spans="6:6" ht="12.75" x14ac:dyDescent="0.2">
      <c r="F348" s="15"/>
    </row>
    <row r="349" spans="6:6" ht="12.75" x14ac:dyDescent="0.2">
      <c r="F349" s="15"/>
    </row>
    <row r="350" spans="6:6" ht="12.75" x14ac:dyDescent="0.2">
      <c r="F350" s="15"/>
    </row>
    <row r="351" spans="6:6" ht="12.75" x14ac:dyDescent="0.2">
      <c r="F351" s="15"/>
    </row>
    <row r="352" spans="6:6" ht="12.75" x14ac:dyDescent="0.2">
      <c r="F352" s="15"/>
    </row>
    <row r="353" spans="6:6" ht="12.75" x14ac:dyDescent="0.2">
      <c r="F353" s="15"/>
    </row>
    <row r="354" spans="6:6" ht="12.75" x14ac:dyDescent="0.2">
      <c r="F354" s="15"/>
    </row>
    <row r="355" spans="6:6" ht="12.75" x14ac:dyDescent="0.2">
      <c r="F355" s="15"/>
    </row>
    <row r="356" spans="6:6" ht="12.75" x14ac:dyDescent="0.2">
      <c r="F356" s="15"/>
    </row>
    <row r="357" spans="6:6" ht="12.75" x14ac:dyDescent="0.2">
      <c r="F357" s="15"/>
    </row>
    <row r="358" spans="6:6" ht="12.75" x14ac:dyDescent="0.2">
      <c r="F358" s="15"/>
    </row>
    <row r="359" spans="6:6" ht="12.75" x14ac:dyDescent="0.2">
      <c r="F359" s="15"/>
    </row>
    <row r="360" spans="6:6" ht="12.75" x14ac:dyDescent="0.2">
      <c r="F360" s="15"/>
    </row>
    <row r="361" spans="6:6" ht="12.75" x14ac:dyDescent="0.2">
      <c r="F361" s="15"/>
    </row>
    <row r="362" spans="6:6" ht="12.75" x14ac:dyDescent="0.2">
      <c r="F362" s="15"/>
    </row>
    <row r="363" spans="6:6" ht="12.75" x14ac:dyDescent="0.2">
      <c r="F363" s="15"/>
    </row>
    <row r="364" spans="6:6" ht="12.75" x14ac:dyDescent="0.2">
      <c r="F364" s="15"/>
    </row>
    <row r="365" spans="6:6" ht="12.75" x14ac:dyDescent="0.2">
      <c r="F365" s="15"/>
    </row>
    <row r="366" spans="6:6" ht="12.75" x14ac:dyDescent="0.2">
      <c r="F366" s="15"/>
    </row>
    <row r="367" spans="6:6" ht="12.75" x14ac:dyDescent="0.2">
      <c r="F367" s="15"/>
    </row>
    <row r="368" spans="6:6" ht="12.75" x14ac:dyDescent="0.2">
      <c r="F368" s="15"/>
    </row>
    <row r="369" spans="6:6" ht="12.75" x14ac:dyDescent="0.2">
      <c r="F369" s="15"/>
    </row>
    <row r="370" spans="6:6" ht="12.75" x14ac:dyDescent="0.2">
      <c r="F370" s="15"/>
    </row>
    <row r="371" spans="6:6" ht="12.75" x14ac:dyDescent="0.2">
      <c r="F371" s="15"/>
    </row>
    <row r="372" spans="6:6" ht="12.75" x14ac:dyDescent="0.2">
      <c r="F372" s="15"/>
    </row>
    <row r="373" spans="6:6" ht="12.75" x14ac:dyDescent="0.2">
      <c r="F373" s="15"/>
    </row>
    <row r="374" spans="6:6" ht="12.75" x14ac:dyDescent="0.2">
      <c r="F374" s="15"/>
    </row>
    <row r="375" spans="6:6" ht="12.75" x14ac:dyDescent="0.2">
      <c r="F375" s="15"/>
    </row>
    <row r="376" spans="6:6" ht="12.75" x14ac:dyDescent="0.2">
      <c r="F376" s="15"/>
    </row>
    <row r="377" spans="6:6" ht="12.75" x14ac:dyDescent="0.2">
      <c r="F377" s="15"/>
    </row>
    <row r="378" spans="6:6" ht="12.75" x14ac:dyDescent="0.2">
      <c r="F378" s="15"/>
    </row>
    <row r="379" spans="6:6" ht="12.75" x14ac:dyDescent="0.2">
      <c r="F379" s="15"/>
    </row>
    <row r="380" spans="6:6" ht="12.75" x14ac:dyDescent="0.2">
      <c r="F380" s="15"/>
    </row>
    <row r="381" spans="6:6" ht="12.75" x14ac:dyDescent="0.2">
      <c r="F381" s="15"/>
    </row>
    <row r="382" spans="6:6" ht="12.75" x14ac:dyDescent="0.2">
      <c r="F382" s="15"/>
    </row>
    <row r="383" spans="6:6" ht="12.75" x14ac:dyDescent="0.2">
      <c r="F383" s="15"/>
    </row>
    <row r="384" spans="6:6" ht="12.75" x14ac:dyDescent="0.2">
      <c r="F384" s="15"/>
    </row>
    <row r="385" spans="6:6" ht="12.75" x14ac:dyDescent="0.2">
      <c r="F385" s="15"/>
    </row>
    <row r="386" spans="6:6" ht="12.75" x14ac:dyDescent="0.2">
      <c r="F386" s="15"/>
    </row>
    <row r="387" spans="6:6" ht="12.75" x14ac:dyDescent="0.2">
      <c r="F387" s="15"/>
    </row>
    <row r="388" spans="6:6" ht="12.75" x14ac:dyDescent="0.2">
      <c r="F388" s="15"/>
    </row>
    <row r="389" spans="6:6" ht="12.75" x14ac:dyDescent="0.2">
      <c r="F389" s="15"/>
    </row>
    <row r="390" spans="6:6" ht="12.75" x14ac:dyDescent="0.2">
      <c r="F390" s="15"/>
    </row>
    <row r="391" spans="6:6" ht="12.75" x14ac:dyDescent="0.2">
      <c r="F391" s="15"/>
    </row>
    <row r="392" spans="6:6" ht="12.75" x14ac:dyDescent="0.2">
      <c r="F392" s="15"/>
    </row>
    <row r="393" spans="6:6" ht="12.75" x14ac:dyDescent="0.2">
      <c r="F393" s="15"/>
    </row>
    <row r="394" spans="6:6" ht="12.75" x14ac:dyDescent="0.2">
      <c r="F394" s="15"/>
    </row>
    <row r="395" spans="6:6" ht="12.75" x14ac:dyDescent="0.2">
      <c r="F395" s="15"/>
    </row>
    <row r="396" spans="6:6" ht="12.75" x14ac:dyDescent="0.2">
      <c r="F396" s="15"/>
    </row>
    <row r="397" spans="6:6" ht="12.75" x14ac:dyDescent="0.2">
      <c r="F397" s="15"/>
    </row>
    <row r="398" spans="6:6" ht="12.75" x14ac:dyDescent="0.2">
      <c r="F398" s="15"/>
    </row>
    <row r="399" spans="6:6" ht="12.75" x14ac:dyDescent="0.2">
      <c r="F399" s="15"/>
    </row>
    <row r="400" spans="6:6" ht="12.75" x14ac:dyDescent="0.2">
      <c r="F400" s="15"/>
    </row>
    <row r="401" spans="6:6" ht="12.75" x14ac:dyDescent="0.2">
      <c r="F401" s="15"/>
    </row>
    <row r="402" spans="6:6" ht="12.75" x14ac:dyDescent="0.2">
      <c r="F402" s="15"/>
    </row>
    <row r="403" spans="6:6" ht="12.75" x14ac:dyDescent="0.2">
      <c r="F403" s="15"/>
    </row>
    <row r="404" spans="6:6" ht="12.75" x14ac:dyDescent="0.2">
      <c r="F404" s="15"/>
    </row>
    <row r="405" spans="6:6" ht="12.75" x14ac:dyDescent="0.2">
      <c r="F405" s="15"/>
    </row>
    <row r="406" spans="6:6" ht="12.75" x14ac:dyDescent="0.2">
      <c r="F406" s="15"/>
    </row>
    <row r="407" spans="6:6" ht="12.75" x14ac:dyDescent="0.2">
      <c r="F407" s="15"/>
    </row>
    <row r="408" spans="6:6" ht="12.75" x14ac:dyDescent="0.2">
      <c r="F408" s="15"/>
    </row>
    <row r="409" spans="6:6" ht="12.75" x14ac:dyDescent="0.2">
      <c r="F409" s="15"/>
    </row>
    <row r="410" spans="6:6" ht="12.75" x14ac:dyDescent="0.2">
      <c r="F410" s="15"/>
    </row>
    <row r="411" spans="6:6" ht="12.75" x14ac:dyDescent="0.2">
      <c r="F411" s="15"/>
    </row>
    <row r="412" spans="6:6" ht="12.75" x14ac:dyDescent="0.2">
      <c r="F412" s="15"/>
    </row>
    <row r="413" spans="6:6" ht="12.75" x14ac:dyDescent="0.2">
      <c r="F413" s="15"/>
    </row>
    <row r="414" spans="6:6" ht="12.75" x14ac:dyDescent="0.2">
      <c r="F414" s="15"/>
    </row>
    <row r="415" spans="6:6" ht="12.75" x14ac:dyDescent="0.2">
      <c r="F415" s="15"/>
    </row>
    <row r="416" spans="6:6" ht="12.75" x14ac:dyDescent="0.2">
      <c r="F416" s="15"/>
    </row>
    <row r="417" spans="6:6" ht="12.75" x14ac:dyDescent="0.2">
      <c r="F417" s="15"/>
    </row>
    <row r="418" spans="6:6" ht="12.75" x14ac:dyDescent="0.2">
      <c r="F418" s="15"/>
    </row>
    <row r="419" spans="6:6" ht="12.75" x14ac:dyDescent="0.2">
      <c r="F419" s="15"/>
    </row>
    <row r="420" spans="6:6" ht="12.75" x14ac:dyDescent="0.2">
      <c r="F420" s="15"/>
    </row>
    <row r="421" spans="6:6" ht="12.75" x14ac:dyDescent="0.2">
      <c r="F421" s="15"/>
    </row>
    <row r="422" spans="6:6" ht="12.75" x14ac:dyDescent="0.2">
      <c r="F422" s="15"/>
    </row>
    <row r="423" spans="6:6" ht="12.75" x14ac:dyDescent="0.2">
      <c r="F423" s="15"/>
    </row>
    <row r="424" spans="6:6" ht="12.75" x14ac:dyDescent="0.2">
      <c r="F424" s="15"/>
    </row>
    <row r="425" spans="6:6" ht="12.75" x14ac:dyDescent="0.2">
      <c r="F425" s="15"/>
    </row>
    <row r="426" spans="6:6" ht="12.75" x14ac:dyDescent="0.2">
      <c r="F426" s="15"/>
    </row>
    <row r="427" spans="6:6" ht="12.75" x14ac:dyDescent="0.2">
      <c r="F427" s="15"/>
    </row>
    <row r="428" spans="6:6" ht="12.75" x14ac:dyDescent="0.2">
      <c r="F428" s="15"/>
    </row>
    <row r="429" spans="6:6" ht="12.75" x14ac:dyDescent="0.2">
      <c r="F429" s="15"/>
    </row>
    <row r="430" spans="6:6" ht="12.75" x14ac:dyDescent="0.2">
      <c r="F430" s="15"/>
    </row>
    <row r="431" spans="6:6" ht="12.75" x14ac:dyDescent="0.2">
      <c r="F431" s="15"/>
    </row>
    <row r="432" spans="6:6" ht="12.75" x14ac:dyDescent="0.2">
      <c r="F432" s="15"/>
    </row>
    <row r="433" spans="6:6" ht="12.75" x14ac:dyDescent="0.2">
      <c r="F433" s="15"/>
    </row>
    <row r="434" spans="6:6" ht="12.75" x14ac:dyDescent="0.2">
      <c r="F434" s="15"/>
    </row>
    <row r="435" spans="6:6" ht="12.75" x14ac:dyDescent="0.2">
      <c r="F435" s="15"/>
    </row>
    <row r="436" spans="6:6" ht="12.75" x14ac:dyDescent="0.2">
      <c r="F436" s="15"/>
    </row>
    <row r="437" spans="6:6" ht="12.75" x14ac:dyDescent="0.2">
      <c r="F437" s="15"/>
    </row>
    <row r="438" spans="6:6" ht="12.75" x14ac:dyDescent="0.2">
      <c r="F438" s="15"/>
    </row>
    <row r="439" spans="6:6" ht="12.75" x14ac:dyDescent="0.2">
      <c r="F439" s="15"/>
    </row>
    <row r="440" spans="6:6" ht="12.75" x14ac:dyDescent="0.2">
      <c r="F440" s="15"/>
    </row>
    <row r="441" spans="6:6" ht="12.75" x14ac:dyDescent="0.2">
      <c r="F441" s="15"/>
    </row>
    <row r="442" spans="6:6" ht="12.75" x14ac:dyDescent="0.2">
      <c r="F442" s="15"/>
    </row>
    <row r="443" spans="6:6" ht="12.75" x14ac:dyDescent="0.2">
      <c r="F443" s="15"/>
    </row>
    <row r="444" spans="6:6" ht="12.75" x14ac:dyDescent="0.2">
      <c r="F444" s="15"/>
    </row>
    <row r="445" spans="6:6" ht="12.75" x14ac:dyDescent="0.2">
      <c r="F445" s="15"/>
    </row>
    <row r="446" spans="6:6" ht="12.75" x14ac:dyDescent="0.2">
      <c r="F446" s="15"/>
    </row>
    <row r="447" spans="6:6" ht="12.75" x14ac:dyDescent="0.2">
      <c r="F447" s="15"/>
    </row>
    <row r="448" spans="6:6" ht="12.75" x14ac:dyDescent="0.2">
      <c r="F448" s="15"/>
    </row>
    <row r="449" spans="6:6" ht="12.75" x14ac:dyDescent="0.2">
      <c r="F449" s="15"/>
    </row>
    <row r="450" spans="6:6" ht="12.75" x14ac:dyDescent="0.2">
      <c r="F450" s="15"/>
    </row>
    <row r="451" spans="6:6" ht="12.75" x14ac:dyDescent="0.2">
      <c r="F451" s="15"/>
    </row>
    <row r="452" spans="6:6" ht="12.75" x14ac:dyDescent="0.2">
      <c r="F452" s="15"/>
    </row>
    <row r="453" spans="6:6" ht="12.75" x14ac:dyDescent="0.2">
      <c r="F453" s="15"/>
    </row>
    <row r="454" spans="6:6" ht="12.75" x14ac:dyDescent="0.2">
      <c r="F454" s="15"/>
    </row>
    <row r="455" spans="6:6" ht="12.75" x14ac:dyDescent="0.2">
      <c r="F455" s="15"/>
    </row>
    <row r="456" spans="6:6" ht="12.75" x14ac:dyDescent="0.2">
      <c r="F456" s="15"/>
    </row>
    <row r="457" spans="6:6" ht="12.75" x14ac:dyDescent="0.2">
      <c r="F457" s="15"/>
    </row>
    <row r="458" spans="6:6" ht="12.75" x14ac:dyDescent="0.2">
      <c r="F458" s="15"/>
    </row>
    <row r="459" spans="6:6" ht="12.75" x14ac:dyDescent="0.2">
      <c r="F459" s="15"/>
    </row>
    <row r="460" spans="6:6" ht="12.75" x14ac:dyDescent="0.2">
      <c r="F460" s="15"/>
    </row>
    <row r="461" spans="6:6" ht="12.75" x14ac:dyDescent="0.2">
      <c r="F461" s="15"/>
    </row>
    <row r="462" spans="6:6" ht="12.75" x14ac:dyDescent="0.2">
      <c r="F462" s="15"/>
    </row>
    <row r="463" spans="6:6" ht="12.75" x14ac:dyDescent="0.2">
      <c r="F463" s="15"/>
    </row>
    <row r="464" spans="6:6" ht="12.75" x14ac:dyDescent="0.2">
      <c r="F464" s="15"/>
    </row>
    <row r="465" spans="6:6" ht="12.75" x14ac:dyDescent="0.2">
      <c r="F465" s="15"/>
    </row>
    <row r="466" spans="6:6" ht="12.75" x14ac:dyDescent="0.2">
      <c r="F466" s="15"/>
    </row>
    <row r="467" spans="6:6" ht="12.75" x14ac:dyDescent="0.2">
      <c r="F467" s="15"/>
    </row>
    <row r="468" spans="6:6" ht="12.75" x14ac:dyDescent="0.2">
      <c r="F468" s="15"/>
    </row>
    <row r="469" spans="6:6" ht="12.75" x14ac:dyDescent="0.2">
      <c r="F469" s="15"/>
    </row>
    <row r="470" spans="6:6" ht="12.75" x14ac:dyDescent="0.2">
      <c r="F470" s="15"/>
    </row>
    <row r="471" spans="6:6" ht="12.75" x14ac:dyDescent="0.2">
      <c r="F471" s="15"/>
    </row>
    <row r="472" spans="6:6" ht="12.75" x14ac:dyDescent="0.2">
      <c r="F472" s="15"/>
    </row>
    <row r="473" spans="6:6" ht="12.75" x14ac:dyDescent="0.2">
      <c r="F473" s="15"/>
    </row>
    <row r="474" spans="6:6" ht="12.75" x14ac:dyDescent="0.2">
      <c r="F474" s="15"/>
    </row>
    <row r="475" spans="6:6" ht="12.75" x14ac:dyDescent="0.2">
      <c r="F475" s="15"/>
    </row>
    <row r="476" spans="6:6" ht="12.75" x14ac:dyDescent="0.2">
      <c r="F476" s="15"/>
    </row>
    <row r="477" spans="6:6" ht="12.75" x14ac:dyDescent="0.2">
      <c r="F477" s="15"/>
    </row>
    <row r="478" spans="6:6" ht="12.75" x14ac:dyDescent="0.2">
      <c r="F478" s="15"/>
    </row>
    <row r="479" spans="6:6" ht="12.75" x14ac:dyDescent="0.2">
      <c r="F479" s="15"/>
    </row>
    <row r="480" spans="6:6" ht="12.75" x14ac:dyDescent="0.2">
      <c r="F480" s="15"/>
    </row>
    <row r="481" spans="6:6" ht="12.75" x14ac:dyDescent="0.2">
      <c r="F481" s="15"/>
    </row>
    <row r="482" spans="6:6" ht="12.75" x14ac:dyDescent="0.2">
      <c r="F482" s="15"/>
    </row>
    <row r="483" spans="6:6" ht="12.75" x14ac:dyDescent="0.2">
      <c r="F483" s="15"/>
    </row>
    <row r="484" spans="6:6" ht="12.75" x14ac:dyDescent="0.2">
      <c r="F484" s="15"/>
    </row>
    <row r="485" spans="6:6" ht="12.75" x14ac:dyDescent="0.2">
      <c r="F485" s="15"/>
    </row>
    <row r="486" spans="6:6" ht="12.75" x14ac:dyDescent="0.2">
      <c r="F486" s="15"/>
    </row>
    <row r="487" spans="6:6" ht="12.75" x14ac:dyDescent="0.2">
      <c r="F487" s="15"/>
    </row>
    <row r="488" spans="6:6" ht="12.75" x14ac:dyDescent="0.2">
      <c r="F488" s="15"/>
    </row>
    <row r="489" spans="6:6" ht="12.75" x14ac:dyDescent="0.2">
      <c r="F489" s="15"/>
    </row>
    <row r="490" spans="6:6" ht="12.75" x14ac:dyDescent="0.2">
      <c r="F490" s="15"/>
    </row>
    <row r="491" spans="6:6" ht="12.75" x14ac:dyDescent="0.2">
      <c r="F491" s="15"/>
    </row>
    <row r="492" spans="6:6" ht="12.75" x14ac:dyDescent="0.2">
      <c r="F492" s="15"/>
    </row>
    <row r="493" spans="6:6" ht="12.75" x14ac:dyDescent="0.2">
      <c r="F493" s="15"/>
    </row>
    <row r="494" spans="6:6" ht="12.75" x14ac:dyDescent="0.2">
      <c r="F494" s="15"/>
    </row>
    <row r="495" spans="6:6" ht="12.75" x14ac:dyDescent="0.2">
      <c r="F495" s="15"/>
    </row>
    <row r="496" spans="6:6" ht="12.75" x14ac:dyDescent="0.2">
      <c r="F496" s="15"/>
    </row>
    <row r="497" spans="6:6" ht="12.75" x14ac:dyDescent="0.2">
      <c r="F497" s="15"/>
    </row>
    <row r="498" spans="6:6" ht="12.75" x14ac:dyDescent="0.2">
      <c r="F498" s="15"/>
    </row>
    <row r="499" spans="6:6" ht="12.75" x14ac:dyDescent="0.2">
      <c r="F499" s="15"/>
    </row>
    <row r="500" spans="6:6" ht="12.75" x14ac:dyDescent="0.2">
      <c r="F500" s="15"/>
    </row>
    <row r="501" spans="6:6" ht="12.75" x14ac:dyDescent="0.2">
      <c r="F501" s="15"/>
    </row>
    <row r="502" spans="6:6" ht="12.75" x14ac:dyDescent="0.2">
      <c r="F502" s="15"/>
    </row>
    <row r="503" spans="6:6" ht="12.75" x14ac:dyDescent="0.2">
      <c r="F503" s="15"/>
    </row>
    <row r="504" spans="6:6" ht="12.75" x14ac:dyDescent="0.2">
      <c r="F504" s="15"/>
    </row>
    <row r="505" spans="6:6" ht="12.75" x14ac:dyDescent="0.2">
      <c r="F505" s="15"/>
    </row>
    <row r="506" spans="6:6" ht="12.75" x14ac:dyDescent="0.2">
      <c r="F506" s="15"/>
    </row>
    <row r="507" spans="6:6" ht="12.75" x14ac:dyDescent="0.2">
      <c r="F507" s="15"/>
    </row>
    <row r="508" spans="6:6" ht="12.75" x14ac:dyDescent="0.2">
      <c r="F508" s="15"/>
    </row>
    <row r="509" spans="6:6" ht="12.75" x14ac:dyDescent="0.2">
      <c r="F509" s="15"/>
    </row>
    <row r="510" spans="6:6" ht="12.75" x14ac:dyDescent="0.2">
      <c r="F510" s="15"/>
    </row>
    <row r="511" spans="6:6" ht="12.75" x14ac:dyDescent="0.2">
      <c r="F511" s="15"/>
    </row>
    <row r="512" spans="6:6" ht="12.75" x14ac:dyDescent="0.2">
      <c r="F512" s="15"/>
    </row>
    <row r="513" spans="6:6" ht="12.75" x14ac:dyDescent="0.2">
      <c r="F513" s="15"/>
    </row>
    <row r="514" spans="6:6" ht="12.75" x14ac:dyDescent="0.2">
      <c r="F514" s="15"/>
    </row>
    <row r="515" spans="6:6" ht="12.75" x14ac:dyDescent="0.2">
      <c r="F515" s="15"/>
    </row>
    <row r="516" spans="6:6" ht="12.75" x14ac:dyDescent="0.2">
      <c r="F516" s="15"/>
    </row>
    <row r="517" spans="6:6" ht="12.75" x14ac:dyDescent="0.2">
      <c r="F517" s="15"/>
    </row>
    <row r="518" spans="6:6" ht="12.75" x14ac:dyDescent="0.2">
      <c r="F518" s="15"/>
    </row>
    <row r="519" spans="6:6" ht="12.75" x14ac:dyDescent="0.2">
      <c r="F519" s="15"/>
    </row>
    <row r="520" spans="6:6" ht="12.75" x14ac:dyDescent="0.2">
      <c r="F520" s="15"/>
    </row>
    <row r="521" spans="6:6" ht="12.75" x14ac:dyDescent="0.2">
      <c r="F521" s="15"/>
    </row>
    <row r="522" spans="6:6" ht="12.75" x14ac:dyDescent="0.2">
      <c r="F522" s="15"/>
    </row>
    <row r="523" spans="6:6" ht="12.75" x14ac:dyDescent="0.2">
      <c r="F523" s="15"/>
    </row>
    <row r="524" spans="6:6" ht="12.75" x14ac:dyDescent="0.2">
      <c r="F524" s="15"/>
    </row>
    <row r="525" spans="6:6" ht="12.75" x14ac:dyDescent="0.2">
      <c r="F525" s="15"/>
    </row>
    <row r="526" spans="6:6" ht="12.75" x14ac:dyDescent="0.2">
      <c r="F526" s="15"/>
    </row>
    <row r="527" spans="6:6" ht="12.75" x14ac:dyDescent="0.2">
      <c r="F527" s="15"/>
    </row>
    <row r="528" spans="6:6" ht="12.75" x14ac:dyDescent="0.2">
      <c r="F528" s="15"/>
    </row>
    <row r="529" spans="6:6" ht="12.75" x14ac:dyDescent="0.2">
      <c r="F529" s="15"/>
    </row>
    <row r="530" spans="6:6" ht="12.75" x14ac:dyDescent="0.2">
      <c r="F530" s="15"/>
    </row>
    <row r="531" spans="6:6" ht="12.75" x14ac:dyDescent="0.2">
      <c r="F531" s="15"/>
    </row>
    <row r="532" spans="6:6" ht="12.75" x14ac:dyDescent="0.2">
      <c r="F532" s="15"/>
    </row>
    <row r="533" spans="6:6" ht="12.75" x14ac:dyDescent="0.2">
      <c r="F533" s="15"/>
    </row>
    <row r="534" spans="6:6" ht="12.75" x14ac:dyDescent="0.2">
      <c r="F534" s="15"/>
    </row>
    <row r="535" spans="6:6" ht="12.75" x14ac:dyDescent="0.2">
      <c r="F535" s="15"/>
    </row>
    <row r="536" spans="6:6" ht="12.75" x14ac:dyDescent="0.2">
      <c r="F536" s="15"/>
    </row>
    <row r="537" spans="6:6" ht="12.75" x14ac:dyDescent="0.2">
      <c r="F537" s="15"/>
    </row>
    <row r="538" spans="6:6" ht="12.75" x14ac:dyDescent="0.2">
      <c r="F538" s="15"/>
    </row>
    <row r="539" spans="6:6" ht="12.75" x14ac:dyDescent="0.2">
      <c r="F539" s="15"/>
    </row>
    <row r="540" spans="6:6" ht="12.75" x14ac:dyDescent="0.2">
      <c r="F540" s="15"/>
    </row>
    <row r="541" spans="6:6" ht="12.75" x14ac:dyDescent="0.2">
      <c r="F541" s="15"/>
    </row>
    <row r="542" spans="6:6" ht="12.75" x14ac:dyDescent="0.2">
      <c r="F542" s="15"/>
    </row>
    <row r="543" spans="6:6" ht="12.75" x14ac:dyDescent="0.2">
      <c r="F543" s="15"/>
    </row>
    <row r="544" spans="6:6" ht="12.75" x14ac:dyDescent="0.2">
      <c r="F544" s="15"/>
    </row>
    <row r="545" spans="6:6" ht="12.75" x14ac:dyDescent="0.2">
      <c r="F545" s="15"/>
    </row>
    <row r="546" spans="6:6" ht="12.75" x14ac:dyDescent="0.2">
      <c r="F546" s="15"/>
    </row>
    <row r="547" spans="6:6" ht="12.75" x14ac:dyDescent="0.2">
      <c r="F547" s="15"/>
    </row>
    <row r="548" spans="6:6" ht="12.75" x14ac:dyDescent="0.2">
      <c r="F548" s="15"/>
    </row>
    <row r="549" spans="6:6" ht="12.75" x14ac:dyDescent="0.2">
      <c r="F549" s="15"/>
    </row>
    <row r="550" spans="6:6" ht="12.75" x14ac:dyDescent="0.2">
      <c r="F550" s="15"/>
    </row>
    <row r="551" spans="6:6" ht="12.75" x14ac:dyDescent="0.2">
      <c r="F551" s="15"/>
    </row>
    <row r="552" spans="6:6" ht="12.75" x14ac:dyDescent="0.2">
      <c r="F552" s="15"/>
    </row>
    <row r="553" spans="6:6" ht="12.75" x14ac:dyDescent="0.2">
      <c r="F553" s="15"/>
    </row>
    <row r="554" spans="6:6" ht="12.75" x14ac:dyDescent="0.2">
      <c r="F554" s="15"/>
    </row>
    <row r="555" spans="6:6" ht="12.75" x14ac:dyDescent="0.2">
      <c r="F555" s="15"/>
    </row>
    <row r="556" spans="6:6" ht="12.75" x14ac:dyDescent="0.2">
      <c r="F556" s="15"/>
    </row>
    <row r="557" spans="6:6" ht="12.75" x14ac:dyDescent="0.2">
      <c r="F557" s="15"/>
    </row>
    <row r="558" spans="6:6" ht="12.75" x14ac:dyDescent="0.2">
      <c r="F558" s="15"/>
    </row>
    <row r="559" spans="6:6" ht="12.75" x14ac:dyDescent="0.2">
      <c r="F559" s="15"/>
    </row>
    <row r="560" spans="6:6" ht="12.75" x14ac:dyDescent="0.2">
      <c r="F560" s="15"/>
    </row>
    <row r="561" spans="6:6" ht="12.75" x14ac:dyDescent="0.2">
      <c r="F561" s="15"/>
    </row>
    <row r="562" spans="6:6" ht="12.75" x14ac:dyDescent="0.2">
      <c r="F562" s="15"/>
    </row>
    <row r="563" spans="6:6" ht="12.75" x14ac:dyDescent="0.2">
      <c r="F563" s="15"/>
    </row>
    <row r="564" spans="6:6" ht="12.75" x14ac:dyDescent="0.2">
      <c r="F564" s="15"/>
    </row>
    <row r="565" spans="6:6" ht="12.75" x14ac:dyDescent="0.2">
      <c r="F565" s="15"/>
    </row>
    <row r="566" spans="6:6" ht="12.75" x14ac:dyDescent="0.2">
      <c r="F566" s="15"/>
    </row>
    <row r="567" spans="6:6" ht="12.75" x14ac:dyDescent="0.2">
      <c r="F567" s="15"/>
    </row>
    <row r="568" spans="6:6" ht="12.75" x14ac:dyDescent="0.2">
      <c r="F568" s="15"/>
    </row>
    <row r="569" spans="6:6" ht="12.75" x14ac:dyDescent="0.2">
      <c r="F569" s="15"/>
    </row>
    <row r="570" spans="6:6" ht="12.75" x14ac:dyDescent="0.2">
      <c r="F570" s="15"/>
    </row>
    <row r="571" spans="6:6" ht="12.75" x14ac:dyDescent="0.2">
      <c r="F571" s="15"/>
    </row>
    <row r="572" spans="6:6" ht="12.75" x14ac:dyDescent="0.2">
      <c r="F572" s="15"/>
    </row>
    <row r="573" spans="6:6" ht="12.75" x14ac:dyDescent="0.2">
      <c r="F573" s="15"/>
    </row>
    <row r="574" spans="6:6" ht="12.75" x14ac:dyDescent="0.2">
      <c r="F574" s="15"/>
    </row>
    <row r="575" spans="6:6" ht="12.75" x14ac:dyDescent="0.2">
      <c r="F575" s="15"/>
    </row>
    <row r="576" spans="6:6" ht="12.75" x14ac:dyDescent="0.2">
      <c r="F576" s="15"/>
    </row>
    <row r="577" spans="6:6" ht="12.75" x14ac:dyDescent="0.2">
      <c r="F577" s="15"/>
    </row>
    <row r="578" spans="6:6" ht="12.75" x14ac:dyDescent="0.2">
      <c r="F578" s="15"/>
    </row>
    <row r="579" spans="6:6" ht="12.75" x14ac:dyDescent="0.2">
      <c r="F579" s="15"/>
    </row>
    <row r="580" spans="6:6" ht="12.75" x14ac:dyDescent="0.2">
      <c r="F580" s="15"/>
    </row>
    <row r="581" spans="6:6" ht="12.75" x14ac:dyDescent="0.2">
      <c r="F581" s="15"/>
    </row>
    <row r="582" spans="6:6" ht="12.75" x14ac:dyDescent="0.2">
      <c r="F582" s="15"/>
    </row>
    <row r="583" spans="6:6" ht="12.75" x14ac:dyDescent="0.2">
      <c r="F583" s="15"/>
    </row>
    <row r="584" spans="6:6" ht="12.75" x14ac:dyDescent="0.2">
      <c r="F584" s="15"/>
    </row>
    <row r="585" spans="6:6" ht="12.75" x14ac:dyDescent="0.2">
      <c r="F585" s="15"/>
    </row>
    <row r="586" spans="6:6" ht="12.75" x14ac:dyDescent="0.2">
      <c r="F586" s="15"/>
    </row>
    <row r="587" spans="6:6" ht="12.75" x14ac:dyDescent="0.2">
      <c r="F587" s="15"/>
    </row>
    <row r="588" spans="6:6" ht="12.75" x14ac:dyDescent="0.2">
      <c r="F588" s="15"/>
    </row>
    <row r="589" spans="6:6" ht="12.75" x14ac:dyDescent="0.2">
      <c r="F589" s="15"/>
    </row>
    <row r="590" spans="6:6" ht="12.75" x14ac:dyDescent="0.2">
      <c r="F590" s="15"/>
    </row>
    <row r="591" spans="6:6" ht="12.75" x14ac:dyDescent="0.2">
      <c r="F591" s="15"/>
    </row>
    <row r="592" spans="6:6" ht="12.75" x14ac:dyDescent="0.2">
      <c r="F592" s="15"/>
    </row>
    <row r="593" spans="6:6" ht="12.75" x14ac:dyDescent="0.2">
      <c r="F593" s="15"/>
    </row>
    <row r="594" spans="6:6" ht="12.75" x14ac:dyDescent="0.2">
      <c r="F594" s="15"/>
    </row>
    <row r="595" spans="6:6" ht="12.75" x14ac:dyDescent="0.2">
      <c r="F595" s="15"/>
    </row>
    <row r="596" spans="6:6" ht="12.75" x14ac:dyDescent="0.2">
      <c r="F596" s="15"/>
    </row>
    <row r="597" spans="6:6" ht="12.75" x14ac:dyDescent="0.2">
      <c r="F597" s="15"/>
    </row>
    <row r="598" spans="6:6" ht="12.75" x14ac:dyDescent="0.2">
      <c r="F598" s="15"/>
    </row>
    <row r="599" spans="6:6" ht="12.75" x14ac:dyDescent="0.2">
      <c r="F599" s="15"/>
    </row>
    <row r="600" spans="6:6" ht="12.75" x14ac:dyDescent="0.2">
      <c r="F600" s="15"/>
    </row>
    <row r="601" spans="6:6" ht="12.75" x14ac:dyDescent="0.2">
      <c r="F601" s="15"/>
    </row>
    <row r="602" spans="6:6" ht="12.75" x14ac:dyDescent="0.2">
      <c r="F602" s="15"/>
    </row>
    <row r="603" spans="6:6" ht="12.75" x14ac:dyDescent="0.2">
      <c r="F603" s="15"/>
    </row>
    <row r="604" spans="6:6" ht="12.75" x14ac:dyDescent="0.2">
      <c r="F604" s="15"/>
    </row>
    <row r="605" spans="6:6" ht="12.75" x14ac:dyDescent="0.2">
      <c r="F605" s="15"/>
    </row>
    <row r="606" spans="6:6" ht="12.75" x14ac:dyDescent="0.2">
      <c r="F606" s="15"/>
    </row>
    <row r="607" spans="6:6" ht="12.75" x14ac:dyDescent="0.2">
      <c r="F607" s="15"/>
    </row>
    <row r="608" spans="6:6" ht="12.75" x14ac:dyDescent="0.2">
      <c r="F608" s="15"/>
    </row>
    <row r="609" spans="6:6" ht="12.75" x14ac:dyDescent="0.2">
      <c r="F609" s="15"/>
    </row>
    <row r="610" spans="6:6" ht="12.75" x14ac:dyDescent="0.2">
      <c r="F610" s="15"/>
    </row>
    <row r="611" spans="6:6" ht="12.75" x14ac:dyDescent="0.2">
      <c r="F611" s="15"/>
    </row>
    <row r="612" spans="6:6" ht="12.75" x14ac:dyDescent="0.2">
      <c r="F612" s="15"/>
    </row>
    <row r="613" spans="6:6" ht="12.75" x14ac:dyDescent="0.2">
      <c r="F613" s="15"/>
    </row>
    <row r="614" spans="6:6" ht="12.75" x14ac:dyDescent="0.2">
      <c r="F614" s="15"/>
    </row>
    <row r="615" spans="6:6" ht="12.75" x14ac:dyDescent="0.2">
      <c r="F615" s="15"/>
    </row>
    <row r="616" spans="6:6" ht="12.75" x14ac:dyDescent="0.2">
      <c r="F616" s="15"/>
    </row>
    <row r="617" spans="6:6" ht="12.75" x14ac:dyDescent="0.2">
      <c r="F617" s="15"/>
    </row>
    <row r="618" spans="6:6" ht="12.75" x14ac:dyDescent="0.2">
      <c r="F618" s="15"/>
    </row>
    <row r="619" spans="6:6" ht="12.75" x14ac:dyDescent="0.2">
      <c r="F619" s="15"/>
    </row>
    <row r="620" spans="6:6" ht="12.75" x14ac:dyDescent="0.2">
      <c r="F620" s="15"/>
    </row>
    <row r="621" spans="6:6" ht="12.75" x14ac:dyDescent="0.2">
      <c r="F621" s="15"/>
    </row>
    <row r="622" spans="6:6" ht="12.75" x14ac:dyDescent="0.2">
      <c r="F622" s="15"/>
    </row>
    <row r="623" spans="6:6" ht="12.75" x14ac:dyDescent="0.2">
      <c r="F623" s="15"/>
    </row>
    <row r="624" spans="6:6" ht="12.75" x14ac:dyDescent="0.2">
      <c r="F624" s="15"/>
    </row>
    <row r="625" spans="6:6" ht="12.75" x14ac:dyDescent="0.2">
      <c r="F625" s="15"/>
    </row>
    <row r="626" spans="6:6" ht="12.75" x14ac:dyDescent="0.2">
      <c r="F626" s="15"/>
    </row>
    <row r="627" spans="6:6" ht="12.75" x14ac:dyDescent="0.2">
      <c r="F627" s="15"/>
    </row>
    <row r="628" spans="6:6" ht="12.75" x14ac:dyDescent="0.2">
      <c r="F628" s="15"/>
    </row>
    <row r="629" spans="6:6" ht="12.75" x14ac:dyDescent="0.2">
      <c r="F629" s="15"/>
    </row>
    <row r="630" spans="6:6" ht="12.75" x14ac:dyDescent="0.2">
      <c r="F630" s="15"/>
    </row>
    <row r="631" spans="6:6" ht="12.75" x14ac:dyDescent="0.2">
      <c r="F631" s="15"/>
    </row>
    <row r="632" spans="6:6" ht="12.75" x14ac:dyDescent="0.2">
      <c r="F632" s="15"/>
    </row>
    <row r="633" spans="6:6" ht="12.75" x14ac:dyDescent="0.2">
      <c r="F633" s="15"/>
    </row>
    <row r="634" spans="6:6" ht="12.75" x14ac:dyDescent="0.2">
      <c r="F634" s="15"/>
    </row>
    <row r="635" spans="6:6" ht="12.75" x14ac:dyDescent="0.2">
      <c r="F635" s="15"/>
    </row>
    <row r="636" spans="6:6" ht="12.75" x14ac:dyDescent="0.2">
      <c r="F636" s="15"/>
    </row>
    <row r="637" spans="6:6" ht="12.75" x14ac:dyDescent="0.2">
      <c r="F637" s="15"/>
    </row>
    <row r="638" spans="6:6" ht="12.75" x14ac:dyDescent="0.2">
      <c r="F638" s="15"/>
    </row>
    <row r="639" spans="6:6" ht="12.75" x14ac:dyDescent="0.2">
      <c r="F639" s="15"/>
    </row>
    <row r="640" spans="6:6" ht="12.75" x14ac:dyDescent="0.2">
      <c r="F640" s="15"/>
    </row>
    <row r="641" spans="6:6" ht="12.75" x14ac:dyDescent="0.2">
      <c r="F641" s="15"/>
    </row>
    <row r="642" spans="6:6" ht="12.75" x14ac:dyDescent="0.2">
      <c r="F642" s="15"/>
    </row>
    <row r="643" spans="6:6" ht="12.75" x14ac:dyDescent="0.2">
      <c r="F643" s="15"/>
    </row>
    <row r="644" spans="6:6" ht="12.75" x14ac:dyDescent="0.2">
      <c r="F644" s="15"/>
    </row>
    <row r="645" spans="6:6" ht="12.75" x14ac:dyDescent="0.2">
      <c r="F645" s="15"/>
    </row>
    <row r="646" spans="6:6" ht="12.75" x14ac:dyDescent="0.2">
      <c r="F646" s="15"/>
    </row>
    <row r="647" spans="6:6" ht="12.75" x14ac:dyDescent="0.2">
      <c r="F647" s="15"/>
    </row>
    <row r="648" spans="6:6" ht="12.75" x14ac:dyDescent="0.2">
      <c r="F648" s="15"/>
    </row>
    <row r="649" spans="6:6" ht="12.75" x14ac:dyDescent="0.2">
      <c r="F649" s="15"/>
    </row>
    <row r="650" spans="6:6" ht="12.75" x14ac:dyDescent="0.2">
      <c r="F650" s="15"/>
    </row>
    <row r="651" spans="6:6" ht="12.75" x14ac:dyDescent="0.2">
      <c r="F651" s="15"/>
    </row>
    <row r="652" spans="6:6" ht="12.75" x14ac:dyDescent="0.2">
      <c r="F652" s="15"/>
    </row>
    <row r="653" spans="6:6" ht="12.75" x14ac:dyDescent="0.2">
      <c r="F653" s="15"/>
    </row>
    <row r="654" spans="6:6" ht="12.75" x14ac:dyDescent="0.2">
      <c r="F654" s="15"/>
    </row>
    <row r="655" spans="6:6" ht="12.75" x14ac:dyDescent="0.2">
      <c r="F655" s="15"/>
    </row>
    <row r="656" spans="6:6" ht="12.75" x14ac:dyDescent="0.2">
      <c r="F656" s="15"/>
    </row>
    <row r="657" spans="6:6" ht="12.75" x14ac:dyDescent="0.2">
      <c r="F657" s="15"/>
    </row>
    <row r="658" spans="6:6" ht="12.75" x14ac:dyDescent="0.2">
      <c r="F658" s="15"/>
    </row>
    <row r="659" spans="6:6" ht="12.75" x14ac:dyDescent="0.2">
      <c r="F659" s="15"/>
    </row>
    <row r="660" spans="6:6" ht="12.75" x14ac:dyDescent="0.2">
      <c r="F660" s="15"/>
    </row>
    <row r="661" spans="6:6" ht="12.75" x14ac:dyDescent="0.2">
      <c r="F661" s="15"/>
    </row>
    <row r="662" spans="6:6" ht="12.75" x14ac:dyDescent="0.2">
      <c r="F662" s="15"/>
    </row>
    <row r="663" spans="6:6" ht="12.75" x14ac:dyDescent="0.2">
      <c r="F663" s="15"/>
    </row>
    <row r="664" spans="6:6" ht="12.75" x14ac:dyDescent="0.2">
      <c r="F664" s="15"/>
    </row>
    <row r="665" spans="6:6" ht="12.75" x14ac:dyDescent="0.2">
      <c r="F665" s="15"/>
    </row>
    <row r="666" spans="6:6" ht="12.75" x14ac:dyDescent="0.2">
      <c r="F666" s="15"/>
    </row>
    <row r="667" spans="6:6" ht="12.75" x14ac:dyDescent="0.2">
      <c r="F667" s="15"/>
    </row>
    <row r="668" spans="6:6" ht="12.75" x14ac:dyDescent="0.2">
      <c r="F668" s="15"/>
    </row>
    <row r="669" spans="6:6" ht="12.75" x14ac:dyDescent="0.2">
      <c r="F669" s="15"/>
    </row>
    <row r="670" spans="6:6" ht="12.75" x14ac:dyDescent="0.2">
      <c r="F670" s="15"/>
    </row>
    <row r="671" spans="6:6" ht="12.75" x14ac:dyDescent="0.2">
      <c r="F671" s="15"/>
    </row>
    <row r="672" spans="6:6" ht="12.75" x14ac:dyDescent="0.2">
      <c r="F672" s="15"/>
    </row>
    <row r="673" spans="6:6" ht="12.75" x14ac:dyDescent="0.2">
      <c r="F673" s="15"/>
    </row>
    <row r="674" spans="6:6" ht="12.75" x14ac:dyDescent="0.2">
      <c r="F674" s="15"/>
    </row>
    <row r="675" spans="6:6" ht="12.75" x14ac:dyDescent="0.2">
      <c r="F675" s="15"/>
    </row>
    <row r="676" spans="6:6" ht="12.75" x14ac:dyDescent="0.2">
      <c r="F676" s="15"/>
    </row>
    <row r="677" spans="6:6" ht="12.75" x14ac:dyDescent="0.2">
      <c r="F677" s="15"/>
    </row>
    <row r="678" spans="6:6" ht="12.75" x14ac:dyDescent="0.2">
      <c r="F678" s="15"/>
    </row>
    <row r="679" spans="6:6" ht="12.75" x14ac:dyDescent="0.2">
      <c r="F679" s="15"/>
    </row>
    <row r="680" spans="6:6" ht="12.75" x14ac:dyDescent="0.2">
      <c r="F680" s="15"/>
    </row>
    <row r="681" spans="6:6" ht="12.75" x14ac:dyDescent="0.2">
      <c r="F681" s="15"/>
    </row>
    <row r="682" spans="6:6" ht="12.75" x14ac:dyDescent="0.2">
      <c r="F682" s="15"/>
    </row>
    <row r="683" spans="6:6" ht="12.75" x14ac:dyDescent="0.2">
      <c r="F683" s="15"/>
    </row>
    <row r="684" spans="6:6" ht="12.75" x14ac:dyDescent="0.2">
      <c r="F684" s="15"/>
    </row>
    <row r="685" spans="6:6" ht="12.75" x14ac:dyDescent="0.2">
      <c r="F685" s="15"/>
    </row>
    <row r="686" spans="6:6" ht="12.75" x14ac:dyDescent="0.2">
      <c r="F686" s="15"/>
    </row>
    <row r="687" spans="6:6" ht="12.75" x14ac:dyDescent="0.2">
      <c r="F687" s="15"/>
    </row>
    <row r="688" spans="6:6" ht="12.75" x14ac:dyDescent="0.2">
      <c r="F688" s="15"/>
    </row>
    <row r="689" spans="6:6" ht="12.75" x14ac:dyDescent="0.2">
      <c r="F689" s="15"/>
    </row>
    <row r="690" spans="6:6" ht="12.75" x14ac:dyDescent="0.2">
      <c r="F690" s="15"/>
    </row>
    <row r="691" spans="6:6" ht="12.75" x14ac:dyDescent="0.2">
      <c r="F691" s="15"/>
    </row>
    <row r="692" spans="6:6" ht="12.75" x14ac:dyDescent="0.2">
      <c r="F692" s="15"/>
    </row>
    <row r="693" spans="6:6" ht="12.75" x14ac:dyDescent="0.2">
      <c r="F693" s="15"/>
    </row>
    <row r="694" spans="6:6" ht="12.75" x14ac:dyDescent="0.2">
      <c r="F694" s="15"/>
    </row>
    <row r="695" spans="6:6" ht="12.75" x14ac:dyDescent="0.2">
      <c r="F695" s="15"/>
    </row>
    <row r="696" spans="6:6" ht="12.75" x14ac:dyDescent="0.2">
      <c r="F696" s="15"/>
    </row>
    <row r="697" spans="6:6" ht="12.75" x14ac:dyDescent="0.2">
      <c r="F697" s="15"/>
    </row>
    <row r="698" spans="6:6" ht="12.75" x14ac:dyDescent="0.2">
      <c r="F698" s="15"/>
    </row>
    <row r="699" spans="6:6" ht="12.75" x14ac:dyDescent="0.2">
      <c r="F699" s="15"/>
    </row>
    <row r="700" spans="6:6" ht="12.75" x14ac:dyDescent="0.2">
      <c r="F700" s="15"/>
    </row>
    <row r="701" spans="6:6" ht="12.75" x14ac:dyDescent="0.2">
      <c r="F701" s="15"/>
    </row>
    <row r="702" spans="6:6" ht="12.75" x14ac:dyDescent="0.2">
      <c r="F702" s="15"/>
    </row>
    <row r="703" spans="6:6" ht="12.75" x14ac:dyDescent="0.2">
      <c r="F703" s="15"/>
    </row>
    <row r="704" spans="6:6" ht="12.75" x14ac:dyDescent="0.2">
      <c r="F704" s="15"/>
    </row>
    <row r="705" spans="6:6" ht="12.75" x14ac:dyDescent="0.2">
      <c r="F705" s="15"/>
    </row>
    <row r="706" spans="6:6" ht="12.75" x14ac:dyDescent="0.2">
      <c r="F706" s="15"/>
    </row>
    <row r="707" spans="6:6" ht="12.75" x14ac:dyDescent="0.2">
      <c r="F707" s="15"/>
    </row>
    <row r="708" spans="6:6" ht="12.75" x14ac:dyDescent="0.2">
      <c r="F708" s="15"/>
    </row>
    <row r="709" spans="6:6" ht="12.75" x14ac:dyDescent="0.2">
      <c r="F709" s="15"/>
    </row>
    <row r="710" spans="6:6" ht="12.75" x14ac:dyDescent="0.2">
      <c r="F710" s="15"/>
    </row>
    <row r="711" spans="6:6" ht="12.75" x14ac:dyDescent="0.2">
      <c r="F711" s="15"/>
    </row>
    <row r="712" spans="6:6" ht="12.75" x14ac:dyDescent="0.2">
      <c r="F712" s="15"/>
    </row>
    <row r="713" spans="6:6" ht="12.75" x14ac:dyDescent="0.2">
      <c r="F713" s="15"/>
    </row>
    <row r="714" spans="6:6" ht="12.75" x14ac:dyDescent="0.2">
      <c r="F714" s="15"/>
    </row>
    <row r="715" spans="6:6" ht="12.75" x14ac:dyDescent="0.2">
      <c r="F715" s="15"/>
    </row>
    <row r="716" spans="6:6" ht="12.75" x14ac:dyDescent="0.2">
      <c r="F716" s="15"/>
    </row>
    <row r="717" spans="6:6" ht="12.75" x14ac:dyDescent="0.2">
      <c r="F717" s="15"/>
    </row>
    <row r="718" spans="6:6" ht="12.75" x14ac:dyDescent="0.2">
      <c r="F718" s="15"/>
    </row>
    <row r="719" spans="6:6" ht="12.75" x14ac:dyDescent="0.2">
      <c r="F719" s="15"/>
    </row>
    <row r="720" spans="6:6" ht="12.75" x14ac:dyDescent="0.2">
      <c r="F720" s="15"/>
    </row>
    <row r="721" spans="6:6" ht="12.75" x14ac:dyDescent="0.2">
      <c r="F721" s="15"/>
    </row>
    <row r="722" spans="6:6" ht="12.75" x14ac:dyDescent="0.2">
      <c r="F722" s="15"/>
    </row>
    <row r="723" spans="6:6" ht="12.75" x14ac:dyDescent="0.2">
      <c r="F723" s="15"/>
    </row>
    <row r="724" spans="6:6" ht="12.75" x14ac:dyDescent="0.2">
      <c r="F724" s="15"/>
    </row>
    <row r="725" spans="6:6" ht="12.75" x14ac:dyDescent="0.2">
      <c r="F725" s="15"/>
    </row>
    <row r="726" spans="6:6" ht="12.75" x14ac:dyDescent="0.2">
      <c r="F726" s="15"/>
    </row>
    <row r="727" spans="6:6" ht="12.75" x14ac:dyDescent="0.2">
      <c r="F727" s="15"/>
    </row>
    <row r="728" spans="6:6" ht="12.75" x14ac:dyDescent="0.2">
      <c r="F728" s="15"/>
    </row>
    <row r="729" spans="6:6" ht="12.75" x14ac:dyDescent="0.2">
      <c r="F729" s="15"/>
    </row>
    <row r="730" spans="6:6" ht="12.75" x14ac:dyDescent="0.2">
      <c r="F730" s="15"/>
    </row>
    <row r="731" spans="6:6" ht="12.75" x14ac:dyDescent="0.2">
      <c r="F731" s="15"/>
    </row>
    <row r="732" spans="6:6" ht="12.75" x14ac:dyDescent="0.2">
      <c r="F732" s="15"/>
    </row>
    <row r="733" spans="6:6" ht="12.75" x14ac:dyDescent="0.2">
      <c r="F733" s="15"/>
    </row>
    <row r="734" spans="6:6" ht="12.75" x14ac:dyDescent="0.2">
      <c r="F734" s="15"/>
    </row>
    <row r="735" spans="6:6" ht="12.75" x14ac:dyDescent="0.2">
      <c r="F735" s="15"/>
    </row>
    <row r="736" spans="6:6" ht="12.75" x14ac:dyDescent="0.2">
      <c r="F736" s="15"/>
    </row>
    <row r="737" spans="6:6" ht="12.75" x14ac:dyDescent="0.2">
      <c r="F737" s="15"/>
    </row>
    <row r="738" spans="6:6" ht="12.75" x14ac:dyDescent="0.2">
      <c r="F738" s="15"/>
    </row>
    <row r="739" spans="6:6" ht="12.75" x14ac:dyDescent="0.2">
      <c r="F739" s="15"/>
    </row>
    <row r="740" spans="6:6" ht="12.75" x14ac:dyDescent="0.2">
      <c r="F740" s="15"/>
    </row>
    <row r="741" spans="6:6" ht="12.75" x14ac:dyDescent="0.2">
      <c r="F741" s="15"/>
    </row>
    <row r="742" spans="6:6" ht="12.75" x14ac:dyDescent="0.2">
      <c r="F742" s="15"/>
    </row>
    <row r="743" spans="6:6" ht="12.75" x14ac:dyDescent="0.2">
      <c r="F743" s="15"/>
    </row>
    <row r="744" spans="6:6" ht="12.75" x14ac:dyDescent="0.2">
      <c r="F744" s="15"/>
    </row>
    <row r="745" spans="6:6" ht="12.75" x14ac:dyDescent="0.2">
      <c r="F745" s="15"/>
    </row>
    <row r="746" spans="6:6" ht="12.75" x14ac:dyDescent="0.2">
      <c r="F746" s="15"/>
    </row>
    <row r="747" spans="6:6" ht="12.75" x14ac:dyDescent="0.2">
      <c r="F747" s="15"/>
    </row>
    <row r="748" spans="6:6" ht="12.75" x14ac:dyDescent="0.2">
      <c r="F748" s="15"/>
    </row>
    <row r="749" spans="6:6" ht="12.75" x14ac:dyDescent="0.2">
      <c r="F749" s="15"/>
    </row>
    <row r="750" spans="6:6" ht="12.75" x14ac:dyDescent="0.2">
      <c r="F750" s="15"/>
    </row>
    <row r="751" spans="6:6" ht="12.75" x14ac:dyDescent="0.2">
      <c r="F751" s="15"/>
    </row>
    <row r="752" spans="6:6" ht="12.75" x14ac:dyDescent="0.2">
      <c r="F752" s="15"/>
    </row>
    <row r="753" spans="6:6" ht="12.75" x14ac:dyDescent="0.2">
      <c r="F753" s="15"/>
    </row>
    <row r="754" spans="6:6" ht="12.75" x14ac:dyDescent="0.2">
      <c r="F754" s="15"/>
    </row>
    <row r="755" spans="6:6" ht="12.75" x14ac:dyDescent="0.2">
      <c r="F755" s="15"/>
    </row>
    <row r="756" spans="6:6" ht="12.75" x14ac:dyDescent="0.2">
      <c r="F756" s="15"/>
    </row>
    <row r="757" spans="6:6" ht="12.75" x14ac:dyDescent="0.2">
      <c r="F757" s="15"/>
    </row>
    <row r="758" spans="6:6" ht="12.75" x14ac:dyDescent="0.2">
      <c r="F758" s="15"/>
    </row>
    <row r="759" spans="6:6" ht="12.75" x14ac:dyDescent="0.2">
      <c r="F759" s="15"/>
    </row>
    <row r="760" spans="6:6" ht="12.75" x14ac:dyDescent="0.2">
      <c r="F760" s="15"/>
    </row>
    <row r="761" spans="6:6" ht="12.75" x14ac:dyDescent="0.2">
      <c r="F761" s="15"/>
    </row>
    <row r="762" spans="6:6" ht="12.75" x14ac:dyDescent="0.2">
      <c r="F762" s="15"/>
    </row>
    <row r="763" spans="6:6" ht="12.75" x14ac:dyDescent="0.2">
      <c r="F763" s="15"/>
    </row>
    <row r="764" spans="6:6" ht="12.75" x14ac:dyDescent="0.2">
      <c r="F764" s="15"/>
    </row>
    <row r="765" spans="6:6" ht="12.75" x14ac:dyDescent="0.2">
      <c r="F765" s="15"/>
    </row>
    <row r="766" spans="6:6" ht="12.75" x14ac:dyDescent="0.2">
      <c r="F766" s="15"/>
    </row>
    <row r="767" spans="6:6" ht="12.75" x14ac:dyDescent="0.2">
      <c r="F767" s="15"/>
    </row>
    <row r="768" spans="6:6" ht="12.75" x14ac:dyDescent="0.2">
      <c r="F768" s="15"/>
    </row>
    <row r="769" spans="6:6" ht="12.75" x14ac:dyDescent="0.2">
      <c r="F769" s="15"/>
    </row>
    <row r="770" spans="6:6" ht="12.75" x14ac:dyDescent="0.2">
      <c r="F770" s="15"/>
    </row>
    <row r="771" spans="6:6" ht="12.75" x14ac:dyDescent="0.2">
      <c r="F771" s="15"/>
    </row>
    <row r="772" spans="6:6" ht="12.75" x14ac:dyDescent="0.2">
      <c r="F772" s="15"/>
    </row>
    <row r="773" spans="6:6" ht="12.75" x14ac:dyDescent="0.2">
      <c r="F773" s="15"/>
    </row>
    <row r="774" spans="6:6" ht="12.75" x14ac:dyDescent="0.2">
      <c r="F774" s="15"/>
    </row>
    <row r="775" spans="6:6" ht="12.75" x14ac:dyDescent="0.2">
      <c r="F775" s="15"/>
    </row>
    <row r="776" spans="6:6" ht="12.75" x14ac:dyDescent="0.2">
      <c r="F776" s="15"/>
    </row>
    <row r="777" spans="6:6" ht="12.75" x14ac:dyDescent="0.2">
      <c r="F777" s="15"/>
    </row>
    <row r="778" spans="6:6" ht="12.75" x14ac:dyDescent="0.2">
      <c r="F778" s="15"/>
    </row>
    <row r="779" spans="6:6" ht="12.75" x14ac:dyDescent="0.2">
      <c r="F779" s="15"/>
    </row>
    <row r="780" spans="6:6" ht="12.75" x14ac:dyDescent="0.2">
      <c r="F780" s="15"/>
    </row>
    <row r="781" spans="6:6" ht="12.75" x14ac:dyDescent="0.2">
      <c r="F781" s="15"/>
    </row>
    <row r="782" spans="6:6" ht="12.75" x14ac:dyDescent="0.2">
      <c r="F782" s="15"/>
    </row>
    <row r="783" spans="6:6" ht="12.75" x14ac:dyDescent="0.2">
      <c r="F783" s="15"/>
    </row>
    <row r="784" spans="6:6" ht="12.75" x14ac:dyDescent="0.2">
      <c r="F784" s="15"/>
    </row>
    <row r="785" spans="6:6" ht="12.75" x14ac:dyDescent="0.2">
      <c r="F785" s="15"/>
    </row>
    <row r="786" spans="6:6" ht="12.75" x14ac:dyDescent="0.2">
      <c r="F786" s="15"/>
    </row>
    <row r="787" spans="6:6" ht="12.75" x14ac:dyDescent="0.2">
      <c r="F787" s="15"/>
    </row>
    <row r="788" spans="6:6" ht="12.75" x14ac:dyDescent="0.2">
      <c r="F788" s="15"/>
    </row>
    <row r="789" spans="6:6" ht="12.75" x14ac:dyDescent="0.2">
      <c r="F789" s="15"/>
    </row>
    <row r="790" spans="6:6" ht="12.75" x14ac:dyDescent="0.2">
      <c r="F790" s="15"/>
    </row>
    <row r="791" spans="6:6" ht="12.75" x14ac:dyDescent="0.2">
      <c r="F791" s="15"/>
    </row>
    <row r="792" spans="6:6" ht="12.75" x14ac:dyDescent="0.2">
      <c r="F792" s="15"/>
    </row>
    <row r="793" spans="6:6" ht="12.75" x14ac:dyDescent="0.2">
      <c r="F793" s="15"/>
    </row>
    <row r="794" spans="6:6" ht="12.75" x14ac:dyDescent="0.2">
      <c r="F794" s="15"/>
    </row>
    <row r="795" spans="6:6" ht="12.75" x14ac:dyDescent="0.2">
      <c r="F795" s="15"/>
    </row>
    <row r="796" spans="6:6" ht="12.75" x14ac:dyDescent="0.2">
      <c r="F796" s="15"/>
    </row>
    <row r="797" spans="6:6" ht="12.75" x14ac:dyDescent="0.2">
      <c r="F797" s="15"/>
    </row>
    <row r="798" spans="6:6" ht="12.75" x14ac:dyDescent="0.2">
      <c r="F798" s="15"/>
    </row>
    <row r="799" spans="6:6" ht="12.75" x14ac:dyDescent="0.2">
      <c r="F799" s="15"/>
    </row>
    <row r="800" spans="6:6" ht="12.75" x14ac:dyDescent="0.2">
      <c r="F800" s="15"/>
    </row>
    <row r="801" spans="6:6" ht="12.75" x14ac:dyDescent="0.2">
      <c r="F801" s="15"/>
    </row>
    <row r="802" spans="6:6" ht="12.75" x14ac:dyDescent="0.2">
      <c r="F802" s="15"/>
    </row>
    <row r="803" spans="6:6" ht="12.75" x14ac:dyDescent="0.2">
      <c r="F803" s="15"/>
    </row>
    <row r="804" spans="6:6" ht="12.75" x14ac:dyDescent="0.2">
      <c r="F804" s="15"/>
    </row>
    <row r="805" spans="6:6" ht="12.75" x14ac:dyDescent="0.2">
      <c r="F805" s="15"/>
    </row>
    <row r="806" spans="6:6" ht="12.75" x14ac:dyDescent="0.2">
      <c r="F806" s="15"/>
    </row>
    <row r="807" spans="6:6" ht="12.75" x14ac:dyDescent="0.2">
      <c r="F807" s="15"/>
    </row>
    <row r="808" spans="6:6" ht="12.75" x14ac:dyDescent="0.2">
      <c r="F808" s="15"/>
    </row>
    <row r="809" spans="6:6" ht="12.75" x14ac:dyDescent="0.2">
      <c r="F809" s="15"/>
    </row>
    <row r="810" spans="6:6" ht="12.75" x14ac:dyDescent="0.2">
      <c r="F810" s="15"/>
    </row>
    <row r="811" spans="6:6" ht="12.75" x14ac:dyDescent="0.2">
      <c r="F811" s="15"/>
    </row>
    <row r="812" spans="6:6" ht="12.75" x14ac:dyDescent="0.2">
      <c r="F812" s="15"/>
    </row>
    <row r="813" spans="6:6" ht="12.75" x14ac:dyDescent="0.2">
      <c r="F813" s="15"/>
    </row>
    <row r="814" spans="6:6" ht="12.75" x14ac:dyDescent="0.2">
      <c r="F814" s="15"/>
    </row>
    <row r="815" spans="6:6" ht="12.75" x14ac:dyDescent="0.2">
      <c r="F815" s="15"/>
    </row>
    <row r="816" spans="6:6" ht="12.75" x14ac:dyDescent="0.2">
      <c r="F816" s="15"/>
    </row>
    <row r="817" spans="6:6" ht="12.75" x14ac:dyDescent="0.2">
      <c r="F817" s="15"/>
    </row>
    <row r="818" spans="6:6" ht="12.75" x14ac:dyDescent="0.2">
      <c r="F818" s="15"/>
    </row>
    <row r="819" spans="6:6" ht="12.75" x14ac:dyDescent="0.2">
      <c r="F819" s="15"/>
    </row>
    <row r="820" spans="6:6" ht="12.75" x14ac:dyDescent="0.2">
      <c r="F820" s="15"/>
    </row>
    <row r="821" spans="6:6" ht="12.75" x14ac:dyDescent="0.2">
      <c r="F821" s="15"/>
    </row>
    <row r="822" spans="6:6" ht="12.75" x14ac:dyDescent="0.2">
      <c r="F822" s="15"/>
    </row>
    <row r="823" spans="6:6" ht="12.75" x14ac:dyDescent="0.2">
      <c r="F823" s="15"/>
    </row>
    <row r="824" spans="6:6" ht="12.75" x14ac:dyDescent="0.2">
      <c r="F824" s="15"/>
    </row>
    <row r="825" spans="6:6" ht="12.75" x14ac:dyDescent="0.2">
      <c r="F825" s="15"/>
    </row>
    <row r="826" spans="6:6" ht="12.75" x14ac:dyDescent="0.2">
      <c r="F826" s="15"/>
    </row>
    <row r="827" spans="6:6" ht="12.75" x14ac:dyDescent="0.2">
      <c r="F827" s="15"/>
    </row>
    <row r="828" spans="6:6" ht="12.75" x14ac:dyDescent="0.2">
      <c r="F828" s="15"/>
    </row>
    <row r="829" spans="6:6" ht="12.75" x14ac:dyDescent="0.2">
      <c r="F829" s="15"/>
    </row>
    <row r="830" spans="6:6" ht="12.75" x14ac:dyDescent="0.2">
      <c r="F830" s="15"/>
    </row>
    <row r="831" spans="6:6" ht="12.75" x14ac:dyDescent="0.2">
      <c r="F831" s="15"/>
    </row>
    <row r="832" spans="6:6" ht="12.75" x14ac:dyDescent="0.2">
      <c r="F832" s="15"/>
    </row>
    <row r="833" spans="6:6" ht="12.75" x14ac:dyDescent="0.2">
      <c r="F833" s="15"/>
    </row>
    <row r="834" spans="6:6" ht="12.75" x14ac:dyDescent="0.2">
      <c r="F834" s="15"/>
    </row>
    <row r="835" spans="6:6" ht="12.75" x14ac:dyDescent="0.2">
      <c r="F835" s="15"/>
    </row>
    <row r="836" spans="6:6" ht="12.75" x14ac:dyDescent="0.2">
      <c r="F836" s="15"/>
    </row>
    <row r="837" spans="6:6" ht="12.75" x14ac:dyDescent="0.2">
      <c r="F837" s="15"/>
    </row>
    <row r="838" spans="6:6" ht="12.75" x14ac:dyDescent="0.2">
      <c r="F838" s="15"/>
    </row>
    <row r="839" spans="6:6" ht="12.75" x14ac:dyDescent="0.2">
      <c r="F839" s="15"/>
    </row>
    <row r="840" spans="6:6" ht="12.75" x14ac:dyDescent="0.2">
      <c r="F840" s="15"/>
    </row>
    <row r="841" spans="6:6" ht="12.75" x14ac:dyDescent="0.2">
      <c r="F841" s="15"/>
    </row>
    <row r="842" spans="6:6" ht="12.75" x14ac:dyDescent="0.2">
      <c r="F842" s="15"/>
    </row>
    <row r="843" spans="6:6" ht="12.75" x14ac:dyDescent="0.2">
      <c r="F843" s="15"/>
    </row>
    <row r="844" spans="6:6" ht="12.75" x14ac:dyDescent="0.2">
      <c r="F844" s="15"/>
    </row>
    <row r="845" spans="6:6" ht="12.75" x14ac:dyDescent="0.2">
      <c r="F845" s="15"/>
    </row>
    <row r="846" spans="6:6" ht="12.75" x14ac:dyDescent="0.2">
      <c r="F846" s="15"/>
    </row>
    <row r="847" spans="6:6" ht="12.75" x14ac:dyDescent="0.2">
      <c r="F847" s="15"/>
    </row>
    <row r="848" spans="6:6" ht="12.75" x14ac:dyDescent="0.2">
      <c r="F848" s="15"/>
    </row>
    <row r="849" spans="6:6" ht="12.75" x14ac:dyDescent="0.2">
      <c r="F849" s="15"/>
    </row>
    <row r="850" spans="6:6" ht="12.75" x14ac:dyDescent="0.2">
      <c r="F850" s="15"/>
    </row>
    <row r="851" spans="6:6" ht="12.75" x14ac:dyDescent="0.2">
      <c r="F851" s="15"/>
    </row>
    <row r="852" spans="6:6" ht="12.75" x14ac:dyDescent="0.2">
      <c r="F852" s="15"/>
    </row>
    <row r="853" spans="6:6" ht="12.75" x14ac:dyDescent="0.2">
      <c r="F853" s="15"/>
    </row>
    <row r="854" spans="6:6" ht="12.75" x14ac:dyDescent="0.2">
      <c r="F854" s="15"/>
    </row>
    <row r="855" spans="6:6" ht="12.75" x14ac:dyDescent="0.2">
      <c r="F855" s="15"/>
    </row>
    <row r="856" spans="6:6" ht="12.75" x14ac:dyDescent="0.2">
      <c r="F856" s="15"/>
    </row>
    <row r="857" spans="6:6" ht="12.75" x14ac:dyDescent="0.2">
      <c r="F857" s="15"/>
    </row>
    <row r="858" spans="6:6" ht="12.75" x14ac:dyDescent="0.2">
      <c r="F858" s="15"/>
    </row>
    <row r="859" spans="6:6" ht="12.75" x14ac:dyDescent="0.2">
      <c r="F859" s="15"/>
    </row>
    <row r="860" spans="6:6" ht="12.75" x14ac:dyDescent="0.2">
      <c r="F860" s="15"/>
    </row>
    <row r="861" spans="6:6" ht="12.75" x14ac:dyDescent="0.2">
      <c r="F861" s="15"/>
    </row>
    <row r="862" spans="6:6" ht="12.75" x14ac:dyDescent="0.2">
      <c r="F862" s="15"/>
    </row>
    <row r="863" spans="6:6" ht="12.75" x14ac:dyDescent="0.2">
      <c r="F863" s="15"/>
    </row>
    <row r="864" spans="6:6" ht="12.75" x14ac:dyDescent="0.2">
      <c r="F864" s="15"/>
    </row>
    <row r="865" spans="6:6" ht="12.75" x14ac:dyDescent="0.2">
      <c r="F865" s="15"/>
    </row>
    <row r="866" spans="6:6" ht="12.75" x14ac:dyDescent="0.2">
      <c r="F866" s="15"/>
    </row>
    <row r="867" spans="6:6" ht="12.75" x14ac:dyDescent="0.2">
      <c r="F867" s="15"/>
    </row>
    <row r="868" spans="6:6" ht="12.75" x14ac:dyDescent="0.2">
      <c r="F868" s="15"/>
    </row>
    <row r="869" spans="6:6" ht="12.75" x14ac:dyDescent="0.2">
      <c r="F869" s="15"/>
    </row>
    <row r="870" spans="6:6" ht="12.75" x14ac:dyDescent="0.2">
      <c r="F870" s="15"/>
    </row>
    <row r="871" spans="6:6" ht="12.75" x14ac:dyDescent="0.2">
      <c r="F871" s="15"/>
    </row>
    <row r="872" spans="6:6" ht="12.75" x14ac:dyDescent="0.2">
      <c r="F872" s="15"/>
    </row>
    <row r="873" spans="6:6" ht="12.75" x14ac:dyDescent="0.2">
      <c r="F873" s="15"/>
    </row>
    <row r="874" spans="6:6" ht="12.75" x14ac:dyDescent="0.2">
      <c r="F874" s="15"/>
    </row>
    <row r="875" spans="6:6" ht="12.75" x14ac:dyDescent="0.2">
      <c r="F875" s="15"/>
    </row>
    <row r="876" spans="6:6" ht="12.75" x14ac:dyDescent="0.2">
      <c r="F876" s="15"/>
    </row>
    <row r="877" spans="6:6" ht="12.75" x14ac:dyDescent="0.2">
      <c r="F877" s="15"/>
    </row>
    <row r="878" spans="6:6" ht="12.75" x14ac:dyDescent="0.2">
      <c r="F878" s="15"/>
    </row>
    <row r="879" spans="6:6" ht="12.75" x14ac:dyDescent="0.2">
      <c r="F879" s="15"/>
    </row>
    <row r="880" spans="6:6" ht="12.75" x14ac:dyDescent="0.2">
      <c r="F880" s="15"/>
    </row>
    <row r="881" spans="6:6" ht="12.75" x14ac:dyDescent="0.2">
      <c r="F881" s="15"/>
    </row>
    <row r="882" spans="6:6" ht="12.75" x14ac:dyDescent="0.2">
      <c r="F882" s="15"/>
    </row>
    <row r="883" spans="6:6" ht="12.75" x14ac:dyDescent="0.2">
      <c r="F883" s="15"/>
    </row>
    <row r="884" spans="6:6" ht="12.75" x14ac:dyDescent="0.2">
      <c r="F884" s="15"/>
    </row>
    <row r="885" spans="6:6" ht="12.75" x14ac:dyDescent="0.2">
      <c r="F885" s="15"/>
    </row>
    <row r="886" spans="6:6" ht="12.75" x14ac:dyDescent="0.2">
      <c r="F886" s="15"/>
    </row>
    <row r="887" spans="6:6" ht="12.75" x14ac:dyDescent="0.2">
      <c r="F887" s="15"/>
    </row>
    <row r="888" spans="6:6" ht="12.75" x14ac:dyDescent="0.2">
      <c r="F888" s="15"/>
    </row>
    <row r="889" spans="6:6" ht="12.75" x14ac:dyDescent="0.2">
      <c r="F889" s="15"/>
    </row>
    <row r="890" spans="6:6" ht="12.75" x14ac:dyDescent="0.2">
      <c r="F890" s="15"/>
    </row>
    <row r="891" spans="6:6" ht="12.75" x14ac:dyDescent="0.2">
      <c r="F891" s="15"/>
    </row>
    <row r="892" spans="6:6" ht="12.75" x14ac:dyDescent="0.2">
      <c r="F892" s="15"/>
    </row>
    <row r="893" spans="6:6" ht="12.75" x14ac:dyDescent="0.2">
      <c r="F893" s="15"/>
    </row>
    <row r="894" spans="6:6" ht="12.75" x14ac:dyDescent="0.2">
      <c r="F894" s="15"/>
    </row>
    <row r="895" spans="6:6" ht="12.75" x14ac:dyDescent="0.2">
      <c r="F895" s="15"/>
    </row>
    <row r="896" spans="6:6" ht="12.75" x14ac:dyDescent="0.2">
      <c r="F896" s="15"/>
    </row>
    <row r="897" spans="6:6" ht="12.75" x14ac:dyDescent="0.2">
      <c r="F897" s="15"/>
    </row>
    <row r="898" spans="6:6" ht="12.75" x14ac:dyDescent="0.2">
      <c r="F898" s="15"/>
    </row>
    <row r="899" spans="6:6" ht="12.75" x14ac:dyDescent="0.2">
      <c r="F899" s="15"/>
    </row>
    <row r="900" spans="6:6" ht="12.75" x14ac:dyDescent="0.2">
      <c r="F900" s="15"/>
    </row>
    <row r="901" spans="6:6" ht="12.75" x14ac:dyDescent="0.2">
      <c r="F901" s="15"/>
    </row>
    <row r="902" spans="6:6" ht="12.75" x14ac:dyDescent="0.2">
      <c r="F902" s="15"/>
    </row>
    <row r="903" spans="6:6" ht="12.75" x14ac:dyDescent="0.2">
      <c r="F903" s="15"/>
    </row>
    <row r="904" spans="6:6" ht="12.75" x14ac:dyDescent="0.2">
      <c r="F904" s="15"/>
    </row>
    <row r="905" spans="6:6" ht="12.75" x14ac:dyDescent="0.2">
      <c r="F905" s="15"/>
    </row>
    <row r="906" spans="6:6" ht="12.75" x14ac:dyDescent="0.2">
      <c r="F906" s="15"/>
    </row>
    <row r="907" spans="6:6" ht="12.75" x14ac:dyDescent="0.2">
      <c r="F907" s="15"/>
    </row>
    <row r="908" spans="6:6" ht="12.75" x14ac:dyDescent="0.2">
      <c r="F908" s="15"/>
    </row>
    <row r="909" spans="6:6" ht="12.75" x14ac:dyDescent="0.2">
      <c r="F909" s="15"/>
    </row>
    <row r="910" spans="6:6" ht="12.75" x14ac:dyDescent="0.2">
      <c r="F910" s="15"/>
    </row>
    <row r="911" spans="6:6" ht="12.75" x14ac:dyDescent="0.2">
      <c r="F911" s="15"/>
    </row>
    <row r="912" spans="6:6" ht="12.75" x14ac:dyDescent="0.2">
      <c r="F912" s="15"/>
    </row>
    <row r="913" spans="6:6" ht="12.75" x14ac:dyDescent="0.2">
      <c r="F913" s="15"/>
    </row>
    <row r="914" spans="6:6" ht="12.75" x14ac:dyDescent="0.2">
      <c r="F914" s="15"/>
    </row>
    <row r="915" spans="6:6" ht="12.75" x14ac:dyDescent="0.2">
      <c r="F915" s="15"/>
    </row>
    <row r="916" spans="6:6" ht="12.75" x14ac:dyDescent="0.2">
      <c r="F916" s="15"/>
    </row>
    <row r="917" spans="6:6" ht="12.75" x14ac:dyDescent="0.2">
      <c r="F917" s="15"/>
    </row>
    <row r="918" spans="6:6" ht="12.75" x14ac:dyDescent="0.2">
      <c r="F918" s="15"/>
    </row>
    <row r="919" spans="6:6" ht="12.75" x14ac:dyDescent="0.2">
      <c r="F919" s="15"/>
    </row>
    <row r="920" spans="6:6" ht="12.75" x14ac:dyDescent="0.2">
      <c r="F920" s="15"/>
    </row>
    <row r="921" spans="6:6" ht="12.75" x14ac:dyDescent="0.2">
      <c r="F921" s="15"/>
    </row>
    <row r="922" spans="6:6" ht="12.75" x14ac:dyDescent="0.2">
      <c r="F922" s="15"/>
    </row>
    <row r="923" spans="6:6" ht="12.75" x14ac:dyDescent="0.2">
      <c r="F923" s="15"/>
    </row>
    <row r="924" spans="6:6" ht="12.75" x14ac:dyDescent="0.2">
      <c r="F924" s="15"/>
    </row>
    <row r="925" spans="6:6" ht="12.75" x14ac:dyDescent="0.2">
      <c r="F925" s="15"/>
    </row>
    <row r="926" spans="6:6" ht="12.75" x14ac:dyDescent="0.2">
      <c r="F926" s="15"/>
    </row>
    <row r="927" spans="6:6" ht="12.75" x14ac:dyDescent="0.2">
      <c r="F927" s="15"/>
    </row>
    <row r="928" spans="6:6" ht="12.75" x14ac:dyDescent="0.2">
      <c r="F928" s="15"/>
    </row>
    <row r="929" spans="6:6" ht="12.75" x14ac:dyDescent="0.2">
      <c r="F929" s="15"/>
    </row>
    <row r="930" spans="6:6" ht="12.75" x14ac:dyDescent="0.2">
      <c r="F930" s="15"/>
    </row>
    <row r="931" spans="6:6" ht="12.75" x14ac:dyDescent="0.2">
      <c r="F931" s="15"/>
    </row>
    <row r="932" spans="6:6" ht="12.75" x14ac:dyDescent="0.2">
      <c r="F932" s="15"/>
    </row>
    <row r="933" spans="6:6" ht="12.75" x14ac:dyDescent="0.2">
      <c r="F933" s="15"/>
    </row>
    <row r="934" spans="6:6" ht="12.75" x14ac:dyDescent="0.2">
      <c r="F934" s="15"/>
    </row>
    <row r="935" spans="6:6" ht="12.75" x14ac:dyDescent="0.2">
      <c r="F935" s="15"/>
    </row>
    <row r="936" spans="6:6" ht="12.75" x14ac:dyDescent="0.2">
      <c r="F936" s="15"/>
    </row>
    <row r="937" spans="6:6" ht="12.75" x14ac:dyDescent="0.2">
      <c r="F937" s="15"/>
    </row>
    <row r="938" spans="6:6" ht="12.75" x14ac:dyDescent="0.2">
      <c r="F938" s="15"/>
    </row>
    <row r="939" spans="6:6" ht="12.75" x14ac:dyDescent="0.2">
      <c r="F939" s="15"/>
    </row>
    <row r="940" spans="6:6" ht="12.75" x14ac:dyDescent="0.2">
      <c r="F940" s="15"/>
    </row>
    <row r="941" spans="6:6" ht="12.75" x14ac:dyDescent="0.2">
      <c r="F941" s="15"/>
    </row>
    <row r="942" spans="6:6" ht="12.75" x14ac:dyDescent="0.2">
      <c r="F942" s="15"/>
    </row>
    <row r="943" spans="6:6" ht="12.75" x14ac:dyDescent="0.2">
      <c r="F943" s="15"/>
    </row>
    <row r="944" spans="6:6" ht="12.75" x14ac:dyDescent="0.2">
      <c r="F944" s="15"/>
    </row>
    <row r="945" spans="6:6" ht="12.75" x14ac:dyDescent="0.2">
      <c r="F945" s="15"/>
    </row>
    <row r="946" spans="6:6" ht="12.75" x14ac:dyDescent="0.2">
      <c r="F946" s="15"/>
    </row>
    <row r="947" spans="6:6" ht="12.75" x14ac:dyDescent="0.2">
      <c r="F947" s="15"/>
    </row>
    <row r="948" spans="6:6" ht="12.75" x14ac:dyDescent="0.2">
      <c r="F948" s="15"/>
    </row>
    <row r="949" spans="6:6" ht="12.75" x14ac:dyDescent="0.2">
      <c r="F949" s="15"/>
    </row>
    <row r="950" spans="6:6" ht="12.75" x14ac:dyDescent="0.2">
      <c r="F950" s="15"/>
    </row>
    <row r="951" spans="6:6" ht="12.75" x14ac:dyDescent="0.2">
      <c r="F951" s="15"/>
    </row>
    <row r="952" spans="6:6" ht="12.75" x14ac:dyDescent="0.2">
      <c r="F952" s="15"/>
    </row>
    <row r="953" spans="6:6" ht="12.75" x14ac:dyDescent="0.2">
      <c r="F953" s="15"/>
    </row>
    <row r="954" spans="6:6" ht="12.75" x14ac:dyDescent="0.2">
      <c r="F954" s="15"/>
    </row>
    <row r="955" spans="6:6" ht="12.75" x14ac:dyDescent="0.2">
      <c r="F955" s="15"/>
    </row>
    <row r="956" spans="6:6" ht="12.75" x14ac:dyDescent="0.2">
      <c r="F956" s="15"/>
    </row>
    <row r="957" spans="6:6" ht="12.75" x14ac:dyDescent="0.2">
      <c r="F957" s="15"/>
    </row>
    <row r="958" spans="6:6" ht="12.75" x14ac:dyDescent="0.2">
      <c r="F958" s="15"/>
    </row>
    <row r="959" spans="6:6" ht="12.75" x14ac:dyDescent="0.2">
      <c r="F959" s="15"/>
    </row>
    <row r="960" spans="6:6" ht="12.75" x14ac:dyDescent="0.2">
      <c r="F960" s="15"/>
    </row>
    <row r="961" spans="6:6" ht="12.75" x14ac:dyDescent="0.2">
      <c r="F961" s="15"/>
    </row>
    <row r="962" spans="6:6" ht="12.75" x14ac:dyDescent="0.2">
      <c r="F962" s="15"/>
    </row>
    <row r="963" spans="6:6" ht="12.75" x14ac:dyDescent="0.2">
      <c r="F963" s="15"/>
    </row>
    <row r="964" spans="6:6" ht="12.75" x14ac:dyDescent="0.2">
      <c r="F964" s="15"/>
    </row>
    <row r="965" spans="6:6" ht="12.75" x14ac:dyDescent="0.2">
      <c r="F965" s="15"/>
    </row>
    <row r="966" spans="6:6" ht="12.75" x14ac:dyDescent="0.2">
      <c r="F966" s="15"/>
    </row>
    <row r="967" spans="6:6" ht="12.75" x14ac:dyDescent="0.2">
      <c r="F967" s="15"/>
    </row>
    <row r="968" spans="6:6" ht="12.75" x14ac:dyDescent="0.2">
      <c r="F968" s="15"/>
    </row>
    <row r="969" spans="6:6" ht="12.75" x14ac:dyDescent="0.2">
      <c r="F969" s="15"/>
    </row>
    <row r="970" spans="6:6" ht="12.75" x14ac:dyDescent="0.2">
      <c r="F970" s="15"/>
    </row>
    <row r="971" spans="6:6" ht="12.75" x14ac:dyDescent="0.2">
      <c r="F971" s="15"/>
    </row>
    <row r="972" spans="6:6" ht="12.75" x14ac:dyDescent="0.2">
      <c r="F972" s="15"/>
    </row>
    <row r="973" spans="6:6" ht="12.75" x14ac:dyDescent="0.2">
      <c r="F973" s="15"/>
    </row>
    <row r="974" spans="6:6" ht="12.75" x14ac:dyDescent="0.2">
      <c r="F974" s="15"/>
    </row>
    <row r="975" spans="6:6" ht="12.75" x14ac:dyDescent="0.2">
      <c r="F975" s="15"/>
    </row>
    <row r="976" spans="6:6" ht="12.75" x14ac:dyDescent="0.2">
      <c r="F976" s="15"/>
    </row>
    <row r="977" spans="6:6" ht="12.75" x14ac:dyDescent="0.2">
      <c r="F977" s="15"/>
    </row>
    <row r="978" spans="6:6" ht="12.75" x14ac:dyDescent="0.2">
      <c r="F978" s="15"/>
    </row>
    <row r="979" spans="6:6" ht="12.75" x14ac:dyDescent="0.2">
      <c r="F979" s="15"/>
    </row>
    <row r="980" spans="6:6" ht="12.75" x14ac:dyDescent="0.2">
      <c r="F980" s="15"/>
    </row>
    <row r="981" spans="6:6" ht="12.75" x14ac:dyDescent="0.2">
      <c r="F981" s="15"/>
    </row>
    <row r="982" spans="6:6" ht="12.75" x14ac:dyDescent="0.2">
      <c r="F982" s="15"/>
    </row>
    <row r="983" spans="6:6" ht="12.75" x14ac:dyDescent="0.2">
      <c r="F983" s="15"/>
    </row>
    <row r="984" spans="6:6" ht="12.75" x14ac:dyDescent="0.2">
      <c r="F984" s="15"/>
    </row>
    <row r="985" spans="6:6" ht="12.75" x14ac:dyDescent="0.2">
      <c r="F985" s="15"/>
    </row>
    <row r="986" spans="6:6" ht="12.75" x14ac:dyDescent="0.2">
      <c r="F986" s="15"/>
    </row>
    <row r="987" spans="6:6" ht="12.75" x14ac:dyDescent="0.2">
      <c r="F987" s="15"/>
    </row>
    <row r="988" spans="6:6" ht="12.75" x14ac:dyDescent="0.2">
      <c r="F988" s="15"/>
    </row>
    <row r="989" spans="6:6" ht="12.75" x14ac:dyDescent="0.2">
      <c r="F989" s="15"/>
    </row>
    <row r="990" spans="6:6" ht="12.75" x14ac:dyDescent="0.2">
      <c r="F990" s="15"/>
    </row>
    <row r="991" spans="6:6" ht="12.75" x14ac:dyDescent="0.2">
      <c r="F991" s="15"/>
    </row>
    <row r="992" spans="6:6" ht="12.75" x14ac:dyDescent="0.2">
      <c r="F992" s="15"/>
    </row>
    <row r="993" spans="6:6" ht="12.75" x14ac:dyDescent="0.2">
      <c r="F993" s="15"/>
    </row>
    <row r="994" spans="6:6" ht="12.75" x14ac:dyDescent="0.2">
      <c r="F994" s="15"/>
    </row>
    <row r="995" spans="6:6" ht="12.75" x14ac:dyDescent="0.2">
      <c r="F995" s="15"/>
    </row>
    <row r="996" spans="6:6" ht="12.75" x14ac:dyDescent="0.2">
      <c r="F996" s="15"/>
    </row>
  </sheetData>
  <autoFilter ref="A3:F270" xr:uid="{00000000-0009-0000-0000-000005000000}"/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'Copia de Localidades'!$A$5:$A$102</xm:f>
          </x14:formula1>
          <xm:sqref>H46:H270 C271:C434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7"/>
  <sheetViews>
    <sheetView workbookViewId="0"/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17.42578125" customWidth="1"/>
    <col min="8" max="8" width="10.28515625" customWidth="1"/>
    <col min="9" max="9" width="29.28515625" customWidth="1"/>
    <col min="10" max="10" width="39.28515625" customWidth="1"/>
  </cols>
  <sheetData>
    <row r="1" spans="1:10" ht="15.75" customHeight="1" x14ac:dyDescent="0.2">
      <c r="G1" s="13"/>
    </row>
    <row r="2" spans="1:10" ht="15.75" customHeight="1" x14ac:dyDescent="0.2">
      <c r="G2" s="13"/>
    </row>
    <row r="3" spans="1:10" ht="15.75" customHeight="1" x14ac:dyDescent="0.2">
      <c r="G3" s="13"/>
      <c r="I3" s="14" t="s">
        <v>0</v>
      </c>
      <c r="J3" s="14" t="s">
        <v>1</v>
      </c>
    </row>
    <row r="4" spans="1:10" ht="15.75" customHeight="1" x14ac:dyDescent="0.2">
      <c r="G4" s="13"/>
      <c r="I4" s="3" t="s">
        <v>2</v>
      </c>
      <c r="J4" s="3" t="s">
        <v>3</v>
      </c>
    </row>
    <row r="5" spans="1:10" ht="15.75" customHeight="1" x14ac:dyDescent="0.2">
      <c r="A5" s="31" t="s">
        <v>4</v>
      </c>
      <c r="B5" s="31" t="s">
        <v>5</v>
      </c>
      <c r="C5" s="31" t="s">
        <v>2</v>
      </c>
      <c r="D5" s="31" t="s">
        <v>1</v>
      </c>
      <c r="E5" s="31" t="s">
        <v>7</v>
      </c>
      <c r="F5" s="31" t="s">
        <v>8</v>
      </c>
      <c r="G5" s="13"/>
      <c r="I5" s="3" t="s">
        <v>10</v>
      </c>
      <c r="J5" s="3" t="s">
        <v>11</v>
      </c>
    </row>
    <row r="6" spans="1:10" ht="15.75" customHeight="1" x14ac:dyDescent="0.2">
      <c r="A6" s="3">
        <v>1</v>
      </c>
      <c r="B6" s="3" t="s">
        <v>12</v>
      </c>
      <c r="C6" s="3" t="s">
        <v>2</v>
      </c>
      <c r="D6" s="3" t="s">
        <v>3</v>
      </c>
      <c r="E6" s="3">
        <v>484</v>
      </c>
      <c r="G6" s="13"/>
      <c r="I6" s="3" t="s">
        <v>13</v>
      </c>
      <c r="J6" s="3" t="s">
        <v>14</v>
      </c>
    </row>
    <row r="7" spans="1:10" ht="15.75" customHeight="1" x14ac:dyDescent="0.2">
      <c r="A7" s="3">
        <v>1</v>
      </c>
      <c r="B7" s="3" t="s">
        <v>12</v>
      </c>
      <c r="C7" s="3" t="s">
        <v>2</v>
      </c>
      <c r="D7" s="3" t="s">
        <v>132</v>
      </c>
      <c r="E7" s="3">
        <v>330</v>
      </c>
      <c r="G7" s="13"/>
      <c r="I7" s="3" t="s">
        <v>15</v>
      </c>
      <c r="J7" s="3" t="s">
        <v>16</v>
      </c>
    </row>
    <row r="8" spans="1:10" ht="15.75" customHeight="1" x14ac:dyDescent="0.2">
      <c r="A8" s="3">
        <v>1</v>
      </c>
      <c r="B8" s="3" t="s">
        <v>12</v>
      </c>
      <c r="C8" s="3" t="s">
        <v>2</v>
      </c>
      <c r="D8" s="3" t="s">
        <v>338</v>
      </c>
      <c r="E8" s="3">
        <v>390</v>
      </c>
      <c r="G8" s="13"/>
      <c r="I8" s="3" t="s">
        <v>162</v>
      </c>
      <c r="J8" s="3" t="s">
        <v>18</v>
      </c>
    </row>
    <row r="9" spans="1:10" ht="15.75" customHeight="1" x14ac:dyDescent="0.2">
      <c r="A9" s="3">
        <v>1</v>
      </c>
      <c r="B9" s="3" t="s">
        <v>12</v>
      </c>
      <c r="C9" s="3" t="s">
        <v>2</v>
      </c>
      <c r="D9" s="3" t="s">
        <v>14</v>
      </c>
      <c r="E9" s="3">
        <v>56</v>
      </c>
      <c r="F9">
        <f>SUM(E6:E9)</f>
        <v>1260</v>
      </c>
      <c r="G9" s="13"/>
      <c r="I9" s="3" t="s">
        <v>17</v>
      </c>
      <c r="J9" s="3" t="s">
        <v>19</v>
      </c>
    </row>
    <row r="10" spans="1:10" ht="15.75" customHeight="1" x14ac:dyDescent="0.2">
      <c r="A10" s="3">
        <v>1</v>
      </c>
      <c r="B10" s="3" t="s">
        <v>12</v>
      </c>
      <c r="C10" s="3" t="s">
        <v>10</v>
      </c>
      <c r="D10" s="3" t="s">
        <v>3</v>
      </c>
      <c r="E10" s="3">
        <v>427</v>
      </c>
      <c r="G10" s="13"/>
      <c r="I10" s="3" t="s">
        <v>161</v>
      </c>
      <c r="J10" s="3" t="s">
        <v>274</v>
      </c>
    </row>
    <row r="11" spans="1:10" ht="15.75" customHeight="1" x14ac:dyDescent="0.2">
      <c r="A11" s="3">
        <v>1</v>
      </c>
      <c r="B11" s="3" t="s">
        <v>12</v>
      </c>
      <c r="C11" s="3" t="s">
        <v>10</v>
      </c>
      <c r="D11" s="3" t="s">
        <v>132</v>
      </c>
      <c r="E11" s="3">
        <v>384</v>
      </c>
      <c r="G11" s="13"/>
      <c r="J11" s="3" t="s">
        <v>20</v>
      </c>
    </row>
    <row r="12" spans="1:10" ht="15.75" customHeight="1" x14ac:dyDescent="0.2">
      <c r="A12" s="3">
        <v>1</v>
      </c>
      <c r="B12" s="3" t="s">
        <v>12</v>
      </c>
      <c r="C12" s="3" t="s">
        <v>10</v>
      </c>
      <c r="D12" s="3" t="s">
        <v>338</v>
      </c>
      <c r="E12" s="3">
        <v>352</v>
      </c>
      <c r="G12" s="13"/>
      <c r="J12" s="3" t="s">
        <v>21</v>
      </c>
    </row>
    <row r="13" spans="1:10" ht="15.75" customHeight="1" x14ac:dyDescent="0.2">
      <c r="A13" s="3">
        <v>1</v>
      </c>
      <c r="B13" s="3" t="s">
        <v>12</v>
      </c>
      <c r="C13" s="3" t="s">
        <v>10</v>
      </c>
      <c r="D13" s="3" t="s">
        <v>14</v>
      </c>
      <c r="E13" s="3">
        <v>97</v>
      </c>
      <c r="F13">
        <f>SUM(E10:E13)</f>
        <v>1260</v>
      </c>
      <c r="G13" s="13"/>
      <c r="J13" s="3" t="s">
        <v>22</v>
      </c>
    </row>
    <row r="14" spans="1:10" ht="15.75" customHeight="1" x14ac:dyDescent="0.2">
      <c r="A14" s="3">
        <v>1</v>
      </c>
      <c r="B14" s="3" t="s">
        <v>12</v>
      </c>
      <c r="C14" s="3" t="s">
        <v>13</v>
      </c>
      <c r="D14" s="3" t="s">
        <v>3</v>
      </c>
      <c r="E14" s="3">
        <v>432</v>
      </c>
      <c r="G14" s="13"/>
      <c r="J14" s="3" t="s">
        <v>275</v>
      </c>
    </row>
    <row r="15" spans="1:10" ht="15.75" customHeight="1" x14ac:dyDescent="0.2">
      <c r="A15" s="3">
        <v>1</v>
      </c>
      <c r="B15" s="3" t="s">
        <v>12</v>
      </c>
      <c r="C15" s="3" t="s">
        <v>13</v>
      </c>
      <c r="D15" s="3" t="s">
        <v>132</v>
      </c>
      <c r="E15" s="3">
        <v>322</v>
      </c>
      <c r="G15" s="13"/>
      <c r="J15" s="3" t="s">
        <v>276</v>
      </c>
    </row>
    <row r="16" spans="1:10" ht="15.75" customHeight="1" x14ac:dyDescent="0.2">
      <c r="A16" s="3">
        <v>1</v>
      </c>
      <c r="B16" s="3" t="s">
        <v>12</v>
      </c>
      <c r="C16" s="3" t="s">
        <v>13</v>
      </c>
      <c r="D16" s="3" t="s">
        <v>338</v>
      </c>
      <c r="E16" s="3">
        <v>387</v>
      </c>
      <c r="G16" s="13"/>
      <c r="J16" s="3" t="s">
        <v>23</v>
      </c>
    </row>
    <row r="17" spans="1:10" ht="15.75" customHeight="1" x14ac:dyDescent="0.2">
      <c r="A17" s="3">
        <v>1</v>
      </c>
      <c r="B17" s="3" t="s">
        <v>12</v>
      </c>
      <c r="C17" s="3" t="s">
        <v>13</v>
      </c>
      <c r="D17" s="3" t="s">
        <v>14</v>
      </c>
      <c r="E17" s="3">
        <v>120</v>
      </c>
      <c r="F17">
        <f>SUM(E14:E17)</f>
        <v>1261</v>
      </c>
      <c r="G17" s="13"/>
      <c r="J17" s="3" t="s">
        <v>24</v>
      </c>
    </row>
    <row r="18" spans="1:10" ht="15.75" customHeight="1" x14ac:dyDescent="0.2">
      <c r="A18" s="3">
        <v>2</v>
      </c>
      <c r="B18" s="3" t="s">
        <v>25</v>
      </c>
      <c r="C18" s="3" t="s">
        <v>2</v>
      </c>
      <c r="D18" s="3" t="s">
        <v>3</v>
      </c>
      <c r="E18" s="3">
        <v>1840</v>
      </c>
      <c r="G18" s="13"/>
      <c r="J18" s="3" t="s">
        <v>26</v>
      </c>
    </row>
    <row r="19" spans="1:10" ht="15.75" customHeight="1" x14ac:dyDescent="0.2">
      <c r="A19" s="3">
        <v>2</v>
      </c>
      <c r="B19" s="3" t="s">
        <v>25</v>
      </c>
      <c r="C19" s="3" t="s">
        <v>2</v>
      </c>
      <c r="D19" s="3" t="s">
        <v>132</v>
      </c>
      <c r="E19" s="3">
        <v>1356</v>
      </c>
      <c r="G19" s="13"/>
      <c r="J19" s="3" t="s">
        <v>141</v>
      </c>
    </row>
    <row r="20" spans="1:10" ht="15.75" customHeight="1" x14ac:dyDescent="0.2">
      <c r="A20" s="3">
        <v>2</v>
      </c>
      <c r="B20" s="3" t="s">
        <v>25</v>
      </c>
      <c r="C20" s="3" t="s">
        <v>2</v>
      </c>
      <c r="D20" s="3" t="s">
        <v>338</v>
      </c>
      <c r="E20" s="3">
        <v>225</v>
      </c>
      <c r="G20" s="13"/>
      <c r="J20" s="3" t="s">
        <v>27</v>
      </c>
    </row>
    <row r="21" spans="1:10" ht="15.75" customHeight="1" x14ac:dyDescent="0.2">
      <c r="A21" s="3">
        <v>2</v>
      </c>
      <c r="B21" s="3" t="s">
        <v>25</v>
      </c>
      <c r="C21" s="3" t="s">
        <v>2</v>
      </c>
      <c r="D21" s="3" t="s">
        <v>14</v>
      </c>
      <c r="E21" s="3">
        <v>189</v>
      </c>
      <c r="F21">
        <f>SUM(E18:E21)</f>
        <v>3610</v>
      </c>
      <c r="G21" s="13"/>
      <c r="J21" s="3" t="s">
        <v>28</v>
      </c>
    </row>
    <row r="22" spans="1:10" ht="15.75" customHeight="1" x14ac:dyDescent="0.2">
      <c r="A22" s="3">
        <v>2</v>
      </c>
      <c r="B22" s="3" t="s">
        <v>25</v>
      </c>
      <c r="C22" s="3" t="s">
        <v>10</v>
      </c>
      <c r="D22" s="3" t="s">
        <v>3</v>
      </c>
      <c r="E22" s="3">
        <v>1774</v>
      </c>
      <c r="G22" s="13"/>
      <c r="J22" s="3" t="s">
        <v>29</v>
      </c>
    </row>
    <row r="23" spans="1:10" ht="15.75" customHeight="1" x14ac:dyDescent="0.2">
      <c r="A23" s="3">
        <v>2</v>
      </c>
      <c r="B23" s="3" t="s">
        <v>25</v>
      </c>
      <c r="C23" s="3" t="s">
        <v>10</v>
      </c>
      <c r="D23" s="3" t="s">
        <v>132</v>
      </c>
      <c r="E23" s="3">
        <v>1293</v>
      </c>
      <c r="G23" s="13"/>
      <c r="J23" s="3" t="s">
        <v>278</v>
      </c>
    </row>
    <row r="24" spans="1:10" ht="15.75" customHeight="1" x14ac:dyDescent="0.2">
      <c r="A24" s="3">
        <v>2</v>
      </c>
      <c r="B24" s="3" t="s">
        <v>25</v>
      </c>
      <c r="C24" s="3" t="s">
        <v>10</v>
      </c>
      <c r="D24" s="3" t="s">
        <v>338</v>
      </c>
      <c r="E24" s="3">
        <v>292</v>
      </c>
      <c r="G24" s="13"/>
      <c r="J24" s="3" t="s">
        <v>144</v>
      </c>
    </row>
    <row r="25" spans="1:10" ht="15.75" customHeight="1" x14ac:dyDescent="0.2">
      <c r="A25" s="3">
        <v>2</v>
      </c>
      <c r="B25" s="3" t="s">
        <v>25</v>
      </c>
      <c r="C25" s="3" t="s">
        <v>10</v>
      </c>
      <c r="D25" s="3" t="s">
        <v>14</v>
      </c>
      <c r="E25" s="3">
        <v>251</v>
      </c>
      <c r="F25">
        <f>SUM(E22:E25)</f>
        <v>3610</v>
      </c>
      <c r="G25" s="13"/>
      <c r="J25" s="3" t="s">
        <v>30</v>
      </c>
    </row>
    <row r="26" spans="1:10" ht="15.75" customHeight="1" x14ac:dyDescent="0.2">
      <c r="A26" s="3">
        <v>2</v>
      </c>
      <c r="B26" s="3" t="s">
        <v>25</v>
      </c>
      <c r="C26" s="3" t="s">
        <v>13</v>
      </c>
      <c r="D26" s="3" t="s">
        <v>3</v>
      </c>
      <c r="E26" s="3">
        <v>1670</v>
      </c>
      <c r="G26" s="13"/>
      <c r="J26" s="3" t="s">
        <v>31</v>
      </c>
    </row>
    <row r="27" spans="1:10" ht="15.75" customHeight="1" x14ac:dyDescent="0.2">
      <c r="A27" s="3">
        <v>2</v>
      </c>
      <c r="B27" s="3" t="s">
        <v>25</v>
      </c>
      <c r="C27" s="3" t="s">
        <v>13</v>
      </c>
      <c r="D27" s="3" t="s">
        <v>132</v>
      </c>
      <c r="E27" s="3">
        <v>1581</v>
      </c>
      <c r="G27" s="13"/>
      <c r="J27" s="3" t="s">
        <v>32</v>
      </c>
    </row>
    <row r="28" spans="1:10" ht="15.75" customHeight="1" x14ac:dyDescent="0.2">
      <c r="A28" s="3">
        <v>2</v>
      </c>
      <c r="B28" s="3" t="s">
        <v>25</v>
      </c>
      <c r="C28" s="3" t="s">
        <v>13</v>
      </c>
      <c r="D28" s="3" t="s">
        <v>14</v>
      </c>
      <c r="E28" s="3">
        <v>361</v>
      </c>
      <c r="F28">
        <f>SUM(E26:E28)</f>
        <v>3612</v>
      </c>
      <c r="G28" s="13"/>
      <c r="J28" s="3" t="s">
        <v>33</v>
      </c>
    </row>
    <row r="29" spans="1:10" ht="15.75" customHeight="1" x14ac:dyDescent="0.2">
      <c r="A29" s="3">
        <v>3</v>
      </c>
      <c r="B29" s="3" t="s">
        <v>35</v>
      </c>
      <c r="C29" s="3" t="s">
        <v>2</v>
      </c>
      <c r="D29" s="3" t="s">
        <v>3</v>
      </c>
      <c r="E29" s="3">
        <v>935</v>
      </c>
      <c r="G29" s="13"/>
      <c r="J29" s="3" t="s">
        <v>142</v>
      </c>
    </row>
    <row r="30" spans="1:10" ht="15.75" customHeight="1" x14ac:dyDescent="0.2">
      <c r="A30" s="3">
        <v>3</v>
      </c>
      <c r="B30" s="3" t="s">
        <v>35</v>
      </c>
      <c r="C30" s="3" t="s">
        <v>2</v>
      </c>
      <c r="D30" s="3" t="s">
        <v>132</v>
      </c>
      <c r="E30" s="3">
        <v>799</v>
      </c>
      <c r="G30" s="13"/>
      <c r="J30" s="3" t="s">
        <v>34</v>
      </c>
    </row>
    <row r="31" spans="1:10" ht="15.75" customHeight="1" x14ac:dyDescent="0.2">
      <c r="A31" s="3">
        <v>3</v>
      </c>
      <c r="B31" s="3" t="s">
        <v>35</v>
      </c>
      <c r="C31" s="3" t="s">
        <v>2</v>
      </c>
      <c r="D31" s="3" t="s">
        <v>14</v>
      </c>
      <c r="E31" s="3">
        <v>34</v>
      </c>
      <c r="F31">
        <f>SUM(E29:E31)</f>
        <v>1768</v>
      </c>
      <c r="G31" s="13"/>
      <c r="J31" s="3" t="s">
        <v>279</v>
      </c>
    </row>
    <row r="32" spans="1:10" ht="15.75" customHeight="1" x14ac:dyDescent="0.2">
      <c r="A32" s="3">
        <v>3</v>
      </c>
      <c r="B32" s="3" t="s">
        <v>35</v>
      </c>
      <c r="C32" s="3" t="s">
        <v>10</v>
      </c>
      <c r="D32" s="3" t="s">
        <v>3</v>
      </c>
      <c r="E32" s="3">
        <v>855</v>
      </c>
      <c r="G32" s="13"/>
      <c r="J32" s="3" t="s">
        <v>280</v>
      </c>
    </row>
    <row r="33" spans="1:10" ht="15.75" customHeight="1" x14ac:dyDescent="0.2">
      <c r="A33" s="3">
        <v>3</v>
      </c>
      <c r="B33" s="3" t="s">
        <v>35</v>
      </c>
      <c r="C33" s="3" t="s">
        <v>10</v>
      </c>
      <c r="D33" s="3" t="s">
        <v>132</v>
      </c>
      <c r="E33" s="3">
        <v>849</v>
      </c>
      <c r="G33" s="13"/>
      <c r="J33" s="3" t="s">
        <v>281</v>
      </c>
    </row>
    <row r="34" spans="1:10" ht="15.75" customHeight="1" x14ac:dyDescent="0.2">
      <c r="A34" s="3">
        <v>3</v>
      </c>
      <c r="B34" s="3" t="s">
        <v>35</v>
      </c>
      <c r="C34" s="3" t="s">
        <v>10</v>
      </c>
      <c r="D34" s="3" t="s">
        <v>14</v>
      </c>
      <c r="E34" s="3">
        <v>63</v>
      </c>
      <c r="F34">
        <f>SUM(E32:E34)</f>
        <v>1767</v>
      </c>
      <c r="G34" s="13"/>
      <c r="J34" s="3" t="s">
        <v>282</v>
      </c>
    </row>
    <row r="35" spans="1:10" ht="15.75" customHeight="1" x14ac:dyDescent="0.2">
      <c r="A35" s="3">
        <v>3</v>
      </c>
      <c r="B35" s="3" t="s">
        <v>35</v>
      </c>
      <c r="C35" s="3" t="s">
        <v>13</v>
      </c>
      <c r="D35" s="3" t="s">
        <v>3</v>
      </c>
      <c r="E35" s="3">
        <v>879</v>
      </c>
      <c r="G35" s="13"/>
      <c r="J35" s="3" t="s">
        <v>283</v>
      </c>
    </row>
    <row r="36" spans="1:10" ht="15.75" customHeight="1" x14ac:dyDescent="0.2">
      <c r="A36" s="3">
        <v>3</v>
      </c>
      <c r="B36" s="3" t="s">
        <v>35</v>
      </c>
      <c r="C36" s="3" t="s">
        <v>13</v>
      </c>
      <c r="D36" s="3" t="s">
        <v>132</v>
      </c>
      <c r="E36" s="3">
        <v>817</v>
      </c>
      <c r="G36" s="13"/>
      <c r="J36" s="3" t="s">
        <v>284</v>
      </c>
    </row>
    <row r="37" spans="1:10" ht="15.75" customHeight="1" x14ac:dyDescent="0.2">
      <c r="A37" s="3">
        <v>3</v>
      </c>
      <c r="B37" s="3" t="s">
        <v>35</v>
      </c>
      <c r="C37" s="3" t="s">
        <v>13</v>
      </c>
      <c r="D37" s="3" t="s">
        <v>14</v>
      </c>
      <c r="E37" s="3">
        <v>69</v>
      </c>
      <c r="F37">
        <f>SUM(E35:E37)</f>
        <v>1765</v>
      </c>
      <c r="G37" s="13"/>
      <c r="J37" s="3" t="s">
        <v>285</v>
      </c>
    </row>
    <row r="38" spans="1:10" ht="12.75" x14ac:dyDescent="0.2">
      <c r="A38" s="3">
        <v>4</v>
      </c>
      <c r="B38" s="3" t="s">
        <v>36</v>
      </c>
      <c r="C38" s="3" t="s">
        <v>2</v>
      </c>
      <c r="D38" s="3" t="s">
        <v>3</v>
      </c>
      <c r="E38" s="3">
        <v>283</v>
      </c>
      <c r="G38" s="13"/>
      <c r="J38" s="3" t="s">
        <v>286</v>
      </c>
    </row>
    <row r="39" spans="1:10" ht="12.75" x14ac:dyDescent="0.2">
      <c r="A39" s="3">
        <v>4</v>
      </c>
      <c r="B39" s="3" t="s">
        <v>36</v>
      </c>
      <c r="C39" s="3" t="s">
        <v>2</v>
      </c>
      <c r="D39" s="3" t="s">
        <v>132</v>
      </c>
      <c r="E39" s="3">
        <v>200</v>
      </c>
      <c r="G39" s="13"/>
      <c r="J39" s="3" t="s">
        <v>149</v>
      </c>
    </row>
    <row r="40" spans="1:10" ht="12.75" x14ac:dyDescent="0.2">
      <c r="A40" s="3">
        <v>4</v>
      </c>
      <c r="B40" s="3" t="s">
        <v>36</v>
      </c>
      <c r="C40" s="3" t="s">
        <v>2</v>
      </c>
      <c r="D40" s="3" t="s">
        <v>14</v>
      </c>
      <c r="E40" s="3">
        <v>24</v>
      </c>
      <c r="F40">
        <f>SUM(E38:E40)</f>
        <v>507</v>
      </c>
      <c r="G40" s="13"/>
      <c r="J40" s="3" t="s">
        <v>287</v>
      </c>
    </row>
    <row r="41" spans="1:10" ht="12.75" x14ac:dyDescent="0.2">
      <c r="A41" s="3">
        <v>4</v>
      </c>
      <c r="B41" s="3" t="s">
        <v>36</v>
      </c>
      <c r="C41" s="3" t="s">
        <v>10</v>
      </c>
      <c r="D41" s="3" t="s">
        <v>3</v>
      </c>
      <c r="E41" s="3">
        <v>288</v>
      </c>
      <c r="G41" s="13"/>
      <c r="J41" s="3" t="s">
        <v>288</v>
      </c>
    </row>
    <row r="42" spans="1:10" ht="12.75" x14ac:dyDescent="0.2">
      <c r="A42" s="3">
        <v>4</v>
      </c>
      <c r="B42" s="3" t="s">
        <v>36</v>
      </c>
      <c r="C42" s="3" t="s">
        <v>10</v>
      </c>
      <c r="D42" s="3" t="s">
        <v>132</v>
      </c>
      <c r="E42" s="3">
        <v>177</v>
      </c>
      <c r="G42" s="13"/>
      <c r="J42" s="3" t="s">
        <v>289</v>
      </c>
    </row>
    <row r="43" spans="1:10" ht="12.75" x14ac:dyDescent="0.2">
      <c r="A43" s="3">
        <v>4</v>
      </c>
      <c r="B43" s="3" t="s">
        <v>36</v>
      </c>
      <c r="C43" s="3" t="s">
        <v>10</v>
      </c>
      <c r="D43" s="3" t="s">
        <v>14</v>
      </c>
      <c r="E43" s="3">
        <v>42</v>
      </c>
      <c r="F43">
        <f>SUM(E41:E43)</f>
        <v>507</v>
      </c>
      <c r="G43" s="13"/>
      <c r="J43" s="3" t="s">
        <v>290</v>
      </c>
    </row>
    <row r="44" spans="1:10" ht="12.75" x14ac:dyDescent="0.2">
      <c r="A44" s="3">
        <v>4</v>
      </c>
      <c r="B44" s="3" t="s">
        <v>36</v>
      </c>
      <c r="C44" s="3" t="s">
        <v>13</v>
      </c>
      <c r="D44" s="3" t="s">
        <v>3</v>
      </c>
      <c r="E44" s="3">
        <v>294</v>
      </c>
      <c r="G44" s="13"/>
      <c r="J44" s="3" t="s">
        <v>291</v>
      </c>
    </row>
    <row r="45" spans="1:10" ht="12.75" x14ac:dyDescent="0.2">
      <c r="A45" s="3">
        <v>4</v>
      </c>
      <c r="B45" s="3" t="s">
        <v>36</v>
      </c>
      <c r="C45" s="3" t="s">
        <v>13</v>
      </c>
      <c r="D45" s="3" t="s">
        <v>132</v>
      </c>
      <c r="E45" s="3">
        <v>174</v>
      </c>
      <c r="G45" s="13"/>
      <c r="J45" s="3" t="s">
        <v>292</v>
      </c>
    </row>
    <row r="46" spans="1:10" ht="12.75" x14ac:dyDescent="0.2">
      <c r="A46" s="3">
        <v>4</v>
      </c>
      <c r="B46" s="3" t="s">
        <v>36</v>
      </c>
      <c r="C46" s="3" t="s">
        <v>13</v>
      </c>
      <c r="D46" s="3" t="s">
        <v>14</v>
      </c>
      <c r="E46" s="3">
        <v>38</v>
      </c>
      <c r="F46">
        <f>SUM(E44:E46)</f>
        <v>506</v>
      </c>
      <c r="G46" s="13"/>
      <c r="J46" s="3" t="s">
        <v>293</v>
      </c>
    </row>
    <row r="47" spans="1:10" ht="12.75" x14ac:dyDescent="0.2">
      <c r="A47" s="3">
        <v>5</v>
      </c>
      <c r="B47" s="3" t="s">
        <v>37</v>
      </c>
      <c r="C47" s="3" t="s">
        <v>2</v>
      </c>
      <c r="D47" s="3" t="s">
        <v>132</v>
      </c>
      <c r="E47" s="3">
        <v>207</v>
      </c>
      <c r="G47" s="13"/>
      <c r="J47" s="3" t="s">
        <v>140</v>
      </c>
    </row>
    <row r="48" spans="1:10" ht="12.75" x14ac:dyDescent="0.2">
      <c r="A48" s="3">
        <v>5</v>
      </c>
      <c r="B48" s="3" t="s">
        <v>37</v>
      </c>
      <c r="C48" s="3" t="s">
        <v>2</v>
      </c>
      <c r="D48" s="3" t="s">
        <v>338</v>
      </c>
      <c r="E48" s="3">
        <v>107</v>
      </c>
      <c r="G48" s="13"/>
      <c r="J48" s="3" t="s">
        <v>294</v>
      </c>
    </row>
    <row r="49" spans="1:10" ht="12.75" x14ac:dyDescent="0.2">
      <c r="A49" s="3">
        <v>5</v>
      </c>
      <c r="B49" s="3" t="s">
        <v>37</v>
      </c>
      <c r="C49" s="3" t="s">
        <v>2</v>
      </c>
      <c r="D49" s="3" t="s">
        <v>14</v>
      </c>
      <c r="E49" s="3">
        <v>21</v>
      </c>
      <c r="F49">
        <f>SUM(E47:E49)</f>
        <v>335</v>
      </c>
      <c r="G49" s="13"/>
      <c r="J49" s="3" t="s">
        <v>295</v>
      </c>
    </row>
    <row r="50" spans="1:10" ht="12.75" x14ac:dyDescent="0.2">
      <c r="A50" s="3">
        <v>5</v>
      </c>
      <c r="B50" s="3" t="s">
        <v>37</v>
      </c>
      <c r="C50" s="3" t="s">
        <v>10</v>
      </c>
      <c r="D50" s="3" t="s">
        <v>132</v>
      </c>
      <c r="E50" s="3">
        <v>202</v>
      </c>
      <c r="G50" s="13"/>
      <c r="J50" s="3" t="s">
        <v>296</v>
      </c>
    </row>
    <row r="51" spans="1:10" ht="12.75" x14ac:dyDescent="0.2">
      <c r="A51" s="3">
        <v>5</v>
      </c>
      <c r="B51" s="3" t="s">
        <v>37</v>
      </c>
      <c r="C51" s="3" t="s">
        <v>10</v>
      </c>
      <c r="D51" s="3" t="s">
        <v>338</v>
      </c>
      <c r="E51" s="3">
        <v>114</v>
      </c>
      <c r="G51" s="13"/>
      <c r="J51" s="3" t="s">
        <v>297</v>
      </c>
    </row>
    <row r="52" spans="1:10" ht="12.75" x14ac:dyDescent="0.2">
      <c r="A52" s="3">
        <v>5</v>
      </c>
      <c r="B52" s="3" t="s">
        <v>37</v>
      </c>
      <c r="C52" s="3" t="s">
        <v>10</v>
      </c>
      <c r="D52" s="3" t="s">
        <v>14</v>
      </c>
      <c r="E52" s="3">
        <v>19</v>
      </c>
      <c r="F52">
        <f>SUM(E50:E52)</f>
        <v>335</v>
      </c>
      <c r="G52" s="13"/>
      <c r="J52" s="3" t="s">
        <v>298</v>
      </c>
    </row>
    <row r="53" spans="1:10" ht="12.75" x14ac:dyDescent="0.2">
      <c r="A53" s="3">
        <v>5</v>
      </c>
      <c r="B53" s="3" t="s">
        <v>37</v>
      </c>
      <c r="C53" s="3" t="s">
        <v>13</v>
      </c>
      <c r="D53" s="3" t="s">
        <v>132</v>
      </c>
      <c r="E53" s="3">
        <v>206</v>
      </c>
      <c r="G53" s="13"/>
      <c r="J53" s="3" t="s">
        <v>299</v>
      </c>
    </row>
    <row r="54" spans="1:10" ht="12.75" x14ac:dyDescent="0.2">
      <c r="A54" s="3">
        <v>5</v>
      </c>
      <c r="B54" s="3" t="s">
        <v>37</v>
      </c>
      <c r="C54" s="3" t="s">
        <v>13</v>
      </c>
      <c r="D54" s="3" t="s">
        <v>338</v>
      </c>
      <c r="E54" s="3">
        <v>112</v>
      </c>
      <c r="G54" s="13"/>
      <c r="J54" s="3" t="s">
        <v>300</v>
      </c>
    </row>
    <row r="55" spans="1:10" ht="12.75" x14ac:dyDescent="0.2">
      <c r="A55" s="3">
        <v>5</v>
      </c>
      <c r="B55" s="3" t="s">
        <v>37</v>
      </c>
      <c r="C55" s="3" t="s">
        <v>13</v>
      </c>
      <c r="D55" s="3" t="s">
        <v>14</v>
      </c>
      <c r="E55" s="3">
        <v>17</v>
      </c>
      <c r="F55">
        <f>SUM(E53:E55)</f>
        <v>335</v>
      </c>
      <c r="G55" s="13"/>
      <c r="J55" s="3" t="s">
        <v>301</v>
      </c>
    </row>
    <row r="56" spans="1:10" ht="12.75" x14ac:dyDescent="0.2">
      <c r="A56" s="3">
        <v>6</v>
      </c>
      <c r="B56" s="3" t="s">
        <v>38</v>
      </c>
      <c r="C56" s="3" t="s">
        <v>2</v>
      </c>
      <c r="D56" s="3" t="s">
        <v>3</v>
      </c>
      <c r="E56" s="3">
        <v>626</v>
      </c>
      <c r="G56" s="13"/>
      <c r="J56" s="3" t="s">
        <v>302</v>
      </c>
    </row>
    <row r="57" spans="1:10" ht="12.75" x14ac:dyDescent="0.2">
      <c r="A57" s="3">
        <v>6</v>
      </c>
      <c r="B57" s="3" t="s">
        <v>38</v>
      </c>
      <c r="C57" s="3" t="s">
        <v>2</v>
      </c>
      <c r="D57" s="3" t="s">
        <v>132</v>
      </c>
      <c r="E57" s="3">
        <v>680</v>
      </c>
      <c r="G57" s="13"/>
      <c r="J57" s="3" t="s">
        <v>303</v>
      </c>
    </row>
    <row r="58" spans="1:10" ht="12.75" x14ac:dyDescent="0.2">
      <c r="A58" s="3">
        <v>6</v>
      </c>
      <c r="B58" s="3" t="s">
        <v>38</v>
      </c>
      <c r="C58" s="3" t="s">
        <v>2</v>
      </c>
      <c r="D58" s="3" t="s">
        <v>14</v>
      </c>
      <c r="E58" s="3">
        <v>88</v>
      </c>
      <c r="F58">
        <f>SUM(E56:E58)</f>
        <v>1394</v>
      </c>
      <c r="G58" s="13"/>
      <c r="J58" s="3" t="s">
        <v>304</v>
      </c>
    </row>
    <row r="59" spans="1:10" ht="12.75" x14ac:dyDescent="0.2">
      <c r="A59" s="3">
        <v>6</v>
      </c>
      <c r="B59" s="3" t="s">
        <v>38</v>
      </c>
      <c r="C59" s="3" t="s">
        <v>10</v>
      </c>
      <c r="D59" s="3" t="s">
        <v>3</v>
      </c>
      <c r="E59" s="3">
        <v>602</v>
      </c>
      <c r="G59" s="13"/>
      <c r="J59" s="3" t="s">
        <v>305</v>
      </c>
    </row>
    <row r="60" spans="1:10" ht="12.75" x14ac:dyDescent="0.2">
      <c r="A60" s="3">
        <v>6</v>
      </c>
      <c r="B60" s="3" t="s">
        <v>38</v>
      </c>
      <c r="C60" s="3" t="s">
        <v>10</v>
      </c>
      <c r="D60" s="3" t="s">
        <v>132</v>
      </c>
      <c r="E60" s="3">
        <v>683</v>
      </c>
      <c r="G60" s="13"/>
      <c r="J60" s="3" t="s">
        <v>306</v>
      </c>
    </row>
    <row r="61" spans="1:10" ht="12.75" x14ac:dyDescent="0.2">
      <c r="A61" s="3">
        <v>6</v>
      </c>
      <c r="B61" s="3" t="s">
        <v>38</v>
      </c>
      <c r="C61" s="3" t="s">
        <v>10</v>
      </c>
      <c r="D61" s="3" t="s">
        <v>14</v>
      </c>
      <c r="E61" s="3">
        <v>110</v>
      </c>
      <c r="F61">
        <f>SUM(E59:E61)</f>
        <v>1395</v>
      </c>
      <c r="G61" s="13"/>
      <c r="J61" s="3" t="s">
        <v>318</v>
      </c>
    </row>
    <row r="62" spans="1:10" ht="12.75" x14ac:dyDescent="0.2">
      <c r="A62" s="3">
        <v>6</v>
      </c>
      <c r="B62" s="3" t="s">
        <v>38</v>
      </c>
      <c r="C62" s="3" t="s">
        <v>13</v>
      </c>
      <c r="D62" s="3" t="s">
        <v>3</v>
      </c>
      <c r="E62" s="3">
        <v>613</v>
      </c>
      <c r="G62" s="13"/>
      <c r="J62" s="3" t="s">
        <v>308</v>
      </c>
    </row>
    <row r="63" spans="1:10" ht="12.75" x14ac:dyDescent="0.2">
      <c r="A63" s="3">
        <v>6</v>
      </c>
      <c r="B63" s="3" t="s">
        <v>38</v>
      </c>
      <c r="C63" s="3" t="s">
        <v>13</v>
      </c>
      <c r="D63" s="3" t="s">
        <v>132</v>
      </c>
      <c r="E63" s="3">
        <v>658</v>
      </c>
      <c r="G63" s="13"/>
      <c r="J63" s="3" t="s">
        <v>309</v>
      </c>
    </row>
    <row r="64" spans="1:10" ht="12.75" x14ac:dyDescent="0.2">
      <c r="A64" s="3">
        <v>6</v>
      </c>
      <c r="B64" s="3" t="s">
        <v>38</v>
      </c>
      <c r="C64" s="3" t="s">
        <v>13</v>
      </c>
      <c r="D64" s="3" t="s">
        <v>14</v>
      </c>
      <c r="E64" s="3">
        <v>122</v>
      </c>
      <c r="F64">
        <f>SUM(E62:E64)</f>
        <v>1393</v>
      </c>
      <c r="G64" s="13"/>
      <c r="J64" s="3" t="s">
        <v>310</v>
      </c>
    </row>
    <row r="65" spans="1:10" ht="12.75" x14ac:dyDescent="0.2">
      <c r="A65" s="2" t="s">
        <v>39</v>
      </c>
      <c r="B65" s="3" t="s">
        <v>40</v>
      </c>
      <c r="C65" s="3" t="s">
        <v>2</v>
      </c>
      <c r="D65" s="3" t="s">
        <v>3</v>
      </c>
      <c r="E65" s="3">
        <v>22649</v>
      </c>
      <c r="G65" s="13"/>
      <c r="J65" s="3" t="s">
        <v>311</v>
      </c>
    </row>
    <row r="66" spans="1:10" ht="12.75" x14ac:dyDescent="0.2">
      <c r="A66" s="2" t="s">
        <v>39</v>
      </c>
      <c r="B66" s="3" t="s">
        <v>40</v>
      </c>
      <c r="C66" s="3" t="s">
        <v>2</v>
      </c>
      <c r="D66" s="3" t="s">
        <v>19</v>
      </c>
      <c r="E66" s="3">
        <v>1306</v>
      </c>
      <c r="G66" s="13"/>
      <c r="J66" s="3" t="s">
        <v>143</v>
      </c>
    </row>
    <row r="67" spans="1:10" ht="12.75" x14ac:dyDescent="0.2">
      <c r="A67" s="2" t="s">
        <v>39</v>
      </c>
      <c r="B67" s="3" t="s">
        <v>40</v>
      </c>
      <c r="C67" s="3" t="s">
        <v>2</v>
      </c>
      <c r="D67" s="3" t="s">
        <v>132</v>
      </c>
      <c r="E67" s="3">
        <v>21913</v>
      </c>
      <c r="G67" s="13"/>
      <c r="J67" s="3" t="s">
        <v>312</v>
      </c>
    </row>
    <row r="68" spans="1:10" ht="12.75" x14ac:dyDescent="0.2">
      <c r="A68" s="2" t="s">
        <v>39</v>
      </c>
      <c r="B68" s="3" t="s">
        <v>40</v>
      </c>
      <c r="C68" s="3" t="s">
        <v>2</v>
      </c>
      <c r="D68" s="3" t="s">
        <v>339</v>
      </c>
      <c r="E68" s="3">
        <v>2876</v>
      </c>
      <c r="G68" s="13"/>
      <c r="J68" s="3" t="s">
        <v>313</v>
      </c>
    </row>
    <row r="69" spans="1:10" ht="12.75" x14ac:dyDescent="0.2">
      <c r="A69" s="2" t="s">
        <v>39</v>
      </c>
      <c r="B69" s="3" t="s">
        <v>40</v>
      </c>
      <c r="C69" s="3" t="s">
        <v>2</v>
      </c>
      <c r="D69" s="3" t="s">
        <v>338</v>
      </c>
      <c r="E69" s="3">
        <v>5353</v>
      </c>
      <c r="G69" s="13"/>
      <c r="J69" s="3" t="s">
        <v>132</v>
      </c>
    </row>
    <row r="70" spans="1:10" ht="12.75" x14ac:dyDescent="0.2">
      <c r="A70" s="2" t="s">
        <v>39</v>
      </c>
      <c r="B70" s="3" t="s">
        <v>40</v>
      </c>
      <c r="C70" s="3" t="s">
        <v>2</v>
      </c>
      <c r="D70" s="3" t="s">
        <v>14</v>
      </c>
      <c r="E70" s="3">
        <v>9981</v>
      </c>
      <c r="F70">
        <f>SUM(E65:E70)</f>
        <v>64078</v>
      </c>
      <c r="G70" s="13"/>
      <c r="J70" s="3" t="s">
        <v>138</v>
      </c>
    </row>
    <row r="71" spans="1:10" ht="12.75" x14ac:dyDescent="0.2">
      <c r="A71" s="2" t="s">
        <v>39</v>
      </c>
      <c r="B71" s="3" t="s">
        <v>40</v>
      </c>
      <c r="C71" s="3" t="s">
        <v>10</v>
      </c>
      <c r="D71" s="3" t="s">
        <v>290</v>
      </c>
      <c r="E71" s="3">
        <v>692</v>
      </c>
      <c r="G71" s="13"/>
      <c r="J71" s="3" t="s">
        <v>314</v>
      </c>
    </row>
    <row r="72" spans="1:10" ht="12.75" x14ac:dyDescent="0.2">
      <c r="A72" s="2" t="s">
        <v>39</v>
      </c>
      <c r="B72" s="3" t="s">
        <v>40</v>
      </c>
      <c r="C72" s="3" t="s">
        <v>10</v>
      </c>
      <c r="D72" s="3" t="s">
        <v>3</v>
      </c>
      <c r="E72" s="3">
        <v>21779</v>
      </c>
      <c r="G72" s="13"/>
      <c r="J72" s="3" t="s">
        <v>315</v>
      </c>
    </row>
    <row r="73" spans="1:10" ht="12.75" x14ac:dyDescent="0.2">
      <c r="A73" s="2" t="s">
        <v>39</v>
      </c>
      <c r="B73" s="3" t="s">
        <v>40</v>
      </c>
      <c r="C73" s="3" t="s">
        <v>10</v>
      </c>
      <c r="D73" s="3" t="s">
        <v>274</v>
      </c>
      <c r="E73" s="3">
        <v>584</v>
      </c>
      <c r="G73" s="13"/>
      <c r="J73" s="3" t="s">
        <v>338</v>
      </c>
    </row>
    <row r="74" spans="1:10" ht="12.75" x14ac:dyDescent="0.2">
      <c r="A74" s="2" t="s">
        <v>39</v>
      </c>
      <c r="B74" s="3" t="s">
        <v>40</v>
      </c>
      <c r="C74" s="3" t="s">
        <v>10</v>
      </c>
      <c r="D74" s="3" t="s">
        <v>19</v>
      </c>
      <c r="E74" s="3">
        <v>1359</v>
      </c>
      <c r="G74" s="13"/>
      <c r="J74" s="3" t="s">
        <v>339</v>
      </c>
    </row>
    <row r="75" spans="1:10" ht="12.75" x14ac:dyDescent="0.2">
      <c r="A75" s="2" t="s">
        <v>39</v>
      </c>
      <c r="B75" s="3" t="s">
        <v>40</v>
      </c>
      <c r="C75" s="3" t="s">
        <v>10</v>
      </c>
      <c r="D75" s="3" t="s">
        <v>132</v>
      </c>
      <c r="E75" s="3">
        <v>19989</v>
      </c>
      <c r="G75" s="13"/>
      <c r="J75" s="3" t="s">
        <v>340</v>
      </c>
    </row>
    <row r="76" spans="1:10" ht="12.75" x14ac:dyDescent="0.2">
      <c r="A76" s="2" t="s">
        <v>39</v>
      </c>
      <c r="B76" s="3" t="s">
        <v>40</v>
      </c>
      <c r="C76" s="3" t="s">
        <v>10</v>
      </c>
      <c r="D76" s="3" t="s">
        <v>339</v>
      </c>
      <c r="E76" s="3">
        <v>3060</v>
      </c>
      <c r="G76" s="13"/>
      <c r="J76" s="3" t="s">
        <v>341</v>
      </c>
    </row>
    <row r="77" spans="1:10" ht="12.75" x14ac:dyDescent="0.2">
      <c r="A77" s="2" t="s">
        <v>39</v>
      </c>
      <c r="B77" s="3" t="s">
        <v>40</v>
      </c>
      <c r="C77" s="3" t="s">
        <v>10</v>
      </c>
      <c r="D77" s="3" t="s">
        <v>338</v>
      </c>
      <c r="E77" s="3">
        <v>5359</v>
      </c>
      <c r="G77" s="13"/>
      <c r="J77" s="3" t="s">
        <v>342</v>
      </c>
    </row>
    <row r="78" spans="1:10" ht="12.75" x14ac:dyDescent="0.2">
      <c r="A78" s="2" t="s">
        <v>39</v>
      </c>
      <c r="B78" s="3" t="s">
        <v>40</v>
      </c>
      <c r="C78" s="3" t="s">
        <v>10</v>
      </c>
      <c r="D78" s="3" t="s">
        <v>14</v>
      </c>
      <c r="E78" s="3">
        <v>11186</v>
      </c>
      <c r="F78">
        <f>SUM(E71:E78)</f>
        <v>64008</v>
      </c>
      <c r="G78" s="13"/>
      <c r="J78" s="3" t="s">
        <v>343</v>
      </c>
    </row>
    <row r="79" spans="1:10" ht="12.75" x14ac:dyDescent="0.2">
      <c r="A79" s="2" t="s">
        <v>39</v>
      </c>
      <c r="B79" s="3" t="s">
        <v>40</v>
      </c>
      <c r="C79" s="3" t="s">
        <v>13</v>
      </c>
      <c r="D79" s="3" t="s">
        <v>290</v>
      </c>
      <c r="E79" s="3">
        <v>668</v>
      </c>
      <c r="G79" s="13"/>
    </row>
    <row r="80" spans="1:10" ht="12.75" x14ac:dyDescent="0.2">
      <c r="A80" s="2" t="s">
        <v>39</v>
      </c>
      <c r="B80" s="3" t="s">
        <v>40</v>
      </c>
      <c r="C80" s="3" t="s">
        <v>13</v>
      </c>
      <c r="D80" s="3" t="s">
        <v>3</v>
      </c>
      <c r="E80" s="3">
        <v>21586</v>
      </c>
      <c r="G80" s="13"/>
    </row>
    <row r="81" spans="1:7" ht="12.75" x14ac:dyDescent="0.2">
      <c r="A81" s="2" t="s">
        <v>39</v>
      </c>
      <c r="B81" s="3" t="s">
        <v>40</v>
      </c>
      <c r="C81" s="3" t="s">
        <v>13</v>
      </c>
      <c r="D81" s="3" t="s">
        <v>19</v>
      </c>
      <c r="E81" s="3">
        <v>1372</v>
      </c>
      <c r="G81" s="13"/>
    </row>
    <row r="82" spans="1:7" ht="12.75" x14ac:dyDescent="0.2">
      <c r="A82" s="2" t="s">
        <v>39</v>
      </c>
      <c r="B82" s="3" t="s">
        <v>40</v>
      </c>
      <c r="C82" s="3" t="s">
        <v>13</v>
      </c>
      <c r="D82" s="3" t="s">
        <v>132</v>
      </c>
      <c r="E82" s="3">
        <v>19825</v>
      </c>
      <c r="G82" s="13"/>
    </row>
    <row r="83" spans="1:7" ht="12.75" x14ac:dyDescent="0.2">
      <c r="A83" s="2" t="s">
        <v>39</v>
      </c>
      <c r="B83" s="3" t="s">
        <v>40</v>
      </c>
      <c r="C83" s="3" t="s">
        <v>13</v>
      </c>
      <c r="D83" s="3" t="s">
        <v>339</v>
      </c>
      <c r="E83" s="3">
        <v>3096</v>
      </c>
      <c r="G83" s="13"/>
    </row>
    <row r="84" spans="1:7" ht="12.75" x14ac:dyDescent="0.2">
      <c r="A84" s="2" t="s">
        <v>39</v>
      </c>
      <c r="B84" s="3" t="s">
        <v>40</v>
      </c>
      <c r="C84" s="3" t="s">
        <v>13</v>
      </c>
      <c r="D84" s="3" t="s">
        <v>338</v>
      </c>
      <c r="E84" s="3">
        <v>5506</v>
      </c>
      <c r="G84" s="13"/>
    </row>
    <row r="85" spans="1:7" ht="12.75" x14ac:dyDescent="0.2">
      <c r="A85" s="2" t="s">
        <v>39</v>
      </c>
      <c r="B85" s="3" t="s">
        <v>40</v>
      </c>
      <c r="C85" s="3" t="s">
        <v>13</v>
      </c>
      <c r="D85" s="3" t="s">
        <v>14</v>
      </c>
      <c r="E85" s="3">
        <v>12024</v>
      </c>
      <c r="F85">
        <f>SUM(E79:E85)</f>
        <v>64077</v>
      </c>
      <c r="G85" s="13"/>
    </row>
    <row r="86" spans="1:7" ht="12.75" x14ac:dyDescent="0.2">
      <c r="A86" s="3">
        <v>11</v>
      </c>
      <c r="B86" s="3" t="s">
        <v>41</v>
      </c>
      <c r="C86" s="3" t="s">
        <v>2</v>
      </c>
      <c r="D86" s="3" t="s">
        <v>3</v>
      </c>
      <c r="E86" s="3">
        <v>792</v>
      </c>
      <c r="G86" s="13"/>
    </row>
    <row r="87" spans="1:7" ht="12.75" x14ac:dyDescent="0.2">
      <c r="A87" s="3">
        <v>11</v>
      </c>
      <c r="B87" s="3" t="s">
        <v>41</v>
      </c>
      <c r="C87" s="3" t="s">
        <v>2</v>
      </c>
      <c r="D87" s="3" t="s">
        <v>132</v>
      </c>
      <c r="E87" s="3">
        <v>126</v>
      </c>
      <c r="G87" s="13"/>
    </row>
    <row r="88" spans="1:7" ht="12.75" x14ac:dyDescent="0.2">
      <c r="A88" s="3">
        <v>11</v>
      </c>
      <c r="B88" s="3" t="s">
        <v>41</v>
      </c>
      <c r="C88" s="3" t="s">
        <v>2</v>
      </c>
      <c r="D88" s="3" t="s">
        <v>338</v>
      </c>
      <c r="E88" s="3">
        <v>113</v>
      </c>
      <c r="G88" s="13"/>
    </row>
    <row r="89" spans="1:7" ht="12.75" x14ac:dyDescent="0.2">
      <c r="A89" s="3">
        <v>11</v>
      </c>
      <c r="B89" s="3" t="s">
        <v>41</v>
      </c>
      <c r="C89" s="3" t="s">
        <v>2</v>
      </c>
      <c r="D89" s="3" t="s">
        <v>14</v>
      </c>
      <c r="E89" s="3">
        <v>150</v>
      </c>
      <c r="F89">
        <f>SUM(E86:E89)</f>
        <v>1181</v>
      </c>
      <c r="G89" s="13"/>
    </row>
    <row r="90" spans="1:7" ht="12.75" x14ac:dyDescent="0.2">
      <c r="A90" s="3">
        <v>11</v>
      </c>
      <c r="B90" s="3" t="s">
        <v>41</v>
      </c>
      <c r="C90" s="3" t="s">
        <v>10</v>
      </c>
      <c r="D90" s="3" t="s">
        <v>3</v>
      </c>
      <c r="E90" s="3">
        <v>766</v>
      </c>
      <c r="G90" s="13"/>
    </row>
    <row r="91" spans="1:7" ht="12.75" x14ac:dyDescent="0.2">
      <c r="A91" s="3">
        <v>11</v>
      </c>
      <c r="B91" s="3" t="s">
        <v>41</v>
      </c>
      <c r="C91" s="3" t="s">
        <v>10</v>
      </c>
      <c r="D91" s="3" t="s">
        <v>132</v>
      </c>
      <c r="E91" s="3">
        <v>129</v>
      </c>
      <c r="G91" s="13"/>
    </row>
    <row r="92" spans="1:7" ht="12.75" x14ac:dyDescent="0.2">
      <c r="A92" s="3">
        <v>11</v>
      </c>
      <c r="B92" s="3" t="s">
        <v>41</v>
      </c>
      <c r="C92" s="3" t="s">
        <v>10</v>
      </c>
      <c r="D92" s="3" t="s">
        <v>338</v>
      </c>
      <c r="E92" s="3">
        <v>150</v>
      </c>
      <c r="G92" s="13"/>
    </row>
    <row r="93" spans="1:7" ht="12.75" x14ac:dyDescent="0.2">
      <c r="A93" s="3">
        <v>11</v>
      </c>
      <c r="B93" s="3" t="s">
        <v>41</v>
      </c>
      <c r="C93" s="3" t="s">
        <v>10</v>
      </c>
      <c r="D93" s="3" t="s">
        <v>14</v>
      </c>
      <c r="E93" s="3">
        <v>144</v>
      </c>
      <c r="F93">
        <f>SUM(E90:E93)</f>
        <v>1189</v>
      </c>
      <c r="G93" s="13"/>
    </row>
    <row r="94" spans="1:7" ht="12.75" x14ac:dyDescent="0.2">
      <c r="A94" s="3">
        <v>11</v>
      </c>
      <c r="B94" s="3" t="s">
        <v>41</v>
      </c>
      <c r="C94" s="3" t="s">
        <v>13</v>
      </c>
      <c r="D94" s="3" t="s">
        <v>3</v>
      </c>
      <c r="E94" s="3">
        <v>702</v>
      </c>
      <c r="G94" s="13"/>
    </row>
    <row r="95" spans="1:7" ht="12.75" x14ac:dyDescent="0.2">
      <c r="A95" s="3">
        <v>11</v>
      </c>
      <c r="B95" s="3" t="s">
        <v>41</v>
      </c>
      <c r="C95" s="3" t="s">
        <v>13</v>
      </c>
      <c r="D95" s="3" t="s">
        <v>132</v>
      </c>
      <c r="E95" s="3">
        <v>118</v>
      </c>
      <c r="G95" s="13"/>
    </row>
    <row r="96" spans="1:7" ht="12.75" x14ac:dyDescent="0.2">
      <c r="A96" s="3">
        <v>11</v>
      </c>
      <c r="B96" s="3" t="s">
        <v>41</v>
      </c>
      <c r="C96" s="3" t="s">
        <v>13</v>
      </c>
      <c r="D96" s="3" t="s">
        <v>338</v>
      </c>
      <c r="E96" s="3">
        <v>192</v>
      </c>
      <c r="G96" s="13"/>
    </row>
    <row r="97" spans="1:7" ht="12.75" x14ac:dyDescent="0.2">
      <c r="A97" s="3">
        <v>11</v>
      </c>
      <c r="B97" s="3" t="s">
        <v>41</v>
      </c>
      <c r="C97" s="3" t="s">
        <v>13</v>
      </c>
      <c r="D97" s="3" t="s">
        <v>14</v>
      </c>
      <c r="E97" s="3">
        <v>186</v>
      </c>
      <c r="F97">
        <f>SUM(E94:E97)</f>
        <v>1198</v>
      </c>
      <c r="G97" s="13"/>
    </row>
    <row r="98" spans="1:7" ht="12.75" x14ac:dyDescent="0.2">
      <c r="A98" s="3">
        <v>13</v>
      </c>
      <c r="B98" s="3" t="s">
        <v>42</v>
      </c>
      <c r="C98" s="3" t="s">
        <v>2</v>
      </c>
      <c r="D98" s="3" t="s">
        <v>3</v>
      </c>
      <c r="E98" s="3">
        <v>1472</v>
      </c>
      <c r="G98" s="13"/>
    </row>
    <row r="99" spans="1:7" ht="12.75" x14ac:dyDescent="0.2">
      <c r="A99" s="3">
        <v>13</v>
      </c>
      <c r="B99" s="3" t="s">
        <v>42</v>
      </c>
      <c r="C99" s="3" t="s">
        <v>2</v>
      </c>
      <c r="D99" s="3" t="s">
        <v>132</v>
      </c>
      <c r="E99" s="3">
        <v>1027</v>
      </c>
      <c r="G99" s="13"/>
    </row>
    <row r="100" spans="1:7" ht="12.75" x14ac:dyDescent="0.2">
      <c r="A100" s="3">
        <v>13</v>
      </c>
      <c r="B100" s="3" t="s">
        <v>42</v>
      </c>
      <c r="C100" s="3" t="s">
        <v>2</v>
      </c>
      <c r="D100" s="3" t="s">
        <v>14</v>
      </c>
      <c r="E100" s="3">
        <v>232</v>
      </c>
      <c r="F100">
        <f>SUM(E98:E100)</f>
        <v>2731</v>
      </c>
      <c r="G100" s="13"/>
    </row>
    <row r="101" spans="1:7" ht="12.75" x14ac:dyDescent="0.2">
      <c r="A101" s="3">
        <v>13</v>
      </c>
      <c r="B101" s="3" t="s">
        <v>42</v>
      </c>
      <c r="C101" s="3" t="s">
        <v>10</v>
      </c>
      <c r="D101" s="3" t="s">
        <v>3</v>
      </c>
      <c r="E101" s="3">
        <v>1431</v>
      </c>
      <c r="G101" s="13"/>
    </row>
    <row r="102" spans="1:7" ht="12.75" x14ac:dyDescent="0.2">
      <c r="A102" s="3">
        <v>13</v>
      </c>
      <c r="B102" s="3" t="s">
        <v>42</v>
      </c>
      <c r="C102" s="3" t="s">
        <v>10</v>
      </c>
      <c r="D102" s="3" t="s">
        <v>132</v>
      </c>
      <c r="E102" s="3">
        <v>1006</v>
      </c>
      <c r="G102" s="13"/>
    </row>
    <row r="103" spans="1:7" ht="12.75" x14ac:dyDescent="0.2">
      <c r="A103" s="3">
        <v>13</v>
      </c>
      <c r="B103" s="3" t="s">
        <v>42</v>
      </c>
      <c r="C103" s="3" t="s">
        <v>10</v>
      </c>
      <c r="D103" s="3" t="s">
        <v>14</v>
      </c>
      <c r="E103" s="3">
        <v>293</v>
      </c>
      <c r="F103">
        <f>SUM(E101:E103)</f>
        <v>2730</v>
      </c>
      <c r="G103" s="13"/>
    </row>
    <row r="104" spans="1:7" ht="12.75" x14ac:dyDescent="0.2">
      <c r="A104" s="3">
        <v>13</v>
      </c>
      <c r="B104" s="3" t="s">
        <v>42</v>
      </c>
      <c r="C104" s="3" t="s">
        <v>13</v>
      </c>
      <c r="D104" s="3" t="s">
        <v>3</v>
      </c>
      <c r="E104" s="3">
        <v>1513</v>
      </c>
      <c r="G104" s="13"/>
    </row>
    <row r="105" spans="1:7" ht="12.75" x14ac:dyDescent="0.2">
      <c r="A105" s="3">
        <v>13</v>
      </c>
      <c r="B105" s="3" t="s">
        <v>42</v>
      </c>
      <c r="C105" s="3" t="s">
        <v>13</v>
      </c>
      <c r="D105" s="3" t="s">
        <v>132</v>
      </c>
      <c r="E105" s="3">
        <v>914</v>
      </c>
      <c r="G105" s="13"/>
    </row>
    <row r="106" spans="1:7" ht="12.75" x14ac:dyDescent="0.2">
      <c r="A106" s="3">
        <v>13</v>
      </c>
      <c r="B106" s="3" t="s">
        <v>42</v>
      </c>
      <c r="C106" s="3" t="s">
        <v>13</v>
      </c>
      <c r="D106" s="3" t="s">
        <v>14</v>
      </c>
      <c r="E106" s="3">
        <v>303</v>
      </c>
      <c r="F106">
        <f>SUM(E104:E106)</f>
        <v>2730</v>
      </c>
      <c r="G106" s="13"/>
    </row>
    <row r="107" spans="1:7" ht="12.75" x14ac:dyDescent="0.2">
      <c r="A107" s="3">
        <v>15</v>
      </c>
      <c r="B107" s="3" t="s">
        <v>43</v>
      </c>
      <c r="C107" s="3" t="s">
        <v>2</v>
      </c>
      <c r="D107" s="3" t="s">
        <v>3</v>
      </c>
      <c r="E107" s="3">
        <v>747</v>
      </c>
      <c r="G107" s="13"/>
    </row>
    <row r="108" spans="1:7" ht="12.75" x14ac:dyDescent="0.2">
      <c r="A108" s="3">
        <v>15</v>
      </c>
      <c r="B108" s="3" t="s">
        <v>43</v>
      </c>
      <c r="C108" s="3" t="s">
        <v>2</v>
      </c>
      <c r="D108" s="3" t="s">
        <v>132</v>
      </c>
      <c r="E108" s="3">
        <v>346</v>
      </c>
      <c r="G108" s="13"/>
    </row>
    <row r="109" spans="1:7" ht="12.75" x14ac:dyDescent="0.2">
      <c r="A109" s="3">
        <v>15</v>
      </c>
      <c r="B109" s="3" t="s">
        <v>43</v>
      </c>
      <c r="C109" s="3" t="s">
        <v>2</v>
      </c>
      <c r="D109" s="3" t="s">
        <v>14</v>
      </c>
      <c r="E109" s="3">
        <v>117</v>
      </c>
      <c r="F109">
        <f>SUM(E107:E109)</f>
        <v>1210</v>
      </c>
      <c r="G109" s="13"/>
    </row>
    <row r="110" spans="1:7" ht="12.75" x14ac:dyDescent="0.2">
      <c r="A110" s="3">
        <v>15</v>
      </c>
      <c r="B110" s="3" t="s">
        <v>43</v>
      </c>
      <c r="C110" s="3" t="s">
        <v>10</v>
      </c>
      <c r="D110" s="3" t="s">
        <v>3</v>
      </c>
      <c r="E110" s="3">
        <v>702</v>
      </c>
      <c r="G110" s="13"/>
    </row>
    <row r="111" spans="1:7" ht="12.75" x14ac:dyDescent="0.2">
      <c r="A111" s="3">
        <v>15</v>
      </c>
      <c r="B111" s="3" t="s">
        <v>43</v>
      </c>
      <c r="C111" s="3" t="s">
        <v>10</v>
      </c>
      <c r="D111" s="3" t="s">
        <v>132</v>
      </c>
      <c r="E111" s="3">
        <v>357</v>
      </c>
      <c r="G111" s="13"/>
    </row>
    <row r="112" spans="1:7" ht="12.75" x14ac:dyDescent="0.2">
      <c r="A112" s="3">
        <v>15</v>
      </c>
      <c r="B112" s="3" t="s">
        <v>43</v>
      </c>
      <c r="C112" s="3" t="s">
        <v>10</v>
      </c>
      <c r="D112" s="3" t="s">
        <v>14</v>
      </c>
      <c r="E112" s="3">
        <v>147</v>
      </c>
      <c r="F112">
        <f>SUM(E110:E112)</f>
        <v>1206</v>
      </c>
      <c r="G112" s="13"/>
    </row>
    <row r="113" spans="1:7" ht="12.75" x14ac:dyDescent="0.2">
      <c r="A113" s="3">
        <v>15</v>
      </c>
      <c r="B113" s="3" t="s">
        <v>43</v>
      </c>
      <c r="C113" s="3" t="s">
        <v>13</v>
      </c>
      <c r="D113" s="3" t="s">
        <v>3</v>
      </c>
      <c r="E113" s="3">
        <v>778</v>
      </c>
      <c r="G113" s="13"/>
    </row>
    <row r="114" spans="1:7" ht="12.75" x14ac:dyDescent="0.2">
      <c r="A114" s="3">
        <v>15</v>
      </c>
      <c r="B114" s="3" t="s">
        <v>43</v>
      </c>
      <c r="C114" s="3" t="s">
        <v>13</v>
      </c>
      <c r="D114" s="3" t="s">
        <v>132</v>
      </c>
      <c r="E114" s="3">
        <v>278</v>
      </c>
      <c r="G114" s="13"/>
    </row>
    <row r="115" spans="1:7" ht="12.75" x14ac:dyDescent="0.2">
      <c r="A115" s="3">
        <v>15</v>
      </c>
      <c r="B115" s="3" t="s">
        <v>43</v>
      </c>
      <c r="C115" s="3" t="s">
        <v>13</v>
      </c>
      <c r="D115" s="3" t="s">
        <v>14</v>
      </c>
      <c r="E115" s="3">
        <v>145</v>
      </c>
      <c r="F115">
        <f>SUM(E113:E115)</f>
        <v>1201</v>
      </c>
      <c r="G115" s="13"/>
    </row>
    <row r="116" spans="1:7" ht="12.75" x14ac:dyDescent="0.2">
      <c r="A116" s="3">
        <v>16</v>
      </c>
      <c r="B116" s="3" t="s">
        <v>44</v>
      </c>
      <c r="C116" s="3" t="s">
        <v>2</v>
      </c>
      <c r="D116" s="3" t="s">
        <v>3</v>
      </c>
      <c r="E116" s="3">
        <v>479</v>
      </c>
      <c r="G116" s="13"/>
    </row>
    <row r="117" spans="1:7" ht="12.75" x14ac:dyDescent="0.2">
      <c r="A117" s="3">
        <v>16</v>
      </c>
      <c r="B117" s="3" t="s">
        <v>44</v>
      </c>
      <c r="C117" s="3" t="s">
        <v>2</v>
      </c>
      <c r="D117" s="3" t="s">
        <v>132</v>
      </c>
      <c r="E117" s="3">
        <v>253</v>
      </c>
      <c r="G117" s="13"/>
    </row>
    <row r="118" spans="1:7" ht="12.75" x14ac:dyDescent="0.2">
      <c r="A118" s="3">
        <v>16</v>
      </c>
      <c r="B118" s="3" t="s">
        <v>44</v>
      </c>
      <c r="C118" s="3" t="s">
        <v>2</v>
      </c>
      <c r="D118" s="3" t="s">
        <v>14</v>
      </c>
      <c r="E118" s="3">
        <v>51</v>
      </c>
      <c r="F118">
        <f>SUM(E116:E118)</f>
        <v>783</v>
      </c>
      <c r="G118" s="13"/>
    </row>
    <row r="119" spans="1:7" ht="12.75" x14ac:dyDescent="0.2">
      <c r="A119" s="3">
        <v>16</v>
      </c>
      <c r="B119" s="3" t="s">
        <v>44</v>
      </c>
      <c r="C119" s="3" t="s">
        <v>10</v>
      </c>
      <c r="D119" s="3" t="s">
        <v>3</v>
      </c>
      <c r="E119" s="3">
        <v>472</v>
      </c>
      <c r="G119" s="13"/>
    </row>
    <row r="120" spans="1:7" ht="12.75" x14ac:dyDescent="0.2">
      <c r="A120" s="3">
        <v>16</v>
      </c>
      <c r="B120" s="3" t="s">
        <v>44</v>
      </c>
      <c r="C120" s="3" t="s">
        <v>10</v>
      </c>
      <c r="D120" s="3" t="s">
        <v>132</v>
      </c>
      <c r="E120" s="3">
        <v>250</v>
      </c>
      <c r="G120" s="13"/>
    </row>
    <row r="121" spans="1:7" ht="12.75" x14ac:dyDescent="0.2">
      <c r="A121" s="3">
        <v>16</v>
      </c>
      <c r="B121" s="3" t="s">
        <v>44</v>
      </c>
      <c r="C121" s="3" t="s">
        <v>10</v>
      </c>
      <c r="D121" s="3" t="s">
        <v>14</v>
      </c>
      <c r="E121" s="3">
        <v>62</v>
      </c>
      <c r="F121">
        <f>SUM(E119:E121)</f>
        <v>784</v>
      </c>
      <c r="G121" s="13"/>
    </row>
    <row r="122" spans="1:7" ht="12.75" x14ac:dyDescent="0.2">
      <c r="A122" s="3">
        <v>16</v>
      </c>
      <c r="B122" s="3" t="s">
        <v>44</v>
      </c>
      <c r="C122" s="3" t="s">
        <v>13</v>
      </c>
      <c r="D122" s="3" t="s">
        <v>3</v>
      </c>
      <c r="E122" s="3">
        <v>390</v>
      </c>
      <c r="G122" s="13"/>
    </row>
    <row r="123" spans="1:7" ht="12.75" x14ac:dyDescent="0.2">
      <c r="A123" s="3">
        <v>16</v>
      </c>
      <c r="B123" s="3" t="s">
        <v>44</v>
      </c>
      <c r="C123" s="3" t="s">
        <v>13</v>
      </c>
      <c r="D123" s="3" t="s">
        <v>132</v>
      </c>
      <c r="E123" s="3">
        <v>334</v>
      </c>
      <c r="G123" s="13"/>
    </row>
    <row r="124" spans="1:7" ht="12.75" x14ac:dyDescent="0.2">
      <c r="A124" s="3">
        <v>16</v>
      </c>
      <c r="B124" s="3" t="s">
        <v>44</v>
      </c>
      <c r="C124" s="3" t="s">
        <v>13</v>
      </c>
      <c r="D124" s="3" t="s">
        <v>14</v>
      </c>
      <c r="E124" s="3">
        <v>57</v>
      </c>
      <c r="F124">
        <f>SUM(E122:E124)</f>
        <v>781</v>
      </c>
      <c r="G124" s="13"/>
    </row>
    <row r="125" spans="1:7" ht="12.75" x14ac:dyDescent="0.2">
      <c r="A125" s="3">
        <v>17</v>
      </c>
      <c r="B125" s="3" t="s">
        <v>45</v>
      </c>
      <c r="C125" s="3" t="s">
        <v>13</v>
      </c>
      <c r="D125" s="3" t="s">
        <v>3</v>
      </c>
      <c r="E125" s="3">
        <v>34</v>
      </c>
      <c r="G125" s="13"/>
    </row>
    <row r="126" spans="1:7" ht="12.75" x14ac:dyDescent="0.2">
      <c r="A126" s="3">
        <v>17</v>
      </c>
      <c r="B126" s="4" t="s">
        <v>45</v>
      </c>
      <c r="C126" s="3" t="s">
        <v>13</v>
      </c>
      <c r="D126" s="3" t="s">
        <v>14</v>
      </c>
      <c r="E126" s="3">
        <v>12</v>
      </c>
      <c r="F126" s="3">
        <f>SUM(E125:E126)</f>
        <v>46</v>
      </c>
      <c r="G126" s="13"/>
    </row>
    <row r="127" spans="1:7" ht="12.75" x14ac:dyDescent="0.2">
      <c r="A127" s="3">
        <v>18</v>
      </c>
      <c r="B127" s="4" t="s">
        <v>46</v>
      </c>
      <c r="C127" s="3" t="s">
        <v>2</v>
      </c>
      <c r="D127" s="3" t="s">
        <v>3</v>
      </c>
      <c r="E127" s="3">
        <v>1009</v>
      </c>
      <c r="G127" s="13"/>
    </row>
    <row r="128" spans="1:7" ht="12.75" x14ac:dyDescent="0.2">
      <c r="A128" s="3">
        <v>18</v>
      </c>
      <c r="B128" s="4" t="s">
        <v>46</v>
      </c>
      <c r="C128" s="3" t="s">
        <v>2</v>
      </c>
      <c r="D128" s="3" t="s">
        <v>338</v>
      </c>
      <c r="E128" s="3">
        <v>56</v>
      </c>
      <c r="G128" s="13"/>
    </row>
    <row r="129" spans="1:7" ht="12.75" x14ac:dyDescent="0.2">
      <c r="A129" s="3">
        <v>18</v>
      </c>
      <c r="B129" s="4" t="s">
        <v>46</v>
      </c>
      <c r="C129" s="3" t="s">
        <v>2</v>
      </c>
      <c r="D129" s="3" t="s">
        <v>276</v>
      </c>
      <c r="E129" s="3">
        <v>712</v>
      </c>
      <c r="G129" s="13"/>
    </row>
    <row r="130" spans="1:7" ht="12.75" x14ac:dyDescent="0.2">
      <c r="A130" s="3">
        <v>18</v>
      </c>
      <c r="B130" s="4" t="s">
        <v>46</v>
      </c>
      <c r="C130" s="3" t="s">
        <v>2</v>
      </c>
      <c r="D130" s="3" t="s">
        <v>14</v>
      </c>
      <c r="E130" s="3">
        <v>110</v>
      </c>
      <c r="F130">
        <f>SUM(E127:E130)</f>
        <v>1887</v>
      </c>
      <c r="G130" s="13"/>
    </row>
    <row r="131" spans="1:7" ht="12.75" x14ac:dyDescent="0.2">
      <c r="A131" s="3">
        <v>18</v>
      </c>
      <c r="B131" s="4" t="s">
        <v>46</v>
      </c>
      <c r="C131" s="3" t="s">
        <v>10</v>
      </c>
      <c r="D131" s="3" t="s">
        <v>3</v>
      </c>
      <c r="E131" s="3">
        <v>888</v>
      </c>
      <c r="G131" s="13"/>
    </row>
    <row r="132" spans="1:7" ht="12.75" x14ac:dyDescent="0.2">
      <c r="A132" s="3">
        <v>18</v>
      </c>
      <c r="B132" s="4" t="s">
        <v>46</v>
      </c>
      <c r="C132" s="3" t="s">
        <v>10</v>
      </c>
      <c r="D132" s="3" t="s">
        <v>338</v>
      </c>
      <c r="E132" s="3">
        <v>67</v>
      </c>
      <c r="G132" s="13"/>
    </row>
    <row r="133" spans="1:7" ht="12.75" x14ac:dyDescent="0.2">
      <c r="A133" s="3">
        <v>18</v>
      </c>
      <c r="B133" s="4" t="s">
        <v>46</v>
      </c>
      <c r="C133" s="3" t="s">
        <v>10</v>
      </c>
      <c r="D133" s="3" t="s">
        <v>276</v>
      </c>
      <c r="E133" s="3">
        <v>711</v>
      </c>
      <c r="G133" s="13"/>
    </row>
    <row r="134" spans="1:7" ht="12.75" x14ac:dyDescent="0.2">
      <c r="A134" s="3">
        <v>18</v>
      </c>
      <c r="B134" s="4" t="s">
        <v>46</v>
      </c>
      <c r="C134" s="3" t="s">
        <v>10</v>
      </c>
      <c r="D134" s="3" t="s">
        <v>14</v>
      </c>
      <c r="E134" s="3">
        <v>222</v>
      </c>
      <c r="F134">
        <f>SUM(E131:E134)</f>
        <v>1888</v>
      </c>
      <c r="G134" s="13"/>
    </row>
    <row r="135" spans="1:7" ht="12.75" x14ac:dyDescent="0.2">
      <c r="A135" s="3">
        <v>18</v>
      </c>
      <c r="B135" s="4" t="s">
        <v>46</v>
      </c>
      <c r="C135" s="3" t="s">
        <v>13</v>
      </c>
      <c r="D135" s="3" t="s">
        <v>3</v>
      </c>
      <c r="E135" s="3">
        <v>886</v>
      </c>
      <c r="G135" s="13"/>
    </row>
    <row r="136" spans="1:7" ht="12.75" x14ac:dyDescent="0.2">
      <c r="A136" s="3">
        <v>18</v>
      </c>
      <c r="B136" s="4" t="s">
        <v>46</v>
      </c>
      <c r="C136" s="3" t="s">
        <v>13</v>
      </c>
      <c r="D136" s="3" t="s">
        <v>338</v>
      </c>
      <c r="E136" s="3">
        <v>103</v>
      </c>
      <c r="G136" s="13"/>
    </row>
    <row r="137" spans="1:7" ht="12.75" x14ac:dyDescent="0.2">
      <c r="A137" s="3">
        <v>18</v>
      </c>
      <c r="B137" s="4" t="s">
        <v>46</v>
      </c>
      <c r="C137" s="3" t="s">
        <v>13</v>
      </c>
      <c r="D137" s="3" t="s">
        <v>276</v>
      </c>
      <c r="E137" s="3">
        <v>727</v>
      </c>
      <c r="G137" s="13"/>
    </row>
    <row r="138" spans="1:7" ht="12.75" x14ac:dyDescent="0.2">
      <c r="A138" s="3">
        <v>18</v>
      </c>
      <c r="B138" s="4" t="s">
        <v>46</v>
      </c>
      <c r="C138" s="3" t="s">
        <v>13</v>
      </c>
      <c r="D138" s="3" t="s">
        <v>14</v>
      </c>
      <c r="E138" s="3">
        <v>171</v>
      </c>
      <c r="F138">
        <f>SUM(E135:E138)</f>
        <v>1887</v>
      </c>
      <c r="G138" s="13"/>
    </row>
    <row r="139" spans="1:7" ht="12.75" x14ac:dyDescent="0.2">
      <c r="A139" s="3">
        <v>19</v>
      </c>
      <c r="B139" s="3" t="s">
        <v>47</v>
      </c>
      <c r="C139" s="3" t="s">
        <v>2</v>
      </c>
      <c r="D139" s="3" t="s">
        <v>3</v>
      </c>
      <c r="E139" s="3">
        <v>579</v>
      </c>
      <c r="G139" s="13"/>
    </row>
    <row r="140" spans="1:7" ht="12.75" x14ac:dyDescent="0.2">
      <c r="A140" s="3">
        <v>19</v>
      </c>
      <c r="B140" s="3" t="s">
        <v>47</v>
      </c>
      <c r="C140" s="3" t="s">
        <v>2</v>
      </c>
      <c r="D140" s="3" t="s">
        <v>132</v>
      </c>
      <c r="E140" s="3">
        <v>293</v>
      </c>
      <c r="G140" s="13"/>
    </row>
    <row r="141" spans="1:7" ht="12.75" x14ac:dyDescent="0.2">
      <c r="A141" s="3">
        <v>19</v>
      </c>
      <c r="B141" s="3" t="s">
        <v>47</v>
      </c>
      <c r="C141" s="3" t="s">
        <v>2</v>
      </c>
      <c r="D141" s="3" t="s">
        <v>338</v>
      </c>
      <c r="E141" s="3">
        <v>262</v>
      </c>
      <c r="G141" s="13"/>
    </row>
    <row r="142" spans="1:7" ht="12.75" x14ac:dyDescent="0.2">
      <c r="A142" s="3">
        <v>19</v>
      </c>
      <c r="B142" s="3" t="s">
        <v>47</v>
      </c>
      <c r="C142" s="3" t="s">
        <v>2</v>
      </c>
      <c r="D142" s="3" t="s">
        <v>14</v>
      </c>
      <c r="E142" s="3">
        <v>108</v>
      </c>
      <c r="F142">
        <f>SUM(E139:E142)</f>
        <v>1242</v>
      </c>
      <c r="G142" s="13"/>
    </row>
    <row r="143" spans="1:7" ht="12.75" x14ac:dyDescent="0.2">
      <c r="A143" s="3">
        <v>19</v>
      </c>
      <c r="B143" s="3" t="s">
        <v>47</v>
      </c>
      <c r="C143" s="3" t="s">
        <v>10</v>
      </c>
      <c r="D143" s="3" t="s">
        <v>3</v>
      </c>
      <c r="E143" s="3">
        <v>544</v>
      </c>
      <c r="G143" s="13"/>
    </row>
    <row r="144" spans="1:7" ht="12.75" x14ac:dyDescent="0.2">
      <c r="A144" s="3">
        <v>19</v>
      </c>
      <c r="B144" s="3" t="s">
        <v>47</v>
      </c>
      <c r="C144" s="3" t="s">
        <v>10</v>
      </c>
      <c r="D144" s="3" t="s">
        <v>132</v>
      </c>
      <c r="E144" s="3">
        <v>336</v>
      </c>
      <c r="G144" s="13"/>
    </row>
    <row r="145" spans="1:7" ht="12.75" x14ac:dyDescent="0.2">
      <c r="A145" s="3">
        <v>19</v>
      </c>
      <c r="B145" s="3" t="s">
        <v>47</v>
      </c>
      <c r="C145" s="3" t="s">
        <v>10</v>
      </c>
      <c r="D145" s="3" t="s">
        <v>338</v>
      </c>
      <c r="E145" s="3">
        <v>227</v>
      </c>
      <c r="G145" s="13"/>
    </row>
    <row r="146" spans="1:7" ht="12.75" x14ac:dyDescent="0.2">
      <c r="A146" s="3">
        <v>19</v>
      </c>
      <c r="B146" s="3" t="s">
        <v>47</v>
      </c>
      <c r="C146" s="3" t="s">
        <v>10</v>
      </c>
      <c r="D146" s="3" t="s">
        <v>14</v>
      </c>
      <c r="E146" s="3">
        <v>135</v>
      </c>
      <c r="F146">
        <f>SUM(E143:E146)</f>
        <v>1242</v>
      </c>
      <c r="G146" s="13"/>
    </row>
    <row r="147" spans="1:7" ht="12.75" x14ac:dyDescent="0.2">
      <c r="A147" s="3">
        <v>19</v>
      </c>
      <c r="B147" s="3" t="s">
        <v>47</v>
      </c>
      <c r="C147" s="3" t="s">
        <v>13</v>
      </c>
      <c r="D147" s="3" t="s">
        <v>3</v>
      </c>
      <c r="E147" s="3">
        <v>526</v>
      </c>
      <c r="G147" s="13"/>
    </row>
    <row r="148" spans="1:7" ht="12.75" x14ac:dyDescent="0.2">
      <c r="A148" s="3">
        <v>19</v>
      </c>
      <c r="B148" s="3" t="s">
        <v>47</v>
      </c>
      <c r="C148" s="3" t="s">
        <v>13</v>
      </c>
      <c r="D148" s="3" t="s">
        <v>132</v>
      </c>
      <c r="E148" s="3">
        <v>298</v>
      </c>
      <c r="G148" s="13"/>
    </row>
    <row r="149" spans="1:7" ht="12.75" x14ac:dyDescent="0.2">
      <c r="A149" s="3">
        <v>19</v>
      </c>
      <c r="B149" s="3" t="s">
        <v>47</v>
      </c>
      <c r="C149" s="3" t="s">
        <v>13</v>
      </c>
      <c r="D149" s="3" t="s">
        <v>338</v>
      </c>
      <c r="E149" s="3">
        <v>273</v>
      </c>
      <c r="G149" s="13"/>
    </row>
    <row r="150" spans="1:7" ht="12.75" x14ac:dyDescent="0.2">
      <c r="A150" s="3">
        <v>19</v>
      </c>
      <c r="B150" s="3" t="s">
        <v>47</v>
      </c>
      <c r="C150" s="3" t="s">
        <v>13</v>
      </c>
      <c r="D150" s="3" t="s">
        <v>14</v>
      </c>
      <c r="E150" s="3">
        <v>145</v>
      </c>
      <c r="F150">
        <f>SUM(E147:E150)</f>
        <v>1242</v>
      </c>
      <c r="G150" s="13"/>
    </row>
    <row r="151" spans="1:7" ht="12.75" x14ac:dyDescent="0.2">
      <c r="A151" s="2" t="s">
        <v>48</v>
      </c>
      <c r="B151" s="3" t="s">
        <v>49</v>
      </c>
      <c r="C151" s="3" t="s">
        <v>15</v>
      </c>
      <c r="D151" s="3" t="s">
        <v>3</v>
      </c>
      <c r="E151" s="3">
        <v>88</v>
      </c>
      <c r="G151" s="13"/>
    </row>
    <row r="152" spans="1:7" ht="12.75" x14ac:dyDescent="0.2">
      <c r="A152" s="2" t="s">
        <v>48</v>
      </c>
      <c r="B152" s="3" t="s">
        <v>49</v>
      </c>
      <c r="C152" s="3" t="s">
        <v>15</v>
      </c>
      <c r="D152" s="3" t="s">
        <v>132</v>
      </c>
      <c r="E152" s="3">
        <v>23</v>
      </c>
      <c r="G152" s="13"/>
    </row>
    <row r="153" spans="1:7" ht="12.75" x14ac:dyDescent="0.2">
      <c r="A153" s="2" t="s">
        <v>48</v>
      </c>
      <c r="B153" s="3" t="s">
        <v>49</v>
      </c>
      <c r="C153" s="3" t="s">
        <v>15</v>
      </c>
      <c r="D153" s="3" t="s">
        <v>14</v>
      </c>
      <c r="E153" s="3">
        <v>5</v>
      </c>
      <c r="F153">
        <f>SUM(E151:E153)</f>
        <v>116</v>
      </c>
      <c r="G153" s="13"/>
    </row>
    <row r="154" spans="1:7" ht="12.75" x14ac:dyDescent="0.2">
      <c r="A154" s="2" t="s">
        <v>48</v>
      </c>
      <c r="B154" s="3" t="s">
        <v>49</v>
      </c>
      <c r="C154" s="3" t="s">
        <v>17</v>
      </c>
      <c r="D154" s="3" t="s">
        <v>3</v>
      </c>
      <c r="E154" s="3">
        <v>84</v>
      </c>
      <c r="G154" s="13"/>
    </row>
    <row r="155" spans="1:7" ht="12.75" x14ac:dyDescent="0.2">
      <c r="A155" s="2" t="s">
        <v>48</v>
      </c>
      <c r="B155" s="3" t="s">
        <v>49</v>
      </c>
      <c r="C155" s="3" t="s">
        <v>17</v>
      </c>
      <c r="D155" s="3" t="s">
        <v>132</v>
      </c>
      <c r="E155" s="3">
        <v>16</v>
      </c>
      <c r="G155" s="13"/>
    </row>
    <row r="156" spans="1:7" ht="12.75" x14ac:dyDescent="0.2">
      <c r="A156" s="2" t="s">
        <v>48</v>
      </c>
      <c r="B156" s="3" t="s">
        <v>49</v>
      </c>
      <c r="C156" s="3" t="s">
        <v>17</v>
      </c>
      <c r="D156" s="3" t="s">
        <v>14</v>
      </c>
      <c r="E156" s="3">
        <v>16</v>
      </c>
      <c r="F156">
        <f>SUM(E154:E156)</f>
        <v>116</v>
      </c>
      <c r="G156" s="13"/>
    </row>
    <row r="157" spans="1:7" ht="12.75" x14ac:dyDescent="0.2">
      <c r="A157" s="3">
        <v>20</v>
      </c>
      <c r="B157" s="3" t="s">
        <v>50</v>
      </c>
      <c r="C157" s="3" t="s">
        <v>2</v>
      </c>
      <c r="D157" s="3" t="s">
        <v>3</v>
      </c>
      <c r="E157" s="3">
        <v>60</v>
      </c>
      <c r="G157" s="13"/>
    </row>
    <row r="158" spans="1:7" ht="12.75" x14ac:dyDescent="0.2">
      <c r="A158" s="3">
        <v>20</v>
      </c>
      <c r="B158" s="3" t="s">
        <v>50</v>
      </c>
      <c r="C158" s="3" t="s">
        <v>2</v>
      </c>
      <c r="D158" s="3" t="s">
        <v>141</v>
      </c>
      <c r="E158" s="3">
        <v>230</v>
      </c>
      <c r="G158" s="13"/>
    </row>
    <row r="159" spans="1:7" ht="12.75" x14ac:dyDescent="0.2">
      <c r="A159" s="3">
        <v>20</v>
      </c>
      <c r="B159" s="3" t="s">
        <v>50</v>
      </c>
      <c r="C159" s="3" t="s">
        <v>2</v>
      </c>
      <c r="D159" s="3" t="s">
        <v>14</v>
      </c>
      <c r="E159" s="3">
        <v>9</v>
      </c>
      <c r="F159">
        <f>SUM(E157:E159)</f>
        <v>299</v>
      </c>
      <c r="G159" s="13"/>
    </row>
    <row r="160" spans="1:7" ht="12.75" x14ac:dyDescent="0.2">
      <c r="A160" s="3">
        <v>20</v>
      </c>
      <c r="B160" s="3" t="s">
        <v>50</v>
      </c>
      <c r="C160" s="3" t="s">
        <v>10</v>
      </c>
      <c r="D160" s="3" t="s">
        <v>3</v>
      </c>
      <c r="E160" s="3">
        <v>69</v>
      </c>
      <c r="G160" s="13"/>
    </row>
    <row r="161" spans="1:7" ht="12.75" x14ac:dyDescent="0.2">
      <c r="A161" s="3">
        <v>20</v>
      </c>
      <c r="B161" s="3" t="s">
        <v>50</v>
      </c>
      <c r="C161" s="3" t="s">
        <v>10</v>
      </c>
      <c r="D161" s="3" t="s">
        <v>141</v>
      </c>
      <c r="E161" s="3">
        <v>203</v>
      </c>
      <c r="G161" s="13"/>
    </row>
    <row r="162" spans="1:7" ht="12.75" x14ac:dyDescent="0.2">
      <c r="A162" s="3">
        <v>20</v>
      </c>
      <c r="B162" s="3" t="s">
        <v>50</v>
      </c>
      <c r="C162" s="3" t="s">
        <v>10</v>
      </c>
      <c r="D162" s="3" t="s">
        <v>14</v>
      </c>
      <c r="E162" s="3">
        <v>26</v>
      </c>
      <c r="F162">
        <f>SUM(E160:E162)</f>
        <v>298</v>
      </c>
      <c r="G162" s="13"/>
    </row>
    <row r="163" spans="1:7" ht="12.75" x14ac:dyDescent="0.2">
      <c r="A163" s="3">
        <v>20</v>
      </c>
      <c r="B163" s="3" t="s">
        <v>50</v>
      </c>
      <c r="C163" s="3" t="s">
        <v>13</v>
      </c>
      <c r="D163" s="3" t="s">
        <v>3</v>
      </c>
      <c r="E163" s="3">
        <v>99</v>
      </c>
      <c r="G163" s="13"/>
    </row>
    <row r="164" spans="1:7" ht="12.75" x14ac:dyDescent="0.2">
      <c r="A164" s="3">
        <v>20</v>
      </c>
      <c r="B164" s="3" t="s">
        <v>50</v>
      </c>
      <c r="C164" s="3" t="s">
        <v>13</v>
      </c>
      <c r="D164" s="3" t="s">
        <v>141</v>
      </c>
      <c r="E164" s="3">
        <v>169</v>
      </c>
      <c r="G164" s="13"/>
    </row>
    <row r="165" spans="1:7" ht="12.75" x14ac:dyDescent="0.2">
      <c r="A165" s="3">
        <v>20</v>
      </c>
      <c r="B165" s="3" t="s">
        <v>50</v>
      </c>
      <c r="C165" s="3" t="s">
        <v>13</v>
      </c>
      <c r="D165" s="3" t="s">
        <v>14</v>
      </c>
      <c r="E165" s="3">
        <v>31</v>
      </c>
      <c r="F165">
        <f>SUM(E163:E165)</f>
        <v>299</v>
      </c>
      <c r="G165" s="13"/>
    </row>
    <row r="166" spans="1:7" ht="12.75" x14ac:dyDescent="0.2">
      <c r="A166" s="3">
        <v>21</v>
      </c>
      <c r="B166" s="3" t="s">
        <v>51</v>
      </c>
      <c r="C166" s="3" t="s">
        <v>2</v>
      </c>
      <c r="D166" s="3" t="s">
        <v>3</v>
      </c>
      <c r="E166" s="3">
        <v>329</v>
      </c>
      <c r="G166" s="13"/>
    </row>
    <row r="167" spans="1:7" ht="12.75" x14ac:dyDescent="0.2">
      <c r="A167" s="3">
        <v>21</v>
      </c>
      <c r="B167" s="3" t="s">
        <v>51</v>
      </c>
      <c r="C167" s="3" t="s">
        <v>2</v>
      </c>
      <c r="D167" s="3" t="s">
        <v>14</v>
      </c>
      <c r="E167" s="3">
        <v>224</v>
      </c>
      <c r="F167">
        <f>SUM(E166:E167)</f>
        <v>553</v>
      </c>
      <c r="G167" s="13"/>
    </row>
    <row r="168" spans="1:7" ht="12.75" x14ac:dyDescent="0.2">
      <c r="A168" s="3">
        <v>21</v>
      </c>
      <c r="B168" s="3" t="s">
        <v>51</v>
      </c>
      <c r="C168" s="3" t="s">
        <v>10</v>
      </c>
      <c r="D168" s="3" t="s">
        <v>3</v>
      </c>
      <c r="E168" s="3">
        <v>308</v>
      </c>
      <c r="G168" s="13"/>
    </row>
    <row r="169" spans="1:7" ht="12.75" x14ac:dyDescent="0.2">
      <c r="A169" s="3">
        <v>21</v>
      </c>
      <c r="B169" s="3" t="s">
        <v>51</v>
      </c>
      <c r="C169" s="3" t="s">
        <v>10</v>
      </c>
      <c r="D169" s="3" t="s">
        <v>14</v>
      </c>
      <c r="E169" s="3">
        <v>245</v>
      </c>
      <c r="F169">
        <f>SUM(E168:E169)</f>
        <v>553</v>
      </c>
      <c r="G169" s="13"/>
    </row>
    <row r="170" spans="1:7" ht="12.75" x14ac:dyDescent="0.2">
      <c r="A170" s="3">
        <v>21</v>
      </c>
      <c r="B170" s="3" t="s">
        <v>51</v>
      </c>
      <c r="C170" s="3" t="s">
        <v>13</v>
      </c>
      <c r="D170" s="3" t="s">
        <v>3</v>
      </c>
      <c r="E170" s="3">
        <v>306</v>
      </c>
      <c r="G170" s="13"/>
    </row>
    <row r="171" spans="1:7" ht="12.75" x14ac:dyDescent="0.2">
      <c r="A171" s="3">
        <v>21</v>
      </c>
      <c r="B171" s="3" t="s">
        <v>51</v>
      </c>
      <c r="C171" s="3" t="s">
        <v>13</v>
      </c>
      <c r="D171" s="3" t="s">
        <v>14</v>
      </c>
      <c r="E171" s="3">
        <v>247</v>
      </c>
      <c r="F171">
        <f>SUM(E170:E171)</f>
        <v>553</v>
      </c>
      <c r="G171" s="13"/>
    </row>
    <row r="172" spans="1:7" ht="12.75" x14ac:dyDescent="0.2">
      <c r="A172" s="3">
        <v>22</v>
      </c>
      <c r="B172" s="3" t="s">
        <v>52</v>
      </c>
      <c r="C172" s="3" t="s">
        <v>2</v>
      </c>
      <c r="D172" s="3" t="s">
        <v>3</v>
      </c>
      <c r="E172" s="3">
        <v>1410</v>
      </c>
      <c r="G172" s="13"/>
    </row>
    <row r="173" spans="1:7" ht="12.75" x14ac:dyDescent="0.2">
      <c r="A173" s="3">
        <v>22</v>
      </c>
      <c r="B173" s="3" t="s">
        <v>52</v>
      </c>
      <c r="C173" s="3" t="s">
        <v>2</v>
      </c>
      <c r="D173" s="3" t="s">
        <v>140</v>
      </c>
      <c r="E173" s="3">
        <v>3393</v>
      </c>
      <c r="G173" s="13"/>
    </row>
    <row r="174" spans="1:7" ht="12.75" x14ac:dyDescent="0.2">
      <c r="A174" s="3">
        <v>22</v>
      </c>
      <c r="B174" s="3" t="s">
        <v>52</v>
      </c>
      <c r="C174" s="3" t="s">
        <v>2</v>
      </c>
      <c r="D174" s="3" t="s">
        <v>14</v>
      </c>
      <c r="E174" s="3">
        <v>324</v>
      </c>
      <c r="F174">
        <f>SUM(E172:E174)</f>
        <v>5127</v>
      </c>
      <c r="G174" s="13"/>
    </row>
    <row r="175" spans="1:7" ht="12.75" x14ac:dyDescent="0.2">
      <c r="A175" s="3">
        <v>22</v>
      </c>
      <c r="B175" s="3" t="s">
        <v>52</v>
      </c>
      <c r="C175" s="3" t="s">
        <v>10</v>
      </c>
      <c r="D175" s="3" t="s">
        <v>3</v>
      </c>
      <c r="E175" s="3">
        <v>1455</v>
      </c>
      <c r="G175" s="13"/>
    </row>
    <row r="176" spans="1:7" ht="12.75" x14ac:dyDescent="0.2">
      <c r="A176" s="3">
        <v>22</v>
      </c>
      <c r="B176" s="3" t="s">
        <v>52</v>
      </c>
      <c r="C176" s="3" t="s">
        <v>10</v>
      </c>
      <c r="D176" s="3" t="s">
        <v>140</v>
      </c>
      <c r="E176" s="3">
        <v>3197</v>
      </c>
      <c r="G176" s="13"/>
    </row>
    <row r="177" spans="1:7" ht="12.75" x14ac:dyDescent="0.2">
      <c r="A177" s="3">
        <v>22</v>
      </c>
      <c r="B177" s="3" t="s">
        <v>52</v>
      </c>
      <c r="C177" s="3" t="s">
        <v>10</v>
      </c>
      <c r="D177" s="3" t="s">
        <v>14</v>
      </c>
      <c r="E177" s="3">
        <v>468</v>
      </c>
      <c r="F177">
        <f>SUM(E175:E177)</f>
        <v>5120</v>
      </c>
      <c r="G177" s="13"/>
    </row>
    <row r="178" spans="1:7" ht="12.75" x14ac:dyDescent="0.2">
      <c r="A178" s="3">
        <v>22</v>
      </c>
      <c r="B178" s="3" t="s">
        <v>52</v>
      </c>
      <c r="C178" s="3" t="s">
        <v>13</v>
      </c>
      <c r="D178" s="3" t="s">
        <v>3</v>
      </c>
      <c r="E178" s="3">
        <v>1379</v>
      </c>
      <c r="G178" s="13"/>
    </row>
    <row r="179" spans="1:7" ht="12.75" x14ac:dyDescent="0.2">
      <c r="A179" s="3">
        <v>22</v>
      </c>
      <c r="B179" s="3" t="s">
        <v>52</v>
      </c>
      <c r="C179" s="3" t="s">
        <v>13</v>
      </c>
      <c r="D179" s="3" t="s">
        <v>140</v>
      </c>
      <c r="E179" s="3">
        <v>3309</v>
      </c>
      <c r="G179" s="13"/>
    </row>
    <row r="180" spans="1:7" ht="12.75" x14ac:dyDescent="0.2">
      <c r="A180" s="3">
        <v>22</v>
      </c>
      <c r="B180" s="3" t="s">
        <v>52</v>
      </c>
      <c r="C180" s="3" t="s">
        <v>13</v>
      </c>
      <c r="D180" s="3" t="s">
        <v>14</v>
      </c>
      <c r="E180" s="3">
        <v>429</v>
      </c>
      <c r="F180">
        <f>SUM(E178:E180)</f>
        <v>5117</v>
      </c>
      <c r="G180" s="13"/>
    </row>
    <row r="181" spans="1:7" ht="12.75" x14ac:dyDescent="0.2">
      <c r="A181" s="3">
        <v>23</v>
      </c>
      <c r="B181" s="3" t="s">
        <v>53</v>
      </c>
      <c r="C181" s="3" t="s">
        <v>2</v>
      </c>
      <c r="D181" s="3" t="s">
        <v>3</v>
      </c>
      <c r="E181" s="3">
        <v>255</v>
      </c>
      <c r="G181" s="13"/>
    </row>
    <row r="182" spans="1:7" ht="12.75" x14ac:dyDescent="0.2">
      <c r="A182" s="3">
        <v>23</v>
      </c>
      <c r="B182" s="3" t="s">
        <v>53</v>
      </c>
      <c r="C182" s="3" t="s">
        <v>2</v>
      </c>
      <c r="D182" s="3" t="s">
        <v>14</v>
      </c>
      <c r="E182" s="3">
        <v>269</v>
      </c>
      <c r="F182">
        <f>SUM(E181:E182)</f>
        <v>524</v>
      </c>
      <c r="G182" s="13"/>
    </row>
    <row r="183" spans="1:7" ht="12.75" x14ac:dyDescent="0.2">
      <c r="A183" s="3">
        <v>23</v>
      </c>
      <c r="B183" s="3" t="s">
        <v>53</v>
      </c>
      <c r="C183" s="3" t="s">
        <v>10</v>
      </c>
      <c r="D183" s="3" t="s">
        <v>3</v>
      </c>
      <c r="E183" s="3">
        <v>220</v>
      </c>
      <c r="G183" s="13"/>
    </row>
    <row r="184" spans="1:7" ht="12.75" x14ac:dyDescent="0.2">
      <c r="A184" s="3">
        <v>23</v>
      </c>
      <c r="B184" s="3" t="s">
        <v>53</v>
      </c>
      <c r="C184" s="3" t="s">
        <v>10</v>
      </c>
      <c r="D184" s="3" t="s">
        <v>132</v>
      </c>
      <c r="E184" s="3">
        <v>209</v>
      </c>
      <c r="G184" s="13"/>
    </row>
    <row r="185" spans="1:7" ht="12.75" x14ac:dyDescent="0.2">
      <c r="A185" s="3">
        <v>23</v>
      </c>
      <c r="B185" s="3" t="s">
        <v>53</v>
      </c>
      <c r="C185" s="3" t="s">
        <v>10</v>
      </c>
      <c r="D185" s="3" t="s">
        <v>14</v>
      </c>
      <c r="E185" s="3">
        <v>95</v>
      </c>
      <c r="F185">
        <f>SUM(E183:E185)</f>
        <v>524</v>
      </c>
      <c r="G185" s="13"/>
    </row>
    <row r="186" spans="1:7" ht="12.75" x14ac:dyDescent="0.2">
      <c r="A186" s="3">
        <v>23</v>
      </c>
      <c r="B186" s="3" t="s">
        <v>53</v>
      </c>
      <c r="C186" s="3" t="s">
        <v>13</v>
      </c>
      <c r="D186" s="3" t="s">
        <v>3</v>
      </c>
      <c r="E186" s="3">
        <v>246</v>
      </c>
      <c r="G186" s="13"/>
    </row>
    <row r="187" spans="1:7" ht="12.75" x14ac:dyDescent="0.2">
      <c r="A187" s="3">
        <v>23</v>
      </c>
      <c r="B187" s="3" t="s">
        <v>53</v>
      </c>
      <c r="C187" s="3" t="s">
        <v>13</v>
      </c>
      <c r="D187" s="3" t="s">
        <v>132</v>
      </c>
      <c r="E187" s="3">
        <v>185</v>
      </c>
      <c r="G187" s="13"/>
    </row>
    <row r="188" spans="1:7" ht="12.75" x14ac:dyDescent="0.2">
      <c r="A188" s="3">
        <v>23</v>
      </c>
      <c r="B188" s="3" t="s">
        <v>53</v>
      </c>
      <c r="C188" s="3" t="s">
        <v>13</v>
      </c>
      <c r="D188" s="3" t="s">
        <v>14</v>
      </c>
      <c r="E188" s="3">
        <v>93</v>
      </c>
      <c r="F188">
        <f>SUM(E186:E188)</f>
        <v>524</v>
      </c>
      <c r="G188" s="13"/>
    </row>
    <row r="189" spans="1:7" ht="12.75" x14ac:dyDescent="0.2">
      <c r="A189" s="3">
        <v>24</v>
      </c>
      <c r="B189" s="3" t="s">
        <v>54</v>
      </c>
      <c r="C189" s="3" t="s">
        <v>15</v>
      </c>
      <c r="D189" s="3" t="s">
        <v>3</v>
      </c>
      <c r="E189" s="3">
        <v>188</v>
      </c>
      <c r="G189" s="13"/>
    </row>
    <row r="190" spans="1:7" ht="12.75" x14ac:dyDescent="0.2">
      <c r="A190" s="3">
        <v>24</v>
      </c>
      <c r="B190" s="3" t="s">
        <v>54</v>
      </c>
      <c r="C190" s="3" t="s">
        <v>15</v>
      </c>
      <c r="D190" s="3" t="s">
        <v>294</v>
      </c>
      <c r="E190" s="3">
        <v>127</v>
      </c>
      <c r="G190" s="13"/>
    </row>
    <row r="191" spans="1:7" ht="12.75" x14ac:dyDescent="0.2">
      <c r="A191" s="3">
        <v>24</v>
      </c>
      <c r="B191" s="3" t="s">
        <v>54</v>
      </c>
      <c r="C191" s="3" t="s">
        <v>15</v>
      </c>
      <c r="D191" s="3" t="s">
        <v>14</v>
      </c>
      <c r="E191" s="3">
        <v>10</v>
      </c>
      <c r="F191">
        <f>SUM(E189:E191)</f>
        <v>325</v>
      </c>
      <c r="G191" s="13"/>
    </row>
    <row r="192" spans="1:7" ht="12.75" x14ac:dyDescent="0.2">
      <c r="A192" s="3">
        <v>24</v>
      </c>
      <c r="B192" s="3" t="s">
        <v>54</v>
      </c>
      <c r="C192" s="3" t="s">
        <v>17</v>
      </c>
      <c r="D192" s="3" t="s">
        <v>3</v>
      </c>
      <c r="E192" s="3">
        <v>187</v>
      </c>
      <c r="G192" s="13"/>
    </row>
    <row r="193" spans="1:7" ht="12.75" x14ac:dyDescent="0.2">
      <c r="A193" s="3">
        <v>24</v>
      </c>
      <c r="B193" s="3" t="s">
        <v>54</v>
      </c>
      <c r="C193" s="3" t="s">
        <v>17</v>
      </c>
      <c r="D193" s="3" t="s">
        <v>294</v>
      </c>
      <c r="E193" s="3">
        <v>124</v>
      </c>
      <c r="G193" s="13"/>
    </row>
    <row r="194" spans="1:7" ht="12.75" x14ac:dyDescent="0.2">
      <c r="A194" s="3">
        <v>24</v>
      </c>
      <c r="B194" s="3" t="s">
        <v>54</v>
      </c>
      <c r="C194" s="3" t="s">
        <v>17</v>
      </c>
      <c r="D194" s="3" t="s">
        <v>14</v>
      </c>
      <c r="E194" s="3">
        <v>14</v>
      </c>
      <c r="F194">
        <f>SUM(E192:E194)</f>
        <v>325</v>
      </c>
      <c r="G194" s="13"/>
    </row>
    <row r="195" spans="1:7" ht="12.75" x14ac:dyDescent="0.2">
      <c r="A195" s="3">
        <v>24</v>
      </c>
      <c r="B195" s="3" t="s">
        <v>54</v>
      </c>
      <c r="C195" s="3" t="s">
        <v>13</v>
      </c>
      <c r="D195" s="3" t="s">
        <v>3</v>
      </c>
      <c r="E195" s="3">
        <v>179</v>
      </c>
      <c r="G195" s="13"/>
    </row>
    <row r="196" spans="1:7" ht="12.75" x14ac:dyDescent="0.2">
      <c r="A196" s="3">
        <v>24</v>
      </c>
      <c r="B196" s="3" t="s">
        <v>54</v>
      </c>
      <c r="C196" s="3" t="s">
        <v>13</v>
      </c>
      <c r="D196" s="3" t="s">
        <v>294</v>
      </c>
      <c r="E196" s="3">
        <v>131</v>
      </c>
      <c r="G196" s="13"/>
    </row>
    <row r="197" spans="1:7" ht="12.75" x14ac:dyDescent="0.2">
      <c r="A197" s="3">
        <v>24</v>
      </c>
      <c r="B197" s="3" t="s">
        <v>54</v>
      </c>
      <c r="C197" s="3" t="s">
        <v>13</v>
      </c>
      <c r="D197" s="3" t="s">
        <v>14</v>
      </c>
      <c r="E197" s="3">
        <v>15</v>
      </c>
      <c r="F197">
        <f>SUM(E195:E197)</f>
        <v>325</v>
      </c>
      <c r="G197" s="13"/>
    </row>
    <row r="198" spans="1:7" ht="12.75" x14ac:dyDescent="0.2">
      <c r="A198" s="3">
        <v>25</v>
      </c>
      <c r="B198" s="3" t="s">
        <v>55</v>
      </c>
      <c r="C198" s="3" t="s">
        <v>2</v>
      </c>
      <c r="D198" s="3" t="s">
        <v>3</v>
      </c>
      <c r="E198" s="3">
        <v>292</v>
      </c>
      <c r="G198" s="13"/>
    </row>
    <row r="199" spans="1:7" ht="12.75" x14ac:dyDescent="0.2">
      <c r="A199" s="3">
        <v>25</v>
      </c>
      <c r="B199" s="3" t="s">
        <v>55</v>
      </c>
      <c r="C199" s="3" t="s">
        <v>2</v>
      </c>
      <c r="D199" s="3" t="s">
        <v>340</v>
      </c>
      <c r="E199" s="3">
        <v>82</v>
      </c>
      <c r="G199" s="13"/>
    </row>
    <row r="200" spans="1:7" ht="12.75" x14ac:dyDescent="0.2">
      <c r="A200" s="3">
        <v>25</v>
      </c>
      <c r="B200" s="3" t="s">
        <v>55</v>
      </c>
      <c r="C200" s="3" t="s">
        <v>2</v>
      </c>
      <c r="D200" s="3" t="s">
        <v>132</v>
      </c>
      <c r="E200" s="3">
        <v>191</v>
      </c>
      <c r="G200" s="13"/>
    </row>
    <row r="201" spans="1:7" ht="12.75" x14ac:dyDescent="0.2">
      <c r="A201" s="3">
        <v>25</v>
      </c>
      <c r="B201" s="3" t="s">
        <v>55</v>
      </c>
      <c r="C201" s="3" t="s">
        <v>2</v>
      </c>
      <c r="D201" s="3" t="s">
        <v>14</v>
      </c>
      <c r="E201" s="3">
        <v>27</v>
      </c>
      <c r="F201">
        <f>SUM(E198:E201)</f>
        <v>592</v>
      </c>
      <c r="G201" s="13"/>
    </row>
    <row r="202" spans="1:7" ht="12.75" x14ac:dyDescent="0.2">
      <c r="A202" s="3">
        <v>25</v>
      </c>
      <c r="B202" s="3" t="s">
        <v>55</v>
      </c>
      <c r="C202" s="3" t="s">
        <v>10</v>
      </c>
      <c r="D202" s="3" t="s">
        <v>3</v>
      </c>
      <c r="E202" s="3">
        <v>291</v>
      </c>
      <c r="G202" s="13"/>
    </row>
    <row r="203" spans="1:7" ht="12.75" x14ac:dyDescent="0.2">
      <c r="A203" s="3">
        <v>25</v>
      </c>
      <c r="B203" s="3" t="s">
        <v>55</v>
      </c>
      <c r="C203" s="3" t="s">
        <v>10</v>
      </c>
      <c r="D203" s="3" t="s">
        <v>340</v>
      </c>
      <c r="E203" s="3">
        <v>81</v>
      </c>
      <c r="G203" s="13"/>
    </row>
    <row r="204" spans="1:7" ht="12.75" x14ac:dyDescent="0.2">
      <c r="A204" s="3">
        <v>25</v>
      </c>
      <c r="B204" s="3" t="s">
        <v>55</v>
      </c>
      <c r="C204" s="3" t="s">
        <v>10</v>
      </c>
      <c r="D204" s="3" t="s">
        <v>132</v>
      </c>
      <c r="E204" s="3">
        <v>189</v>
      </c>
      <c r="G204" s="13"/>
    </row>
    <row r="205" spans="1:7" ht="12.75" x14ac:dyDescent="0.2">
      <c r="A205" s="3">
        <v>25</v>
      </c>
      <c r="B205" s="3" t="s">
        <v>55</v>
      </c>
      <c r="C205" s="3" t="s">
        <v>10</v>
      </c>
      <c r="D205" s="3" t="s">
        <v>14</v>
      </c>
      <c r="E205" s="3">
        <v>31</v>
      </c>
      <c r="F205">
        <f>SUM(E202:E205)</f>
        <v>592</v>
      </c>
      <c r="G205" s="13"/>
    </row>
    <row r="206" spans="1:7" ht="12.75" x14ac:dyDescent="0.2">
      <c r="A206" s="3">
        <v>25</v>
      </c>
      <c r="B206" s="3" t="s">
        <v>55</v>
      </c>
      <c r="C206" s="3" t="s">
        <v>13</v>
      </c>
      <c r="D206" s="3" t="s">
        <v>3</v>
      </c>
      <c r="E206" s="3">
        <v>279</v>
      </c>
      <c r="G206" s="13"/>
    </row>
    <row r="207" spans="1:7" ht="12.75" x14ac:dyDescent="0.2">
      <c r="A207" s="3">
        <v>25</v>
      </c>
      <c r="B207" s="3" t="s">
        <v>55</v>
      </c>
      <c r="C207" s="3" t="s">
        <v>13</v>
      </c>
      <c r="D207" s="3" t="s">
        <v>340</v>
      </c>
      <c r="E207" s="3">
        <v>85</v>
      </c>
      <c r="G207" s="13"/>
    </row>
    <row r="208" spans="1:7" ht="12.75" x14ac:dyDescent="0.2">
      <c r="A208" s="3">
        <v>25</v>
      </c>
      <c r="B208" s="3" t="s">
        <v>55</v>
      </c>
      <c r="C208" s="3" t="s">
        <v>13</v>
      </c>
      <c r="D208" s="3" t="s">
        <v>132</v>
      </c>
      <c r="E208" s="3">
        <v>184</v>
      </c>
      <c r="G208" s="13"/>
    </row>
    <row r="209" spans="1:7" ht="12.75" x14ac:dyDescent="0.2">
      <c r="A209" s="3">
        <v>25</v>
      </c>
      <c r="B209" s="3" t="s">
        <v>55</v>
      </c>
      <c r="C209" s="3" t="s">
        <v>13</v>
      </c>
      <c r="D209" s="3" t="s">
        <v>14</v>
      </c>
      <c r="E209" s="3">
        <v>44</v>
      </c>
      <c r="F209">
        <f>SUM(E206:E209)</f>
        <v>592</v>
      </c>
      <c r="G209" s="13"/>
    </row>
    <row r="210" spans="1:7" ht="12.75" x14ac:dyDescent="0.2">
      <c r="A210" s="3">
        <v>26</v>
      </c>
      <c r="B210" s="3" t="s">
        <v>56</v>
      </c>
      <c r="C210" s="3" t="s">
        <v>2</v>
      </c>
      <c r="D210" s="3" t="s">
        <v>3</v>
      </c>
      <c r="E210" s="3">
        <v>283</v>
      </c>
      <c r="G210" s="13"/>
    </row>
    <row r="211" spans="1:7" ht="12.75" x14ac:dyDescent="0.2">
      <c r="A211" s="3">
        <v>26</v>
      </c>
      <c r="B211" s="3" t="s">
        <v>56</v>
      </c>
      <c r="C211" s="3" t="s">
        <v>2</v>
      </c>
      <c r="D211" s="3" t="s">
        <v>132</v>
      </c>
      <c r="E211" s="3">
        <v>131</v>
      </c>
      <c r="G211" s="13"/>
    </row>
    <row r="212" spans="1:7" ht="12.75" x14ac:dyDescent="0.2">
      <c r="A212" s="3">
        <v>26</v>
      </c>
      <c r="B212" s="3" t="s">
        <v>56</v>
      </c>
      <c r="C212" s="3" t="s">
        <v>2</v>
      </c>
      <c r="D212" s="3" t="s">
        <v>14</v>
      </c>
      <c r="E212" s="3">
        <v>11</v>
      </c>
      <c r="F212">
        <f>SUM(E210:E212)</f>
        <v>425</v>
      </c>
      <c r="G212" s="13"/>
    </row>
    <row r="213" spans="1:7" ht="12.75" x14ac:dyDescent="0.2">
      <c r="A213" s="3">
        <v>26</v>
      </c>
      <c r="B213" s="3" t="s">
        <v>56</v>
      </c>
      <c r="C213" s="3" t="s">
        <v>10</v>
      </c>
      <c r="D213" s="3" t="s">
        <v>3</v>
      </c>
      <c r="E213" s="3">
        <v>272</v>
      </c>
      <c r="G213" s="13"/>
    </row>
    <row r="214" spans="1:7" ht="12.75" x14ac:dyDescent="0.2">
      <c r="A214" s="3">
        <v>26</v>
      </c>
      <c r="B214" s="3" t="s">
        <v>56</v>
      </c>
      <c r="C214" s="3" t="s">
        <v>10</v>
      </c>
      <c r="D214" s="3" t="s">
        <v>132</v>
      </c>
      <c r="E214" s="3">
        <v>133</v>
      </c>
      <c r="G214" s="13"/>
    </row>
    <row r="215" spans="1:7" ht="12.75" x14ac:dyDescent="0.2">
      <c r="A215" s="3">
        <v>26</v>
      </c>
      <c r="B215" s="3" t="s">
        <v>56</v>
      </c>
      <c r="C215" s="3" t="s">
        <v>10</v>
      </c>
      <c r="D215" s="3" t="s">
        <v>14</v>
      </c>
      <c r="E215" s="3">
        <v>20</v>
      </c>
      <c r="F215">
        <f>SUM(E213:E215)</f>
        <v>425</v>
      </c>
      <c r="G215" s="13"/>
    </row>
    <row r="216" spans="1:7" ht="12.75" x14ac:dyDescent="0.2">
      <c r="A216" s="3">
        <v>26</v>
      </c>
      <c r="B216" s="3" t="s">
        <v>56</v>
      </c>
      <c r="C216" s="3" t="s">
        <v>13</v>
      </c>
      <c r="D216" s="3" t="s">
        <v>3</v>
      </c>
      <c r="E216" s="3">
        <v>264</v>
      </c>
      <c r="G216" s="13"/>
    </row>
    <row r="217" spans="1:7" ht="12.75" x14ac:dyDescent="0.2">
      <c r="A217" s="3">
        <v>26</v>
      </c>
      <c r="B217" s="3" t="s">
        <v>56</v>
      </c>
      <c r="C217" s="3" t="s">
        <v>13</v>
      </c>
      <c r="D217" s="3" t="s">
        <v>132</v>
      </c>
      <c r="E217" s="3">
        <v>141</v>
      </c>
      <c r="G217" s="13"/>
    </row>
    <row r="218" spans="1:7" ht="12.75" x14ac:dyDescent="0.2">
      <c r="A218" s="3">
        <v>26</v>
      </c>
      <c r="B218" s="3" t="s">
        <v>56</v>
      </c>
      <c r="C218" s="3" t="s">
        <v>13</v>
      </c>
      <c r="D218" s="3" t="s">
        <v>14</v>
      </c>
      <c r="E218" s="3">
        <v>20</v>
      </c>
      <c r="F218">
        <f>SUM(E216:E218)</f>
        <v>425</v>
      </c>
      <c r="G218" s="13"/>
    </row>
    <row r="219" spans="1:7" ht="12.75" x14ac:dyDescent="0.2">
      <c r="A219" s="3">
        <v>27</v>
      </c>
      <c r="B219" s="3" t="s">
        <v>57</v>
      </c>
      <c r="C219" s="3" t="s">
        <v>2</v>
      </c>
      <c r="D219" s="3" t="s">
        <v>3</v>
      </c>
      <c r="E219" s="3">
        <v>3290</v>
      </c>
      <c r="G219" s="13"/>
    </row>
    <row r="220" spans="1:7" ht="12.75" x14ac:dyDescent="0.2">
      <c r="A220" s="3">
        <v>27</v>
      </c>
      <c r="B220" s="3" t="s">
        <v>57</v>
      </c>
      <c r="C220" s="3" t="s">
        <v>2</v>
      </c>
      <c r="D220" s="3" t="s">
        <v>132</v>
      </c>
      <c r="E220" s="3">
        <v>3075</v>
      </c>
      <c r="G220" s="13"/>
    </row>
    <row r="221" spans="1:7" ht="12.75" x14ac:dyDescent="0.2">
      <c r="A221" s="3">
        <v>27</v>
      </c>
      <c r="B221" s="3" t="s">
        <v>57</v>
      </c>
      <c r="C221" s="3" t="s">
        <v>2</v>
      </c>
      <c r="D221" s="3" t="s">
        <v>14</v>
      </c>
      <c r="E221" s="3">
        <v>530</v>
      </c>
      <c r="F221">
        <f>SUM(E219:E221)</f>
        <v>6895</v>
      </c>
      <c r="G221" s="13"/>
    </row>
    <row r="222" spans="1:7" ht="12.75" x14ac:dyDescent="0.2">
      <c r="A222" s="3">
        <v>27</v>
      </c>
      <c r="B222" s="3" t="s">
        <v>57</v>
      </c>
      <c r="C222" s="3" t="s">
        <v>10</v>
      </c>
      <c r="D222" s="3" t="s">
        <v>3</v>
      </c>
      <c r="E222" s="3">
        <v>3170</v>
      </c>
      <c r="G222" s="13"/>
    </row>
    <row r="223" spans="1:7" ht="12.75" x14ac:dyDescent="0.2">
      <c r="A223" s="3">
        <v>27</v>
      </c>
      <c r="B223" s="3" t="s">
        <v>57</v>
      </c>
      <c r="C223" s="3" t="s">
        <v>10</v>
      </c>
      <c r="D223" s="3" t="s">
        <v>132</v>
      </c>
      <c r="E223" s="3">
        <v>3069</v>
      </c>
      <c r="G223" s="13"/>
    </row>
    <row r="224" spans="1:7" ht="12.75" x14ac:dyDescent="0.2">
      <c r="A224" s="3">
        <v>27</v>
      </c>
      <c r="B224" s="3" t="s">
        <v>57</v>
      </c>
      <c r="C224" s="3" t="s">
        <v>10</v>
      </c>
      <c r="D224" s="3" t="s">
        <v>14</v>
      </c>
      <c r="E224" s="3">
        <v>656</v>
      </c>
      <c r="F224">
        <f>SUM(E222:E224)</f>
        <v>6895</v>
      </c>
      <c r="G224" s="13"/>
    </row>
    <row r="225" spans="1:7" ht="12.75" x14ac:dyDescent="0.2">
      <c r="A225" s="3">
        <v>27</v>
      </c>
      <c r="B225" s="3" t="s">
        <v>57</v>
      </c>
      <c r="C225" s="3" t="s">
        <v>13</v>
      </c>
      <c r="D225" s="3" t="s">
        <v>3</v>
      </c>
      <c r="E225" s="3">
        <v>3219</v>
      </c>
      <c r="G225" s="13"/>
    </row>
    <row r="226" spans="1:7" ht="12.75" x14ac:dyDescent="0.2">
      <c r="A226" s="3">
        <v>27</v>
      </c>
      <c r="B226" s="3" t="s">
        <v>57</v>
      </c>
      <c r="C226" s="3" t="s">
        <v>13</v>
      </c>
      <c r="D226" s="3" t="s">
        <v>132</v>
      </c>
      <c r="E226" s="3">
        <v>2955</v>
      </c>
      <c r="G226" s="13"/>
    </row>
    <row r="227" spans="1:7" ht="12.75" x14ac:dyDescent="0.2">
      <c r="A227" s="3">
        <v>27</v>
      </c>
      <c r="B227" s="3" t="s">
        <v>57</v>
      </c>
      <c r="C227" s="3" t="s">
        <v>13</v>
      </c>
      <c r="D227" s="3" t="s">
        <v>14</v>
      </c>
      <c r="E227" s="3">
        <v>725</v>
      </c>
      <c r="F227">
        <f>SUM(E225:E227)</f>
        <v>6899</v>
      </c>
      <c r="G227" s="13"/>
    </row>
    <row r="228" spans="1:7" ht="12.75" x14ac:dyDescent="0.2">
      <c r="A228" s="3">
        <v>28</v>
      </c>
      <c r="B228" s="3" t="s">
        <v>58</v>
      </c>
      <c r="C228" s="3" t="s">
        <v>2</v>
      </c>
      <c r="D228" s="3" t="s">
        <v>3</v>
      </c>
      <c r="E228" s="3">
        <v>77</v>
      </c>
      <c r="G228" s="13"/>
    </row>
    <row r="229" spans="1:7" ht="12.75" x14ac:dyDescent="0.2">
      <c r="A229" s="3">
        <v>28</v>
      </c>
      <c r="B229" s="3" t="s">
        <v>58</v>
      </c>
      <c r="C229" s="3" t="s">
        <v>2</v>
      </c>
      <c r="D229" s="3" t="s">
        <v>132</v>
      </c>
      <c r="E229" s="3">
        <v>151</v>
      </c>
      <c r="G229" s="13"/>
    </row>
    <row r="230" spans="1:7" ht="12.75" x14ac:dyDescent="0.2">
      <c r="A230" s="3">
        <v>28</v>
      </c>
      <c r="B230" s="3" t="s">
        <v>58</v>
      </c>
      <c r="C230" s="3" t="s">
        <v>2</v>
      </c>
      <c r="D230" s="3" t="s">
        <v>338</v>
      </c>
      <c r="E230" s="3">
        <v>68</v>
      </c>
      <c r="G230" s="13"/>
    </row>
    <row r="231" spans="1:7" ht="12.75" x14ac:dyDescent="0.2">
      <c r="A231" s="3">
        <v>28</v>
      </c>
      <c r="B231" s="3" t="s">
        <v>58</v>
      </c>
      <c r="C231" s="3" t="s">
        <v>2</v>
      </c>
      <c r="D231" s="3" t="s">
        <v>14</v>
      </c>
      <c r="E231" s="3">
        <v>8</v>
      </c>
      <c r="F231">
        <f>SUM(E228:E231)</f>
        <v>304</v>
      </c>
      <c r="G231" s="13"/>
    </row>
    <row r="232" spans="1:7" ht="12.75" x14ac:dyDescent="0.2">
      <c r="A232" s="3">
        <v>28</v>
      </c>
      <c r="B232" s="3" t="s">
        <v>58</v>
      </c>
      <c r="C232" s="3" t="s">
        <v>10</v>
      </c>
      <c r="D232" s="3" t="s">
        <v>3</v>
      </c>
      <c r="E232" s="3">
        <v>78</v>
      </c>
      <c r="G232" s="13"/>
    </row>
    <row r="233" spans="1:7" ht="12.75" x14ac:dyDescent="0.2">
      <c r="A233" s="3">
        <v>28</v>
      </c>
      <c r="B233" s="3" t="s">
        <v>58</v>
      </c>
      <c r="C233" s="3" t="s">
        <v>10</v>
      </c>
      <c r="D233" s="3" t="s">
        <v>132</v>
      </c>
      <c r="E233" s="3">
        <v>133</v>
      </c>
      <c r="G233" s="13"/>
    </row>
    <row r="234" spans="1:7" ht="12.75" x14ac:dyDescent="0.2">
      <c r="A234" s="3">
        <v>28</v>
      </c>
      <c r="B234" s="3" t="s">
        <v>58</v>
      </c>
      <c r="C234" s="3" t="s">
        <v>10</v>
      </c>
      <c r="D234" s="3" t="s">
        <v>338</v>
      </c>
      <c r="E234" s="3">
        <v>70</v>
      </c>
      <c r="G234" s="13"/>
    </row>
    <row r="235" spans="1:7" ht="12.75" x14ac:dyDescent="0.2">
      <c r="A235" s="3">
        <v>28</v>
      </c>
      <c r="B235" s="3" t="s">
        <v>58</v>
      </c>
      <c r="C235" s="3" t="s">
        <v>10</v>
      </c>
      <c r="D235" s="3" t="s">
        <v>14</v>
      </c>
      <c r="E235" s="3">
        <v>22</v>
      </c>
      <c r="F235">
        <f>SUM(E232:E235)</f>
        <v>303</v>
      </c>
      <c r="G235" s="13"/>
    </row>
    <row r="236" spans="1:7" ht="12.75" x14ac:dyDescent="0.2">
      <c r="A236" s="3">
        <v>28</v>
      </c>
      <c r="B236" s="3" t="s">
        <v>58</v>
      </c>
      <c r="C236" s="3" t="s">
        <v>13</v>
      </c>
      <c r="D236" s="3" t="s">
        <v>3</v>
      </c>
      <c r="E236" s="3">
        <v>79</v>
      </c>
      <c r="G236" s="13"/>
    </row>
    <row r="237" spans="1:7" ht="12.75" x14ac:dyDescent="0.2">
      <c r="A237" s="3">
        <v>28</v>
      </c>
      <c r="B237" s="3" t="s">
        <v>58</v>
      </c>
      <c r="C237" s="3" t="s">
        <v>13</v>
      </c>
      <c r="D237" s="3" t="s">
        <v>132</v>
      </c>
      <c r="E237" s="3">
        <v>120</v>
      </c>
      <c r="G237" s="13"/>
    </row>
    <row r="238" spans="1:7" ht="12.75" x14ac:dyDescent="0.2">
      <c r="A238" s="3">
        <v>28</v>
      </c>
      <c r="B238" s="3" t="s">
        <v>58</v>
      </c>
      <c r="C238" s="3" t="s">
        <v>13</v>
      </c>
      <c r="D238" s="3" t="s">
        <v>338</v>
      </c>
      <c r="E238" s="3">
        <v>81</v>
      </c>
      <c r="G238" s="13"/>
    </row>
    <row r="239" spans="1:7" ht="12.75" x14ac:dyDescent="0.2">
      <c r="A239" s="3">
        <v>28</v>
      </c>
      <c r="B239" s="3" t="s">
        <v>58</v>
      </c>
      <c r="C239" s="3" t="s">
        <v>13</v>
      </c>
      <c r="D239" s="3" t="s">
        <v>14</v>
      </c>
      <c r="E239" s="3">
        <v>24</v>
      </c>
      <c r="F239">
        <f>SUM(E236:E239)</f>
        <v>304</v>
      </c>
      <c r="G239" s="13"/>
    </row>
    <row r="240" spans="1:7" ht="12.75" x14ac:dyDescent="0.2">
      <c r="A240" s="3">
        <v>29</v>
      </c>
      <c r="B240" s="3" t="s">
        <v>59</v>
      </c>
      <c r="C240" s="3" t="s">
        <v>2</v>
      </c>
      <c r="D240" s="3" t="s">
        <v>3</v>
      </c>
      <c r="E240" s="3">
        <v>232</v>
      </c>
      <c r="G240" s="13"/>
    </row>
    <row r="241" spans="1:7" ht="12.75" x14ac:dyDescent="0.2">
      <c r="A241" s="3">
        <v>29</v>
      </c>
      <c r="B241" s="3" t="s">
        <v>59</v>
      </c>
      <c r="C241" s="3" t="s">
        <v>2</v>
      </c>
      <c r="D241" s="3" t="s">
        <v>132</v>
      </c>
      <c r="E241" s="3">
        <v>180</v>
      </c>
      <c r="G241" s="13"/>
    </row>
    <row r="242" spans="1:7" ht="12.75" x14ac:dyDescent="0.2">
      <c r="A242" s="3">
        <v>29</v>
      </c>
      <c r="B242" s="3" t="s">
        <v>59</v>
      </c>
      <c r="C242" s="3" t="s">
        <v>2</v>
      </c>
      <c r="D242" s="3" t="s">
        <v>14</v>
      </c>
      <c r="E242" s="3">
        <v>33</v>
      </c>
      <c r="F242">
        <f>SUM(E240:E242)</f>
        <v>445</v>
      </c>
      <c r="G242" s="13"/>
    </row>
    <row r="243" spans="1:7" ht="12.75" x14ac:dyDescent="0.2">
      <c r="A243" s="3">
        <v>29</v>
      </c>
      <c r="B243" s="3" t="s">
        <v>59</v>
      </c>
      <c r="C243" s="3" t="s">
        <v>10</v>
      </c>
      <c r="D243" s="3" t="s">
        <v>3</v>
      </c>
      <c r="E243" s="3">
        <v>202</v>
      </c>
      <c r="G243" s="13"/>
    </row>
    <row r="244" spans="1:7" ht="12.75" x14ac:dyDescent="0.2">
      <c r="A244" s="3">
        <v>29</v>
      </c>
      <c r="B244" s="3" t="s">
        <v>59</v>
      </c>
      <c r="C244" s="3" t="s">
        <v>10</v>
      </c>
      <c r="D244" s="3" t="s">
        <v>132</v>
      </c>
      <c r="E244" s="3">
        <v>195</v>
      </c>
      <c r="G244" s="13"/>
    </row>
    <row r="245" spans="1:7" ht="12.75" x14ac:dyDescent="0.2">
      <c r="A245" s="3">
        <v>29</v>
      </c>
      <c r="B245" s="3" t="s">
        <v>59</v>
      </c>
      <c r="C245" s="3" t="s">
        <v>10</v>
      </c>
      <c r="D245" s="3" t="s">
        <v>14</v>
      </c>
      <c r="E245" s="3">
        <v>48</v>
      </c>
      <c r="F245">
        <f>SUM(E243:E245)</f>
        <v>445</v>
      </c>
      <c r="G245" s="13"/>
    </row>
    <row r="246" spans="1:7" ht="12.75" x14ac:dyDescent="0.2">
      <c r="A246" s="3">
        <v>29</v>
      </c>
      <c r="B246" s="3" t="s">
        <v>59</v>
      </c>
      <c r="C246" s="3" t="s">
        <v>13</v>
      </c>
      <c r="D246" s="3" t="s">
        <v>3</v>
      </c>
      <c r="E246" s="3">
        <v>226</v>
      </c>
      <c r="G246" s="13"/>
    </row>
    <row r="247" spans="1:7" ht="12.75" x14ac:dyDescent="0.2">
      <c r="A247" s="3">
        <v>29</v>
      </c>
      <c r="B247" s="3" t="s">
        <v>59</v>
      </c>
      <c r="C247" s="3" t="s">
        <v>13</v>
      </c>
      <c r="D247" s="3" t="s">
        <v>132</v>
      </c>
      <c r="E247" s="3">
        <v>167</v>
      </c>
      <c r="G247" s="13"/>
    </row>
    <row r="248" spans="1:7" ht="12.75" x14ac:dyDescent="0.2">
      <c r="A248" s="3">
        <v>29</v>
      </c>
      <c r="B248" s="3" t="s">
        <v>59</v>
      </c>
      <c r="C248" s="3" t="s">
        <v>13</v>
      </c>
      <c r="D248" s="3" t="s">
        <v>14</v>
      </c>
      <c r="E248" s="3">
        <v>52</v>
      </c>
      <c r="F248">
        <f>SUM(E246:E248)</f>
        <v>445</v>
      </c>
      <c r="G248" s="13"/>
    </row>
    <row r="249" spans="1:7" ht="12.75" x14ac:dyDescent="0.2">
      <c r="A249" s="3">
        <v>30</v>
      </c>
      <c r="B249" s="3" t="s">
        <v>60</v>
      </c>
      <c r="C249" s="3" t="s">
        <v>15</v>
      </c>
      <c r="D249" s="3" t="s">
        <v>3</v>
      </c>
      <c r="E249" s="3">
        <v>111</v>
      </c>
      <c r="G249" s="13"/>
    </row>
    <row r="250" spans="1:7" ht="12.75" x14ac:dyDescent="0.2">
      <c r="A250" s="3">
        <v>30</v>
      </c>
      <c r="B250" s="3" t="s">
        <v>60</v>
      </c>
      <c r="C250" s="3" t="s">
        <v>15</v>
      </c>
      <c r="D250" s="3" t="s">
        <v>14</v>
      </c>
      <c r="E250" s="3">
        <v>92</v>
      </c>
      <c r="F250">
        <f>SUM(E249:E250)</f>
        <v>203</v>
      </c>
      <c r="G250" s="13"/>
    </row>
    <row r="251" spans="1:7" ht="12.75" x14ac:dyDescent="0.2">
      <c r="A251" s="3">
        <v>30</v>
      </c>
      <c r="B251" s="3" t="s">
        <v>60</v>
      </c>
      <c r="C251" s="3" t="s">
        <v>17</v>
      </c>
      <c r="D251" s="3" t="s">
        <v>3</v>
      </c>
      <c r="E251" s="3">
        <v>83</v>
      </c>
      <c r="G251" s="13"/>
    </row>
    <row r="252" spans="1:7" ht="12.75" x14ac:dyDescent="0.2">
      <c r="A252" s="3">
        <v>30</v>
      </c>
      <c r="B252" s="3" t="s">
        <v>60</v>
      </c>
      <c r="C252" s="3" t="s">
        <v>17</v>
      </c>
      <c r="D252" s="3" t="s">
        <v>14</v>
      </c>
      <c r="E252" s="3">
        <v>120</v>
      </c>
      <c r="F252">
        <f>SUM(E251:E252)</f>
        <v>203</v>
      </c>
      <c r="G252" s="13"/>
    </row>
    <row r="253" spans="1:7" ht="12.75" x14ac:dyDescent="0.2">
      <c r="A253" s="3">
        <v>31</v>
      </c>
      <c r="B253" s="3" t="s">
        <v>61</v>
      </c>
      <c r="C253" s="3" t="s">
        <v>2</v>
      </c>
      <c r="D253" s="3" t="s">
        <v>3</v>
      </c>
      <c r="E253" s="3">
        <v>897</v>
      </c>
      <c r="G253" s="13"/>
    </row>
    <row r="254" spans="1:7" ht="12.75" x14ac:dyDescent="0.2">
      <c r="A254" s="3">
        <v>31</v>
      </c>
      <c r="B254" s="3" t="s">
        <v>61</v>
      </c>
      <c r="C254" s="3" t="s">
        <v>2</v>
      </c>
      <c r="D254" s="3" t="s">
        <v>132</v>
      </c>
      <c r="E254" s="3">
        <v>949</v>
      </c>
      <c r="G254" s="13"/>
    </row>
    <row r="255" spans="1:7" ht="12.75" x14ac:dyDescent="0.2">
      <c r="A255" s="3">
        <v>31</v>
      </c>
      <c r="B255" s="3" t="s">
        <v>61</v>
      </c>
      <c r="C255" s="3" t="s">
        <v>2</v>
      </c>
      <c r="D255" s="3" t="s">
        <v>338</v>
      </c>
      <c r="E255" s="3">
        <v>127</v>
      </c>
      <c r="G255" s="13"/>
    </row>
    <row r="256" spans="1:7" ht="12.75" x14ac:dyDescent="0.2">
      <c r="A256" s="3">
        <v>31</v>
      </c>
      <c r="B256" s="3" t="s">
        <v>61</v>
      </c>
      <c r="C256" s="3" t="s">
        <v>2</v>
      </c>
      <c r="D256" s="3" t="s">
        <v>14</v>
      </c>
      <c r="E256" s="3">
        <v>110</v>
      </c>
      <c r="F256">
        <f>SUM(E253:E256)</f>
        <v>2083</v>
      </c>
      <c r="G256" s="13"/>
    </row>
    <row r="257" spans="1:7" ht="12.75" x14ac:dyDescent="0.2">
      <c r="A257" s="3">
        <v>31</v>
      </c>
      <c r="B257" s="3" t="s">
        <v>61</v>
      </c>
      <c r="C257" s="3" t="s">
        <v>10</v>
      </c>
      <c r="D257" s="3" t="s">
        <v>3</v>
      </c>
      <c r="E257" s="3">
        <v>886</v>
      </c>
      <c r="G257" s="13"/>
    </row>
    <row r="258" spans="1:7" ht="12.75" x14ac:dyDescent="0.2">
      <c r="A258" s="3">
        <v>31</v>
      </c>
      <c r="B258" s="3" t="s">
        <v>61</v>
      </c>
      <c r="C258" s="3" t="s">
        <v>10</v>
      </c>
      <c r="D258" s="3" t="s">
        <v>132</v>
      </c>
      <c r="E258" s="3">
        <v>926</v>
      </c>
      <c r="G258" s="13"/>
    </row>
    <row r="259" spans="1:7" ht="12.75" x14ac:dyDescent="0.2">
      <c r="A259" s="3">
        <v>31</v>
      </c>
      <c r="B259" s="3" t="s">
        <v>61</v>
      </c>
      <c r="C259" s="3" t="s">
        <v>10</v>
      </c>
      <c r="D259" s="3" t="s">
        <v>338</v>
      </c>
      <c r="E259" s="3">
        <v>137</v>
      </c>
      <c r="G259" s="13"/>
    </row>
    <row r="260" spans="1:7" ht="12.75" x14ac:dyDescent="0.2">
      <c r="A260" s="3">
        <v>31</v>
      </c>
      <c r="B260" s="3" t="s">
        <v>61</v>
      </c>
      <c r="C260" s="3" t="s">
        <v>10</v>
      </c>
      <c r="D260" s="3" t="s">
        <v>14</v>
      </c>
      <c r="E260" s="3">
        <v>134</v>
      </c>
      <c r="F260">
        <f>SUM(E257:E260)</f>
        <v>2083</v>
      </c>
      <c r="G260" s="13"/>
    </row>
    <row r="261" spans="1:7" ht="12.75" x14ac:dyDescent="0.2">
      <c r="A261" s="3">
        <v>31</v>
      </c>
      <c r="B261" s="3" t="s">
        <v>61</v>
      </c>
      <c r="C261" s="3" t="s">
        <v>13</v>
      </c>
      <c r="D261" s="3" t="s">
        <v>3</v>
      </c>
      <c r="E261" s="3">
        <v>865</v>
      </c>
      <c r="G261" s="13"/>
    </row>
    <row r="262" spans="1:7" ht="12.75" x14ac:dyDescent="0.2">
      <c r="A262" s="3">
        <v>31</v>
      </c>
      <c r="B262" s="3" t="s">
        <v>61</v>
      </c>
      <c r="C262" s="3" t="s">
        <v>13</v>
      </c>
      <c r="D262" s="3" t="s">
        <v>132</v>
      </c>
      <c r="E262" s="3">
        <v>955</v>
      </c>
      <c r="G262" s="13"/>
    </row>
    <row r="263" spans="1:7" ht="12.75" x14ac:dyDescent="0.2">
      <c r="A263" s="3">
        <v>31</v>
      </c>
      <c r="B263" s="3" t="s">
        <v>61</v>
      </c>
      <c r="C263" s="3" t="s">
        <v>13</v>
      </c>
      <c r="D263" s="3" t="s">
        <v>338</v>
      </c>
      <c r="E263" s="3">
        <v>128</v>
      </c>
      <c r="G263" s="13"/>
    </row>
    <row r="264" spans="1:7" ht="12.75" x14ac:dyDescent="0.2">
      <c r="A264" s="3">
        <v>31</v>
      </c>
      <c r="B264" s="3" t="s">
        <v>61</v>
      </c>
      <c r="C264" s="3" t="s">
        <v>13</v>
      </c>
      <c r="D264" s="3" t="s">
        <v>14</v>
      </c>
      <c r="E264" s="3">
        <v>135</v>
      </c>
      <c r="F264">
        <f>SUM(E261:E264)</f>
        <v>2083</v>
      </c>
      <c r="G264" s="13"/>
    </row>
    <row r="265" spans="1:7" ht="12.75" x14ac:dyDescent="0.2">
      <c r="A265" s="3">
        <v>32</v>
      </c>
      <c r="B265" s="3" t="s">
        <v>62</v>
      </c>
      <c r="C265" s="3" t="s">
        <v>15</v>
      </c>
      <c r="D265" s="3" t="s">
        <v>3</v>
      </c>
      <c r="E265" s="3">
        <v>180</v>
      </c>
      <c r="G265" s="13"/>
    </row>
    <row r="266" spans="1:7" ht="12.75" x14ac:dyDescent="0.2">
      <c r="A266" s="3">
        <v>32</v>
      </c>
      <c r="B266" s="3" t="s">
        <v>62</v>
      </c>
      <c r="C266" s="3" t="s">
        <v>15</v>
      </c>
      <c r="D266" s="3" t="s">
        <v>14</v>
      </c>
      <c r="E266" s="3">
        <v>52</v>
      </c>
      <c r="F266">
        <f>SUM(E265:E266)</f>
        <v>232</v>
      </c>
      <c r="G266" s="13"/>
    </row>
    <row r="267" spans="1:7" ht="12.75" x14ac:dyDescent="0.2">
      <c r="A267" s="3">
        <v>32</v>
      </c>
      <c r="B267" s="3" t="s">
        <v>62</v>
      </c>
      <c r="C267" s="3" t="s">
        <v>17</v>
      </c>
      <c r="D267" s="3" t="s">
        <v>3</v>
      </c>
      <c r="E267" s="3">
        <v>178</v>
      </c>
      <c r="G267" s="13"/>
    </row>
    <row r="268" spans="1:7" ht="12.75" x14ac:dyDescent="0.2">
      <c r="A268" s="3">
        <v>32</v>
      </c>
      <c r="B268" s="3" t="s">
        <v>62</v>
      </c>
      <c r="C268" s="3" t="s">
        <v>17</v>
      </c>
      <c r="D268" s="3" t="s">
        <v>14</v>
      </c>
      <c r="E268" s="3">
        <v>54</v>
      </c>
      <c r="F268">
        <f>SUM(E267:E268)</f>
        <v>232</v>
      </c>
      <c r="G268" s="13"/>
    </row>
    <row r="269" spans="1:7" ht="12.75" x14ac:dyDescent="0.2">
      <c r="A269" s="3">
        <v>33</v>
      </c>
      <c r="B269" s="3" t="s">
        <v>63</v>
      </c>
      <c r="C269" s="3" t="s">
        <v>2</v>
      </c>
      <c r="D269" s="3" t="s">
        <v>3</v>
      </c>
      <c r="E269" s="3">
        <v>232</v>
      </c>
      <c r="G269" s="13"/>
    </row>
    <row r="270" spans="1:7" ht="12.75" x14ac:dyDescent="0.2">
      <c r="A270" s="3">
        <v>33</v>
      </c>
      <c r="B270" s="3" t="s">
        <v>63</v>
      </c>
      <c r="C270" s="3" t="s">
        <v>2</v>
      </c>
      <c r="D270" s="3" t="s">
        <v>132</v>
      </c>
      <c r="E270" s="3">
        <v>142</v>
      </c>
      <c r="G270" s="13"/>
    </row>
    <row r="271" spans="1:7" ht="12.75" x14ac:dyDescent="0.2">
      <c r="A271" s="3">
        <v>33</v>
      </c>
      <c r="B271" s="3" t="s">
        <v>63</v>
      </c>
      <c r="C271" s="3" t="s">
        <v>2</v>
      </c>
      <c r="D271" s="3" t="s">
        <v>14</v>
      </c>
      <c r="E271" s="3">
        <v>17</v>
      </c>
      <c r="F271">
        <f>SUM(E269:E271)</f>
        <v>391</v>
      </c>
      <c r="G271" s="13"/>
    </row>
    <row r="272" spans="1:7" ht="12.75" x14ac:dyDescent="0.2">
      <c r="A272" s="3">
        <v>33</v>
      </c>
      <c r="B272" s="3" t="s">
        <v>63</v>
      </c>
      <c r="C272" s="3" t="s">
        <v>10</v>
      </c>
      <c r="D272" s="3" t="s">
        <v>3</v>
      </c>
      <c r="E272" s="3">
        <v>222</v>
      </c>
      <c r="G272" s="13"/>
    </row>
    <row r="273" spans="1:7" ht="12.75" x14ac:dyDescent="0.2">
      <c r="A273" s="3">
        <v>33</v>
      </c>
      <c r="B273" s="3" t="s">
        <v>63</v>
      </c>
      <c r="C273" s="3" t="s">
        <v>10</v>
      </c>
      <c r="D273" s="3" t="s">
        <v>132</v>
      </c>
      <c r="E273" s="3">
        <v>141</v>
      </c>
      <c r="G273" s="13"/>
    </row>
    <row r="274" spans="1:7" ht="12.75" x14ac:dyDescent="0.2">
      <c r="A274" s="3">
        <v>33</v>
      </c>
      <c r="B274" s="3" t="s">
        <v>63</v>
      </c>
      <c r="C274" s="3" t="s">
        <v>10</v>
      </c>
      <c r="D274" s="3" t="s">
        <v>14</v>
      </c>
      <c r="E274" s="3">
        <v>28</v>
      </c>
      <c r="F274">
        <f>SUM(E272:E274)</f>
        <v>391</v>
      </c>
      <c r="G274" s="13"/>
    </row>
    <row r="275" spans="1:7" ht="12.75" x14ac:dyDescent="0.2">
      <c r="A275" s="3">
        <v>33</v>
      </c>
      <c r="B275" s="3" t="s">
        <v>63</v>
      </c>
      <c r="C275" s="3" t="s">
        <v>13</v>
      </c>
      <c r="D275" s="3" t="s">
        <v>3</v>
      </c>
      <c r="E275" s="3">
        <v>243</v>
      </c>
      <c r="G275" s="13"/>
    </row>
    <row r="276" spans="1:7" ht="12.75" x14ac:dyDescent="0.2">
      <c r="A276" s="3">
        <v>33</v>
      </c>
      <c r="B276" s="3" t="s">
        <v>63</v>
      </c>
      <c r="C276" s="3" t="s">
        <v>13</v>
      </c>
      <c r="D276" s="3" t="s">
        <v>132</v>
      </c>
      <c r="E276" s="3">
        <v>124</v>
      </c>
      <c r="G276" s="13"/>
    </row>
    <row r="277" spans="1:7" ht="12.75" x14ac:dyDescent="0.2">
      <c r="A277" s="3">
        <v>33</v>
      </c>
      <c r="B277" s="3" t="s">
        <v>63</v>
      </c>
      <c r="C277" s="3" t="s">
        <v>13</v>
      </c>
      <c r="D277" s="3" t="s">
        <v>14</v>
      </c>
      <c r="E277" s="3">
        <v>24</v>
      </c>
      <c r="F277">
        <f>SUM(E275:E277)</f>
        <v>391</v>
      </c>
      <c r="G277" s="13"/>
    </row>
    <row r="278" spans="1:7" ht="12.75" x14ac:dyDescent="0.2">
      <c r="A278" s="3">
        <v>34</v>
      </c>
      <c r="B278" s="3" t="s">
        <v>64</v>
      </c>
      <c r="C278" s="3" t="s">
        <v>2</v>
      </c>
      <c r="D278" s="3" t="s">
        <v>3</v>
      </c>
      <c r="E278" s="3">
        <v>769</v>
      </c>
      <c r="G278" s="13"/>
    </row>
    <row r="279" spans="1:7" ht="12.75" x14ac:dyDescent="0.2">
      <c r="A279" s="3">
        <v>34</v>
      </c>
      <c r="B279" s="3" t="s">
        <v>64</v>
      </c>
      <c r="C279" s="3" t="s">
        <v>2</v>
      </c>
      <c r="D279" s="3" t="s">
        <v>132</v>
      </c>
      <c r="E279" s="3">
        <v>786</v>
      </c>
      <c r="G279" s="13"/>
    </row>
    <row r="280" spans="1:7" ht="12.75" x14ac:dyDescent="0.2">
      <c r="A280" s="3">
        <v>34</v>
      </c>
      <c r="B280" s="3" t="s">
        <v>64</v>
      </c>
      <c r="C280" s="3" t="s">
        <v>2</v>
      </c>
      <c r="D280" s="3" t="s">
        <v>14</v>
      </c>
      <c r="E280" s="3">
        <v>63</v>
      </c>
      <c r="F280">
        <f>SUM(E278:E280)</f>
        <v>1618</v>
      </c>
      <c r="G280" s="13"/>
    </row>
    <row r="281" spans="1:7" ht="12.75" x14ac:dyDescent="0.2">
      <c r="A281" s="3">
        <v>34</v>
      </c>
      <c r="B281" s="3" t="s">
        <v>64</v>
      </c>
      <c r="C281" s="3" t="s">
        <v>10</v>
      </c>
      <c r="D281" s="3" t="s">
        <v>3</v>
      </c>
      <c r="E281" s="3">
        <v>700</v>
      </c>
      <c r="G281" s="13"/>
    </row>
    <row r="282" spans="1:7" ht="12.75" x14ac:dyDescent="0.2">
      <c r="A282" s="3">
        <v>34</v>
      </c>
      <c r="B282" s="3" t="s">
        <v>64</v>
      </c>
      <c r="C282" s="3" t="s">
        <v>10</v>
      </c>
      <c r="D282" s="3" t="s">
        <v>132</v>
      </c>
      <c r="E282" s="3">
        <v>811</v>
      </c>
      <c r="G282" s="13"/>
    </row>
    <row r="283" spans="1:7" ht="12.75" x14ac:dyDescent="0.2">
      <c r="A283" s="3">
        <v>34</v>
      </c>
      <c r="B283" s="3" t="s">
        <v>64</v>
      </c>
      <c r="C283" s="3" t="s">
        <v>10</v>
      </c>
      <c r="D283" s="3" t="s">
        <v>14</v>
      </c>
      <c r="E283" s="3">
        <v>107</v>
      </c>
      <c r="F283">
        <f>SUM(E281:E283)</f>
        <v>1618</v>
      </c>
      <c r="G283" s="13"/>
    </row>
    <row r="284" spans="1:7" ht="12.75" x14ac:dyDescent="0.2">
      <c r="A284" s="3">
        <v>34</v>
      </c>
      <c r="B284" s="3" t="s">
        <v>64</v>
      </c>
      <c r="C284" s="3" t="s">
        <v>13</v>
      </c>
      <c r="D284" s="3" t="s">
        <v>3</v>
      </c>
      <c r="E284" s="3">
        <v>585</v>
      </c>
      <c r="G284" s="13"/>
    </row>
    <row r="285" spans="1:7" ht="12.75" x14ac:dyDescent="0.2">
      <c r="A285" s="3">
        <v>34</v>
      </c>
      <c r="B285" s="3" t="s">
        <v>64</v>
      </c>
      <c r="C285" s="3" t="s">
        <v>13</v>
      </c>
      <c r="D285" s="3" t="s">
        <v>132</v>
      </c>
      <c r="E285" s="3">
        <v>945</v>
      </c>
      <c r="G285" s="13"/>
    </row>
    <row r="286" spans="1:7" ht="12.75" x14ac:dyDescent="0.2">
      <c r="A286" s="3">
        <v>34</v>
      </c>
      <c r="B286" s="3" t="s">
        <v>64</v>
      </c>
      <c r="C286" s="3" t="s">
        <v>13</v>
      </c>
      <c r="D286" s="3" t="s">
        <v>14</v>
      </c>
      <c r="E286" s="3">
        <v>88</v>
      </c>
      <c r="F286">
        <f>SUM(E284:E286)</f>
        <v>1618</v>
      </c>
      <c r="G286" s="13"/>
    </row>
    <row r="287" spans="1:7" ht="12.75" x14ac:dyDescent="0.2">
      <c r="A287" s="3">
        <v>35</v>
      </c>
      <c r="B287" s="3" t="s">
        <v>65</v>
      </c>
      <c r="C287" s="3" t="s">
        <v>2</v>
      </c>
      <c r="D287" s="3" t="s">
        <v>3</v>
      </c>
      <c r="E287" s="3">
        <v>155</v>
      </c>
      <c r="G287" s="13"/>
    </row>
    <row r="288" spans="1:7" ht="12.75" x14ac:dyDescent="0.2">
      <c r="A288" s="3">
        <v>35</v>
      </c>
      <c r="B288" s="3" t="s">
        <v>65</v>
      </c>
      <c r="C288" s="3" t="s">
        <v>2</v>
      </c>
      <c r="D288" s="3" t="s">
        <v>132</v>
      </c>
      <c r="E288" s="3">
        <v>624</v>
      </c>
      <c r="G288" s="13"/>
    </row>
    <row r="289" spans="1:7" ht="12.75" x14ac:dyDescent="0.2">
      <c r="A289" s="3">
        <v>35</v>
      </c>
      <c r="B289" s="3" t="s">
        <v>65</v>
      </c>
      <c r="C289" s="3" t="s">
        <v>2</v>
      </c>
      <c r="D289" s="3" t="s">
        <v>14</v>
      </c>
      <c r="E289" s="3">
        <v>21</v>
      </c>
      <c r="F289">
        <f>SUM(E287:E289)</f>
        <v>800</v>
      </c>
      <c r="G289" s="13"/>
    </row>
    <row r="290" spans="1:7" ht="12.75" x14ac:dyDescent="0.2">
      <c r="A290" s="3">
        <v>35</v>
      </c>
      <c r="B290" s="3" t="s">
        <v>65</v>
      </c>
      <c r="C290" s="3" t="s">
        <v>10</v>
      </c>
      <c r="D290" s="3" t="s">
        <v>3</v>
      </c>
      <c r="E290" s="3">
        <v>171</v>
      </c>
      <c r="G290" s="13"/>
    </row>
    <row r="291" spans="1:7" ht="12.75" x14ac:dyDescent="0.2">
      <c r="A291" s="3">
        <v>35</v>
      </c>
      <c r="B291" s="3" t="s">
        <v>65</v>
      </c>
      <c r="C291" s="3" t="s">
        <v>10</v>
      </c>
      <c r="D291" s="3" t="s">
        <v>132</v>
      </c>
      <c r="E291" s="3">
        <v>569</v>
      </c>
      <c r="G291" s="13"/>
    </row>
    <row r="292" spans="1:7" ht="12.75" x14ac:dyDescent="0.2">
      <c r="A292" s="3">
        <v>35</v>
      </c>
      <c r="B292" s="3" t="s">
        <v>65</v>
      </c>
      <c r="C292" s="3" t="s">
        <v>10</v>
      </c>
      <c r="D292" s="3" t="s">
        <v>14</v>
      </c>
      <c r="E292" s="3">
        <v>60</v>
      </c>
      <c r="F292">
        <f>SUM(E290:E292)</f>
        <v>800</v>
      </c>
      <c r="G292" s="13"/>
    </row>
    <row r="293" spans="1:7" ht="12.75" x14ac:dyDescent="0.2">
      <c r="A293" s="3">
        <v>35</v>
      </c>
      <c r="B293" s="3" t="s">
        <v>65</v>
      </c>
      <c r="C293" s="3" t="s">
        <v>13</v>
      </c>
      <c r="D293" s="3" t="s">
        <v>3</v>
      </c>
      <c r="E293" s="3">
        <v>192</v>
      </c>
      <c r="G293" s="13"/>
    </row>
    <row r="294" spans="1:7" ht="12.75" x14ac:dyDescent="0.2">
      <c r="A294" s="3">
        <v>35</v>
      </c>
      <c r="B294" s="3" t="s">
        <v>65</v>
      </c>
      <c r="C294" s="3" t="s">
        <v>13</v>
      </c>
      <c r="D294" s="3" t="s">
        <v>132</v>
      </c>
      <c r="E294" s="3">
        <v>542</v>
      </c>
      <c r="G294" s="13"/>
    </row>
    <row r="295" spans="1:7" ht="12.75" x14ac:dyDescent="0.2">
      <c r="A295" s="3">
        <v>35</v>
      </c>
      <c r="B295" s="3" t="s">
        <v>65</v>
      </c>
      <c r="C295" s="3" t="s">
        <v>13</v>
      </c>
      <c r="D295" s="3" t="s">
        <v>14</v>
      </c>
      <c r="E295" s="3">
        <v>66</v>
      </c>
      <c r="F295">
        <f>SUM(E293:E295)</f>
        <v>800</v>
      </c>
      <c r="G295" s="13"/>
    </row>
    <row r="296" spans="1:7" ht="12.75" x14ac:dyDescent="0.2">
      <c r="A296" s="3">
        <v>36</v>
      </c>
      <c r="B296" s="3" t="s">
        <v>66</v>
      </c>
      <c r="C296" s="3" t="s">
        <v>2</v>
      </c>
      <c r="D296" s="3" t="s">
        <v>3</v>
      </c>
      <c r="E296" s="3">
        <v>997</v>
      </c>
      <c r="G296" s="13"/>
    </row>
    <row r="297" spans="1:7" ht="12.75" x14ac:dyDescent="0.2">
      <c r="A297" s="3">
        <v>36</v>
      </c>
      <c r="B297" s="3" t="s">
        <v>66</v>
      </c>
      <c r="C297" s="3" t="s">
        <v>2</v>
      </c>
      <c r="D297" s="3" t="s">
        <v>132</v>
      </c>
      <c r="E297" s="3">
        <v>1244</v>
      </c>
      <c r="G297" s="13"/>
    </row>
    <row r="298" spans="1:7" ht="12.75" x14ac:dyDescent="0.2">
      <c r="A298" s="3">
        <v>36</v>
      </c>
      <c r="B298" s="3" t="s">
        <v>66</v>
      </c>
      <c r="C298" s="3" t="s">
        <v>2</v>
      </c>
      <c r="D298" s="3" t="s">
        <v>339</v>
      </c>
      <c r="E298" s="3">
        <v>371</v>
      </c>
      <c r="G298" s="13"/>
    </row>
    <row r="299" spans="1:7" ht="12.75" x14ac:dyDescent="0.2">
      <c r="A299" s="3">
        <v>36</v>
      </c>
      <c r="B299" s="3" t="s">
        <v>66</v>
      </c>
      <c r="C299" s="3" t="s">
        <v>2</v>
      </c>
      <c r="D299" s="3" t="s">
        <v>338</v>
      </c>
      <c r="E299" s="3">
        <v>142</v>
      </c>
      <c r="G299" s="13"/>
    </row>
    <row r="300" spans="1:7" ht="12.75" x14ac:dyDescent="0.2">
      <c r="A300" s="3">
        <v>36</v>
      </c>
      <c r="B300" s="3" t="s">
        <v>66</v>
      </c>
      <c r="C300" s="3" t="s">
        <v>2</v>
      </c>
      <c r="D300" s="3" t="s">
        <v>14</v>
      </c>
      <c r="E300" s="3">
        <v>208</v>
      </c>
      <c r="F300">
        <f>SUM(E296:E300)</f>
        <v>2962</v>
      </c>
      <c r="G300" s="13"/>
    </row>
    <row r="301" spans="1:7" ht="12.75" x14ac:dyDescent="0.2">
      <c r="A301" s="3">
        <v>36</v>
      </c>
      <c r="B301" s="3" t="s">
        <v>66</v>
      </c>
      <c r="C301" s="3" t="s">
        <v>10</v>
      </c>
      <c r="D301" s="3" t="s">
        <v>3</v>
      </c>
      <c r="E301" s="3">
        <v>900</v>
      </c>
      <c r="G301" s="13"/>
    </row>
    <row r="302" spans="1:7" ht="12.75" x14ac:dyDescent="0.2">
      <c r="A302" s="3">
        <v>36</v>
      </c>
      <c r="B302" s="3" t="s">
        <v>66</v>
      </c>
      <c r="C302" s="3" t="s">
        <v>10</v>
      </c>
      <c r="D302" s="3" t="s">
        <v>132</v>
      </c>
      <c r="E302" s="3">
        <v>1321</v>
      </c>
      <c r="G302" s="13"/>
    </row>
    <row r="303" spans="1:7" ht="12.75" x14ac:dyDescent="0.2">
      <c r="A303" s="3">
        <v>36</v>
      </c>
      <c r="B303" s="3" t="s">
        <v>66</v>
      </c>
      <c r="C303" s="3" t="s">
        <v>10</v>
      </c>
      <c r="D303" s="3" t="s">
        <v>339</v>
      </c>
      <c r="E303" s="3">
        <v>287</v>
      </c>
      <c r="G303" s="13"/>
    </row>
    <row r="304" spans="1:7" ht="12.75" x14ac:dyDescent="0.2">
      <c r="A304" s="3">
        <v>36</v>
      </c>
      <c r="B304" s="3" t="s">
        <v>66</v>
      </c>
      <c r="C304" s="3" t="s">
        <v>10</v>
      </c>
      <c r="D304" s="3" t="s">
        <v>338</v>
      </c>
      <c r="E304" s="3">
        <v>174</v>
      </c>
      <c r="G304" s="13"/>
    </row>
    <row r="305" spans="1:7" ht="12.75" x14ac:dyDescent="0.2">
      <c r="A305" s="3">
        <v>36</v>
      </c>
      <c r="B305" s="3" t="s">
        <v>66</v>
      </c>
      <c r="C305" s="3" t="s">
        <v>10</v>
      </c>
      <c r="D305" s="3" t="s">
        <v>14</v>
      </c>
      <c r="E305" s="3">
        <v>280</v>
      </c>
      <c r="F305">
        <f>SUM(E301:E305)</f>
        <v>2962</v>
      </c>
      <c r="G305" s="13"/>
    </row>
    <row r="306" spans="1:7" ht="12.75" x14ac:dyDescent="0.2">
      <c r="A306" s="3">
        <v>36</v>
      </c>
      <c r="B306" s="3" t="s">
        <v>66</v>
      </c>
      <c r="C306" s="3" t="s">
        <v>13</v>
      </c>
      <c r="D306" s="3" t="s">
        <v>3</v>
      </c>
      <c r="E306" s="3">
        <v>1162</v>
      </c>
      <c r="G306" s="13"/>
    </row>
    <row r="307" spans="1:7" ht="12.75" x14ac:dyDescent="0.2">
      <c r="A307" s="3">
        <v>36</v>
      </c>
      <c r="B307" s="3" t="s">
        <v>66</v>
      </c>
      <c r="C307" s="3" t="s">
        <v>13</v>
      </c>
      <c r="D307" s="3" t="s">
        <v>132</v>
      </c>
      <c r="E307" s="3">
        <v>1217</v>
      </c>
      <c r="G307" s="13"/>
    </row>
    <row r="308" spans="1:7" ht="12.75" x14ac:dyDescent="0.2">
      <c r="A308" s="3">
        <v>36</v>
      </c>
      <c r="B308" s="3" t="s">
        <v>66</v>
      </c>
      <c r="C308" s="3" t="s">
        <v>13</v>
      </c>
      <c r="D308" s="3" t="s">
        <v>339</v>
      </c>
      <c r="E308" s="3">
        <v>228</v>
      </c>
      <c r="G308" s="13"/>
    </row>
    <row r="309" spans="1:7" ht="12.75" x14ac:dyDescent="0.2">
      <c r="A309" s="3">
        <v>36</v>
      </c>
      <c r="B309" s="3" t="s">
        <v>66</v>
      </c>
      <c r="C309" s="3" t="s">
        <v>13</v>
      </c>
      <c r="D309" s="3" t="s">
        <v>14</v>
      </c>
      <c r="E309" s="3">
        <v>351</v>
      </c>
      <c r="F309">
        <f>SUM(E306:E309)</f>
        <v>2958</v>
      </c>
      <c r="G309" s="13"/>
    </row>
    <row r="310" spans="1:7" ht="12.75" x14ac:dyDescent="0.2">
      <c r="A310" s="3">
        <v>37</v>
      </c>
      <c r="B310" s="3" t="s">
        <v>67</v>
      </c>
      <c r="C310" s="3" t="s">
        <v>15</v>
      </c>
      <c r="D310" s="3" t="s">
        <v>3</v>
      </c>
      <c r="E310" s="3">
        <v>36</v>
      </c>
      <c r="G310" s="13"/>
    </row>
    <row r="311" spans="1:7" ht="12.75" x14ac:dyDescent="0.2">
      <c r="A311" s="3">
        <v>37</v>
      </c>
      <c r="B311" s="3" t="s">
        <v>67</v>
      </c>
      <c r="C311" s="3" t="s">
        <v>15</v>
      </c>
      <c r="D311" s="3" t="s">
        <v>14</v>
      </c>
      <c r="E311" s="3">
        <v>14</v>
      </c>
      <c r="F311">
        <f>SUM(E310:E311)</f>
        <v>50</v>
      </c>
      <c r="G311" s="13"/>
    </row>
    <row r="312" spans="1:7" ht="12.75" x14ac:dyDescent="0.2">
      <c r="A312" s="3">
        <v>37</v>
      </c>
      <c r="B312" s="3" t="s">
        <v>67</v>
      </c>
      <c r="C312" s="3" t="s">
        <v>17</v>
      </c>
      <c r="D312" s="3" t="s">
        <v>3</v>
      </c>
      <c r="E312" s="3">
        <v>36</v>
      </c>
      <c r="G312" s="13"/>
    </row>
    <row r="313" spans="1:7" ht="12.75" x14ac:dyDescent="0.2">
      <c r="A313" s="3">
        <v>37</v>
      </c>
      <c r="B313" s="3" t="s">
        <v>67</v>
      </c>
      <c r="C313" s="3" t="s">
        <v>17</v>
      </c>
      <c r="D313" s="3" t="s">
        <v>14</v>
      </c>
      <c r="E313" s="3">
        <v>14</v>
      </c>
      <c r="F313">
        <f>SUM(E312:E313)</f>
        <v>50</v>
      </c>
      <c r="G313" s="13"/>
    </row>
    <row r="314" spans="1:7" ht="12.75" x14ac:dyDescent="0.2">
      <c r="A314" s="3">
        <v>38</v>
      </c>
      <c r="B314" s="3" t="s">
        <v>68</v>
      </c>
      <c r="C314" s="3" t="s">
        <v>2</v>
      </c>
      <c r="D314" s="3" t="s">
        <v>3</v>
      </c>
      <c r="E314" s="3">
        <v>142</v>
      </c>
      <c r="G314" s="13"/>
    </row>
    <row r="315" spans="1:7" ht="12.75" x14ac:dyDescent="0.2">
      <c r="A315" s="3">
        <v>38</v>
      </c>
      <c r="B315" s="3" t="s">
        <v>68</v>
      </c>
      <c r="C315" s="3" t="s">
        <v>2</v>
      </c>
      <c r="D315" s="3" t="s">
        <v>132</v>
      </c>
      <c r="E315" s="3">
        <v>257</v>
      </c>
      <c r="G315" s="13"/>
    </row>
    <row r="316" spans="1:7" ht="12.75" x14ac:dyDescent="0.2">
      <c r="A316" s="3">
        <v>38</v>
      </c>
      <c r="B316" s="3" t="s">
        <v>68</v>
      </c>
      <c r="C316" s="3" t="s">
        <v>2</v>
      </c>
      <c r="D316" s="3" t="s">
        <v>14</v>
      </c>
      <c r="E316" s="3">
        <v>17</v>
      </c>
      <c r="F316">
        <f>SUM(E314:E316)</f>
        <v>416</v>
      </c>
      <c r="G316" s="13"/>
    </row>
    <row r="317" spans="1:7" ht="12.75" x14ac:dyDescent="0.2">
      <c r="A317" s="3">
        <v>38</v>
      </c>
      <c r="B317" s="3" t="s">
        <v>68</v>
      </c>
      <c r="C317" s="3" t="s">
        <v>10</v>
      </c>
      <c r="D317" s="3" t="s">
        <v>3</v>
      </c>
      <c r="E317" s="3">
        <v>143</v>
      </c>
      <c r="G317" s="13"/>
    </row>
    <row r="318" spans="1:7" ht="12.75" x14ac:dyDescent="0.2">
      <c r="A318" s="3">
        <v>38</v>
      </c>
      <c r="B318" s="3" t="s">
        <v>68</v>
      </c>
      <c r="C318" s="3" t="s">
        <v>10</v>
      </c>
      <c r="D318" s="3" t="s">
        <v>132</v>
      </c>
      <c r="E318" s="3">
        <v>254</v>
      </c>
      <c r="G318" s="13"/>
    </row>
    <row r="319" spans="1:7" ht="12.75" x14ac:dyDescent="0.2">
      <c r="A319" s="3">
        <v>38</v>
      </c>
      <c r="B319" s="3" t="s">
        <v>68</v>
      </c>
      <c r="C319" s="3" t="s">
        <v>10</v>
      </c>
      <c r="D319" s="3" t="s">
        <v>14</v>
      </c>
      <c r="E319" s="3">
        <v>19</v>
      </c>
      <c r="F319">
        <f>SUM(E317:E319)</f>
        <v>416</v>
      </c>
      <c r="G319" s="13"/>
    </row>
    <row r="320" spans="1:7" ht="12.75" x14ac:dyDescent="0.2">
      <c r="A320" s="3">
        <v>38</v>
      </c>
      <c r="B320" s="3" t="s">
        <v>68</v>
      </c>
      <c r="C320" s="3" t="s">
        <v>13</v>
      </c>
      <c r="D320" s="3" t="s">
        <v>3</v>
      </c>
      <c r="E320" s="3">
        <v>147</v>
      </c>
      <c r="G320" s="13"/>
    </row>
    <row r="321" spans="1:7" ht="12.75" x14ac:dyDescent="0.2">
      <c r="A321" s="3">
        <v>38</v>
      </c>
      <c r="B321" s="3" t="s">
        <v>68</v>
      </c>
      <c r="C321" s="3" t="s">
        <v>13</v>
      </c>
      <c r="D321" s="3" t="s">
        <v>132</v>
      </c>
      <c r="E321" s="3">
        <v>248</v>
      </c>
      <c r="G321" s="13"/>
    </row>
    <row r="322" spans="1:7" ht="12.75" x14ac:dyDescent="0.2">
      <c r="A322" s="3">
        <v>38</v>
      </c>
      <c r="B322" s="3" t="s">
        <v>68</v>
      </c>
      <c r="C322" s="3" t="s">
        <v>13</v>
      </c>
      <c r="D322" s="3" t="s">
        <v>14</v>
      </c>
      <c r="E322" s="3">
        <v>21</v>
      </c>
      <c r="F322">
        <f>SUM(E320:E322)</f>
        <v>416</v>
      </c>
      <c r="G322" s="13"/>
    </row>
    <row r="323" spans="1:7" ht="12.75" x14ac:dyDescent="0.2">
      <c r="A323" s="3">
        <v>39</v>
      </c>
      <c r="B323" s="3" t="s">
        <v>69</v>
      </c>
      <c r="C323" s="3" t="s">
        <v>2</v>
      </c>
      <c r="D323" s="3" t="s">
        <v>3</v>
      </c>
      <c r="E323" s="3">
        <v>820</v>
      </c>
      <c r="G323" s="13"/>
    </row>
    <row r="324" spans="1:7" ht="12.75" x14ac:dyDescent="0.2">
      <c r="A324" s="3">
        <v>39</v>
      </c>
      <c r="B324" s="3" t="s">
        <v>69</v>
      </c>
      <c r="C324" s="3" t="s">
        <v>2</v>
      </c>
      <c r="D324" s="3" t="s">
        <v>132</v>
      </c>
      <c r="E324" s="3">
        <v>367</v>
      </c>
      <c r="G324" s="13"/>
    </row>
    <row r="325" spans="1:7" ht="12.75" x14ac:dyDescent="0.2">
      <c r="A325" s="3">
        <v>39</v>
      </c>
      <c r="B325" s="3" t="s">
        <v>69</v>
      </c>
      <c r="C325" s="3" t="s">
        <v>2</v>
      </c>
      <c r="D325" s="3" t="s">
        <v>338</v>
      </c>
      <c r="E325" s="3">
        <v>89</v>
      </c>
      <c r="G325" s="13"/>
    </row>
    <row r="326" spans="1:7" ht="12.75" x14ac:dyDescent="0.2">
      <c r="A326" s="3">
        <v>39</v>
      </c>
      <c r="B326" s="3" t="s">
        <v>69</v>
      </c>
      <c r="C326" s="3" t="s">
        <v>2</v>
      </c>
      <c r="D326" s="3" t="s">
        <v>14</v>
      </c>
      <c r="E326" s="3">
        <v>76</v>
      </c>
      <c r="F326">
        <f>SUM(E323:E326)</f>
        <v>1352</v>
      </c>
      <c r="G326" s="13"/>
    </row>
    <row r="327" spans="1:7" ht="12.75" x14ac:dyDescent="0.2">
      <c r="A327" s="3">
        <v>39</v>
      </c>
      <c r="B327" s="3" t="s">
        <v>69</v>
      </c>
      <c r="C327" s="3" t="s">
        <v>10</v>
      </c>
      <c r="D327" s="3" t="s">
        <v>3</v>
      </c>
      <c r="E327" s="3">
        <v>793</v>
      </c>
      <c r="G327" s="13"/>
    </row>
    <row r="328" spans="1:7" ht="12.75" x14ac:dyDescent="0.2">
      <c r="A328" s="3">
        <v>39</v>
      </c>
      <c r="B328" s="3" t="s">
        <v>69</v>
      </c>
      <c r="C328" s="3" t="s">
        <v>10</v>
      </c>
      <c r="D328" s="3" t="s">
        <v>132</v>
      </c>
      <c r="E328" s="3">
        <v>321</v>
      </c>
      <c r="G328" s="13"/>
    </row>
    <row r="329" spans="1:7" ht="12.75" x14ac:dyDescent="0.2">
      <c r="A329" s="3">
        <v>39</v>
      </c>
      <c r="B329" s="3" t="s">
        <v>69</v>
      </c>
      <c r="C329" s="3" t="s">
        <v>10</v>
      </c>
      <c r="D329" s="3" t="s">
        <v>338</v>
      </c>
      <c r="E329" s="3">
        <v>122</v>
      </c>
      <c r="G329" s="13"/>
    </row>
    <row r="330" spans="1:7" ht="12.75" x14ac:dyDescent="0.2">
      <c r="A330" s="3">
        <v>39</v>
      </c>
      <c r="B330" s="3" t="s">
        <v>69</v>
      </c>
      <c r="C330" s="3" t="s">
        <v>10</v>
      </c>
      <c r="D330" s="3" t="s">
        <v>14</v>
      </c>
      <c r="E330" s="3">
        <v>116</v>
      </c>
      <c r="F330">
        <f>SUM(E327:E330)</f>
        <v>1352</v>
      </c>
      <c r="G330" s="13"/>
    </row>
    <row r="331" spans="1:7" ht="12.75" x14ac:dyDescent="0.2">
      <c r="A331" s="3">
        <v>39</v>
      </c>
      <c r="B331" s="3" t="s">
        <v>69</v>
      </c>
      <c r="C331" s="3" t="s">
        <v>13</v>
      </c>
      <c r="D331" s="3" t="s">
        <v>3</v>
      </c>
      <c r="E331" s="3">
        <v>837</v>
      </c>
      <c r="G331" s="13"/>
    </row>
    <row r="332" spans="1:7" ht="12.75" x14ac:dyDescent="0.2">
      <c r="A332" s="3">
        <v>39</v>
      </c>
      <c r="B332" s="3" t="s">
        <v>69</v>
      </c>
      <c r="C332" s="3" t="s">
        <v>13</v>
      </c>
      <c r="D332" s="3" t="s">
        <v>132</v>
      </c>
      <c r="E332" s="3">
        <v>254</v>
      </c>
      <c r="G332" s="13"/>
    </row>
    <row r="333" spans="1:7" ht="12.75" x14ac:dyDescent="0.2">
      <c r="A333" s="3">
        <v>39</v>
      </c>
      <c r="B333" s="3" t="s">
        <v>69</v>
      </c>
      <c r="C333" s="3" t="s">
        <v>13</v>
      </c>
      <c r="D333" s="3" t="s">
        <v>338</v>
      </c>
      <c r="E333" s="3">
        <v>110</v>
      </c>
      <c r="G333" s="13"/>
    </row>
    <row r="334" spans="1:7" ht="12.75" x14ac:dyDescent="0.2">
      <c r="A334" s="3">
        <v>39</v>
      </c>
      <c r="B334" s="3" t="s">
        <v>69</v>
      </c>
      <c r="C334" s="3" t="s">
        <v>13</v>
      </c>
      <c r="D334" s="3" t="s">
        <v>14</v>
      </c>
      <c r="E334" s="3">
        <v>149</v>
      </c>
      <c r="F334">
        <f>SUM(E331:E334)</f>
        <v>1350</v>
      </c>
      <c r="G334" s="13"/>
    </row>
    <row r="335" spans="1:7" ht="12.75" x14ac:dyDescent="0.2">
      <c r="A335" s="2" t="s">
        <v>70</v>
      </c>
      <c r="B335" s="3" t="s">
        <v>71</v>
      </c>
      <c r="C335" s="3" t="s">
        <v>2</v>
      </c>
      <c r="D335" s="3" t="s">
        <v>3</v>
      </c>
      <c r="E335" s="3">
        <v>164</v>
      </c>
      <c r="G335" s="13"/>
    </row>
    <row r="336" spans="1:7" ht="12.75" x14ac:dyDescent="0.2">
      <c r="A336" s="2" t="s">
        <v>70</v>
      </c>
      <c r="B336" s="3" t="s">
        <v>71</v>
      </c>
      <c r="C336" s="3" t="s">
        <v>2</v>
      </c>
      <c r="D336" s="3" t="s">
        <v>132</v>
      </c>
      <c r="E336" s="3">
        <v>163</v>
      </c>
      <c r="G336" s="13"/>
    </row>
    <row r="337" spans="1:7" ht="12.75" x14ac:dyDescent="0.2">
      <c r="A337" s="2" t="s">
        <v>70</v>
      </c>
      <c r="B337" s="3" t="s">
        <v>71</v>
      </c>
      <c r="C337" s="3" t="s">
        <v>2</v>
      </c>
      <c r="D337" s="3" t="s">
        <v>14</v>
      </c>
      <c r="E337" s="3">
        <v>7</v>
      </c>
      <c r="F337">
        <f>SUM(E335:E337)</f>
        <v>334</v>
      </c>
      <c r="G337" s="13"/>
    </row>
    <row r="338" spans="1:7" ht="12.75" x14ac:dyDescent="0.2">
      <c r="A338" s="2" t="s">
        <v>70</v>
      </c>
      <c r="B338" s="3" t="s">
        <v>71</v>
      </c>
      <c r="C338" s="3" t="s">
        <v>10</v>
      </c>
      <c r="D338" s="3" t="s">
        <v>3</v>
      </c>
      <c r="E338" s="3">
        <v>157</v>
      </c>
      <c r="G338" s="13"/>
    </row>
    <row r="339" spans="1:7" ht="12.75" x14ac:dyDescent="0.2">
      <c r="A339" s="2" t="s">
        <v>70</v>
      </c>
      <c r="B339" s="3" t="s">
        <v>71</v>
      </c>
      <c r="C339" s="3" t="s">
        <v>10</v>
      </c>
      <c r="D339" s="3" t="s">
        <v>132</v>
      </c>
      <c r="E339" s="3">
        <v>159</v>
      </c>
      <c r="G339" s="13"/>
    </row>
    <row r="340" spans="1:7" ht="12.75" x14ac:dyDescent="0.2">
      <c r="A340" s="2" t="s">
        <v>70</v>
      </c>
      <c r="B340" s="3" t="s">
        <v>71</v>
      </c>
      <c r="C340" s="3" t="s">
        <v>10</v>
      </c>
      <c r="D340" s="3" t="s">
        <v>14</v>
      </c>
      <c r="E340" s="3">
        <v>18</v>
      </c>
      <c r="F340">
        <f>SUM(E338:E340)</f>
        <v>334</v>
      </c>
      <c r="G340" s="13"/>
    </row>
    <row r="341" spans="1:7" ht="12.75" x14ac:dyDescent="0.2">
      <c r="A341" s="2" t="s">
        <v>70</v>
      </c>
      <c r="B341" s="3" t="s">
        <v>71</v>
      </c>
      <c r="C341" s="3" t="s">
        <v>13</v>
      </c>
      <c r="D341" s="3" t="s">
        <v>3</v>
      </c>
      <c r="E341" s="3">
        <v>156</v>
      </c>
      <c r="G341" s="13"/>
    </row>
    <row r="342" spans="1:7" ht="12.75" x14ac:dyDescent="0.2">
      <c r="A342" s="2" t="s">
        <v>70</v>
      </c>
      <c r="B342" s="3" t="s">
        <v>71</v>
      </c>
      <c r="C342" s="3" t="s">
        <v>13</v>
      </c>
      <c r="D342" s="3" t="s">
        <v>132</v>
      </c>
      <c r="E342" s="3">
        <v>167</v>
      </c>
      <c r="G342" s="13"/>
    </row>
    <row r="343" spans="1:7" ht="12.75" x14ac:dyDescent="0.2">
      <c r="A343" s="2" t="s">
        <v>70</v>
      </c>
      <c r="B343" s="3" t="s">
        <v>71</v>
      </c>
      <c r="C343" s="3" t="s">
        <v>13</v>
      </c>
      <c r="D343" s="3" t="s">
        <v>14</v>
      </c>
      <c r="E343" s="3">
        <v>11</v>
      </c>
      <c r="F343">
        <f>SUM(E341:E343)</f>
        <v>334</v>
      </c>
      <c r="G343" s="13"/>
    </row>
    <row r="344" spans="1:7" ht="12.75" x14ac:dyDescent="0.2">
      <c r="A344" s="2">
        <v>40</v>
      </c>
      <c r="B344" s="3" t="s">
        <v>72</v>
      </c>
      <c r="C344" s="3" t="s">
        <v>2</v>
      </c>
      <c r="D344" s="3" t="s">
        <v>3</v>
      </c>
      <c r="E344" s="3">
        <v>874</v>
      </c>
      <c r="G344" s="13"/>
    </row>
    <row r="345" spans="1:7" ht="12.75" x14ac:dyDescent="0.2">
      <c r="A345" s="2">
        <v>40</v>
      </c>
      <c r="B345" s="3" t="s">
        <v>72</v>
      </c>
      <c r="C345" s="3" t="s">
        <v>2</v>
      </c>
      <c r="D345" s="3" t="s">
        <v>132</v>
      </c>
      <c r="E345" s="3">
        <v>404</v>
      </c>
      <c r="G345" s="13"/>
    </row>
    <row r="346" spans="1:7" ht="12.75" x14ac:dyDescent="0.2">
      <c r="A346" s="2">
        <v>40</v>
      </c>
      <c r="B346" s="3" t="s">
        <v>72</v>
      </c>
      <c r="C346" s="3" t="s">
        <v>2</v>
      </c>
      <c r="D346" s="3" t="s">
        <v>338</v>
      </c>
      <c r="E346" s="3">
        <v>293</v>
      </c>
      <c r="G346" s="13"/>
    </row>
    <row r="347" spans="1:7" ht="12.75" x14ac:dyDescent="0.2">
      <c r="A347" s="2">
        <v>40</v>
      </c>
      <c r="B347" s="3" t="s">
        <v>72</v>
      </c>
      <c r="C347" s="3" t="s">
        <v>2</v>
      </c>
      <c r="D347" s="3" t="s">
        <v>14</v>
      </c>
      <c r="E347" s="3">
        <v>409</v>
      </c>
      <c r="F347">
        <f>SUM(E344:E347)</f>
        <v>1980</v>
      </c>
      <c r="G347" s="13"/>
    </row>
    <row r="348" spans="1:7" ht="12.75" x14ac:dyDescent="0.2">
      <c r="A348" s="2">
        <v>40</v>
      </c>
      <c r="B348" s="3" t="s">
        <v>72</v>
      </c>
      <c r="C348" s="3" t="s">
        <v>10</v>
      </c>
      <c r="D348" s="3" t="s">
        <v>3</v>
      </c>
      <c r="E348" s="3">
        <v>805</v>
      </c>
      <c r="G348" s="13"/>
    </row>
    <row r="349" spans="1:7" ht="12.75" x14ac:dyDescent="0.2">
      <c r="A349" s="2">
        <v>40</v>
      </c>
      <c r="B349" s="3" t="s">
        <v>72</v>
      </c>
      <c r="C349" s="3" t="s">
        <v>10</v>
      </c>
      <c r="D349" s="3" t="s">
        <v>132</v>
      </c>
      <c r="E349" s="3">
        <v>302</v>
      </c>
      <c r="G349" s="13"/>
    </row>
    <row r="350" spans="1:7" ht="12.75" x14ac:dyDescent="0.2">
      <c r="A350" s="2">
        <v>40</v>
      </c>
      <c r="B350" s="3" t="s">
        <v>72</v>
      </c>
      <c r="C350" s="3" t="s">
        <v>10</v>
      </c>
      <c r="D350" s="3" t="s">
        <v>339</v>
      </c>
      <c r="E350" s="3">
        <v>461</v>
      </c>
      <c r="G350" s="13"/>
    </row>
    <row r="351" spans="1:7" ht="12.75" x14ac:dyDescent="0.2">
      <c r="A351" s="2">
        <v>40</v>
      </c>
      <c r="B351" s="3" t="s">
        <v>72</v>
      </c>
      <c r="C351" s="3" t="s">
        <v>10</v>
      </c>
      <c r="D351" s="3" t="s">
        <v>338</v>
      </c>
      <c r="E351" s="3">
        <v>118</v>
      </c>
      <c r="G351" s="13"/>
    </row>
    <row r="352" spans="1:7" ht="12.75" x14ac:dyDescent="0.2">
      <c r="A352" s="2">
        <v>40</v>
      </c>
      <c r="B352" s="3" t="s">
        <v>72</v>
      </c>
      <c r="C352" s="3" t="s">
        <v>10</v>
      </c>
      <c r="D352" s="3" t="s">
        <v>14</v>
      </c>
      <c r="E352" s="3">
        <v>292</v>
      </c>
      <c r="F352">
        <f>SUM(E348:E352)</f>
        <v>1978</v>
      </c>
      <c r="G352" s="13"/>
    </row>
    <row r="353" spans="1:7" ht="12.75" x14ac:dyDescent="0.2">
      <c r="A353" s="2">
        <v>40</v>
      </c>
      <c r="B353" s="3" t="s">
        <v>72</v>
      </c>
      <c r="C353" s="3" t="s">
        <v>13</v>
      </c>
      <c r="D353" s="3" t="s">
        <v>3</v>
      </c>
      <c r="E353" s="3">
        <v>1018</v>
      </c>
      <c r="G353" s="13"/>
    </row>
    <row r="354" spans="1:7" ht="12.75" x14ac:dyDescent="0.2">
      <c r="A354" s="2">
        <v>40</v>
      </c>
      <c r="B354" s="3" t="s">
        <v>72</v>
      </c>
      <c r="C354" s="3" t="s">
        <v>13</v>
      </c>
      <c r="D354" s="3" t="s">
        <v>132</v>
      </c>
      <c r="E354" s="3">
        <v>370</v>
      </c>
      <c r="G354" s="13"/>
    </row>
    <row r="355" spans="1:7" ht="12.75" x14ac:dyDescent="0.2">
      <c r="A355" s="2">
        <v>40</v>
      </c>
      <c r="B355" s="3" t="s">
        <v>72</v>
      </c>
      <c r="C355" s="3" t="s">
        <v>13</v>
      </c>
      <c r="D355" s="3" t="s">
        <v>14</v>
      </c>
      <c r="E355" s="3">
        <v>596</v>
      </c>
      <c r="F355">
        <f>SUM(E353:E355)</f>
        <v>1984</v>
      </c>
      <c r="G355" s="13"/>
    </row>
    <row r="356" spans="1:7" ht="12.75" x14ac:dyDescent="0.2">
      <c r="A356" s="3">
        <v>42</v>
      </c>
      <c r="B356" s="3" t="s">
        <v>73</v>
      </c>
      <c r="C356" s="3" t="s">
        <v>2</v>
      </c>
      <c r="D356" s="3" t="s">
        <v>3</v>
      </c>
      <c r="E356" s="3">
        <v>922</v>
      </c>
      <c r="G356" s="13"/>
    </row>
    <row r="357" spans="1:7" ht="12.75" x14ac:dyDescent="0.2">
      <c r="A357" s="3">
        <v>42</v>
      </c>
      <c r="B357" s="3" t="s">
        <v>73</v>
      </c>
      <c r="C357" s="3" t="s">
        <v>2</v>
      </c>
      <c r="D357" s="3" t="s">
        <v>132</v>
      </c>
      <c r="E357" s="3">
        <v>452</v>
      </c>
      <c r="G357" s="13"/>
    </row>
    <row r="358" spans="1:7" ht="12.75" x14ac:dyDescent="0.2">
      <c r="A358" s="3">
        <v>42</v>
      </c>
      <c r="B358" s="3" t="s">
        <v>73</v>
      </c>
      <c r="C358" s="3" t="s">
        <v>2</v>
      </c>
      <c r="D358" s="3" t="s">
        <v>338</v>
      </c>
      <c r="E358" s="3">
        <v>463</v>
      </c>
      <c r="G358" s="13"/>
    </row>
    <row r="359" spans="1:7" ht="12.75" x14ac:dyDescent="0.2">
      <c r="A359" s="3">
        <v>42</v>
      </c>
      <c r="B359" s="3" t="s">
        <v>73</v>
      </c>
      <c r="C359" s="3" t="s">
        <v>2</v>
      </c>
      <c r="D359" s="3" t="s">
        <v>14</v>
      </c>
      <c r="E359" s="3">
        <v>155</v>
      </c>
      <c r="F359">
        <f>SUM(E356:E359)</f>
        <v>1992</v>
      </c>
      <c r="G359" s="13"/>
    </row>
    <row r="360" spans="1:7" ht="12.75" x14ac:dyDescent="0.2">
      <c r="A360" s="3">
        <v>42</v>
      </c>
      <c r="B360" s="3" t="s">
        <v>73</v>
      </c>
      <c r="C360" s="3" t="s">
        <v>10</v>
      </c>
      <c r="D360" s="3" t="s">
        <v>3</v>
      </c>
      <c r="E360" s="3">
        <v>848</v>
      </c>
      <c r="G360" s="13"/>
    </row>
    <row r="361" spans="1:7" ht="12.75" x14ac:dyDescent="0.2">
      <c r="A361" s="3">
        <v>42</v>
      </c>
      <c r="B361" s="3" t="s">
        <v>73</v>
      </c>
      <c r="C361" s="3" t="s">
        <v>10</v>
      </c>
      <c r="D361" s="3" t="s">
        <v>132</v>
      </c>
      <c r="E361" s="3">
        <v>532</v>
      </c>
      <c r="G361" s="13"/>
    </row>
    <row r="362" spans="1:7" ht="12.75" x14ac:dyDescent="0.2">
      <c r="A362" s="3">
        <v>42</v>
      </c>
      <c r="B362" s="3" t="s">
        <v>73</v>
      </c>
      <c r="C362" s="3" t="s">
        <v>10</v>
      </c>
      <c r="D362" s="3" t="s">
        <v>338</v>
      </c>
      <c r="E362" s="3">
        <v>376</v>
      </c>
      <c r="G362" s="13"/>
    </row>
    <row r="363" spans="1:7" ht="12.75" x14ac:dyDescent="0.2">
      <c r="A363" s="3">
        <v>42</v>
      </c>
      <c r="B363" s="3" t="s">
        <v>73</v>
      </c>
      <c r="C363" s="3" t="s">
        <v>10</v>
      </c>
      <c r="D363" s="3" t="s">
        <v>14</v>
      </c>
      <c r="E363" s="3">
        <v>234</v>
      </c>
      <c r="F363">
        <f>SUM(E360:E363)</f>
        <v>1990</v>
      </c>
      <c r="G363" s="13"/>
    </row>
    <row r="364" spans="1:7" ht="12.75" x14ac:dyDescent="0.2">
      <c r="A364" s="3">
        <v>42</v>
      </c>
      <c r="B364" s="3" t="s">
        <v>73</v>
      </c>
      <c r="C364" s="3" t="s">
        <v>13</v>
      </c>
      <c r="D364" s="3" t="s">
        <v>3</v>
      </c>
      <c r="E364" s="3">
        <v>882</v>
      </c>
      <c r="G364" s="13"/>
    </row>
    <row r="365" spans="1:7" ht="12.75" x14ac:dyDescent="0.2">
      <c r="A365" s="3">
        <v>42</v>
      </c>
      <c r="B365" s="3" t="s">
        <v>73</v>
      </c>
      <c r="C365" s="3" t="s">
        <v>13</v>
      </c>
      <c r="D365" s="3" t="s">
        <v>132</v>
      </c>
      <c r="E365" s="3">
        <v>476</v>
      </c>
      <c r="G365" s="13"/>
    </row>
    <row r="366" spans="1:7" ht="12.75" x14ac:dyDescent="0.2">
      <c r="A366" s="3">
        <v>42</v>
      </c>
      <c r="B366" s="3" t="s">
        <v>73</v>
      </c>
      <c r="C366" s="3" t="s">
        <v>13</v>
      </c>
      <c r="D366" s="3" t="s">
        <v>338</v>
      </c>
      <c r="E366" s="3">
        <v>419</v>
      </c>
      <c r="G366" s="13"/>
    </row>
    <row r="367" spans="1:7" ht="12.75" x14ac:dyDescent="0.2">
      <c r="A367" s="3">
        <v>42</v>
      </c>
      <c r="B367" s="3" t="s">
        <v>73</v>
      </c>
      <c r="C367" s="3" t="s">
        <v>13</v>
      </c>
      <c r="D367" s="3" t="s">
        <v>14</v>
      </c>
      <c r="E367" s="3">
        <v>213</v>
      </c>
      <c r="F367">
        <f>SUM(E364:E367)</f>
        <v>1990</v>
      </c>
      <c r="G367" s="13"/>
    </row>
    <row r="368" spans="1:7" ht="12.75" x14ac:dyDescent="0.2">
      <c r="A368" s="3">
        <v>43</v>
      </c>
      <c r="B368" s="3" t="s">
        <v>74</v>
      </c>
      <c r="C368" s="3" t="s">
        <v>2</v>
      </c>
      <c r="D368" s="3" t="s">
        <v>3</v>
      </c>
      <c r="E368" s="3">
        <v>135</v>
      </c>
      <c r="G368" s="13"/>
    </row>
    <row r="369" spans="1:7" ht="12.75" x14ac:dyDescent="0.2">
      <c r="A369" s="3">
        <v>43</v>
      </c>
      <c r="B369" s="3" t="s">
        <v>74</v>
      </c>
      <c r="C369" s="3" t="s">
        <v>2</v>
      </c>
      <c r="D369" s="3" t="s">
        <v>132</v>
      </c>
      <c r="E369" s="3">
        <v>172</v>
      </c>
      <c r="G369" s="13"/>
    </row>
    <row r="370" spans="1:7" ht="12.75" x14ac:dyDescent="0.2">
      <c r="A370" s="3">
        <v>43</v>
      </c>
      <c r="B370" s="3" t="s">
        <v>74</v>
      </c>
      <c r="C370" s="3" t="s">
        <v>2</v>
      </c>
      <c r="D370" s="3" t="s">
        <v>14</v>
      </c>
      <c r="E370" s="3">
        <v>9</v>
      </c>
      <c r="F370">
        <f>SUM(E368:E370)</f>
        <v>316</v>
      </c>
      <c r="G370" s="13"/>
    </row>
    <row r="371" spans="1:7" ht="12.75" x14ac:dyDescent="0.2">
      <c r="A371" s="3">
        <v>43</v>
      </c>
      <c r="B371" s="3" t="s">
        <v>74</v>
      </c>
      <c r="C371" s="3" t="s">
        <v>10</v>
      </c>
      <c r="D371" s="3" t="s">
        <v>3</v>
      </c>
      <c r="E371" s="3">
        <v>126</v>
      </c>
      <c r="G371" s="13"/>
    </row>
    <row r="372" spans="1:7" ht="12.75" x14ac:dyDescent="0.2">
      <c r="A372" s="3">
        <v>43</v>
      </c>
      <c r="B372" s="3" t="s">
        <v>74</v>
      </c>
      <c r="C372" s="3" t="s">
        <v>10</v>
      </c>
      <c r="D372" s="3" t="s">
        <v>132</v>
      </c>
      <c r="E372" s="3">
        <v>166</v>
      </c>
      <c r="G372" s="13"/>
    </row>
    <row r="373" spans="1:7" ht="12.75" x14ac:dyDescent="0.2">
      <c r="A373" s="3">
        <v>43</v>
      </c>
      <c r="B373" s="3" t="s">
        <v>74</v>
      </c>
      <c r="C373" s="3" t="s">
        <v>10</v>
      </c>
      <c r="D373" s="3" t="s">
        <v>14</v>
      </c>
      <c r="E373" s="3">
        <v>24</v>
      </c>
      <c r="F373">
        <f>SUM(E371:E373)</f>
        <v>316</v>
      </c>
      <c r="G373" s="13"/>
    </row>
    <row r="374" spans="1:7" ht="12.75" x14ac:dyDescent="0.2">
      <c r="A374" s="3">
        <v>43</v>
      </c>
      <c r="B374" s="3" t="s">
        <v>74</v>
      </c>
      <c r="C374" s="3" t="s">
        <v>13</v>
      </c>
      <c r="D374" s="3" t="s">
        <v>3</v>
      </c>
      <c r="E374" s="3">
        <v>129</v>
      </c>
      <c r="G374" s="13"/>
    </row>
    <row r="375" spans="1:7" ht="12.75" x14ac:dyDescent="0.2">
      <c r="A375" s="3">
        <v>43</v>
      </c>
      <c r="B375" s="3" t="s">
        <v>74</v>
      </c>
      <c r="C375" s="3" t="s">
        <v>13</v>
      </c>
      <c r="D375" s="3" t="s">
        <v>132</v>
      </c>
      <c r="E375" s="3">
        <v>170</v>
      </c>
      <c r="G375" s="13"/>
    </row>
    <row r="376" spans="1:7" ht="12.75" x14ac:dyDescent="0.2">
      <c r="A376" s="3">
        <v>43</v>
      </c>
      <c r="B376" s="3" t="s">
        <v>74</v>
      </c>
      <c r="C376" s="3" t="s">
        <v>13</v>
      </c>
      <c r="D376" s="3" t="s">
        <v>14</v>
      </c>
      <c r="E376" s="3">
        <v>17</v>
      </c>
      <c r="F376">
        <f>SUM(E374:E376)</f>
        <v>316</v>
      </c>
      <c r="G376" s="13"/>
    </row>
    <row r="377" spans="1:7" ht="12.75" x14ac:dyDescent="0.2">
      <c r="A377" s="3">
        <v>45</v>
      </c>
      <c r="B377" s="3" t="s">
        <v>75</v>
      </c>
      <c r="C377" s="3" t="s">
        <v>15</v>
      </c>
      <c r="D377" s="3" t="s">
        <v>3</v>
      </c>
      <c r="E377" s="3">
        <v>97</v>
      </c>
      <c r="G377" s="13"/>
    </row>
    <row r="378" spans="1:7" ht="12.75" x14ac:dyDescent="0.2">
      <c r="A378" s="3">
        <v>45</v>
      </c>
      <c r="B378" s="3" t="s">
        <v>75</v>
      </c>
      <c r="C378" s="3" t="s">
        <v>15</v>
      </c>
      <c r="D378" s="3" t="s">
        <v>14</v>
      </c>
      <c r="E378" s="3">
        <v>14</v>
      </c>
      <c r="F378">
        <f>SUM(E377:E378)</f>
        <v>111</v>
      </c>
      <c r="G378" s="13"/>
    </row>
    <row r="379" spans="1:7" ht="12.75" x14ac:dyDescent="0.2">
      <c r="A379" s="3">
        <v>45</v>
      </c>
      <c r="B379" s="3" t="s">
        <v>75</v>
      </c>
      <c r="C379" s="3" t="s">
        <v>17</v>
      </c>
      <c r="D379" s="3" t="s">
        <v>3</v>
      </c>
      <c r="E379" s="3">
        <v>93</v>
      </c>
      <c r="G379" s="13"/>
    </row>
    <row r="380" spans="1:7" ht="12.75" x14ac:dyDescent="0.2">
      <c r="A380" s="3">
        <v>45</v>
      </c>
      <c r="B380" s="3" t="s">
        <v>75</v>
      </c>
      <c r="C380" s="3" t="s">
        <v>17</v>
      </c>
      <c r="D380" s="3" t="s">
        <v>14</v>
      </c>
      <c r="E380" s="3">
        <v>18</v>
      </c>
      <c r="F380">
        <f>SUM(E379:E380)</f>
        <v>111</v>
      </c>
      <c r="G380" s="13"/>
    </row>
    <row r="381" spans="1:7" ht="12.75" x14ac:dyDescent="0.2">
      <c r="A381" s="3">
        <v>46</v>
      </c>
      <c r="B381" s="3" t="s">
        <v>76</v>
      </c>
      <c r="C381" s="3" t="s">
        <v>2</v>
      </c>
      <c r="D381" s="3" t="s">
        <v>3</v>
      </c>
      <c r="E381" s="3">
        <v>364</v>
      </c>
      <c r="G381" s="13"/>
    </row>
    <row r="382" spans="1:7" ht="12.75" x14ac:dyDescent="0.2">
      <c r="A382" s="3">
        <v>46</v>
      </c>
      <c r="B382" s="3" t="s">
        <v>76</v>
      </c>
      <c r="C382" s="3" t="s">
        <v>2</v>
      </c>
      <c r="D382" s="3" t="s">
        <v>132</v>
      </c>
      <c r="E382" s="3">
        <v>158</v>
      </c>
      <c r="G382" s="13"/>
    </row>
    <row r="383" spans="1:7" ht="12.75" x14ac:dyDescent="0.2">
      <c r="A383" s="3">
        <v>46</v>
      </c>
      <c r="B383" s="3" t="s">
        <v>76</v>
      </c>
      <c r="C383" s="3" t="s">
        <v>2</v>
      </c>
      <c r="D383" s="3" t="s">
        <v>14</v>
      </c>
      <c r="E383" s="3">
        <v>29</v>
      </c>
      <c r="F383">
        <f>SUM(E381:E383)</f>
        <v>551</v>
      </c>
      <c r="G383" s="13"/>
    </row>
    <row r="384" spans="1:7" ht="12.75" x14ac:dyDescent="0.2">
      <c r="A384" s="3">
        <v>46</v>
      </c>
      <c r="B384" s="3" t="s">
        <v>76</v>
      </c>
      <c r="C384" s="3" t="s">
        <v>10</v>
      </c>
      <c r="D384" s="3" t="s">
        <v>3</v>
      </c>
      <c r="E384" s="3">
        <v>352</v>
      </c>
      <c r="G384" s="13"/>
    </row>
    <row r="385" spans="1:7" ht="12.75" x14ac:dyDescent="0.2">
      <c r="A385" s="3">
        <v>46</v>
      </c>
      <c r="B385" s="3" t="s">
        <v>76</v>
      </c>
      <c r="C385" s="3" t="s">
        <v>10</v>
      </c>
      <c r="D385" s="3" t="s">
        <v>132</v>
      </c>
      <c r="E385" s="3">
        <v>153</v>
      </c>
      <c r="G385" s="13"/>
    </row>
    <row r="386" spans="1:7" ht="12.75" x14ac:dyDescent="0.2">
      <c r="A386" s="3">
        <v>46</v>
      </c>
      <c r="B386" s="3" t="s">
        <v>76</v>
      </c>
      <c r="C386" s="3" t="s">
        <v>10</v>
      </c>
      <c r="D386" s="3" t="s">
        <v>14</v>
      </c>
      <c r="E386" s="3">
        <v>47</v>
      </c>
      <c r="F386">
        <f>SUM(E384:E386)</f>
        <v>552</v>
      </c>
      <c r="G386" s="13"/>
    </row>
    <row r="387" spans="1:7" ht="12.75" x14ac:dyDescent="0.2">
      <c r="A387" s="3">
        <v>46</v>
      </c>
      <c r="B387" s="3" t="s">
        <v>76</v>
      </c>
      <c r="C387" s="3" t="s">
        <v>13</v>
      </c>
      <c r="D387" s="3" t="s">
        <v>3</v>
      </c>
      <c r="E387" s="3">
        <v>365</v>
      </c>
      <c r="G387" s="13"/>
    </row>
    <row r="388" spans="1:7" ht="12.75" x14ac:dyDescent="0.2">
      <c r="A388" s="3">
        <v>46</v>
      </c>
      <c r="B388" s="3" t="s">
        <v>76</v>
      </c>
      <c r="C388" s="3" t="s">
        <v>13</v>
      </c>
      <c r="D388" s="3" t="s">
        <v>132</v>
      </c>
      <c r="E388" s="3">
        <v>147</v>
      </c>
      <c r="G388" s="13"/>
    </row>
    <row r="389" spans="1:7" ht="12.75" x14ac:dyDescent="0.2">
      <c r="A389" s="3">
        <v>46</v>
      </c>
      <c r="B389" s="3" t="s">
        <v>76</v>
      </c>
      <c r="C389" s="3" t="s">
        <v>13</v>
      </c>
      <c r="D389" s="3" t="s">
        <v>14</v>
      </c>
      <c r="E389" s="3">
        <v>40</v>
      </c>
      <c r="F389">
        <f>SUM(E387:E389)</f>
        <v>552</v>
      </c>
      <c r="G389" s="13"/>
    </row>
    <row r="390" spans="1:7" ht="12.75" x14ac:dyDescent="0.2">
      <c r="A390" s="3">
        <v>47</v>
      </c>
      <c r="B390" s="3" t="s">
        <v>77</v>
      </c>
      <c r="C390" s="3" t="s">
        <v>2</v>
      </c>
      <c r="D390" s="3" t="s">
        <v>3</v>
      </c>
      <c r="E390" s="3">
        <v>470</v>
      </c>
      <c r="G390" s="13"/>
    </row>
    <row r="391" spans="1:7" ht="12.75" x14ac:dyDescent="0.2">
      <c r="A391" s="3">
        <v>47</v>
      </c>
      <c r="B391" s="3" t="s">
        <v>77</v>
      </c>
      <c r="C391" s="3" t="s">
        <v>2</v>
      </c>
      <c r="D391" s="3" t="s">
        <v>132</v>
      </c>
      <c r="E391" s="3">
        <v>417</v>
      </c>
      <c r="G391" s="13"/>
    </row>
    <row r="392" spans="1:7" ht="12.75" x14ac:dyDescent="0.2">
      <c r="A392" s="3">
        <v>47</v>
      </c>
      <c r="B392" s="3" t="s">
        <v>77</v>
      </c>
      <c r="C392" s="3" t="s">
        <v>2</v>
      </c>
      <c r="D392" s="3" t="s">
        <v>14</v>
      </c>
      <c r="E392" s="3">
        <v>40</v>
      </c>
      <c r="F392">
        <f>SUM(E390:E392)</f>
        <v>927</v>
      </c>
      <c r="G392" s="13"/>
    </row>
    <row r="393" spans="1:7" ht="12.75" x14ac:dyDescent="0.2">
      <c r="A393" s="3">
        <v>47</v>
      </c>
      <c r="B393" s="3" t="s">
        <v>77</v>
      </c>
      <c r="C393" s="3" t="s">
        <v>10</v>
      </c>
      <c r="D393" s="3" t="s">
        <v>3</v>
      </c>
      <c r="E393" s="3">
        <v>460</v>
      </c>
      <c r="G393" s="13"/>
    </row>
    <row r="394" spans="1:7" ht="12.75" x14ac:dyDescent="0.2">
      <c r="A394" s="3">
        <v>47</v>
      </c>
      <c r="B394" s="3" t="s">
        <v>77</v>
      </c>
      <c r="C394" s="3" t="s">
        <v>10</v>
      </c>
      <c r="D394" s="3" t="s">
        <v>132</v>
      </c>
      <c r="E394" s="3">
        <v>403</v>
      </c>
      <c r="G394" s="13"/>
    </row>
    <row r="395" spans="1:7" ht="12.75" x14ac:dyDescent="0.2">
      <c r="A395" s="3">
        <v>47</v>
      </c>
      <c r="B395" s="3" t="s">
        <v>77</v>
      </c>
      <c r="C395" s="3" t="s">
        <v>10</v>
      </c>
      <c r="D395" s="3" t="s">
        <v>14</v>
      </c>
      <c r="E395" s="3">
        <v>64</v>
      </c>
      <c r="F395">
        <f>SUM(E393:E395)</f>
        <v>927</v>
      </c>
      <c r="G395" s="13"/>
    </row>
    <row r="396" spans="1:7" ht="12.75" x14ac:dyDescent="0.2">
      <c r="A396" s="3">
        <v>47</v>
      </c>
      <c r="B396" s="3" t="s">
        <v>77</v>
      </c>
      <c r="C396" s="3" t="s">
        <v>13</v>
      </c>
      <c r="D396" s="3" t="s">
        <v>3</v>
      </c>
      <c r="E396" s="3">
        <v>454</v>
      </c>
      <c r="G396" s="13"/>
    </row>
    <row r="397" spans="1:7" ht="12.75" x14ac:dyDescent="0.2">
      <c r="A397" s="3">
        <v>47</v>
      </c>
      <c r="B397" s="3" t="s">
        <v>77</v>
      </c>
      <c r="C397" s="3" t="s">
        <v>13</v>
      </c>
      <c r="D397" s="3" t="s">
        <v>132</v>
      </c>
      <c r="E397" s="3">
        <v>409</v>
      </c>
      <c r="G397" s="13"/>
    </row>
    <row r="398" spans="1:7" ht="12.75" x14ac:dyDescent="0.2">
      <c r="A398" s="3">
        <v>47</v>
      </c>
      <c r="B398" s="3" t="s">
        <v>77</v>
      </c>
      <c r="C398" s="3" t="s">
        <v>13</v>
      </c>
      <c r="D398" s="3" t="s">
        <v>14</v>
      </c>
      <c r="E398" s="3">
        <v>64</v>
      </c>
      <c r="F398">
        <f>SUM(E396:E398)</f>
        <v>927</v>
      </c>
      <c r="G398" s="13"/>
    </row>
    <row r="399" spans="1:7" ht="12.75" x14ac:dyDescent="0.2">
      <c r="A399" s="3">
        <v>48</v>
      </c>
      <c r="B399" s="3" t="s">
        <v>78</v>
      </c>
      <c r="C399" s="3" t="s">
        <v>2</v>
      </c>
      <c r="D399" s="3" t="s">
        <v>3</v>
      </c>
      <c r="E399" s="3">
        <v>1494</v>
      </c>
      <c r="G399" s="13"/>
    </row>
    <row r="400" spans="1:7" ht="12.75" x14ac:dyDescent="0.2">
      <c r="A400" s="3">
        <v>48</v>
      </c>
      <c r="B400" s="3" t="s">
        <v>78</v>
      </c>
      <c r="C400" s="3" t="s">
        <v>2</v>
      </c>
      <c r="D400" s="3" t="s">
        <v>338</v>
      </c>
      <c r="E400" s="3">
        <v>163</v>
      </c>
      <c r="G400" s="13"/>
    </row>
    <row r="401" spans="1:7" ht="12.75" x14ac:dyDescent="0.2">
      <c r="A401" s="3">
        <v>48</v>
      </c>
      <c r="B401" s="3" t="s">
        <v>78</v>
      </c>
      <c r="C401" s="3" t="s">
        <v>2</v>
      </c>
      <c r="D401" s="3" t="s">
        <v>26</v>
      </c>
      <c r="E401" s="3">
        <v>2334</v>
      </c>
      <c r="G401" s="13"/>
    </row>
    <row r="402" spans="1:7" ht="12.75" x14ac:dyDescent="0.2">
      <c r="A402" s="3">
        <v>48</v>
      </c>
      <c r="B402" s="3" t="s">
        <v>78</v>
      </c>
      <c r="C402" s="3" t="s">
        <v>2</v>
      </c>
      <c r="D402" s="3" t="s">
        <v>14</v>
      </c>
      <c r="E402" s="3">
        <v>218</v>
      </c>
      <c r="F402">
        <f>SUM(E399:E402)</f>
        <v>4209</v>
      </c>
      <c r="G402" s="13"/>
    </row>
    <row r="403" spans="1:7" ht="12.75" x14ac:dyDescent="0.2">
      <c r="A403" s="3">
        <v>48</v>
      </c>
      <c r="B403" s="3" t="s">
        <v>78</v>
      </c>
      <c r="C403" s="3" t="s">
        <v>10</v>
      </c>
      <c r="D403" s="3" t="s">
        <v>3</v>
      </c>
      <c r="E403" s="3">
        <v>1409</v>
      </c>
      <c r="G403" s="13"/>
    </row>
    <row r="404" spans="1:7" ht="12.75" x14ac:dyDescent="0.2">
      <c r="A404" s="3">
        <v>48</v>
      </c>
      <c r="B404" s="3" t="s">
        <v>78</v>
      </c>
      <c r="C404" s="3" t="s">
        <v>10</v>
      </c>
      <c r="D404" s="3" t="s">
        <v>338</v>
      </c>
      <c r="E404" s="3">
        <v>220</v>
      </c>
      <c r="G404" s="13"/>
    </row>
    <row r="405" spans="1:7" ht="12.75" x14ac:dyDescent="0.2">
      <c r="A405" s="3">
        <v>48</v>
      </c>
      <c r="B405" s="3" t="s">
        <v>78</v>
      </c>
      <c r="C405" s="3" t="s">
        <v>10</v>
      </c>
      <c r="D405" s="3" t="s">
        <v>26</v>
      </c>
      <c r="E405" s="3">
        <v>2212</v>
      </c>
      <c r="G405" s="13"/>
    </row>
    <row r="406" spans="1:7" ht="12.75" x14ac:dyDescent="0.2">
      <c r="A406" s="3">
        <v>48</v>
      </c>
      <c r="B406" s="3" t="s">
        <v>78</v>
      </c>
      <c r="C406" s="3" t="s">
        <v>10</v>
      </c>
      <c r="D406" s="3" t="s">
        <v>14</v>
      </c>
      <c r="E406" s="3">
        <v>369</v>
      </c>
      <c r="F406">
        <f>SUM(E403:E406)</f>
        <v>4210</v>
      </c>
      <c r="G406" s="13"/>
    </row>
    <row r="407" spans="1:7" ht="12.75" x14ac:dyDescent="0.2">
      <c r="A407" s="3">
        <v>48</v>
      </c>
      <c r="B407" s="3" t="s">
        <v>78</v>
      </c>
      <c r="C407" s="3" t="s">
        <v>13</v>
      </c>
      <c r="D407" s="3" t="s">
        <v>3</v>
      </c>
      <c r="E407" s="3">
        <v>1355</v>
      </c>
      <c r="G407" s="13"/>
    </row>
    <row r="408" spans="1:7" ht="12.75" x14ac:dyDescent="0.2">
      <c r="A408" s="3">
        <v>48</v>
      </c>
      <c r="B408" s="3" t="s">
        <v>78</v>
      </c>
      <c r="C408" s="3" t="s">
        <v>13</v>
      </c>
      <c r="D408" s="3" t="s">
        <v>338</v>
      </c>
      <c r="E408" s="3">
        <v>151</v>
      </c>
      <c r="G408" s="13"/>
    </row>
    <row r="409" spans="1:7" ht="12.75" x14ac:dyDescent="0.2">
      <c r="A409" s="3">
        <v>48</v>
      </c>
      <c r="B409" s="3" t="s">
        <v>78</v>
      </c>
      <c r="C409" s="3" t="s">
        <v>13</v>
      </c>
      <c r="D409" s="3" t="s">
        <v>26</v>
      </c>
      <c r="E409" s="3">
        <v>2311</v>
      </c>
      <c r="G409" s="13"/>
    </row>
    <row r="410" spans="1:7" ht="12.75" x14ac:dyDescent="0.2">
      <c r="A410" s="3">
        <v>48</v>
      </c>
      <c r="B410" s="3" t="s">
        <v>78</v>
      </c>
      <c r="C410" s="3" t="s">
        <v>13</v>
      </c>
      <c r="D410" s="3" t="s">
        <v>14</v>
      </c>
      <c r="E410" s="3">
        <v>395</v>
      </c>
      <c r="F410">
        <f>SUM(E407:E410)</f>
        <v>4212</v>
      </c>
      <c r="G410" s="13"/>
    </row>
    <row r="411" spans="1:7" ht="12.75" x14ac:dyDescent="0.2">
      <c r="A411" s="3">
        <v>49</v>
      </c>
      <c r="B411" s="3" t="s">
        <v>79</v>
      </c>
      <c r="C411" s="3" t="s">
        <v>15</v>
      </c>
      <c r="D411" s="3" t="s">
        <v>3</v>
      </c>
      <c r="E411" s="3">
        <v>104</v>
      </c>
      <c r="G411" s="13"/>
    </row>
    <row r="412" spans="1:7" ht="12.75" x14ac:dyDescent="0.2">
      <c r="A412" s="3">
        <v>49</v>
      </c>
      <c r="B412" s="3" t="s">
        <v>79</v>
      </c>
      <c r="C412" s="3" t="s">
        <v>15</v>
      </c>
      <c r="D412" s="3" t="s">
        <v>132</v>
      </c>
      <c r="E412" s="3">
        <v>77</v>
      </c>
      <c r="G412" s="13"/>
    </row>
    <row r="413" spans="1:7" ht="12.75" x14ac:dyDescent="0.2">
      <c r="A413" s="3">
        <v>49</v>
      </c>
      <c r="B413" s="3" t="s">
        <v>79</v>
      </c>
      <c r="C413" s="3" t="s">
        <v>15</v>
      </c>
      <c r="D413" s="3" t="s">
        <v>14</v>
      </c>
      <c r="E413" s="3">
        <v>3</v>
      </c>
      <c r="F413">
        <f>SUM(E411:E413)</f>
        <v>184</v>
      </c>
      <c r="G413" s="13"/>
    </row>
    <row r="414" spans="1:7" ht="12.75" x14ac:dyDescent="0.2">
      <c r="A414" s="3">
        <v>49</v>
      </c>
      <c r="B414" s="3" t="s">
        <v>79</v>
      </c>
      <c r="C414" s="3" t="s">
        <v>17</v>
      </c>
      <c r="D414" s="3" t="s">
        <v>3</v>
      </c>
      <c r="E414" s="3">
        <v>99</v>
      </c>
      <c r="G414" s="13"/>
    </row>
    <row r="415" spans="1:7" ht="12.75" x14ac:dyDescent="0.2">
      <c r="A415" s="3">
        <v>49</v>
      </c>
      <c r="B415" s="3" t="s">
        <v>79</v>
      </c>
      <c r="C415" s="3" t="s">
        <v>17</v>
      </c>
      <c r="D415" s="3" t="s">
        <v>132</v>
      </c>
      <c r="E415" s="3">
        <v>69</v>
      </c>
      <c r="G415" s="13"/>
    </row>
    <row r="416" spans="1:7" ht="12.75" x14ac:dyDescent="0.2">
      <c r="A416" s="3">
        <v>49</v>
      </c>
      <c r="B416" s="3" t="s">
        <v>79</v>
      </c>
      <c r="C416" s="3" t="s">
        <v>17</v>
      </c>
      <c r="D416" s="3" t="s">
        <v>14</v>
      </c>
      <c r="E416" s="3">
        <v>16</v>
      </c>
      <c r="F416">
        <f>SUM(E414:E416)</f>
        <v>184</v>
      </c>
      <c r="G416" s="13"/>
    </row>
    <row r="417" spans="1:7" ht="12.75" x14ac:dyDescent="0.2">
      <c r="A417" s="3">
        <v>49</v>
      </c>
      <c r="B417" s="3" t="s">
        <v>79</v>
      </c>
      <c r="C417" s="3" t="s">
        <v>13</v>
      </c>
      <c r="D417" s="3" t="s">
        <v>3</v>
      </c>
      <c r="E417" s="3">
        <v>97</v>
      </c>
      <c r="G417" s="13"/>
    </row>
    <row r="418" spans="1:7" ht="12.75" x14ac:dyDescent="0.2">
      <c r="A418" s="3">
        <v>49</v>
      </c>
      <c r="B418" s="3" t="s">
        <v>79</v>
      </c>
      <c r="C418" s="3" t="s">
        <v>13</v>
      </c>
      <c r="D418" s="3" t="s">
        <v>132</v>
      </c>
      <c r="E418" s="3">
        <v>83</v>
      </c>
      <c r="G418" s="13"/>
    </row>
    <row r="419" spans="1:7" ht="12.75" x14ac:dyDescent="0.2">
      <c r="A419" s="3">
        <v>49</v>
      </c>
      <c r="B419" s="3" t="s">
        <v>79</v>
      </c>
      <c r="C419" s="3" t="s">
        <v>13</v>
      </c>
      <c r="D419" s="3" t="s">
        <v>14</v>
      </c>
      <c r="E419" s="3">
        <v>4</v>
      </c>
      <c r="F419">
        <f>SUM(E417:E419)</f>
        <v>184</v>
      </c>
      <c r="G419" s="13"/>
    </row>
    <row r="420" spans="1:7" ht="12.75" x14ac:dyDescent="0.2">
      <c r="A420" s="3">
        <v>53</v>
      </c>
      <c r="B420" s="3" t="s">
        <v>80</v>
      </c>
      <c r="C420" s="3" t="s">
        <v>15</v>
      </c>
      <c r="D420" s="3" t="s">
        <v>3</v>
      </c>
      <c r="E420" s="3">
        <v>105</v>
      </c>
      <c r="G420" s="13"/>
    </row>
    <row r="421" spans="1:7" ht="12.75" x14ac:dyDescent="0.2">
      <c r="A421" s="3">
        <v>53</v>
      </c>
      <c r="B421" s="3" t="s">
        <v>80</v>
      </c>
      <c r="C421" s="3" t="s">
        <v>15</v>
      </c>
      <c r="D421" s="3" t="s">
        <v>132</v>
      </c>
      <c r="E421" s="3">
        <v>88</v>
      </c>
      <c r="G421" s="13"/>
    </row>
    <row r="422" spans="1:7" ht="12.75" x14ac:dyDescent="0.2">
      <c r="A422" s="3">
        <v>53</v>
      </c>
      <c r="B422" s="3" t="s">
        <v>80</v>
      </c>
      <c r="C422" s="3" t="s">
        <v>15</v>
      </c>
      <c r="D422" s="3" t="s">
        <v>14</v>
      </c>
      <c r="E422" s="3">
        <v>13</v>
      </c>
      <c r="F422">
        <f>SUM(E420:E422)</f>
        <v>206</v>
      </c>
      <c r="G422" s="13"/>
    </row>
    <row r="423" spans="1:7" ht="12.75" x14ac:dyDescent="0.2">
      <c r="A423" s="3">
        <v>53</v>
      </c>
      <c r="B423" s="3" t="s">
        <v>80</v>
      </c>
      <c r="C423" s="3" t="s">
        <v>17</v>
      </c>
      <c r="D423" s="3" t="s">
        <v>3</v>
      </c>
      <c r="E423" s="3">
        <v>113</v>
      </c>
      <c r="G423" s="13"/>
    </row>
    <row r="424" spans="1:7" ht="12.75" x14ac:dyDescent="0.2">
      <c r="A424" s="3">
        <v>53</v>
      </c>
      <c r="B424" s="3" t="s">
        <v>80</v>
      </c>
      <c r="C424" s="3" t="s">
        <v>17</v>
      </c>
      <c r="D424" s="3" t="s">
        <v>132</v>
      </c>
      <c r="E424" s="3">
        <v>90</v>
      </c>
      <c r="G424" s="13"/>
    </row>
    <row r="425" spans="1:7" ht="12.75" x14ac:dyDescent="0.2">
      <c r="A425" s="3">
        <v>53</v>
      </c>
      <c r="B425" s="3" t="s">
        <v>80</v>
      </c>
      <c r="C425" s="3" t="s">
        <v>17</v>
      </c>
      <c r="D425" s="3" t="s">
        <v>14</v>
      </c>
      <c r="E425" s="3">
        <v>3</v>
      </c>
      <c r="F425">
        <f>SUM(E423:E425)</f>
        <v>206</v>
      </c>
      <c r="G425" s="13"/>
    </row>
    <row r="426" spans="1:7" ht="12.75" x14ac:dyDescent="0.2">
      <c r="A426" s="3">
        <v>54</v>
      </c>
      <c r="B426" s="3" t="s">
        <v>81</v>
      </c>
      <c r="C426" s="3" t="s">
        <v>15</v>
      </c>
      <c r="D426" s="3" t="s">
        <v>3</v>
      </c>
      <c r="E426" s="3">
        <v>83</v>
      </c>
      <c r="G426" s="13"/>
    </row>
    <row r="427" spans="1:7" ht="12.75" x14ac:dyDescent="0.2">
      <c r="A427" s="3">
        <v>54</v>
      </c>
      <c r="B427" s="3" t="s">
        <v>81</v>
      </c>
      <c r="C427" s="3" t="s">
        <v>15</v>
      </c>
      <c r="D427" s="3" t="s">
        <v>14</v>
      </c>
      <c r="E427" s="3">
        <v>45</v>
      </c>
      <c r="F427">
        <f>SUM(E426:E427)</f>
        <v>128</v>
      </c>
      <c r="G427" s="13"/>
    </row>
    <row r="428" spans="1:7" ht="12.75" x14ac:dyDescent="0.2">
      <c r="A428" s="3">
        <v>54</v>
      </c>
      <c r="B428" s="3" t="s">
        <v>81</v>
      </c>
      <c r="C428" s="3" t="s">
        <v>17</v>
      </c>
      <c r="D428" s="3" t="s">
        <v>3</v>
      </c>
      <c r="E428" s="3">
        <v>83</v>
      </c>
      <c r="G428" s="13"/>
    </row>
    <row r="429" spans="1:7" ht="12.75" x14ac:dyDescent="0.2">
      <c r="A429" s="3">
        <v>54</v>
      </c>
      <c r="B429" s="3" t="s">
        <v>81</v>
      </c>
      <c r="C429" s="3" t="s">
        <v>17</v>
      </c>
      <c r="D429" s="3" t="s">
        <v>14</v>
      </c>
      <c r="E429" s="3">
        <v>45</v>
      </c>
      <c r="F429">
        <f>SUM(E428:E429)</f>
        <v>128</v>
      </c>
      <c r="G429" s="13"/>
    </row>
    <row r="430" spans="1:7" ht="12.75" x14ac:dyDescent="0.2">
      <c r="A430" s="3">
        <v>54</v>
      </c>
      <c r="B430" s="3" t="s">
        <v>81</v>
      </c>
      <c r="C430" s="3" t="s">
        <v>13</v>
      </c>
      <c r="D430" s="3" t="s">
        <v>3</v>
      </c>
      <c r="E430" s="3">
        <v>82</v>
      </c>
      <c r="G430" s="13"/>
    </row>
    <row r="431" spans="1:7" ht="12.75" x14ac:dyDescent="0.2">
      <c r="A431" s="3">
        <v>54</v>
      </c>
      <c r="B431" s="3" t="s">
        <v>81</v>
      </c>
      <c r="C431" s="3" t="s">
        <v>13</v>
      </c>
      <c r="D431" s="3" t="s">
        <v>14</v>
      </c>
      <c r="E431" s="3">
        <v>46</v>
      </c>
      <c r="F431">
        <f>SUM(E430:E431)</f>
        <v>128</v>
      </c>
      <c r="G431" s="13"/>
    </row>
    <row r="432" spans="1:7" ht="12.75" x14ac:dyDescent="0.2">
      <c r="A432" s="3">
        <v>55</v>
      </c>
      <c r="B432" s="3" t="s">
        <v>82</v>
      </c>
      <c r="C432" s="3" t="s">
        <v>15</v>
      </c>
      <c r="D432" s="3" t="s">
        <v>3</v>
      </c>
      <c r="E432" s="3">
        <v>206</v>
      </c>
      <c r="G432" s="13"/>
    </row>
    <row r="433" spans="1:7" ht="12.75" x14ac:dyDescent="0.2">
      <c r="A433" s="3">
        <v>55</v>
      </c>
      <c r="B433" s="3" t="s">
        <v>82</v>
      </c>
      <c r="C433" s="3" t="s">
        <v>15</v>
      </c>
      <c r="D433" s="3" t="s">
        <v>132</v>
      </c>
      <c r="E433" s="3">
        <v>99</v>
      </c>
      <c r="G433" s="13"/>
    </row>
    <row r="434" spans="1:7" ht="12.75" x14ac:dyDescent="0.2">
      <c r="A434" s="3">
        <v>55</v>
      </c>
      <c r="B434" s="3" t="s">
        <v>82</v>
      </c>
      <c r="C434" s="3" t="s">
        <v>15</v>
      </c>
      <c r="D434" s="3" t="s">
        <v>14</v>
      </c>
      <c r="E434" s="3">
        <v>19</v>
      </c>
      <c r="F434">
        <f>SUM(E432:E434)</f>
        <v>324</v>
      </c>
      <c r="G434" s="13"/>
    </row>
    <row r="435" spans="1:7" ht="12.75" x14ac:dyDescent="0.2">
      <c r="A435" s="3">
        <v>55</v>
      </c>
      <c r="B435" s="3" t="s">
        <v>82</v>
      </c>
      <c r="C435" s="3" t="s">
        <v>17</v>
      </c>
      <c r="D435" s="3" t="s">
        <v>3</v>
      </c>
      <c r="E435" s="3">
        <v>198</v>
      </c>
      <c r="G435" s="13"/>
    </row>
    <row r="436" spans="1:7" ht="12.75" x14ac:dyDescent="0.2">
      <c r="A436" s="3">
        <v>55</v>
      </c>
      <c r="B436" s="3" t="s">
        <v>82</v>
      </c>
      <c r="C436" s="3" t="s">
        <v>17</v>
      </c>
      <c r="D436" s="3" t="s">
        <v>132</v>
      </c>
      <c r="E436" s="3">
        <v>100</v>
      </c>
      <c r="G436" s="13"/>
    </row>
    <row r="437" spans="1:7" ht="12.75" x14ac:dyDescent="0.2">
      <c r="A437" s="3">
        <v>55</v>
      </c>
      <c r="B437" s="3" t="s">
        <v>82</v>
      </c>
      <c r="C437" s="3" t="s">
        <v>17</v>
      </c>
      <c r="D437" s="3" t="s">
        <v>14</v>
      </c>
      <c r="E437" s="3">
        <v>26</v>
      </c>
      <c r="F437">
        <f>SUM(E435:E437)</f>
        <v>324</v>
      </c>
      <c r="G437" s="13"/>
    </row>
    <row r="438" spans="1:7" ht="12.75" x14ac:dyDescent="0.2">
      <c r="A438" s="3">
        <v>56</v>
      </c>
      <c r="B438" s="3" t="s">
        <v>83</v>
      </c>
      <c r="C438" s="3" t="s">
        <v>15</v>
      </c>
      <c r="D438" s="3" t="s">
        <v>3</v>
      </c>
      <c r="E438" s="3">
        <v>214</v>
      </c>
      <c r="G438" s="13"/>
    </row>
    <row r="439" spans="1:7" ht="12.75" x14ac:dyDescent="0.2">
      <c r="A439" s="3">
        <v>56</v>
      </c>
      <c r="B439" s="3" t="s">
        <v>83</v>
      </c>
      <c r="C439" s="3" t="s">
        <v>15</v>
      </c>
      <c r="D439" s="3" t="s">
        <v>132</v>
      </c>
      <c r="E439" s="3">
        <v>145</v>
      </c>
      <c r="G439" s="13"/>
    </row>
    <row r="440" spans="1:7" ht="12.75" x14ac:dyDescent="0.2">
      <c r="A440" s="3">
        <v>56</v>
      </c>
      <c r="B440" s="3" t="s">
        <v>83</v>
      </c>
      <c r="C440" s="3" t="s">
        <v>15</v>
      </c>
      <c r="D440" s="3" t="s">
        <v>14</v>
      </c>
      <c r="E440" s="3">
        <v>28</v>
      </c>
      <c r="F440">
        <f>SUM(E438:E440)</f>
        <v>387</v>
      </c>
      <c r="G440" s="13"/>
    </row>
    <row r="441" spans="1:7" ht="12.75" x14ac:dyDescent="0.2">
      <c r="A441" s="3">
        <v>56</v>
      </c>
      <c r="B441" s="3" t="s">
        <v>83</v>
      </c>
      <c r="C441" s="3" t="s">
        <v>17</v>
      </c>
      <c r="D441" s="3" t="s">
        <v>3</v>
      </c>
      <c r="E441" s="3">
        <v>213</v>
      </c>
      <c r="G441" s="13"/>
    </row>
    <row r="442" spans="1:7" ht="12.75" x14ac:dyDescent="0.2">
      <c r="A442" s="3">
        <v>56</v>
      </c>
      <c r="B442" s="3" t="s">
        <v>83</v>
      </c>
      <c r="C442" s="3" t="s">
        <v>17</v>
      </c>
      <c r="D442" s="3" t="s">
        <v>132</v>
      </c>
      <c r="E442" s="3">
        <v>144</v>
      </c>
      <c r="G442" s="13"/>
    </row>
    <row r="443" spans="1:7" ht="12.75" x14ac:dyDescent="0.2">
      <c r="A443" s="3">
        <v>56</v>
      </c>
      <c r="B443" s="3" t="s">
        <v>83</v>
      </c>
      <c r="C443" s="3" t="s">
        <v>17</v>
      </c>
      <c r="D443" s="3" t="s">
        <v>14</v>
      </c>
      <c r="E443" s="3">
        <v>30</v>
      </c>
      <c r="F443">
        <f>SUM(E441:E443)</f>
        <v>387</v>
      </c>
      <c r="G443" s="13"/>
    </row>
    <row r="444" spans="1:7" ht="12.75" x14ac:dyDescent="0.2">
      <c r="A444" s="3" t="s">
        <v>175</v>
      </c>
      <c r="B444" s="3" t="s">
        <v>84</v>
      </c>
      <c r="C444" s="3" t="s">
        <v>2</v>
      </c>
      <c r="D444" s="3" t="s">
        <v>290</v>
      </c>
      <c r="E444" s="3">
        <v>635</v>
      </c>
      <c r="G444" s="13"/>
    </row>
    <row r="445" spans="1:7" ht="12.75" x14ac:dyDescent="0.2">
      <c r="A445" s="3" t="s">
        <v>175</v>
      </c>
      <c r="B445" s="3" t="s">
        <v>84</v>
      </c>
      <c r="C445" s="3" t="s">
        <v>2</v>
      </c>
      <c r="D445" s="3" t="s">
        <v>3</v>
      </c>
      <c r="E445" s="3">
        <v>14775</v>
      </c>
      <c r="G445" s="13"/>
    </row>
    <row r="446" spans="1:7" ht="12.75" x14ac:dyDescent="0.2">
      <c r="A446" s="3" t="s">
        <v>175</v>
      </c>
      <c r="B446" s="3" t="s">
        <v>84</v>
      </c>
      <c r="C446" s="3" t="s">
        <v>2</v>
      </c>
      <c r="D446" s="3" t="s">
        <v>19</v>
      </c>
      <c r="E446" s="3">
        <v>1577</v>
      </c>
      <c r="G446" s="13"/>
    </row>
    <row r="447" spans="1:7" ht="12.75" x14ac:dyDescent="0.2">
      <c r="A447" s="3" t="s">
        <v>175</v>
      </c>
      <c r="B447" s="3" t="s">
        <v>84</v>
      </c>
      <c r="C447" s="3" t="s">
        <v>2</v>
      </c>
      <c r="D447" s="3" t="s">
        <v>132</v>
      </c>
      <c r="E447" s="3">
        <v>5816</v>
      </c>
      <c r="G447" s="13"/>
    </row>
    <row r="448" spans="1:7" ht="12.75" x14ac:dyDescent="0.2">
      <c r="A448" s="3" t="s">
        <v>175</v>
      </c>
      <c r="B448" s="3" t="s">
        <v>84</v>
      </c>
      <c r="C448" s="3" t="s">
        <v>2</v>
      </c>
      <c r="D448" s="3" t="s">
        <v>339</v>
      </c>
      <c r="E448" s="3">
        <v>2088</v>
      </c>
      <c r="G448" s="13"/>
    </row>
    <row r="449" spans="1:7" ht="12.75" x14ac:dyDescent="0.2">
      <c r="A449" s="3" t="s">
        <v>175</v>
      </c>
      <c r="B449" s="3" t="s">
        <v>84</v>
      </c>
      <c r="C449" s="3" t="s">
        <v>2</v>
      </c>
      <c r="D449" s="3" t="s">
        <v>338</v>
      </c>
      <c r="E449" s="3">
        <v>3847</v>
      </c>
      <c r="G449" s="13"/>
    </row>
    <row r="450" spans="1:7" ht="12.75" x14ac:dyDescent="0.2">
      <c r="A450" s="3" t="s">
        <v>175</v>
      </c>
      <c r="B450" s="3" t="s">
        <v>84</v>
      </c>
      <c r="C450" s="3" t="s">
        <v>2</v>
      </c>
      <c r="D450" s="3" t="s">
        <v>341</v>
      </c>
      <c r="E450" s="3">
        <v>944</v>
      </c>
      <c r="G450" s="13"/>
    </row>
    <row r="451" spans="1:7" ht="12.75" x14ac:dyDescent="0.2">
      <c r="A451" s="3" t="s">
        <v>175</v>
      </c>
      <c r="B451" s="3" t="s">
        <v>84</v>
      </c>
      <c r="C451" s="3" t="s">
        <v>2</v>
      </c>
      <c r="D451" s="3" t="s">
        <v>14</v>
      </c>
      <c r="E451" s="3">
        <v>5870</v>
      </c>
      <c r="F451">
        <f>SUM(E444:E451)</f>
        <v>35552</v>
      </c>
      <c r="G451" s="13"/>
    </row>
    <row r="452" spans="1:7" ht="12.75" x14ac:dyDescent="0.2">
      <c r="A452" s="3" t="s">
        <v>175</v>
      </c>
      <c r="B452" s="3" t="s">
        <v>84</v>
      </c>
      <c r="C452" s="3" t="s">
        <v>10</v>
      </c>
      <c r="D452" s="3" t="s">
        <v>290</v>
      </c>
      <c r="E452" s="3">
        <v>694</v>
      </c>
      <c r="G452" s="13"/>
    </row>
    <row r="453" spans="1:7" ht="12.75" x14ac:dyDescent="0.2">
      <c r="A453" s="3" t="s">
        <v>175</v>
      </c>
      <c r="B453" s="3" t="s">
        <v>84</v>
      </c>
      <c r="C453" s="3" t="s">
        <v>10</v>
      </c>
      <c r="D453" s="3" t="s">
        <v>3</v>
      </c>
      <c r="E453" s="3">
        <v>13754</v>
      </c>
      <c r="G453" s="13"/>
    </row>
    <row r="454" spans="1:7" ht="12.75" x14ac:dyDescent="0.2">
      <c r="A454" s="3" t="s">
        <v>175</v>
      </c>
      <c r="B454" s="3" t="s">
        <v>84</v>
      </c>
      <c r="C454" s="3" t="s">
        <v>10</v>
      </c>
      <c r="D454" s="3" t="s">
        <v>19</v>
      </c>
      <c r="E454" s="3">
        <v>1628</v>
      </c>
      <c r="G454" s="13"/>
    </row>
    <row r="455" spans="1:7" ht="12.75" x14ac:dyDescent="0.2">
      <c r="A455" s="3" t="s">
        <v>175</v>
      </c>
      <c r="B455" s="3" t="s">
        <v>84</v>
      </c>
      <c r="C455" s="3" t="s">
        <v>10</v>
      </c>
      <c r="D455" s="3" t="s">
        <v>132</v>
      </c>
      <c r="E455" s="3">
        <v>5588</v>
      </c>
      <c r="G455" s="13"/>
    </row>
    <row r="456" spans="1:7" ht="12.75" x14ac:dyDescent="0.2">
      <c r="A456" s="3" t="s">
        <v>175</v>
      </c>
      <c r="B456" s="3" t="s">
        <v>84</v>
      </c>
      <c r="C456" s="3" t="s">
        <v>10</v>
      </c>
      <c r="D456" s="3" t="s">
        <v>339</v>
      </c>
      <c r="E456" s="3">
        <v>2066</v>
      </c>
      <c r="G456" s="13"/>
    </row>
    <row r="457" spans="1:7" ht="12.75" x14ac:dyDescent="0.2">
      <c r="A457" s="3" t="s">
        <v>175</v>
      </c>
      <c r="B457" s="3" t="s">
        <v>84</v>
      </c>
      <c r="C457" s="3" t="s">
        <v>10</v>
      </c>
      <c r="D457" s="3" t="s">
        <v>338</v>
      </c>
      <c r="E457" s="3">
        <v>3745</v>
      </c>
      <c r="G457" s="13"/>
    </row>
    <row r="458" spans="1:7" ht="12.75" x14ac:dyDescent="0.2">
      <c r="A458" s="3" t="s">
        <v>175</v>
      </c>
      <c r="B458" s="3" t="s">
        <v>84</v>
      </c>
      <c r="C458" s="3" t="s">
        <v>10</v>
      </c>
      <c r="D458" s="3" t="s">
        <v>341</v>
      </c>
      <c r="E458" s="3">
        <v>855</v>
      </c>
      <c r="G458" s="13"/>
    </row>
    <row r="459" spans="1:7" ht="12.75" x14ac:dyDescent="0.2">
      <c r="A459" s="3" t="s">
        <v>175</v>
      </c>
      <c r="B459" s="3" t="s">
        <v>84</v>
      </c>
      <c r="C459" s="3" t="s">
        <v>10</v>
      </c>
      <c r="D459" s="3" t="s">
        <v>14</v>
      </c>
      <c r="E459" s="3">
        <v>7229</v>
      </c>
      <c r="F459">
        <f>SUM(E452:E459)</f>
        <v>35559</v>
      </c>
      <c r="G459" s="13"/>
    </row>
    <row r="460" spans="1:7" ht="12.75" x14ac:dyDescent="0.2">
      <c r="A460" s="3" t="s">
        <v>175</v>
      </c>
      <c r="B460" s="3" t="s">
        <v>84</v>
      </c>
      <c r="C460" s="3" t="s">
        <v>13</v>
      </c>
      <c r="D460" s="3" t="s">
        <v>290</v>
      </c>
      <c r="E460" s="3">
        <v>719</v>
      </c>
      <c r="G460" s="13"/>
    </row>
    <row r="461" spans="1:7" ht="12.75" x14ac:dyDescent="0.2">
      <c r="A461" s="3" t="s">
        <v>175</v>
      </c>
      <c r="B461" s="3" t="s">
        <v>84</v>
      </c>
      <c r="C461" s="3" t="s">
        <v>13</v>
      </c>
      <c r="D461" s="3" t="s">
        <v>3</v>
      </c>
      <c r="E461" s="3">
        <v>13725</v>
      </c>
      <c r="G461" s="13"/>
    </row>
    <row r="462" spans="1:7" ht="12.75" x14ac:dyDescent="0.2">
      <c r="A462" s="3" t="s">
        <v>175</v>
      </c>
      <c r="B462" s="3" t="s">
        <v>84</v>
      </c>
      <c r="C462" s="3" t="s">
        <v>13</v>
      </c>
      <c r="D462" s="3" t="s">
        <v>19</v>
      </c>
      <c r="E462" s="3">
        <v>1627</v>
      </c>
      <c r="G462" s="13"/>
    </row>
    <row r="463" spans="1:7" ht="12.75" x14ac:dyDescent="0.2">
      <c r="A463" s="3" t="s">
        <v>175</v>
      </c>
      <c r="B463" s="3" t="s">
        <v>84</v>
      </c>
      <c r="C463" s="3" t="s">
        <v>13</v>
      </c>
      <c r="D463" s="3" t="s">
        <v>132</v>
      </c>
      <c r="E463" s="3">
        <v>5505</v>
      </c>
      <c r="G463" s="13"/>
    </row>
    <row r="464" spans="1:7" ht="12.75" x14ac:dyDescent="0.2">
      <c r="A464" s="3" t="s">
        <v>175</v>
      </c>
      <c r="B464" s="3" t="s">
        <v>84</v>
      </c>
      <c r="C464" s="3" t="s">
        <v>13</v>
      </c>
      <c r="D464" s="3" t="s">
        <v>339</v>
      </c>
      <c r="E464" s="3">
        <v>1998</v>
      </c>
      <c r="G464" s="13"/>
    </row>
    <row r="465" spans="1:7" ht="12.75" x14ac:dyDescent="0.2">
      <c r="A465" s="3" t="s">
        <v>175</v>
      </c>
      <c r="B465" s="3" t="s">
        <v>84</v>
      </c>
      <c r="C465" s="3" t="s">
        <v>13</v>
      </c>
      <c r="D465" s="3" t="s">
        <v>338</v>
      </c>
      <c r="E465" s="3">
        <v>3813</v>
      </c>
      <c r="G465" s="13"/>
    </row>
    <row r="466" spans="1:7" ht="12.75" x14ac:dyDescent="0.2">
      <c r="A466" s="3" t="s">
        <v>175</v>
      </c>
      <c r="B466" s="3" t="s">
        <v>84</v>
      </c>
      <c r="C466" s="3" t="s">
        <v>13</v>
      </c>
      <c r="D466" s="3" t="s">
        <v>341</v>
      </c>
      <c r="E466" s="3">
        <v>777</v>
      </c>
      <c r="G466" s="13"/>
    </row>
    <row r="467" spans="1:7" ht="12.75" x14ac:dyDescent="0.2">
      <c r="A467" s="3" t="s">
        <v>175</v>
      </c>
      <c r="B467" s="3" t="s">
        <v>84</v>
      </c>
      <c r="C467" s="3" t="s">
        <v>13</v>
      </c>
      <c r="D467" s="3" t="s">
        <v>14</v>
      </c>
      <c r="E467" s="3">
        <v>7400</v>
      </c>
      <c r="F467">
        <f>SUM(E460:E467)</f>
        <v>35564</v>
      </c>
      <c r="G467" s="13"/>
    </row>
    <row r="468" spans="1:7" ht="12.75" x14ac:dyDescent="0.2">
      <c r="A468" s="3">
        <v>59</v>
      </c>
      <c r="B468" s="3" t="s">
        <v>85</v>
      </c>
      <c r="C468" s="3" t="s">
        <v>15</v>
      </c>
      <c r="D468" s="3" t="s">
        <v>3</v>
      </c>
      <c r="E468" s="3">
        <v>151</v>
      </c>
      <c r="G468" s="13"/>
    </row>
    <row r="469" spans="1:7" ht="12.75" x14ac:dyDescent="0.2">
      <c r="A469" s="3">
        <v>59</v>
      </c>
      <c r="B469" s="3" t="s">
        <v>85</v>
      </c>
      <c r="C469" s="3" t="s">
        <v>15</v>
      </c>
      <c r="D469" s="3" t="s">
        <v>132</v>
      </c>
      <c r="E469" s="3">
        <v>124</v>
      </c>
      <c r="G469" s="13"/>
    </row>
    <row r="470" spans="1:7" ht="12.75" x14ac:dyDescent="0.2">
      <c r="A470" s="3">
        <v>59</v>
      </c>
      <c r="B470" s="3" t="s">
        <v>85</v>
      </c>
      <c r="C470" s="3" t="s">
        <v>15</v>
      </c>
      <c r="D470" s="3" t="s">
        <v>338</v>
      </c>
      <c r="E470" s="3">
        <v>6</v>
      </c>
      <c r="G470" s="13"/>
    </row>
    <row r="471" spans="1:7" ht="12.75" x14ac:dyDescent="0.2">
      <c r="A471" s="3">
        <v>59</v>
      </c>
      <c r="B471" s="3" t="s">
        <v>85</v>
      </c>
      <c r="C471" s="3" t="s">
        <v>15</v>
      </c>
      <c r="D471" s="3" t="s">
        <v>14</v>
      </c>
      <c r="E471" s="3">
        <v>17</v>
      </c>
      <c r="F471">
        <f>SUM(E468:E471)</f>
        <v>298</v>
      </c>
      <c r="G471" s="13"/>
    </row>
    <row r="472" spans="1:7" ht="12.75" x14ac:dyDescent="0.2">
      <c r="A472" s="3">
        <v>59</v>
      </c>
      <c r="B472" s="3" t="s">
        <v>85</v>
      </c>
      <c r="C472" s="3" t="s">
        <v>17</v>
      </c>
      <c r="D472" s="3" t="s">
        <v>3</v>
      </c>
      <c r="E472" s="3">
        <v>150</v>
      </c>
      <c r="G472" s="13"/>
    </row>
    <row r="473" spans="1:7" ht="12.75" x14ac:dyDescent="0.2">
      <c r="A473" s="3">
        <v>59</v>
      </c>
      <c r="B473" s="3" t="s">
        <v>85</v>
      </c>
      <c r="C473" s="3" t="s">
        <v>17</v>
      </c>
      <c r="D473" s="3" t="s">
        <v>132</v>
      </c>
      <c r="E473" s="3">
        <v>123</v>
      </c>
      <c r="G473" s="13"/>
    </row>
    <row r="474" spans="1:7" ht="12.75" x14ac:dyDescent="0.2">
      <c r="A474" s="3">
        <v>59</v>
      </c>
      <c r="B474" s="3" t="s">
        <v>85</v>
      </c>
      <c r="C474" s="3" t="s">
        <v>17</v>
      </c>
      <c r="D474" s="3" t="s">
        <v>338</v>
      </c>
      <c r="E474" s="3">
        <v>5</v>
      </c>
      <c r="G474" s="13"/>
    </row>
    <row r="475" spans="1:7" ht="12.75" x14ac:dyDescent="0.2">
      <c r="A475" s="3">
        <v>59</v>
      </c>
      <c r="B475" s="3" t="s">
        <v>85</v>
      </c>
      <c r="C475" s="3" t="s">
        <v>17</v>
      </c>
      <c r="D475" s="3" t="s">
        <v>14</v>
      </c>
      <c r="E475" s="3">
        <v>21</v>
      </c>
      <c r="F475">
        <f>SUM(E472:E475)</f>
        <v>299</v>
      </c>
      <c r="G475" s="13"/>
    </row>
    <row r="476" spans="1:7" ht="12.75" x14ac:dyDescent="0.2">
      <c r="A476" s="3">
        <v>61</v>
      </c>
      <c r="B476" s="3" t="s">
        <v>86</v>
      </c>
      <c r="C476" s="3" t="s">
        <v>2</v>
      </c>
      <c r="D476" s="3" t="s">
        <v>3</v>
      </c>
      <c r="E476" s="3">
        <v>2036</v>
      </c>
      <c r="G476" s="13"/>
    </row>
    <row r="477" spans="1:7" ht="12.75" x14ac:dyDescent="0.2">
      <c r="A477" s="3">
        <v>61</v>
      </c>
      <c r="B477" s="3" t="s">
        <v>86</v>
      </c>
      <c r="C477" s="3" t="s">
        <v>2</v>
      </c>
      <c r="D477" s="3" t="s">
        <v>132</v>
      </c>
      <c r="E477" s="3">
        <v>76</v>
      </c>
      <c r="G477" s="13"/>
    </row>
    <row r="478" spans="1:7" ht="12.75" x14ac:dyDescent="0.2">
      <c r="A478" s="3">
        <v>61</v>
      </c>
      <c r="B478" s="3" t="s">
        <v>86</v>
      </c>
      <c r="C478" s="3" t="s">
        <v>2</v>
      </c>
      <c r="D478" s="3" t="s">
        <v>338</v>
      </c>
      <c r="E478" s="3">
        <v>67</v>
      </c>
      <c r="G478" s="13"/>
    </row>
    <row r="479" spans="1:7" ht="12.75" x14ac:dyDescent="0.2">
      <c r="A479" s="3">
        <v>61</v>
      </c>
      <c r="B479" s="3" t="s">
        <v>86</v>
      </c>
      <c r="C479" s="3" t="s">
        <v>2</v>
      </c>
      <c r="D479" s="3" t="s">
        <v>144</v>
      </c>
      <c r="E479" s="3">
        <v>2730</v>
      </c>
      <c r="G479" s="13"/>
    </row>
    <row r="480" spans="1:7" ht="12.75" x14ac:dyDescent="0.2">
      <c r="A480" s="3">
        <v>61</v>
      </c>
      <c r="B480" s="3" t="s">
        <v>86</v>
      </c>
      <c r="C480" s="3" t="s">
        <v>2</v>
      </c>
      <c r="D480" s="3" t="s">
        <v>14</v>
      </c>
      <c r="E480" s="3">
        <v>132</v>
      </c>
      <c r="F480">
        <f>SUM(E476:E480)</f>
        <v>5041</v>
      </c>
      <c r="G480" s="13"/>
    </row>
    <row r="481" spans="1:7" ht="12.75" x14ac:dyDescent="0.2">
      <c r="A481" s="3">
        <v>61</v>
      </c>
      <c r="B481" s="3" t="s">
        <v>86</v>
      </c>
      <c r="C481" s="3" t="s">
        <v>10</v>
      </c>
      <c r="D481" s="3" t="s">
        <v>3</v>
      </c>
      <c r="E481" s="3">
        <v>1968</v>
      </c>
      <c r="G481" s="13"/>
    </row>
    <row r="482" spans="1:7" ht="12.75" x14ac:dyDescent="0.2">
      <c r="A482" s="3">
        <v>61</v>
      </c>
      <c r="B482" s="3" t="s">
        <v>86</v>
      </c>
      <c r="C482" s="3" t="s">
        <v>10</v>
      </c>
      <c r="D482" s="3" t="s">
        <v>132</v>
      </c>
      <c r="E482" s="3">
        <v>108</v>
      </c>
      <c r="G482" s="13"/>
    </row>
    <row r="483" spans="1:7" ht="12.75" x14ac:dyDescent="0.2">
      <c r="A483" s="3">
        <v>61</v>
      </c>
      <c r="B483" s="3" t="s">
        <v>86</v>
      </c>
      <c r="C483" s="3" t="s">
        <v>10</v>
      </c>
      <c r="D483" s="3" t="s">
        <v>338</v>
      </c>
      <c r="E483" s="3">
        <v>80</v>
      </c>
      <c r="G483" s="13"/>
    </row>
    <row r="484" spans="1:7" ht="12.75" x14ac:dyDescent="0.2">
      <c r="A484" s="3">
        <v>61</v>
      </c>
      <c r="B484" s="3" t="s">
        <v>86</v>
      </c>
      <c r="C484" s="3" t="s">
        <v>10</v>
      </c>
      <c r="D484" s="3" t="s">
        <v>344</v>
      </c>
      <c r="E484" s="3">
        <v>2637</v>
      </c>
      <c r="G484" s="13"/>
    </row>
    <row r="485" spans="1:7" ht="12.75" x14ac:dyDescent="0.2">
      <c r="A485" s="3">
        <v>61</v>
      </c>
      <c r="B485" s="3" t="s">
        <v>86</v>
      </c>
      <c r="C485" s="3" t="s">
        <v>10</v>
      </c>
      <c r="D485" s="3" t="s">
        <v>14</v>
      </c>
      <c r="E485" s="3">
        <v>246</v>
      </c>
      <c r="F485">
        <f>SUM(E481:E485)</f>
        <v>5039</v>
      </c>
      <c r="G485" s="13"/>
    </row>
    <row r="486" spans="1:7" ht="12.75" x14ac:dyDescent="0.2">
      <c r="A486" s="3">
        <v>61</v>
      </c>
      <c r="B486" s="3" t="s">
        <v>86</v>
      </c>
      <c r="C486" s="3" t="s">
        <v>13</v>
      </c>
      <c r="D486" s="3" t="s">
        <v>3</v>
      </c>
      <c r="E486" s="3">
        <v>1999</v>
      </c>
      <c r="G486" s="13"/>
    </row>
    <row r="487" spans="1:7" ht="12.75" x14ac:dyDescent="0.2">
      <c r="A487" s="3">
        <v>61</v>
      </c>
      <c r="B487" s="3" t="s">
        <v>86</v>
      </c>
      <c r="C487" s="3" t="s">
        <v>13</v>
      </c>
      <c r="D487" s="3" t="s">
        <v>132</v>
      </c>
      <c r="E487" s="3">
        <v>123</v>
      </c>
      <c r="G487" s="13"/>
    </row>
    <row r="488" spans="1:7" ht="12.75" x14ac:dyDescent="0.2">
      <c r="A488" s="3">
        <v>61</v>
      </c>
      <c r="B488" s="3" t="s">
        <v>86</v>
      </c>
      <c r="C488" s="3" t="s">
        <v>13</v>
      </c>
      <c r="D488" s="3" t="s">
        <v>338</v>
      </c>
      <c r="E488" s="3">
        <v>80</v>
      </c>
      <c r="G488" s="13"/>
    </row>
    <row r="489" spans="1:7" ht="12.75" x14ac:dyDescent="0.2">
      <c r="A489" s="3">
        <v>61</v>
      </c>
      <c r="B489" s="3" t="s">
        <v>86</v>
      </c>
      <c r="C489" s="3" t="s">
        <v>13</v>
      </c>
      <c r="D489" s="3" t="s">
        <v>345</v>
      </c>
      <c r="E489" s="3">
        <v>2582</v>
      </c>
      <c r="G489" s="13"/>
    </row>
    <row r="490" spans="1:7" ht="12.75" x14ac:dyDescent="0.2">
      <c r="A490" s="3">
        <v>61</v>
      </c>
      <c r="B490" s="3" t="s">
        <v>86</v>
      </c>
      <c r="C490" s="3" t="s">
        <v>13</v>
      </c>
      <c r="D490" s="3" t="s">
        <v>14</v>
      </c>
      <c r="E490" s="3">
        <v>259</v>
      </c>
      <c r="F490">
        <f>SUM(E486:E490)</f>
        <v>5043</v>
      </c>
      <c r="G490" s="13"/>
    </row>
    <row r="491" spans="1:7" ht="12.75" x14ac:dyDescent="0.2">
      <c r="A491" s="3">
        <v>62</v>
      </c>
      <c r="B491" s="3" t="s">
        <v>87</v>
      </c>
      <c r="C491" s="3" t="s">
        <v>2</v>
      </c>
      <c r="D491" s="3" t="s">
        <v>3</v>
      </c>
      <c r="E491" s="3">
        <v>211</v>
      </c>
      <c r="G491" s="13"/>
    </row>
    <row r="492" spans="1:7" ht="12.75" x14ac:dyDescent="0.2">
      <c r="A492" s="3">
        <v>62</v>
      </c>
      <c r="B492" s="3" t="s">
        <v>87</v>
      </c>
      <c r="C492" s="3" t="s">
        <v>2</v>
      </c>
      <c r="D492" s="3" t="s">
        <v>340</v>
      </c>
      <c r="E492" s="3">
        <v>72</v>
      </c>
      <c r="G492" s="13"/>
    </row>
    <row r="493" spans="1:7" ht="12.75" x14ac:dyDescent="0.2">
      <c r="A493" s="3">
        <v>62</v>
      </c>
      <c r="B493" s="3" t="s">
        <v>87</v>
      </c>
      <c r="C493" s="3" t="s">
        <v>2</v>
      </c>
      <c r="D493" s="3" t="s">
        <v>338</v>
      </c>
      <c r="E493" s="3">
        <v>265</v>
      </c>
      <c r="G493" s="13"/>
    </row>
    <row r="494" spans="1:7" ht="12.75" x14ac:dyDescent="0.2">
      <c r="A494" s="3">
        <v>62</v>
      </c>
      <c r="B494" s="3" t="s">
        <v>87</v>
      </c>
      <c r="C494" s="3" t="s">
        <v>2</v>
      </c>
      <c r="D494" s="3" t="s">
        <v>14</v>
      </c>
      <c r="E494" s="3">
        <v>27</v>
      </c>
      <c r="F494">
        <f>SUM(E491:E494)</f>
        <v>575</v>
      </c>
      <c r="G494" s="13"/>
    </row>
    <row r="495" spans="1:7" ht="12.75" x14ac:dyDescent="0.2">
      <c r="A495" s="3">
        <v>62</v>
      </c>
      <c r="B495" s="3" t="s">
        <v>87</v>
      </c>
      <c r="C495" s="3" t="s">
        <v>10</v>
      </c>
      <c r="D495" s="3" t="s">
        <v>3</v>
      </c>
      <c r="E495" s="3">
        <v>194</v>
      </c>
      <c r="G495" s="13"/>
    </row>
    <row r="496" spans="1:7" ht="12.75" x14ac:dyDescent="0.2">
      <c r="A496" s="3">
        <v>62</v>
      </c>
      <c r="B496" s="3" t="s">
        <v>87</v>
      </c>
      <c r="C496" s="3" t="s">
        <v>10</v>
      </c>
      <c r="D496" s="3" t="s">
        <v>340</v>
      </c>
      <c r="E496" s="3">
        <v>93</v>
      </c>
      <c r="G496" s="13"/>
    </row>
    <row r="497" spans="1:7" ht="12.75" x14ac:dyDescent="0.2">
      <c r="A497" s="3">
        <v>62</v>
      </c>
      <c r="B497" s="3" t="s">
        <v>87</v>
      </c>
      <c r="C497" s="3" t="s">
        <v>10</v>
      </c>
      <c r="D497" s="3" t="s">
        <v>338</v>
      </c>
      <c r="E497" s="3">
        <v>249</v>
      </c>
      <c r="G497" s="13"/>
    </row>
    <row r="498" spans="1:7" ht="12.75" x14ac:dyDescent="0.2">
      <c r="A498" s="3">
        <v>62</v>
      </c>
      <c r="B498" s="3" t="s">
        <v>87</v>
      </c>
      <c r="C498" s="3" t="s">
        <v>10</v>
      </c>
      <c r="D498" s="3" t="s">
        <v>14</v>
      </c>
      <c r="E498" s="3">
        <v>39</v>
      </c>
      <c r="F498">
        <f>SUM(E495:E498)</f>
        <v>575</v>
      </c>
      <c r="G498" s="13"/>
    </row>
    <row r="499" spans="1:7" ht="12.75" x14ac:dyDescent="0.2">
      <c r="A499" s="3">
        <v>62</v>
      </c>
      <c r="B499" s="3" t="s">
        <v>87</v>
      </c>
      <c r="C499" s="3" t="s">
        <v>13</v>
      </c>
      <c r="D499" s="3" t="s">
        <v>3</v>
      </c>
      <c r="E499" s="3">
        <v>189</v>
      </c>
      <c r="G499" s="13"/>
    </row>
    <row r="500" spans="1:7" ht="12.75" x14ac:dyDescent="0.2">
      <c r="A500" s="3">
        <v>62</v>
      </c>
      <c r="B500" s="3" t="s">
        <v>87</v>
      </c>
      <c r="C500" s="3" t="s">
        <v>13</v>
      </c>
      <c r="D500" s="3" t="s">
        <v>340</v>
      </c>
      <c r="E500" s="3">
        <v>97</v>
      </c>
      <c r="G500" s="13"/>
    </row>
    <row r="501" spans="1:7" ht="12.75" x14ac:dyDescent="0.2">
      <c r="A501" s="3">
        <v>62</v>
      </c>
      <c r="B501" s="3" t="s">
        <v>87</v>
      </c>
      <c r="C501" s="3" t="s">
        <v>13</v>
      </c>
      <c r="D501" s="3" t="s">
        <v>338</v>
      </c>
      <c r="E501" s="3">
        <v>239</v>
      </c>
      <c r="G501" s="13"/>
    </row>
    <row r="502" spans="1:7" ht="12.75" x14ac:dyDescent="0.2">
      <c r="A502" s="3">
        <v>62</v>
      </c>
      <c r="B502" s="3" t="s">
        <v>87</v>
      </c>
      <c r="C502" s="3" t="s">
        <v>13</v>
      </c>
      <c r="D502" s="3" t="s">
        <v>14</v>
      </c>
      <c r="E502" s="3">
        <v>50</v>
      </c>
      <c r="F502">
        <f>SUM(E499:E502)</f>
        <v>575</v>
      </c>
      <c r="G502" s="13"/>
    </row>
    <row r="503" spans="1:7" ht="12.75" x14ac:dyDescent="0.2">
      <c r="A503" s="3">
        <v>63</v>
      </c>
      <c r="B503" s="3" t="s">
        <v>88</v>
      </c>
      <c r="C503" s="3" t="s">
        <v>2</v>
      </c>
      <c r="D503" s="3" t="s">
        <v>3</v>
      </c>
      <c r="E503" s="3">
        <v>797</v>
      </c>
      <c r="G503" s="13"/>
    </row>
    <row r="504" spans="1:7" ht="12.75" x14ac:dyDescent="0.2">
      <c r="A504" s="3">
        <v>63</v>
      </c>
      <c r="B504" s="3" t="s">
        <v>88</v>
      </c>
      <c r="C504" s="3" t="s">
        <v>2</v>
      </c>
      <c r="D504" s="3" t="s">
        <v>132</v>
      </c>
      <c r="E504" s="3">
        <v>954</v>
      </c>
      <c r="G504" s="13"/>
    </row>
    <row r="505" spans="1:7" ht="12.75" x14ac:dyDescent="0.2">
      <c r="A505" s="3">
        <v>63</v>
      </c>
      <c r="B505" s="3" t="s">
        <v>88</v>
      </c>
      <c r="C505" s="3" t="s">
        <v>2</v>
      </c>
      <c r="D505" s="3" t="s">
        <v>342</v>
      </c>
      <c r="E505" s="3">
        <v>344</v>
      </c>
      <c r="G505" s="13"/>
    </row>
    <row r="506" spans="1:7" ht="12.75" x14ac:dyDescent="0.2">
      <c r="A506" s="3">
        <v>63</v>
      </c>
      <c r="B506" s="3" t="s">
        <v>88</v>
      </c>
      <c r="C506" s="3" t="s">
        <v>2</v>
      </c>
      <c r="D506" s="3" t="s">
        <v>14</v>
      </c>
      <c r="E506" s="3">
        <v>117</v>
      </c>
      <c r="F506">
        <f>SUM(E503:E506)</f>
        <v>2212</v>
      </c>
      <c r="G506" s="13"/>
    </row>
    <row r="507" spans="1:7" ht="12.75" x14ac:dyDescent="0.2">
      <c r="A507" s="3">
        <v>63</v>
      </c>
      <c r="B507" s="3" t="s">
        <v>88</v>
      </c>
      <c r="C507" s="3" t="s">
        <v>10</v>
      </c>
      <c r="D507" s="3" t="s">
        <v>3</v>
      </c>
      <c r="E507" s="3">
        <v>795</v>
      </c>
      <c r="G507" s="13"/>
    </row>
    <row r="508" spans="1:7" ht="12.75" x14ac:dyDescent="0.2">
      <c r="A508" s="3">
        <v>63</v>
      </c>
      <c r="B508" s="3" t="s">
        <v>88</v>
      </c>
      <c r="C508" s="3" t="s">
        <v>10</v>
      </c>
      <c r="D508" s="3" t="s">
        <v>132</v>
      </c>
      <c r="E508" s="3">
        <v>903</v>
      </c>
      <c r="G508" s="13"/>
    </row>
    <row r="509" spans="1:7" ht="12.75" x14ac:dyDescent="0.2">
      <c r="A509" s="3">
        <v>63</v>
      </c>
      <c r="B509" s="3" t="s">
        <v>88</v>
      </c>
      <c r="C509" s="3" t="s">
        <v>10</v>
      </c>
      <c r="D509" s="3" t="s">
        <v>342</v>
      </c>
      <c r="E509" s="3">
        <v>328</v>
      </c>
      <c r="G509" s="13"/>
    </row>
    <row r="510" spans="1:7" ht="12.75" x14ac:dyDescent="0.2">
      <c r="A510" s="3">
        <v>63</v>
      </c>
      <c r="B510" s="3" t="s">
        <v>88</v>
      </c>
      <c r="C510" s="3" t="s">
        <v>10</v>
      </c>
      <c r="D510" s="3" t="s">
        <v>14</v>
      </c>
      <c r="E510" s="3">
        <v>186</v>
      </c>
      <c r="F510">
        <f>SUM(E507:E510)</f>
        <v>2212</v>
      </c>
      <c r="G510" s="13"/>
    </row>
    <row r="511" spans="1:7" ht="12.75" x14ac:dyDescent="0.2">
      <c r="A511" s="3">
        <v>63</v>
      </c>
      <c r="B511" s="3" t="s">
        <v>88</v>
      </c>
      <c r="C511" s="3" t="s">
        <v>13</v>
      </c>
      <c r="D511" s="3" t="s">
        <v>3</v>
      </c>
      <c r="E511" s="3">
        <v>780</v>
      </c>
      <c r="G511" s="13"/>
    </row>
    <row r="512" spans="1:7" ht="12.75" x14ac:dyDescent="0.2">
      <c r="A512" s="3">
        <v>63</v>
      </c>
      <c r="B512" s="3" t="s">
        <v>88</v>
      </c>
      <c r="C512" s="3" t="s">
        <v>13</v>
      </c>
      <c r="D512" s="3" t="s">
        <v>132</v>
      </c>
      <c r="E512" s="3">
        <v>964</v>
      </c>
      <c r="G512" s="13"/>
    </row>
    <row r="513" spans="1:7" ht="12.75" x14ac:dyDescent="0.2">
      <c r="A513" s="3">
        <v>63</v>
      </c>
      <c r="B513" s="3" t="s">
        <v>88</v>
      </c>
      <c r="C513" s="3" t="s">
        <v>13</v>
      </c>
      <c r="D513" s="3" t="s">
        <v>342</v>
      </c>
      <c r="E513" s="3">
        <v>298</v>
      </c>
      <c r="G513" s="13"/>
    </row>
    <row r="514" spans="1:7" ht="12.75" x14ac:dyDescent="0.2">
      <c r="A514" s="3">
        <v>63</v>
      </c>
      <c r="B514" s="3" t="s">
        <v>88</v>
      </c>
      <c r="C514" s="3" t="s">
        <v>13</v>
      </c>
      <c r="D514" s="3" t="s">
        <v>14</v>
      </c>
      <c r="E514" s="3">
        <v>169</v>
      </c>
      <c r="F514">
        <f>SUM(E511:E514)</f>
        <v>2211</v>
      </c>
      <c r="G514" s="13"/>
    </row>
    <row r="515" spans="1:7" ht="12.75" x14ac:dyDescent="0.2">
      <c r="A515" s="3">
        <v>64</v>
      </c>
      <c r="B515" s="3" t="s">
        <v>89</v>
      </c>
      <c r="C515" s="3" t="s">
        <v>2</v>
      </c>
      <c r="D515" s="3" t="s">
        <v>3</v>
      </c>
      <c r="E515" s="3">
        <v>290</v>
      </c>
      <c r="G515" s="13"/>
    </row>
    <row r="516" spans="1:7" ht="12.75" x14ac:dyDescent="0.2">
      <c r="A516" s="3">
        <v>64</v>
      </c>
      <c r="B516" s="3" t="s">
        <v>89</v>
      </c>
      <c r="C516" s="3" t="s">
        <v>2</v>
      </c>
      <c r="D516" s="3" t="s">
        <v>132</v>
      </c>
      <c r="E516" s="3">
        <v>280</v>
      </c>
      <c r="G516" s="13"/>
    </row>
    <row r="517" spans="1:7" ht="12.75" x14ac:dyDescent="0.2">
      <c r="A517" s="3">
        <v>64</v>
      </c>
      <c r="B517" s="3" t="s">
        <v>89</v>
      </c>
      <c r="C517" s="3" t="s">
        <v>2</v>
      </c>
      <c r="D517" s="3" t="s">
        <v>14</v>
      </c>
      <c r="E517" s="3">
        <v>20</v>
      </c>
      <c r="F517">
        <f>SUM(E515:E517)</f>
        <v>590</v>
      </c>
      <c r="G517" s="13"/>
    </row>
    <row r="518" spans="1:7" ht="12.75" x14ac:dyDescent="0.2">
      <c r="A518" s="3">
        <v>64</v>
      </c>
      <c r="B518" s="3" t="s">
        <v>89</v>
      </c>
      <c r="C518" s="3" t="s">
        <v>10</v>
      </c>
      <c r="D518" s="3" t="s">
        <v>3</v>
      </c>
      <c r="E518" s="3">
        <v>290</v>
      </c>
      <c r="G518" s="13"/>
    </row>
    <row r="519" spans="1:7" ht="12.75" x14ac:dyDescent="0.2">
      <c r="A519" s="3">
        <v>64</v>
      </c>
      <c r="B519" s="3" t="s">
        <v>89</v>
      </c>
      <c r="C519" s="3" t="s">
        <v>10</v>
      </c>
      <c r="D519" s="3" t="s">
        <v>132</v>
      </c>
      <c r="E519" s="3">
        <v>269</v>
      </c>
      <c r="G519" s="13"/>
    </row>
    <row r="520" spans="1:7" ht="12.75" x14ac:dyDescent="0.2">
      <c r="A520" s="3">
        <v>64</v>
      </c>
      <c r="B520" s="3" t="s">
        <v>89</v>
      </c>
      <c r="C520" s="3" t="s">
        <v>10</v>
      </c>
      <c r="D520" s="3" t="s">
        <v>14</v>
      </c>
      <c r="E520" s="3">
        <v>31</v>
      </c>
      <c r="F520">
        <f>SUM(E518:E520)</f>
        <v>590</v>
      </c>
      <c r="G520" s="13"/>
    </row>
    <row r="521" spans="1:7" ht="12.75" x14ac:dyDescent="0.2">
      <c r="A521" s="3">
        <v>64</v>
      </c>
      <c r="B521" s="3" t="s">
        <v>89</v>
      </c>
      <c r="C521" s="3" t="s">
        <v>13</v>
      </c>
      <c r="D521" s="3" t="s">
        <v>3</v>
      </c>
      <c r="E521" s="3">
        <v>258</v>
      </c>
      <c r="G521" s="13"/>
    </row>
    <row r="522" spans="1:7" ht="12.75" x14ac:dyDescent="0.2">
      <c r="A522" s="3">
        <v>64</v>
      </c>
      <c r="B522" s="3" t="s">
        <v>89</v>
      </c>
      <c r="C522" s="3" t="s">
        <v>13</v>
      </c>
      <c r="D522" s="3" t="s">
        <v>132</v>
      </c>
      <c r="E522" s="3">
        <v>288</v>
      </c>
      <c r="G522" s="13"/>
    </row>
    <row r="523" spans="1:7" ht="12.75" x14ac:dyDescent="0.2">
      <c r="A523" s="3">
        <v>64</v>
      </c>
      <c r="B523" s="3" t="s">
        <v>89</v>
      </c>
      <c r="C523" s="3" t="s">
        <v>13</v>
      </c>
      <c r="D523" s="3" t="s">
        <v>14</v>
      </c>
      <c r="E523" s="3">
        <v>44</v>
      </c>
      <c r="F523">
        <f>SUM(E521:E523)</f>
        <v>590</v>
      </c>
      <c r="G523" s="13"/>
    </row>
    <row r="524" spans="1:7" ht="12.75" x14ac:dyDescent="0.2">
      <c r="A524" s="3">
        <v>65</v>
      </c>
      <c r="B524" s="3" t="s">
        <v>90</v>
      </c>
      <c r="C524" s="3" t="s">
        <v>2</v>
      </c>
      <c r="D524" s="3" t="s">
        <v>3</v>
      </c>
      <c r="E524" s="3">
        <v>1239</v>
      </c>
      <c r="G524" s="13"/>
    </row>
    <row r="525" spans="1:7" ht="12.75" x14ac:dyDescent="0.2">
      <c r="A525" s="3">
        <v>65</v>
      </c>
      <c r="B525" s="3" t="s">
        <v>90</v>
      </c>
      <c r="C525" s="3" t="s">
        <v>2</v>
      </c>
      <c r="D525" s="3" t="s">
        <v>132</v>
      </c>
      <c r="E525" s="3">
        <v>785</v>
      </c>
      <c r="G525" s="13"/>
    </row>
    <row r="526" spans="1:7" ht="12.75" x14ac:dyDescent="0.2">
      <c r="A526" s="3">
        <v>65</v>
      </c>
      <c r="B526" s="3" t="s">
        <v>90</v>
      </c>
      <c r="C526" s="3" t="s">
        <v>2</v>
      </c>
      <c r="D526" s="3" t="s">
        <v>338</v>
      </c>
      <c r="E526" s="3">
        <v>436</v>
      </c>
      <c r="G526" s="13"/>
    </row>
    <row r="527" spans="1:7" ht="12.75" x14ac:dyDescent="0.2">
      <c r="A527" s="3">
        <v>65</v>
      </c>
      <c r="B527" s="3" t="s">
        <v>90</v>
      </c>
      <c r="C527" s="3" t="s">
        <v>2</v>
      </c>
      <c r="D527" s="3" t="s">
        <v>14</v>
      </c>
      <c r="E527" s="3">
        <v>182</v>
      </c>
      <c r="F527">
        <f>SUM(E524:E527)</f>
        <v>2642</v>
      </c>
      <c r="G527" s="13"/>
    </row>
    <row r="528" spans="1:7" ht="12.75" x14ac:dyDescent="0.2">
      <c r="A528" s="3">
        <v>65</v>
      </c>
      <c r="B528" s="3" t="s">
        <v>90</v>
      </c>
      <c r="C528" s="3" t="s">
        <v>10</v>
      </c>
      <c r="D528" s="3" t="s">
        <v>3</v>
      </c>
      <c r="E528" s="3">
        <v>1087</v>
      </c>
      <c r="G528" s="13"/>
    </row>
    <row r="529" spans="1:7" ht="12.75" x14ac:dyDescent="0.2">
      <c r="A529" s="3">
        <v>65</v>
      </c>
      <c r="B529" s="3" t="s">
        <v>90</v>
      </c>
      <c r="C529" s="3" t="s">
        <v>10</v>
      </c>
      <c r="D529" s="3" t="s">
        <v>132</v>
      </c>
      <c r="E529" s="3">
        <v>866</v>
      </c>
      <c r="G529" s="13"/>
    </row>
    <row r="530" spans="1:7" ht="12.75" x14ac:dyDescent="0.2">
      <c r="A530" s="3">
        <v>65</v>
      </c>
      <c r="B530" s="3" t="s">
        <v>90</v>
      </c>
      <c r="C530" s="3" t="s">
        <v>10</v>
      </c>
      <c r="D530" s="3" t="s">
        <v>338</v>
      </c>
      <c r="E530" s="3">
        <v>433</v>
      </c>
      <c r="G530" s="13"/>
    </row>
    <row r="531" spans="1:7" ht="12.75" x14ac:dyDescent="0.2">
      <c r="A531" s="3">
        <v>65</v>
      </c>
      <c r="B531" s="3" t="s">
        <v>90</v>
      </c>
      <c r="C531" s="3" t="s">
        <v>10</v>
      </c>
      <c r="D531" s="3" t="s">
        <v>14</v>
      </c>
      <c r="E531" s="3">
        <v>255</v>
      </c>
      <c r="F531">
        <f>SUM(E528:E531)</f>
        <v>2641</v>
      </c>
      <c r="G531" s="13"/>
    </row>
    <row r="532" spans="1:7" ht="12.75" x14ac:dyDescent="0.2">
      <c r="A532" s="3">
        <v>65</v>
      </c>
      <c r="B532" s="3" t="s">
        <v>90</v>
      </c>
      <c r="C532" s="3" t="s">
        <v>13</v>
      </c>
      <c r="D532" s="3" t="s">
        <v>3</v>
      </c>
      <c r="E532" s="3">
        <v>1083</v>
      </c>
      <c r="G532" s="13"/>
    </row>
    <row r="533" spans="1:7" ht="12.75" x14ac:dyDescent="0.2">
      <c r="A533" s="3">
        <v>65</v>
      </c>
      <c r="B533" s="3" t="s">
        <v>90</v>
      </c>
      <c r="C533" s="3" t="s">
        <v>13</v>
      </c>
      <c r="D533" s="3" t="s">
        <v>132</v>
      </c>
      <c r="E533" s="3">
        <v>797</v>
      </c>
      <c r="G533" s="13"/>
    </row>
    <row r="534" spans="1:7" ht="12.75" x14ac:dyDescent="0.2">
      <c r="A534" s="3">
        <v>65</v>
      </c>
      <c r="B534" s="3" t="s">
        <v>90</v>
      </c>
      <c r="C534" s="3" t="s">
        <v>13</v>
      </c>
      <c r="D534" s="3" t="s">
        <v>338</v>
      </c>
      <c r="E534" s="3">
        <v>470</v>
      </c>
      <c r="G534" s="13"/>
    </row>
    <row r="535" spans="1:7" ht="12.75" x14ac:dyDescent="0.2">
      <c r="A535" s="3">
        <v>65</v>
      </c>
      <c r="B535" s="3" t="s">
        <v>90</v>
      </c>
      <c r="C535" s="3" t="s">
        <v>13</v>
      </c>
      <c r="D535" s="3" t="s">
        <v>14</v>
      </c>
      <c r="E535" s="3">
        <v>292</v>
      </c>
      <c r="F535">
        <f>SUM(E532:E535)</f>
        <v>2642</v>
      </c>
      <c r="G535" s="13"/>
    </row>
    <row r="536" spans="1:7" ht="12.75" x14ac:dyDescent="0.2">
      <c r="A536" s="3">
        <v>66</v>
      </c>
      <c r="B536" s="3" t="s">
        <v>91</v>
      </c>
      <c r="C536" s="3" t="s">
        <v>15</v>
      </c>
      <c r="D536" s="3" t="s">
        <v>132</v>
      </c>
      <c r="E536" s="3">
        <v>54</v>
      </c>
      <c r="G536" s="13"/>
    </row>
    <row r="537" spans="1:7" ht="12.75" x14ac:dyDescent="0.2">
      <c r="A537" s="3">
        <v>66</v>
      </c>
      <c r="B537" s="3" t="s">
        <v>91</v>
      </c>
      <c r="C537" s="3" t="s">
        <v>15</v>
      </c>
      <c r="D537" s="3" t="s">
        <v>14</v>
      </c>
      <c r="E537" s="3">
        <v>30</v>
      </c>
      <c r="F537">
        <f>SUM(E536:E537)</f>
        <v>84</v>
      </c>
      <c r="G537" s="13"/>
    </row>
    <row r="538" spans="1:7" ht="12.75" x14ac:dyDescent="0.2">
      <c r="A538" s="3">
        <v>66</v>
      </c>
      <c r="B538" s="3" t="s">
        <v>91</v>
      </c>
      <c r="C538" s="3" t="s">
        <v>17</v>
      </c>
      <c r="D538" s="3" t="s">
        <v>132</v>
      </c>
      <c r="E538" s="3">
        <v>53</v>
      </c>
      <c r="G538" s="13"/>
    </row>
    <row r="539" spans="1:7" ht="12.75" x14ac:dyDescent="0.2">
      <c r="A539" s="3">
        <v>66</v>
      </c>
      <c r="B539" s="3" t="s">
        <v>91</v>
      </c>
      <c r="C539" s="3" t="s">
        <v>17</v>
      </c>
      <c r="D539" s="3" t="s">
        <v>14</v>
      </c>
      <c r="E539" s="3">
        <v>31</v>
      </c>
      <c r="F539" s="3">
        <f>SUM(E538:E539)</f>
        <v>84</v>
      </c>
      <c r="G539" s="13"/>
    </row>
    <row r="540" spans="1:7" ht="12.75" x14ac:dyDescent="0.2">
      <c r="A540" s="3">
        <v>68</v>
      </c>
      <c r="B540" s="3" t="s">
        <v>92</v>
      </c>
      <c r="C540" s="3" t="s">
        <v>2</v>
      </c>
      <c r="D540" s="3" t="s">
        <v>3</v>
      </c>
      <c r="E540" s="3">
        <v>190</v>
      </c>
      <c r="G540" s="13"/>
    </row>
    <row r="541" spans="1:7" ht="12.75" x14ac:dyDescent="0.2">
      <c r="A541" s="3">
        <v>68</v>
      </c>
      <c r="B541" s="3" t="s">
        <v>92</v>
      </c>
      <c r="C541" s="3" t="s">
        <v>2</v>
      </c>
      <c r="D541" s="3" t="s">
        <v>132</v>
      </c>
      <c r="E541" s="3">
        <v>267</v>
      </c>
      <c r="G541" s="13"/>
    </row>
    <row r="542" spans="1:7" ht="12.75" x14ac:dyDescent="0.2">
      <c r="A542" s="3">
        <v>68</v>
      </c>
      <c r="B542" s="3" t="s">
        <v>92</v>
      </c>
      <c r="C542" s="3" t="s">
        <v>2</v>
      </c>
      <c r="D542" s="3" t="s">
        <v>14</v>
      </c>
      <c r="E542" s="3">
        <v>28</v>
      </c>
      <c r="F542">
        <f>SUM(E540:E542)</f>
        <v>485</v>
      </c>
      <c r="G542" s="13"/>
    </row>
    <row r="543" spans="1:7" ht="12.75" x14ac:dyDescent="0.2">
      <c r="A543" s="3">
        <v>68</v>
      </c>
      <c r="B543" s="3" t="s">
        <v>92</v>
      </c>
      <c r="C543" s="3" t="s">
        <v>10</v>
      </c>
      <c r="D543" s="3" t="s">
        <v>3</v>
      </c>
      <c r="E543" s="3">
        <v>192</v>
      </c>
      <c r="G543" s="13"/>
    </row>
    <row r="544" spans="1:7" ht="12.75" x14ac:dyDescent="0.2">
      <c r="A544" s="3">
        <v>68</v>
      </c>
      <c r="B544" s="3" t="s">
        <v>92</v>
      </c>
      <c r="C544" s="3" t="s">
        <v>10</v>
      </c>
      <c r="D544" s="3" t="s">
        <v>132</v>
      </c>
      <c r="E544" s="3">
        <v>244</v>
      </c>
      <c r="G544" s="13"/>
    </row>
    <row r="545" spans="1:7" ht="12.75" x14ac:dyDescent="0.2">
      <c r="A545" s="3">
        <v>68</v>
      </c>
      <c r="B545" s="3" t="s">
        <v>92</v>
      </c>
      <c r="C545" s="3" t="s">
        <v>10</v>
      </c>
      <c r="D545" s="3" t="s">
        <v>14</v>
      </c>
      <c r="E545" s="3">
        <v>49</v>
      </c>
      <c r="F545">
        <f>SUM(E543:E545)</f>
        <v>485</v>
      </c>
      <c r="G545" s="13"/>
    </row>
    <row r="546" spans="1:7" ht="12.75" x14ac:dyDescent="0.2">
      <c r="A546" s="3">
        <v>68</v>
      </c>
      <c r="B546" s="3" t="s">
        <v>92</v>
      </c>
      <c r="C546" s="3" t="s">
        <v>13</v>
      </c>
      <c r="D546" s="3" t="s">
        <v>3</v>
      </c>
      <c r="E546" s="3">
        <v>166</v>
      </c>
      <c r="G546" s="13"/>
    </row>
    <row r="547" spans="1:7" ht="12.75" x14ac:dyDescent="0.2">
      <c r="A547" s="3">
        <v>68</v>
      </c>
      <c r="B547" s="3" t="s">
        <v>92</v>
      </c>
      <c r="C547" s="3" t="s">
        <v>13</v>
      </c>
      <c r="D547" s="3" t="s">
        <v>132</v>
      </c>
      <c r="E547" s="3">
        <v>284</v>
      </c>
      <c r="G547" s="13"/>
    </row>
    <row r="548" spans="1:7" ht="12.75" x14ac:dyDescent="0.2">
      <c r="A548" s="3">
        <v>68</v>
      </c>
      <c r="B548" s="3" t="s">
        <v>92</v>
      </c>
      <c r="C548" s="3" t="s">
        <v>13</v>
      </c>
      <c r="D548" s="3" t="s">
        <v>14</v>
      </c>
      <c r="E548" s="3">
        <v>36</v>
      </c>
      <c r="F548">
        <f>SUM(E546:E548)</f>
        <v>486</v>
      </c>
      <c r="G548" s="13"/>
    </row>
    <row r="549" spans="1:7" ht="12.75" x14ac:dyDescent="0.2">
      <c r="A549" s="3">
        <v>69</v>
      </c>
      <c r="B549" s="3" t="s">
        <v>93</v>
      </c>
      <c r="C549" s="3" t="s">
        <v>2</v>
      </c>
      <c r="D549" s="3" t="s">
        <v>3</v>
      </c>
      <c r="E549" s="3">
        <v>927</v>
      </c>
      <c r="G549" s="13"/>
    </row>
    <row r="550" spans="1:7" ht="12.75" x14ac:dyDescent="0.2">
      <c r="A550" s="3">
        <v>69</v>
      </c>
      <c r="B550" s="3" t="s">
        <v>93</v>
      </c>
      <c r="C550" s="3" t="s">
        <v>2</v>
      </c>
      <c r="D550" s="3" t="s">
        <v>132</v>
      </c>
      <c r="E550" s="3">
        <v>661</v>
      </c>
      <c r="G550" s="13"/>
    </row>
    <row r="551" spans="1:7" ht="12.75" x14ac:dyDescent="0.2">
      <c r="A551" s="3">
        <v>69</v>
      </c>
      <c r="B551" s="3" t="s">
        <v>93</v>
      </c>
      <c r="C551" s="3" t="s">
        <v>2</v>
      </c>
      <c r="D551" s="3" t="s">
        <v>14</v>
      </c>
      <c r="E551" s="3">
        <v>89</v>
      </c>
      <c r="F551">
        <f>SUM(E549:E551)</f>
        <v>1677</v>
      </c>
      <c r="G551" s="13"/>
    </row>
    <row r="552" spans="1:7" ht="12.75" x14ac:dyDescent="0.2">
      <c r="A552" s="3">
        <v>69</v>
      </c>
      <c r="B552" s="3" t="s">
        <v>93</v>
      </c>
      <c r="C552" s="3" t="s">
        <v>10</v>
      </c>
      <c r="D552" s="3" t="s">
        <v>3</v>
      </c>
      <c r="E552" s="3">
        <v>897</v>
      </c>
      <c r="G552" s="13"/>
    </row>
    <row r="553" spans="1:7" ht="12.75" x14ac:dyDescent="0.2">
      <c r="A553" s="3">
        <v>69</v>
      </c>
      <c r="B553" s="3" t="s">
        <v>93</v>
      </c>
      <c r="C553" s="3" t="s">
        <v>10</v>
      </c>
      <c r="D553" s="3" t="s">
        <v>132</v>
      </c>
      <c r="E553" s="3">
        <v>681</v>
      </c>
      <c r="G553" s="13"/>
    </row>
    <row r="554" spans="1:7" ht="12.75" x14ac:dyDescent="0.2">
      <c r="A554" s="3">
        <v>69</v>
      </c>
      <c r="B554" s="3" t="s">
        <v>93</v>
      </c>
      <c r="C554" s="3" t="s">
        <v>10</v>
      </c>
      <c r="D554" s="3" t="s">
        <v>14</v>
      </c>
      <c r="E554" s="3">
        <v>99</v>
      </c>
      <c r="F554">
        <f>SUM(E552:E554)</f>
        <v>1677</v>
      </c>
      <c r="G554" s="13"/>
    </row>
    <row r="555" spans="1:7" ht="12.75" x14ac:dyDescent="0.2">
      <c r="A555" s="3">
        <v>69</v>
      </c>
      <c r="B555" s="3" t="s">
        <v>93</v>
      </c>
      <c r="C555" s="3" t="s">
        <v>13</v>
      </c>
      <c r="D555" s="3" t="s">
        <v>3</v>
      </c>
      <c r="E555" s="3">
        <v>857</v>
      </c>
      <c r="G555" s="13"/>
    </row>
    <row r="556" spans="1:7" ht="12.75" x14ac:dyDescent="0.2">
      <c r="A556" s="3">
        <v>69</v>
      </c>
      <c r="B556" s="3" t="s">
        <v>93</v>
      </c>
      <c r="C556" s="3" t="s">
        <v>13</v>
      </c>
      <c r="D556" s="3" t="s">
        <v>132</v>
      </c>
      <c r="E556" s="3">
        <v>715</v>
      </c>
      <c r="G556" s="13"/>
    </row>
    <row r="557" spans="1:7" ht="12.75" x14ac:dyDescent="0.2">
      <c r="A557" s="3">
        <v>69</v>
      </c>
      <c r="B557" s="3" t="s">
        <v>93</v>
      </c>
      <c r="C557" s="3" t="s">
        <v>13</v>
      </c>
      <c r="D557" s="3" t="s">
        <v>14</v>
      </c>
      <c r="E557" s="3">
        <v>101</v>
      </c>
      <c r="F557">
        <f>SUM(E555:E557)</f>
        <v>1673</v>
      </c>
      <c r="G557" s="13"/>
    </row>
    <row r="558" spans="1:7" ht="12.75" x14ac:dyDescent="0.2">
      <c r="A558" s="3">
        <v>71</v>
      </c>
      <c r="B558" s="3" t="s">
        <v>94</v>
      </c>
      <c r="C558" s="3" t="s">
        <v>2</v>
      </c>
      <c r="D558" s="3" t="s">
        <v>3</v>
      </c>
      <c r="E558" s="3">
        <v>717</v>
      </c>
      <c r="G558" s="13"/>
    </row>
    <row r="559" spans="1:7" ht="12.75" x14ac:dyDescent="0.2">
      <c r="A559" s="3">
        <v>71</v>
      </c>
      <c r="B559" s="3" t="s">
        <v>94</v>
      </c>
      <c r="C559" s="3" t="s">
        <v>2</v>
      </c>
      <c r="D559" s="3" t="s">
        <v>132</v>
      </c>
      <c r="E559" s="3">
        <v>211</v>
      </c>
      <c r="G559" s="13"/>
    </row>
    <row r="560" spans="1:7" ht="12.75" x14ac:dyDescent="0.2">
      <c r="A560" s="3">
        <v>71</v>
      </c>
      <c r="B560" s="3" t="s">
        <v>94</v>
      </c>
      <c r="C560" s="3" t="s">
        <v>2</v>
      </c>
      <c r="D560" s="3" t="s">
        <v>14</v>
      </c>
      <c r="E560" s="3">
        <v>20</v>
      </c>
      <c r="F560">
        <f>SUM(E558:E560)</f>
        <v>948</v>
      </c>
      <c r="G560" s="13"/>
    </row>
    <row r="561" spans="1:7" ht="12.75" x14ac:dyDescent="0.2">
      <c r="A561" s="3">
        <v>71</v>
      </c>
      <c r="B561" s="3" t="s">
        <v>94</v>
      </c>
      <c r="C561" s="3" t="s">
        <v>10</v>
      </c>
      <c r="D561" s="3" t="s">
        <v>3</v>
      </c>
      <c r="E561" s="3">
        <v>708</v>
      </c>
      <c r="G561" s="13"/>
    </row>
    <row r="562" spans="1:7" ht="12.75" x14ac:dyDescent="0.2">
      <c r="A562" s="3">
        <v>71</v>
      </c>
      <c r="B562" s="3" t="s">
        <v>94</v>
      </c>
      <c r="C562" s="3" t="s">
        <v>10</v>
      </c>
      <c r="D562" s="3" t="s">
        <v>132</v>
      </c>
      <c r="E562" s="3">
        <v>214</v>
      </c>
      <c r="G562" s="13"/>
    </row>
    <row r="563" spans="1:7" ht="12.75" x14ac:dyDescent="0.2">
      <c r="A563" s="3">
        <v>71</v>
      </c>
      <c r="B563" s="3" t="s">
        <v>94</v>
      </c>
      <c r="C563" s="3" t="s">
        <v>10</v>
      </c>
      <c r="D563" s="3" t="s">
        <v>14</v>
      </c>
      <c r="E563" s="3">
        <v>26</v>
      </c>
      <c r="F563">
        <f>SUM(E561:E563)</f>
        <v>948</v>
      </c>
      <c r="G563" s="13"/>
    </row>
    <row r="564" spans="1:7" ht="12.75" x14ac:dyDescent="0.2">
      <c r="A564" s="3">
        <v>71</v>
      </c>
      <c r="B564" s="3" t="s">
        <v>94</v>
      </c>
      <c r="C564" s="3" t="s">
        <v>13</v>
      </c>
      <c r="D564" s="3" t="s">
        <v>3</v>
      </c>
      <c r="E564" s="3">
        <v>722</v>
      </c>
      <c r="G564" s="13"/>
    </row>
    <row r="565" spans="1:7" ht="12.75" x14ac:dyDescent="0.2">
      <c r="A565" s="3">
        <v>71</v>
      </c>
      <c r="B565" s="3" t="s">
        <v>94</v>
      </c>
      <c r="C565" s="3" t="s">
        <v>13</v>
      </c>
      <c r="D565" s="3" t="s">
        <v>132</v>
      </c>
      <c r="E565" s="3">
        <v>201</v>
      </c>
      <c r="G565" s="13"/>
    </row>
    <row r="566" spans="1:7" ht="12.75" x14ac:dyDescent="0.2">
      <c r="A566" s="3">
        <v>71</v>
      </c>
      <c r="B566" s="3" t="s">
        <v>94</v>
      </c>
      <c r="C566" s="3" t="s">
        <v>13</v>
      </c>
      <c r="D566" s="3" t="s">
        <v>14</v>
      </c>
      <c r="E566" s="3">
        <v>25</v>
      </c>
      <c r="F566">
        <f>SUM(E564:E566)</f>
        <v>948</v>
      </c>
      <c r="G566" s="13"/>
    </row>
    <row r="567" spans="1:7" ht="12.75" x14ac:dyDescent="0.2">
      <c r="A567" s="3">
        <v>72</v>
      </c>
      <c r="B567" s="3" t="s">
        <v>95</v>
      </c>
      <c r="C567" s="3" t="s">
        <v>2</v>
      </c>
      <c r="D567" s="3" t="s">
        <v>3</v>
      </c>
      <c r="E567" s="3">
        <v>633</v>
      </c>
      <c r="G567" s="13"/>
    </row>
    <row r="568" spans="1:7" ht="12.75" x14ac:dyDescent="0.2">
      <c r="A568" s="3">
        <v>72</v>
      </c>
      <c r="B568" s="3" t="s">
        <v>95</v>
      </c>
      <c r="C568" s="3" t="s">
        <v>2</v>
      </c>
      <c r="D568" s="3" t="s">
        <v>132</v>
      </c>
      <c r="E568" s="3">
        <v>915</v>
      </c>
      <c r="G568" s="13"/>
    </row>
    <row r="569" spans="1:7" ht="12.75" x14ac:dyDescent="0.2">
      <c r="A569" s="3">
        <v>72</v>
      </c>
      <c r="B569" s="3" t="s">
        <v>95</v>
      </c>
      <c r="C569" s="3" t="s">
        <v>2</v>
      </c>
      <c r="D569" s="3" t="s">
        <v>14</v>
      </c>
      <c r="E569" s="3">
        <v>109</v>
      </c>
      <c r="F569">
        <f>SUM(E567:E569)</f>
        <v>1657</v>
      </c>
      <c r="G569" s="13"/>
    </row>
    <row r="570" spans="1:7" ht="12.75" x14ac:dyDescent="0.2">
      <c r="A570" s="3">
        <v>72</v>
      </c>
      <c r="B570" s="3" t="s">
        <v>95</v>
      </c>
      <c r="C570" s="3" t="s">
        <v>10</v>
      </c>
      <c r="D570" s="3" t="s">
        <v>3</v>
      </c>
      <c r="E570" s="3">
        <v>609</v>
      </c>
      <c r="G570" s="13"/>
    </row>
    <row r="571" spans="1:7" ht="12.75" x14ac:dyDescent="0.2">
      <c r="A571" s="3">
        <v>72</v>
      </c>
      <c r="B571" s="3" t="s">
        <v>95</v>
      </c>
      <c r="C571" s="3" t="s">
        <v>10</v>
      </c>
      <c r="D571" s="3" t="s">
        <v>132</v>
      </c>
      <c r="E571" s="3">
        <v>913</v>
      </c>
      <c r="G571" s="13"/>
    </row>
    <row r="572" spans="1:7" ht="12.75" x14ac:dyDescent="0.2">
      <c r="A572" s="3">
        <v>72</v>
      </c>
      <c r="B572" s="3" t="s">
        <v>95</v>
      </c>
      <c r="C572" s="3" t="s">
        <v>10</v>
      </c>
      <c r="D572" s="3" t="s">
        <v>14</v>
      </c>
      <c r="E572" s="3">
        <v>135</v>
      </c>
      <c r="F572">
        <f>SUM(E570:E572)</f>
        <v>1657</v>
      </c>
      <c r="G572" s="13"/>
    </row>
    <row r="573" spans="1:7" ht="12.75" x14ac:dyDescent="0.2">
      <c r="A573" s="3">
        <v>72</v>
      </c>
      <c r="B573" s="3" t="s">
        <v>95</v>
      </c>
      <c r="C573" s="3" t="s">
        <v>13</v>
      </c>
      <c r="D573" s="3" t="s">
        <v>3</v>
      </c>
      <c r="E573" s="3">
        <v>633</v>
      </c>
      <c r="G573" s="13"/>
    </row>
    <row r="574" spans="1:7" ht="12.75" x14ac:dyDescent="0.2">
      <c r="A574" s="3">
        <v>72</v>
      </c>
      <c r="B574" s="3" t="s">
        <v>95</v>
      </c>
      <c r="C574" s="3" t="s">
        <v>13</v>
      </c>
      <c r="D574" s="3" t="s">
        <v>132</v>
      </c>
      <c r="E574" s="3">
        <v>882</v>
      </c>
      <c r="G574" s="13"/>
    </row>
    <row r="575" spans="1:7" ht="12.75" x14ac:dyDescent="0.2">
      <c r="A575" s="3">
        <v>72</v>
      </c>
      <c r="B575" s="3" t="s">
        <v>95</v>
      </c>
      <c r="C575" s="3" t="s">
        <v>13</v>
      </c>
      <c r="D575" s="3" t="s">
        <v>14</v>
      </c>
      <c r="E575" s="3">
        <v>143</v>
      </c>
      <c r="F575">
        <f>SUM(E573:E575)</f>
        <v>1658</v>
      </c>
      <c r="G575" s="13"/>
    </row>
    <row r="576" spans="1:7" ht="12.75" x14ac:dyDescent="0.2">
      <c r="A576" s="3">
        <v>73</v>
      </c>
      <c r="B576" s="3" t="s">
        <v>96</v>
      </c>
      <c r="C576" s="3" t="s">
        <v>15</v>
      </c>
      <c r="D576" s="3" t="s">
        <v>3</v>
      </c>
      <c r="E576" s="3">
        <v>79</v>
      </c>
      <c r="G576" s="13"/>
    </row>
    <row r="577" spans="1:7" ht="12.75" x14ac:dyDescent="0.2">
      <c r="A577" s="3">
        <v>73</v>
      </c>
      <c r="B577" s="3" t="s">
        <v>96</v>
      </c>
      <c r="C577" s="3" t="s">
        <v>15</v>
      </c>
      <c r="D577" s="3" t="s">
        <v>31</v>
      </c>
      <c r="E577" s="3">
        <v>105</v>
      </c>
      <c r="G577" s="13"/>
    </row>
    <row r="578" spans="1:7" ht="12.75" x14ac:dyDescent="0.2">
      <c r="A578" s="3">
        <v>73</v>
      </c>
      <c r="B578" s="3" t="s">
        <v>96</v>
      </c>
      <c r="C578" s="3" t="s">
        <v>15</v>
      </c>
      <c r="D578" s="3" t="s">
        <v>14</v>
      </c>
      <c r="E578" s="3">
        <v>1</v>
      </c>
      <c r="F578">
        <f>SUM(E576:E578)</f>
        <v>185</v>
      </c>
      <c r="G578" s="13"/>
    </row>
    <row r="579" spans="1:7" ht="12.75" x14ac:dyDescent="0.2">
      <c r="A579" s="3">
        <v>73</v>
      </c>
      <c r="B579" s="3" t="s">
        <v>96</v>
      </c>
      <c r="C579" s="3" t="s">
        <v>17</v>
      </c>
      <c r="D579" s="3" t="s">
        <v>3</v>
      </c>
      <c r="E579" s="3">
        <v>78</v>
      </c>
      <c r="G579" s="13"/>
    </row>
    <row r="580" spans="1:7" ht="12.75" x14ac:dyDescent="0.2">
      <c r="A580" s="3">
        <v>73</v>
      </c>
      <c r="B580" s="3" t="s">
        <v>96</v>
      </c>
      <c r="C580" s="3" t="s">
        <v>17</v>
      </c>
      <c r="D580" s="3" t="s">
        <v>31</v>
      </c>
      <c r="E580" s="3">
        <v>105</v>
      </c>
      <c r="G580" s="13"/>
    </row>
    <row r="581" spans="1:7" ht="12.75" x14ac:dyDescent="0.2">
      <c r="A581" s="3">
        <v>73</v>
      </c>
      <c r="B581" s="3" t="s">
        <v>96</v>
      </c>
      <c r="C581" s="3" t="s">
        <v>17</v>
      </c>
      <c r="D581" s="3" t="s">
        <v>14</v>
      </c>
      <c r="E581" s="3">
        <v>2</v>
      </c>
      <c r="F581">
        <f>SUM(E579:E581)</f>
        <v>185</v>
      </c>
      <c r="G581" s="13"/>
    </row>
    <row r="582" spans="1:7" ht="12.75" x14ac:dyDescent="0.2">
      <c r="A582" s="3">
        <v>74</v>
      </c>
      <c r="B582" s="3" t="s">
        <v>97</v>
      </c>
      <c r="C582" s="3" t="s">
        <v>15</v>
      </c>
      <c r="D582" s="3" t="s">
        <v>3</v>
      </c>
      <c r="E582" s="3">
        <v>123</v>
      </c>
      <c r="G582" s="13"/>
    </row>
    <row r="583" spans="1:7" ht="12.75" x14ac:dyDescent="0.2">
      <c r="A583" s="3">
        <v>74</v>
      </c>
      <c r="B583" s="3" t="s">
        <v>97</v>
      </c>
      <c r="C583" s="3" t="s">
        <v>15</v>
      </c>
      <c r="D583" s="3" t="s">
        <v>14</v>
      </c>
      <c r="E583" s="3">
        <v>169</v>
      </c>
      <c r="F583">
        <f>SUM(E582:E583)</f>
        <v>292</v>
      </c>
      <c r="G583" s="13"/>
    </row>
    <row r="584" spans="1:7" ht="12.75" x14ac:dyDescent="0.2">
      <c r="A584" s="3">
        <v>74</v>
      </c>
      <c r="B584" s="3" t="s">
        <v>97</v>
      </c>
      <c r="C584" s="3" t="s">
        <v>17</v>
      </c>
      <c r="D584" s="3" t="s">
        <v>3</v>
      </c>
      <c r="E584" s="3">
        <v>119</v>
      </c>
      <c r="G584" s="13"/>
    </row>
    <row r="585" spans="1:7" ht="12.75" x14ac:dyDescent="0.2">
      <c r="A585" s="3">
        <v>74</v>
      </c>
      <c r="B585" s="3" t="s">
        <v>97</v>
      </c>
      <c r="C585" s="3" t="s">
        <v>17</v>
      </c>
      <c r="D585" s="3" t="s">
        <v>14</v>
      </c>
      <c r="E585" s="3">
        <v>173</v>
      </c>
      <c r="F585">
        <f>SUM(E584:E585)</f>
        <v>292</v>
      </c>
      <c r="G585" s="13"/>
    </row>
    <row r="586" spans="1:7" ht="12.75" x14ac:dyDescent="0.2">
      <c r="A586" s="3">
        <v>75</v>
      </c>
      <c r="B586" s="3" t="s">
        <v>98</v>
      </c>
      <c r="C586" s="3" t="s">
        <v>2</v>
      </c>
      <c r="D586" s="3" t="s">
        <v>3</v>
      </c>
      <c r="E586" s="3">
        <v>1228</v>
      </c>
      <c r="G586" s="13"/>
    </row>
    <row r="587" spans="1:7" ht="12.75" x14ac:dyDescent="0.2">
      <c r="A587" s="3">
        <v>75</v>
      </c>
      <c r="B587" s="3" t="s">
        <v>98</v>
      </c>
      <c r="C587" s="3" t="s">
        <v>2</v>
      </c>
      <c r="D587" s="3" t="s">
        <v>132</v>
      </c>
      <c r="E587" s="3">
        <v>1102</v>
      </c>
      <c r="G587" s="13"/>
    </row>
    <row r="588" spans="1:7" ht="12.75" x14ac:dyDescent="0.2">
      <c r="A588" s="3">
        <v>75</v>
      </c>
      <c r="B588" s="3" t="s">
        <v>98</v>
      </c>
      <c r="C588" s="3" t="s">
        <v>2</v>
      </c>
      <c r="D588" s="3" t="s">
        <v>14</v>
      </c>
      <c r="E588" s="3">
        <v>176</v>
      </c>
      <c r="F588">
        <f>SUM(E586:E588)</f>
        <v>2506</v>
      </c>
      <c r="G588" s="13"/>
    </row>
    <row r="589" spans="1:7" ht="12.75" x14ac:dyDescent="0.2">
      <c r="A589" s="3">
        <v>75</v>
      </c>
      <c r="B589" s="3" t="s">
        <v>98</v>
      </c>
      <c r="C589" s="3" t="s">
        <v>10</v>
      </c>
      <c r="D589" s="3" t="s">
        <v>3</v>
      </c>
      <c r="E589" s="3">
        <v>1137</v>
      </c>
      <c r="G589" s="13"/>
    </row>
    <row r="590" spans="1:7" ht="12.75" x14ac:dyDescent="0.2">
      <c r="A590" s="3">
        <v>75</v>
      </c>
      <c r="B590" s="3" t="s">
        <v>98</v>
      </c>
      <c r="C590" s="3" t="s">
        <v>10</v>
      </c>
      <c r="D590" s="3" t="s">
        <v>132</v>
      </c>
      <c r="E590" s="3">
        <v>1140</v>
      </c>
      <c r="G590" s="13"/>
    </row>
    <row r="591" spans="1:7" ht="12.75" x14ac:dyDescent="0.2">
      <c r="A591" s="3">
        <v>75</v>
      </c>
      <c r="B591" s="3" t="s">
        <v>98</v>
      </c>
      <c r="C591" s="3" t="s">
        <v>10</v>
      </c>
      <c r="D591" s="3" t="s">
        <v>14</v>
      </c>
      <c r="E591" s="3">
        <v>229</v>
      </c>
      <c r="F591">
        <f>SUM(E589:E591)</f>
        <v>2506</v>
      </c>
      <c r="G591" s="13"/>
    </row>
    <row r="592" spans="1:7" ht="12.75" x14ac:dyDescent="0.2">
      <c r="A592" s="3">
        <v>75</v>
      </c>
      <c r="B592" s="3" t="s">
        <v>98</v>
      </c>
      <c r="C592" s="3" t="s">
        <v>13</v>
      </c>
      <c r="D592" s="3" t="s">
        <v>3</v>
      </c>
      <c r="E592" s="3">
        <v>1133</v>
      </c>
      <c r="G592" s="13"/>
    </row>
    <row r="593" spans="1:7" ht="12.75" x14ac:dyDescent="0.2">
      <c r="A593" s="3">
        <v>75</v>
      </c>
      <c r="B593" s="3" t="s">
        <v>98</v>
      </c>
      <c r="C593" s="3" t="s">
        <v>13</v>
      </c>
      <c r="D593" s="3" t="s">
        <v>132</v>
      </c>
      <c r="E593" s="3">
        <v>1134</v>
      </c>
      <c r="G593" s="13"/>
    </row>
    <row r="594" spans="1:7" ht="12.75" x14ac:dyDescent="0.2">
      <c r="A594" s="3">
        <v>75</v>
      </c>
      <c r="B594" s="3" t="s">
        <v>98</v>
      </c>
      <c r="C594" s="3" t="s">
        <v>13</v>
      </c>
      <c r="D594" s="3" t="s">
        <v>14</v>
      </c>
      <c r="E594" s="3">
        <v>239</v>
      </c>
      <c r="F594">
        <f>SUM(E592:E594)</f>
        <v>2506</v>
      </c>
      <c r="G594" s="13"/>
    </row>
    <row r="595" spans="1:7" ht="12.75" x14ac:dyDescent="0.2">
      <c r="A595" s="3">
        <v>76</v>
      </c>
      <c r="B595" s="3" t="s">
        <v>99</v>
      </c>
      <c r="C595" s="3" t="s">
        <v>15</v>
      </c>
      <c r="D595" s="3" t="s">
        <v>3</v>
      </c>
      <c r="E595" s="3">
        <v>113</v>
      </c>
      <c r="G595" s="13"/>
    </row>
    <row r="596" spans="1:7" ht="12.75" x14ac:dyDescent="0.2">
      <c r="A596" s="3">
        <v>76</v>
      </c>
      <c r="B596" s="3" t="s">
        <v>99</v>
      </c>
      <c r="C596" s="3" t="s">
        <v>15</v>
      </c>
      <c r="D596" s="3" t="s">
        <v>14</v>
      </c>
      <c r="E596" s="3">
        <v>116</v>
      </c>
      <c r="F596">
        <f>SUM(E595:E596)</f>
        <v>229</v>
      </c>
      <c r="G596" s="13"/>
    </row>
    <row r="597" spans="1:7" ht="12.75" x14ac:dyDescent="0.2">
      <c r="A597" s="3">
        <v>76</v>
      </c>
      <c r="B597" s="3" t="s">
        <v>99</v>
      </c>
      <c r="C597" s="3" t="s">
        <v>17</v>
      </c>
      <c r="D597" s="3" t="s">
        <v>3</v>
      </c>
      <c r="E597" s="3">
        <v>121</v>
      </c>
      <c r="G597" s="13"/>
    </row>
    <row r="598" spans="1:7" ht="12.75" x14ac:dyDescent="0.2">
      <c r="A598" s="3">
        <v>76</v>
      </c>
      <c r="B598" s="3" t="s">
        <v>99</v>
      </c>
      <c r="C598" s="3" t="s">
        <v>17</v>
      </c>
      <c r="D598" s="3" t="s">
        <v>14</v>
      </c>
      <c r="E598" s="3">
        <v>108</v>
      </c>
      <c r="F598">
        <f>SUM(E597:E598)</f>
        <v>229</v>
      </c>
      <c r="G598" s="13"/>
    </row>
    <row r="599" spans="1:7" ht="12.75" x14ac:dyDescent="0.2">
      <c r="A599" s="3">
        <v>77</v>
      </c>
      <c r="B599" s="3" t="s">
        <v>100</v>
      </c>
      <c r="C599" s="3" t="s">
        <v>2</v>
      </c>
      <c r="D599" s="3" t="s">
        <v>3</v>
      </c>
      <c r="E599" s="3">
        <v>430</v>
      </c>
      <c r="G599" s="13"/>
    </row>
    <row r="600" spans="1:7" ht="12.75" x14ac:dyDescent="0.2">
      <c r="A600" s="3">
        <v>77</v>
      </c>
      <c r="B600" s="3" t="s">
        <v>100</v>
      </c>
      <c r="C600" s="3" t="s">
        <v>2</v>
      </c>
      <c r="D600" s="3" t="s">
        <v>132</v>
      </c>
      <c r="E600" s="3">
        <v>636</v>
      </c>
      <c r="G600" s="13"/>
    </row>
    <row r="601" spans="1:7" ht="12.75" x14ac:dyDescent="0.2">
      <c r="A601" s="3">
        <v>77</v>
      </c>
      <c r="B601" s="3" t="s">
        <v>100</v>
      </c>
      <c r="C601" s="3" t="s">
        <v>2</v>
      </c>
      <c r="D601" s="3" t="s">
        <v>14</v>
      </c>
      <c r="E601" s="3">
        <v>38</v>
      </c>
      <c r="F601">
        <f>SUM(E599:E601)</f>
        <v>1104</v>
      </c>
      <c r="G601" s="13"/>
    </row>
    <row r="602" spans="1:7" ht="12.75" x14ac:dyDescent="0.2">
      <c r="A602" s="3">
        <v>77</v>
      </c>
      <c r="B602" s="3" t="s">
        <v>100</v>
      </c>
      <c r="C602" s="3" t="s">
        <v>10</v>
      </c>
      <c r="D602" s="3" t="s">
        <v>3</v>
      </c>
      <c r="E602" s="3">
        <v>412</v>
      </c>
      <c r="G602" s="13"/>
    </row>
    <row r="603" spans="1:7" ht="12.75" x14ac:dyDescent="0.2">
      <c r="A603" s="3">
        <v>77</v>
      </c>
      <c r="B603" s="3" t="s">
        <v>100</v>
      </c>
      <c r="C603" s="3" t="s">
        <v>10</v>
      </c>
      <c r="D603" s="3" t="s">
        <v>132</v>
      </c>
      <c r="E603" s="3">
        <v>638</v>
      </c>
      <c r="G603" s="13"/>
    </row>
    <row r="604" spans="1:7" ht="12.75" x14ac:dyDescent="0.2">
      <c r="A604" s="3">
        <v>77</v>
      </c>
      <c r="B604" s="3" t="s">
        <v>100</v>
      </c>
      <c r="C604" s="3" t="s">
        <v>10</v>
      </c>
      <c r="D604" s="3" t="s">
        <v>14</v>
      </c>
      <c r="E604" s="3">
        <v>54</v>
      </c>
      <c r="F604">
        <f>SUM(E602:E604)</f>
        <v>1104</v>
      </c>
      <c r="G604" s="13"/>
    </row>
    <row r="605" spans="1:7" ht="12.75" x14ac:dyDescent="0.2">
      <c r="A605" s="3">
        <v>77</v>
      </c>
      <c r="B605" s="3" t="s">
        <v>100</v>
      </c>
      <c r="C605" s="3" t="s">
        <v>13</v>
      </c>
      <c r="D605" s="3" t="s">
        <v>3</v>
      </c>
      <c r="E605" s="3">
        <v>402</v>
      </c>
      <c r="G605" s="13"/>
    </row>
    <row r="606" spans="1:7" ht="12.75" x14ac:dyDescent="0.2">
      <c r="A606" s="3">
        <v>77</v>
      </c>
      <c r="B606" s="3" t="s">
        <v>100</v>
      </c>
      <c r="C606" s="3" t="s">
        <v>13</v>
      </c>
      <c r="D606" s="3" t="s">
        <v>132</v>
      </c>
      <c r="E606" s="3">
        <v>643</v>
      </c>
      <c r="G606" s="13"/>
    </row>
    <row r="607" spans="1:7" ht="12.75" x14ac:dyDescent="0.2">
      <c r="A607" s="3">
        <v>77</v>
      </c>
      <c r="B607" s="3" t="s">
        <v>100</v>
      </c>
      <c r="C607" s="3" t="s">
        <v>13</v>
      </c>
      <c r="D607" s="3" t="s">
        <v>14</v>
      </c>
      <c r="E607" s="3">
        <v>59</v>
      </c>
      <c r="F607">
        <f>SUM(E605:E607)</f>
        <v>1104</v>
      </c>
      <c r="G607" s="13"/>
    </row>
    <row r="608" spans="1:7" ht="12.75" x14ac:dyDescent="0.2">
      <c r="A608" s="3">
        <v>78</v>
      </c>
      <c r="B608" s="3" t="s">
        <v>101</v>
      </c>
      <c r="C608" s="3" t="s">
        <v>15</v>
      </c>
      <c r="D608" s="3" t="s">
        <v>3</v>
      </c>
      <c r="E608" s="3">
        <v>90</v>
      </c>
      <c r="G608" s="13"/>
    </row>
    <row r="609" spans="1:7" ht="12.75" x14ac:dyDescent="0.2">
      <c r="A609" s="3">
        <v>78</v>
      </c>
      <c r="B609" s="3" t="s">
        <v>101</v>
      </c>
      <c r="C609" s="3" t="s">
        <v>15</v>
      </c>
      <c r="D609" s="3" t="s">
        <v>132</v>
      </c>
      <c r="E609" s="3">
        <v>155</v>
      </c>
      <c r="G609" s="13"/>
    </row>
    <row r="610" spans="1:7" ht="12.75" x14ac:dyDescent="0.2">
      <c r="A610" s="3">
        <v>78</v>
      </c>
      <c r="B610" s="3" t="s">
        <v>101</v>
      </c>
      <c r="C610" s="3" t="s">
        <v>15</v>
      </c>
      <c r="D610" s="3" t="s">
        <v>14</v>
      </c>
      <c r="E610" s="3">
        <v>12</v>
      </c>
      <c r="F610">
        <f>SUM(E608:E610)</f>
        <v>257</v>
      </c>
      <c r="G610" s="13"/>
    </row>
    <row r="611" spans="1:7" ht="12.75" x14ac:dyDescent="0.2">
      <c r="A611" s="3">
        <v>78</v>
      </c>
      <c r="B611" s="3" t="s">
        <v>101</v>
      </c>
      <c r="C611" s="3" t="s">
        <v>17</v>
      </c>
      <c r="D611" s="3" t="s">
        <v>3</v>
      </c>
      <c r="E611" s="3">
        <v>93</v>
      </c>
      <c r="G611" s="13"/>
    </row>
    <row r="612" spans="1:7" ht="12.75" x14ac:dyDescent="0.2">
      <c r="A612" s="3">
        <v>78</v>
      </c>
      <c r="B612" s="3" t="s">
        <v>101</v>
      </c>
      <c r="C612" s="3" t="s">
        <v>17</v>
      </c>
      <c r="D612" s="3" t="s">
        <v>132</v>
      </c>
      <c r="E612" s="3">
        <v>155</v>
      </c>
      <c r="G612" s="13"/>
    </row>
    <row r="613" spans="1:7" ht="12.75" x14ac:dyDescent="0.2">
      <c r="A613" s="3">
        <v>78</v>
      </c>
      <c r="B613" s="3" t="s">
        <v>101</v>
      </c>
      <c r="C613" s="3" t="s">
        <v>17</v>
      </c>
      <c r="D613" s="3" t="s">
        <v>14</v>
      </c>
      <c r="E613" s="3">
        <v>9</v>
      </c>
      <c r="F613">
        <f>SUM(E611:E613)</f>
        <v>257</v>
      </c>
      <c r="G613" s="13"/>
    </row>
    <row r="614" spans="1:7" ht="12.75" x14ac:dyDescent="0.2">
      <c r="A614" s="3">
        <v>79</v>
      </c>
      <c r="B614" s="3" t="s">
        <v>102</v>
      </c>
      <c r="C614" s="3" t="s">
        <v>2</v>
      </c>
      <c r="D614" s="3" t="s">
        <v>3</v>
      </c>
      <c r="E614" s="3">
        <v>502</v>
      </c>
      <c r="G614" s="13"/>
    </row>
    <row r="615" spans="1:7" ht="12.75" x14ac:dyDescent="0.2">
      <c r="A615" s="3">
        <v>79</v>
      </c>
      <c r="B615" s="3" t="s">
        <v>102</v>
      </c>
      <c r="C615" s="3" t="s">
        <v>2</v>
      </c>
      <c r="D615" s="3" t="s">
        <v>132</v>
      </c>
      <c r="E615" s="3">
        <v>423</v>
      </c>
      <c r="G615" s="13"/>
    </row>
    <row r="616" spans="1:7" ht="12.75" x14ac:dyDescent="0.2">
      <c r="A616" s="3">
        <v>79</v>
      </c>
      <c r="B616" s="3" t="s">
        <v>102</v>
      </c>
      <c r="C616" s="3" t="s">
        <v>2</v>
      </c>
      <c r="D616" s="3" t="s">
        <v>14</v>
      </c>
      <c r="E616" s="3">
        <v>64</v>
      </c>
      <c r="F616">
        <f>SUM(E614:E616)</f>
        <v>989</v>
      </c>
      <c r="G616" s="13"/>
    </row>
    <row r="617" spans="1:7" ht="12.75" x14ac:dyDescent="0.2">
      <c r="A617" s="3">
        <v>79</v>
      </c>
      <c r="B617" s="3" t="s">
        <v>102</v>
      </c>
      <c r="C617" s="3" t="s">
        <v>10</v>
      </c>
      <c r="D617" s="3" t="s">
        <v>3</v>
      </c>
      <c r="E617" s="3">
        <v>441</v>
      </c>
      <c r="G617" s="13"/>
    </row>
    <row r="618" spans="1:7" ht="12.75" x14ac:dyDescent="0.2">
      <c r="A618" s="3">
        <v>79</v>
      </c>
      <c r="B618" s="3" t="s">
        <v>102</v>
      </c>
      <c r="C618" s="3" t="s">
        <v>10</v>
      </c>
      <c r="D618" s="3" t="s">
        <v>132</v>
      </c>
      <c r="E618" s="3">
        <v>479</v>
      </c>
      <c r="G618" s="13"/>
    </row>
    <row r="619" spans="1:7" ht="12.75" x14ac:dyDescent="0.2">
      <c r="A619" s="3">
        <v>79</v>
      </c>
      <c r="B619" s="3" t="s">
        <v>102</v>
      </c>
      <c r="C619" s="3" t="s">
        <v>10</v>
      </c>
      <c r="D619" s="3" t="s">
        <v>14</v>
      </c>
      <c r="E619" s="3">
        <v>67</v>
      </c>
      <c r="F619">
        <f>SUM(E617:E619)</f>
        <v>987</v>
      </c>
      <c r="G619" s="13"/>
    </row>
    <row r="620" spans="1:7" ht="12.75" x14ac:dyDescent="0.2">
      <c r="A620" s="3">
        <v>79</v>
      </c>
      <c r="B620" s="3" t="s">
        <v>102</v>
      </c>
      <c r="C620" s="3" t="s">
        <v>13</v>
      </c>
      <c r="D620" s="3" t="s">
        <v>3</v>
      </c>
      <c r="E620" s="3">
        <v>407</v>
      </c>
      <c r="G620" s="13"/>
    </row>
    <row r="621" spans="1:7" ht="12.75" x14ac:dyDescent="0.2">
      <c r="A621" s="3">
        <v>79</v>
      </c>
      <c r="B621" s="3" t="s">
        <v>102</v>
      </c>
      <c r="C621" s="3" t="s">
        <v>13</v>
      </c>
      <c r="D621" s="3" t="s">
        <v>132</v>
      </c>
      <c r="E621" s="3">
        <v>506</v>
      </c>
      <c r="G621" s="13"/>
    </row>
    <row r="622" spans="1:7" ht="12.75" x14ac:dyDescent="0.2">
      <c r="A622" s="3">
        <v>79</v>
      </c>
      <c r="B622" s="3" t="s">
        <v>102</v>
      </c>
      <c r="C622" s="3" t="s">
        <v>13</v>
      </c>
      <c r="D622" s="3" t="s">
        <v>14</v>
      </c>
      <c r="E622" s="3">
        <v>76</v>
      </c>
      <c r="F622">
        <f>SUM(E620:E622)</f>
        <v>989</v>
      </c>
      <c r="G622" s="13"/>
    </row>
    <row r="623" spans="1:7" ht="12.75" x14ac:dyDescent="0.2">
      <c r="A623" s="3">
        <v>80</v>
      </c>
      <c r="B623" s="3" t="s">
        <v>103</v>
      </c>
      <c r="C623" s="3" t="s">
        <v>15</v>
      </c>
      <c r="D623" s="3" t="s">
        <v>33</v>
      </c>
      <c r="E623" s="3">
        <v>94</v>
      </c>
      <c r="G623" s="13"/>
    </row>
    <row r="624" spans="1:7" ht="12.75" x14ac:dyDescent="0.2">
      <c r="A624" s="3">
        <v>80</v>
      </c>
      <c r="B624" s="3" t="s">
        <v>103</v>
      </c>
      <c r="C624" s="3" t="s">
        <v>15</v>
      </c>
      <c r="D624" s="3" t="s">
        <v>14</v>
      </c>
      <c r="E624" s="3">
        <v>47</v>
      </c>
      <c r="F624">
        <f>SUM(E623:E624)</f>
        <v>141</v>
      </c>
      <c r="G624" s="13"/>
    </row>
    <row r="625" spans="1:7" ht="12.75" x14ac:dyDescent="0.2">
      <c r="A625" s="3">
        <v>80</v>
      </c>
      <c r="B625" s="3" t="s">
        <v>103</v>
      </c>
      <c r="C625" s="3" t="s">
        <v>17</v>
      </c>
      <c r="D625" s="3" t="s">
        <v>33</v>
      </c>
      <c r="E625" s="3">
        <v>87</v>
      </c>
      <c r="G625" s="13"/>
    </row>
    <row r="626" spans="1:7" ht="12.75" x14ac:dyDescent="0.2">
      <c r="A626" s="3">
        <v>80</v>
      </c>
      <c r="B626" s="3" t="s">
        <v>103</v>
      </c>
      <c r="C626" s="3" t="s">
        <v>17</v>
      </c>
      <c r="D626" s="3" t="s">
        <v>14</v>
      </c>
      <c r="E626" s="3">
        <v>54</v>
      </c>
      <c r="F626">
        <f>SUM(E625:E626)</f>
        <v>141</v>
      </c>
      <c r="G626" s="13"/>
    </row>
    <row r="627" spans="1:7" ht="12.75" x14ac:dyDescent="0.2">
      <c r="A627" s="3">
        <v>81</v>
      </c>
      <c r="B627" s="3" t="s">
        <v>104</v>
      </c>
      <c r="C627" s="3" t="s">
        <v>2</v>
      </c>
      <c r="D627" s="3" t="s">
        <v>3</v>
      </c>
      <c r="E627" s="3">
        <v>1526</v>
      </c>
      <c r="G627" s="13"/>
    </row>
    <row r="628" spans="1:7" ht="12.75" x14ac:dyDescent="0.2">
      <c r="A628" s="3">
        <v>81</v>
      </c>
      <c r="B628" s="3" t="s">
        <v>104</v>
      </c>
      <c r="C628" s="3" t="s">
        <v>2</v>
      </c>
      <c r="D628" s="3" t="s">
        <v>19</v>
      </c>
      <c r="E628" s="3">
        <v>1148</v>
      </c>
      <c r="G628" s="13"/>
    </row>
    <row r="629" spans="1:7" ht="12.75" x14ac:dyDescent="0.2">
      <c r="A629" s="3">
        <v>81</v>
      </c>
      <c r="B629" s="3" t="s">
        <v>104</v>
      </c>
      <c r="C629" s="3" t="s">
        <v>2</v>
      </c>
      <c r="D629" s="3" t="s">
        <v>14</v>
      </c>
      <c r="E629" s="3">
        <v>485</v>
      </c>
      <c r="F629">
        <f>SUM(E627:E629)</f>
        <v>3159</v>
      </c>
      <c r="G629" s="13"/>
    </row>
    <row r="630" spans="1:7" ht="12.75" x14ac:dyDescent="0.2">
      <c r="A630" s="3">
        <v>81</v>
      </c>
      <c r="B630" s="3" t="s">
        <v>104</v>
      </c>
      <c r="C630" s="3" t="s">
        <v>10</v>
      </c>
      <c r="D630" s="3" t="s">
        <v>3</v>
      </c>
      <c r="E630" s="3">
        <v>1471</v>
      </c>
      <c r="G630" s="13"/>
    </row>
    <row r="631" spans="1:7" ht="12.75" x14ac:dyDescent="0.2">
      <c r="A631" s="3">
        <v>81</v>
      </c>
      <c r="B631" s="3" t="s">
        <v>104</v>
      </c>
      <c r="C631" s="3" t="s">
        <v>10</v>
      </c>
      <c r="D631" s="3" t="s">
        <v>19</v>
      </c>
      <c r="E631" s="3">
        <v>771</v>
      </c>
      <c r="G631" s="13"/>
    </row>
    <row r="632" spans="1:7" ht="12.75" x14ac:dyDescent="0.2">
      <c r="A632" s="3">
        <v>81</v>
      </c>
      <c r="B632" s="3" t="s">
        <v>104</v>
      </c>
      <c r="C632" s="3" t="s">
        <v>10</v>
      </c>
      <c r="D632" s="3" t="s">
        <v>132</v>
      </c>
      <c r="E632" s="3">
        <v>480</v>
      </c>
      <c r="G632" s="13"/>
    </row>
    <row r="633" spans="1:7" ht="12.75" x14ac:dyDescent="0.2">
      <c r="A633" s="3">
        <v>81</v>
      </c>
      <c r="B633" s="3" t="s">
        <v>104</v>
      </c>
      <c r="C633" s="3" t="s">
        <v>10</v>
      </c>
      <c r="D633" s="3" t="s">
        <v>338</v>
      </c>
      <c r="E633" s="3">
        <v>40</v>
      </c>
      <c r="G633" s="13"/>
    </row>
    <row r="634" spans="1:7" ht="12.75" x14ac:dyDescent="0.2">
      <c r="A634" s="3">
        <v>81</v>
      </c>
      <c r="B634" s="3" t="s">
        <v>104</v>
      </c>
      <c r="C634" s="3" t="s">
        <v>10</v>
      </c>
      <c r="D634" s="3" t="s">
        <v>14</v>
      </c>
      <c r="E634" s="3">
        <v>379</v>
      </c>
      <c r="F634">
        <f>SUM(E630:E634)</f>
        <v>3141</v>
      </c>
      <c r="G634" s="13"/>
    </row>
    <row r="635" spans="1:7" ht="12.75" x14ac:dyDescent="0.2">
      <c r="A635" s="3">
        <v>81</v>
      </c>
      <c r="B635" s="3" t="s">
        <v>104</v>
      </c>
      <c r="C635" s="3" t="s">
        <v>13</v>
      </c>
      <c r="D635" s="3" t="s">
        <v>3</v>
      </c>
      <c r="E635" s="3">
        <v>1543</v>
      </c>
      <c r="G635" s="13"/>
    </row>
    <row r="636" spans="1:7" ht="12.75" x14ac:dyDescent="0.2">
      <c r="A636" s="3">
        <v>81</v>
      </c>
      <c r="B636" s="3" t="s">
        <v>104</v>
      </c>
      <c r="C636" s="3" t="s">
        <v>13</v>
      </c>
      <c r="D636" s="3" t="s">
        <v>19</v>
      </c>
      <c r="E636" s="3">
        <v>811</v>
      </c>
      <c r="G636" s="13"/>
    </row>
    <row r="637" spans="1:7" ht="12.75" x14ac:dyDescent="0.2">
      <c r="A637" s="3">
        <v>81</v>
      </c>
      <c r="B637" s="3" t="s">
        <v>104</v>
      </c>
      <c r="C637" s="3" t="s">
        <v>13</v>
      </c>
      <c r="D637" s="3" t="s">
        <v>132</v>
      </c>
      <c r="E637" s="3">
        <v>390</v>
      </c>
      <c r="G637" s="13"/>
    </row>
    <row r="638" spans="1:7" ht="12.75" x14ac:dyDescent="0.2">
      <c r="A638" s="3">
        <v>81</v>
      </c>
      <c r="B638" s="3" t="s">
        <v>104</v>
      </c>
      <c r="C638" s="3" t="s">
        <v>13</v>
      </c>
      <c r="D638" s="3" t="s">
        <v>14</v>
      </c>
      <c r="E638" s="3">
        <v>407</v>
      </c>
      <c r="F638">
        <f>SUM(E635:E638)</f>
        <v>3151</v>
      </c>
      <c r="G638" s="13"/>
    </row>
    <row r="639" spans="1:7" ht="12.75" x14ac:dyDescent="0.2">
      <c r="A639" s="3">
        <v>82</v>
      </c>
      <c r="B639" s="3" t="s">
        <v>105</v>
      </c>
      <c r="C639" s="3" t="s">
        <v>2</v>
      </c>
      <c r="D639" s="3" t="s">
        <v>3</v>
      </c>
      <c r="E639" s="3">
        <v>2390</v>
      </c>
      <c r="G639" s="13"/>
    </row>
    <row r="640" spans="1:7" ht="12.75" x14ac:dyDescent="0.2">
      <c r="A640" s="3">
        <v>82</v>
      </c>
      <c r="B640" s="3" t="s">
        <v>105</v>
      </c>
      <c r="C640" s="3" t="s">
        <v>2</v>
      </c>
      <c r="D640" s="3" t="s">
        <v>132</v>
      </c>
      <c r="E640" s="3">
        <v>1784</v>
      </c>
      <c r="G640" s="13"/>
    </row>
    <row r="641" spans="1:7" ht="12.75" x14ac:dyDescent="0.2">
      <c r="A641" s="3">
        <v>82</v>
      </c>
      <c r="B641" s="3" t="s">
        <v>105</v>
      </c>
      <c r="C641" s="3" t="s">
        <v>2</v>
      </c>
      <c r="D641" s="3" t="s">
        <v>338</v>
      </c>
      <c r="E641" s="3">
        <v>406</v>
      </c>
      <c r="G641" s="13"/>
    </row>
    <row r="642" spans="1:7" ht="12.75" x14ac:dyDescent="0.2">
      <c r="A642" s="3">
        <v>82</v>
      </c>
      <c r="B642" s="3" t="s">
        <v>105</v>
      </c>
      <c r="C642" s="3" t="s">
        <v>2</v>
      </c>
      <c r="D642" s="3" t="s">
        <v>14</v>
      </c>
      <c r="E642" s="3">
        <v>495</v>
      </c>
      <c r="F642">
        <f>SUM(E639:E642)</f>
        <v>5075</v>
      </c>
      <c r="G642" s="13"/>
    </row>
    <row r="643" spans="1:7" ht="12.75" x14ac:dyDescent="0.2">
      <c r="A643" s="3">
        <v>82</v>
      </c>
      <c r="B643" s="3" t="s">
        <v>105</v>
      </c>
      <c r="C643" s="3" t="s">
        <v>10</v>
      </c>
      <c r="D643" s="3" t="s">
        <v>3</v>
      </c>
      <c r="E643" s="3">
        <v>2284</v>
      </c>
      <c r="G643" s="13"/>
    </row>
    <row r="644" spans="1:7" ht="12.75" x14ac:dyDescent="0.2">
      <c r="A644" s="3">
        <v>82</v>
      </c>
      <c r="B644" s="3" t="s">
        <v>105</v>
      </c>
      <c r="C644" s="3" t="s">
        <v>10</v>
      </c>
      <c r="D644" s="3" t="s">
        <v>132</v>
      </c>
      <c r="E644" s="3">
        <v>1786</v>
      </c>
      <c r="G644" s="13"/>
    </row>
    <row r="645" spans="1:7" ht="12.75" x14ac:dyDescent="0.2">
      <c r="A645" s="3">
        <v>82</v>
      </c>
      <c r="B645" s="3" t="s">
        <v>105</v>
      </c>
      <c r="C645" s="3" t="s">
        <v>10</v>
      </c>
      <c r="D645" s="3" t="s">
        <v>338</v>
      </c>
      <c r="E645" s="3">
        <v>449</v>
      </c>
      <c r="G645" s="13"/>
    </row>
    <row r="646" spans="1:7" ht="12.75" x14ac:dyDescent="0.2">
      <c r="A646" s="3">
        <v>82</v>
      </c>
      <c r="B646" s="3" t="s">
        <v>105</v>
      </c>
      <c r="C646" s="3" t="s">
        <v>10</v>
      </c>
      <c r="D646" s="3" t="s">
        <v>14</v>
      </c>
      <c r="E646" s="3">
        <v>541</v>
      </c>
      <c r="F646">
        <f>SUM(E643:E646)</f>
        <v>5060</v>
      </c>
      <c r="G646" s="13"/>
    </row>
    <row r="647" spans="1:7" ht="12.75" x14ac:dyDescent="0.2">
      <c r="A647" s="3">
        <v>82</v>
      </c>
      <c r="B647" s="3" t="s">
        <v>105</v>
      </c>
      <c r="C647" s="3" t="s">
        <v>13</v>
      </c>
      <c r="D647" s="3" t="s">
        <v>3</v>
      </c>
      <c r="E647" s="3">
        <v>2542</v>
      </c>
      <c r="G647" s="13"/>
    </row>
    <row r="648" spans="1:7" ht="12.75" x14ac:dyDescent="0.2">
      <c r="A648" s="3">
        <v>82</v>
      </c>
      <c r="B648" s="3" t="s">
        <v>105</v>
      </c>
      <c r="C648" s="3" t="s">
        <v>13</v>
      </c>
      <c r="D648" s="3" t="s">
        <v>132</v>
      </c>
      <c r="E648" s="3">
        <v>1559</v>
      </c>
      <c r="G648" s="13"/>
    </row>
    <row r="649" spans="1:7" ht="12.75" x14ac:dyDescent="0.2">
      <c r="A649" s="3">
        <v>82</v>
      </c>
      <c r="B649" s="3" t="s">
        <v>105</v>
      </c>
      <c r="C649" s="3" t="s">
        <v>13</v>
      </c>
      <c r="D649" s="3" t="s">
        <v>338</v>
      </c>
      <c r="E649" s="3">
        <v>387</v>
      </c>
      <c r="G649" s="13"/>
    </row>
    <row r="650" spans="1:7" ht="12.75" x14ac:dyDescent="0.2">
      <c r="A650" s="3">
        <v>82</v>
      </c>
      <c r="B650" s="3" t="s">
        <v>105</v>
      </c>
      <c r="C650" s="3" t="s">
        <v>13</v>
      </c>
      <c r="D650" s="3" t="s">
        <v>14</v>
      </c>
      <c r="E650" s="3">
        <v>579</v>
      </c>
      <c r="F650">
        <f>SUM(E647:E650)</f>
        <v>5067</v>
      </c>
      <c r="G650" s="13"/>
    </row>
    <row r="651" spans="1:7" ht="12.75" x14ac:dyDescent="0.2">
      <c r="A651" s="3">
        <v>86</v>
      </c>
      <c r="B651" s="3" t="s">
        <v>106</v>
      </c>
      <c r="C651" s="3" t="s">
        <v>2</v>
      </c>
      <c r="D651" s="3" t="s">
        <v>3</v>
      </c>
      <c r="E651" s="3">
        <v>3273</v>
      </c>
      <c r="G651" s="13"/>
    </row>
    <row r="652" spans="1:7" ht="12.75" x14ac:dyDescent="0.2">
      <c r="A652" s="3">
        <v>86</v>
      </c>
      <c r="B652" s="3" t="s">
        <v>106</v>
      </c>
      <c r="C652" s="3" t="s">
        <v>2</v>
      </c>
      <c r="D652" s="3" t="s">
        <v>19</v>
      </c>
      <c r="E652" s="3">
        <v>140</v>
      </c>
      <c r="G652" s="13"/>
    </row>
    <row r="653" spans="1:7" ht="12.75" x14ac:dyDescent="0.2">
      <c r="A653" s="3">
        <v>86</v>
      </c>
      <c r="B653" s="3" t="s">
        <v>106</v>
      </c>
      <c r="C653" s="3" t="s">
        <v>2</v>
      </c>
      <c r="D653" s="3" t="s">
        <v>132</v>
      </c>
      <c r="E653" s="3">
        <v>1231</v>
      </c>
      <c r="G653" s="13"/>
    </row>
    <row r="654" spans="1:7" ht="12.75" x14ac:dyDescent="0.2">
      <c r="A654" s="3">
        <v>86</v>
      </c>
      <c r="B654" s="3" t="s">
        <v>106</v>
      </c>
      <c r="C654" s="3" t="s">
        <v>2</v>
      </c>
      <c r="D654" s="3" t="s">
        <v>339</v>
      </c>
      <c r="E654" s="3">
        <v>347</v>
      </c>
      <c r="G654" s="13"/>
    </row>
    <row r="655" spans="1:7" ht="12.75" x14ac:dyDescent="0.2">
      <c r="A655" s="3">
        <v>86</v>
      </c>
      <c r="B655" s="3" t="s">
        <v>106</v>
      </c>
      <c r="C655" s="3" t="s">
        <v>2</v>
      </c>
      <c r="D655" s="3" t="s">
        <v>338</v>
      </c>
      <c r="E655" s="3">
        <v>393</v>
      </c>
      <c r="G655" s="13"/>
    </row>
    <row r="656" spans="1:7" ht="12.75" x14ac:dyDescent="0.2">
      <c r="A656" s="3">
        <v>86</v>
      </c>
      <c r="B656" s="3" t="s">
        <v>106</v>
      </c>
      <c r="C656" s="3" t="s">
        <v>2</v>
      </c>
      <c r="D656" s="3" t="s">
        <v>14</v>
      </c>
      <c r="E656" s="3">
        <v>1010</v>
      </c>
      <c r="F656">
        <f>SUM(E651:E656)</f>
        <v>6394</v>
      </c>
      <c r="G656" s="13"/>
    </row>
    <row r="657" spans="1:7" ht="12.75" x14ac:dyDescent="0.2">
      <c r="A657" s="3">
        <v>86</v>
      </c>
      <c r="B657" s="3" t="s">
        <v>106</v>
      </c>
      <c r="C657" s="3" t="s">
        <v>10</v>
      </c>
      <c r="D657" s="3" t="s">
        <v>3</v>
      </c>
      <c r="E657" s="3">
        <v>3137</v>
      </c>
      <c r="G657" s="13"/>
    </row>
    <row r="658" spans="1:7" ht="12.75" x14ac:dyDescent="0.2">
      <c r="A658" s="3">
        <v>86</v>
      </c>
      <c r="B658" s="3" t="s">
        <v>106</v>
      </c>
      <c r="C658" s="3" t="s">
        <v>10</v>
      </c>
      <c r="D658" s="3" t="s">
        <v>19</v>
      </c>
      <c r="E658" s="3">
        <v>144</v>
      </c>
      <c r="G658" s="13"/>
    </row>
    <row r="659" spans="1:7" ht="12.75" x14ac:dyDescent="0.2">
      <c r="A659" s="3">
        <v>86</v>
      </c>
      <c r="B659" s="3" t="s">
        <v>106</v>
      </c>
      <c r="C659" s="3" t="s">
        <v>10</v>
      </c>
      <c r="D659" s="3" t="s">
        <v>132</v>
      </c>
      <c r="E659" s="3">
        <v>1192</v>
      </c>
      <c r="G659" s="13"/>
    </row>
    <row r="660" spans="1:7" ht="12.75" x14ac:dyDescent="0.2">
      <c r="A660" s="3">
        <v>86</v>
      </c>
      <c r="B660" s="3" t="s">
        <v>106</v>
      </c>
      <c r="C660" s="3" t="s">
        <v>10</v>
      </c>
      <c r="D660" s="3" t="s">
        <v>339</v>
      </c>
      <c r="E660" s="3">
        <v>388</v>
      </c>
      <c r="G660" s="13"/>
    </row>
    <row r="661" spans="1:7" ht="12.75" x14ac:dyDescent="0.2">
      <c r="A661" s="3">
        <v>86</v>
      </c>
      <c r="B661" s="3" t="s">
        <v>106</v>
      </c>
      <c r="C661" s="3" t="s">
        <v>10</v>
      </c>
      <c r="D661" s="3" t="s">
        <v>338</v>
      </c>
      <c r="E661" s="3">
        <v>403</v>
      </c>
      <c r="G661" s="13"/>
    </row>
    <row r="662" spans="1:7" ht="12.75" x14ac:dyDescent="0.2">
      <c r="A662" s="3">
        <v>86</v>
      </c>
      <c r="B662" s="3" t="s">
        <v>106</v>
      </c>
      <c r="C662" s="3" t="s">
        <v>10</v>
      </c>
      <c r="D662" s="3" t="s">
        <v>14</v>
      </c>
      <c r="E662" s="3">
        <v>1127</v>
      </c>
      <c r="F662">
        <f>SUM(E657:E662)</f>
        <v>6391</v>
      </c>
      <c r="G662" s="13"/>
    </row>
    <row r="663" spans="1:7" ht="12.75" x14ac:dyDescent="0.2">
      <c r="A663" s="3">
        <v>86</v>
      </c>
      <c r="B663" s="3" t="s">
        <v>106</v>
      </c>
      <c r="C663" s="3" t="s">
        <v>13</v>
      </c>
      <c r="D663" s="3" t="s">
        <v>3</v>
      </c>
      <c r="E663" s="3">
        <v>3096</v>
      </c>
      <c r="G663" s="13"/>
    </row>
    <row r="664" spans="1:7" ht="12.75" x14ac:dyDescent="0.2">
      <c r="A664" s="3">
        <v>86</v>
      </c>
      <c r="B664" s="3" t="s">
        <v>106</v>
      </c>
      <c r="C664" s="3" t="s">
        <v>13</v>
      </c>
      <c r="D664" s="3" t="s">
        <v>19</v>
      </c>
      <c r="E664" s="3">
        <v>141</v>
      </c>
      <c r="G664" s="13"/>
    </row>
    <row r="665" spans="1:7" ht="12.75" x14ac:dyDescent="0.2">
      <c r="A665" s="3">
        <v>86</v>
      </c>
      <c r="B665" s="3" t="s">
        <v>106</v>
      </c>
      <c r="C665" s="3" t="s">
        <v>13</v>
      </c>
      <c r="D665" s="3" t="s">
        <v>132</v>
      </c>
      <c r="E665" s="3">
        <v>1308</v>
      </c>
      <c r="G665" s="13"/>
    </row>
    <row r="666" spans="1:7" ht="12.75" x14ac:dyDescent="0.2">
      <c r="A666" s="3">
        <v>86</v>
      </c>
      <c r="B666" s="3" t="s">
        <v>106</v>
      </c>
      <c r="C666" s="3" t="s">
        <v>13</v>
      </c>
      <c r="D666" s="3" t="s">
        <v>339</v>
      </c>
      <c r="E666" s="3">
        <v>361</v>
      </c>
      <c r="G666" s="13"/>
    </row>
    <row r="667" spans="1:7" ht="12.75" x14ac:dyDescent="0.2">
      <c r="A667" s="3">
        <v>86</v>
      </c>
      <c r="B667" s="3" t="s">
        <v>106</v>
      </c>
      <c r="C667" s="3" t="s">
        <v>13</v>
      </c>
      <c r="D667" s="3" t="s">
        <v>338</v>
      </c>
      <c r="E667" s="3">
        <v>385</v>
      </c>
      <c r="G667" s="13"/>
    </row>
    <row r="668" spans="1:7" ht="12.75" x14ac:dyDescent="0.2">
      <c r="A668" s="3">
        <v>86</v>
      </c>
      <c r="B668" s="3" t="s">
        <v>106</v>
      </c>
      <c r="C668" s="3" t="s">
        <v>13</v>
      </c>
      <c r="D668" s="3" t="s">
        <v>14</v>
      </c>
      <c r="E668" s="3">
        <v>1101</v>
      </c>
      <c r="F668">
        <f>SUM(E663:E668)</f>
        <v>6392</v>
      </c>
      <c r="G668" s="13"/>
    </row>
    <row r="669" spans="1:7" ht="12.75" x14ac:dyDescent="0.2">
      <c r="A669" s="3">
        <v>87</v>
      </c>
      <c r="B669" s="3" t="s">
        <v>107</v>
      </c>
      <c r="C669" s="3" t="s">
        <v>2</v>
      </c>
      <c r="D669" s="3" t="s">
        <v>3</v>
      </c>
      <c r="E669" s="3">
        <v>433</v>
      </c>
      <c r="G669" s="13"/>
    </row>
    <row r="670" spans="1:7" ht="12.75" x14ac:dyDescent="0.2">
      <c r="A670" s="3">
        <v>87</v>
      </c>
      <c r="B670" s="3" t="s">
        <v>107</v>
      </c>
      <c r="C670" s="3" t="s">
        <v>2</v>
      </c>
      <c r="D670" s="3" t="s">
        <v>132</v>
      </c>
      <c r="E670" s="3">
        <v>344</v>
      </c>
      <c r="G670" s="13"/>
    </row>
    <row r="671" spans="1:7" ht="12.75" x14ac:dyDescent="0.2">
      <c r="A671" s="3">
        <v>87</v>
      </c>
      <c r="B671" s="3" t="s">
        <v>107</v>
      </c>
      <c r="C671" s="3" t="s">
        <v>2</v>
      </c>
      <c r="D671" s="3" t="s">
        <v>338</v>
      </c>
      <c r="E671" s="3">
        <v>62</v>
      </c>
      <c r="G671" s="13"/>
    </row>
    <row r="672" spans="1:7" ht="12.75" x14ac:dyDescent="0.2">
      <c r="A672" s="3">
        <v>87</v>
      </c>
      <c r="B672" s="3" t="s">
        <v>107</v>
      </c>
      <c r="C672" s="3" t="s">
        <v>2</v>
      </c>
      <c r="D672" s="3" t="s">
        <v>14</v>
      </c>
      <c r="E672" s="3">
        <v>14</v>
      </c>
      <c r="F672">
        <f>SUM(E669:E672)</f>
        <v>853</v>
      </c>
      <c r="G672" s="13"/>
    </row>
    <row r="673" spans="1:7" ht="12.75" x14ac:dyDescent="0.2">
      <c r="A673" s="3">
        <v>87</v>
      </c>
      <c r="B673" s="3" t="s">
        <v>107</v>
      </c>
      <c r="C673" s="3" t="s">
        <v>10</v>
      </c>
      <c r="D673" s="3" t="s">
        <v>3</v>
      </c>
      <c r="E673" s="3">
        <v>423</v>
      </c>
      <c r="G673" s="13"/>
    </row>
    <row r="674" spans="1:7" ht="12.75" x14ac:dyDescent="0.2">
      <c r="A674" s="3">
        <v>87</v>
      </c>
      <c r="B674" s="3" t="s">
        <v>107</v>
      </c>
      <c r="C674" s="3" t="s">
        <v>10</v>
      </c>
      <c r="D674" s="3" t="s">
        <v>132</v>
      </c>
      <c r="E674" s="3">
        <v>338</v>
      </c>
      <c r="G674" s="13"/>
    </row>
    <row r="675" spans="1:7" ht="12.75" x14ac:dyDescent="0.2">
      <c r="A675" s="3">
        <v>87</v>
      </c>
      <c r="B675" s="3" t="s">
        <v>107</v>
      </c>
      <c r="C675" s="3" t="s">
        <v>10</v>
      </c>
      <c r="D675" s="3" t="s">
        <v>338</v>
      </c>
      <c r="E675" s="3">
        <v>60</v>
      </c>
      <c r="G675" s="13"/>
    </row>
    <row r="676" spans="1:7" ht="12.75" x14ac:dyDescent="0.2">
      <c r="A676" s="3">
        <v>87</v>
      </c>
      <c r="B676" s="3" t="s">
        <v>107</v>
      </c>
      <c r="C676" s="3" t="s">
        <v>10</v>
      </c>
      <c r="D676" s="3" t="s">
        <v>14</v>
      </c>
      <c r="E676" s="3">
        <v>32</v>
      </c>
      <c r="F676">
        <f>SUM(E673:E676)</f>
        <v>853</v>
      </c>
      <c r="G676" s="13"/>
    </row>
    <row r="677" spans="1:7" ht="12.75" x14ac:dyDescent="0.2">
      <c r="A677" s="3">
        <v>87</v>
      </c>
      <c r="B677" s="3" t="s">
        <v>107</v>
      </c>
      <c r="C677" s="3" t="s">
        <v>13</v>
      </c>
      <c r="D677" s="3" t="s">
        <v>3</v>
      </c>
      <c r="E677" s="3">
        <v>425</v>
      </c>
      <c r="G677" s="13"/>
    </row>
    <row r="678" spans="1:7" ht="12.75" x14ac:dyDescent="0.2">
      <c r="A678" s="3">
        <v>87</v>
      </c>
      <c r="B678" s="3" t="s">
        <v>107</v>
      </c>
      <c r="C678" s="3" t="s">
        <v>13</v>
      </c>
      <c r="D678" s="3" t="s">
        <v>132</v>
      </c>
      <c r="E678" s="3">
        <v>301</v>
      </c>
      <c r="G678" s="13"/>
    </row>
    <row r="679" spans="1:7" ht="12.75" x14ac:dyDescent="0.2">
      <c r="A679" s="3">
        <v>87</v>
      </c>
      <c r="B679" s="3" t="s">
        <v>107</v>
      </c>
      <c r="C679" s="3" t="s">
        <v>13</v>
      </c>
      <c r="D679" s="3" t="s">
        <v>338</v>
      </c>
      <c r="E679" s="3">
        <v>61</v>
      </c>
      <c r="G679" s="13"/>
    </row>
    <row r="680" spans="1:7" ht="12.75" x14ac:dyDescent="0.2">
      <c r="A680" s="3">
        <v>87</v>
      </c>
      <c r="B680" s="3" t="s">
        <v>107</v>
      </c>
      <c r="C680" s="3" t="s">
        <v>13</v>
      </c>
      <c r="D680" s="3" t="s">
        <v>14</v>
      </c>
      <c r="E680" s="3">
        <v>66</v>
      </c>
      <c r="F680">
        <f>SUM(E677:E680)</f>
        <v>853</v>
      </c>
      <c r="G680" s="13"/>
    </row>
    <row r="681" spans="1:7" ht="12.75" x14ac:dyDescent="0.2">
      <c r="A681" s="3">
        <v>88</v>
      </c>
      <c r="B681" s="3" t="s">
        <v>108</v>
      </c>
      <c r="C681" s="3" t="s">
        <v>2</v>
      </c>
      <c r="D681" s="3" t="s">
        <v>3</v>
      </c>
      <c r="E681" s="3">
        <v>177</v>
      </c>
      <c r="G681" s="13"/>
    </row>
    <row r="682" spans="1:7" ht="12.75" x14ac:dyDescent="0.2">
      <c r="A682" s="3">
        <v>88</v>
      </c>
      <c r="B682" s="3" t="s">
        <v>108</v>
      </c>
      <c r="C682" s="3" t="s">
        <v>2</v>
      </c>
      <c r="D682" s="3" t="s">
        <v>132</v>
      </c>
      <c r="E682" s="3">
        <v>288</v>
      </c>
      <c r="G682" s="13"/>
    </row>
    <row r="683" spans="1:7" ht="12.75" x14ac:dyDescent="0.2">
      <c r="A683" s="3">
        <v>88</v>
      </c>
      <c r="B683" s="3" t="s">
        <v>108</v>
      </c>
      <c r="C683" s="3" t="s">
        <v>2</v>
      </c>
      <c r="D683" s="3" t="s">
        <v>14</v>
      </c>
      <c r="E683" s="3">
        <v>20</v>
      </c>
      <c r="F683">
        <f>SUM(E681:E683)</f>
        <v>485</v>
      </c>
      <c r="G683" s="13"/>
    </row>
    <row r="684" spans="1:7" ht="12.75" x14ac:dyDescent="0.2">
      <c r="A684" s="3">
        <v>88</v>
      </c>
      <c r="B684" s="3" t="s">
        <v>108</v>
      </c>
      <c r="C684" s="3" t="s">
        <v>10</v>
      </c>
      <c r="D684" s="3" t="s">
        <v>3</v>
      </c>
      <c r="E684" s="3">
        <v>197</v>
      </c>
      <c r="G684" s="13"/>
    </row>
    <row r="685" spans="1:7" ht="12.75" x14ac:dyDescent="0.2">
      <c r="A685" s="3">
        <v>88</v>
      </c>
      <c r="B685" s="3" t="s">
        <v>108</v>
      </c>
      <c r="C685" s="3" t="s">
        <v>10</v>
      </c>
      <c r="D685" s="3" t="s">
        <v>132</v>
      </c>
      <c r="E685" s="3">
        <v>234</v>
      </c>
      <c r="G685" s="13"/>
    </row>
    <row r="686" spans="1:7" ht="12.75" x14ac:dyDescent="0.2">
      <c r="A686" s="3">
        <v>88</v>
      </c>
      <c r="B686" s="3" t="s">
        <v>108</v>
      </c>
      <c r="C686" s="3" t="s">
        <v>10</v>
      </c>
      <c r="D686" s="3" t="s">
        <v>14</v>
      </c>
      <c r="E686" s="3">
        <v>54</v>
      </c>
      <c r="F686">
        <f>SUM(E684:E686)</f>
        <v>485</v>
      </c>
      <c r="G686" s="13"/>
    </row>
    <row r="687" spans="1:7" ht="12.75" x14ac:dyDescent="0.2">
      <c r="A687" s="3">
        <v>88</v>
      </c>
      <c r="B687" s="3" t="s">
        <v>108</v>
      </c>
      <c r="C687" s="3" t="s">
        <v>13</v>
      </c>
      <c r="D687" s="3" t="s">
        <v>3</v>
      </c>
      <c r="E687" s="3">
        <v>219</v>
      </c>
      <c r="G687" s="13"/>
    </row>
    <row r="688" spans="1:7" ht="12.75" x14ac:dyDescent="0.2">
      <c r="A688" s="3">
        <v>88</v>
      </c>
      <c r="B688" s="3" t="s">
        <v>108</v>
      </c>
      <c r="C688" s="3" t="s">
        <v>13</v>
      </c>
      <c r="D688" s="3" t="s">
        <v>132</v>
      </c>
      <c r="E688" s="3">
        <v>226</v>
      </c>
      <c r="G688" s="13"/>
    </row>
    <row r="689" spans="1:7" ht="12.75" x14ac:dyDescent="0.2">
      <c r="A689" s="3">
        <v>88</v>
      </c>
      <c r="B689" s="3" t="s">
        <v>108</v>
      </c>
      <c r="C689" s="3" t="s">
        <v>13</v>
      </c>
      <c r="D689" s="3" t="s">
        <v>14</v>
      </c>
      <c r="E689" s="3">
        <v>40</v>
      </c>
      <c r="F689">
        <f>SUM(E687:E689)</f>
        <v>485</v>
      </c>
      <c r="G689" s="13"/>
    </row>
    <row r="690" spans="1:7" ht="12.75" x14ac:dyDescent="0.2">
      <c r="A690" s="3">
        <v>89</v>
      </c>
      <c r="B690" s="3" t="s">
        <v>109</v>
      </c>
      <c r="C690" s="3" t="s">
        <v>2</v>
      </c>
      <c r="D690" s="3" t="s">
        <v>3</v>
      </c>
      <c r="E690" s="3">
        <v>1239</v>
      </c>
      <c r="G690" s="13"/>
    </row>
    <row r="691" spans="1:7" ht="12.75" x14ac:dyDescent="0.2">
      <c r="A691" s="3">
        <v>89</v>
      </c>
      <c r="B691" s="3" t="s">
        <v>109</v>
      </c>
      <c r="C691" s="3" t="s">
        <v>2</v>
      </c>
      <c r="D691" s="3" t="s">
        <v>132</v>
      </c>
      <c r="E691" s="3">
        <v>952</v>
      </c>
      <c r="G691" s="13"/>
    </row>
    <row r="692" spans="1:7" ht="12.75" x14ac:dyDescent="0.2">
      <c r="A692" s="3">
        <v>89</v>
      </c>
      <c r="B692" s="3" t="s">
        <v>109</v>
      </c>
      <c r="C692" s="3" t="s">
        <v>2</v>
      </c>
      <c r="D692" s="3" t="s">
        <v>14</v>
      </c>
      <c r="E692" s="3">
        <v>235</v>
      </c>
      <c r="F692">
        <f>SUM(E690:E692)</f>
        <v>2426</v>
      </c>
      <c r="G692" s="13"/>
    </row>
    <row r="693" spans="1:7" ht="12.75" x14ac:dyDescent="0.2">
      <c r="A693" s="3">
        <v>89</v>
      </c>
      <c r="B693" s="3" t="s">
        <v>109</v>
      </c>
      <c r="C693" s="3" t="s">
        <v>10</v>
      </c>
      <c r="D693" s="3" t="s">
        <v>3</v>
      </c>
      <c r="E693" s="3">
        <v>1191</v>
      </c>
      <c r="G693" s="13"/>
    </row>
    <row r="694" spans="1:7" ht="12.75" x14ac:dyDescent="0.2">
      <c r="A694" s="3">
        <v>89</v>
      </c>
      <c r="B694" s="3" t="s">
        <v>109</v>
      </c>
      <c r="C694" s="3" t="s">
        <v>10</v>
      </c>
      <c r="D694" s="3" t="s">
        <v>132</v>
      </c>
      <c r="E694" s="3">
        <v>964</v>
      </c>
      <c r="G694" s="13"/>
    </row>
    <row r="695" spans="1:7" ht="12.75" x14ac:dyDescent="0.2">
      <c r="A695" s="3">
        <v>89</v>
      </c>
      <c r="B695" s="3" t="s">
        <v>109</v>
      </c>
      <c r="C695" s="3" t="s">
        <v>10</v>
      </c>
      <c r="D695" s="3" t="s">
        <v>14</v>
      </c>
      <c r="E695" s="3">
        <v>273</v>
      </c>
      <c r="F695">
        <f>SUM(E693:E695)</f>
        <v>2428</v>
      </c>
      <c r="G695" s="13"/>
    </row>
    <row r="696" spans="1:7" ht="12.75" x14ac:dyDescent="0.2">
      <c r="A696" s="3">
        <v>89</v>
      </c>
      <c r="B696" s="3" t="s">
        <v>109</v>
      </c>
      <c r="C696" s="3" t="s">
        <v>13</v>
      </c>
      <c r="D696" s="3" t="s">
        <v>3</v>
      </c>
      <c r="E696" s="3">
        <v>1174</v>
      </c>
      <c r="G696" s="13"/>
    </row>
    <row r="697" spans="1:7" ht="12.75" x14ac:dyDescent="0.2">
      <c r="A697" s="3">
        <v>89</v>
      </c>
      <c r="B697" s="3" t="s">
        <v>109</v>
      </c>
      <c r="C697" s="3" t="s">
        <v>13</v>
      </c>
      <c r="D697" s="3" t="s">
        <v>132</v>
      </c>
      <c r="E697" s="3">
        <v>983</v>
      </c>
      <c r="G697" s="13"/>
    </row>
    <row r="698" spans="1:7" ht="12.75" x14ac:dyDescent="0.2">
      <c r="A698" s="3">
        <v>89</v>
      </c>
      <c r="B698" s="3" t="s">
        <v>109</v>
      </c>
      <c r="C698" s="3" t="s">
        <v>13</v>
      </c>
      <c r="D698" s="3" t="s">
        <v>14</v>
      </c>
      <c r="E698" s="3">
        <v>268</v>
      </c>
      <c r="F698">
        <f>SUM(E696:E698)</f>
        <v>2425</v>
      </c>
      <c r="G698" s="13"/>
    </row>
    <row r="699" spans="1:7" ht="12.75" x14ac:dyDescent="0.2">
      <c r="A699" s="3">
        <v>90</v>
      </c>
      <c r="B699" s="3" t="s">
        <v>110</v>
      </c>
      <c r="C699" s="3" t="s">
        <v>2</v>
      </c>
      <c r="D699" s="3" t="s">
        <v>3</v>
      </c>
      <c r="E699" s="3">
        <v>217</v>
      </c>
      <c r="G699" s="13"/>
    </row>
    <row r="700" spans="1:7" ht="12.75" x14ac:dyDescent="0.2">
      <c r="A700" s="3">
        <v>90</v>
      </c>
      <c r="B700" s="3" t="s">
        <v>110</v>
      </c>
      <c r="C700" s="3" t="s">
        <v>2</v>
      </c>
      <c r="D700" s="3" t="s">
        <v>132</v>
      </c>
      <c r="E700" s="3">
        <v>137</v>
      </c>
      <c r="G700" s="13"/>
    </row>
    <row r="701" spans="1:7" ht="12.75" x14ac:dyDescent="0.2">
      <c r="A701" s="3">
        <v>90</v>
      </c>
      <c r="B701" s="3" t="s">
        <v>110</v>
      </c>
      <c r="C701" s="3" t="s">
        <v>2</v>
      </c>
      <c r="D701" s="3" t="s">
        <v>338</v>
      </c>
      <c r="E701" s="3">
        <v>207</v>
      </c>
      <c r="G701" s="13"/>
    </row>
    <row r="702" spans="1:7" ht="12.75" x14ac:dyDescent="0.2">
      <c r="A702" s="3">
        <v>90</v>
      </c>
      <c r="B702" s="3" t="s">
        <v>110</v>
      </c>
      <c r="C702" s="3" t="s">
        <v>2</v>
      </c>
      <c r="D702" s="3" t="s">
        <v>14</v>
      </c>
      <c r="E702" s="3">
        <v>22</v>
      </c>
      <c r="F702">
        <f>SUM(E699:E702)</f>
        <v>583</v>
      </c>
      <c r="G702" s="13"/>
    </row>
    <row r="703" spans="1:7" ht="12.75" x14ac:dyDescent="0.2">
      <c r="A703" s="3">
        <v>90</v>
      </c>
      <c r="B703" s="3" t="s">
        <v>110</v>
      </c>
      <c r="C703" s="3" t="s">
        <v>10</v>
      </c>
      <c r="D703" s="3" t="s">
        <v>3</v>
      </c>
      <c r="E703" s="3">
        <v>203</v>
      </c>
      <c r="G703" s="13"/>
    </row>
    <row r="704" spans="1:7" ht="12.75" x14ac:dyDescent="0.2">
      <c r="A704" s="3">
        <v>90</v>
      </c>
      <c r="B704" s="3" t="s">
        <v>110</v>
      </c>
      <c r="C704" s="3" t="s">
        <v>10</v>
      </c>
      <c r="D704" s="3" t="s">
        <v>132</v>
      </c>
      <c r="E704" s="3">
        <v>138</v>
      </c>
      <c r="G704" s="13"/>
    </row>
    <row r="705" spans="1:7" ht="12.75" x14ac:dyDescent="0.2">
      <c r="A705" s="3">
        <v>90</v>
      </c>
      <c r="B705" s="3" t="s">
        <v>110</v>
      </c>
      <c r="C705" s="3" t="s">
        <v>10</v>
      </c>
      <c r="D705" s="3" t="s">
        <v>338</v>
      </c>
      <c r="E705" s="3">
        <v>196</v>
      </c>
      <c r="G705" s="13"/>
    </row>
    <row r="706" spans="1:7" ht="12.75" x14ac:dyDescent="0.2">
      <c r="A706" s="3">
        <v>90</v>
      </c>
      <c r="B706" s="3" t="s">
        <v>110</v>
      </c>
      <c r="C706" s="3" t="s">
        <v>10</v>
      </c>
      <c r="D706" s="3" t="s">
        <v>14</v>
      </c>
      <c r="E706" s="3">
        <v>46</v>
      </c>
      <c r="F706">
        <f>SUM(E703:E706)</f>
        <v>583</v>
      </c>
      <c r="G706" s="13"/>
    </row>
    <row r="707" spans="1:7" ht="12.75" x14ac:dyDescent="0.2">
      <c r="A707" s="3">
        <v>90</v>
      </c>
      <c r="B707" s="3" t="s">
        <v>110</v>
      </c>
      <c r="C707" s="3" t="s">
        <v>13</v>
      </c>
      <c r="D707" s="3" t="s">
        <v>3</v>
      </c>
      <c r="E707" s="3">
        <v>160</v>
      </c>
      <c r="G707" s="13"/>
    </row>
    <row r="708" spans="1:7" ht="12.75" x14ac:dyDescent="0.2">
      <c r="A708" s="3">
        <v>90</v>
      </c>
      <c r="B708" s="3" t="s">
        <v>110</v>
      </c>
      <c r="C708" s="3" t="s">
        <v>13</v>
      </c>
      <c r="D708" s="3" t="s">
        <v>132</v>
      </c>
      <c r="E708" s="3">
        <v>187</v>
      </c>
      <c r="G708" s="13"/>
    </row>
    <row r="709" spans="1:7" ht="12.75" x14ac:dyDescent="0.2">
      <c r="A709" s="3">
        <v>90</v>
      </c>
      <c r="B709" s="3" t="s">
        <v>110</v>
      </c>
      <c r="C709" s="3" t="s">
        <v>13</v>
      </c>
      <c r="D709" s="3" t="s">
        <v>338</v>
      </c>
      <c r="E709" s="3">
        <v>184</v>
      </c>
      <c r="G709" s="13"/>
    </row>
    <row r="710" spans="1:7" ht="12.75" x14ac:dyDescent="0.2">
      <c r="A710" s="3">
        <v>90</v>
      </c>
      <c r="B710" s="3" t="s">
        <v>110</v>
      </c>
      <c r="C710" s="3" t="s">
        <v>13</v>
      </c>
      <c r="D710" s="3" t="s">
        <v>14</v>
      </c>
      <c r="E710" s="3">
        <v>52</v>
      </c>
      <c r="F710">
        <f>SUM(E707:E710)</f>
        <v>583</v>
      </c>
      <c r="G710" s="13"/>
    </row>
    <row r="711" spans="1:7" ht="12.75" x14ac:dyDescent="0.2">
      <c r="A711" s="3">
        <v>91</v>
      </c>
      <c r="B711" s="3" t="s">
        <v>111</v>
      </c>
      <c r="C711" s="3" t="s">
        <v>15</v>
      </c>
      <c r="D711" s="3" t="s">
        <v>3</v>
      </c>
      <c r="E711" s="3">
        <v>138</v>
      </c>
      <c r="G711" s="13"/>
    </row>
    <row r="712" spans="1:7" ht="12.75" x14ac:dyDescent="0.2">
      <c r="A712" s="3">
        <v>91</v>
      </c>
      <c r="B712" s="3" t="s">
        <v>111</v>
      </c>
      <c r="C712" s="3" t="s">
        <v>15</v>
      </c>
      <c r="D712" s="3" t="s">
        <v>14</v>
      </c>
      <c r="E712" s="3">
        <v>132</v>
      </c>
      <c r="F712">
        <f>SUM(E711:E712)</f>
        <v>270</v>
      </c>
      <c r="G712" s="13"/>
    </row>
    <row r="713" spans="1:7" ht="12.75" x14ac:dyDescent="0.2">
      <c r="A713" s="3">
        <v>91</v>
      </c>
      <c r="B713" s="3" t="s">
        <v>111</v>
      </c>
      <c r="C713" s="3" t="s">
        <v>17</v>
      </c>
      <c r="D713" s="3" t="s">
        <v>3</v>
      </c>
      <c r="E713" s="3">
        <v>131</v>
      </c>
      <c r="G713" s="13"/>
    </row>
    <row r="714" spans="1:7" ht="12.75" x14ac:dyDescent="0.2">
      <c r="A714" s="3">
        <v>91</v>
      </c>
      <c r="B714" s="3" t="s">
        <v>111</v>
      </c>
      <c r="C714" s="3" t="s">
        <v>17</v>
      </c>
      <c r="D714" s="3" t="s">
        <v>14</v>
      </c>
      <c r="E714" s="3">
        <v>139</v>
      </c>
      <c r="F714">
        <f>SUM(E713:E714)</f>
        <v>270</v>
      </c>
      <c r="G714" s="13"/>
    </row>
    <row r="715" spans="1:7" ht="12.75" x14ac:dyDescent="0.2">
      <c r="A715" s="3">
        <v>91</v>
      </c>
      <c r="B715" s="3" t="s">
        <v>111</v>
      </c>
      <c r="C715" s="3" t="s">
        <v>13</v>
      </c>
      <c r="D715" s="3" t="s">
        <v>3</v>
      </c>
      <c r="E715" s="3">
        <v>131</v>
      </c>
      <c r="G715" s="13"/>
    </row>
    <row r="716" spans="1:7" ht="12.75" x14ac:dyDescent="0.2">
      <c r="A716" s="3">
        <v>91</v>
      </c>
      <c r="B716" s="3" t="s">
        <v>111</v>
      </c>
      <c r="C716" s="3" t="s">
        <v>13</v>
      </c>
      <c r="D716" s="3" t="s">
        <v>132</v>
      </c>
      <c r="E716" s="3">
        <v>112</v>
      </c>
      <c r="G716" s="13"/>
    </row>
    <row r="717" spans="1:7" ht="12.75" x14ac:dyDescent="0.2">
      <c r="A717" s="3">
        <v>91</v>
      </c>
      <c r="B717" s="3" t="s">
        <v>111</v>
      </c>
      <c r="C717" s="3" t="s">
        <v>13</v>
      </c>
      <c r="D717" s="3" t="s">
        <v>14</v>
      </c>
      <c r="E717" s="3">
        <v>23</v>
      </c>
      <c r="F717">
        <f>SUM(E715:E717)</f>
        <v>266</v>
      </c>
      <c r="G717" s="13"/>
    </row>
    <row r="718" spans="1:7" ht="12.75" x14ac:dyDescent="0.2">
      <c r="A718" s="3">
        <v>92</v>
      </c>
      <c r="B718" s="3" t="s">
        <v>112</v>
      </c>
      <c r="C718" s="3" t="s">
        <v>15</v>
      </c>
      <c r="D718" s="3" t="s">
        <v>3</v>
      </c>
      <c r="E718" s="3">
        <v>130</v>
      </c>
      <c r="G718" s="13"/>
    </row>
    <row r="719" spans="1:7" ht="12.75" x14ac:dyDescent="0.2">
      <c r="A719" s="3">
        <v>92</v>
      </c>
      <c r="B719" s="3" t="s">
        <v>112</v>
      </c>
      <c r="C719" s="3" t="s">
        <v>15</v>
      </c>
      <c r="D719" s="3" t="s">
        <v>132</v>
      </c>
      <c r="E719" s="3">
        <v>89</v>
      </c>
      <c r="G719" s="13"/>
    </row>
    <row r="720" spans="1:7" ht="12.75" x14ac:dyDescent="0.2">
      <c r="A720" s="3">
        <v>92</v>
      </c>
      <c r="B720" s="3" t="s">
        <v>112</v>
      </c>
      <c r="C720" s="3" t="s">
        <v>15</v>
      </c>
      <c r="D720" s="3" t="s">
        <v>338</v>
      </c>
      <c r="E720" s="3">
        <v>2</v>
      </c>
      <c r="G720" s="13"/>
    </row>
    <row r="721" spans="1:7" ht="12.75" x14ac:dyDescent="0.2">
      <c r="A721" s="3">
        <v>92</v>
      </c>
      <c r="B721" s="3" t="s">
        <v>112</v>
      </c>
      <c r="C721" s="3" t="s">
        <v>15</v>
      </c>
      <c r="D721" s="3" t="s">
        <v>14</v>
      </c>
      <c r="E721" s="3">
        <v>2</v>
      </c>
      <c r="F721">
        <f>SUM(E718:E721)</f>
        <v>223</v>
      </c>
      <c r="G721" s="13"/>
    </row>
    <row r="722" spans="1:7" ht="12.75" x14ac:dyDescent="0.2">
      <c r="A722" s="3">
        <v>92</v>
      </c>
      <c r="B722" s="3" t="s">
        <v>112</v>
      </c>
      <c r="C722" s="3" t="s">
        <v>17</v>
      </c>
      <c r="D722" s="3" t="s">
        <v>3</v>
      </c>
      <c r="E722" s="3">
        <v>129</v>
      </c>
      <c r="G722" s="13"/>
    </row>
    <row r="723" spans="1:7" ht="12.75" x14ac:dyDescent="0.2">
      <c r="A723" s="3">
        <v>92</v>
      </c>
      <c r="B723" s="3" t="s">
        <v>112</v>
      </c>
      <c r="C723" s="3" t="s">
        <v>17</v>
      </c>
      <c r="D723" s="3" t="s">
        <v>132</v>
      </c>
      <c r="E723" s="3">
        <v>59</v>
      </c>
      <c r="G723" s="13"/>
    </row>
    <row r="724" spans="1:7" ht="12.75" x14ac:dyDescent="0.2">
      <c r="A724" s="3">
        <v>92</v>
      </c>
      <c r="B724" s="3" t="s">
        <v>112</v>
      </c>
      <c r="C724" s="3" t="s">
        <v>17</v>
      </c>
      <c r="D724" s="3" t="s">
        <v>338</v>
      </c>
      <c r="E724" s="3">
        <v>13</v>
      </c>
      <c r="G724" s="13"/>
    </row>
    <row r="725" spans="1:7" ht="12.75" x14ac:dyDescent="0.2">
      <c r="A725" s="3">
        <v>92</v>
      </c>
      <c r="B725" s="3" t="s">
        <v>112</v>
      </c>
      <c r="C725" s="3" t="s">
        <v>17</v>
      </c>
      <c r="D725" s="3" t="s">
        <v>14</v>
      </c>
      <c r="E725" s="3">
        <v>22</v>
      </c>
      <c r="F725">
        <f>SUM(E722:E725)</f>
        <v>223</v>
      </c>
      <c r="G725" s="13"/>
    </row>
    <row r="726" spans="1:7" ht="12.75" x14ac:dyDescent="0.2">
      <c r="A726" s="3">
        <v>92</v>
      </c>
      <c r="B726" s="3" t="s">
        <v>112</v>
      </c>
      <c r="C726" s="3" t="s">
        <v>13</v>
      </c>
      <c r="D726" s="3" t="s">
        <v>3</v>
      </c>
      <c r="E726" s="3">
        <v>87</v>
      </c>
      <c r="G726" s="13"/>
    </row>
    <row r="727" spans="1:7" ht="12.75" x14ac:dyDescent="0.2">
      <c r="A727" s="3">
        <v>92</v>
      </c>
      <c r="B727" s="3" t="s">
        <v>112</v>
      </c>
      <c r="C727" s="3" t="s">
        <v>13</v>
      </c>
      <c r="D727" s="3" t="s">
        <v>132</v>
      </c>
      <c r="E727" s="3">
        <v>67</v>
      </c>
      <c r="G727" s="13"/>
    </row>
    <row r="728" spans="1:7" ht="12.75" x14ac:dyDescent="0.2">
      <c r="A728" s="3">
        <v>92</v>
      </c>
      <c r="B728" s="3" t="s">
        <v>112</v>
      </c>
      <c r="C728" s="3" t="s">
        <v>13</v>
      </c>
      <c r="D728" s="3" t="s">
        <v>338</v>
      </c>
      <c r="E728" s="3">
        <v>58</v>
      </c>
      <c r="G728" s="13"/>
    </row>
    <row r="729" spans="1:7" ht="12.75" x14ac:dyDescent="0.2">
      <c r="A729" s="3">
        <v>92</v>
      </c>
      <c r="B729" s="3" t="s">
        <v>112</v>
      </c>
      <c r="C729" s="3" t="s">
        <v>13</v>
      </c>
      <c r="D729" s="3" t="s">
        <v>14</v>
      </c>
      <c r="E729" s="3">
        <v>11</v>
      </c>
      <c r="F729">
        <f>SUM(E726:E729)</f>
        <v>223</v>
      </c>
      <c r="G729" s="13"/>
    </row>
    <row r="730" spans="1:7" ht="12.75" x14ac:dyDescent="0.2">
      <c r="A730" s="3">
        <v>93</v>
      </c>
      <c r="B730" s="3" t="s">
        <v>113</v>
      </c>
      <c r="C730" s="3" t="s">
        <v>2</v>
      </c>
      <c r="D730" s="3" t="s">
        <v>3</v>
      </c>
      <c r="E730" s="3">
        <v>2207</v>
      </c>
      <c r="G730" s="13"/>
    </row>
    <row r="731" spans="1:7" ht="12.75" x14ac:dyDescent="0.2">
      <c r="A731" s="3">
        <v>93</v>
      </c>
      <c r="B731" s="3" t="s">
        <v>113</v>
      </c>
      <c r="C731" s="3" t="s">
        <v>2</v>
      </c>
      <c r="D731" s="3" t="s">
        <v>132</v>
      </c>
      <c r="E731" s="3">
        <v>657</v>
      </c>
      <c r="G731" s="13"/>
    </row>
    <row r="732" spans="1:7" ht="12.75" x14ac:dyDescent="0.2">
      <c r="A732" s="3">
        <v>93</v>
      </c>
      <c r="B732" s="3" t="s">
        <v>113</v>
      </c>
      <c r="C732" s="3" t="s">
        <v>2</v>
      </c>
      <c r="D732" s="3" t="s">
        <v>338</v>
      </c>
      <c r="E732" s="3">
        <v>763</v>
      </c>
      <c r="G732" s="56">
        <v>8318</v>
      </c>
    </row>
    <row r="733" spans="1:7" ht="12.75" x14ac:dyDescent="0.2">
      <c r="A733" s="3">
        <v>93</v>
      </c>
      <c r="B733" s="3" t="s">
        <v>113</v>
      </c>
      <c r="C733" s="3" t="s">
        <v>2</v>
      </c>
      <c r="D733" s="3" t="s">
        <v>313</v>
      </c>
      <c r="E733" s="3">
        <v>3880</v>
      </c>
      <c r="G733" s="57"/>
    </row>
    <row r="734" spans="1:7" ht="12.75" x14ac:dyDescent="0.2">
      <c r="A734" s="3">
        <v>93</v>
      </c>
      <c r="B734" s="3" t="s">
        <v>113</v>
      </c>
      <c r="C734" s="3" t="s">
        <v>2</v>
      </c>
      <c r="D734" s="3" t="s">
        <v>14</v>
      </c>
      <c r="E734" s="3">
        <v>768</v>
      </c>
      <c r="F734">
        <f>SUM(E730:E734)</f>
        <v>8275</v>
      </c>
      <c r="G734" s="57"/>
    </row>
    <row r="735" spans="1:7" ht="12.75" x14ac:dyDescent="0.2">
      <c r="A735" s="3">
        <v>93</v>
      </c>
      <c r="B735" s="3" t="s">
        <v>113</v>
      </c>
      <c r="C735" s="3" t="s">
        <v>10</v>
      </c>
      <c r="D735" s="3" t="s">
        <v>3</v>
      </c>
      <c r="E735" s="3">
        <v>2051</v>
      </c>
      <c r="G735" s="57"/>
    </row>
    <row r="736" spans="1:7" ht="12.75" x14ac:dyDescent="0.2">
      <c r="A736" s="3">
        <v>93</v>
      </c>
      <c r="B736" s="3" t="s">
        <v>113</v>
      </c>
      <c r="C736" s="3" t="s">
        <v>10</v>
      </c>
      <c r="D736" s="3" t="s">
        <v>132</v>
      </c>
      <c r="E736" s="3">
        <v>807</v>
      </c>
      <c r="G736" s="57"/>
    </row>
    <row r="737" spans="1:7" ht="12.75" x14ac:dyDescent="0.2">
      <c r="A737" s="3">
        <v>93</v>
      </c>
      <c r="B737" s="3" t="s">
        <v>113</v>
      </c>
      <c r="C737" s="3" t="s">
        <v>10</v>
      </c>
      <c r="D737" s="3" t="s">
        <v>338</v>
      </c>
      <c r="E737" s="3">
        <v>986</v>
      </c>
      <c r="G737" s="57"/>
    </row>
    <row r="738" spans="1:7" ht="12.75" x14ac:dyDescent="0.2">
      <c r="A738" s="3">
        <v>93</v>
      </c>
      <c r="B738" s="3" t="s">
        <v>113</v>
      </c>
      <c r="C738" s="3" t="s">
        <v>10</v>
      </c>
      <c r="D738" s="3" t="s">
        <v>313</v>
      </c>
      <c r="E738" s="3">
        <v>3122</v>
      </c>
      <c r="G738" s="57"/>
    </row>
    <row r="739" spans="1:7" ht="12.75" x14ac:dyDescent="0.2">
      <c r="A739" s="3">
        <v>93</v>
      </c>
      <c r="B739" s="3" t="s">
        <v>113</v>
      </c>
      <c r="C739" s="3" t="s">
        <v>10</v>
      </c>
      <c r="D739" s="3" t="s">
        <v>14</v>
      </c>
      <c r="E739" s="3">
        <v>1306</v>
      </c>
      <c r="F739">
        <f>SUM(E735:E739)</f>
        <v>8272</v>
      </c>
      <c r="G739" s="57"/>
    </row>
    <row r="740" spans="1:7" ht="12.75" x14ac:dyDescent="0.2">
      <c r="A740" s="3">
        <v>93</v>
      </c>
      <c r="B740" s="3" t="s">
        <v>113</v>
      </c>
      <c r="C740" s="3" t="s">
        <v>13</v>
      </c>
      <c r="D740" s="3" t="s">
        <v>3</v>
      </c>
      <c r="E740" s="3">
        <v>2107</v>
      </c>
      <c r="G740" s="57"/>
    </row>
    <row r="741" spans="1:7" ht="12.75" x14ac:dyDescent="0.2">
      <c r="A741" s="3">
        <v>93</v>
      </c>
      <c r="B741" s="3" t="s">
        <v>113</v>
      </c>
      <c r="C741" s="3" t="s">
        <v>13</v>
      </c>
      <c r="D741" s="3" t="s">
        <v>132</v>
      </c>
      <c r="E741" s="3">
        <v>891</v>
      </c>
      <c r="G741" s="57"/>
    </row>
    <row r="742" spans="1:7" ht="12.75" x14ac:dyDescent="0.2">
      <c r="A742" s="3">
        <v>93</v>
      </c>
      <c r="B742" s="3" t="s">
        <v>113</v>
      </c>
      <c r="C742" s="3" t="s">
        <v>13</v>
      </c>
      <c r="D742" s="3" t="s">
        <v>338</v>
      </c>
      <c r="E742" s="3">
        <v>837</v>
      </c>
      <c r="G742" s="57"/>
    </row>
    <row r="743" spans="1:7" ht="12.75" x14ac:dyDescent="0.2">
      <c r="A743" s="3">
        <v>93</v>
      </c>
      <c r="B743" s="3" t="s">
        <v>113</v>
      </c>
      <c r="C743" s="3" t="s">
        <v>13</v>
      </c>
      <c r="D743" s="3" t="s">
        <v>313</v>
      </c>
      <c r="E743" s="3">
        <v>2996</v>
      </c>
      <c r="G743" s="57"/>
    </row>
    <row r="744" spans="1:7" ht="12.75" x14ac:dyDescent="0.2">
      <c r="A744" s="3">
        <v>93</v>
      </c>
      <c r="B744" s="3" t="s">
        <v>113</v>
      </c>
      <c r="C744" s="3" t="s">
        <v>13</v>
      </c>
      <c r="D744" s="3" t="s">
        <v>14</v>
      </c>
      <c r="E744" s="3">
        <v>1441</v>
      </c>
      <c r="F744">
        <f>SUM(E740:E744)</f>
        <v>8272</v>
      </c>
      <c r="G744" s="57"/>
    </row>
    <row r="745" spans="1:7" ht="12.75" x14ac:dyDescent="0.2">
      <c r="A745" s="3">
        <v>94</v>
      </c>
      <c r="B745" s="3" t="s">
        <v>114</v>
      </c>
      <c r="C745" s="3" t="s">
        <v>2</v>
      </c>
      <c r="D745" s="3" t="s">
        <v>3</v>
      </c>
      <c r="E745" s="3">
        <v>201</v>
      </c>
      <c r="G745" s="57"/>
    </row>
    <row r="746" spans="1:7" ht="12.75" x14ac:dyDescent="0.2">
      <c r="A746" s="3">
        <v>94</v>
      </c>
      <c r="B746" s="3" t="s">
        <v>114</v>
      </c>
      <c r="C746" s="3" t="s">
        <v>2</v>
      </c>
      <c r="D746" s="3" t="s">
        <v>132</v>
      </c>
      <c r="E746" s="3">
        <v>178</v>
      </c>
      <c r="G746" s="13"/>
    </row>
    <row r="747" spans="1:7" ht="12.75" x14ac:dyDescent="0.2">
      <c r="A747" s="3">
        <v>94</v>
      </c>
      <c r="B747" s="3" t="s">
        <v>114</v>
      </c>
      <c r="C747" s="3" t="s">
        <v>2</v>
      </c>
      <c r="D747" s="3" t="s">
        <v>14</v>
      </c>
      <c r="E747" s="3">
        <v>18</v>
      </c>
      <c r="F747">
        <f>SUM(E745:E747)</f>
        <v>397</v>
      </c>
      <c r="G747" s="13"/>
    </row>
    <row r="748" spans="1:7" ht="12.75" x14ac:dyDescent="0.2">
      <c r="A748" s="3">
        <v>94</v>
      </c>
      <c r="B748" s="3" t="s">
        <v>114</v>
      </c>
      <c r="C748" s="3" t="s">
        <v>10</v>
      </c>
      <c r="D748" s="3" t="s">
        <v>3</v>
      </c>
      <c r="E748" s="3">
        <v>201</v>
      </c>
      <c r="G748" s="13"/>
    </row>
    <row r="749" spans="1:7" ht="12.75" x14ac:dyDescent="0.2">
      <c r="A749" s="3">
        <v>94</v>
      </c>
      <c r="B749" s="3" t="s">
        <v>114</v>
      </c>
      <c r="C749" s="3" t="s">
        <v>10</v>
      </c>
      <c r="D749" s="3" t="s">
        <v>132</v>
      </c>
      <c r="E749" s="3">
        <v>175</v>
      </c>
      <c r="G749" s="13"/>
    </row>
    <row r="750" spans="1:7" ht="12.75" x14ac:dyDescent="0.2">
      <c r="A750" s="3">
        <v>94</v>
      </c>
      <c r="B750" s="3" t="s">
        <v>114</v>
      </c>
      <c r="C750" s="3" t="s">
        <v>10</v>
      </c>
      <c r="D750" s="3" t="s">
        <v>14</v>
      </c>
      <c r="E750" s="3">
        <v>23</v>
      </c>
      <c r="F750">
        <f>SUM(E748:E750)</f>
        <v>399</v>
      </c>
      <c r="G750" s="13"/>
    </row>
    <row r="751" spans="1:7" ht="12.75" x14ac:dyDescent="0.2">
      <c r="A751" s="3">
        <v>94</v>
      </c>
      <c r="B751" s="3" t="s">
        <v>114</v>
      </c>
      <c r="C751" s="3" t="s">
        <v>13</v>
      </c>
      <c r="D751" s="3" t="s">
        <v>3</v>
      </c>
      <c r="E751" s="3">
        <v>193</v>
      </c>
      <c r="G751" s="13"/>
    </row>
    <row r="752" spans="1:7" ht="12.75" x14ac:dyDescent="0.2">
      <c r="A752" s="3">
        <v>94</v>
      </c>
      <c r="B752" s="3" t="s">
        <v>114</v>
      </c>
      <c r="C752" s="3" t="s">
        <v>13</v>
      </c>
      <c r="D752" s="3" t="s">
        <v>132</v>
      </c>
      <c r="E752" s="3">
        <v>187</v>
      </c>
      <c r="G752" s="13"/>
    </row>
    <row r="753" spans="1:7" ht="12.75" x14ac:dyDescent="0.2">
      <c r="A753" s="3">
        <v>94</v>
      </c>
      <c r="B753" s="3" t="s">
        <v>114</v>
      </c>
      <c r="C753" s="3" t="s">
        <v>13</v>
      </c>
      <c r="D753" s="3" t="s">
        <v>14</v>
      </c>
      <c r="E753" s="3">
        <v>20</v>
      </c>
      <c r="F753">
        <f>SUM(E751:E753)</f>
        <v>400</v>
      </c>
      <c r="G753" s="13"/>
    </row>
    <row r="754" spans="1:7" ht="12.75" x14ac:dyDescent="0.2">
      <c r="A754" s="3">
        <v>95</v>
      </c>
      <c r="B754" s="3" t="s">
        <v>115</v>
      </c>
      <c r="C754" s="3" t="s">
        <v>15</v>
      </c>
      <c r="D754" s="3" t="s">
        <v>3</v>
      </c>
      <c r="E754" s="3">
        <v>56</v>
      </c>
      <c r="G754" s="13"/>
    </row>
    <row r="755" spans="1:7" ht="12.75" x14ac:dyDescent="0.2">
      <c r="A755" s="3">
        <v>95</v>
      </c>
      <c r="B755" s="3" t="s">
        <v>115</v>
      </c>
      <c r="C755" s="3" t="s">
        <v>15</v>
      </c>
      <c r="D755" s="3" t="s">
        <v>343</v>
      </c>
      <c r="E755" s="3">
        <v>45</v>
      </c>
      <c r="G755" s="13"/>
    </row>
    <row r="756" spans="1:7" ht="12.75" x14ac:dyDescent="0.2">
      <c r="A756" s="3">
        <v>95</v>
      </c>
      <c r="B756" s="3" t="s">
        <v>115</v>
      </c>
      <c r="C756" s="3" t="s">
        <v>15</v>
      </c>
      <c r="D756" s="3" t="s">
        <v>14</v>
      </c>
      <c r="E756" s="3">
        <v>3</v>
      </c>
      <c r="F756">
        <f>SUM(E754:E756)</f>
        <v>104</v>
      </c>
      <c r="G756" s="13"/>
    </row>
    <row r="757" spans="1:7" ht="12.75" x14ac:dyDescent="0.2">
      <c r="A757" s="3">
        <v>95</v>
      </c>
      <c r="B757" s="3" t="s">
        <v>115</v>
      </c>
      <c r="C757" s="3" t="s">
        <v>17</v>
      </c>
      <c r="D757" s="3" t="s">
        <v>3</v>
      </c>
      <c r="E757" s="3">
        <v>53</v>
      </c>
      <c r="G757" s="13"/>
    </row>
    <row r="758" spans="1:7" ht="12.75" x14ac:dyDescent="0.2">
      <c r="A758" s="3">
        <v>95</v>
      </c>
      <c r="B758" s="3" t="s">
        <v>115</v>
      </c>
      <c r="C758" s="3" t="s">
        <v>17</v>
      </c>
      <c r="D758" s="3" t="s">
        <v>343</v>
      </c>
      <c r="E758" s="3">
        <v>46</v>
      </c>
      <c r="G758" s="13"/>
    </row>
    <row r="759" spans="1:7" ht="12.75" x14ac:dyDescent="0.2">
      <c r="A759" s="3">
        <v>95</v>
      </c>
      <c r="B759" s="3" t="s">
        <v>115</v>
      </c>
      <c r="C759" s="3" t="s">
        <v>17</v>
      </c>
      <c r="D759" s="3" t="s">
        <v>14</v>
      </c>
      <c r="E759" s="3">
        <v>5</v>
      </c>
      <c r="F759">
        <f>SUM(E757:E759)</f>
        <v>104</v>
      </c>
      <c r="G759" s="13"/>
    </row>
    <row r="760" spans="1:7" ht="12.75" x14ac:dyDescent="0.2">
      <c r="B760" s="3" t="s">
        <v>40</v>
      </c>
      <c r="C760" s="3" t="s">
        <v>162</v>
      </c>
      <c r="D760" s="3" t="s">
        <v>3</v>
      </c>
      <c r="E760" s="3">
        <v>23100</v>
      </c>
      <c r="G760" s="13"/>
    </row>
    <row r="761" spans="1:7" ht="12.75" x14ac:dyDescent="0.2">
      <c r="B761" s="3" t="s">
        <v>40</v>
      </c>
      <c r="C761" s="3" t="s">
        <v>162</v>
      </c>
      <c r="D761" s="3" t="s">
        <v>19</v>
      </c>
      <c r="E761" s="3">
        <v>1359</v>
      </c>
      <c r="G761" s="13"/>
    </row>
    <row r="762" spans="1:7" ht="12.75" x14ac:dyDescent="0.2">
      <c r="B762" s="3" t="s">
        <v>40</v>
      </c>
      <c r="C762" s="3" t="s">
        <v>162</v>
      </c>
      <c r="D762" s="3" t="s">
        <v>340</v>
      </c>
      <c r="E762" s="3">
        <v>370</v>
      </c>
      <c r="G762" s="13"/>
    </row>
    <row r="763" spans="1:7" ht="12.75" x14ac:dyDescent="0.2">
      <c r="B763" s="3" t="s">
        <v>40</v>
      </c>
      <c r="C763" s="3" t="s">
        <v>162</v>
      </c>
      <c r="D763" s="3" t="s">
        <v>132</v>
      </c>
      <c r="E763" s="3">
        <v>17889</v>
      </c>
      <c r="G763" s="13"/>
    </row>
    <row r="764" spans="1:7" ht="12.75" x14ac:dyDescent="0.2">
      <c r="B764" s="3" t="s">
        <v>40</v>
      </c>
      <c r="C764" s="3" t="s">
        <v>162</v>
      </c>
      <c r="D764" s="3" t="s">
        <v>339</v>
      </c>
      <c r="E764" s="3">
        <v>3289</v>
      </c>
      <c r="G764" s="13"/>
    </row>
    <row r="765" spans="1:7" ht="12.75" x14ac:dyDescent="0.2">
      <c r="B765" s="3" t="s">
        <v>40</v>
      </c>
      <c r="C765" s="3" t="s">
        <v>162</v>
      </c>
      <c r="D765" s="3" t="s">
        <v>338</v>
      </c>
      <c r="E765" s="3">
        <v>10023</v>
      </c>
      <c r="F765">
        <f>SUM(E760:E765)</f>
        <v>56030</v>
      </c>
      <c r="G765" s="13"/>
    </row>
    <row r="766" spans="1:7" ht="12.75" x14ac:dyDescent="0.2">
      <c r="B766" s="3" t="s">
        <v>40</v>
      </c>
      <c r="C766" s="3" t="s">
        <v>161</v>
      </c>
      <c r="D766" s="3" t="s">
        <v>290</v>
      </c>
      <c r="E766" s="3">
        <v>702</v>
      </c>
      <c r="G766" s="13"/>
    </row>
    <row r="767" spans="1:7" ht="12.75" x14ac:dyDescent="0.2">
      <c r="B767" s="3" t="s">
        <v>40</v>
      </c>
      <c r="C767" s="3" t="s">
        <v>161</v>
      </c>
      <c r="D767" s="3" t="s">
        <v>3</v>
      </c>
      <c r="E767" s="3">
        <v>22069</v>
      </c>
      <c r="G767" s="13"/>
    </row>
    <row r="768" spans="1:7" ht="12.75" x14ac:dyDescent="0.2">
      <c r="B768" s="3" t="s">
        <v>40</v>
      </c>
      <c r="C768" s="3" t="s">
        <v>161</v>
      </c>
      <c r="D768" s="3" t="s">
        <v>274</v>
      </c>
      <c r="E768" s="3">
        <v>577</v>
      </c>
      <c r="G768" s="13"/>
    </row>
    <row r="769" spans="2:7" ht="12.75" x14ac:dyDescent="0.2">
      <c r="B769" s="3" t="s">
        <v>40</v>
      </c>
      <c r="C769" s="3" t="s">
        <v>161</v>
      </c>
      <c r="D769" s="3" t="s">
        <v>19</v>
      </c>
      <c r="E769" s="3">
        <v>1375</v>
      </c>
      <c r="G769" s="13"/>
    </row>
    <row r="770" spans="2:7" ht="12.75" x14ac:dyDescent="0.2">
      <c r="B770" s="3" t="s">
        <v>40</v>
      </c>
      <c r="C770" s="3" t="s">
        <v>161</v>
      </c>
      <c r="D770" s="3" t="s">
        <v>340</v>
      </c>
      <c r="E770" s="3">
        <v>383</v>
      </c>
      <c r="G770" s="13"/>
    </row>
    <row r="771" spans="2:7" ht="12.75" x14ac:dyDescent="0.2">
      <c r="B771" s="3" t="s">
        <v>40</v>
      </c>
      <c r="C771" s="3" t="s">
        <v>161</v>
      </c>
      <c r="D771" s="3" t="s">
        <v>132</v>
      </c>
      <c r="E771" s="3">
        <v>17872</v>
      </c>
      <c r="G771" s="13"/>
    </row>
    <row r="772" spans="2:7" ht="12.75" x14ac:dyDescent="0.2">
      <c r="B772" s="3" t="s">
        <v>40</v>
      </c>
      <c r="C772" s="3" t="s">
        <v>161</v>
      </c>
      <c r="D772" s="3" t="s">
        <v>339</v>
      </c>
      <c r="E772" s="3">
        <v>3293</v>
      </c>
      <c r="G772" s="13"/>
    </row>
    <row r="773" spans="2:7" ht="12.75" x14ac:dyDescent="0.2">
      <c r="B773" s="3" t="s">
        <v>40</v>
      </c>
      <c r="C773" s="3" t="s">
        <v>161</v>
      </c>
      <c r="D773" s="3" t="s">
        <v>338</v>
      </c>
      <c r="E773" s="3">
        <v>7161</v>
      </c>
      <c r="F773">
        <f>SUM(E766:E773)</f>
        <v>53432</v>
      </c>
      <c r="G773" s="13"/>
    </row>
    <row r="774" spans="2:7" ht="12.75" x14ac:dyDescent="0.2">
      <c r="B774" s="3" t="s">
        <v>84</v>
      </c>
      <c r="C774" s="3" t="s">
        <v>162</v>
      </c>
      <c r="D774" s="3" t="s">
        <v>3</v>
      </c>
      <c r="E774" s="3">
        <v>13153</v>
      </c>
      <c r="G774" s="13"/>
    </row>
    <row r="775" spans="2:7" ht="12.75" x14ac:dyDescent="0.2">
      <c r="B775" s="3" t="s">
        <v>84</v>
      </c>
      <c r="C775" s="3" t="s">
        <v>162</v>
      </c>
      <c r="D775" s="3" t="s">
        <v>19</v>
      </c>
      <c r="E775" s="3">
        <v>1681</v>
      </c>
      <c r="G775" s="13"/>
    </row>
    <row r="776" spans="2:7" ht="12.75" x14ac:dyDescent="0.2">
      <c r="B776" s="3" t="s">
        <v>84</v>
      </c>
      <c r="C776" s="3" t="s">
        <v>162</v>
      </c>
      <c r="D776" s="3" t="s">
        <v>340</v>
      </c>
      <c r="E776" s="3">
        <v>194</v>
      </c>
      <c r="G776" s="13"/>
    </row>
    <row r="777" spans="2:7" ht="12.75" x14ac:dyDescent="0.2">
      <c r="B777" s="3" t="s">
        <v>84</v>
      </c>
      <c r="C777" s="3" t="s">
        <v>162</v>
      </c>
      <c r="D777" s="3" t="s">
        <v>132</v>
      </c>
      <c r="E777" s="3">
        <v>5910</v>
      </c>
      <c r="G777" s="13"/>
    </row>
    <row r="778" spans="2:7" ht="12.75" x14ac:dyDescent="0.2">
      <c r="B778" s="3" t="s">
        <v>84</v>
      </c>
      <c r="C778" s="3" t="s">
        <v>162</v>
      </c>
      <c r="D778" s="3" t="s">
        <v>339</v>
      </c>
      <c r="E778" s="3">
        <v>1820</v>
      </c>
      <c r="G778" s="13"/>
    </row>
    <row r="779" spans="2:7" ht="12.75" x14ac:dyDescent="0.2">
      <c r="B779" s="3" t="s">
        <v>84</v>
      </c>
      <c r="C779" s="3" t="s">
        <v>162</v>
      </c>
      <c r="D779" s="3" t="s">
        <v>338</v>
      </c>
      <c r="E779" s="3">
        <v>6612</v>
      </c>
      <c r="F779">
        <f>SUM(E774:E779)</f>
        <v>29370</v>
      </c>
      <c r="G779" s="13"/>
    </row>
    <row r="780" spans="2:7" ht="12.75" x14ac:dyDescent="0.2">
      <c r="B780" s="3" t="s">
        <v>84</v>
      </c>
      <c r="C780" s="3" t="s">
        <v>161</v>
      </c>
      <c r="D780" s="3" t="s">
        <v>290</v>
      </c>
      <c r="E780" s="3">
        <v>669</v>
      </c>
      <c r="G780" s="13"/>
    </row>
    <row r="781" spans="2:7" ht="12.75" x14ac:dyDescent="0.2">
      <c r="B781" s="3" t="s">
        <v>84</v>
      </c>
      <c r="C781" s="3" t="s">
        <v>161</v>
      </c>
      <c r="D781" s="3" t="s">
        <v>3</v>
      </c>
      <c r="E781" s="3">
        <v>13146</v>
      </c>
      <c r="G781" s="13"/>
    </row>
    <row r="782" spans="2:7" ht="12.75" x14ac:dyDescent="0.2">
      <c r="B782" s="3" t="s">
        <v>84</v>
      </c>
      <c r="C782" s="3" t="s">
        <v>161</v>
      </c>
      <c r="D782" s="3" t="s">
        <v>274</v>
      </c>
      <c r="E782" s="3">
        <v>301</v>
      </c>
      <c r="G782" s="13"/>
    </row>
    <row r="783" spans="2:7" ht="12.75" x14ac:dyDescent="0.2">
      <c r="B783" s="3" t="s">
        <v>84</v>
      </c>
      <c r="C783" s="3" t="s">
        <v>161</v>
      </c>
      <c r="D783" s="3" t="s">
        <v>19</v>
      </c>
      <c r="E783" s="3">
        <v>1678</v>
      </c>
      <c r="G783" s="13"/>
    </row>
    <row r="784" spans="2:7" ht="12.75" x14ac:dyDescent="0.2">
      <c r="B784" s="3" t="s">
        <v>84</v>
      </c>
      <c r="C784" s="3" t="s">
        <v>161</v>
      </c>
      <c r="D784" s="3" t="s">
        <v>340</v>
      </c>
      <c r="E784" s="3">
        <v>181</v>
      </c>
      <c r="G784" s="13"/>
    </row>
    <row r="785" spans="2:7" ht="12.75" x14ac:dyDescent="0.2">
      <c r="B785" s="3" t="s">
        <v>84</v>
      </c>
      <c r="C785" s="3" t="s">
        <v>161</v>
      </c>
      <c r="D785" s="3" t="s">
        <v>132</v>
      </c>
      <c r="E785" s="3">
        <v>5652</v>
      </c>
      <c r="G785" s="13"/>
    </row>
    <row r="786" spans="2:7" ht="12.75" x14ac:dyDescent="0.2">
      <c r="B786" s="3" t="s">
        <v>84</v>
      </c>
      <c r="C786" s="3" t="s">
        <v>161</v>
      </c>
      <c r="D786" s="3" t="s">
        <v>339</v>
      </c>
      <c r="E786" s="3">
        <v>1799</v>
      </c>
      <c r="G786" s="13"/>
    </row>
    <row r="787" spans="2:7" ht="12.75" x14ac:dyDescent="0.2">
      <c r="B787" s="3" t="s">
        <v>84</v>
      </c>
      <c r="C787" s="3" t="s">
        <v>161</v>
      </c>
      <c r="D787" s="3" t="s">
        <v>338</v>
      </c>
      <c r="E787" s="3">
        <v>4926</v>
      </c>
      <c r="F787">
        <f>SUM(E780:E787)</f>
        <v>28352</v>
      </c>
      <c r="G787" s="13"/>
    </row>
    <row r="788" spans="2:7" ht="12.75" x14ac:dyDescent="0.2">
      <c r="B788" s="3" t="s">
        <v>113</v>
      </c>
      <c r="C788" s="3" t="s">
        <v>162</v>
      </c>
      <c r="D788" s="3" t="s">
        <v>3</v>
      </c>
      <c r="E788" s="3">
        <v>2354</v>
      </c>
      <c r="G788" s="13"/>
    </row>
    <row r="789" spans="2:7" ht="12.75" x14ac:dyDescent="0.2">
      <c r="B789" s="3" t="s">
        <v>113</v>
      </c>
      <c r="C789" s="3" t="s">
        <v>162</v>
      </c>
      <c r="D789" s="3" t="s">
        <v>19</v>
      </c>
      <c r="E789" s="3">
        <v>134</v>
      </c>
      <c r="G789" s="13"/>
    </row>
    <row r="790" spans="2:7" ht="12.75" x14ac:dyDescent="0.2">
      <c r="B790" s="3" t="s">
        <v>113</v>
      </c>
      <c r="C790" s="3" t="s">
        <v>162</v>
      </c>
      <c r="D790" s="3" t="s">
        <v>340</v>
      </c>
      <c r="E790" s="3">
        <v>40</v>
      </c>
      <c r="G790" s="13"/>
    </row>
    <row r="791" spans="2:7" ht="12.75" x14ac:dyDescent="0.2">
      <c r="B791" s="3" t="s">
        <v>113</v>
      </c>
      <c r="C791" s="3" t="s">
        <v>162</v>
      </c>
      <c r="D791" s="3" t="s">
        <v>132</v>
      </c>
      <c r="E791" s="3">
        <v>1329</v>
      </c>
      <c r="G791" s="13"/>
    </row>
    <row r="792" spans="2:7" ht="12.75" x14ac:dyDescent="0.2">
      <c r="B792" s="3" t="s">
        <v>113</v>
      </c>
      <c r="C792" s="3" t="s">
        <v>162</v>
      </c>
      <c r="D792" s="3" t="s">
        <v>339</v>
      </c>
      <c r="E792" s="3">
        <v>277</v>
      </c>
      <c r="G792" s="13"/>
    </row>
    <row r="793" spans="2:7" ht="12.75" x14ac:dyDescent="0.2">
      <c r="B793" s="3" t="s">
        <v>113</v>
      </c>
      <c r="C793" s="3" t="s">
        <v>162</v>
      </c>
      <c r="D793" s="3" t="s">
        <v>338</v>
      </c>
      <c r="E793" s="3">
        <v>2194</v>
      </c>
      <c r="F793">
        <f>SUM(E788:E793)</f>
        <v>6328</v>
      </c>
      <c r="G793" s="13"/>
    </row>
    <row r="794" spans="2:7" ht="12.75" x14ac:dyDescent="0.2">
      <c r="B794" s="3" t="s">
        <v>113</v>
      </c>
      <c r="C794" s="3" t="s">
        <v>161</v>
      </c>
      <c r="D794" s="3" t="s">
        <v>290</v>
      </c>
      <c r="E794" s="3">
        <v>66</v>
      </c>
      <c r="G794" s="13"/>
    </row>
    <row r="795" spans="2:7" ht="12.75" x14ac:dyDescent="0.2">
      <c r="B795" s="3" t="s">
        <v>113</v>
      </c>
      <c r="C795" s="3" t="s">
        <v>161</v>
      </c>
      <c r="D795" s="3" t="s">
        <v>3</v>
      </c>
      <c r="E795" s="3">
        <v>2200</v>
      </c>
      <c r="G795" s="13"/>
    </row>
    <row r="796" spans="2:7" ht="12.75" x14ac:dyDescent="0.2">
      <c r="B796" s="3" t="s">
        <v>113</v>
      </c>
      <c r="C796" s="3" t="s">
        <v>161</v>
      </c>
      <c r="D796" s="3" t="s">
        <v>274</v>
      </c>
      <c r="E796" s="3">
        <v>50</v>
      </c>
      <c r="G796" s="13"/>
    </row>
    <row r="797" spans="2:7" ht="12.75" x14ac:dyDescent="0.2">
      <c r="B797" s="3" t="s">
        <v>113</v>
      </c>
      <c r="C797" s="3" t="s">
        <v>161</v>
      </c>
      <c r="D797" s="3" t="s">
        <v>19</v>
      </c>
      <c r="E797" s="3">
        <v>126</v>
      </c>
      <c r="G797" s="13"/>
    </row>
    <row r="798" spans="2:7" ht="12.75" x14ac:dyDescent="0.2">
      <c r="B798" s="3" t="s">
        <v>113</v>
      </c>
      <c r="C798" s="3" t="s">
        <v>161</v>
      </c>
      <c r="D798" s="3" t="s">
        <v>340</v>
      </c>
      <c r="E798" s="3">
        <v>43</v>
      </c>
      <c r="G798" s="13"/>
    </row>
    <row r="799" spans="2:7" ht="12.75" x14ac:dyDescent="0.2">
      <c r="B799" s="3" t="s">
        <v>113</v>
      </c>
      <c r="C799" s="3" t="s">
        <v>161</v>
      </c>
      <c r="D799" s="3" t="s">
        <v>132</v>
      </c>
      <c r="E799" s="3">
        <v>1201</v>
      </c>
      <c r="G799" s="13"/>
    </row>
    <row r="800" spans="2:7" ht="12.75" x14ac:dyDescent="0.2">
      <c r="B800" s="3" t="s">
        <v>113</v>
      </c>
      <c r="C800" s="3" t="s">
        <v>161</v>
      </c>
      <c r="D800" s="3" t="s">
        <v>339</v>
      </c>
      <c r="E800" s="3">
        <v>280</v>
      </c>
      <c r="G800" s="13"/>
    </row>
    <row r="801" spans="2:7" ht="12.75" x14ac:dyDescent="0.2">
      <c r="B801" s="3" t="s">
        <v>113</v>
      </c>
      <c r="C801" s="3" t="s">
        <v>161</v>
      </c>
      <c r="D801" s="3" t="s">
        <v>338</v>
      </c>
      <c r="E801" s="3">
        <v>1560</v>
      </c>
      <c r="F801">
        <f>SUM(E794:E801)</f>
        <v>5526</v>
      </c>
      <c r="G801" s="13"/>
    </row>
    <row r="802" spans="2:7" ht="12.75" x14ac:dyDescent="0.2">
      <c r="B802" s="3" t="s">
        <v>106</v>
      </c>
      <c r="C802" s="3" t="s">
        <v>162</v>
      </c>
      <c r="D802" s="3" t="s">
        <v>3</v>
      </c>
      <c r="E802" s="3">
        <v>2882</v>
      </c>
      <c r="G802" s="13"/>
    </row>
    <row r="803" spans="2:7" ht="12.75" x14ac:dyDescent="0.2">
      <c r="B803" s="3" t="s">
        <v>106</v>
      </c>
      <c r="C803" s="3" t="s">
        <v>162</v>
      </c>
      <c r="D803" s="3" t="s">
        <v>19</v>
      </c>
      <c r="E803" s="3">
        <v>148</v>
      </c>
      <c r="G803" s="13"/>
    </row>
    <row r="804" spans="2:7" ht="12.75" x14ac:dyDescent="0.2">
      <c r="B804" s="3" t="s">
        <v>106</v>
      </c>
      <c r="C804" s="3" t="s">
        <v>162</v>
      </c>
      <c r="D804" s="3" t="s">
        <v>340</v>
      </c>
      <c r="E804" s="3">
        <v>44</v>
      </c>
      <c r="G804" s="13"/>
    </row>
    <row r="805" spans="2:7" ht="12.75" x14ac:dyDescent="0.2">
      <c r="B805" s="3" t="s">
        <v>106</v>
      </c>
      <c r="C805" s="3" t="s">
        <v>162</v>
      </c>
      <c r="D805" s="3" t="s">
        <v>132</v>
      </c>
      <c r="E805" s="3">
        <v>1332</v>
      </c>
      <c r="G805" s="13"/>
    </row>
    <row r="806" spans="2:7" ht="12.75" x14ac:dyDescent="0.2">
      <c r="B806" s="3" t="s">
        <v>106</v>
      </c>
      <c r="C806" s="3" t="s">
        <v>162</v>
      </c>
      <c r="D806" s="3" t="s">
        <v>339</v>
      </c>
      <c r="E806" s="3">
        <v>340</v>
      </c>
      <c r="G806" s="13"/>
    </row>
    <row r="807" spans="2:7" ht="12.75" x14ac:dyDescent="0.2">
      <c r="B807" s="3" t="s">
        <v>106</v>
      </c>
      <c r="C807" s="3" t="s">
        <v>162</v>
      </c>
      <c r="D807" s="3" t="s">
        <v>338</v>
      </c>
      <c r="E807" s="3">
        <v>792</v>
      </c>
      <c r="F807">
        <f>SUM(E802:E807)</f>
        <v>5538</v>
      </c>
      <c r="G807" s="13"/>
    </row>
    <row r="808" spans="2:7" ht="12.75" x14ac:dyDescent="0.2">
      <c r="B808" s="3" t="s">
        <v>106</v>
      </c>
      <c r="C808" s="3" t="s">
        <v>161</v>
      </c>
      <c r="D808" s="3" t="s">
        <v>290</v>
      </c>
      <c r="E808" s="3">
        <v>100</v>
      </c>
      <c r="G808" s="13"/>
    </row>
    <row r="809" spans="2:7" ht="12.75" x14ac:dyDescent="0.2">
      <c r="B809" s="3" t="s">
        <v>106</v>
      </c>
      <c r="C809" s="3" t="s">
        <v>161</v>
      </c>
      <c r="D809" s="3" t="s">
        <v>3</v>
      </c>
      <c r="E809" s="3">
        <v>2858</v>
      </c>
      <c r="G809" s="13"/>
    </row>
    <row r="810" spans="2:7" ht="12.75" x14ac:dyDescent="0.2">
      <c r="B810" s="3" t="s">
        <v>106</v>
      </c>
      <c r="C810" s="3" t="s">
        <v>161</v>
      </c>
      <c r="D810" s="3" t="s">
        <v>274</v>
      </c>
      <c r="E810" s="3">
        <v>56</v>
      </c>
      <c r="G810" s="13"/>
    </row>
    <row r="811" spans="2:7" ht="12.75" x14ac:dyDescent="0.2">
      <c r="B811" s="3" t="s">
        <v>106</v>
      </c>
      <c r="C811" s="3" t="s">
        <v>161</v>
      </c>
      <c r="D811" s="3" t="s">
        <v>19</v>
      </c>
      <c r="E811" s="3">
        <v>145</v>
      </c>
      <c r="G811" s="13"/>
    </row>
    <row r="812" spans="2:7" ht="12.75" x14ac:dyDescent="0.2">
      <c r="B812" s="3" t="s">
        <v>106</v>
      </c>
      <c r="C812" s="3" t="s">
        <v>161</v>
      </c>
      <c r="D812" s="3" t="s">
        <v>340</v>
      </c>
      <c r="E812" s="3">
        <v>46</v>
      </c>
      <c r="G812" s="13"/>
    </row>
    <row r="813" spans="2:7" ht="12.75" x14ac:dyDescent="0.2">
      <c r="B813" s="3" t="s">
        <v>106</v>
      </c>
      <c r="C813" s="3" t="s">
        <v>161</v>
      </c>
      <c r="D813" s="3" t="s">
        <v>132</v>
      </c>
      <c r="E813" s="3">
        <v>1243</v>
      </c>
      <c r="G813" s="13"/>
    </row>
    <row r="814" spans="2:7" ht="12.75" x14ac:dyDescent="0.2">
      <c r="B814" s="3" t="s">
        <v>106</v>
      </c>
      <c r="C814" s="3" t="s">
        <v>161</v>
      </c>
      <c r="D814" s="3" t="s">
        <v>339</v>
      </c>
      <c r="E814" s="3">
        <v>356</v>
      </c>
      <c r="G814" s="13"/>
    </row>
    <row r="815" spans="2:7" ht="12.75" x14ac:dyDescent="0.2">
      <c r="B815" s="3" t="s">
        <v>106</v>
      </c>
      <c r="C815" s="3" t="s">
        <v>161</v>
      </c>
      <c r="D815" s="3" t="s">
        <v>338</v>
      </c>
      <c r="E815" s="3">
        <v>541</v>
      </c>
      <c r="F815">
        <f>SUM(E808:E815)</f>
        <v>5345</v>
      </c>
      <c r="G815" s="13"/>
    </row>
    <row r="816" spans="2:7" ht="12.75" x14ac:dyDescent="0.2">
      <c r="B816" s="3" t="s">
        <v>57</v>
      </c>
      <c r="C816" s="3" t="s">
        <v>162</v>
      </c>
      <c r="D816" s="3" t="s">
        <v>3</v>
      </c>
      <c r="E816" s="3">
        <v>3285</v>
      </c>
      <c r="G816" s="13"/>
    </row>
    <row r="817" spans="2:7" ht="12.75" x14ac:dyDescent="0.2">
      <c r="B817" s="3" t="s">
        <v>57</v>
      </c>
      <c r="C817" s="3" t="s">
        <v>162</v>
      </c>
      <c r="D817" s="3" t="s">
        <v>19</v>
      </c>
      <c r="E817" s="3">
        <v>61</v>
      </c>
      <c r="G817" s="13"/>
    </row>
    <row r="818" spans="2:7" ht="12.75" x14ac:dyDescent="0.2">
      <c r="B818" s="3" t="s">
        <v>57</v>
      </c>
      <c r="C818" s="3" t="s">
        <v>162</v>
      </c>
      <c r="D818" s="3" t="s">
        <v>340</v>
      </c>
      <c r="E818" s="3">
        <v>7</v>
      </c>
      <c r="G818" s="13"/>
    </row>
    <row r="819" spans="2:7" ht="12.75" x14ac:dyDescent="0.2">
      <c r="B819" s="3" t="s">
        <v>57</v>
      </c>
      <c r="C819" s="3" t="s">
        <v>162</v>
      </c>
      <c r="D819" s="3" t="s">
        <v>132</v>
      </c>
      <c r="E819" s="3">
        <v>2487</v>
      </c>
      <c r="G819" s="13"/>
    </row>
    <row r="820" spans="2:7" ht="12.75" x14ac:dyDescent="0.2">
      <c r="B820" s="3" t="s">
        <v>57</v>
      </c>
      <c r="C820" s="3" t="s">
        <v>162</v>
      </c>
      <c r="D820" s="3" t="s">
        <v>339</v>
      </c>
      <c r="E820" s="3">
        <v>103</v>
      </c>
      <c r="G820" s="13"/>
    </row>
    <row r="821" spans="2:7" ht="12.75" x14ac:dyDescent="0.2">
      <c r="B821" s="3" t="s">
        <v>57</v>
      </c>
      <c r="C821" s="3" t="s">
        <v>162</v>
      </c>
      <c r="D821" s="3" t="s">
        <v>338</v>
      </c>
      <c r="E821" s="3">
        <v>312</v>
      </c>
      <c r="F821">
        <f>SUM(E816:E821)</f>
        <v>6255</v>
      </c>
      <c r="G821" s="13"/>
    </row>
    <row r="822" spans="2:7" ht="12.75" x14ac:dyDescent="0.2">
      <c r="B822" s="3" t="s">
        <v>57</v>
      </c>
      <c r="C822" s="3" t="s">
        <v>161</v>
      </c>
      <c r="D822" s="3" t="s">
        <v>290</v>
      </c>
      <c r="E822" s="3">
        <v>33</v>
      </c>
      <c r="G822" s="13"/>
    </row>
    <row r="823" spans="2:7" ht="12.75" x14ac:dyDescent="0.2">
      <c r="B823" s="3" t="s">
        <v>57</v>
      </c>
      <c r="C823" s="3" t="s">
        <v>161</v>
      </c>
      <c r="D823" s="3" t="s">
        <v>3</v>
      </c>
      <c r="E823" s="3">
        <v>3028</v>
      </c>
      <c r="G823" s="13"/>
    </row>
    <row r="824" spans="2:7" ht="12.75" x14ac:dyDescent="0.2">
      <c r="B824" s="3" t="s">
        <v>57</v>
      </c>
      <c r="C824" s="3" t="s">
        <v>161</v>
      </c>
      <c r="D824" s="3" t="s">
        <v>274</v>
      </c>
      <c r="E824" s="3">
        <v>23</v>
      </c>
      <c r="G824" s="13"/>
    </row>
    <row r="825" spans="2:7" ht="12.75" x14ac:dyDescent="0.2">
      <c r="B825" s="3" t="s">
        <v>57</v>
      </c>
      <c r="C825" s="3" t="s">
        <v>161</v>
      </c>
      <c r="D825" s="3" t="s">
        <v>19</v>
      </c>
      <c r="E825" s="3">
        <v>69</v>
      </c>
      <c r="G825" s="13"/>
    </row>
    <row r="826" spans="2:7" ht="12.75" x14ac:dyDescent="0.2">
      <c r="B826" s="3" t="s">
        <v>57</v>
      </c>
      <c r="C826" s="3" t="s">
        <v>161</v>
      </c>
      <c r="D826" s="3" t="s">
        <v>340</v>
      </c>
      <c r="E826" s="3">
        <v>7</v>
      </c>
      <c r="G826" s="13"/>
    </row>
    <row r="827" spans="2:7" ht="12.75" x14ac:dyDescent="0.2">
      <c r="B827" s="3" t="s">
        <v>57</v>
      </c>
      <c r="C827" s="3" t="s">
        <v>161</v>
      </c>
      <c r="D827" s="3" t="s">
        <v>132</v>
      </c>
      <c r="E827" s="3">
        <v>2715</v>
      </c>
      <c r="G827" s="13"/>
    </row>
    <row r="828" spans="2:7" ht="12.75" x14ac:dyDescent="0.2">
      <c r="B828" s="3" t="s">
        <v>57</v>
      </c>
      <c r="C828" s="3" t="s">
        <v>161</v>
      </c>
      <c r="D828" s="3" t="s">
        <v>339</v>
      </c>
      <c r="E828" s="3">
        <v>104</v>
      </c>
      <c r="G828" s="13"/>
    </row>
    <row r="829" spans="2:7" ht="12.75" x14ac:dyDescent="0.2">
      <c r="B829" s="3" t="s">
        <v>57</v>
      </c>
      <c r="C829" s="3" t="s">
        <v>161</v>
      </c>
      <c r="D829" s="3" t="s">
        <v>338</v>
      </c>
      <c r="E829" s="3">
        <v>205</v>
      </c>
      <c r="F829">
        <f>SUM(E822:E829)</f>
        <v>6184</v>
      </c>
      <c r="G829" s="13"/>
    </row>
    <row r="830" spans="2:7" ht="12.75" x14ac:dyDescent="0.2">
      <c r="B830" s="3" t="s">
        <v>86</v>
      </c>
      <c r="C830" s="3" t="s">
        <v>162</v>
      </c>
      <c r="D830" s="3" t="s">
        <v>3</v>
      </c>
      <c r="E830" s="3">
        <v>1815</v>
      </c>
      <c r="G830" s="13"/>
    </row>
    <row r="831" spans="2:7" ht="12.75" x14ac:dyDescent="0.2">
      <c r="B831" s="3" t="s">
        <v>86</v>
      </c>
      <c r="C831" s="3" t="s">
        <v>162</v>
      </c>
      <c r="D831" s="3" t="s">
        <v>19</v>
      </c>
      <c r="E831" s="3">
        <v>35</v>
      </c>
      <c r="G831" s="13"/>
    </row>
    <row r="832" spans="2:7" ht="12.75" x14ac:dyDescent="0.2">
      <c r="B832" s="3" t="s">
        <v>86</v>
      </c>
      <c r="C832" s="3" t="s">
        <v>162</v>
      </c>
      <c r="D832" s="3" t="s">
        <v>340</v>
      </c>
      <c r="E832" s="3">
        <v>11</v>
      </c>
      <c r="G832" s="13"/>
    </row>
    <row r="833" spans="2:7" ht="12.75" x14ac:dyDescent="0.2">
      <c r="B833" s="3" t="s">
        <v>86</v>
      </c>
      <c r="C833" s="3" t="s">
        <v>162</v>
      </c>
      <c r="D833" s="3" t="s">
        <v>132</v>
      </c>
      <c r="E833" s="3">
        <v>368</v>
      </c>
      <c r="G833" s="13"/>
    </row>
    <row r="834" spans="2:7" ht="12.75" x14ac:dyDescent="0.2">
      <c r="B834" s="3" t="s">
        <v>86</v>
      </c>
      <c r="C834" s="3" t="s">
        <v>162</v>
      </c>
      <c r="D834" s="3" t="s">
        <v>339</v>
      </c>
      <c r="E834" s="3">
        <v>71</v>
      </c>
      <c r="G834" s="13"/>
    </row>
    <row r="835" spans="2:7" ht="12.75" x14ac:dyDescent="0.2">
      <c r="B835" s="3" t="s">
        <v>86</v>
      </c>
      <c r="C835" s="3" t="s">
        <v>162</v>
      </c>
      <c r="D835" s="3" t="s">
        <v>338</v>
      </c>
      <c r="E835" s="3">
        <v>387</v>
      </c>
      <c r="F835">
        <f>SUM(E830:E835)</f>
        <v>2687</v>
      </c>
      <c r="G835" s="13"/>
    </row>
    <row r="836" spans="2:7" ht="12.75" x14ac:dyDescent="0.2">
      <c r="B836" s="3" t="s">
        <v>86</v>
      </c>
      <c r="C836" s="3" t="s">
        <v>161</v>
      </c>
      <c r="D836" s="3" t="s">
        <v>290</v>
      </c>
      <c r="E836" s="3">
        <v>9</v>
      </c>
      <c r="G836" s="13"/>
    </row>
    <row r="837" spans="2:7" ht="12.75" x14ac:dyDescent="0.2">
      <c r="B837" s="3" t="s">
        <v>86</v>
      </c>
      <c r="C837" s="3" t="s">
        <v>161</v>
      </c>
      <c r="D837" s="3" t="s">
        <v>3</v>
      </c>
      <c r="E837" s="3">
        <v>1854</v>
      </c>
      <c r="G837" s="13"/>
    </row>
    <row r="838" spans="2:7" ht="12.75" x14ac:dyDescent="0.2">
      <c r="B838" s="3" t="s">
        <v>86</v>
      </c>
      <c r="C838" s="3" t="s">
        <v>161</v>
      </c>
      <c r="D838" s="3" t="s">
        <v>274</v>
      </c>
      <c r="E838" s="3">
        <v>21</v>
      </c>
      <c r="G838" s="13"/>
    </row>
    <row r="839" spans="2:7" ht="12.75" x14ac:dyDescent="0.2">
      <c r="B839" s="3" t="s">
        <v>86</v>
      </c>
      <c r="C839" s="3" t="s">
        <v>161</v>
      </c>
      <c r="D839" s="3" t="s">
        <v>19</v>
      </c>
      <c r="E839" s="3">
        <v>33</v>
      </c>
      <c r="G839" s="13"/>
    </row>
    <row r="840" spans="2:7" ht="12.75" x14ac:dyDescent="0.2">
      <c r="B840" s="3" t="s">
        <v>86</v>
      </c>
      <c r="C840" s="3" t="s">
        <v>161</v>
      </c>
      <c r="D840" s="3" t="s">
        <v>340</v>
      </c>
      <c r="E840" s="3">
        <v>9</v>
      </c>
      <c r="G840" s="13"/>
    </row>
    <row r="841" spans="2:7" ht="12.75" x14ac:dyDescent="0.2">
      <c r="B841" s="3" t="s">
        <v>86</v>
      </c>
      <c r="C841" s="3" t="s">
        <v>161</v>
      </c>
      <c r="D841" s="3" t="s">
        <v>132</v>
      </c>
      <c r="E841" s="3">
        <v>227</v>
      </c>
      <c r="G841" s="13"/>
    </row>
    <row r="842" spans="2:7" ht="12.75" x14ac:dyDescent="0.2">
      <c r="B842" s="3" t="s">
        <v>86</v>
      </c>
      <c r="C842" s="3" t="s">
        <v>161</v>
      </c>
      <c r="D842" s="3" t="s">
        <v>339</v>
      </c>
      <c r="E842" s="3">
        <v>64</v>
      </c>
      <c r="G842" s="13"/>
    </row>
    <row r="843" spans="2:7" ht="12.75" x14ac:dyDescent="0.2">
      <c r="B843" s="3" t="s">
        <v>86</v>
      </c>
      <c r="C843" s="3" t="s">
        <v>161</v>
      </c>
      <c r="D843" s="3" t="s">
        <v>338</v>
      </c>
      <c r="E843" s="3">
        <v>200</v>
      </c>
      <c r="F843">
        <f>SUM(E836:E843)</f>
        <v>2417</v>
      </c>
      <c r="G843" s="13"/>
    </row>
    <row r="844" spans="2:7" ht="12.75" x14ac:dyDescent="0.2">
      <c r="B844" s="3" t="s">
        <v>52</v>
      </c>
      <c r="C844" s="3" t="s">
        <v>162</v>
      </c>
      <c r="D844" s="3" t="s">
        <v>3</v>
      </c>
      <c r="E844" s="3">
        <v>1555</v>
      </c>
      <c r="G844" s="13"/>
    </row>
    <row r="845" spans="2:7" ht="12.75" x14ac:dyDescent="0.2">
      <c r="B845" s="3" t="s">
        <v>52</v>
      </c>
      <c r="C845" s="3" t="s">
        <v>162</v>
      </c>
      <c r="D845" s="3" t="s">
        <v>19</v>
      </c>
      <c r="E845" s="3">
        <v>139</v>
      </c>
      <c r="G845" s="13"/>
    </row>
    <row r="846" spans="2:7" ht="12.75" x14ac:dyDescent="0.2">
      <c r="B846" s="3" t="s">
        <v>52</v>
      </c>
      <c r="C846" s="3" t="s">
        <v>162</v>
      </c>
      <c r="D846" s="3" t="s">
        <v>340</v>
      </c>
      <c r="E846" s="3">
        <v>12</v>
      </c>
      <c r="G846" s="13"/>
    </row>
    <row r="847" spans="2:7" ht="12.75" x14ac:dyDescent="0.2">
      <c r="B847" s="3" t="s">
        <v>52</v>
      </c>
      <c r="C847" s="3" t="s">
        <v>162</v>
      </c>
      <c r="D847" s="3" t="s">
        <v>132</v>
      </c>
      <c r="E847" s="3">
        <v>1890</v>
      </c>
      <c r="G847" s="13"/>
    </row>
    <row r="848" spans="2:7" ht="12.75" x14ac:dyDescent="0.2">
      <c r="B848" s="3" t="s">
        <v>52</v>
      </c>
      <c r="C848" s="3" t="s">
        <v>162</v>
      </c>
      <c r="D848" s="3" t="s">
        <v>339</v>
      </c>
      <c r="E848" s="3">
        <v>114</v>
      </c>
      <c r="G848" s="13"/>
    </row>
    <row r="849" spans="2:7" ht="12.75" x14ac:dyDescent="0.2">
      <c r="B849" s="3" t="s">
        <v>52</v>
      </c>
      <c r="C849" s="3" t="s">
        <v>162</v>
      </c>
      <c r="D849" s="3" t="s">
        <v>338</v>
      </c>
      <c r="E849" s="3">
        <v>476</v>
      </c>
      <c r="F849">
        <f>SUM(E844:E849)</f>
        <v>4186</v>
      </c>
      <c r="G849" s="13"/>
    </row>
    <row r="850" spans="2:7" ht="12.75" x14ac:dyDescent="0.2">
      <c r="B850" s="3" t="s">
        <v>52</v>
      </c>
      <c r="C850" s="3" t="s">
        <v>161</v>
      </c>
      <c r="D850" s="3" t="s">
        <v>290</v>
      </c>
      <c r="E850" s="3">
        <v>59</v>
      </c>
      <c r="G850" s="13"/>
    </row>
    <row r="851" spans="2:7" ht="12.75" x14ac:dyDescent="0.2">
      <c r="B851" s="3" t="s">
        <v>52</v>
      </c>
      <c r="C851" s="3" t="s">
        <v>161</v>
      </c>
      <c r="D851" s="3" t="s">
        <v>3</v>
      </c>
      <c r="E851" s="3">
        <v>1474</v>
      </c>
      <c r="G851" s="13"/>
    </row>
    <row r="852" spans="2:7" ht="12.75" x14ac:dyDescent="0.2">
      <c r="B852" s="3" t="s">
        <v>52</v>
      </c>
      <c r="C852" s="3" t="s">
        <v>161</v>
      </c>
      <c r="D852" s="3" t="s">
        <v>274</v>
      </c>
      <c r="E852" s="3">
        <v>21</v>
      </c>
      <c r="G852" s="13"/>
    </row>
    <row r="853" spans="2:7" ht="12.75" x14ac:dyDescent="0.2">
      <c r="B853" s="3" t="s">
        <v>52</v>
      </c>
      <c r="C853" s="3" t="s">
        <v>161</v>
      </c>
      <c r="D853" s="3" t="s">
        <v>19</v>
      </c>
      <c r="E853" s="3">
        <v>150</v>
      </c>
      <c r="G853" s="13"/>
    </row>
    <row r="854" spans="2:7" ht="12.75" x14ac:dyDescent="0.2">
      <c r="B854" s="3" t="s">
        <v>52</v>
      </c>
      <c r="C854" s="3" t="s">
        <v>161</v>
      </c>
      <c r="D854" s="3" t="s">
        <v>340</v>
      </c>
      <c r="E854" s="3">
        <v>9</v>
      </c>
      <c r="G854" s="13"/>
    </row>
    <row r="855" spans="2:7" ht="12.75" x14ac:dyDescent="0.2">
      <c r="B855" s="3" t="s">
        <v>52</v>
      </c>
      <c r="C855" s="3" t="s">
        <v>161</v>
      </c>
      <c r="D855" s="3" t="s">
        <v>132</v>
      </c>
      <c r="E855" s="3">
        <v>1774</v>
      </c>
      <c r="G855" s="13"/>
    </row>
    <row r="856" spans="2:7" ht="12.75" x14ac:dyDescent="0.2">
      <c r="B856" s="3" t="s">
        <v>52</v>
      </c>
      <c r="C856" s="3" t="s">
        <v>161</v>
      </c>
      <c r="D856" s="3" t="s">
        <v>339</v>
      </c>
      <c r="E856" s="3">
        <v>116</v>
      </c>
      <c r="G856" s="13"/>
    </row>
    <row r="857" spans="2:7" ht="12.75" x14ac:dyDescent="0.2">
      <c r="B857" s="3" t="s">
        <v>52</v>
      </c>
      <c r="C857" s="3" t="s">
        <v>161</v>
      </c>
      <c r="D857" s="3" t="s">
        <v>338</v>
      </c>
      <c r="E857" s="3">
        <v>401</v>
      </c>
      <c r="F857">
        <f>SUM(E850:E857)</f>
        <v>4004</v>
      </c>
      <c r="G857" s="13"/>
    </row>
    <row r="858" spans="2:7" ht="12.75" x14ac:dyDescent="0.2">
      <c r="B858" s="3" t="s">
        <v>105</v>
      </c>
      <c r="C858" s="3" t="s">
        <v>162</v>
      </c>
      <c r="D858" s="3" t="s">
        <v>3</v>
      </c>
      <c r="E858" s="3">
        <v>2323</v>
      </c>
      <c r="G858" s="13"/>
    </row>
    <row r="859" spans="2:7" ht="12.75" x14ac:dyDescent="0.2">
      <c r="B859" s="3" t="s">
        <v>105</v>
      </c>
      <c r="C859" s="3" t="s">
        <v>162</v>
      </c>
      <c r="D859" s="3" t="s">
        <v>19</v>
      </c>
      <c r="E859" s="3">
        <v>111</v>
      </c>
      <c r="G859" s="13"/>
    </row>
    <row r="860" spans="2:7" ht="12.75" x14ac:dyDescent="0.2">
      <c r="B860" s="3" t="s">
        <v>105</v>
      </c>
      <c r="C860" s="3" t="s">
        <v>162</v>
      </c>
      <c r="D860" s="3" t="s">
        <v>340</v>
      </c>
      <c r="E860" s="3">
        <v>11</v>
      </c>
      <c r="G860" s="13"/>
    </row>
    <row r="861" spans="2:7" ht="12.75" x14ac:dyDescent="0.2">
      <c r="B861" s="3" t="s">
        <v>105</v>
      </c>
      <c r="C861" s="3" t="s">
        <v>162</v>
      </c>
      <c r="D861" s="3" t="s">
        <v>132</v>
      </c>
      <c r="E861" s="3">
        <v>1406</v>
      </c>
      <c r="G861" s="13"/>
    </row>
    <row r="862" spans="2:7" ht="12.75" x14ac:dyDescent="0.2">
      <c r="B862" s="3" t="s">
        <v>105</v>
      </c>
      <c r="C862" s="3" t="s">
        <v>162</v>
      </c>
      <c r="D862" s="3" t="s">
        <v>339</v>
      </c>
      <c r="E862" s="3">
        <v>123</v>
      </c>
      <c r="G862" s="13"/>
    </row>
    <row r="863" spans="2:7" ht="12.75" x14ac:dyDescent="0.2">
      <c r="B863" s="3" t="s">
        <v>105</v>
      </c>
      <c r="C863" s="3" t="s">
        <v>162</v>
      </c>
      <c r="D863" s="3" t="s">
        <v>338</v>
      </c>
      <c r="E863" s="3">
        <v>647</v>
      </c>
      <c r="F863">
        <f>SUM(E858:E863)</f>
        <v>4621</v>
      </c>
      <c r="G863" s="13"/>
    </row>
    <row r="864" spans="2:7" ht="12.75" x14ac:dyDescent="0.2">
      <c r="B864" s="3" t="s">
        <v>105</v>
      </c>
      <c r="C864" s="3" t="s">
        <v>161</v>
      </c>
      <c r="D864" s="3" t="s">
        <v>290</v>
      </c>
      <c r="E864" s="3">
        <v>42</v>
      </c>
      <c r="G864" s="13"/>
    </row>
    <row r="865" spans="2:7" ht="12.75" x14ac:dyDescent="0.2">
      <c r="B865" s="3" t="s">
        <v>105</v>
      </c>
      <c r="C865" s="3" t="s">
        <v>161</v>
      </c>
      <c r="D865" s="3" t="s">
        <v>3</v>
      </c>
      <c r="E865" s="3">
        <v>2276</v>
      </c>
      <c r="G865" s="13"/>
    </row>
    <row r="866" spans="2:7" ht="12.75" x14ac:dyDescent="0.2">
      <c r="B866" s="3" t="s">
        <v>105</v>
      </c>
      <c r="C866" s="3" t="s">
        <v>161</v>
      </c>
      <c r="D866" s="3" t="s">
        <v>274</v>
      </c>
      <c r="E866" s="3">
        <v>18</v>
      </c>
      <c r="G866" s="13"/>
    </row>
    <row r="867" spans="2:7" ht="12.75" x14ac:dyDescent="0.2">
      <c r="B867" s="3" t="s">
        <v>105</v>
      </c>
      <c r="C867" s="3" t="s">
        <v>161</v>
      </c>
      <c r="D867" s="3" t="s">
        <v>19</v>
      </c>
      <c r="E867" s="3">
        <v>108</v>
      </c>
      <c r="G867" s="13"/>
    </row>
    <row r="868" spans="2:7" ht="12.75" x14ac:dyDescent="0.2">
      <c r="B868" s="3" t="s">
        <v>105</v>
      </c>
      <c r="C868" s="3" t="s">
        <v>161</v>
      </c>
      <c r="D868" s="3" t="s">
        <v>340</v>
      </c>
      <c r="E868" s="3">
        <v>10</v>
      </c>
      <c r="G868" s="13"/>
    </row>
    <row r="869" spans="2:7" ht="12.75" x14ac:dyDescent="0.2">
      <c r="B869" s="3" t="s">
        <v>105</v>
      </c>
      <c r="C869" s="3" t="s">
        <v>161</v>
      </c>
      <c r="D869" s="3" t="s">
        <v>132</v>
      </c>
      <c r="E869" s="3">
        <v>1416</v>
      </c>
      <c r="G869" s="13"/>
    </row>
    <row r="870" spans="2:7" ht="12.75" x14ac:dyDescent="0.2">
      <c r="B870" s="3" t="s">
        <v>105</v>
      </c>
      <c r="C870" s="3" t="s">
        <v>161</v>
      </c>
      <c r="D870" s="3" t="s">
        <v>339</v>
      </c>
      <c r="E870" s="3">
        <v>127</v>
      </c>
      <c r="G870" s="13"/>
    </row>
    <row r="871" spans="2:7" ht="12.75" x14ac:dyDescent="0.2">
      <c r="B871" s="3" t="s">
        <v>105</v>
      </c>
      <c r="C871" s="3" t="s">
        <v>161</v>
      </c>
      <c r="D871" s="3" t="s">
        <v>338</v>
      </c>
      <c r="E871" s="3">
        <v>585</v>
      </c>
      <c r="F871">
        <f>SUM(E864:E871)</f>
        <v>4582</v>
      </c>
      <c r="G871" s="13"/>
    </row>
    <row r="872" spans="2:7" ht="12.75" x14ac:dyDescent="0.2">
      <c r="B872" s="3" t="s">
        <v>66</v>
      </c>
      <c r="C872" s="3" t="s">
        <v>162</v>
      </c>
      <c r="D872" s="3" t="s">
        <v>3</v>
      </c>
      <c r="E872" s="3">
        <v>892</v>
      </c>
      <c r="G872" s="13"/>
    </row>
    <row r="873" spans="2:7" ht="12.75" x14ac:dyDescent="0.2">
      <c r="B873" s="3" t="s">
        <v>66</v>
      </c>
      <c r="C873" s="3" t="s">
        <v>162</v>
      </c>
      <c r="D873" s="3" t="s">
        <v>19</v>
      </c>
      <c r="E873" s="3">
        <v>32</v>
      </c>
      <c r="G873" s="13"/>
    </row>
    <row r="874" spans="2:7" ht="12.75" x14ac:dyDescent="0.2">
      <c r="B874" s="3" t="s">
        <v>66</v>
      </c>
      <c r="C874" s="3" t="s">
        <v>162</v>
      </c>
      <c r="D874" s="3" t="s">
        <v>340</v>
      </c>
      <c r="E874" s="3">
        <v>14</v>
      </c>
      <c r="G874" s="13"/>
    </row>
    <row r="875" spans="2:7" ht="12.75" x14ac:dyDescent="0.2">
      <c r="B875" s="3" t="s">
        <v>66</v>
      </c>
      <c r="C875" s="3" t="s">
        <v>162</v>
      </c>
      <c r="D875" s="3" t="s">
        <v>132</v>
      </c>
      <c r="E875" s="3">
        <v>1347</v>
      </c>
      <c r="G875" s="13"/>
    </row>
    <row r="876" spans="2:7" ht="12.75" x14ac:dyDescent="0.2">
      <c r="B876" s="3" t="s">
        <v>66</v>
      </c>
      <c r="C876" s="3" t="s">
        <v>162</v>
      </c>
      <c r="D876" s="3" t="s">
        <v>339</v>
      </c>
      <c r="E876" s="3">
        <v>159</v>
      </c>
      <c r="G876" s="13"/>
    </row>
    <row r="877" spans="2:7" ht="12.75" x14ac:dyDescent="0.2">
      <c r="B877" s="3" t="s">
        <v>66</v>
      </c>
      <c r="C877" s="3" t="s">
        <v>162</v>
      </c>
      <c r="D877" s="3" t="s">
        <v>338</v>
      </c>
      <c r="E877" s="3">
        <v>269</v>
      </c>
      <c r="F877">
        <f>SUM(E872:E877)</f>
        <v>2713</v>
      </c>
      <c r="G877" s="13"/>
    </row>
    <row r="878" spans="2:7" ht="12.75" x14ac:dyDescent="0.2">
      <c r="B878" s="3" t="s">
        <v>66</v>
      </c>
      <c r="C878" s="3" t="s">
        <v>161</v>
      </c>
      <c r="D878" s="3" t="s">
        <v>290</v>
      </c>
      <c r="E878" s="3">
        <v>26</v>
      </c>
      <c r="G878" s="13"/>
    </row>
    <row r="879" spans="2:7" ht="12.75" x14ac:dyDescent="0.2">
      <c r="B879" s="3" t="s">
        <v>66</v>
      </c>
      <c r="C879" s="3" t="s">
        <v>161</v>
      </c>
      <c r="D879" s="3" t="s">
        <v>3</v>
      </c>
      <c r="E879" s="3">
        <v>865</v>
      </c>
      <c r="G879" s="13"/>
    </row>
    <row r="880" spans="2:7" ht="12.75" x14ac:dyDescent="0.2">
      <c r="B880" s="3" t="s">
        <v>66</v>
      </c>
      <c r="C880" s="3" t="s">
        <v>161</v>
      </c>
      <c r="D880" s="3" t="s">
        <v>274</v>
      </c>
      <c r="E880" s="3">
        <v>10</v>
      </c>
      <c r="G880" s="13"/>
    </row>
    <row r="881" spans="2:7" ht="12.75" x14ac:dyDescent="0.2">
      <c r="B881" s="3" t="s">
        <v>66</v>
      </c>
      <c r="C881" s="3" t="s">
        <v>161</v>
      </c>
      <c r="D881" s="3" t="s">
        <v>19</v>
      </c>
      <c r="E881" s="3">
        <v>30</v>
      </c>
      <c r="G881" s="13"/>
    </row>
    <row r="882" spans="2:7" ht="12.75" x14ac:dyDescent="0.2">
      <c r="B882" s="3" t="s">
        <v>66</v>
      </c>
      <c r="C882" s="3" t="s">
        <v>161</v>
      </c>
      <c r="D882" s="3" t="s">
        <v>340</v>
      </c>
      <c r="E882" s="3">
        <v>12</v>
      </c>
      <c r="G882" s="13"/>
    </row>
    <row r="883" spans="2:7" ht="12.75" x14ac:dyDescent="0.2">
      <c r="B883" s="3" t="s">
        <v>66</v>
      </c>
      <c r="C883" s="3" t="s">
        <v>161</v>
      </c>
      <c r="D883" s="3" t="s">
        <v>132</v>
      </c>
      <c r="E883" s="3">
        <v>1251</v>
      </c>
      <c r="G883" s="13"/>
    </row>
    <row r="884" spans="2:7" ht="12.75" x14ac:dyDescent="0.2">
      <c r="B884" s="3" t="s">
        <v>66</v>
      </c>
      <c r="C884" s="3" t="s">
        <v>161</v>
      </c>
      <c r="D884" s="3" t="s">
        <v>339</v>
      </c>
      <c r="E884" s="3">
        <v>189</v>
      </c>
      <c r="G884" s="13"/>
    </row>
    <row r="885" spans="2:7" ht="12.75" x14ac:dyDescent="0.2">
      <c r="B885" s="3" t="s">
        <v>66</v>
      </c>
      <c r="C885" s="3" t="s">
        <v>161</v>
      </c>
      <c r="D885" s="3" t="s">
        <v>338</v>
      </c>
      <c r="E885" s="3">
        <v>253</v>
      </c>
      <c r="F885">
        <f>SUM(E878:E885)</f>
        <v>2636</v>
      </c>
      <c r="G885" s="13"/>
    </row>
    <row r="886" spans="2:7" ht="12.75" x14ac:dyDescent="0.2">
      <c r="B886" s="3" t="s">
        <v>25</v>
      </c>
      <c r="C886" s="3" t="s">
        <v>162</v>
      </c>
      <c r="D886" s="3" t="s">
        <v>3</v>
      </c>
      <c r="E886" s="3">
        <v>1697</v>
      </c>
      <c r="G886" s="13"/>
    </row>
    <row r="887" spans="2:7" ht="12.75" x14ac:dyDescent="0.2">
      <c r="B887" s="3" t="s">
        <v>25</v>
      </c>
      <c r="C887" s="3" t="s">
        <v>162</v>
      </c>
      <c r="D887" s="3" t="s">
        <v>19</v>
      </c>
      <c r="E887" s="3">
        <v>20</v>
      </c>
      <c r="G887" s="13"/>
    </row>
    <row r="888" spans="2:7" ht="12.75" x14ac:dyDescent="0.2">
      <c r="B888" s="3" t="s">
        <v>25</v>
      </c>
      <c r="C888" s="3" t="s">
        <v>162</v>
      </c>
      <c r="D888" s="3" t="s">
        <v>340</v>
      </c>
      <c r="E888" s="3">
        <v>4</v>
      </c>
      <c r="G888" s="13"/>
    </row>
    <row r="889" spans="2:7" ht="12.75" x14ac:dyDescent="0.2">
      <c r="B889" s="3" t="s">
        <v>25</v>
      </c>
      <c r="C889" s="3" t="s">
        <v>162</v>
      </c>
      <c r="D889" s="3" t="s">
        <v>132</v>
      </c>
      <c r="E889" s="3">
        <v>1397</v>
      </c>
      <c r="G889" s="13"/>
    </row>
    <row r="890" spans="2:7" ht="12.75" x14ac:dyDescent="0.2">
      <c r="B890" s="3" t="s">
        <v>25</v>
      </c>
      <c r="C890" s="3" t="s">
        <v>162</v>
      </c>
      <c r="D890" s="3" t="s">
        <v>339</v>
      </c>
      <c r="E890" s="3">
        <v>29</v>
      </c>
      <c r="G890" s="13"/>
    </row>
    <row r="891" spans="2:7" ht="12.75" x14ac:dyDescent="0.2">
      <c r="B891" s="3" t="s">
        <v>25</v>
      </c>
      <c r="C891" s="3" t="s">
        <v>162</v>
      </c>
      <c r="D891" s="3" t="s">
        <v>338</v>
      </c>
      <c r="E891" s="3">
        <v>276</v>
      </c>
      <c r="F891">
        <f>SUM(E886:E891)</f>
        <v>3423</v>
      </c>
      <c r="G891" s="13"/>
    </row>
    <row r="892" spans="2:7" ht="12.75" x14ac:dyDescent="0.2">
      <c r="B892" s="3" t="s">
        <v>25</v>
      </c>
      <c r="C892" s="3" t="s">
        <v>161</v>
      </c>
      <c r="D892" s="3" t="s">
        <v>290</v>
      </c>
      <c r="E892" s="3">
        <v>22</v>
      </c>
      <c r="G892" s="13"/>
    </row>
    <row r="893" spans="2:7" ht="12.75" x14ac:dyDescent="0.2">
      <c r="B893" s="3" t="s">
        <v>25</v>
      </c>
      <c r="C893" s="3" t="s">
        <v>161</v>
      </c>
      <c r="D893" s="3" t="s">
        <v>3</v>
      </c>
      <c r="E893" s="3">
        <v>1673</v>
      </c>
      <c r="G893" s="13"/>
    </row>
    <row r="894" spans="2:7" ht="12.75" x14ac:dyDescent="0.2">
      <c r="B894" s="3" t="s">
        <v>25</v>
      </c>
      <c r="C894" s="3" t="s">
        <v>161</v>
      </c>
      <c r="D894" s="3" t="s">
        <v>274</v>
      </c>
      <c r="E894" s="3">
        <v>13</v>
      </c>
      <c r="G894" s="13"/>
    </row>
    <row r="895" spans="2:7" ht="12.75" x14ac:dyDescent="0.2">
      <c r="B895" s="3" t="s">
        <v>25</v>
      </c>
      <c r="C895" s="3" t="s">
        <v>161</v>
      </c>
      <c r="D895" s="3" t="s">
        <v>19</v>
      </c>
      <c r="E895" s="3">
        <v>20</v>
      </c>
      <c r="G895" s="13"/>
    </row>
    <row r="896" spans="2:7" ht="12.75" x14ac:dyDescent="0.2">
      <c r="B896" s="3" t="s">
        <v>25</v>
      </c>
      <c r="C896" s="3" t="s">
        <v>161</v>
      </c>
      <c r="D896" s="3" t="s">
        <v>340</v>
      </c>
      <c r="E896" s="3">
        <v>4</v>
      </c>
      <c r="G896" s="13"/>
    </row>
    <row r="897" spans="2:7" ht="12.75" x14ac:dyDescent="0.2">
      <c r="B897" s="3" t="s">
        <v>25</v>
      </c>
      <c r="C897" s="3" t="s">
        <v>161</v>
      </c>
      <c r="D897" s="3" t="s">
        <v>132</v>
      </c>
      <c r="E897" s="3">
        <v>1341</v>
      </c>
      <c r="G897" s="13"/>
    </row>
    <row r="898" spans="2:7" ht="12.75" x14ac:dyDescent="0.2">
      <c r="B898" s="3" t="s">
        <v>25</v>
      </c>
      <c r="C898" s="3" t="s">
        <v>161</v>
      </c>
      <c r="D898" s="3" t="s">
        <v>339</v>
      </c>
      <c r="E898" s="3">
        <v>30</v>
      </c>
      <c r="G898" s="13"/>
    </row>
    <row r="899" spans="2:7" ht="12.75" x14ac:dyDescent="0.2">
      <c r="B899" s="3" t="s">
        <v>25</v>
      </c>
      <c r="C899" s="3" t="s">
        <v>161</v>
      </c>
      <c r="D899" s="3" t="s">
        <v>338</v>
      </c>
      <c r="E899" s="3">
        <v>204</v>
      </c>
      <c r="F899">
        <f>SUM(E892:E899)</f>
        <v>3307</v>
      </c>
      <c r="G899" s="13"/>
    </row>
    <row r="900" spans="2:7" ht="12.75" x14ac:dyDescent="0.2">
      <c r="B900" s="3" t="s">
        <v>104</v>
      </c>
      <c r="C900" s="3" t="s">
        <v>162</v>
      </c>
      <c r="D900" s="3" t="s">
        <v>3</v>
      </c>
      <c r="E900" s="3">
        <v>1481</v>
      </c>
      <c r="G900" s="13"/>
    </row>
    <row r="901" spans="2:7" ht="12.75" x14ac:dyDescent="0.2">
      <c r="B901" s="3" t="s">
        <v>104</v>
      </c>
      <c r="C901" s="3" t="s">
        <v>162</v>
      </c>
      <c r="D901" s="3" t="s">
        <v>19</v>
      </c>
      <c r="E901" s="3">
        <v>511</v>
      </c>
      <c r="G901" s="13"/>
    </row>
    <row r="902" spans="2:7" ht="12.75" x14ac:dyDescent="0.2">
      <c r="B902" s="3" t="s">
        <v>104</v>
      </c>
      <c r="C902" s="3" t="s">
        <v>162</v>
      </c>
      <c r="D902" s="3" t="s">
        <v>340</v>
      </c>
      <c r="E902" s="3">
        <v>48</v>
      </c>
      <c r="G902" s="13"/>
    </row>
    <row r="903" spans="2:7" ht="12.75" x14ac:dyDescent="0.2">
      <c r="B903" s="3" t="s">
        <v>104</v>
      </c>
      <c r="C903" s="3" t="s">
        <v>162</v>
      </c>
      <c r="D903" s="3" t="s">
        <v>132</v>
      </c>
      <c r="E903" s="3">
        <v>625</v>
      </c>
      <c r="G903" s="13"/>
    </row>
    <row r="904" spans="2:7" ht="12.75" x14ac:dyDescent="0.2">
      <c r="B904" s="3" t="s">
        <v>104</v>
      </c>
      <c r="C904" s="3" t="s">
        <v>162</v>
      </c>
      <c r="D904" s="3" t="s">
        <v>339</v>
      </c>
      <c r="E904" s="3">
        <v>92</v>
      </c>
      <c r="G904" s="13"/>
    </row>
    <row r="905" spans="2:7" ht="12.75" x14ac:dyDescent="0.2">
      <c r="B905" s="3" t="s">
        <v>104</v>
      </c>
      <c r="C905" s="3" t="s">
        <v>162</v>
      </c>
      <c r="D905" s="3" t="s">
        <v>338</v>
      </c>
      <c r="E905" s="3">
        <v>112</v>
      </c>
      <c r="F905">
        <f>SUM(E900:E905)</f>
        <v>2869</v>
      </c>
      <c r="G905" s="13"/>
    </row>
    <row r="906" spans="2:7" ht="12.75" x14ac:dyDescent="0.2">
      <c r="B906" s="3" t="s">
        <v>104</v>
      </c>
      <c r="C906" s="3" t="s">
        <v>161</v>
      </c>
      <c r="D906" s="3" t="s">
        <v>290</v>
      </c>
      <c r="E906" s="3">
        <v>27</v>
      </c>
      <c r="G906" s="13"/>
    </row>
    <row r="907" spans="2:7" ht="12.75" x14ac:dyDescent="0.2">
      <c r="B907" s="3" t="s">
        <v>104</v>
      </c>
      <c r="C907" s="3" t="s">
        <v>161</v>
      </c>
      <c r="D907" s="3" t="s">
        <v>3</v>
      </c>
      <c r="E907" s="3">
        <v>1471</v>
      </c>
      <c r="G907" s="13"/>
    </row>
    <row r="908" spans="2:7" ht="12.75" x14ac:dyDescent="0.2">
      <c r="B908" s="3" t="s">
        <v>104</v>
      </c>
      <c r="C908" s="3" t="s">
        <v>161</v>
      </c>
      <c r="D908" s="3" t="s">
        <v>274</v>
      </c>
      <c r="E908" s="3">
        <v>12</v>
      </c>
      <c r="G908" s="13"/>
    </row>
    <row r="909" spans="2:7" ht="12.75" x14ac:dyDescent="0.2">
      <c r="B909" s="3" t="s">
        <v>104</v>
      </c>
      <c r="C909" s="3" t="s">
        <v>161</v>
      </c>
      <c r="D909" s="3" t="s">
        <v>19</v>
      </c>
      <c r="E909" s="3">
        <v>526</v>
      </c>
      <c r="G909" s="13"/>
    </row>
    <row r="910" spans="2:7" ht="12.75" x14ac:dyDescent="0.2">
      <c r="B910" s="3" t="s">
        <v>104</v>
      </c>
      <c r="C910" s="3" t="s">
        <v>161</v>
      </c>
      <c r="D910" s="3" t="s">
        <v>340</v>
      </c>
      <c r="E910" s="3">
        <v>13</v>
      </c>
      <c r="G910" s="13"/>
    </row>
    <row r="911" spans="2:7" ht="12.75" x14ac:dyDescent="0.2">
      <c r="B911" s="3" t="s">
        <v>104</v>
      </c>
      <c r="C911" s="3" t="s">
        <v>161</v>
      </c>
      <c r="D911" s="3" t="s">
        <v>132</v>
      </c>
      <c r="E911" s="3">
        <v>587</v>
      </c>
      <c r="G911" s="13"/>
    </row>
    <row r="912" spans="2:7" ht="12.75" x14ac:dyDescent="0.2">
      <c r="B912" s="3" t="s">
        <v>104</v>
      </c>
      <c r="C912" s="3" t="s">
        <v>161</v>
      </c>
      <c r="D912" s="3" t="s">
        <v>339</v>
      </c>
      <c r="E912" s="3">
        <v>80</v>
      </c>
      <c r="G912" s="13"/>
    </row>
    <row r="913" spans="2:7" ht="12.75" x14ac:dyDescent="0.2">
      <c r="B913" s="3" t="s">
        <v>104</v>
      </c>
      <c r="C913" s="3" t="s">
        <v>161</v>
      </c>
      <c r="D913" s="3" t="s">
        <v>338</v>
      </c>
      <c r="E913" s="3">
        <v>71</v>
      </c>
      <c r="F913">
        <f>SUM(E906:E913)</f>
        <v>2787</v>
      </c>
      <c r="G913" s="13"/>
    </row>
    <row r="914" spans="2:7" ht="12.75" x14ac:dyDescent="0.2">
      <c r="B914" s="3" t="s">
        <v>42</v>
      </c>
      <c r="C914" s="3" t="s">
        <v>162</v>
      </c>
      <c r="D914" s="3" t="s">
        <v>3</v>
      </c>
      <c r="E914" s="3">
        <v>1391</v>
      </c>
      <c r="G914" s="13"/>
    </row>
    <row r="915" spans="2:7" ht="12.75" x14ac:dyDescent="0.2">
      <c r="B915" s="3" t="s">
        <v>42</v>
      </c>
      <c r="C915" s="3" t="s">
        <v>162</v>
      </c>
      <c r="D915" s="3" t="s">
        <v>19</v>
      </c>
      <c r="E915" s="3">
        <v>46</v>
      </c>
      <c r="G915" s="13"/>
    </row>
    <row r="916" spans="2:7" ht="12.75" x14ac:dyDescent="0.2">
      <c r="B916" s="3" t="s">
        <v>42</v>
      </c>
      <c r="C916" s="3" t="s">
        <v>162</v>
      </c>
      <c r="D916" s="3" t="s">
        <v>340</v>
      </c>
      <c r="E916" s="3">
        <v>4</v>
      </c>
      <c r="G916" s="13"/>
    </row>
    <row r="917" spans="2:7" ht="12.75" x14ac:dyDescent="0.2">
      <c r="B917" s="3" t="s">
        <v>42</v>
      </c>
      <c r="C917" s="3" t="s">
        <v>162</v>
      </c>
      <c r="D917" s="3" t="s">
        <v>132</v>
      </c>
      <c r="E917" s="3">
        <v>892</v>
      </c>
      <c r="G917" s="13"/>
    </row>
    <row r="918" spans="2:7" ht="12.75" x14ac:dyDescent="0.2">
      <c r="B918" s="3" t="s">
        <v>42</v>
      </c>
      <c r="C918" s="3" t="s">
        <v>162</v>
      </c>
      <c r="D918" s="3" t="s">
        <v>339</v>
      </c>
      <c r="E918" s="3">
        <v>60</v>
      </c>
      <c r="G918" s="13"/>
    </row>
    <row r="919" spans="2:7" ht="12.75" x14ac:dyDescent="0.2">
      <c r="B919" s="3" t="s">
        <v>42</v>
      </c>
      <c r="C919" s="3" t="s">
        <v>162</v>
      </c>
      <c r="D919" s="3" t="s">
        <v>338</v>
      </c>
      <c r="E919" s="3">
        <v>115</v>
      </c>
      <c r="F919">
        <f>SUM(E914:E919)</f>
        <v>2508</v>
      </c>
      <c r="G919" s="13"/>
    </row>
    <row r="920" spans="2:7" ht="12.75" x14ac:dyDescent="0.2">
      <c r="B920" s="3" t="s">
        <v>42</v>
      </c>
      <c r="C920" s="3" t="s">
        <v>161</v>
      </c>
      <c r="D920" s="3" t="s">
        <v>290</v>
      </c>
      <c r="E920" s="3">
        <v>32</v>
      </c>
      <c r="G920" s="13"/>
    </row>
    <row r="921" spans="2:7" ht="12.75" x14ac:dyDescent="0.2">
      <c r="B921" s="3" t="s">
        <v>42</v>
      </c>
      <c r="C921" s="3" t="s">
        <v>161</v>
      </c>
      <c r="D921" s="3" t="s">
        <v>3</v>
      </c>
      <c r="E921" s="3">
        <v>1361</v>
      </c>
      <c r="G921" s="13"/>
    </row>
    <row r="922" spans="2:7" ht="12.75" x14ac:dyDescent="0.2">
      <c r="B922" s="3" t="s">
        <v>42</v>
      </c>
      <c r="C922" s="3" t="s">
        <v>161</v>
      </c>
      <c r="D922" s="3" t="s">
        <v>274</v>
      </c>
      <c r="E922" s="3">
        <v>5</v>
      </c>
      <c r="G922" s="13"/>
    </row>
    <row r="923" spans="2:7" ht="12.75" x14ac:dyDescent="0.2">
      <c r="B923" s="3" t="s">
        <v>42</v>
      </c>
      <c r="C923" s="3" t="s">
        <v>161</v>
      </c>
      <c r="D923" s="3" t="s">
        <v>19</v>
      </c>
      <c r="E923" s="3">
        <v>45</v>
      </c>
      <c r="G923" s="13"/>
    </row>
    <row r="924" spans="2:7" ht="12.75" x14ac:dyDescent="0.2">
      <c r="B924" s="3" t="s">
        <v>42</v>
      </c>
      <c r="C924" s="3" t="s">
        <v>161</v>
      </c>
      <c r="D924" s="3" t="s">
        <v>340</v>
      </c>
      <c r="E924" s="3">
        <v>3</v>
      </c>
      <c r="G924" s="13"/>
    </row>
    <row r="925" spans="2:7" ht="12.75" x14ac:dyDescent="0.2">
      <c r="B925" s="3" t="s">
        <v>42</v>
      </c>
      <c r="C925" s="3" t="s">
        <v>161</v>
      </c>
      <c r="D925" s="3" t="s">
        <v>132</v>
      </c>
      <c r="E925" s="3">
        <v>890</v>
      </c>
      <c r="G925" s="13"/>
    </row>
    <row r="926" spans="2:7" ht="12.75" x14ac:dyDescent="0.2">
      <c r="B926" s="3" t="s">
        <v>42</v>
      </c>
      <c r="C926" s="3" t="s">
        <v>161</v>
      </c>
      <c r="D926" s="3" t="s">
        <v>339</v>
      </c>
      <c r="E926" s="3">
        <v>60</v>
      </c>
      <c r="G926" s="13"/>
    </row>
    <row r="927" spans="2:7" ht="12.75" x14ac:dyDescent="0.2">
      <c r="B927" s="3" t="s">
        <v>42</v>
      </c>
      <c r="C927" s="3" t="s">
        <v>161</v>
      </c>
      <c r="D927" s="3" t="s">
        <v>338</v>
      </c>
      <c r="E927" s="3">
        <v>90</v>
      </c>
      <c r="F927">
        <f>SUM(E920:E927)</f>
        <v>2486</v>
      </c>
      <c r="G927" s="13"/>
    </row>
    <row r="928" spans="2:7" ht="12.75" x14ac:dyDescent="0.2">
      <c r="B928" s="3" t="s">
        <v>90</v>
      </c>
      <c r="C928" s="3" t="s">
        <v>162</v>
      </c>
      <c r="D928" s="3" t="s">
        <v>3</v>
      </c>
      <c r="E928" s="3">
        <v>1090</v>
      </c>
      <c r="G928" s="13"/>
    </row>
    <row r="929" spans="2:7" ht="12.75" x14ac:dyDescent="0.2">
      <c r="B929" s="3" t="s">
        <v>90</v>
      </c>
      <c r="C929" s="3" t="s">
        <v>162</v>
      </c>
      <c r="D929" s="3" t="s">
        <v>19</v>
      </c>
      <c r="E929" s="3">
        <v>25</v>
      </c>
      <c r="G929" s="13"/>
    </row>
    <row r="930" spans="2:7" ht="12.75" x14ac:dyDescent="0.2">
      <c r="B930" s="3" t="s">
        <v>90</v>
      </c>
      <c r="C930" s="3" t="s">
        <v>162</v>
      </c>
      <c r="D930" s="3" t="s">
        <v>340</v>
      </c>
      <c r="E930" s="3">
        <v>3</v>
      </c>
      <c r="G930" s="13"/>
    </row>
    <row r="931" spans="2:7" ht="12.75" x14ac:dyDescent="0.2">
      <c r="B931" s="3" t="s">
        <v>90</v>
      </c>
      <c r="C931" s="3" t="s">
        <v>162</v>
      </c>
      <c r="D931" s="3" t="s">
        <v>132</v>
      </c>
      <c r="E931" s="3">
        <v>745</v>
      </c>
      <c r="G931" s="13"/>
    </row>
    <row r="932" spans="2:7" ht="12.75" x14ac:dyDescent="0.2">
      <c r="B932" s="3" t="s">
        <v>90</v>
      </c>
      <c r="C932" s="3" t="s">
        <v>162</v>
      </c>
      <c r="D932" s="3" t="s">
        <v>339</v>
      </c>
      <c r="E932" s="3">
        <v>31</v>
      </c>
      <c r="G932" s="13"/>
    </row>
    <row r="933" spans="2:7" ht="12.75" x14ac:dyDescent="0.2">
      <c r="B933" s="3" t="s">
        <v>90</v>
      </c>
      <c r="C933" s="3" t="s">
        <v>162</v>
      </c>
      <c r="D933" s="3" t="s">
        <v>338</v>
      </c>
      <c r="E933" s="3">
        <v>513</v>
      </c>
      <c r="F933">
        <f>SUM(E928:E933)</f>
        <v>2407</v>
      </c>
      <c r="G933" s="13"/>
    </row>
    <row r="934" spans="2:7" ht="12.75" x14ac:dyDescent="0.2">
      <c r="B934" s="3" t="s">
        <v>90</v>
      </c>
      <c r="C934" s="3" t="s">
        <v>161</v>
      </c>
      <c r="D934" s="3" t="s">
        <v>290</v>
      </c>
      <c r="E934" s="3">
        <v>12</v>
      </c>
      <c r="G934" s="13"/>
    </row>
    <row r="935" spans="2:7" ht="12.75" x14ac:dyDescent="0.2">
      <c r="B935" s="3" t="s">
        <v>90</v>
      </c>
      <c r="C935" s="3" t="s">
        <v>161</v>
      </c>
      <c r="D935" s="3" t="s">
        <v>3</v>
      </c>
      <c r="E935" s="3">
        <v>1075</v>
      </c>
      <c r="G935" s="13"/>
    </row>
    <row r="936" spans="2:7" ht="12.75" x14ac:dyDescent="0.2">
      <c r="B936" s="3" t="s">
        <v>90</v>
      </c>
      <c r="C936" s="3" t="s">
        <v>161</v>
      </c>
      <c r="D936" s="3" t="s">
        <v>274</v>
      </c>
      <c r="E936" s="3">
        <v>10</v>
      </c>
      <c r="G936" s="13"/>
    </row>
    <row r="937" spans="2:7" ht="12.75" x14ac:dyDescent="0.2">
      <c r="B937" s="3" t="s">
        <v>90</v>
      </c>
      <c r="C937" s="3" t="s">
        <v>161</v>
      </c>
      <c r="D937" s="3" t="s">
        <v>19</v>
      </c>
      <c r="E937" s="3">
        <v>25</v>
      </c>
      <c r="G937" s="13"/>
    </row>
    <row r="938" spans="2:7" ht="12.75" x14ac:dyDescent="0.2">
      <c r="B938" s="3" t="s">
        <v>90</v>
      </c>
      <c r="C938" s="3" t="s">
        <v>161</v>
      </c>
      <c r="D938" s="3" t="s">
        <v>340</v>
      </c>
      <c r="E938" s="3">
        <v>4</v>
      </c>
      <c r="G938" s="13"/>
    </row>
    <row r="939" spans="2:7" ht="12.75" x14ac:dyDescent="0.2">
      <c r="B939" s="3" t="s">
        <v>90</v>
      </c>
      <c r="C939" s="3" t="s">
        <v>161</v>
      </c>
      <c r="D939" s="3" t="s">
        <v>132</v>
      </c>
      <c r="E939" s="3">
        <v>763</v>
      </c>
      <c r="G939" s="13"/>
    </row>
    <row r="940" spans="2:7" ht="12.75" x14ac:dyDescent="0.2">
      <c r="B940" s="3" t="s">
        <v>90</v>
      </c>
      <c r="C940" s="3" t="s">
        <v>161</v>
      </c>
      <c r="D940" s="3" t="s">
        <v>339</v>
      </c>
      <c r="E940" s="3">
        <v>31</v>
      </c>
      <c r="G940" s="13"/>
    </row>
    <row r="941" spans="2:7" ht="12.75" x14ac:dyDescent="0.2">
      <c r="B941" s="3" t="s">
        <v>90</v>
      </c>
      <c r="C941" s="3" t="s">
        <v>161</v>
      </c>
      <c r="D941" s="3" t="s">
        <v>338</v>
      </c>
      <c r="E941" s="3">
        <v>400</v>
      </c>
      <c r="F941">
        <f>SUM(E934:E941)</f>
        <v>2320</v>
      </c>
      <c r="G941" s="13"/>
    </row>
    <row r="942" spans="2:7" ht="12.75" x14ac:dyDescent="0.2">
      <c r="B942" s="3" t="s">
        <v>98</v>
      </c>
      <c r="C942" s="3" t="s">
        <v>162</v>
      </c>
      <c r="D942" s="3" t="s">
        <v>3</v>
      </c>
      <c r="E942" s="3">
        <v>1190</v>
      </c>
      <c r="G942" s="13"/>
    </row>
    <row r="943" spans="2:7" ht="12.75" x14ac:dyDescent="0.2">
      <c r="B943" s="3" t="s">
        <v>98</v>
      </c>
      <c r="C943" s="3" t="s">
        <v>162</v>
      </c>
      <c r="D943" s="3" t="s">
        <v>19</v>
      </c>
      <c r="E943" s="3">
        <v>56</v>
      </c>
      <c r="G943" s="13"/>
    </row>
    <row r="944" spans="2:7" ht="12.75" x14ac:dyDescent="0.2">
      <c r="B944" s="3" t="s">
        <v>98</v>
      </c>
      <c r="C944" s="3" t="s">
        <v>162</v>
      </c>
      <c r="D944" s="3" t="s">
        <v>340</v>
      </c>
      <c r="E944" s="3">
        <v>5</v>
      </c>
      <c r="G944" s="13"/>
    </row>
    <row r="945" spans="2:7" ht="12.75" x14ac:dyDescent="0.2">
      <c r="B945" s="3" t="s">
        <v>98</v>
      </c>
      <c r="C945" s="3" t="s">
        <v>162</v>
      </c>
      <c r="D945" s="3" t="s">
        <v>132</v>
      </c>
      <c r="E945" s="3">
        <v>1047</v>
      </c>
      <c r="G945" s="13"/>
    </row>
    <row r="946" spans="2:7" ht="12.75" x14ac:dyDescent="0.2">
      <c r="B946" s="3" t="s">
        <v>98</v>
      </c>
      <c r="C946" s="3" t="s">
        <v>162</v>
      </c>
      <c r="D946" s="3" t="s">
        <v>339</v>
      </c>
      <c r="E946" s="3">
        <v>34</v>
      </c>
      <c r="G946" s="13"/>
    </row>
    <row r="947" spans="2:7" ht="12.75" x14ac:dyDescent="0.2">
      <c r="B947" s="3" t="s">
        <v>98</v>
      </c>
      <c r="C947" s="3" t="s">
        <v>162</v>
      </c>
      <c r="D947" s="3" t="s">
        <v>338</v>
      </c>
      <c r="E947" s="3">
        <v>18</v>
      </c>
      <c r="F947">
        <f>SUM(E942:E947)</f>
        <v>2350</v>
      </c>
      <c r="G947" s="13"/>
    </row>
    <row r="948" spans="2:7" ht="12.75" x14ac:dyDescent="0.2">
      <c r="B948" s="3" t="s">
        <v>98</v>
      </c>
      <c r="C948" s="3" t="s">
        <v>161</v>
      </c>
      <c r="D948" s="3" t="s">
        <v>290</v>
      </c>
      <c r="E948" s="3">
        <v>10</v>
      </c>
      <c r="G948" s="13"/>
    </row>
    <row r="949" spans="2:7" ht="12.75" x14ac:dyDescent="0.2">
      <c r="B949" s="3" t="s">
        <v>98</v>
      </c>
      <c r="C949" s="3" t="s">
        <v>161</v>
      </c>
      <c r="D949" s="3" t="s">
        <v>3</v>
      </c>
      <c r="E949" s="3">
        <v>1164</v>
      </c>
      <c r="G949" s="13"/>
    </row>
    <row r="950" spans="2:7" ht="12.75" x14ac:dyDescent="0.2">
      <c r="B950" s="3" t="s">
        <v>98</v>
      </c>
      <c r="C950" s="3" t="s">
        <v>161</v>
      </c>
      <c r="D950" s="3" t="s">
        <v>274</v>
      </c>
      <c r="E950" s="3">
        <v>2</v>
      </c>
      <c r="G950" s="13"/>
    </row>
    <row r="951" spans="2:7" ht="12.75" x14ac:dyDescent="0.2">
      <c r="B951" s="3" t="s">
        <v>98</v>
      </c>
      <c r="C951" s="3" t="s">
        <v>161</v>
      </c>
      <c r="D951" s="3" t="s">
        <v>19</v>
      </c>
      <c r="E951" s="3">
        <v>55</v>
      </c>
      <c r="G951" s="13"/>
    </row>
    <row r="952" spans="2:7" ht="12.75" x14ac:dyDescent="0.2">
      <c r="B952" s="3" t="s">
        <v>98</v>
      </c>
      <c r="C952" s="3" t="s">
        <v>161</v>
      </c>
      <c r="D952" s="3" t="s">
        <v>340</v>
      </c>
      <c r="E952" s="3">
        <v>3</v>
      </c>
      <c r="G952" s="13"/>
    </row>
    <row r="953" spans="2:7" ht="12.75" x14ac:dyDescent="0.2">
      <c r="B953" s="3" t="s">
        <v>98</v>
      </c>
      <c r="C953" s="3" t="s">
        <v>161</v>
      </c>
      <c r="D953" s="3" t="s">
        <v>132</v>
      </c>
      <c r="E953" s="3">
        <v>1056</v>
      </c>
      <c r="G953" s="13"/>
    </row>
    <row r="954" spans="2:7" ht="12.75" x14ac:dyDescent="0.2">
      <c r="B954" s="3" t="s">
        <v>98</v>
      </c>
      <c r="C954" s="3" t="s">
        <v>161</v>
      </c>
      <c r="D954" s="3" t="s">
        <v>339</v>
      </c>
      <c r="E954" s="3">
        <v>34</v>
      </c>
      <c r="G954" s="13"/>
    </row>
    <row r="955" spans="2:7" ht="12.75" x14ac:dyDescent="0.2">
      <c r="B955" s="3" t="s">
        <v>98</v>
      </c>
      <c r="C955" s="3" t="s">
        <v>161</v>
      </c>
      <c r="D955" s="3" t="s">
        <v>338</v>
      </c>
      <c r="E955" s="3">
        <v>15</v>
      </c>
      <c r="F955">
        <f>SUM(E948:E955)</f>
        <v>2339</v>
      </c>
      <c r="G955" s="13"/>
    </row>
    <row r="956" spans="2:7" ht="12.75" x14ac:dyDescent="0.2">
      <c r="B956" s="3" t="s">
        <v>109</v>
      </c>
      <c r="C956" s="3" t="s">
        <v>162</v>
      </c>
      <c r="D956" s="3" t="s">
        <v>3</v>
      </c>
      <c r="E956" s="3">
        <v>1221</v>
      </c>
      <c r="G956" s="13"/>
    </row>
    <row r="957" spans="2:7" ht="12.75" x14ac:dyDescent="0.2">
      <c r="B957" s="3" t="s">
        <v>109</v>
      </c>
      <c r="C957" s="3" t="s">
        <v>162</v>
      </c>
      <c r="D957" s="3" t="s">
        <v>19</v>
      </c>
      <c r="E957" s="3">
        <v>50</v>
      </c>
      <c r="G957" s="13"/>
    </row>
    <row r="958" spans="2:7" ht="12.75" x14ac:dyDescent="0.2">
      <c r="B958" s="3" t="s">
        <v>109</v>
      </c>
      <c r="C958" s="3" t="s">
        <v>162</v>
      </c>
      <c r="D958" s="3" t="s">
        <v>340</v>
      </c>
      <c r="E958" s="3">
        <v>3</v>
      </c>
      <c r="G958" s="13"/>
    </row>
    <row r="959" spans="2:7" ht="12.75" x14ac:dyDescent="0.2">
      <c r="B959" s="3" t="s">
        <v>109</v>
      </c>
      <c r="C959" s="3" t="s">
        <v>162</v>
      </c>
      <c r="D959" s="3" t="s">
        <v>132</v>
      </c>
      <c r="E959" s="3">
        <v>754</v>
      </c>
      <c r="G959" s="13"/>
    </row>
    <row r="960" spans="2:7" ht="12.75" x14ac:dyDescent="0.2">
      <c r="B960" s="3" t="s">
        <v>109</v>
      </c>
      <c r="C960" s="3" t="s">
        <v>162</v>
      </c>
      <c r="D960" s="3" t="s">
        <v>339</v>
      </c>
      <c r="E960" s="3">
        <v>69</v>
      </c>
      <c r="G960" s="13"/>
    </row>
    <row r="961" spans="2:7" ht="12.75" x14ac:dyDescent="0.2">
      <c r="B961" s="3" t="s">
        <v>109</v>
      </c>
      <c r="C961" s="3" t="s">
        <v>162</v>
      </c>
      <c r="D961" s="3" t="s">
        <v>338</v>
      </c>
      <c r="E961" s="3">
        <v>143</v>
      </c>
      <c r="F961">
        <f>SUM(E956:E961)</f>
        <v>2240</v>
      </c>
      <c r="G961" s="13"/>
    </row>
    <row r="962" spans="2:7" ht="12.75" x14ac:dyDescent="0.2">
      <c r="B962" s="3" t="s">
        <v>109</v>
      </c>
      <c r="C962" s="3" t="s">
        <v>161</v>
      </c>
      <c r="D962" s="3" t="s">
        <v>290</v>
      </c>
      <c r="E962" s="3">
        <v>28</v>
      </c>
      <c r="G962" s="13"/>
    </row>
    <row r="963" spans="2:7" ht="12.75" x14ac:dyDescent="0.2">
      <c r="B963" s="3" t="s">
        <v>109</v>
      </c>
      <c r="C963" s="3" t="s">
        <v>161</v>
      </c>
      <c r="D963" s="3" t="s">
        <v>3</v>
      </c>
      <c r="E963" s="3">
        <v>1207</v>
      </c>
      <c r="G963" s="13"/>
    </row>
    <row r="964" spans="2:7" ht="12.75" x14ac:dyDescent="0.2">
      <c r="B964" s="3" t="s">
        <v>109</v>
      </c>
      <c r="C964" s="3" t="s">
        <v>161</v>
      </c>
      <c r="D964" s="3" t="s">
        <v>274</v>
      </c>
      <c r="E964" s="3">
        <v>5</v>
      </c>
      <c r="G964" s="13"/>
    </row>
    <row r="965" spans="2:7" ht="12.75" x14ac:dyDescent="0.2">
      <c r="B965" s="3" t="s">
        <v>109</v>
      </c>
      <c r="C965" s="3" t="s">
        <v>161</v>
      </c>
      <c r="D965" s="3" t="s">
        <v>19</v>
      </c>
      <c r="E965" s="3">
        <v>51</v>
      </c>
      <c r="G965" s="13"/>
    </row>
    <row r="966" spans="2:7" ht="12.75" x14ac:dyDescent="0.2">
      <c r="B966" s="3" t="s">
        <v>109</v>
      </c>
      <c r="C966" s="3" t="s">
        <v>161</v>
      </c>
      <c r="D966" s="3" t="s">
        <v>340</v>
      </c>
      <c r="E966" s="3">
        <v>4</v>
      </c>
      <c r="G966" s="13"/>
    </row>
    <row r="967" spans="2:7" ht="12.75" x14ac:dyDescent="0.2">
      <c r="B967" s="3" t="s">
        <v>109</v>
      </c>
      <c r="C967" s="3" t="s">
        <v>161</v>
      </c>
      <c r="D967" s="3" t="s">
        <v>132</v>
      </c>
      <c r="E967" s="3">
        <v>753</v>
      </c>
      <c r="G967" s="13"/>
    </row>
    <row r="968" spans="2:7" ht="12.75" x14ac:dyDescent="0.2">
      <c r="B968" s="3" t="s">
        <v>109</v>
      </c>
      <c r="C968" s="3" t="s">
        <v>161</v>
      </c>
      <c r="D968" s="3" t="s">
        <v>339</v>
      </c>
      <c r="E968" s="3">
        <v>70</v>
      </c>
      <c r="G968" s="13"/>
    </row>
    <row r="969" spans="2:7" ht="12.75" x14ac:dyDescent="0.2">
      <c r="B969" s="3" t="s">
        <v>109</v>
      </c>
      <c r="C969" s="3" t="s">
        <v>161</v>
      </c>
      <c r="D969" s="3" t="s">
        <v>338</v>
      </c>
      <c r="E969" s="3">
        <v>102</v>
      </c>
      <c r="F969">
        <f>SUM(E962:E969)</f>
        <v>2220</v>
      </c>
      <c r="G969" s="13"/>
    </row>
    <row r="970" spans="2:7" ht="12.75" x14ac:dyDescent="0.2">
      <c r="B970" s="3" t="s">
        <v>88</v>
      </c>
      <c r="C970" s="3" t="s">
        <v>162</v>
      </c>
      <c r="D970" s="3" t="s">
        <v>3</v>
      </c>
      <c r="E970" s="3">
        <v>847</v>
      </c>
      <c r="G970" s="13"/>
    </row>
    <row r="971" spans="2:7" ht="12.75" x14ac:dyDescent="0.2">
      <c r="B971" s="3" t="s">
        <v>88</v>
      </c>
      <c r="C971" s="3" t="s">
        <v>162</v>
      </c>
      <c r="D971" s="3" t="s">
        <v>19</v>
      </c>
      <c r="E971" s="3">
        <v>19</v>
      </c>
      <c r="G971" s="13"/>
    </row>
    <row r="972" spans="2:7" ht="12.75" x14ac:dyDescent="0.2">
      <c r="B972" s="3" t="s">
        <v>88</v>
      </c>
      <c r="C972" s="3" t="s">
        <v>162</v>
      </c>
      <c r="D972" s="3" t="s">
        <v>340</v>
      </c>
      <c r="E972" s="3">
        <v>5</v>
      </c>
      <c r="G972" s="13"/>
    </row>
    <row r="973" spans="2:7" ht="12.75" x14ac:dyDescent="0.2">
      <c r="B973" s="3" t="s">
        <v>88</v>
      </c>
      <c r="C973" s="3" t="s">
        <v>162</v>
      </c>
      <c r="D973" s="3" t="s">
        <v>132</v>
      </c>
      <c r="E973" s="3">
        <v>880</v>
      </c>
      <c r="G973" s="13"/>
    </row>
    <row r="974" spans="2:7" ht="12.75" x14ac:dyDescent="0.2">
      <c r="B974" s="3" t="s">
        <v>88</v>
      </c>
      <c r="C974" s="3" t="s">
        <v>162</v>
      </c>
      <c r="D974" s="3" t="s">
        <v>339</v>
      </c>
      <c r="E974" s="3">
        <v>18</v>
      </c>
      <c r="G974" s="13"/>
    </row>
    <row r="975" spans="2:7" ht="12.75" x14ac:dyDescent="0.2">
      <c r="B975" s="3" t="s">
        <v>88</v>
      </c>
      <c r="C975" s="3" t="s">
        <v>162</v>
      </c>
      <c r="D975" s="3" t="s">
        <v>338</v>
      </c>
      <c r="E975" s="3">
        <v>143</v>
      </c>
      <c r="F975">
        <f>SUM(E970:E975)</f>
        <v>1912</v>
      </c>
      <c r="G975" s="13"/>
    </row>
    <row r="976" spans="2:7" ht="12.75" x14ac:dyDescent="0.2">
      <c r="B976" s="3" t="s">
        <v>88</v>
      </c>
      <c r="C976" s="3" t="s">
        <v>161</v>
      </c>
      <c r="D976" s="3" t="s">
        <v>290</v>
      </c>
      <c r="E976" s="3">
        <v>34</v>
      </c>
      <c r="G976" s="13"/>
    </row>
    <row r="977" spans="2:7" ht="12.75" x14ac:dyDescent="0.2">
      <c r="B977" s="3" t="s">
        <v>88</v>
      </c>
      <c r="C977" s="3" t="s">
        <v>161</v>
      </c>
      <c r="D977" s="3" t="s">
        <v>3</v>
      </c>
      <c r="E977" s="3">
        <v>813</v>
      </c>
      <c r="G977" s="13"/>
    </row>
    <row r="978" spans="2:7" ht="12.75" x14ac:dyDescent="0.2">
      <c r="B978" s="3" t="s">
        <v>88</v>
      </c>
      <c r="C978" s="3" t="s">
        <v>161</v>
      </c>
      <c r="D978" s="3" t="s">
        <v>274</v>
      </c>
      <c r="E978" s="3">
        <v>8</v>
      </c>
      <c r="G978" s="13"/>
    </row>
    <row r="979" spans="2:7" ht="12.75" x14ac:dyDescent="0.2">
      <c r="B979" s="3" t="s">
        <v>88</v>
      </c>
      <c r="C979" s="3" t="s">
        <v>161</v>
      </c>
      <c r="D979" s="3" t="s">
        <v>19</v>
      </c>
      <c r="E979" s="3">
        <v>23</v>
      </c>
      <c r="G979" s="13"/>
    </row>
    <row r="980" spans="2:7" ht="12.75" x14ac:dyDescent="0.2">
      <c r="B980" s="3" t="s">
        <v>88</v>
      </c>
      <c r="C980" s="3" t="s">
        <v>161</v>
      </c>
      <c r="D980" s="3" t="s">
        <v>340</v>
      </c>
      <c r="E980" s="3">
        <v>7</v>
      </c>
      <c r="G980" s="13"/>
    </row>
    <row r="981" spans="2:7" ht="12.75" x14ac:dyDescent="0.2">
      <c r="B981" s="3" t="s">
        <v>88</v>
      </c>
      <c r="C981" s="3" t="s">
        <v>161</v>
      </c>
      <c r="D981" s="3" t="s">
        <v>132</v>
      </c>
      <c r="E981" s="3">
        <v>884</v>
      </c>
      <c r="G981" s="13"/>
    </row>
    <row r="982" spans="2:7" ht="12.75" x14ac:dyDescent="0.2">
      <c r="B982" s="3" t="s">
        <v>88</v>
      </c>
      <c r="C982" s="3" t="s">
        <v>161</v>
      </c>
      <c r="D982" s="3" t="s">
        <v>339</v>
      </c>
      <c r="E982" s="3">
        <v>17</v>
      </c>
      <c r="G982" s="13"/>
    </row>
    <row r="983" spans="2:7" ht="12.75" x14ac:dyDescent="0.2">
      <c r="B983" s="3" t="s">
        <v>88</v>
      </c>
      <c r="C983" s="3" t="s">
        <v>161</v>
      </c>
      <c r="D983" s="3" t="s">
        <v>338</v>
      </c>
      <c r="E983" s="3">
        <v>108</v>
      </c>
      <c r="F983">
        <f>SUM(E976:E983)</f>
        <v>1894</v>
      </c>
      <c r="G983" s="13"/>
    </row>
    <row r="984" spans="2:7" ht="12.75" x14ac:dyDescent="0.2">
      <c r="B984" s="3" t="s">
        <v>46</v>
      </c>
      <c r="C984" s="3" t="s">
        <v>162</v>
      </c>
      <c r="D984" s="3" t="s">
        <v>3</v>
      </c>
      <c r="E984" s="3">
        <v>965</v>
      </c>
      <c r="G984" s="13"/>
    </row>
    <row r="985" spans="2:7" ht="12.75" x14ac:dyDescent="0.2">
      <c r="B985" s="3" t="s">
        <v>46</v>
      </c>
      <c r="C985" s="3" t="s">
        <v>162</v>
      </c>
      <c r="D985" s="3" t="s">
        <v>19</v>
      </c>
      <c r="E985" s="3">
        <v>14</v>
      </c>
      <c r="G985" s="13"/>
    </row>
    <row r="986" spans="2:7" ht="12.75" x14ac:dyDescent="0.2">
      <c r="B986" s="3" t="s">
        <v>46</v>
      </c>
      <c r="C986" s="3" t="s">
        <v>162</v>
      </c>
      <c r="D986" s="3" t="s">
        <v>340</v>
      </c>
      <c r="E986" s="3">
        <v>2</v>
      </c>
      <c r="G986" s="13"/>
    </row>
    <row r="987" spans="2:7" ht="12.75" x14ac:dyDescent="0.2">
      <c r="B987" s="3" t="s">
        <v>46</v>
      </c>
      <c r="C987" s="3" t="s">
        <v>162</v>
      </c>
      <c r="D987" s="3" t="s">
        <v>132</v>
      </c>
      <c r="E987" s="3">
        <v>447</v>
      </c>
      <c r="G987" s="13"/>
    </row>
    <row r="988" spans="2:7" ht="12.75" x14ac:dyDescent="0.2">
      <c r="B988" s="3" t="s">
        <v>46</v>
      </c>
      <c r="C988" s="3" t="s">
        <v>162</v>
      </c>
      <c r="D988" s="3" t="s">
        <v>339</v>
      </c>
      <c r="E988" s="3">
        <v>13</v>
      </c>
      <c r="G988" s="13"/>
    </row>
    <row r="989" spans="2:7" ht="12.75" x14ac:dyDescent="0.2">
      <c r="B989" s="3" t="s">
        <v>46</v>
      </c>
      <c r="C989" s="3" t="s">
        <v>162</v>
      </c>
      <c r="D989" s="3" t="s">
        <v>338</v>
      </c>
      <c r="E989" s="3">
        <v>152</v>
      </c>
      <c r="F989">
        <f>SUM(E984:E989)</f>
        <v>1593</v>
      </c>
      <c r="G989" s="13"/>
    </row>
    <row r="990" spans="2:7" ht="12.75" x14ac:dyDescent="0.2">
      <c r="B990" s="3" t="s">
        <v>46</v>
      </c>
      <c r="C990" s="3" t="s">
        <v>161</v>
      </c>
      <c r="D990" s="3" t="s">
        <v>290</v>
      </c>
      <c r="E990" s="3">
        <v>114</v>
      </c>
      <c r="G990" s="13"/>
    </row>
    <row r="991" spans="2:7" ht="12.75" x14ac:dyDescent="0.2">
      <c r="B991" s="3" t="s">
        <v>46</v>
      </c>
      <c r="C991" s="3" t="s">
        <v>161</v>
      </c>
      <c r="D991" s="3" t="s">
        <v>3</v>
      </c>
      <c r="E991" s="3">
        <v>958</v>
      </c>
      <c r="G991" s="13"/>
    </row>
    <row r="992" spans="2:7" ht="12.75" x14ac:dyDescent="0.2">
      <c r="B992" s="3" t="s">
        <v>46</v>
      </c>
      <c r="C992" s="3" t="s">
        <v>161</v>
      </c>
      <c r="D992" s="3" t="s">
        <v>274</v>
      </c>
      <c r="E992" s="3">
        <v>10</v>
      </c>
      <c r="G992" s="13"/>
    </row>
    <row r="993" spans="2:7" ht="12.75" x14ac:dyDescent="0.2">
      <c r="B993" s="3" t="s">
        <v>46</v>
      </c>
      <c r="C993" s="3" t="s">
        <v>161</v>
      </c>
      <c r="D993" s="3" t="s">
        <v>19</v>
      </c>
      <c r="E993" s="3">
        <v>13</v>
      </c>
      <c r="G993" s="13"/>
    </row>
    <row r="994" spans="2:7" ht="12.75" x14ac:dyDescent="0.2">
      <c r="B994" s="3" t="s">
        <v>46</v>
      </c>
      <c r="C994" s="3" t="s">
        <v>161</v>
      </c>
      <c r="D994" s="3" t="s">
        <v>340</v>
      </c>
      <c r="E994" s="3">
        <v>2</v>
      </c>
      <c r="G994" s="13"/>
    </row>
    <row r="995" spans="2:7" ht="12.75" x14ac:dyDescent="0.2">
      <c r="B995" s="3" t="s">
        <v>46</v>
      </c>
      <c r="C995" s="3" t="s">
        <v>161</v>
      </c>
      <c r="D995" s="3" t="s">
        <v>132</v>
      </c>
      <c r="E995" s="3">
        <v>326</v>
      </c>
      <c r="G995" s="13"/>
    </row>
    <row r="996" spans="2:7" ht="12.75" x14ac:dyDescent="0.2">
      <c r="B996" s="3" t="s">
        <v>46</v>
      </c>
      <c r="C996" s="3" t="s">
        <v>161</v>
      </c>
      <c r="D996" s="3" t="s">
        <v>339</v>
      </c>
      <c r="E996" s="3">
        <v>14</v>
      </c>
      <c r="G996" s="13"/>
    </row>
    <row r="997" spans="2:7" ht="12.75" x14ac:dyDescent="0.2">
      <c r="B997" s="3" t="s">
        <v>46</v>
      </c>
      <c r="C997" s="3" t="s">
        <v>161</v>
      </c>
      <c r="D997" s="3" t="s">
        <v>338</v>
      </c>
      <c r="E997" s="3">
        <v>84</v>
      </c>
      <c r="F997">
        <f>SUM(E990:E997)</f>
        <v>1521</v>
      </c>
      <c r="G997" s="13"/>
    </row>
    <row r="998" spans="2:7" ht="12.75" x14ac:dyDescent="0.2">
      <c r="B998" s="3" t="s">
        <v>78</v>
      </c>
      <c r="C998" s="3" t="s">
        <v>162</v>
      </c>
      <c r="D998" s="3" t="s">
        <v>3</v>
      </c>
      <c r="E998" s="3">
        <v>1798</v>
      </c>
      <c r="G998" s="13"/>
    </row>
    <row r="999" spans="2:7" ht="12.75" x14ac:dyDescent="0.2">
      <c r="B999" s="3" t="s">
        <v>78</v>
      </c>
      <c r="C999" s="3" t="s">
        <v>162</v>
      </c>
      <c r="D999" s="3" t="s">
        <v>19</v>
      </c>
      <c r="E999" s="3">
        <v>42</v>
      </c>
      <c r="G999" s="13"/>
    </row>
    <row r="1000" spans="2:7" ht="12.75" x14ac:dyDescent="0.2">
      <c r="B1000" s="3" t="s">
        <v>78</v>
      </c>
      <c r="C1000" s="3" t="s">
        <v>162</v>
      </c>
      <c r="D1000" s="3" t="s">
        <v>340</v>
      </c>
      <c r="E1000" s="3">
        <v>11</v>
      </c>
      <c r="G1000" s="13"/>
    </row>
    <row r="1001" spans="2:7" ht="12.75" x14ac:dyDescent="0.2">
      <c r="B1001" s="3" t="s">
        <v>78</v>
      </c>
      <c r="C1001" s="3" t="s">
        <v>162</v>
      </c>
      <c r="D1001" s="3" t="s">
        <v>132</v>
      </c>
      <c r="E1001" s="3">
        <v>1165</v>
      </c>
      <c r="G1001" s="13"/>
    </row>
    <row r="1002" spans="2:7" ht="12.75" x14ac:dyDescent="0.2">
      <c r="B1002" s="3" t="s">
        <v>78</v>
      </c>
      <c r="C1002" s="3" t="s">
        <v>162</v>
      </c>
      <c r="D1002" s="3" t="s">
        <v>339</v>
      </c>
      <c r="E1002" s="3">
        <v>97</v>
      </c>
      <c r="G1002" s="13"/>
    </row>
    <row r="1003" spans="2:7" ht="12.75" x14ac:dyDescent="0.2">
      <c r="B1003" s="3" t="s">
        <v>78</v>
      </c>
      <c r="C1003" s="3" t="s">
        <v>162</v>
      </c>
      <c r="D1003" s="3" t="s">
        <v>338</v>
      </c>
      <c r="E1003" s="3">
        <v>344</v>
      </c>
      <c r="F1003">
        <f>SUM(E998:E1003)</f>
        <v>3457</v>
      </c>
      <c r="G1003" s="13"/>
    </row>
    <row r="1004" spans="2:7" ht="12.75" x14ac:dyDescent="0.2">
      <c r="B1004" s="3" t="s">
        <v>78</v>
      </c>
      <c r="C1004" s="3" t="s">
        <v>161</v>
      </c>
      <c r="D1004" s="3" t="s">
        <v>290</v>
      </c>
      <c r="E1004" s="3">
        <v>83</v>
      </c>
      <c r="G1004" s="13"/>
    </row>
    <row r="1005" spans="2:7" ht="12.75" x14ac:dyDescent="0.2">
      <c r="B1005" s="3" t="s">
        <v>78</v>
      </c>
      <c r="C1005" s="3" t="s">
        <v>161</v>
      </c>
      <c r="D1005" s="3" t="s">
        <v>3</v>
      </c>
      <c r="E1005" s="3">
        <v>1716</v>
      </c>
      <c r="G1005" s="13"/>
    </row>
    <row r="1006" spans="2:7" ht="12.75" x14ac:dyDescent="0.2">
      <c r="B1006" s="3" t="s">
        <v>78</v>
      </c>
      <c r="C1006" s="3" t="s">
        <v>161</v>
      </c>
      <c r="D1006" s="3" t="s">
        <v>274</v>
      </c>
      <c r="E1006" s="3">
        <v>21</v>
      </c>
      <c r="G1006" s="13"/>
    </row>
    <row r="1007" spans="2:7" ht="12.75" x14ac:dyDescent="0.2">
      <c r="B1007" s="3" t="s">
        <v>78</v>
      </c>
      <c r="C1007" s="3" t="s">
        <v>161</v>
      </c>
      <c r="D1007" s="3" t="s">
        <v>19</v>
      </c>
      <c r="E1007" s="3">
        <v>45</v>
      </c>
      <c r="G1007" s="13"/>
    </row>
    <row r="1008" spans="2:7" ht="12.75" x14ac:dyDescent="0.2">
      <c r="B1008" s="3" t="s">
        <v>78</v>
      </c>
      <c r="C1008" s="3" t="s">
        <v>161</v>
      </c>
      <c r="D1008" s="3" t="s">
        <v>340</v>
      </c>
      <c r="E1008" s="3">
        <v>13</v>
      </c>
      <c r="G1008" s="13"/>
    </row>
    <row r="1009" spans="2:7" ht="12.75" x14ac:dyDescent="0.2">
      <c r="B1009" s="3" t="s">
        <v>78</v>
      </c>
      <c r="C1009" s="3" t="s">
        <v>161</v>
      </c>
      <c r="D1009" s="3" t="s">
        <v>132</v>
      </c>
      <c r="E1009" s="3">
        <v>1043</v>
      </c>
      <c r="G1009" s="13"/>
    </row>
    <row r="1010" spans="2:7" ht="12.75" x14ac:dyDescent="0.2">
      <c r="B1010" s="3" t="s">
        <v>78</v>
      </c>
      <c r="C1010" s="3" t="s">
        <v>161</v>
      </c>
      <c r="D1010" s="3" t="s">
        <v>339</v>
      </c>
      <c r="E1010" s="3">
        <v>99</v>
      </c>
      <c r="G1010" s="13"/>
    </row>
    <row r="1011" spans="2:7" ht="12.75" x14ac:dyDescent="0.2">
      <c r="B1011" s="3" t="s">
        <v>78</v>
      </c>
      <c r="C1011" s="3" t="s">
        <v>161</v>
      </c>
      <c r="D1011" s="3" t="s">
        <v>338</v>
      </c>
      <c r="E1011" s="3">
        <v>214</v>
      </c>
      <c r="F1011">
        <f>SUM(E1004:E1011)</f>
        <v>3234</v>
      </c>
      <c r="G1011" s="13"/>
    </row>
    <row r="1012" spans="2:7" ht="12.75" x14ac:dyDescent="0.2">
      <c r="G1012" s="13"/>
    </row>
    <row r="1013" spans="2:7" ht="12.75" x14ac:dyDescent="0.2">
      <c r="G1013" s="13"/>
    </row>
    <row r="1014" spans="2:7" ht="12.75" x14ac:dyDescent="0.2">
      <c r="G1014" s="13"/>
    </row>
    <row r="1015" spans="2:7" ht="12.75" x14ac:dyDescent="0.2">
      <c r="G1015" s="13"/>
    </row>
    <row r="1016" spans="2:7" ht="12.75" x14ac:dyDescent="0.2">
      <c r="G1016" s="13"/>
    </row>
    <row r="1017" spans="2:7" ht="12.75" x14ac:dyDescent="0.2">
      <c r="G1017" s="13"/>
    </row>
    <row r="1018" spans="2:7" ht="12.75" x14ac:dyDescent="0.2">
      <c r="G1018" s="13"/>
    </row>
    <row r="1019" spans="2:7" ht="12.75" x14ac:dyDescent="0.2">
      <c r="G1019" s="13"/>
    </row>
    <row r="1020" spans="2:7" ht="12.75" x14ac:dyDescent="0.2">
      <c r="G1020" s="13"/>
    </row>
    <row r="1021" spans="2:7" ht="12.75" x14ac:dyDescent="0.2">
      <c r="G1021" s="13"/>
    </row>
    <row r="1022" spans="2:7" ht="12.75" x14ac:dyDescent="0.2">
      <c r="G1022" s="13"/>
    </row>
    <row r="1023" spans="2:7" ht="12.75" x14ac:dyDescent="0.2">
      <c r="G1023" s="13"/>
    </row>
    <row r="1024" spans="2:7" ht="12.75" x14ac:dyDescent="0.2">
      <c r="G1024" s="13"/>
    </row>
    <row r="1025" spans="7:7" ht="12.75" x14ac:dyDescent="0.2">
      <c r="G1025" s="13"/>
    </row>
    <row r="1026" spans="7:7" ht="12.75" x14ac:dyDescent="0.2">
      <c r="G1026" s="13"/>
    </row>
    <row r="1027" spans="7:7" ht="12.75" x14ac:dyDescent="0.2">
      <c r="G1027" s="13"/>
    </row>
    <row r="1028" spans="7:7" ht="12.75" x14ac:dyDescent="0.2">
      <c r="G1028" s="13"/>
    </row>
    <row r="1029" spans="7:7" ht="12.75" x14ac:dyDescent="0.2">
      <c r="G1029" s="13"/>
    </row>
    <row r="1030" spans="7:7" ht="12.75" x14ac:dyDescent="0.2">
      <c r="G1030" s="13"/>
    </row>
    <row r="1031" spans="7:7" ht="12.75" x14ac:dyDescent="0.2">
      <c r="G1031" s="13"/>
    </row>
    <row r="1032" spans="7:7" ht="12.75" x14ac:dyDescent="0.2">
      <c r="G1032" s="13"/>
    </row>
    <row r="1033" spans="7:7" ht="12.75" x14ac:dyDescent="0.2">
      <c r="G1033" s="13"/>
    </row>
    <row r="1034" spans="7:7" ht="12.75" x14ac:dyDescent="0.2">
      <c r="G1034" s="13"/>
    </row>
    <row r="1035" spans="7:7" ht="12.75" x14ac:dyDescent="0.2">
      <c r="G1035" s="13"/>
    </row>
    <row r="1036" spans="7:7" ht="12.75" x14ac:dyDescent="0.2">
      <c r="G1036" s="13"/>
    </row>
    <row r="1037" spans="7:7" ht="12.75" x14ac:dyDescent="0.2">
      <c r="G1037" s="13"/>
    </row>
    <row r="1038" spans="7:7" ht="12.75" x14ac:dyDescent="0.2">
      <c r="G1038" s="13"/>
    </row>
    <row r="1039" spans="7:7" ht="12.75" x14ac:dyDescent="0.2">
      <c r="G1039" s="13"/>
    </row>
    <row r="1040" spans="7:7" ht="12.75" x14ac:dyDescent="0.2">
      <c r="G1040" s="13"/>
    </row>
    <row r="1041" spans="7:7" ht="12.75" x14ac:dyDescent="0.2">
      <c r="G1041" s="13"/>
    </row>
    <row r="1042" spans="7:7" ht="12.75" x14ac:dyDescent="0.2">
      <c r="G1042" s="13"/>
    </row>
    <row r="1043" spans="7:7" ht="12.75" x14ac:dyDescent="0.2">
      <c r="G1043" s="13"/>
    </row>
    <row r="1044" spans="7:7" ht="12.75" x14ac:dyDescent="0.2">
      <c r="G1044" s="13"/>
    </row>
    <row r="1045" spans="7:7" ht="12.75" x14ac:dyDescent="0.2">
      <c r="G1045" s="13"/>
    </row>
    <row r="1046" spans="7:7" ht="12.75" x14ac:dyDescent="0.2">
      <c r="G1046" s="13"/>
    </row>
    <row r="1047" spans="7:7" ht="12.75" x14ac:dyDescent="0.2">
      <c r="G1047" s="13"/>
    </row>
    <row r="1048" spans="7:7" ht="12.75" x14ac:dyDescent="0.2">
      <c r="G1048" s="13"/>
    </row>
    <row r="1049" spans="7:7" ht="12.75" x14ac:dyDescent="0.2">
      <c r="G1049" s="13"/>
    </row>
    <row r="1050" spans="7:7" ht="12.75" x14ac:dyDescent="0.2">
      <c r="G1050" s="13"/>
    </row>
    <row r="1051" spans="7:7" ht="12.75" x14ac:dyDescent="0.2">
      <c r="G1051" s="13"/>
    </row>
    <row r="1052" spans="7:7" ht="12.75" x14ac:dyDescent="0.2">
      <c r="G1052" s="13"/>
    </row>
    <row r="1053" spans="7:7" ht="12.75" x14ac:dyDescent="0.2">
      <c r="G1053" s="13"/>
    </row>
    <row r="1054" spans="7:7" ht="12.75" x14ac:dyDescent="0.2">
      <c r="G1054" s="13"/>
    </row>
    <row r="1055" spans="7:7" ht="12.75" x14ac:dyDescent="0.2">
      <c r="G1055" s="13"/>
    </row>
    <row r="1056" spans="7:7" ht="12.75" x14ac:dyDescent="0.2">
      <c r="G1056" s="13"/>
    </row>
    <row r="1057" spans="7:7" ht="12.75" x14ac:dyDescent="0.2">
      <c r="G1057" s="13"/>
    </row>
    <row r="1058" spans="7:7" ht="12.75" x14ac:dyDescent="0.2">
      <c r="G1058" s="13"/>
    </row>
    <row r="1059" spans="7:7" ht="12.75" x14ac:dyDescent="0.2">
      <c r="G1059" s="13"/>
    </row>
    <row r="1060" spans="7:7" ht="12.75" x14ac:dyDescent="0.2">
      <c r="G1060" s="13"/>
    </row>
    <row r="1061" spans="7:7" ht="12.75" x14ac:dyDescent="0.2">
      <c r="G1061" s="13"/>
    </row>
    <row r="1062" spans="7:7" ht="12.75" x14ac:dyDescent="0.2">
      <c r="G1062" s="13"/>
    </row>
    <row r="1063" spans="7:7" ht="12.75" x14ac:dyDescent="0.2">
      <c r="G1063" s="13"/>
    </row>
    <row r="1064" spans="7:7" ht="12.75" x14ac:dyDescent="0.2">
      <c r="G1064" s="13"/>
    </row>
    <row r="1065" spans="7:7" ht="12.75" x14ac:dyDescent="0.2">
      <c r="G1065" s="13"/>
    </row>
    <row r="1066" spans="7:7" ht="12.75" x14ac:dyDescent="0.2">
      <c r="G1066" s="13"/>
    </row>
    <row r="1067" spans="7:7" ht="12.75" x14ac:dyDescent="0.2">
      <c r="G1067" s="13"/>
    </row>
    <row r="1068" spans="7:7" ht="12.75" x14ac:dyDescent="0.2">
      <c r="G1068" s="13"/>
    </row>
    <row r="1069" spans="7:7" ht="12.75" x14ac:dyDescent="0.2">
      <c r="G1069" s="13"/>
    </row>
    <row r="1070" spans="7:7" ht="12.75" x14ac:dyDescent="0.2">
      <c r="G1070" s="13"/>
    </row>
    <row r="1071" spans="7:7" ht="12.75" x14ac:dyDescent="0.2">
      <c r="G1071" s="13"/>
    </row>
    <row r="1072" spans="7:7" ht="12.75" x14ac:dyDescent="0.2">
      <c r="G1072" s="13"/>
    </row>
    <row r="1073" spans="7:7" ht="12.75" x14ac:dyDescent="0.2">
      <c r="G1073" s="13"/>
    </row>
    <row r="1074" spans="7:7" ht="12.75" x14ac:dyDescent="0.2">
      <c r="G1074" s="13"/>
    </row>
    <row r="1075" spans="7:7" ht="12.75" x14ac:dyDescent="0.2">
      <c r="G1075" s="13"/>
    </row>
    <row r="1076" spans="7:7" ht="12.75" x14ac:dyDescent="0.2">
      <c r="G1076" s="13"/>
    </row>
    <row r="1077" spans="7:7" ht="12.75" x14ac:dyDescent="0.2">
      <c r="G1077" s="13"/>
    </row>
  </sheetData>
  <autoFilter ref="A5:E1084" xr:uid="{00000000-0009-0000-0000-000006000000}"/>
  <mergeCells count="1">
    <mergeCell ref="G732:G745"/>
  </mergeCells>
  <dataValidations count="2">
    <dataValidation type="list" allowBlank="1" showErrorMessage="1" sqref="C1:C1084" xr:uid="{00000000-0002-0000-0600-000000000000}">
      <formula1>$I$4:$I$11</formula1>
    </dataValidation>
    <dataValidation type="list" allowBlank="1" sqref="D1:D1084" xr:uid="{00000000-0002-0000-0600-000001000000}">
      <formula1>$J$4:$J$85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2000000}">
          <x14:formula1>
            <xm:f>'Copia de Localidades'!$A$4:$A$98</xm:f>
          </x14:formula1>
          <xm:sqref>B1:B1084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K921"/>
  <sheetViews>
    <sheetView workbookViewId="0"/>
  </sheetViews>
  <sheetFormatPr baseColWidth="10" defaultColWidth="14.42578125" defaultRowHeight="15.75" customHeight="1" x14ac:dyDescent="0.2"/>
  <cols>
    <col min="1" max="1" width="7.42578125" customWidth="1"/>
    <col min="2" max="2" width="25.140625" customWidth="1"/>
    <col min="3" max="3" width="15.7109375" customWidth="1"/>
    <col min="4" max="4" width="31" customWidth="1"/>
    <col min="5" max="5" width="8.5703125" customWidth="1"/>
    <col min="6" max="6" width="7.42578125" customWidth="1"/>
    <col min="7" max="7" width="9" customWidth="1"/>
    <col min="10" max="10" width="28.7109375" customWidth="1"/>
    <col min="11" max="11" width="42.7109375" customWidth="1"/>
  </cols>
  <sheetData>
    <row r="2" spans="1:11" ht="12.75" x14ac:dyDescent="0.2">
      <c r="G2" s="19"/>
    </row>
    <row r="3" spans="1:11" ht="12.75" x14ac:dyDescent="0.2">
      <c r="A3" s="31" t="s">
        <v>4</v>
      </c>
      <c r="B3" s="17" t="s">
        <v>5</v>
      </c>
      <c r="C3" s="31" t="s">
        <v>6</v>
      </c>
      <c r="D3" s="31" t="s">
        <v>1</v>
      </c>
      <c r="E3" s="31"/>
      <c r="F3" s="31" t="s">
        <v>8</v>
      </c>
      <c r="G3" s="19" t="s">
        <v>271</v>
      </c>
      <c r="J3" s="14" t="s">
        <v>0</v>
      </c>
      <c r="K3" s="14" t="s">
        <v>1</v>
      </c>
    </row>
    <row r="4" spans="1:11" ht="12.75" x14ac:dyDescent="0.2">
      <c r="A4" s="3">
        <v>1</v>
      </c>
      <c r="B4" s="4" t="s">
        <v>12</v>
      </c>
      <c r="C4" s="3" t="s">
        <v>125</v>
      </c>
      <c r="D4" s="3" t="s">
        <v>290</v>
      </c>
      <c r="E4" s="3">
        <v>6</v>
      </c>
      <c r="G4" s="59"/>
      <c r="J4" s="3" t="s">
        <v>2</v>
      </c>
      <c r="K4" s="3" t="s">
        <v>3</v>
      </c>
    </row>
    <row r="5" spans="1:11" ht="12.75" x14ac:dyDescent="0.2">
      <c r="A5" s="3">
        <v>1</v>
      </c>
      <c r="B5" s="4" t="s">
        <v>12</v>
      </c>
      <c r="C5" s="3" t="s">
        <v>125</v>
      </c>
      <c r="D5" s="3" t="s">
        <v>16</v>
      </c>
      <c r="E5" s="3">
        <v>488</v>
      </c>
      <c r="G5" s="57"/>
      <c r="J5" s="3" t="s">
        <v>10</v>
      </c>
      <c r="K5" s="3" t="s">
        <v>11</v>
      </c>
    </row>
    <row r="6" spans="1:11" ht="12.75" x14ac:dyDescent="0.2">
      <c r="A6" s="3">
        <v>1</v>
      </c>
      <c r="B6" s="4" t="s">
        <v>12</v>
      </c>
      <c r="C6" s="3" t="s">
        <v>125</v>
      </c>
      <c r="D6" s="3" t="s">
        <v>346</v>
      </c>
      <c r="E6" s="3">
        <v>17</v>
      </c>
      <c r="G6" s="57"/>
      <c r="J6" s="3" t="s">
        <v>13</v>
      </c>
      <c r="K6" s="3" t="s">
        <v>14</v>
      </c>
    </row>
    <row r="7" spans="1:11" ht="12.75" x14ac:dyDescent="0.2">
      <c r="A7" s="3">
        <v>1</v>
      </c>
      <c r="B7" s="4" t="s">
        <v>12</v>
      </c>
      <c r="C7" s="3" t="s">
        <v>125</v>
      </c>
      <c r="D7" s="3" t="s">
        <v>316</v>
      </c>
      <c r="E7" s="3">
        <v>30</v>
      </c>
      <c r="G7" s="57"/>
      <c r="J7" s="3" t="s">
        <v>15</v>
      </c>
      <c r="K7" s="3" t="s">
        <v>16</v>
      </c>
    </row>
    <row r="8" spans="1:11" ht="12.75" x14ac:dyDescent="0.2">
      <c r="A8" s="3">
        <v>1</v>
      </c>
      <c r="B8" s="4" t="s">
        <v>12</v>
      </c>
      <c r="C8" s="3" t="s">
        <v>125</v>
      </c>
      <c r="D8" s="3" t="s">
        <v>132</v>
      </c>
      <c r="E8" s="3">
        <v>388</v>
      </c>
      <c r="G8" s="57"/>
      <c r="J8" s="3" t="s">
        <v>17</v>
      </c>
      <c r="K8" s="3" t="s">
        <v>18</v>
      </c>
    </row>
    <row r="9" spans="1:11" ht="12.75" x14ac:dyDescent="0.2">
      <c r="A9" s="3">
        <v>1</v>
      </c>
      <c r="B9" s="4" t="s">
        <v>12</v>
      </c>
      <c r="C9" s="3" t="s">
        <v>125</v>
      </c>
      <c r="D9" s="3" t="s">
        <v>14</v>
      </c>
      <c r="E9" s="3">
        <v>329</v>
      </c>
      <c r="G9" s="57"/>
      <c r="J9" s="3" t="s">
        <v>347</v>
      </c>
      <c r="K9" s="3" t="s">
        <v>19</v>
      </c>
    </row>
    <row r="10" spans="1:11" ht="12.75" x14ac:dyDescent="0.2">
      <c r="A10" s="3">
        <v>1</v>
      </c>
      <c r="B10" s="4" t="s">
        <v>12</v>
      </c>
      <c r="C10" s="3" t="s">
        <v>125</v>
      </c>
      <c r="D10" s="3" t="s">
        <v>138</v>
      </c>
      <c r="E10" s="3">
        <v>7</v>
      </c>
      <c r="F10">
        <f>SUM(E4:E10)</f>
        <v>1265</v>
      </c>
      <c r="G10" s="57"/>
      <c r="J10" s="3" t="s">
        <v>273</v>
      </c>
      <c r="K10" s="3" t="s">
        <v>274</v>
      </c>
    </row>
    <row r="11" spans="1:11" ht="12.75" x14ac:dyDescent="0.2">
      <c r="A11" s="3">
        <v>2</v>
      </c>
      <c r="B11" s="4" t="s">
        <v>25</v>
      </c>
      <c r="C11" s="3" t="s">
        <v>125</v>
      </c>
      <c r="D11" s="3" t="s">
        <v>290</v>
      </c>
      <c r="E11" s="3">
        <v>53</v>
      </c>
      <c r="G11" s="59"/>
      <c r="J11" s="3" t="s">
        <v>125</v>
      </c>
      <c r="K11" s="3" t="s">
        <v>20</v>
      </c>
    </row>
    <row r="12" spans="1:11" ht="12.75" x14ac:dyDescent="0.2">
      <c r="A12" s="3">
        <v>2</v>
      </c>
      <c r="B12" s="4" t="s">
        <v>25</v>
      </c>
      <c r="C12" s="3" t="s">
        <v>125</v>
      </c>
      <c r="D12" s="3" t="s">
        <v>16</v>
      </c>
      <c r="E12" s="3">
        <v>1705</v>
      </c>
      <c r="G12" s="57"/>
      <c r="K12" s="3" t="s">
        <v>21</v>
      </c>
    </row>
    <row r="13" spans="1:11" ht="12.75" x14ac:dyDescent="0.2">
      <c r="A13" s="3">
        <v>2</v>
      </c>
      <c r="B13" s="4" t="s">
        <v>25</v>
      </c>
      <c r="C13" s="3" t="s">
        <v>125</v>
      </c>
      <c r="D13" s="3" t="s">
        <v>346</v>
      </c>
      <c r="E13" s="3">
        <v>19</v>
      </c>
      <c r="G13" s="57"/>
      <c r="K13" s="3" t="s">
        <v>22</v>
      </c>
    </row>
    <row r="14" spans="1:11" ht="12.75" x14ac:dyDescent="0.2">
      <c r="A14" s="3">
        <v>2</v>
      </c>
      <c r="B14" s="4" t="s">
        <v>25</v>
      </c>
      <c r="C14" s="3" t="s">
        <v>125</v>
      </c>
      <c r="D14" s="3" t="s">
        <v>316</v>
      </c>
      <c r="E14" s="3">
        <v>46</v>
      </c>
      <c r="G14" s="57"/>
      <c r="K14" s="3" t="s">
        <v>275</v>
      </c>
    </row>
    <row r="15" spans="1:11" ht="12.75" x14ac:dyDescent="0.2">
      <c r="A15" s="3">
        <v>2</v>
      </c>
      <c r="B15" s="4" t="s">
        <v>25</v>
      </c>
      <c r="C15" s="3" t="s">
        <v>125</v>
      </c>
      <c r="D15" s="3" t="s">
        <v>132</v>
      </c>
      <c r="E15" s="3">
        <v>1314</v>
      </c>
      <c r="G15" s="57"/>
      <c r="K15" s="3" t="s">
        <v>276</v>
      </c>
    </row>
    <row r="16" spans="1:11" ht="12.75" x14ac:dyDescent="0.2">
      <c r="A16" s="3">
        <v>2</v>
      </c>
      <c r="B16" s="4" t="s">
        <v>25</v>
      </c>
      <c r="C16" s="3" t="s">
        <v>125</v>
      </c>
      <c r="D16" s="3" t="s">
        <v>14</v>
      </c>
      <c r="E16" s="3">
        <v>467</v>
      </c>
      <c r="G16" s="57"/>
      <c r="K16" s="3" t="s">
        <v>23</v>
      </c>
    </row>
    <row r="17" spans="1:11" ht="12.75" x14ac:dyDescent="0.2">
      <c r="A17" s="3">
        <v>2</v>
      </c>
      <c r="B17" s="4" t="s">
        <v>25</v>
      </c>
      <c r="C17" s="3" t="s">
        <v>125</v>
      </c>
      <c r="D17" s="3" t="s">
        <v>138</v>
      </c>
      <c r="E17" s="3">
        <v>14</v>
      </c>
      <c r="F17">
        <f>SUM(E11:E17)</f>
        <v>3618</v>
      </c>
      <c r="G17" s="57"/>
      <c r="K17" s="3" t="s">
        <v>24</v>
      </c>
    </row>
    <row r="18" spans="1:11" ht="12.75" x14ac:dyDescent="0.2">
      <c r="A18" s="3">
        <v>3</v>
      </c>
      <c r="B18" s="4" t="s">
        <v>35</v>
      </c>
      <c r="C18" s="3" t="s">
        <v>125</v>
      </c>
      <c r="D18" s="3" t="s">
        <v>290</v>
      </c>
      <c r="E18" s="3">
        <v>4</v>
      </c>
      <c r="G18" s="59"/>
      <c r="K18" s="3" t="s">
        <v>26</v>
      </c>
    </row>
    <row r="19" spans="1:11" ht="12.75" x14ac:dyDescent="0.2">
      <c r="A19" s="3">
        <v>3</v>
      </c>
      <c r="B19" s="4" t="s">
        <v>35</v>
      </c>
      <c r="C19" s="3" t="s">
        <v>125</v>
      </c>
      <c r="D19" s="3" t="s">
        <v>16</v>
      </c>
      <c r="E19" s="3">
        <v>745</v>
      </c>
      <c r="G19" s="57"/>
      <c r="K19" s="3" t="s">
        <v>141</v>
      </c>
    </row>
    <row r="20" spans="1:11" ht="12.75" x14ac:dyDescent="0.2">
      <c r="A20" s="3">
        <v>3</v>
      </c>
      <c r="B20" s="4" t="s">
        <v>35</v>
      </c>
      <c r="C20" s="3" t="s">
        <v>125</v>
      </c>
      <c r="D20" s="3" t="s">
        <v>346</v>
      </c>
      <c r="E20" s="3">
        <v>3</v>
      </c>
      <c r="G20" s="57"/>
      <c r="K20" s="3" t="s">
        <v>27</v>
      </c>
    </row>
    <row r="21" spans="1:11" ht="12.75" x14ac:dyDescent="0.2">
      <c r="A21" s="3">
        <v>3</v>
      </c>
      <c r="B21" s="4" t="s">
        <v>35</v>
      </c>
      <c r="C21" s="3" t="s">
        <v>125</v>
      </c>
      <c r="D21" s="3" t="s">
        <v>316</v>
      </c>
      <c r="E21" s="3">
        <v>14</v>
      </c>
      <c r="G21" s="57"/>
      <c r="K21" s="3" t="s">
        <v>28</v>
      </c>
    </row>
    <row r="22" spans="1:11" ht="12.75" x14ac:dyDescent="0.2">
      <c r="A22" s="3">
        <v>3</v>
      </c>
      <c r="B22" s="4" t="s">
        <v>35</v>
      </c>
      <c r="C22" s="3" t="s">
        <v>125</v>
      </c>
      <c r="D22" s="3" t="s">
        <v>132</v>
      </c>
      <c r="E22" s="3">
        <v>848</v>
      </c>
      <c r="G22" s="57"/>
      <c r="K22" s="3" t="s">
        <v>29</v>
      </c>
    </row>
    <row r="23" spans="1:11" ht="12.75" x14ac:dyDescent="0.2">
      <c r="A23" s="3">
        <v>3</v>
      </c>
      <c r="B23" s="4" t="s">
        <v>35</v>
      </c>
      <c r="C23" s="3" t="s">
        <v>125</v>
      </c>
      <c r="D23" s="3" t="s">
        <v>14</v>
      </c>
      <c r="E23" s="3">
        <v>138</v>
      </c>
      <c r="G23" s="57"/>
      <c r="K23" s="3" t="s">
        <v>278</v>
      </c>
    </row>
    <row r="24" spans="1:11" ht="12.75" x14ac:dyDescent="0.2">
      <c r="A24" s="3">
        <v>3</v>
      </c>
      <c r="B24" s="4" t="s">
        <v>35</v>
      </c>
      <c r="C24" s="3" t="s">
        <v>125</v>
      </c>
      <c r="D24" s="3" t="s">
        <v>138</v>
      </c>
      <c r="E24" s="3">
        <v>13</v>
      </c>
      <c r="F24">
        <f>SUM(E18:E24)</f>
        <v>1765</v>
      </c>
      <c r="G24" s="57"/>
      <c r="K24" s="3" t="s">
        <v>144</v>
      </c>
    </row>
    <row r="25" spans="1:11" ht="12.75" x14ac:dyDescent="0.2">
      <c r="A25" s="3">
        <v>4</v>
      </c>
      <c r="B25" s="4" t="s">
        <v>36</v>
      </c>
      <c r="C25" s="3" t="s">
        <v>125</v>
      </c>
      <c r="D25" s="3" t="s">
        <v>290</v>
      </c>
      <c r="E25" s="3">
        <v>3</v>
      </c>
      <c r="G25" s="59"/>
      <c r="K25" s="3" t="s">
        <v>30</v>
      </c>
    </row>
    <row r="26" spans="1:11" ht="12.75" x14ac:dyDescent="0.2">
      <c r="A26" s="3">
        <v>4</v>
      </c>
      <c r="B26" s="4" t="s">
        <v>36</v>
      </c>
      <c r="C26" s="3" t="s">
        <v>125</v>
      </c>
      <c r="D26" s="3" t="s">
        <v>16</v>
      </c>
      <c r="E26" s="3">
        <v>246</v>
      </c>
      <c r="G26" s="57"/>
      <c r="K26" s="3" t="s">
        <v>31</v>
      </c>
    </row>
    <row r="27" spans="1:11" ht="12.75" x14ac:dyDescent="0.2">
      <c r="A27" s="3">
        <v>4</v>
      </c>
      <c r="B27" s="4" t="s">
        <v>36</v>
      </c>
      <c r="C27" s="3" t="s">
        <v>125</v>
      </c>
      <c r="D27" s="3" t="s">
        <v>346</v>
      </c>
      <c r="E27" s="3">
        <v>2</v>
      </c>
      <c r="G27" s="57"/>
      <c r="K27" s="3" t="s">
        <v>32</v>
      </c>
    </row>
    <row r="28" spans="1:11" ht="12.75" x14ac:dyDescent="0.2">
      <c r="A28" s="3">
        <v>4</v>
      </c>
      <c r="B28" s="4" t="s">
        <v>36</v>
      </c>
      <c r="C28" s="3" t="s">
        <v>125</v>
      </c>
      <c r="D28" s="3" t="s">
        <v>316</v>
      </c>
      <c r="E28" s="3">
        <v>8</v>
      </c>
      <c r="G28" s="57"/>
      <c r="K28" s="3" t="s">
        <v>33</v>
      </c>
    </row>
    <row r="29" spans="1:11" ht="12.75" x14ac:dyDescent="0.2">
      <c r="A29" s="3">
        <v>4</v>
      </c>
      <c r="B29" s="4" t="s">
        <v>36</v>
      </c>
      <c r="C29" s="3" t="s">
        <v>125</v>
      </c>
      <c r="D29" s="3" t="s">
        <v>132</v>
      </c>
      <c r="E29" s="3">
        <v>168</v>
      </c>
      <c r="G29" s="57"/>
      <c r="K29" s="3" t="s">
        <v>142</v>
      </c>
    </row>
    <row r="30" spans="1:11" ht="12.75" x14ac:dyDescent="0.2">
      <c r="A30" s="3">
        <v>4</v>
      </c>
      <c r="B30" s="4" t="s">
        <v>36</v>
      </c>
      <c r="C30" s="3" t="s">
        <v>125</v>
      </c>
      <c r="D30" s="3" t="s">
        <v>14</v>
      </c>
      <c r="E30" s="3">
        <v>80</v>
      </c>
      <c r="G30" s="57"/>
      <c r="K30" s="3" t="s">
        <v>34</v>
      </c>
    </row>
    <row r="31" spans="1:11" ht="12.75" x14ac:dyDescent="0.2">
      <c r="A31" s="3">
        <v>4</v>
      </c>
      <c r="B31" s="4" t="s">
        <v>36</v>
      </c>
      <c r="C31" s="3" t="s">
        <v>125</v>
      </c>
      <c r="D31" s="3" t="s">
        <v>138</v>
      </c>
      <c r="E31" s="3">
        <v>0</v>
      </c>
      <c r="F31">
        <f>SUM(E25:E31)</f>
        <v>507</v>
      </c>
      <c r="G31" s="57"/>
      <c r="K31" s="3" t="s">
        <v>279</v>
      </c>
    </row>
    <row r="32" spans="1:11" ht="12.75" x14ac:dyDescent="0.2">
      <c r="A32" s="3">
        <v>5</v>
      </c>
      <c r="B32" s="4" t="s">
        <v>37</v>
      </c>
      <c r="C32" s="3" t="s">
        <v>125</v>
      </c>
      <c r="D32" s="3" t="s">
        <v>290</v>
      </c>
      <c r="E32" s="3">
        <v>7</v>
      </c>
      <c r="G32" s="59"/>
      <c r="K32" s="3" t="s">
        <v>280</v>
      </c>
    </row>
    <row r="33" spans="1:11" ht="12.75" x14ac:dyDescent="0.2">
      <c r="A33" s="3">
        <v>5</v>
      </c>
      <c r="B33" s="4" t="s">
        <v>37</v>
      </c>
      <c r="C33" s="3" t="s">
        <v>125</v>
      </c>
      <c r="D33" s="3" t="s">
        <v>16</v>
      </c>
      <c r="E33" s="3">
        <v>33</v>
      </c>
      <c r="G33" s="57"/>
      <c r="K33" s="3" t="s">
        <v>281</v>
      </c>
    </row>
    <row r="34" spans="1:11" ht="12.75" x14ac:dyDescent="0.2">
      <c r="A34" s="3">
        <v>5</v>
      </c>
      <c r="B34" s="4" t="s">
        <v>37</v>
      </c>
      <c r="C34" s="3" t="s">
        <v>125</v>
      </c>
      <c r="D34" s="3" t="s">
        <v>346</v>
      </c>
      <c r="E34" s="3">
        <v>8</v>
      </c>
      <c r="G34" s="57"/>
      <c r="K34" s="3" t="s">
        <v>282</v>
      </c>
    </row>
    <row r="35" spans="1:11" ht="12.75" x14ac:dyDescent="0.2">
      <c r="A35" s="3">
        <v>5</v>
      </c>
      <c r="B35" s="4" t="s">
        <v>37</v>
      </c>
      <c r="C35" s="3" t="s">
        <v>125</v>
      </c>
      <c r="D35" s="3" t="s">
        <v>316</v>
      </c>
      <c r="E35" s="3">
        <v>16</v>
      </c>
      <c r="G35" s="57"/>
      <c r="K35" s="3" t="s">
        <v>283</v>
      </c>
    </row>
    <row r="36" spans="1:11" ht="12.75" x14ac:dyDescent="0.2">
      <c r="A36" s="3">
        <v>5</v>
      </c>
      <c r="B36" s="4" t="s">
        <v>37</v>
      </c>
      <c r="C36" s="3" t="s">
        <v>125</v>
      </c>
      <c r="D36" s="3" t="s">
        <v>132</v>
      </c>
      <c r="E36" s="3">
        <v>192</v>
      </c>
      <c r="G36" s="57"/>
      <c r="K36" s="3" t="s">
        <v>284</v>
      </c>
    </row>
    <row r="37" spans="1:11" ht="12.75" x14ac:dyDescent="0.2">
      <c r="A37" s="3">
        <v>5</v>
      </c>
      <c r="B37" s="4" t="s">
        <v>37</v>
      </c>
      <c r="C37" s="3" t="s">
        <v>125</v>
      </c>
      <c r="D37" s="3" t="s">
        <v>14</v>
      </c>
      <c r="E37" s="3">
        <v>74</v>
      </c>
      <c r="G37" s="57"/>
      <c r="K37" s="3" t="s">
        <v>285</v>
      </c>
    </row>
    <row r="38" spans="1:11" ht="12.75" x14ac:dyDescent="0.2">
      <c r="A38" s="3">
        <v>5</v>
      </c>
      <c r="B38" s="4" t="s">
        <v>37</v>
      </c>
      <c r="C38" s="3" t="s">
        <v>125</v>
      </c>
      <c r="D38" s="3" t="s">
        <v>138</v>
      </c>
      <c r="E38" s="3">
        <v>6</v>
      </c>
      <c r="F38">
        <f>SUM(E32:E38)</f>
        <v>336</v>
      </c>
      <c r="G38" s="57"/>
      <c r="K38" s="3" t="s">
        <v>286</v>
      </c>
    </row>
    <row r="39" spans="1:11" ht="12.75" x14ac:dyDescent="0.2">
      <c r="A39" s="3">
        <v>6</v>
      </c>
      <c r="B39" s="4" t="s">
        <v>38</v>
      </c>
      <c r="C39" s="3" t="s">
        <v>125</v>
      </c>
      <c r="D39" s="3" t="s">
        <v>290</v>
      </c>
      <c r="E39" s="3">
        <v>4</v>
      </c>
      <c r="G39" s="59"/>
      <c r="K39" s="3" t="s">
        <v>149</v>
      </c>
    </row>
    <row r="40" spans="1:11" ht="12.75" x14ac:dyDescent="0.2">
      <c r="A40" s="3">
        <v>6</v>
      </c>
      <c r="B40" s="4" t="s">
        <v>38</v>
      </c>
      <c r="C40" s="3" t="s">
        <v>125</v>
      </c>
      <c r="D40" s="3" t="s">
        <v>16</v>
      </c>
      <c r="E40" s="3">
        <v>612</v>
      </c>
      <c r="G40" s="57"/>
      <c r="K40" s="3" t="s">
        <v>287</v>
      </c>
    </row>
    <row r="41" spans="1:11" ht="12.75" x14ac:dyDescent="0.2">
      <c r="A41" s="3">
        <v>6</v>
      </c>
      <c r="B41" s="4" t="s">
        <v>38</v>
      </c>
      <c r="C41" s="3" t="s">
        <v>125</v>
      </c>
      <c r="D41" s="3" t="s">
        <v>346</v>
      </c>
      <c r="E41" s="3">
        <v>6</v>
      </c>
      <c r="G41" s="57"/>
      <c r="K41" s="3" t="s">
        <v>288</v>
      </c>
    </row>
    <row r="42" spans="1:11" ht="12.75" x14ac:dyDescent="0.2">
      <c r="A42" s="3">
        <v>6</v>
      </c>
      <c r="B42" s="4" t="s">
        <v>38</v>
      </c>
      <c r="C42" s="3" t="s">
        <v>125</v>
      </c>
      <c r="D42" s="3" t="s">
        <v>316</v>
      </c>
      <c r="E42" s="3">
        <v>20</v>
      </c>
      <c r="G42" s="57"/>
      <c r="K42" s="3" t="s">
        <v>289</v>
      </c>
    </row>
    <row r="43" spans="1:11" ht="12.75" x14ac:dyDescent="0.2">
      <c r="A43" s="3">
        <v>6</v>
      </c>
      <c r="B43" s="4" t="s">
        <v>38</v>
      </c>
      <c r="C43" s="3" t="s">
        <v>125</v>
      </c>
      <c r="D43" s="3" t="s">
        <v>132</v>
      </c>
      <c r="E43" s="3">
        <v>623</v>
      </c>
      <c r="G43" s="57"/>
      <c r="K43" s="3" t="s">
        <v>290</v>
      </c>
    </row>
    <row r="44" spans="1:11" ht="12.75" x14ac:dyDescent="0.2">
      <c r="A44" s="3">
        <v>6</v>
      </c>
      <c r="B44" s="4" t="s">
        <v>38</v>
      </c>
      <c r="C44" s="3" t="s">
        <v>125</v>
      </c>
      <c r="D44" s="3" t="s">
        <v>14</v>
      </c>
      <c r="E44" s="3">
        <v>121</v>
      </c>
      <c r="G44" s="57"/>
      <c r="K44" s="3" t="s">
        <v>291</v>
      </c>
    </row>
    <row r="45" spans="1:11" ht="12.75" x14ac:dyDescent="0.2">
      <c r="A45" s="3">
        <v>6</v>
      </c>
      <c r="B45" s="4" t="s">
        <v>38</v>
      </c>
      <c r="C45" s="3" t="s">
        <v>125</v>
      </c>
      <c r="D45" s="3" t="s">
        <v>138</v>
      </c>
      <c r="E45" s="3">
        <v>13</v>
      </c>
      <c r="F45">
        <f>SUM(E39:E45)</f>
        <v>1399</v>
      </c>
      <c r="G45" s="57"/>
      <c r="K45" s="3" t="s">
        <v>292</v>
      </c>
    </row>
    <row r="46" spans="1:11" ht="12.75" x14ac:dyDescent="0.2">
      <c r="A46" s="2" t="s">
        <v>39</v>
      </c>
      <c r="B46" s="4" t="s">
        <v>40</v>
      </c>
      <c r="C46" s="3" t="s">
        <v>125</v>
      </c>
      <c r="D46" s="3" t="s">
        <v>290</v>
      </c>
      <c r="E46" s="3">
        <v>1098</v>
      </c>
      <c r="G46" s="59"/>
      <c r="K46" s="3" t="s">
        <v>293</v>
      </c>
    </row>
    <row r="47" spans="1:11" ht="12.75" x14ac:dyDescent="0.2">
      <c r="A47" s="2" t="s">
        <v>39</v>
      </c>
      <c r="B47" s="4" t="s">
        <v>40</v>
      </c>
      <c r="C47" s="3" t="s">
        <v>125</v>
      </c>
      <c r="D47" s="3" t="s">
        <v>16</v>
      </c>
      <c r="E47" s="3">
        <v>27118</v>
      </c>
      <c r="G47" s="57"/>
      <c r="K47" s="3" t="s">
        <v>140</v>
      </c>
    </row>
    <row r="48" spans="1:11" ht="12.75" x14ac:dyDescent="0.2">
      <c r="A48" s="2" t="s">
        <v>39</v>
      </c>
      <c r="B48" s="4" t="s">
        <v>40</v>
      </c>
      <c r="C48" s="3" t="s">
        <v>125</v>
      </c>
      <c r="D48" s="3" t="s">
        <v>346</v>
      </c>
      <c r="E48" s="3">
        <v>753</v>
      </c>
      <c r="G48" s="57"/>
      <c r="K48" s="3" t="s">
        <v>294</v>
      </c>
    </row>
    <row r="49" spans="1:11" ht="12.75" x14ac:dyDescent="0.2">
      <c r="A49" s="2" t="s">
        <v>39</v>
      </c>
      <c r="B49" s="4" t="s">
        <v>40</v>
      </c>
      <c r="C49" s="3" t="s">
        <v>125</v>
      </c>
      <c r="D49" s="3" t="s">
        <v>316</v>
      </c>
      <c r="E49" s="3">
        <v>2127</v>
      </c>
      <c r="G49" s="57"/>
      <c r="K49" s="3" t="s">
        <v>295</v>
      </c>
    </row>
    <row r="50" spans="1:11" ht="12.75" x14ac:dyDescent="0.2">
      <c r="A50" s="2" t="s">
        <v>39</v>
      </c>
      <c r="B50" s="4" t="s">
        <v>40</v>
      </c>
      <c r="C50" s="3" t="s">
        <v>125</v>
      </c>
      <c r="D50" s="3" t="s">
        <v>132</v>
      </c>
      <c r="E50" s="3">
        <v>16431</v>
      </c>
      <c r="G50" s="57"/>
      <c r="K50" s="3" t="s">
        <v>296</v>
      </c>
    </row>
    <row r="51" spans="1:11" ht="12.75" x14ac:dyDescent="0.2">
      <c r="A51" s="2" t="s">
        <v>39</v>
      </c>
      <c r="B51" s="4" t="s">
        <v>40</v>
      </c>
      <c r="C51" s="3" t="s">
        <v>125</v>
      </c>
      <c r="D51" s="3" t="s">
        <v>14</v>
      </c>
      <c r="E51" s="3">
        <v>16301</v>
      </c>
      <c r="G51" s="57"/>
      <c r="K51" s="3" t="s">
        <v>346</v>
      </c>
    </row>
    <row r="52" spans="1:11" ht="12.75" x14ac:dyDescent="0.2">
      <c r="A52" s="2" t="s">
        <v>39</v>
      </c>
      <c r="B52" s="4" t="s">
        <v>40</v>
      </c>
      <c r="C52" s="3" t="s">
        <v>125</v>
      </c>
      <c r="D52" s="3" t="s">
        <v>138</v>
      </c>
      <c r="E52" s="3">
        <v>685</v>
      </c>
      <c r="F52">
        <f>SUM(E46:E52)</f>
        <v>64513</v>
      </c>
      <c r="G52" s="57"/>
      <c r="K52" s="3" t="s">
        <v>297</v>
      </c>
    </row>
    <row r="53" spans="1:11" ht="12.75" x14ac:dyDescent="0.2">
      <c r="A53" s="3">
        <v>11</v>
      </c>
      <c r="B53" s="4" t="s">
        <v>41</v>
      </c>
      <c r="C53" s="3" t="s">
        <v>125</v>
      </c>
      <c r="D53" s="3" t="s">
        <v>290</v>
      </c>
      <c r="E53" s="3">
        <v>13</v>
      </c>
      <c r="G53" s="59"/>
      <c r="K53" s="3" t="s">
        <v>298</v>
      </c>
    </row>
    <row r="54" spans="1:11" ht="12.75" x14ac:dyDescent="0.2">
      <c r="A54" s="3">
        <v>11</v>
      </c>
      <c r="B54" s="4" t="s">
        <v>41</v>
      </c>
      <c r="C54" s="3" t="s">
        <v>125</v>
      </c>
      <c r="D54" s="3" t="s">
        <v>16</v>
      </c>
      <c r="E54" s="3">
        <v>797</v>
      </c>
      <c r="G54" s="57"/>
      <c r="K54" s="3" t="s">
        <v>299</v>
      </c>
    </row>
    <row r="55" spans="1:11" ht="12.75" x14ac:dyDescent="0.2">
      <c r="A55" s="3">
        <v>11</v>
      </c>
      <c r="B55" s="4" t="s">
        <v>41</v>
      </c>
      <c r="C55" s="3" t="s">
        <v>125</v>
      </c>
      <c r="D55" s="3" t="s">
        <v>346</v>
      </c>
      <c r="E55" s="3">
        <v>5</v>
      </c>
      <c r="G55" s="57"/>
      <c r="K55" s="3"/>
    </row>
    <row r="56" spans="1:11" ht="12.75" x14ac:dyDescent="0.2">
      <c r="A56" s="3">
        <v>11</v>
      </c>
      <c r="B56" s="4" t="s">
        <v>41</v>
      </c>
      <c r="C56" s="3" t="s">
        <v>125</v>
      </c>
      <c r="D56" s="3" t="s">
        <v>316</v>
      </c>
      <c r="E56" s="3">
        <v>25</v>
      </c>
      <c r="G56" s="57"/>
      <c r="K56" s="3" t="s">
        <v>300</v>
      </c>
    </row>
    <row r="57" spans="1:11" ht="12.75" x14ac:dyDescent="0.2">
      <c r="A57" s="3">
        <v>11</v>
      </c>
      <c r="B57" s="4" t="s">
        <v>41</v>
      </c>
      <c r="C57" s="3" t="s">
        <v>125</v>
      </c>
      <c r="D57" s="3" t="s">
        <v>132</v>
      </c>
      <c r="E57" s="3">
        <v>135</v>
      </c>
      <c r="G57" s="57"/>
      <c r="K57" s="3" t="s">
        <v>301</v>
      </c>
    </row>
    <row r="58" spans="1:11" ht="12.75" x14ac:dyDescent="0.2">
      <c r="A58" s="3">
        <v>11</v>
      </c>
      <c r="B58" s="4" t="s">
        <v>41</v>
      </c>
      <c r="C58" s="3" t="s">
        <v>125</v>
      </c>
      <c r="D58" s="3" t="s">
        <v>14</v>
      </c>
      <c r="E58" s="3">
        <v>219</v>
      </c>
      <c r="G58" s="57"/>
      <c r="K58" s="3"/>
    </row>
    <row r="59" spans="1:11" ht="12.75" x14ac:dyDescent="0.2">
      <c r="A59" s="3">
        <v>11</v>
      </c>
      <c r="B59" s="4" t="s">
        <v>41</v>
      </c>
      <c r="C59" s="3" t="s">
        <v>125</v>
      </c>
      <c r="D59" s="3" t="s">
        <v>138</v>
      </c>
      <c r="E59" s="3">
        <v>8</v>
      </c>
      <c r="F59">
        <f>SUM(E53:E59)</f>
        <v>1202</v>
      </c>
      <c r="G59" s="57"/>
      <c r="K59" s="3"/>
    </row>
    <row r="60" spans="1:11" ht="12.75" x14ac:dyDescent="0.2">
      <c r="A60" s="3">
        <v>13</v>
      </c>
      <c r="B60" s="4" t="s">
        <v>42</v>
      </c>
      <c r="C60" s="3" t="s">
        <v>125</v>
      </c>
      <c r="D60" s="3" t="s">
        <v>290</v>
      </c>
      <c r="E60" s="3">
        <v>59</v>
      </c>
      <c r="G60" s="59"/>
      <c r="K60" s="3" t="s">
        <v>302</v>
      </c>
    </row>
    <row r="61" spans="1:11" ht="12.75" x14ac:dyDescent="0.2">
      <c r="A61" s="3">
        <v>13</v>
      </c>
      <c r="B61" s="4" t="s">
        <v>42</v>
      </c>
      <c r="C61" s="3" t="s">
        <v>125</v>
      </c>
      <c r="D61" s="3" t="s">
        <v>16</v>
      </c>
      <c r="E61" s="3">
        <v>1368</v>
      </c>
      <c r="G61" s="57"/>
      <c r="K61" s="3" t="s">
        <v>303</v>
      </c>
    </row>
    <row r="62" spans="1:11" ht="12.75" x14ac:dyDescent="0.2">
      <c r="A62" s="3">
        <v>13</v>
      </c>
      <c r="B62" s="4" t="s">
        <v>42</v>
      </c>
      <c r="C62" s="3" t="s">
        <v>125</v>
      </c>
      <c r="D62" s="3" t="s">
        <v>346</v>
      </c>
      <c r="E62" s="3">
        <v>43</v>
      </c>
      <c r="G62" s="57"/>
      <c r="K62" s="3" t="s">
        <v>304</v>
      </c>
    </row>
    <row r="63" spans="1:11" ht="12.75" x14ac:dyDescent="0.2">
      <c r="A63" s="3">
        <v>13</v>
      </c>
      <c r="B63" s="4" t="s">
        <v>42</v>
      </c>
      <c r="C63" s="3" t="s">
        <v>125</v>
      </c>
      <c r="D63" s="3" t="s">
        <v>316</v>
      </c>
      <c r="E63" s="3">
        <v>80</v>
      </c>
      <c r="G63" s="57"/>
      <c r="K63" s="3" t="s">
        <v>305</v>
      </c>
    </row>
    <row r="64" spans="1:11" ht="12.75" x14ac:dyDescent="0.2">
      <c r="A64" s="3">
        <v>13</v>
      </c>
      <c r="B64" s="4" t="s">
        <v>42</v>
      </c>
      <c r="C64" s="3" t="s">
        <v>125</v>
      </c>
      <c r="D64" s="3" t="s">
        <v>132</v>
      </c>
      <c r="E64" s="3">
        <v>846</v>
      </c>
      <c r="G64" s="57"/>
      <c r="K64" s="3"/>
    </row>
    <row r="65" spans="1:11" ht="12.75" x14ac:dyDescent="0.2">
      <c r="A65" s="3">
        <v>13</v>
      </c>
      <c r="B65" s="4" t="s">
        <v>42</v>
      </c>
      <c r="C65" s="3" t="s">
        <v>125</v>
      </c>
      <c r="D65" s="3" t="s">
        <v>14</v>
      </c>
      <c r="E65" s="3">
        <v>325</v>
      </c>
      <c r="G65" s="57"/>
      <c r="K65" s="3" t="s">
        <v>306</v>
      </c>
    </row>
    <row r="66" spans="1:11" ht="12.75" x14ac:dyDescent="0.2">
      <c r="A66" s="3">
        <v>13</v>
      </c>
      <c r="B66" s="4" t="s">
        <v>42</v>
      </c>
      <c r="C66" s="3" t="s">
        <v>125</v>
      </c>
      <c r="D66" s="3" t="s">
        <v>138</v>
      </c>
      <c r="E66" s="3">
        <v>13</v>
      </c>
      <c r="F66">
        <f>SUM(E60:E66)</f>
        <v>2734</v>
      </c>
      <c r="G66" s="57"/>
      <c r="K66" s="3" t="s">
        <v>318</v>
      </c>
    </row>
    <row r="67" spans="1:11" ht="12.75" x14ac:dyDescent="0.2">
      <c r="A67" s="3">
        <v>14</v>
      </c>
      <c r="B67" s="4" t="s">
        <v>153</v>
      </c>
      <c r="C67" s="3" t="s">
        <v>125</v>
      </c>
      <c r="D67" s="3" t="s">
        <v>290</v>
      </c>
      <c r="E67" s="3">
        <v>1</v>
      </c>
      <c r="G67" s="59"/>
      <c r="K67" s="3" t="s">
        <v>308</v>
      </c>
    </row>
    <row r="68" spans="1:11" ht="12.75" x14ac:dyDescent="0.2">
      <c r="A68" s="3">
        <v>14</v>
      </c>
      <c r="B68" s="4" t="s">
        <v>153</v>
      </c>
      <c r="C68" s="3" t="s">
        <v>125</v>
      </c>
      <c r="D68" s="3" t="s">
        <v>16</v>
      </c>
      <c r="E68" s="3">
        <v>11</v>
      </c>
      <c r="G68" s="57"/>
      <c r="K68" s="3" t="s">
        <v>309</v>
      </c>
    </row>
    <row r="69" spans="1:11" ht="12.75" x14ac:dyDescent="0.2">
      <c r="A69" s="3">
        <v>14</v>
      </c>
      <c r="B69" s="4" t="s">
        <v>153</v>
      </c>
      <c r="C69" s="3" t="s">
        <v>125</v>
      </c>
      <c r="D69" s="3" t="s">
        <v>346</v>
      </c>
      <c r="E69" s="3">
        <v>1</v>
      </c>
      <c r="G69" s="57"/>
      <c r="K69" s="3" t="s">
        <v>310</v>
      </c>
    </row>
    <row r="70" spans="1:11" ht="12.75" x14ac:dyDescent="0.2">
      <c r="A70" s="3">
        <v>14</v>
      </c>
      <c r="B70" s="4" t="s">
        <v>153</v>
      </c>
      <c r="C70" s="3" t="s">
        <v>125</v>
      </c>
      <c r="D70" s="3" t="s">
        <v>316</v>
      </c>
      <c r="E70" s="3">
        <v>0</v>
      </c>
      <c r="G70" s="57"/>
      <c r="K70" s="3" t="s">
        <v>311</v>
      </c>
    </row>
    <row r="71" spans="1:11" ht="12.75" x14ac:dyDescent="0.2">
      <c r="A71" s="3">
        <v>14</v>
      </c>
      <c r="B71" s="4" t="s">
        <v>153</v>
      </c>
      <c r="C71" s="3" t="s">
        <v>125</v>
      </c>
      <c r="D71" s="3" t="s">
        <v>132</v>
      </c>
      <c r="E71" s="3">
        <v>7</v>
      </c>
      <c r="G71" s="57"/>
      <c r="K71" s="3" t="s">
        <v>143</v>
      </c>
    </row>
    <row r="72" spans="1:11" ht="12.75" x14ac:dyDescent="0.2">
      <c r="A72" s="3">
        <v>14</v>
      </c>
      <c r="B72" s="4" t="s">
        <v>153</v>
      </c>
      <c r="C72" s="3" t="s">
        <v>125</v>
      </c>
      <c r="D72" s="3" t="s">
        <v>14</v>
      </c>
      <c r="E72" s="3">
        <v>5</v>
      </c>
      <c r="G72" s="57"/>
      <c r="K72" s="3" t="s">
        <v>312</v>
      </c>
    </row>
    <row r="73" spans="1:11" ht="12.75" x14ac:dyDescent="0.2">
      <c r="A73" s="3">
        <v>14</v>
      </c>
      <c r="B73" s="4" t="s">
        <v>153</v>
      </c>
      <c r="C73" s="3" t="s">
        <v>125</v>
      </c>
      <c r="D73" s="3" t="s">
        <v>138</v>
      </c>
      <c r="E73" s="3">
        <v>1</v>
      </c>
      <c r="F73">
        <f>SUM(E67:E73)</f>
        <v>26</v>
      </c>
      <c r="G73" s="57"/>
      <c r="J73" s="3"/>
      <c r="K73" s="3" t="s">
        <v>313</v>
      </c>
    </row>
    <row r="74" spans="1:11" ht="12.75" x14ac:dyDescent="0.2">
      <c r="A74" s="3">
        <v>15</v>
      </c>
      <c r="B74" s="4" t="s">
        <v>43</v>
      </c>
      <c r="C74" s="3" t="s">
        <v>125</v>
      </c>
      <c r="D74" s="3" t="s">
        <v>290</v>
      </c>
      <c r="E74" s="3">
        <v>17</v>
      </c>
      <c r="G74" s="59"/>
      <c r="K74" s="3" t="s">
        <v>132</v>
      </c>
    </row>
    <row r="75" spans="1:11" ht="12.75" x14ac:dyDescent="0.2">
      <c r="A75" s="3">
        <v>15</v>
      </c>
      <c r="B75" s="4" t="s">
        <v>43</v>
      </c>
      <c r="C75" s="3" t="s">
        <v>125</v>
      </c>
      <c r="D75" s="3" t="s">
        <v>16</v>
      </c>
      <c r="E75" s="3">
        <v>591</v>
      </c>
      <c r="G75" s="57"/>
      <c r="K75" s="3" t="s">
        <v>138</v>
      </c>
    </row>
    <row r="76" spans="1:11" ht="12.75" x14ac:dyDescent="0.2">
      <c r="A76" s="3">
        <v>15</v>
      </c>
      <c r="B76" s="4" t="s">
        <v>43</v>
      </c>
      <c r="C76" s="3" t="s">
        <v>125</v>
      </c>
      <c r="D76" s="3" t="s">
        <v>346</v>
      </c>
      <c r="E76" s="3">
        <v>8</v>
      </c>
      <c r="G76" s="57"/>
      <c r="K76" s="3" t="s">
        <v>314</v>
      </c>
    </row>
    <row r="77" spans="1:11" ht="12.75" x14ac:dyDescent="0.2">
      <c r="A77" s="3">
        <v>15</v>
      </c>
      <c r="B77" s="4" t="s">
        <v>43</v>
      </c>
      <c r="C77" s="3" t="s">
        <v>125</v>
      </c>
      <c r="D77" s="3" t="s">
        <v>316</v>
      </c>
      <c r="E77" s="3">
        <v>53</v>
      </c>
      <c r="G77" s="57"/>
      <c r="K77" s="3" t="s">
        <v>315</v>
      </c>
    </row>
    <row r="78" spans="1:11" ht="12.75" x14ac:dyDescent="0.2">
      <c r="A78" s="3">
        <v>15</v>
      </c>
      <c r="B78" s="4" t="s">
        <v>43</v>
      </c>
      <c r="C78" s="3" t="s">
        <v>125</v>
      </c>
      <c r="D78" s="3" t="s">
        <v>132</v>
      </c>
      <c r="E78" s="3">
        <v>376</v>
      </c>
      <c r="G78" s="57"/>
      <c r="K78" s="3" t="s">
        <v>316</v>
      </c>
    </row>
    <row r="79" spans="1:11" ht="12.75" x14ac:dyDescent="0.2">
      <c r="A79" s="3">
        <v>15</v>
      </c>
      <c r="B79" s="4" t="s">
        <v>43</v>
      </c>
      <c r="C79" s="3" t="s">
        <v>125</v>
      </c>
      <c r="D79" s="3" t="s">
        <v>14</v>
      </c>
      <c r="E79" s="3">
        <v>162</v>
      </c>
      <c r="G79" s="57"/>
      <c r="K79" s="3" t="s">
        <v>128</v>
      </c>
    </row>
    <row r="80" spans="1:11" ht="12.75" x14ac:dyDescent="0.2">
      <c r="A80" s="3">
        <v>15</v>
      </c>
      <c r="B80" s="4" t="s">
        <v>43</v>
      </c>
      <c r="C80" s="3" t="s">
        <v>125</v>
      </c>
      <c r="D80" s="3" t="s">
        <v>138</v>
      </c>
      <c r="E80" s="3">
        <v>42</v>
      </c>
      <c r="F80">
        <f>SUM(E74:E80)</f>
        <v>1249</v>
      </c>
      <c r="G80" s="57"/>
      <c r="K80" s="3" t="s">
        <v>129</v>
      </c>
    </row>
    <row r="81" spans="1:11" ht="12.75" x14ac:dyDescent="0.2">
      <c r="A81" s="3">
        <v>16</v>
      </c>
      <c r="B81" s="4" t="s">
        <v>44</v>
      </c>
      <c r="C81" s="3" t="s">
        <v>125</v>
      </c>
      <c r="D81" s="3" t="s">
        <v>290</v>
      </c>
      <c r="E81" s="3">
        <v>7</v>
      </c>
      <c r="G81" s="59"/>
      <c r="K81" s="3" t="s">
        <v>317</v>
      </c>
    </row>
    <row r="82" spans="1:11" ht="12.75" x14ac:dyDescent="0.2">
      <c r="A82" s="3">
        <v>16</v>
      </c>
      <c r="B82" s="4" t="s">
        <v>44</v>
      </c>
      <c r="C82" s="3" t="s">
        <v>125</v>
      </c>
      <c r="D82" s="3" t="s">
        <v>16</v>
      </c>
      <c r="E82" s="3">
        <v>433</v>
      </c>
      <c r="G82" s="57"/>
      <c r="K82" s="3"/>
    </row>
    <row r="83" spans="1:11" ht="12.75" x14ac:dyDescent="0.2">
      <c r="A83" s="3">
        <v>16</v>
      </c>
      <c r="B83" s="4" t="s">
        <v>44</v>
      </c>
      <c r="C83" s="3" t="s">
        <v>125</v>
      </c>
      <c r="D83" s="3" t="s">
        <v>346</v>
      </c>
      <c r="E83" s="3">
        <v>2</v>
      </c>
      <c r="G83" s="57"/>
      <c r="K83" s="3"/>
    </row>
    <row r="84" spans="1:11" ht="12.75" x14ac:dyDescent="0.2">
      <c r="A84" s="3">
        <v>16</v>
      </c>
      <c r="B84" s="4" t="s">
        <v>44</v>
      </c>
      <c r="C84" s="3" t="s">
        <v>125</v>
      </c>
      <c r="D84" s="3" t="s">
        <v>316</v>
      </c>
      <c r="E84" s="3">
        <v>23</v>
      </c>
      <c r="G84" s="57"/>
      <c r="K84" s="3"/>
    </row>
    <row r="85" spans="1:11" ht="12.75" x14ac:dyDescent="0.2">
      <c r="A85" s="3">
        <v>16</v>
      </c>
      <c r="B85" s="4" t="s">
        <v>44</v>
      </c>
      <c r="C85" s="3" t="s">
        <v>125</v>
      </c>
      <c r="D85" s="3" t="s">
        <v>132</v>
      </c>
      <c r="E85" s="3">
        <v>208</v>
      </c>
      <c r="G85" s="57"/>
    </row>
    <row r="86" spans="1:11" ht="12.75" x14ac:dyDescent="0.2">
      <c r="A86" s="3">
        <v>16</v>
      </c>
      <c r="B86" s="4" t="s">
        <v>44</v>
      </c>
      <c r="C86" s="3" t="s">
        <v>125</v>
      </c>
      <c r="D86" s="3" t="s">
        <v>14</v>
      </c>
      <c r="E86" s="3">
        <v>79</v>
      </c>
      <c r="G86" s="57"/>
    </row>
    <row r="87" spans="1:11" ht="12.75" x14ac:dyDescent="0.2">
      <c r="A87" s="3">
        <v>16</v>
      </c>
      <c r="B87" s="4" t="s">
        <v>44</v>
      </c>
      <c r="C87" s="3" t="s">
        <v>125</v>
      </c>
      <c r="D87" s="3" t="s">
        <v>138</v>
      </c>
      <c r="E87" s="3">
        <v>8</v>
      </c>
      <c r="F87">
        <f>SUM(E81:E87)</f>
        <v>760</v>
      </c>
      <c r="G87" s="57"/>
    </row>
    <row r="88" spans="1:11" ht="12.75" x14ac:dyDescent="0.2">
      <c r="A88" s="3">
        <v>17</v>
      </c>
      <c r="B88" s="4" t="s">
        <v>45</v>
      </c>
      <c r="C88" s="3" t="s">
        <v>125</v>
      </c>
      <c r="D88" s="3" t="s">
        <v>290</v>
      </c>
      <c r="E88" s="3">
        <v>0</v>
      </c>
      <c r="G88" s="59"/>
    </row>
    <row r="89" spans="1:11" ht="12.75" x14ac:dyDescent="0.2">
      <c r="A89" s="3">
        <v>17</v>
      </c>
      <c r="B89" s="4" t="s">
        <v>45</v>
      </c>
      <c r="C89" s="3" t="s">
        <v>125</v>
      </c>
      <c r="D89" s="3" t="s">
        <v>16</v>
      </c>
      <c r="E89" s="3">
        <v>31</v>
      </c>
      <c r="G89" s="57"/>
    </row>
    <row r="90" spans="1:11" ht="12.75" x14ac:dyDescent="0.2">
      <c r="A90" s="3">
        <v>17</v>
      </c>
      <c r="B90" s="4" t="s">
        <v>45</v>
      </c>
      <c r="C90" s="3" t="s">
        <v>125</v>
      </c>
      <c r="D90" s="3" t="s">
        <v>346</v>
      </c>
      <c r="E90" s="3">
        <v>0</v>
      </c>
      <c r="G90" s="57"/>
    </row>
    <row r="91" spans="1:11" ht="12.75" x14ac:dyDescent="0.2">
      <c r="A91" s="3">
        <v>17</v>
      </c>
      <c r="B91" s="4" t="s">
        <v>45</v>
      </c>
      <c r="C91" s="3" t="s">
        <v>125</v>
      </c>
      <c r="D91" s="3" t="s">
        <v>316</v>
      </c>
      <c r="E91" s="3">
        <v>1</v>
      </c>
      <c r="G91" s="57"/>
    </row>
    <row r="92" spans="1:11" ht="12.75" x14ac:dyDescent="0.2">
      <c r="A92" s="3">
        <v>17</v>
      </c>
      <c r="B92" s="4" t="s">
        <v>45</v>
      </c>
      <c r="C92" s="3" t="s">
        <v>125</v>
      </c>
      <c r="D92" s="3" t="s">
        <v>132</v>
      </c>
      <c r="E92" s="3">
        <v>4</v>
      </c>
      <c r="G92" s="57"/>
    </row>
    <row r="93" spans="1:11" ht="12.75" x14ac:dyDescent="0.2">
      <c r="A93" s="3">
        <v>17</v>
      </c>
      <c r="B93" s="4" t="s">
        <v>45</v>
      </c>
      <c r="C93" s="3" t="s">
        <v>125</v>
      </c>
      <c r="D93" s="3" t="s">
        <v>14</v>
      </c>
      <c r="E93" s="3">
        <v>10</v>
      </c>
      <c r="G93" s="57"/>
    </row>
    <row r="94" spans="1:11" ht="12.75" x14ac:dyDescent="0.2">
      <c r="A94" s="3">
        <v>17</v>
      </c>
      <c r="B94" s="4" t="s">
        <v>45</v>
      </c>
      <c r="C94" s="3" t="s">
        <v>125</v>
      </c>
      <c r="D94" s="3" t="s">
        <v>138</v>
      </c>
      <c r="E94" s="3">
        <v>0</v>
      </c>
      <c r="F94">
        <f>SUM(E88:E94)</f>
        <v>46</v>
      </c>
      <c r="G94" s="57"/>
    </row>
    <row r="95" spans="1:11" ht="12.75" x14ac:dyDescent="0.2">
      <c r="A95" s="3">
        <v>18</v>
      </c>
      <c r="B95" s="4" t="s">
        <v>46</v>
      </c>
      <c r="C95" s="3" t="s">
        <v>125</v>
      </c>
      <c r="D95" s="3" t="s">
        <v>290</v>
      </c>
      <c r="E95" s="3">
        <v>47</v>
      </c>
      <c r="G95" s="59"/>
    </row>
    <row r="96" spans="1:11" ht="12.75" x14ac:dyDescent="0.2">
      <c r="A96" s="3">
        <v>18</v>
      </c>
      <c r="B96" s="4" t="s">
        <v>46</v>
      </c>
      <c r="C96" s="3" t="s">
        <v>125</v>
      </c>
      <c r="D96" s="3" t="s">
        <v>16</v>
      </c>
      <c r="E96" s="3">
        <v>830</v>
      </c>
      <c r="G96" s="57"/>
    </row>
    <row r="97" spans="1:7" ht="12.75" x14ac:dyDescent="0.2">
      <c r="A97" s="3">
        <v>18</v>
      </c>
      <c r="B97" s="4" t="s">
        <v>46</v>
      </c>
      <c r="C97" s="3" t="s">
        <v>125</v>
      </c>
      <c r="D97" s="3" t="s">
        <v>346</v>
      </c>
      <c r="E97" s="3">
        <v>19</v>
      </c>
      <c r="G97" s="57"/>
    </row>
    <row r="98" spans="1:7" ht="12.75" x14ac:dyDescent="0.2">
      <c r="A98" s="3">
        <v>18</v>
      </c>
      <c r="B98" s="4" t="s">
        <v>46</v>
      </c>
      <c r="C98" s="3" t="s">
        <v>125</v>
      </c>
      <c r="D98" s="3" t="s">
        <v>316</v>
      </c>
      <c r="E98" s="3">
        <v>24</v>
      </c>
      <c r="G98" s="57"/>
    </row>
    <row r="99" spans="1:7" ht="12.75" x14ac:dyDescent="0.2">
      <c r="A99" s="3">
        <v>18</v>
      </c>
      <c r="B99" s="4" t="s">
        <v>46</v>
      </c>
      <c r="C99" s="3" t="s">
        <v>125</v>
      </c>
      <c r="D99" s="3" t="s">
        <v>132</v>
      </c>
      <c r="E99" s="3">
        <v>347</v>
      </c>
      <c r="G99" s="57"/>
    </row>
    <row r="100" spans="1:7" ht="12.75" x14ac:dyDescent="0.2">
      <c r="A100" s="3">
        <v>18</v>
      </c>
      <c r="B100" s="4" t="s">
        <v>46</v>
      </c>
      <c r="C100" s="3" t="s">
        <v>125</v>
      </c>
      <c r="D100" s="3" t="s">
        <v>14</v>
      </c>
      <c r="E100" s="3">
        <v>569</v>
      </c>
      <c r="G100" s="57"/>
    </row>
    <row r="101" spans="1:7" ht="12.75" x14ac:dyDescent="0.2">
      <c r="A101" s="3">
        <v>18</v>
      </c>
      <c r="B101" s="4" t="s">
        <v>46</v>
      </c>
      <c r="C101" s="3" t="s">
        <v>125</v>
      </c>
      <c r="D101" s="3" t="s">
        <v>138</v>
      </c>
      <c r="E101" s="3">
        <v>8</v>
      </c>
      <c r="F101">
        <f>SUM(E95:E101)</f>
        <v>1844</v>
      </c>
      <c r="G101" s="57"/>
    </row>
    <row r="102" spans="1:7" ht="12.75" x14ac:dyDescent="0.2">
      <c r="A102" s="3">
        <v>19</v>
      </c>
      <c r="B102" s="4" t="s">
        <v>47</v>
      </c>
      <c r="C102" s="3" t="s">
        <v>125</v>
      </c>
      <c r="D102" s="3" t="s">
        <v>290</v>
      </c>
      <c r="E102" s="3">
        <v>15</v>
      </c>
      <c r="G102" s="59"/>
    </row>
    <row r="103" spans="1:7" ht="12.75" x14ac:dyDescent="0.2">
      <c r="A103" s="3">
        <v>19</v>
      </c>
      <c r="B103" s="4" t="s">
        <v>47</v>
      </c>
      <c r="C103" s="3" t="s">
        <v>125</v>
      </c>
      <c r="D103" s="3" t="s">
        <v>16</v>
      </c>
      <c r="E103" s="3">
        <v>543</v>
      </c>
      <c r="G103" s="57"/>
    </row>
    <row r="104" spans="1:7" ht="12.75" x14ac:dyDescent="0.2">
      <c r="A104" s="3">
        <v>19</v>
      </c>
      <c r="B104" s="4" t="s">
        <v>47</v>
      </c>
      <c r="C104" s="3" t="s">
        <v>125</v>
      </c>
      <c r="D104" s="3" t="s">
        <v>346</v>
      </c>
      <c r="E104" s="3">
        <v>3</v>
      </c>
      <c r="G104" s="57"/>
    </row>
    <row r="105" spans="1:7" ht="12.75" x14ac:dyDescent="0.2">
      <c r="A105" s="3">
        <v>19</v>
      </c>
      <c r="B105" s="4" t="s">
        <v>47</v>
      </c>
      <c r="C105" s="3" t="s">
        <v>125</v>
      </c>
      <c r="D105" s="3" t="s">
        <v>316</v>
      </c>
      <c r="E105" s="3">
        <v>115</v>
      </c>
      <c r="G105" s="57"/>
    </row>
    <row r="106" spans="1:7" ht="12.75" x14ac:dyDescent="0.2">
      <c r="A106" s="3">
        <v>19</v>
      </c>
      <c r="B106" s="4" t="s">
        <v>47</v>
      </c>
      <c r="C106" s="3" t="s">
        <v>125</v>
      </c>
      <c r="D106" s="3" t="s">
        <v>132</v>
      </c>
      <c r="E106" s="3">
        <v>304</v>
      </c>
      <c r="G106" s="57"/>
    </row>
    <row r="107" spans="1:7" ht="12.75" x14ac:dyDescent="0.2">
      <c r="A107" s="3">
        <v>19</v>
      </c>
      <c r="B107" s="4" t="s">
        <v>47</v>
      </c>
      <c r="C107" s="3" t="s">
        <v>125</v>
      </c>
      <c r="D107" s="3" t="s">
        <v>14</v>
      </c>
      <c r="E107" s="3">
        <v>262</v>
      </c>
      <c r="G107" s="57"/>
    </row>
    <row r="108" spans="1:7" ht="12.75" x14ac:dyDescent="0.2">
      <c r="A108" s="3">
        <v>19</v>
      </c>
      <c r="B108" s="4" t="s">
        <v>47</v>
      </c>
      <c r="C108" s="3" t="s">
        <v>125</v>
      </c>
      <c r="D108" s="3" t="s">
        <v>138</v>
      </c>
      <c r="E108" s="3">
        <v>0</v>
      </c>
      <c r="F108">
        <f>SUM(E102:E108)</f>
        <v>1242</v>
      </c>
      <c r="G108" s="57"/>
    </row>
    <row r="109" spans="1:7" ht="12.75" x14ac:dyDescent="0.2">
      <c r="A109" s="2" t="s">
        <v>48</v>
      </c>
      <c r="B109" s="4" t="s">
        <v>49</v>
      </c>
      <c r="C109" s="3" t="s">
        <v>125</v>
      </c>
      <c r="D109" s="3" t="s">
        <v>290</v>
      </c>
      <c r="E109" s="3">
        <v>2</v>
      </c>
      <c r="G109" s="59"/>
    </row>
    <row r="110" spans="1:7" ht="12.75" x14ac:dyDescent="0.2">
      <c r="A110" s="2" t="s">
        <v>48</v>
      </c>
      <c r="B110" s="4" t="s">
        <v>49</v>
      </c>
      <c r="C110" s="3" t="s">
        <v>125</v>
      </c>
      <c r="D110" s="3" t="s">
        <v>16</v>
      </c>
      <c r="E110" s="3">
        <v>72</v>
      </c>
      <c r="G110" s="57"/>
    </row>
    <row r="111" spans="1:7" ht="12.75" x14ac:dyDescent="0.2">
      <c r="A111" s="2" t="s">
        <v>48</v>
      </c>
      <c r="B111" s="4" t="s">
        <v>49</v>
      </c>
      <c r="C111" s="3" t="s">
        <v>125</v>
      </c>
      <c r="D111" s="3" t="s">
        <v>346</v>
      </c>
      <c r="E111" s="3">
        <v>0</v>
      </c>
      <c r="G111" s="57"/>
    </row>
    <row r="112" spans="1:7" ht="12.75" x14ac:dyDescent="0.2">
      <c r="A112" s="2" t="s">
        <v>48</v>
      </c>
      <c r="B112" s="4" t="s">
        <v>49</v>
      </c>
      <c r="C112" s="3" t="s">
        <v>125</v>
      </c>
      <c r="D112" s="3" t="s">
        <v>316</v>
      </c>
      <c r="E112" s="3">
        <v>5</v>
      </c>
      <c r="G112" s="57"/>
    </row>
    <row r="113" spans="1:7" ht="12.75" x14ac:dyDescent="0.2">
      <c r="A113" s="2" t="s">
        <v>48</v>
      </c>
      <c r="B113" s="4" t="s">
        <v>49</v>
      </c>
      <c r="C113" s="3" t="s">
        <v>125</v>
      </c>
      <c r="D113" s="3" t="s">
        <v>132</v>
      </c>
      <c r="E113" s="3">
        <v>20</v>
      </c>
      <c r="G113" s="57"/>
    </row>
    <row r="114" spans="1:7" ht="12.75" x14ac:dyDescent="0.2">
      <c r="A114" s="2" t="s">
        <v>48</v>
      </c>
      <c r="B114" s="4" t="s">
        <v>49</v>
      </c>
      <c r="C114" s="3" t="s">
        <v>125</v>
      </c>
      <c r="D114" s="3" t="s">
        <v>14</v>
      </c>
      <c r="E114" s="3">
        <v>17</v>
      </c>
      <c r="G114" s="57"/>
    </row>
    <row r="115" spans="1:7" ht="12.75" x14ac:dyDescent="0.2">
      <c r="A115" s="2" t="s">
        <v>48</v>
      </c>
      <c r="B115" s="4" t="s">
        <v>49</v>
      </c>
      <c r="C115" s="3" t="s">
        <v>125</v>
      </c>
      <c r="D115" s="3" t="s">
        <v>138</v>
      </c>
      <c r="E115" s="3">
        <v>3</v>
      </c>
      <c r="F115">
        <f>SUM(E109:E115)</f>
        <v>119</v>
      </c>
      <c r="G115" s="57"/>
    </row>
    <row r="116" spans="1:7" ht="12.75" x14ac:dyDescent="0.2">
      <c r="A116" s="3">
        <v>20</v>
      </c>
      <c r="B116" s="4" t="s">
        <v>50</v>
      </c>
      <c r="C116" s="3" t="s">
        <v>125</v>
      </c>
      <c r="D116" s="3" t="s">
        <v>290</v>
      </c>
      <c r="E116" s="3">
        <v>7</v>
      </c>
      <c r="G116" s="59"/>
    </row>
    <row r="117" spans="1:7" ht="12.75" x14ac:dyDescent="0.2">
      <c r="A117" s="3">
        <v>20</v>
      </c>
      <c r="B117" s="4" t="s">
        <v>50</v>
      </c>
      <c r="C117" s="3" t="s">
        <v>125</v>
      </c>
      <c r="D117" s="3" t="s">
        <v>16</v>
      </c>
      <c r="E117" s="3">
        <v>126</v>
      </c>
      <c r="G117" s="57"/>
    </row>
    <row r="118" spans="1:7" ht="12.75" x14ac:dyDescent="0.2">
      <c r="A118" s="3">
        <v>20</v>
      </c>
      <c r="B118" s="4" t="s">
        <v>50</v>
      </c>
      <c r="C118" s="3" t="s">
        <v>125</v>
      </c>
      <c r="D118" s="3" t="s">
        <v>346</v>
      </c>
      <c r="E118" s="3">
        <v>3</v>
      </c>
      <c r="G118" s="57"/>
    </row>
    <row r="119" spans="1:7" ht="12.75" x14ac:dyDescent="0.2">
      <c r="A119" s="3">
        <v>20</v>
      </c>
      <c r="B119" s="4" t="s">
        <v>50</v>
      </c>
      <c r="C119" s="3" t="s">
        <v>125</v>
      </c>
      <c r="D119" s="3" t="s">
        <v>316</v>
      </c>
      <c r="E119" s="3">
        <v>11</v>
      </c>
      <c r="G119" s="57"/>
    </row>
    <row r="120" spans="1:7" ht="12.75" x14ac:dyDescent="0.2">
      <c r="A120" s="3">
        <v>20</v>
      </c>
      <c r="B120" s="4" t="s">
        <v>50</v>
      </c>
      <c r="C120" s="3" t="s">
        <v>125</v>
      </c>
      <c r="D120" s="3" t="s">
        <v>132</v>
      </c>
      <c r="E120" s="3">
        <v>89</v>
      </c>
      <c r="G120" s="57"/>
    </row>
    <row r="121" spans="1:7" ht="12.75" x14ac:dyDescent="0.2">
      <c r="A121" s="3">
        <v>20</v>
      </c>
      <c r="B121" s="4" t="s">
        <v>50</v>
      </c>
      <c r="C121" s="3" t="s">
        <v>125</v>
      </c>
      <c r="D121" s="3" t="s">
        <v>14</v>
      </c>
      <c r="E121" s="3">
        <v>63</v>
      </c>
      <c r="G121" s="57"/>
    </row>
    <row r="122" spans="1:7" ht="12.75" x14ac:dyDescent="0.2">
      <c r="A122" s="3">
        <v>20</v>
      </c>
      <c r="B122" s="4" t="s">
        <v>50</v>
      </c>
      <c r="C122" s="3" t="s">
        <v>125</v>
      </c>
      <c r="D122" s="3" t="s">
        <v>138</v>
      </c>
      <c r="E122" s="3">
        <v>1</v>
      </c>
      <c r="F122">
        <f>SUM(E116:E122)</f>
        <v>300</v>
      </c>
      <c r="G122" s="57"/>
    </row>
    <row r="123" spans="1:7" ht="12.75" x14ac:dyDescent="0.2">
      <c r="A123" s="3">
        <v>21</v>
      </c>
      <c r="B123" s="4" t="s">
        <v>51</v>
      </c>
      <c r="C123" s="3" t="s">
        <v>125</v>
      </c>
      <c r="D123" s="3" t="s">
        <v>290</v>
      </c>
      <c r="E123" s="3">
        <v>29</v>
      </c>
      <c r="G123" s="59"/>
    </row>
    <row r="124" spans="1:7" ht="12.75" x14ac:dyDescent="0.2">
      <c r="A124" s="3">
        <v>21</v>
      </c>
      <c r="B124" s="4" t="s">
        <v>51</v>
      </c>
      <c r="C124" s="3" t="s">
        <v>125</v>
      </c>
      <c r="D124" s="3" t="s">
        <v>16</v>
      </c>
      <c r="E124" s="3">
        <v>245</v>
      </c>
      <c r="G124" s="57"/>
    </row>
    <row r="125" spans="1:7" ht="12.75" x14ac:dyDescent="0.2">
      <c r="A125" s="3">
        <v>21</v>
      </c>
      <c r="B125" s="4" t="s">
        <v>51</v>
      </c>
      <c r="C125" s="3" t="s">
        <v>125</v>
      </c>
      <c r="D125" s="3" t="s">
        <v>346</v>
      </c>
      <c r="E125" s="3">
        <v>5</v>
      </c>
      <c r="G125" s="57"/>
    </row>
    <row r="126" spans="1:7" ht="12.75" x14ac:dyDescent="0.2">
      <c r="A126" s="3">
        <v>21</v>
      </c>
      <c r="B126" s="4" t="s">
        <v>51</v>
      </c>
      <c r="C126" s="3" t="s">
        <v>125</v>
      </c>
      <c r="D126" s="3" t="s">
        <v>316</v>
      </c>
      <c r="E126" s="3">
        <v>54</v>
      </c>
      <c r="G126" s="57"/>
    </row>
    <row r="127" spans="1:7" ht="12.75" x14ac:dyDescent="0.2">
      <c r="A127" s="3">
        <v>21</v>
      </c>
      <c r="B127" s="4" t="s">
        <v>51</v>
      </c>
      <c r="C127" s="3" t="s">
        <v>125</v>
      </c>
      <c r="D127" s="3" t="s">
        <v>132</v>
      </c>
      <c r="E127" s="3">
        <v>95</v>
      </c>
      <c r="G127" s="57"/>
    </row>
    <row r="128" spans="1:7" ht="12.75" x14ac:dyDescent="0.2">
      <c r="A128" s="3">
        <v>21</v>
      </c>
      <c r="B128" s="4" t="s">
        <v>51</v>
      </c>
      <c r="C128" s="3" t="s">
        <v>125</v>
      </c>
      <c r="D128" s="3" t="s">
        <v>14</v>
      </c>
      <c r="E128" s="3">
        <v>125</v>
      </c>
      <c r="G128" s="57"/>
    </row>
    <row r="129" spans="1:7" ht="12.75" x14ac:dyDescent="0.2">
      <c r="A129" s="3">
        <v>21</v>
      </c>
      <c r="B129" s="4" t="s">
        <v>51</v>
      </c>
      <c r="C129" s="3" t="s">
        <v>125</v>
      </c>
      <c r="D129" s="3" t="s">
        <v>138</v>
      </c>
      <c r="E129" s="3">
        <v>0</v>
      </c>
      <c r="F129">
        <f>SUM(E123:E129)</f>
        <v>553</v>
      </c>
      <c r="G129" s="57"/>
    </row>
    <row r="130" spans="1:7" ht="12.75" x14ac:dyDescent="0.2">
      <c r="A130" s="3">
        <v>22</v>
      </c>
      <c r="B130" s="4" t="s">
        <v>52</v>
      </c>
      <c r="C130" s="3" t="s">
        <v>125</v>
      </c>
      <c r="D130" s="3" t="s">
        <v>290</v>
      </c>
      <c r="E130" s="3">
        <v>115</v>
      </c>
      <c r="G130" s="59"/>
    </row>
    <row r="131" spans="1:7" ht="12.75" x14ac:dyDescent="0.2">
      <c r="A131" s="3">
        <v>22</v>
      </c>
      <c r="B131" s="4" t="s">
        <v>52</v>
      </c>
      <c r="C131" s="3" t="s">
        <v>125</v>
      </c>
      <c r="D131" s="3" t="s">
        <v>16</v>
      </c>
      <c r="E131" s="3">
        <v>1658</v>
      </c>
      <c r="G131" s="57"/>
    </row>
    <row r="132" spans="1:7" ht="12.75" x14ac:dyDescent="0.2">
      <c r="A132" s="3">
        <v>22</v>
      </c>
      <c r="B132" s="4" t="s">
        <v>52</v>
      </c>
      <c r="C132" s="3" t="s">
        <v>125</v>
      </c>
      <c r="D132" s="3" t="s">
        <v>346</v>
      </c>
      <c r="E132" s="3">
        <v>45</v>
      </c>
      <c r="G132" s="57"/>
    </row>
    <row r="133" spans="1:7" ht="12.75" x14ac:dyDescent="0.2">
      <c r="A133" s="3">
        <v>22</v>
      </c>
      <c r="B133" s="4" t="s">
        <v>52</v>
      </c>
      <c r="C133" s="3" t="s">
        <v>125</v>
      </c>
      <c r="D133" s="3" t="s">
        <v>316</v>
      </c>
      <c r="E133" s="3">
        <v>258</v>
      </c>
      <c r="G133" s="57"/>
    </row>
    <row r="134" spans="1:7" ht="12.75" x14ac:dyDescent="0.2">
      <c r="A134" s="3">
        <v>22</v>
      </c>
      <c r="B134" s="4" t="s">
        <v>52</v>
      </c>
      <c r="C134" s="3" t="s">
        <v>125</v>
      </c>
      <c r="D134" s="3" t="s">
        <v>132</v>
      </c>
      <c r="E134" s="3">
        <v>1720</v>
      </c>
      <c r="G134" s="57"/>
    </row>
    <row r="135" spans="1:7" ht="12.75" x14ac:dyDescent="0.2">
      <c r="A135" s="3">
        <v>22</v>
      </c>
      <c r="B135" s="4" t="s">
        <v>52</v>
      </c>
      <c r="C135" s="3" t="s">
        <v>125</v>
      </c>
      <c r="D135" s="3" t="s">
        <v>14</v>
      </c>
      <c r="E135" s="3">
        <v>1183</v>
      </c>
      <c r="G135" s="57"/>
    </row>
    <row r="136" spans="1:7" ht="12.75" x14ac:dyDescent="0.2">
      <c r="A136" s="3">
        <v>22</v>
      </c>
      <c r="B136" s="4" t="s">
        <v>52</v>
      </c>
      <c r="C136" s="3" t="s">
        <v>125</v>
      </c>
      <c r="D136" s="3" t="s">
        <v>138</v>
      </c>
      <c r="E136" s="3">
        <v>202</v>
      </c>
      <c r="F136">
        <f>SUM(E130:E136)</f>
        <v>5181</v>
      </c>
      <c r="G136" s="57"/>
    </row>
    <row r="137" spans="1:7" ht="12.75" x14ac:dyDescent="0.2">
      <c r="A137" s="3">
        <v>23</v>
      </c>
      <c r="B137" s="4" t="s">
        <v>53</v>
      </c>
      <c r="C137" s="3" t="s">
        <v>125</v>
      </c>
      <c r="D137" s="3" t="s">
        <v>290</v>
      </c>
      <c r="E137" s="3">
        <v>11</v>
      </c>
      <c r="G137" s="59"/>
    </row>
    <row r="138" spans="1:7" ht="12.75" x14ac:dyDescent="0.2">
      <c r="A138" s="3">
        <v>23</v>
      </c>
      <c r="B138" s="4" t="s">
        <v>53</v>
      </c>
      <c r="C138" s="3" t="s">
        <v>125</v>
      </c>
      <c r="D138" s="3" t="s">
        <v>16</v>
      </c>
      <c r="E138" s="3">
        <v>117</v>
      </c>
      <c r="G138" s="57"/>
    </row>
    <row r="139" spans="1:7" ht="12.75" x14ac:dyDescent="0.2">
      <c r="A139" s="3">
        <v>23</v>
      </c>
      <c r="B139" s="4" t="s">
        <v>53</v>
      </c>
      <c r="C139" s="3" t="s">
        <v>125</v>
      </c>
      <c r="D139" s="3" t="s">
        <v>346</v>
      </c>
      <c r="E139" s="3">
        <v>1</v>
      </c>
      <c r="G139" s="57"/>
    </row>
    <row r="140" spans="1:7" ht="12.75" x14ac:dyDescent="0.2">
      <c r="A140" s="3">
        <v>23</v>
      </c>
      <c r="B140" s="4" t="s">
        <v>53</v>
      </c>
      <c r="C140" s="3" t="s">
        <v>125</v>
      </c>
      <c r="D140" s="3" t="s">
        <v>316</v>
      </c>
      <c r="E140" s="3">
        <v>31</v>
      </c>
      <c r="G140" s="57"/>
    </row>
    <row r="141" spans="1:7" ht="12.75" x14ac:dyDescent="0.2">
      <c r="A141" s="3">
        <v>23</v>
      </c>
      <c r="B141" s="4" t="s">
        <v>53</v>
      </c>
      <c r="C141" s="3" t="s">
        <v>125</v>
      </c>
      <c r="D141" s="3" t="s">
        <v>132</v>
      </c>
      <c r="E141" s="3">
        <v>139</v>
      </c>
      <c r="G141" s="57"/>
    </row>
    <row r="142" spans="1:7" ht="12.75" x14ac:dyDescent="0.2">
      <c r="A142" s="3">
        <v>23</v>
      </c>
      <c r="B142" s="4" t="s">
        <v>53</v>
      </c>
      <c r="C142" s="3" t="s">
        <v>125</v>
      </c>
      <c r="D142" s="3" t="s">
        <v>14</v>
      </c>
      <c r="E142" s="3">
        <v>225</v>
      </c>
      <c r="G142" s="57"/>
    </row>
    <row r="143" spans="1:7" ht="12.75" x14ac:dyDescent="0.2">
      <c r="A143" s="3">
        <v>23</v>
      </c>
      <c r="B143" s="4" t="s">
        <v>53</v>
      </c>
      <c r="C143" s="3" t="s">
        <v>125</v>
      </c>
      <c r="D143" s="3" t="s">
        <v>138</v>
      </c>
      <c r="E143" s="3">
        <v>24</v>
      </c>
      <c r="F143" s="3">
        <f>SUM(E137:E143)</f>
        <v>548</v>
      </c>
      <c r="G143" s="57"/>
    </row>
    <row r="144" spans="1:7" ht="12.75" x14ac:dyDescent="0.2">
      <c r="A144" s="3">
        <v>24</v>
      </c>
      <c r="B144" s="4" t="s">
        <v>54</v>
      </c>
      <c r="C144" s="3" t="s">
        <v>125</v>
      </c>
      <c r="D144" s="3" t="s">
        <v>290</v>
      </c>
      <c r="E144" s="3">
        <v>3</v>
      </c>
      <c r="G144" s="59"/>
    </row>
    <row r="145" spans="1:7" ht="12.75" x14ac:dyDescent="0.2">
      <c r="A145" s="3">
        <v>24</v>
      </c>
      <c r="B145" s="4" t="s">
        <v>54</v>
      </c>
      <c r="C145" s="3" t="s">
        <v>125</v>
      </c>
      <c r="D145" s="3" t="s">
        <v>16</v>
      </c>
      <c r="E145" s="3">
        <v>188</v>
      </c>
      <c r="G145" s="57"/>
    </row>
    <row r="146" spans="1:7" ht="12.75" x14ac:dyDescent="0.2">
      <c r="A146" s="3">
        <v>24</v>
      </c>
      <c r="B146" s="4" t="s">
        <v>54</v>
      </c>
      <c r="C146" s="3" t="s">
        <v>125</v>
      </c>
      <c r="D146" s="3" t="s">
        <v>346</v>
      </c>
      <c r="E146" s="3">
        <v>3</v>
      </c>
      <c r="G146" s="57"/>
    </row>
    <row r="147" spans="1:7" ht="12.75" x14ac:dyDescent="0.2">
      <c r="A147" s="3">
        <v>24</v>
      </c>
      <c r="B147" s="4" t="s">
        <v>54</v>
      </c>
      <c r="C147" s="3" t="s">
        <v>125</v>
      </c>
      <c r="D147" s="3" t="s">
        <v>316</v>
      </c>
      <c r="E147" s="3">
        <v>2</v>
      </c>
      <c r="G147" s="57"/>
    </row>
    <row r="148" spans="1:7" ht="12.75" x14ac:dyDescent="0.2">
      <c r="A148" s="3">
        <v>24</v>
      </c>
      <c r="B148" s="4" t="s">
        <v>54</v>
      </c>
      <c r="C148" s="3" t="s">
        <v>125</v>
      </c>
      <c r="D148" s="3" t="s">
        <v>132</v>
      </c>
      <c r="E148" s="3">
        <v>64</v>
      </c>
      <c r="G148" s="57"/>
    </row>
    <row r="149" spans="1:7" ht="12.75" x14ac:dyDescent="0.2">
      <c r="A149" s="3">
        <v>24</v>
      </c>
      <c r="B149" s="4" t="s">
        <v>54</v>
      </c>
      <c r="C149" s="3" t="s">
        <v>125</v>
      </c>
      <c r="D149" s="3" t="s">
        <v>14</v>
      </c>
      <c r="E149" s="3">
        <v>66</v>
      </c>
      <c r="G149" s="57"/>
    </row>
    <row r="150" spans="1:7" ht="12.75" x14ac:dyDescent="0.2">
      <c r="A150" s="3">
        <v>24</v>
      </c>
      <c r="B150" s="4" t="s">
        <v>54</v>
      </c>
      <c r="C150" s="3" t="s">
        <v>125</v>
      </c>
      <c r="D150" s="3" t="s">
        <v>138</v>
      </c>
      <c r="E150" s="3">
        <v>0</v>
      </c>
      <c r="F150">
        <f>SUM(E144:E150)</f>
        <v>326</v>
      </c>
      <c r="G150" s="57"/>
    </row>
    <row r="151" spans="1:7" ht="12.75" x14ac:dyDescent="0.2">
      <c r="A151" s="3">
        <v>25</v>
      </c>
      <c r="B151" s="4" t="s">
        <v>55</v>
      </c>
      <c r="C151" s="3" t="s">
        <v>125</v>
      </c>
      <c r="D151" s="3" t="s">
        <v>290</v>
      </c>
      <c r="E151" s="3">
        <v>3</v>
      </c>
      <c r="G151" s="59"/>
    </row>
    <row r="152" spans="1:7" ht="12.75" x14ac:dyDescent="0.2">
      <c r="A152" s="3">
        <v>25</v>
      </c>
      <c r="B152" s="4" t="s">
        <v>55</v>
      </c>
      <c r="C152" s="3" t="s">
        <v>125</v>
      </c>
      <c r="D152" s="3" t="s">
        <v>16</v>
      </c>
      <c r="E152" s="3">
        <v>301</v>
      </c>
      <c r="G152" s="57"/>
    </row>
    <row r="153" spans="1:7" ht="12.75" x14ac:dyDescent="0.2">
      <c r="A153" s="3">
        <v>25</v>
      </c>
      <c r="B153" s="4" t="s">
        <v>55</v>
      </c>
      <c r="C153" s="3" t="s">
        <v>125</v>
      </c>
      <c r="D153" s="3" t="s">
        <v>346</v>
      </c>
      <c r="E153" s="3">
        <v>5</v>
      </c>
      <c r="G153" s="57"/>
    </row>
    <row r="154" spans="1:7" ht="12.75" x14ac:dyDescent="0.2">
      <c r="A154" s="3">
        <v>25</v>
      </c>
      <c r="B154" s="4" t="s">
        <v>55</v>
      </c>
      <c r="C154" s="3" t="s">
        <v>125</v>
      </c>
      <c r="D154" s="3" t="s">
        <v>316</v>
      </c>
      <c r="E154" s="3">
        <v>5</v>
      </c>
      <c r="G154" s="57"/>
    </row>
    <row r="155" spans="1:7" ht="12.75" x14ac:dyDescent="0.2">
      <c r="A155" s="3">
        <v>25</v>
      </c>
      <c r="B155" s="4" t="s">
        <v>55</v>
      </c>
      <c r="C155" s="3" t="s">
        <v>125</v>
      </c>
      <c r="D155" s="3" t="s">
        <v>132</v>
      </c>
      <c r="E155" s="3">
        <v>165</v>
      </c>
      <c r="G155" s="57"/>
    </row>
    <row r="156" spans="1:7" ht="12.75" x14ac:dyDescent="0.2">
      <c r="A156" s="3">
        <v>25</v>
      </c>
      <c r="B156" s="4" t="s">
        <v>55</v>
      </c>
      <c r="C156" s="3" t="s">
        <v>125</v>
      </c>
      <c r="D156" s="3" t="s">
        <v>14</v>
      </c>
      <c r="E156" s="3">
        <v>110</v>
      </c>
      <c r="G156" s="57"/>
    </row>
    <row r="157" spans="1:7" ht="12.75" x14ac:dyDescent="0.2">
      <c r="A157" s="3">
        <v>25</v>
      </c>
      <c r="B157" s="4" t="s">
        <v>55</v>
      </c>
      <c r="C157" s="3" t="s">
        <v>125</v>
      </c>
      <c r="D157" s="3" t="s">
        <v>138</v>
      </c>
      <c r="E157" s="3">
        <v>6</v>
      </c>
      <c r="F157">
        <f>SUM(E151:E157)</f>
        <v>595</v>
      </c>
      <c r="G157" s="57"/>
    </row>
    <row r="158" spans="1:7" ht="12.75" x14ac:dyDescent="0.2">
      <c r="A158" s="3">
        <v>26</v>
      </c>
      <c r="B158" s="4" t="s">
        <v>56</v>
      </c>
      <c r="C158" s="3" t="s">
        <v>125</v>
      </c>
      <c r="D158" s="3" t="s">
        <v>290</v>
      </c>
      <c r="E158" s="3">
        <v>6</v>
      </c>
      <c r="G158" s="59"/>
    </row>
    <row r="159" spans="1:7" ht="12.75" x14ac:dyDescent="0.2">
      <c r="A159" s="3">
        <v>26</v>
      </c>
      <c r="B159" s="4" t="s">
        <v>56</v>
      </c>
      <c r="C159" s="3" t="s">
        <v>125</v>
      </c>
      <c r="D159" s="3" t="s">
        <v>16</v>
      </c>
      <c r="E159" s="3">
        <v>261</v>
      </c>
      <c r="G159" s="57"/>
    </row>
    <row r="160" spans="1:7" ht="12.75" x14ac:dyDescent="0.2">
      <c r="A160" s="3">
        <v>26</v>
      </c>
      <c r="B160" s="4" t="s">
        <v>56</v>
      </c>
      <c r="C160" s="3" t="s">
        <v>125</v>
      </c>
      <c r="D160" s="3" t="s">
        <v>346</v>
      </c>
      <c r="E160" s="3">
        <v>0</v>
      </c>
      <c r="G160" s="57"/>
    </row>
    <row r="161" spans="1:7" ht="12.75" x14ac:dyDescent="0.2">
      <c r="A161" s="3">
        <v>26</v>
      </c>
      <c r="B161" s="4" t="s">
        <v>56</v>
      </c>
      <c r="C161" s="3" t="s">
        <v>125</v>
      </c>
      <c r="D161" s="3" t="s">
        <v>316</v>
      </c>
      <c r="E161" s="3">
        <v>3</v>
      </c>
      <c r="G161" s="57"/>
    </row>
    <row r="162" spans="1:7" ht="12.75" x14ac:dyDescent="0.2">
      <c r="A162" s="3">
        <v>26</v>
      </c>
      <c r="B162" s="4" t="s">
        <v>56</v>
      </c>
      <c r="C162" s="3" t="s">
        <v>125</v>
      </c>
      <c r="D162" s="3" t="s">
        <v>132</v>
      </c>
      <c r="E162" s="3">
        <v>120</v>
      </c>
      <c r="G162" s="57"/>
    </row>
    <row r="163" spans="1:7" ht="12.75" x14ac:dyDescent="0.2">
      <c r="A163" s="3">
        <v>26</v>
      </c>
      <c r="B163" s="4" t="s">
        <v>56</v>
      </c>
      <c r="C163" s="3" t="s">
        <v>125</v>
      </c>
      <c r="D163" s="3" t="s">
        <v>14</v>
      </c>
      <c r="E163" s="3">
        <v>35</v>
      </c>
      <c r="G163" s="57"/>
    </row>
    <row r="164" spans="1:7" ht="12.75" x14ac:dyDescent="0.2">
      <c r="A164" s="3">
        <v>26</v>
      </c>
      <c r="B164" s="4" t="s">
        <v>56</v>
      </c>
      <c r="C164" s="3" t="s">
        <v>125</v>
      </c>
      <c r="D164" s="3" t="s">
        <v>138</v>
      </c>
      <c r="E164" s="3">
        <v>1</v>
      </c>
      <c r="F164">
        <f>SUM(E158:E164)</f>
        <v>426</v>
      </c>
      <c r="G164" s="57"/>
    </row>
    <row r="165" spans="1:7" ht="12.75" x14ac:dyDescent="0.2">
      <c r="A165" s="3">
        <v>27</v>
      </c>
      <c r="B165" s="4" t="s">
        <v>57</v>
      </c>
      <c r="C165" s="3" t="s">
        <v>125</v>
      </c>
      <c r="D165" s="3" t="s">
        <v>290</v>
      </c>
      <c r="E165" s="3">
        <v>47</v>
      </c>
      <c r="G165" s="59"/>
    </row>
    <row r="166" spans="1:7" ht="12.75" x14ac:dyDescent="0.2">
      <c r="A166" s="3">
        <v>27</v>
      </c>
      <c r="B166" s="4" t="s">
        <v>57</v>
      </c>
      <c r="C166" s="3" t="s">
        <v>125</v>
      </c>
      <c r="D166" s="3" t="s">
        <v>16</v>
      </c>
      <c r="E166" s="3">
        <v>3192</v>
      </c>
      <c r="G166" s="57"/>
    </row>
    <row r="167" spans="1:7" ht="12.75" x14ac:dyDescent="0.2">
      <c r="A167" s="3">
        <v>27</v>
      </c>
      <c r="B167" s="4" t="s">
        <v>57</v>
      </c>
      <c r="C167" s="3" t="s">
        <v>125</v>
      </c>
      <c r="D167" s="3" t="s">
        <v>346</v>
      </c>
      <c r="E167" s="3">
        <v>28</v>
      </c>
      <c r="G167" s="57"/>
    </row>
    <row r="168" spans="1:7" ht="12.75" x14ac:dyDescent="0.2">
      <c r="A168" s="3">
        <v>27</v>
      </c>
      <c r="B168" s="4" t="s">
        <v>57</v>
      </c>
      <c r="C168" s="3" t="s">
        <v>125</v>
      </c>
      <c r="D168" s="3" t="s">
        <v>316</v>
      </c>
      <c r="E168" s="3">
        <v>123</v>
      </c>
      <c r="G168" s="57"/>
    </row>
    <row r="169" spans="1:7" ht="12.75" x14ac:dyDescent="0.2">
      <c r="A169" s="3">
        <v>27</v>
      </c>
      <c r="B169" s="4" t="s">
        <v>57</v>
      </c>
      <c r="C169" s="3" t="s">
        <v>125</v>
      </c>
      <c r="D169" s="3" t="s">
        <v>132</v>
      </c>
      <c r="E169" s="3">
        <v>2442</v>
      </c>
      <c r="G169" s="57"/>
    </row>
    <row r="170" spans="1:7" ht="12.75" x14ac:dyDescent="0.2">
      <c r="A170" s="3">
        <v>27</v>
      </c>
      <c r="B170" s="4" t="s">
        <v>57</v>
      </c>
      <c r="C170" s="3" t="s">
        <v>125</v>
      </c>
      <c r="D170" s="3" t="s">
        <v>14</v>
      </c>
      <c r="E170" s="3">
        <v>1030</v>
      </c>
      <c r="G170" s="57"/>
    </row>
    <row r="171" spans="1:7" ht="12.75" x14ac:dyDescent="0.2">
      <c r="A171" s="3">
        <v>27</v>
      </c>
      <c r="B171" s="4" t="s">
        <v>57</v>
      </c>
      <c r="C171" s="3" t="s">
        <v>125</v>
      </c>
      <c r="D171" s="3" t="s">
        <v>138</v>
      </c>
      <c r="E171" s="3">
        <v>49</v>
      </c>
      <c r="F171">
        <f>SUM(E165:E171)</f>
        <v>6911</v>
      </c>
      <c r="G171" s="57"/>
    </row>
    <row r="172" spans="1:7" ht="12.75" x14ac:dyDescent="0.2">
      <c r="A172" s="3">
        <v>28</v>
      </c>
      <c r="B172" s="4" t="s">
        <v>58</v>
      </c>
      <c r="C172" s="3" t="s">
        <v>125</v>
      </c>
      <c r="D172" s="3" t="s">
        <v>290</v>
      </c>
      <c r="E172" s="3">
        <v>9</v>
      </c>
      <c r="G172" s="59"/>
    </row>
    <row r="173" spans="1:7" ht="12.75" x14ac:dyDescent="0.2">
      <c r="A173" s="3">
        <v>28</v>
      </c>
      <c r="B173" s="4" t="s">
        <v>58</v>
      </c>
      <c r="C173" s="3" t="s">
        <v>125</v>
      </c>
      <c r="D173" s="3" t="s">
        <v>16</v>
      </c>
      <c r="E173" s="3">
        <v>89</v>
      </c>
      <c r="G173" s="57"/>
    </row>
    <row r="174" spans="1:7" ht="12.75" x14ac:dyDescent="0.2">
      <c r="A174" s="3">
        <v>28</v>
      </c>
      <c r="B174" s="4" t="s">
        <v>58</v>
      </c>
      <c r="C174" s="3" t="s">
        <v>125</v>
      </c>
      <c r="D174" s="3" t="s">
        <v>346</v>
      </c>
      <c r="E174" s="3">
        <v>8</v>
      </c>
      <c r="G174" s="57"/>
    </row>
    <row r="175" spans="1:7" ht="12.75" x14ac:dyDescent="0.2">
      <c r="A175" s="3">
        <v>28</v>
      </c>
      <c r="B175" s="4" t="s">
        <v>58</v>
      </c>
      <c r="C175" s="3" t="s">
        <v>125</v>
      </c>
      <c r="D175" s="3" t="s">
        <v>316</v>
      </c>
      <c r="E175" s="3">
        <v>3</v>
      </c>
      <c r="G175" s="57"/>
    </row>
    <row r="176" spans="1:7" ht="12.75" x14ac:dyDescent="0.2">
      <c r="A176" s="3">
        <v>28</v>
      </c>
      <c r="B176" s="4" t="s">
        <v>58</v>
      </c>
      <c r="C176" s="3" t="s">
        <v>125</v>
      </c>
      <c r="D176" s="3" t="s">
        <v>132</v>
      </c>
      <c r="E176" s="3">
        <v>115</v>
      </c>
      <c r="G176" s="57"/>
    </row>
    <row r="177" spans="1:7" ht="12.75" x14ac:dyDescent="0.2">
      <c r="A177" s="3">
        <v>28</v>
      </c>
      <c r="B177" s="4" t="s">
        <v>58</v>
      </c>
      <c r="C177" s="3" t="s">
        <v>125</v>
      </c>
      <c r="D177" s="3" t="s">
        <v>14</v>
      </c>
      <c r="E177" s="3">
        <v>78</v>
      </c>
      <c r="G177" s="57"/>
    </row>
    <row r="178" spans="1:7" ht="12.75" x14ac:dyDescent="0.2">
      <c r="A178" s="3">
        <v>28</v>
      </c>
      <c r="B178" s="4" t="s">
        <v>58</v>
      </c>
      <c r="C178" s="3" t="s">
        <v>125</v>
      </c>
      <c r="D178" s="3" t="s">
        <v>138</v>
      </c>
      <c r="E178" s="3">
        <v>3</v>
      </c>
      <c r="F178">
        <f>SUM(E172:E178)</f>
        <v>305</v>
      </c>
      <c r="G178" s="57"/>
    </row>
    <row r="179" spans="1:7" ht="12.75" x14ac:dyDescent="0.2">
      <c r="A179" s="3">
        <v>29</v>
      </c>
      <c r="B179" s="4" t="s">
        <v>59</v>
      </c>
      <c r="C179" s="3" t="s">
        <v>125</v>
      </c>
      <c r="D179" s="3" t="s">
        <v>290</v>
      </c>
      <c r="E179" s="3">
        <v>5</v>
      </c>
      <c r="G179" s="59"/>
    </row>
    <row r="180" spans="1:7" ht="12.75" x14ac:dyDescent="0.2">
      <c r="A180" s="3">
        <v>29</v>
      </c>
      <c r="B180" s="4" t="s">
        <v>59</v>
      </c>
      <c r="C180" s="3" t="s">
        <v>125</v>
      </c>
      <c r="D180" s="3" t="s">
        <v>16</v>
      </c>
      <c r="E180" s="3">
        <v>191</v>
      </c>
      <c r="G180" s="57"/>
    </row>
    <row r="181" spans="1:7" ht="12.75" x14ac:dyDescent="0.2">
      <c r="A181" s="3">
        <v>29</v>
      </c>
      <c r="B181" s="4" t="s">
        <v>59</v>
      </c>
      <c r="C181" s="3" t="s">
        <v>125</v>
      </c>
      <c r="D181" s="3" t="s">
        <v>346</v>
      </c>
      <c r="E181" s="3">
        <v>3</v>
      </c>
      <c r="G181" s="57"/>
    </row>
    <row r="182" spans="1:7" ht="12.75" x14ac:dyDescent="0.2">
      <c r="A182" s="3">
        <v>29</v>
      </c>
      <c r="B182" s="4" t="s">
        <v>59</v>
      </c>
      <c r="C182" s="3" t="s">
        <v>125</v>
      </c>
      <c r="D182" s="3" t="s">
        <v>316</v>
      </c>
      <c r="E182" s="3">
        <v>7</v>
      </c>
      <c r="G182" s="57"/>
    </row>
    <row r="183" spans="1:7" ht="12.75" x14ac:dyDescent="0.2">
      <c r="A183" s="3">
        <v>29</v>
      </c>
      <c r="B183" s="4" t="s">
        <v>59</v>
      </c>
      <c r="C183" s="3" t="s">
        <v>125</v>
      </c>
      <c r="D183" s="3" t="s">
        <v>132</v>
      </c>
      <c r="E183" s="3">
        <v>183</v>
      </c>
      <c r="G183" s="57"/>
    </row>
    <row r="184" spans="1:7" ht="12.75" x14ac:dyDescent="0.2">
      <c r="A184" s="3">
        <v>29</v>
      </c>
      <c r="B184" s="4" t="s">
        <v>59</v>
      </c>
      <c r="C184" s="3" t="s">
        <v>125</v>
      </c>
      <c r="D184" s="3" t="s">
        <v>14</v>
      </c>
      <c r="E184" s="3">
        <v>52</v>
      </c>
      <c r="G184" s="57"/>
    </row>
    <row r="185" spans="1:7" ht="12.75" x14ac:dyDescent="0.2">
      <c r="A185" s="3">
        <v>29</v>
      </c>
      <c r="B185" s="4" t="s">
        <v>59</v>
      </c>
      <c r="C185" s="3" t="s">
        <v>125</v>
      </c>
      <c r="D185" s="3" t="s">
        <v>138</v>
      </c>
      <c r="E185" s="3">
        <v>5</v>
      </c>
      <c r="F185">
        <f>SUM(E179:E185)</f>
        <v>446</v>
      </c>
      <c r="G185" s="57"/>
    </row>
    <row r="186" spans="1:7" ht="12.75" x14ac:dyDescent="0.2">
      <c r="A186" s="3">
        <v>30</v>
      </c>
      <c r="B186" s="4" t="s">
        <v>60</v>
      </c>
      <c r="C186" s="3" t="s">
        <v>125</v>
      </c>
      <c r="D186" s="3" t="s">
        <v>290</v>
      </c>
      <c r="E186" s="3">
        <v>3</v>
      </c>
      <c r="G186" s="59"/>
    </row>
    <row r="187" spans="1:7" ht="12.75" x14ac:dyDescent="0.2">
      <c r="A187" s="3">
        <v>30</v>
      </c>
      <c r="B187" s="4" t="s">
        <v>60</v>
      </c>
      <c r="C187" s="3" t="s">
        <v>125</v>
      </c>
      <c r="D187" s="3" t="s">
        <v>16</v>
      </c>
      <c r="E187" s="3">
        <v>126</v>
      </c>
      <c r="G187" s="57"/>
    </row>
    <row r="188" spans="1:7" ht="12.75" x14ac:dyDescent="0.2">
      <c r="A188" s="3">
        <v>30</v>
      </c>
      <c r="B188" s="4" t="s">
        <v>60</v>
      </c>
      <c r="C188" s="3" t="s">
        <v>125</v>
      </c>
      <c r="D188" s="3" t="s">
        <v>346</v>
      </c>
      <c r="E188" s="3">
        <v>2</v>
      </c>
      <c r="G188" s="57"/>
    </row>
    <row r="189" spans="1:7" ht="12.75" x14ac:dyDescent="0.2">
      <c r="A189" s="3">
        <v>30</v>
      </c>
      <c r="B189" s="4" t="s">
        <v>60</v>
      </c>
      <c r="C189" s="3" t="s">
        <v>125</v>
      </c>
      <c r="D189" s="3" t="s">
        <v>316</v>
      </c>
      <c r="E189" s="3">
        <v>10</v>
      </c>
      <c r="G189" s="57"/>
    </row>
    <row r="190" spans="1:7" ht="12.75" x14ac:dyDescent="0.2">
      <c r="A190" s="3">
        <v>30</v>
      </c>
      <c r="B190" s="4" t="s">
        <v>60</v>
      </c>
      <c r="C190" s="3" t="s">
        <v>125</v>
      </c>
      <c r="D190" s="3" t="s">
        <v>132</v>
      </c>
      <c r="E190" s="3">
        <v>26</v>
      </c>
      <c r="G190" s="57"/>
    </row>
    <row r="191" spans="1:7" ht="12.75" x14ac:dyDescent="0.2">
      <c r="A191" s="3">
        <v>30</v>
      </c>
      <c r="B191" s="4" t="s">
        <v>60</v>
      </c>
      <c r="C191" s="3" t="s">
        <v>125</v>
      </c>
      <c r="D191" s="3" t="s">
        <v>14</v>
      </c>
      <c r="E191" s="3">
        <v>36</v>
      </c>
      <c r="G191" s="57"/>
    </row>
    <row r="192" spans="1:7" ht="12.75" x14ac:dyDescent="0.2">
      <c r="A192" s="3">
        <v>30</v>
      </c>
      <c r="B192" s="4" t="s">
        <v>60</v>
      </c>
      <c r="C192" s="3" t="s">
        <v>125</v>
      </c>
      <c r="D192" s="3" t="s">
        <v>138</v>
      </c>
      <c r="E192" s="3">
        <v>0</v>
      </c>
      <c r="F192">
        <f>SUM(E186:E192)</f>
        <v>203</v>
      </c>
      <c r="G192" s="57"/>
    </row>
    <row r="193" spans="1:7" ht="12.75" x14ac:dyDescent="0.2">
      <c r="A193" s="3">
        <v>31</v>
      </c>
      <c r="B193" s="4" t="s">
        <v>61</v>
      </c>
      <c r="C193" s="3" t="s">
        <v>125</v>
      </c>
      <c r="D193" s="3" t="s">
        <v>290</v>
      </c>
      <c r="E193" s="3">
        <v>19</v>
      </c>
      <c r="G193" s="59"/>
    </row>
    <row r="194" spans="1:7" ht="12.75" x14ac:dyDescent="0.2">
      <c r="A194" s="3">
        <v>31</v>
      </c>
      <c r="B194" s="4" t="s">
        <v>61</v>
      </c>
      <c r="C194" s="3" t="s">
        <v>125</v>
      </c>
      <c r="D194" s="3" t="s">
        <v>16</v>
      </c>
      <c r="E194" s="3">
        <v>780</v>
      </c>
      <c r="G194" s="57"/>
    </row>
    <row r="195" spans="1:7" ht="12.75" x14ac:dyDescent="0.2">
      <c r="A195" s="3">
        <v>31</v>
      </c>
      <c r="B195" s="4" t="s">
        <v>61</v>
      </c>
      <c r="C195" s="3" t="s">
        <v>125</v>
      </c>
      <c r="D195" s="3" t="s">
        <v>346</v>
      </c>
      <c r="E195" s="3">
        <v>6</v>
      </c>
      <c r="G195" s="57"/>
    </row>
    <row r="196" spans="1:7" ht="12.75" x14ac:dyDescent="0.2">
      <c r="A196" s="3">
        <v>31</v>
      </c>
      <c r="B196" s="4" t="s">
        <v>61</v>
      </c>
      <c r="C196" s="3" t="s">
        <v>125</v>
      </c>
      <c r="D196" s="3" t="s">
        <v>316</v>
      </c>
      <c r="E196" s="3">
        <v>49</v>
      </c>
      <c r="G196" s="57"/>
    </row>
    <row r="197" spans="1:7" ht="12.75" x14ac:dyDescent="0.2">
      <c r="A197" s="3">
        <v>31</v>
      </c>
      <c r="B197" s="4" t="s">
        <v>61</v>
      </c>
      <c r="C197" s="3" t="s">
        <v>125</v>
      </c>
      <c r="D197" s="3" t="s">
        <v>132</v>
      </c>
      <c r="E197" s="3">
        <v>832</v>
      </c>
      <c r="G197" s="57"/>
    </row>
    <row r="198" spans="1:7" ht="12.75" x14ac:dyDescent="0.2">
      <c r="A198" s="3">
        <v>31</v>
      </c>
      <c r="B198" s="4" t="s">
        <v>61</v>
      </c>
      <c r="C198" s="3" t="s">
        <v>125</v>
      </c>
      <c r="D198" s="3" t="s">
        <v>14</v>
      </c>
      <c r="E198" s="3">
        <v>390</v>
      </c>
      <c r="G198" s="57"/>
    </row>
    <row r="199" spans="1:7" ht="12.75" x14ac:dyDescent="0.2">
      <c r="A199" s="3">
        <v>31</v>
      </c>
      <c r="B199" s="4" t="s">
        <v>61</v>
      </c>
      <c r="C199" s="3" t="s">
        <v>125</v>
      </c>
      <c r="D199" s="3" t="s">
        <v>138</v>
      </c>
      <c r="E199" s="3">
        <v>9</v>
      </c>
      <c r="F199">
        <f>SUM(E193:E199)</f>
        <v>2085</v>
      </c>
      <c r="G199" s="57"/>
    </row>
    <row r="200" spans="1:7" ht="12.75" x14ac:dyDescent="0.2">
      <c r="A200" s="3">
        <v>32</v>
      </c>
      <c r="B200" s="4" t="s">
        <v>62</v>
      </c>
      <c r="C200" s="3" t="s">
        <v>125</v>
      </c>
      <c r="D200" s="3" t="s">
        <v>290</v>
      </c>
      <c r="E200" s="3">
        <v>4</v>
      </c>
      <c r="G200" s="59"/>
    </row>
    <row r="201" spans="1:7" ht="12.75" x14ac:dyDescent="0.2">
      <c r="A201" s="3">
        <v>32</v>
      </c>
      <c r="B201" s="4" t="s">
        <v>62</v>
      </c>
      <c r="C201" s="3" t="s">
        <v>125</v>
      </c>
      <c r="D201" s="3" t="s">
        <v>16</v>
      </c>
      <c r="E201" s="3">
        <v>187</v>
      </c>
      <c r="G201" s="57"/>
    </row>
    <row r="202" spans="1:7" ht="12.75" x14ac:dyDescent="0.2">
      <c r="A202" s="3">
        <v>32</v>
      </c>
      <c r="B202" s="4" t="s">
        <v>62</v>
      </c>
      <c r="C202" s="3" t="s">
        <v>125</v>
      </c>
      <c r="D202" s="3" t="s">
        <v>346</v>
      </c>
      <c r="E202" s="3">
        <v>0</v>
      </c>
      <c r="G202" s="57"/>
    </row>
    <row r="203" spans="1:7" ht="12.75" x14ac:dyDescent="0.2">
      <c r="A203" s="3">
        <v>32</v>
      </c>
      <c r="B203" s="4" t="s">
        <v>62</v>
      </c>
      <c r="C203" s="3" t="s">
        <v>125</v>
      </c>
      <c r="D203" s="3" t="s">
        <v>316</v>
      </c>
      <c r="E203" s="3">
        <v>0</v>
      </c>
      <c r="G203" s="57"/>
    </row>
    <row r="204" spans="1:7" ht="12.75" x14ac:dyDescent="0.2">
      <c r="A204" s="3">
        <v>32</v>
      </c>
      <c r="B204" s="4" t="s">
        <v>62</v>
      </c>
      <c r="C204" s="3" t="s">
        <v>125</v>
      </c>
      <c r="D204" s="3" t="s">
        <v>132</v>
      </c>
      <c r="E204" s="3">
        <v>5</v>
      </c>
      <c r="G204" s="57"/>
    </row>
    <row r="205" spans="1:7" ht="12.75" x14ac:dyDescent="0.2">
      <c r="A205" s="3">
        <v>32</v>
      </c>
      <c r="B205" s="4" t="s">
        <v>62</v>
      </c>
      <c r="C205" s="3" t="s">
        <v>125</v>
      </c>
      <c r="D205" s="3" t="s">
        <v>14</v>
      </c>
      <c r="E205" s="3">
        <v>36</v>
      </c>
      <c r="G205" s="57"/>
    </row>
    <row r="206" spans="1:7" ht="12.75" x14ac:dyDescent="0.2">
      <c r="A206" s="3">
        <v>32</v>
      </c>
      <c r="B206" s="4" t="s">
        <v>62</v>
      </c>
      <c r="C206" s="3" t="s">
        <v>125</v>
      </c>
      <c r="D206" s="3" t="s">
        <v>138</v>
      </c>
      <c r="E206" s="3">
        <v>0</v>
      </c>
      <c r="F206">
        <f>SUM(E200:E206)</f>
        <v>232</v>
      </c>
      <c r="G206" s="57"/>
    </row>
    <row r="207" spans="1:7" ht="12.75" x14ac:dyDescent="0.2">
      <c r="A207" s="3">
        <v>33</v>
      </c>
      <c r="B207" s="4" t="s">
        <v>63</v>
      </c>
      <c r="C207" s="3" t="s">
        <v>125</v>
      </c>
      <c r="D207" s="3" t="s">
        <v>290</v>
      </c>
      <c r="E207" s="3">
        <v>1</v>
      </c>
      <c r="G207" s="59"/>
    </row>
    <row r="208" spans="1:7" ht="12.75" x14ac:dyDescent="0.2">
      <c r="A208" s="3">
        <v>33</v>
      </c>
      <c r="B208" s="4" t="s">
        <v>63</v>
      </c>
      <c r="C208" s="3" t="s">
        <v>125</v>
      </c>
      <c r="D208" s="3" t="s">
        <v>16</v>
      </c>
      <c r="E208" s="3">
        <v>220</v>
      </c>
      <c r="G208" s="57"/>
    </row>
    <row r="209" spans="1:7" ht="12.75" x14ac:dyDescent="0.2">
      <c r="A209" s="3">
        <v>33</v>
      </c>
      <c r="B209" s="4" t="s">
        <v>63</v>
      </c>
      <c r="C209" s="3" t="s">
        <v>125</v>
      </c>
      <c r="D209" s="3" t="s">
        <v>346</v>
      </c>
      <c r="E209" s="3">
        <v>1</v>
      </c>
      <c r="G209" s="57"/>
    </row>
    <row r="210" spans="1:7" ht="12.75" x14ac:dyDescent="0.2">
      <c r="A210" s="3">
        <v>33</v>
      </c>
      <c r="B210" s="4" t="s">
        <v>63</v>
      </c>
      <c r="C210" s="3" t="s">
        <v>125</v>
      </c>
      <c r="D210" s="3" t="s">
        <v>316</v>
      </c>
      <c r="E210" s="3">
        <v>2</v>
      </c>
      <c r="G210" s="57"/>
    </row>
    <row r="211" spans="1:7" ht="12.75" x14ac:dyDescent="0.2">
      <c r="A211" s="3">
        <v>33</v>
      </c>
      <c r="B211" s="4" t="s">
        <v>63</v>
      </c>
      <c r="C211" s="3" t="s">
        <v>125</v>
      </c>
      <c r="D211" s="3" t="s">
        <v>132</v>
      </c>
      <c r="E211" s="3">
        <v>129</v>
      </c>
      <c r="G211" s="57"/>
    </row>
    <row r="212" spans="1:7" ht="12.75" x14ac:dyDescent="0.2">
      <c r="A212" s="3">
        <v>33</v>
      </c>
      <c r="B212" s="4" t="s">
        <v>63</v>
      </c>
      <c r="C212" s="3" t="s">
        <v>125</v>
      </c>
      <c r="D212" s="3" t="s">
        <v>14</v>
      </c>
      <c r="E212" s="3">
        <v>38</v>
      </c>
      <c r="G212" s="57"/>
    </row>
    <row r="213" spans="1:7" ht="12.75" x14ac:dyDescent="0.2">
      <c r="A213" s="3">
        <v>33</v>
      </c>
      <c r="B213" s="4" t="s">
        <v>63</v>
      </c>
      <c r="C213" s="3" t="s">
        <v>125</v>
      </c>
      <c r="D213" s="3" t="s">
        <v>138</v>
      </c>
      <c r="E213" s="3">
        <v>0</v>
      </c>
      <c r="F213">
        <f>SUM(E207:E213)</f>
        <v>391</v>
      </c>
      <c r="G213" s="57"/>
    </row>
    <row r="214" spans="1:7" ht="12.75" x14ac:dyDescent="0.2">
      <c r="A214" s="3">
        <v>34</v>
      </c>
      <c r="B214" s="4" t="s">
        <v>64</v>
      </c>
      <c r="C214" s="3" t="s">
        <v>125</v>
      </c>
      <c r="D214" s="3" t="s">
        <v>290</v>
      </c>
      <c r="E214" s="3">
        <v>10</v>
      </c>
      <c r="G214" s="59"/>
    </row>
    <row r="215" spans="1:7" ht="12.75" x14ac:dyDescent="0.2">
      <c r="A215" s="3">
        <v>34</v>
      </c>
      <c r="B215" s="4" t="s">
        <v>64</v>
      </c>
      <c r="C215" s="3" t="s">
        <v>125</v>
      </c>
      <c r="D215" s="3" t="s">
        <v>16</v>
      </c>
      <c r="E215" s="3">
        <v>673</v>
      </c>
      <c r="G215" s="57"/>
    </row>
    <row r="216" spans="1:7" ht="12.75" x14ac:dyDescent="0.2">
      <c r="A216" s="3">
        <v>34</v>
      </c>
      <c r="B216" s="4" t="s">
        <v>64</v>
      </c>
      <c r="C216" s="3" t="s">
        <v>125</v>
      </c>
      <c r="D216" s="3" t="s">
        <v>346</v>
      </c>
      <c r="E216" s="3">
        <v>9</v>
      </c>
      <c r="G216" s="57"/>
    </row>
    <row r="217" spans="1:7" ht="12.75" x14ac:dyDescent="0.2">
      <c r="A217" s="3">
        <v>34</v>
      </c>
      <c r="B217" s="4" t="s">
        <v>64</v>
      </c>
      <c r="C217" s="3" t="s">
        <v>125</v>
      </c>
      <c r="D217" s="3" t="s">
        <v>316</v>
      </c>
      <c r="E217" s="3">
        <v>23</v>
      </c>
      <c r="G217" s="57"/>
    </row>
    <row r="218" spans="1:7" ht="12.75" x14ac:dyDescent="0.2">
      <c r="A218" s="3">
        <v>34</v>
      </c>
      <c r="B218" s="4" t="s">
        <v>64</v>
      </c>
      <c r="C218" s="3" t="s">
        <v>125</v>
      </c>
      <c r="D218" s="3" t="s">
        <v>132</v>
      </c>
      <c r="E218" s="3">
        <v>731</v>
      </c>
      <c r="G218" s="57"/>
    </row>
    <row r="219" spans="1:7" ht="12.75" x14ac:dyDescent="0.2">
      <c r="A219" s="3">
        <v>34</v>
      </c>
      <c r="B219" s="4" t="s">
        <v>64</v>
      </c>
      <c r="C219" s="3" t="s">
        <v>125</v>
      </c>
      <c r="D219" s="3" t="s">
        <v>14</v>
      </c>
      <c r="E219" s="3">
        <v>172</v>
      </c>
      <c r="G219" s="57"/>
    </row>
    <row r="220" spans="1:7" ht="12.75" x14ac:dyDescent="0.2">
      <c r="A220" s="3">
        <v>34</v>
      </c>
      <c r="B220" s="4" t="s">
        <v>64</v>
      </c>
      <c r="C220" s="3" t="s">
        <v>125</v>
      </c>
      <c r="D220" s="3" t="s">
        <v>138</v>
      </c>
      <c r="E220" s="3">
        <v>0</v>
      </c>
      <c r="F220">
        <f>SUM(E214:E220)</f>
        <v>1618</v>
      </c>
      <c r="G220" s="57"/>
    </row>
    <row r="221" spans="1:7" ht="12.75" x14ac:dyDescent="0.2">
      <c r="A221" s="3">
        <v>35</v>
      </c>
      <c r="B221" s="4" t="s">
        <v>65</v>
      </c>
      <c r="C221" s="3" t="s">
        <v>125</v>
      </c>
      <c r="D221" s="3" t="s">
        <v>290</v>
      </c>
      <c r="E221" s="3">
        <v>6</v>
      </c>
      <c r="G221" s="59"/>
    </row>
    <row r="222" spans="1:7" ht="12.75" x14ac:dyDescent="0.2">
      <c r="A222" s="3">
        <v>35</v>
      </c>
      <c r="B222" s="4" t="s">
        <v>65</v>
      </c>
      <c r="C222" s="3" t="s">
        <v>125</v>
      </c>
      <c r="D222" s="3" t="s">
        <v>16</v>
      </c>
      <c r="E222" s="3">
        <v>151</v>
      </c>
      <c r="G222" s="57"/>
    </row>
    <row r="223" spans="1:7" ht="12.75" x14ac:dyDescent="0.2">
      <c r="A223" s="3">
        <v>35</v>
      </c>
      <c r="B223" s="4" t="s">
        <v>65</v>
      </c>
      <c r="C223" s="3" t="s">
        <v>125</v>
      </c>
      <c r="D223" s="3" t="s">
        <v>346</v>
      </c>
      <c r="E223" s="3">
        <v>4</v>
      </c>
      <c r="G223" s="57"/>
    </row>
    <row r="224" spans="1:7" ht="12.75" x14ac:dyDescent="0.2">
      <c r="A224" s="3">
        <v>35</v>
      </c>
      <c r="B224" s="4" t="s">
        <v>65</v>
      </c>
      <c r="C224" s="3" t="s">
        <v>125</v>
      </c>
      <c r="D224" s="3" t="s">
        <v>316</v>
      </c>
      <c r="E224" s="3">
        <v>6</v>
      </c>
      <c r="G224" s="57"/>
    </row>
    <row r="225" spans="1:7" ht="12.75" x14ac:dyDescent="0.2">
      <c r="A225" s="3">
        <v>35</v>
      </c>
      <c r="B225" s="4" t="s">
        <v>65</v>
      </c>
      <c r="C225" s="3" t="s">
        <v>125</v>
      </c>
      <c r="D225" s="3" t="s">
        <v>132</v>
      </c>
      <c r="E225" s="3">
        <v>525</v>
      </c>
      <c r="G225" s="57"/>
    </row>
    <row r="226" spans="1:7" ht="12.75" x14ac:dyDescent="0.2">
      <c r="A226" s="3">
        <v>35</v>
      </c>
      <c r="B226" s="4" t="s">
        <v>65</v>
      </c>
      <c r="C226" s="3" t="s">
        <v>125</v>
      </c>
      <c r="D226" s="3" t="s">
        <v>14</v>
      </c>
      <c r="E226" s="3">
        <v>98</v>
      </c>
      <c r="G226" s="57"/>
    </row>
    <row r="227" spans="1:7" ht="12.75" x14ac:dyDescent="0.2">
      <c r="A227" s="3">
        <v>35</v>
      </c>
      <c r="B227" s="4" t="s">
        <v>65</v>
      </c>
      <c r="C227" s="3" t="s">
        <v>125</v>
      </c>
      <c r="D227" s="3" t="s">
        <v>138</v>
      </c>
      <c r="E227" s="3">
        <v>11</v>
      </c>
      <c r="F227">
        <f>SUM(E221:E227)</f>
        <v>801</v>
      </c>
      <c r="G227" s="57"/>
    </row>
    <row r="228" spans="1:7" ht="12.75" x14ac:dyDescent="0.2">
      <c r="A228" s="3">
        <v>36</v>
      </c>
      <c r="B228" s="4" t="s">
        <v>66</v>
      </c>
      <c r="C228" s="3" t="s">
        <v>125</v>
      </c>
      <c r="D228" s="3" t="s">
        <v>290</v>
      </c>
      <c r="E228" s="3">
        <v>43</v>
      </c>
      <c r="G228" s="59"/>
    </row>
    <row r="229" spans="1:7" ht="12.75" x14ac:dyDescent="0.2">
      <c r="A229" s="3">
        <v>36</v>
      </c>
      <c r="B229" s="4" t="s">
        <v>66</v>
      </c>
      <c r="C229" s="3" t="s">
        <v>125</v>
      </c>
      <c r="D229" s="3" t="s">
        <v>16</v>
      </c>
      <c r="E229" s="3">
        <v>1065</v>
      </c>
      <c r="G229" s="57"/>
    </row>
    <row r="230" spans="1:7" ht="12.75" x14ac:dyDescent="0.2">
      <c r="A230" s="3">
        <v>36</v>
      </c>
      <c r="B230" s="4" t="s">
        <v>66</v>
      </c>
      <c r="C230" s="3" t="s">
        <v>125</v>
      </c>
      <c r="D230" s="3" t="s">
        <v>346</v>
      </c>
      <c r="E230" s="3">
        <v>30</v>
      </c>
      <c r="G230" s="57"/>
    </row>
    <row r="231" spans="1:7" ht="12.75" x14ac:dyDescent="0.2">
      <c r="A231" s="3">
        <v>36</v>
      </c>
      <c r="B231" s="4" t="s">
        <v>66</v>
      </c>
      <c r="C231" s="3" t="s">
        <v>125</v>
      </c>
      <c r="D231" s="3" t="s">
        <v>316</v>
      </c>
      <c r="E231" s="3">
        <v>62</v>
      </c>
      <c r="G231" s="57"/>
    </row>
    <row r="232" spans="1:7" ht="12.75" x14ac:dyDescent="0.2">
      <c r="A232" s="3">
        <v>36</v>
      </c>
      <c r="B232" s="4" t="s">
        <v>66</v>
      </c>
      <c r="C232" s="3" t="s">
        <v>125</v>
      </c>
      <c r="D232" s="3" t="s">
        <v>132</v>
      </c>
      <c r="E232" s="3">
        <v>1251</v>
      </c>
      <c r="G232" s="57"/>
    </row>
    <row r="233" spans="1:7" ht="12.75" x14ac:dyDescent="0.2">
      <c r="A233" s="3">
        <v>36</v>
      </c>
      <c r="B233" s="4" t="s">
        <v>66</v>
      </c>
      <c r="C233" s="3" t="s">
        <v>125</v>
      </c>
      <c r="D233" s="3" t="s">
        <v>14</v>
      </c>
      <c r="E233" s="3">
        <v>483</v>
      </c>
      <c r="G233" s="57"/>
    </row>
    <row r="234" spans="1:7" ht="12.75" x14ac:dyDescent="0.2">
      <c r="A234" s="3">
        <v>36</v>
      </c>
      <c r="B234" s="4" t="s">
        <v>66</v>
      </c>
      <c r="C234" s="3" t="s">
        <v>125</v>
      </c>
      <c r="D234" s="3" t="s">
        <v>138</v>
      </c>
      <c r="E234" s="3">
        <v>39</v>
      </c>
      <c r="F234">
        <f>SUM(E228:E234)</f>
        <v>2973</v>
      </c>
      <c r="G234" s="57"/>
    </row>
    <row r="235" spans="1:7" ht="12.75" x14ac:dyDescent="0.2">
      <c r="A235" s="3">
        <v>37</v>
      </c>
      <c r="B235" s="4" t="s">
        <v>67</v>
      </c>
      <c r="C235" s="3" t="s">
        <v>125</v>
      </c>
      <c r="D235" s="3" t="s">
        <v>290</v>
      </c>
      <c r="E235" s="3">
        <v>0</v>
      </c>
      <c r="G235" s="59"/>
    </row>
    <row r="236" spans="1:7" ht="12.75" x14ac:dyDescent="0.2">
      <c r="A236" s="3">
        <v>37</v>
      </c>
      <c r="B236" s="4" t="s">
        <v>67</v>
      </c>
      <c r="C236" s="3" t="s">
        <v>125</v>
      </c>
      <c r="D236" s="3" t="s">
        <v>16</v>
      </c>
      <c r="E236" s="3">
        <v>29</v>
      </c>
      <c r="G236" s="57"/>
    </row>
    <row r="237" spans="1:7" ht="12.75" x14ac:dyDescent="0.2">
      <c r="A237" s="3">
        <v>37</v>
      </c>
      <c r="B237" s="4" t="s">
        <v>67</v>
      </c>
      <c r="C237" s="3" t="s">
        <v>125</v>
      </c>
      <c r="D237" s="3" t="s">
        <v>346</v>
      </c>
      <c r="E237" s="3">
        <v>0</v>
      </c>
      <c r="G237" s="57"/>
    </row>
    <row r="238" spans="1:7" ht="12.75" x14ac:dyDescent="0.2">
      <c r="A238" s="3">
        <v>37</v>
      </c>
      <c r="B238" s="4" t="s">
        <v>67</v>
      </c>
      <c r="C238" s="3" t="s">
        <v>125</v>
      </c>
      <c r="D238" s="3" t="s">
        <v>316</v>
      </c>
      <c r="E238" s="3">
        <v>4</v>
      </c>
      <c r="G238" s="57"/>
    </row>
    <row r="239" spans="1:7" ht="12.75" x14ac:dyDescent="0.2">
      <c r="A239" s="3">
        <v>37</v>
      </c>
      <c r="B239" s="4" t="s">
        <v>67</v>
      </c>
      <c r="C239" s="3" t="s">
        <v>125</v>
      </c>
      <c r="D239" s="3" t="s">
        <v>132</v>
      </c>
      <c r="E239" s="3">
        <v>8</v>
      </c>
      <c r="G239" s="57"/>
    </row>
    <row r="240" spans="1:7" ht="12.75" x14ac:dyDescent="0.2">
      <c r="A240" s="3">
        <v>37</v>
      </c>
      <c r="B240" s="4" t="s">
        <v>67</v>
      </c>
      <c r="C240" s="3" t="s">
        <v>125</v>
      </c>
      <c r="D240" s="3" t="s">
        <v>14</v>
      </c>
      <c r="E240" s="3">
        <v>9</v>
      </c>
      <c r="G240" s="57"/>
    </row>
    <row r="241" spans="1:7" ht="12.75" x14ac:dyDescent="0.2">
      <c r="A241" s="3">
        <v>37</v>
      </c>
      <c r="B241" s="4" t="s">
        <v>67</v>
      </c>
      <c r="C241" s="3" t="s">
        <v>125</v>
      </c>
      <c r="D241" s="3" t="s">
        <v>138</v>
      </c>
      <c r="E241" s="3">
        <v>0</v>
      </c>
      <c r="F241">
        <f>SUM(E235:E241)</f>
        <v>50</v>
      </c>
      <c r="G241" s="57"/>
    </row>
    <row r="242" spans="1:7" ht="12.75" x14ac:dyDescent="0.2">
      <c r="A242" s="3">
        <v>38</v>
      </c>
      <c r="B242" s="4" t="s">
        <v>68</v>
      </c>
      <c r="C242" s="3" t="s">
        <v>125</v>
      </c>
      <c r="D242" s="3" t="s">
        <v>290</v>
      </c>
      <c r="E242" s="3">
        <v>6</v>
      </c>
      <c r="G242" s="59"/>
    </row>
    <row r="243" spans="1:7" ht="12.75" x14ac:dyDescent="0.2">
      <c r="A243" s="3">
        <v>38</v>
      </c>
      <c r="B243" s="4" t="s">
        <v>68</v>
      </c>
      <c r="C243" s="3" t="s">
        <v>125</v>
      </c>
      <c r="D243" s="3" t="s">
        <v>16</v>
      </c>
      <c r="E243" s="3">
        <v>138</v>
      </c>
      <c r="G243" s="57"/>
    </row>
    <row r="244" spans="1:7" ht="12.75" x14ac:dyDescent="0.2">
      <c r="A244" s="3">
        <v>38</v>
      </c>
      <c r="B244" s="4" t="s">
        <v>68</v>
      </c>
      <c r="C244" s="3" t="s">
        <v>125</v>
      </c>
      <c r="D244" s="3" t="s">
        <v>346</v>
      </c>
      <c r="E244" s="3">
        <v>4</v>
      </c>
      <c r="G244" s="57"/>
    </row>
    <row r="245" spans="1:7" ht="12.75" x14ac:dyDescent="0.2">
      <c r="A245" s="3">
        <v>38</v>
      </c>
      <c r="B245" s="4" t="s">
        <v>68</v>
      </c>
      <c r="C245" s="3" t="s">
        <v>125</v>
      </c>
      <c r="D245" s="3" t="s">
        <v>316</v>
      </c>
      <c r="E245" s="3">
        <v>3</v>
      </c>
      <c r="G245" s="57"/>
    </row>
    <row r="246" spans="1:7" ht="12.75" x14ac:dyDescent="0.2">
      <c r="A246" s="3">
        <v>38</v>
      </c>
      <c r="B246" s="4" t="s">
        <v>68</v>
      </c>
      <c r="C246" s="3" t="s">
        <v>125</v>
      </c>
      <c r="D246" s="3" t="s">
        <v>132</v>
      </c>
      <c r="E246" s="3">
        <v>232</v>
      </c>
      <c r="G246" s="57"/>
    </row>
    <row r="247" spans="1:7" ht="12.75" x14ac:dyDescent="0.2">
      <c r="A247" s="3">
        <v>38</v>
      </c>
      <c r="B247" s="4" t="s">
        <v>68</v>
      </c>
      <c r="C247" s="3" t="s">
        <v>125</v>
      </c>
      <c r="D247" s="3" t="s">
        <v>14</v>
      </c>
      <c r="E247" s="3">
        <v>24</v>
      </c>
      <c r="G247" s="57"/>
    </row>
    <row r="248" spans="1:7" ht="12.75" x14ac:dyDescent="0.2">
      <c r="A248" s="3">
        <v>38</v>
      </c>
      <c r="B248" s="4" t="s">
        <v>68</v>
      </c>
      <c r="C248" s="3" t="s">
        <v>125</v>
      </c>
      <c r="D248" s="3" t="s">
        <v>138</v>
      </c>
      <c r="E248" s="3">
        <v>10</v>
      </c>
      <c r="F248">
        <f>SUM(E242:E248)</f>
        <v>417</v>
      </c>
      <c r="G248" s="57"/>
    </row>
    <row r="249" spans="1:7" ht="12.75" x14ac:dyDescent="0.2">
      <c r="A249" s="3">
        <v>39</v>
      </c>
      <c r="B249" s="4" t="s">
        <v>69</v>
      </c>
      <c r="C249" s="3" t="s">
        <v>125</v>
      </c>
      <c r="D249" s="3" t="s">
        <v>290</v>
      </c>
      <c r="E249" s="3">
        <v>19</v>
      </c>
      <c r="G249" s="59"/>
    </row>
    <row r="250" spans="1:7" ht="12.75" x14ac:dyDescent="0.2">
      <c r="A250" s="3">
        <v>39</v>
      </c>
      <c r="B250" s="4" t="s">
        <v>69</v>
      </c>
      <c r="C250" s="3" t="s">
        <v>125</v>
      </c>
      <c r="D250" s="3" t="s">
        <v>16</v>
      </c>
      <c r="E250" s="3">
        <v>793</v>
      </c>
      <c r="G250" s="57"/>
    </row>
    <row r="251" spans="1:7" ht="12.75" x14ac:dyDescent="0.2">
      <c r="A251" s="3">
        <v>39</v>
      </c>
      <c r="B251" s="4" t="s">
        <v>69</v>
      </c>
      <c r="C251" s="3" t="s">
        <v>125</v>
      </c>
      <c r="D251" s="3" t="s">
        <v>346</v>
      </c>
      <c r="E251" s="3">
        <v>8</v>
      </c>
      <c r="G251" s="57"/>
    </row>
    <row r="252" spans="1:7" ht="12.75" x14ac:dyDescent="0.2">
      <c r="A252" s="3">
        <v>39</v>
      </c>
      <c r="B252" s="4" t="s">
        <v>69</v>
      </c>
      <c r="C252" s="3" t="s">
        <v>125</v>
      </c>
      <c r="D252" s="3" t="s">
        <v>316</v>
      </c>
      <c r="E252" s="3">
        <v>12</v>
      </c>
      <c r="G252" s="57"/>
    </row>
    <row r="253" spans="1:7" ht="12.75" x14ac:dyDescent="0.2">
      <c r="A253" s="3">
        <v>39</v>
      </c>
      <c r="B253" s="4" t="s">
        <v>69</v>
      </c>
      <c r="C253" s="3" t="s">
        <v>125</v>
      </c>
      <c r="D253" s="3" t="s">
        <v>132</v>
      </c>
      <c r="E253" s="3">
        <v>314</v>
      </c>
      <c r="G253" s="57"/>
    </row>
    <row r="254" spans="1:7" ht="12.75" x14ac:dyDescent="0.2">
      <c r="A254" s="3">
        <v>39</v>
      </c>
      <c r="B254" s="4" t="s">
        <v>69</v>
      </c>
      <c r="C254" s="3" t="s">
        <v>125</v>
      </c>
      <c r="D254" s="3" t="s">
        <v>14</v>
      </c>
      <c r="E254" s="3">
        <v>206</v>
      </c>
      <c r="G254" s="57"/>
    </row>
    <row r="255" spans="1:7" ht="12.75" x14ac:dyDescent="0.2">
      <c r="A255" s="3">
        <v>39</v>
      </c>
      <c r="B255" s="4" t="s">
        <v>69</v>
      </c>
      <c r="C255" s="3" t="s">
        <v>125</v>
      </c>
      <c r="D255" s="3" t="s">
        <v>138</v>
      </c>
      <c r="E255" s="3">
        <v>6</v>
      </c>
      <c r="F255">
        <f>SUM(E249:E255)</f>
        <v>1358</v>
      </c>
      <c r="G255" s="57"/>
    </row>
    <row r="256" spans="1:7" ht="12.75" x14ac:dyDescent="0.2">
      <c r="A256" s="2" t="s">
        <v>70</v>
      </c>
      <c r="B256" s="4" t="s">
        <v>71</v>
      </c>
      <c r="C256" s="3" t="s">
        <v>125</v>
      </c>
      <c r="D256" s="3" t="s">
        <v>290</v>
      </c>
      <c r="E256" s="3">
        <v>6</v>
      </c>
      <c r="G256" s="59"/>
    </row>
    <row r="257" spans="1:7" ht="12.75" x14ac:dyDescent="0.2">
      <c r="A257" s="2" t="s">
        <v>70</v>
      </c>
      <c r="B257" s="4" t="s">
        <v>71</v>
      </c>
      <c r="C257" s="3" t="s">
        <v>125</v>
      </c>
      <c r="D257" s="3" t="s">
        <v>16</v>
      </c>
      <c r="E257" s="3">
        <v>142</v>
      </c>
      <c r="G257" s="57"/>
    </row>
    <row r="258" spans="1:7" ht="12.75" x14ac:dyDescent="0.2">
      <c r="A258" s="2" t="s">
        <v>70</v>
      </c>
      <c r="B258" s="4" t="s">
        <v>71</v>
      </c>
      <c r="C258" s="3" t="s">
        <v>125</v>
      </c>
      <c r="D258" s="3" t="s">
        <v>346</v>
      </c>
      <c r="E258" s="3">
        <v>0</v>
      </c>
      <c r="G258" s="57"/>
    </row>
    <row r="259" spans="1:7" ht="12.75" x14ac:dyDescent="0.2">
      <c r="A259" s="2" t="s">
        <v>70</v>
      </c>
      <c r="B259" s="4" t="s">
        <v>71</v>
      </c>
      <c r="C259" s="3" t="s">
        <v>125</v>
      </c>
      <c r="D259" s="3" t="s">
        <v>316</v>
      </c>
      <c r="E259" s="3">
        <v>2</v>
      </c>
      <c r="G259" s="57"/>
    </row>
    <row r="260" spans="1:7" ht="12.75" x14ac:dyDescent="0.2">
      <c r="A260" s="2" t="s">
        <v>70</v>
      </c>
      <c r="B260" s="4" t="s">
        <v>71</v>
      </c>
      <c r="C260" s="3" t="s">
        <v>125</v>
      </c>
      <c r="D260" s="3" t="s">
        <v>132</v>
      </c>
      <c r="E260" s="3">
        <v>60</v>
      </c>
      <c r="G260" s="57"/>
    </row>
    <row r="261" spans="1:7" ht="12.75" x14ac:dyDescent="0.2">
      <c r="A261" s="2" t="s">
        <v>70</v>
      </c>
      <c r="B261" s="4" t="s">
        <v>71</v>
      </c>
      <c r="C261" s="3" t="s">
        <v>125</v>
      </c>
      <c r="D261" s="3" t="s">
        <v>14</v>
      </c>
      <c r="E261" s="3">
        <v>124</v>
      </c>
      <c r="G261" s="57"/>
    </row>
    <row r="262" spans="1:7" ht="12.75" x14ac:dyDescent="0.2">
      <c r="A262" s="2" t="s">
        <v>70</v>
      </c>
      <c r="B262" s="4" t="s">
        <v>71</v>
      </c>
      <c r="C262" s="3" t="s">
        <v>125</v>
      </c>
      <c r="D262" s="3" t="s">
        <v>138</v>
      </c>
      <c r="E262" s="3">
        <v>3</v>
      </c>
      <c r="F262">
        <f>SUM(E256:E262)</f>
        <v>337</v>
      </c>
      <c r="G262" s="57"/>
    </row>
    <row r="263" spans="1:7" ht="12.75" x14ac:dyDescent="0.2">
      <c r="A263" s="2">
        <v>40</v>
      </c>
      <c r="B263" s="4" t="s">
        <v>72</v>
      </c>
      <c r="C263" s="3" t="s">
        <v>125</v>
      </c>
      <c r="D263" s="3" t="s">
        <v>290</v>
      </c>
      <c r="E263" s="3">
        <v>53</v>
      </c>
      <c r="G263" s="59"/>
    </row>
    <row r="264" spans="1:7" ht="12.75" x14ac:dyDescent="0.2">
      <c r="A264" s="2">
        <v>40</v>
      </c>
      <c r="B264" s="4" t="s">
        <v>72</v>
      </c>
      <c r="C264" s="3" t="s">
        <v>125</v>
      </c>
      <c r="D264" s="3" t="s">
        <v>16</v>
      </c>
      <c r="E264" s="3">
        <v>916</v>
      </c>
      <c r="G264" s="57"/>
    </row>
    <row r="265" spans="1:7" ht="12.75" x14ac:dyDescent="0.2">
      <c r="A265" s="2">
        <v>40</v>
      </c>
      <c r="B265" s="4" t="s">
        <v>72</v>
      </c>
      <c r="C265" s="3" t="s">
        <v>125</v>
      </c>
      <c r="D265" s="3" t="s">
        <v>346</v>
      </c>
      <c r="E265" s="3">
        <v>22</v>
      </c>
      <c r="G265" s="57"/>
    </row>
    <row r="266" spans="1:7" ht="12.75" x14ac:dyDescent="0.2">
      <c r="A266" s="2">
        <v>40</v>
      </c>
      <c r="B266" s="4" t="s">
        <v>72</v>
      </c>
      <c r="C266" s="3" t="s">
        <v>125</v>
      </c>
      <c r="D266" s="3" t="s">
        <v>316</v>
      </c>
      <c r="E266" s="3">
        <v>58</v>
      </c>
      <c r="G266" s="57"/>
    </row>
    <row r="267" spans="1:7" ht="12.75" x14ac:dyDescent="0.2">
      <c r="A267" s="2">
        <v>40</v>
      </c>
      <c r="B267" s="4" t="s">
        <v>72</v>
      </c>
      <c r="C267" s="3" t="s">
        <v>125</v>
      </c>
      <c r="D267" s="3" t="s">
        <v>132</v>
      </c>
      <c r="E267" s="3">
        <v>415</v>
      </c>
      <c r="G267" s="57"/>
    </row>
    <row r="268" spans="1:7" ht="12.75" x14ac:dyDescent="0.2">
      <c r="A268" s="2">
        <v>40</v>
      </c>
      <c r="B268" s="4" t="s">
        <v>72</v>
      </c>
      <c r="C268" s="3" t="s">
        <v>125</v>
      </c>
      <c r="D268" s="3" t="s">
        <v>14</v>
      </c>
      <c r="E268" s="3">
        <v>509</v>
      </c>
      <c r="G268" s="57"/>
    </row>
    <row r="269" spans="1:7" ht="12.75" x14ac:dyDescent="0.2">
      <c r="A269" s="2">
        <v>40</v>
      </c>
      <c r="B269" s="4" t="s">
        <v>72</v>
      </c>
      <c r="C269" s="3" t="s">
        <v>125</v>
      </c>
      <c r="D269" s="3" t="s">
        <v>138</v>
      </c>
      <c r="E269" s="3">
        <v>12</v>
      </c>
      <c r="F269">
        <f>SUM(E263:E269)</f>
        <v>1985</v>
      </c>
      <c r="G269" s="57"/>
    </row>
    <row r="270" spans="1:7" ht="12.75" x14ac:dyDescent="0.2">
      <c r="A270" s="3">
        <v>42</v>
      </c>
      <c r="B270" s="4" t="s">
        <v>73</v>
      </c>
      <c r="C270" s="3" t="s">
        <v>125</v>
      </c>
      <c r="D270" s="3" t="s">
        <v>290</v>
      </c>
      <c r="E270" s="3">
        <v>41</v>
      </c>
      <c r="G270" s="59"/>
    </row>
    <row r="271" spans="1:7" ht="12.75" x14ac:dyDescent="0.2">
      <c r="A271" s="3">
        <v>42</v>
      </c>
      <c r="B271" s="4" t="s">
        <v>73</v>
      </c>
      <c r="C271" s="3" t="s">
        <v>125</v>
      </c>
      <c r="D271" s="3" t="s">
        <v>16</v>
      </c>
      <c r="E271" s="3">
        <v>801</v>
      </c>
      <c r="G271" s="57"/>
    </row>
    <row r="272" spans="1:7" ht="12.75" x14ac:dyDescent="0.2">
      <c r="A272" s="3">
        <v>42</v>
      </c>
      <c r="B272" s="4" t="s">
        <v>73</v>
      </c>
      <c r="C272" s="3" t="s">
        <v>125</v>
      </c>
      <c r="D272" s="3" t="s">
        <v>346</v>
      </c>
      <c r="E272" s="3">
        <v>17</v>
      </c>
      <c r="G272" s="57"/>
    </row>
    <row r="273" spans="1:7" ht="12.75" x14ac:dyDescent="0.2">
      <c r="A273" s="3">
        <v>42</v>
      </c>
      <c r="B273" s="4" t="s">
        <v>73</v>
      </c>
      <c r="C273" s="3" t="s">
        <v>125</v>
      </c>
      <c r="D273" s="3" t="s">
        <v>316</v>
      </c>
      <c r="E273" s="3">
        <v>58</v>
      </c>
      <c r="G273" s="57"/>
    </row>
    <row r="274" spans="1:7" ht="12.75" x14ac:dyDescent="0.2">
      <c r="A274" s="3">
        <v>42</v>
      </c>
      <c r="B274" s="4" t="s">
        <v>73</v>
      </c>
      <c r="C274" s="3" t="s">
        <v>125</v>
      </c>
      <c r="D274" s="3" t="s">
        <v>132</v>
      </c>
      <c r="E274" s="3">
        <v>470</v>
      </c>
      <c r="G274" s="57"/>
    </row>
    <row r="275" spans="1:7" ht="12.75" x14ac:dyDescent="0.2">
      <c r="A275" s="3">
        <v>42</v>
      </c>
      <c r="B275" s="4" t="s">
        <v>73</v>
      </c>
      <c r="C275" s="3" t="s">
        <v>125</v>
      </c>
      <c r="D275" s="3" t="s">
        <v>14</v>
      </c>
      <c r="E275" s="3">
        <v>605</v>
      </c>
      <c r="G275" s="57"/>
    </row>
    <row r="276" spans="1:7" ht="12.75" x14ac:dyDescent="0.2">
      <c r="A276" s="3">
        <v>42</v>
      </c>
      <c r="B276" s="4" t="s">
        <v>73</v>
      </c>
      <c r="C276" s="3" t="s">
        <v>125</v>
      </c>
      <c r="D276" s="3" t="s">
        <v>138</v>
      </c>
      <c r="E276" s="3">
        <v>3</v>
      </c>
      <c r="F276">
        <f>SUM(E270:E276)</f>
        <v>1995</v>
      </c>
      <c r="G276" s="57"/>
    </row>
    <row r="277" spans="1:7" ht="12.75" x14ac:dyDescent="0.2">
      <c r="A277" s="3">
        <v>43</v>
      </c>
      <c r="B277" s="4" t="s">
        <v>74</v>
      </c>
      <c r="C277" s="3" t="s">
        <v>125</v>
      </c>
      <c r="D277" s="3" t="s">
        <v>290</v>
      </c>
      <c r="E277" s="3">
        <v>1</v>
      </c>
      <c r="G277" s="59"/>
    </row>
    <row r="278" spans="1:7" ht="12.75" x14ac:dyDescent="0.2">
      <c r="A278" s="3">
        <v>43</v>
      </c>
      <c r="B278" s="4" t="s">
        <v>74</v>
      </c>
      <c r="C278" s="3" t="s">
        <v>125</v>
      </c>
      <c r="D278" s="3" t="s">
        <v>16</v>
      </c>
      <c r="E278" s="3">
        <v>141</v>
      </c>
      <c r="G278" s="57"/>
    </row>
    <row r="279" spans="1:7" ht="12.75" x14ac:dyDescent="0.2">
      <c r="A279" s="3">
        <v>43</v>
      </c>
      <c r="B279" s="4" t="s">
        <v>74</v>
      </c>
      <c r="C279" s="3" t="s">
        <v>125</v>
      </c>
      <c r="D279" s="3" t="s">
        <v>346</v>
      </c>
      <c r="E279" s="3">
        <v>2</v>
      </c>
      <c r="G279" s="57"/>
    </row>
    <row r="280" spans="1:7" ht="12.75" x14ac:dyDescent="0.2">
      <c r="A280" s="3">
        <v>43</v>
      </c>
      <c r="B280" s="4" t="s">
        <v>74</v>
      </c>
      <c r="C280" s="3" t="s">
        <v>125</v>
      </c>
      <c r="D280" s="3" t="s">
        <v>316</v>
      </c>
      <c r="E280" s="3">
        <v>4</v>
      </c>
      <c r="G280" s="57"/>
    </row>
    <row r="281" spans="1:7" ht="12.75" x14ac:dyDescent="0.2">
      <c r="A281" s="3">
        <v>43</v>
      </c>
      <c r="B281" s="4" t="s">
        <v>74</v>
      </c>
      <c r="C281" s="3" t="s">
        <v>125</v>
      </c>
      <c r="D281" s="3" t="s">
        <v>132</v>
      </c>
      <c r="E281" s="3">
        <v>141</v>
      </c>
      <c r="G281" s="57"/>
    </row>
    <row r="282" spans="1:7" ht="12.75" x14ac:dyDescent="0.2">
      <c r="A282" s="3">
        <v>43</v>
      </c>
      <c r="B282" s="4" t="s">
        <v>74</v>
      </c>
      <c r="C282" s="3" t="s">
        <v>125</v>
      </c>
      <c r="D282" s="3" t="s">
        <v>14</v>
      </c>
      <c r="E282" s="3">
        <v>27</v>
      </c>
      <c r="G282" s="57"/>
    </row>
    <row r="283" spans="1:7" ht="12.75" x14ac:dyDescent="0.2">
      <c r="A283" s="3">
        <v>43</v>
      </c>
      <c r="B283" s="4" t="s">
        <v>74</v>
      </c>
      <c r="C283" s="3" t="s">
        <v>125</v>
      </c>
      <c r="D283" s="3" t="s">
        <v>138</v>
      </c>
      <c r="E283" s="3">
        <v>0</v>
      </c>
      <c r="F283">
        <f>SUM(E277:E283)</f>
        <v>316</v>
      </c>
      <c r="G283" s="57"/>
    </row>
    <row r="284" spans="1:7" ht="12.75" x14ac:dyDescent="0.2">
      <c r="A284" s="3">
        <v>45</v>
      </c>
      <c r="B284" s="4" t="s">
        <v>75</v>
      </c>
      <c r="C284" s="3" t="s">
        <v>125</v>
      </c>
      <c r="D284" s="3" t="s">
        <v>290</v>
      </c>
      <c r="E284" s="3">
        <v>1</v>
      </c>
      <c r="G284" s="59"/>
    </row>
    <row r="285" spans="1:7" ht="12.75" x14ac:dyDescent="0.2">
      <c r="A285" s="3">
        <v>45</v>
      </c>
      <c r="B285" s="4" t="s">
        <v>75</v>
      </c>
      <c r="C285" s="3" t="s">
        <v>125</v>
      </c>
      <c r="D285" s="3" t="s">
        <v>16</v>
      </c>
      <c r="E285" s="3">
        <v>86</v>
      </c>
      <c r="G285" s="57"/>
    </row>
    <row r="286" spans="1:7" ht="12.75" x14ac:dyDescent="0.2">
      <c r="A286" s="3">
        <v>45</v>
      </c>
      <c r="B286" s="4" t="s">
        <v>75</v>
      </c>
      <c r="C286" s="3" t="s">
        <v>125</v>
      </c>
      <c r="D286" s="3" t="s">
        <v>346</v>
      </c>
      <c r="E286" s="3">
        <v>0</v>
      </c>
      <c r="G286" s="57"/>
    </row>
    <row r="287" spans="1:7" ht="12.75" x14ac:dyDescent="0.2">
      <c r="A287" s="3">
        <v>45</v>
      </c>
      <c r="B287" s="4" t="s">
        <v>75</v>
      </c>
      <c r="C287" s="3" t="s">
        <v>125</v>
      </c>
      <c r="D287" s="3" t="s">
        <v>316</v>
      </c>
      <c r="E287" s="3">
        <v>6</v>
      </c>
      <c r="G287" s="57"/>
    </row>
    <row r="288" spans="1:7" ht="12.75" x14ac:dyDescent="0.2">
      <c r="A288" s="3">
        <v>45</v>
      </c>
      <c r="B288" s="4" t="s">
        <v>75</v>
      </c>
      <c r="C288" s="3" t="s">
        <v>125</v>
      </c>
      <c r="D288" s="3" t="s">
        <v>132</v>
      </c>
      <c r="E288" s="3">
        <v>6</v>
      </c>
      <c r="G288" s="57"/>
    </row>
    <row r="289" spans="1:7" ht="12.75" x14ac:dyDescent="0.2">
      <c r="A289" s="3">
        <v>45</v>
      </c>
      <c r="B289" s="4" t="s">
        <v>75</v>
      </c>
      <c r="C289" s="3" t="s">
        <v>125</v>
      </c>
      <c r="D289" s="3" t="s">
        <v>14</v>
      </c>
      <c r="E289" s="3">
        <v>12</v>
      </c>
      <c r="G289" s="57"/>
    </row>
    <row r="290" spans="1:7" ht="12.75" x14ac:dyDescent="0.2">
      <c r="A290" s="3">
        <v>45</v>
      </c>
      <c r="B290" s="4" t="s">
        <v>75</v>
      </c>
      <c r="C290" s="3" t="s">
        <v>125</v>
      </c>
      <c r="D290" s="3" t="s">
        <v>138</v>
      </c>
      <c r="E290" s="3">
        <v>0</v>
      </c>
      <c r="F290">
        <f>SUM(E284:E290)</f>
        <v>111</v>
      </c>
      <c r="G290" s="57"/>
    </row>
    <row r="291" spans="1:7" ht="12.75" x14ac:dyDescent="0.2">
      <c r="A291" s="3">
        <v>46</v>
      </c>
      <c r="B291" s="4" t="s">
        <v>76</v>
      </c>
      <c r="C291" s="3" t="s">
        <v>125</v>
      </c>
      <c r="D291" s="3" t="s">
        <v>290</v>
      </c>
      <c r="E291" s="3">
        <v>3</v>
      </c>
      <c r="G291" s="59"/>
    </row>
    <row r="292" spans="1:7" ht="12.75" x14ac:dyDescent="0.2">
      <c r="A292" s="3">
        <v>46</v>
      </c>
      <c r="B292" s="4" t="s">
        <v>76</v>
      </c>
      <c r="C292" s="3" t="s">
        <v>125</v>
      </c>
      <c r="D292" s="3" t="s">
        <v>16</v>
      </c>
      <c r="E292" s="3">
        <v>350</v>
      </c>
      <c r="G292" s="57"/>
    </row>
    <row r="293" spans="1:7" ht="12.75" x14ac:dyDescent="0.2">
      <c r="A293" s="3">
        <v>46</v>
      </c>
      <c r="B293" s="4" t="s">
        <v>76</v>
      </c>
      <c r="C293" s="3" t="s">
        <v>125</v>
      </c>
      <c r="D293" s="3" t="s">
        <v>346</v>
      </c>
      <c r="E293" s="3">
        <v>4</v>
      </c>
      <c r="G293" s="57"/>
    </row>
    <row r="294" spans="1:7" ht="12.75" x14ac:dyDescent="0.2">
      <c r="A294" s="3">
        <v>46</v>
      </c>
      <c r="B294" s="4" t="s">
        <v>76</v>
      </c>
      <c r="C294" s="3" t="s">
        <v>125</v>
      </c>
      <c r="D294" s="3" t="s">
        <v>316</v>
      </c>
      <c r="E294" s="3">
        <v>23</v>
      </c>
      <c r="G294" s="57"/>
    </row>
    <row r="295" spans="1:7" ht="12.75" x14ac:dyDescent="0.2">
      <c r="A295" s="3">
        <v>46</v>
      </c>
      <c r="B295" s="4" t="s">
        <v>76</v>
      </c>
      <c r="C295" s="3" t="s">
        <v>125</v>
      </c>
      <c r="D295" s="3" t="s">
        <v>132</v>
      </c>
      <c r="E295" s="3">
        <v>135</v>
      </c>
      <c r="G295" s="57"/>
    </row>
    <row r="296" spans="1:7" ht="12.75" x14ac:dyDescent="0.2">
      <c r="A296" s="3">
        <v>46</v>
      </c>
      <c r="B296" s="4" t="s">
        <v>76</v>
      </c>
      <c r="C296" s="3" t="s">
        <v>125</v>
      </c>
      <c r="D296" s="3" t="s">
        <v>14</v>
      </c>
      <c r="E296" s="3">
        <v>31</v>
      </c>
      <c r="G296" s="57"/>
    </row>
    <row r="297" spans="1:7" ht="12.75" x14ac:dyDescent="0.2">
      <c r="A297" s="3">
        <v>46</v>
      </c>
      <c r="B297" s="4" t="s">
        <v>76</v>
      </c>
      <c r="C297" s="3" t="s">
        <v>125</v>
      </c>
      <c r="D297" s="3" t="s">
        <v>138</v>
      </c>
      <c r="E297" s="3">
        <v>6</v>
      </c>
      <c r="F297">
        <f>SUM(E291:E297)</f>
        <v>552</v>
      </c>
      <c r="G297" s="57"/>
    </row>
    <row r="298" spans="1:7" ht="12.75" x14ac:dyDescent="0.2">
      <c r="A298" s="3">
        <v>47</v>
      </c>
      <c r="B298" s="4" t="s">
        <v>77</v>
      </c>
      <c r="C298" s="3" t="s">
        <v>125</v>
      </c>
      <c r="D298" s="3" t="s">
        <v>290</v>
      </c>
      <c r="E298" s="3">
        <v>4</v>
      </c>
      <c r="G298" s="59"/>
    </row>
    <row r="299" spans="1:7" ht="12.75" x14ac:dyDescent="0.2">
      <c r="A299" s="3">
        <v>47</v>
      </c>
      <c r="B299" s="4" t="s">
        <v>77</v>
      </c>
      <c r="C299" s="3" t="s">
        <v>125</v>
      </c>
      <c r="D299" s="3" t="s">
        <v>16</v>
      </c>
      <c r="E299" s="3">
        <v>465</v>
      </c>
      <c r="G299" s="57"/>
    </row>
    <row r="300" spans="1:7" ht="12.75" x14ac:dyDescent="0.2">
      <c r="A300" s="3">
        <v>47</v>
      </c>
      <c r="B300" s="4" t="s">
        <v>77</v>
      </c>
      <c r="C300" s="3" t="s">
        <v>125</v>
      </c>
      <c r="D300" s="3" t="s">
        <v>346</v>
      </c>
      <c r="E300" s="3">
        <v>3</v>
      </c>
      <c r="G300" s="57"/>
    </row>
    <row r="301" spans="1:7" ht="12.75" x14ac:dyDescent="0.2">
      <c r="A301" s="3">
        <v>47</v>
      </c>
      <c r="B301" s="4" t="s">
        <v>77</v>
      </c>
      <c r="C301" s="3" t="s">
        <v>125</v>
      </c>
      <c r="D301" s="3" t="s">
        <v>316</v>
      </c>
      <c r="E301" s="3">
        <v>4</v>
      </c>
      <c r="G301" s="57"/>
    </row>
    <row r="302" spans="1:7" ht="12.75" x14ac:dyDescent="0.2">
      <c r="A302" s="3">
        <v>47</v>
      </c>
      <c r="B302" s="4" t="s">
        <v>77</v>
      </c>
      <c r="C302" s="3" t="s">
        <v>125</v>
      </c>
      <c r="D302" s="3" t="s">
        <v>132</v>
      </c>
      <c r="E302" s="3">
        <v>366</v>
      </c>
      <c r="G302" s="57"/>
    </row>
    <row r="303" spans="1:7" ht="12.75" x14ac:dyDescent="0.2">
      <c r="A303" s="3">
        <v>47</v>
      </c>
      <c r="B303" s="4" t="s">
        <v>77</v>
      </c>
      <c r="C303" s="3" t="s">
        <v>125</v>
      </c>
      <c r="D303" s="3" t="s">
        <v>14</v>
      </c>
      <c r="E303" s="3">
        <v>83</v>
      </c>
      <c r="G303" s="57"/>
    </row>
    <row r="304" spans="1:7" ht="12.75" x14ac:dyDescent="0.2">
      <c r="A304" s="3">
        <v>47</v>
      </c>
      <c r="B304" s="4" t="s">
        <v>77</v>
      </c>
      <c r="C304" s="3" t="s">
        <v>125</v>
      </c>
      <c r="D304" s="3" t="s">
        <v>138</v>
      </c>
      <c r="E304" s="3">
        <v>2</v>
      </c>
      <c r="F304">
        <f>SUM(E298:E304)</f>
        <v>927</v>
      </c>
      <c r="G304" s="57"/>
    </row>
    <row r="305" spans="1:7" ht="12.75" x14ac:dyDescent="0.2">
      <c r="A305" s="3">
        <v>48</v>
      </c>
      <c r="B305" s="4" t="s">
        <v>78</v>
      </c>
      <c r="C305" s="3" t="s">
        <v>125</v>
      </c>
      <c r="D305" s="3" t="s">
        <v>290</v>
      </c>
      <c r="E305" s="3">
        <v>81</v>
      </c>
      <c r="G305" s="59"/>
    </row>
    <row r="306" spans="1:7" ht="12.75" x14ac:dyDescent="0.2">
      <c r="A306" s="3">
        <v>48</v>
      </c>
      <c r="B306" s="4" t="s">
        <v>78</v>
      </c>
      <c r="C306" s="3" t="s">
        <v>125</v>
      </c>
      <c r="D306" s="3" t="s">
        <v>16</v>
      </c>
      <c r="E306" s="3">
        <v>2201</v>
      </c>
      <c r="G306" s="57"/>
    </row>
    <row r="307" spans="1:7" ht="12.75" x14ac:dyDescent="0.2">
      <c r="A307" s="3">
        <v>48</v>
      </c>
      <c r="B307" s="4" t="s">
        <v>78</v>
      </c>
      <c r="C307" s="3" t="s">
        <v>125</v>
      </c>
      <c r="D307" s="3" t="s">
        <v>346</v>
      </c>
      <c r="E307" s="3">
        <v>35</v>
      </c>
      <c r="G307" s="57"/>
    </row>
    <row r="308" spans="1:7" ht="12.75" x14ac:dyDescent="0.2">
      <c r="A308" s="3">
        <v>48</v>
      </c>
      <c r="B308" s="4" t="s">
        <v>78</v>
      </c>
      <c r="C308" s="3" t="s">
        <v>125</v>
      </c>
      <c r="D308" s="3" t="s">
        <v>316</v>
      </c>
      <c r="E308" s="3">
        <v>75</v>
      </c>
      <c r="G308" s="57"/>
    </row>
    <row r="309" spans="1:7" ht="12.75" x14ac:dyDescent="0.2">
      <c r="A309" s="3">
        <v>48</v>
      </c>
      <c r="B309" s="4" t="s">
        <v>78</v>
      </c>
      <c r="C309" s="3" t="s">
        <v>125</v>
      </c>
      <c r="D309" s="3" t="s">
        <v>132</v>
      </c>
      <c r="E309" s="3">
        <v>1005</v>
      </c>
      <c r="G309" s="57"/>
    </row>
    <row r="310" spans="1:7" ht="12.75" x14ac:dyDescent="0.2">
      <c r="A310" s="3">
        <v>48</v>
      </c>
      <c r="B310" s="4" t="s">
        <v>78</v>
      </c>
      <c r="C310" s="3" t="s">
        <v>125</v>
      </c>
      <c r="D310" s="3" t="s">
        <v>14</v>
      </c>
      <c r="E310" s="3">
        <v>796</v>
      </c>
      <c r="G310" s="57"/>
    </row>
    <row r="311" spans="1:7" ht="12.75" x14ac:dyDescent="0.2">
      <c r="A311" s="3">
        <v>48</v>
      </c>
      <c r="B311" s="4" t="s">
        <v>78</v>
      </c>
      <c r="C311" s="3" t="s">
        <v>125</v>
      </c>
      <c r="D311" s="3" t="s">
        <v>138</v>
      </c>
      <c r="E311" s="3">
        <v>40</v>
      </c>
      <c r="F311">
        <f>SUM(E305:E311)</f>
        <v>4233</v>
      </c>
      <c r="G311" s="57"/>
    </row>
    <row r="312" spans="1:7" ht="12.75" x14ac:dyDescent="0.2">
      <c r="A312" s="3">
        <v>49</v>
      </c>
      <c r="B312" s="4" t="s">
        <v>79</v>
      </c>
      <c r="C312" s="3" t="s">
        <v>125</v>
      </c>
      <c r="D312" s="3" t="s">
        <v>290</v>
      </c>
      <c r="E312" s="3">
        <v>2</v>
      </c>
      <c r="G312" s="59"/>
    </row>
    <row r="313" spans="1:7" ht="12.75" x14ac:dyDescent="0.2">
      <c r="A313" s="3">
        <v>49</v>
      </c>
      <c r="B313" s="4" t="s">
        <v>79</v>
      </c>
      <c r="C313" s="3" t="s">
        <v>125</v>
      </c>
      <c r="D313" s="3" t="s">
        <v>16</v>
      </c>
      <c r="E313" s="3">
        <v>87</v>
      </c>
      <c r="G313" s="57"/>
    </row>
    <row r="314" spans="1:7" ht="12.75" x14ac:dyDescent="0.2">
      <c r="A314" s="3">
        <v>49</v>
      </c>
      <c r="B314" s="4" t="s">
        <v>79</v>
      </c>
      <c r="C314" s="3" t="s">
        <v>125</v>
      </c>
      <c r="D314" s="3" t="s">
        <v>346</v>
      </c>
      <c r="E314" s="3">
        <v>0</v>
      </c>
      <c r="G314" s="57"/>
    </row>
    <row r="315" spans="1:7" ht="12.75" x14ac:dyDescent="0.2">
      <c r="A315" s="3">
        <v>49</v>
      </c>
      <c r="B315" s="4" t="s">
        <v>79</v>
      </c>
      <c r="C315" s="3" t="s">
        <v>125</v>
      </c>
      <c r="D315" s="3" t="s">
        <v>316</v>
      </c>
      <c r="E315" s="3">
        <v>2</v>
      </c>
      <c r="G315" s="57"/>
    </row>
    <row r="316" spans="1:7" ht="12.75" x14ac:dyDescent="0.2">
      <c r="A316" s="3">
        <v>49</v>
      </c>
      <c r="B316" s="4" t="s">
        <v>79</v>
      </c>
      <c r="C316" s="3" t="s">
        <v>125</v>
      </c>
      <c r="D316" s="3" t="s">
        <v>132</v>
      </c>
      <c r="E316" s="3">
        <v>87</v>
      </c>
      <c r="G316" s="57"/>
    </row>
    <row r="317" spans="1:7" ht="12.75" x14ac:dyDescent="0.2">
      <c r="A317" s="3">
        <v>49</v>
      </c>
      <c r="B317" s="4" t="s">
        <v>79</v>
      </c>
      <c r="C317" s="3" t="s">
        <v>125</v>
      </c>
      <c r="D317" s="3" t="s">
        <v>14</v>
      </c>
      <c r="E317" s="3">
        <v>0</v>
      </c>
      <c r="G317" s="57"/>
    </row>
    <row r="318" spans="1:7" ht="12.75" x14ac:dyDescent="0.2">
      <c r="A318" s="3">
        <v>49</v>
      </c>
      <c r="B318" s="4" t="s">
        <v>79</v>
      </c>
      <c r="C318" s="3" t="s">
        <v>125</v>
      </c>
      <c r="D318" s="3" t="s">
        <v>138</v>
      </c>
      <c r="E318" s="3">
        <v>6</v>
      </c>
      <c r="F318">
        <f>SUM(E312:E318)</f>
        <v>184</v>
      </c>
      <c r="G318" s="57"/>
    </row>
    <row r="319" spans="1:7" ht="12.75" x14ac:dyDescent="0.2">
      <c r="A319" s="3">
        <v>53</v>
      </c>
      <c r="B319" s="4" t="s">
        <v>80</v>
      </c>
      <c r="C319" s="3" t="s">
        <v>125</v>
      </c>
      <c r="D319" s="3" t="s">
        <v>290</v>
      </c>
      <c r="E319" s="3">
        <v>0</v>
      </c>
      <c r="G319" s="59"/>
    </row>
    <row r="320" spans="1:7" ht="12.75" x14ac:dyDescent="0.2">
      <c r="A320" s="3">
        <v>53</v>
      </c>
      <c r="B320" s="4" t="s">
        <v>80</v>
      </c>
      <c r="C320" s="3" t="s">
        <v>125</v>
      </c>
      <c r="D320" s="3" t="s">
        <v>16</v>
      </c>
      <c r="E320" s="3">
        <v>107</v>
      </c>
      <c r="G320" s="57"/>
    </row>
    <row r="321" spans="1:7" ht="12.75" x14ac:dyDescent="0.2">
      <c r="A321" s="3">
        <v>53</v>
      </c>
      <c r="B321" s="4" t="s">
        <v>80</v>
      </c>
      <c r="C321" s="3" t="s">
        <v>125</v>
      </c>
      <c r="D321" s="3" t="s">
        <v>346</v>
      </c>
      <c r="E321" s="3">
        <v>0</v>
      </c>
      <c r="G321" s="57"/>
    </row>
    <row r="322" spans="1:7" ht="12.75" x14ac:dyDescent="0.2">
      <c r="A322" s="3">
        <v>53</v>
      </c>
      <c r="B322" s="4" t="s">
        <v>80</v>
      </c>
      <c r="C322" s="3" t="s">
        <v>125</v>
      </c>
      <c r="D322" s="3" t="s">
        <v>316</v>
      </c>
      <c r="E322" s="3">
        <v>0</v>
      </c>
      <c r="G322" s="57"/>
    </row>
    <row r="323" spans="1:7" ht="12.75" x14ac:dyDescent="0.2">
      <c r="A323" s="3">
        <v>53</v>
      </c>
      <c r="B323" s="4" t="s">
        <v>80</v>
      </c>
      <c r="C323" s="3" t="s">
        <v>125</v>
      </c>
      <c r="D323" s="3" t="s">
        <v>132</v>
      </c>
      <c r="E323" s="3">
        <v>86</v>
      </c>
      <c r="G323" s="57"/>
    </row>
    <row r="324" spans="1:7" ht="12.75" x14ac:dyDescent="0.2">
      <c r="A324" s="3">
        <v>53</v>
      </c>
      <c r="B324" s="4" t="s">
        <v>80</v>
      </c>
      <c r="C324" s="3" t="s">
        <v>125</v>
      </c>
      <c r="D324" s="3" t="s">
        <v>14</v>
      </c>
      <c r="E324" s="3">
        <v>13</v>
      </c>
      <c r="G324" s="57"/>
    </row>
    <row r="325" spans="1:7" ht="12.75" x14ac:dyDescent="0.2">
      <c r="A325" s="3">
        <v>53</v>
      </c>
      <c r="B325" s="4" t="s">
        <v>80</v>
      </c>
      <c r="C325" s="3" t="s">
        <v>125</v>
      </c>
      <c r="D325" s="3" t="s">
        <v>138</v>
      </c>
      <c r="E325" s="3">
        <v>0</v>
      </c>
      <c r="F325">
        <f>SUM(E319:E325)</f>
        <v>206</v>
      </c>
      <c r="G325" s="57"/>
    </row>
    <row r="326" spans="1:7" ht="12.75" x14ac:dyDescent="0.2">
      <c r="A326" s="3">
        <v>54</v>
      </c>
      <c r="B326" s="4" t="s">
        <v>81</v>
      </c>
      <c r="C326" s="3" t="s">
        <v>125</v>
      </c>
      <c r="D326" s="3" t="s">
        <v>290</v>
      </c>
      <c r="E326" s="3">
        <v>1</v>
      </c>
      <c r="G326" s="59"/>
    </row>
    <row r="327" spans="1:7" ht="12.75" x14ac:dyDescent="0.2">
      <c r="A327" s="3">
        <v>54</v>
      </c>
      <c r="B327" s="4" t="s">
        <v>81</v>
      </c>
      <c r="C327" s="3" t="s">
        <v>125</v>
      </c>
      <c r="D327" s="3" t="s">
        <v>16</v>
      </c>
      <c r="E327" s="3">
        <v>83</v>
      </c>
      <c r="G327" s="57"/>
    </row>
    <row r="328" spans="1:7" ht="12.75" x14ac:dyDescent="0.2">
      <c r="A328" s="3">
        <v>54</v>
      </c>
      <c r="B328" s="4" t="s">
        <v>81</v>
      </c>
      <c r="C328" s="3" t="s">
        <v>125</v>
      </c>
      <c r="D328" s="3" t="s">
        <v>346</v>
      </c>
      <c r="E328" s="3">
        <v>1</v>
      </c>
      <c r="G328" s="57"/>
    </row>
    <row r="329" spans="1:7" ht="12.75" x14ac:dyDescent="0.2">
      <c r="A329" s="3">
        <v>54</v>
      </c>
      <c r="B329" s="4" t="s">
        <v>81</v>
      </c>
      <c r="C329" s="3" t="s">
        <v>125</v>
      </c>
      <c r="D329" s="3" t="s">
        <v>316</v>
      </c>
      <c r="E329" s="3">
        <v>2</v>
      </c>
      <c r="G329" s="57"/>
    </row>
    <row r="330" spans="1:7" ht="12.75" x14ac:dyDescent="0.2">
      <c r="A330" s="3">
        <v>54</v>
      </c>
      <c r="B330" s="4" t="s">
        <v>81</v>
      </c>
      <c r="C330" s="3" t="s">
        <v>125</v>
      </c>
      <c r="D330" s="3" t="s">
        <v>132</v>
      </c>
      <c r="E330" s="3">
        <v>24</v>
      </c>
      <c r="G330" s="57"/>
    </row>
    <row r="331" spans="1:7" ht="12.75" x14ac:dyDescent="0.2">
      <c r="A331" s="3">
        <v>54</v>
      </c>
      <c r="B331" s="4" t="s">
        <v>81</v>
      </c>
      <c r="C331" s="3" t="s">
        <v>125</v>
      </c>
      <c r="D331" s="3" t="s">
        <v>14</v>
      </c>
      <c r="E331" s="3">
        <v>15</v>
      </c>
      <c r="G331" s="57"/>
    </row>
    <row r="332" spans="1:7" ht="12.75" x14ac:dyDescent="0.2">
      <c r="A332" s="3">
        <v>54</v>
      </c>
      <c r="B332" s="4" t="s">
        <v>81</v>
      </c>
      <c r="C332" s="3" t="s">
        <v>125</v>
      </c>
      <c r="D332" s="3" t="s">
        <v>138</v>
      </c>
      <c r="E332" s="3">
        <v>2</v>
      </c>
      <c r="F332">
        <f>SUM(E326:E332)</f>
        <v>128</v>
      </c>
      <c r="G332" s="57"/>
    </row>
    <row r="333" spans="1:7" ht="12.75" x14ac:dyDescent="0.2">
      <c r="A333" s="3">
        <v>55</v>
      </c>
      <c r="B333" s="4" t="s">
        <v>82</v>
      </c>
      <c r="C333" s="3" t="s">
        <v>125</v>
      </c>
      <c r="D333" s="3" t="s">
        <v>290</v>
      </c>
      <c r="E333" s="3">
        <v>3</v>
      </c>
      <c r="G333" s="59"/>
    </row>
    <row r="334" spans="1:7" ht="12.75" x14ac:dyDescent="0.2">
      <c r="A334" s="3">
        <v>55</v>
      </c>
      <c r="B334" s="4" t="s">
        <v>82</v>
      </c>
      <c r="C334" s="3" t="s">
        <v>125</v>
      </c>
      <c r="D334" s="3" t="s">
        <v>16</v>
      </c>
      <c r="E334" s="3">
        <v>143</v>
      </c>
      <c r="G334" s="57"/>
    </row>
    <row r="335" spans="1:7" ht="12.75" x14ac:dyDescent="0.2">
      <c r="A335" s="3">
        <v>55</v>
      </c>
      <c r="B335" s="4" t="s">
        <v>82</v>
      </c>
      <c r="C335" s="3" t="s">
        <v>125</v>
      </c>
      <c r="D335" s="3" t="s">
        <v>346</v>
      </c>
      <c r="E335" s="3">
        <v>6</v>
      </c>
      <c r="G335" s="57"/>
    </row>
    <row r="336" spans="1:7" ht="12.75" x14ac:dyDescent="0.2">
      <c r="A336" s="3">
        <v>55</v>
      </c>
      <c r="B336" s="4" t="s">
        <v>82</v>
      </c>
      <c r="C336" s="3" t="s">
        <v>125</v>
      </c>
      <c r="D336" s="3" t="s">
        <v>316</v>
      </c>
      <c r="E336" s="3">
        <v>15</v>
      </c>
      <c r="G336" s="57"/>
    </row>
    <row r="337" spans="1:7" ht="12.75" x14ac:dyDescent="0.2">
      <c r="A337" s="3">
        <v>55</v>
      </c>
      <c r="B337" s="4" t="s">
        <v>82</v>
      </c>
      <c r="C337" s="3" t="s">
        <v>125</v>
      </c>
      <c r="D337" s="3" t="s">
        <v>132</v>
      </c>
      <c r="E337" s="3">
        <v>99</v>
      </c>
      <c r="G337" s="57"/>
    </row>
    <row r="338" spans="1:7" ht="12.75" x14ac:dyDescent="0.2">
      <c r="A338" s="3">
        <v>55</v>
      </c>
      <c r="B338" s="4" t="s">
        <v>82</v>
      </c>
      <c r="C338" s="3" t="s">
        <v>125</v>
      </c>
      <c r="D338" s="3" t="s">
        <v>14</v>
      </c>
      <c r="E338" s="3">
        <v>58</v>
      </c>
      <c r="G338" s="57"/>
    </row>
    <row r="339" spans="1:7" ht="12.75" x14ac:dyDescent="0.2">
      <c r="A339" s="3">
        <v>55</v>
      </c>
      <c r="B339" s="4" t="s">
        <v>82</v>
      </c>
      <c r="C339" s="3" t="s">
        <v>125</v>
      </c>
      <c r="D339" s="3" t="s">
        <v>138</v>
      </c>
      <c r="E339" s="3">
        <v>0</v>
      </c>
      <c r="F339">
        <f>SUM(E333:E339)</f>
        <v>324</v>
      </c>
      <c r="G339" s="57"/>
    </row>
    <row r="340" spans="1:7" ht="12.75" x14ac:dyDescent="0.2">
      <c r="A340" s="3">
        <v>56</v>
      </c>
      <c r="B340" s="4" t="s">
        <v>83</v>
      </c>
      <c r="C340" s="3" t="s">
        <v>125</v>
      </c>
      <c r="D340" s="3" t="s">
        <v>290</v>
      </c>
      <c r="E340" s="3">
        <v>3</v>
      </c>
      <c r="G340" s="59"/>
    </row>
    <row r="341" spans="1:7" ht="12.75" x14ac:dyDescent="0.2">
      <c r="A341" s="3">
        <v>56</v>
      </c>
      <c r="B341" s="4" t="s">
        <v>83</v>
      </c>
      <c r="C341" s="3" t="s">
        <v>125</v>
      </c>
      <c r="D341" s="3" t="s">
        <v>16</v>
      </c>
      <c r="E341" s="3">
        <v>186</v>
      </c>
      <c r="G341" s="57"/>
    </row>
    <row r="342" spans="1:7" ht="12.75" x14ac:dyDescent="0.2">
      <c r="A342" s="3">
        <v>56</v>
      </c>
      <c r="B342" s="4" t="s">
        <v>83</v>
      </c>
      <c r="C342" s="3" t="s">
        <v>125</v>
      </c>
      <c r="D342" s="3" t="s">
        <v>346</v>
      </c>
      <c r="E342" s="3">
        <v>3</v>
      </c>
      <c r="G342" s="57"/>
    </row>
    <row r="343" spans="1:7" ht="12.75" x14ac:dyDescent="0.2">
      <c r="A343" s="3">
        <v>56</v>
      </c>
      <c r="B343" s="4" t="s">
        <v>83</v>
      </c>
      <c r="C343" s="3" t="s">
        <v>125</v>
      </c>
      <c r="D343" s="3" t="s">
        <v>316</v>
      </c>
      <c r="E343" s="3">
        <v>17</v>
      </c>
      <c r="G343" s="57"/>
    </row>
    <row r="344" spans="1:7" ht="12.75" x14ac:dyDescent="0.2">
      <c r="A344" s="3">
        <v>56</v>
      </c>
      <c r="B344" s="4" t="s">
        <v>83</v>
      </c>
      <c r="C344" s="3" t="s">
        <v>125</v>
      </c>
      <c r="D344" s="3" t="s">
        <v>132</v>
      </c>
      <c r="E344" s="3">
        <v>133</v>
      </c>
      <c r="G344" s="57"/>
    </row>
    <row r="345" spans="1:7" ht="12.75" x14ac:dyDescent="0.2">
      <c r="A345" s="3">
        <v>56</v>
      </c>
      <c r="B345" s="4" t="s">
        <v>83</v>
      </c>
      <c r="C345" s="3" t="s">
        <v>125</v>
      </c>
      <c r="D345" s="3" t="s">
        <v>14</v>
      </c>
      <c r="E345" s="3">
        <v>43</v>
      </c>
      <c r="G345" s="57"/>
    </row>
    <row r="346" spans="1:7" ht="12.75" x14ac:dyDescent="0.2">
      <c r="A346" s="3">
        <v>56</v>
      </c>
      <c r="B346" s="4" t="s">
        <v>83</v>
      </c>
      <c r="C346" s="3" t="s">
        <v>125</v>
      </c>
      <c r="D346" s="3" t="s">
        <v>138</v>
      </c>
      <c r="E346" s="3">
        <v>5</v>
      </c>
      <c r="F346">
        <f>SUM(E340:E346)</f>
        <v>390</v>
      </c>
      <c r="G346" s="57"/>
    </row>
    <row r="347" spans="1:7" ht="12.75" x14ac:dyDescent="0.2">
      <c r="A347" s="2" t="s">
        <v>175</v>
      </c>
      <c r="B347" s="4" t="s">
        <v>84</v>
      </c>
      <c r="C347" s="3" t="s">
        <v>125</v>
      </c>
      <c r="D347" s="3" t="s">
        <v>290</v>
      </c>
      <c r="E347" s="3">
        <v>803</v>
      </c>
      <c r="G347" s="59"/>
    </row>
    <row r="348" spans="1:7" ht="12.75" x14ac:dyDescent="0.2">
      <c r="A348" s="2" t="s">
        <v>175</v>
      </c>
      <c r="B348" s="4" t="s">
        <v>84</v>
      </c>
      <c r="C348" s="3" t="s">
        <v>125</v>
      </c>
      <c r="D348" s="3" t="s">
        <v>16</v>
      </c>
      <c r="E348" s="3">
        <v>14873</v>
      </c>
      <c r="G348" s="57"/>
    </row>
    <row r="349" spans="1:7" ht="12.75" x14ac:dyDescent="0.2">
      <c r="A349" s="2" t="s">
        <v>175</v>
      </c>
      <c r="B349" s="4" t="s">
        <v>84</v>
      </c>
      <c r="C349" s="3" t="s">
        <v>125</v>
      </c>
      <c r="D349" s="3" t="s">
        <v>346</v>
      </c>
      <c r="E349" s="3">
        <v>527</v>
      </c>
      <c r="G349" s="57"/>
    </row>
    <row r="350" spans="1:7" ht="12.75" x14ac:dyDescent="0.2">
      <c r="A350" s="2" t="s">
        <v>175</v>
      </c>
      <c r="B350" s="4" t="s">
        <v>84</v>
      </c>
      <c r="C350" s="3" t="s">
        <v>125</v>
      </c>
      <c r="D350" s="3" t="s">
        <v>316</v>
      </c>
      <c r="E350" s="3">
        <v>2445</v>
      </c>
      <c r="G350" s="57"/>
    </row>
    <row r="351" spans="1:7" ht="12.75" x14ac:dyDescent="0.2">
      <c r="A351" s="2" t="s">
        <v>175</v>
      </c>
      <c r="B351" s="4" t="s">
        <v>84</v>
      </c>
      <c r="C351" s="3" t="s">
        <v>125</v>
      </c>
      <c r="D351" s="3" t="s">
        <v>132</v>
      </c>
      <c r="E351" s="3">
        <v>6006</v>
      </c>
      <c r="G351" s="57"/>
    </row>
    <row r="352" spans="1:7" ht="12.75" x14ac:dyDescent="0.2">
      <c r="A352" s="2" t="s">
        <v>175</v>
      </c>
      <c r="B352" s="4" t="s">
        <v>84</v>
      </c>
      <c r="C352" s="3" t="s">
        <v>125</v>
      </c>
      <c r="D352" s="3" t="s">
        <v>14</v>
      </c>
      <c r="E352" s="3">
        <v>10834</v>
      </c>
      <c r="G352" s="57"/>
    </row>
    <row r="353" spans="1:7" ht="12.75" x14ac:dyDescent="0.2">
      <c r="A353" s="2" t="s">
        <v>175</v>
      </c>
      <c r="B353" s="4" t="s">
        <v>84</v>
      </c>
      <c r="C353" s="3" t="s">
        <v>125</v>
      </c>
      <c r="D353" s="3" t="s">
        <v>138</v>
      </c>
      <c r="E353" s="3">
        <v>209</v>
      </c>
      <c r="F353">
        <f>SUM(E347:E353)</f>
        <v>35697</v>
      </c>
      <c r="G353" s="57"/>
    </row>
    <row r="354" spans="1:7" ht="12.75" x14ac:dyDescent="0.2">
      <c r="A354" s="3">
        <v>59</v>
      </c>
      <c r="B354" s="4" t="s">
        <v>85</v>
      </c>
      <c r="C354" s="3" t="s">
        <v>125</v>
      </c>
      <c r="D354" s="3" t="s">
        <v>290</v>
      </c>
      <c r="E354" s="3">
        <v>2</v>
      </c>
      <c r="G354" s="59"/>
    </row>
    <row r="355" spans="1:7" ht="12.75" x14ac:dyDescent="0.2">
      <c r="A355" s="3">
        <v>59</v>
      </c>
      <c r="B355" s="4" t="s">
        <v>85</v>
      </c>
      <c r="C355" s="3" t="s">
        <v>125</v>
      </c>
      <c r="D355" s="3" t="s">
        <v>16</v>
      </c>
      <c r="E355" s="3">
        <v>151</v>
      </c>
      <c r="G355" s="57"/>
    </row>
    <row r="356" spans="1:7" ht="12.75" x14ac:dyDescent="0.2">
      <c r="A356" s="3">
        <v>59</v>
      </c>
      <c r="B356" s="4" t="s">
        <v>85</v>
      </c>
      <c r="C356" s="3" t="s">
        <v>125</v>
      </c>
      <c r="D356" s="3" t="s">
        <v>346</v>
      </c>
      <c r="E356" s="3">
        <v>2</v>
      </c>
      <c r="G356" s="57"/>
    </row>
    <row r="357" spans="1:7" ht="12.75" x14ac:dyDescent="0.2">
      <c r="A357" s="3">
        <v>59</v>
      </c>
      <c r="B357" s="4" t="s">
        <v>85</v>
      </c>
      <c r="C357" s="3" t="s">
        <v>125</v>
      </c>
      <c r="D357" s="3" t="s">
        <v>316</v>
      </c>
      <c r="E357" s="3">
        <v>8</v>
      </c>
      <c r="G357" s="57"/>
    </row>
    <row r="358" spans="1:7" ht="12.75" x14ac:dyDescent="0.2">
      <c r="A358" s="3">
        <v>59</v>
      </c>
      <c r="B358" s="4" t="s">
        <v>85</v>
      </c>
      <c r="C358" s="3" t="s">
        <v>125</v>
      </c>
      <c r="D358" s="3" t="s">
        <v>132</v>
      </c>
      <c r="E358" s="3">
        <v>86</v>
      </c>
      <c r="G358" s="57"/>
    </row>
    <row r="359" spans="1:7" ht="12.75" x14ac:dyDescent="0.2">
      <c r="A359" s="3">
        <v>59</v>
      </c>
      <c r="B359" s="4" t="s">
        <v>85</v>
      </c>
      <c r="C359" s="3" t="s">
        <v>125</v>
      </c>
      <c r="D359" s="3" t="s">
        <v>14</v>
      </c>
      <c r="E359" s="3">
        <v>49</v>
      </c>
      <c r="G359" s="57"/>
    </row>
    <row r="360" spans="1:7" ht="12.75" x14ac:dyDescent="0.2">
      <c r="A360" s="3">
        <v>59</v>
      </c>
      <c r="B360" s="4" t="s">
        <v>85</v>
      </c>
      <c r="C360" s="3" t="s">
        <v>125</v>
      </c>
      <c r="D360" s="3" t="s">
        <v>138</v>
      </c>
      <c r="E360" s="3">
        <v>1</v>
      </c>
      <c r="F360">
        <f>SUM(E354:E360)</f>
        <v>299</v>
      </c>
      <c r="G360" s="57"/>
    </row>
    <row r="361" spans="1:7" ht="12.75" x14ac:dyDescent="0.2">
      <c r="A361" s="3">
        <v>60</v>
      </c>
      <c r="B361" s="4" t="s">
        <v>154</v>
      </c>
      <c r="C361" s="3" t="s">
        <v>125</v>
      </c>
      <c r="D361" s="3" t="s">
        <v>290</v>
      </c>
      <c r="E361" s="3">
        <v>2</v>
      </c>
      <c r="G361" s="59"/>
    </row>
    <row r="362" spans="1:7" ht="12.75" x14ac:dyDescent="0.2">
      <c r="A362" s="3">
        <v>60</v>
      </c>
      <c r="B362" s="4" t="s">
        <v>154</v>
      </c>
      <c r="C362" s="3" t="s">
        <v>125</v>
      </c>
      <c r="D362" s="3" t="s">
        <v>16</v>
      </c>
      <c r="E362" s="3">
        <v>18</v>
      </c>
      <c r="G362" s="57"/>
    </row>
    <row r="363" spans="1:7" ht="12.75" x14ac:dyDescent="0.2">
      <c r="A363" s="3">
        <v>60</v>
      </c>
      <c r="B363" s="4" t="s">
        <v>154</v>
      </c>
      <c r="C363" s="3" t="s">
        <v>125</v>
      </c>
      <c r="D363" s="3" t="s">
        <v>346</v>
      </c>
      <c r="E363" s="3">
        <v>2</v>
      </c>
      <c r="G363" s="57"/>
    </row>
    <row r="364" spans="1:7" ht="12.75" x14ac:dyDescent="0.2">
      <c r="A364" s="3">
        <v>60</v>
      </c>
      <c r="B364" s="4" t="s">
        <v>154</v>
      </c>
      <c r="C364" s="3" t="s">
        <v>125</v>
      </c>
      <c r="D364" s="3" t="s">
        <v>316</v>
      </c>
      <c r="E364" s="3">
        <v>2</v>
      </c>
      <c r="G364" s="57"/>
    </row>
    <row r="365" spans="1:7" ht="12.75" x14ac:dyDescent="0.2">
      <c r="A365" s="3">
        <v>60</v>
      </c>
      <c r="B365" s="4" t="s">
        <v>154</v>
      </c>
      <c r="C365" s="3" t="s">
        <v>125</v>
      </c>
      <c r="D365" s="3" t="s">
        <v>132</v>
      </c>
      <c r="E365" s="3">
        <v>2</v>
      </c>
      <c r="G365" s="57"/>
    </row>
    <row r="366" spans="1:7" ht="12.75" x14ac:dyDescent="0.2">
      <c r="A366" s="3">
        <v>60</v>
      </c>
      <c r="B366" s="4" t="s">
        <v>154</v>
      </c>
      <c r="C366" s="3" t="s">
        <v>125</v>
      </c>
      <c r="D366" s="3" t="s">
        <v>14</v>
      </c>
      <c r="E366" s="3">
        <v>22</v>
      </c>
      <c r="G366" s="57"/>
    </row>
    <row r="367" spans="1:7" ht="12.75" x14ac:dyDescent="0.2">
      <c r="A367" s="3">
        <v>60</v>
      </c>
      <c r="B367" s="4" t="s">
        <v>154</v>
      </c>
      <c r="C367" s="3" t="s">
        <v>125</v>
      </c>
      <c r="D367" s="3" t="s">
        <v>138</v>
      </c>
      <c r="E367" s="3">
        <v>2</v>
      </c>
      <c r="F367">
        <f>SUM(E361:E367)</f>
        <v>50</v>
      </c>
      <c r="G367" s="57"/>
    </row>
    <row r="368" spans="1:7" ht="12.75" x14ac:dyDescent="0.2">
      <c r="A368" s="3">
        <v>61</v>
      </c>
      <c r="B368" s="4" t="s">
        <v>86</v>
      </c>
      <c r="C368" s="3" t="s">
        <v>125</v>
      </c>
      <c r="D368" s="3" t="s">
        <v>290</v>
      </c>
      <c r="E368" s="3">
        <v>19</v>
      </c>
      <c r="G368" s="59"/>
    </row>
    <row r="369" spans="1:7" ht="12.75" x14ac:dyDescent="0.2">
      <c r="A369" s="3">
        <v>61</v>
      </c>
      <c r="B369" s="4" t="s">
        <v>86</v>
      </c>
      <c r="C369" s="3" t="s">
        <v>125</v>
      </c>
      <c r="D369" s="3" t="s">
        <v>16</v>
      </c>
      <c r="E369" s="3">
        <v>2001</v>
      </c>
      <c r="G369" s="57"/>
    </row>
    <row r="370" spans="1:7" ht="12.75" x14ac:dyDescent="0.2">
      <c r="A370" s="3">
        <v>61</v>
      </c>
      <c r="B370" s="4" t="s">
        <v>86</v>
      </c>
      <c r="C370" s="3" t="s">
        <v>125</v>
      </c>
      <c r="D370" s="3" t="s">
        <v>346</v>
      </c>
      <c r="E370" s="3">
        <v>15</v>
      </c>
      <c r="G370" s="57"/>
    </row>
    <row r="371" spans="1:7" ht="12.75" x14ac:dyDescent="0.2">
      <c r="A371" s="3">
        <v>61</v>
      </c>
      <c r="B371" s="4" t="s">
        <v>86</v>
      </c>
      <c r="C371" s="3" t="s">
        <v>125</v>
      </c>
      <c r="D371" s="3" t="s">
        <v>316</v>
      </c>
      <c r="E371" s="3">
        <v>56</v>
      </c>
      <c r="G371" s="57"/>
    </row>
    <row r="372" spans="1:7" ht="12.75" x14ac:dyDescent="0.2">
      <c r="A372" s="3">
        <v>61</v>
      </c>
      <c r="B372" s="4" t="s">
        <v>86</v>
      </c>
      <c r="C372" s="3" t="s">
        <v>125</v>
      </c>
      <c r="D372" s="3" t="s">
        <v>132</v>
      </c>
      <c r="E372" s="3">
        <v>281</v>
      </c>
      <c r="G372" s="57"/>
    </row>
    <row r="373" spans="1:7" ht="12.75" x14ac:dyDescent="0.2">
      <c r="A373" s="3">
        <v>61</v>
      </c>
      <c r="B373" s="4" t="s">
        <v>86</v>
      </c>
      <c r="C373" s="3" t="s">
        <v>125</v>
      </c>
      <c r="D373" s="3" t="s">
        <v>14</v>
      </c>
      <c r="E373" s="3">
        <v>2597</v>
      </c>
      <c r="G373" s="57"/>
    </row>
    <row r="374" spans="1:7" ht="12.75" x14ac:dyDescent="0.2">
      <c r="A374" s="3">
        <v>61</v>
      </c>
      <c r="B374" s="4" t="s">
        <v>86</v>
      </c>
      <c r="C374" s="3" t="s">
        <v>125</v>
      </c>
      <c r="D374" s="3" t="s">
        <v>138</v>
      </c>
      <c r="E374" s="3">
        <v>21</v>
      </c>
      <c r="F374">
        <f>SUM(E368:E374)</f>
        <v>4990</v>
      </c>
      <c r="G374" s="57"/>
    </row>
    <row r="375" spans="1:7" ht="12.75" x14ac:dyDescent="0.2">
      <c r="A375" s="3">
        <v>62</v>
      </c>
      <c r="B375" s="4" t="s">
        <v>87</v>
      </c>
      <c r="C375" s="3" t="s">
        <v>125</v>
      </c>
      <c r="D375" s="3" t="s">
        <v>290</v>
      </c>
      <c r="E375" s="3">
        <v>6</v>
      </c>
      <c r="G375" s="59"/>
    </row>
    <row r="376" spans="1:7" ht="12.75" x14ac:dyDescent="0.2">
      <c r="A376" s="3">
        <v>62</v>
      </c>
      <c r="B376" s="4" t="s">
        <v>87</v>
      </c>
      <c r="C376" s="3" t="s">
        <v>125</v>
      </c>
      <c r="D376" s="3" t="s">
        <v>16</v>
      </c>
      <c r="E376" s="3">
        <v>248</v>
      </c>
      <c r="G376" s="57"/>
    </row>
    <row r="377" spans="1:7" ht="12.75" x14ac:dyDescent="0.2">
      <c r="A377" s="3">
        <v>62</v>
      </c>
      <c r="B377" s="4" t="s">
        <v>87</v>
      </c>
      <c r="C377" s="3" t="s">
        <v>125</v>
      </c>
      <c r="D377" s="3" t="s">
        <v>346</v>
      </c>
      <c r="E377" s="3">
        <v>2</v>
      </c>
      <c r="G377" s="57"/>
    </row>
    <row r="378" spans="1:7" ht="12.75" x14ac:dyDescent="0.2">
      <c r="A378" s="3">
        <v>62</v>
      </c>
      <c r="B378" s="4" t="s">
        <v>87</v>
      </c>
      <c r="C378" s="3" t="s">
        <v>125</v>
      </c>
      <c r="D378" s="3" t="s">
        <v>316</v>
      </c>
      <c r="E378" s="3">
        <v>12</v>
      </c>
      <c r="G378" s="57"/>
    </row>
    <row r="379" spans="1:7" ht="12.75" x14ac:dyDescent="0.2">
      <c r="A379" s="3">
        <v>62</v>
      </c>
      <c r="B379" s="4" t="s">
        <v>87</v>
      </c>
      <c r="C379" s="3" t="s">
        <v>125</v>
      </c>
      <c r="D379" s="3" t="s">
        <v>132</v>
      </c>
      <c r="E379" s="3">
        <v>19</v>
      </c>
      <c r="G379" s="57"/>
    </row>
    <row r="380" spans="1:7" ht="12.75" x14ac:dyDescent="0.2">
      <c r="A380" s="3">
        <v>62</v>
      </c>
      <c r="B380" s="4" t="s">
        <v>87</v>
      </c>
      <c r="C380" s="3" t="s">
        <v>125</v>
      </c>
      <c r="D380" s="3" t="s">
        <v>14</v>
      </c>
      <c r="E380" s="3">
        <v>288</v>
      </c>
      <c r="G380" s="57"/>
    </row>
    <row r="381" spans="1:7" ht="12.75" x14ac:dyDescent="0.2">
      <c r="A381" s="3">
        <v>62</v>
      </c>
      <c r="B381" s="4" t="s">
        <v>87</v>
      </c>
      <c r="C381" s="3" t="s">
        <v>125</v>
      </c>
      <c r="D381" s="3" t="s">
        <v>138</v>
      </c>
      <c r="E381" s="3">
        <v>2</v>
      </c>
      <c r="F381">
        <f>SUM(E375:E381)</f>
        <v>577</v>
      </c>
      <c r="G381" s="57"/>
    </row>
    <row r="382" spans="1:7" ht="12.75" x14ac:dyDescent="0.2">
      <c r="A382" s="3">
        <v>63</v>
      </c>
      <c r="B382" s="4" t="s">
        <v>88</v>
      </c>
      <c r="C382" s="3" t="s">
        <v>125</v>
      </c>
      <c r="D382" s="3" t="s">
        <v>290</v>
      </c>
      <c r="E382" s="3">
        <v>40</v>
      </c>
      <c r="G382" s="59"/>
    </row>
    <row r="383" spans="1:7" ht="12.75" x14ac:dyDescent="0.2">
      <c r="A383" s="3">
        <v>63</v>
      </c>
      <c r="B383" s="4" t="s">
        <v>88</v>
      </c>
      <c r="C383" s="3" t="s">
        <v>125</v>
      </c>
      <c r="D383" s="3" t="s">
        <v>16</v>
      </c>
      <c r="E383" s="3">
        <v>702</v>
      </c>
      <c r="G383" s="57"/>
    </row>
    <row r="384" spans="1:7" ht="12.75" x14ac:dyDescent="0.2">
      <c r="A384" s="3">
        <v>63</v>
      </c>
      <c r="B384" s="4" t="s">
        <v>88</v>
      </c>
      <c r="C384" s="3" t="s">
        <v>125</v>
      </c>
      <c r="D384" s="3" t="s">
        <v>346</v>
      </c>
      <c r="E384" s="3">
        <v>59</v>
      </c>
      <c r="G384" s="57"/>
    </row>
    <row r="385" spans="1:7" ht="12.75" x14ac:dyDescent="0.2">
      <c r="A385" s="3">
        <v>63</v>
      </c>
      <c r="B385" s="4" t="s">
        <v>88</v>
      </c>
      <c r="C385" s="3" t="s">
        <v>125</v>
      </c>
      <c r="D385" s="3" t="s">
        <v>316</v>
      </c>
      <c r="E385" s="3">
        <v>47</v>
      </c>
      <c r="G385" s="57"/>
    </row>
    <row r="386" spans="1:7" ht="12.75" x14ac:dyDescent="0.2">
      <c r="A386" s="3">
        <v>63</v>
      </c>
      <c r="B386" s="4" t="s">
        <v>88</v>
      </c>
      <c r="C386" s="3" t="s">
        <v>125</v>
      </c>
      <c r="D386" s="3" t="s">
        <v>132</v>
      </c>
      <c r="E386" s="3">
        <v>955</v>
      </c>
      <c r="G386" s="57"/>
    </row>
    <row r="387" spans="1:7" ht="12.75" x14ac:dyDescent="0.2">
      <c r="A387" s="3">
        <v>63</v>
      </c>
      <c r="B387" s="4" t="s">
        <v>88</v>
      </c>
      <c r="C387" s="3" t="s">
        <v>125</v>
      </c>
      <c r="D387" s="3" t="s">
        <v>14</v>
      </c>
      <c r="E387" s="3">
        <v>367</v>
      </c>
      <c r="G387" s="57"/>
    </row>
    <row r="388" spans="1:7" ht="12.75" x14ac:dyDescent="0.2">
      <c r="A388" s="3">
        <v>63</v>
      </c>
      <c r="B388" s="4" t="s">
        <v>88</v>
      </c>
      <c r="C388" s="3" t="s">
        <v>125</v>
      </c>
      <c r="D388" s="3" t="s">
        <v>138</v>
      </c>
      <c r="E388" s="3">
        <v>14</v>
      </c>
      <c r="F388">
        <f>SUM(E382:E388)</f>
        <v>2184</v>
      </c>
      <c r="G388" s="57"/>
    </row>
    <row r="389" spans="1:7" ht="12.75" x14ac:dyDescent="0.2">
      <c r="A389" s="3">
        <v>64</v>
      </c>
      <c r="B389" s="4" t="s">
        <v>89</v>
      </c>
      <c r="C389" s="3" t="s">
        <v>125</v>
      </c>
      <c r="D389" s="3" t="s">
        <v>290</v>
      </c>
      <c r="E389" s="3">
        <v>0</v>
      </c>
      <c r="G389" s="59"/>
    </row>
    <row r="390" spans="1:7" ht="12.75" x14ac:dyDescent="0.2">
      <c r="A390" s="3">
        <v>64</v>
      </c>
      <c r="B390" s="4" t="s">
        <v>89</v>
      </c>
      <c r="C390" s="3" t="s">
        <v>125</v>
      </c>
      <c r="D390" s="3" t="s">
        <v>16</v>
      </c>
      <c r="E390" s="3">
        <v>277</v>
      </c>
      <c r="G390" s="57"/>
    </row>
    <row r="391" spans="1:7" ht="12.75" x14ac:dyDescent="0.2">
      <c r="A391" s="3">
        <v>64</v>
      </c>
      <c r="B391" s="4" t="s">
        <v>89</v>
      </c>
      <c r="C391" s="3" t="s">
        <v>125</v>
      </c>
      <c r="D391" s="3" t="s">
        <v>346</v>
      </c>
      <c r="E391" s="3">
        <v>6</v>
      </c>
      <c r="G391" s="57"/>
    </row>
    <row r="392" spans="1:7" ht="12.75" x14ac:dyDescent="0.2">
      <c r="A392" s="3">
        <v>64</v>
      </c>
      <c r="B392" s="4" t="s">
        <v>89</v>
      </c>
      <c r="C392" s="3" t="s">
        <v>125</v>
      </c>
      <c r="D392" s="3" t="s">
        <v>316</v>
      </c>
      <c r="E392" s="3">
        <v>3</v>
      </c>
      <c r="G392" s="57"/>
    </row>
    <row r="393" spans="1:7" ht="12.75" x14ac:dyDescent="0.2">
      <c r="A393" s="3">
        <v>64</v>
      </c>
      <c r="B393" s="4" t="s">
        <v>89</v>
      </c>
      <c r="C393" s="3" t="s">
        <v>125</v>
      </c>
      <c r="D393" s="3" t="s">
        <v>132</v>
      </c>
      <c r="E393" s="3">
        <v>230</v>
      </c>
      <c r="G393" s="57"/>
    </row>
    <row r="394" spans="1:7" ht="12.75" x14ac:dyDescent="0.2">
      <c r="A394" s="3">
        <v>64</v>
      </c>
      <c r="B394" s="4" t="s">
        <v>89</v>
      </c>
      <c r="C394" s="3" t="s">
        <v>125</v>
      </c>
      <c r="D394" s="3" t="s">
        <v>14</v>
      </c>
      <c r="E394" s="3">
        <v>74</v>
      </c>
      <c r="G394" s="57"/>
    </row>
    <row r="395" spans="1:7" ht="12.75" x14ac:dyDescent="0.2">
      <c r="A395" s="3">
        <v>64</v>
      </c>
      <c r="B395" s="4" t="s">
        <v>89</v>
      </c>
      <c r="C395" s="3" t="s">
        <v>125</v>
      </c>
      <c r="D395" s="3" t="s">
        <v>138</v>
      </c>
      <c r="E395" s="3">
        <v>0</v>
      </c>
      <c r="F395">
        <f>SUM(E389:E395)</f>
        <v>590</v>
      </c>
      <c r="G395" s="57"/>
    </row>
    <row r="396" spans="1:7" ht="12.75" x14ac:dyDescent="0.2">
      <c r="A396" s="3">
        <v>65</v>
      </c>
      <c r="B396" s="4" t="s">
        <v>90</v>
      </c>
      <c r="C396" s="3" t="s">
        <v>125</v>
      </c>
      <c r="D396" s="3" t="s">
        <v>290</v>
      </c>
      <c r="E396" s="3">
        <v>49</v>
      </c>
      <c r="G396" s="59"/>
    </row>
    <row r="397" spans="1:7" ht="12.75" x14ac:dyDescent="0.2">
      <c r="A397" s="3">
        <v>65</v>
      </c>
      <c r="B397" s="4" t="s">
        <v>90</v>
      </c>
      <c r="C397" s="3" t="s">
        <v>125</v>
      </c>
      <c r="D397" s="3" t="s">
        <v>16</v>
      </c>
      <c r="E397" s="3">
        <v>1072</v>
      </c>
      <c r="G397" s="57"/>
    </row>
    <row r="398" spans="1:7" ht="12.75" x14ac:dyDescent="0.2">
      <c r="A398" s="3">
        <v>65</v>
      </c>
      <c r="B398" s="4" t="s">
        <v>90</v>
      </c>
      <c r="C398" s="3" t="s">
        <v>125</v>
      </c>
      <c r="D398" s="3" t="s">
        <v>346</v>
      </c>
      <c r="E398" s="3">
        <v>38</v>
      </c>
      <c r="G398" s="57"/>
    </row>
    <row r="399" spans="1:7" ht="12.75" x14ac:dyDescent="0.2">
      <c r="A399" s="3">
        <v>65</v>
      </c>
      <c r="B399" s="4" t="s">
        <v>90</v>
      </c>
      <c r="C399" s="3" t="s">
        <v>125</v>
      </c>
      <c r="D399" s="3" t="s">
        <v>316</v>
      </c>
      <c r="E399" s="3">
        <v>150</v>
      </c>
      <c r="G399" s="57"/>
    </row>
    <row r="400" spans="1:7" ht="12.75" x14ac:dyDescent="0.2">
      <c r="A400" s="3">
        <v>65</v>
      </c>
      <c r="B400" s="4" t="s">
        <v>90</v>
      </c>
      <c r="C400" s="3" t="s">
        <v>125</v>
      </c>
      <c r="D400" s="3" t="s">
        <v>132</v>
      </c>
      <c r="E400" s="3">
        <v>688</v>
      </c>
      <c r="G400" s="57"/>
    </row>
    <row r="401" spans="1:7" ht="12.75" x14ac:dyDescent="0.2">
      <c r="A401" s="3">
        <v>65</v>
      </c>
      <c r="B401" s="4" t="s">
        <v>90</v>
      </c>
      <c r="C401" s="3" t="s">
        <v>125</v>
      </c>
      <c r="D401" s="3" t="s">
        <v>14</v>
      </c>
      <c r="E401" s="3">
        <v>630</v>
      </c>
      <c r="G401" s="57"/>
    </row>
    <row r="402" spans="1:7" ht="12.75" x14ac:dyDescent="0.2">
      <c r="A402" s="3">
        <v>65</v>
      </c>
      <c r="B402" s="4" t="s">
        <v>90</v>
      </c>
      <c r="C402" s="3" t="s">
        <v>125</v>
      </c>
      <c r="D402" s="3" t="s">
        <v>138</v>
      </c>
      <c r="E402" s="3">
        <v>14</v>
      </c>
      <c r="F402">
        <f>SUM(E396:E402)</f>
        <v>2641</v>
      </c>
      <c r="G402" s="57"/>
    </row>
    <row r="403" spans="1:7" ht="12.75" x14ac:dyDescent="0.2">
      <c r="A403" s="3">
        <v>66</v>
      </c>
      <c r="B403" s="4" t="s">
        <v>91</v>
      </c>
      <c r="C403" s="3" t="s">
        <v>125</v>
      </c>
      <c r="D403" s="3" t="s">
        <v>290</v>
      </c>
      <c r="E403" s="3">
        <v>2</v>
      </c>
      <c r="G403" s="59"/>
    </row>
    <row r="404" spans="1:7" ht="12.75" x14ac:dyDescent="0.2">
      <c r="A404" s="3">
        <v>66</v>
      </c>
      <c r="B404" s="4" t="s">
        <v>91</v>
      </c>
      <c r="C404" s="3" t="s">
        <v>125</v>
      </c>
      <c r="D404" s="3" t="s">
        <v>16</v>
      </c>
      <c r="E404" s="3">
        <v>15</v>
      </c>
      <c r="G404" s="57"/>
    </row>
    <row r="405" spans="1:7" ht="12.75" x14ac:dyDescent="0.2">
      <c r="A405" s="3">
        <v>66</v>
      </c>
      <c r="B405" s="4" t="s">
        <v>91</v>
      </c>
      <c r="C405" s="3" t="s">
        <v>125</v>
      </c>
      <c r="D405" s="3" t="s">
        <v>346</v>
      </c>
      <c r="E405" s="3">
        <v>0</v>
      </c>
      <c r="G405" s="57"/>
    </row>
    <row r="406" spans="1:7" ht="12.75" x14ac:dyDescent="0.2">
      <c r="A406" s="3">
        <v>66</v>
      </c>
      <c r="B406" s="4" t="s">
        <v>91</v>
      </c>
      <c r="C406" s="3" t="s">
        <v>125</v>
      </c>
      <c r="D406" s="3" t="s">
        <v>316</v>
      </c>
      <c r="E406" s="3">
        <v>6</v>
      </c>
      <c r="G406" s="57"/>
    </row>
    <row r="407" spans="1:7" ht="12.75" x14ac:dyDescent="0.2">
      <c r="A407" s="3">
        <v>66</v>
      </c>
      <c r="B407" s="4" t="s">
        <v>91</v>
      </c>
      <c r="C407" s="3" t="s">
        <v>125</v>
      </c>
      <c r="D407" s="3" t="s">
        <v>132</v>
      </c>
      <c r="E407" s="3">
        <v>47</v>
      </c>
      <c r="G407" s="57"/>
    </row>
    <row r="408" spans="1:7" ht="12.75" x14ac:dyDescent="0.2">
      <c r="A408" s="3">
        <v>66</v>
      </c>
      <c r="B408" s="4" t="s">
        <v>91</v>
      </c>
      <c r="C408" s="3" t="s">
        <v>125</v>
      </c>
      <c r="D408" s="3" t="s">
        <v>14</v>
      </c>
      <c r="E408" s="3">
        <v>10</v>
      </c>
      <c r="G408" s="57"/>
    </row>
    <row r="409" spans="1:7" ht="12.75" x14ac:dyDescent="0.2">
      <c r="A409" s="3">
        <v>66</v>
      </c>
      <c r="B409" s="4" t="s">
        <v>91</v>
      </c>
      <c r="C409" s="3" t="s">
        <v>125</v>
      </c>
      <c r="D409" s="3" t="s">
        <v>138</v>
      </c>
      <c r="E409" s="3">
        <v>4</v>
      </c>
      <c r="F409">
        <f>SUM(E403:E409)</f>
        <v>84</v>
      </c>
      <c r="G409" s="57"/>
    </row>
    <row r="410" spans="1:7" ht="12.75" x14ac:dyDescent="0.2">
      <c r="A410" s="3">
        <v>67</v>
      </c>
      <c r="B410" s="4" t="s">
        <v>155</v>
      </c>
      <c r="C410" s="3" t="s">
        <v>125</v>
      </c>
      <c r="D410" s="3" t="s">
        <v>290</v>
      </c>
      <c r="E410" s="3">
        <v>1</v>
      </c>
      <c r="G410" s="59"/>
    </row>
    <row r="411" spans="1:7" ht="12.75" x14ac:dyDescent="0.2">
      <c r="A411" s="3">
        <v>67</v>
      </c>
      <c r="B411" s="4" t="s">
        <v>155</v>
      </c>
      <c r="C411" s="3" t="s">
        <v>125</v>
      </c>
      <c r="D411" s="3" t="s">
        <v>16</v>
      </c>
      <c r="E411" s="3">
        <v>17</v>
      </c>
      <c r="G411" s="57"/>
    </row>
    <row r="412" spans="1:7" ht="12.75" x14ac:dyDescent="0.2">
      <c r="A412" s="3">
        <v>67</v>
      </c>
      <c r="B412" s="4" t="s">
        <v>155</v>
      </c>
      <c r="C412" s="3" t="s">
        <v>125</v>
      </c>
      <c r="D412" s="3" t="s">
        <v>346</v>
      </c>
      <c r="E412" s="3">
        <v>1</v>
      </c>
      <c r="G412" s="57"/>
    </row>
    <row r="413" spans="1:7" ht="12.75" x14ac:dyDescent="0.2">
      <c r="A413" s="3">
        <v>67</v>
      </c>
      <c r="B413" s="4" t="s">
        <v>155</v>
      </c>
      <c r="C413" s="3" t="s">
        <v>125</v>
      </c>
      <c r="D413" s="3" t="s">
        <v>316</v>
      </c>
      <c r="E413" s="3">
        <v>3</v>
      </c>
      <c r="G413" s="57"/>
    </row>
    <row r="414" spans="1:7" ht="12.75" x14ac:dyDescent="0.2">
      <c r="A414" s="3">
        <v>67</v>
      </c>
      <c r="B414" s="4" t="s">
        <v>155</v>
      </c>
      <c r="C414" s="3" t="s">
        <v>125</v>
      </c>
      <c r="D414" s="3" t="s">
        <v>132</v>
      </c>
      <c r="E414" s="3">
        <v>12</v>
      </c>
      <c r="G414" s="57"/>
    </row>
    <row r="415" spans="1:7" ht="12.75" x14ac:dyDescent="0.2">
      <c r="A415" s="3">
        <v>67</v>
      </c>
      <c r="B415" s="4" t="s">
        <v>155</v>
      </c>
      <c r="C415" s="3" t="s">
        <v>125</v>
      </c>
      <c r="D415" s="3" t="s">
        <v>14</v>
      </c>
      <c r="E415" s="3">
        <v>2</v>
      </c>
      <c r="G415" s="57"/>
    </row>
    <row r="416" spans="1:7" ht="12.75" x14ac:dyDescent="0.2">
      <c r="A416" s="3">
        <v>67</v>
      </c>
      <c r="B416" s="4" t="s">
        <v>155</v>
      </c>
      <c r="C416" s="3" t="s">
        <v>125</v>
      </c>
      <c r="D416" s="3" t="s">
        <v>138</v>
      </c>
      <c r="E416" s="3">
        <v>0</v>
      </c>
      <c r="F416">
        <f>SUM(E410:E416)</f>
        <v>36</v>
      </c>
      <c r="G416" s="57"/>
    </row>
    <row r="417" spans="1:7" ht="12.75" x14ac:dyDescent="0.2">
      <c r="A417" s="3">
        <v>68</v>
      </c>
      <c r="B417" s="4" t="s">
        <v>92</v>
      </c>
      <c r="C417" s="3" t="s">
        <v>125</v>
      </c>
      <c r="D417" s="3" t="s">
        <v>290</v>
      </c>
      <c r="E417" s="3">
        <v>5</v>
      </c>
      <c r="G417" s="59"/>
    </row>
    <row r="418" spans="1:7" ht="12.75" x14ac:dyDescent="0.2">
      <c r="A418" s="3">
        <v>68</v>
      </c>
      <c r="B418" s="4" t="s">
        <v>92</v>
      </c>
      <c r="C418" s="3" t="s">
        <v>125</v>
      </c>
      <c r="D418" s="3" t="s">
        <v>16</v>
      </c>
      <c r="E418" s="3">
        <v>155</v>
      </c>
      <c r="G418" s="57"/>
    </row>
    <row r="419" spans="1:7" ht="12.75" x14ac:dyDescent="0.2">
      <c r="A419" s="3">
        <v>68</v>
      </c>
      <c r="B419" s="4" t="s">
        <v>92</v>
      </c>
      <c r="C419" s="3" t="s">
        <v>125</v>
      </c>
      <c r="D419" s="3" t="s">
        <v>346</v>
      </c>
      <c r="E419" s="3">
        <v>14</v>
      </c>
      <c r="G419" s="57"/>
    </row>
    <row r="420" spans="1:7" ht="12.75" x14ac:dyDescent="0.2">
      <c r="A420" s="3">
        <v>68</v>
      </c>
      <c r="B420" s="4" t="s">
        <v>92</v>
      </c>
      <c r="C420" s="3" t="s">
        <v>125</v>
      </c>
      <c r="D420" s="3" t="s">
        <v>316</v>
      </c>
      <c r="E420" s="3">
        <v>7</v>
      </c>
      <c r="G420" s="57"/>
    </row>
    <row r="421" spans="1:7" ht="12.75" x14ac:dyDescent="0.2">
      <c r="A421" s="3">
        <v>68</v>
      </c>
      <c r="B421" s="4" t="s">
        <v>92</v>
      </c>
      <c r="C421" s="3" t="s">
        <v>125</v>
      </c>
      <c r="D421" s="3" t="s">
        <v>132</v>
      </c>
      <c r="E421" s="3">
        <v>204</v>
      </c>
      <c r="G421" s="57"/>
    </row>
    <row r="422" spans="1:7" ht="12.75" x14ac:dyDescent="0.2">
      <c r="A422" s="3">
        <v>68</v>
      </c>
      <c r="B422" s="4" t="s">
        <v>92</v>
      </c>
      <c r="C422" s="3" t="s">
        <v>125</v>
      </c>
      <c r="D422" s="3" t="s">
        <v>14</v>
      </c>
      <c r="E422" s="3">
        <v>95</v>
      </c>
      <c r="G422" s="57"/>
    </row>
    <row r="423" spans="1:7" ht="12.75" x14ac:dyDescent="0.2">
      <c r="A423" s="3">
        <v>68</v>
      </c>
      <c r="B423" s="4" t="s">
        <v>92</v>
      </c>
      <c r="C423" s="3" t="s">
        <v>125</v>
      </c>
      <c r="D423" s="3" t="s">
        <v>138</v>
      </c>
      <c r="E423" s="3">
        <v>6</v>
      </c>
      <c r="F423">
        <f>SUM(E417:E423)</f>
        <v>486</v>
      </c>
      <c r="G423" s="57"/>
    </row>
    <row r="424" spans="1:7" ht="12.75" x14ac:dyDescent="0.2">
      <c r="A424" s="3">
        <v>69</v>
      </c>
      <c r="B424" s="4" t="s">
        <v>93</v>
      </c>
      <c r="C424" s="3" t="s">
        <v>125</v>
      </c>
      <c r="D424" s="3" t="s">
        <v>290</v>
      </c>
      <c r="E424" s="3">
        <v>37</v>
      </c>
      <c r="G424" s="59"/>
    </row>
    <row r="425" spans="1:7" ht="12.75" x14ac:dyDescent="0.2">
      <c r="A425" s="3">
        <v>69</v>
      </c>
      <c r="B425" s="4" t="s">
        <v>93</v>
      </c>
      <c r="C425" s="3" t="s">
        <v>125</v>
      </c>
      <c r="D425" s="3" t="s">
        <v>16</v>
      </c>
      <c r="E425" s="3">
        <v>781</v>
      </c>
      <c r="G425" s="57"/>
    </row>
    <row r="426" spans="1:7" ht="12.75" x14ac:dyDescent="0.2">
      <c r="A426" s="3">
        <v>69</v>
      </c>
      <c r="B426" s="4" t="s">
        <v>93</v>
      </c>
      <c r="C426" s="3" t="s">
        <v>125</v>
      </c>
      <c r="D426" s="3" t="s">
        <v>346</v>
      </c>
      <c r="E426" s="3">
        <v>4</v>
      </c>
      <c r="G426" s="57"/>
    </row>
    <row r="427" spans="1:7" ht="12.75" x14ac:dyDescent="0.2">
      <c r="A427" s="3">
        <v>69</v>
      </c>
      <c r="B427" s="4" t="s">
        <v>93</v>
      </c>
      <c r="C427" s="3" t="s">
        <v>125</v>
      </c>
      <c r="D427" s="3" t="s">
        <v>316</v>
      </c>
      <c r="E427" s="3">
        <v>42</v>
      </c>
      <c r="G427" s="57"/>
    </row>
    <row r="428" spans="1:7" ht="12.75" x14ac:dyDescent="0.2">
      <c r="A428" s="3">
        <v>69</v>
      </c>
      <c r="B428" s="4" t="s">
        <v>93</v>
      </c>
      <c r="C428" s="3" t="s">
        <v>125</v>
      </c>
      <c r="D428" s="3" t="s">
        <v>132</v>
      </c>
      <c r="E428" s="3">
        <v>623</v>
      </c>
      <c r="G428" s="57"/>
    </row>
    <row r="429" spans="1:7" ht="12.75" x14ac:dyDescent="0.2">
      <c r="A429" s="3">
        <v>69</v>
      </c>
      <c r="B429" s="4" t="s">
        <v>93</v>
      </c>
      <c r="C429" s="3" t="s">
        <v>125</v>
      </c>
      <c r="D429" s="3" t="s">
        <v>14</v>
      </c>
      <c r="E429" s="3">
        <v>174</v>
      </c>
      <c r="G429" s="57"/>
    </row>
    <row r="430" spans="1:7" ht="12.75" x14ac:dyDescent="0.2">
      <c r="A430" s="3">
        <v>69</v>
      </c>
      <c r="B430" s="4" t="s">
        <v>93</v>
      </c>
      <c r="C430" s="3" t="s">
        <v>125</v>
      </c>
      <c r="D430" s="3" t="s">
        <v>138</v>
      </c>
      <c r="E430" s="3">
        <v>18</v>
      </c>
      <c r="F430">
        <f>SUM(E424:E430)</f>
        <v>1679</v>
      </c>
      <c r="G430" s="57"/>
    </row>
    <row r="431" spans="1:7" ht="12.75" x14ac:dyDescent="0.2">
      <c r="A431" s="3">
        <v>70</v>
      </c>
      <c r="B431" s="4" t="s">
        <v>156</v>
      </c>
      <c r="C431" s="3" t="s">
        <v>125</v>
      </c>
      <c r="D431" s="3" t="s">
        <v>290</v>
      </c>
      <c r="E431" s="3">
        <v>0</v>
      </c>
      <c r="G431" s="59"/>
    </row>
    <row r="432" spans="1:7" ht="12.75" x14ac:dyDescent="0.2">
      <c r="A432" s="3">
        <v>70</v>
      </c>
      <c r="B432" s="4" t="s">
        <v>156</v>
      </c>
      <c r="C432" s="3" t="s">
        <v>125</v>
      </c>
      <c r="D432" s="3" t="s">
        <v>16</v>
      </c>
      <c r="E432" s="3">
        <v>3</v>
      </c>
      <c r="G432" s="57"/>
    </row>
    <row r="433" spans="1:7" ht="12.75" x14ac:dyDescent="0.2">
      <c r="A433" s="3">
        <v>70</v>
      </c>
      <c r="B433" s="4" t="s">
        <v>156</v>
      </c>
      <c r="C433" s="3" t="s">
        <v>125</v>
      </c>
      <c r="D433" s="3" t="s">
        <v>346</v>
      </c>
      <c r="E433" s="3">
        <v>0</v>
      </c>
      <c r="G433" s="57"/>
    </row>
    <row r="434" spans="1:7" ht="12.75" x14ac:dyDescent="0.2">
      <c r="A434" s="3">
        <v>70</v>
      </c>
      <c r="B434" s="4" t="s">
        <v>156</v>
      </c>
      <c r="C434" s="3" t="s">
        <v>125</v>
      </c>
      <c r="D434" s="3" t="s">
        <v>316</v>
      </c>
      <c r="E434" s="3">
        <v>0</v>
      </c>
      <c r="G434" s="57"/>
    </row>
    <row r="435" spans="1:7" ht="12.75" x14ac:dyDescent="0.2">
      <c r="A435" s="3">
        <v>70</v>
      </c>
      <c r="B435" s="4" t="s">
        <v>156</v>
      </c>
      <c r="C435" s="3" t="s">
        <v>125</v>
      </c>
      <c r="D435" s="3" t="s">
        <v>132</v>
      </c>
      <c r="E435" s="3">
        <v>3</v>
      </c>
      <c r="G435" s="57"/>
    </row>
    <row r="436" spans="1:7" ht="12.75" x14ac:dyDescent="0.2">
      <c r="A436" s="3">
        <v>70</v>
      </c>
      <c r="B436" s="4" t="s">
        <v>156</v>
      </c>
      <c r="C436" s="3" t="s">
        <v>125</v>
      </c>
      <c r="D436" s="3" t="s">
        <v>14</v>
      </c>
      <c r="E436" s="3">
        <v>0</v>
      </c>
      <c r="G436" s="57"/>
    </row>
    <row r="437" spans="1:7" ht="12.75" x14ac:dyDescent="0.2">
      <c r="A437" s="3">
        <v>70</v>
      </c>
      <c r="B437" s="4" t="s">
        <v>156</v>
      </c>
      <c r="C437" s="3" t="s">
        <v>125</v>
      </c>
      <c r="D437" s="3" t="s">
        <v>138</v>
      </c>
      <c r="E437" s="3">
        <v>0</v>
      </c>
      <c r="F437">
        <f>SUM(E431:E437)</f>
        <v>6</v>
      </c>
      <c r="G437" s="57"/>
    </row>
    <row r="438" spans="1:7" ht="12.75" x14ac:dyDescent="0.2">
      <c r="A438" s="3">
        <v>71</v>
      </c>
      <c r="B438" s="4" t="s">
        <v>94</v>
      </c>
      <c r="C438" s="3" t="s">
        <v>125</v>
      </c>
      <c r="D438" s="3" t="s">
        <v>290</v>
      </c>
      <c r="E438" s="3">
        <v>0</v>
      </c>
      <c r="G438" s="59"/>
    </row>
    <row r="439" spans="1:7" ht="12.75" x14ac:dyDescent="0.2">
      <c r="A439" s="3">
        <v>71</v>
      </c>
      <c r="B439" s="4" t="s">
        <v>94</v>
      </c>
      <c r="C439" s="3" t="s">
        <v>125</v>
      </c>
      <c r="D439" s="3" t="s">
        <v>16</v>
      </c>
      <c r="E439" s="3">
        <v>674</v>
      </c>
      <c r="G439" s="57"/>
    </row>
    <row r="440" spans="1:7" ht="12.75" x14ac:dyDescent="0.2">
      <c r="A440" s="3">
        <v>71</v>
      </c>
      <c r="B440" s="4" t="s">
        <v>94</v>
      </c>
      <c r="C440" s="3" t="s">
        <v>125</v>
      </c>
      <c r="D440" s="3" t="s">
        <v>346</v>
      </c>
      <c r="E440" s="3">
        <v>3</v>
      </c>
      <c r="G440" s="57"/>
    </row>
    <row r="441" spans="1:7" ht="12.75" x14ac:dyDescent="0.2">
      <c r="A441" s="3">
        <v>71</v>
      </c>
      <c r="B441" s="4" t="s">
        <v>94</v>
      </c>
      <c r="C441" s="3" t="s">
        <v>125</v>
      </c>
      <c r="D441" s="3" t="s">
        <v>316</v>
      </c>
      <c r="E441" s="3">
        <v>10</v>
      </c>
      <c r="G441" s="57"/>
    </row>
    <row r="442" spans="1:7" ht="12.75" x14ac:dyDescent="0.2">
      <c r="A442" s="3">
        <v>71</v>
      </c>
      <c r="B442" s="4" t="s">
        <v>94</v>
      </c>
      <c r="C442" s="3" t="s">
        <v>125</v>
      </c>
      <c r="D442" s="3" t="s">
        <v>132</v>
      </c>
      <c r="E442" s="3">
        <v>218</v>
      </c>
      <c r="G442" s="57"/>
    </row>
    <row r="443" spans="1:7" ht="12.75" x14ac:dyDescent="0.2">
      <c r="A443" s="3">
        <v>71</v>
      </c>
      <c r="B443" s="4" t="s">
        <v>94</v>
      </c>
      <c r="C443" s="3" t="s">
        <v>125</v>
      </c>
      <c r="D443" s="3" t="s">
        <v>14</v>
      </c>
      <c r="E443" s="3">
        <v>43</v>
      </c>
      <c r="G443" s="57"/>
    </row>
    <row r="444" spans="1:7" ht="12.75" x14ac:dyDescent="0.2">
      <c r="A444" s="3">
        <v>71</v>
      </c>
      <c r="B444" s="4" t="s">
        <v>94</v>
      </c>
      <c r="C444" s="3" t="s">
        <v>125</v>
      </c>
      <c r="D444" s="3" t="s">
        <v>138</v>
      </c>
      <c r="E444" s="3">
        <v>0</v>
      </c>
      <c r="F444">
        <f>SUM(E438:E444)</f>
        <v>948</v>
      </c>
      <c r="G444" s="57"/>
    </row>
    <row r="445" spans="1:7" ht="12.75" x14ac:dyDescent="0.2">
      <c r="A445" s="3">
        <v>72</v>
      </c>
      <c r="B445" s="4" t="s">
        <v>95</v>
      </c>
      <c r="C445" s="3" t="s">
        <v>125</v>
      </c>
      <c r="D445" s="3" t="s">
        <v>290</v>
      </c>
      <c r="E445" s="3">
        <v>17</v>
      </c>
      <c r="G445" s="59"/>
    </row>
    <row r="446" spans="1:7" ht="12.75" x14ac:dyDescent="0.2">
      <c r="A446" s="3">
        <v>72</v>
      </c>
      <c r="B446" s="4" t="s">
        <v>95</v>
      </c>
      <c r="C446" s="3" t="s">
        <v>125</v>
      </c>
      <c r="D446" s="3" t="s">
        <v>16</v>
      </c>
      <c r="E446" s="3">
        <v>589</v>
      </c>
      <c r="G446" s="57"/>
    </row>
    <row r="447" spans="1:7" ht="12.75" x14ac:dyDescent="0.2">
      <c r="A447" s="3">
        <v>72</v>
      </c>
      <c r="B447" s="4" t="s">
        <v>95</v>
      </c>
      <c r="C447" s="3" t="s">
        <v>125</v>
      </c>
      <c r="D447" s="3" t="s">
        <v>346</v>
      </c>
      <c r="E447" s="3">
        <v>2</v>
      </c>
      <c r="G447" s="57"/>
    </row>
    <row r="448" spans="1:7" ht="12.75" x14ac:dyDescent="0.2">
      <c r="A448" s="3">
        <v>72</v>
      </c>
      <c r="B448" s="4" t="s">
        <v>95</v>
      </c>
      <c r="C448" s="3" t="s">
        <v>125</v>
      </c>
      <c r="D448" s="3" t="s">
        <v>316</v>
      </c>
      <c r="E448" s="3">
        <v>37</v>
      </c>
      <c r="G448" s="57"/>
    </row>
    <row r="449" spans="1:7" ht="12.75" x14ac:dyDescent="0.2">
      <c r="A449" s="3">
        <v>72</v>
      </c>
      <c r="B449" s="4" t="s">
        <v>95</v>
      </c>
      <c r="C449" s="3" t="s">
        <v>125</v>
      </c>
      <c r="D449" s="3" t="s">
        <v>132</v>
      </c>
      <c r="E449" s="3">
        <v>813</v>
      </c>
      <c r="G449" s="57"/>
    </row>
    <row r="450" spans="1:7" ht="12.75" x14ac:dyDescent="0.2">
      <c r="A450" s="3">
        <v>72</v>
      </c>
      <c r="B450" s="4" t="s">
        <v>95</v>
      </c>
      <c r="C450" s="3" t="s">
        <v>125</v>
      </c>
      <c r="D450" s="3" t="s">
        <v>14</v>
      </c>
      <c r="E450" s="3">
        <v>190</v>
      </c>
      <c r="G450" s="57"/>
    </row>
    <row r="451" spans="1:7" ht="12.75" x14ac:dyDescent="0.2">
      <c r="A451" s="3">
        <v>72</v>
      </c>
      <c r="B451" s="4" t="s">
        <v>95</v>
      </c>
      <c r="C451" s="3" t="s">
        <v>125</v>
      </c>
      <c r="D451" s="3" t="s">
        <v>138</v>
      </c>
      <c r="E451" s="3">
        <v>11</v>
      </c>
      <c r="F451">
        <f>SUM(E445:E451)</f>
        <v>1659</v>
      </c>
      <c r="G451" s="57"/>
    </row>
    <row r="452" spans="1:7" ht="12.75" x14ac:dyDescent="0.2">
      <c r="A452" s="3">
        <v>73</v>
      </c>
      <c r="B452" s="4" t="s">
        <v>96</v>
      </c>
      <c r="C452" s="3" t="s">
        <v>125</v>
      </c>
      <c r="D452" s="3" t="s">
        <v>290</v>
      </c>
      <c r="E452" s="3">
        <v>13</v>
      </c>
      <c r="G452" s="59"/>
    </row>
    <row r="453" spans="1:7" ht="12.75" x14ac:dyDescent="0.2">
      <c r="A453" s="3">
        <v>73</v>
      </c>
      <c r="B453" s="4" t="s">
        <v>96</v>
      </c>
      <c r="C453" s="3" t="s">
        <v>125</v>
      </c>
      <c r="D453" s="3" t="s">
        <v>16</v>
      </c>
      <c r="E453" s="3">
        <v>82</v>
      </c>
      <c r="G453" s="57"/>
    </row>
    <row r="454" spans="1:7" ht="12.75" x14ac:dyDescent="0.2">
      <c r="A454" s="3">
        <v>73</v>
      </c>
      <c r="B454" s="4" t="s">
        <v>96</v>
      </c>
      <c r="C454" s="3" t="s">
        <v>125</v>
      </c>
      <c r="D454" s="3" t="s">
        <v>346</v>
      </c>
      <c r="E454" s="3">
        <v>0</v>
      </c>
      <c r="G454" s="57"/>
    </row>
    <row r="455" spans="1:7" ht="12.75" x14ac:dyDescent="0.2">
      <c r="A455" s="3">
        <v>73</v>
      </c>
      <c r="B455" s="4" t="s">
        <v>96</v>
      </c>
      <c r="C455" s="3" t="s">
        <v>125</v>
      </c>
      <c r="D455" s="3" t="s">
        <v>316</v>
      </c>
      <c r="E455" s="3">
        <v>0</v>
      </c>
      <c r="G455" s="57"/>
    </row>
    <row r="456" spans="1:7" ht="12.75" x14ac:dyDescent="0.2">
      <c r="A456" s="3">
        <v>73</v>
      </c>
      <c r="B456" s="4" t="s">
        <v>96</v>
      </c>
      <c r="C456" s="3" t="s">
        <v>125</v>
      </c>
      <c r="D456" s="3" t="s">
        <v>132</v>
      </c>
      <c r="E456" s="3">
        <v>33</v>
      </c>
      <c r="G456" s="57"/>
    </row>
    <row r="457" spans="1:7" ht="12.75" x14ac:dyDescent="0.2">
      <c r="A457" s="3">
        <v>73</v>
      </c>
      <c r="B457" s="4" t="s">
        <v>96</v>
      </c>
      <c r="C457" s="3" t="s">
        <v>125</v>
      </c>
      <c r="D457" s="3" t="s">
        <v>14</v>
      </c>
      <c r="E457" s="3">
        <v>60</v>
      </c>
      <c r="G457" s="57"/>
    </row>
    <row r="458" spans="1:7" ht="12.75" x14ac:dyDescent="0.2">
      <c r="A458" s="3">
        <v>73</v>
      </c>
      <c r="B458" s="4" t="s">
        <v>96</v>
      </c>
      <c r="C458" s="3" t="s">
        <v>125</v>
      </c>
      <c r="D458" s="3" t="s">
        <v>138</v>
      </c>
      <c r="E458" s="3">
        <v>0</v>
      </c>
      <c r="F458">
        <f>SUM(E452:E458)</f>
        <v>188</v>
      </c>
      <c r="G458" s="57"/>
    </row>
    <row r="459" spans="1:7" ht="12.75" x14ac:dyDescent="0.2">
      <c r="A459" s="3">
        <v>74</v>
      </c>
      <c r="B459" s="4" t="s">
        <v>97</v>
      </c>
      <c r="C459" s="3" t="s">
        <v>125</v>
      </c>
      <c r="D459" s="3" t="s">
        <v>290</v>
      </c>
      <c r="E459" s="3">
        <v>15</v>
      </c>
      <c r="G459" s="59"/>
    </row>
    <row r="460" spans="1:7" ht="12.75" x14ac:dyDescent="0.2">
      <c r="A460" s="3">
        <v>74</v>
      </c>
      <c r="B460" s="4" t="s">
        <v>97</v>
      </c>
      <c r="C460" s="3" t="s">
        <v>125</v>
      </c>
      <c r="D460" s="3" t="s">
        <v>16</v>
      </c>
      <c r="E460" s="3">
        <v>110</v>
      </c>
      <c r="G460" s="57"/>
    </row>
    <row r="461" spans="1:7" ht="12.75" x14ac:dyDescent="0.2">
      <c r="A461" s="3">
        <v>74</v>
      </c>
      <c r="B461" s="4" t="s">
        <v>97</v>
      </c>
      <c r="C461" s="3" t="s">
        <v>125</v>
      </c>
      <c r="D461" s="3" t="s">
        <v>346</v>
      </c>
      <c r="E461" s="3">
        <v>2</v>
      </c>
      <c r="G461" s="57"/>
    </row>
    <row r="462" spans="1:7" ht="12.75" x14ac:dyDescent="0.2">
      <c r="A462" s="3">
        <v>74</v>
      </c>
      <c r="B462" s="4" t="s">
        <v>97</v>
      </c>
      <c r="C462" s="3" t="s">
        <v>125</v>
      </c>
      <c r="D462" s="3" t="s">
        <v>316</v>
      </c>
      <c r="E462" s="3">
        <v>21</v>
      </c>
      <c r="G462" s="57"/>
    </row>
    <row r="463" spans="1:7" ht="12.75" x14ac:dyDescent="0.2">
      <c r="A463" s="3">
        <v>74</v>
      </c>
      <c r="B463" s="4" t="s">
        <v>97</v>
      </c>
      <c r="C463" s="3" t="s">
        <v>125</v>
      </c>
      <c r="D463" s="3" t="s">
        <v>132</v>
      </c>
      <c r="E463" s="3">
        <v>59</v>
      </c>
      <c r="G463" s="57"/>
    </row>
    <row r="464" spans="1:7" ht="12.75" x14ac:dyDescent="0.2">
      <c r="A464" s="3">
        <v>74</v>
      </c>
      <c r="B464" s="4" t="s">
        <v>97</v>
      </c>
      <c r="C464" s="3" t="s">
        <v>125</v>
      </c>
      <c r="D464" s="3" t="s">
        <v>14</v>
      </c>
      <c r="E464" s="3">
        <v>85</v>
      </c>
      <c r="G464" s="57"/>
    </row>
    <row r="465" spans="1:7" ht="12.75" x14ac:dyDescent="0.2">
      <c r="A465" s="3">
        <v>74</v>
      </c>
      <c r="B465" s="4" t="s">
        <v>97</v>
      </c>
      <c r="C465" s="3" t="s">
        <v>125</v>
      </c>
      <c r="D465" s="3" t="s">
        <v>138</v>
      </c>
      <c r="E465" s="3">
        <v>0</v>
      </c>
      <c r="F465">
        <f>SUM(E459:E465)</f>
        <v>292</v>
      </c>
      <c r="G465" s="57"/>
    </row>
    <row r="466" spans="1:7" ht="12.75" x14ac:dyDescent="0.2">
      <c r="A466" s="3">
        <v>75</v>
      </c>
      <c r="B466" s="4" t="s">
        <v>98</v>
      </c>
      <c r="C466" s="3" t="s">
        <v>125</v>
      </c>
      <c r="D466" s="3" t="s">
        <v>290</v>
      </c>
      <c r="E466" s="3">
        <v>22</v>
      </c>
      <c r="G466" s="59"/>
    </row>
    <row r="467" spans="1:7" ht="12.75" x14ac:dyDescent="0.2">
      <c r="A467" s="3">
        <v>75</v>
      </c>
      <c r="B467" s="4" t="s">
        <v>98</v>
      </c>
      <c r="C467" s="3" t="s">
        <v>125</v>
      </c>
      <c r="D467" s="3" t="s">
        <v>16</v>
      </c>
      <c r="E467" s="3">
        <v>1161</v>
      </c>
      <c r="G467" s="57"/>
    </row>
    <row r="468" spans="1:7" ht="12.75" x14ac:dyDescent="0.2">
      <c r="A468" s="3">
        <v>75</v>
      </c>
      <c r="B468" s="4" t="s">
        <v>98</v>
      </c>
      <c r="C468" s="3" t="s">
        <v>125</v>
      </c>
      <c r="D468" s="3" t="s">
        <v>346</v>
      </c>
      <c r="E468" s="3">
        <v>10</v>
      </c>
      <c r="G468" s="57"/>
    </row>
    <row r="469" spans="1:7" ht="12.75" x14ac:dyDescent="0.2">
      <c r="A469" s="3">
        <v>75</v>
      </c>
      <c r="B469" s="4" t="s">
        <v>98</v>
      </c>
      <c r="C469" s="3" t="s">
        <v>125</v>
      </c>
      <c r="D469" s="3" t="s">
        <v>316</v>
      </c>
      <c r="E469" s="3">
        <v>76</v>
      </c>
      <c r="G469" s="57"/>
    </row>
    <row r="470" spans="1:7" ht="12.75" x14ac:dyDescent="0.2">
      <c r="A470" s="3">
        <v>75</v>
      </c>
      <c r="B470" s="4" t="s">
        <v>98</v>
      </c>
      <c r="C470" s="3" t="s">
        <v>125</v>
      </c>
      <c r="D470" s="3" t="s">
        <v>132</v>
      </c>
      <c r="E470" s="3">
        <v>1001</v>
      </c>
      <c r="G470" s="57"/>
    </row>
    <row r="471" spans="1:7" ht="12.75" x14ac:dyDescent="0.2">
      <c r="A471" s="3">
        <v>75</v>
      </c>
      <c r="B471" s="4" t="s">
        <v>98</v>
      </c>
      <c r="C471" s="3" t="s">
        <v>125</v>
      </c>
      <c r="D471" s="3" t="s">
        <v>14</v>
      </c>
      <c r="E471" s="3">
        <v>213</v>
      </c>
      <c r="G471" s="57"/>
    </row>
    <row r="472" spans="1:7" ht="12.75" x14ac:dyDescent="0.2">
      <c r="A472" s="3">
        <v>75</v>
      </c>
      <c r="B472" s="4" t="s">
        <v>98</v>
      </c>
      <c r="C472" s="3" t="s">
        <v>125</v>
      </c>
      <c r="D472" s="3" t="s">
        <v>138</v>
      </c>
      <c r="E472" s="3">
        <v>23</v>
      </c>
      <c r="F472">
        <f>SUM(E466:E472)</f>
        <v>2506</v>
      </c>
      <c r="G472" s="57"/>
    </row>
    <row r="473" spans="1:7" ht="12.75" x14ac:dyDescent="0.2">
      <c r="A473" s="3">
        <v>76</v>
      </c>
      <c r="B473" s="4" t="s">
        <v>99</v>
      </c>
      <c r="C473" s="3" t="s">
        <v>125</v>
      </c>
      <c r="D473" s="3" t="s">
        <v>290</v>
      </c>
      <c r="E473" s="3">
        <v>9</v>
      </c>
      <c r="G473" s="59"/>
    </row>
    <row r="474" spans="1:7" ht="12.75" x14ac:dyDescent="0.2">
      <c r="A474" s="3">
        <v>76</v>
      </c>
      <c r="B474" s="4" t="s">
        <v>99</v>
      </c>
      <c r="C474" s="3" t="s">
        <v>125</v>
      </c>
      <c r="D474" s="3" t="s">
        <v>16</v>
      </c>
      <c r="E474" s="3">
        <v>91</v>
      </c>
      <c r="G474" s="57"/>
    </row>
    <row r="475" spans="1:7" ht="12.75" x14ac:dyDescent="0.2">
      <c r="A475" s="3">
        <v>76</v>
      </c>
      <c r="B475" s="4" t="s">
        <v>99</v>
      </c>
      <c r="C475" s="3" t="s">
        <v>125</v>
      </c>
      <c r="D475" s="3" t="s">
        <v>346</v>
      </c>
      <c r="E475" s="3">
        <v>0</v>
      </c>
      <c r="G475" s="57"/>
    </row>
    <row r="476" spans="1:7" ht="12.75" x14ac:dyDescent="0.2">
      <c r="A476" s="3">
        <v>76</v>
      </c>
      <c r="B476" s="4" t="s">
        <v>99</v>
      </c>
      <c r="C476" s="3" t="s">
        <v>125</v>
      </c>
      <c r="D476" s="3" t="s">
        <v>316</v>
      </c>
      <c r="E476" s="3">
        <v>40</v>
      </c>
      <c r="G476" s="57"/>
    </row>
    <row r="477" spans="1:7" ht="12.75" x14ac:dyDescent="0.2">
      <c r="A477" s="3">
        <v>76</v>
      </c>
      <c r="B477" s="4" t="s">
        <v>99</v>
      </c>
      <c r="C477" s="3" t="s">
        <v>125</v>
      </c>
      <c r="D477" s="3" t="s">
        <v>132</v>
      </c>
      <c r="E477" s="3">
        <v>28</v>
      </c>
      <c r="G477" s="57"/>
    </row>
    <row r="478" spans="1:7" ht="12.75" x14ac:dyDescent="0.2">
      <c r="A478" s="3">
        <v>76</v>
      </c>
      <c r="B478" s="4" t="s">
        <v>99</v>
      </c>
      <c r="C478" s="3" t="s">
        <v>125</v>
      </c>
      <c r="D478" s="3" t="s">
        <v>14</v>
      </c>
      <c r="E478" s="3">
        <v>61</v>
      </c>
      <c r="G478" s="57"/>
    </row>
    <row r="479" spans="1:7" ht="12.75" x14ac:dyDescent="0.2">
      <c r="A479" s="3">
        <v>76</v>
      </c>
      <c r="B479" s="4" t="s">
        <v>99</v>
      </c>
      <c r="C479" s="3" t="s">
        <v>125</v>
      </c>
      <c r="D479" s="3" t="s">
        <v>138</v>
      </c>
      <c r="E479" s="3">
        <v>0</v>
      </c>
      <c r="F479">
        <f>SUM(E473:E479)</f>
        <v>229</v>
      </c>
      <c r="G479" s="57"/>
    </row>
    <row r="480" spans="1:7" ht="12.75" x14ac:dyDescent="0.2">
      <c r="A480" s="3">
        <v>77</v>
      </c>
      <c r="B480" s="4" t="s">
        <v>100</v>
      </c>
      <c r="C480" s="3" t="s">
        <v>125</v>
      </c>
      <c r="D480" s="3" t="s">
        <v>290</v>
      </c>
      <c r="E480" s="3">
        <v>15</v>
      </c>
      <c r="G480" s="59"/>
    </row>
    <row r="481" spans="1:7" ht="12.75" x14ac:dyDescent="0.2">
      <c r="A481" s="3">
        <v>77</v>
      </c>
      <c r="B481" s="4" t="s">
        <v>100</v>
      </c>
      <c r="C481" s="3" t="s">
        <v>125</v>
      </c>
      <c r="D481" s="3" t="s">
        <v>16</v>
      </c>
      <c r="E481" s="3">
        <v>359</v>
      </c>
      <c r="G481" s="57"/>
    </row>
    <row r="482" spans="1:7" ht="12.75" x14ac:dyDescent="0.2">
      <c r="A482" s="3">
        <v>77</v>
      </c>
      <c r="B482" s="4" t="s">
        <v>100</v>
      </c>
      <c r="C482" s="3" t="s">
        <v>125</v>
      </c>
      <c r="D482" s="3" t="s">
        <v>346</v>
      </c>
      <c r="E482" s="3">
        <v>2</v>
      </c>
      <c r="G482" s="57"/>
    </row>
    <row r="483" spans="1:7" ht="12.75" x14ac:dyDescent="0.2">
      <c r="A483" s="3">
        <v>77</v>
      </c>
      <c r="B483" s="4" t="s">
        <v>100</v>
      </c>
      <c r="C483" s="3" t="s">
        <v>125</v>
      </c>
      <c r="D483" s="3" t="s">
        <v>316</v>
      </c>
      <c r="E483" s="3">
        <v>31</v>
      </c>
      <c r="G483" s="57"/>
    </row>
    <row r="484" spans="1:7" ht="12.75" x14ac:dyDescent="0.2">
      <c r="A484" s="3">
        <v>77</v>
      </c>
      <c r="B484" s="4" t="s">
        <v>100</v>
      </c>
      <c r="C484" s="3" t="s">
        <v>125</v>
      </c>
      <c r="D484" s="3" t="s">
        <v>132</v>
      </c>
      <c r="E484" s="3">
        <v>552</v>
      </c>
      <c r="G484" s="57"/>
    </row>
    <row r="485" spans="1:7" ht="12.75" x14ac:dyDescent="0.2">
      <c r="A485" s="3">
        <v>77</v>
      </c>
      <c r="B485" s="4" t="s">
        <v>100</v>
      </c>
      <c r="C485" s="3" t="s">
        <v>125</v>
      </c>
      <c r="D485" s="3" t="s">
        <v>14</v>
      </c>
      <c r="E485" s="3">
        <v>144</v>
      </c>
      <c r="G485" s="57"/>
    </row>
    <row r="486" spans="1:7" ht="12.75" x14ac:dyDescent="0.2">
      <c r="A486" s="3">
        <v>77</v>
      </c>
      <c r="B486" s="4" t="s">
        <v>100</v>
      </c>
      <c r="C486" s="3" t="s">
        <v>125</v>
      </c>
      <c r="D486" s="3" t="s">
        <v>138</v>
      </c>
      <c r="E486" s="3">
        <v>1</v>
      </c>
      <c r="F486">
        <f>SUM(E480:E486)</f>
        <v>1104</v>
      </c>
      <c r="G486" s="57"/>
    </row>
    <row r="487" spans="1:7" ht="12.75" x14ac:dyDescent="0.2">
      <c r="A487" s="3">
        <v>78</v>
      </c>
      <c r="B487" s="4" t="s">
        <v>101</v>
      </c>
      <c r="C487" s="3" t="s">
        <v>125</v>
      </c>
      <c r="D487" s="3" t="s">
        <v>290</v>
      </c>
      <c r="E487" s="3">
        <v>4</v>
      </c>
      <c r="G487" s="59"/>
    </row>
    <row r="488" spans="1:7" ht="12.75" x14ac:dyDescent="0.2">
      <c r="A488" s="3">
        <v>78</v>
      </c>
      <c r="B488" s="4" t="s">
        <v>101</v>
      </c>
      <c r="C488" s="3" t="s">
        <v>125</v>
      </c>
      <c r="D488" s="3" t="s">
        <v>16</v>
      </c>
      <c r="E488" s="3">
        <v>118</v>
      </c>
      <c r="G488" s="57"/>
    </row>
    <row r="489" spans="1:7" ht="12.75" x14ac:dyDescent="0.2">
      <c r="A489" s="3">
        <v>78</v>
      </c>
      <c r="B489" s="4" t="s">
        <v>101</v>
      </c>
      <c r="C489" s="3" t="s">
        <v>125</v>
      </c>
      <c r="D489" s="3" t="s">
        <v>346</v>
      </c>
      <c r="E489" s="3">
        <v>2</v>
      </c>
      <c r="G489" s="57"/>
    </row>
    <row r="490" spans="1:7" ht="12.75" x14ac:dyDescent="0.2">
      <c r="A490" s="3">
        <v>78</v>
      </c>
      <c r="B490" s="4" t="s">
        <v>101</v>
      </c>
      <c r="C490" s="3" t="s">
        <v>125</v>
      </c>
      <c r="D490" s="3" t="s">
        <v>316</v>
      </c>
      <c r="E490" s="3">
        <v>2</v>
      </c>
      <c r="G490" s="57"/>
    </row>
    <row r="491" spans="1:7" ht="12.75" x14ac:dyDescent="0.2">
      <c r="A491" s="3">
        <v>78</v>
      </c>
      <c r="B491" s="4" t="s">
        <v>101</v>
      </c>
      <c r="C491" s="3" t="s">
        <v>125</v>
      </c>
      <c r="D491" s="3" t="s">
        <v>132</v>
      </c>
      <c r="E491" s="3">
        <v>90</v>
      </c>
      <c r="G491" s="57"/>
    </row>
    <row r="492" spans="1:7" ht="12.75" x14ac:dyDescent="0.2">
      <c r="A492" s="3">
        <v>78</v>
      </c>
      <c r="B492" s="4" t="s">
        <v>101</v>
      </c>
      <c r="C492" s="3" t="s">
        <v>125</v>
      </c>
      <c r="D492" s="3" t="s">
        <v>14</v>
      </c>
      <c r="E492" s="3">
        <v>39</v>
      </c>
      <c r="G492" s="57"/>
    </row>
    <row r="493" spans="1:7" ht="12.75" x14ac:dyDescent="0.2">
      <c r="A493" s="3">
        <v>78</v>
      </c>
      <c r="B493" s="4" t="s">
        <v>101</v>
      </c>
      <c r="C493" s="3" t="s">
        <v>125</v>
      </c>
      <c r="D493" s="3" t="s">
        <v>138</v>
      </c>
      <c r="E493" s="3">
        <v>3</v>
      </c>
      <c r="F493">
        <f>SUM(E487:E493)</f>
        <v>258</v>
      </c>
      <c r="G493" s="57"/>
    </row>
    <row r="494" spans="1:7" ht="12.75" x14ac:dyDescent="0.2">
      <c r="A494" s="3">
        <v>79</v>
      </c>
      <c r="B494" s="4" t="s">
        <v>102</v>
      </c>
      <c r="C494" s="3" t="s">
        <v>125</v>
      </c>
      <c r="D494" s="3" t="s">
        <v>290</v>
      </c>
      <c r="E494" s="3">
        <v>19</v>
      </c>
      <c r="G494" s="59"/>
    </row>
    <row r="495" spans="1:7" ht="12.75" x14ac:dyDescent="0.2">
      <c r="A495" s="3">
        <v>79</v>
      </c>
      <c r="B495" s="4" t="s">
        <v>102</v>
      </c>
      <c r="C495" s="3" t="s">
        <v>125</v>
      </c>
      <c r="D495" s="3" t="s">
        <v>16</v>
      </c>
      <c r="E495" s="3">
        <v>381</v>
      </c>
      <c r="G495" s="57"/>
    </row>
    <row r="496" spans="1:7" ht="12.75" x14ac:dyDescent="0.2">
      <c r="A496" s="3">
        <v>79</v>
      </c>
      <c r="B496" s="4" t="s">
        <v>102</v>
      </c>
      <c r="C496" s="3" t="s">
        <v>125</v>
      </c>
      <c r="D496" s="3" t="s">
        <v>346</v>
      </c>
      <c r="E496" s="3">
        <v>3</v>
      </c>
      <c r="G496" s="57"/>
    </row>
    <row r="497" spans="1:7" ht="12.75" x14ac:dyDescent="0.2">
      <c r="A497" s="3">
        <v>79</v>
      </c>
      <c r="B497" s="4" t="s">
        <v>102</v>
      </c>
      <c r="C497" s="3" t="s">
        <v>125</v>
      </c>
      <c r="D497" s="3" t="s">
        <v>316</v>
      </c>
      <c r="E497" s="3">
        <v>54</v>
      </c>
      <c r="G497" s="57"/>
    </row>
    <row r="498" spans="1:7" ht="12.75" x14ac:dyDescent="0.2">
      <c r="A498" s="3">
        <v>79</v>
      </c>
      <c r="B498" s="4" t="s">
        <v>102</v>
      </c>
      <c r="C498" s="3" t="s">
        <v>125</v>
      </c>
      <c r="D498" s="3" t="s">
        <v>132</v>
      </c>
      <c r="E498" s="3">
        <v>392</v>
      </c>
      <c r="G498" s="57"/>
    </row>
    <row r="499" spans="1:7" ht="12.75" x14ac:dyDescent="0.2">
      <c r="A499" s="3">
        <v>79</v>
      </c>
      <c r="B499" s="4" t="s">
        <v>102</v>
      </c>
      <c r="C499" s="3" t="s">
        <v>125</v>
      </c>
      <c r="D499" s="3" t="s">
        <v>14</v>
      </c>
      <c r="E499" s="3">
        <v>136</v>
      </c>
      <c r="G499" s="57"/>
    </row>
    <row r="500" spans="1:7" ht="12.75" x14ac:dyDescent="0.2">
      <c r="A500" s="3">
        <v>79</v>
      </c>
      <c r="B500" s="4" t="s">
        <v>102</v>
      </c>
      <c r="C500" s="3" t="s">
        <v>125</v>
      </c>
      <c r="D500" s="3" t="s">
        <v>138</v>
      </c>
      <c r="E500" s="3">
        <v>6</v>
      </c>
      <c r="F500">
        <f>SUM(E494:E500)</f>
        <v>991</v>
      </c>
      <c r="G500" s="57"/>
    </row>
    <row r="501" spans="1:7" ht="12.75" x14ac:dyDescent="0.2">
      <c r="A501" s="3">
        <v>80</v>
      </c>
      <c r="B501" s="4" t="s">
        <v>103</v>
      </c>
      <c r="C501" s="3" t="s">
        <v>125</v>
      </c>
      <c r="D501" s="3" t="s">
        <v>290</v>
      </c>
      <c r="E501" s="3">
        <v>4</v>
      </c>
      <c r="G501" s="59"/>
    </row>
    <row r="502" spans="1:7" ht="12.75" x14ac:dyDescent="0.2">
      <c r="A502" s="3">
        <v>80</v>
      </c>
      <c r="B502" s="4" t="s">
        <v>103</v>
      </c>
      <c r="C502" s="3" t="s">
        <v>125</v>
      </c>
      <c r="D502" s="3" t="s">
        <v>16</v>
      </c>
      <c r="E502" s="3">
        <v>54</v>
      </c>
      <c r="G502" s="57"/>
    </row>
    <row r="503" spans="1:7" ht="12.75" x14ac:dyDescent="0.2">
      <c r="A503" s="3">
        <v>80</v>
      </c>
      <c r="B503" s="4" t="s">
        <v>103</v>
      </c>
      <c r="C503" s="3" t="s">
        <v>125</v>
      </c>
      <c r="D503" s="3" t="s">
        <v>346</v>
      </c>
      <c r="E503" s="3">
        <v>0</v>
      </c>
      <c r="G503" s="57"/>
    </row>
    <row r="504" spans="1:7" ht="12.75" x14ac:dyDescent="0.2">
      <c r="A504" s="3">
        <v>80</v>
      </c>
      <c r="B504" s="4" t="s">
        <v>103</v>
      </c>
      <c r="C504" s="3" t="s">
        <v>125</v>
      </c>
      <c r="D504" s="3" t="s">
        <v>316</v>
      </c>
      <c r="E504" s="3">
        <v>12</v>
      </c>
      <c r="G504" s="57"/>
    </row>
    <row r="505" spans="1:7" ht="12.75" x14ac:dyDescent="0.2">
      <c r="A505" s="3">
        <v>80</v>
      </c>
      <c r="B505" s="4" t="s">
        <v>103</v>
      </c>
      <c r="C505" s="3" t="s">
        <v>125</v>
      </c>
      <c r="D505" s="3" t="s">
        <v>132</v>
      </c>
      <c r="E505" s="3">
        <v>22</v>
      </c>
      <c r="G505" s="57"/>
    </row>
    <row r="506" spans="1:7" ht="12.75" x14ac:dyDescent="0.2">
      <c r="A506" s="3">
        <v>80</v>
      </c>
      <c r="B506" s="4" t="s">
        <v>103</v>
      </c>
      <c r="C506" s="3" t="s">
        <v>125</v>
      </c>
      <c r="D506" s="3" t="s">
        <v>14</v>
      </c>
      <c r="E506" s="3">
        <v>49</v>
      </c>
      <c r="G506" s="57"/>
    </row>
    <row r="507" spans="1:7" ht="12.75" x14ac:dyDescent="0.2">
      <c r="A507" s="3">
        <v>80</v>
      </c>
      <c r="B507" s="4" t="s">
        <v>103</v>
      </c>
      <c r="C507" s="3" t="s">
        <v>125</v>
      </c>
      <c r="D507" s="3" t="s">
        <v>138</v>
      </c>
      <c r="E507" s="3">
        <v>3</v>
      </c>
      <c r="F507">
        <f>SUM(E501:E507)</f>
        <v>144</v>
      </c>
      <c r="G507" s="57"/>
    </row>
    <row r="508" spans="1:7" ht="12.75" x14ac:dyDescent="0.2">
      <c r="A508" s="3">
        <v>81</v>
      </c>
      <c r="B508" s="4" t="s">
        <v>104</v>
      </c>
      <c r="C508" s="3" t="s">
        <v>125</v>
      </c>
      <c r="D508" s="3" t="s">
        <v>290</v>
      </c>
      <c r="E508" s="3">
        <v>53</v>
      </c>
      <c r="G508" s="59"/>
    </row>
    <row r="509" spans="1:7" ht="12.75" x14ac:dyDescent="0.2">
      <c r="A509" s="3">
        <v>81</v>
      </c>
      <c r="B509" s="4" t="s">
        <v>104</v>
      </c>
      <c r="C509" s="3" t="s">
        <v>125</v>
      </c>
      <c r="D509" s="3" t="s">
        <v>16</v>
      </c>
      <c r="E509" s="3">
        <v>1388</v>
      </c>
      <c r="G509" s="57"/>
    </row>
    <row r="510" spans="1:7" ht="12.75" x14ac:dyDescent="0.2">
      <c r="A510" s="3">
        <v>81</v>
      </c>
      <c r="B510" s="4" t="s">
        <v>104</v>
      </c>
      <c r="C510" s="3" t="s">
        <v>125</v>
      </c>
      <c r="D510" s="3" t="s">
        <v>346</v>
      </c>
      <c r="E510" s="3">
        <v>24</v>
      </c>
      <c r="G510" s="57"/>
    </row>
    <row r="511" spans="1:7" ht="12.75" x14ac:dyDescent="0.2">
      <c r="A511" s="3">
        <v>81</v>
      </c>
      <c r="B511" s="4" t="s">
        <v>104</v>
      </c>
      <c r="C511" s="3" t="s">
        <v>125</v>
      </c>
      <c r="D511" s="3" t="s">
        <v>316</v>
      </c>
      <c r="E511" s="3">
        <v>644</v>
      </c>
      <c r="G511" s="57"/>
    </row>
    <row r="512" spans="1:7" ht="12.75" x14ac:dyDescent="0.2">
      <c r="A512" s="3">
        <v>81</v>
      </c>
      <c r="B512" s="4" t="s">
        <v>104</v>
      </c>
      <c r="C512" s="3" t="s">
        <v>125</v>
      </c>
      <c r="D512" s="3" t="s">
        <v>132</v>
      </c>
      <c r="E512" s="3">
        <v>592</v>
      </c>
      <c r="G512" s="57"/>
    </row>
    <row r="513" spans="1:7" ht="12.75" x14ac:dyDescent="0.2">
      <c r="A513" s="3">
        <v>81</v>
      </c>
      <c r="B513" s="4" t="s">
        <v>104</v>
      </c>
      <c r="C513" s="3" t="s">
        <v>125</v>
      </c>
      <c r="D513" s="3" t="s">
        <v>14</v>
      </c>
      <c r="E513" s="3">
        <v>448</v>
      </c>
      <c r="G513" s="57"/>
    </row>
    <row r="514" spans="1:7" ht="12.75" x14ac:dyDescent="0.2">
      <c r="A514" s="3">
        <v>81</v>
      </c>
      <c r="B514" s="4" t="s">
        <v>104</v>
      </c>
      <c r="C514" s="3" t="s">
        <v>125</v>
      </c>
      <c r="D514" s="3" t="s">
        <v>138</v>
      </c>
      <c r="E514" s="3">
        <v>14</v>
      </c>
      <c r="F514">
        <f>SUM(E508:E514)</f>
        <v>3163</v>
      </c>
      <c r="G514" s="57"/>
    </row>
    <row r="515" spans="1:7" ht="12.75" x14ac:dyDescent="0.2">
      <c r="A515" s="3">
        <v>82</v>
      </c>
      <c r="B515" s="4" t="s">
        <v>105</v>
      </c>
      <c r="C515" s="3" t="s">
        <v>125</v>
      </c>
      <c r="D515" s="3" t="s">
        <v>290</v>
      </c>
      <c r="E515" s="3">
        <v>91</v>
      </c>
      <c r="G515" s="59"/>
    </row>
    <row r="516" spans="1:7" ht="12.75" x14ac:dyDescent="0.2">
      <c r="A516" s="3">
        <v>82</v>
      </c>
      <c r="B516" s="4" t="s">
        <v>105</v>
      </c>
      <c r="C516" s="3" t="s">
        <v>125</v>
      </c>
      <c r="D516" s="3" t="s">
        <v>16</v>
      </c>
      <c r="E516" s="3">
        <v>2399</v>
      </c>
      <c r="G516" s="57"/>
    </row>
    <row r="517" spans="1:7" ht="12.75" x14ac:dyDescent="0.2">
      <c r="A517" s="3">
        <v>82</v>
      </c>
      <c r="B517" s="4" t="s">
        <v>105</v>
      </c>
      <c r="C517" s="3" t="s">
        <v>125</v>
      </c>
      <c r="D517" s="3" t="s">
        <v>346</v>
      </c>
      <c r="E517" s="3">
        <v>70</v>
      </c>
      <c r="G517" s="57"/>
    </row>
    <row r="518" spans="1:7" ht="12.75" x14ac:dyDescent="0.2">
      <c r="A518" s="3">
        <v>82</v>
      </c>
      <c r="B518" s="4" t="s">
        <v>105</v>
      </c>
      <c r="C518" s="3" t="s">
        <v>125</v>
      </c>
      <c r="D518" s="3" t="s">
        <v>316</v>
      </c>
      <c r="E518" s="3">
        <v>174</v>
      </c>
      <c r="G518" s="57"/>
    </row>
    <row r="519" spans="1:7" ht="12.75" x14ac:dyDescent="0.2">
      <c r="A519" s="3">
        <v>82</v>
      </c>
      <c r="B519" s="4" t="s">
        <v>105</v>
      </c>
      <c r="C519" s="3" t="s">
        <v>125</v>
      </c>
      <c r="D519" s="3" t="s">
        <v>132</v>
      </c>
      <c r="E519" s="3">
        <v>1431</v>
      </c>
      <c r="G519" s="57"/>
    </row>
    <row r="520" spans="1:7" ht="12.75" x14ac:dyDescent="0.2">
      <c r="A520" s="3">
        <v>82</v>
      </c>
      <c r="B520" s="4" t="s">
        <v>105</v>
      </c>
      <c r="C520" s="3" t="s">
        <v>125</v>
      </c>
      <c r="D520" s="3" t="s">
        <v>14</v>
      </c>
      <c r="E520" s="3">
        <v>861</v>
      </c>
      <c r="G520" s="57"/>
    </row>
    <row r="521" spans="1:7" ht="12.75" x14ac:dyDescent="0.2">
      <c r="A521" s="3">
        <v>82</v>
      </c>
      <c r="B521" s="4" t="s">
        <v>105</v>
      </c>
      <c r="C521" s="3" t="s">
        <v>125</v>
      </c>
      <c r="D521" s="3" t="s">
        <v>138</v>
      </c>
      <c r="E521" s="3">
        <v>59</v>
      </c>
      <c r="F521">
        <f>SUM(E515:E521)</f>
        <v>5085</v>
      </c>
      <c r="G521" s="57"/>
    </row>
    <row r="522" spans="1:7" ht="12.75" x14ac:dyDescent="0.2">
      <c r="A522" s="3">
        <v>83</v>
      </c>
      <c r="B522" s="4" t="s">
        <v>157</v>
      </c>
      <c r="C522" s="3" t="s">
        <v>125</v>
      </c>
      <c r="D522" s="3" t="s">
        <v>290</v>
      </c>
      <c r="E522" s="3">
        <v>0</v>
      </c>
      <c r="G522" s="59"/>
    </row>
    <row r="523" spans="1:7" ht="12.75" x14ac:dyDescent="0.2">
      <c r="A523" s="3">
        <v>83</v>
      </c>
      <c r="B523" s="4" t="s">
        <v>157</v>
      </c>
      <c r="C523" s="3" t="s">
        <v>125</v>
      </c>
      <c r="D523" s="3" t="s">
        <v>16</v>
      </c>
      <c r="E523" s="3">
        <v>0</v>
      </c>
      <c r="G523" s="57"/>
    </row>
    <row r="524" spans="1:7" ht="12.75" x14ac:dyDescent="0.2">
      <c r="A524" s="3">
        <v>83</v>
      </c>
      <c r="B524" s="4" t="s">
        <v>157</v>
      </c>
      <c r="C524" s="3" t="s">
        <v>125</v>
      </c>
      <c r="D524" s="3" t="s">
        <v>346</v>
      </c>
      <c r="E524" s="3">
        <v>0</v>
      </c>
      <c r="G524" s="57"/>
    </row>
    <row r="525" spans="1:7" ht="12.75" x14ac:dyDescent="0.2">
      <c r="A525" s="3">
        <v>83</v>
      </c>
      <c r="B525" s="4" t="s">
        <v>157</v>
      </c>
      <c r="C525" s="3" t="s">
        <v>125</v>
      </c>
      <c r="D525" s="3" t="s">
        <v>316</v>
      </c>
      <c r="E525" s="3">
        <v>0</v>
      </c>
      <c r="G525" s="57"/>
    </row>
    <row r="526" spans="1:7" ht="12.75" x14ac:dyDescent="0.2">
      <c r="A526" s="3">
        <v>83</v>
      </c>
      <c r="B526" s="4" t="s">
        <v>157</v>
      </c>
      <c r="C526" s="3" t="s">
        <v>125</v>
      </c>
      <c r="D526" s="3" t="s">
        <v>132</v>
      </c>
      <c r="E526" s="3">
        <v>2</v>
      </c>
      <c r="G526" s="57"/>
    </row>
    <row r="527" spans="1:7" ht="12.75" x14ac:dyDescent="0.2">
      <c r="A527" s="3">
        <v>83</v>
      </c>
      <c r="B527" s="4" t="s">
        <v>157</v>
      </c>
      <c r="C527" s="3" t="s">
        <v>125</v>
      </c>
      <c r="D527" s="3" t="s">
        <v>14</v>
      </c>
      <c r="E527" s="3">
        <v>2</v>
      </c>
      <c r="G527" s="57"/>
    </row>
    <row r="528" spans="1:7" ht="12.75" x14ac:dyDescent="0.2">
      <c r="A528" s="3">
        <v>83</v>
      </c>
      <c r="B528" s="4" t="s">
        <v>157</v>
      </c>
      <c r="C528" s="3" t="s">
        <v>125</v>
      </c>
      <c r="D528" s="3" t="s">
        <v>138</v>
      </c>
      <c r="E528" s="3">
        <v>0</v>
      </c>
      <c r="F528">
        <f>SUM(E522:E528)</f>
        <v>4</v>
      </c>
      <c r="G528" s="57"/>
    </row>
    <row r="529" spans="1:7" ht="12.75" x14ac:dyDescent="0.2">
      <c r="A529" s="3">
        <v>84</v>
      </c>
      <c r="B529" s="4" t="s">
        <v>158</v>
      </c>
      <c r="C529" s="3" t="s">
        <v>125</v>
      </c>
      <c r="D529" s="3" t="s">
        <v>290</v>
      </c>
      <c r="E529" s="3">
        <v>1</v>
      </c>
      <c r="G529" s="59"/>
    </row>
    <row r="530" spans="1:7" ht="12.75" x14ac:dyDescent="0.2">
      <c r="A530" s="3">
        <v>84</v>
      </c>
      <c r="B530" s="4" t="s">
        <v>158</v>
      </c>
      <c r="C530" s="3" t="s">
        <v>125</v>
      </c>
      <c r="D530" s="3" t="s">
        <v>16</v>
      </c>
      <c r="E530" s="3">
        <v>9</v>
      </c>
      <c r="G530" s="57"/>
    </row>
    <row r="531" spans="1:7" ht="12.75" x14ac:dyDescent="0.2">
      <c r="A531" s="3">
        <v>84</v>
      </c>
      <c r="B531" s="4" t="s">
        <v>158</v>
      </c>
      <c r="C531" s="3" t="s">
        <v>125</v>
      </c>
      <c r="D531" s="3" t="s">
        <v>346</v>
      </c>
      <c r="E531" s="3">
        <v>0</v>
      </c>
      <c r="G531" s="57"/>
    </row>
    <row r="532" spans="1:7" ht="12.75" x14ac:dyDescent="0.2">
      <c r="A532" s="3">
        <v>84</v>
      </c>
      <c r="B532" s="4" t="s">
        <v>158</v>
      </c>
      <c r="C532" s="3" t="s">
        <v>125</v>
      </c>
      <c r="D532" s="3" t="s">
        <v>316</v>
      </c>
      <c r="E532" s="3">
        <v>0</v>
      </c>
      <c r="G532" s="57"/>
    </row>
    <row r="533" spans="1:7" ht="12.75" x14ac:dyDescent="0.2">
      <c r="A533" s="3">
        <v>84</v>
      </c>
      <c r="B533" s="4" t="s">
        <v>158</v>
      </c>
      <c r="C533" s="3" t="s">
        <v>125</v>
      </c>
      <c r="D533" s="3" t="s">
        <v>132</v>
      </c>
      <c r="E533" s="3">
        <v>4</v>
      </c>
      <c r="G533" s="57"/>
    </row>
    <row r="534" spans="1:7" ht="12.75" x14ac:dyDescent="0.2">
      <c r="A534" s="3">
        <v>84</v>
      </c>
      <c r="B534" s="4" t="s">
        <v>158</v>
      </c>
      <c r="C534" s="3" t="s">
        <v>125</v>
      </c>
      <c r="D534" s="3" t="s">
        <v>14</v>
      </c>
      <c r="E534" s="3">
        <v>2</v>
      </c>
      <c r="G534" s="57"/>
    </row>
    <row r="535" spans="1:7" ht="12.75" x14ac:dyDescent="0.2">
      <c r="A535" s="3">
        <v>84</v>
      </c>
      <c r="B535" s="4" t="s">
        <v>158</v>
      </c>
      <c r="C535" s="3" t="s">
        <v>125</v>
      </c>
      <c r="D535" s="3" t="s">
        <v>138</v>
      </c>
      <c r="E535" s="3">
        <v>0</v>
      </c>
      <c r="F535">
        <f>SUM(E529:E535)</f>
        <v>16</v>
      </c>
      <c r="G535" s="57"/>
    </row>
    <row r="536" spans="1:7" ht="12.75" x14ac:dyDescent="0.2">
      <c r="A536" s="3">
        <v>85</v>
      </c>
      <c r="B536" s="4" t="s">
        <v>159</v>
      </c>
      <c r="C536" s="3" t="s">
        <v>125</v>
      </c>
      <c r="D536" s="3" t="s">
        <v>290</v>
      </c>
      <c r="E536" s="3">
        <v>0</v>
      </c>
      <c r="G536" s="59"/>
    </row>
    <row r="537" spans="1:7" ht="12.75" x14ac:dyDescent="0.2">
      <c r="A537" s="3">
        <v>85</v>
      </c>
      <c r="B537" s="4" t="s">
        <v>159</v>
      </c>
      <c r="C537" s="3" t="s">
        <v>125</v>
      </c>
      <c r="D537" s="3" t="s">
        <v>16</v>
      </c>
      <c r="E537" s="3">
        <v>1</v>
      </c>
      <c r="G537" s="57"/>
    </row>
    <row r="538" spans="1:7" ht="12.75" x14ac:dyDescent="0.2">
      <c r="A538" s="3">
        <v>85</v>
      </c>
      <c r="B538" s="4" t="s">
        <v>159</v>
      </c>
      <c r="C538" s="3" t="s">
        <v>125</v>
      </c>
      <c r="D538" s="3" t="s">
        <v>346</v>
      </c>
      <c r="E538" s="3">
        <v>0</v>
      </c>
      <c r="G538" s="57"/>
    </row>
    <row r="539" spans="1:7" ht="12.75" x14ac:dyDescent="0.2">
      <c r="A539" s="3">
        <v>85</v>
      </c>
      <c r="B539" s="4" t="s">
        <v>159</v>
      </c>
      <c r="C539" s="3" t="s">
        <v>125</v>
      </c>
      <c r="D539" s="3" t="s">
        <v>316</v>
      </c>
      <c r="E539" s="3">
        <v>0</v>
      </c>
      <c r="G539" s="57"/>
    </row>
    <row r="540" spans="1:7" ht="12.75" x14ac:dyDescent="0.2">
      <c r="A540" s="3">
        <v>85</v>
      </c>
      <c r="B540" s="4" t="s">
        <v>159</v>
      </c>
      <c r="C540" s="3" t="s">
        <v>125</v>
      </c>
      <c r="D540" s="3" t="s">
        <v>132</v>
      </c>
      <c r="E540" s="3">
        <v>1</v>
      </c>
      <c r="G540" s="57"/>
    </row>
    <row r="541" spans="1:7" ht="12.75" x14ac:dyDescent="0.2">
      <c r="A541" s="3">
        <v>85</v>
      </c>
      <c r="B541" s="4" t="s">
        <v>159</v>
      </c>
      <c r="C541" s="3" t="s">
        <v>125</v>
      </c>
      <c r="D541" s="3" t="s">
        <v>14</v>
      </c>
      <c r="E541" s="3">
        <v>1</v>
      </c>
      <c r="G541" s="57"/>
    </row>
    <row r="542" spans="1:7" ht="12.75" x14ac:dyDescent="0.2">
      <c r="A542" s="3">
        <v>85</v>
      </c>
      <c r="B542" s="4" t="s">
        <v>159</v>
      </c>
      <c r="C542" s="3" t="s">
        <v>125</v>
      </c>
      <c r="D542" s="3" t="s">
        <v>138</v>
      </c>
      <c r="E542" s="3">
        <v>0</v>
      </c>
      <c r="F542">
        <f>SUM(E536:E542)</f>
        <v>3</v>
      </c>
      <c r="G542" s="57"/>
    </row>
    <row r="543" spans="1:7" ht="12.75" x14ac:dyDescent="0.2">
      <c r="A543" s="3">
        <v>86</v>
      </c>
      <c r="B543" s="4" t="s">
        <v>106</v>
      </c>
      <c r="C543" s="3" t="s">
        <v>125</v>
      </c>
      <c r="D543" s="3" t="s">
        <v>290</v>
      </c>
      <c r="E543" s="3">
        <v>161</v>
      </c>
      <c r="G543" s="59"/>
    </row>
    <row r="544" spans="1:7" ht="12.75" x14ac:dyDescent="0.2">
      <c r="A544" s="3">
        <v>86</v>
      </c>
      <c r="B544" s="4" t="s">
        <v>106</v>
      </c>
      <c r="C544" s="3" t="s">
        <v>125</v>
      </c>
      <c r="D544" s="3" t="s">
        <v>16</v>
      </c>
      <c r="E544" s="3">
        <v>3301</v>
      </c>
      <c r="G544" s="57"/>
    </row>
    <row r="545" spans="1:7" ht="12.75" x14ac:dyDescent="0.2">
      <c r="A545" s="3">
        <v>86</v>
      </c>
      <c r="B545" s="4" t="s">
        <v>106</v>
      </c>
      <c r="C545" s="3" t="s">
        <v>125</v>
      </c>
      <c r="D545" s="3" t="s">
        <v>346</v>
      </c>
      <c r="E545" s="3">
        <v>71</v>
      </c>
      <c r="G545" s="57"/>
    </row>
    <row r="546" spans="1:7" ht="12.75" x14ac:dyDescent="0.2">
      <c r="A546" s="3">
        <v>86</v>
      </c>
      <c r="B546" s="4" t="s">
        <v>106</v>
      </c>
      <c r="C546" s="3" t="s">
        <v>125</v>
      </c>
      <c r="D546" s="3" t="s">
        <v>316</v>
      </c>
      <c r="E546" s="3">
        <v>260</v>
      </c>
      <c r="G546" s="57"/>
    </row>
    <row r="547" spans="1:7" ht="12.75" x14ac:dyDescent="0.2">
      <c r="A547" s="3">
        <v>86</v>
      </c>
      <c r="B547" s="4" t="s">
        <v>106</v>
      </c>
      <c r="C547" s="3" t="s">
        <v>125</v>
      </c>
      <c r="D547" s="3" t="s">
        <v>132</v>
      </c>
      <c r="E547" s="3">
        <v>1196</v>
      </c>
      <c r="G547" s="57"/>
    </row>
    <row r="548" spans="1:7" ht="12.75" x14ac:dyDescent="0.2">
      <c r="A548" s="3">
        <v>86</v>
      </c>
      <c r="B548" s="4" t="s">
        <v>106</v>
      </c>
      <c r="C548" s="3" t="s">
        <v>125</v>
      </c>
      <c r="D548" s="3" t="s">
        <v>14</v>
      </c>
      <c r="E548" s="3">
        <v>1390</v>
      </c>
      <c r="G548" s="57"/>
    </row>
    <row r="549" spans="1:7" ht="12.75" x14ac:dyDescent="0.2">
      <c r="A549" s="3">
        <v>86</v>
      </c>
      <c r="B549" s="4" t="s">
        <v>106</v>
      </c>
      <c r="C549" s="3" t="s">
        <v>125</v>
      </c>
      <c r="D549" s="3" t="s">
        <v>138</v>
      </c>
      <c r="E549" s="3">
        <v>23</v>
      </c>
      <c r="F549">
        <f>SUM(E543:E549)</f>
        <v>6402</v>
      </c>
      <c r="G549" s="57"/>
    </row>
    <row r="550" spans="1:7" ht="12.75" x14ac:dyDescent="0.2">
      <c r="A550" s="3">
        <v>87</v>
      </c>
      <c r="B550" s="4" t="s">
        <v>107</v>
      </c>
      <c r="C550" s="3" t="s">
        <v>125</v>
      </c>
      <c r="D550" s="3" t="s">
        <v>290</v>
      </c>
      <c r="E550" s="3">
        <v>18</v>
      </c>
      <c r="G550" s="59"/>
    </row>
    <row r="551" spans="1:7" ht="12.75" x14ac:dyDescent="0.2">
      <c r="A551" s="3">
        <v>87</v>
      </c>
      <c r="B551" s="4" t="s">
        <v>107</v>
      </c>
      <c r="C551" s="3" t="s">
        <v>125</v>
      </c>
      <c r="D551" s="3" t="s">
        <v>16</v>
      </c>
      <c r="E551" s="3">
        <v>368</v>
      </c>
      <c r="G551" s="57"/>
    </row>
    <row r="552" spans="1:7" ht="12.75" x14ac:dyDescent="0.2">
      <c r="A552" s="3">
        <v>87</v>
      </c>
      <c r="B552" s="4" t="s">
        <v>107</v>
      </c>
      <c r="C552" s="3" t="s">
        <v>125</v>
      </c>
      <c r="D552" s="3" t="s">
        <v>346</v>
      </c>
      <c r="E552" s="3">
        <v>7</v>
      </c>
      <c r="G552" s="57"/>
    </row>
    <row r="553" spans="1:7" ht="12.75" x14ac:dyDescent="0.2">
      <c r="A553" s="3">
        <v>87</v>
      </c>
      <c r="B553" s="4" t="s">
        <v>107</v>
      </c>
      <c r="C553" s="3" t="s">
        <v>125</v>
      </c>
      <c r="D553" s="3" t="s">
        <v>316</v>
      </c>
      <c r="E553" s="3">
        <v>16</v>
      </c>
      <c r="G553" s="57"/>
    </row>
    <row r="554" spans="1:7" ht="12.75" x14ac:dyDescent="0.2">
      <c r="A554" s="3">
        <v>87</v>
      </c>
      <c r="B554" s="4" t="s">
        <v>107</v>
      </c>
      <c r="C554" s="3" t="s">
        <v>125</v>
      </c>
      <c r="D554" s="3" t="s">
        <v>132</v>
      </c>
      <c r="E554" s="3">
        <v>319</v>
      </c>
      <c r="G554" s="57"/>
    </row>
    <row r="555" spans="1:7" ht="12.75" x14ac:dyDescent="0.2">
      <c r="A555" s="3">
        <v>87</v>
      </c>
      <c r="B555" s="4" t="s">
        <v>107</v>
      </c>
      <c r="C555" s="3" t="s">
        <v>125</v>
      </c>
      <c r="D555" s="3" t="s">
        <v>14</v>
      </c>
      <c r="E555" s="3">
        <v>125</v>
      </c>
      <c r="G555" s="57"/>
    </row>
    <row r="556" spans="1:7" ht="16.5" customHeight="1" x14ac:dyDescent="0.2">
      <c r="A556" s="3">
        <v>87</v>
      </c>
      <c r="B556" s="4" t="s">
        <v>107</v>
      </c>
      <c r="C556" s="3" t="s">
        <v>125</v>
      </c>
      <c r="D556" s="3" t="s">
        <v>138</v>
      </c>
      <c r="E556" s="3">
        <v>0</v>
      </c>
      <c r="F556">
        <f>SUM(E550:E556)</f>
        <v>853</v>
      </c>
      <c r="G556" s="57"/>
    </row>
    <row r="557" spans="1:7" ht="12.75" x14ac:dyDescent="0.2">
      <c r="A557" s="3">
        <v>88</v>
      </c>
      <c r="B557" s="4" t="s">
        <v>108</v>
      </c>
      <c r="C557" s="3" t="s">
        <v>125</v>
      </c>
      <c r="D557" s="3" t="s">
        <v>290</v>
      </c>
      <c r="E557" s="3">
        <v>6</v>
      </c>
      <c r="G557" s="59"/>
    </row>
    <row r="558" spans="1:7" ht="12.75" x14ac:dyDescent="0.2">
      <c r="A558" s="3">
        <v>88</v>
      </c>
      <c r="B558" s="4" t="s">
        <v>108</v>
      </c>
      <c r="C558" s="3" t="s">
        <v>125</v>
      </c>
      <c r="D558" s="3" t="s">
        <v>16</v>
      </c>
      <c r="E558" s="3">
        <v>160</v>
      </c>
      <c r="G558" s="57"/>
    </row>
    <row r="559" spans="1:7" ht="12.75" x14ac:dyDescent="0.2">
      <c r="A559" s="3">
        <v>88</v>
      </c>
      <c r="B559" s="4" t="s">
        <v>108</v>
      </c>
      <c r="C559" s="3" t="s">
        <v>125</v>
      </c>
      <c r="D559" s="3" t="s">
        <v>346</v>
      </c>
      <c r="E559" s="3">
        <v>0</v>
      </c>
      <c r="G559" s="57"/>
    </row>
    <row r="560" spans="1:7" ht="12.75" x14ac:dyDescent="0.2">
      <c r="A560" s="3">
        <v>88</v>
      </c>
      <c r="B560" s="4" t="s">
        <v>108</v>
      </c>
      <c r="C560" s="3" t="s">
        <v>125</v>
      </c>
      <c r="D560" s="3" t="s">
        <v>316</v>
      </c>
      <c r="E560" s="3">
        <v>15</v>
      </c>
      <c r="G560" s="57"/>
    </row>
    <row r="561" spans="1:7" ht="12.75" x14ac:dyDescent="0.2">
      <c r="A561" s="3">
        <v>88</v>
      </c>
      <c r="B561" s="4" t="s">
        <v>108</v>
      </c>
      <c r="C561" s="3" t="s">
        <v>125</v>
      </c>
      <c r="D561" s="3" t="s">
        <v>132</v>
      </c>
      <c r="E561" s="3">
        <v>187</v>
      </c>
      <c r="G561" s="57"/>
    </row>
    <row r="562" spans="1:7" ht="12.75" x14ac:dyDescent="0.2">
      <c r="A562" s="3">
        <v>88</v>
      </c>
      <c r="B562" s="4" t="s">
        <v>108</v>
      </c>
      <c r="C562" s="3" t="s">
        <v>125</v>
      </c>
      <c r="D562" s="3" t="s">
        <v>14</v>
      </c>
      <c r="E562" s="3">
        <v>117</v>
      </c>
      <c r="G562" s="57"/>
    </row>
    <row r="563" spans="1:7" ht="12.75" x14ac:dyDescent="0.2">
      <c r="A563" s="3">
        <v>88</v>
      </c>
      <c r="B563" s="4" t="s">
        <v>108</v>
      </c>
      <c r="C563" s="3" t="s">
        <v>125</v>
      </c>
      <c r="D563" s="3" t="s">
        <v>138</v>
      </c>
      <c r="E563" s="3">
        <v>0</v>
      </c>
      <c r="F563">
        <f>SUM(E557:E563)</f>
        <v>485</v>
      </c>
      <c r="G563" s="57"/>
    </row>
    <row r="564" spans="1:7" ht="12.75" x14ac:dyDescent="0.2">
      <c r="A564" s="3">
        <v>89</v>
      </c>
      <c r="B564" s="4" t="s">
        <v>109</v>
      </c>
      <c r="C564" s="3" t="s">
        <v>125</v>
      </c>
      <c r="D564" s="3" t="s">
        <v>290</v>
      </c>
      <c r="E564" s="3">
        <v>35</v>
      </c>
      <c r="G564" s="59"/>
    </row>
    <row r="565" spans="1:7" ht="12.75" x14ac:dyDescent="0.2">
      <c r="A565" s="3">
        <v>89</v>
      </c>
      <c r="B565" s="4" t="s">
        <v>109</v>
      </c>
      <c r="C565" s="3" t="s">
        <v>125</v>
      </c>
      <c r="D565" s="3" t="s">
        <v>16</v>
      </c>
      <c r="E565" s="3">
        <v>1283</v>
      </c>
      <c r="G565" s="57"/>
    </row>
    <row r="566" spans="1:7" ht="12.75" x14ac:dyDescent="0.2">
      <c r="A566" s="3">
        <v>89</v>
      </c>
      <c r="B566" s="4" t="s">
        <v>109</v>
      </c>
      <c r="C566" s="3" t="s">
        <v>125</v>
      </c>
      <c r="D566" s="3" t="s">
        <v>346</v>
      </c>
      <c r="E566" s="3">
        <v>11</v>
      </c>
      <c r="G566" s="57"/>
    </row>
    <row r="567" spans="1:7" ht="12.75" x14ac:dyDescent="0.2">
      <c r="A567" s="3">
        <v>89</v>
      </c>
      <c r="B567" s="4" t="s">
        <v>109</v>
      </c>
      <c r="C567" s="3" t="s">
        <v>125</v>
      </c>
      <c r="D567" s="3" t="s">
        <v>316</v>
      </c>
      <c r="E567" s="3">
        <v>73</v>
      </c>
      <c r="G567" s="57"/>
    </row>
    <row r="568" spans="1:7" ht="12.75" x14ac:dyDescent="0.2">
      <c r="A568" s="3">
        <v>89</v>
      </c>
      <c r="B568" s="4" t="s">
        <v>109</v>
      </c>
      <c r="C568" s="3" t="s">
        <v>125</v>
      </c>
      <c r="D568" s="3" t="s">
        <v>132</v>
      </c>
      <c r="E568" s="3">
        <v>751</v>
      </c>
      <c r="G568" s="57"/>
    </row>
    <row r="569" spans="1:7" ht="12.75" x14ac:dyDescent="0.2">
      <c r="A569" s="3">
        <v>89</v>
      </c>
      <c r="B569" s="4" t="s">
        <v>109</v>
      </c>
      <c r="C569" s="3" t="s">
        <v>125</v>
      </c>
      <c r="D569" s="3" t="s">
        <v>14</v>
      </c>
      <c r="E569" s="3">
        <v>265</v>
      </c>
      <c r="G569" s="57"/>
    </row>
    <row r="570" spans="1:7" ht="12.75" x14ac:dyDescent="0.2">
      <c r="A570" s="3">
        <v>89</v>
      </c>
      <c r="B570" s="4" t="s">
        <v>109</v>
      </c>
      <c r="C570" s="3" t="s">
        <v>125</v>
      </c>
      <c r="D570" s="3" t="s">
        <v>138</v>
      </c>
      <c r="E570" s="3">
        <v>18</v>
      </c>
      <c r="F570">
        <f>SUM(E564:E570)</f>
        <v>2436</v>
      </c>
      <c r="G570" s="57"/>
    </row>
    <row r="571" spans="1:7" ht="12.75" x14ac:dyDescent="0.2">
      <c r="A571" s="3">
        <v>90</v>
      </c>
      <c r="B571" s="4" t="s">
        <v>110</v>
      </c>
      <c r="C571" s="3" t="s">
        <v>125</v>
      </c>
      <c r="D571" s="3" t="s">
        <v>290</v>
      </c>
      <c r="E571" s="3">
        <v>9</v>
      </c>
      <c r="G571" s="59"/>
    </row>
    <row r="572" spans="1:7" ht="12.75" x14ac:dyDescent="0.2">
      <c r="A572" s="3">
        <v>90</v>
      </c>
      <c r="B572" s="4" t="s">
        <v>110</v>
      </c>
      <c r="C572" s="3" t="s">
        <v>125</v>
      </c>
      <c r="D572" s="3" t="s">
        <v>16</v>
      </c>
      <c r="E572" s="3">
        <v>160</v>
      </c>
      <c r="G572" s="57"/>
    </row>
    <row r="573" spans="1:7" ht="12.75" x14ac:dyDescent="0.2">
      <c r="A573" s="3">
        <v>90</v>
      </c>
      <c r="B573" s="4" t="s">
        <v>110</v>
      </c>
      <c r="C573" s="3" t="s">
        <v>125</v>
      </c>
      <c r="D573" s="3" t="s">
        <v>346</v>
      </c>
      <c r="E573" s="3">
        <v>1</v>
      </c>
      <c r="G573" s="57"/>
    </row>
    <row r="574" spans="1:7" ht="12.75" x14ac:dyDescent="0.2">
      <c r="A574" s="3">
        <v>90</v>
      </c>
      <c r="B574" s="4" t="s">
        <v>110</v>
      </c>
      <c r="C574" s="3" t="s">
        <v>125</v>
      </c>
      <c r="D574" s="3" t="s">
        <v>316</v>
      </c>
      <c r="E574" s="3">
        <v>9</v>
      </c>
      <c r="G574" s="57"/>
    </row>
    <row r="575" spans="1:7" ht="12.75" x14ac:dyDescent="0.2">
      <c r="A575" s="3">
        <v>90</v>
      </c>
      <c r="B575" s="4" t="s">
        <v>110</v>
      </c>
      <c r="C575" s="3" t="s">
        <v>125</v>
      </c>
      <c r="D575" s="3" t="s">
        <v>132</v>
      </c>
      <c r="E575" s="3">
        <v>132</v>
      </c>
      <c r="G575" s="57"/>
    </row>
    <row r="576" spans="1:7" ht="12.75" x14ac:dyDescent="0.2">
      <c r="A576" s="3">
        <v>90</v>
      </c>
      <c r="B576" s="4" t="s">
        <v>110</v>
      </c>
      <c r="C576" s="3" t="s">
        <v>125</v>
      </c>
      <c r="D576" s="3" t="s">
        <v>14</v>
      </c>
      <c r="E576" s="3">
        <v>255</v>
      </c>
      <c r="G576" s="57"/>
    </row>
    <row r="577" spans="1:7" ht="12.75" x14ac:dyDescent="0.2">
      <c r="A577" s="3">
        <v>90</v>
      </c>
      <c r="B577" s="4" t="s">
        <v>110</v>
      </c>
      <c r="C577" s="3" t="s">
        <v>125</v>
      </c>
      <c r="D577" s="3" t="s">
        <v>138</v>
      </c>
      <c r="E577" s="3">
        <v>0</v>
      </c>
      <c r="F577">
        <f>SUM(E571:E577)</f>
        <v>566</v>
      </c>
      <c r="G577" s="57"/>
    </row>
    <row r="578" spans="1:7" ht="12.75" x14ac:dyDescent="0.2">
      <c r="A578" s="3">
        <v>91</v>
      </c>
      <c r="B578" s="4" t="s">
        <v>111</v>
      </c>
      <c r="C578" s="3" t="s">
        <v>125</v>
      </c>
      <c r="D578" s="3" t="s">
        <v>290</v>
      </c>
      <c r="E578" s="3">
        <v>6</v>
      </c>
      <c r="G578" s="59"/>
    </row>
    <row r="579" spans="1:7" ht="12.75" x14ac:dyDescent="0.2">
      <c r="A579" s="3">
        <v>91</v>
      </c>
      <c r="B579" s="4" t="s">
        <v>111</v>
      </c>
      <c r="C579" s="3" t="s">
        <v>125</v>
      </c>
      <c r="D579" s="3" t="s">
        <v>16</v>
      </c>
      <c r="E579" s="3">
        <v>112</v>
      </c>
      <c r="G579" s="57"/>
    </row>
    <row r="580" spans="1:7" ht="12.75" x14ac:dyDescent="0.2">
      <c r="A580" s="3">
        <v>91</v>
      </c>
      <c r="B580" s="4" t="s">
        <v>111</v>
      </c>
      <c r="C580" s="3" t="s">
        <v>125</v>
      </c>
      <c r="D580" s="3" t="s">
        <v>346</v>
      </c>
      <c r="E580" s="3">
        <v>0</v>
      </c>
      <c r="G580" s="57"/>
    </row>
    <row r="581" spans="1:7" ht="12.75" x14ac:dyDescent="0.2">
      <c r="A581" s="3">
        <v>91</v>
      </c>
      <c r="B581" s="4" t="s">
        <v>111</v>
      </c>
      <c r="C581" s="3" t="s">
        <v>125</v>
      </c>
      <c r="D581" s="3" t="s">
        <v>316</v>
      </c>
      <c r="E581" s="3">
        <v>5</v>
      </c>
      <c r="G581" s="57"/>
    </row>
    <row r="582" spans="1:7" ht="12.75" x14ac:dyDescent="0.2">
      <c r="A582" s="3">
        <v>91</v>
      </c>
      <c r="B582" s="4" t="s">
        <v>111</v>
      </c>
      <c r="C582" s="3" t="s">
        <v>125</v>
      </c>
      <c r="D582" s="3" t="s">
        <v>132</v>
      </c>
      <c r="E582" s="3">
        <v>74</v>
      </c>
      <c r="G582" s="57"/>
    </row>
    <row r="583" spans="1:7" ht="12.75" x14ac:dyDescent="0.2">
      <c r="A583" s="3">
        <v>91</v>
      </c>
      <c r="B583" s="4" t="s">
        <v>111</v>
      </c>
      <c r="C583" s="3" t="s">
        <v>125</v>
      </c>
      <c r="D583" s="3" t="s">
        <v>14</v>
      </c>
      <c r="E583" s="3">
        <v>72</v>
      </c>
      <c r="G583" s="57"/>
    </row>
    <row r="584" spans="1:7" ht="12.75" x14ac:dyDescent="0.2">
      <c r="A584" s="3">
        <v>91</v>
      </c>
      <c r="B584" s="4" t="s">
        <v>111</v>
      </c>
      <c r="C584" s="3" t="s">
        <v>125</v>
      </c>
      <c r="D584" s="3" t="s">
        <v>138</v>
      </c>
      <c r="E584" s="3">
        <v>1</v>
      </c>
      <c r="F584">
        <f>SUM(E578:E584)</f>
        <v>270</v>
      </c>
      <c r="G584" s="57"/>
    </row>
    <row r="585" spans="1:7" ht="12.75" x14ac:dyDescent="0.2">
      <c r="A585" s="3">
        <v>92</v>
      </c>
      <c r="B585" s="4" t="s">
        <v>112</v>
      </c>
      <c r="C585" s="3" t="s">
        <v>125</v>
      </c>
      <c r="D585" s="3" t="s">
        <v>290</v>
      </c>
      <c r="E585" s="3">
        <v>0</v>
      </c>
      <c r="G585" s="59"/>
    </row>
    <row r="586" spans="1:7" ht="12.75" x14ac:dyDescent="0.2">
      <c r="A586" s="3">
        <v>92</v>
      </c>
      <c r="B586" s="4" t="s">
        <v>112</v>
      </c>
      <c r="C586" s="3" t="s">
        <v>125</v>
      </c>
      <c r="D586" s="3" t="s">
        <v>16</v>
      </c>
      <c r="E586" s="3">
        <v>121</v>
      </c>
      <c r="G586" s="57"/>
    </row>
    <row r="587" spans="1:7" ht="12.75" x14ac:dyDescent="0.2">
      <c r="A587" s="3">
        <v>92</v>
      </c>
      <c r="B587" s="4" t="s">
        <v>112</v>
      </c>
      <c r="C587" s="3" t="s">
        <v>125</v>
      </c>
      <c r="D587" s="3" t="s">
        <v>346</v>
      </c>
      <c r="E587" s="3">
        <v>1</v>
      </c>
      <c r="G587" s="57"/>
    </row>
    <row r="588" spans="1:7" ht="12.75" x14ac:dyDescent="0.2">
      <c r="A588" s="3">
        <v>92</v>
      </c>
      <c r="B588" s="4" t="s">
        <v>112</v>
      </c>
      <c r="C588" s="3" t="s">
        <v>125</v>
      </c>
      <c r="D588" s="3" t="s">
        <v>316</v>
      </c>
      <c r="E588" s="3">
        <v>1</v>
      </c>
      <c r="G588" s="57"/>
    </row>
    <row r="589" spans="1:7" ht="12.75" x14ac:dyDescent="0.2">
      <c r="A589" s="3">
        <v>92</v>
      </c>
      <c r="B589" s="4" t="s">
        <v>112</v>
      </c>
      <c r="C589" s="3" t="s">
        <v>125</v>
      </c>
      <c r="D589" s="3" t="s">
        <v>132</v>
      </c>
      <c r="E589" s="3">
        <v>69</v>
      </c>
      <c r="G589" s="57"/>
    </row>
    <row r="590" spans="1:7" ht="12.75" x14ac:dyDescent="0.2">
      <c r="A590" s="3">
        <v>92</v>
      </c>
      <c r="B590" s="4" t="s">
        <v>112</v>
      </c>
      <c r="C590" s="3" t="s">
        <v>125</v>
      </c>
      <c r="D590" s="3" t="s">
        <v>14</v>
      </c>
      <c r="E590" s="3">
        <v>31</v>
      </c>
      <c r="G590" s="57"/>
    </row>
    <row r="591" spans="1:7" ht="12.75" x14ac:dyDescent="0.2">
      <c r="A591" s="3">
        <v>92</v>
      </c>
      <c r="B591" s="4" t="s">
        <v>112</v>
      </c>
      <c r="C591" s="3" t="s">
        <v>125</v>
      </c>
      <c r="D591" s="3" t="s">
        <v>138</v>
      </c>
      <c r="E591" s="3">
        <v>0</v>
      </c>
      <c r="F591">
        <f>SUM(E585:E591)</f>
        <v>223</v>
      </c>
      <c r="G591" s="57"/>
    </row>
    <row r="592" spans="1:7" ht="12.75" x14ac:dyDescent="0.2">
      <c r="A592" s="3">
        <v>93</v>
      </c>
      <c r="B592" s="4" t="s">
        <v>113</v>
      </c>
      <c r="C592" s="3" t="s">
        <v>125</v>
      </c>
      <c r="D592" s="3" t="s">
        <v>290</v>
      </c>
      <c r="E592" s="3">
        <v>100</v>
      </c>
      <c r="G592" s="59"/>
    </row>
    <row r="593" spans="1:7" ht="12.75" x14ac:dyDescent="0.2">
      <c r="A593" s="3">
        <v>93</v>
      </c>
      <c r="B593" s="4" t="s">
        <v>113</v>
      </c>
      <c r="C593" s="3" t="s">
        <v>125</v>
      </c>
      <c r="D593" s="3" t="s">
        <v>16</v>
      </c>
      <c r="E593" s="3">
        <v>2629</v>
      </c>
      <c r="G593" s="57"/>
    </row>
    <row r="594" spans="1:7" ht="12.75" x14ac:dyDescent="0.2">
      <c r="A594" s="3">
        <v>93</v>
      </c>
      <c r="B594" s="4" t="s">
        <v>113</v>
      </c>
      <c r="C594" s="3" t="s">
        <v>125</v>
      </c>
      <c r="D594" s="3" t="s">
        <v>346</v>
      </c>
      <c r="E594" s="3">
        <v>68</v>
      </c>
      <c r="G594" s="57"/>
    </row>
    <row r="595" spans="1:7" ht="12.75" x14ac:dyDescent="0.2">
      <c r="A595" s="3">
        <v>93</v>
      </c>
      <c r="B595" s="4" t="s">
        <v>113</v>
      </c>
      <c r="C595" s="3" t="s">
        <v>125</v>
      </c>
      <c r="D595" s="3" t="s">
        <v>316</v>
      </c>
      <c r="E595" s="3">
        <v>271</v>
      </c>
      <c r="G595" s="57"/>
    </row>
    <row r="596" spans="1:7" ht="12.75" x14ac:dyDescent="0.2">
      <c r="A596" s="3">
        <v>93</v>
      </c>
      <c r="B596" s="4" t="s">
        <v>113</v>
      </c>
      <c r="C596" s="3" t="s">
        <v>125</v>
      </c>
      <c r="D596" s="3" t="s">
        <v>132</v>
      </c>
      <c r="E596" s="3">
        <v>1286</v>
      </c>
      <c r="G596" s="57"/>
    </row>
    <row r="597" spans="1:7" ht="12.75" x14ac:dyDescent="0.2">
      <c r="A597" s="3">
        <v>93</v>
      </c>
      <c r="B597" s="4" t="s">
        <v>113</v>
      </c>
      <c r="C597" s="3" t="s">
        <v>125</v>
      </c>
      <c r="D597" s="3" t="s">
        <v>14</v>
      </c>
      <c r="E597" s="3">
        <v>3922</v>
      </c>
      <c r="G597" s="57"/>
    </row>
    <row r="598" spans="1:7" ht="12.75" x14ac:dyDescent="0.2">
      <c r="A598" s="3">
        <v>93</v>
      </c>
      <c r="B598" s="4" t="s">
        <v>113</v>
      </c>
      <c r="C598" s="3" t="s">
        <v>125</v>
      </c>
      <c r="D598" s="3" t="s">
        <v>138</v>
      </c>
      <c r="E598" s="3">
        <v>42</v>
      </c>
      <c r="F598">
        <f>SUM(E592:E598)</f>
        <v>8318</v>
      </c>
      <c r="G598" s="57"/>
    </row>
    <row r="599" spans="1:7" ht="12.75" x14ac:dyDescent="0.2">
      <c r="A599" s="3">
        <v>94</v>
      </c>
      <c r="B599" s="4" t="s">
        <v>114</v>
      </c>
      <c r="C599" s="3" t="s">
        <v>125</v>
      </c>
      <c r="D599" s="3" t="s">
        <v>290</v>
      </c>
      <c r="E599" s="3">
        <v>2</v>
      </c>
      <c r="G599" s="59"/>
    </row>
    <row r="600" spans="1:7" ht="12.75" x14ac:dyDescent="0.2">
      <c r="A600" s="3">
        <v>94</v>
      </c>
      <c r="B600" s="4" t="s">
        <v>114</v>
      </c>
      <c r="C600" s="3" t="s">
        <v>125</v>
      </c>
      <c r="D600" s="3" t="s">
        <v>16</v>
      </c>
      <c r="E600" s="3">
        <v>185</v>
      </c>
      <c r="G600" s="57"/>
    </row>
    <row r="601" spans="1:7" ht="12.75" x14ac:dyDescent="0.2">
      <c r="A601" s="3">
        <v>94</v>
      </c>
      <c r="B601" s="4" t="s">
        <v>114</v>
      </c>
      <c r="C601" s="3" t="s">
        <v>125</v>
      </c>
      <c r="D601" s="3" t="s">
        <v>346</v>
      </c>
      <c r="E601" s="3">
        <v>4</v>
      </c>
      <c r="G601" s="57"/>
    </row>
    <row r="602" spans="1:7" ht="12.75" x14ac:dyDescent="0.2">
      <c r="A602" s="3">
        <v>94</v>
      </c>
      <c r="B602" s="4" t="s">
        <v>114</v>
      </c>
      <c r="C602" s="3" t="s">
        <v>125</v>
      </c>
      <c r="D602" s="3" t="s">
        <v>316</v>
      </c>
      <c r="E602" s="3">
        <v>1</v>
      </c>
      <c r="G602" s="57"/>
    </row>
    <row r="603" spans="1:7" ht="12.75" x14ac:dyDescent="0.2">
      <c r="A603" s="3">
        <v>94</v>
      </c>
      <c r="B603" s="4" t="s">
        <v>114</v>
      </c>
      <c r="C603" s="3" t="s">
        <v>125</v>
      </c>
      <c r="D603" s="3" t="s">
        <v>132</v>
      </c>
      <c r="E603" s="3">
        <v>159</v>
      </c>
      <c r="G603" s="57"/>
    </row>
    <row r="604" spans="1:7" ht="12.75" x14ac:dyDescent="0.2">
      <c r="A604" s="3">
        <v>94</v>
      </c>
      <c r="B604" s="4" t="s">
        <v>114</v>
      </c>
      <c r="C604" s="3" t="s">
        <v>125</v>
      </c>
      <c r="D604" s="3" t="s">
        <v>14</v>
      </c>
      <c r="E604" s="3">
        <v>46</v>
      </c>
      <c r="G604" s="57"/>
    </row>
    <row r="605" spans="1:7" ht="12.75" x14ac:dyDescent="0.2">
      <c r="A605" s="3">
        <v>94</v>
      </c>
      <c r="B605" s="4" t="s">
        <v>114</v>
      </c>
      <c r="C605" s="3" t="s">
        <v>125</v>
      </c>
      <c r="D605" s="3" t="s">
        <v>138</v>
      </c>
      <c r="E605" s="3">
        <v>3</v>
      </c>
      <c r="F605">
        <f>SUM(E599:E605)</f>
        <v>400</v>
      </c>
      <c r="G605" s="57"/>
    </row>
    <row r="606" spans="1:7" ht="12.75" x14ac:dyDescent="0.2">
      <c r="A606" s="3">
        <v>95</v>
      </c>
      <c r="B606" s="4" t="s">
        <v>115</v>
      </c>
      <c r="C606" s="3" t="s">
        <v>125</v>
      </c>
      <c r="D606" s="3" t="s">
        <v>290</v>
      </c>
      <c r="E606" s="3">
        <v>2</v>
      </c>
      <c r="G606" s="59"/>
    </row>
    <row r="607" spans="1:7" ht="12.75" x14ac:dyDescent="0.2">
      <c r="A607" s="3">
        <v>95</v>
      </c>
      <c r="B607" s="4" t="s">
        <v>115</v>
      </c>
      <c r="C607" s="3" t="s">
        <v>125</v>
      </c>
      <c r="D607" s="3" t="s">
        <v>16</v>
      </c>
      <c r="E607" s="3">
        <v>51</v>
      </c>
      <c r="G607" s="57"/>
    </row>
    <row r="608" spans="1:7" ht="12.75" x14ac:dyDescent="0.2">
      <c r="A608" s="3">
        <v>95</v>
      </c>
      <c r="B608" s="4" t="s">
        <v>115</v>
      </c>
      <c r="C608" s="3" t="s">
        <v>125</v>
      </c>
      <c r="D608" s="3" t="s">
        <v>346</v>
      </c>
      <c r="E608" s="3">
        <v>1</v>
      </c>
      <c r="G608" s="57"/>
    </row>
    <row r="609" spans="1:7" ht="12.75" x14ac:dyDescent="0.2">
      <c r="A609" s="3">
        <v>95</v>
      </c>
      <c r="B609" s="4" t="s">
        <v>115</v>
      </c>
      <c r="C609" s="3" t="s">
        <v>125</v>
      </c>
      <c r="D609" s="3" t="s">
        <v>316</v>
      </c>
      <c r="E609" s="3">
        <v>3</v>
      </c>
      <c r="G609" s="57"/>
    </row>
    <row r="610" spans="1:7" ht="12.75" x14ac:dyDescent="0.2">
      <c r="A610" s="3">
        <v>95</v>
      </c>
      <c r="B610" s="4" t="s">
        <v>115</v>
      </c>
      <c r="C610" s="3" t="s">
        <v>125</v>
      </c>
      <c r="D610" s="3" t="s">
        <v>132</v>
      </c>
      <c r="E610" s="3">
        <v>24</v>
      </c>
      <c r="G610" s="57"/>
    </row>
    <row r="611" spans="1:7" ht="12.75" x14ac:dyDescent="0.2">
      <c r="A611" s="3">
        <v>95</v>
      </c>
      <c r="B611" s="4" t="s">
        <v>115</v>
      </c>
      <c r="C611" s="3" t="s">
        <v>125</v>
      </c>
      <c r="D611" s="3" t="s">
        <v>14</v>
      </c>
      <c r="E611" s="3">
        <v>23</v>
      </c>
      <c r="G611" s="57"/>
    </row>
    <row r="612" spans="1:7" ht="12.75" x14ac:dyDescent="0.2">
      <c r="A612" s="3">
        <v>95</v>
      </c>
      <c r="B612" s="4" t="s">
        <v>115</v>
      </c>
      <c r="C612" s="3" t="s">
        <v>125</v>
      </c>
      <c r="D612" s="3" t="s">
        <v>138</v>
      </c>
      <c r="E612" s="3">
        <v>0</v>
      </c>
      <c r="F612">
        <f>SUM(E606:E612)</f>
        <v>104</v>
      </c>
      <c r="G612" s="57"/>
    </row>
    <row r="613" spans="1:7" ht="12.75" x14ac:dyDescent="0.2">
      <c r="A613" s="2">
        <v>2100</v>
      </c>
      <c r="B613" s="4" t="s">
        <v>335</v>
      </c>
      <c r="C613" s="3" t="s">
        <v>125</v>
      </c>
      <c r="D613" s="3" t="s">
        <v>290</v>
      </c>
      <c r="E613" s="3">
        <v>0</v>
      </c>
      <c r="G613" s="59"/>
    </row>
    <row r="614" spans="1:7" ht="12.75" x14ac:dyDescent="0.2">
      <c r="A614" s="2">
        <v>2100</v>
      </c>
      <c r="B614" s="4" t="s">
        <v>335</v>
      </c>
      <c r="C614" s="3" t="s">
        <v>125</v>
      </c>
      <c r="D614" s="3" t="s">
        <v>16</v>
      </c>
      <c r="E614" s="3">
        <v>1</v>
      </c>
      <c r="G614" s="57"/>
    </row>
    <row r="615" spans="1:7" ht="12.75" x14ac:dyDescent="0.2">
      <c r="A615" s="2">
        <v>2100</v>
      </c>
      <c r="B615" s="4" t="s">
        <v>335</v>
      </c>
      <c r="C615" s="3" t="s">
        <v>125</v>
      </c>
      <c r="D615" s="3" t="s">
        <v>346</v>
      </c>
      <c r="E615" s="3">
        <v>2</v>
      </c>
      <c r="G615" s="57"/>
    </row>
    <row r="616" spans="1:7" ht="12.75" x14ac:dyDescent="0.2">
      <c r="A616" s="2">
        <v>2100</v>
      </c>
      <c r="B616" s="4" t="s">
        <v>335</v>
      </c>
      <c r="C616" s="3" t="s">
        <v>125</v>
      </c>
      <c r="D616" s="3" t="s">
        <v>316</v>
      </c>
      <c r="E616" s="3">
        <v>0</v>
      </c>
      <c r="G616" s="57"/>
    </row>
    <row r="617" spans="1:7" ht="12.75" x14ac:dyDescent="0.2">
      <c r="A617" s="2">
        <v>2100</v>
      </c>
      <c r="B617" s="4" t="s">
        <v>335</v>
      </c>
      <c r="C617" s="3" t="s">
        <v>125</v>
      </c>
      <c r="D617" s="3" t="s">
        <v>132</v>
      </c>
      <c r="E617" s="3">
        <v>2</v>
      </c>
      <c r="G617" s="57"/>
    </row>
    <row r="618" spans="1:7" ht="12.75" x14ac:dyDescent="0.2">
      <c r="A618" s="2">
        <v>2100</v>
      </c>
      <c r="B618" s="4" t="s">
        <v>335</v>
      </c>
      <c r="C618" s="3" t="s">
        <v>125</v>
      </c>
      <c r="D618" s="3" t="s">
        <v>14</v>
      </c>
      <c r="E618" s="3">
        <v>4</v>
      </c>
      <c r="G618" s="57"/>
    </row>
    <row r="619" spans="1:7" ht="12.75" x14ac:dyDescent="0.2">
      <c r="A619" s="2">
        <v>2100</v>
      </c>
      <c r="B619" s="4" t="s">
        <v>335</v>
      </c>
      <c r="C619" s="3" t="s">
        <v>125</v>
      </c>
      <c r="D619" s="3" t="s">
        <v>138</v>
      </c>
      <c r="E619" s="3">
        <v>1</v>
      </c>
      <c r="F619">
        <f>SUM(E613:E619)</f>
        <v>10</v>
      </c>
      <c r="G619" s="57"/>
    </row>
    <row r="620" spans="1:7" ht="12.75" x14ac:dyDescent="0.2">
      <c r="A620" s="2">
        <v>1100</v>
      </c>
      <c r="B620" s="4" t="s">
        <v>177</v>
      </c>
      <c r="C620" s="3" t="s">
        <v>125</v>
      </c>
      <c r="D620" s="3" t="s">
        <v>290</v>
      </c>
      <c r="E620" s="3">
        <v>10</v>
      </c>
      <c r="G620" s="59"/>
    </row>
    <row r="621" spans="1:7" ht="12.75" x14ac:dyDescent="0.2">
      <c r="A621" s="2">
        <v>1100</v>
      </c>
      <c r="B621" s="4" t="s">
        <v>177</v>
      </c>
      <c r="C621" s="3" t="s">
        <v>125</v>
      </c>
      <c r="D621" s="3" t="s">
        <v>16</v>
      </c>
      <c r="E621" s="3">
        <v>15</v>
      </c>
      <c r="G621" s="57"/>
    </row>
    <row r="622" spans="1:7" ht="12.75" x14ac:dyDescent="0.2">
      <c r="A622" s="2">
        <v>1100</v>
      </c>
      <c r="B622" s="4" t="s">
        <v>177</v>
      </c>
      <c r="C622" s="3" t="s">
        <v>125</v>
      </c>
      <c r="D622" s="3" t="s">
        <v>346</v>
      </c>
      <c r="E622" s="3">
        <v>2</v>
      </c>
      <c r="G622" s="57"/>
    </row>
    <row r="623" spans="1:7" ht="12.75" x14ac:dyDescent="0.2">
      <c r="A623" s="2">
        <v>1100</v>
      </c>
      <c r="B623" s="4" t="s">
        <v>177</v>
      </c>
      <c r="C623" s="3" t="s">
        <v>125</v>
      </c>
      <c r="D623" s="3" t="s">
        <v>316</v>
      </c>
      <c r="E623" s="3">
        <v>1</v>
      </c>
      <c r="G623" s="57"/>
    </row>
    <row r="624" spans="1:7" ht="12.75" x14ac:dyDescent="0.2">
      <c r="A624" s="2">
        <v>1100</v>
      </c>
      <c r="B624" s="4" t="s">
        <v>177</v>
      </c>
      <c r="C624" s="3" t="s">
        <v>125</v>
      </c>
      <c r="D624" s="3" t="s">
        <v>132</v>
      </c>
      <c r="E624" s="3">
        <v>3</v>
      </c>
      <c r="G624" s="57"/>
    </row>
    <row r="625" spans="1:7" ht="12.75" x14ac:dyDescent="0.2">
      <c r="A625" s="2">
        <v>1100</v>
      </c>
      <c r="B625" s="4" t="s">
        <v>177</v>
      </c>
      <c r="C625" s="3" t="s">
        <v>125</v>
      </c>
      <c r="D625" s="3" t="s">
        <v>14</v>
      </c>
      <c r="E625" s="3">
        <v>5</v>
      </c>
      <c r="G625" s="57"/>
    </row>
    <row r="626" spans="1:7" ht="12.75" x14ac:dyDescent="0.2">
      <c r="A626" s="2">
        <v>1100</v>
      </c>
      <c r="B626" s="4" t="s">
        <v>177</v>
      </c>
      <c r="C626" s="3" t="s">
        <v>125</v>
      </c>
      <c r="D626" s="3" t="s">
        <v>138</v>
      </c>
      <c r="E626" s="3">
        <v>0</v>
      </c>
      <c r="F626">
        <f>SUM(E620:E626)</f>
        <v>36</v>
      </c>
      <c r="G626" s="57"/>
    </row>
    <row r="627" spans="1:7" ht="12.75" x14ac:dyDescent="0.2">
      <c r="A627" s="3">
        <v>3100</v>
      </c>
      <c r="B627" s="3" t="s">
        <v>348</v>
      </c>
      <c r="C627" s="3" t="s">
        <v>125</v>
      </c>
      <c r="D627" s="3" t="s">
        <v>290</v>
      </c>
      <c r="E627" s="3">
        <v>58</v>
      </c>
      <c r="G627" s="59"/>
    </row>
    <row r="628" spans="1:7" ht="12.75" x14ac:dyDescent="0.2">
      <c r="A628" s="3">
        <v>3100</v>
      </c>
      <c r="B628" s="3" t="s">
        <v>348</v>
      </c>
      <c r="C628" s="3" t="s">
        <v>125</v>
      </c>
      <c r="D628" s="3" t="s">
        <v>16</v>
      </c>
      <c r="E628" s="3">
        <v>371</v>
      </c>
      <c r="G628" s="57"/>
    </row>
    <row r="629" spans="1:7" ht="12.75" x14ac:dyDescent="0.2">
      <c r="A629" s="3">
        <v>3100</v>
      </c>
      <c r="B629" s="3" t="s">
        <v>348</v>
      </c>
      <c r="C629" s="3" t="s">
        <v>125</v>
      </c>
      <c r="D629" s="3" t="s">
        <v>346</v>
      </c>
      <c r="E629" s="3">
        <v>15</v>
      </c>
      <c r="G629" s="57"/>
    </row>
    <row r="630" spans="1:7" ht="12.75" x14ac:dyDescent="0.2">
      <c r="A630" s="3">
        <v>3100</v>
      </c>
      <c r="B630" s="3" t="s">
        <v>348</v>
      </c>
      <c r="C630" s="3" t="s">
        <v>125</v>
      </c>
      <c r="D630" s="3" t="s">
        <v>316</v>
      </c>
      <c r="E630" s="3">
        <v>73</v>
      </c>
      <c r="G630" s="57"/>
    </row>
    <row r="631" spans="1:7" ht="12.75" x14ac:dyDescent="0.2">
      <c r="A631" s="3">
        <v>3100</v>
      </c>
      <c r="B631" s="3" t="s">
        <v>348</v>
      </c>
      <c r="C631" s="3" t="s">
        <v>125</v>
      </c>
      <c r="D631" s="3" t="s">
        <v>132</v>
      </c>
      <c r="E631" s="3">
        <v>85</v>
      </c>
      <c r="G631" s="57"/>
    </row>
    <row r="632" spans="1:7" ht="12.75" x14ac:dyDescent="0.2">
      <c r="A632" s="3">
        <v>3100</v>
      </c>
      <c r="B632" s="3" t="s">
        <v>348</v>
      </c>
      <c r="C632" s="3" t="s">
        <v>125</v>
      </c>
      <c r="D632" s="3" t="s">
        <v>14</v>
      </c>
      <c r="E632" s="3">
        <v>319</v>
      </c>
      <c r="G632" s="57"/>
    </row>
    <row r="633" spans="1:7" ht="12.75" x14ac:dyDescent="0.2">
      <c r="A633" s="3">
        <v>3100</v>
      </c>
      <c r="B633" s="3" t="s">
        <v>348</v>
      </c>
      <c r="C633" s="3" t="s">
        <v>125</v>
      </c>
      <c r="D633" s="3" t="s">
        <v>138</v>
      </c>
      <c r="E633" s="3">
        <v>13</v>
      </c>
      <c r="F633">
        <f>SUM(E627:E633)</f>
        <v>934</v>
      </c>
      <c r="G633" s="57"/>
    </row>
    <row r="634" spans="1:7" ht="12.75" x14ac:dyDescent="0.2">
      <c r="D634" s="3"/>
      <c r="G634" s="19"/>
    </row>
    <row r="635" spans="1:7" ht="12.75" x14ac:dyDescent="0.2">
      <c r="G635" s="19"/>
    </row>
    <row r="636" spans="1:7" ht="12.75" x14ac:dyDescent="0.2">
      <c r="G636" s="19"/>
    </row>
    <row r="637" spans="1:7" ht="12.75" x14ac:dyDescent="0.2">
      <c r="G637" s="19"/>
    </row>
    <row r="638" spans="1:7" ht="12.75" x14ac:dyDescent="0.2">
      <c r="G638" s="19"/>
    </row>
    <row r="639" spans="1:7" ht="12.75" x14ac:dyDescent="0.2">
      <c r="G639" s="19"/>
    </row>
    <row r="640" spans="1:7" ht="12.75" x14ac:dyDescent="0.2">
      <c r="G640" s="19"/>
    </row>
    <row r="641" spans="7:7" ht="12.75" x14ac:dyDescent="0.2">
      <c r="G641" s="19"/>
    </row>
    <row r="642" spans="7:7" ht="12.75" x14ac:dyDescent="0.2">
      <c r="G642" s="19"/>
    </row>
    <row r="643" spans="7:7" ht="12.75" x14ac:dyDescent="0.2">
      <c r="G643" s="19"/>
    </row>
    <row r="644" spans="7:7" ht="12.75" x14ac:dyDescent="0.2">
      <c r="G644" s="19"/>
    </row>
    <row r="645" spans="7:7" ht="12.75" x14ac:dyDescent="0.2">
      <c r="G645" s="19"/>
    </row>
    <row r="646" spans="7:7" ht="12.75" x14ac:dyDescent="0.2">
      <c r="G646" s="19"/>
    </row>
    <row r="647" spans="7:7" ht="12.75" x14ac:dyDescent="0.2">
      <c r="G647" s="19"/>
    </row>
    <row r="648" spans="7:7" ht="12.75" x14ac:dyDescent="0.2">
      <c r="G648" s="19"/>
    </row>
    <row r="649" spans="7:7" ht="12.75" x14ac:dyDescent="0.2">
      <c r="G649" s="19"/>
    </row>
    <row r="650" spans="7:7" ht="12.75" x14ac:dyDescent="0.2">
      <c r="G650" s="19"/>
    </row>
    <row r="651" spans="7:7" ht="12.75" x14ac:dyDescent="0.2">
      <c r="G651" s="19"/>
    </row>
    <row r="652" spans="7:7" ht="12.75" x14ac:dyDescent="0.2">
      <c r="G652" s="19"/>
    </row>
    <row r="653" spans="7:7" ht="12.75" x14ac:dyDescent="0.2">
      <c r="G653" s="19"/>
    </row>
    <row r="654" spans="7:7" ht="12.75" x14ac:dyDescent="0.2">
      <c r="G654" s="19"/>
    </row>
    <row r="655" spans="7:7" ht="12.75" x14ac:dyDescent="0.2">
      <c r="G655" s="19"/>
    </row>
    <row r="656" spans="7:7" ht="12.75" x14ac:dyDescent="0.2">
      <c r="G656" s="19"/>
    </row>
    <row r="657" spans="7:7" ht="12.75" x14ac:dyDescent="0.2">
      <c r="G657" s="19"/>
    </row>
    <row r="658" spans="7:7" ht="12.75" x14ac:dyDescent="0.2">
      <c r="G658" s="19"/>
    </row>
    <row r="659" spans="7:7" ht="12.75" x14ac:dyDescent="0.2">
      <c r="G659" s="19"/>
    </row>
    <row r="660" spans="7:7" ht="12.75" x14ac:dyDescent="0.2">
      <c r="G660" s="19"/>
    </row>
    <row r="661" spans="7:7" ht="12.75" x14ac:dyDescent="0.2">
      <c r="G661" s="19"/>
    </row>
    <row r="662" spans="7:7" ht="12.75" x14ac:dyDescent="0.2">
      <c r="G662" s="19"/>
    </row>
    <row r="663" spans="7:7" ht="12.75" x14ac:dyDescent="0.2">
      <c r="G663" s="19"/>
    </row>
    <row r="664" spans="7:7" ht="12.75" x14ac:dyDescent="0.2">
      <c r="G664" s="19"/>
    </row>
    <row r="665" spans="7:7" ht="12.75" x14ac:dyDescent="0.2">
      <c r="G665" s="19"/>
    </row>
    <row r="666" spans="7:7" ht="12.75" x14ac:dyDescent="0.2">
      <c r="G666" s="19"/>
    </row>
    <row r="667" spans="7:7" ht="12.75" x14ac:dyDescent="0.2">
      <c r="G667" s="19"/>
    </row>
    <row r="668" spans="7:7" ht="12.75" x14ac:dyDescent="0.2">
      <c r="G668" s="19"/>
    </row>
    <row r="669" spans="7:7" ht="12.75" x14ac:dyDescent="0.2">
      <c r="G669" s="19"/>
    </row>
    <row r="670" spans="7:7" ht="12.75" x14ac:dyDescent="0.2">
      <c r="G670" s="19"/>
    </row>
    <row r="671" spans="7:7" ht="12.75" x14ac:dyDescent="0.2">
      <c r="G671" s="19"/>
    </row>
    <row r="672" spans="7:7" ht="12.75" x14ac:dyDescent="0.2">
      <c r="G672" s="19"/>
    </row>
    <row r="673" spans="7:7" ht="12.75" x14ac:dyDescent="0.2">
      <c r="G673" s="19"/>
    </row>
    <row r="674" spans="7:7" ht="12.75" x14ac:dyDescent="0.2">
      <c r="G674" s="19"/>
    </row>
    <row r="675" spans="7:7" ht="12.75" x14ac:dyDescent="0.2">
      <c r="G675" s="19"/>
    </row>
    <row r="676" spans="7:7" ht="12.75" x14ac:dyDescent="0.2">
      <c r="G676" s="19"/>
    </row>
    <row r="677" spans="7:7" ht="12.75" x14ac:dyDescent="0.2">
      <c r="G677" s="19"/>
    </row>
    <row r="678" spans="7:7" ht="12.75" x14ac:dyDescent="0.2">
      <c r="G678" s="19"/>
    </row>
    <row r="679" spans="7:7" ht="12.75" x14ac:dyDescent="0.2">
      <c r="G679" s="19"/>
    </row>
    <row r="680" spans="7:7" ht="12.75" x14ac:dyDescent="0.2">
      <c r="G680" s="19"/>
    </row>
    <row r="681" spans="7:7" ht="12.75" x14ac:dyDescent="0.2">
      <c r="G681" s="19"/>
    </row>
    <row r="682" spans="7:7" ht="12.75" x14ac:dyDescent="0.2">
      <c r="G682" s="19"/>
    </row>
    <row r="683" spans="7:7" ht="12.75" x14ac:dyDescent="0.2">
      <c r="G683" s="19"/>
    </row>
    <row r="684" spans="7:7" ht="12.75" x14ac:dyDescent="0.2">
      <c r="G684" s="19"/>
    </row>
    <row r="685" spans="7:7" ht="12.75" x14ac:dyDescent="0.2">
      <c r="G685" s="19"/>
    </row>
    <row r="686" spans="7:7" ht="12.75" x14ac:dyDescent="0.2">
      <c r="G686" s="19"/>
    </row>
    <row r="687" spans="7:7" ht="12.75" x14ac:dyDescent="0.2">
      <c r="G687" s="19"/>
    </row>
    <row r="688" spans="7:7" ht="12.75" x14ac:dyDescent="0.2">
      <c r="G688" s="19"/>
    </row>
    <row r="689" spans="7:7" ht="12.75" x14ac:dyDescent="0.2">
      <c r="G689" s="19"/>
    </row>
    <row r="690" spans="7:7" ht="12.75" x14ac:dyDescent="0.2">
      <c r="G690" s="19"/>
    </row>
    <row r="691" spans="7:7" ht="12.75" x14ac:dyDescent="0.2">
      <c r="G691" s="19"/>
    </row>
    <row r="692" spans="7:7" ht="12.75" x14ac:dyDescent="0.2">
      <c r="G692" s="19"/>
    </row>
    <row r="693" spans="7:7" ht="12.75" x14ac:dyDescent="0.2">
      <c r="G693" s="19"/>
    </row>
    <row r="694" spans="7:7" ht="12.75" x14ac:dyDescent="0.2">
      <c r="G694" s="19"/>
    </row>
    <row r="695" spans="7:7" ht="12.75" x14ac:dyDescent="0.2">
      <c r="G695" s="19"/>
    </row>
    <row r="696" spans="7:7" ht="12.75" x14ac:dyDescent="0.2">
      <c r="G696" s="19"/>
    </row>
    <row r="697" spans="7:7" ht="12.75" x14ac:dyDescent="0.2">
      <c r="G697" s="19"/>
    </row>
    <row r="698" spans="7:7" ht="12.75" x14ac:dyDescent="0.2">
      <c r="G698" s="19"/>
    </row>
    <row r="699" spans="7:7" ht="12.75" x14ac:dyDescent="0.2">
      <c r="G699" s="19"/>
    </row>
    <row r="700" spans="7:7" ht="12.75" x14ac:dyDescent="0.2">
      <c r="G700" s="19"/>
    </row>
    <row r="701" spans="7:7" ht="12.75" x14ac:dyDescent="0.2">
      <c r="G701" s="19"/>
    </row>
    <row r="702" spans="7:7" ht="12.75" x14ac:dyDescent="0.2">
      <c r="G702" s="19"/>
    </row>
    <row r="703" spans="7:7" ht="12.75" x14ac:dyDescent="0.2">
      <c r="G703" s="19"/>
    </row>
    <row r="704" spans="7:7" ht="12.75" x14ac:dyDescent="0.2">
      <c r="G704" s="19"/>
    </row>
    <row r="705" spans="7:7" ht="12.75" x14ac:dyDescent="0.2">
      <c r="G705" s="19"/>
    </row>
    <row r="706" spans="7:7" ht="12.75" x14ac:dyDescent="0.2">
      <c r="G706" s="19"/>
    </row>
    <row r="707" spans="7:7" ht="12.75" x14ac:dyDescent="0.2">
      <c r="G707" s="19"/>
    </row>
    <row r="708" spans="7:7" ht="12.75" x14ac:dyDescent="0.2">
      <c r="G708" s="19"/>
    </row>
    <row r="709" spans="7:7" ht="12.75" x14ac:dyDescent="0.2">
      <c r="G709" s="19"/>
    </row>
    <row r="710" spans="7:7" ht="12.75" x14ac:dyDescent="0.2">
      <c r="G710" s="19"/>
    </row>
    <row r="711" spans="7:7" ht="12.75" x14ac:dyDescent="0.2">
      <c r="G711" s="19"/>
    </row>
    <row r="712" spans="7:7" ht="12.75" x14ac:dyDescent="0.2">
      <c r="G712" s="19"/>
    </row>
    <row r="713" spans="7:7" ht="12.75" x14ac:dyDescent="0.2">
      <c r="G713" s="19"/>
    </row>
    <row r="714" spans="7:7" ht="12.75" x14ac:dyDescent="0.2">
      <c r="G714" s="19"/>
    </row>
    <row r="715" spans="7:7" ht="12.75" x14ac:dyDescent="0.2">
      <c r="G715" s="19"/>
    </row>
    <row r="716" spans="7:7" ht="12.75" x14ac:dyDescent="0.2">
      <c r="G716" s="19"/>
    </row>
    <row r="717" spans="7:7" ht="12.75" x14ac:dyDescent="0.2">
      <c r="G717" s="19"/>
    </row>
    <row r="718" spans="7:7" ht="12.75" x14ac:dyDescent="0.2">
      <c r="G718" s="19"/>
    </row>
    <row r="719" spans="7:7" ht="12.75" x14ac:dyDescent="0.2">
      <c r="G719" s="19"/>
    </row>
    <row r="720" spans="7:7" ht="12.75" x14ac:dyDescent="0.2">
      <c r="G720" s="19"/>
    </row>
    <row r="721" spans="7:7" ht="12.75" x14ac:dyDescent="0.2">
      <c r="G721" s="19"/>
    </row>
    <row r="722" spans="7:7" ht="12.75" x14ac:dyDescent="0.2">
      <c r="G722" s="19"/>
    </row>
    <row r="723" spans="7:7" ht="12.75" x14ac:dyDescent="0.2">
      <c r="G723" s="19"/>
    </row>
    <row r="724" spans="7:7" ht="12.75" x14ac:dyDescent="0.2">
      <c r="G724" s="19"/>
    </row>
    <row r="725" spans="7:7" ht="12.75" x14ac:dyDescent="0.2">
      <c r="G725" s="19"/>
    </row>
    <row r="726" spans="7:7" ht="12.75" x14ac:dyDescent="0.2">
      <c r="G726" s="19"/>
    </row>
    <row r="727" spans="7:7" ht="12.75" x14ac:dyDescent="0.2">
      <c r="G727" s="19"/>
    </row>
    <row r="728" spans="7:7" ht="12.75" x14ac:dyDescent="0.2">
      <c r="G728" s="19"/>
    </row>
    <row r="729" spans="7:7" ht="12.75" x14ac:dyDescent="0.2">
      <c r="G729" s="19"/>
    </row>
    <row r="730" spans="7:7" ht="12.75" x14ac:dyDescent="0.2">
      <c r="G730" s="19"/>
    </row>
    <row r="731" spans="7:7" ht="12.75" x14ac:dyDescent="0.2">
      <c r="G731" s="19"/>
    </row>
    <row r="732" spans="7:7" ht="12.75" x14ac:dyDescent="0.2">
      <c r="G732" s="19"/>
    </row>
    <row r="733" spans="7:7" ht="12.75" x14ac:dyDescent="0.2">
      <c r="G733" s="19"/>
    </row>
    <row r="734" spans="7:7" ht="12.75" x14ac:dyDescent="0.2">
      <c r="G734" s="19"/>
    </row>
    <row r="735" spans="7:7" ht="12.75" x14ac:dyDescent="0.2">
      <c r="G735" s="19"/>
    </row>
    <row r="736" spans="7:7" ht="12.75" x14ac:dyDescent="0.2">
      <c r="G736" s="19"/>
    </row>
    <row r="737" spans="7:7" ht="12.75" x14ac:dyDescent="0.2">
      <c r="G737" s="19"/>
    </row>
    <row r="738" spans="7:7" ht="12.75" x14ac:dyDescent="0.2">
      <c r="G738" s="19"/>
    </row>
    <row r="739" spans="7:7" ht="12.75" x14ac:dyDescent="0.2">
      <c r="G739" s="19"/>
    </row>
    <row r="740" spans="7:7" ht="12.75" x14ac:dyDescent="0.2">
      <c r="G740" s="19"/>
    </row>
    <row r="741" spans="7:7" ht="12.75" x14ac:dyDescent="0.2">
      <c r="G741" s="19"/>
    </row>
    <row r="742" spans="7:7" ht="12.75" x14ac:dyDescent="0.2">
      <c r="G742" s="19"/>
    </row>
    <row r="743" spans="7:7" ht="12.75" x14ac:dyDescent="0.2">
      <c r="G743" s="19"/>
    </row>
    <row r="744" spans="7:7" ht="12.75" x14ac:dyDescent="0.2">
      <c r="G744" s="19"/>
    </row>
    <row r="745" spans="7:7" ht="12.75" x14ac:dyDescent="0.2">
      <c r="G745" s="19"/>
    </row>
    <row r="746" spans="7:7" ht="12.75" x14ac:dyDescent="0.2">
      <c r="G746" s="19"/>
    </row>
    <row r="747" spans="7:7" ht="12.75" x14ac:dyDescent="0.2">
      <c r="G747" s="19"/>
    </row>
    <row r="748" spans="7:7" ht="12.75" x14ac:dyDescent="0.2">
      <c r="G748" s="19"/>
    </row>
    <row r="749" spans="7:7" ht="12.75" x14ac:dyDescent="0.2">
      <c r="G749" s="19"/>
    </row>
    <row r="750" spans="7:7" ht="12.75" x14ac:dyDescent="0.2">
      <c r="G750" s="19"/>
    </row>
    <row r="751" spans="7:7" ht="12.75" x14ac:dyDescent="0.2">
      <c r="G751" s="19"/>
    </row>
    <row r="752" spans="7:7" ht="12.75" x14ac:dyDescent="0.2">
      <c r="G752" s="19"/>
    </row>
    <row r="753" spans="7:7" ht="12.75" x14ac:dyDescent="0.2">
      <c r="G753" s="19"/>
    </row>
    <row r="754" spans="7:7" ht="12.75" x14ac:dyDescent="0.2">
      <c r="G754" s="19"/>
    </row>
    <row r="755" spans="7:7" ht="12.75" x14ac:dyDescent="0.2">
      <c r="G755" s="19"/>
    </row>
    <row r="756" spans="7:7" ht="12.75" x14ac:dyDescent="0.2">
      <c r="G756" s="19"/>
    </row>
    <row r="757" spans="7:7" ht="12.75" x14ac:dyDescent="0.2">
      <c r="G757" s="19"/>
    </row>
    <row r="758" spans="7:7" ht="12.75" x14ac:dyDescent="0.2">
      <c r="G758" s="19"/>
    </row>
    <row r="759" spans="7:7" ht="12.75" x14ac:dyDescent="0.2">
      <c r="G759" s="19"/>
    </row>
    <row r="760" spans="7:7" ht="12.75" x14ac:dyDescent="0.2">
      <c r="G760" s="19"/>
    </row>
    <row r="761" spans="7:7" ht="12.75" x14ac:dyDescent="0.2">
      <c r="G761" s="19"/>
    </row>
    <row r="762" spans="7:7" ht="12.75" x14ac:dyDescent="0.2">
      <c r="G762" s="19"/>
    </row>
    <row r="763" spans="7:7" ht="12.75" x14ac:dyDescent="0.2">
      <c r="G763" s="19"/>
    </row>
    <row r="764" spans="7:7" ht="12.75" x14ac:dyDescent="0.2">
      <c r="G764" s="19"/>
    </row>
    <row r="765" spans="7:7" ht="12.75" x14ac:dyDescent="0.2">
      <c r="G765" s="19"/>
    </row>
    <row r="766" spans="7:7" ht="12.75" x14ac:dyDescent="0.2">
      <c r="G766" s="19"/>
    </row>
    <row r="767" spans="7:7" ht="12.75" x14ac:dyDescent="0.2">
      <c r="G767" s="19"/>
    </row>
    <row r="768" spans="7:7" ht="12.75" x14ac:dyDescent="0.2">
      <c r="G768" s="19"/>
    </row>
    <row r="769" spans="7:7" ht="12.75" x14ac:dyDescent="0.2">
      <c r="G769" s="19"/>
    </row>
    <row r="770" spans="7:7" ht="12.75" x14ac:dyDescent="0.2">
      <c r="G770" s="19"/>
    </row>
    <row r="771" spans="7:7" ht="12.75" x14ac:dyDescent="0.2">
      <c r="G771" s="19"/>
    </row>
    <row r="772" spans="7:7" ht="12.75" x14ac:dyDescent="0.2">
      <c r="G772" s="19"/>
    </row>
    <row r="773" spans="7:7" ht="12.75" x14ac:dyDescent="0.2">
      <c r="G773" s="19"/>
    </row>
    <row r="774" spans="7:7" ht="12.75" x14ac:dyDescent="0.2">
      <c r="G774" s="19"/>
    </row>
    <row r="775" spans="7:7" ht="12.75" x14ac:dyDescent="0.2">
      <c r="G775" s="19"/>
    </row>
    <row r="776" spans="7:7" ht="12.75" x14ac:dyDescent="0.2">
      <c r="G776" s="19"/>
    </row>
    <row r="777" spans="7:7" ht="12.75" x14ac:dyDescent="0.2">
      <c r="G777" s="19"/>
    </row>
    <row r="778" spans="7:7" ht="12.75" x14ac:dyDescent="0.2">
      <c r="G778" s="19"/>
    </row>
    <row r="779" spans="7:7" ht="12.75" x14ac:dyDescent="0.2">
      <c r="G779" s="19"/>
    </row>
    <row r="780" spans="7:7" ht="12.75" x14ac:dyDescent="0.2">
      <c r="G780" s="19"/>
    </row>
    <row r="781" spans="7:7" ht="12.75" x14ac:dyDescent="0.2">
      <c r="G781" s="19"/>
    </row>
    <row r="782" spans="7:7" ht="12.75" x14ac:dyDescent="0.2">
      <c r="G782" s="19"/>
    </row>
    <row r="783" spans="7:7" ht="12.75" x14ac:dyDescent="0.2">
      <c r="G783" s="19"/>
    </row>
    <row r="784" spans="7:7" ht="12.75" x14ac:dyDescent="0.2">
      <c r="G784" s="19"/>
    </row>
    <row r="785" spans="7:7" ht="12.75" x14ac:dyDescent="0.2">
      <c r="G785" s="19"/>
    </row>
    <row r="786" spans="7:7" ht="12.75" x14ac:dyDescent="0.2">
      <c r="G786" s="19"/>
    </row>
    <row r="787" spans="7:7" ht="12.75" x14ac:dyDescent="0.2">
      <c r="G787" s="19"/>
    </row>
    <row r="788" spans="7:7" ht="12.75" x14ac:dyDescent="0.2">
      <c r="G788" s="19"/>
    </row>
    <row r="789" spans="7:7" ht="12.75" x14ac:dyDescent="0.2">
      <c r="G789" s="19"/>
    </row>
    <row r="790" spans="7:7" ht="12.75" x14ac:dyDescent="0.2">
      <c r="G790" s="19"/>
    </row>
    <row r="791" spans="7:7" ht="12.75" x14ac:dyDescent="0.2">
      <c r="G791" s="19"/>
    </row>
    <row r="792" spans="7:7" ht="12.75" x14ac:dyDescent="0.2">
      <c r="G792" s="19"/>
    </row>
    <row r="793" spans="7:7" ht="12.75" x14ac:dyDescent="0.2">
      <c r="G793" s="19"/>
    </row>
    <row r="794" spans="7:7" ht="12.75" x14ac:dyDescent="0.2">
      <c r="G794" s="19"/>
    </row>
    <row r="795" spans="7:7" ht="12.75" x14ac:dyDescent="0.2">
      <c r="G795" s="19"/>
    </row>
    <row r="796" spans="7:7" ht="12.75" x14ac:dyDescent="0.2">
      <c r="G796" s="19"/>
    </row>
    <row r="797" spans="7:7" ht="12.75" x14ac:dyDescent="0.2">
      <c r="G797" s="19"/>
    </row>
    <row r="798" spans="7:7" ht="12.75" x14ac:dyDescent="0.2">
      <c r="G798" s="19"/>
    </row>
    <row r="799" spans="7:7" ht="12.75" x14ac:dyDescent="0.2">
      <c r="G799" s="19"/>
    </row>
    <row r="800" spans="7:7" ht="12.75" x14ac:dyDescent="0.2">
      <c r="G800" s="19"/>
    </row>
    <row r="801" spans="7:7" ht="12.75" x14ac:dyDescent="0.2">
      <c r="G801" s="19"/>
    </row>
    <row r="802" spans="7:7" ht="12.75" x14ac:dyDescent="0.2">
      <c r="G802" s="19"/>
    </row>
    <row r="803" spans="7:7" ht="12.75" x14ac:dyDescent="0.2">
      <c r="G803" s="19"/>
    </row>
    <row r="804" spans="7:7" ht="12.75" x14ac:dyDescent="0.2">
      <c r="G804" s="19"/>
    </row>
    <row r="805" spans="7:7" ht="12.75" x14ac:dyDescent="0.2">
      <c r="G805" s="19"/>
    </row>
    <row r="806" spans="7:7" ht="12.75" x14ac:dyDescent="0.2">
      <c r="G806" s="19"/>
    </row>
    <row r="807" spans="7:7" ht="12.75" x14ac:dyDescent="0.2">
      <c r="G807" s="19"/>
    </row>
    <row r="808" spans="7:7" ht="12.75" x14ac:dyDescent="0.2">
      <c r="G808" s="19"/>
    </row>
    <row r="809" spans="7:7" ht="12.75" x14ac:dyDescent="0.2">
      <c r="G809" s="19"/>
    </row>
    <row r="810" spans="7:7" ht="12.75" x14ac:dyDescent="0.2">
      <c r="G810" s="19"/>
    </row>
    <row r="811" spans="7:7" ht="12.75" x14ac:dyDescent="0.2">
      <c r="G811" s="19"/>
    </row>
    <row r="812" spans="7:7" ht="12.75" x14ac:dyDescent="0.2">
      <c r="G812" s="19"/>
    </row>
    <row r="813" spans="7:7" ht="12.75" x14ac:dyDescent="0.2">
      <c r="G813" s="19"/>
    </row>
    <row r="814" spans="7:7" ht="12.75" x14ac:dyDescent="0.2">
      <c r="G814" s="19"/>
    </row>
    <row r="815" spans="7:7" ht="12.75" x14ac:dyDescent="0.2">
      <c r="G815" s="19"/>
    </row>
    <row r="816" spans="7:7" ht="12.75" x14ac:dyDescent="0.2">
      <c r="G816" s="19"/>
    </row>
    <row r="817" spans="7:7" ht="12.75" x14ac:dyDescent="0.2">
      <c r="G817" s="19"/>
    </row>
    <row r="818" spans="7:7" ht="12.75" x14ac:dyDescent="0.2">
      <c r="G818" s="19"/>
    </row>
    <row r="819" spans="7:7" ht="12.75" x14ac:dyDescent="0.2">
      <c r="G819" s="19"/>
    </row>
    <row r="820" spans="7:7" ht="12.75" x14ac:dyDescent="0.2">
      <c r="G820" s="19"/>
    </row>
    <row r="821" spans="7:7" ht="12.75" x14ac:dyDescent="0.2">
      <c r="G821" s="19"/>
    </row>
    <row r="822" spans="7:7" ht="12.75" x14ac:dyDescent="0.2">
      <c r="G822" s="19"/>
    </row>
    <row r="823" spans="7:7" ht="12.75" x14ac:dyDescent="0.2">
      <c r="G823" s="19"/>
    </row>
    <row r="824" spans="7:7" ht="12.75" x14ac:dyDescent="0.2">
      <c r="G824" s="19"/>
    </row>
    <row r="825" spans="7:7" ht="12.75" x14ac:dyDescent="0.2">
      <c r="G825" s="19"/>
    </row>
    <row r="826" spans="7:7" ht="12.75" x14ac:dyDescent="0.2">
      <c r="G826" s="19"/>
    </row>
    <row r="827" spans="7:7" ht="12.75" x14ac:dyDescent="0.2">
      <c r="G827" s="19"/>
    </row>
    <row r="828" spans="7:7" ht="12.75" x14ac:dyDescent="0.2">
      <c r="G828" s="19"/>
    </row>
    <row r="829" spans="7:7" ht="12.75" x14ac:dyDescent="0.2">
      <c r="G829" s="19"/>
    </row>
    <row r="830" spans="7:7" ht="12.75" x14ac:dyDescent="0.2">
      <c r="G830" s="19"/>
    </row>
    <row r="831" spans="7:7" ht="12.75" x14ac:dyDescent="0.2">
      <c r="G831" s="19"/>
    </row>
    <row r="832" spans="7:7" ht="12.75" x14ac:dyDescent="0.2">
      <c r="G832" s="19"/>
    </row>
    <row r="833" spans="7:7" ht="12.75" x14ac:dyDescent="0.2">
      <c r="G833" s="19"/>
    </row>
    <row r="834" spans="7:7" ht="12.75" x14ac:dyDescent="0.2">
      <c r="G834" s="19"/>
    </row>
    <row r="835" spans="7:7" ht="12.75" x14ac:dyDescent="0.2">
      <c r="G835" s="19"/>
    </row>
    <row r="836" spans="7:7" ht="12.75" x14ac:dyDescent="0.2">
      <c r="G836" s="19"/>
    </row>
    <row r="837" spans="7:7" ht="12.75" x14ac:dyDescent="0.2">
      <c r="G837" s="19"/>
    </row>
    <row r="838" spans="7:7" ht="12.75" x14ac:dyDescent="0.2">
      <c r="G838" s="19"/>
    </row>
    <row r="839" spans="7:7" ht="12.75" x14ac:dyDescent="0.2">
      <c r="G839" s="19"/>
    </row>
    <row r="840" spans="7:7" ht="12.75" x14ac:dyDescent="0.2">
      <c r="G840" s="19"/>
    </row>
    <row r="841" spans="7:7" ht="12.75" x14ac:dyDescent="0.2">
      <c r="G841" s="19"/>
    </row>
    <row r="842" spans="7:7" ht="12.75" x14ac:dyDescent="0.2">
      <c r="G842" s="19"/>
    </row>
    <row r="843" spans="7:7" ht="12.75" x14ac:dyDescent="0.2">
      <c r="G843" s="19"/>
    </row>
    <row r="844" spans="7:7" ht="12.75" x14ac:dyDescent="0.2">
      <c r="G844" s="19"/>
    </row>
    <row r="845" spans="7:7" ht="12.75" x14ac:dyDescent="0.2">
      <c r="G845" s="19"/>
    </row>
    <row r="846" spans="7:7" ht="12.75" x14ac:dyDescent="0.2">
      <c r="G846" s="19"/>
    </row>
    <row r="847" spans="7:7" ht="12.75" x14ac:dyDescent="0.2">
      <c r="G847" s="19"/>
    </row>
    <row r="848" spans="7:7" ht="12.75" x14ac:dyDescent="0.2">
      <c r="G848" s="19"/>
    </row>
    <row r="849" spans="7:7" ht="12.75" x14ac:dyDescent="0.2">
      <c r="G849" s="19"/>
    </row>
    <row r="850" spans="7:7" ht="12.75" x14ac:dyDescent="0.2">
      <c r="G850" s="19"/>
    </row>
    <row r="851" spans="7:7" ht="12.75" x14ac:dyDescent="0.2">
      <c r="G851" s="19"/>
    </row>
    <row r="852" spans="7:7" ht="12.75" x14ac:dyDescent="0.2">
      <c r="G852" s="19"/>
    </row>
    <row r="853" spans="7:7" ht="12.75" x14ac:dyDescent="0.2">
      <c r="G853" s="19"/>
    </row>
    <row r="854" spans="7:7" ht="12.75" x14ac:dyDescent="0.2">
      <c r="G854" s="19"/>
    </row>
    <row r="855" spans="7:7" ht="12.75" x14ac:dyDescent="0.2">
      <c r="G855" s="19"/>
    </row>
    <row r="856" spans="7:7" ht="12.75" x14ac:dyDescent="0.2">
      <c r="G856" s="19"/>
    </row>
    <row r="857" spans="7:7" ht="12.75" x14ac:dyDescent="0.2">
      <c r="G857" s="19"/>
    </row>
    <row r="858" spans="7:7" ht="12.75" x14ac:dyDescent="0.2">
      <c r="G858" s="19"/>
    </row>
    <row r="859" spans="7:7" ht="12.75" x14ac:dyDescent="0.2">
      <c r="G859" s="19"/>
    </row>
    <row r="860" spans="7:7" ht="12.75" x14ac:dyDescent="0.2">
      <c r="G860" s="19"/>
    </row>
    <row r="861" spans="7:7" ht="12.75" x14ac:dyDescent="0.2">
      <c r="G861" s="19"/>
    </row>
    <row r="862" spans="7:7" ht="12.75" x14ac:dyDescent="0.2">
      <c r="G862" s="19"/>
    </row>
    <row r="863" spans="7:7" ht="12.75" x14ac:dyDescent="0.2">
      <c r="G863" s="19"/>
    </row>
    <row r="864" spans="7:7" ht="12.75" x14ac:dyDescent="0.2">
      <c r="G864" s="19"/>
    </row>
    <row r="865" spans="7:7" ht="12.75" x14ac:dyDescent="0.2">
      <c r="G865" s="19"/>
    </row>
    <row r="866" spans="7:7" ht="12.75" x14ac:dyDescent="0.2">
      <c r="G866" s="19"/>
    </row>
    <row r="867" spans="7:7" ht="12.75" x14ac:dyDescent="0.2">
      <c r="G867" s="19"/>
    </row>
    <row r="868" spans="7:7" ht="12.75" x14ac:dyDescent="0.2">
      <c r="G868" s="19"/>
    </row>
    <row r="869" spans="7:7" ht="12.75" x14ac:dyDescent="0.2">
      <c r="G869" s="19"/>
    </row>
    <row r="870" spans="7:7" ht="12.75" x14ac:dyDescent="0.2">
      <c r="G870" s="19"/>
    </row>
    <row r="871" spans="7:7" ht="12.75" x14ac:dyDescent="0.2">
      <c r="G871" s="19"/>
    </row>
    <row r="872" spans="7:7" ht="12.75" x14ac:dyDescent="0.2">
      <c r="G872" s="19"/>
    </row>
    <row r="873" spans="7:7" ht="12.75" x14ac:dyDescent="0.2">
      <c r="G873" s="19"/>
    </row>
    <row r="874" spans="7:7" ht="12.75" x14ac:dyDescent="0.2">
      <c r="G874" s="19"/>
    </row>
    <row r="875" spans="7:7" ht="12.75" x14ac:dyDescent="0.2">
      <c r="G875" s="19"/>
    </row>
    <row r="876" spans="7:7" ht="12.75" x14ac:dyDescent="0.2">
      <c r="G876" s="19"/>
    </row>
    <row r="877" spans="7:7" ht="12.75" x14ac:dyDescent="0.2">
      <c r="G877" s="19"/>
    </row>
    <row r="878" spans="7:7" ht="12.75" x14ac:dyDescent="0.2">
      <c r="G878" s="19"/>
    </row>
    <row r="879" spans="7:7" ht="12.75" x14ac:dyDescent="0.2">
      <c r="G879" s="19"/>
    </row>
    <row r="880" spans="7:7" ht="12.75" x14ac:dyDescent="0.2">
      <c r="G880" s="19"/>
    </row>
    <row r="881" spans="7:7" ht="12.75" x14ac:dyDescent="0.2">
      <c r="G881" s="19"/>
    </row>
    <row r="882" spans="7:7" ht="12.75" x14ac:dyDescent="0.2">
      <c r="G882" s="19"/>
    </row>
    <row r="883" spans="7:7" ht="12.75" x14ac:dyDescent="0.2">
      <c r="G883" s="19"/>
    </row>
    <row r="884" spans="7:7" ht="12.75" x14ac:dyDescent="0.2">
      <c r="G884" s="19"/>
    </row>
    <row r="885" spans="7:7" ht="12.75" x14ac:dyDescent="0.2">
      <c r="G885" s="19"/>
    </row>
    <row r="886" spans="7:7" ht="12.75" x14ac:dyDescent="0.2">
      <c r="G886" s="19"/>
    </row>
    <row r="887" spans="7:7" ht="12.75" x14ac:dyDescent="0.2">
      <c r="G887" s="19"/>
    </row>
    <row r="888" spans="7:7" ht="12.75" x14ac:dyDescent="0.2">
      <c r="G888" s="19"/>
    </row>
    <row r="889" spans="7:7" ht="12.75" x14ac:dyDescent="0.2">
      <c r="G889" s="19"/>
    </row>
    <row r="890" spans="7:7" ht="12.75" x14ac:dyDescent="0.2">
      <c r="G890" s="19"/>
    </row>
    <row r="891" spans="7:7" ht="12.75" x14ac:dyDescent="0.2">
      <c r="G891" s="19"/>
    </row>
    <row r="892" spans="7:7" ht="12.75" x14ac:dyDescent="0.2">
      <c r="G892" s="19"/>
    </row>
    <row r="893" spans="7:7" ht="12.75" x14ac:dyDescent="0.2">
      <c r="G893" s="19"/>
    </row>
    <row r="894" spans="7:7" ht="12.75" x14ac:dyDescent="0.2">
      <c r="G894" s="19"/>
    </row>
    <row r="895" spans="7:7" ht="12.75" x14ac:dyDescent="0.2">
      <c r="G895" s="19"/>
    </row>
    <row r="896" spans="7:7" ht="12.75" x14ac:dyDescent="0.2">
      <c r="G896" s="19"/>
    </row>
    <row r="897" spans="7:7" ht="12.75" x14ac:dyDescent="0.2">
      <c r="G897" s="19"/>
    </row>
    <row r="898" spans="7:7" ht="12.75" x14ac:dyDescent="0.2">
      <c r="G898" s="19"/>
    </row>
    <row r="899" spans="7:7" ht="12.75" x14ac:dyDescent="0.2">
      <c r="G899" s="19"/>
    </row>
    <row r="900" spans="7:7" ht="12.75" x14ac:dyDescent="0.2">
      <c r="G900" s="19"/>
    </row>
    <row r="901" spans="7:7" ht="12.75" x14ac:dyDescent="0.2">
      <c r="G901" s="19"/>
    </row>
    <row r="902" spans="7:7" ht="12.75" x14ac:dyDescent="0.2">
      <c r="G902" s="19"/>
    </row>
    <row r="903" spans="7:7" ht="12.75" x14ac:dyDescent="0.2">
      <c r="G903" s="19"/>
    </row>
    <row r="904" spans="7:7" ht="12.75" x14ac:dyDescent="0.2">
      <c r="G904" s="19"/>
    </row>
    <row r="905" spans="7:7" ht="12.75" x14ac:dyDescent="0.2">
      <c r="G905" s="19"/>
    </row>
    <row r="906" spans="7:7" ht="12.75" x14ac:dyDescent="0.2">
      <c r="G906" s="19"/>
    </row>
    <row r="907" spans="7:7" ht="12.75" x14ac:dyDescent="0.2">
      <c r="G907" s="19"/>
    </row>
    <row r="908" spans="7:7" ht="12.75" x14ac:dyDescent="0.2">
      <c r="G908" s="19"/>
    </row>
    <row r="909" spans="7:7" ht="12.75" x14ac:dyDescent="0.2">
      <c r="G909" s="19"/>
    </row>
    <row r="910" spans="7:7" ht="12.75" x14ac:dyDescent="0.2">
      <c r="G910" s="19"/>
    </row>
    <row r="911" spans="7:7" ht="12.75" x14ac:dyDescent="0.2">
      <c r="G911" s="19"/>
    </row>
    <row r="912" spans="7:7" ht="12.75" x14ac:dyDescent="0.2">
      <c r="G912" s="19"/>
    </row>
    <row r="913" spans="7:7" ht="12.75" x14ac:dyDescent="0.2">
      <c r="G913" s="19"/>
    </row>
    <row r="914" spans="7:7" ht="12.75" x14ac:dyDescent="0.2">
      <c r="G914" s="19"/>
    </row>
    <row r="915" spans="7:7" ht="12.75" x14ac:dyDescent="0.2">
      <c r="G915" s="19"/>
    </row>
    <row r="916" spans="7:7" ht="12.75" x14ac:dyDescent="0.2">
      <c r="G916" s="19"/>
    </row>
    <row r="917" spans="7:7" ht="12.75" x14ac:dyDescent="0.2">
      <c r="G917" s="19"/>
    </row>
    <row r="918" spans="7:7" ht="12.75" x14ac:dyDescent="0.2">
      <c r="G918" s="19"/>
    </row>
    <row r="919" spans="7:7" ht="12.75" x14ac:dyDescent="0.2">
      <c r="G919" s="19"/>
    </row>
    <row r="920" spans="7:7" ht="12.75" x14ac:dyDescent="0.2">
      <c r="G920" s="19"/>
    </row>
    <row r="921" spans="7:7" ht="12.75" x14ac:dyDescent="0.2">
      <c r="G921" s="19"/>
    </row>
  </sheetData>
  <mergeCells count="90">
    <mergeCell ref="G347:G353"/>
    <mergeCell ref="G354:G360"/>
    <mergeCell ref="G361:G367"/>
    <mergeCell ref="G368:G374"/>
    <mergeCell ref="G375:G381"/>
    <mergeCell ref="G382:G388"/>
    <mergeCell ref="G389:G395"/>
    <mergeCell ref="G396:G402"/>
    <mergeCell ref="G403:G409"/>
    <mergeCell ref="G410:G416"/>
    <mergeCell ref="G417:G423"/>
    <mergeCell ref="G424:G430"/>
    <mergeCell ref="G431:G437"/>
    <mergeCell ref="G438:G444"/>
    <mergeCell ref="G445:G451"/>
    <mergeCell ref="G452:G458"/>
    <mergeCell ref="G459:G465"/>
    <mergeCell ref="G466:G472"/>
    <mergeCell ref="G473:G479"/>
    <mergeCell ref="G480:G486"/>
    <mergeCell ref="G487:G493"/>
    <mergeCell ref="G494:G500"/>
    <mergeCell ref="G501:G507"/>
    <mergeCell ref="G508:G514"/>
    <mergeCell ref="G515:G521"/>
    <mergeCell ref="G522:G528"/>
    <mergeCell ref="G529:G535"/>
    <mergeCell ref="G536:G542"/>
    <mergeCell ref="G592:G598"/>
    <mergeCell ref="G599:G605"/>
    <mergeCell ref="G606:G612"/>
    <mergeCell ref="G613:G619"/>
    <mergeCell ref="G620:G626"/>
    <mergeCell ref="G627:G633"/>
    <mergeCell ref="G543:G549"/>
    <mergeCell ref="G550:G556"/>
    <mergeCell ref="G557:G563"/>
    <mergeCell ref="G564:G570"/>
    <mergeCell ref="G571:G577"/>
    <mergeCell ref="G578:G584"/>
    <mergeCell ref="G585:G591"/>
    <mergeCell ref="G4:G10"/>
    <mergeCell ref="G11:G17"/>
    <mergeCell ref="G18:G24"/>
    <mergeCell ref="G25:G31"/>
    <mergeCell ref="G32:G38"/>
    <mergeCell ref="G39:G45"/>
    <mergeCell ref="G46:G52"/>
    <mergeCell ref="G53:G59"/>
    <mergeCell ref="G60:G66"/>
    <mergeCell ref="G67:G73"/>
    <mergeCell ref="G74:G80"/>
    <mergeCell ref="G81:G87"/>
    <mergeCell ref="G88:G94"/>
    <mergeCell ref="G95:G101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G165:G171"/>
    <mergeCell ref="G172:G178"/>
    <mergeCell ref="G179:G185"/>
    <mergeCell ref="G186:G192"/>
    <mergeCell ref="G193:G199"/>
    <mergeCell ref="G200:G206"/>
    <mergeCell ref="G207:G213"/>
    <mergeCell ref="G214:G220"/>
    <mergeCell ref="G221:G227"/>
    <mergeCell ref="G228:G234"/>
    <mergeCell ref="G235:G241"/>
    <mergeCell ref="G242:G248"/>
    <mergeCell ref="G249:G255"/>
    <mergeCell ref="G256:G262"/>
    <mergeCell ref="G263:G269"/>
    <mergeCell ref="G270:G276"/>
    <mergeCell ref="G277:G283"/>
    <mergeCell ref="G319:G325"/>
    <mergeCell ref="G326:G332"/>
    <mergeCell ref="G333:G339"/>
    <mergeCell ref="G340:G346"/>
    <mergeCell ref="G284:G290"/>
    <mergeCell ref="G291:G297"/>
    <mergeCell ref="G298:G304"/>
    <mergeCell ref="G305:G311"/>
    <mergeCell ref="G312:G318"/>
  </mergeCells>
  <dataValidations count="2">
    <dataValidation type="list" allowBlank="1" sqref="C1:C911" xr:uid="{00000000-0002-0000-0700-000000000000}">
      <formula1>$J$4:$J$13</formula1>
    </dataValidation>
    <dataValidation type="list" allowBlank="1" sqref="D1:D911" xr:uid="{00000000-0002-0000-0700-000003000000}">
      <formula1>$K$4:$K$91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9000000}">
          <x14:formula1>
            <xm:f>'Copia de Localidades'!$A$4:$A$104</xm:f>
          </x14:formula1>
          <xm:sqref>B1:B922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I812"/>
  <sheetViews>
    <sheetView workbookViewId="0"/>
  </sheetViews>
  <sheetFormatPr baseColWidth="10" defaultColWidth="14.42578125" defaultRowHeight="15.75" customHeight="1" x14ac:dyDescent="0.2"/>
  <cols>
    <col min="3" max="3" width="15.7109375" customWidth="1"/>
    <col min="8" max="8" width="28.7109375" customWidth="1"/>
    <col min="9" max="9" width="42.7109375" customWidth="1"/>
  </cols>
  <sheetData>
    <row r="2" spans="1:9" ht="15.75" customHeight="1" x14ac:dyDescent="0.2">
      <c r="A2" s="31" t="s">
        <v>4</v>
      </c>
      <c r="B2" s="17" t="s">
        <v>5</v>
      </c>
      <c r="C2" s="31" t="s">
        <v>349</v>
      </c>
      <c r="D2" s="31" t="s">
        <v>1</v>
      </c>
      <c r="E2" s="31" t="s">
        <v>7</v>
      </c>
      <c r="F2" s="31" t="s">
        <v>350</v>
      </c>
    </row>
    <row r="3" spans="1:9" ht="15.75" customHeight="1" x14ac:dyDescent="0.2">
      <c r="A3" s="3">
        <v>1</v>
      </c>
      <c r="B3" s="4" t="s">
        <v>12</v>
      </c>
      <c r="C3" s="3" t="s">
        <v>347</v>
      </c>
      <c r="D3" s="3" t="s">
        <v>346</v>
      </c>
      <c r="E3" s="3">
        <v>15</v>
      </c>
      <c r="H3" s="14" t="s">
        <v>0</v>
      </c>
      <c r="I3" s="14" t="s">
        <v>1</v>
      </c>
    </row>
    <row r="4" spans="1:9" ht="15.75" customHeight="1" x14ac:dyDescent="0.2">
      <c r="A4" s="3">
        <v>1</v>
      </c>
      <c r="B4" s="4" t="s">
        <v>12</v>
      </c>
      <c r="C4" s="3" t="s">
        <v>347</v>
      </c>
      <c r="D4" s="3" t="s">
        <v>283</v>
      </c>
      <c r="E4" s="3">
        <v>606</v>
      </c>
      <c r="H4" s="3" t="s">
        <v>2</v>
      </c>
      <c r="I4" s="3" t="s">
        <v>3</v>
      </c>
    </row>
    <row r="5" spans="1:9" ht="15.75" customHeight="1" x14ac:dyDescent="0.2">
      <c r="A5" s="3">
        <v>1</v>
      </c>
      <c r="B5" s="4" t="s">
        <v>12</v>
      </c>
      <c r="C5" s="3" t="s">
        <v>347</v>
      </c>
      <c r="D5" s="3" t="s">
        <v>351</v>
      </c>
      <c r="E5" s="3">
        <v>40</v>
      </c>
      <c r="H5" s="3" t="s">
        <v>10</v>
      </c>
      <c r="I5" s="3" t="s">
        <v>11</v>
      </c>
    </row>
    <row r="6" spans="1:9" ht="15.75" customHeight="1" x14ac:dyDescent="0.2">
      <c r="A6" s="3">
        <v>1</v>
      </c>
      <c r="B6" s="4" t="s">
        <v>12</v>
      </c>
      <c r="C6" s="3" t="s">
        <v>347</v>
      </c>
      <c r="D6" s="3" t="s">
        <v>316</v>
      </c>
      <c r="E6" s="3">
        <v>71</v>
      </c>
      <c r="H6" s="3" t="s">
        <v>13</v>
      </c>
      <c r="I6" s="3" t="s">
        <v>14</v>
      </c>
    </row>
    <row r="7" spans="1:9" ht="15.75" customHeight="1" x14ac:dyDescent="0.2">
      <c r="A7" s="3">
        <v>1</v>
      </c>
      <c r="B7" s="4" t="s">
        <v>12</v>
      </c>
      <c r="C7" s="3" t="s">
        <v>347</v>
      </c>
      <c r="D7" s="3" t="s">
        <v>352</v>
      </c>
      <c r="E7" s="3">
        <v>157</v>
      </c>
      <c r="H7" s="3" t="s">
        <v>15</v>
      </c>
      <c r="I7" s="3" t="s">
        <v>16</v>
      </c>
    </row>
    <row r="8" spans="1:9" ht="15.75" customHeight="1" x14ac:dyDescent="0.2">
      <c r="A8" s="3">
        <v>1</v>
      </c>
      <c r="B8" s="4" t="s">
        <v>12</v>
      </c>
      <c r="C8" s="3" t="s">
        <v>347</v>
      </c>
      <c r="D8" s="3" t="s">
        <v>353</v>
      </c>
      <c r="E8" s="3">
        <v>8</v>
      </c>
      <c r="H8" s="3" t="s">
        <v>17</v>
      </c>
      <c r="I8" s="3" t="s">
        <v>18</v>
      </c>
    </row>
    <row r="9" spans="1:9" ht="15.75" customHeight="1" x14ac:dyDescent="0.2">
      <c r="A9" s="3">
        <v>1</v>
      </c>
      <c r="B9" s="4" t="s">
        <v>12</v>
      </c>
      <c r="C9" s="3" t="s">
        <v>347</v>
      </c>
      <c r="D9" s="3" t="s">
        <v>354</v>
      </c>
      <c r="E9" s="3">
        <v>169</v>
      </c>
      <c r="H9" s="3" t="s">
        <v>347</v>
      </c>
      <c r="I9" s="3" t="s">
        <v>19</v>
      </c>
    </row>
    <row r="10" spans="1:9" ht="15.75" customHeight="1" x14ac:dyDescent="0.2">
      <c r="A10" s="3">
        <v>1</v>
      </c>
      <c r="B10" s="4" t="s">
        <v>12</v>
      </c>
      <c r="C10" s="3" t="s">
        <v>347</v>
      </c>
      <c r="D10" s="3" t="s">
        <v>14</v>
      </c>
      <c r="E10" s="3">
        <v>198</v>
      </c>
      <c r="H10" s="3" t="s">
        <v>273</v>
      </c>
      <c r="I10" s="3" t="s">
        <v>274</v>
      </c>
    </row>
    <row r="11" spans="1:9" ht="15.75" customHeight="1" x14ac:dyDescent="0.2">
      <c r="A11" s="3">
        <v>1</v>
      </c>
      <c r="B11" s="4" t="s">
        <v>12</v>
      </c>
      <c r="C11" s="3" t="s">
        <v>347</v>
      </c>
      <c r="D11" s="3" t="s">
        <v>138</v>
      </c>
      <c r="E11" s="3">
        <v>1</v>
      </c>
      <c r="F11">
        <f>SUM(E3:E11)</f>
        <v>1265</v>
      </c>
      <c r="H11" s="3"/>
      <c r="I11" s="3" t="s">
        <v>355</v>
      </c>
    </row>
    <row r="12" spans="1:9" ht="15.75" customHeight="1" x14ac:dyDescent="0.2">
      <c r="A12" s="3">
        <v>2</v>
      </c>
      <c r="B12" s="4" t="s">
        <v>25</v>
      </c>
      <c r="C12" s="3" t="s">
        <v>347</v>
      </c>
      <c r="D12" s="3" t="s">
        <v>346</v>
      </c>
      <c r="E12" s="3">
        <v>27</v>
      </c>
      <c r="H12" s="3" t="s">
        <v>125</v>
      </c>
      <c r="I12" s="3" t="s">
        <v>20</v>
      </c>
    </row>
    <row r="13" spans="1:9" ht="15.75" customHeight="1" x14ac:dyDescent="0.2">
      <c r="A13" s="3">
        <v>2</v>
      </c>
      <c r="B13" s="4" t="s">
        <v>25</v>
      </c>
      <c r="C13" s="3" t="s">
        <v>347</v>
      </c>
      <c r="D13" s="3" t="s">
        <v>283</v>
      </c>
      <c r="E13" s="3">
        <v>1805</v>
      </c>
      <c r="I13" s="3" t="s">
        <v>21</v>
      </c>
    </row>
    <row r="14" spans="1:9" ht="15.75" customHeight="1" x14ac:dyDescent="0.2">
      <c r="A14" s="3">
        <v>2</v>
      </c>
      <c r="B14" s="4" t="s">
        <v>25</v>
      </c>
      <c r="C14" s="3" t="s">
        <v>347</v>
      </c>
      <c r="D14" s="3" t="s">
        <v>351</v>
      </c>
      <c r="E14" s="3">
        <v>272</v>
      </c>
      <c r="I14" s="3" t="s">
        <v>22</v>
      </c>
    </row>
    <row r="15" spans="1:9" ht="15.75" customHeight="1" x14ac:dyDescent="0.2">
      <c r="A15" s="3">
        <v>2</v>
      </c>
      <c r="B15" s="4" t="s">
        <v>25</v>
      </c>
      <c r="C15" s="3" t="s">
        <v>347</v>
      </c>
      <c r="D15" s="3" t="s">
        <v>316</v>
      </c>
      <c r="E15" s="3">
        <v>164</v>
      </c>
      <c r="I15" s="3" t="s">
        <v>275</v>
      </c>
    </row>
    <row r="16" spans="1:9" ht="15.75" customHeight="1" x14ac:dyDescent="0.2">
      <c r="A16" s="3">
        <v>2</v>
      </c>
      <c r="B16" s="4" t="s">
        <v>25</v>
      </c>
      <c r="C16" s="3" t="s">
        <v>347</v>
      </c>
      <c r="D16" s="3" t="s">
        <v>352</v>
      </c>
      <c r="E16" s="3">
        <v>291</v>
      </c>
      <c r="I16" s="3" t="s">
        <v>276</v>
      </c>
    </row>
    <row r="17" spans="1:9" ht="15.75" customHeight="1" x14ac:dyDescent="0.2">
      <c r="A17" s="3">
        <v>2</v>
      </c>
      <c r="B17" s="4" t="s">
        <v>25</v>
      </c>
      <c r="C17" s="3" t="s">
        <v>347</v>
      </c>
      <c r="D17" s="3" t="s">
        <v>353</v>
      </c>
      <c r="E17" s="3">
        <v>23</v>
      </c>
      <c r="I17" s="3" t="s">
        <v>23</v>
      </c>
    </row>
    <row r="18" spans="1:9" ht="15.75" customHeight="1" x14ac:dyDescent="0.2">
      <c r="A18" s="3">
        <v>2</v>
      </c>
      <c r="B18" s="4" t="s">
        <v>25</v>
      </c>
      <c r="C18" s="3" t="s">
        <v>347</v>
      </c>
      <c r="D18" s="3" t="s">
        <v>354</v>
      </c>
      <c r="E18" s="3">
        <v>590</v>
      </c>
      <c r="I18" s="3" t="s">
        <v>24</v>
      </c>
    </row>
    <row r="19" spans="1:9" ht="15.75" customHeight="1" x14ac:dyDescent="0.2">
      <c r="A19" s="3">
        <v>2</v>
      </c>
      <c r="B19" s="4" t="s">
        <v>25</v>
      </c>
      <c r="C19" s="3" t="s">
        <v>347</v>
      </c>
      <c r="D19" s="3" t="s">
        <v>14</v>
      </c>
      <c r="E19" s="3">
        <v>431</v>
      </c>
      <c r="I19" s="3" t="s">
        <v>26</v>
      </c>
    </row>
    <row r="20" spans="1:9" ht="15.75" customHeight="1" x14ac:dyDescent="0.2">
      <c r="A20" s="3">
        <v>2</v>
      </c>
      <c r="B20" s="4" t="s">
        <v>25</v>
      </c>
      <c r="C20" s="3" t="s">
        <v>347</v>
      </c>
      <c r="D20" s="3" t="s">
        <v>138</v>
      </c>
      <c r="E20" s="3">
        <v>15</v>
      </c>
      <c r="F20">
        <f>SUM(E12:E20)</f>
        <v>3618</v>
      </c>
      <c r="I20" s="3" t="s">
        <v>346</v>
      </c>
    </row>
    <row r="21" spans="1:9" ht="15.75" customHeight="1" x14ac:dyDescent="0.2">
      <c r="A21" s="3">
        <v>3</v>
      </c>
      <c r="B21" s="4" t="s">
        <v>35</v>
      </c>
      <c r="C21" s="3" t="s">
        <v>347</v>
      </c>
      <c r="D21" s="3" t="s">
        <v>346</v>
      </c>
      <c r="E21" s="3">
        <v>7</v>
      </c>
      <c r="I21" s="3" t="s">
        <v>141</v>
      </c>
    </row>
    <row r="22" spans="1:9" ht="15.75" customHeight="1" x14ac:dyDescent="0.2">
      <c r="A22" s="3">
        <v>3</v>
      </c>
      <c r="B22" s="4" t="s">
        <v>35</v>
      </c>
      <c r="C22" s="3" t="s">
        <v>347</v>
      </c>
      <c r="D22" s="3" t="s">
        <v>283</v>
      </c>
      <c r="E22" s="3">
        <v>782</v>
      </c>
      <c r="I22" s="3" t="s">
        <v>27</v>
      </c>
    </row>
    <row r="23" spans="1:9" ht="15.75" customHeight="1" x14ac:dyDescent="0.2">
      <c r="A23" s="3">
        <v>3</v>
      </c>
      <c r="B23" s="4" t="s">
        <v>35</v>
      </c>
      <c r="C23" s="3" t="s">
        <v>347</v>
      </c>
      <c r="D23" s="3" t="s">
        <v>351</v>
      </c>
      <c r="E23" s="3">
        <v>32</v>
      </c>
      <c r="I23" s="3" t="s">
        <v>28</v>
      </c>
    </row>
    <row r="24" spans="1:9" ht="15.75" customHeight="1" x14ac:dyDescent="0.2">
      <c r="A24" s="3">
        <v>3</v>
      </c>
      <c r="B24" s="4" t="s">
        <v>35</v>
      </c>
      <c r="C24" s="3" t="s">
        <v>347</v>
      </c>
      <c r="D24" s="3" t="s">
        <v>316</v>
      </c>
      <c r="E24" s="3">
        <v>79</v>
      </c>
      <c r="I24" s="3" t="s">
        <v>29</v>
      </c>
    </row>
    <row r="25" spans="1:9" ht="15.75" customHeight="1" x14ac:dyDescent="0.2">
      <c r="A25" s="3">
        <v>3</v>
      </c>
      <c r="B25" s="4" t="s">
        <v>35</v>
      </c>
      <c r="C25" s="3" t="s">
        <v>347</v>
      </c>
      <c r="D25" s="3" t="s">
        <v>352</v>
      </c>
      <c r="E25" s="3">
        <v>135</v>
      </c>
      <c r="I25" s="3" t="s">
        <v>278</v>
      </c>
    </row>
    <row r="26" spans="1:9" ht="15.75" customHeight="1" x14ac:dyDescent="0.2">
      <c r="A26" s="3">
        <v>3</v>
      </c>
      <c r="B26" s="4" t="s">
        <v>35</v>
      </c>
      <c r="C26" s="3" t="s">
        <v>347</v>
      </c>
      <c r="D26" s="3" t="s">
        <v>353</v>
      </c>
      <c r="E26" s="3">
        <v>9</v>
      </c>
      <c r="I26" s="3" t="s">
        <v>144</v>
      </c>
    </row>
    <row r="27" spans="1:9" ht="15.75" customHeight="1" x14ac:dyDescent="0.2">
      <c r="A27" s="3">
        <v>3</v>
      </c>
      <c r="B27" s="4" t="s">
        <v>35</v>
      </c>
      <c r="C27" s="3" t="s">
        <v>347</v>
      </c>
      <c r="D27" s="3" t="s">
        <v>354</v>
      </c>
      <c r="E27" s="3">
        <v>439</v>
      </c>
      <c r="I27" s="3" t="s">
        <v>30</v>
      </c>
    </row>
    <row r="28" spans="1:9" ht="15.75" customHeight="1" x14ac:dyDescent="0.2">
      <c r="A28" s="3">
        <v>3</v>
      </c>
      <c r="B28" s="4" t="s">
        <v>35</v>
      </c>
      <c r="C28" s="3" t="s">
        <v>347</v>
      </c>
      <c r="D28" s="3" t="s">
        <v>14</v>
      </c>
      <c r="E28" s="3">
        <v>275</v>
      </c>
      <c r="I28" s="3" t="s">
        <v>31</v>
      </c>
    </row>
    <row r="29" spans="1:9" ht="15.75" customHeight="1" x14ac:dyDescent="0.2">
      <c r="A29" s="3">
        <v>3</v>
      </c>
      <c r="B29" s="4" t="s">
        <v>35</v>
      </c>
      <c r="C29" s="3" t="s">
        <v>347</v>
      </c>
      <c r="D29" s="3" t="s">
        <v>138</v>
      </c>
      <c r="E29" s="3">
        <v>7</v>
      </c>
      <c r="F29">
        <f>SUM(E21:E29)</f>
        <v>1765</v>
      </c>
      <c r="I29" s="3" t="s">
        <v>351</v>
      </c>
    </row>
    <row r="30" spans="1:9" ht="15.75" customHeight="1" x14ac:dyDescent="0.2">
      <c r="A30" s="3">
        <v>4</v>
      </c>
      <c r="B30" s="4" t="s">
        <v>36</v>
      </c>
      <c r="C30" s="3" t="s">
        <v>347</v>
      </c>
      <c r="D30" s="3" t="s">
        <v>346</v>
      </c>
      <c r="E30" s="3">
        <v>2</v>
      </c>
      <c r="I30" s="3" t="s">
        <v>32</v>
      </c>
    </row>
    <row r="31" spans="1:9" ht="15.75" customHeight="1" x14ac:dyDescent="0.2">
      <c r="A31" s="3">
        <v>4</v>
      </c>
      <c r="B31" s="4" t="s">
        <v>36</v>
      </c>
      <c r="C31" s="3" t="s">
        <v>347</v>
      </c>
      <c r="D31" s="3" t="s">
        <v>283</v>
      </c>
      <c r="E31" s="3">
        <v>273</v>
      </c>
      <c r="I31" s="3" t="s">
        <v>33</v>
      </c>
    </row>
    <row r="32" spans="1:9" ht="15.75" customHeight="1" x14ac:dyDescent="0.2">
      <c r="A32" s="3">
        <v>4</v>
      </c>
      <c r="B32" s="4" t="s">
        <v>36</v>
      </c>
      <c r="C32" s="3" t="s">
        <v>347</v>
      </c>
      <c r="D32" s="3" t="s">
        <v>351</v>
      </c>
      <c r="E32" s="3">
        <v>14</v>
      </c>
      <c r="I32" s="3" t="s">
        <v>142</v>
      </c>
    </row>
    <row r="33" spans="1:9" ht="15.75" customHeight="1" x14ac:dyDescent="0.2">
      <c r="A33" s="3">
        <v>4</v>
      </c>
      <c r="B33" s="4" t="s">
        <v>36</v>
      </c>
      <c r="C33" s="3" t="s">
        <v>347</v>
      </c>
      <c r="D33" s="3" t="s">
        <v>316</v>
      </c>
      <c r="E33" s="3">
        <v>14</v>
      </c>
      <c r="I33" s="3" t="s">
        <v>34</v>
      </c>
    </row>
    <row r="34" spans="1:9" ht="15.75" customHeight="1" x14ac:dyDescent="0.2">
      <c r="A34" s="3">
        <v>4</v>
      </c>
      <c r="B34" s="4" t="s">
        <v>36</v>
      </c>
      <c r="C34" s="3" t="s">
        <v>347</v>
      </c>
      <c r="D34" s="3" t="s">
        <v>352</v>
      </c>
      <c r="E34" s="3">
        <v>38</v>
      </c>
      <c r="I34" s="3" t="s">
        <v>279</v>
      </c>
    </row>
    <row r="35" spans="1:9" ht="15.75" customHeight="1" x14ac:dyDescent="0.2">
      <c r="A35" s="3">
        <v>4</v>
      </c>
      <c r="B35" s="4" t="s">
        <v>36</v>
      </c>
      <c r="C35" s="3" t="s">
        <v>347</v>
      </c>
      <c r="D35" s="3" t="s">
        <v>353</v>
      </c>
      <c r="E35" s="3">
        <v>7</v>
      </c>
      <c r="I35" s="3" t="s">
        <v>280</v>
      </c>
    </row>
    <row r="36" spans="1:9" ht="15.75" customHeight="1" x14ac:dyDescent="0.2">
      <c r="A36" s="3">
        <v>4</v>
      </c>
      <c r="B36" s="4" t="s">
        <v>36</v>
      </c>
      <c r="C36" s="3" t="s">
        <v>347</v>
      </c>
      <c r="D36" s="3" t="s">
        <v>354</v>
      </c>
      <c r="E36" s="3">
        <v>69</v>
      </c>
      <c r="I36" s="3" t="s">
        <v>281</v>
      </c>
    </row>
    <row r="37" spans="1:9" ht="15.75" customHeight="1" x14ac:dyDescent="0.2">
      <c r="A37" s="3">
        <v>4</v>
      </c>
      <c r="B37" s="4" t="s">
        <v>36</v>
      </c>
      <c r="C37" s="3" t="s">
        <v>347</v>
      </c>
      <c r="D37" s="3" t="s">
        <v>14</v>
      </c>
      <c r="E37" s="3">
        <v>87</v>
      </c>
      <c r="I37" s="3" t="s">
        <v>282</v>
      </c>
    </row>
    <row r="38" spans="1:9" ht="12.75" x14ac:dyDescent="0.2">
      <c r="A38" s="3">
        <v>4</v>
      </c>
      <c r="B38" s="4" t="s">
        <v>36</v>
      </c>
      <c r="C38" s="3" t="s">
        <v>347</v>
      </c>
      <c r="D38" s="3" t="s">
        <v>138</v>
      </c>
      <c r="E38" s="3">
        <v>3</v>
      </c>
      <c r="F38">
        <f>SUM(E30:E38)</f>
        <v>507</v>
      </c>
      <c r="I38" s="3" t="s">
        <v>352</v>
      </c>
    </row>
    <row r="39" spans="1:9" ht="12.75" x14ac:dyDescent="0.2">
      <c r="A39" s="3">
        <v>5</v>
      </c>
      <c r="B39" s="4" t="s">
        <v>37</v>
      </c>
      <c r="C39" s="3" t="s">
        <v>347</v>
      </c>
      <c r="D39" s="3" t="s">
        <v>346</v>
      </c>
      <c r="E39" s="3">
        <v>7</v>
      </c>
      <c r="I39" s="3" t="s">
        <v>283</v>
      </c>
    </row>
    <row r="40" spans="1:9" ht="12.75" x14ac:dyDescent="0.2">
      <c r="A40" s="3">
        <v>5</v>
      </c>
      <c r="B40" s="4" t="s">
        <v>37</v>
      </c>
      <c r="C40" s="3" t="s">
        <v>347</v>
      </c>
      <c r="D40" s="3" t="s">
        <v>283</v>
      </c>
      <c r="E40" s="3">
        <v>74</v>
      </c>
      <c r="I40" s="3" t="s">
        <v>284</v>
      </c>
    </row>
    <row r="41" spans="1:9" ht="12.75" x14ac:dyDescent="0.2">
      <c r="A41" s="3">
        <v>5</v>
      </c>
      <c r="B41" s="4" t="s">
        <v>37</v>
      </c>
      <c r="C41" s="3" t="s">
        <v>347</v>
      </c>
      <c r="D41" s="3" t="s">
        <v>351</v>
      </c>
      <c r="E41" s="3">
        <v>20</v>
      </c>
      <c r="I41" s="3" t="s">
        <v>285</v>
      </c>
    </row>
    <row r="42" spans="1:9" ht="12.75" x14ac:dyDescent="0.2">
      <c r="A42" s="3">
        <v>5</v>
      </c>
      <c r="B42" s="4" t="s">
        <v>37</v>
      </c>
      <c r="C42" s="3" t="s">
        <v>347</v>
      </c>
      <c r="D42" s="3" t="s">
        <v>316</v>
      </c>
      <c r="E42" s="3">
        <v>27</v>
      </c>
      <c r="I42" s="3" t="s">
        <v>286</v>
      </c>
    </row>
    <row r="43" spans="1:9" ht="12.75" x14ac:dyDescent="0.2">
      <c r="A43" s="3">
        <v>5</v>
      </c>
      <c r="B43" s="4" t="s">
        <v>37</v>
      </c>
      <c r="C43" s="3" t="s">
        <v>347</v>
      </c>
      <c r="D43" s="3" t="s">
        <v>352</v>
      </c>
      <c r="E43" s="3">
        <v>27</v>
      </c>
      <c r="I43" s="3" t="s">
        <v>149</v>
      </c>
    </row>
    <row r="44" spans="1:9" ht="12.75" x14ac:dyDescent="0.2">
      <c r="A44" s="3">
        <v>5</v>
      </c>
      <c r="B44" s="4" t="s">
        <v>37</v>
      </c>
      <c r="C44" s="3" t="s">
        <v>347</v>
      </c>
      <c r="D44" s="3" t="s">
        <v>353</v>
      </c>
      <c r="E44" s="3">
        <v>0</v>
      </c>
      <c r="I44" s="3" t="s">
        <v>287</v>
      </c>
    </row>
    <row r="45" spans="1:9" ht="12.75" x14ac:dyDescent="0.2">
      <c r="A45" s="3">
        <v>5</v>
      </c>
      <c r="B45" s="4" t="s">
        <v>37</v>
      </c>
      <c r="C45" s="3" t="s">
        <v>347</v>
      </c>
      <c r="D45" s="3" t="s">
        <v>354</v>
      </c>
      <c r="E45" s="3">
        <v>116</v>
      </c>
      <c r="I45" s="3" t="s">
        <v>288</v>
      </c>
    </row>
    <row r="46" spans="1:9" ht="12.75" x14ac:dyDescent="0.2">
      <c r="A46" s="3">
        <v>5</v>
      </c>
      <c r="B46" s="4" t="s">
        <v>37</v>
      </c>
      <c r="C46" s="3" t="s">
        <v>347</v>
      </c>
      <c r="D46" s="3" t="s">
        <v>14</v>
      </c>
      <c r="E46" s="3">
        <v>65</v>
      </c>
      <c r="I46" s="3" t="s">
        <v>289</v>
      </c>
    </row>
    <row r="47" spans="1:9" ht="12.75" x14ac:dyDescent="0.2">
      <c r="A47" s="3">
        <v>5</v>
      </c>
      <c r="B47" s="4" t="s">
        <v>37</v>
      </c>
      <c r="C47" s="3" t="s">
        <v>347</v>
      </c>
      <c r="D47" s="3" t="s">
        <v>138</v>
      </c>
      <c r="E47" s="3">
        <v>0</v>
      </c>
      <c r="F47">
        <f>SUM(E39:E47)</f>
        <v>336</v>
      </c>
      <c r="I47" s="3" t="s">
        <v>353</v>
      </c>
    </row>
    <row r="48" spans="1:9" ht="12.75" x14ac:dyDescent="0.2">
      <c r="A48" s="3">
        <v>6</v>
      </c>
      <c r="B48" s="4" t="s">
        <v>38</v>
      </c>
      <c r="C48" s="3" t="s">
        <v>347</v>
      </c>
      <c r="D48" s="3" t="s">
        <v>346</v>
      </c>
      <c r="E48" s="3">
        <v>6</v>
      </c>
      <c r="I48" s="3" t="s">
        <v>290</v>
      </c>
    </row>
    <row r="49" spans="1:9" ht="12.75" x14ac:dyDescent="0.2">
      <c r="A49" s="3">
        <v>6</v>
      </c>
      <c r="B49" s="4" t="s">
        <v>38</v>
      </c>
      <c r="C49" s="3" t="s">
        <v>347</v>
      </c>
      <c r="D49" s="3" t="s">
        <v>283</v>
      </c>
      <c r="E49" s="3">
        <v>665</v>
      </c>
      <c r="I49" s="3" t="s">
        <v>291</v>
      </c>
    </row>
    <row r="50" spans="1:9" ht="12.75" x14ac:dyDescent="0.2">
      <c r="A50" s="3">
        <v>6</v>
      </c>
      <c r="B50" s="4" t="s">
        <v>38</v>
      </c>
      <c r="C50" s="3" t="s">
        <v>347</v>
      </c>
      <c r="D50" s="3" t="s">
        <v>351</v>
      </c>
      <c r="E50" s="3">
        <v>15</v>
      </c>
      <c r="I50" s="3" t="s">
        <v>292</v>
      </c>
    </row>
    <row r="51" spans="1:9" ht="12.75" x14ac:dyDescent="0.2">
      <c r="A51" s="3">
        <v>6</v>
      </c>
      <c r="B51" s="4" t="s">
        <v>38</v>
      </c>
      <c r="C51" s="3" t="s">
        <v>347</v>
      </c>
      <c r="D51" s="3" t="s">
        <v>316</v>
      </c>
      <c r="E51" s="3">
        <v>43</v>
      </c>
      <c r="I51" s="3" t="s">
        <v>293</v>
      </c>
    </row>
    <row r="52" spans="1:9" ht="12.75" x14ac:dyDescent="0.2">
      <c r="A52" s="3">
        <v>6</v>
      </c>
      <c r="B52" s="4" t="s">
        <v>38</v>
      </c>
      <c r="C52" s="3" t="s">
        <v>347</v>
      </c>
      <c r="D52" s="3" t="s">
        <v>352</v>
      </c>
      <c r="E52" s="3">
        <v>179</v>
      </c>
      <c r="I52" s="3" t="s">
        <v>140</v>
      </c>
    </row>
    <row r="53" spans="1:9" ht="12.75" x14ac:dyDescent="0.2">
      <c r="A53" s="3">
        <v>6</v>
      </c>
      <c r="B53" s="4" t="s">
        <v>38</v>
      </c>
      <c r="C53" s="3" t="s">
        <v>347</v>
      </c>
      <c r="D53" s="3" t="s">
        <v>353</v>
      </c>
      <c r="E53" s="3">
        <v>12</v>
      </c>
      <c r="I53" s="3" t="s">
        <v>294</v>
      </c>
    </row>
    <row r="54" spans="1:9" ht="12.75" x14ac:dyDescent="0.2">
      <c r="A54" s="3">
        <v>6</v>
      </c>
      <c r="B54" s="4" t="s">
        <v>38</v>
      </c>
      <c r="C54" s="3" t="s">
        <v>347</v>
      </c>
      <c r="D54" s="3" t="s">
        <v>354</v>
      </c>
      <c r="E54" s="3">
        <v>295</v>
      </c>
      <c r="I54" s="3" t="s">
        <v>295</v>
      </c>
    </row>
    <row r="55" spans="1:9" ht="12.75" x14ac:dyDescent="0.2">
      <c r="A55" s="3">
        <v>6</v>
      </c>
      <c r="B55" s="4" t="s">
        <v>38</v>
      </c>
      <c r="C55" s="3" t="s">
        <v>347</v>
      </c>
      <c r="D55" s="3" t="s">
        <v>14</v>
      </c>
      <c r="E55" s="3">
        <v>177</v>
      </c>
      <c r="I55" s="3" t="s">
        <v>296</v>
      </c>
    </row>
    <row r="56" spans="1:9" ht="12.75" x14ac:dyDescent="0.2">
      <c r="A56" s="3">
        <v>6</v>
      </c>
      <c r="B56" s="4" t="s">
        <v>38</v>
      </c>
      <c r="C56" s="3" t="s">
        <v>347</v>
      </c>
      <c r="D56" s="3" t="s">
        <v>138</v>
      </c>
      <c r="E56" s="3">
        <v>7</v>
      </c>
      <c r="F56">
        <f>SUM(E48:E56)</f>
        <v>1399</v>
      </c>
      <c r="I56" s="3"/>
    </row>
    <row r="57" spans="1:9" ht="12.75" x14ac:dyDescent="0.2">
      <c r="A57" s="2" t="s">
        <v>39</v>
      </c>
      <c r="B57" s="4" t="s">
        <v>40</v>
      </c>
      <c r="C57" s="3" t="s">
        <v>347</v>
      </c>
      <c r="D57" s="3" t="s">
        <v>346</v>
      </c>
      <c r="E57" s="3">
        <v>809</v>
      </c>
      <c r="I57" s="3"/>
    </row>
    <row r="58" spans="1:9" ht="12.75" x14ac:dyDescent="0.2">
      <c r="A58" s="2" t="s">
        <v>39</v>
      </c>
      <c r="B58" s="4" t="s">
        <v>40</v>
      </c>
      <c r="C58" s="3" t="s">
        <v>347</v>
      </c>
      <c r="D58" s="3" t="s">
        <v>283</v>
      </c>
      <c r="E58" s="3">
        <v>34370</v>
      </c>
      <c r="I58" s="3" t="s">
        <v>297</v>
      </c>
    </row>
    <row r="59" spans="1:9" ht="12.75" x14ac:dyDescent="0.2">
      <c r="A59" s="2" t="s">
        <v>39</v>
      </c>
      <c r="B59" s="4" t="s">
        <v>40</v>
      </c>
      <c r="C59" s="3" t="s">
        <v>347</v>
      </c>
      <c r="D59" s="3" t="s">
        <v>351</v>
      </c>
      <c r="E59" s="3">
        <v>1813</v>
      </c>
      <c r="I59" s="3" t="s">
        <v>298</v>
      </c>
    </row>
    <row r="60" spans="1:9" ht="12.75" x14ac:dyDescent="0.2">
      <c r="A60" s="2" t="s">
        <v>39</v>
      </c>
      <c r="B60" s="4" t="s">
        <v>40</v>
      </c>
      <c r="C60" s="3" t="s">
        <v>347</v>
      </c>
      <c r="D60" s="3" t="s">
        <v>316</v>
      </c>
      <c r="E60" s="3">
        <v>4475</v>
      </c>
      <c r="I60" s="3" t="s">
        <v>299</v>
      </c>
    </row>
    <row r="61" spans="1:9" ht="12.75" x14ac:dyDescent="0.2">
      <c r="A61" s="2" t="s">
        <v>39</v>
      </c>
      <c r="B61" s="4" t="s">
        <v>40</v>
      </c>
      <c r="C61" s="3" t="s">
        <v>347</v>
      </c>
      <c r="D61" s="3" t="s">
        <v>352</v>
      </c>
      <c r="E61" s="3">
        <v>9100</v>
      </c>
      <c r="I61" s="3"/>
    </row>
    <row r="62" spans="1:9" ht="12.75" x14ac:dyDescent="0.2">
      <c r="A62" s="2" t="s">
        <v>39</v>
      </c>
      <c r="B62" s="4" t="s">
        <v>40</v>
      </c>
      <c r="C62" s="3" t="s">
        <v>347</v>
      </c>
      <c r="D62" s="3" t="s">
        <v>353</v>
      </c>
      <c r="E62" s="3">
        <v>861</v>
      </c>
      <c r="I62" s="3" t="s">
        <v>300</v>
      </c>
    </row>
    <row r="63" spans="1:9" ht="12.75" x14ac:dyDescent="0.2">
      <c r="A63" s="2" t="s">
        <v>39</v>
      </c>
      <c r="B63" s="4" t="s">
        <v>40</v>
      </c>
      <c r="C63" s="3" t="s">
        <v>347</v>
      </c>
      <c r="D63" s="3" t="s">
        <v>354</v>
      </c>
      <c r="E63" s="3">
        <v>6112</v>
      </c>
      <c r="I63" s="3" t="s">
        <v>301</v>
      </c>
    </row>
    <row r="64" spans="1:9" ht="12.75" x14ac:dyDescent="0.2">
      <c r="A64" s="2" t="s">
        <v>39</v>
      </c>
      <c r="B64" s="4" t="s">
        <v>40</v>
      </c>
      <c r="C64" s="3" t="s">
        <v>347</v>
      </c>
      <c r="D64" s="3" t="s">
        <v>14</v>
      </c>
      <c r="E64" s="3">
        <v>6423</v>
      </c>
      <c r="I64" s="3" t="s">
        <v>354</v>
      </c>
    </row>
    <row r="65" spans="1:9" ht="12.75" x14ac:dyDescent="0.2">
      <c r="A65" s="2" t="s">
        <v>356</v>
      </c>
      <c r="B65" s="4" t="s">
        <v>40</v>
      </c>
      <c r="C65" s="3" t="s">
        <v>347</v>
      </c>
      <c r="D65" s="3" t="s">
        <v>138</v>
      </c>
      <c r="E65" s="3">
        <v>550</v>
      </c>
      <c r="F65">
        <f>SUM(E57:E65)</f>
        <v>64513</v>
      </c>
      <c r="I65" s="3"/>
    </row>
    <row r="66" spans="1:9" ht="12.75" x14ac:dyDescent="0.2">
      <c r="A66" s="3">
        <v>11</v>
      </c>
      <c r="B66" s="4" t="s">
        <v>41</v>
      </c>
      <c r="C66" s="3" t="s">
        <v>347</v>
      </c>
      <c r="D66" s="3" t="s">
        <v>346</v>
      </c>
      <c r="E66" s="3">
        <v>3</v>
      </c>
      <c r="I66" s="3"/>
    </row>
    <row r="67" spans="1:9" ht="12.75" x14ac:dyDescent="0.2">
      <c r="A67" s="3">
        <v>11</v>
      </c>
      <c r="B67" s="4" t="s">
        <v>41</v>
      </c>
      <c r="C67" s="3" t="s">
        <v>347</v>
      </c>
      <c r="D67" s="3" t="s">
        <v>283</v>
      </c>
      <c r="E67" s="3">
        <v>859</v>
      </c>
      <c r="I67" s="3" t="s">
        <v>302</v>
      </c>
    </row>
    <row r="68" spans="1:9" ht="12.75" x14ac:dyDescent="0.2">
      <c r="A68" s="3">
        <v>11</v>
      </c>
      <c r="B68" s="4" t="s">
        <v>41</v>
      </c>
      <c r="C68" s="3" t="s">
        <v>347</v>
      </c>
      <c r="D68" s="3" t="s">
        <v>351</v>
      </c>
      <c r="E68" s="3">
        <v>21</v>
      </c>
      <c r="I68" s="3" t="s">
        <v>303</v>
      </c>
    </row>
    <row r="69" spans="1:9" ht="12.75" x14ac:dyDescent="0.2">
      <c r="A69" s="3">
        <v>11</v>
      </c>
      <c r="B69" s="4" t="s">
        <v>41</v>
      </c>
      <c r="C69" s="3" t="s">
        <v>347</v>
      </c>
      <c r="D69" s="3" t="s">
        <v>316</v>
      </c>
      <c r="E69" s="3">
        <v>29</v>
      </c>
      <c r="I69" s="3" t="s">
        <v>304</v>
      </c>
    </row>
    <row r="70" spans="1:9" ht="12.75" x14ac:dyDescent="0.2">
      <c r="A70" s="3">
        <v>11</v>
      </c>
      <c r="B70" s="4" t="s">
        <v>41</v>
      </c>
      <c r="C70" s="3" t="s">
        <v>347</v>
      </c>
      <c r="D70" s="3" t="s">
        <v>352</v>
      </c>
      <c r="E70" s="3">
        <v>68</v>
      </c>
      <c r="I70" s="3" t="s">
        <v>305</v>
      </c>
    </row>
    <row r="71" spans="1:9" ht="12.75" x14ac:dyDescent="0.2">
      <c r="A71" s="3">
        <v>11</v>
      </c>
      <c r="B71" s="4" t="s">
        <v>41</v>
      </c>
      <c r="C71" s="3" t="s">
        <v>347</v>
      </c>
      <c r="D71" s="3" t="s">
        <v>353</v>
      </c>
      <c r="E71" s="3">
        <v>16</v>
      </c>
      <c r="I71" s="3"/>
    </row>
    <row r="72" spans="1:9" ht="12.75" x14ac:dyDescent="0.2">
      <c r="A72" s="3">
        <v>11</v>
      </c>
      <c r="B72" s="4" t="s">
        <v>41</v>
      </c>
      <c r="C72" s="3" t="s">
        <v>347</v>
      </c>
      <c r="D72" s="3" t="s">
        <v>354</v>
      </c>
      <c r="E72" s="3">
        <v>73</v>
      </c>
      <c r="I72" s="3" t="s">
        <v>306</v>
      </c>
    </row>
    <row r="73" spans="1:9" ht="12.75" x14ac:dyDescent="0.2">
      <c r="A73" s="3">
        <v>11</v>
      </c>
      <c r="B73" s="4" t="s">
        <v>41</v>
      </c>
      <c r="C73" s="3" t="s">
        <v>347</v>
      </c>
      <c r="D73" s="3" t="s">
        <v>14</v>
      </c>
      <c r="E73" s="3">
        <v>125</v>
      </c>
      <c r="I73" s="3" t="s">
        <v>318</v>
      </c>
    </row>
    <row r="74" spans="1:9" ht="12.75" x14ac:dyDescent="0.2">
      <c r="A74" s="3">
        <v>11</v>
      </c>
      <c r="B74" s="4" t="s">
        <v>41</v>
      </c>
      <c r="C74" s="3" t="s">
        <v>347</v>
      </c>
      <c r="D74" s="3" t="s">
        <v>138</v>
      </c>
      <c r="E74" s="3">
        <v>8</v>
      </c>
      <c r="F74">
        <f>SUM(E66:E74)</f>
        <v>1202</v>
      </c>
      <c r="I74" s="3"/>
    </row>
    <row r="75" spans="1:9" ht="12.75" x14ac:dyDescent="0.2">
      <c r="A75" s="3">
        <v>13</v>
      </c>
      <c r="B75" s="4" t="s">
        <v>42</v>
      </c>
      <c r="C75" s="3" t="s">
        <v>347</v>
      </c>
      <c r="D75" s="3" t="s">
        <v>346</v>
      </c>
      <c r="E75" s="3">
        <v>28</v>
      </c>
      <c r="I75" s="3" t="s">
        <v>308</v>
      </c>
    </row>
    <row r="76" spans="1:9" ht="12.75" x14ac:dyDescent="0.2">
      <c r="A76" s="3">
        <v>13</v>
      </c>
      <c r="B76" s="4" t="s">
        <v>42</v>
      </c>
      <c r="C76" s="3" t="s">
        <v>347</v>
      </c>
      <c r="D76" s="3" t="s">
        <v>283</v>
      </c>
      <c r="E76" s="3">
        <v>1461</v>
      </c>
      <c r="I76" s="3" t="s">
        <v>309</v>
      </c>
    </row>
    <row r="77" spans="1:9" ht="12.75" x14ac:dyDescent="0.2">
      <c r="A77" s="3">
        <v>13</v>
      </c>
      <c r="B77" s="4" t="s">
        <v>42</v>
      </c>
      <c r="C77" s="3" t="s">
        <v>347</v>
      </c>
      <c r="D77" s="3" t="s">
        <v>351</v>
      </c>
      <c r="E77" s="3">
        <v>111</v>
      </c>
      <c r="I77" s="3" t="s">
        <v>310</v>
      </c>
    </row>
    <row r="78" spans="1:9" ht="12.75" x14ac:dyDescent="0.2">
      <c r="A78" s="3">
        <v>13</v>
      </c>
      <c r="B78" s="4" t="s">
        <v>42</v>
      </c>
      <c r="C78" s="3" t="s">
        <v>347</v>
      </c>
      <c r="D78" s="3" t="s">
        <v>316</v>
      </c>
      <c r="E78" s="3">
        <v>179</v>
      </c>
      <c r="I78" s="3" t="s">
        <v>311</v>
      </c>
    </row>
    <row r="79" spans="1:9" ht="12.75" x14ac:dyDescent="0.2">
      <c r="A79" s="3">
        <v>13</v>
      </c>
      <c r="B79" s="4" t="s">
        <v>42</v>
      </c>
      <c r="C79" s="3" t="s">
        <v>347</v>
      </c>
      <c r="D79" s="3" t="s">
        <v>352</v>
      </c>
      <c r="E79" s="3">
        <v>169</v>
      </c>
      <c r="I79" s="3" t="s">
        <v>143</v>
      </c>
    </row>
    <row r="80" spans="1:9" ht="12.75" x14ac:dyDescent="0.2">
      <c r="A80" s="3">
        <v>13</v>
      </c>
      <c r="B80" s="4" t="s">
        <v>42</v>
      </c>
      <c r="C80" s="3" t="s">
        <v>347</v>
      </c>
      <c r="D80" s="3" t="s">
        <v>353</v>
      </c>
      <c r="E80" s="3">
        <v>23</v>
      </c>
      <c r="I80" s="3" t="s">
        <v>312</v>
      </c>
    </row>
    <row r="81" spans="1:9" ht="12.75" x14ac:dyDescent="0.2">
      <c r="A81" s="3">
        <v>13</v>
      </c>
      <c r="B81" s="4" t="s">
        <v>42</v>
      </c>
      <c r="C81" s="3" t="s">
        <v>347</v>
      </c>
      <c r="D81" s="3" t="s">
        <v>354</v>
      </c>
      <c r="E81" s="3">
        <v>445</v>
      </c>
      <c r="H81" s="3"/>
      <c r="I81" s="3" t="s">
        <v>313</v>
      </c>
    </row>
    <row r="82" spans="1:9" ht="12.75" x14ac:dyDescent="0.2">
      <c r="A82" s="3">
        <v>13</v>
      </c>
      <c r="B82" s="4" t="s">
        <v>42</v>
      </c>
      <c r="C82" s="3" t="s">
        <v>347</v>
      </c>
      <c r="D82" s="3" t="s">
        <v>14</v>
      </c>
      <c r="E82" s="3">
        <v>314</v>
      </c>
      <c r="I82" s="3" t="s">
        <v>132</v>
      </c>
    </row>
    <row r="83" spans="1:9" ht="12.75" x14ac:dyDescent="0.2">
      <c r="A83" s="3">
        <v>13</v>
      </c>
      <c r="B83" s="4" t="s">
        <v>42</v>
      </c>
      <c r="C83" s="3" t="s">
        <v>347</v>
      </c>
      <c r="D83" s="3" t="s">
        <v>138</v>
      </c>
      <c r="E83" s="3">
        <v>4</v>
      </c>
      <c r="F83">
        <f>SUM(E75:E83)</f>
        <v>2734</v>
      </c>
      <c r="I83" s="3"/>
    </row>
    <row r="84" spans="1:9" ht="12.75" x14ac:dyDescent="0.2">
      <c r="A84" s="3">
        <v>14</v>
      </c>
      <c r="B84" s="4" t="s">
        <v>153</v>
      </c>
      <c r="C84" s="3" t="s">
        <v>347</v>
      </c>
      <c r="D84" s="3" t="s">
        <v>346</v>
      </c>
      <c r="E84" s="3">
        <v>12</v>
      </c>
      <c r="I84" s="3" t="s">
        <v>138</v>
      </c>
    </row>
    <row r="85" spans="1:9" ht="12.75" x14ac:dyDescent="0.2">
      <c r="A85" s="3">
        <v>14</v>
      </c>
      <c r="B85" s="4" t="s">
        <v>153</v>
      </c>
      <c r="C85" s="3" t="s">
        <v>347</v>
      </c>
      <c r="D85" s="3" t="s">
        <v>283</v>
      </c>
      <c r="E85" s="3">
        <v>2</v>
      </c>
      <c r="I85" s="3" t="s">
        <v>314</v>
      </c>
    </row>
    <row r="86" spans="1:9" ht="12.75" x14ac:dyDescent="0.2">
      <c r="A86" s="3">
        <v>14</v>
      </c>
      <c r="B86" s="4" t="s">
        <v>153</v>
      </c>
      <c r="C86" s="3" t="s">
        <v>347</v>
      </c>
      <c r="D86" s="3" t="s">
        <v>351</v>
      </c>
      <c r="E86" s="3">
        <v>2</v>
      </c>
      <c r="I86" s="3" t="s">
        <v>315</v>
      </c>
    </row>
    <row r="87" spans="1:9" ht="12.75" x14ac:dyDescent="0.2">
      <c r="A87" s="3">
        <v>14</v>
      </c>
      <c r="B87" s="4" t="s">
        <v>153</v>
      </c>
      <c r="C87" s="3" t="s">
        <v>347</v>
      </c>
      <c r="D87" s="3" t="s">
        <v>316</v>
      </c>
      <c r="E87" s="3">
        <v>3</v>
      </c>
      <c r="I87" s="3" t="s">
        <v>316</v>
      </c>
    </row>
    <row r="88" spans="1:9" ht="12.75" x14ac:dyDescent="0.2">
      <c r="A88" s="3">
        <v>14</v>
      </c>
      <c r="B88" s="4" t="s">
        <v>153</v>
      </c>
      <c r="C88" s="3" t="s">
        <v>347</v>
      </c>
      <c r="D88" s="3" t="s">
        <v>352</v>
      </c>
      <c r="E88" s="3">
        <v>2</v>
      </c>
      <c r="I88" s="3" t="s">
        <v>128</v>
      </c>
    </row>
    <row r="89" spans="1:9" ht="12.75" x14ac:dyDescent="0.2">
      <c r="A89" s="3">
        <v>14</v>
      </c>
      <c r="B89" s="4" t="s">
        <v>153</v>
      </c>
      <c r="C89" s="3" t="s">
        <v>347</v>
      </c>
      <c r="D89" s="3" t="s">
        <v>353</v>
      </c>
      <c r="E89" s="3">
        <v>0</v>
      </c>
      <c r="I89" s="3" t="s">
        <v>129</v>
      </c>
    </row>
    <row r="90" spans="1:9" ht="12.75" x14ac:dyDescent="0.2">
      <c r="A90" s="3">
        <v>14</v>
      </c>
      <c r="B90" s="4" t="s">
        <v>153</v>
      </c>
      <c r="C90" s="3" t="s">
        <v>347</v>
      </c>
      <c r="D90" s="3" t="s">
        <v>354</v>
      </c>
      <c r="E90" s="3">
        <v>0</v>
      </c>
      <c r="I90" s="3" t="s">
        <v>317</v>
      </c>
    </row>
    <row r="91" spans="1:9" ht="12.75" x14ac:dyDescent="0.2">
      <c r="A91" s="3">
        <v>14</v>
      </c>
      <c r="B91" s="4" t="s">
        <v>153</v>
      </c>
      <c r="C91" s="3" t="s">
        <v>347</v>
      </c>
      <c r="D91" s="3" t="s">
        <v>14</v>
      </c>
      <c r="E91" s="3">
        <v>5</v>
      </c>
      <c r="I91" s="3"/>
    </row>
    <row r="92" spans="1:9" ht="12.75" x14ac:dyDescent="0.2">
      <c r="A92" s="3">
        <v>14</v>
      </c>
      <c r="B92" s="4" t="s">
        <v>153</v>
      </c>
      <c r="C92" s="3" t="s">
        <v>347</v>
      </c>
      <c r="D92" s="3" t="s">
        <v>138</v>
      </c>
      <c r="E92" s="3">
        <v>0</v>
      </c>
      <c r="F92">
        <f>SUM(E84:E92)</f>
        <v>26</v>
      </c>
      <c r="I92" s="3"/>
    </row>
    <row r="93" spans="1:9" ht="12.75" x14ac:dyDescent="0.2">
      <c r="A93" s="3">
        <v>15</v>
      </c>
      <c r="B93" s="4" t="s">
        <v>43</v>
      </c>
      <c r="C93" s="3" t="s">
        <v>347</v>
      </c>
      <c r="D93" s="3" t="s">
        <v>346</v>
      </c>
      <c r="E93" s="3">
        <v>10</v>
      </c>
      <c r="I93" s="3"/>
    </row>
    <row r="94" spans="1:9" ht="12.75" x14ac:dyDescent="0.2">
      <c r="A94" s="3">
        <v>15</v>
      </c>
      <c r="B94" s="4" t="s">
        <v>43</v>
      </c>
      <c r="C94" s="3" t="s">
        <v>347</v>
      </c>
      <c r="D94" s="3" t="s">
        <v>283</v>
      </c>
      <c r="E94" s="3">
        <v>608</v>
      </c>
      <c r="I94" s="3"/>
    </row>
    <row r="95" spans="1:9" ht="12.75" x14ac:dyDescent="0.2">
      <c r="A95" s="3">
        <v>15</v>
      </c>
      <c r="B95" s="4" t="s">
        <v>43</v>
      </c>
      <c r="C95" s="3" t="s">
        <v>347</v>
      </c>
      <c r="D95" s="3" t="s">
        <v>351</v>
      </c>
      <c r="E95" s="3">
        <v>65</v>
      </c>
      <c r="I95" s="3"/>
    </row>
    <row r="96" spans="1:9" ht="12.75" x14ac:dyDescent="0.2">
      <c r="A96" s="3">
        <v>15</v>
      </c>
      <c r="B96" s="4" t="s">
        <v>43</v>
      </c>
      <c r="C96" s="3" t="s">
        <v>347</v>
      </c>
      <c r="D96" s="3" t="s">
        <v>316</v>
      </c>
      <c r="E96" s="3">
        <v>122</v>
      </c>
    </row>
    <row r="97" spans="1:6" ht="12.75" x14ac:dyDescent="0.2">
      <c r="A97" s="3">
        <v>15</v>
      </c>
      <c r="B97" s="4" t="s">
        <v>43</v>
      </c>
      <c r="C97" s="3" t="s">
        <v>347</v>
      </c>
      <c r="D97" s="3" t="s">
        <v>352</v>
      </c>
      <c r="E97" s="3">
        <v>98</v>
      </c>
    </row>
    <row r="98" spans="1:6" ht="12.75" x14ac:dyDescent="0.2">
      <c r="A98" s="3">
        <v>15</v>
      </c>
      <c r="B98" s="4" t="s">
        <v>43</v>
      </c>
      <c r="C98" s="3" t="s">
        <v>347</v>
      </c>
      <c r="D98" s="3" t="s">
        <v>353</v>
      </c>
      <c r="E98" s="3">
        <v>9</v>
      </c>
    </row>
    <row r="99" spans="1:6" ht="12.75" x14ac:dyDescent="0.2">
      <c r="A99" s="3">
        <v>15</v>
      </c>
      <c r="B99" s="4" t="s">
        <v>43</v>
      </c>
      <c r="C99" s="3" t="s">
        <v>347</v>
      </c>
      <c r="D99" s="3" t="s">
        <v>354</v>
      </c>
      <c r="E99" s="3">
        <v>154</v>
      </c>
    </row>
    <row r="100" spans="1:6" ht="12.75" x14ac:dyDescent="0.2">
      <c r="A100" s="3">
        <v>15</v>
      </c>
      <c r="B100" s="4" t="s">
        <v>43</v>
      </c>
      <c r="C100" s="3" t="s">
        <v>347</v>
      </c>
      <c r="D100" s="3" t="s">
        <v>14</v>
      </c>
      <c r="E100" s="3">
        <v>136</v>
      </c>
    </row>
    <row r="101" spans="1:6" ht="12.75" x14ac:dyDescent="0.2">
      <c r="A101" s="3">
        <v>15</v>
      </c>
      <c r="B101" s="4" t="s">
        <v>43</v>
      </c>
      <c r="C101" s="3" t="s">
        <v>347</v>
      </c>
      <c r="D101" s="3" t="s">
        <v>138</v>
      </c>
      <c r="E101" s="3">
        <v>47</v>
      </c>
      <c r="F101">
        <f>SUM(E93:E101)</f>
        <v>1249</v>
      </c>
    </row>
    <row r="102" spans="1:6" ht="12.75" x14ac:dyDescent="0.2">
      <c r="A102" s="3">
        <v>16</v>
      </c>
      <c r="B102" s="4" t="s">
        <v>44</v>
      </c>
      <c r="C102" s="3" t="s">
        <v>347</v>
      </c>
      <c r="D102" s="3" t="s">
        <v>346</v>
      </c>
      <c r="E102" s="3">
        <v>3</v>
      </c>
    </row>
    <row r="103" spans="1:6" ht="12.75" x14ac:dyDescent="0.2">
      <c r="A103" s="3">
        <v>16</v>
      </c>
      <c r="B103" s="4" t="s">
        <v>44</v>
      </c>
      <c r="C103" s="3" t="s">
        <v>347</v>
      </c>
      <c r="D103" s="3" t="s">
        <v>283</v>
      </c>
      <c r="E103" s="3">
        <v>474</v>
      </c>
    </row>
    <row r="104" spans="1:6" ht="12.75" x14ac:dyDescent="0.2">
      <c r="A104" s="3">
        <v>16</v>
      </c>
      <c r="B104" s="4" t="s">
        <v>44</v>
      </c>
      <c r="C104" s="3" t="s">
        <v>347</v>
      </c>
      <c r="D104" s="3" t="s">
        <v>351</v>
      </c>
      <c r="E104" s="3">
        <v>17</v>
      </c>
    </row>
    <row r="105" spans="1:6" ht="12.75" x14ac:dyDescent="0.2">
      <c r="A105" s="3">
        <v>16</v>
      </c>
      <c r="B105" s="4" t="s">
        <v>44</v>
      </c>
      <c r="C105" s="3" t="s">
        <v>347</v>
      </c>
      <c r="D105" s="3" t="s">
        <v>316</v>
      </c>
      <c r="E105" s="3">
        <v>32</v>
      </c>
    </row>
    <row r="106" spans="1:6" ht="12.75" x14ac:dyDescent="0.2">
      <c r="A106" s="3">
        <v>16</v>
      </c>
      <c r="B106" s="4" t="s">
        <v>44</v>
      </c>
      <c r="C106" s="3" t="s">
        <v>347</v>
      </c>
      <c r="D106" s="3" t="s">
        <v>352</v>
      </c>
      <c r="E106" s="3">
        <v>49</v>
      </c>
    </row>
    <row r="107" spans="1:6" ht="12.75" x14ac:dyDescent="0.2">
      <c r="A107" s="3">
        <v>16</v>
      </c>
      <c r="B107" s="4" t="s">
        <v>44</v>
      </c>
      <c r="C107" s="3" t="s">
        <v>347</v>
      </c>
      <c r="D107" s="3" t="s">
        <v>353</v>
      </c>
      <c r="E107" s="3">
        <v>6</v>
      </c>
    </row>
    <row r="108" spans="1:6" ht="12.75" x14ac:dyDescent="0.2">
      <c r="A108" s="3">
        <v>16</v>
      </c>
      <c r="B108" s="4" t="s">
        <v>44</v>
      </c>
      <c r="C108" s="3" t="s">
        <v>347</v>
      </c>
      <c r="D108" s="3" t="s">
        <v>354</v>
      </c>
      <c r="E108" s="3">
        <v>52</v>
      </c>
    </row>
    <row r="109" spans="1:6" ht="12.75" x14ac:dyDescent="0.2">
      <c r="A109" s="3">
        <v>16</v>
      </c>
      <c r="B109" s="4" t="s">
        <v>44</v>
      </c>
      <c r="C109" s="3" t="s">
        <v>347</v>
      </c>
      <c r="D109" s="3" t="s">
        <v>14</v>
      </c>
      <c r="E109" s="3">
        <v>125</v>
      </c>
    </row>
    <row r="110" spans="1:6" ht="12.75" x14ac:dyDescent="0.2">
      <c r="A110" s="3">
        <v>16</v>
      </c>
      <c r="B110" s="4" t="s">
        <v>44</v>
      </c>
      <c r="C110" s="3" t="s">
        <v>347</v>
      </c>
      <c r="D110" s="3" t="s">
        <v>138</v>
      </c>
      <c r="E110" s="3">
        <v>2</v>
      </c>
      <c r="F110">
        <f>SUM(E102:E110)</f>
        <v>760</v>
      </c>
    </row>
    <row r="111" spans="1:6" ht="12.75" x14ac:dyDescent="0.2">
      <c r="A111" s="3">
        <v>17</v>
      </c>
      <c r="B111" s="4" t="s">
        <v>45</v>
      </c>
      <c r="C111" s="3" t="s">
        <v>347</v>
      </c>
      <c r="D111" s="3" t="s">
        <v>346</v>
      </c>
      <c r="E111" s="3">
        <v>0</v>
      </c>
    </row>
    <row r="112" spans="1:6" ht="12.75" x14ac:dyDescent="0.2">
      <c r="A112" s="3">
        <v>17</v>
      </c>
      <c r="B112" s="4" t="s">
        <v>45</v>
      </c>
      <c r="C112" s="3" t="s">
        <v>347</v>
      </c>
      <c r="D112" s="3" t="s">
        <v>283</v>
      </c>
      <c r="E112" s="3">
        <v>33</v>
      </c>
    </row>
    <row r="113" spans="1:6" ht="12.75" x14ac:dyDescent="0.2">
      <c r="A113" s="3">
        <v>17</v>
      </c>
      <c r="B113" s="4" t="s">
        <v>45</v>
      </c>
      <c r="C113" s="3" t="s">
        <v>347</v>
      </c>
      <c r="D113" s="3" t="s">
        <v>351</v>
      </c>
      <c r="E113" s="3">
        <v>0</v>
      </c>
    </row>
    <row r="114" spans="1:6" ht="12.75" x14ac:dyDescent="0.2">
      <c r="A114" s="3">
        <v>17</v>
      </c>
      <c r="B114" s="4" t="s">
        <v>45</v>
      </c>
      <c r="C114" s="3" t="s">
        <v>347</v>
      </c>
      <c r="D114" s="3" t="s">
        <v>316</v>
      </c>
      <c r="E114" s="3">
        <v>3</v>
      </c>
    </row>
    <row r="115" spans="1:6" ht="12.75" x14ac:dyDescent="0.2">
      <c r="A115" s="3">
        <v>17</v>
      </c>
      <c r="B115" s="4" t="s">
        <v>45</v>
      </c>
      <c r="C115" s="3" t="s">
        <v>347</v>
      </c>
      <c r="D115" s="3" t="s">
        <v>352</v>
      </c>
      <c r="E115" s="3">
        <v>2</v>
      </c>
    </row>
    <row r="116" spans="1:6" ht="12.75" x14ac:dyDescent="0.2">
      <c r="A116" s="3">
        <v>17</v>
      </c>
      <c r="B116" s="4" t="s">
        <v>45</v>
      </c>
      <c r="C116" s="3" t="s">
        <v>347</v>
      </c>
      <c r="D116" s="3" t="s">
        <v>353</v>
      </c>
      <c r="E116" s="3">
        <v>0</v>
      </c>
    </row>
    <row r="117" spans="1:6" ht="12.75" x14ac:dyDescent="0.2">
      <c r="A117" s="3">
        <v>17</v>
      </c>
      <c r="B117" s="4" t="s">
        <v>45</v>
      </c>
      <c r="C117" s="3" t="s">
        <v>347</v>
      </c>
      <c r="D117" s="3" t="s">
        <v>354</v>
      </c>
      <c r="E117" s="3">
        <v>2</v>
      </c>
    </row>
    <row r="118" spans="1:6" ht="12.75" x14ac:dyDescent="0.2">
      <c r="A118" s="3">
        <v>17</v>
      </c>
      <c r="B118" s="4" t="s">
        <v>45</v>
      </c>
      <c r="C118" s="3" t="s">
        <v>347</v>
      </c>
      <c r="D118" s="3" t="s">
        <v>14</v>
      </c>
      <c r="E118" s="3">
        <v>6</v>
      </c>
    </row>
    <row r="119" spans="1:6" ht="12.75" x14ac:dyDescent="0.2">
      <c r="A119" s="3">
        <v>17</v>
      </c>
      <c r="B119" s="4" t="s">
        <v>45</v>
      </c>
      <c r="C119" s="3" t="s">
        <v>347</v>
      </c>
      <c r="D119" s="3" t="s">
        <v>138</v>
      </c>
      <c r="E119" s="3">
        <v>0</v>
      </c>
      <c r="F119">
        <f>SUM(E111:E119)</f>
        <v>46</v>
      </c>
    </row>
    <row r="120" spans="1:6" ht="12.75" x14ac:dyDescent="0.2">
      <c r="A120" s="3">
        <v>18</v>
      </c>
      <c r="B120" s="4" t="s">
        <v>46</v>
      </c>
      <c r="C120" s="3" t="s">
        <v>347</v>
      </c>
      <c r="D120" s="3" t="s">
        <v>346</v>
      </c>
      <c r="E120" s="3">
        <v>15</v>
      </c>
    </row>
    <row r="121" spans="1:6" ht="12.75" x14ac:dyDescent="0.2">
      <c r="A121" s="3">
        <v>18</v>
      </c>
      <c r="B121" s="4" t="s">
        <v>46</v>
      </c>
      <c r="C121" s="3" t="s">
        <v>347</v>
      </c>
      <c r="D121" s="3" t="s">
        <v>283</v>
      </c>
      <c r="E121" s="3">
        <v>1124</v>
      </c>
    </row>
    <row r="122" spans="1:6" ht="12.75" x14ac:dyDescent="0.2">
      <c r="A122" s="3">
        <v>18</v>
      </c>
      <c r="B122" s="4" t="s">
        <v>46</v>
      </c>
      <c r="C122" s="3" t="s">
        <v>347</v>
      </c>
      <c r="D122" s="3" t="s">
        <v>351</v>
      </c>
      <c r="E122" s="3">
        <v>73</v>
      </c>
    </row>
    <row r="123" spans="1:6" ht="12.75" x14ac:dyDescent="0.2">
      <c r="A123" s="3">
        <v>18</v>
      </c>
      <c r="B123" s="4" t="s">
        <v>46</v>
      </c>
      <c r="C123" s="3" t="s">
        <v>347</v>
      </c>
      <c r="D123" s="3" t="s">
        <v>316</v>
      </c>
      <c r="E123" s="3">
        <v>90</v>
      </c>
    </row>
    <row r="124" spans="1:6" ht="12.75" x14ac:dyDescent="0.2">
      <c r="A124" s="3">
        <v>18</v>
      </c>
      <c r="B124" s="4" t="s">
        <v>46</v>
      </c>
      <c r="C124" s="3" t="s">
        <v>347</v>
      </c>
      <c r="D124" s="3" t="s">
        <v>352</v>
      </c>
      <c r="E124" s="3">
        <v>64</v>
      </c>
    </row>
    <row r="125" spans="1:6" ht="12.75" x14ac:dyDescent="0.2">
      <c r="A125" s="3">
        <v>18</v>
      </c>
      <c r="B125" s="4" t="s">
        <v>46</v>
      </c>
      <c r="C125" s="3" t="s">
        <v>347</v>
      </c>
      <c r="D125" s="3" t="s">
        <v>353</v>
      </c>
      <c r="E125" s="3">
        <v>5</v>
      </c>
    </row>
    <row r="126" spans="1:6" ht="12.75" x14ac:dyDescent="0.2">
      <c r="A126" s="3">
        <v>18</v>
      </c>
      <c r="B126" s="4" t="s">
        <v>46</v>
      </c>
      <c r="C126" s="3" t="s">
        <v>347</v>
      </c>
      <c r="D126" s="3" t="s">
        <v>354</v>
      </c>
      <c r="E126" s="3">
        <v>202</v>
      </c>
    </row>
    <row r="127" spans="1:6" ht="12.75" x14ac:dyDescent="0.2">
      <c r="A127" s="3">
        <v>18</v>
      </c>
      <c r="B127" s="4" t="s">
        <v>46</v>
      </c>
      <c r="C127" s="3" t="s">
        <v>347</v>
      </c>
      <c r="D127" s="3" t="s">
        <v>14</v>
      </c>
      <c r="E127" s="3">
        <v>264</v>
      </c>
    </row>
    <row r="128" spans="1:6" ht="12.75" x14ac:dyDescent="0.2">
      <c r="A128" s="3">
        <v>18</v>
      </c>
      <c r="B128" s="4" t="s">
        <v>46</v>
      </c>
      <c r="C128" s="3" t="s">
        <v>347</v>
      </c>
      <c r="D128" s="3" t="s">
        <v>138</v>
      </c>
      <c r="E128" s="3">
        <v>7</v>
      </c>
      <c r="F128">
        <f>SUM(E120:E128)</f>
        <v>1844</v>
      </c>
    </row>
    <row r="129" spans="1:6" ht="12.75" x14ac:dyDescent="0.2">
      <c r="A129" s="3">
        <v>19</v>
      </c>
      <c r="B129" s="4" t="s">
        <v>47</v>
      </c>
      <c r="C129" s="3" t="s">
        <v>347</v>
      </c>
      <c r="D129" s="3" t="s">
        <v>346</v>
      </c>
      <c r="E129" s="3">
        <v>6</v>
      </c>
    </row>
    <row r="130" spans="1:6" ht="12.75" x14ac:dyDescent="0.2">
      <c r="A130" s="3">
        <v>19</v>
      </c>
      <c r="B130" s="4" t="s">
        <v>47</v>
      </c>
      <c r="C130" s="3" t="s">
        <v>347</v>
      </c>
      <c r="D130" s="3" t="s">
        <v>283</v>
      </c>
      <c r="E130" s="3">
        <v>548</v>
      </c>
    </row>
    <row r="131" spans="1:6" ht="12.75" x14ac:dyDescent="0.2">
      <c r="A131" s="3">
        <v>19</v>
      </c>
      <c r="B131" s="4" t="s">
        <v>47</v>
      </c>
      <c r="C131" s="3" t="s">
        <v>347</v>
      </c>
      <c r="D131" s="3" t="s">
        <v>351</v>
      </c>
      <c r="E131" s="3">
        <v>38</v>
      </c>
    </row>
    <row r="132" spans="1:6" ht="12.75" x14ac:dyDescent="0.2">
      <c r="A132" s="3">
        <v>19</v>
      </c>
      <c r="B132" s="4" t="s">
        <v>47</v>
      </c>
      <c r="C132" s="3" t="s">
        <v>347</v>
      </c>
      <c r="D132" s="3" t="s">
        <v>316</v>
      </c>
      <c r="E132" s="3">
        <v>159</v>
      </c>
    </row>
    <row r="133" spans="1:6" ht="12.75" x14ac:dyDescent="0.2">
      <c r="A133" s="3">
        <v>19</v>
      </c>
      <c r="B133" s="4" t="s">
        <v>47</v>
      </c>
      <c r="C133" s="3" t="s">
        <v>347</v>
      </c>
      <c r="D133" s="3" t="s">
        <v>352</v>
      </c>
      <c r="E133" s="3">
        <v>98</v>
      </c>
    </row>
    <row r="134" spans="1:6" ht="12.75" x14ac:dyDescent="0.2">
      <c r="A134" s="3">
        <v>19</v>
      </c>
      <c r="B134" s="4" t="s">
        <v>47</v>
      </c>
      <c r="C134" s="3" t="s">
        <v>347</v>
      </c>
      <c r="D134" s="3" t="s">
        <v>353</v>
      </c>
      <c r="E134" s="3">
        <v>4</v>
      </c>
    </row>
    <row r="135" spans="1:6" ht="12.75" x14ac:dyDescent="0.2">
      <c r="A135" s="3">
        <v>19</v>
      </c>
      <c r="B135" s="4" t="s">
        <v>47</v>
      </c>
      <c r="C135" s="3" t="s">
        <v>347</v>
      </c>
      <c r="D135" s="3" t="s">
        <v>354</v>
      </c>
      <c r="E135" s="3">
        <v>210</v>
      </c>
    </row>
    <row r="136" spans="1:6" ht="12.75" x14ac:dyDescent="0.2">
      <c r="A136" s="3">
        <v>19</v>
      </c>
      <c r="B136" s="4" t="s">
        <v>47</v>
      </c>
      <c r="C136" s="3" t="s">
        <v>347</v>
      </c>
      <c r="D136" s="3" t="s">
        <v>14</v>
      </c>
      <c r="E136" s="3">
        <v>179</v>
      </c>
    </row>
    <row r="137" spans="1:6" ht="12.75" x14ac:dyDescent="0.2">
      <c r="A137" s="3">
        <v>19</v>
      </c>
      <c r="B137" s="4" t="s">
        <v>47</v>
      </c>
      <c r="C137" s="3" t="s">
        <v>347</v>
      </c>
      <c r="D137" s="3" t="s">
        <v>138</v>
      </c>
      <c r="E137" s="3">
        <v>0</v>
      </c>
      <c r="F137">
        <f>SUM(E129:E137)</f>
        <v>1242</v>
      </c>
    </row>
    <row r="138" spans="1:6" ht="12.75" x14ac:dyDescent="0.2">
      <c r="A138" s="2" t="s">
        <v>48</v>
      </c>
      <c r="B138" s="4" t="s">
        <v>49</v>
      </c>
      <c r="C138" s="3" t="s">
        <v>347</v>
      </c>
      <c r="D138" s="3" t="s">
        <v>346</v>
      </c>
      <c r="E138" s="3">
        <v>0</v>
      </c>
    </row>
    <row r="139" spans="1:6" ht="12.75" x14ac:dyDescent="0.2">
      <c r="A139" s="2" t="s">
        <v>48</v>
      </c>
      <c r="B139" s="4" t="s">
        <v>49</v>
      </c>
      <c r="C139" s="3" t="s">
        <v>347</v>
      </c>
      <c r="D139" s="3" t="s">
        <v>283</v>
      </c>
      <c r="E139" s="3">
        <v>77</v>
      </c>
    </row>
    <row r="140" spans="1:6" ht="12.75" x14ac:dyDescent="0.2">
      <c r="A140" s="2" t="s">
        <v>48</v>
      </c>
      <c r="B140" s="4" t="s">
        <v>49</v>
      </c>
      <c r="C140" s="3" t="s">
        <v>347</v>
      </c>
      <c r="D140" s="3" t="s">
        <v>351</v>
      </c>
      <c r="E140" s="3">
        <v>2</v>
      </c>
    </row>
    <row r="141" spans="1:6" ht="12.75" x14ac:dyDescent="0.2">
      <c r="A141" s="2" t="s">
        <v>48</v>
      </c>
      <c r="B141" s="4" t="s">
        <v>49</v>
      </c>
      <c r="C141" s="3" t="s">
        <v>347</v>
      </c>
      <c r="D141" s="3" t="s">
        <v>316</v>
      </c>
      <c r="E141" s="3">
        <v>9</v>
      </c>
    </row>
    <row r="142" spans="1:6" ht="12.75" x14ac:dyDescent="0.2">
      <c r="A142" s="2" t="s">
        <v>48</v>
      </c>
      <c r="B142" s="4" t="s">
        <v>49</v>
      </c>
      <c r="C142" s="3" t="s">
        <v>347</v>
      </c>
      <c r="D142" s="3" t="s">
        <v>352</v>
      </c>
      <c r="E142" s="3">
        <v>10</v>
      </c>
    </row>
    <row r="143" spans="1:6" ht="12.75" x14ac:dyDescent="0.2">
      <c r="A143" s="2" t="s">
        <v>48</v>
      </c>
      <c r="B143" s="4" t="s">
        <v>49</v>
      </c>
      <c r="C143" s="3" t="s">
        <v>347</v>
      </c>
      <c r="D143" s="3" t="s">
        <v>353</v>
      </c>
      <c r="E143" s="3">
        <v>0</v>
      </c>
    </row>
    <row r="144" spans="1:6" ht="12.75" x14ac:dyDescent="0.2">
      <c r="A144" s="2" t="s">
        <v>48</v>
      </c>
      <c r="B144" s="4" t="s">
        <v>49</v>
      </c>
      <c r="C144" s="3" t="s">
        <v>347</v>
      </c>
      <c r="D144" s="3" t="s">
        <v>354</v>
      </c>
      <c r="E144" s="3">
        <v>9</v>
      </c>
    </row>
    <row r="145" spans="1:6" ht="12.75" x14ac:dyDescent="0.2">
      <c r="A145" s="2" t="s">
        <v>48</v>
      </c>
      <c r="B145" s="4" t="s">
        <v>49</v>
      </c>
      <c r="C145" s="3" t="s">
        <v>347</v>
      </c>
      <c r="D145" s="3" t="s">
        <v>14</v>
      </c>
      <c r="E145" s="3">
        <v>9</v>
      </c>
    </row>
    <row r="146" spans="1:6" ht="12.75" x14ac:dyDescent="0.2">
      <c r="A146" s="2" t="s">
        <v>357</v>
      </c>
      <c r="B146" s="4" t="s">
        <v>49</v>
      </c>
      <c r="C146" s="3" t="s">
        <v>347</v>
      </c>
      <c r="D146" s="3" t="s">
        <v>138</v>
      </c>
      <c r="E146" s="3">
        <v>3</v>
      </c>
      <c r="F146">
        <f>SUM(E138:E146)</f>
        <v>119</v>
      </c>
    </row>
    <row r="147" spans="1:6" ht="12.75" x14ac:dyDescent="0.2">
      <c r="A147" s="3">
        <v>20</v>
      </c>
      <c r="B147" s="4" t="s">
        <v>50</v>
      </c>
      <c r="C147" s="3" t="s">
        <v>347</v>
      </c>
      <c r="D147" s="3" t="s">
        <v>346</v>
      </c>
      <c r="E147" s="3">
        <v>4</v>
      </c>
    </row>
    <row r="148" spans="1:6" ht="12.75" x14ac:dyDescent="0.2">
      <c r="A148" s="3">
        <v>20</v>
      </c>
      <c r="B148" s="4" t="s">
        <v>50</v>
      </c>
      <c r="C148" s="3" t="s">
        <v>347</v>
      </c>
      <c r="D148" s="3" t="s">
        <v>283</v>
      </c>
      <c r="E148" s="3">
        <v>141</v>
      </c>
    </row>
    <row r="149" spans="1:6" ht="12.75" x14ac:dyDescent="0.2">
      <c r="A149" s="3">
        <v>20</v>
      </c>
      <c r="B149" s="4" t="s">
        <v>50</v>
      </c>
      <c r="C149" s="3" t="s">
        <v>347</v>
      </c>
      <c r="D149" s="3" t="s">
        <v>351</v>
      </c>
      <c r="E149" s="3">
        <v>10</v>
      </c>
    </row>
    <row r="150" spans="1:6" ht="12.75" x14ac:dyDescent="0.2">
      <c r="A150" s="3">
        <v>20</v>
      </c>
      <c r="B150" s="4" t="s">
        <v>50</v>
      </c>
      <c r="C150" s="3" t="s">
        <v>347</v>
      </c>
      <c r="D150" s="3" t="s">
        <v>316</v>
      </c>
      <c r="E150" s="3">
        <v>18</v>
      </c>
    </row>
    <row r="151" spans="1:6" ht="12.75" x14ac:dyDescent="0.2">
      <c r="A151" s="3">
        <v>20</v>
      </c>
      <c r="B151" s="4" t="s">
        <v>50</v>
      </c>
      <c r="C151" s="3" t="s">
        <v>347</v>
      </c>
      <c r="D151" s="3" t="s">
        <v>352</v>
      </c>
      <c r="E151" s="3">
        <v>35</v>
      </c>
    </row>
    <row r="152" spans="1:6" ht="12.75" x14ac:dyDescent="0.2">
      <c r="A152" s="3">
        <v>20</v>
      </c>
      <c r="B152" s="4" t="s">
        <v>50</v>
      </c>
      <c r="C152" s="3" t="s">
        <v>347</v>
      </c>
      <c r="D152" s="3" t="s">
        <v>353</v>
      </c>
      <c r="E152" s="3">
        <v>1</v>
      </c>
    </row>
    <row r="153" spans="1:6" ht="12.75" x14ac:dyDescent="0.2">
      <c r="A153" s="3">
        <v>20</v>
      </c>
      <c r="B153" s="4" t="s">
        <v>50</v>
      </c>
      <c r="C153" s="3" t="s">
        <v>347</v>
      </c>
      <c r="D153" s="3" t="s">
        <v>354</v>
      </c>
      <c r="E153" s="3">
        <v>59</v>
      </c>
    </row>
    <row r="154" spans="1:6" ht="12.75" x14ac:dyDescent="0.2">
      <c r="A154" s="3">
        <v>20</v>
      </c>
      <c r="B154" s="4" t="s">
        <v>50</v>
      </c>
      <c r="C154" s="3" t="s">
        <v>347</v>
      </c>
      <c r="D154" s="3" t="s">
        <v>14</v>
      </c>
      <c r="E154" s="3">
        <v>31</v>
      </c>
    </row>
    <row r="155" spans="1:6" ht="12.75" x14ac:dyDescent="0.2">
      <c r="A155" s="3">
        <v>20</v>
      </c>
      <c r="B155" s="4" t="s">
        <v>50</v>
      </c>
      <c r="C155" s="3" t="s">
        <v>347</v>
      </c>
      <c r="D155" s="3" t="s">
        <v>138</v>
      </c>
      <c r="E155" s="3">
        <v>1</v>
      </c>
      <c r="F155">
        <f>SUM(E147:E155)</f>
        <v>300</v>
      </c>
    </row>
    <row r="156" spans="1:6" ht="12.75" x14ac:dyDescent="0.2">
      <c r="A156" s="3">
        <v>21</v>
      </c>
      <c r="B156" s="4" t="s">
        <v>51</v>
      </c>
      <c r="C156" s="3" t="s">
        <v>347</v>
      </c>
      <c r="D156" s="3" t="s">
        <v>346</v>
      </c>
      <c r="E156" s="3">
        <v>7</v>
      </c>
    </row>
    <row r="157" spans="1:6" ht="12.75" x14ac:dyDescent="0.2">
      <c r="A157" s="3">
        <v>21</v>
      </c>
      <c r="B157" s="4" t="s">
        <v>51</v>
      </c>
      <c r="C157" s="3" t="s">
        <v>347</v>
      </c>
      <c r="D157" s="3" t="s">
        <v>283</v>
      </c>
      <c r="E157" s="3">
        <v>239</v>
      </c>
    </row>
    <row r="158" spans="1:6" ht="12.75" x14ac:dyDescent="0.2">
      <c r="A158" s="3">
        <v>21</v>
      </c>
      <c r="B158" s="4" t="s">
        <v>51</v>
      </c>
      <c r="C158" s="3" t="s">
        <v>347</v>
      </c>
      <c r="D158" s="3" t="s">
        <v>351</v>
      </c>
      <c r="E158" s="3">
        <v>45</v>
      </c>
    </row>
    <row r="159" spans="1:6" ht="12.75" x14ac:dyDescent="0.2">
      <c r="A159" s="3">
        <v>21</v>
      </c>
      <c r="B159" s="4" t="s">
        <v>51</v>
      </c>
      <c r="C159" s="3" t="s">
        <v>347</v>
      </c>
      <c r="D159" s="3" t="s">
        <v>316</v>
      </c>
      <c r="E159" s="3">
        <v>73</v>
      </c>
    </row>
    <row r="160" spans="1:6" ht="12.75" x14ac:dyDescent="0.2">
      <c r="A160" s="3">
        <v>21</v>
      </c>
      <c r="B160" s="4" t="s">
        <v>51</v>
      </c>
      <c r="C160" s="3" t="s">
        <v>347</v>
      </c>
      <c r="D160" s="3" t="s">
        <v>352</v>
      </c>
      <c r="E160" s="3">
        <v>75</v>
      </c>
    </row>
    <row r="161" spans="1:6" ht="12.75" x14ac:dyDescent="0.2">
      <c r="A161" s="3">
        <v>21</v>
      </c>
      <c r="B161" s="4" t="s">
        <v>51</v>
      </c>
      <c r="C161" s="3" t="s">
        <v>347</v>
      </c>
      <c r="D161" s="3" t="s">
        <v>353</v>
      </c>
      <c r="E161" s="3">
        <v>3</v>
      </c>
    </row>
    <row r="162" spans="1:6" ht="12.75" x14ac:dyDescent="0.2">
      <c r="A162" s="3">
        <v>21</v>
      </c>
      <c r="B162" s="4" t="s">
        <v>51</v>
      </c>
      <c r="C162" s="3" t="s">
        <v>347</v>
      </c>
      <c r="D162" s="3" t="s">
        <v>354</v>
      </c>
      <c r="E162" s="3">
        <v>57</v>
      </c>
    </row>
    <row r="163" spans="1:6" ht="12.75" x14ac:dyDescent="0.2">
      <c r="A163" s="3">
        <v>21</v>
      </c>
      <c r="B163" s="4" t="s">
        <v>51</v>
      </c>
      <c r="C163" s="3" t="s">
        <v>347</v>
      </c>
      <c r="D163" s="3" t="s">
        <v>14</v>
      </c>
      <c r="E163" s="3">
        <v>54</v>
      </c>
    </row>
    <row r="164" spans="1:6" ht="12.75" x14ac:dyDescent="0.2">
      <c r="A164" s="3">
        <v>21</v>
      </c>
      <c r="B164" s="4" t="s">
        <v>51</v>
      </c>
      <c r="C164" s="3" t="s">
        <v>347</v>
      </c>
      <c r="D164" s="3" t="s">
        <v>138</v>
      </c>
      <c r="E164" s="3">
        <v>0</v>
      </c>
      <c r="F164">
        <f>SUM(E156:E164)</f>
        <v>553</v>
      </c>
    </row>
    <row r="165" spans="1:6" ht="12.75" x14ac:dyDescent="0.2">
      <c r="A165" s="3">
        <v>22</v>
      </c>
      <c r="B165" s="4" t="s">
        <v>52</v>
      </c>
      <c r="C165" s="3" t="s">
        <v>347</v>
      </c>
      <c r="D165" s="3" t="s">
        <v>346</v>
      </c>
      <c r="E165" s="3">
        <v>65</v>
      </c>
    </row>
    <row r="166" spans="1:6" ht="12.75" x14ac:dyDescent="0.2">
      <c r="A166" s="3">
        <v>22</v>
      </c>
      <c r="B166" s="4" t="s">
        <v>52</v>
      </c>
      <c r="C166" s="3" t="s">
        <v>347</v>
      </c>
      <c r="D166" s="3" t="s">
        <v>283</v>
      </c>
      <c r="E166" s="3">
        <v>2444</v>
      </c>
    </row>
    <row r="167" spans="1:6" ht="12.75" x14ac:dyDescent="0.2">
      <c r="A167" s="3">
        <v>22</v>
      </c>
      <c r="B167" s="4" t="s">
        <v>52</v>
      </c>
      <c r="C167" s="3" t="s">
        <v>347</v>
      </c>
      <c r="D167" s="3" t="s">
        <v>351</v>
      </c>
      <c r="E167" s="3">
        <v>235</v>
      </c>
    </row>
    <row r="168" spans="1:6" ht="12.75" x14ac:dyDescent="0.2">
      <c r="A168" s="3">
        <v>22</v>
      </c>
      <c r="B168" s="4" t="s">
        <v>52</v>
      </c>
      <c r="C168" s="3" t="s">
        <v>347</v>
      </c>
      <c r="D168" s="3" t="s">
        <v>316</v>
      </c>
      <c r="E168" s="3">
        <v>620</v>
      </c>
    </row>
    <row r="169" spans="1:6" ht="12.75" x14ac:dyDescent="0.2">
      <c r="A169" s="3">
        <v>22</v>
      </c>
      <c r="B169" s="4" t="s">
        <v>52</v>
      </c>
      <c r="C169" s="3" t="s">
        <v>347</v>
      </c>
      <c r="D169" s="3" t="s">
        <v>352</v>
      </c>
      <c r="E169" s="3">
        <v>677</v>
      </c>
    </row>
    <row r="170" spans="1:6" ht="12.75" x14ac:dyDescent="0.2">
      <c r="A170" s="3">
        <v>22</v>
      </c>
      <c r="B170" s="4" t="s">
        <v>52</v>
      </c>
      <c r="C170" s="3" t="s">
        <v>347</v>
      </c>
      <c r="D170" s="3" t="s">
        <v>353</v>
      </c>
      <c r="E170" s="3">
        <v>27</v>
      </c>
    </row>
    <row r="171" spans="1:6" ht="12.75" x14ac:dyDescent="0.2">
      <c r="A171" s="3">
        <v>22</v>
      </c>
      <c r="B171" s="4" t="s">
        <v>52</v>
      </c>
      <c r="C171" s="3" t="s">
        <v>347</v>
      </c>
      <c r="D171" s="3" t="s">
        <v>354</v>
      </c>
      <c r="E171" s="3">
        <v>486</v>
      </c>
    </row>
    <row r="172" spans="1:6" ht="12.75" x14ac:dyDescent="0.2">
      <c r="A172" s="3">
        <v>22</v>
      </c>
      <c r="B172" s="4" t="s">
        <v>52</v>
      </c>
      <c r="C172" s="3" t="s">
        <v>347</v>
      </c>
      <c r="D172" s="3" t="s">
        <v>14</v>
      </c>
      <c r="E172" s="3">
        <v>526</v>
      </c>
    </row>
    <row r="173" spans="1:6" ht="12.75" x14ac:dyDescent="0.2">
      <c r="A173" s="3">
        <v>22</v>
      </c>
      <c r="B173" s="4" t="s">
        <v>52</v>
      </c>
      <c r="C173" s="3" t="s">
        <v>347</v>
      </c>
      <c r="D173" s="3" t="s">
        <v>138</v>
      </c>
      <c r="E173" s="3">
        <v>101</v>
      </c>
      <c r="F173">
        <f>SUM(E165:E173)</f>
        <v>5181</v>
      </c>
    </row>
    <row r="174" spans="1:6" ht="12.75" x14ac:dyDescent="0.2">
      <c r="A174" s="3">
        <v>23</v>
      </c>
      <c r="B174" s="4" t="s">
        <v>53</v>
      </c>
      <c r="C174" s="3" t="s">
        <v>347</v>
      </c>
      <c r="D174" s="3" t="s">
        <v>346</v>
      </c>
      <c r="E174" s="3">
        <v>1</v>
      </c>
    </row>
    <row r="175" spans="1:6" ht="12.75" x14ac:dyDescent="0.2">
      <c r="A175" s="3">
        <v>23</v>
      </c>
      <c r="B175" s="4" t="s">
        <v>53</v>
      </c>
      <c r="C175" s="3" t="s">
        <v>347</v>
      </c>
      <c r="D175" s="3" t="s">
        <v>283</v>
      </c>
      <c r="E175" s="3">
        <v>140</v>
      </c>
    </row>
    <row r="176" spans="1:6" ht="12.75" x14ac:dyDescent="0.2">
      <c r="A176" s="3">
        <v>23</v>
      </c>
      <c r="B176" s="4" t="s">
        <v>53</v>
      </c>
      <c r="C176" s="3" t="s">
        <v>347</v>
      </c>
      <c r="D176" s="3" t="s">
        <v>351</v>
      </c>
      <c r="E176" s="3">
        <v>20</v>
      </c>
    </row>
    <row r="177" spans="1:6" ht="12.75" x14ac:dyDescent="0.2">
      <c r="A177" s="3">
        <v>23</v>
      </c>
      <c r="B177" s="4" t="s">
        <v>53</v>
      </c>
      <c r="C177" s="3" t="s">
        <v>347</v>
      </c>
      <c r="D177" s="3" t="s">
        <v>316</v>
      </c>
      <c r="E177" s="3">
        <v>36</v>
      </c>
    </row>
    <row r="178" spans="1:6" ht="12.75" x14ac:dyDescent="0.2">
      <c r="A178" s="3">
        <v>23</v>
      </c>
      <c r="B178" s="4" t="s">
        <v>53</v>
      </c>
      <c r="C178" s="3" t="s">
        <v>347</v>
      </c>
      <c r="D178" s="3" t="s">
        <v>352</v>
      </c>
      <c r="E178" s="3">
        <v>47</v>
      </c>
    </row>
    <row r="179" spans="1:6" ht="12.75" x14ac:dyDescent="0.2">
      <c r="A179" s="3">
        <v>23</v>
      </c>
      <c r="B179" s="4" t="s">
        <v>53</v>
      </c>
      <c r="C179" s="3" t="s">
        <v>347</v>
      </c>
      <c r="D179" s="3" t="s">
        <v>353</v>
      </c>
      <c r="E179" s="3">
        <v>5</v>
      </c>
    </row>
    <row r="180" spans="1:6" ht="12.75" x14ac:dyDescent="0.2">
      <c r="A180" s="3">
        <v>23</v>
      </c>
      <c r="B180" s="4" t="s">
        <v>53</v>
      </c>
      <c r="C180" s="3" t="s">
        <v>347</v>
      </c>
      <c r="D180" s="3" t="s">
        <v>354</v>
      </c>
      <c r="E180" s="3">
        <v>112</v>
      </c>
    </row>
    <row r="181" spans="1:6" ht="12.75" x14ac:dyDescent="0.2">
      <c r="A181" s="3">
        <v>23</v>
      </c>
      <c r="B181" s="4" t="s">
        <v>53</v>
      </c>
      <c r="C181" s="3" t="s">
        <v>347</v>
      </c>
      <c r="D181" s="3" t="s">
        <v>14</v>
      </c>
      <c r="E181" s="3">
        <v>162</v>
      </c>
    </row>
    <row r="182" spans="1:6" ht="12.75" x14ac:dyDescent="0.2">
      <c r="A182" s="3">
        <v>23</v>
      </c>
      <c r="B182" s="4" t="s">
        <v>53</v>
      </c>
      <c r="C182" s="3" t="s">
        <v>347</v>
      </c>
      <c r="D182" s="3" t="s">
        <v>138</v>
      </c>
      <c r="E182" s="3">
        <v>25</v>
      </c>
      <c r="F182">
        <f>SUM(E174:E182)</f>
        <v>548</v>
      </c>
    </row>
    <row r="183" spans="1:6" ht="12.75" x14ac:dyDescent="0.2">
      <c r="A183" s="3">
        <v>24</v>
      </c>
      <c r="B183" s="4" t="s">
        <v>54</v>
      </c>
      <c r="C183" s="3" t="s">
        <v>347</v>
      </c>
      <c r="D183" s="3" t="s">
        <v>346</v>
      </c>
      <c r="E183" s="3">
        <v>1</v>
      </c>
    </row>
    <row r="184" spans="1:6" ht="12.75" x14ac:dyDescent="0.2">
      <c r="A184" s="3">
        <v>24</v>
      </c>
      <c r="B184" s="4" t="s">
        <v>54</v>
      </c>
      <c r="C184" s="3" t="s">
        <v>347</v>
      </c>
      <c r="D184" s="3" t="s">
        <v>283</v>
      </c>
      <c r="E184" s="3">
        <v>198</v>
      </c>
    </row>
    <row r="185" spans="1:6" ht="12.75" x14ac:dyDescent="0.2">
      <c r="A185" s="3">
        <v>24</v>
      </c>
      <c r="B185" s="4" t="s">
        <v>54</v>
      </c>
      <c r="C185" s="3" t="s">
        <v>347</v>
      </c>
      <c r="D185" s="3" t="s">
        <v>351</v>
      </c>
      <c r="E185" s="3">
        <v>3</v>
      </c>
    </row>
    <row r="186" spans="1:6" ht="12.75" x14ac:dyDescent="0.2">
      <c r="A186" s="3">
        <v>24</v>
      </c>
      <c r="B186" s="4" t="s">
        <v>54</v>
      </c>
      <c r="C186" s="3" t="s">
        <v>347</v>
      </c>
      <c r="D186" s="3" t="s">
        <v>316</v>
      </c>
      <c r="E186" s="3">
        <v>10</v>
      </c>
    </row>
    <row r="187" spans="1:6" ht="12.75" x14ac:dyDescent="0.2">
      <c r="A187" s="3">
        <v>24</v>
      </c>
      <c r="B187" s="4" t="s">
        <v>54</v>
      </c>
      <c r="C187" s="3" t="s">
        <v>347</v>
      </c>
      <c r="D187" s="3" t="s">
        <v>352</v>
      </c>
      <c r="E187" s="3">
        <v>24</v>
      </c>
    </row>
    <row r="188" spans="1:6" ht="12.75" x14ac:dyDescent="0.2">
      <c r="A188" s="3">
        <v>24</v>
      </c>
      <c r="B188" s="4" t="s">
        <v>54</v>
      </c>
      <c r="C188" s="3" t="s">
        <v>347</v>
      </c>
      <c r="D188" s="3" t="s">
        <v>353</v>
      </c>
      <c r="E188" s="3">
        <v>1</v>
      </c>
    </row>
    <row r="189" spans="1:6" ht="12.75" x14ac:dyDescent="0.2">
      <c r="A189" s="3">
        <v>24</v>
      </c>
      <c r="B189" s="4" t="s">
        <v>54</v>
      </c>
      <c r="C189" s="3" t="s">
        <v>347</v>
      </c>
      <c r="D189" s="3" t="s">
        <v>354</v>
      </c>
      <c r="E189" s="3">
        <v>14</v>
      </c>
    </row>
    <row r="190" spans="1:6" ht="12.75" x14ac:dyDescent="0.2">
      <c r="A190" s="3">
        <v>24</v>
      </c>
      <c r="B190" s="4" t="s">
        <v>54</v>
      </c>
      <c r="C190" s="3" t="s">
        <v>347</v>
      </c>
      <c r="D190" s="3" t="s">
        <v>14</v>
      </c>
      <c r="E190" s="3">
        <v>72</v>
      </c>
    </row>
    <row r="191" spans="1:6" ht="12.75" x14ac:dyDescent="0.2">
      <c r="A191" s="3">
        <v>24</v>
      </c>
      <c r="B191" s="4" t="s">
        <v>54</v>
      </c>
      <c r="C191" s="3" t="s">
        <v>347</v>
      </c>
      <c r="D191" s="3" t="s">
        <v>138</v>
      </c>
      <c r="E191" s="3">
        <v>3</v>
      </c>
      <c r="F191">
        <f>SUM(E183:E191)</f>
        <v>326</v>
      </c>
    </row>
    <row r="192" spans="1:6" ht="12.75" x14ac:dyDescent="0.2">
      <c r="A192" s="3">
        <v>25</v>
      </c>
      <c r="B192" s="4" t="s">
        <v>55</v>
      </c>
      <c r="C192" s="3" t="s">
        <v>347</v>
      </c>
      <c r="D192" s="3" t="s">
        <v>346</v>
      </c>
      <c r="E192" s="3">
        <v>5</v>
      </c>
    </row>
    <row r="193" spans="1:6" ht="12.75" x14ac:dyDescent="0.2">
      <c r="A193" s="3">
        <v>25</v>
      </c>
      <c r="B193" s="4" t="s">
        <v>55</v>
      </c>
      <c r="C193" s="3" t="s">
        <v>347</v>
      </c>
      <c r="D193" s="3" t="s">
        <v>283</v>
      </c>
      <c r="E193" s="3">
        <v>338</v>
      </c>
    </row>
    <row r="194" spans="1:6" ht="12.75" x14ac:dyDescent="0.2">
      <c r="A194" s="3">
        <v>25</v>
      </c>
      <c r="B194" s="4" t="s">
        <v>55</v>
      </c>
      <c r="C194" s="3" t="s">
        <v>347</v>
      </c>
      <c r="D194" s="3" t="s">
        <v>351</v>
      </c>
      <c r="E194" s="3">
        <v>4</v>
      </c>
    </row>
    <row r="195" spans="1:6" ht="12.75" x14ac:dyDescent="0.2">
      <c r="A195" s="3">
        <v>25</v>
      </c>
      <c r="B195" s="4" t="s">
        <v>55</v>
      </c>
      <c r="C195" s="3" t="s">
        <v>347</v>
      </c>
      <c r="D195" s="3" t="s">
        <v>316</v>
      </c>
      <c r="E195" s="3">
        <v>12</v>
      </c>
    </row>
    <row r="196" spans="1:6" ht="12.75" x14ac:dyDescent="0.2">
      <c r="A196" s="3">
        <v>25</v>
      </c>
      <c r="B196" s="4" t="s">
        <v>55</v>
      </c>
      <c r="C196" s="3" t="s">
        <v>347</v>
      </c>
      <c r="D196" s="3" t="s">
        <v>352</v>
      </c>
      <c r="E196" s="3">
        <v>11</v>
      </c>
    </row>
    <row r="197" spans="1:6" ht="12.75" x14ac:dyDescent="0.2">
      <c r="A197" s="3">
        <v>25</v>
      </c>
      <c r="B197" s="4" t="s">
        <v>55</v>
      </c>
      <c r="C197" s="3" t="s">
        <v>347</v>
      </c>
      <c r="D197" s="3" t="s">
        <v>353</v>
      </c>
      <c r="E197" s="3">
        <v>2</v>
      </c>
    </row>
    <row r="198" spans="1:6" ht="12.75" x14ac:dyDescent="0.2">
      <c r="A198" s="3">
        <v>25</v>
      </c>
      <c r="B198" s="4" t="s">
        <v>55</v>
      </c>
      <c r="C198" s="3" t="s">
        <v>347</v>
      </c>
      <c r="D198" s="3" t="s">
        <v>354</v>
      </c>
      <c r="E198" s="3">
        <v>18</v>
      </c>
    </row>
    <row r="199" spans="1:6" ht="12.75" x14ac:dyDescent="0.2">
      <c r="A199" s="3">
        <v>25</v>
      </c>
      <c r="B199" s="4" t="s">
        <v>55</v>
      </c>
      <c r="C199" s="3" t="s">
        <v>347</v>
      </c>
      <c r="D199" s="3" t="s">
        <v>14</v>
      </c>
      <c r="E199" s="3">
        <v>202</v>
      </c>
    </row>
    <row r="200" spans="1:6" ht="12.75" x14ac:dyDescent="0.2">
      <c r="A200" s="3">
        <v>25</v>
      </c>
      <c r="B200" s="4" t="s">
        <v>55</v>
      </c>
      <c r="C200" s="3" t="s">
        <v>347</v>
      </c>
      <c r="D200" s="3" t="s">
        <v>138</v>
      </c>
      <c r="E200" s="3">
        <v>3</v>
      </c>
      <c r="F200">
        <f>SUM(E192:E200)</f>
        <v>595</v>
      </c>
    </row>
    <row r="201" spans="1:6" ht="12.75" x14ac:dyDescent="0.2">
      <c r="A201" s="3">
        <v>26</v>
      </c>
      <c r="B201" s="4" t="s">
        <v>56</v>
      </c>
      <c r="C201" s="3" t="s">
        <v>347</v>
      </c>
      <c r="D201" s="3" t="s">
        <v>346</v>
      </c>
      <c r="E201" s="3">
        <v>1</v>
      </c>
    </row>
    <row r="202" spans="1:6" ht="12.75" x14ac:dyDescent="0.2">
      <c r="A202" s="3">
        <v>26</v>
      </c>
      <c r="B202" s="4" t="s">
        <v>56</v>
      </c>
      <c r="C202" s="3" t="s">
        <v>347</v>
      </c>
      <c r="D202" s="3" t="s">
        <v>283</v>
      </c>
      <c r="E202" s="3">
        <v>276</v>
      </c>
    </row>
    <row r="203" spans="1:6" ht="12.75" x14ac:dyDescent="0.2">
      <c r="A203" s="3">
        <v>26</v>
      </c>
      <c r="B203" s="4" t="s">
        <v>56</v>
      </c>
      <c r="C203" s="3" t="s">
        <v>347</v>
      </c>
      <c r="D203" s="3" t="s">
        <v>351</v>
      </c>
      <c r="E203" s="3">
        <v>19</v>
      </c>
    </row>
    <row r="204" spans="1:6" ht="12.75" x14ac:dyDescent="0.2">
      <c r="A204" s="3">
        <v>26</v>
      </c>
      <c r="B204" s="4" t="s">
        <v>56</v>
      </c>
      <c r="C204" s="3" t="s">
        <v>347</v>
      </c>
      <c r="D204" s="3" t="s">
        <v>316</v>
      </c>
      <c r="E204" s="3">
        <v>12</v>
      </c>
    </row>
    <row r="205" spans="1:6" ht="12.75" x14ac:dyDescent="0.2">
      <c r="A205" s="3">
        <v>26</v>
      </c>
      <c r="B205" s="4" t="s">
        <v>56</v>
      </c>
      <c r="C205" s="3" t="s">
        <v>347</v>
      </c>
      <c r="D205" s="3" t="s">
        <v>352</v>
      </c>
      <c r="E205" s="3">
        <v>38</v>
      </c>
    </row>
    <row r="206" spans="1:6" ht="12.75" x14ac:dyDescent="0.2">
      <c r="A206" s="3">
        <v>26</v>
      </c>
      <c r="B206" s="4" t="s">
        <v>56</v>
      </c>
      <c r="C206" s="3" t="s">
        <v>347</v>
      </c>
      <c r="D206" s="3" t="s">
        <v>353</v>
      </c>
      <c r="E206" s="3">
        <v>0</v>
      </c>
    </row>
    <row r="207" spans="1:6" ht="12.75" x14ac:dyDescent="0.2">
      <c r="A207" s="3">
        <v>26</v>
      </c>
      <c r="B207" s="4" t="s">
        <v>56</v>
      </c>
      <c r="C207" s="3" t="s">
        <v>347</v>
      </c>
      <c r="D207" s="3" t="s">
        <v>354</v>
      </c>
      <c r="E207" s="3">
        <v>38</v>
      </c>
    </row>
    <row r="208" spans="1:6" ht="12.75" x14ac:dyDescent="0.2">
      <c r="A208" s="3">
        <v>26</v>
      </c>
      <c r="B208" s="4" t="s">
        <v>56</v>
      </c>
      <c r="C208" s="3" t="s">
        <v>347</v>
      </c>
      <c r="D208" s="3" t="s">
        <v>14</v>
      </c>
      <c r="E208" s="3">
        <v>42</v>
      </c>
    </row>
    <row r="209" spans="1:6" ht="12.75" x14ac:dyDescent="0.2">
      <c r="A209" s="3">
        <v>26</v>
      </c>
      <c r="B209" s="4" t="s">
        <v>56</v>
      </c>
      <c r="C209" s="3" t="s">
        <v>347</v>
      </c>
      <c r="D209" s="3" t="s">
        <v>138</v>
      </c>
      <c r="E209" s="3">
        <v>0</v>
      </c>
      <c r="F209">
        <f>SUM(E201:E209)</f>
        <v>426</v>
      </c>
    </row>
    <row r="210" spans="1:6" ht="12.75" x14ac:dyDescent="0.2">
      <c r="A210" s="3">
        <v>27</v>
      </c>
      <c r="B210" s="4" t="s">
        <v>57</v>
      </c>
      <c r="C210" s="3" t="s">
        <v>347</v>
      </c>
      <c r="D210" s="3" t="s">
        <v>346</v>
      </c>
      <c r="E210" s="3">
        <v>41</v>
      </c>
    </row>
    <row r="211" spans="1:6" ht="12.75" x14ac:dyDescent="0.2">
      <c r="A211" s="3">
        <v>27</v>
      </c>
      <c r="B211" s="4" t="s">
        <v>57</v>
      </c>
      <c r="C211" s="3" t="s">
        <v>347</v>
      </c>
      <c r="D211" s="3" t="s">
        <v>283</v>
      </c>
      <c r="E211" s="3">
        <v>4025</v>
      </c>
    </row>
    <row r="212" spans="1:6" ht="12.75" x14ac:dyDescent="0.2">
      <c r="A212" s="3">
        <v>27</v>
      </c>
      <c r="B212" s="4" t="s">
        <v>57</v>
      </c>
      <c r="C212" s="3" t="s">
        <v>347</v>
      </c>
      <c r="D212" s="3" t="s">
        <v>351</v>
      </c>
      <c r="E212" s="3">
        <v>182</v>
      </c>
    </row>
    <row r="213" spans="1:6" ht="12.75" x14ac:dyDescent="0.2">
      <c r="A213" s="3">
        <v>27</v>
      </c>
      <c r="B213" s="4" t="s">
        <v>57</v>
      </c>
      <c r="C213" s="3" t="s">
        <v>347</v>
      </c>
      <c r="D213" s="3" t="s">
        <v>316</v>
      </c>
      <c r="E213" s="3">
        <v>314</v>
      </c>
    </row>
    <row r="214" spans="1:6" ht="12.75" x14ac:dyDescent="0.2">
      <c r="A214" s="3">
        <v>27</v>
      </c>
      <c r="B214" s="4" t="s">
        <v>57</v>
      </c>
      <c r="C214" s="3" t="s">
        <v>347</v>
      </c>
      <c r="D214" s="3" t="s">
        <v>352</v>
      </c>
      <c r="E214" s="3">
        <v>718</v>
      </c>
    </row>
    <row r="215" spans="1:6" ht="12.75" x14ac:dyDescent="0.2">
      <c r="A215" s="3">
        <v>27</v>
      </c>
      <c r="B215" s="4" t="s">
        <v>57</v>
      </c>
      <c r="C215" s="3" t="s">
        <v>347</v>
      </c>
      <c r="D215" s="3" t="s">
        <v>353</v>
      </c>
      <c r="E215" s="3">
        <v>54</v>
      </c>
    </row>
    <row r="216" spans="1:6" ht="12.75" x14ac:dyDescent="0.2">
      <c r="A216" s="3">
        <v>27</v>
      </c>
      <c r="B216" s="4" t="s">
        <v>57</v>
      </c>
      <c r="C216" s="3" t="s">
        <v>347</v>
      </c>
      <c r="D216" s="3" t="s">
        <v>354</v>
      </c>
      <c r="E216" s="3">
        <v>705</v>
      </c>
    </row>
    <row r="217" spans="1:6" ht="12.75" x14ac:dyDescent="0.2">
      <c r="A217" s="3">
        <v>27</v>
      </c>
      <c r="B217" s="4" t="s">
        <v>57</v>
      </c>
      <c r="C217" s="3" t="s">
        <v>347</v>
      </c>
      <c r="D217" s="3" t="s">
        <v>14</v>
      </c>
      <c r="E217" s="3">
        <v>848</v>
      </c>
    </row>
    <row r="218" spans="1:6" ht="12.75" x14ac:dyDescent="0.2">
      <c r="A218" s="3">
        <v>27</v>
      </c>
      <c r="B218" s="4" t="s">
        <v>57</v>
      </c>
      <c r="C218" s="3" t="s">
        <v>347</v>
      </c>
      <c r="D218" s="3" t="s">
        <v>138</v>
      </c>
      <c r="E218" s="3">
        <v>24</v>
      </c>
      <c r="F218">
        <f>SUM(E210:E218)</f>
        <v>6911</v>
      </c>
    </row>
    <row r="219" spans="1:6" ht="12.75" x14ac:dyDescent="0.2">
      <c r="A219" s="3">
        <v>28</v>
      </c>
      <c r="B219" s="4" t="s">
        <v>58</v>
      </c>
      <c r="C219" s="3" t="s">
        <v>347</v>
      </c>
      <c r="D219" s="3" t="s">
        <v>346</v>
      </c>
      <c r="E219" s="3">
        <v>2</v>
      </c>
    </row>
    <row r="220" spans="1:6" ht="12.75" x14ac:dyDescent="0.2">
      <c r="A220" s="3">
        <v>28</v>
      </c>
      <c r="B220" s="4" t="s">
        <v>58</v>
      </c>
      <c r="C220" s="3" t="s">
        <v>347</v>
      </c>
      <c r="D220" s="3" t="s">
        <v>283</v>
      </c>
      <c r="E220" s="3">
        <v>97</v>
      </c>
    </row>
    <row r="221" spans="1:6" ht="12.75" x14ac:dyDescent="0.2">
      <c r="A221" s="3">
        <v>28</v>
      </c>
      <c r="B221" s="4" t="s">
        <v>58</v>
      </c>
      <c r="C221" s="3" t="s">
        <v>347</v>
      </c>
      <c r="D221" s="3" t="s">
        <v>351</v>
      </c>
      <c r="E221" s="3">
        <v>38</v>
      </c>
    </row>
    <row r="222" spans="1:6" ht="12.75" x14ac:dyDescent="0.2">
      <c r="A222" s="3">
        <v>28</v>
      </c>
      <c r="B222" s="4" t="s">
        <v>58</v>
      </c>
      <c r="C222" s="3" t="s">
        <v>347</v>
      </c>
      <c r="D222" s="3" t="s">
        <v>316</v>
      </c>
      <c r="E222" s="3">
        <v>15</v>
      </c>
    </row>
    <row r="223" spans="1:6" ht="12.75" x14ac:dyDescent="0.2">
      <c r="A223" s="3">
        <v>28</v>
      </c>
      <c r="B223" s="4" t="s">
        <v>58</v>
      </c>
      <c r="C223" s="3" t="s">
        <v>347</v>
      </c>
      <c r="D223" s="3" t="s">
        <v>352</v>
      </c>
      <c r="E223" s="3">
        <v>42</v>
      </c>
    </row>
    <row r="224" spans="1:6" ht="12.75" x14ac:dyDescent="0.2">
      <c r="A224" s="3">
        <v>28</v>
      </c>
      <c r="B224" s="4" t="s">
        <v>58</v>
      </c>
      <c r="C224" s="3" t="s">
        <v>347</v>
      </c>
      <c r="D224" s="3" t="s">
        <v>353</v>
      </c>
      <c r="E224" s="3">
        <v>0</v>
      </c>
    </row>
    <row r="225" spans="1:6" ht="12.75" x14ac:dyDescent="0.2">
      <c r="A225" s="3">
        <v>28</v>
      </c>
      <c r="B225" s="4" t="s">
        <v>58</v>
      </c>
      <c r="C225" s="3" t="s">
        <v>347</v>
      </c>
      <c r="D225" s="3" t="s">
        <v>354</v>
      </c>
      <c r="E225" s="3">
        <v>66</v>
      </c>
    </row>
    <row r="226" spans="1:6" ht="12.75" x14ac:dyDescent="0.2">
      <c r="A226" s="3">
        <v>28</v>
      </c>
      <c r="B226" s="4" t="s">
        <v>58</v>
      </c>
      <c r="C226" s="3" t="s">
        <v>347</v>
      </c>
      <c r="D226" s="3" t="s">
        <v>14</v>
      </c>
      <c r="E226" s="3">
        <v>45</v>
      </c>
    </row>
    <row r="227" spans="1:6" ht="12.75" x14ac:dyDescent="0.2">
      <c r="A227" s="3">
        <v>28</v>
      </c>
      <c r="B227" s="4" t="s">
        <v>58</v>
      </c>
      <c r="C227" s="3" t="s">
        <v>347</v>
      </c>
      <c r="D227" s="3" t="s">
        <v>138</v>
      </c>
      <c r="E227" s="3">
        <v>0</v>
      </c>
      <c r="F227">
        <f>SUM(E219:E227)</f>
        <v>305</v>
      </c>
    </row>
    <row r="228" spans="1:6" ht="12.75" x14ac:dyDescent="0.2">
      <c r="A228" s="3">
        <v>29</v>
      </c>
      <c r="B228" s="4" t="s">
        <v>59</v>
      </c>
      <c r="C228" s="3" t="s">
        <v>347</v>
      </c>
      <c r="D228" s="3" t="s">
        <v>346</v>
      </c>
      <c r="E228" s="3">
        <v>7</v>
      </c>
    </row>
    <row r="229" spans="1:6" ht="12.75" x14ac:dyDescent="0.2">
      <c r="A229" s="3">
        <v>29</v>
      </c>
      <c r="B229" s="4" t="s">
        <v>59</v>
      </c>
      <c r="C229" s="3" t="s">
        <v>347</v>
      </c>
      <c r="D229" s="3" t="s">
        <v>283</v>
      </c>
      <c r="E229" s="3">
        <v>217</v>
      </c>
    </row>
    <row r="230" spans="1:6" ht="12.75" x14ac:dyDescent="0.2">
      <c r="A230" s="3">
        <v>29</v>
      </c>
      <c r="B230" s="4" t="s">
        <v>59</v>
      </c>
      <c r="C230" s="3" t="s">
        <v>347</v>
      </c>
      <c r="D230" s="3" t="s">
        <v>351</v>
      </c>
      <c r="E230" s="3">
        <v>8</v>
      </c>
    </row>
    <row r="231" spans="1:6" ht="12.75" x14ac:dyDescent="0.2">
      <c r="A231" s="3">
        <v>29</v>
      </c>
      <c r="B231" s="4" t="s">
        <v>59</v>
      </c>
      <c r="C231" s="3" t="s">
        <v>347</v>
      </c>
      <c r="D231" s="3" t="s">
        <v>316</v>
      </c>
      <c r="E231" s="3">
        <v>15</v>
      </c>
    </row>
    <row r="232" spans="1:6" ht="12.75" x14ac:dyDescent="0.2">
      <c r="A232" s="3">
        <v>29</v>
      </c>
      <c r="B232" s="4" t="s">
        <v>59</v>
      </c>
      <c r="C232" s="3" t="s">
        <v>347</v>
      </c>
      <c r="D232" s="3" t="s">
        <v>352</v>
      </c>
      <c r="E232" s="3">
        <v>85</v>
      </c>
    </row>
    <row r="233" spans="1:6" ht="12.75" x14ac:dyDescent="0.2">
      <c r="A233" s="3">
        <v>29</v>
      </c>
      <c r="B233" s="4" t="s">
        <v>59</v>
      </c>
      <c r="C233" s="3" t="s">
        <v>347</v>
      </c>
      <c r="D233" s="3" t="s">
        <v>353</v>
      </c>
      <c r="E233" s="3">
        <v>8</v>
      </c>
    </row>
    <row r="234" spans="1:6" ht="12.75" x14ac:dyDescent="0.2">
      <c r="A234" s="3">
        <v>29</v>
      </c>
      <c r="B234" s="4" t="s">
        <v>59</v>
      </c>
      <c r="C234" s="3" t="s">
        <v>347</v>
      </c>
      <c r="D234" s="3" t="s">
        <v>354</v>
      </c>
      <c r="E234" s="3">
        <v>52</v>
      </c>
    </row>
    <row r="235" spans="1:6" ht="12.75" x14ac:dyDescent="0.2">
      <c r="A235" s="3">
        <v>29</v>
      </c>
      <c r="B235" s="4" t="s">
        <v>59</v>
      </c>
      <c r="C235" s="3" t="s">
        <v>347</v>
      </c>
      <c r="D235" s="3" t="s">
        <v>14</v>
      </c>
      <c r="E235" s="3">
        <v>52</v>
      </c>
    </row>
    <row r="236" spans="1:6" ht="12.75" x14ac:dyDescent="0.2">
      <c r="A236" s="3">
        <v>29</v>
      </c>
      <c r="B236" s="4" t="s">
        <v>59</v>
      </c>
      <c r="C236" s="3" t="s">
        <v>347</v>
      </c>
      <c r="D236" s="3" t="s">
        <v>138</v>
      </c>
      <c r="E236" s="3">
        <v>2</v>
      </c>
      <c r="F236">
        <f>SUM(E228:E236)</f>
        <v>446</v>
      </c>
    </row>
    <row r="237" spans="1:6" ht="12.75" x14ac:dyDescent="0.2">
      <c r="A237" s="3">
        <v>30</v>
      </c>
      <c r="B237" s="4" t="s">
        <v>60</v>
      </c>
      <c r="C237" s="3" t="s">
        <v>347</v>
      </c>
      <c r="D237" s="3" t="s">
        <v>346</v>
      </c>
      <c r="E237" s="3">
        <v>2</v>
      </c>
    </row>
    <row r="238" spans="1:6" ht="12.75" x14ac:dyDescent="0.2">
      <c r="A238" s="3">
        <v>30</v>
      </c>
      <c r="B238" s="4" t="s">
        <v>60</v>
      </c>
      <c r="C238" s="3" t="s">
        <v>347</v>
      </c>
      <c r="D238" s="3" t="s">
        <v>283</v>
      </c>
      <c r="E238" s="3">
        <v>127</v>
      </c>
    </row>
    <row r="239" spans="1:6" ht="12.75" x14ac:dyDescent="0.2">
      <c r="A239" s="3">
        <v>30</v>
      </c>
      <c r="B239" s="4" t="s">
        <v>60</v>
      </c>
      <c r="C239" s="3" t="s">
        <v>347</v>
      </c>
      <c r="D239" s="3" t="s">
        <v>351</v>
      </c>
      <c r="E239" s="3">
        <v>7</v>
      </c>
    </row>
    <row r="240" spans="1:6" ht="12.75" x14ac:dyDescent="0.2">
      <c r="A240" s="3">
        <v>30</v>
      </c>
      <c r="B240" s="4" t="s">
        <v>60</v>
      </c>
      <c r="C240" s="3" t="s">
        <v>347</v>
      </c>
      <c r="D240" s="3" t="s">
        <v>316</v>
      </c>
      <c r="E240" s="3">
        <v>13</v>
      </c>
    </row>
    <row r="241" spans="1:6" ht="12.75" x14ac:dyDescent="0.2">
      <c r="A241" s="3">
        <v>30</v>
      </c>
      <c r="B241" s="4" t="s">
        <v>60</v>
      </c>
      <c r="C241" s="3" t="s">
        <v>347</v>
      </c>
      <c r="D241" s="3" t="s">
        <v>352</v>
      </c>
      <c r="E241" s="3">
        <v>12</v>
      </c>
    </row>
    <row r="242" spans="1:6" ht="12.75" x14ac:dyDescent="0.2">
      <c r="A242" s="3">
        <v>30</v>
      </c>
      <c r="B242" s="4" t="s">
        <v>60</v>
      </c>
      <c r="C242" s="3" t="s">
        <v>347</v>
      </c>
      <c r="D242" s="3" t="s">
        <v>353</v>
      </c>
      <c r="E242" s="3">
        <v>3</v>
      </c>
    </row>
    <row r="243" spans="1:6" ht="12.75" x14ac:dyDescent="0.2">
      <c r="A243" s="3">
        <v>30</v>
      </c>
      <c r="B243" s="4" t="s">
        <v>60</v>
      </c>
      <c r="C243" s="3" t="s">
        <v>347</v>
      </c>
      <c r="D243" s="3" t="s">
        <v>354</v>
      </c>
      <c r="E243" s="3">
        <v>20</v>
      </c>
    </row>
    <row r="244" spans="1:6" ht="12.75" x14ac:dyDescent="0.2">
      <c r="A244" s="3">
        <v>30</v>
      </c>
      <c r="B244" s="4" t="s">
        <v>60</v>
      </c>
      <c r="C244" s="3" t="s">
        <v>347</v>
      </c>
      <c r="D244" s="3" t="s">
        <v>14</v>
      </c>
      <c r="E244" s="3">
        <v>19</v>
      </c>
    </row>
    <row r="245" spans="1:6" ht="12.75" x14ac:dyDescent="0.2">
      <c r="A245" s="3">
        <v>30</v>
      </c>
      <c r="B245" s="4" t="s">
        <v>60</v>
      </c>
      <c r="C245" s="3" t="s">
        <v>347</v>
      </c>
      <c r="D245" s="3" t="s">
        <v>138</v>
      </c>
      <c r="E245" s="3">
        <v>0</v>
      </c>
      <c r="F245">
        <f>SUM(E237:E245)</f>
        <v>203</v>
      </c>
    </row>
    <row r="246" spans="1:6" ht="12.75" x14ac:dyDescent="0.2">
      <c r="A246" s="3">
        <v>31</v>
      </c>
      <c r="B246" s="4" t="s">
        <v>61</v>
      </c>
      <c r="C246" s="3" t="s">
        <v>347</v>
      </c>
      <c r="D246" s="3" t="s">
        <v>346</v>
      </c>
      <c r="E246" s="3">
        <v>12</v>
      </c>
    </row>
    <row r="247" spans="1:6" ht="12.75" x14ac:dyDescent="0.2">
      <c r="A247" s="3">
        <v>31</v>
      </c>
      <c r="B247" s="4" t="s">
        <v>61</v>
      </c>
      <c r="C247" s="3" t="s">
        <v>347</v>
      </c>
      <c r="D247" s="3" t="s">
        <v>283</v>
      </c>
      <c r="E247" s="3">
        <v>897</v>
      </c>
    </row>
    <row r="248" spans="1:6" ht="12.75" x14ac:dyDescent="0.2">
      <c r="A248" s="3">
        <v>31</v>
      </c>
      <c r="B248" s="4" t="s">
        <v>61</v>
      </c>
      <c r="C248" s="3" t="s">
        <v>347</v>
      </c>
      <c r="D248" s="3" t="s">
        <v>351</v>
      </c>
      <c r="E248" s="3">
        <v>83</v>
      </c>
    </row>
    <row r="249" spans="1:6" ht="12.75" x14ac:dyDescent="0.2">
      <c r="A249" s="3">
        <v>31</v>
      </c>
      <c r="B249" s="4" t="s">
        <v>61</v>
      </c>
      <c r="C249" s="3" t="s">
        <v>347</v>
      </c>
      <c r="D249" s="3" t="s">
        <v>316</v>
      </c>
      <c r="E249" s="3">
        <v>139</v>
      </c>
    </row>
    <row r="250" spans="1:6" ht="12.75" x14ac:dyDescent="0.2">
      <c r="A250" s="3">
        <v>31</v>
      </c>
      <c r="B250" s="4" t="s">
        <v>61</v>
      </c>
      <c r="C250" s="3" t="s">
        <v>347</v>
      </c>
      <c r="D250" s="3" t="s">
        <v>352</v>
      </c>
      <c r="E250" s="3">
        <v>211</v>
      </c>
    </row>
    <row r="251" spans="1:6" ht="12.75" x14ac:dyDescent="0.2">
      <c r="A251" s="3">
        <v>31</v>
      </c>
      <c r="B251" s="4" t="s">
        <v>61</v>
      </c>
      <c r="C251" s="3" t="s">
        <v>347</v>
      </c>
      <c r="D251" s="3" t="s">
        <v>353</v>
      </c>
      <c r="E251" s="3">
        <v>14</v>
      </c>
    </row>
    <row r="252" spans="1:6" ht="12.75" x14ac:dyDescent="0.2">
      <c r="A252" s="3">
        <v>31</v>
      </c>
      <c r="B252" s="4" t="s">
        <v>61</v>
      </c>
      <c r="C252" s="3" t="s">
        <v>347</v>
      </c>
      <c r="D252" s="3" t="s">
        <v>354</v>
      </c>
      <c r="E252" s="3">
        <v>355</v>
      </c>
    </row>
    <row r="253" spans="1:6" ht="12.75" x14ac:dyDescent="0.2">
      <c r="A253" s="3">
        <v>31</v>
      </c>
      <c r="B253" s="4" t="s">
        <v>61</v>
      </c>
      <c r="C253" s="3" t="s">
        <v>347</v>
      </c>
      <c r="D253" s="3" t="s">
        <v>14</v>
      </c>
      <c r="E253" s="3">
        <v>367</v>
      </c>
    </row>
    <row r="254" spans="1:6" ht="12.75" x14ac:dyDescent="0.2">
      <c r="A254" s="3">
        <v>31</v>
      </c>
      <c r="B254" s="4" t="s">
        <v>61</v>
      </c>
      <c r="C254" s="3" t="s">
        <v>347</v>
      </c>
      <c r="D254" s="3" t="s">
        <v>138</v>
      </c>
      <c r="E254" s="3">
        <v>7</v>
      </c>
      <c r="F254">
        <f>SUM(E246:E254)</f>
        <v>2085</v>
      </c>
    </row>
    <row r="255" spans="1:6" ht="12.75" x14ac:dyDescent="0.2">
      <c r="A255" s="3">
        <v>32</v>
      </c>
      <c r="B255" s="4" t="s">
        <v>62</v>
      </c>
      <c r="C255" s="3" t="s">
        <v>347</v>
      </c>
      <c r="D255" s="3" t="s">
        <v>346</v>
      </c>
      <c r="E255" s="3">
        <v>0</v>
      </c>
    </row>
    <row r="256" spans="1:6" ht="12.75" x14ac:dyDescent="0.2">
      <c r="A256" s="3">
        <v>32</v>
      </c>
      <c r="B256" s="4" t="s">
        <v>62</v>
      </c>
      <c r="C256" s="3" t="s">
        <v>347</v>
      </c>
      <c r="D256" s="3" t="s">
        <v>283</v>
      </c>
      <c r="E256" s="3">
        <v>189</v>
      </c>
    </row>
    <row r="257" spans="1:6" ht="12.75" x14ac:dyDescent="0.2">
      <c r="A257" s="3">
        <v>32</v>
      </c>
      <c r="B257" s="4" t="s">
        <v>62</v>
      </c>
      <c r="C257" s="3" t="s">
        <v>347</v>
      </c>
      <c r="D257" s="3" t="s">
        <v>351</v>
      </c>
      <c r="E257" s="3">
        <v>6</v>
      </c>
    </row>
    <row r="258" spans="1:6" ht="12.75" x14ac:dyDescent="0.2">
      <c r="A258" s="3">
        <v>32</v>
      </c>
      <c r="B258" s="4" t="s">
        <v>62</v>
      </c>
      <c r="C258" s="3" t="s">
        <v>347</v>
      </c>
      <c r="D258" s="3" t="s">
        <v>316</v>
      </c>
      <c r="E258" s="3">
        <v>2</v>
      </c>
    </row>
    <row r="259" spans="1:6" ht="12.75" x14ac:dyDescent="0.2">
      <c r="A259" s="3">
        <v>32</v>
      </c>
      <c r="B259" s="4" t="s">
        <v>62</v>
      </c>
      <c r="C259" s="3" t="s">
        <v>347</v>
      </c>
      <c r="D259" s="3" t="s">
        <v>352</v>
      </c>
      <c r="E259" s="3">
        <v>2</v>
      </c>
    </row>
    <row r="260" spans="1:6" ht="12.75" x14ac:dyDescent="0.2">
      <c r="A260" s="3">
        <v>32</v>
      </c>
      <c r="B260" s="4" t="s">
        <v>62</v>
      </c>
      <c r="C260" s="3" t="s">
        <v>347</v>
      </c>
      <c r="D260" s="3" t="s">
        <v>353</v>
      </c>
      <c r="E260" s="3">
        <v>10</v>
      </c>
    </row>
    <row r="261" spans="1:6" ht="12.75" x14ac:dyDescent="0.2">
      <c r="A261" s="3">
        <v>32</v>
      </c>
      <c r="B261" s="4" t="s">
        <v>62</v>
      </c>
      <c r="C261" s="3" t="s">
        <v>347</v>
      </c>
      <c r="D261" s="3" t="s">
        <v>354</v>
      </c>
      <c r="E261" s="3">
        <v>9</v>
      </c>
    </row>
    <row r="262" spans="1:6" ht="12.75" x14ac:dyDescent="0.2">
      <c r="A262" s="3">
        <v>32</v>
      </c>
      <c r="B262" s="4" t="s">
        <v>62</v>
      </c>
      <c r="C262" s="3" t="s">
        <v>347</v>
      </c>
      <c r="D262" s="3" t="s">
        <v>14</v>
      </c>
      <c r="E262" s="3">
        <v>14</v>
      </c>
    </row>
    <row r="263" spans="1:6" ht="12.75" x14ac:dyDescent="0.2">
      <c r="A263" s="3">
        <v>32</v>
      </c>
      <c r="B263" s="4" t="s">
        <v>62</v>
      </c>
      <c r="C263" s="3" t="s">
        <v>347</v>
      </c>
      <c r="D263" s="3" t="s">
        <v>138</v>
      </c>
      <c r="E263" s="3">
        <v>0</v>
      </c>
      <c r="F263">
        <f>SUM(E255:E263)</f>
        <v>232</v>
      </c>
    </row>
    <row r="264" spans="1:6" ht="12.75" x14ac:dyDescent="0.2">
      <c r="A264" s="3">
        <v>33</v>
      </c>
      <c r="B264" s="4" t="s">
        <v>63</v>
      </c>
      <c r="C264" s="3" t="s">
        <v>347</v>
      </c>
      <c r="D264" s="3" t="s">
        <v>346</v>
      </c>
      <c r="E264" s="3">
        <v>0</v>
      </c>
    </row>
    <row r="265" spans="1:6" ht="12.75" x14ac:dyDescent="0.2">
      <c r="A265" s="3">
        <v>33</v>
      </c>
      <c r="B265" s="4" t="s">
        <v>63</v>
      </c>
      <c r="C265" s="3" t="s">
        <v>347</v>
      </c>
      <c r="D265" s="3" t="s">
        <v>283</v>
      </c>
      <c r="E265" s="3">
        <v>256</v>
      </c>
    </row>
    <row r="266" spans="1:6" ht="12.75" x14ac:dyDescent="0.2">
      <c r="A266" s="3">
        <v>33</v>
      </c>
      <c r="B266" s="4" t="s">
        <v>63</v>
      </c>
      <c r="C266" s="3" t="s">
        <v>347</v>
      </c>
      <c r="D266" s="3" t="s">
        <v>351</v>
      </c>
      <c r="E266" s="3">
        <v>5</v>
      </c>
    </row>
    <row r="267" spans="1:6" ht="12.75" x14ac:dyDescent="0.2">
      <c r="A267" s="3">
        <v>33</v>
      </c>
      <c r="B267" s="4" t="s">
        <v>63</v>
      </c>
      <c r="C267" s="3" t="s">
        <v>347</v>
      </c>
      <c r="D267" s="3" t="s">
        <v>316</v>
      </c>
      <c r="E267" s="3">
        <v>5</v>
      </c>
    </row>
    <row r="268" spans="1:6" ht="12.75" x14ac:dyDescent="0.2">
      <c r="A268" s="3">
        <v>33</v>
      </c>
      <c r="B268" s="4" t="s">
        <v>63</v>
      </c>
      <c r="C268" s="3" t="s">
        <v>347</v>
      </c>
      <c r="D268" s="3" t="s">
        <v>352</v>
      </c>
      <c r="E268" s="3">
        <v>13</v>
      </c>
    </row>
    <row r="269" spans="1:6" ht="12.75" x14ac:dyDescent="0.2">
      <c r="A269" s="3">
        <v>33</v>
      </c>
      <c r="B269" s="4" t="s">
        <v>63</v>
      </c>
      <c r="C269" s="3" t="s">
        <v>347</v>
      </c>
      <c r="D269" s="3" t="s">
        <v>353</v>
      </c>
      <c r="E269" s="3">
        <v>1</v>
      </c>
    </row>
    <row r="270" spans="1:6" ht="12.75" x14ac:dyDescent="0.2">
      <c r="A270" s="3">
        <v>33</v>
      </c>
      <c r="B270" s="4" t="s">
        <v>63</v>
      </c>
      <c r="C270" s="3" t="s">
        <v>347</v>
      </c>
      <c r="D270" s="3" t="s">
        <v>354</v>
      </c>
      <c r="E270" s="3">
        <v>48</v>
      </c>
    </row>
    <row r="271" spans="1:6" ht="12.75" x14ac:dyDescent="0.2">
      <c r="A271" s="3">
        <v>33</v>
      </c>
      <c r="B271" s="4" t="s">
        <v>63</v>
      </c>
      <c r="C271" s="3" t="s">
        <v>347</v>
      </c>
      <c r="D271" s="3" t="s">
        <v>14</v>
      </c>
      <c r="E271" s="3">
        <v>63</v>
      </c>
    </row>
    <row r="272" spans="1:6" ht="12.75" x14ac:dyDescent="0.2">
      <c r="A272" s="3">
        <v>33</v>
      </c>
      <c r="B272" s="4" t="s">
        <v>63</v>
      </c>
      <c r="C272" s="3" t="s">
        <v>347</v>
      </c>
      <c r="D272" s="3" t="s">
        <v>138</v>
      </c>
      <c r="E272" s="3">
        <v>0</v>
      </c>
      <c r="F272">
        <f>SUM(E264:E272)</f>
        <v>391</v>
      </c>
    </row>
    <row r="273" spans="1:6" ht="12.75" x14ac:dyDescent="0.2">
      <c r="A273" s="3">
        <v>34</v>
      </c>
      <c r="B273" s="4" t="s">
        <v>64</v>
      </c>
      <c r="C273" s="3" t="s">
        <v>347</v>
      </c>
      <c r="D273" s="3" t="s">
        <v>346</v>
      </c>
      <c r="E273" s="3">
        <v>17</v>
      </c>
    </row>
    <row r="274" spans="1:6" ht="12.75" x14ac:dyDescent="0.2">
      <c r="A274" s="3">
        <v>34</v>
      </c>
      <c r="B274" s="4" t="s">
        <v>64</v>
      </c>
      <c r="C274" s="3" t="s">
        <v>347</v>
      </c>
      <c r="D274" s="3" t="s">
        <v>283</v>
      </c>
      <c r="E274" s="3">
        <v>733</v>
      </c>
    </row>
    <row r="275" spans="1:6" ht="12.75" x14ac:dyDescent="0.2">
      <c r="A275" s="3">
        <v>34</v>
      </c>
      <c r="B275" s="4" t="s">
        <v>64</v>
      </c>
      <c r="C275" s="3" t="s">
        <v>347</v>
      </c>
      <c r="D275" s="3" t="s">
        <v>351</v>
      </c>
      <c r="E275" s="3">
        <v>66</v>
      </c>
    </row>
    <row r="276" spans="1:6" ht="12.75" x14ac:dyDescent="0.2">
      <c r="A276" s="3">
        <v>34</v>
      </c>
      <c r="B276" s="4" t="s">
        <v>64</v>
      </c>
      <c r="C276" s="3" t="s">
        <v>347</v>
      </c>
      <c r="D276" s="3" t="s">
        <v>316</v>
      </c>
      <c r="E276" s="3">
        <v>81</v>
      </c>
    </row>
    <row r="277" spans="1:6" ht="12.75" x14ac:dyDescent="0.2">
      <c r="A277" s="3">
        <v>34</v>
      </c>
      <c r="B277" s="4" t="s">
        <v>64</v>
      </c>
      <c r="C277" s="3" t="s">
        <v>347</v>
      </c>
      <c r="D277" s="3" t="s">
        <v>352</v>
      </c>
      <c r="E277" s="3">
        <v>147</v>
      </c>
    </row>
    <row r="278" spans="1:6" ht="12.75" x14ac:dyDescent="0.2">
      <c r="A278" s="3">
        <v>34</v>
      </c>
      <c r="B278" s="4" t="s">
        <v>64</v>
      </c>
      <c r="C278" s="3" t="s">
        <v>347</v>
      </c>
      <c r="D278" s="3" t="s">
        <v>353</v>
      </c>
      <c r="E278" s="3">
        <v>12</v>
      </c>
    </row>
    <row r="279" spans="1:6" ht="12.75" x14ac:dyDescent="0.2">
      <c r="A279" s="3">
        <v>34</v>
      </c>
      <c r="B279" s="4" t="s">
        <v>64</v>
      </c>
      <c r="C279" s="3" t="s">
        <v>347</v>
      </c>
      <c r="D279" s="3" t="s">
        <v>354</v>
      </c>
      <c r="E279" s="3">
        <v>282</v>
      </c>
    </row>
    <row r="280" spans="1:6" ht="12.75" x14ac:dyDescent="0.2">
      <c r="A280" s="3">
        <v>34</v>
      </c>
      <c r="B280" s="4" t="s">
        <v>64</v>
      </c>
      <c r="C280" s="3" t="s">
        <v>347</v>
      </c>
      <c r="D280" s="3" t="s">
        <v>14</v>
      </c>
      <c r="E280" s="3">
        <v>280</v>
      </c>
    </row>
    <row r="281" spans="1:6" ht="12.75" x14ac:dyDescent="0.2">
      <c r="A281" s="3">
        <v>34</v>
      </c>
      <c r="B281" s="4" t="s">
        <v>64</v>
      </c>
      <c r="C281" s="3" t="s">
        <v>347</v>
      </c>
      <c r="D281" s="3" t="s">
        <v>138</v>
      </c>
      <c r="E281" s="3">
        <v>0</v>
      </c>
      <c r="F281">
        <f>SUM(E273:E281)</f>
        <v>1618</v>
      </c>
    </row>
    <row r="282" spans="1:6" ht="12.75" x14ac:dyDescent="0.2">
      <c r="A282" s="3">
        <v>35</v>
      </c>
      <c r="B282" s="4" t="s">
        <v>65</v>
      </c>
      <c r="C282" s="3" t="s">
        <v>347</v>
      </c>
      <c r="D282" s="3" t="s">
        <v>346</v>
      </c>
      <c r="E282" s="3">
        <v>9</v>
      </c>
    </row>
    <row r="283" spans="1:6" ht="12.75" x14ac:dyDescent="0.2">
      <c r="A283" s="3">
        <v>35</v>
      </c>
      <c r="B283" s="4" t="s">
        <v>65</v>
      </c>
      <c r="C283" s="3" t="s">
        <v>347</v>
      </c>
      <c r="D283" s="3" t="s">
        <v>283</v>
      </c>
      <c r="E283" s="3">
        <v>262</v>
      </c>
    </row>
    <row r="284" spans="1:6" ht="12.75" x14ac:dyDescent="0.2">
      <c r="A284" s="3">
        <v>35</v>
      </c>
      <c r="B284" s="4" t="s">
        <v>65</v>
      </c>
      <c r="C284" s="3" t="s">
        <v>347</v>
      </c>
      <c r="D284" s="3" t="s">
        <v>351</v>
      </c>
      <c r="E284" s="3">
        <v>56</v>
      </c>
    </row>
    <row r="285" spans="1:6" ht="12.75" x14ac:dyDescent="0.2">
      <c r="A285" s="3">
        <v>35</v>
      </c>
      <c r="B285" s="4" t="s">
        <v>65</v>
      </c>
      <c r="C285" s="3" t="s">
        <v>347</v>
      </c>
      <c r="D285" s="3" t="s">
        <v>316</v>
      </c>
      <c r="E285" s="3">
        <v>44</v>
      </c>
    </row>
    <row r="286" spans="1:6" ht="12.75" x14ac:dyDescent="0.2">
      <c r="A286" s="3">
        <v>35</v>
      </c>
      <c r="B286" s="4" t="s">
        <v>65</v>
      </c>
      <c r="C286" s="3" t="s">
        <v>347</v>
      </c>
      <c r="D286" s="3" t="s">
        <v>352</v>
      </c>
      <c r="E286" s="3">
        <v>98</v>
      </c>
    </row>
    <row r="287" spans="1:6" ht="12.75" x14ac:dyDescent="0.2">
      <c r="A287" s="3">
        <v>35</v>
      </c>
      <c r="B287" s="4" t="s">
        <v>65</v>
      </c>
      <c r="C287" s="3" t="s">
        <v>347</v>
      </c>
      <c r="D287" s="3" t="s">
        <v>353</v>
      </c>
      <c r="E287" s="3">
        <v>9</v>
      </c>
    </row>
    <row r="288" spans="1:6" ht="12.75" x14ac:dyDescent="0.2">
      <c r="A288" s="3">
        <v>35</v>
      </c>
      <c r="B288" s="4" t="s">
        <v>65</v>
      </c>
      <c r="C288" s="3" t="s">
        <v>347</v>
      </c>
      <c r="D288" s="3" t="s">
        <v>354</v>
      </c>
      <c r="E288" s="3">
        <v>231</v>
      </c>
    </row>
    <row r="289" spans="1:6" ht="12.75" x14ac:dyDescent="0.2">
      <c r="A289" s="3">
        <v>35</v>
      </c>
      <c r="B289" s="4" t="s">
        <v>65</v>
      </c>
      <c r="C289" s="3" t="s">
        <v>347</v>
      </c>
      <c r="D289" s="3" t="s">
        <v>14</v>
      </c>
      <c r="E289" s="3">
        <v>91</v>
      </c>
    </row>
    <row r="290" spans="1:6" ht="12.75" x14ac:dyDescent="0.2">
      <c r="A290" s="3">
        <v>35</v>
      </c>
      <c r="B290" s="4" t="s">
        <v>65</v>
      </c>
      <c r="C290" s="3" t="s">
        <v>347</v>
      </c>
      <c r="D290" s="3" t="s">
        <v>138</v>
      </c>
      <c r="E290" s="3">
        <v>1</v>
      </c>
      <c r="F290">
        <f>SUM(E282:E290)</f>
        <v>801</v>
      </c>
    </row>
    <row r="291" spans="1:6" ht="12.75" x14ac:dyDescent="0.2">
      <c r="A291" s="3">
        <v>36</v>
      </c>
      <c r="B291" s="4" t="s">
        <v>66</v>
      </c>
      <c r="C291" s="3" t="s">
        <v>347</v>
      </c>
      <c r="D291" s="3" t="s">
        <v>346</v>
      </c>
      <c r="E291" s="3">
        <v>48</v>
      </c>
    </row>
    <row r="292" spans="1:6" ht="12.75" x14ac:dyDescent="0.2">
      <c r="A292" s="3">
        <v>36</v>
      </c>
      <c r="B292" s="4" t="s">
        <v>66</v>
      </c>
      <c r="C292" s="3" t="s">
        <v>347</v>
      </c>
      <c r="D292" s="3" t="s">
        <v>283</v>
      </c>
      <c r="E292" s="3">
        <v>1202</v>
      </c>
    </row>
    <row r="293" spans="1:6" ht="12.75" x14ac:dyDescent="0.2">
      <c r="A293" s="3">
        <v>36</v>
      </c>
      <c r="B293" s="4" t="s">
        <v>66</v>
      </c>
      <c r="C293" s="3" t="s">
        <v>347</v>
      </c>
      <c r="D293" s="3" t="s">
        <v>351</v>
      </c>
      <c r="E293" s="3">
        <v>140</v>
      </c>
    </row>
    <row r="294" spans="1:6" ht="12.75" x14ac:dyDescent="0.2">
      <c r="A294" s="3">
        <v>36</v>
      </c>
      <c r="B294" s="4" t="s">
        <v>66</v>
      </c>
      <c r="C294" s="3" t="s">
        <v>347</v>
      </c>
      <c r="D294" s="3" t="s">
        <v>316</v>
      </c>
      <c r="E294" s="3">
        <v>211</v>
      </c>
    </row>
    <row r="295" spans="1:6" ht="12.75" x14ac:dyDescent="0.2">
      <c r="A295" s="3">
        <v>36</v>
      </c>
      <c r="B295" s="4" t="s">
        <v>66</v>
      </c>
      <c r="C295" s="3" t="s">
        <v>347</v>
      </c>
      <c r="D295" s="3" t="s">
        <v>352</v>
      </c>
      <c r="E295" s="3">
        <v>518</v>
      </c>
    </row>
    <row r="296" spans="1:6" ht="12.75" x14ac:dyDescent="0.2">
      <c r="A296" s="3">
        <v>36</v>
      </c>
      <c r="B296" s="4" t="s">
        <v>66</v>
      </c>
      <c r="C296" s="3" t="s">
        <v>347</v>
      </c>
      <c r="D296" s="3" t="s">
        <v>353</v>
      </c>
      <c r="E296" s="3">
        <v>35</v>
      </c>
    </row>
    <row r="297" spans="1:6" ht="12.75" x14ac:dyDescent="0.2">
      <c r="A297" s="3">
        <v>36</v>
      </c>
      <c r="B297" s="4" t="s">
        <v>66</v>
      </c>
      <c r="C297" s="3" t="s">
        <v>347</v>
      </c>
      <c r="D297" s="3" t="s">
        <v>354</v>
      </c>
      <c r="E297" s="3">
        <v>441</v>
      </c>
    </row>
    <row r="298" spans="1:6" ht="12.75" x14ac:dyDescent="0.2">
      <c r="A298" s="3">
        <v>36</v>
      </c>
      <c r="B298" s="4" t="s">
        <v>66</v>
      </c>
      <c r="C298" s="3" t="s">
        <v>347</v>
      </c>
      <c r="D298" s="3" t="s">
        <v>14</v>
      </c>
      <c r="E298" s="3">
        <v>349</v>
      </c>
    </row>
    <row r="299" spans="1:6" ht="12.75" x14ac:dyDescent="0.2">
      <c r="A299" s="3">
        <v>36</v>
      </c>
      <c r="B299" s="4" t="s">
        <v>66</v>
      </c>
      <c r="C299" s="3" t="s">
        <v>347</v>
      </c>
      <c r="D299" s="3" t="s">
        <v>138</v>
      </c>
      <c r="E299" s="3">
        <v>29</v>
      </c>
      <c r="F299">
        <f>SUM(E291:E299)</f>
        <v>2973</v>
      </c>
    </row>
    <row r="300" spans="1:6" ht="12.75" x14ac:dyDescent="0.2">
      <c r="A300" s="3">
        <v>37</v>
      </c>
      <c r="B300" s="4" t="s">
        <v>67</v>
      </c>
      <c r="C300" s="3" t="s">
        <v>347</v>
      </c>
      <c r="D300" s="3" t="s">
        <v>346</v>
      </c>
      <c r="E300" s="3">
        <v>0</v>
      </c>
    </row>
    <row r="301" spans="1:6" ht="12.75" x14ac:dyDescent="0.2">
      <c r="A301" s="3">
        <v>37</v>
      </c>
      <c r="B301" s="4" t="s">
        <v>67</v>
      </c>
      <c r="C301" s="3" t="s">
        <v>347</v>
      </c>
      <c r="D301" s="3" t="s">
        <v>283</v>
      </c>
      <c r="E301" s="3">
        <v>29</v>
      </c>
    </row>
    <row r="302" spans="1:6" ht="12.75" x14ac:dyDescent="0.2">
      <c r="A302" s="3">
        <v>37</v>
      </c>
      <c r="B302" s="4" t="s">
        <v>67</v>
      </c>
      <c r="C302" s="3" t="s">
        <v>347</v>
      </c>
      <c r="D302" s="3" t="s">
        <v>351</v>
      </c>
      <c r="E302" s="3">
        <v>0</v>
      </c>
    </row>
    <row r="303" spans="1:6" ht="12.75" x14ac:dyDescent="0.2">
      <c r="A303" s="3">
        <v>37</v>
      </c>
      <c r="B303" s="4" t="s">
        <v>67</v>
      </c>
      <c r="C303" s="3" t="s">
        <v>347</v>
      </c>
      <c r="D303" s="3" t="s">
        <v>316</v>
      </c>
      <c r="E303" s="3">
        <v>6</v>
      </c>
    </row>
    <row r="304" spans="1:6" ht="12.75" x14ac:dyDescent="0.2">
      <c r="A304" s="3">
        <v>37</v>
      </c>
      <c r="B304" s="4" t="s">
        <v>67</v>
      </c>
      <c r="C304" s="3" t="s">
        <v>347</v>
      </c>
      <c r="D304" s="3" t="s">
        <v>352</v>
      </c>
      <c r="E304" s="3">
        <v>1</v>
      </c>
    </row>
    <row r="305" spans="1:6" ht="12.75" x14ac:dyDescent="0.2">
      <c r="A305" s="3">
        <v>37</v>
      </c>
      <c r="B305" s="4" t="s">
        <v>67</v>
      </c>
      <c r="C305" s="3" t="s">
        <v>347</v>
      </c>
      <c r="D305" s="3" t="s">
        <v>353</v>
      </c>
      <c r="E305" s="3">
        <v>0</v>
      </c>
    </row>
    <row r="306" spans="1:6" ht="12.75" x14ac:dyDescent="0.2">
      <c r="A306" s="3">
        <v>37</v>
      </c>
      <c r="B306" s="4" t="s">
        <v>67</v>
      </c>
      <c r="C306" s="3" t="s">
        <v>347</v>
      </c>
      <c r="D306" s="3" t="s">
        <v>354</v>
      </c>
      <c r="E306" s="3">
        <v>10</v>
      </c>
    </row>
    <row r="307" spans="1:6" ht="12.75" x14ac:dyDescent="0.2">
      <c r="A307" s="3">
        <v>37</v>
      </c>
      <c r="B307" s="4" t="s">
        <v>67</v>
      </c>
      <c r="C307" s="3" t="s">
        <v>347</v>
      </c>
      <c r="D307" s="3" t="s">
        <v>14</v>
      </c>
      <c r="E307" s="3">
        <v>4</v>
      </c>
    </row>
    <row r="308" spans="1:6" ht="12.75" x14ac:dyDescent="0.2">
      <c r="A308" s="3">
        <v>37</v>
      </c>
      <c r="B308" s="4" t="s">
        <v>67</v>
      </c>
      <c r="C308" s="3" t="s">
        <v>347</v>
      </c>
      <c r="D308" s="3" t="s">
        <v>138</v>
      </c>
      <c r="E308" s="3">
        <v>0</v>
      </c>
      <c r="F308">
        <f>SUM(E300:E308)</f>
        <v>50</v>
      </c>
    </row>
    <row r="309" spans="1:6" ht="12.75" x14ac:dyDescent="0.2">
      <c r="A309" s="3">
        <v>38</v>
      </c>
      <c r="B309" s="4" t="s">
        <v>68</v>
      </c>
      <c r="C309" s="3" t="s">
        <v>347</v>
      </c>
      <c r="D309" s="3" t="s">
        <v>346</v>
      </c>
      <c r="E309" s="3">
        <v>2</v>
      </c>
    </row>
    <row r="310" spans="1:6" ht="12.75" x14ac:dyDescent="0.2">
      <c r="A310" s="3">
        <v>38</v>
      </c>
      <c r="B310" s="4" t="s">
        <v>68</v>
      </c>
      <c r="C310" s="3" t="s">
        <v>347</v>
      </c>
      <c r="D310" s="3" t="s">
        <v>283</v>
      </c>
      <c r="E310" s="3">
        <v>176</v>
      </c>
    </row>
    <row r="311" spans="1:6" ht="12.75" x14ac:dyDescent="0.2">
      <c r="A311" s="3">
        <v>38</v>
      </c>
      <c r="B311" s="4" t="s">
        <v>68</v>
      </c>
      <c r="C311" s="3" t="s">
        <v>347</v>
      </c>
      <c r="D311" s="3" t="s">
        <v>351</v>
      </c>
      <c r="E311" s="3">
        <v>33</v>
      </c>
    </row>
    <row r="312" spans="1:6" ht="12.75" x14ac:dyDescent="0.2">
      <c r="A312" s="3">
        <v>38</v>
      </c>
      <c r="B312" s="4" t="s">
        <v>68</v>
      </c>
      <c r="C312" s="3" t="s">
        <v>347</v>
      </c>
      <c r="D312" s="3" t="s">
        <v>316</v>
      </c>
      <c r="E312" s="3">
        <v>23</v>
      </c>
    </row>
    <row r="313" spans="1:6" ht="12.75" x14ac:dyDescent="0.2">
      <c r="A313" s="3">
        <v>38</v>
      </c>
      <c r="B313" s="4" t="s">
        <v>68</v>
      </c>
      <c r="C313" s="3" t="s">
        <v>347</v>
      </c>
      <c r="D313" s="3" t="s">
        <v>352</v>
      </c>
      <c r="E313" s="3">
        <v>58</v>
      </c>
    </row>
    <row r="314" spans="1:6" ht="12.75" x14ac:dyDescent="0.2">
      <c r="A314" s="3">
        <v>38</v>
      </c>
      <c r="B314" s="4" t="s">
        <v>68</v>
      </c>
      <c r="C314" s="3" t="s">
        <v>347</v>
      </c>
      <c r="D314" s="3" t="s">
        <v>353</v>
      </c>
      <c r="E314" s="3">
        <v>2</v>
      </c>
    </row>
    <row r="315" spans="1:6" ht="12.75" x14ac:dyDescent="0.2">
      <c r="A315" s="3">
        <v>38</v>
      </c>
      <c r="B315" s="4" t="s">
        <v>68</v>
      </c>
      <c r="C315" s="3" t="s">
        <v>347</v>
      </c>
      <c r="D315" s="3" t="s">
        <v>354</v>
      </c>
      <c r="E315" s="3">
        <v>77</v>
      </c>
    </row>
    <row r="316" spans="1:6" ht="12.75" x14ac:dyDescent="0.2">
      <c r="A316" s="3">
        <v>38</v>
      </c>
      <c r="B316" s="4" t="s">
        <v>68</v>
      </c>
      <c r="C316" s="3" t="s">
        <v>347</v>
      </c>
      <c r="D316" s="3" t="s">
        <v>14</v>
      </c>
      <c r="E316" s="3">
        <v>44</v>
      </c>
    </row>
    <row r="317" spans="1:6" ht="12.75" x14ac:dyDescent="0.2">
      <c r="A317" s="3">
        <v>38</v>
      </c>
      <c r="B317" s="4" t="s">
        <v>68</v>
      </c>
      <c r="C317" s="3" t="s">
        <v>347</v>
      </c>
      <c r="D317" s="3" t="s">
        <v>138</v>
      </c>
      <c r="E317" s="3">
        <v>2</v>
      </c>
      <c r="F317">
        <f>SUM(E309:E317)</f>
        <v>417</v>
      </c>
    </row>
    <row r="318" spans="1:6" ht="12.75" x14ac:dyDescent="0.2">
      <c r="A318" s="3">
        <v>39</v>
      </c>
      <c r="B318" s="4" t="s">
        <v>69</v>
      </c>
      <c r="C318" s="3" t="s">
        <v>347</v>
      </c>
      <c r="D318" s="3" t="s">
        <v>346</v>
      </c>
      <c r="E318" s="3">
        <v>9</v>
      </c>
    </row>
    <row r="319" spans="1:6" ht="12.75" x14ac:dyDescent="0.2">
      <c r="A319" s="3">
        <v>39</v>
      </c>
      <c r="B319" s="4" t="s">
        <v>69</v>
      </c>
      <c r="C319" s="3" t="s">
        <v>347</v>
      </c>
      <c r="D319" s="3" t="s">
        <v>283</v>
      </c>
      <c r="E319" s="3">
        <v>801</v>
      </c>
    </row>
    <row r="320" spans="1:6" ht="12.75" x14ac:dyDescent="0.2">
      <c r="A320" s="3">
        <v>39</v>
      </c>
      <c r="B320" s="4" t="s">
        <v>69</v>
      </c>
      <c r="C320" s="3" t="s">
        <v>347</v>
      </c>
      <c r="D320" s="3" t="s">
        <v>351</v>
      </c>
      <c r="E320" s="3">
        <v>36</v>
      </c>
    </row>
    <row r="321" spans="1:6" ht="12.75" x14ac:dyDescent="0.2">
      <c r="A321" s="3">
        <v>39</v>
      </c>
      <c r="B321" s="4" t="s">
        <v>69</v>
      </c>
      <c r="C321" s="3" t="s">
        <v>347</v>
      </c>
      <c r="D321" s="3" t="s">
        <v>316</v>
      </c>
      <c r="E321" s="3">
        <v>37</v>
      </c>
    </row>
    <row r="322" spans="1:6" ht="12.75" x14ac:dyDescent="0.2">
      <c r="A322" s="3">
        <v>39</v>
      </c>
      <c r="B322" s="4" t="s">
        <v>69</v>
      </c>
      <c r="C322" s="3" t="s">
        <v>347</v>
      </c>
      <c r="D322" s="3" t="s">
        <v>352</v>
      </c>
      <c r="E322" s="3">
        <v>106</v>
      </c>
    </row>
    <row r="323" spans="1:6" ht="12.75" x14ac:dyDescent="0.2">
      <c r="A323" s="3">
        <v>39</v>
      </c>
      <c r="B323" s="4" t="s">
        <v>69</v>
      </c>
      <c r="C323" s="3" t="s">
        <v>347</v>
      </c>
      <c r="D323" s="3" t="s">
        <v>353</v>
      </c>
      <c r="E323" s="3">
        <v>7</v>
      </c>
    </row>
    <row r="324" spans="1:6" ht="12.75" x14ac:dyDescent="0.2">
      <c r="A324" s="3">
        <v>39</v>
      </c>
      <c r="B324" s="4" t="s">
        <v>69</v>
      </c>
      <c r="C324" s="3" t="s">
        <v>347</v>
      </c>
      <c r="D324" s="3" t="s">
        <v>354</v>
      </c>
      <c r="E324" s="3">
        <v>151</v>
      </c>
    </row>
    <row r="325" spans="1:6" ht="12.75" x14ac:dyDescent="0.2">
      <c r="A325" s="3">
        <v>39</v>
      </c>
      <c r="B325" s="4" t="s">
        <v>69</v>
      </c>
      <c r="C325" s="3" t="s">
        <v>347</v>
      </c>
      <c r="D325" s="3" t="s">
        <v>14</v>
      </c>
      <c r="E325" s="3">
        <v>205</v>
      </c>
    </row>
    <row r="326" spans="1:6" ht="12.75" x14ac:dyDescent="0.2">
      <c r="A326" s="3">
        <v>39</v>
      </c>
      <c r="B326" s="4" t="s">
        <v>69</v>
      </c>
      <c r="C326" s="3" t="s">
        <v>347</v>
      </c>
      <c r="D326" s="3" t="s">
        <v>138</v>
      </c>
      <c r="E326" s="3">
        <v>6</v>
      </c>
      <c r="F326">
        <f>SUM(E318:E326)</f>
        <v>1358</v>
      </c>
    </row>
    <row r="327" spans="1:6" ht="12.75" x14ac:dyDescent="0.2">
      <c r="A327" s="2" t="s">
        <v>70</v>
      </c>
      <c r="B327" s="4" t="s">
        <v>71</v>
      </c>
      <c r="C327" s="3" t="s">
        <v>347</v>
      </c>
      <c r="D327" s="3" t="s">
        <v>346</v>
      </c>
      <c r="E327" s="3">
        <v>2</v>
      </c>
    </row>
    <row r="328" spans="1:6" ht="12.75" x14ac:dyDescent="0.2">
      <c r="A328" s="2" t="s">
        <v>70</v>
      </c>
      <c r="B328" s="4" t="s">
        <v>71</v>
      </c>
      <c r="C328" s="3" t="s">
        <v>347</v>
      </c>
      <c r="D328" s="3" t="s">
        <v>283</v>
      </c>
      <c r="E328" s="3">
        <v>141</v>
      </c>
    </row>
    <row r="329" spans="1:6" ht="12.75" x14ac:dyDescent="0.2">
      <c r="A329" s="2" t="s">
        <v>70</v>
      </c>
      <c r="B329" s="4" t="s">
        <v>71</v>
      </c>
      <c r="C329" s="3" t="s">
        <v>347</v>
      </c>
      <c r="D329" s="3" t="s">
        <v>351</v>
      </c>
      <c r="E329" s="3">
        <v>8</v>
      </c>
    </row>
    <row r="330" spans="1:6" ht="12.75" x14ac:dyDescent="0.2">
      <c r="A330" s="2" t="s">
        <v>70</v>
      </c>
      <c r="B330" s="4" t="s">
        <v>71</v>
      </c>
      <c r="C330" s="3" t="s">
        <v>347</v>
      </c>
      <c r="D330" s="3" t="s">
        <v>316</v>
      </c>
      <c r="E330" s="3">
        <v>16</v>
      </c>
    </row>
    <row r="331" spans="1:6" ht="12.75" x14ac:dyDescent="0.2">
      <c r="A331" s="2" t="s">
        <v>70</v>
      </c>
      <c r="B331" s="4" t="s">
        <v>71</v>
      </c>
      <c r="C331" s="3" t="s">
        <v>347</v>
      </c>
      <c r="D331" s="3" t="s">
        <v>352</v>
      </c>
      <c r="E331" s="3">
        <v>20</v>
      </c>
    </row>
    <row r="332" spans="1:6" ht="12.75" x14ac:dyDescent="0.2">
      <c r="A332" s="2" t="s">
        <v>70</v>
      </c>
      <c r="B332" s="4" t="s">
        <v>71</v>
      </c>
      <c r="C332" s="3" t="s">
        <v>347</v>
      </c>
      <c r="D332" s="3" t="s">
        <v>353</v>
      </c>
      <c r="E332" s="3">
        <v>2</v>
      </c>
    </row>
    <row r="333" spans="1:6" ht="12.75" x14ac:dyDescent="0.2">
      <c r="A333" s="2" t="s">
        <v>70</v>
      </c>
      <c r="B333" s="4" t="s">
        <v>71</v>
      </c>
      <c r="C333" s="3" t="s">
        <v>347</v>
      </c>
      <c r="D333" s="3" t="s">
        <v>354</v>
      </c>
      <c r="E333" s="3">
        <v>101</v>
      </c>
    </row>
    <row r="334" spans="1:6" ht="12.75" x14ac:dyDescent="0.2">
      <c r="A334" s="2" t="s">
        <v>70</v>
      </c>
      <c r="B334" s="4" t="s">
        <v>71</v>
      </c>
      <c r="C334" s="3" t="s">
        <v>347</v>
      </c>
      <c r="D334" s="3" t="s">
        <v>14</v>
      </c>
      <c r="E334" s="3">
        <v>43</v>
      </c>
    </row>
    <row r="335" spans="1:6" ht="12.75" x14ac:dyDescent="0.2">
      <c r="A335" s="2" t="s">
        <v>163</v>
      </c>
      <c r="B335" s="4" t="s">
        <v>71</v>
      </c>
      <c r="C335" s="3" t="s">
        <v>347</v>
      </c>
      <c r="D335" s="3" t="s">
        <v>138</v>
      </c>
      <c r="E335" s="3">
        <v>4</v>
      </c>
      <c r="F335">
        <f>SUM(E327:E335)</f>
        <v>337</v>
      </c>
    </row>
    <row r="336" spans="1:6" ht="12.75" x14ac:dyDescent="0.2">
      <c r="A336" s="2">
        <v>40</v>
      </c>
      <c r="B336" s="4" t="s">
        <v>72</v>
      </c>
      <c r="C336" s="3" t="s">
        <v>347</v>
      </c>
      <c r="D336" s="3" t="s">
        <v>346</v>
      </c>
      <c r="E336" s="3">
        <v>24</v>
      </c>
    </row>
    <row r="337" spans="1:6" ht="12.75" x14ac:dyDescent="0.2">
      <c r="A337" s="2">
        <v>40</v>
      </c>
      <c r="B337" s="4" t="s">
        <v>72</v>
      </c>
      <c r="C337" s="3" t="s">
        <v>347</v>
      </c>
      <c r="D337" s="3" t="s">
        <v>283</v>
      </c>
      <c r="E337" s="3">
        <v>933</v>
      </c>
    </row>
    <row r="338" spans="1:6" ht="12.75" x14ac:dyDescent="0.2">
      <c r="A338" s="2">
        <v>40</v>
      </c>
      <c r="B338" s="4" t="s">
        <v>72</v>
      </c>
      <c r="C338" s="3" t="s">
        <v>347</v>
      </c>
      <c r="D338" s="3" t="s">
        <v>351</v>
      </c>
      <c r="E338" s="3">
        <v>129</v>
      </c>
    </row>
    <row r="339" spans="1:6" ht="12.75" x14ac:dyDescent="0.2">
      <c r="A339" s="2">
        <v>40</v>
      </c>
      <c r="B339" s="4" t="s">
        <v>72</v>
      </c>
      <c r="C339" s="3" t="s">
        <v>347</v>
      </c>
      <c r="D339" s="3" t="s">
        <v>316</v>
      </c>
      <c r="E339" s="3">
        <v>137</v>
      </c>
    </row>
    <row r="340" spans="1:6" ht="12.75" x14ac:dyDescent="0.2">
      <c r="A340" s="2">
        <v>40</v>
      </c>
      <c r="B340" s="4" t="s">
        <v>72</v>
      </c>
      <c r="C340" s="3" t="s">
        <v>347</v>
      </c>
      <c r="D340" s="3" t="s">
        <v>352</v>
      </c>
      <c r="E340" s="3">
        <v>235</v>
      </c>
    </row>
    <row r="341" spans="1:6" ht="12.75" x14ac:dyDescent="0.2">
      <c r="A341" s="2">
        <v>40</v>
      </c>
      <c r="B341" s="4" t="s">
        <v>72</v>
      </c>
      <c r="C341" s="3" t="s">
        <v>347</v>
      </c>
      <c r="D341" s="3" t="s">
        <v>353</v>
      </c>
      <c r="E341" s="3">
        <v>23</v>
      </c>
    </row>
    <row r="342" spans="1:6" ht="12.75" x14ac:dyDescent="0.2">
      <c r="A342" s="2">
        <v>40</v>
      </c>
      <c r="B342" s="4" t="s">
        <v>72</v>
      </c>
      <c r="C342" s="3" t="s">
        <v>347</v>
      </c>
      <c r="D342" s="3" t="s">
        <v>354</v>
      </c>
      <c r="E342" s="3">
        <v>268</v>
      </c>
    </row>
    <row r="343" spans="1:6" ht="12.75" x14ac:dyDescent="0.2">
      <c r="A343" s="2">
        <v>40</v>
      </c>
      <c r="B343" s="4" t="s">
        <v>72</v>
      </c>
      <c r="C343" s="3" t="s">
        <v>347</v>
      </c>
      <c r="D343" s="3" t="s">
        <v>14</v>
      </c>
      <c r="E343" s="3">
        <v>226</v>
      </c>
    </row>
    <row r="344" spans="1:6" ht="12.75" x14ac:dyDescent="0.2">
      <c r="A344" s="2">
        <v>40</v>
      </c>
      <c r="B344" s="4" t="s">
        <v>72</v>
      </c>
      <c r="C344" s="3" t="s">
        <v>347</v>
      </c>
      <c r="D344" s="3" t="s">
        <v>138</v>
      </c>
      <c r="E344" s="3">
        <v>10</v>
      </c>
      <c r="F344">
        <f>SUM(E336:E344)</f>
        <v>1985</v>
      </c>
    </row>
    <row r="345" spans="1:6" ht="12.75" x14ac:dyDescent="0.2">
      <c r="A345" s="3">
        <v>42</v>
      </c>
      <c r="B345" s="4" t="s">
        <v>73</v>
      </c>
      <c r="C345" s="3" t="s">
        <v>347</v>
      </c>
      <c r="D345" s="3" t="s">
        <v>346</v>
      </c>
      <c r="E345" s="3">
        <v>17</v>
      </c>
    </row>
    <row r="346" spans="1:6" ht="12.75" x14ac:dyDescent="0.2">
      <c r="A346" s="3">
        <v>42</v>
      </c>
      <c r="B346" s="4" t="s">
        <v>73</v>
      </c>
      <c r="C346" s="3" t="s">
        <v>347</v>
      </c>
      <c r="D346" s="3" t="s">
        <v>283</v>
      </c>
      <c r="E346" s="3">
        <v>854</v>
      </c>
    </row>
    <row r="347" spans="1:6" ht="12.75" x14ac:dyDescent="0.2">
      <c r="A347" s="3">
        <v>42</v>
      </c>
      <c r="B347" s="4" t="s">
        <v>73</v>
      </c>
      <c r="C347" s="3" t="s">
        <v>347</v>
      </c>
      <c r="D347" s="3" t="s">
        <v>351</v>
      </c>
      <c r="E347" s="3">
        <v>81</v>
      </c>
    </row>
    <row r="348" spans="1:6" ht="12.75" x14ac:dyDescent="0.2">
      <c r="A348" s="3">
        <v>42</v>
      </c>
      <c r="B348" s="4" t="s">
        <v>73</v>
      </c>
      <c r="C348" s="3" t="s">
        <v>347</v>
      </c>
      <c r="D348" s="3" t="s">
        <v>316</v>
      </c>
      <c r="E348" s="3">
        <v>161</v>
      </c>
    </row>
    <row r="349" spans="1:6" ht="12.75" x14ac:dyDescent="0.2">
      <c r="A349" s="3">
        <v>42</v>
      </c>
      <c r="B349" s="4" t="s">
        <v>73</v>
      </c>
      <c r="C349" s="3" t="s">
        <v>347</v>
      </c>
      <c r="D349" s="3" t="s">
        <v>352</v>
      </c>
      <c r="E349" s="3">
        <v>202</v>
      </c>
    </row>
    <row r="350" spans="1:6" ht="12.75" x14ac:dyDescent="0.2">
      <c r="A350" s="3">
        <v>42</v>
      </c>
      <c r="B350" s="4" t="s">
        <v>73</v>
      </c>
      <c r="C350" s="3" t="s">
        <v>347</v>
      </c>
      <c r="D350" s="3" t="s">
        <v>353</v>
      </c>
      <c r="E350" s="3">
        <v>19</v>
      </c>
    </row>
    <row r="351" spans="1:6" ht="12.75" x14ac:dyDescent="0.2">
      <c r="A351" s="3">
        <v>42</v>
      </c>
      <c r="B351" s="4" t="s">
        <v>73</v>
      </c>
      <c r="C351" s="3" t="s">
        <v>347</v>
      </c>
      <c r="D351" s="3" t="s">
        <v>354</v>
      </c>
      <c r="E351" s="3">
        <v>366</v>
      </c>
    </row>
    <row r="352" spans="1:6" ht="12.75" x14ac:dyDescent="0.2">
      <c r="A352" s="3">
        <v>42</v>
      </c>
      <c r="B352" s="4" t="s">
        <v>73</v>
      </c>
      <c r="C352" s="3" t="s">
        <v>347</v>
      </c>
      <c r="D352" s="3" t="s">
        <v>14</v>
      </c>
      <c r="E352" s="3">
        <v>288</v>
      </c>
    </row>
    <row r="353" spans="1:6" ht="12.75" x14ac:dyDescent="0.2">
      <c r="A353" s="3">
        <v>42</v>
      </c>
      <c r="B353" s="4" t="s">
        <v>73</v>
      </c>
      <c r="C353" s="3" t="s">
        <v>347</v>
      </c>
      <c r="D353" s="3" t="s">
        <v>138</v>
      </c>
      <c r="E353" s="3">
        <v>7</v>
      </c>
      <c r="F353">
        <f>SUM(E345:E353)</f>
        <v>1995</v>
      </c>
    </row>
    <row r="354" spans="1:6" ht="12.75" x14ac:dyDescent="0.2">
      <c r="A354" s="3">
        <v>43</v>
      </c>
      <c r="B354" s="4" t="s">
        <v>74</v>
      </c>
      <c r="C354" s="3" t="s">
        <v>347</v>
      </c>
      <c r="D354" s="3" t="s">
        <v>346</v>
      </c>
      <c r="E354" s="3">
        <v>1</v>
      </c>
    </row>
    <row r="355" spans="1:6" ht="12.75" x14ac:dyDescent="0.2">
      <c r="A355" s="3">
        <v>43</v>
      </c>
      <c r="B355" s="4" t="s">
        <v>74</v>
      </c>
      <c r="C355" s="3" t="s">
        <v>347</v>
      </c>
      <c r="D355" s="3" t="s">
        <v>283</v>
      </c>
      <c r="E355" s="3">
        <v>159</v>
      </c>
    </row>
    <row r="356" spans="1:6" ht="12.75" x14ac:dyDescent="0.2">
      <c r="A356" s="3">
        <v>43</v>
      </c>
      <c r="B356" s="4" t="s">
        <v>74</v>
      </c>
      <c r="C356" s="3" t="s">
        <v>347</v>
      </c>
      <c r="D356" s="3" t="s">
        <v>351</v>
      </c>
      <c r="E356" s="3">
        <v>4</v>
      </c>
    </row>
    <row r="357" spans="1:6" ht="12.75" x14ac:dyDescent="0.2">
      <c r="A357" s="3">
        <v>43</v>
      </c>
      <c r="B357" s="4" t="s">
        <v>74</v>
      </c>
      <c r="C357" s="3" t="s">
        <v>347</v>
      </c>
      <c r="D357" s="3" t="s">
        <v>316</v>
      </c>
      <c r="E357" s="3">
        <v>11</v>
      </c>
    </row>
    <row r="358" spans="1:6" ht="12.75" x14ac:dyDescent="0.2">
      <c r="A358" s="3">
        <v>43</v>
      </c>
      <c r="B358" s="4" t="s">
        <v>74</v>
      </c>
      <c r="C358" s="3" t="s">
        <v>347</v>
      </c>
      <c r="D358" s="3" t="s">
        <v>352</v>
      </c>
      <c r="E358" s="3">
        <v>15</v>
      </c>
    </row>
    <row r="359" spans="1:6" ht="12.75" x14ac:dyDescent="0.2">
      <c r="A359" s="3">
        <v>43</v>
      </c>
      <c r="B359" s="4" t="s">
        <v>74</v>
      </c>
      <c r="C359" s="3" t="s">
        <v>347</v>
      </c>
      <c r="D359" s="3" t="s">
        <v>353</v>
      </c>
      <c r="E359" s="3">
        <v>2</v>
      </c>
    </row>
    <row r="360" spans="1:6" ht="12.75" x14ac:dyDescent="0.2">
      <c r="A360" s="3">
        <v>43</v>
      </c>
      <c r="B360" s="4" t="s">
        <v>74</v>
      </c>
      <c r="C360" s="3" t="s">
        <v>347</v>
      </c>
      <c r="D360" s="3" t="s">
        <v>354</v>
      </c>
      <c r="E360" s="3">
        <v>86</v>
      </c>
    </row>
    <row r="361" spans="1:6" ht="12.75" x14ac:dyDescent="0.2">
      <c r="A361" s="3">
        <v>43</v>
      </c>
      <c r="B361" s="4" t="s">
        <v>74</v>
      </c>
      <c r="C361" s="3" t="s">
        <v>347</v>
      </c>
      <c r="D361" s="3" t="s">
        <v>14</v>
      </c>
      <c r="E361" s="3">
        <v>37</v>
      </c>
    </row>
    <row r="362" spans="1:6" ht="12.75" x14ac:dyDescent="0.2">
      <c r="A362" s="3">
        <v>43</v>
      </c>
      <c r="B362" s="4" t="s">
        <v>74</v>
      </c>
      <c r="C362" s="3" t="s">
        <v>347</v>
      </c>
      <c r="D362" s="3" t="s">
        <v>138</v>
      </c>
      <c r="E362" s="3">
        <v>1</v>
      </c>
      <c r="F362">
        <f>SUM(E354:E362)</f>
        <v>316</v>
      </c>
    </row>
    <row r="363" spans="1:6" ht="12.75" x14ac:dyDescent="0.2">
      <c r="A363" s="3">
        <v>45</v>
      </c>
      <c r="B363" s="4" t="s">
        <v>75</v>
      </c>
      <c r="C363" s="3" t="s">
        <v>347</v>
      </c>
      <c r="D363" s="3" t="s">
        <v>346</v>
      </c>
      <c r="E363" s="3">
        <v>0</v>
      </c>
    </row>
    <row r="364" spans="1:6" ht="12.75" x14ac:dyDescent="0.2">
      <c r="A364" s="3">
        <v>45</v>
      </c>
      <c r="B364" s="4" t="s">
        <v>75</v>
      </c>
      <c r="C364" s="3" t="s">
        <v>347</v>
      </c>
      <c r="D364" s="3" t="s">
        <v>283</v>
      </c>
      <c r="E364" s="3">
        <v>87</v>
      </c>
    </row>
    <row r="365" spans="1:6" ht="12.75" x14ac:dyDescent="0.2">
      <c r="A365" s="3">
        <v>45</v>
      </c>
      <c r="B365" s="4" t="s">
        <v>75</v>
      </c>
      <c r="C365" s="3" t="s">
        <v>347</v>
      </c>
      <c r="D365" s="3" t="s">
        <v>351</v>
      </c>
      <c r="E365" s="3">
        <v>1</v>
      </c>
    </row>
    <row r="366" spans="1:6" ht="12.75" x14ac:dyDescent="0.2">
      <c r="A366" s="3">
        <v>45</v>
      </c>
      <c r="B366" s="4" t="s">
        <v>75</v>
      </c>
      <c r="C366" s="3" t="s">
        <v>347</v>
      </c>
      <c r="D366" s="3" t="s">
        <v>316</v>
      </c>
      <c r="E366" s="3">
        <v>9</v>
      </c>
    </row>
    <row r="367" spans="1:6" ht="12.75" x14ac:dyDescent="0.2">
      <c r="A367" s="3">
        <v>45</v>
      </c>
      <c r="B367" s="4" t="s">
        <v>75</v>
      </c>
      <c r="C367" s="3" t="s">
        <v>347</v>
      </c>
      <c r="D367" s="3" t="s">
        <v>352</v>
      </c>
      <c r="E367" s="3">
        <v>4</v>
      </c>
    </row>
    <row r="368" spans="1:6" ht="12.75" x14ac:dyDescent="0.2">
      <c r="A368" s="3">
        <v>45</v>
      </c>
      <c r="B368" s="4" t="s">
        <v>75</v>
      </c>
      <c r="C368" s="3" t="s">
        <v>347</v>
      </c>
      <c r="D368" s="3" t="s">
        <v>353</v>
      </c>
      <c r="E368" s="3">
        <v>0</v>
      </c>
    </row>
    <row r="369" spans="1:6" ht="12.75" x14ac:dyDescent="0.2">
      <c r="A369" s="3">
        <v>45</v>
      </c>
      <c r="B369" s="4" t="s">
        <v>75</v>
      </c>
      <c r="C369" s="3" t="s">
        <v>347</v>
      </c>
      <c r="D369" s="3" t="s">
        <v>354</v>
      </c>
      <c r="E369" s="3">
        <v>3</v>
      </c>
    </row>
    <row r="370" spans="1:6" ht="12.75" x14ac:dyDescent="0.2">
      <c r="A370" s="3">
        <v>45</v>
      </c>
      <c r="B370" s="4" t="s">
        <v>75</v>
      </c>
      <c r="C370" s="3" t="s">
        <v>347</v>
      </c>
      <c r="D370" s="3" t="s">
        <v>14</v>
      </c>
      <c r="E370" s="3">
        <v>7</v>
      </c>
    </row>
    <row r="371" spans="1:6" ht="12.75" x14ac:dyDescent="0.2">
      <c r="A371" s="3">
        <v>45</v>
      </c>
      <c r="B371" s="4" t="s">
        <v>75</v>
      </c>
      <c r="C371" s="3" t="s">
        <v>347</v>
      </c>
      <c r="D371" s="3" t="s">
        <v>138</v>
      </c>
      <c r="E371" s="3">
        <v>0</v>
      </c>
      <c r="F371">
        <f>SUM(E363:E371)</f>
        <v>111</v>
      </c>
    </row>
    <row r="372" spans="1:6" ht="12.75" x14ac:dyDescent="0.2">
      <c r="A372" s="3">
        <v>46</v>
      </c>
      <c r="B372" s="4" t="s">
        <v>76</v>
      </c>
      <c r="C372" s="3" t="s">
        <v>347</v>
      </c>
      <c r="D372" s="3" t="s">
        <v>346</v>
      </c>
      <c r="E372" s="3">
        <v>7</v>
      </c>
    </row>
    <row r="373" spans="1:6" ht="12.75" x14ac:dyDescent="0.2">
      <c r="A373" s="3">
        <v>46</v>
      </c>
      <c r="B373" s="4" t="s">
        <v>76</v>
      </c>
      <c r="C373" s="3" t="s">
        <v>347</v>
      </c>
      <c r="D373" s="3" t="s">
        <v>283</v>
      </c>
      <c r="E373" s="3">
        <v>360</v>
      </c>
    </row>
    <row r="374" spans="1:6" ht="12.75" x14ac:dyDescent="0.2">
      <c r="A374" s="3">
        <v>46</v>
      </c>
      <c r="B374" s="4" t="s">
        <v>76</v>
      </c>
      <c r="C374" s="3" t="s">
        <v>347</v>
      </c>
      <c r="D374" s="3" t="s">
        <v>351</v>
      </c>
      <c r="E374" s="3">
        <v>10</v>
      </c>
    </row>
    <row r="375" spans="1:6" ht="12.75" x14ac:dyDescent="0.2">
      <c r="A375" s="3">
        <v>46</v>
      </c>
      <c r="B375" s="4" t="s">
        <v>76</v>
      </c>
      <c r="C375" s="3" t="s">
        <v>347</v>
      </c>
      <c r="D375" s="3" t="s">
        <v>316</v>
      </c>
      <c r="E375" s="3">
        <v>28</v>
      </c>
    </row>
    <row r="376" spans="1:6" ht="12.75" x14ac:dyDescent="0.2">
      <c r="A376" s="3">
        <v>46</v>
      </c>
      <c r="B376" s="4" t="s">
        <v>76</v>
      </c>
      <c r="C376" s="3" t="s">
        <v>347</v>
      </c>
      <c r="D376" s="3" t="s">
        <v>352</v>
      </c>
      <c r="E376" s="3">
        <v>12</v>
      </c>
    </row>
    <row r="377" spans="1:6" ht="12.75" x14ac:dyDescent="0.2">
      <c r="A377" s="3">
        <v>46</v>
      </c>
      <c r="B377" s="4" t="s">
        <v>76</v>
      </c>
      <c r="C377" s="3" t="s">
        <v>347</v>
      </c>
      <c r="D377" s="3" t="s">
        <v>353</v>
      </c>
      <c r="E377" s="3">
        <v>1</v>
      </c>
    </row>
    <row r="378" spans="1:6" ht="12.75" x14ac:dyDescent="0.2">
      <c r="A378" s="3">
        <v>46</v>
      </c>
      <c r="B378" s="4" t="s">
        <v>76</v>
      </c>
      <c r="C378" s="3" t="s">
        <v>347</v>
      </c>
      <c r="D378" s="3" t="s">
        <v>354</v>
      </c>
      <c r="E378" s="3">
        <v>51</v>
      </c>
    </row>
    <row r="379" spans="1:6" ht="12.75" x14ac:dyDescent="0.2">
      <c r="A379" s="3">
        <v>46</v>
      </c>
      <c r="B379" s="4" t="s">
        <v>76</v>
      </c>
      <c r="C379" s="3" t="s">
        <v>347</v>
      </c>
      <c r="D379" s="3" t="s">
        <v>14</v>
      </c>
      <c r="E379" s="3">
        <v>82</v>
      </c>
    </row>
    <row r="380" spans="1:6" ht="12.75" x14ac:dyDescent="0.2">
      <c r="A380" s="3">
        <v>46</v>
      </c>
      <c r="B380" s="4" t="s">
        <v>76</v>
      </c>
      <c r="C380" s="3" t="s">
        <v>347</v>
      </c>
      <c r="D380" s="3" t="s">
        <v>138</v>
      </c>
      <c r="E380" s="3">
        <v>1</v>
      </c>
      <c r="F380">
        <f>SUM(E372:E380)</f>
        <v>552</v>
      </c>
    </row>
    <row r="381" spans="1:6" ht="12.75" x14ac:dyDescent="0.2">
      <c r="A381" s="3">
        <v>47</v>
      </c>
      <c r="B381" s="4" t="s">
        <v>77</v>
      </c>
      <c r="C381" s="3" t="s">
        <v>347</v>
      </c>
      <c r="D381" s="3" t="s">
        <v>346</v>
      </c>
      <c r="E381" s="3">
        <v>1</v>
      </c>
    </row>
    <row r="382" spans="1:6" ht="12.75" x14ac:dyDescent="0.2">
      <c r="A382" s="3">
        <v>47</v>
      </c>
      <c r="B382" s="4" t="s">
        <v>77</v>
      </c>
      <c r="C382" s="3" t="s">
        <v>347</v>
      </c>
      <c r="D382" s="3" t="s">
        <v>283</v>
      </c>
      <c r="E382" s="3">
        <v>521</v>
      </c>
    </row>
    <row r="383" spans="1:6" ht="12.75" x14ac:dyDescent="0.2">
      <c r="A383" s="3">
        <v>47</v>
      </c>
      <c r="B383" s="4" t="s">
        <v>77</v>
      </c>
      <c r="C383" s="3" t="s">
        <v>347</v>
      </c>
      <c r="D383" s="3" t="s">
        <v>351</v>
      </c>
      <c r="E383" s="3">
        <v>5</v>
      </c>
    </row>
    <row r="384" spans="1:6" ht="12.75" x14ac:dyDescent="0.2">
      <c r="A384" s="3">
        <v>47</v>
      </c>
      <c r="B384" s="4" t="s">
        <v>77</v>
      </c>
      <c r="C384" s="3" t="s">
        <v>347</v>
      </c>
      <c r="D384" s="3" t="s">
        <v>316</v>
      </c>
      <c r="E384" s="3">
        <v>16</v>
      </c>
    </row>
    <row r="385" spans="1:6" ht="12.75" x14ac:dyDescent="0.2">
      <c r="A385" s="3">
        <v>47</v>
      </c>
      <c r="B385" s="4" t="s">
        <v>77</v>
      </c>
      <c r="C385" s="3" t="s">
        <v>347</v>
      </c>
      <c r="D385" s="3" t="s">
        <v>352</v>
      </c>
      <c r="E385" s="3">
        <v>31</v>
      </c>
    </row>
    <row r="386" spans="1:6" ht="12.75" x14ac:dyDescent="0.2">
      <c r="A386" s="3">
        <v>47</v>
      </c>
      <c r="B386" s="4" t="s">
        <v>77</v>
      </c>
      <c r="C386" s="3" t="s">
        <v>347</v>
      </c>
      <c r="D386" s="3" t="s">
        <v>353</v>
      </c>
      <c r="E386" s="3">
        <v>2</v>
      </c>
    </row>
    <row r="387" spans="1:6" ht="12.75" x14ac:dyDescent="0.2">
      <c r="A387" s="3">
        <v>47</v>
      </c>
      <c r="B387" s="4" t="s">
        <v>77</v>
      </c>
      <c r="C387" s="3" t="s">
        <v>347</v>
      </c>
      <c r="D387" s="3" t="s">
        <v>354</v>
      </c>
      <c r="E387" s="3">
        <v>208</v>
      </c>
    </row>
    <row r="388" spans="1:6" ht="12.75" x14ac:dyDescent="0.2">
      <c r="A388" s="3">
        <v>47</v>
      </c>
      <c r="B388" s="4" t="s">
        <v>77</v>
      </c>
      <c r="C388" s="3" t="s">
        <v>347</v>
      </c>
      <c r="D388" s="3" t="s">
        <v>14</v>
      </c>
      <c r="E388" s="3">
        <v>142</v>
      </c>
    </row>
    <row r="389" spans="1:6" ht="12.75" x14ac:dyDescent="0.2">
      <c r="A389" s="3">
        <v>47</v>
      </c>
      <c r="B389" s="4" t="s">
        <v>77</v>
      </c>
      <c r="C389" s="3" t="s">
        <v>347</v>
      </c>
      <c r="D389" s="3" t="s">
        <v>138</v>
      </c>
      <c r="E389" s="3">
        <v>1</v>
      </c>
      <c r="F389">
        <f>SUM(E381:E389)</f>
        <v>927</v>
      </c>
    </row>
    <row r="390" spans="1:6" ht="12.75" x14ac:dyDescent="0.2">
      <c r="A390" s="3">
        <v>48</v>
      </c>
      <c r="B390" s="4" t="s">
        <v>78</v>
      </c>
      <c r="C390" s="3" t="s">
        <v>347</v>
      </c>
      <c r="D390" s="3" t="s">
        <v>346</v>
      </c>
      <c r="E390" s="3">
        <v>19</v>
      </c>
    </row>
    <row r="391" spans="1:6" ht="12.75" x14ac:dyDescent="0.2">
      <c r="A391" s="3">
        <v>48</v>
      </c>
      <c r="B391" s="4" t="s">
        <v>78</v>
      </c>
      <c r="C391" s="3" t="s">
        <v>347</v>
      </c>
      <c r="D391" s="3" t="s">
        <v>283</v>
      </c>
      <c r="E391" s="3">
        <v>2466</v>
      </c>
    </row>
    <row r="392" spans="1:6" ht="12.75" x14ac:dyDescent="0.2">
      <c r="A392" s="3">
        <v>48</v>
      </c>
      <c r="B392" s="4" t="s">
        <v>78</v>
      </c>
      <c r="C392" s="3" t="s">
        <v>347</v>
      </c>
      <c r="D392" s="3" t="s">
        <v>351</v>
      </c>
      <c r="E392" s="3">
        <v>71</v>
      </c>
    </row>
    <row r="393" spans="1:6" ht="12.75" x14ac:dyDescent="0.2">
      <c r="A393" s="3">
        <v>48</v>
      </c>
      <c r="B393" s="4" t="s">
        <v>78</v>
      </c>
      <c r="C393" s="3" t="s">
        <v>347</v>
      </c>
      <c r="D393" s="3" t="s">
        <v>316</v>
      </c>
      <c r="E393" s="3">
        <v>278</v>
      </c>
    </row>
    <row r="394" spans="1:6" ht="12.75" x14ac:dyDescent="0.2">
      <c r="A394" s="3">
        <v>48</v>
      </c>
      <c r="B394" s="4" t="s">
        <v>78</v>
      </c>
      <c r="C394" s="3" t="s">
        <v>347</v>
      </c>
      <c r="D394" s="3" t="s">
        <v>352</v>
      </c>
      <c r="E394" s="3">
        <v>471</v>
      </c>
    </row>
    <row r="395" spans="1:6" ht="12.75" x14ac:dyDescent="0.2">
      <c r="A395" s="3">
        <v>48</v>
      </c>
      <c r="B395" s="4" t="s">
        <v>78</v>
      </c>
      <c r="C395" s="3" t="s">
        <v>347</v>
      </c>
      <c r="D395" s="3" t="s">
        <v>353</v>
      </c>
      <c r="E395" s="3">
        <v>17</v>
      </c>
    </row>
    <row r="396" spans="1:6" ht="12.75" x14ac:dyDescent="0.2">
      <c r="A396" s="3">
        <v>48</v>
      </c>
      <c r="B396" s="4" t="s">
        <v>78</v>
      </c>
      <c r="C396" s="3" t="s">
        <v>347</v>
      </c>
      <c r="D396" s="3" t="s">
        <v>354</v>
      </c>
      <c r="E396" s="3">
        <v>408</v>
      </c>
    </row>
    <row r="397" spans="1:6" ht="12.75" x14ac:dyDescent="0.2">
      <c r="A397" s="3">
        <v>48</v>
      </c>
      <c r="B397" s="4" t="s">
        <v>78</v>
      </c>
      <c r="C397" s="3" t="s">
        <v>347</v>
      </c>
      <c r="D397" s="3" t="s">
        <v>14</v>
      </c>
      <c r="E397" s="3">
        <v>484</v>
      </c>
    </row>
    <row r="398" spans="1:6" ht="12.75" x14ac:dyDescent="0.2">
      <c r="A398" s="3">
        <v>48</v>
      </c>
      <c r="B398" s="4" t="s">
        <v>78</v>
      </c>
      <c r="C398" s="3" t="s">
        <v>347</v>
      </c>
      <c r="D398" s="3" t="s">
        <v>138</v>
      </c>
      <c r="E398" s="3">
        <v>19</v>
      </c>
      <c r="F398">
        <f>SUM(E390:E398)</f>
        <v>4233</v>
      </c>
    </row>
    <row r="399" spans="1:6" ht="12.75" x14ac:dyDescent="0.2">
      <c r="A399" s="3">
        <v>49</v>
      </c>
      <c r="B399" s="4" t="s">
        <v>79</v>
      </c>
      <c r="C399" s="3" t="s">
        <v>347</v>
      </c>
      <c r="D399" s="3" t="s">
        <v>346</v>
      </c>
      <c r="E399" s="3">
        <v>0</v>
      </c>
    </row>
    <row r="400" spans="1:6" ht="12.75" x14ac:dyDescent="0.2">
      <c r="A400" s="3">
        <v>49</v>
      </c>
      <c r="B400" s="4" t="s">
        <v>79</v>
      </c>
      <c r="C400" s="3" t="s">
        <v>347</v>
      </c>
      <c r="D400" s="3" t="s">
        <v>283</v>
      </c>
      <c r="E400" s="3">
        <v>88</v>
      </c>
    </row>
    <row r="401" spans="1:6" ht="12.75" x14ac:dyDescent="0.2">
      <c r="A401" s="3">
        <v>49</v>
      </c>
      <c r="B401" s="4" t="s">
        <v>79</v>
      </c>
      <c r="C401" s="3" t="s">
        <v>347</v>
      </c>
      <c r="D401" s="3" t="s">
        <v>351</v>
      </c>
      <c r="E401" s="3">
        <v>3</v>
      </c>
    </row>
    <row r="402" spans="1:6" ht="12.75" x14ac:dyDescent="0.2">
      <c r="A402" s="3">
        <v>49</v>
      </c>
      <c r="B402" s="4" t="s">
        <v>79</v>
      </c>
      <c r="C402" s="3" t="s">
        <v>347</v>
      </c>
      <c r="D402" s="3" t="s">
        <v>316</v>
      </c>
      <c r="E402" s="3">
        <v>9</v>
      </c>
    </row>
    <row r="403" spans="1:6" ht="12.75" x14ac:dyDescent="0.2">
      <c r="A403" s="3">
        <v>49</v>
      </c>
      <c r="B403" s="4" t="s">
        <v>79</v>
      </c>
      <c r="C403" s="3" t="s">
        <v>347</v>
      </c>
      <c r="D403" s="3" t="s">
        <v>352</v>
      </c>
      <c r="E403" s="3">
        <v>8</v>
      </c>
    </row>
    <row r="404" spans="1:6" ht="12.75" x14ac:dyDescent="0.2">
      <c r="A404" s="3">
        <v>49</v>
      </c>
      <c r="B404" s="4" t="s">
        <v>79</v>
      </c>
      <c r="C404" s="3" t="s">
        <v>347</v>
      </c>
      <c r="D404" s="3" t="s">
        <v>353</v>
      </c>
      <c r="E404" s="3">
        <v>0</v>
      </c>
    </row>
    <row r="405" spans="1:6" ht="12.75" x14ac:dyDescent="0.2">
      <c r="A405" s="3">
        <v>49</v>
      </c>
      <c r="B405" s="4" t="s">
        <v>79</v>
      </c>
      <c r="C405" s="3" t="s">
        <v>347</v>
      </c>
      <c r="D405" s="3" t="s">
        <v>354</v>
      </c>
      <c r="E405" s="3">
        <v>30</v>
      </c>
    </row>
    <row r="406" spans="1:6" ht="12.75" x14ac:dyDescent="0.2">
      <c r="A406" s="3">
        <v>49</v>
      </c>
      <c r="B406" s="4" t="s">
        <v>79</v>
      </c>
      <c r="C406" s="3" t="s">
        <v>347</v>
      </c>
      <c r="D406" s="3" t="s">
        <v>14</v>
      </c>
      <c r="E406" s="3">
        <v>46</v>
      </c>
    </row>
    <row r="407" spans="1:6" ht="12.75" x14ac:dyDescent="0.2">
      <c r="A407" s="3">
        <v>49</v>
      </c>
      <c r="B407" s="4" t="s">
        <v>79</v>
      </c>
      <c r="C407" s="3" t="s">
        <v>347</v>
      </c>
      <c r="D407" s="3" t="s">
        <v>138</v>
      </c>
      <c r="E407" s="3">
        <v>0</v>
      </c>
      <c r="F407">
        <f>SUM(E399:E407)</f>
        <v>184</v>
      </c>
    </row>
    <row r="408" spans="1:6" ht="12.75" x14ac:dyDescent="0.2">
      <c r="A408" s="3">
        <v>53</v>
      </c>
      <c r="B408" s="4" t="s">
        <v>80</v>
      </c>
      <c r="C408" s="3" t="s">
        <v>347</v>
      </c>
      <c r="D408" s="3" t="s">
        <v>346</v>
      </c>
      <c r="E408" s="3">
        <v>0</v>
      </c>
    </row>
    <row r="409" spans="1:6" ht="12.75" x14ac:dyDescent="0.2">
      <c r="A409" s="3">
        <v>53</v>
      </c>
      <c r="B409" s="4" t="s">
        <v>80</v>
      </c>
      <c r="C409" s="3" t="s">
        <v>347</v>
      </c>
      <c r="D409" s="3" t="s">
        <v>283</v>
      </c>
      <c r="E409" s="3">
        <v>124</v>
      </c>
    </row>
    <row r="410" spans="1:6" ht="12.75" x14ac:dyDescent="0.2">
      <c r="A410" s="3">
        <v>53</v>
      </c>
      <c r="B410" s="4" t="s">
        <v>80</v>
      </c>
      <c r="C410" s="3" t="s">
        <v>347</v>
      </c>
      <c r="D410" s="3" t="s">
        <v>351</v>
      </c>
      <c r="E410" s="3">
        <v>2</v>
      </c>
    </row>
    <row r="411" spans="1:6" ht="12.75" x14ac:dyDescent="0.2">
      <c r="A411" s="3">
        <v>53</v>
      </c>
      <c r="B411" s="4" t="s">
        <v>80</v>
      </c>
      <c r="C411" s="3" t="s">
        <v>347</v>
      </c>
      <c r="D411" s="3" t="s">
        <v>316</v>
      </c>
      <c r="E411" s="3">
        <v>1</v>
      </c>
    </row>
    <row r="412" spans="1:6" ht="12.75" x14ac:dyDescent="0.2">
      <c r="A412" s="3">
        <v>53</v>
      </c>
      <c r="B412" s="4" t="s">
        <v>80</v>
      </c>
      <c r="C412" s="3" t="s">
        <v>347</v>
      </c>
      <c r="D412" s="3" t="s">
        <v>352</v>
      </c>
      <c r="E412" s="3">
        <v>1</v>
      </c>
    </row>
    <row r="413" spans="1:6" ht="12.75" x14ac:dyDescent="0.2">
      <c r="A413" s="3">
        <v>53</v>
      </c>
      <c r="B413" s="4" t="s">
        <v>80</v>
      </c>
      <c r="C413" s="3" t="s">
        <v>347</v>
      </c>
      <c r="D413" s="3" t="s">
        <v>353</v>
      </c>
      <c r="E413" s="3">
        <v>0</v>
      </c>
    </row>
    <row r="414" spans="1:6" ht="12.75" x14ac:dyDescent="0.2">
      <c r="A414" s="3">
        <v>53</v>
      </c>
      <c r="B414" s="4" t="s">
        <v>80</v>
      </c>
      <c r="C414" s="3" t="s">
        <v>347</v>
      </c>
      <c r="D414" s="3" t="s">
        <v>354</v>
      </c>
      <c r="E414" s="3">
        <v>23</v>
      </c>
    </row>
    <row r="415" spans="1:6" ht="12.75" x14ac:dyDescent="0.2">
      <c r="A415" s="3">
        <v>53</v>
      </c>
      <c r="B415" s="4" t="s">
        <v>80</v>
      </c>
      <c r="C415" s="3" t="s">
        <v>347</v>
      </c>
      <c r="D415" s="3" t="s">
        <v>14</v>
      </c>
      <c r="E415" s="3">
        <v>55</v>
      </c>
    </row>
    <row r="416" spans="1:6" ht="12.75" x14ac:dyDescent="0.2">
      <c r="A416" s="3">
        <v>53</v>
      </c>
      <c r="B416" s="4" t="s">
        <v>80</v>
      </c>
      <c r="C416" s="3" t="s">
        <v>347</v>
      </c>
      <c r="D416" s="3" t="s">
        <v>138</v>
      </c>
      <c r="E416" s="3">
        <v>0</v>
      </c>
      <c r="F416">
        <f>SUM(E408:E416)</f>
        <v>206</v>
      </c>
    </row>
    <row r="417" spans="1:6" ht="12.75" x14ac:dyDescent="0.2">
      <c r="A417" s="3">
        <v>54</v>
      </c>
      <c r="B417" s="4" t="s">
        <v>81</v>
      </c>
      <c r="C417" s="3" t="s">
        <v>347</v>
      </c>
      <c r="D417" s="3" t="s">
        <v>346</v>
      </c>
      <c r="E417" s="3">
        <v>1</v>
      </c>
    </row>
    <row r="418" spans="1:6" ht="12.75" x14ac:dyDescent="0.2">
      <c r="A418" s="3">
        <v>54</v>
      </c>
      <c r="B418" s="4" t="s">
        <v>81</v>
      </c>
      <c r="C418" s="3" t="s">
        <v>347</v>
      </c>
      <c r="D418" s="3" t="s">
        <v>283</v>
      </c>
      <c r="E418" s="3">
        <v>83</v>
      </c>
    </row>
    <row r="419" spans="1:6" ht="12.75" x14ac:dyDescent="0.2">
      <c r="A419" s="3">
        <v>54</v>
      </c>
      <c r="B419" s="4" t="s">
        <v>81</v>
      </c>
      <c r="C419" s="3" t="s">
        <v>347</v>
      </c>
      <c r="D419" s="3" t="s">
        <v>351</v>
      </c>
      <c r="E419" s="3">
        <v>1</v>
      </c>
    </row>
    <row r="420" spans="1:6" ht="12.75" x14ac:dyDescent="0.2">
      <c r="A420" s="3">
        <v>54</v>
      </c>
      <c r="B420" s="4" t="s">
        <v>81</v>
      </c>
      <c r="C420" s="3" t="s">
        <v>347</v>
      </c>
      <c r="D420" s="3" t="s">
        <v>316</v>
      </c>
      <c r="E420" s="3">
        <v>5</v>
      </c>
    </row>
    <row r="421" spans="1:6" ht="12.75" x14ac:dyDescent="0.2">
      <c r="A421" s="3">
        <v>54</v>
      </c>
      <c r="B421" s="4" t="s">
        <v>81</v>
      </c>
      <c r="C421" s="3" t="s">
        <v>347</v>
      </c>
      <c r="D421" s="3" t="s">
        <v>352</v>
      </c>
      <c r="E421" s="3">
        <v>9</v>
      </c>
    </row>
    <row r="422" spans="1:6" ht="12.75" x14ac:dyDescent="0.2">
      <c r="A422" s="3">
        <v>54</v>
      </c>
      <c r="B422" s="4" t="s">
        <v>81</v>
      </c>
      <c r="C422" s="3" t="s">
        <v>347</v>
      </c>
      <c r="D422" s="3" t="s">
        <v>353</v>
      </c>
      <c r="E422" s="3">
        <v>0</v>
      </c>
    </row>
    <row r="423" spans="1:6" ht="12.75" x14ac:dyDescent="0.2">
      <c r="A423" s="3">
        <v>54</v>
      </c>
      <c r="B423" s="4" t="s">
        <v>81</v>
      </c>
      <c r="C423" s="3" t="s">
        <v>347</v>
      </c>
      <c r="D423" s="3" t="s">
        <v>354</v>
      </c>
      <c r="E423" s="3">
        <v>10</v>
      </c>
    </row>
    <row r="424" spans="1:6" ht="12.75" x14ac:dyDescent="0.2">
      <c r="A424" s="3">
        <v>54</v>
      </c>
      <c r="B424" s="4" t="s">
        <v>81</v>
      </c>
      <c r="C424" s="3" t="s">
        <v>347</v>
      </c>
      <c r="D424" s="3" t="s">
        <v>14</v>
      </c>
      <c r="E424" s="3">
        <v>19</v>
      </c>
    </row>
    <row r="425" spans="1:6" ht="12.75" x14ac:dyDescent="0.2">
      <c r="A425" s="3">
        <v>54</v>
      </c>
      <c r="B425" s="4" t="s">
        <v>81</v>
      </c>
      <c r="C425" s="3" t="s">
        <v>347</v>
      </c>
      <c r="D425" s="3" t="s">
        <v>138</v>
      </c>
      <c r="E425" s="3">
        <v>0</v>
      </c>
      <c r="F425">
        <f>SUM(E417:E425)</f>
        <v>128</v>
      </c>
    </row>
    <row r="426" spans="1:6" ht="12.75" x14ac:dyDescent="0.2">
      <c r="A426" s="3">
        <v>55</v>
      </c>
      <c r="B426" s="4" t="s">
        <v>82</v>
      </c>
      <c r="C426" s="3" t="s">
        <v>347</v>
      </c>
      <c r="D426" s="3" t="s">
        <v>346</v>
      </c>
      <c r="E426" s="3">
        <v>8</v>
      </c>
    </row>
    <row r="427" spans="1:6" ht="12.75" x14ac:dyDescent="0.2">
      <c r="A427" s="3">
        <v>55</v>
      </c>
      <c r="B427" s="4" t="s">
        <v>82</v>
      </c>
      <c r="C427" s="3" t="s">
        <v>347</v>
      </c>
      <c r="D427" s="3" t="s">
        <v>283</v>
      </c>
      <c r="E427" s="3">
        <v>149</v>
      </c>
    </row>
    <row r="428" spans="1:6" ht="12.75" x14ac:dyDescent="0.2">
      <c r="A428" s="3">
        <v>55</v>
      </c>
      <c r="B428" s="4" t="s">
        <v>82</v>
      </c>
      <c r="C428" s="3" t="s">
        <v>347</v>
      </c>
      <c r="D428" s="3" t="s">
        <v>351</v>
      </c>
      <c r="E428" s="3">
        <v>11</v>
      </c>
    </row>
    <row r="429" spans="1:6" ht="12.75" x14ac:dyDescent="0.2">
      <c r="A429" s="3">
        <v>55</v>
      </c>
      <c r="B429" s="4" t="s">
        <v>82</v>
      </c>
      <c r="C429" s="3" t="s">
        <v>347</v>
      </c>
      <c r="D429" s="3" t="s">
        <v>316</v>
      </c>
      <c r="E429" s="3">
        <v>30</v>
      </c>
    </row>
    <row r="430" spans="1:6" ht="12.75" x14ac:dyDescent="0.2">
      <c r="A430" s="3">
        <v>55</v>
      </c>
      <c r="B430" s="4" t="s">
        <v>82</v>
      </c>
      <c r="C430" s="3" t="s">
        <v>347</v>
      </c>
      <c r="D430" s="3" t="s">
        <v>352</v>
      </c>
      <c r="E430" s="3">
        <v>18</v>
      </c>
    </row>
    <row r="431" spans="1:6" ht="12.75" x14ac:dyDescent="0.2">
      <c r="A431" s="3">
        <v>55</v>
      </c>
      <c r="B431" s="4" t="s">
        <v>82</v>
      </c>
      <c r="C431" s="3" t="s">
        <v>347</v>
      </c>
      <c r="D431" s="3" t="s">
        <v>353</v>
      </c>
      <c r="E431" s="3">
        <v>1</v>
      </c>
    </row>
    <row r="432" spans="1:6" ht="12.75" x14ac:dyDescent="0.2">
      <c r="A432" s="3">
        <v>55</v>
      </c>
      <c r="B432" s="4" t="s">
        <v>82</v>
      </c>
      <c r="C432" s="3" t="s">
        <v>347</v>
      </c>
      <c r="D432" s="3" t="s">
        <v>354</v>
      </c>
      <c r="E432" s="3">
        <v>69</v>
      </c>
    </row>
    <row r="433" spans="1:6" ht="12.75" x14ac:dyDescent="0.2">
      <c r="A433" s="3">
        <v>55</v>
      </c>
      <c r="B433" s="4" t="s">
        <v>82</v>
      </c>
      <c r="C433" s="3" t="s">
        <v>347</v>
      </c>
      <c r="D433" s="3" t="s">
        <v>14</v>
      </c>
      <c r="E433" s="3">
        <v>38</v>
      </c>
    </row>
    <row r="434" spans="1:6" ht="12.75" x14ac:dyDescent="0.2">
      <c r="A434" s="3">
        <v>55</v>
      </c>
      <c r="B434" s="4" t="s">
        <v>82</v>
      </c>
      <c r="C434" s="3" t="s">
        <v>347</v>
      </c>
      <c r="D434" s="3" t="s">
        <v>138</v>
      </c>
      <c r="E434" s="3">
        <v>0</v>
      </c>
      <c r="F434">
        <f>SUM(E426:E434)</f>
        <v>324</v>
      </c>
    </row>
    <row r="435" spans="1:6" ht="12.75" x14ac:dyDescent="0.2">
      <c r="A435" s="3">
        <v>56</v>
      </c>
      <c r="B435" s="4" t="s">
        <v>83</v>
      </c>
      <c r="C435" s="3" t="s">
        <v>347</v>
      </c>
      <c r="D435" s="3" t="s">
        <v>346</v>
      </c>
      <c r="E435" s="3">
        <v>1</v>
      </c>
    </row>
    <row r="436" spans="1:6" ht="12.75" x14ac:dyDescent="0.2">
      <c r="A436" s="3">
        <v>56</v>
      </c>
      <c r="B436" s="4" t="s">
        <v>83</v>
      </c>
      <c r="C436" s="3" t="s">
        <v>347</v>
      </c>
      <c r="D436" s="3" t="s">
        <v>283</v>
      </c>
      <c r="E436" s="3">
        <v>213</v>
      </c>
    </row>
    <row r="437" spans="1:6" ht="12.75" x14ac:dyDescent="0.2">
      <c r="A437" s="3">
        <v>56</v>
      </c>
      <c r="B437" s="4" t="s">
        <v>83</v>
      </c>
      <c r="C437" s="3" t="s">
        <v>347</v>
      </c>
      <c r="D437" s="3" t="s">
        <v>351</v>
      </c>
      <c r="E437" s="3">
        <v>7</v>
      </c>
    </row>
    <row r="438" spans="1:6" ht="12.75" x14ac:dyDescent="0.2">
      <c r="A438" s="3">
        <v>56</v>
      </c>
      <c r="B438" s="4" t="s">
        <v>83</v>
      </c>
      <c r="C438" s="3" t="s">
        <v>347</v>
      </c>
      <c r="D438" s="3" t="s">
        <v>316</v>
      </c>
      <c r="E438" s="3">
        <v>28</v>
      </c>
    </row>
    <row r="439" spans="1:6" ht="12.75" x14ac:dyDescent="0.2">
      <c r="A439" s="3">
        <v>56</v>
      </c>
      <c r="B439" s="4" t="s">
        <v>83</v>
      </c>
      <c r="C439" s="3" t="s">
        <v>347</v>
      </c>
      <c r="D439" s="3" t="s">
        <v>352</v>
      </c>
      <c r="E439" s="3">
        <v>46</v>
      </c>
    </row>
    <row r="440" spans="1:6" ht="12.75" x14ac:dyDescent="0.2">
      <c r="A440" s="3">
        <v>56</v>
      </c>
      <c r="B440" s="4" t="s">
        <v>83</v>
      </c>
      <c r="C440" s="3" t="s">
        <v>347</v>
      </c>
      <c r="D440" s="3" t="s">
        <v>353</v>
      </c>
      <c r="E440" s="3">
        <v>0</v>
      </c>
    </row>
    <row r="441" spans="1:6" ht="12.75" x14ac:dyDescent="0.2">
      <c r="A441" s="3">
        <v>56</v>
      </c>
      <c r="B441" s="4" t="s">
        <v>83</v>
      </c>
      <c r="C441" s="3" t="s">
        <v>347</v>
      </c>
      <c r="D441" s="3" t="s">
        <v>354</v>
      </c>
      <c r="E441" s="3">
        <v>44</v>
      </c>
    </row>
    <row r="442" spans="1:6" ht="12.75" x14ac:dyDescent="0.2">
      <c r="A442" s="3">
        <v>56</v>
      </c>
      <c r="B442" s="4" t="s">
        <v>83</v>
      </c>
      <c r="C442" s="3" t="s">
        <v>347</v>
      </c>
      <c r="D442" s="3" t="s">
        <v>14</v>
      </c>
      <c r="E442" s="3">
        <v>47</v>
      </c>
    </row>
    <row r="443" spans="1:6" ht="12.75" x14ac:dyDescent="0.2">
      <c r="A443" s="3">
        <v>56</v>
      </c>
      <c r="B443" s="4" t="s">
        <v>83</v>
      </c>
      <c r="C443" s="3" t="s">
        <v>347</v>
      </c>
      <c r="D443" s="3" t="s">
        <v>138</v>
      </c>
      <c r="E443" s="3">
        <v>4</v>
      </c>
      <c r="F443">
        <f>SUM(E435:E443)</f>
        <v>390</v>
      </c>
    </row>
    <row r="444" spans="1:6" ht="12.75" x14ac:dyDescent="0.2">
      <c r="A444" s="2" t="s">
        <v>175</v>
      </c>
      <c r="B444" s="4" t="s">
        <v>84</v>
      </c>
      <c r="C444" s="3" t="s">
        <v>347</v>
      </c>
      <c r="D444" s="3" t="s">
        <v>346</v>
      </c>
      <c r="E444" s="3">
        <v>551</v>
      </c>
    </row>
    <row r="445" spans="1:6" ht="12.75" x14ac:dyDescent="0.2">
      <c r="A445" s="2" t="s">
        <v>175</v>
      </c>
      <c r="B445" s="4" t="s">
        <v>84</v>
      </c>
      <c r="C445" s="3" t="s">
        <v>347</v>
      </c>
      <c r="D445" s="3" t="s">
        <v>283</v>
      </c>
      <c r="E445" s="3">
        <v>17089</v>
      </c>
    </row>
    <row r="446" spans="1:6" ht="12.75" x14ac:dyDescent="0.2">
      <c r="A446" s="2" t="s">
        <v>175</v>
      </c>
      <c r="B446" s="4" t="s">
        <v>84</v>
      </c>
      <c r="C446" s="3" t="s">
        <v>347</v>
      </c>
      <c r="D446" s="3" t="s">
        <v>351</v>
      </c>
      <c r="E446" s="3">
        <v>1352</v>
      </c>
    </row>
    <row r="447" spans="1:6" ht="12.75" x14ac:dyDescent="0.2">
      <c r="A447" s="2" t="s">
        <v>175</v>
      </c>
      <c r="B447" s="4" t="s">
        <v>84</v>
      </c>
      <c r="C447" s="3" t="s">
        <v>347</v>
      </c>
      <c r="D447" s="3" t="s">
        <v>316</v>
      </c>
      <c r="E447" s="3">
        <v>3779</v>
      </c>
    </row>
    <row r="448" spans="1:6" ht="12.75" x14ac:dyDescent="0.2">
      <c r="A448" s="2" t="s">
        <v>175</v>
      </c>
      <c r="B448" s="4" t="s">
        <v>84</v>
      </c>
      <c r="C448" s="3" t="s">
        <v>347</v>
      </c>
      <c r="D448" s="3" t="s">
        <v>352</v>
      </c>
      <c r="E448" s="3">
        <v>4991</v>
      </c>
    </row>
    <row r="449" spans="1:6" ht="12.75" x14ac:dyDescent="0.2">
      <c r="A449" s="2" t="s">
        <v>175</v>
      </c>
      <c r="B449" s="4" t="s">
        <v>84</v>
      </c>
      <c r="C449" s="3" t="s">
        <v>347</v>
      </c>
      <c r="D449" s="3" t="s">
        <v>353</v>
      </c>
      <c r="E449" s="3">
        <v>518</v>
      </c>
    </row>
    <row r="450" spans="1:6" ht="12.75" x14ac:dyDescent="0.2">
      <c r="A450" s="2" t="s">
        <v>175</v>
      </c>
      <c r="B450" s="4" t="s">
        <v>84</v>
      </c>
      <c r="C450" s="3" t="s">
        <v>347</v>
      </c>
      <c r="D450" s="3" t="s">
        <v>354</v>
      </c>
      <c r="E450" s="3">
        <v>3253</v>
      </c>
    </row>
    <row r="451" spans="1:6" ht="12.75" x14ac:dyDescent="0.2">
      <c r="A451" s="2" t="s">
        <v>175</v>
      </c>
      <c r="B451" s="4" t="s">
        <v>84</v>
      </c>
      <c r="C451" s="3" t="s">
        <v>347</v>
      </c>
      <c r="D451" s="3" t="s">
        <v>14</v>
      </c>
      <c r="E451" s="3">
        <v>3865</v>
      </c>
    </row>
    <row r="452" spans="1:6" ht="12.75" x14ac:dyDescent="0.2">
      <c r="A452" s="2" t="s">
        <v>358</v>
      </c>
      <c r="B452" s="4" t="s">
        <v>84</v>
      </c>
      <c r="C452" s="3" t="s">
        <v>347</v>
      </c>
      <c r="D452" s="3" t="s">
        <v>138</v>
      </c>
      <c r="E452" s="3">
        <v>299</v>
      </c>
      <c r="F452">
        <f>SUM(E444:E452)</f>
        <v>35697</v>
      </c>
    </row>
    <row r="453" spans="1:6" ht="12.75" x14ac:dyDescent="0.2">
      <c r="A453" s="3">
        <v>59</v>
      </c>
      <c r="B453" s="4" t="s">
        <v>85</v>
      </c>
      <c r="C453" s="3" t="s">
        <v>347</v>
      </c>
      <c r="D453" s="3" t="s">
        <v>346</v>
      </c>
      <c r="E453" s="3">
        <v>10</v>
      </c>
    </row>
    <row r="454" spans="1:6" ht="12.75" x14ac:dyDescent="0.2">
      <c r="A454" s="3">
        <v>59</v>
      </c>
      <c r="B454" s="4" t="s">
        <v>85</v>
      </c>
      <c r="C454" s="3" t="s">
        <v>347</v>
      </c>
      <c r="D454" s="3" t="s">
        <v>283</v>
      </c>
      <c r="E454" s="3">
        <v>154</v>
      </c>
    </row>
    <row r="455" spans="1:6" ht="12.75" x14ac:dyDescent="0.2">
      <c r="A455" s="3">
        <v>59</v>
      </c>
      <c r="B455" s="4" t="s">
        <v>85</v>
      </c>
      <c r="C455" s="3" t="s">
        <v>347</v>
      </c>
      <c r="D455" s="3" t="s">
        <v>351</v>
      </c>
      <c r="E455" s="3">
        <v>2</v>
      </c>
    </row>
    <row r="456" spans="1:6" ht="12.75" x14ac:dyDescent="0.2">
      <c r="A456" s="3">
        <v>59</v>
      </c>
      <c r="B456" s="4" t="s">
        <v>85</v>
      </c>
      <c r="C456" s="3" t="s">
        <v>347</v>
      </c>
      <c r="D456" s="3" t="s">
        <v>316</v>
      </c>
      <c r="E456" s="3">
        <v>0</v>
      </c>
    </row>
    <row r="457" spans="1:6" ht="12.75" x14ac:dyDescent="0.2">
      <c r="A457" s="3">
        <v>59</v>
      </c>
      <c r="B457" s="4" t="s">
        <v>85</v>
      </c>
      <c r="C457" s="3" t="s">
        <v>347</v>
      </c>
      <c r="D457" s="3" t="s">
        <v>352</v>
      </c>
      <c r="E457" s="3">
        <v>28</v>
      </c>
    </row>
    <row r="458" spans="1:6" ht="12.75" x14ac:dyDescent="0.2">
      <c r="A458" s="3">
        <v>59</v>
      </c>
      <c r="B458" s="4" t="s">
        <v>85</v>
      </c>
      <c r="C458" s="3" t="s">
        <v>347</v>
      </c>
      <c r="D458" s="3" t="s">
        <v>353</v>
      </c>
      <c r="E458" s="3">
        <v>31</v>
      </c>
    </row>
    <row r="459" spans="1:6" ht="12.75" x14ac:dyDescent="0.2">
      <c r="A459" s="3">
        <v>59</v>
      </c>
      <c r="B459" s="4" t="s">
        <v>85</v>
      </c>
      <c r="C459" s="3" t="s">
        <v>347</v>
      </c>
      <c r="D459" s="3" t="s">
        <v>354</v>
      </c>
      <c r="E459" s="3">
        <v>28</v>
      </c>
    </row>
    <row r="460" spans="1:6" ht="12.75" x14ac:dyDescent="0.2">
      <c r="A460" s="3">
        <v>59</v>
      </c>
      <c r="B460" s="4" t="s">
        <v>85</v>
      </c>
      <c r="C460" s="3" t="s">
        <v>347</v>
      </c>
      <c r="D460" s="3" t="s">
        <v>14</v>
      </c>
      <c r="E460" s="3">
        <v>46</v>
      </c>
    </row>
    <row r="461" spans="1:6" ht="12.75" x14ac:dyDescent="0.2">
      <c r="A461" s="3">
        <v>59</v>
      </c>
      <c r="B461" s="4" t="s">
        <v>85</v>
      </c>
      <c r="C461" s="3" t="s">
        <v>347</v>
      </c>
      <c r="D461" s="3" t="s">
        <v>138</v>
      </c>
      <c r="E461" s="3">
        <v>0</v>
      </c>
      <c r="F461">
        <f>SUM(E453:E461)</f>
        <v>299</v>
      </c>
    </row>
    <row r="462" spans="1:6" ht="12.75" x14ac:dyDescent="0.2">
      <c r="A462" s="3">
        <v>60</v>
      </c>
      <c r="B462" s="4" t="s">
        <v>154</v>
      </c>
      <c r="C462" s="3" t="s">
        <v>347</v>
      </c>
      <c r="D462" s="3" t="s">
        <v>346</v>
      </c>
      <c r="E462" s="3">
        <v>1</v>
      </c>
    </row>
    <row r="463" spans="1:6" ht="12.75" x14ac:dyDescent="0.2">
      <c r="A463" s="3">
        <v>60</v>
      </c>
      <c r="B463" s="4" t="s">
        <v>154</v>
      </c>
      <c r="C463" s="3" t="s">
        <v>347</v>
      </c>
      <c r="D463" s="3" t="s">
        <v>283</v>
      </c>
      <c r="E463" s="3">
        <v>17</v>
      </c>
    </row>
    <row r="464" spans="1:6" ht="12.75" x14ac:dyDescent="0.2">
      <c r="A464" s="3">
        <v>60</v>
      </c>
      <c r="B464" s="4" t="s">
        <v>154</v>
      </c>
      <c r="C464" s="3" t="s">
        <v>347</v>
      </c>
      <c r="D464" s="3" t="s">
        <v>351</v>
      </c>
      <c r="E464" s="3">
        <v>5</v>
      </c>
    </row>
    <row r="465" spans="1:6" ht="12.75" x14ac:dyDescent="0.2">
      <c r="A465" s="3">
        <v>60</v>
      </c>
      <c r="B465" s="4" t="s">
        <v>154</v>
      </c>
      <c r="C465" s="3" t="s">
        <v>347</v>
      </c>
      <c r="D465" s="3" t="s">
        <v>316</v>
      </c>
      <c r="E465" s="3">
        <v>4</v>
      </c>
    </row>
    <row r="466" spans="1:6" ht="12.75" x14ac:dyDescent="0.2">
      <c r="A466" s="3">
        <v>60</v>
      </c>
      <c r="B466" s="4" t="s">
        <v>154</v>
      </c>
      <c r="C466" s="3" t="s">
        <v>347</v>
      </c>
      <c r="D466" s="3" t="s">
        <v>352</v>
      </c>
      <c r="E466" s="3">
        <v>8</v>
      </c>
    </row>
    <row r="467" spans="1:6" ht="12.75" x14ac:dyDescent="0.2">
      <c r="A467" s="3">
        <v>60</v>
      </c>
      <c r="B467" s="4" t="s">
        <v>154</v>
      </c>
      <c r="C467" s="3" t="s">
        <v>347</v>
      </c>
      <c r="D467" s="3" t="s">
        <v>353</v>
      </c>
      <c r="E467" s="3">
        <v>0</v>
      </c>
    </row>
    <row r="468" spans="1:6" ht="12.75" x14ac:dyDescent="0.2">
      <c r="A468" s="3">
        <v>60</v>
      </c>
      <c r="B468" s="4" t="s">
        <v>154</v>
      </c>
      <c r="C468" s="3" t="s">
        <v>347</v>
      </c>
      <c r="D468" s="3" t="s">
        <v>354</v>
      </c>
      <c r="E468" s="3">
        <v>4</v>
      </c>
    </row>
    <row r="469" spans="1:6" ht="12.75" x14ac:dyDescent="0.2">
      <c r="A469" s="3">
        <v>60</v>
      </c>
      <c r="B469" s="4" t="s">
        <v>154</v>
      </c>
      <c r="C469" s="3" t="s">
        <v>347</v>
      </c>
      <c r="D469" s="3" t="s">
        <v>14</v>
      </c>
      <c r="E469" s="3">
        <v>9</v>
      </c>
    </row>
    <row r="470" spans="1:6" ht="12.75" x14ac:dyDescent="0.2">
      <c r="A470" s="3">
        <v>60</v>
      </c>
      <c r="B470" s="4" t="s">
        <v>154</v>
      </c>
      <c r="C470" s="3" t="s">
        <v>347</v>
      </c>
      <c r="D470" s="3" t="s">
        <v>138</v>
      </c>
      <c r="E470" s="3">
        <v>2</v>
      </c>
      <c r="F470">
        <f>SUM(E462:E470)</f>
        <v>50</v>
      </c>
    </row>
    <row r="471" spans="1:6" ht="12.75" x14ac:dyDescent="0.2">
      <c r="A471" s="3">
        <v>61</v>
      </c>
      <c r="B471" s="4" t="s">
        <v>86</v>
      </c>
      <c r="C471" s="3" t="s">
        <v>347</v>
      </c>
      <c r="D471" s="3" t="s">
        <v>346</v>
      </c>
      <c r="E471" s="3">
        <v>19</v>
      </c>
    </row>
    <row r="472" spans="1:6" ht="12.75" x14ac:dyDescent="0.2">
      <c r="A472" s="3">
        <v>61</v>
      </c>
      <c r="B472" s="4" t="s">
        <v>86</v>
      </c>
      <c r="C472" s="3" t="s">
        <v>347</v>
      </c>
      <c r="D472" s="3" t="s">
        <v>283</v>
      </c>
      <c r="E472" s="3">
        <v>2684</v>
      </c>
    </row>
    <row r="473" spans="1:6" ht="12.75" x14ac:dyDescent="0.2">
      <c r="A473" s="3">
        <v>61</v>
      </c>
      <c r="B473" s="4" t="s">
        <v>86</v>
      </c>
      <c r="C473" s="3" t="s">
        <v>347</v>
      </c>
      <c r="D473" s="3" t="s">
        <v>351</v>
      </c>
      <c r="E473" s="3">
        <v>39</v>
      </c>
    </row>
    <row r="474" spans="1:6" ht="12.75" x14ac:dyDescent="0.2">
      <c r="A474" s="3">
        <v>61</v>
      </c>
      <c r="B474" s="4" t="s">
        <v>86</v>
      </c>
      <c r="C474" s="3" t="s">
        <v>347</v>
      </c>
      <c r="D474" s="3" t="s">
        <v>316</v>
      </c>
      <c r="E474" s="3">
        <v>103</v>
      </c>
    </row>
    <row r="475" spans="1:6" ht="12.75" x14ac:dyDescent="0.2">
      <c r="A475" s="3">
        <v>61</v>
      </c>
      <c r="B475" s="4" t="s">
        <v>86</v>
      </c>
      <c r="C475" s="3" t="s">
        <v>347</v>
      </c>
      <c r="D475" s="3" t="s">
        <v>352</v>
      </c>
      <c r="E475" s="3">
        <v>258</v>
      </c>
    </row>
    <row r="476" spans="1:6" ht="12.75" x14ac:dyDescent="0.2">
      <c r="A476" s="3">
        <v>61</v>
      </c>
      <c r="B476" s="4" t="s">
        <v>86</v>
      </c>
      <c r="C476" s="3" t="s">
        <v>347</v>
      </c>
      <c r="D476" s="3" t="s">
        <v>353</v>
      </c>
      <c r="E476" s="3">
        <v>31</v>
      </c>
    </row>
    <row r="477" spans="1:6" ht="12.75" x14ac:dyDescent="0.2">
      <c r="A477" s="3">
        <v>61</v>
      </c>
      <c r="B477" s="4" t="s">
        <v>86</v>
      </c>
      <c r="C477" s="3" t="s">
        <v>347</v>
      </c>
      <c r="D477" s="3" t="s">
        <v>354</v>
      </c>
      <c r="E477" s="3">
        <v>221</v>
      </c>
    </row>
    <row r="478" spans="1:6" ht="12.75" x14ac:dyDescent="0.2">
      <c r="A478" s="3">
        <v>61</v>
      </c>
      <c r="B478" s="4" t="s">
        <v>86</v>
      </c>
      <c r="C478" s="3" t="s">
        <v>347</v>
      </c>
      <c r="D478" s="3" t="s">
        <v>14</v>
      </c>
      <c r="E478" s="3">
        <v>1610</v>
      </c>
    </row>
    <row r="479" spans="1:6" ht="12.75" x14ac:dyDescent="0.2">
      <c r="A479" s="3">
        <v>61</v>
      </c>
      <c r="B479" s="4" t="s">
        <v>86</v>
      </c>
      <c r="C479" s="3" t="s">
        <v>347</v>
      </c>
      <c r="D479" s="3" t="s">
        <v>138</v>
      </c>
      <c r="E479" s="3">
        <v>25</v>
      </c>
      <c r="F479">
        <f>SUM(E471:E479)</f>
        <v>4990</v>
      </c>
    </row>
    <row r="480" spans="1:6" ht="12.75" x14ac:dyDescent="0.2">
      <c r="A480" s="3">
        <v>62</v>
      </c>
      <c r="B480" s="4" t="s">
        <v>87</v>
      </c>
      <c r="C480" s="3" t="s">
        <v>347</v>
      </c>
      <c r="D480" s="3" t="s">
        <v>346</v>
      </c>
      <c r="E480" s="3">
        <v>3</v>
      </c>
    </row>
    <row r="481" spans="1:6" ht="12.75" x14ac:dyDescent="0.2">
      <c r="A481" s="3">
        <v>62</v>
      </c>
      <c r="B481" s="4" t="s">
        <v>87</v>
      </c>
      <c r="C481" s="3" t="s">
        <v>347</v>
      </c>
      <c r="D481" s="3" t="s">
        <v>283</v>
      </c>
      <c r="E481" s="3">
        <v>290</v>
      </c>
    </row>
    <row r="482" spans="1:6" ht="12.75" x14ac:dyDescent="0.2">
      <c r="A482" s="3">
        <v>62</v>
      </c>
      <c r="B482" s="4" t="s">
        <v>87</v>
      </c>
      <c r="C482" s="3" t="s">
        <v>347</v>
      </c>
      <c r="D482" s="3" t="s">
        <v>351</v>
      </c>
      <c r="E482" s="3">
        <v>9</v>
      </c>
    </row>
    <row r="483" spans="1:6" ht="12.75" x14ac:dyDescent="0.2">
      <c r="A483" s="3">
        <v>62</v>
      </c>
      <c r="B483" s="4" t="s">
        <v>87</v>
      </c>
      <c r="C483" s="3" t="s">
        <v>347</v>
      </c>
      <c r="D483" s="3" t="s">
        <v>316</v>
      </c>
      <c r="E483" s="3">
        <v>23</v>
      </c>
    </row>
    <row r="484" spans="1:6" ht="12.75" x14ac:dyDescent="0.2">
      <c r="A484" s="3">
        <v>62</v>
      </c>
      <c r="B484" s="4" t="s">
        <v>87</v>
      </c>
      <c r="C484" s="3" t="s">
        <v>347</v>
      </c>
      <c r="D484" s="3" t="s">
        <v>352</v>
      </c>
      <c r="E484" s="3">
        <v>21</v>
      </c>
    </row>
    <row r="485" spans="1:6" ht="12.75" x14ac:dyDescent="0.2">
      <c r="A485" s="3">
        <v>62</v>
      </c>
      <c r="B485" s="4" t="s">
        <v>87</v>
      </c>
      <c r="C485" s="3" t="s">
        <v>347</v>
      </c>
      <c r="D485" s="3" t="s">
        <v>353</v>
      </c>
      <c r="E485" s="3">
        <v>3</v>
      </c>
    </row>
    <row r="486" spans="1:6" ht="12.75" x14ac:dyDescent="0.2">
      <c r="A486" s="3">
        <v>62</v>
      </c>
      <c r="B486" s="4" t="s">
        <v>87</v>
      </c>
      <c r="C486" s="3" t="s">
        <v>347</v>
      </c>
      <c r="D486" s="3" t="s">
        <v>354</v>
      </c>
      <c r="E486" s="3">
        <v>12</v>
      </c>
    </row>
    <row r="487" spans="1:6" ht="12.75" x14ac:dyDescent="0.2">
      <c r="A487" s="3">
        <v>62</v>
      </c>
      <c r="B487" s="4" t="s">
        <v>87</v>
      </c>
      <c r="C487" s="3" t="s">
        <v>347</v>
      </c>
      <c r="D487" s="3" t="s">
        <v>14</v>
      </c>
      <c r="E487" s="3">
        <v>214</v>
      </c>
    </row>
    <row r="488" spans="1:6" ht="12.75" x14ac:dyDescent="0.2">
      <c r="A488" s="3">
        <v>62</v>
      </c>
      <c r="B488" s="4" t="s">
        <v>87</v>
      </c>
      <c r="C488" s="3" t="s">
        <v>347</v>
      </c>
      <c r="D488" s="3" t="s">
        <v>138</v>
      </c>
      <c r="E488" s="3">
        <v>2</v>
      </c>
      <c r="F488">
        <f>SUM(E480:E488)</f>
        <v>577</v>
      </c>
    </row>
    <row r="489" spans="1:6" ht="12.75" x14ac:dyDescent="0.2">
      <c r="A489" s="3">
        <v>63</v>
      </c>
      <c r="B489" s="4" t="s">
        <v>88</v>
      </c>
      <c r="C489" s="3" t="s">
        <v>347</v>
      </c>
      <c r="D489" s="3" t="s">
        <v>346</v>
      </c>
      <c r="E489" s="3">
        <v>31</v>
      </c>
    </row>
    <row r="490" spans="1:6" ht="12.75" x14ac:dyDescent="0.2">
      <c r="A490" s="3">
        <v>63</v>
      </c>
      <c r="B490" s="4" t="s">
        <v>88</v>
      </c>
      <c r="C490" s="3" t="s">
        <v>347</v>
      </c>
      <c r="D490" s="3" t="s">
        <v>283</v>
      </c>
      <c r="E490" s="3">
        <v>940</v>
      </c>
    </row>
    <row r="491" spans="1:6" ht="12.75" x14ac:dyDescent="0.2">
      <c r="A491" s="3">
        <v>63</v>
      </c>
      <c r="B491" s="4" t="s">
        <v>88</v>
      </c>
      <c r="C491" s="3" t="s">
        <v>347</v>
      </c>
      <c r="D491" s="3" t="s">
        <v>351</v>
      </c>
      <c r="E491" s="3">
        <v>98</v>
      </c>
    </row>
    <row r="492" spans="1:6" ht="12.75" x14ac:dyDescent="0.2">
      <c r="A492" s="3">
        <v>63</v>
      </c>
      <c r="B492" s="4" t="s">
        <v>88</v>
      </c>
      <c r="C492" s="3" t="s">
        <v>347</v>
      </c>
      <c r="D492" s="3" t="s">
        <v>316</v>
      </c>
      <c r="E492" s="3">
        <v>140</v>
      </c>
    </row>
    <row r="493" spans="1:6" ht="12.75" x14ac:dyDescent="0.2">
      <c r="A493" s="3">
        <v>63</v>
      </c>
      <c r="B493" s="4" t="s">
        <v>88</v>
      </c>
      <c r="C493" s="3" t="s">
        <v>347</v>
      </c>
      <c r="D493" s="3" t="s">
        <v>352</v>
      </c>
      <c r="E493" s="3">
        <v>213</v>
      </c>
    </row>
    <row r="494" spans="1:6" ht="12.75" x14ac:dyDescent="0.2">
      <c r="A494" s="3">
        <v>63</v>
      </c>
      <c r="B494" s="4" t="s">
        <v>88</v>
      </c>
      <c r="C494" s="3" t="s">
        <v>347</v>
      </c>
      <c r="D494" s="3" t="s">
        <v>353</v>
      </c>
      <c r="E494" s="3">
        <v>23</v>
      </c>
    </row>
    <row r="495" spans="1:6" ht="12.75" x14ac:dyDescent="0.2">
      <c r="A495" s="3">
        <v>63</v>
      </c>
      <c r="B495" s="4" t="s">
        <v>88</v>
      </c>
      <c r="C495" s="3" t="s">
        <v>347</v>
      </c>
      <c r="D495" s="3" t="s">
        <v>354</v>
      </c>
      <c r="E495" s="3">
        <v>423</v>
      </c>
    </row>
    <row r="496" spans="1:6" ht="12.75" x14ac:dyDescent="0.2">
      <c r="A496" s="3">
        <v>63</v>
      </c>
      <c r="B496" s="4" t="s">
        <v>88</v>
      </c>
      <c r="C496" s="3" t="s">
        <v>347</v>
      </c>
      <c r="D496" s="3" t="s">
        <v>14</v>
      </c>
      <c r="E496" s="3">
        <v>301</v>
      </c>
    </row>
    <row r="497" spans="1:6" ht="12.75" x14ac:dyDescent="0.2">
      <c r="A497" s="3">
        <v>63</v>
      </c>
      <c r="B497" s="4" t="s">
        <v>88</v>
      </c>
      <c r="C497" s="3" t="s">
        <v>347</v>
      </c>
      <c r="D497" s="3" t="s">
        <v>138</v>
      </c>
      <c r="E497" s="3">
        <v>15</v>
      </c>
      <c r="F497">
        <f>SUM(E489:E497)</f>
        <v>2184</v>
      </c>
    </row>
    <row r="498" spans="1:6" ht="12.75" x14ac:dyDescent="0.2">
      <c r="A498" s="3">
        <v>64</v>
      </c>
      <c r="B498" s="4" t="s">
        <v>89</v>
      </c>
      <c r="C498" s="3" t="s">
        <v>347</v>
      </c>
      <c r="D498" s="3" t="s">
        <v>346</v>
      </c>
      <c r="E498" s="3">
        <v>5</v>
      </c>
    </row>
    <row r="499" spans="1:6" ht="12.75" x14ac:dyDescent="0.2">
      <c r="A499" s="3">
        <v>64</v>
      </c>
      <c r="B499" s="4" t="s">
        <v>89</v>
      </c>
      <c r="C499" s="3" t="s">
        <v>347</v>
      </c>
      <c r="D499" s="3" t="s">
        <v>283</v>
      </c>
      <c r="E499" s="3">
        <v>302</v>
      </c>
    </row>
    <row r="500" spans="1:6" ht="12.75" x14ac:dyDescent="0.2">
      <c r="A500" s="3">
        <v>64</v>
      </c>
      <c r="B500" s="4" t="s">
        <v>89</v>
      </c>
      <c r="C500" s="3" t="s">
        <v>347</v>
      </c>
      <c r="D500" s="3" t="s">
        <v>351</v>
      </c>
      <c r="E500" s="3">
        <v>11</v>
      </c>
    </row>
    <row r="501" spans="1:6" ht="12.75" x14ac:dyDescent="0.2">
      <c r="A501" s="3">
        <v>64</v>
      </c>
      <c r="B501" s="4" t="s">
        <v>89</v>
      </c>
      <c r="C501" s="3" t="s">
        <v>347</v>
      </c>
      <c r="D501" s="3" t="s">
        <v>316</v>
      </c>
      <c r="E501" s="3">
        <v>25</v>
      </c>
    </row>
    <row r="502" spans="1:6" ht="12.75" x14ac:dyDescent="0.2">
      <c r="A502" s="3">
        <v>64</v>
      </c>
      <c r="B502" s="4" t="s">
        <v>89</v>
      </c>
      <c r="C502" s="3" t="s">
        <v>347</v>
      </c>
      <c r="D502" s="3" t="s">
        <v>352</v>
      </c>
      <c r="E502" s="3">
        <v>50</v>
      </c>
    </row>
    <row r="503" spans="1:6" ht="12.75" x14ac:dyDescent="0.2">
      <c r="A503" s="3">
        <v>64</v>
      </c>
      <c r="B503" s="4" t="s">
        <v>89</v>
      </c>
      <c r="C503" s="3" t="s">
        <v>347</v>
      </c>
      <c r="D503" s="3" t="s">
        <v>353</v>
      </c>
      <c r="E503" s="3">
        <v>0</v>
      </c>
    </row>
    <row r="504" spans="1:6" ht="12.75" x14ac:dyDescent="0.2">
      <c r="A504" s="3">
        <v>64</v>
      </c>
      <c r="B504" s="4" t="s">
        <v>89</v>
      </c>
      <c r="C504" s="3" t="s">
        <v>347</v>
      </c>
      <c r="D504" s="3" t="s">
        <v>354</v>
      </c>
      <c r="E504" s="3">
        <v>103</v>
      </c>
    </row>
    <row r="505" spans="1:6" ht="12.75" x14ac:dyDescent="0.2">
      <c r="A505" s="3">
        <v>64</v>
      </c>
      <c r="B505" s="4" t="s">
        <v>89</v>
      </c>
      <c r="C505" s="3" t="s">
        <v>347</v>
      </c>
      <c r="D505" s="3" t="s">
        <v>14</v>
      </c>
      <c r="E505" s="3">
        <v>94</v>
      </c>
    </row>
    <row r="506" spans="1:6" ht="12.75" x14ac:dyDescent="0.2">
      <c r="A506" s="3">
        <v>64</v>
      </c>
      <c r="B506" s="4" t="s">
        <v>89</v>
      </c>
      <c r="C506" s="3" t="s">
        <v>347</v>
      </c>
      <c r="D506" s="3" t="s">
        <v>138</v>
      </c>
      <c r="E506" s="3">
        <v>0</v>
      </c>
      <c r="F506">
        <f>SUM(E498:E506)</f>
        <v>590</v>
      </c>
    </row>
    <row r="507" spans="1:6" ht="12.75" x14ac:dyDescent="0.2">
      <c r="A507" s="3">
        <v>65</v>
      </c>
      <c r="B507" s="4" t="s">
        <v>90</v>
      </c>
      <c r="C507" s="3" t="s">
        <v>347</v>
      </c>
      <c r="D507" s="3" t="s">
        <v>346</v>
      </c>
      <c r="E507" s="3">
        <v>33</v>
      </c>
    </row>
    <row r="508" spans="1:6" ht="12.75" x14ac:dyDescent="0.2">
      <c r="A508" s="3">
        <v>65</v>
      </c>
      <c r="B508" s="4" t="s">
        <v>90</v>
      </c>
      <c r="C508" s="3" t="s">
        <v>347</v>
      </c>
      <c r="D508" s="3" t="s">
        <v>283</v>
      </c>
      <c r="E508" s="3">
        <v>1223</v>
      </c>
    </row>
    <row r="509" spans="1:6" ht="12.75" x14ac:dyDescent="0.2">
      <c r="A509" s="3">
        <v>65</v>
      </c>
      <c r="B509" s="4" t="s">
        <v>90</v>
      </c>
      <c r="C509" s="3" t="s">
        <v>347</v>
      </c>
      <c r="D509" s="3" t="s">
        <v>351</v>
      </c>
      <c r="E509" s="3">
        <v>131</v>
      </c>
    </row>
    <row r="510" spans="1:6" ht="12.75" x14ac:dyDescent="0.2">
      <c r="A510" s="3">
        <v>65</v>
      </c>
      <c r="B510" s="4" t="s">
        <v>90</v>
      </c>
      <c r="C510" s="3" t="s">
        <v>347</v>
      </c>
      <c r="D510" s="3" t="s">
        <v>316</v>
      </c>
      <c r="E510" s="3">
        <v>171</v>
      </c>
    </row>
    <row r="511" spans="1:6" ht="12.75" x14ac:dyDescent="0.2">
      <c r="A511" s="3">
        <v>65</v>
      </c>
      <c r="B511" s="4" t="s">
        <v>90</v>
      </c>
      <c r="C511" s="3" t="s">
        <v>347</v>
      </c>
      <c r="D511" s="3" t="s">
        <v>352</v>
      </c>
      <c r="E511" s="3">
        <v>340</v>
      </c>
    </row>
    <row r="512" spans="1:6" ht="12.75" x14ac:dyDescent="0.2">
      <c r="A512" s="3">
        <v>65</v>
      </c>
      <c r="B512" s="4" t="s">
        <v>90</v>
      </c>
      <c r="C512" s="3" t="s">
        <v>347</v>
      </c>
      <c r="D512" s="3" t="s">
        <v>353</v>
      </c>
      <c r="E512" s="3">
        <v>24</v>
      </c>
    </row>
    <row r="513" spans="1:6" ht="12.75" x14ac:dyDescent="0.2">
      <c r="A513" s="3">
        <v>65</v>
      </c>
      <c r="B513" s="4" t="s">
        <v>90</v>
      </c>
      <c r="C513" s="3" t="s">
        <v>347</v>
      </c>
      <c r="D513" s="3" t="s">
        <v>354</v>
      </c>
      <c r="E513" s="3">
        <v>416</v>
      </c>
    </row>
    <row r="514" spans="1:6" ht="12.75" x14ac:dyDescent="0.2">
      <c r="A514" s="3">
        <v>65</v>
      </c>
      <c r="B514" s="4" t="s">
        <v>90</v>
      </c>
      <c r="C514" s="3" t="s">
        <v>347</v>
      </c>
      <c r="D514" s="3" t="s">
        <v>14</v>
      </c>
      <c r="E514" s="3">
        <v>294</v>
      </c>
    </row>
    <row r="515" spans="1:6" ht="12.75" x14ac:dyDescent="0.2">
      <c r="A515" s="3">
        <v>65</v>
      </c>
      <c r="B515" s="4" t="s">
        <v>90</v>
      </c>
      <c r="C515" s="3" t="s">
        <v>347</v>
      </c>
      <c r="D515" s="3" t="s">
        <v>138</v>
      </c>
      <c r="E515" s="3">
        <v>9</v>
      </c>
      <c r="F515">
        <f>SUM(E507:E515)</f>
        <v>2641</v>
      </c>
    </row>
    <row r="516" spans="1:6" ht="12.75" x14ac:dyDescent="0.2">
      <c r="A516" s="3">
        <v>66</v>
      </c>
      <c r="B516" s="4" t="s">
        <v>91</v>
      </c>
      <c r="C516" s="3" t="s">
        <v>347</v>
      </c>
      <c r="D516" s="3" t="s">
        <v>346</v>
      </c>
      <c r="E516" s="3">
        <v>2</v>
      </c>
    </row>
    <row r="517" spans="1:6" ht="12.75" x14ac:dyDescent="0.2">
      <c r="A517" s="3">
        <v>66</v>
      </c>
      <c r="B517" s="4" t="s">
        <v>91</v>
      </c>
      <c r="C517" s="3" t="s">
        <v>347</v>
      </c>
      <c r="D517" s="3" t="s">
        <v>283</v>
      </c>
      <c r="E517" s="3">
        <v>24</v>
      </c>
    </row>
    <row r="518" spans="1:6" ht="12.75" x14ac:dyDescent="0.2">
      <c r="A518" s="3">
        <v>66</v>
      </c>
      <c r="B518" s="4" t="s">
        <v>91</v>
      </c>
      <c r="C518" s="3" t="s">
        <v>347</v>
      </c>
      <c r="D518" s="3" t="s">
        <v>351</v>
      </c>
      <c r="E518" s="3">
        <v>3</v>
      </c>
    </row>
    <row r="519" spans="1:6" ht="12.75" x14ac:dyDescent="0.2">
      <c r="A519" s="3">
        <v>66</v>
      </c>
      <c r="B519" s="4" t="s">
        <v>91</v>
      </c>
      <c r="C519" s="3" t="s">
        <v>347</v>
      </c>
      <c r="D519" s="3" t="s">
        <v>316</v>
      </c>
      <c r="E519" s="3">
        <v>10</v>
      </c>
    </row>
    <row r="520" spans="1:6" ht="12.75" x14ac:dyDescent="0.2">
      <c r="A520" s="3">
        <v>66</v>
      </c>
      <c r="B520" s="4" t="s">
        <v>91</v>
      </c>
      <c r="C520" s="3" t="s">
        <v>347</v>
      </c>
      <c r="D520" s="3" t="s">
        <v>352</v>
      </c>
      <c r="E520" s="3">
        <v>6</v>
      </c>
    </row>
    <row r="521" spans="1:6" ht="12.75" x14ac:dyDescent="0.2">
      <c r="A521" s="3">
        <v>66</v>
      </c>
      <c r="B521" s="4" t="s">
        <v>91</v>
      </c>
      <c r="C521" s="3" t="s">
        <v>347</v>
      </c>
      <c r="D521" s="3" t="s">
        <v>353</v>
      </c>
      <c r="E521" s="3">
        <v>0</v>
      </c>
    </row>
    <row r="522" spans="1:6" ht="12.75" x14ac:dyDescent="0.2">
      <c r="A522" s="3">
        <v>66</v>
      </c>
      <c r="B522" s="4" t="s">
        <v>91</v>
      </c>
      <c r="C522" s="3" t="s">
        <v>347</v>
      </c>
      <c r="D522" s="3" t="s">
        <v>354</v>
      </c>
      <c r="E522" s="3">
        <v>24</v>
      </c>
    </row>
    <row r="523" spans="1:6" ht="12.75" x14ac:dyDescent="0.2">
      <c r="A523" s="3">
        <v>66</v>
      </c>
      <c r="B523" s="4" t="s">
        <v>91</v>
      </c>
      <c r="C523" s="3" t="s">
        <v>347</v>
      </c>
      <c r="D523" s="3" t="s">
        <v>14</v>
      </c>
      <c r="E523" s="3">
        <v>14</v>
      </c>
    </row>
    <row r="524" spans="1:6" ht="12.75" x14ac:dyDescent="0.2">
      <c r="A524" s="3">
        <v>66</v>
      </c>
      <c r="B524" s="4" t="s">
        <v>91</v>
      </c>
      <c r="C524" s="3" t="s">
        <v>347</v>
      </c>
      <c r="D524" s="3" t="s">
        <v>138</v>
      </c>
      <c r="E524" s="3">
        <v>1</v>
      </c>
      <c r="F524">
        <f>SUM(E516:E524)</f>
        <v>84</v>
      </c>
    </row>
    <row r="525" spans="1:6" ht="12.75" x14ac:dyDescent="0.2">
      <c r="A525" s="3">
        <v>67</v>
      </c>
      <c r="B525" s="4" t="s">
        <v>155</v>
      </c>
      <c r="C525" s="3" t="s">
        <v>347</v>
      </c>
      <c r="D525" s="3" t="s">
        <v>346</v>
      </c>
      <c r="E525" s="3">
        <v>0</v>
      </c>
    </row>
    <row r="526" spans="1:6" ht="12.75" x14ac:dyDescent="0.2">
      <c r="A526" s="3">
        <v>67</v>
      </c>
      <c r="B526" s="4" t="s">
        <v>155</v>
      </c>
      <c r="C526" s="3" t="s">
        <v>347</v>
      </c>
      <c r="D526" s="3" t="s">
        <v>283</v>
      </c>
      <c r="E526" s="3">
        <v>17</v>
      </c>
    </row>
    <row r="527" spans="1:6" ht="12.75" x14ac:dyDescent="0.2">
      <c r="A527" s="3">
        <v>67</v>
      </c>
      <c r="B527" s="4" t="s">
        <v>155</v>
      </c>
      <c r="C527" s="3" t="s">
        <v>347</v>
      </c>
      <c r="D527" s="3" t="s">
        <v>351</v>
      </c>
      <c r="E527" s="3">
        <v>3</v>
      </c>
    </row>
    <row r="528" spans="1:6" ht="12.75" x14ac:dyDescent="0.2">
      <c r="A528" s="3">
        <v>67</v>
      </c>
      <c r="B528" s="4" t="s">
        <v>155</v>
      </c>
      <c r="C528" s="3" t="s">
        <v>347</v>
      </c>
      <c r="D528" s="3" t="s">
        <v>316</v>
      </c>
      <c r="E528" s="3">
        <v>4</v>
      </c>
    </row>
    <row r="529" spans="1:6" ht="12.75" x14ac:dyDescent="0.2">
      <c r="A529" s="3">
        <v>67</v>
      </c>
      <c r="B529" s="4" t="s">
        <v>155</v>
      </c>
      <c r="C529" s="3" t="s">
        <v>347</v>
      </c>
      <c r="D529" s="3" t="s">
        <v>352</v>
      </c>
      <c r="E529" s="3">
        <v>2</v>
      </c>
    </row>
    <row r="530" spans="1:6" ht="12.75" x14ac:dyDescent="0.2">
      <c r="A530" s="3">
        <v>67</v>
      </c>
      <c r="B530" s="4" t="s">
        <v>155</v>
      </c>
      <c r="C530" s="3" t="s">
        <v>347</v>
      </c>
      <c r="D530" s="3" t="s">
        <v>353</v>
      </c>
      <c r="E530" s="3">
        <v>0</v>
      </c>
    </row>
    <row r="531" spans="1:6" ht="12.75" x14ac:dyDescent="0.2">
      <c r="A531" s="3">
        <v>67</v>
      </c>
      <c r="B531" s="4" t="s">
        <v>155</v>
      </c>
      <c r="C531" s="3" t="s">
        <v>347</v>
      </c>
      <c r="D531" s="3" t="s">
        <v>354</v>
      </c>
      <c r="E531" s="3">
        <v>9</v>
      </c>
    </row>
    <row r="532" spans="1:6" ht="12.75" x14ac:dyDescent="0.2">
      <c r="A532" s="3">
        <v>67</v>
      </c>
      <c r="B532" s="4" t="s">
        <v>155</v>
      </c>
      <c r="C532" s="3" t="s">
        <v>347</v>
      </c>
      <c r="D532" s="3" t="s">
        <v>14</v>
      </c>
      <c r="E532" s="3">
        <v>1</v>
      </c>
    </row>
    <row r="533" spans="1:6" ht="12.75" x14ac:dyDescent="0.2">
      <c r="A533" s="3">
        <v>67</v>
      </c>
      <c r="B533" s="4" t="s">
        <v>155</v>
      </c>
      <c r="C533" s="3" t="s">
        <v>347</v>
      </c>
      <c r="D533" s="3" t="s">
        <v>138</v>
      </c>
      <c r="E533" s="3">
        <v>0</v>
      </c>
      <c r="F533">
        <f>SUM(E525:E533)</f>
        <v>36</v>
      </c>
    </row>
    <row r="534" spans="1:6" ht="12.75" x14ac:dyDescent="0.2">
      <c r="A534" s="3">
        <v>68</v>
      </c>
      <c r="B534" s="4" t="s">
        <v>92</v>
      </c>
      <c r="C534" s="3" t="s">
        <v>347</v>
      </c>
      <c r="D534" s="3" t="s">
        <v>346</v>
      </c>
      <c r="E534" s="3">
        <v>9</v>
      </c>
    </row>
    <row r="535" spans="1:6" ht="12.75" x14ac:dyDescent="0.2">
      <c r="A535" s="3">
        <v>68</v>
      </c>
      <c r="B535" s="4" t="s">
        <v>92</v>
      </c>
      <c r="C535" s="3" t="s">
        <v>347</v>
      </c>
      <c r="D535" s="3" t="s">
        <v>283</v>
      </c>
      <c r="E535" s="3">
        <v>180</v>
      </c>
    </row>
    <row r="536" spans="1:6" ht="12.75" x14ac:dyDescent="0.2">
      <c r="A536" s="3">
        <v>68</v>
      </c>
      <c r="B536" s="4" t="s">
        <v>92</v>
      </c>
      <c r="C536" s="3" t="s">
        <v>347</v>
      </c>
      <c r="D536" s="3" t="s">
        <v>351</v>
      </c>
      <c r="E536" s="3">
        <v>32</v>
      </c>
    </row>
    <row r="537" spans="1:6" ht="12.75" x14ac:dyDescent="0.2">
      <c r="A537" s="3">
        <v>68</v>
      </c>
      <c r="B537" s="4" t="s">
        <v>92</v>
      </c>
      <c r="C537" s="3" t="s">
        <v>347</v>
      </c>
      <c r="D537" s="3" t="s">
        <v>316</v>
      </c>
      <c r="E537" s="3">
        <v>27</v>
      </c>
    </row>
    <row r="538" spans="1:6" ht="12.75" x14ac:dyDescent="0.2">
      <c r="A538" s="3">
        <v>68</v>
      </c>
      <c r="B538" s="4" t="s">
        <v>92</v>
      </c>
      <c r="C538" s="3" t="s">
        <v>347</v>
      </c>
      <c r="D538" s="3" t="s">
        <v>352</v>
      </c>
      <c r="E538" s="3">
        <v>56</v>
      </c>
    </row>
    <row r="539" spans="1:6" ht="12.75" x14ac:dyDescent="0.2">
      <c r="A539" s="3">
        <v>68</v>
      </c>
      <c r="B539" s="4" t="s">
        <v>92</v>
      </c>
      <c r="C539" s="3" t="s">
        <v>347</v>
      </c>
      <c r="D539" s="3" t="s">
        <v>353</v>
      </c>
      <c r="E539" s="3">
        <v>11</v>
      </c>
    </row>
    <row r="540" spans="1:6" ht="12.75" x14ac:dyDescent="0.2">
      <c r="A540" s="3">
        <v>68</v>
      </c>
      <c r="B540" s="4" t="s">
        <v>92</v>
      </c>
      <c r="C540" s="3" t="s">
        <v>347</v>
      </c>
      <c r="D540" s="3" t="s">
        <v>354</v>
      </c>
      <c r="E540" s="3">
        <v>93</v>
      </c>
    </row>
    <row r="541" spans="1:6" ht="12.75" x14ac:dyDescent="0.2">
      <c r="A541" s="3">
        <v>68</v>
      </c>
      <c r="B541" s="4" t="s">
        <v>92</v>
      </c>
      <c r="C541" s="3" t="s">
        <v>347</v>
      </c>
      <c r="D541" s="3" t="s">
        <v>14</v>
      </c>
      <c r="E541" s="3">
        <v>75</v>
      </c>
    </row>
    <row r="542" spans="1:6" ht="12.75" x14ac:dyDescent="0.2">
      <c r="A542" s="3">
        <v>68</v>
      </c>
      <c r="B542" s="4" t="s">
        <v>92</v>
      </c>
      <c r="C542" s="3" t="s">
        <v>347</v>
      </c>
      <c r="D542" s="3" t="s">
        <v>138</v>
      </c>
      <c r="E542" s="3">
        <v>3</v>
      </c>
      <c r="F542">
        <f>SUM(E534:E542)</f>
        <v>486</v>
      </c>
    </row>
    <row r="543" spans="1:6" ht="12.75" x14ac:dyDescent="0.2">
      <c r="A543" s="3">
        <v>69</v>
      </c>
      <c r="B543" s="4" t="s">
        <v>93</v>
      </c>
      <c r="C543" s="3" t="s">
        <v>347</v>
      </c>
      <c r="D543" s="3" t="s">
        <v>346</v>
      </c>
      <c r="E543" s="3">
        <v>6</v>
      </c>
    </row>
    <row r="544" spans="1:6" ht="12.75" x14ac:dyDescent="0.2">
      <c r="A544" s="3">
        <v>69</v>
      </c>
      <c r="B544" s="4" t="s">
        <v>93</v>
      </c>
      <c r="C544" s="3" t="s">
        <v>347</v>
      </c>
      <c r="D544" s="3" t="s">
        <v>283</v>
      </c>
      <c r="E544" s="3">
        <v>765</v>
      </c>
    </row>
    <row r="545" spans="1:6" ht="12.75" x14ac:dyDescent="0.2">
      <c r="A545" s="3">
        <v>69</v>
      </c>
      <c r="B545" s="4" t="s">
        <v>93</v>
      </c>
      <c r="C545" s="3" t="s">
        <v>347</v>
      </c>
      <c r="D545" s="3" t="s">
        <v>351</v>
      </c>
      <c r="E545" s="3">
        <v>72</v>
      </c>
    </row>
    <row r="546" spans="1:6" ht="12.75" x14ac:dyDescent="0.2">
      <c r="A546" s="3">
        <v>69</v>
      </c>
      <c r="B546" s="4" t="s">
        <v>93</v>
      </c>
      <c r="C546" s="3" t="s">
        <v>347</v>
      </c>
      <c r="D546" s="3" t="s">
        <v>316</v>
      </c>
      <c r="E546" s="3">
        <v>104</v>
      </c>
    </row>
    <row r="547" spans="1:6" ht="12.75" x14ac:dyDescent="0.2">
      <c r="A547" s="3">
        <v>69</v>
      </c>
      <c r="B547" s="4" t="s">
        <v>93</v>
      </c>
      <c r="C547" s="3" t="s">
        <v>347</v>
      </c>
      <c r="D547" s="3" t="s">
        <v>352</v>
      </c>
      <c r="E547" s="3">
        <v>171</v>
      </c>
    </row>
    <row r="548" spans="1:6" ht="12.75" x14ac:dyDescent="0.2">
      <c r="A548" s="3">
        <v>69</v>
      </c>
      <c r="B548" s="4" t="s">
        <v>93</v>
      </c>
      <c r="C548" s="3" t="s">
        <v>347</v>
      </c>
      <c r="D548" s="3" t="s">
        <v>353</v>
      </c>
      <c r="E548" s="3">
        <v>11</v>
      </c>
    </row>
    <row r="549" spans="1:6" ht="12.75" x14ac:dyDescent="0.2">
      <c r="A549" s="3">
        <v>69</v>
      </c>
      <c r="B549" s="4" t="s">
        <v>93</v>
      </c>
      <c r="C549" s="3" t="s">
        <v>347</v>
      </c>
      <c r="D549" s="3" t="s">
        <v>354</v>
      </c>
      <c r="E549" s="3">
        <v>306</v>
      </c>
    </row>
    <row r="550" spans="1:6" ht="12.75" x14ac:dyDescent="0.2">
      <c r="A550" s="3">
        <v>69</v>
      </c>
      <c r="B550" s="4" t="s">
        <v>93</v>
      </c>
      <c r="C550" s="3" t="s">
        <v>347</v>
      </c>
      <c r="D550" s="3" t="s">
        <v>14</v>
      </c>
      <c r="E550" s="3">
        <v>238</v>
      </c>
    </row>
    <row r="551" spans="1:6" ht="12.75" x14ac:dyDescent="0.2">
      <c r="A551" s="3">
        <v>69</v>
      </c>
      <c r="B551" s="4" t="s">
        <v>93</v>
      </c>
      <c r="C551" s="3" t="s">
        <v>347</v>
      </c>
      <c r="D551" s="3" t="s">
        <v>138</v>
      </c>
      <c r="E551" s="3">
        <v>6</v>
      </c>
      <c r="F551">
        <f>SUM(E543:E551)</f>
        <v>1679</v>
      </c>
    </row>
    <row r="552" spans="1:6" ht="12.75" x14ac:dyDescent="0.2">
      <c r="A552" s="3">
        <v>70</v>
      </c>
      <c r="B552" s="4" t="s">
        <v>156</v>
      </c>
      <c r="C552" s="3" t="s">
        <v>347</v>
      </c>
      <c r="D552" s="3" t="s">
        <v>346</v>
      </c>
      <c r="E552" s="3">
        <v>0</v>
      </c>
    </row>
    <row r="553" spans="1:6" ht="12.75" x14ac:dyDescent="0.2">
      <c r="A553" s="3">
        <v>70</v>
      </c>
      <c r="B553" s="4" t="s">
        <v>156</v>
      </c>
      <c r="C553" s="3" t="s">
        <v>347</v>
      </c>
      <c r="D553" s="3" t="s">
        <v>283</v>
      </c>
      <c r="E553" s="3">
        <v>3</v>
      </c>
    </row>
    <row r="554" spans="1:6" ht="12.75" x14ac:dyDescent="0.2">
      <c r="A554" s="3">
        <v>70</v>
      </c>
      <c r="B554" s="4" t="s">
        <v>156</v>
      </c>
      <c r="C554" s="3" t="s">
        <v>347</v>
      </c>
      <c r="D554" s="3" t="s">
        <v>351</v>
      </c>
      <c r="E554" s="3">
        <v>0</v>
      </c>
    </row>
    <row r="555" spans="1:6" ht="12.75" x14ac:dyDescent="0.2">
      <c r="A555" s="3">
        <v>70</v>
      </c>
      <c r="B555" s="4" t="s">
        <v>156</v>
      </c>
      <c r="C555" s="3" t="s">
        <v>347</v>
      </c>
      <c r="D555" s="3" t="s">
        <v>316</v>
      </c>
      <c r="E555" s="3">
        <v>1</v>
      </c>
    </row>
    <row r="556" spans="1:6" ht="12.75" x14ac:dyDescent="0.2">
      <c r="A556" s="3">
        <v>70</v>
      </c>
      <c r="B556" s="4" t="s">
        <v>156</v>
      </c>
      <c r="C556" s="3" t="s">
        <v>347</v>
      </c>
      <c r="D556" s="3" t="s">
        <v>352</v>
      </c>
      <c r="E556" s="3">
        <v>1</v>
      </c>
    </row>
    <row r="557" spans="1:6" ht="12.75" x14ac:dyDescent="0.2">
      <c r="A557" s="3">
        <v>70</v>
      </c>
      <c r="B557" s="4" t="s">
        <v>156</v>
      </c>
      <c r="C557" s="3" t="s">
        <v>347</v>
      </c>
      <c r="D557" s="3" t="s">
        <v>353</v>
      </c>
      <c r="E557" s="3">
        <v>0</v>
      </c>
    </row>
    <row r="558" spans="1:6" ht="12.75" x14ac:dyDescent="0.2">
      <c r="A558" s="3">
        <v>70</v>
      </c>
      <c r="B558" s="4" t="s">
        <v>156</v>
      </c>
      <c r="C558" s="3" t="s">
        <v>347</v>
      </c>
      <c r="D558" s="3" t="s">
        <v>354</v>
      </c>
      <c r="E558" s="3">
        <v>1</v>
      </c>
    </row>
    <row r="559" spans="1:6" ht="12.75" x14ac:dyDescent="0.2">
      <c r="A559" s="3">
        <v>70</v>
      </c>
      <c r="B559" s="4" t="s">
        <v>156</v>
      </c>
      <c r="C559" s="3" t="s">
        <v>347</v>
      </c>
      <c r="D559" s="3" t="s">
        <v>14</v>
      </c>
      <c r="E559" s="3">
        <v>0</v>
      </c>
    </row>
    <row r="560" spans="1:6" ht="12.75" x14ac:dyDescent="0.2">
      <c r="A560" s="3">
        <v>70</v>
      </c>
      <c r="B560" s="4" t="s">
        <v>156</v>
      </c>
      <c r="C560" s="3" t="s">
        <v>347</v>
      </c>
      <c r="D560" s="3" t="s">
        <v>138</v>
      </c>
      <c r="E560" s="3">
        <v>0</v>
      </c>
      <c r="F560">
        <f>SUM(E552:E560)</f>
        <v>6</v>
      </c>
    </row>
    <row r="561" spans="1:6" ht="12.75" x14ac:dyDescent="0.2">
      <c r="A561" s="3">
        <v>71</v>
      </c>
      <c r="B561" s="4" t="s">
        <v>94</v>
      </c>
      <c r="C561" s="3" t="s">
        <v>347</v>
      </c>
      <c r="D561" s="3" t="s">
        <v>346</v>
      </c>
      <c r="E561" s="3">
        <v>1</v>
      </c>
    </row>
    <row r="562" spans="1:6" ht="12.75" x14ac:dyDescent="0.2">
      <c r="A562" s="3">
        <v>71</v>
      </c>
      <c r="B562" s="4" t="s">
        <v>94</v>
      </c>
      <c r="C562" s="3" t="s">
        <v>347</v>
      </c>
      <c r="D562" s="3" t="s">
        <v>283</v>
      </c>
      <c r="E562" s="3">
        <v>673</v>
      </c>
    </row>
    <row r="563" spans="1:6" ht="12.75" x14ac:dyDescent="0.2">
      <c r="A563" s="3">
        <v>71</v>
      </c>
      <c r="B563" s="4" t="s">
        <v>94</v>
      </c>
      <c r="C563" s="3" t="s">
        <v>347</v>
      </c>
      <c r="D563" s="3" t="s">
        <v>351</v>
      </c>
      <c r="E563" s="3">
        <v>7</v>
      </c>
    </row>
    <row r="564" spans="1:6" ht="12.75" x14ac:dyDescent="0.2">
      <c r="A564" s="3">
        <v>71</v>
      </c>
      <c r="B564" s="4" t="s">
        <v>94</v>
      </c>
      <c r="C564" s="3" t="s">
        <v>347</v>
      </c>
      <c r="D564" s="3" t="s">
        <v>316</v>
      </c>
      <c r="E564" s="3">
        <v>22</v>
      </c>
    </row>
    <row r="565" spans="1:6" ht="12.75" x14ac:dyDescent="0.2">
      <c r="A565" s="3">
        <v>71</v>
      </c>
      <c r="B565" s="4" t="s">
        <v>94</v>
      </c>
      <c r="C565" s="3" t="s">
        <v>347</v>
      </c>
      <c r="D565" s="3" t="s">
        <v>352</v>
      </c>
      <c r="E565" s="3">
        <v>34</v>
      </c>
    </row>
    <row r="566" spans="1:6" ht="12.75" x14ac:dyDescent="0.2">
      <c r="A566" s="3">
        <v>71</v>
      </c>
      <c r="B566" s="4" t="s">
        <v>94</v>
      </c>
      <c r="C566" s="3" t="s">
        <v>347</v>
      </c>
      <c r="D566" s="3" t="s">
        <v>353</v>
      </c>
      <c r="E566" s="3">
        <v>1</v>
      </c>
    </row>
    <row r="567" spans="1:6" ht="12.75" x14ac:dyDescent="0.2">
      <c r="A567" s="3">
        <v>71</v>
      </c>
      <c r="B567" s="4" t="s">
        <v>94</v>
      </c>
      <c r="C567" s="3" t="s">
        <v>347</v>
      </c>
      <c r="D567" s="3" t="s">
        <v>354</v>
      </c>
      <c r="E567" s="3">
        <v>103</v>
      </c>
    </row>
    <row r="568" spans="1:6" ht="12.75" x14ac:dyDescent="0.2">
      <c r="A568" s="3">
        <v>71</v>
      </c>
      <c r="B568" s="4" t="s">
        <v>94</v>
      </c>
      <c r="C568" s="3" t="s">
        <v>347</v>
      </c>
      <c r="D568" s="3" t="s">
        <v>14</v>
      </c>
      <c r="E568" s="3">
        <v>107</v>
      </c>
    </row>
    <row r="569" spans="1:6" ht="12.75" x14ac:dyDescent="0.2">
      <c r="A569" s="3">
        <v>71</v>
      </c>
      <c r="B569" s="4" t="s">
        <v>94</v>
      </c>
      <c r="C569" s="3" t="s">
        <v>347</v>
      </c>
      <c r="D569" s="3" t="s">
        <v>138</v>
      </c>
      <c r="E569" s="3">
        <v>0</v>
      </c>
      <c r="F569">
        <f>SUM(E561:E569)</f>
        <v>948</v>
      </c>
    </row>
    <row r="570" spans="1:6" ht="12.75" x14ac:dyDescent="0.2">
      <c r="A570" s="3">
        <v>72</v>
      </c>
      <c r="B570" s="4" t="s">
        <v>95</v>
      </c>
      <c r="C570" s="3" t="s">
        <v>347</v>
      </c>
      <c r="D570" s="3" t="s">
        <v>346</v>
      </c>
      <c r="E570" s="3">
        <v>5</v>
      </c>
    </row>
    <row r="571" spans="1:6" ht="12.75" x14ac:dyDescent="0.2">
      <c r="A571" s="3">
        <v>72</v>
      </c>
      <c r="B571" s="4" t="s">
        <v>95</v>
      </c>
      <c r="C571" s="3" t="s">
        <v>347</v>
      </c>
      <c r="D571" s="3" t="s">
        <v>283</v>
      </c>
      <c r="E571" s="3">
        <v>691</v>
      </c>
    </row>
    <row r="572" spans="1:6" ht="12.75" x14ac:dyDescent="0.2">
      <c r="A572" s="3">
        <v>72</v>
      </c>
      <c r="B572" s="4" t="s">
        <v>95</v>
      </c>
      <c r="C572" s="3" t="s">
        <v>347</v>
      </c>
      <c r="D572" s="3" t="s">
        <v>351</v>
      </c>
      <c r="E572" s="3">
        <v>44</v>
      </c>
    </row>
    <row r="573" spans="1:6" ht="12.75" x14ac:dyDescent="0.2">
      <c r="A573" s="3">
        <v>72</v>
      </c>
      <c r="B573" s="4" t="s">
        <v>95</v>
      </c>
      <c r="C573" s="3" t="s">
        <v>347</v>
      </c>
      <c r="D573" s="3" t="s">
        <v>316</v>
      </c>
      <c r="E573" s="3">
        <v>110</v>
      </c>
    </row>
    <row r="574" spans="1:6" ht="12.75" x14ac:dyDescent="0.2">
      <c r="A574" s="3">
        <v>72</v>
      </c>
      <c r="B574" s="4" t="s">
        <v>95</v>
      </c>
      <c r="C574" s="3" t="s">
        <v>347</v>
      </c>
      <c r="D574" s="3" t="s">
        <v>352</v>
      </c>
      <c r="E574" s="3">
        <v>156</v>
      </c>
    </row>
    <row r="575" spans="1:6" ht="12.75" x14ac:dyDescent="0.2">
      <c r="A575" s="3">
        <v>72</v>
      </c>
      <c r="B575" s="4" t="s">
        <v>95</v>
      </c>
      <c r="C575" s="3" t="s">
        <v>347</v>
      </c>
      <c r="D575" s="3" t="s">
        <v>353</v>
      </c>
      <c r="E575" s="3">
        <v>12</v>
      </c>
    </row>
    <row r="576" spans="1:6" ht="12.75" x14ac:dyDescent="0.2">
      <c r="A576" s="3">
        <v>72</v>
      </c>
      <c r="B576" s="4" t="s">
        <v>95</v>
      </c>
      <c r="C576" s="3" t="s">
        <v>347</v>
      </c>
      <c r="D576" s="3" t="s">
        <v>354</v>
      </c>
      <c r="E576" s="3">
        <v>388</v>
      </c>
    </row>
    <row r="577" spans="1:6" ht="12.75" x14ac:dyDescent="0.2">
      <c r="A577" s="3">
        <v>72</v>
      </c>
      <c r="B577" s="4" t="s">
        <v>95</v>
      </c>
      <c r="C577" s="3" t="s">
        <v>347</v>
      </c>
      <c r="D577" s="3" t="s">
        <v>14</v>
      </c>
      <c r="E577" s="3">
        <v>249</v>
      </c>
    </row>
    <row r="578" spans="1:6" ht="12.75" x14ac:dyDescent="0.2">
      <c r="A578" s="3">
        <v>72</v>
      </c>
      <c r="B578" s="4" t="s">
        <v>95</v>
      </c>
      <c r="C578" s="3" t="s">
        <v>347</v>
      </c>
      <c r="D578" s="3" t="s">
        <v>138</v>
      </c>
      <c r="E578" s="3">
        <v>4</v>
      </c>
      <c r="F578">
        <f>SUM(E570:E578)</f>
        <v>1659</v>
      </c>
    </row>
    <row r="579" spans="1:6" ht="12.75" x14ac:dyDescent="0.2">
      <c r="A579" s="3">
        <v>73</v>
      </c>
      <c r="B579" s="4" t="s">
        <v>96</v>
      </c>
      <c r="C579" s="3" t="s">
        <v>347</v>
      </c>
      <c r="D579" s="3" t="s">
        <v>346</v>
      </c>
      <c r="E579" s="3">
        <v>0</v>
      </c>
    </row>
    <row r="580" spans="1:6" ht="12.75" x14ac:dyDescent="0.2">
      <c r="A580" s="3">
        <v>73</v>
      </c>
      <c r="B580" s="4" t="s">
        <v>96</v>
      </c>
      <c r="C580" s="3" t="s">
        <v>347</v>
      </c>
      <c r="D580" s="3" t="s">
        <v>283</v>
      </c>
      <c r="E580" s="3">
        <v>82</v>
      </c>
    </row>
    <row r="581" spans="1:6" ht="12.75" x14ac:dyDescent="0.2">
      <c r="A581" s="3">
        <v>73</v>
      </c>
      <c r="B581" s="4" t="s">
        <v>96</v>
      </c>
      <c r="C581" s="3" t="s">
        <v>347</v>
      </c>
      <c r="D581" s="3" t="s">
        <v>351</v>
      </c>
      <c r="E581" s="3">
        <v>18</v>
      </c>
    </row>
    <row r="582" spans="1:6" ht="12.75" x14ac:dyDescent="0.2">
      <c r="A582" s="3">
        <v>73</v>
      </c>
      <c r="B582" s="4" t="s">
        <v>96</v>
      </c>
      <c r="C582" s="3" t="s">
        <v>347</v>
      </c>
      <c r="D582" s="3" t="s">
        <v>316</v>
      </c>
      <c r="E582" s="3">
        <v>19</v>
      </c>
    </row>
    <row r="583" spans="1:6" ht="12.75" x14ac:dyDescent="0.2">
      <c r="A583" s="3">
        <v>73</v>
      </c>
      <c r="B583" s="4" t="s">
        <v>96</v>
      </c>
      <c r="C583" s="3" t="s">
        <v>347</v>
      </c>
      <c r="D583" s="3" t="s">
        <v>352</v>
      </c>
      <c r="E583" s="3">
        <v>17</v>
      </c>
    </row>
    <row r="584" spans="1:6" ht="12.75" x14ac:dyDescent="0.2">
      <c r="A584" s="3">
        <v>73</v>
      </c>
      <c r="B584" s="4" t="s">
        <v>96</v>
      </c>
      <c r="C584" s="3" t="s">
        <v>347</v>
      </c>
      <c r="D584" s="3" t="s">
        <v>353</v>
      </c>
      <c r="E584" s="3">
        <v>0</v>
      </c>
    </row>
    <row r="585" spans="1:6" ht="12.75" x14ac:dyDescent="0.2">
      <c r="A585" s="3">
        <v>73</v>
      </c>
      <c r="B585" s="4" t="s">
        <v>96</v>
      </c>
      <c r="C585" s="3" t="s">
        <v>347</v>
      </c>
      <c r="D585" s="3" t="s">
        <v>354</v>
      </c>
      <c r="E585" s="3">
        <v>21</v>
      </c>
    </row>
    <row r="586" spans="1:6" ht="12.75" x14ac:dyDescent="0.2">
      <c r="A586" s="3">
        <v>73</v>
      </c>
      <c r="B586" s="4" t="s">
        <v>96</v>
      </c>
      <c r="C586" s="3" t="s">
        <v>347</v>
      </c>
      <c r="D586" s="3" t="s">
        <v>14</v>
      </c>
      <c r="E586" s="3">
        <v>31</v>
      </c>
    </row>
    <row r="587" spans="1:6" ht="12.75" x14ac:dyDescent="0.2">
      <c r="A587" s="3">
        <v>73</v>
      </c>
      <c r="B587" s="4" t="s">
        <v>96</v>
      </c>
      <c r="C587" s="3" t="s">
        <v>347</v>
      </c>
      <c r="D587" s="3" t="s">
        <v>138</v>
      </c>
      <c r="E587" s="3">
        <v>0</v>
      </c>
      <c r="F587">
        <f>SUM(E579:E587)</f>
        <v>188</v>
      </c>
    </row>
    <row r="588" spans="1:6" ht="12.75" x14ac:dyDescent="0.2">
      <c r="A588" s="3">
        <v>74</v>
      </c>
      <c r="B588" s="4" t="s">
        <v>97</v>
      </c>
      <c r="C588" s="3" t="s">
        <v>347</v>
      </c>
      <c r="D588" s="3" t="s">
        <v>346</v>
      </c>
      <c r="E588" s="3">
        <v>2</v>
      </c>
    </row>
    <row r="589" spans="1:6" ht="12.75" x14ac:dyDescent="0.2">
      <c r="A589" s="3">
        <v>74</v>
      </c>
      <c r="B589" s="4" t="s">
        <v>97</v>
      </c>
      <c r="C589" s="3" t="s">
        <v>347</v>
      </c>
      <c r="D589" s="3" t="s">
        <v>283</v>
      </c>
      <c r="E589" s="3">
        <v>115</v>
      </c>
    </row>
    <row r="590" spans="1:6" ht="12.75" x14ac:dyDescent="0.2">
      <c r="A590" s="3">
        <v>74</v>
      </c>
      <c r="B590" s="4" t="s">
        <v>97</v>
      </c>
      <c r="C590" s="3" t="s">
        <v>347</v>
      </c>
      <c r="D590" s="3" t="s">
        <v>351</v>
      </c>
      <c r="E590" s="3">
        <v>19</v>
      </c>
    </row>
    <row r="591" spans="1:6" ht="12.75" x14ac:dyDescent="0.2">
      <c r="A591" s="3">
        <v>74</v>
      </c>
      <c r="B591" s="4" t="s">
        <v>97</v>
      </c>
      <c r="C591" s="3" t="s">
        <v>347</v>
      </c>
      <c r="D591" s="3" t="s">
        <v>316</v>
      </c>
      <c r="E591" s="3">
        <v>30</v>
      </c>
    </row>
    <row r="592" spans="1:6" ht="12.75" x14ac:dyDescent="0.2">
      <c r="A592" s="3">
        <v>74</v>
      </c>
      <c r="B592" s="4" t="s">
        <v>97</v>
      </c>
      <c r="C592" s="3" t="s">
        <v>347</v>
      </c>
      <c r="D592" s="3" t="s">
        <v>352</v>
      </c>
      <c r="E592" s="3">
        <v>27</v>
      </c>
    </row>
    <row r="593" spans="1:6" ht="12.75" x14ac:dyDescent="0.2">
      <c r="A593" s="3">
        <v>74</v>
      </c>
      <c r="B593" s="4" t="s">
        <v>97</v>
      </c>
      <c r="C593" s="3" t="s">
        <v>347</v>
      </c>
      <c r="D593" s="3" t="s">
        <v>353</v>
      </c>
      <c r="E593" s="3">
        <v>1</v>
      </c>
    </row>
    <row r="594" spans="1:6" ht="12.75" x14ac:dyDescent="0.2">
      <c r="A594" s="3">
        <v>74</v>
      </c>
      <c r="B594" s="4" t="s">
        <v>97</v>
      </c>
      <c r="C594" s="3" t="s">
        <v>347</v>
      </c>
      <c r="D594" s="3" t="s">
        <v>354</v>
      </c>
      <c r="E594" s="3">
        <v>46</v>
      </c>
    </row>
    <row r="595" spans="1:6" ht="12.75" x14ac:dyDescent="0.2">
      <c r="A595" s="3">
        <v>74</v>
      </c>
      <c r="B595" s="4" t="s">
        <v>97</v>
      </c>
      <c r="C595" s="3" t="s">
        <v>347</v>
      </c>
      <c r="D595" s="3" t="s">
        <v>14</v>
      </c>
      <c r="E595" s="3">
        <v>52</v>
      </c>
    </row>
    <row r="596" spans="1:6" ht="12.75" x14ac:dyDescent="0.2">
      <c r="A596" s="3">
        <v>74</v>
      </c>
      <c r="B596" s="4" t="s">
        <v>97</v>
      </c>
      <c r="C596" s="3" t="s">
        <v>347</v>
      </c>
      <c r="D596" s="3" t="s">
        <v>138</v>
      </c>
      <c r="E596" s="3">
        <v>0</v>
      </c>
      <c r="F596">
        <f>SUM(E588:E596)</f>
        <v>292</v>
      </c>
    </row>
    <row r="597" spans="1:6" ht="12.75" x14ac:dyDescent="0.2">
      <c r="A597" s="3">
        <v>75</v>
      </c>
      <c r="B597" s="4" t="s">
        <v>98</v>
      </c>
      <c r="C597" s="3" t="s">
        <v>347</v>
      </c>
      <c r="D597" s="3" t="s">
        <v>346</v>
      </c>
      <c r="E597" s="3">
        <v>12</v>
      </c>
    </row>
    <row r="598" spans="1:6" ht="12.75" x14ac:dyDescent="0.2">
      <c r="A598" s="3">
        <v>75</v>
      </c>
      <c r="B598" s="4" t="s">
        <v>98</v>
      </c>
      <c r="C598" s="3" t="s">
        <v>347</v>
      </c>
      <c r="D598" s="3" t="s">
        <v>283</v>
      </c>
      <c r="E598" s="3">
        <v>1271</v>
      </c>
    </row>
    <row r="599" spans="1:6" ht="12.75" x14ac:dyDescent="0.2">
      <c r="A599" s="3">
        <v>75</v>
      </c>
      <c r="B599" s="4" t="s">
        <v>98</v>
      </c>
      <c r="C599" s="3" t="s">
        <v>347</v>
      </c>
      <c r="D599" s="3" t="s">
        <v>351</v>
      </c>
      <c r="E599" s="3">
        <v>44</v>
      </c>
    </row>
    <row r="600" spans="1:6" ht="12.75" x14ac:dyDescent="0.2">
      <c r="A600" s="3">
        <v>75</v>
      </c>
      <c r="B600" s="4" t="s">
        <v>98</v>
      </c>
      <c r="C600" s="3" t="s">
        <v>347</v>
      </c>
      <c r="D600" s="3" t="s">
        <v>316</v>
      </c>
      <c r="E600" s="3">
        <v>164</v>
      </c>
    </row>
    <row r="601" spans="1:6" ht="12.75" x14ac:dyDescent="0.2">
      <c r="A601" s="3">
        <v>75</v>
      </c>
      <c r="B601" s="4" t="s">
        <v>98</v>
      </c>
      <c r="C601" s="3" t="s">
        <v>347</v>
      </c>
      <c r="D601" s="3" t="s">
        <v>352</v>
      </c>
      <c r="E601" s="3">
        <v>225</v>
      </c>
    </row>
    <row r="602" spans="1:6" ht="12.75" x14ac:dyDescent="0.2">
      <c r="A602" s="3">
        <v>75</v>
      </c>
      <c r="B602" s="4" t="s">
        <v>98</v>
      </c>
      <c r="C602" s="3" t="s">
        <v>347</v>
      </c>
      <c r="D602" s="3" t="s">
        <v>353</v>
      </c>
      <c r="E602" s="3">
        <v>11</v>
      </c>
    </row>
    <row r="603" spans="1:6" ht="12.75" x14ac:dyDescent="0.2">
      <c r="A603" s="3">
        <v>75</v>
      </c>
      <c r="B603" s="4" t="s">
        <v>98</v>
      </c>
      <c r="C603" s="3" t="s">
        <v>347</v>
      </c>
      <c r="D603" s="3" t="s">
        <v>354</v>
      </c>
      <c r="E603" s="3">
        <v>494</v>
      </c>
    </row>
    <row r="604" spans="1:6" ht="12.75" x14ac:dyDescent="0.2">
      <c r="A604" s="3">
        <v>75</v>
      </c>
      <c r="B604" s="4" t="s">
        <v>98</v>
      </c>
      <c r="C604" s="3" t="s">
        <v>347</v>
      </c>
      <c r="D604" s="3" t="s">
        <v>14</v>
      </c>
      <c r="E604" s="3">
        <v>279</v>
      </c>
    </row>
    <row r="605" spans="1:6" ht="12.75" x14ac:dyDescent="0.2">
      <c r="A605" s="3">
        <v>75</v>
      </c>
      <c r="B605" s="4" t="s">
        <v>98</v>
      </c>
      <c r="C605" s="3" t="s">
        <v>347</v>
      </c>
      <c r="D605" s="3" t="s">
        <v>138</v>
      </c>
      <c r="E605" s="3">
        <v>6</v>
      </c>
      <c r="F605">
        <f>SUM(E597:E605)</f>
        <v>2506</v>
      </c>
    </row>
    <row r="606" spans="1:6" ht="12.75" x14ac:dyDescent="0.2">
      <c r="A606" s="3">
        <v>76</v>
      </c>
      <c r="B606" s="4" t="s">
        <v>99</v>
      </c>
      <c r="C606" s="3" t="s">
        <v>347</v>
      </c>
      <c r="D606" s="3" t="s">
        <v>346</v>
      </c>
      <c r="E606" s="3">
        <v>0</v>
      </c>
    </row>
    <row r="607" spans="1:6" ht="12.75" x14ac:dyDescent="0.2">
      <c r="A607" s="3">
        <v>76</v>
      </c>
      <c r="B607" s="4" t="s">
        <v>99</v>
      </c>
      <c r="C607" s="3" t="s">
        <v>347</v>
      </c>
      <c r="D607" s="3" t="s">
        <v>283</v>
      </c>
      <c r="E607" s="3">
        <v>95</v>
      </c>
    </row>
    <row r="608" spans="1:6" ht="12.75" x14ac:dyDescent="0.2">
      <c r="A608" s="3">
        <v>76</v>
      </c>
      <c r="B608" s="4" t="s">
        <v>99</v>
      </c>
      <c r="C608" s="3" t="s">
        <v>347</v>
      </c>
      <c r="D608" s="3" t="s">
        <v>351</v>
      </c>
      <c r="E608" s="3">
        <v>10</v>
      </c>
    </row>
    <row r="609" spans="1:6" ht="12.75" x14ac:dyDescent="0.2">
      <c r="A609" s="3">
        <v>76</v>
      </c>
      <c r="B609" s="4" t="s">
        <v>99</v>
      </c>
      <c r="C609" s="3" t="s">
        <v>347</v>
      </c>
      <c r="D609" s="3" t="s">
        <v>316</v>
      </c>
      <c r="E609" s="3">
        <v>49</v>
      </c>
    </row>
    <row r="610" spans="1:6" ht="12.75" x14ac:dyDescent="0.2">
      <c r="A610" s="3">
        <v>76</v>
      </c>
      <c r="B610" s="4" t="s">
        <v>99</v>
      </c>
      <c r="C610" s="3" t="s">
        <v>347</v>
      </c>
      <c r="D610" s="3" t="s">
        <v>352</v>
      </c>
      <c r="E610" s="3">
        <v>32</v>
      </c>
    </row>
    <row r="611" spans="1:6" ht="12.75" x14ac:dyDescent="0.2">
      <c r="A611" s="3">
        <v>76</v>
      </c>
      <c r="B611" s="4" t="s">
        <v>99</v>
      </c>
      <c r="C611" s="3" t="s">
        <v>347</v>
      </c>
      <c r="D611" s="3" t="s">
        <v>353</v>
      </c>
      <c r="E611" s="3">
        <v>3</v>
      </c>
    </row>
    <row r="612" spans="1:6" ht="12.75" x14ac:dyDescent="0.2">
      <c r="A612" s="3">
        <v>76</v>
      </c>
      <c r="B612" s="4" t="s">
        <v>99</v>
      </c>
      <c r="C612" s="3" t="s">
        <v>347</v>
      </c>
      <c r="D612" s="3" t="s">
        <v>354</v>
      </c>
      <c r="E612" s="3">
        <v>22</v>
      </c>
    </row>
    <row r="613" spans="1:6" ht="12.75" x14ac:dyDescent="0.2">
      <c r="A613" s="3">
        <v>76</v>
      </c>
      <c r="B613" s="4" t="s">
        <v>99</v>
      </c>
      <c r="C613" s="3" t="s">
        <v>347</v>
      </c>
      <c r="D613" s="3" t="s">
        <v>14</v>
      </c>
      <c r="E613" s="3">
        <v>18</v>
      </c>
    </row>
    <row r="614" spans="1:6" ht="12.75" x14ac:dyDescent="0.2">
      <c r="A614" s="3">
        <v>76</v>
      </c>
      <c r="B614" s="4" t="s">
        <v>99</v>
      </c>
      <c r="C614" s="3" t="s">
        <v>347</v>
      </c>
      <c r="D614" s="3" t="s">
        <v>138</v>
      </c>
      <c r="E614" s="3">
        <v>0</v>
      </c>
      <c r="F614">
        <f>SUM(E606:E614)</f>
        <v>229</v>
      </c>
    </row>
    <row r="615" spans="1:6" ht="12.75" x14ac:dyDescent="0.2">
      <c r="A615" s="3">
        <v>77</v>
      </c>
      <c r="B615" s="4" t="s">
        <v>100</v>
      </c>
      <c r="C615" s="3" t="s">
        <v>347</v>
      </c>
      <c r="D615" s="3" t="s">
        <v>346</v>
      </c>
      <c r="E615" s="3">
        <v>7</v>
      </c>
    </row>
    <row r="616" spans="1:6" ht="12.75" x14ac:dyDescent="0.2">
      <c r="A616" s="3">
        <v>77</v>
      </c>
      <c r="B616" s="4" t="s">
        <v>100</v>
      </c>
      <c r="C616" s="3" t="s">
        <v>347</v>
      </c>
      <c r="D616" s="3" t="s">
        <v>283</v>
      </c>
      <c r="E616" s="3">
        <v>420</v>
      </c>
    </row>
    <row r="617" spans="1:6" ht="12.75" x14ac:dyDescent="0.2">
      <c r="A617" s="3">
        <v>77</v>
      </c>
      <c r="B617" s="4" t="s">
        <v>100</v>
      </c>
      <c r="C617" s="3" t="s">
        <v>347</v>
      </c>
      <c r="D617" s="3" t="s">
        <v>351</v>
      </c>
      <c r="E617" s="3">
        <v>47</v>
      </c>
    </row>
    <row r="618" spans="1:6" ht="12.75" x14ac:dyDescent="0.2">
      <c r="A618" s="3">
        <v>77</v>
      </c>
      <c r="B618" s="4" t="s">
        <v>100</v>
      </c>
      <c r="C618" s="3" t="s">
        <v>347</v>
      </c>
      <c r="D618" s="3" t="s">
        <v>316</v>
      </c>
      <c r="E618" s="3">
        <v>67</v>
      </c>
    </row>
    <row r="619" spans="1:6" ht="12.75" x14ac:dyDescent="0.2">
      <c r="A619" s="3">
        <v>77</v>
      </c>
      <c r="B619" s="4" t="s">
        <v>100</v>
      </c>
      <c r="C619" s="3" t="s">
        <v>347</v>
      </c>
      <c r="D619" s="3" t="s">
        <v>352</v>
      </c>
      <c r="E619" s="3">
        <v>113</v>
      </c>
    </row>
    <row r="620" spans="1:6" ht="12.75" x14ac:dyDescent="0.2">
      <c r="A620" s="3">
        <v>77</v>
      </c>
      <c r="B620" s="4" t="s">
        <v>100</v>
      </c>
      <c r="C620" s="3" t="s">
        <v>347</v>
      </c>
      <c r="D620" s="3" t="s">
        <v>353</v>
      </c>
      <c r="E620" s="3">
        <v>5</v>
      </c>
    </row>
    <row r="621" spans="1:6" ht="12.75" x14ac:dyDescent="0.2">
      <c r="A621" s="3">
        <v>77</v>
      </c>
      <c r="B621" s="4" t="s">
        <v>100</v>
      </c>
      <c r="C621" s="3" t="s">
        <v>347</v>
      </c>
      <c r="D621" s="3" t="s">
        <v>354</v>
      </c>
      <c r="E621" s="3">
        <v>306</v>
      </c>
    </row>
    <row r="622" spans="1:6" ht="12.75" x14ac:dyDescent="0.2">
      <c r="A622" s="3">
        <v>77</v>
      </c>
      <c r="B622" s="4" t="s">
        <v>100</v>
      </c>
      <c r="C622" s="3" t="s">
        <v>347</v>
      </c>
      <c r="D622" s="3" t="s">
        <v>14</v>
      </c>
      <c r="E622" s="3">
        <v>139</v>
      </c>
    </row>
    <row r="623" spans="1:6" ht="12.75" x14ac:dyDescent="0.2">
      <c r="A623" s="3">
        <v>77</v>
      </c>
      <c r="B623" s="4" t="s">
        <v>100</v>
      </c>
      <c r="C623" s="3" t="s">
        <v>347</v>
      </c>
      <c r="D623" s="3" t="s">
        <v>138</v>
      </c>
      <c r="E623" s="3">
        <v>0</v>
      </c>
      <c r="F623">
        <f>SUM(E615:E623)</f>
        <v>1104</v>
      </c>
    </row>
    <row r="624" spans="1:6" ht="12.75" x14ac:dyDescent="0.2">
      <c r="A624" s="3">
        <v>78</v>
      </c>
      <c r="B624" s="4" t="s">
        <v>101</v>
      </c>
      <c r="C624" s="3" t="s">
        <v>347</v>
      </c>
      <c r="D624" s="3" t="s">
        <v>346</v>
      </c>
      <c r="E624" s="3">
        <v>1</v>
      </c>
    </row>
    <row r="625" spans="1:6" ht="12.75" x14ac:dyDescent="0.2">
      <c r="A625" s="3">
        <v>78</v>
      </c>
      <c r="B625" s="4" t="s">
        <v>101</v>
      </c>
      <c r="C625" s="3" t="s">
        <v>347</v>
      </c>
      <c r="D625" s="3" t="s">
        <v>283</v>
      </c>
      <c r="E625" s="3">
        <v>148</v>
      </c>
    </row>
    <row r="626" spans="1:6" ht="12.75" x14ac:dyDescent="0.2">
      <c r="A626" s="3">
        <v>78</v>
      </c>
      <c r="B626" s="4" t="s">
        <v>101</v>
      </c>
      <c r="C626" s="3" t="s">
        <v>347</v>
      </c>
      <c r="D626" s="3" t="s">
        <v>351</v>
      </c>
      <c r="E626" s="3">
        <v>7</v>
      </c>
    </row>
    <row r="627" spans="1:6" ht="12.75" x14ac:dyDescent="0.2">
      <c r="A627" s="3">
        <v>78</v>
      </c>
      <c r="B627" s="4" t="s">
        <v>101</v>
      </c>
      <c r="C627" s="3" t="s">
        <v>347</v>
      </c>
      <c r="D627" s="3" t="s">
        <v>316</v>
      </c>
      <c r="E627" s="3">
        <v>21</v>
      </c>
    </row>
    <row r="628" spans="1:6" ht="12.75" x14ac:dyDescent="0.2">
      <c r="A628" s="3">
        <v>78</v>
      </c>
      <c r="B628" s="4" t="s">
        <v>101</v>
      </c>
      <c r="C628" s="3" t="s">
        <v>347</v>
      </c>
      <c r="D628" s="3" t="s">
        <v>352</v>
      </c>
      <c r="E628" s="3">
        <v>32</v>
      </c>
    </row>
    <row r="629" spans="1:6" ht="12.75" x14ac:dyDescent="0.2">
      <c r="A629" s="3">
        <v>78</v>
      </c>
      <c r="B629" s="4" t="s">
        <v>101</v>
      </c>
      <c r="C629" s="3" t="s">
        <v>347</v>
      </c>
      <c r="D629" s="3" t="s">
        <v>353</v>
      </c>
      <c r="E629" s="3">
        <v>0</v>
      </c>
    </row>
    <row r="630" spans="1:6" ht="12.75" x14ac:dyDescent="0.2">
      <c r="A630" s="3">
        <v>78</v>
      </c>
      <c r="B630" s="4" t="s">
        <v>101</v>
      </c>
      <c r="C630" s="3" t="s">
        <v>347</v>
      </c>
      <c r="D630" s="3" t="s">
        <v>354</v>
      </c>
      <c r="E630" s="3">
        <v>23</v>
      </c>
    </row>
    <row r="631" spans="1:6" ht="12.75" x14ac:dyDescent="0.2">
      <c r="A631" s="3">
        <v>78</v>
      </c>
      <c r="B631" s="4" t="s">
        <v>101</v>
      </c>
      <c r="C631" s="3" t="s">
        <v>347</v>
      </c>
      <c r="D631" s="3" t="s">
        <v>14</v>
      </c>
      <c r="E631" s="3">
        <v>24</v>
      </c>
    </row>
    <row r="632" spans="1:6" ht="12.75" x14ac:dyDescent="0.2">
      <c r="A632" s="3">
        <v>78</v>
      </c>
      <c r="B632" s="4" t="s">
        <v>101</v>
      </c>
      <c r="C632" s="3" t="s">
        <v>347</v>
      </c>
      <c r="D632" s="3" t="s">
        <v>138</v>
      </c>
      <c r="E632" s="3">
        <v>2</v>
      </c>
      <c r="F632">
        <f>SUM(E624:E632)</f>
        <v>258</v>
      </c>
    </row>
    <row r="633" spans="1:6" ht="12.75" x14ac:dyDescent="0.2">
      <c r="A633" s="3">
        <v>79</v>
      </c>
      <c r="B633" s="4" t="s">
        <v>102</v>
      </c>
      <c r="C633" s="3" t="s">
        <v>347</v>
      </c>
      <c r="D633" s="3" t="s">
        <v>346</v>
      </c>
      <c r="E633" s="3">
        <v>2</v>
      </c>
    </row>
    <row r="634" spans="1:6" ht="12.75" x14ac:dyDescent="0.2">
      <c r="A634" s="3">
        <v>79</v>
      </c>
      <c r="B634" s="4" t="s">
        <v>102</v>
      </c>
      <c r="C634" s="3" t="s">
        <v>347</v>
      </c>
      <c r="D634" s="3" t="s">
        <v>283</v>
      </c>
      <c r="E634" s="3">
        <v>406</v>
      </c>
    </row>
    <row r="635" spans="1:6" ht="12.75" x14ac:dyDescent="0.2">
      <c r="A635" s="3">
        <v>79</v>
      </c>
      <c r="B635" s="4" t="s">
        <v>102</v>
      </c>
      <c r="C635" s="3" t="s">
        <v>347</v>
      </c>
      <c r="D635" s="3" t="s">
        <v>351</v>
      </c>
      <c r="E635" s="3">
        <v>55</v>
      </c>
    </row>
    <row r="636" spans="1:6" ht="12.75" x14ac:dyDescent="0.2">
      <c r="A636" s="3">
        <v>79</v>
      </c>
      <c r="B636" s="4" t="s">
        <v>102</v>
      </c>
      <c r="C636" s="3" t="s">
        <v>347</v>
      </c>
      <c r="D636" s="3" t="s">
        <v>316</v>
      </c>
      <c r="E636" s="3">
        <v>117</v>
      </c>
    </row>
    <row r="637" spans="1:6" ht="12.75" x14ac:dyDescent="0.2">
      <c r="A637" s="3">
        <v>79</v>
      </c>
      <c r="B637" s="4" t="s">
        <v>102</v>
      </c>
      <c r="C637" s="3" t="s">
        <v>347</v>
      </c>
      <c r="D637" s="3" t="s">
        <v>352</v>
      </c>
      <c r="E637" s="3">
        <v>128</v>
      </c>
    </row>
    <row r="638" spans="1:6" ht="12.75" x14ac:dyDescent="0.2">
      <c r="A638" s="3">
        <v>79</v>
      </c>
      <c r="B638" s="4" t="s">
        <v>102</v>
      </c>
      <c r="C638" s="3" t="s">
        <v>347</v>
      </c>
      <c r="D638" s="3" t="s">
        <v>353</v>
      </c>
      <c r="E638" s="3">
        <v>5</v>
      </c>
    </row>
    <row r="639" spans="1:6" ht="12.75" x14ac:dyDescent="0.2">
      <c r="A639" s="3">
        <v>79</v>
      </c>
      <c r="B639" s="4" t="s">
        <v>102</v>
      </c>
      <c r="C639" s="3" t="s">
        <v>347</v>
      </c>
      <c r="D639" s="3" t="s">
        <v>354</v>
      </c>
      <c r="E639" s="3">
        <v>168</v>
      </c>
    </row>
    <row r="640" spans="1:6" ht="12.75" x14ac:dyDescent="0.2">
      <c r="A640" s="3">
        <v>79</v>
      </c>
      <c r="B640" s="4" t="s">
        <v>102</v>
      </c>
      <c r="C640" s="3" t="s">
        <v>347</v>
      </c>
      <c r="D640" s="3" t="s">
        <v>14</v>
      </c>
      <c r="E640" s="3">
        <v>105</v>
      </c>
    </row>
    <row r="641" spans="1:6" ht="12.75" x14ac:dyDescent="0.2">
      <c r="A641" s="3">
        <v>79</v>
      </c>
      <c r="B641" s="4" t="s">
        <v>102</v>
      </c>
      <c r="C641" s="3" t="s">
        <v>347</v>
      </c>
      <c r="D641" s="3" t="s">
        <v>138</v>
      </c>
      <c r="E641" s="3">
        <v>5</v>
      </c>
      <c r="F641">
        <f>SUM(E633:E641)</f>
        <v>991</v>
      </c>
    </row>
    <row r="642" spans="1:6" ht="12.75" x14ac:dyDescent="0.2">
      <c r="A642" s="3">
        <v>80</v>
      </c>
      <c r="B642" s="4" t="s">
        <v>103</v>
      </c>
      <c r="C642" s="3" t="s">
        <v>347</v>
      </c>
      <c r="D642" s="3" t="s">
        <v>346</v>
      </c>
      <c r="E642" s="3">
        <v>0</v>
      </c>
    </row>
    <row r="643" spans="1:6" ht="12.75" x14ac:dyDescent="0.2">
      <c r="A643" s="3">
        <v>80</v>
      </c>
      <c r="B643" s="4" t="s">
        <v>103</v>
      </c>
      <c r="C643" s="3" t="s">
        <v>347</v>
      </c>
      <c r="D643" s="3" t="s">
        <v>283</v>
      </c>
      <c r="E643" s="3">
        <v>62</v>
      </c>
    </row>
    <row r="644" spans="1:6" ht="12.75" x14ac:dyDescent="0.2">
      <c r="A644" s="3">
        <v>80</v>
      </c>
      <c r="B644" s="4" t="s">
        <v>103</v>
      </c>
      <c r="C644" s="3" t="s">
        <v>347</v>
      </c>
      <c r="D644" s="3" t="s">
        <v>351</v>
      </c>
      <c r="E644" s="3">
        <v>7</v>
      </c>
    </row>
    <row r="645" spans="1:6" ht="12.75" x14ac:dyDescent="0.2">
      <c r="A645" s="3">
        <v>80</v>
      </c>
      <c r="B645" s="4" t="s">
        <v>103</v>
      </c>
      <c r="C645" s="3" t="s">
        <v>347</v>
      </c>
      <c r="D645" s="3" t="s">
        <v>316</v>
      </c>
      <c r="E645" s="3">
        <v>16</v>
      </c>
    </row>
    <row r="646" spans="1:6" ht="12.75" x14ac:dyDescent="0.2">
      <c r="A646" s="3">
        <v>80</v>
      </c>
      <c r="B646" s="4" t="s">
        <v>103</v>
      </c>
      <c r="C646" s="3" t="s">
        <v>347</v>
      </c>
      <c r="D646" s="3" t="s">
        <v>352</v>
      </c>
      <c r="E646" s="3">
        <v>25</v>
      </c>
    </row>
    <row r="647" spans="1:6" ht="12.75" x14ac:dyDescent="0.2">
      <c r="A647" s="3">
        <v>80</v>
      </c>
      <c r="B647" s="4" t="s">
        <v>103</v>
      </c>
      <c r="C647" s="3" t="s">
        <v>347</v>
      </c>
      <c r="D647" s="3" t="s">
        <v>353</v>
      </c>
      <c r="E647" s="3">
        <v>0</v>
      </c>
    </row>
    <row r="648" spans="1:6" ht="12.75" x14ac:dyDescent="0.2">
      <c r="A648" s="3">
        <v>80</v>
      </c>
      <c r="B648" s="4" t="s">
        <v>103</v>
      </c>
      <c r="C648" s="3" t="s">
        <v>347</v>
      </c>
      <c r="D648" s="3" t="s">
        <v>354</v>
      </c>
      <c r="E648" s="3">
        <v>19</v>
      </c>
    </row>
    <row r="649" spans="1:6" ht="12.75" x14ac:dyDescent="0.2">
      <c r="A649" s="3">
        <v>80</v>
      </c>
      <c r="B649" s="4" t="s">
        <v>103</v>
      </c>
      <c r="C649" s="3" t="s">
        <v>347</v>
      </c>
      <c r="D649" s="3" t="s">
        <v>14</v>
      </c>
      <c r="E649" s="3">
        <v>15</v>
      </c>
    </row>
    <row r="650" spans="1:6" ht="12.75" x14ac:dyDescent="0.2">
      <c r="A650" s="3">
        <v>80</v>
      </c>
      <c r="B650" s="4" t="s">
        <v>103</v>
      </c>
      <c r="C650" s="3" t="s">
        <v>347</v>
      </c>
      <c r="D650" s="3" t="s">
        <v>138</v>
      </c>
      <c r="E650" s="3">
        <v>0</v>
      </c>
      <c r="F650">
        <f>SUM(E642:E650)</f>
        <v>144</v>
      </c>
    </row>
    <row r="651" spans="1:6" ht="12.75" x14ac:dyDescent="0.2">
      <c r="A651" s="3">
        <v>81</v>
      </c>
      <c r="B651" s="4" t="s">
        <v>104</v>
      </c>
      <c r="C651" s="3" t="s">
        <v>347</v>
      </c>
      <c r="D651" s="3" t="s">
        <v>346</v>
      </c>
      <c r="E651" s="3">
        <v>26</v>
      </c>
    </row>
    <row r="652" spans="1:6" ht="12.75" x14ac:dyDescent="0.2">
      <c r="A652" s="3">
        <v>81</v>
      </c>
      <c r="B652" s="4" t="s">
        <v>104</v>
      </c>
      <c r="C652" s="3" t="s">
        <v>347</v>
      </c>
      <c r="D652" s="3" t="s">
        <v>283</v>
      </c>
      <c r="E652" s="3">
        <v>1408</v>
      </c>
    </row>
    <row r="653" spans="1:6" ht="12.75" x14ac:dyDescent="0.2">
      <c r="A653" s="3">
        <v>81</v>
      </c>
      <c r="B653" s="4" t="s">
        <v>104</v>
      </c>
      <c r="C653" s="3" t="s">
        <v>347</v>
      </c>
      <c r="D653" s="3" t="s">
        <v>351</v>
      </c>
      <c r="E653" s="3">
        <v>115</v>
      </c>
    </row>
    <row r="654" spans="1:6" ht="12.75" x14ac:dyDescent="0.2">
      <c r="A654" s="3">
        <v>81</v>
      </c>
      <c r="B654" s="4" t="s">
        <v>104</v>
      </c>
      <c r="C654" s="3" t="s">
        <v>347</v>
      </c>
      <c r="D654" s="3" t="s">
        <v>316</v>
      </c>
      <c r="E654" s="3">
        <v>643</v>
      </c>
    </row>
    <row r="655" spans="1:6" ht="12.75" x14ac:dyDescent="0.2">
      <c r="A655" s="3">
        <v>81</v>
      </c>
      <c r="B655" s="4" t="s">
        <v>104</v>
      </c>
      <c r="C655" s="3" t="s">
        <v>347</v>
      </c>
      <c r="D655" s="3" t="s">
        <v>352</v>
      </c>
      <c r="E655" s="3">
        <v>331</v>
      </c>
    </row>
    <row r="656" spans="1:6" ht="12.75" x14ac:dyDescent="0.2">
      <c r="A656" s="3">
        <v>81</v>
      </c>
      <c r="B656" s="4" t="s">
        <v>104</v>
      </c>
      <c r="C656" s="3" t="s">
        <v>347</v>
      </c>
      <c r="D656" s="3" t="s">
        <v>353</v>
      </c>
      <c r="E656" s="3">
        <v>16</v>
      </c>
    </row>
    <row r="657" spans="1:6" ht="12.75" x14ac:dyDescent="0.2">
      <c r="A657" s="3">
        <v>81</v>
      </c>
      <c r="B657" s="4" t="s">
        <v>104</v>
      </c>
      <c r="C657" s="3" t="s">
        <v>347</v>
      </c>
      <c r="D657" s="3" t="s">
        <v>354</v>
      </c>
      <c r="E657" s="3">
        <v>408</v>
      </c>
    </row>
    <row r="658" spans="1:6" ht="12.75" x14ac:dyDescent="0.2">
      <c r="A658" s="3">
        <v>81</v>
      </c>
      <c r="B658" s="4" t="s">
        <v>104</v>
      </c>
      <c r="C658" s="3" t="s">
        <v>347</v>
      </c>
      <c r="D658" s="3" t="s">
        <v>14</v>
      </c>
      <c r="E658" s="3">
        <v>190</v>
      </c>
    </row>
    <row r="659" spans="1:6" ht="12.75" x14ac:dyDescent="0.2">
      <c r="A659" s="3">
        <v>81</v>
      </c>
      <c r="B659" s="4" t="s">
        <v>104</v>
      </c>
      <c r="C659" s="3" t="s">
        <v>347</v>
      </c>
      <c r="D659" s="3" t="s">
        <v>138</v>
      </c>
      <c r="E659" s="3">
        <v>26</v>
      </c>
      <c r="F659">
        <f>SUM(E651:E659)</f>
        <v>3163</v>
      </c>
    </row>
    <row r="660" spans="1:6" ht="12.75" x14ac:dyDescent="0.2">
      <c r="A660" s="3">
        <v>82</v>
      </c>
      <c r="B660" s="4" t="s">
        <v>105</v>
      </c>
      <c r="C660" s="3" t="s">
        <v>347</v>
      </c>
      <c r="D660" s="3" t="s">
        <v>346</v>
      </c>
      <c r="E660" s="3">
        <v>63</v>
      </c>
    </row>
    <row r="661" spans="1:6" ht="12.75" x14ac:dyDescent="0.2">
      <c r="A661" s="3">
        <v>82</v>
      </c>
      <c r="B661" s="4" t="s">
        <v>105</v>
      </c>
      <c r="C661" s="3" t="s">
        <v>347</v>
      </c>
      <c r="D661" s="3" t="s">
        <v>283</v>
      </c>
      <c r="E661" s="3">
        <v>2596</v>
      </c>
    </row>
    <row r="662" spans="1:6" ht="12.75" x14ac:dyDescent="0.2">
      <c r="A662" s="3">
        <v>82</v>
      </c>
      <c r="B662" s="4" t="s">
        <v>105</v>
      </c>
      <c r="C662" s="3" t="s">
        <v>347</v>
      </c>
      <c r="D662" s="3" t="s">
        <v>351</v>
      </c>
      <c r="E662" s="3">
        <v>169</v>
      </c>
    </row>
    <row r="663" spans="1:6" ht="12.75" x14ac:dyDescent="0.2">
      <c r="A663" s="3">
        <v>82</v>
      </c>
      <c r="B663" s="4" t="s">
        <v>105</v>
      </c>
      <c r="C663" s="3" t="s">
        <v>347</v>
      </c>
      <c r="D663" s="3" t="s">
        <v>316</v>
      </c>
      <c r="E663" s="3">
        <v>328</v>
      </c>
    </row>
    <row r="664" spans="1:6" ht="12.75" x14ac:dyDescent="0.2">
      <c r="A664" s="3">
        <v>82</v>
      </c>
      <c r="B664" s="4" t="s">
        <v>105</v>
      </c>
      <c r="C664" s="3" t="s">
        <v>347</v>
      </c>
      <c r="D664" s="3" t="s">
        <v>352</v>
      </c>
      <c r="E664" s="3">
        <v>817</v>
      </c>
    </row>
    <row r="665" spans="1:6" ht="12.75" x14ac:dyDescent="0.2">
      <c r="A665" s="3">
        <v>82</v>
      </c>
      <c r="B665" s="4" t="s">
        <v>105</v>
      </c>
      <c r="C665" s="3" t="s">
        <v>347</v>
      </c>
      <c r="D665" s="3" t="s">
        <v>353</v>
      </c>
      <c r="E665" s="3">
        <v>31</v>
      </c>
    </row>
    <row r="666" spans="1:6" ht="12.75" x14ac:dyDescent="0.2">
      <c r="A666" s="3">
        <v>82</v>
      </c>
      <c r="B666" s="4" t="s">
        <v>105</v>
      </c>
      <c r="C666" s="3" t="s">
        <v>347</v>
      </c>
      <c r="D666" s="3" t="s">
        <v>354</v>
      </c>
      <c r="E666" s="3">
        <v>507</v>
      </c>
    </row>
    <row r="667" spans="1:6" ht="12.75" x14ac:dyDescent="0.2">
      <c r="A667" s="3">
        <v>82</v>
      </c>
      <c r="B667" s="4" t="s">
        <v>105</v>
      </c>
      <c r="C667" s="3" t="s">
        <v>347</v>
      </c>
      <c r="D667" s="3" t="s">
        <v>14</v>
      </c>
      <c r="E667" s="3">
        <v>545</v>
      </c>
    </row>
    <row r="668" spans="1:6" ht="12.75" x14ac:dyDescent="0.2">
      <c r="A668" s="3">
        <v>82</v>
      </c>
      <c r="B668" s="4" t="s">
        <v>105</v>
      </c>
      <c r="C668" s="3" t="s">
        <v>347</v>
      </c>
      <c r="D668" s="3" t="s">
        <v>138</v>
      </c>
      <c r="E668" s="3">
        <v>29</v>
      </c>
      <c r="F668">
        <f>SUM(E660:E668)</f>
        <v>5085</v>
      </c>
    </row>
    <row r="669" spans="1:6" ht="12.75" x14ac:dyDescent="0.2">
      <c r="A669" s="3">
        <v>83</v>
      </c>
      <c r="B669" s="4" t="s">
        <v>157</v>
      </c>
      <c r="C669" s="3" t="s">
        <v>347</v>
      </c>
      <c r="D669" s="3" t="s">
        <v>346</v>
      </c>
      <c r="E669" s="3">
        <v>0</v>
      </c>
    </row>
    <row r="670" spans="1:6" ht="12.75" x14ac:dyDescent="0.2">
      <c r="A670" s="3">
        <v>83</v>
      </c>
      <c r="B670" s="4" t="s">
        <v>157</v>
      </c>
      <c r="C670" s="3" t="s">
        <v>347</v>
      </c>
      <c r="D670" s="3" t="s">
        <v>283</v>
      </c>
      <c r="E670" s="3">
        <v>1</v>
      </c>
    </row>
    <row r="671" spans="1:6" ht="12.75" x14ac:dyDescent="0.2">
      <c r="A671" s="3">
        <v>83</v>
      </c>
      <c r="B671" s="4" t="s">
        <v>157</v>
      </c>
      <c r="C671" s="3" t="s">
        <v>347</v>
      </c>
      <c r="D671" s="3" t="s">
        <v>351</v>
      </c>
      <c r="E671" s="3">
        <v>0</v>
      </c>
    </row>
    <row r="672" spans="1:6" ht="12.75" x14ac:dyDescent="0.2">
      <c r="A672" s="3">
        <v>83</v>
      </c>
      <c r="B672" s="4" t="s">
        <v>157</v>
      </c>
      <c r="C672" s="3" t="s">
        <v>347</v>
      </c>
      <c r="D672" s="3" t="s">
        <v>316</v>
      </c>
      <c r="E672" s="3">
        <v>0</v>
      </c>
    </row>
    <row r="673" spans="1:6" ht="12.75" x14ac:dyDescent="0.2">
      <c r="A673" s="3">
        <v>83</v>
      </c>
      <c r="B673" s="4" t="s">
        <v>157</v>
      </c>
      <c r="C673" s="3" t="s">
        <v>347</v>
      </c>
      <c r="D673" s="3" t="s">
        <v>352</v>
      </c>
      <c r="E673" s="3">
        <v>1</v>
      </c>
    </row>
    <row r="674" spans="1:6" ht="12.75" x14ac:dyDescent="0.2">
      <c r="A674" s="3">
        <v>83</v>
      </c>
      <c r="B674" s="4" t="s">
        <v>157</v>
      </c>
      <c r="C674" s="3" t="s">
        <v>347</v>
      </c>
      <c r="D674" s="3" t="s">
        <v>353</v>
      </c>
      <c r="E674" s="3">
        <v>0</v>
      </c>
    </row>
    <row r="675" spans="1:6" ht="12.75" x14ac:dyDescent="0.2">
      <c r="A675" s="3">
        <v>83</v>
      </c>
      <c r="B675" s="4" t="s">
        <v>157</v>
      </c>
      <c r="C675" s="3" t="s">
        <v>347</v>
      </c>
      <c r="D675" s="3" t="s">
        <v>354</v>
      </c>
      <c r="E675" s="3">
        <v>0</v>
      </c>
    </row>
    <row r="676" spans="1:6" ht="12.75" x14ac:dyDescent="0.2">
      <c r="A676" s="3">
        <v>83</v>
      </c>
      <c r="B676" s="4" t="s">
        <v>157</v>
      </c>
      <c r="C676" s="3" t="s">
        <v>347</v>
      </c>
      <c r="D676" s="3" t="s">
        <v>14</v>
      </c>
      <c r="E676" s="3">
        <v>2</v>
      </c>
    </row>
    <row r="677" spans="1:6" ht="12.75" x14ac:dyDescent="0.2">
      <c r="A677" s="3">
        <v>83</v>
      </c>
      <c r="B677" s="4" t="s">
        <v>157</v>
      </c>
      <c r="C677" s="3" t="s">
        <v>347</v>
      </c>
      <c r="D677" s="3" t="s">
        <v>138</v>
      </c>
      <c r="E677" s="3">
        <v>0</v>
      </c>
      <c r="F677">
        <f>SUM(E669:E677)</f>
        <v>4</v>
      </c>
    </row>
    <row r="678" spans="1:6" ht="12.75" x14ac:dyDescent="0.2">
      <c r="A678" s="3">
        <v>84</v>
      </c>
      <c r="B678" s="4" t="s">
        <v>158</v>
      </c>
      <c r="C678" s="3" t="s">
        <v>347</v>
      </c>
      <c r="D678" s="3" t="s">
        <v>346</v>
      </c>
      <c r="E678" s="3">
        <v>1</v>
      </c>
    </row>
    <row r="679" spans="1:6" ht="12.75" x14ac:dyDescent="0.2">
      <c r="A679" s="3">
        <v>84</v>
      </c>
      <c r="B679" s="4" t="s">
        <v>158</v>
      </c>
      <c r="C679" s="3" t="s">
        <v>347</v>
      </c>
      <c r="D679" s="3" t="s">
        <v>283</v>
      </c>
      <c r="E679" s="3">
        <v>9</v>
      </c>
    </row>
    <row r="680" spans="1:6" ht="12.75" x14ac:dyDescent="0.2">
      <c r="A680" s="3">
        <v>84</v>
      </c>
      <c r="B680" s="4" t="s">
        <v>158</v>
      </c>
      <c r="C680" s="3" t="s">
        <v>347</v>
      </c>
      <c r="D680" s="3" t="s">
        <v>351</v>
      </c>
      <c r="E680" s="3">
        <v>3</v>
      </c>
    </row>
    <row r="681" spans="1:6" ht="12.75" x14ac:dyDescent="0.2">
      <c r="A681" s="3">
        <v>84</v>
      </c>
      <c r="B681" s="4" t="s">
        <v>158</v>
      </c>
      <c r="C681" s="3" t="s">
        <v>347</v>
      </c>
      <c r="D681" s="3" t="s">
        <v>316</v>
      </c>
      <c r="E681" s="3">
        <v>0</v>
      </c>
    </row>
    <row r="682" spans="1:6" ht="12.75" x14ac:dyDescent="0.2">
      <c r="A682" s="3">
        <v>84</v>
      </c>
      <c r="B682" s="4" t="s">
        <v>158</v>
      </c>
      <c r="C682" s="3" t="s">
        <v>347</v>
      </c>
      <c r="D682" s="3" t="s">
        <v>352</v>
      </c>
      <c r="E682" s="3">
        <v>1</v>
      </c>
    </row>
    <row r="683" spans="1:6" ht="12.75" x14ac:dyDescent="0.2">
      <c r="A683" s="3">
        <v>84</v>
      </c>
      <c r="B683" s="4" t="s">
        <v>158</v>
      </c>
      <c r="C683" s="3" t="s">
        <v>347</v>
      </c>
      <c r="D683" s="3" t="s">
        <v>353</v>
      </c>
      <c r="E683" s="3">
        <v>0</v>
      </c>
    </row>
    <row r="684" spans="1:6" ht="12.75" x14ac:dyDescent="0.2">
      <c r="A684" s="3">
        <v>84</v>
      </c>
      <c r="B684" s="4" t="s">
        <v>158</v>
      </c>
      <c r="C684" s="3" t="s">
        <v>347</v>
      </c>
      <c r="D684" s="3" t="s">
        <v>354</v>
      </c>
      <c r="E684" s="3">
        <v>0</v>
      </c>
    </row>
    <row r="685" spans="1:6" ht="12.75" x14ac:dyDescent="0.2">
      <c r="A685" s="3">
        <v>84</v>
      </c>
      <c r="B685" s="4" t="s">
        <v>158</v>
      </c>
      <c r="C685" s="3" t="s">
        <v>347</v>
      </c>
      <c r="D685" s="3" t="s">
        <v>14</v>
      </c>
      <c r="E685" s="3">
        <v>2</v>
      </c>
    </row>
    <row r="686" spans="1:6" ht="12.75" x14ac:dyDescent="0.2">
      <c r="A686" s="3">
        <v>84</v>
      </c>
      <c r="B686" s="4" t="s">
        <v>158</v>
      </c>
      <c r="C686" s="3" t="s">
        <v>347</v>
      </c>
      <c r="D686" s="3" t="s">
        <v>138</v>
      </c>
      <c r="E686" s="3">
        <v>0</v>
      </c>
      <c r="F686">
        <f>SUM(E678:E686)</f>
        <v>16</v>
      </c>
    </row>
    <row r="687" spans="1:6" ht="12.75" x14ac:dyDescent="0.2">
      <c r="A687" s="3">
        <v>85</v>
      </c>
      <c r="B687" s="4" t="s">
        <v>159</v>
      </c>
      <c r="C687" s="3" t="s">
        <v>347</v>
      </c>
      <c r="D687" s="3" t="s">
        <v>346</v>
      </c>
      <c r="E687" s="3">
        <v>0</v>
      </c>
    </row>
    <row r="688" spans="1:6" ht="12.75" x14ac:dyDescent="0.2">
      <c r="A688" s="3">
        <v>85</v>
      </c>
      <c r="B688" s="4" t="s">
        <v>159</v>
      </c>
      <c r="C688" s="3" t="s">
        <v>347</v>
      </c>
      <c r="D688" s="3" t="s">
        <v>283</v>
      </c>
      <c r="E688" s="3">
        <v>1</v>
      </c>
    </row>
    <row r="689" spans="1:6" ht="12.75" x14ac:dyDescent="0.2">
      <c r="A689" s="3">
        <v>85</v>
      </c>
      <c r="B689" s="4" t="s">
        <v>159</v>
      </c>
      <c r="C689" s="3" t="s">
        <v>347</v>
      </c>
      <c r="D689" s="3" t="s">
        <v>351</v>
      </c>
      <c r="E689" s="3">
        <v>0</v>
      </c>
    </row>
    <row r="690" spans="1:6" ht="12.75" x14ac:dyDescent="0.2">
      <c r="A690" s="3">
        <v>85</v>
      </c>
      <c r="B690" s="4" t="s">
        <v>159</v>
      </c>
      <c r="C690" s="3" t="s">
        <v>347</v>
      </c>
      <c r="D690" s="3" t="s">
        <v>316</v>
      </c>
      <c r="E690" s="3">
        <v>0</v>
      </c>
    </row>
    <row r="691" spans="1:6" ht="12.75" x14ac:dyDescent="0.2">
      <c r="A691" s="3">
        <v>85</v>
      </c>
      <c r="B691" s="4" t="s">
        <v>159</v>
      </c>
      <c r="C691" s="3" t="s">
        <v>347</v>
      </c>
      <c r="D691" s="3" t="s">
        <v>352</v>
      </c>
      <c r="E691" s="3">
        <v>0</v>
      </c>
    </row>
    <row r="692" spans="1:6" ht="12.75" x14ac:dyDescent="0.2">
      <c r="A692" s="3">
        <v>85</v>
      </c>
      <c r="B692" s="4" t="s">
        <v>159</v>
      </c>
      <c r="C692" s="3" t="s">
        <v>347</v>
      </c>
      <c r="D692" s="3" t="s">
        <v>353</v>
      </c>
      <c r="E692" s="3">
        <v>0</v>
      </c>
    </row>
    <row r="693" spans="1:6" ht="12.75" x14ac:dyDescent="0.2">
      <c r="A693" s="3">
        <v>85</v>
      </c>
      <c r="B693" s="4" t="s">
        <v>159</v>
      </c>
      <c r="C693" s="3" t="s">
        <v>347</v>
      </c>
      <c r="D693" s="3" t="s">
        <v>354</v>
      </c>
      <c r="E693" s="3">
        <v>2</v>
      </c>
    </row>
    <row r="694" spans="1:6" ht="12.75" x14ac:dyDescent="0.2">
      <c r="A694" s="3">
        <v>85</v>
      </c>
      <c r="B694" s="4" t="s">
        <v>159</v>
      </c>
      <c r="C694" s="3" t="s">
        <v>347</v>
      </c>
      <c r="D694" s="3" t="s">
        <v>14</v>
      </c>
      <c r="E694" s="3">
        <v>0</v>
      </c>
    </row>
    <row r="695" spans="1:6" ht="12.75" x14ac:dyDescent="0.2">
      <c r="A695" s="3">
        <v>85</v>
      </c>
      <c r="B695" s="4" t="s">
        <v>159</v>
      </c>
      <c r="C695" s="3" t="s">
        <v>347</v>
      </c>
      <c r="D695" s="3" t="s">
        <v>138</v>
      </c>
      <c r="E695" s="3">
        <v>0</v>
      </c>
      <c r="F695">
        <f>SUM(E687:E695)</f>
        <v>3</v>
      </c>
    </row>
    <row r="696" spans="1:6" ht="12.75" x14ac:dyDescent="0.2">
      <c r="A696" s="3">
        <v>86</v>
      </c>
      <c r="B696" s="4" t="s">
        <v>106</v>
      </c>
      <c r="C696" s="3" t="s">
        <v>347</v>
      </c>
      <c r="D696" s="3" t="s">
        <v>346</v>
      </c>
      <c r="E696" s="3">
        <v>67</v>
      </c>
    </row>
    <row r="697" spans="1:6" ht="12.75" x14ac:dyDescent="0.2">
      <c r="A697" s="3">
        <v>86</v>
      </c>
      <c r="B697" s="4" t="s">
        <v>106</v>
      </c>
      <c r="C697" s="3" t="s">
        <v>347</v>
      </c>
      <c r="D697" s="3" t="s">
        <v>283</v>
      </c>
      <c r="E697" s="3">
        <v>3681</v>
      </c>
    </row>
    <row r="698" spans="1:6" ht="12.75" x14ac:dyDescent="0.2">
      <c r="A698" s="3">
        <v>86</v>
      </c>
      <c r="B698" s="4" t="s">
        <v>106</v>
      </c>
      <c r="C698" s="3" t="s">
        <v>347</v>
      </c>
      <c r="D698" s="3" t="s">
        <v>351</v>
      </c>
      <c r="E698" s="3">
        <v>220</v>
      </c>
    </row>
    <row r="699" spans="1:6" ht="12.75" x14ac:dyDescent="0.2">
      <c r="A699" s="3">
        <v>86</v>
      </c>
      <c r="B699" s="4" t="s">
        <v>106</v>
      </c>
      <c r="C699" s="3" t="s">
        <v>347</v>
      </c>
      <c r="D699" s="3" t="s">
        <v>316</v>
      </c>
      <c r="E699" s="3">
        <v>398</v>
      </c>
    </row>
    <row r="700" spans="1:6" ht="12.75" x14ac:dyDescent="0.2">
      <c r="A700" s="3">
        <v>86</v>
      </c>
      <c r="B700" s="4" t="s">
        <v>106</v>
      </c>
      <c r="C700" s="3" t="s">
        <v>347</v>
      </c>
      <c r="D700" s="3" t="s">
        <v>352</v>
      </c>
      <c r="E700" s="3">
        <v>581</v>
      </c>
    </row>
    <row r="701" spans="1:6" ht="12.75" x14ac:dyDescent="0.2">
      <c r="A701" s="3">
        <v>86</v>
      </c>
      <c r="B701" s="4" t="s">
        <v>106</v>
      </c>
      <c r="C701" s="3" t="s">
        <v>347</v>
      </c>
      <c r="D701" s="3" t="s">
        <v>353</v>
      </c>
      <c r="E701" s="3">
        <v>79</v>
      </c>
    </row>
    <row r="702" spans="1:6" ht="12.75" x14ac:dyDescent="0.2">
      <c r="A702" s="3">
        <v>86</v>
      </c>
      <c r="B702" s="4" t="s">
        <v>106</v>
      </c>
      <c r="C702" s="3" t="s">
        <v>347</v>
      </c>
      <c r="D702" s="3" t="s">
        <v>354</v>
      </c>
      <c r="E702" s="3">
        <v>689</v>
      </c>
    </row>
    <row r="703" spans="1:6" ht="12.75" x14ac:dyDescent="0.2">
      <c r="A703" s="3">
        <v>86</v>
      </c>
      <c r="B703" s="4" t="s">
        <v>106</v>
      </c>
      <c r="C703" s="3" t="s">
        <v>347</v>
      </c>
      <c r="D703" s="3" t="s">
        <v>14</v>
      </c>
      <c r="E703" s="3">
        <v>656</v>
      </c>
    </row>
    <row r="704" spans="1:6" ht="12.75" x14ac:dyDescent="0.2">
      <c r="A704" s="3">
        <v>86</v>
      </c>
      <c r="B704" s="4" t="s">
        <v>106</v>
      </c>
      <c r="C704" s="3" t="s">
        <v>347</v>
      </c>
      <c r="D704" s="3" t="s">
        <v>138</v>
      </c>
      <c r="E704" s="3">
        <v>31</v>
      </c>
      <c r="F704">
        <f>SUM(E696:E704)</f>
        <v>6402</v>
      </c>
    </row>
    <row r="705" spans="1:6" ht="12.75" x14ac:dyDescent="0.2">
      <c r="A705" s="3">
        <v>87</v>
      </c>
      <c r="B705" s="4" t="s">
        <v>107</v>
      </c>
      <c r="C705" s="3" t="s">
        <v>347</v>
      </c>
      <c r="D705" s="3" t="s">
        <v>346</v>
      </c>
      <c r="E705" s="3">
        <v>6</v>
      </c>
    </row>
    <row r="706" spans="1:6" ht="12.75" x14ac:dyDescent="0.2">
      <c r="A706" s="3">
        <v>87</v>
      </c>
      <c r="B706" s="4" t="s">
        <v>107</v>
      </c>
      <c r="C706" s="3" t="s">
        <v>347</v>
      </c>
      <c r="D706" s="3" t="s">
        <v>283</v>
      </c>
      <c r="E706" s="3">
        <v>386</v>
      </c>
    </row>
    <row r="707" spans="1:6" ht="12.75" x14ac:dyDescent="0.2">
      <c r="A707" s="3">
        <v>87</v>
      </c>
      <c r="B707" s="4" t="s">
        <v>107</v>
      </c>
      <c r="C707" s="3" t="s">
        <v>347</v>
      </c>
      <c r="D707" s="3" t="s">
        <v>351</v>
      </c>
      <c r="E707" s="3">
        <v>48</v>
      </c>
    </row>
    <row r="708" spans="1:6" ht="12.75" x14ac:dyDescent="0.2">
      <c r="A708" s="3">
        <v>87</v>
      </c>
      <c r="B708" s="4" t="s">
        <v>107</v>
      </c>
      <c r="C708" s="3" t="s">
        <v>347</v>
      </c>
      <c r="D708" s="3" t="s">
        <v>316</v>
      </c>
      <c r="E708" s="3">
        <v>50</v>
      </c>
    </row>
    <row r="709" spans="1:6" ht="12.75" x14ac:dyDescent="0.2">
      <c r="A709" s="3">
        <v>87</v>
      </c>
      <c r="B709" s="4" t="s">
        <v>107</v>
      </c>
      <c r="C709" s="3" t="s">
        <v>347</v>
      </c>
      <c r="D709" s="3" t="s">
        <v>352</v>
      </c>
      <c r="E709" s="3">
        <v>60</v>
      </c>
    </row>
    <row r="710" spans="1:6" ht="12.75" x14ac:dyDescent="0.2">
      <c r="A710" s="3">
        <v>87</v>
      </c>
      <c r="B710" s="4" t="s">
        <v>107</v>
      </c>
      <c r="C710" s="3" t="s">
        <v>347</v>
      </c>
      <c r="D710" s="3" t="s">
        <v>353</v>
      </c>
      <c r="E710" s="3">
        <v>4</v>
      </c>
    </row>
    <row r="711" spans="1:6" ht="12.75" x14ac:dyDescent="0.2">
      <c r="A711" s="3">
        <v>87</v>
      </c>
      <c r="B711" s="4" t="s">
        <v>107</v>
      </c>
      <c r="C711" s="3" t="s">
        <v>347</v>
      </c>
      <c r="D711" s="3" t="s">
        <v>354</v>
      </c>
      <c r="E711" s="3">
        <v>159</v>
      </c>
    </row>
    <row r="712" spans="1:6" ht="12.75" x14ac:dyDescent="0.2">
      <c r="A712" s="3">
        <v>87</v>
      </c>
      <c r="B712" s="4" t="s">
        <v>107</v>
      </c>
      <c r="C712" s="3" t="s">
        <v>347</v>
      </c>
      <c r="D712" s="3" t="s">
        <v>14</v>
      </c>
      <c r="E712" s="3">
        <v>140</v>
      </c>
    </row>
    <row r="713" spans="1:6" ht="12.75" x14ac:dyDescent="0.2">
      <c r="A713" s="3">
        <v>87</v>
      </c>
      <c r="B713" s="4" t="s">
        <v>107</v>
      </c>
      <c r="C713" s="3" t="s">
        <v>347</v>
      </c>
      <c r="D713" s="3" t="s">
        <v>138</v>
      </c>
      <c r="E713" s="3">
        <v>0</v>
      </c>
      <c r="F713">
        <f>SUM(E705:E713)</f>
        <v>853</v>
      </c>
    </row>
    <row r="714" spans="1:6" ht="12.75" x14ac:dyDescent="0.2">
      <c r="A714" s="3">
        <v>88</v>
      </c>
      <c r="B714" s="4" t="s">
        <v>108</v>
      </c>
      <c r="C714" s="3" t="s">
        <v>347</v>
      </c>
      <c r="D714" s="3" t="s">
        <v>346</v>
      </c>
      <c r="E714" s="3">
        <v>0</v>
      </c>
    </row>
    <row r="715" spans="1:6" ht="12.75" x14ac:dyDescent="0.2">
      <c r="A715" s="3">
        <v>88</v>
      </c>
      <c r="B715" s="4" t="s">
        <v>108</v>
      </c>
      <c r="C715" s="3" t="s">
        <v>347</v>
      </c>
      <c r="D715" s="3" t="s">
        <v>283</v>
      </c>
      <c r="E715" s="3">
        <v>215</v>
      </c>
    </row>
    <row r="716" spans="1:6" ht="12.75" x14ac:dyDescent="0.2">
      <c r="A716" s="3">
        <v>88</v>
      </c>
      <c r="B716" s="4" t="s">
        <v>108</v>
      </c>
      <c r="C716" s="3" t="s">
        <v>347</v>
      </c>
      <c r="D716" s="3" t="s">
        <v>351</v>
      </c>
      <c r="E716" s="3">
        <v>24</v>
      </c>
    </row>
    <row r="717" spans="1:6" ht="12.75" x14ac:dyDescent="0.2">
      <c r="A717" s="3">
        <v>88</v>
      </c>
      <c r="B717" s="4" t="s">
        <v>108</v>
      </c>
      <c r="C717" s="3" t="s">
        <v>347</v>
      </c>
      <c r="D717" s="3" t="s">
        <v>316</v>
      </c>
      <c r="E717" s="3">
        <v>40</v>
      </c>
    </row>
    <row r="718" spans="1:6" ht="12.75" x14ac:dyDescent="0.2">
      <c r="A718" s="3">
        <v>88</v>
      </c>
      <c r="B718" s="4" t="s">
        <v>108</v>
      </c>
      <c r="C718" s="3" t="s">
        <v>347</v>
      </c>
      <c r="D718" s="3" t="s">
        <v>352</v>
      </c>
      <c r="E718" s="3">
        <v>61</v>
      </c>
    </row>
    <row r="719" spans="1:6" ht="12.75" x14ac:dyDescent="0.2">
      <c r="A719" s="3">
        <v>88</v>
      </c>
      <c r="B719" s="4" t="s">
        <v>108</v>
      </c>
      <c r="C719" s="3" t="s">
        <v>347</v>
      </c>
      <c r="D719" s="3" t="s">
        <v>353</v>
      </c>
      <c r="E719" s="3">
        <v>0</v>
      </c>
    </row>
    <row r="720" spans="1:6" ht="12.75" x14ac:dyDescent="0.2">
      <c r="A720" s="3">
        <v>88</v>
      </c>
      <c r="B720" s="4" t="s">
        <v>108</v>
      </c>
      <c r="C720" s="3" t="s">
        <v>347</v>
      </c>
      <c r="D720" s="3" t="s">
        <v>354</v>
      </c>
      <c r="E720" s="3">
        <v>61</v>
      </c>
    </row>
    <row r="721" spans="1:6" ht="12.75" x14ac:dyDescent="0.2">
      <c r="A721" s="3">
        <v>88</v>
      </c>
      <c r="B721" s="4" t="s">
        <v>108</v>
      </c>
      <c r="C721" s="3" t="s">
        <v>347</v>
      </c>
      <c r="D721" s="3" t="s">
        <v>14</v>
      </c>
      <c r="E721" s="3">
        <v>84</v>
      </c>
    </row>
    <row r="722" spans="1:6" ht="12.75" x14ac:dyDescent="0.2">
      <c r="A722" s="3">
        <v>88</v>
      </c>
      <c r="B722" s="4" t="s">
        <v>108</v>
      </c>
      <c r="C722" s="3" t="s">
        <v>347</v>
      </c>
      <c r="D722" s="3" t="s">
        <v>138</v>
      </c>
      <c r="E722" s="3">
        <v>0</v>
      </c>
      <c r="F722">
        <f>SUM(E714:E722)</f>
        <v>485</v>
      </c>
    </row>
    <row r="723" spans="1:6" ht="12.75" x14ac:dyDescent="0.2">
      <c r="A723" s="3">
        <v>89</v>
      </c>
      <c r="B723" s="4" t="s">
        <v>109</v>
      </c>
      <c r="C723" s="3" t="s">
        <v>347</v>
      </c>
      <c r="D723" s="3" t="s">
        <v>346</v>
      </c>
      <c r="E723" s="3">
        <v>13</v>
      </c>
    </row>
    <row r="724" spans="1:6" ht="12.75" x14ac:dyDescent="0.2">
      <c r="A724" s="3">
        <v>89</v>
      </c>
      <c r="B724" s="4" t="s">
        <v>109</v>
      </c>
      <c r="C724" s="3" t="s">
        <v>347</v>
      </c>
      <c r="D724" s="3" t="s">
        <v>283</v>
      </c>
      <c r="E724" s="3">
        <v>1385</v>
      </c>
    </row>
    <row r="725" spans="1:6" ht="12.75" x14ac:dyDescent="0.2">
      <c r="A725" s="3">
        <v>89</v>
      </c>
      <c r="B725" s="4" t="s">
        <v>109</v>
      </c>
      <c r="C725" s="3" t="s">
        <v>347</v>
      </c>
      <c r="D725" s="3" t="s">
        <v>351</v>
      </c>
      <c r="E725" s="3">
        <v>60</v>
      </c>
    </row>
    <row r="726" spans="1:6" ht="12.75" x14ac:dyDescent="0.2">
      <c r="A726" s="3">
        <v>89</v>
      </c>
      <c r="B726" s="4" t="s">
        <v>109</v>
      </c>
      <c r="C726" s="3" t="s">
        <v>347</v>
      </c>
      <c r="D726" s="3" t="s">
        <v>316</v>
      </c>
      <c r="E726" s="3">
        <v>160</v>
      </c>
    </row>
    <row r="727" spans="1:6" ht="12.75" x14ac:dyDescent="0.2">
      <c r="A727" s="3">
        <v>89</v>
      </c>
      <c r="B727" s="4" t="s">
        <v>109</v>
      </c>
      <c r="C727" s="3" t="s">
        <v>347</v>
      </c>
      <c r="D727" s="3" t="s">
        <v>352</v>
      </c>
      <c r="E727" s="3">
        <v>366</v>
      </c>
    </row>
    <row r="728" spans="1:6" ht="12.75" x14ac:dyDescent="0.2">
      <c r="A728" s="3">
        <v>89</v>
      </c>
      <c r="B728" s="4" t="s">
        <v>109</v>
      </c>
      <c r="C728" s="3" t="s">
        <v>347</v>
      </c>
      <c r="D728" s="3" t="s">
        <v>353</v>
      </c>
      <c r="E728" s="3">
        <v>18</v>
      </c>
    </row>
    <row r="729" spans="1:6" ht="12.75" x14ac:dyDescent="0.2">
      <c r="A729" s="3">
        <v>89</v>
      </c>
      <c r="B729" s="4" t="s">
        <v>109</v>
      </c>
      <c r="C729" s="3" t="s">
        <v>347</v>
      </c>
      <c r="D729" s="3" t="s">
        <v>354</v>
      </c>
      <c r="E729" s="3">
        <v>209</v>
      </c>
    </row>
    <row r="730" spans="1:6" ht="12.75" x14ac:dyDescent="0.2">
      <c r="A730" s="3">
        <v>89</v>
      </c>
      <c r="B730" s="4" t="s">
        <v>109</v>
      </c>
      <c r="C730" s="3" t="s">
        <v>347</v>
      </c>
      <c r="D730" s="3" t="s">
        <v>14</v>
      </c>
      <c r="E730" s="3">
        <v>215</v>
      </c>
    </row>
    <row r="731" spans="1:6" ht="12.75" x14ac:dyDescent="0.2">
      <c r="A731" s="3">
        <v>89</v>
      </c>
      <c r="B731" s="4" t="s">
        <v>109</v>
      </c>
      <c r="C731" s="3" t="s">
        <v>347</v>
      </c>
      <c r="D731" s="3" t="s">
        <v>138</v>
      </c>
      <c r="E731" s="3">
        <v>10</v>
      </c>
      <c r="F731">
        <f>SUM(E723:E731)</f>
        <v>2436</v>
      </c>
    </row>
    <row r="732" spans="1:6" ht="12.75" x14ac:dyDescent="0.2">
      <c r="A732" s="3">
        <v>90</v>
      </c>
      <c r="B732" s="4" t="s">
        <v>110</v>
      </c>
      <c r="C732" s="3" t="s">
        <v>347</v>
      </c>
      <c r="D732" s="3" t="s">
        <v>346</v>
      </c>
      <c r="E732" s="3">
        <v>2</v>
      </c>
    </row>
    <row r="733" spans="1:6" ht="12.75" x14ac:dyDescent="0.2">
      <c r="A733" s="3">
        <v>90</v>
      </c>
      <c r="B733" s="4" t="s">
        <v>110</v>
      </c>
      <c r="C733" s="3" t="s">
        <v>347</v>
      </c>
      <c r="D733" s="3" t="s">
        <v>283</v>
      </c>
      <c r="E733" s="3">
        <v>288</v>
      </c>
    </row>
    <row r="734" spans="1:6" ht="12.75" x14ac:dyDescent="0.2">
      <c r="A734" s="3">
        <v>90</v>
      </c>
      <c r="B734" s="4" t="s">
        <v>110</v>
      </c>
      <c r="C734" s="3" t="s">
        <v>347</v>
      </c>
      <c r="D734" s="3" t="s">
        <v>351</v>
      </c>
      <c r="E734" s="3">
        <v>22</v>
      </c>
    </row>
    <row r="735" spans="1:6" ht="12.75" x14ac:dyDescent="0.2">
      <c r="A735" s="3">
        <v>90</v>
      </c>
      <c r="B735" s="4" t="s">
        <v>110</v>
      </c>
      <c r="C735" s="3" t="s">
        <v>347</v>
      </c>
      <c r="D735" s="3" t="s">
        <v>316</v>
      </c>
      <c r="E735" s="3">
        <v>34</v>
      </c>
    </row>
    <row r="736" spans="1:6" ht="12.75" x14ac:dyDescent="0.2">
      <c r="A736" s="3">
        <v>90</v>
      </c>
      <c r="B736" s="4" t="s">
        <v>110</v>
      </c>
      <c r="C736" s="3" t="s">
        <v>347</v>
      </c>
      <c r="D736" s="3" t="s">
        <v>352</v>
      </c>
      <c r="E736" s="3">
        <v>51</v>
      </c>
    </row>
    <row r="737" spans="1:6" ht="12.75" x14ac:dyDescent="0.2">
      <c r="A737" s="3">
        <v>90</v>
      </c>
      <c r="B737" s="4" t="s">
        <v>110</v>
      </c>
      <c r="C737" s="3" t="s">
        <v>347</v>
      </c>
      <c r="D737" s="3" t="s">
        <v>353</v>
      </c>
      <c r="E737" s="3">
        <v>3</v>
      </c>
    </row>
    <row r="738" spans="1:6" ht="12.75" x14ac:dyDescent="0.2">
      <c r="A738" s="3">
        <v>90</v>
      </c>
      <c r="B738" s="4" t="s">
        <v>110</v>
      </c>
      <c r="C738" s="3" t="s">
        <v>347</v>
      </c>
      <c r="D738" s="3" t="s">
        <v>354</v>
      </c>
      <c r="E738" s="3">
        <v>75</v>
      </c>
    </row>
    <row r="739" spans="1:6" ht="12.75" x14ac:dyDescent="0.2">
      <c r="A739" s="3">
        <v>90</v>
      </c>
      <c r="B739" s="4" t="s">
        <v>110</v>
      </c>
      <c r="C739" s="3" t="s">
        <v>347</v>
      </c>
      <c r="D739" s="3" t="s">
        <v>14</v>
      </c>
      <c r="E739" s="3">
        <v>88</v>
      </c>
    </row>
    <row r="740" spans="1:6" ht="12.75" x14ac:dyDescent="0.2">
      <c r="A740" s="3">
        <v>90</v>
      </c>
      <c r="B740" s="4" t="s">
        <v>110</v>
      </c>
      <c r="C740" s="3" t="s">
        <v>347</v>
      </c>
      <c r="D740" s="3" t="s">
        <v>138</v>
      </c>
      <c r="E740" s="3">
        <v>3</v>
      </c>
      <c r="F740">
        <f>SUM(E732:E740)</f>
        <v>566</v>
      </c>
    </row>
    <row r="741" spans="1:6" ht="12.75" x14ac:dyDescent="0.2">
      <c r="A741" s="3">
        <v>91</v>
      </c>
      <c r="B741" s="4" t="s">
        <v>111</v>
      </c>
      <c r="C741" s="3" t="s">
        <v>347</v>
      </c>
      <c r="D741" s="3" t="s">
        <v>346</v>
      </c>
      <c r="E741" s="3">
        <v>2</v>
      </c>
    </row>
    <row r="742" spans="1:6" ht="12.75" x14ac:dyDescent="0.2">
      <c r="A742" s="3">
        <v>91</v>
      </c>
      <c r="B742" s="4" t="s">
        <v>111</v>
      </c>
      <c r="C742" s="3" t="s">
        <v>347</v>
      </c>
      <c r="D742" s="3" t="s">
        <v>283</v>
      </c>
      <c r="E742" s="3">
        <v>128</v>
      </c>
    </row>
    <row r="743" spans="1:6" ht="12.75" x14ac:dyDescent="0.2">
      <c r="A743" s="3">
        <v>91</v>
      </c>
      <c r="B743" s="4" t="s">
        <v>111</v>
      </c>
      <c r="C743" s="3" t="s">
        <v>347</v>
      </c>
      <c r="D743" s="3" t="s">
        <v>351</v>
      </c>
      <c r="E743" s="3">
        <v>6</v>
      </c>
    </row>
    <row r="744" spans="1:6" ht="12.75" x14ac:dyDescent="0.2">
      <c r="A744" s="3">
        <v>91</v>
      </c>
      <c r="B744" s="4" t="s">
        <v>111</v>
      </c>
      <c r="C744" s="3" t="s">
        <v>347</v>
      </c>
      <c r="D744" s="3" t="s">
        <v>316</v>
      </c>
      <c r="E744" s="3">
        <v>11</v>
      </c>
    </row>
    <row r="745" spans="1:6" ht="12.75" x14ac:dyDescent="0.2">
      <c r="A745" s="3">
        <v>91</v>
      </c>
      <c r="B745" s="4" t="s">
        <v>111</v>
      </c>
      <c r="C745" s="3" t="s">
        <v>347</v>
      </c>
      <c r="D745" s="3" t="s">
        <v>352</v>
      </c>
      <c r="E745" s="3">
        <v>25</v>
      </c>
    </row>
    <row r="746" spans="1:6" ht="12.75" x14ac:dyDescent="0.2">
      <c r="A746" s="3">
        <v>91</v>
      </c>
      <c r="B746" s="4" t="s">
        <v>111</v>
      </c>
      <c r="C746" s="3" t="s">
        <v>347</v>
      </c>
      <c r="D746" s="3" t="s">
        <v>353</v>
      </c>
      <c r="E746" s="3">
        <v>1</v>
      </c>
    </row>
    <row r="747" spans="1:6" ht="12.75" x14ac:dyDescent="0.2">
      <c r="A747" s="3">
        <v>91</v>
      </c>
      <c r="B747" s="4" t="s">
        <v>111</v>
      </c>
      <c r="C747" s="3" t="s">
        <v>347</v>
      </c>
      <c r="D747" s="3" t="s">
        <v>354</v>
      </c>
      <c r="E747" s="3">
        <v>59</v>
      </c>
    </row>
    <row r="748" spans="1:6" ht="12.75" x14ac:dyDescent="0.2">
      <c r="A748" s="3">
        <v>91</v>
      </c>
      <c r="B748" s="4" t="s">
        <v>111</v>
      </c>
      <c r="C748" s="3" t="s">
        <v>347</v>
      </c>
      <c r="D748" s="3" t="s">
        <v>14</v>
      </c>
      <c r="E748" s="3">
        <v>38</v>
      </c>
    </row>
    <row r="749" spans="1:6" ht="12.75" x14ac:dyDescent="0.2">
      <c r="A749" s="3">
        <v>91</v>
      </c>
      <c r="B749" s="4" t="s">
        <v>111</v>
      </c>
      <c r="C749" s="3" t="s">
        <v>347</v>
      </c>
      <c r="D749" s="3" t="s">
        <v>138</v>
      </c>
      <c r="E749" s="3">
        <v>0</v>
      </c>
      <c r="F749">
        <f>SUM(E741:E749)</f>
        <v>270</v>
      </c>
    </row>
    <row r="750" spans="1:6" ht="12.75" x14ac:dyDescent="0.2">
      <c r="A750" s="3">
        <v>92</v>
      </c>
      <c r="B750" s="4" t="s">
        <v>112</v>
      </c>
      <c r="C750" s="3" t="s">
        <v>347</v>
      </c>
      <c r="D750" s="3" t="s">
        <v>346</v>
      </c>
      <c r="E750" s="3">
        <v>3</v>
      </c>
    </row>
    <row r="751" spans="1:6" ht="12.75" x14ac:dyDescent="0.2">
      <c r="A751" s="3">
        <v>92</v>
      </c>
      <c r="B751" s="4" t="s">
        <v>112</v>
      </c>
      <c r="C751" s="3" t="s">
        <v>347</v>
      </c>
      <c r="D751" s="3" t="s">
        <v>283</v>
      </c>
      <c r="E751" s="3">
        <v>139</v>
      </c>
    </row>
    <row r="752" spans="1:6" ht="12.75" x14ac:dyDescent="0.2">
      <c r="A752" s="3">
        <v>92</v>
      </c>
      <c r="B752" s="4" t="s">
        <v>112</v>
      </c>
      <c r="C752" s="3" t="s">
        <v>347</v>
      </c>
      <c r="D752" s="3" t="s">
        <v>351</v>
      </c>
      <c r="E752" s="3">
        <v>2</v>
      </c>
    </row>
    <row r="753" spans="1:6" ht="12.75" x14ac:dyDescent="0.2">
      <c r="A753" s="3">
        <v>92</v>
      </c>
      <c r="B753" s="4" t="s">
        <v>112</v>
      </c>
      <c r="C753" s="3" t="s">
        <v>347</v>
      </c>
      <c r="D753" s="3" t="s">
        <v>316</v>
      </c>
      <c r="E753" s="3">
        <v>13</v>
      </c>
    </row>
    <row r="754" spans="1:6" ht="12.75" x14ac:dyDescent="0.2">
      <c r="A754" s="3">
        <v>92</v>
      </c>
      <c r="B754" s="4" t="s">
        <v>112</v>
      </c>
      <c r="C754" s="3" t="s">
        <v>347</v>
      </c>
      <c r="D754" s="3" t="s">
        <v>352</v>
      </c>
      <c r="E754" s="3">
        <v>15</v>
      </c>
    </row>
    <row r="755" spans="1:6" ht="12.75" x14ac:dyDescent="0.2">
      <c r="A755" s="3">
        <v>92</v>
      </c>
      <c r="B755" s="4" t="s">
        <v>112</v>
      </c>
      <c r="C755" s="3" t="s">
        <v>347</v>
      </c>
      <c r="D755" s="3" t="s">
        <v>353</v>
      </c>
      <c r="E755" s="3">
        <v>1</v>
      </c>
    </row>
    <row r="756" spans="1:6" ht="12.75" x14ac:dyDescent="0.2">
      <c r="A756" s="3">
        <v>92</v>
      </c>
      <c r="B756" s="4" t="s">
        <v>112</v>
      </c>
      <c r="C756" s="3" t="s">
        <v>347</v>
      </c>
      <c r="D756" s="3" t="s">
        <v>354</v>
      </c>
      <c r="E756" s="3">
        <v>22</v>
      </c>
    </row>
    <row r="757" spans="1:6" ht="12.75" x14ac:dyDescent="0.2">
      <c r="A757" s="3">
        <v>92</v>
      </c>
      <c r="B757" s="4" t="s">
        <v>112</v>
      </c>
      <c r="C757" s="3" t="s">
        <v>347</v>
      </c>
      <c r="D757" s="3" t="s">
        <v>14</v>
      </c>
      <c r="E757" s="3">
        <v>28</v>
      </c>
    </row>
    <row r="758" spans="1:6" ht="12.75" x14ac:dyDescent="0.2">
      <c r="A758" s="3">
        <v>92</v>
      </c>
      <c r="B758" s="4" t="s">
        <v>112</v>
      </c>
      <c r="C758" s="3" t="s">
        <v>347</v>
      </c>
      <c r="D758" s="3" t="s">
        <v>138</v>
      </c>
      <c r="E758" s="3">
        <v>0</v>
      </c>
      <c r="F758">
        <f>SUM(E750:E758)</f>
        <v>223</v>
      </c>
    </row>
    <row r="759" spans="1:6" ht="12.75" x14ac:dyDescent="0.2">
      <c r="A759" s="3">
        <v>93</v>
      </c>
      <c r="B759" s="4" t="s">
        <v>113</v>
      </c>
      <c r="C759" s="3" t="s">
        <v>347</v>
      </c>
      <c r="D759" s="3" t="s">
        <v>346</v>
      </c>
      <c r="E759" s="3">
        <v>63</v>
      </c>
    </row>
    <row r="760" spans="1:6" ht="12.75" x14ac:dyDescent="0.2">
      <c r="A760" s="3">
        <v>93</v>
      </c>
      <c r="B760" s="4" t="s">
        <v>113</v>
      </c>
      <c r="C760" s="3" t="s">
        <v>347</v>
      </c>
      <c r="D760" s="3" t="s">
        <v>283</v>
      </c>
      <c r="E760" s="3">
        <v>3592</v>
      </c>
    </row>
    <row r="761" spans="1:6" ht="12.75" x14ac:dyDescent="0.2">
      <c r="A761" s="3">
        <v>93</v>
      </c>
      <c r="B761" s="4" t="s">
        <v>113</v>
      </c>
      <c r="C761" s="3" t="s">
        <v>347</v>
      </c>
      <c r="D761" s="3" t="s">
        <v>351</v>
      </c>
      <c r="E761" s="3">
        <v>222</v>
      </c>
    </row>
    <row r="762" spans="1:6" ht="12.75" x14ac:dyDescent="0.2">
      <c r="A762" s="3">
        <v>93</v>
      </c>
      <c r="B762" s="4" t="s">
        <v>113</v>
      </c>
      <c r="C762" s="3" t="s">
        <v>347</v>
      </c>
      <c r="D762" s="3" t="s">
        <v>316</v>
      </c>
      <c r="E762" s="3">
        <v>678</v>
      </c>
    </row>
    <row r="763" spans="1:6" ht="12.75" x14ac:dyDescent="0.2">
      <c r="A763" s="3">
        <v>93</v>
      </c>
      <c r="B763" s="4" t="s">
        <v>113</v>
      </c>
      <c r="C763" s="3" t="s">
        <v>347</v>
      </c>
      <c r="D763" s="3" t="s">
        <v>352</v>
      </c>
      <c r="E763" s="3">
        <v>630</v>
      </c>
    </row>
    <row r="764" spans="1:6" ht="12.75" x14ac:dyDescent="0.2">
      <c r="A764" s="3">
        <v>93</v>
      </c>
      <c r="B764" s="4" t="s">
        <v>113</v>
      </c>
      <c r="C764" s="3" t="s">
        <v>347</v>
      </c>
      <c r="D764" s="3" t="s">
        <v>353</v>
      </c>
      <c r="E764" s="3">
        <v>117</v>
      </c>
    </row>
    <row r="765" spans="1:6" ht="12.75" x14ac:dyDescent="0.2">
      <c r="A765" s="3">
        <v>93</v>
      </c>
      <c r="B765" s="4" t="s">
        <v>113</v>
      </c>
      <c r="C765" s="3" t="s">
        <v>347</v>
      </c>
      <c r="D765" s="3" t="s">
        <v>354</v>
      </c>
      <c r="E765" s="3">
        <v>1242</v>
      </c>
    </row>
    <row r="766" spans="1:6" ht="12.75" x14ac:dyDescent="0.2">
      <c r="A766" s="3">
        <v>93</v>
      </c>
      <c r="B766" s="4" t="s">
        <v>113</v>
      </c>
      <c r="C766" s="3" t="s">
        <v>347</v>
      </c>
      <c r="D766" s="3" t="s">
        <v>14</v>
      </c>
      <c r="E766" s="3">
        <v>1725</v>
      </c>
    </row>
    <row r="767" spans="1:6" ht="12.75" x14ac:dyDescent="0.2">
      <c r="A767" s="3">
        <v>93</v>
      </c>
      <c r="B767" s="4" t="s">
        <v>113</v>
      </c>
      <c r="C767" s="3" t="s">
        <v>347</v>
      </c>
      <c r="D767" s="3" t="s">
        <v>138</v>
      </c>
      <c r="E767" s="3">
        <v>49</v>
      </c>
      <c r="F767">
        <f>SUM(E759:E767)</f>
        <v>8318</v>
      </c>
    </row>
    <row r="768" spans="1:6" ht="12.75" x14ac:dyDescent="0.2">
      <c r="A768" s="3">
        <v>94</v>
      </c>
      <c r="B768" s="4" t="s">
        <v>114</v>
      </c>
      <c r="C768" s="3" t="s">
        <v>347</v>
      </c>
      <c r="D768" s="3" t="s">
        <v>346</v>
      </c>
      <c r="E768" s="3">
        <v>3</v>
      </c>
    </row>
    <row r="769" spans="1:6" ht="12.75" x14ac:dyDescent="0.2">
      <c r="A769" s="3">
        <v>94</v>
      </c>
      <c r="B769" s="4" t="s">
        <v>114</v>
      </c>
      <c r="C769" s="3" t="s">
        <v>347</v>
      </c>
      <c r="D769" s="3" t="s">
        <v>283</v>
      </c>
      <c r="E769" s="3">
        <v>195</v>
      </c>
    </row>
    <row r="770" spans="1:6" ht="12.75" x14ac:dyDescent="0.2">
      <c r="A770" s="3">
        <v>94</v>
      </c>
      <c r="B770" s="4" t="s">
        <v>114</v>
      </c>
      <c r="C770" s="3" t="s">
        <v>347</v>
      </c>
      <c r="D770" s="3" t="s">
        <v>351</v>
      </c>
      <c r="E770" s="3">
        <v>6</v>
      </c>
    </row>
    <row r="771" spans="1:6" ht="12.75" x14ac:dyDescent="0.2">
      <c r="A771" s="3">
        <v>94</v>
      </c>
      <c r="B771" s="4" t="s">
        <v>114</v>
      </c>
      <c r="C771" s="3" t="s">
        <v>347</v>
      </c>
      <c r="D771" s="3" t="s">
        <v>316</v>
      </c>
      <c r="E771" s="3">
        <v>7</v>
      </c>
    </row>
    <row r="772" spans="1:6" ht="12.75" x14ac:dyDescent="0.2">
      <c r="A772" s="3">
        <v>94</v>
      </c>
      <c r="B772" s="4" t="s">
        <v>114</v>
      </c>
      <c r="C772" s="3" t="s">
        <v>347</v>
      </c>
      <c r="D772" s="3" t="s">
        <v>352</v>
      </c>
      <c r="E772" s="3">
        <v>35</v>
      </c>
    </row>
    <row r="773" spans="1:6" ht="12.75" x14ac:dyDescent="0.2">
      <c r="A773" s="3">
        <v>94</v>
      </c>
      <c r="B773" s="4" t="s">
        <v>114</v>
      </c>
      <c r="C773" s="3" t="s">
        <v>347</v>
      </c>
      <c r="D773" s="3" t="s">
        <v>353</v>
      </c>
      <c r="E773" s="3">
        <v>5</v>
      </c>
    </row>
    <row r="774" spans="1:6" ht="12.75" x14ac:dyDescent="0.2">
      <c r="A774" s="3">
        <v>94</v>
      </c>
      <c r="B774" s="4" t="s">
        <v>114</v>
      </c>
      <c r="C774" s="3" t="s">
        <v>347</v>
      </c>
      <c r="D774" s="3" t="s">
        <v>354</v>
      </c>
      <c r="E774" s="3">
        <v>103</v>
      </c>
    </row>
    <row r="775" spans="1:6" ht="12.75" x14ac:dyDescent="0.2">
      <c r="A775" s="3">
        <v>94</v>
      </c>
      <c r="B775" s="4" t="s">
        <v>114</v>
      </c>
      <c r="C775" s="3" t="s">
        <v>347</v>
      </c>
      <c r="D775" s="3" t="s">
        <v>14</v>
      </c>
      <c r="E775" s="3">
        <v>44</v>
      </c>
    </row>
    <row r="776" spans="1:6" ht="12.75" x14ac:dyDescent="0.2">
      <c r="A776" s="3">
        <v>94</v>
      </c>
      <c r="B776" s="4" t="s">
        <v>114</v>
      </c>
      <c r="C776" s="3" t="s">
        <v>347</v>
      </c>
      <c r="D776" s="3" t="s">
        <v>138</v>
      </c>
      <c r="E776" s="3">
        <v>2</v>
      </c>
      <c r="F776">
        <f>SUM(E768:E776)</f>
        <v>400</v>
      </c>
    </row>
    <row r="777" spans="1:6" ht="12.75" x14ac:dyDescent="0.2">
      <c r="A777" s="3">
        <v>95</v>
      </c>
      <c r="B777" s="4" t="s">
        <v>115</v>
      </c>
      <c r="C777" s="3" t="s">
        <v>347</v>
      </c>
      <c r="D777" s="3" t="s">
        <v>346</v>
      </c>
      <c r="E777" s="3">
        <v>2</v>
      </c>
    </row>
    <row r="778" spans="1:6" ht="12.75" x14ac:dyDescent="0.2">
      <c r="A778" s="3">
        <v>95</v>
      </c>
      <c r="B778" s="4" t="s">
        <v>115</v>
      </c>
      <c r="C778" s="3" t="s">
        <v>347</v>
      </c>
      <c r="D778" s="3" t="s">
        <v>283</v>
      </c>
      <c r="E778" s="3">
        <v>49</v>
      </c>
    </row>
    <row r="779" spans="1:6" ht="12.75" x14ac:dyDescent="0.2">
      <c r="A779" s="3">
        <v>95</v>
      </c>
      <c r="B779" s="4" t="s">
        <v>115</v>
      </c>
      <c r="C779" s="3" t="s">
        <v>347</v>
      </c>
      <c r="D779" s="3" t="s">
        <v>351</v>
      </c>
      <c r="E779" s="3">
        <v>3</v>
      </c>
    </row>
    <row r="780" spans="1:6" ht="12.75" x14ac:dyDescent="0.2">
      <c r="A780" s="3">
        <v>95</v>
      </c>
      <c r="B780" s="4" t="s">
        <v>115</v>
      </c>
      <c r="C780" s="3" t="s">
        <v>347</v>
      </c>
      <c r="D780" s="3" t="s">
        <v>316</v>
      </c>
      <c r="E780" s="3">
        <v>3</v>
      </c>
    </row>
    <row r="781" spans="1:6" ht="12.75" x14ac:dyDescent="0.2">
      <c r="A781" s="3">
        <v>95</v>
      </c>
      <c r="B781" s="4" t="s">
        <v>115</v>
      </c>
      <c r="C781" s="3" t="s">
        <v>347</v>
      </c>
      <c r="D781" s="3" t="s">
        <v>352</v>
      </c>
      <c r="E781" s="3">
        <v>13</v>
      </c>
    </row>
    <row r="782" spans="1:6" ht="12.75" x14ac:dyDescent="0.2">
      <c r="A782" s="3">
        <v>95</v>
      </c>
      <c r="B782" s="4" t="s">
        <v>115</v>
      </c>
      <c r="C782" s="3" t="s">
        <v>347</v>
      </c>
      <c r="D782" s="3" t="s">
        <v>353</v>
      </c>
      <c r="E782" s="3">
        <v>0</v>
      </c>
    </row>
    <row r="783" spans="1:6" ht="12.75" x14ac:dyDescent="0.2">
      <c r="A783" s="3">
        <v>95</v>
      </c>
      <c r="B783" s="4" t="s">
        <v>115</v>
      </c>
      <c r="C783" s="3" t="s">
        <v>347</v>
      </c>
      <c r="D783" s="3" t="s">
        <v>354</v>
      </c>
      <c r="E783" s="3">
        <v>18</v>
      </c>
    </row>
    <row r="784" spans="1:6" ht="12.75" x14ac:dyDescent="0.2">
      <c r="A784" s="3">
        <v>95</v>
      </c>
      <c r="B784" s="4" t="s">
        <v>115</v>
      </c>
      <c r="C784" s="3" t="s">
        <v>347</v>
      </c>
      <c r="D784" s="3" t="s">
        <v>14</v>
      </c>
      <c r="E784" s="3">
        <v>16</v>
      </c>
    </row>
    <row r="785" spans="1:6" ht="12.75" x14ac:dyDescent="0.2">
      <c r="A785" s="3">
        <v>95</v>
      </c>
      <c r="B785" s="4" t="s">
        <v>115</v>
      </c>
      <c r="C785" s="3" t="s">
        <v>347</v>
      </c>
      <c r="D785" s="3" t="s">
        <v>138</v>
      </c>
      <c r="E785" s="3">
        <v>0</v>
      </c>
      <c r="F785">
        <f>SUM(E777:E785)</f>
        <v>104</v>
      </c>
    </row>
    <row r="786" spans="1:6" ht="12.75" x14ac:dyDescent="0.2">
      <c r="A786" s="2">
        <v>2100</v>
      </c>
      <c r="B786" s="4" t="s">
        <v>335</v>
      </c>
      <c r="C786" s="3" t="s">
        <v>347</v>
      </c>
      <c r="D786" s="3" t="s">
        <v>346</v>
      </c>
      <c r="E786" s="3">
        <v>0</v>
      </c>
    </row>
    <row r="787" spans="1:6" ht="12.75" x14ac:dyDescent="0.2">
      <c r="A787" s="2">
        <v>2100</v>
      </c>
      <c r="B787" s="4" t="s">
        <v>335</v>
      </c>
      <c r="C787" s="3" t="s">
        <v>347</v>
      </c>
      <c r="D787" s="3" t="s">
        <v>283</v>
      </c>
      <c r="E787" s="3">
        <v>0</v>
      </c>
    </row>
    <row r="788" spans="1:6" ht="12.75" x14ac:dyDescent="0.2">
      <c r="A788" s="2">
        <v>2100</v>
      </c>
      <c r="B788" s="4" t="s">
        <v>335</v>
      </c>
      <c r="C788" s="3" t="s">
        <v>347</v>
      </c>
      <c r="D788" s="3" t="s">
        <v>351</v>
      </c>
      <c r="E788" s="3">
        <v>3</v>
      </c>
    </row>
    <row r="789" spans="1:6" ht="12.75" x14ac:dyDescent="0.2">
      <c r="A789" s="2">
        <v>2100</v>
      </c>
      <c r="B789" s="4" t="s">
        <v>335</v>
      </c>
      <c r="C789" s="3" t="s">
        <v>347</v>
      </c>
      <c r="D789" s="3" t="s">
        <v>316</v>
      </c>
      <c r="E789" s="3">
        <v>0</v>
      </c>
    </row>
    <row r="790" spans="1:6" ht="12.75" x14ac:dyDescent="0.2">
      <c r="A790" s="2">
        <v>2100</v>
      </c>
      <c r="B790" s="4" t="s">
        <v>335</v>
      </c>
      <c r="C790" s="3" t="s">
        <v>347</v>
      </c>
      <c r="D790" s="3" t="s">
        <v>352</v>
      </c>
      <c r="E790" s="3">
        <v>3</v>
      </c>
    </row>
    <row r="791" spans="1:6" ht="12.75" x14ac:dyDescent="0.2">
      <c r="A791" s="2">
        <v>2100</v>
      </c>
      <c r="B791" s="4" t="s">
        <v>335</v>
      </c>
      <c r="C791" s="3" t="s">
        <v>347</v>
      </c>
      <c r="D791" s="3" t="s">
        <v>353</v>
      </c>
      <c r="E791" s="3">
        <v>0</v>
      </c>
    </row>
    <row r="792" spans="1:6" ht="12.75" x14ac:dyDescent="0.2">
      <c r="A792" s="2">
        <v>2100</v>
      </c>
      <c r="B792" s="4" t="s">
        <v>335</v>
      </c>
      <c r="C792" s="3" t="s">
        <v>347</v>
      </c>
      <c r="D792" s="3" t="s">
        <v>354</v>
      </c>
      <c r="E792" s="3">
        <v>3</v>
      </c>
    </row>
    <row r="793" spans="1:6" ht="12.75" x14ac:dyDescent="0.2">
      <c r="A793" s="2">
        <v>2100</v>
      </c>
      <c r="B793" s="4" t="s">
        <v>335</v>
      </c>
      <c r="C793" s="3" t="s">
        <v>347</v>
      </c>
      <c r="D793" s="3" t="s">
        <v>14</v>
      </c>
      <c r="E793" s="3">
        <v>0</v>
      </c>
    </row>
    <row r="794" spans="1:6" ht="12.75" x14ac:dyDescent="0.2">
      <c r="A794" s="2">
        <v>7100</v>
      </c>
      <c r="B794" s="4" t="s">
        <v>337</v>
      </c>
      <c r="C794" s="3" t="s">
        <v>347</v>
      </c>
      <c r="D794" s="3" t="s">
        <v>138</v>
      </c>
      <c r="E794" s="3">
        <v>1</v>
      </c>
      <c r="F794">
        <f>SUM(E786:E794)</f>
        <v>10</v>
      </c>
    </row>
    <row r="795" spans="1:6" ht="12.75" x14ac:dyDescent="0.2">
      <c r="A795" s="2">
        <v>1100</v>
      </c>
      <c r="B795" s="4" t="s">
        <v>177</v>
      </c>
      <c r="C795" s="3" t="s">
        <v>347</v>
      </c>
      <c r="D795" s="3" t="s">
        <v>346</v>
      </c>
      <c r="E795" s="3">
        <v>1</v>
      </c>
    </row>
    <row r="796" spans="1:6" ht="12.75" x14ac:dyDescent="0.2">
      <c r="A796" s="2">
        <v>1100</v>
      </c>
      <c r="B796" s="4" t="s">
        <v>177</v>
      </c>
      <c r="C796" s="3" t="s">
        <v>347</v>
      </c>
      <c r="D796" s="3" t="s">
        <v>283</v>
      </c>
      <c r="E796" s="3">
        <v>19</v>
      </c>
    </row>
    <row r="797" spans="1:6" ht="12.75" x14ac:dyDescent="0.2">
      <c r="A797" s="2">
        <v>1100</v>
      </c>
      <c r="B797" s="4" t="s">
        <v>177</v>
      </c>
      <c r="C797" s="3" t="s">
        <v>347</v>
      </c>
      <c r="D797" s="3" t="s">
        <v>351</v>
      </c>
      <c r="E797" s="3">
        <v>4</v>
      </c>
    </row>
    <row r="798" spans="1:6" ht="12.75" x14ac:dyDescent="0.2">
      <c r="A798" s="2">
        <v>1100</v>
      </c>
      <c r="B798" s="4" t="s">
        <v>177</v>
      </c>
      <c r="C798" s="3" t="s">
        <v>347</v>
      </c>
      <c r="D798" s="3" t="s">
        <v>316</v>
      </c>
      <c r="E798" s="3">
        <v>4</v>
      </c>
    </row>
    <row r="799" spans="1:6" ht="12.75" x14ac:dyDescent="0.2">
      <c r="A799" s="2">
        <v>1100</v>
      </c>
      <c r="B799" s="4" t="s">
        <v>177</v>
      </c>
      <c r="C799" s="3" t="s">
        <v>347</v>
      </c>
      <c r="D799" s="3" t="s">
        <v>352</v>
      </c>
      <c r="E799" s="3">
        <v>3</v>
      </c>
    </row>
    <row r="800" spans="1:6" ht="12.75" x14ac:dyDescent="0.2">
      <c r="A800" s="2">
        <v>1100</v>
      </c>
      <c r="B800" s="4" t="s">
        <v>177</v>
      </c>
      <c r="C800" s="3" t="s">
        <v>347</v>
      </c>
      <c r="D800" s="3" t="s">
        <v>353</v>
      </c>
      <c r="E800" s="3">
        <v>0</v>
      </c>
    </row>
    <row r="801" spans="1:6" ht="12.75" x14ac:dyDescent="0.2">
      <c r="A801" s="2">
        <v>1100</v>
      </c>
      <c r="B801" s="4" t="s">
        <v>177</v>
      </c>
      <c r="C801" s="3" t="s">
        <v>347</v>
      </c>
      <c r="D801" s="3" t="s">
        <v>354</v>
      </c>
      <c r="E801" s="3">
        <v>5</v>
      </c>
    </row>
    <row r="802" spans="1:6" ht="12.75" x14ac:dyDescent="0.2">
      <c r="A802" s="2">
        <v>1100</v>
      </c>
      <c r="B802" s="4" t="s">
        <v>177</v>
      </c>
      <c r="C802" s="3" t="s">
        <v>347</v>
      </c>
      <c r="D802" s="3" t="s">
        <v>14</v>
      </c>
      <c r="E802" s="3">
        <v>0</v>
      </c>
    </row>
    <row r="803" spans="1:6" ht="12.75" x14ac:dyDescent="0.2">
      <c r="A803" s="2">
        <v>1100</v>
      </c>
      <c r="B803" s="4" t="s">
        <v>177</v>
      </c>
      <c r="C803" s="3" t="s">
        <v>347</v>
      </c>
      <c r="D803" s="3" t="s">
        <v>138</v>
      </c>
      <c r="E803" s="3">
        <v>0</v>
      </c>
      <c r="F803">
        <f>SUM(E795:E803)</f>
        <v>36</v>
      </c>
    </row>
    <row r="804" spans="1:6" ht="12.75" x14ac:dyDescent="0.2">
      <c r="A804" s="3">
        <v>3100</v>
      </c>
      <c r="B804" s="3" t="s">
        <v>348</v>
      </c>
      <c r="C804" s="3" t="s">
        <v>347</v>
      </c>
      <c r="D804" s="3" t="s">
        <v>346</v>
      </c>
      <c r="E804" s="3">
        <v>16</v>
      </c>
    </row>
    <row r="805" spans="1:6" ht="12.75" x14ac:dyDescent="0.2">
      <c r="A805" s="3">
        <v>3100</v>
      </c>
      <c r="B805" s="3" t="s">
        <v>348</v>
      </c>
      <c r="C805" s="3" t="s">
        <v>347</v>
      </c>
      <c r="D805" s="3" t="s">
        <v>283</v>
      </c>
      <c r="E805" s="3">
        <v>436</v>
      </c>
    </row>
    <row r="806" spans="1:6" ht="12.75" x14ac:dyDescent="0.2">
      <c r="A806" s="3">
        <v>3100</v>
      </c>
      <c r="B806" s="3" t="s">
        <v>348</v>
      </c>
      <c r="C806" s="3" t="s">
        <v>347</v>
      </c>
      <c r="D806" s="3" t="s">
        <v>351</v>
      </c>
      <c r="E806" s="3">
        <v>81</v>
      </c>
    </row>
    <row r="807" spans="1:6" ht="12.75" x14ac:dyDescent="0.2">
      <c r="A807" s="3">
        <v>3100</v>
      </c>
      <c r="B807" s="3" t="s">
        <v>348</v>
      </c>
      <c r="C807" s="3" t="s">
        <v>347</v>
      </c>
      <c r="D807" s="3" t="s">
        <v>316</v>
      </c>
      <c r="E807" s="3">
        <v>74</v>
      </c>
    </row>
    <row r="808" spans="1:6" ht="12.75" x14ac:dyDescent="0.2">
      <c r="A808" s="3">
        <v>3100</v>
      </c>
      <c r="B808" s="3" t="s">
        <v>348</v>
      </c>
      <c r="C808" s="3" t="s">
        <v>347</v>
      </c>
      <c r="D808" s="3" t="s">
        <v>352</v>
      </c>
      <c r="E808" s="3">
        <v>64</v>
      </c>
    </row>
    <row r="809" spans="1:6" ht="12.75" x14ac:dyDescent="0.2">
      <c r="A809" s="3">
        <v>3100</v>
      </c>
      <c r="B809" s="3" t="s">
        <v>348</v>
      </c>
      <c r="C809" s="3" t="s">
        <v>347</v>
      </c>
      <c r="D809" s="3" t="s">
        <v>353</v>
      </c>
      <c r="E809" s="3">
        <v>14</v>
      </c>
    </row>
    <row r="810" spans="1:6" ht="12.75" x14ac:dyDescent="0.2">
      <c r="A810" s="3">
        <v>3100</v>
      </c>
      <c r="B810" s="3" t="s">
        <v>348</v>
      </c>
      <c r="C810" s="3" t="s">
        <v>347</v>
      </c>
      <c r="D810" s="3" t="s">
        <v>354</v>
      </c>
      <c r="E810" s="3">
        <v>89</v>
      </c>
    </row>
    <row r="811" spans="1:6" ht="12.75" x14ac:dyDescent="0.2">
      <c r="A811" s="3">
        <v>3100</v>
      </c>
      <c r="B811" s="3" t="s">
        <v>348</v>
      </c>
      <c r="C811" s="3" t="s">
        <v>347</v>
      </c>
      <c r="D811" s="3" t="s">
        <v>14</v>
      </c>
      <c r="E811" s="3">
        <v>147</v>
      </c>
    </row>
    <row r="812" spans="1:6" ht="12.75" x14ac:dyDescent="0.2">
      <c r="A812" s="3">
        <v>3100</v>
      </c>
      <c r="B812" s="3" t="s">
        <v>348</v>
      </c>
      <c r="C812" s="3" t="s">
        <v>347</v>
      </c>
      <c r="D812" s="3" t="s">
        <v>138</v>
      </c>
      <c r="E812" s="3">
        <v>13</v>
      </c>
      <c r="F812">
        <f>SUM(E804:E812)</f>
        <v>934</v>
      </c>
    </row>
  </sheetData>
  <dataValidations count="1">
    <dataValidation type="list" allowBlank="1" sqref="D1:D1088" xr:uid="{00000000-0002-0000-0800-000002000000}">
      <formula1>$I$4:$I$98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0000000}">
          <x14:formula1>
            <xm:f>'Copia de Localidades'!$A$4:$A$103</xm:f>
          </x14:formula1>
          <xm:sqref>B1:B1088</xm:sqref>
        </x14:dataValidation>
        <x14:dataValidation type="list" allowBlank="1" showErrorMessage="1" xr:uid="{00000000-0002-0000-0800-000001000000}">
          <x14:formula1>
            <xm:f>'2013Gral'!$I$4:$I$14</xm:f>
          </x14:formula1>
          <xm:sqref>C3:C812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070"/>
  <sheetViews>
    <sheetView workbookViewId="0"/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11.42578125" customWidth="1"/>
    <col min="8" max="8" width="10.28515625" customWidth="1"/>
    <col min="9" max="9" width="29.28515625" customWidth="1"/>
    <col min="10" max="10" width="39.28515625" customWidth="1"/>
  </cols>
  <sheetData>
    <row r="1" spans="1:12" ht="12.75" x14ac:dyDescent="0.2">
      <c r="A1" s="3" t="s">
        <v>359</v>
      </c>
      <c r="B1" s="18"/>
      <c r="G1" s="13"/>
      <c r="I1" s="3" t="s">
        <v>360</v>
      </c>
    </row>
    <row r="2" spans="1:12" ht="12.75" x14ac:dyDescent="0.2">
      <c r="B2" s="18"/>
      <c r="G2" s="13"/>
    </row>
    <row r="3" spans="1:12" ht="12.75" x14ac:dyDescent="0.2">
      <c r="B3" s="18"/>
      <c r="G3" s="13"/>
      <c r="I3" s="14" t="s">
        <v>0</v>
      </c>
      <c r="J3" s="14" t="s">
        <v>1</v>
      </c>
    </row>
    <row r="4" spans="1:12" ht="12.75" x14ac:dyDescent="0.2">
      <c r="B4" s="18"/>
      <c r="G4" s="13"/>
      <c r="I4" s="3" t="s">
        <v>2</v>
      </c>
      <c r="J4" s="3" t="s">
        <v>3</v>
      </c>
    </row>
    <row r="5" spans="1:12" ht="12.75" x14ac:dyDescent="0.2">
      <c r="A5" s="31" t="s">
        <v>4</v>
      </c>
      <c r="B5" s="17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9" t="s">
        <v>271</v>
      </c>
      <c r="I5" s="3" t="s">
        <v>10</v>
      </c>
      <c r="J5" s="3" t="s">
        <v>11</v>
      </c>
    </row>
    <row r="6" spans="1:12" ht="12.75" x14ac:dyDescent="0.2">
      <c r="A6" s="3">
        <v>1</v>
      </c>
      <c r="B6" s="4" t="s">
        <v>12</v>
      </c>
      <c r="C6" s="3" t="s">
        <v>125</v>
      </c>
      <c r="D6" s="3" t="s">
        <v>3</v>
      </c>
      <c r="E6" s="3">
        <v>447</v>
      </c>
      <c r="G6" s="59">
        <v>1464</v>
      </c>
      <c r="I6" s="3" t="s">
        <v>13</v>
      </c>
      <c r="J6" s="3" t="s">
        <v>14</v>
      </c>
    </row>
    <row r="7" spans="1:12" ht="12.75" x14ac:dyDescent="0.2">
      <c r="A7" s="3">
        <v>1</v>
      </c>
      <c r="B7" s="4" t="s">
        <v>12</v>
      </c>
      <c r="C7" s="3" t="s">
        <v>125</v>
      </c>
      <c r="D7" s="3" t="s">
        <v>16</v>
      </c>
      <c r="E7" s="3">
        <v>32</v>
      </c>
      <c r="G7" s="57"/>
      <c r="I7" s="3" t="s">
        <v>15</v>
      </c>
      <c r="J7" s="3" t="s">
        <v>16</v>
      </c>
    </row>
    <row r="8" spans="1:12" ht="12.75" x14ac:dyDescent="0.2">
      <c r="A8" s="3">
        <v>1</v>
      </c>
      <c r="B8" s="4" t="s">
        <v>12</v>
      </c>
      <c r="C8" s="3" t="s">
        <v>125</v>
      </c>
      <c r="D8" s="3" t="s">
        <v>149</v>
      </c>
      <c r="E8" s="3">
        <v>22</v>
      </c>
      <c r="G8" s="57"/>
      <c r="I8" s="3" t="s">
        <v>17</v>
      </c>
      <c r="J8" s="3" t="s">
        <v>18</v>
      </c>
    </row>
    <row r="9" spans="1:12" ht="12.75" x14ac:dyDescent="0.2">
      <c r="A9" s="3">
        <v>1</v>
      </c>
      <c r="B9" s="4" t="s">
        <v>12</v>
      </c>
      <c r="C9" s="3" t="s">
        <v>125</v>
      </c>
      <c r="D9" s="3" t="s">
        <v>129</v>
      </c>
      <c r="E9" s="3">
        <v>13</v>
      </c>
      <c r="G9" s="57"/>
      <c r="I9" s="3" t="s">
        <v>347</v>
      </c>
      <c r="J9" s="3" t="s">
        <v>19</v>
      </c>
      <c r="L9" s="3"/>
    </row>
    <row r="10" spans="1:12" ht="12.75" x14ac:dyDescent="0.2">
      <c r="A10" s="3">
        <v>1</v>
      </c>
      <c r="B10" s="4" t="s">
        <v>12</v>
      </c>
      <c r="C10" s="3" t="s">
        <v>125</v>
      </c>
      <c r="D10" s="3" t="s">
        <v>132</v>
      </c>
      <c r="E10" s="3">
        <v>388</v>
      </c>
      <c r="G10" s="57"/>
      <c r="I10" s="3" t="s">
        <v>273</v>
      </c>
      <c r="J10" s="3" t="s">
        <v>274</v>
      </c>
    </row>
    <row r="11" spans="1:12" ht="12.75" x14ac:dyDescent="0.2">
      <c r="A11" s="3">
        <v>1</v>
      </c>
      <c r="B11" s="4" t="s">
        <v>12</v>
      </c>
      <c r="C11" s="3" t="s">
        <v>125</v>
      </c>
      <c r="D11" s="3" t="s">
        <v>317</v>
      </c>
      <c r="E11" s="3">
        <v>245</v>
      </c>
      <c r="G11" s="57"/>
      <c r="I11" s="3" t="s">
        <v>125</v>
      </c>
      <c r="J11" s="3" t="s">
        <v>20</v>
      </c>
    </row>
    <row r="12" spans="1:12" ht="12.75" x14ac:dyDescent="0.2">
      <c r="A12" s="3">
        <v>1</v>
      </c>
      <c r="B12" s="4" t="s">
        <v>12</v>
      </c>
      <c r="C12" s="3" t="s">
        <v>125</v>
      </c>
      <c r="D12" s="3" t="s">
        <v>14</v>
      </c>
      <c r="E12" s="3">
        <v>11</v>
      </c>
      <c r="G12" s="57"/>
      <c r="J12" s="3" t="s">
        <v>21</v>
      </c>
    </row>
    <row r="13" spans="1:12" ht="12.75" x14ac:dyDescent="0.2">
      <c r="A13" s="3">
        <v>1</v>
      </c>
      <c r="B13" s="4" t="s">
        <v>12</v>
      </c>
      <c r="C13" s="3" t="s">
        <v>125</v>
      </c>
      <c r="D13" s="3" t="s">
        <v>138</v>
      </c>
      <c r="E13" s="3">
        <v>34</v>
      </c>
      <c r="F13">
        <f>SUM(E6:E13)</f>
        <v>1192</v>
      </c>
      <c r="G13" s="57"/>
      <c r="J13" s="3" t="s">
        <v>22</v>
      </c>
    </row>
    <row r="14" spans="1:12" ht="12.75" x14ac:dyDescent="0.2">
      <c r="A14" s="3">
        <v>2</v>
      </c>
      <c r="B14" s="4" t="s">
        <v>25</v>
      </c>
      <c r="C14" s="3" t="s">
        <v>125</v>
      </c>
      <c r="D14" s="3" t="s">
        <v>3</v>
      </c>
      <c r="E14" s="3">
        <v>1802</v>
      </c>
      <c r="G14" s="59">
        <v>4313</v>
      </c>
      <c r="J14" s="3" t="s">
        <v>275</v>
      </c>
    </row>
    <row r="15" spans="1:12" ht="12.75" x14ac:dyDescent="0.2">
      <c r="A15" s="3">
        <v>2</v>
      </c>
      <c r="B15" s="4" t="s">
        <v>25</v>
      </c>
      <c r="C15" s="3" t="s">
        <v>125</v>
      </c>
      <c r="D15" s="3" t="s">
        <v>16</v>
      </c>
      <c r="E15" s="3">
        <v>98</v>
      </c>
      <c r="G15" s="57"/>
      <c r="J15" s="3" t="s">
        <v>276</v>
      </c>
    </row>
    <row r="16" spans="1:12" ht="12.75" x14ac:dyDescent="0.2">
      <c r="A16" s="3">
        <v>2</v>
      </c>
      <c r="B16" s="4" t="s">
        <v>25</v>
      </c>
      <c r="C16" s="3" t="s">
        <v>125</v>
      </c>
      <c r="D16" s="3" t="s">
        <v>149</v>
      </c>
      <c r="E16" s="3">
        <v>70</v>
      </c>
      <c r="G16" s="57"/>
      <c r="J16" s="3" t="s">
        <v>23</v>
      </c>
    </row>
    <row r="17" spans="1:10" ht="12.75" x14ac:dyDescent="0.2">
      <c r="A17" s="3">
        <v>2</v>
      </c>
      <c r="B17" s="4" t="s">
        <v>25</v>
      </c>
      <c r="C17" s="3" t="s">
        <v>125</v>
      </c>
      <c r="D17" s="3" t="s">
        <v>129</v>
      </c>
      <c r="E17" s="3">
        <v>38</v>
      </c>
      <c r="G17" s="57"/>
      <c r="J17" s="3" t="s">
        <v>24</v>
      </c>
    </row>
    <row r="18" spans="1:10" ht="12.75" x14ac:dyDescent="0.2">
      <c r="A18" s="3">
        <v>2</v>
      </c>
      <c r="B18" s="4" t="s">
        <v>25</v>
      </c>
      <c r="C18" s="3" t="s">
        <v>125</v>
      </c>
      <c r="D18" s="3" t="s">
        <v>132</v>
      </c>
      <c r="E18" s="3">
        <v>1232</v>
      </c>
      <c r="G18" s="57"/>
      <c r="J18" s="3" t="s">
        <v>26</v>
      </c>
    </row>
    <row r="19" spans="1:10" ht="12.75" x14ac:dyDescent="0.2">
      <c r="A19" s="3">
        <v>2</v>
      </c>
      <c r="B19" s="4" t="s">
        <v>25</v>
      </c>
      <c r="C19" s="3" t="s">
        <v>125</v>
      </c>
      <c r="D19" s="3" t="s">
        <v>317</v>
      </c>
      <c r="E19" s="3">
        <v>315</v>
      </c>
      <c r="G19" s="57"/>
      <c r="J19" s="3" t="s">
        <v>141</v>
      </c>
    </row>
    <row r="20" spans="1:10" ht="12.75" x14ac:dyDescent="0.2">
      <c r="A20" s="3">
        <v>2</v>
      </c>
      <c r="B20" s="4" t="s">
        <v>25</v>
      </c>
      <c r="C20" s="3" t="s">
        <v>125</v>
      </c>
      <c r="D20" s="3" t="s">
        <v>14</v>
      </c>
      <c r="E20" s="3">
        <v>31</v>
      </c>
      <c r="G20" s="57"/>
      <c r="J20" s="3" t="s">
        <v>27</v>
      </c>
    </row>
    <row r="21" spans="1:10" ht="12.75" x14ac:dyDescent="0.2">
      <c r="A21" s="3">
        <v>2</v>
      </c>
      <c r="B21" s="4" t="s">
        <v>25</v>
      </c>
      <c r="C21" s="3" t="s">
        <v>125</v>
      </c>
      <c r="D21" s="3" t="s">
        <v>138</v>
      </c>
      <c r="E21" s="3">
        <v>39</v>
      </c>
      <c r="F21">
        <f>SUM(E14:E21)</f>
        <v>3625</v>
      </c>
      <c r="G21" s="57"/>
      <c r="J21" s="3" t="s">
        <v>28</v>
      </c>
    </row>
    <row r="22" spans="1:10" ht="12.75" x14ac:dyDescent="0.2">
      <c r="A22" s="3">
        <v>3</v>
      </c>
      <c r="B22" s="4" t="s">
        <v>35</v>
      </c>
      <c r="C22" s="3" t="s">
        <v>125</v>
      </c>
      <c r="D22" s="3" t="s">
        <v>3</v>
      </c>
      <c r="E22" s="3">
        <v>859</v>
      </c>
      <c r="G22" s="59">
        <v>2039</v>
      </c>
      <c r="J22" s="3" t="s">
        <v>29</v>
      </c>
    </row>
    <row r="23" spans="1:10" ht="12.75" x14ac:dyDescent="0.2">
      <c r="A23" s="3">
        <v>3</v>
      </c>
      <c r="B23" s="4" t="s">
        <v>35</v>
      </c>
      <c r="C23" s="3" t="s">
        <v>125</v>
      </c>
      <c r="D23" s="3" t="s">
        <v>16</v>
      </c>
      <c r="E23" s="3">
        <v>24</v>
      </c>
      <c r="G23" s="57"/>
      <c r="J23" s="3" t="s">
        <v>278</v>
      </c>
    </row>
    <row r="24" spans="1:10" ht="12.75" x14ac:dyDescent="0.2">
      <c r="A24" s="3">
        <v>3</v>
      </c>
      <c r="B24" s="4" t="s">
        <v>35</v>
      </c>
      <c r="C24" s="3" t="s">
        <v>125</v>
      </c>
      <c r="D24" s="3" t="s">
        <v>149</v>
      </c>
      <c r="E24" s="3">
        <v>34</v>
      </c>
      <c r="G24" s="57"/>
      <c r="J24" s="3" t="s">
        <v>144</v>
      </c>
    </row>
    <row r="25" spans="1:10" ht="12.75" x14ac:dyDescent="0.2">
      <c r="A25" s="3">
        <v>3</v>
      </c>
      <c r="B25" s="4" t="s">
        <v>35</v>
      </c>
      <c r="C25" s="3" t="s">
        <v>125</v>
      </c>
      <c r="D25" s="3" t="s">
        <v>129</v>
      </c>
      <c r="E25" s="3">
        <v>18</v>
      </c>
      <c r="G25" s="57"/>
      <c r="J25" s="3" t="s">
        <v>30</v>
      </c>
    </row>
    <row r="26" spans="1:10" ht="12.75" x14ac:dyDescent="0.2">
      <c r="A26" s="3">
        <v>3</v>
      </c>
      <c r="B26" s="4" t="s">
        <v>35</v>
      </c>
      <c r="C26" s="3" t="s">
        <v>125</v>
      </c>
      <c r="D26" s="3" t="s">
        <v>132</v>
      </c>
      <c r="E26" s="3">
        <v>628</v>
      </c>
      <c r="G26" s="57"/>
      <c r="J26" s="3" t="s">
        <v>31</v>
      </c>
    </row>
    <row r="27" spans="1:10" ht="12.75" x14ac:dyDescent="0.2">
      <c r="A27" s="3">
        <v>3</v>
      </c>
      <c r="B27" s="4" t="s">
        <v>35</v>
      </c>
      <c r="C27" s="3" t="s">
        <v>125</v>
      </c>
      <c r="D27" s="3" t="s">
        <v>317</v>
      </c>
      <c r="E27" s="3">
        <v>78</v>
      </c>
      <c r="G27" s="57"/>
      <c r="J27" s="3" t="s">
        <v>32</v>
      </c>
    </row>
    <row r="28" spans="1:10" ht="12.75" x14ac:dyDescent="0.2">
      <c r="A28" s="3">
        <v>3</v>
      </c>
      <c r="B28" s="4" t="s">
        <v>35</v>
      </c>
      <c r="C28" s="3" t="s">
        <v>125</v>
      </c>
      <c r="D28" s="3" t="s">
        <v>14</v>
      </c>
      <c r="E28" s="3">
        <v>23</v>
      </c>
      <c r="G28" s="57"/>
      <c r="J28" s="3" t="s">
        <v>33</v>
      </c>
    </row>
    <row r="29" spans="1:10" ht="12.75" x14ac:dyDescent="0.2">
      <c r="A29" s="3">
        <v>3</v>
      </c>
      <c r="B29" s="4" t="s">
        <v>35</v>
      </c>
      <c r="C29" s="3" t="s">
        <v>125</v>
      </c>
      <c r="D29" s="3" t="s">
        <v>138</v>
      </c>
      <c r="E29" s="3">
        <v>17</v>
      </c>
      <c r="F29">
        <f>SUM(E22:E29)</f>
        <v>1681</v>
      </c>
      <c r="G29" s="57"/>
      <c r="J29" s="3" t="s">
        <v>142</v>
      </c>
    </row>
    <row r="30" spans="1:10" ht="12.75" x14ac:dyDescent="0.2">
      <c r="A30" s="3">
        <v>4</v>
      </c>
      <c r="B30" s="4" t="s">
        <v>36</v>
      </c>
      <c r="C30" s="3" t="s">
        <v>125</v>
      </c>
      <c r="D30" s="3" t="s">
        <v>3</v>
      </c>
      <c r="E30" s="3">
        <v>248</v>
      </c>
      <c r="G30" s="59">
        <v>598</v>
      </c>
      <c r="J30" s="3" t="s">
        <v>34</v>
      </c>
    </row>
    <row r="31" spans="1:10" ht="12.75" x14ac:dyDescent="0.2">
      <c r="A31" s="3">
        <v>4</v>
      </c>
      <c r="B31" s="4" t="s">
        <v>36</v>
      </c>
      <c r="C31" s="3" t="s">
        <v>125</v>
      </c>
      <c r="D31" s="3" t="s">
        <v>16</v>
      </c>
      <c r="E31" s="3">
        <v>19</v>
      </c>
      <c r="G31" s="57"/>
      <c r="J31" s="3" t="s">
        <v>279</v>
      </c>
    </row>
    <row r="32" spans="1:10" ht="12.75" x14ac:dyDescent="0.2">
      <c r="A32" s="3">
        <v>4</v>
      </c>
      <c r="B32" s="4" t="s">
        <v>36</v>
      </c>
      <c r="C32" s="3" t="s">
        <v>125</v>
      </c>
      <c r="D32" s="3" t="s">
        <v>149</v>
      </c>
      <c r="E32" s="3">
        <v>14</v>
      </c>
      <c r="G32" s="57"/>
      <c r="J32" s="3" t="s">
        <v>280</v>
      </c>
    </row>
    <row r="33" spans="1:10" ht="12.75" x14ac:dyDescent="0.2">
      <c r="A33" s="3">
        <v>4</v>
      </c>
      <c r="B33" s="4" t="s">
        <v>36</v>
      </c>
      <c r="C33" s="3" t="s">
        <v>125</v>
      </c>
      <c r="D33" s="3" t="s">
        <v>129</v>
      </c>
      <c r="E33" s="3">
        <v>7</v>
      </c>
      <c r="G33" s="57"/>
      <c r="J33" s="3" t="s">
        <v>281</v>
      </c>
    </row>
    <row r="34" spans="1:10" ht="12.75" x14ac:dyDescent="0.2">
      <c r="A34" s="3">
        <v>4</v>
      </c>
      <c r="B34" s="4" t="s">
        <v>36</v>
      </c>
      <c r="C34" s="3" t="s">
        <v>125</v>
      </c>
      <c r="D34" s="3" t="s">
        <v>132</v>
      </c>
      <c r="E34" s="3">
        <v>128</v>
      </c>
      <c r="G34" s="57"/>
      <c r="J34" s="3" t="s">
        <v>282</v>
      </c>
    </row>
    <row r="35" spans="1:10" ht="12.75" x14ac:dyDescent="0.2">
      <c r="A35" s="3">
        <v>4</v>
      </c>
      <c r="B35" s="4" t="s">
        <v>36</v>
      </c>
      <c r="C35" s="3" t="s">
        <v>125</v>
      </c>
      <c r="D35" s="3" t="s">
        <v>317</v>
      </c>
      <c r="E35" s="3">
        <v>71</v>
      </c>
      <c r="G35" s="57"/>
      <c r="J35" s="3" t="s">
        <v>283</v>
      </c>
    </row>
    <row r="36" spans="1:10" ht="12.75" x14ac:dyDescent="0.2">
      <c r="A36" s="3">
        <v>4</v>
      </c>
      <c r="B36" s="4" t="s">
        <v>36</v>
      </c>
      <c r="C36" s="3" t="s">
        <v>125</v>
      </c>
      <c r="D36" s="3" t="s">
        <v>14</v>
      </c>
      <c r="E36" s="3">
        <v>10</v>
      </c>
      <c r="G36" s="57"/>
      <c r="J36" s="3" t="s">
        <v>284</v>
      </c>
    </row>
    <row r="37" spans="1:10" ht="12.75" x14ac:dyDescent="0.2">
      <c r="A37" s="3">
        <v>4</v>
      </c>
      <c r="B37" s="4" t="s">
        <v>36</v>
      </c>
      <c r="C37" s="3" t="s">
        <v>125</v>
      </c>
      <c r="D37" s="3" t="s">
        <v>138</v>
      </c>
      <c r="E37" s="3">
        <v>1</v>
      </c>
      <c r="F37">
        <f>SUM(E30:E37)</f>
        <v>498</v>
      </c>
      <c r="G37" s="57"/>
      <c r="J37" s="3" t="s">
        <v>285</v>
      </c>
    </row>
    <row r="38" spans="1:10" ht="12.75" x14ac:dyDescent="0.2">
      <c r="A38" s="3">
        <v>5</v>
      </c>
      <c r="B38" s="4" t="s">
        <v>37</v>
      </c>
      <c r="C38" s="3" t="s">
        <v>125</v>
      </c>
      <c r="D38" s="3" t="s">
        <v>3</v>
      </c>
      <c r="E38" s="3">
        <v>47</v>
      </c>
      <c r="G38" s="59">
        <v>375</v>
      </c>
      <c r="J38" s="3" t="s">
        <v>286</v>
      </c>
    </row>
    <row r="39" spans="1:10" ht="12.75" x14ac:dyDescent="0.2">
      <c r="A39" s="3">
        <v>5</v>
      </c>
      <c r="B39" s="4" t="s">
        <v>37</v>
      </c>
      <c r="C39" s="3" t="s">
        <v>125</v>
      </c>
      <c r="D39" s="3" t="s">
        <v>16</v>
      </c>
      <c r="E39" s="3">
        <v>2</v>
      </c>
      <c r="G39" s="57"/>
      <c r="J39" s="3" t="s">
        <v>149</v>
      </c>
    </row>
    <row r="40" spans="1:10" ht="12.75" x14ac:dyDescent="0.2">
      <c r="A40" s="3">
        <v>5</v>
      </c>
      <c r="B40" s="4" t="s">
        <v>37</v>
      </c>
      <c r="C40" s="3" t="s">
        <v>125</v>
      </c>
      <c r="D40" s="3" t="s">
        <v>149</v>
      </c>
      <c r="E40" s="3">
        <v>11</v>
      </c>
      <c r="G40" s="57"/>
      <c r="J40" s="3" t="s">
        <v>287</v>
      </c>
    </row>
    <row r="41" spans="1:10" ht="12.75" x14ac:dyDescent="0.2">
      <c r="A41" s="3">
        <v>5</v>
      </c>
      <c r="B41" s="4" t="s">
        <v>37</v>
      </c>
      <c r="C41" s="3" t="s">
        <v>125</v>
      </c>
      <c r="D41" s="3" t="s">
        <v>129</v>
      </c>
      <c r="E41" s="3">
        <v>5</v>
      </c>
      <c r="G41" s="57"/>
      <c r="J41" s="3" t="s">
        <v>288</v>
      </c>
    </row>
    <row r="42" spans="1:10" ht="12.75" x14ac:dyDescent="0.2">
      <c r="A42" s="3">
        <v>5</v>
      </c>
      <c r="B42" s="4" t="s">
        <v>37</v>
      </c>
      <c r="C42" s="3" t="s">
        <v>125</v>
      </c>
      <c r="D42" s="3" t="s">
        <v>132</v>
      </c>
      <c r="E42" s="3">
        <v>179</v>
      </c>
      <c r="G42" s="57"/>
      <c r="J42" s="3" t="s">
        <v>289</v>
      </c>
    </row>
    <row r="43" spans="1:10" ht="12.75" x14ac:dyDescent="0.2">
      <c r="A43" s="3">
        <v>5</v>
      </c>
      <c r="B43" s="4" t="s">
        <v>37</v>
      </c>
      <c r="C43" s="3" t="s">
        <v>125</v>
      </c>
      <c r="D43" s="3" t="s">
        <v>317</v>
      </c>
      <c r="E43" s="3">
        <v>54</v>
      </c>
      <c r="G43" s="57"/>
      <c r="J43" s="3" t="s">
        <v>290</v>
      </c>
    </row>
    <row r="44" spans="1:10" ht="12.75" x14ac:dyDescent="0.2">
      <c r="A44" s="3">
        <v>5</v>
      </c>
      <c r="B44" s="4" t="s">
        <v>37</v>
      </c>
      <c r="C44" s="3" t="s">
        <v>125</v>
      </c>
      <c r="D44" s="3" t="s">
        <v>14</v>
      </c>
      <c r="E44" s="3">
        <v>9</v>
      </c>
      <c r="G44" s="57"/>
      <c r="J44" s="3" t="s">
        <v>291</v>
      </c>
    </row>
    <row r="45" spans="1:10" ht="12.75" x14ac:dyDescent="0.2">
      <c r="A45" s="3">
        <v>5</v>
      </c>
      <c r="B45" s="4" t="s">
        <v>37</v>
      </c>
      <c r="C45" s="3" t="s">
        <v>125</v>
      </c>
      <c r="D45" s="3" t="s">
        <v>138</v>
      </c>
      <c r="E45" s="3">
        <v>2</v>
      </c>
      <c r="F45">
        <f>SUM(E38:E45)</f>
        <v>309</v>
      </c>
      <c r="G45" s="57"/>
      <c r="J45" s="3" t="s">
        <v>292</v>
      </c>
    </row>
    <row r="46" spans="1:10" ht="12.75" x14ac:dyDescent="0.2">
      <c r="A46" s="3">
        <v>6</v>
      </c>
      <c r="B46" s="4" t="s">
        <v>38</v>
      </c>
      <c r="C46" s="3" t="s">
        <v>125</v>
      </c>
      <c r="D46" s="3" t="s">
        <v>3</v>
      </c>
      <c r="E46" s="3">
        <v>489</v>
      </c>
      <c r="G46" s="59">
        <v>1605</v>
      </c>
      <c r="J46" s="3" t="s">
        <v>293</v>
      </c>
    </row>
    <row r="47" spans="1:10" ht="12.75" x14ac:dyDescent="0.2">
      <c r="A47" s="3">
        <v>6</v>
      </c>
      <c r="B47" s="4" t="s">
        <v>38</v>
      </c>
      <c r="C47" s="3" t="s">
        <v>125</v>
      </c>
      <c r="D47" s="3" t="s">
        <v>16</v>
      </c>
      <c r="E47" s="3">
        <v>43</v>
      </c>
      <c r="G47" s="57"/>
      <c r="J47" s="3" t="s">
        <v>140</v>
      </c>
    </row>
    <row r="48" spans="1:10" ht="12.75" x14ac:dyDescent="0.2">
      <c r="A48" s="3">
        <v>6</v>
      </c>
      <c r="B48" s="4" t="s">
        <v>38</v>
      </c>
      <c r="C48" s="3" t="s">
        <v>125</v>
      </c>
      <c r="D48" s="3" t="s">
        <v>149</v>
      </c>
      <c r="E48" s="3">
        <v>29</v>
      </c>
      <c r="G48" s="57"/>
      <c r="J48" s="3" t="s">
        <v>294</v>
      </c>
    </row>
    <row r="49" spans="1:10" ht="12.75" x14ac:dyDescent="0.2">
      <c r="A49" s="3">
        <v>6</v>
      </c>
      <c r="B49" s="4" t="s">
        <v>38</v>
      </c>
      <c r="C49" s="3" t="s">
        <v>125</v>
      </c>
      <c r="D49" s="3" t="s">
        <v>129</v>
      </c>
      <c r="E49" s="3">
        <v>26</v>
      </c>
      <c r="G49" s="57"/>
      <c r="J49" s="3" t="s">
        <v>295</v>
      </c>
    </row>
    <row r="50" spans="1:10" ht="12.75" x14ac:dyDescent="0.2">
      <c r="A50" s="3">
        <v>6</v>
      </c>
      <c r="B50" s="4" t="s">
        <v>38</v>
      </c>
      <c r="C50" s="3" t="s">
        <v>125</v>
      </c>
      <c r="D50" s="3" t="s">
        <v>132</v>
      </c>
      <c r="E50" s="3">
        <v>648</v>
      </c>
      <c r="G50" s="57"/>
      <c r="J50" s="3" t="s">
        <v>296</v>
      </c>
    </row>
    <row r="51" spans="1:10" ht="12.75" x14ac:dyDescent="0.2">
      <c r="A51" s="3">
        <v>6</v>
      </c>
      <c r="B51" s="4" t="s">
        <v>38</v>
      </c>
      <c r="C51" s="3" t="s">
        <v>125</v>
      </c>
      <c r="D51" s="3" t="s">
        <v>317</v>
      </c>
      <c r="E51" s="3">
        <v>78</v>
      </c>
      <c r="G51" s="57"/>
      <c r="J51" s="3"/>
    </row>
    <row r="52" spans="1:10" ht="12.75" x14ac:dyDescent="0.2">
      <c r="A52" s="3">
        <v>6</v>
      </c>
      <c r="B52" s="4" t="s">
        <v>38</v>
      </c>
      <c r="C52" s="3" t="s">
        <v>125</v>
      </c>
      <c r="D52" s="3" t="s">
        <v>14</v>
      </c>
      <c r="E52" s="3">
        <v>49</v>
      </c>
      <c r="G52" s="57"/>
      <c r="J52" s="3" t="s">
        <v>297</v>
      </c>
    </row>
    <row r="53" spans="1:10" ht="12.75" x14ac:dyDescent="0.2">
      <c r="A53" s="3">
        <v>6</v>
      </c>
      <c r="B53" s="4" t="s">
        <v>38</v>
      </c>
      <c r="C53" s="3" t="s">
        <v>125</v>
      </c>
      <c r="D53" s="3" t="s">
        <v>138</v>
      </c>
      <c r="E53" s="3">
        <v>4</v>
      </c>
      <c r="F53">
        <f>SUM(E46:E53)</f>
        <v>1366</v>
      </c>
      <c r="G53" s="57"/>
      <c r="J53" s="3" t="s">
        <v>298</v>
      </c>
    </row>
    <row r="54" spans="1:10" ht="12.75" x14ac:dyDescent="0.2">
      <c r="A54" s="2" t="s">
        <v>39</v>
      </c>
      <c r="B54" s="4" t="s">
        <v>40</v>
      </c>
      <c r="C54" s="3" t="s">
        <v>125</v>
      </c>
      <c r="D54" s="3" t="s">
        <v>3</v>
      </c>
      <c r="E54" s="3">
        <v>18776</v>
      </c>
      <c r="G54" s="59">
        <v>85396</v>
      </c>
      <c r="J54" s="3" t="s">
        <v>299</v>
      </c>
    </row>
    <row r="55" spans="1:10" ht="12.75" x14ac:dyDescent="0.2">
      <c r="A55" s="2" t="s">
        <v>39</v>
      </c>
      <c r="B55" s="4" t="s">
        <v>40</v>
      </c>
      <c r="C55" s="3" t="s">
        <v>125</v>
      </c>
      <c r="D55" s="3" t="s">
        <v>16</v>
      </c>
      <c r="E55" s="3">
        <v>3962</v>
      </c>
      <c r="G55" s="57"/>
      <c r="J55" s="3"/>
    </row>
    <row r="56" spans="1:10" ht="12.75" x14ac:dyDescent="0.2">
      <c r="A56" s="2" t="s">
        <v>39</v>
      </c>
      <c r="B56" s="4" t="s">
        <v>40</v>
      </c>
      <c r="C56" s="3" t="s">
        <v>125</v>
      </c>
      <c r="D56" s="3" t="s">
        <v>149</v>
      </c>
      <c r="E56" s="3">
        <v>1810</v>
      </c>
      <c r="G56" s="57"/>
      <c r="J56" s="3" t="s">
        <v>300</v>
      </c>
    </row>
    <row r="57" spans="1:10" ht="12.75" x14ac:dyDescent="0.2">
      <c r="A57" s="2" t="s">
        <v>39</v>
      </c>
      <c r="B57" s="4" t="s">
        <v>40</v>
      </c>
      <c r="C57" s="3" t="s">
        <v>125</v>
      </c>
      <c r="D57" s="3" t="s">
        <v>129</v>
      </c>
      <c r="E57" s="3">
        <v>2252</v>
      </c>
      <c r="G57" s="57"/>
      <c r="J57" s="3" t="s">
        <v>301</v>
      </c>
    </row>
    <row r="58" spans="1:10" ht="12.75" x14ac:dyDescent="0.2">
      <c r="A58" s="2" t="s">
        <v>39</v>
      </c>
      <c r="B58" s="4" t="s">
        <v>40</v>
      </c>
      <c r="C58" s="3" t="s">
        <v>125</v>
      </c>
      <c r="D58" s="3" t="s">
        <v>132</v>
      </c>
      <c r="E58" s="3">
        <v>28150</v>
      </c>
      <c r="G58" s="57"/>
      <c r="J58" s="3"/>
    </row>
    <row r="59" spans="1:10" ht="12.75" x14ac:dyDescent="0.2">
      <c r="A59" s="2" t="s">
        <v>39</v>
      </c>
      <c r="B59" s="4" t="s">
        <v>40</v>
      </c>
      <c r="C59" s="3" t="s">
        <v>125</v>
      </c>
      <c r="D59" s="3" t="s">
        <v>317</v>
      </c>
      <c r="E59" s="3">
        <v>9680</v>
      </c>
      <c r="G59" s="57"/>
      <c r="J59" s="3"/>
    </row>
    <row r="60" spans="1:10" ht="12.75" x14ac:dyDescent="0.2">
      <c r="A60" s="2" t="s">
        <v>39</v>
      </c>
      <c r="B60" s="4" t="s">
        <v>40</v>
      </c>
      <c r="C60" s="3" t="s">
        <v>125</v>
      </c>
      <c r="D60" s="3" t="s">
        <v>14</v>
      </c>
      <c r="E60" s="3">
        <v>631</v>
      </c>
      <c r="G60" s="57"/>
      <c r="J60" s="3" t="s">
        <v>302</v>
      </c>
    </row>
    <row r="61" spans="1:10" ht="12.75" x14ac:dyDescent="0.2">
      <c r="A61" s="2" t="s">
        <v>39</v>
      </c>
      <c r="B61" s="4" t="s">
        <v>40</v>
      </c>
      <c r="C61" s="3" t="s">
        <v>125</v>
      </c>
      <c r="D61" s="3" t="s">
        <v>138</v>
      </c>
      <c r="E61" s="3">
        <v>1449</v>
      </c>
      <c r="F61">
        <f>SUM(E54:E61)</f>
        <v>66710</v>
      </c>
      <c r="G61" s="57"/>
      <c r="J61" s="3" t="s">
        <v>303</v>
      </c>
    </row>
    <row r="62" spans="1:10" ht="12.75" x14ac:dyDescent="0.2">
      <c r="A62" s="3">
        <v>11</v>
      </c>
      <c r="B62" s="4" t="s">
        <v>41</v>
      </c>
      <c r="C62" s="3" t="s">
        <v>125</v>
      </c>
      <c r="D62" s="3" t="s">
        <v>3</v>
      </c>
      <c r="E62" s="3">
        <v>584</v>
      </c>
      <c r="G62" s="59">
        <v>1578</v>
      </c>
      <c r="J62" s="3" t="s">
        <v>304</v>
      </c>
    </row>
    <row r="63" spans="1:10" ht="12.75" x14ac:dyDescent="0.2">
      <c r="A63" s="3">
        <v>11</v>
      </c>
      <c r="B63" s="4" t="s">
        <v>41</v>
      </c>
      <c r="C63" s="3" t="s">
        <v>125</v>
      </c>
      <c r="D63" s="3" t="s">
        <v>16</v>
      </c>
      <c r="E63" s="3">
        <v>50</v>
      </c>
      <c r="G63" s="57"/>
      <c r="J63" s="3" t="s">
        <v>305</v>
      </c>
    </row>
    <row r="64" spans="1:10" ht="12.75" x14ac:dyDescent="0.2">
      <c r="A64" s="3">
        <v>11</v>
      </c>
      <c r="B64" s="4" t="s">
        <v>41</v>
      </c>
      <c r="C64" s="3" t="s">
        <v>125</v>
      </c>
      <c r="D64" s="3" t="s">
        <v>149</v>
      </c>
      <c r="E64" s="3">
        <v>88</v>
      </c>
      <c r="G64" s="57"/>
      <c r="J64" s="3"/>
    </row>
    <row r="65" spans="1:10" ht="12.75" x14ac:dyDescent="0.2">
      <c r="A65" s="3">
        <v>11</v>
      </c>
      <c r="B65" s="4" t="s">
        <v>41</v>
      </c>
      <c r="C65" s="3" t="s">
        <v>125</v>
      </c>
      <c r="D65" s="3" t="s">
        <v>129</v>
      </c>
      <c r="E65" s="3">
        <v>40</v>
      </c>
      <c r="G65" s="57"/>
      <c r="J65" s="3" t="s">
        <v>306</v>
      </c>
    </row>
    <row r="66" spans="1:10" ht="12.75" x14ac:dyDescent="0.2">
      <c r="A66" s="3">
        <v>11</v>
      </c>
      <c r="B66" s="4" t="s">
        <v>41</v>
      </c>
      <c r="C66" s="3" t="s">
        <v>125</v>
      </c>
      <c r="D66" s="3" t="s">
        <v>132</v>
      </c>
      <c r="E66" s="3">
        <v>315</v>
      </c>
      <c r="G66" s="57"/>
      <c r="J66" s="3" t="s">
        <v>318</v>
      </c>
    </row>
    <row r="67" spans="1:10" ht="12.75" x14ac:dyDescent="0.2">
      <c r="A67" s="3">
        <v>11</v>
      </c>
      <c r="B67" s="4" t="s">
        <v>41</v>
      </c>
      <c r="C67" s="3" t="s">
        <v>125</v>
      </c>
      <c r="D67" s="3" t="s">
        <v>317</v>
      </c>
      <c r="E67" s="3">
        <v>100</v>
      </c>
      <c r="G67" s="57"/>
      <c r="J67" s="3" t="s">
        <v>308</v>
      </c>
    </row>
    <row r="68" spans="1:10" ht="12.75" x14ac:dyDescent="0.2">
      <c r="A68" s="3">
        <v>11</v>
      </c>
      <c r="B68" s="4" t="s">
        <v>41</v>
      </c>
      <c r="C68" s="3" t="s">
        <v>125</v>
      </c>
      <c r="D68" s="3" t="s">
        <v>14</v>
      </c>
      <c r="E68" s="3">
        <v>17</v>
      </c>
      <c r="G68" s="57"/>
      <c r="J68" s="3" t="s">
        <v>309</v>
      </c>
    </row>
    <row r="69" spans="1:10" ht="12.75" x14ac:dyDescent="0.2">
      <c r="A69" s="3">
        <v>11</v>
      </c>
      <c r="B69" s="4" t="s">
        <v>41</v>
      </c>
      <c r="C69" s="3" t="s">
        <v>125</v>
      </c>
      <c r="D69" s="3" t="s">
        <v>138</v>
      </c>
      <c r="E69" s="3">
        <v>41</v>
      </c>
      <c r="F69">
        <f>SUM(E62:E69)</f>
        <v>1235</v>
      </c>
      <c r="G69" s="57"/>
      <c r="J69" s="3" t="s">
        <v>310</v>
      </c>
    </row>
    <row r="70" spans="1:10" ht="12.75" x14ac:dyDescent="0.2">
      <c r="A70" s="3">
        <v>13</v>
      </c>
      <c r="B70" s="4" t="s">
        <v>42</v>
      </c>
      <c r="C70" s="3" t="s">
        <v>125</v>
      </c>
      <c r="D70" s="3" t="s">
        <v>3</v>
      </c>
      <c r="E70" s="3">
        <v>1379</v>
      </c>
      <c r="G70" s="59">
        <v>3357</v>
      </c>
      <c r="J70" s="3" t="s">
        <v>311</v>
      </c>
    </row>
    <row r="71" spans="1:10" ht="12.75" x14ac:dyDescent="0.2">
      <c r="A71" s="3">
        <v>13</v>
      </c>
      <c r="B71" s="4" t="s">
        <v>42</v>
      </c>
      <c r="C71" s="3" t="s">
        <v>125</v>
      </c>
      <c r="D71" s="3" t="s">
        <v>16</v>
      </c>
      <c r="E71" s="3">
        <v>62</v>
      </c>
      <c r="G71" s="57"/>
      <c r="J71" s="3" t="s">
        <v>143</v>
      </c>
    </row>
    <row r="72" spans="1:10" ht="12.75" x14ac:dyDescent="0.2">
      <c r="A72" s="3">
        <v>13</v>
      </c>
      <c r="B72" s="4" t="s">
        <v>42</v>
      </c>
      <c r="C72" s="3" t="s">
        <v>125</v>
      </c>
      <c r="D72" s="3" t="s">
        <v>149</v>
      </c>
      <c r="E72" s="3">
        <v>62</v>
      </c>
      <c r="G72" s="57"/>
      <c r="J72" s="3" t="s">
        <v>312</v>
      </c>
    </row>
    <row r="73" spans="1:10" ht="12.75" x14ac:dyDescent="0.2">
      <c r="A73" s="3">
        <v>13</v>
      </c>
      <c r="B73" s="4" t="s">
        <v>42</v>
      </c>
      <c r="C73" s="3" t="s">
        <v>125</v>
      </c>
      <c r="D73" s="3" t="s">
        <v>129</v>
      </c>
      <c r="E73" s="3">
        <v>35</v>
      </c>
      <c r="G73" s="57"/>
      <c r="I73" s="3"/>
      <c r="J73" s="3" t="s">
        <v>313</v>
      </c>
    </row>
    <row r="74" spans="1:10" ht="12.75" x14ac:dyDescent="0.2">
      <c r="A74" s="3">
        <v>13</v>
      </c>
      <c r="B74" s="4" t="s">
        <v>42</v>
      </c>
      <c r="C74" s="3" t="s">
        <v>125</v>
      </c>
      <c r="D74" s="3" t="s">
        <v>132</v>
      </c>
      <c r="E74" s="3">
        <v>757</v>
      </c>
      <c r="G74" s="57"/>
      <c r="J74" s="3" t="s">
        <v>132</v>
      </c>
    </row>
    <row r="75" spans="1:10" ht="12.75" x14ac:dyDescent="0.2">
      <c r="A75" s="3">
        <v>13</v>
      </c>
      <c r="B75" s="4" t="s">
        <v>42</v>
      </c>
      <c r="C75" s="3" t="s">
        <v>125</v>
      </c>
      <c r="D75" s="3" t="s">
        <v>317</v>
      </c>
      <c r="E75" s="3">
        <v>406</v>
      </c>
      <c r="G75" s="57"/>
      <c r="J75" s="3" t="s">
        <v>138</v>
      </c>
    </row>
    <row r="76" spans="1:10" ht="12.75" x14ac:dyDescent="0.2">
      <c r="A76" s="3">
        <v>13</v>
      </c>
      <c r="B76" s="4" t="s">
        <v>42</v>
      </c>
      <c r="C76" s="3" t="s">
        <v>125</v>
      </c>
      <c r="D76" s="3" t="s">
        <v>14</v>
      </c>
      <c r="E76" s="3">
        <v>20</v>
      </c>
      <c r="G76" s="57"/>
      <c r="J76" s="3" t="s">
        <v>314</v>
      </c>
    </row>
    <row r="77" spans="1:10" ht="12.75" x14ac:dyDescent="0.2">
      <c r="A77" s="3">
        <v>13</v>
      </c>
      <c r="B77" s="4" t="s">
        <v>42</v>
      </c>
      <c r="C77" s="3" t="s">
        <v>125</v>
      </c>
      <c r="D77" s="3" t="s">
        <v>138</v>
      </c>
      <c r="E77" s="3">
        <v>22</v>
      </c>
      <c r="F77">
        <f>SUM(E70:E77)</f>
        <v>2743</v>
      </c>
      <c r="G77" s="57"/>
      <c r="J77" s="3" t="s">
        <v>315</v>
      </c>
    </row>
    <row r="78" spans="1:10" ht="12.75" x14ac:dyDescent="0.2">
      <c r="A78" s="3">
        <v>14</v>
      </c>
      <c r="B78" s="4" t="s">
        <v>153</v>
      </c>
      <c r="C78" s="3" t="s">
        <v>125</v>
      </c>
      <c r="D78" s="3" t="s">
        <v>3</v>
      </c>
      <c r="E78" s="3">
        <v>10</v>
      </c>
      <c r="G78" s="59">
        <v>37</v>
      </c>
      <c r="J78" s="3" t="s">
        <v>316</v>
      </c>
    </row>
    <row r="79" spans="1:10" ht="12.75" x14ac:dyDescent="0.2">
      <c r="A79" s="3">
        <v>14</v>
      </c>
      <c r="B79" s="4" t="s">
        <v>153</v>
      </c>
      <c r="C79" s="3" t="s">
        <v>125</v>
      </c>
      <c r="D79" s="3" t="s">
        <v>16</v>
      </c>
      <c r="E79" s="3">
        <v>1</v>
      </c>
      <c r="G79" s="57"/>
      <c r="J79" s="3" t="s">
        <v>128</v>
      </c>
    </row>
    <row r="80" spans="1:10" ht="12.75" x14ac:dyDescent="0.2">
      <c r="A80" s="3">
        <v>14</v>
      </c>
      <c r="B80" s="4" t="s">
        <v>153</v>
      </c>
      <c r="C80" s="3" t="s">
        <v>125</v>
      </c>
      <c r="D80" s="3" t="s">
        <v>149</v>
      </c>
      <c r="E80" s="3">
        <v>0</v>
      </c>
      <c r="G80" s="57"/>
      <c r="J80" s="3" t="s">
        <v>129</v>
      </c>
    </row>
    <row r="81" spans="1:10" ht="12.75" x14ac:dyDescent="0.2">
      <c r="A81" s="3">
        <v>14</v>
      </c>
      <c r="B81" s="4" t="s">
        <v>153</v>
      </c>
      <c r="C81" s="3" t="s">
        <v>125</v>
      </c>
      <c r="D81" s="3" t="s">
        <v>129</v>
      </c>
      <c r="E81" s="3">
        <v>0</v>
      </c>
      <c r="G81" s="57"/>
      <c r="J81" s="3" t="s">
        <v>317</v>
      </c>
    </row>
    <row r="82" spans="1:10" ht="12.75" x14ac:dyDescent="0.2">
      <c r="A82" s="3">
        <v>14</v>
      </c>
      <c r="B82" s="4" t="s">
        <v>153</v>
      </c>
      <c r="C82" s="3" t="s">
        <v>125</v>
      </c>
      <c r="D82" s="3" t="s">
        <v>132</v>
      </c>
      <c r="E82" s="3">
        <v>9</v>
      </c>
      <c r="G82" s="57"/>
      <c r="J82" s="3"/>
    </row>
    <row r="83" spans="1:10" ht="12.75" x14ac:dyDescent="0.2">
      <c r="A83" s="3">
        <v>14</v>
      </c>
      <c r="B83" s="4" t="s">
        <v>153</v>
      </c>
      <c r="C83" s="3" t="s">
        <v>125</v>
      </c>
      <c r="D83" s="3" t="s">
        <v>317</v>
      </c>
      <c r="E83" s="3">
        <v>4</v>
      </c>
      <c r="G83" s="57"/>
      <c r="J83" s="3"/>
    </row>
    <row r="84" spans="1:10" ht="12.75" x14ac:dyDescent="0.2">
      <c r="A84" s="3">
        <v>14</v>
      </c>
      <c r="B84" s="4" t="s">
        <v>153</v>
      </c>
      <c r="C84" s="3" t="s">
        <v>125</v>
      </c>
      <c r="D84" s="3" t="s">
        <v>14</v>
      </c>
      <c r="E84" s="3">
        <v>0</v>
      </c>
      <c r="G84" s="57"/>
      <c r="J84" s="3"/>
    </row>
    <row r="85" spans="1:10" ht="12.75" x14ac:dyDescent="0.2">
      <c r="A85" s="3">
        <v>14</v>
      </c>
      <c r="B85" s="4" t="s">
        <v>153</v>
      </c>
      <c r="C85" s="3" t="s">
        <v>125</v>
      </c>
      <c r="D85" s="3" t="s">
        <v>138</v>
      </c>
      <c r="E85" s="3">
        <v>0</v>
      </c>
      <c r="F85">
        <f>SUM(E78:E85)</f>
        <v>24</v>
      </c>
      <c r="G85" s="57"/>
      <c r="J85" s="3"/>
    </row>
    <row r="86" spans="1:10" ht="12.75" x14ac:dyDescent="0.2">
      <c r="A86" s="3">
        <v>15</v>
      </c>
      <c r="B86" s="4" t="s">
        <v>43</v>
      </c>
      <c r="C86" s="3" t="s">
        <v>125</v>
      </c>
      <c r="D86" s="3" t="s">
        <v>3</v>
      </c>
      <c r="E86" s="3">
        <v>445</v>
      </c>
      <c r="G86" s="59">
        <v>1476</v>
      </c>
    </row>
    <row r="87" spans="1:10" ht="12.75" x14ac:dyDescent="0.2">
      <c r="A87" s="3">
        <v>15</v>
      </c>
      <c r="B87" s="4" t="s">
        <v>43</v>
      </c>
      <c r="C87" s="3" t="s">
        <v>125</v>
      </c>
      <c r="D87" s="3" t="s">
        <v>16</v>
      </c>
      <c r="E87" s="3">
        <v>25</v>
      </c>
      <c r="G87" s="57"/>
    </row>
    <row r="88" spans="1:10" ht="12.75" x14ac:dyDescent="0.2">
      <c r="A88" s="3">
        <v>15</v>
      </c>
      <c r="B88" s="4" t="s">
        <v>43</v>
      </c>
      <c r="C88" s="3" t="s">
        <v>125</v>
      </c>
      <c r="D88" s="3" t="s">
        <v>149</v>
      </c>
      <c r="E88" s="3">
        <v>40</v>
      </c>
      <c r="G88" s="57"/>
    </row>
    <row r="89" spans="1:10" ht="12.75" x14ac:dyDescent="0.2">
      <c r="A89" s="3">
        <v>15</v>
      </c>
      <c r="B89" s="4" t="s">
        <v>43</v>
      </c>
      <c r="C89" s="3" t="s">
        <v>125</v>
      </c>
      <c r="D89" s="3" t="s">
        <v>129</v>
      </c>
      <c r="E89" s="3">
        <v>21</v>
      </c>
      <c r="G89" s="57"/>
    </row>
    <row r="90" spans="1:10" ht="12.75" x14ac:dyDescent="0.2">
      <c r="A90" s="3">
        <v>15</v>
      </c>
      <c r="B90" s="4" t="s">
        <v>43</v>
      </c>
      <c r="C90" s="3" t="s">
        <v>125</v>
      </c>
      <c r="D90" s="3" t="s">
        <v>132</v>
      </c>
      <c r="E90" s="3">
        <v>386</v>
      </c>
      <c r="G90" s="57"/>
    </row>
    <row r="91" spans="1:10" ht="12.75" x14ac:dyDescent="0.2">
      <c r="A91" s="3">
        <v>15</v>
      </c>
      <c r="B91" s="4" t="s">
        <v>43</v>
      </c>
      <c r="C91" s="3" t="s">
        <v>125</v>
      </c>
      <c r="D91" s="3" t="s">
        <v>317</v>
      </c>
      <c r="E91" s="3">
        <v>257</v>
      </c>
      <c r="G91" s="57"/>
    </row>
    <row r="92" spans="1:10" ht="12.75" x14ac:dyDescent="0.2">
      <c r="A92" s="3">
        <v>15</v>
      </c>
      <c r="B92" s="4" t="s">
        <v>43</v>
      </c>
      <c r="C92" s="3" t="s">
        <v>125</v>
      </c>
      <c r="D92" s="3" t="s">
        <v>14</v>
      </c>
      <c r="E92" s="3">
        <v>11</v>
      </c>
      <c r="G92" s="57"/>
    </row>
    <row r="93" spans="1:10" ht="12.75" x14ac:dyDescent="0.2">
      <c r="A93" s="3">
        <v>15</v>
      </c>
      <c r="B93" s="4" t="s">
        <v>43</v>
      </c>
      <c r="C93" s="3" t="s">
        <v>125</v>
      </c>
      <c r="D93" s="3" t="s">
        <v>138</v>
      </c>
      <c r="E93" s="3">
        <v>21</v>
      </c>
      <c r="F93">
        <f>SUM(E86:E93)</f>
        <v>1206</v>
      </c>
      <c r="G93" s="57"/>
    </row>
    <row r="94" spans="1:10" ht="12.75" x14ac:dyDescent="0.2">
      <c r="A94" s="3">
        <v>16</v>
      </c>
      <c r="B94" s="4" t="s">
        <v>44</v>
      </c>
      <c r="C94" s="3" t="s">
        <v>125</v>
      </c>
      <c r="D94" s="3" t="s">
        <v>3</v>
      </c>
      <c r="E94" s="3">
        <v>425</v>
      </c>
      <c r="G94" s="59">
        <v>843</v>
      </c>
    </row>
    <row r="95" spans="1:10" ht="12.75" x14ac:dyDescent="0.2">
      <c r="A95" s="3">
        <v>16</v>
      </c>
      <c r="B95" s="4" t="s">
        <v>44</v>
      </c>
      <c r="C95" s="3" t="s">
        <v>125</v>
      </c>
      <c r="D95" s="3" t="s">
        <v>16</v>
      </c>
      <c r="E95" s="3">
        <v>11</v>
      </c>
      <c r="G95" s="57"/>
    </row>
    <row r="96" spans="1:10" ht="12.75" x14ac:dyDescent="0.2">
      <c r="A96" s="3">
        <v>16</v>
      </c>
      <c r="B96" s="4" t="s">
        <v>44</v>
      </c>
      <c r="C96" s="3" t="s">
        <v>125</v>
      </c>
      <c r="D96" s="3" t="s">
        <v>149</v>
      </c>
      <c r="E96" s="3">
        <v>20</v>
      </c>
      <c r="G96" s="57"/>
    </row>
    <row r="97" spans="1:7" ht="12.75" x14ac:dyDescent="0.2">
      <c r="A97" s="3">
        <v>16</v>
      </c>
      <c r="B97" s="4" t="s">
        <v>44</v>
      </c>
      <c r="C97" s="3" t="s">
        <v>125</v>
      </c>
      <c r="D97" s="3" t="s">
        <v>129</v>
      </c>
      <c r="E97" s="3">
        <v>5</v>
      </c>
      <c r="G97" s="57"/>
    </row>
    <row r="98" spans="1:7" ht="12.75" x14ac:dyDescent="0.2">
      <c r="A98" s="3">
        <v>16</v>
      </c>
      <c r="B98" s="4" t="s">
        <v>44</v>
      </c>
      <c r="C98" s="3" t="s">
        <v>125</v>
      </c>
      <c r="D98" s="3" t="s">
        <v>132</v>
      </c>
      <c r="E98" s="3">
        <v>205</v>
      </c>
      <c r="G98" s="57"/>
    </row>
    <row r="99" spans="1:7" ht="12.75" x14ac:dyDescent="0.2">
      <c r="A99" s="3">
        <v>16</v>
      </c>
      <c r="B99" s="4" t="s">
        <v>44</v>
      </c>
      <c r="C99" s="3" t="s">
        <v>125</v>
      </c>
      <c r="D99" s="3" t="s">
        <v>317</v>
      </c>
      <c r="E99" s="3">
        <v>48</v>
      </c>
      <c r="G99" s="57"/>
    </row>
    <row r="100" spans="1:7" ht="12.75" x14ac:dyDescent="0.2">
      <c r="A100" s="3">
        <v>16</v>
      </c>
      <c r="B100" s="4" t="s">
        <v>44</v>
      </c>
      <c r="C100" s="3" t="s">
        <v>125</v>
      </c>
      <c r="D100" s="3" t="s">
        <v>14</v>
      </c>
      <c r="E100" s="3">
        <v>4</v>
      </c>
      <c r="G100" s="57"/>
    </row>
    <row r="101" spans="1:7" ht="12.75" x14ac:dyDescent="0.2">
      <c r="A101" s="3">
        <v>16</v>
      </c>
      <c r="B101" s="4" t="s">
        <v>44</v>
      </c>
      <c r="C101" s="3" t="s">
        <v>125</v>
      </c>
      <c r="D101" s="3" t="s">
        <v>138</v>
      </c>
      <c r="E101" s="3">
        <v>18</v>
      </c>
      <c r="F101">
        <f>SUM(E94:E101)</f>
        <v>736</v>
      </c>
      <c r="G101" s="57"/>
    </row>
    <row r="102" spans="1:7" ht="12.75" x14ac:dyDescent="0.2">
      <c r="A102" s="3">
        <v>17</v>
      </c>
      <c r="B102" s="4" t="s">
        <v>45</v>
      </c>
      <c r="C102" s="3" t="s">
        <v>125</v>
      </c>
      <c r="D102" s="3" t="s">
        <v>3</v>
      </c>
      <c r="E102" s="3">
        <v>19</v>
      </c>
      <c r="G102" s="59">
        <v>47</v>
      </c>
    </row>
    <row r="103" spans="1:7" ht="12.75" x14ac:dyDescent="0.2">
      <c r="A103" s="3">
        <v>17</v>
      </c>
      <c r="B103" s="4" t="s">
        <v>45</v>
      </c>
      <c r="C103" s="3" t="s">
        <v>125</v>
      </c>
      <c r="D103" s="3" t="s">
        <v>16</v>
      </c>
      <c r="E103" s="3">
        <v>1</v>
      </c>
      <c r="G103" s="57"/>
    </row>
    <row r="104" spans="1:7" ht="12.75" x14ac:dyDescent="0.2">
      <c r="A104" s="3">
        <v>17</v>
      </c>
      <c r="B104" s="4" t="s">
        <v>45</v>
      </c>
      <c r="C104" s="3" t="s">
        <v>125</v>
      </c>
      <c r="D104" s="3" t="s">
        <v>149</v>
      </c>
      <c r="E104" s="3">
        <v>1</v>
      </c>
      <c r="G104" s="57"/>
    </row>
    <row r="105" spans="1:7" ht="12.75" x14ac:dyDescent="0.2">
      <c r="A105" s="3">
        <v>17</v>
      </c>
      <c r="B105" s="4" t="s">
        <v>45</v>
      </c>
      <c r="C105" s="3" t="s">
        <v>125</v>
      </c>
      <c r="D105" s="3" t="s">
        <v>129</v>
      </c>
      <c r="E105" s="3">
        <v>0</v>
      </c>
      <c r="G105" s="57"/>
    </row>
    <row r="106" spans="1:7" ht="12.75" x14ac:dyDescent="0.2">
      <c r="A106" s="3">
        <v>17</v>
      </c>
      <c r="B106" s="4" t="s">
        <v>45</v>
      </c>
      <c r="C106" s="3" t="s">
        <v>125</v>
      </c>
      <c r="D106" s="3" t="s">
        <v>132</v>
      </c>
      <c r="E106" s="3">
        <v>0</v>
      </c>
      <c r="G106" s="57"/>
    </row>
    <row r="107" spans="1:7" ht="12.75" x14ac:dyDescent="0.2">
      <c r="A107" s="3">
        <v>17</v>
      </c>
      <c r="B107" s="4" t="s">
        <v>45</v>
      </c>
      <c r="C107" s="3" t="s">
        <v>125</v>
      </c>
      <c r="D107" s="3" t="s">
        <v>317</v>
      </c>
      <c r="E107" s="3">
        <v>0</v>
      </c>
      <c r="G107" s="57"/>
    </row>
    <row r="108" spans="1:7" ht="12.75" x14ac:dyDescent="0.2">
      <c r="A108" s="3">
        <v>17</v>
      </c>
      <c r="B108" s="4" t="s">
        <v>45</v>
      </c>
      <c r="C108" s="3" t="s">
        <v>125</v>
      </c>
      <c r="D108" s="3" t="s">
        <v>14</v>
      </c>
      <c r="E108" s="3">
        <v>2</v>
      </c>
      <c r="G108" s="57"/>
    </row>
    <row r="109" spans="1:7" ht="12.75" x14ac:dyDescent="0.2">
      <c r="A109" s="3">
        <v>17</v>
      </c>
      <c r="B109" s="4" t="s">
        <v>45</v>
      </c>
      <c r="C109" s="3" t="s">
        <v>125</v>
      </c>
      <c r="D109" s="3" t="s">
        <v>138</v>
      </c>
      <c r="E109" s="3">
        <v>0</v>
      </c>
      <c r="F109">
        <f>SUM(E102:E109)</f>
        <v>23</v>
      </c>
      <c r="G109" s="57"/>
    </row>
    <row r="110" spans="1:7" ht="12.75" x14ac:dyDescent="0.2">
      <c r="A110" s="3">
        <v>18</v>
      </c>
      <c r="B110" s="4" t="s">
        <v>46</v>
      </c>
      <c r="C110" s="3" t="s">
        <v>125</v>
      </c>
      <c r="D110" s="3" t="s">
        <v>3</v>
      </c>
      <c r="E110" s="3">
        <v>1009</v>
      </c>
      <c r="G110" s="59">
        <v>2311</v>
      </c>
    </row>
    <row r="111" spans="1:7" ht="12.75" x14ac:dyDescent="0.2">
      <c r="A111" s="3">
        <v>18</v>
      </c>
      <c r="B111" s="4" t="s">
        <v>46</v>
      </c>
      <c r="C111" s="3" t="s">
        <v>125</v>
      </c>
      <c r="D111" s="3" t="s">
        <v>16</v>
      </c>
      <c r="E111" s="3">
        <v>36</v>
      </c>
      <c r="G111" s="57"/>
    </row>
    <row r="112" spans="1:7" ht="12.75" x14ac:dyDescent="0.2">
      <c r="A112" s="3">
        <v>18</v>
      </c>
      <c r="B112" s="4" t="s">
        <v>46</v>
      </c>
      <c r="C112" s="3" t="s">
        <v>125</v>
      </c>
      <c r="D112" s="3" t="s">
        <v>149</v>
      </c>
      <c r="E112" s="3">
        <v>74</v>
      </c>
      <c r="G112" s="57"/>
    </row>
    <row r="113" spans="1:7" ht="12.75" x14ac:dyDescent="0.2">
      <c r="A113" s="3">
        <v>18</v>
      </c>
      <c r="B113" s="4" t="s">
        <v>46</v>
      </c>
      <c r="C113" s="3" t="s">
        <v>125</v>
      </c>
      <c r="D113" s="3" t="s">
        <v>129</v>
      </c>
      <c r="E113" s="3">
        <v>22</v>
      </c>
      <c r="G113" s="57"/>
    </row>
    <row r="114" spans="1:7" ht="12.75" x14ac:dyDescent="0.2">
      <c r="A114" s="3">
        <v>18</v>
      </c>
      <c r="B114" s="4" t="s">
        <v>46</v>
      </c>
      <c r="C114" s="3" t="s">
        <v>125</v>
      </c>
      <c r="D114" s="3" t="s">
        <v>132</v>
      </c>
      <c r="E114" s="3">
        <v>355</v>
      </c>
      <c r="G114" s="57"/>
    </row>
    <row r="115" spans="1:7" ht="12.75" x14ac:dyDescent="0.2">
      <c r="A115" s="3">
        <v>18</v>
      </c>
      <c r="B115" s="4" t="s">
        <v>46</v>
      </c>
      <c r="C115" s="3" t="s">
        <v>125</v>
      </c>
      <c r="D115" s="3" t="s">
        <v>317</v>
      </c>
      <c r="E115" s="3">
        <v>345</v>
      </c>
      <c r="G115" s="57"/>
    </row>
    <row r="116" spans="1:7" ht="12.75" x14ac:dyDescent="0.2">
      <c r="A116" s="3">
        <v>18</v>
      </c>
      <c r="B116" s="4" t="s">
        <v>46</v>
      </c>
      <c r="C116" s="3" t="s">
        <v>125</v>
      </c>
      <c r="D116" s="3" t="s">
        <v>14</v>
      </c>
      <c r="E116" s="3">
        <v>12</v>
      </c>
      <c r="G116" s="57"/>
    </row>
    <row r="117" spans="1:7" ht="12.75" x14ac:dyDescent="0.2">
      <c r="A117" s="3">
        <v>18</v>
      </c>
      <c r="B117" s="4" t="s">
        <v>46</v>
      </c>
      <c r="C117" s="3" t="s">
        <v>125</v>
      </c>
      <c r="D117" s="3" t="s">
        <v>138</v>
      </c>
      <c r="E117" s="3">
        <v>29</v>
      </c>
      <c r="F117">
        <f>SUM(E110:E117)</f>
        <v>1882</v>
      </c>
      <c r="G117" s="57"/>
    </row>
    <row r="118" spans="1:7" ht="12.75" x14ac:dyDescent="0.2">
      <c r="A118" s="3">
        <v>19</v>
      </c>
      <c r="B118" s="4" t="s">
        <v>47</v>
      </c>
      <c r="C118" s="3" t="s">
        <v>125</v>
      </c>
      <c r="D118" s="3" t="s">
        <v>3</v>
      </c>
      <c r="E118" s="3">
        <v>467</v>
      </c>
      <c r="G118" s="59">
        <v>1448</v>
      </c>
    </row>
    <row r="119" spans="1:7" ht="12.75" x14ac:dyDescent="0.2">
      <c r="A119" s="3">
        <v>19</v>
      </c>
      <c r="B119" s="4" t="s">
        <v>47</v>
      </c>
      <c r="C119" s="3" t="s">
        <v>125</v>
      </c>
      <c r="D119" s="3" t="s">
        <v>16</v>
      </c>
      <c r="E119" s="3">
        <v>26</v>
      </c>
      <c r="G119" s="57"/>
    </row>
    <row r="120" spans="1:7" ht="12.75" x14ac:dyDescent="0.2">
      <c r="A120" s="3">
        <v>19</v>
      </c>
      <c r="B120" s="4" t="s">
        <v>47</v>
      </c>
      <c r="C120" s="3" t="s">
        <v>125</v>
      </c>
      <c r="D120" s="3" t="s">
        <v>149</v>
      </c>
      <c r="E120" s="3">
        <v>51</v>
      </c>
      <c r="G120" s="57"/>
    </row>
    <row r="121" spans="1:7" ht="12.75" x14ac:dyDescent="0.2">
      <c r="A121" s="3">
        <v>19</v>
      </c>
      <c r="B121" s="4" t="s">
        <v>47</v>
      </c>
      <c r="C121" s="3" t="s">
        <v>125</v>
      </c>
      <c r="D121" s="3" t="s">
        <v>129</v>
      </c>
      <c r="E121" s="3">
        <v>11</v>
      </c>
      <c r="G121" s="57"/>
    </row>
    <row r="122" spans="1:7" ht="12.75" x14ac:dyDescent="0.2">
      <c r="A122" s="3">
        <v>19</v>
      </c>
      <c r="B122" s="4" t="s">
        <v>47</v>
      </c>
      <c r="C122" s="3" t="s">
        <v>125</v>
      </c>
      <c r="D122" s="3" t="s">
        <v>132</v>
      </c>
      <c r="E122" s="3">
        <v>494</v>
      </c>
      <c r="G122" s="57"/>
    </row>
    <row r="123" spans="1:7" ht="12.75" x14ac:dyDescent="0.2">
      <c r="A123" s="3">
        <v>19</v>
      </c>
      <c r="B123" s="4" t="s">
        <v>47</v>
      </c>
      <c r="C123" s="3" t="s">
        <v>125</v>
      </c>
      <c r="D123" s="3" t="s">
        <v>317</v>
      </c>
      <c r="E123" s="3">
        <v>130</v>
      </c>
      <c r="G123" s="57"/>
    </row>
    <row r="124" spans="1:7" ht="12.75" x14ac:dyDescent="0.2">
      <c r="A124" s="3">
        <v>19</v>
      </c>
      <c r="B124" s="4" t="s">
        <v>47</v>
      </c>
      <c r="C124" s="3" t="s">
        <v>125</v>
      </c>
      <c r="D124" s="3" t="s">
        <v>14</v>
      </c>
      <c r="E124" s="3">
        <v>19</v>
      </c>
      <c r="G124" s="57"/>
    </row>
    <row r="125" spans="1:7" ht="12.75" x14ac:dyDescent="0.2">
      <c r="A125" s="3">
        <v>19</v>
      </c>
      <c r="B125" s="4" t="s">
        <v>47</v>
      </c>
      <c r="C125" s="3" t="s">
        <v>125</v>
      </c>
      <c r="D125" s="3" t="s">
        <v>138</v>
      </c>
      <c r="E125" s="3">
        <v>0</v>
      </c>
      <c r="F125">
        <f>SUM(E118:E125)</f>
        <v>1198</v>
      </c>
      <c r="G125" s="57"/>
    </row>
    <row r="126" spans="1:7" ht="12.75" x14ac:dyDescent="0.2">
      <c r="A126" s="2" t="s">
        <v>48</v>
      </c>
      <c r="B126" s="4" t="s">
        <v>49</v>
      </c>
      <c r="C126" s="3" t="s">
        <v>125</v>
      </c>
      <c r="D126" s="3" t="s">
        <v>3</v>
      </c>
      <c r="E126" s="3">
        <v>67</v>
      </c>
      <c r="G126" s="59">
        <v>137</v>
      </c>
    </row>
    <row r="127" spans="1:7" ht="12.75" x14ac:dyDescent="0.2">
      <c r="A127" s="2" t="s">
        <v>48</v>
      </c>
      <c r="B127" s="4" t="s">
        <v>49</v>
      </c>
      <c r="C127" s="3" t="s">
        <v>125</v>
      </c>
      <c r="D127" s="3" t="s">
        <v>16</v>
      </c>
      <c r="E127" s="3">
        <v>2</v>
      </c>
      <c r="G127" s="57"/>
    </row>
    <row r="128" spans="1:7" ht="12.75" x14ac:dyDescent="0.2">
      <c r="A128" s="2" t="s">
        <v>48</v>
      </c>
      <c r="B128" s="4" t="s">
        <v>49</v>
      </c>
      <c r="C128" s="3" t="s">
        <v>125</v>
      </c>
      <c r="D128" s="3" t="s">
        <v>149</v>
      </c>
      <c r="E128" s="3">
        <v>12</v>
      </c>
      <c r="G128" s="57"/>
    </row>
    <row r="129" spans="1:7" ht="12.75" x14ac:dyDescent="0.2">
      <c r="A129" s="2" t="s">
        <v>48</v>
      </c>
      <c r="B129" s="4" t="s">
        <v>49</v>
      </c>
      <c r="C129" s="3" t="s">
        <v>125</v>
      </c>
      <c r="D129" s="3" t="s">
        <v>129</v>
      </c>
      <c r="E129" s="3">
        <v>4</v>
      </c>
      <c r="G129" s="57"/>
    </row>
    <row r="130" spans="1:7" ht="12.75" x14ac:dyDescent="0.2">
      <c r="A130" s="2" t="s">
        <v>48</v>
      </c>
      <c r="B130" s="4" t="s">
        <v>49</v>
      </c>
      <c r="C130" s="3" t="s">
        <v>125</v>
      </c>
      <c r="D130" s="3" t="s">
        <v>132</v>
      </c>
      <c r="E130" s="3">
        <v>12</v>
      </c>
      <c r="G130" s="57"/>
    </row>
    <row r="131" spans="1:7" ht="12.75" x14ac:dyDescent="0.2">
      <c r="A131" s="2" t="s">
        <v>48</v>
      </c>
      <c r="B131" s="4" t="s">
        <v>49</v>
      </c>
      <c r="C131" s="3" t="s">
        <v>125</v>
      </c>
      <c r="D131" s="3" t="s">
        <v>317</v>
      </c>
      <c r="E131" s="3">
        <v>20</v>
      </c>
      <c r="G131" s="57"/>
    </row>
    <row r="132" spans="1:7" ht="12.75" x14ac:dyDescent="0.2">
      <c r="A132" s="2" t="s">
        <v>48</v>
      </c>
      <c r="B132" s="4" t="s">
        <v>49</v>
      </c>
      <c r="C132" s="3" t="s">
        <v>125</v>
      </c>
      <c r="D132" s="3" t="s">
        <v>14</v>
      </c>
      <c r="E132" s="3">
        <v>1</v>
      </c>
      <c r="G132" s="57"/>
    </row>
    <row r="133" spans="1:7" ht="12.75" x14ac:dyDescent="0.2">
      <c r="A133" s="2" t="s">
        <v>48</v>
      </c>
      <c r="B133" s="4" t="s">
        <v>49</v>
      </c>
      <c r="C133" s="3" t="s">
        <v>125</v>
      </c>
      <c r="D133" s="3" t="s">
        <v>138</v>
      </c>
      <c r="E133" s="3">
        <v>0</v>
      </c>
      <c r="F133">
        <f>SUM(E126:E133)</f>
        <v>118</v>
      </c>
      <c r="G133" s="57"/>
    </row>
    <row r="134" spans="1:7" ht="12.75" x14ac:dyDescent="0.2">
      <c r="A134" s="3">
        <v>20</v>
      </c>
      <c r="B134" s="4" t="s">
        <v>50</v>
      </c>
      <c r="C134" s="3" t="s">
        <v>125</v>
      </c>
      <c r="D134" s="3" t="s">
        <v>3</v>
      </c>
      <c r="E134" s="3">
        <v>81</v>
      </c>
      <c r="G134" s="59">
        <v>315</v>
      </c>
    </row>
    <row r="135" spans="1:7" ht="12.75" x14ac:dyDescent="0.2">
      <c r="A135" s="3">
        <v>20</v>
      </c>
      <c r="B135" s="4" t="s">
        <v>50</v>
      </c>
      <c r="C135" s="3" t="s">
        <v>125</v>
      </c>
      <c r="D135" s="3" t="s">
        <v>16</v>
      </c>
      <c r="E135" s="3">
        <v>8</v>
      </c>
      <c r="G135" s="57"/>
    </row>
    <row r="136" spans="1:7" ht="12.75" x14ac:dyDescent="0.2">
      <c r="A136" s="3">
        <v>20</v>
      </c>
      <c r="B136" s="4" t="s">
        <v>50</v>
      </c>
      <c r="C136" s="3" t="s">
        <v>125</v>
      </c>
      <c r="D136" s="3" t="s">
        <v>149</v>
      </c>
      <c r="E136" s="3">
        <v>7</v>
      </c>
      <c r="G136" s="57"/>
    </row>
    <row r="137" spans="1:7" ht="12.75" x14ac:dyDescent="0.2">
      <c r="A137" s="3">
        <v>20</v>
      </c>
      <c r="B137" s="4" t="s">
        <v>50</v>
      </c>
      <c r="C137" s="3" t="s">
        <v>125</v>
      </c>
      <c r="D137" s="3" t="s">
        <v>129</v>
      </c>
      <c r="E137" s="3">
        <v>7</v>
      </c>
      <c r="G137" s="57"/>
    </row>
    <row r="138" spans="1:7" ht="12.75" x14ac:dyDescent="0.2">
      <c r="A138" s="3">
        <v>20</v>
      </c>
      <c r="B138" s="4" t="s">
        <v>50</v>
      </c>
      <c r="C138" s="3" t="s">
        <v>125</v>
      </c>
      <c r="D138" s="3" t="s">
        <v>132</v>
      </c>
      <c r="E138" s="3">
        <v>99</v>
      </c>
      <c r="G138" s="57"/>
    </row>
    <row r="139" spans="1:7" ht="12.75" x14ac:dyDescent="0.2">
      <c r="A139" s="3">
        <v>20</v>
      </c>
      <c r="B139" s="4" t="s">
        <v>50</v>
      </c>
      <c r="C139" s="3" t="s">
        <v>125</v>
      </c>
      <c r="D139" s="3" t="s">
        <v>317</v>
      </c>
      <c r="E139" s="3">
        <v>68</v>
      </c>
      <c r="G139" s="57"/>
    </row>
    <row r="140" spans="1:7" ht="12.75" x14ac:dyDescent="0.2">
      <c r="A140" s="3">
        <v>20</v>
      </c>
      <c r="B140" s="4" t="s">
        <v>50</v>
      </c>
      <c r="C140" s="3" t="s">
        <v>125</v>
      </c>
      <c r="D140" s="3" t="s">
        <v>14</v>
      </c>
      <c r="E140" s="3">
        <v>5</v>
      </c>
      <c r="G140" s="57"/>
    </row>
    <row r="141" spans="1:7" ht="12.75" x14ac:dyDescent="0.2">
      <c r="A141" s="3">
        <v>20</v>
      </c>
      <c r="B141" s="4" t="s">
        <v>50</v>
      </c>
      <c r="C141" s="3" t="s">
        <v>125</v>
      </c>
      <c r="D141" s="3" t="s">
        <v>138</v>
      </c>
      <c r="E141" s="3">
        <v>2</v>
      </c>
      <c r="F141">
        <f>SUM(E134:E141)</f>
        <v>277</v>
      </c>
      <c r="G141" s="57"/>
    </row>
    <row r="142" spans="1:7" ht="12.75" x14ac:dyDescent="0.2">
      <c r="A142" s="3">
        <v>21</v>
      </c>
      <c r="B142" s="4" t="s">
        <v>51</v>
      </c>
      <c r="C142" s="3" t="s">
        <v>125</v>
      </c>
      <c r="D142" s="3" t="s">
        <v>3</v>
      </c>
      <c r="E142" s="3">
        <v>209</v>
      </c>
      <c r="G142" s="59">
        <v>682</v>
      </c>
    </row>
    <row r="143" spans="1:7" ht="12.75" x14ac:dyDescent="0.2">
      <c r="A143" s="3">
        <v>21</v>
      </c>
      <c r="B143" s="4" t="s">
        <v>51</v>
      </c>
      <c r="C143" s="3" t="s">
        <v>125</v>
      </c>
      <c r="D143" s="3" t="s">
        <v>16</v>
      </c>
      <c r="E143" s="3">
        <v>14</v>
      </c>
      <c r="G143" s="57"/>
    </row>
    <row r="144" spans="1:7" ht="12.75" x14ac:dyDescent="0.2">
      <c r="A144" s="3">
        <v>21</v>
      </c>
      <c r="B144" s="4" t="s">
        <v>51</v>
      </c>
      <c r="C144" s="3" t="s">
        <v>125</v>
      </c>
      <c r="D144" s="3" t="s">
        <v>149</v>
      </c>
      <c r="E144" s="3">
        <v>14</v>
      </c>
      <c r="G144" s="57"/>
    </row>
    <row r="145" spans="1:7" ht="12.75" x14ac:dyDescent="0.2">
      <c r="A145" s="3">
        <v>21</v>
      </c>
      <c r="B145" s="4" t="s">
        <v>51</v>
      </c>
      <c r="C145" s="3" t="s">
        <v>125</v>
      </c>
      <c r="D145" s="3" t="s">
        <v>129</v>
      </c>
      <c r="E145" s="3">
        <v>9</v>
      </c>
      <c r="G145" s="57"/>
    </row>
    <row r="146" spans="1:7" ht="12.75" x14ac:dyDescent="0.2">
      <c r="A146" s="3">
        <v>21</v>
      </c>
      <c r="B146" s="4" t="s">
        <v>51</v>
      </c>
      <c r="C146" s="3" t="s">
        <v>125</v>
      </c>
      <c r="D146" s="3" t="s">
        <v>132</v>
      </c>
      <c r="E146" s="3">
        <v>97</v>
      </c>
      <c r="G146" s="57"/>
    </row>
    <row r="147" spans="1:7" ht="12.75" x14ac:dyDescent="0.2">
      <c r="A147" s="3">
        <v>21</v>
      </c>
      <c r="B147" s="4" t="s">
        <v>51</v>
      </c>
      <c r="C147" s="3" t="s">
        <v>125</v>
      </c>
      <c r="D147" s="3" t="s">
        <v>317</v>
      </c>
      <c r="E147" s="3">
        <v>190</v>
      </c>
      <c r="G147" s="57"/>
    </row>
    <row r="148" spans="1:7" ht="12.75" x14ac:dyDescent="0.2">
      <c r="A148" s="3">
        <v>21</v>
      </c>
      <c r="B148" s="4" t="s">
        <v>51</v>
      </c>
      <c r="C148" s="3" t="s">
        <v>125</v>
      </c>
      <c r="D148" s="3" t="s">
        <v>14</v>
      </c>
      <c r="E148" s="3">
        <v>3</v>
      </c>
      <c r="G148" s="57"/>
    </row>
    <row r="149" spans="1:7" ht="12.75" x14ac:dyDescent="0.2">
      <c r="A149" s="3">
        <v>21</v>
      </c>
      <c r="B149" s="4" t="s">
        <v>51</v>
      </c>
      <c r="C149" s="3" t="s">
        <v>125</v>
      </c>
      <c r="D149" s="3" t="s">
        <v>138</v>
      </c>
      <c r="E149" s="3">
        <v>6</v>
      </c>
      <c r="F149">
        <f>SUM(E142:E149)</f>
        <v>542</v>
      </c>
      <c r="G149" s="57"/>
    </row>
    <row r="150" spans="1:7" ht="12.75" x14ac:dyDescent="0.2">
      <c r="A150" s="3">
        <v>22</v>
      </c>
      <c r="B150" s="4" t="s">
        <v>52</v>
      </c>
      <c r="C150" s="3" t="s">
        <v>125</v>
      </c>
      <c r="D150" s="3" t="s">
        <v>3</v>
      </c>
      <c r="E150" s="3">
        <v>1354</v>
      </c>
      <c r="G150" s="59">
        <v>6508</v>
      </c>
    </row>
    <row r="151" spans="1:7" ht="12.75" x14ac:dyDescent="0.2">
      <c r="A151" s="3">
        <v>22</v>
      </c>
      <c r="B151" s="4" t="s">
        <v>52</v>
      </c>
      <c r="C151" s="3" t="s">
        <v>125</v>
      </c>
      <c r="D151" s="3" t="s">
        <v>16</v>
      </c>
      <c r="E151" s="3">
        <v>118</v>
      </c>
      <c r="G151" s="57"/>
    </row>
    <row r="152" spans="1:7" ht="12.75" x14ac:dyDescent="0.2">
      <c r="A152" s="3">
        <v>22</v>
      </c>
      <c r="B152" s="4" t="s">
        <v>52</v>
      </c>
      <c r="C152" s="3" t="s">
        <v>125</v>
      </c>
      <c r="D152" s="3" t="s">
        <v>149</v>
      </c>
      <c r="E152" s="3">
        <v>128</v>
      </c>
      <c r="G152" s="57"/>
    </row>
    <row r="153" spans="1:7" ht="12.75" x14ac:dyDescent="0.2">
      <c r="A153" s="3">
        <v>22</v>
      </c>
      <c r="B153" s="4" t="s">
        <v>52</v>
      </c>
      <c r="C153" s="3" t="s">
        <v>125</v>
      </c>
      <c r="D153" s="3" t="s">
        <v>129</v>
      </c>
      <c r="E153" s="3">
        <v>66</v>
      </c>
      <c r="G153" s="57"/>
    </row>
    <row r="154" spans="1:7" ht="12.75" x14ac:dyDescent="0.2">
      <c r="A154" s="3">
        <v>22</v>
      </c>
      <c r="B154" s="4" t="s">
        <v>52</v>
      </c>
      <c r="C154" s="3" t="s">
        <v>125</v>
      </c>
      <c r="D154" s="3" t="s">
        <v>132</v>
      </c>
      <c r="E154" s="3">
        <v>1663</v>
      </c>
      <c r="G154" s="57"/>
    </row>
    <row r="155" spans="1:7" ht="12.75" x14ac:dyDescent="0.2">
      <c r="A155" s="3">
        <v>22</v>
      </c>
      <c r="B155" s="4" t="s">
        <v>52</v>
      </c>
      <c r="C155" s="3" t="s">
        <v>125</v>
      </c>
      <c r="D155" s="3" t="s">
        <v>317</v>
      </c>
      <c r="E155" s="3">
        <v>1852</v>
      </c>
      <c r="G155" s="57"/>
    </row>
    <row r="156" spans="1:7" ht="12.75" x14ac:dyDescent="0.2">
      <c r="A156" s="3">
        <v>22</v>
      </c>
      <c r="B156" s="4" t="s">
        <v>52</v>
      </c>
      <c r="C156" s="3" t="s">
        <v>125</v>
      </c>
      <c r="D156" s="3" t="s">
        <v>14</v>
      </c>
      <c r="E156" s="3">
        <v>37</v>
      </c>
      <c r="G156" s="57"/>
    </row>
    <row r="157" spans="1:7" ht="12.75" x14ac:dyDescent="0.2">
      <c r="A157" s="3">
        <v>22</v>
      </c>
      <c r="B157" s="4" t="s">
        <v>52</v>
      </c>
      <c r="C157" s="3" t="s">
        <v>125</v>
      </c>
      <c r="D157" s="3" t="s">
        <v>138</v>
      </c>
      <c r="E157" s="3">
        <v>78</v>
      </c>
      <c r="F157">
        <f>SUM(E150:E157)</f>
        <v>5296</v>
      </c>
      <c r="G157" s="57"/>
    </row>
    <row r="158" spans="1:7" ht="12.75" x14ac:dyDescent="0.2">
      <c r="A158" s="3">
        <v>23</v>
      </c>
      <c r="B158" s="4" t="s">
        <v>53</v>
      </c>
      <c r="C158" s="3" t="s">
        <v>125</v>
      </c>
      <c r="D158" s="3" t="s">
        <v>3</v>
      </c>
      <c r="E158" s="3">
        <v>279</v>
      </c>
      <c r="G158" s="59">
        <v>650</v>
      </c>
    </row>
    <row r="159" spans="1:7" ht="12.75" x14ac:dyDescent="0.2">
      <c r="A159" s="3">
        <v>23</v>
      </c>
      <c r="B159" s="4" t="s">
        <v>53</v>
      </c>
      <c r="C159" s="3" t="s">
        <v>125</v>
      </c>
      <c r="D159" s="3" t="s">
        <v>16</v>
      </c>
      <c r="E159" s="3">
        <v>7</v>
      </c>
      <c r="G159" s="57"/>
    </row>
    <row r="160" spans="1:7" ht="12.75" x14ac:dyDescent="0.2">
      <c r="A160" s="3">
        <v>23</v>
      </c>
      <c r="B160" s="4" t="s">
        <v>53</v>
      </c>
      <c r="C160" s="3" t="s">
        <v>125</v>
      </c>
      <c r="D160" s="3" t="s">
        <v>149</v>
      </c>
      <c r="E160" s="3">
        <v>17</v>
      </c>
      <c r="G160" s="57"/>
    </row>
    <row r="161" spans="1:7" ht="12.75" x14ac:dyDescent="0.2">
      <c r="A161" s="3">
        <v>23</v>
      </c>
      <c r="B161" s="4" t="s">
        <v>53</v>
      </c>
      <c r="C161" s="3" t="s">
        <v>125</v>
      </c>
      <c r="D161" s="3" t="s">
        <v>129</v>
      </c>
      <c r="E161" s="3">
        <v>8</v>
      </c>
      <c r="G161" s="57"/>
    </row>
    <row r="162" spans="1:7" ht="12.75" x14ac:dyDescent="0.2">
      <c r="A162" s="3">
        <v>23</v>
      </c>
      <c r="B162" s="4" t="s">
        <v>53</v>
      </c>
      <c r="C162" s="3" t="s">
        <v>125</v>
      </c>
      <c r="D162" s="3" t="s">
        <v>132</v>
      </c>
      <c r="E162" s="3">
        <v>125</v>
      </c>
      <c r="G162" s="57"/>
    </row>
    <row r="163" spans="1:7" ht="12.75" x14ac:dyDescent="0.2">
      <c r="A163" s="3">
        <v>23</v>
      </c>
      <c r="B163" s="4" t="s">
        <v>53</v>
      </c>
      <c r="C163" s="3" t="s">
        <v>125</v>
      </c>
      <c r="D163" s="3" t="s">
        <v>317</v>
      </c>
      <c r="E163" s="3">
        <v>92</v>
      </c>
      <c r="G163" s="57"/>
    </row>
    <row r="164" spans="1:7" ht="12.75" x14ac:dyDescent="0.2">
      <c r="A164" s="3">
        <v>23</v>
      </c>
      <c r="B164" s="4" t="s">
        <v>53</v>
      </c>
      <c r="C164" s="3" t="s">
        <v>125</v>
      </c>
      <c r="D164" s="3" t="s">
        <v>14</v>
      </c>
      <c r="E164" s="3">
        <v>6</v>
      </c>
      <c r="G164" s="57"/>
    </row>
    <row r="165" spans="1:7" ht="12.75" x14ac:dyDescent="0.2">
      <c r="A165" s="3">
        <v>23</v>
      </c>
      <c r="B165" s="4" t="s">
        <v>53</v>
      </c>
      <c r="C165" s="3" t="s">
        <v>125</v>
      </c>
      <c r="D165" s="3" t="s">
        <v>138</v>
      </c>
      <c r="E165" s="3">
        <v>7</v>
      </c>
      <c r="F165">
        <f>SUM(E158:E165)</f>
        <v>541</v>
      </c>
      <c r="G165" s="57"/>
    </row>
    <row r="166" spans="1:7" ht="12.75" x14ac:dyDescent="0.2">
      <c r="A166" s="3">
        <v>24</v>
      </c>
      <c r="B166" s="4" t="s">
        <v>54</v>
      </c>
      <c r="C166" s="3" t="s">
        <v>125</v>
      </c>
      <c r="D166" s="3" t="s">
        <v>3</v>
      </c>
      <c r="E166" s="3">
        <v>188</v>
      </c>
      <c r="G166" s="59">
        <v>374</v>
      </c>
    </row>
    <row r="167" spans="1:7" ht="12.75" x14ac:dyDescent="0.2">
      <c r="A167" s="3">
        <v>24</v>
      </c>
      <c r="B167" s="4" t="s">
        <v>54</v>
      </c>
      <c r="C167" s="3" t="s">
        <v>125</v>
      </c>
      <c r="D167" s="3" t="s">
        <v>16</v>
      </c>
      <c r="E167" s="3">
        <v>4</v>
      </c>
      <c r="G167" s="57"/>
    </row>
    <row r="168" spans="1:7" ht="12.75" x14ac:dyDescent="0.2">
      <c r="A168" s="3">
        <v>24</v>
      </c>
      <c r="B168" s="4" t="s">
        <v>54</v>
      </c>
      <c r="C168" s="3" t="s">
        <v>125</v>
      </c>
      <c r="D168" s="3" t="s">
        <v>149</v>
      </c>
      <c r="E168" s="3">
        <v>11</v>
      </c>
      <c r="G168" s="57"/>
    </row>
    <row r="169" spans="1:7" ht="12.75" x14ac:dyDescent="0.2">
      <c r="A169" s="3">
        <v>24</v>
      </c>
      <c r="B169" s="4" t="s">
        <v>54</v>
      </c>
      <c r="C169" s="3" t="s">
        <v>125</v>
      </c>
      <c r="D169" s="3" t="s">
        <v>129</v>
      </c>
      <c r="E169" s="3">
        <v>4</v>
      </c>
      <c r="G169" s="57"/>
    </row>
    <row r="170" spans="1:7" ht="12.75" x14ac:dyDescent="0.2">
      <c r="A170" s="3">
        <v>24</v>
      </c>
      <c r="B170" s="4" t="s">
        <v>54</v>
      </c>
      <c r="C170" s="3" t="s">
        <v>125</v>
      </c>
      <c r="D170" s="3" t="s">
        <v>132</v>
      </c>
      <c r="E170" s="3">
        <v>54</v>
      </c>
      <c r="G170" s="57"/>
    </row>
    <row r="171" spans="1:7" ht="12.75" x14ac:dyDescent="0.2">
      <c r="A171" s="3">
        <v>24</v>
      </c>
      <c r="B171" s="4" t="s">
        <v>54</v>
      </c>
      <c r="C171" s="3" t="s">
        <v>125</v>
      </c>
      <c r="D171" s="3" t="s">
        <v>317</v>
      </c>
      <c r="E171" s="3">
        <v>36</v>
      </c>
      <c r="G171" s="57"/>
    </row>
    <row r="172" spans="1:7" ht="12.75" x14ac:dyDescent="0.2">
      <c r="A172" s="3">
        <v>24</v>
      </c>
      <c r="B172" s="4" t="s">
        <v>54</v>
      </c>
      <c r="C172" s="3" t="s">
        <v>125</v>
      </c>
      <c r="D172" s="3" t="s">
        <v>14</v>
      </c>
      <c r="E172" s="3">
        <v>6</v>
      </c>
      <c r="G172" s="57"/>
    </row>
    <row r="173" spans="1:7" ht="12.75" x14ac:dyDescent="0.2">
      <c r="A173" s="3">
        <v>24</v>
      </c>
      <c r="B173" s="4" t="s">
        <v>54</v>
      </c>
      <c r="C173" s="3" t="s">
        <v>125</v>
      </c>
      <c r="D173" s="3" t="s">
        <v>138</v>
      </c>
      <c r="E173" s="3">
        <v>4</v>
      </c>
      <c r="F173">
        <f>SUM(E166:E173)</f>
        <v>307</v>
      </c>
      <c r="G173" s="57"/>
    </row>
    <row r="174" spans="1:7" ht="12.75" x14ac:dyDescent="0.2">
      <c r="A174" s="3">
        <v>25</v>
      </c>
      <c r="B174" s="4" t="s">
        <v>55</v>
      </c>
      <c r="C174" s="3" t="s">
        <v>125</v>
      </c>
      <c r="D174" s="3" t="s">
        <v>3</v>
      </c>
      <c r="E174" s="3">
        <v>378</v>
      </c>
      <c r="G174" s="59">
        <v>708</v>
      </c>
    </row>
    <row r="175" spans="1:7" ht="12.75" x14ac:dyDescent="0.2">
      <c r="A175" s="3">
        <v>25</v>
      </c>
      <c r="B175" s="4" t="s">
        <v>55</v>
      </c>
      <c r="C175" s="3" t="s">
        <v>125</v>
      </c>
      <c r="D175" s="3" t="s">
        <v>16</v>
      </c>
      <c r="E175" s="3">
        <v>9</v>
      </c>
      <c r="G175" s="57"/>
    </row>
    <row r="176" spans="1:7" ht="12.75" x14ac:dyDescent="0.2">
      <c r="A176" s="3">
        <v>25</v>
      </c>
      <c r="B176" s="4" t="s">
        <v>55</v>
      </c>
      <c r="C176" s="3" t="s">
        <v>125</v>
      </c>
      <c r="D176" s="3" t="s">
        <v>149</v>
      </c>
      <c r="E176" s="3">
        <v>17</v>
      </c>
      <c r="G176" s="57"/>
    </row>
    <row r="177" spans="1:7" ht="12.75" x14ac:dyDescent="0.2">
      <c r="A177" s="3">
        <v>25</v>
      </c>
      <c r="B177" s="4" t="s">
        <v>55</v>
      </c>
      <c r="C177" s="3" t="s">
        <v>125</v>
      </c>
      <c r="D177" s="3" t="s">
        <v>129</v>
      </c>
      <c r="E177" s="3">
        <v>9</v>
      </c>
      <c r="G177" s="57"/>
    </row>
    <row r="178" spans="1:7" ht="12.75" x14ac:dyDescent="0.2">
      <c r="A178" s="3">
        <v>25</v>
      </c>
      <c r="B178" s="4" t="s">
        <v>55</v>
      </c>
      <c r="C178" s="3" t="s">
        <v>125</v>
      </c>
      <c r="D178" s="3" t="s">
        <v>132</v>
      </c>
      <c r="E178" s="3">
        <v>40</v>
      </c>
      <c r="G178" s="57"/>
    </row>
    <row r="179" spans="1:7" ht="12.75" x14ac:dyDescent="0.2">
      <c r="A179" s="3">
        <v>25</v>
      </c>
      <c r="B179" s="4" t="s">
        <v>55</v>
      </c>
      <c r="C179" s="3" t="s">
        <v>125</v>
      </c>
      <c r="D179" s="3" t="s">
        <v>317</v>
      </c>
      <c r="E179" s="3">
        <v>66</v>
      </c>
      <c r="G179" s="57"/>
    </row>
    <row r="180" spans="1:7" ht="12.75" x14ac:dyDescent="0.2">
      <c r="A180" s="3">
        <v>25</v>
      </c>
      <c r="B180" s="4" t="s">
        <v>55</v>
      </c>
      <c r="C180" s="3" t="s">
        <v>125</v>
      </c>
      <c r="D180" s="3" t="s">
        <v>14</v>
      </c>
      <c r="E180" s="3">
        <v>9</v>
      </c>
      <c r="G180" s="57"/>
    </row>
    <row r="181" spans="1:7" ht="12.75" x14ac:dyDescent="0.2">
      <c r="A181" s="3">
        <v>25</v>
      </c>
      <c r="B181" s="4" t="s">
        <v>55</v>
      </c>
      <c r="C181" s="3" t="s">
        <v>125</v>
      </c>
      <c r="D181" s="3" t="s">
        <v>138</v>
      </c>
      <c r="E181" s="3">
        <v>10</v>
      </c>
      <c r="F181">
        <f>SUM(E174:E181)</f>
        <v>538</v>
      </c>
      <c r="G181" s="57"/>
    </row>
    <row r="182" spans="1:7" ht="12.75" x14ac:dyDescent="0.2">
      <c r="A182" s="3">
        <v>26</v>
      </c>
      <c r="B182" s="4" t="s">
        <v>56</v>
      </c>
      <c r="C182" s="3" t="s">
        <v>125</v>
      </c>
      <c r="D182" s="3" t="s">
        <v>3</v>
      </c>
      <c r="E182" s="3">
        <v>283</v>
      </c>
      <c r="G182" s="59">
        <v>500</v>
      </c>
    </row>
    <row r="183" spans="1:7" ht="12.75" x14ac:dyDescent="0.2">
      <c r="A183" s="3">
        <v>26</v>
      </c>
      <c r="B183" s="4" t="s">
        <v>56</v>
      </c>
      <c r="C183" s="3" t="s">
        <v>125</v>
      </c>
      <c r="D183" s="3" t="s">
        <v>16</v>
      </c>
      <c r="E183" s="3">
        <v>2</v>
      </c>
      <c r="G183" s="57"/>
    </row>
    <row r="184" spans="1:7" ht="12.75" x14ac:dyDescent="0.2">
      <c r="A184" s="3">
        <v>26</v>
      </c>
      <c r="B184" s="4" t="s">
        <v>56</v>
      </c>
      <c r="C184" s="3" t="s">
        <v>125</v>
      </c>
      <c r="D184" s="3" t="s">
        <v>149</v>
      </c>
      <c r="E184" s="3">
        <v>12</v>
      </c>
      <c r="G184" s="57"/>
    </row>
    <row r="185" spans="1:7" ht="12.75" x14ac:dyDescent="0.2">
      <c r="A185" s="3">
        <v>26</v>
      </c>
      <c r="B185" s="4" t="s">
        <v>56</v>
      </c>
      <c r="C185" s="3" t="s">
        <v>125</v>
      </c>
      <c r="D185" s="3" t="s">
        <v>129</v>
      </c>
      <c r="E185" s="3">
        <v>3</v>
      </c>
      <c r="G185" s="57"/>
    </row>
    <row r="186" spans="1:7" ht="12.75" x14ac:dyDescent="0.2">
      <c r="A186" s="3">
        <v>26</v>
      </c>
      <c r="B186" s="4" t="s">
        <v>56</v>
      </c>
      <c r="C186" s="3" t="s">
        <v>125</v>
      </c>
      <c r="D186" s="3" t="s">
        <v>132</v>
      </c>
      <c r="E186" s="3">
        <v>83</v>
      </c>
      <c r="G186" s="57"/>
    </row>
    <row r="187" spans="1:7" ht="12.75" x14ac:dyDescent="0.2">
      <c r="A187" s="3">
        <v>26</v>
      </c>
      <c r="B187" s="4" t="s">
        <v>56</v>
      </c>
      <c r="C187" s="3" t="s">
        <v>125</v>
      </c>
      <c r="D187" s="3" t="s">
        <v>317</v>
      </c>
      <c r="E187" s="3">
        <v>29</v>
      </c>
      <c r="G187" s="57"/>
    </row>
    <row r="188" spans="1:7" ht="12.75" x14ac:dyDescent="0.2">
      <c r="A188" s="3">
        <v>26</v>
      </c>
      <c r="B188" s="4" t="s">
        <v>56</v>
      </c>
      <c r="C188" s="3" t="s">
        <v>125</v>
      </c>
      <c r="D188" s="3" t="s">
        <v>14</v>
      </c>
      <c r="E188" s="3">
        <v>6</v>
      </c>
      <c r="G188" s="57"/>
    </row>
    <row r="189" spans="1:7" ht="12.75" x14ac:dyDescent="0.2">
      <c r="A189" s="3">
        <v>26</v>
      </c>
      <c r="B189" s="4" t="s">
        <v>56</v>
      </c>
      <c r="C189" s="3" t="s">
        <v>125</v>
      </c>
      <c r="D189" s="3" t="s">
        <v>138</v>
      </c>
      <c r="E189" s="3">
        <v>1</v>
      </c>
      <c r="F189">
        <f>SUM(E182:E189)</f>
        <v>419</v>
      </c>
      <c r="G189" s="57"/>
    </row>
    <row r="190" spans="1:7" ht="12.75" x14ac:dyDescent="0.2">
      <c r="A190" s="3">
        <v>27</v>
      </c>
      <c r="B190" s="4" t="s">
        <v>57</v>
      </c>
      <c r="C190" s="3" t="s">
        <v>125</v>
      </c>
      <c r="D190" s="3" t="s">
        <v>3</v>
      </c>
      <c r="E190" s="3">
        <v>3009</v>
      </c>
      <c r="G190" s="59">
        <v>8426</v>
      </c>
    </row>
    <row r="191" spans="1:7" ht="12.75" x14ac:dyDescent="0.2">
      <c r="A191" s="3">
        <v>27</v>
      </c>
      <c r="B191" s="4" t="s">
        <v>57</v>
      </c>
      <c r="C191" s="3" t="s">
        <v>125</v>
      </c>
      <c r="D191" s="3" t="s">
        <v>16</v>
      </c>
      <c r="E191" s="3">
        <v>159</v>
      </c>
      <c r="G191" s="57"/>
    </row>
    <row r="192" spans="1:7" ht="12.75" x14ac:dyDescent="0.2">
      <c r="A192" s="3">
        <v>27</v>
      </c>
      <c r="B192" s="4" t="s">
        <v>57</v>
      </c>
      <c r="C192" s="3" t="s">
        <v>125</v>
      </c>
      <c r="D192" s="3" t="s">
        <v>149</v>
      </c>
      <c r="E192" s="3">
        <v>234</v>
      </c>
      <c r="G192" s="57"/>
    </row>
    <row r="193" spans="1:7" ht="12.75" x14ac:dyDescent="0.2">
      <c r="A193" s="3">
        <v>27</v>
      </c>
      <c r="B193" s="4" t="s">
        <v>57</v>
      </c>
      <c r="C193" s="3" t="s">
        <v>125</v>
      </c>
      <c r="D193" s="3" t="s">
        <v>129</v>
      </c>
      <c r="E193" s="3">
        <v>169</v>
      </c>
      <c r="G193" s="57"/>
    </row>
    <row r="194" spans="1:7" ht="12.75" x14ac:dyDescent="0.2">
      <c r="A194" s="3">
        <v>27</v>
      </c>
      <c r="B194" s="4" t="s">
        <v>57</v>
      </c>
      <c r="C194" s="3" t="s">
        <v>125</v>
      </c>
      <c r="D194" s="3" t="s">
        <v>132</v>
      </c>
      <c r="E194" s="3">
        <v>2211</v>
      </c>
      <c r="G194" s="57"/>
    </row>
    <row r="195" spans="1:7" ht="12.75" x14ac:dyDescent="0.2">
      <c r="A195" s="3">
        <v>27</v>
      </c>
      <c r="B195" s="4" t="s">
        <v>57</v>
      </c>
      <c r="C195" s="3" t="s">
        <v>125</v>
      </c>
      <c r="D195" s="3" t="s">
        <v>317</v>
      </c>
      <c r="E195" s="3">
        <v>711</v>
      </c>
      <c r="G195" s="57"/>
    </row>
    <row r="196" spans="1:7" ht="12.75" x14ac:dyDescent="0.2">
      <c r="A196" s="3">
        <v>27</v>
      </c>
      <c r="B196" s="4" t="s">
        <v>57</v>
      </c>
      <c r="C196" s="3" t="s">
        <v>125</v>
      </c>
      <c r="D196" s="3" t="s">
        <v>14</v>
      </c>
      <c r="E196" s="3">
        <v>119</v>
      </c>
      <c r="G196" s="57"/>
    </row>
    <row r="197" spans="1:7" ht="12.75" x14ac:dyDescent="0.2">
      <c r="A197" s="3">
        <v>27</v>
      </c>
      <c r="B197" s="4" t="s">
        <v>57</v>
      </c>
      <c r="C197" s="3" t="s">
        <v>125</v>
      </c>
      <c r="D197" s="3" t="s">
        <v>138</v>
      </c>
      <c r="E197" s="3">
        <v>117</v>
      </c>
      <c r="F197">
        <f>SUM(E190:E197)</f>
        <v>6729</v>
      </c>
      <c r="G197" s="57"/>
    </row>
    <row r="198" spans="1:7" ht="12.75" x14ac:dyDescent="0.2">
      <c r="A198" s="3">
        <v>28</v>
      </c>
      <c r="B198" s="4" t="s">
        <v>58</v>
      </c>
      <c r="C198" s="3" t="s">
        <v>125</v>
      </c>
      <c r="D198" s="3" t="s">
        <v>3</v>
      </c>
      <c r="E198" s="3">
        <v>92</v>
      </c>
      <c r="G198" s="59">
        <v>358</v>
      </c>
    </row>
    <row r="199" spans="1:7" ht="12.75" x14ac:dyDescent="0.2">
      <c r="A199" s="3">
        <v>28</v>
      </c>
      <c r="B199" s="4" t="s">
        <v>58</v>
      </c>
      <c r="C199" s="3" t="s">
        <v>125</v>
      </c>
      <c r="D199" s="3" t="s">
        <v>16</v>
      </c>
      <c r="E199" s="3">
        <v>8</v>
      </c>
      <c r="G199" s="57"/>
    </row>
    <row r="200" spans="1:7" ht="12.75" x14ac:dyDescent="0.2">
      <c r="A200" s="3">
        <v>28</v>
      </c>
      <c r="B200" s="4" t="s">
        <v>58</v>
      </c>
      <c r="C200" s="3" t="s">
        <v>125</v>
      </c>
      <c r="D200" s="3" t="s">
        <v>149</v>
      </c>
      <c r="E200" s="3">
        <v>9</v>
      </c>
      <c r="G200" s="57"/>
    </row>
    <row r="201" spans="1:7" ht="12.75" x14ac:dyDescent="0.2">
      <c r="A201" s="3">
        <v>28</v>
      </c>
      <c r="B201" s="4" t="s">
        <v>58</v>
      </c>
      <c r="C201" s="3" t="s">
        <v>125</v>
      </c>
      <c r="D201" s="3" t="s">
        <v>129</v>
      </c>
      <c r="E201" s="3">
        <v>3</v>
      </c>
      <c r="G201" s="57"/>
    </row>
    <row r="202" spans="1:7" ht="12.75" x14ac:dyDescent="0.2">
      <c r="A202" s="3">
        <v>28</v>
      </c>
      <c r="B202" s="4" t="s">
        <v>58</v>
      </c>
      <c r="C202" s="3" t="s">
        <v>125</v>
      </c>
      <c r="D202" s="3" t="s">
        <v>132</v>
      </c>
      <c r="E202" s="3">
        <v>145</v>
      </c>
      <c r="G202" s="57"/>
    </row>
    <row r="203" spans="1:7" ht="12.75" x14ac:dyDescent="0.2">
      <c r="A203" s="3">
        <v>28</v>
      </c>
      <c r="B203" s="4" t="s">
        <v>58</v>
      </c>
      <c r="C203" s="3" t="s">
        <v>125</v>
      </c>
      <c r="D203" s="3" t="s">
        <v>317</v>
      </c>
      <c r="E203" s="3">
        <v>34</v>
      </c>
      <c r="G203" s="57"/>
    </row>
    <row r="204" spans="1:7" ht="12.75" x14ac:dyDescent="0.2">
      <c r="A204" s="3">
        <v>28</v>
      </c>
      <c r="B204" s="4" t="s">
        <v>58</v>
      </c>
      <c r="C204" s="3" t="s">
        <v>125</v>
      </c>
      <c r="D204" s="3" t="s">
        <v>14</v>
      </c>
      <c r="E204" s="3">
        <v>2</v>
      </c>
      <c r="G204" s="57"/>
    </row>
    <row r="205" spans="1:7" ht="12.75" x14ac:dyDescent="0.2">
      <c r="A205" s="3">
        <v>28</v>
      </c>
      <c r="B205" s="4" t="s">
        <v>58</v>
      </c>
      <c r="C205" s="3" t="s">
        <v>125</v>
      </c>
      <c r="D205" s="3" t="s">
        <v>138</v>
      </c>
      <c r="E205" s="3">
        <v>3</v>
      </c>
      <c r="F205">
        <f>SUM(E198:E205)</f>
        <v>296</v>
      </c>
      <c r="G205" s="57"/>
    </row>
    <row r="206" spans="1:7" ht="12.75" x14ac:dyDescent="0.2">
      <c r="A206" s="3">
        <v>29</v>
      </c>
      <c r="B206" s="4" t="s">
        <v>59</v>
      </c>
      <c r="C206" s="3" t="s">
        <v>125</v>
      </c>
      <c r="D206" s="3" t="s">
        <v>3</v>
      </c>
      <c r="E206" s="3">
        <v>199</v>
      </c>
      <c r="G206" s="59">
        <v>488</v>
      </c>
    </row>
    <row r="207" spans="1:7" ht="12.75" x14ac:dyDescent="0.2">
      <c r="A207" s="3">
        <v>29</v>
      </c>
      <c r="B207" s="4" t="s">
        <v>59</v>
      </c>
      <c r="C207" s="3" t="s">
        <v>125</v>
      </c>
      <c r="D207" s="3" t="s">
        <v>16</v>
      </c>
      <c r="E207" s="3">
        <v>10</v>
      </c>
      <c r="G207" s="57"/>
    </row>
    <row r="208" spans="1:7" ht="12.75" x14ac:dyDescent="0.2">
      <c r="A208" s="3">
        <v>29</v>
      </c>
      <c r="B208" s="4" t="s">
        <v>59</v>
      </c>
      <c r="C208" s="3" t="s">
        <v>125</v>
      </c>
      <c r="D208" s="3" t="s">
        <v>149</v>
      </c>
      <c r="E208" s="3">
        <v>8</v>
      </c>
      <c r="G208" s="57"/>
    </row>
    <row r="209" spans="1:7" ht="12.75" x14ac:dyDescent="0.2">
      <c r="A209" s="3">
        <v>29</v>
      </c>
      <c r="B209" s="4" t="s">
        <v>59</v>
      </c>
      <c r="C209" s="3" t="s">
        <v>125</v>
      </c>
      <c r="D209" s="3" t="s">
        <v>129</v>
      </c>
      <c r="E209" s="3">
        <v>4</v>
      </c>
      <c r="G209" s="57"/>
    </row>
    <row r="210" spans="1:7" ht="12.75" x14ac:dyDescent="0.2">
      <c r="A210" s="3">
        <v>29</v>
      </c>
      <c r="B210" s="4" t="s">
        <v>59</v>
      </c>
      <c r="C210" s="3" t="s">
        <v>125</v>
      </c>
      <c r="D210" s="3" t="s">
        <v>132</v>
      </c>
      <c r="E210" s="3">
        <v>138</v>
      </c>
      <c r="G210" s="57"/>
    </row>
    <row r="211" spans="1:7" ht="12.75" x14ac:dyDescent="0.2">
      <c r="A211" s="3">
        <v>29</v>
      </c>
      <c r="B211" s="4" t="s">
        <v>59</v>
      </c>
      <c r="C211" s="3" t="s">
        <v>125</v>
      </c>
      <c r="D211" s="3" t="s">
        <v>317</v>
      </c>
      <c r="E211" s="3">
        <v>37</v>
      </c>
      <c r="G211" s="57"/>
    </row>
    <row r="212" spans="1:7" ht="12.75" x14ac:dyDescent="0.2">
      <c r="A212" s="3">
        <v>29</v>
      </c>
      <c r="B212" s="4" t="s">
        <v>59</v>
      </c>
      <c r="C212" s="3" t="s">
        <v>125</v>
      </c>
      <c r="D212" s="3" t="s">
        <v>14</v>
      </c>
      <c r="E212" s="3">
        <v>2</v>
      </c>
      <c r="G212" s="57"/>
    </row>
    <row r="213" spans="1:7" ht="12.75" x14ac:dyDescent="0.2">
      <c r="A213" s="3">
        <v>29</v>
      </c>
      <c r="B213" s="4" t="s">
        <v>59</v>
      </c>
      <c r="C213" s="3" t="s">
        <v>125</v>
      </c>
      <c r="D213" s="3" t="s">
        <v>138</v>
      </c>
      <c r="E213" s="3">
        <v>8</v>
      </c>
      <c r="F213">
        <f>SUM(E206:E213)</f>
        <v>406</v>
      </c>
      <c r="G213" s="57"/>
    </row>
    <row r="214" spans="1:7" ht="12.75" x14ac:dyDescent="0.2">
      <c r="A214" s="3">
        <v>30</v>
      </c>
      <c r="B214" s="4" t="s">
        <v>60</v>
      </c>
      <c r="C214" s="3" t="s">
        <v>125</v>
      </c>
      <c r="D214" s="3" t="s">
        <v>3</v>
      </c>
      <c r="E214" s="3">
        <v>136</v>
      </c>
      <c r="G214" s="59">
        <v>247</v>
      </c>
    </row>
    <row r="215" spans="1:7" ht="12.75" x14ac:dyDescent="0.2">
      <c r="A215" s="3">
        <v>30</v>
      </c>
      <c r="B215" s="4" t="s">
        <v>60</v>
      </c>
      <c r="C215" s="3" t="s">
        <v>125</v>
      </c>
      <c r="D215" s="3" t="s">
        <v>16</v>
      </c>
      <c r="E215" s="3">
        <v>0</v>
      </c>
      <c r="G215" s="57"/>
    </row>
    <row r="216" spans="1:7" ht="12.75" x14ac:dyDescent="0.2">
      <c r="A216" s="3">
        <v>30</v>
      </c>
      <c r="B216" s="4" t="s">
        <v>60</v>
      </c>
      <c r="C216" s="3" t="s">
        <v>125</v>
      </c>
      <c r="D216" s="3" t="s">
        <v>149</v>
      </c>
      <c r="E216" s="3">
        <v>1</v>
      </c>
      <c r="G216" s="57"/>
    </row>
    <row r="217" spans="1:7" ht="12.75" x14ac:dyDescent="0.2">
      <c r="A217" s="3">
        <v>30</v>
      </c>
      <c r="B217" s="4" t="s">
        <v>60</v>
      </c>
      <c r="C217" s="3" t="s">
        <v>125</v>
      </c>
      <c r="D217" s="3" t="s">
        <v>129</v>
      </c>
      <c r="E217" s="3">
        <v>3</v>
      </c>
      <c r="G217" s="57"/>
    </row>
    <row r="218" spans="1:7" ht="12.75" x14ac:dyDescent="0.2">
      <c r="A218" s="3">
        <v>30</v>
      </c>
      <c r="B218" s="4" t="s">
        <v>60</v>
      </c>
      <c r="C218" s="3" t="s">
        <v>125</v>
      </c>
      <c r="D218" s="3" t="s">
        <v>132</v>
      </c>
      <c r="E218" s="3">
        <v>37</v>
      </c>
      <c r="G218" s="57"/>
    </row>
    <row r="219" spans="1:7" ht="12.75" x14ac:dyDescent="0.2">
      <c r="A219" s="3">
        <v>30</v>
      </c>
      <c r="B219" s="4" t="s">
        <v>60</v>
      </c>
      <c r="C219" s="3" t="s">
        <v>125</v>
      </c>
      <c r="D219" s="3" t="s">
        <v>317</v>
      </c>
      <c r="E219" s="3">
        <v>16</v>
      </c>
      <c r="G219" s="57"/>
    </row>
    <row r="220" spans="1:7" ht="12.75" x14ac:dyDescent="0.2">
      <c r="A220" s="3">
        <v>30</v>
      </c>
      <c r="B220" s="4" t="s">
        <v>60</v>
      </c>
      <c r="C220" s="3" t="s">
        <v>125</v>
      </c>
      <c r="D220" s="3" t="s">
        <v>14</v>
      </c>
      <c r="E220" s="3">
        <v>3</v>
      </c>
      <c r="G220" s="57"/>
    </row>
    <row r="221" spans="1:7" ht="12.75" x14ac:dyDescent="0.2">
      <c r="A221" s="3">
        <v>30</v>
      </c>
      <c r="B221" s="4" t="s">
        <v>60</v>
      </c>
      <c r="C221" s="3" t="s">
        <v>125</v>
      </c>
      <c r="D221" s="3" t="s">
        <v>138</v>
      </c>
      <c r="E221" s="3">
        <v>3</v>
      </c>
      <c r="F221">
        <f>SUM(E214:E221)</f>
        <v>199</v>
      </c>
      <c r="G221" s="57"/>
    </row>
    <row r="222" spans="1:7" ht="12.75" x14ac:dyDescent="0.2">
      <c r="A222" s="3">
        <v>31</v>
      </c>
      <c r="B222" s="4" t="s">
        <v>61</v>
      </c>
      <c r="C222" s="3" t="s">
        <v>125</v>
      </c>
      <c r="D222" s="3" t="s">
        <v>3</v>
      </c>
      <c r="E222" s="3">
        <v>566</v>
      </c>
      <c r="G222" s="59">
        <v>2370</v>
      </c>
    </row>
    <row r="223" spans="1:7" ht="12.75" x14ac:dyDescent="0.2">
      <c r="A223" s="3">
        <v>31</v>
      </c>
      <c r="B223" s="4" t="s">
        <v>61</v>
      </c>
      <c r="C223" s="3" t="s">
        <v>125</v>
      </c>
      <c r="D223" s="3" t="s">
        <v>16</v>
      </c>
      <c r="E223" s="3">
        <v>107</v>
      </c>
      <c r="G223" s="57"/>
    </row>
    <row r="224" spans="1:7" ht="12.75" x14ac:dyDescent="0.2">
      <c r="A224" s="3">
        <v>31</v>
      </c>
      <c r="B224" s="4" t="s">
        <v>61</v>
      </c>
      <c r="C224" s="3" t="s">
        <v>125</v>
      </c>
      <c r="D224" s="3" t="s">
        <v>149</v>
      </c>
      <c r="E224" s="3">
        <v>49</v>
      </c>
      <c r="G224" s="57"/>
    </row>
    <row r="225" spans="1:7" ht="12.75" x14ac:dyDescent="0.2">
      <c r="A225" s="3">
        <v>31</v>
      </c>
      <c r="B225" s="4" t="s">
        <v>61</v>
      </c>
      <c r="C225" s="3" t="s">
        <v>125</v>
      </c>
      <c r="D225" s="3" t="s">
        <v>129</v>
      </c>
      <c r="E225" s="3">
        <v>36</v>
      </c>
      <c r="G225" s="57"/>
    </row>
    <row r="226" spans="1:7" ht="12.75" x14ac:dyDescent="0.2">
      <c r="A226" s="3">
        <v>31</v>
      </c>
      <c r="B226" s="4" t="s">
        <v>61</v>
      </c>
      <c r="C226" s="3" t="s">
        <v>125</v>
      </c>
      <c r="D226" s="3" t="s">
        <v>132</v>
      </c>
      <c r="E226" s="3">
        <v>769</v>
      </c>
      <c r="G226" s="57"/>
    </row>
    <row r="227" spans="1:7" ht="12.75" x14ac:dyDescent="0.2">
      <c r="A227" s="3">
        <v>31</v>
      </c>
      <c r="B227" s="4" t="s">
        <v>61</v>
      </c>
      <c r="C227" s="3" t="s">
        <v>125</v>
      </c>
      <c r="D227" s="3" t="s">
        <v>317</v>
      </c>
      <c r="E227" s="3">
        <v>325</v>
      </c>
      <c r="G227" s="57"/>
    </row>
    <row r="228" spans="1:7" ht="12.75" x14ac:dyDescent="0.2">
      <c r="A228" s="3">
        <v>31</v>
      </c>
      <c r="B228" s="4" t="s">
        <v>61</v>
      </c>
      <c r="C228" s="3" t="s">
        <v>125</v>
      </c>
      <c r="D228" s="3" t="s">
        <v>14</v>
      </c>
      <c r="E228" s="3">
        <v>60</v>
      </c>
      <c r="G228" s="57"/>
    </row>
    <row r="229" spans="1:7" ht="12.75" x14ac:dyDescent="0.2">
      <c r="A229" s="3">
        <v>31</v>
      </c>
      <c r="B229" s="4" t="s">
        <v>61</v>
      </c>
      <c r="C229" s="3" t="s">
        <v>125</v>
      </c>
      <c r="D229" s="3" t="s">
        <v>138</v>
      </c>
      <c r="E229" s="3">
        <v>16</v>
      </c>
      <c r="F229">
        <f>SUM(E222:E229)</f>
        <v>1928</v>
      </c>
      <c r="G229" s="57"/>
    </row>
    <row r="230" spans="1:7" ht="12.75" x14ac:dyDescent="0.2">
      <c r="A230" s="3">
        <v>32</v>
      </c>
      <c r="B230" s="4" t="s">
        <v>62</v>
      </c>
      <c r="C230" s="3" t="s">
        <v>125</v>
      </c>
      <c r="D230" s="3" t="s">
        <v>3</v>
      </c>
      <c r="E230" s="3">
        <v>153</v>
      </c>
      <c r="G230" s="59">
        <v>282</v>
      </c>
    </row>
    <row r="231" spans="1:7" ht="12.75" x14ac:dyDescent="0.2">
      <c r="A231" s="3">
        <v>32</v>
      </c>
      <c r="B231" s="4" t="s">
        <v>62</v>
      </c>
      <c r="C231" s="3" t="s">
        <v>125</v>
      </c>
      <c r="D231" s="3" t="s">
        <v>16</v>
      </c>
      <c r="E231" s="3">
        <v>3</v>
      </c>
      <c r="G231" s="57"/>
    </row>
    <row r="232" spans="1:7" ht="12.75" x14ac:dyDescent="0.2">
      <c r="A232" s="3">
        <v>32</v>
      </c>
      <c r="B232" s="4" t="s">
        <v>62</v>
      </c>
      <c r="C232" s="3" t="s">
        <v>125</v>
      </c>
      <c r="D232" s="3" t="s">
        <v>149</v>
      </c>
      <c r="E232" s="3">
        <v>11</v>
      </c>
      <c r="G232" s="57"/>
    </row>
    <row r="233" spans="1:7" ht="12.75" x14ac:dyDescent="0.2">
      <c r="A233" s="3">
        <v>32</v>
      </c>
      <c r="B233" s="4" t="s">
        <v>62</v>
      </c>
      <c r="C233" s="3" t="s">
        <v>125</v>
      </c>
      <c r="D233" s="3" t="s">
        <v>129</v>
      </c>
      <c r="E233" s="3">
        <v>6</v>
      </c>
      <c r="G233" s="57"/>
    </row>
    <row r="234" spans="1:7" ht="12.75" x14ac:dyDescent="0.2">
      <c r="A234" s="3">
        <v>32</v>
      </c>
      <c r="B234" s="4" t="s">
        <v>62</v>
      </c>
      <c r="C234" s="3" t="s">
        <v>125</v>
      </c>
      <c r="D234" s="3" t="s">
        <v>132</v>
      </c>
      <c r="E234" s="3">
        <v>18</v>
      </c>
      <c r="G234" s="57"/>
    </row>
    <row r="235" spans="1:7" ht="12.75" x14ac:dyDescent="0.2">
      <c r="A235" s="3">
        <v>32</v>
      </c>
      <c r="B235" s="4" t="s">
        <v>62</v>
      </c>
      <c r="C235" s="3" t="s">
        <v>125</v>
      </c>
      <c r="D235" s="3" t="s">
        <v>317</v>
      </c>
      <c r="E235" s="3">
        <v>21</v>
      </c>
      <c r="G235" s="57"/>
    </row>
    <row r="236" spans="1:7" ht="12.75" x14ac:dyDescent="0.2">
      <c r="A236" s="3">
        <v>32</v>
      </c>
      <c r="B236" s="4" t="s">
        <v>62</v>
      </c>
      <c r="C236" s="3" t="s">
        <v>125</v>
      </c>
      <c r="D236" s="3" t="s">
        <v>14</v>
      </c>
      <c r="E236" s="3">
        <v>1</v>
      </c>
      <c r="G236" s="57"/>
    </row>
    <row r="237" spans="1:7" ht="12.75" x14ac:dyDescent="0.2">
      <c r="A237" s="3">
        <v>32</v>
      </c>
      <c r="B237" s="4" t="s">
        <v>62</v>
      </c>
      <c r="C237" s="3" t="s">
        <v>125</v>
      </c>
      <c r="D237" s="3" t="s">
        <v>138</v>
      </c>
      <c r="E237" s="3">
        <v>2</v>
      </c>
      <c r="F237">
        <f>SUM(E230:E237)</f>
        <v>215</v>
      </c>
      <c r="G237" s="57"/>
    </row>
    <row r="238" spans="1:7" ht="12.75" x14ac:dyDescent="0.2">
      <c r="A238" s="3">
        <v>33</v>
      </c>
      <c r="B238" s="4" t="s">
        <v>63</v>
      </c>
      <c r="C238" s="3" t="s">
        <v>125</v>
      </c>
      <c r="D238" s="3" t="s">
        <v>3</v>
      </c>
      <c r="E238" s="3">
        <v>197</v>
      </c>
      <c r="G238" s="59">
        <v>466</v>
      </c>
    </row>
    <row r="239" spans="1:7" ht="12.75" x14ac:dyDescent="0.2">
      <c r="A239" s="3">
        <v>33</v>
      </c>
      <c r="B239" s="4" t="s">
        <v>63</v>
      </c>
      <c r="C239" s="3" t="s">
        <v>125</v>
      </c>
      <c r="D239" s="3" t="s">
        <v>16</v>
      </c>
      <c r="E239" s="3">
        <v>6</v>
      </c>
      <c r="G239" s="57"/>
    </row>
    <row r="240" spans="1:7" ht="12.75" x14ac:dyDescent="0.2">
      <c r="A240" s="3">
        <v>33</v>
      </c>
      <c r="B240" s="4" t="s">
        <v>63</v>
      </c>
      <c r="C240" s="3" t="s">
        <v>125</v>
      </c>
      <c r="D240" s="3" t="s">
        <v>149</v>
      </c>
      <c r="E240" s="3">
        <v>11</v>
      </c>
      <c r="G240" s="57"/>
    </row>
    <row r="241" spans="1:7" ht="12.75" x14ac:dyDescent="0.2">
      <c r="A241" s="3">
        <v>33</v>
      </c>
      <c r="B241" s="4" t="s">
        <v>63</v>
      </c>
      <c r="C241" s="3" t="s">
        <v>125</v>
      </c>
      <c r="D241" s="3" t="s">
        <v>129</v>
      </c>
      <c r="E241" s="3">
        <v>3</v>
      </c>
      <c r="G241" s="57"/>
    </row>
    <row r="242" spans="1:7" ht="12.75" x14ac:dyDescent="0.2">
      <c r="A242" s="3">
        <v>33</v>
      </c>
      <c r="B242" s="4" t="s">
        <v>63</v>
      </c>
      <c r="C242" s="3" t="s">
        <v>125</v>
      </c>
      <c r="D242" s="3" t="s">
        <v>132</v>
      </c>
      <c r="E242" s="3">
        <v>108</v>
      </c>
      <c r="G242" s="57"/>
    </row>
    <row r="243" spans="1:7" ht="12.75" x14ac:dyDescent="0.2">
      <c r="A243" s="3">
        <v>33</v>
      </c>
      <c r="B243" s="4" t="s">
        <v>63</v>
      </c>
      <c r="C243" s="3" t="s">
        <v>125</v>
      </c>
      <c r="D243" s="3" t="s">
        <v>317</v>
      </c>
      <c r="E243" s="3">
        <v>19</v>
      </c>
      <c r="G243" s="57"/>
    </row>
    <row r="244" spans="1:7" ht="12.75" x14ac:dyDescent="0.2">
      <c r="A244" s="3">
        <v>33</v>
      </c>
      <c r="B244" s="4" t="s">
        <v>63</v>
      </c>
      <c r="C244" s="3" t="s">
        <v>125</v>
      </c>
      <c r="D244" s="3" t="s">
        <v>14</v>
      </c>
      <c r="E244" s="3">
        <v>6</v>
      </c>
      <c r="G244" s="57"/>
    </row>
    <row r="245" spans="1:7" ht="12.75" x14ac:dyDescent="0.2">
      <c r="A245" s="3">
        <v>33</v>
      </c>
      <c r="B245" s="4" t="s">
        <v>63</v>
      </c>
      <c r="C245" s="3" t="s">
        <v>125</v>
      </c>
      <c r="D245" s="3" t="s">
        <v>138</v>
      </c>
      <c r="E245" s="3">
        <v>4</v>
      </c>
      <c r="F245">
        <f>SUM(E238:E245)</f>
        <v>354</v>
      </c>
      <c r="G245" s="57"/>
    </row>
    <row r="246" spans="1:7" ht="12.75" x14ac:dyDescent="0.2">
      <c r="A246" s="3">
        <v>34</v>
      </c>
      <c r="B246" s="4" t="s">
        <v>64</v>
      </c>
      <c r="C246" s="3" t="s">
        <v>125</v>
      </c>
      <c r="D246" s="3" t="s">
        <v>3</v>
      </c>
      <c r="E246" s="3">
        <v>572</v>
      </c>
      <c r="G246" s="59">
        <v>1832</v>
      </c>
    </row>
    <row r="247" spans="1:7" ht="12.75" x14ac:dyDescent="0.2">
      <c r="A247" s="3">
        <v>34</v>
      </c>
      <c r="B247" s="4" t="s">
        <v>64</v>
      </c>
      <c r="C247" s="3" t="s">
        <v>125</v>
      </c>
      <c r="D247" s="3" t="s">
        <v>16</v>
      </c>
      <c r="E247" s="3">
        <v>41</v>
      </c>
      <c r="G247" s="57"/>
    </row>
    <row r="248" spans="1:7" ht="12.75" x14ac:dyDescent="0.2">
      <c r="A248" s="3">
        <v>34</v>
      </c>
      <c r="B248" s="4" t="s">
        <v>64</v>
      </c>
      <c r="C248" s="3" t="s">
        <v>125</v>
      </c>
      <c r="D248" s="3" t="s">
        <v>149</v>
      </c>
      <c r="E248" s="3">
        <v>48</v>
      </c>
      <c r="G248" s="57"/>
    </row>
    <row r="249" spans="1:7" ht="12.75" x14ac:dyDescent="0.2">
      <c r="A249" s="3">
        <v>34</v>
      </c>
      <c r="B249" s="4" t="s">
        <v>64</v>
      </c>
      <c r="C249" s="3" t="s">
        <v>125</v>
      </c>
      <c r="D249" s="3" t="s">
        <v>129</v>
      </c>
      <c r="E249" s="3">
        <v>15</v>
      </c>
      <c r="G249" s="57"/>
    </row>
    <row r="250" spans="1:7" ht="12.75" x14ac:dyDescent="0.2">
      <c r="A250" s="3">
        <v>34</v>
      </c>
      <c r="B250" s="4" t="s">
        <v>64</v>
      </c>
      <c r="C250" s="3" t="s">
        <v>125</v>
      </c>
      <c r="D250" s="3" t="s">
        <v>132</v>
      </c>
      <c r="E250" s="3">
        <v>699</v>
      </c>
      <c r="G250" s="57"/>
    </row>
    <row r="251" spans="1:7" ht="12.75" x14ac:dyDescent="0.2">
      <c r="A251" s="3">
        <v>34</v>
      </c>
      <c r="B251" s="4" t="s">
        <v>64</v>
      </c>
      <c r="C251" s="3" t="s">
        <v>125</v>
      </c>
      <c r="D251" s="3" t="s">
        <v>317</v>
      </c>
      <c r="E251" s="3">
        <v>107</v>
      </c>
      <c r="G251" s="57"/>
    </row>
    <row r="252" spans="1:7" ht="12.75" x14ac:dyDescent="0.2">
      <c r="A252" s="3">
        <v>34</v>
      </c>
      <c r="B252" s="4" t="s">
        <v>64</v>
      </c>
      <c r="C252" s="3" t="s">
        <v>125</v>
      </c>
      <c r="D252" s="3" t="s">
        <v>14</v>
      </c>
      <c r="E252" s="3">
        <v>36</v>
      </c>
      <c r="G252" s="57"/>
    </row>
    <row r="253" spans="1:7" ht="12.75" x14ac:dyDescent="0.2">
      <c r="A253" s="3">
        <v>34</v>
      </c>
      <c r="B253" s="4" t="s">
        <v>64</v>
      </c>
      <c r="C253" s="3" t="s">
        <v>125</v>
      </c>
      <c r="D253" s="3" t="s">
        <v>138</v>
      </c>
      <c r="E253" s="3">
        <v>0</v>
      </c>
      <c r="F253">
        <f>SUM(E246:E253)</f>
        <v>1518</v>
      </c>
      <c r="G253" s="57"/>
    </row>
    <row r="254" spans="1:7" ht="12.75" x14ac:dyDescent="0.2">
      <c r="A254" s="3">
        <v>35</v>
      </c>
      <c r="B254" s="4" t="s">
        <v>65</v>
      </c>
      <c r="C254" s="3" t="s">
        <v>125</v>
      </c>
      <c r="D254" s="3" t="s">
        <v>3</v>
      </c>
      <c r="E254" s="3">
        <v>151</v>
      </c>
      <c r="G254" s="59">
        <v>910</v>
      </c>
    </row>
    <row r="255" spans="1:7" ht="12.75" x14ac:dyDescent="0.2">
      <c r="A255" s="3">
        <v>35</v>
      </c>
      <c r="B255" s="4" t="s">
        <v>65</v>
      </c>
      <c r="C255" s="3" t="s">
        <v>125</v>
      </c>
      <c r="D255" s="3" t="s">
        <v>16</v>
      </c>
      <c r="E255" s="3">
        <v>16</v>
      </c>
      <c r="G255" s="57"/>
    </row>
    <row r="256" spans="1:7" ht="12.75" x14ac:dyDescent="0.2">
      <c r="A256" s="3">
        <v>35</v>
      </c>
      <c r="B256" s="4" t="s">
        <v>65</v>
      </c>
      <c r="C256" s="3" t="s">
        <v>125</v>
      </c>
      <c r="D256" s="3" t="s">
        <v>149</v>
      </c>
      <c r="E256" s="3">
        <v>17</v>
      </c>
      <c r="G256" s="57"/>
    </row>
    <row r="257" spans="1:7" ht="12.75" x14ac:dyDescent="0.2">
      <c r="A257" s="3">
        <v>35</v>
      </c>
      <c r="B257" s="4" t="s">
        <v>65</v>
      </c>
      <c r="C257" s="3" t="s">
        <v>125</v>
      </c>
      <c r="D257" s="3" t="s">
        <v>129</v>
      </c>
      <c r="E257" s="3">
        <v>7</v>
      </c>
      <c r="G257" s="57"/>
    </row>
    <row r="258" spans="1:7" ht="12.75" x14ac:dyDescent="0.2">
      <c r="A258" s="3">
        <v>35</v>
      </c>
      <c r="B258" s="4" t="s">
        <v>65</v>
      </c>
      <c r="C258" s="3" t="s">
        <v>125</v>
      </c>
      <c r="D258" s="3" t="s">
        <v>132</v>
      </c>
      <c r="E258" s="3">
        <v>519</v>
      </c>
      <c r="G258" s="57"/>
    </row>
    <row r="259" spans="1:7" ht="12.75" x14ac:dyDescent="0.2">
      <c r="A259" s="3">
        <v>35</v>
      </c>
      <c r="B259" s="4" t="s">
        <v>65</v>
      </c>
      <c r="C259" s="3" t="s">
        <v>125</v>
      </c>
      <c r="D259" s="3" t="s">
        <v>317</v>
      </c>
      <c r="E259" s="3">
        <v>48</v>
      </c>
      <c r="G259" s="57"/>
    </row>
    <row r="260" spans="1:7" ht="12.75" x14ac:dyDescent="0.2">
      <c r="A260" s="3">
        <v>35</v>
      </c>
      <c r="B260" s="4" t="s">
        <v>65</v>
      </c>
      <c r="C260" s="3" t="s">
        <v>125</v>
      </c>
      <c r="D260" s="3" t="s">
        <v>14</v>
      </c>
      <c r="E260" s="3">
        <v>4</v>
      </c>
      <c r="G260" s="57"/>
    </row>
    <row r="261" spans="1:7" ht="12.75" x14ac:dyDescent="0.2">
      <c r="A261" s="3">
        <v>35</v>
      </c>
      <c r="B261" s="4" t="s">
        <v>65</v>
      </c>
      <c r="C261" s="3" t="s">
        <v>125</v>
      </c>
      <c r="D261" s="3" t="s">
        <v>138</v>
      </c>
      <c r="E261" s="3">
        <v>11</v>
      </c>
      <c r="F261">
        <f>SUM(E254:E261)</f>
        <v>773</v>
      </c>
      <c r="G261" s="57"/>
    </row>
    <row r="262" spans="1:7" ht="12.75" x14ac:dyDescent="0.2">
      <c r="A262" s="3">
        <v>36</v>
      </c>
      <c r="B262" s="4" t="s">
        <v>66</v>
      </c>
      <c r="C262" s="3" t="s">
        <v>125</v>
      </c>
      <c r="D262" s="3" t="s">
        <v>3</v>
      </c>
      <c r="E262" s="3">
        <v>659</v>
      </c>
      <c r="G262" s="59">
        <v>3907</v>
      </c>
    </row>
    <row r="263" spans="1:7" ht="12.75" x14ac:dyDescent="0.2">
      <c r="A263" s="3">
        <v>36</v>
      </c>
      <c r="B263" s="4" t="s">
        <v>66</v>
      </c>
      <c r="C263" s="3" t="s">
        <v>125</v>
      </c>
      <c r="D263" s="3" t="s">
        <v>16</v>
      </c>
      <c r="E263" s="3">
        <v>89</v>
      </c>
      <c r="G263" s="57"/>
    </row>
    <row r="264" spans="1:7" ht="12.75" x14ac:dyDescent="0.2">
      <c r="A264" s="3">
        <v>36</v>
      </c>
      <c r="B264" s="4" t="s">
        <v>66</v>
      </c>
      <c r="C264" s="3" t="s">
        <v>125</v>
      </c>
      <c r="D264" s="3" t="s">
        <v>149</v>
      </c>
      <c r="E264" s="3">
        <v>447</v>
      </c>
      <c r="G264" s="57"/>
    </row>
    <row r="265" spans="1:7" ht="12.75" x14ac:dyDescent="0.2">
      <c r="A265" s="3">
        <v>36</v>
      </c>
      <c r="B265" s="4" t="s">
        <v>66</v>
      </c>
      <c r="C265" s="3" t="s">
        <v>125</v>
      </c>
      <c r="D265" s="3" t="s">
        <v>129</v>
      </c>
      <c r="E265" s="3">
        <v>58</v>
      </c>
      <c r="G265" s="57"/>
    </row>
    <row r="266" spans="1:7" ht="12.75" x14ac:dyDescent="0.2">
      <c r="A266" s="3">
        <v>36</v>
      </c>
      <c r="B266" s="4" t="s">
        <v>66</v>
      </c>
      <c r="C266" s="3" t="s">
        <v>125</v>
      </c>
      <c r="D266" s="3" t="s">
        <v>132</v>
      </c>
      <c r="E266" s="3">
        <v>1337</v>
      </c>
      <c r="G266" s="57"/>
    </row>
    <row r="267" spans="1:7" ht="12.75" x14ac:dyDescent="0.2">
      <c r="A267" s="3">
        <v>36</v>
      </c>
      <c r="B267" s="4" t="s">
        <v>66</v>
      </c>
      <c r="C267" s="3" t="s">
        <v>125</v>
      </c>
      <c r="D267" s="3" t="s">
        <v>317</v>
      </c>
      <c r="E267" s="3">
        <v>237</v>
      </c>
      <c r="G267" s="57"/>
    </row>
    <row r="268" spans="1:7" ht="12.75" x14ac:dyDescent="0.2">
      <c r="A268" s="3">
        <v>36</v>
      </c>
      <c r="B268" s="4" t="s">
        <v>66</v>
      </c>
      <c r="C268" s="3" t="s">
        <v>125</v>
      </c>
      <c r="D268" s="3" t="s">
        <v>14</v>
      </c>
      <c r="E268" s="3">
        <v>26</v>
      </c>
      <c r="G268" s="57"/>
    </row>
    <row r="269" spans="1:7" ht="12.75" x14ac:dyDescent="0.2">
      <c r="A269" s="3">
        <v>36</v>
      </c>
      <c r="B269" s="4" t="s">
        <v>66</v>
      </c>
      <c r="C269" s="3" t="s">
        <v>125</v>
      </c>
      <c r="D269" s="3" t="s">
        <v>138</v>
      </c>
      <c r="E269" s="3">
        <v>49</v>
      </c>
      <c r="F269">
        <f>SUM(E262:E269)</f>
        <v>2902</v>
      </c>
      <c r="G269" s="57"/>
    </row>
    <row r="270" spans="1:7" ht="12.75" x14ac:dyDescent="0.2">
      <c r="A270" s="3">
        <v>37</v>
      </c>
      <c r="B270" s="4" t="s">
        <v>67</v>
      </c>
      <c r="C270" s="3" t="s">
        <v>125</v>
      </c>
      <c r="D270" s="3" t="s">
        <v>3</v>
      </c>
      <c r="E270" s="3">
        <v>31</v>
      </c>
      <c r="G270" s="59">
        <v>57</v>
      </c>
    </row>
    <row r="271" spans="1:7" ht="12.75" x14ac:dyDescent="0.2">
      <c r="A271" s="3">
        <v>37</v>
      </c>
      <c r="B271" s="4" t="s">
        <v>67</v>
      </c>
      <c r="C271" s="3" t="s">
        <v>125</v>
      </c>
      <c r="D271" s="3" t="s">
        <v>16</v>
      </c>
      <c r="E271" s="3">
        <v>1</v>
      </c>
      <c r="G271" s="57"/>
    </row>
    <row r="272" spans="1:7" ht="12.75" x14ac:dyDescent="0.2">
      <c r="A272" s="3">
        <v>37</v>
      </c>
      <c r="B272" s="4" t="s">
        <v>67</v>
      </c>
      <c r="C272" s="3" t="s">
        <v>125</v>
      </c>
      <c r="D272" s="3" t="s">
        <v>149</v>
      </c>
      <c r="E272" s="3">
        <v>3</v>
      </c>
      <c r="G272" s="57"/>
    </row>
    <row r="273" spans="1:7" ht="12.75" x14ac:dyDescent="0.2">
      <c r="A273" s="3">
        <v>37</v>
      </c>
      <c r="B273" s="4" t="s">
        <v>67</v>
      </c>
      <c r="C273" s="3" t="s">
        <v>125</v>
      </c>
      <c r="D273" s="3" t="s">
        <v>129</v>
      </c>
      <c r="E273" s="3">
        <v>0</v>
      </c>
      <c r="G273" s="57"/>
    </row>
    <row r="274" spans="1:7" ht="12.75" x14ac:dyDescent="0.2">
      <c r="A274" s="3">
        <v>37</v>
      </c>
      <c r="B274" s="4" t="s">
        <v>67</v>
      </c>
      <c r="C274" s="3" t="s">
        <v>125</v>
      </c>
      <c r="D274" s="3" t="s">
        <v>132</v>
      </c>
      <c r="E274" s="3">
        <v>16</v>
      </c>
      <c r="G274" s="57"/>
    </row>
    <row r="275" spans="1:7" ht="12.75" x14ac:dyDescent="0.2">
      <c r="A275" s="3">
        <v>37</v>
      </c>
      <c r="B275" s="4" t="s">
        <v>67</v>
      </c>
      <c r="C275" s="3" t="s">
        <v>125</v>
      </c>
      <c r="D275" s="3" t="s">
        <v>317</v>
      </c>
      <c r="E275" s="3">
        <v>1</v>
      </c>
      <c r="G275" s="57"/>
    </row>
    <row r="276" spans="1:7" ht="12.75" x14ac:dyDescent="0.2">
      <c r="A276" s="3">
        <v>37</v>
      </c>
      <c r="B276" s="4" t="s">
        <v>67</v>
      </c>
      <c r="C276" s="3" t="s">
        <v>125</v>
      </c>
      <c r="D276" s="3" t="s">
        <v>14</v>
      </c>
      <c r="E276" s="3">
        <v>0</v>
      </c>
      <c r="G276" s="57"/>
    </row>
    <row r="277" spans="1:7" ht="12.75" x14ac:dyDescent="0.2">
      <c r="A277" s="3">
        <v>37</v>
      </c>
      <c r="B277" s="4" t="s">
        <v>67</v>
      </c>
      <c r="C277" s="3" t="s">
        <v>125</v>
      </c>
      <c r="D277" s="3" t="s">
        <v>138</v>
      </c>
      <c r="E277" s="3">
        <v>0</v>
      </c>
      <c r="F277">
        <f>SUM(E270:E277)</f>
        <v>52</v>
      </c>
      <c r="G277" s="57"/>
    </row>
    <row r="278" spans="1:7" ht="12.75" x14ac:dyDescent="0.2">
      <c r="A278" s="3">
        <v>38</v>
      </c>
      <c r="B278" s="4" t="s">
        <v>68</v>
      </c>
      <c r="C278" s="3" t="s">
        <v>125</v>
      </c>
      <c r="D278" s="3" t="s">
        <v>3</v>
      </c>
      <c r="E278" s="3">
        <v>94</v>
      </c>
      <c r="G278" s="59">
        <v>477</v>
      </c>
    </row>
    <row r="279" spans="1:7" ht="12.75" x14ac:dyDescent="0.2">
      <c r="A279" s="3">
        <v>38</v>
      </c>
      <c r="B279" s="4" t="s">
        <v>68</v>
      </c>
      <c r="C279" s="3" t="s">
        <v>125</v>
      </c>
      <c r="D279" s="3" t="s">
        <v>16</v>
      </c>
      <c r="E279" s="3">
        <v>7</v>
      </c>
      <c r="G279" s="57"/>
    </row>
    <row r="280" spans="1:7" ht="12.75" x14ac:dyDescent="0.2">
      <c r="A280" s="3">
        <v>38</v>
      </c>
      <c r="B280" s="4" t="s">
        <v>68</v>
      </c>
      <c r="C280" s="3" t="s">
        <v>125</v>
      </c>
      <c r="D280" s="3" t="s">
        <v>149</v>
      </c>
      <c r="E280" s="3">
        <v>24</v>
      </c>
      <c r="G280" s="57"/>
    </row>
    <row r="281" spans="1:7" ht="12.75" x14ac:dyDescent="0.2">
      <c r="A281" s="3">
        <v>38</v>
      </c>
      <c r="B281" s="4" t="s">
        <v>68</v>
      </c>
      <c r="C281" s="3" t="s">
        <v>125</v>
      </c>
      <c r="D281" s="3" t="s">
        <v>129</v>
      </c>
      <c r="E281" s="3">
        <v>5</v>
      </c>
      <c r="G281" s="57"/>
    </row>
    <row r="282" spans="1:7" ht="12.75" x14ac:dyDescent="0.2">
      <c r="A282" s="3">
        <v>38</v>
      </c>
      <c r="B282" s="4" t="s">
        <v>68</v>
      </c>
      <c r="C282" s="3" t="s">
        <v>125</v>
      </c>
      <c r="D282" s="3" t="s">
        <v>132</v>
      </c>
      <c r="E282" s="3">
        <v>233</v>
      </c>
      <c r="G282" s="57"/>
    </row>
    <row r="283" spans="1:7" ht="12.75" x14ac:dyDescent="0.2">
      <c r="A283" s="3">
        <v>38</v>
      </c>
      <c r="B283" s="4" t="s">
        <v>68</v>
      </c>
      <c r="C283" s="3" t="s">
        <v>125</v>
      </c>
      <c r="D283" s="3" t="s">
        <v>317</v>
      </c>
      <c r="E283" s="3">
        <v>17</v>
      </c>
      <c r="G283" s="57"/>
    </row>
    <row r="284" spans="1:7" ht="12.75" x14ac:dyDescent="0.2">
      <c r="A284" s="3">
        <v>38</v>
      </c>
      <c r="B284" s="4" t="s">
        <v>68</v>
      </c>
      <c r="C284" s="3" t="s">
        <v>125</v>
      </c>
      <c r="D284" s="3" t="s">
        <v>14</v>
      </c>
      <c r="E284" s="3">
        <v>3</v>
      </c>
      <c r="G284" s="57"/>
    </row>
    <row r="285" spans="1:7" ht="12.75" x14ac:dyDescent="0.2">
      <c r="A285" s="3">
        <v>38</v>
      </c>
      <c r="B285" s="4" t="s">
        <v>68</v>
      </c>
      <c r="C285" s="3" t="s">
        <v>125</v>
      </c>
      <c r="D285" s="3" t="s">
        <v>138</v>
      </c>
      <c r="E285" s="3">
        <v>11</v>
      </c>
      <c r="F285">
        <f>SUM(E278:E285)</f>
        <v>394</v>
      </c>
      <c r="G285" s="57"/>
    </row>
    <row r="286" spans="1:7" ht="12.75" x14ac:dyDescent="0.2">
      <c r="A286" s="3">
        <v>39</v>
      </c>
      <c r="B286" s="4" t="s">
        <v>69</v>
      </c>
      <c r="C286" s="3" t="s">
        <v>125</v>
      </c>
      <c r="D286" s="3" t="s">
        <v>3</v>
      </c>
      <c r="E286" s="3">
        <v>629</v>
      </c>
      <c r="G286" s="59">
        <v>1645</v>
      </c>
    </row>
    <row r="287" spans="1:7" ht="12.75" x14ac:dyDescent="0.2">
      <c r="A287" s="3">
        <v>39</v>
      </c>
      <c r="B287" s="4" t="s">
        <v>69</v>
      </c>
      <c r="C287" s="3" t="s">
        <v>125</v>
      </c>
      <c r="D287" s="3" t="s">
        <v>16</v>
      </c>
      <c r="E287" s="3">
        <v>18</v>
      </c>
      <c r="G287" s="57"/>
    </row>
    <row r="288" spans="1:7" ht="12.75" x14ac:dyDescent="0.2">
      <c r="A288" s="3">
        <v>39</v>
      </c>
      <c r="B288" s="4" t="s">
        <v>69</v>
      </c>
      <c r="C288" s="3" t="s">
        <v>125</v>
      </c>
      <c r="D288" s="3" t="s">
        <v>149</v>
      </c>
      <c r="E288" s="3">
        <v>180</v>
      </c>
      <c r="G288" s="57"/>
    </row>
    <row r="289" spans="1:7" ht="12.75" x14ac:dyDescent="0.2">
      <c r="A289" s="3">
        <v>39</v>
      </c>
      <c r="B289" s="4" t="s">
        <v>69</v>
      </c>
      <c r="C289" s="3" t="s">
        <v>125</v>
      </c>
      <c r="D289" s="3" t="s">
        <v>129</v>
      </c>
      <c r="E289" s="3">
        <v>20</v>
      </c>
      <c r="G289" s="57"/>
    </row>
    <row r="290" spans="1:7" ht="12.75" x14ac:dyDescent="0.2">
      <c r="A290" s="3">
        <v>39</v>
      </c>
      <c r="B290" s="4" t="s">
        <v>69</v>
      </c>
      <c r="C290" s="3" t="s">
        <v>125</v>
      </c>
      <c r="D290" s="3" t="s">
        <v>132</v>
      </c>
      <c r="E290" s="3">
        <v>366</v>
      </c>
      <c r="G290" s="57"/>
    </row>
    <row r="291" spans="1:7" ht="12.75" x14ac:dyDescent="0.2">
      <c r="A291" s="3">
        <v>39</v>
      </c>
      <c r="B291" s="4" t="s">
        <v>69</v>
      </c>
      <c r="C291" s="3" t="s">
        <v>125</v>
      </c>
      <c r="D291" s="3" t="s">
        <v>317</v>
      </c>
      <c r="E291" s="3">
        <v>86</v>
      </c>
      <c r="G291" s="57"/>
    </row>
    <row r="292" spans="1:7" ht="12.75" x14ac:dyDescent="0.2">
      <c r="A292" s="3">
        <v>39</v>
      </c>
      <c r="B292" s="4" t="s">
        <v>69</v>
      </c>
      <c r="C292" s="3" t="s">
        <v>125</v>
      </c>
      <c r="D292" s="3" t="s">
        <v>14</v>
      </c>
      <c r="E292" s="3">
        <v>10</v>
      </c>
      <c r="G292" s="57"/>
    </row>
    <row r="293" spans="1:7" ht="12.75" x14ac:dyDescent="0.2">
      <c r="A293" s="3">
        <v>39</v>
      </c>
      <c r="B293" s="4" t="s">
        <v>69</v>
      </c>
      <c r="C293" s="3" t="s">
        <v>125</v>
      </c>
      <c r="D293" s="3" t="s">
        <v>138</v>
      </c>
      <c r="E293" s="3">
        <v>17</v>
      </c>
      <c r="F293">
        <f>SUM(E286:E293)</f>
        <v>1326</v>
      </c>
      <c r="G293" s="57"/>
    </row>
    <row r="294" spans="1:7" ht="12.75" x14ac:dyDescent="0.2">
      <c r="A294" s="2" t="s">
        <v>70</v>
      </c>
      <c r="B294" s="4" t="s">
        <v>71</v>
      </c>
      <c r="C294" s="3" t="s">
        <v>125</v>
      </c>
      <c r="D294" s="3" t="s">
        <v>3</v>
      </c>
      <c r="E294" s="3">
        <v>153</v>
      </c>
      <c r="G294" s="59">
        <v>390</v>
      </c>
    </row>
    <row r="295" spans="1:7" ht="12.75" x14ac:dyDescent="0.2">
      <c r="A295" s="2" t="s">
        <v>70</v>
      </c>
      <c r="B295" s="4" t="s">
        <v>71</v>
      </c>
      <c r="C295" s="3" t="s">
        <v>125</v>
      </c>
      <c r="D295" s="3" t="s">
        <v>16</v>
      </c>
      <c r="E295" s="3">
        <v>3</v>
      </c>
      <c r="G295" s="57"/>
    </row>
    <row r="296" spans="1:7" ht="12.75" x14ac:dyDescent="0.2">
      <c r="A296" s="2" t="s">
        <v>70</v>
      </c>
      <c r="B296" s="4" t="s">
        <v>71</v>
      </c>
      <c r="C296" s="3" t="s">
        <v>125</v>
      </c>
      <c r="D296" s="3" t="s">
        <v>149</v>
      </c>
      <c r="E296" s="3">
        <v>6</v>
      </c>
      <c r="G296" s="57"/>
    </row>
    <row r="297" spans="1:7" ht="12.75" x14ac:dyDescent="0.2">
      <c r="A297" s="2" t="s">
        <v>70</v>
      </c>
      <c r="B297" s="4" t="s">
        <v>71</v>
      </c>
      <c r="C297" s="3" t="s">
        <v>125</v>
      </c>
      <c r="D297" s="3" t="s">
        <v>129</v>
      </c>
      <c r="E297" s="3">
        <v>3</v>
      </c>
      <c r="G297" s="57"/>
    </row>
    <row r="298" spans="1:7" ht="12.75" x14ac:dyDescent="0.2">
      <c r="A298" s="2" t="s">
        <v>70</v>
      </c>
      <c r="B298" s="4" t="s">
        <v>71</v>
      </c>
      <c r="C298" s="3" t="s">
        <v>125</v>
      </c>
      <c r="D298" s="3" t="s">
        <v>132</v>
      </c>
      <c r="E298" s="3">
        <v>134</v>
      </c>
      <c r="G298" s="57"/>
    </row>
    <row r="299" spans="1:7" ht="12.75" x14ac:dyDescent="0.2">
      <c r="A299" s="2" t="s">
        <v>70</v>
      </c>
      <c r="B299" s="4" t="s">
        <v>71</v>
      </c>
      <c r="C299" s="3" t="s">
        <v>125</v>
      </c>
      <c r="D299" s="3" t="s">
        <v>317</v>
      </c>
      <c r="E299" s="3">
        <v>12</v>
      </c>
      <c r="G299" s="57"/>
    </row>
    <row r="300" spans="1:7" ht="12.75" x14ac:dyDescent="0.2">
      <c r="A300" s="2" t="s">
        <v>70</v>
      </c>
      <c r="B300" s="4" t="s">
        <v>71</v>
      </c>
      <c r="C300" s="3" t="s">
        <v>125</v>
      </c>
      <c r="D300" s="3" t="s">
        <v>14</v>
      </c>
      <c r="E300" s="3">
        <v>1</v>
      </c>
      <c r="G300" s="57"/>
    </row>
    <row r="301" spans="1:7" ht="12.75" x14ac:dyDescent="0.2">
      <c r="A301" s="2" t="s">
        <v>70</v>
      </c>
      <c r="B301" s="4" t="s">
        <v>71</v>
      </c>
      <c r="C301" s="3" t="s">
        <v>125</v>
      </c>
      <c r="D301" s="3" t="s">
        <v>138</v>
      </c>
      <c r="E301" s="3">
        <v>7</v>
      </c>
      <c r="F301">
        <f>SUM(E294:E301)</f>
        <v>319</v>
      </c>
      <c r="G301" s="57"/>
    </row>
    <row r="302" spans="1:7" ht="12.75" x14ac:dyDescent="0.2">
      <c r="A302" s="2">
        <v>40</v>
      </c>
      <c r="B302" s="4" t="s">
        <v>72</v>
      </c>
      <c r="C302" s="3" t="s">
        <v>125</v>
      </c>
      <c r="D302" s="3" t="s">
        <v>3</v>
      </c>
      <c r="E302" s="3">
        <v>415</v>
      </c>
      <c r="G302" s="59">
        <v>2454</v>
      </c>
    </row>
    <row r="303" spans="1:7" ht="12.75" x14ac:dyDescent="0.2">
      <c r="A303" s="2">
        <v>40</v>
      </c>
      <c r="B303" s="4" t="s">
        <v>72</v>
      </c>
      <c r="C303" s="3" t="s">
        <v>125</v>
      </c>
      <c r="D303" s="3" t="s">
        <v>16</v>
      </c>
      <c r="E303" s="3">
        <v>68</v>
      </c>
      <c r="G303" s="57"/>
    </row>
    <row r="304" spans="1:7" ht="12.75" x14ac:dyDescent="0.2">
      <c r="A304" s="2">
        <v>40</v>
      </c>
      <c r="B304" s="4" t="s">
        <v>72</v>
      </c>
      <c r="C304" s="3" t="s">
        <v>125</v>
      </c>
      <c r="D304" s="3" t="s">
        <v>149</v>
      </c>
      <c r="E304" s="3">
        <v>424</v>
      </c>
      <c r="G304" s="57"/>
    </row>
    <row r="305" spans="1:7" ht="12.75" x14ac:dyDescent="0.2">
      <c r="A305" s="2">
        <v>40</v>
      </c>
      <c r="B305" s="4" t="s">
        <v>72</v>
      </c>
      <c r="C305" s="3" t="s">
        <v>125</v>
      </c>
      <c r="D305" s="3" t="s">
        <v>129</v>
      </c>
      <c r="E305" s="3">
        <v>44</v>
      </c>
      <c r="G305" s="57"/>
    </row>
    <row r="306" spans="1:7" ht="12.75" x14ac:dyDescent="0.2">
      <c r="A306" s="2">
        <v>40</v>
      </c>
      <c r="B306" s="4" t="s">
        <v>72</v>
      </c>
      <c r="C306" s="3" t="s">
        <v>125</v>
      </c>
      <c r="D306" s="3" t="s">
        <v>132</v>
      </c>
      <c r="E306" s="3">
        <v>493</v>
      </c>
      <c r="G306" s="57"/>
    </row>
    <row r="307" spans="1:7" ht="12.75" x14ac:dyDescent="0.2">
      <c r="A307" s="2">
        <v>40</v>
      </c>
      <c r="B307" s="4" t="s">
        <v>72</v>
      </c>
      <c r="C307" s="3" t="s">
        <v>125</v>
      </c>
      <c r="D307" s="3" t="s">
        <v>317</v>
      </c>
      <c r="E307" s="3">
        <v>426</v>
      </c>
      <c r="G307" s="57"/>
    </row>
    <row r="308" spans="1:7" ht="12.75" x14ac:dyDescent="0.2">
      <c r="A308" s="2">
        <v>40</v>
      </c>
      <c r="B308" s="4" t="s">
        <v>72</v>
      </c>
      <c r="C308" s="3" t="s">
        <v>125</v>
      </c>
      <c r="D308" s="3" t="s">
        <v>14</v>
      </c>
      <c r="E308" s="3">
        <v>23</v>
      </c>
      <c r="G308" s="57"/>
    </row>
    <row r="309" spans="1:7" ht="12.75" x14ac:dyDescent="0.2">
      <c r="A309" s="2">
        <v>40</v>
      </c>
      <c r="B309" s="4" t="s">
        <v>72</v>
      </c>
      <c r="C309" s="3" t="s">
        <v>125</v>
      </c>
      <c r="D309" s="3" t="s">
        <v>138</v>
      </c>
      <c r="E309" s="3">
        <v>43</v>
      </c>
      <c r="F309">
        <f>SUM(E302:E309)</f>
        <v>1936</v>
      </c>
      <c r="G309" s="57"/>
    </row>
    <row r="310" spans="1:7" ht="12.75" x14ac:dyDescent="0.2">
      <c r="A310" s="3">
        <v>42</v>
      </c>
      <c r="B310" s="4" t="s">
        <v>73</v>
      </c>
      <c r="C310" s="3" t="s">
        <v>125</v>
      </c>
      <c r="D310" s="3" t="s">
        <v>3</v>
      </c>
      <c r="E310" s="3">
        <v>551</v>
      </c>
      <c r="G310" s="59">
        <v>2383</v>
      </c>
    </row>
    <row r="311" spans="1:7" ht="12.75" x14ac:dyDescent="0.2">
      <c r="A311" s="3">
        <v>42</v>
      </c>
      <c r="B311" s="4" t="s">
        <v>73</v>
      </c>
      <c r="C311" s="3" t="s">
        <v>125</v>
      </c>
      <c r="D311" s="3" t="s">
        <v>16</v>
      </c>
      <c r="E311" s="3">
        <v>22</v>
      </c>
      <c r="G311" s="57"/>
    </row>
    <row r="312" spans="1:7" ht="12.75" x14ac:dyDescent="0.2">
      <c r="A312" s="3">
        <v>42</v>
      </c>
      <c r="B312" s="4" t="s">
        <v>73</v>
      </c>
      <c r="C312" s="3" t="s">
        <v>125</v>
      </c>
      <c r="D312" s="3" t="s">
        <v>149</v>
      </c>
      <c r="E312" s="3">
        <v>891</v>
      </c>
      <c r="G312" s="57"/>
    </row>
    <row r="313" spans="1:7" ht="12.75" x14ac:dyDescent="0.2">
      <c r="A313" s="3">
        <v>42</v>
      </c>
      <c r="B313" s="4" t="s">
        <v>73</v>
      </c>
      <c r="C313" s="3" t="s">
        <v>125</v>
      </c>
      <c r="D313" s="3" t="s">
        <v>129</v>
      </c>
      <c r="E313" s="3">
        <v>17</v>
      </c>
      <c r="G313" s="57"/>
    </row>
    <row r="314" spans="1:7" ht="12.75" x14ac:dyDescent="0.2">
      <c r="A314" s="3">
        <v>42</v>
      </c>
      <c r="B314" s="4" t="s">
        <v>73</v>
      </c>
      <c r="C314" s="3" t="s">
        <v>125</v>
      </c>
      <c r="D314" s="3" t="s">
        <v>132</v>
      </c>
      <c r="E314" s="3">
        <v>327</v>
      </c>
      <c r="G314" s="57"/>
    </row>
    <row r="315" spans="1:7" ht="12.75" x14ac:dyDescent="0.2">
      <c r="A315" s="3">
        <v>42</v>
      </c>
      <c r="B315" s="4" t="s">
        <v>73</v>
      </c>
      <c r="C315" s="3" t="s">
        <v>125</v>
      </c>
      <c r="D315" s="3" t="s">
        <v>317</v>
      </c>
      <c r="E315" s="3">
        <v>69</v>
      </c>
      <c r="G315" s="57"/>
    </row>
    <row r="316" spans="1:7" ht="12.75" x14ac:dyDescent="0.2">
      <c r="A316" s="3">
        <v>42</v>
      </c>
      <c r="B316" s="4" t="s">
        <v>73</v>
      </c>
      <c r="C316" s="3" t="s">
        <v>125</v>
      </c>
      <c r="D316" s="3" t="s">
        <v>14</v>
      </c>
      <c r="E316" s="3">
        <v>21</v>
      </c>
      <c r="G316" s="57"/>
    </row>
    <row r="317" spans="1:7" ht="12.75" x14ac:dyDescent="0.2">
      <c r="A317" s="3">
        <v>42</v>
      </c>
      <c r="B317" s="4" t="s">
        <v>73</v>
      </c>
      <c r="C317" s="3" t="s">
        <v>125</v>
      </c>
      <c r="D317" s="3" t="s">
        <v>138</v>
      </c>
      <c r="E317" s="3">
        <v>18</v>
      </c>
      <c r="F317">
        <f>SUM(E310:E317)</f>
        <v>1916</v>
      </c>
      <c r="G317" s="57"/>
    </row>
    <row r="318" spans="1:7" ht="12.75" x14ac:dyDescent="0.2">
      <c r="A318" s="3">
        <v>43</v>
      </c>
      <c r="B318" s="4" t="s">
        <v>74</v>
      </c>
      <c r="C318" s="3" t="s">
        <v>125</v>
      </c>
      <c r="D318" s="3" t="s">
        <v>3</v>
      </c>
      <c r="E318" s="3">
        <v>112</v>
      </c>
      <c r="G318" s="59">
        <v>327</v>
      </c>
    </row>
    <row r="319" spans="1:7" ht="12.75" x14ac:dyDescent="0.2">
      <c r="A319" s="3">
        <v>43</v>
      </c>
      <c r="B319" s="4" t="s">
        <v>74</v>
      </c>
      <c r="C319" s="3" t="s">
        <v>125</v>
      </c>
      <c r="D319" s="3" t="s">
        <v>16</v>
      </c>
      <c r="E319" s="3">
        <v>5</v>
      </c>
      <c r="G319" s="57"/>
    </row>
    <row r="320" spans="1:7" ht="12.75" x14ac:dyDescent="0.2">
      <c r="A320" s="3">
        <v>43</v>
      </c>
      <c r="B320" s="4" t="s">
        <v>74</v>
      </c>
      <c r="C320" s="3" t="s">
        <v>125</v>
      </c>
      <c r="D320" s="3" t="s">
        <v>149</v>
      </c>
      <c r="E320" s="3">
        <v>2</v>
      </c>
      <c r="G320" s="57"/>
    </row>
    <row r="321" spans="1:7" ht="12.75" x14ac:dyDescent="0.2">
      <c r="A321" s="3">
        <v>43</v>
      </c>
      <c r="B321" s="4" t="s">
        <v>74</v>
      </c>
      <c r="C321" s="3" t="s">
        <v>125</v>
      </c>
      <c r="D321" s="3" t="s">
        <v>129</v>
      </c>
      <c r="E321" s="3">
        <v>2</v>
      </c>
      <c r="G321" s="57"/>
    </row>
    <row r="322" spans="1:7" ht="12.75" x14ac:dyDescent="0.2">
      <c r="A322" s="3">
        <v>43</v>
      </c>
      <c r="B322" s="4" t="s">
        <v>74</v>
      </c>
      <c r="C322" s="3" t="s">
        <v>125</v>
      </c>
      <c r="D322" s="3" t="s">
        <v>132</v>
      </c>
      <c r="E322" s="3">
        <v>129</v>
      </c>
      <c r="G322" s="57"/>
    </row>
    <row r="323" spans="1:7" ht="12.75" x14ac:dyDescent="0.2">
      <c r="A323" s="3">
        <v>43</v>
      </c>
      <c r="B323" s="4" t="s">
        <v>74</v>
      </c>
      <c r="C323" s="3" t="s">
        <v>125</v>
      </c>
      <c r="D323" s="3" t="s">
        <v>317</v>
      </c>
      <c r="E323" s="3">
        <v>9</v>
      </c>
      <c r="G323" s="57"/>
    </row>
    <row r="324" spans="1:7" ht="12.75" x14ac:dyDescent="0.2">
      <c r="A324" s="3">
        <v>43</v>
      </c>
      <c r="B324" s="4" t="s">
        <v>74</v>
      </c>
      <c r="C324" s="3" t="s">
        <v>125</v>
      </c>
      <c r="D324" s="3" t="s">
        <v>14</v>
      </c>
      <c r="E324" s="3">
        <v>2</v>
      </c>
      <c r="G324" s="57"/>
    </row>
    <row r="325" spans="1:7" ht="12.75" x14ac:dyDescent="0.2">
      <c r="A325" s="3">
        <v>43</v>
      </c>
      <c r="B325" s="4" t="s">
        <v>74</v>
      </c>
      <c r="C325" s="3" t="s">
        <v>125</v>
      </c>
      <c r="D325" s="3" t="s">
        <v>138</v>
      </c>
      <c r="E325" s="3">
        <v>3</v>
      </c>
      <c r="F325">
        <f>SUM(E318:E325)</f>
        <v>264</v>
      </c>
      <c r="G325" s="57"/>
    </row>
    <row r="326" spans="1:7" ht="12.75" x14ac:dyDescent="0.2">
      <c r="A326" s="3">
        <v>45</v>
      </c>
      <c r="B326" s="4" t="s">
        <v>75</v>
      </c>
      <c r="C326" s="3" t="s">
        <v>125</v>
      </c>
      <c r="D326" s="3" t="s">
        <v>3</v>
      </c>
      <c r="E326" s="3">
        <v>80</v>
      </c>
      <c r="G326" s="59">
        <v>114</v>
      </c>
    </row>
    <row r="327" spans="1:7" ht="12.75" x14ac:dyDescent="0.2">
      <c r="A327" s="3">
        <v>45</v>
      </c>
      <c r="B327" s="4" t="s">
        <v>75</v>
      </c>
      <c r="C327" s="3" t="s">
        <v>125</v>
      </c>
      <c r="D327" s="3" t="s">
        <v>16</v>
      </c>
      <c r="E327" s="3">
        <v>1</v>
      </c>
      <c r="G327" s="57"/>
    </row>
    <row r="328" spans="1:7" ht="12.75" x14ac:dyDescent="0.2">
      <c r="A328" s="3">
        <v>45</v>
      </c>
      <c r="B328" s="4" t="s">
        <v>75</v>
      </c>
      <c r="C328" s="3" t="s">
        <v>125</v>
      </c>
      <c r="D328" s="3" t="s">
        <v>149</v>
      </c>
      <c r="E328" s="3">
        <v>0</v>
      </c>
      <c r="G328" s="57"/>
    </row>
    <row r="329" spans="1:7" ht="12.75" x14ac:dyDescent="0.2">
      <c r="A329" s="3">
        <v>45</v>
      </c>
      <c r="B329" s="4" t="s">
        <v>75</v>
      </c>
      <c r="C329" s="3" t="s">
        <v>125</v>
      </c>
      <c r="D329" s="3" t="s">
        <v>129</v>
      </c>
      <c r="E329" s="3">
        <v>0</v>
      </c>
      <c r="G329" s="57"/>
    </row>
    <row r="330" spans="1:7" ht="12.75" x14ac:dyDescent="0.2">
      <c r="A330" s="3">
        <v>45</v>
      </c>
      <c r="B330" s="4" t="s">
        <v>75</v>
      </c>
      <c r="C330" s="3" t="s">
        <v>125</v>
      </c>
      <c r="D330" s="3" t="s">
        <v>132</v>
      </c>
      <c r="E330" s="3">
        <v>10</v>
      </c>
      <c r="G330" s="57"/>
    </row>
    <row r="331" spans="1:7" ht="12.75" x14ac:dyDescent="0.2">
      <c r="A331" s="3">
        <v>45</v>
      </c>
      <c r="B331" s="4" t="s">
        <v>75</v>
      </c>
      <c r="C331" s="3" t="s">
        <v>125</v>
      </c>
      <c r="D331" s="3" t="s">
        <v>317</v>
      </c>
      <c r="E331" s="3">
        <v>4</v>
      </c>
      <c r="G331" s="57"/>
    </row>
    <row r="332" spans="1:7" ht="12.75" x14ac:dyDescent="0.2">
      <c r="A332" s="3">
        <v>45</v>
      </c>
      <c r="B332" s="4" t="s">
        <v>75</v>
      </c>
      <c r="C332" s="3" t="s">
        <v>125</v>
      </c>
      <c r="D332" s="3" t="s">
        <v>14</v>
      </c>
      <c r="E332" s="3">
        <v>0</v>
      </c>
      <c r="G332" s="57"/>
    </row>
    <row r="333" spans="1:7" ht="12.75" x14ac:dyDescent="0.2">
      <c r="A333" s="3">
        <v>45</v>
      </c>
      <c r="B333" s="4" t="s">
        <v>75</v>
      </c>
      <c r="C333" s="3" t="s">
        <v>125</v>
      </c>
      <c r="D333" s="3" t="s">
        <v>138</v>
      </c>
      <c r="E333" s="3">
        <v>1</v>
      </c>
      <c r="F333">
        <f>SUM(E326:E333)</f>
        <v>96</v>
      </c>
      <c r="G333" s="57"/>
    </row>
    <row r="334" spans="1:7" ht="12.75" x14ac:dyDescent="0.2">
      <c r="A334" s="3">
        <v>46</v>
      </c>
      <c r="B334" s="4" t="s">
        <v>76</v>
      </c>
      <c r="C334" s="3" t="s">
        <v>125</v>
      </c>
      <c r="D334" s="3" t="s">
        <v>3</v>
      </c>
      <c r="E334" s="3">
        <v>346</v>
      </c>
      <c r="G334" s="59">
        <v>639</v>
      </c>
    </row>
    <row r="335" spans="1:7" ht="12.75" x14ac:dyDescent="0.2">
      <c r="A335" s="3">
        <v>46</v>
      </c>
      <c r="B335" s="4" t="s">
        <v>76</v>
      </c>
      <c r="C335" s="3" t="s">
        <v>125</v>
      </c>
      <c r="D335" s="3" t="s">
        <v>16</v>
      </c>
      <c r="E335" s="3">
        <v>3</v>
      </c>
      <c r="G335" s="57"/>
    </row>
    <row r="336" spans="1:7" ht="12.75" x14ac:dyDescent="0.2">
      <c r="A336" s="3">
        <v>46</v>
      </c>
      <c r="B336" s="4" t="s">
        <v>76</v>
      </c>
      <c r="C336" s="3" t="s">
        <v>125</v>
      </c>
      <c r="D336" s="3" t="s">
        <v>149</v>
      </c>
      <c r="E336" s="3">
        <v>11</v>
      </c>
      <c r="G336" s="57"/>
    </row>
    <row r="337" spans="1:7" ht="12.75" x14ac:dyDescent="0.2">
      <c r="A337" s="3">
        <v>46</v>
      </c>
      <c r="B337" s="4" t="s">
        <v>76</v>
      </c>
      <c r="C337" s="3" t="s">
        <v>125</v>
      </c>
      <c r="D337" s="3" t="s">
        <v>129</v>
      </c>
      <c r="E337" s="3">
        <v>6</v>
      </c>
      <c r="G337" s="57"/>
    </row>
    <row r="338" spans="1:7" ht="12.75" x14ac:dyDescent="0.2">
      <c r="A338" s="3">
        <v>46</v>
      </c>
      <c r="B338" s="4" t="s">
        <v>76</v>
      </c>
      <c r="C338" s="3" t="s">
        <v>125</v>
      </c>
      <c r="D338" s="3" t="s">
        <v>132</v>
      </c>
      <c r="E338" s="3">
        <v>122</v>
      </c>
      <c r="G338" s="57"/>
    </row>
    <row r="339" spans="1:7" ht="12.75" x14ac:dyDescent="0.2">
      <c r="A339" s="3">
        <v>46</v>
      </c>
      <c r="B339" s="4" t="s">
        <v>76</v>
      </c>
      <c r="C339" s="3" t="s">
        <v>125</v>
      </c>
      <c r="D339" s="3" t="s">
        <v>317</v>
      </c>
      <c r="E339" s="3">
        <v>41</v>
      </c>
      <c r="G339" s="57"/>
    </row>
    <row r="340" spans="1:7" ht="12.75" x14ac:dyDescent="0.2">
      <c r="A340" s="3">
        <v>46</v>
      </c>
      <c r="B340" s="4" t="s">
        <v>76</v>
      </c>
      <c r="C340" s="3" t="s">
        <v>125</v>
      </c>
      <c r="D340" s="3" t="s">
        <v>14</v>
      </c>
      <c r="E340" s="3">
        <v>6</v>
      </c>
      <c r="G340" s="57"/>
    </row>
    <row r="341" spans="1:7" ht="12.75" x14ac:dyDescent="0.2">
      <c r="A341" s="3">
        <v>46</v>
      </c>
      <c r="B341" s="4" t="s">
        <v>76</v>
      </c>
      <c r="C341" s="3" t="s">
        <v>125</v>
      </c>
      <c r="D341" s="3" t="s">
        <v>138</v>
      </c>
      <c r="E341" s="3">
        <v>1</v>
      </c>
      <c r="F341">
        <f>SUM(E334:E341)</f>
        <v>536</v>
      </c>
      <c r="G341" s="57"/>
    </row>
    <row r="342" spans="1:7" ht="12.75" x14ac:dyDescent="0.2">
      <c r="A342" s="3">
        <v>47</v>
      </c>
      <c r="B342" s="4" t="s">
        <v>77</v>
      </c>
      <c r="C342" s="3" t="s">
        <v>125</v>
      </c>
      <c r="D342" s="3" t="s">
        <v>3</v>
      </c>
      <c r="E342" s="3">
        <v>440</v>
      </c>
      <c r="G342" s="59">
        <v>1086</v>
      </c>
    </row>
    <row r="343" spans="1:7" ht="12.75" x14ac:dyDescent="0.2">
      <c r="A343" s="3">
        <v>47</v>
      </c>
      <c r="B343" s="4" t="s">
        <v>77</v>
      </c>
      <c r="C343" s="3" t="s">
        <v>125</v>
      </c>
      <c r="D343" s="3" t="s">
        <v>16</v>
      </c>
      <c r="E343" s="3">
        <v>24</v>
      </c>
      <c r="G343" s="57"/>
    </row>
    <row r="344" spans="1:7" ht="12.75" x14ac:dyDescent="0.2">
      <c r="A344" s="3">
        <v>47</v>
      </c>
      <c r="B344" s="4" t="s">
        <v>77</v>
      </c>
      <c r="C344" s="3" t="s">
        <v>125</v>
      </c>
      <c r="D344" s="3" t="s">
        <v>149</v>
      </c>
      <c r="E344" s="3">
        <v>19</v>
      </c>
      <c r="G344" s="57"/>
    </row>
    <row r="345" spans="1:7" ht="12.75" x14ac:dyDescent="0.2">
      <c r="A345" s="3">
        <v>47</v>
      </c>
      <c r="B345" s="4" t="s">
        <v>77</v>
      </c>
      <c r="C345" s="3" t="s">
        <v>125</v>
      </c>
      <c r="D345" s="3" t="s">
        <v>129</v>
      </c>
      <c r="E345" s="3">
        <v>12</v>
      </c>
      <c r="G345" s="57"/>
    </row>
    <row r="346" spans="1:7" ht="12.75" x14ac:dyDescent="0.2">
      <c r="A346" s="3">
        <v>47</v>
      </c>
      <c r="B346" s="4" t="s">
        <v>77</v>
      </c>
      <c r="C346" s="3" t="s">
        <v>125</v>
      </c>
      <c r="D346" s="3" t="s">
        <v>132</v>
      </c>
      <c r="E346" s="3">
        <v>271</v>
      </c>
      <c r="G346" s="57"/>
    </row>
    <row r="347" spans="1:7" ht="12.75" x14ac:dyDescent="0.2">
      <c r="A347" s="3">
        <v>47</v>
      </c>
      <c r="B347" s="4" t="s">
        <v>77</v>
      </c>
      <c r="C347" s="3" t="s">
        <v>125</v>
      </c>
      <c r="D347" s="3" t="s">
        <v>317</v>
      </c>
      <c r="E347" s="3">
        <v>56</v>
      </c>
      <c r="G347" s="57"/>
    </row>
    <row r="348" spans="1:7" ht="12.75" x14ac:dyDescent="0.2">
      <c r="A348" s="3">
        <v>47</v>
      </c>
      <c r="B348" s="4" t="s">
        <v>77</v>
      </c>
      <c r="C348" s="3" t="s">
        <v>125</v>
      </c>
      <c r="D348" s="3" t="s">
        <v>14</v>
      </c>
      <c r="E348" s="3">
        <v>15</v>
      </c>
      <c r="G348" s="57"/>
    </row>
    <row r="349" spans="1:7" ht="12.75" x14ac:dyDescent="0.2">
      <c r="A349" s="3">
        <v>47</v>
      </c>
      <c r="B349" s="4" t="s">
        <v>77</v>
      </c>
      <c r="C349" s="3" t="s">
        <v>125</v>
      </c>
      <c r="D349" s="3" t="s">
        <v>138</v>
      </c>
      <c r="E349" s="3">
        <v>14</v>
      </c>
      <c r="F349">
        <f>SUM(E342:E349)</f>
        <v>851</v>
      </c>
      <c r="G349" s="57"/>
    </row>
    <row r="350" spans="1:7" ht="12.75" x14ac:dyDescent="0.2">
      <c r="A350" s="3">
        <v>48</v>
      </c>
      <c r="B350" s="4" t="s">
        <v>78</v>
      </c>
      <c r="C350" s="3" t="s">
        <v>125</v>
      </c>
      <c r="D350" s="3" t="s">
        <v>3</v>
      </c>
      <c r="E350" s="3">
        <v>2132</v>
      </c>
      <c r="G350" s="59">
        <v>5167</v>
      </c>
    </row>
    <row r="351" spans="1:7" ht="12.75" x14ac:dyDescent="0.2">
      <c r="A351" s="3">
        <v>48</v>
      </c>
      <c r="B351" s="4" t="s">
        <v>78</v>
      </c>
      <c r="C351" s="3" t="s">
        <v>125</v>
      </c>
      <c r="D351" s="3" t="s">
        <v>16</v>
      </c>
      <c r="E351" s="3">
        <v>107</v>
      </c>
      <c r="G351" s="57"/>
    </row>
    <row r="352" spans="1:7" ht="12.75" x14ac:dyDescent="0.2">
      <c r="A352" s="3">
        <v>48</v>
      </c>
      <c r="B352" s="4" t="s">
        <v>78</v>
      </c>
      <c r="C352" s="3" t="s">
        <v>125</v>
      </c>
      <c r="D352" s="3" t="s">
        <v>149</v>
      </c>
      <c r="E352" s="3">
        <v>121</v>
      </c>
      <c r="G352" s="57"/>
    </row>
    <row r="353" spans="1:7" ht="12.75" x14ac:dyDescent="0.2">
      <c r="A353" s="3">
        <v>48</v>
      </c>
      <c r="B353" s="4" t="s">
        <v>78</v>
      </c>
      <c r="C353" s="3" t="s">
        <v>125</v>
      </c>
      <c r="D353" s="3" t="s">
        <v>129</v>
      </c>
      <c r="E353" s="3">
        <v>84</v>
      </c>
      <c r="G353" s="57"/>
    </row>
    <row r="354" spans="1:7" ht="12.75" x14ac:dyDescent="0.2">
      <c r="A354" s="3">
        <v>48</v>
      </c>
      <c r="B354" s="4" t="s">
        <v>78</v>
      </c>
      <c r="C354" s="3" t="s">
        <v>125</v>
      </c>
      <c r="D354" s="3" t="s">
        <v>132</v>
      </c>
      <c r="E354" s="3">
        <v>1085</v>
      </c>
      <c r="G354" s="57"/>
    </row>
    <row r="355" spans="1:7" ht="12.75" x14ac:dyDescent="0.2">
      <c r="A355" s="3">
        <v>48</v>
      </c>
      <c r="B355" s="4" t="s">
        <v>78</v>
      </c>
      <c r="C355" s="3" t="s">
        <v>125</v>
      </c>
      <c r="D355" s="3" t="s">
        <v>317</v>
      </c>
      <c r="E355" s="3">
        <v>573</v>
      </c>
      <c r="G355" s="57"/>
    </row>
    <row r="356" spans="1:7" ht="12.75" x14ac:dyDescent="0.2">
      <c r="A356" s="3">
        <v>48</v>
      </c>
      <c r="B356" s="4" t="s">
        <v>78</v>
      </c>
      <c r="C356" s="3" t="s">
        <v>125</v>
      </c>
      <c r="D356" s="3" t="s">
        <v>14</v>
      </c>
      <c r="E356" s="3">
        <v>38</v>
      </c>
      <c r="G356" s="57"/>
    </row>
    <row r="357" spans="1:7" ht="12.75" x14ac:dyDescent="0.2">
      <c r="A357" s="3">
        <v>48</v>
      </c>
      <c r="B357" s="4" t="s">
        <v>78</v>
      </c>
      <c r="C357" s="3" t="s">
        <v>125</v>
      </c>
      <c r="D357" s="3" t="s">
        <v>138</v>
      </c>
      <c r="E357" s="3">
        <v>84</v>
      </c>
      <c r="F357">
        <f>SUM(E350:E357)</f>
        <v>4224</v>
      </c>
      <c r="G357" s="57"/>
    </row>
    <row r="358" spans="1:7" ht="12.75" x14ac:dyDescent="0.2">
      <c r="A358" s="3">
        <v>49</v>
      </c>
      <c r="B358" s="4" t="s">
        <v>79</v>
      </c>
      <c r="C358" s="3" t="s">
        <v>125</v>
      </c>
      <c r="D358" s="3" t="s">
        <v>3</v>
      </c>
      <c r="E358" s="3">
        <v>96</v>
      </c>
      <c r="G358" s="59">
        <v>188</v>
      </c>
    </row>
    <row r="359" spans="1:7" ht="12.75" x14ac:dyDescent="0.2">
      <c r="A359" s="3">
        <v>49</v>
      </c>
      <c r="B359" s="4" t="s">
        <v>79</v>
      </c>
      <c r="C359" s="3" t="s">
        <v>125</v>
      </c>
      <c r="D359" s="3" t="s">
        <v>16</v>
      </c>
      <c r="E359" s="3">
        <v>2</v>
      </c>
      <c r="G359" s="57"/>
    </row>
    <row r="360" spans="1:7" ht="12.75" x14ac:dyDescent="0.2">
      <c r="A360" s="3">
        <v>49</v>
      </c>
      <c r="B360" s="4" t="s">
        <v>79</v>
      </c>
      <c r="C360" s="3" t="s">
        <v>125</v>
      </c>
      <c r="D360" s="3" t="s">
        <v>149</v>
      </c>
      <c r="E360" s="3">
        <v>7</v>
      </c>
      <c r="G360" s="57"/>
    </row>
    <row r="361" spans="1:7" ht="12.75" x14ac:dyDescent="0.2">
      <c r="A361" s="3">
        <v>49</v>
      </c>
      <c r="B361" s="4" t="s">
        <v>79</v>
      </c>
      <c r="C361" s="3" t="s">
        <v>125</v>
      </c>
      <c r="D361" s="3" t="s">
        <v>129</v>
      </c>
      <c r="E361" s="3">
        <v>4</v>
      </c>
      <c r="G361" s="57"/>
    </row>
    <row r="362" spans="1:7" ht="12.75" x14ac:dyDescent="0.2">
      <c r="A362" s="3">
        <v>49</v>
      </c>
      <c r="B362" s="4" t="s">
        <v>79</v>
      </c>
      <c r="C362" s="3" t="s">
        <v>125</v>
      </c>
      <c r="D362" s="3" t="s">
        <v>132</v>
      </c>
      <c r="E362" s="3">
        <v>35</v>
      </c>
      <c r="G362" s="57"/>
    </row>
    <row r="363" spans="1:7" ht="12.75" x14ac:dyDescent="0.2">
      <c r="A363" s="3">
        <v>49</v>
      </c>
      <c r="B363" s="4" t="s">
        <v>79</v>
      </c>
      <c r="C363" s="3" t="s">
        <v>125</v>
      </c>
      <c r="D363" s="3" t="s">
        <v>317</v>
      </c>
      <c r="E363" s="3">
        <v>3</v>
      </c>
      <c r="G363" s="57"/>
    </row>
    <row r="364" spans="1:7" ht="12.75" x14ac:dyDescent="0.2">
      <c r="A364" s="3">
        <v>49</v>
      </c>
      <c r="B364" s="4" t="s">
        <v>79</v>
      </c>
      <c r="C364" s="3" t="s">
        <v>125</v>
      </c>
      <c r="D364" s="3" t="s">
        <v>14</v>
      </c>
      <c r="E364" s="3">
        <v>0</v>
      </c>
      <c r="G364" s="57"/>
    </row>
    <row r="365" spans="1:7" ht="12.75" x14ac:dyDescent="0.2">
      <c r="A365" s="3">
        <v>49</v>
      </c>
      <c r="B365" s="4" t="s">
        <v>79</v>
      </c>
      <c r="C365" s="3" t="s">
        <v>125</v>
      </c>
      <c r="D365" s="3" t="s">
        <v>138</v>
      </c>
      <c r="E365" s="3">
        <v>3</v>
      </c>
      <c r="F365">
        <f>SUM(E358:E365)</f>
        <v>150</v>
      </c>
      <c r="G365" s="57"/>
    </row>
    <row r="366" spans="1:7" ht="12.75" x14ac:dyDescent="0.2">
      <c r="A366" s="3">
        <v>53</v>
      </c>
      <c r="B366" s="4" t="s">
        <v>80</v>
      </c>
      <c r="C366" s="3" t="s">
        <v>125</v>
      </c>
      <c r="D366" s="3" t="s">
        <v>3</v>
      </c>
      <c r="E366" s="3">
        <v>136</v>
      </c>
      <c r="G366" s="59">
        <v>222</v>
      </c>
    </row>
    <row r="367" spans="1:7" ht="12.75" x14ac:dyDescent="0.2">
      <c r="A367" s="3">
        <v>53</v>
      </c>
      <c r="B367" s="4" t="s">
        <v>80</v>
      </c>
      <c r="C367" s="3" t="s">
        <v>125</v>
      </c>
      <c r="D367" s="3" t="s">
        <v>16</v>
      </c>
      <c r="E367" s="3">
        <v>1</v>
      </c>
      <c r="G367" s="57"/>
    </row>
    <row r="368" spans="1:7" ht="12.75" x14ac:dyDescent="0.2">
      <c r="A368" s="3">
        <v>53</v>
      </c>
      <c r="B368" s="4" t="s">
        <v>80</v>
      </c>
      <c r="C368" s="3" t="s">
        <v>125</v>
      </c>
      <c r="D368" s="3" t="s">
        <v>149</v>
      </c>
      <c r="E368" s="3">
        <v>5</v>
      </c>
      <c r="G368" s="57"/>
    </row>
    <row r="369" spans="1:7" ht="12.75" x14ac:dyDescent="0.2">
      <c r="A369" s="3">
        <v>53</v>
      </c>
      <c r="B369" s="4" t="s">
        <v>80</v>
      </c>
      <c r="C369" s="3" t="s">
        <v>125</v>
      </c>
      <c r="D369" s="3" t="s">
        <v>129</v>
      </c>
      <c r="E369" s="3">
        <v>1</v>
      </c>
      <c r="G369" s="57"/>
    </row>
    <row r="370" spans="1:7" ht="12.75" x14ac:dyDescent="0.2">
      <c r="A370" s="3">
        <v>53</v>
      </c>
      <c r="B370" s="4" t="s">
        <v>80</v>
      </c>
      <c r="C370" s="3" t="s">
        <v>125</v>
      </c>
      <c r="D370" s="3" t="s">
        <v>132</v>
      </c>
      <c r="E370" s="3">
        <v>35</v>
      </c>
      <c r="G370" s="57"/>
    </row>
    <row r="371" spans="1:7" ht="12.75" x14ac:dyDescent="0.2">
      <c r="A371" s="3">
        <v>53</v>
      </c>
      <c r="B371" s="4" t="s">
        <v>80</v>
      </c>
      <c r="C371" s="3" t="s">
        <v>125</v>
      </c>
      <c r="D371" s="3" t="s">
        <v>317</v>
      </c>
      <c r="E371" s="3">
        <v>6</v>
      </c>
      <c r="G371" s="57"/>
    </row>
    <row r="372" spans="1:7" ht="12.75" x14ac:dyDescent="0.2">
      <c r="A372" s="3">
        <v>53</v>
      </c>
      <c r="B372" s="4" t="s">
        <v>80</v>
      </c>
      <c r="C372" s="3" t="s">
        <v>125</v>
      </c>
      <c r="D372" s="3" t="s">
        <v>14</v>
      </c>
      <c r="E372" s="3">
        <v>4</v>
      </c>
      <c r="G372" s="57"/>
    </row>
    <row r="373" spans="1:7" ht="12.75" x14ac:dyDescent="0.2">
      <c r="A373" s="3">
        <v>53</v>
      </c>
      <c r="B373" s="4" t="s">
        <v>80</v>
      </c>
      <c r="C373" s="3" t="s">
        <v>125</v>
      </c>
      <c r="D373" s="3" t="s">
        <v>138</v>
      </c>
      <c r="E373" s="3">
        <v>3</v>
      </c>
      <c r="F373">
        <f>SUM(E366:E373)</f>
        <v>191</v>
      </c>
      <c r="G373" s="57"/>
    </row>
    <row r="374" spans="1:7" ht="12.75" x14ac:dyDescent="0.2">
      <c r="A374" s="3">
        <v>54</v>
      </c>
      <c r="B374" s="4" t="s">
        <v>81</v>
      </c>
      <c r="C374" s="3" t="s">
        <v>125</v>
      </c>
      <c r="D374" s="3" t="s">
        <v>3</v>
      </c>
      <c r="E374" s="3">
        <v>108</v>
      </c>
      <c r="G374" s="59">
        <v>177</v>
      </c>
    </row>
    <row r="375" spans="1:7" ht="12.75" x14ac:dyDescent="0.2">
      <c r="A375" s="3">
        <v>54</v>
      </c>
      <c r="B375" s="4" t="s">
        <v>81</v>
      </c>
      <c r="C375" s="3" t="s">
        <v>125</v>
      </c>
      <c r="D375" s="3" t="s">
        <v>16</v>
      </c>
      <c r="E375" s="3">
        <v>1</v>
      </c>
      <c r="G375" s="57"/>
    </row>
    <row r="376" spans="1:7" ht="12.75" x14ac:dyDescent="0.2">
      <c r="A376" s="3">
        <v>54</v>
      </c>
      <c r="B376" s="4" t="s">
        <v>81</v>
      </c>
      <c r="C376" s="3" t="s">
        <v>125</v>
      </c>
      <c r="D376" s="3" t="s">
        <v>149</v>
      </c>
      <c r="E376" s="3">
        <v>2</v>
      </c>
      <c r="G376" s="57"/>
    </row>
    <row r="377" spans="1:7" ht="12.75" x14ac:dyDescent="0.2">
      <c r="A377" s="3">
        <v>54</v>
      </c>
      <c r="B377" s="4" t="s">
        <v>81</v>
      </c>
      <c r="C377" s="3" t="s">
        <v>125</v>
      </c>
      <c r="D377" s="3" t="s">
        <v>129</v>
      </c>
      <c r="E377" s="3">
        <v>0</v>
      </c>
      <c r="G377" s="57"/>
    </row>
    <row r="378" spans="1:7" ht="12.75" x14ac:dyDescent="0.2">
      <c r="A378" s="3">
        <v>54</v>
      </c>
      <c r="B378" s="4" t="s">
        <v>81</v>
      </c>
      <c r="C378" s="3" t="s">
        <v>125</v>
      </c>
      <c r="D378" s="3" t="s">
        <v>132</v>
      </c>
      <c r="E378" s="3">
        <v>19</v>
      </c>
      <c r="G378" s="57"/>
    </row>
    <row r="379" spans="1:7" ht="12.75" x14ac:dyDescent="0.2">
      <c r="A379" s="3">
        <v>54</v>
      </c>
      <c r="B379" s="4" t="s">
        <v>81</v>
      </c>
      <c r="C379" s="3" t="s">
        <v>125</v>
      </c>
      <c r="D379" s="3" t="s">
        <v>317</v>
      </c>
      <c r="E379" s="3">
        <v>4</v>
      </c>
      <c r="G379" s="57"/>
    </row>
    <row r="380" spans="1:7" ht="12.75" x14ac:dyDescent="0.2">
      <c r="A380" s="3">
        <v>54</v>
      </c>
      <c r="B380" s="4" t="s">
        <v>81</v>
      </c>
      <c r="C380" s="3" t="s">
        <v>125</v>
      </c>
      <c r="D380" s="3" t="s">
        <v>14</v>
      </c>
      <c r="E380" s="3">
        <v>1</v>
      </c>
      <c r="G380" s="57"/>
    </row>
    <row r="381" spans="1:7" ht="12.75" x14ac:dyDescent="0.2">
      <c r="A381" s="3">
        <v>54</v>
      </c>
      <c r="B381" s="4" t="s">
        <v>81</v>
      </c>
      <c r="C381" s="3" t="s">
        <v>125</v>
      </c>
      <c r="D381" s="3" t="s">
        <v>138</v>
      </c>
      <c r="E381" s="3">
        <v>1</v>
      </c>
      <c r="F381">
        <f>SUM(E374:E381)</f>
        <v>136</v>
      </c>
      <c r="G381" s="57"/>
    </row>
    <row r="382" spans="1:7" ht="12.75" x14ac:dyDescent="0.2">
      <c r="A382" s="3">
        <v>55</v>
      </c>
      <c r="B382" s="4" t="s">
        <v>82</v>
      </c>
      <c r="C382" s="3" t="s">
        <v>125</v>
      </c>
      <c r="D382" s="3" t="s">
        <v>3</v>
      </c>
      <c r="E382" s="3">
        <v>123</v>
      </c>
      <c r="G382" s="59">
        <v>326</v>
      </c>
    </row>
    <row r="383" spans="1:7" ht="12.75" x14ac:dyDescent="0.2">
      <c r="A383" s="3">
        <v>55</v>
      </c>
      <c r="B383" s="4" t="s">
        <v>82</v>
      </c>
      <c r="C383" s="3" t="s">
        <v>125</v>
      </c>
      <c r="D383" s="3" t="s">
        <v>16</v>
      </c>
      <c r="E383" s="3">
        <v>6</v>
      </c>
      <c r="G383" s="57"/>
    </row>
    <row r="384" spans="1:7" ht="12.75" x14ac:dyDescent="0.2">
      <c r="A384" s="3">
        <v>55</v>
      </c>
      <c r="B384" s="4" t="s">
        <v>82</v>
      </c>
      <c r="C384" s="3" t="s">
        <v>125</v>
      </c>
      <c r="D384" s="3" t="s">
        <v>149</v>
      </c>
      <c r="E384" s="3">
        <v>14</v>
      </c>
      <c r="G384" s="57"/>
    </row>
    <row r="385" spans="1:7" ht="12.75" x14ac:dyDescent="0.2">
      <c r="A385" s="3">
        <v>55</v>
      </c>
      <c r="B385" s="4" t="s">
        <v>82</v>
      </c>
      <c r="C385" s="3" t="s">
        <v>125</v>
      </c>
      <c r="D385" s="3" t="s">
        <v>129</v>
      </c>
      <c r="E385" s="3">
        <v>5</v>
      </c>
      <c r="G385" s="57"/>
    </row>
    <row r="386" spans="1:7" ht="12.75" x14ac:dyDescent="0.2">
      <c r="A386" s="3">
        <v>55</v>
      </c>
      <c r="B386" s="4" t="s">
        <v>82</v>
      </c>
      <c r="C386" s="3" t="s">
        <v>125</v>
      </c>
      <c r="D386" s="3" t="s">
        <v>132</v>
      </c>
      <c r="E386" s="3">
        <v>89</v>
      </c>
      <c r="G386" s="57"/>
    </row>
    <row r="387" spans="1:7" ht="12.75" x14ac:dyDescent="0.2">
      <c r="A387" s="3">
        <v>55</v>
      </c>
      <c r="B387" s="4" t="s">
        <v>82</v>
      </c>
      <c r="C387" s="3" t="s">
        <v>125</v>
      </c>
      <c r="D387" s="3" t="s">
        <v>317</v>
      </c>
      <c r="E387" s="3">
        <v>51</v>
      </c>
      <c r="G387" s="57"/>
    </row>
    <row r="388" spans="1:7" ht="12.75" x14ac:dyDescent="0.2">
      <c r="A388" s="3">
        <v>55</v>
      </c>
      <c r="B388" s="4" t="s">
        <v>82</v>
      </c>
      <c r="C388" s="3" t="s">
        <v>125</v>
      </c>
      <c r="D388" s="3" t="s">
        <v>14</v>
      </c>
      <c r="E388" s="3">
        <v>1</v>
      </c>
      <c r="G388" s="57"/>
    </row>
    <row r="389" spans="1:7" ht="12.75" x14ac:dyDescent="0.2">
      <c r="A389" s="3">
        <v>55</v>
      </c>
      <c r="B389" s="4" t="s">
        <v>82</v>
      </c>
      <c r="C389" s="3" t="s">
        <v>125</v>
      </c>
      <c r="D389" s="3" t="s">
        <v>138</v>
      </c>
      <c r="E389" s="3">
        <v>6</v>
      </c>
      <c r="F389">
        <f>SUM(E382:E389)</f>
        <v>295</v>
      </c>
      <c r="G389" s="57"/>
    </row>
    <row r="390" spans="1:7" ht="12.75" x14ac:dyDescent="0.2">
      <c r="A390" s="3">
        <v>56</v>
      </c>
      <c r="B390" s="4" t="s">
        <v>83</v>
      </c>
      <c r="C390" s="3" t="s">
        <v>125</v>
      </c>
      <c r="D390" s="3" t="s">
        <v>3</v>
      </c>
      <c r="E390" s="3">
        <v>134</v>
      </c>
      <c r="G390" s="59">
        <v>442</v>
      </c>
    </row>
    <row r="391" spans="1:7" ht="12.75" x14ac:dyDescent="0.2">
      <c r="A391" s="3">
        <v>56</v>
      </c>
      <c r="B391" s="4" t="s">
        <v>83</v>
      </c>
      <c r="C391" s="3" t="s">
        <v>125</v>
      </c>
      <c r="D391" s="3" t="s">
        <v>16</v>
      </c>
      <c r="E391" s="3">
        <v>5</v>
      </c>
      <c r="G391" s="57"/>
    </row>
    <row r="392" spans="1:7" ht="12.75" x14ac:dyDescent="0.2">
      <c r="A392" s="3">
        <v>56</v>
      </c>
      <c r="B392" s="4" t="s">
        <v>83</v>
      </c>
      <c r="C392" s="3" t="s">
        <v>125</v>
      </c>
      <c r="D392" s="3" t="s">
        <v>149</v>
      </c>
      <c r="E392" s="3">
        <v>14</v>
      </c>
      <c r="G392" s="57"/>
    </row>
    <row r="393" spans="1:7" ht="12.75" x14ac:dyDescent="0.2">
      <c r="A393" s="3">
        <v>56</v>
      </c>
      <c r="B393" s="4" t="s">
        <v>83</v>
      </c>
      <c r="C393" s="3" t="s">
        <v>125</v>
      </c>
      <c r="D393" s="3" t="s">
        <v>129</v>
      </c>
      <c r="E393" s="3">
        <v>4</v>
      </c>
      <c r="G393" s="57"/>
    </row>
    <row r="394" spans="1:7" ht="12.75" x14ac:dyDescent="0.2">
      <c r="A394" s="3">
        <v>56</v>
      </c>
      <c r="B394" s="4" t="s">
        <v>83</v>
      </c>
      <c r="C394" s="3" t="s">
        <v>125</v>
      </c>
      <c r="D394" s="3" t="s">
        <v>132</v>
      </c>
      <c r="E394" s="3">
        <v>115</v>
      </c>
      <c r="G394" s="57"/>
    </row>
    <row r="395" spans="1:7" ht="12.75" x14ac:dyDescent="0.2">
      <c r="A395" s="3">
        <v>56</v>
      </c>
      <c r="B395" s="4" t="s">
        <v>83</v>
      </c>
      <c r="C395" s="3" t="s">
        <v>125</v>
      </c>
      <c r="D395" s="3" t="s">
        <v>317</v>
      </c>
      <c r="E395" s="3">
        <v>79</v>
      </c>
      <c r="G395" s="57"/>
    </row>
    <row r="396" spans="1:7" ht="12.75" x14ac:dyDescent="0.2">
      <c r="A396" s="3">
        <v>56</v>
      </c>
      <c r="B396" s="4" t="s">
        <v>83</v>
      </c>
      <c r="C396" s="3" t="s">
        <v>125</v>
      </c>
      <c r="D396" s="3" t="s">
        <v>14</v>
      </c>
      <c r="E396" s="3">
        <v>2</v>
      </c>
      <c r="G396" s="57"/>
    </row>
    <row r="397" spans="1:7" ht="12.75" x14ac:dyDescent="0.2">
      <c r="A397" s="3">
        <v>56</v>
      </c>
      <c r="B397" s="4" t="s">
        <v>83</v>
      </c>
      <c r="C397" s="3" t="s">
        <v>125</v>
      </c>
      <c r="D397" s="3" t="s">
        <v>138</v>
      </c>
      <c r="E397" s="3">
        <v>5</v>
      </c>
      <c r="F397">
        <f>SUM(E390:E397)</f>
        <v>358</v>
      </c>
      <c r="G397" s="57"/>
    </row>
    <row r="398" spans="1:7" ht="12.75" x14ac:dyDescent="0.2">
      <c r="A398" s="2" t="s">
        <v>175</v>
      </c>
      <c r="B398" s="4" t="s">
        <v>84</v>
      </c>
      <c r="C398" s="3" t="s">
        <v>125</v>
      </c>
      <c r="D398" s="3" t="s">
        <v>3</v>
      </c>
      <c r="E398" s="3">
        <v>10306</v>
      </c>
      <c r="G398" s="59">
        <v>46727</v>
      </c>
    </row>
    <row r="399" spans="1:7" ht="12.75" x14ac:dyDescent="0.2">
      <c r="A399" s="2" t="s">
        <v>175</v>
      </c>
      <c r="B399" s="4" t="s">
        <v>84</v>
      </c>
      <c r="C399" s="3" t="s">
        <v>125</v>
      </c>
      <c r="D399" s="3" t="s">
        <v>16</v>
      </c>
      <c r="E399" s="3">
        <v>1459</v>
      </c>
      <c r="G399" s="57"/>
    </row>
    <row r="400" spans="1:7" ht="12.75" x14ac:dyDescent="0.2">
      <c r="A400" s="2" t="s">
        <v>175</v>
      </c>
      <c r="B400" s="4" t="s">
        <v>84</v>
      </c>
      <c r="C400" s="3" t="s">
        <v>125</v>
      </c>
      <c r="D400" s="3" t="s">
        <v>149</v>
      </c>
      <c r="E400" s="3">
        <v>1999</v>
      </c>
      <c r="G400" s="57"/>
    </row>
    <row r="401" spans="1:7" ht="12.75" x14ac:dyDescent="0.2">
      <c r="A401" s="2" t="s">
        <v>175</v>
      </c>
      <c r="B401" s="4" t="s">
        <v>84</v>
      </c>
      <c r="C401" s="3" t="s">
        <v>125</v>
      </c>
      <c r="D401" s="3" t="s">
        <v>129</v>
      </c>
      <c r="E401" s="3">
        <v>950</v>
      </c>
      <c r="G401" s="57"/>
    </row>
    <row r="402" spans="1:7" ht="12.75" x14ac:dyDescent="0.2">
      <c r="A402" s="2" t="s">
        <v>175</v>
      </c>
      <c r="B402" s="4" t="s">
        <v>84</v>
      </c>
      <c r="C402" s="3" t="s">
        <v>125</v>
      </c>
      <c r="D402" s="3" t="s">
        <v>132</v>
      </c>
      <c r="E402" s="3">
        <v>9568</v>
      </c>
      <c r="G402" s="57"/>
    </row>
    <row r="403" spans="1:7" ht="12.75" x14ac:dyDescent="0.2">
      <c r="A403" s="2" t="s">
        <v>175</v>
      </c>
      <c r="B403" s="4" t="s">
        <v>84</v>
      </c>
      <c r="C403" s="3" t="s">
        <v>125</v>
      </c>
      <c r="D403" s="3" t="s">
        <v>317</v>
      </c>
      <c r="E403" s="3">
        <v>11376</v>
      </c>
      <c r="G403" s="57"/>
    </row>
    <row r="404" spans="1:7" ht="12.75" x14ac:dyDescent="0.2">
      <c r="A404" s="2" t="s">
        <v>175</v>
      </c>
      <c r="B404" s="4" t="s">
        <v>84</v>
      </c>
      <c r="C404" s="3" t="s">
        <v>125</v>
      </c>
      <c r="D404" s="3" t="s">
        <v>14</v>
      </c>
      <c r="E404" s="3">
        <v>407</v>
      </c>
      <c r="G404" s="57"/>
    </row>
    <row r="405" spans="1:7" ht="12.75" x14ac:dyDescent="0.2">
      <c r="A405" s="2" t="s">
        <v>175</v>
      </c>
      <c r="B405" s="4" t="s">
        <v>84</v>
      </c>
      <c r="C405" s="3" t="s">
        <v>125</v>
      </c>
      <c r="D405" s="3" t="s">
        <v>138</v>
      </c>
      <c r="E405" s="3">
        <v>962</v>
      </c>
      <c r="F405">
        <f>SUM(E398:E405)</f>
        <v>37027</v>
      </c>
      <c r="G405" s="57"/>
    </row>
    <row r="406" spans="1:7" ht="12.75" x14ac:dyDescent="0.2">
      <c r="A406" s="3">
        <v>59</v>
      </c>
      <c r="B406" s="4" t="s">
        <v>85</v>
      </c>
      <c r="C406" s="3" t="s">
        <v>125</v>
      </c>
      <c r="D406" s="3" t="s">
        <v>3</v>
      </c>
      <c r="E406" s="3">
        <v>160</v>
      </c>
      <c r="G406" s="59">
        <v>348</v>
      </c>
    </row>
    <row r="407" spans="1:7" ht="12.75" x14ac:dyDescent="0.2">
      <c r="A407" s="3">
        <v>59</v>
      </c>
      <c r="B407" s="4" t="s">
        <v>85</v>
      </c>
      <c r="C407" s="3" t="s">
        <v>125</v>
      </c>
      <c r="D407" s="3" t="s">
        <v>16</v>
      </c>
      <c r="E407" s="3">
        <v>3</v>
      </c>
      <c r="G407" s="57"/>
    </row>
    <row r="408" spans="1:7" ht="12.75" x14ac:dyDescent="0.2">
      <c r="A408" s="3">
        <v>59</v>
      </c>
      <c r="B408" s="4" t="s">
        <v>85</v>
      </c>
      <c r="C408" s="3" t="s">
        <v>125</v>
      </c>
      <c r="D408" s="3" t="s">
        <v>149</v>
      </c>
      <c r="E408" s="3">
        <v>10</v>
      </c>
      <c r="G408" s="57"/>
    </row>
    <row r="409" spans="1:7" ht="12.75" x14ac:dyDescent="0.2">
      <c r="A409" s="3">
        <v>59</v>
      </c>
      <c r="B409" s="4" t="s">
        <v>85</v>
      </c>
      <c r="C409" s="3" t="s">
        <v>125</v>
      </c>
      <c r="D409" s="3" t="s">
        <v>129</v>
      </c>
      <c r="E409" s="3">
        <v>2</v>
      </c>
      <c r="G409" s="57"/>
    </row>
    <row r="410" spans="1:7" ht="12.75" x14ac:dyDescent="0.2">
      <c r="A410" s="3">
        <v>59</v>
      </c>
      <c r="B410" s="4" t="s">
        <v>85</v>
      </c>
      <c r="C410" s="3" t="s">
        <v>125</v>
      </c>
      <c r="D410" s="3" t="s">
        <v>132</v>
      </c>
      <c r="E410" s="3">
        <v>77</v>
      </c>
      <c r="G410" s="57"/>
    </row>
    <row r="411" spans="1:7" ht="12.75" x14ac:dyDescent="0.2">
      <c r="A411" s="3">
        <v>59</v>
      </c>
      <c r="B411" s="4" t="s">
        <v>85</v>
      </c>
      <c r="C411" s="3" t="s">
        <v>125</v>
      </c>
      <c r="D411" s="3" t="s">
        <v>317</v>
      </c>
      <c r="E411" s="3">
        <v>54</v>
      </c>
      <c r="G411" s="57"/>
    </row>
    <row r="412" spans="1:7" ht="12.75" x14ac:dyDescent="0.2">
      <c r="A412" s="3">
        <v>59</v>
      </c>
      <c r="B412" s="4" t="s">
        <v>85</v>
      </c>
      <c r="C412" s="3" t="s">
        <v>125</v>
      </c>
      <c r="D412" s="3" t="s">
        <v>14</v>
      </c>
      <c r="E412" s="3">
        <v>2</v>
      </c>
      <c r="G412" s="57"/>
    </row>
    <row r="413" spans="1:7" ht="12.75" x14ac:dyDescent="0.2">
      <c r="A413" s="3">
        <v>59</v>
      </c>
      <c r="B413" s="4" t="s">
        <v>85</v>
      </c>
      <c r="C413" s="3" t="s">
        <v>125</v>
      </c>
      <c r="D413" s="3" t="s">
        <v>138</v>
      </c>
      <c r="E413" s="3">
        <v>2</v>
      </c>
      <c r="F413">
        <f>SUM(E406:E413)</f>
        <v>310</v>
      </c>
      <c r="G413" s="57"/>
    </row>
    <row r="414" spans="1:7" ht="12.75" x14ac:dyDescent="0.2">
      <c r="A414" s="3">
        <v>60</v>
      </c>
      <c r="B414" s="4" t="s">
        <v>154</v>
      </c>
      <c r="C414" s="3" t="s">
        <v>125</v>
      </c>
      <c r="D414" s="3" t="s">
        <v>3</v>
      </c>
      <c r="E414" s="3">
        <v>14</v>
      </c>
      <c r="G414" s="59">
        <v>50</v>
      </c>
    </row>
    <row r="415" spans="1:7" ht="12.75" x14ac:dyDescent="0.2">
      <c r="A415" s="3">
        <v>60</v>
      </c>
      <c r="B415" s="4" t="s">
        <v>154</v>
      </c>
      <c r="C415" s="3" t="s">
        <v>125</v>
      </c>
      <c r="D415" s="3" t="s">
        <v>16</v>
      </c>
      <c r="E415" s="3">
        <v>0</v>
      </c>
      <c r="G415" s="57"/>
    </row>
    <row r="416" spans="1:7" ht="12.75" x14ac:dyDescent="0.2">
      <c r="A416" s="3">
        <v>60</v>
      </c>
      <c r="B416" s="4" t="s">
        <v>154</v>
      </c>
      <c r="C416" s="3" t="s">
        <v>125</v>
      </c>
      <c r="D416" s="3" t="s">
        <v>149</v>
      </c>
      <c r="E416" s="3">
        <v>1</v>
      </c>
      <c r="G416" s="57"/>
    </row>
    <row r="417" spans="1:7" ht="12.75" x14ac:dyDescent="0.2">
      <c r="A417" s="3">
        <v>60</v>
      </c>
      <c r="B417" s="4" t="s">
        <v>154</v>
      </c>
      <c r="C417" s="3" t="s">
        <v>125</v>
      </c>
      <c r="D417" s="3" t="s">
        <v>129</v>
      </c>
      <c r="E417" s="3">
        <v>1</v>
      </c>
      <c r="G417" s="57"/>
    </row>
    <row r="418" spans="1:7" ht="12.75" x14ac:dyDescent="0.2">
      <c r="A418" s="3">
        <v>60</v>
      </c>
      <c r="B418" s="4" t="s">
        <v>154</v>
      </c>
      <c r="C418" s="3" t="s">
        <v>125</v>
      </c>
      <c r="D418" s="3" t="s">
        <v>132</v>
      </c>
      <c r="E418" s="3">
        <v>3</v>
      </c>
      <c r="G418" s="57"/>
    </row>
    <row r="419" spans="1:7" ht="12.75" x14ac:dyDescent="0.2">
      <c r="A419" s="3">
        <v>60</v>
      </c>
      <c r="B419" s="4" t="s">
        <v>154</v>
      </c>
      <c r="C419" s="3" t="s">
        <v>125</v>
      </c>
      <c r="D419" s="3" t="s">
        <v>317</v>
      </c>
      <c r="E419" s="3">
        <v>15</v>
      </c>
      <c r="G419" s="57"/>
    </row>
    <row r="420" spans="1:7" ht="12.75" x14ac:dyDescent="0.2">
      <c r="A420" s="3">
        <v>60</v>
      </c>
      <c r="B420" s="4" t="s">
        <v>154</v>
      </c>
      <c r="C420" s="3" t="s">
        <v>125</v>
      </c>
      <c r="D420" s="3" t="s">
        <v>14</v>
      </c>
      <c r="E420" s="3">
        <v>0</v>
      </c>
      <c r="G420" s="57"/>
    </row>
    <row r="421" spans="1:7" ht="12.75" x14ac:dyDescent="0.2">
      <c r="A421" s="3">
        <v>60</v>
      </c>
      <c r="B421" s="4" t="s">
        <v>154</v>
      </c>
      <c r="C421" s="3" t="s">
        <v>125</v>
      </c>
      <c r="D421" s="3" t="s">
        <v>138</v>
      </c>
      <c r="E421" s="3">
        <v>2</v>
      </c>
      <c r="F421">
        <f>SUM(E414:E421)</f>
        <v>36</v>
      </c>
      <c r="G421" s="57"/>
    </row>
    <row r="422" spans="1:7" ht="12.75" x14ac:dyDescent="0.2">
      <c r="A422" s="3">
        <v>61</v>
      </c>
      <c r="B422" s="4" t="s">
        <v>86</v>
      </c>
      <c r="C422" s="3" t="s">
        <v>125</v>
      </c>
      <c r="D422" s="3" t="s">
        <v>3</v>
      </c>
      <c r="E422" s="3">
        <v>1560</v>
      </c>
      <c r="G422" s="59">
        <v>6365</v>
      </c>
    </row>
    <row r="423" spans="1:7" ht="12.75" x14ac:dyDescent="0.2">
      <c r="A423" s="3">
        <v>61</v>
      </c>
      <c r="B423" s="4" t="s">
        <v>86</v>
      </c>
      <c r="C423" s="3" t="s">
        <v>125</v>
      </c>
      <c r="D423" s="3" t="s">
        <v>16</v>
      </c>
      <c r="E423" s="3">
        <v>197</v>
      </c>
      <c r="G423" s="57"/>
    </row>
    <row r="424" spans="1:7" ht="12.75" x14ac:dyDescent="0.2">
      <c r="A424" s="3">
        <v>61</v>
      </c>
      <c r="B424" s="4" t="s">
        <v>86</v>
      </c>
      <c r="C424" s="3" t="s">
        <v>125</v>
      </c>
      <c r="D424" s="3" t="s">
        <v>149</v>
      </c>
      <c r="E424" s="3">
        <v>404</v>
      </c>
      <c r="G424" s="57"/>
    </row>
    <row r="425" spans="1:7" ht="12.75" x14ac:dyDescent="0.2">
      <c r="A425" s="3">
        <v>61</v>
      </c>
      <c r="B425" s="4" t="s">
        <v>86</v>
      </c>
      <c r="C425" s="3" t="s">
        <v>125</v>
      </c>
      <c r="D425" s="3" t="s">
        <v>129</v>
      </c>
      <c r="E425" s="3">
        <v>151</v>
      </c>
      <c r="G425" s="57"/>
    </row>
    <row r="426" spans="1:7" ht="12.75" x14ac:dyDescent="0.2">
      <c r="A426" s="3">
        <v>61</v>
      </c>
      <c r="B426" s="4" t="s">
        <v>86</v>
      </c>
      <c r="C426" s="3" t="s">
        <v>125</v>
      </c>
      <c r="D426" s="3" t="s">
        <v>132</v>
      </c>
      <c r="E426" s="3">
        <v>528</v>
      </c>
      <c r="G426" s="57"/>
    </row>
    <row r="427" spans="1:7" ht="12.75" x14ac:dyDescent="0.2">
      <c r="A427" s="3">
        <v>61</v>
      </c>
      <c r="B427" s="4" t="s">
        <v>86</v>
      </c>
      <c r="C427" s="3" t="s">
        <v>125</v>
      </c>
      <c r="D427" s="3" t="s">
        <v>317</v>
      </c>
      <c r="E427" s="3">
        <v>2097</v>
      </c>
      <c r="G427" s="57"/>
    </row>
    <row r="428" spans="1:7" ht="12.75" x14ac:dyDescent="0.2">
      <c r="A428" s="3">
        <v>61</v>
      </c>
      <c r="B428" s="4" t="s">
        <v>86</v>
      </c>
      <c r="C428" s="3" t="s">
        <v>125</v>
      </c>
      <c r="D428" s="3" t="s">
        <v>14</v>
      </c>
      <c r="E428" s="3">
        <v>79</v>
      </c>
      <c r="G428" s="57"/>
    </row>
    <row r="429" spans="1:7" ht="12.75" x14ac:dyDescent="0.2">
      <c r="A429" s="3">
        <v>61</v>
      </c>
      <c r="B429" s="4" t="s">
        <v>86</v>
      </c>
      <c r="C429" s="3" t="s">
        <v>125</v>
      </c>
      <c r="D429" s="3" t="s">
        <v>138</v>
      </c>
      <c r="E429" s="3">
        <v>124</v>
      </c>
      <c r="F429">
        <f>SUM(E422:E429)</f>
        <v>5140</v>
      </c>
      <c r="G429" s="57"/>
    </row>
    <row r="430" spans="1:7" ht="12.75" x14ac:dyDescent="0.2">
      <c r="A430" s="3">
        <v>62</v>
      </c>
      <c r="B430" s="4" t="s">
        <v>87</v>
      </c>
      <c r="C430" s="3" t="s">
        <v>125</v>
      </c>
      <c r="D430" s="3" t="s">
        <v>3</v>
      </c>
      <c r="E430" s="3">
        <v>270</v>
      </c>
      <c r="G430" s="59">
        <v>636</v>
      </c>
    </row>
    <row r="431" spans="1:7" ht="12.75" x14ac:dyDescent="0.2">
      <c r="A431" s="3">
        <v>62</v>
      </c>
      <c r="B431" s="4" t="s">
        <v>87</v>
      </c>
      <c r="C431" s="3" t="s">
        <v>125</v>
      </c>
      <c r="D431" s="3" t="s">
        <v>16</v>
      </c>
      <c r="E431" s="3">
        <v>15</v>
      </c>
      <c r="G431" s="57"/>
    </row>
    <row r="432" spans="1:7" ht="12.75" x14ac:dyDescent="0.2">
      <c r="A432" s="3">
        <v>62</v>
      </c>
      <c r="B432" s="4" t="s">
        <v>87</v>
      </c>
      <c r="C432" s="3" t="s">
        <v>125</v>
      </c>
      <c r="D432" s="3" t="s">
        <v>149</v>
      </c>
      <c r="E432" s="3">
        <v>29</v>
      </c>
      <c r="G432" s="57"/>
    </row>
    <row r="433" spans="1:7" ht="12.75" x14ac:dyDescent="0.2">
      <c r="A433" s="3">
        <v>62</v>
      </c>
      <c r="B433" s="4" t="s">
        <v>87</v>
      </c>
      <c r="C433" s="3" t="s">
        <v>125</v>
      </c>
      <c r="D433" s="3" t="s">
        <v>129</v>
      </c>
      <c r="E433" s="3">
        <v>11</v>
      </c>
      <c r="G433" s="57"/>
    </row>
    <row r="434" spans="1:7" ht="12.75" x14ac:dyDescent="0.2">
      <c r="A434" s="3">
        <v>62</v>
      </c>
      <c r="B434" s="4" t="s">
        <v>87</v>
      </c>
      <c r="C434" s="3" t="s">
        <v>125</v>
      </c>
      <c r="D434" s="3" t="s">
        <v>132</v>
      </c>
      <c r="E434" s="3">
        <v>47</v>
      </c>
      <c r="G434" s="57"/>
    </row>
    <row r="435" spans="1:7" ht="12.75" x14ac:dyDescent="0.2">
      <c r="A435" s="3">
        <v>62</v>
      </c>
      <c r="B435" s="4" t="s">
        <v>87</v>
      </c>
      <c r="C435" s="3" t="s">
        <v>125</v>
      </c>
      <c r="D435" s="3" t="s">
        <v>317</v>
      </c>
      <c r="E435" s="3">
        <v>81</v>
      </c>
      <c r="G435" s="57"/>
    </row>
    <row r="436" spans="1:7" ht="12.75" x14ac:dyDescent="0.2">
      <c r="A436" s="3">
        <v>62</v>
      </c>
      <c r="B436" s="4" t="s">
        <v>87</v>
      </c>
      <c r="C436" s="3" t="s">
        <v>125</v>
      </c>
      <c r="D436" s="3" t="s">
        <v>14</v>
      </c>
      <c r="E436" s="3">
        <v>5</v>
      </c>
      <c r="G436" s="57"/>
    </row>
    <row r="437" spans="1:7" ht="12.75" x14ac:dyDescent="0.2">
      <c r="A437" s="3">
        <v>62</v>
      </c>
      <c r="B437" s="4" t="s">
        <v>87</v>
      </c>
      <c r="C437" s="3" t="s">
        <v>125</v>
      </c>
      <c r="D437" s="3" t="s">
        <v>138</v>
      </c>
      <c r="E437" s="3">
        <v>12</v>
      </c>
      <c r="F437">
        <f>SUM(E430:E437)</f>
        <v>470</v>
      </c>
      <c r="G437" s="57"/>
    </row>
    <row r="438" spans="1:7" ht="12.75" x14ac:dyDescent="0.2">
      <c r="A438" s="3">
        <v>63</v>
      </c>
      <c r="B438" s="4" t="s">
        <v>88</v>
      </c>
      <c r="C438" s="3" t="s">
        <v>125</v>
      </c>
      <c r="D438" s="3" t="s">
        <v>3</v>
      </c>
      <c r="E438" s="3">
        <v>619</v>
      </c>
      <c r="G438" s="59">
        <v>2631</v>
      </c>
    </row>
    <row r="439" spans="1:7" ht="12.75" x14ac:dyDescent="0.2">
      <c r="A439" s="3">
        <v>63</v>
      </c>
      <c r="B439" s="4" t="s">
        <v>88</v>
      </c>
      <c r="C439" s="3" t="s">
        <v>125</v>
      </c>
      <c r="D439" s="3" t="s">
        <v>16</v>
      </c>
      <c r="E439" s="3">
        <v>63</v>
      </c>
      <c r="G439" s="57"/>
    </row>
    <row r="440" spans="1:7" ht="12.75" x14ac:dyDescent="0.2">
      <c r="A440" s="3">
        <v>63</v>
      </c>
      <c r="B440" s="4" t="s">
        <v>88</v>
      </c>
      <c r="C440" s="3" t="s">
        <v>125</v>
      </c>
      <c r="D440" s="3" t="s">
        <v>149</v>
      </c>
      <c r="E440" s="3">
        <v>68</v>
      </c>
      <c r="G440" s="57"/>
    </row>
    <row r="441" spans="1:7" ht="12.75" x14ac:dyDescent="0.2">
      <c r="A441" s="3">
        <v>63</v>
      </c>
      <c r="B441" s="4" t="s">
        <v>88</v>
      </c>
      <c r="C441" s="3" t="s">
        <v>125</v>
      </c>
      <c r="D441" s="3" t="s">
        <v>129</v>
      </c>
      <c r="E441" s="3">
        <v>67</v>
      </c>
      <c r="G441" s="57"/>
    </row>
    <row r="442" spans="1:7" ht="12.75" x14ac:dyDescent="0.2">
      <c r="A442" s="3">
        <v>63</v>
      </c>
      <c r="B442" s="4" t="s">
        <v>88</v>
      </c>
      <c r="C442" s="3" t="s">
        <v>125</v>
      </c>
      <c r="D442" s="3" t="s">
        <v>132</v>
      </c>
      <c r="E442" s="3">
        <v>825</v>
      </c>
      <c r="G442" s="57"/>
    </row>
    <row r="443" spans="1:7" ht="12.75" x14ac:dyDescent="0.2">
      <c r="A443" s="3">
        <v>63</v>
      </c>
      <c r="B443" s="4" t="s">
        <v>88</v>
      </c>
      <c r="C443" s="3" t="s">
        <v>125</v>
      </c>
      <c r="D443" s="3" t="s">
        <v>317</v>
      </c>
      <c r="E443" s="3">
        <v>347</v>
      </c>
      <c r="G443" s="57"/>
    </row>
    <row r="444" spans="1:7" ht="12.75" x14ac:dyDescent="0.2">
      <c r="A444" s="3">
        <v>63</v>
      </c>
      <c r="B444" s="4" t="s">
        <v>88</v>
      </c>
      <c r="C444" s="3" t="s">
        <v>125</v>
      </c>
      <c r="D444" s="3" t="s">
        <v>14</v>
      </c>
      <c r="E444" s="3">
        <v>39</v>
      </c>
      <c r="G444" s="57"/>
    </row>
    <row r="445" spans="1:7" ht="12.75" x14ac:dyDescent="0.2">
      <c r="A445" s="3">
        <v>63</v>
      </c>
      <c r="B445" s="4" t="s">
        <v>88</v>
      </c>
      <c r="C445" s="3" t="s">
        <v>125</v>
      </c>
      <c r="D445" s="3" t="s">
        <v>138</v>
      </c>
      <c r="E445" s="3">
        <v>37</v>
      </c>
      <c r="F445">
        <f>SUM(E438:E445)</f>
        <v>2065</v>
      </c>
      <c r="G445" s="57"/>
    </row>
    <row r="446" spans="1:7" ht="12.75" x14ac:dyDescent="0.2">
      <c r="A446" s="3">
        <v>64</v>
      </c>
      <c r="B446" s="4" t="s">
        <v>89</v>
      </c>
      <c r="C446" s="3" t="s">
        <v>125</v>
      </c>
      <c r="D446" s="3" t="s">
        <v>3</v>
      </c>
      <c r="E446" s="3">
        <v>290</v>
      </c>
      <c r="G446" s="59">
        <v>666</v>
      </c>
    </row>
    <row r="447" spans="1:7" ht="12.75" x14ac:dyDescent="0.2">
      <c r="A447" s="3">
        <v>64</v>
      </c>
      <c r="B447" s="4" t="s">
        <v>89</v>
      </c>
      <c r="C447" s="3" t="s">
        <v>125</v>
      </c>
      <c r="D447" s="3" t="s">
        <v>16</v>
      </c>
      <c r="E447" s="3">
        <v>10</v>
      </c>
      <c r="G447" s="57"/>
    </row>
    <row r="448" spans="1:7" ht="12.75" x14ac:dyDescent="0.2">
      <c r="A448" s="3">
        <v>64</v>
      </c>
      <c r="B448" s="4" t="s">
        <v>89</v>
      </c>
      <c r="C448" s="3" t="s">
        <v>125</v>
      </c>
      <c r="D448" s="3" t="s">
        <v>149</v>
      </c>
      <c r="E448" s="3">
        <v>8</v>
      </c>
      <c r="G448" s="57"/>
    </row>
    <row r="449" spans="1:7" ht="12.75" x14ac:dyDescent="0.2">
      <c r="A449" s="3">
        <v>64</v>
      </c>
      <c r="B449" s="4" t="s">
        <v>89</v>
      </c>
      <c r="C449" s="3" t="s">
        <v>125</v>
      </c>
      <c r="D449" s="3" t="s">
        <v>129</v>
      </c>
      <c r="E449" s="3">
        <v>10</v>
      </c>
      <c r="G449" s="57"/>
    </row>
    <row r="450" spans="1:7" ht="12.75" x14ac:dyDescent="0.2">
      <c r="A450" s="3">
        <v>64</v>
      </c>
      <c r="B450" s="4" t="s">
        <v>89</v>
      </c>
      <c r="C450" s="3" t="s">
        <v>125</v>
      </c>
      <c r="D450" s="3" t="s">
        <v>132</v>
      </c>
      <c r="E450" s="3">
        <v>149</v>
      </c>
      <c r="G450" s="57"/>
    </row>
    <row r="451" spans="1:7" ht="12.75" x14ac:dyDescent="0.2">
      <c r="A451" s="3">
        <v>64</v>
      </c>
      <c r="B451" s="4" t="s">
        <v>89</v>
      </c>
      <c r="C451" s="3" t="s">
        <v>125</v>
      </c>
      <c r="D451" s="3" t="s">
        <v>317</v>
      </c>
      <c r="E451" s="3">
        <v>77</v>
      </c>
      <c r="G451" s="57"/>
    </row>
    <row r="452" spans="1:7" ht="12.75" x14ac:dyDescent="0.2">
      <c r="A452" s="3">
        <v>64</v>
      </c>
      <c r="B452" s="4" t="s">
        <v>89</v>
      </c>
      <c r="C452" s="3" t="s">
        <v>125</v>
      </c>
      <c r="D452" s="3" t="s">
        <v>14</v>
      </c>
      <c r="E452" s="3">
        <v>5</v>
      </c>
      <c r="G452" s="57"/>
    </row>
    <row r="453" spans="1:7" ht="12.75" x14ac:dyDescent="0.2">
      <c r="A453" s="3">
        <v>64</v>
      </c>
      <c r="B453" s="4" t="s">
        <v>89</v>
      </c>
      <c r="C453" s="3" t="s">
        <v>125</v>
      </c>
      <c r="D453" s="3" t="s">
        <v>138</v>
      </c>
      <c r="E453" s="3">
        <v>7</v>
      </c>
      <c r="F453">
        <f>SUM(E446:E453)</f>
        <v>556</v>
      </c>
      <c r="G453" s="57"/>
    </row>
    <row r="454" spans="1:7" ht="12.75" x14ac:dyDescent="0.2">
      <c r="A454" s="3">
        <v>65</v>
      </c>
      <c r="B454" s="4" t="s">
        <v>90</v>
      </c>
      <c r="C454" s="3" t="s">
        <v>125</v>
      </c>
      <c r="D454" s="3" t="s">
        <v>3</v>
      </c>
      <c r="E454" s="3">
        <v>721</v>
      </c>
      <c r="G454" s="59">
        <v>3232</v>
      </c>
    </row>
    <row r="455" spans="1:7" ht="12.75" x14ac:dyDescent="0.2">
      <c r="A455" s="3">
        <v>65</v>
      </c>
      <c r="B455" s="4" t="s">
        <v>90</v>
      </c>
      <c r="C455" s="3" t="s">
        <v>125</v>
      </c>
      <c r="D455" s="3" t="s">
        <v>16</v>
      </c>
      <c r="E455" s="3">
        <v>63</v>
      </c>
      <c r="G455" s="57"/>
    </row>
    <row r="456" spans="1:7" ht="12.75" x14ac:dyDescent="0.2">
      <c r="A456" s="3">
        <v>65</v>
      </c>
      <c r="B456" s="4" t="s">
        <v>90</v>
      </c>
      <c r="C456" s="3" t="s">
        <v>125</v>
      </c>
      <c r="D456" s="3" t="s">
        <v>149</v>
      </c>
      <c r="E456" s="3">
        <v>78</v>
      </c>
      <c r="G456" s="57"/>
    </row>
    <row r="457" spans="1:7" ht="12.75" x14ac:dyDescent="0.2">
      <c r="A457" s="3">
        <v>65</v>
      </c>
      <c r="B457" s="4" t="s">
        <v>90</v>
      </c>
      <c r="C457" s="3" t="s">
        <v>125</v>
      </c>
      <c r="D457" s="3" t="s">
        <v>129</v>
      </c>
      <c r="E457" s="3">
        <v>50</v>
      </c>
      <c r="G457" s="57"/>
    </row>
    <row r="458" spans="1:7" ht="12.75" x14ac:dyDescent="0.2">
      <c r="A458" s="3">
        <v>65</v>
      </c>
      <c r="B458" s="4" t="s">
        <v>90</v>
      </c>
      <c r="C458" s="3" t="s">
        <v>125</v>
      </c>
      <c r="D458" s="3" t="s">
        <v>132</v>
      </c>
      <c r="E458" s="3">
        <v>885</v>
      </c>
      <c r="G458" s="57"/>
    </row>
    <row r="459" spans="1:7" ht="12.75" x14ac:dyDescent="0.2">
      <c r="A459" s="3">
        <v>65</v>
      </c>
      <c r="B459" s="4" t="s">
        <v>90</v>
      </c>
      <c r="C459" s="3" t="s">
        <v>125</v>
      </c>
      <c r="D459" s="3" t="s">
        <v>317</v>
      </c>
      <c r="E459" s="3">
        <v>684</v>
      </c>
      <c r="G459" s="57"/>
    </row>
    <row r="460" spans="1:7" ht="12.75" x14ac:dyDescent="0.2">
      <c r="A460" s="3">
        <v>65</v>
      </c>
      <c r="B460" s="4" t="s">
        <v>90</v>
      </c>
      <c r="C460" s="3" t="s">
        <v>125</v>
      </c>
      <c r="D460" s="3" t="s">
        <v>14</v>
      </c>
      <c r="E460" s="3">
        <v>16</v>
      </c>
      <c r="G460" s="57"/>
    </row>
    <row r="461" spans="1:7" ht="12.75" x14ac:dyDescent="0.2">
      <c r="A461" s="3">
        <v>65</v>
      </c>
      <c r="B461" s="4" t="s">
        <v>90</v>
      </c>
      <c r="C461" s="3" t="s">
        <v>125</v>
      </c>
      <c r="D461" s="3" t="s">
        <v>138</v>
      </c>
      <c r="E461" s="3">
        <v>42</v>
      </c>
      <c r="F461">
        <f>SUM(E454:E461)</f>
        <v>2539</v>
      </c>
      <c r="G461" s="57"/>
    </row>
    <row r="462" spans="1:7" ht="12.75" x14ac:dyDescent="0.2">
      <c r="A462" s="3">
        <v>66</v>
      </c>
      <c r="B462" s="4" t="s">
        <v>91</v>
      </c>
      <c r="C462" s="3" t="s">
        <v>125</v>
      </c>
      <c r="D462" s="3" t="s">
        <v>3</v>
      </c>
      <c r="E462" s="3">
        <v>20</v>
      </c>
      <c r="G462" s="59">
        <v>92</v>
      </c>
    </row>
    <row r="463" spans="1:7" ht="12.75" x14ac:dyDescent="0.2">
      <c r="A463" s="3">
        <v>66</v>
      </c>
      <c r="B463" s="4" t="s">
        <v>91</v>
      </c>
      <c r="C463" s="3" t="s">
        <v>125</v>
      </c>
      <c r="D463" s="3" t="s">
        <v>16</v>
      </c>
      <c r="E463" s="3">
        <v>1</v>
      </c>
      <c r="G463" s="57"/>
    </row>
    <row r="464" spans="1:7" ht="12.75" x14ac:dyDescent="0.2">
      <c r="A464" s="3">
        <v>66</v>
      </c>
      <c r="B464" s="4" t="s">
        <v>91</v>
      </c>
      <c r="C464" s="3" t="s">
        <v>125</v>
      </c>
      <c r="D464" s="3" t="s">
        <v>149</v>
      </c>
      <c r="E464" s="3">
        <v>2</v>
      </c>
      <c r="G464" s="57"/>
    </row>
    <row r="465" spans="1:7" ht="12.75" x14ac:dyDescent="0.2">
      <c r="A465" s="3">
        <v>66</v>
      </c>
      <c r="B465" s="4" t="s">
        <v>91</v>
      </c>
      <c r="C465" s="3" t="s">
        <v>125</v>
      </c>
      <c r="D465" s="3" t="s">
        <v>129</v>
      </c>
      <c r="E465" s="3">
        <v>2</v>
      </c>
      <c r="G465" s="57"/>
    </row>
    <row r="466" spans="1:7" ht="12.75" x14ac:dyDescent="0.2">
      <c r="A466" s="3">
        <v>66</v>
      </c>
      <c r="B466" s="4" t="s">
        <v>91</v>
      </c>
      <c r="C466" s="3" t="s">
        <v>125</v>
      </c>
      <c r="D466" s="3" t="s">
        <v>132</v>
      </c>
      <c r="E466" s="3">
        <v>37</v>
      </c>
      <c r="G466" s="57"/>
    </row>
    <row r="467" spans="1:7" ht="12.75" x14ac:dyDescent="0.2">
      <c r="A467" s="3">
        <v>66</v>
      </c>
      <c r="B467" s="4" t="s">
        <v>91</v>
      </c>
      <c r="C467" s="3" t="s">
        <v>125</v>
      </c>
      <c r="D467" s="3" t="s">
        <v>317</v>
      </c>
      <c r="E467" s="3">
        <v>15</v>
      </c>
      <c r="G467" s="57"/>
    </row>
    <row r="468" spans="1:7" ht="12.75" x14ac:dyDescent="0.2">
      <c r="A468" s="3">
        <v>66</v>
      </c>
      <c r="B468" s="4" t="s">
        <v>91</v>
      </c>
      <c r="C468" s="3" t="s">
        <v>125</v>
      </c>
      <c r="D468" s="3" t="s">
        <v>14</v>
      </c>
      <c r="E468" s="3">
        <v>0</v>
      </c>
      <c r="G468" s="57"/>
    </row>
    <row r="469" spans="1:7" ht="12.75" x14ac:dyDescent="0.2">
      <c r="A469" s="3">
        <v>66</v>
      </c>
      <c r="B469" s="4" t="s">
        <v>91</v>
      </c>
      <c r="C469" s="3" t="s">
        <v>125</v>
      </c>
      <c r="D469" s="3" t="s">
        <v>138</v>
      </c>
      <c r="E469" s="3">
        <v>1</v>
      </c>
      <c r="F469">
        <f>SUM(E462:E469)</f>
        <v>78</v>
      </c>
      <c r="G469" s="57"/>
    </row>
    <row r="470" spans="1:7" ht="12.75" x14ac:dyDescent="0.2">
      <c r="A470" s="3">
        <v>67</v>
      </c>
      <c r="B470" s="4" t="s">
        <v>155</v>
      </c>
      <c r="C470" s="3" t="s">
        <v>125</v>
      </c>
      <c r="D470" s="3" t="s">
        <v>3</v>
      </c>
      <c r="E470" s="3">
        <v>13</v>
      </c>
      <c r="G470" s="59">
        <v>41</v>
      </c>
    </row>
    <row r="471" spans="1:7" ht="12.75" x14ac:dyDescent="0.2">
      <c r="A471" s="3">
        <v>67</v>
      </c>
      <c r="B471" s="4" t="s">
        <v>155</v>
      </c>
      <c r="C471" s="3" t="s">
        <v>125</v>
      </c>
      <c r="D471" s="3" t="s">
        <v>16</v>
      </c>
      <c r="E471" s="3">
        <v>1</v>
      </c>
      <c r="G471" s="57"/>
    </row>
    <row r="472" spans="1:7" ht="12.75" x14ac:dyDescent="0.2">
      <c r="A472" s="3">
        <v>67</v>
      </c>
      <c r="B472" s="4" t="s">
        <v>155</v>
      </c>
      <c r="C472" s="3" t="s">
        <v>125</v>
      </c>
      <c r="D472" s="3" t="s">
        <v>149</v>
      </c>
      <c r="E472" s="3">
        <v>0</v>
      </c>
      <c r="G472" s="57"/>
    </row>
    <row r="473" spans="1:7" ht="12.75" x14ac:dyDescent="0.2">
      <c r="A473" s="3">
        <v>67</v>
      </c>
      <c r="B473" s="4" t="s">
        <v>155</v>
      </c>
      <c r="C473" s="3" t="s">
        <v>125</v>
      </c>
      <c r="D473" s="3" t="s">
        <v>129</v>
      </c>
      <c r="E473" s="3">
        <v>1</v>
      </c>
      <c r="G473" s="57"/>
    </row>
    <row r="474" spans="1:7" ht="12.75" x14ac:dyDescent="0.2">
      <c r="A474" s="3">
        <v>67</v>
      </c>
      <c r="B474" s="4" t="s">
        <v>155</v>
      </c>
      <c r="C474" s="3" t="s">
        <v>125</v>
      </c>
      <c r="D474" s="3" t="s">
        <v>132</v>
      </c>
      <c r="E474" s="3">
        <v>17</v>
      </c>
      <c r="G474" s="57"/>
    </row>
    <row r="475" spans="1:7" ht="12.75" x14ac:dyDescent="0.2">
      <c r="A475" s="3">
        <v>67</v>
      </c>
      <c r="B475" s="4" t="s">
        <v>155</v>
      </c>
      <c r="C475" s="3" t="s">
        <v>125</v>
      </c>
      <c r="D475" s="3" t="s">
        <v>317</v>
      </c>
      <c r="E475" s="3">
        <v>5</v>
      </c>
      <c r="G475" s="57"/>
    </row>
    <row r="476" spans="1:7" ht="12.75" x14ac:dyDescent="0.2">
      <c r="A476" s="3">
        <v>67</v>
      </c>
      <c r="B476" s="4" t="s">
        <v>155</v>
      </c>
      <c r="C476" s="3" t="s">
        <v>125</v>
      </c>
      <c r="D476" s="3" t="s">
        <v>14</v>
      </c>
      <c r="E476" s="3">
        <v>1</v>
      </c>
      <c r="G476" s="57"/>
    </row>
    <row r="477" spans="1:7" ht="12.75" x14ac:dyDescent="0.2">
      <c r="A477" s="3">
        <v>67</v>
      </c>
      <c r="B477" s="4" t="s">
        <v>155</v>
      </c>
      <c r="C477" s="3" t="s">
        <v>125</v>
      </c>
      <c r="D477" s="3" t="s">
        <v>138</v>
      </c>
      <c r="E477" s="3">
        <v>0</v>
      </c>
      <c r="F477">
        <f>SUM(E470:E477)</f>
        <v>38</v>
      </c>
      <c r="G477" s="57"/>
    </row>
    <row r="478" spans="1:7" ht="12.75" x14ac:dyDescent="0.2">
      <c r="A478" s="3">
        <v>68</v>
      </c>
      <c r="B478" s="4" t="s">
        <v>92</v>
      </c>
      <c r="C478" s="3" t="s">
        <v>125</v>
      </c>
      <c r="D478" s="3" t="s">
        <v>3</v>
      </c>
      <c r="E478" s="3">
        <v>116</v>
      </c>
      <c r="G478" s="59">
        <v>563</v>
      </c>
    </row>
    <row r="479" spans="1:7" ht="12.75" x14ac:dyDescent="0.2">
      <c r="A479" s="3">
        <v>68</v>
      </c>
      <c r="B479" s="4" t="s">
        <v>92</v>
      </c>
      <c r="C479" s="3" t="s">
        <v>125</v>
      </c>
      <c r="D479" s="3" t="s">
        <v>16</v>
      </c>
      <c r="E479" s="3">
        <v>7</v>
      </c>
      <c r="G479" s="57"/>
    </row>
    <row r="480" spans="1:7" ht="12.75" x14ac:dyDescent="0.2">
      <c r="A480" s="3">
        <v>68</v>
      </c>
      <c r="B480" s="4" t="s">
        <v>92</v>
      </c>
      <c r="C480" s="3" t="s">
        <v>125</v>
      </c>
      <c r="D480" s="3" t="s">
        <v>149</v>
      </c>
      <c r="E480" s="3">
        <v>22</v>
      </c>
      <c r="G480" s="57"/>
    </row>
    <row r="481" spans="1:7" ht="12.75" x14ac:dyDescent="0.2">
      <c r="A481" s="3">
        <v>68</v>
      </c>
      <c r="B481" s="4" t="s">
        <v>92</v>
      </c>
      <c r="C481" s="3" t="s">
        <v>125</v>
      </c>
      <c r="D481" s="3" t="s">
        <v>129</v>
      </c>
      <c r="E481" s="3">
        <v>16</v>
      </c>
      <c r="G481" s="57"/>
    </row>
    <row r="482" spans="1:7" ht="12.75" x14ac:dyDescent="0.2">
      <c r="A482" s="3">
        <v>68</v>
      </c>
      <c r="B482" s="4" t="s">
        <v>92</v>
      </c>
      <c r="C482" s="3" t="s">
        <v>125</v>
      </c>
      <c r="D482" s="3" t="s">
        <v>132</v>
      </c>
      <c r="E482" s="3">
        <v>187</v>
      </c>
      <c r="G482" s="57"/>
    </row>
    <row r="483" spans="1:7" ht="12.75" x14ac:dyDescent="0.2">
      <c r="A483" s="3">
        <v>68</v>
      </c>
      <c r="B483" s="4" t="s">
        <v>92</v>
      </c>
      <c r="C483" s="3" t="s">
        <v>125</v>
      </c>
      <c r="D483" s="3" t="s">
        <v>317</v>
      </c>
      <c r="E483" s="3">
        <v>74</v>
      </c>
      <c r="G483" s="57"/>
    </row>
    <row r="484" spans="1:7" ht="12.75" x14ac:dyDescent="0.2">
      <c r="A484" s="3">
        <v>68</v>
      </c>
      <c r="B484" s="4" t="s">
        <v>92</v>
      </c>
      <c r="C484" s="3" t="s">
        <v>125</v>
      </c>
      <c r="D484" s="3" t="s">
        <v>14</v>
      </c>
      <c r="E484" s="3">
        <v>3</v>
      </c>
      <c r="G484" s="57"/>
    </row>
    <row r="485" spans="1:7" ht="12.75" x14ac:dyDescent="0.2">
      <c r="A485" s="3">
        <v>68</v>
      </c>
      <c r="B485" s="4" t="s">
        <v>92</v>
      </c>
      <c r="C485" s="3" t="s">
        <v>125</v>
      </c>
      <c r="D485" s="3" t="s">
        <v>138</v>
      </c>
      <c r="E485" s="3">
        <v>7</v>
      </c>
      <c r="F485">
        <f>SUM(E478:E485)</f>
        <v>432</v>
      </c>
      <c r="G485" s="57"/>
    </row>
    <row r="486" spans="1:7" ht="12.75" x14ac:dyDescent="0.2">
      <c r="A486" s="3">
        <v>69</v>
      </c>
      <c r="B486" s="4" t="s">
        <v>93</v>
      </c>
      <c r="C486" s="3" t="s">
        <v>125</v>
      </c>
      <c r="D486" s="3" t="s">
        <v>3</v>
      </c>
      <c r="E486" s="3">
        <v>826</v>
      </c>
      <c r="G486" s="59">
        <v>1941</v>
      </c>
    </row>
    <row r="487" spans="1:7" ht="12.75" x14ac:dyDescent="0.2">
      <c r="A487" s="3">
        <v>69</v>
      </c>
      <c r="B487" s="4" t="s">
        <v>93</v>
      </c>
      <c r="C487" s="3" t="s">
        <v>125</v>
      </c>
      <c r="D487" s="3" t="s">
        <v>16</v>
      </c>
      <c r="E487" s="3">
        <v>30</v>
      </c>
      <c r="G487" s="57"/>
    </row>
    <row r="488" spans="1:7" ht="12.75" x14ac:dyDescent="0.2">
      <c r="A488" s="3">
        <v>69</v>
      </c>
      <c r="B488" s="4" t="s">
        <v>93</v>
      </c>
      <c r="C488" s="3" t="s">
        <v>125</v>
      </c>
      <c r="D488" s="3" t="s">
        <v>149</v>
      </c>
      <c r="E488" s="3">
        <v>29</v>
      </c>
      <c r="G488" s="57"/>
    </row>
    <row r="489" spans="1:7" ht="12.75" x14ac:dyDescent="0.2">
      <c r="A489" s="3">
        <v>69</v>
      </c>
      <c r="B489" s="4" t="s">
        <v>93</v>
      </c>
      <c r="C489" s="3" t="s">
        <v>125</v>
      </c>
      <c r="D489" s="3" t="s">
        <v>129</v>
      </c>
      <c r="E489" s="3">
        <v>15</v>
      </c>
      <c r="G489" s="57"/>
    </row>
    <row r="490" spans="1:7" ht="12.75" x14ac:dyDescent="0.2">
      <c r="A490" s="3">
        <v>69</v>
      </c>
      <c r="B490" s="4" t="s">
        <v>93</v>
      </c>
      <c r="C490" s="3" t="s">
        <v>125</v>
      </c>
      <c r="D490" s="3" t="s">
        <v>132</v>
      </c>
      <c r="E490" s="3">
        <v>524</v>
      </c>
      <c r="G490" s="57"/>
    </row>
    <row r="491" spans="1:7" ht="12.75" x14ac:dyDescent="0.2">
      <c r="A491" s="3">
        <v>69</v>
      </c>
      <c r="B491" s="4" t="s">
        <v>93</v>
      </c>
      <c r="C491" s="3" t="s">
        <v>125</v>
      </c>
      <c r="D491" s="3" t="s">
        <v>317</v>
      </c>
      <c r="E491" s="3">
        <v>106</v>
      </c>
      <c r="G491" s="57"/>
    </row>
    <row r="492" spans="1:7" ht="12.75" x14ac:dyDescent="0.2">
      <c r="A492" s="3">
        <v>69</v>
      </c>
      <c r="B492" s="4" t="s">
        <v>93</v>
      </c>
      <c r="C492" s="3" t="s">
        <v>125</v>
      </c>
      <c r="D492" s="3" t="s">
        <v>14</v>
      </c>
      <c r="E492" s="3">
        <v>16</v>
      </c>
      <c r="G492" s="57"/>
    </row>
    <row r="493" spans="1:7" ht="12.75" x14ac:dyDescent="0.2">
      <c r="A493" s="3">
        <v>69</v>
      </c>
      <c r="B493" s="4" t="s">
        <v>93</v>
      </c>
      <c r="C493" s="3" t="s">
        <v>125</v>
      </c>
      <c r="D493" s="3" t="s">
        <v>138</v>
      </c>
      <c r="E493" s="3">
        <v>11</v>
      </c>
      <c r="F493">
        <f>SUM(E486:E493)</f>
        <v>1557</v>
      </c>
      <c r="G493" s="57"/>
    </row>
    <row r="494" spans="1:7" ht="12.75" x14ac:dyDescent="0.2">
      <c r="A494" s="3">
        <v>70</v>
      </c>
      <c r="B494" s="4" t="s">
        <v>156</v>
      </c>
      <c r="C494" s="3" t="s">
        <v>125</v>
      </c>
      <c r="D494" s="3" t="s">
        <v>3</v>
      </c>
      <c r="E494" s="3">
        <v>3</v>
      </c>
      <c r="G494" s="59">
        <v>13</v>
      </c>
    </row>
    <row r="495" spans="1:7" ht="12.75" x14ac:dyDescent="0.2">
      <c r="A495" s="3">
        <v>70</v>
      </c>
      <c r="B495" s="4" t="s">
        <v>156</v>
      </c>
      <c r="C495" s="3" t="s">
        <v>125</v>
      </c>
      <c r="D495" s="3" t="s">
        <v>16</v>
      </c>
      <c r="E495" s="3">
        <v>0</v>
      </c>
      <c r="G495" s="57"/>
    </row>
    <row r="496" spans="1:7" ht="12.75" x14ac:dyDescent="0.2">
      <c r="A496" s="3">
        <v>70</v>
      </c>
      <c r="B496" s="4" t="s">
        <v>156</v>
      </c>
      <c r="C496" s="3" t="s">
        <v>125</v>
      </c>
      <c r="D496" s="3" t="s">
        <v>149</v>
      </c>
      <c r="E496" s="3">
        <v>0</v>
      </c>
      <c r="G496" s="57"/>
    </row>
    <row r="497" spans="1:7" ht="12.75" x14ac:dyDescent="0.2">
      <c r="A497" s="3">
        <v>70</v>
      </c>
      <c r="B497" s="4" t="s">
        <v>156</v>
      </c>
      <c r="C497" s="3" t="s">
        <v>125</v>
      </c>
      <c r="D497" s="3" t="s">
        <v>129</v>
      </c>
      <c r="E497" s="3">
        <v>0</v>
      </c>
      <c r="G497" s="57"/>
    </row>
    <row r="498" spans="1:7" ht="12.75" x14ac:dyDescent="0.2">
      <c r="A498" s="3">
        <v>70</v>
      </c>
      <c r="B498" s="4" t="s">
        <v>156</v>
      </c>
      <c r="C498" s="3" t="s">
        <v>125</v>
      </c>
      <c r="D498" s="3" t="s">
        <v>132</v>
      </c>
      <c r="E498" s="3">
        <v>0</v>
      </c>
      <c r="G498" s="57"/>
    </row>
    <row r="499" spans="1:7" ht="12.75" x14ac:dyDescent="0.2">
      <c r="A499" s="3">
        <v>70</v>
      </c>
      <c r="B499" s="4" t="s">
        <v>156</v>
      </c>
      <c r="C499" s="3" t="s">
        <v>125</v>
      </c>
      <c r="D499" s="3" t="s">
        <v>317</v>
      </c>
      <c r="E499" s="3">
        <v>1</v>
      </c>
      <c r="G499" s="57"/>
    </row>
    <row r="500" spans="1:7" ht="12.75" x14ac:dyDescent="0.2">
      <c r="A500" s="3">
        <v>70</v>
      </c>
      <c r="B500" s="4" t="s">
        <v>156</v>
      </c>
      <c r="C500" s="3" t="s">
        <v>125</v>
      </c>
      <c r="D500" s="3" t="s">
        <v>14</v>
      </c>
      <c r="E500" s="3">
        <v>0</v>
      </c>
      <c r="G500" s="57"/>
    </row>
    <row r="501" spans="1:7" ht="12.75" x14ac:dyDescent="0.2">
      <c r="A501" s="3">
        <v>70</v>
      </c>
      <c r="B501" s="4" t="s">
        <v>156</v>
      </c>
      <c r="C501" s="3" t="s">
        <v>125</v>
      </c>
      <c r="D501" s="3" t="s">
        <v>138</v>
      </c>
      <c r="E501" s="3">
        <v>0</v>
      </c>
      <c r="F501">
        <f>SUM(E494:E501)</f>
        <v>4</v>
      </c>
      <c r="G501" s="57"/>
    </row>
    <row r="502" spans="1:7" ht="12.75" x14ac:dyDescent="0.2">
      <c r="A502" s="3">
        <v>71</v>
      </c>
      <c r="B502" s="4" t="s">
        <v>94</v>
      </c>
      <c r="C502" s="3" t="s">
        <v>125</v>
      </c>
      <c r="D502" s="3" t="s">
        <v>3</v>
      </c>
      <c r="E502" s="3">
        <v>551</v>
      </c>
      <c r="G502" s="59">
        <v>1138</v>
      </c>
    </row>
    <row r="503" spans="1:7" ht="12.75" x14ac:dyDescent="0.2">
      <c r="A503" s="3">
        <v>71</v>
      </c>
      <c r="B503" s="4" t="s">
        <v>94</v>
      </c>
      <c r="C503" s="3" t="s">
        <v>125</v>
      </c>
      <c r="D503" s="3" t="s">
        <v>16</v>
      </c>
      <c r="E503" s="3">
        <v>8</v>
      </c>
      <c r="G503" s="57"/>
    </row>
    <row r="504" spans="1:7" ht="12.75" x14ac:dyDescent="0.2">
      <c r="A504" s="3">
        <v>71</v>
      </c>
      <c r="B504" s="4" t="s">
        <v>94</v>
      </c>
      <c r="C504" s="3" t="s">
        <v>125</v>
      </c>
      <c r="D504" s="3" t="s">
        <v>149</v>
      </c>
      <c r="E504" s="3">
        <v>21</v>
      </c>
      <c r="G504" s="57"/>
    </row>
    <row r="505" spans="1:7" ht="12.75" x14ac:dyDescent="0.2">
      <c r="A505" s="3">
        <v>71</v>
      </c>
      <c r="B505" s="4" t="s">
        <v>94</v>
      </c>
      <c r="C505" s="3" t="s">
        <v>125</v>
      </c>
      <c r="D505" s="3" t="s">
        <v>129</v>
      </c>
      <c r="E505" s="3">
        <v>7</v>
      </c>
      <c r="G505" s="57"/>
    </row>
    <row r="506" spans="1:7" ht="12.75" x14ac:dyDescent="0.2">
      <c r="A506" s="3">
        <v>71</v>
      </c>
      <c r="B506" s="4" t="s">
        <v>94</v>
      </c>
      <c r="C506" s="3" t="s">
        <v>125</v>
      </c>
      <c r="D506" s="3" t="s">
        <v>132</v>
      </c>
      <c r="E506" s="3">
        <v>287</v>
      </c>
      <c r="G506" s="57"/>
    </row>
    <row r="507" spans="1:7" ht="12.75" x14ac:dyDescent="0.2">
      <c r="A507" s="3">
        <v>71</v>
      </c>
      <c r="B507" s="4" t="s">
        <v>94</v>
      </c>
      <c r="C507" s="3" t="s">
        <v>125</v>
      </c>
      <c r="D507" s="3" t="s">
        <v>317</v>
      </c>
      <c r="E507" s="3">
        <v>45</v>
      </c>
      <c r="G507" s="57"/>
    </row>
    <row r="508" spans="1:7" ht="12.75" x14ac:dyDescent="0.2">
      <c r="A508" s="3">
        <v>71</v>
      </c>
      <c r="B508" s="4" t="s">
        <v>94</v>
      </c>
      <c r="C508" s="3" t="s">
        <v>125</v>
      </c>
      <c r="D508" s="3" t="s">
        <v>14</v>
      </c>
      <c r="E508" s="3">
        <v>14</v>
      </c>
      <c r="G508" s="57"/>
    </row>
    <row r="509" spans="1:7" ht="12.75" x14ac:dyDescent="0.2">
      <c r="A509" s="3">
        <v>71</v>
      </c>
      <c r="B509" s="4" t="s">
        <v>94</v>
      </c>
      <c r="C509" s="3" t="s">
        <v>125</v>
      </c>
      <c r="D509" s="3" t="s">
        <v>138</v>
      </c>
      <c r="E509" s="3">
        <v>0</v>
      </c>
      <c r="F509">
        <f>SUM(E502:E509)</f>
        <v>933</v>
      </c>
      <c r="G509" s="57"/>
    </row>
    <row r="510" spans="1:7" ht="12.75" x14ac:dyDescent="0.2">
      <c r="A510" s="3">
        <v>72</v>
      </c>
      <c r="B510" s="4" t="s">
        <v>95</v>
      </c>
      <c r="C510" s="3" t="s">
        <v>125</v>
      </c>
      <c r="D510" s="3" t="s">
        <v>3</v>
      </c>
      <c r="E510" s="3">
        <v>450</v>
      </c>
      <c r="G510" s="59">
        <v>1898</v>
      </c>
    </row>
    <row r="511" spans="1:7" ht="12.75" x14ac:dyDescent="0.2">
      <c r="A511" s="3">
        <v>72</v>
      </c>
      <c r="B511" s="4" t="s">
        <v>95</v>
      </c>
      <c r="C511" s="3" t="s">
        <v>125</v>
      </c>
      <c r="D511" s="3" t="s">
        <v>16</v>
      </c>
      <c r="E511" s="3">
        <v>34</v>
      </c>
      <c r="G511" s="57"/>
    </row>
    <row r="512" spans="1:7" ht="12.75" x14ac:dyDescent="0.2">
      <c r="A512" s="3">
        <v>72</v>
      </c>
      <c r="B512" s="4" t="s">
        <v>95</v>
      </c>
      <c r="C512" s="3" t="s">
        <v>125</v>
      </c>
      <c r="D512" s="3" t="s">
        <v>149</v>
      </c>
      <c r="E512" s="3">
        <v>63</v>
      </c>
      <c r="G512" s="57"/>
    </row>
    <row r="513" spans="1:7" ht="12.75" x14ac:dyDescent="0.2">
      <c r="A513" s="3">
        <v>72</v>
      </c>
      <c r="B513" s="4" t="s">
        <v>95</v>
      </c>
      <c r="C513" s="3" t="s">
        <v>125</v>
      </c>
      <c r="D513" s="3" t="s">
        <v>129</v>
      </c>
      <c r="E513" s="3">
        <v>22</v>
      </c>
      <c r="G513" s="57"/>
    </row>
    <row r="514" spans="1:7" ht="12.75" x14ac:dyDescent="0.2">
      <c r="A514" s="3">
        <v>72</v>
      </c>
      <c r="B514" s="4" t="s">
        <v>95</v>
      </c>
      <c r="C514" s="3" t="s">
        <v>125</v>
      </c>
      <c r="D514" s="3" t="s">
        <v>132</v>
      </c>
      <c r="E514" s="3">
        <v>818</v>
      </c>
      <c r="G514" s="57"/>
    </row>
    <row r="515" spans="1:7" ht="12.75" x14ac:dyDescent="0.2">
      <c r="A515" s="3">
        <v>72</v>
      </c>
      <c r="B515" s="4" t="s">
        <v>95</v>
      </c>
      <c r="C515" s="3" t="s">
        <v>125</v>
      </c>
      <c r="D515" s="3" t="s">
        <v>317</v>
      </c>
      <c r="E515" s="3">
        <v>147</v>
      </c>
      <c r="G515" s="57"/>
    </row>
    <row r="516" spans="1:7" ht="12.75" x14ac:dyDescent="0.2">
      <c r="A516" s="3">
        <v>72</v>
      </c>
      <c r="B516" s="4" t="s">
        <v>95</v>
      </c>
      <c r="C516" s="3" t="s">
        <v>125</v>
      </c>
      <c r="D516" s="3" t="s">
        <v>14</v>
      </c>
      <c r="E516" s="3">
        <v>21</v>
      </c>
      <c r="G516" s="57"/>
    </row>
    <row r="517" spans="1:7" ht="12.75" x14ac:dyDescent="0.2">
      <c r="A517" s="3">
        <v>72</v>
      </c>
      <c r="B517" s="4" t="s">
        <v>95</v>
      </c>
      <c r="C517" s="3" t="s">
        <v>125</v>
      </c>
      <c r="D517" s="3" t="s">
        <v>138</v>
      </c>
      <c r="E517" s="3">
        <v>24</v>
      </c>
      <c r="F517">
        <f>SUM(E510:E517)</f>
        <v>1579</v>
      </c>
      <c r="G517" s="57"/>
    </row>
    <row r="518" spans="1:7" ht="12.75" x14ac:dyDescent="0.2">
      <c r="A518" s="3">
        <v>73</v>
      </c>
      <c r="B518" s="4" t="s">
        <v>96</v>
      </c>
      <c r="C518" s="3" t="s">
        <v>125</v>
      </c>
      <c r="D518" s="3" t="s">
        <v>3</v>
      </c>
      <c r="E518" s="3">
        <v>88</v>
      </c>
      <c r="G518" s="59">
        <v>200</v>
      </c>
    </row>
    <row r="519" spans="1:7" ht="12.75" x14ac:dyDescent="0.2">
      <c r="A519" s="3">
        <v>73</v>
      </c>
      <c r="B519" s="4" t="s">
        <v>96</v>
      </c>
      <c r="C519" s="3" t="s">
        <v>125</v>
      </c>
      <c r="D519" s="3" t="s">
        <v>16</v>
      </c>
      <c r="E519" s="3">
        <v>4</v>
      </c>
      <c r="G519" s="57"/>
    </row>
    <row r="520" spans="1:7" ht="12.75" x14ac:dyDescent="0.2">
      <c r="A520" s="3">
        <v>73</v>
      </c>
      <c r="B520" s="4" t="s">
        <v>96</v>
      </c>
      <c r="C520" s="3" t="s">
        <v>125</v>
      </c>
      <c r="D520" s="3" t="s">
        <v>149</v>
      </c>
      <c r="E520" s="3">
        <v>11</v>
      </c>
      <c r="G520" s="57"/>
    </row>
    <row r="521" spans="1:7" ht="12.75" x14ac:dyDescent="0.2">
      <c r="A521" s="3">
        <v>73</v>
      </c>
      <c r="B521" s="4" t="s">
        <v>96</v>
      </c>
      <c r="C521" s="3" t="s">
        <v>125</v>
      </c>
      <c r="D521" s="3" t="s">
        <v>129</v>
      </c>
      <c r="E521" s="3">
        <v>4</v>
      </c>
      <c r="G521" s="57"/>
    </row>
    <row r="522" spans="1:7" ht="12.75" x14ac:dyDescent="0.2">
      <c r="A522" s="3">
        <v>73</v>
      </c>
      <c r="B522" s="4" t="s">
        <v>96</v>
      </c>
      <c r="C522" s="3" t="s">
        <v>125</v>
      </c>
      <c r="D522" s="3" t="s">
        <v>132</v>
      </c>
      <c r="E522" s="3">
        <v>33</v>
      </c>
      <c r="G522" s="57"/>
    </row>
    <row r="523" spans="1:7" ht="12.75" x14ac:dyDescent="0.2">
      <c r="A523" s="3">
        <v>73</v>
      </c>
      <c r="B523" s="4" t="s">
        <v>96</v>
      </c>
      <c r="C523" s="3" t="s">
        <v>125</v>
      </c>
      <c r="D523" s="3" t="s">
        <v>317</v>
      </c>
      <c r="E523" s="3">
        <v>22</v>
      </c>
      <c r="G523" s="57"/>
    </row>
    <row r="524" spans="1:7" ht="12.75" x14ac:dyDescent="0.2">
      <c r="A524" s="3">
        <v>73</v>
      </c>
      <c r="B524" s="4" t="s">
        <v>96</v>
      </c>
      <c r="C524" s="3" t="s">
        <v>125</v>
      </c>
      <c r="D524" s="3" t="s">
        <v>14</v>
      </c>
      <c r="E524" s="3">
        <v>1</v>
      </c>
      <c r="G524" s="57"/>
    </row>
    <row r="525" spans="1:7" ht="12.75" x14ac:dyDescent="0.2">
      <c r="A525" s="3">
        <v>73</v>
      </c>
      <c r="B525" s="4" t="s">
        <v>96</v>
      </c>
      <c r="C525" s="3" t="s">
        <v>125</v>
      </c>
      <c r="D525" s="3" t="s">
        <v>138</v>
      </c>
      <c r="E525" s="3">
        <v>1</v>
      </c>
      <c r="F525">
        <f>SUM(E518:E525)</f>
        <v>164</v>
      </c>
      <c r="G525" s="57"/>
    </row>
    <row r="526" spans="1:7" ht="12.75" x14ac:dyDescent="0.2">
      <c r="A526" s="3">
        <v>74</v>
      </c>
      <c r="B526" s="4" t="s">
        <v>97</v>
      </c>
      <c r="C526" s="3" t="s">
        <v>125</v>
      </c>
      <c r="D526" s="3" t="s">
        <v>3</v>
      </c>
      <c r="E526" s="3">
        <v>142</v>
      </c>
      <c r="G526" s="59">
        <v>345</v>
      </c>
    </row>
    <row r="527" spans="1:7" ht="12.75" x14ac:dyDescent="0.2">
      <c r="A527" s="3">
        <v>74</v>
      </c>
      <c r="B527" s="4" t="s">
        <v>97</v>
      </c>
      <c r="C527" s="3" t="s">
        <v>125</v>
      </c>
      <c r="D527" s="3" t="s">
        <v>16</v>
      </c>
      <c r="E527" s="3">
        <v>5</v>
      </c>
      <c r="G527" s="57"/>
    </row>
    <row r="528" spans="1:7" ht="12.75" x14ac:dyDescent="0.2">
      <c r="A528" s="3">
        <v>74</v>
      </c>
      <c r="B528" s="4" t="s">
        <v>97</v>
      </c>
      <c r="C528" s="3" t="s">
        <v>125</v>
      </c>
      <c r="D528" s="3" t="s">
        <v>149</v>
      </c>
      <c r="E528" s="3">
        <v>7</v>
      </c>
      <c r="G528" s="57"/>
    </row>
    <row r="529" spans="1:7" ht="12.75" x14ac:dyDescent="0.2">
      <c r="A529" s="3">
        <v>74</v>
      </c>
      <c r="B529" s="4" t="s">
        <v>97</v>
      </c>
      <c r="C529" s="3" t="s">
        <v>125</v>
      </c>
      <c r="D529" s="3" t="s">
        <v>129</v>
      </c>
      <c r="E529" s="3">
        <v>4</v>
      </c>
      <c r="G529" s="57"/>
    </row>
    <row r="530" spans="1:7" ht="12.75" x14ac:dyDescent="0.2">
      <c r="A530" s="3">
        <v>74</v>
      </c>
      <c r="B530" s="4" t="s">
        <v>97</v>
      </c>
      <c r="C530" s="3" t="s">
        <v>125</v>
      </c>
      <c r="D530" s="3" t="s">
        <v>132</v>
      </c>
      <c r="E530" s="3">
        <v>96</v>
      </c>
      <c r="G530" s="57"/>
    </row>
    <row r="531" spans="1:7" ht="12.75" x14ac:dyDescent="0.2">
      <c r="A531" s="3">
        <v>74</v>
      </c>
      <c r="B531" s="4" t="s">
        <v>97</v>
      </c>
      <c r="C531" s="3" t="s">
        <v>125</v>
      </c>
      <c r="D531" s="3" t="s">
        <v>317</v>
      </c>
      <c r="E531" s="3">
        <v>35</v>
      </c>
      <c r="G531" s="57"/>
    </row>
    <row r="532" spans="1:7" ht="12.75" x14ac:dyDescent="0.2">
      <c r="A532" s="3">
        <v>74</v>
      </c>
      <c r="B532" s="4" t="s">
        <v>97</v>
      </c>
      <c r="C532" s="3" t="s">
        <v>125</v>
      </c>
      <c r="D532" s="3" t="s">
        <v>14</v>
      </c>
      <c r="E532" s="3">
        <v>5</v>
      </c>
      <c r="G532" s="57"/>
    </row>
    <row r="533" spans="1:7" ht="12.75" x14ac:dyDescent="0.2">
      <c r="A533" s="3">
        <v>74</v>
      </c>
      <c r="B533" s="4" t="s">
        <v>97</v>
      </c>
      <c r="C533" s="3" t="s">
        <v>125</v>
      </c>
      <c r="D533" s="3" t="s">
        <v>138</v>
      </c>
      <c r="E533" s="3">
        <v>6</v>
      </c>
      <c r="F533">
        <f>SUM(E526:E533)</f>
        <v>300</v>
      </c>
      <c r="G533" s="57"/>
    </row>
    <row r="534" spans="1:7" ht="12.75" x14ac:dyDescent="0.2">
      <c r="A534" s="3">
        <v>75</v>
      </c>
      <c r="B534" s="4" t="s">
        <v>98</v>
      </c>
      <c r="C534" s="3" t="s">
        <v>125</v>
      </c>
      <c r="D534" s="3" t="s">
        <v>3</v>
      </c>
      <c r="E534" s="3">
        <v>1279</v>
      </c>
      <c r="G534" s="59">
        <v>3056</v>
      </c>
    </row>
    <row r="535" spans="1:7" ht="12.75" x14ac:dyDescent="0.2">
      <c r="A535" s="3">
        <v>75</v>
      </c>
      <c r="B535" s="4" t="s">
        <v>98</v>
      </c>
      <c r="C535" s="3" t="s">
        <v>125</v>
      </c>
      <c r="D535" s="3" t="s">
        <v>16</v>
      </c>
      <c r="E535" s="3">
        <v>37</v>
      </c>
      <c r="G535" s="57"/>
    </row>
    <row r="536" spans="1:7" ht="12.75" x14ac:dyDescent="0.2">
      <c r="A536" s="3">
        <v>75</v>
      </c>
      <c r="B536" s="4" t="s">
        <v>98</v>
      </c>
      <c r="C536" s="3" t="s">
        <v>125</v>
      </c>
      <c r="D536" s="3" t="s">
        <v>149</v>
      </c>
      <c r="E536" s="3">
        <v>50</v>
      </c>
      <c r="G536" s="57"/>
    </row>
    <row r="537" spans="1:7" ht="12.75" x14ac:dyDescent="0.2">
      <c r="A537" s="3">
        <v>75</v>
      </c>
      <c r="B537" s="4" t="s">
        <v>98</v>
      </c>
      <c r="C537" s="3" t="s">
        <v>125</v>
      </c>
      <c r="D537" s="3" t="s">
        <v>129</v>
      </c>
      <c r="E537" s="3">
        <v>20</v>
      </c>
      <c r="G537" s="57"/>
    </row>
    <row r="538" spans="1:7" ht="12.75" x14ac:dyDescent="0.2">
      <c r="A538" s="3">
        <v>75</v>
      </c>
      <c r="B538" s="4" t="s">
        <v>98</v>
      </c>
      <c r="C538" s="3" t="s">
        <v>125</v>
      </c>
      <c r="D538" s="3" t="s">
        <v>132</v>
      </c>
      <c r="E538" s="3">
        <v>688</v>
      </c>
      <c r="G538" s="57"/>
    </row>
    <row r="539" spans="1:7" ht="12.75" x14ac:dyDescent="0.2">
      <c r="A539" s="3">
        <v>75</v>
      </c>
      <c r="B539" s="4" t="s">
        <v>98</v>
      </c>
      <c r="C539" s="3" t="s">
        <v>125</v>
      </c>
      <c r="D539" s="3" t="s">
        <v>317</v>
      </c>
      <c r="E539" s="3">
        <v>240</v>
      </c>
      <c r="G539" s="57"/>
    </row>
    <row r="540" spans="1:7" ht="12.75" x14ac:dyDescent="0.2">
      <c r="A540" s="3">
        <v>75</v>
      </c>
      <c r="B540" s="4" t="s">
        <v>98</v>
      </c>
      <c r="C540" s="3" t="s">
        <v>125</v>
      </c>
      <c r="D540" s="3" t="s">
        <v>14</v>
      </c>
      <c r="E540" s="3">
        <v>32</v>
      </c>
      <c r="G540" s="57"/>
    </row>
    <row r="541" spans="1:7" ht="12.75" x14ac:dyDescent="0.2">
      <c r="A541" s="3">
        <v>75</v>
      </c>
      <c r="B541" s="4" t="s">
        <v>98</v>
      </c>
      <c r="C541" s="3" t="s">
        <v>125</v>
      </c>
      <c r="D541" s="3" t="s">
        <v>138</v>
      </c>
      <c r="E541" s="3">
        <v>41</v>
      </c>
      <c r="F541">
        <f>SUM(E534:E541)</f>
        <v>2387</v>
      </c>
      <c r="G541" s="57"/>
    </row>
    <row r="542" spans="1:7" ht="12.75" x14ac:dyDescent="0.2">
      <c r="A542" s="3">
        <v>76</v>
      </c>
      <c r="B542" s="4" t="s">
        <v>99</v>
      </c>
      <c r="C542" s="3" t="s">
        <v>125</v>
      </c>
      <c r="D542" s="3" t="s">
        <v>3</v>
      </c>
      <c r="E542" s="3">
        <v>127</v>
      </c>
      <c r="G542" s="59">
        <v>273</v>
      </c>
    </row>
    <row r="543" spans="1:7" ht="12.75" x14ac:dyDescent="0.2">
      <c r="A543" s="3">
        <v>76</v>
      </c>
      <c r="B543" s="4" t="s">
        <v>99</v>
      </c>
      <c r="C543" s="3" t="s">
        <v>125</v>
      </c>
      <c r="D543" s="3" t="s">
        <v>16</v>
      </c>
      <c r="E543" s="3">
        <v>3</v>
      </c>
      <c r="G543" s="57"/>
    </row>
    <row r="544" spans="1:7" ht="12.75" x14ac:dyDescent="0.2">
      <c r="A544" s="3">
        <v>76</v>
      </c>
      <c r="B544" s="4" t="s">
        <v>99</v>
      </c>
      <c r="C544" s="3" t="s">
        <v>125</v>
      </c>
      <c r="D544" s="3" t="s">
        <v>149</v>
      </c>
      <c r="E544" s="3">
        <v>3</v>
      </c>
      <c r="G544" s="57"/>
    </row>
    <row r="545" spans="1:7" ht="12.75" x14ac:dyDescent="0.2">
      <c r="A545" s="3">
        <v>76</v>
      </c>
      <c r="B545" s="4" t="s">
        <v>99</v>
      </c>
      <c r="C545" s="3" t="s">
        <v>125</v>
      </c>
      <c r="D545" s="3" t="s">
        <v>129</v>
      </c>
      <c r="E545" s="3">
        <v>2</v>
      </c>
      <c r="G545" s="57"/>
    </row>
    <row r="546" spans="1:7" ht="12.75" x14ac:dyDescent="0.2">
      <c r="A546" s="3">
        <v>76</v>
      </c>
      <c r="B546" s="4" t="s">
        <v>99</v>
      </c>
      <c r="C546" s="3" t="s">
        <v>125</v>
      </c>
      <c r="D546" s="3" t="s">
        <v>132</v>
      </c>
      <c r="E546" s="3">
        <v>37</v>
      </c>
      <c r="G546" s="57"/>
    </row>
    <row r="547" spans="1:7" ht="12.75" x14ac:dyDescent="0.2">
      <c r="A547" s="3">
        <v>76</v>
      </c>
      <c r="B547" s="4" t="s">
        <v>99</v>
      </c>
      <c r="C547" s="3" t="s">
        <v>125</v>
      </c>
      <c r="D547" s="3" t="s">
        <v>317</v>
      </c>
      <c r="E547" s="3">
        <v>55</v>
      </c>
      <c r="G547" s="57"/>
    </row>
    <row r="548" spans="1:7" ht="12.75" x14ac:dyDescent="0.2">
      <c r="A548" s="3">
        <v>76</v>
      </c>
      <c r="B548" s="4" t="s">
        <v>99</v>
      </c>
      <c r="C548" s="3" t="s">
        <v>125</v>
      </c>
      <c r="D548" s="3" t="s">
        <v>14</v>
      </c>
      <c r="E548" s="3">
        <v>2</v>
      </c>
      <c r="G548" s="57"/>
    </row>
    <row r="549" spans="1:7" ht="12.75" x14ac:dyDescent="0.2">
      <c r="A549" s="3">
        <v>76</v>
      </c>
      <c r="B549" s="4" t="s">
        <v>99</v>
      </c>
      <c r="C549" s="3" t="s">
        <v>125</v>
      </c>
      <c r="D549" s="3" t="s">
        <v>138</v>
      </c>
      <c r="E549" s="3">
        <v>0</v>
      </c>
      <c r="F549">
        <f>SUM(E542:E549)</f>
        <v>229</v>
      </c>
      <c r="G549" s="57"/>
    </row>
    <row r="550" spans="1:7" ht="12.75" x14ac:dyDescent="0.2">
      <c r="A550" s="3">
        <v>77</v>
      </c>
      <c r="B550" s="4" t="s">
        <v>100</v>
      </c>
      <c r="C550" s="3" t="s">
        <v>125</v>
      </c>
      <c r="D550" s="3" t="s">
        <v>3</v>
      </c>
      <c r="E550" s="3">
        <v>296</v>
      </c>
      <c r="G550" s="59">
        <v>1294</v>
      </c>
    </row>
    <row r="551" spans="1:7" ht="12.75" x14ac:dyDescent="0.2">
      <c r="A551" s="3">
        <v>77</v>
      </c>
      <c r="B551" s="4" t="s">
        <v>100</v>
      </c>
      <c r="C551" s="3" t="s">
        <v>125</v>
      </c>
      <c r="D551" s="3" t="s">
        <v>16</v>
      </c>
      <c r="E551" s="3">
        <v>19</v>
      </c>
      <c r="G551" s="57"/>
    </row>
    <row r="552" spans="1:7" ht="12.75" x14ac:dyDescent="0.2">
      <c r="A552" s="3">
        <v>77</v>
      </c>
      <c r="B552" s="4" t="s">
        <v>100</v>
      </c>
      <c r="C552" s="3" t="s">
        <v>125</v>
      </c>
      <c r="D552" s="3" t="s">
        <v>149</v>
      </c>
      <c r="E552" s="3">
        <v>23</v>
      </c>
      <c r="G552" s="57"/>
    </row>
    <row r="553" spans="1:7" ht="12.75" x14ac:dyDescent="0.2">
      <c r="A553" s="3">
        <v>77</v>
      </c>
      <c r="B553" s="4" t="s">
        <v>100</v>
      </c>
      <c r="C553" s="3" t="s">
        <v>125</v>
      </c>
      <c r="D553" s="3" t="s">
        <v>129</v>
      </c>
      <c r="E553" s="3">
        <v>21</v>
      </c>
      <c r="G553" s="57"/>
    </row>
    <row r="554" spans="1:7" ht="12.75" x14ac:dyDescent="0.2">
      <c r="A554" s="3">
        <v>77</v>
      </c>
      <c r="B554" s="4" t="s">
        <v>100</v>
      </c>
      <c r="C554" s="3" t="s">
        <v>125</v>
      </c>
      <c r="D554" s="3" t="s">
        <v>132</v>
      </c>
      <c r="E554" s="3">
        <v>453</v>
      </c>
      <c r="G554" s="57"/>
    </row>
    <row r="555" spans="1:7" ht="12.75" x14ac:dyDescent="0.2">
      <c r="A555" s="3">
        <v>77</v>
      </c>
      <c r="B555" s="4" t="s">
        <v>100</v>
      </c>
      <c r="C555" s="3" t="s">
        <v>125</v>
      </c>
      <c r="D555" s="3" t="s">
        <v>317</v>
      </c>
      <c r="E555" s="3">
        <v>170</v>
      </c>
      <c r="G555" s="57"/>
    </row>
    <row r="556" spans="1:7" ht="12.75" x14ac:dyDescent="0.2">
      <c r="A556" s="3">
        <v>77</v>
      </c>
      <c r="B556" s="4" t="s">
        <v>100</v>
      </c>
      <c r="C556" s="3" t="s">
        <v>125</v>
      </c>
      <c r="D556" s="3" t="s">
        <v>14</v>
      </c>
      <c r="E556" s="3">
        <v>15</v>
      </c>
      <c r="G556" s="57"/>
    </row>
    <row r="557" spans="1:7" ht="12.75" x14ac:dyDescent="0.2">
      <c r="A557" s="3">
        <v>77</v>
      </c>
      <c r="B557" s="4" t="s">
        <v>100</v>
      </c>
      <c r="C557" s="3" t="s">
        <v>125</v>
      </c>
      <c r="D557" s="3" t="s">
        <v>138</v>
      </c>
      <c r="E557" s="3">
        <v>26</v>
      </c>
      <c r="F557">
        <f>SUM(E550:E557)</f>
        <v>1023</v>
      </c>
      <c r="G557" s="57"/>
    </row>
    <row r="558" spans="1:7" ht="12.75" x14ac:dyDescent="0.2">
      <c r="A558" s="3">
        <v>78</v>
      </c>
      <c r="B558" s="4" t="s">
        <v>101</v>
      </c>
      <c r="C558" s="3" t="s">
        <v>125</v>
      </c>
      <c r="D558" s="3" t="s">
        <v>3</v>
      </c>
      <c r="E558" s="3">
        <v>107</v>
      </c>
      <c r="G558" s="59">
        <v>279</v>
      </c>
    </row>
    <row r="559" spans="1:7" ht="12.75" x14ac:dyDescent="0.2">
      <c r="A559" s="3">
        <v>78</v>
      </c>
      <c r="B559" s="4" t="s">
        <v>101</v>
      </c>
      <c r="C559" s="3" t="s">
        <v>125</v>
      </c>
      <c r="D559" s="3" t="s">
        <v>16</v>
      </c>
      <c r="E559" s="3">
        <v>6</v>
      </c>
      <c r="G559" s="57"/>
    </row>
    <row r="560" spans="1:7" ht="12.75" x14ac:dyDescent="0.2">
      <c r="A560" s="3">
        <v>78</v>
      </c>
      <c r="B560" s="4" t="s">
        <v>101</v>
      </c>
      <c r="C560" s="3" t="s">
        <v>125</v>
      </c>
      <c r="D560" s="3" t="s">
        <v>149</v>
      </c>
      <c r="E560" s="3">
        <v>9</v>
      </c>
      <c r="G560" s="57"/>
    </row>
    <row r="561" spans="1:7" ht="12.75" x14ac:dyDescent="0.2">
      <c r="A561" s="3">
        <v>78</v>
      </c>
      <c r="B561" s="4" t="s">
        <v>101</v>
      </c>
      <c r="C561" s="3" t="s">
        <v>125</v>
      </c>
      <c r="D561" s="3" t="s">
        <v>129</v>
      </c>
      <c r="E561" s="3">
        <v>0</v>
      </c>
      <c r="G561" s="57"/>
    </row>
    <row r="562" spans="1:7" ht="12.75" x14ac:dyDescent="0.2">
      <c r="A562" s="3">
        <v>78</v>
      </c>
      <c r="B562" s="4" t="s">
        <v>101</v>
      </c>
      <c r="C562" s="3" t="s">
        <v>125</v>
      </c>
      <c r="D562" s="3" t="s">
        <v>132</v>
      </c>
      <c r="E562" s="3">
        <v>48</v>
      </c>
      <c r="G562" s="57"/>
    </row>
    <row r="563" spans="1:7" ht="12.75" x14ac:dyDescent="0.2">
      <c r="A563" s="3">
        <v>78</v>
      </c>
      <c r="B563" s="4" t="s">
        <v>101</v>
      </c>
      <c r="C563" s="3" t="s">
        <v>125</v>
      </c>
      <c r="D563" s="3" t="s">
        <v>317</v>
      </c>
      <c r="E563" s="3">
        <v>39</v>
      </c>
      <c r="G563" s="57"/>
    </row>
    <row r="564" spans="1:7" ht="12.75" x14ac:dyDescent="0.2">
      <c r="A564" s="3">
        <v>78</v>
      </c>
      <c r="B564" s="4" t="s">
        <v>101</v>
      </c>
      <c r="C564" s="3" t="s">
        <v>125</v>
      </c>
      <c r="D564" s="3" t="s">
        <v>14</v>
      </c>
      <c r="E564" s="3">
        <v>4</v>
      </c>
      <c r="G564" s="57"/>
    </row>
    <row r="565" spans="1:7" ht="12.75" x14ac:dyDescent="0.2">
      <c r="A565" s="3">
        <v>78</v>
      </c>
      <c r="B565" s="4" t="s">
        <v>101</v>
      </c>
      <c r="C565" s="3" t="s">
        <v>125</v>
      </c>
      <c r="D565" s="3" t="s">
        <v>138</v>
      </c>
      <c r="E565" s="3">
        <v>5</v>
      </c>
      <c r="F565">
        <f>SUM(E558:E565)</f>
        <v>218</v>
      </c>
      <c r="G565" s="57"/>
    </row>
    <row r="566" spans="1:7" ht="12.75" x14ac:dyDescent="0.2">
      <c r="A566" s="3">
        <v>79</v>
      </c>
      <c r="B566" s="4" t="s">
        <v>102</v>
      </c>
      <c r="C566" s="3" t="s">
        <v>125</v>
      </c>
      <c r="D566" s="3" t="s">
        <v>3</v>
      </c>
      <c r="E566" s="3">
        <v>286</v>
      </c>
      <c r="G566" s="59">
        <v>1170</v>
      </c>
    </row>
    <row r="567" spans="1:7" ht="12.75" x14ac:dyDescent="0.2">
      <c r="A567" s="3">
        <v>79</v>
      </c>
      <c r="B567" s="4" t="s">
        <v>102</v>
      </c>
      <c r="C567" s="3" t="s">
        <v>125</v>
      </c>
      <c r="D567" s="3" t="s">
        <v>16</v>
      </c>
      <c r="E567" s="3">
        <v>28</v>
      </c>
      <c r="G567" s="57"/>
    </row>
    <row r="568" spans="1:7" ht="12.75" x14ac:dyDescent="0.2">
      <c r="A568" s="3">
        <v>79</v>
      </c>
      <c r="B568" s="4" t="s">
        <v>102</v>
      </c>
      <c r="C568" s="3" t="s">
        <v>125</v>
      </c>
      <c r="D568" s="3" t="s">
        <v>149</v>
      </c>
      <c r="E568" s="3">
        <v>72</v>
      </c>
      <c r="G568" s="57"/>
    </row>
    <row r="569" spans="1:7" ht="12.75" x14ac:dyDescent="0.2">
      <c r="A569" s="3">
        <v>79</v>
      </c>
      <c r="B569" s="4" t="s">
        <v>102</v>
      </c>
      <c r="C569" s="3" t="s">
        <v>125</v>
      </c>
      <c r="D569" s="3" t="s">
        <v>129</v>
      </c>
      <c r="E569" s="3">
        <v>9</v>
      </c>
      <c r="G569" s="57"/>
    </row>
    <row r="570" spans="1:7" ht="12.75" x14ac:dyDescent="0.2">
      <c r="A570" s="3">
        <v>79</v>
      </c>
      <c r="B570" s="4" t="s">
        <v>102</v>
      </c>
      <c r="C570" s="3" t="s">
        <v>125</v>
      </c>
      <c r="D570" s="3" t="s">
        <v>132</v>
      </c>
      <c r="E570" s="3">
        <v>403</v>
      </c>
      <c r="G570" s="57"/>
    </row>
    <row r="571" spans="1:7" ht="12.75" x14ac:dyDescent="0.2">
      <c r="A571" s="3">
        <v>79</v>
      </c>
      <c r="B571" s="4" t="s">
        <v>102</v>
      </c>
      <c r="C571" s="3" t="s">
        <v>125</v>
      </c>
      <c r="D571" s="3" t="s">
        <v>317</v>
      </c>
      <c r="E571" s="3">
        <v>144</v>
      </c>
      <c r="G571" s="57"/>
    </row>
    <row r="572" spans="1:7" ht="12.75" x14ac:dyDescent="0.2">
      <c r="A572" s="3">
        <v>79</v>
      </c>
      <c r="B572" s="4" t="s">
        <v>102</v>
      </c>
      <c r="C572" s="3" t="s">
        <v>125</v>
      </c>
      <c r="D572" s="3" t="s">
        <v>14</v>
      </c>
      <c r="E572" s="3">
        <v>13</v>
      </c>
      <c r="G572" s="57"/>
    </row>
    <row r="573" spans="1:7" ht="12.75" x14ac:dyDescent="0.2">
      <c r="A573" s="3">
        <v>79</v>
      </c>
      <c r="B573" s="4" t="s">
        <v>102</v>
      </c>
      <c r="C573" s="3" t="s">
        <v>125</v>
      </c>
      <c r="D573" s="3" t="s">
        <v>138</v>
      </c>
      <c r="E573" s="3">
        <v>12</v>
      </c>
      <c r="F573">
        <f>SUM(E566:E573)</f>
        <v>967</v>
      </c>
      <c r="G573" s="57"/>
    </row>
    <row r="574" spans="1:7" ht="12.75" x14ac:dyDescent="0.2">
      <c r="A574" s="3">
        <v>80</v>
      </c>
      <c r="B574" s="4" t="s">
        <v>103</v>
      </c>
      <c r="C574" s="3" t="s">
        <v>125</v>
      </c>
      <c r="D574" s="3" t="s">
        <v>3</v>
      </c>
      <c r="E574" s="3">
        <v>94</v>
      </c>
      <c r="G574" s="59">
        <v>169</v>
      </c>
    </row>
    <row r="575" spans="1:7" ht="12.75" x14ac:dyDescent="0.2">
      <c r="A575" s="3">
        <v>80</v>
      </c>
      <c r="B575" s="4" t="s">
        <v>103</v>
      </c>
      <c r="C575" s="3" t="s">
        <v>125</v>
      </c>
      <c r="D575" s="3" t="s">
        <v>16</v>
      </c>
      <c r="E575" s="3">
        <v>1</v>
      </c>
      <c r="G575" s="57"/>
    </row>
    <row r="576" spans="1:7" ht="12.75" x14ac:dyDescent="0.2">
      <c r="A576" s="3">
        <v>80</v>
      </c>
      <c r="B576" s="4" t="s">
        <v>103</v>
      </c>
      <c r="C576" s="3" t="s">
        <v>125</v>
      </c>
      <c r="D576" s="3" t="s">
        <v>149</v>
      </c>
      <c r="E576" s="3">
        <v>7</v>
      </c>
      <c r="G576" s="57"/>
    </row>
    <row r="577" spans="1:7" ht="12.75" x14ac:dyDescent="0.2">
      <c r="A577" s="3">
        <v>80</v>
      </c>
      <c r="B577" s="4" t="s">
        <v>103</v>
      </c>
      <c r="C577" s="3" t="s">
        <v>125</v>
      </c>
      <c r="D577" s="3" t="s">
        <v>129</v>
      </c>
      <c r="E577" s="3">
        <v>3</v>
      </c>
      <c r="G577" s="57"/>
    </row>
    <row r="578" spans="1:7" ht="12.75" x14ac:dyDescent="0.2">
      <c r="A578" s="3">
        <v>80</v>
      </c>
      <c r="B578" s="4" t="s">
        <v>103</v>
      </c>
      <c r="C578" s="3" t="s">
        <v>125</v>
      </c>
      <c r="D578" s="3" t="s">
        <v>132</v>
      </c>
      <c r="E578" s="3">
        <v>26</v>
      </c>
      <c r="G578" s="57"/>
    </row>
    <row r="579" spans="1:7" ht="12.75" x14ac:dyDescent="0.2">
      <c r="A579" s="3">
        <v>80</v>
      </c>
      <c r="B579" s="4" t="s">
        <v>103</v>
      </c>
      <c r="C579" s="3" t="s">
        <v>125</v>
      </c>
      <c r="D579" s="3" t="s">
        <v>317</v>
      </c>
      <c r="E579" s="3">
        <v>21</v>
      </c>
      <c r="G579" s="57"/>
    </row>
    <row r="580" spans="1:7" ht="12.75" x14ac:dyDescent="0.2">
      <c r="A580" s="3">
        <v>80</v>
      </c>
      <c r="B580" s="4" t="s">
        <v>103</v>
      </c>
      <c r="C580" s="3" t="s">
        <v>125</v>
      </c>
      <c r="D580" s="3" t="s">
        <v>14</v>
      </c>
      <c r="E580" s="3">
        <v>0</v>
      </c>
      <c r="G580" s="57"/>
    </row>
    <row r="581" spans="1:7" ht="12.75" x14ac:dyDescent="0.2">
      <c r="A581" s="3">
        <v>80</v>
      </c>
      <c r="B581" s="4" t="s">
        <v>103</v>
      </c>
      <c r="C581" s="3" t="s">
        <v>125</v>
      </c>
      <c r="D581" s="3" t="s">
        <v>138</v>
      </c>
      <c r="E581" s="3">
        <v>0</v>
      </c>
      <c r="F581">
        <f>SUM(E574:E581)</f>
        <v>152</v>
      </c>
      <c r="G581" s="57"/>
    </row>
    <row r="582" spans="1:7" ht="12.75" x14ac:dyDescent="0.2">
      <c r="A582" s="3">
        <v>81</v>
      </c>
      <c r="B582" s="4" t="s">
        <v>104</v>
      </c>
      <c r="C582" s="3" t="s">
        <v>125</v>
      </c>
      <c r="D582" s="3" t="s">
        <v>3</v>
      </c>
      <c r="E582" s="3">
        <v>1397</v>
      </c>
      <c r="G582" s="59">
        <v>4024</v>
      </c>
    </row>
    <row r="583" spans="1:7" ht="12.75" x14ac:dyDescent="0.2">
      <c r="A583" s="3">
        <v>81</v>
      </c>
      <c r="B583" s="4" t="s">
        <v>104</v>
      </c>
      <c r="C583" s="3" t="s">
        <v>125</v>
      </c>
      <c r="D583" s="3" t="s">
        <v>16</v>
      </c>
      <c r="E583" s="3">
        <v>69</v>
      </c>
      <c r="G583" s="57"/>
    </row>
    <row r="584" spans="1:7" ht="12.75" x14ac:dyDescent="0.2">
      <c r="A584" s="3">
        <v>81</v>
      </c>
      <c r="B584" s="4" t="s">
        <v>104</v>
      </c>
      <c r="C584" s="3" t="s">
        <v>125</v>
      </c>
      <c r="D584" s="3" t="s">
        <v>149</v>
      </c>
      <c r="E584" s="3">
        <v>168</v>
      </c>
      <c r="G584" s="57"/>
    </row>
    <row r="585" spans="1:7" ht="12.75" x14ac:dyDescent="0.2">
      <c r="A585" s="3">
        <v>81</v>
      </c>
      <c r="B585" s="4" t="s">
        <v>104</v>
      </c>
      <c r="C585" s="3" t="s">
        <v>125</v>
      </c>
      <c r="D585" s="3" t="s">
        <v>129</v>
      </c>
      <c r="E585" s="3">
        <v>42</v>
      </c>
      <c r="G585" s="57"/>
    </row>
    <row r="586" spans="1:7" ht="12.75" x14ac:dyDescent="0.2">
      <c r="A586" s="3">
        <v>81</v>
      </c>
      <c r="B586" s="4" t="s">
        <v>104</v>
      </c>
      <c r="C586" s="3" t="s">
        <v>125</v>
      </c>
      <c r="D586" s="3" t="s">
        <v>132</v>
      </c>
      <c r="E586" s="3">
        <v>938</v>
      </c>
      <c r="G586" s="57"/>
    </row>
    <row r="587" spans="1:7" ht="12.75" x14ac:dyDescent="0.2">
      <c r="A587" s="3">
        <v>81</v>
      </c>
      <c r="B587" s="4" t="s">
        <v>104</v>
      </c>
      <c r="C587" s="3" t="s">
        <v>125</v>
      </c>
      <c r="D587" s="3" t="s">
        <v>317</v>
      </c>
      <c r="E587" s="3">
        <v>543</v>
      </c>
      <c r="G587" s="57"/>
    </row>
    <row r="588" spans="1:7" ht="12.75" x14ac:dyDescent="0.2">
      <c r="A588" s="3">
        <v>81</v>
      </c>
      <c r="B588" s="4" t="s">
        <v>104</v>
      </c>
      <c r="C588" s="3" t="s">
        <v>125</v>
      </c>
      <c r="D588" s="3" t="s">
        <v>14</v>
      </c>
      <c r="E588" s="3">
        <v>15</v>
      </c>
      <c r="G588" s="57"/>
    </row>
    <row r="589" spans="1:7" ht="12.75" x14ac:dyDescent="0.2">
      <c r="A589" s="3">
        <v>81</v>
      </c>
      <c r="B589" s="4" t="s">
        <v>104</v>
      </c>
      <c r="C589" s="3" t="s">
        <v>125</v>
      </c>
      <c r="D589" s="3" t="s">
        <v>138</v>
      </c>
      <c r="E589" s="3">
        <v>58</v>
      </c>
      <c r="F589">
        <f>SUM(E582:E589)</f>
        <v>3230</v>
      </c>
      <c r="G589" s="57"/>
    </row>
    <row r="590" spans="1:7" ht="12.75" x14ac:dyDescent="0.2">
      <c r="A590" s="3">
        <v>82</v>
      </c>
      <c r="B590" s="4" t="s">
        <v>105</v>
      </c>
      <c r="C590" s="3" t="s">
        <v>125</v>
      </c>
      <c r="D590" s="3" t="s">
        <v>3</v>
      </c>
      <c r="E590" s="3">
        <v>2473</v>
      </c>
      <c r="G590" s="59">
        <v>6433</v>
      </c>
    </row>
    <row r="591" spans="1:7" ht="12.75" x14ac:dyDescent="0.2">
      <c r="A591" s="3">
        <v>82</v>
      </c>
      <c r="B591" s="4" t="s">
        <v>105</v>
      </c>
      <c r="C591" s="3" t="s">
        <v>125</v>
      </c>
      <c r="D591" s="3" t="s">
        <v>16</v>
      </c>
      <c r="E591" s="3">
        <v>88</v>
      </c>
      <c r="G591" s="57"/>
    </row>
    <row r="592" spans="1:7" ht="12.75" x14ac:dyDescent="0.2">
      <c r="A592" s="3">
        <v>82</v>
      </c>
      <c r="B592" s="4" t="s">
        <v>105</v>
      </c>
      <c r="C592" s="3" t="s">
        <v>125</v>
      </c>
      <c r="D592" s="3" t="s">
        <v>149</v>
      </c>
      <c r="E592" s="3">
        <v>120</v>
      </c>
      <c r="G592" s="57"/>
    </row>
    <row r="593" spans="1:7" ht="12.75" x14ac:dyDescent="0.2">
      <c r="A593" s="3">
        <v>82</v>
      </c>
      <c r="B593" s="4" t="s">
        <v>105</v>
      </c>
      <c r="C593" s="3" t="s">
        <v>125</v>
      </c>
      <c r="D593" s="3" t="s">
        <v>129</v>
      </c>
      <c r="E593" s="3">
        <v>60</v>
      </c>
      <c r="G593" s="57"/>
    </row>
    <row r="594" spans="1:7" ht="12.75" x14ac:dyDescent="0.2">
      <c r="A594" s="3">
        <v>82</v>
      </c>
      <c r="B594" s="4" t="s">
        <v>105</v>
      </c>
      <c r="C594" s="3" t="s">
        <v>125</v>
      </c>
      <c r="D594" s="3" t="s">
        <v>132</v>
      </c>
      <c r="E594" s="3">
        <v>1258</v>
      </c>
      <c r="G594" s="57"/>
    </row>
    <row r="595" spans="1:7" ht="12.75" x14ac:dyDescent="0.2">
      <c r="A595" s="3">
        <v>82</v>
      </c>
      <c r="B595" s="4" t="s">
        <v>105</v>
      </c>
      <c r="C595" s="3" t="s">
        <v>125</v>
      </c>
      <c r="D595" s="3" t="s">
        <v>317</v>
      </c>
      <c r="E595" s="3">
        <v>981</v>
      </c>
      <c r="G595" s="57"/>
    </row>
    <row r="596" spans="1:7" ht="12.75" x14ac:dyDescent="0.2">
      <c r="A596" s="3">
        <v>82</v>
      </c>
      <c r="B596" s="4" t="s">
        <v>105</v>
      </c>
      <c r="C596" s="3" t="s">
        <v>125</v>
      </c>
      <c r="D596" s="3" t="s">
        <v>14</v>
      </c>
      <c r="E596" s="3">
        <v>39</v>
      </c>
      <c r="G596" s="57"/>
    </row>
    <row r="597" spans="1:7" ht="12.75" x14ac:dyDescent="0.2">
      <c r="A597" s="3">
        <v>82</v>
      </c>
      <c r="B597" s="4" t="s">
        <v>105</v>
      </c>
      <c r="C597" s="3" t="s">
        <v>125</v>
      </c>
      <c r="D597" s="3" t="s">
        <v>138</v>
      </c>
      <c r="E597" s="3">
        <v>101</v>
      </c>
      <c r="F597">
        <f>SUM(E590:E597)</f>
        <v>5120</v>
      </c>
      <c r="G597" s="57"/>
    </row>
    <row r="598" spans="1:7" ht="12.75" x14ac:dyDescent="0.2">
      <c r="A598" s="3">
        <v>83</v>
      </c>
      <c r="B598" s="4" t="s">
        <v>157</v>
      </c>
      <c r="C598" s="3" t="s">
        <v>125</v>
      </c>
      <c r="D598" s="3" t="s">
        <v>3</v>
      </c>
      <c r="E598" s="3">
        <v>0</v>
      </c>
      <c r="G598" s="59">
        <v>1</v>
      </c>
    </row>
    <row r="599" spans="1:7" ht="12.75" x14ac:dyDescent="0.2">
      <c r="A599" s="3">
        <v>83</v>
      </c>
      <c r="B599" s="4" t="s">
        <v>157</v>
      </c>
      <c r="C599" s="3" t="s">
        <v>125</v>
      </c>
      <c r="D599" s="3" t="s">
        <v>16</v>
      </c>
      <c r="E599" s="3">
        <v>1</v>
      </c>
      <c r="G599" s="57"/>
    </row>
    <row r="600" spans="1:7" ht="12.75" x14ac:dyDescent="0.2">
      <c r="A600" s="3">
        <v>83</v>
      </c>
      <c r="B600" s="4" t="s">
        <v>157</v>
      </c>
      <c r="C600" s="3" t="s">
        <v>125</v>
      </c>
      <c r="D600" s="3" t="s">
        <v>149</v>
      </c>
      <c r="E600" s="3">
        <v>0</v>
      </c>
      <c r="G600" s="57"/>
    </row>
    <row r="601" spans="1:7" ht="12.75" x14ac:dyDescent="0.2">
      <c r="A601" s="3">
        <v>83</v>
      </c>
      <c r="B601" s="4" t="s">
        <v>157</v>
      </c>
      <c r="C601" s="3" t="s">
        <v>125</v>
      </c>
      <c r="D601" s="3" t="s">
        <v>129</v>
      </c>
      <c r="E601" s="3">
        <v>0</v>
      </c>
      <c r="G601" s="57"/>
    </row>
    <row r="602" spans="1:7" ht="12.75" x14ac:dyDescent="0.2">
      <c r="A602" s="3">
        <v>83</v>
      </c>
      <c r="B602" s="4" t="s">
        <v>157</v>
      </c>
      <c r="C602" s="3" t="s">
        <v>125</v>
      </c>
      <c r="D602" s="3" t="s">
        <v>132</v>
      </c>
      <c r="E602" s="3">
        <v>1</v>
      </c>
      <c r="G602" s="57"/>
    </row>
    <row r="603" spans="1:7" ht="12.75" x14ac:dyDescent="0.2">
      <c r="A603" s="3">
        <v>83</v>
      </c>
      <c r="B603" s="4" t="s">
        <v>157</v>
      </c>
      <c r="C603" s="3" t="s">
        <v>125</v>
      </c>
      <c r="D603" s="3" t="s">
        <v>317</v>
      </c>
      <c r="E603" s="3">
        <v>0</v>
      </c>
      <c r="G603" s="57"/>
    </row>
    <row r="604" spans="1:7" ht="12.75" x14ac:dyDescent="0.2">
      <c r="A604" s="3">
        <v>83</v>
      </c>
      <c r="B604" s="4" t="s">
        <v>157</v>
      </c>
      <c r="C604" s="3" t="s">
        <v>125</v>
      </c>
      <c r="D604" s="3" t="s">
        <v>14</v>
      </c>
      <c r="E604" s="3">
        <v>0</v>
      </c>
      <c r="G604" s="57"/>
    </row>
    <row r="605" spans="1:7" ht="12.75" x14ac:dyDescent="0.2">
      <c r="A605" s="3">
        <v>83</v>
      </c>
      <c r="B605" s="4" t="s">
        <v>157</v>
      </c>
      <c r="C605" s="3" t="s">
        <v>125</v>
      </c>
      <c r="D605" s="3" t="s">
        <v>138</v>
      </c>
      <c r="E605" s="3">
        <v>0</v>
      </c>
      <c r="F605">
        <f>SUM(E598:E605)</f>
        <v>2</v>
      </c>
      <c r="G605" s="57"/>
    </row>
    <row r="606" spans="1:7" ht="12.75" x14ac:dyDescent="0.2">
      <c r="A606" s="3">
        <v>84</v>
      </c>
      <c r="B606" s="4" t="s">
        <v>158</v>
      </c>
      <c r="C606" s="3" t="s">
        <v>125</v>
      </c>
      <c r="D606" s="3" t="s">
        <v>3</v>
      </c>
      <c r="E606" s="3">
        <v>2</v>
      </c>
      <c r="G606" s="59">
        <v>13</v>
      </c>
    </row>
    <row r="607" spans="1:7" ht="12.75" x14ac:dyDescent="0.2">
      <c r="A607" s="3">
        <v>84</v>
      </c>
      <c r="B607" s="4" t="s">
        <v>158</v>
      </c>
      <c r="C607" s="3" t="s">
        <v>125</v>
      </c>
      <c r="D607" s="3" t="s">
        <v>16</v>
      </c>
      <c r="E607" s="3">
        <v>0</v>
      </c>
      <c r="G607" s="57"/>
    </row>
    <row r="608" spans="1:7" ht="12.75" x14ac:dyDescent="0.2">
      <c r="A608" s="3">
        <v>84</v>
      </c>
      <c r="B608" s="4" t="s">
        <v>158</v>
      </c>
      <c r="C608" s="3" t="s">
        <v>125</v>
      </c>
      <c r="D608" s="3" t="s">
        <v>149</v>
      </c>
      <c r="E608" s="3">
        <v>1</v>
      </c>
      <c r="G608" s="57"/>
    </row>
    <row r="609" spans="1:7" ht="12.75" x14ac:dyDescent="0.2">
      <c r="A609" s="3">
        <v>84</v>
      </c>
      <c r="B609" s="4" t="s">
        <v>158</v>
      </c>
      <c r="C609" s="3" t="s">
        <v>125</v>
      </c>
      <c r="D609" s="3" t="s">
        <v>129</v>
      </c>
      <c r="E609" s="3">
        <v>1</v>
      </c>
      <c r="G609" s="57"/>
    </row>
    <row r="610" spans="1:7" ht="12.75" x14ac:dyDescent="0.2">
      <c r="A610" s="3">
        <v>84</v>
      </c>
      <c r="B610" s="4" t="s">
        <v>158</v>
      </c>
      <c r="C610" s="3" t="s">
        <v>125</v>
      </c>
      <c r="D610" s="3" t="s">
        <v>132</v>
      </c>
      <c r="E610" s="3">
        <v>6</v>
      </c>
      <c r="G610" s="57"/>
    </row>
    <row r="611" spans="1:7" ht="12.75" x14ac:dyDescent="0.2">
      <c r="A611" s="3">
        <v>84</v>
      </c>
      <c r="B611" s="4" t="s">
        <v>158</v>
      </c>
      <c r="C611" s="3" t="s">
        <v>125</v>
      </c>
      <c r="D611" s="3" t="s">
        <v>317</v>
      </c>
      <c r="E611" s="3">
        <v>0</v>
      </c>
      <c r="G611" s="57"/>
    </row>
    <row r="612" spans="1:7" ht="12.75" x14ac:dyDescent="0.2">
      <c r="A612" s="3">
        <v>84</v>
      </c>
      <c r="B612" s="4" t="s">
        <v>158</v>
      </c>
      <c r="C612" s="3" t="s">
        <v>125</v>
      </c>
      <c r="D612" s="3" t="s">
        <v>14</v>
      </c>
      <c r="E612" s="3">
        <v>0</v>
      </c>
      <c r="G612" s="57"/>
    </row>
    <row r="613" spans="1:7" ht="12.75" x14ac:dyDescent="0.2">
      <c r="A613" s="3">
        <v>84</v>
      </c>
      <c r="B613" s="4" t="s">
        <v>158</v>
      </c>
      <c r="C613" s="3" t="s">
        <v>125</v>
      </c>
      <c r="D613" s="3" t="s">
        <v>138</v>
      </c>
      <c r="E613" s="3">
        <v>0</v>
      </c>
      <c r="F613">
        <f>SUM(E606:E613)</f>
        <v>10</v>
      </c>
      <c r="G613" s="57"/>
    </row>
    <row r="614" spans="1:7" ht="12.75" x14ac:dyDescent="0.2">
      <c r="A614" s="3">
        <v>85</v>
      </c>
      <c r="B614" s="4" t="s">
        <v>159</v>
      </c>
      <c r="C614" s="3" t="s">
        <v>125</v>
      </c>
      <c r="D614" s="3" t="s">
        <v>3</v>
      </c>
      <c r="E614" s="3">
        <v>1</v>
      </c>
      <c r="G614" s="59">
        <v>6</v>
      </c>
    </row>
    <row r="615" spans="1:7" ht="12.75" x14ac:dyDescent="0.2">
      <c r="A615" s="3">
        <v>85</v>
      </c>
      <c r="B615" s="4" t="s">
        <v>159</v>
      </c>
      <c r="C615" s="3" t="s">
        <v>125</v>
      </c>
      <c r="D615" s="3" t="s">
        <v>16</v>
      </c>
      <c r="E615" s="3">
        <v>0</v>
      </c>
      <c r="G615" s="57"/>
    </row>
    <row r="616" spans="1:7" ht="12.75" x14ac:dyDescent="0.2">
      <c r="A616" s="3">
        <v>85</v>
      </c>
      <c r="B616" s="4" t="s">
        <v>159</v>
      </c>
      <c r="C616" s="3" t="s">
        <v>125</v>
      </c>
      <c r="D616" s="3" t="s">
        <v>149</v>
      </c>
      <c r="E616" s="3">
        <v>0</v>
      </c>
      <c r="G616" s="57"/>
    </row>
    <row r="617" spans="1:7" ht="12.75" x14ac:dyDescent="0.2">
      <c r="A617" s="3">
        <v>85</v>
      </c>
      <c r="B617" s="4" t="s">
        <v>159</v>
      </c>
      <c r="C617" s="3" t="s">
        <v>125</v>
      </c>
      <c r="D617" s="3" t="s">
        <v>129</v>
      </c>
      <c r="E617" s="3">
        <v>0</v>
      </c>
      <c r="G617" s="57"/>
    </row>
    <row r="618" spans="1:7" ht="12.75" x14ac:dyDescent="0.2">
      <c r="A618" s="3">
        <v>85</v>
      </c>
      <c r="B618" s="4" t="s">
        <v>159</v>
      </c>
      <c r="C618" s="3" t="s">
        <v>125</v>
      </c>
      <c r="D618" s="3" t="s">
        <v>132</v>
      </c>
      <c r="E618" s="3">
        <v>0</v>
      </c>
      <c r="G618" s="57"/>
    </row>
    <row r="619" spans="1:7" ht="12.75" x14ac:dyDescent="0.2">
      <c r="A619" s="3">
        <v>85</v>
      </c>
      <c r="B619" s="4" t="s">
        <v>159</v>
      </c>
      <c r="C619" s="3" t="s">
        <v>125</v>
      </c>
      <c r="D619" s="3" t="s">
        <v>317</v>
      </c>
      <c r="E619" s="3">
        <v>0</v>
      </c>
      <c r="G619" s="57"/>
    </row>
    <row r="620" spans="1:7" ht="12.75" x14ac:dyDescent="0.2">
      <c r="A620" s="3">
        <v>85</v>
      </c>
      <c r="B620" s="4" t="s">
        <v>159</v>
      </c>
      <c r="C620" s="3" t="s">
        <v>125</v>
      </c>
      <c r="D620" s="3" t="s">
        <v>14</v>
      </c>
      <c r="E620" s="3">
        <v>0</v>
      </c>
      <c r="G620" s="57"/>
    </row>
    <row r="621" spans="1:7" ht="12.75" x14ac:dyDescent="0.2">
      <c r="A621" s="3">
        <v>85</v>
      </c>
      <c r="B621" s="4" t="s">
        <v>159</v>
      </c>
      <c r="C621" s="3" t="s">
        <v>125</v>
      </c>
      <c r="D621" s="3" t="s">
        <v>138</v>
      </c>
      <c r="E621" s="3">
        <v>0</v>
      </c>
      <c r="F621">
        <f>SUM(E614:E621)</f>
        <v>1</v>
      </c>
      <c r="G621" s="57"/>
    </row>
    <row r="622" spans="1:7" ht="12.75" x14ac:dyDescent="0.2">
      <c r="A622" s="3">
        <v>86</v>
      </c>
      <c r="B622" s="4" t="s">
        <v>106</v>
      </c>
      <c r="C622" s="3" t="s">
        <v>125</v>
      </c>
      <c r="D622" s="3" t="s">
        <v>3</v>
      </c>
      <c r="E622" s="3">
        <v>2870</v>
      </c>
      <c r="G622" s="59">
        <v>9128</v>
      </c>
    </row>
    <row r="623" spans="1:7" ht="12.75" x14ac:dyDescent="0.2">
      <c r="A623" s="3">
        <v>86</v>
      </c>
      <c r="B623" s="4" t="s">
        <v>106</v>
      </c>
      <c r="C623" s="3" t="s">
        <v>125</v>
      </c>
      <c r="D623" s="3" t="s">
        <v>16</v>
      </c>
      <c r="E623" s="3">
        <v>357</v>
      </c>
      <c r="G623" s="57"/>
    </row>
    <row r="624" spans="1:7" ht="12.75" x14ac:dyDescent="0.2">
      <c r="A624" s="3">
        <v>86</v>
      </c>
      <c r="B624" s="4" t="s">
        <v>106</v>
      </c>
      <c r="C624" s="3" t="s">
        <v>125</v>
      </c>
      <c r="D624" s="3" t="s">
        <v>149</v>
      </c>
      <c r="E624" s="3">
        <v>187</v>
      </c>
      <c r="G624" s="57"/>
    </row>
    <row r="625" spans="1:7" ht="12.75" x14ac:dyDescent="0.2">
      <c r="A625" s="3">
        <v>86</v>
      </c>
      <c r="B625" s="4" t="s">
        <v>106</v>
      </c>
      <c r="C625" s="3" t="s">
        <v>125</v>
      </c>
      <c r="D625" s="3" t="s">
        <v>129</v>
      </c>
      <c r="E625" s="3">
        <v>196</v>
      </c>
      <c r="G625" s="57"/>
    </row>
    <row r="626" spans="1:7" ht="12.75" x14ac:dyDescent="0.2">
      <c r="A626" s="3">
        <v>86</v>
      </c>
      <c r="B626" s="4" t="s">
        <v>106</v>
      </c>
      <c r="C626" s="3" t="s">
        <v>125</v>
      </c>
      <c r="D626" s="3" t="s">
        <v>132</v>
      </c>
      <c r="E626" s="3">
        <v>2330</v>
      </c>
      <c r="G626" s="57"/>
    </row>
    <row r="627" spans="1:7" ht="12.75" x14ac:dyDescent="0.2">
      <c r="A627" s="3">
        <v>86</v>
      </c>
      <c r="B627" s="4" t="s">
        <v>106</v>
      </c>
      <c r="C627" s="3" t="s">
        <v>125</v>
      </c>
      <c r="D627" s="3" t="s">
        <v>317</v>
      </c>
      <c r="E627" s="3">
        <v>1106</v>
      </c>
      <c r="G627" s="57"/>
    </row>
    <row r="628" spans="1:7" ht="12.75" x14ac:dyDescent="0.2">
      <c r="A628" s="3">
        <v>86</v>
      </c>
      <c r="B628" s="4" t="s">
        <v>106</v>
      </c>
      <c r="C628" s="3" t="s">
        <v>125</v>
      </c>
      <c r="D628" s="3" t="s">
        <v>14</v>
      </c>
      <c r="E628" s="3">
        <v>66</v>
      </c>
      <c r="G628" s="57"/>
    </row>
    <row r="629" spans="1:7" ht="12.75" x14ac:dyDescent="0.2">
      <c r="A629" s="3">
        <v>86</v>
      </c>
      <c r="B629" s="4" t="s">
        <v>106</v>
      </c>
      <c r="C629" s="3" t="s">
        <v>125</v>
      </c>
      <c r="D629" s="3" t="s">
        <v>138</v>
      </c>
      <c r="E629" s="3">
        <v>143</v>
      </c>
      <c r="F629">
        <f>SUM(E622:E629)</f>
        <v>7255</v>
      </c>
      <c r="G629" s="57"/>
    </row>
    <row r="630" spans="1:7" ht="12.75" x14ac:dyDescent="0.2">
      <c r="A630" s="3">
        <v>87</v>
      </c>
      <c r="B630" s="4" t="s">
        <v>107</v>
      </c>
      <c r="C630" s="3" t="s">
        <v>125</v>
      </c>
      <c r="D630" s="3" t="s">
        <v>3</v>
      </c>
      <c r="E630" s="3">
        <v>401</v>
      </c>
      <c r="G630" s="59">
        <v>971</v>
      </c>
    </row>
    <row r="631" spans="1:7" ht="12.75" x14ac:dyDescent="0.2">
      <c r="A631" s="3">
        <v>87</v>
      </c>
      <c r="B631" s="4" t="s">
        <v>107</v>
      </c>
      <c r="C631" s="3" t="s">
        <v>125</v>
      </c>
      <c r="D631" s="3" t="s">
        <v>16</v>
      </c>
      <c r="E631" s="3">
        <v>20</v>
      </c>
      <c r="G631" s="57"/>
    </row>
    <row r="632" spans="1:7" ht="12.75" x14ac:dyDescent="0.2">
      <c r="A632" s="3">
        <v>87</v>
      </c>
      <c r="B632" s="4" t="s">
        <v>107</v>
      </c>
      <c r="C632" s="3" t="s">
        <v>125</v>
      </c>
      <c r="D632" s="3" t="s">
        <v>149</v>
      </c>
      <c r="E632" s="3">
        <v>26</v>
      </c>
      <c r="G632" s="57"/>
    </row>
    <row r="633" spans="1:7" ht="12.75" x14ac:dyDescent="0.2">
      <c r="A633" s="3">
        <v>87</v>
      </c>
      <c r="B633" s="4" t="s">
        <v>107</v>
      </c>
      <c r="C633" s="3" t="s">
        <v>125</v>
      </c>
      <c r="D633" s="3" t="s">
        <v>129</v>
      </c>
      <c r="E633" s="3">
        <v>15</v>
      </c>
      <c r="G633" s="57"/>
    </row>
    <row r="634" spans="1:7" ht="12.75" x14ac:dyDescent="0.2">
      <c r="A634" s="3">
        <v>87</v>
      </c>
      <c r="B634" s="4" t="s">
        <v>107</v>
      </c>
      <c r="C634" s="3" t="s">
        <v>125</v>
      </c>
      <c r="D634" s="3" t="s">
        <v>132</v>
      </c>
      <c r="E634" s="3">
        <v>227</v>
      </c>
      <c r="G634" s="57"/>
    </row>
    <row r="635" spans="1:7" ht="12.75" x14ac:dyDescent="0.2">
      <c r="A635" s="3">
        <v>87</v>
      </c>
      <c r="B635" s="4" t="s">
        <v>107</v>
      </c>
      <c r="C635" s="3" t="s">
        <v>125</v>
      </c>
      <c r="D635" s="3" t="s">
        <v>317</v>
      </c>
      <c r="E635" s="3">
        <v>80</v>
      </c>
      <c r="G635" s="57"/>
    </row>
    <row r="636" spans="1:7" ht="12.75" x14ac:dyDescent="0.2">
      <c r="A636" s="3">
        <v>87</v>
      </c>
      <c r="B636" s="4" t="s">
        <v>107</v>
      </c>
      <c r="C636" s="3" t="s">
        <v>125</v>
      </c>
      <c r="D636" s="3" t="s">
        <v>14</v>
      </c>
      <c r="E636" s="3">
        <v>10</v>
      </c>
      <c r="G636" s="57"/>
    </row>
    <row r="637" spans="1:7" ht="12.75" x14ac:dyDescent="0.2">
      <c r="A637" s="3">
        <v>87</v>
      </c>
      <c r="B637" s="4" t="s">
        <v>107</v>
      </c>
      <c r="C637" s="3" t="s">
        <v>125</v>
      </c>
      <c r="D637" s="3" t="s">
        <v>138</v>
      </c>
      <c r="E637" s="3">
        <v>1</v>
      </c>
      <c r="F637">
        <f>SUM(E630:E637)</f>
        <v>780</v>
      </c>
      <c r="G637" s="57"/>
    </row>
    <row r="638" spans="1:7" ht="12.75" x14ac:dyDescent="0.2">
      <c r="A638" s="3">
        <v>88</v>
      </c>
      <c r="B638" s="4" t="s">
        <v>108</v>
      </c>
      <c r="C638" s="3" t="s">
        <v>125</v>
      </c>
      <c r="D638" s="3" t="s">
        <v>3</v>
      </c>
      <c r="E638" s="3">
        <v>145</v>
      </c>
      <c r="G638" s="59">
        <v>502</v>
      </c>
    </row>
    <row r="639" spans="1:7" ht="12.75" x14ac:dyDescent="0.2">
      <c r="A639" s="3">
        <v>88</v>
      </c>
      <c r="B639" s="4" t="s">
        <v>108</v>
      </c>
      <c r="C639" s="3" t="s">
        <v>125</v>
      </c>
      <c r="D639" s="3" t="s">
        <v>16</v>
      </c>
      <c r="E639" s="3">
        <v>17</v>
      </c>
      <c r="G639" s="57"/>
    </row>
    <row r="640" spans="1:7" ht="12.75" x14ac:dyDescent="0.2">
      <c r="A640" s="3">
        <v>88</v>
      </c>
      <c r="B640" s="4" t="s">
        <v>108</v>
      </c>
      <c r="C640" s="3" t="s">
        <v>125</v>
      </c>
      <c r="D640" s="3" t="s">
        <v>149</v>
      </c>
      <c r="E640" s="3">
        <v>18</v>
      </c>
      <c r="G640" s="57"/>
    </row>
    <row r="641" spans="1:7" ht="12.75" x14ac:dyDescent="0.2">
      <c r="A641" s="3">
        <v>88</v>
      </c>
      <c r="B641" s="4" t="s">
        <v>108</v>
      </c>
      <c r="C641" s="3" t="s">
        <v>125</v>
      </c>
      <c r="D641" s="3" t="s">
        <v>129</v>
      </c>
      <c r="E641" s="3">
        <v>11</v>
      </c>
      <c r="G641" s="57"/>
    </row>
    <row r="642" spans="1:7" ht="12.75" x14ac:dyDescent="0.2">
      <c r="A642" s="3">
        <v>88</v>
      </c>
      <c r="B642" s="4" t="s">
        <v>108</v>
      </c>
      <c r="C642" s="3" t="s">
        <v>125</v>
      </c>
      <c r="D642" s="3" t="s">
        <v>132</v>
      </c>
      <c r="E642" s="3">
        <v>157</v>
      </c>
      <c r="G642" s="57"/>
    </row>
    <row r="643" spans="1:7" ht="12.75" x14ac:dyDescent="0.2">
      <c r="A643" s="3">
        <v>88</v>
      </c>
      <c r="B643" s="4" t="s">
        <v>108</v>
      </c>
      <c r="C643" s="3" t="s">
        <v>125</v>
      </c>
      <c r="D643" s="3" t="s">
        <v>317</v>
      </c>
      <c r="E643" s="3">
        <v>85</v>
      </c>
      <c r="G643" s="57"/>
    </row>
    <row r="644" spans="1:7" ht="12.75" x14ac:dyDescent="0.2">
      <c r="A644" s="3">
        <v>88</v>
      </c>
      <c r="B644" s="4" t="s">
        <v>108</v>
      </c>
      <c r="C644" s="3" t="s">
        <v>125</v>
      </c>
      <c r="D644" s="3" t="s">
        <v>14</v>
      </c>
      <c r="E644" s="3">
        <v>9</v>
      </c>
      <c r="G644" s="57"/>
    </row>
    <row r="645" spans="1:7" ht="12.75" x14ac:dyDescent="0.2">
      <c r="A645" s="3">
        <v>88</v>
      </c>
      <c r="B645" s="4" t="s">
        <v>108</v>
      </c>
      <c r="C645" s="3" t="s">
        <v>125</v>
      </c>
      <c r="D645" s="3" t="s">
        <v>138</v>
      </c>
      <c r="E645" s="3">
        <v>0</v>
      </c>
      <c r="F645">
        <f>SUM(E638:E645)</f>
        <v>442</v>
      </c>
      <c r="G645" s="57"/>
    </row>
    <row r="646" spans="1:7" ht="12.75" x14ac:dyDescent="0.2">
      <c r="A646" s="3">
        <v>89</v>
      </c>
      <c r="B646" s="4" t="s">
        <v>109</v>
      </c>
      <c r="C646" s="3" t="s">
        <v>125</v>
      </c>
      <c r="D646" s="3" t="s">
        <v>3</v>
      </c>
      <c r="E646" s="3">
        <v>1215</v>
      </c>
      <c r="G646" s="59">
        <v>3028</v>
      </c>
    </row>
    <row r="647" spans="1:7" ht="12.75" x14ac:dyDescent="0.2">
      <c r="A647" s="3">
        <v>89</v>
      </c>
      <c r="B647" s="4" t="s">
        <v>109</v>
      </c>
      <c r="C647" s="3" t="s">
        <v>125</v>
      </c>
      <c r="D647" s="3" t="s">
        <v>16</v>
      </c>
      <c r="E647" s="3">
        <v>48</v>
      </c>
      <c r="G647" s="57"/>
    </row>
    <row r="648" spans="1:7" ht="12.75" x14ac:dyDescent="0.2">
      <c r="A648" s="3">
        <v>89</v>
      </c>
      <c r="B648" s="4" t="s">
        <v>109</v>
      </c>
      <c r="C648" s="3" t="s">
        <v>125</v>
      </c>
      <c r="D648" s="3" t="s">
        <v>149</v>
      </c>
      <c r="E648" s="3">
        <v>76</v>
      </c>
      <c r="G648" s="57"/>
    </row>
    <row r="649" spans="1:7" ht="12.75" x14ac:dyDescent="0.2">
      <c r="A649" s="3">
        <v>89</v>
      </c>
      <c r="B649" s="4" t="s">
        <v>109</v>
      </c>
      <c r="C649" s="3" t="s">
        <v>125</v>
      </c>
      <c r="D649" s="3" t="s">
        <v>129</v>
      </c>
      <c r="E649" s="3">
        <v>44</v>
      </c>
      <c r="G649" s="57"/>
    </row>
    <row r="650" spans="1:7" ht="12.75" x14ac:dyDescent="0.2">
      <c r="A650" s="3">
        <v>89</v>
      </c>
      <c r="B650" s="4" t="s">
        <v>109</v>
      </c>
      <c r="C650" s="3" t="s">
        <v>125</v>
      </c>
      <c r="D650" s="3" t="s">
        <v>132</v>
      </c>
      <c r="E650" s="3">
        <v>552</v>
      </c>
      <c r="G650" s="57"/>
    </row>
    <row r="651" spans="1:7" ht="12.75" x14ac:dyDescent="0.2">
      <c r="A651" s="3">
        <v>89</v>
      </c>
      <c r="B651" s="4" t="s">
        <v>109</v>
      </c>
      <c r="C651" s="3" t="s">
        <v>125</v>
      </c>
      <c r="D651" s="3" t="s">
        <v>317</v>
      </c>
      <c r="E651" s="3">
        <v>347</v>
      </c>
      <c r="G651" s="57"/>
    </row>
    <row r="652" spans="1:7" ht="12.75" x14ac:dyDescent="0.2">
      <c r="A652" s="3">
        <v>89</v>
      </c>
      <c r="B652" s="4" t="s">
        <v>109</v>
      </c>
      <c r="C652" s="3" t="s">
        <v>125</v>
      </c>
      <c r="D652" s="3" t="s">
        <v>14</v>
      </c>
      <c r="E652" s="3">
        <v>40</v>
      </c>
      <c r="G652" s="57"/>
    </row>
    <row r="653" spans="1:7" ht="12.75" x14ac:dyDescent="0.2">
      <c r="A653" s="3">
        <v>89</v>
      </c>
      <c r="B653" s="4" t="s">
        <v>109</v>
      </c>
      <c r="C653" s="3" t="s">
        <v>125</v>
      </c>
      <c r="D653" s="3" t="s">
        <v>138</v>
      </c>
      <c r="E653" s="3">
        <v>38</v>
      </c>
      <c r="F653">
        <f>SUM(E646:E653)</f>
        <v>2360</v>
      </c>
      <c r="G653" s="57"/>
    </row>
    <row r="654" spans="1:7" ht="12.75" x14ac:dyDescent="0.2">
      <c r="A654" s="3">
        <v>90</v>
      </c>
      <c r="B654" s="4" t="s">
        <v>110</v>
      </c>
      <c r="C654" s="3" t="s">
        <v>125</v>
      </c>
      <c r="D654" s="3" t="s">
        <v>3</v>
      </c>
      <c r="E654" s="3">
        <v>200</v>
      </c>
      <c r="G654" s="59">
        <v>661</v>
      </c>
    </row>
    <row r="655" spans="1:7" ht="12.75" x14ac:dyDescent="0.2">
      <c r="A655" s="3">
        <v>90</v>
      </c>
      <c r="B655" s="4" t="s">
        <v>110</v>
      </c>
      <c r="C655" s="3" t="s">
        <v>125</v>
      </c>
      <c r="D655" s="3" t="s">
        <v>16</v>
      </c>
      <c r="E655" s="3">
        <v>26</v>
      </c>
      <c r="G655" s="57"/>
    </row>
    <row r="656" spans="1:7" ht="12.75" x14ac:dyDescent="0.2">
      <c r="A656" s="3">
        <v>90</v>
      </c>
      <c r="B656" s="4" t="s">
        <v>110</v>
      </c>
      <c r="C656" s="3" t="s">
        <v>125</v>
      </c>
      <c r="D656" s="3" t="s">
        <v>149</v>
      </c>
      <c r="E656" s="3">
        <v>25</v>
      </c>
      <c r="G656" s="57"/>
    </row>
    <row r="657" spans="1:7" ht="12.75" x14ac:dyDescent="0.2">
      <c r="A657" s="3">
        <v>90</v>
      </c>
      <c r="B657" s="4" t="s">
        <v>110</v>
      </c>
      <c r="C657" s="3" t="s">
        <v>125</v>
      </c>
      <c r="D657" s="3" t="s">
        <v>129</v>
      </c>
      <c r="E657" s="3">
        <v>8</v>
      </c>
      <c r="G657" s="57"/>
    </row>
    <row r="658" spans="1:7" ht="12.75" x14ac:dyDescent="0.2">
      <c r="A658" s="3">
        <v>90</v>
      </c>
      <c r="B658" s="4" t="s">
        <v>110</v>
      </c>
      <c r="C658" s="3" t="s">
        <v>125</v>
      </c>
      <c r="D658" s="3" t="s">
        <v>132</v>
      </c>
      <c r="E658" s="3">
        <v>222</v>
      </c>
      <c r="G658" s="57"/>
    </row>
    <row r="659" spans="1:7" ht="12.75" x14ac:dyDescent="0.2">
      <c r="A659" s="3">
        <v>90</v>
      </c>
      <c r="B659" s="4" t="s">
        <v>110</v>
      </c>
      <c r="C659" s="3" t="s">
        <v>125</v>
      </c>
      <c r="D659" s="3" t="s">
        <v>317</v>
      </c>
      <c r="E659" s="3">
        <v>48</v>
      </c>
      <c r="G659" s="57"/>
    </row>
    <row r="660" spans="1:7" ht="12.75" x14ac:dyDescent="0.2">
      <c r="A660" s="3">
        <v>90</v>
      </c>
      <c r="B660" s="4" t="s">
        <v>110</v>
      </c>
      <c r="C660" s="3" t="s">
        <v>125</v>
      </c>
      <c r="D660" s="3" t="s">
        <v>14</v>
      </c>
      <c r="E660" s="3">
        <v>6</v>
      </c>
      <c r="G660" s="57"/>
    </row>
    <row r="661" spans="1:7" ht="12.75" x14ac:dyDescent="0.2">
      <c r="A661" s="3">
        <v>90</v>
      </c>
      <c r="B661" s="4" t="s">
        <v>110</v>
      </c>
      <c r="C661" s="3" t="s">
        <v>125</v>
      </c>
      <c r="D661" s="3" t="s">
        <v>138</v>
      </c>
      <c r="E661" s="3">
        <v>12</v>
      </c>
      <c r="F661">
        <f>SUM(E654:E661)</f>
        <v>547</v>
      </c>
      <c r="G661" s="57"/>
    </row>
    <row r="662" spans="1:7" ht="12.75" x14ac:dyDescent="0.2">
      <c r="A662" s="3">
        <v>91</v>
      </c>
      <c r="B662" s="4" t="s">
        <v>111</v>
      </c>
      <c r="C662" s="3" t="s">
        <v>125</v>
      </c>
      <c r="D662" s="3" t="s">
        <v>3</v>
      </c>
      <c r="E662" s="3">
        <v>101</v>
      </c>
      <c r="G662" s="59">
        <v>305</v>
      </c>
    </row>
    <row r="663" spans="1:7" ht="12.75" x14ac:dyDescent="0.2">
      <c r="A663" s="3">
        <v>91</v>
      </c>
      <c r="B663" s="4" t="s">
        <v>111</v>
      </c>
      <c r="C663" s="3" t="s">
        <v>125</v>
      </c>
      <c r="D663" s="3" t="s">
        <v>16</v>
      </c>
      <c r="E663" s="3">
        <v>9</v>
      </c>
      <c r="G663" s="57"/>
    </row>
    <row r="664" spans="1:7" ht="12.75" x14ac:dyDescent="0.2">
      <c r="A664" s="3">
        <v>91</v>
      </c>
      <c r="B664" s="4" t="s">
        <v>111</v>
      </c>
      <c r="C664" s="3" t="s">
        <v>125</v>
      </c>
      <c r="D664" s="3" t="s">
        <v>149</v>
      </c>
      <c r="E664" s="3">
        <v>7</v>
      </c>
      <c r="G664" s="57"/>
    </row>
    <row r="665" spans="1:7" ht="12.75" x14ac:dyDescent="0.2">
      <c r="A665" s="3">
        <v>91</v>
      </c>
      <c r="B665" s="4" t="s">
        <v>111</v>
      </c>
      <c r="C665" s="3" t="s">
        <v>125</v>
      </c>
      <c r="D665" s="3" t="s">
        <v>129</v>
      </c>
      <c r="E665" s="3">
        <v>2</v>
      </c>
      <c r="G665" s="57"/>
    </row>
    <row r="666" spans="1:7" ht="12.75" x14ac:dyDescent="0.2">
      <c r="A666" s="3">
        <v>91</v>
      </c>
      <c r="B666" s="4" t="s">
        <v>111</v>
      </c>
      <c r="C666" s="3" t="s">
        <v>125</v>
      </c>
      <c r="D666" s="3" t="s">
        <v>132</v>
      </c>
      <c r="E666" s="3">
        <v>126</v>
      </c>
      <c r="G666" s="57"/>
    </row>
    <row r="667" spans="1:7" ht="12.75" x14ac:dyDescent="0.2">
      <c r="A667" s="3">
        <v>91</v>
      </c>
      <c r="B667" s="4" t="s">
        <v>111</v>
      </c>
      <c r="C667" s="3" t="s">
        <v>125</v>
      </c>
      <c r="D667" s="3" t="s">
        <v>317</v>
      </c>
      <c r="E667" s="3">
        <v>18</v>
      </c>
      <c r="G667" s="57"/>
    </row>
    <row r="668" spans="1:7" ht="12.75" x14ac:dyDescent="0.2">
      <c r="A668" s="3">
        <v>91</v>
      </c>
      <c r="B668" s="4" t="s">
        <v>111</v>
      </c>
      <c r="C668" s="3" t="s">
        <v>125</v>
      </c>
      <c r="D668" s="3" t="s">
        <v>14</v>
      </c>
      <c r="E668" s="3">
        <v>1</v>
      </c>
      <c r="G668" s="57"/>
    </row>
    <row r="669" spans="1:7" ht="12.75" x14ac:dyDescent="0.2">
      <c r="A669" s="3">
        <v>91</v>
      </c>
      <c r="B669" s="4" t="s">
        <v>111</v>
      </c>
      <c r="C669" s="3" t="s">
        <v>125</v>
      </c>
      <c r="D669" s="3" t="s">
        <v>138</v>
      </c>
      <c r="E669" s="3">
        <v>4</v>
      </c>
      <c r="F669">
        <f>SUM(E662:E669)</f>
        <v>268</v>
      </c>
      <c r="G669" s="57"/>
    </row>
    <row r="670" spans="1:7" ht="12.75" x14ac:dyDescent="0.2">
      <c r="A670" s="3">
        <v>92</v>
      </c>
      <c r="B670" s="4" t="s">
        <v>112</v>
      </c>
      <c r="C670" s="3" t="s">
        <v>125</v>
      </c>
      <c r="D670" s="3" t="s">
        <v>3</v>
      </c>
      <c r="E670" s="3">
        <v>84</v>
      </c>
      <c r="G670" s="59">
        <v>230</v>
      </c>
    </row>
    <row r="671" spans="1:7" ht="12.75" x14ac:dyDescent="0.2">
      <c r="A671" s="3">
        <v>92</v>
      </c>
      <c r="B671" s="4" t="s">
        <v>112</v>
      </c>
      <c r="C671" s="3" t="s">
        <v>125</v>
      </c>
      <c r="D671" s="3" t="s">
        <v>16</v>
      </c>
      <c r="E671" s="3">
        <v>2</v>
      </c>
      <c r="G671" s="57"/>
    </row>
    <row r="672" spans="1:7" ht="12.75" x14ac:dyDescent="0.2">
      <c r="A672" s="3">
        <v>92</v>
      </c>
      <c r="B672" s="4" t="s">
        <v>112</v>
      </c>
      <c r="C672" s="3" t="s">
        <v>125</v>
      </c>
      <c r="D672" s="3" t="s">
        <v>149</v>
      </c>
      <c r="E672" s="3">
        <v>9</v>
      </c>
      <c r="G672" s="57"/>
    </row>
    <row r="673" spans="1:7" ht="12.75" x14ac:dyDescent="0.2">
      <c r="A673" s="3">
        <v>92</v>
      </c>
      <c r="B673" s="4" t="s">
        <v>112</v>
      </c>
      <c r="C673" s="3" t="s">
        <v>125</v>
      </c>
      <c r="D673" s="3" t="s">
        <v>129</v>
      </c>
      <c r="E673" s="3">
        <v>1</v>
      </c>
      <c r="G673" s="57"/>
    </row>
    <row r="674" spans="1:7" ht="12.75" x14ac:dyDescent="0.2">
      <c r="A674" s="3">
        <v>92</v>
      </c>
      <c r="B674" s="4" t="s">
        <v>112</v>
      </c>
      <c r="C674" s="3" t="s">
        <v>125</v>
      </c>
      <c r="D674" s="3" t="s">
        <v>132</v>
      </c>
      <c r="E674" s="3">
        <v>62</v>
      </c>
      <c r="G674" s="57"/>
    </row>
    <row r="675" spans="1:7" ht="12.75" x14ac:dyDescent="0.2">
      <c r="A675" s="3">
        <v>92</v>
      </c>
      <c r="B675" s="4" t="s">
        <v>112</v>
      </c>
      <c r="C675" s="3" t="s">
        <v>125</v>
      </c>
      <c r="D675" s="3" t="s">
        <v>317</v>
      </c>
      <c r="E675" s="3">
        <v>19</v>
      </c>
      <c r="G675" s="57"/>
    </row>
    <row r="676" spans="1:7" ht="12.75" x14ac:dyDescent="0.2">
      <c r="A676" s="3">
        <v>92</v>
      </c>
      <c r="B676" s="4" t="s">
        <v>112</v>
      </c>
      <c r="C676" s="3" t="s">
        <v>125</v>
      </c>
      <c r="D676" s="3" t="s">
        <v>14</v>
      </c>
      <c r="E676" s="3">
        <v>0</v>
      </c>
      <c r="G676" s="57"/>
    </row>
    <row r="677" spans="1:7" ht="12.75" x14ac:dyDescent="0.2">
      <c r="A677" s="3">
        <v>92</v>
      </c>
      <c r="B677" s="4" t="s">
        <v>112</v>
      </c>
      <c r="C677" s="3" t="s">
        <v>125</v>
      </c>
      <c r="D677" s="3" t="s">
        <v>138</v>
      </c>
      <c r="E677" s="3">
        <v>2</v>
      </c>
      <c r="F677">
        <f>SUM(E670:E677)</f>
        <v>179</v>
      </c>
      <c r="G677" s="57"/>
    </row>
    <row r="678" spans="1:7" ht="12.75" x14ac:dyDescent="0.2">
      <c r="A678" s="3">
        <v>93</v>
      </c>
      <c r="B678" s="4" t="s">
        <v>113</v>
      </c>
      <c r="C678" s="3" t="s">
        <v>125</v>
      </c>
      <c r="D678" s="3" t="s">
        <v>3</v>
      </c>
      <c r="E678" s="3">
        <v>2211</v>
      </c>
      <c r="G678" s="59">
        <v>10855</v>
      </c>
    </row>
    <row r="679" spans="1:7" ht="12.75" x14ac:dyDescent="0.2">
      <c r="A679" s="3">
        <v>93</v>
      </c>
      <c r="B679" s="4" t="s">
        <v>113</v>
      </c>
      <c r="C679" s="3" t="s">
        <v>125</v>
      </c>
      <c r="D679" s="3" t="s">
        <v>16</v>
      </c>
      <c r="E679" s="3">
        <v>300</v>
      </c>
      <c r="G679" s="57"/>
    </row>
    <row r="680" spans="1:7" ht="12.75" x14ac:dyDescent="0.2">
      <c r="A680" s="3">
        <v>93</v>
      </c>
      <c r="B680" s="4" t="s">
        <v>113</v>
      </c>
      <c r="C680" s="3" t="s">
        <v>125</v>
      </c>
      <c r="D680" s="3" t="s">
        <v>149</v>
      </c>
      <c r="E680" s="3">
        <v>511</v>
      </c>
      <c r="G680" s="57"/>
    </row>
    <row r="681" spans="1:7" ht="12.75" x14ac:dyDescent="0.2">
      <c r="A681" s="3">
        <v>93</v>
      </c>
      <c r="B681" s="4" t="s">
        <v>113</v>
      </c>
      <c r="C681" s="3" t="s">
        <v>125</v>
      </c>
      <c r="D681" s="3" t="s">
        <v>129</v>
      </c>
      <c r="E681" s="3">
        <v>168</v>
      </c>
      <c r="G681" s="57"/>
    </row>
    <row r="682" spans="1:7" ht="12.75" x14ac:dyDescent="0.2">
      <c r="A682" s="3">
        <v>93</v>
      </c>
      <c r="B682" s="4" t="s">
        <v>113</v>
      </c>
      <c r="C682" s="3" t="s">
        <v>125</v>
      </c>
      <c r="D682" s="3" t="s">
        <v>132</v>
      </c>
      <c r="E682" s="3">
        <v>2109</v>
      </c>
      <c r="G682" s="57"/>
    </row>
    <row r="683" spans="1:7" ht="12.75" x14ac:dyDescent="0.2">
      <c r="A683" s="3">
        <v>93</v>
      </c>
      <c r="B683" s="4" t="s">
        <v>113</v>
      </c>
      <c r="C683" s="3" t="s">
        <v>125</v>
      </c>
      <c r="D683" s="3" t="s">
        <v>317</v>
      </c>
      <c r="E683" s="3">
        <v>2714</v>
      </c>
      <c r="G683" s="57"/>
    </row>
    <row r="684" spans="1:7" ht="12.75" x14ac:dyDescent="0.2">
      <c r="A684" s="3">
        <v>93</v>
      </c>
      <c r="B684" s="4" t="s">
        <v>113</v>
      </c>
      <c r="C684" s="3" t="s">
        <v>125</v>
      </c>
      <c r="D684" s="3" t="s">
        <v>14</v>
      </c>
      <c r="E684" s="3">
        <v>113</v>
      </c>
      <c r="G684" s="57"/>
    </row>
    <row r="685" spans="1:7" ht="12.75" x14ac:dyDescent="0.2">
      <c r="A685" s="3">
        <v>93</v>
      </c>
      <c r="B685" s="4" t="s">
        <v>113</v>
      </c>
      <c r="C685" s="3" t="s">
        <v>125</v>
      </c>
      <c r="D685" s="3" t="s">
        <v>138</v>
      </c>
      <c r="E685" s="3">
        <v>212</v>
      </c>
      <c r="F685">
        <f>SUM(E678:E685)</f>
        <v>8338</v>
      </c>
      <c r="G685" s="57"/>
    </row>
    <row r="686" spans="1:7" ht="12.75" x14ac:dyDescent="0.2">
      <c r="A686" s="3">
        <v>94</v>
      </c>
      <c r="B686" s="4" t="s">
        <v>114</v>
      </c>
      <c r="C686" s="3" t="s">
        <v>125</v>
      </c>
      <c r="D686" s="3" t="s">
        <v>3</v>
      </c>
      <c r="E686" s="3">
        <v>193</v>
      </c>
      <c r="G686" s="59">
        <v>431</v>
      </c>
    </row>
    <row r="687" spans="1:7" ht="12.75" x14ac:dyDescent="0.2">
      <c r="A687" s="3">
        <v>94</v>
      </c>
      <c r="B687" s="4" t="s">
        <v>114</v>
      </c>
      <c r="C687" s="3" t="s">
        <v>125</v>
      </c>
      <c r="D687" s="3" t="s">
        <v>16</v>
      </c>
      <c r="E687" s="3">
        <v>5</v>
      </c>
      <c r="G687" s="57"/>
    </row>
    <row r="688" spans="1:7" ht="12.75" x14ac:dyDescent="0.2">
      <c r="A688" s="3">
        <v>94</v>
      </c>
      <c r="B688" s="4" t="s">
        <v>114</v>
      </c>
      <c r="C688" s="3" t="s">
        <v>125</v>
      </c>
      <c r="D688" s="3" t="s">
        <v>149</v>
      </c>
      <c r="E688" s="3">
        <v>9</v>
      </c>
      <c r="G688" s="57"/>
    </row>
    <row r="689" spans="1:7" ht="12.75" x14ac:dyDescent="0.2">
      <c r="A689" s="3">
        <v>94</v>
      </c>
      <c r="B689" s="4" t="s">
        <v>114</v>
      </c>
      <c r="C689" s="3" t="s">
        <v>125</v>
      </c>
      <c r="D689" s="3" t="s">
        <v>129</v>
      </c>
      <c r="E689" s="3">
        <v>1</v>
      </c>
      <c r="G689" s="57"/>
    </row>
    <row r="690" spans="1:7" ht="12.75" x14ac:dyDescent="0.2">
      <c r="A690" s="3">
        <v>94</v>
      </c>
      <c r="B690" s="4" t="s">
        <v>114</v>
      </c>
      <c r="C690" s="3" t="s">
        <v>125</v>
      </c>
      <c r="D690" s="3" t="s">
        <v>132</v>
      </c>
      <c r="E690" s="3">
        <v>137</v>
      </c>
      <c r="G690" s="57"/>
    </row>
    <row r="691" spans="1:7" ht="12.75" x14ac:dyDescent="0.2">
      <c r="A691" s="3">
        <v>94</v>
      </c>
      <c r="B691" s="4" t="s">
        <v>114</v>
      </c>
      <c r="C691" s="3" t="s">
        <v>125</v>
      </c>
      <c r="D691" s="3" t="s">
        <v>317</v>
      </c>
      <c r="E691" s="3">
        <v>17</v>
      </c>
      <c r="G691" s="57"/>
    </row>
    <row r="692" spans="1:7" ht="12.75" x14ac:dyDescent="0.2">
      <c r="A692" s="3">
        <v>94</v>
      </c>
      <c r="B692" s="4" t="s">
        <v>114</v>
      </c>
      <c r="C692" s="3" t="s">
        <v>125</v>
      </c>
      <c r="D692" s="3" t="s">
        <v>14</v>
      </c>
      <c r="E692" s="3">
        <v>2</v>
      </c>
      <c r="G692" s="57"/>
    </row>
    <row r="693" spans="1:7" ht="12.75" x14ac:dyDescent="0.2">
      <c r="A693" s="3">
        <v>94</v>
      </c>
      <c r="B693" s="4" t="s">
        <v>114</v>
      </c>
      <c r="C693" s="3" t="s">
        <v>125</v>
      </c>
      <c r="D693" s="3" t="s">
        <v>138</v>
      </c>
      <c r="E693" s="3">
        <v>3</v>
      </c>
      <c r="F693">
        <f>SUM(E686:E693)</f>
        <v>367</v>
      </c>
      <c r="G693" s="57"/>
    </row>
    <row r="694" spans="1:7" ht="12.75" x14ac:dyDescent="0.2">
      <c r="A694" s="3">
        <v>95</v>
      </c>
      <c r="B694" s="4" t="s">
        <v>115</v>
      </c>
      <c r="C694" s="3" t="s">
        <v>125</v>
      </c>
      <c r="D694" s="3" t="s">
        <v>3</v>
      </c>
      <c r="E694" s="3">
        <v>31</v>
      </c>
      <c r="G694" s="59">
        <v>111</v>
      </c>
    </row>
    <row r="695" spans="1:7" ht="12.75" x14ac:dyDescent="0.2">
      <c r="A695" s="3">
        <v>95</v>
      </c>
      <c r="B695" s="4" t="s">
        <v>115</v>
      </c>
      <c r="C695" s="3" t="s">
        <v>125</v>
      </c>
      <c r="D695" s="3" t="s">
        <v>16</v>
      </c>
      <c r="E695" s="3">
        <v>1</v>
      </c>
      <c r="G695" s="57"/>
    </row>
    <row r="696" spans="1:7" ht="12.75" x14ac:dyDescent="0.2">
      <c r="A696" s="3">
        <v>95</v>
      </c>
      <c r="B696" s="4" t="s">
        <v>115</v>
      </c>
      <c r="C696" s="3" t="s">
        <v>125</v>
      </c>
      <c r="D696" s="3" t="s">
        <v>149</v>
      </c>
      <c r="E696" s="3">
        <v>0</v>
      </c>
      <c r="G696" s="57"/>
    </row>
    <row r="697" spans="1:7" ht="12.75" x14ac:dyDescent="0.2">
      <c r="A697" s="3">
        <v>95</v>
      </c>
      <c r="B697" s="4" t="s">
        <v>115</v>
      </c>
      <c r="C697" s="3" t="s">
        <v>125</v>
      </c>
      <c r="D697" s="3" t="s">
        <v>129</v>
      </c>
      <c r="E697" s="3">
        <v>0</v>
      </c>
      <c r="G697" s="57"/>
    </row>
    <row r="698" spans="1:7" ht="12.75" x14ac:dyDescent="0.2">
      <c r="A698" s="3">
        <v>95</v>
      </c>
      <c r="B698" s="4" t="s">
        <v>115</v>
      </c>
      <c r="C698" s="3" t="s">
        <v>125</v>
      </c>
      <c r="D698" s="3" t="s">
        <v>132</v>
      </c>
      <c r="E698" s="3">
        <v>55</v>
      </c>
      <c r="G698" s="57"/>
    </row>
    <row r="699" spans="1:7" ht="12.75" x14ac:dyDescent="0.2">
      <c r="A699" s="3">
        <v>95</v>
      </c>
      <c r="B699" s="4" t="s">
        <v>115</v>
      </c>
      <c r="C699" s="3" t="s">
        <v>125</v>
      </c>
      <c r="D699" s="3" t="s">
        <v>317</v>
      </c>
      <c r="E699" s="3">
        <v>9</v>
      </c>
      <c r="G699" s="57"/>
    </row>
    <row r="700" spans="1:7" ht="12.75" x14ac:dyDescent="0.2">
      <c r="A700" s="3">
        <v>95</v>
      </c>
      <c r="B700" s="4" t="s">
        <v>115</v>
      </c>
      <c r="C700" s="3" t="s">
        <v>125</v>
      </c>
      <c r="D700" s="3" t="s">
        <v>14</v>
      </c>
      <c r="E700" s="3">
        <v>2</v>
      </c>
      <c r="G700" s="57"/>
    </row>
    <row r="701" spans="1:7" ht="12.75" x14ac:dyDescent="0.2">
      <c r="A701" s="3">
        <v>95</v>
      </c>
      <c r="B701" s="4" t="s">
        <v>115</v>
      </c>
      <c r="C701" s="3" t="s">
        <v>125</v>
      </c>
      <c r="D701" s="3" t="s">
        <v>138</v>
      </c>
      <c r="E701" s="3">
        <v>0</v>
      </c>
      <c r="F701">
        <f>SUM(E694:E701)</f>
        <v>98</v>
      </c>
      <c r="G701" s="57"/>
    </row>
    <row r="702" spans="1:7" ht="12.75" x14ac:dyDescent="0.2">
      <c r="A702" s="2">
        <v>7100</v>
      </c>
      <c r="B702" s="4" t="s">
        <v>337</v>
      </c>
      <c r="C702" s="3" t="s">
        <v>125</v>
      </c>
      <c r="D702" s="3" t="s">
        <v>3</v>
      </c>
      <c r="E702" s="3">
        <v>3</v>
      </c>
      <c r="G702" s="59">
        <v>103</v>
      </c>
    </row>
    <row r="703" spans="1:7" ht="12.75" x14ac:dyDescent="0.2">
      <c r="A703" s="2">
        <v>7100</v>
      </c>
      <c r="B703" s="4" t="s">
        <v>337</v>
      </c>
      <c r="C703" s="3" t="s">
        <v>125</v>
      </c>
      <c r="D703" s="3" t="s">
        <v>16</v>
      </c>
      <c r="E703" s="3">
        <v>0</v>
      </c>
      <c r="G703" s="57"/>
    </row>
    <row r="704" spans="1:7" ht="12.75" x14ac:dyDescent="0.2">
      <c r="A704" s="2">
        <v>7100</v>
      </c>
      <c r="B704" s="4" t="s">
        <v>337</v>
      </c>
      <c r="C704" s="3" t="s">
        <v>125</v>
      </c>
      <c r="D704" s="3" t="s">
        <v>149</v>
      </c>
      <c r="E704" s="3">
        <v>0</v>
      </c>
      <c r="G704" s="57"/>
    </row>
    <row r="705" spans="1:7" ht="12.75" x14ac:dyDescent="0.2">
      <c r="A705" s="2">
        <v>7100</v>
      </c>
      <c r="B705" s="4" t="s">
        <v>337</v>
      </c>
      <c r="C705" s="3" t="s">
        <v>125</v>
      </c>
      <c r="D705" s="3" t="s">
        <v>129</v>
      </c>
      <c r="E705" s="3">
        <v>1</v>
      </c>
      <c r="G705" s="57"/>
    </row>
    <row r="706" spans="1:7" ht="12.75" x14ac:dyDescent="0.2">
      <c r="A706" s="2">
        <v>7100</v>
      </c>
      <c r="B706" s="4" t="s">
        <v>337</v>
      </c>
      <c r="C706" s="3" t="s">
        <v>125</v>
      </c>
      <c r="D706" s="3" t="s">
        <v>132</v>
      </c>
      <c r="E706" s="3">
        <v>5</v>
      </c>
      <c r="G706" s="57"/>
    </row>
    <row r="707" spans="1:7" ht="12.75" x14ac:dyDescent="0.2">
      <c r="A707" s="2">
        <v>7100</v>
      </c>
      <c r="B707" s="4" t="s">
        <v>337</v>
      </c>
      <c r="C707" s="3" t="s">
        <v>125</v>
      </c>
      <c r="D707" s="3" t="s">
        <v>317</v>
      </c>
      <c r="E707" s="3">
        <v>2</v>
      </c>
      <c r="G707" s="57"/>
    </row>
    <row r="708" spans="1:7" ht="12.75" x14ac:dyDescent="0.2">
      <c r="A708" s="2">
        <v>7100</v>
      </c>
      <c r="B708" s="4" t="s">
        <v>337</v>
      </c>
      <c r="C708" s="3" t="s">
        <v>125</v>
      </c>
      <c r="D708" s="3" t="s">
        <v>14</v>
      </c>
      <c r="E708" s="3">
        <v>0</v>
      </c>
      <c r="G708" s="57"/>
    </row>
    <row r="709" spans="1:7" ht="12.75" x14ac:dyDescent="0.2">
      <c r="A709" s="2">
        <v>7100</v>
      </c>
      <c r="B709" s="4" t="s">
        <v>337</v>
      </c>
      <c r="C709" s="3" t="s">
        <v>125</v>
      </c>
      <c r="D709" s="3" t="s">
        <v>138</v>
      </c>
      <c r="E709" s="3">
        <v>1</v>
      </c>
      <c r="F709">
        <f>SUM(E702:E709)</f>
        <v>12</v>
      </c>
      <c r="G709" s="57"/>
    </row>
    <row r="710" spans="1:7" ht="12.75" x14ac:dyDescent="0.2">
      <c r="A710" s="2">
        <v>8100</v>
      </c>
      <c r="B710" s="4" t="s">
        <v>177</v>
      </c>
      <c r="C710" s="3" t="s">
        <v>125</v>
      </c>
      <c r="D710" s="3" t="s">
        <v>3</v>
      </c>
      <c r="E710" s="3">
        <v>20</v>
      </c>
      <c r="G710" s="59" t="s">
        <v>334</v>
      </c>
    </row>
    <row r="711" spans="1:7" ht="12.75" x14ac:dyDescent="0.2">
      <c r="A711" s="2">
        <v>8100</v>
      </c>
      <c r="B711" s="4" t="s">
        <v>177</v>
      </c>
      <c r="C711" s="3" t="s">
        <v>125</v>
      </c>
      <c r="D711" s="3" t="s">
        <v>16</v>
      </c>
      <c r="E711" s="3">
        <v>1</v>
      </c>
      <c r="G711" s="57"/>
    </row>
    <row r="712" spans="1:7" ht="12.75" x14ac:dyDescent="0.2">
      <c r="A712" s="2">
        <v>8100</v>
      </c>
      <c r="B712" s="4" t="s">
        <v>177</v>
      </c>
      <c r="C712" s="3" t="s">
        <v>125</v>
      </c>
      <c r="D712" s="3" t="s">
        <v>149</v>
      </c>
      <c r="E712" s="3">
        <v>3</v>
      </c>
      <c r="G712" s="57"/>
    </row>
    <row r="713" spans="1:7" ht="12.75" x14ac:dyDescent="0.2">
      <c r="A713" s="2">
        <v>8100</v>
      </c>
      <c r="B713" s="4" t="s">
        <v>177</v>
      </c>
      <c r="C713" s="3" t="s">
        <v>125</v>
      </c>
      <c r="D713" s="3" t="s">
        <v>129</v>
      </c>
      <c r="E713" s="3">
        <v>1</v>
      </c>
      <c r="G713" s="57"/>
    </row>
    <row r="714" spans="1:7" ht="12.75" x14ac:dyDescent="0.2">
      <c r="A714" s="2">
        <v>8100</v>
      </c>
      <c r="B714" s="4" t="s">
        <v>177</v>
      </c>
      <c r="C714" s="3" t="s">
        <v>125</v>
      </c>
      <c r="D714" s="3" t="s">
        <v>132</v>
      </c>
      <c r="E714" s="3">
        <v>3</v>
      </c>
      <c r="G714" s="57"/>
    </row>
    <row r="715" spans="1:7" ht="12.75" x14ac:dyDescent="0.2">
      <c r="A715" s="2">
        <v>8100</v>
      </c>
      <c r="B715" s="4" t="s">
        <v>177</v>
      </c>
      <c r="C715" s="3" t="s">
        <v>125</v>
      </c>
      <c r="D715" s="3" t="s">
        <v>317</v>
      </c>
      <c r="E715" s="3">
        <v>6</v>
      </c>
      <c r="G715" s="57"/>
    </row>
    <row r="716" spans="1:7" ht="12.75" x14ac:dyDescent="0.2">
      <c r="A716" s="2">
        <v>8100</v>
      </c>
      <c r="B716" s="4" t="s">
        <v>177</v>
      </c>
      <c r="C716" s="3" t="s">
        <v>125</v>
      </c>
      <c r="D716" s="3" t="s">
        <v>14</v>
      </c>
      <c r="E716" s="3">
        <v>2</v>
      </c>
      <c r="G716" s="57"/>
    </row>
    <row r="717" spans="1:7" ht="12.75" x14ac:dyDescent="0.2">
      <c r="A717" s="2">
        <v>8100</v>
      </c>
      <c r="B717" s="4" t="s">
        <v>177</v>
      </c>
      <c r="C717" s="3" t="s">
        <v>125</v>
      </c>
      <c r="D717" s="3" t="s">
        <v>138</v>
      </c>
      <c r="E717" s="3">
        <v>0</v>
      </c>
      <c r="F717">
        <f>SUM(E710:E717)</f>
        <v>36</v>
      </c>
      <c r="G717" s="57"/>
    </row>
    <row r="718" spans="1:7" ht="12.75" x14ac:dyDescent="0.2">
      <c r="A718" s="2"/>
      <c r="B718" s="4"/>
      <c r="C718" s="3"/>
      <c r="D718" s="3"/>
      <c r="E718" s="3"/>
      <c r="G718" s="19"/>
    </row>
    <row r="719" spans="1:7" ht="12.75" x14ac:dyDescent="0.2">
      <c r="A719" s="2"/>
      <c r="B719" s="4"/>
      <c r="C719" s="3"/>
      <c r="D719" s="3"/>
      <c r="E719" s="3"/>
      <c r="G719" s="19"/>
    </row>
    <row r="720" spans="1:7" ht="12.75" x14ac:dyDescent="0.2">
      <c r="A720" s="2"/>
      <c r="B720" s="4"/>
      <c r="C720" s="3"/>
      <c r="D720" s="3"/>
      <c r="E720" s="3"/>
      <c r="G720" s="19"/>
    </row>
    <row r="721" spans="1:7" ht="12.75" x14ac:dyDescent="0.2">
      <c r="A721" s="3"/>
      <c r="B721" s="4"/>
      <c r="C721" s="3"/>
      <c r="D721" s="3"/>
      <c r="E721" s="3"/>
      <c r="G721" s="59"/>
    </row>
    <row r="722" spans="1:7" ht="12.75" x14ac:dyDescent="0.2">
      <c r="A722" s="3"/>
      <c r="B722" s="4"/>
      <c r="C722" s="3"/>
      <c r="D722" s="3"/>
      <c r="E722" s="3"/>
      <c r="G722" s="57"/>
    </row>
    <row r="723" spans="1:7" ht="12.75" x14ac:dyDescent="0.2">
      <c r="A723" s="3"/>
      <c r="B723" s="4"/>
      <c r="C723" s="3"/>
      <c r="D723" s="3"/>
      <c r="E723" s="3"/>
      <c r="G723" s="57"/>
    </row>
    <row r="724" spans="1:7" ht="12.75" x14ac:dyDescent="0.2">
      <c r="A724" s="3"/>
      <c r="B724" s="4"/>
      <c r="C724" s="3"/>
      <c r="D724" s="3"/>
      <c r="E724" s="3"/>
      <c r="G724" s="57"/>
    </row>
    <row r="725" spans="1:7" ht="12.75" x14ac:dyDescent="0.2">
      <c r="A725" s="3"/>
      <c r="B725" s="4"/>
      <c r="C725" s="3"/>
      <c r="D725" s="3"/>
      <c r="E725" s="3"/>
      <c r="G725" s="57"/>
    </row>
    <row r="726" spans="1:7" ht="12.75" x14ac:dyDescent="0.2">
      <c r="A726" s="3"/>
      <c r="B726" s="4"/>
      <c r="C726" s="3"/>
      <c r="D726" s="3"/>
      <c r="E726" s="3"/>
      <c r="G726" s="57"/>
    </row>
    <row r="727" spans="1:7" ht="12.75" x14ac:dyDescent="0.2">
      <c r="A727" s="3"/>
      <c r="B727" s="4"/>
      <c r="C727" s="3"/>
      <c r="D727" s="3"/>
      <c r="E727" s="3"/>
      <c r="G727" s="57"/>
    </row>
    <row r="728" spans="1:7" ht="12.75" x14ac:dyDescent="0.2">
      <c r="A728" s="3"/>
      <c r="B728" s="4"/>
      <c r="C728" s="3"/>
      <c r="D728" s="3"/>
      <c r="E728" s="3"/>
      <c r="G728" s="57"/>
    </row>
    <row r="729" spans="1:7" ht="12.75" x14ac:dyDescent="0.2">
      <c r="A729" s="3"/>
      <c r="B729" s="4"/>
      <c r="C729" s="3"/>
      <c r="D729" s="3"/>
      <c r="E729" s="3"/>
      <c r="G729" s="57"/>
    </row>
    <row r="730" spans="1:7" ht="12.75" x14ac:dyDescent="0.2">
      <c r="A730" s="3"/>
      <c r="B730" s="4"/>
      <c r="C730" s="3"/>
      <c r="D730" s="3"/>
      <c r="E730" s="3"/>
      <c r="G730" s="57"/>
    </row>
    <row r="731" spans="1:7" ht="12.75" x14ac:dyDescent="0.2">
      <c r="A731" s="3"/>
      <c r="B731" s="4"/>
      <c r="C731" s="3"/>
      <c r="D731" s="3"/>
      <c r="E731" s="3"/>
      <c r="G731" s="57"/>
    </row>
    <row r="732" spans="1:7" ht="12.75" x14ac:dyDescent="0.2">
      <c r="A732" s="3"/>
      <c r="B732" s="4"/>
      <c r="C732" s="3"/>
      <c r="D732" s="3"/>
      <c r="E732" s="3"/>
      <c r="G732" s="57"/>
    </row>
    <row r="733" spans="1:7" ht="12.75" x14ac:dyDescent="0.2">
      <c r="A733" s="3"/>
      <c r="B733" s="4"/>
      <c r="C733" s="3"/>
      <c r="D733" s="3"/>
      <c r="E733" s="3"/>
      <c r="G733" s="57"/>
    </row>
    <row r="734" spans="1:7" ht="12.75" x14ac:dyDescent="0.2">
      <c r="A734" s="3"/>
      <c r="B734" s="4"/>
      <c r="C734" s="3"/>
      <c r="D734" s="3"/>
      <c r="E734" s="3"/>
      <c r="G734" s="57"/>
    </row>
    <row r="735" spans="1:7" ht="12.75" x14ac:dyDescent="0.2">
      <c r="A735" s="3"/>
      <c r="B735" s="4"/>
      <c r="C735" s="3"/>
      <c r="D735" s="3"/>
      <c r="E735" s="3"/>
      <c r="G735" s="57"/>
    </row>
    <row r="736" spans="1:7" ht="12.75" x14ac:dyDescent="0.2">
      <c r="A736" s="3"/>
      <c r="B736" s="4"/>
      <c r="C736" s="3"/>
      <c r="D736" s="3"/>
      <c r="E736" s="3"/>
      <c r="G736" s="57"/>
    </row>
    <row r="737" spans="1:7" ht="12.75" x14ac:dyDescent="0.2">
      <c r="A737" s="3"/>
      <c r="B737" s="4"/>
      <c r="C737" s="3"/>
      <c r="D737" s="3"/>
      <c r="E737" s="3"/>
      <c r="G737" s="57"/>
    </row>
    <row r="738" spans="1:7" ht="12.75" x14ac:dyDescent="0.2">
      <c r="A738" s="3"/>
      <c r="B738" s="4"/>
      <c r="C738" s="3"/>
      <c r="D738" s="3"/>
      <c r="E738" s="3"/>
      <c r="G738" s="57"/>
    </row>
    <row r="739" spans="1:7" ht="12.75" x14ac:dyDescent="0.2">
      <c r="A739" s="3"/>
      <c r="B739" s="4"/>
      <c r="C739" s="3"/>
      <c r="D739" s="3"/>
      <c r="E739" s="3"/>
      <c r="G739" s="57"/>
    </row>
    <row r="740" spans="1:7" ht="12.75" x14ac:dyDescent="0.2">
      <c r="A740" s="3"/>
      <c r="B740" s="4"/>
      <c r="C740" s="3"/>
      <c r="D740" s="3"/>
      <c r="E740" s="3"/>
      <c r="G740" s="57"/>
    </row>
    <row r="741" spans="1:7" ht="12.75" x14ac:dyDescent="0.2">
      <c r="A741" s="3"/>
      <c r="B741" s="4"/>
      <c r="C741" s="3"/>
      <c r="D741" s="3"/>
      <c r="E741" s="3"/>
      <c r="G741" s="59"/>
    </row>
    <row r="742" spans="1:7" ht="12.75" x14ac:dyDescent="0.2">
      <c r="A742" s="3"/>
      <c r="B742" s="4"/>
      <c r="C742" s="3"/>
      <c r="D742" s="3"/>
      <c r="E742" s="3"/>
      <c r="G742" s="57"/>
    </row>
    <row r="743" spans="1:7" ht="12.75" x14ac:dyDescent="0.2">
      <c r="A743" s="3"/>
      <c r="B743" s="4"/>
      <c r="C743" s="3"/>
      <c r="D743" s="3"/>
      <c r="E743" s="3"/>
      <c r="G743" s="57"/>
    </row>
    <row r="744" spans="1:7" ht="12.75" x14ac:dyDescent="0.2">
      <c r="A744" s="3"/>
      <c r="B744" s="4"/>
      <c r="C744" s="3"/>
      <c r="D744" s="3"/>
      <c r="E744" s="3"/>
      <c r="G744" s="57"/>
    </row>
    <row r="745" spans="1:7" ht="12.75" x14ac:dyDescent="0.2">
      <c r="A745" s="3"/>
      <c r="B745" s="4"/>
      <c r="C745" s="3"/>
      <c r="D745" s="3"/>
      <c r="E745" s="3"/>
      <c r="G745" s="57"/>
    </row>
    <row r="746" spans="1:7" ht="12.75" x14ac:dyDescent="0.2">
      <c r="A746" s="3"/>
      <c r="B746" s="4"/>
      <c r="C746" s="3"/>
      <c r="D746" s="3"/>
      <c r="E746" s="3"/>
      <c r="G746" s="57"/>
    </row>
    <row r="747" spans="1:7" ht="12.75" x14ac:dyDescent="0.2">
      <c r="A747" s="3"/>
      <c r="B747" s="4"/>
      <c r="C747" s="3"/>
      <c r="D747" s="3"/>
      <c r="E747" s="3"/>
      <c r="G747" s="57"/>
    </row>
    <row r="748" spans="1:7" ht="12.75" x14ac:dyDescent="0.2">
      <c r="A748" s="3"/>
      <c r="B748" s="4"/>
      <c r="C748" s="3"/>
      <c r="D748" s="3"/>
      <c r="E748" s="3"/>
      <c r="G748" s="57"/>
    </row>
    <row r="749" spans="1:7" ht="12.75" x14ac:dyDescent="0.2">
      <c r="A749" s="3"/>
      <c r="B749" s="4"/>
      <c r="C749" s="3"/>
      <c r="D749" s="3"/>
      <c r="E749" s="3"/>
      <c r="G749" s="57"/>
    </row>
    <row r="750" spans="1:7" ht="12.75" x14ac:dyDescent="0.2">
      <c r="A750" s="3"/>
      <c r="B750" s="4"/>
      <c r="C750" s="3"/>
      <c r="D750" s="3"/>
      <c r="E750" s="3"/>
      <c r="G750" s="57"/>
    </row>
    <row r="751" spans="1:7" ht="12.75" x14ac:dyDescent="0.2">
      <c r="A751" s="3"/>
      <c r="B751" s="4"/>
      <c r="C751" s="3"/>
      <c r="D751" s="3"/>
      <c r="E751" s="3"/>
      <c r="G751" s="57"/>
    </row>
    <row r="752" spans="1:7" ht="12.75" x14ac:dyDescent="0.2">
      <c r="A752" s="3"/>
      <c r="B752" s="4"/>
      <c r="C752" s="3"/>
      <c r="D752" s="3"/>
      <c r="E752" s="3"/>
      <c r="G752" s="57"/>
    </row>
    <row r="753" spans="1:7" ht="12.75" x14ac:dyDescent="0.2">
      <c r="A753" s="3"/>
      <c r="B753" s="4"/>
      <c r="C753" s="3"/>
      <c r="D753" s="3"/>
      <c r="E753" s="3"/>
      <c r="G753" s="57"/>
    </row>
    <row r="754" spans="1:7" ht="12.75" x14ac:dyDescent="0.2">
      <c r="A754" s="3"/>
      <c r="B754" s="4"/>
      <c r="C754" s="3"/>
      <c r="D754" s="3"/>
      <c r="E754" s="3"/>
      <c r="G754" s="57"/>
    </row>
    <row r="755" spans="1:7" ht="12.75" x14ac:dyDescent="0.2">
      <c r="A755" s="3"/>
      <c r="B755" s="4"/>
      <c r="C755" s="3"/>
      <c r="D755" s="3"/>
      <c r="E755" s="3"/>
      <c r="G755" s="57"/>
    </row>
    <row r="756" spans="1:7" ht="12.75" x14ac:dyDescent="0.2">
      <c r="A756" s="3"/>
      <c r="B756" s="4"/>
      <c r="C756" s="3"/>
      <c r="D756" s="3"/>
      <c r="E756" s="3"/>
      <c r="G756" s="57"/>
    </row>
    <row r="757" spans="1:7" ht="12.75" x14ac:dyDescent="0.2">
      <c r="A757" s="3"/>
      <c r="B757" s="4"/>
      <c r="C757" s="3"/>
      <c r="D757" s="3"/>
      <c r="E757" s="3"/>
      <c r="G757" s="57"/>
    </row>
    <row r="758" spans="1:7" ht="12.75" x14ac:dyDescent="0.2">
      <c r="A758" s="3"/>
      <c r="B758" s="4"/>
      <c r="C758" s="3"/>
      <c r="D758" s="3"/>
      <c r="E758" s="3"/>
      <c r="G758" s="57"/>
    </row>
    <row r="759" spans="1:7" ht="12.75" x14ac:dyDescent="0.2">
      <c r="A759" s="3"/>
      <c r="B759" s="4"/>
      <c r="C759" s="3"/>
      <c r="D759" s="3"/>
      <c r="E759" s="3"/>
      <c r="G759" s="57"/>
    </row>
    <row r="760" spans="1:7" ht="12.75" x14ac:dyDescent="0.2">
      <c r="A760" s="3"/>
      <c r="B760" s="4"/>
      <c r="C760" s="3"/>
      <c r="D760" s="3"/>
      <c r="E760" s="3"/>
      <c r="G760" s="57"/>
    </row>
    <row r="761" spans="1:7" ht="12.75" x14ac:dyDescent="0.2">
      <c r="A761" s="3"/>
      <c r="B761" s="4"/>
      <c r="C761" s="3"/>
      <c r="D761" s="3"/>
      <c r="E761" s="3"/>
      <c r="G761" s="59"/>
    </row>
    <row r="762" spans="1:7" ht="12.75" x14ac:dyDescent="0.2">
      <c r="A762" s="3"/>
      <c r="B762" s="4"/>
      <c r="C762" s="3"/>
      <c r="D762" s="3"/>
      <c r="E762" s="3"/>
      <c r="G762" s="57"/>
    </row>
    <row r="763" spans="1:7" ht="12.75" x14ac:dyDescent="0.2">
      <c r="A763" s="3"/>
      <c r="B763" s="4"/>
      <c r="C763" s="3"/>
      <c r="D763" s="3"/>
      <c r="E763" s="3"/>
      <c r="G763" s="57"/>
    </row>
    <row r="764" spans="1:7" ht="12.75" x14ac:dyDescent="0.2">
      <c r="A764" s="3"/>
      <c r="B764" s="4"/>
      <c r="C764" s="3"/>
      <c r="D764" s="3"/>
      <c r="E764" s="3"/>
      <c r="G764" s="57"/>
    </row>
    <row r="765" spans="1:7" ht="12.75" x14ac:dyDescent="0.2">
      <c r="A765" s="3"/>
      <c r="B765" s="4"/>
      <c r="C765" s="3"/>
      <c r="D765" s="3"/>
      <c r="E765" s="3"/>
      <c r="G765" s="57"/>
    </row>
    <row r="766" spans="1:7" ht="12.75" x14ac:dyDescent="0.2">
      <c r="A766" s="3"/>
      <c r="B766" s="4"/>
      <c r="C766" s="3"/>
      <c r="D766" s="3"/>
      <c r="E766" s="3"/>
      <c r="G766" s="57"/>
    </row>
    <row r="767" spans="1:7" ht="12.75" x14ac:dyDescent="0.2">
      <c r="A767" s="3"/>
      <c r="B767" s="4"/>
      <c r="C767" s="3"/>
      <c r="D767" s="3"/>
      <c r="E767" s="3"/>
      <c r="G767" s="57"/>
    </row>
    <row r="768" spans="1:7" ht="12.75" x14ac:dyDescent="0.2">
      <c r="A768" s="3"/>
      <c r="B768" s="4"/>
      <c r="C768" s="3"/>
      <c r="D768" s="3"/>
      <c r="E768" s="3"/>
      <c r="G768" s="57"/>
    </row>
    <row r="769" spans="1:7" ht="12.75" x14ac:dyDescent="0.2">
      <c r="A769" s="3"/>
      <c r="B769" s="4"/>
      <c r="C769" s="3"/>
      <c r="D769" s="3"/>
      <c r="E769" s="3"/>
      <c r="G769" s="57"/>
    </row>
    <row r="770" spans="1:7" ht="12.75" x14ac:dyDescent="0.2">
      <c r="A770" s="3"/>
      <c r="B770" s="4"/>
      <c r="C770" s="3"/>
      <c r="D770" s="3"/>
      <c r="E770" s="3"/>
      <c r="G770" s="57"/>
    </row>
    <row r="771" spans="1:7" ht="12.75" x14ac:dyDescent="0.2">
      <c r="A771" s="3"/>
      <c r="B771" s="4"/>
      <c r="C771" s="3"/>
      <c r="D771" s="3"/>
      <c r="E771" s="3"/>
      <c r="G771" s="57"/>
    </row>
    <row r="772" spans="1:7" ht="12.75" x14ac:dyDescent="0.2">
      <c r="A772" s="3"/>
      <c r="B772" s="4"/>
      <c r="C772" s="3"/>
      <c r="D772" s="3"/>
      <c r="E772" s="3"/>
      <c r="G772" s="57"/>
    </row>
    <row r="773" spans="1:7" ht="12.75" x14ac:dyDescent="0.2">
      <c r="A773" s="3"/>
      <c r="B773" s="4"/>
      <c r="C773" s="3"/>
      <c r="D773" s="3"/>
      <c r="E773" s="3"/>
      <c r="G773" s="57"/>
    </row>
    <row r="774" spans="1:7" ht="12.75" x14ac:dyDescent="0.2">
      <c r="A774" s="3"/>
      <c r="B774" s="4"/>
      <c r="C774" s="3"/>
      <c r="D774" s="3"/>
      <c r="E774" s="3"/>
      <c r="G774" s="57"/>
    </row>
    <row r="775" spans="1:7" ht="12.75" x14ac:dyDescent="0.2">
      <c r="A775" s="3"/>
      <c r="B775" s="4"/>
      <c r="C775" s="3"/>
      <c r="D775" s="3"/>
      <c r="E775" s="3"/>
      <c r="G775" s="57"/>
    </row>
    <row r="776" spans="1:7" ht="12.75" x14ac:dyDescent="0.2">
      <c r="A776" s="3"/>
      <c r="B776" s="4"/>
      <c r="C776" s="3"/>
      <c r="D776" s="3"/>
      <c r="E776" s="3"/>
      <c r="G776" s="57"/>
    </row>
    <row r="777" spans="1:7" ht="12.75" x14ac:dyDescent="0.2">
      <c r="A777" s="3"/>
      <c r="B777" s="4"/>
      <c r="C777" s="3"/>
      <c r="D777" s="3"/>
      <c r="E777" s="3"/>
      <c r="G777" s="57"/>
    </row>
    <row r="778" spans="1:7" ht="12.75" x14ac:dyDescent="0.2">
      <c r="A778" s="3"/>
      <c r="B778" s="4"/>
      <c r="C778" s="3"/>
      <c r="D778" s="3"/>
      <c r="E778" s="3"/>
      <c r="G778" s="57"/>
    </row>
    <row r="779" spans="1:7" ht="12.75" x14ac:dyDescent="0.2">
      <c r="A779" s="3"/>
      <c r="B779" s="4"/>
      <c r="C779" s="3"/>
      <c r="D779" s="3"/>
      <c r="E779" s="3"/>
      <c r="G779" s="57"/>
    </row>
    <row r="780" spans="1:7" ht="12.75" x14ac:dyDescent="0.2">
      <c r="A780" s="3"/>
      <c r="B780" s="4"/>
      <c r="C780" s="3"/>
      <c r="D780" s="3"/>
      <c r="E780" s="3"/>
      <c r="G780" s="57"/>
    </row>
    <row r="781" spans="1:7" ht="12.75" x14ac:dyDescent="0.2">
      <c r="A781" s="3"/>
      <c r="B781" s="4"/>
      <c r="C781" s="3"/>
      <c r="D781" s="3"/>
      <c r="E781" s="3"/>
      <c r="G781" s="59"/>
    </row>
    <row r="782" spans="1:7" ht="12.75" x14ac:dyDescent="0.2">
      <c r="A782" s="3"/>
      <c r="B782" s="4"/>
      <c r="C782" s="3"/>
      <c r="D782" s="3"/>
      <c r="E782" s="3"/>
      <c r="G782" s="57"/>
    </row>
    <row r="783" spans="1:7" ht="12.75" x14ac:dyDescent="0.2">
      <c r="A783" s="3"/>
      <c r="B783" s="4"/>
      <c r="C783" s="3"/>
      <c r="D783" s="3"/>
      <c r="E783" s="3"/>
      <c r="G783" s="57"/>
    </row>
    <row r="784" spans="1:7" ht="12.75" x14ac:dyDescent="0.2">
      <c r="A784" s="3"/>
      <c r="B784" s="4"/>
      <c r="C784" s="3"/>
      <c r="D784" s="3"/>
      <c r="E784" s="3"/>
      <c r="G784" s="57"/>
    </row>
    <row r="785" spans="1:7" ht="12.75" x14ac:dyDescent="0.2">
      <c r="A785" s="3"/>
      <c r="B785" s="4"/>
      <c r="C785" s="3"/>
      <c r="D785" s="3"/>
      <c r="E785" s="3"/>
      <c r="G785" s="57"/>
    </row>
    <row r="786" spans="1:7" ht="12.75" x14ac:dyDescent="0.2">
      <c r="A786" s="3"/>
      <c r="B786" s="4"/>
      <c r="C786" s="3"/>
      <c r="D786" s="3"/>
      <c r="E786" s="3"/>
      <c r="G786" s="57"/>
    </row>
    <row r="787" spans="1:7" ht="12.75" x14ac:dyDescent="0.2">
      <c r="A787" s="3"/>
      <c r="B787" s="4"/>
      <c r="C787" s="3"/>
      <c r="D787" s="3"/>
      <c r="E787" s="3"/>
      <c r="G787" s="57"/>
    </row>
    <row r="788" spans="1:7" ht="12.75" x14ac:dyDescent="0.2">
      <c r="A788" s="3"/>
      <c r="B788" s="4"/>
      <c r="C788" s="3"/>
      <c r="D788" s="3"/>
      <c r="E788" s="3"/>
      <c r="G788" s="57"/>
    </row>
    <row r="789" spans="1:7" ht="12.75" x14ac:dyDescent="0.2">
      <c r="A789" s="3"/>
      <c r="B789" s="4"/>
      <c r="C789" s="3"/>
      <c r="D789" s="3"/>
      <c r="E789" s="3"/>
      <c r="G789" s="57"/>
    </row>
    <row r="790" spans="1:7" ht="12.75" x14ac:dyDescent="0.2">
      <c r="A790" s="3"/>
      <c r="B790" s="4"/>
      <c r="C790" s="3"/>
      <c r="D790" s="3"/>
      <c r="E790" s="3"/>
      <c r="G790" s="57"/>
    </row>
    <row r="791" spans="1:7" ht="12.75" x14ac:dyDescent="0.2">
      <c r="A791" s="3"/>
      <c r="B791" s="4"/>
      <c r="C791" s="3"/>
      <c r="D791" s="3"/>
      <c r="E791" s="3"/>
      <c r="G791" s="57"/>
    </row>
    <row r="792" spans="1:7" ht="12.75" x14ac:dyDescent="0.2">
      <c r="A792" s="3"/>
      <c r="B792" s="4"/>
      <c r="C792" s="3"/>
      <c r="D792" s="3"/>
      <c r="E792" s="3"/>
      <c r="G792" s="57"/>
    </row>
    <row r="793" spans="1:7" ht="12.75" x14ac:dyDescent="0.2">
      <c r="A793" s="3"/>
      <c r="B793" s="4"/>
      <c r="C793" s="3"/>
      <c r="D793" s="3"/>
      <c r="E793" s="3"/>
      <c r="G793" s="57"/>
    </row>
    <row r="794" spans="1:7" ht="12.75" x14ac:dyDescent="0.2">
      <c r="A794" s="3"/>
      <c r="B794" s="4"/>
      <c r="C794" s="3"/>
      <c r="D794" s="3"/>
      <c r="E794" s="3"/>
      <c r="G794" s="57"/>
    </row>
    <row r="795" spans="1:7" ht="12.75" x14ac:dyDescent="0.2">
      <c r="A795" s="3"/>
      <c r="B795" s="4"/>
      <c r="C795" s="3"/>
      <c r="D795" s="3"/>
      <c r="E795" s="3"/>
      <c r="G795" s="57"/>
    </row>
    <row r="796" spans="1:7" ht="12.75" x14ac:dyDescent="0.2">
      <c r="A796" s="3"/>
      <c r="B796" s="4"/>
      <c r="C796" s="3"/>
      <c r="D796" s="3"/>
      <c r="E796" s="3"/>
      <c r="G796" s="57"/>
    </row>
    <row r="797" spans="1:7" ht="12.75" x14ac:dyDescent="0.2">
      <c r="A797" s="3"/>
      <c r="B797" s="4"/>
      <c r="C797" s="3"/>
      <c r="D797" s="3"/>
      <c r="E797" s="3"/>
      <c r="G797" s="57"/>
    </row>
    <row r="798" spans="1:7" ht="12.75" x14ac:dyDescent="0.2">
      <c r="A798" s="3"/>
      <c r="B798" s="4"/>
      <c r="C798" s="3"/>
      <c r="D798" s="3"/>
      <c r="E798" s="3"/>
      <c r="G798" s="57"/>
    </row>
    <row r="799" spans="1:7" ht="12.75" x14ac:dyDescent="0.2">
      <c r="A799" s="3"/>
      <c r="B799" s="4"/>
      <c r="C799" s="3"/>
      <c r="D799" s="3"/>
      <c r="E799" s="3"/>
      <c r="G799" s="57"/>
    </row>
    <row r="800" spans="1:7" ht="12.75" x14ac:dyDescent="0.2">
      <c r="A800" s="3"/>
      <c r="B800" s="4"/>
      <c r="C800" s="3"/>
      <c r="D800" s="3"/>
      <c r="E800" s="3"/>
      <c r="G800" s="57"/>
    </row>
    <row r="801" spans="1:7" ht="12.75" x14ac:dyDescent="0.2">
      <c r="A801" s="3"/>
      <c r="B801" s="4"/>
      <c r="C801" s="3"/>
      <c r="D801" s="3"/>
      <c r="E801" s="3"/>
      <c r="G801" s="59"/>
    </row>
    <row r="802" spans="1:7" ht="12.75" x14ac:dyDescent="0.2">
      <c r="A802" s="3"/>
      <c r="B802" s="4"/>
      <c r="C802" s="3"/>
      <c r="D802" s="3"/>
      <c r="E802" s="3"/>
      <c r="G802" s="57"/>
    </row>
    <row r="803" spans="1:7" ht="12.75" x14ac:dyDescent="0.2">
      <c r="A803" s="3"/>
      <c r="B803" s="4"/>
      <c r="C803" s="3"/>
      <c r="D803" s="3"/>
      <c r="E803" s="3"/>
      <c r="G803" s="57"/>
    </row>
    <row r="804" spans="1:7" ht="12.75" x14ac:dyDescent="0.2">
      <c r="A804" s="3"/>
      <c r="B804" s="4"/>
      <c r="C804" s="3"/>
      <c r="D804" s="3"/>
      <c r="E804" s="3"/>
      <c r="G804" s="57"/>
    </row>
    <row r="805" spans="1:7" ht="12.75" x14ac:dyDescent="0.2">
      <c r="A805" s="3"/>
      <c r="B805" s="4"/>
      <c r="C805" s="3"/>
      <c r="D805" s="3"/>
      <c r="E805" s="3"/>
      <c r="G805" s="57"/>
    </row>
    <row r="806" spans="1:7" ht="12.75" x14ac:dyDescent="0.2">
      <c r="A806" s="3"/>
      <c r="B806" s="4"/>
      <c r="C806" s="3"/>
      <c r="D806" s="3"/>
      <c r="E806" s="3"/>
      <c r="G806" s="57"/>
    </row>
    <row r="807" spans="1:7" ht="12.75" x14ac:dyDescent="0.2">
      <c r="A807" s="3"/>
      <c r="B807" s="4"/>
      <c r="C807" s="3"/>
      <c r="D807" s="3"/>
      <c r="E807" s="3"/>
      <c r="G807" s="57"/>
    </row>
    <row r="808" spans="1:7" ht="12.75" x14ac:dyDescent="0.2">
      <c r="A808" s="3"/>
      <c r="B808" s="4"/>
      <c r="C808" s="3"/>
      <c r="D808" s="3"/>
      <c r="E808" s="3"/>
      <c r="G808" s="57"/>
    </row>
    <row r="809" spans="1:7" ht="12.75" x14ac:dyDescent="0.2">
      <c r="A809" s="3"/>
      <c r="B809" s="4"/>
      <c r="C809" s="3"/>
      <c r="D809" s="3"/>
      <c r="E809" s="3"/>
      <c r="G809" s="57"/>
    </row>
    <row r="810" spans="1:7" ht="12.75" x14ac:dyDescent="0.2">
      <c r="A810" s="3"/>
      <c r="B810" s="4"/>
      <c r="C810" s="3"/>
      <c r="D810" s="3"/>
      <c r="E810" s="3"/>
      <c r="G810" s="57"/>
    </row>
    <row r="811" spans="1:7" ht="12.75" x14ac:dyDescent="0.2">
      <c r="A811" s="3"/>
      <c r="B811" s="4"/>
      <c r="C811" s="3"/>
      <c r="D811" s="3"/>
      <c r="E811" s="3"/>
      <c r="G811" s="57"/>
    </row>
    <row r="812" spans="1:7" ht="12.75" x14ac:dyDescent="0.2">
      <c r="A812" s="3"/>
      <c r="B812" s="4"/>
      <c r="C812" s="3"/>
      <c r="D812" s="3"/>
      <c r="E812" s="3"/>
      <c r="G812" s="57"/>
    </row>
    <row r="813" spans="1:7" ht="12.75" x14ac:dyDescent="0.2">
      <c r="A813" s="3"/>
      <c r="B813" s="4"/>
      <c r="C813" s="3"/>
      <c r="D813" s="3"/>
      <c r="E813" s="3"/>
      <c r="G813" s="57"/>
    </row>
    <row r="814" spans="1:7" ht="12.75" x14ac:dyDescent="0.2">
      <c r="A814" s="3"/>
      <c r="B814" s="4"/>
      <c r="C814" s="3"/>
      <c r="D814" s="3"/>
      <c r="E814" s="3"/>
      <c r="G814" s="57"/>
    </row>
    <row r="815" spans="1:7" ht="12.75" x14ac:dyDescent="0.2">
      <c r="A815" s="3"/>
      <c r="B815" s="4"/>
      <c r="C815" s="3"/>
      <c r="D815" s="3"/>
      <c r="E815" s="3"/>
      <c r="G815" s="57"/>
    </row>
    <row r="816" spans="1:7" ht="12.75" x14ac:dyDescent="0.2">
      <c r="A816" s="3"/>
      <c r="B816" s="4"/>
      <c r="C816" s="3"/>
      <c r="D816" s="3"/>
      <c r="E816" s="3"/>
      <c r="G816" s="57"/>
    </row>
    <row r="817" spans="1:7" ht="12.75" x14ac:dyDescent="0.2">
      <c r="A817" s="3"/>
      <c r="B817" s="4"/>
      <c r="C817" s="3"/>
      <c r="D817" s="3"/>
      <c r="E817" s="3"/>
      <c r="G817" s="57"/>
    </row>
    <row r="818" spans="1:7" ht="12.75" x14ac:dyDescent="0.2">
      <c r="A818" s="3"/>
      <c r="B818" s="4"/>
      <c r="C818" s="3"/>
      <c r="D818" s="3"/>
      <c r="E818" s="3"/>
      <c r="G818" s="57"/>
    </row>
    <row r="819" spans="1:7" ht="12.75" x14ac:dyDescent="0.2">
      <c r="A819" s="3"/>
      <c r="B819" s="4"/>
      <c r="C819" s="3"/>
      <c r="D819" s="3"/>
      <c r="E819" s="3"/>
      <c r="G819" s="57"/>
    </row>
    <row r="820" spans="1:7" ht="12.75" x14ac:dyDescent="0.2">
      <c r="A820" s="3"/>
      <c r="B820" s="4"/>
      <c r="C820" s="3"/>
      <c r="D820" s="3"/>
      <c r="E820" s="3"/>
      <c r="G820" s="57"/>
    </row>
    <row r="821" spans="1:7" ht="12.75" x14ac:dyDescent="0.2">
      <c r="A821" s="3"/>
      <c r="B821" s="4"/>
      <c r="C821" s="3"/>
      <c r="D821" s="3"/>
      <c r="E821" s="3"/>
      <c r="G821" s="59"/>
    </row>
    <row r="822" spans="1:7" ht="12.75" x14ac:dyDescent="0.2">
      <c r="A822" s="3"/>
      <c r="B822" s="4"/>
      <c r="C822" s="3"/>
      <c r="D822" s="3"/>
      <c r="E822" s="3"/>
      <c r="G822" s="57"/>
    </row>
    <row r="823" spans="1:7" ht="12.75" x14ac:dyDescent="0.2">
      <c r="A823" s="3"/>
      <c r="B823" s="4"/>
      <c r="C823" s="3"/>
      <c r="D823" s="3"/>
      <c r="E823" s="3"/>
      <c r="G823" s="57"/>
    </row>
    <row r="824" spans="1:7" ht="12.75" x14ac:dyDescent="0.2">
      <c r="A824" s="3"/>
      <c r="B824" s="4"/>
      <c r="C824" s="3"/>
      <c r="D824" s="3"/>
      <c r="E824" s="3"/>
      <c r="G824" s="57"/>
    </row>
    <row r="825" spans="1:7" ht="12.75" x14ac:dyDescent="0.2">
      <c r="A825" s="3"/>
      <c r="B825" s="4"/>
      <c r="C825" s="3"/>
      <c r="D825" s="3"/>
      <c r="E825" s="3"/>
      <c r="G825" s="57"/>
    </row>
    <row r="826" spans="1:7" ht="12.75" x14ac:dyDescent="0.2">
      <c r="A826" s="3"/>
      <c r="B826" s="4"/>
      <c r="C826" s="3"/>
      <c r="D826" s="3"/>
      <c r="E826" s="3"/>
      <c r="G826" s="57"/>
    </row>
    <row r="827" spans="1:7" ht="12.75" x14ac:dyDescent="0.2">
      <c r="A827" s="3"/>
      <c r="B827" s="4"/>
      <c r="C827" s="3"/>
      <c r="D827" s="3"/>
      <c r="E827" s="3"/>
      <c r="G827" s="57"/>
    </row>
    <row r="828" spans="1:7" ht="12.75" x14ac:dyDescent="0.2">
      <c r="A828" s="3"/>
      <c r="B828" s="4"/>
      <c r="C828" s="3"/>
      <c r="D828" s="3"/>
      <c r="E828" s="3"/>
      <c r="G828" s="57"/>
    </row>
    <row r="829" spans="1:7" ht="12.75" x14ac:dyDescent="0.2">
      <c r="A829" s="3"/>
      <c r="B829" s="4"/>
      <c r="C829" s="3"/>
      <c r="D829" s="3"/>
      <c r="E829" s="3"/>
      <c r="G829" s="57"/>
    </row>
    <row r="830" spans="1:7" ht="12.75" x14ac:dyDescent="0.2">
      <c r="A830" s="3"/>
      <c r="B830" s="4"/>
      <c r="C830" s="3"/>
      <c r="D830" s="3"/>
      <c r="E830" s="3"/>
      <c r="G830" s="57"/>
    </row>
    <row r="831" spans="1:7" ht="12.75" x14ac:dyDescent="0.2">
      <c r="A831" s="3"/>
      <c r="B831" s="4"/>
      <c r="C831" s="3"/>
      <c r="D831" s="3"/>
      <c r="E831" s="3"/>
      <c r="G831" s="57"/>
    </row>
    <row r="832" spans="1:7" ht="12.75" x14ac:dyDescent="0.2">
      <c r="A832" s="3"/>
      <c r="B832" s="4"/>
      <c r="C832" s="3"/>
      <c r="D832" s="3"/>
      <c r="E832" s="3"/>
      <c r="G832" s="57"/>
    </row>
    <row r="833" spans="1:7" ht="12.75" x14ac:dyDescent="0.2">
      <c r="A833" s="3"/>
      <c r="B833" s="4"/>
      <c r="C833" s="3"/>
      <c r="D833" s="3"/>
      <c r="E833" s="3"/>
      <c r="G833" s="57"/>
    </row>
    <row r="834" spans="1:7" ht="12.75" x14ac:dyDescent="0.2">
      <c r="A834" s="3"/>
      <c r="B834" s="4"/>
      <c r="C834" s="3"/>
      <c r="D834" s="3"/>
      <c r="E834" s="3"/>
      <c r="G834" s="57"/>
    </row>
    <row r="835" spans="1:7" ht="12.75" x14ac:dyDescent="0.2">
      <c r="A835" s="3"/>
      <c r="B835" s="4"/>
      <c r="C835" s="3"/>
      <c r="D835" s="3"/>
      <c r="E835" s="3"/>
      <c r="G835" s="57"/>
    </row>
    <row r="836" spans="1:7" ht="12.75" x14ac:dyDescent="0.2">
      <c r="A836" s="3"/>
      <c r="B836" s="4"/>
      <c r="C836" s="3"/>
      <c r="D836" s="3"/>
      <c r="E836" s="3"/>
      <c r="G836" s="57"/>
    </row>
    <row r="837" spans="1:7" ht="12.75" x14ac:dyDescent="0.2">
      <c r="A837" s="3"/>
      <c r="B837" s="4"/>
      <c r="C837" s="3"/>
      <c r="D837" s="3"/>
      <c r="E837" s="3"/>
      <c r="G837" s="57"/>
    </row>
    <row r="838" spans="1:7" ht="12.75" x14ac:dyDescent="0.2">
      <c r="A838" s="3"/>
      <c r="B838" s="4"/>
      <c r="C838" s="3"/>
      <c r="D838" s="3"/>
      <c r="E838" s="3"/>
      <c r="G838" s="57"/>
    </row>
    <row r="839" spans="1:7" ht="12.75" x14ac:dyDescent="0.2">
      <c r="A839" s="3"/>
      <c r="B839" s="4"/>
      <c r="C839" s="3"/>
      <c r="D839" s="3"/>
      <c r="E839" s="3"/>
      <c r="G839" s="57"/>
    </row>
    <row r="840" spans="1:7" ht="12.75" x14ac:dyDescent="0.2">
      <c r="A840" s="3"/>
      <c r="B840" s="4"/>
      <c r="C840" s="3"/>
      <c r="D840" s="3"/>
      <c r="E840" s="3"/>
      <c r="G840" s="57"/>
    </row>
    <row r="841" spans="1:7" ht="12.75" x14ac:dyDescent="0.2">
      <c r="A841" s="3"/>
      <c r="B841" s="4"/>
      <c r="C841" s="3"/>
      <c r="D841" s="3"/>
      <c r="E841" s="3"/>
      <c r="G841" s="59"/>
    </row>
    <row r="842" spans="1:7" ht="12.75" x14ac:dyDescent="0.2">
      <c r="A842" s="3"/>
      <c r="B842" s="4"/>
      <c r="C842" s="3"/>
      <c r="D842" s="3"/>
      <c r="E842" s="3"/>
      <c r="G842" s="57"/>
    </row>
    <row r="843" spans="1:7" ht="12.75" x14ac:dyDescent="0.2">
      <c r="A843" s="3"/>
      <c r="B843" s="4"/>
      <c r="C843" s="3"/>
      <c r="D843" s="3"/>
      <c r="E843" s="3"/>
      <c r="G843" s="57"/>
    </row>
    <row r="844" spans="1:7" ht="12.75" x14ac:dyDescent="0.2">
      <c r="A844" s="3"/>
      <c r="B844" s="4"/>
      <c r="C844" s="3"/>
      <c r="D844" s="3"/>
      <c r="E844" s="3"/>
      <c r="G844" s="57"/>
    </row>
    <row r="845" spans="1:7" ht="12.75" x14ac:dyDescent="0.2">
      <c r="A845" s="3"/>
      <c r="B845" s="4"/>
      <c r="C845" s="3"/>
      <c r="D845" s="3"/>
      <c r="E845" s="3"/>
      <c r="G845" s="57"/>
    </row>
    <row r="846" spans="1:7" ht="12.75" x14ac:dyDescent="0.2">
      <c r="A846" s="3"/>
      <c r="B846" s="4"/>
      <c r="C846" s="3"/>
      <c r="D846" s="3"/>
      <c r="E846" s="3"/>
      <c r="G846" s="57"/>
    </row>
    <row r="847" spans="1:7" ht="12.75" x14ac:dyDescent="0.2">
      <c r="A847" s="3"/>
      <c r="B847" s="4"/>
      <c r="C847" s="3"/>
      <c r="D847" s="3"/>
      <c r="E847" s="3"/>
      <c r="G847" s="57"/>
    </row>
    <row r="848" spans="1:7" ht="12.75" x14ac:dyDescent="0.2">
      <c r="A848" s="3"/>
      <c r="B848" s="4"/>
      <c r="C848" s="3"/>
      <c r="D848" s="3"/>
      <c r="E848" s="3"/>
      <c r="G848" s="57"/>
    </row>
    <row r="849" spans="1:7" ht="12.75" x14ac:dyDescent="0.2">
      <c r="A849" s="3"/>
      <c r="B849" s="4"/>
      <c r="C849" s="3"/>
      <c r="D849" s="3"/>
      <c r="E849" s="3"/>
      <c r="G849" s="57"/>
    </row>
    <row r="850" spans="1:7" ht="12.75" x14ac:dyDescent="0.2">
      <c r="A850" s="3"/>
      <c r="B850" s="4"/>
      <c r="C850" s="3"/>
      <c r="D850" s="3"/>
      <c r="E850" s="3"/>
      <c r="G850" s="57"/>
    </row>
    <row r="851" spans="1:7" ht="12.75" x14ac:dyDescent="0.2">
      <c r="A851" s="3"/>
      <c r="B851" s="4"/>
      <c r="C851" s="3"/>
      <c r="D851" s="3"/>
      <c r="E851" s="3"/>
      <c r="G851" s="57"/>
    </row>
    <row r="852" spans="1:7" ht="12.75" x14ac:dyDescent="0.2">
      <c r="A852" s="3"/>
      <c r="B852" s="4"/>
      <c r="C852" s="3"/>
      <c r="D852" s="3"/>
      <c r="E852" s="3"/>
      <c r="G852" s="57"/>
    </row>
    <row r="853" spans="1:7" ht="12.75" x14ac:dyDescent="0.2">
      <c r="A853" s="3"/>
      <c r="B853" s="4"/>
      <c r="C853" s="3"/>
      <c r="D853" s="3"/>
      <c r="E853" s="3"/>
      <c r="G853" s="57"/>
    </row>
    <row r="854" spans="1:7" ht="12.75" x14ac:dyDescent="0.2">
      <c r="A854" s="3"/>
      <c r="B854" s="4"/>
      <c r="C854" s="3"/>
      <c r="D854" s="3"/>
      <c r="E854" s="3"/>
      <c r="G854" s="57"/>
    </row>
    <row r="855" spans="1:7" ht="12.75" x14ac:dyDescent="0.2">
      <c r="A855" s="3"/>
      <c r="B855" s="4"/>
      <c r="C855" s="3"/>
      <c r="D855" s="3"/>
      <c r="E855" s="3"/>
      <c r="G855" s="57"/>
    </row>
    <row r="856" spans="1:7" ht="12.75" x14ac:dyDescent="0.2">
      <c r="A856" s="3"/>
      <c r="B856" s="4"/>
      <c r="C856" s="3"/>
      <c r="D856" s="3"/>
      <c r="E856" s="3"/>
      <c r="G856" s="57"/>
    </row>
    <row r="857" spans="1:7" ht="12.75" x14ac:dyDescent="0.2">
      <c r="A857" s="3"/>
      <c r="B857" s="4"/>
      <c r="C857" s="3"/>
      <c r="D857" s="3"/>
      <c r="E857" s="3"/>
      <c r="G857" s="57"/>
    </row>
    <row r="858" spans="1:7" ht="12.75" x14ac:dyDescent="0.2">
      <c r="A858" s="3"/>
      <c r="B858" s="4"/>
      <c r="C858" s="3"/>
      <c r="D858" s="3"/>
      <c r="E858" s="3"/>
      <c r="G858" s="57"/>
    </row>
    <row r="859" spans="1:7" ht="12.75" x14ac:dyDescent="0.2">
      <c r="A859" s="3"/>
      <c r="B859" s="4"/>
      <c r="C859" s="3"/>
      <c r="D859" s="3"/>
      <c r="E859" s="3"/>
      <c r="G859" s="57"/>
    </row>
    <row r="860" spans="1:7" ht="12.75" x14ac:dyDescent="0.2">
      <c r="A860" s="3"/>
      <c r="B860" s="4"/>
      <c r="C860" s="3"/>
      <c r="D860" s="3"/>
      <c r="E860" s="3"/>
      <c r="G860" s="57"/>
    </row>
    <row r="861" spans="1:7" ht="12.75" x14ac:dyDescent="0.2">
      <c r="A861" s="3"/>
      <c r="B861" s="4"/>
      <c r="C861" s="3"/>
      <c r="D861" s="3"/>
      <c r="E861" s="3"/>
      <c r="G861" s="59"/>
    </row>
    <row r="862" spans="1:7" ht="12.75" x14ac:dyDescent="0.2">
      <c r="A862" s="3"/>
      <c r="B862" s="4"/>
      <c r="C862" s="3"/>
      <c r="D862" s="3"/>
      <c r="E862" s="3"/>
      <c r="G862" s="57"/>
    </row>
    <row r="863" spans="1:7" ht="12.75" x14ac:dyDescent="0.2">
      <c r="A863" s="3"/>
      <c r="B863" s="4"/>
      <c r="C863" s="3"/>
      <c r="D863" s="3"/>
      <c r="E863" s="3"/>
      <c r="G863" s="57"/>
    </row>
    <row r="864" spans="1:7" ht="12.75" x14ac:dyDescent="0.2">
      <c r="A864" s="3"/>
      <c r="B864" s="4"/>
      <c r="C864" s="3"/>
      <c r="D864" s="3"/>
      <c r="E864" s="3"/>
      <c r="G864" s="57"/>
    </row>
    <row r="865" spans="1:7" ht="12.75" x14ac:dyDescent="0.2">
      <c r="A865" s="3"/>
      <c r="B865" s="4"/>
      <c r="C865" s="3"/>
      <c r="D865" s="3"/>
      <c r="E865" s="3"/>
      <c r="G865" s="57"/>
    </row>
    <row r="866" spans="1:7" ht="12.75" x14ac:dyDescent="0.2">
      <c r="A866" s="3"/>
      <c r="B866" s="4"/>
      <c r="C866" s="3"/>
      <c r="D866" s="3"/>
      <c r="E866" s="3"/>
      <c r="G866" s="57"/>
    </row>
    <row r="867" spans="1:7" ht="12.75" x14ac:dyDescent="0.2">
      <c r="A867" s="3"/>
      <c r="B867" s="4"/>
      <c r="C867" s="3"/>
      <c r="D867" s="3"/>
      <c r="E867" s="3"/>
      <c r="G867" s="57"/>
    </row>
    <row r="868" spans="1:7" ht="12.75" x14ac:dyDescent="0.2">
      <c r="A868" s="3"/>
      <c r="B868" s="4"/>
      <c r="C868" s="3"/>
      <c r="D868" s="3"/>
      <c r="E868" s="3"/>
      <c r="G868" s="57"/>
    </row>
    <row r="869" spans="1:7" ht="12.75" x14ac:dyDescent="0.2">
      <c r="A869" s="3"/>
      <c r="B869" s="4"/>
      <c r="C869" s="3"/>
      <c r="D869" s="3"/>
      <c r="E869" s="3"/>
      <c r="G869" s="57"/>
    </row>
    <row r="870" spans="1:7" ht="12.75" x14ac:dyDescent="0.2">
      <c r="A870" s="3"/>
      <c r="B870" s="4"/>
      <c r="C870" s="3"/>
      <c r="D870" s="3"/>
      <c r="E870" s="3"/>
      <c r="G870" s="57"/>
    </row>
    <row r="871" spans="1:7" ht="12.75" x14ac:dyDescent="0.2">
      <c r="A871" s="3"/>
      <c r="B871" s="4"/>
      <c r="C871" s="3"/>
      <c r="D871" s="3"/>
      <c r="E871" s="3"/>
      <c r="G871" s="57"/>
    </row>
    <row r="872" spans="1:7" ht="12.75" x14ac:dyDescent="0.2">
      <c r="A872" s="3"/>
      <c r="B872" s="4"/>
      <c r="C872" s="3"/>
      <c r="D872" s="3"/>
      <c r="E872" s="3"/>
      <c r="G872" s="57"/>
    </row>
    <row r="873" spans="1:7" ht="12.75" x14ac:dyDescent="0.2">
      <c r="A873" s="3"/>
      <c r="B873" s="4"/>
      <c r="C873" s="3"/>
      <c r="D873" s="3"/>
      <c r="E873" s="3"/>
      <c r="G873" s="57"/>
    </row>
    <row r="874" spans="1:7" ht="12.75" x14ac:dyDescent="0.2">
      <c r="A874" s="3"/>
      <c r="B874" s="4"/>
      <c r="C874" s="3"/>
      <c r="D874" s="3"/>
      <c r="E874" s="3"/>
      <c r="G874" s="57"/>
    </row>
    <row r="875" spans="1:7" ht="12.75" x14ac:dyDescent="0.2">
      <c r="A875" s="3"/>
      <c r="B875" s="4"/>
      <c r="C875" s="3"/>
      <c r="D875" s="3"/>
      <c r="E875" s="3"/>
      <c r="G875" s="57"/>
    </row>
    <row r="876" spans="1:7" ht="12.75" x14ac:dyDescent="0.2">
      <c r="A876" s="3"/>
      <c r="B876" s="4"/>
      <c r="C876" s="3"/>
      <c r="D876" s="3"/>
      <c r="E876" s="3"/>
      <c r="G876" s="57"/>
    </row>
    <row r="877" spans="1:7" ht="12.75" x14ac:dyDescent="0.2">
      <c r="A877" s="3"/>
      <c r="B877" s="4"/>
      <c r="C877" s="3"/>
      <c r="D877" s="3"/>
      <c r="E877" s="3"/>
      <c r="G877" s="57"/>
    </row>
    <row r="878" spans="1:7" ht="12.75" x14ac:dyDescent="0.2">
      <c r="A878" s="3"/>
      <c r="B878" s="4"/>
      <c r="C878" s="3"/>
      <c r="D878" s="3"/>
      <c r="E878" s="3"/>
      <c r="G878" s="57"/>
    </row>
    <row r="879" spans="1:7" ht="12.75" x14ac:dyDescent="0.2">
      <c r="A879" s="3"/>
      <c r="B879" s="4"/>
      <c r="C879" s="3"/>
      <c r="D879" s="3"/>
      <c r="E879" s="3"/>
      <c r="G879" s="57"/>
    </row>
    <row r="880" spans="1:7" ht="12.75" x14ac:dyDescent="0.2">
      <c r="A880" s="3"/>
      <c r="B880" s="4"/>
      <c r="C880" s="3"/>
      <c r="D880" s="3"/>
      <c r="E880" s="3"/>
      <c r="G880" s="57"/>
    </row>
    <row r="881" spans="1:7" ht="12.75" x14ac:dyDescent="0.2">
      <c r="A881" s="3"/>
      <c r="B881" s="4"/>
      <c r="C881" s="3"/>
      <c r="D881" s="3"/>
      <c r="E881" s="3"/>
      <c r="G881" s="59"/>
    </row>
    <row r="882" spans="1:7" ht="12.75" x14ac:dyDescent="0.2">
      <c r="A882" s="3"/>
      <c r="B882" s="4"/>
      <c r="C882" s="3"/>
      <c r="D882" s="3"/>
      <c r="E882" s="3"/>
      <c r="G882" s="57"/>
    </row>
    <row r="883" spans="1:7" ht="12.75" x14ac:dyDescent="0.2">
      <c r="A883" s="3"/>
      <c r="B883" s="4"/>
      <c r="C883" s="3"/>
      <c r="D883" s="3"/>
      <c r="E883" s="3"/>
      <c r="G883" s="57"/>
    </row>
    <row r="884" spans="1:7" ht="12.75" x14ac:dyDescent="0.2">
      <c r="A884" s="3"/>
      <c r="B884" s="4"/>
      <c r="C884" s="3"/>
      <c r="D884" s="3"/>
      <c r="E884" s="3"/>
      <c r="G884" s="57"/>
    </row>
    <row r="885" spans="1:7" ht="12.75" x14ac:dyDescent="0.2">
      <c r="A885" s="3"/>
      <c r="B885" s="4"/>
      <c r="C885" s="3"/>
      <c r="D885" s="3"/>
      <c r="E885" s="3"/>
      <c r="G885" s="57"/>
    </row>
    <row r="886" spans="1:7" ht="12.75" x14ac:dyDescent="0.2">
      <c r="A886" s="3"/>
      <c r="B886" s="4"/>
      <c r="C886" s="3"/>
      <c r="D886" s="3"/>
      <c r="E886" s="3"/>
      <c r="G886" s="57"/>
    </row>
    <row r="887" spans="1:7" ht="12.75" x14ac:dyDescent="0.2">
      <c r="A887" s="3"/>
      <c r="B887" s="4"/>
      <c r="C887" s="3"/>
      <c r="D887" s="3"/>
      <c r="E887" s="3"/>
      <c r="G887" s="57"/>
    </row>
    <row r="888" spans="1:7" ht="12.75" x14ac:dyDescent="0.2">
      <c r="A888" s="3"/>
      <c r="B888" s="4"/>
      <c r="C888" s="3"/>
      <c r="D888" s="3"/>
      <c r="E888" s="3"/>
      <c r="G888" s="57"/>
    </row>
    <row r="889" spans="1:7" ht="12.75" x14ac:dyDescent="0.2">
      <c r="A889" s="3"/>
      <c r="B889" s="4"/>
      <c r="C889" s="3"/>
      <c r="D889" s="3"/>
      <c r="E889" s="3"/>
      <c r="G889" s="57"/>
    </row>
    <row r="890" spans="1:7" ht="12.75" x14ac:dyDescent="0.2">
      <c r="A890" s="3"/>
      <c r="B890" s="4"/>
      <c r="C890" s="3"/>
      <c r="D890" s="3"/>
      <c r="E890" s="3"/>
      <c r="G890" s="57"/>
    </row>
    <row r="891" spans="1:7" ht="12.75" x14ac:dyDescent="0.2">
      <c r="A891" s="3"/>
      <c r="B891" s="4"/>
      <c r="C891" s="3"/>
      <c r="D891" s="3"/>
      <c r="E891" s="3"/>
      <c r="G891" s="57"/>
    </row>
    <row r="892" spans="1:7" ht="12.75" x14ac:dyDescent="0.2">
      <c r="A892" s="3"/>
      <c r="B892" s="4"/>
      <c r="C892" s="3"/>
      <c r="D892" s="3"/>
      <c r="E892" s="3"/>
      <c r="G892" s="57"/>
    </row>
    <row r="893" spans="1:7" ht="12.75" x14ac:dyDescent="0.2">
      <c r="A893" s="3"/>
      <c r="B893" s="4"/>
      <c r="C893" s="3"/>
      <c r="D893" s="3"/>
      <c r="E893" s="3"/>
      <c r="G893" s="57"/>
    </row>
    <row r="894" spans="1:7" ht="12.75" x14ac:dyDescent="0.2">
      <c r="A894" s="3"/>
      <c r="B894" s="4"/>
      <c r="C894" s="3"/>
      <c r="D894" s="3"/>
      <c r="E894" s="3"/>
      <c r="G894" s="57"/>
    </row>
    <row r="895" spans="1:7" ht="12.75" x14ac:dyDescent="0.2">
      <c r="A895" s="3"/>
      <c r="B895" s="4"/>
      <c r="C895" s="3"/>
      <c r="D895" s="3"/>
      <c r="E895" s="3"/>
      <c r="G895" s="57"/>
    </row>
    <row r="896" spans="1:7" ht="12.75" x14ac:dyDescent="0.2">
      <c r="A896" s="3"/>
      <c r="B896" s="4"/>
      <c r="C896" s="3"/>
      <c r="D896" s="3"/>
      <c r="E896" s="3"/>
      <c r="G896" s="57"/>
    </row>
    <row r="897" spans="1:7" ht="12.75" x14ac:dyDescent="0.2">
      <c r="A897" s="3"/>
      <c r="B897" s="4"/>
      <c r="C897" s="3"/>
      <c r="D897" s="3"/>
      <c r="E897" s="3"/>
      <c r="G897" s="57"/>
    </row>
    <row r="898" spans="1:7" ht="12.75" x14ac:dyDescent="0.2">
      <c r="A898" s="3"/>
      <c r="B898" s="4"/>
      <c r="C898" s="3"/>
      <c r="D898" s="3"/>
      <c r="E898" s="3"/>
      <c r="G898" s="57"/>
    </row>
    <row r="899" spans="1:7" ht="12.75" x14ac:dyDescent="0.2">
      <c r="A899" s="3"/>
      <c r="B899" s="4"/>
      <c r="C899" s="3"/>
      <c r="D899" s="3"/>
      <c r="E899" s="3"/>
      <c r="G899" s="57"/>
    </row>
    <row r="900" spans="1:7" ht="12.75" x14ac:dyDescent="0.2">
      <c r="A900" s="3"/>
      <c r="B900" s="4"/>
      <c r="C900" s="3"/>
      <c r="D900" s="3"/>
      <c r="E900" s="3"/>
      <c r="G900" s="57"/>
    </row>
    <row r="901" spans="1:7" ht="12.75" x14ac:dyDescent="0.2">
      <c r="A901" s="3"/>
      <c r="B901" s="4"/>
      <c r="C901" s="3"/>
      <c r="D901" s="3"/>
      <c r="E901" s="3"/>
      <c r="G901" s="59"/>
    </row>
    <row r="902" spans="1:7" ht="12.75" x14ac:dyDescent="0.2">
      <c r="A902" s="3"/>
      <c r="B902" s="4"/>
      <c r="C902" s="3"/>
      <c r="D902" s="3"/>
      <c r="E902" s="3"/>
      <c r="G902" s="57"/>
    </row>
    <row r="903" spans="1:7" ht="12.75" x14ac:dyDescent="0.2">
      <c r="A903" s="3"/>
      <c r="B903" s="4"/>
      <c r="C903" s="3"/>
      <c r="D903" s="3"/>
      <c r="E903" s="3"/>
      <c r="G903" s="57"/>
    </row>
    <row r="904" spans="1:7" ht="12.75" x14ac:dyDescent="0.2">
      <c r="A904" s="3"/>
      <c r="B904" s="4"/>
      <c r="C904" s="3"/>
      <c r="D904" s="3"/>
      <c r="E904" s="3"/>
      <c r="G904" s="57"/>
    </row>
    <row r="905" spans="1:7" ht="12.75" x14ac:dyDescent="0.2">
      <c r="A905" s="3"/>
      <c r="B905" s="4"/>
      <c r="C905" s="3"/>
      <c r="D905" s="3"/>
      <c r="E905" s="3"/>
      <c r="G905" s="57"/>
    </row>
    <row r="906" spans="1:7" ht="12.75" x14ac:dyDescent="0.2">
      <c r="A906" s="3"/>
      <c r="B906" s="4"/>
      <c r="C906" s="3"/>
      <c r="D906" s="3"/>
      <c r="E906" s="3"/>
      <c r="G906" s="57"/>
    </row>
    <row r="907" spans="1:7" ht="12.75" x14ac:dyDescent="0.2">
      <c r="A907" s="3"/>
      <c r="B907" s="4"/>
      <c r="C907" s="3"/>
      <c r="D907" s="3"/>
      <c r="E907" s="3"/>
      <c r="G907" s="57"/>
    </row>
    <row r="908" spans="1:7" ht="12.75" x14ac:dyDescent="0.2">
      <c r="A908" s="3"/>
      <c r="B908" s="4"/>
      <c r="C908" s="3"/>
      <c r="D908" s="3"/>
      <c r="E908" s="3"/>
      <c r="G908" s="57"/>
    </row>
    <row r="909" spans="1:7" ht="12.75" x14ac:dyDescent="0.2">
      <c r="A909" s="3"/>
      <c r="B909" s="4"/>
      <c r="C909" s="3"/>
      <c r="D909" s="3"/>
      <c r="E909" s="3"/>
      <c r="G909" s="57"/>
    </row>
    <row r="910" spans="1:7" ht="12.75" x14ac:dyDescent="0.2">
      <c r="A910" s="3"/>
      <c r="B910" s="4"/>
      <c r="C910" s="3"/>
      <c r="D910" s="3"/>
      <c r="E910" s="3"/>
      <c r="G910" s="57"/>
    </row>
    <row r="911" spans="1:7" ht="12.75" x14ac:dyDescent="0.2">
      <c r="A911" s="3"/>
      <c r="B911" s="4"/>
      <c r="C911" s="3"/>
      <c r="D911" s="3"/>
      <c r="E911" s="3"/>
      <c r="G911" s="57"/>
    </row>
    <row r="912" spans="1:7" ht="12.75" x14ac:dyDescent="0.2">
      <c r="A912" s="3"/>
      <c r="B912" s="4"/>
      <c r="C912" s="3"/>
      <c r="D912" s="3"/>
      <c r="E912" s="3"/>
      <c r="G912" s="57"/>
    </row>
    <row r="913" spans="1:7" ht="12.75" x14ac:dyDescent="0.2">
      <c r="A913" s="3"/>
      <c r="B913" s="4"/>
      <c r="C913" s="3"/>
      <c r="D913" s="3"/>
      <c r="E913" s="3"/>
      <c r="G913" s="57"/>
    </row>
    <row r="914" spans="1:7" ht="12.75" x14ac:dyDescent="0.2">
      <c r="A914" s="3"/>
      <c r="B914" s="4"/>
      <c r="C914" s="3"/>
      <c r="D914" s="3"/>
      <c r="E914" s="3"/>
      <c r="G914" s="57"/>
    </row>
    <row r="915" spans="1:7" ht="12.75" x14ac:dyDescent="0.2">
      <c r="A915" s="3"/>
      <c r="B915" s="4"/>
      <c r="C915" s="3"/>
      <c r="D915" s="3"/>
      <c r="E915" s="3"/>
      <c r="G915" s="57"/>
    </row>
    <row r="916" spans="1:7" ht="12.75" x14ac:dyDescent="0.2">
      <c r="A916" s="3"/>
      <c r="B916" s="4"/>
      <c r="C916" s="3"/>
      <c r="D916" s="3"/>
      <c r="E916" s="3"/>
      <c r="G916" s="57"/>
    </row>
    <row r="917" spans="1:7" ht="12.75" x14ac:dyDescent="0.2">
      <c r="A917" s="3"/>
      <c r="B917" s="4"/>
      <c r="C917" s="3"/>
      <c r="D917" s="3"/>
      <c r="E917" s="3"/>
      <c r="G917" s="57"/>
    </row>
    <row r="918" spans="1:7" ht="12.75" x14ac:dyDescent="0.2">
      <c r="A918" s="3"/>
      <c r="B918" s="4"/>
      <c r="C918" s="3"/>
      <c r="D918" s="3"/>
      <c r="E918" s="3"/>
      <c r="G918" s="57"/>
    </row>
    <row r="919" spans="1:7" ht="12.75" x14ac:dyDescent="0.2">
      <c r="A919" s="3"/>
      <c r="B919" s="4"/>
      <c r="C919" s="3"/>
      <c r="D919" s="3"/>
      <c r="E919" s="3"/>
      <c r="G919" s="57"/>
    </row>
    <row r="920" spans="1:7" ht="12.75" x14ac:dyDescent="0.2">
      <c r="A920" s="3"/>
      <c r="B920" s="4"/>
      <c r="C920" s="3"/>
      <c r="D920" s="3"/>
      <c r="E920" s="3"/>
      <c r="G920" s="57"/>
    </row>
    <row r="921" spans="1:7" ht="12.75" x14ac:dyDescent="0.2">
      <c r="A921" s="3"/>
      <c r="B921" s="4"/>
      <c r="C921" s="3"/>
      <c r="D921" s="3"/>
      <c r="E921" s="3"/>
      <c r="G921" s="59"/>
    </row>
    <row r="922" spans="1:7" ht="12.75" x14ac:dyDescent="0.2">
      <c r="A922" s="3"/>
      <c r="B922" s="4"/>
      <c r="C922" s="3"/>
      <c r="D922" s="3"/>
      <c r="E922" s="3"/>
      <c r="G922" s="57"/>
    </row>
    <row r="923" spans="1:7" ht="12.75" x14ac:dyDescent="0.2">
      <c r="A923" s="3"/>
      <c r="B923" s="4"/>
      <c r="C923" s="3"/>
      <c r="D923" s="3"/>
      <c r="E923" s="3"/>
      <c r="G923" s="57"/>
    </row>
    <row r="924" spans="1:7" ht="12.75" x14ac:dyDescent="0.2">
      <c r="A924" s="3"/>
      <c r="B924" s="4"/>
      <c r="C924" s="3"/>
      <c r="D924" s="3"/>
      <c r="E924" s="3"/>
      <c r="G924" s="57"/>
    </row>
    <row r="925" spans="1:7" ht="12.75" x14ac:dyDescent="0.2">
      <c r="A925" s="3"/>
      <c r="B925" s="4"/>
      <c r="C925" s="3"/>
      <c r="D925" s="3"/>
      <c r="E925" s="3"/>
      <c r="G925" s="57"/>
    </row>
    <row r="926" spans="1:7" ht="12.75" x14ac:dyDescent="0.2">
      <c r="A926" s="3"/>
      <c r="B926" s="4"/>
      <c r="C926" s="3"/>
      <c r="D926" s="3"/>
      <c r="E926" s="3"/>
      <c r="G926" s="57"/>
    </row>
    <row r="927" spans="1:7" ht="12.75" x14ac:dyDescent="0.2">
      <c r="A927" s="3"/>
      <c r="B927" s="4"/>
      <c r="C927" s="3"/>
      <c r="D927" s="3"/>
      <c r="E927" s="3"/>
      <c r="G927" s="57"/>
    </row>
    <row r="928" spans="1:7" ht="12.75" x14ac:dyDescent="0.2">
      <c r="A928" s="3"/>
      <c r="B928" s="4"/>
      <c r="C928" s="3"/>
      <c r="D928" s="3"/>
      <c r="E928" s="3"/>
      <c r="G928" s="57"/>
    </row>
    <row r="929" spans="1:7" ht="12.75" x14ac:dyDescent="0.2">
      <c r="A929" s="3"/>
      <c r="B929" s="4"/>
      <c r="C929" s="3"/>
      <c r="D929" s="3"/>
      <c r="E929" s="3"/>
      <c r="G929" s="57"/>
    </row>
    <row r="930" spans="1:7" ht="12.75" x14ac:dyDescent="0.2">
      <c r="A930" s="3"/>
      <c r="B930" s="4"/>
      <c r="C930" s="3"/>
      <c r="D930" s="3"/>
      <c r="E930" s="3"/>
      <c r="G930" s="57"/>
    </row>
    <row r="931" spans="1:7" ht="12.75" x14ac:dyDescent="0.2">
      <c r="A931" s="3"/>
      <c r="B931" s="4"/>
      <c r="C931" s="3"/>
      <c r="D931" s="3"/>
      <c r="E931" s="3"/>
      <c r="G931" s="57"/>
    </row>
    <row r="932" spans="1:7" ht="12.75" x14ac:dyDescent="0.2">
      <c r="A932" s="3"/>
      <c r="B932" s="4"/>
      <c r="C932" s="3"/>
      <c r="D932" s="3"/>
      <c r="E932" s="3"/>
      <c r="G932" s="57"/>
    </row>
    <row r="933" spans="1:7" ht="12.75" x14ac:dyDescent="0.2">
      <c r="A933" s="3"/>
      <c r="B933" s="4"/>
      <c r="C933" s="3"/>
      <c r="D933" s="3"/>
      <c r="E933" s="3"/>
      <c r="G933" s="57"/>
    </row>
    <row r="934" spans="1:7" ht="12.75" x14ac:dyDescent="0.2">
      <c r="A934" s="3"/>
      <c r="B934" s="4"/>
      <c r="C934" s="3"/>
      <c r="D934" s="3"/>
      <c r="E934" s="3"/>
      <c r="G934" s="57"/>
    </row>
    <row r="935" spans="1:7" ht="12.75" x14ac:dyDescent="0.2">
      <c r="A935" s="3"/>
      <c r="B935" s="4"/>
      <c r="C935" s="3"/>
      <c r="D935" s="3"/>
      <c r="E935" s="3"/>
      <c r="G935" s="57"/>
    </row>
    <row r="936" spans="1:7" ht="12.75" x14ac:dyDescent="0.2">
      <c r="A936" s="3"/>
      <c r="B936" s="4"/>
      <c r="C936" s="3"/>
      <c r="D936" s="3"/>
      <c r="E936" s="3"/>
      <c r="G936" s="57"/>
    </row>
    <row r="937" spans="1:7" ht="12.75" x14ac:dyDescent="0.2">
      <c r="A937" s="3"/>
      <c r="B937" s="4"/>
      <c r="C937" s="3"/>
      <c r="D937" s="3"/>
      <c r="E937" s="3"/>
      <c r="G937" s="57"/>
    </row>
    <row r="938" spans="1:7" ht="12.75" x14ac:dyDescent="0.2">
      <c r="A938" s="3"/>
      <c r="B938" s="4"/>
      <c r="C938" s="3"/>
      <c r="D938" s="3"/>
      <c r="E938" s="3"/>
      <c r="G938" s="57"/>
    </row>
    <row r="939" spans="1:7" ht="12.75" x14ac:dyDescent="0.2">
      <c r="A939" s="3"/>
      <c r="B939" s="4"/>
      <c r="C939" s="3"/>
      <c r="D939" s="3"/>
      <c r="E939" s="3"/>
      <c r="G939" s="57"/>
    </row>
    <row r="940" spans="1:7" ht="12.75" x14ac:dyDescent="0.2">
      <c r="A940" s="3"/>
      <c r="B940" s="4"/>
      <c r="C940" s="3"/>
      <c r="D940" s="3"/>
      <c r="E940" s="3"/>
      <c r="G940" s="57"/>
    </row>
    <row r="941" spans="1:7" ht="12.75" x14ac:dyDescent="0.2">
      <c r="A941" s="3"/>
      <c r="B941" s="4"/>
      <c r="C941" s="3"/>
      <c r="D941" s="3"/>
      <c r="E941" s="3"/>
      <c r="G941" s="59"/>
    </row>
    <row r="942" spans="1:7" ht="12.75" x14ac:dyDescent="0.2">
      <c r="A942" s="3"/>
      <c r="B942" s="4"/>
      <c r="C942" s="3"/>
      <c r="D942" s="3"/>
      <c r="E942" s="3"/>
      <c r="G942" s="57"/>
    </row>
    <row r="943" spans="1:7" ht="12.75" x14ac:dyDescent="0.2">
      <c r="A943" s="3"/>
      <c r="B943" s="4"/>
      <c r="C943" s="3"/>
      <c r="D943" s="3"/>
      <c r="E943" s="3"/>
      <c r="G943" s="57"/>
    </row>
    <row r="944" spans="1:7" ht="12.75" x14ac:dyDescent="0.2">
      <c r="A944" s="3"/>
      <c r="B944" s="4"/>
      <c r="C944" s="3"/>
      <c r="D944" s="3"/>
      <c r="E944" s="3"/>
      <c r="G944" s="57"/>
    </row>
    <row r="945" spans="1:7" ht="12.75" x14ac:dyDescent="0.2">
      <c r="A945" s="3"/>
      <c r="B945" s="4"/>
      <c r="C945" s="3"/>
      <c r="D945" s="3"/>
      <c r="E945" s="3"/>
      <c r="G945" s="57"/>
    </row>
    <row r="946" spans="1:7" ht="12.75" x14ac:dyDescent="0.2">
      <c r="A946" s="3"/>
      <c r="B946" s="4"/>
      <c r="C946" s="3"/>
      <c r="D946" s="3"/>
      <c r="E946" s="3"/>
      <c r="G946" s="57"/>
    </row>
    <row r="947" spans="1:7" ht="12.75" x14ac:dyDescent="0.2">
      <c r="A947" s="3"/>
      <c r="B947" s="4"/>
      <c r="C947" s="3"/>
      <c r="D947" s="3"/>
      <c r="E947" s="3"/>
      <c r="G947" s="57"/>
    </row>
    <row r="948" spans="1:7" ht="12.75" x14ac:dyDescent="0.2">
      <c r="A948" s="3"/>
      <c r="B948" s="4"/>
      <c r="C948" s="3"/>
      <c r="D948" s="3"/>
      <c r="E948" s="3"/>
      <c r="G948" s="57"/>
    </row>
    <row r="949" spans="1:7" ht="12.75" x14ac:dyDescent="0.2">
      <c r="A949" s="3"/>
      <c r="B949" s="4"/>
      <c r="C949" s="3"/>
      <c r="D949" s="3"/>
      <c r="E949" s="3"/>
      <c r="G949" s="57"/>
    </row>
    <row r="950" spans="1:7" ht="12.75" x14ac:dyDescent="0.2">
      <c r="A950" s="3"/>
      <c r="B950" s="4"/>
      <c r="C950" s="3"/>
      <c r="D950" s="3"/>
      <c r="E950" s="3"/>
      <c r="G950" s="57"/>
    </row>
    <row r="951" spans="1:7" ht="12.75" x14ac:dyDescent="0.2">
      <c r="A951" s="3"/>
      <c r="B951" s="4"/>
      <c r="C951" s="3"/>
      <c r="D951" s="3"/>
      <c r="E951" s="3"/>
      <c r="G951" s="57"/>
    </row>
    <row r="952" spans="1:7" ht="12.75" x14ac:dyDescent="0.2">
      <c r="A952" s="3"/>
      <c r="B952" s="4"/>
      <c r="C952" s="3"/>
      <c r="D952" s="3"/>
      <c r="E952" s="3"/>
      <c r="G952" s="57"/>
    </row>
    <row r="953" spans="1:7" ht="12.75" x14ac:dyDescent="0.2">
      <c r="A953" s="3"/>
      <c r="B953" s="4"/>
      <c r="C953" s="3"/>
      <c r="D953" s="3"/>
      <c r="E953" s="3"/>
      <c r="G953" s="57"/>
    </row>
    <row r="954" spans="1:7" ht="12.75" x14ac:dyDescent="0.2">
      <c r="A954" s="3"/>
      <c r="B954" s="4"/>
      <c r="C954" s="3"/>
      <c r="D954" s="3"/>
      <c r="E954" s="3"/>
      <c r="G954" s="57"/>
    </row>
    <row r="955" spans="1:7" ht="12.75" x14ac:dyDescent="0.2">
      <c r="A955" s="3"/>
      <c r="B955" s="4"/>
      <c r="C955" s="3"/>
      <c r="D955" s="3"/>
      <c r="E955" s="3"/>
      <c r="G955" s="57"/>
    </row>
    <row r="956" spans="1:7" ht="12.75" x14ac:dyDescent="0.2">
      <c r="A956" s="3"/>
      <c r="B956" s="4"/>
      <c r="C956" s="3"/>
      <c r="D956" s="3"/>
      <c r="E956" s="3"/>
      <c r="G956" s="57"/>
    </row>
    <row r="957" spans="1:7" ht="12.75" x14ac:dyDescent="0.2">
      <c r="A957" s="3"/>
      <c r="B957" s="4"/>
      <c r="C957" s="3"/>
      <c r="D957" s="3"/>
      <c r="E957" s="3"/>
      <c r="G957" s="57"/>
    </row>
    <row r="958" spans="1:7" ht="12.75" x14ac:dyDescent="0.2">
      <c r="A958" s="3"/>
      <c r="B958" s="4"/>
      <c r="C958" s="3"/>
      <c r="D958" s="3"/>
      <c r="E958" s="3"/>
      <c r="G958" s="57"/>
    </row>
    <row r="959" spans="1:7" ht="12.75" x14ac:dyDescent="0.2">
      <c r="A959" s="3"/>
      <c r="B959" s="4"/>
      <c r="C959" s="3"/>
      <c r="D959" s="3"/>
      <c r="E959" s="3"/>
      <c r="G959" s="57"/>
    </row>
    <row r="960" spans="1:7" ht="12.75" x14ac:dyDescent="0.2">
      <c r="A960" s="3"/>
      <c r="B960" s="4"/>
      <c r="C960" s="3"/>
      <c r="D960" s="3"/>
      <c r="E960" s="3"/>
      <c r="G960" s="57"/>
    </row>
    <row r="961" spans="1:7" ht="12.75" x14ac:dyDescent="0.2">
      <c r="A961" s="3"/>
      <c r="B961" s="4"/>
      <c r="C961" s="3"/>
      <c r="D961" s="3"/>
      <c r="E961" s="3"/>
      <c r="G961" s="59"/>
    </row>
    <row r="962" spans="1:7" ht="12.75" x14ac:dyDescent="0.2">
      <c r="A962" s="3"/>
      <c r="B962" s="4"/>
      <c r="C962" s="3"/>
      <c r="D962" s="3"/>
      <c r="E962" s="3"/>
      <c r="G962" s="57"/>
    </row>
    <row r="963" spans="1:7" ht="12.75" x14ac:dyDescent="0.2">
      <c r="A963" s="3"/>
      <c r="B963" s="4"/>
      <c r="C963" s="3"/>
      <c r="D963" s="3"/>
      <c r="E963" s="3"/>
      <c r="G963" s="57"/>
    </row>
    <row r="964" spans="1:7" ht="12.75" x14ac:dyDescent="0.2">
      <c r="A964" s="3"/>
      <c r="B964" s="4"/>
      <c r="C964" s="3"/>
      <c r="D964" s="3"/>
      <c r="E964" s="3"/>
      <c r="G964" s="57"/>
    </row>
    <row r="965" spans="1:7" ht="12.75" x14ac:dyDescent="0.2">
      <c r="A965" s="3"/>
      <c r="B965" s="4"/>
      <c r="C965" s="3"/>
      <c r="D965" s="3"/>
      <c r="E965" s="3"/>
      <c r="G965" s="57"/>
    </row>
    <row r="966" spans="1:7" ht="12.75" x14ac:dyDescent="0.2">
      <c r="A966" s="3"/>
      <c r="B966" s="4"/>
      <c r="C966" s="3"/>
      <c r="D966" s="3"/>
      <c r="E966" s="3"/>
      <c r="G966" s="57"/>
    </row>
    <row r="967" spans="1:7" ht="12.75" x14ac:dyDescent="0.2">
      <c r="A967" s="3"/>
      <c r="B967" s="4"/>
      <c r="C967" s="3"/>
      <c r="D967" s="3"/>
      <c r="E967" s="3"/>
      <c r="G967" s="57"/>
    </row>
    <row r="968" spans="1:7" ht="12.75" x14ac:dyDescent="0.2">
      <c r="A968" s="3"/>
      <c r="B968" s="4"/>
      <c r="C968" s="3"/>
      <c r="D968" s="3"/>
      <c r="E968" s="3"/>
      <c r="G968" s="57"/>
    </row>
    <row r="969" spans="1:7" ht="12.75" x14ac:dyDescent="0.2">
      <c r="A969" s="3"/>
      <c r="B969" s="4"/>
      <c r="C969" s="3"/>
      <c r="D969" s="3"/>
      <c r="E969" s="3"/>
      <c r="G969" s="57"/>
    </row>
    <row r="970" spans="1:7" ht="12.75" x14ac:dyDescent="0.2">
      <c r="A970" s="3"/>
      <c r="B970" s="4"/>
      <c r="C970" s="3"/>
      <c r="D970" s="3"/>
      <c r="E970" s="3"/>
      <c r="G970" s="57"/>
    </row>
    <row r="971" spans="1:7" ht="12.75" x14ac:dyDescent="0.2">
      <c r="A971" s="3"/>
      <c r="B971" s="4"/>
      <c r="C971" s="3"/>
      <c r="D971" s="3"/>
      <c r="E971" s="3"/>
      <c r="G971" s="57"/>
    </row>
    <row r="972" spans="1:7" ht="12.75" x14ac:dyDescent="0.2">
      <c r="A972" s="3"/>
      <c r="B972" s="4"/>
      <c r="C972" s="3"/>
      <c r="D972" s="3"/>
      <c r="E972" s="3"/>
      <c r="G972" s="57"/>
    </row>
    <row r="973" spans="1:7" ht="12.75" x14ac:dyDescent="0.2">
      <c r="A973" s="3"/>
      <c r="B973" s="4"/>
      <c r="C973" s="3"/>
      <c r="D973" s="3"/>
      <c r="E973" s="3"/>
      <c r="G973" s="57"/>
    </row>
    <row r="974" spans="1:7" ht="12.75" x14ac:dyDescent="0.2">
      <c r="A974" s="3"/>
      <c r="B974" s="4"/>
      <c r="C974" s="3"/>
      <c r="D974" s="3"/>
      <c r="E974" s="3"/>
      <c r="G974" s="57"/>
    </row>
    <row r="975" spans="1:7" ht="12.75" x14ac:dyDescent="0.2">
      <c r="A975" s="3"/>
      <c r="B975" s="4"/>
      <c r="C975" s="3"/>
      <c r="D975" s="3"/>
      <c r="E975" s="3"/>
      <c r="G975" s="57"/>
    </row>
    <row r="976" spans="1:7" ht="12.75" x14ac:dyDescent="0.2">
      <c r="A976" s="3"/>
      <c r="B976" s="4"/>
      <c r="C976" s="3"/>
      <c r="D976" s="3"/>
      <c r="E976" s="3"/>
      <c r="G976" s="57"/>
    </row>
    <row r="977" spans="1:7" ht="12.75" x14ac:dyDescent="0.2">
      <c r="A977" s="3"/>
      <c r="B977" s="4"/>
      <c r="C977" s="3"/>
      <c r="D977" s="3"/>
      <c r="E977" s="3"/>
      <c r="G977" s="57"/>
    </row>
    <row r="978" spans="1:7" ht="12.75" x14ac:dyDescent="0.2">
      <c r="A978" s="3"/>
      <c r="B978" s="4"/>
      <c r="C978" s="3"/>
      <c r="D978" s="3"/>
      <c r="E978" s="3"/>
      <c r="G978" s="57"/>
    </row>
    <row r="979" spans="1:7" ht="12.75" x14ac:dyDescent="0.2">
      <c r="A979" s="3"/>
      <c r="B979" s="4"/>
      <c r="C979" s="3"/>
      <c r="D979" s="3"/>
      <c r="E979" s="3"/>
      <c r="G979" s="57"/>
    </row>
    <row r="980" spans="1:7" ht="12.75" x14ac:dyDescent="0.2">
      <c r="A980" s="3"/>
      <c r="B980" s="4"/>
      <c r="C980" s="3"/>
      <c r="D980" s="3"/>
      <c r="E980" s="3"/>
      <c r="G980" s="57"/>
    </row>
    <row r="981" spans="1:7" ht="12.75" x14ac:dyDescent="0.2">
      <c r="A981" s="3"/>
      <c r="B981" s="4"/>
      <c r="C981" s="3"/>
      <c r="D981" s="3"/>
      <c r="E981" s="3"/>
      <c r="G981" s="59"/>
    </row>
    <row r="982" spans="1:7" ht="12.75" x14ac:dyDescent="0.2">
      <c r="A982" s="3"/>
      <c r="B982" s="4"/>
      <c r="C982" s="3"/>
      <c r="D982" s="3"/>
      <c r="E982" s="3"/>
      <c r="G982" s="57"/>
    </row>
    <row r="983" spans="1:7" ht="12.75" x14ac:dyDescent="0.2">
      <c r="A983" s="3"/>
      <c r="B983" s="4"/>
      <c r="C983" s="3"/>
      <c r="D983" s="3"/>
      <c r="E983" s="3"/>
      <c r="G983" s="57"/>
    </row>
    <row r="984" spans="1:7" ht="12.75" x14ac:dyDescent="0.2">
      <c r="A984" s="3"/>
      <c r="B984" s="4"/>
      <c r="C984" s="3"/>
      <c r="D984" s="3"/>
      <c r="E984" s="3"/>
      <c r="G984" s="57"/>
    </row>
    <row r="985" spans="1:7" ht="12.75" x14ac:dyDescent="0.2">
      <c r="A985" s="3"/>
      <c r="B985" s="4"/>
      <c r="C985" s="3"/>
      <c r="D985" s="3"/>
      <c r="E985" s="3"/>
      <c r="G985" s="57"/>
    </row>
    <row r="986" spans="1:7" ht="12.75" x14ac:dyDescent="0.2">
      <c r="A986" s="3"/>
      <c r="B986" s="4"/>
      <c r="C986" s="3"/>
      <c r="D986" s="3"/>
      <c r="E986" s="3"/>
      <c r="G986" s="57"/>
    </row>
    <row r="987" spans="1:7" ht="12.75" x14ac:dyDescent="0.2">
      <c r="A987" s="3"/>
      <c r="B987" s="4"/>
      <c r="C987" s="3"/>
      <c r="D987" s="3"/>
      <c r="E987" s="3"/>
      <c r="G987" s="57"/>
    </row>
    <row r="988" spans="1:7" ht="12.75" x14ac:dyDescent="0.2">
      <c r="A988" s="3"/>
      <c r="B988" s="4"/>
      <c r="C988" s="3"/>
      <c r="D988" s="3"/>
      <c r="E988" s="3"/>
      <c r="G988" s="57"/>
    </row>
    <row r="989" spans="1:7" ht="12.75" x14ac:dyDescent="0.2">
      <c r="A989" s="3"/>
      <c r="B989" s="4"/>
      <c r="C989" s="3"/>
      <c r="D989" s="3"/>
      <c r="E989" s="3"/>
      <c r="G989" s="57"/>
    </row>
    <row r="990" spans="1:7" ht="12.75" x14ac:dyDescent="0.2">
      <c r="A990" s="3"/>
      <c r="B990" s="4"/>
      <c r="C990" s="3"/>
      <c r="D990" s="3"/>
      <c r="E990" s="3"/>
      <c r="G990" s="57"/>
    </row>
    <row r="991" spans="1:7" ht="12.75" x14ac:dyDescent="0.2">
      <c r="A991" s="3"/>
      <c r="B991" s="4"/>
      <c r="C991" s="3"/>
      <c r="D991" s="3"/>
      <c r="E991" s="3"/>
      <c r="G991" s="57"/>
    </row>
    <row r="992" spans="1:7" ht="12.75" x14ac:dyDescent="0.2">
      <c r="A992" s="3"/>
      <c r="B992" s="4"/>
      <c r="C992" s="3"/>
      <c r="D992" s="3"/>
      <c r="E992" s="3"/>
      <c r="G992" s="57"/>
    </row>
    <row r="993" spans="1:7" ht="12.75" x14ac:dyDescent="0.2">
      <c r="A993" s="3"/>
      <c r="B993" s="4"/>
      <c r="C993" s="3"/>
      <c r="D993" s="3"/>
      <c r="E993" s="3"/>
      <c r="G993" s="57"/>
    </row>
    <row r="994" spans="1:7" ht="12.75" x14ac:dyDescent="0.2">
      <c r="A994" s="3"/>
      <c r="B994" s="4"/>
      <c r="C994" s="3"/>
      <c r="D994" s="3"/>
      <c r="E994" s="3"/>
      <c r="G994" s="57"/>
    </row>
    <row r="995" spans="1:7" ht="12.75" x14ac:dyDescent="0.2">
      <c r="A995" s="3"/>
      <c r="B995" s="4"/>
      <c r="C995" s="3"/>
      <c r="D995" s="3"/>
      <c r="E995" s="3"/>
      <c r="G995" s="57"/>
    </row>
    <row r="996" spans="1:7" ht="12.75" x14ac:dyDescent="0.2">
      <c r="A996" s="3"/>
      <c r="B996" s="4"/>
      <c r="C996" s="3"/>
      <c r="D996" s="3"/>
      <c r="E996" s="3"/>
      <c r="G996" s="57"/>
    </row>
    <row r="997" spans="1:7" ht="12.75" x14ac:dyDescent="0.2">
      <c r="A997" s="3"/>
      <c r="B997" s="4"/>
      <c r="C997" s="3"/>
      <c r="D997" s="3"/>
      <c r="E997" s="3"/>
      <c r="G997" s="57"/>
    </row>
    <row r="998" spans="1:7" ht="12.75" x14ac:dyDescent="0.2">
      <c r="A998" s="3"/>
      <c r="B998" s="4"/>
      <c r="C998" s="3"/>
      <c r="D998" s="3"/>
      <c r="E998" s="3"/>
      <c r="G998" s="57"/>
    </row>
    <row r="999" spans="1:7" ht="12.75" x14ac:dyDescent="0.2">
      <c r="A999" s="3"/>
      <c r="B999" s="4"/>
      <c r="C999" s="3"/>
      <c r="D999" s="3"/>
      <c r="E999" s="3"/>
      <c r="G999" s="57"/>
    </row>
    <row r="1000" spans="1:7" ht="12.75" x14ac:dyDescent="0.2">
      <c r="A1000" s="3"/>
      <c r="B1000" s="4"/>
      <c r="C1000" s="3"/>
      <c r="D1000" s="3"/>
      <c r="E1000" s="3"/>
      <c r="G1000" s="57"/>
    </row>
    <row r="1001" spans="1:7" ht="12.75" x14ac:dyDescent="0.2">
      <c r="A1001" s="3"/>
      <c r="B1001" s="4"/>
      <c r="C1001" s="3"/>
      <c r="D1001" s="3"/>
      <c r="E1001" s="3"/>
      <c r="G1001" s="59"/>
    </row>
    <row r="1002" spans="1:7" ht="12.75" x14ac:dyDescent="0.2">
      <c r="A1002" s="3"/>
      <c r="B1002" s="4"/>
      <c r="C1002" s="3"/>
      <c r="D1002" s="3"/>
      <c r="E1002" s="3"/>
      <c r="G1002" s="57"/>
    </row>
    <row r="1003" spans="1:7" ht="12.75" x14ac:dyDescent="0.2">
      <c r="A1003" s="3"/>
      <c r="B1003" s="4"/>
      <c r="C1003" s="3"/>
      <c r="D1003" s="3"/>
      <c r="E1003" s="3"/>
      <c r="G1003" s="57"/>
    </row>
    <row r="1004" spans="1:7" ht="12.75" x14ac:dyDescent="0.2">
      <c r="A1004" s="3"/>
      <c r="B1004" s="4"/>
      <c r="C1004" s="3"/>
      <c r="D1004" s="3"/>
      <c r="E1004" s="3"/>
      <c r="G1004" s="57"/>
    </row>
    <row r="1005" spans="1:7" ht="12.75" x14ac:dyDescent="0.2">
      <c r="A1005" s="3"/>
      <c r="B1005" s="4"/>
      <c r="C1005" s="3"/>
      <c r="D1005" s="3"/>
      <c r="E1005" s="3"/>
      <c r="G1005" s="57"/>
    </row>
    <row r="1006" spans="1:7" ht="12.75" x14ac:dyDescent="0.2">
      <c r="A1006" s="3"/>
      <c r="B1006" s="4"/>
      <c r="C1006" s="3"/>
      <c r="D1006" s="3"/>
      <c r="E1006" s="3"/>
      <c r="G1006" s="57"/>
    </row>
    <row r="1007" spans="1:7" ht="12.75" x14ac:dyDescent="0.2">
      <c r="A1007" s="3"/>
      <c r="B1007" s="4"/>
      <c r="C1007" s="3"/>
      <c r="D1007" s="3"/>
      <c r="E1007" s="3"/>
      <c r="G1007" s="57"/>
    </row>
    <row r="1008" spans="1:7" ht="12.75" x14ac:dyDescent="0.2">
      <c r="A1008" s="3"/>
      <c r="B1008" s="4"/>
      <c r="C1008" s="3"/>
      <c r="D1008" s="3"/>
      <c r="E1008" s="3"/>
      <c r="G1008" s="57"/>
    </row>
    <row r="1009" spans="1:7" ht="12.75" x14ac:dyDescent="0.2">
      <c r="A1009" s="3"/>
      <c r="B1009" s="4"/>
      <c r="C1009" s="3"/>
      <c r="D1009" s="3"/>
      <c r="E1009" s="3"/>
      <c r="G1009" s="57"/>
    </row>
    <row r="1010" spans="1:7" ht="12.75" x14ac:dyDescent="0.2">
      <c r="A1010" s="3"/>
      <c r="B1010" s="4"/>
      <c r="C1010" s="3"/>
      <c r="D1010" s="3"/>
      <c r="E1010" s="3"/>
      <c r="G1010" s="57"/>
    </row>
    <row r="1011" spans="1:7" ht="12.75" x14ac:dyDescent="0.2">
      <c r="A1011" s="3"/>
      <c r="B1011" s="4"/>
      <c r="C1011" s="3"/>
      <c r="D1011" s="3"/>
      <c r="E1011" s="3"/>
      <c r="G1011" s="57"/>
    </row>
    <row r="1012" spans="1:7" ht="12.75" x14ac:dyDescent="0.2">
      <c r="A1012" s="3"/>
      <c r="B1012" s="4"/>
      <c r="C1012" s="3"/>
      <c r="D1012" s="3"/>
      <c r="E1012" s="3"/>
      <c r="G1012" s="57"/>
    </row>
    <row r="1013" spans="1:7" ht="12.75" x14ac:dyDescent="0.2">
      <c r="A1013" s="3"/>
      <c r="B1013" s="4"/>
      <c r="C1013" s="3"/>
      <c r="D1013" s="3"/>
      <c r="E1013" s="3"/>
      <c r="G1013" s="57"/>
    </row>
    <row r="1014" spans="1:7" ht="12.75" x14ac:dyDescent="0.2">
      <c r="A1014" s="3"/>
      <c r="B1014" s="4"/>
      <c r="C1014" s="3"/>
      <c r="D1014" s="3"/>
      <c r="E1014" s="3"/>
      <c r="G1014" s="57"/>
    </row>
    <row r="1015" spans="1:7" ht="12.75" x14ac:dyDescent="0.2">
      <c r="A1015" s="3"/>
      <c r="B1015" s="4"/>
      <c r="C1015" s="3"/>
      <c r="D1015" s="3"/>
      <c r="E1015" s="3"/>
      <c r="G1015" s="57"/>
    </row>
    <row r="1016" spans="1:7" ht="12.75" x14ac:dyDescent="0.2">
      <c r="A1016" s="3"/>
      <c r="B1016" s="4"/>
      <c r="C1016" s="3"/>
      <c r="D1016" s="3"/>
      <c r="E1016" s="3"/>
      <c r="G1016" s="57"/>
    </row>
    <row r="1017" spans="1:7" ht="12.75" x14ac:dyDescent="0.2">
      <c r="A1017" s="3"/>
      <c r="B1017" s="4"/>
      <c r="C1017" s="3"/>
      <c r="D1017" s="3"/>
      <c r="E1017" s="3"/>
      <c r="G1017" s="57"/>
    </row>
    <row r="1018" spans="1:7" ht="12.75" x14ac:dyDescent="0.2">
      <c r="A1018" s="3"/>
      <c r="B1018" s="4"/>
      <c r="C1018" s="3"/>
      <c r="D1018" s="3"/>
      <c r="E1018" s="3"/>
      <c r="G1018" s="57"/>
    </row>
    <row r="1019" spans="1:7" ht="12.75" x14ac:dyDescent="0.2">
      <c r="A1019" s="3"/>
      <c r="B1019" s="4"/>
      <c r="C1019" s="3"/>
      <c r="D1019" s="3"/>
      <c r="E1019" s="3"/>
      <c r="G1019" s="57"/>
    </row>
    <row r="1020" spans="1:7" ht="12.75" x14ac:dyDescent="0.2">
      <c r="A1020" s="3"/>
      <c r="B1020" s="4"/>
      <c r="C1020" s="3"/>
      <c r="D1020" s="3"/>
      <c r="E1020" s="3"/>
      <c r="G1020" s="57"/>
    </row>
    <row r="1021" spans="1:7" ht="12.75" x14ac:dyDescent="0.2">
      <c r="A1021" s="3"/>
      <c r="B1021" s="4"/>
      <c r="C1021" s="3"/>
      <c r="D1021" s="3"/>
      <c r="E1021" s="3"/>
      <c r="G1021" s="59"/>
    </row>
    <row r="1022" spans="1:7" ht="12.75" x14ac:dyDescent="0.2">
      <c r="A1022" s="3"/>
      <c r="B1022" s="4"/>
      <c r="C1022" s="3"/>
      <c r="D1022" s="3"/>
      <c r="E1022" s="3"/>
      <c r="G1022" s="57"/>
    </row>
    <row r="1023" spans="1:7" ht="12.75" x14ac:dyDescent="0.2">
      <c r="A1023" s="3"/>
      <c r="B1023" s="4"/>
      <c r="C1023" s="3"/>
      <c r="D1023" s="3"/>
      <c r="E1023" s="3"/>
      <c r="G1023" s="57"/>
    </row>
    <row r="1024" spans="1:7" ht="12.75" x14ac:dyDescent="0.2">
      <c r="A1024" s="3"/>
      <c r="B1024" s="4"/>
      <c r="C1024" s="3"/>
      <c r="D1024" s="3"/>
      <c r="E1024" s="3"/>
      <c r="G1024" s="57"/>
    </row>
    <row r="1025" spans="1:7" ht="12.75" x14ac:dyDescent="0.2">
      <c r="A1025" s="3"/>
      <c r="B1025" s="4"/>
      <c r="C1025" s="3"/>
      <c r="D1025" s="3"/>
      <c r="E1025" s="3"/>
      <c r="G1025" s="57"/>
    </row>
    <row r="1026" spans="1:7" ht="12.75" x14ac:dyDescent="0.2">
      <c r="A1026" s="3"/>
      <c r="B1026" s="4"/>
      <c r="C1026" s="3"/>
      <c r="D1026" s="3"/>
      <c r="E1026" s="3"/>
      <c r="G1026" s="57"/>
    </row>
    <row r="1027" spans="1:7" ht="12.75" x14ac:dyDescent="0.2">
      <c r="A1027" s="3"/>
      <c r="B1027" s="4"/>
      <c r="C1027" s="3"/>
      <c r="D1027" s="3"/>
      <c r="E1027" s="3"/>
      <c r="G1027" s="57"/>
    </row>
    <row r="1028" spans="1:7" ht="12.75" x14ac:dyDescent="0.2">
      <c r="A1028" s="3"/>
      <c r="B1028" s="4"/>
      <c r="C1028" s="3"/>
      <c r="D1028" s="3"/>
      <c r="E1028" s="3"/>
      <c r="G1028" s="57"/>
    </row>
    <row r="1029" spans="1:7" ht="12.75" x14ac:dyDescent="0.2">
      <c r="A1029" s="3"/>
      <c r="B1029" s="4"/>
      <c r="C1029" s="3"/>
      <c r="D1029" s="3"/>
      <c r="E1029" s="3"/>
      <c r="G1029" s="57"/>
    </row>
    <row r="1030" spans="1:7" ht="12.75" x14ac:dyDescent="0.2">
      <c r="A1030" s="3"/>
      <c r="B1030" s="4"/>
      <c r="C1030" s="3"/>
      <c r="D1030" s="3"/>
      <c r="E1030" s="3"/>
      <c r="G1030" s="57"/>
    </row>
    <row r="1031" spans="1:7" ht="12.75" x14ac:dyDescent="0.2">
      <c r="A1031" s="3"/>
      <c r="B1031" s="4"/>
      <c r="C1031" s="3"/>
      <c r="D1031" s="3"/>
      <c r="E1031" s="3"/>
      <c r="G1031" s="57"/>
    </row>
    <row r="1032" spans="1:7" ht="12.75" x14ac:dyDescent="0.2">
      <c r="A1032" s="3"/>
      <c r="B1032" s="4"/>
      <c r="C1032" s="3"/>
      <c r="D1032" s="3"/>
      <c r="E1032" s="3"/>
      <c r="G1032" s="57"/>
    </row>
    <row r="1033" spans="1:7" ht="12.75" x14ac:dyDescent="0.2">
      <c r="A1033" s="3"/>
      <c r="B1033" s="4"/>
      <c r="C1033" s="3"/>
      <c r="D1033" s="3"/>
      <c r="E1033" s="3"/>
      <c r="G1033" s="57"/>
    </row>
    <row r="1034" spans="1:7" ht="12.75" x14ac:dyDescent="0.2">
      <c r="A1034" s="3"/>
      <c r="B1034" s="4"/>
      <c r="C1034" s="3"/>
      <c r="D1034" s="3"/>
      <c r="E1034" s="3"/>
      <c r="G1034" s="57"/>
    </row>
    <row r="1035" spans="1:7" ht="12.75" x14ac:dyDescent="0.2">
      <c r="A1035" s="3"/>
      <c r="B1035" s="4"/>
      <c r="C1035" s="3"/>
      <c r="D1035" s="3"/>
      <c r="E1035" s="3"/>
      <c r="G1035" s="57"/>
    </row>
    <row r="1036" spans="1:7" ht="12.75" x14ac:dyDescent="0.2">
      <c r="A1036" s="3"/>
      <c r="B1036" s="4"/>
      <c r="C1036" s="3"/>
      <c r="D1036" s="3"/>
      <c r="E1036" s="3"/>
      <c r="G1036" s="57"/>
    </row>
    <row r="1037" spans="1:7" ht="12.75" x14ac:dyDescent="0.2">
      <c r="A1037" s="3"/>
      <c r="B1037" s="4"/>
      <c r="C1037" s="3"/>
      <c r="D1037" s="3"/>
      <c r="E1037" s="3"/>
      <c r="G1037" s="57"/>
    </row>
    <row r="1038" spans="1:7" ht="12.75" x14ac:dyDescent="0.2">
      <c r="A1038" s="3"/>
      <c r="B1038" s="4"/>
      <c r="C1038" s="3"/>
      <c r="D1038" s="3"/>
      <c r="E1038" s="3"/>
      <c r="G1038" s="57"/>
    </row>
    <row r="1039" spans="1:7" ht="12.75" x14ac:dyDescent="0.2">
      <c r="A1039" s="3"/>
      <c r="B1039" s="4"/>
      <c r="C1039" s="3"/>
      <c r="D1039" s="3"/>
      <c r="E1039" s="3"/>
      <c r="G1039" s="57"/>
    </row>
    <row r="1040" spans="1:7" ht="12.75" x14ac:dyDescent="0.2">
      <c r="A1040" s="3"/>
      <c r="B1040" s="4"/>
      <c r="C1040" s="3"/>
      <c r="D1040" s="3"/>
      <c r="E1040" s="3"/>
      <c r="G1040" s="57"/>
    </row>
    <row r="1041" spans="1:7" ht="12.75" x14ac:dyDescent="0.2">
      <c r="A1041" s="3"/>
      <c r="B1041" s="4"/>
      <c r="C1041" s="3"/>
      <c r="D1041" s="3"/>
      <c r="E1041" s="3"/>
      <c r="G1041" s="59"/>
    </row>
    <row r="1042" spans="1:7" ht="12.75" x14ac:dyDescent="0.2">
      <c r="A1042" s="3"/>
      <c r="B1042" s="4"/>
      <c r="C1042" s="3"/>
      <c r="D1042" s="3"/>
      <c r="E1042" s="3"/>
      <c r="G1042" s="57"/>
    </row>
    <row r="1043" spans="1:7" ht="12.75" x14ac:dyDescent="0.2">
      <c r="A1043" s="3"/>
      <c r="B1043" s="4"/>
      <c r="C1043" s="3"/>
      <c r="D1043" s="3"/>
      <c r="E1043" s="3"/>
      <c r="G1043" s="57"/>
    </row>
    <row r="1044" spans="1:7" ht="12.75" x14ac:dyDescent="0.2">
      <c r="A1044" s="3"/>
      <c r="B1044" s="4"/>
      <c r="C1044" s="3"/>
      <c r="D1044" s="3"/>
      <c r="E1044" s="3"/>
      <c r="G1044" s="57"/>
    </row>
    <row r="1045" spans="1:7" ht="12.75" x14ac:dyDescent="0.2">
      <c r="A1045" s="3"/>
      <c r="B1045" s="4"/>
      <c r="C1045" s="3"/>
      <c r="D1045" s="3"/>
      <c r="E1045" s="3"/>
      <c r="G1045" s="57"/>
    </row>
    <row r="1046" spans="1:7" ht="12.75" x14ac:dyDescent="0.2">
      <c r="A1046" s="3"/>
      <c r="B1046" s="4"/>
      <c r="C1046" s="3"/>
      <c r="D1046" s="3"/>
      <c r="E1046" s="3"/>
      <c r="G1046" s="57"/>
    </row>
    <row r="1047" spans="1:7" ht="12.75" x14ac:dyDescent="0.2">
      <c r="A1047" s="3"/>
      <c r="B1047" s="4"/>
      <c r="C1047" s="3"/>
      <c r="D1047" s="3"/>
      <c r="E1047" s="3"/>
      <c r="G1047" s="57"/>
    </row>
    <row r="1048" spans="1:7" ht="12.75" x14ac:dyDescent="0.2">
      <c r="A1048" s="3"/>
      <c r="B1048" s="4"/>
      <c r="C1048" s="3"/>
      <c r="D1048" s="3"/>
      <c r="E1048" s="3"/>
      <c r="G1048" s="57"/>
    </row>
    <row r="1049" spans="1:7" ht="12.75" x14ac:dyDescent="0.2">
      <c r="A1049" s="3"/>
      <c r="B1049" s="4"/>
      <c r="C1049" s="3"/>
      <c r="D1049" s="3"/>
      <c r="E1049" s="3"/>
      <c r="G1049" s="57"/>
    </row>
    <row r="1050" spans="1:7" ht="12.75" x14ac:dyDescent="0.2">
      <c r="A1050" s="3"/>
      <c r="B1050" s="4"/>
      <c r="C1050" s="3"/>
      <c r="D1050" s="3"/>
      <c r="E1050" s="3"/>
      <c r="G1050" s="57"/>
    </row>
    <row r="1051" spans="1:7" ht="12.75" x14ac:dyDescent="0.2">
      <c r="A1051" s="3"/>
      <c r="B1051" s="4"/>
      <c r="C1051" s="3"/>
      <c r="D1051" s="3"/>
      <c r="E1051" s="3"/>
      <c r="G1051" s="57"/>
    </row>
    <row r="1052" spans="1:7" ht="12.75" x14ac:dyDescent="0.2">
      <c r="A1052" s="3"/>
      <c r="B1052" s="4"/>
      <c r="C1052" s="3"/>
      <c r="D1052" s="3"/>
      <c r="E1052" s="3"/>
      <c r="G1052" s="57"/>
    </row>
    <row r="1053" spans="1:7" ht="12.75" x14ac:dyDescent="0.2">
      <c r="A1053" s="3"/>
      <c r="B1053" s="4"/>
      <c r="C1053" s="3"/>
      <c r="D1053" s="3"/>
      <c r="E1053" s="3"/>
      <c r="G1053" s="57"/>
    </row>
    <row r="1054" spans="1:7" ht="12.75" x14ac:dyDescent="0.2">
      <c r="A1054" s="3"/>
      <c r="B1054" s="4"/>
      <c r="C1054" s="3"/>
      <c r="D1054" s="3"/>
      <c r="E1054" s="3"/>
      <c r="G1054" s="57"/>
    </row>
    <row r="1055" spans="1:7" ht="12.75" x14ac:dyDescent="0.2">
      <c r="A1055" s="3"/>
      <c r="B1055" s="4"/>
      <c r="C1055" s="3"/>
      <c r="D1055" s="3"/>
      <c r="E1055" s="3"/>
      <c r="G1055" s="57"/>
    </row>
    <row r="1056" spans="1:7" ht="12.75" x14ac:dyDescent="0.2">
      <c r="A1056" s="3"/>
      <c r="B1056" s="4"/>
      <c r="C1056" s="3"/>
      <c r="D1056" s="3"/>
      <c r="E1056" s="3"/>
      <c r="G1056" s="57"/>
    </row>
    <row r="1057" spans="1:7" ht="12.75" x14ac:dyDescent="0.2">
      <c r="A1057" s="3"/>
      <c r="B1057" s="4"/>
      <c r="C1057" s="3"/>
      <c r="D1057" s="3"/>
      <c r="E1057" s="3"/>
      <c r="G1057" s="57"/>
    </row>
    <row r="1058" spans="1:7" ht="12.75" x14ac:dyDescent="0.2">
      <c r="A1058" s="3"/>
      <c r="B1058" s="4"/>
      <c r="C1058" s="3"/>
      <c r="D1058" s="3"/>
      <c r="E1058" s="3"/>
      <c r="G1058" s="57"/>
    </row>
    <row r="1059" spans="1:7" ht="12.75" x14ac:dyDescent="0.2">
      <c r="A1059" s="3"/>
      <c r="B1059" s="4"/>
      <c r="C1059" s="3"/>
      <c r="D1059" s="3"/>
      <c r="E1059" s="3"/>
      <c r="G1059" s="57"/>
    </row>
    <row r="1060" spans="1:7" ht="12.75" x14ac:dyDescent="0.2">
      <c r="A1060" s="3"/>
      <c r="B1060" s="4"/>
      <c r="C1060" s="3"/>
      <c r="D1060" s="3"/>
      <c r="E1060" s="3"/>
      <c r="G1060" s="57"/>
    </row>
    <row r="1061" spans="1:7" ht="12.75" x14ac:dyDescent="0.2">
      <c r="A1061" s="3"/>
      <c r="B1061" s="4"/>
      <c r="C1061" s="3"/>
      <c r="D1061" s="3"/>
      <c r="E1061" s="3"/>
      <c r="G1061" s="59"/>
    </row>
    <row r="1062" spans="1:7" ht="12.75" x14ac:dyDescent="0.2">
      <c r="A1062" s="3"/>
      <c r="B1062" s="4"/>
      <c r="C1062" s="3"/>
      <c r="D1062" s="3"/>
      <c r="E1062" s="3"/>
      <c r="G1062" s="57"/>
    </row>
    <row r="1063" spans="1:7" ht="12.75" x14ac:dyDescent="0.2">
      <c r="A1063" s="3"/>
      <c r="B1063" s="4"/>
      <c r="C1063" s="3"/>
      <c r="D1063" s="3"/>
      <c r="E1063" s="3"/>
      <c r="G1063" s="57"/>
    </row>
    <row r="1064" spans="1:7" ht="12.75" x14ac:dyDescent="0.2">
      <c r="A1064" s="3"/>
      <c r="B1064" s="4"/>
      <c r="C1064" s="3"/>
      <c r="D1064" s="3"/>
      <c r="E1064" s="3"/>
      <c r="G1064" s="57"/>
    </row>
    <row r="1065" spans="1:7" ht="12.75" x14ac:dyDescent="0.2">
      <c r="A1065" s="3"/>
      <c r="B1065" s="4"/>
      <c r="C1065" s="3"/>
      <c r="D1065" s="3"/>
      <c r="E1065" s="3"/>
      <c r="G1065" s="57"/>
    </row>
    <row r="1066" spans="1:7" ht="12.75" x14ac:dyDescent="0.2">
      <c r="A1066" s="3"/>
      <c r="B1066" s="4"/>
      <c r="C1066" s="3"/>
      <c r="D1066" s="3"/>
      <c r="E1066" s="3"/>
      <c r="G1066" s="57"/>
    </row>
    <row r="1067" spans="1:7" ht="12.75" x14ac:dyDescent="0.2">
      <c r="A1067" s="3"/>
      <c r="B1067" s="4"/>
      <c r="C1067" s="3"/>
      <c r="D1067" s="3"/>
      <c r="E1067" s="3"/>
      <c r="G1067" s="57"/>
    </row>
    <row r="1068" spans="1:7" ht="12.75" x14ac:dyDescent="0.2">
      <c r="A1068" s="3"/>
      <c r="B1068" s="4"/>
      <c r="C1068" s="3"/>
      <c r="D1068" s="3"/>
      <c r="E1068" s="3"/>
      <c r="G1068" s="57"/>
    </row>
    <row r="1069" spans="1:7" ht="12.75" x14ac:dyDescent="0.2">
      <c r="A1069" s="3"/>
      <c r="B1069" s="4"/>
      <c r="C1069" s="3"/>
      <c r="D1069" s="3"/>
      <c r="E1069" s="3"/>
      <c r="G1069" s="57"/>
    </row>
    <row r="1070" spans="1:7" ht="12.75" x14ac:dyDescent="0.2">
      <c r="A1070" s="3"/>
      <c r="B1070" s="4"/>
      <c r="C1070" s="3"/>
      <c r="D1070" s="3"/>
      <c r="E1070" s="3"/>
      <c r="G1070" s="57"/>
    </row>
    <row r="1071" spans="1:7" ht="12.75" x14ac:dyDescent="0.2">
      <c r="A1071" s="3"/>
      <c r="B1071" s="4"/>
      <c r="C1071" s="3"/>
      <c r="D1071" s="3"/>
      <c r="E1071" s="3"/>
      <c r="G1071" s="57"/>
    </row>
    <row r="1072" spans="1:7" ht="12.75" x14ac:dyDescent="0.2">
      <c r="A1072" s="3"/>
      <c r="B1072" s="4"/>
      <c r="C1072" s="3"/>
      <c r="D1072" s="3"/>
      <c r="E1072" s="3"/>
      <c r="G1072" s="57"/>
    </row>
    <row r="1073" spans="1:7" ht="12.75" x14ac:dyDescent="0.2">
      <c r="A1073" s="3"/>
      <c r="B1073" s="4"/>
      <c r="C1073" s="3"/>
      <c r="D1073" s="3"/>
      <c r="E1073" s="3"/>
      <c r="G1073" s="57"/>
    </row>
    <row r="1074" spans="1:7" ht="12.75" x14ac:dyDescent="0.2">
      <c r="A1074" s="3"/>
      <c r="B1074" s="4"/>
      <c r="C1074" s="3"/>
      <c r="D1074" s="3"/>
      <c r="E1074" s="3"/>
      <c r="G1074" s="57"/>
    </row>
    <row r="1075" spans="1:7" ht="12.75" x14ac:dyDescent="0.2">
      <c r="A1075" s="3"/>
      <c r="B1075" s="4"/>
      <c r="C1075" s="3"/>
      <c r="D1075" s="3"/>
      <c r="E1075" s="3"/>
      <c r="G1075" s="57"/>
    </row>
    <row r="1076" spans="1:7" ht="12.75" x14ac:dyDescent="0.2">
      <c r="A1076" s="3"/>
      <c r="B1076" s="4"/>
      <c r="C1076" s="3"/>
      <c r="D1076" s="3"/>
      <c r="E1076" s="3"/>
      <c r="G1076" s="57"/>
    </row>
    <row r="1077" spans="1:7" ht="12.75" x14ac:dyDescent="0.2">
      <c r="A1077" s="3"/>
      <c r="B1077" s="4"/>
      <c r="C1077" s="3"/>
      <c r="D1077" s="3"/>
      <c r="E1077" s="3"/>
      <c r="G1077" s="57"/>
    </row>
    <row r="1078" spans="1:7" ht="12.75" x14ac:dyDescent="0.2">
      <c r="A1078" s="3"/>
      <c r="B1078" s="4"/>
      <c r="C1078" s="3"/>
      <c r="D1078" s="3"/>
      <c r="E1078" s="3"/>
      <c r="G1078" s="57"/>
    </row>
    <row r="1079" spans="1:7" ht="12.75" x14ac:dyDescent="0.2">
      <c r="A1079" s="3"/>
      <c r="B1079" s="4"/>
      <c r="C1079" s="3"/>
      <c r="D1079" s="3"/>
      <c r="E1079" s="3"/>
      <c r="G1079" s="57"/>
    </row>
    <row r="1080" spans="1:7" ht="12.75" x14ac:dyDescent="0.2">
      <c r="A1080" s="3"/>
      <c r="B1080" s="4"/>
      <c r="C1080" s="3"/>
      <c r="D1080" s="3"/>
      <c r="E1080" s="3"/>
      <c r="G1080" s="57"/>
    </row>
    <row r="1081" spans="1:7" ht="12.75" x14ac:dyDescent="0.2">
      <c r="A1081" s="3"/>
      <c r="B1081" s="4"/>
      <c r="C1081" s="3"/>
      <c r="D1081" s="3"/>
      <c r="E1081" s="3"/>
      <c r="G1081" s="59"/>
    </row>
    <row r="1082" spans="1:7" ht="12.75" x14ac:dyDescent="0.2">
      <c r="A1082" s="3"/>
      <c r="B1082" s="4"/>
      <c r="C1082" s="3"/>
      <c r="D1082" s="3"/>
      <c r="E1082" s="3"/>
      <c r="G1082" s="57"/>
    </row>
    <row r="1083" spans="1:7" ht="12.75" x14ac:dyDescent="0.2">
      <c r="A1083" s="3"/>
      <c r="B1083" s="4"/>
      <c r="C1083" s="3"/>
      <c r="D1083" s="3"/>
      <c r="E1083" s="3"/>
      <c r="G1083" s="57"/>
    </row>
    <row r="1084" spans="1:7" ht="12.75" x14ac:dyDescent="0.2">
      <c r="A1084" s="3"/>
      <c r="B1084" s="4"/>
      <c r="C1084" s="3"/>
      <c r="D1084" s="3"/>
      <c r="E1084" s="3"/>
      <c r="G1084" s="57"/>
    </row>
    <row r="1085" spans="1:7" ht="12.75" x14ac:dyDescent="0.2">
      <c r="A1085" s="3"/>
      <c r="B1085" s="4"/>
      <c r="C1085" s="3"/>
      <c r="D1085" s="3"/>
      <c r="E1085" s="3"/>
      <c r="G1085" s="57"/>
    </row>
    <row r="1086" spans="1:7" ht="12.75" x14ac:dyDescent="0.2">
      <c r="A1086" s="3"/>
      <c r="B1086" s="4"/>
      <c r="C1086" s="3"/>
      <c r="D1086" s="3"/>
      <c r="E1086" s="3"/>
      <c r="G1086" s="57"/>
    </row>
    <row r="1087" spans="1:7" ht="12.75" x14ac:dyDescent="0.2">
      <c r="A1087" s="3"/>
      <c r="B1087" s="4"/>
      <c r="C1087" s="3"/>
      <c r="D1087" s="3"/>
      <c r="E1087" s="3"/>
      <c r="G1087" s="57"/>
    </row>
    <row r="1088" spans="1:7" ht="12.75" x14ac:dyDescent="0.2">
      <c r="A1088" s="3"/>
      <c r="B1088" s="4"/>
      <c r="C1088" s="3"/>
      <c r="D1088" s="3"/>
      <c r="E1088" s="3"/>
      <c r="G1088" s="57"/>
    </row>
    <row r="1089" spans="1:7" ht="12.75" x14ac:dyDescent="0.2">
      <c r="A1089" s="3"/>
      <c r="B1089" s="4"/>
      <c r="C1089" s="3"/>
      <c r="D1089" s="3"/>
      <c r="E1089" s="3"/>
      <c r="G1089" s="57"/>
    </row>
    <row r="1090" spans="1:7" ht="12.75" x14ac:dyDescent="0.2">
      <c r="A1090" s="3"/>
      <c r="B1090" s="4"/>
      <c r="C1090" s="3"/>
      <c r="D1090" s="3"/>
      <c r="E1090" s="3"/>
      <c r="G1090" s="57"/>
    </row>
    <row r="1091" spans="1:7" ht="12.75" x14ac:dyDescent="0.2">
      <c r="A1091" s="3"/>
      <c r="B1091" s="4"/>
      <c r="C1091" s="3"/>
      <c r="D1091" s="3"/>
      <c r="E1091" s="3"/>
      <c r="G1091" s="57"/>
    </row>
    <row r="1092" spans="1:7" ht="12.75" x14ac:dyDescent="0.2">
      <c r="A1092" s="3"/>
      <c r="B1092" s="4"/>
      <c r="C1092" s="3"/>
      <c r="D1092" s="3"/>
      <c r="E1092" s="3"/>
      <c r="G1092" s="57"/>
    </row>
    <row r="1093" spans="1:7" ht="12.75" x14ac:dyDescent="0.2">
      <c r="A1093" s="3"/>
      <c r="B1093" s="4"/>
      <c r="C1093" s="3"/>
      <c r="D1093" s="3"/>
      <c r="E1093" s="3"/>
      <c r="G1093" s="57"/>
    </row>
    <row r="1094" spans="1:7" ht="12.75" x14ac:dyDescent="0.2">
      <c r="A1094" s="3"/>
      <c r="B1094" s="4"/>
      <c r="C1094" s="3"/>
      <c r="D1094" s="3"/>
      <c r="E1094" s="3"/>
      <c r="G1094" s="57"/>
    </row>
    <row r="1095" spans="1:7" ht="12.75" x14ac:dyDescent="0.2">
      <c r="A1095" s="3"/>
      <c r="B1095" s="4"/>
      <c r="C1095" s="3"/>
      <c r="D1095" s="3"/>
      <c r="E1095" s="3"/>
      <c r="G1095" s="57"/>
    </row>
    <row r="1096" spans="1:7" ht="12.75" x14ac:dyDescent="0.2">
      <c r="A1096" s="3"/>
      <c r="B1096" s="4"/>
      <c r="C1096" s="3"/>
      <c r="D1096" s="3"/>
      <c r="E1096" s="3"/>
      <c r="G1096" s="57"/>
    </row>
    <row r="1097" spans="1:7" ht="12.75" x14ac:dyDescent="0.2">
      <c r="A1097" s="3"/>
      <c r="B1097" s="4"/>
      <c r="C1097" s="3"/>
      <c r="D1097" s="3"/>
      <c r="E1097" s="3"/>
      <c r="G1097" s="57"/>
    </row>
    <row r="1098" spans="1:7" ht="12.75" x14ac:dyDescent="0.2">
      <c r="A1098" s="3"/>
      <c r="B1098" s="4"/>
      <c r="C1098" s="3"/>
      <c r="D1098" s="3"/>
      <c r="E1098" s="3"/>
      <c r="G1098" s="57"/>
    </row>
    <row r="1099" spans="1:7" ht="12.75" x14ac:dyDescent="0.2">
      <c r="A1099" s="3"/>
      <c r="B1099" s="4"/>
      <c r="C1099" s="3"/>
      <c r="D1099" s="3"/>
      <c r="E1099" s="3"/>
      <c r="G1099" s="57"/>
    </row>
    <row r="1100" spans="1:7" ht="12.75" x14ac:dyDescent="0.2">
      <c r="A1100" s="3"/>
      <c r="B1100" s="4"/>
      <c r="C1100" s="3"/>
      <c r="D1100" s="3"/>
      <c r="E1100" s="3"/>
      <c r="G1100" s="57"/>
    </row>
    <row r="1101" spans="1:7" ht="12.75" x14ac:dyDescent="0.2">
      <c r="A1101" s="3"/>
      <c r="B1101" s="4"/>
      <c r="C1101" s="3"/>
      <c r="D1101" s="3"/>
      <c r="E1101" s="3"/>
      <c r="G1101" s="59"/>
    </row>
    <row r="1102" spans="1:7" ht="12.75" x14ac:dyDescent="0.2">
      <c r="A1102" s="3"/>
      <c r="B1102" s="4"/>
      <c r="C1102" s="3"/>
      <c r="D1102" s="3"/>
      <c r="E1102" s="3"/>
      <c r="G1102" s="57"/>
    </row>
    <row r="1103" spans="1:7" ht="12.75" x14ac:dyDescent="0.2">
      <c r="A1103" s="3"/>
      <c r="B1103" s="4"/>
      <c r="C1103" s="3"/>
      <c r="D1103" s="3"/>
      <c r="E1103" s="3"/>
      <c r="G1103" s="57"/>
    </row>
    <row r="1104" spans="1:7" ht="12.75" x14ac:dyDescent="0.2">
      <c r="A1104" s="3"/>
      <c r="B1104" s="4"/>
      <c r="C1104" s="3"/>
      <c r="D1104" s="3"/>
      <c r="E1104" s="3"/>
      <c r="G1104" s="57"/>
    </row>
    <row r="1105" spans="1:7" ht="12.75" x14ac:dyDescent="0.2">
      <c r="A1105" s="3"/>
      <c r="B1105" s="4"/>
      <c r="C1105" s="3"/>
      <c r="D1105" s="3"/>
      <c r="E1105" s="3"/>
      <c r="G1105" s="57"/>
    </row>
    <row r="1106" spans="1:7" ht="12.75" x14ac:dyDescent="0.2">
      <c r="A1106" s="3"/>
      <c r="B1106" s="4"/>
      <c r="C1106" s="3"/>
      <c r="D1106" s="3"/>
      <c r="E1106" s="3"/>
      <c r="G1106" s="57"/>
    </row>
    <row r="1107" spans="1:7" ht="12.75" x14ac:dyDescent="0.2">
      <c r="A1107" s="3"/>
      <c r="B1107" s="4"/>
      <c r="C1107" s="3"/>
      <c r="D1107" s="3"/>
      <c r="E1107" s="3"/>
      <c r="G1107" s="57"/>
    </row>
    <row r="1108" spans="1:7" ht="12.75" x14ac:dyDescent="0.2">
      <c r="A1108" s="3"/>
      <c r="B1108" s="4"/>
      <c r="C1108" s="3"/>
      <c r="D1108" s="3"/>
      <c r="E1108" s="3"/>
      <c r="G1108" s="57"/>
    </row>
    <row r="1109" spans="1:7" ht="12.75" x14ac:dyDescent="0.2">
      <c r="A1109" s="3"/>
      <c r="B1109" s="4"/>
      <c r="C1109" s="3"/>
      <c r="D1109" s="3"/>
      <c r="E1109" s="3"/>
      <c r="G1109" s="57"/>
    </row>
    <row r="1110" spans="1:7" ht="12.75" x14ac:dyDescent="0.2">
      <c r="A1110" s="3"/>
      <c r="B1110" s="4"/>
      <c r="C1110" s="3"/>
      <c r="D1110" s="3"/>
      <c r="E1110" s="3"/>
      <c r="G1110" s="57"/>
    </row>
    <row r="1111" spans="1:7" ht="12.75" x14ac:dyDescent="0.2">
      <c r="A1111" s="3"/>
      <c r="B1111" s="4"/>
      <c r="C1111" s="3"/>
      <c r="D1111" s="3"/>
      <c r="E1111" s="3"/>
      <c r="G1111" s="57"/>
    </row>
    <row r="1112" spans="1:7" ht="12.75" x14ac:dyDescent="0.2">
      <c r="A1112" s="3"/>
      <c r="B1112" s="4"/>
      <c r="C1112" s="3"/>
      <c r="D1112" s="3"/>
      <c r="E1112" s="3"/>
      <c r="G1112" s="57"/>
    </row>
    <row r="1113" spans="1:7" ht="12.75" x14ac:dyDescent="0.2">
      <c r="A1113" s="3"/>
      <c r="B1113" s="4"/>
      <c r="C1113" s="3"/>
      <c r="D1113" s="3"/>
      <c r="E1113" s="3"/>
      <c r="G1113" s="57"/>
    </row>
    <row r="1114" spans="1:7" ht="12.75" x14ac:dyDescent="0.2">
      <c r="A1114" s="3"/>
      <c r="B1114" s="4"/>
      <c r="C1114" s="3"/>
      <c r="D1114" s="3"/>
      <c r="E1114" s="3"/>
      <c r="G1114" s="57"/>
    </row>
    <row r="1115" spans="1:7" ht="12.75" x14ac:dyDescent="0.2">
      <c r="A1115" s="3"/>
      <c r="B1115" s="4"/>
      <c r="C1115" s="3"/>
      <c r="D1115" s="3"/>
      <c r="E1115" s="3"/>
      <c r="G1115" s="57"/>
    </row>
    <row r="1116" spans="1:7" ht="12.75" x14ac:dyDescent="0.2">
      <c r="A1116" s="3"/>
      <c r="B1116" s="4"/>
      <c r="C1116" s="3"/>
      <c r="D1116" s="3"/>
      <c r="E1116" s="3"/>
      <c r="G1116" s="57"/>
    </row>
    <row r="1117" spans="1:7" ht="12.75" x14ac:dyDescent="0.2">
      <c r="A1117" s="3"/>
      <c r="B1117" s="4"/>
      <c r="C1117" s="3"/>
      <c r="D1117" s="3"/>
      <c r="E1117" s="3"/>
      <c r="G1117" s="57"/>
    </row>
    <row r="1118" spans="1:7" ht="12.75" x14ac:dyDescent="0.2">
      <c r="A1118" s="3"/>
      <c r="B1118" s="4"/>
      <c r="C1118" s="3"/>
      <c r="D1118" s="3"/>
      <c r="E1118" s="3"/>
      <c r="G1118" s="57"/>
    </row>
    <row r="1119" spans="1:7" ht="12.75" x14ac:dyDescent="0.2">
      <c r="A1119" s="3"/>
      <c r="B1119" s="4"/>
      <c r="C1119" s="3"/>
      <c r="D1119" s="3"/>
      <c r="E1119" s="3"/>
      <c r="G1119" s="57"/>
    </row>
    <row r="1120" spans="1:7" ht="12.75" x14ac:dyDescent="0.2">
      <c r="A1120" s="3"/>
      <c r="B1120" s="4"/>
      <c r="C1120" s="3"/>
      <c r="D1120" s="3"/>
      <c r="E1120" s="3"/>
      <c r="G1120" s="57"/>
    </row>
    <row r="1121" spans="1:7" ht="12.75" x14ac:dyDescent="0.2">
      <c r="A1121" s="3"/>
      <c r="B1121" s="4"/>
      <c r="C1121" s="3"/>
      <c r="D1121" s="3"/>
      <c r="E1121" s="3"/>
      <c r="G1121" s="59"/>
    </row>
    <row r="1122" spans="1:7" ht="12.75" x14ac:dyDescent="0.2">
      <c r="A1122" s="3"/>
      <c r="B1122" s="4"/>
      <c r="C1122" s="3"/>
      <c r="D1122" s="3"/>
      <c r="E1122" s="3"/>
      <c r="G1122" s="57"/>
    </row>
    <row r="1123" spans="1:7" ht="12.75" x14ac:dyDescent="0.2">
      <c r="A1123" s="3"/>
      <c r="B1123" s="4"/>
      <c r="C1123" s="3"/>
      <c r="D1123" s="3"/>
      <c r="E1123" s="3"/>
      <c r="G1123" s="57"/>
    </row>
    <row r="1124" spans="1:7" ht="12.75" x14ac:dyDescent="0.2">
      <c r="A1124" s="3"/>
      <c r="B1124" s="4"/>
      <c r="C1124" s="3"/>
      <c r="D1124" s="3"/>
      <c r="E1124" s="3"/>
      <c r="G1124" s="57"/>
    </row>
    <row r="1125" spans="1:7" ht="12.75" x14ac:dyDescent="0.2">
      <c r="A1125" s="3"/>
      <c r="B1125" s="4"/>
      <c r="C1125" s="3"/>
      <c r="D1125" s="3"/>
      <c r="E1125" s="3"/>
      <c r="G1125" s="57"/>
    </row>
    <row r="1126" spans="1:7" ht="12.75" x14ac:dyDescent="0.2">
      <c r="A1126" s="3"/>
      <c r="B1126" s="4"/>
      <c r="C1126" s="3"/>
      <c r="D1126" s="3"/>
      <c r="E1126" s="3"/>
      <c r="G1126" s="57"/>
    </row>
    <row r="1127" spans="1:7" ht="12.75" x14ac:dyDescent="0.2">
      <c r="A1127" s="3"/>
      <c r="B1127" s="4"/>
      <c r="C1127" s="3"/>
      <c r="D1127" s="3"/>
      <c r="E1127" s="3"/>
      <c r="G1127" s="57"/>
    </row>
    <row r="1128" spans="1:7" ht="12.75" x14ac:dyDescent="0.2">
      <c r="A1128" s="3"/>
      <c r="B1128" s="4"/>
      <c r="C1128" s="3"/>
      <c r="D1128" s="3"/>
      <c r="E1128" s="3"/>
      <c r="G1128" s="57"/>
    </row>
    <row r="1129" spans="1:7" ht="12.75" x14ac:dyDescent="0.2">
      <c r="A1129" s="3"/>
      <c r="B1129" s="4"/>
      <c r="C1129" s="3"/>
      <c r="D1129" s="3"/>
      <c r="E1129" s="3"/>
      <c r="G1129" s="57"/>
    </row>
    <row r="1130" spans="1:7" ht="12.75" x14ac:dyDescent="0.2">
      <c r="A1130" s="3"/>
      <c r="B1130" s="4"/>
      <c r="C1130" s="3"/>
      <c r="D1130" s="3"/>
      <c r="E1130" s="3"/>
      <c r="G1130" s="57"/>
    </row>
    <row r="1131" spans="1:7" ht="12.75" x14ac:dyDescent="0.2">
      <c r="A1131" s="3"/>
      <c r="B1131" s="4"/>
      <c r="C1131" s="3"/>
      <c r="D1131" s="3"/>
      <c r="E1131" s="3"/>
      <c r="G1131" s="57"/>
    </row>
    <row r="1132" spans="1:7" ht="12.75" x14ac:dyDescent="0.2">
      <c r="A1132" s="3"/>
      <c r="B1132" s="4"/>
      <c r="C1132" s="3"/>
      <c r="D1132" s="3"/>
      <c r="E1132" s="3"/>
      <c r="G1132" s="57"/>
    </row>
    <row r="1133" spans="1:7" ht="12.75" x14ac:dyDescent="0.2">
      <c r="A1133" s="3"/>
      <c r="B1133" s="4"/>
      <c r="C1133" s="3"/>
      <c r="D1133" s="3"/>
      <c r="E1133" s="3"/>
      <c r="G1133" s="57"/>
    </row>
    <row r="1134" spans="1:7" ht="12.75" x14ac:dyDescent="0.2">
      <c r="A1134" s="3"/>
      <c r="B1134" s="4"/>
      <c r="C1134" s="3"/>
      <c r="D1134" s="3"/>
      <c r="E1134" s="3"/>
      <c r="G1134" s="57"/>
    </row>
    <row r="1135" spans="1:7" ht="12.75" x14ac:dyDescent="0.2">
      <c r="A1135" s="3"/>
      <c r="B1135" s="4"/>
      <c r="C1135" s="3"/>
      <c r="D1135" s="3"/>
      <c r="E1135" s="3"/>
      <c r="G1135" s="57"/>
    </row>
    <row r="1136" spans="1:7" ht="12.75" x14ac:dyDescent="0.2">
      <c r="A1136" s="3"/>
      <c r="B1136" s="4"/>
      <c r="C1136" s="3"/>
      <c r="D1136" s="3"/>
      <c r="E1136" s="3"/>
      <c r="G1136" s="57"/>
    </row>
    <row r="1137" spans="1:7" ht="12.75" x14ac:dyDescent="0.2">
      <c r="A1137" s="3"/>
      <c r="B1137" s="4"/>
      <c r="C1137" s="3"/>
      <c r="D1137" s="3"/>
      <c r="E1137" s="3"/>
      <c r="G1137" s="57"/>
    </row>
    <row r="1138" spans="1:7" ht="12.75" x14ac:dyDescent="0.2">
      <c r="A1138" s="3"/>
      <c r="B1138" s="4"/>
      <c r="C1138" s="3"/>
      <c r="D1138" s="3"/>
      <c r="E1138" s="3"/>
      <c r="G1138" s="57"/>
    </row>
    <row r="1139" spans="1:7" ht="12.75" x14ac:dyDescent="0.2">
      <c r="A1139" s="3"/>
      <c r="B1139" s="4"/>
      <c r="C1139" s="3"/>
      <c r="D1139" s="3"/>
      <c r="E1139" s="3"/>
      <c r="G1139" s="57"/>
    </row>
    <row r="1140" spans="1:7" ht="12.75" x14ac:dyDescent="0.2">
      <c r="A1140" s="3"/>
      <c r="B1140" s="4"/>
      <c r="C1140" s="3"/>
      <c r="D1140" s="3"/>
      <c r="E1140" s="3"/>
      <c r="G1140" s="57"/>
    </row>
    <row r="1141" spans="1:7" ht="12.75" x14ac:dyDescent="0.2">
      <c r="A1141" s="3"/>
      <c r="B1141" s="4"/>
      <c r="C1141" s="3"/>
      <c r="D1141" s="3"/>
      <c r="E1141" s="3"/>
      <c r="G1141" s="59"/>
    </row>
    <row r="1142" spans="1:7" ht="12.75" x14ac:dyDescent="0.2">
      <c r="A1142" s="3"/>
      <c r="B1142" s="4"/>
      <c r="C1142" s="3"/>
      <c r="D1142" s="3"/>
      <c r="E1142" s="3"/>
      <c r="G1142" s="57"/>
    </row>
    <row r="1143" spans="1:7" ht="12.75" x14ac:dyDescent="0.2">
      <c r="A1143" s="3"/>
      <c r="B1143" s="4"/>
      <c r="C1143" s="3"/>
      <c r="D1143" s="3"/>
      <c r="E1143" s="3"/>
      <c r="G1143" s="57"/>
    </row>
    <row r="1144" spans="1:7" ht="12.75" x14ac:dyDescent="0.2">
      <c r="A1144" s="3"/>
      <c r="B1144" s="4"/>
      <c r="C1144" s="3"/>
      <c r="D1144" s="3"/>
      <c r="E1144" s="3"/>
      <c r="G1144" s="57"/>
    </row>
    <row r="1145" spans="1:7" ht="12.75" x14ac:dyDescent="0.2">
      <c r="A1145" s="3"/>
      <c r="B1145" s="4"/>
      <c r="C1145" s="3"/>
      <c r="D1145" s="3"/>
      <c r="E1145" s="3"/>
      <c r="G1145" s="57"/>
    </row>
    <row r="1146" spans="1:7" ht="12.75" x14ac:dyDescent="0.2">
      <c r="A1146" s="3"/>
      <c r="B1146" s="4"/>
      <c r="C1146" s="3"/>
      <c r="D1146" s="3"/>
      <c r="E1146" s="3"/>
      <c r="G1146" s="57"/>
    </row>
    <row r="1147" spans="1:7" ht="12.75" x14ac:dyDescent="0.2">
      <c r="A1147" s="3"/>
      <c r="B1147" s="4"/>
      <c r="C1147" s="3"/>
      <c r="D1147" s="3"/>
      <c r="E1147" s="3"/>
      <c r="G1147" s="57"/>
    </row>
    <row r="1148" spans="1:7" ht="12.75" x14ac:dyDescent="0.2">
      <c r="A1148" s="3"/>
      <c r="B1148" s="4"/>
      <c r="C1148" s="3"/>
      <c r="D1148" s="3"/>
      <c r="E1148" s="3"/>
      <c r="G1148" s="57"/>
    </row>
    <row r="1149" spans="1:7" ht="12.75" x14ac:dyDescent="0.2">
      <c r="A1149" s="3"/>
      <c r="B1149" s="4"/>
      <c r="C1149" s="3"/>
      <c r="D1149" s="3"/>
      <c r="E1149" s="3"/>
      <c r="G1149" s="57"/>
    </row>
    <row r="1150" spans="1:7" ht="12.75" x14ac:dyDescent="0.2">
      <c r="A1150" s="3"/>
      <c r="B1150" s="4"/>
      <c r="C1150" s="3"/>
      <c r="D1150" s="3"/>
      <c r="E1150" s="3"/>
      <c r="G1150" s="57"/>
    </row>
    <row r="1151" spans="1:7" ht="12.75" x14ac:dyDescent="0.2">
      <c r="A1151" s="3"/>
      <c r="B1151" s="4"/>
      <c r="C1151" s="3"/>
      <c r="D1151" s="3"/>
      <c r="E1151" s="3"/>
      <c r="G1151" s="57"/>
    </row>
    <row r="1152" spans="1:7" ht="12.75" x14ac:dyDescent="0.2">
      <c r="A1152" s="3"/>
      <c r="B1152" s="4"/>
      <c r="C1152" s="3"/>
      <c r="D1152" s="3"/>
      <c r="E1152" s="3"/>
      <c r="G1152" s="57"/>
    </row>
    <row r="1153" spans="1:7" ht="12.75" x14ac:dyDescent="0.2">
      <c r="A1153" s="3"/>
      <c r="B1153" s="4"/>
      <c r="C1153" s="3"/>
      <c r="D1153" s="3"/>
      <c r="E1153" s="3"/>
      <c r="G1153" s="57"/>
    </row>
    <row r="1154" spans="1:7" ht="12.75" x14ac:dyDescent="0.2">
      <c r="A1154" s="3"/>
      <c r="B1154" s="4"/>
      <c r="C1154" s="3"/>
      <c r="D1154" s="3"/>
      <c r="E1154" s="3"/>
      <c r="G1154" s="57"/>
    </row>
    <row r="1155" spans="1:7" ht="12.75" x14ac:dyDescent="0.2">
      <c r="A1155" s="3"/>
      <c r="B1155" s="4"/>
      <c r="C1155" s="3"/>
      <c r="D1155" s="3"/>
      <c r="E1155" s="3"/>
      <c r="G1155" s="57"/>
    </row>
    <row r="1156" spans="1:7" ht="12.75" x14ac:dyDescent="0.2">
      <c r="A1156" s="3"/>
      <c r="B1156" s="4"/>
      <c r="C1156" s="3"/>
      <c r="D1156" s="3"/>
      <c r="E1156" s="3"/>
      <c r="G1156" s="57"/>
    </row>
    <row r="1157" spans="1:7" ht="12.75" x14ac:dyDescent="0.2">
      <c r="A1157" s="3"/>
      <c r="B1157" s="4"/>
      <c r="C1157" s="3"/>
      <c r="D1157" s="3"/>
      <c r="E1157" s="3"/>
      <c r="G1157" s="57"/>
    </row>
    <row r="1158" spans="1:7" ht="12.75" x14ac:dyDescent="0.2">
      <c r="A1158" s="3"/>
      <c r="B1158" s="4"/>
      <c r="C1158" s="3"/>
      <c r="D1158" s="3"/>
      <c r="E1158" s="3"/>
      <c r="G1158" s="57"/>
    </row>
    <row r="1159" spans="1:7" ht="12.75" x14ac:dyDescent="0.2">
      <c r="A1159" s="3"/>
      <c r="B1159" s="4"/>
      <c r="C1159" s="3"/>
      <c r="D1159" s="3"/>
      <c r="E1159" s="3"/>
      <c r="G1159" s="57"/>
    </row>
    <row r="1160" spans="1:7" ht="12.75" x14ac:dyDescent="0.2">
      <c r="A1160" s="3"/>
      <c r="B1160" s="4"/>
      <c r="C1160" s="3"/>
      <c r="D1160" s="3"/>
      <c r="E1160" s="3"/>
      <c r="G1160" s="57"/>
    </row>
    <row r="1161" spans="1:7" ht="12.75" x14ac:dyDescent="0.2">
      <c r="A1161" s="3"/>
      <c r="B1161" s="4"/>
      <c r="C1161" s="3"/>
      <c r="D1161" s="3"/>
      <c r="E1161" s="3"/>
      <c r="G1161" s="59"/>
    </row>
    <row r="1162" spans="1:7" ht="12.75" x14ac:dyDescent="0.2">
      <c r="A1162" s="3"/>
      <c r="B1162" s="4"/>
      <c r="C1162" s="3"/>
      <c r="D1162" s="3"/>
      <c r="E1162" s="3"/>
      <c r="G1162" s="57"/>
    </row>
    <row r="1163" spans="1:7" ht="12.75" x14ac:dyDescent="0.2">
      <c r="A1163" s="3"/>
      <c r="B1163" s="4"/>
      <c r="C1163" s="3"/>
      <c r="D1163" s="3"/>
      <c r="E1163" s="3"/>
      <c r="G1163" s="57"/>
    </row>
    <row r="1164" spans="1:7" ht="12.75" x14ac:dyDescent="0.2">
      <c r="A1164" s="3"/>
      <c r="B1164" s="4"/>
      <c r="C1164" s="3"/>
      <c r="D1164" s="3"/>
      <c r="E1164" s="3"/>
      <c r="G1164" s="57"/>
    </row>
    <row r="1165" spans="1:7" ht="12.75" x14ac:dyDescent="0.2">
      <c r="A1165" s="3"/>
      <c r="B1165" s="4"/>
      <c r="C1165" s="3"/>
      <c r="D1165" s="3"/>
      <c r="E1165" s="3"/>
      <c r="G1165" s="57"/>
    </row>
    <row r="1166" spans="1:7" ht="12.75" x14ac:dyDescent="0.2">
      <c r="A1166" s="3"/>
      <c r="B1166" s="4"/>
      <c r="C1166" s="3"/>
      <c r="D1166" s="3"/>
      <c r="E1166" s="3"/>
      <c r="G1166" s="57"/>
    </row>
    <row r="1167" spans="1:7" ht="12.75" x14ac:dyDescent="0.2">
      <c r="A1167" s="3"/>
      <c r="B1167" s="4"/>
      <c r="C1167" s="3"/>
      <c r="D1167" s="3"/>
      <c r="E1167" s="3"/>
      <c r="G1167" s="57"/>
    </row>
    <row r="1168" spans="1:7" ht="12.75" x14ac:dyDescent="0.2">
      <c r="A1168" s="3"/>
      <c r="B1168" s="4"/>
      <c r="C1168" s="3"/>
      <c r="D1168" s="3"/>
      <c r="E1168" s="3"/>
      <c r="G1168" s="57"/>
    </row>
    <row r="1169" spans="1:7" ht="12.75" x14ac:dyDescent="0.2">
      <c r="A1169" s="3"/>
      <c r="B1169" s="4"/>
      <c r="C1169" s="3"/>
      <c r="D1169" s="3"/>
      <c r="E1169" s="3"/>
      <c r="G1169" s="57"/>
    </row>
    <row r="1170" spans="1:7" ht="12.75" x14ac:dyDescent="0.2">
      <c r="A1170" s="3"/>
      <c r="B1170" s="4"/>
      <c r="C1170" s="3"/>
      <c r="D1170" s="3"/>
      <c r="E1170" s="3"/>
      <c r="G1170" s="57"/>
    </row>
    <row r="1171" spans="1:7" ht="12.75" x14ac:dyDescent="0.2">
      <c r="A1171" s="3"/>
      <c r="B1171" s="4"/>
      <c r="C1171" s="3"/>
      <c r="D1171" s="3"/>
      <c r="E1171" s="3"/>
      <c r="G1171" s="57"/>
    </row>
    <row r="1172" spans="1:7" ht="12.75" x14ac:dyDescent="0.2">
      <c r="A1172" s="3"/>
      <c r="B1172" s="4"/>
      <c r="C1172" s="3"/>
      <c r="D1172" s="3"/>
      <c r="E1172" s="3"/>
      <c r="G1172" s="57"/>
    </row>
    <row r="1173" spans="1:7" ht="12.75" x14ac:dyDescent="0.2">
      <c r="A1173" s="3"/>
      <c r="B1173" s="4"/>
      <c r="C1173" s="3"/>
      <c r="D1173" s="3"/>
      <c r="E1173" s="3"/>
      <c r="G1173" s="57"/>
    </row>
    <row r="1174" spans="1:7" ht="12.75" x14ac:dyDescent="0.2">
      <c r="A1174" s="3"/>
      <c r="B1174" s="4"/>
      <c r="C1174" s="3"/>
      <c r="D1174" s="3"/>
      <c r="E1174" s="3"/>
      <c r="G1174" s="57"/>
    </row>
    <row r="1175" spans="1:7" ht="12.75" x14ac:dyDescent="0.2">
      <c r="A1175" s="3"/>
      <c r="B1175" s="4"/>
      <c r="C1175" s="3"/>
      <c r="D1175" s="3"/>
      <c r="E1175" s="3"/>
      <c r="G1175" s="57"/>
    </row>
    <row r="1176" spans="1:7" ht="12.75" x14ac:dyDescent="0.2">
      <c r="A1176" s="3"/>
      <c r="B1176" s="4"/>
      <c r="C1176" s="3"/>
      <c r="D1176" s="3"/>
      <c r="E1176" s="3"/>
      <c r="G1176" s="57"/>
    </row>
    <row r="1177" spans="1:7" ht="12.75" x14ac:dyDescent="0.2">
      <c r="A1177" s="3"/>
      <c r="B1177" s="4"/>
      <c r="C1177" s="3"/>
      <c r="D1177" s="3"/>
      <c r="E1177" s="3"/>
      <c r="G1177" s="57"/>
    </row>
    <row r="1178" spans="1:7" ht="12.75" x14ac:dyDescent="0.2">
      <c r="A1178" s="3"/>
      <c r="B1178" s="4"/>
      <c r="C1178" s="3"/>
      <c r="D1178" s="3"/>
      <c r="E1178" s="3"/>
      <c r="G1178" s="57"/>
    </row>
    <row r="1179" spans="1:7" ht="12.75" x14ac:dyDescent="0.2">
      <c r="A1179" s="3"/>
      <c r="B1179" s="4"/>
      <c r="C1179" s="3"/>
      <c r="D1179" s="3"/>
      <c r="E1179" s="3"/>
      <c r="G1179" s="57"/>
    </row>
    <row r="1180" spans="1:7" ht="12.75" x14ac:dyDescent="0.2">
      <c r="A1180" s="3"/>
      <c r="B1180" s="4"/>
      <c r="C1180" s="3"/>
      <c r="D1180" s="3"/>
      <c r="E1180" s="3"/>
      <c r="G1180" s="57"/>
    </row>
    <row r="1181" spans="1:7" ht="12.75" x14ac:dyDescent="0.2">
      <c r="A1181" s="3"/>
      <c r="B1181" s="4"/>
      <c r="C1181" s="3"/>
      <c r="D1181" s="3"/>
      <c r="E1181" s="3"/>
      <c r="G1181" s="59"/>
    </row>
    <row r="1182" spans="1:7" ht="12.75" x14ac:dyDescent="0.2">
      <c r="A1182" s="3"/>
      <c r="B1182" s="4"/>
      <c r="C1182" s="3"/>
      <c r="D1182" s="3"/>
      <c r="E1182" s="3"/>
      <c r="G1182" s="57"/>
    </row>
    <row r="1183" spans="1:7" ht="12.75" x14ac:dyDescent="0.2">
      <c r="A1183" s="3"/>
      <c r="B1183" s="4"/>
      <c r="C1183" s="3"/>
      <c r="D1183" s="3"/>
      <c r="E1183" s="3"/>
      <c r="G1183" s="57"/>
    </row>
    <row r="1184" spans="1:7" ht="12.75" x14ac:dyDescent="0.2">
      <c r="A1184" s="3"/>
      <c r="B1184" s="4"/>
      <c r="C1184" s="3"/>
      <c r="D1184" s="3"/>
      <c r="E1184" s="3"/>
      <c r="G1184" s="57"/>
    </row>
    <row r="1185" spans="1:7" ht="12.75" x14ac:dyDescent="0.2">
      <c r="A1185" s="3"/>
      <c r="B1185" s="4"/>
      <c r="C1185" s="3"/>
      <c r="D1185" s="3"/>
      <c r="E1185" s="3"/>
      <c r="G1185" s="57"/>
    </row>
    <row r="1186" spans="1:7" ht="12.75" x14ac:dyDescent="0.2">
      <c r="A1186" s="3"/>
      <c r="B1186" s="4"/>
      <c r="C1186" s="3"/>
      <c r="D1186" s="3"/>
      <c r="E1186" s="3"/>
      <c r="G1186" s="57"/>
    </row>
    <row r="1187" spans="1:7" ht="12.75" x14ac:dyDescent="0.2">
      <c r="A1187" s="3"/>
      <c r="B1187" s="4"/>
      <c r="C1187" s="3"/>
      <c r="D1187" s="3"/>
      <c r="E1187" s="3"/>
      <c r="G1187" s="57"/>
    </row>
    <row r="1188" spans="1:7" ht="12.75" x14ac:dyDescent="0.2">
      <c r="A1188" s="3"/>
      <c r="B1188" s="4"/>
      <c r="C1188" s="3"/>
      <c r="D1188" s="3"/>
      <c r="E1188" s="3"/>
      <c r="G1188" s="57"/>
    </row>
    <row r="1189" spans="1:7" ht="12.75" x14ac:dyDescent="0.2">
      <c r="A1189" s="3"/>
      <c r="B1189" s="4"/>
      <c r="C1189" s="3"/>
      <c r="D1189" s="3"/>
      <c r="E1189" s="3"/>
      <c r="G1189" s="57"/>
    </row>
    <row r="1190" spans="1:7" ht="12.75" x14ac:dyDescent="0.2">
      <c r="A1190" s="3"/>
      <c r="B1190" s="4"/>
      <c r="C1190" s="3"/>
      <c r="D1190" s="3"/>
      <c r="E1190" s="3"/>
      <c r="G1190" s="57"/>
    </row>
    <row r="1191" spans="1:7" ht="12.75" x14ac:dyDescent="0.2">
      <c r="A1191" s="3"/>
      <c r="B1191" s="4"/>
      <c r="C1191" s="3"/>
      <c r="D1191" s="3"/>
      <c r="E1191" s="3"/>
      <c r="G1191" s="57"/>
    </row>
    <row r="1192" spans="1:7" ht="12.75" x14ac:dyDescent="0.2">
      <c r="A1192" s="3"/>
      <c r="B1192" s="4"/>
      <c r="C1192" s="3"/>
      <c r="D1192" s="3"/>
      <c r="E1192" s="3"/>
      <c r="G1192" s="57"/>
    </row>
    <row r="1193" spans="1:7" ht="12.75" x14ac:dyDescent="0.2">
      <c r="A1193" s="3"/>
      <c r="B1193" s="4"/>
      <c r="C1193" s="3"/>
      <c r="D1193" s="3"/>
      <c r="E1193" s="3"/>
      <c r="G1193" s="57"/>
    </row>
    <row r="1194" spans="1:7" ht="12.75" x14ac:dyDescent="0.2">
      <c r="A1194" s="3"/>
      <c r="B1194" s="4"/>
      <c r="C1194" s="3"/>
      <c r="D1194" s="3"/>
      <c r="E1194" s="3"/>
      <c r="G1194" s="57"/>
    </row>
    <row r="1195" spans="1:7" ht="12.75" x14ac:dyDescent="0.2">
      <c r="A1195" s="3"/>
      <c r="B1195" s="4"/>
      <c r="C1195" s="3"/>
      <c r="D1195" s="3"/>
      <c r="E1195" s="3"/>
      <c r="G1195" s="57"/>
    </row>
    <row r="1196" spans="1:7" ht="12.75" x14ac:dyDescent="0.2">
      <c r="A1196" s="3"/>
      <c r="B1196" s="4"/>
      <c r="C1196" s="3"/>
      <c r="D1196" s="3"/>
      <c r="E1196" s="3"/>
      <c r="G1196" s="57"/>
    </row>
    <row r="1197" spans="1:7" ht="12.75" x14ac:dyDescent="0.2">
      <c r="A1197" s="3"/>
      <c r="B1197" s="4"/>
      <c r="C1197" s="3"/>
      <c r="D1197" s="3"/>
      <c r="E1197" s="3"/>
      <c r="G1197" s="57"/>
    </row>
    <row r="1198" spans="1:7" ht="12.75" x14ac:dyDescent="0.2">
      <c r="A1198" s="3"/>
      <c r="B1198" s="4"/>
      <c r="C1198" s="3"/>
      <c r="D1198" s="3"/>
      <c r="E1198" s="3"/>
      <c r="G1198" s="57"/>
    </row>
    <row r="1199" spans="1:7" ht="12.75" x14ac:dyDescent="0.2">
      <c r="A1199" s="3"/>
      <c r="B1199" s="4"/>
      <c r="C1199" s="3"/>
      <c r="D1199" s="3"/>
      <c r="E1199" s="3"/>
      <c r="G1199" s="57"/>
    </row>
    <row r="1200" spans="1:7" ht="12.75" x14ac:dyDescent="0.2">
      <c r="A1200" s="3"/>
      <c r="B1200" s="4"/>
      <c r="C1200" s="3"/>
      <c r="D1200" s="3"/>
      <c r="E1200" s="3"/>
      <c r="G1200" s="57"/>
    </row>
    <row r="1201" spans="1:7" ht="12.75" x14ac:dyDescent="0.2">
      <c r="A1201" s="3"/>
      <c r="B1201" s="4"/>
      <c r="C1201" s="3"/>
      <c r="D1201" s="3"/>
      <c r="E1201" s="3"/>
      <c r="G1201" s="59"/>
    </row>
    <row r="1202" spans="1:7" ht="12.75" x14ac:dyDescent="0.2">
      <c r="A1202" s="3"/>
      <c r="B1202" s="4"/>
      <c r="C1202" s="3"/>
      <c r="D1202" s="3"/>
      <c r="E1202" s="3"/>
      <c r="G1202" s="57"/>
    </row>
    <row r="1203" spans="1:7" ht="12.75" x14ac:dyDescent="0.2">
      <c r="A1203" s="3"/>
      <c r="B1203" s="4"/>
      <c r="C1203" s="3"/>
      <c r="D1203" s="3"/>
      <c r="E1203" s="3"/>
      <c r="G1203" s="57"/>
    </row>
    <row r="1204" spans="1:7" ht="12.75" x14ac:dyDescent="0.2">
      <c r="A1204" s="3"/>
      <c r="B1204" s="4"/>
      <c r="C1204" s="3"/>
      <c r="D1204" s="3"/>
      <c r="E1204" s="3"/>
      <c r="G1204" s="57"/>
    </row>
    <row r="1205" spans="1:7" ht="12.75" x14ac:dyDescent="0.2">
      <c r="A1205" s="3"/>
      <c r="B1205" s="4"/>
      <c r="C1205" s="3"/>
      <c r="D1205" s="3"/>
      <c r="E1205" s="3"/>
      <c r="G1205" s="57"/>
    </row>
    <row r="1206" spans="1:7" ht="12.75" x14ac:dyDescent="0.2">
      <c r="A1206" s="3"/>
      <c r="B1206" s="4"/>
      <c r="C1206" s="3"/>
      <c r="D1206" s="3"/>
      <c r="E1206" s="3"/>
      <c r="G1206" s="57"/>
    </row>
    <row r="1207" spans="1:7" ht="12.75" x14ac:dyDescent="0.2">
      <c r="A1207" s="3"/>
      <c r="B1207" s="4"/>
      <c r="C1207" s="3"/>
      <c r="D1207" s="3"/>
      <c r="E1207" s="3"/>
      <c r="G1207" s="57"/>
    </row>
    <row r="1208" spans="1:7" ht="12.75" x14ac:dyDescent="0.2">
      <c r="A1208" s="3"/>
      <c r="B1208" s="4"/>
      <c r="C1208" s="3"/>
      <c r="D1208" s="3"/>
      <c r="E1208" s="3"/>
      <c r="G1208" s="57"/>
    </row>
    <row r="1209" spans="1:7" ht="12.75" x14ac:dyDescent="0.2">
      <c r="A1209" s="3"/>
      <c r="B1209" s="4"/>
      <c r="C1209" s="3"/>
      <c r="D1209" s="3"/>
      <c r="E1209" s="3"/>
      <c r="G1209" s="57"/>
    </row>
    <row r="1210" spans="1:7" ht="12.75" x14ac:dyDescent="0.2">
      <c r="A1210" s="3"/>
      <c r="B1210" s="4"/>
      <c r="C1210" s="3"/>
      <c r="D1210" s="3"/>
      <c r="E1210" s="3"/>
      <c r="G1210" s="57"/>
    </row>
    <row r="1211" spans="1:7" ht="12.75" x14ac:dyDescent="0.2">
      <c r="A1211" s="3"/>
      <c r="B1211" s="4"/>
      <c r="C1211" s="3"/>
      <c r="D1211" s="3"/>
      <c r="E1211" s="3"/>
      <c r="G1211" s="57"/>
    </row>
    <row r="1212" spans="1:7" ht="12.75" x14ac:dyDescent="0.2">
      <c r="A1212" s="3"/>
      <c r="B1212" s="4"/>
      <c r="C1212" s="3"/>
      <c r="D1212" s="3"/>
      <c r="E1212" s="3"/>
      <c r="G1212" s="57"/>
    </row>
    <row r="1213" spans="1:7" ht="12.75" x14ac:dyDescent="0.2">
      <c r="A1213" s="3"/>
      <c r="B1213" s="4"/>
      <c r="C1213" s="3"/>
      <c r="D1213" s="3"/>
      <c r="E1213" s="3"/>
      <c r="G1213" s="57"/>
    </row>
    <row r="1214" spans="1:7" ht="12.75" x14ac:dyDescent="0.2">
      <c r="A1214" s="3"/>
      <c r="B1214" s="4"/>
      <c r="C1214" s="3"/>
      <c r="D1214" s="3"/>
      <c r="E1214" s="3"/>
      <c r="G1214" s="57"/>
    </row>
    <row r="1215" spans="1:7" ht="12.75" x14ac:dyDescent="0.2">
      <c r="A1215" s="3"/>
      <c r="B1215" s="4"/>
      <c r="C1215" s="3"/>
      <c r="D1215" s="3"/>
      <c r="E1215" s="3"/>
      <c r="G1215" s="57"/>
    </row>
    <row r="1216" spans="1:7" ht="12.75" x14ac:dyDescent="0.2">
      <c r="A1216" s="3"/>
      <c r="B1216" s="4"/>
      <c r="C1216" s="3"/>
      <c r="D1216" s="3"/>
      <c r="E1216" s="3"/>
      <c r="G1216" s="57"/>
    </row>
    <row r="1217" spans="1:7" ht="12.75" x14ac:dyDescent="0.2">
      <c r="A1217" s="3"/>
      <c r="B1217" s="4"/>
      <c r="C1217" s="3"/>
      <c r="D1217" s="3"/>
      <c r="E1217" s="3"/>
      <c r="G1217" s="57"/>
    </row>
    <row r="1218" spans="1:7" ht="12.75" x14ac:dyDescent="0.2">
      <c r="A1218" s="3"/>
      <c r="B1218" s="4"/>
      <c r="C1218" s="3"/>
      <c r="D1218" s="3"/>
      <c r="E1218" s="3"/>
      <c r="G1218" s="57"/>
    </row>
    <row r="1219" spans="1:7" ht="12.75" x14ac:dyDescent="0.2">
      <c r="A1219" s="3"/>
      <c r="B1219" s="4"/>
      <c r="C1219" s="3"/>
      <c r="D1219" s="3"/>
      <c r="E1219" s="3"/>
      <c r="G1219" s="57"/>
    </row>
    <row r="1220" spans="1:7" ht="12.75" x14ac:dyDescent="0.2">
      <c r="A1220" s="3"/>
      <c r="B1220" s="4"/>
      <c r="C1220" s="3"/>
      <c r="D1220" s="3"/>
      <c r="E1220" s="3"/>
      <c r="G1220" s="57"/>
    </row>
    <row r="1221" spans="1:7" ht="12.75" x14ac:dyDescent="0.2">
      <c r="A1221" s="2"/>
      <c r="B1221" s="4"/>
      <c r="C1221" s="3"/>
      <c r="D1221" s="3"/>
      <c r="E1221" s="3"/>
      <c r="G1221" s="59"/>
    </row>
    <row r="1222" spans="1:7" ht="12.75" x14ac:dyDescent="0.2">
      <c r="A1222" s="2"/>
      <c r="B1222" s="4"/>
      <c r="C1222" s="3"/>
      <c r="D1222" s="3"/>
      <c r="E1222" s="3"/>
      <c r="G1222" s="57"/>
    </row>
    <row r="1223" spans="1:7" ht="12.75" x14ac:dyDescent="0.2">
      <c r="A1223" s="2"/>
      <c r="B1223" s="4"/>
      <c r="C1223" s="3"/>
      <c r="D1223" s="3"/>
      <c r="E1223" s="3"/>
      <c r="G1223" s="57"/>
    </row>
    <row r="1224" spans="1:7" ht="12.75" x14ac:dyDescent="0.2">
      <c r="A1224" s="2"/>
      <c r="B1224" s="4"/>
      <c r="C1224" s="3"/>
      <c r="D1224" s="3"/>
      <c r="E1224" s="3"/>
      <c r="G1224" s="57"/>
    </row>
    <row r="1225" spans="1:7" ht="12.75" x14ac:dyDescent="0.2">
      <c r="A1225" s="2"/>
      <c r="B1225" s="4"/>
      <c r="C1225" s="3"/>
      <c r="D1225" s="3"/>
      <c r="E1225" s="3"/>
      <c r="G1225" s="57"/>
    </row>
    <row r="1226" spans="1:7" ht="12.75" x14ac:dyDescent="0.2">
      <c r="A1226" s="2"/>
      <c r="B1226" s="4"/>
      <c r="C1226" s="3"/>
      <c r="D1226" s="3"/>
      <c r="E1226" s="3"/>
      <c r="G1226" s="57"/>
    </row>
    <row r="1227" spans="1:7" ht="12.75" x14ac:dyDescent="0.2">
      <c r="A1227" s="2"/>
      <c r="B1227" s="4"/>
      <c r="C1227" s="3"/>
      <c r="D1227" s="3"/>
      <c r="E1227" s="3"/>
      <c r="G1227" s="57"/>
    </row>
    <row r="1228" spans="1:7" ht="12.75" x14ac:dyDescent="0.2">
      <c r="A1228" s="2"/>
      <c r="B1228" s="4"/>
      <c r="C1228" s="3"/>
      <c r="D1228" s="3"/>
      <c r="E1228" s="3"/>
      <c r="G1228" s="57"/>
    </row>
    <row r="1229" spans="1:7" ht="12.75" x14ac:dyDescent="0.2">
      <c r="A1229" s="2"/>
      <c r="B1229" s="4"/>
      <c r="C1229" s="3"/>
      <c r="D1229" s="3"/>
      <c r="E1229" s="3"/>
      <c r="G1229" s="57"/>
    </row>
    <row r="1230" spans="1:7" ht="12.75" x14ac:dyDescent="0.2">
      <c r="A1230" s="2"/>
      <c r="B1230" s="4"/>
      <c r="C1230" s="3"/>
      <c r="D1230" s="3"/>
      <c r="E1230" s="3"/>
      <c r="G1230" s="57"/>
    </row>
    <row r="1231" spans="1:7" ht="12.75" x14ac:dyDescent="0.2">
      <c r="A1231" s="2"/>
      <c r="B1231" s="4"/>
      <c r="C1231" s="3"/>
      <c r="D1231" s="3"/>
      <c r="E1231" s="3"/>
      <c r="G1231" s="57"/>
    </row>
    <row r="1232" spans="1:7" ht="12.75" x14ac:dyDescent="0.2">
      <c r="A1232" s="2"/>
      <c r="B1232" s="4"/>
      <c r="C1232" s="3"/>
      <c r="D1232" s="3"/>
      <c r="E1232" s="3"/>
      <c r="G1232" s="57"/>
    </row>
    <row r="1233" spans="1:7" ht="12.75" x14ac:dyDescent="0.2">
      <c r="A1233" s="2"/>
      <c r="B1233" s="4"/>
      <c r="C1233" s="3"/>
      <c r="D1233" s="3"/>
      <c r="E1233" s="3"/>
      <c r="G1233" s="57"/>
    </row>
    <row r="1234" spans="1:7" ht="12.75" x14ac:dyDescent="0.2">
      <c r="A1234" s="2"/>
      <c r="B1234" s="4"/>
      <c r="C1234" s="3"/>
      <c r="D1234" s="3"/>
      <c r="E1234" s="3"/>
      <c r="G1234" s="57"/>
    </row>
    <row r="1235" spans="1:7" ht="12.75" x14ac:dyDescent="0.2">
      <c r="A1235" s="2"/>
      <c r="B1235" s="4"/>
      <c r="C1235" s="3"/>
      <c r="D1235" s="3"/>
      <c r="E1235" s="3"/>
      <c r="G1235" s="57"/>
    </row>
    <row r="1236" spans="1:7" ht="12.75" x14ac:dyDescent="0.2">
      <c r="A1236" s="2"/>
      <c r="B1236" s="4"/>
      <c r="C1236" s="3"/>
      <c r="D1236" s="3"/>
      <c r="E1236" s="3"/>
      <c r="G1236" s="57"/>
    </row>
    <row r="1237" spans="1:7" ht="12.75" x14ac:dyDescent="0.2">
      <c r="A1237" s="2"/>
      <c r="B1237" s="4"/>
      <c r="C1237" s="3"/>
      <c r="D1237" s="3"/>
      <c r="E1237" s="3"/>
      <c r="G1237" s="57"/>
    </row>
    <row r="1238" spans="1:7" ht="12.75" x14ac:dyDescent="0.2">
      <c r="A1238" s="2"/>
      <c r="B1238" s="4"/>
      <c r="C1238" s="3"/>
      <c r="D1238" s="3"/>
      <c r="E1238" s="3"/>
      <c r="G1238" s="57"/>
    </row>
    <row r="1239" spans="1:7" ht="12.75" x14ac:dyDescent="0.2">
      <c r="A1239" s="2"/>
      <c r="B1239" s="4"/>
      <c r="C1239" s="3"/>
      <c r="D1239" s="3"/>
      <c r="E1239" s="3"/>
      <c r="G1239" s="57"/>
    </row>
    <row r="1240" spans="1:7" ht="12.75" x14ac:dyDescent="0.2">
      <c r="A1240" s="2"/>
      <c r="B1240" s="4"/>
      <c r="C1240" s="3"/>
      <c r="D1240" s="3"/>
      <c r="E1240" s="3"/>
      <c r="G1240" s="57"/>
    </row>
    <row r="1241" spans="1:7" ht="12.75" x14ac:dyDescent="0.2">
      <c r="A1241" s="3"/>
      <c r="B1241" s="4"/>
      <c r="C1241" s="3"/>
      <c r="D1241" s="3"/>
      <c r="E1241" s="3"/>
      <c r="G1241" s="59"/>
    </row>
    <row r="1242" spans="1:7" ht="12.75" x14ac:dyDescent="0.2">
      <c r="A1242" s="3"/>
      <c r="B1242" s="4"/>
      <c r="C1242" s="3"/>
      <c r="D1242" s="3"/>
      <c r="E1242" s="3"/>
      <c r="G1242" s="57"/>
    </row>
    <row r="1243" spans="1:7" ht="12.75" x14ac:dyDescent="0.2">
      <c r="A1243" s="3"/>
      <c r="B1243" s="4"/>
      <c r="C1243" s="3"/>
      <c r="D1243" s="3"/>
      <c r="E1243" s="3"/>
      <c r="G1243" s="57"/>
    </row>
    <row r="1244" spans="1:7" ht="12.75" x14ac:dyDescent="0.2">
      <c r="A1244" s="3"/>
      <c r="B1244" s="4"/>
      <c r="C1244" s="3"/>
      <c r="D1244" s="3"/>
      <c r="E1244" s="3"/>
      <c r="G1244" s="57"/>
    </row>
    <row r="1245" spans="1:7" ht="12.75" x14ac:dyDescent="0.2">
      <c r="A1245" s="3"/>
      <c r="B1245" s="4"/>
      <c r="C1245" s="3"/>
      <c r="D1245" s="3"/>
      <c r="E1245" s="3"/>
      <c r="G1245" s="57"/>
    </row>
    <row r="1246" spans="1:7" ht="12.75" x14ac:dyDescent="0.2">
      <c r="A1246" s="3"/>
      <c r="B1246" s="4"/>
      <c r="C1246" s="3"/>
      <c r="D1246" s="3"/>
      <c r="E1246" s="3"/>
      <c r="G1246" s="57"/>
    </row>
    <row r="1247" spans="1:7" ht="12.75" x14ac:dyDescent="0.2">
      <c r="A1247" s="3"/>
      <c r="B1247" s="4"/>
      <c r="C1247" s="3"/>
      <c r="D1247" s="3"/>
      <c r="E1247" s="3"/>
      <c r="G1247" s="57"/>
    </row>
    <row r="1248" spans="1:7" ht="12.75" x14ac:dyDescent="0.2">
      <c r="A1248" s="3"/>
      <c r="B1248" s="4"/>
      <c r="C1248" s="3"/>
      <c r="D1248" s="3"/>
      <c r="E1248" s="3"/>
      <c r="G1248" s="57"/>
    </row>
    <row r="1249" spans="1:7" ht="12.75" x14ac:dyDescent="0.2">
      <c r="A1249" s="3"/>
      <c r="B1249" s="4"/>
      <c r="C1249" s="3"/>
      <c r="D1249" s="3"/>
      <c r="E1249" s="3"/>
      <c r="G1249" s="57"/>
    </row>
    <row r="1250" spans="1:7" ht="12.75" x14ac:dyDescent="0.2">
      <c r="A1250" s="3"/>
      <c r="B1250" s="4"/>
      <c r="C1250" s="3"/>
      <c r="D1250" s="3"/>
      <c r="E1250" s="3"/>
      <c r="G1250" s="57"/>
    </row>
    <row r="1251" spans="1:7" ht="12.75" x14ac:dyDescent="0.2">
      <c r="A1251" s="3"/>
      <c r="B1251" s="4"/>
      <c r="C1251" s="3"/>
      <c r="D1251" s="3"/>
      <c r="E1251" s="3"/>
      <c r="G1251" s="57"/>
    </row>
    <row r="1252" spans="1:7" ht="12.75" x14ac:dyDescent="0.2">
      <c r="A1252" s="3"/>
      <c r="B1252" s="4"/>
      <c r="C1252" s="3"/>
      <c r="D1252" s="3"/>
      <c r="E1252" s="3"/>
      <c r="G1252" s="57"/>
    </row>
    <row r="1253" spans="1:7" ht="12.75" x14ac:dyDescent="0.2">
      <c r="A1253" s="3"/>
      <c r="B1253" s="4"/>
      <c r="C1253" s="3"/>
      <c r="D1253" s="3"/>
      <c r="E1253" s="3"/>
      <c r="G1253" s="57"/>
    </row>
    <row r="1254" spans="1:7" ht="12.75" x14ac:dyDescent="0.2">
      <c r="A1254" s="3"/>
      <c r="B1254" s="4"/>
      <c r="C1254" s="3"/>
      <c r="D1254" s="3"/>
      <c r="E1254" s="3"/>
      <c r="G1254" s="57"/>
    </row>
    <row r="1255" spans="1:7" ht="12.75" x14ac:dyDescent="0.2">
      <c r="A1255" s="3"/>
      <c r="B1255" s="4"/>
      <c r="C1255" s="3"/>
      <c r="D1255" s="3"/>
      <c r="E1255" s="3"/>
      <c r="G1255" s="57"/>
    </row>
    <row r="1256" spans="1:7" ht="12.75" x14ac:dyDescent="0.2">
      <c r="A1256" s="3"/>
      <c r="B1256" s="4"/>
      <c r="C1256" s="3"/>
      <c r="D1256" s="3"/>
      <c r="E1256" s="3"/>
      <c r="G1256" s="57"/>
    </row>
    <row r="1257" spans="1:7" ht="12.75" x14ac:dyDescent="0.2">
      <c r="A1257" s="3"/>
      <c r="B1257" s="4"/>
      <c r="C1257" s="3"/>
      <c r="D1257" s="3"/>
      <c r="E1257" s="3"/>
      <c r="G1257" s="57"/>
    </row>
    <row r="1258" spans="1:7" ht="12.75" x14ac:dyDescent="0.2">
      <c r="A1258" s="3"/>
      <c r="B1258" s="4"/>
      <c r="C1258" s="3"/>
      <c r="D1258" s="3"/>
      <c r="E1258" s="3"/>
      <c r="G1258" s="57"/>
    </row>
    <row r="1259" spans="1:7" ht="12.75" x14ac:dyDescent="0.2">
      <c r="A1259" s="3"/>
      <c r="B1259" s="4"/>
      <c r="C1259" s="3"/>
      <c r="D1259" s="3"/>
      <c r="E1259" s="3"/>
      <c r="G1259" s="57"/>
    </row>
    <row r="1260" spans="1:7" ht="12.75" x14ac:dyDescent="0.2">
      <c r="A1260" s="3"/>
      <c r="B1260" s="4"/>
      <c r="C1260" s="3"/>
      <c r="D1260" s="3"/>
      <c r="E1260" s="3"/>
      <c r="G1260" s="57"/>
    </row>
    <row r="1261" spans="1:7" ht="12.75" x14ac:dyDescent="0.2">
      <c r="A1261" s="3"/>
      <c r="B1261" s="4"/>
      <c r="C1261" s="3"/>
      <c r="D1261" s="3"/>
      <c r="E1261" s="3"/>
      <c r="G1261" s="59"/>
    </row>
    <row r="1262" spans="1:7" ht="12.75" x14ac:dyDescent="0.2">
      <c r="A1262" s="3"/>
      <c r="B1262" s="4"/>
      <c r="C1262" s="3"/>
      <c r="D1262" s="3"/>
      <c r="E1262" s="3"/>
      <c r="G1262" s="57"/>
    </row>
    <row r="1263" spans="1:7" ht="12.75" x14ac:dyDescent="0.2">
      <c r="A1263" s="3"/>
      <c r="B1263" s="4"/>
      <c r="C1263" s="3"/>
      <c r="D1263" s="3"/>
      <c r="E1263" s="3"/>
      <c r="G1263" s="57"/>
    </row>
    <row r="1264" spans="1:7" ht="12.75" x14ac:dyDescent="0.2">
      <c r="A1264" s="3"/>
      <c r="B1264" s="4"/>
      <c r="C1264" s="3"/>
      <c r="D1264" s="3"/>
      <c r="E1264" s="3"/>
      <c r="G1264" s="57"/>
    </row>
    <row r="1265" spans="1:7" ht="12.75" x14ac:dyDescent="0.2">
      <c r="A1265" s="3"/>
      <c r="B1265" s="4"/>
      <c r="C1265" s="3"/>
      <c r="D1265" s="3"/>
      <c r="E1265" s="3"/>
      <c r="G1265" s="57"/>
    </row>
    <row r="1266" spans="1:7" ht="12.75" x14ac:dyDescent="0.2">
      <c r="A1266" s="3"/>
      <c r="B1266" s="4"/>
      <c r="C1266" s="3"/>
      <c r="D1266" s="3"/>
      <c r="E1266" s="3"/>
      <c r="G1266" s="57"/>
    </row>
    <row r="1267" spans="1:7" ht="12.75" x14ac:dyDescent="0.2">
      <c r="A1267" s="3"/>
      <c r="B1267" s="4"/>
      <c r="C1267" s="3"/>
      <c r="D1267" s="3"/>
      <c r="E1267" s="3"/>
      <c r="G1267" s="57"/>
    </row>
    <row r="1268" spans="1:7" ht="12.75" x14ac:dyDescent="0.2">
      <c r="A1268" s="3"/>
      <c r="B1268" s="4"/>
      <c r="C1268" s="3"/>
      <c r="D1268" s="3"/>
      <c r="E1268" s="3"/>
      <c r="G1268" s="57"/>
    </row>
    <row r="1269" spans="1:7" ht="12.75" x14ac:dyDescent="0.2">
      <c r="A1269" s="3"/>
      <c r="B1269" s="4"/>
      <c r="C1269" s="3"/>
      <c r="D1269" s="3"/>
      <c r="E1269" s="3"/>
      <c r="G1269" s="57"/>
    </row>
    <row r="1270" spans="1:7" ht="12.75" x14ac:dyDescent="0.2">
      <c r="A1270" s="3"/>
      <c r="B1270" s="4"/>
      <c r="C1270" s="3"/>
      <c r="D1270" s="3"/>
      <c r="E1270" s="3"/>
      <c r="G1270" s="57"/>
    </row>
    <row r="1271" spans="1:7" ht="12.75" x14ac:dyDescent="0.2">
      <c r="A1271" s="3"/>
      <c r="B1271" s="4"/>
      <c r="C1271" s="3"/>
      <c r="D1271" s="3"/>
      <c r="E1271" s="3"/>
      <c r="G1271" s="57"/>
    </row>
    <row r="1272" spans="1:7" ht="12.75" x14ac:dyDescent="0.2">
      <c r="A1272" s="3"/>
      <c r="B1272" s="4"/>
      <c r="C1272" s="3"/>
      <c r="D1272" s="3"/>
      <c r="E1272" s="3"/>
      <c r="G1272" s="57"/>
    </row>
    <row r="1273" spans="1:7" ht="12.75" x14ac:dyDescent="0.2">
      <c r="A1273" s="3"/>
      <c r="B1273" s="4"/>
      <c r="C1273" s="3"/>
      <c r="D1273" s="3"/>
      <c r="E1273" s="3"/>
      <c r="G1273" s="57"/>
    </row>
    <row r="1274" spans="1:7" ht="12.75" x14ac:dyDescent="0.2">
      <c r="A1274" s="3"/>
      <c r="B1274" s="4"/>
      <c r="C1274" s="3"/>
      <c r="D1274" s="3"/>
      <c r="E1274" s="3"/>
      <c r="G1274" s="57"/>
    </row>
    <row r="1275" spans="1:7" ht="12.75" x14ac:dyDescent="0.2">
      <c r="A1275" s="3"/>
      <c r="B1275" s="4"/>
      <c r="C1275" s="3"/>
      <c r="D1275" s="3"/>
      <c r="E1275" s="3"/>
      <c r="G1275" s="57"/>
    </row>
    <row r="1276" spans="1:7" ht="12.75" x14ac:dyDescent="0.2">
      <c r="A1276" s="3"/>
      <c r="B1276" s="4"/>
      <c r="C1276" s="3"/>
      <c r="D1276" s="3"/>
      <c r="E1276" s="3"/>
      <c r="G1276" s="57"/>
    </row>
    <row r="1277" spans="1:7" ht="12.75" x14ac:dyDescent="0.2">
      <c r="A1277" s="3"/>
      <c r="B1277" s="4"/>
      <c r="C1277" s="3"/>
      <c r="D1277" s="3"/>
      <c r="E1277" s="3"/>
      <c r="G1277" s="57"/>
    </row>
    <row r="1278" spans="1:7" ht="12.75" x14ac:dyDescent="0.2">
      <c r="A1278" s="3"/>
      <c r="B1278" s="4"/>
      <c r="C1278" s="3"/>
      <c r="D1278" s="3"/>
      <c r="E1278" s="3"/>
      <c r="G1278" s="57"/>
    </row>
    <row r="1279" spans="1:7" ht="12.75" x14ac:dyDescent="0.2">
      <c r="A1279" s="3"/>
      <c r="B1279" s="4"/>
      <c r="C1279" s="3"/>
      <c r="D1279" s="3"/>
      <c r="E1279" s="3"/>
      <c r="G1279" s="57"/>
    </row>
    <row r="1280" spans="1:7" ht="12.75" x14ac:dyDescent="0.2">
      <c r="A1280" s="3"/>
      <c r="B1280" s="4"/>
      <c r="C1280" s="3"/>
      <c r="D1280" s="3"/>
      <c r="E1280" s="3"/>
      <c r="G1280" s="57"/>
    </row>
    <row r="1281" spans="1:7" ht="12.75" x14ac:dyDescent="0.2">
      <c r="A1281" s="3"/>
      <c r="B1281" s="4"/>
      <c r="C1281" s="3"/>
      <c r="D1281" s="3"/>
      <c r="E1281" s="3"/>
      <c r="G1281" s="59"/>
    </row>
    <row r="1282" spans="1:7" ht="12.75" x14ac:dyDescent="0.2">
      <c r="A1282" s="3"/>
      <c r="B1282" s="4"/>
      <c r="C1282" s="3"/>
      <c r="D1282" s="3"/>
      <c r="E1282" s="3"/>
      <c r="G1282" s="57"/>
    </row>
    <row r="1283" spans="1:7" ht="12.75" x14ac:dyDescent="0.2">
      <c r="A1283" s="3"/>
      <c r="B1283" s="4"/>
      <c r="C1283" s="3"/>
      <c r="D1283" s="3"/>
      <c r="E1283" s="3"/>
      <c r="G1283" s="57"/>
    </row>
    <row r="1284" spans="1:7" ht="12.75" x14ac:dyDescent="0.2">
      <c r="A1284" s="3"/>
      <c r="B1284" s="4"/>
      <c r="C1284" s="3"/>
      <c r="D1284" s="3"/>
      <c r="E1284" s="3"/>
      <c r="G1284" s="57"/>
    </row>
    <row r="1285" spans="1:7" ht="12.75" x14ac:dyDescent="0.2">
      <c r="A1285" s="3"/>
      <c r="B1285" s="4"/>
      <c r="C1285" s="3"/>
      <c r="D1285" s="3"/>
      <c r="E1285" s="3"/>
      <c r="G1285" s="57"/>
    </row>
    <row r="1286" spans="1:7" ht="12.75" x14ac:dyDescent="0.2">
      <c r="A1286" s="3"/>
      <c r="B1286" s="4"/>
      <c r="C1286" s="3"/>
      <c r="D1286" s="3"/>
      <c r="E1286" s="3"/>
      <c r="G1286" s="57"/>
    </row>
    <row r="1287" spans="1:7" ht="12.75" x14ac:dyDescent="0.2">
      <c r="A1287" s="3"/>
      <c r="B1287" s="4"/>
      <c r="C1287" s="3"/>
      <c r="D1287" s="3"/>
      <c r="E1287" s="3"/>
      <c r="G1287" s="57"/>
    </row>
    <row r="1288" spans="1:7" ht="12.75" x14ac:dyDescent="0.2">
      <c r="A1288" s="3"/>
      <c r="B1288" s="4"/>
      <c r="C1288" s="3"/>
      <c r="D1288" s="3"/>
      <c r="E1288" s="3"/>
      <c r="G1288" s="57"/>
    </row>
    <row r="1289" spans="1:7" ht="12.75" x14ac:dyDescent="0.2">
      <c r="A1289" s="3"/>
      <c r="B1289" s="4"/>
      <c r="C1289" s="3"/>
      <c r="D1289" s="3"/>
      <c r="E1289" s="3"/>
      <c r="G1289" s="57"/>
    </row>
    <row r="1290" spans="1:7" ht="12.75" x14ac:dyDescent="0.2">
      <c r="A1290" s="3"/>
      <c r="B1290" s="4"/>
      <c r="C1290" s="3"/>
      <c r="D1290" s="3"/>
      <c r="E1290" s="3"/>
      <c r="G1290" s="57"/>
    </row>
    <row r="1291" spans="1:7" ht="12.75" x14ac:dyDescent="0.2">
      <c r="A1291" s="3"/>
      <c r="B1291" s="4"/>
      <c r="C1291" s="3"/>
      <c r="D1291" s="3"/>
      <c r="E1291" s="3"/>
      <c r="G1291" s="57"/>
    </row>
    <row r="1292" spans="1:7" ht="12.75" x14ac:dyDescent="0.2">
      <c r="A1292" s="3"/>
      <c r="B1292" s="4"/>
      <c r="C1292" s="3"/>
      <c r="D1292" s="3"/>
      <c r="E1292" s="3"/>
      <c r="G1292" s="57"/>
    </row>
    <row r="1293" spans="1:7" ht="12.75" x14ac:dyDescent="0.2">
      <c r="A1293" s="3"/>
      <c r="B1293" s="4"/>
      <c r="C1293" s="3"/>
      <c r="D1293" s="3"/>
      <c r="E1293" s="3"/>
      <c r="G1293" s="57"/>
    </row>
    <row r="1294" spans="1:7" ht="12.75" x14ac:dyDescent="0.2">
      <c r="A1294" s="3"/>
      <c r="B1294" s="4"/>
      <c r="C1294" s="3"/>
      <c r="D1294" s="3"/>
      <c r="E1294" s="3"/>
      <c r="G1294" s="57"/>
    </row>
    <row r="1295" spans="1:7" ht="12.75" x14ac:dyDescent="0.2">
      <c r="A1295" s="3"/>
      <c r="B1295" s="4"/>
      <c r="C1295" s="3"/>
      <c r="D1295" s="3"/>
      <c r="E1295" s="3"/>
      <c r="G1295" s="57"/>
    </row>
    <row r="1296" spans="1:7" ht="12.75" x14ac:dyDescent="0.2">
      <c r="A1296" s="3"/>
      <c r="B1296" s="4"/>
      <c r="C1296" s="3"/>
      <c r="D1296" s="3"/>
      <c r="E1296" s="3"/>
      <c r="G1296" s="57"/>
    </row>
    <row r="1297" spans="1:7" ht="12.75" x14ac:dyDescent="0.2">
      <c r="A1297" s="3"/>
      <c r="B1297" s="4"/>
      <c r="C1297" s="3"/>
      <c r="D1297" s="3"/>
      <c r="E1297" s="3"/>
      <c r="G1297" s="57"/>
    </row>
    <row r="1298" spans="1:7" ht="12.75" x14ac:dyDescent="0.2">
      <c r="A1298" s="3"/>
      <c r="B1298" s="4"/>
      <c r="C1298" s="3"/>
      <c r="D1298" s="3"/>
      <c r="E1298" s="3"/>
      <c r="G1298" s="57"/>
    </row>
    <row r="1299" spans="1:7" ht="12.75" x14ac:dyDescent="0.2">
      <c r="A1299" s="3"/>
      <c r="B1299" s="4"/>
      <c r="C1299" s="3"/>
      <c r="D1299" s="3"/>
      <c r="E1299" s="3"/>
      <c r="G1299" s="57"/>
    </row>
    <row r="1300" spans="1:7" ht="12.75" x14ac:dyDescent="0.2">
      <c r="A1300" s="3"/>
      <c r="B1300" s="4"/>
      <c r="C1300" s="3"/>
      <c r="D1300" s="3"/>
      <c r="E1300" s="3"/>
      <c r="G1300" s="57"/>
    </row>
    <row r="1301" spans="1:7" ht="12.75" x14ac:dyDescent="0.2">
      <c r="A1301" s="3"/>
      <c r="B1301" s="4"/>
      <c r="C1301" s="3"/>
      <c r="D1301" s="3"/>
      <c r="E1301" s="3"/>
      <c r="G1301" s="59"/>
    </row>
    <row r="1302" spans="1:7" ht="12.75" x14ac:dyDescent="0.2">
      <c r="A1302" s="3"/>
      <c r="B1302" s="4"/>
      <c r="C1302" s="3"/>
      <c r="D1302" s="3"/>
      <c r="E1302" s="3"/>
      <c r="G1302" s="57"/>
    </row>
    <row r="1303" spans="1:7" ht="12.75" x14ac:dyDescent="0.2">
      <c r="A1303" s="3"/>
      <c r="B1303" s="4"/>
      <c r="C1303" s="3"/>
      <c r="D1303" s="3"/>
      <c r="E1303" s="3"/>
      <c r="G1303" s="57"/>
    </row>
    <row r="1304" spans="1:7" ht="12.75" x14ac:dyDescent="0.2">
      <c r="A1304" s="3"/>
      <c r="B1304" s="4"/>
      <c r="C1304" s="3"/>
      <c r="D1304" s="3"/>
      <c r="E1304" s="3"/>
      <c r="G1304" s="57"/>
    </row>
    <row r="1305" spans="1:7" ht="12.75" x14ac:dyDescent="0.2">
      <c r="A1305" s="3"/>
      <c r="B1305" s="4"/>
      <c r="C1305" s="3"/>
      <c r="D1305" s="3"/>
      <c r="E1305" s="3"/>
      <c r="G1305" s="57"/>
    </row>
    <row r="1306" spans="1:7" ht="12.75" x14ac:dyDescent="0.2">
      <c r="A1306" s="3"/>
      <c r="B1306" s="4"/>
      <c r="C1306" s="3"/>
      <c r="D1306" s="3"/>
      <c r="E1306" s="3"/>
      <c r="G1306" s="57"/>
    </row>
    <row r="1307" spans="1:7" ht="12.75" x14ac:dyDescent="0.2">
      <c r="A1307" s="3"/>
      <c r="B1307" s="4"/>
      <c r="C1307" s="3"/>
      <c r="D1307" s="3"/>
      <c r="E1307" s="3"/>
      <c r="G1307" s="57"/>
    </row>
    <row r="1308" spans="1:7" ht="12.75" x14ac:dyDescent="0.2">
      <c r="A1308" s="3"/>
      <c r="B1308" s="4"/>
      <c r="C1308" s="3"/>
      <c r="D1308" s="3"/>
      <c r="E1308" s="3"/>
      <c r="G1308" s="57"/>
    </row>
    <row r="1309" spans="1:7" ht="12.75" x14ac:dyDescent="0.2">
      <c r="A1309" s="3"/>
      <c r="B1309" s="4"/>
      <c r="C1309" s="3"/>
      <c r="D1309" s="3"/>
      <c r="E1309" s="3"/>
      <c r="G1309" s="57"/>
    </row>
    <row r="1310" spans="1:7" ht="12.75" x14ac:dyDescent="0.2">
      <c r="A1310" s="3"/>
      <c r="B1310" s="4"/>
      <c r="C1310" s="3"/>
      <c r="D1310" s="3"/>
      <c r="E1310" s="3"/>
      <c r="G1310" s="57"/>
    </row>
    <row r="1311" spans="1:7" ht="12.75" x14ac:dyDescent="0.2">
      <c r="A1311" s="3"/>
      <c r="B1311" s="4"/>
      <c r="C1311" s="3"/>
      <c r="D1311" s="3"/>
      <c r="E1311" s="3"/>
      <c r="G1311" s="57"/>
    </row>
    <row r="1312" spans="1:7" ht="12.75" x14ac:dyDescent="0.2">
      <c r="A1312" s="3"/>
      <c r="B1312" s="4"/>
      <c r="C1312" s="3"/>
      <c r="D1312" s="3"/>
      <c r="E1312" s="3"/>
      <c r="G1312" s="57"/>
    </row>
    <row r="1313" spans="1:7" ht="12.75" x14ac:dyDescent="0.2">
      <c r="A1313" s="3"/>
      <c r="B1313" s="4"/>
      <c r="C1313" s="3"/>
      <c r="D1313" s="3"/>
      <c r="E1313" s="3"/>
      <c r="G1313" s="57"/>
    </row>
    <row r="1314" spans="1:7" ht="12.75" x14ac:dyDescent="0.2">
      <c r="A1314" s="3"/>
      <c r="B1314" s="4"/>
      <c r="C1314" s="3"/>
      <c r="D1314" s="3"/>
      <c r="E1314" s="3"/>
      <c r="G1314" s="57"/>
    </row>
    <row r="1315" spans="1:7" ht="12.75" x14ac:dyDescent="0.2">
      <c r="A1315" s="3"/>
      <c r="B1315" s="4"/>
      <c r="C1315" s="3"/>
      <c r="D1315" s="3"/>
      <c r="E1315" s="3"/>
      <c r="G1315" s="57"/>
    </row>
    <row r="1316" spans="1:7" ht="12.75" x14ac:dyDescent="0.2">
      <c r="A1316" s="3"/>
      <c r="B1316" s="4"/>
      <c r="C1316" s="3"/>
      <c r="D1316" s="3"/>
      <c r="E1316" s="3"/>
      <c r="G1316" s="57"/>
    </row>
    <row r="1317" spans="1:7" ht="12.75" x14ac:dyDescent="0.2">
      <c r="A1317" s="3"/>
      <c r="B1317" s="4"/>
      <c r="C1317" s="3"/>
      <c r="D1317" s="3"/>
      <c r="E1317" s="3"/>
      <c r="G1317" s="57"/>
    </row>
    <row r="1318" spans="1:7" ht="12.75" x14ac:dyDescent="0.2">
      <c r="A1318" s="3"/>
      <c r="B1318" s="4"/>
      <c r="C1318" s="3"/>
      <c r="D1318" s="3"/>
      <c r="E1318" s="3"/>
      <c r="G1318" s="57"/>
    </row>
    <row r="1319" spans="1:7" ht="12.75" x14ac:dyDescent="0.2">
      <c r="A1319" s="3"/>
      <c r="B1319" s="4"/>
      <c r="C1319" s="3"/>
      <c r="D1319" s="3"/>
      <c r="E1319" s="3"/>
      <c r="G1319" s="57"/>
    </row>
    <row r="1320" spans="1:7" ht="12.75" x14ac:dyDescent="0.2">
      <c r="A1320" s="3"/>
      <c r="B1320" s="4"/>
      <c r="C1320" s="3"/>
      <c r="D1320" s="3"/>
      <c r="E1320" s="3"/>
      <c r="G1320" s="57"/>
    </row>
    <row r="1321" spans="1:7" ht="12.75" x14ac:dyDescent="0.2">
      <c r="A1321" s="3"/>
      <c r="B1321" s="4"/>
      <c r="C1321" s="3"/>
      <c r="G1321" s="19"/>
    </row>
    <row r="1322" spans="1:7" ht="12.75" x14ac:dyDescent="0.2">
      <c r="A1322" s="3"/>
      <c r="B1322" s="4"/>
      <c r="C1322" s="3"/>
      <c r="G1322" s="19"/>
    </row>
    <row r="1323" spans="1:7" ht="12.75" x14ac:dyDescent="0.2">
      <c r="A1323" s="3"/>
      <c r="B1323" s="4"/>
      <c r="C1323" s="3"/>
      <c r="G1323" s="19"/>
    </row>
    <row r="1324" spans="1:7" ht="12.75" x14ac:dyDescent="0.2">
      <c r="A1324" s="3"/>
      <c r="B1324" s="4"/>
      <c r="C1324" s="3"/>
      <c r="G1324" s="19"/>
    </row>
    <row r="1325" spans="1:7" ht="12.75" x14ac:dyDescent="0.2">
      <c r="A1325" s="3"/>
      <c r="B1325" s="4"/>
      <c r="C1325" s="3"/>
      <c r="G1325" s="19"/>
    </row>
    <row r="1326" spans="1:7" ht="12.75" x14ac:dyDescent="0.2">
      <c r="A1326" s="3"/>
      <c r="B1326" s="4"/>
      <c r="C1326" s="3"/>
      <c r="G1326" s="19"/>
    </row>
    <row r="1327" spans="1:7" ht="12.75" x14ac:dyDescent="0.2">
      <c r="A1327" s="3"/>
      <c r="B1327" s="4"/>
      <c r="C1327" s="3"/>
      <c r="G1327" s="19"/>
    </row>
    <row r="1328" spans="1:7" ht="12.75" x14ac:dyDescent="0.2">
      <c r="A1328" s="3"/>
      <c r="B1328" s="4"/>
      <c r="C1328" s="3"/>
      <c r="G1328" s="19"/>
    </row>
    <row r="1329" spans="1:7" ht="12.75" x14ac:dyDescent="0.2">
      <c r="A1329" s="3"/>
      <c r="B1329" s="4"/>
      <c r="C1329" s="3"/>
      <c r="G1329" s="19"/>
    </row>
    <row r="1330" spans="1:7" ht="12.75" x14ac:dyDescent="0.2">
      <c r="A1330" s="3"/>
      <c r="B1330" s="4"/>
      <c r="C1330" s="3"/>
      <c r="G1330" s="19"/>
    </row>
    <row r="1331" spans="1:7" ht="12.75" x14ac:dyDescent="0.2">
      <c r="A1331" s="3"/>
      <c r="B1331" s="4"/>
      <c r="C1331" s="3"/>
      <c r="G1331" s="19"/>
    </row>
    <row r="1332" spans="1:7" ht="12.75" x14ac:dyDescent="0.2">
      <c r="A1332" s="3"/>
      <c r="B1332" s="4"/>
      <c r="C1332" s="3"/>
      <c r="G1332" s="19"/>
    </row>
    <row r="1333" spans="1:7" ht="12.75" x14ac:dyDescent="0.2">
      <c r="A1333" s="3"/>
      <c r="B1333" s="4"/>
      <c r="C1333" s="3"/>
      <c r="G1333" s="19"/>
    </row>
    <row r="1334" spans="1:7" ht="12.75" x14ac:dyDescent="0.2">
      <c r="A1334" s="3"/>
      <c r="B1334" s="4"/>
      <c r="C1334" s="3"/>
      <c r="G1334" s="19"/>
    </row>
    <row r="1335" spans="1:7" ht="12.75" x14ac:dyDescent="0.2">
      <c r="A1335" s="3"/>
      <c r="B1335" s="4"/>
      <c r="C1335" s="3"/>
      <c r="G1335" s="19"/>
    </row>
    <row r="1336" spans="1:7" ht="12.75" x14ac:dyDescent="0.2">
      <c r="A1336" s="3"/>
      <c r="B1336" s="4"/>
      <c r="C1336" s="3"/>
      <c r="G1336" s="19"/>
    </row>
    <row r="1337" spans="1:7" ht="12.75" x14ac:dyDescent="0.2">
      <c r="A1337" s="3"/>
      <c r="B1337" s="4"/>
      <c r="C1337" s="3"/>
      <c r="G1337" s="19"/>
    </row>
    <row r="1338" spans="1:7" ht="12.75" x14ac:dyDescent="0.2">
      <c r="A1338" s="3"/>
      <c r="B1338" s="4"/>
      <c r="C1338" s="3"/>
      <c r="G1338" s="19"/>
    </row>
    <row r="1339" spans="1:7" ht="12.75" x14ac:dyDescent="0.2">
      <c r="A1339" s="3"/>
      <c r="B1339" s="4"/>
      <c r="C1339" s="3"/>
      <c r="G1339" s="19"/>
    </row>
    <row r="1340" spans="1:7" ht="12.75" x14ac:dyDescent="0.2">
      <c r="A1340" s="3"/>
      <c r="B1340" s="4"/>
      <c r="C1340" s="3"/>
      <c r="G1340" s="19"/>
    </row>
    <row r="1341" spans="1:7" ht="12.75" x14ac:dyDescent="0.2">
      <c r="A1341" s="3"/>
      <c r="B1341" s="4"/>
      <c r="C1341" s="3"/>
      <c r="G1341" s="19"/>
    </row>
    <row r="1342" spans="1:7" ht="12.75" x14ac:dyDescent="0.2">
      <c r="A1342" s="3"/>
      <c r="B1342" s="4"/>
      <c r="C1342" s="3"/>
      <c r="G1342" s="19"/>
    </row>
    <row r="1343" spans="1:7" ht="12.75" x14ac:dyDescent="0.2">
      <c r="A1343" s="3"/>
      <c r="B1343" s="4"/>
      <c r="C1343" s="3"/>
      <c r="G1343" s="19"/>
    </row>
    <row r="1344" spans="1:7" ht="12.75" x14ac:dyDescent="0.2">
      <c r="A1344" s="3"/>
      <c r="B1344" s="4"/>
      <c r="C1344" s="3"/>
      <c r="G1344" s="19"/>
    </row>
    <row r="1345" spans="1:7" ht="12.75" x14ac:dyDescent="0.2">
      <c r="A1345" s="3"/>
      <c r="B1345" s="4"/>
      <c r="C1345" s="3"/>
      <c r="G1345" s="19"/>
    </row>
    <row r="1346" spans="1:7" ht="12.75" x14ac:dyDescent="0.2">
      <c r="A1346" s="3"/>
      <c r="B1346" s="4"/>
      <c r="C1346" s="3"/>
      <c r="G1346" s="19"/>
    </row>
    <row r="1347" spans="1:7" ht="12.75" x14ac:dyDescent="0.2">
      <c r="A1347" s="3"/>
      <c r="B1347" s="4"/>
      <c r="C1347" s="3"/>
      <c r="G1347" s="19"/>
    </row>
    <row r="1348" spans="1:7" ht="12.75" x14ac:dyDescent="0.2">
      <c r="A1348" s="3"/>
      <c r="B1348" s="4"/>
      <c r="C1348" s="3"/>
      <c r="G1348" s="19"/>
    </row>
    <row r="1349" spans="1:7" ht="12.75" x14ac:dyDescent="0.2">
      <c r="A1349" s="3"/>
      <c r="B1349" s="4"/>
      <c r="C1349" s="3"/>
      <c r="G1349" s="19"/>
    </row>
    <row r="1350" spans="1:7" ht="12.75" x14ac:dyDescent="0.2">
      <c r="A1350" s="3"/>
      <c r="B1350" s="4"/>
      <c r="C1350" s="3"/>
      <c r="G1350" s="19"/>
    </row>
    <row r="1351" spans="1:7" ht="12.75" x14ac:dyDescent="0.2">
      <c r="A1351" s="3"/>
      <c r="B1351" s="4"/>
      <c r="C1351" s="3"/>
      <c r="G1351" s="19"/>
    </row>
    <row r="1352" spans="1:7" ht="12.75" x14ac:dyDescent="0.2">
      <c r="A1352" s="3"/>
      <c r="B1352" s="4"/>
      <c r="C1352" s="3"/>
      <c r="G1352" s="19"/>
    </row>
    <row r="1353" spans="1:7" ht="12.75" x14ac:dyDescent="0.2">
      <c r="A1353" s="3"/>
      <c r="B1353" s="4"/>
      <c r="C1353" s="3"/>
      <c r="G1353" s="19"/>
    </row>
    <row r="1354" spans="1:7" ht="12.75" x14ac:dyDescent="0.2">
      <c r="A1354" s="3"/>
      <c r="B1354" s="4"/>
      <c r="C1354" s="3"/>
      <c r="G1354" s="19"/>
    </row>
    <row r="1355" spans="1:7" ht="12.75" x14ac:dyDescent="0.2">
      <c r="A1355" s="3"/>
      <c r="B1355" s="4"/>
      <c r="C1355" s="3"/>
      <c r="G1355" s="19"/>
    </row>
    <row r="1356" spans="1:7" ht="12.75" x14ac:dyDescent="0.2">
      <c r="A1356" s="3"/>
      <c r="B1356" s="4"/>
      <c r="C1356" s="3"/>
      <c r="G1356" s="19"/>
    </row>
    <row r="1357" spans="1:7" ht="12.75" x14ac:dyDescent="0.2">
      <c r="A1357" s="3"/>
      <c r="B1357" s="4"/>
      <c r="C1357" s="3"/>
      <c r="G1357" s="19"/>
    </row>
    <row r="1358" spans="1:7" ht="12.75" x14ac:dyDescent="0.2">
      <c r="A1358" s="3"/>
      <c r="B1358" s="4"/>
      <c r="C1358" s="3"/>
      <c r="G1358" s="19"/>
    </row>
    <row r="1359" spans="1:7" ht="12.75" x14ac:dyDescent="0.2">
      <c r="A1359" s="3"/>
      <c r="B1359" s="4"/>
      <c r="C1359" s="3"/>
      <c r="G1359" s="19"/>
    </row>
    <row r="1360" spans="1:7" ht="12.75" x14ac:dyDescent="0.2">
      <c r="A1360" s="3"/>
      <c r="B1360" s="4"/>
      <c r="C1360" s="3"/>
      <c r="G1360" s="19"/>
    </row>
    <row r="1361" spans="1:7" ht="12.75" x14ac:dyDescent="0.2">
      <c r="A1361" s="3"/>
      <c r="B1361" s="4"/>
      <c r="C1361" s="3"/>
      <c r="G1361" s="19"/>
    </row>
    <row r="1362" spans="1:7" ht="12.75" x14ac:dyDescent="0.2">
      <c r="A1362" s="3"/>
      <c r="B1362" s="4"/>
      <c r="C1362" s="3"/>
      <c r="G1362" s="19"/>
    </row>
    <row r="1363" spans="1:7" ht="12.75" x14ac:dyDescent="0.2">
      <c r="A1363" s="3"/>
      <c r="B1363" s="4"/>
      <c r="C1363" s="3"/>
      <c r="G1363" s="19"/>
    </row>
    <row r="1364" spans="1:7" ht="12.75" x14ac:dyDescent="0.2">
      <c r="A1364" s="3"/>
      <c r="B1364" s="4"/>
      <c r="C1364" s="3"/>
      <c r="G1364" s="19"/>
    </row>
    <row r="1365" spans="1:7" ht="12.75" x14ac:dyDescent="0.2">
      <c r="A1365" s="3"/>
      <c r="B1365" s="4"/>
      <c r="C1365" s="3"/>
      <c r="G1365" s="19"/>
    </row>
    <row r="1366" spans="1:7" ht="12.75" x14ac:dyDescent="0.2">
      <c r="A1366" s="3"/>
      <c r="B1366" s="4"/>
      <c r="C1366" s="3"/>
      <c r="G1366" s="19"/>
    </row>
    <row r="1367" spans="1:7" ht="12.75" x14ac:dyDescent="0.2">
      <c r="A1367" s="3"/>
      <c r="B1367" s="4"/>
      <c r="C1367" s="3"/>
      <c r="G1367" s="19"/>
    </row>
    <row r="1368" spans="1:7" ht="12.75" x14ac:dyDescent="0.2">
      <c r="A1368" s="3"/>
      <c r="B1368" s="4"/>
      <c r="C1368" s="3"/>
      <c r="G1368" s="19"/>
    </row>
    <row r="1369" spans="1:7" ht="12.75" x14ac:dyDescent="0.2">
      <c r="A1369" s="3"/>
      <c r="B1369" s="4"/>
      <c r="C1369" s="3"/>
      <c r="G1369" s="19"/>
    </row>
    <row r="1370" spans="1:7" ht="12.75" x14ac:dyDescent="0.2">
      <c r="A1370" s="3"/>
      <c r="B1370" s="4"/>
      <c r="C1370" s="3"/>
      <c r="G1370" s="19"/>
    </row>
    <row r="1371" spans="1:7" ht="12.75" x14ac:dyDescent="0.2">
      <c r="A1371" s="3"/>
      <c r="B1371" s="4"/>
      <c r="C1371" s="3"/>
      <c r="G1371" s="19"/>
    </row>
    <row r="1372" spans="1:7" ht="12.75" x14ac:dyDescent="0.2">
      <c r="A1372" s="3"/>
      <c r="B1372" s="4"/>
      <c r="C1372" s="3"/>
      <c r="G1372" s="19"/>
    </row>
    <row r="1373" spans="1:7" ht="12.75" x14ac:dyDescent="0.2">
      <c r="A1373" s="3"/>
      <c r="B1373" s="4"/>
      <c r="C1373" s="3"/>
      <c r="G1373" s="19"/>
    </row>
    <row r="1374" spans="1:7" ht="12.75" x14ac:dyDescent="0.2">
      <c r="A1374" s="3"/>
      <c r="B1374" s="4"/>
      <c r="C1374" s="3"/>
      <c r="G1374" s="19"/>
    </row>
    <row r="1375" spans="1:7" ht="12.75" x14ac:dyDescent="0.2">
      <c r="A1375" s="3"/>
      <c r="B1375" s="4"/>
      <c r="C1375" s="3"/>
      <c r="G1375" s="19"/>
    </row>
    <row r="1376" spans="1:7" ht="12.75" x14ac:dyDescent="0.2">
      <c r="A1376" s="3"/>
      <c r="B1376" s="4"/>
      <c r="C1376" s="3"/>
      <c r="G1376" s="19"/>
    </row>
    <row r="1377" spans="1:7" ht="12.75" x14ac:dyDescent="0.2">
      <c r="A1377" s="3"/>
      <c r="B1377" s="4"/>
      <c r="C1377" s="3"/>
      <c r="G1377" s="19"/>
    </row>
    <row r="1378" spans="1:7" ht="12.75" x14ac:dyDescent="0.2">
      <c r="A1378" s="3"/>
      <c r="B1378" s="4"/>
      <c r="C1378" s="3"/>
      <c r="G1378" s="19"/>
    </row>
    <row r="1379" spans="1:7" ht="12.75" x14ac:dyDescent="0.2">
      <c r="A1379" s="3"/>
      <c r="B1379" s="4"/>
      <c r="C1379" s="3"/>
      <c r="G1379" s="19"/>
    </row>
    <row r="1380" spans="1:7" ht="12.75" x14ac:dyDescent="0.2">
      <c r="A1380" s="3"/>
      <c r="B1380" s="4"/>
      <c r="C1380" s="3"/>
      <c r="G1380" s="19"/>
    </row>
    <row r="1381" spans="1:7" ht="12.75" x14ac:dyDescent="0.2">
      <c r="A1381" s="3"/>
      <c r="B1381" s="4"/>
      <c r="C1381" s="3"/>
      <c r="G1381" s="19"/>
    </row>
    <row r="1382" spans="1:7" ht="12.75" x14ac:dyDescent="0.2">
      <c r="A1382" s="3"/>
      <c r="B1382" s="4"/>
      <c r="C1382" s="3"/>
      <c r="G1382" s="19"/>
    </row>
    <row r="1383" spans="1:7" ht="12.75" x14ac:dyDescent="0.2">
      <c r="A1383" s="3"/>
      <c r="B1383" s="4"/>
      <c r="C1383" s="3"/>
      <c r="G1383" s="19"/>
    </row>
    <row r="1384" spans="1:7" ht="12.75" x14ac:dyDescent="0.2">
      <c r="A1384" s="3"/>
      <c r="B1384" s="4"/>
      <c r="C1384" s="3"/>
      <c r="G1384" s="19"/>
    </row>
    <row r="1385" spans="1:7" ht="12.75" x14ac:dyDescent="0.2">
      <c r="A1385" s="3"/>
      <c r="B1385" s="4"/>
      <c r="C1385" s="3"/>
      <c r="G1385" s="19"/>
    </row>
    <row r="1386" spans="1:7" ht="12.75" x14ac:dyDescent="0.2">
      <c r="A1386" s="3"/>
      <c r="B1386" s="4"/>
      <c r="C1386" s="3"/>
      <c r="G1386" s="19"/>
    </row>
    <row r="1387" spans="1:7" ht="12.75" x14ac:dyDescent="0.2">
      <c r="A1387" s="3"/>
      <c r="B1387" s="4"/>
      <c r="C1387" s="3"/>
      <c r="G1387" s="19"/>
    </row>
    <row r="1388" spans="1:7" ht="12.75" x14ac:dyDescent="0.2">
      <c r="A1388" s="3"/>
      <c r="B1388" s="4"/>
      <c r="C1388" s="3"/>
      <c r="G1388" s="19"/>
    </row>
    <row r="1389" spans="1:7" ht="12.75" x14ac:dyDescent="0.2">
      <c r="A1389" s="3"/>
      <c r="B1389" s="4"/>
      <c r="C1389" s="3"/>
      <c r="G1389" s="19"/>
    </row>
    <row r="1390" spans="1:7" ht="12.75" x14ac:dyDescent="0.2">
      <c r="A1390" s="3"/>
      <c r="B1390" s="4"/>
      <c r="C1390" s="3"/>
      <c r="G1390" s="19"/>
    </row>
    <row r="1391" spans="1:7" ht="12.75" x14ac:dyDescent="0.2">
      <c r="A1391" s="3"/>
      <c r="B1391" s="4"/>
      <c r="C1391" s="3"/>
      <c r="G1391" s="19"/>
    </row>
    <row r="1392" spans="1:7" ht="12.75" x14ac:dyDescent="0.2">
      <c r="A1392" s="3"/>
      <c r="B1392" s="4"/>
      <c r="C1392" s="3"/>
      <c r="G1392" s="19"/>
    </row>
    <row r="1393" spans="1:7" ht="12.75" x14ac:dyDescent="0.2">
      <c r="A1393" s="3"/>
      <c r="B1393" s="4"/>
      <c r="C1393" s="3"/>
      <c r="G1393" s="19"/>
    </row>
    <row r="1394" spans="1:7" ht="12.75" x14ac:dyDescent="0.2">
      <c r="A1394" s="3"/>
      <c r="B1394" s="4"/>
      <c r="C1394" s="3"/>
      <c r="G1394" s="19"/>
    </row>
    <row r="1395" spans="1:7" ht="12.75" x14ac:dyDescent="0.2">
      <c r="A1395" s="3"/>
      <c r="B1395" s="4"/>
      <c r="C1395" s="3"/>
      <c r="G1395" s="19"/>
    </row>
    <row r="1396" spans="1:7" ht="12.75" x14ac:dyDescent="0.2">
      <c r="A1396" s="3"/>
      <c r="B1396" s="4"/>
      <c r="C1396" s="3"/>
      <c r="G1396" s="19"/>
    </row>
    <row r="1397" spans="1:7" ht="12.75" x14ac:dyDescent="0.2">
      <c r="A1397" s="3"/>
      <c r="B1397" s="4"/>
      <c r="C1397" s="3"/>
      <c r="G1397" s="19"/>
    </row>
    <row r="1398" spans="1:7" ht="12.75" x14ac:dyDescent="0.2">
      <c r="A1398" s="3"/>
      <c r="B1398" s="4"/>
      <c r="C1398" s="3"/>
      <c r="G1398" s="19"/>
    </row>
    <row r="1399" spans="1:7" ht="12.75" x14ac:dyDescent="0.2">
      <c r="A1399" s="3"/>
      <c r="B1399" s="4"/>
      <c r="C1399" s="3"/>
      <c r="G1399" s="19"/>
    </row>
    <row r="1400" spans="1:7" ht="12.75" x14ac:dyDescent="0.2">
      <c r="A1400" s="3"/>
      <c r="B1400" s="4"/>
      <c r="C1400" s="3"/>
      <c r="G1400" s="19"/>
    </row>
    <row r="1401" spans="1:7" ht="12.75" x14ac:dyDescent="0.2">
      <c r="A1401" s="3"/>
      <c r="B1401" s="4"/>
      <c r="C1401" s="3"/>
      <c r="G1401" s="19"/>
    </row>
    <row r="1402" spans="1:7" ht="12.75" x14ac:dyDescent="0.2">
      <c r="A1402" s="3"/>
      <c r="B1402" s="4"/>
      <c r="C1402" s="3"/>
      <c r="G1402" s="19"/>
    </row>
    <row r="1403" spans="1:7" ht="12.75" x14ac:dyDescent="0.2">
      <c r="A1403" s="3"/>
      <c r="B1403" s="4"/>
      <c r="C1403" s="3"/>
      <c r="G1403" s="19"/>
    </row>
    <row r="1404" spans="1:7" ht="12.75" x14ac:dyDescent="0.2">
      <c r="A1404" s="3"/>
      <c r="B1404" s="4"/>
      <c r="C1404" s="3"/>
      <c r="G1404" s="19"/>
    </row>
    <row r="1405" spans="1:7" ht="12.75" x14ac:dyDescent="0.2">
      <c r="A1405" s="3"/>
      <c r="B1405" s="4"/>
      <c r="C1405" s="3"/>
      <c r="G1405" s="19"/>
    </row>
    <row r="1406" spans="1:7" ht="12.75" x14ac:dyDescent="0.2">
      <c r="A1406" s="3"/>
      <c r="B1406" s="4"/>
      <c r="C1406" s="3"/>
      <c r="G1406" s="19"/>
    </row>
    <row r="1407" spans="1:7" ht="12.75" x14ac:dyDescent="0.2">
      <c r="A1407" s="3"/>
      <c r="B1407" s="4"/>
      <c r="C1407" s="3"/>
      <c r="G1407" s="19"/>
    </row>
    <row r="1408" spans="1:7" ht="12.75" x14ac:dyDescent="0.2">
      <c r="A1408" s="3"/>
      <c r="B1408" s="4"/>
      <c r="C1408" s="3"/>
      <c r="G1408" s="19"/>
    </row>
    <row r="1409" spans="1:7" ht="12.75" x14ac:dyDescent="0.2">
      <c r="A1409" s="3"/>
      <c r="B1409" s="4"/>
      <c r="C1409" s="3"/>
      <c r="G1409" s="19"/>
    </row>
    <row r="1410" spans="1:7" ht="12.75" x14ac:dyDescent="0.2">
      <c r="A1410" s="3"/>
      <c r="B1410" s="4"/>
      <c r="C1410" s="3"/>
      <c r="G1410" s="19"/>
    </row>
    <row r="1411" spans="1:7" ht="12.75" x14ac:dyDescent="0.2">
      <c r="A1411" s="3"/>
      <c r="B1411" s="4"/>
      <c r="C1411" s="3"/>
      <c r="G1411" s="19"/>
    </row>
    <row r="1412" spans="1:7" ht="12.75" x14ac:dyDescent="0.2">
      <c r="A1412" s="3"/>
      <c r="B1412" s="4"/>
      <c r="C1412" s="3"/>
      <c r="G1412" s="19"/>
    </row>
    <row r="1413" spans="1:7" ht="12.75" x14ac:dyDescent="0.2">
      <c r="A1413" s="3"/>
      <c r="B1413" s="4"/>
      <c r="C1413" s="3"/>
      <c r="G1413" s="19"/>
    </row>
    <row r="1414" spans="1:7" ht="12.75" x14ac:dyDescent="0.2">
      <c r="A1414" s="3"/>
      <c r="B1414" s="4"/>
      <c r="C1414" s="3"/>
      <c r="G1414" s="19"/>
    </row>
    <row r="1415" spans="1:7" ht="12.75" x14ac:dyDescent="0.2">
      <c r="A1415" s="3"/>
      <c r="B1415" s="4"/>
      <c r="C1415" s="3"/>
      <c r="G1415" s="19"/>
    </row>
    <row r="1416" spans="1:7" ht="18" customHeight="1" x14ac:dyDescent="0.2">
      <c r="A1416" s="3"/>
      <c r="B1416" s="4"/>
      <c r="C1416" s="3"/>
      <c r="G1416" s="19"/>
    </row>
    <row r="1417" spans="1:7" ht="18" customHeight="1" x14ac:dyDescent="0.2">
      <c r="A1417" s="3"/>
      <c r="B1417" s="4"/>
      <c r="C1417" s="3"/>
      <c r="G1417" s="19"/>
    </row>
    <row r="1418" spans="1:7" ht="18" customHeight="1" x14ac:dyDescent="0.2">
      <c r="A1418" s="3"/>
      <c r="B1418" s="4"/>
      <c r="C1418" s="3"/>
      <c r="G1418" s="19"/>
    </row>
    <row r="1419" spans="1:7" ht="18" customHeight="1" x14ac:dyDescent="0.2">
      <c r="A1419" s="3"/>
      <c r="B1419" s="4"/>
      <c r="C1419" s="3"/>
      <c r="G1419" s="19"/>
    </row>
    <row r="1420" spans="1:7" ht="18" customHeight="1" x14ac:dyDescent="0.2">
      <c r="A1420" s="3"/>
      <c r="B1420" s="4"/>
      <c r="C1420" s="3"/>
      <c r="G1420" s="19"/>
    </row>
    <row r="1421" spans="1:7" ht="18" customHeight="1" x14ac:dyDescent="0.2">
      <c r="A1421" s="3"/>
      <c r="B1421" s="4"/>
      <c r="C1421" s="3"/>
      <c r="G1421" s="19"/>
    </row>
    <row r="1422" spans="1:7" ht="18" customHeight="1" x14ac:dyDescent="0.2">
      <c r="A1422" s="3"/>
      <c r="B1422" s="4"/>
      <c r="C1422" s="3"/>
      <c r="G1422" s="19"/>
    </row>
    <row r="1423" spans="1:7" ht="18" customHeight="1" x14ac:dyDescent="0.2">
      <c r="A1423" s="3"/>
      <c r="B1423" s="4"/>
      <c r="C1423" s="3"/>
      <c r="G1423" s="19"/>
    </row>
    <row r="1424" spans="1:7" ht="18" customHeight="1" x14ac:dyDescent="0.2">
      <c r="A1424" s="3"/>
      <c r="B1424" s="4"/>
      <c r="C1424" s="3"/>
      <c r="G1424" s="19"/>
    </row>
    <row r="1425" spans="1:7" ht="18" customHeight="1" x14ac:dyDescent="0.2">
      <c r="A1425" s="3"/>
      <c r="B1425" s="4"/>
      <c r="C1425" s="3"/>
      <c r="G1425" s="19"/>
    </row>
    <row r="1426" spans="1:7" ht="18" customHeight="1" x14ac:dyDescent="0.2">
      <c r="A1426" s="3"/>
      <c r="B1426" s="4"/>
      <c r="C1426" s="3"/>
      <c r="G1426" s="19"/>
    </row>
    <row r="1427" spans="1:7" ht="18" customHeight="1" x14ac:dyDescent="0.2">
      <c r="A1427" s="3"/>
      <c r="B1427" s="4"/>
      <c r="C1427" s="3"/>
      <c r="G1427" s="19"/>
    </row>
    <row r="1428" spans="1:7" ht="12.75" x14ac:dyDescent="0.2">
      <c r="A1428" s="3"/>
      <c r="B1428" s="4"/>
      <c r="C1428" s="3"/>
      <c r="G1428" s="19"/>
    </row>
    <row r="1429" spans="1:7" ht="12.75" x14ac:dyDescent="0.2">
      <c r="A1429" s="3"/>
      <c r="B1429" s="4"/>
      <c r="C1429" s="3"/>
      <c r="G1429" s="19"/>
    </row>
    <row r="1430" spans="1:7" ht="12.75" x14ac:dyDescent="0.2">
      <c r="A1430" s="3"/>
      <c r="B1430" s="4"/>
      <c r="C1430" s="3"/>
      <c r="G1430" s="19"/>
    </row>
    <row r="1431" spans="1:7" ht="12.75" x14ac:dyDescent="0.2">
      <c r="A1431" s="3"/>
      <c r="B1431" s="4"/>
      <c r="C1431" s="3"/>
      <c r="G1431" s="19"/>
    </row>
    <row r="1432" spans="1:7" ht="12.75" x14ac:dyDescent="0.2">
      <c r="A1432" s="3"/>
      <c r="B1432" s="4"/>
      <c r="C1432" s="3"/>
      <c r="G1432" s="19"/>
    </row>
    <row r="1433" spans="1:7" ht="12.75" x14ac:dyDescent="0.2">
      <c r="A1433" s="3"/>
      <c r="B1433" s="4"/>
      <c r="C1433" s="3"/>
      <c r="G1433" s="19"/>
    </row>
    <row r="1434" spans="1:7" ht="12.75" x14ac:dyDescent="0.2">
      <c r="A1434" s="3"/>
      <c r="B1434" s="4"/>
      <c r="C1434" s="3"/>
      <c r="G1434" s="19"/>
    </row>
    <row r="1435" spans="1:7" ht="12.75" x14ac:dyDescent="0.2">
      <c r="A1435" s="3"/>
      <c r="B1435" s="4"/>
      <c r="C1435" s="3"/>
      <c r="G1435" s="19"/>
    </row>
    <row r="1436" spans="1:7" ht="12.75" x14ac:dyDescent="0.2">
      <c r="A1436" s="3"/>
      <c r="B1436" s="4"/>
      <c r="C1436" s="3"/>
      <c r="G1436" s="19"/>
    </row>
    <row r="1437" spans="1:7" ht="12.75" x14ac:dyDescent="0.2">
      <c r="A1437" s="3"/>
      <c r="B1437" s="4"/>
      <c r="C1437" s="3"/>
      <c r="G1437" s="19"/>
    </row>
    <row r="1438" spans="1:7" ht="12.75" x14ac:dyDescent="0.2">
      <c r="A1438" s="3"/>
      <c r="B1438" s="4"/>
      <c r="C1438" s="3"/>
      <c r="G1438" s="19"/>
    </row>
    <row r="1439" spans="1:7" ht="12.75" x14ac:dyDescent="0.2">
      <c r="A1439" s="3"/>
      <c r="B1439" s="4"/>
      <c r="C1439" s="3"/>
      <c r="G1439" s="19"/>
    </row>
    <row r="1440" spans="1:7" ht="12.75" x14ac:dyDescent="0.2">
      <c r="A1440" s="3"/>
      <c r="B1440" s="4"/>
      <c r="C1440" s="3"/>
      <c r="G1440" s="19"/>
    </row>
    <row r="1441" spans="1:7" ht="12.75" x14ac:dyDescent="0.2">
      <c r="A1441" s="3"/>
      <c r="B1441" s="4"/>
      <c r="C1441" s="3"/>
      <c r="G1441" s="19"/>
    </row>
    <row r="1442" spans="1:7" ht="12.75" x14ac:dyDescent="0.2">
      <c r="A1442" s="3"/>
      <c r="B1442" s="4"/>
      <c r="C1442" s="3"/>
      <c r="G1442" s="19"/>
    </row>
    <row r="1443" spans="1:7" ht="12.75" x14ac:dyDescent="0.2">
      <c r="A1443" s="3"/>
      <c r="B1443" s="4"/>
      <c r="C1443" s="3"/>
      <c r="G1443" s="19"/>
    </row>
    <row r="1444" spans="1:7" ht="12.75" x14ac:dyDescent="0.2">
      <c r="A1444" s="3"/>
      <c r="B1444" s="4"/>
      <c r="C1444" s="3"/>
      <c r="G1444" s="19"/>
    </row>
    <row r="1445" spans="1:7" ht="12.75" x14ac:dyDescent="0.2">
      <c r="A1445" s="3"/>
      <c r="B1445" s="4"/>
      <c r="C1445" s="3"/>
      <c r="G1445" s="19"/>
    </row>
    <row r="1446" spans="1:7" ht="12.75" x14ac:dyDescent="0.2">
      <c r="A1446" s="3"/>
      <c r="B1446" s="4"/>
      <c r="C1446" s="3"/>
      <c r="G1446" s="19"/>
    </row>
    <row r="1447" spans="1:7" ht="12.75" x14ac:dyDescent="0.2">
      <c r="A1447" s="3"/>
      <c r="B1447" s="4"/>
      <c r="C1447" s="3"/>
      <c r="G1447" s="19"/>
    </row>
    <row r="1448" spans="1:7" ht="12.75" x14ac:dyDescent="0.2">
      <c r="A1448" s="3"/>
      <c r="B1448" s="4"/>
      <c r="C1448" s="3"/>
      <c r="G1448" s="19"/>
    </row>
    <row r="1449" spans="1:7" ht="12.75" x14ac:dyDescent="0.2">
      <c r="A1449" s="3"/>
      <c r="B1449" s="4"/>
      <c r="C1449" s="3"/>
      <c r="G1449" s="19"/>
    </row>
    <row r="1450" spans="1:7" ht="12.75" x14ac:dyDescent="0.2">
      <c r="A1450" s="3"/>
      <c r="B1450" s="4"/>
      <c r="C1450" s="3"/>
      <c r="G1450" s="19"/>
    </row>
    <row r="1451" spans="1:7" ht="12.75" x14ac:dyDescent="0.2">
      <c r="A1451" s="3"/>
      <c r="B1451" s="4"/>
      <c r="C1451" s="3"/>
      <c r="G1451" s="19"/>
    </row>
    <row r="1452" spans="1:7" ht="12.75" x14ac:dyDescent="0.2">
      <c r="A1452" s="3"/>
      <c r="B1452" s="4"/>
      <c r="C1452" s="3"/>
      <c r="G1452" s="19"/>
    </row>
    <row r="1453" spans="1:7" ht="12.75" x14ac:dyDescent="0.2">
      <c r="A1453" s="3"/>
      <c r="B1453" s="4"/>
      <c r="C1453" s="3"/>
      <c r="G1453" s="19"/>
    </row>
    <row r="1454" spans="1:7" ht="12.75" x14ac:dyDescent="0.2">
      <c r="A1454" s="3"/>
      <c r="B1454" s="4"/>
      <c r="C1454" s="3"/>
      <c r="G1454" s="19"/>
    </row>
    <row r="1455" spans="1:7" ht="12.75" x14ac:dyDescent="0.2">
      <c r="A1455" s="3"/>
      <c r="B1455" s="4"/>
      <c r="C1455" s="3"/>
      <c r="G1455" s="19"/>
    </row>
    <row r="1456" spans="1:7" ht="12.75" x14ac:dyDescent="0.2">
      <c r="A1456" s="3"/>
      <c r="B1456" s="4"/>
      <c r="C1456" s="3"/>
      <c r="G1456" s="19"/>
    </row>
    <row r="1457" spans="1:7" ht="12.75" x14ac:dyDescent="0.2">
      <c r="A1457" s="3"/>
      <c r="B1457" s="4"/>
      <c r="C1457" s="3"/>
      <c r="G1457" s="19"/>
    </row>
    <row r="1458" spans="1:7" ht="12.75" x14ac:dyDescent="0.2">
      <c r="A1458" s="3"/>
      <c r="B1458" s="4"/>
      <c r="C1458" s="3"/>
      <c r="G1458" s="19"/>
    </row>
    <row r="1459" spans="1:7" ht="12.75" x14ac:dyDescent="0.2">
      <c r="A1459" s="3"/>
      <c r="B1459" s="4"/>
      <c r="C1459" s="3"/>
      <c r="G1459" s="19"/>
    </row>
    <row r="1460" spans="1:7" ht="12.75" x14ac:dyDescent="0.2">
      <c r="A1460" s="3"/>
      <c r="B1460" s="4"/>
      <c r="C1460" s="3"/>
      <c r="G1460" s="19"/>
    </row>
    <row r="1461" spans="1:7" ht="12.75" x14ac:dyDescent="0.2">
      <c r="A1461" s="3"/>
      <c r="B1461" s="4"/>
      <c r="C1461" s="3"/>
      <c r="G1461" s="19"/>
    </row>
    <row r="1462" spans="1:7" ht="12.75" x14ac:dyDescent="0.2">
      <c r="A1462" s="3"/>
      <c r="B1462" s="4"/>
      <c r="C1462" s="3"/>
      <c r="G1462" s="19"/>
    </row>
    <row r="1463" spans="1:7" ht="12.75" x14ac:dyDescent="0.2">
      <c r="A1463" s="3"/>
      <c r="B1463" s="4"/>
      <c r="C1463" s="3"/>
      <c r="G1463" s="19"/>
    </row>
    <row r="1464" spans="1:7" ht="12.75" x14ac:dyDescent="0.2">
      <c r="A1464" s="3"/>
      <c r="B1464" s="4"/>
      <c r="C1464" s="3"/>
      <c r="G1464" s="19"/>
    </row>
    <row r="1465" spans="1:7" ht="12.75" x14ac:dyDescent="0.2">
      <c r="A1465" s="3"/>
      <c r="B1465" s="4"/>
      <c r="C1465" s="3"/>
      <c r="G1465" s="19"/>
    </row>
    <row r="1466" spans="1:7" ht="12.75" x14ac:dyDescent="0.2">
      <c r="A1466" s="3"/>
      <c r="B1466" s="4"/>
      <c r="C1466" s="3"/>
      <c r="G1466" s="19"/>
    </row>
    <row r="1467" spans="1:7" ht="12.75" x14ac:dyDescent="0.2">
      <c r="A1467" s="3"/>
      <c r="B1467" s="4"/>
      <c r="C1467" s="3"/>
      <c r="G1467" s="19"/>
    </row>
    <row r="1468" spans="1:7" ht="12.75" x14ac:dyDescent="0.2">
      <c r="A1468" s="3"/>
      <c r="B1468" s="4"/>
      <c r="C1468" s="3"/>
      <c r="G1468" s="19"/>
    </row>
    <row r="1469" spans="1:7" ht="12.75" x14ac:dyDescent="0.2">
      <c r="A1469" s="3"/>
      <c r="B1469" s="4"/>
      <c r="C1469" s="3"/>
      <c r="G1469" s="19"/>
    </row>
    <row r="1470" spans="1:7" ht="12.75" x14ac:dyDescent="0.2">
      <c r="A1470" s="3"/>
      <c r="B1470" s="4"/>
      <c r="C1470" s="3"/>
      <c r="G1470" s="19"/>
    </row>
    <row r="1471" spans="1:7" ht="12.75" x14ac:dyDescent="0.2">
      <c r="A1471" s="3"/>
      <c r="B1471" s="4"/>
      <c r="C1471" s="3"/>
      <c r="G1471" s="19"/>
    </row>
    <row r="1472" spans="1:7" ht="12.75" x14ac:dyDescent="0.2">
      <c r="A1472" s="3"/>
      <c r="B1472" s="4"/>
      <c r="C1472" s="3"/>
      <c r="G1472" s="19"/>
    </row>
    <row r="1473" spans="1:7" ht="12.75" x14ac:dyDescent="0.2">
      <c r="A1473" s="3"/>
      <c r="B1473" s="4"/>
      <c r="C1473" s="3"/>
      <c r="G1473" s="19"/>
    </row>
    <row r="1474" spans="1:7" ht="12.75" x14ac:dyDescent="0.2">
      <c r="A1474" s="3"/>
      <c r="B1474" s="4"/>
      <c r="C1474" s="3"/>
      <c r="G1474" s="19"/>
    </row>
    <row r="1475" spans="1:7" ht="12.75" x14ac:dyDescent="0.2">
      <c r="A1475" s="3"/>
      <c r="B1475" s="4"/>
      <c r="C1475" s="3"/>
      <c r="G1475" s="19"/>
    </row>
    <row r="1476" spans="1:7" ht="12.75" x14ac:dyDescent="0.2">
      <c r="A1476" s="3"/>
      <c r="B1476" s="4"/>
      <c r="C1476" s="3"/>
      <c r="G1476" s="19"/>
    </row>
    <row r="1477" spans="1:7" ht="12.75" x14ac:dyDescent="0.2">
      <c r="A1477" s="3"/>
      <c r="B1477" s="4"/>
      <c r="C1477" s="3"/>
      <c r="G1477" s="19"/>
    </row>
    <row r="1478" spans="1:7" ht="12.75" x14ac:dyDescent="0.2">
      <c r="A1478" s="3"/>
      <c r="B1478" s="4"/>
      <c r="C1478" s="3"/>
      <c r="G1478" s="19"/>
    </row>
    <row r="1479" spans="1:7" ht="12.75" x14ac:dyDescent="0.2">
      <c r="A1479" s="3"/>
      <c r="B1479" s="4"/>
      <c r="C1479" s="3"/>
      <c r="G1479" s="19"/>
    </row>
    <row r="1480" spans="1:7" ht="12.75" x14ac:dyDescent="0.2">
      <c r="A1480" s="3"/>
      <c r="B1480" s="4"/>
      <c r="C1480" s="3"/>
      <c r="G1480" s="19"/>
    </row>
    <row r="1481" spans="1:7" ht="12.75" x14ac:dyDescent="0.2">
      <c r="A1481" s="3"/>
      <c r="B1481" s="4"/>
      <c r="C1481" s="3"/>
      <c r="G1481" s="19"/>
    </row>
    <row r="1482" spans="1:7" ht="12.75" x14ac:dyDescent="0.2">
      <c r="A1482" s="3"/>
      <c r="B1482" s="4"/>
      <c r="C1482" s="3"/>
      <c r="G1482" s="19"/>
    </row>
    <row r="1483" spans="1:7" ht="12.75" x14ac:dyDescent="0.2">
      <c r="A1483" s="3"/>
      <c r="B1483" s="4"/>
      <c r="C1483" s="3"/>
      <c r="G1483" s="19"/>
    </row>
    <row r="1484" spans="1:7" ht="12.75" x14ac:dyDescent="0.2">
      <c r="A1484" s="3"/>
      <c r="B1484" s="4"/>
      <c r="C1484" s="3"/>
      <c r="G1484" s="19"/>
    </row>
    <row r="1485" spans="1:7" ht="12.75" x14ac:dyDescent="0.2">
      <c r="A1485" s="3"/>
      <c r="B1485" s="4"/>
      <c r="C1485" s="3"/>
      <c r="G1485" s="19"/>
    </row>
    <row r="1486" spans="1:7" ht="12.75" x14ac:dyDescent="0.2">
      <c r="A1486" s="3"/>
      <c r="B1486" s="4"/>
      <c r="C1486" s="3"/>
      <c r="G1486" s="19"/>
    </row>
    <row r="1487" spans="1:7" ht="12.75" x14ac:dyDescent="0.2">
      <c r="A1487" s="3"/>
      <c r="B1487" s="4"/>
      <c r="C1487" s="3"/>
      <c r="G1487" s="19"/>
    </row>
    <row r="1488" spans="1:7" ht="12.75" x14ac:dyDescent="0.2">
      <c r="A1488" s="3"/>
      <c r="B1488" s="4"/>
      <c r="C1488" s="3"/>
      <c r="G1488" s="19"/>
    </row>
    <row r="1489" spans="1:7" ht="12.75" x14ac:dyDescent="0.2">
      <c r="A1489" s="3"/>
      <c r="B1489" s="4"/>
      <c r="C1489" s="3"/>
      <c r="G1489" s="19"/>
    </row>
    <row r="1490" spans="1:7" ht="12.75" x14ac:dyDescent="0.2">
      <c r="A1490" s="3"/>
      <c r="B1490" s="4"/>
      <c r="C1490" s="3"/>
      <c r="G1490" s="19"/>
    </row>
    <row r="1491" spans="1:7" ht="12.75" x14ac:dyDescent="0.2">
      <c r="A1491" s="3"/>
      <c r="B1491" s="4"/>
      <c r="C1491" s="3"/>
      <c r="G1491" s="19"/>
    </row>
    <row r="1492" spans="1:7" ht="12.75" x14ac:dyDescent="0.2">
      <c r="A1492" s="3"/>
      <c r="B1492" s="4"/>
      <c r="C1492" s="3"/>
      <c r="G1492" s="19"/>
    </row>
    <row r="1493" spans="1:7" ht="12.75" x14ac:dyDescent="0.2">
      <c r="A1493" s="3"/>
      <c r="B1493" s="4"/>
      <c r="C1493" s="3"/>
      <c r="G1493" s="19"/>
    </row>
    <row r="1494" spans="1:7" ht="12.75" x14ac:dyDescent="0.2">
      <c r="A1494" s="3"/>
      <c r="B1494" s="4"/>
      <c r="C1494" s="3"/>
      <c r="G1494" s="19"/>
    </row>
    <row r="1495" spans="1:7" ht="12.75" x14ac:dyDescent="0.2">
      <c r="A1495" s="3"/>
      <c r="B1495" s="4"/>
      <c r="C1495" s="3"/>
      <c r="G1495" s="19"/>
    </row>
    <row r="1496" spans="1:7" ht="12.75" x14ac:dyDescent="0.2">
      <c r="A1496" s="3"/>
      <c r="B1496" s="4"/>
      <c r="C1496" s="3"/>
      <c r="G1496" s="19"/>
    </row>
    <row r="1497" spans="1:7" ht="12.75" x14ac:dyDescent="0.2">
      <c r="A1497" s="3"/>
      <c r="B1497" s="4"/>
      <c r="C1497" s="3"/>
      <c r="G1497" s="19"/>
    </row>
    <row r="1498" spans="1:7" ht="12.75" x14ac:dyDescent="0.2">
      <c r="A1498" s="3"/>
      <c r="B1498" s="4"/>
      <c r="C1498" s="3"/>
      <c r="G1498" s="19"/>
    </row>
    <row r="1499" spans="1:7" ht="12.75" x14ac:dyDescent="0.2">
      <c r="A1499" s="3"/>
      <c r="B1499" s="4"/>
      <c r="C1499" s="3"/>
      <c r="G1499" s="19"/>
    </row>
    <row r="1500" spans="1:7" ht="12.75" x14ac:dyDescent="0.2">
      <c r="A1500" s="3"/>
      <c r="B1500" s="4"/>
      <c r="C1500" s="3"/>
      <c r="G1500" s="19"/>
    </row>
    <row r="1501" spans="1:7" ht="12.75" x14ac:dyDescent="0.2">
      <c r="A1501" s="3"/>
      <c r="B1501" s="4"/>
      <c r="C1501" s="3"/>
      <c r="G1501" s="19"/>
    </row>
    <row r="1502" spans="1:7" ht="12.75" x14ac:dyDescent="0.2">
      <c r="A1502" s="3"/>
      <c r="B1502" s="4"/>
      <c r="C1502" s="3"/>
      <c r="G1502" s="19"/>
    </row>
    <row r="1503" spans="1:7" ht="12.75" x14ac:dyDescent="0.2">
      <c r="A1503" s="3"/>
      <c r="B1503" s="4"/>
      <c r="C1503" s="3"/>
      <c r="G1503" s="19"/>
    </row>
    <row r="1504" spans="1:7" ht="12.75" x14ac:dyDescent="0.2">
      <c r="A1504" s="3"/>
      <c r="B1504" s="4"/>
      <c r="C1504" s="3"/>
      <c r="G1504" s="19"/>
    </row>
    <row r="1505" spans="1:7" ht="12.75" x14ac:dyDescent="0.2">
      <c r="A1505" s="3"/>
      <c r="B1505" s="4"/>
      <c r="C1505" s="3"/>
      <c r="G1505" s="19"/>
    </row>
    <row r="1506" spans="1:7" ht="12.75" x14ac:dyDescent="0.2">
      <c r="A1506" s="3"/>
      <c r="B1506" s="4"/>
      <c r="C1506" s="3"/>
      <c r="G1506" s="19"/>
    </row>
    <row r="1507" spans="1:7" ht="12.75" x14ac:dyDescent="0.2">
      <c r="A1507" s="3"/>
      <c r="B1507" s="4"/>
      <c r="C1507" s="3"/>
      <c r="G1507" s="19"/>
    </row>
    <row r="1508" spans="1:7" ht="12.75" x14ac:dyDescent="0.2">
      <c r="A1508" s="3"/>
      <c r="B1508" s="4"/>
      <c r="C1508" s="3"/>
      <c r="G1508" s="19"/>
    </row>
    <row r="1509" spans="1:7" ht="12.75" x14ac:dyDescent="0.2">
      <c r="A1509" s="3"/>
      <c r="B1509" s="4"/>
      <c r="C1509" s="3"/>
      <c r="G1509" s="19"/>
    </row>
    <row r="1510" spans="1:7" ht="12.75" x14ac:dyDescent="0.2">
      <c r="A1510" s="3"/>
      <c r="B1510" s="4"/>
      <c r="C1510" s="3"/>
      <c r="G1510" s="19"/>
    </row>
    <row r="1511" spans="1:7" ht="12.75" x14ac:dyDescent="0.2">
      <c r="A1511" s="3"/>
      <c r="B1511" s="4"/>
      <c r="C1511" s="3"/>
      <c r="G1511" s="19"/>
    </row>
    <row r="1512" spans="1:7" ht="12.75" x14ac:dyDescent="0.2">
      <c r="A1512" s="3"/>
      <c r="B1512" s="4"/>
      <c r="C1512" s="3"/>
      <c r="G1512" s="19"/>
    </row>
    <row r="1513" spans="1:7" ht="12.75" x14ac:dyDescent="0.2">
      <c r="A1513" s="3"/>
      <c r="B1513" s="4"/>
      <c r="C1513" s="3"/>
      <c r="G1513" s="19"/>
    </row>
    <row r="1514" spans="1:7" ht="12.75" x14ac:dyDescent="0.2">
      <c r="A1514" s="3"/>
      <c r="B1514" s="4"/>
      <c r="C1514" s="3"/>
      <c r="G1514" s="19"/>
    </row>
    <row r="1515" spans="1:7" ht="12.75" x14ac:dyDescent="0.2">
      <c r="A1515" s="3"/>
      <c r="B1515" s="4"/>
      <c r="C1515" s="3"/>
      <c r="G1515" s="19"/>
    </row>
    <row r="1516" spans="1:7" ht="12.75" x14ac:dyDescent="0.2">
      <c r="A1516" s="3"/>
      <c r="B1516" s="4"/>
      <c r="C1516" s="3"/>
      <c r="G1516" s="19"/>
    </row>
    <row r="1517" spans="1:7" ht="12.75" x14ac:dyDescent="0.2">
      <c r="A1517" s="3"/>
      <c r="B1517" s="4"/>
      <c r="C1517" s="3"/>
      <c r="G1517" s="19"/>
    </row>
    <row r="1518" spans="1:7" ht="12.75" x14ac:dyDescent="0.2">
      <c r="A1518" s="3"/>
      <c r="B1518" s="4"/>
      <c r="C1518" s="3"/>
      <c r="G1518" s="19"/>
    </row>
    <row r="1519" spans="1:7" ht="12.75" x14ac:dyDescent="0.2">
      <c r="A1519" s="3"/>
      <c r="B1519" s="4"/>
      <c r="C1519" s="3"/>
      <c r="G1519" s="19"/>
    </row>
    <row r="1520" spans="1:7" ht="12.75" x14ac:dyDescent="0.2">
      <c r="A1520" s="3"/>
      <c r="B1520" s="4"/>
      <c r="C1520" s="3"/>
      <c r="G1520" s="19"/>
    </row>
    <row r="1521" spans="1:7" ht="12.75" x14ac:dyDescent="0.2">
      <c r="A1521" s="3"/>
      <c r="B1521" s="4"/>
      <c r="C1521" s="3"/>
      <c r="G1521" s="19"/>
    </row>
    <row r="1522" spans="1:7" ht="12.75" x14ac:dyDescent="0.2">
      <c r="A1522" s="3"/>
      <c r="B1522" s="4"/>
      <c r="C1522" s="3"/>
      <c r="G1522" s="19"/>
    </row>
    <row r="1523" spans="1:7" ht="12.75" x14ac:dyDescent="0.2">
      <c r="A1523" s="3"/>
      <c r="B1523" s="4"/>
      <c r="C1523" s="3"/>
      <c r="G1523" s="19"/>
    </row>
    <row r="1524" spans="1:7" ht="12.75" x14ac:dyDescent="0.2">
      <c r="A1524" s="3"/>
      <c r="B1524" s="4"/>
      <c r="C1524" s="3"/>
      <c r="G1524" s="19"/>
    </row>
    <row r="1525" spans="1:7" ht="12.75" x14ac:dyDescent="0.2">
      <c r="A1525" s="3"/>
      <c r="B1525" s="4"/>
      <c r="C1525" s="3"/>
      <c r="G1525" s="19"/>
    </row>
    <row r="1526" spans="1:7" ht="12.75" x14ac:dyDescent="0.2">
      <c r="A1526" s="3"/>
      <c r="B1526" s="4"/>
      <c r="C1526" s="3"/>
      <c r="G1526" s="19"/>
    </row>
    <row r="1527" spans="1:7" ht="12.75" x14ac:dyDescent="0.2">
      <c r="A1527" s="3"/>
      <c r="B1527" s="4"/>
      <c r="C1527" s="3"/>
      <c r="G1527" s="19"/>
    </row>
    <row r="1528" spans="1:7" ht="12.75" x14ac:dyDescent="0.2">
      <c r="A1528" s="3"/>
      <c r="B1528" s="4"/>
      <c r="C1528" s="3"/>
      <c r="G1528" s="19"/>
    </row>
    <row r="1529" spans="1:7" ht="12.75" x14ac:dyDescent="0.2">
      <c r="A1529" s="3"/>
      <c r="B1529" s="4"/>
      <c r="C1529" s="3"/>
      <c r="G1529" s="19"/>
    </row>
    <row r="1530" spans="1:7" ht="12.75" x14ac:dyDescent="0.2">
      <c r="A1530" s="3"/>
      <c r="B1530" s="4"/>
      <c r="C1530" s="3"/>
      <c r="G1530" s="19"/>
    </row>
    <row r="1531" spans="1:7" ht="12.75" x14ac:dyDescent="0.2">
      <c r="A1531" s="3"/>
      <c r="B1531" s="4"/>
      <c r="C1531" s="3"/>
      <c r="G1531" s="19"/>
    </row>
    <row r="1532" spans="1:7" ht="12.75" x14ac:dyDescent="0.2">
      <c r="A1532" s="3"/>
      <c r="B1532" s="4"/>
      <c r="C1532" s="3"/>
      <c r="G1532" s="19"/>
    </row>
    <row r="1533" spans="1:7" ht="12.75" x14ac:dyDescent="0.2">
      <c r="A1533" s="3"/>
      <c r="B1533" s="4"/>
      <c r="C1533" s="3"/>
      <c r="G1533" s="19"/>
    </row>
    <row r="1534" spans="1:7" ht="12.75" x14ac:dyDescent="0.2">
      <c r="A1534" s="3"/>
      <c r="B1534" s="4"/>
      <c r="C1534" s="3"/>
      <c r="G1534" s="19"/>
    </row>
    <row r="1535" spans="1:7" ht="12.75" x14ac:dyDescent="0.2">
      <c r="A1535" s="3"/>
      <c r="B1535" s="4"/>
      <c r="C1535" s="3"/>
      <c r="G1535" s="19"/>
    </row>
    <row r="1536" spans="1:7" ht="12.75" x14ac:dyDescent="0.2">
      <c r="A1536" s="3"/>
      <c r="B1536" s="4"/>
      <c r="C1536" s="3"/>
      <c r="G1536" s="19"/>
    </row>
    <row r="1537" spans="1:7" ht="12.75" x14ac:dyDescent="0.2">
      <c r="A1537" s="3"/>
      <c r="B1537" s="4"/>
      <c r="C1537" s="3"/>
      <c r="G1537" s="19"/>
    </row>
    <row r="1538" spans="1:7" ht="12.75" x14ac:dyDescent="0.2">
      <c r="A1538" s="3"/>
      <c r="B1538" s="4"/>
      <c r="C1538" s="3"/>
      <c r="G1538" s="19"/>
    </row>
    <row r="1539" spans="1:7" ht="12.75" x14ac:dyDescent="0.2">
      <c r="A1539" s="3"/>
      <c r="B1539" s="4"/>
      <c r="C1539" s="3"/>
      <c r="G1539" s="19"/>
    </row>
    <row r="1540" spans="1:7" ht="12.75" x14ac:dyDescent="0.2">
      <c r="A1540" s="3"/>
      <c r="B1540" s="4"/>
      <c r="C1540" s="3"/>
      <c r="G1540" s="19"/>
    </row>
    <row r="1541" spans="1:7" ht="12.75" x14ac:dyDescent="0.2">
      <c r="A1541" s="3"/>
      <c r="B1541" s="4"/>
      <c r="C1541" s="3"/>
      <c r="G1541" s="19"/>
    </row>
    <row r="1542" spans="1:7" ht="12.75" x14ac:dyDescent="0.2">
      <c r="A1542" s="3"/>
      <c r="B1542" s="4"/>
      <c r="C1542" s="3"/>
      <c r="G1542" s="19"/>
    </row>
    <row r="1543" spans="1:7" ht="12.75" x14ac:dyDescent="0.2">
      <c r="A1543" s="3"/>
      <c r="B1543" s="4"/>
      <c r="C1543" s="3"/>
      <c r="G1543" s="19"/>
    </row>
    <row r="1544" spans="1:7" ht="12.75" x14ac:dyDescent="0.2">
      <c r="A1544" s="3"/>
      <c r="B1544" s="4"/>
      <c r="C1544" s="3"/>
      <c r="G1544" s="19"/>
    </row>
    <row r="1545" spans="1:7" ht="12.75" x14ac:dyDescent="0.2">
      <c r="A1545" s="3"/>
      <c r="B1545" s="4"/>
      <c r="C1545" s="3"/>
      <c r="G1545" s="19"/>
    </row>
    <row r="1546" spans="1:7" ht="12.75" x14ac:dyDescent="0.2">
      <c r="A1546" s="3"/>
      <c r="B1546" s="4"/>
      <c r="C1546" s="3"/>
      <c r="G1546" s="19"/>
    </row>
    <row r="1547" spans="1:7" ht="12.75" x14ac:dyDescent="0.2">
      <c r="A1547" s="3"/>
      <c r="B1547" s="4"/>
      <c r="C1547" s="3"/>
      <c r="G1547" s="19"/>
    </row>
    <row r="1548" spans="1:7" ht="12.75" x14ac:dyDescent="0.2">
      <c r="A1548" s="3"/>
      <c r="B1548" s="4"/>
      <c r="C1548" s="3"/>
      <c r="G1548" s="19"/>
    </row>
    <row r="1549" spans="1:7" ht="12.75" x14ac:dyDescent="0.2">
      <c r="A1549" s="3"/>
      <c r="B1549" s="4"/>
      <c r="C1549" s="3"/>
      <c r="G1549" s="19"/>
    </row>
    <row r="1550" spans="1:7" ht="12.75" x14ac:dyDescent="0.2">
      <c r="A1550" s="3"/>
      <c r="B1550" s="4"/>
      <c r="C1550" s="3"/>
      <c r="G1550" s="19"/>
    </row>
    <row r="1551" spans="1:7" ht="12.75" x14ac:dyDescent="0.2">
      <c r="A1551" s="3"/>
      <c r="B1551" s="4"/>
      <c r="C1551" s="3"/>
      <c r="G1551" s="19"/>
    </row>
    <row r="1552" spans="1:7" ht="12.75" x14ac:dyDescent="0.2">
      <c r="A1552" s="3"/>
      <c r="B1552" s="4"/>
      <c r="C1552" s="3"/>
      <c r="G1552" s="19"/>
    </row>
    <row r="1553" spans="1:7" ht="12.75" x14ac:dyDescent="0.2">
      <c r="A1553" s="3"/>
      <c r="B1553" s="4"/>
      <c r="C1553" s="3"/>
      <c r="G1553" s="19"/>
    </row>
    <row r="1554" spans="1:7" ht="12.75" x14ac:dyDescent="0.2">
      <c r="A1554" s="3"/>
      <c r="B1554" s="4"/>
      <c r="C1554" s="3"/>
      <c r="G1554" s="19"/>
    </row>
    <row r="1555" spans="1:7" ht="12.75" x14ac:dyDescent="0.2">
      <c r="A1555" s="3"/>
      <c r="B1555" s="4"/>
      <c r="C1555" s="3"/>
      <c r="G1555" s="19"/>
    </row>
    <row r="1556" spans="1:7" ht="12.75" x14ac:dyDescent="0.2">
      <c r="A1556" s="3"/>
      <c r="B1556" s="4"/>
      <c r="C1556" s="3"/>
      <c r="G1556" s="19"/>
    </row>
    <row r="1557" spans="1:7" ht="12.75" x14ac:dyDescent="0.2">
      <c r="A1557" s="3"/>
      <c r="B1557" s="4"/>
      <c r="C1557" s="3"/>
      <c r="G1557" s="19"/>
    </row>
    <row r="1558" spans="1:7" ht="12.75" x14ac:dyDescent="0.2">
      <c r="A1558" s="3"/>
      <c r="B1558" s="4"/>
      <c r="C1558" s="3"/>
      <c r="G1558" s="19"/>
    </row>
    <row r="1559" spans="1:7" ht="12.75" x14ac:dyDescent="0.2">
      <c r="A1559" s="3"/>
      <c r="B1559" s="4"/>
      <c r="C1559" s="3"/>
      <c r="G1559" s="19"/>
    </row>
    <row r="1560" spans="1:7" ht="12.75" x14ac:dyDescent="0.2">
      <c r="A1560" s="3"/>
      <c r="B1560" s="4"/>
      <c r="C1560" s="3"/>
      <c r="G1560" s="19"/>
    </row>
    <row r="1561" spans="1:7" ht="12.75" x14ac:dyDescent="0.2">
      <c r="A1561" s="3"/>
      <c r="B1561" s="4"/>
      <c r="C1561" s="3"/>
      <c r="G1561" s="19"/>
    </row>
    <row r="1562" spans="1:7" ht="12.75" x14ac:dyDescent="0.2">
      <c r="A1562" s="3"/>
      <c r="B1562" s="4"/>
      <c r="C1562" s="3"/>
      <c r="G1562" s="19"/>
    </row>
    <row r="1563" spans="1:7" ht="12.75" x14ac:dyDescent="0.2">
      <c r="A1563" s="3"/>
      <c r="B1563" s="4"/>
      <c r="C1563" s="3"/>
      <c r="G1563" s="19"/>
    </row>
    <row r="1564" spans="1:7" ht="12.75" x14ac:dyDescent="0.2">
      <c r="A1564" s="3"/>
      <c r="B1564" s="4"/>
      <c r="C1564" s="3"/>
      <c r="G1564" s="19"/>
    </row>
    <row r="1565" spans="1:7" ht="12.75" x14ac:dyDescent="0.2">
      <c r="A1565" s="3"/>
      <c r="B1565" s="4"/>
      <c r="C1565" s="3"/>
      <c r="G1565" s="19"/>
    </row>
    <row r="1566" spans="1:7" ht="12.75" x14ac:dyDescent="0.2">
      <c r="A1566" s="3"/>
      <c r="B1566" s="4"/>
      <c r="C1566" s="3"/>
      <c r="G1566" s="19"/>
    </row>
    <row r="1567" spans="1:7" ht="12.75" x14ac:dyDescent="0.2">
      <c r="A1567" s="3"/>
      <c r="B1567" s="4"/>
      <c r="C1567" s="3"/>
      <c r="G1567" s="19"/>
    </row>
    <row r="1568" spans="1:7" ht="12.75" x14ac:dyDescent="0.2">
      <c r="A1568" s="3"/>
      <c r="B1568" s="4"/>
      <c r="C1568" s="3"/>
      <c r="G1568" s="19"/>
    </row>
    <row r="1569" spans="1:7" ht="12.75" x14ac:dyDescent="0.2">
      <c r="A1569" s="3"/>
      <c r="B1569" s="4"/>
      <c r="C1569" s="3"/>
      <c r="G1569" s="19"/>
    </row>
    <row r="1570" spans="1:7" ht="12.75" x14ac:dyDescent="0.2">
      <c r="A1570" s="3"/>
      <c r="B1570" s="4"/>
      <c r="C1570" s="3"/>
      <c r="G1570" s="19"/>
    </row>
    <row r="1571" spans="1:7" ht="12.75" x14ac:dyDescent="0.2">
      <c r="A1571" s="3"/>
      <c r="B1571" s="4"/>
      <c r="C1571" s="3"/>
      <c r="G1571" s="19"/>
    </row>
    <row r="1572" spans="1:7" ht="12.75" x14ac:dyDescent="0.2">
      <c r="A1572" s="3"/>
      <c r="B1572" s="4"/>
      <c r="C1572" s="3"/>
      <c r="G1572" s="19"/>
    </row>
    <row r="1573" spans="1:7" ht="12.75" x14ac:dyDescent="0.2">
      <c r="A1573" s="3"/>
      <c r="B1573" s="4"/>
      <c r="C1573" s="3"/>
      <c r="G1573" s="19"/>
    </row>
    <row r="1574" spans="1:7" ht="12.75" x14ac:dyDescent="0.2">
      <c r="A1574" s="3"/>
      <c r="B1574" s="4"/>
      <c r="C1574" s="3"/>
      <c r="G1574" s="19"/>
    </row>
    <row r="1575" spans="1:7" ht="12.75" x14ac:dyDescent="0.2">
      <c r="A1575" s="3"/>
      <c r="B1575" s="4"/>
      <c r="C1575" s="3"/>
      <c r="G1575" s="19"/>
    </row>
    <row r="1576" spans="1:7" ht="12.75" x14ac:dyDescent="0.2">
      <c r="A1576" s="3"/>
      <c r="B1576" s="4"/>
      <c r="C1576" s="3"/>
      <c r="G1576" s="19"/>
    </row>
    <row r="1577" spans="1:7" ht="12.75" x14ac:dyDescent="0.2">
      <c r="A1577" s="3"/>
      <c r="B1577" s="4"/>
      <c r="C1577" s="3"/>
      <c r="G1577" s="19"/>
    </row>
    <row r="1578" spans="1:7" ht="12.75" x14ac:dyDescent="0.2">
      <c r="A1578" s="3"/>
      <c r="B1578" s="4"/>
      <c r="C1578" s="3"/>
      <c r="G1578" s="19"/>
    </row>
    <row r="1579" spans="1:7" ht="12.75" x14ac:dyDescent="0.2">
      <c r="A1579" s="3"/>
      <c r="B1579" s="4"/>
      <c r="C1579" s="3"/>
      <c r="G1579" s="19"/>
    </row>
    <row r="1580" spans="1:7" ht="12.75" x14ac:dyDescent="0.2">
      <c r="A1580" s="3"/>
      <c r="B1580" s="4"/>
      <c r="C1580" s="3"/>
      <c r="G1580" s="19"/>
    </row>
    <row r="1581" spans="1:7" ht="12.75" x14ac:dyDescent="0.2">
      <c r="A1581" s="2"/>
      <c r="B1581" s="4"/>
      <c r="C1581" s="3"/>
      <c r="G1581" s="19"/>
    </row>
    <row r="1582" spans="1:7" ht="12.75" x14ac:dyDescent="0.2">
      <c r="A1582" s="2"/>
      <c r="B1582" s="4"/>
      <c r="C1582" s="3"/>
      <c r="G1582" s="19"/>
    </row>
    <row r="1583" spans="1:7" ht="12.75" x14ac:dyDescent="0.2">
      <c r="A1583" s="2"/>
      <c r="B1583" s="4"/>
      <c r="C1583" s="3"/>
      <c r="G1583" s="19"/>
    </row>
    <row r="1584" spans="1:7" ht="12.75" x14ac:dyDescent="0.2">
      <c r="A1584" s="2"/>
      <c r="B1584" s="4"/>
      <c r="C1584" s="3"/>
      <c r="G1584" s="19"/>
    </row>
    <row r="1585" spans="1:7" ht="12.75" x14ac:dyDescent="0.2">
      <c r="A1585" s="2"/>
      <c r="B1585" s="4"/>
      <c r="C1585" s="3"/>
      <c r="G1585" s="19"/>
    </row>
    <row r="1586" spans="1:7" ht="12.75" x14ac:dyDescent="0.2">
      <c r="A1586" s="2"/>
      <c r="B1586" s="4"/>
      <c r="C1586" s="3"/>
      <c r="G1586" s="19"/>
    </row>
    <row r="1587" spans="1:7" ht="12.75" x14ac:dyDescent="0.2">
      <c r="A1587" s="2"/>
      <c r="B1587" s="4"/>
      <c r="C1587" s="3"/>
      <c r="G1587" s="19"/>
    </row>
    <row r="1588" spans="1:7" ht="12.75" x14ac:dyDescent="0.2">
      <c r="A1588" s="2"/>
      <c r="B1588" s="4"/>
      <c r="C1588" s="3"/>
      <c r="G1588" s="19"/>
    </row>
    <row r="1589" spans="1:7" ht="12.75" x14ac:dyDescent="0.2">
      <c r="A1589" s="2"/>
      <c r="B1589" s="4"/>
      <c r="C1589" s="3"/>
      <c r="G1589" s="19"/>
    </row>
    <row r="1590" spans="1:7" ht="12.75" x14ac:dyDescent="0.2">
      <c r="A1590" s="2"/>
      <c r="B1590" s="4"/>
      <c r="C1590" s="3"/>
      <c r="G1590" s="19"/>
    </row>
    <row r="1591" spans="1:7" ht="12.75" x14ac:dyDescent="0.2">
      <c r="A1591" s="2"/>
      <c r="B1591" s="4"/>
      <c r="C1591" s="3"/>
      <c r="G1591" s="19"/>
    </row>
    <row r="1592" spans="1:7" ht="12.75" x14ac:dyDescent="0.2">
      <c r="A1592" s="2"/>
      <c r="B1592" s="4"/>
      <c r="C1592" s="3"/>
      <c r="G1592" s="19"/>
    </row>
    <row r="1593" spans="1:7" ht="12.75" x14ac:dyDescent="0.2">
      <c r="A1593" s="2"/>
      <c r="B1593" s="4"/>
      <c r="C1593" s="3"/>
      <c r="G1593" s="19"/>
    </row>
    <row r="1594" spans="1:7" ht="12.75" x14ac:dyDescent="0.2">
      <c r="A1594" s="2"/>
      <c r="B1594" s="4"/>
      <c r="C1594" s="3"/>
      <c r="G1594" s="19"/>
    </row>
    <row r="1595" spans="1:7" ht="12.75" x14ac:dyDescent="0.2">
      <c r="A1595" s="2"/>
      <c r="B1595" s="4"/>
      <c r="C1595" s="3"/>
      <c r="G1595" s="19"/>
    </row>
    <row r="1596" spans="1:7" ht="12.75" x14ac:dyDescent="0.2">
      <c r="A1596" s="2"/>
      <c r="B1596" s="4"/>
      <c r="C1596" s="3"/>
      <c r="G1596" s="19"/>
    </row>
    <row r="1597" spans="1:7" ht="12.75" x14ac:dyDescent="0.2">
      <c r="A1597" s="2"/>
      <c r="B1597" s="4"/>
      <c r="C1597" s="3"/>
      <c r="G1597" s="19"/>
    </row>
    <row r="1598" spans="1:7" ht="12.75" x14ac:dyDescent="0.2">
      <c r="A1598" s="2"/>
      <c r="B1598" s="4"/>
      <c r="C1598" s="3"/>
      <c r="G1598" s="19"/>
    </row>
    <row r="1599" spans="1:7" ht="12.75" x14ac:dyDescent="0.2">
      <c r="A1599" s="2"/>
      <c r="B1599" s="4"/>
      <c r="C1599" s="3"/>
      <c r="G1599" s="19"/>
    </row>
    <row r="1600" spans="1:7" ht="12.75" x14ac:dyDescent="0.2">
      <c r="A1600" s="2"/>
      <c r="B1600" s="4"/>
      <c r="C1600" s="3"/>
      <c r="G1600" s="19"/>
    </row>
    <row r="1601" spans="1:7" ht="12.75" x14ac:dyDescent="0.2">
      <c r="A1601" s="2"/>
      <c r="B1601" s="4"/>
      <c r="C1601" s="3"/>
      <c r="G1601" s="19"/>
    </row>
    <row r="1602" spans="1:7" ht="12.75" x14ac:dyDescent="0.2">
      <c r="A1602" s="2"/>
      <c r="B1602" s="4"/>
      <c r="C1602" s="3"/>
      <c r="G1602" s="19"/>
    </row>
    <row r="1603" spans="1:7" ht="12.75" x14ac:dyDescent="0.2">
      <c r="A1603" s="2"/>
      <c r="B1603" s="4"/>
      <c r="C1603" s="3"/>
      <c r="G1603" s="19"/>
    </row>
    <row r="1604" spans="1:7" ht="12.75" x14ac:dyDescent="0.2">
      <c r="A1604" s="2"/>
      <c r="B1604" s="4"/>
      <c r="C1604" s="3"/>
      <c r="G1604" s="19"/>
    </row>
    <row r="1605" spans="1:7" ht="12.75" x14ac:dyDescent="0.2">
      <c r="A1605" s="2"/>
      <c r="B1605" s="4"/>
      <c r="C1605" s="3"/>
      <c r="G1605" s="19"/>
    </row>
    <row r="1606" spans="1:7" ht="12.75" x14ac:dyDescent="0.2">
      <c r="A1606" s="2"/>
      <c r="B1606" s="4"/>
      <c r="C1606" s="3"/>
      <c r="G1606" s="19"/>
    </row>
    <row r="1607" spans="1:7" ht="12.75" x14ac:dyDescent="0.2">
      <c r="A1607" s="2"/>
      <c r="B1607" s="4"/>
      <c r="C1607" s="3"/>
      <c r="G1607" s="19"/>
    </row>
    <row r="1608" spans="1:7" ht="12.75" x14ac:dyDescent="0.2">
      <c r="A1608" s="2"/>
      <c r="B1608" s="4"/>
      <c r="C1608" s="3"/>
      <c r="G1608" s="19"/>
    </row>
    <row r="1609" spans="1:7" ht="12.75" x14ac:dyDescent="0.2">
      <c r="A1609" s="2"/>
      <c r="B1609" s="4"/>
      <c r="C1609" s="3"/>
      <c r="G1609" s="19"/>
    </row>
    <row r="1610" spans="1:7" ht="12.75" x14ac:dyDescent="0.2">
      <c r="A1610" s="2"/>
      <c r="B1610" s="4"/>
      <c r="C1610" s="3"/>
      <c r="G1610" s="19"/>
    </row>
    <row r="1611" spans="1:7" ht="12.75" x14ac:dyDescent="0.2">
      <c r="A1611" s="2"/>
      <c r="B1611" s="4"/>
      <c r="C1611" s="3"/>
      <c r="G1611" s="19"/>
    </row>
    <row r="1612" spans="1:7" ht="12.75" x14ac:dyDescent="0.2">
      <c r="A1612" s="2"/>
      <c r="B1612" s="4"/>
      <c r="C1612" s="3"/>
      <c r="G1612" s="19"/>
    </row>
    <row r="1613" spans="1:7" ht="12.75" x14ac:dyDescent="0.2">
      <c r="A1613" s="2"/>
      <c r="B1613" s="4"/>
      <c r="C1613" s="3"/>
      <c r="G1613" s="19"/>
    </row>
    <row r="1614" spans="1:7" ht="12.75" x14ac:dyDescent="0.2">
      <c r="A1614" s="2"/>
      <c r="B1614" s="4"/>
      <c r="C1614" s="3"/>
      <c r="G1614" s="19"/>
    </row>
    <row r="1615" spans="1:7" ht="12.75" x14ac:dyDescent="0.2">
      <c r="A1615" s="2"/>
      <c r="B1615" s="4"/>
      <c r="C1615" s="3"/>
      <c r="G1615" s="19"/>
    </row>
    <row r="1616" spans="1:7" ht="12.75" x14ac:dyDescent="0.2">
      <c r="A1616" s="2"/>
      <c r="B1616" s="4"/>
      <c r="C1616" s="3"/>
      <c r="G1616" s="19"/>
    </row>
    <row r="1617" spans="1:7" ht="12.75" x14ac:dyDescent="0.2">
      <c r="A1617" s="2"/>
      <c r="B1617" s="4"/>
      <c r="C1617" s="3"/>
      <c r="G1617" s="19"/>
    </row>
    <row r="1618" spans="1:7" ht="12.75" x14ac:dyDescent="0.2">
      <c r="A1618" s="2"/>
      <c r="B1618" s="4"/>
      <c r="C1618" s="3"/>
      <c r="G1618" s="19"/>
    </row>
    <row r="1619" spans="1:7" ht="12.75" x14ac:dyDescent="0.2">
      <c r="A1619" s="2"/>
      <c r="B1619" s="4"/>
      <c r="C1619" s="3"/>
      <c r="G1619" s="19"/>
    </row>
    <row r="1620" spans="1:7" ht="12.75" x14ac:dyDescent="0.2">
      <c r="A1620" s="2"/>
      <c r="B1620" s="4"/>
      <c r="C1620" s="3"/>
      <c r="G1620" s="19"/>
    </row>
    <row r="1621" spans="1:7" ht="12.75" x14ac:dyDescent="0.2">
      <c r="A1621" s="3"/>
      <c r="B1621" s="4"/>
      <c r="C1621" s="3"/>
      <c r="G1621" s="19"/>
    </row>
    <row r="1622" spans="1:7" ht="12.75" x14ac:dyDescent="0.2">
      <c r="A1622" s="3"/>
      <c r="B1622" s="4"/>
      <c r="C1622" s="3"/>
      <c r="G1622" s="19"/>
    </row>
    <row r="1623" spans="1:7" ht="12.75" x14ac:dyDescent="0.2">
      <c r="A1623" s="3"/>
      <c r="B1623" s="4"/>
      <c r="C1623" s="3"/>
      <c r="G1623" s="19"/>
    </row>
    <row r="1624" spans="1:7" ht="12.75" x14ac:dyDescent="0.2">
      <c r="A1624" s="3"/>
      <c r="B1624" s="4"/>
      <c r="C1624" s="3"/>
      <c r="G1624" s="19"/>
    </row>
    <row r="1625" spans="1:7" ht="12.75" x14ac:dyDescent="0.2">
      <c r="A1625" s="3"/>
      <c r="B1625" s="4"/>
      <c r="C1625" s="3"/>
      <c r="G1625" s="19"/>
    </row>
    <row r="1626" spans="1:7" ht="12.75" x14ac:dyDescent="0.2">
      <c r="A1626" s="3"/>
      <c r="B1626" s="4"/>
      <c r="C1626" s="3"/>
      <c r="G1626" s="19"/>
    </row>
    <row r="1627" spans="1:7" ht="12.75" x14ac:dyDescent="0.2">
      <c r="A1627" s="3"/>
      <c r="B1627" s="4"/>
      <c r="C1627" s="3"/>
      <c r="G1627" s="19"/>
    </row>
    <row r="1628" spans="1:7" ht="12.75" x14ac:dyDescent="0.2">
      <c r="A1628" s="3"/>
      <c r="B1628" s="4"/>
      <c r="C1628" s="3"/>
      <c r="G1628" s="19"/>
    </row>
    <row r="1629" spans="1:7" ht="12.75" x14ac:dyDescent="0.2">
      <c r="A1629" s="3"/>
      <c r="B1629" s="4"/>
      <c r="C1629" s="3"/>
      <c r="G1629" s="19"/>
    </row>
    <row r="1630" spans="1:7" ht="12.75" x14ac:dyDescent="0.2">
      <c r="A1630" s="3"/>
      <c r="B1630" s="4"/>
      <c r="C1630" s="3"/>
      <c r="G1630" s="19"/>
    </row>
    <row r="1631" spans="1:7" ht="12.75" x14ac:dyDescent="0.2">
      <c r="A1631" s="3"/>
      <c r="B1631" s="4"/>
      <c r="C1631" s="3"/>
      <c r="G1631" s="19"/>
    </row>
    <row r="1632" spans="1:7" ht="12.75" x14ac:dyDescent="0.2">
      <c r="A1632" s="3"/>
      <c r="B1632" s="4"/>
      <c r="C1632" s="3"/>
      <c r="G1632" s="19"/>
    </row>
    <row r="1633" spans="1:7" ht="12.75" x14ac:dyDescent="0.2">
      <c r="A1633" s="3"/>
      <c r="B1633" s="4"/>
      <c r="C1633" s="3"/>
      <c r="G1633" s="19"/>
    </row>
    <row r="1634" spans="1:7" ht="12.75" x14ac:dyDescent="0.2">
      <c r="A1634" s="3"/>
      <c r="B1634" s="4"/>
      <c r="C1634" s="3"/>
      <c r="G1634" s="19"/>
    </row>
    <row r="1635" spans="1:7" ht="12.75" x14ac:dyDescent="0.2">
      <c r="A1635" s="3"/>
      <c r="B1635" s="4"/>
      <c r="C1635" s="3"/>
      <c r="G1635" s="19"/>
    </row>
    <row r="1636" spans="1:7" ht="12.75" x14ac:dyDescent="0.2">
      <c r="A1636" s="3"/>
      <c r="B1636" s="4"/>
      <c r="C1636" s="3"/>
      <c r="G1636" s="19"/>
    </row>
    <row r="1637" spans="1:7" ht="12.75" x14ac:dyDescent="0.2">
      <c r="A1637" s="3"/>
      <c r="B1637" s="4"/>
      <c r="C1637" s="3"/>
      <c r="G1637" s="19"/>
    </row>
    <row r="1638" spans="1:7" ht="12.75" x14ac:dyDescent="0.2">
      <c r="A1638" s="3"/>
      <c r="B1638" s="4"/>
      <c r="C1638" s="3"/>
      <c r="G1638" s="19"/>
    </row>
    <row r="1639" spans="1:7" ht="12.75" x14ac:dyDescent="0.2">
      <c r="A1639" s="3"/>
      <c r="B1639" s="4"/>
      <c r="C1639" s="3"/>
      <c r="G1639" s="19"/>
    </row>
    <row r="1640" spans="1:7" ht="12.75" x14ac:dyDescent="0.2">
      <c r="A1640" s="3"/>
      <c r="B1640" s="4"/>
      <c r="C1640" s="3"/>
      <c r="G1640" s="19"/>
    </row>
    <row r="1641" spans="1:7" ht="12.75" x14ac:dyDescent="0.2">
      <c r="A1641" s="3"/>
      <c r="B1641" s="4"/>
      <c r="C1641" s="3"/>
      <c r="G1641" s="19"/>
    </row>
    <row r="1642" spans="1:7" ht="12.75" x14ac:dyDescent="0.2">
      <c r="A1642" s="3"/>
      <c r="B1642" s="4"/>
      <c r="C1642" s="3"/>
      <c r="G1642" s="19"/>
    </row>
    <row r="1643" spans="1:7" ht="12.75" x14ac:dyDescent="0.2">
      <c r="A1643" s="3"/>
      <c r="B1643" s="4"/>
      <c r="C1643" s="3"/>
      <c r="G1643" s="19"/>
    </row>
    <row r="1644" spans="1:7" ht="12.75" x14ac:dyDescent="0.2">
      <c r="A1644" s="3"/>
      <c r="B1644" s="4"/>
      <c r="C1644" s="3"/>
      <c r="G1644" s="19"/>
    </row>
    <row r="1645" spans="1:7" ht="12.75" x14ac:dyDescent="0.2">
      <c r="A1645" s="3"/>
      <c r="B1645" s="4"/>
      <c r="C1645" s="3"/>
      <c r="G1645" s="19"/>
    </row>
    <row r="1646" spans="1:7" ht="12.75" x14ac:dyDescent="0.2">
      <c r="A1646" s="3"/>
      <c r="B1646" s="4"/>
      <c r="C1646" s="3"/>
      <c r="G1646" s="19"/>
    </row>
    <row r="1647" spans="1:7" ht="12.75" x14ac:dyDescent="0.2">
      <c r="A1647" s="3"/>
      <c r="B1647" s="4"/>
      <c r="C1647" s="3"/>
      <c r="G1647" s="19"/>
    </row>
    <row r="1648" spans="1:7" ht="12.75" x14ac:dyDescent="0.2">
      <c r="A1648" s="3"/>
      <c r="B1648" s="4"/>
      <c r="C1648" s="3"/>
      <c r="G1648" s="19"/>
    </row>
    <row r="1649" spans="1:7" ht="12.75" x14ac:dyDescent="0.2">
      <c r="A1649" s="3"/>
      <c r="B1649" s="4"/>
      <c r="C1649" s="3"/>
      <c r="G1649" s="19"/>
    </row>
    <row r="1650" spans="1:7" ht="12.75" x14ac:dyDescent="0.2">
      <c r="A1650" s="3"/>
      <c r="B1650" s="4"/>
      <c r="C1650" s="3"/>
      <c r="G1650" s="19"/>
    </row>
    <row r="1651" spans="1:7" ht="12.75" x14ac:dyDescent="0.2">
      <c r="A1651" s="3"/>
      <c r="B1651" s="4"/>
      <c r="C1651" s="3"/>
      <c r="G1651" s="19"/>
    </row>
    <row r="1652" spans="1:7" ht="12.75" x14ac:dyDescent="0.2">
      <c r="A1652" s="3"/>
      <c r="B1652" s="4"/>
      <c r="C1652" s="3"/>
      <c r="G1652" s="19"/>
    </row>
    <row r="1653" spans="1:7" ht="12.75" x14ac:dyDescent="0.2">
      <c r="A1653" s="3"/>
      <c r="B1653" s="4"/>
      <c r="C1653" s="3"/>
      <c r="G1653" s="19"/>
    </row>
    <row r="1654" spans="1:7" ht="12.75" x14ac:dyDescent="0.2">
      <c r="A1654" s="3"/>
      <c r="B1654" s="4"/>
      <c r="C1654" s="3"/>
      <c r="G1654" s="19"/>
    </row>
    <row r="1655" spans="1:7" ht="12.75" x14ac:dyDescent="0.2">
      <c r="A1655" s="3"/>
      <c r="B1655" s="4"/>
      <c r="C1655" s="3"/>
      <c r="G1655" s="19"/>
    </row>
    <row r="1656" spans="1:7" ht="12.75" x14ac:dyDescent="0.2">
      <c r="A1656" s="3"/>
      <c r="B1656" s="4"/>
      <c r="C1656" s="3"/>
      <c r="G1656" s="19"/>
    </row>
    <row r="1657" spans="1:7" ht="12.75" x14ac:dyDescent="0.2">
      <c r="A1657" s="3"/>
      <c r="B1657" s="4"/>
      <c r="C1657" s="3"/>
      <c r="G1657" s="19"/>
    </row>
    <row r="1658" spans="1:7" ht="12.75" x14ac:dyDescent="0.2">
      <c r="A1658" s="3"/>
      <c r="B1658" s="4"/>
      <c r="C1658" s="3"/>
      <c r="G1658" s="19"/>
    </row>
    <row r="1659" spans="1:7" ht="12.75" x14ac:dyDescent="0.2">
      <c r="A1659" s="3"/>
      <c r="B1659" s="4"/>
      <c r="C1659" s="3"/>
      <c r="G1659" s="19"/>
    </row>
    <row r="1660" spans="1:7" ht="12.75" x14ac:dyDescent="0.2">
      <c r="A1660" s="3"/>
      <c r="B1660" s="4"/>
      <c r="C1660" s="3"/>
      <c r="G1660" s="19"/>
    </row>
    <row r="1661" spans="1:7" ht="12.75" x14ac:dyDescent="0.2">
      <c r="A1661" s="3"/>
      <c r="B1661" s="4"/>
      <c r="C1661" s="3"/>
      <c r="G1661" s="19"/>
    </row>
    <row r="1662" spans="1:7" ht="12.75" x14ac:dyDescent="0.2">
      <c r="A1662" s="3"/>
      <c r="B1662" s="4"/>
      <c r="C1662" s="3"/>
      <c r="G1662" s="19"/>
    </row>
    <row r="1663" spans="1:7" ht="12.75" x14ac:dyDescent="0.2">
      <c r="A1663" s="3"/>
      <c r="B1663" s="4"/>
      <c r="C1663" s="3"/>
      <c r="G1663" s="19"/>
    </row>
    <row r="1664" spans="1:7" ht="12.75" x14ac:dyDescent="0.2">
      <c r="A1664" s="3"/>
      <c r="B1664" s="4"/>
      <c r="C1664" s="3"/>
      <c r="G1664" s="19"/>
    </row>
    <row r="1665" spans="1:7" ht="12.75" x14ac:dyDescent="0.2">
      <c r="A1665" s="3"/>
      <c r="B1665" s="4"/>
      <c r="C1665" s="3"/>
      <c r="G1665" s="19"/>
    </row>
    <row r="1666" spans="1:7" ht="12.75" x14ac:dyDescent="0.2">
      <c r="A1666" s="3"/>
      <c r="B1666" s="4"/>
      <c r="C1666" s="3"/>
      <c r="G1666" s="19"/>
    </row>
    <row r="1667" spans="1:7" ht="12.75" x14ac:dyDescent="0.2">
      <c r="A1667" s="3"/>
      <c r="B1667" s="4"/>
      <c r="C1667" s="3"/>
      <c r="G1667" s="19"/>
    </row>
    <row r="1668" spans="1:7" ht="12.75" x14ac:dyDescent="0.2">
      <c r="A1668" s="3"/>
      <c r="B1668" s="4"/>
      <c r="C1668" s="3"/>
      <c r="G1668" s="19"/>
    </row>
    <row r="1669" spans="1:7" ht="12.75" x14ac:dyDescent="0.2">
      <c r="A1669" s="3"/>
      <c r="B1669" s="4"/>
      <c r="C1669" s="3"/>
      <c r="G1669" s="19"/>
    </row>
    <row r="1670" spans="1:7" ht="12.75" x14ac:dyDescent="0.2">
      <c r="A1670" s="3"/>
      <c r="B1670" s="4"/>
      <c r="C1670" s="3"/>
      <c r="G1670" s="19"/>
    </row>
    <row r="1671" spans="1:7" ht="12.75" x14ac:dyDescent="0.2">
      <c r="A1671" s="3"/>
      <c r="B1671" s="4"/>
      <c r="C1671" s="3"/>
      <c r="G1671" s="19"/>
    </row>
    <row r="1672" spans="1:7" ht="12.75" x14ac:dyDescent="0.2">
      <c r="A1672" s="3"/>
      <c r="B1672" s="4"/>
      <c r="C1672" s="3"/>
      <c r="G1672" s="19"/>
    </row>
    <row r="1673" spans="1:7" ht="12.75" x14ac:dyDescent="0.2">
      <c r="A1673" s="3"/>
      <c r="B1673" s="4"/>
      <c r="C1673" s="3"/>
      <c r="G1673" s="19"/>
    </row>
    <row r="1674" spans="1:7" ht="12.75" x14ac:dyDescent="0.2">
      <c r="A1674" s="3"/>
      <c r="B1674" s="4"/>
      <c r="C1674" s="3"/>
      <c r="G1674" s="19"/>
    </row>
    <row r="1675" spans="1:7" ht="12.75" x14ac:dyDescent="0.2">
      <c r="A1675" s="3"/>
      <c r="B1675" s="4"/>
      <c r="C1675" s="3"/>
      <c r="G1675" s="19"/>
    </row>
    <row r="1676" spans="1:7" ht="12.75" x14ac:dyDescent="0.2">
      <c r="A1676" s="3"/>
      <c r="B1676" s="4"/>
      <c r="C1676" s="3"/>
      <c r="G1676" s="19"/>
    </row>
    <row r="1677" spans="1:7" ht="12.75" x14ac:dyDescent="0.2">
      <c r="A1677" s="3"/>
      <c r="B1677" s="4"/>
      <c r="C1677" s="3"/>
      <c r="G1677" s="19"/>
    </row>
    <row r="1678" spans="1:7" ht="12.75" x14ac:dyDescent="0.2">
      <c r="A1678" s="3"/>
      <c r="B1678" s="4"/>
      <c r="C1678" s="3"/>
      <c r="G1678" s="19"/>
    </row>
    <row r="1679" spans="1:7" ht="12.75" x14ac:dyDescent="0.2">
      <c r="A1679" s="3"/>
      <c r="B1679" s="4"/>
      <c r="C1679" s="3"/>
      <c r="G1679" s="19"/>
    </row>
    <row r="1680" spans="1:7" ht="12.75" x14ac:dyDescent="0.2">
      <c r="A1680" s="3"/>
      <c r="B1680" s="4"/>
      <c r="C1680" s="3"/>
      <c r="G1680" s="19"/>
    </row>
    <row r="1681" spans="1:7" ht="12.75" x14ac:dyDescent="0.2">
      <c r="A1681" s="3"/>
      <c r="B1681" s="4"/>
      <c r="C1681" s="3"/>
      <c r="G1681" s="19"/>
    </row>
    <row r="1682" spans="1:7" ht="12.75" x14ac:dyDescent="0.2">
      <c r="A1682" s="3"/>
      <c r="B1682" s="4"/>
      <c r="C1682" s="3"/>
      <c r="G1682" s="19"/>
    </row>
    <row r="1683" spans="1:7" ht="12.75" x14ac:dyDescent="0.2">
      <c r="A1683" s="3"/>
      <c r="B1683" s="4"/>
      <c r="C1683" s="3"/>
      <c r="G1683" s="19"/>
    </row>
    <row r="1684" spans="1:7" ht="12.75" x14ac:dyDescent="0.2">
      <c r="A1684" s="3"/>
      <c r="B1684" s="4"/>
      <c r="C1684" s="3"/>
      <c r="G1684" s="19"/>
    </row>
    <row r="1685" spans="1:7" ht="12.75" x14ac:dyDescent="0.2">
      <c r="A1685" s="3"/>
      <c r="B1685" s="4"/>
      <c r="C1685" s="3"/>
      <c r="G1685" s="19"/>
    </row>
    <row r="1686" spans="1:7" ht="12.75" x14ac:dyDescent="0.2">
      <c r="A1686" s="3"/>
      <c r="B1686" s="4"/>
      <c r="C1686" s="3"/>
      <c r="G1686" s="19"/>
    </row>
    <row r="1687" spans="1:7" ht="12.75" x14ac:dyDescent="0.2">
      <c r="A1687" s="3"/>
      <c r="B1687" s="4"/>
      <c r="C1687" s="3"/>
      <c r="G1687" s="19"/>
    </row>
    <row r="1688" spans="1:7" ht="12.75" x14ac:dyDescent="0.2">
      <c r="A1688" s="3"/>
      <c r="B1688" s="4"/>
      <c r="C1688" s="3"/>
      <c r="G1688" s="19"/>
    </row>
    <row r="1689" spans="1:7" ht="12.75" x14ac:dyDescent="0.2">
      <c r="A1689" s="3"/>
      <c r="B1689" s="4"/>
      <c r="C1689" s="3"/>
      <c r="G1689" s="19"/>
    </row>
    <row r="1690" spans="1:7" ht="12.75" x14ac:dyDescent="0.2">
      <c r="A1690" s="3"/>
      <c r="B1690" s="4"/>
      <c r="C1690" s="3"/>
      <c r="G1690" s="19"/>
    </row>
    <row r="1691" spans="1:7" ht="12.75" x14ac:dyDescent="0.2">
      <c r="A1691" s="3"/>
      <c r="B1691" s="4"/>
      <c r="C1691" s="3"/>
      <c r="G1691" s="19"/>
    </row>
    <row r="1692" spans="1:7" ht="12.75" x14ac:dyDescent="0.2">
      <c r="A1692" s="3"/>
      <c r="B1692" s="4"/>
      <c r="C1692" s="3"/>
      <c r="G1692" s="19"/>
    </row>
    <row r="1693" spans="1:7" ht="12.75" x14ac:dyDescent="0.2">
      <c r="A1693" s="3"/>
      <c r="B1693" s="4"/>
      <c r="C1693" s="3"/>
      <c r="G1693" s="19"/>
    </row>
    <row r="1694" spans="1:7" ht="12.75" x14ac:dyDescent="0.2">
      <c r="A1694" s="3"/>
      <c r="B1694" s="4"/>
      <c r="C1694" s="3"/>
      <c r="G1694" s="19"/>
    </row>
    <row r="1695" spans="1:7" ht="12.75" x14ac:dyDescent="0.2">
      <c r="A1695" s="3"/>
      <c r="B1695" s="4"/>
      <c r="C1695" s="3"/>
      <c r="G1695" s="19"/>
    </row>
    <row r="1696" spans="1:7" ht="12.75" x14ac:dyDescent="0.2">
      <c r="A1696" s="3"/>
      <c r="B1696" s="4"/>
      <c r="C1696" s="3"/>
      <c r="G1696" s="19"/>
    </row>
    <row r="1697" spans="1:7" ht="12.75" x14ac:dyDescent="0.2">
      <c r="A1697" s="3"/>
      <c r="B1697" s="4"/>
      <c r="C1697" s="3"/>
      <c r="G1697" s="19"/>
    </row>
    <row r="1698" spans="1:7" ht="12.75" x14ac:dyDescent="0.2">
      <c r="A1698" s="3"/>
      <c r="B1698" s="4"/>
      <c r="C1698" s="3"/>
      <c r="G1698" s="19"/>
    </row>
    <row r="1699" spans="1:7" ht="12.75" x14ac:dyDescent="0.2">
      <c r="A1699" s="3"/>
      <c r="B1699" s="4"/>
      <c r="C1699" s="3"/>
      <c r="G1699" s="19"/>
    </row>
    <row r="1700" spans="1:7" ht="12.75" x14ac:dyDescent="0.2">
      <c r="A1700" s="3"/>
      <c r="B1700" s="4"/>
      <c r="C1700" s="3"/>
      <c r="G1700" s="19"/>
    </row>
    <row r="1701" spans="1:7" ht="12.75" x14ac:dyDescent="0.2">
      <c r="A1701" s="3"/>
      <c r="B1701" s="4"/>
      <c r="C1701" s="3"/>
      <c r="G1701" s="19"/>
    </row>
    <row r="1702" spans="1:7" ht="12.75" x14ac:dyDescent="0.2">
      <c r="A1702" s="3"/>
      <c r="B1702" s="4"/>
      <c r="C1702" s="3"/>
      <c r="G1702" s="19"/>
    </row>
    <row r="1703" spans="1:7" ht="12.75" x14ac:dyDescent="0.2">
      <c r="A1703" s="3"/>
      <c r="B1703" s="4"/>
      <c r="C1703" s="3"/>
      <c r="G1703" s="19"/>
    </row>
    <row r="1704" spans="1:7" ht="12.75" x14ac:dyDescent="0.2">
      <c r="A1704" s="3"/>
      <c r="B1704" s="4"/>
      <c r="C1704" s="3"/>
      <c r="G1704" s="19"/>
    </row>
    <row r="1705" spans="1:7" ht="12.75" x14ac:dyDescent="0.2">
      <c r="A1705" s="3"/>
      <c r="B1705" s="4"/>
      <c r="C1705" s="3"/>
      <c r="G1705" s="19"/>
    </row>
    <row r="1706" spans="1:7" ht="12.75" x14ac:dyDescent="0.2">
      <c r="A1706" s="3"/>
      <c r="B1706" s="4"/>
      <c r="C1706" s="3"/>
      <c r="G1706" s="19"/>
    </row>
    <row r="1707" spans="1:7" ht="12.75" x14ac:dyDescent="0.2">
      <c r="A1707" s="3"/>
      <c r="B1707" s="4"/>
      <c r="C1707" s="3"/>
      <c r="G1707" s="19"/>
    </row>
    <row r="1708" spans="1:7" ht="12.75" x14ac:dyDescent="0.2">
      <c r="A1708" s="3"/>
      <c r="B1708" s="4"/>
      <c r="C1708" s="3"/>
      <c r="G1708" s="19"/>
    </row>
    <row r="1709" spans="1:7" ht="12.75" x14ac:dyDescent="0.2">
      <c r="A1709" s="3"/>
      <c r="B1709" s="4"/>
      <c r="C1709" s="3"/>
      <c r="G1709" s="19"/>
    </row>
    <row r="1710" spans="1:7" ht="12.75" x14ac:dyDescent="0.2">
      <c r="A1710" s="3"/>
      <c r="B1710" s="4"/>
      <c r="C1710" s="3"/>
      <c r="G1710" s="19"/>
    </row>
    <row r="1711" spans="1:7" ht="12.75" x14ac:dyDescent="0.2">
      <c r="A1711" s="3"/>
      <c r="B1711" s="4"/>
      <c r="C1711" s="3"/>
      <c r="G1711" s="19"/>
    </row>
    <row r="1712" spans="1:7" ht="12.75" x14ac:dyDescent="0.2">
      <c r="A1712" s="3"/>
      <c r="B1712" s="4"/>
      <c r="C1712" s="3"/>
      <c r="G1712" s="19"/>
    </row>
    <row r="1713" spans="1:7" ht="12.75" x14ac:dyDescent="0.2">
      <c r="A1713" s="3"/>
      <c r="B1713" s="4"/>
      <c r="C1713" s="3"/>
      <c r="G1713" s="19"/>
    </row>
    <row r="1714" spans="1:7" ht="12.75" x14ac:dyDescent="0.2">
      <c r="A1714" s="3"/>
      <c r="B1714" s="4"/>
      <c r="C1714" s="3"/>
      <c r="G1714" s="19"/>
    </row>
    <row r="1715" spans="1:7" ht="12.75" x14ac:dyDescent="0.2">
      <c r="A1715" s="3"/>
      <c r="B1715" s="4"/>
      <c r="C1715" s="3"/>
      <c r="G1715" s="19"/>
    </row>
    <row r="1716" spans="1:7" ht="12.75" x14ac:dyDescent="0.2">
      <c r="A1716" s="3"/>
      <c r="B1716" s="4"/>
      <c r="C1716" s="3"/>
      <c r="G1716" s="19"/>
    </row>
    <row r="1717" spans="1:7" ht="12.75" x14ac:dyDescent="0.2">
      <c r="A1717" s="3"/>
      <c r="B1717" s="4"/>
      <c r="C1717" s="3"/>
      <c r="G1717" s="19"/>
    </row>
    <row r="1718" spans="1:7" ht="12.75" x14ac:dyDescent="0.2">
      <c r="A1718" s="3"/>
      <c r="B1718" s="4"/>
      <c r="C1718" s="3"/>
      <c r="G1718" s="19"/>
    </row>
    <row r="1719" spans="1:7" ht="12.75" x14ac:dyDescent="0.2">
      <c r="A1719" s="3"/>
      <c r="B1719" s="4"/>
      <c r="C1719" s="3"/>
      <c r="G1719" s="19"/>
    </row>
    <row r="1720" spans="1:7" ht="12.75" x14ac:dyDescent="0.2">
      <c r="A1720" s="3"/>
      <c r="B1720" s="4"/>
      <c r="C1720" s="3"/>
      <c r="G1720" s="19"/>
    </row>
    <row r="1721" spans="1:7" ht="12.75" x14ac:dyDescent="0.2">
      <c r="A1721" s="3"/>
      <c r="B1721" s="4"/>
      <c r="C1721" s="3"/>
      <c r="G1721" s="19"/>
    </row>
    <row r="1722" spans="1:7" ht="12.75" x14ac:dyDescent="0.2">
      <c r="A1722" s="3"/>
      <c r="B1722" s="4"/>
      <c r="C1722" s="3"/>
      <c r="G1722" s="19"/>
    </row>
    <row r="1723" spans="1:7" ht="12.75" x14ac:dyDescent="0.2">
      <c r="A1723" s="3"/>
      <c r="B1723" s="4"/>
      <c r="C1723" s="3"/>
      <c r="G1723" s="19"/>
    </row>
    <row r="1724" spans="1:7" ht="12.75" x14ac:dyDescent="0.2">
      <c r="A1724" s="3"/>
      <c r="B1724" s="4"/>
      <c r="C1724" s="3"/>
      <c r="G1724" s="19"/>
    </row>
    <row r="1725" spans="1:7" ht="12.75" x14ac:dyDescent="0.2">
      <c r="A1725" s="3"/>
      <c r="B1725" s="4"/>
      <c r="C1725" s="3"/>
      <c r="G1725" s="19"/>
    </row>
    <row r="1726" spans="1:7" ht="12.75" x14ac:dyDescent="0.2">
      <c r="A1726" s="3"/>
      <c r="B1726" s="4"/>
      <c r="C1726" s="3"/>
      <c r="G1726" s="19"/>
    </row>
    <row r="1727" spans="1:7" ht="12.75" x14ac:dyDescent="0.2">
      <c r="A1727" s="3"/>
      <c r="B1727" s="4"/>
      <c r="C1727" s="3"/>
      <c r="G1727" s="19"/>
    </row>
    <row r="1728" spans="1:7" ht="12.75" x14ac:dyDescent="0.2">
      <c r="A1728" s="3"/>
      <c r="B1728" s="4"/>
      <c r="C1728" s="3"/>
      <c r="G1728" s="19"/>
    </row>
    <row r="1729" spans="1:7" ht="12.75" x14ac:dyDescent="0.2">
      <c r="A1729" s="3"/>
      <c r="B1729" s="4"/>
      <c r="C1729" s="3"/>
      <c r="G1729" s="19"/>
    </row>
    <row r="1730" spans="1:7" ht="12.75" x14ac:dyDescent="0.2">
      <c r="A1730" s="3"/>
      <c r="B1730" s="4"/>
      <c r="C1730" s="3"/>
      <c r="G1730" s="19"/>
    </row>
    <row r="1731" spans="1:7" ht="12.75" x14ac:dyDescent="0.2">
      <c r="A1731" s="3"/>
      <c r="B1731" s="4"/>
      <c r="C1731" s="3"/>
      <c r="G1731" s="19"/>
    </row>
    <row r="1732" spans="1:7" ht="12.75" x14ac:dyDescent="0.2">
      <c r="A1732" s="3"/>
      <c r="B1732" s="4"/>
      <c r="C1732" s="3"/>
      <c r="G1732" s="19"/>
    </row>
    <row r="1733" spans="1:7" ht="12.75" x14ac:dyDescent="0.2">
      <c r="A1733" s="3"/>
      <c r="B1733" s="4"/>
      <c r="C1733" s="3"/>
      <c r="G1733" s="19"/>
    </row>
    <row r="1734" spans="1:7" ht="12.75" x14ac:dyDescent="0.2">
      <c r="A1734" s="3"/>
      <c r="B1734" s="4"/>
      <c r="C1734" s="3"/>
      <c r="G1734" s="19"/>
    </row>
    <row r="1735" spans="1:7" ht="12.75" x14ac:dyDescent="0.2">
      <c r="A1735" s="3"/>
      <c r="B1735" s="4"/>
      <c r="C1735" s="3"/>
      <c r="G1735" s="19"/>
    </row>
    <row r="1736" spans="1:7" ht="12.75" x14ac:dyDescent="0.2">
      <c r="A1736" s="3"/>
      <c r="B1736" s="4"/>
      <c r="C1736" s="3"/>
      <c r="G1736" s="19"/>
    </row>
    <row r="1737" spans="1:7" ht="12.75" x14ac:dyDescent="0.2">
      <c r="A1737" s="3"/>
      <c r="B1737" s="4"/>
      <c r="C1737" s="3"/>
      <c r="G1737" s="19"/>
    </row>
    <row r="1738" spans="1:7" ht="12.75" x14ac:dyDescent="0.2">
      <c r="A1738" s="3"/>
      <c r="B1738" s="4"/>
      <c r="C1738" s="3"/>
      <c r="G1738" s="19"/>
    </row>
    <row r="1739" spans="1:7" ht="12.75" x14ac:dyDescent="0.2">
      <c r="A1739" s="3"/>
      <c r="B1739" s="4"/>
      <c r="C1739" s="3"/>
      <c r="G1739" s="19"/>
    </row>
    <row r="1740" spans="1:7" ht="12.75" x14ac:dyDescent="0.2">
      <c r="A1740" s="3"/>
      <c r="B1740" s="4"/>
      <c r="C1740" s="3"/>
      <c r="G1740" s="19"/>
    </row>
    <row r="1741" spans="1:7" ht="12.75" x14ac:dyDescent="0.2">
      <c r="A1741" s="3"/>
      <c r="B1741" s="4"/>
      <c r="C1741" s="3"/>
      <c r="G1741" s="19"/>
    </row>
    <row r="1742" spans="1:7" ht="12.75" x14ac:dyDescent="0.2">
      <c r="A1742" s="3"/>
      <c r="B1742" s="4"/>
      <c r="C1742" s="3"/>
      <c r="G1742" s="19"/>
    </row>
    <row r="1743" spans="1:7" ht="12.75" x14ac:dyDescent="0.2">
      <c r="A1743" s="3"/>
      <c r="B1743" s="4"/>
      <c r="C1743" s="3"/>
      <c r="G1743" s="19"/>
    </row>
    <row r="1744" spans="1:7" ht="12.75" x14ac:dyDescent="0.2">
      <c r="A1744" s="3"/>
      <c r="B1744" s="4"/>
      <c r="C1744" s="3"/>
      <c r="G1744" s="19"/>
    </row>
    <row r="1745" spans="1:7" ht="12.75" x14ac:dyDescent="0.2">
      <c r="A1745" s="3"/>
      <c r="B1745" s="4"/>
      <c r="C1745" s="3"/>
      <c r="G1745" s="19"/>
    </row>
    <row r="1746" spans="1:7" ht="12.75" x14ac:dyDescent="0.2">
      <c r="A1746" s="3"/>
      <c r="B1746" s="4"/>
      <c r="C1746" s="3"/>
      <c r="G1746" s="19"/>
    </row>
    <row r="1747" spans="1:7" ht="12.75" x14ac:dyDescent="0.2">
      <c r="A1747" s="3"/>
      <c r="B1747" s="4"/>
      <c r="C1747" s="3"/>
      <c r="G1747" s="19"/>
    </row>
    <row r="1748" spans="1:7" ht="12.75" x14ac:dyDescent="0.2">
      <c r="A1748" s="3"/>
      <c r="B1748" s="4"/>
      <c r="C1748" s="3"/>
      <c r="G1748" s="19"/>
    </row>
    <row r="1749" spans="1:7" ht="12.75" x14ac:dyDescent="0.2">
      <c r="A1749" s="3"/>
      <c r="B1749" s="4"/>
      <c r="C1749" s="3"/>
      <c r="G1749" s="19"/>
    </row>
    <row r="1750" spans="1:7" ht="12.75" x14ac:dyDescent="0.2">
      <c r="A1750" s="3"/>
      <c r="B1750" s="4"/>
      <c r="C1750" s="3"/>
      <c r="G1750" s="19"/>
    </row>
    <row r="1751" spans="1:7" ht="12.75" x14ac:dyDescent="0.2">
      <c r="A1751" s="3"/>
      <c r="B1751" s="4"/>
      <c r="C1751" s="3"/>
      <c r="G1751" s="19"/>
    </row>
    <row r="1752" spans="1:7" ht="12.75" x14ac:dyDescent="0.2">
      <c r="A1752" s="3"/>
      <c r="B1752" s="4"/>
      <c r="C1752" s="3"/>
      <c r="G1752" s="19"/>
    </row>
    <row r="1753" spans="1:7" ht="12.75" x14ac:dyDescent="0.2">
      <c r="A1753" s="3"/>
      <c r="B1753" s="4"/>
      <c r="C1753" s="3"/>
      <c r="G1753" s="19"/>
    </row>
    <row r="1754" spans="1:7" ht="12.75" x14ac:dyDescent="0.2">
      <c r="A1754" s="3"/>
      <c r="B1754" s="4"/>
      <c r="C1754" s="3"/>
      <c r="G1754" s="19"/>
    </row>
    <row r="1755" spans="1:7" ht="12.75" x14ac:dyDescent="0.2">
      <c r="A1755" s="3"/>
      <c r="B1755" s="4"/>
      <c r="C1755" s="3"/>
      <c r="G1755" s="19"/>
    </row>
    <row r="1756" spans="1:7" ht="12.75" x14ac:dyDescent="0.2">
      <c r="A1756" s="3"/>
      <c r="B1756" s="4"/>
      <c r="C1756" s="3"/>
      <c r="G1756" s="19"/>
    </row>
    <row r="1757" spans="1:7" ht="12.75" x14ac:dyDescent="0.2">
      <c r="A1757" s="3"/>
      <c r="B1757" s="4"/>
      <c r="C1757" s="3"/>
      <c r="G1757" s="19"/>
    </row>
    <row r="1758" spans="1:7" ht="12.75" x14ac:dyDescent="0.2">
      <c r="A1758" s="3"/>
      <c r="B1758" s="4"/>
      <c r="C1758" s="3"/>
      <c r="G1758" s="19"/>
    </row>
    <row r="1759" spans="1:7" ht="12.75" x14ac:dyDescent="0.2">
      <c r="A1759" s="3"/>
      <c r="B1759" s="4"/>
      <c r="C1759" s="3"/>
      <c r="G1759" s="19"/>
    </row>
    <row r="1760" spans="1:7" ht="12.75" x14ac:dyDescent="0.2">
      <c r="A1760" s="3"/>
      <c r="B1760" s="4"/>
      <c r="C1760" s="3"/>
      <c r="G1760" s="19"/>
    </row>
    <row r="1761" spans="1:7" ht="12.75" x14ac:dyDescent="0.2">
      <c r="A1761" s="3"/>
      <c r="B1761" s="4"/>
      <c r="C1761" s="3"/>
      <c r="G1761" s="19"/>
    </row>
    <row r="1762" spans="1:7" ht="12.75" x14ac:dyDescent="0.2">
      <c r="A1762" s="3"/>
      <c r="B1762" s="4"/>
      <c r="C1762" s="3"/>
      <c r="G1762" s="19"/>
    </row>
    <row r="1763" spans="1:7" ht="12.75" x14ac:dyDescent="0.2">
      <c r="A1763" s="3"/>
      <c r="B1763" s="4"/>
      <c r="C1763" s="3"/>
      <c r="G1763" s="19"/>
    </row>
    <row r="1764" spans="1:7" ht="12.75" x14ac:dyDescent="0.2">
      <c r="A1764" s="3"/>
      <c r="B1764" s="4"/>
      <c r="C1764" s="3"/>
      <c r="G1764" s="19"/>
    </row>
    <row r="1765" spans="1:7" ht="12.75" x14ac:dyDescent="0.2">
      <c r="A1765" s="3"/>
      <c r="B1765" s="4"/>
      <c r="C1765" s="3"/>
      <c r="G1765" s="19"/>
    </row>
    <row r="1766" spans="1:7" ht="12.75" x14ac:dyDescent="0.2">
      <c r="A1766" s="3"/>
      <c r="B1766" s="4"/>
      <c r="C1766" s="3"/>
      <c r="G1766" s="19"/>
    </row>
    <row r="1767" spans="1:7" ht="12.75" x14ac:dyDescent="0.2">
      <c r="A1767" s="3"/>
      <c r="B1767" s="4"/>
      <c r="C1767" s="3"/>
      <c r="G1767" s="19"/>
    </row>
    <row r="1768" spans="1:7" ht="12.75" x14ac:dyDescent="0.2">
      <c r="A1768" s="3"/>
      <c r="B1768" s="4"/>
      <c r="C1768" s="3"/>
      <c r="G1768" s="19"/>
    </row>
    <row r="1769" spans="1:7" ht="12.75" x14ac:dyDescent="0.2">
      <c r="A1769" s="3"/>
      <c r="B1769" s="4"/>
      <c r="C1769" s="3"/>
      <c r="G1769" s="19"/>
    </row>
    <row r="1770" spans="1:7" ht="12.75" x14ac:dyDescent="0.2">
      <c r="A1770" s="3"/>
      <c r="B1770" s="4"/>
      <c r="C1770" s="3"/>
      <c r="G1770" s="19"/>
    </row>
    <row r="1771" spans="1:7" ht="12.75" x14ac:dyDescent="0.2">
      <c r="A1771" s="3"/>
      <c r="B1771" s="4"/>
      <c r="C1771" s="3"/>
      <c r="G1771" s="19"/>
    </row>
    <row r="1772" spans="1:7" ht="12.75" x14ac:dyDescent="0.2">
      <c r="A1772" s="3"/>
      <c r="B1772" s="4"/>
      <c r="C1772" s="3"/>
      <c r="G1772" s="19"/>
    </row>
    <row r="1773" spans="1:7" ht="12.75" x14ac:dyDescent="0.2">
      <c r="A1773" s="3"/>
      <c r="B1773" s="4"/>
      <c r="C1773" s="3"/>
      <c r="G1773" s="19"/>
    </row>
    <row r="1774" spans="1:7" ht="12.75" x14ac:dyDescent="0.2">
      <c r="A1774" s="3"/>
      <c r="B1774" s="4"/>
      <c r="C1774" s="3"/>
      <c r="G1774" s="19"/>
    </row>
    <row r="1775" spans="1:7" ht="12.75" x14ac:dyDescent="0.2">
      <c r="A1775" s="3"/>
      <c r="B1775" s="4"/>
      <c r="C1775" s="3"/>
      <c r="G1775" s="19"/>
    </row>
    <row r="1776" spans="1:7" ht="12.75" x14ac:dyDescent="0.2">
      <c r="A1776" s="3"/>
      <c r="B1776" s="4"/>
      <c r="C1776" s="3"/>
      <c r="G1776" s="19"/>
    </row>
    <row r="1777" spans="1:7" ht="12.75" x14ac:dyDescent="0.2">
      <c r="A1777" s="3"/>
      <c r="B1777" s="4"/>
      <c r="C1777" s="3"/>
      <c r="G1777" s="19"/>
    </row>
    <row r="1778" spans="1:7" ht="12.75" x14ac:dyDescent="0.2">
      <c r="A1778" s="3"/>
      <c r="B1778" s="4"/>
      <c r="C1778" s="3"/>
      <c r="G1778" s="19"/>
    </row>
    <row r="1779" spans="1:7" ht="12.75" x14ac:dyDescent="0.2">
      <c r="A1779" s="3"/>
      <c r="B1779" s="4"/>
      <c r="C1779" s="3"/>
      <c r="G1779" s="19"/>
    </row>
    <row r="1780" spans="1:7" ht="12.75" x14ac:dyDescent="0.2">
      <c r="A1780" s="3"/>
      <c r="B1780" s="4"/>
      <c r="C1780" s="3"/>
      <c r="G1780" s="19"/>
    </row>
    <row r="1781" spans="1:7" ht="12.75" x14ac:dyDescent="0.2">
      <c r="A1781" s="3"/>
      <c r="B1781" s="4"/>
      <c r="C1781" s="3"/>
      <c r="G1781" s="19"/>
    </row>
    <row r="1782" spans="1:7" ht="12.75" x14ac:dyDescent="0.2">
      <c r="A1782" s="3"/>
      <c r="B1782" s="4"/>
      <c r="C1782" s="3"/>
      <c r="G1782" s="19"/>
    </row>
    <row r="1783" spans="1:7" ht="12.75" x14ac:dyDescent="0.2">
      <c r="A1783" s="3"/>
      <c r="B1783" s="4"/>
      <c r="C1783" s="3"/>
      <c r="G1783" s="19"/>
    </row>
    <row r="1784" spans="1:7" ht="12.75" x14ac:dyDescent="0.2">
      <c r="A1784" s="3"/>
      <c r="B1784" s="4"/>
      <c r="C1784" s="3"/>
      <c r="G1784" s="19"/>
    </row>
    <row r="1785" spans="1:7" ht="12.75" x14ac:dyDescent="0.2">
      <c r="A1785" s="3"/>
      <c r="B1785" s="4"/>
      <c r="C1785" s="3"/>
      <c r="G1785" s="19"/>
    </row>
    <row r="1786" spans="1:7" ht="12.75" x14ac:dyDescent="0.2">
      <c r="A1786" s="3"/>
      <c r="B1786" s="4"/>
      <c r="C1786" s="3"/>
      <c r="G1786" s="19"/>
    </row>
    <row r="1787" spans="1:7" ht="12.75" x14ac:dyDescent="0.2">
      <c r="A1787" s="3"/>
      <c r="B1787" s="4"/>
      <c r="C1787" s="3"/>
      <c r="G1787" s="19"/>
    </row>
    <row r="1788" spans="1:7" ht="12.75" x14ac:dyDescent="0.2">
      <c r="A1788" s="3"/>
      <c r="B1788" s="4"/>
      <c r="C1788" s="3"/>
      <c r="G1788" s="19"/>
    </row>
    <row r="1789" spans="1:7" ht="12.75" x14ac:dyDescent="0.2">
      <c r="A1789" s="3"/>
      <c r="B1789" s="4"/>
      <c r="C1789" s="3"/>
      <c r="G1789" s="19"/>
    </row>
    <row r="1790" spans="1:7" ht="12.75" x14ac:dyDescent="0.2">
      <c r="A1790" s="3"/>
      <c r="B1790" s="4"/>
      <c r="C1790" s="3"/>
      <c r="G1790" s="19"/>
    </row>
    <row r="1791" spans="1:7" ht="12.75" x14ac:dyDescent="0.2">
      <c r="A1791" s="3"/>
      <c r="B1791" s="4"/>
      <c r="C1791" s="3"/>
      <c r="G1791" s="19"/>
    </row>
    <row r="1792" spans="1:7" ht="12.75" x14ac:dyDescent="0.2">
      <c r="A1792" s="3"/>
      <c r="B1792" s="4"/>
      <c r="C1792" s="3"/>
      <c r="G1792" s="19"/>
    </row>
    <row r="1793" spans="1:7" ht="12.75" x14ac:dyDescent="0.2">
      <c r="A1793" s="3"/>
      <c r="B1793" s="4"/>
      <c r="C1793" s="3"/>
      <c r="G1793" s="19"/>
    </row>
    <row r="1794" spans="1:7" ht="12.75" x14ac:dyDescent="0.2">
      <c r="A1794" s="3"/>
      <c r="B1794" s="4"/>
      <c r="C1794" s="3"/>
      <c r="G1794" s="19"/>
    </row>
    <row r="1795" spans="1:7" ht="12.75" x14ac:dyDescent="0.2">
      <c r="A1795" s="3"/>
      <c r="B1795" s="4"/>
      <c r="C1795" s="3"/>
      <c r="G1795" s="19"/>
    </row>
    <row r="1796" spans="1:7" ht="12.75" x14ac:dyDescent="0.2">
      <c r="A1796" s="3"/>
      <c r="B1796" s="4"/>
      <c r="C1796" s="3"/>
      <c r="G1796" s="19"/>
    </row>
    <row r="1797" spans="1:7" ht="12.75" x14ac:dyDescent="0.2">
      <c r="A1797" s="3"/>
      <c r="B1797" s="4"/>
      <c r="C1797" s="3"/>
      <c r="G1797" s="19"/>
    </row>
    <row r="1798" spans="1:7" ht="12.75" x14ac:dyDescent="0.2">
      <c r="A1798" s="3"/>
      <c r="B1798" s="4"/>
      <c r="C1798" s="3"/>
      <c r="G1798" s="19"/>
    </row>
    <row r="1799" spans="1:7" ht="12.75" x14ac:dyDescent="0.2">
      <c r="A1799" s="3"/>
      <c r="B1799" s="4"/>
      <c r="C1799" s="3"/>
      <c r="G1799" s="19"/>
    </row>
    <row r="1800" spans="1:7" ht="12.75" x14ac:dyDescent="0.2">
      <c r="A1800" s="3"/>
      <c r="B1800" s="4"/>
      <c r="C1800" s="3"/>
      <c r="G1800" s="19"/>
    </row>
    <row r="1801" spans="1:7" ht="12.75" x14ac:dyDescent="0.2">
      <c r="A1801" s="3"/>
      <c r="B1801" s="4"/>
      <c r="C1801" s="3"/>
      <c r="G1801" s="19"/>
    </row>
    <row r="1802" spans="1:7" ht="12.75" x14ac:dyDescent="0.2">
      <c r="A1802" s="3"/>
      <c r="B1802" s="4"/>
      <c r="C1802" s="3"/>
      <c r="G1802" s="19"/>
    </row>
    <row r="1803" spans="1:7" ht="12.75" x14ac:dyDescent="0.2">
      <c r="A1803" s="3"/>
      <c r="B1803" s="4"/>
      <c r="C1803" s="3"/>
      <c r="G1803" s="19"/>
    </row>
    <row r="1804" spans="1:7" ht="12.75" x14ac:dyDescent="0.2">
      <c r="A1804" s="3"/>
      <c r="B1804" s="4"/>
      <c r="C1804" s="3"/>
      <c r="G1804" s="19"/>
    </row>
    <row r="1805" spans="1:7" ht="12.75" x14ac:dyDescent="0.2">
      <c r="A1805" s="3"/>
      <c r="B1805" s="4"/>
      <c r="C1805" s="3"/>
      <c r="G1805" s="19"/>
    </row>
    <row r="1806" spans="1:7" ht="12.75" x14ac:dyDescent="0.2">
      <c r="A1806" s="3"/>
      <c r="B1806" s="4"/>
      <c r="C1806" s="3"/>
      <c r="G1806" s="19"/>
    </row>
    <row r="1807" spans="1:7" ht="12.75" x14ac:dyDescent="0.2">
      <c r="A1807" s="3"/>
      <c r="B1807" s="4"/>
      <c r="C1807" s="3"/>
      <c r="G1807" s="19"/>
    </row>
    <row r="1808" spans="1:7" ht="12.75" x14ac:dyDescent="0.2">
      <c r="A1808" s="3"/>
      <c r="B1808" s="4"/>
      <c r="C1808" s="3"/>
      <c r="G1808" s="19"/>
    </row>
    <row r="1809" spans="1:7" ht="12.75" x14ac:dyDescent="0.2">
      <c r="A1809" s="3"/>
      <c r="B1809" s="4"/>
      <c r="C1809" s="3"/>
      <c r="G1809" s="19"/>
    </row>
    <row r="1810" spans="1:7" ht="12.75" x14ac:dyDescent="0.2">
      <c r="A1810" s="3"/>
      <c r="B1810" s="4"/>
      <c r="C1810" s="3"/>
      <c r="G1810" s="19"/>
    </row>
    <row r="1811" spans="1:7" ht="12.75" x14ac:dyDescent="0.2">
      <c r="A1811" s="3"/>
      <c r="B1811" s="4"/>
      <c r="C1811" s="3"/>
      <c r="G1811" s="19"/>
    </row>
    <row r="1812" spans="1:7" ht="12.75" x14ac:dyDescent="0.2">
      <c r="A1812" s="3"/>
      <c r="B1812" s="4"/>
      <c r="C1812" s="3"/>
      <c r="G1812" s="19"/>
    </row>
    <row r="1813" spans="1:7" ht="12.75" x14ac:dyDescent="0.2">
      <c r="A1813" s="3"/>
      <c r="B1813" s="4"/>
      <c r="C1813" s="3"/>
      <c r="G1813" s="19"/>
    </row>
    <row r="1814" spans="1:7" ht="12.75" x14ac:dyDescent="0.2">
      <c r="A1814" s="3"/>
      <c r="B1814" s="4"/>
      <c r="C1814" s="3"/>
      <c r="G1814" s="19"/>
    </row>
    <row r="1815" spans="1:7" ht="12.75" x14ac:dyDescent="0.2">
      <c r="A1815" s="3"/>
      <c r="B1815" s="4"/>
      <c r="C1815" s="3"/>
      <c r="G1815" s="19"/>
    </row>
    <row r="1816" spans="1:7" ht="12.75" x14ac:dyDescent="0.2">
      <c r="A1816" s="3"/>
      <c r="B1816" s="4"/>
      <c r="C1816" s="3"/>
      <c r="G1816" s="19"/>
    </row>
    <row r="1817" spans="1:7" ht="12.75" x14ac:dyDescent="0.2">
      <c r="A1817" s="3"/>
      <c r="B1817" s="4"/>
      <c r="C1817" s="3"/>
      <c r="G1817" s="19"/>
    </row>
    <row r="1818" spans="1:7" ht="12.75" x14ac:dyDescent="0.2">
      <c r="A1818" s="3"/>
      <c r="B1818" s="4"/>
      <c r="C1818" s="3"/>
      <c r="G1818" s="19"/>
    </row>
    <row r="1819" spans="1:7" ht="12.75" x14ac:dyDescent="0.2">
      <c r="A1819" s="3"/>
      <c r="B1819" s="4"/>
      <c r="C1819" s="3"/>
      <c r="G1819" s="19"/>
    </row>
    <row r="1820" spans="1:7" ht="12.75" x14ac:dyDescent="0.2">
      <c r="A1820" s="3"/>
      <c r="B1820" s="4"/>
      <c r="C1820" s="3"/>
      <c r="G1820" s="19"/>
    </row>
    <row r="1821" spans="1:7" ht="12.75" x14ac:dyDescent="0.2">
      <c r="A1821" s="3"/>
      <c r="B1821" s="4"/>
      <c r="C1821" s="3"/>
      <c r="G1821" s="19"/>
    </row>
    <row r="1822" spans="1:7" ht="12.75" x14ac:dyDescent="0.2">
      <c r="A1822" s="3"/>
      <c r="B1822" s="4"/>
      <c r="C1822" s="3"/>
      <c r="G1822" s="19"/>
    </row>
    <row r="1823" spans="1:7" ht="12.75" x14ac:dyDescent="0.2">
      <c r="A1823" s="3"/>
      <c r="B1823" s="4"/>
      <c r="C1823" s="3"/>
      <c r="G1823" s="19"/>
    </row>
    <row r="1824" spans="1:7" ht="12.75" x14ac:dyDescent="0.2">
      <c r="A1824" s="3"/>
      <c r="B1824" s="4"/>
      <c r="C1824" s="3"/>
      <c r="G1824" s="19"/>
    </row>
    <row r="1825" spans="1:7" ht="12.75" x14ac:dyDescent="0.2">
      <c r="A1825" s="3"/>
      <c r="B1825" s="4"/>
      <c r="C1825" s="3"/>
      <c r="G1825" s="19"/>
    </row>
    <row r="1826" spans="1:7" ht="12.75" x14ac:dyDescent="0.2">
      <c r="A1826" s="3"/>
      <c r="B1826" s="4"/>
      <c r="C1826" s="3"/>
      <c r="G1826" s="19"/>
    </row>
    <row r="1827" spans="1:7" ht="12.75" x14ac:dyDescent="0.2">
      <c r="A1827" s="3"/>
      <c r="B1827" s="4"/>
      <c r="C1827" s="3"/>
      <c r="G1827" s="19"/>
    </row>
    <row r="1828" spans="1:7" ht="12.75" x14ac:dyDescent="0.2">
      <c r="A1828" s="3"/>
      <c r="B1828" s="4"/>
      <c r="C1828" s="3"/>
      <c r="G1828" s="19"/>
    </row>
    <row r="1829" spans="1:7" ht="12.75" x14ac:dyDescent="0.2">
      <c r="A1829" s="3"/>
      <c r="B1829" s="4"/>
      <c r="C1829" s="3"/>
      <c r="G1829" s="19"/>
    </row>
    <row r="1830" spans="1:7" ht="12.75" x14ac:dyDescent="0.2">
      <c r="A1830" s="3"/>
      <c r="B1830" s="4"/>
      <c r="C1830" s="3"/>
      <c r="G1830" s="19"/>
    </row>
    <row r="1831" spans="1:7" ht="12.75" x14ac:dyDescent="0.2">
      <c r="A1831" s="3"/>
      <c r="B1831" s="4"/>
      <c r="C1831" s="3"/>
      <c r="G1831" s="19"/>
    </row>
    <row r="1832" spans="1:7" ht="12.75" x14ac:dyDescent="0.2">
      <c r="A1832" s="3"/>
      <c r="B1832" s="4"/>
      <c r="C1832" s="3"/>
      <c r="G1832" s="19"/>
    </row>
    <row r="1833" spans="1:7" ht="12.75" x14ac:dyDescent="0.2">
      <c r="A1833" s="3"/>
      <c r="B1833" s="4"/>
      <c r="C1833" s="3"/>
      <c r="G1833" s="19"/>
    </row>
    <row r="1834" spans="1:7" ht="12.75" x14ac:dyDescent="0.2">
      <c r="A1834" s="3"/>
      <c r="B1834" s="4"/>
      <c r="C1834" s="3"/>
      <c r="G1834" s="19"/>
    </row>
    <row r="1835" spans="1:7" ht="12.75" x14ac:dyDescent="0.2">
      <c r="A1835" s="3"/>
      <c r="B1835" s="4"/>
      <c r="C1835" s="3"/>
      <c r="G1835" s="19"/>
    </row>
    <row r="1836" spans="1:7" ht="12.75" x14ac:dyDescent="0.2">
      <c r="A1836" s="3"/>
      <c r="B1836" s="4"/>
      <c r="C1836" s="3"/>
      <c r="G1836" s="19"/>
    </row>
    <row r="1837" spans="1:7" ht="12.75" x14ac:dyDescent="0.2">
      <c r="A1837" s="3"/>
      <c r="B1837" s="4"/>
      <c r="C1837" s="3"/>
      <c r="G1837" s="19"/>
    </row>
    <row r="1838" spans="1:7" ht="12.75" x14ac:dyDescent="0.2">
      <c r="A1838" s="3"/>
      <c r="B1838" s="4"/>
      <c r="C1838" s="3"/>
      <c r="G1838" s="19"/>
    </row>
    <row r="1839" spans="1:7" ht="12.75" x14ac:dyDescent="0.2">
      <c r="A1839" s="3"/>
      <c r="B1839" s="4"/>
      <c r="C1839" s="3"/>
      <c r="G1839" s="19"/>
    </row>
    <row r="1840" spans="1:7" ht="12.75" x14ac:dyDescent="0.2">
      <c r="A1840" s="3"/>
      <c r="B1840" s="4"/>
      <c r="C1840" s="3"/>
      <c r="G1840" s="19"/>
    </row>
    <row r="1841" spans="1:7" ht="12.75" x14ac:dyDescent="0.2">
      <c r="A1841" s="3"/>
      <c r="B1841" s="4"/>
      <c r="C1841" s="3"/>
      <c r="G1841" s="19"/>
    </row>
    <row r="1842" spans="1:7" ht="12.75" x14ac:dyDescent="0.2">
      <c r="A1842" s="3"/>
      <c r="B1842" s="4"/>
      <c r="C1842" s="3"/>
      <c r="G1842" s="19"/>
    </row>
    <row r="1843" spans="1:7" ht="12.75" x14ac:dyDescent="0.2">
      <c r="A1843" s="3"/>
      <c r="B1843" s="4"/>
      <c r="C1843" s="3"/>
      <c r="G1843" s="19"/>
    </row>
    <row r="1844" spans="1:7" ht="12.75" x14ac:dyDescent="0.2">
      <c r="A1844" s="3"/>
      <c r="B1844" s="4"/>
      <c r="C1844" s="3"/>
      <c r="G1844" s="19"/>
    </row>
    <row r="1845" spans="1:7" ht="12.75" x14ac:dyDescent="0.2">
      <c r="A1845" s="3"/>
      <c r="B1845" s="4"/>
      <c r="C1845" s="3"/>
      <c r="G1845" s="19"/>
    </row>
    <row r="1846" spans="1:7" ht="12.75" x14ac:dyDescent="0.2">
      <c r="A1846" s="3"/>
      <c r="B1846" s="4"/>
      <c r="C1846" s="3"/>
      <c r="G1846" s="19"/>
    </row>
    <row r="1847" spans="1:7" ht="12.75" x14ac:dyDescent="0.2">
      <c r="A1847" s="3"/>
      <c r="B1847" s="4"/>
      <c r="C1847" s="3"/>
      <c r="G1847" s="19"/>
    </row>
    <row r="1848" spans="1:7" ht="12.75" x14ac:dyDescent="0.2">
      <c r="A1848" s="3"/>
      <c r="B1848" s="4"/>
      <c r="C1848" s="3"/>
      <c r="G1848" s="19"/>
    </row>
    <row r="1849" spans="1:7" ht="12.75" x14ac:dyDescent="0.2">
      <c r="A1849" s="3"/>
      <c r="B1849" s="4"/>
      <c r="C1849" s="3"/>
      <c r="G1849" s="19"/>
    </row>
    <row r="1850" spans="1:7" ht="12.75" x14ac:dyDescent="0.2">
      <c r="A1850" s="3"/>
      <c r="B1850" s="4"/>
      <c r="C1850" s="3"/>
      <c r="G1850" s="19"/>
    </row>
    <row r="1851" spans="1:7" ht="12.75" x14ac:dyDescent="0.2">
      <c r="A1851" s="3"/>
      <c r="B1851" s="4"/>
      <c r="C1851" s="3"/>
      <c r="G1851" s="19"/>
    </row>
    <row r="1852" spans="1:7" ht="12.75" x14ac:dyDescent="0.2">
      <c r="A1852" s="3"/>
      <c r="B1852" s="4"/>
      <c r="C1852" s="3"/>
      <c r="G1852" s="19"/>
    </row>
    <row r="1853" spans="1:7" ht="12.75" x14ac:dyDescent="0.2">
      <c r="A1853" s="3"/>
      <c r="B1853" s="4"/>
      <c r="C1853" s="3"/>
      <c r="G1853" s="19"/>
    </row>
    <row r="1854" spans="1:7" ht="12.75" x14ac:dyDescent="0.2">
      <c r="A1854" s="3"/>
      <c r="B1854" s="4"/>
      <c r="C1854" s="3"/>
      <c r="G1854" s="19"/>
    </row>
    <row r="1855" spans="1:7" ht="12.75" x14ac:dyDescent="0.2">
      <c r="A1855" s="3"/>
      <c r="B1855" s="4"/>
      <c r="C1855" s="3"/>
      <c r="G1855" s="19"/>
    </row>
    <row r="1856" spans="1:7" ht="12.75" x14ac:dyDescent="0.2">
      <c r="A1856" s="3"/>
      <c r="B1856" s="4"/>
      <c r="C1856" s="3"/>
      <c r="G1856" s="19"/>
    </row>
    <row r="1857" spans="1:7" ht="12.75" x14ac:dyDescent="0.2">
      <c r="A1857" s="3"/>
      <c r="B1857" s="4"/>
      <c r="C1857" s="3"/>
      <c r="G1857" s="19"/>
    </row>
    <row r="1858" spans="1:7" ht="12.75" x14ac:dyDescent="0.2">
      <c r="A1858" s="3"/>
      <c r="B1858" s="4"/>
      <c r="C1858" s="3"/>
      <c r="G1858" s="19"/>
    </row>
    <row r="1859" spans="1:7" ht="12.75" x14ac:dyDescent="0.2">
      <c r="A1859" s="3"/>
      <c r="B1859" s="4"/>
      <c r="C1859" s="3"/>
      <c r="G1859" s="19"/>
    </row>
    <row r="1860" spans="1:7" ht="12.75" x14ac:dyDescent="0.2">
      <c r="A1860" s="3"/>
      <c r="B1860" s="4"/>
      <c r="C1860" s="3"/>
      <c r="G1860" s="19"/>
    </row>
    <row r="1861" spans="1:7" ht="12.75" x14ac:dyDescent="0.2">
      <c r="A1861" s="3"/>
      <c r="B1861" s="4"/>
      <c r="C1861" s="3"/>
      <c r="G1861" s="19"/>
    </row>
    <row r="1862" spans="1:7" ht="12.75" x14ac:dyDescent="0.2">
      <c r="A1862" s="3"/>
      <c r="B1862" s="4"/>
      <c r="C1862" s="3"/>
      <c r="G1862" s="19"/>
    </row>
    <row r="1863" spans="1:7" ht="12.75" x14ac:dyDescent="0.2">
      <c r="A1863" s="3"/>
      <c r="B1863" s="4"/>
      <c r="C1863" s="3"/>
      <c r="G1863" s="19"/>
    </row>
    <row r="1864" spans="1:7" ht="12.75" x14ac:dyDescent="0.2">
      <c r="A1864" s="3"/>
      <c r="B1864" s="4"/>
      <c r="C1864" s="3"/>
      <c r="G1864" s="19"/>
    </row>
    <row r="1865" spans="1:7" ht="12.75" x14ac:dyDescent="0.2">
      <c r="A1865" s="3"/>
      <c r="B1865" s="4"/>
      <c r="C1865" s="3"/>
      <c r="G1865" s="19"/>
    </row>
    <row r="1866" spans="1:7" ht="12.75" x14ac:dyDescent="0.2">
      <c r="A1866" s="3"/>
      <c r="B1866" s="4"/>
      <c r="C1866" s="3"/>
      <c r="G1866" s="19"/>
    </row>
    <row r="1867" spans="1:7" ht="12.75" x14ac:dyDescent="0.2">
      <c r="A1867" s="3"/>
      <c r="B1867" s="4"/>
      <c r="C1867" s="3"/>
      <c r="G1867" s="19"/>
    </row>
    <row r="1868" spans="1:7" ht="12.75" x14ac:dyDescent="0.2">
      <c r="A1868" s="3"/>
      <c r="B1868" s="4"/>
      <c r="C1868" s="3"/>
      <c r="G1868" s="19"/>
    </row>
    <row r="1869" spans="1:7" ht="12.75" x14ac:dyDescent="0.2">
      <c r="A1869" s="3"/>
      <c r="B1869" s="4"/>
      <c r="C1869" s="3"/>
      <c r="G1869" s="19"/>
    </row>
    <row r="1870" spans="1:7" ht="12.75" x14ac:dyDescent="0.2">
      <c r="A1870" s="3"/>
      <c r="B1870" s="4"/>
      <c r="C1870" s="3"/>
      <c r="G1870" s="19"/>
    </row>
    <row r="1871" spans="1:7" ht="12.75" x14ac:dyDescent="0.2">
      <c r="A1871" s="3"/>
      <c r="B1871" s="4"/>
      <c r="C1871" s="3"/>
      <c r="G1871" s="19"/>
    </row>
    <row r="1872" spans="1:7" ht="12.75" x14ac:dyDescent="0.2">
      <c r="A1872" s="3"/>
      <c r="B1872" s="4"/>
      <c r="C1872" s="3"/>
      <c r="G1872" s="19"/>
    </row>
    <row r="1873" spans="1:7" ht="12.75" x14ac:dyDescent="0.2">
      <c r="A1873" s="3"/>
      <c r="B1873" s="4"/>
      <c r="C1873" s="3"/>
      <c r="G1873" s="19"/>
    </row>
    <row r="1874" spans="1:7" ht="12.75" x14ac:dyDescent="0.2">
      <c r="A1874" s="3"/>
      <c r="B1874" s="4"/>
      <c r="C1874" s="3"/>
      <c r="G1874" s="19"/>
    </row>
    <row r="1875" spans="1:7" ht="12.75" x14ac:dyDescent="0.2">
      <c r="A1875" s="3"/>
      <c r="B1875" s="4"/>
      <c r="C1875" s="3"/>
      <c r="G1875" s="19"/>
    </row>
    <row r="1876" spans="1:7" ht="12.75" x14ac:dyDescent="0.2">
      <c r="A1876" s="3"/>
      <c r="B1876" s="4"/>
      <c r="C1876" s="3"/>
      <c r="G1876" s="19"/>
    </row>
    <row r="1877" spans="1:7" ht="12.75" x14ac:dyDescent="0.2">
      <c r="A1877" s="3"/>
      <c r="B1877" s="4"/>
      <c r="C1877" s="3"/>
      <c r="G1877" s="19"/>
    </row>
    <row r="1878" spans="1:7" ht="12.75" x14ac:dyDescent="0.2">
      <c r="A1878" s="3"/>
      <c r="B1878" s="4"/>
      <c r="C1878" s="3"/>
      <c r="G1878" s="19"/>
    </row>
    <row r="1879" spans="1:7" ht="12.75" x14ac:dyDescent="0.2">
      <c r="A1879" s="3"/>
      <c r="B1879" s="4"/>
      <c r="C1879" s="3"/>
      <c r="G1879" s="19"/>
    </row>
    <row r="1880" spans="1:7" ht="12.75" x14ac:dyDescent="0.2">
      <c r="A1880" s="3"/>
      <c r="B1880" s="4"/>
      <c r="C1880" s="3"/>
      <c r="G1880" s="19"/>
    </row>
    <row r="1881" spans="1:7" ht="12.75" x14ac:dyDescent="0.2">
      <c r="A1881" s="3"/>
      <c r="B1881" s="4"/>
      <c r="C1881" s="3"/>
      <c r="G1881" s="19"/>
    </row>
    <row r="1882" spans="1:7" ht="12.75" x14ac:dyDescent="0.2">
      <c r="A1882" s="3"/>
      <c r="B1882" s="4"/>
      <c r="C1882" s="3"/>
      <c r="G1882" s="19"/>
    </row>
    <row r="1883" spans="1:7" ht="12.75" x14ac:dyDescent="0.2">
      <c r="A1883" s="3"/>
      <c r="B1883" s="4"/>
      <c r="C1883" s="3"/>
      <c r="G1883" s="19"/>
    </row>
    <row r="1884" spans="1:7" ht="12.75" x14ac:dyDescent="0.2">
      <c r="A1884" s="3"/>
      <c r="B1884" s="4"/>
      <c r="C1884" s="3"/>
      <c r="G1884" s="19"/>
    </row>
    <row r="1885" spans="1:7" ht="12.75" x14ac:dyDescent="0.2">
      <c r="A1885" s="3"/>
      <c r="B1885" s="4"/>
      <c r="C1885" s="3"/>
      <c r="G1885" s="19"/>
    </row>
    <row r="1886" spans="1:7" ht="12.75" x14ac:dyDescent="0.2">
      <c r="A1886" s="3"/>
      <c r="B1886" s="4"/>
      <c r="C1886" s="3"/>
      <c r="G1886" s="19"/>
    </row>
    <row r="1887" spans="1:7" ht="12.75" x14ac:dyDescent="0.2">
      <c r="A1887" s="3"/>
      <c r="B1887" s="4"/>
      <c r="C1887" s="3"/>
      <c r="G1887" s="19"/>
    </row>
    <row r="1888" spans="1:7" ht="12.75" x14ac:dyDescent="0.2">
      <c r="A1888" s="3"/>
      <c r="B1888" s="4"/>
      <c r="C1888" s="3"/>
      <c r="G1888" s="19"/>
    </row>
    <row r="1889" spans="1:7" ht="12.75" x14ac:dyDescent="0.2">
      <c r="A1889" s="3"/>
      <c r="B1889" s="4"/>
      <c r="C1889" s="3"/>
      <c r="G1889" s="19"/>
    </row>
    <row r="1890" spans="1:7" ht="12.75" x14ac:dyDescent="0.2">
      <c r="A1890" s="3"/>
      <c r="B1890" s="4"/>
      <c r="C1890" s="3"/>
      <c r="G1890" s="19"/>
    </row>
    <row r="1891" spans="1:7" ht="12.75" x14ac:dyDescent="0.2">
      <c r="A1891" s="3"/>
      <c r="B1891" s="4"/>
      <c r="C1891" s="3"/>
      <c r="G1891" s="19"/>
    </row>
    <row r="1892" spans="1:7" ht="12.75" x14ac:dyDescent="0.2">
      <c r="A1892" s="3"/>
      <c r="B1892" s="4"/>
      <c r="C1892" s="3"/>
      <c r="G1892" s="19"/>
    </row>
    <row r="1893" spans="1:7" ht="12.75" x14ac:dyDescent="0.2">
      <c r="A1893" s="3"/>
      <c r="B1893" s="4"/>
      <c r="C1893" s="3"/>
      <c r="G1893" s="19"/>
    </row>
    <row r="1894" spans="1:7" ht="12.75" x14ac:dyDescent="0.2">
      <c r="A1894" s="3"/>
      <c r="B1894" s="4"/>
      <c r="C1894" s="3"/>
      <c r="G1894" s="19"/>
    </row>
    <row r="1895" spans="1:7" ht="12.75" x14ac:dyDescent="0.2">
      <c r="A1895" s="3"/>
      <c r="B1895" s="4"/>
      <c r="C1895" s="3"/>
      <c r="G1895" s="19"/>
    </row>
    <row r="1896" spans="1:7" ht="12.75" x14ac:dyDescent="0.2">
      <c r="A1896" s="3"/>
      <c r="B1896" s="4"/>
      <c r="C1896" s="3"/>
      <c r="G1896" s="19"/>
    </row>
    <row r="1897" spans="1:7" ht="12.75" x14ac:dyDescent="0.2">
      <c r="A1897" s="3"/>
      <c r="B1897" s="4"/>
      <c r="C1897" s="3"/>
      <c r="G1897" s="19"/>
    </row>
    <row r="1898" spans="1:7" ht="12.75" x14ac:dyDescent="0.2">
      <c r="A1898" s="3"/>
      <c r="B1898" s="4"/>
      <c r="C1898" s="3"/>
      <c r="G1898" s="19"/>
    </row>
    <row r="1899" spans="1:7" ht="12.75" x14ac:dyDescent="0.2">
      <c r="A1899" s="3"/>
      <c r="B1899" s="4"/>
      <c r="C1899" s="3"/>
      <c r="G1899" s="19"/>
    </row>
    <row r="1900" spans="1:7" ht="12.75" x14ac:dyDescent="0.2">
      <c r="A1900" s="3"/>
      <c r="B1900" s="4"/>
      <c r="C1900" s="3"/>
      <c r="G1900" s="19"/>
    </row>
    <row r="1901" spans="1:7" ht="12.75" x14ac:dyDescent="0.2">
      <c r="A1901" s="3"/>
      <c r="B1901" s="4"/>
      <c r="C1901" s="3"/>
      <c r="G1901" s="19"/>
    </row>
    <row r="1902" spans="1:7" ht="12.75" x14ac:dyDescent="0.2">
      <c r="A1902" s="3"/>
      <c r="B1902" s="4"/>
      <c r="C1902" s="3"/>
      <c r="G1902" s="19"/>
    </row>
    <row r="1903" spans="1:7" ht="12.75" x14ac:dyDescent="0.2">
      <c r="A1903" s="3"/>
      <c r="B1903" s="4"/>
      <c r="C1903" s="3"/>
      <c r="G1903" s="19"/>
    </row>
    <row r="1904" spans="1:7" ht="12.75" x14ac:dyDescent="0.2">
      <c r="A1904" s="3"/>
      <c r="B1904" s="4"/>
      <c r="C1904" s="3"/>
      <c r="G1904" s="19"/>
    </row>
    <row r="1905" spans="1:7" ht="12.75" x14ac:dyDescent="0.2">
      <c r="A1905" s="3"/>
      <c r="B1905" s="4"/>
      <c r="C1905" s="3"/>
      <c r="G1905" s="19"/>
    </row>
    <row r="1906" spans="1:7" ht="12.75" x14ac:dyDescent="0.2">
      <c r="A1906" s="3"/>
      <c r="B1906" s="4"/>
      <c r="C1906" s="3"/>
      <c r="G1906" s="19"/>
    </row>
    <row r="1907" spans="1:7" ht="12.75" x14ac:dyDescent="0.2">
      <c r="A1907" s="3"/>
      <c r="B1907" s="4"/>
      <c r="C1907" s="3"/>
      <c r="G1907" s="19"/>
    </row>
    <row r="1908" spans="1:7" ht="12.75" x14ac:dyDescent="0.2">
      <c r="A1908" s="3"/>
      <c r="B1908" s="4"/>
      <c r="C1908" s="3"/>
      <c r="G1908" s="19"/>
    </row>
    <row r="1909" spans="1:7" ht="12.75" x14ac:dyDescent="0.2">
      <c r="A1909" s="3"/>
      <c r="B1909" s="4"/>
      <c r="C1909" s="3"/>
      <c r="G1909" s="19"/>
    </row>
    <row r="1910" spans="1:7" ht="12.75" x14ac:dyDescent="0.2">
      <c r="A1910" s="3"/>
      <c r="B1910" s="4"/>
      <c r="C1910" s="3"/>
      <c r="G1910" s="19"/>
    </row>
    <row r="1911" spans="1:7" ht="12.75" x14ac:dyDescent="0.2">
      <c r="A1911" s="3"/>
      <c r="B1911" s="4"/>
      <c r="C1911" s="3"/>
      <c r="G1911" s="19"/>
    </row>
    <row r="1912" spans="1:7" ht="12.75" x14ac:dyDescent="0.2">
      <c r="A1912" s="3"/>
      <c r="B1912" s="4"/>
      <c r="C1912" s="3"/>
      <c r="G1912" s="19"/>
    </row>
    <row r="1913" spans="1:7" ht="12.75" x14ac:dyDescent="0.2">
      <c r="A1913" s="3"/>
      <c r="B1913" s="4"/>
      <c r="C1913" s="3"/>
      <c r="G1913" s="19"/>
    </row>
    <row r="1914" spans="1:7" ht="12.75" x14ac:dyDescent="0.2">
      <c r="A1914" s="3"/>
      <c r="B1914" s="4"/>
      <c r="C1914" s="3"/>
      <c r="G1914" s="19"/>
    </row>
    <row r="1915" spans="1:7" ht="12.75" x14ac:dyDescent="0.2">
      <c r="A1915" s="3"/>
      <c r="B1915" s="4"/>
      <c r="C1915" s="3"/>
      <c r="G1915" s="19"/>
    </row>
    <row r="1916" spans="1:7" ht="12.75" x14ac:dyDescent="0.2">
      <c r="A1916" s="3"/>
      <c r="B1916" s="4"/>
      <c r="C1916" s="3"/>
      <c r="G1916" s="19"/>
    </row>
    <row r="1917" spans="1:7" ht="12.75" x14ac:dyDescent="0.2">
      <c r="A1917" s="3"/>
      <c r="B1917" s="4"/>
      <c r="C1917" s="3"/>
      <c r="G1917" s="19"/>
    </row>
    <row r="1918" spans="1:7" ht="12.75" x14ac:dyDescent="0.2">
      <c r="A1918" s="3"/>
      <c r="B1918" s="4"/>
      <c r="C1918" s="3"/>
      <c r="G1918" s="19"/>
    </row>
    <row r="1919" spans="1:7" ht="12.75" x14ac:dyDescent="0.2">
      <c r="A1919" s="3"/>
      <c r="B1919" s="4"/>
      <c r="C1919" s="3"/>
      <c r="G1919" s="19"/>
    </row>
    <row r="1920" spans="1:7" ht="12.75" x14ac:dyDescent="0.2">
      <c r="A1920" s="3"/>
      <c r="B1920" s="4"/>
      <c r="C1920" s="3"/>
      <c r="G1920" s="19"/>
    </row>
    <row r="1921" spans="1:7" ht="12.75" x14ac:dyDescent="0.2">
      <c r="A1921" s="3"/>
      <c r="B1921" s="4"/>
      <c r="C1921" s="3"/>
      <c r="G1921" s="19"/>
    </row>
    <row r="1922" spans="1:7" ht="12.75" x14ac:dyDescent="0.2">
      <c r="A1922" s="3"/>
      <c r="B1922" s="4"/>
      <c r="C1922" s="3"/>
      <c r="G1922" s="19"/>
    </row>
    <row r="1923" spans="1:7" ht="12.75" x14ac:dyDescent="0.2">
      <c r="A1923" s="3"/>
      <c r="B1923" s="4"/>
      <c r="C1923" s="3"/>
      <c r="G1923" s="19"/>
    </row>
    <row r="1924" spans="1:7" ht="12.75" x14ac:dyDescent="0.2">
      <c r="A1924" s="3"/>
      <c r="B1924" s="4"/>
      <c r="C1924" s="3"/>
      <c r="G1924" s="19"/>
    </row>
    <row r="1925" spans="1:7" ht="12.75" x14ac:dyDescent="0.2">
      <c r="A1925" s="3"/>
      <c r="B1925" s="4"/>
      <c r="C1925" s="3"/>
      <c r="G1925" s="19"/>
    </row>
    <row r="1926" spans="1:7" ht="12.75" x14ac:dyDescent="0.2">
      <c r="A1926" s="3"/>
      <c r="B1926" s="4"/>
      <c r="C1926" s="3"/>
      <c r="G1926" s="19"/>
    </row>
    <row r="1927" spans="1:7" ht="12.75" x14ac:dyDescent="0.2">
      <c r="A1927" s="3"/>
      <c r="B1927" s="4"/>
      <c r="C1927" s="3"/>
      <c r="G1927" s="19"/>
    </row>
    <row r="1928" spans="1:7" ht="12.75" x14ac:dyDescent="0.2">
      <c r="A1928" s="3"/>
      <c r="B1928" s="4"/>
      <c r="C1928" s="3"/>
      <c r="G1928" s="19"/>
    </row>
    <row r="1929" spans="1:7" ht="12.75" x14ac:dyDescent="0.2">
      <c r="A1929" s="3"/>
      <c r="B1929" s="4"/>
      <c r="C1929" s="3"/>
      <c r="G1929" s="19"/>
    </row>
    <row r="1930" spans="1:7" ht="12.75" x14ac:dyDescent="0.2">
      <c r="A1930" s="3"/>
      <c r="B1930" s="4"/>
      <c r="C1930" s="3"/>
      <c r="G1930" s="19"/>
    </row>
    <row r="1931" spans="1:7" ht="12.75" x14ac:dyDescent="0.2">
      <c r="A1931" s="3"/>
      <c r="B1931" s="4"/>
      <c r="C1931" s="3"/>
      <c r="G1931" s="19"/>
    </row>
    <row r="1932" spans="1:7" ht="12.75" x14ac:dyDescent="0.2">
      <c r="A1932" s="3"/>
      <c r="B1932" s="4"/>
      <c r="C1932" s="3"/>
      <c r="G1932" s="19"/>
    </row>
    <row r="1933" spans="1:7" ht="12.75" x14ac:dyDescent="0.2">
      <c r="A1933" s="3"/>
      <c r="B1933" s="4"/>
      <c r="C1933" s="3"/>
      <c r="G1933" s="19"/>
    </row>
    <row r="1934" spans="1:7" ht="12.75" x14ac:dyDescent="0.2">
      <c r="A1934" s="3"/>
      <c r="B1934" s="4"/>
      <c r="C1934" s="3"/>
      <c r="G1934" s="19"/>
    </row>
    <row r="1935" spans="1:7" ht="12.75" x14ac:dyDescent="0.2">
      <c r="A1935" s="3"/>
      <c r="B1935" s="4"/>
      <c r="C1935" s="3"/>
      <c r="G1935" s="19"/>
    </row>
    <row r="1936" spans="1:7" ht="12.75" x14ac:dyDescent="0.2">
      <c r="A1936" s="3"/>
      <c r="B1936" s="4"/>
      <c r="C1936" s="3"/>
      <c r="G1936" s="19"/>
    </row>
    <row r="1937" spans="1:7" ht="12.75" x14ac:dyDescent="0.2">
      <c r="A1937" s="3"/>
      <c r="B1937" s="4"/>
      <c r="C1937" s="3"/>
      <c r="G1937" s="19"/>
    </row>
    <row r="1938" spans="1:7" ht="12.75" x14ac:dyDescent="0.2">
      <c r="A1938" s="3"/>
      <c r="B1938" s="4"/>
      <c r="C1938" s="3"/>
      <c r="G1938" s="19"/>
    </row>
    <row r="1939" spans="1:7" ht="12.75" x14ac:dyDescent="0.2">
      <c r="A1939" s="3"/>
      <c r="B1939" s="4"/>
      <c r="C1939" s="3"/>
      <c r="G1939" s="19"/>
    </row>
    <row r="1940" spans="1:7" ht="12.75" x14ac:dyDescent="0.2">
      <c r="A1940" s="3"/>
      <c r="B1940" s="4"/>
      <c r="C1940" s="3"/>
      <c r="G1940" s="19"/>
    </row>
    <row r="1941" spans="1:7" ht="12.75" x14ac:dyDescent="0.2">
      <c r="A1941" s="3"/>
      <c r="B1941" s="4"/>
      <c r="C1941" s="3"/>
      <c r="G1941" s="19"/>
    </row>
    <row r="1942" spans="1:7" ht="12.75" x14ac:dyDescent="0.2">
      <c r="A1942" s="3"/>
      <c r="B1942" s="4"/>
      <c r="C1942" s="3"/>
      <c r="G1942" s="19"/>
    </row>
    <row r="1943" spans="1:7" ht="12.75" x14ac:dyDescent="0.2">
      <c r="A1943" s="3"/>
      <c r="B1943" s="4"/>
      <c r="C1943" s="3"/>
      <c r="G1943" s="19"/>
    </row>
    <row r="1944" spans="1:7" ht="12.75" x14ac:dyDescent="0.2">
      <c r="A1944" s="3"/>
      <c r="B1944" s="4"/>
      <c r="C1944" s="3"/>
      <c r="G1944" s="19"/>
    </row>
    <row r="1945" spans="1:7" ht="12.75" x14ac:dyDescent="0.2">
      <c r="A1945" s="3"/>
      <c r="B1945" s="4"/>
      <c r="C1945" s="3"/>
      <c r="G1945" s="19"/>
    </row>
    <row r="1946" spans="1:7" ht="12.75" x14ac:dyDescent="0.2">
      <c r="A1946" s="3"/>
      <c r="B1946" s="4"/>
      <c r="C1946" s="3"/>
      <c r="G1946" s="19"/>
    </row>
    <row r="1947" spans="1:7" ht="12.75" x14ac:dyDescent="0.2">
      <c r="A1947" s="3"/>
      <c r="B1947" s="4"/>
      <c r="C1947" s="3"/>
      <c r="G1947" s="19"/>
    </row>
    <row r="1948" spans="1:7" ht="12.75" x14ac:dyDescent="0.2">
      <c r="A1948" s="3"/>
      <c r="B1948" s="4"/>
      <c r="C1948" s="3"/>
      <c r="G1948" s="19"/>
    </row>
    <row r="1949" spans="1:7" ht="12.75" x14ac:dyDescent="0.2">
      <c r="A1949" s="3"/>
      <c r="B1949" s="4"/>
      <c r="C1949" s="3"/>
      <c r="G1949" s="19"/>
    </row>
    <row r="1950" spans="1:7" ht="12.75" x14ac:dyDescent="0.2">
      <c r="A1950" s="3"/>
      <c r="B1950" s="4"/>
      <c r="C1950" s="3"/>
      <c r="G1950" s="19"/>
    </row>
    <row r="1951" spans="1:7" ht="12.75" x14ac:dyDescent="0.2">
      <c r="A1951" s="3"/>
      <c r="B1951" s="4"/>
      <c r="C1951" s="3"/>
      <c r="G1951" s="19"/>
    </row>
    <row r="1952" spans="1:7" ht="12.75" x14ac:dyDescent="0.2">
      <c r="A1952" s="3"/>
      <c r="B1952" s="4"/>
      <c r="C1952" s="3"/>
      <c r="G1952" s="19"/>
    </row>
    <row r="1953" spans="1:7" ht="12.75" x14ac:dyDescent="0.2">
      <c r="A1953" s="3"/>
      <c r="B1953" s="4"/>
      <c r="C1953" s="3"/>
      <c r="G1953" s="19"/>
    </row>
    <row r="1954" spans="1:7" ht="12.75" x14ac:dyDescent="0.2">
      <c r="A1954" s="3"/>
      <c r="B1954" s="4"/>
      <c r="C1954" s="3"/>
      <c r="G1954" s="19"/>
    </row>
    <row r="1955" spans="1:7" ht="12.75" x14ac:dyDescent="0.2">
      <c r="A1955" s="3"/>
      <c r="B1955" s="4"/>
      <c r="C1955" s="3"/>
      <c r="G1955" s="19"/>
    </row>
    <row r="1956" spans="1:7" ht="12.75" x14ac:dyDescent="0.2">
      <c r="A1956" s="3"/>
      <c r="B1956" s="4"/>
      <c r="C1956" s="3"/>
      <c r="G1956" s="19"/>
    </row>
    <row r="1957" spans="1:7" ht="12.75" x14ac:dyDescent="0.2">
      <c r="A1957" s="3"/>
      <c r="B1957" s="4"/>
      <c r="C1957" s="3"/>
      <c r="G1957" s="19"/>
    </row>
    <row r="1958" spans="1:7" ht="12.75" x14ac:dyDescent="0.2">
      <c r="A1958" s="3"/>
      <c r="B1958" s="4"/>
      <c r="C1958" s="3"/>
      <c r="G1958" s="19"/>
    </row>
    <row r="1959" spans="1:7" ht="12.75" x14ac:dyDescent="0.2">
      <c r="A1959" s="3"/>
      <c r="B1959" s="4"/>
      <c r="C1959" s="3"/>
      <c r="G1959" s="19"/>
    </row>
    <row r="1960" spans="1:7" ht="12.75" x14ac:dyDescent="0.2">
      <c r="A1960" s="3"/>
      <c r="B1960" s="4"/>
      <c r="C1960" s="3"/>
      <c r="G1960" s="19"/>
    </row>
    <row r="1961" spans="1:7" ht="12.75" x14ac:dyDescent="0.2">
      <c r="A1961" s="3"/>
      <c r="B1961" s="4"/>
      <c r="C1961" s="3"/>
      <c r="G1961" s="19"/>
    </row>
    <row r="1962" spans="1:7" ht="12.75" x14ac:dyDescent="0.2">
      <c r="A1962" s="3"/>
      <c r="B1962" s="4"/>
      <c r="C1962" s="3"/>
      <c r="G1962" s="19"/>
    </row>
    <row r="1963" spans="1:7" ht="12.75" x14ac:dyDescent="0.2">
      <c r="A1963" s="3"/>
      <c r="B1963" s="4"/>
      <c r="C1963" s="3"/>
      <c r="G1963" s="19"/>
    </row>
    <row r="1964" spans="1:7" ht="12.75" x14ac:dyDescent="0.2">
      <c r="A1964" s="3"/>
      <c r="B1964" s="4"/>
      <c r="C1964" s="3"/>
      <c r="G1964" s="19"/>
    </row>
    <row r="1965" spans="1:7" ht="12.75" x14ac:dyDescent="0.2">
      <c r="A1965" s="3"/>
      <c r="B1965" s="4"/>
      <c r="C1965" s="3"/>
      <c r="G1965" s="19"/>
    </row>
    <row r="1966" spans="1:7" ht="12.75" x14ac:dyDescent="0.2">
      <c r="A1966" s="3"/>
      <c r="B1966" s="4"/>
      <c r="C1966" s="3"/>
      <c r="G1966" s="19"/>
    </row>
    <row r="1967" spans="1:7" ht="12.75" x14ac:dyDescent="0.2">
      <c r="A1967" s="3"/>
      <c r="B1967" s="4"/>
      <c r="C1967" s="3"/>
      <c r="G1967" s="19"/>
    </row>
    <row r="1968" spans="1:7" ht="12.75" x14ac:dyDescent="0.2">
      <c r="A1968" s="3"/>
      <c r="B1968" s="4"/>
      <c r="C1968" s="3"/>
      <c r="G1968" s="19"/>
    </row>
    <row r="1969" spans="1:7" ht="12.75" x14ac:dyDescent="0.2">
      <c r="A1969" s="3"/>
      <c r="B1969" s="4"/>
      <c r="C1969" s="3"/>
      <c r="G1969" s="19"/>
    </row>
    <row r="1970" spans="1:7" ht="12.75" x14ac:dyDescent="0.2">
      <c r="A1970" s="3"/>
      <c r="B1970" s="4"/>
      <c r="C1970" s="3"/>
      <c r="G1970" s="19"/>
    </row>
    <row r="1971" spans="1:7" ht="12.75" x14ac:dyDescent="0.2">
      <c r="A1971" s="3"/>
      <c r="B1971" s="4"/>
      <c r="C1971" s="3"/>
      <c r="G1971" s="19"/>
    </row>
    <row r="1972" spans="1:7" ht="12.75" x14ac:dyDescent="0.2">
      <c r="A1972" s="3"/>
      <c r="B1972" s="4"/>
      <c r="C1972" s="3"/>
      <c r="G1972" s="19"/>
    </row>
    <row r="1973" spans="1:7" ht="12.75" x14ac:dyDescent="0.2">
      <c r="A1973" s="3"/>
      <c r="B1973" s="4"/>
      <c r="C1973" s="3"/>
      <c r="G1973" s="19"/>
    </row>
    <row r="1974" spans="1:7" ht="12.75" x14ac:dyDescent="0.2">
      <c r="A1974" s="3"/>
      <c r="B1974" s="4"/>
      <c r="C1974" s="3"/>
      <c r="G1974" s="19"/>
    </row>
    <row r="1975" spans="1:7" ht="12.75" x14ac:dyDescent="0.2">
      <c r="A1975" s="3"/>
      <c r="B1975" s="4"/>
      <c r="C1975" s="3"/>
      <c r="G1975" s="19"/>
    </row>
    <row r="1976" spans="1:7" ht="12.75" x14ac:dyDescent="0.2">
      <c r="A1976" s="3"/>
      <c r="B1976" s="4"/>
      <c r="C1976" s="3"/>
      <c r="G1976" s="19"/>
    </row>
    <row r="1977" spans="1:7" ht="12.75" x14ac:dyDescent="0.2">
      <c r="A1977" s="3"/>
      <c r="B1977" s="4"/>
      <c r="C1977" s="3"/>
      <c r="G1977" s="19"/>
    </row>
    <row r="1978" spans="1:7" ht="12.75" x14ac:dyDescent="0.2">
      <c r="A1978" s="3"/>
      <c r="B1978" s="4"/>
      <c r="C1978" s="3"/>
      <c r="G1978" s="19"/>
    </row>
    <row r="1979" spans="1:7" ht="12.75" x14ac:dyDescent="0.2">
      <c r="A1979" s="3"/>
      <c r="B1979" s="4"/>
      <c r="C1979" s="3"/>
      <c r="G1979" s="19"/>
    </row>
    <row r="1980" spans="1:7" ht="12.75" x14ac:dyDescent="0.2">
      <c r="A1980" s="3"/>
      <c r="B1980" s="4"/>
      <c r="C1980" s="3"/>
      <c r="G1980" s="19"/>
    </row>
    <row r="1981" spans="1:7" ht="12.75" x14ac:dyDescent="0.2">
      <c r="A1981" s="3"/>
      <c r="B1981" s="4"/>
      <c r="C1981" s="3"/>
      <c r="G1981" s="19"/>
    </row>
    <row r="1982" spans="1:7" ht="12.75" x14ac:dyDescent="0.2">
      <c r="A1982" s="3"/>
      <c r="B1982" s="4"/>
      <c r="C1982" s="3"/>
      <c r="G1982" s="19"/>
    </row>
    <row r="1983" spans="1:7" ht="12.75" x14ac:dyDescent="0.2">
      <c r="A1983" s="3"/>
      <c r="B1983" s="4"/>
      <c r="C1983" s="3"/>
      <c r="G1983" s="19"/>
    </row>
    <row r="1984" spans="1:7" ht="12.75" x14ac:dyDescent="0.2">
      <c r="A1984" s="3"/>
      <c r="B1984" s="4"/>
      <c r="C1984" s="3"/>
      <c r="G1984" s="19"/>
    </row>
    <row r="1985" spans="1:7" ht="12.75" x14ac:dyDescent="0.2">
      <c r="A1985" s="3"/>
      <c r="B1985" s="4"/>
      <c r="C1985" s="3"/>
      <c r="G1985" s="19"/>
    </row>
    <row r="1986" spans="1:7" ht="12.75" x14ac:dyDescent="0.2">
      <c r="A1986" s="3"/>
      <c r="B1986" s="4"/>
      <c r="C1986" s="3"/>
      <c r="G1986" s="19"/>
    </row>
    <row r="1987" spans="1:7" ht="12.75" x14ac:dyDescent="0.2">
      <c r="A1987" s="3"/>
      <c r="B1987" s="4"/>
      <c r="C1987" s="3"/>
      <c r="G1987" s="19"/>
    </row>
    <row r="1988" spans="1:7" ht="12.75" x14ac:dyDescent="0.2">
      <c r="A1988" s="3"/>
      <c r="B1988" s="4"/>
      <c r="C1988" s="3"/>
      <c r="G1988" s="19"/>
    </row>
    <row r="1989" spans="1:7" ht="12.75" x14ac:dyDescent="0.2">
      <c r="A1989" s="3"/>
      <c r="B1989" s="4"/>
      <c r="C1989" s="3"/>
      <c r="G1989" s="19"/>
    </row>
    <row r="1990" spans="1:7" ht="12.75" x14ac:dyDescent="0.2">
      <c r="A1990" s="3"/>
      <c r="B1990" s="4"/>
      <c r="C1990" s="3"/>
      <c r="G1990" s="19"/>
    </row>
    <row r="1991" spans="1:7" ht="12.75" x14ac:dyDescent="0.2">
      <c r="A1991" s="3"/>
      <c r="B1991" s="4"/>
      <c r="C1991" s="3"/>
      <c r="G1991" s="19"/>
    </row>
    <row r="1992" spans="1:7" ht="12.75" x14ac:dyDescent="0.2">
      <c r="A1992" s="3"/>
      <c r="B1992" s="4"/>
      <c r="C1992" s="3"/>
      <c r="G1992" s="19"/>
    </row>
    <row r="1993" spans="1:7" ht="12.75" x14ac:dyDescent="0.2">
      <c r="A1993" s="3"/>
      <c r="B1993" s="4"/>
      <c r="C1993" s="3"/>
      <c r="G1993" s="19"/>
    </row>
    <row r="1994" spans="1:7" ht="12.75" x14ac:dyDescent="0.2">
      <c r="A1994" s="3"/>
      <c r="B1994" s="4"/>
      <c r="C1994" s="3"/>
      <c r="G1994" s="19"/>
    </row>
    <row r="1995" spans="1:7" ht="12.75" x14ac:dyDescent="0.2">
      <c r="A1995" s="3"/>
      <c r="B1995" s="4"/>
      <c r="C1995" s="3"/>
      <c r="G1995" s="19"/>
    </row>
    <row r="1996" spans="1:7" ht="12.75" x14ac:dyDescent="0.2">
      <c r="A1996" s="3"/>
      <c r="B1996" s="4"/>
      <c r="C1996" s="3"/>
      <c r="G1996" s="19"/>
    </row>
    <row r="1997" spans="1:7" ht="12.75" x14ac:dyDescent="0.2">
      <c r="A1997" s="3"/>
      <c r="B1997" s="4"/>
      <c r="C1997" s="3"/>
      <c r="G1997" s="19"/>
    </row>
    <row r="1998" spans="1:7" ht="12.75" x14ac:dyDescent="0.2">
      <c r="A1998" s="3"/>
      <c r="B1998" s="4"/>
      <c r="C1998" s="3"/>
      <c r="G1998" s="19"/>
    </row>
    <row r="1999" spans="1:7" ht="12.75" x14ac:dyDescent="0.2">
      <c r="A1999" s="3"/>
      <c r="B1999" s="4"/>
      <c r="C1999" s="3"/>
      <c r="G1999" s="19"/>
    </row>
    <row r="2000" spans="1:7" ht="12.75" x14ac:dyDescent="0.2">
      <c r="A2000" s="3"/>
      <c r="B2000" s="4"/>
      <c r="C2000" s="3"/>
      <c r="G2000" s="19"/>
    </row>
    <row r="2001" spans="1:7" ht="12.75" x14ac:dyDescent="0.2">
      <c r="A2001" s="3"/>
      <c r="B2001" s="4"/>
      <c r="C2001" s="3"/>
      <c r="G2001" s="19"/>
    </row>
    <row r="2002" spans="1:7" ht="12.75" x14ac:dyDescent="0.2">
      <c r="A2002" s="3"/>
      <c r="B2002" s="4"/>
      <c r="C2002" s="3"/>
      <c r="G2002" s="19"/>
    </row>
    <row r="2003" spans="1:7" ht="12.75" x14ac:dyDescent="0.2">
      <c r="A2003" s="3"/>
      <c r="B2003" s="4"/>
      <c r="C2003" s="3"/>
      <c r="G2003" s="19"/>
    </row>
    <row r="2004" spans="1:7" ht="12.75" x14ac:dyDescent="0.2">
      <c r="A2004" s="3"/>
      <c r="B2004" s="4"/>
      <c r="C2004" s="3"/>
      <c r="G2004" s="19"/>
    </row>
    <row r="2005" spans="1:7" ht="12.75" x14ac:dyDescent="0.2">
      <c r="A2005" s="3"/>
      <c r="B2005" s="4"/>
      <c r="C2005" s="3"/>
      <c r="G2005" s="19"/>
    </row>
    <row r="2006" spans="1:7" ht="12.75" x14ac:dyDescent="0.2">
      <c r="A2006" s="3"/>
      <c r="B2006" s="4"/>
      <c r="C2006" s="3"/>
      <c r="G2006" s="19"/>
    </row>
    <row r="2007" spans="1:7" ht="12.75" x14ac:dyDescent="0.2">
      <c r="A2007" s="3"/>
      <c r="B2007" s="4"/>
      <c r="C2007" s="3"/>
      <c r="G2007" s="19"/>
    </row>
    <row r="2008" spans="1:7" ht="12.75" x14ac:dyDescent="0.2">
      <c r="A2008" s="3"/>
      <c r="B2008" s="4"/>
      <c r="C2008" s="3"/>
      <c r="G2008" s="19"/>
    </row>
    <row r="2009" spans="1:7" ht="12.75" x14ac:dyDescent="0.2">
      <c r="A2009" s="3"/>
      <c r="B2009" s="4"/>
      <c r="C2009" s="3"/>
      <c r="G2009" s="19"/>
    </row>
    <row r="2010" spans="1:7" ht="12.75" x14ac:dyDescent="0.2">
      <c r="A2010" s="3"/>
      <c r="B2010" s="4"/>
      <c r="C2010" s="3"/>
      <c r="G2010" s="19"/>
    </row>
    <row r="2011" spans="1:7" ht="12.75" x14ac:dyDescent="0.2">
      <c r="A2011" s="3"/>
      <c r="B2011" s="4"/>
      <c r="C2011" s="3"/>
      <c r="G2011" s="19"/>
    </row>
    <row r="2012" spans="1:7" ht="12.75" x14ac:dyDescent="0.2">
      <c r="A2012" s="3"/>
      <c r="B2012" s="4"/>
      <c r="C2012" s="3"/>
      <c r="G2012" s="19"/>
    </row>
    <row r="2013" spans="1:7" ht="12.75" x14ac:dyDescent="0.2">
      <c r="A2013" s="3"/>
      <c r="B2013" s="4"/>
      <c r="C2013" s="3"/>
      <c r="G2013" s="19"/>
    </row>
    <row r="2014" spans="1:7" ht="12.75" x14ac:dyDescent="0.2">
      <c r="A2014" s="3"/>
      <c r="B2014" s="4"/>
      <c r="C2014" s="3"/>
      <c r="G2014" s="19"/>
    </row>
    <row r="2015" spans="1:7" ht="12.75" x14ac:dyDescent="0.2">
      <c r="A2015" s="3"/>
      <c r="B2015" s="4"/>
      <c r="C2015" s="3"/>
      <c r="G2015" s="19"/>
    </row>
    <row r="2016" spans="1:7" ht="12.75" x14ac:dyDescent="0.2">
      <c r="A2016" s="3"/>
      <c r="B2016" s="4"/>
      <c r="C2016" s="3"/>
      <c r="G2016" s="19"/>
    </row>
    <row r="2017" spans="1:7" ht="12.75" x14ac:dyDescent="0.2">
      <c r="A2017" s="3"/>
      <c r="B2017" s="4"/>
      <c r="C2017" s="3"/>
      <c r="G2017" s="19"/>
    </row>
    <row r="2018" spans="1:7" ht="12.75" x14ac:dyDescent="0.2">
      <c r="A2018" s="3"/>
      <c r="B2018" s="4"/>
      <c r="C2018" s="3"/>
      <c r="G2018" s="19"/>
    </row>
    <row r="2019" spans="1:7" ht="12.75" x14ac:dyDescent="0.2">
      <c r="A2019" s="3"/>
      <c r="B2019" s="4"/>
      <c r="C2019" s="3"/>
      <c r="G2019" s="19"/>
    </row>
    <row r="2020" spans="1:7" ht="12.75" x14ac:dyDescent="0.2">
      <c r="A2020" s="3"/>
      <c r="B2020" s="4"/>
      <c r="C2020" s="3"/>
      <c r="G2020" s="19"/>
    </row>
    <row r="2021" spans="1:7" ht="12.75" x14ac:dyDescent="0.2">
      <c r="A2021" s="3"/>
      <c r="B2021" s="4"/>
      <c r="C2021" s="3"/>
      <c r="G2021" s="19"/>
    </row>
    <row r="2022" spans="1:7" ht="12.75" x14ac:dyDescent="0.2">
      <c r="A2022" s="3"/>
      <c r="B2022" s="4"/>
      <c r="C2022" s="3"/>
      <c r="G2022" s="19"/>
    </row>
    <row r="2023" spans="1:7" ht="12.75" x14ac:dyDescent="0.2">
      <c r="A2023" s="3"/>
      <c r="B2023" s="4"/>
      <c r="C2023" s="3"/>
      <c r="G2023" s="19"/>
    </row>
    <row r="2024" spans="1:7" ht="12.75" x14ac:dyDescent="0.2">
      <c r="A2024" s="3"/>
      <c r="B2024" s="4"/>
      <c r="C2024" s="3"/>
      <c r="G2024" s="19"/>
    </row>
    <row r="2025" spans="1:7" ht="12.75" x14ac:dyDescent="0.2">
      <c r="A2025" s="3"/>
      <c r="B2025" s="4"/>
      <c r="C2025" s="3"/>
      <c r="G2025" s="19"/>
    </row>
    <row r="2026" spans="1:7" ht="12.75" x14ac:dyDescent="0.2">
      <c r="A2026" s="3"/>
      <c r="B2026" s="4"/>
      <c r="C2026" s="3"/>
      <c r="G2026" s="19"/>
    </row>
    <row r="2027" spans="1:7" ht="12.75" x14ac:dyDescent="0.2">
      <c r="A2027" s="3"/>
      <c r="B2027" s="4"/>
      <c r="C2027" s="3"/>
      <c r="G2027" s="19"/>
    </row>
    <row r="2028" spans="1:7" ht="12.75" x14ac:dyDescent="0.2">
      <c r="A2028" s="3"/>
      <c r="B2028" s="4"/>
      <c r="C2028" s="3"/>
      <c r="G2028" s="19"/>
    </row>
    <row r="2029" spans="1:7" ht="12.75" x14ac:dyDescent="0.2">
      <c r="A2029" s="3"/>
      <c r="B2029" s="4"/>
      <c r="C2029" s="3"/>
      <c r="G2029" s="19"/>
    </row>
    <row r="2030" spans="1:7" ht="12.75" x14ac:dyDescent="0.2">
      <c r="A2030" s="3"/>
      <c r="B2030" s="4"/>
      <c r="C2030" s="3"/>
      <c r="G2030" s="19"/>
    </row>
    <row r="2031" spans="1:7" ht="12.75" x14ac:dyDescent="0.2">
      <c r="A2031" s="3"/>
      <c r="B2031" s="4"/>
      <c r="C2031" s="3"/>
      <c r="G2031" s="19"/>
    </row>
    <row r="2032" spans="1:7" ht="12.75" x14ac:dyDescent="0.2">
      <c r="A2032" s="3"/>
      <c r="B2032" s="4"/>
      <c r="C2032" s="3"/>
      <c r="G2032" s="19"/>
    </row>
    <row r="2033" spans="1:7" ht="12.75" x14ac:dyDescent="0.2">
      <c r="A2033" s="3"/>
      <c r="B2033" s="4"/>
      <c r="C2033" s="3"/>
      <c r="G2033" s="19"/>
    </row>
    <row r="2034" spans="1:7" ht="12.75" x14ac:dyDescent="0.2">
      <c r="A2034" s="3"/>
      <c r="B2034" s="4"/>
      <c r="C2034" s="3"/>
      <c r="G2034" s="19"/>
    </row>
    <row r="2035" spans="1:7" ht="12.75" x14ac:dyDescent="0.2">
      <c r="A2035" s="3"/>
      <c r="B2035" s="4"/>
      <c r="C2035" s="3"/>
      <c r="G2035" s="19"/>
    </row>
    <row r="2036" spans="1:7" ht="12.75" x14ac:dyDescent="0.2">
      <c r="A2036" s="3"/>
      <c r="B2036" s="4"/>
      <c r="C2036" s="3"/>
      <c r="G2036" s="19"/>
    </row>
    <row r="2037" spans="1:7" ht="12.75" x14ac:dyDescent="0.2">
      <c r="A2037" s="3"/>
      <c r="B2037" s="4"/>
      <c r="C2037" s="3"/>
      <c r="G2037" s="19"/>
    </row>
    <row r="2038" spans="1:7" ht="12.75" x14ac:dyDescent="0.2">
      <c r="A2038" s="3"/>
      <c r="B2038" s="4"/>
      <c r="C2038" s="3"/>
      <c r="G2038" s="19"/>
    </row>
    <row r="2039" spans="1:7" ht="12.75" x14ac:dyDescent="0.2">
      <c r="A2039" s="3"/>
      <c r="B2039" s="4"/>
      <c r="C2039" s="3"/>
      <c r="G2039" s="19"/>
    </row>
    <row r="2040" spans="1:7" ht="12.75" x14ac:dyDescent="0.2">
      <c r="A2040" s="3"/>
      <c r="B2040" s="4"/>
      <c r="C2040" s="3"/>
      <c r="G2040" s="19"/>
    </row>
    <row r="2041" spans="1:7" ht="12.75" x14ac:dyDescent="0.2">
      <c r="A2041" s="3"/>
      <c r="B2041" s="4"/>
      <c r="C2041" s="3"/>
      <c r="G2041" s="19"/>
    </row>
    <row r="2042" spans="1:7" ht="12.75" x14ac:dyDescent="0.2">
      <c r="A2042" s="3"/>
      <c r="B2042" s="4"/>
      <c r="C2042" s="3"/>
      <c r="G2042" s="19"/>
    </row>
    <row r="2043" spans="1:7" ht="12.75" x14ac:dyDescent="0.2">
      <c r="A2043" s="3"/>
      <c r="B2043" s="4"/>
      <c r="C2043" s="3"/>
      <c r="G2043" s="19"/>
    </row>
    <row r="2044" spans="1:7" ht="12.75" x14ac:dyDescent="0.2">
      <c r="A2044" s="3"/>
      <c r="B2044" s="4"/>
      <c r="C2044" s="3"/>
      <c r="G2044" s="19"/>
    </row>
    <row r="2045" spans="1:7" ht="12.75" x14ac:dyDescent="0.2">
      <c r="A2045" s="3"/>
      <c r="B2045" s="4"/>
      <c r="C2045" s="3"/>
      <c r="G2045" s="19"/>
    </row>
    <row r="2046" spans="1:7" ht="12.75" x14ac:dyDescent="0.2">
      <c r="A2046" s="3"/>
      <c r="B2046" s="4"/>
      <c r="C2046" s="3"/>
      <c r="G2046" s="19"/>
    </row>
    <row r="2047" spans="1:7" ht="12.75" x14ac:dyDescent="0.2">
      <c r="A2047" s="3"/>
      <c r="B2047" s="4"/>
      <c r="C2047" s="3"/>
      <c r="G2047" s="19"/>
    </row>
    <row r="2048" spans="1:7" ht="12.75" x14ac:dyDescent="0.2">
      <c r="A2048" s="3"/>
      <c r="B2048" s="4"/>
      <c r="C2048" s="3"/>
      <c r="G2048" s="19"/>
    </row>
    <row r="2049" spans="1:7" ht="12.75" x14ac:dyDescent="0.2">
      <c r="A2049" s="3"/>
      <c r="B2049" s="4"/>
      <c r="C2049" s="3"/>
      <c r="G2049" s="19"/>
    </row>
    <row r="2050" spans="1:7" ht="12.75" x14ac:dyDescent="0.2">
      <c r="A2050" s="3"/>
      <c r="B2050" s="4"/>
      <c r="C2050" s="3"/>
      <c r="G2050" s="19"/>
    </row>
    <row r="2051" spans="1:7" ht="12.75" x14ac:dyDescent="0.2">
      <c r="A2051" s="3"/>
      <c r="B2051" s="4"/>
      <c r="C2051" s="3"/>
      <c r="G2051" s="19"/>
    </row>
    <row r="2052" spans="1:7" ht="12.75" x14ac:dyDescent="0.2">
      <c r="A2052" s="3"/>
      <c r="B2052" s="4"/>
      <c r="C2052" s="3"/>
      <c r="G2052" s="19"/>
    </row>
    <row r="2053" spans="1:7" ht="12.75" x14ac:dyDescent="0.2">
      <c r="A2053" s="3"/>
      <c r="B2053" s="4"/>
      <c r="C2053" s="3"/>
      <c r="G2053" s="19"/>
    </row>
    <row r="2054" spans="1:7" ht="12.75" x14ac:dyDescent="0.2">
      <c r="A2054" s="3"/>
      <c r="B2054" s="4"/>
      <c r="C2054" s="3"/>
      <c r="G2054" s="19"/>
    </row>
    <row r="2055" spans="1:7" ht="12.75" x14ac:dyDescent="0.2">
      <c r="A2055" s="3"/>
      <c r="B2055" s="4"/>
      <c r="C2055" s="3"/>
      <c r="G2055" s="19"/>
    </row>
    <row r="2056" spans="1:7" ht="12.75" x14ac:dyDescent="0.2">
      <c r="A2056" s="3"/>
      <c r="B2056" s="4"/>
      <c r="C2056" s="3"/>
      <c r="G2056" s="19"/>
    </row>
    <row r="2057" spans="1:7" ht="12.75" x14ac:dyDescent="0.2">
      <c r="A2057" s="3"/>
      <c r="B2057" s="4"/>
      <c r="C2057" s="3"/>
      <c r="G2057" s="19"/>
    </row>
    <row r="2058" spans="1:7" ht="12.75" x14ac:dyDescent="0.2">
      <c r="A2058" s="3"/>
      <c r="B2058" s="4"/>
      <c r="C2058" s="3"/>
      <c r="G2058" s="19"/>
    </row>
    <row r="2059" spans="1:7" ht="12.75" x14ac:dyDescent="0.2">
      <c r="A2059" s="3"/>
      <c r="B2059" s="4"/>
      <c r="C2059" s="3"/>
      <c r="G2059" s="19"/>
    </row>
    <row r="2060" spans="1:7" ht="12.75" x14ac:dyDescent="0.2">
      <c r="A2060" s="3"/>
      <c r="B2060" s="4"/>
      <c r="C2060" s="3"/>
      <c r="G2060" s="19"/>
    </row>
    <row r="2061" spans="1:7" ht="12.75" x14ac:dyDescent="0.2">
      <c r="A2061" s="3"/>
      <c r="B2061" s="4"/>
      <c r="C2061" s="3"/>
      <c r="G2061" s="19"/>
    </row>
    <row r="2062" spans="1:7" ht="12.75" x14ac:dyDescent="0.2">
      <c r="A2062" s="3"/>
      <c r="B2062" s="4"/>
      <c r="C2062" s="3"/>
      <c r="G2062" s="19"/>
    </row>
    <row r="2063" spans="1:7" ht="12.75" x14ac:dyDescent="0.2">
      <c r="A2063" s="3"/>
      <c r="B2063" s="4"/>
      <c r="C2063" s="3"/>
      <c r="G2063" s="19"/>
    </row>
    <row r="2064" spans="1:7" ht="12.75" x14ac:dyDescent="0.2">
      <c r="A2064" s="3"/>
      <c r="B2064" s="4"/>
      <c r="C2064" s="3"/>
      <c r="G2064" s="19"/>
    </row>
    <row r="2065" spans="1:7" ht="12.75" x14ac:dyDescent="0.2">
      <c r="A2065" s="3"/>
      <c r="B2065" s="4"/>
      <c r="C2065" s="3"/>
      <c r="G2065" s="19"/>
    </row>
    <row r="2066" spans="1:7" ht="12.75" x14ac:dyDescent="0.2">
      <c r="A2066" s="3"/>
      <c r="B2066" s="4"/>
      <c r="C2066" s="3"/>
      <c r="G2066" s="19"/>
    </row>
    <row r="2067" spans="1:7" ht="12.75" x14ac:dyDescent="0.2">
      <c r="A2067" s="3"/>
      <c r="B2067" s="4"/>
      <c r="C2067" s="3"/>
      <c r="G2067" s="19"/>
    </row>
    <row r="2068" spans="1:7" ht="12.75" x14ac:dyDescent="0.2">
      <c r="A2068" s="3"/>
      <c r="B2068" s="4"/>
      <c r="C2068" s="3"/>
      <c r="G2068" s="19"/>
    </row>
    <row r="2069" spans="1:7" ht="12.75" x14ac:dyDescent="0.2">
      <c r="A2069" s="3"/>
      <c r="B2069" s="4"/>
      <c r="C2069" s="3"/>
      <c r="G2069" s="19"/>
    </row>
    <row r="2070" spans="1:7" ht="12.75" x14ac:dyDescent="0.2">
      <c r="A2070" s="3"/>
      <c r="B2070" s="4"/>
      <c r="C2070" s="3"/>
      <c r="G2070" s="19"/>
    </row>
    <row r="2071" spans="1:7" ht="12.75" x14ac:dyDescent="0.2">
      <c r="A2071" s="3"/>
      <c r="B2071" s="4"/>
      <c r="C2071" s="3"/>
      <c r="G2071" s="19"/>
    </row>
    <row r="2072" spans="1:7" ht="12.75" x14ac:dyDescent="0.2">
      <c r="A2072" s="3"/>
      <c r="B2072" s="4"/>
      <c r="C2072" s="3"/>
      <c r="G2072" s="19"/>
    </row>
    <row r="2073" spans="1:7" ht="12.75" x14ac:dyDescent="0.2">
      <c r="A2073" s="3"/>
      <c r="B2073" s="4"/>
      <c r="C2073" s="3"/>
      <c r="G2073" s="19"/>
    </row>
    <row r="2074" spans="1:7" ht="12.75" x14ac:dyDescent="0.2">
      <c r="A2074" s="3"/>
      <c r="B2074" s="4"/>
      <c r="C2074" s="3"/>
      <c r="G2074" s="19"/>
    </row>
    <row r="2075" spans="1:7" ht="12.75" x14ac:dyDescent="0.2">
      <c r="A2075" s="3"/>
      <c r="B2075" s="4"/>
      <c r="C2075" s="3"/>
      <c r="G2075" s="19"/>
    </row>
    <row r="2076" spans="1:7" ht="12.75" x14ac:dyDescent="0.2">
      <c r="A2076" s="3"/>
      <c r="B2076" s="4"/>
      <c r="C2076" s="3"/>
      <c r="G2076" s="19"/>
    </row>
    <row r="2077" spans="1:7" ht="12.75" x14ac:dyDescent="0.2">
      <c r="A2077" s="3"/>
      <c r="B2077" s="4"/>
      <c r="C2077" s="3"/>
      <c r="G2077" s="19"/>
    </row>
    <row r="2078" spans="1:7" ht="12.75" x14ac:dyDescent="0.2">
      <c r="A2078" s="3"/>
      <c r="B2078" s="4"/>
      <c r="C2078" s="3"/>
      <c r="G2078" s="19"/>
    </row>
    <row r="2079" spans="1:7" ht="12.75" x14ac:dyDescent="0.2">
      <c r="A2079" s="3"/>
      <c r="B2079" s="4"/>
      <c r="C2079" s="3"/>
      <c r="G2079" s="19"/>
    </row>
    <row r="2080" spans="1:7" ht="12.75" x14ac:dyDescent="0.2">
      <c r="A2080" s="3"/>
      <c r="B2080" s="4"/>
      <c r="C2080" s="3"/>
      <c r="G2080" s="19"/>
    </row>
    <row r="2081" spans="1:7" ht="12.75" x14ac:dyDescent="0.2">
      <c r="A2081" s="3"/>
      <c r="B2081" s="4"/>
      <c r="C2081" s="3"/>
      <c r="G2081" s="19"/>
    </row>
    <row r="2082" spans="1:7" ht="12.75" x14ac:dyDescent="0.2">
      <c r="A2082" s="3"/>
      <c r="B2082" s="4"/>
      <c r="C2082" s="3"/>
      <c r="G2082" s="19"/>
    </row>
    <row r="2083" spans="1:7" ht="12.75" x14ac:dyDescent="0.2">
      <c r="A2083" s="3"/>
      <c r="B2083" s="4"/>
      <c r="C2083" s="3"/>
      <c r="G2083" s="19"/>
    </row>
    <row r="2084" spans="1:7" ht="12.75" x14ac:dyDescent="0.2">
      <c r="A2084" s="3"/>
      <c r="B2084" s="4"/>
      <c r="C2084" s="3"/>
      <c r="G2084" s="19"/>
    </row>
    <row r="2085" spans="1:7" ht="12.75" x14ac:dyDescent="0.2">
      <c r="A2085" s="3"/>
      <c r="B2085" s="4"/>
      <c r="C2085" s="3"/>
      <c r="G2085" s="19"/>
    </row>
    <row r="2086" spans="1:7" ht="12.75" x14ac:dyDescent="0.2">
      <c r="A2086" s="3"/>
      <c r="B2086" s="4"/>
      <c r="C2086" s="3"/>
      <c r="G2086" s="19"/>
    </row>
    <row r="2087" spans="1:7" ht="12.75" x14ac:dyDescent="0.2">
      <c r="A2087" s="3"/>
      <c r="B2087" s="4"/>
      <c r="C2087" s="3"/>
      <c r="G2087" s="19"/>
    </row>
    <row r="2088" spans="1:7" ht="12.75" x14ac:dyDescent="0.2">
      <c r="A2088" s="3"/>
      <c r="B2088" s="4"/>
      <c r="C2088" s="3"/>
      <c r="G2088" s="19"/>
    </row>
    <row r="2089" spans="1:7" ht="12.75" x14ac:dyDescent="0.2">
      <c r="A2089" s="3"/>
      <c r="B2089" s="4"/>
      <c r="C2089" s="3"/>
      <c r="G2089" s="19"/>
    </row>
    <row r="2090" spans="1:7" ht="12.75" x14ac:dyDescent="0.2">
      <c r="A2090" s="3"/>
      <c r="B2090" s="4"/>
      <c r="C2090" s="3"/>
      <c r="G2090" s="19"/>
    </row>
    <row r="2091" spans="1:7" ht="12.75" x14ac:dyDescent="0.2">
      <c r="A2091" s="3"/>
      <c r="B2091" s="4"/>
      <c r="C2091" s="3"/>
      <c r="G2091" s="19"/>
    </row>
    <row r="2092" spans="1:7" ht="12.75" x14ac:dyDescent="0.2">
      <c r="A2092" s="3"/>
      <c r="B2092" s="4"/>
      <c r="C2092" s="3"/>
      <c r="G2092" s="19"/>
    </row>
    <row r="2093" spans="1:7" ht="12.75" x14ac:dyDescent="0.2">
      <c r="A2093" s="3"/>
      <c r="B2093" s="4"/>
      <c r="C2093" s="3"/>
      <c r="G2093" s="19"/>
    </row>
    <row r="2094" spans="1:7" ht="12.75" x14ac:dyDescent="0.2">
      <c r="A2094" s="3"/>
      <c r="B2094" s="4"/>
      <c r="C2094" s="3"/>
      <c r="G2094" s="19"/>
    </row>
    <row r="2095" spans="1:7" ht="12.75" x14ac:dyDescent="0.2">
      <c r="A2095" s="3"/>
      <c r="B2095" s="4"/>
      <c r="C2095" s="3"/>
      <c r="G2095" s="19"/>
    </row>
    <row r="2096" spans="1:7" ht="12.75" x14ac:dyDescent="0.2">
      <c r="A2096" s="3"/>
      <c r="B2096" s="4"/>
      <c r="C2096" s="3"/>
      <c r="G2096" s="19"/>
    </row>
    <row r="2097" spans="1:7" ht="12.75" x14ac:dyDescent="0.2">
      <c r="A2097" s="3"/>
      <c r="B2097" s="4"/>
      <c r="C2097" s="3"/>
      <c r="G2097" s="19"/>
    </row>
    <row r="2098" spans="1:7" ht="12.75" x14ac:dyDescent="0.2">
      <c r="A2098" s="3"/>
      <c r="B2098" s="4"/>
      <c r="C2098" s="3"/>
      <c r="G2098" s="19"/>
    </row>
    <row r="2099" spans="1:7" ht="12.75" x14ac:dyDescent="0.2">
      <c r="A2099" s="3"/>
      <c r="B2099" s="4"/>
      <c r="C2099" s="3"/>
      <c r="G2099" s="19"/>
    </row>
    <row r="2100" spans="1:7" ht="12.75" x14ac:dyDescent="0.2">
      <c r="A2100" s="3"/>
      <c r="B2100" s="4"/>
      <c r="C2100" s="3"/>
      <c r="G2100" s="19"/>
    </row>
    <row r="2101" spans="1:7" ht="12.75" x14ac:dyDescent="0.2">
      <c r="A2101" s="3"/>
      <c r="B2101" s="4"/>
      <c r="C2101" s="3"/>
      <c r="G2101" s="19"/>
    </row>
    <row r="2102" spans="1:7" ht="12.75" x14ac:dyDescent="0.2">
      <c r="A2102" s="3"/>
      <c r="B2102" s="4"/>
      <c r="C2102" s="3"/>
      <c r="G2102" s="19"/>
    </row>
    <row r="2103" spans="1:7" ht="12.75" x14ac:dyDescent="0.2">
      <c r="A2103" s="3"/>
      <c r="B2103" s="4"/>
      <c r="C2103" s="3"/>
      <c r="G2103" s="19"/>
    </row>
    <row r="2104" spans="1:7" ht="12.75" x14ac:dyDescent="0.2">
      <c r="A2104" s="3"/>
      <c r="B2104" s="4"/>
      <c r="C2104" s="3"/>
      <c r="G2104" s="19"/>
    </row>
    <row r="2105" spans="1:7" ht="12.75" x14ac:dyDescent="0.2">
      <c r="A2105" s="3"/>
      <c r="B2105" s="4"/>
      <c r="C2105" s="3"/>
      <c r="G2105" s="19"/>
    </row>
    <row r="2106" spans="1:7" ht="12.75" x14ac:dyDescent="0.2">
      <c r="A2106" s="3"/>
      <c r="B2106" s="4"/>
      <c r="C2106" s="3"/>
      <c r="G2106" s="19"/>
    </row>
    <row r="2107" spans="1:7" ht="12.75" x14ac:dyDescent="0.2">
      <c r="A2107" s="3"/>
      <c r="B2107" s="4"/>
      <c r="C2107" s="3"/>
      <c r="G2107" s="19"/>
    </row>
    <row r="2108" spans="1:7" ht="12.75" x14ac:dyDescent="0.2">
      <c r="A2108" s="3"/>
      <c r="B2108" s="4"/>
      <c r="C2108" s="3"/>
      <c r="G2108" s="19"/>
    </row>
    <row r="2109" spans="1:7" ht="12.75" x14ac:dyDescent="0.2">
      <c r="A2109" s="3"/>
      <c r="B2109" s="4"/>
      <c r="C2109" s="3"/>
      <c r="G2109" s="19"/>
    </row>
    <row r="2110" spans="1:7" ht="12.75" x14ac:dyDescent="0.2">
      <c r="A2110" s="3"/>
      <c r="B2110" s="4"/>
      <c r="C2110" s="3"/>
      <c r="G2110" s="19"/>
    </row>
    <row r="2111" spans="1:7" ht="12.75" x14ac:dyDescent="0.2">
      <c r="A2111" s="3"/>
      <c r="B2111" s="4"/>
      <c r="C2111" s="3"/>
      <c r="G2111" s="19"/>
    </row>
    <row r="2112" spans="1:7" ht="12.75" x14ac:dyDescent="0.2">
      <c r="A2112" s="3"/>
      <c r="B2112" s="4"/>
      <c r="C2112" s="3"/>
      <c r="G2112" s="19"/>
    </row>
    <row r="2113" spans="1:7" ht="12.75" x14ac:dyDescent="0.2">
      <c r="A2113" s="3"/>
      <c r="B2113" s="4"/>
      <c r="C2113" s="3"/>
      <c r="G2113" s="19"/>
    </row>
    <row r="2114" spans="1:7" ht="12.75" x14ac:dyDescent="0.2">
      <c r="A2114" s="3"/>
      <c r="B2114" s="4"/>
      <c r="C2114" s="3"/>
      <c r="G2114" s="19"/>
    </row>
    <row r="2115" spans="1:7" ht="12.75" x14ac:dyDescent="0.2">
      <c r="A2115" s="3"/>
      <c r="B2115" s="4"/>
      <c r="C2115" s="3"/>
      <c r="G2115" s="19"/>
    </row>
    <row r="2116" spans="1:7" ht="12.75" x14ac:dyDescent="0.2">
      <c r="A2116" s="3"/>
      <c r="B2116" s="4"/>
      <c r="C2116" s="3"/>
      <c r="G2116" s="19"/>
    </row>
    <row r="2117" spans="1:7" ht="12.75" x14ac:dyDescent="0.2">
      <c r="A2117" s="3"/>
      <c r="B2117" s="4"/>
      <c r="C2117" s="3"/>
      <c r="G2117" s="19"/>
    </row>
    <row r="2118" spans="1:7" ht="12.75" x14ac:dyDescent="0.2">
      <c r="A2118" s="3"/>
      <c r="B2118" s="4"/>
      <c r="C2118" s="3"/>
      <c r="G2118" s="19"/>
    </row>
    <row r="2119" spans="1:7" ht="12.75" x14ac:dyDescent="0.2">
      <c r="A2119" s="3"/>
      <c r="B2119" s="4"/>
      <c r="C2119" s="3"/>
      <c r="G2119" s="19"/>
    </row>
    <row r="2120" spans="1:7" ht="12.75" x14ac:dyDescent="0.2">
      <c r="A2120" s="3"/>
      <c r="B2120" s="4"/>
      <c r="C2120" s="3"/>
      <c r="G2120" s="19"/>
    </row>
    <row r="2121" spans="1:7" ht="12.75" x14ac:dyDescent="0.2">
      <c r="A2121" s="3"/>
      <c r="B2121" s="4"/>
      <c r="C2121" s="3"/>
      <c r="G2121" s="19"/>
    </row>
    <row r="2122" spans="1:7" ht="12.75" x14ac:dyDescent="0.2">
      <c r="A2122" s="3"/>
      <c r="B2122" s="4"/>
      <c r="C2122" s="3"/>
      <c r="G2122" s="19"/>
    </row>
    <row r="2123" spans="1:7" ht="12.75" x14ac:dyDescent="0.2">
      <c r="A2123" s="3"/>
      <c r="B2123" s="4"/>
      <c r="C2123" s="3"/>
      <c r="G2123" s="19"/>
    </row>
    <row r="2124" spans="1:7" ht="12.75" x14ac:dyDescent="0.2">
      <c r="A2124" s="3"/>
      <c r="B2124" s="4"/>
      <c r="C2124" s="3"/>
      <c r="G2124" s="19"/>
    </row>
    <row r="2125" spans="1:7" ht="12.75" x14ac:dyDescent="0.2">
      <c r="A2125" s="3"/>
      <c r="B2125" s="4"/>
      <c r="C2125" s="3"/>
      <c r="G2125" s="19"/>
    </row>
    <row r="2126" spans="1:7" ht="12.75" x14ac:dyDescent="0.2">
      <c r="A2126" s="3"/>
      <c r="B2126" s="4"/>
      <c r="C2126" s="3"/>
      <c r="G2126" s="19"/>
    </row>
    <row r="2127" spans="1:7" ht="12.75" x14ac:dyDescent="0.2">
      <c r="A2127" s="3"/>
      <c r="B2127" s="4"/>
      <c r="C2127" s="3"/>
      <c r="G2127" s="19"/>
    </row>
    <row r="2128" spans="1:7" ht="12.75" x14ac:dyDescent="0.2">
      <c r="A2128" s="3"/>
      <c r="B2128" s="4"/>
      <c r="C2128" s="3"/>
      <c r="G2128" s="19"/>
    </row>
    <row r="2129" spans="1:7" ht="12.75" x14ac:dyDescent="0.2">
      <c r="A2129" s="3"/>
      <c r="B2129" s="4"/>
      <c r="C2129" s="3"/>
      <c r="G2129" s="19"/>
    </row>
    <row r="2130" spans="1:7" ht="12.75" x14ac:dyDescent="0.2">
      <c r="A2130" s="3"/>
      <c r="B2130" s="4"/>
      <c r="C2130" s="3"/>
      <c r="G2130" s="19"/>
    </row>
    <row r="2131" spans="1:7" ht="12.75" x14ac:dyDescent="0.2">
      <c r="A2131" s="3"/>
      <c r="B2131" s="4"/>
      <c r="C2131" s="3"/>
      <c r="G2131" s="19"/>
    </row>
    <row r="2132" spans="1:7" ht="12.75" x14ac:dyDescent="0.2">
      <c r="A2132" s="3"/>
      <c r="B2132" s="4"/>
      <c r="C2132" s="3"/>
      <c r="G2132" s="19"/>
    </row>
    <row r="2133" spans="1:7" ht="12.75" x14ac:dyDescent="0.2">
      <c r="A2133" s="3"/>
      <c r="B2133" s="4"/>
      <c r="C2133" s="3"/>
      <c r="G2133" s="19"/>
    </row>
    <row r="2134" spans="1:7" ht="12.75" x14ac:dyDescent="0.2">
      <c r="A2134" s="3"/>
      <c r="B2134" s="4"/>
      <c r="C2134" s="3"/>
      <c r="G2134" s="19"/>
    </row>
    <row r="2135" spans="1:7" ht="12.75" x14ac:dyDescent="0.2">
      <c r="A2135" s="3"/>
      <c r="B2135" s="4"/>
      <c r="C2135" s="3"/>
      <c r="G2135" s="19"/>
    </row>
    <row r="2136" spans="1:7" ht="12.75" x14ac:dyDescent="0.2">
      <c r="A2136" s="3"/>
      <c r="B2136" s="4"/>
      <c r="C2136" s="3"/>
      <c r="G2136" s="19"/>
    </row>
    <row r="2137" spans="1:7" ht="12.75" x14ac:dyDescent="0.2">
      <c r="A2137" s="3"/>
      <c r="B2137" s="4"/>
      <c r="C2137" s="3"/>
      <c r="G2137" s="19"/>
    </row>
    <row r="2138" spans="1:7" ht="12.75" x14ac:dyDescent="0.2">
      <c r="A2138" s="3"/>
      <c r="B2138" s="4"/>
      <c r="C2138" s="3"/>
      <c r="G2138" s="19"/>
    </row>
    <row r="2139" spans="1:7" ht="12.75" x14ac:dyDescent="0.2">
      <c r="A2139" s="3"/>
      <c r="B2139" s="4"/>
      <c r="C2139" s="3"/>
      <c r="G2139" s="19"/>
    </row>
    <row r="2140" spans="1:7" ht="12.75" x14ac:dyDescent="0.2">
      <c r="A2140" s="3"/>
      <c r="B2140" s="4"/>
      <c r="C2140" s="3"/>
      <c r="G2140" s="19"/>
    </row>
    <row r="2141" spans="1:7" ht="12.75" x14ac:dyDescent="0.2">
      <c r="A2141" s="3"/>
      <c r="B2141" s="4"/>
      <c r="C2141" s="3"/>
      <c r="G2141" s="19"/>
    </row>
    <row r="2142" spans="1:7" ht="12.75" x14ac:dyDescent="0.2">
      <c r="A2142" s="3"/>
      <c r="B2142" s="4"/>
      <c r="C2142" s="3"/>
      <c r="G2142" s="19"/>
    </row>
    <row r="2143" spans="1:7" ht="12.75" x14ac:dyDescent="0.2">
      <c r="A2143" s="3"/>
      <c r="B2143" s="4"/>
      <c r="C2143" s="3"/>
      <c r="G2143" s="19"/>
    </row>
    <row r="2144" spans="1:7" ht="12.75" x14ac:dyDescent="0.2">
      <c r="A2144" s="3"/>
      <c r="B2144" s="4"/>
      <c r="C2144" s="3"/>
      <c r="G2144" s="19"/>
    </row>
    <row r="2145" spans="1:7" ht="12.75" x14ac:dyDescent="0.2">
      <c r="A2145" s="3"/>
      <c r="B2145" s="4"/>
      <c r="C2145" s="3"/>
      <c r="G2145" s="19"/>
    </row>
    <row r="2146" spans="1:7" ht="12.75" x14ac:dyDescent="0.2">
      <c r="A2146" s="3"/>
      <c r="B2146" s="4"/>
      <c r="C2146" s="3"/>
      <c r="G2146" s="19"/>
    </row>
    <row r="2147" spans="1:7" ht="12.75" x14ac:dyDescent="0.2">
      <c r="A2147" s="3"/>
      <c r="B2147" s="4"/>
      <c r="C2147" s="3"/>
      <c r="G2147" s="19"/>
    </row>
    <row r="2148" spans="1:7" ht="12.75" x14ac:dyDescent="0.2">
      <c r="A2148" s="3"/>
      <c r="B2148" s="4"/>
      <c r="C2148" s="3"/>
      <c r="G2148" s="19"/>
    </row>
    <row r="2149" spans="1:7" ht="12.75" x14ac:dyDescent="0.2">
      <c r="A2149" s="3"/>
      <c r="B2149" s="4"/>
      <c r="C2149" s="3"/>
      <c r="G2149" s="19"/>
    </row>
    <row r="2150" spans="1:7" ht="12.75" x14ac:dyDescent="0.2">
      <c r="A2150" s="3"/>
      <c r="B2150" s="4"/>
      <c r="C2150" s="3"/>
      <c r="G2150" s="19"/>
    </row>
    <row r="2151" spans="1:7" ht="12.75" x14ac:dyDescent="0.2">
      <c r="A2151" s="3"/>
      <c r="B2151" s="4"/>
      <c r="C2151" s="3"/>
      <c r="G2151" s="19"/>
    </row>
    <row r="2152" spans="1:7" ht="12.75" x14ac:dyDescent="0.2">
      <c r="A2152" s="3"/>
      <c r="B2152" s="4"/>
      <c r="C2152" s="3"/>
      <c r="G2152" s="19"/>
    </row>
    <row r="2153" spans="1:7" ht="12.75" x14ac:dyDescent="0.2">
      <c r="A2153" s="3"/>
      <c r="B2153" s="4"/>
      <c r="C2153" s="3"/>
      <c r="G2153" s="19"/>
    </row>
    <row r="2154" spans="1:7" ht="12.75" x14ac:dyDescent="0.2">
      <c r="A2154" s="3"/>
      <c r="B2154" s="4"/>
      <c r="C2154" s="3"/>
      <c r="G2154" s="19"/>
    </row>
    <row r="2155" spans="1:7" ht="12.75" x14ac:dyDescent="0.2">
      <c r="A2155" s="3"/>
      <c r="B2155" s="4"/>
      <c r="C2155" s="3"/>
      <c r="G2155" s="19"/>
    </row>
    <row r="2156" spans="1:7" ht="12.75" x14ac:dyDescent="0.2">
      <c r="A2156" s="3"/>
      <c r="B2156" s="4"/>
      <c r="C2156" s="3"/>
      <c r="G2156" s="19"/>
    </row>
    <row r="2157" spans="1:7" ht="12.75" x14ac:dyDescent="0.2">
      <c r="A2157" s="3"/>
      <c r="B2157" s="4"/>
      <c r="C2157" s="3"/>
      <c r="G2157" s="19"/>
    </row>
    <row r="2158" spans="1:7" ht="12.75" x14ac:dyDescent="0.2">
      <c r="A2158" s="3"/>
      <c r="B2158" s="4"/>
      <c r="C2158" s="3"/>
      <c r="G2158" s="19"/>
    </row>
    <row r="2159" spans="1:7" ht="12.75" x14ac:dyDescent="0.2">
      <c r="A2159" s="3"/>
      <c r="B2159" s="4"/>
      <c r="C2159" s="3"/>
      <c r="G2159" s="19"/>
    </row>
    <row r="2160" spans="1:7" ht="12.75" x14ac:dyDescent="0.2">
      <c r="A2160" s="3"/>
      <c r="B2160" s="4"/>
      <c r="C2160" s="3"/>
      <c r="G2160" s="19"/>
    </row>
    <row r="2161" spans="1:7" ht="12.75" x14ac:dyDescent="0.2">
      <c r="A2161" s="3"/>
      <c r="B2161" s="4"/>
      <c r="C2161" s="3"/>
      <c r="G2161" s="19"/>
    </row>
    <row r="2162" spans="1:7" ht="12.75" x14ac:dyDescent="0.2">
      <c r="A2162" s="3"/>
      <c r="B2162" s="4"/>
      <c r="C2162" s="3"/>
      <c r="G2162" s="19"/>
    </row>
    <row r="2163" spans="1:7" ht="12.75" x14ac:dyDescent="0.2">
      <c r="A2163" s="3"/>
      <c r="B2163" s="4"/>
      <c r="C2163" s="3"/>
      <c r="G2163" s="19"/>
    </row>
    <row r="2164" spans="1:7" ht="12.75" x14ac:dyDescent="0.2">
      <c r="A2164" s="3"/>
      <c r="B2164" s="4"/>
      <c r="C2164" s="3"/>
      <c r="G2164" s="19"/>
    </row>
    <row r="2165" spans="1:7" ht="12.75" x14ac:dyDescent="0.2">
      <c r="A2165" s="3"/>
      <c r="B2165" s="4"/>
      <c r="C2165" s="3"/>
      <c r="G2165" s="19"/>
    </row>
    <row r="2166" spans="1:7" ht="12.75" x14ac:dyDescent="0.2">
      <c r="A2166" s="3"/>
      <c r="B2166" s="4"/>
      <c r="C2166" s="3"/>
      <c r="G2166" s="19"/>
    </row>
    <row r="2167" spans="1:7" ht="12.75" x14ac:dyDescent="0.2">
      <c r="A2167" s="3"/>
      <c r="B2167" s="4"/>
      <c r="C2167" s="3"/>
      <c r="G2167" s="19"/>
    </row>
    <row r="2168" spans="1:7" ht="12.75" x14ac:dyDescent="0.2">
      <c r="A2168" s="3"/>
      <c r="B2168" s="4"/>
      <c r="C2168" s="3"/>
      <c r="G2168" s="19"/>
    </row>
    <row r="2169" spans="1:7" ht="12.75" x14ac:dyDescent="0.2">
      <c r="A2169" s="3"/>
      <c r="B2169" s="4"/>
      <c r="C2169" s="3"/>
      <c r="G2169" s="19"/>
    </row>
    <row r="2170" spans="1:7" ht="12.75" x14ac:dyDescent="0.2">
      <c r="A2170" s="3"/>
      <c r="B2170" s="4"/>
      <c r="C2170" s="3"/>
      <c r="G2170" s="19"/>
    </row>
    <row r="2171" spans="1:7" ht="12.75" x14ac:dyDescent="0.2">
      <c r="A2171" s="3"/>
      <c r="B2171" s="4"/>
      <c r="C2171" s="3"/>
      <c r="G2171" s="19"/>
    </row>
    <row r="2172" spans="1:7" ht="12.75" x14ac:dyDescent="0.2">
      <c r="A2172" s="3"/>
      <c r="B2172" s="4"/>
      <c r="C2172" s="3"/>
      <c r="G2172" s="19"/>
    </row>
    <row r="2173" spans="1:7" ht="12.75" x14ac:dyDescent="0.2">
      <c r="A2173" s="3"/>
      <c r="B2173" s="4"/>
      <c r="C2173" s="3"/>
      <c r="G2173" s="19"/>
    </row>
    <row r="2174" spans="1:7" ht="12.75" x14ac:dyDescent="0.2">
      <c r="A2174" s="3"/>
      <c r="B2174" s="4"/>
      <c r="C2174" s="3"/>
      <c r="G2174" s="19"/>
    </row>
    <row r="2175" spans="1:7" ht="12.75" x14ac:dyDescent="0.2">
      <c r="A2175" s="3"/>
      <c r="B2175" s="4"/>
      <c r="C2175" s="3"/>
      <c r="G2175" s="19"/>
    </row>
    <row r="2176" spans="1:7" ht="12.75" x14ac:dyDescent="0.2">
      <c r="A2176" s="3"/>
      <c r="B2176" s="4"/>
      <c r="C2176" s="3"/>
      <c r="G2176" s="19"/>
    </row>
    <row r="2177" spans="1:7" ht="12.75" x14ac:dyDescent="0.2">
      <c r="A2177" s="3"/>
      <c r="B2177" s="4"/>
      <c r="C2177" s="3"/>
      <c r="G2177" s="19"/>
    </row>
    <row r="2178" spans="1:7" ht="12.75" x14ac:dyDescent="0.2">
      <c r="A2178" s="3"/>
      <c r="B2178" s="4"/>
      <c r="C2178" s="3"/>
      <c r="G2178" s="19"/>
    </row>
    <row r="2179" spans="1:7" ht="12.75" x14ac:dyDescent="0.2">
      <c r="A2179" s="3"/>
      <c r="B2179" s="4"/>
      <c r="C2179" s="3"/>
      <c r="G2179" s="19"/>
    </row>
    <row r="2180" spans="1:7" ht="12.75" x14ac:dyDescent="0.2">
      <c r="A2180" s="3"/>
      <c r="B2180" s="4"/>
      <c r="C2180" s="3"/>
      <c r="G2180" s="19"/>
    </row>
    <row r="2181" spans="1:7" ht="12.75" x14ac:dyDescent="0.2">
      <c r="A2181" s="3"/>
      <c r="B2181" s="4"/>
      <c r="C2181" s="3"/>
      <c r="G2181" s="19"/>
    </row>
    <row r="2182" spans="1:7" ht="12.75" x14ac:dyDescent="0.2">
      <c r="A2182" s="3"/>
      <c r="B2182" s="4"/>
      <c r="C2182" s="3"/>
      <c r="G2182" s="19"/>
    </row>
    <row r="2183" spans="1:7" ht="12.75" x14ac:dyDescent="0.2">
      <c r="A2183" s="3"/>
      <c r="B2183" s="4"/>
      <c r="C2183" s="3"/>
      <c r="G2183" s="19"/>
    </row>
    <row r="2184" spans="1:7" ht="12.75" x14ac:dyDescent="0.2">
      <c r="A2184" s="3"/>
      <c r="B2184" s="4"/>
      <c r="C2184" s="3"/>
      <c r="G2184" s="19"/>
    </row>
    <row r="2185" spans="1:7" ht="12.75" x14ac:dyDescent="0.2">
      <c r="A2185" s="3"/>
      <c r="B2185" s="4"/>
      <c r="C2185" s="3"/>
      <c r="G2185" s="19"/>
    </row>
    <row r="2186" spans="1:7" ht="12.75" x14ac:dyDescent="0.2">
      <c r="A2186" s="3"/>
      <c r="B2186" s="4"/>
      <c r="C2186" s="3"/>
      <c r="G2186" s="19"/>
    </row>
    <row r="2187" spans="1:7" ht="12.75" x14ac:dyDescent="0.2">
      <c r="A2187" s="3"/>
      <c r="B2187" s="4"/>
      <c r="C2187" s="3"/>
      <c r="G2187" s="19"/>
    </row>
    <row r="2188" spans="1:7" ht="12.75" x14ac:dyDescent="0.2">
      <c r="A2188" s="3"/>
      <c r="B2188" s="4"/>
      <c r="C2188" s="3"/>
      <c r="G2188" s="19"/>
    </row>
    <row r="2189" spans="1:7" ht="12.75" x14ac:dyDescent="0.2">
      <c r="A2189" s="3"/>
      <c r="B2189" s="4"/>
      <c r="C2189" s="3"/>
      <c r="G2189" s="19"/>
    </row>
    <row r="2190" spans="1:7" ht="12.75" x14ac:dyDescent="0.2">
      <c r="A2190" s="3"/>
      <c r="B2190" s="4"/>
      <c r="C2190" s="3"/>
      <c r="G2190" s="19"/>
    </row>
    <row r="2191" spans="1:7" ht="12.75" x14ac:dyDescent="0.2">
      <c r="A2191" s="3"/>
      <c r="B2191" s="4"/>
      <c r="C2191" s="3"/>
      <c r="G2191" s="19"/>
    </row>
    <row r="2192" spans="1:7" ht="12.75" x14ac:dyDescent="0.2">
      <c r="A2192" s="3"/>
      <c r="B2192" s="4"/>
      <c r="C2192" s="3"/>
      <c r="G2192" s="19"/>
    </row>
    <row r="2193" spans="1:7" ht="12.75" x14ac:dyDescent="0.2">
      <c r="A2193" s="3"/>
      <c r="B2193" s="4"/>
      <c r="C2193" s="3"/>
      <c r="G2193" s="19"/>
    </row>
    <row r="2194" spans="1:7" ht="12.75" x14ac:dyDescent="0.2">
      <c r="A2194" s="3"/>
      <c r="B2194" s="4"/>
      <c r="C2194" s="3"/>
      <c r="G2194" s="19"/>
    </row>
    <row r="2195" spans="1:7" ht="12.75" x14ac:dyDescent="0.2">
      <c r="A2195" s="3"/>
      <c r="B2195" s="4"/>
      <c r="C2195" s="3"/>
      <c r="G2195" s="19"/>
    </row>
    <row r="2196" spans="1:7" ht="12.75" x14ac:dyDescent="0.2">
      <c r="A2196" s="3"/>
      <c r="B2196" s="4"/>
      <c r="C2196" s="3"/>
      <c r="G2196" s="19"/>
    </row>
    <row r="2197" spans="1:7" ht="12.75" x14ac:dyDescent="0.2">
      <c r="A2197" s="3"/>
      <c r="B2197" s="4"/>
      <c r="C2197" s="3"/>
      <c r="G2197" s="19"/>
    </row>
    <row r="2198" spans="1:7" ht="12.75" x14ac:dyDescent="0.2">
      <c r="A2198" s="3"/>
      <c r="B2198" s="4"/>
      <c r="C2198" s="3"/>
      <c r="G2198" s="19"/>
    </row>
    <row r="2199" spans="1:7" ht="12.75" x14ac:dyDescent="0.2">
      <c r="A2199" s="3"/>
      <c r="B2199" s="4"/>
      <c r="C2199" s="3"/>
      <c r="G2199" s="19"/>
    </row>
    <row r="2200" spans="1:7" ht="12.75" x14ac:dyDescent="0.2">
      <c r="A2200" s="3"/>
      <c r="B2200" s="4"/>
      <c r="C2200" s="3"/>
      <c r="G2200" s="19"/>
    </row>
    <row r="2201" spans="1:7" ht="12.75" x14ac:dyDescent="0.2">
      <c r="A2201" s="3"/>
      <c r="B2201" s="4"/>
      <c r="C2201" s="3"/>
      <c r="G2201" s="19"/>
    </row>
    <row r="2202" spans="1:7" ht="12.75" x14ac:dyDescent="0.2">
      <c r="A2202" s="3"/>
      <c r="B2202" s="4"/>
      <c r="C2202" s="3"/>
      <c r="G2202" s="19"/>
    </row>
    <row r="2203" spans="1:7" ht="12.75" x14ac:dyDescent="0.2">
      <c r="A2203" s="3"/>
      <c r="B2203" s="4"/>
      <c r="C2203" s="3"/>
      <c r="G2203" s="19"/>
    </row>
    <row r="2204" spans="1:7" ht="12.75" x14ac:dyDescent="0.2">
      <c r="A2204" s="3"/>
      <c r="B2204" s="4"/>
      <c r="C2204" s="3"/>
      <c r="G2204" s="19"/>
    </row>
    <row r="2205" spans="1:7" ht="12.75" x14ac:dyDescent="0.2">
      <c r="A2205" s="3"/>
      <c r="B2205" s="4"/>
      <c r="C2205" s="3"/>
      <c r="G2205" s="19"/>
    </row>
    <row r="2206" spans="1:7" ht="12.75" x14ac:dyDescent="0.2">
      <c r="A2206" s="3"/>
      <c r="B2206" s="4"/>
      <c r="C2206" s="3"/>
      <c r="G2206" s="19"/>
    </row>
    <row r="2207" spans="1:7" ht="12.75" x14ac:dyDescent="0.2">
      <c r="A2207" s="3"/>
      <c r="B2207" s="4"/>
      <c r="C2207" s="3"/>
      <c r="G2207" s="19"/>
    </row>
    <row r="2208" spans="1:7" ht="12.75" x14ac:dyDescent="0.2">
      <c r="A2208" s="3"/>
      <c r="B2208" s="4"/>
      <c r="C2208" s="3"/>
      <c r="G2208" s="19"/>
    </row>
    <row r="2209" spans="1:7" ht="12.75" x14ac:dyDescent="0.2">
      <c r="A2209" s="3"/>
      <c r="B2209" s="4"/>
      <c r="C2209" s="3"/>
      <c r="G2209" s="19"/>
    </row>
    <row r="2210" spans="1:7" ht="12.75" x14ac:dyDescent="0.2">
      <c r="A2210" s="3"/>
      <c r="B2210" s="4"/>
      <c r="C2210" s="3"/>
      <c r="G2210" s="19"/>
    </row>
    <row r="2211" spans="1:7" ht="12.75" x14ac:dyDescent="0.2">
      <c r="A2211" s="3"/>
      <c r="B2211" s="4"/>
      <c r="C2211" s="3"/>
      <c r="G2211" s="19"/>
    </row>
    <row r="2212" spans="1:7" ht="12.75" x14ac:dyDescent="0.2">
      <c r="A2212" s="3"/>
      <c r="B2212" s="4"/>
      <c r="C2212" s="3"/>
      <c r="G2212" s="19"/>
    </row>
    <row r="2213" spans="1:7" ht="12.75" x14ac:dyDescent="0.2">
      <c r="A2213" s="3"/>
      <c r="B2213" s="4"/>
      <c r="C2213" s="3"/>
      <c r="G2213" s="19"/>
    </row>
    <row r="2214" spans="1:7" ht="12.75" x14ac:dyDescent="0.2">
      <c r="A2214" s="3"/>
      <c r="B2214" s="4"/>
      <c r="C2214" s="3"/>
      <c r="G2214" s="19"/>
    </row>
    <row r="2215" spans="1:7" ht="12.75" x14ac:dyDescent="0.2">
      <c r="A2215" s="3"/>
      <c r="B2215" s="4"/>
      <c r="C2215" s="3"/>
      <c r="G2215" s="19"/>
    </row>
    <row r="2216" spans="1:7" ht="12.75" x14ac:dyDescent="0.2">
      <c r="A2216" s="3"/>
      <c r="B2216" s="4"/>
      <c r="C2216" s="3"/>
      <c r="G2216" s="19"/>
    </row>
    <row r="2217" spans="1:7" ht="12.75" x14ac:dyDescent="0.2">
      <c r="A2217" s="3"/>
      <c r="B2217" s="4"/>
      <c r="C2217" s="3"/>
      <c r="G2217" s="19"/>
    </row>
    <row r="2218" spans="1:7" ht="12.75" x14ac:dyDescent="0.2">
      <c r="A2218" s="3"/>
      <c r="B2218" s="4"/>
      <c r="C2218" s="3"/>
      <c r="G2218" s="19"/>
    </row>
    <row r="2219" spans="1:7" ht="12.75" x14ac:dyDescent="0.2">
      <c r="A2219" s="3"/>
      <c r="B2219" s="4"/>
      <c r="C2219" s="3"/>
      <c r="G2219" s="19"/>
    </row>
    <row r="2220" spans="1:7" ht="12.75" x14ac:dyDescent="0.2">
      <c r="A2220" s="3"/>
      <c r="B2220" s="4"/>
      <c r="C2220" s="3"/>
      <c r="G2220" s="19"/>
    </row>
    <row r="2221" spans="1:7" ht="12.75" x14ac:dyDescent="0.2">
      <c r="A2221" s="3"/>
      <c r="B2221" s="4"/>
      <c r="C2221" s="3"/>
      <c r="G2221" s="19"/>
    </row>
    <row r="2222" spans="1:7" ht="12.75" x14ac:dyDescent="0.2">
      <c r="A2222" s="3"/>
      <c r="B2222" s="4"/>
      <c r="C2222" s="3"/>
      <c r="G2222" s="19"/>
    </row>
    <row r="2223" spans="1:7" ht="12.75" x14ac:dyDescent="0.2">
      <c r="A2223" s="3"/>
      <c r="B2223" s="4"/>
      <c r="C2223" s="3"/>
      <c r="G2223" s="19"/>
    </row>
    <row r="2224" spans="1:7" ht="12.75" x14ac:dyDescent="0.2">
      <c r="A2224" s="3"/>
      <c r="B2224" s="4"/>
      <c r="C2224" s="3"/>
      <c r="G2224" s="19"/>
    </row>
    <row r="2225" spans="1:7" ht="12.75" x14ac:dyDescent="0.2">
      <c r="A2225" s="3"/>
      <c r="B2225" s="4"/>
      <c r="C2225" s="3"/>
      <c r="G2225" s="19"/>
    </row>
    <row r="2226" spans="1:7" ht="12.75" x14ac:dyDescent="0.2">
      <c r="A2226" s="3"/>
      <c r="B2226" s="4"/>
      <c r="C2226" s="3"/>
      <c r="G2226" s="19"/>
    </row>
    <row r="2227" spans="1:7" ht="12.75" x14ac:dyDescent="0.2">
      <c r="A2227" s="3"/>
      <c r="B2227" s="4"/>
      <c r="C2227" s="3"/>
      <c r="G2227" s="19"/>
    </row>
    <row r="2228" spans="1:7" ht="12.75" x14ac:dyDescent="0.2">
      <c r="A2228" s="3"/>
      <c r="B2228" s="4"/>
      <c r="C2228" s="3"/>
      <c r="G2228" s="19"/>
    </row>
    <row r="2229" spans="1:7" ht="12.75" x14ac:dyDescent="0.2">
      <c r="A2229" s="3"/>
      <c r="B2229" s="4"/>
      <c r="C2229" s="3"/>
      <c r="G2229" s="19"/>
    </row>
    <row r="2230" spans="1:7" ht="12.75" x14ac:dyDescent="0.2">
      <c r="A2230" s="3"/>
      <c r="B2230" s="4"/>
      <c r="C2230" s="3"/>
      <c r="G2230" s="19"/>
    </row>
    <row r="2231" spans="1:7" ht="12.75" x14ac:dyDescent="0.2">
      <c r="A2231" s="3"/>
      <c r="B2231" s="4"/>
      <c r="C2231" s="3"/>
      <c r="G2231" s="19"/>
    </row>
    <row r="2232" spans="1:7" ht="12.75" x14ac:dyDescent="0.2">
      <c r="A2232" s="3"/>
      <c r="B2232" s="4"/>
      <c r="C2232" s="3"/>
      <c r="G2232" s="19"/>
    </row>
    <row r="2233" spans="1:7" ht="12.75" x14ac:dyDescent="0.2">
      <c r="A2233" s="3"/>
      <c r="B2233" s="4"/>
      <c r="C2233" s="3"/>
      <c r="G2233" s="19"/>
    </row>
    <row r="2234" spans="1:7" ht="12.75" x14ac:dyDescent="0.2">
      <c r="A2234" s="3"/>
      <c r="B2234" s="4"/>
      <c r="C2234" s="3"/>
      <c r="G2234" s="19"/>
    </row>
    <row r="2235" spans="1:7" ht="12.75" x14ac:dyDescent="0.2">
      <c r="A2235" s="3"/>
      <c r="B2235" s="4"/>
      <c r="C2235" s="3"/>
      <c r="G2235" s="19"/>
    </row>
    <row r="2236" spans="1:7" ht="12.75" x14ac:dyDescent="0.2">
      <c r="A2236" s="3"/>
      <c r="B2236" s="4"/>
      <c r="C2236" s="3"/>
      <c r="G2236" s="19"/>
    </row>
    <row r="2237" spans="1:7" ht="12.75" x14ac:dyDescent="0.2">
      <c r="A2237" s="3"/>
      <c r="B2237" s="4"/>
      <c r="C2237" s="3"/>
      <c r="G2237" s="19"/>
    </row>
    <row r="2238" spans="1:7" ht="12.75" x14ac:dyDescent="0.2">
      <c r="A2238" s="3"/>
      <c r="B2238" s="4"/>
      <c r="C2238" s="3"/>
      <c r="G2238" s="19"/>
    </row>
    <row r="2239" spans="1:7" ht="12.75" x14ac:dyDescent="0.2">
      <c r="A2239" s="3"/>
      <c r="B2239" s="4"/>
      <c r="C2239" s="3"/>
      <c r="G2239" s="19"/>
    </row>
    <row r="2240" spans="1:7" ht="12.75" x14ac:dyDescent="0.2">
      <c r="A2240" s="3"/>
      <c r="B2240" s="4"/>
      <c r="C2240" s="3"/>
      <c r="G2240" s="19"/>
    </row>
    <row r="2241" spans="1:7" ht="12.75" x14ac:dyDescent="0.2">
      <c r="A2241" s="3"/>
      <c r="B2241" s="4"/>
      <c r="C2241" s="3"/>
      <c r="G2241" s="19"/>
    </row>
    <row r="2242" spans="1:7" ht="12.75" x14ac:dyDescent="0.2">
      <c r="A2242" s="3"/>
      <c r="B2242" s="4"/>
      <c r="C2242" s="3"/>
      <c r="G2242" s="19"/>
    </row>
    <row r="2243" spans="1:7" ht="12.75" x14ac:dyDescent="0.2">
      <c r="A2243" s="3"/>
      <c r="B2243" s="4"/>
      <c r="C2243" s="3"/>
      <c r="G2243" s="19"/>
    </row>
    <row r="2244" spans="1:7" ht="12.75" x14ac:dyDescent="0.2">
      <c r="A2244" s="3"/>
      <c r="B2244" s="4"/>
      <c r="C2244" s="3"/>
      <c r="G2244" s="19"/>
    </row>
    <row r="2245" spans="1:7" ht="12.75" x14ac:dyDescent="0.2">
      <c r="A2245" s="3"/>
      <c r="B2245" s="4"/>
      <c r="C2245" s="3"/>
      <c r="G2245" s="19"/>
    </row>
    <row r="2246" spans="1:7" ht="12.75" x14ac:dyDescent="0.2">
      <c r="A2246" s="3"/>
      <c r="B2246" s="4"/>
      <c r="C2246" s="3"/>
      <c r="G2246" s="19"/>
    </row>
    <row r="2247" spans="1:7" ht="12.75" x14ac:dyDescent="0.2">
      <c r="A2247" s="3"/>
      <c r="B2247" s="4"/>
      <c r="C2247" s="3"/>
      <c r="G2247" s="19"/>
    </row>
    <row r="2248" spans="1:7" ht="12.75" x14ac:dyDescent="0.2">
      <c r="A2248" s="3"/>
      <c r="B2248" s="4"/>
      <c r="C2248" s="3"/>
      <c r="G2248" s="19"/>
    </row>
    <row r="2249" spans="1:7" ht="12.75" x14ac:dyDescent="0.2">
      <c r="A2249" s="3"/>
      <c r="B2249" s="4"/>
      <c r="C2249" s="3"/>
      <c r="G2249" s="19"/>
    </row>
    <row r="2250" spans="1:7" ht="12.75" x14ac:dyDescent="0.2">
      <c r="A2250" s="3"/>
      <c r="B2250" s="4"/>
      <c r="C2250" s="3"/>
      <c r="G2250" s="19"/>
    </row>
    <row r="2251" spans="1:7" ht="12.75" x14ac:dyDescent="0.2">
      <c r="A2251" s="3"/>
      <c r="B2251" s="4"/>
      <c r="C2251" s="3"/>
      <c r="G2251" s="19"/>
    </row>
    <row r="2252" spans="1:7" ht="12.75" x14ac:dyDescent="0.2">
      <c r="A2252" s="3"/>
      <c r="B2252" s="4"/>
      <c r="C2252" s="3"/>
      <c r="G2252" s="19"/>
    </row>
    <row r="2253" spans="1:7" ht="12.75" x14ac:dyDescent="0.2">
      <c r="A2253" s="3"/>
      <c r="B2253" s="4"/>
      <c r="C2253" s="3"/>
      <c r="G2253" s="19"/>
    </row>
    <row r="2254" spans="1:7" ht="12.75" x14ac:dyDescent="0.2">
      <c r="A2254" s="3"/>
      <c r="B2254" s="4"/>
      <c r="C2254" s="3"/>
      <c r="G2254" s="19"/>
    </row>
    <row r="2255" spans="1:7" ht="12.75" x14ac:dyDescent="0.2">
      <c r="A2255" s="3"/>
      <c r="B2255" s="4"/>
      <c r="C2255" s="3"/>
      <c r="G2255" s="19"/>
    </row>
    <row r="2256" spans="1:7" ht="12.75" x14ac:dyDescent="0.2">
      <c r="A2256" s="3"/>
      <c r="B2256" s="4"/>
      <c r="C2256" s="3"/>
      <c r="G2256" s="19"/>
    </row>
    <row r="2257" spans="1:7" ht="12.75" x14ac:dyDescent="0.2">
      <c r="A2257" s="3"/>
      <c r="B2257" s="4"/>
      <c r="C2257" s="3"/>
      <c r="G2257" s="19"/>
    </row>
    <row r="2258" spans="1:7" ht="12.75" x14ac:dyDescent="0.2">
      <c r="A2258" s="3"/>
      <c r="B2258" s="4"/>
      <c r="C2258" s="3"/>
      <c r="G2258" s="19"/>
    </row>
    <row r="2259" spans="1:7" ht="12.75" x14ac:dyDescent="0.2">
      <c r="A2259" s="3"/>
      <c r="B2259" s="4"/>
      <c r="C2259" s="3"/>
      <c r="G2259" s="19"/>
    </row>
    <row r="2260" spans="1:7" ht="12.75" x14ac:dyDescent="0.2">
      <c r="A2260" s="3"/>
      <c r="B2260" s="4"/>
      <c r="C2260" s="3"/>
      <c r="G2260" s="19"/>
    </row>
    <row r="2261" spans="1:7" ht="12.75" x14ac:dyDescent="0.2">
      <c r="A2261" s="3"/>
      <c r="B2261" s="4"/>
      <c r="C2261" s="3"/>
      <c r="G2261" s="19"/>
    </row>
    <row r="2262" spans="1:7" ht="12.75" x14ac:dyDescent="0.2">
      <c r="A2262" s="3"/>
      <c r="B2262" s="4"/>
      <c r="C2262" s="3"/>
      <c r="G2262" s="19"/>
    </row>
    <row r="2263" spans="1:7" ht="12.75" x14ac:dyDescent="0.2">
      <c r="A2263" s="3"/>
      <c r="B2263" s="4"/>
      <c r="C2263" s="3"/>
      <c r="G2263" s="19"/>
    </row>
    <row r="2264" spans="1:7" ht="12.75" x14ac:dyDescent="0.2">
      <c r="A2264" s="3"/>
      <c r="B2264" s="4"/>
      <c r="C2264" s="3"/>
      <c r="G2264" s="19"/>
    </row>
    <row r="2265" spans="1:7" ht="12.75" x14ac:dyDescent="0.2">
      <c r="A2265" s="3"/>
      <c r="B2265" s="4"/>
      <c r="C2265" s="3"/>
      <c r="G2265" s="19"/>
    </row>
    <row r="2266" spans="1:7" ht="12.75" x14ac:dyDescent="0.2">
      <c r="A2266" s="3"/>
      <c r="B2266" s="4"/>
      <c r="C2266" s="3"/>
      <c r="G2266" s="19"/>
    </row>
    <row r="2267" spans="1:7" ht="12.75" x14ac:dyDescent="0.2">
      <c r="A2267" s="3"/>
      <c r="B2267" s="4"/>
      <c r="C2267" s="3"/>
      <c r="G2267" s="19"/>
    </row>
    <row r="2268" spans="1:7" ht="12.75" x14ac:dyDescent="0.2">
      <c r="A2268" s="3"/>
      <c r="B2268" s="4"/>
      <c r="C2268" s="3"/>
      <c r="G2268" s="19"/>
    </row>
    <row r="2269" spans="1:7" ht="12.75" x14ac:dyDescent="0.2">
      <c r="A2269" s="3"/>
      <c r="B2269" s="4"/>
      <c r="C2269" s="3"/>
      <c r="G2269" s="19"/>
    </row>
    <row r="2270" spans="1:7" ht="12.75" x14ac:dyDescent="0.2">
      <c r="A2270" s="3"/>
      <c r="B2270" s="4"/>
      <c r="C2270" s="3"/>
      <c r="G2270" s="19"/>
    </row>
    <row r="2271" spans="1:7" ht="12.75" x14ac:dyDescent="0.2">
      <c r="A2271" s="3"/>
      <c r="B2271" s="4"/>
      <c r="C2271" s="3"/>
      <c r="G2271" s="19"/>
    </row>
    <row r="2272" spans="1:7" ht="12.75" x14ac:dyDescent="0.2">
      <c r="A2272" s="3"/>
      <c r="B2272" s="4"/>
      <c r="C2272" s="3"/>
      <c r="G2272" s="19"/>
    </row>
    <row r="2273" spans="1:7" ht="12.75" x14ac:dyDescent="0.2">
      <c r="A2273" s="3"/>
      <c r="B2273" s="4"/>
      <c r="C2273" s="3"/>
      <c r="G2273" s="19"/>
    </row>
    <row r="2274" spans="1:7" ht="12.75" x14ac:dyDescent="0.2">
      <c r="A2274" s="3"/>
      <c r="B2274" s="4"/>
      <c r="C2274" s="3"/>
      <c r="G2274" s="19"/>
    </row>
    <row r="2275" spans="1:7" ht="12.75" x14ac:dyDescent="0.2">
      <c r="A2275" s="3"/>
      <c r="B2275" s="4"/>
      <c r="C2275" s="3"/>
      <c r="G2275" s="19"/>
    </row>
    <row r="2276" spans="1:7" ht="12.75" x14ac:dyDescent="0.2">
      <c r="A2276" s="3"/>
      <c r="B2276" s="4"/>
      <c r="C2276" s="3"/>
      <c r="G2276" s="19"/>
    </row>
    <row r="2277" spans="1:7" ht="12.75" x14ac:dyDescent="0.2">
      <c r="A2277" s="3"/>
      <c r="B2277" s="4"/>
      <c r="C2277" s="3"/>
      <c r="G2277" s="19"/>
    </row>
    <row r="2278" spans="1:7" ht="12.75" x14ac:dyDescent="0.2">
      <c r="A2278" s="3"/>
      <c r="B2278" s="4"/>
      <c r="C2278" s="3"/>
      <c r="G2278" s="19"/>
    </row>
    <row r="2279" spans="1:7" ht="12.75" x14ac:dyDescent="0.2">
      <c r="A2279" s="3"/>
      <c r="B2279" s="4"/>
      <c r="C2279" s="3"/>
      <c r="G2279" s="19"/>
    </row>
    <row r="2280" spans="1:7" ht="12.75" x14ac:dyDescent="0.2">
      <c r="A2280" s="3"/>
      <c r="B2280" s="4"/>
      <c r="C2280" s="3"/>
      <c r="G2280" s="19"/>
    </row>
    <row r="2281" spans="1:7" ht="12.75" x14ac:dyDescent="0.2">
      <c r="A2281" s="3"/>
      <c r="B2281" s="4"/>
      <c r="C2281" s="3"/>
      <c r="G2281" s="19"/>
    </row>
    <row r="2282" spans="1:7" ht="12.75" x14ac:dyDescent="0.2">
      <c r="A2282" s="3"/>
      <c r="B2282" s="4"/>
      <c r="C2282" s="3"/>
      <c r="G2282" s="19"/>
    </row>
    <row r="2283" spans="1:7" ht="12.75" x14ac:dyDescent="0.2">
      <c r="A2283" s="3"/>
      <c r="B2283" s="4"/>
      <c r="C2283" s="3"/>
      <c r="G2283" s="19"/>
    </row>
    <row r="2284" spans="1:7" ht="12.75" x14ac:dyDescent="0.2">
      <c r="A2284" s="3"/>
      <c r="B2284" s="4"/>
      <c r="C2284" s="3"/>
      <c r="G2284" s="19"/>
    </row>
    <row r="2285" spans="1:7" ht="12.75" x14ac:dyDescent="0.2">
      <c r="A2285" s="3"/>
      <c r="B2285" s="4"/>
      <c r="C2285" s="3"/>
      <c r="G2285" s="19"/>
    </row>
    <row r="2286" spans="1:7" ht="12.75" x14ac:dyDescent="0.2">
      <c r="A2286" s="3"/>
      <c r="B2286" s="4"/>
      <c r="C2286" s="3"/>
      <c r="G2286" s="19"/>
    </row>
    <row r="2287" spans="1:7" ht="12.75" x14ac:dyDescent="0.2">
      <c r="A2287" s="3"/>
      <c r="B2287" s="4"/>
      <c r="C2287" s="3"/>
      <c r="G2287" s="19"/>
    </row>
    <row r="2288" spans="1:7" ht="12.75" x14ac:dyDescent="0.2">
      <c r="A2288" s="3"/>
      <c r="B2288" s="4"/>
      <c r="C2288" s="3"/>
      <c r="G2288" s="19"/>
    </row>
    <row r="2289" spans="1:7" ht="12.75" x14ac:dyDescent="0.2">
      <c r="A2289" s="3"/>
      <c r="B2289" s="4"/>
      <c r="C2289" s="3"/>
      <c r="G2289" s="19"/>
    </row>
    <row r="2290" spans="1:7" ht="12.75" x14ac:dyDescent="0.2">
      <c r="A2290" s="3"/>
      <c r="B2290" s="4"/>
      <c r="C2290" s="3"/>
      <c r="G2290" s="19"/>
    </row>
    <row r="2291" spans="1:7" ht="12.75" x14ac:dyDescent="0.2">
      <c r="A2291" s="3"/>
      <c r="B2291" s="4"/>
      <c r="C2291" s="3"/>
      <c r="G2291" s="19"/>
    </row>
    <row r="2292" spans="1:7" ht="12.75" x14ac:dyDescent="0.2">
      <c r="A2292" s="3"/>
      <c r="B2292" s="4"/>
      <c r="C2292" s="3"/>
      <c r="G2292" s="19"/>
    </row>
    <row r="2293" spans="1:7" ht="12.75" x14ac:dyDescent="0.2">
      <c r="A2293" s="3"/>
      <c r="B2293" s="4"/>
      <c r="C2293" s="3"/>
      <c r="G2293" s="19"/>
    </row>
    <row r="2294" spans="1:7" ht="12.75" x14ac:dyDescent="0.2">
      <c r="A2294" s="3"/>
      <c r="B2294" s="4"/>
      <c r="C2294" s="3"/>
      <c r="G2294" s="19"/>
    </row>
    <row r="2295" spans="1:7" ht="12.75" x14ac:dyDescent="0.2">
      <c r="A2295" s="3"/>
      <c r="B2295" s="4"/>
      <c r="C2295" s="3"/>
      <c r="G2295" s="19"/>
    </row>
    <row r="2296" spans="1:7" ht="12.75" x14ac:dyDescent="0.2">
      <c r="A2296" s="3"/>
      <c r="B2296" s="4"/>
      <c r="C2296" s="3"/>
      <c r="G2296" s="19"/>
    </row>
    <row r="2297" spans="1:7" ht="12.75" x14ac:dyDescent="0.2">
      <c r="A2297" s="3"/>
      <c r="B2297" s="4"/>
      <c r="C2297" s="3"/>
      <c r="G2297" s="19"/>
    </row>
    <row r="2298" spans="1:7" ht="12.75" x14ac:dyDescent="0.2">
      <c r="A2298" s="3"/>
      <c r="B2298" s="4"/>
      <c r="C2298" s="3"/>
      <c r="G2298" s="19"/>
    </row>
    <row r="2299" spans="1:7" ht="12.75" x14ac:dyDescent="0.2">
      <c r="A2299" s="3"/>
      <c r="B2299" s="4"/>
      <c r="C2299" s="3"/>
      <c r="G2299" s="19"/>
    </row>
    <row r="2300" spans="1:7" ht="12.75" x14ac:dyDescent="0.2">
      <c r="A2300" s="3"/>
      <c r="B2300" s="4"/>
      <c r="C2300" s="3"/>
      <c r="G2300" s="19"/>
    </row>
    <row r="2301" spans="1:7" ht="12.75" x14ac:dyDescent="0.2">
      <c r="A2301" s="3"/>
      <c r="B2301" s="4"/>
      <c r="C2301" s="3"/>
      <c r="G2301" s="19"/>
    </row>
    <row r="2302" spans="1:7" ht="12.75" x14ac:dyDescent="0.2">
      <c r="A2302" s="3"/>
      <c r="B2302" s="4"/>
      <c r="C2302" s="3"/>
      <c r="G2302" s="19"/>
    </row>
    <row r="2303" spans="1:7" ht="12.75" x14ac:dyDescent="0.2">
      <c r="A2303" s="3"/>
      <c r="B2303" s="4"/>
      <c r="C2303" s="3"/>
      <c r="G2303" s="19"/>
    </row>
    <row r="2304" spans="1:7" ht="12.75" x14ac:dyDescent="0.2">
      <c r="A2304" s="3"/>
      <c r="B2304" s="4"/>
      <c r="C2304" s="3"/>
      <c r="G2304" s="19"/>
    </row>
    <row r="2305" spans="1:7" ht="12.75" x14ac:dyDescent="0.2">
      <c r="A2305" s="3"/>
      <c r="B2305" s="4"/>
      <c r="C2305" s="3"/>
      <c r="G2305" s="19"/>
    </row>
    <row r="2306" spans="1:7" ht="12.75" x14ac:dyDescent="0.2">
      <c r="A2306" s="3"/>
      <c r="B2306" s="4"/>
      <c r="C2306" s="3"/>
      <c r="G2306" s="19"/>
    </row>
    <row r="2307" spans="1:7" ht="12.75" x14ac:dyDescent="0.2">
      <c r="A2307" s="3"/>
      <c r="B2307" s="4"/>
      <c r="C2307" s="3"/>
      <c r="G2307" s="19"/>
    </row>
    <row r="2308" spans="1:7" ht="12.75" x14ac:dyDescent="0.2">
      <c r="A2308" s="3"/>
      <c r="B2308" s="4"/>
      <c r="C2308" s="3"/>
      <c r="G2308" s="19"/>
    </row>
    <row r="2309" spans="1:7" ht="12.75" x14ac:dyDescent="0.2">
      <c r="A2309" s="3"/>
      <c r="B2309" s="4"/>
      <c r="C2309" s="3"/>
      <c r="G2309" s="19"/>
    </row>
    <row r="2310" spans="1:7" ht="12.75" x14ac:dyDescent="0.2">
      <c r="A2310" s="3"/>
      <c r="B2310" s="4"/>
      <c r="C2310" s="3"/>
      <c r="G2310" s="19"/>
    </row>
    <row r="2311" spans="1:7" ht="12.75" x14ac:dyDescent="0.2">
      <c r="A2311" s="3"/>
      <c r="B2311" s="4"/>
      <c r="C2311" s="3"/>
      <c r="G2311" s="19"/>
    </row>
    <row r="2312" spans="1:7" ht="12.75" x14ac:dyDescent="0.2">
      <c r="A2312" s="3"/>
      <c r="B2312" s="4"/>
      <c r="C2312" s="3"/>
      <c r="G2312" s="19"/>
    </row>
    <row r="2313" spans="1:7" ht="12.75" x14ac:dyDescent="0.2">
      <c r="A2313" s="3"/>
      <c r="B2313" s="4"/>
      <c r="C2313" s="3"/>
      <c r="G2313" s="19"/>
    </row>
    <row r="2314" spans="1:7" ht="12.75" x14ac:dyDescent="0.2">
      <c r="A2314" s="3"/>
      <c r="B2314" s="4"/>
      <c r="C2314" s="3"/>
      <c r="G2314" s="19"/>
    </row>
    <row r="2315" spans="1:7" ht="12.75" x14ac:dyDescent="0.2">
      <c r="A2315" s="3"/>
      <c r="B2315" s="4"/>
      <c r="C2315" s="3"/>
      <c r="G2315" s="19"/>
    </row>
    <row r="2316" spans="1:7" ht="12.75" x14ac:dyDescent="0.2">
      <c r="A2316" s="3"/>
      <c r="B2316" s="4"/>
      <c r="C2316" s="3"/>
      <c r="G2316" s="19"/>
    </row>
    <row r="2317" spans="1:7" ht="12.75" x14ac:dyDescent="0.2">
      <c r="A2317" s="3"/>
      <c r="B2317" s="4"/>
      <c r="C2317" s="3"/>
      <c r="G2317" s="19"/>
    </row>
    <row r="2318" spans="1:7" ht="12.75" x14ac:dyDescent="0.2">
      <c r="A2318" s="3"/>
      <c r="B2318" s="4"/>
      <c r="C2318" s="3"/>
      <c r="G2318" s="19"/>
    </row>
    <row r="2319" spans="1:7" ht="12.75" x14ac:dyDescent="0.2">
      <c r="A2319" s="3"/>
      <c r="B2319" s="4"/>
      <c r="G2319" s="19"/>
    </row>
    <row r="2320" spans="1:7" ht="12.75" x14ac:dyDescent="0.2">
      <c r="A2320" s="3"/>
      <c r="B2320" s="4"/>
      <c r="G2320" s="19"/>
    </row>
    <row r="2321" spans="1:7" ht="12.75" x14ac:dyDescent="0.2">
      <c r="A2321" s="3"/>
      <c r="B2321" s="4"/>
      <c r="G2321" s="19"/>
    </row>
    <row r="2322" spans="1:7" ht="12.75" x14ac:dyDescent="0.2">
      <c r="A2322" s="3"/>
      <c r="B2322" s="4"/>
      <c r="G2322" s="19"/>
    </row>
    <row r="2323" spans="1:7" ht="12.75" x14ac:dyDescent="0.2">
      <c r="A2323" s="3"/>
      <c r="B2323" s="4"/>
      <c r="G2323" s="19"/>
    </row>
    <row r="2324" spans="1:7" ht="12.75" x14ac:dyDescent="0.2">
      <c r="A2324" s="3"/>
      <c r="B2324" s="4"/>
      <c r="G2324" s="19"/>
    </row>
    <row r="2325" spans="1:7" ht="12.75" x14ac:dyDescent="0.2">
      <c r="A2325" s="3"/>
      <c r="B2325" s="4"/>
      <c r="G2325" s="19"/>
    </row>
    <row r="2326" spans="1:7" ht="12.75" x14ac:dyDescent="0.2">
      <c r="A2326" s="3"/>
      <c r="B2326" s="4"/>
      <c r="G2326" s="19"/>
    </row>
    <row r="2327" spans="1:7" ht="12.75" x14ac:dyDescent="0.2">
      <c r="A2327" s="3"/>
      <c r="B2327" s="4"/>
      <c r="G2327" s="19"/>
    </row>
    <row r="2328" spans="1:7" ht="12.75" x14ac:dyDescent="0.2">
      <c r="A2328" s="3"/>
      <c r="B2328" s="4"/>
      <c r="G2328" s="19"/>
    </row>
    <row r="2329" spans="1:7" ht="12.75" x14ac:dyDescent="0.2">
      <c r="A2329" s="3"/>
      <c r="B2329" s="4"/>
      <c r="G2329" s="19"/>
    </row>
    <row r="2330" spans="1:7" ht="12.75" x14ac:dyDescent="0.2">
      <c r="A2330" s="3"/>
      <c r="B2330" s="4"/>
      <c r="G2330" s="19"/>
    </row>
    <row r="2331" spans="1:7" ht="12.75" x14ac:dyDescent="0.2">
      <c r="A2331" s="3"/>
      <c r="B2331" s="4"/>
      <c r="G2331" s="19"/>
    </row>
    <row r="2332" spans="1:7" ht="12.75" x14ac:dyDescent="0.2">
      <c r="A2332" s="3"/>
      <c r="B2332" s="4"/>
      <c r="G2332" s="19"/>
    </row>
    <row r="2333" spans="1:7" ht="12.75" x14ac:dyDescent="0.2">
      <c r="A2333" s="3"/>
      <c r="B2333" s="4"/>
      <c r="G2333" s="19"/>
    </row>
    <row r="2334" spans="1:7" ht="12.75" x14ac:dyDescent="0.2">
      <c r="A2334" s="3"/>
      <c r="B2334" s="4"/>
      <c r="G2334" s="19"/>
    </row>
    <row r="2335" spans="1:7" ht="12.75" x14ac:dyDescent="0.2">
      <c r="A2335" s="3"/>
      <c r="B2335" s="4"/>
      <c r="G2335" s="19"/>
    </row>
    <row r="2336" spans="1:7" ht="12.75" x14ac:dyDescent="0.2">
      <c r="A2336" s="3"/>
      <c r="B2336" s="4"/>
      <c r="G2336" s="19"/>
    </row>
    <row r="2337" spans="1:7" ht="12.75" x14ac:dyDescent="0.2">
      <c r="A2337" s="3"/>
      <c r="B2337" s="4"/>
      <c r="G2337" s="19"/>
    </row>
    <row r="2338" spans="1:7" ht="12.75" x14ac:dyDescent="0.2">
      <c r="A2338" s="3"/>
      <c r="B2338" s="4"/>
      <c r="G2338" s="19"/>
    </row>
    <row r="2339" spans="1:7" ht="12.75" x14ac:dyDescent="0.2">
      <c r="A2339" s="3"/>
      <c r="B2339" s="4"/>
      <c r="G2339" s="19"/>
    </row>
    <row r="2340" spans="1:7" ht="12.75" x14ac:dyDescent="0.2">
      <c r="A2340" s="3"/>
      <c r="B2340" s="4"/>
      <c r="G2340" s="19"/>
    </row>
    <row r="2341" spans="1:7" ht="12.75" x14ac:dyDescent="0.2">
      <c r="A2341" s="3"/>
      <c r="B2341" s="4"/>
      <c r="G2341" s="19"/>
    </row>
    <row r="2342" spans="1:7" ht="12.75" x14ac:dyDescent="0.2">
      <c r="A2342" s="3"/>
      <c r="B2342" s="4"/>
      <c r="G2342" s="19"/>
    </row>
    <row r="2343" spans="1:7" ht="12.75" x14ac:dyDescent="0.2">
      <c r="A2343" s="3"/>
      <c r="B2343" s="4"/>
      <c r="G2343" s="19"/>
    </row>
    <row r="2344" spans="1:7" ht="12.75" x14ac:dyDescent="0.2">
      <c r="A2344" s="3"/>
      <c r="B2344" s="4"/>
      <c r="G2344" s="19"/>
    </row>
    <row r="2345" spans="1:7" ht="12.75" x14ac:dyDescent="0.2">
      <c r="A2345" s="3"/>
      <c r="B2345" s="4"/>
      <c r="G2345" s="19"/>
    </row>
    <row r="2346" spans="1:7" ht="12.75" x14ac:dyDescent="0.2">
      <c r="A2346" s="3"/>
      <c r="B2346" s="4"/>
      <c r="G2346" s="19"/>
    </row>
    <row r="2347" spans="1:7" ht="12.75" x14ac:dyDescent="0.2">
      <c r="A2347" s="3"/>
      <c r="B2347" s="4"/>
      <c r="G2347" s="19"/>
    </row>
    <row r="2348" spans="1:7" ht="12.75" x14ac:dyDescent="0.2">
      <c r="A2348" s="3"/>
      <c r="B2348" s="4"/>
      <c r="G2348" s="19"/>
    </row>
    <row r="2349" spans="1:7" ht="12.75" x14ac:dyDescent="0.2">
      <c r="A2349" s="3"/>
      <c r="B2349" s="4"/>
      <c r="G2349" s="19"/>
    </row>
    <row r="2350" spans="1:7" ht="12.75" x14ac:dyDescent="0.2">
      <c r="A2350" s="3"/>
      <c r="B2350" s="4"/>
      <c r="G2350" s="19"/>
    </row>
    <row r="2351" spans="1:7" ht="12.75" x14ac:dyDescent="0.2">
      <c r="A2351" s="3"/>
      <c r="B2351" s="4"/>
      <c r="G2351" s="19"/>
    </row>
    <row r="2352" spans="1:7" ht="12.75" x14ac:dyDescent="0.2">
      <c r="A2352" s="3"/>
      <c r="B2352" s="4"/>
      <c r="G2352" s="19"/>
    </row>
    <row r="2353" spans="1:7" ht="12.75" x14ac:dyDescent="0.2">
      <c r="A2353" s="3"/>
      <c r="B2353" s="4"/>
      <c r="G2353" s="19"/>
    </row>
    <row r="2354" spans="1:7" ht="12.75" x14ac:dyDescent="0.2">
      <c r="A2354" s="3"/>
      <c r="B2354" s="4"/>
      <c r="G2354" s="19"/>
    </row>
    <row r="2355" spans="1:7" ht="12.75" x14ac:dyDescent="0.2">
      <c r="A2355" s="3"/>
      <c r="B2355" s="4"/>
      <c r="G2355" s="19"/>
    </row>
    <row r="2356" spans="1:7" ht="12.75" x14ac:dyDescent="0.2">
      <c r="A2356" s="3"/>
      <c r="B2356" s="4"/>
      <c r="G2356" s="19"/>
    </row>
    <row r="2357" spans="1:7" ht="12.75" x14ac:dyDescent="0.2">
      <c r="A2357" s="3"/>
      <c r="B2357" s="4"/>
      <c r="G2357" s="19"/>
    </row>
    <row r="2358" spans="1:7" ht="12.75" x14ac:dyDescent="0.2">
      <c r="A2358" s="3"/>
      <c r="B2358" s="4"/>
      <c r="G2358" s="19"/>
    </row>
    <row r="2359" spans="1:7" ht="12.75" x14ac:dyDescent="0.2">
      <c r="A2359" s="3"/>
      <c r="B2359" s="4"/>
      <c r="G2359" s="19"/>
    </row>
    <row r="2360" spans="1:7" ht="12.75" x14ac:dyDescent="0.2">
      <c r="A2360" s="3"/>
      <c r="B2360" s="4"/>
      <c r="G2360" s="19"/>
    </row>
    <row r="2361" spans="1:7" ht="12.75" x14ac:dyDescent="0.2">
      <c r="A2361" s="3"/>
      <c r="B2361" s="4"/>
      <c r="G2361" s="19"/>
    </row>
    <row r="2362" spans="1:7" ht="12.75" x14ac:dyDescent="0.2">
      <c r="A2362" s="3"/>
      <c r="B2362" s="4"/>
      <c r="G2362" s="19"/>
    </row>
    <row r="2363" spans="1:7" ht="12.75" x14ac:dyDescent="0.2">
      <c r="A2363" s="3"/>
      <c r="B2363" s="4"/>
      <c r="G2363" s="19"/>
    </row>
    <row r="2364" spans="1:7" ht="12.75" x14ac:dyDescent="0.2">
      <c r="A2364" s="3"/>
      <c r="B2364" s="4"/>
      <c r="G2364" s="19"/>
    </row>
    <row r="2365" spans="1:7" ht="12.75" x14ac:dyDescent="0.2">
      <c r="A2365" s="3"/>
      <c r="B2365" s="4"/>
      <c r="G2365" s="19"/>
    </row>
    <row r="2366" spans="1:7" ht="12.75" x14ac:dyDescent="0.2">
      <c r="A2366" s="3"/>
      <c r="B2366" s="4"/>
      <c r="G2366" s="19"/>
    </row>
    <row r="2367" spans="1:7" ht="12.75" x14ac:dyDescent="0.2">
      <c r="A2367" s="3"/>
      <c r="B2367" s="4"/>
      <c r="G2367" s="19"/>
    </row>
    <row r="2368" spans="1:7" ht="12.75" x14ac:dyDescent="0.2">
      <c r="A2368" s="3"/>
      <c r="B2368" s="4"/>
      <c r="G2368" s="19"/>
    </row>
    <row r="2369" spans="1:7" ht="12.75" x14ac:dyDescent="0.2">
      <c r="A2369" s="3"/>
      <c r="B2369" s="4"/>
      <c r="G2369" s="19"/>
    </row>
    <row r="2370" spans="1:7" ht="12.75" x14ac:dyDescent="0.2">
      <c r="A2370" s="3"/>
      <c r="B2370" s="4"/>
      <c r="G2370" s="19"/>
    </row>
    <row r="2371" spans="1:7" ht="12.75" x14ac:dyDescent="0.2">
      <c r="A2371" s="3"/>
      <c r="B2371" s="4"/>
      <c r="G2371" s="19"/>
    </row>
    <row r="2372" spans="1:7" ht="12.75" x14ac:dyDescent="0.2">
      <c r="A2372" s="3"/>
      <c r="B2372" s="4"/>
      <c r="G2372" s="19"/>
    </row>
    <row r="2373" spans="1:7" ht="12.75" x14ac:dyDescent="0.2">
      <c r="A2373" s="3"/>
      <c r="B2373" s="4"/>
      <c r="G2373" s="19"/>
    </row>
    <row r="2374" spans="1:7" ht="12.75" x14ac:dyDescent="0.2">
      <c r="A2374" s="3"/>
      <c r="B2374" s="4"/>
      <c r="G2374" s="19"/>
    </row>
    <row r="2375" spans="1:7" ht="12.75" x14ac:dyDescent="0.2">
      <c r="A2375" s="3"/>
      <c r="B2375" s="4"/>
      <c r="G2375" s="19"/>
    </row>
    <row r="2376" spans="1:7" ht="12.75" x14ac:dyDescent="0.2">
      <c r="A2376" s="3"/>
      <c r="B2376" s="4"/>
      <c r="G2376" s="19"/>
    </row>
    <row r="2377" spans="1:7" ht="12.75" x14ac:dyDescent="0.2">
      <c r="A2377" s="3"/>
      <c r="B2377" s="4"/>
      <c r="G2377" s="19"/>
    </row>
    <row r="2378" spans="1:7" ht="12.75" x14ac:dyDescent="0.2">
      <c r="A2378" s="3"/>
      <c r="B2378" s="4"/>
      <c r="G2378" s="19"/>
    </row>
    <row r="2379" spans="1:7" ht="12.75" x14ac:dyDescent="0.2">
      <c r="A2379" s="3"/>
      <c r="B2379" s="4"/>
      <c r="G2379" s="19"/>
    </row>
    <row r="2380" spans="1:7" ht="12.75" x14ac:dyDescent="0.2">
      <c r="A2380" s="3"/>
      <c r="B2380" s="4"/>
      <c r="G2380" s="19"/>
    </row>
    <row r="2381" spans="1:7" ht="12.75" x14ac:dyDescent="0.2">
      <c r="A2381" s="3"/>
      <c r="B2381" s="4"/>
      <c r="G2381" s="19"/>
    </row>
    <row r="2382" spans="1:7" ht="12.75" x14ac:dyDescent="0.2">
      <c r="A2382" s="3"/>
      <c r="B2382" s="4"/>
      <c r="G2382" s="19"/>
    </row>
    <row r="2383" spans="1:7" ht="12.75" x14ac:dyDescent="0.2">
      <c r="A2383" s="3"/>
      <c r="B2383" s="4"/>
      <c r="G2383" s="19"/>
    </row>
    <row r="2384" spans="1:7" ht="12.75" x14ac:dyDescent="0.2">
      <c r="A2384" s="3"/>
      <c r="B2384" s="4"/>
      <c r="G2384" s="19"/>
    </row>
    <row r="2385" spans="1:7" ht="12.75" x14ac:dyDescent="0.2">
      <c r="A2385" s="3"/>
      <c r="B2385" s="4"/>
      <c r="G2385" s="19"/>
    </row>
    <row r="2386" spans="1:7" ht="12.75" x14ac:dyDescent="0.2">
      <c r="A2386" s="3"/>
      <c r="B2386" s="4"/>
      <c r="G2386" s="19"/>
    </row>
    <row r="2387" spans="1:7" ht="12.75" x14ac:dyDescent="0.2">
      <c r="A2387" s="3"/>
      <c r="B2387" s="4"/>
      <c r="G2387" s="19"/>
    </row>
    <row r="2388" spans="1:7" ht="12.75" x14ac:dyDescent="0.2">
      <c r="A2388" s="3"/>
      <c r="B2388" s="4"/>
      <c r="G2388" s="19"/>
    </row>
    <row r="2389" spans="1:7" ht="12.75" x14ac:dyDescent="0.2">
      <c r="A2389" s="3"/>
      <c r="B2389" s="4"/>
      <c r="G2389" s="19"/>
    </row>
    <row r="2390" spans="1:7" ht="12.75" x14ac:dyDescent="0.2">
      <c r="A2390" s="3"/>
      <c r="B2390" s="4"/>
      <c r="G2390" s="19"/>
    </row>
    <row r="2391" spans="1:7" ht="12.75" x14ac:dyDescent="0.2">
      <c r="A2391" s="3"/>
      <c r="B2391" s="4"/>
      <c r="G2391" s="19"/>
    </row>
    <row r="2392" spans="1:7" ht="12.75" x14ac:dyDescent="0.2">
      <c r="A2392" s="3"/>
      <c r="B2392" s="4"/>
      <c r="G2392" s="19"/>
    </row>
    <row r="2393" spans="1:7" ht="12.75" x14ac:dyDescent="0.2">
      <c r="A2393" s="3"/>
      <c r="B2393" s="4"/>
      <c r="G2393" s="19"/>
    </row>
    <row r="2394" spans="1:7" ht="12.75" x14ac:dyDescent="0.2">
      <c r="A2394" s="3"/>
      <c r="B2394" s="4"/>
      <c r="G2394" s="19"/>
    </row>
    <row r="2395" spans="1:7" ht="12.75" x14ac:dyDescent="0.2">
      <c r="A2395" s="3"/>
      <c r="B2395" s="4"/>
      <c r="G2395" s="19"/>
    </row>
    <row r="2396" spans="1:7" ht="12.75" x14ac:dyDescent="0.2">
      <c r="A2396" s="3"/>
      <c r="B2396" s="4"/>
      <c r="G2396" s="19"/>
    </row>
    <row r="2397" spans="1:7" ht="12.75" x14ac:dyDescent="0.2">
      <c r="A2397" s="3"/>
      <c r="B2397" s="4"/>
      <c r="G2397" s="19"/>
    </row>
    <row r="2398" spans="1:7" ht="12.75" x14ac:dyDescent="0.2">
      <c r="A2398" s="3"/>
      <c r="B2398" s="4"/>
      <c r="G2398" s="19"/>
    </row>
    <row r="2399" spans="1:7" ht="12.75" x14ac:dyDescent="0.2">
      <c r="A2399" s="3"/>
      <c r="B2399" s="4"/>
      <c r="G2399" s="19"/>
    </row>
    <row r="2400" spans="1:7" ht="12.75" x14ac:dyDescent="0.2">
      <c r="A2400" s="3"/>
      <c r="B2400" s="4"/>
      <c r="G2400" s="19"/>
    </row>
    <row r="2401" spans="1:7" ht="12.75" x14ac:dyDescent="0.2">
      <c r="A2401" s="3"/>
      <c r="B2401" s="4"/>
      <c r="G2401" s="19"/>
    </row>
    <row r="2402" spans="1:7" ht="12.75" x14ac:dyDescent="0.2">
      <c r="A2402" s="3"/>
      <c r="B2402" s="4"/>
      <c r="G2402" s="19"/>
    </row>
    <row r="2403" spans="1:7" ht="12.75" x14ac:dyDescent="0.2">
      <c r="A2403" s="3"/>
      <c r="B2403" s="4"/>
      <c r="G2403" s="19"/>
    </row>
    <row r="2404" spans="1:7" ht="12.75" x14ac:dyDescent="0.2">
      <c r="A2404" s="3"/>
      <c r="B2404" s="4"/>
      <c r="G2404" s="19"/>
    </row>
    <row r="2405" spans="1:7" ht="12.75" x14ac:dyDescent="0.2">
      <c r="A2405" s="3"/>
      <c r="B2405" s="4"/>
      <c r="G2405" s="19"/>
    </row>
    <row r="2406" spans="1:7" ht="12.75" x14ac:dyDescent="0.2">
      <c r="A2406" s="3"/>
      <c r="B2406" s="4"/>
      <c r="G2406" s="19"/>
    </row>
    <row r="2407" spans="1:7" ht="12.75" x14ac:dyDescent="0.2">
      <c r="A2407" s="3"/>
      <c r="B2407" s="4"/>
      <c r="G2407" s="19"/>
    </row>
    <row r="2408" spans="1:7" ht="12.75" x14ac:dyDescent="0.2">
      <c r="A2408" s="3"/>
      <c r="B2408" s="4"/>
      <c r="G2408" s="19"/>
    </row>
    <row r="2409" spans="1:7" ht="12.75" x14ac:dyDescent="0.2">
      <c r="A2409" s="3"/>
      <c r="B2409" s="4"/>
      <c r="G2409" s="19"/>
    </row>
    <row r="2410" spans="1:7" ht="12.75" x14ac:dyDescent="0.2">
      <c r="A2410" s="3"/>
      <c r="B2410" s="4"/>
      <c r="G2410" s="19"/>
    </row>
    <row r="2411" spans="1:7" ht="12.75" x14ac:dyDescent="0.2">
      <c r="A2411" s="3"/>
      <c r="B2411" s="4"/>
      <c r="G2411" s="19"/>
    </row>
    <row r="2412" spans="1:7" ht="12.75" x14ac:dyDescent="0.2">
      <c r="A2412" s="3"/>
      <c r="B2412" s="4"/>
      <c r="G2412" s="19"/>
    </row>
    <row r="2413" spans="1:7" ht="12.75" x14ac:dyDescent="0.2">
      <c r="A2413" s="3"/>
      <c r="B2413" s="4"/>
      <c r="G2413" s="19"/>
    </row>
    <row r="2414" spans="1:7" ht="12.75" x14ac:dyDescent="0.2">
      <c r="A2414" s="3"/>
      <c r="B2414" s="4"/>
      <c r="G2414" s="19"/>
    </row>
    <row r="2415" spans="1:7" ht="12.75" x14ac:dyDescent="0.2">
      <c r="A2415" s="3"/>
      <c r="B2415" s="4"/>
      <c r="G2415" s="19"/>
    </row>
    <row r="2416" spans="1:7" ht="12.75" x14ac:dyDescent="0.2">
      <c r="A2416" s="3"/>
      <c r="B2416" s="4"/>
      <c r="G2416" s="19"/>
    </row>
    <row r="2417" spans="1:7" ht="12.75" x14ac:dyDescent="0.2">
      <c r="A2417" s="3"/>
      <c r="B2417" s="4"/>
      <c r="G2417" s="19"/>
    </row>
    <row r="2418" spans="1:7" ht="12.75" x14ac:dyDescent="0.2">
      <c r="A2418" s="3"/>
      <c r="B2418" s="4"/>
      <c r="G2418" s="19"/>
    </row>
    <row r="2419" spans="1:7" ht="12.75" x14ac:dyDescent="0.2">
      <c r="A2419" s="3"/>
      <c r="B2419" s="4"/>
      <c r="G2419" s="19"/>
    </row>
    <row r="2420" spans="1:7" ht="12.75" x14ac:dyDescent="0.2">
      <c r="A2420" s="3"/>
      <c r="B2420" s="4"/>
      <c r="G2420" s="19"/>
    </row>
    <row r="2421" spans="1:7" ht="12.75" x14ac:dyDescent="0.2">
      <c r="A2421" s="3"/>
      <c r="B2421" s="4"/>
      <c r="G2421" s="19"/>
    </row>
    <row r="2422" spans="1:7" ht="12.75" x14ac:dyDescent="0.2">
      <c r="A2422" s="3"/>
      <c r="B2422" s="4"/>
      <c r="G2422" s="19"/>
    </row>
    <row r="2423" spans="1:7" ht="12.75" x14ac:dyDescent="0.2">
      <c r="A2423" s="3"/>
      <c r="B2423" s="4"/>
      <c r="G2423" s="19"/>
    </row>
    <row r="2424" spans="1:7" ht="12.75" x14ac:dyDescent="0.2">
      <c r="A2424" s="3"/>
      <c r="B2424" s="4"/>
      <c r="G2424" s="19"/>
    </row>
    <row r="2425" spans="1:7" ht="12.75" x14ac:dyDescent="0.2">
      <c r="A2425" s="3"/>
      <c r="B2425" s="4"/>
      <c r="G2425" s="19"/>
    </row>
    <row r="2426" spans="1:7" ht="12.75" x14ac:dyDescent="0.2">
      <c r="A2426" s="3"/>
      <c r="B2426" s="4"/>
      <c r="G2426" s="19"/>
    </row>
    <row r="2427" spans="1:7" ht="12.75" x14ac:dyDescent="0.2">
      <c r="A2427" s="3"/>
      <c r="B2427" s="4"/>
      <c r="G2427" s="19"/>
    </row>
    <row r="2428" spans="1:7" ht="12.75" x14ac:dyDescent="0.2">
      <c r="A2428" s="3"/>
      <c r="B2428" s="4"/>
      <c r="G2428" s="19"/>
    </row>
    <row r="2429" spans="1:7" ht="12.75" x14ac:dyDescent="0.2">
      <c r="A2429" s="3"/>
      <c r="B2429" s="4"/>
      <c r="G2429" s="19"/>
    </row>
    <row r="2430" spans="1:7" ht="12.75" x14ac:dyDescent="0.2">
      <c r="A2430" s="3"/>
      <c r="B2430" s="4"/>
      <c r="G2430" s="19"/>
    </row>
    <row r="2431" spans="1:7" ht="12.75" x14ac:dyDescent="0.2">
      <c r="A2431" s="3"/>
      <c r="B2431" s="4"/>
      <c r="G2431" s="19"/>
    </row>
    <row r="2432" spans="1:7" ht="12.75" x14ac:dyDescent="0.2">
      <c r="A2432" s="3"/>
      <c r="B2432" s="4"/>
      <c r="G2432" s="19"/>
    </row>
    <row r="2433" spans="1:7" ht="12.75" x14ac:dyDescent="0.2">
      <c r="A2433" s="3"/>
      <c r="B2433" s="4"/>
      <c r="G2433" s="19"/>
    </row>
    <row r="2434" spans="1:7" ht="12.75" x14ac:dyDescent="0.2">
      <c r="A2434" s="3"/>
      <c r="B2434" s="4"/>
      <c r="G2434" s="19"/>
    </row>
    <row r="2435" spans="1:7" ht="12.75" x14ac:dyDescent="0.2">
      <c r="A2435" s="3"/>
      <c r="B2435" s="4"/>
      <c r="G2435" s="19"/>
    </row>
    <row r="2436" spans="1:7" ht="12.75" x14ac:dyDescent="0.2">
      <c r="A2436" s="3"/>
      <c r="B2436" s="4"/>
      <c r="G2436" s="19"/>
    </row>
    <row r="2437" spans="1:7" ht="12.75" x14ac:dyDescent="0.2">
      <c r="A2437" s="3"/>
      <c r="B2437" s="4"/>
      <c r="G2437" s="19"/>
    </row>
    <row r="2438" spans="1:7" ht="12.75" x14ac:dyDescent="0.2">
      <c r="A2438" s="3"/>
      <c r="B2438" s="4"/>
      <c r="G2438" s="19"/>
    </row>
    <row r="2439" spans="1:7" ht="12.75" x14ac:dyDescent="0.2">
      <c r="A2439" s="3"/>
      <c r="B2439" s="4"/>
      <c r="G2439" s="19"/>
    </row>
    <row r="2440" spans="1:7" ht="12.75" x14ac:dyDescent="0.2">
      <c r="A2440" s="3"/>
      <c r="B2440" s="4"/>
      <c r="G2440" s="19"/>
    </row>
    <row r="2441" spans="1:7" ht="12.75" x14ac:dyDescent="0.2">
      <c r="A2441" s="3"/>
      <c r="B2441" s="4"/>
      <c r="G2441" s="19"/>
    </row>
    <row r="2442" spans="1:7" ht="12.75" x14ac:dyDescent="0.2">
      <c r="A2442" s="3"/>
      <c r="B2442" s="4"/>
      <c r="G2442" s="19"/>
    </row>
    <row r="2443" spans="1:7" ht="12.75" x14ac:dyDescent="0.2">
      <c r="A2443" s="3"/>
      <c r="B2443" s="4"/>
      <c r="G2443" s="19"/>
    </row>
    <row r="2444" spans="1:7" ht="12.75" x14ac:dyDescent="0.2">
      <c r="A2444" s="3"/>
      <c r="B2444" s="4"/>
      <c r="G2444" s="19"/>
    </row>
    <row r="2445" spans="1:7" ht="12.75" x14ac:dyDescent="0.2">
      <c r="A2445" s="3"/>
      <c r="B2445" s="4"/>
      <c r="G2445" s="19"/>
    </row>
    <row r="2446" spans="1:7" ht="12.75" x14ac:dyDescent="0.2">
      <c r="A2446" s="3"/>
      <c r="B2446" s="4"/>
      <c r="G2446" s="19"/>
    </row>
    <row r="2447" spans="1:7" ht="12.75" x14ac:dyDescent="0.2">
      <c r="A2447" s="3"/>
      <c r="B2447" s="4"/>
      <c r="G2447" s="19"/>
    </row>
    <row r="2448" spans="1:7" ht="12.75" x14ac:dyDescent="0.2">
      <c r="A2448" s="3"/>
      <c r="B2448" s="4"/>
      <c r="G2448" s="19"/>
    </row>
    <row r="2449" spans="1:7" ht="12.75" x14ac:dyDescent="0.2">
      <c r="A2449" s="3"/>
      <c r="B2449" s="4"/>
      <c r="G2449" s="19"/>
    </row>
    <row r="2450" spans="1:7" ht="12.75" x14ac:dyDescent="0.2">
      <c r="A2450" s="3"/>
      <c r="B2450" s="4"/>
      <c r="G2450" s="19"/>
    </row>
    <row r="2451" spans="1:7" ht="12.75" x14ac:dyDescent="0.2">
      <c r="A2451" s="3"/>
      <c r="B2451" s="4"/>
      <c r="G2451" s="19"/>
    </row>
    <row r="2452" spans="1:7" ht="12.75" x14ac:dyDescent="0.2">
      <c r="A2452" s="3"/>
      <c r="B2452" s="4"/>
      <c r="G2452" s="19"/>
    </row>
    <row r="2453" spans="1:7" ht="12.75" x14ac:dyDescent="0.2">
      <c r="A2453" s="3"/>
      <c r="B2453" s="4"/>
      <c r="G2453" s="19"/>
    </row>
    <row r="2454" spans="1:7" ht="12.75" x14ac:dyDescent="0.2">
      <c r="A2454" s="3"/>
      <c r="B2454" s="4"/>
      <c r="G2454" s="19"/>
    </row>
    <row r="2455" spans="1:7" ht="12.75" x14ac:dyDescent="0.2">
      <c r="A2455" s="3"/>
      <c r="B2455" s="4"/>
      <c r="G2455" s="19"/>
    </row>
    <row r="2456" spans="1:7" ht="12.75" x14ac:dyDescent="0.2">
      <c r="A2456" s="3"/>
      <c r="B2456" s="4"/>
      <c r="G2456" s="19"/>
    </row>
    <row r="2457" spans="1:7" ht="12.75" x14ac:dyDescent="0.2">
      <c r="A2457" s="3"/>
      <c r="B2457" s="4"/>
      <c r="G2457" s="19"/>
    </row>
    <row r="2458" spans="1:7" ht="12.75" x14ac:dyDescent="0.2">
      <c r="A2458" s="3"/>
      <c r="B2458" s="4"/>
      <c r="G2458" s="19"/>
    </row>
    <row r="2459" spans="1:7" ht="12.75" x14ac:dyDescent="0.2">
      <c r="A2459" s="3"/>
      <c r="B2459" s="4"/>
      <c r="G2459" s="19"/>
    </row>
    <row r="2460" spans="1:7" ht="12.75" x14ac:dyDescent="0.2">
      <c r="A2460" s="3"/>
      <c r="B2460" s="4"/>
      <c r="G2460" s="19"/>
    </row>
    <row r="2461" spans="1:7" ht="12.75" x14ac:dyDescent="0.2">
      <c r="A2461" s="3"/>
      <c r="B2461" s="4"/>
      <c r="G2461" s="19"/>
    </row>
    <row r="2462" spans="1:7" ht="12.75" x14ac:dyDescent="0.2">
      <c r="A2462" s="3"/>
      <c r="B2462" s="4"/>
      <c r="G2462" s="19"/>
    </row>
    <row r="2463" spans="1:7" ht="12.75" x14ac:dyDescent="0.2">
      <c r="A2463" s="3"/>
      <c r="B2463" s="4"/>
      <c r="G2463" s="19"/>
    </row>
    <row r="2464" spans="1:7" ht="12.75" x14ac:dyDescent="0.2">
      <c r="A2464" s="3"/>
      <c r="B2464" s="4"/>
      <c r="G2464" s="19"/>
    </row>
    <row r="2465" spans="1:7" ht="12.75" x14ac:dyDescent="0.2">
      <c r="A2465" s="3"/>
      <c r="B2465" s="4"/>
      <c r="G2465" s="19"/>
    </row>
    <row r="2466" spans="1:7" ht="12.75" x14ac:dyDescent="0.2">
      <c r="A2466" s="3"/>
      <c r="B2466" s="4"/>
      <c r="G2466" s="19"/>
    </row>
    <row r="2467" spans="1:7" ht="12.75" x14ac:dyDescent="0.2">
      <c r="A2467" s="3"/>
      <c r="B2467" s="4"/>
      <c r="G2467" s="19"/>
    </row>
    <row r="2468" spans="1:7" ht="12.75" x14ac:dyDescent="0.2">
      <c r="A2468" s="3"/>
      <c r="B2468" s="4"/>
      <c r="G2468" s="19"/>
    </row>
    <row r="2469" spans="1:7" ht="12.75" x14ac:dyDescent="0.2">
      <c r="A2469" s="3"/>
      <c r="B2469" s="4"/>
      <c r="G2469" s="19"/>
    </row>
    <row r="2470" spans="1:7" ht="12.75" x14ac:dyDescent="0.2">
      <c r="A2470" s="3"/>
      <c r="B2470" s="4"/>
      <c r="G2470" s="19"/>
    </row>
    <row r="2471" spans="1:7" ht="12.75" x14ac:dyDescent="0.2">
      <c r="A2471" s="3"/>
      <c r="B2471" s="4"/>
      <c r="G2471" s="19"/>
    </row>
    <row r="2472" spans="1:7" ht="12.75" x14ac:dyDescent="0.2">
      <c r="A2472" s="3"/>
      <c r="B2472" s="4"/>
      <c r="G2472" s="19"/>
    </row>
    <row r="2473" spans="1:7" ht="12.75" x14ac:dyDescent="0.2">
      <c r="A2473" s="3"/>
      <c r="B2473" s="4"/>
      <c r="G2473" s="19"/>
    </row>
    <row r="2474" spans="1:7" ht="12.75" x14ac:dyDescent="0.2">
      <c r="A2474" s="3"/>
      <c r="B2474" s="4"/>
      <c r="G2474" s="19"/>
    </row>
    <row r="2475" spans="1:7" ht="12.75" x14ac:dyDescent="0.2">
      <c r="A2475" s="3"/>
      <c r="B2475" s="4"/>
      <c r="G2475" s="19"/>
    </row>
    <row r="2476" spans="1:7" ht="12.75" x14ac:dyDescent="0.2">
      <c r="A2476" s="3"/>
      <c r="B2476" s="4"/>
      <c r="G2476" s="19"/>
    </row>
    <row r="2477" spans="1:7" ht="12.75" x14ac:dyDescent="0.2">
      <c r="A2477" s="3"/>
      <c r="B2477" s="4"/>
      <c r="G2477" s="19"/>
    </row>
    <row r="2478" spans="1:7" ht="12.75" x14ac:dyDescent="0.2">
      <c r="A2478" s="3"/>
      <c r="B2478" s="4"/>
      <c r="G2478" s="19"/>
    </row>
    <row r="2479" spans="1:7" ht="12.75" x14ac:dyDescent="0.2">
      <c r="A2479" s="3"/>
      <c r="B2479" s="4"/>
      <c r="G2479" s="19"/>
    </row>
    <row r="2480" spans="1:7" ht="12.75" x14ac:dyDescent="0.2">
      <c r="A2480" s="3"/>
      <c r="B2480" s="4"/>
      <c r="G2480" s="19"/>
    </row>
    <row r="2481" spans="1:7" ht="12.75" x14ac:dyDescent="0.2">
      <c r="A2481" s="3"/>
      <c r="B2481" s="4"/>
      <c r="G2481" s="19"/>
    </row>
    <row r="2482" spans="1:7" ht="12.75" x14ac:dyDescent="0.2">
      <c r="A2482" s="3"/>
      <c r="B2482" s="4"/>
      <c r="G2482" s="19"/>
    </row>
    <row r="2483" spans="1:7" ht="12.75" x14ac:dyDescent="0.2">
      <c r="A2483" s="3"/>
      <c r="B2483" s="4"/>
      <c r="G2483" s="19"/>
    </row>
    <row r="2484" spans="1:7" ht="12.75" x14ac:dyDescent="0.2">
      <c r="A2484" s="3"/>
      <c r="B2484" s="4"/>
      <c r="G2484" s="19"/>
    </row>
    <row r="2485" spans="1:7" ht="12.75" x14ac:dyDescent="0.2">
      <c r="A2485" s="3"/>
      <c r="B2485" s="4"/>
      <c r="G2485" s="19"/>
    </row>
    <row r="2486" spans="1:7" ht="12.75" x14ac:dyDescent="0.2">
      <c r="A2486" s="3"/>
      <c r="B2486" s="4"/>
      <c r="G2486" s="19"/>
    </row>
    <row r="2487" spans="1:7" ht="12.75" x14ac:dyDescent="0.2">
      <c r="A2487" s="3"/>
      <c r="B2487" s="4"/>
      <c r="G2487" s="19"/>
    </row>
    <row r="2488" spans="1:7" ht="12.75" x14ac:dyDescent="0.2">
      <c r="A2488" s="3"/>
      <c r="B2488" s="4"/>
      <c r="G2488" s="19"/>
    </row>
    <row r="2489" spans="1:7" ht="12.75" x14ac:dyDescent="0.2">
      <c r="A2489" s="3"/>
      <c r="B2489" s="4"/>
      <c r="G2489" s="19"/>
    </row>
    <row r="2490" spans="1:7" ht="12.75" x14ac:dyDescent="0.2">
      <c r="A2490" s="3"/>
      <c r="B2490" s="4"/>
      <c r="G2490" s="19"/>
    </row>
    <row r="2491" spans="1:7" ht="12.75" x14ac:dyDescent="0.2">
      <c r="A2491" s="3"/>
      <c r="B2491" s="4"/>
      <c r="G2491" s="19"/>
    </row>
    <row r="2492" spans="1:7" ht="12.75" x14ac:dyDescent="0.2">
      <c r="A2492" s="3"/>
      <c r="B2492" s="4"/>
      <c r="G2492" s="19"/>
    </row>
    <row r="2493" spans="1:7" ht="12.75" x14ac:dyDescent="0.2">
      <c r="A2493" s="3"/>
      <c r="B2493" s="4"/>
      <c r="G2493" s="19"/>
    </row>
    <row r="2494" spans="1:7" ht="12.75" x14ac:dyDescent="0.2">
      <c r="A2494" s="3"/>
      <c r="B2494" s="4"/>
      <c r="G2494" s="19"/>
    </row>
    <row r="2495" spans="1:7" ht="12.75" x14ac:dyDescent="0.2">
      <c r="A2495" s="3"/>
      <c r="B2495" s="4"/>
      <c r="G2495" s="19"/>
    </row>
    <row r="2496" spans="1:7" ht="12.75" x14ac:dyDescent="0.2">
      <c r="A2496" s="3"/>
      <c r="B2496" s="4"/>
      <c r="G2496" s="19"/>
    </row>
    <row r="2497" spans="1:7" ht="12.75" x14ac:dyDescent="0.2">
      <c r="A2497" s="3"/>
      <c r="B2497" s="4"/>
      <c r="G2497" s="19"/>
    </row>
    <row r="2498" spans="1:7" ht="12.75" x14ac:dyDescent="0.2">
      <c r="A2498" s="3"/>
      <c r="B2498" s="4"/>
      <c r="G2498" s="19"/>
    </row>
    <row r="2499" spans="1:7" ht="12.75" x14ac:dyDescent="0.2">
      <c r="A2499" s="3"/>
      <c r="B2499" s="4"/>
      <c r="G2499" s="19"/>
    </row>
    <row r="2500" spans="1:7" ht="12.75" x14ac:dyDescent="0.2">
      <c r="A2500" s="3"/>
      <c r="B2500" s="4"/>
      <c r="G2500" s="19"/>
    </row>
    <row r="2501" spans="1:7" ht="12.75" x14ac:dyDescent="0.2">
      <c r="A2501" s="3"/>
      <c r="B2501" s="4"/>
      <c r="G2501" s="19"/>
    </row>
    <row r="2502" spans="1:7" ht="12.75" x14ac:dyDescent="0.2">
      <c r="A2502" s="3"/>
      <c r="B2502" s="4"/>
      <c r="G2502" s="19"/>
    </row>
    <row r="2503" spans="1:7" ht="12.75" x14ac:dyDescent="0.2">
      <c r="A2503" s="3"/>
      <c r="B2503" s="4"/>
      <c r="G2503" s="19"/>
    </row>
    <row r="2504" spans="1:7" ht="12.75" x14ac:dyDescent="0.2">
      <c r="A2504" s="3"/>
      <c r="B2504" s="4"/>
      <c r="G2504" s="19"/>
    </row>
    <row r="2505" spans="1:7" ht="12.75" x14ac:dyDescent="0.2">
      <c r="A2505" s="3"/>
      <c r="B2505" s="4"/>
      <c r="G2505" s="19"/>
    </row>
    <row r="2506" spans="1:7" ht="12.75" x14ac:dyDescent="0.2">
      <c r="A2506" s="3"/>
      <c r="B2506" s="4"/>
      <c r="G2506" s="19"/>
    </row>
    <row r="2507" spans="1:7" ht="12.75" x14ac:dyDescent="0.2">
      <c r="A2507" s="3"/>
      <c r="B2507" s="4"/>
      <c r="G2507" s="19"/>
    </row>
    <row r="2508" spans="1:7" ht="12.75" x14ac:dyDescent="0.2">
      <c r="A2508" s="3"/>
      <c r="B2508" s="4"/>
      <c r="G2508" s="19"/>
    </row>
    <row r="2509" spans="1:7" ht="12.75" x14ac:dyDescent="0.2">
      <c r="A2509" s="3"/>
      <c r="B2509" s="4"/>
      <c r="G2509" s="19"/>
    </row>
    <row r="2510" spans="1:7" ht="12.75" x14ac:dyDescent="0.2">
      <c r="A2510" s="3"/>
      <c r="B2510" s="4"/>
      <c r="G2510" s="19"/>
    </row>
    <row r="2511" spans="1:7" ht="12.75" x14ac:dyDescent="0.2">
      <c r="A2511" s="3"/>
      <c r="B2511" s="4"/>
      <c r="G2511" s="19"/>
    </row>
    <row r="2512" spans="1:7" ht="12.75" x14ac:dyDescent="0.2">
      <c r="A2512" s="3"/>
      <c r="B2512" s="4"/>
      <c r="G2512" s="19"/>
    </row>
    <row r="2513" spans="1:7" ht="12.75" x14ac:dyDescent="0.2">
      <c r="A2513" s="3"/>
      <c r="B2513" s="4"/>
      <c r="G2513" s="19"/>
    </row>
    <row r="2514" spans="1:7" ht="12.75" x14ac:dyDescent="0.2">
      <c r="A2514" s="3"/>
      <c r="B2514" s="4"/>
      <c r="G2514" s="19"/>
    </row>
    <row r="2515" spans="1:7" ht="12.75" x14ac:dyDescent="0.2">
      <c r="A2515" s="3"/>
      <c r="B2515" s="4"/>
      <c r="G2515" s="19"/>
    </row>
    <row r="2516" spans="1:7" ht="12.75" x14ac:dyDescent="0.2">
      <c r="A2516" s="3"/>
      <c r="B2516" s="4"/>
      <c r="G2516" s="19"/>
    </row>
    <row r="2517" spans="1:7" ht="12.75" x14ac:dyDescent="0.2">
      <c r="A2517" s="3"/>
      <c r="B2517" s="4"/>
      <c r="G2517" s="19"/>
    </row>
    <row r="2518" spans="1:7" ht="12.75" x14ac:dyDescent="0.2">
      <c r="A2518" s="3"/>
      <c r="B2518" s="4"/>
      <c r="G2518" s="19"/>
    </row>
    <row r="2519" spans="1:7" ht="12.75" x14ac:dyDescent="0.2">
      <c r="A2519" s="3"/>
      <c r="B2519" s="4"/>
      <c r="G2519" s="19"/>
    </row>
    <row r="2520" spans="1:7" ht="12.75" x14ac:dyDescent="0.2">
      <c r="A2520" s="3"/>
      <c r="B2520" s="4"/>
      <c r="G2520" s="19"/>
    </row>
    <row r="2521" spans="1:7" ht="12.75" x14ac:dyDescent="0.2">
      <c r="A2521" s="3"/>
      <c r="B2521" s="4"/>
      <c r="G2521" s="19"/>
    </row>
    <row r="2522" spans="1:7" ht="12.75" x14ac:dyDescent="0.2">
      <c r="A2522" s="3"/>
      <c r="B2522" s="4"/>
      <c r="G2522" s="19"/>
    </row>
    <row r="2523" spans="1:7" ht="12.75" x14ac:dyDescent="0.2">
      <c r="A2523" s="3"/>
      <c r="B2523" s="4"/>
      <c r="G2523" s="19"/>
    </row>
    <row r="2524" spans="1:7" ht="12.75" x14ac:dyDescent="0.2">
      <c r="A2524" s="3"/>
      <c r="B2524" s="4"/>
      <c r="G2524" s="19"/>
    </row>
    <row r="2525" spans="1:7" ht="12.75" x14ac:dyDescent="0.2">
      <c r="A2525" s="3"/>
      <c r="B2525" s="4"/>
      <c r="G2525" s="19"/>
    </row>
    <row r="2526" spans="1:7" ht="12.75" x14ac:dyDescent="0.2">
      <c r="A2526" s="3"/>
      <c r="B2526" s="4"/>
      <c r="G2526" s="19"/>
    </row>
    <row r="2527" spans="1:7" ht="12.75" x14ac:dyDescent="0.2">
      <c r="A2527" s="3"/>
      <c r="B2527" s="4"/>
      <c r="G2527" s="19"/>
    </row>
    <row r="2528" spans="1:7" ht="12.75" x14ac:dyDescent="0.2">
      <c r="A2528" s="3"/>
      <c r="B2528" s="4"/>
      <c r="G2528" s="19"/>
    </row>
    <row r="2529" spans="1:7" ht="12.75" x14ac:dyDescent="0.2">
      <c r="A2529" s="3"/>
      <c r="B2529" s="4"/>
      <c r="G2529" s="19"/>
    </row>
    <row r="2530" spans="1:7" ht="12.75" x14ac:dyDescent="0.2">
      <c r="A2530" s="3"/>
      <c r="B2530" s="4"/>
      <c r="G2530" s="19"/>
    </row>
    <row r="2531" spans="1:7" ht="12.75" x14ac:dyDescent="0.2">
      <c r="A2531" s="3"/>
      <c r="B2531" s="4"/>
      <c r="G2531" s="19"/>
    </row>
    <row r="2532" spans="1:7" ht="12.75" x14ac:dyDescent="0.2">
      <c r="A2532" s="3"/>
      <c r="B2532" s="4"/>
      <c r="G2532" s="19"/>
    </row>
    <row r="2533" spans="1:7" ht="12.75" x14ac:dyDescent="0.2">
      <c r="A2533" s="3"/>
      <c r="B2533" s="4"/>
      <c r="G2533" s="19"/>
    </row>
    <row r="2534" spans="1:7" ht="12.75" x14ac:dyDescent="0.2">
      <c r="A2534" s="3"/>
      <c r="B2534" s="4"/>
      <c r="G2534" s="19"/>
    </row>
    <row r="2535" spans="1:7" ht="12.75" x14ac:dyDescent="0.2">
      <c r="A2535" s="3"/>
      <c r="B2535" s="4"/>
      <c r="G2535" s="19"/>
    </row>
    <row r="2536" spans="1:7" ht="12.75" x14ac:dyDescent="0.2">
      <c r="A2536" s="3"/>
      <c r="B2536" s="4"/>
      <c r="G2536" s="19"/>
    </row>
    <row r="2537" spans="1:7" ht="12.75" x14ac:dyDescent="0.2">
      <c r="A2537" s="3"/>
      <c r="B2537" s="4"/>
      <c r="G2537" s="19"/>
    </row>
    <row r="2538" spans="1:7" ht="12.75" x14ac:dyDescent="0.2">
      <c r="A2538" s="3"/>
      <c r="B2538" s="4"/>
      <c r="G2538" s="19"/>
    </row>
    <row r="2539" spans="1:7" ht="12.75" x14ac:dyDescent="0.2">
      <c r="A2539" s="3"/>
      <c r="B2539" s="4"/>
      <c r="G2539" s="19"/>
    </row>
    <row r="2540" spans="1:7" ht="12.75" x14ac:dyDescent="0.2">
      <c r="A2540" s="3"/>
      <c r="B2540" s="4"/>
      <c r="G2540" s="19"/>
    </row>
    <row r="2541" spans="1:7" ht="12.75" x14ac:dyDescent="0.2">
      <c r="A2541" s="3"/>
      <c r="B2541" s="4"/>
      <c r="G2541" s="19"/>
    </row>
    <row r="2542" spans="1:7" ht="12.75" x14ac:dyDescent="0.2">
      <c r="A2542" s="3"/>
      <c r="B2542" s="4"/>
      <c r="G2542" s="19"/>
    </row>
    <row r="2543" spans="1:7" ht="12.75" x14ac:dyDescent="0.2">
      <c r="A2543" s="3"/>
      <c r="B2543" s="4"/>
      <c r="G2543" s="19"/>
    </row>
    <row r="2544" spans="1:7" ht="12.75" x14ac:dyDescent="0.2">
      <c r="A2544" s="3"/>
      <c r="B2544" s="4"/>
      <c r="G2544" s="19"/>
    </row>
    <row r="2545" spans="1:7" ht="12.75" x14ac:dyDescent="0.2">
      <c r="A2545" s="3"/>
      <c r="B2545" s="4"/>
      <c r="G2545" s="19"/>
    </row>
    <row r="2546" spans="1:7" ht="12.75" x14ac:dyDescent="0.2">
      <c r="A2546" s="3"/>
      <c r="B2546" s="4"/>
      <c r="G2546" s="19"/>
    </row>
    <row r="2547" spans="1:7" ht="12.75" x14ac:dyDescent="0.2">
      <c r="A2547" s="3"/>
      <c r="B2547" s="4"/>
      <c r="G2547" s="19"/>
    </row>
    <row r="2548" spans="1:7" ht="12.75" x14ac:dyDescent="0.2">
      <c r="A2548" s="3"/>
      <c r="B2548" s="4"/>
      <c r="G2548" s="19"/>
    </row>
    <row r="2549" spans="1:7" ht="12.75" x14ac:dyDescent="0.2">
      <c r="A2549" s="3"/>
      <c r="B2549" s="4"/>
      <c r="G2549" s="19"/>
    </row>
    <row r="2550" spans="1:7" ht="12.75" x14ac:dyDescent="0.2">
      <c r="A2550" s="3"/>
      <c r="B2550" s="4"/>
      <c r="G2550" s="19"/>
    </row>
    <row r="2551" spans="1:7" ht="12.75" x14ac:dyDescent="0.2">
      <c r="A2551" s="3"/>
      <c r="B2551" s="4"/>
      <c r="G2551" s="19"/>
    </row>
    <row r="2552" spans="1:7" ht="12.75" x14ac:dyDescent="0.2">
      <c r="A2552" s="3"/>
      <c r="B2552" s="4"/>
      <c r="G2552" s="19"/>
    </row>
    <row r="2553" spans="1:7" ht="12.75" x14ac:dyDescent="0.2">
      <c r="A2553" s="3"/>
      <c r="B2553" s="4"/>
      <c r="G2553" s="19"/>
    </row>
    <row r="2554" spans="1:7" ht="12.75" x14ac:dyDescent="0.2">
      <c r="A2554" s="3"/>
      <c r="B2554" s="4"/>
      <c r="G2554" s="19"/>
    </row>
    <row r="2555" spans="1:7" ht="12.75" x14ac:dyDescent="0.2">
      <c r="A2555" s="3"/>
      <c r="B2555" s="4"/>
      <c r="G2555" s="19"/>
    </row>
    <row r="2556" spans="1:7" ht="12.75" x14ac:dyDescent="0.2">
      <c r="A2556" s="3"/>
      <c r="B2556" s="4"/>
      <c r="G2556" s="19"/>
    </row>
    <row r="2557" spans="1:7" ht="12.75" x14ac:dyDescent="0.2">
      <c r="A2557" s="3"/>
      <c r="B2557" s="4"/>
      <c r="G2557" s="19"/>
    </row>
    <row r="2558" spans="1:7" ht="12.75" x14ac:dyDescent="0.2">
      <c r="A2558" s="3"/>
      <c r="B2558" s="4"/>
      <c r="G2558" s="19"/>
    </row>
    <row r="2559" spans="1:7" ht="12.75" x14ac:dyDescent="0.2">
      <c r="A2559" s="3"/>
      <c r="B2559" s="4"/>
      <c r="G2559" s="19"/>
    </row>
    <row r="2560" spans="1:7" ht="12.75" x14ac:dyDescent="0.2">
      <c r="A2560" s="3"/>
      <c r="B2560" s="4"/>
      <c r="G2560" s="19"/>
    </row>
    <row r="2561" spans="1:7" ht="12.75" x14ac:dyDescent="0.2">
      <c r="A2561" s="3"/>
      <c r="B2561" s="4"/>
      <c r="G2561" s="19"/>
    </row>
    <row r="2562" spans="1:7" ht="12.75" x14ac:dyDescent="0.2">
      <c r="A2562" s="3"/>
      <c r="B2562" s="4"/>
      <c r="G2562" s="19"/>
    </row>
    <row r="2563" spans="1:7" ht="12.75" x14ac:dyDescent="0.2">
      <c r="A2563" s="3"/>
      <c r="B2563" s="4"/>
      <c r="G2563" s="19"/>
    </row>
    <row r="2564" spans="1:7" ht="12.75" x14ac:dyDescent="0.2">
      <c r="A2564" s="3"/>
      <c r="B2564" s="4"/>
      <c r="G2564" s="19"/>
    </row>
    <row r="2565" spans="1:7" ht="12.75" x14ac:dyDescent="0.2">
      <c r="A2565" s="3"/>
      <c r="B2565" s="4"/>
      <c r="G2565" s="19"/>
    </row>
    <row r="2566" spans="1:7" ht="12.75" x14ac:dyDescent="0.2">
      <c r="A2566" s="3"/>
      <c r="B2566" s="4"/>
      <c r="G2566" s="19"/>
    </row>
    <row r="2567" spans="1:7" ht="12.75" x14ac:dyDescent="0.2">
      <c r="A2567" s="3"/>
      <c r="B2567" s="4"/>
      <c r="G2567" s="19"/>
    </row>
    <row r="2568" spans="1:7" ht="12.75" x14ac:dyDescent="0.2">
      <c r="A2568" s="3"/>
      <c r="B2568" s="4"/>
      <c r="G2568" s="19"/>
    </row>
    <row r="2569" spans="1:7" ht="12.75" x14ac:dyDescent="0.2">
      <c r="A2569" s="3"/>
      <c r="B2569" s="4"/>
      <c r="G2569" s="19"/>
    </row>
    <row r="2570" spans="1:7" ht="12.75" x14ac:dyDescent="0.2">
      <c r="A2570" s="3"/>
      <c r="B2570" s="4"/>
      <c r="G2570" s="19"/>
    </row>
    <row r="2571" spans="1:7" ht="12.75" x14ac:dyDescent="0.2">
      <c r="A2571" s="3"/>
      <c r="B2571" s="4"/>
      <c r="G2571" s="19"/>
    </row>
    <row r="2572" spans="1:7" ht="12.75" x14ac:dyDescent="0.2">
      <c r="A2572" s="3"/>
      <c r="B2572" s="4"/>
      <c r="G2572" s="19"/>
    </row>
    <row r="2573" spans="1:7" ht="12.75" x14ac:dyDescent="0.2">
      <c r="A2573" s="3"/>
      <c r="B2573" s="4"/>
      <c r="G2573" s="19"/>
    </row>
    <row r="2574" spans="1:7" ht="12.75" x14ac:dyDescent="0.2">
      <c r="A2574" s="3"/>
      <c r="B2574" s="4"/>
      <c r="G2574" s="19"/>
    </row>
    <row r="2575" spans="1:7" ht="12.75" x14ac:dyDescent="0.2">
      <c r="A2575" s="3"/>
      <c r="B2575" s="4"/>
      <c r="G2575" s="19"/>
    </row>
    <row r="2576" spans="1:7" ht="12.75" x14ac:dyDescent="0.2">
      <c r="A2576" s="3"/>
      <c r="B2576" s="4"/>
      <c r="G2576" s="19"/>
    </row>
    <row r="2577" spans="1:7" ht="12.75" x14ac:dyDescent="0.2">
      <c r="A2577" s="3"/>
      <c r="B2577" s="4"/>
      <c r="G2577" s="19"/>
    </row>
    <row r="2578" spans="1:7" ht="12.75" x14ac:dyDescent="0.2">
      <c r="A2578" s="3"/>
      <c r="B2578" s="4"/>
      <c r="G2578" s="19"/>
    </row>
    <row r="2579" spans="1:7" ht="12.75" x14ac:dyDescent="0.2">
      <c r="A2579" s="3"/>
      <c r="B2579" s="4"/>
      <c r="G2579" s="19"/>
    </row>
    <row r="2580" spans="1:7" ht="12.75" x14ac:dyDescent="0.2">
      <c r="A2580" s="3"/>
      <c r="B2580" s="4"/>
      <c r="G2580" s="19"/>
    </row>
    <row r="2581" spans="1:7" ht="12.75" x14ac:dyDescent="0.2">
      <c r="A2581" s="3"/>
      <c r="B2581" s="4"/>
      <c r="G2581" s="19"/>
    </row>
    <row r="2582" spans="1:7" ht="12.75" x14ac:dyDescent="0.2">
      <c r="A2582" s="3"/>
      <c r="B2582" s="4"/>
      <c r="G2582" s="19"/>
    </row>
    <row r="2583" spans="1:7" ht="12.75" x14ac:dyDescent="0.2">
      <c r="A2583" s="3"/>
      <c r="B2583" s="4"/>
      <c r="G2583" s="19"/>
    </row>
    <row r="2584" spans="1:7" ht="12.75" x14ac:dyDescent="0.2">
      <c r="A2584" s="3"/>
      <c r="B2584" s="4"/>
      <c r="G2584" s="19"/>
    </row>
    <row r="2585" spans="1:7" ht="12.75" x14ac:dyDescent="0.2">
      <c r="A2585" s="3"/>
      <c r="B2585" s="4"/>
      <c r="G2585" s="19"/>
    </row>
    <row r="2586" spans="1:7" ht="12.75" x14ac:dyDescent="0.2">
      <c r="A2586" s="3"/>
      <c r="B2586" s="4"/>
      <c r="G2586" s="19"/>
    </row>
    <row r="2587" spans="1:7" ht="12.75" x14ac:dyDescent="0.2">
      <c r="A2587" s="3"/>
      <c r="B2587" s="4"/>
      <c r="G2587" s="19"/>
    </row>
    <row r="2588" spans="1:7" ht="12.75" x14ac:dyDescent="0.2">
      <c r="A2588" s="3"/>
      <c r="B2588" s="4"/>
      <c r="G2588" s="19"/>
    </row>
    <row r="2589" spans="1:7" ht="12.75" x14ac:dyDescent="0.2">
      <c r="A2589" s="3"/>
      <c r="B2589" s="4"/>
      <c r="G2589" s="19"/>
    </row>
    <row r="2590" spans="1:7" ht="12.75" x14ac:dyDescent="0.2">
      <c r="A2590" s="3"/>
      <c r="B2590" s="4"/>
      <c r="G2590" s="19"/>
    </row>
    <row r="2591" spans="1:7" ht="12.75" x14ac:dyDescent="0.2">
      <c r="A2591" s="3"/>
      <c r="B2591" s="4"/>
      <c r="G2591" s="19"/>
    </row>
    <row r="2592" spans="1:7" ht="12.75" x14ac:dyDescent="0.2">
      <c r="A2592" s="3"/>
      <c r="B2592" s="4"/>
      <c r="G2592" s="19"/>
    </row>
    <row r="2593" spans="1:7" ht="12.75" x14ac:dyDescent="0.2">
      <c r="A2593" s="3"/>
      <c r="B2593" s="4"/>
      <c r="G2593" s="19"/>
    </row>
    <row r="2594" spans="1:7" ht="12.75" x14ac:dyDescent="0.2">
      <c r="A2594" s="3"/>
      <c r="B2594" s="4"/>
      <c r="G2594" s="19"/>
    </row>
    <row r="2595" spans="1:7" ht="12.75" x14ac:dyDescent="0.2">
      <c r="A2595" s="3"/>
      <c r="B2595" s="4"/>
      <c r="G2595" s="19"/>
    </row>
    <row r="2596" spans="1:7" ht="12.75" x14ac:dyDescent="0.2">
      <c r="A2596" s="3"/>
      <c r="B2596" s="4"/>
      <c r="G2596" s="19"/>
    </row>
    <row r="2597" spans="1:7" ht="12.75" x14ac:dyDescent="0.2">
      <c r="A2597" s="3"/>
      <c r="B2597" s="4"/>
      <c r="G2597" s="19"/>
    </row>
    <row r="2598" spans="1:7" ht="12.75" x14ac:dyDescent="0.2">
      <c r="A2598" s="3"/>
      <c r="B2598" s="4"/>
      <c r="G2598" s="19"/>
    </row>
    <row r="2599" spans="1:7" ht="12.75" x14ac:dyDescent="0.2">
      <c r="A2599" s="3"/>
      <c r="B2599" s="4"/>
      <c r="G2599" s="19"/>
    </row>
    <row r="2600" spans="1:7" ht="12.75" x14ac:dyDescent="0.2">
      <c r="A2600" s="3"/>
      <c r="B2600" s="4"/>
      <c r="G2600" s="19"/>
    </row>
    <row r="2601" spans="1:7" ht="12.75" x14ac:dyDescent="0.2">
      <c r="A2601" s="3"/>
      <c r="B2601" s="4"/>
      <c r="G2601" s="19"/>
    </row>
    <row r="2602" spans="1:7" ht="12.75" x14ac:dyDescent="0.2">
      <c r="A2602" s="3"/>
      <c r="B2602" s="4"/>
      <c r="G2602" s="19"/>
    </row>
    <row r="2603" spans="1:7" ht="12.75" x14ac:dyDescent="0.2">
      <c r="A2603" s="3"/>
      <c r="B2603" s="4"/>
      <c r="G2603" s="19"/>
    </row>
    <row r="2604" spans="1:7" ht="12.75" x14ac:dyDescent="0.2">
      <c r="A2604" s="3"/>
      <c r="B2604" s="4"/>
      <c r="G2604" s="19"/>
    </row>
    <row r="2605" spans="1:7" ht="12.75" x14ac:dyDescent="0.2">
      <c r="A2605" s="3"/>
      <c r="B2605" s="4"/>
      <c r="G2605" s="19"/>
    </row>
    <row r="2606" spans="1:7" ht="12.75" x14ac:dyDescent="0.2">
      <c r="A2606" s="3"/>
      <c r="B2606" s="4"/>
      <c r="G2606" s="19"/>
    </row>
    <row r="2607" spans="1:7" ht="12.75" x14ac:dyDescent="0.2">
      <c r="A2607" s="3"/>
      <c r="B2607" s="4"/>
      <c r="G2607" s="19"/>
    </row>
    <row r="2608" spans="1:7" ht="12.75" x14ac:dyDescent="0.2">
      <c r="A2608" s="3"/>
      <c r="B2608" s="4"/>
      <c r="G2608" s="19"/>
    </row>
    <row r="2609" spans="1:7" ht="12.75" x14ac:dyDescent="0.2">
      <c r="A2609" s="3"/>
      <c r="B2609" s="4"/>
      <c r="G2609" s="19"/>
    </row>
    <row r="2610" spans="1:7" ht="12.75" x14ac:dyDescent="0.2">
      <c r="A2610" s="3"/>
      <c r="B2610" s="4"/>
      <c r="G2610" s="19"/>
    </row>
    <row r="2611" spans="1:7" ht="12.75" x14ac:dyDescent="0.2">
      <c r="A2611" s="3"/>
      <c r="B2611" s="4"/>
      <c r="G2611" s="19"/>
    </row>
    <row r="2612" spans="1:7" ht="12.75" x14ac:dyDescent="0.2">
      <c r="A2612" s="3"/>
      <c r="B2612" s="4"/>
      <c r="G2612" s="19"/>
    </row>
    <row r="2613" spans="1:7" ht="12.75" x14ac:dyDescent="0.2">
      <c r="A2613" s="3"/>
      <c r="B2613" s="4"/>
      <c r="G2613" s="19"/>
    </row>
    <row r="2614" spans="1:7" ht="12.75" x14ac:dyDescent="0.2">
      <c r="A2614" s="3"/>
      <c r="B2614" s="4"/>
      <c r="G2614" s="19"/>
    </row>
    <row r="2615" spans="1:7" ht="12.75" x14ac:dyDescent="0.2">
      <c r="A2615" s="3"/>
      <c r="B2615" s="4"/>
      <c r="G2615" s="19"/>
    </row>
    <row r="2616" spans="1:7" ht="12.75" x14ac:dyDescent="0.2">
      <c r="A2616" s="3"/>
      <c r="B2616" s="4"/>
      <c r="G2616" s="19"/>
    </row>
    <row r="2617" spans="1:7" ht="12.75" x14ac:dyDescent="0.2">
      <c r="A2617" s="3"/>
      <c r="B2617" s="4"/>
      <c r="G2617" s="19"/>
    </row>
    <row r="2618" spans="1:7" ht="12.75" x14ac:dyDescent="0.2">
      <c r="A2618" s="3"/>
      <c r="B2618" s="4"/>
      <c r="G2618" s="19"/>
    </row>
    <row r="2619" spans="1:7" ht="12.75" x14ac:dyDescent="0.2">
      <c r="A2619" s="3"/>
      <c r="B2619" s="4"/>
      <c r="G2619" s="19"/>
    </row>
    <row r="2620" spans="1:7" ht="12.75" x14ac:dyDescent="0.2">
      <c r="A2620" s="3"/>
      <c r="B2620" s="4"/>
      <c r="G2620" s="19"/>
    </row>
    <row r="2621" spans="1:7" ht="12.75" x14ac:dyDescent="0.2">
      <c r="A2621" s="3"/>
      <c r="B2621" s="4"/>
      <c r="G2621" s="19"/>
    </row>
    <row r="2622" spans="1:7" ht="12.75" x14ac:dyDescent="0.2">
      <c r="A2622" s="3"/>
      <c r="B2622" s="4"/>
      <c r="G2622" s="19"/>
    </row>
    <row r="2623" spans="1:7" ht="12.75" x14ac:dyDescent="0.2">
      <c r="A2623" s="3"/>
      <c r="B2623" s="4"/>
      <c r="G2623" s="19"/>
    </row>
    <row r="2624" spans="1:7" ht="12.75" x14ac:dyDescent="0.2">
      <c r="A2624" s="3"/>
      <c r="B2624" s="4"/>
      <c r="G2624" s="19"/>
    </row>
    <row r="2625" spans="1:7" ht="12.75" x14ac:dyDescent="0.2">
      <c r="A2625" s="3"/>
      <c r="B2625" s="4"/>
      <c r="G2625" s="19"/>
    </row>
    <row r="2626" spans="1:7" ht="12.75" x14ac:dyDescent="0.2">
      <c r="A2626" s="3"/>
      <c r="B2626" s="4"/>
      <c r="G2626" s="19"/>
    </row>
    <row r="2627" spans="1:7" ht="12.75" x14ac:dyDescent="0.2">
      <c r="A2627" s="3"/>
      <c r="B2627" s="4"/>
      <c r="G2627" s="19"/>
    </row>
    <row r="2628" spans="1:7" ht="12.75" x14ac:dyDescent="0.2">
      <c r="A2628" s="3"/>
      <c r="B2628" s="4"/>
      <c r="G2628" s="19"/>
    </row>
    <row r="2629" spans="1:7" ht="12.75" x14ac:dyDescent="0.2">
      <c r="A2629" s="3"/>
      <c r="B2629" s="4"/>
      <c r="G2629" s="19"/>
    </row>
    <row r="2630" spans="1:7" ht="12.75" x14ac:dyDescent="0.2">
      <c r="A2630" s="3"/>
      <c r="B2630" s="4"/>
      <c r="G2630" s="19"/>
    </row>
    <row r="2631" spans="1:7" ht="12.75" x14ac:dyDescent="0.2">
      <c r="A2631" s="3"/>
      <c r="B2631" s="4"/>
      <c r="G2631" s="19"/>
    </row>
    <row r="2632" spans="1:7" ht="12.75" x14ac:dyDescent="0.2">
      <c r="A2632" s="3"/>
      <c r="B2632" s="4"/>
      <c r="G2632" s="19"/>
    </row>
    <row r="2633" spans="1:7" ht="12.75" x14ac:dyDescent="0.2">
      <c r="A2633" s="3"/>
      <c r="B2633" s="4"/>
      <c r="G2633" s="19"/>
    </row>
    <row r="2634" spans="1:7" ht="12.75" x14ac:dyDescent="0.2">
      <c r="A2634" s="3"/>
      <c r="B2634" s="4"/>
      <c r="G2634" s="19"/>
    </row>
    <row r="2635" spans="1:7" ht="12.75" x14ac:dyDescent="0.2">
      <c r="A2635" s="3"/>
      <c r="B2635" s="4"/>
      <c r="G2635" s="19"/>
    </row>
    <row r="2636" spans="1:7" ht="12.75" x14ac:dyDescent="0.2">
      <c r="A2636" s="3"/>
      <c r="B2636" s="4"/>
      <c r="G2636" s="19"/>
    </row>
    <row r="2637" spans="1:7" ht="12.75" x14ac:dyDescent="0.2">
      <c r="A2637" s="3"/>
      <c r="B2637" s="4"/>
      <c r="G2637" s="19"/>
    </row>
    <row r="2638" spans="1:7" ht="12.75" x14ac:dyDescent="0.2">
      <c r="A2638" s="3"/>
      <c r="B2638" s="4"/>
      <c r="G2638" s="19"/>
    </row>
    <row r="2639" spans="1:7" ht="12.75" x14ac:dyDescent="0.2">
      <c r="A2639" s="3"/>
      <c r="B2639" s="4"/>
      <c r="G2639" s="19"/>
    </row>
    <row r="2640" spans="1:7" ht="12.75" x14ac:dyDescent="0.2">
      <c r="A2640" s="3"/>
      <c r="B2640" s="4"/>
      <c r="G2640" s="19"/>
    </row>
    <row r="2641" spans="1:7" ht="12.75" x14ac:dyDescent="0.2">
      <c r="A2641" s="3"/>
      <c r="B2641" s="4"/>
      <c r="G2641" s="19"/>
    </row>
    <row r="2642" spans="1:7" ht="12.75" x14ac:dyDescent="0.2">
      <c r="A2642" s="3"/>
      <c r="B2642" s="4"/>
      <c r="G2642" s="19"/>
    </row>
    <row r="2643" spans="1:7" ht="12.75" x14ac:dyDescent="0.2">
      <c r="A2643" s="3"/>
      <c r="B2643" s="4"/>
      <c r="G2643" s="19"/>
    </row>
    <row r="2644" spans="1:7" ht="12.75" x14ac:dyDescent="0.2">
      <c r="A2644" s="3"/>
      <c r="B2644" s="4"/>
      <c r="G2644" s="19"/>
    </row>
    <row r="2645" spans="1:7" ht="12.75" x14ac:dyDescent="0.2">
      <c r="A2645" s="3"/>
      <c r="B2645" s="4"/>
      <c r="G2645" s="19"/>
    </row>
    <row r="2646" spans="1:7" ht="12.75" x14ac:dyDescent="0.2">
      <c r="A2646" s="3"/>
      <c r="B2646" s="4"/>
      <c r="G2646" s="19"/>
    </row>
    <row r="2647" spans="1:7" ht="12.75" x14ac:dyDescent="0.2">
      <c r="A2647" s="3"/>
      <c r="B2647" s="4"/>
      <c r="G2647" s="19"/>
    </row>
    <row r="2648" spans="1:7" ht="12.75" x14ac:dyDescent="0.2">
      <c r="A2648" s="3"/>
      <c r="B2648" s="4"/>
      <c r="G2648" s="19"/>
    </row>
    <row r="2649" spans="1:7" ht="12.75" x14ac:dyDescent="0.2">
      <c r="A2649" s="3"/>
      <c r="B2649" s="4"/>
      <c r="G2649" s="19"/>
    </row>
    <row r="2650" spans="1:7" ht="12.75" x14ac:dyDescent="0.2">
      <c r="A2650" s="3"/>
      <c r="B2650" s="4"/>
      <c r="G2650" s="19"/>
    </row>
    <row r="2651" spans="1:7" ht="12.75" x14ac:dyDescent="0.2">
      <c r="A2651" s="3"/>
      <c r="B2651" s="4"/>
      <c r="G2651" s="19"/>
    </row>
    <row r="2652" spans="1:7" ht="12.75" x14ac:dyDescent="0.2">
      <c r="A2652" s="3"/>
      <c r="B2652" s="4"/>
      <c r="G2652" s="19"/>
    </row>
    <row r="2653" spans="1:7" ht="12.75" x14ac:dyDescent="0.2">
      <c r="A2653" s="3"/>
      <c r="B2653" s="4"/>
      <c r="G2653" s="19"/>
    </row>
    <row r="2654" spans="1:7" ht="12.75" x14ac:dyDescent="0.2">
      <c r="A2654" s="3"/>
      <c r="B2654" s="4"/>
      <c r="G2654" s="19"/>
    </row>
    <row r="2655" spans="1:7" ht="12.75" x14ac:dyDescent="0.2">
      <c r="A2655" s="3"/>
      <c r="B2655" s="4"/>
      <c r="G2655" s="19"/>
    </row>
    <row r="2656" spans="1:7" ht="12.75" x14ac:dyDescent="0.2">
      <c r="A2656" s="3"/>
      <c r="B2656" s="4"/>
      <c r="G2656" s="19"/>
    </row>
    <row r="2657" spans="1:7" ht="12.75" x14ac:dyDescent="0.2">
      <c r="A2657" s="3"/>
      <c r="B2657" s="4"/>
      <c r="G2657" s="19"/>
    </row>
    <row r="2658" spans="1:7" ht="12.75" x14ac:dyDescent="0.2">
      <c r="A2658" s="3"/>
      <c r="B2658" s="4"/>
      <c r="G2658" s="19"/>
    </row>
    <row r="2659" spans="1:7" ht="12.75" x14ac:dyDescent="0.2">
      <c r="A2659" s="3"/>
      <c r="B2659" s="4"/>
      <c r="G2659" s="19"/>
    </row>
    <row r="2660" spans="1:7" ht="12.75" x14ac:dyDescent="0.2">
      <c r="A2660" s="3"/>
      <c r="B2660" s="4"/>
      <c r="G2660" s="19"/>
    </row>
    <row r="2661" spans="1:7" ht="12.75" x14ac:dyDescent="0.2">
      <c r="A2661" s="3"/>
      <c r="B2661" s="4"/>
      <c r="G2661" s="19"/>
    </row>
    <row r="2662" spans="1:7" ht="12.75" x14ac:dyDescent="0.2">
      <c r="A2662" s="3"/>
      <c r="B2662" s="4"/>
      <c r="G2662" s="19"/>
    </row>
    <row r="2663" spans="1:7" ht="12.75" x14ac:dyDescent="0.2">
      <c r="A2663" s="3"/>
      <c r="B2663" s="4"/>
      <c r="G2663" s="19"/>
    </row>
    <row r="2664" spans="1:7" ht="12.75" x14ac:dyDescent="0.2">
      <c r="A2664" s="3"/>
      <c r="B2664" s="4"/>
      <c r="G2664" s="19"/>
    </row>
    <row r="2665" spans="1:7" ht="12.75" x14ac:dyDescent="0.2">
      <c r="A2665" s="3"/>
      <c r="B2665" s="4"/>
      <c r="G2665" s="19"/>
    </row>
    <row r="2666" spans="1:7" ht="12.75" x14ac:dyDescent="0.2">
      <c r="A2666" s="3"/>
      <c r="B2666" s="4"/>
      <c r="G2666" s="19"/>
    </row>
    <row r="2667" spans="1:7" ht="12.75" x14ac:dyDescent="0.2">
      <c r="A2667" s="3"/>
      <c r="B2667" s="4"/>
      <c r="G2667" s="19"/>
    </row>
    <row r="2668" spans="1:7" ht="12.75" x14ac:dyDescent="0.2">
      <c r="A2668" s="3"/>
      <c r="B2668" s="4"/>
      <c r="G2668" s="19"/>
    </row>
    <row r="2669" spans="1:7" ht="12.75" x14ac:dyDescent="0.2">
      <c r="A2669" s="3"/>
      <c r="B2669" s="4"/>
      <c r="G2669" s="19"/>
    </row>
    <row r="2670" spans="1:7" ht="12.75" x14ac:dyDescent="0.2">
      <c r="A2670" s="3"/>
      <c r="B2670" s="4"/>
      <c r="G2670" s="19"/>
    </row>
    <row r="2671" spans="1:7" ht="12.75" x14ac:dyDescent="0.2">
      <c r="A2671" s="3"/>
      <c r="B2671" s="4"/>
      <c r="G2671" s="19"/>
    </row>
    <row r="2672" spans="1:7" ht="12.75" x14ac:dyDescent="0.2">
      <c r="A2672" s="3"/>
      <c r="B2672" s="4"/>
      <c r="G2672" s="19"/>
    </row>
    <row r="2673" spans="1:7" ht="12.75" x14ac:dyDescent="0.2">
      <c r="A2673" s="3"/>
      <c r="B2673" s="4"/>
      <c r="G2673" s="19"/>
    </row>
    <row r="2674" spans="1:7" ht="12.75" x14ac:dyDescent="0.2">
      <c r="A2674" s="3"/>
      <c r="B2674" s="4"/>
      <c r="G2674" s="19"/>
    </row>
    <row r="2675" spans="1:7" ht="12.75" x14ac:dyDescent="0.2">
      <c r="A2675" s="3"/>
      <c r="B2675" s="4"/>
      <c r="G2675" s="19"/>
    </row>
    <row r="2676" spans="1:7" ht="12.75" x14ac:dyDescent="0.2">
      <c r="A2676" s="3"/>
      <c r="B2676" s="4"/>
      <c r="G2676" s="19"/>
    </row>
    <row r="2677" spans="1:7" ht="12.75" x14ac:dyDescent="0.2">
      <c r="A2677" s="3"/>
      <c r="B2677" s="4"/>
      <c r="G2677" s="19"/>
    </row>
    <row r="2678" spans="1:7" ht="12.75" x14ac:dyDescent="0.2">
      <c r="A2678" s="3"/>
      <c r="B2678" s="4"/>
      <c r="G2678" s="19"/>
    </row>
    <row r="2679" spans="1:7" ht="12.75" x14ac:dyDescent="0.2">
      <c r="A2679" s="3"/>
      <c r="B2679" s="4"/>
      <c r="G2679" s="19"/>
    </row>
    <row r="2680" spans="1:7" ht="12.75" x14ac:dyDescent="0.2">
      <c r="A2680" s="3"/>
      <c r="B2680" s="4"/>
      <c r="G2680" s="19"/>
    </row>
    <row r="2681" spans="1:7" ht="12.75" x14ac:dyDescent="0.2">
      <c r="A2681" s="3"/>
      <c r="B2681" s="4"/>
      <c r="G2681" s="19"/>
    </row>
    <row r="2682" spans="1:7" ht="12.75" x14ac:dyDescent="0.2">
      <c r="A2682" s="3"/>
      <c r="B2682" s="4"/>
      <c r="G2682" s="19"/>
    </row>
    <row r="2683" spans="1:7" ht="12.75" x14ac:dyDescent="0.2">
      <c r="A2683" s="3"/>
      <c r="B2683" s="4"/>
      <c r="G2683" s="19"/>
    </row>
    <row r="2684" spans="1:7" ht="12.75" x14ac:dyDescent="0.2">
      <c r="A2684" s="3"/>
      <c r="B2684" s="4"/>
      <c r="G2684" s="19"/>
    </row>
    <row r="2685" spans="1:7" ht="12.75" x14ac:dyDescent="0.2">
      <c r="A2685" s="3"/>
      <c r="B2685" s="4"/>
      <c r="G2685" s="19"/>
    </row>
    <row r="2686" spans="1:7" ht="12.75" x14ac:dyDescent="0.2">
      <c r="A2686" s="3"/>
      <c r="B2686" s="4"/>
      <c r="G2686" s="19"/>
    </row>
    <row r="2687" spans="1:7" ht="12.75" x14ac:dyDescent="0.2">
      <c r="A2687" s="3"/>
      <c r="B2687" s="4"/>
      <c r="G2687" s="19"/>
    </row>
    <row r="2688" spans="1:7" ht="12.75" x14ac:dyDescent="0.2">
      <c r="A2688" s="3"/>
      <c r="B2688" s="4"/>
      <c r="G2688" s="19"/>
    </row>
    <row r="2689" spans="1:7" ht="12.75" x14ac:dyDescent="0.2">
      <c r="A2689" s="3"/>
      <c r="B2689" s="4"/>
      <c r="G2689" s="19"/>
    </row>
    <row r="2690" spans="1:7" ht="12.75" x14ac:dyDescent="0.2">
      <c r="A2690" s="3"/>
      <c r="B2690" s="4"/>
      <c r="G2690" s="19"/>
    </row>
    <row r="2691" spans="1:7" ht="12.75" x14ac:dyDescent="0.2">
      <c r="A2691" s="3"/>
      <c r="B2691" s="4"/>
      <c r="G2691" s="19"/>
    </row>
    <row r="2692" spans="1:7" ht="12.75" x14ac:dyDescent="0.2">
      <c r="A2692" s="3"/>
      <c r="B2692" s="4"/>
      <c r="G2692" s="19"/>
    </row>
    <row r="2693" spans="1:7" ht="12.75" x14ac:dyDescent="0.2">
      <c r="A2693" s="3"/>
      <c r="B2693" s="4"/>
      <c r="G2693" s="19"/>
    </row>
    <row r="2694" spans="1:7" ht="12.75" x14ac:dyDescent="0.2">
      <c r="A2694" s="3"/>
      <c r="B2694" s="4"/>
      <c r="G2694" s="19"/>
    </row>
    <row r="2695" spans="1:7" ht="12.75" x14ac:dyDescent="0.2">
      <c r="A2695" s="3"/>
      <c r="B2695" s="4"/>
      <c r="G2695" s="19"/>
    </row>
    <row r="2696" spans="1:7" ht="12.75" x14ac:dyDescent="0.2">
      <c r="A2696" s="3"/>
      <c r="B2696" s="4"/>
      <c r="G2696" s="19"/>
    </row>
    <row r="2697" spans="1:7" ht="12.75" x14ac:dyDescent="0.2">
      <c r="A2697" s="3"/>
      <c r="B2697" s="4"/>
      <c r="G2697" s="19"/>
    </row>
    <row r="2698" spans="1:7" ht="12.75" x14ac:dyDescent="0.2">
      <c r="A2698" s="3"/>
      <c r="B2698" s="4"/>
      <c r="G2698" s="19"/>
    </row>
    <row r="2699" spans="1:7" ht="12.75" x14ac:dyDescent="0.2">
      <c r="A2699" s="3"/>
      <c r="B2699" s="4"/>
      <c r="G2699" s="19"/>
    </row>
    <row r="2700" spans="1:7" ht="12.75" x14ac:dyDescent="0.2">
      <c r="A2700" s="3"/>
      <c r="B2700" s="4"/>
      <c r="G2700" s="19"/>
    </row>
    <row r="2701" spans="1:7" ht="12.75" x14ac:dyDescent="0.2">
      <c r="A2701" s="3"/>
      <c r="B2701" s="4"/>
      <c r="G2701" s="19"/>
    </row>
    <row r="2702" spans="1:7" ht="12.75" x14ac:dyDescent="0.2">
      <c r="A2702" s="3"/>
      <c r="B2702" s="4"/>
      <c r="G2702" s="19"/>
    </row>
    <row r="2703" spans="1:7" ht="12.75" x14ac:dyDescent="0.2">
      <c r="A2703" s="3"/>
      <c r="B2703" s="4"/>
      <c r="G2703" s="19"/>
    </row>
    <row r="2704" spans="1:7" ht="12.75" x14ac:dyDescent="0.2">
      <c r="A2704" s="3"/>
      <c r="B2704" s="4"/>
      <c r="G2704" s="19"/>
    </row>
    <row r="2705" spans="1:7" ht="12.75" x14ac:dyDescent="0.2">
      <c r="A2705" s="3"/>
      <c r="B2705" s="4"/>
      <c r="G2705" s="19"/>
    </row>
    <row r="2706" spans="1:7" ht="12.75" x14ac:dyDescent="0.2">
      <c r="A2706" s="3"/>
      <c r="B2706" s="4"/>
      <c r="G2706" s="19"/>
    </row>
    <row r="2707" spans="1:7" ht="12.75" x14ac:dyDescent="0.2">
      <c r="A2707" s="3"/>
      <c r="B2707" s="4"/>
      <c r="G2707" s="19"/>
    </row>
    <row r="2708" spans="1:7" ht="12.75" x14ac:dyDescent="0.2">
      <c r="A2708" s="3"/>
      <c r="B2708" s="4"/>
      <c r="G2708" s="19"/>
    </row>
    <row r="2709" spans="1:7" ht="12.75" x14ac:dyDescent="0.2">
      <c r="A2709" s="3"/>
      <c r="B2709" s="4"/>
      <c r="G2709" s="19"/>
    </row>
    <row r="2710" spans="1:7" ht="12.75" x14ac:dyDescent="0.2">
      <c r="A2710" s="3"/>
      <c r="B2710" s="4"/>
      <c r="G2710" s="19"/>
    </row>
    <row r="2711" spans="1:7" ht="12.75" x14ac:dyDescent="0.2">
      <c r="A2711" s="3"/>
      <c r="B2711" s="4"/>
      <c r="G2711" s="19"/>
    </row>
    <row r="2712" spans="1:7" ht="12.75" x14ac:dyDescent="0.2">
      <c r="A2712" s="3"/>
      <c r="B2712" s="4"/>
      <c r="G2712" s="19"/>
    </row>
    <row r="2713" spans="1:7" ht="12.75" x14ac:dyDescent="0.2">
      <c r="A2713" s="3"/>
      <c r="B2713" s="4"/>
      <c r="G2713" s="19"/>
    </row>
    <row r="2714" spans="1:7" ht="12.75" x14ac:dyDescent="0.2">
      <c r="A2714" s="3"/>
      <c r="B2714" s="4"/>
      <c r="G2714" s="19"/>
    </row>
    <row r="2715" spans="1:7" ht="12.75" x14ac:dyDescent="0.2">
      <c r="A2715" s="3"/>
      <c r="B2715" s="4"/>
      <c r="G2715" s="19"/>
    </row>
    <row r="2716" spans="1:7" ht="12.75" x14ac:dyDescent="0.2">
      <c r="A2716" s="3"/>
      <c r="B2716" s="4"/>
      <c r="G2716" s="19"/>
    </row>
    <row r="2717" spans="1:7" ht="12.75" x14ac:dyDescent="0.2">
      <c r="A2717" s="3"/>
      <c r="B2717" s="4"/>
      <c r="G2717" s="19"/>
    </row>
    <row r="2718" spans="1:7" ht="12.75" x14ac:dyDescent="0.2">
      <c r="A2718" s="3"/>
      <c r="B2718" s="4"/>
      <c r="G2718" s="19"/>
    </row>
    <row r="2719" spans="1:7" ht="12.75" x14ac:dyDescent="0.2">
      <c r="A2719" s="3"/>
      <c r="B2719" s="4"/>
      <c r="G2719" s="19"/>
    </row>
    <row r="2720" spans="1:7" ht="12.75" x14ac:dyDescent="0.2">
      <c r="A2720" s="3"/>
      <c r="B2720" s="4"/>
      <c r="G2720" s="19"/>
    </row>
    <row r="2721" spans="1:7" ht="12.75" x14ac:dyDescent="0.2">
      <c r="A2721" s="3"/>
      <c r="B2721" s="4"/>
      <c r="G2721" s="19"/>
    </row>
    <row r="2722" spans="1:7" ht="12.75" x14ac:dyDescent="0.2">
      <c r="A2722" s="3"/>
      <c r="B2722" s="4"/>
      <c r="G2722" s="19"/>
    </row>
    <row r="2723" spans="1:7" ht="12.75" x14ac:dyDescent="0.2">
      <c r="A2723" s="3"/>
      <c r="B2723" s="4"/>
      <c r="G2723" s="19"/>
    </row>
    <row r="2724" spans="1:7" ht="12.75" x14ac:dyDescent="0.2">
      <c r="A2724" s="3"/>
      <c r="B2724" s="4"/>
      <c r="G2724" s="19"/>
    </row>
    <row r="2725" spans="1:7" ht="12.75" x14ac:dyDescent="0.2">
      <c r="A2725" s="3"/>
      <c r="B2725" s="4"/>
      <c r="G2725" s="19"/>
    </row>
    <row r="2726" spans="1:7" ht="12.75" x14ac:dyDescent="0.2">
      <c r="A2726" s="3"/>
      <c r="B2726" s="4"/>
      <c r="G2726" s="19"/>
    </row>
    <row r="2727" spans="1:7" ht="12.75" x14ac:dyDescent="0.2">
      <c r="A2727" s="3"/>
      <c r="B2727" s="4"/>
      <c r="G2727" s="19"/>
    </row>
    <row r="2728" spans="1:7" ht="12.75" x14ac:dyDescent="0.2">
      <c r="A2728" s="3"/>
      <c r="B2728" s="4"/>
      <c r="G2728" s="19"/>
    </row>
    <row r="2729" spans="1:7" ht="12.75" x14ac:dyDescent="0.2">
      <c r="A2729" s="3"/>
      <c r="B2729" s="4"/>
      <c r="G2729" s="19"/>
    </row>
    <row r="2730" spans="1:7" ht="12.75" x14ac:dyDescent="0.2">
      <c r="A2730" s="3"/>
      <c r="B2730" s="4"/>
      <c r="G2730" s="19"/>
    </row>
    <row r="2731" spans="1:7" ht="12.75" x14ac:dyDescent="0.2">
      <c r="A2731" s="3"/>
      <c r="B2731" s="4"/>
      <c r="G2731" s="19"/>
    </row>
    <row r="2732" spans="1:7" ht="12.75" x14ac:dyDescent="0.2">
      <c r="A2732" s="3"/>
      <c r="B2732" s="4"/>
      <c r="G2732" s="19"/>
    </row>
    <row r="2733" spans="1:7" ht="12.75" x14ac:dyDescent="0.2">
      <c r="A2733" s="3"/>
      <c r="B2733" s="4"/>
      <c r="G2733" s="19"/>
    </row>
    <row r="2734" spans="1:7" ht="12.75" x14ac:dyDescent="0.2">
      <c r="A2734" s="3"/>
      <c r="B2734" s="4"/>
      <c r="G2734" s="19"/>
    </row>
    <row r="2735" spans="1:7" ht="12.75" x14ac:dyDescent="0.2">
      <c r="A2735" s="3"/>
      <c r="B2735" s="4"/>
      <c r="G2735" s="19"/>
    </row>
    <row r="2736" spans="1:7" ht="12.75" x14ac:dyDescent="0.2">
      <c r="A2736" s="3"/>
      <c r="B2736" s="4"/>
      <c r="G2736" s="19"/>
    </row>
    <row r="2737" spans="1:7" ht="12.75" x14ac:dyDescent="0.2">
      <c r="A2737" s="3"/>
      <c r="B2737" s="4"/>
      <c r="G2737" s="19"/>
    </row>
    <row r="2738" spans="1:7" ht="12.75" x14ac:dyDescent="0.2">
      <c r="A2738" s="3"/>
      <c r="B2738" s="4"/>
      <c r="G2738" s="19"/>
    </row>
    <row r="2739" spans="1:7" ht="12.75" x14ac:dyDescent="0.2">
      <c r="A2739" s="3"/>
      <c r="B2739" s="4"/>
      <c r="G2739" s="19"/>
    </row>
    <row r="2740" spans="1:7" ht="12.75" x14ac:dyDescent="0.2">
      <c r="A2740" s="3"/>
      <c r="B2740" s="4"/>
      <c r="G2740" s="19"/>
    </row>
    <row r="2741" spans="1:7" ht="12.75" x14ac:dyDescent="0.2">
      <c r="A2741" s="3"/>
      <c r="B2741" s="4"/>
      <c r="G2741" s="19"/>
    </row>
    <row r="2742" spans="1:7" ht="12.75" x14ac:dyDescent="0.2">
      <c r="A2742" s="3"/>
      <c r="B2742" s="4"/>
      <c r="G2742" s="19"/>
    </row>
    <row r="2743" spans="1:7" ht="12.75" x14ac:dyDescent="0.2">
      <c r="A2743" s="3"/>
      <c r="B2743" s="4"/>
      <c r="G2743" s="19"/>
    </row>
    <row r="2744" spans="1:7" ht="12.75" x14ac:dyDescent="0.2">
      <c r="A2744" s="3"/>
      <c r="B2744" s="4"/>
      <c r="G2744" s="19"/>
    </row>
    <row r="2745" spans="1:7" ht="12.75" x14ac:dyDescent="0.2">
      <c r="A2745" s="3"/>
      <c r="B2745" s="4"/>
      <c r="G2745" s="19"/>
    </row>
    <row r="2746" spans="1:7" ht="12.75" x14ac:dyDescent="0.2">
      <c r="A2746" s="3"/>
      <c r="B2746" s="4"/>
      <c r="G2746" s="19"/>
    </row>
    <row r="2747" spans="1:7" ht="12.75" x14ac:dyDescent="0.2">
      <c r="A2747" s="3"/>
      <c r="B2747" s="4"/>
      <c r="G2747" s="19"/>
    </row>
    <row r="2748" spans="1:7" ht="12.75" x14ac:dyDescent="0.2">
      <c r="A2748" s="3"/>
      <c r="B2748" s="4"/>
      <c r="G2748" s="19"/>
    </row>
    <row r="2749" spans="1:7" ht="12.75" x14ac:dyDescent="0.2">
      <c r="A2749" s="3"/>
      <c r="B2749" s="4"/>
      <c r="G2749" s="19"/>
    </row>
    <row r="2750" spans="1:7" ht="12.75" x14ac:dyDescent="0.2">
      <c r="A2750" s="3"/>
      <c r="B2750" s="4"/>
      <c r="G2750" s="19"/>
    </row>
    <row r="2751" spans="1:7" ht="12.75" x14ac:dyDescent="0.2">
      <c r="A2751" s="3"/>
      <c r="B2751" s="4"/>
      <c r="G2751" s="19"/>
    </row>
    <row r="2752" spans="1:7" ht="12.75" x14ac:dyDescent="0.2">
      <c r="A2752" s="3"/>
      <c r="B2752" s="4"/>
      <c r="G2752" s="19"/>
    </row>
    <row r="2753" spans="1:7" ht="12.75" x14ac:dyDescent="0.2">
      <c r="A2753" s="3"/>
      <c r="B2753" s="4"/>
      <c r="G2753" s="19"/>
    </row>
    <row r="2754" spans="1:7" ht="12.75" x14ac:dyDescent="0.2">
      <c r="A2754" s="3"/>
      <c r="B2754" s="4"/>
      <c r="G2754" s="19"/>
    </row>
    <row r="2755" spans="1:7" ht="12.75" x14ac:dyDescent="0.2">
      <c r="A2755" s="3"/>
      <c r="B2755" s="4"/>
      <c r="G2755" s="19"/>
    </row>
    <row r="2756" spans="1:7" ht="12.75" x14ac:dyDescent="0.2">
      <c r="A2756" s="3"/>
      <c r="B2756" s="4"/>
      <c r="G2756" s="19"/>
    </row>
    <row r="2757" spans="1:7" ht="12.75" x14ac:dyDescent="0.2">
      <c r="A2757" s="3"/>
      <c r="B2757" s="4"/>
      <c r="G2757" s="19"/>
    </row>
    <row r="2758" spans="1:7" ht="12.75" x14ac:dyDescent="0.2">
      <c r="A2758" s="3"/>
      <c r="B2758" s="4"/>
      <c r="G2758" s="19"/>
    </row>
    <row r="2759" spans="1:7" ht="12.75" x14ac:dyDescent="0.2">
      <c r="A2759" s="3"/>
      <c r="B2759" s="4"/>
      <c r="G2759" s="19"/>
    </row>
    <row r="2760" spans="1:7" ht="12.75" x14ac:dyDescent="0.2">
      <c r="A2760" s="3"/>
      <c r="B2760" s="4"/>
      <c r="G2760" s="19"/>
    </row>
    <row r="2761" spans="1:7" ht="12.75" x14ac:dyDescent="0.2">
      <c r="A2761" s="3"/>
      <c r="B2761" s="4"/>
      <c r="G2761" s="19"/>
    </row>
    <row r="2762" spans="1:7" ht="12.75" x14ac:dyDescent="0.2">
      <c r="A2762" s="3"/>
      <c r="B2762" s="4"/>
      <c r="G2762" s="19"/>
    </row>
    <row r="2763" spans="1:7" ht="12.75" x14ac:dyDescent="0.2">
      <c r="A2763" s="3"/>
      <c r="B2763" s="4"/>
      <c r="G2763" s="19"/>
    </row>
    <row r="2764" spans="1:7" ht="12.75" x14ac:dyDescent="0.2">
      <c r="A2764" s="3"/>
      <c r="B2764" s="4"/>
      <c r="G2764" s="19"/>
    </row>
    <row r="2765" spans="1:7" ht="12.75" x14ac:dyDescent="0.2">
      <c r="A2765" s="3"/>
      <c r="B2765" s="4"/>
      <c r="G2765" s="19"/>
    </row>
    <row r="2766" spans="1:7" ht="12.75" x14ac:dyDescent="0.2">
      <c r="A2766" s="3"/>
      <c r="B2766" s="4"/>
      <c r="G2766" s="19"/>
    </row>
    <row r="2767" spans="1:7" ht="12.75" x14ac:dyDescent="0.2">
      <c r="A2767" s="3"/>
      <c r="B2767" s="4"/>
      <c r="G2767" s="19"/>
    </row>
    <row r="2768" spans="1:7" ht="12.75" x14ac:dyDescent="0.2">
      <c r="A2768" s="3"/>
      <c r="B2768" s="4"/>
      <c r="G2768" s="19"/>
    </row>
    <row r="2769" spans="1:7" ht="12.75" x14ac:dyDescent="0.2">
      <c r="A2769" s="3"/>
      <c r="B2769" s="4"/>
      <c r="G2769" s="19"/>
    </row>
    <row r="2770" spans="1:7" ht="12.75" x14ac:dyDescent="0.2">
      <c r="A2770" s="3"/>
      <c r="B2770" s="4"/>
      <c r="G2770" s="19"/>
    </row>
    <row r="2771" spans="1:7" ht="12.75" x14ac:dyDescent="0.2">
      <c r="A2771" s="3"/>
      <c r="B2771" s="4"/>
      <c r="G2771" s="19"/>
    </row>
    <row r="2772" spans="1:7" ht="12.75" x14ac:dyDescent="0.2">
      <c r="A2772" s="3"/>
      <c r="B2772" s="4"/>
      <c r="G2772" s="19"/>
    </row>
    <row r="2773" spans="1:7" ht="12.75" x14ac:dyDescent="0.2">
      <c r="A2773" s="3"/>
      <c r="B2773" s="4"/>
      <c r="G2773" s="19"/>
    </row>
    <row r="2774" spans="1:7" ht="12.75" x14ac:dyDescent="0.2">
      <c r="A2774" s="3"/>
      <c r="B2774" s="4"/>
      <c r="G2774" s="19"/>
    </row>
    <row r="2775" spans="1:7" ht="12.75" x14ac:dyDescent="0.2">
      <c r="A2775" s="3"/>
      <c r="B2775" s="4"/>
      <c r="G2775" s="19"/>
    </row>
    <row r="2776" spans="1:7" ht="12.75" x14ac:dyDescent="0.2">
      <c r="A2776" s="3"/>
      <c r="B2776" s="4"/>
      <c r="G2776" s="19"/>
    </row>
    <row r="2777" spans="1:7" ht="12.75" x14ac:dyDescent="0.2">
      <c r="A2777" s="3"/>
      <c r="B2777" s="4"/>
      <c r="G2777" s="19"/>
    </row>
    <row r="2778" spans="1:7" ht="12.75" x14ac:dyDescent="0.2">
      <c r="A2778" s="3"/>
      <c r="B2778" s="4"/>
      <c r="G2778" s="19"/>
    </row>
    <row r="2779" spans="1:7" ht="12.75" x14ac:dyDescent="0.2">
      <c r="A2779" s="3"/>
      <c r="B2779" s="4"/>
      <c r="G2779" s="19"/>
    </row>
    <row r="2780" spans="1:7" ht="12.75" x14ac:dyDescent="0.2">
      <c r="A2780" s="3"/>
      <c r="B2780" s="4"/>
      <c r="G2780" s="19"/>
    </row>
    <row r="2781" spans="1:7" ht="12.75" x14ac:dyDescent="0.2">
      <c r="A2781" s="3"/>
      <c r="B2781" s="4"/>
      <c r="G2781" s="19"/>
    </row>
    <row r="2782" spans="1:7" ht="12.75" x14ac:dyDescent="0.2">
      <c r="A2782" s="3"/>
      <c r="B2782" s="4"/>
      <c r="G2782" s="19"/>
    </row>
    <row r="2783" spans="1:7" ht="12.75" x14ac:dyDescent="0.2">
      <c r="A2783" s="3"/>
      <c r="B2783" s="4"/>
      <c r="G2783" s="19"/>
    </row>
    <row r="2784" spans="1:7" ht="12.75" x14ac:dyDescent="0.2">
      <c r="A2784" s="3"/>
      <c r="B2784" s="4"/>
      <c r="G2784" s="19"/>
    </row>
    <row r="2785" spans="1:7" ht="12.75" x14ac:dyDescent="0.2">
      <c r="A2785" s="3"/>
      <c r="B2785" s="4"/>
      <c r="G2785" s="19"/>
    </row>
    <row r="2786" spans="1:7" ht="12.75" x14ac:dyDescent="0.2">
      <c r="A2786" s="3"/>
      <c r="B2786" s="4"/>
      <c r="G2786" s="19"/>
    </row>
    <row r="2787" spans="1:7" ht="12.75" x14ac:dyDescent="0.2">
      <c r="A2787" s="3"/>
      <c r="B2787" s="4"/>
      <c r="G2787" s="19"/>
    </row>
    <row r="2788" spans="1:7" ht="12.75" x14ac:dyDescent="0.2">
      <c r="A2788" s="3"/>
      <c r="B2788" s="4"/>
      <c r="G2788" s="19"/>
    </row>
    <row r="2789" spans="1:7" ht="12.75" x14ac:dyDescent="0.2">
      <c r="A2789" s="3"/>
      <c r="B2789" s="4"/>
      <c r="G2789" s="19"/>
    </row>
    <row r="2790" spans="1:7" ht="12.75" x14ac:dyDescent="0.2">
      <c r="A2790" s="3"/>
      <c r="B2790" s="4"/>
      <c r="G2790" s="19"/>
    </row>
    <row r="2791" spans="1:7" ht="12.75" x14ac:dyDescent="0.2">
      <c r="A2791" s="3"/>
      <c r="B2791" s="4"/>
      <c r="G2791" s="19"/>
    </row>
    <row r="2792" spans="1:7" ht="12.75" x14ac:dyDescent="0.2">
      <c r="A2792" s="3"/>
      <c r="B2792" s="4"/>
      <c r="G2792" s="19"/>
    </row>
    <row r="2793" spans="1:7" ht="12.75" x14ac:dyDescent="0.2">
      <c r="A2793" s="3"/>
      <c r="B2793" s="4"/>
      <c r="G2793" s="19"/>
    </row>
    <row r="2794" spans="1:7" ht="12.75" x14ac:dyDescent="0.2">
      <c r="A2794" s="3"/>
      <c r="B2794" s="4"/>
      <c r="G2794" s="19"/>
    </row>
    <row r="2795" spans="1:7" ht="12.75" x14ac:dyDescent="0.2">
      <c r="A2795" s="3"/>
      <c r="B2795" s="4"/>
      <c r="G2795" s="19"/>
    </row>
    <row r="2796" spans="1:7" ht="12.75" x14ac:dyDescent="0.2">
      <c r="A2796" s="3"/>
      <c r="B2796" s="4"/>
      <c r="G2796" s="19"/>
    </row>
    <row r="2797" spans="1:7" ht="12.75" x14ac:dyDescent="0.2">
      <c r="A2797" s="3"/>
      <c r="B2797" s="4"/>
      <c r="G2797" s="19"/>
    </row>
    <row r="2798" spans="1:7" ht="12.75" x14ac:dyDescent="0.2">
      <c r="A2798" s="3"/>
      <c r="B2798" s="4"/>
      <c r="G2798" s="19"/>
    </row>
    <row r="2799" spans="1:7" ht="12.75" x14ac:dyDescent="0.2">
      <c r="A2799" s="3"/>
      <c r="B2799" s="4"/>
      <c r="G2799" s="19"/>
    </row>
    <row r="2800" spans="1:7" ht="12.75" x14ac:dyDescent="0.2">
      <c r="A2800" s="3"/>
      <c r="B2800" s="4"/>
      <c r="G2800" s="19"/>
    </row>
    <row r="2801" spans="1:7" ht="12.75" x14ac:dyDescent="0.2">
      <c r="A2801" s="3"/>
      <c r="B2801" s="4"/>
      <c r="G2801" s="19"/>
    </row>
    <row r="2802" spans="1:7" ht="12.75" x14ac:dyDescent="0.2">
      <c r="A2802" s="3"/>
      <c r="B2802" s="4"/>
      <c r="G2802" s="19"/>
    </row>
    <row r="2803" spans="1:7" ht="12.75" x14ac:dyDescent="0.2">
      <c r="A2803" s="3"/>
      <c r="B2803" s="4"/>
      <c r="G2803" s="19"/>
    </row>
    <row r="2804" spans="1:7" ht="12.75" x14ac:dyDescent="0.2">
      <c r="A2804" s="3"/>
      <c r="B2804" s="4"/>
      <c r="G2804" s="19"/>
    </row>
    <row r="2805" spans="1:7" ht="12.75" x14ac:dyDescent="0.2">
      <c r="A2805" s="3"/>
      <c r="B2805" s="4"/>
      <c r="G2805" s="19"/>
    </row>
    <row r="2806" spans="1:7" ht="12.75" x14ac:dyDescent="0.2">
      <c r="A2806" s="3"/>
      <c r="B2806" s="4"/>
      <c r="G2806" s="19"/>
    </row>
    <row r="2807" spans="1:7" ht="12.75" x14ac:dyDescent="0.2">
      <c r="A2807" s="3"/>
      <c r="B2807" s="4"/>
      <c r="G2807" s="19"/>
    </row>
    <row r="2808" spans="1:7" ht="12.75" x14ac:dyDescent="0.2">
      <c r="A2808" s="3"/>
      <c r="B2808" s="4"/>
      <c r="G2808" s="19"/>
    </row>
    <row r="2809" spans="1:7" ht="12.75" x14ac:dyDescent="0.2">
      <c r="A2809" s="3"/>
      <c r="B2809" s="4"/>
      <c r="G2809" s="19"/>
    </row>
    <row r="2810" spans="1:7" ht="12.75" x14ac:dyDescent="0.2">
      <c r="A2810" s="3"/>
      <c r="B2810" s="4"/>
      <c r="G2810" s="19"/>
    </row>
    <row r="2811" spans="1:7" ht="12.75" x14ac:dyDescent="0.2">
      <c r="A2811" s="3"/>
      <c r="B2811" s="4"/>
      <c r="G2811" s="19"/>
    </row>
    <row r="2812" spans="1:7" ht="12.75" x14ac:dyDescent="0.2">
      <c r="A2812" s="3"/>
      <c r="B2812" s="4"/>
      <c r="G2812" s="19"/>
    </row>
    <row r="2813" spans="1:7" ht="12.75" x14ac:dyDescent="0.2">
      <c r="A2813" s="3"/>
      <c r="B2813" s="4"/>
      <c r="G2813" s="19"/>
    </row>
    <row r="2814" spans="1:7" ht="12.75" x14ac:dyDescent="0.2">
      <c r="A2814" s="3"/>
      <c r="B2814" s="4"/>
      <c r="G2814" s="19"/>
    </row>
    <row r="2815" spans="1:7" ht="12.75" x14ac:dyDescent="0.2">
      <c r="A2815" s="3"/>
      <c r="B2815" s="4"/>
      <c r="G2815" s="19"/>
    </row>
    <row r="2816" spans="1:7" ht="12.75" x14ac:dyDescent="0.2">
      <c r="A2816" s="3"/>
      <c r="B2816" s="4"/>
      <c r="G2816" s="19"/>
    </row>
    <row r="2817" spans="1:7" ht="12.75" x14ac:dyDescent="0.2">
      <c r="A2817" s="3"/>
      <c r="B2817" s="4"/>
      <c r="G2817" s="19"/>
    </row>
    <row r="2818" spans="1:7" ht="12.75" x14ac:dyDescent="0.2">
      <c r="A2818" s="3"/>
      <c r="B2818" s="4"/>
      <c r="G2818" s="19"/>
    </row>
    <row r="2819" spans="1:7" ht="12.75" x14ac:dyDescent="0.2">
      <c r="A2819" s="3"/>
      <c r="B2819" s="4"/>
      <c r="G2819" s="19"/>
    </row>
    <row r="2820" spans="1:7" ht="12.75" x14ac:dyDescent="0.2">
      <c r="A2820" s="3"/>
      <c r="B2820" s="4"/>
      <c r="G2820" s="19"/>
    </row>
    <row r="2821" spans="1:7" ht="12.75" x14ac:dyDescent="0.2">
      <c r="A2821" s="3"/>
      <c r="B2821" s="4"/>
      <c r="G2821" s="19"/>
    </row>
    <row r="2822" spans="1:7" ht="12.75" x14ac:dyDescent="0.2">
      <c r="A2822" s="3"/>
      <c r="B2822" s="4"/>
      <c r="G2822" s="19"/>
    </row>
    <row r="2823" spans="1:7" ht="12.75" x14ac:dyDescent="0.2">
      <c r="A2823" s="3"/>
      <c r="B2823" s="4"/>
      <c r="G2823" s="19"/>
    </row>
    <row r="2824" spans="1:7" ht="12.75" x14ac:dyDescent="0.2">
      <c r="A2824" s="3"/>
      <c r="B2824" s="4"/>
      <c r="G2824" s="19"/>
    </row>
    <row r="2825" spans="1:7" ht="12.75" x14ac:dyDescent="0.2">
      <c r="A2825" s="3"/>
      <c r="B2825" s="4"/>
      <c r="G2825" s="19"/>
    </row>
    <row r="2826" spans="1:7" ht="12.75" x14ac:dyDescent="0.2">
      <c r="A2826" s="3"/>
      <c r="B2826" s="4"/>
      <c r="G2826" s="19"/>
    </row>
    <row r="2827" spans="1:7" ht="12.75" x14ac:dyDescent="0.2">
      <c r="A2827" s="3"/>
      <c r="B2827" s="4"/>
      <c r="G2827" s="19"/>
    </row>
    <row r="2828" spans="1:7" ht="12.75" x14ac:dyDescent="0.2">
      <c r="A2828" s="3"/>
      <c r="B2828" s="4"/>
      <c r="G2828" s="19"/>
    </row>
    <row r="2829" spans="1:7" ht="12.75" x14ac:dyDescent="0.2">
      <c r="A2829" s="3"/>
      <c r="B2829" s="4"/>
      <c r="G2829" s="19"/>
    </row>
    <row r="2830" spans="1:7" ht="12.75" x14ac:dyDescent="0.2">
      <c r="A2830" s="3"/>
      <c r="B2830" s="4"/>
      <c r="G2830" s="19"/>
    </row>
    <row r="2831" spans="1:7" ht="12.75" x14ac:dyDescent="0.2">
      <c r="A2831" s="3"/>
      <c r="B2831" s="4"/>
      <c r="G2831" s="19"/>
    </row>
    <row r="2832" spans="1:7" ht="12.75" x14ac:dyDescent="0.2">
      <c r="A2832" s="3"/>
      <c r="B2832" s="4"/>
      <c r="G2832" s="19"/>
    </row>
    <row r="2833" spans="1:7" ht="12.75" x14ac:dyDescent="0.2">
      <c r="A2833" s="3"/>
      <c r="B2833" s="4"/>
      <c r="G2833" s="19"/>
    </row>
    <row r="2834" spans="1:7" ht="12.75" x14ac:dyDescent="0.2">
      <c r="A2834" s="3"/>
      <c r="B2834" s="4"/>
      <c r="G2834" s="19"/>
    </row>
    <row r="2835" spans="1:7" ht="12.75" x14ac:dyDescent="0.2">
      <c r="A2835" s="3"/>
      <c r="B2835" s="4"/>
      <c r="G2835" s="19"/>
    </row>
    <row r="2836" spans="1:7" ht="12.75" x14ac:dyDescent="0.2">
      <c r="A2836" s="3"/>
      <c r="B2836" s="4"/>
      <c r="G2836" s="19"/>
    </row>
    <row r="2837" spans="1:7" ht="12.75" x14ac:dyDescent="0.2">
      <c r="A2837" s="3"/>
      <c r="B2837" s="4"/>
      <c r="G2837" s="19"/>
    </row>
    <row r="2838" spans="1:7" ht="12.75" x14ac:dyDescent="0.2">
      <c r="A2838" s="3"/>
      <c r="B2838" s="4"/>
      <c r="G2838" s="19"/>
    </row>
    <row r="2839" spans="1:7" ht="12.75" x14ac:dyDescent="0.2">
      <c r="A2839" s="3"/>
      <c r="B2839" s="4"/>
      <c r="G2839" s="19"/>
    </row>
    <row r="2840" spans="1:7" ht="12.75" x14ac:dyDescent="0.2">
      <c r="A2840" s="3"/>
      <c r="B2840" s="4"/>
      <c r="G2840" s="19"/>
    </row>
    <row r="2841" spans="1:7" ht="12.75" x14ac:dyDescent="0.2">
      <c r="A2841" s="3"/>
      <c r="B2841" s="4"/>
      <c r="G2841" s="19"/>
    </row>
    <row r="2842" spans="1:7" ht="12.75" x14ac:dyDescent="0.2">
      <c r="A2842" s="3"/>
      <c r="B2842" s="4"/>
      <c r="G2842" s="19"/>
    </row>
    <row r="2843" spans="1:7" ht="12.75" x14ac:dyDescent="0.2">
      <c r="A2843" s="3"/>
      <c r="B2843" s="4"/>
      <c r="G2843" s="19"/>
    </row>
    <row r="2844" spans="1:7" ht="12.75" x14ac:dyDescent="0.2">
      <c r="A2844" s="3"/>
      <c r="B2844" s="4"/>
      <c r="G2844" s="19"/>
    </row>
    <row r="2845" spans="1:7" ht="12.75" x14ac:dyDescent="0.2">
      <c r="A2845" s="3"/>
      <c r="B2845" s="4"/>
      <c r="G2845" s="19"/>
    </row>
    <row r="2846" spans="1:7" ht="12.75" x14ac:dyDescent="0.2">
      <c r="A2846" s="3"/>
      <c r="B2846" s="4"/>
      <c r="G2846" s="19"/>
    </row>
    <row r="2847" spans="1:7" ht="12.75" x14ac:dyDescent="0.2">
      <c r="A2847" s="3"/>
      <c r="B2847" s="4"/>
      <c r="G2847" s="19"/>
    </row>
    <row r="2848" spans="1:7" ht="12.75" x14ac:dyDescent="0.2">
      <c r="A2848" s="3"/>
      <c r="B2848" s="4"/>
      <c r="G2848" s="19"/>
    </row>
    <row r="2849" spans="1:7" ht="12.75" x14ac:dyDescent="0.2">
      <c r="A2849" s="3"/>
      <c r="B2849" s="4"/>
      <c r="G2849" s="19"/>
    </row>
    <row r="2850" spans="1:7" ht="12.75" x14ac:dyDescent="0.2">
      <c r="A2850" s="3"/>
      <c r="B2850" s="4"/>
      <c r="G2850" s="19"/>
    </row>
    <row r="2851" spans="1:7" ht="12.75" x14ac:dyDescent="0.2">
      <c r="A2851" s="3"/>
      <c r="B2851" s="4"/>
      <c r="G2851" s="19"/>
    </row>
    <row r="2852" spans="1:7" ht="12.75" x14ac:dyDescent="0.2">
      <c r="A2852" s="3"/>
      <c r="B2852" s="4"/>
      <c r="G2852" s="19"/>
    </row>
    <row r="2853" spans="1:7" ht="12.75" x14ac:dyDescent="0.2">
      <c r="A2853" s="3"/>
      <c r="B2853" s="4"/>
      <c r="G2853" s="19"/>
    </row>
    <row r="2854" spans="1:7" ht="12.75" x14ac:dyDescent="0.2">
      <c r="A2854" s="3"/>
      <c r="B2854" s="4"/>
      <c r="G2854" s="19"/>
    </row>
    <row r="2855" spans="1:7" ht="12.75" x14ac:dyDescent="0.2">
      <c r="A2855" s="3"/>
      <c r="B2855" s="4"/>
      <c r="G2855" s="19"/>
    </row>
    <row r="2856" spans="1:7" ht="12.75" x14ac:dyDescent="0.2">
      <c r="A2856" s="3"/>
      <c r="B2856" s="4"/>
      <c r="G2856" s="19"/>
    </row>
    <row r="2857" spans="1:7" ht="12.75" x14ac:dyDescent="0.2">
      <c r="A2857" s="3"/>
      <c r="B2857" s="4"/>
      <c r="G2857" s="19"/>
    </row>
    <row r="2858" spans="1:7" ht="12.75" x14ac:dyDescent="0.2">
      <c r="A2858" s="3"/>
      <c r="B2858" s="4"/>
      <c r="G2858" s="19"/>
    </row>
    <row r="2859" spans="1:7" ht="12.75" x14ac:dyDescent="0.2">
      <c r="A2859" s="3"/>
      <c r="B2859" s="4"/>
      <c r="G2859" s="19"/>
    </row>
    <row r="2860" spans="1:7" ht="12.75" x14ac:dyDescent="0.2">
      <c r="A2860" s="3"/>
      <c r="B2860" s="4"/>
      <c r="G2860" s="19"/>
    </row>
    <row r="2861" spans="1:7" ht="12.75" x14ac:dyDescent="0.2">
      <c r="A2861" s="3"/>
      <c r="B2861" s="4"/>
      <c r="G2861" s="19"/>
    </row>
    <row r="2862" spans="1:7" ht="12.75" x14ac:dyDescent="0.2">
      <c r="A2862" s="3"/>
      <c r="B2862" s="4"/>
      <c r="G2862" s="19"/>
    </row>
    <row r="2863" spans="1:7" ht="12.75" x14ac:dyDescent="0.2">
      <c r="A2863" s="3"/>
      <c r="B2863" s="4"/>
      <c r="G2863" s="19"/>
    </row>
    <row r="2864" spans="1:7" ht="12.75" x14ac:dyDescent="0.2">
      <c r="A2864" s="3"/>
      <c r="B2864" s="4"/>
      <c r="G2864" s="19"/>
    </row>
    <row r="2865" spans="1:7" ht="12.75" x14ac:dyDescent="0.2">
      <c r="A2865" s="3"/>
      <c r="B2865" s="4"/>
      <c r="G2865" s="19"/>
    </row>
    <row r="2866" spans="1:7" ht="12.75" x14ac:dyDescent="0.2">
      <c r="A2866" s="3"/>
      <c r="B2866" s="4"/>
      <c r="G2866" s="19"/>
    </row>
    <row r="2867" spans="1:7" ht="12.75" x14ac:dyDescent="0.2">
      <c r="A2867" s="3"/>
      <c r="B2867" s="4"/>
      <c r="G2867" s="19"/>
    </row>
    <row r="2868" spans="1:7" ht="12.75" x14ac:dyDescent="0.2">
      <c r="A2868" s="3"/>
      <c r="B2868" s="4"/>
      <c r="G2868" s="19"/>
    </row>
    <row r="2869" spans="1:7" ht="12.75" x14ac:dyDescent="0.2">
      <c r="A2869" s="3"/>
      <c r="B2869" s="4"/>
      <c r="G2869" s="19"/>
    </row>
    <row r="2870" spans="1:7" ht="12.75" x14ac:dyDescent="0.2">
      <c r="A2870" s="3"/>
      <c r="B2870" s="4"/>
      <c r="G2870" s="19"/>
    </row>
    <row r="2871" spans="1:7" ht="12.75" x14ac:dyDescent="0.2">
      <c r="A2871" s="3"/>
      <c r="B2871" s="4"/>
      <c r="G2871" s="19"/>
    </row>
    <row r="2872" spans="1:7" ht="12.75" x14ac:dyDescent="0.2">
      <c r="A2872" s="3"/>
      <c r="B2872" s="4"/>
      <c r="G2872" s="19"/>
    </row>
    <row r="2873" spans="1:7" ht="12.75" x14ac:dyDescent="0.2">
      <c r="A2873" s="3"/>
      <c r="B2873" s="4"/>
      <c r="G2873" s="19"/>
    </row>
    <row r="2874" spans="1:7" ht="12.75" x14ac:dyDescent="0.2">
      <c r="A2874" s="3"/>
      <c r="B2874" s="4"/>
      <c r="G2874" s="19"/>
    </row>
    <row r="2875" spans="1:7" ht="12.75" x14ac:dyDescent="0.2">
      <c r="A2875" s="3"/>
      <c r="B2875" s="4"/>
      <c r="G2875" s="19"/>
    </row>
    <row r="2876" spans="1:7" ht="12.75" x14ac:dyDescent="0.2">
      <c r="A2876" s="3"/>
      <c r="B2876" s="4"/>
      <c r="G2876" s="19"/>
    </row>
    <row r="2877" spans="1:7" ht="12.75" x14ac:dyDescent="0.2">
      <c r="A2877" s="3"/>
      <c r="B2877" s="4"/>
      <c r="G2877" s="19"/>
    </row>
    <row r="2878" spans="1:7" ht="12.75" x14ac:dyDescent="0.2">
      <c r="A2878" s="3"/>
      <c r="B2878" s="4"/>
      <c r="G2878" s="19"/>
    </row>
    <row r="2879" spans="1:7" ht="12.75" x14ac:dyDescent="0.2">
      <c r="A2879" s="3"/>
      <c r="B2879" s="4"/>
      <c r="G2879" s="19"/>
    </row>
    <row r="2880" spans="1:7" ht="12.75" x14ac:dyDescent="0.2">
      <c r="A2880" s="3"/>
      <c r="B2880" s="4"/>
      <c r="G2880" s="19"/>
    </row>
    <row r="2881" spans="1:7" ht="12.75" x14ac:dyDescent="0.2">
      <c r="A2881" s="3"/>
      <c r="B2881" s="4"/>
      <c r="G2881" s="19"/>
    </row>
    <row r="2882" spans="1:7" ht="12.75" x14ac:dyDescent="0.2">
      <c r="A2882" s="3"/>
      <c r="B2882" s="4"/>
      <c r="G2882" s="19"/>
    </row>
    <row r="2883" spans="1:7" ht="12.75" x14ac:dyDescent="0.2">
      <c r="A2883" s="3"/>
      <c r="B2883" s="4"/>
      <c r="G2883" s="19"/>
    </row>
    <row r="2884" spans="1:7" ht="12.75" x14ac:dyDescent="0.2">
      <c r="A2884" s="3"/>
      <c r="B2884" s="4"/>
      <c r="G2884" s="19"/>
    </row>
    <row r="2885" spans="1:7" ht="12.75" x14ac:dyDescent="0.2">
      <c r="A2885" s="3"/>
      <c r="B2885" s="4"/>
      <c r="G2885" s="19"/>
    </row>
    <row r="2886" spans="1:7" ht="12.75" x14ac:dyDescent="0.2">
      <c r="A2886" s="3"/>
      <c r="B2886" s="4"/>
      <c r="G2886" s="19"/>
    </row>
    <row r="2887" spans="1:7" ht="12.75" x14ac:dyDescent="0.2">
      <c r="A2887" s="3"/>
      <c r="B2887" s="4"/>
      <c r="G2887" s="19"/>
    </row>
    <row r="2888" spans="1:7" ht="12.75" x14ac:dyDescent="0.2">
      <c r="A2888" s="3"/>
      <c r="B2888" s="4"/>
      <c r="G2888" s="19"/>
    </row>
    <row r="2889" spans="1:7" ht="12.75" x14ac:dyDescent="0.2">
      <c r="A2889" s="3"/>
      <c r="B2889" s="4"/>
      <c r="G2889" s="19"/>
    </row>
    <row r="2890" spans="1:7" ht="12.75" x14ac:dyDescent="0.2">
      <c r="A2890" s="3"/>
      <c r="B2890" s="4"/>
      <c r="G2890" s="19"/>
    </row>
    <row r="2891" spans="1:7" ht="12.75" x14ac:dyDescent="0.2">
      <c r="A2891" s="3"/>
      <c r="B2891" s="4"/>
      <c r="G2891" s="19"/>
    </row>
    <row r="2892" spans="1:7" ht="12.75" x14ac:dyDescent="0.2">
      <c r="A2892" s="3"/>
      <c r="B2892" s="4"/>
      <c r="G2892" s="19"/>
    </row>
    <row r="2893" spans="1:7" ht="12.75" x14ac:dyDescent="0.2">
      <c r="A2893" s="3"/>
      <c r="B2893" s="4"/>
      <c r="G2893" s="19"/>
    </row>
    <row r="2894" spans="1:7" ht="12.75" x14ac:dyDescent="0.2">
      <c r="A2894" s="3"/>
      <c r="B2894" s="4"/>
      <c r="G2894" s="19"/>
    </row>
    <row r="2895" spans="1:7" ht="12.75" x14ac:dyDescent="0.2">
      <c r="A2895" s="3"/>
      <c r="B2895" s="4"/>
      <c r="G2895" s="19"/>
    </row>
    <row r="2896" spans="1:7" ht="12.75" x14ac:dyDescent="0.2">
      <c r="A2896" s="3"/>
      <c r="B2896" s="4"/>
      <c r="G2896" s="19"/>
    </row>
    <row r="2897" spans="1:7" ht="12.75" x14ac:dyDescent="0.2">
      <c r="A2897" s="3"/>
      <c r="B2897" s="4"/>
      <c r="G2897" s="19"/>
    </row>
    <row r="2898" spans="1:7" ht="12.75" x14ac:dyDescent="0.2">
      <c r="A2898" s="3"/>
      <c r="B2898" s="4"/>
      <c r="G2898" s="19"/>
    </row>
    <row r="2899" spans="1:7" ht="12.75" x14ac:dyDescent="0.2">
      <c r="A2899" s="3"/>
      <c r="B2899" s="4"/>
      <c r="G2899" s="19"/>
    </row>
    <row r="2900" spans="1:7" ht="12.75" x14ac:dyDescent="0.2">
      <c r="A2900" s="3"/>
      <c r="B2900" s="4"/>
      <c r="G2900" s="19"/>
    </row>
    <row r="2901" spans="1:7" ht="12.75" x14ac:dyDescent="0.2">
      <c r="A2901" s="3"/>
      <c r="B2901" s="4"/>
      <c r="G2901" s="19"/>
    </row>
    <row r="2902" spans="1:7" ht="12.75" x14ac:dyDescent="0.2">
      <c r="A2902" s="3"/>
      <c r="B2902" s="4"/>
      <c r="G2902" s="19"/>
    </row>
    <row r="2903" spans="1:7" ht="12.75" x14ac:dyDescent="0.2">
      <c r="A2903" s="3"/>
      <c r="B2903" s="4"/>
      <c r="G2903" s="19"/>
    </row>
    <row r="2904" spans="1:7" ht="12.75" x14ac:dyDescent="0.2">
      <c r="A2904" s="3"/>
      <c r="B2904" s="4"/>
      <c r="G2904" s="19"/>
    </row>
    <row r="2905" spans="1:7" ht="12.75" x14ac:dyDescent="0.2">
      <c r="A2905" s="3"/>
      <c r="B2905" s="4"/>
      <c r="G2905" s="19"/>
    </row>
    <row r="2906" spans="1:7" ht="12.75" x14ac:dyDescent="0.2">
      <c r="A2906" s="3"/>
      <c r="B2906" s="4"/>
      <c r="G2906" s="19"/>
    </row>
    <row r="2907" spans="1:7" ht="12.75" x14ac:dyDescent="0.2">
      <c r="A2907" s="3"/>
      <c r="B2907" s="4"/>
      <c r="G2907" s="19"/>
    </row>
    <row r="2908" spans="1:7" ht="12.75" x14ac:dyDescent="0.2">
      <c r="A2908" s="3"/>
      <c r="B2908" s="4"/>
      <c r="G2908" s="19"/>
    </row>
    <row r="2909" spans="1:7" ht="12.75" x14ac:dyDescent="0.2">
      <c r="A2909" s="3"/>
      <c r="B2909" s="4"/>
      <c r="G2909" s="19"/>
    </row>
    <row r="2910" spans="1:7" ht="12.75" x14ac:dyDescent="0.2">
      <c r="A2910" s="3"/>
      <c r="B2910" s="4"/>
      <c r="G2910" s="19"/>
    </row>
    <row r="2911" spans="1:7" ht="12.75" x14ac:dyDescent="0.2">
      <c r="A2911" s="3"/>
      <c r="B2911" s="4"/>
      <c r="G2911" s="19"/>
    </row>
    <row r="2912" spans="1:7" ht="12.75" x14ac:dyDescent="0.2">
      <c r="A2912" s="3"/>
      <c r="B2912" s="4"/>
      <c r="G2912" s="19"/>
    </row>
    <row r="2913" spans="1:7" ht="12.75" x14ac:dyDescent="0.2">
      <c r="A2913" s="3"/>
      <c r="B2913" s="4"/>
      <c r="G2913" s="19"/>
    </row>
    <row r="2914" spans="1:7" ht="12.75" x14ac:dyDescent="0.2">
      <c r="A2914" s="3"/>
      <c r="B2914" s="4"/>
      <c r="G2914" s="19"/>
    </row>
    <row r="2915" spans="1:7" ht="12.75" x14ac:dyDescent="0.2">
      <c r="A2915" s="3"/>
      <c r="B2915" s="4"/>
      <c r="G2915" s="19"/>
    </row>
    <row r="2916" spans="1:7" ht="12.75" x14ac:dyDescent="0.2">
      <c r="A2916" s="3"/>
      <c r="B2916" s="4"/>
      <c r="G2916" s="19"/>
    </row>
    <row r="2917" spans="1:7" ht="12.75" x14ac:dyDescent="0.2">
      <c r="A2917" s="3"/>
      <c r="B2917" s="4"/>
      <c r="G2917" s="19"/>
    </row>
    <row r="2918" spans="1:7" ht="12.75" x14ac:dyDescent="0.2">
      <c r="A2918" s="3"/>
      <c r="B2918" s="4"/>
      <c r="G2918" s="19"/>
    </row>
    <row r="2919" spans="1:7" ht="12.75" x14ac:dyDescent="0.2">
      <c r="A2919" s="3"/>
      <c r="B2919" s="4"/>
      <c r="G2919" s="19"/>
    </row>
    <row r="2920" spans="1:7" ht="12.75" x14ac:dyDescent="0.2">
      <c r="A2920" s="3"/>
      <c r="B2920" s="4"/>
      <c r="G2920" s="19"/>
    </row>
    <row r="2921" spans="1:7" ht="12.75" x14ac:dyDescent="0.2">
      <c r="A2921" s="3"/>
      <c r="B2921" s="4"/>
      <c r="G2921" s="19"/>
    </row>
    <row r="2922" spans="1:7" ht="12.75" x14ac:dyDescent="0.2">
      <c r="A2922" s="3"/>
      <c r="B2922" s="4"/>
      <c r="G2922" s="19"/>
    </row>
    <row r="2923" spans="1:7" ht="12.75" x14ac:dyDescent="0.2">
      <c r="A2923" s="3"/>
      <c r="B2923" s="4"/>
      <c r="G2923" s="19"/>
    </row>
    <row r="2924" spans="1:7" ht="12.75" x14ac:dyDescent="0.2">
      <c r="A2924" s="3"/>
      <c r="B2924" s="4"/>
      <c r="G2924" s="19"/>
    </row>
    <row r="2925" spans="1:7" ht="12.75" x14ac:dyDescent="0.2">
      <c r="A2925" s="3"/>
      <c r="B2925" s="4"/>
      <c r="G2925" s="19"/>
    </row>
    <row r="2926" spans="1:7" ht="12.75" x14ac:dyDescent="0.2">
      <c r="A2926" s="3"/>
      <c r="B2926" s="4"/>
      <c r="G2926" s="19"/>
    </row>
    <row r="2927" spans="1:7" ht="12.75" x14ac:dyDescent="0.2">
      <c r="A2927" s="3"/>
      <c r="B2927" s="4"/>
      <c r="G2927" s="19"/>
    </row>
    <row r="2928" spans="1:7" ht="12.75" x14ac:dyDescent="0.2">
      <c r="A2928" s="3"/>
      <c r="B2928" s="4"/>
      <c r="G2928" s="19"/>
    </row>
    <row r="2929" spans="1:7" ht="12.75" x14ac:dyDescent="0.2">
      <c r="A2929" s="3"/>
      <c r="B2929" s="4"/>
      <c r="G2929" s="19"/>
    </row>
    <row r="2930" spans="1:7" ht="12.75" x14ac:dyDescent="0.2">
      <c r="A2930" s="3"/>
      <c r="B2930" s="4"/>
      <c r="G2930" s="19"/>
    </row>
    <row r="2931" spans="1:7" ht="12.75" x14ac:dyDescent="0.2">
      <c r="A2931" s="3"/>
      <c r="B2931" s="4"/>
      <c r="G2931" s="19"/>
    </row>
    <row r="2932" spans="1:7" ht="12.75" x14ac:dyDescent="0.2">
      <c r="A2932" s="3"/>
      <c r="B2932" s="4"/>
      <c r="G2932" s="19"/>
    </row>
    <row r="2933" spans="1:7" ht="12.75" x14ac:dyDescent="0.2">
      <c r="A2933" s="3"/>
      <c r="B2933" s="4"/>
      <c r="G2933" s="19"/>
    </row>
    <row r="2934" spans="1:7" ht="12.75" x14ac:dyDescent="0.2">
      <c r="A2934" s="3"/>
      <c r="B2934" s="4"/>
      <c r="G2934" s="19"/>
    </row>
    <row r="2935" spans="1:7" ht="12.75" x14ac:dyDescent="0.2">
      <c r="A2935" s="3"/>
      <c r="B2935" s="4"/>
      <c r="G2935" s="19"/>
    </row>
    <row r="2936" spans="1:7" ht="12.75" x14ac:dyDescent="0.2">
      <c r="A2936" s="3"/>
      <c r="B2936" s="4"/>
      <c r="G2936" s="19"/>
    </row>
    <row r="2937" spans="1:7" ht="12.75" x14ac:dyDescent="0.2">
      <c r="A2937" s="3"/>
      <c r="B2937" s="4"/>
      <c r="G2937" s="19"/>
    </row>
    <row r="2938" spans="1:7" ht="12.75" x14ac:dyDescent="0.2">
      <c r="A2938" s="3"/>
      <c r="B2938" s="4"/>
      <c r="G2938" s="19"/>
    </row>
    <row r="2939" spans="1:7" ht="12.75" x14ac:dyDescent="0.2">
      <c r="A2939" s="3"/>
      <c r="B2939" s="4"/>
      <c r="G2939" s="19"/>
    </row>
    <row r="2940" spans="1:7" ht="12.75" x14ac:dyDescent="0.2">
      <c r="A2940" s="3"/>
      <c r="B2940" s="4"/>
      <c r="G2940" s="19"/>
    </row>
    <row r="2941" spans="1:7" ht="12.75" x14ac:dyDescent="0.2">
      <c r="A2941" s="3"/>
      <c r="B2941" s="4"/>
      <c r="G2941" s="19"/>
    </row>
    <row r="2942" spans="1:7" ht="12.75" x14ac:dyDescent="0.2">
      <c r="A2942" s="3"/>
      <c r="B2942" s="4"/>
      <c r="G2942" s="19"/>
    </row>
    <row r="2943" spans="1:7" ht="12.75" x14ac:dyDescent="0.2">
      <c r="A2943" s="3"/>
      <c r="B2943" s="4"/>
      <c r="G2943" s="19"/>
    </row>
    <row r="2944" spans="1:7" ht="12.75" x14ac:dyDescent="0.2">
      <c r="A2944" s="3"/>
      <c r="B2944" s="4"/>
      <c r="G2944" s="19"/>
    </row>
    <row r="2945" spans="1:7" ht="12.75" x14ac:dyDescent="0.2">
      <c r="A2945" s="3"/>
      <c r="B2945" s="4"/>
      <c r="G2945" s="19"/>
    </row>
    <row r="2946" spans="1:7" ht="12.75" x14ac:dyDescent="0.2">
      <c r="A2946" s="3"/>
      <c r="B2946" s="4"/>
      <c r="G2946" s="19"/>
    </row>
    <row r="2947" spans="1:7" ht="12.75" x14ac:dyDescent="0.2">
      <c r="A2947" s="3"/>
      <c r="B2947" s="4"/>
      <c r="G2947" s="19"/>
    </row>
    <row r="2948" spans="1:7" ht="12.75" x14ac:dyDescent="0.2">
      <c r="A2948" s="3"/>
      <c r="B2948" s="4"/>
      <c r="G2948" s="19"/>
    </row>
    <row r="2949" spans="1:7" ht="12.75" x14ac:dyDescent="0.2">
      <c r="A2949" s="3"/>
      <c r="B2949" s="4"/>
      <c r="G2949" s="19"/>
    </row>
    <row r="2950" spans="1:7" ht="12.75" x14ac:dyDescent="0.2">
      <c r="A2950" s="3"/>
      <c r="B2950" s="4"/>
      <c r="G2950" s="19"/>
    </row>
    <row r="2951" spans="1:7" ht="12.75" x14ac:dyDescent="0.2">
      <c r="A2951" s="3"/>
      <c r="B2951" s="4"/>
      <c r="G2951" s="19"/>
    </row>
    <row r="2952" spans="1:7" ht="12.75" x14ac:dyDescent="0.2">
      <c r="A2952" s="3"/>
      <c r="B2952" s="4"/>
      <c r="G2952" s="19"/>
    </row>
    <row r="2953" spans="1:7" ht="12.75" x14ac:dyDescent="0.2">
      <c r="A2953" s="3"/>
      <c r="B2953" s="4"/>
      <c r="G2953" s="19"/>
    </row>
    <row r="2954" spans="1:7" ht="12.75" x14ac:dyDescent="0.2">
      <c r="A2954" s="3"/>
      <c r="B2954" s="4"/>
      <c r="G2954" s="19"/>
    </row>
    <row r="2955" spans="1:7" ht="12.75" x14ac:dyDescent="0.2">
      <c r="A2955" s="3"/>
      <c r="B2955" s="4"/>
      <c r="G2955" s="19"/>
    </row>
    <row r="2956" spans="1:7" ht="12.75" x14ac:dyDescent="0.2">
      <c r="A2956" s="3"/>
      <c r="B2956" s="4"/>
      <c r="G2956" s="19"/>
    </row>
    <row r="2957" spans="1:7" ht="12.75" x14ac:dyDescent="0.2">
      <c r="A2957" s="3"/>
      <c r="B2957" s="4"/>
      <c r="G2957" s="19"/>
    </row>
    <row r="2958" spans="1:7" ht="12.75" x14ac:dyDescent="0.2">
      <c r="A2958" s="3"/>
      <c r="B2958" s="4"/>
      <c r="G2958" s="19"/>
    </row>
    <row r="2959" spans="1:7" ht="12.75" x14ac:dyDescent="0.2">
      <c r="A2959" s="3"/>
      <c r="B2959" s="4"/>
      <c r="G2959" s="19"/>
    </row>
    <row r="2960" spans="1:7" ht="12.75" x14ac:dyDescent="0.2">
      <c r="A2960" s="3"/>
      <c r="B2960" s="4"/>
      <c r="G2960" s="19"/>
    </row>
    <row r="2961" spans="1:7" ht="12.75" x14ac:dyDescent="0.2">
      <c r="A2961" s="3"/>
      <c r="B2961" s="4"/>
      <c r="G2961" s="19"/>
    </row>
    <row r="2962" spans="1:7" ht="12.75" x14ac:dyDescent="0.2">
      <c r="A2962" s="3"/>
      <c r="B2962" s="4"/>
      <c r="G2962" s="19"/>
    </row>
    <row r="2963" spans="1:7" ht="12.75" x14ac:dyDescent="0.2">
      <c r="A2963" s="3"/>
      <c r="B2963" s="4"/>
      <c r="G2963" s="19"/>
    </row>
    <row r="2964" spans="1:7" ht="12.75" x14ac:dyDescent="0.2">
      <c r="A2964" s="3"/>
      <c r="B2964" s="4"/>
      <c r="G2964" s="19"/>
    </row>
    <row r="2965" spans="1:7" ht="12.75" x14ac:dyDescent="0.2">
      <c r="A2965" s="3"/>
      <c r="B2965" s="4"/>
      <c r="G2965" s="19"/>
    </row>
    <row r="2966" spans="1:7" ht="12.75" x14ac:dyDescent="0.2">
      <c r="A2966" s="3"/>
      <c r="B2966" s="4"/>
      <c r="G2966" s="19"/>
    </row>
    <row r="2967" spans="1:7" ht="12.75" x14ac:dyDescent="0.2">
      <c r="A2967" s="3"/>
      <c r="B2967" s="4"/>
      <c r="G2967" s="19"/>
    </row>
    <row r="2968" spans="1:7" ht="12.75" x14ac:dyDescent="0.2">
      <c r="A2968" s="3"/>
      <c r="B2968" s="4"/>
      <c r="G2968" s="19"/>
    </row>
    <row r="2969" spans="1:7" ht="12.75" x14ac:dyDescent="0.2">
      <c r="A2969" s="3"/>
      <c r="B2969" s="4"/>
      <c r="G2969" s="19"/>
    </row>
    <row r="2970" spans="1:7" ht="12.75" x14ac:dyDescent="0.2">
      <c r="A2970" s="3"/>
      <c r="B2970" s="4"/>
      <c r="G2970" s="19"/>
    </row>
    <row r="2971" spans="1:7" ht="12.75" x14ac:dyDescent="0.2">
      <c r="A2971" s="3"/>
      <c r="B2971" s="4"/>
      <c r="G2971" s="19"/>
    </row>
    <row r="2972" spans="1:7" ht="12.75" x14ac:dyDescent="0.2">
      <c r="A2972" s="3"/>
      <c r="B2972" s="4"/>
      <c r="G2972" s="19"/>
    </row>
    <row r="2973" spans="1:7" ht="12.75" x14ac:dyDescent="0.2">
      <c r="A2973" s="3"/>
      <c r="B2973" s="4"/>
      <c r="G2973" s="19"/>
    </row>
    <row r="2974" spans="1:7" ht="12.75" x14ac:dyDescent="0.2">
      <c r="A2974" s="3"/>
      <c r="B2974" s="4"/>
      <c r="G2974" s="19"/>
    </row>
    <row r="2975" spans="1:7" ht="12.75" x14ac:dyDescent="0.2">
      <c r="A2975" s="3"/>
      <c r="B2975" s="4"/>
      <c r="G2975" s="19"/>
    </row>
    <row r="2976" spans="1:7" ht="12.75" x14ac:dyDescent="0.2">
      <c r="A2976" s="3"/>
      <c r="B2976" s="4"/>
      <c r="G2976" s="19"/>
    </row>
    <row r="2977" spans="1:7" ht="12.75" x14ac:dyDescent="0.2">
      <c r="A2977" s="3"/>
      <c r="B2977" s="4"/>
      <c r="G2977" s="19"/>
    </row>
    <row r="2978" spans="1:7" ht="12.75" x14ac:dyDescent="0.2">
      <c r="A2978" s="3"/>
      <c r="B2978" s="4"/>
      <c r="G2978" s="19"/>
    </row>
    <row r="2979" spans="1:7" ht="12.75" x14ac:dyDescent="0.2">
      <c r="A2979" s="3"/>
      <c r="B2979" s="4"/>
      <c r="G2979" s="19"/>
    </row>
    <row r="2980" spans="1:7" ht="12.75" x14ac:dyDescent="0.2">
      <c r="A2980" s="3"/>
      <c r="B2980" s="4"/>
      <c r="G2980" s="19"/>
    </row>
    <row r="2981" spans="1:7" ht="12.75" x14ac:dyDescent="0.2">
      <c r="A2981" s="3"/>
      <c r="B2981" s="4"/>
      <c r="G2981" s="19"/>
    </row>
    <row r="2982" spans="1:7" ht="12.75" x14ac:dyDescent="0.2">
      <c r="A2982" s="3"/>
      <c r="B2982" s="4"/>
      <c r="G2982" s="19"/>
    </row>
    <row r="2983" spans="1:7" ht="12.75" x14ac:dyDescent="0.2">
      <c r="A2983" s="3"/>
      <c r="B2983" s="4"/>
      <c r="G2983" s="19"/>
    </row>
    <row r="2984" spans="1:7" ht="12.75" x14ac:dyDescent="0.2">
      <c r="A2984" s="3"/>
      <c r="B2984" s="4"/>
      <c r="G2984" s="19"/>
    </row>
    <row r="2985" spans="1:7" ht="12.75" x14ac:dyDescent="0.2">
      <c r="A2985" s="3"/>
      <c r="B2985" s="4"/>
      <c r="G2985" s="19"/>
    </row>
    <row r="2986" spans="1:7" ht="12.75" x14ac:dyDescent="0.2">
      <c r="A2986" s="3"/>
      <c r="B2986" s="4"/>
      <c r="G2986" s="19"/>
    </row>
    <row r="2987" spans="1:7" ht="12.75" x14ac:dyDescent="0.2">
      <c r="A2987" s="3"/>
      <c r="B2987" s="4"/>
      <c r="G2987" s="19"/>
    </row>
    <row r="2988" spans="1:7" ht="12.75" x14ac:dyDescent="0.2">
      <c r="A2988" s="3"/>
      <c r="B2988" s="4"/>
      <c r="G2988" s="19"/>
    </row>
    <row r="2989" spans="1:7" ht="12.75" x14ac:dyDescent="0.2">
      <c r="A2989" s="3"/>
      <c r="B2989" s="4"/>
      <c r="G2989" s="19"/>
    </row>
    <row r="2990" spans="1:7" ht="12.75" x14ac:dyDescent="0.2">
      <c r="A2990" s="3"/>
      <c r="B2990" s="4"/>
      <c r="G2990" s="19"/>
    </row>
    <row r="2991" spans="1:7" ht="12.75" x14ac:dyDescent="0.2">
      <c r="A2991" s="3"/>
      <c r="B2991" s="4"/>
      <c r="G2991" s="19"/>
    </row>
    <row r="2992" spans="1:7" ht="12.75" x14ac:dyDescent="0.2">
      <c r="A2992" s="3"/>
      <c r="B2992" s="4"/>
      <c r="G2992" s="19"/>
    </row>
    <row r="2993" spans="1:7" ht="12.75" x14ac:dyDescent="0.2">
      <c r="A2993" s="3"/>
      <c r="B2993" s="4"/>
      <c r="G2993" s="19"/>
    </row>
    <row r="2994" spans="1:7" ht="12.75" x14ac:dyDescent="0.2">
      <c r="A2994" s="3"/>
      <c r="B2994" s="4"/>
      <c r="G2994" s="19"/>
    </row>
    <row r="2995" spans="1:7" ht="12.75" x14ac:dyDescent="0.2">
      <c r="A2995" s="3"/>
      <c r="B2995" s="4"/>
      <c r="G2995" s="19"/>
    </row>
    <row r="2996" spans="1:7" ht="12.75" x14ac:dyDescent="0.2">
      <c r="A2996" s="3"/>
      <c r="B2996" s="4"/>
      <c r="G2996" s="19"/>
    </row>
    <row r="2997" spans="1:7" ht="12.75" x14ac:dyDescent="0.2">
      <c r="A2997" s="3"/>
      <c r="B2997" s="4"/>
      <c r="G2997" s="19"/>
    </row>
    <row r="2998" spans="1:7" ht="12.75" x14ac:dyDescent="0.2">
      <c r="A2998" s="3"/>
      <c r="B2998" s="4"/>
      <c r="G2998" s="19"/>
    </row>
    <row r="2999" spans="1:7" ht="12.75" x14ac:dyDescent="0.2">
      <c r="A2999" s="3"/>
      <c r="B2999" s="4"/>
      <c r="G2999" s="19"/>
    </row>
    <row r="3000" spans="1:7" ht="12.75" x14ac:dyDescent="0.2">
      <c r="A3000" s="3"/>
      <c r="B3000" s="4"/>
      <c r="G3000" s="19"/>
    </row>
    <row r="3001" spans="1:7" ht="12.75" x14ac:dyDescent="0.2">
      <c r="A3001" s="3"/>
      <c r="B3001" s="4"/>
      <c r="G3001" s="19"/>
    </row>
    <row r="3002" spans="1:7" ht="12.75" x14ac:dyDescent="0.2">
      <c r="A3002" s="3"/>
      <c r="B3002" s="4"/>
      <c r="G3002" s="19"/>
    </row>
    <row r="3003" spans="1:7" ht="12.75" x14ac:dyDescent="0.2">
      <c r="A3003" s="3"/>
      <c r="B3003" s="4"/>
      <c r="G3003" s="19"/>
    </row>
    <row r="3004" spans="1:7" ht="12.75" x14ac:dyDescent="0.2">
      <c r="A3004" s="3"/>
      <c r="B3004" s="4"/>
      <c r="G3004" s="19"/>
    </row>
    <row r="3005" spans="1:7" ht="12.75" x14ac:dyDescent="0.2">
      <c r="A3005" s="3"/>
      <c r="B3005" s="4"/>
      <c r="G3005" s="19"/>
    </row>
    <row r="3006" spans="1:7" ht="12.75" x14ac:dyDescent="0.2">
      <c r="A3006" s="3"/>
      <c r="B3006" s="4"/>
      <c r="G3006" s="19"/>
    </row>
    <row r="3007" spans="1:7" ht="12.75" x14ac:dyDescent="0.2">
      <c r="A3007" s="3"/>
      <c r="B3007" s="4"/>
      <c r="G3007" s="19"/>
    </row>
    <row r="3008" spans="1:7" ht="12.75" x14ac:dyDescent="0.2">
      <c r="A3008" s="3"/>
      <c r="B3008" s="4"/>
      <c r="G3008" s="19"/>
    </row>
    <row r="3009" spans="1:7" ht="12.75" x14ac:dyDescent="0.2">
      <c r="A3009" s="3"/>
      <c r="B3009" s="4"/>
      <c r="G3009" s="19"/>
    </row>
    <row r="3010" spans="1:7" ht="12.75" x14ac:dyDescent="0.2">
      <c r="A3010" s="3"/>
      <c r="B3010" s="4"/>
      <c r="G3010" s="19"/>
    </row>
    <row r="3011" spans="1:7" ht="12.75" x14ac:dyDescent="0.2">
      <c r="A3011" s="3"/>
      <c r="B3011" s="4"/>
      <c r="G3011" s="19"/>
    </row>
    <row r="3012" spans="1:7" ht="12.75" x14ac:dyDescent="0.2">
      <c r="A3012" s="3"/>
      <c r="B3012" s="4"/>
      <c r="G3012" s="19"/>
    </row>
    <row r="3013" spans="1:7" ht="12.75" x14ac:dyDescent="0.2">
      <c r="A3013" s="3"/>
      <c r="B3013" s="4"/>
      <c r="G3013" s="19"/>
    </row>
    <row r="3014" spans="1:7" ht="12.75" x14ac:dyDescent="0.2">
      <c r="A3014" s="3"/>
      <c r="B3014" s="4"/>
      <c r="G3014" s="19"/>
    </row>
    <row r="3015" spans="1:7" ht="12.75" x14ac:dyDescent="0.2">
      <c r="A3015" s="3"/>
      <c r="B3015" s="4"/>
      <c r="G3015" s="19"/>
    </row>
    <row r="3016" spans="1:7" ht="12.75" x14ac:dyDescent="0.2">
      <c r="A3016" s="3"/>
      <c r="B3016" s="4"/>
      <c r="G3016" s="19"/>
    </row>
    <row r="3017" spans="1:7" ht="12.75" x14ac:dyDescent="0.2">
      <c r="A3017" s="3"/>
      <c r="B3017" s="4"/>
      <c r="G3017" s="19"/>
    </row>
    <row r="3018" spans="1:7" ht="12.75" x14ac:dyDescent="0.2">
      <c r="A3018" s="3"/>
      <c r="B3018" s="4"/>
      <c r="G3018" s="19"/>
    </row>
    <row r="3019" spans="1:7" ht="12.75" x14ac:dyDescent="0.2">
      <c r="A3019" s="3"/>
      <c r="B3019" s="4"/>
      <c r="G3019" s="19"/>
    </row>
    <row r="3020" spans="1:7" ht="12.75" x14ac:dyDescent="0.2">
      <c r="A3020" s="3"/>
      <c r="B3020" s="4"/>
      <c r="G3020" s="19"/>
    </row>
    <row r="3021" spans="1:7" ht="12.75" x14ac:dyDescent="0.2">
      <c r="A3021" s="3"/>
      <c r="B3021" s="4"/>
      <c r="G3021" s="19"/>
    </row>
    <row r="3022" spans="1:7" ht="12.75" x14ac:dyDescent="0.2">
      <c r="A3022" s="3"/>
      <c r="B3022" s="4"/>
      <c r="G3022" s="19"/>
    </row>
    <row r="3023" spans="1:7" ht="12.75" x14ac:dyDescent="0.2">
      <c r="A3023" s="3"/>
      <c r="B3023" s="4"/>
      <c r="G3023" s="19"/>
    </row>
    <row r="3024" spans="1:7" ht="12.75" x14ac:dyDescent="0.2">
      <c r="A3024" s="3"/>
      <c r="B3024" s="4"/>
      <c r="G3024" s="19"/>
    </row>
    <row r="3025" spans="1:7" ht="12.75" x14ac:dyDescent="0.2">
      <c r="A3025" s="3"/>
      <c r="B3025" s="4"/>
      <c r="G3025" s="19"/>
    </row>
    <row r="3026" spans="1:7" ht="12.75" x14ac:dyDescent="0.2">
      <c r="A3026" s="3"/>
      <c r="B3026" s="4"/>
      <c r="G3026" s="19"/>
    </row>
    <row r="3027" spans="1:7" ht="12.75" x14ac:dyDescent="0.2">
      <c r="A3027" s="3"/>
      <c r="B3027" s="4"/>
      <c r="G3027" s="19"/>
    </row>
    <row r="3028" spans="1:7" ht="12.75" x14ac:dyDescent="0.2">
      <c r="A3028" s="3"/>
      <c r="B3028" s="4"/>
      <c r="G3028" s="19"/>
    </row>
    <row r="3029" spans="1:7" ht="12.75" x14ac:dyDescent="0.2">
      <c r="A3029" s="3"/>
      <c r="B3029" s="4"/>
      <c r="G3029" s="19"/>
    </row>
    <row r="3030" spans="1:7" ht="12.75" x14ac:dyDescent="0.2">
      <c r="A3030" s="3"/>
      <c r="B3030" s="4"/>
      <c r="G3030" s="19"/>
    </row>
    <row r="3031" spans="1:7" ht="12.75" x14ac:dyDescent="0.2">
      <c r="A3031" s="3"/>
      <c r="B3031" s="4"/>
      <c r="G3031" s="19"/>
    </row>
    <row r="3032" spans="1:7" ht="12.75" x14ac:dyDescent="0.2">
      <c r="A3032" s="3"/>
      <c r="B3032" s="4"/>
      <c r="G3032" s="19"/>
    </row>
    <row r="3033" spans="1:7" ht="12.75" x14ac:dyDescent="0.2">
      <c r="A3033" s="3"/>
      <c r="B3033" s="4"/>
      <c r="G3033" s="19"/>
    </row>
    <row r="3034" spans="1:7" ht="12.75" x14ac:dyDescent="0.2">
      <c r="A3034" s="3"/>
      <c r="B3034" s="4"/>
      <c r="G3034" s="19"/>
    </row>
    <row r="3035" spans="1:7" ht="12.75" x14ac:dyDescent="0.2">
      <c r="A3035" s="3"/>
      <c r="B3035" s="4"/>
      <c r="G3035" s="19"/>
    </row>
    <row r="3036" spans="1:7" ht="12.75" x14ac:dyDescent="0.2">
      <c r="A3036" s="3"/>
      <c r="B3036" s="4"/>
      <c r="G3036" s="19"/>
    </row>
    <row r="3037" spans="1:7" ht="12.75" x14ac:dyDescent="0.2">
      <c r="A3037" s="3"/>
      <c r="B3037" s="4"/>
      <c r="G3037" s="19"/>
    </row>
    <row r="3038" spans="1:7" ht="12.75" x14ac:dyDescent="0.2">
      <c r="A3038" s="3"/>
      <c r="B3038" s="4"/>
      <c r="G3038" s="19"/>
    </row>
    <row r="3039" spans="1:7" ht="12.75" x14ac:dyDescent="0.2">
      <c r="A3039" s="3"/>
      <c r="B3039" s="4"/>
      <c r="G3039" s="19"/>
    </row>
    <row r="3040" spans="1:7" ht="12.75" x14ac:dyDescent="0.2">
      <c r="A3040" s="3"/>
      <c r="B3040" s="4"/>
      <c r="G3040" s="19"/>
    </row>
    <row r="3041" spans="1:7" ht="12.75" x14ac:dyDescent="0.2">
      <c r="A3041" s="3"/>
      <c r="B3041" s="4"/>
      <c r="G3041" s="19"/>
    </row>
    <row r="3042" spans="1:7" ht="12.75" x14ac:dyDescent="0.2">
      <c r="A3042" s="3"/>
      <c r="B3042" s="4"/>
      <c r="G3042" s="19"/>
    </row>
    <row r="3043" spans="1:7" ht="12.75" x14ac:dyDescent="0.2">
      <c r="A3043" s="3"/>
      <c r="B3043" s="4"/>
      <c r="G3043" s="19"/>
    </row>
    <row r="3044" spans="1:7" ht="12.75" x14ac:dyDescent="0.2">
      <c r="A3044" s="3"/>
      <c r="B3044" s="4"/>
      <c r="G3044" s="19"/>
    </row>
    <row r="3045" spans="1:7" ht="12.75" x14ac:dyDescent="0.2">
      <c r="A3045" s="3"/>
      <c r="B3045" s="4"/>
      <c r="G3045" s="19"/>
    </row>
    <row r="3046" spans="1:7" ht="12.75" x14ac:dyDescent="0.2">
      <c r="A3046" s="3"/>
      <c r="B3046" s="4"/>
      <c r="G3046" s="19"/>
    </row>
    <row r="3047" spans="1:7" ht="12.75" x14ac:dyDescent="0.2">
      <c r="A3047" s="3"/>
      <c r="B3047" s="4"/>
      <c r="G3047" s="19"/>
    </row>
    <row r="3048" spans="1:7" ht="12.75" x14ac:dyDescent="0.2">
      <c r="A3048" s="3"/>
      <c r="B3048" s="4"/>
      <c r="G3048" s="19"/>
    </row>
    <row r="3049" spans="1:7" ht="12.75" x14ac:dyDescent="0.2">
      <c r="A3049" s="3"/>
      <c r="B3049" s="4"/>
      <c r="G3049" s="19"/>
    </row>
    <row r="3050" spans="1:7" ht="12.75" x14ac:dyDescent="0.2">
      <c r="A3050" s="3"/>
      <c r="B3050" s="4"/>
      <c r="G3050" s="19"/>
    </row>
    <row r="3051" spans="1:7" ht="12.75" x14ac:dyDescent="0.2">
      <c r="A3051" s="3"/>
      <c r="B3051" s="4"/>
      <c r="G3051" s="19"/>
    </row>
    <row r="3052" spans="1:7" ht="12.75" x14ac:dyDescent="0.2">
      <c r="A3052" s="3"/>
      <c r="B3052" s="4"/>
      <c r="G3052" s="19"/>
    </row>
    <row r="3053" spans="1:7" ht="12.75" x14ac:dyDescent="0.2">
      <c r="A3053" s="3"/>
      <c r="B3053" s="4"/>
      <c r="G3053" s="19"/>
    </row>
    <row r="3054" spans="1:7" ht="12.75" x14ac:dyDescent="0.2">
      <c r="A3054" s="3"/>
      <c r="B3054" s="4"/>
      <c r="G3054" s="19"/>
    </row>
    <row r="3055" spans="1:7" ht="12.75" x14ac:dyDescent="0.2">
      <c r="A3055" s="3"/>
      <c r="B3055" s="4"/>
      <c r="G3055" s="19"/>
    </row>
    <row r="3056" spans="1:7" ht="12.75" x14ac:dyDescent="0.2">
      <c r="A3056" s="3"/>
      <c r="B3056" s="4"/>
      <c r="G3056" s="19"/>
    </row>
    <row r="3057" spans="1:7" ht="12.75" x14ac:dyDescent="0.2">
      <c r="A3057" s="3"/>
      <c r="B3057" s="4"/>
      <c r="G3057" s="19"/>
    </row>
    <row r="3058" spans="1:7" ht="12.75" x14ac:dyDescent="0.2">
      <c r="A3058" s="3"/>
      <c r="B3058" s="4"/>
      <c r="G3058" s="19"/>
    </row>
    <row r="3059" spans="1:7" ht="12.75" x14ac:dyDescent="0.2">
      <c r="A3059" s="3"/>
      <c r="B3059" s="4"/>
      <c r="G3059" s="19"/>
    </row>
    <row r="3060" spans="1:7" ht="12.75" x14ac:dyDescent="0.2">
      <c r="A3060" s="3"/>
      <c r="B3060" s="4"/>
      <c r="G3060" s="19"/>
    </row>
    <row r="3061" spans="1:7" ht="12.75" x14ac:dyDescent="0.2">
      <c r="A3061" s="3"/>
      <c r="B3061" s="4"/>
      <c r="G3061" s="19"/>
    </row>
    <row r="3062" spans="1:7" ht="12.75" x14ac:dyDescent="0.2">
      <c r="A3062" s="3"/>
      <c r="B3062" s="4"/>
      <c r="G3062" s="19"/>
    </row>
    <row r="3063" spans="1:7" ht="12.75" x14ac:dyDescent="0.2">
      <c r="A3063" s="3"/>
      <c r="B3063" s="4"/>
      <c r="G3063" s="19"/>
    </row>
    <row r="3064" spans="1:7" ht="12.75" x14ac:dyDescent="0.2">
      <c r="A3064" s="3"/>
      <c r="B3064" s="4"/>
      <c r="G3064" s="19"/>
    </row>
    <row r="3065" spans="1:7" ht="12.75" x14ac:dyDescent="0.2">
      <c r="A3065" s="3"/>
      <c r="B3065" s="4"/>
      <c r="G3065" s="19"/>
    </row>
    <row r="3066" spans="1:7" ht="12.75" x14ac:dyDescent="0.2">
      <c r="A3066" s="3"/>
      <c r="B3066" s="4"/>
      <c r="G3066" s="19"/>
    </row>
    <row r="3067" spans="1:7" ht="12.75" x14ac:dyDescent="0.2">
      <c r="A3067" s="3"/>
      <c r="B3067" s="4"/>
      <c r="G3067" s="19"/>
    </row>
    <row r="3068" spans="1:7" ht="12.75" x14ac:dyDescent="0.2">
      <c r="A3068" s="3"/>
      <c r="B3068" s="4"/>
      <c r="G3068" s="19"/>
    </row>
    <row r="3069" spans="1:7" ht="12.75" x14ac:dyDescent="0.2">
      <c r="A3069" s="3"/>
      <c r="B3069" s="4"/>
      <c r="G3069" s="19"/>
    </row>
    <row r="3070" spans="1:7" ht="12.75" x14ac:dyDescent="0.2">
      <c r="A3070" s="3"/>
      <c r="B3070" s="4"/>
      <c r="G3070" s="19"/>
    </row>
  </sheetData>
  <mergeCells count="119">
    <mergeCell ref="G6:G13"/>
    <mergeCell ref="G14:G21"/>
    <mergeCell ref="G22:G29"/>
    <mergeCell ref="G30:G37"/>
    <mergeCell ref="G38:G45"/>
    <mergeCell ref="G46:G53"/>
    <mergeCell ref="G54:G61"/>
    <mergeCell ref="G62:G69"/>
    <mergeCell ref="G70:G77"/>
    <mergeCell ref="G78:G85"/>
    <mergeCell ref="G86:G93"/>
    <mergeCell ref="G94:G101"/>
    <mergeCell ref="G102:G109"/>
    <mergeCell ref="G110:G117"/>
    <mergeCell ref="G118:G125"/>
    <mergeCell ref="G126:G133"/>
    <mergeCell ref="G134:G141"/>
    <mergeCell ref="G142:G149"/>
    <mergeCell ref="G150:G157"/>
    <mergeCell ref="G158:G165"/>
    <mergeCell ref="G166:G173"/>
    <mergeCell ref="G174:G181"/>
    <mergeCell ref="G182:G189"/>
    <mergeCell ref="G190:G197"/>
    <mergeCell ref="G198:G205"/>
    <mergeCell ref="G206:G213"/>
    <mergeCell ref="G214:G221"/>
    <mergeCell ref="G222:G229"/>
    <mergeCell ref="G230:G237"/>
    <mergeCell ref="G238:G245"/>
    <mergeCell ref="G246:G253"/>
    <mergeCell ref="G254:G261"/>
    <mergeCell ref="G262:G269"/>
    <mergeCell ref="G270:G277"/>
    <mergeCell ref="G278:G285"/>
    <mergeCell ref="G286:G293"/>
    <mergeCell ref="G294:G301"/>
    <mergeCell ref="G302:G309"/>
    <mergeCell ref="G310:G317"/>
    <mergeCell ref="G318:G325"/>
    <mergeCell ref="G326:G333"/>
    <mergeCell ref="G334:G341"/>
    <mergeCell ref="G342:G349"/>
    <mergeCell ref="G350:G357"/>
    <mergeCell ref="G358:G365"/>
    <mergeCell ref="G366:G373"/>
    <mergeCell ref="G374:G381"/>
    <mergeCell ref="G382:G389"/>
    <mergeCell ref="G390:G397"/>
    <mergeCell ref="G901:G920"/>
    <mergeCell ref="G921:G940"/>
    <mergeCell ref="G941:G960"/>
    <mergeCell ref="G961:G980"/>
    <mergeCell ref="G981:G1000"/>
    <mergeCell ref="G398:G405"/>
    <mergeCell ref="G406:G413"/>
    <mergeCell ref="G414:G421"/>
    <mergeCell ref="G422:G429"/>
    <mergeCell ref="G430:G437"/>
    <mergeCell ref="G438:G445"/>
    <mergeCell ref="G446:G453"/>
    <mergeCell ref="G454:G461"/>
    <mergeCell ref="G462:G469"/>
    <mergeCell ref="G470:G477"/>
    <mergeCell ref="G478:G485"/>
    <mergeCell ref="G486:G493"/>
    <mergeCell ref="G494:G501"/>
    <mergeCell ref="G502:G509"/>
    <mergeCell ref="G510:G517"/>
    <mergeCell ref="G1001:G1020"/>
    <mergeCell ref="G1021:G1040"/>
    <mergeCell ref="G1181:G1200"/>
    <mergeCell ref="G1201:G1220"/>
    <mergeCell ref="G1221:G1240"/>
    <mergeCell ref="G1241:G1260"/>
    <mergeCell ref="G1261:G1280"/>
    <mergeCell ref="G1281:G1300"/>
    <mergeCell ref="G1301:G1320"/>
    <mergeCell ref="G1041:G1060"/>
    <mergeCell ref="G1061:G1080"/>
    <mergeCell ref="G1081:G1100"/>
    <mergeCell ref="G1101:G1120"/>
    <mergeCell ref="G1121:G1140"/>
    <mergeCell ref="G1141:G1160"/>
    <mergeCell ref="G1161:G1180"/>
    <mergeCell ref="G518:G525"/>
    <mergeCell ref="G526:G533"/>
    <mergeCell ref="G534:G541"/>
    <mergeCell ref="G542:G549"/>
    <mergeCell ref="G550:G557"/>
    <mergeCell ref="G558:G565"/>
    <mergeCell ref="G566:G573"/>
    <mergeCell ref="G574:G581"/>
    <mergeCell ref="G582:G589"/>
    <mergeCell ref="G590:G597"/>
    <mergeCell ref="G598:G605"/>
    <mergeCell ref="G606:G613"/>
    <mergeCell ref="G614:G621"/>
    <mergeCell ref="G622:G629"/>
    <mergeCell ref="G630:G637"/>
    <mergeCell ref="G638:G645"/>
    <mergeCell ref="G646:G653"/>
    <mergeCell ref="G654:G661"/>
    <mergeCell ref="G761:G780"/>
    <mergeCell ref="G781:G800"/>
    <mergeCell ref="G801:G820"/>
    <mergeCell ref="G821:G840"/>
    <mergeCell ref="G841:G860"/>
    <mergeCell ref="G861:G880"/>
    <mergeCell ref="G881:G900"/>
    <mergeCell ref="G662:G669"/>
    <mergeCell ref="G670:G677"/>
    <mergeCell ref="G678:G685"/>
    <mergeCell ref="G686:G693"/>
    <mergeCell ref="G694:G701"/>
    <mergeCell ref="G702:G709"/>
    <mergeCell ref="G710:G717"/>
    <mergeCell ref="G721:G740"/>
    <mergeCell ref="G741:G760"/>
  </mergeCells>
  <dataValidations count="3">
    <dataValidation type="list" allowBlank="1" showErrorMessage="1" sqref="C2319:C3070 C6:C717" xr:uid="{00000000-0002-0000-0900-000000000000}">
      <formula1>$I$4:$I$14</formula1>
    </dataValidation>
    <dataValidation type="list" allowBlank="1" showErrorMessage="1" sqref="C718:C2318" xr:uid="{00000000-0002-0000-0900-000004000000}">
      <formula1>$I$9:$I$11</formula1>
    </dataValidation>
    <dataValidation type="list" allowBlank="1" sqref="D1:D3096" xr:uid="{00000000-0002-0000-0900-00000D000000}">
      <formula1>$J$4:$J$93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13000000}">
          <x14:formula1>
            <xm:f>'Copia de Localidades'!$A$4:$A$111</xm:f>
          </x14:formula1>
          <xm:sqref>B1:B3096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4356"/>
  <sheetViews>
    <sheetView workbookViewId="0"/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11.42578125" customWidth="1"/>
    <col min="8" max="8" width="10.28515625" customWidth="1"/>
    <col min="9" max="9" width="29.28515625" customWidth="1"/>
    <col min="10" max="10" width="39.28515625" customWidth="1"/>
  </cols>
  <sheetData>
    <row r="1" spans="1:10" ht="12.75" x14ac:dyDescent="0.2">
      <c r="A1" s="3" t="s">
        <v>359</v>
      </c>
      <c r="B1" s="18"/>
      <c r="G1" s="13"/>
      <c r="I1" s="3" t="s">
        <v>360</v>
      </c>
    </row>
    <row r="2" spans="1:10" ht="12.75" x14ac:dyDescent="0.2">
      <c r="B2" s="18"/>
      <c r="G2" s="13"/>
    </row>
    <row r="3" spans="1:10" ht="12.75" x14ac:dyDescent="0.2">
      <c r="B3" s="18"/>
      <c r="G3" s="13"/>
      <c r="I3" s="14" t="s">
        <v>0</v>
      </c>
      <c r="J3" s="14" t="s">
        <v>1</v>
      </c>
    </row>
    <row r="4" spans="1:10" ht="12.75" x14ac:dyDescent="0.2">
      <c r="B4" s="18"/>
      <c r="G4" s="13"/>
      <c r="I4" s="3" t="s">
        <v>2</v>
      </c>
      <c r="J4" s="3" t="s">
        <v>3</v>
      </c>
    </row>
    <row r="5" spans="1:10" ht="12.75" x14ac:dyDescent="0.2">
      <c r="A5" s="31" t="s">
        <v>4</v>
      </c>
      <c r="B5" s="17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9" t="s">
        <v>271</v>
      </c>
      <c r="I5" s="3" t="s">
        <v>10</v>
      </c>
      <c r="J5" s="3" t="s">
        <v>11</v>
      </c>
    </row>
    <row r="6" spans="1:10" ht="12.75" x14ac:dyDescent="0.2">
      <c r="A6" s="3">
        <v>1</v>
      </c>
      <c r="B6" s="4" t="s">
        <v>12</v>
      </c>
      <c r="C6" s="3" t="s">
        <v>2</v>
      </c>
      <c r="D6" s="3" t="s">
        <v>3</v>
      </c>
      <c r="E6" s="3">
        <v>454</v>
      </c>
      <c r="G6" s="19"/>
      <c r="I6" s="3" t="s">
        <v>13</v>
      </c>
      <c r="J6" s="3" t="s">
        <v>14</v>
      </c>
    </row>
    <row r="7" spans="1:10" ht="12.75" x14ac:dyDescent="0.2">
      <c r="A7" s="3">
        <v>1</v>
      </c>
      <c r="B7" s="4" t="s">
        <v>12</v>
      </c>
      <c r="C7" s="3" t="s">
        <v>2</v>
      </c>
      <c r="D7" s="3" t="s">
        <v>132</v>
      </c>
      <c r="E7" s="3">
        <v>318</v>
      </c>
      <c r="G7" s="19"/>
      <c r="I7" s="3" t="s">
        <v>15</v>
      </c>
      <c r="J7" s="3" t="s">
        <v>16</v>
      </c>
    </row>
    <row r="8" spans="1:10" ht="12.75" x14ac:dyDescent="0.2">
      <c r="A8" s="3">
        <v>1</v>
      </c>
      <c r="B8" s="4" t="s">
        <v>12</v>
      </c>
      <c r="C8" s="3" t="s">
        <v>2</v>
      </c>
      <c r="D8" s="3" t="s">
        <v>314</v>
      </c>
      <c r="E8" s="3">
        <v>415</v>
      </c>
      <c r="G8" s="19"/>
      <c r="I8" s="3" t="s">
        <v>17</v>
      </c>
      <c r="J8" s="3" t="s">
        <v>18</v>
      </c>
    </row>
    <row r="9" spans="1:10" ht="12.75" x14ac:dyDescent="0.2">
      <c r="A9" s="3">
        <v>1</v>
      </c>
      <c r="B9" s="4" t="s">
        <v>12</v>
      </c>
      <c r="C9" s="3" t="s">
        <v>2</v>
      </c>
      <c r="D9" s="3" t="s">
        <v>14</v>
      </c>
      <c r="E9" s="3">
        <v>74</v>
      </c>
      <c r="G9" s="19"/>
      <c r="I9" s="3" t="s">
        <v>347</v>
      </c>
      <c r="J9" s="3" t="s">
        <v>19</v>
      </c>
    </row>
    <row r="10" spans="1:10" ht="12.75" x14ac:dyDescent="0.2">
      <c r="A10" s="3">
        <v>1</v>
      </c>
      <c r="B10" s="4" t="s">
        <v>12</v>
      </c>
      <c r="C10" s="3" t="s">
        <v>2</v>
      </c>
      <c r="D10" s="3" t="s">
        <v>138</v>
      </c>
      <c r="E10" s="3">
        <v>2</v>
      </c>
      <c r="F10">
        <f>SUM(E6:E10)</f>
        <v>1263</v>
      </c>
      <c r="G10" s="19"/>
      <c r="I10" s="3" t="s">
        <v>273</v>
      </c>
      <c r="J10" s="3" t="s">
        <v>274</v>
      </c>
    </row>
    <row r="11" spans="1:10" ht="12.75" x14ac:dyDescent="0.2">
      <c r="A11" s="3">
        <v>1</v>
      </c>
      <c r="B11" s="4" t="s">
        <v>12</v>
      </c>
      <c r="C11" s="3" t="s">
        <v>10</v>
      </c>
      <c r="D11" s="3" t="s">
        <v>3</v>
      </c>
      <c r="E11" s="3">
        <v>421</v>
      </c>
      <c r="G11" s="19"/>
      <c r="I11" s="3" t="s">
        <v>125</v>
      </c>
      <c r="J11" s="3" t="s">
        <v>20</v>
      </c>
    </row>
    <row r="12" spans="1:10" ht="12.75" x14ac:dyDescent="0.2">
      <c r="A12" s="3">
        <v>1</v>
      </c>
      <c r="B12" s="4" t="s">
        <v>12</v>
      </c>
      <c r="C12" s="3" t="s">
        <v>10</v>
      </c>
      <c r="D12" s="3" t="s">
        <v>132</v>
      </c>
      <c r="E12" s="3">
        <v>269</v>
      </c>
      <c r="G12" s="19"/>
      <c r="I12" s="3" t="s">
        <v>162</v>
      </c>
      <c r="J12" s="3" t="s">
        <v>21</v>
      </c>
    </row>
    <row r="13" spans="1:10" ht="12.75" x14ac:dyDescent="0.2">
      <c r="A13" s="3">
        <v>1</v>
      </c>
      <c r="B13" s="4" t="s">
        <v>12</v>
      </c>
      <c r="C13" s="3" t="s">
        <v>10</v>
      </c>
      <c r="D13" s="3" t="s">
        <v>314</v>
      </c>
      <c r="E13" s="3">
        <v>473</v>
      </c>
      <c r="G13" s="19"/>
      <c r="I13" s="3" t="s">
        <v>161</v>
      </c>
      <c r="J13" s="3" t="s">
        <v>22</v>
      </c>
    </row>
    <row r="14" spans="1:10" ht="12.75" x14ac:dyDescent="0.2">
      <c r="A14" s="3">
        <v>1</v>
      </c>
      <c r="B14" s="4" t="s">
        <v>12</v>
      </c>
      <c r="C14" s="3" t="s">
        <v>10</v>
      </c>
      <c r="D14" s="3" t="s">
        <v>14</v>
      </c>
      <c r="E14" s="3">
        <v>98</v>
      </c>
      <c r="G14" s="19"/>
      <c r="J14" s="3" t="s">
        <v>275</v>
      </c>
    </row>
    <row r="15" spans="1:10" ht="12.75" x14ac:dyDescent="0.2">
      <c r="A15" s="3">
        <v>1</v>
      </c>
      <c r="B15" s="4" t="s">
        <v>12</v>
      </c>
      <c r="C15" s="3" t="s">
        <v>10</v>
      </c>
      <c r="D15" s="3" t="s">
        <v>138</v>
      </c>
      <c r="E15" s="3">
        <v>2</v>
      </c>
      <c r="F15">
        <f>SUM(E11:E15)</f>
        <v>1263</v>
      </c>
      <c r="G15" s="19"/>
      <c r="J15" s="3" t="s">
        <v>276</v>
      </c>
    </row>
    <row r="16" spans="1:10" ht="12.75" x14ac:dyDescent="0.2">
      <c r="A16" s="3">
        <v>1</v>
      </c>
      <c r="B16" s="4" t="s">
        <v>12</v>
      </c>
      <c r="C16" s="3" t="s">
        <v>13</v>
      </c>
      <c r="D16" s="3" t="s">
        <v>3</v>
      </c>
      <c r="E16" s="3">
        <v>386</v>
      </c>
      <c r="G16" s="19"/>
      <c r="J16" s="3" t="s">
        <v>23</v>
      </c>
    </row>
    <row r="17" spans="1:10" ht="12.75" x14ac:dyDescent="0.2">
      <c r="A17" s="3">
        <v>1</v>
      </c>
      <c r="B17" s="4" t="s">
        <v>12</v>
      </c>
      <c r="C17" s="3" t="s">
        <v>13</v>
      </c>
      <c r="D17" s="3" t="s">
        <v>314</v>
      </c>
      <c r="E17" s="3">
        <v>632</v>
      </c>
      <c r="G17" s="19"/>
      <c r="J17" s="3" t="s">
        <v>24</v>
      </c>
    </row>
    <row r="18" spans="1:10" ht="12.75" x14ac:dyDescent="0.2">
      <c r="A18" s="3">
        <v>1</v>
      </c>
      <c r="B18" s="4" t="s">
        <v>12</v>
      </c>
      <c r="C18" s="3" t="s">
        <v>13</v>
      </c>
      <c r="D18" s="3" t="s">
        <v>14</v>
      </c>
      <c r="E18" s="3">
        <v>243</v>
      </c>
      <c r="G18" s="19"/>
      <c r="J18" s="3" t="s">
        <v>26</v>
      </c>
    </row>
    <row r="19" spans="1:10" ht="12.75" x14ac:dyDescent="0.2">
      <c r="A19" s="3">
        <v>1</v>
      </c>
      <c r="B19" s="4" t="s">
        <v>12</v>
      </c>
      <c r="C19" s="3" t="s">
        <v>13</v>
      </c>
      <c r="D19" s="3" t="s">
        <v>138</v>
      </c>
      <c r="E19" s="3">
        <v>2</v>
      </c>
      <c r="F19">
        <f>SUM(E16:E19)</f>
        <v>1263</v>
      </c>
      <c r="G19" s="19"/>
      <c r="J19" s="3" t="s">
        <v>141</v>
      </c>
    </row>
    <row r="20" spans="1:10" ht="12.75" x14ac:dyDescent="0.2">
      <c r="A20" s="3">
        <v>2</v>
      </c>
      <c r="B20" s="4" t="s">
        <v>25</v>
      </c>
      <c r="C20" s="3" t="s">
        <v>2</v>
      </c>
      <c r="D20" s="3" t="s">
        <v>3</v>
      </c>
      <c r="E20" s="3">
        <v>1730</v>
      </c>
      <c r="G20" s="19"/>
      <c r="J20" s="3" t="s">
        <v>27</v>
      </c>
    </row>
    <row r="21" spans="1:10" ht="12.75" x14ac:dyDescent="0.2">
      <c r="A21" s="3">
        <v>2</v>
      </c>
      <c r="B21" s="4" t="s">
        <v>25</v>
      </c>
      <c r="C21" s="3" t="s">
        <v>2</v>
      </c>
      <c r="D21" s="3" t="s">
        <v>315</v>
      </c>
      <c r="E21" s="3">
        <v>298</v>
      </c>
      <c r="G21" s="19"/>
      <c r="J21" s="3" t="s">
        <v>28</v>
      </c>
    </row>
    <row r="22" spans="1:10" ht="12.75" x14ac:dyDescent="0.2">
      <c r="A22" s="3">
        <v>2</v>
      </c>
      <c r="B22" s="4" t="s">
        <v>25</v>
      </c>
      <c r="C22" s="3" t="s">
        <v>2</v>
      </c>
      <c r="D22" s="3" t="s">
        <v>132</v>
      </c>
      <c r="E22" s="3">
        <v>1463</v>
      </c>
      <c r="G22" s="19"/>
      <c r="J22" s="3" t="s">
        <v>29</v>
      </c>
    </row>
    <row r="23" spans="1:10" ht="12.75" x14ac:dyDescent="0.2">
      <c r="A23" s="3">
        <v>2</v>
      </c>
      <c r="B23" s="4" t="s">
        <v>25</v>
      </c>
      <c r="C23" s="3" t="s">
        <v>2</v>
      </c>
      <c r="D23" s="3" t="s">
        <v>14</v>
      </c>
      <c r="E23" s="3">
        <v>372</v>
      </c>
      <c r="G23" s="19"/>
      <c r="J23" s="3" t="s">
        <v>278</v>
      </c>
    </row>
    <row r="24" spans="1:10" ht="12.75" x14ac:dyDescent="0.2">
      <c r="A24" s="3">
        <v>2</v>
      </c>
      <c r="B24" s="4" t="s">
        <v>25</v>
      </c>
      <c r="C24" s="3" t="s">
        <v>2</v>
      </c>
      <c r="D24" s="3" t="s">
        <v>138</v>
      </c>
      <c r="E24" s="3">
        <v>16</v>
      </c>
      <c r="F24">
        <f>SUM(E20:E24)</f>
        <v>3879</v>
      </c>
      <c r="G24" s="19"/>
      <c r="J24" s="3" t="s">
        <v>144</v>
      </c>
    </row>
    <row r="25" spans="1:10" ht="12.75" x14ac:dyDescent="0.2">
      <c r="A25" s="3">
        <v>2</v>
      </c>
      <c r="B25" s="4" t="s">
        <v>25</v>
      </c>
      <c r="C25" s="3" t="s">
        <v>10</v>
      </c>
      <c r="D25" s="3" t="s">
        <v>3</v>
      </c>
      <c r="E25" s="3">
        <v>1680</v>
      </c>
      <c r="G25" s="19"/>
      <c r="J25" s="3" t="s">
        <v>30</v>
      </c>
    </row>
    <row r="26" spans="1:10" ht="12.75" x14ac:dyDescent="0.2">
      <c r="A26" s="3">
        <v>2</v>
      </c>
      <c r="B26" s="4" t="s">
        <v>25</v>
      </c>
      <c r="C26" s="3" t="s">
        <v>10</v>
      </c>
      <c r="D26" s="3" t="s">
        <v>315</v>
      </c>
      <c r="E26" s="3">
        <v>287</v>
      </c>
      <c r="G26" s="19"/>
      <c r="J26" s="3" t="s">
        <v>31</v>
      </c>
    </row>
    <row r="27" spans="1:10" ht="12.75" x14ac:dyDescent="0.2">
      <c r="A27" s="3">
        <v>2</v>
      </c>
      <c r="B27" s="4" t="s">
        <v>25</v>
      </c>
      <c r="C27" s="3" t="s">
        <v>10</v>
      </c>
      <c r="D27" s="3" t="s">
        <v>132</v>
      </c>
      <c r="E27" s="3">
        <v>1441</v>
      </c>
      <c r="G27" s="19"/>
      <c r="J27" s="3" t="s">
        <v>32</v>
      </c>
    </row>
    <row r="28" spans="1:10" ht="12.75" x14ac:dyDescent="0.2">
      <c r="A28" s="3">
        <v>2</v>
      </c>
      <c r="B28" s="4" t="s">
        <v>25</v>
      </c>
      <c r="C28" s="3" t="s">
        <v>10</v>
      </c>
      <c r="D28" s="3" t="s">
        <v>14</v>
      </c>
      <c r="E28" s="3">
        <v>454</v>
      </c>
      <c r="G28" s="19"/>
      <c r="J28" s="3" t="s">
        <v>33</v>
      </c>
    </row>
    <row r="29" spans="1:10" ht="12.75" x14ac:dyDescent="0.2">
      <c r="A29" s="3">
        <v>2</v>
      </c>
      <c r="B29" s="4" t="s">
        <v>25</v>
      </c>
      <c r="C29" s="3" t="s">
        <v>10</v>
      </c>
      <c r="D29" s="3" t="s">
        <v>138</v>
      </c>
      <c r="E29" s="3">
        <v>17</v>
      </c>
      <c r="F29">
        <f>SUM(E25:E29)</f>
        <v>3879</v>
      </c>
      <c r="G29" s="19"/>
      <c r="J29" s="3" t="s">
        <v>142</v>
      </c>
    </row>
    <row r="30" spans="1:10" ht="12.75" x14ac:dyDescent="0.2">
      <c r="A30" s="3">
        <v>2</v>
      </c>
      <c r="B30" s="4" t="s">
        <v>25</v>
      </c>
      <c r="C30" s="3" t="s">
        <v>13</v>
      </c>
      <c r="D30" s="3" t="s">
        <v>3</v>
      </c>
      <c r="E30" s="3">
        <v>1886</v>
      </c>
      <c r="G30" s="19"/>
      <c r="J30" s="3" t="s">
        <v>34</v>
      </c>
    </row>
    <row r="31" spans="1:10" ht="12.75" x14ac:dyDescent="0.2">
      <c r="A31" s="3">
        <v>2</v>
      </c>
      <c r="B31" s="4" t="s">
        <v>25</v>
      </c>
      <c r="C31" s="3" t="s">
        <v>13</v>
      </c>
      <c r="D31" s="3" t="s">
        <v>132</v>
      </c>
      <c r="E31" s="3">
        <v>1311</v>
      </c>
      <c r="G31" s="19"/>
      <c r="J31" s="3" t="s">
        <v>279</v>
      </c>
    </row>
    <row r="32" spans="1:10" ht="12.75" x14ac:dyDescent="0.2">
      <c r="A32" s="3">
        <v>2</v>
      </c>
      <c r="B32" s="4" t="s">
        <v>25</v>
      </c>
      <c r="C32" s="3" t="s">
        <v>13</v>
      </c>
      <c r="D32" s="3" t="s">
        <v>14</v>
      </c>
      <c r="E32" s="3">
        <v>664</v>
      </c>
      <c r="G32" s="19"/>
      <c r="J32" s="3" t="s">
        <v>280</v>
      </c>
    </row>
    <row r="33" spans="1:10" ht="12.75" x14ac:dyDescent="0.2">
      <c r="A33" s="3">
        <v>2</v>
      </c>
      <c r="B33" s="4" t="s">
        <v>25</v>
      </c>
      <c r="C33" s="3" t="s">
        <v>13</v>
      </c>
      <c r="D33" s="3" t="s">
        <v>138</v>
      </c>
      <c r="E33" s="3">
        <v>18</v>
      </c>
      <c r="F33">
        <f>SUM(E30:E33)</f>
        <v>3879</v>
      </c>
      <c r="G33" s="19"/>
      <c r="J33" s="3" t="s">
        <v>281</v>
      </c>
    </row>
    <row r="34" spans="1:10" ht="12.75" x14ac:dyDescent="0.2">
      <c r="A34" s="3">
        <v>3</v>
      </c>
      <c r="B34" s="4" t="s">
        <v>35</v>
      </c>
      <c r="C34" s="3" t="s">
        <v>2</v>
      </c>
      <c r="D34" s="3" t="s">
        <v>3</v>
      </c>
      <c r="E34" s="3">
        <v>1067</v>
      </c>
      <c r="G34" s="19"/>
      <c r="J34" s="3" t="s">
        <v>282</v>
      </c>
    </row>
    <row r="35" spans="1:10" ht="12.75" x14ac:dyDescent="0.2">
      <c r="A35" s="3">
        <v>3</v>
      </c>
      <c r="B35" s="4" t="s">
        <v>35</v>
      </c>
      <c r="C35" s="3" t="s">
        <v>2</v>
      </c>
      <c r="D35" s="3" t="s">
        <v>132</v>
      </c>
      <c r="E35" s="3">
        <v>769</v>
      </c>
      <c r="G35" s="19"/>
      <c r="J35" s="3" t="s">
        <v>283</v>
      </c>
    </row>
    <row r="36" spans="1:10" ht="12.75" x14ac:dyDescent="0.2">
      <c r="A36" s="3">
        <v>3</v>
      </c>
      <c r="B36" s="4" t="s">
        <v>35</v>
      </c>
      <c r="C36" s="3" t="s">
        <v>2</v>
      </c>
      <c r="D36" s="3" t="s">
        <v>14</v>
      </c>
      <c r="E36" s="3">
        <v>55</v>
      </c>
      <c r="G36" s="19"/>
      <c r="J36" s="3" t="s">
        <v>284</v>
      </c>
    </row>
    <row r="37" spans="1:10" ht="12.75" x14ac:dyDescent="0.2">
      <c r="A37" s="3">
        <v>3</v>
      </c>
      <c r="B37" s="4" t="s">
        <v>35</v>
      </c>
      <c r="C37" s="3" t="s">
        <v>2</v>
      </c>
      <c r="D37" s="3" t="s">
        <v>138</v>
      </c>
      <c r="E37" s="3">
        <v>1</v>
      </c>
      <c r="F37">
        <f>SUM(E34:E37)</f>
        <v>1892</v>
      </c>
      <c r="G37" s="19"/>
      <c r="J37" s="3" t="s">
        <v>285</v>
      </c>
    </row>
    <row r="38" spans="1:10" ht="12.75" x14ac:dyDescent="0.2">
      <c r="A38" s="3">
        <v>3</v>
      </c>
      <c r="B38" s="4" t="s">
        <v>35</v>
      </c>
      <c r="C38" s="3" t="s">
        <v>10</v>
      </c>
      <c r="D38" s="3" t="s">
        <v>3</v>
      </c>
      <c r="E38" s="3">
        <v>1024</v>
      </c>
      <c r="G38" s="19"/>
      <c r="J38" s="3" t="s">
        <v>286</v>
      </c>
    </row>
    <row r="39" spans="1:10" ht="12.75" x14ac:dyDescent="0.2">
      <c r="A39" s="3">
        <v>3</v>
      </c>
      <c r="B39" s="4" t="s">
        <v>35</v>
      </c>
      <c r="C39" s="3" t="s">
        <v>10</v>
      </c>
      <c r="D39" s="3" t="s">
        <v>132</v>
      </c>
      <c r="E39" s="3">
        <v>791</v>
      </c>
      <c r="G39" s="19"/>
      <c r="J39" s="3" t="s">
        <v>149</v>
      </c>
    </row>
    <row r="40" spans="1:10" ht="12.75" x14ac:dyDescent="0.2">
      <c r="A40" s="3">
        <v>3</v>
      </c>
      <c r="B40" s="4" t="s">
        <v>35</v>
      </c>
      <c r="C40" s="3" t="s">
        <v>10</v>
      </c>
      <c r="D40" s="3" t="s">
        <v>14</v>
      </c>
      <c r="E40" s="3">
        <v>77</v>
      </c>
      <c r="F40">
        <f>SUM(E38:E40)</f>
        <v>1892</v>
      </c>
      <c r="G40" s="19"/>
      <c r="J40" s="3" t="s">
        <v>287</v>
      </c>
    </row>
    <row r="41" spans="1:10" ht="12.75" x14ac:dyDescent="0.2">
      <c r="A41" s="3">
        <v>3</v>
      </c>
      <c r="B41" s="4" t="s">
        <v>35</v>
      </c>
      <c r="C41" s="3" t="s">
        <v>13</v>
      </c>
      <c r="D41" s="3" t="s">
        <v>3</v>
      </c>
      <c r="E41" s="3">
        <v>1098</v>
      </c>
      <c r="G41" s="19"/>
      <c r="J41" s="3" t="s">
        <v>288</v>
      </c>
    </row>
    <row r="42" spans="1:10" ht="12.75" x14ac:dyDescent="0.2">
      <c r="A42" s="3">
        <v>3</v>
      </c>
      <c r="B42" s="4" t="s">
        <v>35</v>
      </c>
      <c r="C42" s="3" t="s">
        <v>13</v>
      </c>
      <c r="D42" s="3" t="s">
        <v>132</v>
      </c>
      <c r="E42" s="3">
        <v>721</v>
      </c>
      <c r="G42" s="19"/>
      <c r="J42" s="3" t="s">
        <v>289</v>
      </c>
    </row>
    <row r="43" spans="1:10" ht="12.75" x14ac:dyDescent="0.2">
      <c r="A43" s="3">
        <v>3</v>
      </c>
      <c r="B43" s="4" t="s">
        <v>35</v>
      </c>
      <c r="C43" s="3" t="s">
        <v>13</v>
      </c>
      <c r="D43" s="3" t="s">
        <v>14</v>
      </c>
      <c r="E43" s="3">
        <v>73</v>
      </c>
      <c r="F43">
        <f>SUM(E41:E43)</f>
        <v>1892</v>
      </c>
      <c r="G43" s="19"/>
      <c r="J43" s="3" t="s">
        <v>290</v>
      </c>
    </row>
    <row r="44" spans="1:10" ht="12.75" x14ac:dyDescent="0.2">
      <c r="A44" s="3">
        <v>4</v>
      </c>
      <c r="B44" s="4" t="s">
        <v>36</v>
      </c>
      <c r="C44" s="3" t="s">
        <v>2</v>
      </c>
      <c r="D44" s="3" t="s">
        <v>3</v>
      </c>
      <c r="E44" s="3">
        <v>284</v>
      </c>
      <c r="G44" s="19"/>
      <c r="J44" s="3" t="s">
        <v>291</v>
      </c>
    </row>
    <row r="45" spans="1:10" ht="12.75" x14ac:dyDescent="0.2">
      <c r="A45" s="3">
        <v>4</v>
      </c>
      <c r="B45" s="4" t="s">
        <v>36</v>
      </c>
      <c r="C45" s="3" t="s">
        <v>2</v>
      </c>
      <c r="D45" s="3" t="s">
        <v>132</v>
      </c>
      <c r="E45" s="3">
        <v>264</v>
      </c>
      <c r="G45" s="19"/>
      <c r="J45" s="3" t="s">
        <v>292</v>
      </c>
    </row>
    <row r="46" spans="1:10" ht="12.75" x14ac:dyDescent="0.2">
      <c r="A46" s="3">
        <v>4</v>
      </c>
      <c r="B46" s="4" t="s">
        <v>36</v>
      </c>
      <c r="C46" s="3" t="s">
        <v>2</v>
      </c>
      <c r="D46" s="3" t="s">
        <v>14</v>
      </c>
      <c r="E46" s="3">
        <v>29</v>
      </c>
      <c r="G46" s="19"/>
      <c r="J46" s="3" t="s">
        <v>293</v>
      </c>
    </row>
    <row r="47" spans="1:10" ht="12.75" x14ac:dyDescent="0.2">
      <c r="A47" s="3">
        <v>4</v>
      </c>
      <c r="B47" s="4" t="s">
        <v>36</v>
      </c>
      <c r="C47" s="3" t="s">
        <v>2</v>
      </c>
      <c r="D47" s="3" t="s">
        <v>138</v>
      </c>
      <c r="E47" s="3">
        <v>1</v>
      </c>
      <c r="F47">
        <f>SUM(E44:E47)</f>
        <v>578</v>
      </c>
      <c r="G47" s="19"/>
      <c r="J47" s="3" t="s">
        <v>140</v>
      </c>
    </row>
    <row r="48" spans="1:10" ht="12.75" x14ac:dyDescent="0.2">
      <c r="A48" s="3">
        <v>4</v>
      </c>
      <c r="B48" s="4" t="s">
        <v>36</v>
      </c>
      <c r="C48" s="3" t="s">
        <v>10</v>
      </c>
      <c r="D48" s="3" t="s">
        <v>3</v>
      </c>
      <c r="E48" s="3">
        <v>268</v>
      </c>
      <c r="G48" s="19"/>
      <c r="J48" s="3" t="s">
        <v>294</v>
      </c>
    </row>
    <row r="49" spans="1:10" ht="12.75" x14ac:dyDescent="0.2">
      <c r="A49" s="3">
        <v>4</v>
      </c>
      <c r="B49" s="4" t="s">
        <v>36</v>
      </c>
      <c r="C49" s="3" t="s">
        <v>10</v>
      </c>
      <c r="D49" s="3" t="s">
        <v>132</v>
      </c>
      <c r="E49" s="3">
        <v>260</v>
      </c>
      <c r="G49" s="19"/>
      <c r="J49" s="3" t="s">
        <v>295</v>
      </c>
    </row>
    <row r="50" spans="1:10" ht="12.75" x14ac:dyDescent="0.2">
      <c r="A50" s="3">
        <v>4</v>
      </c>
      <c r="B50" s="4" t="s">
        <v>36</v>
      </c>
      <c r="C50" s="3" t="s">
        <v>10</v>
      </c>
      <c r="D50" s="3" t="s">
        <v>14</v>
      </c>
      <c r="E50" s="3">
        <v>49</v>
      </c>
      <c r="G50" s="19"/>
      <c r="J50" s="3" t="s">
        <v>296</v>
      </c>
    </row>
    <row r="51" spans="1:10" ht="12.75" x14ac:dyDescent="0.2">
      <c r="A51" s="3">
        <v>4</v>
      </c>
      <c r="B51" s="4" t="s">
        <v>36</v>
      </c>
      <c r="C51" s="3" t="s">
        <v>10</v>
      </c>
      <c r="D51" s="3" t="s">
        <v>138</v>
      </c>
      <c r="E51" s="3">
        <v>1</v>
      </c>
      <c r="F51">
        <f>SUM(E48:E51)</f>
        <v>578</v>
      </c>
      <c r="G51" s="19"/>
      <c r="J51" s="3"/>
    </row>
    <row r="52" spans="1:10" ht="12.75" x14ac:dyDescent="0.2">
      <c r="A52" s="3">
        <v>4</v>
      </c>
      <c r="B52" s="4" t="s">
        <v>36</v>
      </c>
      <c r="C52" s="3" t="s">
        <v>13</v>
      </c>
      <c r="D52" s="3" t="s">
        <v>3</v>
      </c>
      <c r="E52" s="3">
        <v>280</v>
      </c>
      <c r="G52" s="19"/>
      <c r="J52" s="3" t="s">
        <v>297</v>
      </c>
    </row>
    <row r="53" spans="1:10" ht="12.75" x14ac:dyDescent="0.2">
      <c r="A53" s="3">
        <v>4</v>
      </c>
      <c r="B53" s="4" t="s">
        <v>36</v>
      </c>
      <c r="C53" s="3" t="s">
        <v>13</v>
      </c>
      <c r="D53" s="3" t="s">
        <v>132</v>
      </c>
      <c r="E53" s="3">
        <v>268</v>
      </c>
      <c r="G53" s="19"/>
      <c r="J53" s="3" t="s">
        <v>298</v>
      </c>
    </row>
    <row r="54" spans="1:10" ht="12.75" x14ac:dyDescent="0.2">
      <c r="A54" s="3">
        <v>4</v>
      </c>
      <c r="B54" s="4" t="s">
        <v>36</v>
      </c>
      <c r="C54" s="3" t="s">
        <v>13</v>
      </c>
      <c r="D54" s="3" t="s">
        <v>14</v>
      </c>
      <c r="E54" s="3">
        <v>29</v>
      </c>
      <c r="G54" s="19"/>
      <c r="J54" s="3" t="s">
        <v>299</v>
      </c>
    </row>
    <row r="55" spans="1:10" ht="12.75" x14ac:dyDescent="0.2">
      <c r="A55" s="3">
        <v>4</v>
      </c>
      <c r="B55" s="4" t="s">
        <v>36</v>
      </c>
      <c r="C55" s="3" t="s">
        <v>13</v>
      </c>
      <c r="D55" s="3" t="s">
        <v>138</v>
      </c>
      <c r="E55" s="3">
        <v>1</v>
      </c>
      <c r="F55">
        <f>SUM(E52:E55)</f>
        <v>578</v>
      </c>
      <c r="G55" s="19"/>
      <c r="J55" s="3"/>
    </row>
    <row r="56" spans="1:10" ht="12.75" x14ac:dyDescent="0.2">
      <c r="A56" s="3">
        <v>5</v>
      </c>
      <c r="B56" s="4" t="s">
        <v>37</v>
      </c>
      <c r="C56" s="3" t="s">
        <v>2</v>
      </c>
      <c r="D56" s="3" t="s">
        <v>3</v>
      </c>
      <c r="E56" s="3">
        <v>173</v>
      </c>
      <c r="G56" s="19"/>
      <c r="J56" s="3" t="s">
        <v>300</v>
      </c>
    </row>
    <row r="57" spans="1:10" ht="12.75" x14ac:dyDescent="0.2">
      <c r="A57" s="3">
        <v>5</v>
      </c>
      <c r="B57" s="4" t="s">
        <v>37</v>
      </c>
      <c r="C57" s="3" t="s">
        <v>2</v>
      </c>
      <c r="D57" s="3" t="s">
        <v>132</v>
      </c>
      <c r="E57" s="3">
        <v>166</v>
      </c>
      <c r="G57" s="19"/>
      <c r="J57" s="3" t="s">
        <v>301</v>
      </c>
    </row>
    <row r="58" spans="1:10" ht="12.75" x14ac:dyDescent="0.2">
      <c r="A58" s="3">
        <v>5</v>
      </c>
      <c r="B58" s="4" t="s">
        <v>37</v>
      </c>
      <c r="C58" s="3" t="s">
        <v>2</v>
      </c>
      <c r="D58" s="3" t="s">
        <v>14</v>
      </c>
      <c r="E58" s="3">
        <v>5</v>
      </c>
      <c r="G58" s="19"/>
      <c r="J58" s="3"/>
    </row>
    <row r="59" spans="1:10" ht="12.75" x14ac:dyDescent="0.2">
      <c r="A59" s="3">
        <v>5</v>
      </c>
      <c r="B59" s="4" t="s">
        <v>37</v>
      </c>
      <c r="C59" s="3" t="s">
        <v>2</v>
      </c>
      <c r="D59" s="3" t="s">
        <v>138</v>
      </c>
      <c r="E59" s="3">
        <v>1</v>
      </c>
      <c r="F59">
        <f>SUM(E56:E59)</f>
        <v>345</v>
      </c>
      <c r="G59" s="19"/>
      <c r="J59" s="3"/>
    </row>
    <row r="60" spans="1:10" ht="12.75" x14ac:dyDescent="0.2">
      <c r="A60" s="3">
        <v>5</v>
      </c>
      <c r="B60" s="4" t="s">
        <v>37</v>
      </c>
      <c r="C60" s="3" t="s">
        <v>2</v>
      </c>
      <c r="D60" s="3" t="s">
        <v>3</v>
      </c>
      <c r="E60" s="3">
        <v>166</v>
      </c>
      <c r="G60" s="19"/>
      <c r="J60" s="3" t="s">
        <v>302</v>
      </c>
    </row>
    <row r="61" spans="1:10" ht="12.75" x14ac:dyDescent="0.2">
      <c r="A61" s="3">
        <v>5</v>
      </c>
      <c r="B61" s="4" t="s">
        <v>37</v>
      </c>
      <c r="C61" s="3" t="s">
        <v>10</v>
      </c>
      <c r="D61" s="3" t="s">
        <v>132</v>
      </c>
      <c r="E61" s="3">
        <v>168</v>
      </c>
      <c r="G61" s="19"/>
      <c r="J61" s="3" t="s">
        <v>303</v>
      </c>
    </row>
    <row r="62" spans="1:10" ht="12.75" x14ac:dyDescent="0.2">
      <c r="A62" s="3">
        <v>5</v>
      </c>
      <c r="B62" s="4" t="s">
        <v>37</v>
      </c>
      <c r="C62" s="3" t="s">
        <v>10</v>
      </c>
      <c r="D62" s="3" t="s">
        <v>14</v>
      </c>
      <c r="E62" s="3">
        <v>10</v>
      </c>
      <c r="G62" s="19"/>
      <c r="J62" s="3" t="s">
        <v>304</v>
      </c>
    </row>
    <row r="63" spans="1:10" ht="12.75" x14ac:dyDescent="0.2">
      <c r="A63" s="3">
        <v>5</v>
      </c>
      <c r="B63" s="4" t="s">
        <v>37</v>
      </c>
      <c r="C63" s="3" t="s">
        <v>10</v>
      </c>
      <c r="D63" s="3" t="s">
        <v>138</v>
      </c>
      <c r="E63" s="3">
        <v>1</v>
      </c>
      <c r="F63">
        <f>SUM(E60:E63)</f>
        <v>345</v>
      </c>
      <c r="G63" s="19"/>
      <c r="J63" s="3" t="s">
        <v>305</v>
      </c>
    </row>
    <row r="64" spans="1:10" ht="12.75" x14ac:dyDescent="0.2">
      <c r="A64" s="3">
        <v>5</v>
      </c>
      <c r="B64" s="4" t="s">
        <v>37</v>
      </c>
      <c r="C64" s="3" t="s">
        <v>13</v>
      </c>
      <c r="D64" s="3" t="s">
        <v>3</v>
      </c>
      <c r="E64" s="3">
        <v>167</v>
      </c>
      <c r="G64" s="19"/>
      <c r="J64" s="3"/>
    </row>
    <row r="65" spans="1:10" ht="12.75" x14ac:dyDescent="0.2">
      <c r="A65" s="3">
        <v>5</v>
      </c>
      <c r="B65" s="4" t="s">
        <v>37</v>
      </c>
      <c r="C65" s="3" t="s">
        <v>13</v>
      </c>
      <c r="D65" s="3" t="s">
        <v>132</v>
      </c>
      <c r="E65" s="3">
        <v>167</v>
      </c>
      <c r="G65" s="19"/>
      <c r="J65" s="3" t="s">
        <v>306</v>
      </c>
    </row>
    <row r="66" spans="1:10" ht="12.75" x14ac:dyDescent="0.2">
      <c r="A66" s="3">
        <v>5</v>
      </c>
      <c r="B66" s="4" t="s">
        <v>37</v>
      </c>
      <c r="C66" s="3" t="s">
        <v>13</v>
      </c>
      <c r="D66" s="3" t="s">
        <v>14</v>
      </c>
      <c r="E66" s="3">
        <v>9</v>
      </c>
      <c r="G66" s="19"/>
      <c r="J66" s="3" t="s">
        <v>318</v>
      </c>
    </row>
    <row r="67" spans="1:10" ht="12.75" x14ac:dyDescent="0.2">
      <c r="A67" s="3">
        <v>5</v>
      </c>
      <c r="B67" s="4" t="s">
        <v>37</v>
      </c>
      <c r="C67" s="3" t="s">
        <v>13</v>
      </c>
      <c r="D67" s="3" t="s">
        <v>138</v>
      </c>
      <c r="E67" s="3">
        <v>2</v>
      </c>
      <c r="F67">
        <f>SUM(E64:E67)</f>
        <v>345</v>
      </c>
      <c r="G67" s="19"/>
      <c r="J67" s="3" t="s">
        <v>308</v>
      </c>
    </row>
    <row r="68" spans="1:10" ht="12.75" x14ac:dyDescent="0.2">
      <c r="A68" s="3">
        <v>6</v>
      </c>
      <c r="B68" s="4" t="s">
        <v>38</v>
      </c>
      <c r="C68" s="3" t="s">
        <v>2</v>
      </c>
      <c r="D68" s="3" t="s">
        <v>3</v>
      </c>
      <c r="E68" s="3">
        <v>693</v>
      </c>
      <c r="G68" s="19"/>
      <c r="J68" s="3" t="s">
        <v>309</v>
      </c>
    </row>
    <row r="69" spans="1:10" ht="12.75" x14ac:dyDescent="0.2">
      <c r="A69" s="3">
        <v>6</v>
      </c>
      <c r="B69" s="4" t="s">
        <v>38</v>
      </c>
      <c r="C69" s="3" t="s">
        <v>2</v>
      </c>
      <c r="D69" s="3" t="s">
        <v>132</v>
      </c>
      <c r="E69" s="3">
        <v>766</v>
      </c>
      <c r="G69" s="19"/>
      <c r="J69" s="3" t="s">
        <v>310</v>
      </c>
    </row>
    <row r="70" spans="1:10" ht="12.75" x14ac:dyDescent="0.2">
      <c r="A70" s="3">
        <v>6</v>
      </c>
      <c r="B70" s="4" t="s">
        <v>38</v>
      </c>
      <c r="C70" s="3" t="s">
        <v>2</v>
      </c>
      <c r="D70" s="3" t="s">
        <v>14</v>
      </c>
      <c r="E70" s="3">
        <v>75</v>
      </c>
      <c r="G70" s="19"/>
      <c r="J70" s="3" t="s">
        <v>311</v>
      </c>
    </row>
    <row r="71" spans="1:10" ht="12.75" x14ac:dyDescent="0.2">
      <c r="A71" s="3">
        <v>6</v>
      </c>
      <c r="B71" s="4" t="s">
        <v>38</v>
      </c>
      <c r="C71" s="3" t="s">
        <v>2</v>
      </c>
      <c r="D71" s="3" t="s">
        <v>138</v>
      </c>
      <c r="E71" s="3">
        <v>7</v>
      </c>
      <c r="F71">
        <f>SUM(E68:E71)</f>
        <v>1541</v>
      </c>
      <c r="G71" s="19"/>
      <c r="J71" s="3" t="s">
        <v>143</v>
      </c>
    </row>
    <row r="72" spans="1:10" ht="12.75" x14ac:dyDescent="0.2">
      <c r="A72" s="3">
        <v>6</v>
      </c>
      <c r="B72" s="4" t="s">
        <v>38</v>
      </c>
      <c r="C72" s="3" t="s">
        <v>10</v>
      </c>
      <c r="D72" s="3" t="s">
        <v>3</v>
      </c>
      <c r="E72" s="3">
        <v>684</v>
      </c>
      <c r="G72" s="19"/>
      <c r="J72" s="3" t="s">
        <v>312</v>
      </c>
    </row>
    <row r="73" spans="1:10" ht="12.75" x14ac:dyDescent="0.2">
      <c r="A73" s="3">
        <v>6</v>
      </c>
      <c r="B73" s="4" t="s">
        <v>38</v>
      </c>
      <c r="C73" s="3" t="s">
        <v>10</v>
      </c>
      <c r="D73" s="3" t="s">
        <v>132</v>
      </c>
      <c r="E73" s="3">
        <v>746</v>
      </c>
      <c r="G73" s="19"/>
      <c r="I73" s="3"/>
      <c r="J73" s="3" t="s">
        <v>313</v>
      </c>
    </row>
    <row r="74" spans="1:10" ht="12.75" x14ac:dyDescent="0.2">
      <c r="A74" s="3">
        <v>6</v>
      </c>
      <c r="B74" s="4" t="s">
        <v>38</v>
      </c>
      <c r="C74" s="3" t="s">
        <v>10</v>
      </c>
      <c r="D74" s="3" t="s">
        <v>14</v>
      </c>
      <c r="E74" s="3">
        <v>103</v>
      </c>
      <c r="G74" s="19"/>
      <c r="J74" s="3" t="s">
        <v>132</v>
      </c>
    </row>
    <row r="75" spans="1:10" ht="12.75" x14ac:dyDescent="0.2">
      <c r="A75" s="3">
        <v>6</v>
      </c>
      <c r="B75" s="4" t="s">
        <v>38</v>
      </c>
      <c r="C75" s="3" t="s">
        <v>10</v>
      </c>
      <c r="D75" s="3" t="s">
        <v>138</v>
      </c>
      <c r="E75" s="3">
        <v>8</v>
      </c>
      <c r="F75">
        <f>SUM(E72:E75)</f>
        <v>1541</v>
      </c>
      <c r="G75" s="19"/>
      <c r="J75" s="3" t="s">
        <v>138</v>
      </c>
    </row>
    <row r="76" spans="1:10" ht="12.75" x14ac:dyDescent="0.2">
      <c r="A76" s="3">
        <v>6</v>
      </c>
      <c r="B76" s="4" t="s">
        <v>38</v>
      </c>
      <c r="C76" s="3" t="s">
        <v>13</v>
      </c>
      <c r="D76" s="3" t="s">
        <v>3</v>
      </c>
      <c r="E76" s="3">
        <v>704</v>
      </c>
      <c r="G76" s="19"/>
      <c r="J76" s="3" t="s">
        <v>314</v>
      </c>
    </row>
    <row r="77" spans="1:10" ht="12.75" x14ac:dyDescent="0.2">
      <c r="A77" s="3">
        <v>6</v>
      </c>
      <c r="B77" s="4" t="s">
        <v>38</v>
      </c>
      <c r="C77" s="3" t="s">
        <v>13</v>
      </c>
      <c r="D77" s="3" t="s">
        <v>132</v>
      </c>
      <c r="E77" s="3">
        <v>736</v>
      </c>
      <c r="G77" s="19"/>
      <c r="J77" s="3" t="s">
        <v>315</v>
      </c>
    </row>
    <row r="78" spans="1:10" ht="12.75" x14ac:dyDescent="0.2">
      <c r="A78" s="3">
        <v>6</v>
      </c>
      <c r="B78" s="4" t="s">
        <v>38</v>
      </c>
      <c r="C78" s="3" t="s">
        <v>13</v>
      </c>
      <c r="D78" s="3" t="s">
        <v>14</v>
      </c>
      <c r="E78" s="3">
        <v>94</v>
      </c>
      <c r="G78" s="19"/>
      <c r="J78" s="3" t="s">
        <v>316</v>
      </c>
    </row>
    <row r="79" spans="1:10" ht="12.75" x14ac:dyDescent="0.2">
      <c r="A79" s="3">
        <v>6</v>
      </c>
      <c r="B79" s="4" t="s">
        <v>38</v>
      </c>
      <c r="C79" s="3" t="s">
        <v>13</v>
      </c>
      <c r="D79" s="3" t="s">
        <v>138</v>
      </c>
      <c r="E79" s="3">
        <v>7</v>
      </c>
      <c r="F79">
        <f>SUM(E76:E79)</f>
        <v>1541</v>
      </c>
      <c r="G79" s="19"/>
      <c r="J79" s="3" t="s">
        <v>128</v>
      </c>
    </row>
    <row r="80" spans="1:10" ht="12.75" x14ac:dyDescent="0.2">
      <c r="A80" s="2" t="s">
        <v>39</v>
      </c>
      <c r="B80" s="4" t="s">
        <v>40</v>
      </c>
      <c r="C80" s="3" t="s">
        <v>2</v>
      </c>
      <c r="D80" s="3" t="s">
        <v>3</v>
      </c>
      <c r="E80" s="3">
        <v>16833</v>
      </c>
      <c r="G80" s="19"/>
      <c r="J80" s="3" t="s">
        <v>353</v>
      </c>
    </row>
    <row r="81" spans="1:7" ht="12.75" x14ac:dyDescent="0.2">
      <c r="A81" s="2" t="s">
        <v>39</v>
      </c>
      <c r="B81" s="4" t="s">
        <v>40</v>
      </c>
      <c r="C81" s="3" t="s">
        <v>2</v>
      </c>
      <c r="D81" s="3" t="s">
        <v>274</v>
      </c>
      <c r="E81" s="3">
        <v>433</v>
      </c>
      <c r="G81" s="19"/>
    </row>
    <row r="82" spans="1:7" ht="12.75" x14ac:dyDescent="0.2">
      <c r="A82" s="2" t="s">
        <v>39</v>
      </c>
      <c r="B82" s="4" t="s">
        <v>40</v>
      </c>
      <c r="C82" s="3" t="s">
        <v>2</v>
      </c>
      <c r="D82" s="3" t="s">
        <v>315</v>
      </c>
      <c r="E82" s="3">
        <v>1234</v>
      </c>
      <c r="G82" s="19"/>
    </row>
    <row r="83" spans="1:7" ht="12.75" x14ac:dyDescent="0.2">
      <c r="A83" s="2" t="s">
        <v>39</v>
      </c>
      <c r="B83" s="4" t="s">
        <v>40</v>
      </c>
      <c r="C83" s="3" t="s">
        <v>2</v>
      </c>
      <c r="D83" s="3" t="s">
        <v>149</v>
      </c>
      <c r="E83" s="3">
        <v>5509</v>
      </c>
      <c r="G83" s="19"/>
    </row>
    <row r="84" spans="1:7" ht="12.75" x14ac:dyDescent="0.2">
      <c r="A84" s="2" t="s">
        <v>39</v>
      </c>
      <c r="B84" s="4" t="s">
        <v>40</v>
      </c>
      <c r="C84" s="3" t="s">
        <v>2</v>
      </c>
      <c r="D84" s="3" t="s">
        <v>132</v>
      </c>
      <c r="E84" s="3">
        <v>30158</v>
      </c>
      <c r="G84" s="19"/>
    </row>
    <row r="85" spans="1:7" ht="12.75" x14ac:dyDescent="0.2">
      <c r="A85" s="2" t="s">
        <v>39</v>
      </c>
      <c r="B85" s="4" t="s">
        <v>40</v>
      </c>
      <c r="C85" s="3" t="s">
        <v>2</v>
      </c>
      <c r="D85" s="3" t="s">
        <v>275</v>
      </c>
      <c r="E85" s="3">
        <v>915</v>
      </c>
      <c r="G85" s="19"/>
    </row>
    <row r="86" spans="1:7" ht="12.75" x14ac:dyDescent="0.2">
      <c r="A86" s="2" t="s">
        <v>39</v>
      </c>
      <c r="B86" s="4" t="s">
        <v>40</v>
      </c>
      <c r="C86" s="3" t="s">
        <v>2</v>
      </c>
      <c r="D86" s="3" t="s">
        <v>305</v>
      </c>
      <c r="E86" s="3">
        <v>5072</v>
      </c>
      <c r="G86" s="19"/>
    </row>
    <row r="87" spans="1:7" ht="12.75" x14ac:dyDescent="0.2">
      <c r="A87" s="2" t="s">
        <v>39</v>
      </c>
      <c r="B87" s="4" t="s">
        <v>40</v>
      </c>
      <c r="C87" s="3" t="s">
        <v>2</v>
      </c>
      <c r="D87" s="3" t="s">
        <v>14</v>
      </c>
      <c r="E87" s="3">
        <v>9287</v>
      </c>
      <c r="G87" s="19"/>
    </row>
    <row r="88" spans="1:7" ht="12.75" x14ac:dyDescent="0.2">
      <c r="A88" s="2" t="s">
        <v>39</v>
      </c>
      <c r="B88" s="4" t="s">
        <v>40</v>
      </c>
      <c r="C88" s="3" t="s">
        <v>2</v>
      </c>
      <c r="D88" s="3" t="s">
        <v>138</v>
      </c>
      <c r="E88" s="3">
        <v>613</v>
      </c>
      <c r="F88">
        <f>SUM(E80:E88)</f>
        <v>70054</v>
      </c>
      <c r="G88" s="19"/>
    </row>
    <row r="89" spans="1:7" ht="12.75" x14ac:dyDescent="0.2">
      <c r="A89" s="2" t="s">
        <v>39</v>
      </c>
      <c r="B89" s="4" t="s">
        <v>40</v>
      </c>
      <c r="C89" s="3" t="s">
        <v>10</v>
      </c>
      <c r="D89" s="3" t="s">
        <v>3</v>
      </c>
      <c r="E89" s="3">
        <v>16959</v>
      </c>
      <c r="G89" s="19"/>
    </row>
    <row r="90" spans="1:7" ht="12.75" x14ac:dyDescent="0.2">
      <c r="A90" s="2" t="s">
        <v>39</v>
      </c>
      <c r="B90" s="4" t="s">
        <v>40</v>
      </c>
      <c r="C90" s="3" t="s">
        <v>10</v>
      </c>
      <c r="D90" s="3" t="s">
        <v>274</v>
      </c>
      <c r="E90" s="3">
        <v>467</v>
      </c>
      <c r="G90" s="19"/>
    </row>
    <row r="91" spans="1:7" ht="12.75" x14ac:dyDescent="0.2">
      <c r="A91" s="2" t="s">
        <v>39</v>
      </c>
      <c r="B91" s="4" t="s">
        <v>40</v>
      </c>
      <c r="C91" s="3" t="s">
        <v>10</v>
      </c>
      <c r="D91" s="3" t="s">
        <v>315</v>
      </c>
      <c r="E91" s="3">
        <v>1273</v>
      </c>
      <c r="G91" s="19"/>
    </row>
    <row r="92" spans="1:7" ht="12.75" x14ac:dyDescent="0.2">
      <c r="A92" s="2" t="s">
        <v>39</v>
      </c>
      <c r="B92" s="4" t="s">
        <v>40</v>
      </c>
      <c r="C92" s="3" t="s">
        <v>10</v>
      </c>
      <c r="D92" s="3" t="s">
        <v>149</v>
      </c>
      <c r="E92" s="3">
        <v>5525</v>
      </c>
      <c r="G92" s="19"/>
    </row>
    <row r="93" spans="1:7" ht="12.75" x14ac:dyDescent="0.2">
      <c r="A93" s="2" t="s">
        <v>39</v>
      </c>
      <c r="B93" s="4" t="s">
        <v>40</v>
      </c>
      <c r="C93" s="3" t="s">
        <v>10</v>
      </c>
      <c r="D93" s="3" t="s">
        <v>132</v>
      </c>
      <c r="E93" s="3">
        <v>28024</v>
      </c>
      <c r="G93" s="19"/>
    </row>
    <row r="94" spans="1:7" ht="12.75" x14ac:dyDescent="0.2">
      <c r="A94" s="2" t="s">
        <v>39</v>
      </c>
      <c r="B94" s="4" t="s">
        <v>40</v>
      </c>
      <c r="C94" s="3" t="s">
        <v>10</v>
      </c>
      <c r="D94" s="3" t="s">
        <v>275</v>
      </c>
      <c r="E94" s="3">
        <v>986</v>
      </c>
      <c r="G94" s="19"/>
    </row>
    <row r="95" spans="1:7" ht="12.75" x14ac:dyDescent="0.2">
      <c r="A95" s="2" t="s">
        <v>39</v>
      </c>
      <c r="B95" s="4" t="s">
        <v>40</v>
      </c>
      <c r="C95" s="3" t="s">
        <v>10</v>
      </c>
      <c r="D95" s="3" t="s">
        <v>305</v>
      </c>
      <c r="E95" s="3">
        <v>5209</v>
      </c>
      <c r="G95" s="19"/>
    </row>
    <row r="96" spans="1:7" ht="12.75" x14ac:dyDescent="0.2">
      <c r="A96" s="2" t="s">
        <v>39</v>
      </c>
      <c r="B96" s="4" t="s">
        <v>40</v>
      </c>
      <c r="C96" s="3" t="s">
        <v>10</v>
      </c>
      <c r="D96" s="3" t="s">
        <v>14</v>
      </c>
      <c r="E96" s="3">
        <v>11016</v>
      </c>
      <c r="G96" s="19"/>
    </row>
    <row r="97" spans="1:7" ht="12.75" x14ac:dyDescent="0.2">
      <c r="A97" s="2" t="s">
        <v>39</v>
      </c>
      <c r="B97" s="4" t="s">
        <v>40</v>
      </c>
      <c r="C97" s="3" t="s">
        <v>10</v>
      </c>
      <c r="D97" s="3" t="s">
        <v>138</v>
      </c>
      <c r="E97" s="3">
        <v>595</v>
      </c>
      <c r="F97">
        <f>SUM(E89:E97)</f>
        <v>70054</v>
      </c>
      <c r="G97" s="19"/>
    </row>
    <row r="98" spans="1:7" ht="12.75" x14ac:dyDescent="0.2">
      <c r="A98" s="2" t="s">
        <v>39</v>
      </c>
      <c r="B98" s="4" t="s">
        <v>40</v>
      </c>
      <c r="C98" s="3" t="s">
        <v>13</v>
      </c>
      <c r="D98" s="3" t="s">
        <v>3</v>
      </c>
      <c r="E98" s="3">
        <v>16822</v>
      </c>
      <c r="G98" s="19"/>
    </row>
    <row r="99" spans="1:7" ht="12.75" x14ac:dyDescent="0.2">
      <c r="A99" s="2" t="s">
        <v>39</v>
      </c>
      <c r="B99" s="4" t="s">
        <v>40</v>
      </c>
      <c r="C99" s="3" t="s">
        <v>13</v>
      </c>
      <c r="D99" s="3" t="s">
        <v>274</v>
      </c>
      <c r="E99" s="3">
        <v>498</v>
      </c>
      <c r="G99" s="19"/>
    </row>
    <row r="100" spans="1:7" ht="12.75" x14ac:dyDescent="0.2">
      <c r="A100" s="2" t="s">
        <v>39</v>
      </c>
      <c r="B100" s="4" t="s">
        <v>40</v>
      </c>
      <c r="C100" s="3" t="s">
        <v>13</v>
      </c>
      <c r="D100" s="3" t="s">
        <v>315</v>
      </c>
      <c r="E100" s="3">
        <v>1232</v>
      </c>
      <c r="G100" s="19"/>
    </row>
    <row r="101" spans="1:7" ht="12.75" x14ac:dyDescent="0.2">
      <c r="A101" s="2" t="s">
        <v>39</v>
      </c>
      <c r="B101" s="4" t="s">
        <v>40</v>
      </c>
      <c r="C101" s="3" t="s">
        <v>13</v>
      </c>
      <c r="D101" s="3" t="s">
        <v>149</v>
      </c>
      <c r="E101" s="3">
        <v>5523</v>
      </c>
      <c r="G101" s="19"/>
    </row>
    <row r="102" spans="1:7" ht="12.75" x14ac:dyDescent="0.2">
      <c r="A102" s="2" t="s">
        <v>39</v>
      </c>
      <c r="B102" s="4" t="s">
        <v>40</v>
      </c>
      <c r="C102" s="3" t="s">
        <v>13</v>
      </c>
      <c r="D102" s="3" t="s">
        <v>132</v>
      </c>
      <c r="E102" s="3">
        <v>27889</v>
      </c>
      <c r="G102" s="19"/>
    </row>
    <row r="103" spans="1:7" ht="12.75" x14ac:dyDescent="0.2">
      <c r="A103" s="2" t="s">
        <v>39</v>
      </c>
      <c r="B103" s="4" t="s">
        <v>40</v>
      </c>
      <c r="C103" s="3" t="s">
        <v>13</v>
      </c>
      <c r="D103" s="3" t="s">
        <v>275</v>
      </c>
      <c r="E103" s="3">
        <v>976</v>
      </c>
      <c r="G103" s="19"/>
    </row>
    <row r="104" spans="1:7" ht="12.75" x14ac:dyDescent="0.2">
      <c r="A104" s="2" t="s">
        <v>39</v>
      </c>
      <c r="B104" s="4" t="s">
        <v>40</v>
      </c>
      <c r="C104" s="3" t="s">
        <v>13</v>
      </c>
      <c r="D104" s="3" t="s">
        <v>305</v>
      </c>
      <c r="E104" s="3">
        <v>5240</v>
      </c>
      <c r="G104" s="19"/>
    </row>
    <row r="105" spans="1:7" ht="12.75" x14ac:dyDescent="0.2">
      <c r="A105" s="2" t="s">
        <v>39</v>
      </c>
      <c r="B105" s="4" t="s">
        <v>40</v>
      </c>
      <c r="C105" s="3" t="s">
        <v>13</v>
      </c>
      <c r="D105" s="3" t="s">
        <v>14</v>
      </c>
      <c r="E105" s="3">
        <v>11279</v>
      </c>
      <c r="G105" s="19"/>
    </row>
    <row r="106" spans="1:7" ht="12.75" x14ac:dyDescent="0.2">
      <c r="A106" s="2" t="s">
        <v>39</v>
      </c>
      <c r="B106" s="4" t="s">
        <v>40</v>
      </c>
      <c r="C106" s="3" t="s">
        <v>13</v>
      </c>
      <c r="D106" s="3" t="s">
        <v>138</v>
      </c>
      <c r="E106" s="3">
        <v>595</v>
      </c>
      <c r="F106">
        <f>SUM(E98:E106)</f>
        <v>70054</v>
      </c>
      <c r="G106" s="19"/>
    </row>
    <row r="107" spans="1:7" ht="12.75" x14ac:dyDescent="0.2">
      <c r="A107" s="3">
        <v>11</v>
      </c>
      <c r="B107" s="4" t="s">
        <v>41</v>
      </c>
      <c r="C107" s="3" t="s">
        <v>2</v>
      </c>
      <c r="D107" s="3" t="s">
        <v>3</v>
      </c>
      <c r="E107" s="3">
        <v>896</v>
      </c>
      <c r="G107" s="19"/>
    </row>
    <row r="108" spans="1:7" ht="12.75" x14ac:dyDescent="0.2">
      <c r="A108" s="3">
        <v>11</v>
      </c>
      <c r="B108" s="4" t="s">
        <v>41</v>
      </c>
      <c r="C108" s="3" t="s">
        <v>2</v>
      </c>
      <c r="D108" s="3" t="s">
        <v>315</v>
      </c>
      <c r="E108" s="3">
        <v>168</v>
      </c>
      <c r="G108" s="19"/>
    </row>
    <row r="109" spans="1:7" ht="12.75" x14ac:dyDescent="0.2">
      <c r="A109" s="3">
        <v>11</v>
      </c>
      <c r="B109" s="4" t="s">
        <v>41</v>
      </c>
      <c r="C109" s="3" t="s">
        <v>2</v>
      </c>
      <c r="D109" s="3" t="s">
        <v>132</v>
      </c>
      <c r="E109" s="3">
        <v>203</v>
      </c>
      <c r="G109" s="19"/>
    </row>
    <row r="110" spans="1:7" ht="12.75" x14ac:dyDescent="0.2">
      <c r="A110" s="3">
        <v>11</v>
      </c>
      <c r="B110" s="4" t="s">
        <v>41</v>
      </c>
      <c r="C110" s="3" t="s">
        <v>2</v>
      </c>
      <c r="D110" s="3" t="s">
        <v>14</v>
      </c>
      <c r="E110" s="3">
        <v>187</v>
      </c>
      <c r="G110" s="19"/>
    </row>
    <row r="111" spans="1:7" ht="12.75" x14ac:dyDescent="0.2">
      <c r="A111" s="3">
        <v>11</v>
      </c>
      <c r="B111" s="4" t="s">
        <v>41</v>
      </c>
      <c r="C111" s="3" t="s">
        <v>2</v>
      </c>
      <c r="D111" s="3" t="s">
        <v>138</v>
      </c>
      <c r="E111" s="3">
        <v>10</v>
      </c>
      <c r="F111">
        <f>SUM(E107:E111)</f>
        <v>1464</v>
      </c>
      <c r="G111" s="19"/>
    </row>
    <row r="112" spans="1:7" ht="12.75" x14ac:dyDescent="0.2">
      <c r="A112" s="3">
        <v>11</v>
      </c>
      <c r="B112" s="4" t="s">
        <v>41</v>
      </c>
      <c r="C112" s="3" t="s">
        <v>10</v>
      </c>
      <c r="D112" s="3" t="s">
        <v>3</v>
      </c>
      <c r="E112" s="3">
        <v>934</v>
      </c>
      <c r="G112" s="19"/>
    </row>
    <row r="113" spans="1:7" ht="12.75" x14ac:dyDescent="0.2">
      <c r="A113" s="3">
        <v>11</v>
      </c>
      <c r="B113" s="4" t="s">
        <v>41</v>
      </c>
      <c r="C113" s="3" t="s">
        <v>10</v>
      </c>
      <c r="D113" s="3" t="s">
        <v>315</v>
      </c>
      <c r="E113" s="3">
        <v>99</v>
      </c>
      <c r="G113" s="19"/>
    </row>
    <row r="114" spans="1:7" ht="12.75" x14ac:dyDescent="0.2">
      <c r="A114" s="3">
        <v>11</v>
      </c>
      <c r="B114" s="4" t="s">
        <v>41</v>
      </c>
      <c r="C114" s="3" t="s">
        <v>10</v>
      </c>
      <c r="D114" s="3" t="s">
        <v>149</v>
      </c>
      <c r="E114" s="3">
        <v>69</v>
      </c>
      <c r="G114" s="19"/>
    </row>
    <row r="115" spans="1:7" ht="12.75" x14ac:dyDescent="0.2">
      <c r="A115" s="3">
        <v>11</v>
      </c>
      <c r="B115" s="4" t="s">
        <v>41</v>
      </c>
      <c r="C115" s="3" t="s">
        <v>10</v>
      </c>
      <c r="D115" s="3" t="s">
        <v>132</v>
      </c>
      <c r="E115" s="3">
        <v>190</v>
      </c>
      <c r="G115" s="19"/>
    </row>
    <row r="116" spans="1:7" ht="12.75" x14ac:dyDescent="0.2">
      <c r="A116" s="3">
        <v>11</v>
      </c>
      <c r="B116" s="4" t="s">
        <v>41</v>
      </c>
      <c r="C116" s="3" t="s">
        <v>10</v>
      </c>
      <c r="D116" s="3" t="s">
        <v>14</v>
      </c>
      <c r="E116" s="3">
        <v>158</v>
      </c>
      <c r="G116" s="19"/>
    </row>
    <row r="117" spans="1:7" ht="12.75" x14ac:dyDescent="0.2">
      <c r="A117" s="3">
        <v>11</v>
      </c>
      <c r="B117" s="4" t="s">
        <v>41</v>
      </c>
      <c r="C117" s="3" t="s">
        <v>10</v>
      </c>
      <c r="D117" s="3" t="s">
        <v>138</v>
      </c>
      <c r="E117" s="3">
        <v>14</v>
      </c>
      <c r="F117">
        <f>SUM(E112:E117)</f>
        <v>1464</v>
      </c>
      <c r="G117" s="19"/>
    </row>
    <row r="118" spans="1:7" ht="12.75" x14ac:dyDescent="0.2">
      <c r="A118" s="3">
        <v>11</v>
      </c>
      <c r="B118" s="4" t="s">
        <v>41</v>
      </c>
      <c r="C118" s="3" t="s">
        <v>13</v>
      </c>
      <c r="D118" s="3" t="s">
        <v>3</v>
      </c>
      <c r="E118" s="3">
        <v>848</v>
      </c>
      <c r="G118" s="19"/>
    </row>
    <row r="119" spans="1:7" ht="12.75" x14ac:dyDescent="0.2">
      <c r="A119" s="3">
        <v>11</v>
      </c>
      <c r="B119" s="4" t="s">
        <v>41</v>
      </c>
      <c r="C119" s="3" t="s">
        <v>13</v>
      </c>
      <c r="D119" s="3" t="s">
        <v>315</v>
      </c>
      <c r="E119" s="3">
        <v>88</v>
      </c>
      <c r="G119" s="19"/>
    </row>
    <row r="120" spans="1:7" ht="12.75" x14ac:dyDescent="0.2">
      <c r="A120" s="3">
        <v>11</v>
      </c>
      <c r="B120" s="4" t="s">
        <v>41</v>
      </c>
      <c r="C120" s="3" t="s">
        <v>13</v>
      </c>
      <c r="D120" s="3" t="s">
        <v>132</v>
      </c>
      <c r="E120" s="3">
        <v>309</v>
      </c>
      <c r="G120" s="19"/>
    </row>
    <row r="121" spans="1:7" ht="12.75" x14ac:dyDescent="0.2">
      <c r="A121" s="3">
        <v>11</v>
      </c>
      <c r="B121" s="4" t="s">
        <v>41</v>
      </c>
      <c r="C121" s="3" t="s">
        <v>13</v>
      </c>
      <c r="D121" s="3" t="s">
        <v>14</v>
      </c>
      <c r="E121" s="3">
        <v>209</v>
      </c>
      <c r="G121" s="19"/>
    </row>
    <row r="122" spans="1:7" ht="12.75" x14ac:dyDescent="0.2">
      <c r="A122" s="3">
        <v>11</v>
      </c>
      <c r="B122" s="4" t="s">
        <v>41</v>
      </c>
      <c r="C122" s="3" t="s">
        <v>13</v>
      </c>
      <c r="D122" s="3" t="s">
        <v>138</v>
      </c>
      <c r="E122" s="3">
        <v>10</v>
      </c>
      <c r="F122">
        <f>SUM(E118:E122)</f>
        <v>1464</v>
      </c>
      <c r="G122" s="19"/>
    </row>
    <row r="123" spans="1:7" ht="12.75" x14ac:dyDescent="0.2">
      <c r="A123" s="3">
        <v>13</v>
      </c>
      <c r="B123" s="4" t="s">
        <v>42</v>
      </c>
      <c r="C123" s="3" t="s">
        <v>2</v>
      </c>
      <c r="D123" s="3" t="s">
        <v>3</v>
      </c>
      <c r="E123" s="3">
        <v>1681</v>
      </c>
      <c r="G123" s="19"/>
    </row>
    <row r="124" spans="1:7" ht="12.75" x14ac:dyDescent="0.2">
      <c r="A124" s="3">
        <v>13</v>
      </c>
      <c r="B124" s="4" t="s">
        <v>42</v>
      </c>
      <c r="C124" s="3" t="s">
        <v>2</v>
      </c>
      <c r="D124" s="3" t="s">
        <v>132</v>
      </c>
      <c r="E124" s="3">
        <v>1209</v>
      </c>
      <c r="G124" s="19"/>
    </row>
    <row r="125" spans="1:7" ht="12.75" x14ac:dyDescent="0.2">
      <c r="A125" s="3">
        <v>13</v>
      </c>
      <c r="B125" s="4" t="s">
        <v>42</v>
      </c>
      <c r="C125" s="3" t="s">
        <v>2</v>
      </c>
      <c r="D125" s="3" t="s">
        <v>14</v>
      </c>
      <c r="E125" s="3">
        <v>243</v>
      </c>
      <c r="G125" s="19"/>
    </row>
    <row r="126" spans="1:7" ht="12.75" x14ac:dyDescent="0.2">
      <c r="A126" s="3">
        <v>13</v>
      </c>
      <c r="B126" s="4" t="s">
        <v>42</v>
      </c>
      <c r="C126" s="3" t="s">
        <v>2</v>
      </c>
      <c r="D126" s="3" t="s">
        <v>138</v>
      </c>
      <c r="E126" s="3">
        <v>9</v>
      </c>
      <c r="F126">
        <f>SUM(E123:E126)</f>
        <v>3142</v>
      </c>
      <c r="G126" s="19"/>
    </row>
    <row r="127" spans="1:7" ht="12.75" x14ac:dyDescent="0.2">
      <c r="A127" s="3">
        <v>13</v>
      </c>
      <c r="B127" s="4" t="s">
        <v>42</v>
      </c>
      <c r="C127" s="3" t="s">
        <v>10</v>
      </c>
      <c r="D127" s="3" t="s">
        <v>3</v>
      </c>
      <c r="E127" s="3">
        <v>1658</v>
      </c>
      <c r="G127" s="19"/>
    </row>
    <row r="128" spans="1:7" ht="12.75" x14ac:dyDescent="0.2">
      <c r="A128" s="3">
        <v>13</v>
      </c>
      <c r="B128" s="4" t="s">
        <v>42</v>
      </c>
      <c r="C128" s="3" t="s">
        <v>10</v>
      </c>
      <c r="D128" s="3" t="s">
        <v>132</v>
      </c>
      <c r="E128" s="3">
        <v>1159</v>
      </c>
      <c r="G128" s="19"/>
    </row>
    <row r="129" spans="1:7" ht="12.75" x14ac:dyDescent="0.2">
      <c r="A129" s="3">
        <v>13</v>
      </c>
      <c r="B129" s="4" t="s">
        <v>42</v>
      </c>
      <c r="C129" s="3" t="s">
        <v>10</v>
      </c>
      <c r="D129" s="3" t="s">
        <v>14</v>
      </c>
      <c r="E129" s="3">
        <v>315</v>
      </c>
      <c r="G129" s="19"/>
    </row>
    <row r="130" spans="1:7" ht="12.75" x14ac:dyDescent="0.2">
      <c r="A130" s="3">
        <v>13</v>
      </c>
      <c r="B130" s="4" t="s">
        <v>42</v>
      </c>
      <c r="C130" s="3" t="s">
        <v>10</v>
      </c>
      <c r="D130" s="3" t="s">
        <v>138</v>
      </c>
      <c r="E130" s="3">
        <v>10</v>
      </c>
      <c r="F130">
        <f>SUM(E127:E130)</f>
        <v>3142</v>
      </c>
      <c r="G130" s="19"/>
    </row>
    <row r="131" spans="1:7" ht="12.75" x14ac:dyDescent="0.2">
      <c r="A131" s="3">
        <v>13</v>
      </c>
      <c r="B131" s="4" t="s">
        <v>42</v>
      </c>
      <c r="C131" s="3" t="s">
        <v>13</v>
      </c>
      <c r="D131" s="3" t="s">
        <v>3</v>
      </c>
      <c r="E131" s="3">
        <v>1556</v>
      </c>
      <c r="G131" s="19"/>
    </row>
    <row r="132" spans="1:7" ht="12.75" x14ac:dyDescent="0.2">
      <c r="A132" s="3">
        <v>13</v>
      </c>
      <c r="B132" s="4" t="s">
        <v>42</v>
      </c>
      <c r="C132" s="3" t="s">
        <v>13</v>
      </c>
      <c r="D132" s="3" t="s">
        <v>132</v>
      </c>
      <c r="E132" s="3">
        <v>1219</v>
      </c>
      <c r="G132" s="19"/>
    </row>
    <row r="133" spans="1:7" ht="12.75" x14ac:dyDescent="0.2">
      <c r="A133" s="3">
        <v>13</v>
      </c>
      <c r="B133" s="4" t="s">
        <v>42</v>
      </c>
      <c r="C133" s="3" t="s">
        <v>13</v>
      </c>
      <c r="D133" s="3" t="s">
        <v>14</v>
      </c>
      <c r="E133" s="3">
        <v>357</v>
      </c>
      <c r="G133" s="19"/>
    </row>
    <row r="134" spans="1:7" ht="12.75" x14ac:dyDescent="0.2">
      <c r="A134" s="3">
        <v>13</v>
      </c>
      <c r="B134" s="4" t="s">
        <v>42</v>
      </c>
      <c r="C134" s="3" t="s">
        <v>13</v>
      </c>
      <c r="D134" s="3" t="s">
        <v>138</v>
      </c>
      <c r="E134" s="3">
        <v>10</v>
      </c>
      <c r="F134">
        <f>SUM(E131:E134)</f>
        <v>3142</v>
      </c>
      <c r="G134" s="19"/>
    </row>
    <row r="135" spans="1:7" ht="12.75" x14ac:dyDescent="0.2">
      <c r="A135" s="3">
        <v>15</v>
      </c>
      <c r="B135" s="4" t="s">
        <v>43</v>
      </c>
      <c r="C135" s="3" t="s">
        <v>2</v>
      </c>
      <c r="D135" s="3" t="s">
        <v>3</v>
      </c>
      <c r="E135" s="3">
        <v>841</v>
      </c>
      <c r="G135" s="19"/>
    </row>
    <row r="136" spans="1:7" ht="12.75" x14ac:dyDescent="0.2">
      <c r="A136" s="3">
        <v>15</v>
      </c>
      <c r="B136" s="4" t="s">
        <v>43</v>
      </c>
      <c r="C136" s="3" t="s">
        <v>2</v>
      </c>
      <c r="D136" s="3" t="s">
        <v>132</v>
      </c>
      <c r="E136" s="3">
        <v>390</v>
      </c>
      <c r="G136" s="19"/>
    </row>
    <row r="137" spans="1:7" ht="12.75" x14ac:dyDescent="0.2">
      <c r="A137" s="3">
        <v>15</v>
      </c>
      <c r="B137" s="4" t="s">
        <v>43</v>
      </c>
      <c r="C137" s="3" t="s">
        <v>2</v>
      </c>
      <c r="D137" s="3" t="s">
        <v>14</v>
      </c>
      <c r="E137" s="3">
        <v>113</v>
      </c>
      <c r="G137" s="19"/>
    </row>
    <row r="138" spans="1:7" ht="12.75" x14ac:dyDescent="0.2">
      <c r="A138" s="3">
        <v>15</v>
      </c>
      <c r="B138" s="4" t="s">
        <v>43</v>
      </c>
      <c r="C138" s="3" t="s">
        <v>2</v>
      </c>
      <c r="D138" s="3" t="s">
        <v>138</v>
      </c>
      <c r="E138" s="3">
        <v>4</v>
      </c>
      <c r="F138">
        <f>SUM(E135:E138)</f>
        <v>1348</v>
      </c>
      <c r="G138" s="19"/>
    </row>
    <row r="139" spans="1:7" ht="12.75" x14ac:dyDescent="0.2">
      <c r="A139" s="3">
        <v>15</v>
      </c>
      <c r="B139" s="4" t="s">
        <v>43</v>
      </c>
      <c r="C139" s="3" t="s">
        <v>10</v>
      </c>
      <c r="D139" s="3" t="s">
        <v>3</v>
      </c>
      <c r="E139" s="3">
        <v>768</v>
      </c>
      <c r="G139" s="19"/>
    </row>
    <row r="140" spans="1:7" ht="12.75" x14ac:dyDescent="0.2">
      <c r="A140" s="3">
        <v>15</v>
      </c>
      <c r="B140" s="4" t="s">
        <v>43</v>
      </c>
      <c r="C140" s="3" t="s">
        <v>10</v>
      </c>
      <c r="D140" s="3" t="s">
        <v>132</v>
      </c>
      <c r="E140" s="3">
        <v>426</v>
      </c>
      <c r="G140" s="19"/>
    </row>
    <row r="141" spans="1:7" ht="12.75" x14ac:dyDescent="0.2">
      <c r="A141" s="3">
        <v>15</v>
      </c>
      <c r="B141" s="4" t="s">
        <v>43</v>
      </c>
      <c r="C141" s="3" t="s">
        <v>10</v>
      </c>
      <c r="D141" s="3" t="s">
        <v>14</v>
      </c>
      <c r="E141" s="3">
        <v>150</v>
      </c>
      <c r="G141" s="19"/>
    </row>
    <row r="142" spans="1:7" ht="12.75" x14ac:dyDescent="0.2">
      <c r="A142" s="3">
        <v>15</v>
      </c>
      <c r="B142" s="4" t="s">
        <v>43</v>
      </c>
      <c r="C142" s="3" t="s">
        <v>10</v>
      </c>
      <c r="D142" s="3" t="s">
        <v>138</v>
      </c>
      <c r="E142" s="3">
        <v>4</v>
      </c>
      <c r="F142">
        <f>SUM(E139:E142)</f>
        <v>1348</v>
      </c>
      <c r="G142" s="19"/>
    </row>
    <row r="143" spans="1:7" ht="12.75" x14ac:dyDescent="0.2">
      <c r="A143" s="3">
        <v>15</v>
      </c>
      <c r="B143" s="4" t="s">
        <v>43</v>
      </c>
      <c r="C143" s="3" t="s">
        <v>13</v>
      </c>
      <c r="D143" s="3" t="s">
        <v>3</v>
      </c>
      <c r="E143" s="3">
        <v>772</v>
      </c>
      <c r="G143" s="19"/>
    </row>
    <row r="144" spans="1:7" ht="12.75" x14ac:dyDescent="0.2">
      <c r="A144" s="3">
        <v>15</v>
      </c>
      <c r="B144" s="4" t="s">
        <v>43</v>
      </c>
      <c r="C144" s="3" t="s">
        <v>13</v>
      </c>
      <c r="D144" s="3" t="s">
        <v>132</v>
      </c>
      <c r="E144" s="3">
        <v>444</v>
      </c>
      <c r="G144" s="19"/>
    </row>
    <row r="145" spans="1:7" ht="12.75" x14ac:dyDescent="0.2">
      <c r="A145" s="3">
        <v>15</v>
      </c>
      <c r="B145" s="4" t="s">
        <v>43</v>
      </c>
      <c r="C145" s="3" t="s">
        <v>13</v>
      </c>
      <c r="D145" s="3" t="s">
        <v>14</v>
      </c>
      <c r="E145" s="3">
        <v>128</v>
      </c>
      <c r="G145" s="19"/>
    </row>
    <row r="146" spans="1:7" ht="12.75" x14ac:dyDescent="0.2">
      <c r="A146" s="3">
        <v>15</v>
      </c>
      <c r="B146" s="4" t="s">
        <v>43</v>
      </c>
      <c r="C146" s="3" t="s">
        <v>13</v>
      </c>
      <c r="D146" s="3" t="s">
        <v>138</v>
      </c>
      <c r="E146" s="3">
        <v>4</v>
      </c>
      <c r="F146">
        <f>SUM(E143:E146)</f>
        <v>1348</v>
      </c>
      <c r="G146" s="19"/>
    </row>
    <row r="147" spans="1:7" ht="12.75" x14ac:dyDescent="0.2">
      <c r="A147" s="3">
        <v>16</v>
      </c>
      <c r="B147" s="4" t="s">
        <v>44</v>
      </c>
      <c r="C147" s="3" t="s">
        <v>2</v>
      </c>
      <c r="D147" s="3" t="s">
        <v>3</v>
      </c>
      <c r="E147" s="3">
        <v>509</v>
      </c>
      <c r="G147" s="19"/>
    </row>
    <row r="148" spans="1:7" ht="12.75" x14ac:dyDescent="0.2">
      <c r="A148" s="3">
        <v>16</v>
      </c>
      <c r="B148" s="4" t="s">
        <v>44</v>
      </c>
      <c r="C148" s="3" t="s">
        <v>2</v>
      </c>
      <c r="D148" s="3" t="s">
        <v>132</v>
      </c>
      <c r="E148" s="3">
        <v>236</v>
      </c>
      <c r="G148" s="19"/>
    </row>
    <row r="149" spans="1:7" ht="12.75" x14ac:dyDescent="0.2">
      <c r="A149" s="3">
        <v>16</v>
      </c>
      <c r="B149" s="4" t="s">
        <v>44</v>
      </c>
      <c r="C149" s="3" t="s">
        <v>2</v>
      </c>
      <c r="D149" s="3" t="s">
        <v>14</v>
      </c>
      <c r="E149" s="3">
        <v>74</v>
      </c>
      <c r="G149" s="19"/>
    </row>
    <row r="150" spans="1:7" ht="12.75" x14ac:dyDescent="0.2">
      <c r="A150" s="3">
        <v>16</v>
      </c>
      <c r="B150" s="4" t="s">
        <v>44</v>
      </c>
      <c r="C150" s="3" t="s">
        <v>2</v>
      </c>
      <c r="D150" s="3" t="s">
        <v>138</v>
      </c>
      <c r="E150" s="3">
        <v>6</v>
      </c>
      <c r="F150">
        <f>SUM(E147:E150)</f>
        <v>825</v>
      </c>
      <c r="G150" s="19"/>
    </row>
    <row r="151" spans="1:7" ht="12.75" x14ac:dyDescent="0.2">
      <c r="A151" s="3">
        <v>16</v>
      </c>
      <c r="B151" s="4" t="s">
        <v>44</v>
      </c>
      <c r="C151" s="3" t="s">
        <v>10</v>
      </c>
      <c r="D151" s="3" t="s">
        <v>3</v>
      </c>
      <c r="E151" s="3">
        <v>475</v>
      </c>
      <c r="G151" s="19"/>
    </row>
    <row r="152" spans="1:7" ht="12.75" x14ac:dyDescent="0.2">
      <c r="A152" s="3">
        <v>16</v>
      </c>
      <c r="B152" s="4" t="s">
        <v>44</v>
      </c>
      <c r="C152" s="3" t="s">
        <v>10</v>
      </c>
      <c r="D152" s="3" t="s">
        <v>132</v>
      </c>
      <c r="E152" s="3">
        <v>239</v>
      </c>
      <c r="G152" s="19"/>
    </row>
    <row r="153" spans="1:7" ht="12.75" x14ac:dyDescent="0.2">
      <c r="A153" s="3">
        <v>16</v>
      </c>
      <c r="B153" s="4" t="s">
        <v>44</v>
      </c>
      <c r="C153" s="3" t="s">
        <v>10</v>
      </c>
      <c r="D153" s="3" t="s">
        <v>14</v>
      </c>
      <c r="E153" s="3">
        <v>97</v>
      </c>
      <c r="G153" s="19"/>
    </row>
    <row r="154" spans="1:7" ht="12.75" x14ac:dyDescent="0.2">
      <c r="A154" s="3">
        <v>16</v>
      </c>
      <c r="B154" s="4" t="s">
        <v>44</v>
      </c>
      <c r="C154" s="3" t="s">
        <v>10</v>
      </c>
      <c r="D154" s="3" t="s">
        <v>138</v>
      </c>
      <c r="E154" s="3">
        <v>14</v>
      </c>
      <c r="F154">
        <f>SUM(E151:E154)</f>
        <v>825</v>
      </c>
      <c r="G154" s="19"/>
    </row>
    <row r="155" spans="1:7" ht="12.75" x14ac:dyDescent="0.2">
      <c r="A155" s="3">
        <v>16</v>
      </c>
      <c r="B155" s="4" t="s">
        <v>44</v>
      </c>
      <c r="C155" s="3" t="s">
        <v>13</v>
      </c>
      <c r="D155" s="3" t="s">
        <v>3</v>
      </c>
      <c r="E155" s="3">
        <v>439</v>
      </c>
      <c r="G155" s="19"/>
    </row>
    <row r="156" spans="1:7" ht="12.75" x14ac:dyDescent="0.2">
      <c r="A156" s="3">
        <v>16</v>
      </c>
      <c r="B156" s="4" t="s">
        <v>44</v>
      </c>
      <c r="C156" s="3" t="s">
        <v>13</v>
      </c>
      <c r="D156" s="3" t="s">
        <v>132</v>
      </c>
      <c r="E156" s="3">
        <v>279</v>
      </c>
      <c r="G156" s="19"/>
    </row>
    <row r="157" spans="1:7" ht="12.75" x14ac:dyDescent="0.2">
      <c r="A157" s="3">
        <v>16</v>
      </c>
      <c r="B157" s="4" t="s">
        <v>44</v>
      </c>
      <c r="C157" s="3" t="s">
        <v>13</v>
      </c>
      <c r="D157" s="3" t="s">
        <v>14</v>
      </c>
      <c r="E157" s="3">
        <v>94</v>
      </c>
      <c r="G157" s="19"/>
    </row>
    <row r="158" spans="1:7" ht="12.75" x14ac:dyDescent="0.2">
      <c r="A158" s="3">
        <v>16</v>
      </c>
      <c r="B158" s="4" t="s">
        <v>44</v>
      </c>
      <c r="C158" s="3" t="s">
        <v>13</v>
      </c>
      <c r="D158" s="3" t="s">
        <v>138</v>
      </c>
      <c r="E158" s="3">
        <v>13</v>
      </c>
      <c r="F158">
        <f>SUM(E155:E158)</f>
        <v>825</v>
      </c>
      <c r="G158" s="19"/>
    </row>
    <row r="159" spans="1:7" ht="12.75" x14ac:dyDescent="0.2">
      <c r="A159" s="3">
        <v>17</v>
      </c>
      <c r="B159" s="4" t="s">
        <v>45</v>
      </c>
      <c r="C159" s="3" t="s">
        <v>13</v>
      </c>
      <c r="D159" s="3" t="s">
        <v>3</v>
      </c>
      <c r="E159" s="3">
        <v>16</v>
      </c>
      <c r="G159" s="19"/>
    </row>
    <row r="160" spans="1:7" ht="12.75" x14ac:dyDescent="0.2">
      <c r="A160" s="3">
        <v>17</v>
      </c>
      <c r="B160" s="4" t="s">
        <v>45</v>
      </c>
      <c r="C160" s="3" t="s">
        <v>13</v>
      </c>
      <c r="D160" s="3" t="s">
        <v>14</v>
      </c>
      <c r="E160" s="3">
        <v>3</v>
      </c>
      <c r="F160" s="3">
        <f>SUM(E159:E160)</f>
        <v>19</v>
      </c>
      <c r="G160" s="19"/>
    </row>
    <row r="161" spans="1:7" ht="12.75" x14ac:dyDescent="0.2">
      <c r="A161" s="3">
        <v>18</v>
      </c>
      <c r="B161" s="4" t="s">
        <v>46</v>
      </c>
      <c r="C161" s="3" t="s">
        <v>2</v>
      </c>
      <c r="D161" s="3" t="s">
        <v>3</v>
      </c>
      <c r="E161" s="3">
        <v>1192</v>
      </c>
      <c r="G161" s="19"/>
    </row>
    <row r="162" spans="1:7" ht="12.75" x14ac:dyDescent="0.2">
      <c r="A162" s="3">
        <v>18</v>
      </c>
      <c r="B162" s="4" t="s">
        <v>46</v>
      </c>
      <c r="C162" s="3" t="s">
        <v>2</v>
      </c>
      <c r="D162" s="3" t="s">
        <v>276</v>
      </c>
      <c r="E162" s="3">
        <v>750</v>
      </c>
      <c r="G162" s="19"/>
    </row>
    <row r="163" spans="1:7" ht="12.75" x14ac:dyDescent="0.2">
      <c r="A163" s="3">
        <v>18</v>
      </c>
      <c r="B163" s="4" t="s">
        <v>46</v>
      </c>
      <c r="C163" s="3" t="s">
        <v>2</v>
      </c>
      <c r="D163" s="3" t="s">
        <v>14</v>
      </c>
      <c r="E163" s="3">
        <v>128</v>
      </c>
      <c r="G163" s="19"/>
    </row>
    <row r="164" spans="1:7" ht="12.75" x14ac:dyDescent="0.2">
      <c r="A164" s="3">
        <v>18</v>
      </c>
      <c r="B164" s="4" t="s">
        <v>46</v>
      </c>
      <c r="C164" s="3" t="s">
        <v>2</v>
      </c>
      <c r="D164" s="3" t="s">
        <v>138</v>
      </c>
      <c r="E164" s="3">
        <v>6</v>
      </c>
      <c r="F164">
        <f>SUM(E161:E164)</f>
        <v>2076</v>
      </c>
      <c r="G164" s="19"/>
    </row>
    <row r="165" spans="1:7" ht="12.75" x14ac:dyDescent="0.2">
      <c r="A165" s="3">
        <v>18</v>
      </c>
      <c r="B165" s="4" t="s">
        <v>46</v>
      </c>
      <c r="C165" s="3" t="s">
        <v>10</v>
      </c>
      <c r="D165" s="3" t="s">
        <v>3</v>
      </c>
      <c r="E165" s="3">
        <v>1177</v>
      </c>
      <c r="G165" s="19"/>
    </row>
    <row r="166" spans="1:7" ht="12.75" x14ac:dyDescent="0.2">
      <c r="A166" s="3">
        <v>18</v>
      </c>
      <c r="B166" s="4" t="s">
        <v>46</v>
      </c>
      <c r="C166" s="3" t="s">
        <v>10</v>
      </c>
      <c r="D166" s="3" t="s">
        <v>276</v>
      </c>
      <c r="E166" s="3">
        <v>706</v>
      </c>
      <c r="G166" s="19"/>
    </row>
    <row r="167" spans="1:7" ht="12.75" x14ac:dyDescent="0.2">
      <c r="A167" s="3">
        <v>18</v>
      </c>
      <c r="B167" s="4" t="s">
        <v>46</v>
      </c>
      <c r="C167" s="3" t="s">
        <v>10</v>
      </c>
      <c r="D167" s="3" t="s">
        <v>14</v>
      </c>
      <c r="E167" s="3">
        <v>187</v>
      </c>
      <c r="G167" s="19"/>
    </row>
    <row r="168" spans="1:7" ht="12.75" x14ac:dyDescent="0.2">
      <c r="A168" s="3">
        <v>18</v>
      </c>
      <c r="B168" s="4" t="s">
        <v>46</v>
      </c>
      <c r="C168" s="3" t="s">
        <v>10</v>
      </c>
      <c r="D168" s="3" t="s">
        <v>138</v>
      </c>
      <c r="E168" s="3">
        <v>6</v>
      </c>
      <c r="F168">
        <f>SUM(E165:E168)</f>
        <v>2076</v>
      </c>
      <c r="G168" s="19"/>
    </row>
    <row r="169" spans="1:7" ht="12.75" x14ac:dyDescent="0.2">
      <c r="A169" s="3">
        <v>18</v>
      </c>
      <c r="B169" s="4" t="s">
        <v>46</v>
      </c>
      <c r="C169" s="3" t="s">
        <v>13</v>
      </c>
      <c r="D169" s="3" t="s">
        <v>3</v>
      </c>
      <c r="E169" s="3">
        <v>1107</v>
      </c>
      <c r="G169" s="19"/>
    </row>
    <row r="170" spans="1:7" ht="12.75" x14ac:dyDescent="0.2">
      <c r="A170" s="3">
        <v>18</v>
      </c>
      <c r="B170" s="4" t="s">
        <v>46</v>
      </c>
      <c r="C170" s="3" t="s">
        <v>13</v>
      </c>
      <c r="D170" s="3" t="s">
        <v>276</v>
      </c>
      <c r="E170" s="3">
        <v>761</v>
      </c>
      <c r="G170" s="19"/>
    </row>
    <row r="171" spans="1:7" ht="12.75" x14ac:dyDescent="0.2">
      <c r="A171" s="3">
        <v>18</v>
      </c>
      <c r="B171" s="4" t="s">
        <v>46</v>
      </c>
      <c r="C171" s="3" t="s">
        <v>13</v>
      </c>
      <c r="D171" s="3" t="s">
        <v>14</v>
      </c>
      <c r="E171" s="3">
        <v>183</v>
      </c>
      <c r="G171" s="19"/>
    </row>
    <row r="172" spans="1:7" ht="12.75" x14ac:dyDescent="0.2">
      <c r="A172" s="3">
        <v>18</v>
      </c>
      <c r="B172" s="4" t="s">
        <v>46</v>
      </c>
      <c r="C172" s="3" t="s">
        <v>13</v>
      </c>
      <c r="D172" s="3" t="s">
        <v>138</v>
      </c>
      <c r="E172" s="3">
        <v>6</v>
      </c>
      <c r="F172">
        <f>SUM(E169:E172)</f>
        <v>2057</v>
      </c>
      <c r="G172" s="19"/>
    </row>
    <row r="173" spans="1:7" ht="12.75" x14ac:dyDescent="0.2">
      <c r="A173" s="3">
        <v>19</v>
      </c>
      <c r="B173" s="4" t="s">
        <v>47</v>
      </c>
      <c r="C173" s="3" t="s">
        <v>2</v>
      </c>
      <c r="D173" s="3" t="s">
        <v>3</v>
      </c>
      <c r="E173" s="3">
        <v>587</v>
      </c>
      <c r="G173" s="19"/>
    </row>
    <row r="174" spans="1:7" ht="12.75" x14ac:dyDescent="0.2">
      <c r="A174" s="3">
        <v>19</v>
      </c>
      <c r="B174" s="4" t="s">
        <v>47</v>
      </c>
      <c r="C174" s="3" t="s">
        <v>2</v>
      </c>
      <c r="D174" s="3" t="s">
        <v>132</v>
      </c>
      <c r="E174" s="3">
        <v>715</v>
      </c>
      <c r="G174" s="19"/>
    </row>
    <row r="175" spans="1:7" ht="12.75" x14ac:dyDescent="0.2">
      <c r="A175" s="3">
        <v>19</v>
      </c>
      <c r="B175" s="4" t="s">
        <v>47</v>
      </c>
      <c r="C175" s="3" t="s">
        <v>2</v>
      </c>
      <c r="D175" s="3" t="s">
        <v>14</v>
      </c>
      <c r="E175" s="3">
        <v>36</v>
      </c>
      <c r="F175">
        <f>SUM(E173:E175)</f>
        <v>1338</v>
      </c>
      <c r="G175" s="19"/>
    </row>
    <row r="176" spans="1:7" ht="12.75" x14ac:dyDescent="0.2">
      <c r="A176" s="3">
        <v>19</v>
      </c>
      <c r="B176" s="4" t="s">
        <v>47</v>
      </c>
      <c r="C176" s="3" t="s">
        <v>10</v>
      </c>
      <c r="D176" s="3" t="s">
        <v>3</v>
      </c>
      <c r="E176" s="3">
        <v>564</v>
      </c>
      <c r="G176" s="19"/>
    </row>
    <row r="177" spans="1:7" ht="12.75" x14ac:dyDescent="0.2">
      <c r="A177" s="3">
        <v>19</v>
      </c>
      <c r="B177" s="4" t="s">
        <v>47</v>
      </c>
      <c r="C177" s="3" t="s">
        <v>10</v>
      </c>
      <c r="D177" s="3" t="s">
        <v>132</v>
      </c>
      <c r="E177" s="3">
        <v>708</v>
      </c>
      <c r="G177" s="19"/>
    </row>
    <row r="178" spans="1:7" ht="12.75" x14ac:dyDescent="0.2">
      <c r="A178" s="3">
        <v>19</v>
      </c>
      <c r="B178" s="4" t="s">
        <v>47</v>
      </c>
      <c r="C178" s="3" t="s">
        <v>10</v>
      </c>
      <c r="D178" s="3" t="s">
        <v>14</v>
      </c>
      <c r="E178" s="3">
        <v>66</v>
      </c>
      <c r="F178">
        <f>SUM(E176:E178)</f>
        <v>1338</v>
      </c>
      <c r="G178" s="19"/>
    </row>
    <row r="179" spans="1:7" ht="12.75" x14ac:dyDescent="0.2">
      <c r="A179" s="3">
        <v>19</v>
      </c>
      <c r="B179" s="4" t="s">
        <v>47</v>
      </c>
      <c r="C179" s="3" t="s">
        <v>13</v>
      </c>
      <c r="D179" s="3" t="s">
        <v>3</v>
      </c>
      <c r="E179" s="3">
        <v>497</v>
      </c>
      <c r="G179" s="19"/>
    </row>
    <row r="180" spans="1:7" ht="12.75" x14ac:dyDescent="0.2">
      <c r="A180" s="3">
        <v>19</v>
      </c>
      <c r="B180" s="4" t="s">
        <v>47</v>
      </c>
      <c r="C180" s="3" t="s">
        <v>13</v>
      </c>
      <c r="D180" s="3" t="s">
        <v>132</v>
      </c>
      <c r="E180" s="3">
        <v>782</v>
      </c>
      <c r="G180" s="19"/>
    </row>
    <row r="181" spans="1:7" ht="12.75" x14ac:dyDescent="0.2">
      <c r="A181" s="3">
        <v>19</v>
      </c>
      <c r="B181" s="4" t="s">
        <v>47</v>
      </c>
      <c r="C181" s="3" t="s">
        <v>13</v>
      </c>
      <c r="D181" s="3" t="s">
        <v>14</v>
      </c>
      <c r="E181" s="3">
        <v>59</v>
      </c>
      <c r="F181">
        <f>SUM(E179:E181)</f>
        <v>1338</v>
      </c>
      <c r="G181" s="19"/>
    </row>
    <row r="182" spans="1:7" ht="12.75" x14ac:dyDescent="0.2">
      <c r="A182" s="2" t="s">
        <v>48</v>
      </c>
      <c r="B182" s="4" t="s">
        <v>49</v>
      </c>
      <c r="C182" s="3" t="s">
        <v>15</v>
      </c>
      <c r="D182" s="3" t="s">
        <v>3</v>
      </c>
      <c r="E182" s="3">
        <v>54</v>
      </c>
      <c r="G182" s="19"/>
    </row>
    <row r="183" spans="1:7" ht="12.75" x14ac:dyDescent="0.2">
      <c r="A183" s="2" t="s">
        <v>48</v>
      </c>
      <c r="B183" s="4" t="s">
        <v>49</v>
      </c>
      <c r="C183" s="3" t="s">
        <v>15</v>
      </c>
      <c r="D183" s="3" t="s">
        <v>132</v>
      </c>
      <c r="E183" s="3">
        <v>71</v>
      </c>
      <c r="F183">
        <f>SUM(E182:E183)</f>
        <v>125</v>
      </c>
      <c r="G183" s="19"/>
    </row>
    <row r="184" spans="1:7" ht="12.75" x14ac:dyDescent="0.2">
      <c r="A184" s="2" t="s">
        <v>48</v>
      </c>
      <c r="B184" s="4" t="s">
        <v>49</v>
      </c>
      <c r="C184" s="3" t="s">
        <v>17</v>
      </c>
      <c r="D184" s="3" t="s">
        <v>3</v>
      </c>
      <c r="E184" s="3">
        <v>53</v>
      </c>
      <c r="G184" s="19"/>
    </row>
    <row r="185" spans="1:7" ht="12.75" x14ac:dyDescent="0.2">
      <c r="A185" s="2" t="s">
        <v>48</v>
      </c>
      <c r="B185" s="4" t="s">
        <v>49</v>
      </c>
      <c r="C185" s="3" t="s">
        <v>17</v>
      </c>
      <c r="D185" s="3" t="s">
        <v>132</v>
      </c>
      <c r="E185" s="3">
        <v>70</v>
      </c>
      <c r="G185" s="19"/>
    </row>
    <row r="186" spans="1:7" ht="12.75" x14ac:dyDescent="0.2">
      <c r="A186" s="2" t="s">
        <v>48</v>
      </c>
      <c r="B186" s="4" t="s">
        <v>49</v>
      </c>
      <c r="C186" s="3" t="s">
        <v>17</v>
      </c>
      <c r="D186" s="3" t="s">
        <v>14</v>
      </c>
      <c r="E186" s="3">
        <v>2</v>
      </c>
      <c r="F186">
        <f>SUM(E184:E186)</f>
        <v>125</v>
      </c>
      <c r="G186" s="19"/>
    </row>
    <row r="187" spans="1:7" ht="12.75" x14ac:dyDescent="0.2">
      <c r="A187" s="3">
        <v>20</v>
      </c>
      <c r="B187" s="4" t="s">
        <v>50</v>
      </c>
      <c r="C187" s="3" t="s">
        <v>2</v>
      </c>
      <c r="D187" s="3" t="s">
        <v>141</v>
      </c>
      <c r="E187" s="3">
        <v>182</v>
      </c>
      <c r="G187" s="19"/>
    </row>
    <row r="188" spans="1:7" ht="12.75" x14ac:dyDescent="0.2">
      <c r="A188" s="3">
        <v>20</v>
      </c>
      <c r="B188" s="4" t="s">
        <v>50</v>
      </c>
      <c r="C188" s="3" t="s">
        <v>2</v>
      </c>
      <c r="D188" s="3" t="s">
        <v>14</v>
      </c>
      <c r="E188" s="3">
        <v>95</v>
      </c>
      <c r="F188">
        <f>SUM(E187:E188)</f>
        <v>277</v>
      </c>
      <c r="G188" s="19"/>
    </row>
    <row r="189" spans="1:7" ht="12.75" x14ac:dyDescent="0.2">
      <c r="A189" s="3">
        <v>20</v>
      </c>
      <c r="B189" s="4" t="s">
        <v>50</v>
      </c>
      <c r="C189" s="3" t="s">
        <v>10</v>
      </c>
      <c r="D189" s="3" t="s">
        <v>3</v>
      </c>
      <c r="E189" s="3">
        <v>81</v>
      </c>
      <c r="G189" s="19"/>
    </row>
    <row r="190" spans="1:7" ht="12.75" x14ac:dyDescent="0.2">
      <c r="A190" s="3">
        <v>20</v>
      </c>
      <c r="B190" s="4" t="s">
        <v>50</v>
      </c>
      <c r="C190" s="3" t="s">
        <v>10</v>
      </c>
      <c r="D190" s="3" t="s">
        <v>141</v>
      </c>
      <c r="E190" s="3">
        <v>165</v>
      </c>
      <c r="G190" s="19"/>
    </row>
    <row r="191" spans="1:7" ht="12.75" x14ac:dyDescent="0.2">
      <c r="A191" s="3">
        <v>20</v>
      </c>
      <c r="B191" s="4" t="s">
        <v>50</v>
      </c>
      <c r="C191" s="3" t="s">
        <v>10</v>
      </c>
      <c r="D191" s="3" t="s">
        <v>14</v>
      </c>
      <c r="E191" s="3">
        <v>25</v>
      </c>
      <c r="G191" s="19"/>
    </row>
    <row r="192" spans="1:7" ht="12.75" x14ac:dyDescent="0.2">
      <c r="A192" s="3">
        <v>20</v>
      </c>
      <c r="B192" s="4" t="s">
        <v>50</v>
      </c>
      <c r="C192" s="3" t="s">
        <v>10</v>
      </c>
      <c r="D192" s="3" t="s">
        <v>138</v>
      </c>
      <c r="E192" s="3">
        <v>6</v>
      </c>
      <c r="F192">
        <f>SUM(E189:E192)</f>
        <v>277</v>
      </c>
      <c r="G192" s="19"/>
    </row>
    <row r="193" spans="1:7" ht="12.75" x14ac:dyDescent="0.2">
      <c r="A193" s="3">
        <v>20</v>
      </c>
      <c r="B193" s="4" t="s">
        <v>50</v>
      </c>
      <c r="C193" s="3" t="s">
        <v>13</v>
      </c>
      <c r="D193" s="3" t="s">
        <v>3</v>
      </c>
      <c r="E193" s="3">
        <v>72</v>
      </c>
      <c r="G193" s="19"/>
    </row>
    <row r="194" spans="1:7" ht="12.75" x14ac:dyDescent="0.2">
      <c r="A194" s="3">
        <v>20</v>
      </c>
      <c r="B194" s="4" t="s">
        <v>50</v>
      </c>
      <c r="C194" s="3" t="s">
        <v>13</v>
      </c>
      <c r="D194" s="3" t="s">
        <v>141</v>
      </c>
      <c r="E194" s="3">
        <v>170</v>
      </c>
      <c r="G194" s="19"/>
    </row>
    <row r="195" spans="1:7" ht="12.75" x14ac:dyDescent="0.2">
      <c r="A195" s="3">
        <v>20</v>
      </c>
      <c r="B195" s="4" t="s">
        <v>50</v>
      </c>
      <c r="C195" s="3" t="s">
        <v>13</v>
      </c>
      <c r="D195" s="3" t="s">
        <v>14</v>
      </c>
      <c r="E195" s="3">
        <v>29</v>
      </c>
      <c r="G195" s="19"/>
    </row>
    <row r="196" spans="1:7" ht="12.75" x14ac:dyDescent="0.2">
      <c r="A196" s="3">
        <v>20</v>
      </c>
      <c r="B196" s="4" t="s">
        <v>50</v>
      </c>
      <c r="C196" s="3" t="s">
        <v>13</v>
      </c>
      <c r="D196" s="3" t="s">
        <v>138</v>
      </c>
      <c r="E196" s="3">
        <v>6</v>
      </c>
      <c r="F196">
        <f>SUM(E193:E196)</f>
        <v>277</v>
      </c>
      <c r="G196" s="19"/>
    </row>
    <row r="197" spans="1:7" ht="12.75" x14ac:dyDescent="0.2">
      <c r="A197" s="3">
        <v>21</v>
      </c>
      <c r="B197" s="4" t="s">
        <v>51</v>
      </c>
      <c r="C197" s="3" t="s">
        <v>2</v>
      </c>
      <c r="D197" s="3" t="s">
        <v>3</v>
      </c>
      <c r="E197" s="3">
        <v>262</v>
      </c>
      <c r="G197" s="19"/>
    </row>
    <row r="198" spans="1:7" ht="12.75" x14ac:dyDescent="0.2">
      <c r="A198" s="3">
        <v>21</v>
      </c>
      <c r="B198" s="4" t="s">
        <v>51</v>
      </c>
      <c r="C198" s="3" t="s">
        <v>2</v>
      </c>
      <c r="D198" s="3" t="s">
        <v>14</v>
      </c>
      <c r="E198" s="3">
        <v>295</v>
      </c>
      <c r="F198">
        <f>SUM(E198+E197)</f>
        <v>557</v>
      </c>
      <c r="G198" s="19"/>
    </row>
    <row r="199" spans="1:7" ht="12.75" x14ac:dyDescent="0.2">
      <c r="A199" s="3">
        <v>21</v>
      </c>
      <c r="B199" s="4" t="s">
        <v>51</v>
      </c>
      <c r="C199" s="3" t="s">
        <v>10</v>
      </c>
      <c r="D199" s="3" t="s">
        <v>3</v>
      </c>
      <c r="E199" s="3">
        <v>257</v>
      </c>
      <c r="G199" s="19"/>
    </row>
    <row r="200" spans="1:7" ht="12.75" x14ac:dyDescent="0.2">
      <c r="A200" s="3">
        <v>21</v>
      </c>
      <c r="B200" s="4" t="s">
        <v>51</v>
      </c>
      <c r="C200" s="3" t="s">
        <v>10</v>
      </c>
      <c r="D200" s="3" t="s">
        <v>149</v>
      </c>
      <c r="E200" s="3">
        <v>80</v>
      </c>
      <c r="G200" s="19"/>
    </row>
    <row r="201" spans="1:7" ht="12.75" x14ac:dyDescent="0.2">
      <c r="A201" s="3">
        <v>21</v>
      </c>
      <c r="B201" s="4" t="s">
        <v>51</v>
      </c>
      <c r="C201" s="3" t="s">
        <v>10</v>
      </c>
      <c r="D201" s="3" t="s">
        <v>14</v>
      </c>
      <c r="E201" s="3">
        <v>219</v>
      </c>
      <c r="G201" s="19"/>
    </row>
    <row r="202" spans="1:7" ht="12.75" x14ac:dyDescent="0.2">
      <c r="A202" s="3">
        <v>21</v>
      </c>
      <c r="B202" s="4" t="s">
        <v>51</v>
      </c>
      <c r="C202" s="3" t="s">
        <v>10</v>
      </c>
      <c r="D202" s="3" t="s">
        <v>138</v>
      </c>
      <c r="E202" s="3">
        <v>1</v>
      </c>
      <c r="F202">
        <f>SUM(E199:E202)</f>
        <v>557</v>
      </c>
      <c r="G202" s="19"/>
    </row>
    <row r="203" spans="1:7" ht="12.75" x14ac:dyDescent="0.2">
      <c r="A203" s="3">
        <v>21</v>
      </c>
      <c r="B203" s="4" t="s">
        <v>51</v>
      </c>
      <c r="C203" s="3" t="s">
        <v>13</v>
      </c>
      <c r="D203" s="3" t="s">
        <v>3</v>
      </c>
      <c r="E203" s="3">
        <v>264</v>
      </c>
      <c r="G203" s="19"/>
    </row>
    <row r="204" spans="1:7" ht="12.75" x14ac:dyDescent="0.2">
      <c r="A204" s="3">
        <v>21</v>
      </c>
      <c r="B204" s="4" t="s">
        <v>51</v>
      </c>
      <c r="C204" s="3" t="s">
        <v>13</v>
      </c>
      <c r="D204" s="3" t="s">
        <v>14</v>
      </c>
      <c r="E204" s="3">
        <v>293</v>
      </c>
      <c r="F204">
        <f>SUM(E203:E204)</f>
        <v>557</v>
      </c>
      <c r="G204" s="19"/>
    </row>
    <row r="205" spans="1:7" ht="12.75" x14ac:dyDescent="0.2">
      <c r="A205" s="3">
        <v>22</v>
      </c>
      <c r="B205" s="4" t="s">
        <v>52</v>
      </c>
      <c r="C205" s="3" t="s">
        <v>2</v>
      </c>
      <c r="D205" s="3" t="s">
        <v>3</v>
      </c>
      <c r="E205" s="3">
        <v>2038</v>
      </c>
      <c r="G205" s="19"/>
    </row>
    <row r="206" spans="1:7" ht="12.75" x14ac:dyDescent="0.2">
      <c r="A206" s="3">
        <v>22</v>
      </c>
      <c r="B206" s="4" t="s">
        <v>52</v>
      </c>
      <c r="C206" s="3" t="s">
        <v>2</v>
      </c>
      <c r="D206" s="3" t="s">
        <v>140</v>
      </c>
      <c r="E206" s="3">
        <v>3253</v>
      </c>
      <c r="G206" s="19"/>
    </row>
    <row r="207" spans="1:7" ht="12.75" x14ac:dyDescent="0.2">
      <c r="A207" s="3">
        <v>22</v>
      </c>
      <c r="B207" s="4" t="s">
        <v>52</v>
      </c>
      <c r="C207" s="3" t="s">
        <v>2</v>
      </c>
      <c r="D207" s="3" t="s">
        <v>14</v>
      </c>
      <c r="E207" s="3">
        <v>465</v>
      </c>
      <c r="G207" s="19"/>
    </row>
    <row r="208" spans="1:7" ht="12.75" x14ac:dyDescent="0.2">
      <c r="A208" s="3">
        <v>22</v>
      </c>
      <c r="B208" s="4" t="s">
        <v>52</v>
      </c>
      <c r="C208" s="3" t="s">
        <v>2</v>
      </c>
      <c r="D208" s="3" t="s">
        <v>138</v>
      </c>
      <c r="E208" s="3">
        <v>71</v>
      </c>
      <c r="F208">
        <f>SUM(E205:E208)</f>
        <v>5827</v>
      </c>
      <c r="G208" s="19"/>
    </row>
    <row r="209" spans="1:7" ht="12.75" x14ac:dyDescent="0.2">
      <c r="A209" s="3">
        <v>22</v>
      </c>
      <c r="B209" s="4" t="s">
        <v>52</v>
      </c>
      <c r="C209" s="3" t="s">
        <v>10</v>
      </c>
      <c r="D209" s="3" t="s">
        <v>3</v>
      </c>
      <c r="E209" s="3">
        <v>1950</v>
      </c>
      <c r="G209" s="19"/>
    </row>
    <row r="210" spans="1:7" ht="12.75" x14ac:dyDescent="0.2">
      <c r="A210" s="3">
        <v>22</v>
      </c>
      <c r="B210" s="4" t="s">
        <v>52</v>
      </c>
      <c r="C210" s="3" t="s">
        <v>10</v>
      </c>
      <c r="D210" s="3" t="s">
        <v>149</v>
      </c>
      <c r="E210" s="3">
        <v>227</v>
      </c>
      <c r="G210" s="19"/>
    </row>
    <row r="211" spans="1:7" ht="12.75" x14ac:dyDescent="0.2">
      <c r="A211" s="3">
        <v>22</v>
      </c>
      <c r="B211" s="4" t="s">
        <v>52</v>
      </c>
      <c r="C211" s="3" t="s">
        <v>10</v>
      </c>
      <c r="D211" s="3" t="s">
        <v>140</v>
      </c>
      <c r="E211" s="3">
        <v>3055</v>
      </c>
      <c r="G211" s="19"/>
    </row>
    <row r="212" spans="1:7" ht="12.75" x14ac:dyDescent="0.2">
      <c r="A212" s="3">
        <v>22</v>
      </c>
      <c r="B212" s="4" t="s">
        <v>52</v>
      </c>
      <c r="C212" s="3" t="s">
        <v>10</v>
      </c>
      <c r="D212" s="3" t="s">
        <v>14</v>
      </c>
      <c r="E212" s="3">
        <v>453</v>
      </c>
      <c r="G212" s="19"/>
    </row>
    <row r="213" spans="1:7" ht="12.75" x14ac:dyDescent="0.2">
      <c r="A213" s="3">
        <v>22</v>
      </c>
      <c r="B213" s="4" t="s">
        <v>52</v>
      </c>
      <c r="C213" s="3" t="s">
        <v>10</v>
      </c>
      <c r="D213" s="3" t="s">
        <v>138</v>
      </c>
      <c r="E213" s="3">
        <v>142</v>
      </c>
      <c r="F213">
        <f>SUM(E209:E213)</f>
        <v>5827</v>
      </c>
      <c r="G213" s="19"/>
    </row>
    <row r="214" spans="1:7" ht="12.75" x14ac:dyDescent="0.2">
      <c r="A214" s="3">
        <v>22</v>
      </c>
      <c r="B214" s="4" t="s">
        <v>52</v>
      </c>
      <c r="C214" s="3" t="s">
        <v>13</v>
      </c>
      <c r="D214" s="3" t="s">
        <v>3</v>
      </c>
      <c r="E214" s="3">
        <v>2144</v>
      </c>
      <c r="G214" s="19"/>
    </row>
    <row r="215" spans="1:7" ht="12.75" x14ac:dyDescent="0.2">
      <c r="A215" s="3">
        <v>22</v>
      </c>
      <c r="B215" s="4" t="s">
        <v>52</v>
      </c>
      <c r="C215" s="3" t="s">
        <v>13</v>
      </c>
      <c r="D215" s="3" t="s">
        <v>140</v>
      </c>
      <c r="E215" s="3">
        <v>2949</v>
      </c>
      <c r="G215" s="19"/>
    </row>
    <row r="216" spans="1:7" ht="12.75" x14ac:dyDescent="0.2">
      <c r="A216" s="3">
        <v>22</v>
      </c>
      <c r="B216" s="4" t="s">
        <v>52</v>
      </c>
      <c r="C216" s="3" t="s">
        <v>13</v>
      </c>
      <c r="D216" s="3" t="s">
        <v>14</v>
      </c>
      <c r="E216" s="3">
        <v>653</v>
      </c>
      <c r="G216" s="19"/>
    </row>
    <row r="217" spans="1:7" ht="12.75" x14ac:dyDescent="0.2">
      <c r="A217" s="3">
        <v>22</v>
      </c>
      <c r="B217" s="4" t="s">
        <v>52</v>
      </c>
      <c r="C217" s="3" t="s">
        <v>13</v>
      </c>
      <c r="D217" s="3" t="s">
        <v>138</v>
      </c>
      <c r="E217" s="3">
        <v>81</v>
      </c>
      <c r="F217">
        <f>SUM(E214:E217)</f>
        <v>5827</v>
      </c>
      <c r="G217" s="19"/>
    </row>
    <row r="218" spans="1:7" ht="12.75" x14ac:dyDescent="0.2">
      <c r="A218" s="3">
        <v>23</v>
      </c>
      <c r="B218" s="4" t="s">
        <v>53</v>
      </c>
      <c r="C218" s="3" t="s">
        <v>2</v>
      </c>
      <c r="D218" s="3" t="s">
        <v>3</v>
      </c>
      <c r="E218" s="3">
        <v>360</v>
      </c>
      <c r="G218" s="19"/>
    </row>
    <row r="219" spans="1:7" ht="12.75" x14ac:dyDescent="0.2">
      <c r="A219" s="3">
        <v>23</v>
      </c>
      <c r="B219" s="4" t="s">
        <v>53</v>
      </c>
      <c r="C219" s="3" t="s">
        <v>2</v>
      </c>
      <c r="D219" s="3" t="s">
        <v>315</v>
      </c>
      <c r="E219" s="3">
        <v>27</v>
      </c>
      <c r="G219" s="19"/>
    </row>
    <row r="220" spans="1:7" ht="12.75" x14ac:dyDescent="0.2">
      <c r="A220" s="3">
        <v>23</v>
      </c>
      <c r="B220" s="4" t="s">
        <v>53</v>
      </c>
      <c r="C220" s="3" t="s">
        <v>2</v>
      </c>
      <c r="D220" s="3" t="s">
        <v>132</v>
      </c>
      <c r="E220" s="3">
        <v>166</v>
      </c>
      <c r="G220" s="19"/>
    </row>
    <row r="221" spans="1:7" ht="12.75" x14ac:dyDescent="0.2">
      <c r="A221" s="3">
        <v>23</v>
      </c>
      <c r="B221" s="4" t="s">
        <v>53</v>
      </c>
      <c r="C221" s="3" t="s">
        <v>2</v>
      </c>
      <c r="D221" s="3" t="s">
        <v>14</v>
      </c>
      <c r="E221" s="3">
        <v>24</v>
      </c>
      <c r="F221">
        <f>SUM(E218:E221)</f>
        <v>577</v>
      </c>
      <c r="G221" s="19"/>
    </row>
    <row r="222" spans="1:7" ht="12.75" x14ac:dyDescent="0.2">
      <c r="A222" s="3">
        <v>23</v>
      </c>
      <c r="B222" s="4" t="s">
        <v>53</v>
      </c>
      <c r="C222" s="3" t="s">
        <v>10</v>
      </c>
      <c r="D222" s="3" t="s">
        <v>3</v>
      </c>
      <c r="E222" s="3">
        <v>331</v>
      </c>
      <c r="G222" s="19"/>
    </row>
    <row r="223" spans="1:7" ht="12.75" x14ac:dyDescent="0.2">
      <c r="A223" s="3">
        <v>23</v>
      </c>
      <c r="B223" s="4" t="s">
        <v>53</v>
      </c>
      <c r="C223" s="3" t="s">
        <v>10</v>
      </c>
      <c r="D223" s="3" t="s">
        <v>315</v>
      </c>
      <c r="E223" s="3">
        <v>57</v>
      </c>
      <c r="G223" s="19"/>
    </row>
    <row r="224" spans="1:7" ht="12.75" x14ac:dyDescent="0.2">
      <c r="A224" s="3">
        <v>23</v>
      </c>
      <c r="B224" s="4" t="s">
        <v>53</v>
      </c>
      <c r="C224" s="3" t="s">
        <v>10</v>
      </c>
      <c r="D224" s="3" t="s">
        <v>132</v>
      </c>
      <c r="E224" s="3">
        <v>159</v>
      </c>
      <c r="G224" s="19"/>
    </row>
    <row r="225" spans="1:7" ht="12.75" x14ac:dyDescent="0.2">
      <c r="A225" s="3">
        <v>23</v>
      </c>
      <c r="B225" s="4" t="s">
        <v>53</v>
      </c>
      <c r="C225" s="3" t="s">
        <v>10</v>
      </c>
      <c r="D225" s="3" t="s">
        <v>14</v>
      </c>
      <c r="E225" s="3">
        <v>30</v>
      </c>
      <c r="F225">
        <f>SUM(E222:E225)</f>
        <v>577</v>
      </c>
      <c r="G225" s="19"/>
    </row>
    <row r="226" spans="1:7" ht="12.75" x14ac:dyDescent="0.2">
      <c r="A226" s="3">
        <v>23</v>
      </c>
      <c r="B226" s="4" t="s">
        <v>53</v>
      </c>
      <c r="C226" s="3" t="s">
        <v>13</v>
      </c>
      <c r="D226" s="3" t="s">
        <v>3</v>
      </c>
      <c r="E226" s="3">
        <v>267</v>
      </c>
      <c r="G226" s="19"/>
    </row>
    <row r="227" spans="1:7" ht="12.75" x14ac:dyDescent="0.2">
      <c r="A227" s="3">
        <v>23</v>
      </c>
      <c r="B227" s="4" t="s">
        <v>53</v>
      </c>
      <c r="C227" s="3" t="s">
        <v>13</v>
      </c>
      <c r="D227" s="3" t="s">
        <v>315</v>
      </c>
      <c r="E227" s="3">
        <v>45</v>
      </c>
      <c r="G227" s="19"/>
    </row>
    <row r="228" spans="1:7" ht="12.75" x14ac:dyDescent="0.2">
      <c r="A228" s="3">
        <v>23</v>
      </c>
      <c r="B228" s="4" t="s">
        <v>53</v>
      </c>
      <c r="C228" s="3" t="s">
        <v>13</v>
      </c>
      <c r="D228" s="3" t="s">
        <v>132</v>
      </c>
      <c r="E228" s="3">
        <v>222</v>
      </c>
      <c r="G228" s="19"/>
    </row>
    <row r="229" spans="1:7" ht="12.75" x14ac:dyDescent="0.2">
      <c r="A229" s="3">
        <v>23</v>
      </c>
      <c r="B229" s="4" t="s">
        <v>53</v>
      </c>
      <c r="C229" s="3" t="s">
        <v>13</v>
      </c>
      <c r="D229" s="3" t="s">
        <v>14</v>
      </c>
      <c r="E229" s="3">
        <v>43</v>
      </c>
      <c r="F229">
        <f>SUM(E226:E229)</f>
        <v>577</v>
      </c>
      <c r="G229" s="19"/>
    </row>
    <row r="230" spans="1:7" ht="12.75" x14ac:dyDescent="0.2">
      <c r="A230" s="3">
        <v>24</v>
      </c>
      <c r="B230" s="4" t="s">
        <v>54</v>
      </c>
      <c r="C230" s="3" t="s">
        <v>15</v>
      </c>
      <c r="D230" s="3" t="s">
        <v>3</v>
      </c>
      <c r="E230" s="3">
        <v>211</v>
      </c>
      <c r="G230" s="19"/>
    </row>
    <row r="231" spans="1:7" ht="12.75" x14ac:dyDescent="0.2">
      <c r="A231" s="3">
        <v>24</v>
      </c>
      <c r="B231" s="4" t="s">
        <v>54</v>
      </c>
      <c r="C231" s="3" t="s">
        <v>15</v>
      </c>
      <c r="D231" s="3" t="s">
        <v>14</v>
      </c>
      <c r="E231" s="3">
        <v>141</v>
      </c>
      <c r="G231" s="19"/>
    </row>
    <row r="232" spans="1:7" ht="12.75" x14ac:dyDescent="0.2">
      <c r="A232" s="3">
        <v>24</v>
      </c>
      <c r="B232" s="4" t="s">
        <v>54</v>
      </c>
      <c r="C232" s="3" t="s">
        <v>15</v>
      </c>
      <c r="D232" s="3" t="s">
        <v>138</v>
      </c>
      <c r="E232" s="3">
        <v>1</v>
      </c>
      <c r="F232">
        <f>SUM(E230:E232)</f>
        <v>353</v>
      </c>
      <c r="G232" s="19"/>
    </row>
    <row r="233" spans="1:7" ht="12.75" x14ac:dyDescent="0.2">
      <c r="A233" s="3">
        <v>24</v>
      </c>
      <c r="B233" s="4" t="s">
        <v>54</v>
      </c>
      <c r="C233" s="3" t="s">
        <v>17</v>
      </c>
      <c r="D233" s="3" t="s">
        <v>3</v>
      </c>
      <c r="E233" s="3">
        <v>213</v>
      </c>
      <c r="G233" s="19"/>
    </row>
    <row r="234" spans="1:7" ht="12.75" x14ac:dyDescent="0.2">
      <c r="A234" s="3">
        <v>24</v>
      </c>
      <c r="B234" s="4" t="s">
        <v>54</v>
      </c>
      <c r="C234" s="3" t="s">
        <v>17</v>
      </c>
      <c r="D234" s="3" t="s">
        <v>14</v>
      </c>
      <c r="E234" s="3">
        <v>139</v>
      </c>
      <c r="G234" s="19"/>
    </row>
    <row r="235" spans="1:7" ht="12.75" x14ac:dyDescent="0.2">
      <c r="A235" s="3">
        <v>24</v>
      </c>
      <c r="B235" s="4" t="s">
        <v>54</v>
      </c>
      <c r="C235" s="3" t="s">
        <v>17</v>
      </c>
      <c r="D235" s="3" t="s">
        <v>138</v>
      </c>
      <c r="E235" s="3">
        <v>1</v>
      </c>
      <c r="F235">
        <f>SUM(E233:E235)</f>
        <v>353</v>
      </c>
      <c r="G235" s="19"/>
    </row>
    <row r="236" spans="1:7" ht="12.75" x14ac:dyDescent="0.2">
      <c r="A236" s="3">
        <v>24</v>
      </c>
      <c r="B236" s="4" t="s">
        <v>54</v>
      </c>
      <c r="C236" s="3" t="s">
        <v>13</v>
      </c>
      <c r="D236" s="3" t="s">
        <v>3</v>
      </c>
      <c r="E236" s="3">
        <v>208</v>
      </c>
      <c r="G236" s="19"/>
    </row>
    <row r="237" spans="1:7" ht="12.75" x14ac:dyDescent="0.2">
      <c r="A237" s="3">
        <v>24</v>
      </c>
      <c r="B237" s="4" t="s">
        <v>54</v>
      </c>
      <c r="C237" s="3" t="s">
        <v>13</v>
      </c>
      <c r="D237" s="3" t="s">
        <v>14</v>
      </c>
      <c r="E237" s="3">
        <v>144</v>
      </c>
      <c r="G237" s="19"/>
    </row>
    <row r="238" spans="1:7" ht="12.75" x14ac:dyDescent="0.2">
      <c r="A238" s="3">
        <v>24</v>
      </c>
      <c r="B238" s="4" t="s">
        <v>54</v>
      </c>
      <c r="C238" s="3" t="s">
        <v>13</v>
      </c>
      <c r="D238" s="3" t="s">
        <v>138</v>
      </c>
      <c r="E238" s="3">
        <v>1</v>
      </c>
      <c r="F238">
        <f>SUM(E236:E238)</f>
        <v>353</v>
      </c>
      <c r="G238" s="19"/>
    </row>
    <row r="239" spans="1:7" ht="12.75" x14ac:dyDescent="0.2">
      <c r="A239" s="3">
        <v>25</v>
      </c>
      <c r="B239" s="4" t="s">
        <v>55</v>
      </c>
      <c r="C239" s="3" t="s">
        <v>2</v>
      </c>
      <c r="D239" s="3" t="s">
        <v>3</v>
      </c>
      <c r="E239" s="3">
        <v>415</v>
      </c>
      <c r="G239" s="19"/>
    </row>
    <row r="240" spans="1:7" ht="12.75" x14ac:dyDescent="0.2">
      <c r="A240" s="3">
        <v>25</v>
      </c>
      <c r="B240" s="4" t="s">
        <v>55</v>
      </c>
      <c r="C240" s="3" t="s">
        <v>2</v>
      </c>
      <c r="D240" s="3" t="s">
        <v>132</v>
      </c>
      <c r="E240" s="3">
        <v>212</v>
      </c>
      <c r="G240" s="19"/>
    </row>
    <row r="241" spans="1:7" ht="12.75" x14ac:dyDescent="0.2">
      <c r="A241" s="3">
        <v>25</v>
      </c>
      <c r="B241" s="4" t="s">
        <v>55</v>
      </c>
      <c r="C241" s="3" t="s">
        <v>2</v>
      </c>
      <c r="D241" s="3" t="s">
        <v>14</v>
      </c>
      <c r="E241" s="3">
        <v>36</v>
      </c>
      <c r="F241">
        <f>SUM(E239:E241)</f>
        <v>663</v>
      </c>
      <c r="G241" s="19"/>
    </row>
    <row r="242" spans="1:7" ht="12.75" x14ac:dyDescent="0.2">
      <c r="A242" s="3">
        <v>25</v>
      </c>
      <c r="B242" s="4" t="s">
        <v>55</v>
      </c>
      <c r="C242" s="3" t="s">
        <v>10</v>
      </c>
      <c r="D242" s="3" t="s">
        <v>3</v>
      </c>
      <c r="E242" s="3">
        <v>407</v>
      </c>
      <c r="G242" s="19"/>
    </row>
    <row r="243" spans="1:7" ht="12.75" x14ac:dyDescent="0.2">
      <c r="A243" s="3">
        <v>25</v>
      </c>
      <c r="B243" s="4" t="s">
        <v>55</v>
      </c>
      <c r="C243" s="3" t="s">
        <v>10</v>
      </c>
      <c r="D243" s="3" t="s">
        <v>132</v>
      </c>
      <c r="E243" s="3">
        <v>210</v>
      </c>
      <c r="G243" s="19"/>
    </row>
    <row r="244" spans="1:7" ht="12.75" x14ac:dyDescent="0.2">
      <c r="A244" s="3">
        <v>25</v>
      </c>
      <c r="B244" s="4" t="s">
        <v>55</v>
      </c>
      <c r="C244" s="3" t="s">
        <v>10</v>
      </c>
      <c r="D244" s="3" t="s">
        <v>14</v>
      </c>
      <c r="E244" s="3">
        <v>46</v>
      </c>
      <c r="F244">
        <f>SUM(E242:E244)</f>
        <v>663</v>
      </c>
      <c r="G244" s="19"/>
    </row>
    <row r="245" spans="1:7" ht="12.75" x14ac:dyDescent="0.2">
      <c r="A245" s="3">
        <v>25</v>
      </c>
      <c r="B245" s="4" t="s">
        <v>55</v>
      </c>
      <c r="C245" s="3" t="s">
        <v>13</v>
      </c>
      <c r="D245" s="3" t="s">
        <v>3</v>
      </c>
      <c r="E245" s="3">
        <v>408</v>
      </c>
      <c r="G245" s="19"/>
    </row>
    <row r="246" spans="1:7" ht="12.75" x14ac:dyDescent="0.2">
      <c r="A246" s="3">
        <v>25</v>
      </c>
      <c r="B246" s="4" t="s">
        <v>55</v>
      </c>
      <c r="C246" s="3" t="s">
        <v>13</v>
      </c>
      <c r="D246" s="3" t="s">
        <v>14</v>
      </c>
      <c r="E246" s="3">
        <v>255</v>
      </c>
      <c r="F246">
        <f>SUM(E245:E246)</f>
        <v>663</v>
      </c>
      <c r="G246" s="19"/>
    </row>
    <row r="247" spans="1:7" ht="12.75" x14ac:dyDescent="0.2">
      <c r="A247" s="3">
        <v>26</v>
      </c>
      <c r="B247" s="4" t="s">
        <v>56</v>
      </c>
      <c r="C247" s="3" t="s">
        <v>2</v>
      </c>
      <c r="D247" s="3" t="s">
        <v>3</v>
      </c>
      <c r="E247" s="3">
        <v>277</v>
      </c>
      <c r="G247" s="19"/>
    </row>
    <row r="248" spans="1:7" ht="12.75" x14ac:dyDescent="0.2">
      <c r="A248" s="3">
        <v>26</v>
      </c>
      <c r="B248" s="4" t="s">
        <v>56</v>
      </c>
      <c r="C248" s="3" t="s">
        <v>2</v>
      </c>
      <c r="D248" s="3" t="s">
        <v>132</v>
      </c>
      <c r="E248" s="3">
        <v>141</v>
      </c>
      <c r="G248" s="19"/>
    </row>
    <row r="249" spans="1:7" ht="12.75" x14ac:dyDescent="0.2">
      <c r="A249" s="3">
        <v>26</v>
      </c>
      <c r="B249" s="4" t="s">
        <v>56</v>
      </c>
      <c r="C249" s="3" t="s">
        <v>2</v>
      </c>
      <c r="D249" s="3" t="s">
        <v>14</v>
      </c>
      <c r="E249" s="3">
        <v>23</v>
      </c>
      <c r="F249">
        <f>SUM(E247:E249)</f>
        <v>441</v>
      </c>
      <c r="G249" s="19"/>
    </row>
    <row r="250" spans="1:7" ht="12.75" x14ac:dyDescent="0.2">
      <c r="A250" s="3">
        <v>26</v>
      </c>
      <c r="B250" s="4" t="s">
        <v>56</v>
      </c>
      <c r="C250" s="3" t="s">
        <v>10</v>
      </c>
      <c r="D250" s="3" t="s">
        <v>3</v>
      </c>
      <c r="E250" s="3">
        <v>268</v>
      </c>
      <c r="G250" s="19"/>
    </row>
    <row r="251" spans="1:7" ht="12.75" x14ac:dyDescent="0.2">
      <c r="A251" s="3">
        <v>26</v>
      </c>
      <c r="B251" s="4" t="s">
        <v>56</v>
      </c>
      <c r="C251" s="3" t="s">
        <v>10</v>
      </c>
      <c r="D251" s="3" t="s">
        <v>132</v>
      </c>
      <c r="E251" s="3">
        <v>144</v>
      </c>
      <c r="G251" s="19"/>
    </row>
    <row r="252" spans="1:7" ht="12.75" x14ac:dyDescent="0.2">
      <c r="A252" s="3">
        <v>26</v>
      </c>
      <c r="B252" s="4" t="s">
        <v>56</v>
      </c>
      <c r="C252" s="3" t="s">
        <v>10</v>
      </c>
      <c r="D252" s="3" t="s">
        <v>14</v>
      </c>
      <c r="E252" s="3">
        <v>29</v>
      </c>
      <c r="F252">
        <f>SUM(E250:E252)</f>
        <v>441</v>
      </c>
      <c r="G252" s="19"/>
    </row>
    <row r="253" spans="1:7" ht="12.75" x14ac:dyDescent="0.2">
      <c r="A253" s="3">
        <v>26</v>
      </c>
      <c r="B253" s="4" t="s">
        <v>56</v>
      </c>
      <c r="C253" s="3" t="s">
        <v>13</v>
      </c>
      <c r="D253" s="3" t="s">
        <v>3</v>
      </c>
      <c r="E253" s="3">
        <v>253</v>
      </c>
      <c r="G253" s="19"/>
    </row>
    <row r="254" spans="1:7" ht="12.75" x14ac:dyDescent="0.2">
      <c r="A254" s="3">
        <v>26</v>
      </c>
      <c r="B254" s="4" t="s">
        <v>56</v>
      </c>
      <c r="C254" s="3" t="s">
        <v>13</v>
      </c>
      <c r="D254" s="3" t="s">
        <v>132</v>
      </c>
      <c r="E254" s="3">
        <v>98</v>
      </c>
      <c r="G254" s="19"/>
    </row>
    <row r="255" spans="1:7" ht="12.75" x14ac:dyDescent="0.2">
      <c r="A255" s="3">
        <v>26</v>
      </c>
      <c r="B255" s="4" t="s">
        <v>56</v>
      </c>
      <c r="C255" s="3" t="s">
        <v>13</v>
      </c>
      <c r="D255" s="3" t="s">
        <v>14</v>
      </c>
      <c r="E255" s="3">
        <v>90</v>
      </c>
      <c r="F255">
        <f>SUM(E253:E255)</f>
        <v>441</v>
      </c>
      <c r="G255" s="19"/>
    </row>
    <row r="256" spans="1:7" ht="12.75" x14ac:dyDescent="0.2">
      <c r="A256" s="3">
        <v>27</v>
      </c>
      <c r="B256" s="4" t="s">
        <v>57</v>
      </c>
      <c r="C256" s="3" t="s">
        <v>2</v>
      </c>
      <c r="D256" s="3" t="s">
        <v>3</v>
      </c>
      <c r="E256" s="3">
        <v>3307</v>
      </c>
      <c r="G256" s="19"/>
    </row>
    <row r="257" spans="1:7" ht="12.75" x14ac:dyDescent="0.2">
      <c r="A257" s="3">
        <v>27</v>
      </c>
      <c r="B257" s="4" t="s">
        <v>57</v>
      </c>
      <c r="C257" s="3" t="s">
        <v>2</v>
      </c>
      <c r="D257" s="3" t="s">
        <v>315</v>
      </c>
      <c r="E257" s="3">
        <v>53</v>
      </c>
      <c r="G257" s="19"/>
    </row>
    <row r="258" spans="1:7" ht="12.75" x14ac:dyDescent="0.2">
      <c r="A258" s="3">
        <v>27</v>
      </c>
      <c r="B258" s="4" t="s">
        <v>57</v>
      </c>
      <c r="C258" s="3" t="s">
        <v>2</v>
      </c>
      <c r="D258" s="3" t="s">
        <v>149</v>
      </c>
      <c r="E258" s="3">
        <v>360</v>
      </c>
      <c r="G258" s="19"/>
    </row>
    <row r="259" spans="1:7" ht="12.75" x14ac:dyDescent="0.2">
      <c r="A259" s="3">
        <v>27</v>
      </c>
      <c r="B259" s="4" t="s">
        <v>57</v>
      </c>
      <c r="C259" s="3" t="s">
        <v>2</v>
      </c>
      <c r="D259" s="3" t="s">
        <v>132</v>
      </c>
      <c r="E259" s="3">
        <v>2900</v>
      </c>
      <c r="G259" s="19"/>
    </row>
    <row r="260" spans="1:7" ht="12.75" x14ac:dyDescent="0.2">
      <c r="A260" s="3">
        <v>27</v>
      </c>
      <c r="B260" s="4" t="s">
        <v>57</v>
      </c>
      <c r="C260" s="3" t="s">
        <v>2</v>
      </c>
      <c r="D260" s="3" t="s">
        <v>14</v>
      </c>
      <c r="E260" s="3">
        <v>543</v>
      </c>
      <c r="G260" s="19"/>
    </row>
    <row r="261" spans="1:7" ht="12.75" x14ac:dyDescent="0.2">
      <c r="A261" s="3">
        <v>27</v>
      </c>
      <c r="B261" s="4" t="s">
        <v>57</v>
      </c>
      <c r="C261" s="3" t="s">
        <v>2</v>
      </c>
      <c r="D261" s="3" t="s">
        <v>138</v>
      </c>
      <c r="E261" s="3">
        <v>42</v>
      </c>
      <c r="F261">
        <f>SUM(E256:E261)</f>
        <v>7205</v>
      </c>
      <c r="G261" s="19"/>
    </row>
    <row r="262" spans="1:7" ht="12.75" x14ac:dyDescent="0.2">
      <c r="A262" s="3">
        <v>27</v>
      </c>
      <c r="B262" s="4" t="s">
        <v>57</v>
      </c>
      <c r="C262" s="3" t="s">
        <v>10</v>
      </c>
      <c r="D262" s="3" t="s">
        <v>3</v>
      </c>
      <c r="E262" s="3">
        <v>3275</v>
      </c>
      <c r="G262" s="19"/>
    </row>
    <row r="263" spans="1:7" ht="12.75" x14ac:dyDescent="0.2">
      <c r="A263" s="3">
        <v>27</v>
      </c>
      <c r="B263" s="4" t="s">
        <v>57</v>
      </c>
      <c r="C263" s="3" t="s">
        <v>10</v>
      </c>
      <c r="D263" s="3" t="s">
        <v>315</v>
      </c>
      <c r="E263" s="3">
        <v>55</v>
      </c>
      <c r="G263" s="19"/>
    </row>
    <row r="264" spans="1:7" ht="12.75" x14ac:dyDescent="0.2">
      <c r="A264" s="3">
        <v>27</v>
      </c>
      <c r="B264" s="4" t="s">
        <v>57</v>
      </c>
      <c r="C264" s="3" t="s">
        <v>10</v>
      </c>
      <c r="D264" s="3" t="s">
        <v>149</v>
      </c>
      <c r="E264" s="3">
        <v>354</v>
      </c>
      <c r="G264" s="19"/>
    </row>
    <row r="265" spans="1:7" ht="12.75" x14ac:dyDescent="0.2">
      <c r="A265" s="3">
        <v>27</v>
      </c>
      <c r="B265" s="4" t="s">
        <v>57</v>
      </c>
      <c r="C265" s="3" t="s">
        <v>10</v>
      </c>
      <c r="D265" s="3" t="s">
        <v>132</v>
      </c>
      <c r="E265" s="3">
        <v>2801</v>
      </c>
      <c r="G265" s="19"/>
    </row>
    <row r="266" spans="1:7" ht="12.75" x14ac:dyDescent="0.2">
      <c r="A266" s="3">
        <v>27</v>
      </c>
      <c r="B266" s="4" t="s">
        <v>57</v>
      </c>
      <c r="C266" s="3" t="s">
        <v>10</v>
      </c>
      <c r="D266" s="3" t="s">
        <v>14</v>
      </c>
      <c r="E266" s="3">
        <v>678</v>
      </c>
      <c r="G266" s="19"/>
    </row>
    <row r="267" spans="1:7" ht="12.75" x14ac:dyDescent="0.2">
      <c r="A267" s="3">
        <v>27</v>
      </c>
      <c r="B267" s="4" t="s">
        <v>57</v>
      </c>
      <c r="C267" s="3" t="s">
        <v>10</v>
      </c>
      <c r="D267" s="3" t="s">
        <v>138</v>
      </c>
      <c r="E267" s="3">
        <v>42</v>
      </c>
      <c r="F267">
        <f>SUM(E262:E267)</f>
        <v>7205</v>
      </c>
      <c r="G267" s="19"/>
    </row>
    <row r="268" spans="1:7" ht="12.75" x14ac:dyDescent="0.2">
      <c r="A268" s="3">
        <v>27</v>
      </c>
      <c r="B268" s="4" t="s">
        <v>57</v>
      </c>
      <c r="C268" s="3" t="s">
        <v>13</v>
      </c>
      <c r="D268" s="3" t="s">
        <v>3</v>
      </c>
      <c r="E268" s="3">
        <v>3250</v>
      </c>
      <c r="G268" s="19"/>
    </row>
    <row r="269" spans="1:7" ht="12.75" x14ac:dyDescent="0.2">
      <c r="A269" s="3">
        <v>27</v>
      </c>
      <c r="B269" s="4" t="s">
        <v>57</v>
      </c>
      <c r="C269" s="3" t="s">
        <v>13</v>
      </c>
      <c r="D269" s="3" t="s">
        <v>149</v>
      </c>
      <c r="E269" s="3">
        <v>346</v>
      </c>
      <c r="G269" s="19"/>
    </row>
    <row r="270" spans="1:7" ht="12.75" x14ac:dyDescent="0.2">
      <c r="A270" s="3">
        <v>27</v>
      </c>
      <c r="B270" s="4" t="s">
        <v>57</v>
      </c>
      <c r="C270" s="3" t="s">
        <v>13</v>
      </c>
      <c r="D270" s="3" t="s">
        <v>132</v>
      </c>
      <c r="E270" s="3">
        <v>2851</v>
      </c>
      <c r="G270" s="19"/>
    </row>
    <row r="271" spans="1:7" ht="12.75" x14ac:dyDescent="0.2">
      <c r="A271" s="3">
        <v>27</v>
      </c>
      <c r="B271" s="4" t="s">
        <v>57</v>
      </c>
      <c r="C271" s="3" t="s">
        <v>13</v>
      </c>
      <c r="D271" s="3" t="s">
        <v>14</v>
      </c>
      <c r="E271" s="3">
        <v>717</v>
      </c>
      <c r="G271" s="19"/>
    </row>
    <row r="272" spans="1:7" ht="12.75" x14ac:dyDescent="0.2">
      <c r="A272" s="3">
        <v>27</v>
      </c>
      <c r="B272" s="4" t="s">
        <v>57</v>
      </c>
      <c r="C272" s="3" t="s">
        <v>13</v>
      </c>
      <c r="D272" s="3" t="s">
        <v>138</v>
      </c>
      <c r="E272" s="3">
        <v>41</v>
      </c>
      <c r="F272">
        <f>SUM(E268:E272)</f>
        <v>7205</v>
      </c>
      <c r="G272" s="19"/>
    </row>
    <row r="273" spans="1:7" ht="12.75" x14ac:dyDescent="0.2">
      <c r="A273" s="3">
        <v>28</v>
      </c>
      <c r="B273" s="4" t="s">
        <v>58</v>
      </c>
      <c r="C273" s="3" t="s">
        <v>2</v>
      </c>
      <c r="D273" s="3" t="s">
        <v>3</v>
      </c>
      <c r="E273" s="3">
        <v>118</v>
      </c>
      <c r="G273" s="19"/>
    </row>
    <row r="274" spans="1:7" ht="12.75" x14ac:dyDescent="0.2">
      <c r="A274" s="3">
        <v>28</v>
      </c>
      <c r="B274" s="4" t="s">
        <v>58</v>
      </c>
      <c r="C274" s="3" t="s">
        <v>2</v>
      </c>
      <c r="D274" s="3" t="s">
        <v>132</v>
      </c>
      <c r="E274" s="3">
        <v>178</v>
      </c>
      <c r="G274" s="19"/>
    </row>
    <row r="275" spans="1:7" ht="12.75" x14ac:dyDescent="0.2">
      <c r="A275" s="3">
        <v>28</v>
      </c>
      <c r="B275" s="4" t="s">
        <v>58</v>
      </c>
      <c r="C275" s="3" t="s">
        <v>2</v>
      </c>
      <c r="D275" s="3" t="s">
        <v>14</v>
      </c>
      <c r="E275" s="3">
        <v>16</v>
      </c>
      <c r="G275" s="19"/>
    </row>
    <row r="276" spans="1:7" ht="12.75" x14ac:dyDescent="0.2">
      <c r="A276" s="3">
        <v>28</v>
      </c>
      <c r="B276" s="4" t="s">
        <v>58</v>
      </c>
      <c r="C276" s="3" t="s">
        <v>2</v>
      </c>
      <c r="D276" s="3" t="s">
        <v>138</v>
      </c>
      <c r="E276" s="3">
        <v>1</v>
      </c>
      <c r="F276">
        <f>SUM(E273:E276)</f>
        <v>313</v>
      </c>
      <c r="G276" s="19"/>
    </row>
    <row r="277" spans="1:7" ht="12.75" x14ac:dyDescent="0.2">
      <c r="A277" s="3">
        <v>28</v>
      </c>
      <c r="B277" s="4" t="s">
        <v>58</v>
      </c>
      <c r="C277" s="3" t="s">
        <v>10</v>
      </c>
      <c r="D277" s="3" t="s">
        <v>3</v>
      </c>
      <c r="E277" s="3">
        <v>104</v>
      </c>
      <c r="G277" s="19"/>
    </row>
    <row r="278" spans="1:7" ht="12.75" x14ac:dyDescent="0.2">
      <c r="A278" s="3">
        <v>28</v>
      </c>
      <c r="B278" s="4" t="s">
        <v>58</v>
      </c>
      <c r="C278" s="3" t="s">
        <v>10</v>
      </c>
      <c r="D278" s="3" t="s">
        <v>132</v>
      </c>
      <c r="E278" s="3">
        <v>188</v>
      </c>
      <c r="G278" s="19"/>
    </row>
    <row r="279" spans="1:7" ht="12.75" x14ac:dyDescent="0.2">
      <c r="A279" s="3">
        <v>28</v>
      </c>
      <c r="B279" s="4" t="s">
        <v>58</v>
      </c>
      <c r="C279" s="3" t="s">
        <v>10</v>
      </c>
      <c r="D279" s="3" t="s">
        <v>14</v>
      </c>
      <c r="E279" s="3">
        <v>19</v>
      </c>
      <c r="G279" s="19"/>
    </row>
    <row r="280" spans="1:7" ht="12.75" x14ac:dyDescent="0.2">
      <c r="A280" s="3">
        <v>28</v>
      </c>
      <c r="B280" s="4" t="s">
        <v>58</v>
      </c>
      <c r="C280" s="3" t="s">
        <v>10</v>
      </c>
      <c r="D280" s="3" t="s">
        <v>138</v>
      </c>
      <c r="E280" s="3">
        <v>2</v>
      </c>
      <c r="F280">
        <f>SUM(E277:E280)</f>
        <v>313</v>
      </c>
      <c r="G280" s="19"/>
    </row>
    <row r="281" spans="1:7" ht="12.75" x14ac:dyDescent="0.2">
      <c r="A281" s="3">
        <v>28</v>
      </c>
      <c r="B281" s="4" t="s">
        <v>58</v>
      </c>
      <c r="C281" s="3" t="s">
        <v>13</v>
      </c>
      <c r="D281" s="3" t="s">
        <v>3</v>
      </c>
      <c r="E281" s="3">
        <v>80</v>
      </c>
      <c r="G281" s="19"/>
    </row>
    <row r="282" spans="1:7" ht="12.75" x14ac:dyDescent="0.2">
      <c r="A282" s="3">
        <v>28</v>
      </c>
      <c r="B282" s="4" t="s">
        <v>58</v>
      </c>
      <c r="C282" s="3" t="s">
        <v>13</v>
      </c>
      <c r="D282" s="3" t="s">
        <v>149</v>
      </c>
      <c r="E282" s="3">
        <v>72</v>
      </c>
      <c r="G282" s="19"/>
    </row>
    <row r="283" spans="1:7" ht="12.75" x14ac:dyDescent="0.2">
      <c r="A283" s="3">
        <v>28</v>
      </c>
      <c r="B283" s="4" t="s">
        <v>58</v>
      </c>
      <c r="C283" s="3" t="s">
        <v>13</v>
      </c>
      <c r="D283" s="3" t="s">
        <v>132</v>
      </c>
      <c r="E283" s="3">
        <v>150</v>
      </c>
      <c r="G283" s="19"/>
    </row>
    <row r="284" spans="1:7" ht="12.75" x14ac:dyDescent="0.2">
      <c r="A284" s="3">
        <v>28</v>
      </c>
      <c r="B284" s="4" t="s">
        <v>58</v>
      </c>
      <c r="C284" s="3" t="s">
        <v>13</v>
      </c>
      <c r="D284" s="3" t="s">
        <v>14</v>
      </c>
      <c r="E284" s="3">
        <v>9</v>
      </c>
      <c r="G284" s="19"/>
    </row>
    <row r="285" spans="1:7" ht="12.75" x14ac:dyDescent="0.2">
      <c r="A285" s="3">
        <v>28</v>
      </c>
      <c r="B285" s="4" t="s">
        <v>58</v>
      </c>
      <c r="C285" s="3" t="s">
        <v>13</v>
      </c>
      <c r="D285" s="3" t="s">
        <v>138</v>
      </c>
      <c r="E285" s="3">
        <v>2</v>
      </c>
      <c r="F285">
        <f>SUM(E281:E285)</f>
        <v>313</v>
      </c>
      <c r="G285" s="19"/>
    </row>
    <row r="286" spans="1:7" ht="12.75" x14ac:dyDescent="0.2">
      <c r="A286" s="3">
        <v>29</v>
      </c>
      <c r="B286" s="4" t="s">
        <v>59</v>
      </c>
      <c r="C286" s="3" t="s">
        <v>2</v>
      </c>
      <c r="D286" s="3" t="s">
        <v>3</v>
      </c>
      <c r="E286" s="3">
        <v>177</v>
      </c>
      <c r="G286" s="19"/>
    </row>
    <row r="287" spans="1:7" ht="12.75" x14ac:dyDescent="0.2">
      <c r="A287" s="3">
        <v>29</v>
      </c>
      <c r="B287" s="4" t="s">
        <v>59</v>
      </c>
      <c r="C287" s="3" t="s">
        <v>2</v>
      </c>
      <c r="D287" s="3" t="s">
        <v>132</v>
      </c>
      <c r="E287" s="3">
        <v>290</v>
      </c>
      <c r="G287" s="19"/>
    </row>
    <row r="288" spans="1:7" ht="12.75" x14ac:dyDescent="0.2">
      <c r="A288" s="3">
        <v>29</v>
      </c>
      <c r="B288" s="4" t="s">
        <v>59</v>
      </c>
      <c r="C288" s="3" t="s">
        <v>2</v>
      </c>
      <c r="D288" s="3" t="s">
        <v>14</v>
      </c>
      <c r="E288" s="3">
        <v>11</v>
      </c>
      <c r="F288">
        <f>SUM(E286:E288)</f>
        <v>478</v>
      </c>
      <c r="G288" s="19"/>
    </row>
    <row r="289" spans="1:7" ht="12.75" x14ac:dyDescent="0.2">
      <c r="A289" s="3">
        <v>29</v>
      </c>
      <c r="B289" s="4" t="s">
        <v>59</v>
      </c>
      <c r="C289" s="3" t="s">
        <v>10</v>
      </c>
      <c r="D289" s="3" t="s">
        <v>3</v>
      </c>
      <c r="E289" s="3">
        <v>193</v>
      </c>
      <c r="G289" s="19"/>
    </row>
    <row r="290" spans="1:7" ht="12.75" x14ac:dyDescent="0.2">
      <c r="A290" s="3">
        <v>29</v>
      </c>
      <c r="B290" s="4" t="s">
        <v>59</v>
      </c>
      <c r="C290" s="3" t="s">
        <v>10</v>
      </c>
      <c r="D290" s="3" t="s">
        <v>132</v>
      </c>
      <c r="E290" s="3">
        <v>269</v>
      </c>
      <c r="G290" s="19"/>
    </row>
    <row r="291" spans="1:7" ht="12.75" x14ac:dyDescent="0.2">
      <c r="A291" s="3">
        <v>29</v>
      </c>
      <c r="B291" s="4" t="s">
        <v>59</v>
      </c>
      <c r="C291" s="3" t="s">
        <v>10</v>
      </c>
      <c r="D291" s="3" t="s">
        <v>14</v>
      </c>
      <c r="E291" s="3">
        <v>16</v>
      </c>
      <c r="F291">
        <f>SUM(E289:E291)</f>
        <v>478</v>
      </c>
      <c r="G291" s="19"/>
    </row>
    <row r="292" spans="1:7" ht="12.75" x14ac:dyDescent="0.2">
      <c r="A292" s="3">
        <v>29</v>
      </c>
      <c r="B292" s="4" t="s">
        <v>59</v>
      </c>
      <c r="C292" s="3" t="s">
        <v>13</v>
      </c>
      <c r="D292" s="3" t="s">
        <v>3</v>
      </c>
      <c r="E292" s="3">
        <v>183</v>
      </c>
      <c r="G292" s="19"/>
    </row>
    <row r="293" spans="1:7" ht="12.75" x14ac:dyDescent="0.2">
      <c r="A293" s="3">
        <v>29</v>
      </c>
      <c r="B293" s="4" t="s">
        <v>59</v>
      </c>
      <c r="C293" s="3" t="s">
        <v>13</v>
      </c>
      <c r="D293" s="3" t="s">
        <v>132</v>
      </c>
      <c r="E293" s="3">
        <v>282</v>
      </c>
      <c r="G293" s="19"/>
    </row>
    <row r="294" spans="1:7" ht="12.75" x14ac:dyDescent="0.2">
      <c r="A294" s="3">
        <v>29</v>
      </c>
      <c r="B294" s="4" t="s">
        <v>59</v>
      </c>
      <c r="C294" s="3" t="s">
        <v>13</v>
      </c>
      <c r="D294" s="3" t="s">
        <v>14</v>
      </c>
      <c r="E294" s="3">
        <v>13</v>
      </c>
      <c r="F294">
        <f>SUM(E292:E294)</f>
        <v>478</v>
      </c>
      <c r="G294" s="19"/>
    </row>
    <row r="295" spans="1:7" ht="12.75" x14ac:dyDescent="0.2">
      <c r="A295" s="3">
        <v>30</v>
      </c>
      <c r="B295" s="4" t="s">
        <v>60</v>
      </c>
      <c r="C295" s="3" t="s">
        <v>15</v>
      </c>
      <c r="D295" s="3" t="s">
        <v>3</v>
      </c>
      <c r="E295" s="3">
        <v>136</v>
      </c>
      <c r="G295" s="19"/>
    </row>
    <row r="296" spans="1:7" ht="12.75" x14ac:dyDescent="0.2">
      <c r="A296" s="3">
        <v>30</v>
      </c>
      <c r="B296" s="4" t="s">
        <v>60</v>
      </c>
      <c r="C296" s="3" t="s">
        <v>15</v>
      </c>
      <c r="D296" s="3" t="s">
        <v>14</v>
      </c>
      <c r="E296" s="3">
        <v>74</v>
      </c>
      <c r="F296">
        <f>SUM(E295:E296)</f>
        <v>210</v>
      </c>
      <c r="G296" s="19"/>
    </row>
    <row r="297" spans="1:7" ht="12.75" x14ac:dyDescent="0.2">
      <c r="A297" s="3">
        <v>30</v>
      </c>
      <c r="B297" s="4" t="s">
        <v>60</v>
      </c>
      <c r="C297" s="3" t="s">
        <v>17</v>
      </c>
      <c r="D297" s="3" t="s">
        <v>3</v>
      </c>
      <c r="E297" s="3">
        <v>134</v>
      </c>
      <c r="G297" s="19"/>
    </row>
    <row r="298" spans="1:7" ht="12.75" x14ac:dyDescent="0.2">
      <c r="A298" s="3">
        <v>30</v>
      </c>
      <c r="B298" s="4" t="s">
        <v>60</v>
      </c>
      <c r="C298" s="3" t="s">
        <v>17</v>
      </c>
      <c r="D298" s="3" t="s">
        <v>14</v>
      </c>
      <c r="E298" s="3">
        <v>76</v>
      </c>
      <c r="F298">
        <f>SUM(E297:E298)</f>
        <v>210</v>
      </c>
      <c r="G298" s="19"/>
    </row>
    <row r="299" spans="1:7" ht="12.75" x14ac:dyDescent="0.2">
      <c r="A299" s="3">
        <v>31</v>
      </c>
      <c r="B299" s="4" t="s">
        <v>61</v>
      </c>
      <c r="C299" s="3" t="s">
        <v>2</v>
      </c>
      <c r="D299" s="3" t="s">
        <v>3</v>
      </c>
      <c r="E299" s="3">
        <v>1022</v>
      </c>
      <c r="G299" s="19"/>
    </row>
    <row r="300" spans="1:7" ht="12.75" x14ac:dyDescent="0.2">
      <c r="A300" s="3">
        <v>31</v>
      </c>
      <c r="B300" s="4" t="s">
        <v>61</v>
      </c>
      <c r="C300" s="3" t="s">
        <v>2</v>
      </c>
      <c r="D300" s="3" t="s">
        <v>132</v>
      </c>
      <c r="E300" s="3">
        <v>963</v>
      </c>
      <c r="G300" s="19"/>
    </row>
    <row r="301" spans="1:7" ht="12.75" x14ac:dyDescent="0.2">
      <c r="A301" s="3">
        <v>31</v>
      </c>
      <c r="B301" s="4" t="s">
        <v>61</v>
      </c>
      <c r="C301" s="3" t="s">
        <v>2</v>
      </c>
      <c r="D301" s="3" t="s">
        <v>14</v>
      </c>
      <c r="E301" s="3">
        <v>135</v>
      </c>
      <c r="G301" s="19"/>
    </row>
    <row r="302" spans="1:7" ht="12.75" x14ac:dyDescent="0.2">
      <c r="A302" s="3">
        <v>31</v>
      </c>
      <c r="B302" s="4" t="s">
        <v>61</v>
      </c>
      <c r="C302" s="3" t="s">
        <v>2</v>
      </c>
      <c r="D302" s="3" t="s">
        <v>138</v>
      </c>
      <c r="E302" s="3">
        <v>4</v>
      </c>
      <c r="F302">
        <f>SUM(E299:E302)</f>
        <v>2124</v>
      </c>
      <c r="G302" s="19"/>
    </row>
    <row r="303" spans="1:7" ht="12.75" x14ac:dyDescent="0.2">
      <c r="A303" s="3">
        <v>31</v>
      </c>
      <c r="B303" s="4" t="s">
        <v>61</v>
      </c>
      <c r="C303" s="3" t="s">
        <v>10</v>
      </c>
      <c r="D303" s="3" t="s">
        <v>3</v>
      </c>
      <c r="E303" s="3">
        <v>1038</v>
      </c>
      <c r="G303" s="19"/>
    </row>
    <row r="304" spans="1:7" ht="12.75" x14ac:dyDescent="0.2">
      <c r="A304" s="3">
        <v>31</v>
      </c>
      <c r="B304" s="4" t="s">
        <v>61</v>
      </c>
      <c r="C304" s="3" t="s">
        <v>10</v>
      </c>
      <c r="D304" s="3" t="s">
        <v>132</v>
      </c>
      <c r="E304" s="3">
        <v>935</v>
      </c>
      <c r="G304" s="19"/>
    </row>
    <row r="305" spans="1:7" ht="12.75" x14ac:dyDescent="0.2">
      <c r="A305" s="3">
        <v>31</v>
      </c>
      <c r="B305" s="4" t="s">
        <v>61</v>
      </c>
      <c r="C305" s="3" t="s">
        <v>10</v>
      </c>
      <c r="D305" s="3" t="s">
        <v>14</v>
      </c>
      <c r="E305" s="3">
        <v>147</v>
      </c>
      <c r="G305" s="19"/>
    </row>
    <row r="306" spans="1:7" ht="12.75" x14ac:dyDescent="0.2">
      <c r="A306" s="3">
        <v>31</v>
      </c>
      <c r="B306" s="4" t="s">
        <v>61</v>
      </c>
      <c r="C306" s="3" t="s">
        <v>10</v>
      </c>
      <c r="D306" s="3" t="s">
        <v>138</v>
      </c>
      <c r="E306" s="3">
        <v>4</v>
      </c>
      <c r="F306">
        <f>SUM(E303:E306)</f>
        <v>2124</v>
      </c>
      <c r="G306" s="19"/>
    </row>
    <row r="307" spans="1:7" ht="12.75" x14ac:dyDescent="0.2">
      <c r="A307" s="3">
        <v>31</v>
      </c>
      <c r="B307" s="4" t="s">
        <v>61</v>
      </c>
      <c r="C307" s="3" t="s">
        <v>13</v>
      </c>
      <c r="D307" s="3" t="s">
        <v>3</v>
      </c>
      <c r="E307" s="3">
        <v>995</v>
      </c>
      <c r="G307" s="19"/>
    </row>
    <row r="308" spans="1:7" ht="12.75" x14ac:dyDescent="0.2">
      <c r="A308" s="3">
        <v>31</v>
      </c>
      <c r="B308" s="4" t="s">
        <v>61</v>
      </c>
      <c r="C308" s="3" t="s">
        <v>13</v>
      </c>
      <c r="D308" s="3" t="s">
        <v>132</v>
      </c>
      <c r="E308" s="3">
        <v>944</v>
      </c>
      <c r="G308" s="19"/>
    </row>
    <row r="309" spans="1:7" ht="12.75" x14ac:dyDescent="0.2">
      <c r="A309" s="3">
        <v>31</v>
      </c>
      <c r="B309" s="4" t="s">
        <v>61</v>
      </c>
      <c r="C309" s="3" t="s">
        <v>13</v>
      </c>
      <c r="D309" s="3" t="s">
        <v>14</v>
      </c>
      <c r="E309" s="3">
        <v>181</v>
      </c>
      <c r="G309" s="19"/>
    </row>
    <row r="310" spans="1:7" ht="12.75" x14ac:dyDescent="0.2">
      <c r="A310" s="3">
        <v>31</v>
      </c>
      <c r="B310" s="4" t="s">
        <v>61</v>
      </c>
      <c r="C310" s="3" t="s">
        <v>13</v>
      </c>
      <c r="D310" s="3" t="s">
        <v>138</v>
      </c>
      <c r="E310" s="3">
        <v>4</v>
      </c>
      <c r="F310">
        <f>SUM(E307:E310)</f>
        <v>2124</v>
      </c>
      <c r="G310" s="19"/>
    </row>
    <row r="311" spans="1:7" ht="12.75" x14ac:dyDescent="0.2">
      <c r="A311" s="3">
        <v>32</v>
      </c>
      <c r="B311" s="4" t="s">
        <v>62</v>
      </c>
      <c r="C311" s="3" t="s">
        <v>15</v>
      </c>
      <c r="D311" s="3" t="s">
        <v>3</v>
      </c>
      <c r="E311" s="3">
        <v>213</v>
      </c>
      <c r="G311" s="19"/>
    </row>
    <row r="312" spans="1:7" ht="12.75" x14ac:dyDescent="0.2">
      <c r="A312" s="3">
        <v>32</v>
      </c>
      <c r="B312" s="4" t="s">
        <v>62</v>
      </c>
      <c r="C312" s="3" t="s">
        <v>15</v>
      </c>
      <c r="D312" s="3" t="s">
        <v>132</v>
      </c>
      <c r="E312" s="3">
        <v>44</v>
      </c>
      <c r="G312" s="19"/>
    </row>
    <row r="313" spans="1:7" ht="12.75" x14ac:dyDescent="0.2">
      <c r="A313" s="3">
        <v>32</v>
      </c>
      <c r="B313" s="4" t="s">
        <v>62</v>
      </c>
      <c r="C313" s="3" t="s">
        <v>15</v>
      </c>
      <c r="D313" s="3" t="s">
        <v>14</v>
      </c>
      <c r="E313" s="3">
        <v>5</v>
      </c>
      <c r="G313" s="19"/>
    </row>
    <row r="314" spans="1:7" ht="12.75" x14ac:dyDescent="0.2">
      <c r="A314" s="3">
        <v>32</v>
      </c>
      <c r="B314" s="4" t="s">
        <v>62</v>
      </c>
      <c r="C314" s="3" t="s">
        <v>15</v>
      </c>
      <c r="D314" s="3" t="s">
        <v>138</v>
      </c>
      <c r="E314" s="3">
        <v>6</v>
      </c>
      <c r="F314">
        <f>SUM(E311:E314)</f>
        <v>268</v>
      </c>
      <c r="G314" s="19"/>
    </row>
    <row r="315" spans="1:7" ht="12.75" x14ac:dyDescent="0.2">
      <c r="A315" s="3">
        <v>32</v>
      </c>
      <c r="B315" s="4" t="s">
        <v>62</v>
      </c>
      <c r="C315" s="3" t="s">
        <v>17</v>
      </c>
      <c r="D315" s="3" t="s">
        <v>3</v>
      </c>
      <c r="E315" s="3">
        <v>211</v>
      </c>
      <c r="G315" s="19"/>
    </row>
    <row r="316" spans="1:7" ht="12.75" x14ac:dyDescent="0.2">
      <c r="A316" s="3">
        <v>32</v>
      </c>
      <c r="B316" s="4" t="s">
        <v>62</v>
      </c>
      <c r="C316" s="3" t="s">
        <v>17</v>
      </c>
      <c r="D316" s="3" t="s">
        <v>132</v>
      </c>
      <c r="E316" s="3">
        <v>45</v>
      </c>
      <c r="G316" s="19"/>
    </row>
    <row r="317" spans="1:7" ht="12.75" x14ac:dyDescent="0.2">
      <c r="A317" s="3">
        <v>32</v>
      </c>
      <c r="B317" s="4" t="s">
        <v>62</v>
      </c>
      <c r="C317" s="3" t="s">
        <v>17</v>
      </c>
      <c r="D317" s="3" t="s">
        <v>14</v>
      </c>
      <c r="E317" s="3">
        <v>6</v>
      </c>
      <c r="G317" s="19"/>
    </row>
    <row r="318" spans="1:7" ht="12.75" x14ac:dyDescent="0.2">
      <c r="A318" s="3">
        <v>32</v>
      </c>
      <c r="B318" s="4" t="s">
        <v>62</v>
      </c>
      <c r="C318" s="3" t="s">
        <v>17</v>
      </c>
      <c r="D318" s="3" t="s">
        <v>138</v>
      </c>
      <c r="E318" s="3">
        <v>6</v>
      </c>
      <c r="F318">
        <f>SUM(E315:E318)</f>
        <v>268</v>
      </c>
      <c r="G318" s="19"/>
    </row>
    <row r="319" spans="1:7" ht="12.75" x14ac:dyDescent="0.2">
      <c r="A319" s="3">
        <v>33</v>
      </c>
      <c r="B319" s="4" t="s">
        <v>63</v>
      </c>
      <c r="C319" s="3" t="s">
        <v>2</v>
      </c>
      <c r="D319" s="3" t="s">
        <v>3</v>
      </c>
      <c r="E319" s="3">
        <v>255</v>
      </c>
      <c r="G319" s="19"/>
    </row>
    <row r="320" spans="1:7" ht="12.75" x14ac:dyDescent="0.2">
      <c r="A320" s="3">
        <v>33</v>
      </c>
      <c r="B320" s="4" t="s">
        <v>63</v>
      </c>
      <c r="C320" s="3" t="s">
        <v>2</v>
      </c>
      <c r="D320" s="3" t="s">
        <v>149</v>
      </c>
      <c r="E320" s="3">
        <v>166</v>
      </c>
      <c r="G320" s="19"/>
    </row>
    <row r="321" spans="1:7" ht="12.75" x14ac:dyDescent="0.2">
      <c r="A321" s="3">
        <v>33</v>
      </c>
      <c r="B321" s="4" t="s">
        <v>63</v>
      </c>
      <c r="C321" s="3" t="s">
        <v>2</v>
      </c>
      <c r="D321" s="3" t="s">
        <v>14</v>
      </c>
      <c r="E321" s="3">
        <v>8</v>
      </c>
      <c r="G321" s="19"/>
    </row>
    <row r="322" spans="1:7" ht="12.75" x14ac:dyDescent="0.2">
      <c r="A322" s="3">
        <v>33</v>
      </c>
      <c r="B322" s="4" t="s">
        <v>63</v>
      </c>
      <c r="C322" s="3" t="s">
        <v>2</v>
      </c>
      <c r="D322" s="3" t="s">
        <v>138</v>
      </c>
      <c r="E322" s="3">
        <v>1</v>
      </c>
      <c r="F322">
        <f>SUM(E319:E322)</f>
        <v>430</v>
      </c>
      <c r="G322" s="19"/>
    </row>
    <row r="323" spans="1:7" ht="12.75" x14ac:dyDescent="0.2">
      <c r="A323" s="3">
        <v>33</v>
      </c>
      <c r="B323" s="4" t="s">
        <v>63</v>
      </c>
      <c r="C323" s="3" t="s">
        <v>10</v>
      </c>
      <c r="D323" s="3" t="s">
        <v>3</v>
      </c>
      <c r="E323" s="3">
        <v>249</v>
      </c>
      <c r="G323" s="19"/>
    </row>
    <row r="324" spans="1:7" ht="12.75" x14ac:dyDescent="0.2">
      <c r="A324" s="3">
        <v>33</v>
      </c>
      <c r="B324" s="4" t="s">
        <v>63</v>
      </c>
      <c r="C324" s="3" t="s">
        <v>10</v>
      </c>
      <c r="D324" s="3" t="s">
        <v>149</v>
      </c>
      <c r="E324" s="3">
        <v>149</v>
      </c>
      <c r="G324" s="19"/>
    </row>
    <row r="325" spans="1:7" ht="12.75" x14ac:dyDescent="0.2">
      <c r="A325" s="3">
        <v>33</v>
      </c>
      <c r="B325" s="4" t="s">
        <v>63</v>
      </c>
      <c r="C325" s="3" t="s">
        <v>10</v>
      </c>
      <c r="D325" s="3" t="s">
        <v>14</v>
      </c>
      <c r="E325" s="3">
        <v>31</v>
      </c>
      <c r="G325" s="19"/>
    </row>
    <row r="326" spans="1:7" ht="12.75" x14ac:dyDescent="0.2">
      <c r="A326" s="3">
        <v>33</v>
      </c>
      <c r="B326" s="4" t="s">
        <v>63</v>
      </c>
      <c r="C326" s="3" t="s">
        <v>10</v>
      </c>
      <c r="D326" s="3" t="s">
        <v>138</v>
      </c>
      <c r="E326" s="3">
        <v>1</v>
      </c>
      <c r="F326">
        <f>SUM(E323:E326)</f>
        <v>430</v>
      </c>
      <c r="G326" s="19"/>
    </row>
    <row r="327" spans="1:7" ht="12.75" x14ac:dyDescent="0.2">
      <c r="A327" s="3">
        <v>33</v>
      </c>
      <c r="B327" s="4" t="s">
        <v>63</v>
      </c>
      <c r="C327" s="3" t="s">
        <v>13</v>
      </c>
      <c r="D327" s="3" t="s">
        <v>3</v>
      </c>
      <c r="E327" s="3">
        <v>253</v>
      </c>
      <c r="G327" s="19"/>
    </row>
    <row r="328" spans="1:7" ht="12.75" x14ac:dyDescent="0.2">
      <c r="A328" s="3">
        <v>33</v>
      </c>
      <c r="B328" s="4" t="s">
        <v>63</v>
      </c>
      <c r="C328" s="3" t="s">
        <v>13</v>
      </c>
      <c r="D328" s="3" t="s">
        <v>149</v>
      </c>
      <c r="E328" s="3">
        <v>116</v>
      </c>
      <c r="G328" s="19"/>
    </row>
    <row r="329" spans="1:7" ht="12.75" x14ac:dyDescent="0.2">
      <c r="A329" s="3">
        <v>33</v>
      </c>
      <c r="B329" s="4" t="s">
        <v>63</v>
      </c>
      <c r="C329" s="3" t="s">
        <v>13</v>
      </c>
      <c r="D329" s="3" t="s">
        <v>14</v>
      </c>
      <c r="E329" s="3">
        <v>60</v>
      </c>
      <c r="G329" s="19"/>
    </row>
    <row r="330" spans="1:7" ht="12.75" x14ac:dyDescent="0.2">
      <c r="A330" s="3">
        <v>33</v>
      </c>
      <c r="B330" s="4" t="s">
        <v>63</v>
      </c>
      <c r="C330" s="3" t="s">
        <v>13</v>
      </c>
      <c r="D330" s="3" t="s">
        <v>138</v>
      </c>
      <c r="E330" s="3">
        <v>1</v>
      </c>
      <c r="F330">
        <f>SUM(E327:E330)</f>
        <v>430</v>
      </c>
      <c r="G330" s="19"/>
    </row>
    <row r="331" spans="1:7" ht="12.75" x14ac:dyDescent="0.2">
      <c r="A331" s="3">
        <v>34</v>
      </c>
      <c r="B331" s="4" t="s">
        <v>64</v>
      </c>
      <c r="C331" s="3" t="s">
        <v>2</v>
      </c>
      <c r="D331" s="3" t="s">
        <v>3</v>
      </c>
      <c r="E331" s="3">
        <v>881</v>
      </c>
      <c r="G331" s="19"/>
    </row>
    <row r="332" spans="1:7" ht="12.75" x14ac:dyDescent="0.2">
      <c r="A332" s="3">
        <v>34</v>
      </c>
      <c r="B332" s="4" t="s">
        <v>64</v>
      </c>
      <c r="C332" s="3" t="s">
        <v>2</v>
      </c>
      <c r="D332" s="3" t="s">
        <v>132</v>
      </c>
      <c r="E332" s="3">
        <v>763</v>
      </c>
      <c r="G332" s="19"/>
    </row>
    <row r="333" spans="1:7" ht="12.75" x14ac:dyDescent="0.2">
      <c r="A333" s="3">
        <v>34</v>
      </c>
      <c r="B333" s="4" t="s">
        <v>64</v>
      </c>
      <c r="C333" s="3" t="s">
        <v>2</v>
      </c>
      <c r="D333" s="3" t="s">
        <v>14</v>
      </c>
      <c r="E333" s="3">
        <v>27</v>
      </c>
      <c r="F333">
        <f>SUM(E331:E333)</f>
        <v>1671</v>
      </c>
      <c r="G333" s="19"/>
    </row>
    <row r="334" spans="1:7" ht="12.75" x14ac:dyDescent="0.2">
      <c r="A334" s="3">
        <v>34</v>
      </c>
      <c r="B334" s="4" t="s">
        <v>64</v>
      </c>
      <c r="C334" s="3" t="s">
        <v>10</v>
      </c>
      <c r="D334" s="3" t="s">
        <v>3</v>
      </c>
      <c r="E334" s="3">
        <v>845</v>
      </c>
      <c r="G334" s="19"/>
    </row>
    <row r="335" spans="1:7" ht="12.75" x14ac:dyDescent="0.2">
      <c r="A335" s="3">
        <v>34</v>
      </c>
      <c r="B335" s="4" t="s">
        <v>64</v>
      </c>
      <c r="C335" s="3" t="s">
        <v>10</v>
      </c>
      <c r="D335" s="3" t="s">
        <v>132</v>
      </c>
      <c r="E335" s="3">
        <v>768</v>
      </c>
      <c r="G335" s="19"/>
    </row>
    <row r="336" spans="1:7" ht="12.75" x14ac:dyDescent="0.2">
      <c r="A336" s="3">
        <v>34</v>
      </c>
      <c r="B336" s="4" t="s">
        <v>64</v>
      </c>
      <c r="C336" s="3" t="s">
        <v>10</v>
      </c>
      <c r="D336" s="3" t="s">
        <v>14</v>
      </c>
      <c r="E336" s="3">
        <v>58</v>
      </c>
      <c r="F336">
        <f>SUM(E334:E336)</f>
        <v>1671</v>
      </c>
      <c r="G336" s="19"/>
    </row>
    <row r="337" spans="1:7" ht="12.75" x14ac:dyDescent="0.2">
      <c r="A337" s="3">
        <v>34</v>
      </c>
      <c r="B337" s="4" t="s">
        <v>64</v>
      </c>
      <c r="C337" s="3" t="s">
        <v>13</v>
      </c>
      <c r="D337" s="3" t="s">
        <v>3</v>
      </c>
      <c r="E337" s="3">
        <v>883</v>
      </c>
      <c r="G337" s="19"/>
    </row>
    <row r="338" spans="1:7" ht="12.75" x14ac:dyDescent="0.2">
      <c r="A338" s="3">
        <v>34</v>
      </c>
      <c r="B338" s="4" t="s">
        <v>64</v>
      </c>
      <c r="C338" s="3" t="s">
        <v>13</v>
      </c>
      <c r="D338" s="3" t="s">
        <v>132</v>
      </c>
      <c r="E338" s="3">
        <v>746</v>
      </c>
      <c r="G338" s="19"/>
    </row>
    <row r="339" spans="1:7" ht="12.75" x14ac:dyDescent="0.2">
      <c r="A339" s="3">
        <v>34</v>
      </c>
      <c r="B339" s="4" t="s">
        <v>64</v>
      </c>
      <c r="C339" s="3" t="s">
        <v>13</v>
      </c>
      <c r="D339" s="3" t="s">
        <v>14</v>
      </c>
      <c r="E339" s="3">
        <v>42</v>
      </c>
      <c r="F339">
        <f>SUM(E337:E339)</f>
        <v>1671</v>
      </c>
      <c r="G339" s="19"/>
    </row>
    <row r="340" spans="1:7" ht="12.75" x14ac:dyDescent="0.2">
      <c r="A340" s="3">
        <v>35</v>
      </c>
      <c r="B340" s="4" t="s">
        <v>65</v>
      </c>
      <c r="C340" s="3" t="s">
        <v>2</v>
      </c>
      <c r="D340" s="3" t="s">
        <v>3</v>
      </c>
      <c r="E340" s="3">
        <v>184</v>
      </c>
      <c r="G340" s="19"/>
    </row>
    <row r="341" spans="1:7" ht="12.75" x14ac:dyDescent="0.2">
      <c r="A341" s="3">
        <v>35</v>
      </c>
      <c r="B341" s="4" t="s">
        <v>65</v>
      </c>
      <c r="C341" s="3" t="s">
        <v>2</v>
      </c>
      <c r="D341" s="3" t="s">
        <v>132</v>
      </c>
      <c r="E341" s="3">
        <v>609</v>
      </c>
      <c r="G341" s="19"/>
    </row>
    <row r="342" spans="1:7" ht="12.75" x14ac:dyDescent="0.2">
      <c r="A342" s="3">
        <v>35</v>
      </c>
      <c r="B342" s="4" t="s">
        <v>65</v>
      </c>
      <c r="C342" s="3" t="s">
        <v>2</v>
      </c>
      <c r="D342" s="3" t="s">
        <v>14</v>
      </c>
      <c r="E342" s="3">
        <v>35</v>
      </c>
      <c r="G342" s="19"/>
    </row>
    <row r="343" spans="1:7" ht="12.75" x14ac:dyDescent="0.2">
      <c r="A343" s="3">
        <v>35</v>
      </c>
      <c r="B343" s="4" t="s">
        <v>65</v>
      </c>
      <c r="C343" s="3" t="s">
        <v>2</v>
      </c>
      <c r="D343" s="3" t="s">
        <v>138</v>
      </c>
      <c r="E343" s="3">
        <v>4</v>
      </c>
      <c r="F343">
        <f>SUM(E340:E343)</f>
        <v>832</v>
      </c>
      <c r="G343" s="19"/>
    </row>
    <row r="344" spans="1:7" ht="12.75" x14ac:dyDescent="0.2">
      <c r="A344" s="3">
        <v>35</v>
      </c>
      <c r="B344" s="4" t="s">
        <v>65</v>
      </c>
      <c r="C344" s="3" t="s">
        <v>10</v>
      </c>
      <c r="D344" s="3" t="s">
        <v>3</v>
      </c>
      <c r="E344" s="3">
        <v>268</v>
      </c>
      <c r="G344" s="19"/>
    </row>
    <row r="345" spans="1:7" ht="12.75" x14ac:dyDescent="0.2">
      <c r="A345" s="3">
        <v>35</v>
      </c>
      <c r="B345" s="4" t="s">
        <v>65</v>
      </c>
      <c r="C345" s="3" t="s">
        <v>10</v>
      </c>
      <c r="D345" s="3" t="s">
        <v>132</v>
      </c>
      <c r="E345" s="3">
        <v>504</v>
      </c>
      <c r="G345" s="19"/>
    </row>
    <row r="346" spans="1:7" ht="12.75" x14ac:dyDescent="0.2">
      <c r="A346" s="3">
        <v>35</v>
      </c>
      <c r="B346" s="4" t="s">
        <v>65</v>
      </c>
      <c r="C346" s="3" t="s">
        <v>10</v>
      </c>
      <c r="D346" s="3" t="s">
        <v>14</v>
      </c>
      <c r="E346" s="3">
        <v>57</v>
      </c>
      <c r="G346" s="19"/>
    </row>
    <row r="347" spans="1:7" ht="12.75" x14ac:dyDescent="0.2">
      <c r="A347" s="3">
        <v>35</v>
      </c>
      <c r="B347" s="4" t="s">
        <v>65</v>
      </c>
      <c r="C347" s="3" t="s">
        <v>10</v>
      </c>
      <c r="D347" s="3" t="s">
        <v>138</v>
      </c>
      <c r="E347" s="3">
        <v>3</v>
      </c>
      <c r="F347">
        <f>SUM(E344:E347)</f>
        <v>832</v>
      </c>
      <c r="G347" s="19"/>
    </row>
    <row r="348" spans="1:7" ht="12.75" x14ac:dyDescent="0.2">
      <c r="A348" s="3">
        <v>35</v>
      </c>
      <c r="B348" s="4" t="s">
        <v>65</v>
      </c>
      <c r="C348" s="3" t="s">
        <v>13</v>
      </c>
      <c r="D348" s="3" t="s">
        <v>3</v>
      </c>
      <c r="E348" s="3">
        <v>209</v>
      </c>
      <c r="G348" s="19"/>
    </row>
    <row r="349" spans="1:7" ht="12.75" x14ac:dyDescent="0.2">
      <c r="A349" s="3">
        <v>35</v>
      </c>
      <c r="B349" s="4" t="s">
        <v>65</v>
      </c>
      <c r="C349" s="3" t="s">
        <v>13</v>
      </c>
      <c r="D349" s="3" t="s">
        <v>132</v>
      </c>
      <c r="E349" s="3">
        <v>550</v>
      </c>
      <c r="G349" s="19"/>
    </row>
    <row r="350" spans="1:7" ht="12.75" x14ac:dyDescent="0.2">
      <c r="A350" s="3">
        <v>35</v>
      </c>
      <c r="B350" s="4" t="s">
        <v>65</v>
      </c>
      <c r="C350" s="3" t="s">
        <v>13</v>
      </c>
      <c r="D350" s="3" t="s">
        <v>14</v>
      </c>
      <c r="E350" s="3">
        <v>73</v>
      </c>
      <c r="F350">
        <f>SUM(E348:E350)</f>
        <v>832</v>
      </c>
      <c r="G350" s="19"/>
    </row>
    <row r="351" spans="1:7" ht="12.75" x14ac:dyDescent="0.2">
      <c r="A351" s="3">
        <v>36</v>
      </c>
      <c r="B351" s="4" t="s">
        <v>66</v>
      </c>
      <c r="C351" s="3" t="s">
        <v>2</v>
      </c>
      <c r="D351" s="3" t="s">
        <v>3</v>
      </c>
      <c r="E351" s="3">
        <v>759</v>
      </c>
      <c r="G351" s="19"/>
    </row>
    <row r="352" spans="1:7" ht="12.75" x14ac:dyDescent="0.2">
      <c r="A352" s="3">
        <v>36</v>
      </c>
      <c r="B352" s="4" t="s">
        <v>66</v>
      </c>
      <c r="C352" s="3" t="s">
        <v>2</v>
      </c>
      <c r="D352" s="3" t="s">
        <v>149</v>
      </c>
      <c r="E352" s="3">
        <v>365</v>
      </c>
      <c r="G352" s="19"/>
    </row>
    <row r="353" spans="1:7" ht="12.75" x14ac:dyDescent="0.2">
      <c r="A353" s="3">
        <v>36</v>
      </c>
      <c r="B353" s="4" t="s">
        <v>66</v>
      </c>
      <c r="C353" s="3" t="s">
        <v>2</v>
      </c>
      <c r="D353" s="3" t="s">
        <v>132</v>
      </c>
      <c r="E353" s="3">
        <v>1807</v>
      </c>
      <c r="G353" s="19"/>
    </row>
    <row r="354" spans="1:7" ht="12.75" x14ac:dyDescent="0.2">
      <c r="A354" s="3">
        <v>36</v>
      </c>
      <c r="B354" s="4" t="s">
        <v>66</v>
      </c>
      <c r="C354" s="3" t="s">
        <v>2</v>
      </c>
      <c r="D354" s="3" t="s">
        <v>14</v>
      </c>
      <c r="E354" s="3">
        <v>153</v>
      </c>
      <c r="F354">
        <f>SUM(E351:E354)</f>
        <v>3084</v>
      </c>
      <c r="G354" s="19"/>
    </row>
    <row r="355" spans="1:7" ht="12.75" x14ac:dyDescent="0.2">
      <c r="A355" s="3">
        <v>36</v>
      </c>
      <c r="B355" s="4" t="s">
        <v>66</v>
      </c>
      <c r="C355" s="3" t="s">
        <v>10</v>
      </c>
      <c r="D355" s="3" t="s">
        <v>3</v>
      </c>
      <c r="E355" s="3">
        <v>707</v>
      </c>
      <c r="G355" s="19"/>
    </row>
    <row r="356" spans="1:7" ht="12.75" x14ac:dyDescent="0.2">
      <c r="A356" s="3">
        <v>36</v>
      </c>
      <c r="B356" s="4" t="s">
        <v>66</v>
      </c>
      <c r="C356" s="3" t="s">
        <v>10</v>
      </c>
      <c r="D356" s="3" t="s">
        <v>149</v>
      </c>
      <c r="E356" s="3">
        <v>341</v>
      </c>
      <c r="G356" s="19"/>
    </row>
    <row r="357" spans="1:7" ht="12.75" x14ac:dyDescent="0.2">
      <c r="A357" s="3">
        <v>36</v>
      </c>
      <c r="B357" s="4" t="s">
        <v>66</v>
      </c>
      <c r="C357" s="3" t="s">
        <v>10</v>
      </c>
      <c r="D357" s="3" t="s">
        <v>132</v>
      </c>
      <c r="E357" s="3">
        <v>1740</v>
      </c>
      <c r="G357" s="19"/>
    </row>
    <row r="358" spans="1:7" ht="12.75" x14ac:dyDescent="0.2">
      <c r="A358" s="3">
        <v>36</v>
      </c>
      <c r="B358" s="4" t="s">
        <v>66</v>
      </c>
      <c r="C358" s="3" t="s">
        <v>10</v>
      </c>
      <c r="D358" s="3" t="s">
        <v>305</v>
      </c>
      <c r="E358" s="3">
        <v>99</v>
      </c>
      <c r="G358" s="19"/>
    </row>
    <row r="359" spans="1:7" ht="12.75" x14ac:dyDescent="0.2">
      <c r="A359" s="3">
        <v>36</v>
      </c>
      <c r="B359" s="4" t="s">
        <v>66</v>
      </c>
      <c r="C359" s="3" t="s">
        <v>10</v>
      </c>
      <c r="D359" s="3" t="s">
        <v>14</v>
      </c>
      <c r="E359" s="3">
        <v>197</v>
      </c>
      <c r="F359">
        <f>SUM(E355:E359)</f>
        <v>3084</v>
      </c>
      <c r="G359" s="19"/>
    </row>
    <row r="360" spans="1:7" ht="12.75" x14ac:dyDescent="0.2">
      <c r="A360" s="3">
        <v>36</v>
      </c>
      <c r="B360" s="4" t="s">
        <v>66</v>
      </c>
      <c r="C360" s="3" t="s">
        <v>13</v>
      </c>
      <c r="D360" s="3" t="s">
        <v>3</v>
      </c>
      <c r="E360" s="3">
        <v>662</v>
      </c>
      <c r="G360" s="19"/>
    </row>
    <row r="361" spans="1:7" ht="12.75" x14ac:dyDescent="0.2">
      <c r="A361" s="3">
        <v>36</v>
      </c>
      <c r="B361" s="4" t="s">
        <v>66</v>
      </c>
      <c r="C361" s="3" t="s">
        <v>13</v>
      </c>
      <c r="D361" s="3" t="s">
        <v>149</v>
      </c>
      <c r="E361" s="3">
        <v>519</v>
      </c>
      <c r="G361" s="19"/>
    </row>
    <row r="362" spans="1:7" ht="12.75" x14ac:dyDescent="0.2">
      <c r="A362" s="3">
        <v>36</v>
      </c>
      <c r="B362" s="4" t="s">
        <v>66</v>
      </c>
      <c r="C362" s="3" t="s">
        <v>13</v>
      </c>
      <c r="D362" s="3" t="s">
        <v>132</v>
      </c>
      <c r="E362" s="3">
        <v>1654</v>
      </c>
      <c r="G362" s="19"/>
    </row>
    <row r="363" spans="1:7" ht="12.75" x14ac:dyDescent="0.2">
      <c r="A363" s="3">
        <v>36</v>
      </c>
      <c r="B363" s="4" t="s">
        <v>66</v>
      </c>
      <c r="C363" s="3" t="s">
        <v>13</v>
      </c>
      <c r="D363" s="3" t="s">
        <v>14</v>
      </c>
      <c r="E363" s="3">
        <v>249</v>
      </c>
      <c r="F363">
        <f>SUM(E360:E363)</f>
        <v>3084</v>
      </c>
      <c r="G363" s="19"/>
    </row>
    <row r="364" spans="1:7" ht="12.75" x14ac:dyDescent="0.2">
      <c r="A364" s="3">
        <v>37</v>
      </c>
      <c r="B364" s="4" t="s">
        <v>67</v>
      </c>
      <c r="C364" s="3" t="s">
        <v>15</v>
      </c>
      <c r="D364" s="3" t="s">
        <v>3</v>
      </c>
      <c r="E364" s="3">
        <v>36</v>
      </c>
      <c r="G364" s="19"/>
    </row>
    <row r="365" spans="1:7" ht="12.75" x14ac:dyDescent="0.2">
      <c r="A365" s="3">
        <v>37</v>
      </c>
      <c r="B365" s="4" t="s">
        <v>67</v>
      </c>
      <c r="C365" s="3" t="s">
        <v>15</v>
      </c>
      <c r="D365" s="3" t="s">
        <v>14</v>
      </c>
      <c r="E365" s="3">
        <v>16</v>
      </c>
      <c r="F365">
        <f>SUM(E364:E365)</f>
        <v>52</v>
      </c>
      <c r="G365" s="19"/>
    </row>
    <row r="366" spans="1:7" ht="12.75" x14ac:dyDescent="0.2">
      <c r="A366" s="3">
        <v>37</v>
      </c>
      <c r="B366" s="4" t="s">
        <v>67</v>
      </c>
      <c r="C366" s="3" t="s">
        <v>17</v>
      </c>
      <c r="D366" s="3" t="s">
        <v>3</v>
      </c>
      <c r="E366" s="3">
        <v>36</v>
      </c>
      <c r="G366" s="19"/>
    </row>
    <row r="367" spans="1:7" ht="12.75" x14ac:dyDescent="0.2">
      <c r="A367" s="3">
        <v>37</v>
      </c>
      <c r="B367" s="4" t="s">
        <v>67</v>
      </c>
      <c r="C367" s="3" t="s">
        <v>17</v>
      </c>
      <c r="D367" s="3" t="s">
        <v>14</v>
      </c>
      <c r="E367" s="3">
        <v>16</v>
      </c>
      <c r="F367">
        <f>SUM(E366:E367)</f>
        <v>52</v>
      </c>
      <c r="G367" s="19"/>
    </row>
    <row r="368" spans="1:7" ht="12.75" x14ac:dyDescent="0.2">
      <c r="A368" s="3">
        <v>38</v>
      </c>
      <c r="B368" s="4" t="s">
        <v>68</v>
      </c>
      <c r="C368" s="3" t="s">
        <v>2</v>
      </c>
      <c r="D368" s="3" t="s">
        <v>3</v>
      </c>
      <c r="E368" s="3">
        <v>153</v>
      </c>
      <c r="G368" s="19"/>
    </row>
    <row r="369" spans="1:7" ht="12.75" x14ac:dyDescent="0.2">
      <c r="A369" s="3">
        <v>38</v>
      </c>
      <c r="B369" s="4" t="s">
        <v>68</v>
      </c>
      <c r="C369" s="3" t="s">
        <v>2</v>
      </c>
      <c r="D369" s="3" t="s">
        <v>132</v>
      </c>
      <c r="E369" s="3">
        <v>253</v>
      </c>
      <c r="G369" s="19"/>
    </row>
    <row r="370" spans="1:7" ht="12.75" x14ac:dyDescent="0.2">
      <c r="A370" s="3">
        <v>38</v>
      </c>
      <c r="B370" s="4" t="s">
        <v>68</v>
      </c>
      <c r="C370" s="3" t="s">
        <v>2</v>
      </c>
      <c r="D370" s="3" t="s">
        <v>14</v>
      </c>
      <c r="E370" s="3">
        <v>15</v>
      </c>
      <c r="F370">
        <f>SUM(E368:E370)</f>
        <v>421</v>
      </c>
      <c r="G370" s="19"/>
    </row>
    <row r="371" spans="1:7" ht="12.75" x14ac:dyDescent="0.2">
      <c r="A371" s="3">
        <v>38</v>
      </c>
      <c r="B371" s="4" t="s">
        <v>68</v>
      </c>
      <c r="C371" s="3" t="s">
        <v>10</v>
      </c>
      <c r="D371" s="3" t="s">
        <v>3</v>
      </c>
      <c r="E371" s="3">
        <v>123</v>
      </c>
      <c r="G371" s="19"/>
    </row>
    <row r="372" spans="1:7" ht="12.75" x14ac:dyDescent="0.2">
      <c r="A372" s="3">
        <v>38</v>
      </c>
      <c r="B372" s="4" t="s">
        <v>68</v>
      </c>
      <c r="C372" s="3" t="s">
        <v>10</v>
      </c>
      <c r="D372" s="3" t="s">
        <v>132</v>
      </c>
      <c r="E372" s="3">
        <v>273</v>
      </c>
      <c r="G372" s="19"/>
    </row>
    <row r="373" spans="1:7" ht="12.75" x14ac:dyDescent="0.2">
      <c r="A373" s="3">
        <v>38</v>
      </c>
      <c r="B373" s="4" t="s">
        <v>68</v>
      </c>
      <c r="C373" s="3" t="s">
        <v>10</v>
      </c>
      <c r="D373" s="3" t="s">
        <v>14</v>
      </c>
      <c r="E373" s="3">
        <v>25</v>
      </c>
      <c r="F373">
        <f>SUM(E371:E373)</f>
        <v>421</v>
      </c>
      <c r="G373" s="19"/>
    </row>
    <row r="374" spans="1:7" ht="12.75" x14ac:dyDescent="0.2">
      <c r="A374" s="3">
        <v>38</v>
      </c>
      <c r="B374" s="4" t="s">
        <v>68</v>
      </c>
      <c r="C374" s="3" t="s">
        <v>13</v>
      </c>
      <c r="D374" s="3" t="s">
        <v>3</v>
      </c>
      <c r="E374" s="3">
        <v>122</v>
      </c>
      <c r="G374" s="19"/>
    </row>
    <row r="375" spans="1:7" ht="12.75" x14ac:dyDescent="0.2">
      <c r="A375" s="3">
        <v>38</v>
      </c>
      <c r="B375" s="4" t="s">
        <v>68</v>
      </c>
      <c r="C375" s="3" t="s">
        <v>13</v>
      </c>
      <c r="D375" s="3" t="s">
        <v>132</v>
      </c>
      <c r="E375" s="3">
        <v>284</v>
      </c>
      <c r="G375" s="19"/>
    </row>
    <row r="376" spans="1:7" ht="12.75" x14ac:dyDescent="0.2">
      <c r="A376" s="3">
        <v>38</v>
      </c>
      <c r="B376" s="4" t="s">
        <v>68</v>
      </c>
      <c r="C376" s="3" t="s">
        <v>13</v>
      </c>
      <c r="D376" s="3" t="s">
        <v>14</v>
      </c>
      <c r="E376" s="3">
        <v>15</v>
      </c>
      <c r="F376">
        <f>SUM(E375:E376,E374)</f>
        <v>421</v>
      </c>
      <c r="G376" s="19"/>
    </row>
    <row r="377" spans="1:7" ht="12.75" x14ac:dyDescent="0.2">
      <c r="A377" s="3">
        <v>39</v>
      </c>
      <c r="B377" s="4" t="s">
        <v>69</v>
      </c>
      <c r="C377" s="3" t="s">
        <v>2</v>
      </c>
      <c r="D377" s="3" t="s">
        <v>3</v>
      </c>
      <c r="E377" s="3">
        <v>672</v>
      </c>
      <c r="G377" s="19"/>
    </row>
    <row r="378" spans="1:7" ht="12.75" x14ac:dyDescent="0.2">
      <c r="A378" s="3">
        <v>39</v>
      </c>
      <c r="B378" s="4" t="s">
        <v>69</v>
      </c>
      <c r="C378" s="3" t="s">
        <v>2</v>
      </c>
      <c r="D378" s="3" t="s">
        <v>132</v>
      </c>
      <c r="E378" s="3">
        <v>609</v>
      </c>
      <c r="G378" s="19"/>
    </row>
    <row r="379" spans="1:7" ht="12.75" x14ac:dyDescent="0.2">
      <c r="A379" s="3">
        <v>39</v>
      </c>
      <c r="B379" s="4" t="s">
        <v>69</v>
      </c>
      <c r="C379" s="3" t="s">
        <v>2</v>
      </c>
      <c r="D379" s="3" t="s">
        <v>14</v>
      </c>
      <c r="E379" s="3">
        <v>81</v>
      </c>
      <c r="F379">
        <f>SUM(E377:E379)</f>
        <v>1362</v>
      </c>
      <c r="G379" s="19"/>
    </row>
    <row r="380" spans="1:7" ht="12.75" x14ac:dyDescent="0.2">
      <c r="A380" s="3">
        <v>39</v>
      </c>
      <c r="B380" s="4" t="s">
        <v>69</v>
      </c>
      <c r="C380" s="3" t="s">
        <v>10</v>
      </c>
      <c r="D380" s="3" t="s">
        <v>3</v>
      </c>
      <c r="E380" s="3">
        <v>675</v>
      </c>
      <c r="G380" s="19"/>
    </row>
    <row r="381" spans="1:7" ht="12.75" x14ac:dyDescent="0.2">
      <c r="A381" s="3">
        <v>39</v>
      </c>
      <c r="B381" s="4" t="s">
        <v>69</v>
      </c>
      <c r="C381" s="3" t="s">
        <v>10</v>
      </c>
      <c r="D381" s="3" t="s">
        <v>132</v>
      </c>
      <c r="E381" s="3">
        <v>587</v>
      </c>
      <c r="G381" s="19"/>
    </row>
    <row r="382" spans="1:7" ht="12.75" x14ac:dyDescent="0.2">
      <c r="A382" s="3">
        <v>39</v>
      </c>
      <c r="B382" s="4" t="s">
        <v>69</v>
      </c>
      <c r="C382" s="3" t="s">
        <v>10</v>
      </c>
      <c r="D382" s="3" t="s">
        <v>14</v>
      </c>
      <c r="E382" s="3">
        <v>100</v>
      </c>
      <c r="F382">
        <f>SUM(E380:E382)</f>
        <v>1362</v>
      </c>
      <c r="G382" s="19"/>
    </row>
    <row r="383" spans="1:7" ht="12.75" x14ac:dyDescent="0.2">
      <c r="A383" s="3">
        <v>39</v>
      </c>
      <c r="B383" s="4" t="s">
        <v>69</v>
      </c>
      <c r="C383" s="3" t="s">
        <v>13</v>
      </c>
      <c r="D383" s="3" t="s">
        <v>3</v>
      </c>
      <c r="E383" s="3">
        <v>614</v>
      </c>
      <c r="G383" s="19"/>
    </row>
    <row r="384" spans="1:7" ht="12.75" x14ac:dyDescent="0.2">
      <c r="A384" s="3">
        <v>39</v>
      </c>
      <c r="B384" s="4" t="s">
        <v>69</v>
      </c>
      <c r="C384" s="3" t="s">
        <v>13</v>
      </c>
      <c r="D384" s="3" t="s">
        <v>132</v>
      </c>
      <c r="E384" s="3">
        <v>627</v>
      </c>
      <c r="G384" s="19"/>
    </row>
    <row r="385" spans="1:7" ht="12.75" x14ac:dyDescent="0.2">
      <c r="A385" s="3">
        <v>39</v>
      </c>
      <c r="B385" s="4" t="s">
        <v>69</v>
      </c>
      <c r="C385" s="3" t="s">
        <v>13</v>
      </c>
      <c r="D385" s="3" t="s">
        <v>14</v>
      </c>
      <c r="E385" s="3">
        <v>121</v>
      </c>
      <c r="F385">
        <f>SUM(E383:E385)</f>
        <v>1362</v>
      </c>
      <c r="G385" s="19"/>
    </row>
    <row r="386" spans="1:7" ht="12.75" x14ac:dyDescent="0.2">
      <c r="A386" s="2" t="s">
        <v>70</v>
      </c>
      <c r="B386" s="4" t="s">
        <v>71</v>
      </c>
      <c r="C386" s="3" t="s">
        <v>2</v>
      </c>
      <c r="D386" s="3" t="s">
        <v>3</v>
      </c>
      <c r="E386" s="3">
        <v>171</v>
      </c>
      <c r="G386" s="19"/>
    </row>
    <row r="387" spans="1:7" ht="12.75" x14ac:dyDescent="0.2">
      <c r="A387" s="2" t="s">
        <v>70</v>
      </c>
      <c r="B387" s="4" t="s">
        <v>71</v>
      </c>
      <c r="C387" s="3" t="s">
        <v>2</v>
      </c>
      <c r="D387" s="3" t="s">
        <v>132</v>
      </c>
      <c r="E387" s="3">
        <v>171</v>
      </c>
      <c r="G387" s="19"/>
    </row>
    <row r="388" spans="1:7" ht="12.75" x14ac:dyDescent="0.2">
      <c r="A388" s="2" t="s">
        <v>70</v>
      </c>
      <c r="B388" s="4" t="s">
        <v>71</v>
      </c>
      <c r="C388" s="3" t="s">
        <v>2</v>
      </c>
      <c r="D388" s="3" t="s">
        <v>14</v>
      </c>
      <c r="E388" s="3">
        <v>10</v>
      </c>
      <c r="G388" s="19"/>
    </row>
    <row r="389" spans="1:7" ht="12.75" x14ac:dyDescent="0.2">
      <c r="A389" s="2" t="s">
        <v>70</v>
      </c>
      <c r="B389" s="4" t="s">
        <v>71</v>
      </c>
      <c r="C389" s="3" t="s">
        <v>2</v>
      </c>
      <c r="D389" s="3" t="s">
        <v>138</v>
      </c>
      <c r="E389" s="3">
        <v>9</v>
      </c>
      <c r="F389">
        <f>SUM(E386:E389)</f>
        <v>361</v>
      </c>
      <c r="G389" s="19"/>
    </row>
    <row r="390" spans="1:7" ht="12.75" x14ac:dyDescent="0.2">
      <c r="A390" s="2" t="s">
        <v>70</v>
      </c>
      <c r="B390" s="4" t="s">
        <v>71</v>
      </c>
      <c r="C390" s="3" t="s">
        <v>10</v>
      </c>
      <c r="D390" s="3" t="s">
        <v>3</v>
      </c>
      <c r="E390" s="3">
        <v>167</v>
      </c>
      <c r="G390" s="19"/>
    </row>
    <row r="391" spans="1:7" ht="12.75" x14ac:dyDescent="0.2">
      <c r="A391" s="2" t="s">
        <v>70</v>
      </c>
      <c r="B391" s="4" t="s">
        <v>71</v>
      </c>
      <c r="C391" s="3" t="s">
        <v>10</v>
      </c>
      <c r="D391" s="3" t="s">
        <v>132</v>
      </c>
      <c r="E391" s="3">
        <v>170</v>
      </c>
      <c r="G391" s="19"/>
    </row>
    <row r="392" spans="1:7" ht="12.75" x14ac:dyDescent="0.2">
      <c r="A392" s="2" t="s">
        <v>70</v>
      </c>
      <c r="B392" s="4" t="s">
        <v>71</v>
      </c>
      <c r="C392" s="3" t="s">
        <v>10</v>
      </c>
      <c r="D392" s="3" t="s">
        <v>14</v>
      </c>
      <c r="E392" s="3">
        <v>16</v>
      </c>
      <c r="G392" s="19"/>
    </row>
    <row r="393" spans="1:7" ht="12.75" x14ac:dyDescent="0.2">
      <c r="A393" s="2" t="s">
        <v>70</v>
      </c>
      <c r="B393" s="4" t="s">
        <v>71</v>
      </c>
      <c r="C393" s="3" t="s">
        <v>10</v>
      </c>
      <c r="D393" s="3" t="s">
        <v>138</v>
      </c>
      <c r="E393" s="3">
        <v>8</v>
      </c>
      <c r="F393">
        <f>SUM(E390:E393)</f>
        <v>361</v>
      </c>
      <c r="G393" s="19"/>
    </row>
    <row r="394" spans="1:7" ht="12.75" x14ac:dyDescent="0.2">
      <c r="A394" s="2" t="s">
        <v>70</v>
      </c>
      <c r="B394" s="4" t="s">
        <v>71</v>
      </c>
      <c r="C394" s="3" t="s">
        <v>13</v>
      </c>
      <c r="D394" s="3" t="s">
        <v>3</v>
      </c>
      <c r="E394" s="3">
        <v>166</v>
      </c>
      <c r="G394" s="19"/>
    </row>
    <row r="395" spans="1:7" ht="12.75" x14ac:dyDescent="0.2">
      <c r="A395" s="2" t="s">
        <v>70</v>
      </c>
      <c r="B395" s="4" t="s">
        <v>71</v>
      </c>
      <c r="C395" s="3" t="s">
        <v>13</v>
      </c>
      <c r="D395" s="3" t="s">
        <v>132</v>
      </c>
      <c r="E395" s="3">
        <v>162</v>
      </c>
      <c r="G395" s="19"/>
    </row>
    <row r="396" spans="1:7" ht="12.75" x14ac:dyDescent="0.2">
      <c r="A396" s="2" t="s">
        <v>70</v>
      </c>
      <c r="B396" s="4" t="s">
        <v>71</v>
      </c>
      <c r="C396" s="3" t="s">
        <v>13</v>
      </c>
      <c r="D396" s="3" t="s">
        <v>14</v>
      </c>
      <c r="E396" s="3">
        <v>25</v>
      </c>
      <c r="G396" s="19"/>
    </row>
    <row r="397" spans="1:7" ht="12.75" x14ac:dyDescent="0.2">
      <c r="A397" s="2" t="s">
        <v>70</v>
      </c>
      <c r="B397" s="4" t="s">
        <v>71</v>
      </c>
      <c r="C397" s="3" t="s">
        <v>13</v>
      </c>
      <c r="D397" s="3" t="s">
        <v>138</v>
      </c>
      <c r="E397" s="3">
        <v>8</v>
      </c>
      <c r="F397">
        <f>SUM(E394:E397)</f>
        <v>361</v>
      </c>
      <c r="G397" s="19"/>
    </row>
    <row r="398" spans="1:7" ht="12.75" x14ac:dyDescent="0.2">
      <c r="A398" s="2">
        <v>40</v>
      </c>
      <c r="B398" s="4" t="s">
        <v>72</v>
      </c>
      <c r="C398" s="3" t="s">
        <v>2</v>
      </c>
      <c r="D398" s="3" t="s">
        <v>3</v>
      </c>
      <c r="E398" s="3">
        <v>1061</v>
      </c>
      <c r="G398" s="19"/>
    </row>
    <row r="399" spans="1:7" ht="12.75" x14ac:dyDescent="0.2">
      <c r="A399" s="2">
        <v>40</v>
      </c>
      <c r="B399" s="4" t="s">
        <v>72</v>
      </c>
      <c r="C399" s="3" t="s">
        <v>2</v>
      </c>
      <c r="D399" s="3" t="s">
        <v>132</v>
      </c>
      <c r="E399" s="3">
        <v>889</v>
      </c>
      <c r="G399" s="19"/>
    </row>
    <row r="400" spans="1:7" ht="12.75" x14ac:dyDescent="0.2">
      <c r="A400" s="2">
        <v>40</v>
      </c>
      <c r="B400" s="4" t="s">
        <v>72</v>
      </c>
      <c r="C400" s="3" t="s">
        <v>2</v>
      </c>
      <c r="D400" s="3" t="s">
        <v>14</v>
      </c>
      <c r="E400" s="3">
        <v>153</v>
      </c>
      <c r="G400" s="19"/>
    </row>
    <row r="401" spans="1:7" ht="12.75" x14ac:dyDescent="0.2">
      <c r="A401" s="2">
        <v>40</v>
      </c>
      <c r="B401" s="4" t="s">
        <v>72</v>
      </c>
      <c r="C401" s="3" t="s">
        <v>2</v>
      </c>
      <c r="D401" s="3" t="s">
        <v>138</v>
      </c>
      <c r="E401" s="3">
        <v>10</v>
      </c>
      <c r="F401">
        <f>SUM(E398:E401)</f>
        <v>2113</v>
      </c>
      <c r="G401" s="19"/>
    </row>
    <row r="402" spans="1:7" ht="12.75" x14ac:dyDescent="0.2">
      <c r="A402" s="2">
        <v>40</v>
      </c>
      <c r="B402" s="4" t="s">
        <v>72</v>
      </c>
      <c r="C402" s="3" t="s">
        <v>10</v>
      </c>
      <c r="D402" s="3" t="s">
        <v>3</v>
      </c>
      <c r="E402" s="3">
        <v>969</v>
      </c>
      <c r="G402" s="19"/>
    </row>
    <row r="403" spans="1:7" ht="12.75" x14ac:dyDescent="0.2">
      <c r="A403" s="2">
        <v>40</v>
      </c>
      <c r="B403" s="4" t="s">
        <v>72</v>
      </c>
      <c r="C403" s="3" t="s">
        <v>10</v>
      </c>
      <c r="D403" s="3" t="s">
        <v>132</v>
      </c>
      <c r="E403" s="3">
        <v>968</v>
      </c>
      <c r="G403" s="19"/>
    </row>
    <row r="404" spans="1:7" ht="12.75" x14ac:dyDescent="0.2">
      <c r="A404" s="2">
        <v>40</v>
      </c>
      <c r="B404" s="4" t="s">
        <v>72</v>
      </c>
      <c r="C404" s="3" t="s">
        <v>10</v>
      </c>
      <c r="D404" s="3" t="s">
        <v>14</v>
      </c>
      <c r="E404" s="3">
        <v>166</v>
      </c>
      <c r="G404" s="19"/>
    </row>
    <row r="405" spans="1:7" ht="12.75" x14ac:dyDescent="0.2">
      <c r="A405" s="2">
        <v>40</v>
      </c>
      <c r="B405" s="4" t="s">
        <v>72</v>
      </c>
      <c r="C405" s="3" t="s">
        <v>10</v>
      </c>
      <c r="D405" s="3" t="s">
        <v>138</v>
      </c>
      <c r="E405" s="3">
        <v>10</v>
      </c>
      <c r="F405">
        <f>SUM(E402:E405)</f>
        <v>2113</v>
      </c>
      <c r="G405" s="19"/>
    </row>
    <row r="406" spans="1:7" ht="12.75" x14ac:dyDescent="0.2">
      <c r="A406" s="2">
        <v>40</v>
      </c>
      <c r="B406" s="4" t="s">
        <v>72</v>
      </c>
      <c r="C406" s="3" t="s">
        <v>13</v>
      </c>
      <c r="D406" s="3" t="s">
        <v>3</v>
      </c>
      <c r="E406" s="3">
        <v>928</v>
      </c>
      <c r="G406" s="19"/>
    </row>
    <row r="407" spans="1:7" ht="12.75" x14ac:dyDescent="0.2">
      <c r="A407" s="2">
        <v>40</v>
      </c>
      <c r="B407" s="4" t="s">
        <v>72</v>
      </c>
      <c r="C407" s="3" t="s">
        <v>13</v>
      </c>
      <c r="D407" s="3" t="s">
        <v>132</v>
      </c>
      <c r="E407" s="3">
        <v>997</v>
      </c>
      <c r="G407" s="19"/>
    </row>
    <row r="408" spans="1:7" ht="12.75" x14ac:dyDescent="0.2">
      <c r="A408" s="2">
        <v>40</v>
      </c>
      <c r="B408" s="4" t="s">
        <v>72</v>
      </c>
      <c r="C408" s="3" t="s">
        <v>13</v>
      </c>
      <c r="D408" s="3" t="s">
        <v>14</v>
      </c>
      <c r="E408" s="3">
        <v>178</v>
      </c>
      <c r="G408" s="19"/>
    </row>
    <row r="409" spans="1:7" ht="12.75" x14ac:dyDescent="0.2">
      <c r="A409" s="2">
        <v>40</v>
      </c>
      <c r="B409" s="4" t="s">
        <v>72</v>
      </c>
      <c r="C409" s="3" t="s">
        <v>13</v>
      </c>
      <c r="D409" s="3" t="s">
        <v>138</v>
      </c>
      <c r="E409" s="3">
        <v>10</v>
      </c>
      <c r="F409">
        <f>SUM(E406:E409)</f>
        <v>2113</v>
      </c>
      <c r="G409" s="19"/>
    </row>
    <row r="410" spans="1:7" ht="12.75" x14ac:dyDescent="0.2">
      <c r="A410" s="3">
        <v>42</v>
      </c>
      <c r="B410" s="4" t="s">
        <v>73</v>
      </c>
      <c r="C410" s="3" t="s">
        <v>2</v>
      </c>
      <c r="D410" s="3" t="s">
        <v>3</v>
      </c>
      <c r="E410" s="3">
        <v>776</v>
      </c>
      <c r="G410" s="19"/>
    </row>
    <row r="411" spans="1:7" ht="12.75" x14ac:dyDescent="0.2">
      <c r="A411" s="3">
        <v>42</v>
      </c>
      <c r="B411" s="4" t="s">
        <v>73</v>
      </c>
      <c r="C411" s="3" t="s">
        <v>2</v>
      </c>
      <c r="D411" s="3" t="s">
        <v>132</v>
      </c>
      <c r="E411" s="3">
        <v>380</v>
      </c>
      <c r="G411" s="19"/>
    </row>
    <row r="412" spans="1:7" ht="12.75" x14ac:dyDescent="0.2">
      <c r="A412" s="3">
        <v>42</v>
      </c>
      <c r="B412" s="4" t="s">
        <v>73</v>
      </c>
      <c r="C412" s="3" t="s">
        <v>2</v>
      </c>
      <c r="D412" s="3" t="s">
        <v>278</v>
      </c>
      <c r="E412" s="3">
        <v>770</v>
      </c>
      <c r="G412" s="19"/>
    </row>
    <row r="413" spans="1:7" ht="12.75" x14ac:dyDescent="0.2">
      <c r="A413" s="3">
        <v>42</v>
      </c>
      <c r="B413" s="4" t="s">
        <v>73</v>
      </c>
      <c r="C413" s="3" t="s">
        <v>2</v>
      </c>
      <c r="D413" s="3" t="s">
        <v>14</v>
      </c>
      <c r="E413" s="3">
        <v>122</v>
      </c>
      <c r="G413" s="19"/>
    </row>
    <row r="414" spans="1:7" ht="12.75" x14ac:dyDescent="0.2">
      <c r="A414" s="3">
        <v>42</v>
      </c>
      <c r="B414" s="4" t="s">
        <v>73</v>
      </c>
      <c r="C414" s="3" t="s">
        <v>2</v>
      </c>
      <c r="D414" s="3" t="s">
        <v>138</v>
      </c>
      <c r="E414" s="3">
        <v>8</v>
      </c>
      <c r="F414">
        <f>SUM(E410:E414)</f>
        <v>2056</v>
      </c>
      <c r="G414" s="19"/>
    </row>
    <row r="415" spans="1:7" ht="12.75" x14ac:dyDescent="0.2">
      <c r="A415" s="3">
        <v>42</v>
      </c>
      <c r="B415" s="4" t="s">
        <v>73</v>
      </c>
      <c r="C415" s="3" t="s">
        <v>10</v>
      </c>
      <c r="D415" s="3" t="s">
        <v>3</v>
      </c>
      <c r="E415" s="3">
        <v>774</v>
      </c>
      <c r="G415" s="19"/>
    </row>
    <row r="416" spans="1:7" ht="12.75" x14ac:dyDescent="0.2">
      <c r="A416" s="3">
        <v>42</v>
      </c>
      <c r="B416" s="4" t="s">
        <v>73</v>
      </c>
      <c r="C416" s="3" t="s">
        <v>10</v>
      </c>
      <c r="D416" s="3" t="s">
        <v>132</v>
      </c>
      <c r="E416" s="3">
        <v>395</v>
      </c>
      <c r="G416" s="19"/>
    </row>
    <row r="417" spans="1:7" ht="12.75" x14ac:dyDescent="0.2">
      <c r="A417" s="3">
        <v>42</v>
      </c>
      <c r="B417" s="4" t="s">
        <v>73</v>
      </c>
      <c r="C417" s="3" t="s">
        <v>10</v>
      </c>
      <c r="D417" s="3" t="s">
        <v>278</v>
      </c>
      <c r="E417" s="3">
        <v>696</v>
      </c>
      <c r="G417" s="19"/>
    </row>
    <row r="418" spans="1:7" ht="12.75" x14ac:dyDescent="0.2">
      <c r="A418" s="3">
        <v>42</v>
      </c>
      <c r="B418" s="4" t="s">
        <v>73</v>
      </c>
      <c r="C418" s="3" t="s">
        <v>10</v>
      </c>
      <c r="D418" s="3" t="s">
        <v>14</v>
      </c>
      <c r="E418" s="3">
        <v>181</v>
      </c>
      <c r="G418" s="19"/>
    </row>
    <row r="419" spans="1:7" ht="12.75" x14ac:dyDescent="0.2">
      <c r="A419" s="3">
        <v>42</v>
      </c>
      <c r="B419" s="4" t="s">
        <v>73</v>
      </c>
      <c r="C419" s="3" t="s">
        <v>10</v>
      </c>
      <c r="D419" s="3" t="s">
        <v>138</v>
      </c>
      <c r="E419" s="3">
        <v>10</v>
      </c>
      <c r="F419">
        <f>SUM(E415:E419)</f>
        <v>2056</v>
      </c>
      <c r="G419" s="19"/>
    </row>
    <row r="420" spans="1:7" ht="12.75" x14ac:dyDescent="0.2">
      <c r="A420" s="3">
        <v>42</v>
      </c>
      <c r="B420" s="4" t="s">
        <v>73</v>
      </c>
      <c r="C420" s="3" t="s">
        <v>13</v>
      </c>
      <c r="D420" s="3" t="s">
        <v>3</v>
      </c>
      <c r="E420" s="3">
        <v>817</v>
      </c>
      <c r="G420" s="19"/>
    </row>
    <row r="421" spans="1:7" ht="12.75" x14ac:dyDescent="0.2">
      <c r="A421" s="3">
        <v>42</v>
      </c>
      <c r="B421" s="4" t="s">
        <v>73</v>
      </c>
      <c r="C421" s="3" t="s">
        <v>13</v>
      </c>
      <c r="D421" s="3" t="s">
        <v>132</v>
      </c>
      <c r="E421" s="3">
        <v>404</v>
      </c>
      <c r="G421" s="19"/>
    </row>
    <row r="422" spans="1:7" ht="12.75" x14ac:dyDescent="0.2">
      <c r="A422" s="3">
        <v>42</v>
      </c>
      <c r="B422" s="4" t="s">
        <v>73</v>
      </c>
      <c r="C422" s="3" t="s">
        <v>13</v>
      </c>
      <c r="D422" s="3" t="s">
        <v>278</v>
      </c>
      <c r="E422" s="3">
        <v>671</v>
      </c>
      <c r="G422" s="19"/>
    </row>
    <row r="423" spans="1:7" ht="12.75" x14ac:dyDescent="0.2">
      <c r="A423" s="3">
        <v>42</v>
      </c>
      <c r="B423" s="4" t="s">
        <v>73</v>
      </c>
      <c r="C423" s="3" t="s">
        <v>13</v>
      </c>
      <c r="D423" s="3" t="s">
        <v>14</v>
      </c>
      <c r="E423" s="3">
        <v>156</v>
      </c>
      <c r="G423" s="19"/>
    </row>
    <row r="424" spans="1:7" ht="12.75" x14ac:dyDescent="0.2">
      <c r="A424" s="3">
        <v>42</v>
      </c>
      <c r="B424" s="4" t="s">
        <v>73</v>
      </c>
      <c r="C424" s="3" t="s">
        <v>13</v>
      </c>
      <c r="D424" s="3" t="s">
        <v>138</v>
      </c>
      <c r="E424" s="3">
        <v>8</v>
      </c>
      <c r="F424">
        <f>SUM(E420:E424)</f>
        <v>2056</v>
      </c>
      <c r="G424" s="19"/>
    </row>
    <row r="425" spans="1:7" ht="12.75" x14ac:dyDescent="0.2">
      <c r="A425" s="3">
        <v>43</v>
      </c>
      <c r="B425" s="4" t="s">
        <v>74</v>
      </c>
      <c r="C425" s="3" t="s">
        <v>2</v>
      </c>
      <c r="D425" s="3" t="s">
        <v>3</v>
      </c>
      <c r="E425" s="3">
        <v>154</v>
      </c>
      <c r="G425" s="19"/>
    </row>
    <row r="426" spans="1:7" ht="12.75" x14ac:dyDescent="0.2">
      <c r="A426" s="3">
        <v>43</v>
      </c>
      <c r="B426" s="4" t="s">
        <v>74</v>
      </c>
      <c r="C426" s="3" t="s">
        <v>2</v>
      </c>
      <c r="D426" s="3" t="s">
        <v>132</v>
      </c>
      <c r="E426" s="3">
        <v>137</v>
      </c>
      <c r="G426" s="19"/>
    </row>
    <row r="427" spans="1:7" ht="12.75" x14ac:dyDescent="0.2">
      <c r="A427" s="3">
        <v>43</v>
      </c>
      <c r="B427" s="4" t="s">
        <v>74</v>
      </c>
      <c r="C427" s="3" t="s">
        <v>2</v>
      </c>
      <c r="D427" s="3" t="s">
        <v>14</v>
      </c>
      <c r="E427" s="3">
        <v>10</v>
      </c>
      <c r="F427">
        <f>SUM(E425:E427)</f>
        <v>301</v>
      </c>
      <c r="G427" s="19"/>
    </row>
    <row r="428" spans="1:7" ht="12.75" x14ac:dyDescent="0.2">
      <c r="A428" s="3">
        <v>43</v>
      </c>
      <c r="B428" s="4" t="s">
        <v>74</v>
      </c>
      <c r="C428" s="3" t="s">
        <v>10</v>
      </c>
      <c r="D428" s="3" t="s">
        <v>3</v>
      </c>
      <c r="E428" s="3">
        <v>148</v>
      </c>
      <c r="G428" s="19"/>
    </row>
    <row r="429" spans="1:7" ht="12.75" x14ac:dyDescent="0.2">
      <c r="A429" s="3">
        <v>43</v>
      </c>
      <c r="B429" s="4" t="s">
        <v>74</v>
      </c>
      <c r="C429" s="3" t="s">
        <v>10</v>
      </c>
      <c r="D429" s="3" t="s">
        <v>132</v>
      </c>
      <c r="E429" s="3">
        <v>126</v>
      </c>
      <c r="G429" s="19"/>
    </row>
    <row r="430" spans="1:7" ht="12.75" x14ac:dyDescent="0.2">
      <c r="A430" s="3">
        <v>43</v>
      </c>
      <c r="B430" s="4" t="s">
        <v>74</v>
      </c>
      <c r="C430" s="3" t="s">
        <v>10</v>
      </c>
      <c r="D430" s="3" t="s">
        <v>14</v>
      </c>
      <c r="E430" s="3">
        <v>27</v>
      </c>
      <c r="F430">
        <f>SUM(E428:E430)</f>
        <v>301</v>
      </c>
      <c r="G430" s="19"/>
    </row>
    <row r="431" spans="1:7" ht="12.75" x14ac:dyDescent="0.2">
      <c r="A431" s="3">
        <v>43</v>
      </c>
      <c r="B431" s="4" t="s">
        <v>74</v>
      </c>
      <c r="C431" s="3" t="s">
        <v>13</v>
      </c>
      <c r="D431" s="3" t="s">
        <v>3</v>
      </c>
      <c r="E431" s="3">
        <v>142</v>
      </c>
      <c r="G431" s="19"/>
    </row>
    <row r="432" spans="1:7" ht="12.75" x14ac:dyDescent="0.2">
      <c r="A432" s="3">
        <v>43</v>
      </c>
      <c r="B432" s="4" t="s">
        <v>74</v>
      </c>
      <c r="C432" s="3" t="s">
        <v>13</v>
      </c>
      <c r="D432" s="3" t="s">
        <v>132</v>
      </c>
      <c r="E432" s="3">
        <v>123</v>
      </c>
      <c r="G432" s="19"/>
    </row>
    <row r="433" spans="1:7" ht="12.75" x14ac:dyDescent="0.2">
      <c r="A433" s="3">
        <v>43</v>
      </c>
      <c r="B433" s="4" t="s">
        <v>74</v>
      </c>
      <c r="C433" s="3" t="s">
        <v>13</v>
      </c>
      <c r="D433" s="3" t="s">
        <v>14</v>
      </c>
      <c r="E433" s="3">
        <v>36</v>
      </c>
      <c r="F433">
        <f>SUM(E431:E433)</f>
        <v>301</v>
      </c>
      <c r="G433" s="19"/>
    </row>
    <row r="434" spans="1:7" ht="12.75" x14ac:dyDescent="0.2">
      <c r="A434" s="3">
        <v>45</v>
      </c>
      <c r="B434" s="4" t="s">
        <v>75</v>
      </c>
      <c r="C434" s="3" t="s">
        <v>15</v>
      </c>
      <c r="D434" s="3" t="s">
        <v>3</v>
      </c>
      <c r="E434" s="3">
        <v>105</v>
      </c>
      <c r="G434" s="19"/>
    </row>
    <row r="435" spans="1:7" ht="12.75" x14ac:dyDescent="0.2">
      <c r="A435" s="3">
        <v>45</v>
      </c>
      <c r="B435" s="4" t="s">
        <v>75</v>
      </c>
      <c r="C435" s="3" t="s">
        <v>15</v>
      </c>
      <c r="D435" s="3" t="s">
        <v>14</v>
      </c>
      <c r="E435" s="3">
        <v>5</v>
      </c>
      <c r="F435">
        <f>SUM(E434:E435)</f>
        <v>110</v>
      </c>
      <c r="G435" s="19"/>
    </row>
    <row r="436" spans="1:7" ht="12.75" x14ac:dyDescent="0.2">
      <c r="A436" s="3">
        <v>45</v>
      </c>
      <c r="B436" s="4" t="s">
        <v>75</v>
      </c>
      <c r="C436" s="3" t="s">
        <v>17</v>
      </c>
      <c r="D436" s="3" t="s">
        <v>3</v>
      </c>
      <c r="E436" s="3">
        <v>97</v>
      </c>
      <c r="G436" s="19"/>
    </row>
    <row r="437" spans="1:7" ht="12.75" x14ac:dyDescent="0.2">
      <c r="A437" s="3">
        <v>45</v>
      </c>
      <c r="B437" s="4" t="s">
        <v>75</v>
      </c>
      <c r="C437" s="3" t="s">
        <v>17</v>
      </c>
      <c r="D437" s="3" t="s">
        <v>14</v>
      </c>
      <c r="E437" s="3">
        <v>13</v>
      </c>
      <c r="F437">
        <f>SUM(E436:E437)</f>
        <v>110</v>
      </c>
      <c r="G437" s="19"/>
    </row>
    <row r="438" spans="1:7" ht="12.75" x14ac:dyDescent="0.2">
      <c r="A438" s="3">
        <v>46</v>
      </c>
      <c r="B438" s="4" t="s">
        <v>76</v>
      </c>
      <c r="C438" s="3" t="s">
        <v>2</v>
      </c>
      <c r="D438" s="3" t="s">
        <v>3</v>
      </c>
      <c r="E438" s="3">
        <v>393</v>
      </c>
      <c r="G438" s="19"/>
    </row>
    <row r="439" spans="1:7" ht="12.75" x14ac:dyDescent="0.2">
      <c r="A439" s="3">
        <v>46</v>
      </c>
      <c r="B439" s="4" t="s">
        <v>76</v>
      </c>
      <c r="C439" s="3" t="s">
        <v>2</v>
      </c>
      <c r="D439" s="3" t="s">
        <v>132</v>
      </c>
      <c r="E439" s="3">
        <v>188</v>
      </c>
      <c r="G439" s="19"/>
    </row>
    <row r="440" spans="1:7" ht="12.75" x14ac:dyDescent="0.2">
      <c r="A440" s="3">
        <v>46</v>
      </c>
      <c r="B440" s="4" t="s">
        <v>76</v>
      </c>
      <c r="C440" s="3" t="s">
        <v>2</v>
      </c>
      <c r="D440" s="3" t="s">
        <v>14</v>
      </c>
      <c r="E440" s="3">
        <v>17</v>
      </c>
      <c r="G440" s="19"/>
    </row>
    <row r="441" spans="1:7" ht="12.75" x14ac:dyDescent="0.2">
      <c r="A441" s="3">
        <v>46</v>
      </c>
      <c r="B441" s="4" t="s">
        <v>76</v>
      </c>
      <c r="C441" s="3" t="s">
        <v>2</v>
      </c>
      <c r="D441" s="3" t="s">
        <v>138</v>
      </c>
      <c r="E441" s="3">
        <v>1</v>
      </c>
      <c r="F441">
        <f>SUM(E438:E441)</f>
        <v>599</v>
      </c>
      <c r="G441" s="19"/>
    </row>
    <row r="442" spans="1:7" ht="12.75" x14ac:dyDescent="0.2">
      <c r="A442" s="3">
        <v>46</v>
      </c>
      <c r="B442" s="4" t="s">
        <v>76</v>
      </c>
      <c r="C442" s="3" t="s">
        <v>10</v>
      </c>
      <c r="D442" s="3" t="s">
        <v>3</v>
      </c>
      <c r="E442" s="3">
        <v>367</v>
      </c>
      <c r="G442" s="19"/>
    </row>
    <row r="443" spans="1:7" ht="12.75" x14ac:dyDescent="0.2">
      <c r="A443" s="3">
        <v>46</v>
      </c>
      <c r="B443" s="4" t="s">
        <v>76</v>
      </c>
      <c r="C443" s="3" t="s">
        <v>10</v>
      </c>
      <c r="D443" s="3" t="s">
        <v>132</v>
      </c>
      <c r="E443" s="3">
        <v>188</v>
      </c>
      <c r="G443" s="19"/>
    </row>
    <row r="444" spans="1:7" ht="12.75" x14ac:dyDescent="0.2">
      <c r="A444" s="3">
        <v>46</v>
      </c>
      <c r="B444" s="4" t="s">
        <v>76</v>
      </c>
      <c r="C444" s="3" t="s">
        <v>10</v>
      </c>
      <c r="D444" s="3" t="s">
        <v>14</v>
      </c>
      <c r="E444" s="3">
        <v>43</v>
      </c>
      <c r="G444" s="19"/>
    </row>
    <row r="445" spans="1:7" ht="12.75" x14ac:dyDescent="0.2">
      <c r="A445" s="3">
        <v>46</v>
      </c>
      <c r="B445" s="4" t="s">
        <v>76</v>
      </c>
      <c r="C445" s="3" t="s">
        <v>10</v>
      </c>
      <c r="D445" s="3" t="s">
        <v>138</v>
      </c>
      <c r="E445" s="3">
        <v>1</v>
      </c>
      <c r="F445">
        <f>SUM(E442:E445)</f>
        <v>599</v>
      </c>
      <c r="G445" s="19"/>
    </row>
    <row r="446" spans="1:7" ht="12.75" x14ac:dyDescent="0.2">
      <c r="A446" s="3">
        <v>46</v>
      </c>
      <c r="B446" s="4" t="s">
        <v>76</v>
      </c>
      <c r="C446" s="3" t="s">
        <v>13</v>
      </c>
      <c r="D446" s="3" t="s">
        <v>3</v>
      </c>
      <c r="E446" s="3">
        <v>368</v>
      </c>
      <c r="G446" s="19"/>
    </row>
    <row r="447" spans="1:7" ht="12.75" x14ac:dyDescent="0.2">
      <c r="A447" s="3">
        <v>46</v>
      </c>
      <c r="B447" s="4" t="s">
        <v>76</v>
      </c>
      <c r="C447" s="3" t="s">
        <v>13</v>
      </c>
      <c r="D447" s="3" t="s">
        <v>132</v>
      </c>
      <c r="E447" s="3">
        <v>195</v>
      </c>
      <c r="G447" s="19"/>
    </row>
    <row r="448" spans="1:7" ht="12.75" x14ac:dyDescent="0.2">
      <c r="A448" s="3">
        <v>46</v>
      </c>
      <c r="B448" s="4" t="s">
        <v>76</v>
      </c>
      <c r="C448" s="3" t="s">
        <v>13</v>
      </c>
      <c r="D448" s="3" t="s">
        <v>14</v>
      </c>
      <c r="E448" s="3">
        <v>35</v>
      </c>
      <c r="G448" s="19"/>
    </row>
    <row r="449" spans="1:7" ht="12.75" x14ac:dyDescent="0.2">
      <c r="A449" s="3">
        <v>46</v>
      </c>
      <c r="B449" s="4" t="s">
        <v>76</v>
      </c>
      <c r="C449" s="3" t="s">
        <v>13</v>
      </c>
      <c r="D449" s="3" t="s">
        <v>138</v>
      </c>
      <c r="E449" s="3">
        <v>1</v>
      </c>
      <c r="F449">
        <f>SUM(E446:E449)</f>
        <v>599</v>
      </c>
      <c r="G449" s="19"/>
    </row>
    <row r="450" spans="1:7" ht="12.75" x14ac:dyDescent="0.2">
      <c r="A450" s="3">
        <v>47</v>
      </c>
      <c r="B450" s="4" t="s">
        <v>77</v>
      </c>
      <c r="C450" s="3" t="s">
        <v>2</v>
      </c>
      <c r="D450" s="3" t="s">
        <v>3</v>
      </c>
      <c r="E450" s="3">
        <v>626</v>
      </c>
      <c r="G450" s="19"/>
    </row>
    <row r="451" spans="1:7" ht="12.75" x14ac:dyDescent="0.2">
      <c r="A451" s="3">
        <v>47</v>
      </c>
      <c r="B451" s="4" t="s">
        <v>77</v>
      </c>
      <c r="C451" s="3" t="s">
        <v>2</v>
      </c>
      <c r="D451" s="3" t="s">
        <v>132</v>
      </c>
      <c r="E451" s="3">
        <v>369</v>
      </c>
      <c r="G451" s="19"/>
    </row>
    <row r="452" spans="1:7" ht="12.75" x14ac:dyDescent="0.2">
      <c r="A452" s="3">
        <v>47</v>
      </c>
      <c r="B452" s="4" t="s">
        <v>77</v>
      </c>
      <c r="C452" s="3" t="s">
        <v>2</v>
      </c>
      <c r="D452" s="3" t="s">
        <v>14</v>
      </c>
      <c r="E452" s="3">
        <v>52</v>
      </c>
      <c r="F452">
        <f>SUM(E450:E452)</f>
        <v>1047</v>
      </c>
      <c r="G452" s="19"/>
    </row>
    <row r="453" spans="1:7" ht="12.75" x14ac:dyDescent="0.2">
      <c r="A453" s="3">
        <v>47</v>
      </c>
      <c r="B453" s="4" t="s">
        <v>77</v>
      </c>
      <c r="C453" s="3" t="s">
        <v>10</v>
      </c>
      <c r="D453" s="3" t="s">
        <v>3</v>
      </c>
      <c r="E453" s="3">
        <v>614</v>
      </c>
      <c r="G453" s="19"/>
    </row>
    <row r="454" spans="1:7" ht="12.75" x14ac:dyDescent="0.2">
      <c r="A454" s="3">
        <v>47</v>
      </c>
      <c r="B454" s="4" t="s">
        <v>77</v>
      </c>
      <c r="C454" s="3" t="s">
        <v>10</v>
      </c>
      <c r="D454" s="3" t="s">
        <v>132</v>
      </c>
      <c r="E454" s="3">
        <v>341</v>
      </c>
      <c r="G454" s="19"/>
    </row>
    <row r="455" spans="1:7" ht="12.75" x14ac:dyDescent="0.2">
      <c r="A455" s="3">
        <v>47</v>
      </c>
      <c r="B455" s="4" t="s">
        <v>77</v>
      </c>
      <c r="C455" s="3" t="s">
        <v>10</v>
      </c>
      <c r="D455" s="3" t="s">
        <v>14</v>
      </c>
      <c r="E455" s="3">
        <v>92</v>
      </c>
      <c r="F455">
        <f>SUM(E453:E455)</f>
        <v>1047</v>
      </c>
      <c r="G455" s="19"/>
    </row>
    <row r="456" spans="1:7" ht="12.75" x14ac:dyDescent="0.2">
      <c r="A456" s="3">
        <v>47</v>
      </c>
      <c r="B456" s="4" t="s">
        <v>77</v>
      </c>
      <c r="C456" s="3" t="s">
        <v>13</v>
      </c>
      <c r="D456" s="3" t="s">
        <v>3</v>
      </c>
      <c r="E456" s="3">
        <v>627</v>
      </c>
      <c r="G456" s="19"/>
    </row>
    <row r="457" spans="1:7" ht="12.75" x14ac:dyDescent="0.2">
      <c r="A457" s="3">
        <v>47</v>
      </c>
      <c r="B457" s="4" t="s">
        <v>77</v>
      </c>
      <c r="C457" s="3" t="s">
        <v>13</v>
      </c>
      <c r="D457" s="3" t="s">
        <v>132</v>
      </c>
      <c r="E457" s="3">
        <v>336</v>
      </c>
      <c r="G457" s="19"/>
    </row>
    <row r="458" spans="1:7" ht="12.75" x14ac:dyDescent="0.2">
      <c r="A458" s="3">
        <v>47</v>
      </c>
      <c r="B458" s="4" t="s">
        <v>77</v>
      </c>
      <c r="C458" s="3" t="s">
        <v>13</v>
      </c>
      <c r="D458" s="3" t="s">
        <v>14</v>
      </c>
      <c r="E458" s="3">
        <v>84</v>
      </c>
      <c r="F458">
        <f>SUM(E456:E458)</f>
        <v>1047</v>
      </c>
      <c r="G458" s="19"/>
    </row>
    <row r="459" spans="1:7" ht="12.75" x14ac:dyDescent="0.2">
      <c r="A459" s="3">
        <v>48</v>
      </c>
      <c r="B459" s="4" t="s">
        <v>78</v>
      </c>
      <c r="C459" s="3" t="s">
        <v>2</v>
      </c>
      <c r="D459" s="3" t="s">
        <v>3</v>
      </c>
      <c r="E459" s="3">
        <v>1582</v>
      </c>
      <c r="G459" s="19"/>
    </row>
    <row r="460" spans="1:7" ht="12.75" x14ac:dyDescent="0.2">
      <c r="A460" s="3">
        <v>48</v>
      </c>
      <c r="B460" s="4" t="s">
        <v>78</v>
      </c>
      <c r="C460" s="3" t="s">
        <v>2</v>
      </c>
      <c r="D460" s="3" t="s">
        <v>26</v>
      </c>
      <c r="E460" s="3">
        <v>2790</v>
      </c>
      <c r="G460" s="19"/>
    </row>
    <row r="461" spans="1:7" ht="12.75" x14ac:dyDescent="0.2">
      <c r="A461" s="3">
        <v>48</v>
      </c>
      <c r="B461" s="4" t="s">
        <v>78</v>
      </c>
      <c r="C461" s="3" t="s">
        <v>2</v>
      </c>
      <c r="D461" s="3" t="s">
        <v>14</v>
      </c>
      <c r="E461" s="3">
        <v>188</v>
      </c>
      <c r="G461" s="19"/>
    </row>
    <row r="462" spans="1:7" ht="12.75" x14ac:dyDescent="0.2">
      <c r="A462" s="3">
        <v>48</v>
      </c>
      <c r="B462" s="4" t="s">
        <v>78</v>
      </c>
      <c r="C462" s="3" t="s">
        <v>2</v>
      </c>
      <c r="D462" s="3" t="s">
        <v>138</v>
      </c>
      <c r="E462" s="3">
        <v>43</v>
      </c>
      <c r="F462">
        <f>SUM(E459:E462)</f>
        <v>4603</v>
      </c>
      <c r="G462" s="19"/>
    </row>
    <row r="463" spans="1:7" ht="12.75" x14ac:dyDescent="0.2">
      <c r="A463" s="3">
        <v>48</v>
      </c>
      <c r="B463" s="4" t="s">
        <v>78</v>
      </c>
      <c r="C463" s="3" t="s">
        <v>10</v>
      </c>
      <c r="D463" s="3" t="s">
        <v>3</v>
      </c>
      <c r="E463" s="3">
        <v>1519</v>
      </c>
      <c r="G463" s="19"/>
    </row>
    <row r="464" spans="1:7" ht="12.75" x14ac:dyDescent="0.2">
      <c r="A464" s="3">
        <v>48</v>
      </c>
      <c r="B464" s="4" t="s">
        <v>78</v>
      </c>
      <c r="C464" s="3" t="s">
        <v>10</v>
      </c>
      <c r="D464" s="3" t="s">
        <v>26</v>
      </c>
      <c r="E464" s="3">
        <v>2699</v>
      </c>
      <c r="G464" s="19"/>
    </row>
    <row r="465" spans="1:7" ht="12.75" x14ac:dyDescent="0.2">
      <c r="A465" s="3">
        <v>48</v>
      </c>
      <c r="B465" s="4" t="s">
        <v>78</v>
      </c>
      <c r="C465" s="3" t="s">
        <v>10</v>
      </c>
      <c r="D465" s="3" t="s">
        <v>14</v>
      </c>
      <c r="E465" s="3">
        <v>321</v>
      </c>
      <c r="G465" s="19"/>
    </row>
    <row r="466" spans="1:7" ht="12.75" x14ac:dyDescent="0.2">
      <c r="A466" s="3">
        <v>48</v>
      </c>
      <c r="B466" s="4" t="s">
        <v>78</v>
      </c>
      <c r="C466" s="3" t="s">
        <v>10</v>
      </c>
      <c r="D466" s="3" t="s">
        <v>138</v>
      </c>
      <c r="E466" s="3">
        <v>64</v>
      </c>
      <c r="F466">
        <f>SUM(E463:E466)</f>
        <v>4603</v>
      </c>
      <c r="G466" s="19"/>
    </row>
    <row r="467" spans="1:7" ht="12.75" x14ac:dyDescent="0.2">
      <c r="A467" s="3">
        <v>48</v>
      </c>
      <c r="B467" s="4" t="s">
        <v>78</v>
      </c>
      <c r="C467" s="3" t="s">
        <v>13</v>
      </c>
      <c r="D467" s="3" t="s">
        <v>3</v>
      </c>
      <c r="E467" s="3">
        <v>1533</v>
      </c>
      <c r="G467" s="19"/>
    </row>
    <row r="468" spans="1:7" ht="12.75" x14ac:dyDescent="0.2">
      <c r="A468" s="3">
        <v>48</v>
      </c>
      <c r="B468" s="4" t="s">
        <v>78</v>
      </c>
      <c r="C468" s="3" t="s">
        <v>13</v>
      </c>
      <c r="D468" s="3" t="s">
        <v>26</v>
      </c>
      <c r="E468" s="3">
        <v>2716</v>
      </c>
      <c r="G468" s="19"/>
    </row>
    <row r="469" spans="1:7" ht="12.75" x14ac:dyDescent="0.2">
      <c r="A469" s="3">
        <v>48</v>
      </c>
      <c r="B469" s="4" t="s">
        <v>78</v>
      </c>
      <c r="C469" s="3" t="s">
        <v>13</v>
      </c>
      <c r="D469" s="3" t="s">
        <v>14</v>
      </c>
      <c r="E469" s="3">
        <v>302</v>
      </c>
      <c r="G469" s="19"/>
    </row>
    <row r="470" spans="1:7" ht="12.75" x14ac:dyDescent="0.2">
      <c r="A470" s="3">
        <v>48</v>
      </c>
      <c r="B470" s="4" t="s">
        <v>78</v>
      </c>
      <c r="C470" s="3" t="s">
        <v>13</v>
      </c>
      <c r="D470" s="3" t="s">
        <v>138</v>
      </c>
      <c r="E470" s="3">
        <v>52</v>
      </c>
      <c r="F470">
        <f>SUM(E467:E470)</f>
        <v>4603</v>
      </c>
      <c r="G470" s="19"/>
    </row>
    <row r="471" spans="1:7" ht="12.75" x14ac:dyDescent="0.2">
      <c r="A471" s="3">
        <v>49</v>
      </c>
      <c r="B471" s="4" t="s">
        <v>79</v>
      </c>
      <c r="C471" s="3" t="s">
        <v>15</v>
      </c>
      <c r="D471" s="3" t="s">
        <v>3</v>
      </c>
      <c r="E471" s="3">
        <v>135</v>
      </c>
      <c r="G471" s="19"/>
    </row>
    <row r="472" spans="1:7" ht="12.75" x14ac:dyDescent="0.2">
      <c r="A472" s="3">
        <v>49</v>
      </c>
      <c r="B472" s="4" t="s">
        <v>79</v>
      </c>
      <c r="C472" s="3" t="s">
        <v>15</v>
      </c>
      <c r="D472" s="3" t="s">
        <v>132</v>
      </c>
      <c r="E472" s="3">
        <v>78</v>
      </c>
      <c r="G472" s="19"/>
    </row>
    <row r="473" spans="1:7" ht="12.75" x14ac:dyDescent="0.2">
      <c r="A473" s="3">
        <v>49</v>
      </c>
      <c r="B473" s="4" t="s">
        <v>79</v>
      </c>
      <c r="C473" s="3" t="s">
        <v>15</v>
      </c>
      <c r="D473" s="3" t="s">
        <v>14</v>
      </c>
      <c r="E473" s="3">
        <v>4</v>
      </c>
      <c r="F473">
        <f>SUM(E471:E473)</f>
        <v>217</v>
      </c>
      <c r="G473" s="19"/>
    </row>
    <row r="474" spans="1:7" ht="12.75" x14ac:dyDescent="0.2">
      <c r="A474" s="3">
        <v>49</v>
      </c>
      <c r="B474" s="4" t="s">
        <v>79</v>
      </c>
      <c r="C474" s="3" t="s">
        <v>17</v>
      </c>
      <c r="D474" s="3" t="s">
        <v>3</v>
      </c>
      <c r="E474" s="3">
        <v>137</v>
      </c>
      <c r="G474" s="19"/>
    </row>
    <row r="475" spans="1:7" ht="12.75" x14ac:dyDescent="0.2">
      <c r="A475" s="3">
        <v>49</v>
      </c>
      <c r="B475" s="4" t="s">
        <v>79</v>
      </c>
      <c r="C475" s="3" t="s">
        <v>17</v>
      </c>
      <c r="D475" s="3" t="s">
        <v>132</v>
      </c>
      <c r="E475" s="3">
        <v>77</v>
      </c>
      <c r="G475" s="19"/>
    </row>
    <row r="476" spans="1:7" ht="12.75" x14ac:dyDescent="0.2">
      <c r="A476" s="3">
        <v>49</v>
      </c>
      <c r="B476" s="4" t="s">
        <v>79</v>
      </c>
      <c r="C476" s="3" t="s">
        <v>17</v>
      </c>
      <c r="D476" s="3" t="s">
        <v>14</v>
      </c>
      <c r="E476" s="3">
        <v>3</v>
      </c>
      <c r="F476">
        <f>SUM(E474:E476)</f>
        <v>217</v>
      </c>
      <c r="G476" s="19"/>
    </row>
    <row r="477" spans="1:7" ht="12.75" x14ac:dyDescent="0.2">
      <c r="A477" s="3">
        <v>49</v>
      </c>
      <c r="B477" s="4" t="s">
        <v>79</v>
      </c>
      <c r="C477" s="3" t="s">
        <v>13</v>
      </c>
      <c r="D477" s="3" t="s">
        <v>3</v>
      </c>
      <c r="E477" s="3">
        <v>147</v>
      </c>
      <c r="G477" s="19"/>
    </row>
    <row r="478" spans="1:7" ht="12.75" x14ac:dyDescent="0.2">
      <c r="A478" s="3">
        <v>49</v>
      </c>
      <c r="B478" s="4" t="s">
        <v>79</v>
      </c>
      <c r="C478" s="3" t="s">
        <v>13</v>
      </c>
      <c r="D478" s="3" t="s">
        <v>132</v>
      </c>
      <c r="E478" s="3">
        <v>66</v>
      </c>
      <c r="G478" s="19"/>
    </row>
    <row r="479" spans="1:7" ht="12.75" x14ac:dyDescent="0.2">
      <c r="A479" s="3">
        <v>49</v>
      </c>
      <c r="B479" s="4" t="s">
        <v>79</v>
      </c>
      <c r="C479" s="3" t="s">
        <v>13</v>
      </c>
      <c r="D479" s="3" t="s">
        <v>14</v>
      </c>
      <c r="E479" s="3">
        <v>4</v>
      </c>
      <c r="F479">
        <f>SUM(E477:E479)</f>
        <v>217</v>
      </c>
      <c r="G479" s="19"/>
    </row>
    <row r="480" spans="1:7" ht="12.75" x14ac:dyDescent="0.2">
      <c r="A480" s="3">
        <v>53</v>
      </c>
      <c r="B480" s="4" t="s">
        <v>80</v>
      </c>
      <c r="C480" s="3" t="s">
        <v>15</v>
      </c>
      <c r="D480" s="3" t="s">
        <v>3</v>
      </c>
      <c r="E480" s="3">
        <v>141</v>
      </c>
      <c r="G480" s="19"/>
    </row>
    <row r="481" spans="1:7" ht="12.75" x14ac:dyDescent="0.2">
      <c r="A481" s="3">
        <v>53</v>
      </c>
      <c r="B481" s="4" t="s">
        <v>80</v>
      </c>
      <c r="C481" s="3" t="s">
        <v>15</v>
      </c>
      <c r="D481" s="3" t="s">
        <v>132</v>
      </c>
      <c r="E481" s="3">
        <v>82</v>
      </c>
      <c r="G481" s="19"/>
    </row>
    <row r="482" spans="1:7" ht="12.75" x14ac:dyDescent="0.2">
      <c r="A482" s="3">
        <v>53</v>
      </c>
      <c r="B482" s="4" t="s">
        <v>80</v>
      </c>
      <c r="C482" s="3" t="s">
        <v>15</v>
      </c>
      <c r="D482" s="3" t="s">
        <v>14</v>
      </c>
      <c r="E482" s="3">
        <v>6</v>
      </c>
      <c r="F482">
        <f>SUM(E480:E482)</f>
        <v>229</v>
      </c>
      <c r="G482" s="19"/>
    </row>
    <row r="483" spans="1:7" ht="12.75" x14ac:dyDescent="0.2">
      <c r="A483" s="3">
        <v>53</v>
      </c>
      <c r="B483" s="4" t="s">
        <v>80</v>
      </c>
      <c r="C483" s="3" t="s">
        <v>17</v>
      </c>
      <c r="D483" s="3" t="s">
        <v>3</v>
      </c>
      <c r="E483" s="3">
        <v>141</v>
      </c>
      <c r="G483" s="19"/>
    </row>
    <row r="484" spans="1:7" ht="12.75" x14ac:dyDescent="0.2">
      <c r="A484" s="3">
        <v>53</v>
      </c>
      <c r="B484" s="4" t="s">
        <v>80</v>
      </c>
      <c r="C484" s="3" t="s">
        <v>17</v>
      </c>
      <c r="D484" s="3" t="s">
        <v>132</v>
      </c>
      <c r="E484" s="3">
        <v>82</v>
      </c>
      <c r="G484" s="19"/>
    </row>
    <row r="485" spans="1:7" ht="12.75" x14ac:dyDescent="0.2">
      <c r="A485" s="3">
        <v>53</v>
      </c>
      <c r="B485" s="4" t="s">
        <v>80</v>
      </c>
      <c r="C485" s="3" t="s">
        <v>17</v>
      </c>
      <c r="D485" s="3" t="s">
        <v>14</v>
      </c>
      <c r="E485" s="3">
        <v>6</v>
      </c>
      <c r="F485">
        <f>SUM(E483:E485)</f>
        <v>229</v>
      </c>
      <c r="G485" s="19"/>
    </row>
    <row r="486" spans="1:7" ht="12.75" x14ac:dyDescent="0.2">
      <c r="A486" s="3">
        <v>54</v>
      </c>
      <c r="B486" s="4" t="s">
        <v>81</v>
      </c>
      <c r="C486" s="3" t="s">
        <v>15</v>
      </c>
      <c r="D486" s="3" t="s">
        <v>3</v>
      </c>
      <c r="E486" s="3">
        <v>105</v>
      </c>
      <c r="G486" s="19"/>
    </row>
    <row r="487" spans="1:7" ht="12.75" x14ac:dyDescent="0.2">
      <c r="A487" s="3">
        <v>54</v>
      </c>
      <c r="B487" s="4" t="s">
        <v>81</v>
      </c>
      <c r="C487" s="3" t="s">
        <v>15</v>
      </c>
      <c r="D487" s="3" t="s">
        <v>14</v>
      </c>
      <c r="E487" s="3">
        <v>30</v>
      </c>
      <c r="F487">
        <f>SUM(E486:E487)</f>
        <v>135</v>
      </c>
      <c r="G487" s="19"/>
    </row>
    <row r="488" spans="1:7" ht="12.75" x14ac:dyDescent="0.2">
      <c r="A488" s="3">
        <v>54</v>
      </c>
      <c r="B488" s="4" t="s">
        <v>81</v>
      </c>
      <c r="C488" s="3" t="s">
        <v>17</v>
      </c>
      <c r="D488" s="3" t="s">
        <v>3</v>
      </c>
      <c r="E488" s="3">
        <v>102</v>
      </c>
      <c r="G488" s="19"/>
    </row>
    <row r="489" spans="1:7" ht="12.75" x14ac:dyDescent="0.2">
      <c r="A489" s="3">
        <v>54</v>
      </c>
      <c r="B489" s="4" t="s">
        <v>81</v>
      </c>
      <c r="C489" s="3" t="s">
        <v>17</v>
      </c>
      <c r="D489" s="3" t="s">
        <v>14</v>
      </c>
      <c r="E489" s="3">
        <v>33</v>
      </c>
      <c r="F489">
        <f>SUM(E488:E489)</f>
        <v>135</v>
      </c>
      <c r="G489" s="19"/>
    </row>
    <row r="490" spans="1:7" ht="12.75" x14ac:dyDescent="0.2">
      <c r="A490" s="3">
        <v>54</v>
      </c>
      <c r="B490" s="4" t="s">
        <v>81</v>
      </c>
      <c r="C490" s="3" t="s">
        <v>13</v>
      </c>
      <c r="D490" s="3" t="s">
        <v>3</v>
      </c>
      <c r="E490" s="3">
        <v>105</v>
      </c>
      <c r="G490" s="19"/>
    </row>
    <row r="491" spans="1:7" ht="12.75" x14ac:dyDescent="0.2">
      <c r="A491" s="3">
        <v>54</v>
      </c>
      <c r="B491" s="4" t="s">
        <v>81</v>
      </c>
      <c r="C491" s="3" t="s">
        <v>13</v>
      </c>
      <c r="D491" s="3" t="s">
        <v>14</v>
      </c>
      <c r="E491" s="3">
        <v>30</v>
      </c>
      <c r="F491">
        <f>SUM(E490:E491)</f>
        <v>135</v>
      </c>
      <c r="G491" s="19"/>
    </row>
    <row r="492" spans="1:7" ht="12.75" x14ac:dyDescent="0.2">
      <c r="A492" s="3">
        <v>55</v>
      </c>
      <c r="B492" s="4" t="s">
        <v>82</v>
      </c>
      <c r="C492" s="3" t="s">
        <v>15</v>
      </c>
      <c r="D492" s="3" t="s">
        <v>3</v>
      </c>
      <c r="E492" s="3">
        <v>167</v>
      </c>
      <c r="G492" s="19"/>
    </row>
    <row r="493" spans="1:7" ht="12.75" x14ac:dyDescent="0.2">
      <c r="A493" s="3">
        <v>55</v>
      </c>
      <c r="B493" s="4" t="s">
        <v>82</v>
      </c>
      <c r="C493" s="3" t="s">
        <v>15</v>
      </c>
      <c r="D493" s="3" t="s">
        <v>132</v>
      </c>
      <c r="E493" s="3">
        <v>119</v>
      </c>
      <c r="G493" s="19"/>
    </row>
    <row r="494" spans="1:7" ht="12.75" x14ac:dyDescent="0.2">
      <c r="A494" s="3">
        <v>55</v>
      </c>
      <c r="B494" s="4" t="s">
        <v>82</v>
      </c>
      <c r="C494" s="3" t="s">
        <v>15</v>
      </c>
      <c r="D494" s="3" t="s">
        <v>14</v>
      </c>
      <c r="E494" s="3">
        <v>15</v>
      </c>
      <c r="G494" s="19"/>
    </row>
    <row r="495" spans="1:7" ht="12.75" x14ac:dyDescent="0.2">
      <c r="A495" s="3">
        <v>55</v>
      </c>
      <c r="B495" s="4" t="s">
        <v>82</v>
      </c>
      <c r="C495" s="3" t="s">
        <v>15</v>
      </c>
      <c r="D495" s="3" t="s">
        <v>138</v>
      </c>
      <c r="E495" s="3">
        <v>1</v>
      </c>
      <c r="F495">
        <f>SUM(E492:E495)</f>
        <v>302</v>
      </c>
      <c r="G495" s="19"/>
    </row>
    <row r="496" spans="1:7" ht="12.75" x14ac:dyDescent="0.2">
      <c r="A496" s="3">
        <v>55</v>
      </c>
      <c r="B496" s="4" t="s">
        <v>82</v>
      </c>
      <c r="C496" s="3" t="s">
        <v>17</v>
      </c>
      <c r="D496" s="3" t="s">
        <v>3</v>
      </c>
      <c r="E496" s="3">
        <v>161</v>
      </c>
      <c r="G496" s="19"/>
    </row>
    <row r="497" spans="1:7" ht="12.75" x14ac:dyDescent="0.2">
      <c r="A497" s="3">
        <v>55</v>
      </c>
      <c r="B497" s="4" t="s">
        <v>82</v>
      </c>
      <c r="C497" s="3" t="s">
        <v>17</v>
      </c>
      <c r="D497" s="3" t="s">
        <v>132</v>
      </c>
      <c r="E497" s="3">
        <v>120</v>
      </c>
      <c r="G497" s="19"/>
    </row>
    <row r="498" spans="1:7" ht="12.75" x14ac:dyDescent="0.2">
      <c r="A498" s="3">
        <v>55</v>
      </c>
      <c r="B498" s="4" t="s">
        <v>82</v>
      </c>
      <c r="C498" s="3" t="s">
        <v>17</v>
      </c>
      <c r="D498" s="3" t="s">
        <v>14</v>
      </c>
      <c r="E498" s="3">
        <v>20</v>
      </c>
      <c r="G498" s="19"/>
    </row>
    <row r="499" spans="1:7" ht="12.75" x14ac:dyDescent="0.2">
      <c r="A499" s="3">
        <v>55</v>
      </c>
      <c r="B499" s="4" t="s">
        <v>82</v>
      </c>
      <c r="C499" s="3" t="s">
        <v>17</v>
      </c>
      <c r="D499" s="3" t="s">
        <v>138</v>
      </c>
      <c r="E499" s="3">
        <v>1</v>
      </c>
      <c r="F499">
        <f>SUM(E496:E499)</f>
        <v>302</v>
      </c>
      <c r="G499" s="19"/>
    </row>
    <row r="500" spans="1:7" ht="12.75" x14ac:dyDescent="0.2">
      <c r="A500" s="3">
        <v>56</v>
      </c>
      <c r="B500" s="4" t="s">
        <v>83</v>
      </c>
      <c r="C500" s="3" t="s">
        <v>15</v>
      </c>
      <c r="D500" s="3" t="s">
        <v>3</v>
      </c>
      <c r="E500" s="3">
        <v>237</v>
      </c>
      <c r="G500" s="19"/>
    </row>
    <row r="501" spans="1:7" ht="12.75" x14ac:dyDescent="0.2">
      <c r="A501" s="3">
        <v>56</v>
      </c>
      <c r="B501" s="4" t="s">
        <v>83</v>
      </c>
      <c r="C501" s="3" t="s">
        <v>15</v>
      </c>
      <c r="D501" s="3" t="s">
        <v>149</v>
      </c>
      <c r="E501" s="3">
        <v>93</v>
      </c>
      <c r="G501" s="19"/>
    </row>
    <row r="502" spans="1:7" ht="12.75" x14ac:dyDescent="0.2">
      <c r="A502" s="3">
        <v>56</v>
      </c>
      <c r="B502" s="4" t="s">
        <v>83</v>
      </c>
      <c r="C502" s="3" t="s">
        <v>15</v>
      </c>
      <c r="D502" s="3" t="s">
        <v>132</v>
      </c>
      <c r="E502" s="3">
        <v>87</v>
      </c>
      <c r="G502" s="19"/>
    </row>
    <row r="503" spans="1:7" ht="12.75" x14ac:dyDescent="0.2">
      <c r="A503" s="3">
        <v>56</v>
      </c>
      <c r="B503" s="4" t="s">
        <v>83</v>
      </c>
      <c r="C503" s="3" t="s">
        <v>15</v>
      </c>
      <c r="D503" s="3" t="s">
        <v>14</v>
      </c>
      <c r="E503" s="3">
        <v>13</v>
      </c>
      <c r="G503" s="19"/>
    </row>
    <row r="504" spans="1:7" ht="12.75" x14ac:dyDescent="0.2">
      <c r="A504" s="3">
        <v>56</v>
      </c>
      <c r="B504" s="4" t="s">
        <v>83</v>
      </c>
      <c r="C504" s="3" t="s">
        <v>15</v>
      </c>
      <c r="D504" s="3" t="s">
        <v>138</v>
      </c>
      <c r="E504" s="3">
        <v>1</v>
      </c>
      <c r="F504">
        <f>SUM(E500:E504)</f>
        <v>431</v>
      </c>
      <c r="G504" s="19"/>
    </row>
    <row r="505" spans="1:7" ht="12.75" x14ac:dyDescent="0.2">
      <c r="A505" s="3">
        <v>56</v>
      </c>
      <c r="B505" s="4" t="s">
        <v>83</v>
      </c>
      <c r="C505" s="3" t="s">
        <v>17</v>
      </c>
      <c r="D505" s="3" t="s">
        <v>3</v>
      </c>
      <c r="E505" s="3">
        <v>228</v>
      </c>
      <c r="G505" s="19"/>
    </row>
    <row r="506" spans="1:7" ht="12.75" x14ac:dyDescent="0.2">
      <c r="A506" s="3">
        <v>56</v>
      </c>
      <c r="B506" s="4" t="s">
        <v>83</v>
      </c>
      <c r="C506" s="3" t="s">
        <v>17</v>
      </c>
      <c r="D506" s="3" t="s">
        <v>149</v>
      </c>
      <c r="E506" s="3">
        <v>93</v>
      </c>
      <c r="G506" s="19"/>
    </row>
    <row r="507" spans="1:7" ht="12.75" x14ac:dyDescent="0.2">
      <c r="A507" s="3">
        <v>56</v>
      </c>
      <c r="B507" s="4" t="s">
        <v>83</v>
      </c>
      <c r="C507" s="3" t="s">
        <v>17</v>
      </c>
      <c r="D507" s="3" t="s">
        <v>132</v>
      </c>
      <c r="E507" s="3">
        <v>88</v>
      </c>
      <c r="G507" s="19"/>
    </row>
    <row r="508" spans="1:7" ht="12.75" x14ac:dyDescent="0.2">
      <c r="A508" s="3">
        <v>56</v>
      </c>
      <c r="B508" s="4" t="s">
        <v>83</v>
      </c>
      <c r="C508" s="3" t="s">
        <v>17</v>
      </c>
      <c r="D508" s="3" t="s">
        <v>14</v>
      </c>
      <c r="E508" s="3">
        <v>21</v>
      </c>
      <c r="G508" s="19"/>
    </row>
    <row r="509" spans="1:7" ht="12.75" x14ac:dyDescent="0.2">
      <c r="A509" s="3">
        <v>56</v>
      </c>
      <c r="B509" s="4" t="s">
        <v>83</v>
      </c>
      <c r="C509" s="3" t="s">
        <v>17</v>
      </c>
      <c r="D509" s="3" t="s">
        <v>138</v>
      </c>
      <c r="E509" s="3">
        <v>1</v>
      </c>
      <c r="F509">
        <f>SUM(E505:E509)</f>
        <v>431</v>
      </c>
      <c r="G509" s="19"/>
    </row>
    <row r="510" spans="1:7" ht="12.75" x14ac:dyDescent="0.2">
      <c r="A510" s="3" t="s">
        <v>175</v>
      </c>
      <c r="B510" s="4" t="s">
        <v>84</v>
      </c>
      <c r="C510" s="3" t="s">
        <v>2</v>
      </c>
      <c r="D510" s="3" t="s">
        <v>3</v>
      </c>
      <c r="E510" s="3">
        <v>17500</v>
      </c>
      <c r="G510" s="19"/>
    </row>
    <row r="511" spans="1:7" ht="12.75" x14ac:dyDescent="0.2">
      <c r="A511" s="3" t="s">
        <v>175</v>
      </c>
      <c r="B511" s="4" t="s">
        <v>84</v>
      </c>
      <c r="C511" s="3" t="s">
        <v>2</v>
      </c>
      <c r="D511" s="3" t="s">
        <v>274</v>
      </c>
      <c r="E511" s="3">
        <v>548</v>
      </c>
      <c r="G511" s="19"/>
    </row>
    <row r="512" spans="1:7" ht="12.75" x14ac:dyDescent="0.2">
      <c r="A512" s="3" t="s">
        <v>175</v>
      </c>
      <c r="B512" s="4" t="s">
        <v>84</v>
      </c>
      <c r="C512" s="3" t="s">
        <v>2</v>
      </c>
      <c r="D512" s="3" t="s">
        <v>315</v>
      </c>
      <c r="E512" s="3">
        <v>696</v>
      </c>
      <c r="G512" s="19"/>
    </row>
    <row r="513" spans="1:7" ht="12.75" x14ac:dyDescent="0.2">
      <c r="A513" s="3" t="s">
        <v>175</v>
      </c>
      <c r="B513" s="4" t="s">
        <v>84</v>
      </c>
      <c r="C513" s="3" t="s">
        <v>2</v>
      </c>
      <c r="D513" s="3" t="s">
        <v>149</v>
      </c>
      <c r="E513" s="3">
        <v>3532</v>
      </c>
      <c r="G513" s="19"/>
    </row>
    <row r="514" spans="1:7" ht="12.75" x14ac:dyDescent="0.2">
      <c r="A514" s="3" t="s">
        <v>175</v>
      </c>
      <c r="B514" s="4" t="s">
        <v>84</v>
      </c>
      <c r="C514" s="3" t="s">
        <v>2</v>
      </c>
      <c r="D514" s="3" t="s">
        <v>132</v>
      </c>
      <c r="E514" s="3">
        <v>8914</v>
      </c>
      <c r="G514" s="19"/>
    </row>
    <row r="515" spans="1:7" ht="12.75" x14ac:dyDescent="0.2">
      <c r="A515" s="3" t="s">
        <v>175</v>
      </c>
      <c r="B515" s="4" t="s">
        <v>84</v>
      </c>
      <c r="C515" s="3" t="s">
        <v>2</v>
      </c>
      <c r="D515" s="3" t="s">
        <v>275</v>
      </c>
      <c r="E515" s="3">
        <v>486</v>
      </c>
      <c r="G515" s="19"/>
    </row>
    <row r="516" spans="1:7" ht="12.75" x14ac:dyDescent="0.2">
      <c r="A516" s="3" t="s">
        <v>175</v>
      </c>
      <c r="B516" s="4" t="s">
        <v>84</v>
      </c>
      <c r="C516" s="3" t="s">
        <v>2</v>
      </c>
      <c r="D516" s="3" t="s">
        <v>305</v>
      </c>
      <c r="E516" s="3">
        <v>2232</v>
      </c>
      <c r="G516" s="19"/>
    </row>
    <row r="517" spans="1:7" ht="12.75" x14ac:dyDescent="0.2">
      <c r="A517" s="3" t="s">
        <v>175</v>
      </c>
      <c r="B517" s="4" t="s">
        <v>84</v>
      </c>
      <c r="C517" s="3" t="s">
        <v>2</v>
      </c>
      <c r="D517" s="3" t="s">
        <v>14</v>
      </c>
      <c r="E517" s="3">
        <v>5458</v>
      </c>
      <c r="G517" s="19"/>
    </row>
    <row r="518" spans="1:7" ht="12.75" x14ac:dyDescent="0.2">
      <c r="A518" s="3" t="s">
        <v>175</v>
      </c>
      <c r="B518" s="4" t="s">
        <v>84</v>
      </c>
      <c r="C518" s="3" t="s">
        <v>2</v>
      </c>
      <c r="D518" s="3" t="s">
        <v>138</v>
      </c>
      <c r="E518" s="3">
        <v>393</v>
      </c>
      <c r="F518">
        <f>SUM(E510:E518)</f>
        <v>39759</v>
      </c>
      <c r="G518" s="19"/>
    </row>
    <row r="519" spans="1:7" ht="12.75" x14ac:dyDescent="0.2">
      <c r="A519" s="3" t="s">
        <v>175</v>
      </c>
      <c r="B519" s="4" t="s">
        <v>84</v>
      </c>
      <c r="C519" s="3" t="s">
        <v>10</v>
      </c>
      <c r="D519" s="3" t="s">
        <v>3</v>
      </c>
      <c r="E519" s="3">
        <v>16966</v>
      </c>
      <c r="G519" s="19"/>
    </row>
    <row r="520" spans="1:7" ht="12.75" x14ac:dyDescent="0.2">
      <c r="A520" s="3" t="s">
        <v>175</v>
      </c>
      <c r="B520" s="4" t="s">
        <v>84</v>
      </c>
      <c r="C520" s="3" t="s">
        <v>10</v>
      </c>
      <c r="D520" s="3" t="s">
        <v>274</v>
      </c>
      <c r="E520" s="3">
        <v>474</v>
      </c>
      <c r="G520" s="19"/>
    </row>
    <row r="521" spans="1:7" ht="12.75" x14ac:dyDescent="0.2">
      <c r="A521" s="3" t="s">
        <v>175</v>
      </c>
      <c r="B521" s="4" t="s">
        <v>84</v>
      </c>
      <c r="C521" s="3" t="s">
        <v>10</v>
      </c>
      <c r="D521" s="3" t="s">
        <v>315</v>
      </c>
      <c r="E521" s="3">
        <v>746</v>
      </c>
      <c r="G521" s="19"/>
    </row>
    <row r="522" spans="1:7" ht="12.75" x14ac:dyDescent="0.2">
      <c r="A522" s="3" t="s">
        <v>175</v>
      </c>
      <c r="B522" s="4" t="s">
        <v>84</v>
      </c>
      <c r="C522" s="3" t="s">
        <v>10</v>
      </c>
      <c r="D522" s="3" t="s">
        <v>149</v>
      </c>
      <c r="E522" s="3">
        <v>3587</v>
      </c>
      <c r="G522" s="19"/>
    </row>
    <row r="523" spans="1:7" ht="12.75" x14ac:dyDescent="0.2">
      <c r="A523" s="3" t="s">
        <v>175</v>
      </c>
      <c r="B523" s="4" t="s">
        <v>84</v>
      </c>
      <c r="C523" s="3" t="s">
        <v>10</v>
      </c>
      <c r="D523" s="3" t="s">
        <v>132</v>
      </c>
      <c r="E523" s="3">
        <v>8605</v>
      </c>
      <c r="G523" s="19"/>
    </row>
    <row r="524" spans="1:7" ht="12.75" x14ac:dyDescent="0.2">
      <c r="A524" s="3" t="s">
        <v>175</v>
      </c>
      <c r="B524" s="4" t="s">
        <v>84</v>
      </c>
      <c r="C524" s="3" t="s">
        <v>10</v>
      </c>
      <c r="D524" s="3" t="s">
        <v>275</v>
      </c>
      <c r="E524" s="3">
        <v>511</v>
      </c>
      <c r="G524" s="19"/>
    </row>
    <row r="525" spans="1:7" ht="12.75" x14ac:dyDescent="0.2">
      <c r="A525" s="3" t="s">
        <v>175</v>
      </c>
      <c r="B525" s="4" t="s">
        <v>84</v>
      </c>
      <c r="C525" s="3" t="s">
        <v>10</v>
      </c>
      <c r="D525" s="3" t="s">
        <v>305</v>
      </c>
      <c r="E525" s="3">
        <v>2262</v>
      </c>
      <c r="G525" s="19"/>
    </row>
    <row r="526" spans="1:7" ht="12.75" x14ac:dyDescent="0.2">
      <c r="A526" s="3" t="s">
        <v>175</v>
      </c>
      <c r="B526" s="4" t="s">
        <v>84</v>
      </c>
      <c r="C526" s="3" t="s">
        <v>10</v>
      </c>
      <c r="D526" s="3" t="s">
        <v>14</v>
      </c>
      <c r="E526" s="3">
        <v>6220</v>
      </c>
      <c r="G526" s="19"/>
    </row>
    <row r="527" spans="1:7" ht="12.75" x14ac:dyDescent="0.2">
      <c r="A527" s="3" t="s">
        <v>175</v>
      </c>
      <c r="B527" s="4" t="s">
        <v>84</v>
      </c>
      <c r="C527" s="3" t="s">
        <v>10</v>
      </c>
      <c r="D527" s="3" t="s">
        <v>138</v>
      </c>
      <c r="E527" s="3">
        <v>388</v>
      </c>
      <c r="F527">
        <f>SUM(E519:E527)</f>
        <v>39759</v>
      </c>
      <c r="G527" s="19"/>
    </row>
    <row r="528" spans="1:7" ht="12.75" x14ac:dyDescent="0.2">
      <c r="A528" s="3" t="s">
        <v>175</v>
      </c>
      <c r="B528" s="4" t="s">
        <v>84</v>
      </c>
      <c r="C528" s="3" t="s">
        <v>13</v>
      </c>
      <c r="D528" s="3" t="s">
        <v>3</v>
      </c>
      <c r="E528" s="3">
        <v>16708</v>
      </c>
      <c r="G528" s="19"/>
    </row>
    <row r="529" spans="1:7" ht="12.75" x14ac:dyDescent="0.2">
      <c r="A529" s="3" t="s">
        <v>175</v>
      </c>
      <c r="B529" s="4" t="s">
        <v>84</v>
      </c>
      <c r="C529" s="3" t="s">
        <v>13</v>
      </c>
      <c r="D529" s="3" t="s">
        <v>315</v>
      </c>
      <c r="E529" s="3">
        <v>740</v>
      </c>
      <c r="G529" s="19"/>
    </row>
    <row r="530" spans="1:7" ht="12.75" x14ac:dyDescent="0.2">
      <c r="A530" s="3" t="s">
        <v>175</v>
      </c>
      <c r="B530" s="4" t="s">
        <v>84</v>
      </c>
      <c r="C530" s="3" t="s">
        <v>13</v>
      </c>
      <c r="D530" s="3" t="s">
        <v>149</v>
      </c>
      <c r="E530" s="3">
        <v>3595</v>
      </c>
      <c r="G530" s="19"/>
    </row>
    <row r="531" spans="1:7" ht="12.75" x14ac:dyDescent="0.2">
      <c r="A531" s="3" t="s">
        <v>175</v>
      </c>
      <c r="B531" s="4" t="s">
        <v>84</v>
      </c>
      <c r="C531" s="3" t="s">
        <v>13</v>
      </c>
      <c r="D531" s="3" t="s">
        <v>132</v>
      </c>
      <c r="E531" s="3">
        <v>8549</v>
      </c>
      <c r="G531" s="19"/>
    </row>
    <row r="532" spans="1:7" ht="12.75" x14ac:dyDescent="0.2">
      <c r="A532" s="3" t="s">
        <v>175</v>
      </c>
      <c r="B532" s="4" t="s">
        <v>84</v>
      </c>
      <c r="C532" s="3" t="s">
        <v>13</v>
      </c>
      <c r="D532" s="3" t="s">
        <v>275</v>
      </c>
      <c r="E532" s="3">
        <v>631</v>
      </c>
      <c r="G532" s="19"/>
    </row>
    <row r="533" spans="1:7" ht="12.75" x14ac:dyDescent="0.2">
      <c r="A533" s="3" t="s">
        <v>175</v>
      </c>
      <c r="B533" s="4" t="s">
        <v>84</v>
      </c>
      <c r="C533" s="3" t="s">
        <v>13</v>
      </c>
      <c r="D533" s="3" t="s">
        <v>305</v>
      </c>
      <c r="E533" s="3">
        <v>2343</v>
      </c>
      <c r="G533" s="19"/>
    </row>
    <row r="534" spans="1:7" ht="12.75" x14ac:dyDescent="0.2">
      <c r="A534" s="3" t="s">
        <v>175</v>
      </c>
      <c r="B534" s="4" t="s">
        <v>84</v>
      </c>
      <c r="C534" s="3" t="s">
        <v>13</v>
      </c>
      <c r="D534" s="3" t="s">
        <v>14</v>
      </c>
      <c r="E534" s="3">
        <v>6819</v>
      </c>
      <c r="G534" s="19"/>
    </row>
    <row r="535" spans="1:7" ht="12.75" x14ac:dyDescent="0.2">
      <c r="A535" s="3" t="s">
        <v>175</v>
      </c>
      <c r="B535" s="4" t="s">
        <v>84</v>
      </c>
      <c r="C535" s="3" t="s">
        <v>13</v>
      </c>
      <c r="D535" s="3" t="s">
        <v>138</v>
      </c>
      <c r="E535" s="3">
        <v>374</v>
      </c>
      <c r="F535">
        <f>SUM(E528:E535)</f>
        <v>39759</v>
      </c>
      <c r="G535" s="19"/>
    </row>
    <row r="536" spans="1:7" ht="12.75" x14ac:dyDescent="0.2">
      <c r="A536" s="3">
        <v>59</v>
      </c>
      <c r="B536" s="4" t="s">
        <v>85</v>
      </c>
      <c r="C536" s="3" t="s">
        <v>15</v>
      </c>
      <c r="D536" s="3" t="s">
        <v>3</v>
      </c>
      <c r="E536" s="3">
        <v>272</v>
      </c>
      <c r="G536" s="19"/>
    </row>
    <row r="537" spans="1:7" ht="12.75" x14ac:dyDescent="0.2">
      <c r="A537" s="3">
        <v>59</v>
      </c>
      <c r="B537" s="4" t="s">
        <v>85</v>
      </c>
      <c r="C537" s="3" t="s">
        <v>15</v>
      </c>
      <c r="D537" s="3" t="s">
        <v>132</v>
      </c>
      <c r="E537" s="3">
        <v>72</v>
      </c>
      <c r="G537" s="19"/>
    </row>
    <row r="538" spans="1:7" ht="12.75" x14ac:dyDescent="0.2">
      <c r="A538" s="3">
        <v>59</v>
      </c>
      <c r="B538" s="4" t="s">
        <v>85</v>
      </c>
      <c r="C538" s="3" t="s">
        <v>15</v>
      </c>
      <c r="D538" s="3" t="s">
        <v>14</v>
      </c>
      <c r="E538" s="3">
        <v>31</v>
      </c>
      <c r="G538" s="19"/>
    </row>
    <row r="539" spans="1:7" ht="12.75" x14ac:dyDescent="0.2">
      <c r="A539" s="3">
        <v>59</v>
      </c>
      <c r="B539" s="4" t="s">
        <v>85</v>
      </c>
      <c r="C539" s="3" t="s">
        <v>15</v>
      </c>
      <c r="D539" s="3" t="s">
        <v>138</v>
      </c>
      <c r="E539" s="3">
        <v>3</v>
      </c>
      <c r="F539">
        <f>SUM(E536:E539)</f>
        <v>378</v>
      </c>
      <c r="G539" s="19"/>
    </row>
    <row r="540" spans="1:7" ht="12.75" x14ac:dyDescent="0.2">
      <c r="A540" s="3">
        <v>59</v>
      </c>
      <c r="B540" s="4" t="s">
        <v>85</v>
      </c>
      <c r="C540" s="3" t="s">
        <v>17</v>
      </c>
      <c r="D540" s="3" t="s">
        <v>3</v>
      </c>
      <c r="E540" s="3">
        <v>258</v>
      </c>
      <c r="G540" s="19"/>
    </row>
    <row r="541" spans="1:7" ht="12.75" x14ac:dyDescent="0.2">
      <c r="A541" s="3">
        <v>59</v>
      </c>
      <c r="B541" s="4" t="s">
        <v>85</v>
      </c>
      <c r="C541" s="3" t="s">
        <v>17</v>
      </c>
      <c r="D541" s="3" t="s">
        <v>132</v>
      </c>
      <c r="E541" s="3">
        <v>74</v>
      </c>
      <c r="G541" s="19"/>
    </row>
    <row r="542" spans="1:7" ht="12.75" x14ac:dyDescent="0.2">
      <c r="A542" s="3">
        <v>59</v>
      </c>
      <c r="B542" s="4" t="s">
        <v>85</v>
      </c>
      <c r="C542" s="3" t="s">
        <v>17</v>
      </c>
      <c r="D542" s="3" t="s">
        <v>14</v>
      </c>
      <c r="E542" s="3">
        <v>43</v>
      </c>
      <c r="G542" s="19"/>
    </row>
    <row r="543" spans="1:7" ht="12.75" x14ac:dyDescent="0.2">
      <c r="A543" s="3">
        <v>59</v>
      </c>
      <c r="B543" s="4" t="s">
        <v>85</v>
      </c>
      <c r="C543" s="3" t="s">
        <v>17</v>
      </c>
      <c r="D543" s="3" t="s">
        <v>138</v>
      </c>
      <c r="E543" s="3">
        <v>3</v>
      </c>
      <c r="F543">
        <f>SUM(E540:E543)</f>
        <v>378</v>
      </c>
      <c r="G543" s="19"/>
    </row>
    <row r="544" spans="1:7" ht="12.75" x14ac:dyDescent="0.2">
      <c r="A544" s="3">
        <v>61</v>
      </c>
      <c r="B544" s="4" t="s">
        <v>86</v>
      </c>
      <c r="C544" s="3" t="s">
        <v>2</v>
      </c>
      <c r="D544" s="3" t="s">
        <v>3</v>
      </c>
      <c r="E544" s="3">
        <v>2903</v>
      </c>
      <c r="G544" s="19"/>
    </row>
    <row r="545" spans="1:7" ht="12.75" x14ac:dyDescent="0.2">
      <c r="A545" s="3">
        <v>61</v>
      </c>
      <c r="B545" s="4" t="s">
        <v>86</v>
      </c>
      <c r="C545" s="3" t="s">
        <v>2</v>
      </c>
      <c r="D545" s="3" t="s">
        <v>149</v>
      </c>
      <c r="E545" s="3">
        <v>244</v>
      </c>
      <c r="G545" s="19"/>
    </row>
    <row r="546" spans="1:7" ht="12.75" x14ac:dyDescent="0.2">
      <c r="A546" s="3">
        <v>61</v>
      </c>
      <c r="B546" s="4" t="s">
        <v>86</v>
      </c>
      <c r="C546" s="3" t="s">
        <v>2</v>
      </c>
      <c r="D546" s="3" t="s">
        <v>132</v>
      </c>
      <c r="E546" s="3">
        <v>561</v>
      </c>
      <c r="G546" s="19"/>
    </row>
    <row r="547" spans="1:7" ht="12.75" x14ac:dyDescent="0.2">
      <c r="A547" s="3">
        <v>61</v>
      </c>
      <c r="B547" s="4" t="s">
        <v>86</v>
      </c>
      <c r="C547" s="3" t="s">
        <v>2</v>
      </c>
      <c r="D547" s="3" t="s">
        <v>144</v>
      </c>
      <c r="E547" s="3">
        <v>1613</v>
      </c>
      <c r="G547" s="19"/>
    </row>
    <row r="548" spans="1:7" ht="12.75" x14ac:dyDescent="0.2">
      <c r="A548" s="3">
        <v>61</v>
      </c>
      <c r="B548" s="4" t="s">
        <v>86</v>
      </c>
      <c r="C548" s="3" t="s">
        <v>2</v>
      </c>
      <c r="D548" s="3" t="s">
        <v>281</v>
      </c>
      <c r="E548" s="3">
        <v>122</v>
      </c>
      <c r="G548" s="19"/>
    </row>
    <row r="549" spans="1:7" ht="12.75" x14ac:dyDescent="0.2">
      <c r="A549" s="3">
        <v>61</v>
      </c>
      <c r="B549" s="4" t="s">
        <v>86</v>
      </c>
      <c r="C549" s="3" t="s">
        <v>2</v>
      </c>
      <c r="D549" s="3" t="s">
        <v>305</v>
      </c>
      <c r="E549" s="3">
        <v>226</v>
      </c>
      <c r="G549" s="19"/>
    </row>
    <row r="550" spans="1:7" ht="12.75" x14ac:dyDescent="0.2">
      <c r="A550" s="3">
        <v>61</v>
      </c>
      <c r="B550" s="4" t="s">
        <v>86</v>
      </c>
      <c r="C550" s="3" t="s">
        <v>2</v>
      </c>
      <c r="D550" s="3" t="s">
        <v>14</v>
      </c>
      <c r="E550" s="3">
        <v>266</v>
      </c>
      <c r="G550" s="19"/>
    </row>
    <row r="551" spans="1:7" ht="12.75" x14ac:dyDescent="0.2">
      <c r="A551" s="3">
        <v>61</v>
      </c>
      <c r="B551" s="4" t="s">
        <v>86</v>
      </c>
      <c r="C551" s="3" t="s">
        <v>2</v>
      </c>
      <c r="D551" s="3" t="s">
        <v>138</v>
      </c>
      <c r="E551" s="3">
        <v>57</v>
      </c>
      <c r="F551">
        <f>SUM(E544:E551)</f>
        <v>5992</v>
      </c>
      <c r="G551" s="19"/>
    </row>
    <row r="552" spans="1:7" ht="12.75" x14ac:dyDescent="0.2">
      <c r="A552" s="3">
        <v>61</v>
      </c>
      <c r="B552" s="4" t="s">
        <v>86</v>
      </c>
      <c r="C552" s="3" t="s">
        <v>10</v>
      </c>
      <c r="D552" s="3" t="s">
        <v>3</v>
      </c>
      <c r="E552" s="3">
        <v>2640</v>
      </c>
      <c r="G552" s="19"/>
    </row>
    <row r="553" spans="1:7" ht="12.75" x14ac:dyDescent="0.2">
      <c r="A553" s="3">
        <v>61</v>
      </c>
      <c r="B553" s="4" t="s">
        <v>86</v>
      </c>
      <c r="C553" s="3" t="s">
        <v>10</v>
      </c>
      <c r="D553" s="3" t="s">
        <v>315</v>
      </c>
      <c r="E553" s="3">
        <v>27</v>
      </c>
      <c r="G553" s="19"/>
    </row>
    <row r="554" spans="1:7" ht="12.75" x14ac:dyDescent="0.2">
      <c r="A554" s="3">
        <v>61</v>
      </c>
      <c r="B554" s="4" t="s">
        <v>86</v>
      </c>
      <c r="C554" s="3" t="s">
        <v>10</v>
      </c>
      <c r="D554" s="3" t="s">
        <v>149</v>
      </c>
      <c r="E554" s="3">
        <v>282</v>
      </c>
      <c r="G554" s="19"/>
    </row>
    <row r="555" spans="1:7" ht="12.75" x14ac:dyDescent="0.2">
      <c r="A555" s="3">
        <v>61</v>
      </c>
      <c r="B555" s="4" t="s">
        <v>86</v>
      </c>
      <c r="C555" s="3" t="s">
        <v>10</v>
      </c>
      <c r="D555" s="3" t="s">
        <v>132</v>
      </c>
      <c r="E555" s="3">
        <v>727</v>
      </c>
      <c r="G555" s="19"/>
    </row>
    <row r="556" spans="1:7" ht="12.75" x14ac:dyDescent="0.2">
      <c r="A556" s="3">
        <v>61</v>
      </c>
      <c r="B556" s="4" t="s">
        <v>86</v>
      </c>
      <c r="C556" s="3" t="s">
        <v>10</v>
      </c>
      <c r="D556" s="3" t="s">
        <v>144</v>
      </c>
      <c r="E556" s="3">
        <v>1513</v>
      </c>
      <c r="G556" s="19"/>
    </row>
    <row r="557" spans="1:7" ht="12.75" x14ac:dyDescent="0.2">
      <c r="A557" s="3">
        <v>61</v>
      </c>
      <c r="B557" s="4" t="s">
        <v>86</v>
      </c>
      <c r="C557" s="3" t="s">
        <v>10</v>
      </c>
      <c r="D557" s="3" t="s">
        <v>281</v>
      </c>
      <c r="E557" s="3">
        <v>118</v>
      </c>
      <c r="G557" s="19"/>
    </row>
    <row r="558" spans="1:7" ht="12.75" x14ac:dyDescent="0.2">
      <c r="A558" s="3">
        <v>61</v>
      </c>
      <c r="B558" s="4" t="s">
        <v>86</v>
      </c>
      <c r="C558" s="3" t="s">
        <v>10</v>
      </c>
      <c r="D558" s="3" t="s">
        <v>305</v>
      </c>
      <c r="E558" s="3">
        <v>251</v>
      </c>
      <c r="G558" s="19"/>
    </row>
    <row r="559" spans="1:7" ht="12.75" x14ac:dyDescent="0.2">
      <c r="A559" s="3">
        <v>61</v>
      </c>
      <c r="B559" s="4" t="s">
        <v>86</v>
      </c>
      <c r="C559" s="3" t="s">
        <v>10</v>
      </c>
      <c r="D559" s="3" t="s">
        <v>14</v>
      </c>
      <c r="E559" s="3">
        <v>365</v>
      </c>
      <c r="G559" s="19"/>
    </row>
    <row r="560" spans="1:7" ht="12.75" x14ac:dyDescent="0.2">
      <c r="A560" s="3">
        <v>61</v>
      </c>
      <c r="B560" s="4" t="s">
        <v>86</v>
      </c>
      <c r="C560" s="3" t="s">
        <v>10</v>
      </c>
      <c r="D560" s="3" t="s">
        <v>138</v>
      </c>
      <c r="E560" s="3">
        <v>69</v>
      </c>
      <c r="F560">
        <f>SUM(E552:E560)</f>
        <v>5992</v>
      </c>
      <c r="G560" s="19"/>
    </row>
    <row r="561" spans="1:7" ht="12.75" x14ac:dyDescent="0.2">
      <c r="A561" s="3">
        <v>61</v>
      </c>
      <c r="B561" s="4" t="s">
        <v>86</v>
      </c>
      <c r="C561" s="3" t="s">
        <v>13</v>
      </c>
      <c r="D561" s="3" t="s">
        <v>3</v>
      </c>
      <c r="E561" s="3">
        <v>2601</v>
      </c>
      <c r="G561" s="19"/>
    </row>
    <row r="562" spans="1:7" ht="12.75" x14ac:dyDescent="0.2">
      <c r="A562" s="3">
        <v>61</v>
      </c>
      <c r="B562" s="4" t="s">
        <v>86</v>
      </c>
      <c r="C562" s="3" t="s">
        <v>13</v>
      </c>
      <c r="D562" s="3" t="s">
        <v>149</v>
      </c>
      <c r="E562" s="3">
        <v>315</v>
      </c>
      <c r="G562" s="19"/>
    </row>
    <row r="563" spans="1:7" ht="12.75" x14ac:dyDescent="0.2">
      <c r="A563" s="3">
        <v>61</v>
      </c>
      <c r="B563" s="4" t="s">
        <v>86</v>
      </c>
      <c r="C563" s="3" t="s">
        <v>13</v>
      </c>
      <c r="D563" s="3" t="s">
        <v>132</v>
      </c>
      <c r="E563" s="3">
        <v>747</v>
      </c>
      <c r="G563" s="19"/>
    </row>
    <row r="564" spans="1:7" ht="12.75" x14ac:dyDescent="0.2">
      <c r="A564" s="3">
        <v>61</v>
      </c>
      <c r="B564" s="4" t="s">
        <v>86</v>
      </c>
      <c r="C564" s="3" t="s">
        <v>13</v>
      </c>
      <c r="D564" s="3" t="s">
        <v>144</v>
      </c>
      <c r="E564" s="3">
        <v>1401</v>
      </c>
      <c r="G564" s="19"/>
    </row>
    <row r="565" spans="1:7" ht="12.75" x14ac:dyDescent="0.2">
      <c r="A565" s="3">
        <v>61</v>
      </c>
      <c r="B565" s="4" t="s">
        <v>86</v>
      </c>
      <c r="C565" s="3" t="s">
        <v>13</v>
      </c>
      <c r="D565" s="3" t="s">
        <v>281</v>
      </c>
      <c r="E565" s="3">
        <v>115</v>
      </c>
      <c r="G565" s="19"/>
    </row>
    <row r="566" spans="1:7" ht="12.75" x14ac:dyDescent="0.2">
      <c r="A566" s="3">
        <v>61</v>
      </c>
      <c r="B566" s="4" t="s">
        <v>86</v>
      </c>
      <c r="C566" s="3" t="s">
        <v>13</v>
      </c>
      <c r="D566" s="3" t="s">
        <v>305</v>
      </c>
      <c r="E566" s="3">
        <v>293</v>
      </c>
      <c r="G566" s="19"/>
    </row>
    <row r="567" spans="1:7" ht="12.75" x14ac:dyDescent="0.2">
      <c r="A567" s="3">
        <v>61</v>
      </c>
      <c r="B567" s="4" t="s">
        <v>86</v>
      </c>
      <c r="C567" s="3" t="s">
        <v>13</v>
      </c>
      <c r="D567" s="3" t="s">
        <v>14</v>
      </c>
      <c r="E567" s="3">
        <v>453</v>
      </c>
      <c r="G567" s="19"/>
    </row>
    <row r="568" spans="1:7" ht="12.75" x14ac:dyDescent="0.2">
      <c r="A568" s="3">
        <v>61</v>
      </c>
      <c r="B568" s="4" t="s">
        <v>86</v>
      </c>
      <c r="C568" s="3" t="s">
        <v>13</v>
      </c>
      <c r="D568" s="3" t="s">
        <v>138</v>
      </c>
      <c r="E568" s="3">
        <v>67</v>
      </c>
      <c r="F568">
        <f>SUM(E561:E568)</f>
        <v>5992</v>
      </c>
      <c r="G568" s="19"/>
    </row>
    <row r="569" spans="1:7" ht="12.75" x14ac:dyDescent="0.2">
      <c r="A569" s="3">
        <v>62</v>
      </c>
      <c r="B569" s="4" t="s">
        <v>87</v>
      </c>
      <c r="C569" s="3" t="s">
        <v>2</v>
      </c>
      <c r="D569" s="3" t="s">
        <v>3</v>
      </c>
      <c r="E569" s="3">
        <v>275</v>
      </c>
      <c r="G569" s="19"/>
    </row>
    <row r="570" spans="1:7" ht="12.75" x14ac:dyDescent="0.2">
      <c r="A570" s="3">
        <v>62</v>
      </c>
      <c r="B570" s="4" t="s">
        <v>87</v>
      </c>
      <c r="C570" s="3" t="s">
        <v>2</v>
      </c>
      <c r="D570" s="3" t="s">
        <v>132</v>
      </c>
      <c r="E570" s="3">
        <v>243</v>
      </c>
      <c r="G570" s="19"/>
    </row>
    <row r="571" spans="1:7" ht="12.75" x14ac:dyDescent="0.2">
      <c r="A571" s="3">
        <v>62</v>
      </c>
      <c r="B571" s="4" t="s">
        <v>87</v>
      </c>
      <c r="C571" s="3" t="s">
        <v>2</v>
      </c>
      <c r="D571" s="3" t="s">
        <v>14</v>
      </c>
      <c r="E571" s="3">
        <v>27</v>
      </c>
      <c r="G571" s="19"/>
    </row>
    <row r="572" spans="1:7" ht="12.75" x14ac:dyDescent="0.2">
      <c r="A572" s="3">
        <v>62</v>
      </c>
      <c r="B572" s="4" t="s">
        <v>87</v>
      </c>
      <c r="C572" s="3" t="s">
        <v>2</v>
      </c>
      <c r="D572" s="3" t="s">
        <v>138</v>
      </c>
      <c r="E572" s="3">
        <v>1</v>
      </c>
      <c r="F572">
        <f>SUM(E569:E572)</f>
        <v>546</v>
      </c>
      <c r="G572" s="19"/>
    </row>
    <row r="573" spans="1:7" ht="12.75" x14ac:dyDescent="0.2">
      <c r="A573" s="3">
        <v>62</v>
      </c>
      <c r="B573" s="4" t="s">
        <v>87</v>
      </c>
      <c r="C573" s="3" t="s">
        <v>10</v>
      </c>
      <c r="D573" s="3" t="s">
        <v>3</v>
      </c>
      <c r="E573" s="3">
        <v>267</v>
      </c>
      <c r="G573" s="19"/>
    </row>
    <row r="574" spans="1:7" ht="12.75" x14ac:dyDescent="0.2">
      <c r="A574" s="3">
        <v>62</v>
      </c>
      <c r="B574" s="4" t="s">
        <v>87</v>
      </c>
      <c r="C574" s="3" t="s">
        <v>10</v>
      </c>
      <c r="D574" s="3" t="s">
        <v>149</v>
      </c>
      <c r="E574" s="3">
        <v>20</v>
      </c>
      <c r="G574" s="19"/>
    </row>
    <row r="575" spans="1:7" ht="12.75" x14ac:dyDescent="0.2">
      <c r="A575" s="3">
        <v>62</v>
      </c>
      <c r="B575" s="4" t="s">
        <v>87</v>
      </c>
      <c r="C575" s="3" t="s">
        <v>10</v>
      </c>
      <c r="D575" s="3" t="s">
        <v>132</v>
      </c>
      <c r="E575" s="3">
        <v>233</v>
      </c>
      <c r="G575" s="19"/>
    </row>
    <row r="576" spans="1:7" ht="12.75" x14ac:dyDescent="0.2">
      <c r="A576" s="3">
        <v>62</v>
      </c>
      <c r="B576" s="4" t="s">
        <v>87</v>
      </c>
      <c r="C576" s="3" t="s">
        <v>10</v>
      </c>
      <c r="D576" s="3" t="s">
        <v>14</v>
      </c>
      <c r="E576" s="3">
        <v>23</v>
      </c>
      <c r="G576" s="19"/>
    </row>
    <row r="577" spans="1:7" ht="12.75" x14ac:dyDescent="0.2">
      <c r="A577" s="3">
        <v>62</v>
      </c>
      <c r="B577" s="4" t="s">
        <v>87</v>
      </c>
      <c r="C577" s="3" t="s">
        <v>10</v>
      </c>
      <c r="D577" s="3" t="s">
        <v>138</v>
      </c>
      <c r="E577" s="3">
        <v>3</v>
      </c>
      <c r="F577">
        <f>SUM(E573:E577)</f>
        <v>546</v>
      </c>
      <c r="G577" s="19"/>
    </row>
    <row r="578" spans="1:7" ht="12.75" x14ac:dyDescent="0.2">
      <c r="A578" s="3">
        <v>62</v>
      </c>
      <c r="B578" s="4" t="s">
        <v>87</v>
      </c>
      <c r="C578" s="3" t="s">
        <v>13</v>
      </c>
      <c r="D578" s="3" t="s">
        <v>3</v>
      </c>
      <c r="E578" s="3">
        <v>279</v>
      </c>
      <c r="G578" s="19"/>
    </row>
    <row r="579" spans="1:7" ht="12.75" x14ac:dyDescent="0.2">
      <c r="A579" s="3">
        <v>62</v>
      </c>
      <c r="B579" s="4" t="s">
        <v>87</v>
      </c>
      <c r="C579" s="3" t="s">
        <v>13</v>
      </c>
      <c r="D579" s="3" t="s">
        <v>132</v>
      </c>
      <c r="E579" s="3">
        <v>231</v>
      </c>
      <c r="G579" s="19"/>
    </row>
    <row r="580" spans="1:7" ht="12.75" x14ac:dyDescent="0.2">
      <c r="A580" s="3">
        <v>62</v>
      </c>
      <c r="B580" s="4" t="s">
        <v>87</v>
      </c>
      <c r="C580" s="3" t="s">
        <v>13</v>
      </c>
      <c r="D580" s="3" t="s">
        <v>14</v>
      </c>
      <c r="E580" s="3">
        <v>35</v>
      </c>
      <c r="G580" s="19"/>
    </row>
    <row r="581" spans="1:7" ht="12.75" x14ac:dyDescent="0.2">
      <c r="A581" s="3">
        <v>62</v>
      </c>
      <c r="B581" s="4" t="s">
        <v>87</v>
      </c>
      <c r="C581" s="3" t="s">
        <v>13</v>
      </c>
      <c r="D581" s="3" t="s">
        <v>138</v>
      </c>
      <c r="E581" s="3">
        <v>1</v>
      </c>
      <c r="F581">
        <f>SUM(E578:E581)</f>
        <v>546</v>
      </c>
      <c r="G581" s="19"/>
    </row>
    <row r="582" spans="1:7" ht="12.75" x14ac:dyDescent="0.2">
      <c r="A582" s="3">
        <v>63</v>
      </c>
      <c r="B582" s="4" t="s">
        <v>88</v>
      </c>
      <c r="C582" s="3" t="s">
        <v>2</v>
      </c>
      <c r="D582" s="3" t="s">
        <v>3</v>
      </c>
      <c r="E582" s="3">
        <v>1310</v>
      </c>
      <c r="G582" s="19"/>
    </row>
    <row r="583" spans="1:7" ht="12.75" x14ac:dyDescent="0.2">
      <c r="A583" s="3">
        <v>63</v>
      </c>
      <c r="B583" s="4" t="s">
        <v>88</v>
      </c>
      <c r="C583" s="3" t="s">
        <v>2</v>
      </c>
      <c r="D583" s="3" t="s">
        <v>132</v>
      </c>
      <c r="E583" s="3">
        <v>848</v>
      </c>
      <c r="G583" s="19"/>
    </row>
    <row r="584" spans="1:7" ht="12.75" x14ac:dyDescent="0.2">
      <c r="A584" s="3">
        <v>63</v>
      </c>
      <c r="B584" s="4" t="s">
        <v>88</v>
      </c>
      <c r="C584" s="3" t="s">
        <v>2</v>
      </c>
      <c r="D584" s="3" t="s">
        <v>14</v>
      </c>
      <c r="E584" s="3">
        <v>117</v>
      </c>
      <c r="G584" s="19"/>
    </row>
    <row r="585" spans="1:7" ht="12.75" x14ac:dyDescent="0.2">
      <c r="A585" s="3">
        <v>63</v>
      </c>
      <c r="B585" s="4" t="s">
        <v>88</v>
      </c>
      <c r="C585" s="3" t="s">
        <v>2</v>
      </c>
      <c r="D585" s="3" t="s">
        <v>138</v>
      </c>
      <c r="E585" s="3">
        <v>2</v>
      </c>
      <c r="F585">
        <f>SUM(E582:E585)</f>
        <v>2277</v>
      </c>
      <c r="G585" s="19"/>
    </row>
    <row r="586" spans="1:7" ht="12.75" x14ac:dyDescent="0.2">
      <c r="A586" s="3">
        <v>63</v>
      </c>
      <c r="B586" s="4" t="s">
        <v>88</v>
      </c>
      <c r="C586" s="3" t="s">
        <v>10</v>
      </c>
      <c r="D586" s="3" t="s">
        <v>3</v>
      </c>
      <c r="E586" s="3">
        <v>1245</v>
      </c>
      <c r="G586" s="19"/>
    </row>
    <row r="587" spans="1:7" ht="12.75" x14ac:dyDescent="0.2">
      <c r="A587" s="3">
        <v>63</v>
      </c>
      <c r="B587" s="4" t="s">
        <v>88</v>
      </c>
      <c r="C587" s="3" t="s">
        <v>10</v>
      </c>
      <c r="D587" s="3" t="s">
        <v>132</v>
      </c>
      <c r="E587" s="3">
        <v>855</v>
      </c>
      <c r="G587" s="19"/>
    </row>
    <row r="588" spans="1:7" ht="12.75" x14ac:dyDescent="0.2">
      <c r="A588" s="3">
        <v>63</v>
      </c>
      <c r="B588" s="4" t="s">
        <v>88</v>
      </c>
      <c r="C588" s="3" t="s">
        <v>10</v>
      </c>
      <c r="D588" s="3" t="s">
        <v>14</v>
      </c>
      <c r="E588" s="3">
        <v>174</v>
      </c>
      <c r="G588" s="19"/>
    </row>
    <row r="589" spans="1:7" ht="12.75" x14ac:dyDescent="0.2">
      <c r="A589" s="3">
        <v>63</v>
      </c>
      <c r="B589" s="4" t="s">
        <v>88</v>
      </c>
      <c r="C589" s="3" t="s">
        <v>10</v>
      </c>
      <c r="D589" s="3" t="s">
        <v>138</v>
      </c>
      <c r="E589" s="3">
        <v>3</v>
      </c>
      <c r="F589">
        <f>SUM(E586:E589)</f>
        <v>2277</v>
      </c>
      <c r="G589" s="19"/>
    </row>
    <row r="590" spans="1:7" ht="12.75" x14ac:dyDescent="0.2">
      <c r="A590" s="3">
        <v>63</v>
      </c>
      <c r="B590" s="4" t="s">
        <v>88</v>
      </c>
      <c r="C590" s="3" t="s">
        <v>13</v>
      </c>
      <c r="D590" s="3" t="s">
        <v>3</v>
      </c>
      <c r="E590" s="3">
        <v>1038</v>
      </c>
      <c r="G590" s="19"/>
    </row>
    <row r="591" spans="1:7" ht="12.75" x14ac:dyDescent="0.2">
      <c r="A591" s="3">
        <v>63</v>
      </c>
      <c r="B591" s="4" t="s">
        <v>88</v>
      </c>
      <c r="C591" s="3" t="s">
        <v>13</v>
      </c>
      <c r="D591" s="3" t="s">
        <v>132</v>
      </c>
      <c r="E591" s="3">
        <v>1043</v>
      </c>
      <c r="G591" s="19"/>
    </row>
    <row r="592" spans="1:7" ht="12.75" x14ac:dyDescent="0.2">
      <c r="A592" s="3">
        <v>63</v>
      </c>
      <c r="B592" s="4" t="s">
        <v>88</v>
      </c>
      <c r="C592" s="3" t="s">
        <v>13</v>
      </c>
      <c r="D592" s="3" t="s">
        <v>14</v>
      </c>
      <c r="E592" s="3">
        <v>193</v>
      </c>
      <c r="G592" s="19"/>
    </row>
    <row r="593" spans="1:7" ht="12.75" x14ac:dyDescent="0.2">
      <c r="A593" s="3">
        <v>63</v>
      </c>
      <c r="B593" s="4" t="s">
        <v>88</v>
      </c>
      <c r="C593" s="3" t="s">
        <v>13</v>
      </c>
      <c r="D593" s="3" t="s">
        <v>138</v>
      </c>
      <c r="E593" s="3">
        <v>3</v>
      </c>
      <c r="F593">
        <f>SUM(E590:E593)</f>
        <v>2277</v>
      </c>
      <c r="G593" s="19"/>
    </row>
    <row r="594" spans="1:7" ht="12.75" x14ac:dyDescent="0.2">
      <c r="A594" s="3">
        <v>64</v>
      </c>
      <c r="B594" s="4" t="s">
        <v>89</v>
      </c>
      <c r="C594" s="3" t="s">
        <v>2</v>
      </c>
      <c r="D594" s="3" t="s">
        <v>3</v>
      </c>
      <c r="E594" s="3">
        <v>351</v>
      </c>
      <c r="G594" s="19"/>
    </row>
    <row r="595" spans="1:7" ht="12.75" x14ac:dyDescent="0.2">
      <c r="A595" s="3">
        <v>64</v>
      </c>
      <c r="B595" s="4" t="s">
        <v>89</v>
      </c>
      <c r="C595" s="3" t="s">
        <v>2</v>
      </c>
      <c r="D595" s="3" t="s">
        <v>132</v>
      </c>
      <c r="E595" s="3">
        <v>236</v>
      </c>
      <c r="G595" s="19"/>
    </row>
    <row r="596" spans="1:7" ht="12.75" x14ac:dyDescent="0.2">
      <c r="A596" s="3">
        <v>64</v>
      </c>
      <c r="B596" s="4" t="s">
        <v>89</v>
      </c>
      <c r="C596" s="3" t="s">
        <v>2</v>
      </c>
      <c r="D596" s="3" t="s">
        <v>14</v>
      </c>
      <c r="E596" s="3">
        <v>15</v>
      </c>
      <c r="F596">
        <f>SUM(E594:E596)</f>
        <v>602</v>
      </c>
      <c r="G596" s="19"/>
    </row>
    <row r="597" spans="1:7" ht="12.75" x14ac:dyDescent="0.2">
      <c r="A597" s="3">
        <v>64</v>
      </c>
      <c r="B597" s="4" t="s">
        <v>89</v>
      </c>
      <c r="C597" s="3" t="s">
        <v>10</v>
      </c>
      <c r="D597" s="3" t="s">
        <v>3</v>
      </c>
      <c r="E597" s="3">
        <v>346</v>
      </c>
      <c r="G597" s="19"/>
    </row>
    <row r="598" spans="1:7" ht="12.75" x14ac:dyDescent="0.2">
      <c r="A598" s="3">
        <v>64</v>
      </c>
      <c r="B598" s="4" t="s">
        <v>89</v>
      </c>
      <c r="C598" s="3" t="s">
        <v>10</v>
      </c>
      <c r="D598" s="3" t="s">
        <v>132</v>
      </c>
      <c r="E598" s="3">
        <v>230</v>
      </c>
      <c r="G598" s="19"/>
    </row>
    <row r="599" spans="1:7" ht="12.75" x14ac:dyDescent="0.2">
      <c r="A599" s="3">
        <v>64</v>
      </c>
      <c r="B599" s="4" t="s">
        <v>89</v>
      </c>
      <c r="C599" s="3" t="s">
        <v>10</v>
      </c>
      <c r="D599" s="3" t="s">
        <v>14</v>
      </c>
      <c r="E599" s="3">
        <v>24</v>
      </c>
      <c r="G599" s="19"/>
    </row>
    <row r="600" spans="1:7" ht="12.75" x14ac:dyDescent="0.2">
      <c r="A600" s="3">
        <v>64</v>
      </c>
      <c r="B600" s="4" t="s">
        <v>89</v>
      </c>
      <c r="C600" s="3" t="s">
        <v>10</v>
      </c>
      <c r="D600" s="3" t="s">
        <v>138</v>
      </c>
      <c r="E600" s="3">
        <v>2</v>
      </c>
      <c r="F600">
        <f>SUM(E597:E600)</f>
        <v>602</v>
      </c>
      <c r="G600" s="19"/>
    </row>
    <row r="601" spans="1:7" ht="12.75" x14ac:dyDescent="0.2">
      <c r="A601" s="3">
        <v>64</v>
      </c>
      <c r="B601" s="4" t="s">
        <v>89</v>
      </c>
      <c r="C601" s="3" t="s">
        <v>13</v>
      </c>
      <c r="D601" s="3" t="s">
        <v>3</v>
      </c>
      <c r="E601" s="3">
        <v>272</v>
      </c>
      <c r="G601" s="19"/>
    </row>
    <row r="602" spans="1:7" ht="12.75" x14ac:dyDescent="0.2">
      <c r="A602" s="3">
        <v>64</v>
      </c>
      <c r="B602" s="4" t="s">
        <v>89</v>
      </c>
      <c r="C602" s="3" t="s">
        <v>13</v>
      </c>
      <c r="D602" s="3" t="s">
        <v>132</v>
      </c>
      <c r="E602" s="3">
        <v>297</v>
      </c>
      <c r="G602" s="19"/>
    </row>
    <row r="603" spans="1:7" ht="12.75" x14ac:dyDescent="0.2">
      <c r="A603" s="3">
        <v>64</v>
      </c>
      <c r="B603" s="4" t="s">
        <v>89</v>
      </c>
      <c r="C603" s="3" t="s">
        <v>13</v>
      </c>
      <c r="D603" s="3" t="s">
        <v>14</v>
      </c>
      <c r="E603" s="3">
        <v>32</v>
      </c>
      <c r="G603" s="19"/>
    </row>
    <row r="604" spans="1:7" ht="12.75" x14ac:dyDescent="0.2">
      <c r="A604" s="3">
        <v>64</v>
      </c>
      <c r="B604" s="4" t="s">
        <v>89</v>
      </c>
      <c r="C604" s="3" t="s">
        <v>13</v>
      </c>
      <c r="D604" s="3" t="s">
        <v>138</v>
      </c>
      <c r="E604" s="3">
        <v>1</v>
      </c>
      <c r="F604">
        <f>SUM(E601:E604)</f>
        <v>602</v>
      </c>
      <c r="G604" s="19"/>
    </row>
    <row r="605" spans="1:7" ht="12.75" x14ac:dyDescent="0.2">
      <c r="A605" s="3">
        <v>65</v>
      </c>
      <c r="B605" s="4" t="s">
        <v>90</v>
      </c>
      <c r="C605" s="3" t="s">
        <v>2</v>
      </c>
      <c r="D605" s="3" t="s">
        <v>3</v>
      </c>
      <c r="E605" s="3">
        <v>1514</v>
      </c>
      <c r="G605" s="19"/>
    </row>
    <row r="606" spans="1:7" ht="12.75" x14ac:dyDescent="0.2">
      <c r="A606" s="3">
        <v>65</v>
      </c>
      <c r="B606" s="4" t="s">
        <v>90</v>
      </c>
      <c r="C606" s="3" t="s">
        <v>2</v>
      </c>
      <c r="D606" s="3" t="s">
        <v>132</v>
      </c>
      <c r="E606" s="3">
        <v>1002</v>
      </c>
      <c r="G606" s="19"/>
    </row>
    <row r="607" spans="1:7" ht="12.75" x14ac:dyDescent="0.2">
      <c r="A607" s="3">
        <v>65</v>
      </c>
      <c r="B607" s="4" t="s">
        <v>90</v>
      </c>
      <c r="C607" s="3" t="s">
        <v>2</v>
      </c>
      <c r="D607" s="3" t="s">
        <v>14</v>
      </c>
      <c r="E607" s="3">
        <v>284</v>
      </c>
      <c r="G607" s="19"/>
    </row>
    <row r="608" spans="1:7" ht="12.75" x14ac:dyDescent="0.2">
      <c r="A608" s="3">
        <v>65</v>
      </c>
      <c r="B608" s="4" t="s">
        <v>90</v>
      </c>
      <c r="C608" s="3" t="s">
        <v>2</v>
      </c>
      <c r="D608" s="3" t="s">
        <v>138</v>
      </c>
      <c r="E608" s="3">
        <v>6</v>
      </c>
      <c r="F608">
        <f>SUM(E605:E608)</f>
        <v>2806</v>
      </c>
      <c r="G608" s="19"/>
    </row>
    <row r="609" spans="1:7" ht="12.75" x14ac:dyDescent="0.2">
      <c r="A609" s="3">
        <v>65</v>
      </c>
      <c r="B609" s="4" t="s">
        <v>90</v>
      </c>
      <c r="C609" s="3" t="s">
        <v>10</v>
      </c>
      <c r="D609" s="3" t="s">
        <v>3</v>
      </c>
      <c r="E609" s="3">
        <v>1345</v>
      </c>
      <c r="G609" s="19"/>
    </row>
    <row r="610" spans="1:7" ht="12.75" x14ac:dyDescent="0.2">
      <c r="A610" s="3">
        <v>65</v>
      </c>
      <c r="B610" s="4" t="s">
        <v>90</v>
      </c>
      <c r="C610" s="3" t="s">
        <v>10</v>
      </c>
      <c r="D610" s="3" t="s">
        <v>132</v>
      </c>
      <c r="E610" s="3">
        <v>1074</v>
      </c>
      <c r="G610" s="19"/>
    </row>
    <row r="611" spans="1:7" ht="12.75" x14ac:dyDescent="0.2">
      <c r="A611" s="3">
        <v>65</v>
      </c>
      <c r="B611" s="4" t="s">
        <v>90</v>
      </c>
      <c r="C611" s="3" t="s">
        <v>10</v>
      </c>
      <c r="D611" s="3" t="s">
        <v>14</v>
      </c>
      <c r="E611" s="3">
        <v>378</v>
      </c>
      <c r="G611" s="19"/>
    </row>
    <row r="612" spans="1:7" ht="12.75" x14ac:dyDescent="0.2">
      <c r="A612" s="3">
        <v>65</v>
      </c>
      <c r="B612" s="4" t="s">
        <v>90</v>
      </c>
      <c r="C612" s="3" t="s">
        <v>10</v>
      </c>
      <c r="D612" s="3" t="s">
        <v>138</v>
      </c>
      <c r="E612" s="3">
        <v>9</v>
      </c>
      <c r="F612">
        <f>SUM(E609:E612)</f>
        <v>2806</v>
      </c>
      <c r="G612" s="19"/>
    </row>
    <row r="613" spans="1:7" ht="12.75" x14ac:dyDescent="0.2">
      <c r="A613" s="3">
        <v>65</v>
      </c>
      <c r="B613" s="4" t="s">
        <v>90</v>
      </c>
      <c r="C613" s="3" t="s">
        <v>13</v>
      </c>
      <c r="D613" s="3" t="s">
        <v>3</v>
      </c>
      <c r="E613" s="3">
        <v>1291</v>
      </c>
      <c r="G613" s="19"/>
    </row>
    <row r="614" spans="1:7" ht="12.75" x14ac:dyDescent="0.2">
      <c r="A614" s="3">
        <v>65</v>
      </c>
      <c r="B614" s="4" t="s">
        <v>90</v>
      </c>
      <c r="C614" s="3" t="s">
        <v>13</v>
      </c>
      <c r="D614" s="3" t="s">
        <v>132</v>
      </c>
      <c r="E614" s="3">
        <v>1104</v>
      </c>
      <c r="G614" s="19"/>
    </row>
    <row r="615" spans="1:7" ht="12.75" x14ac:dyDescent="0.2">
      <c r="A615" s="3">
        <v>65</v>
      </c>
      <c r="B615" s="4" t="s">
        <v>90</v>
      </c>
      <c r="C615" s="3" t="s">
        <v>13</v>
      </c>
      <c r="D615" s="3" t="s">
        <v>14</v>
      </c>
      <c r="E615" s="3">
        <v>404</v>
      </c>
      <c r="G615" s="19"/>
    </row>
    <row r="616" spans="1:7" ht="12.75" x14ac:dyDescent="0.2">
      <c r="A616" s="3">
        <v>65</v>
      </c>
      <c r="B616" s="4" t="s">
        <v>90</v>
      </c>
      <c r="C616" s="3" t="s">
        <v>13</v>
      </c>
      <c r="D616" s="3" t="s">
        <v>138</v>
      </c>
      <c r="E616" s="3">
        <v>7</v>
      </c>
      <c r="F616">
        <f>SUM(E613:E616)</f>
        <v>2806</v>
      </c>
      <c r="G616" s="19"/>
    </row>
    <row r="617" spans="1:7" ht="12.75" x14ac:dyDescent="0.2">
      <c r="A617" s="3">
        <v>66</v>
      </c>
      <c r="B617" s="4" t="s">
        <v>91</v>
      </c>
      <c r="C617" s="3" t="s">
        <v>15</v>
      </c>
      <c r="D617" s="3" t="s">
        <v>132</v>
      </c>
      <c r="E617" s="3">
        <v>63</v>
      </c>
      <c r="G617" s="19"/>
    </row>
    <row r="618" spans="1:7" ht="12.75" x14ac:dyDescent="0.2">
      <c r="A618" s="3">
        <v>66</v>
      </c>
      <c r="B618" s="4" t="s">
        <v>91</v>
      </c>
      <c r="C618" s="3" t="s">
        <v>15</v>
      </c>
      <c r="D618" s="3" t="s">
        <v>14</v>
      </c>
      <c r="E618" s="3">
        <v>35</v>
      </c>
      <c r="G618" s="19"/>
    </row>
    <row r="619" spans="1:7" ht="12.75" x14ac:dyDescent="0.2">
      <c r="A619" s="3">
        <v>66</v>
      </c>
      <c r="B619" s="4" t="s">
        <v>91</v>
      </c>
      <c r="C619" s="3" t="s">
        <v>15</v>
      </c>
      <c r="D619" s="3" t="s">
        <v>138</v>
      </c>
      <c r="E619" s="3">
        <v>1</v>
      </c>
      <c r="F619">
        <f>SUM(E617:E619)</f>
        <v>99</v>
      </c>
      <c r="G619" s="19"/>
    </row>
    <row r="620" spans="1:7" ht="12.75" x14ac:dyDescent="0.2">
      <c r="A620" s="3">
        <v>66</v>
      </c>
      <c r="B620" s="4" t="s">
        <v>91</v>
      </c>
      <c r="C620" s="3" t="s">
        <v>17</v>
      </c>
      <c r="D620" s="3" t="s">
        <v>132</v>
      </c>
      <c r="E620" s="3">
        <v>62</v>
      </c>
      <c r="G620" s="19"/>
    </row>
    <row r="621" spans="1:7" ht="12.75" x14ac:dyDescent="0.2">
      <c r="A621" s="3">
        <v>66</v>
      </c>
      <c r="B621" s="4" t="s">
        <v>91</v>
      </c>
      <c r="C621" s="3" t="s">
        <v>17</v>
      </c>
      <c r="D621" s="3" t="s">
        <v>14</v>
      </c>
      <c r="E621" s="3">
        <v>36</v>
      </c>
      <c r="G621" s="19"/>
    </row>
    <row r="622" spans="1:7" ht="12.75" x14ac:dyDescent="0.2">
      <c r="A622" s="3">
        <v>66</v>
      </c>
      <c r="B622" s="4" t="s">
        <v>91</v>
      </c>
      <c r="C622" s="3" t="s">
        <v>17</v>
      </c>
      <c r="D622" s="3" t="s">
        <v>138</v>
      </c>
      <c r="E622" s="3">
        <v>1</v>
      </c>
      <c r="F622" s="3">
        <f>SUM(E620:E622)</f>
        <v>99</v>
      </c>
      <c r="G622" s="19"/>
    </row>
    <row r="623" spans="1:7" ht="12.75" x14ac:dyDescent="0.2">
      <c r="A623" s="3">
        <v>68</v>
      </c>
      <c r="B623" s="4" t="s">
        <v>92</v>
      </c>
      <c r="C623" s="3" t="s">
        <v>2</v>
      </c>
      <c r="D623" s="3" t="s">
        <v>3</v>
      </c>
      <c r="E623" s="3">
        <v>238</v>
      </c>
      <c r="G623" s="19"/>
    </row>
    <row r="624" spans="1:7" ht="12.75" x14ac:dyDescent="0.2">
      <c r="A624" s="3">
        <v>68</v>
      </c>
      <c r="B624" s="4" t="s">
        <v>92</v>
      </c>
      <c r="C624" s="3" t="s">
        <v>2</v>
      </c>
      <c r="D624" s="3" t="s">
        <v>132</v>
      </c>
      <c r="E624" s="3">
        <v>255</v>
      </c>
      <c r="G624" s="19"/>
    </row>
    <row r="625" spans="1:7" ht="12.75" x14ac:dyDescent="0.2">
      <c r="A625" s="3">
        <v>68</v>
      </c>
      <c r="B625" s="4" t="s">
        <v>92</v>
      </c>
      <c r="C625" s="3" t="s">
        <v>2</v>
      </c>
      <c r="D625" s="3" t="s">
        <v>14</v>
      </c>
      <c r="E625" s="3">
        <v>17</v>
      </c>
      <c r="G625" s="19"/>
    </row>
    <row r="626" spans="1:7" ht="12.75" x14ac:dyDescent="0.2">
      <c r="A626" s="3">
        <v>68</v>
      </c>
      <c r="B626" s="4" t="s">
        <v>92</v>
      </c>
      <c r="C626" s="3" t="s">
        <v>2</v>
      </c>
      <c r="D626" s="3" t="s">
        <v>138</v>
      </c>
      <c r="E626" s="3">
        <v>2</v>
      </c>
      <c r="F626">
        <f>SUM(E623:E626)</f>
        <v>512</v>
      </c>
      <c r="G626" s="19"/>
    </row>
    <row r="627" spans="1:7" ht="12.75" x14ac:dyDescent="0.2">
      <c r="A627" s="3">
        <v>68</v>
      </c>
      <c r="B627" s="4" t="s">
        <v>92</v>
      </c>
      <c r="C627" s="3" t="s">
        <v>10</v>
      </c>
      <c r="D627" s="3" t="s">
        <v>3</v>
      </c>
      <c r="E627" s="3">
        <v>212</v>
      </c>
      <c r="G627" s="19"/>
    </row>
    <row r="628" spans="1:7" ht="12.75" x14ac:dyDescent="0.2">
      <c r="A628" s="3">
        <v>68</v>
      </c>
      <c r="B628" s="4" t="s">
        <v>92</v>
      </c>
      <c r="C628" s="3" t="s">
        <v>10</v>
      </c>
      <c r="D628" s="3" t="s">
        <v>132</v>
      </c>
      <c r="E628" s="3">
        <v>250</v>
      </c>
      <c r="G628" s="19"/>
    </row>
    <row r="629" spans="1:7" ht="12.75" x14ac:dyDescent="0.2">
      <c r="A629" s="3">
        <v>68</v>
      </c>
      <c r="B629" s="4" t="s">
        <v>92</v>
      </c>
      <c r="C629" s="3" t="s">
        <v>10</v>
      </c>
      <c r="D629" s="3" t="s">
        <v>14</v>
      </c>
      <c r="E629" s="3">
        <v>48</v>
      </c>
      <c r="G629" s="19"/>
    </row>
    <row r="630" spans="1:7" ht="12.75" x14ac:dyDescent="0.2">
      <c r="A630" s="3">
        <v>68</v>
      </c>
      <c r="B630" s="4" t="s">
        <v>92</v>
      </c>
      <c r="C630" s="3" t="s">
        <v>10</v>
      </c>
      <c r="D630" s="3" t="s">
        <v>138</v>
      </c>
      <c r="E630" s="3">
        <v>2</v>
      </c>
      <c r="F630">
        <f>SUM(E627:E630)</f>
        <v>512</v>
      </c>
      <c r="G630" s="19"/>
    </row>
    <row r="631" spans="1:7" ht="12.75" x14ac:dyDescent="0.2">
      <c r="A631" s="3">
        <v>68</v>
      </c>
      <c r="B631" s="4" t="s">
        <v>92</v>
      </c>
      <c r="C631" s="3" t="s">
        <v>13</v>
      </c>
      <c r="D631" s="3" t="s">
        <v>3</v>
      </c>
      <c r="E631" s="3">
        <v>227</v>
      </c>
      <c r="G631" s="19"/>
    </row>
    <row r="632" spans="1:7" ht="12.75" x14ac:dyDescent="0.2">
      <c r="A632" s="3">
        <v>68</v>
      </c>
      <c r="B632" s="4" t="s">
        <v>92</v>
      </c>
      <c r="C632" s="3" t="s">
        <v>13</v>
      </c>
      <c r="D632" s="3" t="s">
        <v>132</v>
      </c>
      <c r="E632" s="3">
        <v>251</v>
      </c>
      <c r="G632" s="19"/>
    </row>
    <row r="633" spans="1:7" ht="12.75" x14ac:dyDescent="0.2">
      <c r="A633" s="3">
        <v>68</v>
      </c>
      <c r="B633" s="4" t="s">
        <v>92</v>
      </c>
      <c r="C633" s="3" t="s">
        <v>13</v>
      </c>
      <c r="D633" s="3" t="s">
        <v>14</v>
      </c>
      <c r="E633" s="3">
        <v>31</v>
      </c>
      <c r="G633" s="19"/>
    </row>
    <row r="634" spans="1:7" ht="12.75" x14ac:dyDescent="0.2">
      <c r="A634" s="3">
        <v>68</v>
      </c>
      <c r="B634" s="4" t="s">
        <v>92</v>
      </c>
      <c r="C634" s="3" t="s">
        <v>13</v>
      </c>
      <c r="D634" s="3" t="s">
        <v>138</v>
      </c>
      <c r="E634" s="3">
        <v>3</v>
      </c>
      <c r="F634">
        <f>SUM(E631:E634)</f>
        <v>512</v>
      </c>
      <c r="G634" s="19"/>
    </row>
    <row r="635" spans="1:7" ht="12.75" x14ac:dyDescent="0.2">
      <c r="A635" s="3">
        <v>69</v>
      </c>
      <c r="B635" s="4" t="s">
        <v>93</v>
      </c>
      <c r="C635" s="3" t="s">
        <v>2</v>
      </c>
      <c r="D635" s="3" t="s">
        <v>3</v>
      </c>
      <c r="E635" s="3">
        <v>1047</v>
      </c>
      <c r="G635" s="19"/>
    </row>
    <row r="636" spans="1:7" ht="12.75" x14ac:dyDescent="0.2">
      <c r="A636" s="3">
        <v>69</v>
      </c>
      <c r="B636" s="4" t="s">
        <v>93</v>
      </c>
      <c r="C636" s="3" t="s">
        <v>2</v>
      </c>
      <c r="D636" s="3" t="s">
        <v>132</v>
      </c>
      <c r="E636" s="3">
        <v>513</v>
      </c>
      <c r="G636" s="19"/>
    </row>
    <row r="637" spans="1:7" ht="12.75" x14ac:dyDescent="0.2">
      <c r="A637" s="3">
        <v>69</v>
      </c>
      <c r="B637" s="4" t="s">
        <v>93</v>
      </c>
      <c r="C637" s="3" t="s">
        <v>2</v>
      </c>
      <c r="D637" s="3" t="s">
        <v>14</v>
      </c>
      <c r="E637" s="3">
        <v>145</v>
      </c>
      <c r="G637" s="19"/>
    </row>
    <row r="638" spans="1:7" ht="12.75" x14ac:dyDescent="0.2">
      <c r="A638" s="3">
        <v>69</v>
      </c>
      <c r="B638" s="4" t="s">
        <v>93</v>
      </c>
      <c r="C638" s="3" t="s">
        <v>2</v>
      </c>
      <c r="D638" s="3" t="s">
        <v>138</v>
      </c>
      <c r="E638" s="3">
        <v>1</v>
      </c>
      <c r="F638">
        <f>SUM(E635:E638)</f>
        <v>1706</v>
      </c>
      <c r="G638" s="19"/>
    </row>
    <row r="639" spans="1:7" ht="12.75" x14ac:dyDescent="0.2">
      <c r="A639" s="3">
        <v>69</v>
      </c>
      <c r="B639" s="4" t="s">
        <v>93</v>
      </c>
      <c r="C639" s="3" t="s">
        <v>10</v>
      </c>
      <c r="D639" s="3" t="s">
        <v>3</v>
      </c>
      <c r="E639" s="3">
        <v>1029</v>
      </c>
      <c r="G639" s="19"/>
    </row>
    <row r="640" spans="1:7" ht="12.75" x14ac:dyDescent="0.2">
      <c r="A640" s="3">
        <v>69</v>
      </c>
      <c r="B640" s="4" t="s">
        <v>93</v>
      </c>
      <c r="C640" s="3" t="s">
        <v>10</v>
      </c>
      <c r="D640" s="3" t="s">
        <v>132</v>
      </c>
      <c r="E640" s="3">
        <v>535</v>
      </c>
      <c r="G640" s="19"/>
    </row>
    <row r="641" spans="1:7" ht="12.75" x14ac:dyDescent="0.2">
      <c r="A641" s="3">
        <v>69</v>
      </c>
      <c r="B641" s="4" t="s">
        <v>93</v>
      </c>
      <c r="C641" s="3" t="s">
        <v>10</v>
      </c>
      <c r="D641" s="3" t="s">
        <v>14</v>
      </c>
      <c r="E641" s="3">
        <v>140</v>
      </c>
      <c r="G641" s="19"/>
    </row>
    <row r="642" spans="1:7" ht="12.75" x14ac:dyDescent="0.2">
      <c r="A642" s="3">
        <v>69</v>
      </c>
      <c r="B642" s="4" t="s">
        <v>93</v>
      </c>
      <c r="C642" s="3" t="s">
        <v>10</v>
      </c>
      <c r="D642" s="3" t="s">
        <v>138</v>
      </c>
      <c r="E642" s="3">
        <v>2</v>
      </c>
      <c r="F642">
        <f>SUM(E639:E642)</f>
        <v>1706</v>
      </c>
      <c r="G642" s="19"/>
    </row>
    <row r="643" spans="1:7" ht="12.75" x14ac:dyDescent="0.2">
      <c r="A643" s="3">
        <v>69</v>
      </c>
      <c r="B643" s="4" t="s">
        <v>93</v>
      </c>
      <c r="C643" s="3" t="s">
        <v>13</v>
      </c>
      <c r="D643" s="3" t="s">
        <v>3</v>
      </c>
      <c r="E643" s="3">
        <v>934</v>
      </c>
      <c r="G643" s="19"/>
    </row>
    <row r="644" spans="1:7" ht="12.75" x14ac:dyDescent="0.2">
      <c r="A644" s="3">
        <v>69</v>
      </c>
      <c r="B644" s="4" t="s">
        <v>93</v>
      </c>
      <c r="C644" s="3" t="s">
        <v>13</v>
      </c>
      <c r="D644" s="3" t="s">
        <v>132</v>
      </c>
      <c r="E644" s="3">
        <v>628</v>
      </c>
      <c r="G644" s="19"/>
    </row>
    <row r="645" spans="1:7" ht="12.75" x14ac:dyDescent="0.2">
      <c r="A645" s="3">
        <v>69</v>
      </c>
      <c r="B645" s="4" t="s">
        <v>93</v>
      </c>
      <c r="C645" s="3" t="s">
        <v>13</v>
      </c>
      <c r="D645" s="3" t="s">
        <v>14</v>
      </c>
      <c r="E645" s="3">
        <v>142</v>
      </c>
      <c r="G645" s="19"/>
    </row>
    <row r="646" spans="1:7" ht="12.75" x14ac:dyDescent="0.2">
      <c r="A646" s="3">
        <v>69</v>
      </c>
      <c r="B646" s="4" t="s">
        <v>93</v>
      </c>
      <c r="C646" s="3" t="s">
        <v>13</v>
      </c>
      <c r="D646" s="3" t="s">
        <v>138</v>
      </c>
      <c r="E646" s="3">
        <v>2</v>
      </c>
      <c r="F646">
        <f>SUM(E643:E646)</f>
        <v>1706</v>
      </c>
      <c r="G646" s="19"/>
    </row>
    <row r="647" spans="1:7" ht="12.75" x14ac:dyDescent="0.2">
      <c r="A647" s="3">
        <v>71</v>
      </c>
      <c r="B647" s="4" t="s">
        <v>94</v>
      </c>
      <c r="C647" s="3" t="s">
        <v>2</v>
      </c>
      <c r="D647" s="3" t="s">
        <v>3</v>
      </c>
      <c r="E647" s="3">
        <v>662</v>
      </c>
      <c r="G647" s="19"/>
    </row>
    <row r="648" spans="1:7" ht="12.75" x14ac:dyDescent="0.2">
      <c r="A648" s="3">
        <v>71</v>
      </c>
      <c r="B648" s="4" t="s">
        <v>94</v>
      </c>
      <c r="C648" s="3" t="s">
        <v>2</v>
      </c>
      <c r="D648" s="3" t="s">
        <v>132</v>
      </c>
      <c r="E648" s="3">
        <v>405</v>
      </c>
      <c r="G648" s="19"/>
    </row>
    <row r="649" spans="1:7" ht="12.75" x14ac:dyDescent="0.2">
      <c r="A649" s="3">
        <v>71</v>
      </c>
      <c r="B649" s="4" t="s">
        <v>94</v>
      </c>
      <c r="C649" s="3" t="s">
        <v>2</v>
      </c>
      <c r="D649" s="3" t="s">
        <v>14</v>
      </c>
      <c r="E649" s="3">
        <v>25</v>
      </c>
      <c r="G649" s="19"/>
    </row>
    <row r="650" spans="1:7" ht="12.75" x14ac:dyDescent="0.2">
      <c r="A650" s="3">
        <v>71</v>
      </c>
      <c r="B650" s="4" t="s">
        <v>94</v>
      </c>
      <c r="C650" s="3" t="s">
        <v>2</v>
      </c>
      <c r="D650" s="3" t="s">
        <v>138</v>
      </c>
      <c r="E650" s="3">
        <v>2</v>
      </c>
      <c r="F650">
        <f>SUM(E647:E650)</f>
        <v>1094</v>
      </c>
      <c r="G650" s="19"/>
    </row>
    <row r="651" spans="1:7" ht="12.75" x14ac:dyDescent="0.2">
      <c r="A651" s="3">
        <v>71</v>
      </c>
      <c r="B651" s="4" t="s">
        <v>94</v>
      </c>
      <c r="C651" s="3" t="s">
        <v>10</v>
      </c>
      <c r="D651" s="3" t="s">
        <v>3</v>
      </c>
      <c r="E651" s="3">
        <v>652</v>
      </c>
      <c r="G651" s="19"/>
    </row>
    <row r="652" spans="1:7" ht="12.75" x14ac:dyDescent="0.2">
      <c r="A652" s="3">
        <v>71</v>
      </c>
      <c r="B652" s="4" t="s">
        <v>94</v>
      </c>
      <c r="C652" s="3" t="s">
        <v>10</v>
      </c>
      <c r="D652" s="3" t="s">
        <v>132</v>
      </c>
      <c r="E652" s="3">
        <v>413</v>
      </c>
      <c r="G652" s="19"/>
    </row>
    <row r="653" spans="1:7" ht="12.75" x14ac:dyDescent="0.2">
      <c r="A653" s="3">
        <v>71</v>
      </c>
      <c r="B653" s="4" t="s">
        <v>94</v>
      </c>
      <c r="C653" s="3" t="s">
        <v>10</v>
      </c>
      <c r="D653" s="3" t="s">
        <v>14</v>
      </c>
      <c r="E653" s="3">
        <v>27</v>
      </c>
      <c r="G653" s="19"/>
    </row>
    <row r="654" spans="1:7" ht="12.75" x14ac:dyDescent="0.2">
      <c r="A654" s="3">
        <v>71</v>
      </c>
      <c r="B654" s="4" t="s">
        <v>94</v>
      </c>
      <c r="C654" s="3" t="s">
        <v>10</v>
      </c>
      <c r="D654" s="3" t="s">
        <v>138</v>
      </c>
      <c r="E654" s="3">
        <v>2</v>
      </c>
      <c r="F654">
        <f>SUM(E651:E654)</f>
        <v>1094</v>
      </c>
      <c r="G654" s="19"/>
    </row>
    <row r="655" spans="1:7" ht="12.75" x14ac:dyDescent="0.2">
      <c r="A655" s="3">
        <v>71</v>
      </c>
      <c r="B655" s="4" t="s">
        <v>94</v>
      </c>
      <c r="C655" s="3" t="s">
        <v>13</v>
      </c>
      <c r="D655" s="3" t="s">
        <v>3</v>
      </c>
      <c r="E655" s="3">
        <v>645</v>
      </c>
      <c r="G655" s="19"/>
    </row>
    <row r="656" spans="1:7" ht="12.75" x14ac:dyDescent="0.2">
      <c r="A656" s="3">
        <v>71</v>
      </c>
      <c r="B656" s="4" t="s">
        <v>94</v>
      </c>
      <c r="C656" s="3" t="s">
        <v>13</v>
      </c>
      <c r="D656" s="3" t="s">
        <v>132</v>
      </c>
      <c r="E656" s="3">
        <v>421</v>
      </c>
      <c r="G656" s="19"/>
    </row>
    <row r="657" spans="1:7" ht="12.75" x14ac:dyDescent="0.2">
      <c r="A657" s="3">
        <v>71</v>
      </c>
      <c r="B657" s="4" t="s">
        <v>94</v>
      </c>
      <c r="C657" s="3" t="s">
        <v>13</v>
      </c>
      <c r="D657" s="3" t="s">
        <v>14</v>
      </c>
      <c r="E657" s="3">
        <v>26</v>
      </c>
      <c r="G657" s="19"/>
    </row>
    <row r="658" spans="1:7" ht="12.75" x14ac:dyDescent="0.2">
      <c r="A658" s="3">
        <v>71</v>
      </c>
      <c r="B658" s="4" t="s">
        <v>94</v>
      </c>
      <c r="C658" s="3" t="s">
        <v>13</v>
      </c>
      <c r="D658" s="3" t="s">
        <v>138</v>
      </c>
      <c r="E658" s="3">
        <v>2</v>
      </c>
      <c r="F658">
        <f>SUM(E655:E658)</f>
        <v>1094</v>
      </c>
      <c r="G658" s="19"/>
    </row>
    <row r="659" spans="1:7" ht="12.75" x14ac:dyDescent="0.2">
      <c r="A659" s="3">
        <v>72</v>
      </c>
      <c r="B659" s="4" t="s">
        <v>95</v>
      </c>
      <c r="C659" s="3" t="s">
        <v>2</v>
      </c>
      <c r="D659" s="3" t="s">
        <v>3</v>
      </c>
      <c r="E659" s="3">
        <v>527</v>
      </c>
      <c r="G659" s="19"/>
    </row>
    <row r="660" spans="1:7" ht="12.75" x14ac:dyDescent="0.2">
      <c r="A660" s="3">
        <v>72</v>
      </c>
      <c r="B660" s="4" t="s">
        <v>95</v>
      </c>
      <c r="C660" s="3" t="s">
        <v>2</v>
      </c>
      <c r="D660" s="3" t="s">
        <v>132</v>
      </c>
      <c r="E660" s="3">
        <v>1058</v>
      </c>
      <c r="G660" s="19"/>
    </row>
    <row r="661" spans="1:7" ht="12.75" x14ac:dyDescent="0.2">
      <c r="A661" s="3">
        <v>72</v>
      </c>
      <c r="B661" s="4" t="s">
        <v>95</v>
      </c>
      <c r="C661" s="3" t="s">
        <v>2</v>
      </c>
      <c r="D661" s="3" t="s">
        <v>14</v>
      </c>
      <c r="E661" s="3">
        <v>148</v>
      </c>
      <c r="F661">
        <f>SUM(E659:E661)</f>
        <v>1733</v>
      </c>
      <c r="G661" s="19"/>
    </row>
    <row r="662" spans="1:7" ht="12.75" x14ac:dyDescent="0.2">
      <c r="A662" s="3">
        <v>72</v>
      </c>
      <c r="B662" s="4" t="s">
        <v>95</v>
      </c>
      <c r="C662" s="3" t="s">
        <v>10</v>
      </c>
      <c r="D662" s="3" t="s">
        <v>3</v>
      </c>
      <c r="E662" s="3">
        <v>486</v>
      </c>
      <c r="G662" s="19"/>
    </row>
    <row r="663" spans="1:7" ht="12.75" x14ac:dyDescent="0.2">
      <c r="A663" s="3">
        <v>72</v>
      </c>
      <c r="B663" s="4" t="s">
        <v>95</v>
      </c>
      <c r="C663" s="3" t="s">
        <v>10</v>
      </c>
      <c r="D663" s="3" t="s">
        <v>149</v>
      </c>
      <c r="E663" s="3">
        <v>95</v>
      </c>
      <c r="G663" s="19"/>
    </row>
    <row r="664" spans="1:7" ht="12.75" x14ac:dyDescent="0.2">
      <c r="A664" s="3">
        <v>72</v>
      </c>
      <c r="B664" s="4" t="s">
        <v>95</v>
      </c>
      <c r="C664" s="3" t="s">
        <v>10</v>
      </c>
      <c r="D664" s="3" t="s">
        <v>132</v>
      </c>
      <c r="E664" s="3">
        <v>973</v>
      </c>
      <c r="G664" s="19"/>
    </row>
    <row r="665" spans="1:7" ht="12.75" x14ac:dyDescent="0.2">
      <c r="A665" s="3">
        <v>72</v>
      </c>
      <c r="B665" s="4" t="s">
        <v>95</v>
      </c>
      <c r="C665" s="3" t="s">
        <v>10</v>
      </c>
      <c r="D665" s="3" t="s">
        <v>14</v>
      </c>
      <c r="E665" s="3">
        <v>170</v>
      </c>
      <c r="G665" s="19"/>
    </row>
    <row r="666" spans="1:7" ht="12.75" x14ac:dyDescent="0.2">
      <c r="A666" s="3">
        <v>72</v>
      </c>
      <c r="B666" s="4" t="s">
        <v>95</v>
      </c>
      <c r="C666" s="3" t="s">
        <v>10</v>
      </c>
      <c r="D666" s="3" t="s">
        <v>138</v>
      </c>
      <c r="E666" s="3">
        <v>9</v>
      </c>
      <c r="F666">
        <f>SUM(E662:E666)</f>
        <v>1733</v>
      </c>
      <c r="G666" s="19"/>
    </row>
    <row r="667" spans="1:7" ht="12.75" x14ac:dyDescent="0.2">
      <c r="A667" s="3">
        <v>72</v>
      </c>
      <c r="B667" s="4" t="s">
        <v>95</v>
      </c>
      <c r="C667" s="3" t="s">
        <v>13</v>
      </c>
      <c r="D667" s="3" t="s">
        <v>3</v>
      </c>
      <c r="E667" s="3">
        <v>464</v>
      </c>
      <c r="G667" s="19"/>
    </row>
    <row r="668" spans="1:7" ht="12.75" x14ac:dyDescent="0.2">
      <c r="A668" s="3">
        <v>72</v>
      </c>
      <c r="B668" s="4" t="s">
        <v>95</v>
      </c>
      <c r="C668" s="3" t="s">
        <v>13</v>
      </c>
      <c r="D668" s="3" t="s">
        <v>132</v>
      </c>
      <c r="E668" s="3">
        <v>1083</v>
      </c>
      <c r="G668" s="19"/>
    </row>
    <row r="669" spans="1:7" ht="12.75" x14ac:dyDescent="0.2">
      <c r="A669" s="3">
        <v>72</v>
      </c>
      <c r="B669" s="4" t="s">
        <v>95</v>
      </c>
      <c r="C669" s="3" t="s">
        <v>13</v>
      </c>
      <c r="D669" s="3" t="s">
        <v>14</v>
      </c>
      <c r="E669" s="3">
        <v>184</v>
      </c>
      <c r="G669" s="19"/>
    </row>
    <row r="670" spans="1:7" ht="12.75" x14ac:dyDescent="0.2">
      <c r="A670" s="3">
        <v>72</v>
      </c>
      <c r="B670" s="4" t="s">
        <v>95</v>
      </c>
      <c r="C670" s="3" t="s">
        <v>13</v>
      </c>
      <c r="D670" s="3" t="s">
        <v>138</v>
      </c>
      <c r="E670" s="3">
        <v>2</v>
      </c>
      <c r="F670">
        <f>SUM(E667:E670)</f>
        <v>1733</v>
      </c>
      <c r="G670" s="19"/>
    </row>
    <row r="671" spans="1:7" ht="12.75" x14ac:dyDescent="0.2">
      <c r="A671" s="3">
        <v>73</v>
      </c>
      <c r="B671" s="4" t="s">
        <v>96</v>
      </c>
      <c r="C671" s="3" t="s">
        <v>15</v>
      </c>
      <c r="D671" s="3" t="s">
        <v>3</v>
      </c>
      <c r="E671" s="3">
        <v>99</v>
      </c>
      <c r="G671" s="19"/>
    </row>
    <row r="672" spans="1:7" ht="12.75" x14ac:dyDescent="0.2">
      <c r="A672" s="3">
        <v>73</v>
      </c>
      <c r="B672" s="4" t="s">
        <v>96</v>
      </c>
      <c r="C672" s="3" t="s">
        <v>15</v>
      </c>
      <c r="D672" s="3" t="s">
        <v>31</v>
      </c>
      <c r="E672" s="3">
        <v>90</v>
      </c>
      <c r="F672">
        <f>SUM(E671:E672)</f>
        <v>189</v>
      </c>
      <c r="G672" s="19"/>
    </row>
    <row r="673" spans="1:7" ht="12.75" x14ac:dyDescent="0.2">
      <c r="A673" s="3">
        <v>73</v>
      </c>
      <c r="B673" s="4" t="s">
        <v>96</v>
      </c>
      <c r="C673" s="3" t="s">
        <v>17</v>
      </c>
      <c r="D673" s="3" t="s">
        <v>3</v>
      </c>
      <c r="E673" s="3">
        <v>95</v>
      </c>
      <c r="G673" s="19"/>
    </row>
    <row r="674" spans="1:7" ht="12.75" x14ac:dyDescent="0.2">
      <c r="A674" s="3">
        <v>73</v>
      </c>
      <c r="B674" s="4" t="s">
        <v>96</v>
      </c>
      <c r="C674" s="3" t="s">
        <v>17</v>
      </c>
      <c r="D674" s="3" t="s">
        <v>31</v>
      </c>
      <c r="E674" s="3">
        <v>94</v>
      </c>
      <c r="F674">
        <f>SUM(E673:E674)</f>
        <v>189</v>
      </c>
      <c r="G674" s="19"/>
    </row>
    <row r="675" spans="1:7" ht="12.75" x14ac:dyDescent="0.2">
      <c r="A675" s="3">
        <v>74</v>
      </c>
      <c r="B675" s="4" t="s">
        <v>97</v>
      </c>
      <c r="C675" s="3" t="s">
        <v>15</v>
      </c>
      <c r="D675" s="3" t="s">
        <v>3</v>
      </c>
      <c r="E675" s="3">
        <v>173</v>
      </c>
      <c r="G675" s="19"/>
    </row>
    <row r="676" spans="1:7" ht="12.75" x14ac:dyDescent="0.2">
      <c r="A676" s="3">
        <v>74</v>
      </c>
      <c r="B676" s="4" t="s">
        <v>97</v>
      </c>
      <c r="C676" s="3" t="s">
        <v>15</v>
      </c>
      <c r="D676" s="3" t="s">
        <v>142</v>
      </c>
      <c r="E676" s="3">
        <v>203</v>
      </c>
      <c r="G676" s="19"/>
    </row>
    <row r="677" spans="1:7" ht="12.75" x14ac:dyDescent="0.2">
      <c r="A677" s="3">
        <v>74</v>
      </c>
      <c r="B677" s="4" t="s">
        <v>97</v>
      </c>
      <c r="C677" s="3" t="s">
        <v>15</v>
      </c>
      <c r="D677" s="3" t="s">
        <v>14</v>
      </c>
      <c r="E677" s="3">
        <v>5</v>
      </c>
      <c r="F677">
        <f>SUM(E675:E677)</f>
        <v>381</v>
      </c>
      <c r="G677" s="19"/>
    </row>
    <row r="678" spans="1:7" ht="12.75" x14ac:dyDescent="0.2">
      <c r="A678" s="3">
        <v>74</v>
      </c>
      <c r="B678" s="4" t="s">
        <v>97</v>
      </c>
      <c r="C678" s="3" t="s">
        <v>17</v>
      </c>
      <c r="D678" s="3" t="s">
        <v>3</v>
      </c>
      <c r="E678" s="3">
        <v>173</v>
      </c>
      <c r="G678" s="19"/>
    </row>
    <row r="679" spans="1:7" ht="12.75" x14ac:dyDescent="0.2">
      <c r="A679" s="3">
        <v>74</v>
      </c>
      <c r="B679" s="4" t="s">
        <v>97</v>
      </c>
      <c r="C679" s="3" t="s">
        <v>17</v>
      </c>
      <c r="D679" s="3" t="s">
        <v>142</v>
      </c>
      <c r="E679" s="3">
        <v>203</v>
      </c>
      <c r="G679" s="19"/>
    </row>
    <row r="680" spans="1:7" ht="12.75" x14ac:dyDescent="0.2">
      <c r="A680" s="3">
        <v>74</v>
      </c>
      <c r="B680" s="4" t="s">
        <v>97</v>
      </c>
      <c r="C680" s="3" t="s">
        <v>17</v>
      </c>
      <c r="D680" s="3" t="s">
        <v>14</v>
      </c>
      <c r="E680" s="3">
        <v>5</v>
      </c>
      <c r="F680">
        <f>SUM(E678:E680)</f>
        <v>381</v>
      </c>
      <c r="G680" s="19"/>
    </row>
    <row r="681" spans="1:7" ht="12.75" x14ac:dyDescent="0.2">
      <c r="A681" s="3">
        <v>75</v>
      </c>
      <c r="B681" s="4" t="s">
        <v>98</v>
      </c>
      <c r="C681" s="3" t="s">
        <v>2</v>
      </c>
      <c r="D681" s="3" t="s">
        <v>3</v>
      </c>
      <c r="E681" s="3">
        <v>1389</v>
      </c>
      <c r="G681" s="19"/>
    </row>
    <row r="682" spans="1:7" ht="12.75" x14ac:dyDescent="0.2">
      <c r="A682" s="3">
        <v>75</v>
      </c>
      <c r="B682" s="4" t="s">
        <v>98</v>
      </c>
      <c r="C682" s="3" t="s">
        <v>2</v>
      </c>
      <c r="D682" s="3" t="s">
        <v>132</v>
      </c>
      <c r="E682" s="3">
        <v>1001</v>
      </c>
      <c r="G682" s="19"/>
    </row>
    <row r="683" spans="1:7" ht="12.75" x14ac:dyDescent="0.2">
      <c r="A683" s="3">
        <v>75</v>
      </c>
      <c r="B683" s="4" t="s">
        <v>98</v>
      </c>
      <c r="C683" s="3" t="s">
        <v>2</v>
      </c>
      <c r="D683" s="3" t="s">
        <v>14</v>
      </c>
      <c r="E683" s="3">
        <v>267</v>
      </c>
      <c r="G683" s="19"/>
    </row>
    <row r="684" spans="1:7" ht="12.75" x14ac:dyDescent="0.2">
      <c r="A684" s="3">
        <v>75</v>
      </c>
      <c r="B684" s="4" t="s">
        <v>98</v>
      </c>
      <c r="C684" s="3" t="s">
        <v>2</v>
      </c>
      <c r="D684" s="3" t="s">
        <v>138</v>
      </c>
      <c r="E684" s="3">
        <v>14</v>
      </c>
      <c r="F684">
        <f>SUM(E681:E684)</f>
        <v>2671</v>
      </c>
      <c r="G684" s="19"/>
    </row>
    <row r="685" spans="1:7" ht="12.75" x14ac:dyDescent="0.2">
      <c r="A685" s="3">
        <v>75</v>
      </c>
      <c r="B685" s="4" t="s">
        <v>98</v>
      </c>
      <c r="C685" s="3" t="s">
        <v>10</v>
      </c>
      <c r="D685" s="3" t="s">
        <v>3</v>
      </c>
      <c r="E685" s="3">
        <v>1254</v>
      </c>
      <c r="G685" s="19"/>
    </row>
    <row r="686" spans="1:7" ht="12.75" x14ac:dyDescent="0.2">
      <c r="A686" s="3">
        <v>75</v>
      </c>
      <c r="B686" s="4" t="s">
        <v>98</v>
      </c>
      <c r="C686" s="3" t="s">
        <v>10</v>
      </c>
      <c r="D686" s="3" t="s">
        <v>132</v>
      </c>
      <c r="E686" s="3">
        <v>1128</v>
      </c>
      <c r="G686" s="19"/>
    </row>
    <row r="687" spans="1:7" ht="12.75" x14ac:dyDescent="0.2">
      <c r="A687" s="3">
        <v>75</v>
      </c>
      <c r="B687" s="4" t="s">
        <v>98</v>
      </c>
      <c r="C687" s="3" t="s">
        <v>10</v>
      </c>
      <c r="D687" s="3" t="s">
        <v>14</v>
      </c>
      <c r="E687" s="3">
        <v>277</v>
      </c>
      <c r="G687" s="19"/>
    </row>
    <row r="688" spans="1:7" ht="12.75" x14ac:dyDescent="0.2">
      <c r="A688" s="3">
        <v>75</v>
      </c>
      <c r="B688" s="4" t="s">
        <v>98</v>
      </c>
      <c r="C688" s="3" t="s">
        <v>10</v>
      </c>
      <c r="D688" s="3" t="s">
        <v>138</v>
      </c>
      <c r="E688" s="3">
        <v>12</v>
      </c>
      <c r="F688">
        <f>SUM(E685:E688)</f>
        <v>2671</v>
      </c>
      <c r="G688" s="19"/>
    </row>
    <row r="689" spans="1:7" ht="12.75" x14ac:dyDescent="0.2">
      <c r="A689" s="3">
        <v>75</v>
      </c>
      <c r="B689" s="4" t="s">
        <v>98</v>
      </c>
      <c r="C689" s="3" t="s">
        <v>13</v>
      </c>
      <c r="D689" s="3" t="s">
        <v>3</v>
      </c>
      <c r="E689" s="3">
        <v>1232</v>
      </c>
      <c r="G689" s="19"/>
    </row>
    <row r="690" spans="1:7" ht="12.75" x14ac:dyDescent="0.2">
      <c r="A690" s="3">
        <v>75</v>
      </c>
      <c r="B690" s="4" t="s">
        <v>98</v>
      </c>
      <c r="C690" s="3" t="s">
        <v>13</v>
      </c>
      <c r="D690" s="3" t="s">
        <v>132</v>
      </c>
      <c r="E690" s="3">
        <v>1139</v>
      </c>
      <c r="G690" s="19"/>
    </row>
    <row r="691" spans="1:7" ht="12.75" x14ac:dyDescent="0.2">
      <c r="A691" s="3">
        <v>75</v>
      </c>
      <c r="B691" s="4" t="s">
        <v>98</v>
      </c>
      <c r="C691" s="3" t="s">
        <v>13</v>
      </c>
      <c r="D691" s="3" t="s">
        <v>14</v>
      </c>
      <c r="E691" s="3">
        <v>286</v>
      </c>
      <c r="G691" s="19"/>
    </row>
    <row r="692" spans="1:7" ht="12.75" x14ac:dyDescent="0.2">
      <c r="A692" s="3">
        <v>75</v>
      </c>
      <c r="B692" s="4" t="s">
        <v>98</v>
      </c>
      <c r="C692" s="3" t="s">
        <v>13</v>
      </c>
      <c r="D692" s="3" t="s">
        <v>138</v>
      </c>
      <c r="E692" s="3">
        <v>14</v>
      </c>
      <c r="F692">
        <f>SUM(E689:E692)</f>
        <v>2671</v>
      </c>
      <c r="G692" s="19"/>
    </row>
    <row r="693" spans="1:7" ht="12.75" x14ac:dyDescent="0.2">
      <c r="A693" s="3">
        <v>76</v>
      </c>
      <c r="B693" s="4" t="s">
        <v>99</v>
      </c>
      <c r="C693" s="3" t="s">
        <v>15</v>
      </c>
      <c r="D693" s="3" t="s">
        <v>3</v>
      </c>
      <c r="E693" s="3">
        <v>143</v>
      </c>
      <c r="G693" s="19"/>
    </row>
    <row r="694" spans="1:7" ht="12.75" x14ac:dyDescent="0.2">
      <c r="A694" s="3">
        <v>76</v>
      </c>
      <c r="B694" s="4" t="s">
        <v>99</v>
      </c>
      <c r="C694" s="3" t="s">
        <v>15</v>
      </c>
      <c r="D694" s="3" t="s">
        <v>14</v>
      </c>
      <c r="E694" s="3">
        <v>118</v>
      </c>
      <c r="F694">
        <f>SUM(E693:E694)</f>
        <v>261</v>
      </c>
      <c r="G694" s="19"/>
    </row>
    <row r="695" spans="1:7" ht="12.75" x14ac:dyDescent="0.2">
      <c r="A695" s="3">
        <v>76</v>
      </c>
      <c r="B695" s="4" t="s">
        <v>99</v>
      </c>
      <c r="C695" s="3" t="s">
        <v>17</v>
      </c>
      <c r="D695" s="3" t="s">
        <v>3</v>
      </c>
      <c r="E695" s="3">
        <v>148</v>
      </c>
      <c r="G695" s="19"/>
    </row>
    <row r="696" spans="1:7" ht="12.75" x14ac:dyDescent="0.2">
      <c r="A696" s="3">
        <v>76</v>
      </c>
      <c r="B696" s="4" t="s">
        <v>99</v>
      </c>
      <c r="C696" s="3" t="s">
        <v>17</v>
      </c>
      <c r="D696" s="3" t="s">
        <v>14</v>
      </c>
      <c r="E696" s="3">
        <v>113</v>
      </c>
      <c r="F696">
        <f>SUM(E695:E696)</f>
        <v>261</v>
      </c>
      <c r="G696" s="19"/>
    </row>
    <row r="697" spans="1:7" ht="12.75" x14ac:dyDescent="0.2">
      <c r="A697" s="3">
        <v>77</v>
      </c>
      <c r="B697" s="4" t="s">
        <v>100</v>
      </c>
      <c r="C697" s="3" t="s">
        <v>2</v>
      </c>
      <c r="D697" s="3" t="s">
        <v>3</v>
      </c>
      <c r="E697" s="3">
        <v>464</v>
      </c>
      <c r="G697" s="19"/>
    </row>
    <row r="698" spans="1:7" ht="12.75" x14ac:dyDescent="0.2">
      <c r="A698" s="3">
        <v>77</v>
      </c>
      <c r="B698" s="4" t="s">
        <v>100</v>
      </c>
      <c r="C698" s="3" t="s">
        <v>2</v>
      </c>
      <c r="D698" s="3" t="s">
        <v>132</v>
      </c>
      <c r="E698" s="3">
        <v>604</v>
      </c>
      <c r="G698" s="19"/>
    </row>
    <row r="699" spans="1:7" ht="12.75" x14ac:dyDescent="0.2">
      <c r="A699" s="3">
        <v>77</v>
      </c>
      <c r="B699" s="4" t="s">
        <v>100</v>
      </c>
      <c r="C699" s="3" t="s">
        <v>2</v>
      </c>
      <c r="D699" s="3" t="s">
        <v>14</v>
      </c>
      <c r="E699" s="3">
        <v>72</v>
      </c>
      <c r="F699">
        <f>SUM(E697:E699)</f>
        <v>1140</v>
      </c>
      <c r="G699" s="19"/>
    </row>
    <row r="700" spans="1:7" ht="12.75" x14ac:dyDescent="0.2">
      <c r="A700" s="3">
        <v>77</v>
      </c>
      <c r="B700" s="4" t="s">
        <v>100</v>
      </c>
      <c r="C700" s="3" t="s">
        <v>10</v>
      </c>
      <c r="D700" s="3" t="s">
        <v>3</v>
      </c>
      <c r="E700" s="3">
        <v>398</v>
      </c>
      <c r="G700" s="19"/>
    </row>
    <row r="701" spans="1:7" ht="12.75" x14ac:dyDescent="0.2">
      <c r="A701" s="3">
        <v>77</v>
      </c>
      <c r="B701" s="4" t="s">
        <v>100</v>
      </c>
      <c r="C701" s="3" t="s">
        <v>10</v>
      </c>
      <c r="D701" s="3" t="s">
        <v>132</v>
      </c>
      <c r="E701" s="3">
        <v>617</v>
      </c>
      <c r="G701" s="19"/>
    </row>
    <row r="702" spans="1:7" ht="12.75" x14ac:dyDescent="0.2">
      <c r="A702" s="3">
        <v>77</v>
      </c>
      <c r="B702" s="4" t="s">
        <v>100</v>
      </c>
      <c r="C702" s="3" t="s">
        <v>10</v>
      </c>
      <c r="D702" s="3" t="s">
        <v>14</v>
      </c>
      <c r="E702" s="3">
        <v>125</v>
      </c>
      <c r="F702">
        <f>SUM(E700:E702)</f>
        <v>1140</v>
      </c>
      <c r="G702" s="19"/>
    </row>
    <row r="703" spans="1:7" ht="12.75" x14ac:dyDescent="0.2">
      <c r="A703" s="3">
        <v>77</v>
      </c>
      <c r="B703" s="4" t="s">
        <v>100</v>
      </c>
      <c r="C703" s="3" t="s">
        <v>13</v>
      </c>
      <c r="D703" s="3" t="s">
        <v>3</v>
      </c>
      <c r="E703" s="3">
        <v>411</v>
      </c>
      <c r="G703" s="19"/>
    </row>
    <row r="704" spans="1:7" ht="12.75" x14ac:dyDescent="0.2">
      <c r="A704" s="3">
        <v>77</v>
      </c>
      <c r="B704" s="4" t="s">
        <v>100</v>
      </c>
      <c r="C704" s="3" t="s">
        <v>13</v>
      </c>
      <c r="D704" s="3" t="s">
        <v>132</v>
      </c>
      <c r="E704" s="3">
        <v>629</v>
      </c>
      <c r="G704" s="19"/>
    </row>
    <row r="705" spans="1:7" ht="12.75" x14ac:dyDescent="0.2">
      <c r="A705" s="3">
        <v>77</v>
      </c>
      <c r="B705" s="4" t="s">
        <v>100</v>
      </c>
      <c r="C705" s="3" t="s">
        <v>13</v>
      </c>
      <c r="D705" s="3" t="s">
        <v>14</v>
      </c>
      <c r="E705" s="3">
        <v>100</v>
      </c>
      <c r="F705">
        <f>SUM(E703:E705)</f>
        <v>1140</v>
      </c>
      <c r="G705" s="19"/>
    </row>
    <row r="706" spans="1:7" ht="12.75" x14ac:dyDescent="0.2">
      <c r="A706" s="3">
        <v>78</v>
      </c>
      <c r="B706" s="4" t="s">
        <v>101</v>
      </c>
      <c r="C706" s="3" t="s">
        <v>15</v>
      </c>
      <c r="D706" s="3" t="s">
        <v>3</v>
      </c>
      <c r="E706" s="3">
        <v>58</v>
      </c>
      <c r="G706" s="19"/>
    </row>
    <row r="707" spans="1:7" ht="12.75" x14ac:dyDescent="0.2">
      <c r="A707" s="3">
        <v>78</v>
      </c>
      <c r="B707" s="4" t="s">
        <v>101</v>
      </c>
      <c r="C707" s="3" t="s">
        <v>15</v>
      </c>
      <c r="D707" s="3" t="s">
        <v>132</v>
      </c>
      <c r="E707" s="3">
        <v>162</v>
      </c>
      <c r="G707" s="19"/>
    </row>
    <row r="708" spans="1:7" ht="12.75" x14ac:dyDescent="0.2">
      <c r="A708" s="3">
        <v>78</v>
      </c>
      <c r="B708" s="4" t="s">
        <v>101</v>
      </c>
      <c r="C708" s="3" t="s">
        <v>15</v>
      </c>
      <c r="D708" s="3" t="s">
        <v>14</v>
      </c>
      <c r="E708" s="3">
        <v>21</v>
      </c>
      <c r="G708" s="19"/>
    </row>
    <row r="709" spans="1:7" ht="12.75" x14ac:dyDescent="0.2">
      <c r="A709" s="3">
        <v>78</v>
      </c>
      <c r="B709" s="4" t="s">
        <v>101</v>
      </c>
      <c r="C709" s="3" t="s">
        <v>15</v>
      </c>
      <c r="D709" s="3" t="s">
        <v>138</v>
      </c>
      <c r="E709" s="3">
        <v>1</v>
      </c>
      <c r="F709">
        <f>SUM(E706:E709)</f>
        <v>242</v>
      </c>
      <c r="G709" s="19"/>
    </row>
    <row r="710" spans="1:7" ht="12.75" x14ac:dyDescent="0.2">
      <c r="A710" s="3">
        <v>78</v>
      </c>
      <c r="B710" s="4" t="s">
        <v>101</v>
      </c>
      <c r="C710" s="3" t="s">
        <v>17</v>
      </c>
      <c r="D710" s="3" t="s">
        <v>3</v>
      </c>
      <c r="E710" s="3">
        <v>56</v>
      </c>
      <c r="G710" s="19"/>
    </row>
    <row r="711" spans="1:7" ht="12.75" x14ac:dyDescent="0.2">
      <c r="A711" s="3">
        <v>78</v>
      </c>
      <c r="B711" s="4" t="s">
        <v>101</v>
      </c>
      <c r="C711" s="3" t="s">
        <v>17</v>
      </c>
      <c r="D711" s="3" t="s">
        <v>132</v>
      </c>
      <c r="E711" s="3">
        <v>157</v>
      </c>
      <c r="G711" s="19"/>
    </row>
    <row r="712" spans="1:7" ht="12.75" x14ac:dyDescent="0.2">
      <c r="A712" s="3">
        <v>78</v>
      </c>
      <c r="B712" s="4" t="s">
        <v>101</v>
      </c>
      <c r="C712" s="3" t="s">
        <v>17</v>
      </c>
      <c r="D712" s="3" t="s">
        <v>14</v>
      </c>
      <c r="E712" s="3">
        <v>28</v>
      </c>
      <c r="G712" s="19"/>
    </row>
    <row r="713" spans="1:7" ht="12.75" x14ac:dyDescent="0.2">
      <c r="A713" s="3">
        <v>78</v>
      </c>
      <c r="B713" s="4" t="s">
        <v>101</v>
      </c>
      <c r="C713" s="3" t="s">
        <v>17</v>
      </c>
      <c r="D713" s="3" t="s">
        <v>138</v>
      </c>
      <c r="E713" s="3">
        <v>1</v>
      </c>
      <c r="F713">
        <f>SUM(E710:E713)</f>
        <v>242</v>
      </c>
      <c r="G713" s="19"/>
    </row>
    <row r="714" spans="1:7" ht="12.75" x14ac:dyDescent="0.2">
      <c r="A714" s="3">
        <v>79</v>
      </c>
      <c r="B714" s="4" t="s">
        <v>102</v>
      </c>
      <c r="C714" s="3" t="s">
        <v>2</v>
      </c>
      <c r="D714" s="3" t="s">
        <v>3</v>
      </c>
      <c r="E714" s="3">
        <v>443</v>
      </c>
      <c r="G714" s="19"/>
    </row>
    <row r="715" spans="1:7" ht="12.75" x14ac:dyDescent="0.2">
      <c r="A715" s="3">
        <v>79</v>
      </c>
      <c r="B715" s="4" t="s">
        <v>102</v>
      </c>
      <c r="C715" s="3" t="s">
        <v>2</v>
      </c>
      <c r="D715" s="3" t="s">
        <v>132</v>
      </c>
      <c r="E715" s="3">
        <v>559</v>
      </c>
      <c r="G715" s="19"/>
    </row>
    <row r="716" spans="1:7" ht="12.75" x14ac:dyDescent="0.2">
      <c r="A716" s="3">
        <v>79</v>
      </c>
      <c r="B716" s="4" t="s">
        <v>102</v>
      </c>
      <c r="C716" s="3" t="s">
        <v>2</v>
      </c>
      <c r="D716" s="3" t="s">
        <v>14</v>
      </c>
      <c r="E716" s="3">
        <v>51</v>
      </c>
      <c r="G716" s="19"/>
    </row>
    <row r="717" spans="1:7" ht="12.75" x14ac:dyDescent="0.2">
      <c r="A717" s="3">
        <v>79</v>
      </c>
      <c r="B717" s="4" t="s">
        <v>102</v>
      </c>
      <c r="C717" s="3" t="s">
        <v>2</v>
      </c>
      <c r="D717" s="3" t="s">
        <v>138</v>
      </c>
      <c r="E717" s="3">
        <v>1</v>
      </c>
      <c r="F717">
        <f>SUM(E714:E717)</f>
        <v>1054</v>
      </c>
      <c r="G717" s="19"/>
    </row>
    <row r="718" spans="1:7" ht="12.75" x14ac:dyDescent="0.2">
      <c r="A718" s="3">
        <v>79</v>
      </c>
      <c r="B718" s="4" t="s">
        <v>102</v>
      </c>
      <c r="C718" s="3" t="s">
        <v>10</v>
      </c>
      <c r="D718" s="3" t="s">
        <v>3</v>
      </c>
      <c r="E718" s="3">
        <v>452</v>
      </c>
      <c r="G718" s="19"/>
    </row>
    <row r="719" spans="1:7" ht="12.75" x14ac:dyDescent="0.2">
      <c r="A719" s="3">
        <v>79</v>
      </c>
      <c r="B719" s="4" t="s">
        <v>102</v>
      </c>
      <c r="C719" s="3" t="s">
        <v>10</v>
      </c>
      <c r="D719" s="3" t="s">
        <v>132</v>
      </c>
      <c r="E719" s="3">
        <v>533</v>
      </c>
      <c r="G719" s="19"/>
    </row>
    <row r="720" spans="1:7" ht="12.75" x14ac:dyDescent="0.2">
      <c r="A720" s="3">
        <v>79</v>
      </c>
      <c r="B720" s="4" t="s">
        <v>102</v>
      </c>
      <c r="C720" s="3" t="s">
        <v>10</v>
      </c>
      <c r="D720" s="3" t="s">
        <v>14</v>
      </c>
      <c r="E720" s="3">
        <v>67</v>
      </c>
      <c r="G720" s="19"/>
    </row>
    <row r="721" spans="1:7" ht="12.75" x14ac:dyDescent="0.2">
      <c r="A721" s="3">
        <v>79</v>
      </c>
      <c r="B721" s="4" t="s">
        <v>102</v>
      </c>
      <c r="C721" s="3" t="s">
        <v>10</v>
      </c>
      <c r="D721" s="3" t="s">
        <v>138</v>
      </c>
      <c r="E721" s="3">
        <v>2</v>
      </c>
      <c r="F721">
        <f>SUM(E718:E721)</f>
        <v>1054</v>
      </c>
      <c r="G721" s="19"/>
    </row>
    <row r="722" spans="1:7" ht="12.75" x14ac:dyDescent="0.2">
      <c r="A722" s="3">
        <v>79</v>
      </c>
      <c r="B722" s="4" t="s">
        <v>102</v>
      </c>
      <c r="C722" s="3" t="s">
        <v>13</v>
      </c>
      <c r="D722" s="3" t="s">
        <v>3</v>
      </c>
      <c r="E722" s="3">
        <v>464</v>
      </c>
      <c r="G722" s="19"/>
    </row>
    <row r="723" spans="1:7" ht="12.75" x14ac:dyDescent="0.2">
      <c r="A723" s="3">
        <v>79</v>
      </c>
      <c r="B723" s="4" t="s">
        <v>102</v>
      </c>
      <c r="C723" s="3" t="s">
        <v>13</v>
      </c>
      <c r="D723" s="3" t="s">
        <v>132</v>
      </c>
      <c r="E723" s="3">
        <v>530</v>
      </c>
      <c r="G723" s="19"/>
    </row>
    <row r="724" spans="1:7" ht="12.75" x14ac:dyDescent="0.2">
      <c r="A724" s="3">
        <v>79</v>
      </c>
      <c r="B724" s="4" t="s">
        <v>102</v>
      </c>
      <c r="C724" s="3" t="s">
        <v>13</v>
      </c>
      <c r="D724" s="3" t="s">
        <v>14</v>
      </c>
      <c r="E724" s="3">
        <v>58</v>
      </c>
      <c r="G724" s="19"/>
    </row>
    <row r="725" spans="1:7" ht="12.75" x14ac:dyDescent="0.2">
      <c r="A725" s="3">
        <v>79</v>
      </c>
      <c r="B725" s="4" t="s">
        <v>102</v>
      </c>
      <c r="C725" s="3" t="s">
        <v>13</v>
      </c>
      <c r="D725" s="3" t="s">
        <v>138</v>
      </c>
      <c r="E725" s="3">
        <v>2</v>
      </c>
      <c r="F725">
        <f>SUM(E722:E725)</f>
        <v>1054</v>
      </c>
      <c r="G725" s="19"/>
    </row>
    <row r="726" spans="1:7" ht="12.75" x14ac:dyDescent="0.2">
      <c r="A726" s="3">
        <v>80</v>
      </c>
      <c r="B726" s="4" t="s">
        <v>103</v>
      </c>
      <c r="C726" s="3" t="s">
        <v>15</v>
      </c>
      <c r="D726" s="3" t="s">
        <v>3</v>
      </c>
      <c r="E726" s="3">
        <v>62</v>
      </c>
      <c r="G726" s="19"/>
    </row>
    <row r="727" spans="1:7" ht="12.75" x14ac:dyDescent="0.2">
      <c r="A727" s="3">
        <v>80</v>
      </c>
      <c r="B727" s="4" t="s">
        <v>103</v>
      </c>
      <c r="C727" s="3" t="s">
        <v>15</v>
      </c>
      <c r="D727" s="3" t="s">
        <v>33</v>
      </c>
      <c r="E727" s="3">
        <v>95</v>
      </c>
      <c r="G727" s="19"/>
    </row>
    <row r="728" spans="1:7" ht="12.75" x14ac:dyDescent="0.2">
      <c r="A728" s="3">
        <v>80</v>
      </c>
      <c r="B728" s="4" t="s">
        <v>103</v>
      </c>
      <c r="C728" s="3" t="s">
        <v>15</v>
      </c>
      <c r="D728" s="3" t="s">
        <v>14</v>
      </c>
      <c r="E728" s="3">
        <v>6</v>
      </c>
      <c r="F728">
        <f>SUM(E726:E728)</f>
        <v>163</v>
      </c>
      <c r="G728" s="19"/>
    </row>
    <row r="729" spans="1:7" ht="12.75" x14ac:dyDescent="0.2">
      <c r="A729" s="3">
        <v>80</v>
      </c>
      <c r="B729" s="4" t="s">
        <v>103</v>
      </c>
      <c r="C729" s="3" t="s">
        <v>17</v>
      </c>
      <c r="D729" s="3" t="s">
        <v>3</v>
      </c>
      <c r="E729" s="3">
        <v>63</v>
      </c>
      <c r="G729" s="19"/>
    </row>
    <row r="730" spans="1:7" ht="12.75" x14ac:dyDescent="0.2">
      <c r="A730" s="3">
        <v>80</v>
      </c>
      <c r="B730" s="4" t="s">
        <v>103</v>
      </c>
      <c r="C730" s="3" t="s">
        <v>17</v>
      </c>
      <c r="D730" s="3" t="s">
        <v>33</v>
      </c>
      <c r="E730" s="3">
        <v>93</v>
      </c>
      <c r="G730" s="19"/>
    </row>
    <row r="731" spans="1:7" ht="12.75" x14ac:dyDescent="0.2">
      <c r="A731" s="3">
        <v>80</v>
      </c>
      <c r="B731" s="4" t="s">
        <v>103</v>
      </c>
      <c r="C731" s="3" t="s">
        <v>17</v>
      </c>
      <c r="D731" s="3" t="s">
        <v>14</v>
      </c>
      <c r="E731" s="3">
        <v>7</v>
      </c>
      <c r="F731">
        <f>SUM(E729:E731)</f>
        <v>163</v>
      </c>
      <c r="G731" s="19"/>
    </row>
    <row r="732" spans="1:7" ht="12.75" x14ac:dyDescent="0.2">
      <c r="A732" s="3">
        <v>81</v>
      </c>
      <c r="B732" s="4" t="s">
        <v>104</v>
      </c>
      <c r="C732" s="3" t="s">
        <v>2</v>
      </c>
      <c r="D732" s="3" t="s">
        <v>3</v>
      </c>
      <c r="E732" s="3">
        <v>1996</v>
      </c>
      <c r="G732" s="19"/>
    </row>
    <row r="733" spans="1:7" ht="12.75" x14ac:dyDescent="0.2">
      <c r="A733" s="3">
        <v>81</v>
      </c>
      <c r="B733" s="4" t="s">
        <v>104</v>
      </c>
      <c r="C733" s="3" t="s">
        <v>2</v>
      </c>
      <c r="D733" s="3" t="s">
        <v>315</v>
      </c>
      <c r="E733" s="3">
        <v>59</v>
      </c>
      <c r="G733" s="19"/>
    </row>
    <row r="734" spans="1:7" ht="12.75" x14ac:dyDescent="0.2">
      <c r="A734" s="3">
        <v>81</v>
      </c>
      <c r="B734" s="4" t="s">
        <v>104</v>
      </c>
      <c r="C734" s="3" t="s">
        <v>2</v>
      </c>
      <c r="D734" s="3" t="s">
        <v>132</v>
      </c>
      <c r="E734" s="3">
        <v>969</v>
      </c>
      <c r="G734" s="19"/>
    </row>
    <row r="735" spans="1:7" ht="12.75" x14ac:dyDescent="0.2">
      <c r="A735" s="3">
        <v>81</v>
      </c>
      <c r="B735" s="4" t="s">
        <v>104</v>
      </c>
      <c r="C735" s="3" t="s">
        <v>2</v>
      </c>
      <c r="D735" s="3" t="s">
        <v>14</v>
      </c>
      <c r="E735" s="3">
        <v>402</v>
      </c>
      <c r="G735" s="19"/>
    </row>
    <row r="736" spans="1:7" ht="12.75" x14ac:dyDescent="0.2">
      <c r="A736" s="3">
        <v>81</v>
      </c>
      <c r="B736" s="4" t="s">
        <v>104</v>
      </c>
      <c r="C736" s="3" t="s">
        <v>2</v>
      </c>
      <c r="D736" s="3" t="s">
        <v>138</v>
      </c>
      <c r="E736" s="3">
        <v>22</v>
      </c>
      <c r="F736">
        <f>SUM(E732:E736)</f>
        <v>3448</v>
      </c>
      <c r="G736" s="19"/>
    </row>
    <row r="737" spans="1:7" ht="12.75" x14ac:dyDescent="0.2">
      <c r="A737" s="3">
        <v>81</v>
      </c>
      <c r="B737" s="4" t="s">
        <v>104</v>
      </c>
      <c r="C737" s="3" t="s">
        <v>10</v>
      </c>
      <c r="D737" s="3" t="s">
        <v>3</v>
      </c>
      <c r="E737" s="3">
        <v>1908</v>
      </c>
      <c r="G737" s="19"/>
    </row>
    <row r="738" spans="1:7" ht="12.75" x14ac:dyDescent="0.2">
      <c r="A738" s="3">
        <v>81</v>
      </c>
      <c r="B738" s="4" t="s">
        <v>104</v>
      </c>
      <c r="C738" s="3" t="s">
        <v>10</v>
      </c>
      <c r="D738" s="3" t="s">
        <v>315</v>
      </c>
      <c r="E738" s="3">
        <v>63</v>
      </c>
      <c r="G738" s="19"/>
    </row>
    <row r="739" spans="1:7" ht="12.75" x14ac:dyDescent="0.2">
      <c r="A739" s="3">
        <v>81</v>
      </c>
      <c r="B739" s="4" t="s">
        <v>104</v>
      </c>
      <c r="C739" s="3" t="s">
        <v>10</v>
      </c>
      <c r="D739" s="3" t="s">
        <v>132</v>
      </c>
      <c r="E739" s="3">
        <v>997</v>
      </c>
      <c r="G739" s="19"/>
    </row>
    <row r="740" spans="1:7" ht="12.75" x14ac:dyDescent="0.2">
      <c r="A740" s="3">
        <v>81</v>
      </c>
      <c r="B740" s="4" t="s">
        <v>104</v>
      </c>
      <c r="C740" s="3" t="s">
        <v>10</v>
      </c>
      <c r="D740" s="3" t="s">
        <v>14</v>
      </c>
      <c r="E740" s="3">
        <v>458</v>
      </c>
      <c r="G740" s="19"/>
    </row>
    <row r="741" spans="1:7" ht="12.75" x14ac:dyDescent="0.2">
      <c r="A741" s="3">
        <v>81</v>
      </c>
      <c r="B741" s="4" t="s">
        <v>104</v>
      </c>
      <c r="C741" s="3" t="s">
        <v>10</v>
      </c>
      <c r="D741" s="3" t="s">
        <v>138</v>
      </c>
      <c r="E741" s="3">
        <v>22</v>
      </c>
      <c r="F741">
        <f>SUM(E737:E741)</f>
        <v>3448</v>
      </c>
      <c r="G741" s="19"/>
    </row>
    <row r="742" spans="1:7" ht="12.75" x14ac:dyDescent="0.2">
      <c r="A742" s="3">
        <v>81</v>
      </c>
      <c r="B742" s="4" t="s">
        <v>104</v>
      </c>
      <c r="C742" s="3" t="s">
        <v>13</v>
      </c>
      <c r="D742" s="3" t="s">
        <v>3</v>
      </c>
      <c r="E742" s="3">
        <v>1907</v>
      </c>
      <c r="G742" s="19"/>
    </row>
    <row r="743" spans="1:7" ht="12.75" x14ac:dyDescent="0.2">
      <c r="A743" s="3">
        <v>81</v>
      </c>
      <c r="B743" s="4" t="s">
        <v>104</v>
      </c>
      <c r="C743" s="3" t="s">
        <v>13</v>
      </c>
      <c r="D743" s="3" t="s">
        <v>315</v>
      </c>
      <c r="E743" s="3">
        <v>60</v>
      </c>
      <c r="G743" s="19"/>
    </row>
    <row r="744" spans="1:7" ht="12.75" x14ac:dyDescent="0.2">
      <c r="A744" s="3">
        <v>81</v>
      </c>
      <c r="B744" s="4" t="s">
        <v>104</v>
      </c>
      <c r="C744" s="3" t="s">
        <v>13</v>
      </c>
      <c r="D744" s="3" t="s">
        <v>132</v>
      </c>
      <c r="E744" s="3">
        <v>993</v>
      </c>
      <c r="G744" s="19"/>
    </row>
    <row r="745" spans="1:7" ht="12.75" x14ac:dyDescent="0.2">
      <c r="A745" s="3">
        <v>81</v>
      </c>
      <c r="B745" s="4" t="s">
        <v>104</v>
      </c>
      <c r="C745" s="3" t="s">
        <v>13</v>
      </c>
      <c r="D745" s="3" t="s">
        <v>14</v>
      </c>
      <c r="E745" s="3">
        <v>466</v>
      </c>
      <c r="G745" s="19"/>
    </row>
    <row r="746" spans="1:7" ht="12.75" x14ac:dyDescent="0.2">
      <c r="A746" s="3">
        <v>81</v>
      </c>
      <c r="B746" s="4" t="s">
        <v>104</v>
      </c>
      <c r="C746" s="3" t="s">
        <v>13</v>
      </c>
      <c r="D746" s="3" t="s">
        <v>138</v>
      </c>
      <c r="E746" s="3">
        <v>22</v>
      </c>
      <c r="F746">
        <f>SUM(E742:E746)</f>
        <v>3448</v>
      </c>
      <c r="G746" s="19"/>
    </row>
    <row r="747" spans="1:7" ht="12.75" x14ac:dyDescent="0.2">
      <c r="A747" s="3">
        <v>82</v>
      </c>
      <c r="B747" s="4" t="s">
        <v>105</v>
      </c>
      <c r="C747" s="3" t="s">
        <v>2</v>
      </c>
      <c r="D747" s="3" t="s">
        <v>3</v>
      </c>
      <c r="E747" s="3">
        <v>2287</v>
      </c>
      <c r="G747" s="19"/>
    </row>
    <row r="748" spans="1:7" ht="12.75" x14ac:dyDescent="0.2">
      <c r="A748" s="3">
        <v>82</v>
      </c>
      <c r="B748" s="4" t="s">
        <v>105</v>
      </c>
      <c r="C748" s="3" t="s">
        <v>2</v>
      </c>
      <c r="D748" s="3" t="s">
        <v>132</v>
      </c>
      <c r="E748" s="3">
        <v>2461</v>
      </c>
      <c r="G748" s="19"/>
    </row>
    <row r="749" spans="1:7" ht="12.75" x14ac:dyDescent="0.2">
      <c r="A749" s="3">
        <v>82</v>
      </c>
      <c r="B749" s="4" t="s">
        <v>105</v>
      </c>
      <c r="C749" s="3" t="s">
        <v>2</v>
      </c>
      <c r="D749" s="3" t="s">
        <v>14</v>
      </c>
      <c r="E749" s="3">
        <v>793</v>
      </c>
      <c r="G749" s="19"/>
    </row>
    <row r="750" spans="1:7" ht="12.75" x14ac:dyDescent="0.2">
      <c r="A750" s="3">
        <v>82</v>
      </c>
      <c r="B750" s="4" t="s">
        <v>105</v>
      </c>
      <c r="C750" s="3" t="s">
        <v>2</v>
      </c>
      <c r="D750" s="3" t="s">
        <v>138</v>
      </c>
      <c r="E750" s="3">
        <v>8</v>
      </c>
      <c r="F750">
        <f>SUM(E747:E750)</f>
        <v>5549</v>
      </c>
      <c r="G750" s="19"/>
    </row>
    <row r="751" spans="1:7" ht="12.75" x14ac:dyDescent="0.2">
      <c r="A751" s="3">
        <v>82</v>
      </c>
      <c r="B751" s="4" t="s">
        <v>105</v>
      </c>
      <c r="C751" s="3" t="s">
        <v>10</v>
      </c>
      <c r="D751" s="3" t="s">
        <v>3</v>
      </c>
      <c r="E751" s="3">
        <v>2277</v>
      </c>
      <c r="G751" s="19"/>
    </row>
    <row r="752" spans="1:7" ht="12.75" x14ac:dyDescent="0.2">
      <c r="A752" s="3">
        <v>82</v>
      </c>
      <c r="B752" s="4" t="s">
        <v>105</v>
      </c>
      <c r="C752" s="3" t="s">
        <v>10</v>
      </c>
      <c r="D752" s="3" t="s">
        <v>132</v>
      </c>
      <c r="E752" s="3">
        <v>2327</v>
      </c>
      <c r="G752" s="19"/>
    </row>
    <row r="753" spans="1:7" ht="12.75" x14ac:dyDescent="0.2">
      <c r="A753" s="3">
        <v>82</v>
      </c>
      <c r="B753" s="4" t="s">
        <v>105</v>
      </c>
      <c r="C753" s="3" t="s">
        <v>10</v>
      </c>
      <c r="D753" s="3" t="s">
        <v>14</v>
      </c>
      <c r="E753" s="3">
        <v>937</v>
      </c>
      <c r="G753" s="19"/>
    </row>
    <row r="754" spans="1:7" ht="12.75" x14ac:dyDescent="0.2">
      <c r="A754" s="3">
        <v>82</v>
      </c>
      <c r="B754" s="4" t="s">
        <v>105</v>
      </c>
      <c r="C754" s="3" t="s">
        <v>10</v>
      </c>
      <c r="D754" s="3" t="s">
        <v>138</v>
      </c>
      <c r="E754" s="3">
        <v>8</v>
      </c>
      <c r="F754">
        <f>SUM(E751:E754)</f>
        <v>5549</v>
      </c>
      <c r="G754" s="19"/>
    </row>
    <row r="755" spans="1:7" ht="12.75" x14ac:dyDescent="0.2">
      <c r="A755" s="3">
        <v>82</v>
      </c>
      <c r="B755" s="4" t="s">
        <v>105</v>
      </c>
      <c r="C755" s="3" t="s">
        <v>13</v>
      </c>
      <c r="D755" s="3" t="s">
        <v>3</v>
      </c>
      <c r="E755" s="3">
        <v>2454</v>
      </c>
      <c r="G755" s="19"/>
    </row>
    <row r="756" spans="1:7" ht="12.75" x14ac:dyDescent="0.2">
      <c r="A756" s="3">
        <v>82</v>
      </c>
      <c r="B756" s="4" t="s">
        <v>105</v>
      </c>
      <c r="C756" s="3" t="s">
        <v>13</v>
      </c>
      <c r="D756" s="3" t="s">
        <v>132</v>
      </c>
      <c r="E756" s="3">
        <v>2165</v>
      </c>
      <c r="G756" s="19"/>
    </row>
    <row r="757" spans="1:7" ht="12.75" x14ac:dyDescent="0.2">
      <c r="A757" s="3">
        <v>82</v>
      </c>
      <c r="B757" s="4" t="s">
        <v>105</v>
      </c>
      <c r="C757" s="3" t="s">
        <v>13</v>
      </c>
      <c r="D757" s="3" t="s">
        <v>14</v>
      </c>
      <c r="E757" s="3">
        <v>922</v>
      </c>
      <c r="G757" s="19"/>
    </row>
    <row r="758" spans="1:7" ht="12.75" x14ac:dyDescent="0.2">
      <c r="A758" s="3">
        <v>82</v>
      </c>
      <c r="B758" s="4" t="s">
        <v>105</v>
      </c>
      <c r="C758" s="3" t="s">
        <v>13</v>
      </c>
      <c r="D758" s="3" t="s">
        <v>138</v>
      </c>
      <c r="E758" s="3">
        <v>8</v>
      </c>
      <c r="F758">
        <f>SUM(E755:E758)</f>
        <v>5549</v>
      </c>
      <c r="G758" s="19"/>
    </row>
    <row r="759" spans="1:7" ht="12.75" x14ac:dyDescent="0.2">
      <c r="A759" s="3">
        <v>86</v>
      </c>
      <c r="B759" s="4" t="s">
        <v>106</v>
      </c>
      <c r="C759" s="3" t="s">
        <v>2</v>
      </c>
      <c r="D759" s="3" t="s">
        <v>3</v>
      </c>
      <c r="E759" s="3">
        <v>3872</v>
      </c>
      <c r="G759" s="19"/>
    </row>
    <row r="760" spans="1:7" ht="12.75" x14ac:dyDescent="0.2">
      <c r="A760" s="3">
        <v>86</v>
      </c>
      <c r="B760" s="4" t="s">
        <v>106</v>
      </c>
      <c r="C760" s="3" t="s">
        <v>2</v>
      </c>
      <c r="D760" s="3" t="s">
        <v>315</v>
      </c>
      <c r="E760" s="3">
        <v>124</v>
      </c>
      <c r="G760" s="19"/>
    </row>
    <row r="761" spans="1:7" ht="12.75" x14ac:dyDescent="0.2">
      <c r="A761" s="3">
        <v>86</v>
      </c>
      <c r="B761" s="4" t="s">
        <v>106</v>
      </c>
      <c r="C761" s="3" t="s">
        <v>2</v>
      </c>
      <c r="D761" s="3" t="s">
        <v>149</v>
      </c>
      <c r="E761" s="3">
        <v>770</v>
      </c>
      <c r="G761" s="19"/>
    </row>
    <row r="762" spans="1:7" ht="12.75" x14ac:dyDescent="0.2">
      <c r="A762" s="3">
        <v>86</v>
      </c>
      <c r="B762" s="4" t="s">
        <v>106</v>
      </c>
      <c r="C762" s="3" t="s">
        <v>2</v>
      </c>
      <c r="D762" s="3" t="s">
        <v>132</v>
      </c>
      <c r="E762" s="3">
        <v>2502</v>
      </c>
      <c r="G762" s="19"/>
    </row>
    <row r="763" spans="1:7" ht="12.75" x14ac:dyDescent="0.2">
      <c r="A763" s="3">
        <v>86</v>
      </c>
      <c r="B763" s="4" t="s">
        <v>106</v>
      </c>
      <c r="C763" s="3" t="s">
        <v>2</v>
      </c>
      <c r="D763" s="3" t="s">
        <v>14</v>
      </c>
      <c r="E763" s="3">
        <v>1423</v>
      </c>
      <c r="G763" s="19"/>
    </row>
    <row r="764" spans="1:7" ht="12.75" x14ac:dyDescent="0.2">
      <c r="A764" s="3">
        <v>86</v>
      </c>
      <c r="B764" s="4" t="s">
        <v>106</v>
      </c>
      <c r="C764" s="3" t="s">
        <v>2</v>
      </c>
      <c r="D764" s="3" t="s">
        <v>138</v>
      </c>
      <c r="E764" s="3">
        <v>62</v>
      </c>
      <c r="F764">
        <f>SUM(E759:E764)</f>
        <v>8753</v>
      </c>
      <c r="G764" s="19"/>
    </row>
    <row r="765" spans="1:7" ht="12.75" x14ac:dyDescent="0.2">
      <c r="A765" s="3">
        <v>86</v>
      </c>
      <c r="B765" s="4" t="s">
        <v>106</v>
      </c>
      <c r="C765" s="3" t="s">
        <v>10</v>
      </c>
      <c r="D765" s="3" t="s">
        <v>3</v>
      </c>
      <c r="E765" s="3">
        <v>3727</v>
      </c>
      <c r="G765" s="19"/>
    </row>
    <row r="766" spans="1:7" ht="12.75" x14ac:dyDescent="0.2">
      <c r="A766" s="3">
        <v>86</v>
      </c>
      <c r="B766" s="4" t="s">
        <v>106</v>
      </c>
      <c r="C766" s="3" t="s">
        <v>10</v>
      </c>
      <c r="D766" s="3" t="s">
        <v>315</v>
      </c>
      <c r="E766" s="3">
        <v>114</v>
      </c>
      <c r="G766" s="19"/>
    </row>
    <row r="767" spans="1:7" ht="12.75" x14ac:dyDescent="0.2">
      <c r="A767" s="3">
        <v>86</v>
      </c>
      <c r="B767" s="4" t="s">
        <v>106</v>
      </c>
      <c r="C767" s="3" t="s">
        <v>10</v>
      </c>
      <c r="D767" s="3" t="s">
        <v>149</v>
      </c>
      <c r="E767" s="3">
        <v>751</v>
      </c>
      <c r="G767" s="19"/>
    </row>
    <row r="768" spans="1:7" ht="12.75" x14ac:dyDescent="0.2">
      <c r="A768" s="3">
        <v>86</v>
      </c>
      <c r="B768" s="4" t="s">
        <v>106</v>
      </c>
      <c r="C768" s="3" t="s">
        <v>10</v>
      </c>
      <c r="D768" s="3" t="s">
        <v>132</v>
      </c>
      <c r="E768" s="3">
        <v>2482</v>
      </c>
      <c r="G768" s="19"/>
    </row>
    <row r="769" spans="1:7" ht="12.75" x14ac:dyDescent="0.2">
      <c r="A769" s="3">
        <v>86</v>
      </c>
      <c r="B769" s="4" t="s">
        <v>106</v>
      </c>
      <c r="C769" s="3" t="s">
        <v>10</v>
      </c>
      <c r="D769" s="3" t="s">
        <v>14</v>
      </c>
      <c r="E769" s="3">
        <v>1621</v>
      </c>
      <c r="G769" s="19"/>
    </row>
    <row r="770" spans="1:7" ht="12.75" x14ac:dyDescent="0.2">
      <c r="A770" s="3">
        <v>86</v>
      </c>
      <c r="B770" s="4" t="s">
        <v>106</v>
      </c>
      <c r="C770" s="3" t="s">
        <v>10</v>
      </c>
      <c r="D770" s="3" t="s">
        <v>138</v>
      </c>
      <c r="E770" s="3">
        <v>58</v>
      </c>
      <c r="F770">
        <f>SUM(E765:E770)</f>
        <v>8753</v>
      </c>
      <c r="G770" s="19"/>
    </row>
    <row r="771" spans="1:7" ht="12.75" x14ac:dyDescent="0.2">
      <c r="A771" s="3">
        <v>86</v>
      </c>
      <c r="B771" s="4" t="s">
        <v>106</v>
      </c>
      <c r="C771" s="3" t="s">
        <v>13</v>
      </c>
      <c r="D771" s="3" t="s">
        <v>3</v>
      </c>
      <c r="E771" s="3">
        <v>3701</v>
      </c>
      <c r="G771" s="19"/>
    </row>
    <row r="772" spans="1:7" ht="12.75" x14ac:dyDescent="0.2">
      <c r="A772" s="3">
        <v>86</v>
      </c>
      <c r="B772" s="4" t="s">
        <v>106</v>
      </c>
      <c r="C772" s="3" t="s">
        <v>13</v>
      </c>
      <c r="D772" s="3" t="s">
        <v>132</v>
      </c>
      <c r="E772" s="3">
        <v>2539</v>
      </c>
      <c r="G772" s="19"/>
    </row>
    <row r="773" spans="1:7" ht="12.75" x14ac:dyDescent="0.2">
      <c r="A773" s="3">
        <v>86</v>
      </c>
      <c r="B773" s="4" t="s">
        <v>106</v>
      </c>
      <c r="C773" s="3" t="s">
        <v>13</v>
      </c>
      <c r="D773" s="3" t="s">
        <v>14</v>
      </c>
      <c r="E773" s="3">
        <v>2461</v>
      </c>
      <c r="G773" s="19"/>
    </row>
    <row r="774" spans="1:7" ht="12.75" x14ac:dyDescent="0.2">
      <c r="A774" s="3">
        <v>86</v>
      </c>
      <c r="B774" s="4" t="s">
        <v>106</v>
      </c>
      <c r="C774" s="3" t="s">
        <v>13</v>
      </c>
      <c r="D774" s="3" t="s">
        <v>138</v>
      </c>
      <c r="E774" s="3">
        <v>52</v>
      </c>
      <c r="F774">
        <f>SUM(E771:E774)</f>
        <v>8753</v>
      </c>
      <c r="G774" s="19"/>
    </row>
    <row r="775" spans="1:7" ht="12.75" x14ac:dyDescent="0.2">
      <c r="A775" s="3">
        <v>87</v>
      </c>
      <c r="B775" s="4" t="s">
        <v>107</v>
      </c>
      <c r="C775" s="3" t="s">
        <v>2</v>
      </c>
      <c r="D775" s="3" t="s">
        <v>3</v>
      </c>
      <c r="E775" s="3">
        <v>505</v>
      </c>
      <c r="G775" s="19"/>
    </row>
    <row r="776" spans="1:7" ht="12.75" x14ac:dyDescent="0.2">
      <c r="A776" s="3">
        <v>87</v>
      </c>
      <c r="B776" s="4" t="s">
        <v>107</v>
      </c>
      <c r="C776" s="3" t="s">
        <v>2</v>
      </c>
      <c r="D776" s="3" t="s">
        <v>132</v>
      </c>
      <c r="E776" s="3">
        <v>294</v>
      </c>
      <c r="G776" s="19"/>
    </row>
    <row r="777" spans="1:7" ht="12.75" x14ac:dyDescent="0.2">
      <c r="A777" s="3">
        <v>87</v>
      </c>
      <c r="B777" s="4" t="s">
        <v>107</v>
      </c>
      <c r="C777" s="3" t="s">
        <v>2</v>
      </c>
      <c r="D777" s="3" t="s">
        <v>14</v>
      </c>
      <c r="E777" s="3">
        <v>54</v>
      </c>
      <c r="F777">
        <f>SUM(E775:E777)</f>
        <v>853</v>
      </c>
      <c r="G777" s="19"/>
    </row>
    <row r="778" spans="1:7" ht="12.75" x14ac:dyDescent="0.2">
      <c r="A778" s="3">
        <v>87</v>
      </c>
      <c r="B778" s="4" t="s">
        <v>107</v>
      </c>
      <c r="C778" s="3" t="s">
        <v>10</v>
      </c>
      <c r="D778" s="3" t="s">
        <v>3</v>
      </c>
      <c r="E778" s="3">
        <v>481</v>
      </c>
      <c r="G778" s="19"/>
    </row>
    <row r="779" spans="1:7" ht="12.75" x14ac:dyDescent="0.2">
      <c r="A779" s="3">
        <v>87</v>
      </c>
      <c r="B779" s="4" t="s">
        <v>107</v>
      </c>
      <c r="C779" s="3" t="s">
        <v>10</v>
      </c>
      <c r="D779" s="3" t="s">
        <v>132</v>
      </c>
      <c r="E779" s="3">
        <v>290</v>
      </c>
      <c r="G779" s="19"/>
    </row>
    <row r="780" spans="1:7" ht="12.75" x14ac:dyDescent="0.2">
      <c r="A780" s="3">
        <v>87</v>
      </c>
      <c r="B780" s="4" t="s">
        <v>107</v>
      </c>
      <c r="C780" s="3" t="s">
        <v>10</v>
      </c>
      <c r="D780" s="3" t="s">
        <v>14</v>
      </c>
      <c r="E780" s="3">
        <v>82</v>
      </c>
      <c r="F780">
        <f>SUM(E778:E780)</f>
        <v>853</v>
      </c>
      <c r="G780" s="19"/>
    </row>
    <row r="781" spans="1:7" ht="12.75" x14ac:dyDescent="0.2">
      <c r="A781" s="3">
        <v>87</v>
      </c>
      <c r="B781" s="4" t="s">
        <v>107</v>
      </c>
      <c r="C781" s="3" t="s">
        <v>13</v>
      </c>
      <c r="D781" s="3" t="s">
        <v>3</v>
      </c>
      <c r="E781" s="3">
        <v>404</v>
      </c>
      <c r="G781" s="19"/>
    </row>
    <row r="782" spans="1:7" ht="12.75" x14ac:dyDescent="0.2">
      <c r="A782" s="3">
        <v>87</v>
      </c>
      <c r="B782" s="4" t="s">
        <v>107</v>
      </c>
      <c r="C782" s="3" t="s">
        <v>13</v>
      </c>
      <c r="D782" s="3" t="s">
        <v>132</v>
      </c>
      <c r="E782" s="3">
        <v>378</v>
      </c>
      <c r="G782" s="19"/>
    </row>
    <row r="783" spans="1:7" ht="12.75" x14ac:dyDescent="0.2">
      <c r="A783" s="3">
        <v>87</v>
      </c>
      <c r="B783" s="4" t="s">
        <v>107</v>
      </c>
      <c r="C783" s="3" t="s">
        <v>13</v>
      </c>
      <c r="D783" s="3" t="s">
        <v>14</v>
      </c>
      <c r="E783" s="3">
        <v>71</v>
      </c>
      <c r="F783">
        <f>SUM(E781:E783)</f>
        <v>853</v>
      </c>
      <c r="G783" s="19"/>
    </row>
    <row r="784" spans="1:7" ht="12.75" x14ac:dyDescent="0.2">
      <c r="A784" s="3">
        <v>88</v>
      </c>
      <c r="B784" s="4" t="s">
        <v>108</v>
      </c>
      <c r="C784" s="3" t="s">
        <v>2</v>
      </c>
      <c r="D784" s="3" t="s">
        <v>3</v>
      </c>
      <c r="E784" s="3">
        <v>220</v>
      </c>
      <c r="G784" s="19"/>
    </row>
    <row r="785" spans="1:7" ht="12.75" x14ac:dyDescent="0.2">
      <c r="A785" s="3">
        <v>88</v>
      </c>
      <c r="B785" s="4" t="s">
        <v>108</v>
      </c>
      <c r="C785" s="3" t="s">
        <v>2</v>
      </c>
      <c r="D785" s="3" t="s">
        <v>132</v>
      </c>
      <c r="E785" s="3">
        <v>186</v>
      </c>
      <c r="G785" s="19"/>
    </row>
    <row r="786" spans="1:7" ht="12.75" x14ac:dyDescent="0.2">
      <c r="A786" s="3">
        <v>88</v>
      </c>
      <c r="B786" s="4" t="s">
        <v>108</v>
      </c>
      <c r="C786" s="3" t="s">
        <v>2</v>
      </c>
      <c r="D786" s="3" t="s">
        <v>14</v>
      </c>
      <c r="E786" s="3">
        <v>27</v>
      </c>
      <c r="F786">
        <f>SUM(E784:E786)</f>
        <v>433</v>
      </c>
      <c r="G786" s="19"/>
    </row>
    <row r="787" spans="1:7" ht="12.75" x14ac:dyDescent="0.2">
      <c r="A787" s="3">
        <v>88</v>
      </c>
      <c r="B787" s="4" t="s">
        <v>108</v>
      </c>
      <c r="C787" s="3" t="s">
        <v>10</v>
      </c>
      <c r="D787" s="3" t="s">
        <v>3</v>
      </c>
      <c r="E787" s="3">
        <v>208</v>
      </c>
      <c r="G787" s="19"/>
    </row>
    <row r="788" spans="1:7" ht="12.75" x14ac:dyDescent="0.2">
      <c r="A788" s="3">
        <v>88</v>
      </c>
      <c r="B788" s="4" t="s">
        <v>108</v>
      </c>
      <c r="C788" s="3" t="s">
        <v>10</v>
      </c>
      <c r="D788" s="3" t="s">
        <v>132</v>
      </c>
      <c r="E788" s="3">
        <v>165</v>
      </c>
      <c r="G788" s="19"/>
    </row>
    <row r="789" spans="1:7" ht="12.75" x14ac:dyDescent="0.2">
      <c r="A789" s="3">
        <v>88</v>
      </c>
      <c r="B789" s="4" t="s">
        <v>108</v>
      </c>
      <c r="C789" s="3" t="s">
        <v>10</v>
      </c>
      <c r="D789" s="3" t="s">
        <v>14</v>
      </c>
      <c r="E789" s="3">
        <v>60</v>
      </c>
      <c r="F789">
        <f>SUM(E787:E789)</f>
        <v>433</v>
      </c>
      <c r="G789" s="19"/>
    </row>
    <row r="790" spans="1:7" ht="12.75" x14ac:dyDescent="0.2">
      <c r="A790" s="3">
        <v>88</v>
      </c>
      <c r="B790" s="4" t="s">
        <v>108</v>
      </c>
      <c r="C790" s="3" t="s">
        <v>13</v>
      </c>
      <c r="D790" s="3" t="s">
        <v>3</v>
      </c>
      <c r="E790" s="3">
        <v>166</v>
      </c>
      <c r="G790" s="19"/>
    </row>
    <row r="791" spans="1:7" ht="12.75" x14ac:dyDescent="0.2">
      <c r="A791" s="3">
        <v>88</v>
      </c>
      <c r="B791" s="4" t="s">
        <v>108</v>
      </c>
      <c r="C791" s="3" t="s">
        <v>13</v>
      </c>
      <c r="D791" s="3" t="s">
        <v>132</v>
      </c>
      <c r="E791" s="3">
        <v>217</v>
      </c>
      <c r="G791" s="19"/>
    </row>
    <row r="792" spans="1:7" ht="12.75" x14ac:dyDescent="0.2">
      <c r="A792" s="3">
        <v>88</v>
      </c>
      <c r="B792" s="4" t="s">
        <v>108</v>
      </c>
      <c r="C792" s="3" t="s">
        <v>13</v>
      </c>
      <c r="D792" s="3" t="s">
        <v>14</v>
      </c>
      <c r="E792" s="3">
        <v>50</v>
      </c>
      <c r="F792">
        <f>SUM(E790:E792)</f>
        <v>433</v>
      </c>
      <c r="G792" s="19"/>
    </row>
    <row r="793" spans="1:7" ht="12.75" x14ac:dyDescent="0.2">
      <c r="A793" s="3">
        <v>89</v>
      </c>
      <c r="B793" s="4" t="s">
        <v>109</v>
      </c>
      <c r="C793" s="3" t="s">
        <v>2</v>
      </c>
      <c r="D793" s="3" t="s">
        <v>3</v>
      </c>
      <c r="E793" s="3">
        <v>1436</v>
      </c>
      <c r="G793" s="19"/>
    </row>
    <row r="794" spans="1:7" ht="12.75" x14ac:dyDescent="0.2">
      <c r="A794" s="3">
        <v>89</v>
      </c>
      <c r="B794" s="4" t="s">
        <v>109</v>
      </c>
      <c r="C794" s="3" t="s">
        <v>2</v>
      </c>
      <c r="D794" s="3" t="s">
        <v>132</v>
      </c>
      <c r="E794" s="3">
        <v>919</v>
      </c>
      <c r="G794" s="19"/>
    </row>
    <row r="795" spans="1:7" ht="12.75" x14ac:dyDescent="0.2">
      <c r="A795" s="3">
        <v>89</v>
      </c>
      <c r="B795" s="4" t="s">
        <v>109</v>
      </c>
      <c r="C795" s="3" t="s">
        <v>2</v>
      </c>
      <c r="D795" s="3" t="s">
        <v>14</v>
      </c>
      <c r="E795" s="3">
        <v>289</v>
      </c>
      <c r="G795" s="19"/>
    </row>
    <row r="796" spans="1:7" ht="12.75" x14ac:dyDescent="0.2">
      <c r="A796" s="3">
        <v>89</v>
      </c>
      <c r="B796" s="4" t="s">
        <v>109</v>
      </c>
      <c r="C796" s="3" t="s">
        <v>2</v>
      </c>
      <c r="D796" s="3" t="s">
        <v>138</v>
      </c>
      <c r="E796" s="3">
        <v>9</v>
      </c>
      <c r="F796">
        <f>SUM(E793:E796)</f>
        <v>2653</v>
      </c>
      <c r="G796" s="19"/>
    </row>
    <row r="797" spans="1:7" ht="12.75" x14ac:dyDescent="0.2">
      <c r="A797" s="3">
        <v>89</v>
      </c>
      <c r="B797" s="4" t="s">
        <v>109</v>
      </c>
      <c r="C797" s="3" t="s">
        <v>10</v>
      </c>
      <c r="D797" s="3" t="s">
        <v>3</v>
      </c>
      <c r="E797" s="3">
        <v>1415</v>
      </c>
      <c r="G797" s="19"/>
    </row>
    <row r="798" spans="1:7" ht="12.75" x14ac:dyDescent="0.2">
      <c r="A798" s="3">
        <v>89</v>
      </c>
      <c r="B798" s="4" t="s">
        <v>109</v>
      </c>
      <c r="C798" s="3" t="s">
        <v>10</v>
      </c>
      <c r="D798" s="3" t="s">
        <v>132</v>
      </c>
      <c r="E798" s="3">
        <v>912</v>
      </c>
      <c r="G798" s="19"/>
    </row>
    <row r="799" spans="1:7" ht="12.75" x14ac:dyDescent="0.2">
      <c r="A799" s="3">
        <v>89</v>
      </c>
      <c r="B799" s="4" t="s">
        <v>109</v>
      </c>
      <c r="C799" s="3" t="s">
        <v>10</v>
      </c>
      <c r="D799" s="3" t="s">
        <v>14</v>
      </c>
      <c r="E799" s="3">
        <v>318</v>
      </c>
      <c r="G799" s="19"/>
    </row>
    <row r="800" spans="1:7" ht="12.75" x14ac:dyDescent="0.2">
      <c r="A800" s="3">
        <v>89</v>
      </c>
      <c r="B800" s="4" t="s">
        <v>109</v>
      </c>
      <c r="C800" s="3" t="s">
        <v>10</v>
      </c>
      <c r="D800" s="3" t="s">
        <v>138</v>
      </c>
      <c r="E800" s="3">
        <v>8</v>
      </c>
      <c r="F800">
        <f>SUM(E797:E800)</f>
        <v>2653</v>
      </c>
      <c r="G800" s="19"/>
    </row>
    <row r="801" spans="1:7" ht="12.75" x14ac:dyDescent="0.2">
      <c r="A801" s="3">
        <v>89</v>
      </c>
      <c r="B801" s="4" t="s">
        <v>109</v>
      </c>
      <c r="C801" s="3" t="s">
        <v>13</v>
      </c>
      <c r="D801" s="3" t="s">
        <v>3</v>
      </c>
      <c r="E801" s="3">
        <v>1466</v>
      </c>
      <c r="G801" s="19"/>
    </row>
    <row r="802" spans="1:7" ht="12.75" x14ac:dyDescent="0.2">
      <c r="A802" s="3">
        <v>89</v>
      </c>
      <c r="B802" s="4" t="s">
        <v>109</v>
      </c>
      <c r="C802" s="3" t="s">
        <v>13</v>
      </c>
      <c r="D802" s="3" t="s">
        <v>132</v>
      </c>
      <c r="E802" s="3">
        <v>850</v>
      </c>
      <c r="G802" s="19"/>
    </row>
    <row r="803" spans="1:7" ht="12.75" x14ac:dyDescent="0.2">
      <c r="A803" s="3">
        <v>89</v>
      </c>
      <c r="B803" s="4" t="s">
        <v>109</v>
      </c>
      <c r="C803" s="3" t="s">
        <v>13</v>
      </c>
      <c r="D803" s="3" t="s">
        <v>14</v>
      </c>
      <c r="E803" s="3">
        <v>328</v>
      </c>
      <c r="G803" s="19"/>
    </row>
    <row r="804" spans="1:7" ht="12.75" x14ac:dyDescent="0.2">
      <c r="A804" s="3">
        <v>89</v>
      </c>
      <c r="B804" s="4" t="s">
        <v>109</v>
      </c>
      <c r="C804" s="3" t="s">
        <v>13</v>
      </c>
      <c r="D804" s="3" t="s">
        <v>138</v>
      </c>
      <c r="E804" s="3">
        <v>9</v>
      </c>
      <c r="F804">
        <f>SUM(E801:E804)</f>
        <v>2653</v>
      </c>
      <c r="G804" s="19"/>
    </row>
    <row r="805" spans="1:7" ht="12.75" x14ac:dyDescent="0.2">
      <c r="A805" s="3">
        <v>90</v>
      </c>
      <c r="B805" s="4" t="s">
        <v>110</v>
      </c>
      <c r="C805" s="3" t="s">
        <v>2</v>
      </c>
      <c r="D805" s="3" t="s">
        <v>3</v>
      </c>
      <c r="E805" s="3">
        <v>308</v>
      </c>
      <c r="G805" s="19"/>
    </row>
    <row r="806" spans="1:7" ht="12.75" x14ac:dyDescent="0.2">
      <c r="A806" s="3">
        <v>90</v>
      </c>
      <c r="B806" s="4" t="s">
        <v>110</v>
      </c>
      <c r="C806" s="3" t="s">
        <v>2</v>
      </c>
      <c r="D806" s="3" t="s">
        <v>132</v>
      </c>
      <c r="E806" s="3">
        <v>288</v>
      </c>
      <c r="G806" s="19"/>
    </row>
    <row r="807" spans="1:7" ht="12.75" x14ac:dyDescent="0.2">
      <c r="A807" s="3">
        <v>90</v>
      </c>
      <c r="B807" s="4" t="s">
        <v>110</v>
      </c>
      <c r="C807" s="3" t="s">
        <v>2</v>
      </c>
      <c r="D807" s="3" t="s">
        <v>14</v>
      </c>
      <c r="E807" s="3">
        <v>34</v>
      </c>
      <c r="F807">
        <f>SUM(E805:E807)</f>
        <v>630</v>
      </c>
      <c r="G807" s="19"/>
    </row>
    <row r="808" spans="1:7" ht="12.75" x14ac:dyDescent="0.2">
      <c r="A808" s="3">
        <v>90</v>
      </c>
      <c r="B808" s="4" t="s">
        <v>110</v>
      </c>
      <c r="C808" s="3" t="s">
        <v>10</v>
      </c>
      <c r="D808" s="3" t="s">
        <v>3</v>
      </c>
      <c r="E808" s="3">
        <v>311</v>
      </c>
      <c r="G808" s="19"/>
    </row>
    <row r="809" spans="1:7" ht="12.75" x14ac:dyDescent="0.2">
      <c r="A809" s="3">
        <v>90</v>
      </c>
      <c r="B809" s="4" t="s">
        <v>110</v>
      </c>
      <c r="C809" s="3" t="s">
        <v>10</v>
      </c>
      <c r="D809" s="3" t="s">
        <v>132</v>
      </c>
      <c r="E809" s="3">
        <v>254</v>
      </c>
      <c r="G809" s="19"/>
    </row>
    <row r="810" spans="1:7" ht="12.75" x14ac:dyDescent="0.2">
      <c r="A810" s="3">
        <v>90</v>
      </c>
      <c r="B810" s="4" t="s">
        <v>110</v>
      </c>
      <c r="C810" s="3" t="s">
        <v>10</v>
      </c>
      <c r="D810" s="3" t="s">
        <v>14</v>
      </c>
      <c r="E810" s="3">
        <v>65</v>
      </c>
      <c r="F810">
        <f>SUM(E808:E810)</f>
        <v>630</v>
      </c>
      <c r="G810" s="19"/>
    </row>
    <row r="811" spans="1:7" ht="12.75" x14ac:dyDescent="0.2">
      <c r="A811" s="3">
        <v>90</v>
      </c>
      <c r="B811" s="4" t="s">
        <v>110</v>
      </c>
      <c r="C811" s="3" t="s">
        <v>13</v>
      </c>
      <c r="D811" s="3" t="s">
        <v>3</v>
      </c>
      <c r="E811" s="3">
        <v>252</v>
      </c>
      <c r="G811" s="19"/>
    </row>
    <row r="812" spans="1:7" ht="12.75" x14ac:dyDescent="0.2">
      <c r="A812" s="3">
        <v>90</v>
      </c>
      <c r="B812" s="4" t="s">
        <v>110</v>
      </c>
      <c r="C812" s="3" t="s">
        <v>13</v>
      </c>
      <c r="D812" s="3" t="s">
        <v>132</v>
      </c>
      <c r="E812" s="3">
        <v>324</v>
      </c>
      <c r="G812" s="19"/>
    </row>
    <row r="813" spans="1:7" ht="12.75" x14ac:dyDescent="0.2">
      <c r="A813" s="3">
        <v>90</v>
      </c>
      <c r="B813" s="4" t="s">
        <v>110</v>
      </c>
      <c r="C813" s="3" t="s">
        <v>13</v>
      </c>
      <c r="D813" s="3" t="s">
        <v>14</v>
      </c>
      <c r="E813" s="3">
        <v>54</v>
      </c>
      <c r="F813">
        <f>SUM(E811:E813)</f>
        <v>630</v>
      </c>
      <c r="G813" s="19"/>
    </row>
    <row r="814" spans="1:7" ht="12.75" x14ac:dyDescent="0.2">
      <c r="A814" s="3">
        <v>91</v>
      </c>
      <c r="B814" s="4" t="s">
        <v>111</v>
      </c>
      <c r="C814" s="3" t="s">
        <v>15</v>
      </c>
      <c r="D814" s="3" t="s">
        <v>3</v>
      </c>
      <c r="E814" s="3">
        <v>138</v>
      </c>
      <c r="G814" s="19"/>
    </row>
    <row r="815" spans="1:7" ht="12.75" x14ac:dyDescent="0.2">
      <c r="A815" s="3">
        <v>91</v>
      </c>
      <c r="B815" s="4" t="s">
        <v>111</v>
      </c>
      <c r="C815" s="3" t="s">
        <v>15</v>
      </c>
      <c r="D815" s="3" t="s">
        <v>132</v>
      </c>
      <c r="E815" s="3">
        <v>132</v>
      </c>
      <c r="G815" s="19"/>
    </row>
    <row r="816" spans="1:7" ht="12.75" x14ac:dyDescent="0.2">
      <c r="A816" s="3">
        <v>91</v>
      </c>
      <c r="B816" s="4" t="s">
        <v>111</v>
      </c>
      <c r="C816" s="3" t="s">
        <v>15</v>
      </c>
      <c r="D816" s="3" t="s">
        <v>14</v>
      </c>
      <c r="E816" s="3">
        <v>7</v>
      </c>
      <c r="G816" s="19"/>
    </row>
    <row r="817" spans="1:7" ht="12.75" x14ac:dyDescent="0.2">
      <c r="A817" s="3">
        <v>91</v>
      </c>
      <c r="B817" s="4" t="s">
        <v>111</v>
      </c>
      <c r="C817" s="3" t="s">
        <v>15</v>
      </c>
      <c r="D817" s="3" t="s">
        <v>138</v>
      </c>
      <c r="E817" s="3">
        <v>6</v>
      </c>
      <c r="F817">
        <f>SUM(E814:E817)</f>
        <v>283</v>
      </c>
      <c r="G817" s="19"/>
    </row>
    <row r="818" spans="1:7" ht="12.75" x14ac:dyDescent="0.2">
      <c r="A818" s="3">
        <v>91</v>
      </c>
      <c r="B818" s="4" t="s">
        <v>111</v>
      </c>
      <c r="C818" s="3" t="s">
        <v>17</v>
      </c>
      <c r="D818" s="3" t="s">
        <v>3</v>
      </c>
      <c r="E818" s="3">
        <v>118</v>
      </c>
      <c r="G818" s="19"/>
    </row>
    <row r="819" spans="1:7" ht="12.75" x14ac:dyDescent="0.2">
      <c r="A819" s="3">
        <v>91</v>
      </c>
      <c r="B819" s="4" t="s">
        <v>111</v>
      </c>
      <c r="C819" s="3" t="s">
        <v>17</v>
      </c>
      <c r="D819" s="3" t="s">
        <v>132</v>
      </c>
      <c r="E819" s="3">
        <v>126</v>
      </c>
      <c r="G819" s="19"/>
    </row>
    <row r="820" spans="1:7" ht="12.75" x14ac:dyDescent="0.2">
      <c r="A820" s="3">
        <v>91</v>
      </c>
      <c r="B820" s="4" t="s">
        <v>111</v>
      </c>
      <c r="C820" s="3" t="s">
        <v>17</v>
      </c>
      <c r="D820" s="3" t="s">
        <v>14</v>
      </c>
      <c r="E820" s="3">
        <v>15</v>
      </c>
      <c r="G820" s="19"/>
    </row>
    <row r="821" spans="1:7" ht="12.75" x14ac:dyDescent="0.2">
      <c r="A821" s="3">
        <v>91</v>
      </c>
      <c r="B821" s="4" t="s">
        <v>111</v>
      </c>
      <c r="C821" s="3" t="s">
        <v>17</v>
      </c>
      <c r="D821" s="3" t="s">
        <v>138</v>
      </c>
      <c r="E821" s="3">
        <v>24</v>
      </c>
      <c r="F821">
        <f>SUM(E818:E821)</f>
        <v>283</v>
      </c>
      <c r="G821" s="19"/>
    </row>
    <row r="822" spans="1:7" ht="12.75" x14ac:dyDescent="0.2">
      <c r="A822" s="3">
        <v>91</v>
      </c>
      <c r="B822" s="4" t="s">
        <v>111</v>
      </c>
      <c r="C822" s="3" t="s">
        <v>13</v>
      </c>
      <c r="D822" s="3" t="s">
        <v>3</v>
      </c>
      <c r="E822" s="3">
        <v>63</v>
      </c>
      <c r="G822" s="19"/>
    </row>
    <row r="823" spans="1:7" ht="12.75" x14ac:dyDescent="0.2">
      <c r="A823" s="3">
        <v>91</v>
      </c>
      <c r="B823" s="4" t="s">
        <v>111</v>
      </c>
      <c r="C823" s="3" t="s">
        <v>13</v>
      </c>
      <c r="D823" s="3" t="s">
        <v>132</v>
      </c>
      <c r="E823" s="3">
        <v>172</v>
      </c>
      <c r="G823" s="19"/>
    </row>
    <row r="824" spans="1:7" ht="12.75" x14ac:dyDescent="0.2">
      <c r="A824" s="3">
        <v>91</v>
      </c>
      <c r="B824" s="4" t="s">
        <v>111</v>
      </c>
      <c r="C824" s="3" t="s">
        <v>13</v>
      </c>
      <c r="D824" s="3" t="s">
        <v>14</v>
      </c>
      <c r="E824" s="3">
        <v>30</v>
      </c>
      <c r="G824" s="19"/>
    </row>
    <row r="825" spans="1:7" ht="12.75" x14ac:dyDescent="0.2">
      <c r="A825" s="3">
        <v>91</v>
      </c>
      <c r="B825" s="4" t="s">
        <v>111</v>
      </c>
      <c r="C825" s="3" t="s">
        <v>13</v>
      </c>
      <c r="D825" s="3" t="s">
        <v>138</v>
      </c>
      <c r="E825" s="3">
        <v>18</v>
      </c>
      <c r="F825">
        <f>SUM(E822:E825)</f>
        <v>283</v>
      </c>
      <c r="G825" s="19"/>
    </row>
    <row r="826" spans="1:7" ht="12.75" x14ac:dyDescent="0.2">
      <c r="A826" s="3">
        <v>92</v>
      </c>
      <c r="B826" s="4" t="s">
        <v>112</v>
      </c>
      <c r="C826" s="3" t="s">
        <v>15</v>
      </c>
      <c r="D826" s="3" t="s">
        <v>3</v>
      </c>
      <c r="E826" s="3">
        <v>129</v>
      </c>
      <c r="G826" s="19"/>
    </row>
    <row r="827" spans="1:7" ht="12.75" x14ac:dyDescent="0.2">
      <c r="A827" s="3">
        <v>92</v>
      </c>
      <c r="B827" s="4" t="s">
        <v>112</v>
      </c>
      <c r="C827" s="3" t="s">
        <v>15</v>
      </c>
      <c r="D827" s="3" t="s">
        <v>14</v>
      </c>
      <c r="E827" s="3">
        <v>97</v>
      </c>
      <c r="F827">
        <f>SUM(E826:E827)</f>
        <v>226</v>
      </c>
      <c r="G827" s="19"/>
    </row>
    <row r="828" spans="1:7" ht="12.75" x14ac:dyDescent="0.2">
      <c r="A828" s="3">
        <v>92</v>
      </c>
      <c r="B828" s="4" t="s">
        <v>112</v>
      </c>
      <c r="C828" s="3" t="s">
        <v>17</v>
      </c>
      <c r="D828" s="3" t="s">
        <v>3</v>
      </c>
      <c r="E828" s="3">
        <v>125</v>
      </c>
      <c r="G828" s="19"/>
    </row>
    <row r="829" spans="1:7" ht="12.75" x14ac:dyDescent="0.2">
      <c r="A829" s="3">
        <v>92</v>
      </c>
      <c r="B829" s="4" t="s">
        <v>112</v>
      </c>
      <c r="C829" s="3" t="s">
        <v>17</v>
      </c>
      <c r="D829" s="3" t="s">
        <v>14</v>
      </c>
      <c r="E829" s="3">
        <v>101</v>
      </c>
      <c r="F829">
        <f>SUM(E828:E829)</f>
        <v>226</v>
      </c>
      <c r="G829" s="19"/>
    </row>
    <row r="830" spans="1:7" ht="12.75" x14ac:dyDescent="0.2">
      <c r="A830" s="3">
        <v>92</v>
      </c>
      <c r="B830" s="4" t="s">
        <v>112</v>
      </c>
      <c r="C830" s="3" t="s">
        <v>13</v>
      </c>
      <c r="D830" s="3" t="s">
        <v>3</v>
      </c>
      <c r="E830" s="3">
        <v>125</v>
      </c>
      <c r="G830" s="19"/>
    </row>
    <row r="831" spans="1:7" ht="12.75" x14ac:dyDescent="0.2">
      <c r="A831" s="3">
        <v>92</v>
      </c>
      <c r="B831" s="4" t="s">
        <v>112</v>
      </c>
      <c r="C831" s="3" t="s">
        <v>13</v>
      </c>
      <c r="D831" s="3" t="s">
        <v>14</v>
      </c>
      <c r="E831" s="3">
        <v>101</v>
      </c>
      <c r="F831">
        <f>SUM(E830:E831)</f>
        <v>226</v>
      </c>
      <c r="G831" s="19"/>
    </row>
    <row r="832" spans="1:7" ht="12.75" x14ac:dyDescent="0.2">
      <c r="A832" s="3">
        <v>93</v>
      </c>
      <c r="B832" s="4" t="s">
        <v>113</v>
      </c>
      <c r="C832" s="3" t="s">
        <v>2</v>
      </c>
      <c r="D832" s="3" t="s">
        <v>3</v>
      </c>
      <c r="E832" s="3">
        <v>1889</v>
      </c>
      <c r="G832" s="19"/>
    </row>
    <row r="833" spans="1:7" ht="12.75" x14ac:dyDescent="0.2">
      <c r="A833" s="3">
        <v>93</v>
      </c>
      <c r="B833" s="4" t="s">
        <v>113</v>
      </c>
      <c r="C833" s="3" t="s">
        <v>2</v>
      </c>
      <c r="D833" s="3" t="s">
        <v>132</v>
      </c>
      <c r="E833" s="3">
        <v>1507</v>
      </c>
      <c r="G833" s="19"/>
    </row>
    <row r="834" spans="1:7" ht="12.75" x14ac:dyDescent="0.2">
      <c r="A834" s="3">
        <v>93</v>
      </c>
      <c r="B834" s="4" t="s">
        <v>113</v>
      </c>
      <c r="C834" s="3" t="s">
        <v>2</v>
      </c>
      <c r="D834" s="3" t="s">
        <v>313</v>
      </c>
      <c r="E834" s="3">
        <v>4211</v>
      </c>
      <c r="G834" s="19"/>
    </row>
    <row r="835" spans="1:7" ht="12.75" x14ac:dyDescent="0.2">
      <c r="A835" s="3">
        <v>93</v>
      </c>
      <c r="B835" s="4" t="s">
        <v>113</v>
      </c>
      <c r="C835" s="3" t="s">
        <v>2</v>
      </c>
      <c r="D835" s="3" t="s">
        <v>14</v>
      </c>
      <c r="E835" s="3">
        <v>1133</v>
      </c>
      <c r="G835" s="19"/>
    </row>
    <row r="836" spans="1:7" ht="12.75" x14ac:dyDescent="0.2">
      <c r="A836" s="3">
        <v>93</v>
      </c>
      <c r="B836" s="4" t="s">
        <v>113</v>
      </c>
      <c r="C836" s="3" t="s">
        <v>2</v>
      </c>
      <c r="D836" s="3" t="s">
        <v>138</v>
      </c>
      <c r="E836" s="3">
        <v>99</v>
      </c>
      <c r="F836">
        <f>SUM(E832:E836)</f>
        <v>8839</v>
      </c>
      <c r="G836" s="19"/>
    </row>
    <row r="837" spans="1:7" ht="12.75" x14ac:dyDescent="0.2">
      <c r="A837" s="3">
        <v>93</v>
      </c>
      <c r="B837" s="4" t="s">
        <v>113</v>
      </c>
      <c r="C837" s="3" t="s">
        <v>10</v>
      </c>
      <c r="D837" s="3" t="s">
        <v>3</v>
      </c>
      <c r="E837" s="3">
        <v>1740</v>
      </c>
      <c r="G837" s="19"/>
    </row>
    <row r="838" spans="1:7" ht="12.75" x14ac:dyDescent="0.2">
      <c r="A838" s="3">
        <v>93</v>
      </c>
      <c r="B838" s="4" t="s">
        <v>113</v>
      </c>
      <c r="C838" s="3" t="s">
        <v>10</v>
      </c>
      <c r="D838" s="3" t="s">
        <v>149</v>
      </c>
      <c r="E838" s="3">
        <v>429</v>
      </c>
      <c r="G838" s="19"/>
    </row>
    <row r="839" spans="1:7" ht="12.75" x14ac:dyDescent="0.2">
      <c r="A839" s="3">
        <v>93</v>
      </c>
      <c r="B839" s="4" t="s">
        <v>113</v>
      </c>
      <c r="C839" s="3" t="s">
        <v>10</v>
      </c>
      <c r="D839" s="3" t="s">
        <v>132</v>
      </c>
      <c r="E839" s="3">
        <v>1528</v>
      </c>
      <c r="G839" s="19"/>
    </row>
    <row r="840" spans="1:7" ht="12.75" x14ac:dyDescent="0.2">
      <c r="A840" s="3">
        <v>93</v>
      </c>
      <c r="B840" s="4" t="s">
        <v>113</v>
      </c>
      <c r="C840" s="3" t="s">
        <v>10</v>
      </c>
      <c r="D840" s="3" t="s">
        <v>313</v>
      </c>
      <c r="E840" s="3">
        <v>3647</v>
      </c>
      <c r="G840" s="19"/>
    </row>
    <row r="841" spans="1:7" ht="12.75" x14ac:dyDescent="0.2">
      <c r="A841" s="3">
        <v>93</v>
      </c>
      <c r="B841" s="4" t="s">
        <v>113</v>
      </c>
      <c r="C841" s="3" t="s">
        <v>10</v>
      </c>
      <c r="D841" s="3" t="s">
        <v>14</v>
      </c>
      <c r="E841" s="3">
        <v>1313</v>
      </c>
      <c r="G841" s="19"/>
    </row>
    <row r="842" spans="1:7" ht="12.75" x14ac:dyDescent="0.2">
      <c r="A842" s="3">
        <v>93</v>
      </c>
      <c r="B842" s="4" t="s">
        <v>113</v>
      </c>
      <c r="C842" s="3" t="s">
        <v>10</v>
      </c>
      <c r="D842" s="3" t="s">
        <v>138</v>
      </c>
      <c r="E842" s="3">
        <v>182</v>
      </c>
      <c r="F842">
        <f>SUM(E837:E842)</f>
        <v>8839</v>
      </c>
      <c r="G842" s="19"/>
    </row>
    <row r="843" spans="1:7" ht="12.75" x14ac:dyDescent="0.2">
      <c r="A843" s="3">
        <v>93</v>
      </c>
      <c r="B843" s="4" t="s">
        <v>113</v>
      </c>
      <c r="C843" s="3" t="s">
        <v>13</v>
      </c>
      <c r="D843" s="3" t="s">
        <v>3</v>
      </c>
      <c r="E843" s="3">
        <v>1763</v>
      </c>
      <c r="G843" s="19"/>
    </row>
    <row r="844" spans="1:7" ht="12.75" x14ac:dyDescent="0.2">
      <c r="A844" s="3">
        <v>93</v>
      </c>
      <c r="B844" s="4" t="s">
        <v>113</v>
      </c>
      <c r="C844" s="3" t="s">
        <v>13</v>
      </c>
      <c r="D844" s="3" t="s">
        <v>132</v>
      </c>
      <c r="E844" s="3">
        <v>1562</v>
      </c>
      <c r="G844" s="19"/>
    </row>
    <row r="845" spans="1:7" ht="12.75" x14ac:dyDescent="0.2">
      <c r="A845" s="3">
        <v>93</v>
      </c>
      <c r="B845" s="4" t="s">
        <v>113</v>
      </c>
      <c r="C845" s="3" t="s">
        <v>13</v>
      </c>
      <c r="D845" s="3" t="s">
        <v>313</v>
      </c>
      <c r="E845" s="3">
        <v>3795</v>
      </c>
      <c r="G845" s="19"/>
    </row>
    <row r="846" spans="1:7" ht="12.75" x14ac:dyDescent="0.2">
      <c r="A846" s="3">
        <v>93</v>
      </c>
      <c r="B846" s="4" t="s">
        <v>113</v>
      </c>
      <c r="C846" s="3" t="s">
        <v>13</v>
      </c>
      <c r="D846" s="3" t="s">
        <v>14</v>
      </c>
      <c r="E846" s="3">
        <v>1623</v>
      </c>
      <c r="G846" s="19"/>
    </row>
    <row r="847" spans="1:7" ht="12.75" x14ac:dyDescent="0.2">
      <c r="A847" s="3">
        <v>93</v>
      </c>
      <c r="B847" s="4" t="s">
        <v>113</v>
      </c>
      <c r="C847" s="3" t="s">
        <v>13</v>
      </c>
      <c r="D847" s="3" t="s">
        <v>138</v>
      </c>
      <c r="E847" s="3">
        <v>96</v>
      </c>
      <c r="F847">
        <f>SUM(E843:E847)</f>
        <v>8839</v>
      </c>
      <c r="G847" s="19"/>
    </row>
    <row r="848" spans="1:7" ht="12.75" x14ac:dyDescent="0.2">
      <c r="A848" s="3">
        <v>94</v>
      </c>
      <c r="B848" s="4" t="s">
        <v>114</v>
      </c>
      <c r="C848" s="3" t="s">
        <v>2</v>
      </c>
      <c r="D848" s="3" t="s">
        <v>3</v>
      </c>
      <c r="E848" s="3">
        <v>187</v>
      </c>
      <c r="G848" s="19"/>
    </row>
    <row r="849" spans="1:7" ht="12.75" x14ac:dyDescent="0.2">
      <c r="A849" s="3">
        <v>94</v>
      </c>
      <c r="B849" s="4" t="s">
        <v>114</v>
      </c>
      <c r="C849" s="3" t="s">
        <v>2</v>
      </c>
      <c r="D849" s="3" t="s">
        <v>132</v>
      </c>
      <c r="E849" s="3">
        <v>226</v>
      </c>
      <c r="G849" s="19"/>
    </row>
    <row r="850" spans="1:7" ht="12.75" x14ac:dyDescent="0.2">
      <c r="A850" s="3">
        <v>94</v>
      </c>
      <c r="B850" s="4" t="s">
        <v>114</v>
      </c>
      <c r="C850" s="3" t="s">
        <v>2</v>
      </c>
      <c r="D850" s="3" t="s">
        <v>14</v>
      </c>
      <c r="E850" s="3">
        <v>5</v>
      </c>
      <c r="G850" s="19"/>
    </row>
    <row r="851" spans="1:7" ht="12.75" x14ac:dyDescent="0.2">
      <c r="A851" s="3">
        <v>94</v>
      </c>
      <c r="B851" s="4" t="s">
        <v>114</v>
      </c>
      <c r="C851" s="3" t="s">
        <v>2</v>
      </c>
      <c r="D851" s="3" t="s">
        <v>138</v>
      </c>
      <c r="E851" s="3">
        <v>2</v>
      </c>
      <c r="F851">
        <f>SUM(E848:E851)</f>
        <v>420</v>
      </c>
      <c r="G851" s="19"/>
    </row>
    <row r="852" spans="1:7" ht="12.75" x14ac:dyDescent="0.2">
      <c r="A852" s="3">
        <v>94</v>
      </c>
      <c r="B852" s="4" t="s">
        <v>114</v>
      </c>
      <c r="C852" s="3" t="s">
        <v>10</v>
      </c>
      <c r="D852" s="3" t="s">
        <v>3</v>
      </c>
      <c r="E852" s="3">
        <v>184</v>
      </c>
      <c r="G852" s="19"/>
    </row>
    <row r="853" spans="1:7" ht="12.75" x14ac:dyDescent="0.2">
      <c r="A853" s="3">
        <v>94</v>
      </c>
      <c r="B853" s="4" t="s">
        <v>114</v>
      </c>
      <c r="C853" s="3" t="s">
        <v>10</v>
      </c>
      <c r="D853" s="3" t="s">
        <v>132</v>
      </c>
      <c r="E853" s="3">
        <v>224</v>
      </c>
      <c r="G853" s="19"/>
    </row>
    <row r="854" spans="1:7" ht="12.75" x14ac:dyDescent="0.2">
      <c r="A854" s="3">
        <v>94</v>
      </c>
      <c r="B854" s="4" t="s">
        <v>114</v>
      </c>
      <c r="C854" s="3" t="s">
        <v>10</v>
      </c>
      <c r="D854" s="3" t="s">
        <v>14</v>
      </c>
      <c r="E854" s="3">
        <v>10</v>
      </c>
      <c r="G854" s="19"/>
    </row>
    <row r="855" spans="1:7" ht="12.75" x14ac:dyDescent="0.2">
      <c r="A855" s="3">
        <v>94</v>
      </c>
      <c r="B855" s="4" t="s">
        <v>114</v>
      </c>
      <c r="C855" s="3" t="s">
        <v>10</v>
      </c>
      <c r="D855" s="3" t="s">
        <v>138</v>
      </c>
      <c r="E855" s="3">
        <v>2</v>
      </c>
      <c r="F855">
        <f>SUM(E852:E855)</f>
        <v>420</v>
      </c>
      <c r="G855" s="19"/>
    </row>
    <row r="856" spans="1:7" ht="12.75" x14ac:dyDescent="0.2">
      <c r="A856" s="3">
        <v>94</v>
      </c>
      <c r="B856" s="4" t="s">
        <v>114</v>
      </c>
      <c r="C856" s="3" t="s">
        <v>13</v>
      </c>
      <c r="D856" s="3" t="s">
        <v>3</v>
      </c>
      <c r="E856" s="3">
        <v>209</v>
      </c>
      <c r="G856" s="19"/>
    </row>
    <row r="857" spans="1:7" ht="12.75" x14ac:dyDescent="0.2">
      <c r="A857" s="3">
        <v>94</v>
      </c>
      <c r="B857" s="4" t="s">
        <v>114</v>
      </c>
      <c r="C857" s="3" t="s">
        <v>13</v>
      </c>
      <c r="D857" s="3" t="s">
        <v>132</v>
      </c>
      <c r="E857" s="3">
        <v>201</v>
      </c>
      <c r="G857" s="19"/>
    </row>
    <row r="858" spans="1:7" ht="12.75" x14ac:dyDescent="0.2">
      <c r="A858" s="3">
        <v>94</v>
      </c>
      <c r="B858" s="4" t="s">
        <v>114</v>
      </c>
      <c r="C858" s="3" t="s">
        <v>13</v>
      </c>
      <c r="D858" s="3" t="s">
        <v>14</v>
      </c>
      <c r="E858" s="3">
        <v>8</v>
      </c>
      <c r="G858" s="19"/>
    </row>
    <row r="859" spans="1:7" ht="12.75" x14ac:dyDescent="0.2">
      <c r="A859" s="3">
        <v>94</v>
      </c>
      <c r="B859" s="4" t="s">
        <v>114</v>
      </c>
      <c r="C859" s="3" t="s">
        <v>13</v>
      </c>
      <c r="D859" s="3" t="s">
        <v>138</v>
      </c>
      <c r="E859" s="3">
        <v>2</v>
      </c>
      <c r="F859">
        <f>SUM(E856:E859)</f>
        <v>420</v>
      </c>
      <c r="G859" s="19"/>
    </row>
    <row r="860" spans="1:7" ht="12.75" x14ac:dyDescent="0.2">
      <c r="A860" s="3">
        <v>95</v>
      </c>
      <c r="B860" s="4" t="s">
        <v>115</v>
      </c>
      <c r="C860" s="3" t="s">
        <v>15</v>
      </c>
      <c r="D860" s="3" t="s">
        <v>3</v>
      </c>
      <c r="E860" s="3">
        <v>66</v>
      </c>
      <c r="G860" s="19"/>
    </row>
    <row r="861" spans="1:7" ht="12.75" x14ac:dyDescent="0.2">
      <c r="A861" s="3">
        <v>95</v>
      </c>
      <c r="B861" s="4" t="s">
        <v>115</v>
      </c>
      <c r="C861" s="3" t="s">
        <v>15</v>
      </c>
      <c r="D861" s="3" t="s">
        <v>132</v>
      </c>
      <c r="E861" s="3">
        <v>54</v>
      </c>
      <c r="G861" s="19"/>
    </row>
    <row r="862" spans="1:7" ht="12.75" x14ac:dyDescent="0.2">
      <c r="A862" s="3">
        <v>95</v>
      </c>
      <c r="B862" s="4" t="s">
        <v>115</v>
      </c>
      <c r="C862" s="3" t="s">
        <v>15</v>
      </c>
      <c r="D862" s="3" t="s">
        <v>14</v>
      </c>
      <c r="E862" s="3">
        <v>3</v>
      </c>
      <c r="F862">
        <f>SUM(E860:E862)</f>
        <v>123</v>
      </c>
      <c r="G862" s="19"/>
    </row>
    <row r="863" spans="1:7" ht="12.75" x14ac:dyDescent="0.2">
      <c r="A863" s="3">
        <v>95</v>
      </c>
      <c r="B863" s="4" t="s">
        <v>115</v>
      </c>
      <c r="C863" s="3" t="s">
        <v>17</v>
      </c>
      <c r="D863" s="3" t="s">
        <v>3</v>
      </c>
      <c r="E863" s="3">
        <v>63</v>
      </c>
      <c r="G863" s="19"/>
    </row>
    <row r="864" spans="1:7" ht="12.75" x14ac:dyDescent="0.2">
      <c r="A864" s="3">
        <v>95</v>
      </c>
      <c r="B864" s="4" t="s">
        <v>115</v>
      </c>
      <c r="C864" s="3" t="s">
        <v>17</v>
      </c>
      <c r="D864" s="3" t="s">
        <v>132</v>
      </c>
      <c r="E864" s="3">
        <v>53</v>
      </c>
      <c r="G864" s="19"/>
    </row>
    <row r="865" spans="1:7" ht="12.75" x14ac:dyDescent="0.2">
      <c r="A865" s="3">
        <v>95</v>
      </c>
      <c r="B865" s="4" t="s">
        <v>115</v>
      </c>
      <c r="C865" s="3" t="s">
        <v>17</v>
      </c>
      <c r="D865" s="3" t="s">
        <v>14</v>
      </c>
      <c r="E865" s="3">
        <v>7</v>
      </c>
      <c r="F865">
        <f>SUM(E863:E865)</f>
        <v>123</v>
      </c>
      <c r="G865" s="19"/>
    </row>
    <row r="866" spans="1:7" ht="12.75" x14ac:dyDescent="0.2">
      <c r="B866" s="18"/>
      <c r="G866" s="19"/>
    </row>
    <row r="867" spans="1:7" ht="12.75" x14ac:dyDescent="0.2">
      <c r="A867" s="2" t="s">
        <v>39</v>
      </c>
      <c r="B867" s="4" t="s">
        <v>40</v>
      </c>
      <c r="C867" s="3" t="s">
        <v>347</v>
      </c>
      <c r="D867" s="3" t="s">
        <v>283</v>
      </c>
      <c r="E867" s="3">
        <v>25054</v>
      </c>
      <c r="G867" s="59">
        <v>88671</v>
      </c>
    </row>
    <row r="868" spans="1:7" ht="12.75" x14ac:dyDescent="0.2">
      <c r="A868" s="2" t="s">
        <v>39</v>
      </c>
      <c r="B868" s="4" t="s">
        <v>40</v>
      </c>
      <c r="C868" s="3" t="s">
        <v>347</v>
      </c>
      <c r="D868" s="3" t="s">
        <v>315</v>
      </c>
      <c r="E868" s="3">
        <v>2497</v>
      </c>
      <c r="G868" s="57"/>
    </row>
    <row r="869" spans="1:7" ht="12.75" x14ac:dyDescent="0.2">
      <c r="A869" s="2" t="s">
        <v>39</v>
      </c>
      <c r="B869" s="4" t="s">
        <v>40</v>
      </c>
      <c r="C869" s="3" t="s">
        <v>347</v>
      </c>
      <c r="D869" s="3" t="s">
        <v>316</v>
      </c>
      <c r="E869" s="3">
        <v>1066</v>
      </c>
      <c r="G869" s="57"/>
    </row>
    <row r="870" spans="1:7" ht="12.75" x14ac:dyDescent="0.2">
      <c r="A870" s="2" t="s">
        <v>39</v>
      </c>
      <c r="B870" s="4" t="s">
        <v>40</v>
      </c>
      <c r="C870" s="3" t="s">
        <v>347</v>
      </c>
      <c r="D870" s="3" t="s">
        <v>128</v>
      </c>
      <c r="E870" s="3">
        <v>21078</v>
      </c>
      <c r="G870" s="57"/>
    </row>
    <row r="871" spans="1:7" ht="12.75" x14ac:dyDescent="0.2">
      <c r="A871" s="2" t="s">
        <v>39</v>
      </c>
      <c r="B871" s="4" t="s">
        <v>40</v>
      </c>
      <c r="C871" s="3" t="s">
        <v>347</v>
      </c>
      <c r="D871" s="3" t="s">
        <v>353</v>
      </c>
      <c r="E871" s="3">
        <v>2549</v>
      </c>
      <c r="G871" s="57"/>
    </row>
    <row r="872" spans="1:7" ht="12.75" x14ac:dyDescent="0.2">
      <c r="A872" s="2" t="s">
        <v>39</v>
      </c>
      <c r="B872" s="4" t="s">
        <v>40</v>
      </c>
      <c r="C872" s="3" t="s">
        <v>347</v>
      </c>
      <c r="D872" s="3" t="s">
        <v>149</v>
      </c>
      <c r="E872" s="3">
        <v>14063</v>
      </c>
      <c r="G872" s="57"/>
    </row>
    <row r="873" spans="1:7" ht="12.75" x14ac:dyDescent="0.2">
      <c r="A873" s="2" t="s">
        <v>39</v>
      </c>
      <c r="B873" s="4" t="s">
        <v>40</v>
      </c>
      <c r="C873" s="3" t="s">
        <v>347</v>
      </c>
      <c r="D873" s="3" t="s">
        <v>14</v>
      </c>
      <c r="E873" s="3">
        <v>2973</v>
      </c>
      <c r="G873" s="57"/>
    </row>
    <row r="874" spans="1:7" ht="12.75" x14ac:dyDescent="0.2">
      <c r="A874" s="2" t="s">
        <v>39</v>
      </c>
      <c r="B874" s="4" t="s">
        <v>40</v>
      </c>
      <c r="C874" s="3" t="s">
        <v>347</v>
      </c>
      <c r="D874" s="3" t="s">
        <v>138</v>
      </c>
      <c r="E874" s="3">
        <v>771</v>
      </c>
      <c r="G874" s="57"/>
    </row>
    <row r="875" spans="1:7" ht="12.75" x14ac:dyDescent="0.2">
      <c r="A875" s="2" t="s">
        <v>39</v>
      </c>
      <c r="B875" s="4" t="s">
        <v>40</v>
      </c>
      <c r="C875" s="3" t="s">
        <v>273</v>
      </c>
      <c r="D875" s="3" t="s">
        <v>283</v>
      </c>
      <c r="E875" s="3">
        <v>22106</v>
      </c>
      <c r="G875" s="57"/>
    </row>
    <row r="876" spans="1:7" ht="12.75" x14ac:dyDescent="0.2">
      <c r="A876" s="2" t="s">
        <v>39</v>
      </c>
      <c r="B876" s="4" t="s">
        <v>40</v>
      </c>
      <c r="C876" s="3" t="s">
        <v>273</v>
      </c>
      <c r="D876" s="3" t="s">
        <v>315</v>
      </c>
      <c r="E876" s="3">
        <v>1841</v>
      </c>
      <c r="G876" s="57"/>
    </row>
    <row r="877" spans="1:7" ht="12.75" x14ac:dyDescent="0.2">
      <c r="A877" s="2" t="s">
        <v>39</v>
      </c>
      <c r="B877" s="4" t="s">
        <v>40</v>
      </c>
      <c r="C877" s="3" t="s">
        <v>273</v>
      </c>
      <c r="D877" s="3" t="s">
        <v>128</v>
      </c>
      <c r="E877" s="3">
        <v>23505</v>
      </c>
      <c r="G877" s="57"/>
    </row>
    <row r="878" spans="1:7" ht="12.75" x14ac:dyDescent="0.2">
      <c r="A878" s="2" t="s">
        <v>39</v>
      </c>
      <c r="B878" s="4" t="s">
        <v>40</v>
      </c>
      <c r="C878" s="3" t="s">
        <v>273</v>
      </c>
      <c r="D878" s="3" t="s">
        <v>149</v>
      </c>
      <c r="E878" s="3">
        <v>7742</v>
      </c>
      <c r="G878" s="57"/>
    </row>
    <row r="879" spans="1:7" ht="12.75" x14ac:dyDescent="0.2">
      <c r="A879" s="2" t="s">
        <v>39</v>
      </c>
      <c r="B879" s="4" t="s">
        <v>40</v>
      </c>
      <c r="C879" s="3" t="s">
        <v>273</v>
      </c>
      <c r="D879" s="3" t="s">
        <v>14</v>
      </c>
      <c r="E879" s="3">
        <v>14296</v>
      </c>
      <c r="G879" s="57"/>
    </row>
    <row r="880" spans="1:7" ht="12.75" x14ac:dyDescent="0.2">
      <c r="A880" s="2" t="s">
        <v>39</v>
      </c>
      <c r="B880" s="4" t="s">
        <v>40</v>
      </c>
      <c r="C880" s="3" t="s">
        <v>273</v>
      </c>
      <c r="D880" s="3" t="s">
        <v>138</v>
      </c>
      <c r="E880" s="3">
        <v>561</v>
      </c>
      <c r="G880" s="57"/>
    </row>
    <row r="881" spans="1:7" ht="12.75" x14ac:dyDescent="0.2">
      <c r="A881" s="2" t="s">
        <v>39</v>
      </c>
      <c r="B881" s="4" t="s">
        <v>40</v>
      </c>
      <c r="C881" s="3" t="s">
        <v>125</v>
      </c>
      <c r="D881" s="3" t="s">
        <v>283</v>
      </c>
      <c r="E881" s="3">
        <v>21892</v>
      </c>
      <c r="G881" s="57"/>
    </row>
    <row r="882" spans="1:7" ht="12.75" x14ac:dyDescent="0.2">
      <c r="A882" s="2" t="s">
        <v>39</v>
      </c>
      <c r="B882" s="4" t="s">
        <v>40</v>
      </c>
      <c r="C882" s="3" t="s">
        <v>125</v>
      </c>
      <c r="D882" s="3" t="s">
        <v>315</v>
      </c>
      <c r="E882" s="3">
        <v>1783</v>
      </c>
      <c r="G882" s="57"/>
    </row>
    <row r="883" spans="1:7" ht="12.75" x14ac:dyDescent="0.2">
      <c r="A883" s="2" t="s">
        <v>39</v>
      </c>
      <c r="B883" s="4" t="s">
        <v>40</v>
      </c>
      <c r="C883" s="3" t="s">
        <v>125</v>
      </c>
      <c r="D883" s="3" t="s">
        <v>128</v>
      </c>
      <c r="E883" s="3">
        <v>23541</v>
      </c>
      <c r="G883" s="57"/>
    </row>
    <row r="884" spans="1:7" ht="12.75" x14ac:dyDescent="0.2">
      <c r="A884" s="2" t="s">
        <v>39</v>
      </c>
      <c r="B884" s="4" t="s">
        <v>40</v>
      </c>
      <c r="C884" s="3" t="s">
        <v>125</v>
      </c>
      <c r="D884" s="3" t="s">
        <v>149</v>
      </c>
      <c r="E884" s="3">
        <v>7612</v>
      </c>
      <c r="G884" s="57"/>
    </row>
    <row r="885" spans="1:7" ht="12.75" x14ac:dyDescent="0.2">
      <c r="A885" s="2" t="s">
        <v>39</v>
      </c>
      <c r="B885" s="4" t="s">
        <v>40</v>
      </c>
      <c r="C885" s="3" t="s">
        <v>125</v>
      </c>
      <c r="D885" s="3" t="s">
        <v>14</v>
      </c>
      <c r="E885" s="3">
        <v>14678</v>
      </c>
      <c r="G885" s="57"/>
    </row>
    <row r="886" spans="1:7" ht="12.75" x14ac:dyDescent="0.2">
      <c r="A886" s="2" t="s">
        <v>39</v>
      </c>
      <c r="B886" s="4" t="s">
        <v>40</v>
      </c>
      <c r="C886" s="3" t="s">
        <v>125</v>
      </c>
      <c r="D886" s="3" t="s">
        <v>138</v>
      </c>
      <c r="E886" s="3">
        <v>545</v>
      </c>
      <c r="F886">
        <f>SUM(E881:E886)</f>
        <v>70051</v>
      </c>
      <c r="G886" s="57"/>
    </row>
    <row r="887" spans="1:7" ht="12.75" x14ac:dyDescent="0.2">
      <c r="A887" s="3">
        <v>57</v>
      </c>
      <c r="B887" s="4" t="s">
        <v>84</v>
      </c>
      <c r="C887" s="3" t="s">
        <v>347</v>
      </c>
      <c r="D887" s="3" t="s">
        <v>283</v>
      </c>
      <c r="E887" s="3">
        <v>5508</v>
      </c>
      <c r="G887" s="59">
        <v>20334</v>
      </c>
    </row>
    <row r="888" spans="1:7" ht="12.75" x14ac:dyDescent="0.2">
      <c r="A888" s="3">
        <v>57</v>
      </c>
      <c r="B888" s="4" t="s">
        <v>84</v>
      </c>
      <c r="C888" s="3" t="s">
        <v>347</v>
      </c>
      <c r="D888" s="3" t="s">
        <v>315</v>
      </c>
      <c r="E888" s="3">
        <v>458</v>
      </c>
      <c r="G888" s="57"/>
    </row>
    <row r="889" spans="1:7" ht="12.75" x14ac:dyDescent="0.2">
      <c r="A889" s="3">
        <v>57</v>
      </c>
      <c r="B889" s="4" t="s">
        <v>84</v>
      </c>
      <c r="C889" s="3" t="s">
        <v>347</v>
      </c>
      <c r="D889" s="3" t="s">
        <v>316</v>
      </c>
      <c r="E889" s="3">
        <v>442</v>
      </c>
      <c r="G889" s="57"/>
    </row>
    <row r="890" spans="1:7" ht="12.75" x14ac:dyDescent="0.2">
      <c r="A890" s="3">
        <v>57</v>
      </c>
      <c r="B890" s="4" t="s">
        <v>84</v>
      </c>
      <c r="C890" s="3" t="s">
        <v>347</v>
      </c>
      <c r="D890" s="3" t="s">
        <v>128</v>
      </c>
      <c r="E890" s="3">
        <v>4189</v>
      </c>
      <c r="G890" s="57"/>
    </row>
    <row r="891" spans="1:7" ht="12.75" x14ac:dyDescent="0.2">
      <c r="A891" s="3">
        <v>57</v>
      </c>
      <c r="B891" s="4" t="s">
        <v>84</v>
      </c>
      <c r="C891" s="3" t="s">
        <v>347</v>
      </c>
      <c r="D891" s="3" t="s">
        <v>353</v>
      </c>
      <c r="E891" s="3">
        <v>411</v>
      </c>
      <c r="G891" s="57"/>
    </row>
    <row r="892" spans="1:7" ht="12.75" x14ac:dyDescent="0.2">
      <c r="A892" s="3">
        <v>57</v>
      </c>
      <c r="B892" s="4" t="s">
        <v>84</v>
      </c>
      <c r="C892" s="3" t="s">
        <v>347</v>
      </c>
      <c r="D892" s="3" t="s">
        <v>149</v>
      </c>
      <c r="E892" s="3">
        <v>4604</v>
      </c>
      <c r="G892" s="57"/>
    </row>
    <row r="893" spans="1:7" ht="12.75" x14ac:dyDescent="0.2">
      <c r="A893" s="3">
        <v>57</v>
      </c>
      <c r="B893" s="4" t="s">
        <v>84</v>
      </c>
      <c r="C893" s="3" t="s">
        <v>347</v>
      </c>
      <c r="D893" s="3" t="s">
        <v>14</v>
      </c>
      <c r="E893" s="3">
        <v>917</v>
      </c>
      <c r="G893" s="57"/>
    </row>
    <row r="894" spans="1:7" ht="12.75" x14ac:dyDescent="0.2">
      <c r="A894" s="3">
        <v>57</v>
      </c>
      <c r="B894" s="4" t="s">
        <v>84</v>
      </c>
      <c r="C894" s="3" t="s">
        <v>347</v>
      </c>
      <c r="D894" s="3" t="s">
        <v>138</v>
      </c>
      <c r="E894" s="3">
        <v>190</v>
      </c>
      <c r="F894">
        <f>SUM(E887:E894)</f>
        <v>16719</v>
      </c>
      <c r="G894" s="57"/>
    </row>
    <row r="895" spans="1:7" ht="12.75" x14ac:dyDescent="0.2">
      <c r="A895" s="3">
        <v>57</v>
      </c>
      <c r="B895" s="4" t="s">
        <v>84</v>
      </c>
      <c r="C895" s="3" t="s">
        <v>273</v>
      </c>
      <c r="D895" s="3" t="s">
        <v>283</v>
      </c>
      <c r="E895" s="3">
        <v>6059</v>
      </c>
      <c r="G895" s="57"/>
    </row>
    <row r="896" spans="1:7" ht="12.75" x14ac:dyDescent="0.2">
      <c r="A896" s="3">
        <v>57</v>
      </c>
      <c r="B896" s="4" t="s">
        <v>84</v>
      </c>
      <c r="C896" s="3" t="s">
        <v>273</v>
      </c>
      <c r="D896" s="3" t="s">
        <v>315</v>
      </c>
      <c r="E896" s="3">
        <v>335</v>
      </c>
      <c r="G896" s="57"/>
    </row>
    <row r="897" spans="1:7" ht="12.75" x14ac:dyDescent="0.2">
      <c r="A897" s="3">
        <v>57</v>
      </c>
      <c r="B897" s="4" t="s">
        <v>84</v>
      </c>
      <c r="C897" s="3" t="s">
        <v>273</v>
      </c>
      <c r="D897" s="3" t="s">
        <v>128</v>
      </c>
      <c r="E897" s="3">
        <v>3416</v>
      </c>
      <c r="G897" s="57"/>
    </row>
    <row r="898" spans="1:7" ht="12.75" x14ac:dyDescent="0.2">
      <c r="A898" s="3">
        <v>57</v>
      </c>
      <c r="B898" s="4" t="s">
        <v>84</v>
      </c>
      <c r="C898" s="3" t="s">
        <v>273</v>
      </c>
      <c r="D898" s="3" t="s">
        <v>149</v>
      </c>
      <c r="E898" s="3">
        <v>2472</v>
      </c>
      <c r="G898" s="57"/>
    </row>
    <row r="899" spans="1:7" ht="12.75" x14ac:dyDescent="0.2">
      <c r="A899" s="3">
        <v>57</v>
      </c>
      <c r="B899" s="4" t="s">
        <v>84</v>
      </c>
      <c r="C899" s="3" t="s">
        <v>273</v>
      </c>
      <c r="D899" s="3" t="s">
        <v>14</v>
      </c>
      <c r="E899" s="3">
        <v>4283</v>
      </c>
      <c r="G899" s="57"/>
    </row>
    <row r="900" spans="1:7" ht="12.75" x14ac:dyDescent="0.2">
      <c r="A900" s="3">
        <v>57</v>
      </c>
      <c r="B900" s="4" t="s">
        <v>84</v>
      </c>
      <c r="C900" s="3" t="s">
        <v>273</v>
      </c>
      <c r="D900" s="3" t="s">
        <v>138</v>
      </c>
      <c r="E900" s="3">
        <v>154</v>
      </c>
      <c r="F900">
        <f>SUM(E895:E900)</f>
        <v>16719</v>
      </c>
      <c r="G900" s="57"/>
    </row>
    <row r="901" spans="1:7" ht="12.75" x14ac:dyDescent="0.2">
      <c r="A901" s="3">
        <v>57</v>
      </c>
      <c r="B901" s="4" t="s">
        <v>84</v>
      </c>
      <c r="C901" s="3" t="s">
        <v>125</v>
      </c>
      <c r="D901" s="3" t="s">
        <v>283</v>
      </c>
      <c r="E901" s="3">
        <v>6068</v>
      </c>
      <c r="G901" s="57"/>
    </row>
    <row r="902" spans="1:7" ht="12.75" x14ac:dyDescent="0.2">
      <c r="A902" s="3">
        <v>57</v>
      </c>
      <c r="B902" s="4" t="s">
        <v>84</v>
      </c>
      <c r="C902" s="3" t="s">
        <v>125</v>
      </c>
      <c r="D902" s="3" t="s">
        <v>315</v>
      </c>
      <c r="E902" s="3">
        <v>322</v>
      </c>
      <c r="G902" s="57"/>
    </row>
    <row r="903" spans="1:7" ht="12.75" x14ac:dyDescent="0.2">
      <c r="A903" s="3">
        <v>57</v>
      </c>
      <c r="B903" s="4" t="s">
        <v>84</v>
      </c>
      <c r="C903" s="3" t="s">
        <v>125</v>
      </c>
      <c r="D903" s="3" t="s">
        <v>128</v>
      </c>
      <c r="E903" s="3">
        <v>3430</v>
      </c>
      <c r="G903" s="57"/>
    </row>
    <row r="904" spans="1:7" ht="12.75" x14ac:dyDescent="0.2">
      <c r="A904" s="3">
        <v>57</v>
      </c>
      <c r="B904" s="4" t="s">
        <v>84</v>
      </c>
      <c r="C904" s="3" t="s">
        <v>125</v>
      </c>
      <c r="D904" s="3" t="s">
        <v>149</v>
      </c>
      <c r="E904" s="3">
        <v>2416</v>
      </c>
      <c r="G904" s="57"/>
    </row>
    <row r="905" spans="1:7" ht="12.75" x14ac:dyDescent="0.2">
      <c r="A905" s="3">
        <v>57</v>
      </c>
      <c r="B905" s="4" t="s">
        <v>84</v>
      </c>
      <c r="C905" s="3" t="s">
        <v>125</v>
      </c>
      <c r="D905" s="3" t="s">
        <v>14</v>
      </c>
      <c r="E905" s="3">
        <v>4328</v>
      </c>
      <c r="G905" s="57"/>
    </row>
    <row r="906" spans="1:7" ht="12.75" x14ac:dyDescent="0.2">
      <c r="A906" s="3">
        <v>57</v>
      </c>
      <c r="B906" s="4" t="s">
        <v>84</v>
      </c>
      <c r="C906" s="3" t="s">
        <v>125</v>
      </c>
      <c r="D906" s="3" t="s">
        <v>138</v>
      </c>
      <c r="E906" s="3">
        <v>155</v>
      </c>
      <c r="F906">
        <f>SUM(E901:E906)</f>
        <v>16719</v>
      </c>
      <c r="G906" s="57"/>
    </row>
    <row r="907" spans="1:7" ht="12.75" x14ac:dyDescent="0.2">
      <c r="A907" s="3">
        <v>93</v>
      </c>
      <c r="B907" s="4" t="s">
        <v>113</v>
      </c>
      <c r="C907" s="3" t="s">
        <v>347</v>
      </c>
      <c r="D907" s="3" t="s">
        <v>283</v>
      </c>
      <c r="E907" s="3">
        <v>2360</v>
      </c>
      <c r="G907" s="59">
        <v>11322</v>
      </c>
    </row>
    <row r="908" spans="1:7" ht="12.75" x14ac:dyDescent="0.2">
      <c r="A908" s="3">
        <v>93</v>
      </c>
      <c r="B908" s="4" t="s">
        <v>113</v>
      </c>
      <c r="C908" s="3" t="s">
        <v>347</v>
      </c>
      <c r="D908" s="3" t="s">
        <v>315</v>
      </c>
      <c r="E908" s="3">
        <v>144</v>
      </c>
      <c r="G908" s="57"/>
    </row>
    <row r="909" spans="1:7" ht="12.75" x14ac:dyDescent="0.2">
      <c r="A909" s="3">
        <v>93</v>
      </c>
      <c r="B909" s="4" t="s">
        <v>113</v>
      </c>
      <c r="C909" s="3" t="s">
        <v>347</v>
      </c>
      <c r="D909" s="3" t="s">
        <v>316</v>
      </c>
      <c r="E909" s="3">
        <v>135</v>
      </c>
      <c r="G909" s="57"/>
    </row>
    <row r="910" spans="1:7" ht="12.75" x14ac:dyDescent="0.2">
      <c r="A910" s="3">
        <v>93</v>
      </c>
      <c r="B910" s="4" t="s">
        <v>113</v>
      </c>
      <c r="C910" s="3" t="s">
        <v>347</v>
      </c>
      <c r="D910" s="3" t="s">
        <v>128</v>
      </c>
      <c r="E910" s="3">
        <v>2734</v>
      </c>
      <c r="G910" s="57"/>
    </row>
    <row r="911" spans="1:7" ht="12.75" x14ac:dyDescent="0.2">
      <c r="A911" s="3">
        <v>93</v>
      </c>
      <c r="B911" s="4" t="s">
        <v>113</v>
      </c>
      <c r="C911" s="3" t="s">
        <v>347</v>
      </c>
      <c r="D911" s="3" t="s">
        <v>353</v>
      </c>
      <c r="E911" s="3">
        <v>186</v>
      </c>
      <c r="G911" s="57"/>
    </row>
    <row r="912" spans="1:7" ht="12.75" x14ac:dyDescent="0.2">
      <c r="A912" s="3">
        <v>93</v>
      </c>
      <c r="B912" s="4" t="s">
        <v>113</v>
      </c>
      <c r="C912" s="3" t="s">
        <v>347</v>
      </c>
      <c r="D912" s="3" t="s">
        <v>149</v>
      </c>
      <c r="E912" s="3">
        <v>2335</v>
      </c>
      <c r="G912" s="57"/>
    </row>
    <row r="913" spans="1:7" ht="12.75" x14ac:dyDescent="0.2">
      <c r="A913" s="3">
        <v>93</v>
      </c>
      <c r="B913" s="4" t="s">
        <v>113</v>
      </c>
      <c r="C913" s="3" t="s">
        <v>347</v>
      </c>
      <c r="D913" s="3" t="s">
        <v>14</v>
      </c>
      <c r="E913" s="3">
        <v>833</v>
      </c>
      <c r="G913" s="57"/>
    </row>
    <row r="914" spans="1:7" ht="12.75" x14ac:dyDescent="0.2">
      <c r="A914" s="3">
        <v>93</v>
      </c>
      <c r="B914" s="4" t="s">
        <v>113</v>
      </c>
      <c r="C914" s="3" t="s">
        <v>347</v>
      </c>
      <c r="D914" s="3" t="s">
        <v>138</v>
      </c>
      <c r="E914" s="3">
        <v>108</v>
      </c>
      <c r="F914">
        <f>SUM(E907:E914)</f>
        <v>8835</v>
      </c>
      <c r="G914" s="57"/>
    </row>
    <row r="915" spans="1:7" ht="12.75" x14ac:dyDescent="0.2">
      <c r="A915" s="3">
        <v>93</v>
      </c>
      <c r="B915" s="4" t="s">
        <v>113</v>
      </c>
      <c r="C915" s="3" t="s">
        <v>273</v>
      </c>
      <c r="D915" s="3" t="s">
        <v>283</v>
      </c>
      <c r="E915" s="3">
        <v>2132</v>
      </c>
      <c r="G915" s="57"/>
    </row>
    <row r="916" spans="1:7" ht="12.75" x14ac:dyDescent="0.2">
      <c r="A916" s="3">
        <v>93</v>
      </c>
      <c r="B916" s="4" t="s">
        <v>113</v>
      </c>
      <c r="C916" s="3" t="s">
        <v>273</v>
      </c>
      <c r="D916" s="3" t="s">
        <v>315</v>
      </c>
      <c r="E916" s="3">
        <v>90</v>
      </c>
      <c r="G916" s="57"/>
    </row>
    <row r="917" spans="1:7" ht="12.75" x14ac:dyDescent="0.2">
      <c r="A917" s="3">
        <v>93</v>
      </c>
      <c r="B917" s="4" t="s">
        <v>113</v>
      </c>
      <c r="C917" s="3" t="s">
        <v>273</v>
      </c>
      <c r="D917" s="3" t="s">
        <v>128</v>
      </c>
      <c r="E917" s="3">
        <v>2225</v>
      </c>
      <c r="G917" s="57"/>
    </row>
    <row r="918" spans="1:7" ht="12.75" x14ac:dyDescent="0.2">
      <c r="A918" s="3">
        <v>93</v>
      </c>
      <c r="B918" s="4" t="s">
        <v>113</v>
      </c>
      <c r="C918" s="3" t="s">
        <v>273</v>
      </c>
      <c r="D918" s="3" t="s">
        <v>149</v>
      </c>
      <c r="E918" s="3">
        <v>1137</v>
      </c>
      <c r="G918" s="57"/>
    </row>
    <row r="919" spans="1:7" ht="12.75" x14ac:dyDescent="0.2">
      <c r="A919" s="3">
        <v>93</v>
      </c>
      <c r="B919" s="4" t="s">
        <v>113</v>
      </c>
      <c r="C919" s="3" t="s">
        <v>273</v>
      </c>
      <c r="D919" s="3" t="s">
        <v>14</v>
      </c>
      <c r="E919" s="3">
        <v>3163</v>
      </c>
      <c r="G919" s="57"/>
    </row>
    <row r="920" spans="1:7" ht="12.75" x14ac:dyDescent="0.2">
      <c r="A920" s="3">
        <v>93</v>
      </c>
      <c r="B920" s="4" t="s">
        <v>113</v>
      </c>
      <c r="C920" s="3" t="s">
        <v>273</v>
      </c>
      <c r="D920" s="3" t="s">
        <v>138</v>
      </c>
      <c r="E920" s="3">
        <v>88</v>
      </c>
      <c r="F920">
        <f>SUM(E915:E920)</f>
        <v>8835</v>
      </c>
      <c r="G920" s="57"/>
    </row>
    <row r="921" spans="1:7" ht="12.75" x14ac:dyDescent="0.2">
      <c r="A921" s="3">
        <v>93</v>
      </c>
      <c r="B921" s="4" t="s">
        <v>113</v>
      </c>
      <c r="C921" s="3" t="s">
        <v>125</v>
      </c>
      <c r="D921" s="3" t="s">
        <v>283</v>
      </c>
      <c r="E921" s="3">
        <v>2124</v>
      </c>
      <c r="G921" s="57"/>
    </row>
    <row r="922" spans="1:7" ht="12.75" x14ac:dyDescent="0.2">
      <c r="A922" s="3">
        <v>93</v>
      </c>
      <c r="B922" s="4" t="s">
        <v>113</v>
      </c>
      <c r="C922" s="3" t="s">
        <v>125</v>
      </c>
      <c r="D922" s="3" t="s">
        <v>315</v>
      </c>
      <c r="E922" s="3">
        <v>75</v>
      </c>
      <c r="G922" s="57"/>
    </row>
    <row r="923" spans="1:7" ht="12.75" x14ac:dyDescent="0.2">
      <c r="A923" s="3">
        <v>93</v>
      </c>
      <c r="B923" s="4" t="s">
        <v>113</v>
      </c>
      <c r="C923" s="3" t="s">
        <v>125</v>
      </c>
      <c r="D923" s="3" t="s">
        <v>128</v>
      </c>
      <c r="E923" s="3">
        <v>2164</v>
      </c>
      <c r="G923" s="57"/>
    </row>
    <row r="924" spans="1:7" ht="12.75" x14ac:dyDescent="0.2">
      <c r="A924" s="3">
        <v>93</v>
      </c>
      <c r="B924" s="4" t="s">
        <v>113</v>
      </c>
      <c r="C924" s="3" t="s">
        <v>125</v>
      </c>
      <c r="D924" s="3" t="s">
        <v>149</v>
      </c>
      <c r="E924" s="3">
        <v>1113</v>
      </c>
      <c r="G924" s="57"/>
    </row>
    <row r="925" spans="1:7" ht="12.75" x14ac:dyDescent="0.2">
      <c r="A925" s="3">
        <v>93</v>
      </c>
      <c r="B925" s="4" t="s">
        <v>113</v>
      </c>
      <c r="C925" s="3" t="s">
        <v>125</v>
      </c>
      <c r="D925" s="3" t="s">
        <v>14</v>
      </c>
      <c r="E925" s="3">
        <v>3259</v>
      </c>
      <c r="G925" s="57"/>
    </row>
    <row r="926" spans="1:7" ht="12.75" x14ac:dyDescent="0.2">
      <c r="A926" s="3">
        <v>93</v>
      </c>
      <c r="B926" s="4" t="s">
        <v>113</v>
      </c>
      <c r="C926" s="3" t="s">
        <v>125</v>
      </c>
      <c r="D926" s="3" t="s">
        <v>138</v>
      </c>
      <c r="E926" s="3">
        <v>100</v>
      </c>
      <c r="F926">
        <f>SUM(E921:E926)</f>
        <v>8835</v>
      </c>
      <c r="G926" s="57"/>
    </row>
    <row r="927" spans="1:7" ht="12.75" x14ac:dyDescent="0.2">
      <c r="A927" s="3">
        <v>86</v>
      </c>
      <c r="B927" s="4" t="s">
        <v>106</v>
      </c>
      <c r="C927" s="3" t="s">
        <v>347</v>
      </c>
      <c r="D927" s="3" t="s">
        <v>283</v>
      </c>
      <c r="E927" s="3">
        <v>3416</v>
      </c>
      <c r="G927" s="59">
        <v>10863</v>
      </c>
    </row>
    <row r="928" spans="1:7" ht="12.75" x14ac:dyDescent="0.2">
      <c r="A928" s="3">
        <v>86</v>
      </c>
      <c r="B928" s="4" t="s">
        <v>106</v>
      </c>
      <c r="C928" s="3" t="s">
        <v>347</v>
      </c>
      <c r="D928" s="3" t="s">
        <v>315</v>
      </c>
      <c r="E928" s="3">
        <v>232</v>
      </c>
      <c r="G928" s="57"/>
    </row>
    <row r="929" spans="1:7" ht="12.75" x14ac:dyDescent="0.2">
      <c r="A929" s="3">
        <v>86</v>
      </c>
      <c r="B929" s="4" t="s">
        <v>106</v>
      </c>
      <c r="C929" s="3" t="s">
        <v>347</v>
      </c>
      <c r="D929" s="3" t="s">
        <v>316</v>
      </c>
      <c r="E929" s="3">
        <v>96</v>
      </c>
      <c r="G929" s="57"/>
    </row>
    <row r="930" spans="1:7" ht="12.75" x14ac:dyDescent="0.2">
      <c r="A930" s="3">
        <v>86</v>
      </c>
      <c r="B930" s="4" t="s">
        <v>106</v>
      </c>
      <c r="C930" s="3" t="s">
        <v>347</v>
      </c>
      <c r="D930" s="3" t="s">
        <v>128</v>
      </c>
      <c r="E930" s="3">
        <v>2593</v>
      </c>
      <c r="G930" s="57"/>
    </row>
    <row r="931" spans="1:7" ht="12.75" x14ac:dyDescent="0.2">
      <c r="A931" s="3">
        <v>86</v>
      </c>
      <c r="B931" s="4" t="s">
        <v>106</v>
      </c>
      <c r="C931" s="3" t="s">
        <v>347</v>
      </c>
      <c r="D931" s="3" t="s">
        <v>353</v>
      </c>
      <c r="E931" s="3">
        <v>235</v>
      </c>
      <c r="G931" s="57"/>
    </row>
    <row r="932" spans="1:7" ht="12.75" x14ac:dyDescent="0.2">
      <c r="A932" s="3">
        <v>86</v>
      </c>
      <c r="B932" s="4" t="s">
        <v>106</v>
      </c>
      <c r="C932" s="3" t="s">
        <v>347</v>
      </c>
      <c r="D932" s="3" t="s">
        <v>149</v>
      </c>
      <c r="E932" s="3">
        <v>1745</v>
      </c>
      <c r="G932" s="57"/>
    </row>
    <row r="933" spans="1:7" ht="12.75" x14ac:dyDescent="0.2">
      <c r="A933" s="3">
        <v>86</v>
      </c>
      <c r="B933" s="4" t="s">
        <v>106</v>
      </c>
      <c r="C933" s="3" t="s">
        <v>347</v>
      </c>
      <c r="D933" s="3" t="s">
        <v>14</v>
      </c>
      <c r="E933" s="3">
        <v>374</v>
      </c>
      <c r="G933" s="57"/>
    </row>
    <row r="934" spans="1:7" ht="12.75" x14ac:dyDescent="0.2">
      <c r="A934" s="3">
        <v>86</v>
      </c>
      <c r="B934" s="4" t="s">
        <v>106</v>
      </c>
      <c r="C934" s="3" t="s">
        <v>347</v>
      </c>
      <c r="D934" s="3" t="s">
        <v>138</v>
      </c>
      <c r="E934" s="3">
        <v>59</v>
      </c>
      <c r="F934">
        <f>SUM(E927:E934)</f>
        <v>8750</v>
      </c>
      <c r="G934" s="57"/>
    </row>
    <row r="935" spans="1:7" ht="12.75" x14ac:dyDescent="0.2">
      <c r="A935" s="3">
        <v>86</v>
      </c>
      <c r="B935" s="4" t="s">
        <v>106</v>
      </c>
      <c r="C935" s="3" t="s">
        <v>273</v>
      </c>
      <c r="D935" s="3" t="s">
        <v>283</v>
      </c>
      <c r="E935" s="3">
        <v>3138</v>
      </c>
      <c r="G935" s="57"/>
    </row>
    <row r="936" spans="1:7" ht="12.75" x14ac:dyDescent="0.2">
      <c r="A936" s="3">
        <v>86</v>
      </c>
      <c r="B936" s="4" t="s">
        <v>106</v>
      </c>
      <c r="C936" s="3" t="s">
        <v>273</v>
      </c>
      <c r="D936" s="3" t="s">
        <v>315</v>
      </c>
      <c r="E936" s="3">
        <v>198</v>
      </c>
      <c r="G936" s="57"/>
    </row>
    <row r="937" spans="1:7" ht="12.75" x14ac:dyDescent="0.2">
      <c r="A937" s="3">
        <v>86</v>
      </c>
      <c r="B937" s="4" t="s">
        <v>106</v>
      </c>
      <c r="C937" s="3" t="s">
        <v>273</v>
      </c>
      <c r="D937" s="3" t="s">
        <v>128</v>
      </c>
      <c r="E937" s="3">
        <v>2598</v>
      </c>
      <c r="G937" s="57"/>
    </row>
    <row r="938" spans="1:7" ht="12.75" x14ac:dyDescent="0.2">
      <c r="A938" s="3">
        <v>86</v>
      </c>
      <c r="B938" s="4" t="s">
        <v>106</v>
      </c>
      <c r="C938" s="3" t="s">
        <v>273</v>
      </c>
      <c r="D938" s="3" t="s">
        <v>149</v>
      </c>
      <c r="E938" s="3">
        <v>1019</v>
      </c>
      <c r="G938" s="57"/>
    </row>
    <row r="939" spans="1:7" ht="12.75" x14ac:dyDescent="0.2">
      <c r="A939" s="3">
        <v>86</v>
      </c>
      <c r="B939" s="4" t="s">
        <v>106</v>
      </c>
      <c r="C939" s="3" t="s">
        <v>273</v>
      </c>
      <c r="D939" s="3" t="s">
        <v>14</v>
      </c>
      <c r="E939" s="3">
        <v>1756</v>
      </c>
      <c r="G939" s="57"/>
    </row>
    <row r="940" spans="1:7" ht="12.75" x14ac:dyDescent="0.2">
      <c r="A940" s="3">
        <v>86</v>
      </c>
      <c r="B940" s="4" t="s">
        <v>106</v>
      </c>
      <c r="C940" s="3" t="s">
        <v>273</v>
      </c>
      <c r="D940" s="3" t="s">
        <v>138</v>
      </c>
      <c r="E940" s="3">
        <v>41</v>
      </c>
      <c r="F940">
        <f>SUM(E935:E940)</f>
        <v>8750</v>
      </c>
      <c r="G940" s="57"/>
    </row>
    <row r="941" spans="1:7" ht="12.75" x14ac:dyDescent="0.2">
      <c r="A941" s="3">
        <v>86</v>
      </c>
      <c r="B941" s="4" t="s">
        <v>106</v>
      </c>
      <c r="C941" s="3" t="s">
        <v>125</v>
      </c>
      <c r="D941" s="3" t="s">
        <v>283</v>
      </c>
      <c r="E941" s="3">
        <v>3175</v>
      </c>
      <c r="G941" s="57"/>
    </row>
    <row r="942" spans="1:7" ht="12.75" x14ac:dyDescent="0.2">
      <c r="A942" s="3">
        <v>86</v>
      </c>
      <c r="B942" s="4" t="s">
        <v>106</v>
      </c>
      <c r="C942" s="3" t="s">
        <v>125</v>
      </c>
      <c r="D942" s="3" t="s">
        <v>315</v>
      </c>
      <c r="E942" s="3">
        <v>183</v>
      </c>
      <c r="G942" s="57"/>
    </row>
    <row r="943" spans="1:7" ht="12.75" x14ac:dyDescent="0.2">
      <c r="A943" s="3">
        <v>86</v>
      </c>
      <c r="B943" s="4" t="s">
        <v>106</v>
      </c>
      <c r="C943" s="3" t="s">
        <v>125</v>
      </c>
      <c r="D943" s="3" t="s">
        <v>128</v>
      </c>
      <c r="E943" s="3">
        <v>2580</v>
      </c>
      <c r="G943" s="57"/>
    </row>
    <row r="944" spans="1:7" ht="12.75" x14ac:dyDescent="0.2">
      <c r="A944" s="3">
        <v>86</v>
      </c>
      <c r="B944" s="4" t="s">
        <v>106</v>
      </c>
      <c r="C944" s="3" t="s">
        <v>125</v>
      </c>
      <c r="D944" s="3" t="s">
        <v>149</v>
      </c>
      <c r="E944" s="3">
        <v>959</v>
      </c>
      <c r="G944" s="57"/>
    </row>
    <row r="945" spans="1:7" ht="12.75" x14ac:dyDescent="0.2">
      <c r="A945" s="3">
        <v>86</v>
      </c>
      <c r="B945" s="4" t="s">
        <v>106</v>
      </c>
      <c r="C945" s="3" t="s">
        <v>125</v>
      </c>
      <c r="D945" s="3" t="s">
        <v>14</v>
      </c>
      <c r="E945" s="3">
        <v>1812</v>
      </c>
      <c r="G945" s="57"/>
    </row>
    <row r="946" spans="1:7" ht="12.75" x14ac:dyDescent="0.2">
      <c r="A946" s="3">
        <v>86</v>
      </c>
      <c r="B946" s="4" t="s">
        <v>106</v>
      </c>
      <c r="C946" s="3" t="s">
        <v>125</v>
      </c>
      <c r="D946" s="3" t="s">
        <v>138</v>
      </c>
      <c r="E946" s="3">
        <v>41</v>
      </c>
      <c r="F946">
        <f>SUM(E941:E946)</f>
        <v>8750</v>
      </c>
      <c r="G946" s="57"/>
    </row>
    <row r="947" spans="1:7" ht="12.75" x14ac:dyDescent="0.2">
      <c r="A947" s="3">
        <v>27</v>
      </c>
      <c r="B947" s="4" t="s">
        <v>57</v>
      </c>
      <c r="C947" s="3" t="s">
        <v>347</v>
      </c>
      <c r="D947" s="3" t="s">
        <v>283</v>
      </c>
      <c r="E947" s="3">
        <v>3036</v>
      </c>
      <c r="G947" s="59">
        <v>8639</v>
      </c>
    </row>
    <row r="948" spans="1:7" ht="12.75" x14ac:dyDescent="0.2">
      <c r="A948" s="3">
        <v>27</v>
      </c>
      <c r="B948" s="4" t="s">
        <v>57</v>
      </c>
      <c r="C948" s="3" t="s">
        <v>347</v>
      </c>
      <c r="D948" s="3" t="s">
        <v>315</v>
      </c>
      <c r="E948" s="3">
        <v>111</v>
      </c>
      <c r="G948" s="57"/>
    </row>
    <row r="949" spans="1:7" ht="12.75" x14ac:dyDescent="0.2">
      <c r="A949" s="3">
        <v>27</v>
      </c>
      <c r="B949" s="4" t="s">
        <v>57</v>
      </c>
      <c r="C949" s="3" t="s">
        <v>347</v>
      </c>
      <c r="D949" s="3" t="s">
        <v>316</v>
      </c>
      <c r="E949" s="3">
        <v>101</v>
      </c>
      <c r="G949" s="57"/>
    </row>
    <row r="950" spans="1:7" ht="12.75" x14ac:dyDescent="0.2">
      <c r="A950" s="3">
        <v>27</v>
      </c>
      <c r="B950" s="4" t="s">
        <v>57</v>
      </c>
      <c r="C950" s="3" t="s">
        <v>347</v>
      </c>
      <c r="D950" s="3" t="s">
        <v>128</v>
      </c>
      <c r="E950" s="3">
        <v>2421</v>
      </c>
      <c r="G950" s="57"/>
    </row>
    <row r="951" spans="1:7" ht="12.75" x14ac:dyDescent="0.2">
      <c r="A951" s="3">
        <v>27</v>
      </c>
      <c r="B951" s="4" t="s">
        <v>57</v>
      </c>
      <c r="C951" s="3" t="s">
        <v>347</v>
      </c>
      <c r="D951" s="3" t="s">
        <v>353</v>
      </c>
      <c r="E951" s="3">
        <v>89</v>
      </c>
      <c r="G951" s="57"/>
    </row>
    <row r="952" spans="1:7" ht="12.75" x14ac:dyDescent="0.2">
      <c r="A952" s="3">
        <v>27</v>
      </c>
      <c r="B952" s="4" t="s">
        <v>57</v>
      </c>
      <c r="C952" s="3" t="s">
        <v>347</v>
      </c>
      <c r="D952" s="3" t="s">
        <v>149</v>
      </c>
      <c r="E952" s="3">
        <v>1040</v>
      </c>
      <c r="G952" s="57"/>
    </row>
    <row r="953" spans="1:7" ht="12.75" x14ac:dyDescent="0.2">
      <c r="A953" s="3">
        <v>27</v>
      </c>
      <c r="B953" s="4" t="s">
        <v>57</v>
      </c>
      <c r="C953" s="3" t="s">
        <v>347</v>
      </c>
      <c r="D953" s="3" t="s">
        <v>14</v>
      </c>
      <c r="E953" s="3">
        <v>348</v>
      </c>
      <c r="G953" s="57"/>
    </row>
    <row r="954" spans="1:7" ht="12.75" x14ac:dyDescent="0.2">
      <c r="A954" s="3">
        <v>27</v>
      </c>
      <c r="B954" s="4" t="s">
        <v>57</v>
      </c>
      <c r="C954" s="3" t="s">
        <v>347</v>
      </c>
      <c r="D954" s="3" t="s">
        <v>138</v>
      </c>
      <c r="E954" s="3">
        <v>51</v>
      </c>
      <c r="F954">
        <f>SUM(E947:E954)</f>
        <v>7197</v>
      </c>
      <c r="G954" s="57"/>
    </row>
    <row r="955" spans="1:7" ht="12.75" x14ac:dyDescent="0.2">
      <c r="A955" s="3">
        <v>27</v>
      </c>
      <c r="B955" s="4" t="s">
        <v>57</v>
      </c>
      <c r="C955" s="3" t="s">
        <v>273</v>
      </c>
      <c r="D955" s="3" t="s">
        <v>283</v>
      </c>
      <c r="E955" s="3">
        <v>2993</v>
      </c>
      <c r="G955" s="57"/>
    </row>
    <row r="956" spans="1:7" ht="12.75" x14ac:dyDescent="0.2">
      <c r="A956" s="3">
        <v>27</v>
      </c>
      <c r="B956" s="4" t="s">
        <v>57</v>
      </c>
      <c r="C956" s="3" t="s">
        <v>273</v>
      </c>
      <c r="D956" s="3" t="s">
        <v>315</v>
      </c>
      <c r="E956" s="3">
        <v>64</v>
      </c>
      <c r="G956" s="57"/>
    </row>
    <row r="957" spans="1:7" ht="12.75" x14ac:dyDescent="0.2">
      <c r="A957" s="3">
        <v>27</v>
      </c>
      <c r="B957" s="4" t="s">
        <v>57</v>
      </c>
      <c r="C957" s="3" t="s">
        <v>273</v>
      </c>
      <c r="D957" s="3" t="s">
        <v>128</v>
      </c>
      <c r="E957" s="3">
        <v>2672</v>
      </c>
      <c r="G957" s="57"/>
    </row>
    <row r="958" spans="1:7" ht="12.75" x14ac:dyDescent="0.2">
      <c r="A958" s="3">
        <v>27</v>
      </c>
      <c r="B958" s="4" t="s">
        <v>57</v>
      </c>
      <c r="C958" s="3" t="s">
        <v>273</v>
      </c>
      <c r="D958" s="3" t="s">
        <v>149</v>
      </c>
      <c r="E958" s="3">
        <v>469</v>
      </c>
      <c r="G958" s="57"/>
    </row>
    <row r="959" spans="1:7" ht="12.75" x14ac:dyDescent="0.2">
      <c r="A959" s="3">
        <v>27</v>
      </c>
      <c r="B959" s="4" t="s">
        <v>57</v>
      </c>
      <c r="C959" s="3" t="s">
        <v>273</v>
      </c>
      <c r="D959" s="3" t="s">
        <v>14</v>
      </c>
      <c r="E959" s="3">
        <v>933</v>
      </c>
      <c r="G959" s="57"/>
    </row>
    <row r="960" spans="1:7" ht="12.75" x14ac:dyDescent="0.2">
      <c r="A960" s="3">
        <v>27</v>
      </c>
      <c r="B960" s="4" t="s">
        <v>57</v>
      </c>
      <c r="C960" s="3" t="s">
        <v>273</v>
      </c>
      <c r="D960" s="3" t="s">
        <v>138</v>
      </c>
      <c r="E960" s="3">
        <v>66</v>
      </c>
      <c r="F960">
        <f>SUM(E955:E960)</f>
        <v>7197</v>
      </c>
      <c r="G960" s="57"/>
    </row>
    <row r="961" spans="1:7" ht="12.75" x14ac:dyDescent="0.2">
      <c r="A961" s="3">
        <v>27</v>
      </c>
      <c r="B961" s="4" t="s">
        <v>57</v>
      </c>
      <c r="C961" s="3" t="s">
        <v>125</v>
      </c>
      <c r="D961" s="3" t="s">
        <v>283</v>
      </c>
      <c r="E961" s="3">
        <v>2993</v>
      </c>
      <c r="G961" s="57"/>
    </row>
    <row r="962" spans="1:7" ht="12.75" x14ac:dyDescent="0.2">
      <c r="A962" s="3">
        <v>27</v>
      </c>
      <c r="B962" s="4" t="s">
        <v>57</v>
      </c>
      <c r="C962" s="3" t="s">
        <v>125</v>
      </c>
      <c r="D962" s="3" t="s">
        <v>315</v>
      </c>
      <c r="E962" s="3">
        <v>65</v>
      </c>
      <c r="G962" s="57"/>
    </row>
    <row r="963" spans="1:7" ht="12.75" x14ac:dyDescent="0.2">
      <c r="A963" s="3">
        <v>27</v>
      </c>
      <c r="B963" s="4" t="s">
        <v>57</v>
      </c>
      <c r="C963" s="3" t="s">
        <v>125</v>
      </c>
      <c r="D963" s="3" t="s">
        <v>128</v>
      </c>
      <c r="E963" s="3">
        <v>2642</v>
      </c>
      <c r="G963" s="57"/>
    </row>
    <row r="964" spans="1:7" ht="12.75" x14ac:dyDescent="0.2">
      <c r="A964" s="3">
        <v>27</v>
      </c>
      <c r="B964" s="4" t="s">
        <v>57</v>
      </c>
      <c r="C964" s="3" t="s">
        <v>125</v>
      </c>
      <c r="D964" s="3" t="s">
        <v>149</v>
      </c>
      <c r="E964" s="3">
        <v>460</v>
      </c>
      <c r="G964" s="57"/>
    </row>
    <row r="965" spans="1:7" ht="12.75" x14ac:dyDescent="0.2">
      <c r="A965" s="3">
        <v>27</v>
      </c>
      <c r="B965" s="4" t="s">
        <v>57</v>
      </c>
      <c r="C965" s="3" t="s">
        <v>125</v>
      </c>
      <c r="D965" s="3" t="s">
        <v>14</v>
      </c>
      <c r="E965" s="3">
        <v>964</v>
      </c>
      <c r="G965" s="57"/>
    </row>
    <row r="966" spans="1:7" ht="12.75" x14ac:dyDescent="0.2">
      <c r="A966" s="3">
        <v>27</v>
      </c>
      <c r="B966" s="4" t="s">
        <v>57</v>
      </c>
      <c r="C966" s="3" t="s">
        <v>125</v>
      </c>
      <c r="D966" s="3" t="s">
        <v>138</v>
      </c>
      <c r="E966" s="3">
        <v>73</v>
      </c>
      <c r="F966">
        <f>SUM(E961:E966)</f>
        <v>7197</v>
      </c>
      <c r="G966" s="57"/>
    </row>
    <row r="967" spans="1:7" ht="12.75" x14ac:dyDescent="0.2">
      <c r="A967" s="3">
        <v>61</v>
      </c>
      <c r="B967" s="4" t="s">
        <v>86</v>
      </c>
      <c r="C967" s="3" t="s">
        <v>347</v>
      </c>
      <c r="D967" s="3" t="s">
        <v>283</v>
      </c>
      <c r="E967" s="3">
        <v>1928</v>
      </c>
      <c r="G967" s="59">
        <v>6941</v>
      </c>
    </row>
    <row r="968" spans="1:7" ht="12.75" x14ac:dyDescent="0.2">
      <c r="A968" s="3">
        <v>61</v>
      </c>
      <c r="B968" s="4" t="s">
        <v>86</v>
      </c>
      <c r="C968" s="3" t="s">
        <v>347</v>
      </c>
      <c r="D968" s="3" t="s">
        <v>315</v>
      </c>
      <c r="E968" s="3">
        <v>99</v>
      </c>
      <c r="G968" s="57"/>
    </row>
    <row r="969" spans="1:7" ht="12.75" x14ac:dyDescent="0.2">
      <c r="A969" s="3">
        <v>61</v>
      </c>
      <c r="B969" s="4" t="s">
        <v>86</v>
      </c>
      <c r="C969" s="3" t="s">
        <v>347</v>
      </c>
      <c r="D969" s="3" t="s">
        <v>316</v>
      </c>
      <c r="E969" s="3">
        <v>74</v>
      </c>
      <c r="G969" s="57"/>
    </row>
    <row r="970" spans="1:7" ht="12.75" x14ac:dyDescent="0.2">
      <c r="A970" s="3">
        <v>61</v>
      </c>
      <c r="B970" s="4" t="s">
        <v>86</v>
      </c>
      <c r="C970" s="3" t="s">
        <v>347</v>
      </c>
      <c r="D970" s="3" t="s">
        <v>128</v>
      </c>
      <c r="E970" s="3">
        <v>925</v>
      </c>
      <c r="G970" s="57"/>
    </row>
    <row r="971" spans="1:7" ht="12.75" x14ac:dyDescent="0.2">
      <c r="A971" s="3">
        <v>61</v>
      </c>
      <c r="B971" s="4" t="s">
        <v>86</v>
      </c>
      <c r="C971" s="3" t="s">
        <v>347</v>
      </c>
      <c r="D971" s="3" t="s">
        <v>353</v>
      </c>
      <c r="E971" s="3">
        <v>79</v>
      </c>
      <c r="G971" s="57"/>
    </row>
    <row r="972" spans="1:7" ht="12.75" x14ac:dyDescent="0.2">
      <c r="A972" s="3">
        <v>61</v>
      </c>
      <c r="B972" s="4" t="s">
        <v>86</v>
      </c>
      <c r="C972" s="3" t="s">
        <v>347</v>
      </c>
      <c r="D972" s="3" t="s">
        <v>149</v>
      </c>
      <c r="E972" s="3">
        <v>1680</v>
      </c>
      <c r="G972" s="57"/>
    </row>
    <row r="973" spans="1:7" ht="12.75" x14ac:dyDescent="0.2">
      <c r="A973" s="3">
        <v>61</v>
      </c>
      <c r="B973" s="4" t="s">
        <v>86</v>
      </c>
      <c r="C973" s="3" t="s">
        <v>347</v>
      </c>
      <c r="D973" s="3" t="s">
        <v>14</v>
      </c>
      <c r="E973" s="3">
        <v>1081</v>
      </c>
      <c r="G973" s="57"/>
    </row>
    <row r="974" spans="1:7" ht="12.75" x14ac:dyDescent="0.2">
      <c r="A974" s="3">
        <v>61</v>
      </c>
      <c r="B974" s="4" t="s">
        <v>86</v>
      </c>
      <c r="C974" s="3" t="s">
        <v>347</v>
      </c>
      <c r="D974" s="3" t="s">
        <v>138</v>
      </c>
      <c r="E974" s="3">
        <v>48</v>
      </c>
      <c r="F974">
        <f>SUM(E967:E974)</f>
        <v>5914</v>
      </c>
      <c r="G974" s="57"/>
    </row>
    <row r="975" spans="1:7" ht="12.75" x14ac:dyDescent="0.2">
      <c r="A975" s="3">
        <v>61</v>
      </c>
      <c r="B975" s="4" t="s">
        <v>86</v>
      </c>
      <c r="C975" s="3" t="s">
        <v>273</v>
      </c>
      <c r="D975" s="3" t="s">
        <v>283</v>
      </c>
      <c r="E975" s="3">
        <v>1997</v>
      </c>
      <c r="G975" s="57"/>
    </row>
    <row r="976" spans="1:7" ht="12.75" x14ac:dyDescent="0.2">
      <c r="A976" s="3">
        <v>61</v>
      </c>
      <c r="B976" s="4" t="s">
        <v>86</v>
      </c>
      <c r="C976" s="3" t="s">
        <v>273</v>
      </c>
      <c r="D976" s="3" t="s">
        <v>315</v>
      </c>
      <c r="E976" s="3">
        <v>97</v>
      </c>
      <c r="G976" s="57"/>
    </row>
    <row r="977" spans="1:7" ht="12.75" x14ac:dyDescent="0.2">
      <c r="A977" s="3">
        <v>61</v>
      </c>
      <c r="B977" s="4" t="s">
        <v>86</v>
      </c>
      <c r="C977" s="3" t="s">
        <v>273</v>
      </c>
      <c r="D977" s="3" t="s">
        <v>128</v>
      </c>
      <c r="E977" s="3">
        <v>759</v>
      </c>
      <c r="G977" s="57"/>
    </row>
    <row r="978" spans="1:7" ht="12.75" x14ac:dyDescent="0.2">
      <c r="A978" s="3">
        <v>61</v>
      </c>
      <c r="B978" s="4" t="s">
        <v>86</v>
      </c>
      <c r="C978" s="3" t="s">
        <v>273</v>
      </c>
      <c r="D978" s="3" t="s">
        <v>149</v>
      </c>
      <c r="E978" s="3">
        <v>636</v>
      </c>
      <c r="G978" s="57"/>
    </row>
    <row r="979" spans="1:7" ht="12.75" x14ac:dyDescent="0.2">
      <c r="A979" s="3">
        <v>61</v>
      </c>
      <c r="B979" s="4" t="s">
        <v>86</v>
      </c>
      <c r="C979" s="3" t="s">
        <v>273</v>
      </c>
      <c r="D979" s="3" t="s">
        <v>14</v>
      </c>
      <c r="E979" s="3">
        <v>2375</v>
      </c>
      <c r="G979" s="57"/>
    </row>
    <row r="980" spans="1:7" ht="12.75" x14ac:dyDescent="0.2">
      <c r="A980" s="3">
        <v>61</v>
      </c>
      <c r="B980" s="4" t="s">
        <v>86</v>
      </c>
      <c r="C980" s="3" t="s">
        <v>273</v>
      </c>
      <c r="D980" s="3" t="s">
        <v>138</v>
      </c>
      <c r="E980" s="3">
        <v>50</v>
      </c>
      <c r="F980">
        <f>SUM(E975:E980)</f>
        <v>5914</v>
      </c>
      <c r="G980" s="57"/>
    </row>
    <row r="981" spans="1:7" ht="12.75" x14ac:dyDescent="0.2">
      <c r="A981" s="3">
        <v>61</v>
      </c>
      <c r="B981" s="4" t="s">
        <v>86</v>
      </c>
      <c r="C981" s="3" t="s">
        <v>125</v>
      </c>
      <c r="D981" s="3" t="s">
        <v>283</v>
      </c>
      <c r="E981" s="3">
        <v>2283</v>
      </c>
      <c r="G981" s="57"/>
    </row>
    <row r="982" spans="1:7" ht="12.75" x14ac:dyDescent="0.2">
      <c r="A982" s="3">
        <v>61</v>
      </c>
      <c r="B982" s="4" t="s">
        <v>86</v>
      </c>
      <c r="C982" s="3" t="s">
        <v>125</v>
      </c>
      <c r="D982" s="3" t="s">
        <v>315</v>
      </c>
      <c r="E982" s="3">
        <v>96</v>
      </c>
      <c r="G982" s="57"/>
    </row>
    <row r="983" spans="1:7" ht="12.75" x14ac:dyDescent="0.2">
      <c r="A983" s="3">
        <v>61</v>
      </c>
      <c r="B983" s="4" t="s">
        <v>86</v>
      </c>
      <c r="C983" s="3" t="s">
        <v>125</v>
      </c>
      <c r="D983" s="3" t="s">
        <v>128</v>
      </c>
      <c r="E983" s="3">
        <v>734</v>
      </c>
      <c r="G983" s="57"/>
    </row>
    <row r="984" spans="1:7" ht="12.75" x14ac:dyDescent="0.2">
      <c r="A984" s="3">
        <v>61</v>
      </c>
      <c r="B984" s="4" t="s">
        <v>86</v>
      </c>
      <c r="C984" s="3" t="s">
        <v>125</v>
      </c>
      <c r="D984" s="3" t="s">
        <v>149</v>
      </c>
      <c r="E984" s="3">
        <v>605</v>
      </c>
      <c r="G984" s="57"/>
    </row>
    <row r="985" spans="1:7" ht="12.75" x14ac:dyDescent="0.2">
      <c r="A985" s="3">
        <v>61</v>
      </c>
      <c r="B985" s="4" t="s">
        <v>86</v>
      </c>
      <c r="C985" s="3" t="s">
        <v>125</v>
      </c>
      <c r="D985" s="3" t="s">
        <v>14</v>
      </c>
      <c r="E985" s="3">
        <v>2143</v>
      </c>
      <c r="G985" s="57"/>
    </row>
    <row r="986" spans="1:7" ht="12.75" x14ac:dyDescent="0.2">
      <c r="A986" s="3">
        <v>61</v>
      </c>
      <c r="B986" s="4" t="s">
        <v>86</v>
      </c>
      <c r="C986" s="3" t="s">
        <v>125</v>
      </c>
      <c r="D986" s="3" t="s">
        <v>138</v>
      </c>
      <c r="E986" s="3">
        <v>53</v>
      </c>
      <c r="F986">
        <f>SUM(E981:E986)</f>
        <v>5914</v>
      </c>
      <c r="G986" s="57"/>
    </row>
    <row r="987" spans="1:7" ht="12.75" x14ac:dyDescent="0.2">
      <c r="A987" s="3">
        <v>22</v>
      </c>
      <c r="B987" s="4" t="s">
        <v>52</v>
      </c>
      <c r="C987" s="3" t="s">
        <v>347</v>
      </c>
      <c r="D987" s="3" t="s">
        <v>283</v>
      </c>
      <c r="E987" s="3">
        <v>1905</v>
      </c>
      <c r="G987" s="59">
        <v>6804</v>
      </c>
    </row>
    <row r="988" spans="1:7" ht="12.75" x14ac:dyDescent="0.2">
      <c r="A988" s="3">
        <v>22</v>
      </c>
      <c r="B988" s="4" t="s">
        <v>52</v>
      </c>
      <c r="C988" s="3" t="s">
        <v>347</v>
      </c>
      <c r="D988" s="3" t="s">
        <v>315</v>
      </c>
      <c r="E988" s="3">
        <v>87</v>
      </c>
      <c r="G988" s="57"/>
    </row>
    <row r="989" spans="1:7" ht="12.75" x14ac:dyDescent="0.2">
      <c r="A989" s="3">
        <v>22</v>
      </c>
      <c r="B989" s="4" t="s">
        <v>52</v>
      </c>
      <c r="C989" s="3" t="s">
        <v>347</v>
      </c>
      <c r="D989" s="3" t="s">
        <v>316</v>
      </c>
      <c r="E989" s="3">
        <v>99</v>
      </c>
      <c r="G989" s="57"/>
    </row>
    <row r="990" spans="1:7" ht="12.75" x14ac:dyDescent="0.2">
      <c r="A990" s="3">
        <v>22</v>
      </c>
      <c r="B990" s="4" t="s">
        <v>52</v>
      </c>
      <c r="C990" s="3" t="s">
        <v>347</v>
      </c>
      <c r="D990" s="3" t="s">
        <v>128</v>
      </c>
      <c r="E990" s="3">
        <v>2088</v>
      </c>
      <c r="G990" s="57"/>
    </row>
    <row r="991" spans="1:7" ht="12.75" x14ac:dyDescent="0.2">
      <c r="A991" s="3">
        <v>22</v>
      </c>
      <c r="B991" s="4" t="s">
        <v>52</v>
      </c>
      <c r="C991" s="3" t="s">
        <v>347</v>
      </c>
      <c r="D991" s="3" t="s">
        <v>353</v>
      </c>
      <c r="E991" s="3">
        <v>71</v>
      </c>
      <c r="G991" s="57"/>
    </row>
    <row r="992" spans="1:7" ht="12.75" x14ac:dyDescent="0.2">
      <c r="A992" s="3">
        <v>22</v>
      </c>
      <c r="B992" s="4" t="s">
        <v>52</v>
      </c>
      <c r="C992" s="3" t="s">
        <v>347</v>
      </c>
      <c r="D992" s="3" t="s">
        <v>149</v>
      </c>
      <c r="E992" s="3">
        <v>1100</v>
      </c>
      <c r="G992" s="57"/>
    </row>
    <row r="993" spans="1:7" ht="12.75" x14ac:dyDescent="0.2">
      <c r="A993" s="3">
        <v>22</v>
      </c>
      <c r="B993" s="4" t="s">
        <v>52</v>
      </c>
      <c r="C993" s="3" t="s">
        <v>347</v>
      </c>
      <c r="D993" s="3" t="s">
        <v>14</v>
      </c>
      <c r="E993" s="3">
        <v>377</v>
      </c>
      <c r="G993" s="57"/>
    </row>
    <row r="994" spans="1:7" ht="12.75" x14ac:dyDescent="0.2">
      <c r="A994" s="3">
        <v>22</v>
      </c>
      <c r="B994" s="4" t="s">
        <v>52</v>
      </c>
      <c r="C994" s="3" t="s">
        <v>347</v>
      </c>
      <c r="D994" s="3" t="s">
        <v>138</v>
      </c>
      <c r="E994" s="3">
        <v>96</v>
      </c>
      <c r="F994">
        <f>SUM(E987:E994)</f>
        <v>5823</v>
      </c>
      <c r="G994" s="57"/>
    </row>
    <row r="995" spans="1:7" ht="12.75" x14ac:dyDescent="0.2">
      <c r="A995" s="3">
        <v>22</v>
      </c>
      <c r="B995" s="4" t="s">
        <v>52</v>
      </c>
      <c r="C995" s="3" t="s">
        <v>273</v>
      </c>
      <c r="D995" s="3" t="s">
        <v>283</v>
      </c>
      <c r="E995" s="3">
        <v>1757</v>
      </c>
      <c r="G995" s="57"/>
    </row>
    <row r="996" spans="1:7" ht="12.75" x14ac:dyDescent="0.2">
      <c r="A996" s="3">
        <v>22</v>
      </c>
      <c r="B996" s="4" t="s">
        <v>52</v>
      </c>
      <c r="C996" s="3" t="s">
        <v>273</v>
      </c>
      <c r="D996" s="3" t="s">
        <v>315</v>
      </c>
      <c r="E996" s="3">
        <v>59</v>
      </c>
      <c r="G996" s="57"/>
    </row>
    <row r="997" spans="1:7" ht="12.75" x14ac:dyDescent="0.2">
      <c r="A997" s="3">
        <v>22</v>
      </c>
      <c r="B997" s="4" t="s">
        <v>52</v>
      </c>
      <c r="C997" s="3" t="s">
        <v>273</v>
      </c>
      <c r="D997" s="3" t="s">
        <v>128</v>
      </c>
      <c r="E997" s="3">
        <v>2210</v>
      </c>
      <c r="G997" s="57"/>
    </row>
    <row r="998" spans="1:7" ht="12.75" x14ac:dyDescent="0.2">
      <c r="A998" s="3">
        <v>22</v>
      </c>
      <c r="B998" s="4" t="s">
        <v>52</v>
      </c>
      <c r="C998" s="3" t="s">
        <v>273</v>
      </c>
      <c r="D998" s="3" t="s">
        <v>149</v>
      </c>
      <c r="E998" s="3">
        <v>388</v>
      </c>
      <c r="G998" s="57"/>
    </row>
    <row r="999" spans="1:7" ht="12.75" x14ac:dyDescent="0.2">
      <c r="A999" s="3">
        <v>22</v>
      </c>
      <c r="B999" s="4" t="s">
        <v>52</v>
      </c>
      <c r="C999" s="3" t="s">
        <v>273</v>
      </c>
      <c r="D999" s="3" t="s">
        <v>14</v>
      </c>
      <c r="E999" s="3">
        <v>1218</v>
      </c>
      <c r="G999" s="57"/>
    </row>
    <row r="1000" spans="1:7" ht="12.75" x14ac:dyDescent="0.2">
      <c r="A1000" s="3">
        <v>22</v>
      </c>
      <c r="B1000" s="4" t="s">
        <v>52</v>
      </c>
      <c r="C1000" s="3" t="s">
        <v>273</v>
      </c>
      <c r="D1000" s="3" t="s">
        <v>138</v>
      </c>
      <c r="E1000" s="3">
        <v>191</v>
      </c>
      <c r="F1000">
        <f>SUM(E995:E1000)</f>
        <v>5823</v>
      </c>
      <c r="G1000" s="57"/>
    </row>
    <row r="1001" spans="1:7" ht="12.75" x14ac:dyDescent="0.2">
      <c r="A1001" s="3">
        <v>22</v>
      </c>
      <c r="B1001" s="4" t="s">
        <v>52</v>
      </c>
      <c r="C1001" s="3" t="s">
        <v>125</v>
      </c>
      <c r="D1001" s="3" t="s">
        <v>283</v>
      </c>
      <c r="E1001" s="3">
        <v>1780</v>
      </c>
      <c r="G1001" s="57"/>
    </row>
    <row r="1002" spans="1:7" ht="12.75" x14ac:dyDescent="0.2">
      <c r="A1002" s="3">
        <v>22</v>
      </c>
      <c r="B1002" s="4" t="s">
        <v>52</v>
      </c>
      <c r="C1002" s="3" t="s">
        <v>125</v>
      </c>
      <c r="D1002" s="3" t="s">
        <v>315</v>
      </c>
      <c r="E1002" s="3">
        <v>68</v>
      </c>
      <c r="G1002" s="57"/>
    </row>
    <row r="1003" spans="1:7" ht="12.75" x14ac:dyDescent="0.2">
      <c r="A1003" s="3">
        <v>22</v>
      </c>
      <c r="B1003" s="4" t="s">
        <v>52</v>
      </c>
      <c r="C1003" s="3" t="s">
        <v>125</v>
      </c>
      <c r="D1003" s="3" t="s">
        <v>128</v>
      </c>
      <c r="E1003" s="3">
        <v>2193</v>
      </c>
      <c r="G1003" s="57"/>
    </row>
    <row r="1004" spans="1:7" ht="12.75" x14ac:dyDescent="0.2">
      <c r="A1004" s="3">
        <v>22</v>
      </c>
      <c r="B1004" s="4" t="s">
        <v>52</v>
      </c>
      <c r="C1004" s="3" t="s">
        <v>125</v>
      </c>
      <c r="D1004" s="3" t="s">
        <v>149</v>
      </c>
      <c r="E1004" s="3">
        <v>369</v>
      </c>
      <c r="G1004" s="57"/>
    </row>
    <row r="1005" spans="1:7" ht="12.75" x14ac:dyDescent="0.2">
      <c r="A1005" s="3">
        <v>22</v>
      </c>
      <c r="B1005" s="4" t="s">
        <v>52</v>
      </c>
      <c r="C1005" s="3" t="s">
        <v>125</v>
      </c>
      <c r="D1005" s="3" t="s">
        <v>14</v>
      </c>
      <c r="E1005" s="3">
        <v>1222</v>
      </c>
      <c r="G1005" s="57"/>
    </row>
    <row r="1006" spans="1:7" ht="12.75" x14ac:dyDescent="0.2">
      <c r="A1006" s="3">
        <v>22</v>
      </c>
      <c r="B1006" s="4" t="s">
        <v>52</v>
      </c>
      <c r="C1006" s="3" t="s">
        <v>125</v>
      </c>
      <c r="D1006" s="3" t="s">
        <v>138</v>
      </c>
      <c r="E1006" s="3">
        <v>191</v>
      </c>
      <c r="F1006">
        <f>SUM(E1001:E1006)</f>
        <v>5823</v>
      </c>
      <c r="G1006" s="57"/>
    </row>
    <row r="1007" spans="1:7" ht="12.75" x14ac:dyDescent="0.2">
      <c r="A1007" s="3">
        <v>82</v>
      </c>
      <c r="B1007" s="4" t="s">
        <v>105</v>
      </c>
      <c r="C1007" s="3" t="s">
        <v>347</v>
      </c>
      <c r="D1007" s="3" t="s">
        <v>283</v>
      </c>
      <c r="E1007" s="3">
        <v>2094</v>
      </c>
      <c r="G1007" s="59">
        <v>6728</v>
      </c>
    </row>
    <row r="1008" spans="1:7" ht="12.75" x14ac:dyDescent="0.2">
      <c r="A1008" s="3">
        <v>82</v>
      </c>
      <c r="B1008" s="4" t="s">
        <v>105</v>
      </c>
      <c r="C1008" s="3" t="s">
        <v>347</v>
      </c>
      <c r="D1008" s="3" t="s">
        <v>315</v>
      </c>
      <c r="E1008" s="3">
        <v>98</v>
      </c>
      <c r="G1008" s="57"/>
    </row>
    <row r="1009" spans="1:7" ht="12.75" x14ac:dyDescent="0.2">
      <c r="A1009" s="3">
        <v>82</v>
      </c>
      <c r="B1009" s="4" t="s">
        <v>105</v>
      </c>
      <c r="C1009" s="3" t="s">
        <v>347</v>
      </c>
      <c r="D1009" s="3" t="s">
        <v>316</v>
      </c>
      <c r="E1009" s="3">
        <v>143</v>
      </c>
      <c r="G1009" s="57"/>
    </row>
    <row r="1010" spans="1:7" ht="12.75" x14ac:dyDescent="0.2">
      <c r="A1010" s="3">
        <v>82</v>
      </c>
      <c r="B1010" s="4" t="s">
        <v>105</v>
      </c>
      <c r="C1010" s="3" t="s">
        <v>347</v>
      </c>
      <c r="D1010" s="3" t="s">
        <v>128</v>
      </c>
      <c r="E1010" s="3">
        <v>2123</v>
      </c>
      <c r="G1010" s="57"/>
    </row>
    <row r="1011" spans="1:7" ht="12.75" x14ac:dyDescent="0.2">
      <c r="A1011" s="3">
        <v>82</v>
      </c>
      <c r="B1011" s="4" t="s">
        <v>105</v>
      </c>
      <c r="C1011" s="3" t="s">
        <v>347</v>
      </c>
      <c r="D1011" s="3" t="s">
        <v>353</v>
      </c>
      <c r="E1011" s="3">
        <v>84</v>
      </c>
      <c r="G1011" s="57"/>
    </row>
    <row r="1012" spans="1:7" ht="12.75" x14ac:dyDescent="0.2">
      <c r="A1012" s="3">
        <v>82</v>
      </c>
      <c r="B1012" s="4" t="s">
        <v>105</v>
      </c>
      <c r="C1012" s="3" t="s">
        <v>347</v>
      </c>
      <c r="D1012" s="3" t="s">
        <v>149</v>
      </c>
      <c r="E1012" s="3">
        <v>687</v>
      </c>
      <c r="G1012" s="57"/>
    </row>
    <row r="1013" spans="1:7" ht="12.75" x14ac:dyDescent="0.2">
      <c r="A1013" s="3">
        <v>82</v>
      </c>
      <c r="B1013" s="4" t="s">
        <v>105</v>
      </c>
      <c r="C1013" s="3" t="s">
        <v>347</v>
      </c>
      <c r="D1013" s="3" t="s">
        <v>14</v>
      </c>
      <c r="E1013" s="3">
        <v>292</v>
      </c>
      <c r="G1013" s="57"/>
    </row>
    <row r="1014" spans="1:7" ht="12.75" x14ac:dyDescent="0.2">
      <c r="A1014" s="3">
        <v>82</v>
      </c>
      <c r="B1014" s="4" t="s">
        <v>105</v>
      </c>
      <c r="C1014" s="3" t="s">
        <v>347</v>
      </c>
      <c r="D1014" s="3" t="s">
        <v>138</v>
      </c>
      <c r="E1014" s="3">
        <v>23</v>
      </c>
      <c r="F1014">
        <f>SUM(E1007:E1014)</f>
        <v>5544</v>
      </c>
      <c r="G1014" s="57"/>
    </row>
    <row r="1015" spans="1:7" ht="12.75" x14ac:dyDescent="0.2">
      <c r="A1015" s="3">
        <v>82</v>
      </c>
      <c r="B1015" s="4" t="s">
        <v>105</v>
      </c>
      <c r="C1015" s="3" t="s">
        <v>273</v>
      </c>
      <c r="D1015" s="3" t="s">
        <v>283</v>
      </c>
      <c r="E1015" s="3">
        <v>2253</v>
      </c>
      <c r="G1015" s="57"/>
    </row>
    <row r="1016" spans="1:7" ht="12.75" x14ac:dyDescent="0.2">
      <c r="A1016" s="3">
        <v>82</v>
      </c>
      <c r="B1016" s="4" t="s">
        <v>105</v>
      </c>
      <c r="C1016" s="3" t="s">
        <v>273</v>
      </c>
      <c r="D1016" s="3" t="s">
        <v>315</v>
      </c>
      <c r="E1016" s="3">
        <v>56</v>
      </c>
      <c r="G1016" s="57"/>
    </row>
    <row r="1017" spans="1:7" ht="12.75" x14ac:dyDescent="0.2">
      <c r="A1017" s="3">
        <v>82</v>
      </c>
      <c r="B1017" s="4" t="s">
        <v>105</v>
      </c>
      <c r="C1017" s="3" t="s">
        <v>273</v>
      </c>
      <c r="D1017" s="3" t="s">
        <v>128</v>
      </c>
      <c r="E1017" s="3">
        <v>2096</v>
      </c>
      <c r="G1017" s="57"/>
    </row>
    <row r="1018" spans="1:7" ht="12.75" x14ac:dyDescent="0.2">
      <c r="A1018" s="3">
        <v>82</v>
      </c>
      <c r="B1018" s="4" t="s">
        <v>105</v>
      </c>
      <c r="C1018" s="3" t="s">
        <v>273</v>
      </c>
      <c r="D1018" s="3" t="s">
        <v>149</v>
      </c>
      <c r="E1018" s="3">
        <v>294</v>
      </c>
      <c r="G1018" s="57"/>
    </row>
    <row r="1019" spans="1:7" ht="12.75" x14ac:dyDescent="0.2">
      <c r="A1019" s="3">
        <v>82</v>
      </c>
      <c r="B1019" s="4" t="s">
        <v>105</v>
      </c>
      <c r="C1019" s="3" t="s">
        <v>273</v>
      </c>
      <c r="D1019" s="3" t="s">
        <v>14</v>
      </c>
      <c r="E1019" s="3">
        <v>830</v>
      </c>
      <c r="G1019" s="57"/>
    </row>
    <row r="1020" spans="1:7" ht="12.75" x14ac:dyDescent="0.2">
      <c r="A1020" s="3">
        <v>82</v>
      </c>
      <c r="B1020" s="4" t="s">
        <v>105</v>
      </c>
      <c r="C1020" s="3" t="s">
        <v>273</v>
      </c>
      <c r="D1020" s="3" t="s">
        <v>138</v>
      </c>
      <c r="E1020" s="3">
        <v>15</v>
      </c>
      <c r="F1020">
        <f>SUM(E1015:E1020)</f>
        <v>5544</v>
      </c>
      <c r="G1020" s="57"/>
    </row>
    <row r="1021" spans="1:7" ht="12.75" x14ac:dyDescent="0.2">
      <c r="A1021" s="3">
        <v>82</v>
      </c>
      <c r="B1021" s="4" t="s">
        <v>105</v>
      </c>
      <c r="C1021" s="3" t="s">
        <v>125</v>
      </c>
      <c r="D1021" s="3" t="s">
        <v>283</v>
      </c>
      <c r="E1021" s="3">
        <v>2241</v>
      </c>
      <c r="G1021" s="57"/>
    </row>
    <row r="1022" spans="1:7" ht="12.75" x14ac:dyDescent="0.2">
      <c r="A1022" s="3">
        <v>82</v>
      </c>
      <c r="B1022" s="4" t="s">
        <v>105</v>
      </c>
      <c r="C1022" s="3" t="s">
        <v>125</v>
      </c>
      <c r="D1022" s="3" t="s">
        <v>315</v>
      </c>
      <c r="E1022" s="3">
        <v>52</v>
      </c>
      <c r="G1022" s="57"/>
    </row>
    <row r="1023" spans="1:7" ht="12.75" x14ac:dyDescent="0.2">
      <c r="A1023" s="3">
        <v>82</v>
      </c>
      <c r="B1023" s="4" t="s">
        <v>105</v>
      </c>
      <c r="C1023" s="3" t="s">
        <v>125</v>
      </c>
      <c r="D1023" s="3" t="s">
        <v>128</v>
      </c>
      <c r="E1023" s="3">
        <v>2032</v>
      </c>
      <c r="G1023" s="57"/>
    </row>
    <row r="1024" spans="1:7" ht="12.75" x14ac:dyDescent="0.2">
      <c r="A1024" s="3">
        <v>82</v>
      </c>
      <c r="B1024" s="4" t="s">
        <v>105</v>
      </c>
      <c r="C1024" s="3" t="s">
        <v>125</v>
      </c>
      <c r="D1024" s="3" t="s">
        <v>149</v>
      </c>
      <c r="E1024" s="3">
        <v>287</v>
      </c>
      <c r="G1024" s="57"/>
    </row>
    <row r="1025" spans="1:7" ht="12.75" x14ac:dyDescent="0.2">
      <c r="A1025" s="3">
        <v>82</v>
      </c>
      <c r="B1025" s="4" t="s">
        <v>105</v>
      </c>
      <c r="C1025" s="3" t="s">
        <v>125</v>
      </c>
      <c r="D1025" s="3" t="s">
        <v>14</v>
      </c>
      <c r="E1025" s="3">
        <v>918</v>
      </c>
      <c r="G1025" s="57"/>
    </row>
    <row r="1026" spans="1:7" ht="12.75" x14ac:dyDescent="0.2">
      <c r="A1026" s="3">
        <v>82</v>
      </c>
      <c r="B1026" s="4" t="s">
        <v>105</v>
      </c>
      <c r="C1026" s="3" t="s">
        <v>125</v>
      </c>
      <c r="D1026" s="3" t="s">
        <v>138</v>
      </c>
      <c r="E1026" s="3">
        <v>14</v>
      </c>
      <c r="F1026">
        <f>SUM(E1021:E1026)</f>
        <v>5544</v>
      </c>
      <c r="G1026" s="57"/>
    </row>
    <row r="1027" spans="1:7" ht="12.75" x14ac:dyDescent="0.2">
      <c r="A1027" s="3">
        <v>48</v>
      </c>
      <c r="B1027" s="4" t="s">
        <v>78</v>
      </c>
      <c r="C1027" s="3" t="s">
        <v>347</v>
      </c>
      <c r="D1027" s="3" t="s">
        <v>283</v>
      </c>
      <c r="E1027" s="3">
        <v>1801</v>
      </c>
      <c r="G1027" s="59">
        <v>5329</v>
      </c>
    </row>
    <row r="1028" spans="1:7" ht="12.75" x14ac:dyDescent="0.2">
      <c r="A1028" s="3">
        <v>48</v>
      </c>
      <c r="B1028" s="4" t="s">
        <v>78</v>
      </c>
      <c r="C1028" s="3" t="s">
        <v>347</v>
      </c>
      <c r="D1028" s="3" t="s">
        <v>315</v>
      </c>
      <c r="E1028" s="3">
        <v>87</v>
      </c>
      <c r="G1028" s="57"/>
    </row>
    <row r="1029" spans="1:7" ht="12.75" x14ac:dyDescent="0.2">
      <c r="A1029" s="3">
        <v>48</v>
      </c>
      <c r="B1029" s="4" t="s">
        <v>78</v>
      </c>
      <c r="C1029" s="3" t="s">
        <v>347</v>
      </c>
      <c r="D1029" s="3" t="s">
        <v>316</v>
      </c>
      <c r="E1029" s="3">
        <v>72</v>
      </c>
      <c r="G1029" s="57"/>
    </row>
    <row r="1030" spans="1:7" ht="12.75" x14ac:dyDescent="0.2">
      <c r="A1030" s="3">
        <v>48</v>
      </c>
      <c r="B1030" s="4" t="s">
        <v>78</v>
      </c>
      <c r="C1030" s="3" t="s">
        <v>347</v>
      </c>
      <c r="D1030" s="3" t="s">
        <v>128</v>
      </c>
      <c r="E1030" s="3">
        <v>1079</v>
      </c>
      <c r="G1030" s="57"/>
    </row>
    <row r="1031" spans="1:7" ht="12.75" x14ac:dyDescent="0.2">
      <c r="A1031" s="3">
        <v>48</v>
      </c>
      <c r="B1031" s="4" t="s">
        <v>78</v>
      </c>
      <c r="C1031" s="3" t="s">
        <v>347</v>
      </c>
      <c r="D1031" s="3" t="s">
        <v>353</v>
      </c>
      <c r="E1031" s="3">
        <v>96</v>
      </c>
      <c r="G1031" s="57"/>
    </row>
    <row r="1032" spans="1:7" ht="12.75" x14ac:dyDescent="0.2">
      <c r="A1032" s="3">
        <v>48</v>
      </c>
      <c r="B1032" s="4" t="s">
        <v>78</v>
      </c>
      <c r="C1032" s="3" t="s">
        <v>347</v>
      </c>
      <c r="D1032" s="3" t="s">
        <v>149</v>
      </c>
      <c r="E1032" s="3">
        <v>1004</v>
      </c>
      <c r="G1032" s="57"/>
    </row>
    <row r="1033" spans="1:7" ht="12.75" x14ac:dyDescent="0.2">
      <c r="A1033" s="3">
        <v>48</v>
      </c>
      <c r="B1033" s="4" t="s">
        <v>78</v>
      </c>
      <c r="C1033" s="3" t="s">
        <v>347</v>
      </c>
      <c r="D1033" s="3" t="s">
        <v>14</v>
      </c>
      <c r="E1033" s="3">
        <v>414</v>
      </c>
      <c r="G1033" s="57"/>
    </row>
    <row r="1034" spans="1:7" ht="12.75" x14ac:dyDescent="0.2">
      <c r="A1034" s="3">
        <v>48</v>
      </c>
      <c r="B1034" s="4" t="s">
        <v>78</v>
      </c>
      <c r="C1034" s="3" t="s">
        <v>347</v>
      </c>
      <c r="D1034" s="3" t="s">
        <v>138</v>
      </c>
      <c r="E1034" s="3">
        <v>50</v>
      </c>
      <c r="F1034">
        <f>SUM(E1027:E1034)</f>
        <v>4603</v>
      </c>
      <c r="G1034" s="57"/>
    </row>
    <row r="1035" spans="1:7" ht="12.75" x14ac:dyDescent="0.2">
      <c r="A1035" s="3">
        <v>48</v>
      </c>
      <c r="B1035" s="4" t="s">
        <v>78</v>
      </c>
      <c r="C1035" s="3" t="s">
        <v>273</v>
      </c>
      <c r="D1035" s="3" t="s">
        <v>283</v>
      </c>
      <c r="E1035" s="3">
        <v>2093</v>
      </c>
      <c r="G1035" s="57"/>
    </row>
    <row r="1036" spans="1:7" ht="12.75" x14ac:dyDescent="0.2">
      <c r="A1036" s="3">
        <v>48</v>
      </c>
      <c r="B1036" s="4" t="s">
        <v>78</v>
      </c>
      <c r="C1036" s="3" t="s">
        <v>273</v>
      </c>
      <c r="D1036" s="3" t="s">
        <v>315</v>
      </c>
      <c r="E1036" s="3">
        <v>53</v>
      </c>
      <c r="G1036" s="57"/>
    </row>
    <row r="1037" spans="1:7" ht="12.75" x14ac:dyDescent="0.2">
      <c r="A1037" s="3">
        <v>48</v>
      </c>
      <c r="B1037" s="4" t="s">
        <v>78</v>
      </c>
      <c r="C1037" s="3" t="s">
        <v>273</v>
      </c>
      <c r="D1037" s="3" t="s">
        <v>128</v>
      </c>
      <c r="E1037" s="3">
        <v>826</v>
      </c>
      <c r="G1037" s="57"/>
    </row>
    <row r="1038" spans="1:7" ht="12.75" x14ac:dyDescent="0.2">
      <c r="A1038" s="3">
        <v>48</v>
      </c>
      <c r="B1038" s="4" t="s">
        <v>78</v>
      </c>
      <c r="C1038" s="3" t="s">
        <v>273</v>
      </c>
      <c r="D1038" s="3" t="s">
        <v>149</v>
      </c>
      <c r="E1038" s="3">
        <v>240</v>
      </c>
      <c r="G1038" s="57"/>
    </row>
    <row r="1039" spans="1:7" ht="12.75" x14ac:dyDescent="0.2">
      <c r="A1039" s="3">
        <v>48</v>
      </c>
      <c r="B1039" s="4" t="s">
        <v>78</v>
      </c>
      <c r="C1039" s="3" t="s">
        <v>273</v>
      </c>
      <c r="D1039" s="3" t="s">
        <v>14</v>
      </c>
      <c r="E1039" s="3">
        <v>1245</v>
      </c>
      <c r="G1039" s="57"/>
    </row>
    <row r="1040" spans="1:7" ht="12.75" x14ac:dyDescent="0.2">
      <c r="A1040" s="3">
        <v>48</v>
      </c>
      <c r="B1040" s="4" t="s">
        <v>78</v>
      </c>
      <c r="C1040" s="3" t="s">
        <v>273</v>
      </c>
      <c r="D1040" s="3" t="s">
        <v>138</v>
      </c>
      <c r="E1040" s="3">
        <v>146</v>
      </c>
      <c r="F1040">
        <f>SUM(E1035:E1040)</f>
        <v>4603</v>
      </c>
      <c r="G1040" s="57"/>
    </row>
    <row r="1041" spans="1:7" ht="12.75" x14ac:dyDescent="0.2">
      <c r="A1041" s="3">
        <v>48</v>
      </c>
      <c r="B1041" s="4" t="s">
        <v>78</v>
      </c>
      <c r="C1041" s="3" t="s">
        <v>125</v>
      </c>
      <c r="D1041" s="3" t="s">
        <v>283</v>
      </c>
      <c r="E1041" s="3">
        <v>2081</v>
      </c>
      <c r="G1041" s="57"/>
    </row>
    <row r="1042" spans="1:7" ht="12.75" x14ac:dyDescent="0.2">
      <c r="A1042" s="3">
        <v>48</v>
      </c>
      <c r="B1042" s="4" t="s">
        <v>78</v>
      </c>
      <c r="C1042" s="3" t="s">
        <v>125</v>
      </c>
      <c r="D1042" s="3" t="s">
        <v>315</v>
      </c>
      <c r="E1042" s="3">
        <v>51</v>
      </c>
      <c r="G1042" s="57"/>
    </row>
    <row r="1043" spans="1:7" ht="12.75" x14ac:dyDescent="0.2">
      <c r="A1043" s="3">
        <v>48</v>
      </c>
      <c r="B1043" s="4" t="s">
        <v>78</v>
      </c>
      <c r="C1043" s="3" t="s">
        <v>125</v>
      </c>
      <c r="D1043" s="3" t="s">
        <v>128</v>
      </c>
      <c r="E1043" s="3">
        <v>830</v>
      </c>
      <c r="G1043" s="57"/>
    </row>
    <row r="1044" spans="1:7" ht="12.75" x14ac:dyDescent="0.2">
      <c r="A1044" s="3">
        <v>48</v>
      </c>
      <c r="B1044" s="4" t="s">
        <v>78</v>
      </c>
      <c r="C1044" s="3" t="s">
        <v>125</v>
      </c>
      <c r="D1044" s="3" t="s">
        <v>149</v>
      </c>
      <c r="E1044" s="3">
        <v>237</v>
      </c>
      <c r="G1044" s="57"/>
    </row>
    <row r="1045" spans="1:7" ht="12.75" x14ac:dyDescent="0.2">
      <c r="A1045" s="3">
        <v>48</v>
      </c>
      <c r="B1045" s="4" t="s">
        <v>78</v>
      </c>
      <c r="C1045" s="3" t="s">
        <v>125</v>
      </c>
      <c r="D1045" s="3" t="s">
        <v>14</v>
      </c>
      <c r="E1045" s="3">
        <v>1260</v>
      </c>
      <c r="G1045" s="57"/>
    </row>
    <row r="1046" spans="1:7" ht="12.75" x14ac:dyDescent="0.2">
      <c r="A1046" s="3">
        <v>48</v>
      </c>
      <c r="B1046" s="4" t="s">
        <v>78</v>
      </c>
      <c r="C1046" s="3" t="s">
        <v>125</v>
      </c>
      <c r="D1046" s="3" t="s">
        <v>138</v>
      </c>
      <c r="E1046" s="3">
        <v>144</v>
      </c>
      <c r="F1046">
        <f>SUM(E1041:E1046)</f>
        <v>4603</v>
      </c>
      <c r="G1046" s="57"/>
    </row>
    <row r="1047" spans="1:7" ht="12.75" x14ac:dyDescent="0.2">
      <c r="A1047" s="3">
        <v>36</v>
      </c>
      <c r="B1047" s="4" t="s">
        <v>66</v>
      </c>
      <c r="C1047" s="3" t="s">
        <v>347</v>
      </c>
      <c r="D1047" s="3" t="s">
        <v>283</v>
      </c>
      <c r="E1047" s="3">
        <v>621</v>
      </c>
      <c r="G1047" s="59">
        <v>4090</v>
      </c>
    </row>
    <row r="1048" spans="1:7" ht="12.75" x14ac:dyDescent="0.2">
      <c r="A1048" s="3">
        <v>36</v>
      </c>
      <c r="B1048" s="4" t="s">
        <v>66</v>
      </c>
      <c r="C1048" s="3" t="s">
        <v>347</v>
      </c>
      <c r="D1048" s="3" t="s">
        <v>315</v>
      </c>
      <c r="E1048" s="3">
        <v>53</v>
      </c>
      <c r="G1048" s="57"/>
    </row>
    <row r="1049" spans="1:7" ht="12.75" x14ac:dyDescent="0.2">
      <c r="A1049" s="3">
        <v>36</v>
      </c>
      <c r="B1049" s="4" t="s">
        <v>66</v>
      </c>
      <c r="C1049" s="3" t="s">
        <v>347</v>
      </c>
      <c r="D1049" s="3" t="s">
        <v>316</v>
      </c>
      <c r="E1049" s="3">
        <v>35</v>
      </c>
      <c r="G1049" s="57"/>
    </row>
    <row r="1050" spans="1:7" ht="12.75" x14ac:dyDescent="0.2">
      <c r="A1050" s="3">
        <v>36</v>
      </c>
      <c r="B1050" s="4" t="s">
        <v>66</v>
      </c>
      <c r="C1050" s="3" t="s">
        <v>347</v>
      </c>
      <c r="D1050" s="3" t="s">
        <v>128</v>
      </c>
      <c r="E1050" s="3">
        <v>1487</v>
      </c>
      <c r="G1050" s="57"/>
    </row>
    <row r="1051" spans="1:7" ht="12.75" x14ac:dyDescent="0.2">
      <c r="A1051" s="3">
        <v>36</v>
      </c>
      <c r="B1051" s="4" t="s">
        <v>66</v>
      </c>
      <c r="C1051" s="3" t="s">
        <v>347</v>
      </c>
      <c r="D1051" s="3" t="s">
        <v>353</v>
      </c>
      <c r="E1051" s="3">
        <v>54</v>
      </c>
      <c r="G1051" s="57"/>
    </row>
    <row r="1052" spans="1:7" ht="12.75" x14ac:dyDescent="0.2">
      <c r="A1052" s="3">
        <v>36</v>
      </c>
      <c r="B1052" s="4" t="s">
        <v>66</v>
      </c>
      <c r="C1052" s="3" t="s">
        <v>347</v>
      </c>
      <c r="D1052" s="3" t="s">
        <v>149</v>
      </c>
      <c r="E1052" s="3">
        <v>666</v>
      </c>
      <c r="G1052" s="57"/>
    </row>
    <row r="1053" spans="1:7" ht="12.75" x14ac:dyDescent="0.2">
      <c r="A1053" s="3">
        <v>36</v>
      </c>
      <c r="B1053" s="4" t="s">
        <v>66</v>
      </c>
      <c r="C1053" s="3" t="s">
        <v>347</v>
      </c>
      <c r="D1053" s="3" t="s">
        <v>14</v>
      </c>
      <c r="E1053" s="3">
        <v>165</v>
      </c>
      <c r="G1053" s="57"/>
    </row>
    <row r="1054" spans="1:7" ht="12.75" x14ac:dyDescent="0.2">
      <c r="A1054" s="3">
        <v>36</v>
      </c>
      <c r="B1054" s="4" t="s">
        <v>66</v>
      </c>
      <c r="C1054" s="3" t="s">
        <v>347</v>
      </c>
      <c r="D1054" s="3" t="s">
        <v>138</v>
      </c>
      <c r="E1054" s="3">
        <v>1</v>
      </c>
      <c r="F1054">
        <f>SUM(E1047:E1054)</f>
        <v>3082</v>
      </c>
      <c r="G1054" s="57"/>
    </row>
    <row r="1055" spans="1:7" ht="12.75" x14ac:dyDescent="0.2">
      <c r="A1055" s="3">
        <v>36</v>
      </c>
      <c r="B1055" s="4" t="s">
        <v>66</v>
      </c>
      <c r="C1055" s="3" t="s">
        <v>273</v>
      </c>
      <c r="D1055" s="3" t="s">
        <v>283</v>
      </c>
      <c r="E1055" s="3">
        <v>665</v>
      </c>
      <c r="G1055" s="57"/>
    </row>
    <row r="1056" spans="1:7" ht="12.75" x14ac:dyDescent="0.2">
      <c r="A1056" s="3">
        <v>36</v>
      </c>
      <c r="B1056" s="4" t="s">
        <v>66</v>
      </c>
      <c r="C1056" s="3" t="s">
        <v>273</v>
      </c>
      <c r="D1056" s="3" t="s">
        <v>315</v>
      </c>
      <c r="E1056" s="3">
        <v>32</v>
      </c>
      <c r="G1056" s="57"/>
    </row>
    <row r="1057" spans="1:7" ht="12.75" x14ac:dyDescent="0.2">
      <c r="A1057" s="3">
        <v>36</v>
      </c>
      <c r="B1057" s="4" t="s">
        <v>66</v>
      </c>
      <c r="C1057" s="3" t="s">
        <v>273</v>
      </c>
      <c r="D1057" s="3" t="s">
        <v>128</v>
      </c>
      <c r="E1057" s="3">
        <v>1562</v>
      </c>
      <c r="G1057" s="57"/>
    </row>
    <row r="1058" spans="1:7" ht="12.75" x14ac:dyDescent="0.2">
      <c r="A1058" s="3">
        <v>36</v>
      </c>
      <c r="B1058" s="4" t="s">
        <v>66</v>
      </c>
      <c r="C1058" s="3" t="s">
        <v>273</v>
      </c>
      <c r="D1058" s="3" t="s">
        <v>149</v>
      </c>
      <c r="E1058" s="3">
        <v>350</v>
      </c>
      <c r="G1058" s="57"/>
    </row>
    <row r="1059" spans="1:7" ht="12.75" x14ac:dyDescent="0.2">
      <c r="A1059" s="3">
        <v>36</v>
      </c>
      <c r="B1059" s="4" t="s">
        <v>66</v>
      </c>
      <c r="C1059" s="3" t="s">
        <v>273</v>
      </c>
      <c r="D1059" s="3" t="s">
        <v>14</v>
      </c>
      <c r="E1059" s="3">
        <v>472</v>
      </c>
      <c r="G1059" s="57"/>
    </row>
    <row r="1060" spans="1:7" ht="12.75" x14ac:dyDescent="0.2">
      <c r="A1060" s="3">
        <v>36</v>
      </c>
      <c r="B1060" s="4" t="s">
        <v>66</v>
      </c>
      <c r="C1060" s="3" t="s">
        <v>273</v>
      </c>
      <c r="D1060" s="3" t="s">
        <v>138</v>
      </c>
      <c r="E1060" s="3">
        <v>1</v>
      </c>
      <c r="F1060">
        <f>SUM(E1055:E1060)</f>
        <v>3082</v>
      </c>
      <c r="G1060" s="57"/>
    </row>
    <row r="1061" spans="1:7" ht="12.75" x14ac:dyDescent="0.2">
      <c r="A1061" s="3">
        <v>36</v>
      </c>
      <c r="B1061" s="4" t="s">
        <v>66</v>
      </c>
      <c r="C1061" s="3" t="s">
        <v>125</v>
      </c>
      <c r="D1061" s="3" t="s">
        <v>283</v>
      </c>
      <c r="E1061" s="3">
        <v>654</v>
      </c>
      <c r="G1061" s="57"/>
    </row>
    <row r="1062" spans="1:7" ht="12.75" x14ac:dyDescent="0.2">
      <c r="A1062" s="3">
        <v>36</v>
      </c>
      <c r="B1062" s="4" t="s">
        <v>66</v>
      </c>
      <c r="C1062" s="3" t="s">
        <v>125</v>
      </c>
      <c r="D1062" s="3" t="s">
        <v>315</v>
      </c>
      <c r="E1062" s="3">
        <v>34</v>
      </c>
      <c r="G1062" s="57"/>
    </row>
    <row r="1063" spans="1:7" ht="12.75" x14ac:dyDescent="0.2">
      <c r="A1063" s="3">
        <v>36</v>
      </c>
      <c r="B1063" s="4" t="s">
        <v>66</v>
      </c>
      <c r="C1063" s="3" t="s">
        <v>125</v>
      </c>
      <c r="D1063" s="3" t="s">
        <v>128</v>
      </c>
      <c r="E1063" s="3">
        <v>1557</v>
      </c>
      <c r="G1063" s="57"/>
    </row>
    <row r="1064" spans="1:7" ht="12.75" x14ac:dyDescent="0.2">
      <c r="A1064" s="3">
        <v>36</v>
      </c>
      <c r="B1064" s="4" t="s">
        <v>66</v>
      </c>
      <c r="C1064" s="3" t="s">
        <v>125</v>
      </c>
      <c r="D1064" s="3" t="s">
        <v>149</v>
      </c>
      <c r="E1064" s="3">
        <v>346</v>
      </c>
      <c r="G1064" s="57"/>
    </row>
    <row r="1065" spans="1:7" ht="12.75" x14ac:dyDescent="0.2">
      <c r="A1065" s="3">
        <v>36</v>
      </c>
      <c r="B1065" s="4" t="s">
        <v>66</v>
      </c>
      <c r="C1065" s="3" t="s">
        <v>125</v>
      </c>
      <c r="D1065" s="3" t="s">
        <v>14</v>
      </c>
      <c r="E1065" s="3">
        <v>490</v>
      </c>
      <c r="G1065" s="57"/>
    </row>
    <row r="1066" spans="1:7" ht="12.75" x14ac:dyDescent="0.2">
      <c r="A1066" s="3">
        <v>36</v>
      </c>
      <c r="B1066" s="4" t="s">
        <v>66</v>
      </c>
      <c r="C1066" s="3" t="s">
        <v>125</v>
      </c>
      <c r="D1066" s="3" t="s">
        <v>138</v>
      </c>
      <c r="E1066" s="3">
        <v>1</v>
      </c>
      <c r="F1066">
        <f>SUM(E1061:E1066)</f>
        <v>3082</v>
      </c>
      <c r="G1066" s="57"/>
    </row>
    <row r="1067" spans="1:7" ht="12.75" x14ac:dyDescent="0.2">
      <c r="A1067" s="3">
        <v>2</v>
      </c>
      <c r="B1067" s="4" t="s">
        <v>25</v>
      </c>
      <c r="C1067" s="3" t="s">
        <v>347</v>
      </c>
      <c r="D1067" s="3" t="s">
        <v>283</v>
      </c>
      <c r="E1067" s="3">
        <v>1467</v>
      </c>
      <c r="G1067" s="59">
        <v>4526</v>
      </c>
    </row>
    <row r="1068" spans="1:7" ht="12.75" x14ac:dyDescent="0.2">
      <c r="A1068" s="3">
        <v>2</v>
      </c>
      <c r="B1068" s="4" t="s">
        <v>25</v>
      </c>
      <c r="C1068" s="3" t="s">
        <v>347</v>
      </c>
      <c r="D1068" s="3" t="s">
        <v>315</v>
      </c>
      <c r="E1068" s="3">
        <v>138</v>
      </c>
      <c r="G1068" s="57"/>
    </row>
    <row r="1069" spans="1:7" ht="12.75" x14ac:dyDescent="0.2">
      <c r="A1069" s="3">
        <v>2</v>
      </c>
      <c r="B1069" s="4" t="s">
        <v>25</v>
      </c>
      <c r="C1069" s="3" t="s">
        <v>347</v>
      </c>
      <c r="D1069" s="3" t="s">
        <v>316</v>
      </c>
      <c r="E1069" s="3">
        <v>31</v>
      </c>
      <c r="G1069" s="57"/>
    </row>
    <row r="1070" spans="1:7" ht="12.75" x14ac:dyDescent="0.2">
      <c r="A1070" s="3">
        <v>2</v>
      </c>
      <c r="B1070" s="4" t="s">
        <v>25</v>
      </c>
      <c r="C1070" s="3" t="s">
        <v>347</v>
      </c>
      <c r="D1070" s="3" t="s">
        <v>128</v>
      </c>
      <c r="E1070" s="3">
        <v>1496</v>
      </c>
      <c r="G1070" s="57"/>
    </row>
    <row r="1071" spans="1:7" ht="12.75" x14ac:dyDescent="0.2">
      <c r="A1071" s="3">
        <v>2</v>
      </c>
      <c r="B1071" s="4" t="s">
        <v>25</v>
      </c>
      <c r="C1071" s="3" t="s">
        <v>347</v>
      </c>
      <c r="D1071" s="3" t="s">
        <v>353</v>
      </c>
      <c r="E1071" s="3">
        <v>46</v>
      </c>
      <c r="G1071" s="57"/>
    </row>
    <row r="1072" spans="1:7" ht="12.75" x14ac:dyDescent="0.2">
      <c r="A1072" s="3">
        <v>2</v>
      </c>
      <c r="B1072" s="4" t="s">
        <v>25</v>
      </c>
      <c r="C1072" s="3" t="s">
        <v>347</v>
      </c>
      <c r="D1072" s="3" t="s">
        <v>149</v>
      </c>
      <c r="E1072" s="3">
        <v>496</v>
      </c>
      <c r="G1072" s="57"/>
    </row>
    <row r="1073" spans="1:7" ht="12.75" x14ac:dyDescent="0.2">
      <c r="A1073" s="3">
        <v>2</v>
      </c>
      <c r="B1073" s="4" t="s">
        <v>25</v>
      </c>
      <c r="C1073" s="3" t="s">
        <v>347</v>
      </c>
      <c r="D1073" s="3" t="s">
        <v>14</v>
      </c>
      <c r="E1073" s="3">
        <v>171</v>
      </c>
      <c r="G1073" s="57"/>
    </row>
    <row r="1074" spans="1:7" ht="12.75" x14ac:dyDescent="0.2">
      <c r="A1074" s="3">
        <v>2</v>
      </c>
      <c r="B1074" s="4" t="s">
        <v>25</v>
      </c>
      <c r="C1074" s="3" t="s">
        <v>347</v>
      </c>
      <c r="D1074" s="3" t="s">
        <v>138</v>
      </c>
      <c r="E1074" s="3">
        <v>21</v>
      </c>
      <c r="F1074">
        <f>SUM(E1067:E1074)</f>
        <v>3866</v>
      </c>
      <c r="G1074" s="57"/>
    </row>
    <row r="1075" spans="1:7" ht="12.75" x14ac:dyDescent="0.2">
      <c r="A1075" s="3">
        <v>2</v>
      </c>
      <c r="B1075" s="4" t="s">
        <v>25</v>
      </c>
      <c r="C1075" s="3" t="s">
        <v>273</v>
      </c>
      <c r="D1075" s="3" t="s">
        <v>283</v>
      </c>
      <c r="E1075" s="3">
        <v>1596</v>
      </c>
      <c r="G1075" s="57"/>
    </row>
    <row r="1076" spans="1:7" ht="12.75" x14ac:dyDescent="0.2">
      <c r="A1076" s="3">
        <v>2</v>
      </c>
      <c r="B1076" s="4" t="s">
        <v>25</v>
      </c>
      <c r="C1076" s="3" t="s">
        <v>273</v>
      </c>
      <c r="D1076" s="3" t="s">
        <v>315</v>
      </c>
      <c r="E1076" s="3">
        <v>178</v>
      </c>
      <c r="G1076" s="57"/>
    </row>
    <row r="1077" spans="1:7" ht="12.75" x14ac:dyDescent="0.2">
      <c r="A1077" s="3">
        <v>2</v>
      </c>
      <c r="B1077" s="4" t="s">
        <v>25</v>
      </c>
      <c r="C1077" s="3" t="s">
        <v>273</v>
      </c>
      <c r="D1077" s="3" t="s">
        <v>128</v>
      </c>
      <c r="E1077" s="3">
        <v>1306</v>
      </c>
      <c r="G1077" s="57"/>
    </row>
    <row r="1078" spans="1:7" ht="12.75" x14ac:dyDescent="0.2">
      <c r="A1078" s="3">
        <v>2</v>
      </c>
      <c r="B1078" s="4" t="s">
        <v>25</v>
      </c>
      <c r="C1078" s="3" t="s">
        <v>273</v>
      </c>
      <c r="D1078" s="3" t="s">
        <v>149</v>
      </c>
      <c r="E1078" s="3">
        <v>227</v>
      </c>
      <c r="G1078" s="57"/>
    </row>
    <row r="1079" spans="1:7" ht="12.75" x14ac:dyDescent="0.2">
      <c r="A1079" s="3">
        <v>2</v>
      </c>
      <c r="B1079" s="4" t="s">
        <v>25</v>
      </c>
      <c r="C1079" s="3" t="s">
        <v>273</v>
      </c>
      <c r="D1079" s="3" t="s">
        <v>14</v>
      </c>
      <c r="E1079" s="3">
        <v>543</v>
      </c>
      <c r="G1079" s="57"/>
    </row>
    <row r="1080" spans="1:7" ht="12.75" x14ac:dyDescent="0.2">
      <c r="A1080" s="3">
        <v>2</v>
      </c>
      <c r="B1080" s="4" t="s">
        <v>25</v>
      </c>
      <c r="C1080" s="3" t="s">
        <v>273</v>
      </c>
      <c r="D1080" s="3" t="s">
        <v>138</v>
      </c>
      <c r="E1080" s="3">
        <v>16</v>
      </c>
      <c r="F1080">
        <f>SUM(E1075:E1080)</f>
        <v>3866</v>
      </c>
      <c r="G1080" s="57"/>
    </row>
    <row r="1081" spans="1:7" ht="12.75" x14ac:dyDescent="0.2">
      <c r="A1081" s="3">
        <v>2</v>
      </c>
      <c r="B1081" s="4" t="s">
        <v>25</v>
      </c>
      <c r="C1081" s="3" t="s">
        <v>125</v>
      </c>
      <c r="D1081" s="3" t="s">
        <v>283</v>
      </c>
      <c r="E1081" s="3">
        <v>1596</v>
      </c>
      <c r="G1081" s="57"/>
    </row>
    <row r="1082" spans="1:7" ht="12.75" x14ac:dyDescent="0.2">
      <c r="A1082" s="3">
        <v>2</v>
      </c>
      <c r="B1082" s="4" t="s">
        <v>25</v>
      </c>
      <c r="C1082" s="3" t="s">
        <v>125</v>
      </c>
      <c r="D1082" s="3" t="s">
        <v>315</v>
      </c>
      <c r="E1082" s="3">
        <v>175</v>
      </c>
      <c r="G1082" s="57"/>
    </row>
    <row r="1083" spans="1:7" ht="12.75" x14ac:dyDescent="0.2">
      <c r="A1083" s="3">
        <v>2</v>
      </c>
      <c r="B1083" s="4" t="s">
        <v>25</v>
      </c>
      <c r="C1083" s="3" t="s">
        <v>125</v>
      </c>
      <c r="D1083" s="3" t="s">
        <v>128</v>
      </c>
      <c r="E1083" s="3">
        <v>1304</v>
      </c>
      <c r="G1083" s="57"/>
    </row>
    <row r="1084" spans="1:7" ht="12.75" x14ac:dyDescent="0.2">
      <c r="A1084" s="3">
        <v>2</v>
      </c>
      <c r="B1084" s="4" t="s">
        <v>25</v>
      </c>
      <c r="C1084" s="3" t="s">
        <v>125</v>
      </c>
      <c r="D1084" s="3" t="s">
        <v>149</v>
      </c>
      <c r="E1084" s="3">
        <v>191</v>
      </c>
      <c r="G1084" s="57"/>
    </row>
    <row r="1085" spans="1:7" ht="12.75" x14ac:dyDescent="0.2">
      <c r="A1085" s="3">
        <v>2</v>
      </c>
      <c r="B1085" s="4" t="s">
        <v>25</v>
      </c>
      <c r="C1085" s="3" t="s">
        <v>125</v>
      </c>
      <c r="D1085" s="3" t="s">
        <v>14</v>
      </c>
      <c r="E1085" s="3">
        <v>585</v>
      </c>
      <c r="G1085" s="57"/>
    </row>
    <row r="1086" spans="1:7" ht="12.75" x14ac:dyDescent="0.2">
      <c r="A1086" s="3">
        <v>2</v>
      </c>
      <c r="B1086" s="4" t="s">
        <v>25</v>
      </c>
      <c r="C1086" s="3" t="s">
        <v>125</v>
      </c>
      <c r="D1086" s="3" t="s">
        <v>138</v>
      </c>
      <c r="E1086" s="3">
        <v>15</v>
      </c>
      <c r="F1086">
        <f>SUM(E1081:E1086)</f>
        <v>3866</v>
      </c>
      <c r="G1086" s="57"/>
    </row>
    <row r="1087" spans="1:7" ht="12.75" x14ac:dyDescent="0.2">
      <c r="A1087" s="3">
        <v>81</v>
      </c>
      <c r="B1087" s="4" t="s">
        <v>104</v>
      </c>
      <c r="C1087" s="3" t="s">
        <v>347</v>
      </c>
      <c r="D1087" s="3" t="s">
        <v>283</v>
      </c>
      <c r="E1087" s="3">
        <v>1360</v>
      </c>
      <c r="G1087" s="59">
        <v>4158</v>
      </c>
    </row>
    <row r="1088" spans="1:7" ht="12.75" x14ac:dyDescent="0.2">
      <c r="A1088" s="3">
        <v>81</v>
      </c>
      <c r="B1088" s="4" t="s">
        <v>104</v>
      </c>
      <c r="C1088" s="3" t="s">
        <v>347</v>
      </c>
      <c r="D1088" s="3" t="s">
        <v>315</v>
      </c>
      <c r="E1088" s="3">
        <v>76</v>
      </c>
      <c r="G1088" s="57"/>
    </row>
    <row r="1089" spans="1:7" ht="12.75" x14ac:dyDescent="0.2">
      <c r="A1089" s="3">
        <v>81</v>
      </c>
      <c r="B1089" s="4" t="s">
        <v>104</v>
      </c>
      <c r="C1089" s="3" t="s">
        <v>347</v>
      </c>
      <c r="D1089" s="3" t="s">
        <v>316</v>
      </c>
      <c r="E1089" s="3">
        <v>70</v>
      </c>
      <c r="G1089" s="57"/>
    </row>
    <row r="1090" spans="1:7" ht="12.75" x14ac:dyDescent="0.2">
      <c r="A1090" s="3">
        <v>81</v>
      </c>
      <c r="B1090" s="4" t="s">
        <v>104</v>
      </c>
      <c r="C1090" s="3" t="s">
        <v>347</v>
      </c>
      <c r="D1090" s="3" t="s">
        <v>128</v>
      </c>
      <c r="E1090" s="3">
        <v>1259</v>
      </c>
      <c r="G1090" s="57"/>
    </row>
    <row r="1091" spans="1:7" ht="12.75" x14ac:dyDescent="0.2">
      <c r="A1091" s="3">
        <v>81</v>
      </c>
      <c r="B1091" s="4" t="s">
        <v>104</v>
      </c>
      <c r="C1091" s="3" t="s">
        <v>347</v>
      </c>
      <c r="D1091" s="3" t="s">
        <v>353</v>
      </c>
      <c r="E1091" s="3">
        <v>31</v>
      </c>
      <c r="G1091" s="57"/>
    </row>
    <row r="1092" spans="1:7" ht="12.75" x14ac:dyDescent="0.2">
      <c r="A1092" s="3">
        <v>81</v>
      </c>
      <c r="B1092" s="4" t="s">
        <v>104</v>
      </c>
      <c r="C1092" s="3" t="s">
        <v>347</v>
      </c>
      <c r="D1092" s="3" t="s">
        <v>149</v>
      </c>
      <c r="E1092" s="3">
        <v>462</v>
      </c>
      <c r="G1092" s="57"/>
    </row>
    <row r="1093" spans="1:7" ht="12.75" x14ac:dyDescent="0.2">
      <c r="A1093" s="3">
        <v>81</v>
      </c>
      <c r="B1093" s="4" t="s">
        <v>104</v>
      </c>
      <c r="C1093" s="3" t="s">
        <v>347</v>
      </c>
      <c r="D1093" s="3" t="s">
        <v>14</v>
      </c>
      <c r="E1093" s="3">
        <v>163</v>
      </c>
      <c r="G1093" s="57"/>
    </row>
    <row r="1094" spans="1:7" ht="12.75" x14ac:dyDescent="0.2">
      <c r="A1094" s="3">
        <v>81</v>
      </c>
      <c r="B1094" s="4" t="s">
        <v>104</v>
      </c>
      <c r="C1094" s="3" t="s">
        <v>347</v>
      </c>
      <c r="D1094" s="3" t="s">
        <v>138</v>
      </c>
      <c r="E1094" s="3">
        <v>24</v>
      </c>
      <c r="F1094">
        <f>SUM(E1087:E1094)</f>
        <v>3445</v>
      </c>
      <c r="G1094" s="57"/>
    </row>
    <row r="1095" spans="1:7" ht="12.75" x14ac:dyDescent="0.2">
      <c r="A1095" s="3">
        <v>81</v>
      </c>
      <c r="B1095" s="4" t="s">
        <v>104</v>
      </c>
      <c r="C1095" s="3" t="s">
        <v>273</v>
      </c>
      <c r="D1095" s="3" t="s">
        <v>283</v>
      </c>
      <c r="E1095" s="3">
        <v>1531</v>
      </c>
      <c r="G1095" s="57"/>
    </row>
    <row r="1096" spans="1:7" ht="12.75" x14ac:dyDescent="0.2">
      <c r="A1096" s="3">
        <v>81</v>
      </c>
      <c r="B1096" s="4" t="s">
        <v>104</v>
      </c>
      <c r="C1096" s="3" t="s">
        <v>273</v>
      </c>
      <c r="D1096" s="3" t="s">
        <v>315</v>
      </c>
      <c r="E1096" s="3">
        <v>69</v>
      </c>
      <c r="G1096" s="57"/>
    </row>
    <row r="1097" spans="1:7" ht="12.75" x14ac:dyDescent="0.2">
      <c r="A1097" s="3">
        <v>81</v>
      </c>
      <c r="B1097" s="4" t="s">
        <v>104</v>
      </c>
      <c r="C1097" s="3" t="s">
        <v>273</v>
      </c>
      <c r="D1097" s="3" t="s">
        <v>128</v>
      </c>
      <c r="E1097" s="3">
        <v>1066</v>
      </c>
      <c r="G1097" s="57"/>
    </row>
    <row r="1098" spans="1:7" ht="12.75" x14ac:dyDescent="0.2">
      <c r="A1098" s="3">
        <v>81</v>
      </c>
      <c r="B1098" s="4" t="s">
        <v>104</v>
      </c>
      <c r="C1098" s="3" t="s">
        <v>273</v>
      </c>
      <c r="D1098" s="3" t="s">
        <v>149</v>
      </c>
      <c r="E1098" s="3">
        <v>219</v>
      </c>
      <c r="G1098" s="57"/>
    </row>
    <row r="1099" spans="1:7" ht="12.75" x14ac:dyDescent="0.2">
      <c r="A1099" s="3">
        <v>81</v>
      </c>
      <c r="B1099" s="4" t="s">
        <v>104</v>
      </c>
      <c r="C1099" s="3" t="s">
        <v>273</v>
      </c>
      <c r="D1099" s="3" t="s">
        <v>14</v>
      </c>
      <c r="E1099" s="3">
        <v>538</v>
      </c>
      <c r="G1099" s="57"/>
    </row>
    <row r="1100" spans="1:7" ht="12.75" x14ac:dyDescent="0.2">
      <c r="A1100" s="3">
        <v>81</v>
      </c>
      <c r="B1100" s="4" t="s">
        <v>104</v>
      </c>
      <c r="C1100" s="3" t="s">
        <v>273</v>
      </c>
      <c r="D1100" s="3" t="s">
        <v>138</v>
      </c>
      <c r="E1100" s="3">
        <v>22</v>
      </c>
      <c r="F1100">
        <f>SUM(E1095:E1100)</f>
        <v>3445</v>
      </c>
      <c r="G1100" s="57"/>
    </row>
    <row r="1101" spans="1:7" ht="12.75" x14ac:dyDescent="0.2">
      <c r="A1101" s="3">
        <v>81</v>
      </c>
      <c r="B1101" s="4" t="s">
        <v>104</v>
      </c>
      <c r="C1101" s="3" t="s">
        <v>125</v>
      </c>
      <c r="D1101" s="3" t="s">
        <v>283</v>
      </c>
      <c r="E1101" s="3">
        <v>1519</v>
      </c>
      <c r="G1101" s="57"/>
    </row>
    <row r="1102" spans="1:7" ht="12.75" x14ac:dyDescent="0.2">
      <c r="A1102" s="3">
        <v>81</v>
      </c>
      <c r="B1102" s="4" t="s">
        <v>104</v>
      </c>
      <c r="C1102" s="3" t="s">
        <v>125</v>
      </c>
      <c r="D1102" s="3" t="s">
        <v>315</v>
      </c>
      <c r="E1102" s="3">
        <v>64</v>
      </c>
      <c r="G1102" s="57"/>
    </row>
    <row r="1103" spans="1:7" ht="12.75" x14ac:dyDescent="0.2">
      <c r="A1103" s="3">
        <v>81</v>
      </c>
      <c r="B1103" s="4" t="s">
        <v>104</v>
      </c>
      <c r="C1103" s="3" t="s">
        <v>125</v>
      </c>
      <c r="D1103" s="3" t="s">
        <v>128</v>
      </c>
      <c r="E1103" s="3">
        <v>1076</v>
      </c>
      <c r="G1103" s="57"/>
    </row>
    <row r="1104" spans="1:7" ht="12.75" x14ac:dyDescent="0.2">
      <c r="A1104" s="3">
        <v>81</v>
      </c>
      <c r="B1104" s="4" t="s">
        <v>104</v>
      </c>
      <c r="C1104" s="3" t="s">
        <v>125</v>
      </c>
      <c r="D1104" s="3" t="s">
        <v>149</v>
      </c>
      <c r="E1104" s="3">
        <v>211</v>
      </c>
      <c r="G1104" s="57"/>
    </row>
    <row r="1105" spans="1:8" ht="12.75" x14ac:dyDescent="0.2">
      <c r="A1105" s="3">
        <v>81</v>
      </c>
      <c r="B1105" s="4" t="s">
        <v>104</v>
      </c>
      <c r="C1105" s="3" t="s">
        <v>125</v>
      </c>
      <c r="D1105" s="3" t="s">
        <v>14</v>
      </c>
      <c r="E1105" s="3">
        <v>553</v>
      </c>
      <c r="G1105" s="57"/>
    </row>
    <row r="1106" spans="1:8" ht="12.75" x14ac:dyDescent="0.2">
      <c r="A1106" s="3">
        <v>81</v>
      </c>
      <c r="B1106" s="4" t="s">
        <v>104</v>
      </c>
      <c r="C1106" s="3" t="s">
        <v>125</v>
      </c>
      <c r="D1106" s="3" t="s">
        <v>138</v>
      </c>
      <c r="E1106" s="3">
        <v>22</v>
      </c>
      <c r="F1106">
        <f>SUM(E1101:E1106)</f>
        <v>3445</v>
      </c>
      <c r="G1106" s="57"/>
    </row>
    <row r="1107" spans="1:8" ht="12.75" x14ac:dyDescent="0.2">
      <c r="A1107" s="3">
        <v>13</v>
      </c>
      <c r="B1107" s="4" t="s">
        <v>42</v>
      </c>
      <c r="C1107" s="3" t="s">
        <v>347</v>
      </c>
      <c r="D1107" s="3" t="s">
        <v>283</v>
      </c>
      <c r="E1107" s="3">
        <v>1185</v>
      </c>
      <c r="G1107" s="59">
        <v>3640</v>
      </c>
    </row>
    <row r="1108" spans="1:8" ht="12.75" x14ac:dyDescent="0.2">
      <c r="A1108" s="3">
        <v>13</v>
      </c>
      <c r="B1108" s="4" t="s">
        <v>42</v>
      </c>
      <c r="C1108" s="3" t="s">
        <v>347</v>
      </c>
      <c r="D1108" s="3" t="s">
        <v>315</v>
      </c>
      <c r="E1108" s="3">
        <v>21</v>
      </c>
      <c r="G1108" s="57"/>
    </row>
    <row r="1109" spans="1:8" ht="12.75" x14ac:dyDescent="0.2">
      <c r="A1109" s="3">
        <v>13</v>
      </c>
      <c r="B1109" s="4" t="s">
        <v>42</v>
      </c>
      <c r="C1109" s="3" t="s">
        <v>347</v>
      </c>
      <c r="D1109" s="3" t="s">
        <v>316</v>
      </c>
      <c r="E1109" s="3">
        <v>35</v>
      </c>
      <c r="G1109" s="57"/>
    </row>
    <row r="1110" spans="1:8" ht="12.75" x14ac:dyDescent="0.2">
      <c r="A1110" s="3">
        <v>13</v>
      </c>
      <c r="B1110" s="4" t="s">
        <v>42</v>
      </c>
      <c r="C1110" s="3" t="s">
        <v>347</v>
      </c>
      <c r="D1110" s="3" t="s">
        <v>128</v>
      </c>
      <c r="E1110" s="3">
        <v>1173</v>
      </c>
      <c r="G1110" s="57"/>
    </row>
    <row r="1111" spans="1:8" ht="12.75" x14ac:dyDescent="0.2">
      <c r="A1111" s="3">
        <v>13</v>
      </c>
      <c r="B1111" s="4" t="s">
        <v>42</v>
      </c>
      <c r="C1111" s="3" t="s">
        <v>347</v>
      </c>
      <c r="D1111" s="3" t="s">
        <v>353</v>
      </c>
      <c r="E1111" s="3">
        <v>30</v>
      </c>
      <c r="G1111" s="57"/>
    </row>
    <row r="1112" spans="1:8" ht="12.75" x14ac:dyDescent="0.2">
      <c r="A1112" s="3">
        <v>13</v>
      </c>
      <c r="B1112" s="4" t="s">
        <v>42</v>
      </c>
      <c r="C1112" s="3" t="s">
        <v>347</v>
      </c>
      <c r="D1112" s="3" t="s">
        <v>149</v>
      </c>
      <c r="E1112" s="3">
        <v>510</v>
      </c>
      <c r="G1112" s="57"/>
    </row>
    <row r="1113" spans="1:8" ht="12.75" x14ac:dyDescent="0.2">
      <c r="A1113" s="3">
        <v>13</v>
      </c>
      <c r="B1113" s="4" t="s">
        <v>42</v>
      </c>
      <c r="C1113" s="3" t="s">
        <v>347</v>
      </c>
      <c r="D1113" s="3" t="s">
        <v>14</v>
      </c>
      <c r="E1113" s="3">
        <v>168</v>
      </c>
      <c r="G1113" s="57"/>
    </row>
    <row r="1114" spans="1:8" ht="12.75" x14ac:dyDescent="0.2">
      <c r="A1114" s="3">
        <v>13</v>
      </c>
      <c r="B1114" s="4" t="s">
        <v>42</v>
      </c>
      <c r="C1114" s="3" t="s">
        <v>347</v>
      </c>
      <c r="D1114" s="3" t="s">
        <v>138</v>
      </c>
      <c r="E1114" s="3">
        <v>12</v>
      </c>
      <c r="F1114">
        <f>SUM(E1107:E1114)</f>
        <v>3134</v>
      </c>
      <c r="G1114" s="57"/>
    </row>
    <row r="1115" spans="1:8" ht="12.75" x14ac:dyDescent="0.2">
      <c r="A1115" s="3">
        <v>13</v>
      </c>
      <c r="B1115" s="4" t="s">
        <v>42</v>
      </c>
      <c r="C1115" s="3" t="s">
        <v>273</v>
      </c>
      <c r="D1115" s="3" t="s">
        <v>283</v>
      </c>
      <c r="E1115" s="3">
        <v>1330</v>
      </c>
      <c r="G1115" s="57"/>
      <c r="H1115" s="15"/>
    </row>
    <row r="1116" spans="1:8" ht="12.75" x14ac:dyDescent="0.2">
      <c r="A1116" s="3">
        <v>13</v>
      </c>
      <c r="B1116" s="4" t="s">
        <v>42</v>
      </c>
      <c r="C1116" s="3" t="s">
        <v>273</v>
      </c>
      <c r="D1116" s="3" t="s">
        <v>315</v>
      </c>
      <c r="E1116" s="3">
        <v>17</v>
      </c>
      <c r="G1116" s="57"/>
    </row>
    <row r="1117" spans="1:8" ht="12.75" x14ac:dyDescent="0.2">
      <c r="A1117" s="3">
        <v>13</v>
      </c>
      <c r="B1117" s="4" t="s">
        <v>42</v>
      </c>
      <c r="C1117" s="3" t="s">
        <v>273</v>
      </c>
      <c r="D1117" s="3" t="s">
        <v>128</v>
      </c>
      <c r="E1117" s="3">
        <v>1076</v>
      </c>
      <c r="G1117" s="57"/>
    </row>
    <row r="1118" spans="1:8" ht="12.75" x14ac:dyDescent="0.2">
      <c r="A1118" s="3">
        <v>13</v>
      </c>
      <c r="B1118" s="4" t="s">
        <v>42</v>
      </c>
      <c r="C1118" s="3" t="s">
        <v>273</v>
      </c>
      <c r="D1118" s="3" t="s">
        <v>149</v>
      </c>
      <c r="E1118" s="3">
        <v>189</v>
      </c>
      <c r="G1118" s="57"/>
    </row>
    <row r="1119" spans="1:8" ht="12.75" x14ac:dyDescent="0.2">
      <c r="A1119" s="3">
        <v>13</v>
      </c>
      <c r="B1119" s="4" t="s">
        <v>42</v>
      </c>
      <c r="C1119" s="3" t="s">
        <v>273</v>
      </c>
      <c r="D1119" s="3" t="s">
        <v>14</v>
      </c>
      <c r="E1119" s="3">
        <v>513</v>
      </c>
      <c r="G1119" s="57"/>
    </row>
    <row r="1120" spans="1:8" ht="12.75" x14ac:dyDescent="0.2">
      <c r="A1120" s="3">
        <v>13</v>
      </c>
      <c r="B1120" s="4" t="s">
        <v>42</v>
      </c>
      <c r="C1120" s="3" t="s">
        <v>273</v>
      </c>
      <c r="D1120" s="3" t="s">
        <v>138</v>
      </c>
      <c r="E1120" s="3">
        <v>9</v>
      </c>
      <c r="F1120">
        <f>SUM(E1115:E1120)</f>
        <v>3134</v>
      </c>
      <c r="G1120" s="57"/>
    </row>
    <row r="1121" spans="1:7" ht="12.75" x14ac:dyDescent="0.2">
      <c r="A1121" s="3">
        <v>13</v>
      </c>
      <c r="B1121" s="4" t="s">
        <v>42</v>
      </c>
      <c r="C1121" s="3" t="s">
        <v>125</v>
      </c>
      <c r="D1121" s="3" t="s">
        <v>283</v>
      </c>
      <c r="E1121" s="3">
        <v>1322</v>
      </c>
      <c r="G1121" s="57"/>
    </row>
    <row r="1122" spans="1:7" ht="12.75" x14ac:dyDescent="0.2">
      <c r="A1122" s="3">
        <v>13</v>
      </c>
      <c r="B1122" s="4" t="s">
        <v>42</v>
      </c>
      <c r="C1122" s="3" t="s">
        <v>125</v>
      </c>
      <c r="D1122" s="3" t="s">
        <v>315</v>
      </c>
      <c r="E1122" s="3">
        <v>16</v>
      </c>
      <c r="G1122" s="57"/>
    </row>
    <row r="1123" spans="1:7" ht="12.75" x14ac:dyDescent="0.2">
      <c r="A1123" s="3">
        <v>13</v>
      </c>
      <c r="B1123" s="4" t="s">
        <v>42</v>
      </c>
      <c r="C1123" s="3" t="s">
        <v>125</v>
      </c>
      <c r="D1123" s="3" t="s">
        <v>128</v>
      </c>
      <c r="E1123" s="3">
        <v>1069</v>
      </c>
      <c r="G1123" s="57"/>
    </row>
    <row r="1124" spans="1:7" ht="12.75" x14ac:dyDescent="0.2">
      <c r="A1124" s="3">
        <v>13</v>
      </c>
      <c r="B1124" s="4" t="s">
        <v>42</v>
      </c>
      <c r="C1124" s="3" t="s">
        <v>125</v>
      </c>
      <c r="D1124" s="3" t="s">
        <v>149</v>
      </c>
      <c r="E1124" s="3">
        <v>190</v>
      </c>
      <c r="G1124" s="57"/>
    </row>
    <row r="1125" spans="1:7" ht="12.75" x14ac:dyDescent="0.2">
      <c r="A1125" s="3">
        <v>13</v>
      </c>
      <c r="B1125" s="4" t="s">
        <v>42</v>
      </c>
      <c r="C1125" s="3" t="s">
        <v>125</v>
      </c>
      <c r="D1125" s="3" t="s">
        <v>14</v>
      </c>
      <c r="E1125" s="3">
        <v>528</v>
      </c>
      <c r="G1125" s="57"/>
    </row>
    <row r="1126" spans="1:7" ht="12.75" x14ac:dyDescent="0.2">
      <c r="A1126" s="3">
        <v>13</v>
      </c>
      <c r="B1126" s="4" t="s">
        <v>42</v>
      </c>
      <c r="C1126" s="3" t="s">
        <v>125</v>
      </c>
      <c r="D1126" s="3" t="s">
        <v>138</v>
      </c>
      <c r="E1126" s="3">
        <v>9</v>
      </c>
      <c r="F1126">
        <f>SUM(E1121:E1126)</f>
        <v>3134</v>
      </c>
      <c r="G1126" s="57"/>
    </row>
    <row r="1127" spans="1:7" ht="12.75" x14ac:dyDescent="0.2">
      <c r="A1127" s="3">
        <v>65</v>
      </c>
      <c r="B1127" s="4" t="s">
        <v>90</v>
      </c>
      <c r="C1127" s="3" t="s">
        <v>347</v>
      </c>
      <c r="D1127" s="3" t="s">
        <v>283</v>
      </c>
      <c r="E1127" s="3">
        <v>744</v>
      </c>
      <c r="G1127" s="59">
        <v>3351</v>
      </c>
    </row>
    <row r="1128" spans="1:7" ht="12.75" x14ac:dyDescent="0.2">
      <c r="A1128" s="3">
        <v>65</v>
      </c>
      <c r="B1128" s="4" t="s">
        <v>90</v>
      </c>
      <c r="C1128" s="3" t="s">
        <v>347</v>
      </c>
      <c r="D1128" s="3" t="s">
        <v>315</v>
      </c>
      <c r="E1128" s="3">
        <v>30</v>
      </c>
      <c r="G1128" s="57"/>
    </row>
    <row r="1129" spans="1:7" ht="12.75" x14ac:dyDescent="0.2">
      <c r="A1129" s="3">
        <v>65</v>
      </c>
      <c r="B1129" s="4" t="s">
        <v>90</v>
      </c>
      <c r="C1129" s="3" t="s">
        <v>347</v>
      </c>
      <c r="D1129" s="3" t="s">
        <v>316</v>
      </c>
      <c r="E1129" s="3">
        <v>47</v>
      </c>
      <c r="G1129" s="57"/>
    </row>
    <row r="1130" spans="1:7" ht="12.75" x14ac:dyDescent="0.2">
      <c r="A1130" s="3">
        <v>65</v>
      </c>
      <c r="B1130" s="4" t="s">
        <v>90</v>
      </c>
      <c r="C1130" s="3" t="s">
        <v>347</v>
      </c>
      <c r="D1130" s="3" t="s">
        <v>128</v>
      </c>
      <c r="E1130" s="3">
        <v>1115</v>
      </c>
      <c r="G1130" s="57"/>
    </row>
    <row r="1131" spans="1:7" ht="12.75" x14ac:dyDescent="0.2">
      <c r="A1131" s="3">
        <v>65</v>
      </c>
      <c r="B1131" s="4" t="s">
        <v>90</v>
      </c>
      <c r="C1131" s="3" t="s">
        <v>347</v>
      </c>
      <c r="D1131" s="3" t="s">
        <v>353</v>
      </c>
      <c r="E1131" s="3">
        <v>40</v>
      </c>
      <c r="G1131" s="57"/>
    </row>
    <row r="1132" spans="1:7" ht="12.75" x14ac:dyDescent="0.2">
      <c r="A1132" s="3">
        <v>65</v>
      </c>
      <c r="B1132" s="4" t="s">
        <v>90</v>
      </c>
      <c r="C1132" s="3" t="s">
        <v>347</v>
      </c>
      <c r="D1132" s="3" t="s">
        <v>149</v>
      </c>
      <c r="E1132" s="3">
        <v>641</v>
      </c>
      <c r="G1132" s="57"/>
    </row>
    <row r="1133" spans="1:7" ht="12.75" x14ac:dyDescent="0.2">
      <c r="A1133" s="3">
        <v>65</v>
      </c>
      <c r="B1133" s="4" t="s">
        <v>90</v>
      </c>
      <c r="C1133" s="3" t="s">
        <v>347</v>
      </c>
      <c r="D1133" s="3" t="s">
        <v>14</v>
      </c>
      <c r="E1133" s="3">
        <v>167</v>
      </c>
      <c r="G1133" s="57"/>
    </row>
    <row r="1134" spans="1:7" ht="12.75" x14ac:dyDescent="0.2">
      <c r="A1134" s="3">
        <v>65</v>
      </c>
      <c r="B1134" s="4" t="s">
        <v>90</v>
      </c>
      <c r="C1134" s="3" t="s">
        <v>347</v>
      </c>
      <c r="D1134" s="3" t="s">
        <v>138</v>
      </c>
      <c r="E1134" s="3">
        <v>11</v>
      </c>
      <c r="F1134">
        <f>SUM(E1127:E1134)</f>
        <v>2795</v>
      </c>
      <c r="G1134" s="57"/>
    </row>
    <row r="1135" spans="1:7" ht="12.75" x14ac:dyDescent="0.2">
      <c r="A1135" s="3">
        <v>65</v>
      </c>
      <c r="B1135" s="4" t="s">
        <v>90</v>
      </c>
      <c r="C1135" s="3" t="s">
        <v>273</v>
      </c>
      <c r="D1135" s="3" t="s">
        <v>283</v>
      </c>
      <c r="E1135" s="3">
        <v>968</v>
      </c>
      <c r="G1135" s="57"/>
    </row>
    <row r="1136" spans="1:7" ht="12.75" x14ac:dyDescent="0.2">
      <c r="A1136" s="3">
        <v>65</v>
      </c>
      <c r="B1136" s="4" t="s">
        <v>90</v>
      </c>
      <c r="C1136" s="3" t="s">
        <v>273</v>
      </c>
      <c r="D1136" s="3" t="s">
        <v>315</v>
      </c>
      <c r="E1136" s="3">
        <v>23</v>
      </c>
      <c r="G1136" s="57"/>
    </row>
    <row r="1137" spans="1:7" ht="12.75" x14ac:dyDescent="0.2">
      <c r="A1137" s="3">
        <v>65</v>
      </c>
      <c r="B1137" s="4" t="s">
        <v>90</v>
      </c>
      <c r="C1137" s="3" t="s">
        <v>273</v>
      </c>
      <c r="D1137" s="3" t="s">
        <v>128</v>
      </c>
      <c r="E1137" s="3">
        <v>1043</v>
      </c>
      <c r="G1137" s="57"/>
    </row>
    <row r="1138" spans="1:7" ht="12.75" x14ac:dyDescent="0.2">
      <c r="A1138" s="3">
        <v>65</v>
      </c>
      <c r="B1138" s="4" t="s">
        <v>90</v>
      </c>
      <c r="C1138" s="3" t="s">
        <v>273</v>
      </c>
      <c r="D1138" s="3" t="s">
        <v>149</v>
      </c>
      <c r="E1138" s="3">
        <v>234</v>
      </c>
      <c r="G1138" s="57"/>
    </row>
    <row r="1139" spans="1:7" ht="12.75" x14ac:dyDescent="0.2">
      <c r="A1139" s="3">
        <v>65</v>
      </c>
      <c r="B1139" s="4" t="s">
        <v>90</v>
      </c>
      <c r="C1139" s="3" t="s">
        <v>273</v>
      </c>
      <c r="D1139" s="3" t="s">
        <v>14</v>
      </c>
      <c r="E1139" s="3">
        <v>517</v>
      </c>
      <c r="G1139" s="57"/>
    </row>
    <row r="1140" spans="1:7" ht="12.75" x14ac:dyDescent="0.2">
      <c r="A1140" s="3">
        <v>65</v>
      </c>
      <c r="B1140" s="4" t="s">
        <v>90</v>
      </c>
      <c r="C1140" s="3" t="s">
        <v>273</v>
      </c>
      <c r="D1140" s="3" t="s">
        <v>138</v>
      </c>
      <c r="E1140" s="3">
        <v>10</v>
      </c>
      <c r="F1140">
        <f>SUM(E1135:E1140)</f>
        <v>2795</v>
      </c>
      <c r="G1140" s="57"/>
    </row>
    <row r="1141" spans="1:7" ht="12.75" x14ac:dyDescent="0.2">
      <c r="A1141" s="3">
        <v>65</v>
      </c>
      <c r="B1141" s="4" t="s">
        <v>90</v>
      </c>
      <c r="C1141" s="3" t="s">
        <v>125</v>
      </c>
      <c r="D1141" s="3" t="s">
        <v>283</v>
      </c>
      <c r="E1141" s="3">
        <v>966</v>
      </c>
      <c r="G1141" s="57"/>
    </row>
    <row r="1142" spans="1:7" ht="12.75" x14ac:dyDescent="0.2">
      <c r="A1142" s="3">
        <v>65</v>
      </c>
      <c r="B1142" s="4" t="s">
        <v>90</v>
      </c>
      <c r="C1142" s="3" t="s">
        <v>125</v>
      </c>
      <c r="D1142" s="3" t="s">
        <v>315</v>
      </c>
      <c r="E1142" s="3">
        <v>30</v>
      </c>
      <c r="G1142" s="57"/>
    </row>
    <row r="1143" spans="1:7" ht="12.75" x14ac:dyDescent="0.2">
      <c r="A1143" s="3">
        <v>65</v>
      </c>
      <c r="B1143" s="4" t="s">
        <v>90</v>
      </c>
      <c r="C1143" s="3" t="s">
        <v>125</v>
      </c>
      <c r="D1143" s="3" t="s">
        <v>128</v>
      </c>
      <c r="E1143" s="3">
        <v>1052</v>
      </c>
      <c r="G1143" s="57"/>
    </row>
    <row r="1144" spans="1:7" ht="12.75" x14ac:dyDescent="0.2">
      <c r="A1144" s="3">
        <v>65</v>
      </c>
      <c r="B1144" s="4" t="s">
        <v>90</v>
      </c>
      <c r="C1144" s="3" t="s">
        <v>125</v>
      </c>
      <c r="D1144" s="3" t="s">
        <v>149</v>
      </c>
      <c r="E1144" s="3">
        <v>222</v>
      </c>
      <c r="G1144" s="57"/>
    </row>
    <row r="1145" spans="1:7" ht="12.75" x14ac:dyDescent="0.2">
      <c r="A1145" s="3">
        <v>65</v>
      </c>
      <c r="B1145" s="4" t="s">
        <v>90</v>
      </c>
      <c r="C1145" s="3" t="s">
        <v>125</v>
      </c>
      <c r="D1145" s="3" t="s">
        <v>14</v>
      </c>
      <c r="E1145" s="3">
        <v>517</v>
      </c>
      <c r="G1145" s="57"/>
    </row>
    <row r="1146" spans="1:7" ht="12.75" x14ac:dyDescent="0.2">
      <c r="A1146" s="3">
        <v>65</v>
      </c>
      <c r="B1146" s="4" t="s">
        <v>90</v>
      </c>
      <c r="C1146" s="3" t="s">
        <v>125</v>
      </c>
      <c r="D1146" s="3" t="s">
        <v>138</v>
      </c>
      <c r="E1146" s="3">
        <v>8</v>
      </c>
      <c r="F1146">
        <f>SUM(E1141:E1146)</f>
        <v>2795</v>
      </c>
      <c r="G1146" s="57"/>
    </row>
    <row r="1147" spans="1:7" ht="12.75" x14ac:dyDescent="0.2">
      <c r="A1147" s="3">
        <v>1</v>
      </c>
      <c r="B1147" s="4" t="s">
        <v>12</v>
      </c>
      <c r="C1147" s="3" t="s">
        <v>347</v>
      </c>
      <c r="D1147" s="3" t="s">
        <v>283</v>
      </c>
      <c r="E1147" s="3">
        <v>371</v>
      </c>
      <c r="G1147" s="59">
        <v>1484</v>
      </c>
    </row>
    <row r="1148" spans="1:7" ht="12.75" x14ac:dyDescent="0.2">
      <c r="A1148" s="3">
        <v>1</v>
      </c>
      <c r="B1148" s="4" t="s">
        <v>12</v>
      </c>
      <c r="C1148" s="3" t="s">
        <v>347</v>
      </c>
      <c r="D1148" s="3" t="s">
        <v>315</v>
      </c>
      <c r="E1148" s="3">
        <v>29</v>
      </c>
      <c r="G1148" s="57"/>
    </row>
    <row r="1149" spans="1:7" ht="12.75" x14ac:dyDescent="0.2">
      <c r="A1149" s="3">
        <v>1</v>
      </c>
      <c r="B1149" s="4" t="s">
        <v>12</v>
      </c>
      <c r="C1149" s="3" t="s">
        <v>347</v>
      </c>
      <c r="D1149" s="3" t="s">
        <v>316</v>
      </c>
      <c r="E1149" s="3">
        <v>7</v>
      </c>
      <c r="G1149" s="57"/>
    </row>
    <row r="1150" spans="1:7" ht="12.75" x14ac:dyDescent="0.2">
      <c r="A1150" s="3">
        <v>1</v>
      </c>
      <c r="B1150" s="4" t="s">
        <v>12</v>
      </c>
      <c r="C1150" s="3" t="s">
        <v>347</v>
      </c>
      <c r="D1150" s="3" t="s">
        <v>128</v>
      </c>
      <c r="E1150" s="3">
        <v>388</v>
      </c>
      <c r="G1150" s="57"/>
    </row>
    <row r="1151" spans="1:7" ht="12.75" x14ac:dyDescent="0.2">
      <c r="A1151" s="3">
        <v>1</v>
      </c>
      <c r="B1151" s="4" t="s">
        <v>12</v>
      </c>
      <c r="C1151" s="3" t="s">
        <v>347</v>
      </c>
      <c r="D1151" s="3" t="s">
        <v>353</v>
      </c>
      <c r="E1151" s="3">
        <v>22</v>
      </c>
      <c r="G1151" s="57"/>
    </row>
    <row r="1152" spans="1:7" ht="12.75" x14ac:dyDescent="0.2">
      <c r="A1152" s="3">
        <v>1</v>
      </c>
      <c r="B1152" s="4" t="s">
        <v>12</v>
      </c>
      <c r="C1152" s="3" t="s">
        <v>347</v>
      </c>
      <c r="D1152" s="3" t="s">
        <v>149</v>
      </c>
      <c r="E1152" s="3">
        <v>328</v>
      </c>
      <c r="G1152" s="57"/>
    </row>
    <row r="1153" spans="1:7" ht="12.75" x14ac:dyDescent="0.2">
      <c r="A1153" s="3">
        <v>1</v>
      </c>
      <c r="B1153" s="4" t="s">
        <v>12</v>
      </c>
      <c r="C1153" s="3" t="s">
        <v>347</v>
      </c>
      <c r="D1153" s="3" t="s">
        <v>14</v>
      </c>
      <c r="E1153" s="3">
        <v>95</v>
      </c>
      <c r="G1153" s="57"/>
    </row>
    <row r="1154" spans="1:7" ht="12.75" x14ac:dyDescent="0.2">
      <c r="A1154" s="3">
        <v>1</v>
      </c>
      <c r="B1154" s="4" t="s">
        <v>12</v>
      </c>
      <c r="C1154" s="3" t="s">
        <v>347</v>
      </c>
      <c r="D1154" s="3" t="s">
        <v>138</v>
      </c>
      <c r="E1154" s="3">
        <v>22</v>
      </c>
      <c r="F1154">
        <f>SUM(E1147:E1154)</f>
        <v>1262</v>
      </c>
      <c r="G1154" s="57"/>
    </row>
    <row r="1155" spans="1:7" ht="12.75" x14ac:dyDescent="0.2">
      <c r="A1155" s="3">
        <v>1</v>
      </c>
      <c r="B1155" s="4" t="s">
        <v>12</v>
      </c>
      <c r="C1155" s="3" t="s">
        <v>273</v>
      </c>
      <c r="D1155" s="3" t="s">
        <v>283</v>
      </c>
      <c r="E1155" s="3">
        <v>404</v>
      </c>
      <c r="G1155" s="57"/>
    </row>
    <row r="1156" spans="1:7" ht="12.75" x14ac:dyDescent="0.2">
      <c r="A1156" s="3">
        <v>1</v>
      </c>
      <c r="B1156" s="4" t="s">
        <v>12</v>
      </c>
      <c r="C1156" s="3" t="s">
        <v>273</v>
      </c>
      <c r="D1156" s="3" t="s">
        <v>315</v>
      </c>
      <c r="E1156" s="3">
        <v>83</v>
      </c>
      <c r="G1156" s="57"/>
    </row>
    <row r="1157" spans="1:7" ht="12.75" x14ac:dyDescent="0.2">
      <c r="A1157" s="3">
        <v>1</v>
      </c>
      <c r="B1157" s="4" t="s">
        <v>12</v>
      </c>
      <c r="C1157" s="3" t="s">
        <v>273</v>
      </c>
      <c r="D1157" s="3" t="s">
        <v>128</v>
      </c>
      <c r="E1157" s="3">
        <v>406</v>
      </c>
      <c r="G1157" s="57"/>
    </row>
    <row r="1158" spans="1:7" ht="12.75" x14ac:dyDescent="0.2">
      <c r="A1158" s="3">
        <v>1</v>
      </c>
      <c r="B1158" s="4" t="s">
        <v>12</v>
      </c>
      <c r="C1158" s="3" t="s">
        <v>273</v>
      </c>
      <c r="D1158" s="3" t="s">
        <v>149</v>
      </c>
      <c r="E1158" s="3">
        <v>83</v>
      </c>
      <c r="G1158" s="57"/>
    </row>
    <row r="1159" spans="1:7" ht="12.75" x14ac:dyDescent="0.2">
      <c r="A1159" s="3">
        <v>1</v>
      </c>
      <c r="B1159" s="4" t="s">
        <v>12</v>
      </c>
      <c r="C1159" s="3" t="s">
        <v>273</v>
      </c>
      <c r="D1159" s="3" t="s">
        <v>14</v>
      </c>
      <c r="E1159" s="3">
        <v>264</v>
      </c>
      <c r="G1159" s="57"/>
    </row>
    <row r="1160" spans="1:7" ht="12.75" x14ac:dyDescent="0.2">
      <c r="A1160" s="3">
        <v>1</v>
      </c>
      <c r="B1160" s="4" t="s">
        <v>12</v>
      </c>
      <c r="C1160" s="3" t="s">
        <v>273</v>
      </c>
      <c r="D1160" s="3" t="s">
        <v>138</v>
      </c>
      <c r="E1160" s="3">
        <v>22</v>
      </c>
      <c r="F1160">
        <f>SUM(E1155:E1160)</f>
        <v>1262</v>
      </c>
      <c r="G1160" s="57"/>
    </row>
    <row r="1161" spans="1:7" ht="12.75" x14ac:dyDescent="0.2">
      <c r="A1161" s="3">
        <v>1</v>
      </c>
      <c r="B1161" s="4" t="s">
        <v>12</v>
      </c>
      <c r="C1161" s="3" t="s">
        <v>125</v>
      </c>
      <c r="D1161" s="3" t="s">
        <v>283</v>
      </c>
      <c r="E1161" s="3">
        <v>390</v>
      </c>
      <c r="G1161" s="57"/>
    </row>
    <row r="1162" spans="1:7" ht="12.75" x14ac:dyDescent="0.2">
      <c r="A1162" s="3">
        <v>1</v>
      </c>
      <c r="B1162" s="4" t="s">
        <v>12</v>
      </c>
      <c r="C1162" s="3" t="s">
        <v>125</v>
      </c>
      <c r="D1162" s="3" t="s">
        <v>315</v>
      </c>
      <c r="E1162" s="3">
        <v>15</v>
      </c>
      <c r="G1162" s="57"/>
    </row>
    <row r="1163" spans="1:7" ht="12.75" x14ac:dyDescent="0.2">
      <c r="A1163" s="3">
        <v>1</v>
      </c>
      <c r="B1163" s="4" t="s">
        <v>12</v>
      </c>
      <c r="C1163" s="3" t="s">
        <v>125</v>
      </c>
      <c r="D1163" s="3" t="s">
        <v>128</v>
      </c>
      <c r="E1163" s="3">
        <v>413</v>
      </c>
      <c r="G1163" s="57"/>
    </row>
    <row r="1164" spans="1:7" ht="12.75" x14ac:dyDescent="0.2">
      <c r="A1164" s="3">
        <v>1</v>
      </c>
      <c r="B1164" s="4" t="s">
        <v>12</v>
      </c>
      <c r="C1164" s="3" t="s">
        <v>125</v>
      </c>
      <c r="D1164" s="3" t="s">
        <v>149</v>
      </c>
      <c r="E1164" s="3">
        <v>79</v>
      </c>
      <c r="G1164" s="57"/>
    </row>
    <row r="1165" spans="1:7" ht="12.75" x14ac:dyDescent="0.2">
      <c r="A1165" s="3">
        <v>1</v>
      </c>
      <c r="B1165" s="4" t="s">
        <v>12</v>
      </c>
      <c r="C1165" s="3" t="s">
        <v>125</v>
      </c>
      <c r="D1165" s="3" t="s">
        <v>14</v>
      </c>
      <c r="E1165" s="3">
        <v>363</v>
      </c>
      <c r="G1165" s="57"/>
    </row>
    <row r="1166" spans="1:7" ht="12.75" x14ac:dyDescent="0.2">
      <c r="A1166" s="3">
        <v>1</v>
      </c>
      <c r="B1166" s="4" t="s">
        <v>12</v>
      </c>
      <c r="C1166" s="3" t="s">
        <v>125</v>
      </c>
      <c r="D1166" s="3" t="s">
        <v>138</v>
      </c>
      <c r="E1166" s="3">
        <v>2</v>
      </c>
      <c r="F1166">
        <f>SUM(E1161:E1166)</f>
        <v>1262</v>
      </c>
      <c r="G1166" s="57"/>
    </row>
    <row r="1167" spans="1:7" ht="12.75" x14ac:dyDescent="0.2">
      <c r="A1167" s="3">
        <v>3</v>
      </c>
      <c r="B1167" s="4" t="s">
        <v>35</v>
      </c>
      <c r="C1167" s="3" t="s">
        <v>347</v>
      </c>
      <c r="D1167" s="3" t="s">
        <v>283</v>
      </c>
      <c r="E1167" s="3">
        <v>679</v>
      </c>
      <c r="G1167" s="59">
        <v>2132</v>
      </c>
    </row>
    <row r="1168" spans="1:7" ht="12.75" x14ac:dyDescent="0.2">
      <c r="A1168" s="3">
        <v>3</v>
      </c>
      <c r="B1168" s="4" t="s">
        <v>35</v>
      </c>
      <c r="C1168" s="3" t="s">
        <v>347</v>
      </c>
      <c r="D1168" s="3" t="s">
        <v>315</v>
      </c>
      <c r="E1168" s="3">
        <v>23</v>
      </c>
      <c r="G1168" s="57"/>
    </row>
    <row r="1169" spans="1:7" ht="12.75" x14ac:dyDescent="0.2">
      <c r="A1169" s="3">
        <v>3</v>
      </c>
      <c r="B1169" s="4" t="s">
        <v>35</v>
      </c>
      <c r="C1169" s="3" t="s">
        <v>347</v>
      </c>
      <c r="D1169" s="3" t="s">
        <v>316</v>
      </c>
      <c r="E1169" s="3">
        <v>19</v>
      </c>
      <c r="G1169" s="57"/>
    </row>
    <row r="1170" spans="1:7" ht="12.75" x14ac:dyDescent="0.2">
      <c r="A1170" s="3">
        <v>3</v>
      </c>
      <c r="B1170" s="4" t="s">
        <v>35</v>
      </c>
      <c r="C1170" s="3" t="s">
        <v>347</v>
      </c>
      <c r="D1170" s="3" t="s">
        <v>128</v>
      </c>
      <c r="E1170" s="3">
        <v>837</v>
      </c>
      <c r="G1170" s="57"/>
    </row>
    <row r="1171" spans="1:7" ht="12.75" x14ac:dyDescent="0.2">
      <c r="A1171" s="3">
        <v>3</v>
      </c>
      <c r="B1171" s="4" t="s">
        <v>35</v>
      </c>
      <c r="C1171" s="3" t="s">
        <v>347</v>
      </c>
      <c r="D1171" s="3" t="s">
        <v>353</v>
      </c>
      <c r="E1171" s="3">
        <v>36</v>
      </c>
      <c r="G1171" s="57"/>
    </row>
    <row r="1172" spans="1:7" ht="12.75" x14ac:dyDescent="0.2">
      <c r="A1172" s="3">
        <v>3</v>
      </c>
      <c r="B1172" s="4" t="s">
        <v>35</v>
      </c>
      <c r="C1172" s="3" t="s">
        <v>347</v>
      </c>
      <c r="D1172" s="3" t="s">
        <v>149</v>
      </c>
      <c r="E1172" s="3">
        <v>207</v>
      </c>
      <c r="G1172" s="57"/>
    </row>
    <row r="1173" spans="1:7" ht="12.75" x14ac:dyDescent="0.2">
      <c r="A1173" s="3">
        <v>3</v>
      </c>
      <c r="B1173" s="4" t="s">
        <v>35</v>
      </c>
      <c r="C1173" s="3" t="s">
        <v>347</v>
      </c>
      <c r="D1173" s="3" t="s">
        <v>14</v>
      </c>
      <c r="E1173" s="3">
        <v>85</v>
      </c>
      <c r="G1173" s="57"/>
    </row>
    <row r="1174" spans="1:7" ht="12.75" x14ac:dyDescent="0.2">
      <c r="A1174" s="3">
        <v>3</v>
      </c>
      <c r="B1174" s="4" t="s">
        <v>35</v>
      </c>
      <c r="C1174" s="3" t="s">
        <v>347</v>
      </c>
      <c r="D1174" s="3" t="s">
        <v>138</v>
      </c>
      <c r="E1174" s="3">
        <v>1</v>
      </c>
      <c r="F1174">
        <f>SUM(E1167:E1174)</f>
        <v>1887</v>
      </c>
      <c r="G1174" s="57"/>
    </row>
    <row r="1175" spans="1:7" ht="12.75" x14ac:dyDescent="0.2">
      <c r="A1175" s="3">
        <v>3</v>
      </c>
      <c r="B1175" s="4" t="s">
        <v>35</v>
      </c>
      <c r="C1175" s="3" t="s">
        <v>273</v>
      </c>
      <c r="D1175" s="3" t="s">
        <v>283</v>
      </c>
      <c r="E1175" s="3">
        <v>789</v>
      </c>
      <c r="G1175" s="57"/>
    </row>
    <row r="1176" spans="1:7" ht="12.75" x14ac:dyDescent="0.2">
      <c r="A1176" s="3">
        <v>3</v>
      </c>
      <c r="B1176" s="4" t="s">
        <v>35</v>
      </c>
      <c r="C1176" s="3" t="s">
        <v>273</v>
      </c>
      <c r="D1176" s="3" t="s">
        <v>315</v>
      </c>
      <c r="E1176" s="3">
        <v>25</v>
      </c>
      <c r="G1176" s="57"/>
    </row>
    <row r="1177" spans="1:7" ht="12.75" x14ac:dyDescent="0.2">
      <c r="A1177" s="3">
        <v>3</v>
      </c>
      <c r="B1177" s="4" t="s">
        <v>35</v>
      </c>
      <c r="C1177" s="3" t="s">
        <v>273</v>
      </c>
      <c r="D1177" s="3" t="s">
        <v>128</v>
      </c>
      <c r="E1177" s="3">
        <v>854</v>
      </c>
      <c r="G1177" s="57"/>
    </row>
    <row r="1178" spans="1:7" ht="12.75" x14ac:dyDescent="0.2">
      <c r="A1178" s="3">
        <v>3</v>
      </c>
      <c r="B1178" s="4" t="s">
        <v>35</v>
      </c>
      <c r="C1178" s="3" t="s">
        <v>273</v>
      </c>
      <c r="D1178" s="3" t="s">
        <v>149</v>
      </c>
      <c r="E1178" s="3">
        <v>29</v>
      </c>
      <c r="G1178" s="57"/>
    </row>
    <row r="1179" spans="1:7" ht="12.75" x14ac:dyDescent="0.2">
      <c r="A1179" s="3">
        <v>3</v>
      </c>
      <c r="B1179" s="4" t="s">
        <v>35</v>
      </c>
      <c r="C1179" s="3" t="s">
        <v>273</v>
      </c>
      <c r="D1179" s="3" t="s">
        <v>14</v>
      </c>
      <c r="E1179" s="3">
        <v>190</v>
      </c>
      <c r="G1179" s="57"/>
    </row>
    <row r="1180" spans="1:7" ht="12.75" x14ac:dyDescent="0.2">
      <c r="A1180" s="3">
        <v>3</v>
      </c>
      <c r="B1180" s="4" t="s">
        <v>35</v>
      </c>
      <c r="C1180" s="3" t="s">
        <v>273</v>
      </c>
      <c r="D1180" s="3" t="s">
        <v>138</v>
      </c>
      <c r="E1180" s="3">
        <v>0</v>
      </c>
      <c r="F1180">
        <f>SUM(E1175:E1180)</f>
        <v>1887</v>
      </c>
      <c r="G1180" s="57"/>
    </row>
    <row r="1181" spans="1:7" ht="12.75" x14ac:dyDescent="0.2">
      <c r="A1181" s="3">
        <v>3</v>
      </c>
      <c r="B1181" s="4" t="s">
        <v>35</v>
      </c>
      <c r="C1181" s="3" t="s">
        <v>125</v>
      </c>
      <c r="D1181" s="3" t="s">
        <v>283</v>
      </c>
      <c r="E1181" s="3">
        <v>759</v>
      </c>
      <c r="G1181" s="57"/>
    </row>
    <row r="1182" spans="1:7" ht="12.75" x14ac:dyDescent="0.2">
      <c r="A1182" s="3">
        <v>3</v>
      </c>
      <c r="B1182" s="4" t="s">
        <v>35</v>
      </c>
      <c r="C1182" s="3" t="s">
        <v>125</v>
      </c>
      <c r="D1182" s="3" t="s">
        <v>315</v>
      </c>
      <c r="E1182" s="3">
        <v>9</v>
      </c>
      <c r="G1182" s="57"/>
    </row>
    <row r="1183" spans="1:7" ht="12.75" x14ac:dyDescent="0.2">
      <c r="A1183" s="3">
        <v>3</v>
      </c>
      <c r="B1183" s="4" t="s">
        <v>35</v>
      </c>
      <c r="C1183" s="3" t="s">
        <v>125</v>
      </c>
      <c r="D1183" s="3" t="s">
        <v>128</v>
      </c>
      <c r="E1183" s="3">
        <v>789</v>
      </c>
      <c r="G1183" s="57"/>
    </row>
    <row r="1184" spans="1:7" ht="12.75" x14ac:dyDescent="0.2">
      <c r="A1184" s="3">
        <v>3</v>
      </c>
      <c r="B1184" s="4" t="s">
        <v>35</v>
      </c>
      <c r="C1184" s="3" t="s">
        <v>125</v>
      </c>
      <c r="D1184" s="3" t="s">
        <v>149</v>
      </c>
      <c r="E1184" s="3">
        <v>28</v>
      </c>
      <c r="G1184" s="57"/>
    </row>
    <row r="1185" spans="1:7" ht="12.75" x14ac:dyDescent="0.2">
      <c r="A1185" s="3">
        <v>3</v>
      </c>
      <c r="B1185" s="4" t="s">
        <v>35</v>
      </c>
      <c r="C1185" s="3" t="s">
        <v>125</v>
      </c>
      <c r="D1185" s="3" t="s">
        <v>14</v>
      </c>
      <c r="E1185" s="3">
        <v>302</v>
      </c>
      <c r="G1185" s="57"/>
    </row>
    <row r="1186" spans="1:7" ht="12.75" x14ac:dyDescent="0.2">
      <c r="A1186" s="3">
        <v>3</v>
      </c>
      <c r="B1186" s="4" t="s">
        <v>35</v>
      </c>
      <c r="C1186" s="3" t="s">
        <v>125</v>
      </c>
      <c r="D1186" s="3" t="s">
        <v>138</v>
      </c>
      <c r="E1186" s="3">
        <v>0</v>
      </c>
      <c r="F1186">
        <f>SUM(E1181:E1186)</f>
        <v>1887</v>
      </c>
      <c r="G1186" s="57"/>
    </row>
    <row r="1187" spans="1:7" ht="12.75" x14ac:dyDescent="0.2">
      <c r="A1187" s="3">
        <v>4</v>
      </c>
      <c r="B1187" s="4" t="s">
        <v>36</v>
      </c>
      <c r="C1187" s="3" t="s">
        <v>347</v>
      </c>
      <c r="D1187" s="3" t="s">
        <v>283</v>
      </c>
      <c r="E1187" s="3">
        <v>234</v>
      </c>
      <c r="G1187" s="59">
        <v>632</v>
      </c>
    </row>
    <row r="1188" spans="1:7" ht="12.75" x14ac:dyDescent="0.2">
      <c r="A1188" s="3">
        <v>4</v>
      </c>
      <c r="B1188" s="4" t="s">
        <v>36</v>
      </c>
      <c r="C1188" s="3" t="s">
        <v>347</v>
      </c>
      <c r="D1188" s="3" t="s">
        <v>315</v>
      </c>
      <c r="E1188" s="3">
        <v>14</v>
      </c>
      <c r="G1188" s="57"/>
    </row>
    <row r="1189" spans="1:7" ht="12.75" x14ac:dyDescent="0.2">
      <c r="A1189" s="3">
        <v>4</v>
      </c>
      <c r="B1189" s="4" t="s">
        <v>36</v>
      </c>
      <c r="C1189" s="3" t="s">
        <v>347</v>
      </c>
      <c r="D1189" s="3" t="s">
        <v>316</v>
      </c>
      <c r="E1189" s="3">
        <v>1</v>
      </c>
      <c r="G1189" s="57"/>
    </row>
    <row r="1190" spans="1:7" ht="12.75" x14ac:dyDescent="0.2">
      <c r="A1190" s="3">
        <v>4</v>
      </c>
      <c r="B1190" s="4" t="s">
        <v>36</v>
      </c>
      <c r="C1190" s="3" t="s">
        <v>347</v>
      </c>
      <c r="D1190" s="3" t="s">
        <v>128</v>
      </c>
      <c r="E1190" s="3">
        <v>176</v>
      </c>
      <c r="G1190" s="57"/>
    </row>
    <row r="1191" spans="1:7" ht="12.75" x14ac:dyDescent="0.2">
      <c r="A1191" s="3">
        <v>4</v>
      </c>
      <c r="B1191" s="4" t="s">
        <v>36</v>
      </c>
      <c r="C1191" s="3" t="s">
        <v>347</v>
      </c>
      <c r="D1191" s="3" t="s">
        <v>353</v>
      </c>
      <c r="E1191" s="3">
        <v>4</v>
      </c>
      <c r="G1191" s="57"/>
    </row>
    <row r="1192" spans="1:7" ht="12.75" x14ac:dyDescent="0.2">
      <c r="A1192" s="3">
        <v>4</v>
      </c>
      <c r="B1192" s="4" t="s">
        <v>36</v>
      </c>
      <c r="C1192" s="3" t="s">
        <v>347</v>
      </c>
      <c r="D1192" s="3" t="s">
        <v>149</v>
      </c>
      <c r="E1192" s="3">
        <v>104</v>
      </c>
      <c r="G1192" s="57"/>
    </row>
    <row r="1193" spans="1:7" ht="12.75" x14ac:dyDescent="0.2">
      <c r="A1193" s="3">
        <v>4</v>
      </c>
      <c r="B1193" s="4" t="s">
        <v>36</v>
      </c>
      <c r="C1193" s="3" t="s">
        <v>347</v>
      </c>
      <c r="D1193" s="3" t="s">
        <v>14</v>
      </c>
      <c r="E1193" s="3">
        <v>43</v>
      </c>
      <c r="G1193" s="57"/>
    </row>
    <row r="1194" spans="1:7" ht="12.75" x14ac:dyDescent="0.2">
      <c r="A1194" s="3">
        <v>4</v>
      </c>
      <c r="B1194" s="4" t="s">
        <v>36</v>
      </c>
      <c r="C1194" s="3" t="s">
        <v>347</v>
      </c>
      <c r="D1194" s="3" t="s">
        <v>138</v>
      </c>
      <c r="E1194" s="3">
        <v>2</v>
      </c>
      <c r="F1194">
        <f>SUM(E1187:E1194)</f>
        <v>578</v>
      </c>
      <c r="G1194" s="57"/>
    </row>
    <row r="1195" spans="1:7" ht="12.75" x14ac:dyDescent="0.2">
      <c r="A1195" s="3">
        <v>4</v>
      </c>
      <c r="B1195" s="4" t="s">
        <v>36</v>
      </c>
      <c r="C1195" s="3" t="s">
        <v>273</v>
      </c>
      <c r="D1195" s="3" t="s">
        <v>283</v>
      </c>
      <c r="E1195" s="3">
        <v>258</v>
      </c>
      <c r="G1195" s="57"/>
    </row>
    <row r="1196" spans="1:7" ht="12.75" x14ac:dyDescent="0.2">
      <c r="A1196" s="3">
        <v>4</v>
      </c>
      <c r="B1196" s="4" t="s">
        <v>36</v>
      </c>
      <c r="C1196" s="3" t="s">
        <v>273</v>
      </c>
      <c r="D1196" s="3" t="s">
        <v>315</v>
      </c>
      <c r="E1196" s="3">
        <v>4</v>
      </c>
      <c r="G1196" s="57"/>
    </row>
    <row r="1197" spans="1:7" ht="12.75" x14ac:dyDescent="0.2">
      <c r="A1197" s="3">
        <v>4</v>
      </c>
      <c r="B1197" s="4" t="s">
        <v>36</v>
      </c>
      <c r="C1197" s="3" t="s">
        <v>273</v>
      </c>
      <c r="D1197" s="3" t="s">
        <v>128</v>
      </c>
      <c r="E1197" s="3">
        <v>173</v>
      </c>
      <c r="G1197" s="57"/>
    </row>
    <row r="1198" spans="1:7" ht="12.75" x14ac:dyDescent="0.2">
      <c r="A1198" s="3">
        <v>4</v>
      </c>
      <c r="B1198" s="4" t="s">
        <v>36</v>
      </c>
      <c r="C1198" s="3" t="s">
        <v>273</v>
      </c>
      <c r="D1198" s="3" t="s">
        <v>149</v>
      </c>
      <c r="E1198" s="3">
        <v>24</v>
      </c>
      <c r="G1198" s="57"/>
    </row>
    <row r="1199" spans="1:7" ht="12.75" x14ac:dyDescent="0.2">
      <c r="A1199" s="3">
        <v>4</v>
      </c>
      <c r="B1199" s="4" t="s">
        <v>36</v>
      </c>
      <c r="C1199" s="3" t="s">
        <v>273</v>
      </c>
      <c r="D1199" s="3" t="s">
        <v>14</v>
      </c>
      <c r="E1199" s="3">
        <v>118</v>
      </c>
      <c r="G1199" s="57"/>
    </row>
    <row r="1200" spans="1:7" ht="12.75" x14ac:dyDescent="0.2">
      <c r="A1200" s="3">
        <v>4</v>
      </c>
      <c r="B1200" s="4" t="s">
        <v>36</v>
      </c>
      <c r="C1200" s="3" t="s">
        <v>273</v>
      </c>
      <c r="D1200" s="3" t="s">
        <v>138</v>
      </c>
      <c r="E1200" s="3">
        <v>1</v>
      </c>
      <c r="F1200">
        <f>SUM(E1195:E1200)</f>
        <v>578</v>
      </c>
      <c r="G1200" s="57"/>
    </row>
    <row r="1201" spans="1:7" ht="12.75" x14ac:dyDescent="0.2">
      <c r="A1201" s="3">
        <v>4</v>
      </c>
      <c r="B1201" s="4" t="s">
        <v>36</v>
      </c>
      <c r="C1201" s="3" t="s">
        <v>125</v>
      </c>
      <c r="D1201" s="3" t="s">
        <v>283</v>
      </c>
      <c r="E1201" s="3">
        <v>258</v>
      </c>
      <c r="G1201" s="57"/>
    </row>
    <row r="1202" spans="1:7" ht="12.75" x14ac:dyDescent="0.2">
      <c r="A1202" s="3">
        <v>4</v>
      </c>
      <c r="B1202" s="4" t="s">
        <v>36</v>
      </c>
      <c r="C1202" s="3" t="s">
        <v>125</v>
      </c>
      <c r="D1202" s="3" t="s">
        <v>315</v>
      </c>
      <c r="E1202" s="3">
        <v>4</v>
      </c>
      <c r="G1202" s="57"/>
    </row>
    <row r="1203" spans="1:7" ht="12.75" x14ac:dyDescent="0.2">
      <c r="A1203" s="3">
        <v>4</v>
      </c>
      <c r="B1203" s="4" t="s">
        <v>36</v>
      </c>
      <c r="C1203" s="3" t="s">
        <v>125</v>
      </c>
      <c r="D1203" s="3" t="s">
        <v>128</v>
      </c>
      <c r="E1203" s="3">
        <v>179</v>
      </c>
      <c r="G1203" s="57"/>
    </row>
    <row r="1204" spans="1:7" ht="12.75" x14ac:dyDescent="0.2">
      <c r="A1204" s="3">
        <v>4</v>
      </c>
      <c r="B1204" s="4" t="s">
        <v>36</v>
      </c>
      <c r="C1204" s="3" t="s">
        <v>125</v>
      </c>
      <c r="D1204" s="3" t="s">
        <v>149</v>
      </c>
      <c r="E1204" s="3">
        <v>26</v>
      </c>
      <c r="G1204" s="57"/>
    </row>
    <row r="1205" spans="1:7" ht="12.75" x14ac:dyDescent="0.2">
      <c r="A1205" s="3">
        <v>4</v>
      </c>
      <c r="B1205" s="4" t="s">
        <v>36</v>
      </c>
      <c r="C1205" s="3" t="s">
        <v>125</v>
      </c>
      <c r="D1205" s="3" t="s">
        <v>14</v>
      </c>
      <c r="E1205" s="3">
        <v>110</v>
      </c>
      <c r="G1205" s="57"/>
    </row>
    <row r="1206" spans="1:7" ht="12.75" x14ac:dyDescent="0.2">
      <c r="A1206" s="3">
        <v>4</v>
      </c>
      <c r="B1206" s="4" t="s">
        <v>36</v>
      </c>
      <c r="C1206" s="3" t="s">
        <v>125</v>
      </c>
      <c r="D1206" s="3" t="s">
        <v>138</v>
      </c>
      <c r="E1206" s="3">
        <v>1</v>
      </c>
      <c r="F1206">
        <f>SUM(E1201:E1206)</f>
        <v>578</v>
      </c>
      <c r="G1206" s="57"/>
    </row>
    <row r="1207" spans="1:7" ht="12.75" x14ac:dyDescent="0.2">
      <c r="A1207" s="3">
        <v>5</v>
      </c>
      <c r="B1207" s="4" t="s">
        <v>37</v>
      </c>
      <c r="C1207" s="3" t="s">
        <v>347</v>
      </c>
      <c r="D1207" s="3" t="s">
        <v>283</v>
      </c>
      <c r="E1207" s="3">
        <v>76</v>
      </c>
      <c r="G1207" s="59">
        <v>382</v>
      </c>
    </row>
    <row r="1208" spans="1:7" ht="12.75" x14ac:dyDescent="0.2">
      <c r="A1208" s="3">
        <v>5</v>
      </c>
      <c r="B1208" s="4" t="s">
        <v>37</v>
      </c>
      <c r="C1208" s="3" t="s">
        <v>347</v>
      </c>
      <c r="D1208" s="3" t="s">
        <v>315</v>
      </c>
      <c r="E1208" s="3">
        <v>4</v>
      </c>
      <c r="G1208" s="57"/>
    </row>
    <row r="1209" spans="1:7" ht="12.75" x14ac:dyDescent="0.2">
      <c r="A1209" s="3">
        <v>5</v>
      </c>
      <c r="B1209" s="4" t="s">
        <v>37</v>
      </c>
      <c r="C1209" s="3" t="s">
        <v>347</v>
      </c>
      <c r="D1209" s="3" t="s">
        <v>316</v>
      </c>
      <c r="E1209" s="3">
        <v>0</v>
      </c>
      <c r="G1209" s="57"/>
    </row>
    <row r="1210" spans="1:7" ht="12.75" x14ac:dyDescent="0.2">
      <c r="A1210" s="3">
        <v>5</v>
      </c>
      <c r="B1210" s="4" t="s">
        <v>37</v>
      </c>
      <c r="C1210" s="3" t="s">
        <v>347</v>
      </c>
      <c r="D1210" s="3" t="s">
        <v>128</v>
      </c>
      <c r="E1210" s="3">
        <v>216</v>
      </c>
      <c r="G1210" s="57"/>
    </row>
    <row r="1211" spans="1:7" ht="12.75" x14ac:dyDescent="0.2">
      <c r="A1211" s="3">
        <v>5</v>
      </c>
      <c r="B1211" s="4" t="s">
        <v>37</v>
      </c>
      <c r="C1211" s="3" t="s">
        <v>347</v>
      </c>
      <c r="D1211" s="3" t="s">
        <v>353</v>
      </c>
      <c r="E1211" s="3">
        <v>0</v>
      </c>
      <c r="G1211" s="57"/>
    </row>
    <row r="1212" spans="1:7" ht="12.75" x14ac:dyDescent="0.2">
      <c r="A1212" s="3">
        <v>5</v>
      </c>
      <c r="B1212" s="4" t="s">
        <v>37</v>
      </c>
      <c r="C1212" s="3" t="s">
        <v>347</v>
      </c>
      <c r="D1212" s="3" t="s">
        <v>149</v>
      </c>
      <c r="E1212" s="3">
        <v>25</v>
      </c>
      <c r="G1212" s="57"/>
    </row>
    <row r="1213" spans="1:7" ht="12.75" x14ac:dyDescent="0.2">
      <c r="A1213" s="3">
        <v>5</v>
      </c>
      <c r="B1213" s="4" t="s">
        <v>37</v>
      </c>
      <c r="C1213" s="3" t="s">
        <v>347</v>
      </c>
      <c r="D1213" s="3" t="s">
        <v>14</v>
      </c>
      <c r="E1213" s="3">
        <v>22</v>
      </c>
      <c r="G1213" s="57"/>
    </row>
    <row r="1214" spans="1:7" ht="12.75" x14ac:dyDescent="0.2">
      <c r="A1214" s="3">
        <v>5</v>
      </c>
      <c r="B1214" s="4" t="s">
        <v>37</v>
      </c>
      <c r="C1214" s="3" t="s">
        <v>347</v>
      </c>
      <c r="D1214" s="3" t="s">
        <v>138</v>
      </c>
      <c r="E1214" s="3">
        <v>2</v>
      </c>
      <c r="F1214">
        <f>SUM(E1207:E1214)</f>
        <v>345</v>
      </c>
      <c r="G1214" s="57"/>
    </row>
    <row r="1215" spans="1:7" ht="12.75" x14ac:dyDescent="0.2">
      <c r="A1215" s="3">
        <v>5</v>
      </c>
      <c r="B1215" s="4" t="s">
        <v>37</v>
      </c>
      <c r="C1215" s="3" t="s">
        <v>273</v>
      </c>
      <c r="D1215" s="3" t="s">
        <v>283</v>
      </c>
      <c r="E1215" s="3">
        <v>90</v>
      </c>
      <c r="G1215" s="57"/>
    </row>
    <row r="1216" spans="1:7" ht="12.75" x14ac:dyDescent="0.2">
      <c r="A1216" s="3">
        <v>5</v>
      </c>
      <c r="B1216" s="4" t="s">
        <v>37</v>
      </c>
      <c r="C1216" s="3" t="s">
        <v>273</v>
      </c>
      <c r="D1216" s="3" t="s">
        <v>315</v>
      </c>
      <c r="E1216" s="3">
        <v>2</v>
      </c>
      <c r="G1216" s="57"/>
    </row>
    <row r="1217" spans="1:7" ht="12.75" x14ac:dyDescent="0.2">
      <c r="A1217" s="3">
        <v>5</v>
      </c>
      <c r="B1217" s="4" t="s">
        <v>37</v>
      </c>
      <c r="C1217" s="3" t="s">
        <v>273</v>
      </c>
      <c r="D1217" s="3" t="s">
        <v>128</v>
      </c>
      <c r="E1217" s="3">
        <v>188</v>
      </c>
      <c r="G1217" s="57"/>
    </row>
    <row r="1218" spans="1:7" ht="12.75" x14ac:dyDescent="0.2">
      <c r="A1218" s="3">
        <v>5</v>
      </c>
      <c r="B1218" s="4" t="s">
        <v>37</v>
      </c>
      <c r="C1218" s="3" t="s">
        <v>273</v>
      </c>
      <c r="D1218" s="3" t="s">
        <v>149</v>
      </c>
      <c r="E1218" s="3">
        <v>5</v>
      </c>
      <c r="G1218" s="57"/>
    </row>
    <row r="1219" spans="1:7" ht="12.75" x14ac:dyDescent="0.2">
      <c r="A1219" s="3">
        <v>5</v>
      </c>
      <c r="B1219" s="4" t="s">
        <v>37</v>
      </c>
      <c r="C1219" s="3" t="s">
        <v>273</v>
      </c>
      <c r="D1219" s="3" t="s">
        <v>14</v>
      </c>
      <c r="E1219" s="3">
        <v>60</v>
      </c>
      <c r="G1219" s="57"/>
    </row>
    <row r="1220" spans="1:7" ht="12.75" x14ac:dyDescent="0.2">
      <c r="A1220" s="3">
        <v>5</v>
      </c>
      <c r="B1220" s="4" t="s">
        <v>37</v>
      </c>
      <c r="C1220" s="3" t="s">
        <v>273</v>
      </c>
      <c r="D1220" s="3" t="s">
        <v>138</v>
      </c>
      <c r="E1220" s="3">
        <v>0</v>
      </c>
      <c r="F1220">
        <f>SUM(E1215:E1220)</f>
        <v>345</v>
      </c>
      <c r="G1220" s="57"/>
    </row>
    <row r="1221" spans="1:7" ht="12.75" x14ac:dyDescent="0.2">
      <c r="A1221" s="3">
        <v>5</v>
      </c>
      <c r="B1221" s="4" t="s">
        <v>37</v>
      </c>
      <c r="C1221" s="3" t="s">
        <v>125</v>
      </c>
      <c r="D1221" s="3" t="s">
        <v>283</v>
      </c>
      <c r="E1221" s="3">
        <v>90</v>
      </c>
      <c r="G1221" s="57"/>
    </row>
    <row r="1222" spans="1:7" ht="12.75" x14ac:dyDescent="0.2">
      <c r="A1222" s="3">
        <v>5</v>
      </c>
      <c r="B1222" s="4" t="s">
        <v>37</v>
      </c>
      <c r="C1222" s="3" t="s">
        <v>125</v>
      </c>
      <c r="D1222" s="3" t="s">
        <v>315</v>
      </c>
      <c r="E1222" s="3">
        <v>2</v>
      </c>
      <c r="G1222" s="57"/>
    </row>
    <row r="1223" spans="1:7" ht="12.75" x14ac:dyDescent="0.2">
      <c r="A1223" s="3">
        <v>5</v>
      </c>
      <c r="B1223" s="4" t="s">
        <v>37</v>
      </c>
      <c r="C1223" s="3" t="s">
        <v>125</v>
      </c>
      <c r="D1223" s="3" t="s">
        <v>128</v>
      </c>
      <c r="E1223" s="3">
        <v>181</v>
      </c>
      <c r="G1223" s="57"/>
    </row>
    <row r="1224" spans="1:7" ht="12.75" x14ac:dyDescent="0.2">
      <c r="A1224" s="3">
        <v>5</v>
      </c>
      <c r="B1224" s="4" t="s">
        <v>37</v>
      </c>
      <c r="C1224" s="3" t="s">
        <v>125</v>
      </c>
      <c r="D1224" s="3" t="s">
        <v>149</v>
      </c>
      <c r="E1224" s="3">
        <v>5</v>
      </c>
      <c r="G1224" s="57"/>
    </row>
    <row r="1225" spans="1:7" ht="12.75" x14ac:dyDescent="0.2">
      <c r="A1225" s="3">
        <v>5</v>
      </c>
      <c r="B1225" s="4" t="s">
        <v>37</v>
      </c>
      <c r="C1225" s="3" t="s">
        <v>125</v>
      </c>
      <c r="D1225" s="3" t="s">
        <v>14</v>
      </c>
      <c r="E1225" s="3">
        <v>67</v>
      </c>
      <c r="G1225" s="57"/>
    </row>
    <row r="1226" spans="1:7" ht="12.75" x14ac:dyDescent="0.2">
      <c r="A1226" s="3">
        <v>5</v>
      </c>
      <c r="B1226" s="4" t="s">
        <v>37</v>
      </c>
      <c r="C1226" s="3" t="s">
        <v>125</v>
      </c>
      <c r="D1226" s="3" t="s">
        <v>138</v>
      </c>
      <c r="E1226" s="3">
        <v>0</v>
      </c>
      <c r="F1226">
        <f>SUM(E1221:E1226)</f>
        <v>345</v>
      </c>
      <c r="G1226" s="57"/>
    </row>
    <row r="1227" spans="1:7" ht="12.75" x14ac:dyDescent="0.2">
      <c r="A1227" s="3">
        <v>6</v>
      </c>
      <c r="B1227" s="4" t="s">
        <v>38</v>
      </c>
      <c r="C1227" s="3" t="s">
        <v>347</v>
      </c>
      <c r="D1227" s="3" t="s">
        <v>283</v>
      </c>
      <c r="E1227" s="3">
        <v>672</v>
      </c>
      <c r="G1227" s="59">
        <v>1701</v>
      </c>
    </row>
    <row r="1228" spans="1:7" ht="12.75" x14ac:dyDescent="0.2">
      <c r="A1228" s="3">
        <v>6</v>
      </c>
      <c r="B1228" s="4" t="s">
        <v>38</v>
      </c>
      <c r="C1228" s="3" t="s">
        <v>347</v>
      </c>
      <c r="D1228" s="3" t="s">
        <v>315</v>
      </c>
      <c r="E1228" s="3">
        <v>21</v>
      </c>
      <c r="G1228" s="57"/>
    </row>
    <row r="1229" spans="1:7" ht="12.75" x14ac:dyDescent="0.2">
      <c r="A1229" s="3">
        <v>6</v>
      </c>
      <c r="B1229" s="4" t="s">
        <v>38</v>
      </c>
      <c r="C1229" s="3" t="s">
        <v>347</v>
      </c>
      <c r="D1229" s="3" t="s">
        <v>316</v>
      </c>
      <c r="E1229" s="3">
        <v>13</v>
      </c>
      <c r="G1229" s="57"/>
    </row>
    <row r="1230" spans="1:7" ht="12.75" x14ac:dyDescent="0.2">
      <c r="A1230" s="3">
        <v>6</v>
      </c>
      <c r="B1230" s="4" t="s">
        <v>38</v>
      </c>
      <c r="C1230" s="3" t="s">
        <v>347</v>
      </c>
      <c r="D1230" s="3" t="s">
        <v>128</v>
      </c>
      <c r="E1230" s="3">
        <v>597</v>
      </c>
      <c r="G1230" s="57"/>
    </row>
    <row r="1231" spans="1:7" ht="12.75" x14ac:dyDescent="0.2">
      <c r="A1231" s="3">
        <v>6</v>
      </c>
      <c r="B1231" s="4" t="s">
        <v>38</v>
      </c>
      <c r="C1231" s="3" t="s">
        <v>347</v>
      </c>
      <c r="D1231" s="3" t="s">
        <v>353</v>
      </c>
      <c r="E1231" s="3">
        <v>26</v>
      </c>
      <c r="G1231" s="57"/>
    </row>
    <row r="1232" spans="1:7" ht="12.75" x14ac:dyDescent="0.2">
      <c r="A1232" s="3">
        <v>6</v>
      </c>
      <c r="B1232" s="4" t="s">
        <v>38</v>
      </c>
      <c r="C1232" s="3" t="s">
        <v>347</v>
      </c>
      <c r="D1232" s="3" t="s">
        <v>149</v>
      </c>
      <c r="E1232" s="3">
        <v>137</v>
      </c>
      <c r="G1232" s="57"/>
    </row>
    <row r="1233" spans="1:7" ht="12.75" x14ac:dyDescent="0.2">
      <c r="A1233" s="3">
        <v>6</v>
      </c>
      <c r="B1233" s="4" t="s">
        <v>38</v>
      </c>
      <c r="C1233" s="3" t="s">
        <v>347</v>
      </c>
      <c r="D1233" s="3" t="s">
        <v>14</v>
      </c>
      <c r="E1233" s="3">
        <v>71</v>
      </c>
      <c r="G1233" s="57"/>
    </row>
    <row r="1234" spans="1:7" ht="12.75" x14ac:dyDescent="0.2">
      <c r="A1234" s="3">
        <v>6</v>
      </c>
      <c r="B1234" s="4" t="s">
        <v>38</v>
      </c>
      <c r="C1234" s="3" t="s">
        <v>347</v>
      </c>
      <c r="D1234" s="3" t="s">
        <v>138</v>
      </c>
      <c r="E1234" s="3">
        <v>4</v>
      </c>
      <c r="F1234">
        <f>SUM(E1227:E1234)</f>
        <v>1541</v>
      </c>
      <c r="G1234" s="57"/>
    </row>
    <row r="1235" spans="1:7" ht="12.75" x14ac:dyDescent="0.2">
      <c r="A1235" s="3">
        <v>6</v>
      </c>
      <c r="B1235" s="4" t="s">
        <v>38</v>
      </c>
      <c r="C1235" s="3" t="s">
        <v>273</v>
      </c>
      <c r="D1235" s="3" t="s">
        <v>283</v>
      </c>
      <c r="E1235" s="3">
        <v>631</v>
      </c>
      <c r="G1235" s="57"/>
    </row>
    <row r="1236" spans="1:7" ht="12.75" x14ac:dyDescent="0.2">
      <c r="A1236" s="3">
        <v>6</v>
      </c>
      <c r="B1236" s="4" t="s">
        <v>38</v>
      </c>
      <c r="C1236" s="3" t="s">
        <v>273</v>
      </c>
      <c r="D1236" s="3" t="s">
        <v>315</v>
      </c>
      <c r="E1236" s="3">
        <v>6</v>
      </c>
      <c r="G1236" s="57"/>
    </row>
    <row r="1237" spans="1:7" ht="12.75" x14ac:dyDescent="0.2">
      <c r="A1237" s="3">
        <v>6</v>
      </c>
      <c r="B1237" s="4" t="s">
        <v>38</v>
      </c>
      <c r="C1237" s="3" t="s">
        <v>273</v>
      </c>
      <c r="D1237" s="3" t="s">
        <v>128</v>
      </c>
      <c r="E1237" s="3">
        <v>695</v>
      </c>
      <c r="G1237" s="57"/>
    </row>
    <row r="1238" spans="1:7" ht="12.75" x14ac:dyDescent="0.2">
      <c r="A1238" s="3">
        <v>6</v>
      </c>
      <c r="B1238" s="4" t="s">
        <v>38</v>
      </c>
      <c r="C1238" s="3" t="s">
        <v>273</v>
      </c>
      <c r="D1238" s="3" t="s">
        <v>149</v>
      </c>
      <c r="E1238" s="3">
        <v>32</v>
      </c>
      <c r="G1238" s="57"/>
    </row>
    <row r="1239" spans="1:7" ht="12.75" x14ac:dyDescent="0.2">
      <c r="A1239" s="3">
        <v>6</v>
      </c>
      <c r="B1239" s="4" t="s">
        <v>38</v>
      </c>
      <c r="C1239" s="3" t="s">
        <v>273</v>
      </c>
      <c r="D1239" s="3" t="s">
        <v>14</v>
      </c>
      <c r="E1239" s="3">
        <v>170</v>
      </c>
      <c r="G1239" s="57"/>
    </row>
    <row r="1240" spans="1:7" ht="12.75" x14ac:dyDescent="0.2">
      <c r="A1240" s="3">
        <v>6</v>
      </c>
      <c r="B1240" s="4" t="s">
        <v>38</v>
      </c>
      <c r="C1240" s="3" t="s">
        <v>273</v>
      </c>
      <c r="D1240" s="3" t="s">
        <v>138</v>
      </c>
      <c r="E1240" s="3">
        <v>7</v>
      </c>
      <c r="F1240">
        <f>SUM(E1235:E1240)</f>
        <v>1541</v>
      </c>
      <c r="G1240" s="57"/>
    </row>
    <row r="1241" spans="1:7" ht="12.75" x14ac:dyDescent="0.2">
      <c r="A1241" s="3">
        <v>6</v>
      </c>
      <c r="B1241" s="4" t="s">
        <v>38</v>
      </c>
      <c r="C1241" s="3" t="s">
        <v>125</v>
      </c>
      <c r="D1241" s="3" t="s">
        <v>283</v>
      </c>
      <c r="E1241" s="3">
        <v>632</v>
      </c>
      <c r="G1241" s="57"/>
    </row>
    <row r="1242" spans="1:7" ht="12.75" x14ac:dyDescent="0.2">
      <c r="A1242" s="3">
        <v>6</v>
      </c>
      <c r="B1242" s="4" t="s">
        <v>38</v>
      </c>
      <c r="C1242" s="3" t="s">
        <v>125</v>
      </c>
      <c r="D1242" s="3" t="s">
        <v>315</v>
      </c>
      <c r="E1242" s="3">
        <v>5</v>
      </c>
      <c r="G1242" s="57"/>
    </row>
    <row r="1243" spans="1:7" ht="12.75" x14ac:dyDescent="0.2">
      <c r="A1243" s="3">
        <v>6</v>
      </c>
      <c r="B1243" s="4" t="s">
        <v>38</v>
      </c>
      <c r="C1243" s="3" t="s">
        <v>125</v>
      </c>
      <c r="D1243" s="3" t="s">
        <v>128</v>
      </c>
      <c r="E1243" s="3">
        <v>690</v>
      </c>
      <c r="G1243" s="57"/>
    </row>
    <row r="1244" spans="1:7" ht="12.75" x14ac:dyDescent="0.2">
      <c r="A1244" s="3">
        <v>6</v>
      </c>
      <c r="B1244" s="4" t="s">
        <v>38</v>
      </c>
      <c r="C1244" s="3" t="s">
        <v>125</v>
      </c>
      <c r="D1244" s="3" t="s">
        <v>149</v>
      </c>
      <c r="E1244" s="3">
        <v>33</v>
      </c>
      <c r="G1244" s="57"/>
    </row>
    <row r="1245" spans="1:7" ht="12.75" x14ac:dyDescent="0.2">
      <c r="A1245" s="3">
        <v>6</v>
      </c>
      <c r="B1245" s="4" t="s">
        <v>38</v>
      </c>
      <c r="C1245" s="3" t="s">
        <v>125</v>
      </c>
      <c r="D1245" s="3" t="s">
        <v>14</v>
      </c>
      <c r="E1245" s="3">
        <v>174</v>
      </c>
      <c r="G1245" s="57"/>
    </row>
    <row r="1246" spans="1:7" ht="12.75" x14ac:dyDescent="0.2">
      <c r="A1246" s="3">
        <v>6</v>
      </c>
      <c r="B1246" s="4" t="s">
        <v>38</v>
      </c>
      <c r="C1246" s="3" t="s">
        <v>125</v>
      </c>
      <c r="D1246" s="3" t="s">
        <v>138</v>
      </c>
      <c r="E1246" s="3">
        <v>7</v>
      </c>
      <c r="F1246">
        <f>SUM(E1241:E1246)</f>
        <v>1541</v>
      </c>
      <c r="G1246" s="57"/>
    </row>
    <row r="1247" spans="1:7" ht="12.75" x14ac:dyDescent="0.2">
      <c r="A1247" s="3">
        <v>11</v>
      </c>
      <c r="B1247" s="4" t="s">
        <v>41</v>
      </c>
      <c r="C1247" s="3" t="s">
        <v>347</v>
      </c>
      <c r="D1247" s="3" t="s">
        <v>283</v>
      </c>
      <c r="E1247" s="3">
        <v>813</v>
      </c>
      <c r="G1247" s="59">
        <v>1724</v>
      </c>
    </row>
    <row r="1248" spans="1:7" ht="12.75" x14ac:dyDescent="0.2">
      <c r="A1248" s="3">
        <v>11</v>
      </c>
      <c r="B1248" s="4" t="s">
        <v>41</v>
      </c>
      <c r="C1248" s="3" t="s">
        <v>347</v>
      </c>
      <c r="D1248" s="3" t="s">
        <v>315</v>
      </c>
      <c r="E1248" s="3">
        <v>56</v>
      </c>
      <c r="G1248" s="57"/>
    </row>
    <row r="1249" spans="1:7" ht="12.75" x14ac:dyDescent="0.2">
      <c r="A1249" s="3">
        <v>11</v>
      </c>
      <c r="B1249" s="4" t="s">
        <v>41</v>
      </c>
      <c r="C1249" s="3" t="s">
        <v>347</v>
      </c>
      <c r="D1249" s="3" t="s">
        <v>316</v>
      </c>
      <c r="E1249" s="3">
        <v>16</v>
      </c>
      <c r="G1249" s="57"/>
    </row>
    <row r="1250" spans="1:7" ht="12.75" x14ac:dyDescent="0.2">
      <c r="A1250" s="3">
        <v>11</v>
      </c>
      <c r="B1250" s="4" t="s">
        <v>41</v>
      </c>
      <c r="C1250" s="3" t="s">
        <v>347</v>
      </c>
      <c r="D1250" s="3" t="s">
        <v>128</v>
      </c>
      <c r="E1250" s="3">
        <v>234</v>
      </c>
      <c r="G1250" s="57"/>
    </row>
    <row r="1251" spans="1:7" ht="12.75" x14ac:dyDescent="0.2">
      <c r="A1251" s="3">
        <v>11</v>
      </c>
      <c r="B1251" s="4" t="s">
        <v>41</v>
      </c>
      <c r="C1251" s="3" t="s">
        <v>347</v>
      </c>
      <c r="D1251" s="3" t="s">
        <v>353</v>
      </c>
      <c r="E1251" s="3">
        <v>43</v>
      </c>
      <c r="G1251" s="57"/>
    </row>
    <row r="1252" spans="1:7" ht="12.75" x14ac:dyDescent="0.2">
      <c r="A1252" s="3">
        <v>11</v>
      </c>
      <c r="B1252" s="4" t="s">
        <v>41</v>
      </c>
      <c r="C1252" s="3" t="s">
        <v>347</v>
      </c>
      <c r="D1252" s="3" t="s">
        <v>149</v>
      </c>
      <c r="E1252" s="3">
        <v>220</v>
      </c>
      <c r="G1252" s="57"/>
    </row>
    <row r="1253" spans="1:7" ht="12.75" x14ac:dyDescent="0.2">
      <c r="A1253" s="3">
        <v>11</v>
      </c>
      <c r="B1253" s="4" t="s">
        <v>41</v>
      </c>
      <c r="C1253" s="3" t="s">
        <v>347</v>
      </c>
      <c r="D1253" s="3" t="s">
        <v>14</v>
      </c>
      <c r="E1253" s="3">
        <v>66</v>
      </c>
      <c r="G1253" s="57"/>
    </row>
    <row r="1254" spans="1:7" ht="12.75" x14ac:dyDescent="0.2">
      <c r="A1254" s="3">
        <v>11</v>
      </c>
      <c r="B1254" s="4" t="s">
        <v>41</v>
      </c>
      <c r="C1254" s="3" t="s">
        <v>347</v>
      </c>
      <c r="D1254" s="3" t="s">
        <v>138</v>
      </c>
      <c r="E1254" s="3">
        <v>13</v>
      </c>
      <c r="F1254">
        <f>SUM(E1247:E1254)</f>
        <v>1461</v>
      </c>
      <c r="G1254" s="57"/>
    </row>
    <row r="1255" spans="1:7" ht="12.75" x14ac:dyDescent="0.2">
      <c r="A1255" s="3">
        <v>11</v>
      </c>
      <c r="B1255" s="4" t="s">
        <v>41</v>
      </c>
      <c r="C1255" s="3" t="s">
        <v>273</v>
      </c>
      <c r="D1255" s="3" t="s">
        <v>283</v>
      </c>
      <c r="E1255" s="3">
        <v>799</v>
      </c>
      <c r="G1255" s="57"/>
    </row>
    <row r="1256" spans="1:7" ht="12.75" x14ac:dyDescent="0.2">
      <c r="A1256" s="3">
        <v>11</v>
      </c>
      <c r="B1256" s="4" t="s">
        <v>41</v>
      </c>
      <c r="C1256" s="3" t="s">
        <v>273</v>
      </c>
      <c r="D1256" s="3" t="s">
        <v>315</v>
      </c>
      <c r="E1256" s="3">
        <v>73</v>
      </c>
      <c r="G1256" s="57"/>
    </row>
    <row r="1257" spans="1:7" ht="12.75" x14ac:dyDescent="0.2">
      <c r="A1257" s="3">
        <v>11</v>
      </c>
      <c r="B1257" s="4" t="s">
        <v>41</v>
      </c>
      <c r="C1257" s="3" t="s">
        <v>273</v>
      </c>
      <c r="D1257" s="3" t="s">
        <v>128</v>
      </c>
      <c r="E1257" s="3">
        <v>194</v>
      </c>
      <c r="G1257" s="57"/>
    </row>
    <row r="1258" spans="1:7" ht="12.75" x14ac:dyDescent="0.2">
      <c r="A1258" s="3">
        <v>11</v>
      </c>
      <c r="B1258" s="4" t="s">
        <v>41</v>
      </c>
      <c r="C1258" s="3" t="s">
        <v>273</v>
      </c>
      <c r="D1258" s="3" t="s">
        <v>149</v>
      </c>
      <c r="E1258" s="3">
        <v>106</v>
      </c>
      <c r="G1258" s="57"/>
    </row>
    <row r="1259" spans="1:7" ht="12.75" x14ac:dyDescent="0.2">
      <c r="A1259" s="3">
        <v>11</v>
      </c>
      <c r="B1259" s="4" t="s">
        <v>41</v>
      </c>
      <c r="C1259" s="3" t="s">
        <v>273</v>
      </c>
      <c r="D1259" s="3" t="s">
        <v>14</v>
      </c>
      <c r="E1259" s="3">
        <v>276</v>
      </c>
      <c r="G1259" s="57"/>
    </row>
    <row r="1260" spans="1:7" ht="12.75" x14ac:dyDescent="0.2">
      <c r="A1260" s="3">
        <v>11</v>
      </c>
      <c r="B1260" s="4" t="s">
        <v>41</v>
      </c>
      <c r="C1260" s="3" t="s">
        <v>273</v>
      </c>
      <c r="D1260" s="3" t="s">
        <v>138</v>
      </c>
      <c r="E1260" s="3">
        <v>13</v>
      </c>
      <c r="F1260">
        <f>SUM(E1255:E1260)</f>
        <v>1461</v>
      </c>
      <c r="G1260" s="57"/>
    </row>
    <row r="1261" spans="1:7" ht="12.75" x14ac:dyDescent="0.2">
      <c r="A1261" s="3">
        <v>11</v>
      </c>
      <c r="B1261" s="4" t="s">
        <v>41</v>
      </c>
      <c r="C1261" s="3" t="s">
        <v>125</v>
      </c>
      <c r="D1261" s="3" t="s">
        <v>283</v>
      </c>
      <c r="E1261" s="3">
        <v>807</v>
      </c>
      <c r="G1261" s="57"/>
    </row>
    <row r="1262" spans="1:7" ht="12.75" x14ac:dyDescent="0.2">
      <c r="A1262" s="3">
        <v>11</v>
      </c>
      <c r="B1262" s="4" t="s">
        <v>41</v>
      </c>
      <c r="C1262" s="3" t="s">
        <v>125</v>
      </c>
      <c r="D1262" s="3" t="s">
        <v>315</v>
      </c>
      <c r="E1262" s="3">
        <v>67</v>
      </c>
      <c r="G1262" s="57"/>
    </row>
    <row r="1263" spans="1:7" ht="12.75" x14ac:dyDescent="0.2">
      <c r="A1263" s="3">
        <v>11</v>
      </c>
      <c r="B1263" s="4" t="s">
        <v>41</v>
      </c>
      <c r="C1263" s="3" t="s">
        <v>125</v>
      </c>
      <c r="D1263" s="3" t="s">
        <v>128</v>
      </c>
      <c r="E1263" s="3">
        <v>192</v>
      </c>
      <c r="G1263" s="57"/>
    </row>
    <row r="1264" spans="1:7" ht="12.75" x14ac:dyDescent="0.2">
      <c r="A1264" s="3">
        <v>11</v>
      </c>
      <c r="B1264" s="4" t="s">
        <v>41</v>
      </c>
      <c r="C1264" s="3" t="s">
        <v>125</v>
      </c>
      <c r="D1264" s="3" t="s">
        <v>149</v>
      </c>
      <c r="E1264" s="3">
        <v>102</v>
      </c>
      <c r="G1264" s="57"/>
    </row>
    <row r="1265" spans="1:7" ht="12.75" x14ac:dyDescent="0.2">
      <c r="A1265" s="3">
        <v>11</v>
      </c>
      <c r="B1265" s="4" t="s">
        <v>41</v>
      </c>
      <c r="C1265" s="3" t="s">
        <v>125</v>
      </c>
      <c r="D1265" s="3" t="s">
        <v>14</v>
      </c>
      <c r="E1265" s="3">
        <v>283</v>
      </c>
      <c r="G1265" s="57"/>
    </row>
    <row r="1266" spans="1:7" ht="12.75" x14ac:dyDescent="0.2">
      <c r="A1266" s="3">
        <v>11</v>
      </c>
      <c r="B1266" s="4" t="s">
        <v>41</v>
      </c>
      <c r="C1266" s="3" t="s">
        <v>125</v>
      </c>
      <c r="D1266" s="3" t="s">
        <v>138</v>
      </c>
      <c r="E1266" s="3">
        <v>10</v>
      </c>
      <c r="F1266">
        <f>SUM(E1261:E1266)</f>
        <v>1461</v>
      </c>
      <c r="G1266" s="57"/>
    </row>
    <row r="1267" spans="1:7" ht="12.75" x14ac:dyDescent="0.2">
      <c r="A1267" s="3">
        <v>14</v>
      </c>
      <c r="B1267" s="4" t="s">
        <v>153</v>
      </c>
      <c r="C1267" s="3" t="s">
        <v>347</v>
      </c>
      <c r="D1267" s="3" t="s">
        <v>283</v>
      </c>
      <c r="E1267" s="3">
        <v>16</v>
      </c>
      <c r="G1267" s="59">
        <v>55</v>
      </c>
    </row>
    <row r="1268" spans="1:7" ht="12.75" x14ac:dyDescent="0.2">
      <c r="A1268" s="3">
        <v>14</v>
      </c>
      <c r="B1268" s="4" t="s">
        <v>153</v>
      </c>
      <c r="C1268" s="3" t="s">
        <v>347</v>
      </c>
      <c r="D1268" s="3" t="s">
        <v>315</v>
      </c>
      <c r="E1268" s="3">
        <v>0</v>
      </c>
      <c r="G1268" s="57"/>
    </row>
    <row r="1269" spans="1:7" ht="12.75" x14ac:dyDescent="0.2">
      <c r="A1269" s="3">
        <v>14</v>
      </c>
      <c r="B1269" s="4" t="s">
        <v>153</v>
      </c>
      <c r="C1269" s="3" t="s">
        <v>347</v>
      </c>
      <c r="D1269" s="3" t="s">
        <v>316</v>
      </c>
      <c r="E1269" s="3">
        <v>3</v>
      </c>
      <c r="G1269" s="57"/>
    </row>
    <row r="1270" spans="1:7" ht="12.75" x14ac:dyDescent="0.2">
      <c r="A1270" s="3">
        <v>14</v>
      </c>
      <c r="B1270" s="4" t="s">
        <v>153</v>
      </c>
      <c r="C1270" s="3" t="s">
        <v>347</v>
      </c>
      <c r="D1270" s="3" t="s">
        <v>128</v>
      </c>
      <c r="E1270" s="3">
        <v>12</v>
      </c>
      <c r="G1270" s="57"/>
    </row>
    <row r="1271" spans="1:7" ht="12.75" x14ac:dyDescent="0.2">
      <c r="A1271" s="3">
        <v>14</v>
      </c>
      <c r="B1271" s="4" t="s">
        <v>153</v>
      </c>
      <c r="C1271" s="3" t="s">
        <v>347</v>
      </c>
      <c r="D1271" s="3" t="s">
        <v>353</v>
      </c>
      <c r="E1271" s="3">
        <v>2</v>
      </c>
      <c r="G1271" s="57"/>
    </row>
    <row r="1272" spans="1:7" ht="12.75" x14ac:dyDescent="0.2">
      <c r="A1272" s="3">
        <v>14</v>
      </c>
      <c r="B1272" s="4" t="s">
        <v>153</v>
      </c>
      <c r="C1272" s="3" t="s">
        <v>347</v>
      </c>
      <c r="D1272" s="3" t="s">
        <v>149</v>
      </c>
      <c r="E1272" s="3">
        <v>8</v>
      </c>
      <c r="G1272" s="57"/>
    </row>
    <row r="1273" spans="1:7" ht="12.75" x14ac:dyDescent="0.2">
      <c r="A1273" s="3">
        <v>14</v>
      </c>
      <c r="B1273" s="4" t="s">
        <v>153</v>
      </c>
      <c r="C1273" s="3" t="s">
        <v>347</v>
      </c>
      <c r="D1273" s="3" t="s">
        <v>14</v>
      </c>
      <c r="E1273" s="3">
        <v>3</v>
      </c>
      <c r="G1273" s="57"/>
    </row>
    <row r="1274" spans="1:7" ht="12.75" x14ac:dyDescent="0.2">
      <c r="A1274" s="3">
        <v>14</v>
      </c>
      <c r="B1274" s="4" t="s">
        <v>153</v>
      </c>
      <c r="C1274" s="3" t="s">
        <v>347</v>
      </c>
      <c r="D1274" s="3" t="s">
        <v>138</v>
      </c>
      <c r="E1274" s="3">
        <v>0</v>
      </c>
      <c r="F1274">
        <f>SUM(E1267:E1274)</f>
        <v>44</v>
      </c>
      <c r="G1274" s="57"/>
    </row>
    <row r="1275" spans="1:7" ht="12.75" x14ac:dyDescent="0.2">
      <c r="A1275" s="3">
        <v>14</v>
      </c>
      <c r="B1275" s="4" t="s">
        <v>153</v>
      </c>
      <c r="C1275" s="3" t="s">
        <v>273</v>
      </c>
      <c r="D1275" s="3" t="s">
        <v>283</v>
      </c>
      <c r="E1275" s="3">
        <v>18</v>
      </c>
      <c r="G1275" s="57"/>
    </row>
    <row r="1276" spans="1:7" ht="12.75" x14ac:dyDescent="0.2">
      <c r="A1276" s="3">
        <v>14</v>
      </c>
      <c r="B1276" s="4" t="s">
        <v>153</v>
      </c>
      <c r="C1276" s="3" t="s">
        <v>273</v>
      </c>
      <c r="D1276" s="3" t="s">
        <v>315</v>
      </c>
      <c r="E1276" s="3">
        <v>0</v>
      </c>
      <c r="G1276" s="57"/>
    </row>
    <row r="1277" spans="1:7" ht="12.75" x14ac:dyDescent="0.2">
      <c r="A1277" s="3">
        <v>14</v>
      </c>
      <c r="B1277" s="4" t="s">
        <v>153</v>
      </c>
      <c r="C1277" s="3" t="s">
        <v>273</v>
      </c>
      <c r="D1277" s="3" t="s">
        <v>128</v>
      </c>
      <c r="E1277" s="3">
        <v>8</v>
      </c>
      <c r="G1277" s="57"/>
    </row>
    <row r="1278" spans="1:7" ht="12.75" x14ac:dyDescent="0.2">
      <c r="A1278" s="3">
        <v>14</v>
      </c>
      <c r="B1278" s="4" t="s">
        <v>153</v>
      </c>
      <c r="C1278" s="3" t="s">
        <v>273</v>
      </c>
      <c r="D1278" s="3" t="s">
        <v>149</v>
      </c>
      <c r="E1278" s="3">
        <v>4</v>
      </c>
      <c r="G1278" s="57"/>
    </row>
    <row r="1279" spans="1:7" ht="12.75" x14ac:dyDescent="0.2">
      <c r="A1279" s="3">
        <v>14</v>
      </c>
      <c r="B1279" s="4" t="s">
        <v>153</v>
      </c>
      <c r="C1279" s="3" t="s">
        <v>273</v>
      </c>
      <c r="D1279" s="3" t="s">
        <v>14</v>
      </c>
      <c r="E1279" s="3">
        <v>14</v>
      </c>
      <c r="G1279" s="57"/>
    </row>
    <row r="1280" spans="1:7" ht="12.75" x14ac:dyDescent="0.2">
      <c r="A1280" s="3">
        <v>14</v>
      </c>
      <c r="B1280" s="4" t="s">
        <v>153</v>
      </c>
      <c r="C1280" s="3" t="s">
        <v>273</v>
      </c>
      <c r="D1280" s="3" t="s">
        <v>138</v>
      </c>
      <c r="E1280" s="3">
        <v>0</v>
      </c>
      <c r="F1280">
        <f>SUM(E1275:E1280)</f>
        <v>44</v>
      </c>
      <c r="G1280" s="57"/>
    </row>
    <row r="1281" spans="1:7" ht="12.75" x14ac:dyDescent="0.2">
      <c r="A1281" s="3">
        <v>14</v>
      </c>
      <c r="B1281" s="4" t="s">
        <v>153</v>
      </c>
      <c r="C1281" s="3" t="s">
        <v>125</v>
      </c>
      <c r="D1281" s="3" t="s">
        <v>283</v>
      </c>
      <c r="E1281" s="3">
        <v>18</v>
      </c>
      <c r="G1281" s="57"/>
    </row>
    <row r="1282" spans="1:7" ht="12.75" x14ac:dyDescent="0.2">
      <c r="A1282" s="3">
        <v>14</v>
      </c>
      <c r="B1282" s="4" t="s">
        <v>153</v>
      </c>
      <c r="C1282" s="3" t="s">
        <v>125</v>
      </c>
      <c r="D1282" s="3" t="s">
        <v>315</v>
      </c>
      <c r="E1282" s="3">
        <v>0</v>
      </c>
      <c r="G1282" s="57"/>
    </row>
    <row r="1283" spans="1:7" ht="12.75" x14ac:dyDescent="0.2">
      <c r="A1283" s="3">
        <v>14</v>
      </c>
      <c r="B1283" s="4" t="s">
        <v>153</v>
      </c>
      <c r="C1283" s="3" t="s">
        <v>125</v>
      </c>
      <c r="D1283" s="3" t="s">
        <v>128</v>
      </c>
      <c r="E1283" s="3">
        <v>8</v>
      </c>
      <c r="G1283" s="57"/>
    </row>
    <row r="1284" spans="1:7" ht="12.75" x14ac:dyDescent="0.2">
      <c r="A1284" s="3">
        <v>14</v>
      </c>
      <c r="B1284" s="4" t="s">
        <v>153</v>
      </c>
      <c r="C1284" s="3" t="s">
        <v>125</v>
      </c>
      <c r="D1284" s="3" t="s">
        <v>149</v>
      </c>
      <c r="E1284" s="3">
        <v>4</v>
      </c>
      <c r="G1284" s="57"/>
    </row>
    <row r="1285" spans="1:7" ht="12.75" x14ac:dyDescent="0.2">
      <c r="A1285" s="3">
        <v>14</v>
      </c>
      <c r="B1285" s="4" t="s">
        <v>153</v>
      </c>
      <c r="C1285" s="3" t="s">
        <v>125</v>
      </c>
      <c r="D1285" s="3" t="s">
        <v>14</v>
      </c>
      <c r="E1285" s="3">
        <v>14</v>
      </c>
      <c r="G1285" s="57"/>
    </row>
    <row r="1286" spans="1:7" ht="12.75" x14ac:dyDescent="0.2">
      <c r="A1286" s="3">
        <v>14</v>
      </c>
      <c r="B1286" s="4" t="s">
        <v>153</v>
      </c>
      <c r="C1286" s="3" t="s">
        <v>125</v>
      </c>
      <c r="D1286" s="3" t="s">
        <v>138</v>
      </c>
      <c r="E1286" s="3">
        <v>0</v>
      </c>
      <c r="F1286">
        <f>SUM(E1281:E1286)</f>
        <v>44</v>
      </c>
      <c r="G1286" s="57"/>
    </row>
    <row r="1287" spans="1:7" ht="12.75" x14ac:dyDescent="0.2">
      <c r="A1287" s="3">
        <v>15</v>
      </c>
      <c r="B1287" s="4" t="s">
        <v>43</v>
      </c>
      <c r="C1287" s="3" t="s">
        <v>347</v>
      </c>
      <c r="D1287" s="3" t="s">
        <v>283</v>
      </c>
      <c r="E1287" s="3">
        <v>509</v>
      </c>
      <c r="G1287" s="59">
        <v>1536</v>
      </c>
    </row>
    <row r="1288" spans="1:7" ht="12.75" x14ac:dyDescent="0.2">
      <c r="A1288" s="3">
        <v>15</v>
      </c>
      <c r="B1288" s="4" t="s">
        <v>43</v>
      </c>
      <c r="C1288" s="3" t="s">
        <v>347</v>
      </c>
      <c r="D1288" s="3" t="s">
        <v>315</v>
      </c>
      <c r="E1288" s="3">
        <v>14</v>
      </c>
      <c r="G1288" s="57"/>
    </row>
    <row r="1289" spans="1:7" ht="12.75" x14ac:dyDescent="0.2">
      <c r="A1289" s="3">
        <v>15</v>
      </c>
      <c r="B1289" s="4" t="s">
        <v>43</v>
      </c>
      <c r="C1289" s="3" t="s">
        <v>347</v>
      </c>
      <c r="D1289" s="3" t="s">
        <v>316</v>
      </c>
      <c r="E1289" s="3">
        <v>22</v>
      </c>
      <c r="G1289" s="57"/>
    </row>
    <row r="1290" spans="1:7" ht="12.75" x14ac:dyDescent="0.2">
      <c r="A1290" s="3">
        <v>15</v>
      </c>
      <c r="B1290" s="4" t="s">
        <v>43</v>
      </c>
      <c r="C1290" s="3" t="s">
        <v>347</v>
      </c>
      <c r="D1290" s="3" t="s">
        <v>128</v>
      </c>
      <c r="E1290" s="3">
        <v>510</v>
      </c>
      <c r="G1290" s="57"/>
    </row>
    <row r="1291" spans="1:7" ht="12.75" x14ac:dyDescent="0.2">
      <c r="A1291" s="3">
        <v>15</v>
      </c>
      <c r="B1291" s="4" t="s">
        <v>43</v>
      </c>
      <c r="C1291" s="3" t="s">
        <v>347</v>
      </c>
      <c r="D1291" s="3" t="s">
        <v>353</v>
      </c>
      <c r="E1291" s="3">
        <v>20</v>
      </c>
      <c r="G1291" s="57"/>
    </row>
    <row r="1292" spans="1:7" ht="12.75" x14ac:dyDescent="0.2">
      <c r="A1292" s="3">
        <v>15</v>
      </c>
      <c r="B1292" s="4" t="s">
        <v>43</v>
      </c>
      <c r="C1292" s="3" t="s">
        <v>347</v>
      </c>
      <c r="D1292" s="3" t="s">
        <v>149</v>
      </c>
      <c r="E1292" s="3">
        <v>202</v>
      </c>
      <c r="G1292" s="57"/>
    </row>
    <row r="1293" spans="1:7" ht="12.75" x14ac:dyDescent="0.2">
      <c r="A1293" s="3">
        <v>15</v>
      </c>
      <c r="B1293" s="4" t="s">
        <v>43</v>
      </c>
      <c r="C1293" s="3" t="s">
        <v>347</v>
      </c>
      <c r="D1293" s="3" t="s">
        <v>14</v>
      </c>
      <c r="E1293" s="3">
        <v>65</v>
      </c>
      <c r="G1293" s="57"/>
    </row>
    <row r="1294" spans="1:7" ht="12.75" x14ac:dyDescent="0.2">
      <c r="A1294" s="3">
        <v>15</v>
      </c>
      <c r="B1294" s="4" t="s">
        <v>43</v>
      </c>
      <c r="C1294" s="3" t="s">
        <v>347</v>
      </c>
      <c r="D1294" s="3" t="s">
        <v>138</v>
      </c>
      <c r="E1294" s="3">
        <v>3</v>
      </c>
      <c r="F1294">
        <f>SUM(E1287:E1294)</f>
        <v>1345</v>
      </c>
      <c r="G1294" s="57"/>
    </row>
    <row r="1295" spans="1:7" ht="12.75" x14ac:dyDescent="0.2">
      <c r="A1295" s="3">
        <v>15</v>
      </c>
      <c r="B1295" s="4" t="s">
        <v>43</v>
      </c>
      <c r="C1295" s="3" t="s">
        <v>273</v>
      </c>
      <c r="D1295" s="3" t="s">
        <v>283</v>
      </c>
      <c r="E1295" s="3">
        <v>592</v>
      </c>
      <c r="G1295" s="57"/>
    </row>
    <row r="1296" spans="1:7" ht="12.75" x14ac:dyDescent="0.2">
      <c r="A1296" s="3">
        <v>15</v>
      </c>
      <c r="B1296" s="4" t="s">
        <v>43</v>
      </c>
      <c r="C1296" s="3" t="s">
        <v>273</v>
      </c>
      <c r="D1296" s="3" t="s">
        <v>315</v>
      </c>
      <c r="E1296" s="3">
        <v>7</v>
      </c>
      <c r="G1296" s="57"/>
    </row>
    <row r="1297" spans="1:7" ht="12.75" x14ac:dyDescent="0.2">
      <c r="A1297" s="3">
        <v>15</v>
      </c>
      <c r="B1297" s="4" t="s">
        <v>43</v>
      </c>
      <c r="C1297" s="3" t="s">
        <v>273</v>
      </c>
      <c r="D1297" s="3" t="s">
        <v>128</v>
      </c>
      <c r="E1297" s="3">
        <v>449</v>
      </c>
      <c r="G1297" s="57"/>
    </row>
    <row r="1298" spans="1:7" ht="12.75" x14ac:dyDescent="0.2">
      <c r="A1298" s="3">
        <v>15</v>
      </c>
      <c r="B1298" s="4" t="s">
        <v>43</v>
      </c>
      <c r="C1298" s="3" t="s">
        <v>273</v>
      </c>
      <c r="D1298" s="3" t="s">
        <v>149</v>
      </c>
      <c r="E1298" s="3">
        <v>81</v>
      </c>
      <c r="G1298" s="57"/>
    </row>
    <row r="1299" spans="1:7" ht="12.75" x14ac:dyDescent="0.2">
      <c r="A1299" s="3">
        <v>15</v>
      </c>
      <c r="B1299" s="4" t="s">
        <v>43</v>
      </c>
      <c r="C1299" s="3" t="s">
        <v>273</v>
      </c>
      <c r="D1299" s="3" t="s">
        <v>14</v>
      </c>
      <c r="E1299" s="3">
        <v>211</v>
      </c>
      <c r="G1299" s="57"/>
    </row>
    <row r="1300" spans="1:7" ht="12.75" x14ac:dyDescent="0.2">
      <c r="A1300" s="3">
        <v>15</v>
      </c>
      <c r="B1300" s="4" t="s">
        <v>43</v>
      </c>
      <c r="C1300" s="3" t="s">
        <v>273</v>
      </c>
      <c r="D1300" s="3" t="s">
        <v>138</v>
      </c>
      <c r="E1300" s="3">
        <v>5</v>
      </c>
      <c r="F1300">
        <f>SUM(E1295:E1300)</f>
        <v>1345</v>
      </c>
      <c r="G1300" s="57"/>
    </row>
    <row r="1301" spans="1:7" ht="12.75" x14ac:dyDescent="0.2">
      <c r="A1301" s="3">
        <v>15</v>
      </c>
      <c r="B1301" s="4" t="s">
        <v>43</v>
      </c>
      <c r="C1301" s="3" t="s">
        <v>125</v>
      </c>
      <c r="D1301" s="3" t="s">
        <v>283</v>
      </c>
      <c r="E1301" s="3">
        <v>592</v>
      </c>
      <c r="G1301" s="57"/>
    </row>
    <row r="1302" spans="1:7" ht="12.75" x14ac:dyDescent="0.2">
      <c r="A1302" s="3">
        <v>15</v>
      </c>
      <c r="B1302" s="4" t="s">
        <v>43</v>
      </c>
      <c r="C1302" s="3" t="s">
        <v>125</v>
      </c>
      <c r="D1302" s="3" t="s">
        <v>315</v>
      </c>
      <c r="E1302" s="3">
        <v>6</v>
      </c>
      <c r="G1302" s="57"/>
    </row>
    <row r="1303" spans="1:7" ht="12.75" x14ac:dyDescent="0.2">
      <c r="A1303" s="3">
        <v>15</v>
      </c>
      <c r="B1303" s="4" t="s">
        <v>43</v>
      </c>
      <c r="C1303" s="3" t="s">
        <v>125</v>
      </c>
      <c r="D1303" s="3" t="s">
        <v>128</v>
      </c>
      <c r="E1303" s="3">
        <v>438</v>
      </c>
      <c r="G1303" s="57"/>
    </row>
    <row r="1304" spans="1:7" ht="12.75" x14ac:dyDescent="0.2">
      <c r="A1304" s="3">
        <v>15</v>
      </c>
      <c r="B1304" s="4" t="s">
        <v>43</v>
      </c>
      <c r="C1304" s="3" t="s">
        <v>125</v>
      </c>
      <c r="D1304" s="3" t="s">
        <v>149</v>
      </c>
      <c r="E1304" s="3">
        <v>81</v>
      </c>
      <c r="G1304" s="57"/>
    </row>
    <row r="1305" spans="1:7" ht="12.75" x14ac:dyDescent="0.2">
      <c r="A1305" s="3">
        <v>15</v>
      </c>
      <c r="B1305" s="4" t="s">
        <v>43</v>
      </c>
      <c r="C1305" s="3" t="s">
        <v>125</v>
      </c>
      <c r="D1305" s="3" t="s">
        <v>14</v>
      </c>
      <c r="E1305" s="3">
        <v>223</v>
      </c>
      <c r="G1305" s="57"/>
    </row>
    <row r="1306" spans="1:7" ht="12.75" x14ac:dyDescent="0.2">
      <c r="A1306" s="3">
        <v>15</v>
      </c>
      <c r="B1306" s="4" t="s">
        <v>43</v>
      </c>
      <c r="C1306" s="3" t="s">
        <v>125</v>
      </c>
      <c r="D1306" s="3" t="s">
        <v>138</v>
      </c>
      <c r="E1306" s="3">
        <v>5</v>
      </c>
      <c r="F1306">
        <f>SUM(E1301:E1306)</f>
        <v>1345</v>
      </c>
      <c r="G1306" s="57"/>
    </row>
    <row r="1307" spans="1:7" ht="12.75" x14ac:dyDescent="0.2">
      <c r="A1307" s="3">
        <v>16</v>
      </c>
      <c r="B1307" s="4" t="s">
        <v>44</v>
      </c>
      <c r="C1307" s="3" t="s">
        <v>347</v>
      </c>
      <c r="D1307" s="3" t="s">
        <v>283</v>
      </c>
      <c r="E1307" s="3">
        <v>379</v>
      </c>
      <c r="G1307" s="59">
        <v>867</v>
      </c>
    </row>
    <row r="1308" spans="1:7" ht="12.75" x14ac:dyDescent="0.2">
      <c r="A1308" s="3">
        <v>16</v>
      </c>
      <c r="B1308" s="4" t="s">
        <v>44</v>
      </c>
      <c r="C1308" s="3" t="s">
        <v>347</v>
      </c>
      <c r="D1308" s="3" t="s">
        <v>315</v>
      </c>
      <c r="E1308" s="3">
        <v>4</v>
      </c>
      <c r="G1308" s="57"/>
    </row>
    <row r="1309" spans="1:7" ht="12.75" x14ac:dyDescent="0.2">
      <c r="A1309" s="3">
        <v>16</v>
      </c>
      <c r="B1309" s="4" t="s">
        <v>44</v>
      </c>
      <c r="C1309" s="3" t="s">
        <v>347</v>
      </c>
      <c r="D1309" s="3" t="s">
        <v>316</v>
      </c>
      <c r="E1309" s="3">
        <v>15</v>
      </c>
      <c r="G1309" s="57"/>
    </row>
    <row r="1310" spans="1:7" ht="12.75" x14ac:dyDescent="0.2">
      <c r="A1310" s="3">
        <v>16</v>
      </c>
      <c r="B1310" s="4" t="s">
        <v>44</v>
      </c>
      <c r="C1310" s="3" t="s">
        <v>347</v>
      </c>
      <c r="D1310" s="3" t="s">
        <v>128</v>
      </c>
      <c r="E1310" s="3">
        <v>217</v>
      </c>
      <c r="G1310" s="57"/>
    </row>
    <row r="1311" spans="1:7" ht="12.75" x14ac:dyDescent="0.2">
      <c r="A1311" s="3">
        <v>16</v>
      </c>
      <c r="B1311" s="4" t="s">
        <v>44</v>
      </c>
      <c r="C1311" s="3" t="s">
        <v>347</v>
      </c>
      <c r="D1311" s="3" t="s">
        <v>353</v>
      </c>
      <c r="E1311" s="3">
        <v>12</v>
      </c>
      <c r="G1311" s="57"/>
    </row>
    <row r="1312" spans="1:7" ht="12.75" x14ac:dyDescent="0.2">
      <c r="A1312" s="3">
        <v>16</v>
      </c>
      <c r="B1312" s="4" t="s">
        <v>44</v>
      </c>
      <c r="C1312" s="3" t="s">
        <v>347</v>
      </c>
      <c r="D1312" s="3" t="s">
        <v>149</v>
      </c>
      <c r="E1312" s="3">
        <v>109</v>
      </c>
      <c r="G1312" s="57"/>
    </row>
    <row r="1313" spans="1:7" ht="12.75" x14ac:dyDescent="0.2">
      <c r="A1313" s="3">
        <v>16</v>
      </c>
      <c r="B1313" s="4" t="s">
        <v>44</v>
      </c>
      <c r="C1313" s="3" t="s">
        <v>347</v>
      </c>
      <c r="D1313" s="3" t="s">
        <v>14</v>
      </c>
      <c r="E1313" s="3">
        <v>35</v>
      </c>
      <c r="G1313" s="57"/>
    </row>
    <row r="1314" spans="1:7" ht="12.75" x14ac:dyDescent="0.2">
      <c r="A1314" s="3">
        <v>16</v>
      </c>
      <c r="B1314" s="4" t="s">
        <v>44</v>
      </c>
      <c r="C1314" s="3" t="s">
        <v>347</v>
      </c>
      <c r="D1314" s="3" t="s">
        <v>138</v>
      </c>
      <c r="E1314" s="3">
        <v>10</v>
      </c>
      <c r="F1314">
        <f>SUM(E1307:E1314)</f>
        <v>781</v>
      </c>
      <c r="G1314" s="57"/>
    </row>
    <row r="1315" spans="1:7" ht="12.75" x14ac:dyDescent="0.2">
      <c r="A1315" s="3">
        <v>16</v>
      </c>
      <c r="B1315" s="4" t="s">
        <v>44</v>
      </c>
      <c r="C1315" s="3" t="s">
        <v>273</v>
      </c>
      <c r="D1315" s="3" t="s">
        <v>283</v>
      </c>
      <c r="E1315" s="3">
        <v>438</v>
      </c>
      <c r="G1315" s="57"/>
    </row>
    <row r="1316" spans="1:7" ht="12.75" x14ac:dyDescent="0.2">
      <c r="A1316" s="3">
        <v>16</v>
      </c>
      <c r="B1316" s="4" t="s">
        <v>44</v>
      </c>
      <c r="C1316" s="3" t="s">
        <v>273</v>
      </c>
      <c r="D1316" s="3" t="s">
        <v>315</v>
      </c>
      <c r="E1316" s="3">
        <v>4</v>
      </c>
      <c r="G1316" s="57"/>
    </row>
    <row r="1317" spans="1:7" ht="12.75" x14ac:dyDescent="0.2">
      <c r="A1317" s="3">
        <v>16</v>
      </c>
      <c r="B1317" s="4" t="s">
        <v>44</v>
      </c>
      <c r="C1317" s="3" t="s">
        <v>273</v>
      </c>
      <c r="D1317" s="3" t="s">
        <v>128</v>
      </c>
      <c r="E1317" s="3">
        <v>197</v>
      </c>
      <c r="G1317" s="57"/>
    </row>
    <row r="1318" spans="1:7" ht="12.75" x14ac:dyDescent="0.2">
      <c r="A1318" s="3">
        <v>16</v>
      </c>
      <c r="B1318" s="4" t="s">
        <v>44</v>
      </c>
      <c r="C1318" s="3" t="s">
        <v>273</v>
      </c>
      <c r="D1318" s="3" t="s">
        <v>149</v>
      </c>
      <c r="E1318" s="3">
        <v>43</v>
      </c>
      <c r="G1318" s="57"/>
    </row>
    <row r="1319" spans="1:7" ht="12.75" x14ac:dyDescent="0.2">
      <c r="A1319" s="3">
        <v>16</v>
      </c>
      <c r="B1319" s="4" t="s">
        <v>44</v>
      </c>
      <c r="C1319" s="3" t="s">
        <v>273</v>
      </c>
      <c r="D1319" s="3" t="s">
        <v>14</v>
      </c>
      <c r="E1319" s="3">
        <v>88</v>
      </c>
      <c r="G1319" s="57"/>
    </row>
    <row r="1320" spans="1:7" ht="12.75" x14ac:dyDescent="0.2">
      <c r="A1320" s="3">
        <v>16</v>
      </c>
      <c r="B1320" s="4" t="s">
        <v>44</v>
      </c>
      <c r="C1320" s="3" t="s">
        <v>273</v>
      </c>
      <c r="D1320" s="3" t="s">
        <v>138</v>
      </c>
      <c r="E1320" s="3">
        <v>11</v>
      </c>
      <c r="F1320">
        <f>SUM(E1315:E1320)</f>
        <v>781</v>
      </c>
      <c r="G1320" s="57"/>
    </row>
    <row r="1321" spans="1:7" ht="12.75" x14ac:dyDescent="0.2">
      <c r="A1321" s="3">
        <v>16</v>
      </c>
      <c r="B1321" s="4" t="s">
        <v>44</v>
      </c>
      <c r="C1321" s="3" t="s">
        <v>125</v>
      </c>
      <c r="D1321" s="3" t="s">
        <v>283</v>
      </c>
      <c r="E1321" s="3">
        <v>438</v>
      </c>
      <c r="G1321" s="57"/>
    </row>
    <row r="1322" spans="1:7" ht="12.75" x14ac:dyDescent="0.2">
      <c r="A1322" s="3">
        <v>16</v>
      </c>
      <c r="B1322" s="4" t="s">
        <v>44</v>
      </c>
      <c r="C1322" s="3" t="s">
        <v>125</v>
      </c>
      <c r="D1322" s="3" t="s">
        <v>315</v>
      </c>
      <c r="E1322" s="3">
        <v>4</v>
      </c>
      <c r="G1322" s="57"/>
    </row>
    <row r="1323" spans="1:7" ht="12.75" x14ac:dyDescent="0.2">
      <c r="A1323" s="3">
        <v>16</v>
      </c>
      <c r="B1323" s="4" t="s">
        <v>44</v>
      </c>
      <c r="C1323" s="3" t="s">
        <v>125</v>
      </c>
      <c r="D1323" s="3" t="s">
        <v>128</v>
      </c>
      <c r="E1323" s="3">
        <v>201</v>
      </c>
      <c r="G1323" s="57"/>
    </row>
    <row r="1324" spans="1:7" ht="12.75" x14ac:dyDescent="0.2">
      <c r="A1324" s="3">
        <v>16</v>
      </c>
      <c r="B1324" s="4" t="s">
        <v>44</v>
      </c>
      <c r="C1324" s="3" t="s">
        <v>125</v>
      </c>
      <c r="D1324" s="3" t="s">
        <v>149</v>
      </c>
      <c r="E1324" s="3">
        <v>43</v>
      </c>
      <c r="G1324" s="57"/>
    </row>
    <row r="1325" spans="1:7" ht="12.75" x14ac:dyDescent="0.2">
      <c r="A1325" s="3">
        <v>16</v>
      </c>
      <c r="B1325" s="4" t="s">
        <v>44</v>
      </c>
      <c r="C1325" s="3" t="s">
        <v>125</v>
      </c>
      <c r="D1325" s="3" t="s">
        <v>14</v>
      </c>
      <c r="E1325" s="3">
        <v>88</v>
      </c>
      <c r="G1325" s="57"/>
    </row>
    <row r="1326" spans="1:7" ht="12.75" x14ac:dyDescent="0.2">
      <c r="A1326" s="3">
        <v>16</v>
      </c>
      <c r="B1326" s="4" t="s">
        <v>44</v>
      </c>
      <c r="C1326" s="3" t="s">
        <v>125</v>
      </c>
      <c r="D1326" s="3" t="s">
        <v>138</v>
      </c>
      <c r="E1326" s="3">
        <v>7</v>
      </c>
      <c r="F1326">
        <f>SUM(E1321:E1326)</f>
        <v>781</v>
      </c>
      <c r="G1326" s="57"/>
    </row>
    <row r="1327" spans="1:7" ht="12.75" x14ac:dyDescent="0.2">
      <c r="A1327" s="3">
        <v>17</v>
      </c>
      <c r="B1327" s="4" t="s">
        <v>45</v>
      </c>
      <c r="C1327" s="3" t="s">
        <v>347</v>
      </c>
      <c r="D1327" s="3" t="s">
        <v>283</v>
      </c>
      <c r="E1327" s="3">
        <v>15</v>
      </c>
      <c r="G1327" s="59">
        <v>31</v>
      </c>
    </row>
    <row r="1328" spans="1:7" ht="12.75" x14ac:dyDescent="0.2">
      <c r="A1328" s="3">
        <v>17</v>
      </c>
      <c r="B1328" s="4" t="s">
        <v>45</v>
      </c>
      <c r="C1328" s="3" t="s">
        <v>347</v>
      </c>
      <c r="D1328" s="3" t="s">
        <v>315</v>
      </c>
      <c r="E1328" s="3">
        <v>0</v>
      </c>
      <c r="G1328" s="57"/>
    </row>
    <row r="1329" spans="1:7" ht="12.75" x14ac:dyDescent="0.2">
      <c r="A1329" s="3">
        <v>17</v>
      </c>
      <c r="B1329" s="4" t="s">
        <v>45</v>
      </c>
      <c r="C1329" s="3" t="s">
        <v>347</v>
      </c>
      <c r="D1329" s="3" t="s">
        <v>316</v>
      </c>
      <c r="E1329" s="3">
        <v>0</v>
      </c>
      <c r="G1329" s="57"/>
    </row>
    <row r="1330" spans="1:7" ht="12.75" x14ac:dyDescent="0.2">
      <c r="A1330" s="3">
        <v>17</v>
      </c>
      <c r="B1330" s="4" t="s">
        <v>45</v>
      </c>
      <c r="C1330" s="3" t="s">
        <v>347</v>
      </c>
      <c r="D1330" s="3" t="s">
        <v>128</v>
      </c>
      <c r="E1330" s="3">
        <v>0</v>
      </c>
      <c r="G1330" s="57"/>
    </row>
    <row r="1331" spans="1:7" ht="12.75" x14ac:dyDescent="0.2">
      <c r="A1331" s="3">
        <v>17</v>
      </c>
      <c r="B1331" s="4" t="s">
        <v>45</v>
      </c>
      <c r="C1331" s="3" t="s">
        <v>347</v>
      </c>
      <c r="D1331" s="3" t="s">
        <v>353</v>
      </c>
      <c r="E1331" s="3">
        <v>0</v>
      </c>
      <c r="G1331" s="57"/>
    </row>
    <row r="1332" spans="1:7" ht="12.75" x14ac:dyDescent="0.2">
      <c r="A1332" s="3">
        <v>17</v>
      </c>
      <c r="B1332" s="4" t="s">
        <v>45</v>
      </c>
      <c r="C1332" s="3" t="s">
        <v>347</v>
      </c>
      <c r="D1332" s="3" t="s">
        <v>149</v>
      </c>
      <c r="E1332" s="3">
        <v>4</v>
      </c>
      <c r="G1332" s="57"/>
    </row>
    <row r="1333" spans="1:7" ht="12.75" x14ac:dyDescent="0.2">
      <c r="A1333" s="3">
        <v>17</v>
      </c>
      <c r="B1333" s="4" t="s">
        <v>45</v>
      </c>
      <c r="C1333" s="3" t="s">
        <v>347</v>
      </c>
      <c r="D1333" s="3" t="s">
        <v>14</v>
      </c>
      <c r="E1333" s="3">
        <v>0</v>
      </c>
      <c r="G1333" s="57"/>
    </row>
    <row r="1334" spans="1:7" ht="12.75" x14ac:dyDescent="0.2">
      <c r="A1334" s="3">
        <v>17</v>
      </c>
      <c r="B1334" s="4" t="s">
        <v>45</v>
      </c>
      <c r="C1334" s="3" t="s">
        <v>347</v>
      </c>
      <c r="D1334" s="3" t="s">
        <v>138</v>
      </c>
      <c r="E1334" s="3">
        <v>0</v>
      </c>
      <c r="F1334">
        <f>SUM(E1327:E1334)</f>
        <v>19</v>
      </c>
      <c r="G1334" s="57"/>
    </row>
    <row r="1335" spans="1:7" ht="12.75" x14ac:dyDescent="0.2">
      <c r="A1335" s="3">
        <v>17</v>
      </c>
      <c r="B1335" s="4" t="s">
        <v>45</v>
      </c>
      <c r="C1335" s="3" t="s">
        <v>273</v>
      </c>
      <c r="D1335" s="3" t="s">
        <v>283</v>
      </c>
      <c r="E1335" s="3">
        <v>16</v>
      </c>
      <c r="G1335" s="57"/>
    </row>
    <row r="1336" spans="1:7" ht="12.75" x14ac:dyDescent="0.2">
      <c r="A1336" s="3">
        <v>17</v>
      </c>
      <c r="B1336" s="4" t="s">
        <v>45</v>
      </c>
      <c r="C1336" s="3" t="s">
        <v>273</v>
      </c>
      <c r="D1336" s="3" t="s">
        <v>315</v>
      </c>
      <c r="E1336" s="3">
        <v>0</v>
      </c>
      <c r="G1336" s="57"/>
    </row>
    <row r="1337" spans="1:7" ht="12.75" x14ac:dyDescent="0.2">
      <c r="A1337" s="3">
        <v>17</v>
      </c>
      <c r="B1337" s="4" t="s">
        <v>45</v>
      </c>
      <c r="C1337" s="3" t="s">
        <v>273</v>
      </c>
      <c r="D1337" s="3" t="s">
        <v>128</v>
      </c>
      <c r="E1337" s="3">
        <v>0</v>
      </c>
      <c r="G1337" s="57"/>
    </row>
    <row r="1338" spans="1:7" ht="12.75" x14ac:dyDescent="0.2">
      <c r="A1338" s="3">
        <v>17</v>
      </c>
      <c r="B1338" s="4" t="s">
        <v>45</v>
      </c>
      <c r="C1338" s="3" t="s">
        <v>273</v>
      </c>
      <c r="D1338" s="3" t="s">
        <v>149</v>
      </c>
      <c r="E1338" s="3">
        <v>1</v>
      </c>
      <c r="G1338" s="57"/>
    </row>
    <row r="1339" spans="1:7" ht="12.75" x14ac:dyDescent="0.2">
      <c r="A1339" s="3">
        <v>17</v>
      </c>
      <c r="B1339" s="4" t="s">
        <v>45</v>
      </c>
      <c r="C1339" s="3" t="s">
        <v>273</v>
      </c>
      <c r="D1339" s="3" t="s">
        <v>14</v>
      </c>
      <c r="E1339" s="3">
        <v>2</v>
      </c>
      <c r="G1339" s="57"/>
    </row>
    <row r="1340" spans="1:7" ht="12.75" x14ac:dyDescent="0.2">
      <c r="A1340" s="3">
        <v>17</v>
      </c>
      <c r="B1340" s="4" t="s">
        <v>45</v>
      </c>
      <c r="C1340" s="3" t="s">
        <v>273</v>
      </c>
      <c r="D1340" s="3" t="s">
        <v>138</v>
      </c>
      <c r="E1340" s="3">
        <v>0</v>
      </c>
      <c r="F1340">
        <f>SUM(E1335:E1340)</f>
        <v>19</v>
      </c>
      <c r="G1340" s="57"/>
    </row>
    <row r="1341" spans="1:7" ht="12.75" x14ac:dyDescent="0.2">
      <c r="A1341" s="3">
        <v>17</v>
      </c>
      <c r="B1341" s="4" t="s">
        <v>45</v>
      </c>
      <c r="C1341" s="3" t="s">
        <v>125</v>
      </c>
      <c r="D1341" s="3" t="s">
        <v>283</v>
      </c>
      <c r="E1341" s="3">
        <v>16</v>
      </c>
      <c r="G1341" s="57"/>
    </row>
    <row r="1342" spans="1:7" ht="12.75" x14ac:dyDescent="0.2">
      <c r="A1342" s="3">
        <v>17</v>
      </c>
      <c r="B1342" s="4" t="s">
        <v>45</v>
      </c>
      <c r="C1342" s="3" t="s">
        <v>125</v>
      </c>
      <c r="D1342" s="3" t="s">
        <v>315</v>
      </c>
      <c r="E1342" s="3">
        <v>0</v>
      </c>
      <c r="G1342" s="57"/>
    </row>
    <row r="1343" spans="1:7" ht="12.75" x14ac:dyDescent="0.2">
      <c r="A1343" s="3">
        <v>17</v>
      </c>
      <c r="B1343" s="4" t="s">
        <v>45</v>
      </c>
      <c r="C1343" s="3" t="s">
        <v>125</v>
      </c>
      <c r="D1343" s="3" t="s">
        <v>128</v>
      </c>
      <c r="E1343" s="3">
        <v>0</v>
      </c>
      <c r="G1343" s="57"/>
    </row>
    <row r="1344" spans="1:7" ht="12.75" x14ac:dyDescent="0.2">
      <c r="A1344" s="3">
        <v>17</v>
      </c>
      <c r="B1344" s="4" t="s">
        <v>45</v>
      </c>
      <c r="C1344" s="3" t="s">
        <v>125</v>
      </c>
      <c r="D1344" s="3" t="s">
        <v>149</v>
      </c>
      <c r="E1344" s="3">
        <v>1</v>
      </c>
      <c r="G1344" s="57"/>
    </row>
    <row r="1345" spans="1:7" ht="12.75" x14ac:dyDescent="0.2">
      <c r="A1345" s="3">
        <v>17</v>
      </c>
      <c r="B1345" s="4" t="s">
        <v>45</v>
      </c>
      <c r="C1345" s="3" t="s">
        <v>125</v>
      </c>
      <c r="D1345" s="3" t="s">
        <v>14</v>
      </c>
      <c r="E1345" s="3">
        <v>2</v>
      </c>
      <c r="G1345" s="57"/>
    </row>
    <row r="1346" spans="1:7" ht="12.75" x14ac:dyDescent="0.2">
      <c r="A1346" s="3">
        <v>17</v>
      </c>
      <c r="B1346" s="4" t="s">
        <v>45</v>
      </c>
      <c r="C1346" s="3" t="s">
        <v>125</v>
      </c>
      <c r="D1346" s="3" t="s">
        <v>138</v>
      </c>
      <c r="E1346" s="3">
        <v>0</v>
      </c>
      <c r="F1346">
        <f>SUM(E1341:E1346)</f>
        <v>19</v>
      </c>
      <c r="G1346" s="57"/>
    </row>
    <row r="1347" spans="1:7" ht="12.75" x14ac:dyDescent="0.2">
      <c r="A1347" s="3">
        <v>18</v>
      </c>
      <c r="B1347" s="4" t="s">
        <v>46</v>
      </c>
      <c r="C1347" s="3" t="s">
        <v>347</v>
      </c>
      <c r="D1347" s="3" t="s">
        <v>283</v>
      </c>
      <c r="E1347" s="3">
        <v>1093</v>
      </c>
      <c r="G1347" s="59">
        <v>2420</v>
      </c>
    </row>
    <row r="1348" spans="1:7" ht="12.75" x14ac:dyDescent="0.2">
      <c r="A1348" s="3">
        <v>18</v>
      </c>
      <c r="B1348" s="4" t="s">
        <v>46</v>
      </c>
      <c r="C1348" s="3" t="s">
        <v>347</v>
      </c>
      <c r="D1348" s="3" t="s">
        <v>315</v>
      </c>
      <c r="E1348" s="3">
        <v>17</v>
      </c>
      <c r="G1348" s="57"/>
    </row>
    <row r="1349" spans="1:7" ht="12.75" x14ac:dyDescent="0.2">
      <c r="A1349" s="3">
        <v>18</v>
      </c>
      <c r="B1349" s="4" t="s">
        <v>46</v>
      </c>
      <c r="C1349" s="3" t="s">
        <v>347</v>
      </c>
      <c r="D1349" s="3" t="s">
        <v>316</v>
      </c>
      <c r="E1349" s="3">
        <v>44</v>
      </c>
      <c r="G1349" s="57"/>
    </row>
    <row r="1350" spans="1:7" ht="12.75" x14ac:dyDescent="0.2">
      <c r="A1350" s="3">
        <v>18</v>
      </c>
      <c r="B1350" s="4" t="s">
        <v>46</v>
      </c>
      <c r="C1350" s="3" t="s">
        <v>347</v>
      </c>
      <c r="D1350" s="3" t="s">
        <v>128</v>
      </c>
      <c r="E1350" s="3">
        <v>265</v>
      </c>
      <c r="G1350" s="57"/>
    </row>
    <row r="1351" spans="1:7" ht="12.75" x14ac:dyDescent="0.2">
      <c r="A1351" s="3">
        <v>18</v>
      </c>
      <c r="B1351" s="4" t="s">
        <v>46</v>
      </c>
      <c r="C1351" s="3" t="s">
        <v>347</v>
      </c>
      <c r="D1351" s="3" t="s">
        <v>353</v>
      </c>
      <c r="E1351" s="3">
        <v>25</v>
      </c>
      <c r="G1351" s="57"/>
    </row>
    <row r="1352" spans="1:7" ht="12.75" x14ac:dyDescent="0.2">
      <c r="A1352" s="3">
        <v>18</v>
      </c>
      <c r="B1352" s="4" t="s">
        <v>46</v>
      </c>
      <c r="C1352" s="3" t="s">
        <v>347</v>
      </c>
      <c r="D1352" s="3" t="s">
        <v>149</v>
      </c>
      <c r="E1352" s="3">
        <v>359</v>
      </c>
      <c r="G1352" s="57"/>
    </row>
    <row r="1353" spans="1:7" ht="12.75" x14ac:dyDescent="0.2">
      <c r="A1353" s="3">
        <v>18</v>
      </c>
      <c r="B1353" s="4" t="s">
        <v>46</v>
      </c>
      <c r="C1353" s="3" t="s">
        <v>347</v>
      </c>
      <c r="D1353" s="3" t="s">
        <v>14</v>
      </c>
      <c r="E1353" s="3">
        <v>237</v>
      </c>
      <c r="G1353" s="57"/>
    </row>
    <row r="1354" spans="1:7" ht="12.75" x14ac:dyDescent="0.2">
      <c r="A1354" s="3">
        <v>18</v>
      </c>
      <c r="B1354" s="4" t="s">
        <v>46</v>
      </c>
      <c r="C1354" s="3" t="s">
        <v>347</v>
      </c>
      <c r="D1354" s="3" t="s">
        <v>138</v>
      </c>
      <c r="E1354" s="3">
        <v>13</v>
      </c>
      <c r="F1354">
        <f>SUM(E1347:E1354)</f>
        <v>2053</v>
      </c>
      <c r="G1354" s="57"/>
    </row>
    <row r="1355" spans="1:7" ht="12.75" x14ac:dyDescent="0.2">
      <c r="A1355" s="3">
        <v>18</v>
      </c>
      <c r="B1355" s="4" t="s">
        <v>46</v>
      </c>
      <c r="C1355" s="3" t="s">
        <v>273</v>
      </c>
      <c r="D1355" s="3" t="s">
        <v>283</v>
      </c>
      <c r="E1355" s="3">
        <v>1133</v>
      </c>
      <c r="G1355" s="57"/>
    </row>
    <row r="1356" spans="1:7" ht="12.75" x14ac:dyDescent="0.2">
      <c r="A1356" s="3">
        <v>18</v>
      </c>
      <c r="B1356" s="4" t="s">
        <v>46</v>
      </c>
      <c r="C1356" s="3" t="s">
        <v>273</v>
      </c>
      <c r="D1356" s="3" t="s">
        <v>315</v>
      </c>
      <c r="E1356" s="3">
        <v>10</v>
      </c>
      <c r="G1356" s="57"/>
    </row>
    <row r="1357" spans="1:7" ht="12.75" x14ac:dyDescent="0.2">
      <c r="A1357" s="3">
        <v>18</v>
      </c>
      <c r="B1357" s="4" t="s">
        <v>46</v>
      </c>
      <c r="C1357" s="3" t="s">
        <v>273</v>
      </c>
      <c r="D1357" s="3" t="s">
        <v>128</v>
      </c>
      <c r="E1357" s="3">
        <v>280</v>
      </c>
      <c r="G1357" s="57"/>
    </row>
    <row r="1358" spans="1:7" ht="12.75" x14ac:dyDescent="0.2">
      <c r="A1358" s="3">
        <v>18</v>
      </c>
      <c r="B1358" s="4" t="s">
        <v>46</v>
      </c>
      <c r="C1358" s="3" t="s">
        <v>273</v>
      </c>
      <c r="D1358" s="3" t="s">
        <v>149</v>
      </c>
      <c r="E1358" s="3">
        <v>118</v>
      </c>
      <c r="G1358" s="57"/>
    </row>
    <row r="1359" spans="1:7" ht="12.75" x14ac:dyDescent="0.2">
      <c r="A1359" s="3">
        <v>18</v>
      </c>
      <c r="B1359" s="4" t="s">
        <v>46</v>
      </c>
      <c r="C1359" s="3" t="s">
        <v>273</v>
      </c>
      <c r="D1359" s="3" t="s">
        <v>14</v>
      </c>
      <c r="E1359" s="3">
        <v>502</v>
      </c>
      <c r="G1359" s="57"/>
    </row>
    <row r="1360" spans="1:7" ht="12.75" x14ac:dyDescent="0.2">
      <c r="A1360" s="3">
        <v>18</v>
      </c>
      <c r="B1360" s="4" t="s">
        <v>46</v>
      </c>
      <c r="C1360" s="3" t="s">
        <v>273</v>
      </c>
      <c r="D1360" s="3" t="s">
        <v>138</v>
      </c>
      <c r="E1360" s="3">
        <v>10</v>
      </c>
      <c r="F1360">
        <f>SUM(E1355:E1360)</f>
        <v>2053</v>
      </c>
      <c r="G1360" s="57"/>
    </row>
    <row r="1361" spans="1:7" ht="12.75" x14ac:dyDescent="0.2">
      <c r="A1361" s="3">
        <v>18</v>
      </c>
      <c r="B1361" s="4" t="s">
        <v>46</v>
      </c>
      <c r="C1361" s="3" t="s">
        <v>125</v>
      </c>
      <c r="D1361" s="3" t="s">
        <v>283</v>
      </c>
      <c r="E1361" s="3">
        <v>1135</v>
      </c>
      <c r="G1361" s="57"/>
    </row>
    <row r="1362" spans="1:7" ht="12.75" x14ac:dyDescent="0.2">
      <c r="A1362" s="3">
        <v>18</v>
      </c>
      <c r="B1362" s="4" t="s">
        <v>46</v>
      </c>
      <c r="C1362" s="3" t="s">
        <v>125</v>
      </c>
      <c r="D1362" s="3" t="s">
        <v>315</v>
      </c>
      <c r="E1362" s="3">
        <v>10</v>
      </c>
      <c r="G1362" s="57"/>
    </row>
    <row r="1363" spans="1:7" ht="12.75" x14ac:dyDescent="0.2">
      <c r="A1363" s="3">
        <v>18</v>
      </c>
      <c r="B1363" s="4" t="s">
        <v>46</v>
      </c>
      <c r="C1363" s="3" t="s">
        <v>125</v>
      </c>
      <c r="D1363" s="3" t="s">
        <v>128</v>
      </c>
      <c r="E1363" s="3">
        <v>274</v>
      </c>
      <c r="G1363" s="57"/>
    </row>
    <row r="1364" spans="1:7" ht="12.75" x14ac:dyDescent="0.2">
      <c r="A1364" s="3">
        <v>18</v>
      </c>
      <c r="B1364" s="4" t="s">
        <v>46</v>
      </c>
      <c r="C1364" s="3" t="s">
        <v>125</v>
      </c>
      <c r="D1364" s="3" t="s">
        <v>149</v>
      </c>
      <c r="E1364" s="3">
        <v>118</v>
      </c>
      <c r="G1364" s="57"/>
    </row>
    <row r="1365" spans="1:7" ht="12.75" x14ac:dyDescent="0.2">
      <c r="A1365" s="3">
        <v>18</v>
      </c>
      <c r="B1365" s="4" t="s">
        <v>46</v>
      </c>
      <c r="C1365" s="3" t="s">
        <v>125</v>
      </c>
      <c r="D1365" s="3" t="s">
        <v>14</v>
      </c>
      <c r="E1365" s="3">
        <v>509</v>
      </c>
      <c r="G1365" s="57"/>
    </row>
    <row r="1366" spans="1:7" ht="12.75" x14ac:dyDescent="0.2">
      <c r="A1366" s="3">
        <v>18</v>
      </c>
      <c r="B1366" s="4" t="s">
        <v>46</v>
      </c>
      <c r="C1366" s="3" t="s">
        <v>125</v>
      </c>
      <c r="D1366" s="3" t="s">
        <v>138</v>
      </c>
      <c r="E1366" s="3">
        <v>7</v>
      </c>
      <c r="F1366">
        <f>SUM(E1361:E1366)</f>
        <v>2053</v>
      </c>
      <c r="G1366" s="57"/>
    </row>
    <row r="1367" spans="1:7" ht="12.75" x14ac:dyDescent="0.2">
      <c r="A1367" s="3">
        <v>19</v>
      </c>
      <c r="B1367" s="4" t="s">
        <v>47</v>
      </c>
      <c r="C1367" s="3" t="s">
        <v>347</v>
      </c>
      <c r="D1367" s="3" t="s">
        <v>283</v>
      </c>
      <c r="E1367" s="3">
        <v>436</v>
      </c>
      <c r="G1367" s="59">
        <v>1495</v>
      </c>
    </row>
    <row r="1368" spans="1:7" ht="12.75" x14ac:dyDescent="0.2">
      <c r="A1368" s="3">
        <v>19</v>
      </c>
      <c r="B1368" s="4" t="s">
        <v>47</v>
      </c>
      <c r="C1368" s="3" t="s">
        <v>347</v>
      </c>
      <c r="D1368" s="3" t="s">
        <v>315</v>
      </c>
      <c r="E1368" s="3">
        <v>5</v>
      </c>
      <c r="G1368" s="57"/>
    </row>
    <row r="1369" spans="1:7" ht="12.75" x14ac:dyDescent="0.2">
      <c r="A1369" s="3">
        <v>19</v>
      </c>
      <c r="B1369" s="4" t="s">
        <v>47</v>
      </c>
      <c r="C1369" s="3" t="s">
        <v>347</v>
      </c>
      <c r="D1369" s="3" t="s">
        <v>316</v>
      </c>
      <c r="E1369" s="3">
        <v>17</v>
      </c>
      <c r="G1369" s="57"/>
    </row>
    <row r="1370" spans="1:7" ht="12.75" x14ac:dyDescent="0.2">
      <c r="A1370" s="3">
        <v>19</v>
      </c>
      <c r="B1370" s="4" t="s">
        <v>47</v>
      </c>
      <c r="C1370" s="3" t="s">
        <v>347</v>
      </c>
      <c r="D1370" s="3" t="s">
        <v>128</v>
      </c>
      <c r="E1370" s="3">
        <v>622</v>
      </c>
      <c r="G1370" s="57"/>
    </row>
    <row r="1371" spans="1:7" ht="12.75" x14ac:dyDescent="0.2">
      <c r="A1371" s="3">
        <v>19</v>
      </c>
      <c r="B1371" s="4" t="s">
        <v>47</v>
      </c>
      <c r="C1371" s="3" t="s">
        <v>347</v>
      </c>
      <c r="D1371" s="3" t="s">
        <v>353</v>
      </c>
      <c r="E1371" s="3">
        <v>7</v>
      </c>
      <c r="G1371" s="57"/>
    </row>
    <row r="1372" spans="1:7" ht="12.75" x14ac:dyDescent="0.2">
      <c r="A1372" s="3">
        <v>19</v>
      </c>
      <c r="B1372" s="4" t="s">
        <v>47</v>
      </c>
      <c r="C1372" s="3" t="s">
        <v>347</v>
      </c>
      <c r="D1372" s="3" t="s">
        <v>149</v>
      </c>
      <c r="E1372" s="3">
        <v>148</v>
      </c>
      <c r="G1372" s="57"/>
    </row>
    <row r="1373" spans="1:7" ht="12.75" x14ac:dyDescent="0.2">
      <c r="A1373" s="3">
        <v>19</v>
      </c>
      <c r="B1373" s="4" t="s">
        <v>47</v>
      </c>
      <c r="C1373" s="3" t="s">
        <v>347</v>
      </c>
      <c r="D1373" s="3" t="s">
        <v>14</v>
      </c>
      <c r="E1373" s="3">
        <v>103</v>
      </c>
      <c r="G1373" s="57"/>
    </row>
    <row r="1374" spans="1:7" ht="12.75" x14ac:dyDescent="0.2">
      <c r="A1374" s="3">
        <v>19</v>
      </c>
      <c r="B1374" s="4" t="s">
        <v>47</v>
      </c>
      <c r="C1374" s="3" t="s">
        <v>347</v>
      </c>
      <c r="D1374" s="3" t="s">
        <v>138</v>
      </c>
      <c r="E1374" s="3">
        <v>0</v>
      </c>
      <c r="F1374">
        <f>SUM(E1367:E1374)</f>
        <v>1338</v>
      </c>
      <c r="G1374" s="57"/>
    </row>
    <row r="1375" spans="1:7" ht="12.75" x14ac:dyDescent="0.2">
      <c r="A1375" s="3">
        <v>19</v>
      </c>
      <c r="B1375" s="4" t="s">
        <v>47</v>
      </c>
      <c r="C1375" s="3" t="s">
        <v>273</v>
      </c>
      <c r="D1375" s="3" t="s">
        <v>283</v>
      </c>
      <c r="E1375" s="3">
        <v>528</v>
      </c>
      <c r="G1375" s="57"/>
    </row>
    <row r="1376" spans="1:7" ht="12.75" x14ac:dyDescent="0.2">
      <c r="A1376" s="3">
        <v>19</v>
      </c>
      <c r="B1376" s="4" t="s">
        <v>47</v>
      </c>
      <c r="C1376" s="3" t="s">
        <v>273</v>
      </c>
      <c r="D1376" s="3" t="s">
        <v>315</v>
      </c>
      <c r="E1376" s="3">
        <v>2</v>
      </c>
      <c r="G1376" s="57"/>
    </row>
    <row r="1377" spans="1:7" ht="12.75" x14ac:dyDescent="0.2">
      <c r="A1377" s="3">
        <v>19</v>
      </c>
      <c r="B1377" s="4" t="s">
        <v>47</v>
      </c>
      <c r="C1377" s="3" t="s">
        <v>273</v>
      </c>
      <c r="D1377" s="3" t="s">
        <v>128</v>
      </c>
      <c r="E1377" s="3">
        <v>605</v>
      </c>
      <c r="G1377" s="57"/>
    </row>
    <row r="1378" spans="1:7" ht="12.75" x14ac:dyDescent="0.2">
      <c r="A1378" s="3">
        <v>19</v>
      </c>
      <c r="B1378" s="4" t="s">
        <v>47</v>
      </c>
      <c r="C1378" s="3" t="s">
        <v>273</v>
      </c>
      <c r="D1378" s="3" t="s">
        <v>149</v>
      </c>
      <c r="E1378" s="3">
        <v>23</v>
      </c>
      <c r="G1378" s="57"/>
    </row>
    <row r="1379" spans="1:7" ht="12.75" x14ac:dyDescent="0.2">
      <c r="A1379" s="3">
        <v>19</v>
      </c>
      <c r="B1379" s="4" t="s">
        <v>47</v>
      </c>
      <c r="C1379" s="3" t="s">
        <v>273</v>
      </c>
      <c r="D1379" s="3" t="s">
        <v>14</v>
      </c>
      <c r="E1379" s="3">
        <v>180</v>
      </c>
      <c r="G1379" s="57"/>
    </row>
    <row r="1380" spans="1:7" ht="12.75" x14ac:dyDescent="0.2">
      <c r="A1380" s="3">
        <v>19</v>
      </c>
      <c r="B1380" s="4" t="s">
        <v>47</v>
      </c>
      <c r="C1380" s="3" t="s">
        <v>273</v>
      </c>
      <c r="D1380" s="3" t="s">
        <v>138</v>
      </c>
      <c r="E1380" s="3">
        <v>0</v>
      </c>
      <c r="F1380">
        <f>SUM(E1375:E1380)</f>
        <v>1338</v>
      </c>
      <c r="G1380" s="57"/>
    </row>
    <row r="1381" spans="1:7" ht="12.75" x14ac:dyDescent="0.2">
      <c r="A1381" s="3">
        <v>19</v>
      </c>
      <c r="B1381" s="4" t="s">
        <v>47</v>
      </c>
      <c r="C1381" s="3" t="s">
        <v>125</v>
      </c>
      <c r="D1381" s="3" t="s">
        <v>283</v>
      </c>
      <c r="E1381" s="3">
        <v>532</v>
      </c>
      <c r="G1381" s="57"/>
    </row>
    <row r="1382" spans="1:7" ht="12.75" x14ac:dyDescent="0.2">
      <c r="A1382" s="3">
        <v>19</v>
      </c>
      <c r="B1382" s="4" t="s">
        <v>47</v>
      </c>
      <c r="C1382" s="3" t="s">
        <v>125</v>
      </c>
      <c r="D1382" s="3" t="s">
        <v>315</v>
      </c>
      <c r="E1382" s="3">
        <v>2</v>
      </c>
      <c r="G1382" s="57"/>
    </row>
    <row r="1383" spans="1:7" ht="12.75" x14ac:dyDescent="0.2">
      <c r="A1383" s="3">
        <v>19</v>
      </c>
      <c r="B1383" s="4" t="s">
        <v>47</v>
      </c>
      <c r="C1383" s="3" t="s">
        <v>125</v>
      </c>
      <c r="D1383" s="3" t="s">
        <v>128</v>
      </c>
      <c r="E1383" s="3">
        <v>603</v>
      </c>
      <c r="G1383" s="57"/>
    </row>
    <row r="1384" spans="1:7" ht="12.75" x14ac:dyDescent="0.2">
      <c r="A1384" s="3">
        <v>19</v>
      </c>
      <c r="B1384" s="4" t="s">
        <v>47</v>
      </c>
      <c r="C1384" s="3" t="s">
        <v>125</v>
      </c>
      <c r="D1384" s="3" t="s">
        <v>149</v>
      </c>
      <c r="E1384" s="3">
        <v>22</v>
      </c>
      <c r="G1384" s="57"/>
    </row>
    <row r="1385" spans="1:7" ht="12.75" x14ac:dyDescent="0.2">
      <c r="A1385" s="3">
        <v>19</v>
      </c>
      <c r="B1385" s="4" t="s">
        <v>47</v>
      </c>
      <c r="C1385" s="3" t="s">
        <v>125</v>
      </c>
      <c r="D1385" s="3" t="s">
        <v>14</v>
      </c>
      <c r="E1385" s="3">
        <v>179</v>
      </c>
      <c r="G1385" s="57"/>
    </row>
    <row r="1386" spans="1:7" ht="12.75" x14ac:dyDescent="0.2">
      <c r="A1386" s="3">
        <v>19</v>
      </c>
      <c r="B1386" s="4" t="s">
        <v>47</v>
      </c>
      <c r="C1386" s="3" t="s">
        <v>125</v>
      </c>
      <c r="D1386" s="3" t="s">
        <v>138</v>
      </c>
      <c r="E1386" s="3">
        <v>0</v>
      </c>
      <c r="F1386">
        <f>SUM(E1381:E1386)</f>
        <v>1338</v>
      </c>
      <c r="G1386" s="57"/>
    </row>
    <row r="1387" spans="1:7" ht="12.75" x14ac:dyDescent="0.2">
      <c r="A1387" s="2" t="s">
        <v>48</v>
      </c>
      <c r="B1387" s="4" t="s">
        <v>49</v>
      </c>
      <c r="C1387" s="3" t="s">
        <v>347</v>
      </c>
      <c r="D1387" s="3" t="s">
        <v>283</v>
      </c>
      <c r="E1387" s="3">
        <v>25</v>
      </c>
      <c r="G1387" s="59">
        <v>145</v>
      </c>
    </row>
    <row r="1388" spans="1:7" ht="12.75" x14ac:dyDescent="0.2">
      <c r="A1388" s="2" t="s">
        <v>48</v>
      </c>
      <c r="B1388" s="4" t="s">
        <v>49</v>
      </c>
      <c r="C1388" s="3" t="s">
        <v>347</v>
      </c>
      <c r="D1388" s="3" t="s">
        <v>315</v>
      </c>
      <c r="E1388" s="3">
        <v>0</v>
      </c>
      <c r="G1388" s="57"/>
    </row>
    <row r="1389" spans="1:7" ht="12.75" x14ac:dyDescent="0.2">
      <c r="A1389" s="2" t="s">
        <v>48</v>
      </c>
      <c r="B1389" s="4" t="s">
        <v>49</v>
      </c>
      <c r="C1389" s="3" t="s">
        <v>347</v>
      </c>
      <c r="D1389" s="3" t="s">
        <v>316</v>
      </c>
      <c r="E1389" s="3">
        <v>1</v>
      </c>
      <c r="G1389" s="57"/>
    </row>
    <row r="1390" spans="1:7" ht="12.75" x14ac:dyDescent="0.2">
      <c r="A1390" s="2" t="s">
        <v>48</v>
      </c>
      <c r="B1390" s="4" t="s">
        <v>49</v>
      </c>
      <c r="C1390" s="3" t="s">
        <v>347</v>
      </c>
      <c r="D1390" s="3" t="s">
        <v>128</v>
      </c>
      <c r="E1390" s="3">
        <v>62</v>
      </c>
      <c r="G1390" s="57"/>
    </row>
    <row r="1391" spans="1:7" ht="12.75" x14ac:dyDescent="0.2">
      <c r="A1391" s="2" t="s">
        <v>48</v>
      </c>
      <c r="B1391" s="4" t="s">
        <v>49</v>
      </c>
      <c r="C1391" s="3" t="s">
        <v>347</v>
      </c>
      <c r="D1391" s="3" t="s">
        <v>353</v>
      </c>
      <c r="E1391" s="3">
        <v>0</v>
      </c>
      <c r="G1391" s="57"/>
    </row>
    <row r="1392" spans="1:7" ht="12.75" x14ac:dyDescent="0.2">
      <c r="A1392" s="2" t="s">
        <v>48</v>
      </c>
      <c r="B1392" s="4" t="s">
        <v>49</v>
      </c>
      <c r="C1392" s="3" t="s">
        <v>347</v>
      </c>
      <c r="D1392" s="3" t="s">
        <v>149</v>
      </c>
      <c r="E1392" s="3">
        <v>26</v>
      </c>
      <c r="G1392" s="57"/>
    </row>
    <row r="1393" spans="1:7" ht="12.75" x14ac:dyDescent="0.2">
      <c r="A1393" s="2" t="s">
        <v>48</v>
      </c>
      <c r="B1393" s="4" t="s">
        <v>49</v>
      </c>
      <c r="C1393" s="3" t="s">
        <v>347</v>
      </c>
      <c r="D1393" s="3" t="s">
        <v>14</v>
      </c>
      <c r="E1393" s="3">
        <v>11</v>
      </c>
      <c r="G1393" s="57"/>
    </row>
    <row r="1394" spans="1:7" ht="12.75" x14ac:dyDescent="0.2">
      <c r="A1394" s="2" t="s">
        <v>48</v>
      </c>
      <c r="B1394" s="4" t="s">
        <v>49</v>
      </c>
      <c r="C1394" s="3" t="s">
        <v>347</v>
      </c>
      <c r="D1394" s="3" t="s">
        <v>138</v>
      </c>
      <c r="E1394" s="3">
        <v>0</v>
      </c>
      <c r="F1394">
        <f>SUM(E1387:E1394)</f>
        <v>125</v>
      </c>
      <c r="G1394" s="57"/>
    </row>
    <row r="1395" spans="1:7" ht="12.75" x14ac:dyDescent="0.2">
      <c r="A1395" s="2" t="s">
        <v>48</v>
      </c>
      <c r="B1395" s="4" t="s">
        <v>49</v>
      </c>
      <c r="C1395" s="3" t="s">
        <v>273</v>
      </c>
      <c r="D1395" s="3" t="s">
        <v>283</v>
      </c>
      <c r="E1395" s="3">
        <v>34</v>
      </c>
      <c r="G1395" s="57"/>
    </row>
    <row r="1396" spans="1:7" ht="12.75" x14ac:dyDescent="0.2">
      <c r="A1396" s="2" t="s">
        <v>48</v>
      </c>
      <c r="B1396" s="4" t="s">
        <v>49</v>
      </c>
      <c r="C1396" s="3" t="s">
        <v>273</v>
      </c>
      <c r="D1396" s="3" t="s">
        <v>315</v>
      </c>
      <c r="E1396" s="3">
        <v>0</v>
      </c>
      <c r="G1396" s="57"/>
    </row>
    <row r="1397" spans="1:7" ht="12.75" x14ac:dyDescent="0.2">
      <c r="A1397" s="2" t="s">
        <v>48</v>
      </c>
      <c r="B1397" s="4" t="s">
        <v>49</v>
      </c>
      <c r="C1397" s="3" t="s">
        <v>273</v>
      </c>
      <c r="D1397" s="3" t="s">
        <v>128</v>
      </c>
      <c r="E1397" s="3">
        <v>62</v>
      </c>
      <c r="G1397" s="57"/>
    </row>
    <row r="1398" spans="1:7" ht="12.75" x14ac:dyDescent="0.2">
      <c r="A1398" s="2" t="s">
        <v>48</v>
      </c>
      <c r="B1398" s="4" t="s">
        <v>49</v>
      </c>
      <c r="C1398" s="3" t="s">
        <v>273</v>
      </c>
      <c r="D1398" s="3" t="s">
        <v>149</v>
      </c>
      <c r="E1398" s="3">
        <v>2</v>
      </c>
      <c r="G1398" s="57"/>
    </row>
    <row r="1399" spans="1:7" ht="12.75" x14ac:dyDescent="0.2">
      <c r="A1399" s="2" t="s">
        <v>48</v>
      </c>
      <c r="B1399" s="4" t="s">
        <v>49</v>
      </c>
      <c r="C1399" s="3" t="s">
        <v>273</v>
      </c>
      <c r="D1399" s="3" t="s">
        <v>14</v>
      </c>
      <c r="E1399" s="3">
        <v>27</v>
      </c>
      <c r="G1399" s="57"/>
    </row>
    <row r="1400" spans="1:7" ht="12.75" x14ac:dyDescent="0.2">
      <c r="A1400" s="2" t="s">
        <v>48</v>
      </c>
      <c r="B1400" s="4" t="s">
        <v>49</v>
      </c>
      <c r="C1400" s="3" t="s">
        <v>273</v>
      </c>
      <c r="D1400" s="3" t="s">
        <v>138</v>
      </c>
      <c r="E1400" s="3">
        <v>0</v>
      </c>
      <c r="F1400">
        <f>SUM(E1395:E1400)</f>
        <v>125</v>
      </c>
      <c r="G1400" s="57"/>
    </row>
    <row r="1401" spans="1:7" ht="12.75" x14ac:dyDescent="0.2">
      <c r="A1401" s="2" t="s">
        <v>48</v>
      </c>
      <c r="B1401" s="4" t="s">
        <v>49</v>
      </c>
      <c r="C1401" s="3" t="s">
        <v>125</v>
      </c>
      <c r="D1401" s="3" t="s">
        <v>283</v>
      </c>
      <c r="E1401" s="3">
        <v>34</v>
      </c>
      <c r="G1401" s="57"/>
    </row>
    <row r="1402" spans="1:7" ht="12.75" x14ac:dyDescent="0.2">
      <c r="A1402" s="2" t="s">
        <v>48</v>
      </c>
      <c r="B1402" s="4" t="s">
        <v>49</v>
      </c>
      <c r="C1402" s="3" t="s">
        <v>125</v>
      </c>
      <c r="D1402" s="3" t="s">
        <v>315</v>
      </c>
      <c r="E1402" s="3">
        <v>0</v>
      </c>
      <c r="G1402" s="57"/>
    </row>
    <row r="1403" spans="1:7" ht="12.75" x14ac:dyDescent="0.2">
      <c r="A1403" s="2" t="s">
        <v>48</v>
      </c>
      <c r="B1403" s="4" t="s">
        <v>49</v>
      </c>
      <c r="C1403" s="3" t="s">
        <v>125</v>
      </c>
      <c r="D1403" s="3" t="s">
        <v>128</v>
      </c>
      <c r="E1403" s="3">
        <v>62</v>
      </c>
      <c r="G1403" s="57"/>
    </row>
    <row r="1404" spans="1:7" ht="12.75" x14ac:dyDescent="0.2">
      <c r="A1404" s="2" t="s">
        <v>48</v>
      </c>
      <c r="B1404" s="4" t="s">
        <v>49</v>
      </c>
      <c r="C1404" s="3" t="s">
        <v>125</v>
      </c>
      <c r="D1404" s="3" t="s">
        <v>149</v>
      </c>
      <c r="E1404" s="3">
        <v>2</v>
      </c>
      <c r="G1404" s="57"/>
    </row>
    <row r="1405" spans="1:7" ht="12.75" x14ac:dyDescent="0.2">
      <c r="A1405" s="2" t="s">
        <v>48</v>
      </c>
      <c r="B1405" s="4" t="s">
        <v>49</v>
      </c>
      <c r="C1405" s="3" t="s">
        <v>125</v>
      </c>
      <c r="D1405" s="3" t="s">
        <v>14</v>
      </c>
      <c r="E1405" s="3">
        <v>27</v>
      </c>
      <c r="G1405" s="57"/>
    </row>
    <row r="1406" spans="1:7" ht="12.75" x14ac:dyDescent="0.2">
      <c r="A1406" s="2" t="s">
        <v>48</v>
      </c>
      <c r="B1406" s="4" t="s">
        <v>49</v>
      </c>
      <c r="C1406" s="3" t="s">
        <v>125</v>
      </c>
      <c r="D1406" s="3" t="s">
        <v>138</v>
      </c>
      <c r="E1406" s="3">
        <v>0</v>
      </c>
      <c r="F1406">
        <f>SUM(E1401:E1406)</f>
        <v>125</v>
      </c>
      <c r="G1406" s="57"/>
    </row>
    <row r="1407" spans="1:7" ht="12.75" x14ac:dyDescent="0.2">
      <c r="A1407" s="3">
        <v>20</v>
      </c>
      <c r="B1407" s="4" t="s">
        <v>50</v>
      </c>
      <c r="C1407" s="3" t="s">
        <v>347</v>
      </c>
      <c r="D1407" s="3" t="s">
        <v>283</v>
      </c>
      <c r="E1407" s="3">
        <v>108</v>
      </c>
      <c r="G1407" s="59">
        <v>323</v>
      </c>
    </row>
    <row r="1408" spans="1:7" ht="12.75" x14ac:dyDescent="0.2">
      <c r="A1408" s="3">
        <v>20</v>
      </c>
      <c r="B1408" s="4" t="s">
        <v>50</v>
      </c>
      <c r="C1408" s="3" t="s">
        <v>347</v>
      </c>
      <c r="D1408" s="3" t="s">
        <v>315</v>
      </c>
      <c r="E1408" s="3">
        <v>5</v>
      </c>
      <c r="G1408" s="57"/>
    </row>
    <row r="1409" spans="1:7" ht="12.75" x14ac:dyDescent="0.2">
      <c r="A1409" s="3">
        <v>20</v>
      </c>
      <c r="B1409" s="4" t="s">
        <v>50</v>
      </c>
      <c r="C1409" s="3" t="s">
        <v>347</v>
      </c>
      <c r="D1409" s="3" t="s">
        <v>316</v>
      </c>
      <c r="E1409" s="3">
        <v>3</v>
      </c>
      <c r="G1409" s="57"/>
    </row>
    <row r="1410" spans="1:7" ht="12.75" x14ac:dyDescent="0.2">
      <c r="A1410" s="3">
        <v>20</v>
      </c>
      <c r="B1410" s="4" t="s">
        <v>50</v>
      </c>
      <c r="C1410" s="3" t="s">
        <v>347</v>
      </c>
      <c r="D1410" s="3" t="s">
        <v>128</v>
      </c>
      <c r="E1410" s="3">
        <v>98</v>
      </c>
      <c r="G1410" s="57"/>
    </row>
    <row r="1411" spans="1:7" ht="12.75" x14ac:dyDescent="0.2">
      <c r="A1411" s="3">
        <v>20</v>
      </c>
      <c r="B1411" s="4" t="s">
        <v>50</v>
      </c>
      <c r="C1411" s="3" t="s">
        <v>347</v>
      </c>
      <c r="D1411" s="3" t="s">
        <v>353</v>
      </c>
      <c r="E1411" s="3">
        <v>4</v>
      </c>
      <c r="G1411" s="57"/>
    </row>
    <row r="1412" spans="1:7" ht="12.75" x14ac:dyDescent="0.2">
      <c r="A1412" s="3">
        <v>20</v>
      </c>
      <c r="B1412" s="4" t="s">
        <v>50</v>
      </c>
      <c r="C1412" s="3" t="s">
        <v>347</v>
      </c>
      <c r="D1412" s="3" t="s">
        <v>149</v>
      </c>
      <c r="E1412" s="3">
        <v>36</v>
      </c>
      <c r="G1412" s="57"/>
    </row>
    <row r="1413" spans="1:7" ht="12.75" x14ac:dyDescent="0.2">
      <c r="A1413" s="3">
        <v>20</v>
      </c>
      <c r="B1413" s="4" t="s">
        <v>50</v>
      </c>
      <c r="C1413" s="3" t="s">
        <v>347</v>
      </c>
      <c r="D1413" s="3" t="s">
        <v>14</v>
      </c>
      <c r="E1413" s="3">
        <v>23</v>
      </c>
      <c r="G1413" s="57"/>
    </row>
    <row r="1414" spans="1:7" ht="12.75" x14ac:dyDescent="0.2">
      <c r="A1414" s="3">
        <v>20</v>
      </c>
      <c r="B1414" s="4" t="s">
        <v>50</v>
      </c>
      <c r="C1414" s="3" t="s">
        <v>347</v>
      </c>
      <c r="D1414" s="3" t="s">
        <v>138</v>
      </c>
      <c r="E1414" s="3">
        <v>0</v>
      </c>
      <c r="F1414">
        <f>SUM(E1407:E1414)</f>
        <v>277</v>
      </c>
      <c r="G1414" s="57"/>
    </row>
    <row r="1415" spans="1:7" ht="12.75" x14ac:dyDescent="0.2">
      <c r="A1415" s="3">
        <v>20</v>
      </c>
      <c r="B1415" s="4" t="s">
        <v>50</v>
      </c>
      <c r="C1415" s="3" t="s">
        <v>273</v>
      </c>
      <c r="D1415" s="3" t="s">
        <v>283</v>
      </c>
      <c r="E1415" s="3">
        <v>92</v>
      </c>
      <c r="G1415" s="57"/>
    </row>
    <row r="1416" spans="1:7" ht="12.75" x14ac:dyDescent="0.2">
      <c r="A1416" s="3">
        <v>20</v>
      </c>
      <c r="B1416" s="4" t="s">
        <v>50</v>
      </c>
      <c r="C1416" s="3" t="s">
        <v>273</v>
      </c>
      <c r="D1416" s="3" t="s">
        <v>315</v>
      </c>
      <c r="E1416" s="3">
        <v>4</v>
      </c>
      <c r="G1416" s="57"/>
    </row>
    <row r="1417" spans="1:7" ht="12.75" x14ac:dyDescent="0.2">
      <c r="A1417" s="3">
        <v>20</v>
      </c>
      <c r="B1417" s="4" t="s">
        <v>50</v>
      </c>
      <c r="C1417" s="3" t="s">
        <v>273</v>
      </c>
      <c r="D1417" s="3" t="s">
        <v>128</v>
      </c>
      <c r="E1417" s="3">
        <v>97</v>
      </c>
      <c r="G1417" s="57"/>
    </row>
    <row r="1418" spans="1:7" ht="12.75" x14ac:dyDescent="0.2">
      <c r="A1418" s="3">
        <v>20</v>
      </c>
      <c r="B1418" s="4" t="s">
        <v>50</v>
      </c>
      <c r="C1418" s="3" t="s">
        <v>273</v>
      </c>
      <c r="D1418" s="3" t="s">
        <v>149</v>
      </c>
      <c r="E1418" s="3">
        <v>12</v>
      </c>
      <c r="G1418" s="57"/>
    </row>
    <row r="1419" spans="1:7" ht="12.75" x14ac:dyDescent="0.2">
      <c r="A1419" s="3">
        <v>20</v>
      </c>
      <c r="B1419" s="4" t="s">
        <v>50</v>
      </c>
      <c r="C1419" s="3" t="s">
        <v>273</v>
      </c>
      <c r="D1419" s="3" t="s">
        <v>14</v>
      </c>
      <c r="E1419" s="3">
        <v>72</v>
      </c>
      <c r="G1419" s="57"/>
    </row>
    <row r="1420" spans="1:7" ht="12.75" x14ac:dyDescent="0.2">
      <c r="A1420" s="3">
        <v>20</v>
      </c>
      <c r="B1420" s="4" t="s">
        <v>50</v>
      </c>
      <c r="C1420" s="3" t="s">
        <v>273</v>
      </c>
      <c r="D1420" s="3" t="s">
        <v>138</v>
      </c>
      <c r="E1420" s="3">
        <v>0</v>
      </c>
      <c r="F1420">
        <f>SUM(E1415:E1420)</f>
        <v>277</v>
      </c>
      <c r="G1420" s="57"/>
    </row>
    <row r="1421" spans="1:7" ht="12.75" x14ac:dyDescent="0.2">
      <c r="A1421" s="3">
        <v>20</v>
      </c>
      <c r="B1421" s="4" t="s">
        <v>50</v>
      </c>
      <c r="C1421" s="3" t="s">
        <v>125</v>
      </c>
      <c r="D1421" s="3" t="s">
        <v>283</v>
      </c>
      <c r="E1421" s="3">
        <v>88</v>
      </c>
      <c r="G1421" s="57"/>
    </row>
    <row r="1422" spans="1:7" ht="12.75" x14ac:dyDescent="0.2">
      <c r="A1422" s="3">
        <v>20</v>
      </c>
      <c r="B1422" s="4" t="s">
        <v>50</v>
      </c>
      <c r="C1422" s="3" t="s">
        <v>125</v>
      </c>
      <c r="D1422" s="3" t="s">
        <v>315</v>
      </c>
      <c r="E1422" s="3">
        <v>4</v>
      </c>
      <c r="G1422" s="57"/>
    </row>
    <row r="1423" spans="1:7" ht="12.75" x14ac:dyDescent="0.2">
      <c r="A1423" s="3">
        <v>20</v>
      </c>
      <c r="B1423" s="4" t="s">
        <v>50</v>
      </c>
      <c r="C1423" s="3" t="s">
        <v>125</v>
      </c>
      <c r="D1423" s="3" t="s">
        <v>128</v>
      </c>
      <c r="E1423" s="3">
        <v>100</v>
      </c>
      <c r="G1423" s="57"/>
    </row>
    <row r="1424" spans="1:7" ht="12.75" x14ac:dyDescent="0.2">
      <c r="A1424" s="3">
        <v>20</v>
      </c>
      <c r="B1424" s="4" t="s">
        <v>50</v>
      </c>
      <c r="C1424" s="3" t="s">
        <v>125</v>
      </c>
      <c r="D1424" s="3" t="s">
        <v>149</v>
      </c>
      <c r="E1424" s="3">
        <v>12</v>
      </c>
      <c r="G1424" s="57"/>
    </row>
    <row r="1425" spans="1:7" ht="12.75" x14ac:dyDescent="0.2">
      <c r="A1425" s="3">
        <v>20</v>
      </c>
      <c r="B1425" s="4" t="s">
        <v>50</v>
      </c>
      <c r="C1425" s="3" t="s">
        <v>125</v>
      </c>
      <c r="D1425" s="3" t="s">
        <v>14</v>
      </c>
      <c r="E1425" s="3">
        <v>73</v>
      </c>
      <c r="G1425" s="57"/>
    </row>
    <row r="1426" spans="1:7" ht="12.75" x14ac:dyDescent="0.2">
      <c r="A1426" s="3">
        <v>20</v>
      </c>
      <c r="B1426" s="4" t="s">
        <v>50</v>
      </c>
      <c r="C1426" s="3" t="s">
        <v>125</v>
      </c>
      <c r="D1426" s="3" t="s">
        <v>138</v>
      </c>
      <c r="E1426" s="3">
        <v>0</v>
      </c>
      <c r="F1426">
        <f>SUM(E1421:E1426)</f>
        <v>277</v>
      </c>
      <c r="G1426" s="57"/>
    </row>
    <row r="1427" spans="1:7" ht="12.75" x14ac:dyDescent="0.2">
      <c r="A1427" s="3">
        <v>21</v>
      </c>
      <c r="B1427" s="4" t="s">
        <v>51</v>
      </c>
      <c r="C1427" s="3" t="s">
        <v>347</v>
      </c>
      <c r="D1427" s="3" t="s">
        <v>283</v>
      </c>
      <c r="E1427" s="3">
        <v>166</v>
      </c>
      <c r="G1427" s="59">
        <v>701</v>
      </c>
    </row>
    <row r="1428" spans="1:7" ht="12.75" x14ac:dyDescent="0.2">
      <c r="A1428" s="3">
        <v>21</v>
      </c>
      <c r="B1428" s="4" t="s">
        <v>51</v>
      </c>
      <c r="C1428" s="3" t="s">
        <v>347</v>
      </c>
      <c r="D1428" s="3" t="s">
        <v>315</v>
      </c>
      <c r="E1428" s="3">
        <v>7</v>
      </c>
      <c r="G1428" s="57"/>
    </row>
    <row r="1429" spans="1:7" ht="12.75" x14ac:dyDescent="0.2">
      <c r="A1429" s="3">
        <v>21</v>
      </c>
      <c r="B1429" s="4" t="s">
        <v>51</v>
      </c>
      <c r="C1429" s="3" t="s">
        <v>347</v>
      </c>
      <c r="D1429" s="3" t="s">
        <v>316</v>
      </c>
      <c r="E1429" s="3">
        <v>17</v>
      </c>
      <c r="G1429" s="57"/>
    </row>
    <row r="1430" spans="1:7" ht="12.75" x14ac:dyDescent="0.2">
      <c r="A1430" s="3">
        <v>21</v>
      </c>
      <c r="B1430" s="4" t="s">
        <v>51</v>
      </c>
      <c r="C1430" s="3" t="s">
        <v>347</v>
      </c>
      <c r="D1430" s="3" t="s">
        <v>128</v>
      </c>
      <c r="E1430" s="3">
        <v>222</v>
      </c>
      <c r="G1430" s="57"/>
    </row>
    <row r="1431" spans="1:7" ht="12.75" x14ac:dyDescent="0.2">
      <c r="A1431" s="3">
        <v>21</v>
      </c>
      <c r="B1431" s="4" t="s">
        <v>51</v>
      </c>
      <c r="C1431" s="3" t="s">
        <v>347</v>
      </c>
      <c r="D1431" s="3" t="s">
        <v>353</v>
      </c>
      <c r="E1431" s="3">
        <v>12</v>
      </c>
      <c r="G1431" s="57"/>
    </row>
    <row r="1432" spans="1:7" ht="12.75" x14ac:dyDescent="0.2">
      <c r="A1432" s="3">
        <v>21</v>
      </c>
      <c r="B1432" s="4" t="s">
        <v>51</v>
      </c>
      <c r="C1432" s="3" t="s">
        <v>347</v>
      </c>
      <c r="D1432" s="3" t="s">
        <v>149</v>
      </c>
      <c r="E1432" s="3">
        <v>96</v>
      </c>
      <c r="G1432" s="57"/>
    </row>
    <row r="1433" spans="1:7" ht="12.75" x14ac:dyDescent="0.2">
      <c r="A1433" s="3">
        <v>21</v>
      </c>
      <c r="B1433" s="4" t="s">
        <v>51</v>
      </c>
      <c r="C1433" s="3" t="s">
        <v>347</v>
      </c>
      <c r="D1433" s="3" t="s">
        <v>14</v>
      </c>
      <c r="E1433" s="3">
        <v>36</v>
      </c>
      <c r="G1433" s="57"/>
    </row>
    <row r="1434" spans="1:7" ht="12.75" x14ac:dyDescent="0.2">
      <c r="A1434" s="3">
        <v>21</v>
      </c>
      <c r="B1434" s="4" t="s">
        <v>51</v>
      </c>
      <c r="C1434" s="3" t="s">
        <v>347</v>
      </c>
      <c r="D1434" s="3" t="s">
        <v>138</v>
      </c>
      <c r="E1434" s="3">
        <v>0</v>
      </c>
      <c r="F1434">
        <f>SUM(E1427:E1434)</f>
        <v>556</v>
      </c>
      <c r="G1434" s="57"/>
    </row>
    <row r="1435" spans="1:7" ht="12.75" x14ac:dyDescent="0.2">
      <c r="A1435" s="3">
        <v>21</v>
      </c>
      <c r="B1435" s="4" t="s">
        <v>51</v>
      </c>
      <c r="C1435" s="3" t="s">
        <v>273</v>
      </c>
      <c r="D1435" s="3" t="s">
        <v>283</v>
      </c>
      <c r="E1435" s="3">
        <v>189</v>
      </c>
      <c r="G1435" s="57"/>
    </row>
    <row r="1436" spans="1:7" ht="12.75" x14ac:dyDescent="0.2">
      <c r="A1436" s="3">
        <v>21</v>
      </c>
      <c r="B1436" s="4" t="s">
        <v>51</v>
      </c>
      <c r="C1436" s="3" t="s">
        <v>273</v>
      </c>
      <c r="D1436" s="3" t="s">
        <v>315</v>
      </c>
      <c r="E1436" s="3">
        <v>5</v>
      </c>
      <c r="G1436" s="57"/>
    </row>
    <row r="1437" spans="1:7" ht="12.75" x14ac:dyDescent="0.2">
      <c r="A1437" s="3">
        <v>21</v>
      </c>
      <c r="B1437" s="4" t="s">
        <v>51</v>
      </c>
      <c r="C1437" s="3" t="s">
        <v>273</v>
      </c>
      <c r="D1437" s="3" t="s">
        <v>128</v>
      </c>
      <c r="E1437" s="3">
        <v>158</v>
      </c>
      <c r="G1437" s="57"/>
    </row>
    <row r="1438" spans="1:7" ht="12.75" x14ac:dyDescent="0.2">
      <c r="A1438" s="3">
        <v>21</v>
      </c>
      <c r="B1438" s="4" t="s">
        <v>51</v>
      </c>
      <c r="C1438" s="3" t="s">
        <v>273</v>
      </c>
      <c r="D1438" s="3" t="s">
        <v>149</v>
      </c>
      <c r="E1438" s="3">
        <v>65</v>
      </c>
      <c r="G1438" s="57"/>
    </row>
    <row r="1439" spans="1:7" ht="12.75" x14ac:dyDescent="0.2">
      <c r="A1439" s="3">
        <v>21</v>
      </c>
      <c r="B1439" s="4" t="s">
        <v>51</v>
      </c>
      <c r="C1439" s="3" t="s">
        <v>273</v>
      </c>
      <c r="D1439" s="3" t="s">
        <v>14</v>
      </c>
      <c r="E1439" s="3">
        <v>139</v>
      </c>
      <c r="G1439" s="57"/>
    </row>
    <row r="1440" spans="1:7" ht="12.75" x14ac:dyDescent="0.2">
      <c r="A1440" s="3">
        <v>21</v>
      </c>
      <c r="B1440" s="4" t="s">
        <v>51</v>
      </c>
      <c r="C1440" s="3" t="s">
        <v>273</v>
      </c>
      <c r="D1440" s="3" t="s">
        <v>138</v>
      </c>
      <c r="E1440" s="3">
        <v>0</v>
      </c>
      <c r="F1440">
        <f>SUM(E1435:E1440)</f>
        <v>556</v>
      </c>
      <c r="G1440" s="57"/>
    </row>
    <row r="1441" spans="1:7" ht="12.75" x14ac:dyDescent="0.2">
      <c r="A1441" s="3">
        <v>21</v>
      </c>
      <c r="B1441" s="4" t="s">
        <v>51</v>
      </c>
      <c r="C1441" s="3" t="s">
        <v>125</v>
      </c>
      <c r="D1441" s="3" t="s">
        <v>283</v>
      </c>
      <c r="E1441" s="3">
        <v>189</v>
      </c>
      <c r="G1441" s="57"/>
    </row>
    <row r="1442" spans="1:7" ht="12.75" x14ac:dyDescent="0.2">
      <c r="A1442" s="3">
        <v>21</v>
      </c>
      <c r="B1442" s="4" t="s">
        <v>51</v>
      </c>
      <c r="C1442" s="3" t="s">
        <v>125</v>
      </c>
      <c r="D1442" s="3" t="s">
        <v>315</v>
      </c>
      <c r="E1442" s="3">
        <v>5</v>
      </c>
      <c r="G1442" s="57"/>
    </row>
    <row r="1443" spans="1:7" ht="12.75" x14ac:dyDescent="0.2">
      <c r="A1443" s="3">
        <v>21</v>
      </c>
      <c r="B1443" s="4" t="s">
        <v>51</v>
      </c>
      <c r="C1443" s="3" t="s">
        <v>125</v>
      </c>
      <c r="D1443" s="3" t="s">
        <v>128</v>
      </c>
      <c r="E1443" s="3">
        <v>156</v>
      </c>
      <c r="G1443" s="57"/>
    </row>
    <row r="1444" spans="1:7" ht="12.75" x14ac:dyDescent="0.2">
      <c r="A1444" s="3">
        <v>21</v>
      </c>
      <c r="B1444" s="4" t="s">
        <v>51</v>
      </c>
      <c r="C1444" s="3" t="s">
        <v>125</v>
      </c>
      <c r="D1444" s="3" t="s">
        <v>149</v>
      </c>
      <c r="E1444" s="3">
        <v>62</v>
      </c>
      <c r="G1444" s="57"/>
    </row>
    <row r="1445" spans="1:7" ht="12.75" x14ac:dyDescent="0.2">
      <c r="A1445" s="3">
        <v>21</v>
      </c>
      <c r="B1445" s="4" t="s">
        <v>51</v>
      </c>
      <c r="C1445" s="3" t="s">
        <v>125</v>
      </c>
      <c r="D1445" s="3" t="s">
        <v>14</v>
      </c>
      <c r="E1445" s="3">
        <v>144</v>
      </c>
      <c r="G1445" s="57"/>
    </row>
    <row r="1446" spans="1:7" ht="12.75" x14ac:dyDescent="0.2">
      <c r="A1446" s="3">
        <v>21</v>
      </c>
      <c r="B1446" s="4" t="s">
        <v>51</v>
      </c>
      <c r="C1446" s="3" t="s">
        <v>125</v>
      </c>
      <c r="D1446" s="3" t="s">
        <v>138</v>
      </c>
      <c r="E1446" s="3">
        <v>0</v>
      </c>
      <c r="F1446">
        <f>SUM(E1441:E1446)</f>
        <v>556</v>
      </c>
      <c r="G1446" s="57"/>
    </row>
    <row r="1447" spans="1:7" ht="12.75" x14ac:dyDescent="0.2">
      <c r="A1447" s="3">
        <v>23</v>
      </c>
      <c r="B1447" s="4" t="s">
        <v>53</v>
      </c>
      <c r="C1447" s="3" t="s">
        <v>347</v>
      </c>
      <c r="D1447" s="3" t="s">
        <v>283</v>
      </c>
      <c r="E1447" s="3">
        <v>255</v>
      </c>
      <c r="G1447" s="59">
        <v>646</v>
      </c>
    </row>
    <row r="1448" spans="1:7" ht="12.75" x14ac:dyDescent="0.2">
      <c r="A1448" s="3">
        <v>23</v>
      </c>
      <c r="B1448" s="4" t="s">
        <v>53</v>
      </c>
      <c r="C1448" s="3" t="s">
        <v>347</v>
      </c>
      <c r="D1448" s="3" t="s">
        <v>315</v>
      </c>
      <c r="E1448" s="3">
        <v>33</v>
      </c>
      <c r="G1448" s="57"/>
    </row>
    <row r="1449" spans="1:7" ht="12.75" x14ac:dyDescent="0.2">
      <c r="A1449" s="3">
        <v>23</v>
      </c>
      <c r="B1449" s="4" t="s">
        <v>53</v>
      </c>
      <c r="C1449" s="3" t="s">
        <v>347</v>
      </c>
      <c r="D1449" s="3" t="s">
        <v>316</v>
      </c>
      <c r="E1449" s="3">
        <v>5</v>
      </c>
      <c r="G1449" s="57"/>
    </row>
    <row r="1450" spans="1:7" ht="12.75" x14ac:dyDescent="0.2">
      <c r="A1450" s="3">
        <v>23</v>
      </c>
      <c r="B1450" s="4" t="s">
        <v>53</v>
      </c>
      <c r="C1450" s="3" t="s">
        <v>347</v>
      </c>
      <c r="D1450" s="3" t="s">
        <v>128</v>
      </c>
      <c r="E1450" s="3">
        <v>161</v>
      </c>
      <c r="G1450" s="57"/>
    </row>
    <row r="1451" spans="1:7" ht="12.75" x14ac:dyDescent="0.2">
      <c r="A1451" s="3">
        <v>23</v>
      </c>
      <c r="B1451" s="4" t="s">
        <v>53</v>
      </c>
      <c r="C1451" s="3" t="s">
        <v>347</v>
      </c>
      <c r="D1451" s="3" t="s">
        <v>353</v>
      </c>
      <c r="E1451" s="3">
        <v>6</v>
      </c>
      <c r="G1451" s="57"/>
    </row>
    <row r="1452" spans="1:7" ht="12.75" x14ac:dyDescent="0.2">
      <c r="A1452" s="3">
        <v>23</v>
      </c>
      <c r="B1452" s="4" t="s">
        <v>53</v>
      </c>
      <c r="C1452" s="3" t="s">
        <v>347</v>
      </c>
      <c r="D1452" s="3" t="s">
        <v>149</v>
      </c>
      <c r="E1452" s="3">
        <v>78</v>
      </c>
      <c r="G1452" s="57"/>
    </row>
    <row r="1453" spans="1:7" ht="12.75" x14ac:dyDescent="0.2">
      <c r="A1453" s="3">
        <v>23</v>
      </c>
      <c r="B1453" s="4" t="s">
        <v>53</v>
      </c>
      <c r="C1453" s="3" t="s">
        <v>347</v>
      </c>
      <c r="D1453" s="3" t="s">
        <v>14</v>
      </c>
      <c r="E1453" s="3">
        <v>39</v>
      </c>
      <c r="G1453" s="57"/>
    </row>
    <row r="1454" spans="1:7" ht="12.75" x14ac:dyDescent="0.2">
      <c r="A1454" s="3">
        <v>23</v>
      </c>
      <c r="B1454" s="4" t="s">
        <v>53</v>
      </c>
      <c r="C1454" s="3" t="s">
        <v>347</v>
      </c>
      <c r="D1454" s="3" t="s">
        <v>138</v>
      </c>
      <c r="E1454" s="3">
        <v>0</v>
      </c>
      <c r="F1454">
        <f>SUM(E1447:E1454)</f>
        <v>577</v>
      </c>
      <c r="G1454" s="57"/>
    </row>
    <row r="1455" spans="1:7" ht="12.75" x14ac:dyDescent="0.2">
      <c r="A1455" s="3">
        <v>23</v>
      </c>
      <c r="B1455" s="4" t="s">
        <v>53</v>
      </c>
      <c r="C1455" s="3" t="s">
        <v>273</v>
      </c>
      <c r="D1455" s="3" t="s">
        <v>283</v>
      </c>
      <c r="E1455" s="3">
        <v>299</v>
      </c>
      <c r="G1455" s="57"/>
    </row>
    <row r="1456" spans="1:7" ht="12.75" x14ac:dyDescent="0.2">
      <c r="A1456" s="3">
        <v>23</v>
      </c>
      <c r="B1456" s="4" t="s">
        <v>53</v>
      </c>
      <c r="C1456" s="3" t="s">
        <v>273</v>
      </c>
      <c r="D1456" s="3" t="s">
        <v>315</v>
      </c>
      <c r="E1456" s="3">
        <v>32</v>
      </c>
      <c r="G1456" s="57"/>
    </row>
    <row r="1457" spans="1:7" ht="12.75" x14ac:dyDescent="0.2">
      <c r="A1457" s="3">
        <v>23</v>
      </c>
      <c r="B1457" s="4" t="s">
        <v>53</v>
      </c>
      <c r="C1457" s="3" t="s">
        <v>273</v>
      </c>
      <c r="D1457" s="3" t="s">
        <v>128</v>
      </c>
      <c r="E1457" s="3">
        <v>155</v>
      </c>
      <c r="G1457" s="57"/>
    </row>
    <row r="1458" spans="1:7" ht="12.75" x14ac:dyDescent="0.2">
      <c r="A1458" s="3">
        <v>23</v>
      </c>
      <c r="B1458" s="4" t="s">
        <v>53</v>
      </c>
      <c r="C1458" s="3" t="s">
        <v>273</v>
      </c>
      <c r="D1458" s="3" t="s">
        <v>149</v>
      </c>
      <c r="E1458" s="3">
        <v>19</v>
      </c>
      <c r="G1458" s="57"/>
    </row>
    <row r="1459" spans="1:7" ht="12.75" x14ac:dyDescent="0.2">
      <c r="A1459" s="3">
        <v>23</v>
      </c>
      <c r="B1459" s="4" t="s">
        <v>53</v>
      </c>
      <c r="C1459" s="3" t="s">
        <v>273</v>
      </c>
      <c r="D1459" s="3" t="s">
        <v>14</v>
      </c>
      <c r="E1459" s="3">
        <v>72</v>
      </c>
      <c r="G1459" s="57"/>
    </row>
    <row r="1460" spans="1:7" ht="12.75" x14ac:dyDescent="0.2">
      <c r="A1460" s="3">
        <v>23</v>
      </c>
      <c r="B1460" s="4" t="s">
        <v>53</v>
      </c>
      <c r="C1460" s="3" t="s">
        <v>273</v>
      </c>
      <c r="D1460" s="3" t="s">
        <v>138</v>
      </c>
      <c r="E1460" s="3">
        <v>0</v>
      </c>
      <c r="F1460">
        <f>SUM(E1455:E1460)</f>
        <v>577</v>
      </c>
      <c r="G1460" s="57"/>
    </row>
    <row r="1461" spans="1:7" ht="12.75" x14ac:dyDescent="0.2">
      <c r="A1461" s="3">
        <v>23</v>
      </c>
      <c r="B1461" s="4" t="s">
        <v>53</v>
      </c>
      <c r="C1461" s="3" t="s">
        <v>125</v>
      </c>
      <c r="D1461" s="3" t="s">
        <v>283</v>
      </c>
      <c r="E1461" s="3">
        <v>298</v>
      </c>
      <c r="G1461" s="57"/>
    </row>
    <row r="1462" spans="1:7" ht="12.75" x14ac:dyDescent="0.2">
      <c r="A1462" s="3">
        <v>23</v>
      </c>
      <c r="B1462" s="4" t="s">
        <v>53</v>
      </c>
      <c r="C1462" s="3" t="s">
        <v>125</v>
      </c>
      <c r="D1462" s="3" t="s">
        <v>315</v>
      </c>
      <c r="E1462" s="3">
        <v>29</v>
      </c>
      <c r="G1462" s="57"/>
    </row>
    <row r="1463" spans="1:7" ht="12.75" x14ac:dyDescent="0.2">
      <c r="A1463" s="3">
        <v>23</v>
      </c>
      <c r="B1463" s="4" t="s">
        <v>53</v>
      </c>
      <c r="C1463" s="3" t="s">
        <v>125</v>
      </c>
      <c r="D1463" s="3" t="s">
        <v>128</v>
      </c>
      <c r="E1463" s="3">
        <v>155</v>
      </c>
      <c r="G1463" s="57"/>
    </row>
    <row r="1464" spans="1:7" ht="12.75" x14ac:dyDescent="0.2">
      <c r="A1464" s="3">
        <v>23</v>
      </c>
      <c r="B1464" s="4" t="s">
        <v>53</v>
      </c>
      <c r="C1464" s="3" t="s">
        <v>125</v>
      </c>
      <c r="D1464" s="3" t="s">
        <v>149</v>
      </c>
      <c r="E1464" s="3">
        <v>19</v>
      </c>
      <c r="G1464" s="57"/>
    </row>
    <row r="1465" spans="1:7" ht="12.75" x14ac:dyDescent="0.2">
      <c r="A1465" s="3">
        <v>23</v>
      </c>
      <c r="B1465" s="4" t="s">
        <v>53</v>
      </c>
      <c r="C1465" s="3" t="s">
        <v>125</v>
      </c>
      <c r="D1465" s="3" t="s">
        <v>14</v>
      </c>
      <c r="E1465" s="3">
        <v>76</v>
      </c>
      <c r="G1465" s="57"/>
    </row>
    <row r="1466" spans="1:7" ht="12.75" x14ac:dyDescent="0.2">
      <c r="A1466" s="3">
        <v>23</v>
      </c>
      <c r="B1466" s="4" t="s">
        <v>53</v>
      </c>
      <c r="C1466" s="3" t="s">
        <v>125</v>
      </c>
      <c r="D1466" s="3" t="s">
        <v>138</v>
      </c>
      <c r="E1466" s="3">
        <v>0</v>
      </c>
      <c r="F1466">
        <f>SUM(E1461:E1466)</f>
        <v>577</v>
      </c>
      <c r="G1466" s="57"/>
    </row>
    <row r="1467" spans="1:7" ht="12.75" x14ac:dyDescent="0.2">
      <c r="A1467" s="3">
        <v>24</v>
      </c>
      <c r="B1467" s="4" t="s">
        <v>54</v>
      </c>
      <c r="C1467" s="3" t="s">
        <v>347</v>
      </c>
      <c r="D1467" s="3" t="s">
        <v>283</v>
      </c>
      <c r="E1467" s="3">
        <v>173</v>
      </c>
      <c r="G1467" s="59">
        <v>429</v>
      </c>
    </row>
    <row r="1468" spans="1:7" ht="12.75" x14ac:dyDescent="0.2">
      <c r="A1468" s="3">
        <v>24</v>
      </c>
      <c r="B1468" s="4" t="s">
        <v>54</v>
      </c>
      <c r="C1468" s="3" t="s">
        <v>347</v>
      </c>
      <c r="D1468" s="3" t="s">
        <v>315</v>
      </c>
      <c r="E1468" s="3">
        <v>2</v>
      </c>
      <c r="G1468" s="57"/>
    </row>
    <row r="1469" spans="1:7" ht="12.75" x14ac:dyDescent="0.2">
      <c r="A1469" s="3">
        <v>24</v>
      </c>
      <c r="B1469" s="4" t="s">
        <v>54</v>
      </c>
      <c r="C1469" s="3" t="s">
        <v>347</v>
      </c>
      <c r="D1469" s="3" t="s">
        <v>316</v>
      </c>
      <c r="E1469" s="3">
        <v>10</v>
      </c>
      <c r="G1469" s="57"/>
    </row>
    <row r="1470" spans="1:7" ht="12.75" x14ac:dyDescent="0.2">
      <c r="A1470" s="3">
        <v>24</v>
      </c>
      <c r="B1470" s="4" t="s">
        <v>54</v>
      </c>
      <c r="C1470" s="3" t="s">
        <v>347</v>
      </c>
      <c r="D1470" s="3" t="s">
        <v>128</v>
      </c>
      <c r="E1470" s="3">
        <v>39</v>
      </c>
      <c r="G1470" s="57"/>
    </row>
    <row r="1471" spans="1:7" ht="12.75" x14ac:dyDescent="0.2">
      <c r="A1471" s="3">
        <v>24</v>
      </c>
      <c r="B1471" s="4" t="s">
        <v>54</v>
      </c>
      <c r="C1471" s="3" t="s">
        <v>347</v>
      </c>
      <c r="D1471" s="3" t="s">
        <v>353</v>
      </c>
      <c r="E1471" s="3">
        <v>8</v>
      </c>
      <c r="G1471" s="57"/>
    </row>
    <row r="1472" spans="1:7" ht="12.75" x14ac:dyDescent="0.2">
      <c r="A1472" s="3">
        <v>24</v>
      </c>
      <c r="B1472" s="4" t="s">
        <v>54</v>
      </c>
      <c r="C1472" s="3" t="s">
        <v>347</v>
      </c>
      <c r="D1472" s="3" t="s">
        <v>149</v>
      </c>
      <c r="E1472" s="3">
        <v>95</v>
      </c>
      <c r="G1472" s="57"/>
    </row>
    <row r="1473" spans="1:7" ht="12.75" x14ac:dyDescent="0.2">
      <c r="A1473" s="3">
        <v>24</v>
      </c>
      <c r="B1473" s="4" t="s">
        <v>54</v>
      </c>
      <c r="C1473" s="3" t="s">
        <v>347</v>
      </c>
      <c r="D1473" s="3" t="s">
        <v>14</v>
      </c>
      <c r="E1473" s="3">
        <v>25</v>
      </c>
      <c r="G1473" s="57"/>
    </row>
    <row r="1474" spans="1:7" ht="12.75" x14ac:dyDescent="0.2">
      <c r="A1474" s="3">
        <v>24</v>
      </c>
      <c r="B1474" s="4" t="s">
        <v>54</v>
      </c>
      <c r="C1474" s="3" t="s">
        <v>347</v>
      </c>
      <c r="D1474" s="3" t="s">
        <v>138</v>
      </c>
      <c r="E1474" s="3">
        <v>1</v>
      </c>
      <c r="F1474">
        <f>SUM(E1467:E1474)</f>
        <v>353</v>
      </c>
      <c r="G1474" s="57"/>
    </row>
    <row r="1475" spans="1:7" ht="12.75" x14ac:dyDescent="0.2">
      <c r="A1475" s="3">
        <v>24</v>
      </c>
      <c r="B1475" s="4" t="s">
        <v>54</v>
      </c>
      <c r="C1475" s="3" t="s">
        <v>273</v>
      </c>
      <c r="D1475" s="3" t="s">
        <v>283</v>
      </c>
      <c r="E1475" s="3">
        <v>194</v>
      </c>
      <c r="G1475" s="57"/>
    </row>
    <row r="1476" spans="1:7" ht="12.75" x14ac:dyDescent="0.2">
      <c r="A1476" s="3">
        <v>24</v>
      </c>
      <c r="B1476" s="4" t="s">
        <v>54</v>
      </c>
      <c r="C1476" s="3" t="s">
        <v>273</v>
      </c>
      <c r="D1476" s="3" t="s">
        <v>315</v>
      </c>
      <c r="E1476" s="3">
        <v>2</v>
      </c>
      <c r="G1476" s="57"/>
    </row>
    <row r="1477" spans="1:7" ht="12.75" x14ac:dyDescent="0.2">
      <c r="A1477" s="3">
        <v>24</v>
      </c>
      <c r="B1477" s="4" t="s">
        <v>54</v>
      </c>
      <c r="C1477" s="3" t="s">
        <v>273</v>
      </c>
      <c r="D1477" s="3" t="s">
        <v>128</v>
      </c>
      <c r="E1477" s="3">
        <v>46</v>
      </c>
      <c r="G1477" s="57"/>
    </row>
    <row r="1478" spans="1:7" ht="12.75" x14ac:dyDescent="0.2">
      <c r="A1478" s="3">
        <v>24</v>
      </c>
      <c r="B1478" s="4" t="s">
        <v>54</v>
      </c>
      <c r="C1478" s="3" t="s">
        <v>273</v>
      </c>
      <c r="D1478" s="3" t="s">
        <v>149</v>
      </c>
      <c r="E1478" s="3">
        <v>45</v>
      </c>
      <c r="G1478" s="57"/>
    </row>
    <row r="1479" spans="1:7" ht="12.75" x14ac:dyDescent="0.2">
      <c r="A1479" s="3">
        <v>24</v>
      </c>
      <c r="B1479" s="4" t="s">
        <v>54</v>
      </c>
      <c r="C1479" s="3" t="s">
        <v>273</v>
      </c>
      <c r="D1479" s="3" t="s">
        <v>14</v>
      </c>
      <c r="E1479" s="3">
        <v>65</v>
      </c>
      <c r="G1479" s="57"/>
    </row>
    <row r="1480" spans="1:7" ht="12.75" x14ac:dyDescent="0.2">
      <c r="A1480" s="3">
        <v>24</v>
      </c>
      <c r="B1480" s="4" t="s">
        <v>54</v>
      </c>
      <c r="C1480" s="3" t="s">
        <v>273</v>
      </c>
      <c r="D1480" s="3" t="s">
        <v>138</v>
      </c>
      <c r="E1480" s="3">
        <v>1</v>
      </c>
      <c r="F1480">
        <f>SUM(E1475:E1480)</f>
        <v>353</v>
      </c>
      <c r="G1480" s="57"/>
    </row>
    <row r="1481" spans="1:7" ht="12.75" x14ac:dyDescent="0.2">
      <c r="A1481" s="3">
        <v>24</v>
      </c>
      <c r="B1481" s="4" t="s">
        <v>54</v>
      </c>
      <c r="C1481" s="3" t="s">
        <v>125</v>
      </c>
      <c r="D1481" s="3" t="s">
        <v>283</v>
      </c>
      <c r="E1481" s="3">
        <v>194</v>
      </c>
      <c r="G1481" s="57"/>
    </row>
    <row r="1482" spans="1:7" ht="12.75" x14ac:dyDescent="0.2">
      <c r="A1482" s="3">
        <v>24</v>
      </c>
      <c r="B1482" s="4" t="s">
        <v>54</v>
      </c>
      <c r="C1482" s="3" t="s">
        <v>125</v>
      </c>
      <c r="D1482" s="3" t="s">
        <v>315</v>
      </c>
      <c r="E1482" s="3">
        <v>2</v>
      </c>
      <c r="G1482" s="57"/>
    </row>
    <row r="1483" spans="1:7" ht="12.75" x14ac:dyDescent="0.2">
      <c r="A1483" s="3">
        <v>24</v>
      </c>
      <c r="B1483" s="4" t="s">
        <v>54</v>
      </c>
      <c r="C1483" s="3" t="s">
        <v>125</v>
      </c>
      <c r="D1483" s="3" t="s">
        <v>128</v>
      </c>
      <c r="E1483" s="3">
        <v>46</v>
      </c>
      <c r="G1483" s="57"/>
    </row>
    <row r="1484" spans="1:7" ht="12.75" x14ac:dyDescent="0.2">
      <c r="A1484" s="3">
        <v>24</v>
      </c>
      <c r="B1484" s="4" t="s">
        <v>54</v>
      </c>
      <c r="C1484" s="3" t="s">
        <v>125</v>
      </c>
      <c r="D1484" s="3" t="s">
        <v>149</v>
      </c>
      <c r="E1484" s="3">
        <v>45</v>
      </c>
      <c r="G1484" s="57"/>
    </row>
    <row r="1485" spans="1:7" ht="12.75" x14ac:dyDescent="0.2">
      <c r="A1485" s="3">
        <v>24</v>
      </c>
      <c r="B1485" s="4" t="s">
        <v>54</v>
      </c>
      <c r="C1485" s="3" t="s">
        <v>125</v>
      </c>
      <c r="D1485" s="3" t="s">
        <v>14</v>
      </c>
      <c r="E1485" s="3">
        <v>65</v>
      </c>
      <c r="G1485" s="57"/>
    </row>
    <row r="1486" spans="1:7" ht="12.75" x14ac:dyDescent="0.2">
      <c r="A1486" s="3">
        <v>24</v>
      </c>
      <c r="B1486" s="4" t="s">
        <v>54</v>
      </c>
      <c r="C1486" s="3" t="s">
        <v>125</v>
      </c>
      <c r="D1486" s="3" t="s">
        <v>138</v>
      </c>
      <c r="E1486" s="3">
        <v>1</v>
      </c>
      <c r="F1486">
        <f>SUM(E1481:E1486)</f>
        <v>353</v>
      </c>
      <c r="G1486" s="57"/>
    </row>
    <row r="1487" spans="1:7" ht="12.75" x14ac:dyDescent="0.2">
      <c r="A1487" s="3">
        <v>25</v>
      </c>
      <c r="B1487" s="4" t="s">
        <v>55</v>
      </c>
      <c r="C1487" s="3" t="s">
        <v>347</v>
      </c>
      <c r="D1487" s="3" t="s">
        <v>283</v>
      </c>
      <c r="E1487" s="3">
        <v>394</v>
      </c>
      <c r="G1487" s="59">
        <v>773</v>
      </c>
    </row>
    <row r="1488" spans="1:7" ht="12.75" x14ac:dyDescent="0.2">
      <c r="A1488" s="3">
        <v>25</v>
      </c>
      <c r="B1488" s="4" t="s">
        <v>55</v>
      </c>
      <c r="C1488" s="3" t="s">
        <v>347</v>
      </c>
      <c r="D1488" s="3" t="s">
        <v>315</v>
      </c>
      <c r="E1488" s="3">
        <v>1</v>
      </c>
      <c r="G1488" s="57"/>
    </row>
    <row r="1489" spans="1:7" ht="12.75" x14ac:dyDescent="0.2">
      <c r="A1489" s="3">
        <v>25</v>
      </c>
      <c r="B1489" s="4" t="s">
        <v>55</v>
      </c>
      <c r="C1489" s="3" t="s">
        <v>347</v>
      </c>
      <c r="D1489" s="3" t="s">
        <v>316</v>
      </c>
      <c r="E1489" s="3">
        <v>4</v>
      </c>
      <c r="G1489" s="57"/>
    </row>
    <row r="1490" spans="1:7" ht="12.75" x14ac:dyDescent="0.2">
      <c r="A1490" s="3">
        <v>25</v>
      </c>
      <c r="B1490" s="4" t="s">
        <v>55</v>
      </c>
      <c r="C1490" s="3" t="s">
        <v>347</v>
      </c>
      <c r="D1490" s="3" t="s">
        <v>128</v>
      </c>
      <c r="E1490" s="3">
        <v>117</v>
      </c>
      <c r="G1490" s="57"/>
    </row>
    <row r="1491" spans="1:7" ht="12.75" x14ac:dyDescent="0.2">
      <c r="A1491" s="3">
        <v>25</v>
      </c>
      <c r="B1491" s="4" t="s">
        <v>55</v>
      </c>
      <c r="C1491" s="3" t="s">
        <v>347</v>
      </c>
      <c r="D1491" s="3" t="s">
        <v>353</v>
      </c>
      <c r="E1491" s="3">
        <v>5</v>
      </c>
      <c r="G1491" s="57"/>
    </row>
    <row r="1492" spans="1:7" ht="12.75" x14ac:dyDescent="0.2">
      <c r="A1492" s="3">
        <v>25</v>
      </c>
      <c r="B1492" s="4" t="s">
        <v>55</v>
      </c>
      <c r="C1492" s="3" t="s">
        <v>347</v>
      </c>
      <c r="D1492" s="3" t="s">
        <v>149</v>
      </c>
      <c r="E1492" s="3">
        <v>63</v>
      </c>
      <c r="G1492" s="57"/>
    </row>
    <row r="1493" spans="1:7" ht="12.75" x14ac:dyDescent="0.2">
      <c r="A1493" s="3">
        <v>25</v>
      </c>
      <c r="B1493" s="4" t="s">
        <v>55</v>
      </c>
      <c r="C1493" s="3" t="s">
        <v>347</v>
      </c>
      <c r="D1493" s="3" t="s">
        <v>14</v>
      </c>
      <c r="E1493" s="3">
        <v>79</v>
      </c>
      <c r="G1493" s="57"/>
    </row>
    <row r="1494" spans="1:7" ht="12.75" x14ac:dyDescent="0.2">
      <c r="A1494" s="3">
        <v>25</v>
      </c>
      <c r="B1494" s="4" t="s">
        <v>55</v>
      </c>
      <c r="C1494" s="3" t="s">
        <v>347</v>
      </c>
      <c r="D1494" s="3" t="s">
        <v>138</v>
      </c>
      <c r="E1494" s="3">
        <v>0</v>
      </c>
      <c r="F1494">
        <f>SUM(E1487:E1494)</f>
        <v>663</v>
      </c>
      <c r="G1494" s="57"/>
    </row>
    <row r="1495" spans="1:7" ht="12.75" x14ac:dyDescent="0.2">
      <c r="A1495" s="3">
        <v>25</v>
      </c>
      <c r="B1495" s="4" t="s">
        <v>55</v>
      </c>
      <c r="C1495" s="3" t="s">
        <v>273</v>
      </c>
      <c r="D1495" s="3" t="s">
        <v>283</v>
      </c>
      <c r="E1495" s="3">
        <v>393</v>
      </c>
      <c r="G1495" s="57"/>
    </row>
    <row r="1496" spans="1:7" ht="12.75" x14ac:dyDescent="0.2">
      <c r="A1496" s="3">
        <v>25</v>
      </c>
      <c r="B1496" s="4" t="s">
        <v>55</v>
      </c>
      <c r="C1496" s="3" t="s">
        <v>273</v>
      </c>
      <c r="D1496" s="3" t="s">
        <v>315</v>
      </c>
      <c r="E1496" s="3">
        <v>4</v>
      </c>
      <c r="G1496" s="57"/>
    </row>
    <row r="1497" spans="1:7" ht="12.75" x14ac:dyDescent="0.2">
      <c r="A1497" s="3">
        <v>25</v>
      </c>
      <c r="B1497" s="4" t="s">
        <v>55</v>
      </c>
      <c r="C1497" s="3" t="s">
        <v>273</v>
      </c>
      <c r="D1497" s="3" t="s">
        <v>128</v>
      </c>
      <c r="E1497" s="3">
        <v>74</v>
      </c>
      <c r="G1497" s="57"/>
    </row>
    <row r="1498" spans="1:7" ht="12.75" x14ac:dyDescent="0.2">
      <c r="A1498" s="3">
        <v>25</v>
      </c>
      <c r="B1498" s="4" t="s">
        <v>55</v>
      </c>
      <c r="C1498" s="3" t="s">
        <v>273</v>
      </c>
      <c r="D1498" s="3" t="s">
        <v>149</v>
      </c>
      <c r="E1498" s="3">
        <v>19</v>
      </c>
      <c r="G1498" s="57"/>
    </row>
    <row r="1499" spans="1:7" ht="12.75" x14ac:dyDescent="0.2">
      <c r="A1499" s="3">
        <v>25</v>
      </c>
      <c r="B1499" s="4" t="s">
        <v>55</v>
      </c>
      <c r="C1499" s="3" t="s">
        <v>273</v>
      </c>
      <c r="D1499" s="3" t="s">
        <v>14</v>
      </c>
      <c r="E1499" s="3">
        <v>173</v>
      </c>
      <c r="G1499" s="57"/>
    </row>
    <row r="1500" spans="1:7" ht="12.75" x14ac:dyDescent="0.2">
      <c r="A1500" s="3">
        <v>25</v>
      </c>
      <c r="B1500" s="4" t="s">
        <v>55</v>
      </c>
      <c r="C1500" s="3" t="s">
        <v>273</v>
      </c>
      <c r="D1500" s="3" t="s">
        <v>138</v>
      </c>
      <c r="E1500" s="3">
        <v>0</v>
      </c>
      <c r="F1500">
        <f>SUM(E1495:E1500)</f>
        <v>663</v>
      </c>
      <c r="G1500" s="57"/>
    </row>
    <row r="1501" spans="1:7" ht="12.75" x14ac:dyDescent="0.2">
      <c r="A1501" s="3">
        <v>25</v>
      </c>
      <c r="B1501" s="4" t="s">
        <v>55</v>
      </c>
      <c r="C1501" s="3" t="s">
        <v>125</v>
      </c>
      <c r="D1501" s="3" t="s">
        <v>283</v>
      </c>
      <c r="E1501" s="3">
        <v>393</v>
      </c>
      <c r="G1501" s="57"/>
    </row>
    <row r="1502" spans="1:7" ht="12.75" x14ac:dyDescent="0.2">
      <c r="A1502" s="3">
        <v>25</v>
      </c>
      <c r="B1502" s="4" t="s">
        <v>55</v>
      </c>
      <c r="C1502" s="3" t="s">
        <v>125</v>
      </c>
      <c r="D1502" s="3" t="s">
        <v>315</v>
      </c>
      <c r="E1502" s="3">
        <v>3</v>
      </c>
      <c r="G1502" s="57"/>
    </row>
    <row r="1503" spans="1:7" ht="12.75" x14ac:dyDescent="0.2">
      <c r="A1503" s="3">
        <v>25</v>
      </c>
      <c r="B1503" s="4" t="s">
        <v>55</v>
      </c>
      <c r="C1503" s="3" t="s">
        <v>125</v>
      </c>
      <c r="D1503" s="3" t="s">
        <v>128</v>
      </c>
      <c r="E1503" s="3">
        <v>73</v>
      </c>
      <c r="G1503" s="57"/>
    </row>
    <row r="1504" spans="1:7" ht="12.75" x14ac:dyDescent="0.2">
      <c r="A1504" s="3">
        <v>25</v>
      </c>
      <c r="B1504" s="4" t="s">
        <v>55</v>
      </c>
      <c r="C1504" s="3" t="s">
        <v>125</v>
      </c>
      <c r="D1504" s="3" t="s">
        <v>149</v>
      </c>
      <c r="E1504" s="3">
        <v>18</v>
      </c>
      <c r="G1504" s="57"/>
    </row>
    <row r="1505" spans="1:7" ht="12.75" x14ac:dyDescent="0.2">
      <c r="A1505" s="3">
        <v>25</v>
      </c>
      <c r="B1505" s="4" t="s">
        <v>55</v>
      </c>
      <c r="C1505" s="3" t="s">
        <v>125</v>
      </c>
      <c r="D1505" s="3" t="s">
        <v>14</v>
      </c>
      <c r="E1505" s="3">
        <v>176</v>
      </c>
      <c r="G1505" s="57"/>
    </row>
    <row r="1506" spans="1:7" ht="12.75" x14ac:dyDescent="0.2">
      <c r="A1506" s="3">
        <v>25</v>
      </c>
      <c r="B1506" s="4" t="s">
        <v>55</v>
      </c>
      <c r="C1506" s="3" t="s">
        <v>125</v>
      </c>
      <c r="D1506" s="3" t="s">
        <v>138</v>
      </c>
      <c r="E1506" s="3">
        <v>0</v>
      </c>
      <c r="F1506">
        <f>SUM(E1501:E1506)</f>
        <v>663</v>
      </c>
      <c r="G1506" s="57"/>
    </row>
    <row r="1507" spans="1:7" ht="12.75" x14ac:dyDescent="0.2">
      <c r="A1507" s="3">
        <v>26</v>
      </c>
      <c r="B1507" s="4" t="s">
        <v>56</v>
      </c>
      <c r="C1507" s="3" t="s">
        <v>347</v>
      </c>
      <c r="D1507" s="3" t="s">
        <v>283</v>
      </c>
      <c r="E1507" s="3">
        <v>268</v>
      </c>
      <c r="G1507" s="59">
        <v>510</v>
      </c>
    </row>
    <row r="1508" spans="1:7" ht="12.75" x14ac:dyDescent="0.2">
      <c r="A1508" s="3">
        <v>26</v>
      </c>
      <c r="B1508" s="4" t="s">
        <v>56</v>
      </c>
      <c r="C1508" s="3" t="s">
        <v>347</v>
      </c>
      <c r="D1508" s="3" t="s">
        <v>315</v>
      </c>
      <c r="E1508" s="3">
        <v>3</v>
      </c>
      <c r="G1508" s="57"/>
    </row>
    <row r="1509" spans="1:7" ht="12.75" x14ac:dyDescent="0.2">
      <c r="A1509" s="3">
        <v>26</v>
      </c>
      <c r="B1509" s="4" t="s">
        <v>56</v>
      </c>
      <c r="C1509" s="3" t="s">
        <v>347</v>
      </c>
      <c r="D1509" s="3" t="s">
        <v>316</v>
      </c>
      <c r="E1509" s="3">
        <v>7</v>
      </c>
      <c r="G1509" s="57"/>
    </row>
    <row r="1510" spans="1:7" ht="12.75" x14ac:dyDescent="0.2">
      <c r="A1510" s="3">
        <v>26</v>
      </c>
      <c r="B1510" s="4" t="s">
        <v>56</v>
      </c>
      <c r="C1510" s="3" t="s">
        <v>347</v>
      </c>
      <c r="D1510" s="3" t="s">
        <v>128</v>
      </c>
      <c r="E1510" s="3">
        <v>117</v>
      </c>
      <c r="G1510" s="57"/>
    </row>
    <row r="1511" spans="1:7" ht="12.75" x14ac:dyDescent="0.2">
      <c r="A1511" s="3">
        <v>26</v>
      </c>
      <c r="B1511" s="4" t="s">
        <v>56</v>
      </c>
      <c r="C1511" s="3" t="s">
        <v>347</v>
      </c>
      <c r="D1511" s="3" t="s">
        <v>353</v>
      </c>
      <c r="E1511" s="3">
        <v>2</v>
      </c>
      <c r="G1511" s="57"/>
    </row>
    <row r="1512" spans="1:7" ht="12.75" x14ac:dyDescent="0.2">
      <c r="A1512" s="3">
        <v>26</v>
      </c>
      <c r="B1512" s="4" t="s">
        <v>56</v>
      </c>
      <c r="C1512" s="3" t="s">
        <v>347</v>
      </c>
      <c r="D1512" s="3" t="s">
        <v>149</v>
      </c>
      <c r="E1512" s="3">
        <v>25</v>
      </c>
      <c r="G1512" s="57"/>
    </row>
    <row r="1513" spans="1:7" ht="12.75" x14ac:dyDescent="0.2">
      <c r="A1513" s="3">
        <v>26</v>
      </c>
      <c r="B1513" s="4" t="s">
        <v>56</v>
      </c>
      <c r="C1513" s="3" t="s">
        <v>347</v>
      </c>
      <c r="D1513" s="3" t="s">
        <v>14</v>
      </c>
      <c r="E1513" s="3">
        <v>17</v>
      </c>
      <c r="G1513" s="57"/>
    </row>
    <row r="1514" spans="1:7" ht="12.75" x14ac:dyDescent="0.2">
      <c r="A1514" s="3">
        <v>26</v>
      </c>
      <c r="B1514" s="4" t="s">
        <v>56</v>
      </c>
      <c r="C1514" s="3" t="s">
        <v>347</v>
      </c>
      <c r="D1514" s="3" t="s">
        <v>138</v>
      </c>
      <c r="E1514" s="3">
        <v>0</v>
      </c>
      <c r="F1514">
        <f>SUM(E1507:E1514)</f>
        <v>439</v>
      </c>
      <c r="G1514" s="57"/>
    </row>
    <row r="1515" spans="1:7" ht="12.75" x14ac:dyDescent="0.2">
      <c r="A1515" s="3">
        <v>26</v>
      </c>
      <c r="B1515" s="4" t="s">
        <v>56</v>
      </c>
      <c r="C1515" s="3" t="s">
        <v>273</v>
      </c>
      <c r="D1515" s="3" t="s">
        <v>283</v>
      </c>
      <c r="E1515" s="3">
        <v>272</v>
      </c>
      <c r="G1515" s="57"/>
    </row>
    <row r="1516" spans="1:7" ht="12.75" x14ac:dyDescent="0.2">
      <c r="A1516" s="3">
        <v>26</v>
      </c>
      <c r="B1516" s="4" t="s">
        <v>56</v>
      </c>
      <c r="C1516" s="3" t="s">
        <v>273</v>
      </c>
      <c r="D1516" s="3" t="s">
        <v>315</v>
      </c>
      <c r="E1516" s="3">
        <v>3</v>
      </c>
      <c r="G1516" s="57"/>
    </row>
    <row r="1517" spans="1:7" ht="12.75" x14ac:dyDescent="0.2">
      <c r="A1517" s="3">
        <v>26</v>
      </c>
      <c r="B1517" s="4" t="s">
        <v>56</v>
      </c>
      <c r="C1517" s="3" t="s">
        <v>273</v>
      </c>
      <c r="D1517" s="3" t="s">
        <v>128</v>
      </c>
      <c r="E1517" s="3">
        <v>107</v>
      </c>
      <c r="G1517" s="57"/>
    </row>
    <row r="1518" spans="1:7" ht="12.75" x14ac:dyDescent="0.2">
      <c r="A1518" s="3">
        <v>26</v>
      </c>
      <c r="B1518" s="4" t="s">
        <v>56</v>
      </c>
      <c r="C1518" s="3" t="s">
        <v>273</v>
      </c>
      <c r="D1518" s="3" t="s">
        <v>149</v>
      </c>
      <c r="E1518" s="3">
        <v>13</v>
      </c>
      <c r="G1518" s="57"/>
    </row>
    <row r="1519" spans="1:7" ht="12.75" x14ac:dyDescent="0.2">
      <c r="A1519" s="3">
        <v>26</v>
      </c>
      <c r="B1519" s="4" t="s">
        <v>56</v>
      </c>
      <c r="C1519" s="3" t="s">
        <v>273</v>
      </c>
      <c r="D1519" s="3" t="s">
        <v>14</v>
      </c>
      <c r="E1519" s="3">
        <v>44</v>
      </c>
      <c r="G1519" s="57"/>
    </row>
    <row r="1520" spans="1:7" ht="12.75" x14ac:dyDescent="0.2">
      <c r="A1520" s="3">
        <v>26</v>
      </c>
      <c r="B1520" s="4" t="s">
        <v>56</v>
      </c>
      <c r="C1520" s="3" t="s">
        <v>273</v>
      </c>
      <c r="D1520" s="3" t="s">
        <v>138</v>
      </c>
      <c r="E1520" s="3">
        <v>0</v>
      </c>
      <c r="F1520">
        <f>SUM(E1515:E1520)</f>
        <v>439</v>
      </c>
      <c r="G1520" s="57"/>
    </row>
    <row r="1521" spans="1:7" ht="12.75" x14ac:dyDescent="0.2">
      <c r="A1521" s="3">
        <v>26</v>
      </c>
      <c r="B1521" s="4" t="s">
        <v>56</v>
      </c>
      <c r="C1521" s="3" t="s">
        <v>125</v>
      </c>
      <c r="D1521" s="3" t="s">
        <v>283</v>
      </c>
      <c r="E1521" s="3">
        <v>268</v>
      </c>
      <c r="G1521" s="57"/>
    </row>
    <row r="1522" spans="1:7" ht="12.75" x14ac:dyDescent="0.2">
      <c r="A1522" s="3">
        <v>26</v>
      </c>
      <c r="B1522" s="4" t="s">
        <v>56</v>
      </c>
      <c r="C1522" s="3" t="s">
        <v>125</v>
      </c>
      <c r="D1522" s="3" t="s">
        <v>315</v>
      </c>
      <c r="E1522" s="3">
        <v>3</v>
      </c>
      <c r="G1522" s="57"/>
    </row>
    <row r="1523" spans="1:7" ht="12.75" x14ac:dyDescent="0.2">
      <c r="A1523" s="3">
        <v>26</v>
      </c>
      <c r="B1523" s="4" t="s">
        <v>56</v>
      </c>
      <c r="C1523" s="3" t="s">
        <v>125</v>
      </c>
      <c r="D1523" s="3" t="s">
        <v>128</v>
      </c>
      <c r="E1523" s="3">
        <v>108</v>
      </c>
      <c r="G1523" s="57"/>
    </row>
    <row r="1524" spans="1:7" ht="12.75" x14ac:dyDescent="0.2">
      <c r="A1524" s="3">
        <v>26</v>
      </c>
      <c r="B1524" s="4" t="s">
        <v>56</v>
      </c>
      <c r="C1524" s="3" t="s">
        <v>125</v>
      </c>
      <c r="D1524" s="3" t="s">
        <v>149</v>
      </c>
      <c r="E1524" s="3">
        <v>13</v>
      </c>
      <c r="G1524" s="57"/>
    </row>
    <row r="1525" spans="1:7" ht="12.75" x14ac:dyDescent="0.2">
      <c r="A1525" s="3">
        <v>26</v>
      </c>
      <c r="B1525" s="4" t="s">
        <v>56</v>
      </c>
      <c r="C1525" s="3" t="s">
        <v>125</v>
      </c>
      <c r="D1525" s="3" t="s">
        <v>14</v>
      </c>
      <c r="E1525" s="3">
        <v>47</v>
      </c>
      <c r="G1525" s="57"/>
    </row>
    <row r="1526" spans="1:7" ht="12.75" x14ac:dyDescent="0.2">
      <c r="A1526" s="3">
        <v>26</v>
      </c>
      <c r="B1526" s="4" t="s">
        <v>56</v>
      </c>
      <c r="C1526" s="3" t="s">
        <v>125</v>
      </c>
      <c r="D1526" s="3" t="s">
        <v>138</v>
      </c>
      <c r="E1526" s="3">
        <v>0</v>
      </c>
      <c r="F1526">
        <f>SUM(E1521:E1526)</f>
        <v>439</v>
      </c>
      <c r="G1526" s="57"/>
    </row>
    <row r="1527" spans="1:7" ht="12.75" x14ac:dyDescent="0.2">
      <c r="A1527" s="3">
        <v>28</v>
      </c>
      <c r="B1527" s="4" t="s">
        <v>58</v>
      </c>
      <c r="C1527" s="3" t="s">
        <v>347</v>
      </c>
      <c r="D1527" s="3" t="s">
        <v>283</v>
      </c>
      <c r="E1527" s="3">
        <v>66</v>
      </c>
      <c r="G1527" s="59">
        <v>351</v>
      </c>
    </row>
    <row r="1528" spans="1:7" ht="12.75" x14ac:dyDescent="0.2">
      <c r="A1528" s="3">
        <v>28</v>
      </c>
      <c r="B1528" s="4" t="s">
        <v>58</v>
      </c>
      <c r="C1528" s="3" t="s">
        <v>347</v>
      </c>
      <c r="D1528" s="3" t="s">
        <v>315</v>
      </c>
      <c r="E1528" s="3">
        <v>4</v>
      </c>
      <c r="G1528" s="57"/>
    </row>
    <row r="1529" spans="1:7" ht="12.75" x14ac:dyDescent="0.2">
      <c r="A1529" s="3">
        <v>28</v>
      </c>
      <c r="B1529" s="4" t="s">
        <v>58</v>
      </c>
      <c r="C1529" s="3" t="s">
        <v>347</v>
      </c>
      <c r="D1529" s="3" t="s">
        <v>316</v>
      </c>
      <c r="E1529" s="3">
        <v>3</v>
      </c>
      <c r="G1529" s="57"/>
    </row>
    <row r="1530" spans="1:7" ht="12.75" x14ac:dyDescent="0.2">
      <c r="A1530" s="3">
        <v>28</v>
      </c>
      <c r="B1530" s="4" t="s">
        <v>58</v>
      </c>
      <c r="C1530" s="3" t="s">
        <v>347</v>
      </c>
      <c r="D1530" s="3" t="s">
        <v>128</v>
      </c>
      <c r="E1530" s="3">
        <v>119</v>
      </c>
      <c r="G1530" s="57"/>
    </row>
    <row r="1531" spans="1:7" ht="12.75" x14ac:dyDescent="0.2">
      <c r="A1531" s="3">
        <v>28</v>
      </c>
      <c r="B1531" s="4" t="s">
        <v>58</v>
      </c>
      <c r="C1531" s="3" t="s">
        <v>347</v>
      </c>
      <c r="D1531" s="3" t="s">
        <v>353</v>
      </c>
      <c r="E1531" s="3">
        <v>4</v>
      </c>
      <c r="G1531" s="57"/>
    </row>
    <row r="1532" spans="1:7" ht="12.75" x14ac:dyDescent="0.2">
      <c r="A1532" s="3">
        <v>28</v>
      </c>
      <c r="B1532" s="4" t="s">
        <v>58</v>
      </c>
      <c r="C1532" s="3" t="s">
        <v>347</v>
      </c>
      <c r="D1532" s="3" t="s">
        <v>149</v>
      </c>
      <c r="E1532" s="3">
        <v>99</v>
      </c>
      <c r="G1532" s="57"/>
    </row>
    <row r="1533" spans="1:7" ht="12.75" x14ac:dyDescent="0.2">
      <c r="A1533" s="3">
        <v>28</v>
      </c>
      <c r="B1533" s="4" t="s">
        <v>58</v>
      </c>
      <c r="C1533" s="3" t="s">
        <v>347</v>
      </c>
      <c r="D1533" s="3" t="s">
        <v>14</v>
      </c>
      <c r="E1533" s="3">
        <v>16</v>
      </c>
      <c r="G1533" s="57"/>
    </row>
    <row r="1534" spans="1:7" ht="12.75" x14ac:dyDescent="0.2">
      <c r="A1534" s="3">
        <v>28</v>
      </c>
      <c r="B1534" s="4" t="s">
        <v>58</v>
      </c>
      <c r="C1534" s="3" t="s">
        <v>347</v>
      </c>
      <c r="D1534" s="3" t="s">
        <v>138</v>
      </c>
      <c r="E1534" s="3">
        <v>1</v>
      </c>
      <c r="F1534">
        <f>SUM(E1527:E1534)</f>
        <v>312</v>
      </c>
      <c r="G1534" s="57"/>
    </row>
    <row r="1535" spans="1:7" ht="12.75" x14ac:dyDescent="0.2">
      <c r="A1535" s="3">
        <v>28</v>
      </c>
      <c r="B1535" s="4" t="s">
        <v>58</v>
      </c>
      <c r="C1535" s="3" t="s">
        <v>273</v>
      </c>
      <c r="D1535" s="3" t="s">
        <v>283</v>
      </c>
      <c r="E1535" s="3">
        <v>85</v>
      </c>
      <c r="G1535" s="57"/>
    </row>
    <row r="1536" spans="1:7" ht="12.75" x14ac:dyDescent="0.2">
      <c r="A1536" s="3">
        <v>28</v>
      </c>
      <c r="B1536" s="4" t="s">
        <v>58</v>
      </c>
      <c r="C1536" s="3" t="s">
        <v>273</v>
      </c>
      <c r="D1536" s="3" t="s">
        <v>315</v>
      </c>
      <c r="E1536" s="3">
        <v>4</v>
      </c>
      <c r="G1536" s="57"/>
    </row>
    <row r="1537" spans="1:7" ht="12.75" x14ac:dyDescent="0.2">
      <c r="A1537" s="3">
        <v>28</v>
      </c>
      <c r="B1537" s="4" t="s">
        <v>58</v>
      </c>
      <c r="C1537" s="3" t="s">
        <v>273</v>
      </c>
      <c r="D1537" s="3" t="s">
        <v>128</v>
      </c>
      <c r="E1537" s="3">
        <v>156</v>
      </c>
      <c r="G1537" s="57"/>
    </row>
    <row r="1538" spans="1:7" ht="12.75" x14ac:dyDescent="0.2">
      <c r="A1538" s="3">
        <v>28</v>
      </c>
      <c r="B1538" s="4" t="s">
        <v>58</v>
      </c>
      <c r="C1538" s="3" t="s">
        <v>273</v>
      </c>
      <c r="D1538" s="3" t="s">
        <v>149</v>
      </c>
      <c r="E1538" s="3">
        <v>16</v>
      </c>
      <c r="G1538" s="57"/>
    </row>
    <row r="1539" spans="1:7" ht="12.75" x14ac:dyDescent="0.2">
      <c r="A1539" s="3">
        <v>28</v>
      </c>
      <c r="B1539" s="4" t="s">
        <v>58</v>
      </c>
      <c r="C1539" s="3" t="s">
        <v>273</v>
      </c>
      <c r="D1539" s="3" t="s">
        <v>14</v>
      </c>
      <c r="E1539" s="3">
        <v>48</v>
      </c>
      <c r="G1539" s="57"/>
    </row>
    <row r="1540" spans="1:7" ht="12.75" x14ac:dyDescent="0.2">
      <c r="A1540" s="3">
        <v>28</v>
      </c>
      <c r="B1540" s="4" t="s">
        <v>58</v>
      </c>
      <c r="C1540" s="3" t="s">
        <v>273</v>
      </c>
      <c r="D1540" s="3" t="s">
        <v>138</v>
      </c>
      <c r="E1540" s="3">
        <v>3</v>
      </c>
      <c r="F1540">
        <f>SUM(E1535:E1540)</f>
        <v>312</v>
      </c>
      <c r="G1540" s="57"/>
    </row>
    <row r="1541" spans="1:7" ht="12.75" x14ac:dyDescent="0.2">
      <c r="A1541" s="3">
        <v>28</v>
      </c>
      <c r="B1541" s="4" t="s">
        <v>58</v>
      </c>
      <c r="C1541" s="3" t="s">
        <v>125</v>
      </c>
      <c r="D1541" s="3" t="s">
        <v>283</v>
      </c>
      <c r="E1541" s="3">
        <v>84</v>
      </c>
      <c r="G1541" s="57"/>
    </row>
    <row r="1542" spans="1:7" ht="12.75" x14ac:dyDescent="0.2">
      <c r="A1542" s="3">
        <v>28</v>
      </c>
      <c r="B1542" s="4" t="s">
        <v>58</v>
      </c>
      <c r="C1542" s="3" t="s">
        <v>125</v>
      </c>
      <c r="D1542" s="3" t="s">
        <v>315</v>
      </c>
      <c r="E1542" s="3">
        <v>4</v>
      </c>
      <c r="G1542" s="57"/>
    </row>
    <row r="1543" spans="1:7" ht="12.75" x14ac:dyDescent="0.2">
      <c r="A1543" s="3">
        <v>28</v>
      </c>
      <c r="B1543" s="4" t="s">
        <v>58</v>
      </c>
      <c r="C1543" s="3" t="s">
        <v>125</v>
      </c>
      <c r="D1543" s="3" t="s">
        <v>128</v>
      </c>
      <c r="E1543" s="3">
        <v>154</v>
      </c>
      <c r="G1543" s="57"/>
    </row>
    <row r="1544" spans="1:7" ht="12.75" x14ac:dyDescent="0.2">
      <c r="A1544" s="3">
        <v>28</v>
      </c>
      <c r="B1544" s="4" t="s">
        <v>58</v>
      </c>
      <c r="C1544" s="3" t="s">
        <v>125</v>
      </c>
      <c r="D1544" s="3" t="s">
        <v>149</v>
      </c>
      <c r="E1544" s="3">
        <v>17</v>
      </c>
      <c r="G1544" s="57"/>
    </row>
    <row r="1545" spans="1:7" ht="12.75" x14ac:dyDescent="0.2">
      <c r="A1545" s="3">
        <v>28</v>
      </c>
      <c r="B1545" s="4" t="s">
        <v>58</v>
      </c>
      <c r="C1545" s="3" t="s">
        <v>125</v>
      </c>
      <c r="D1545" s="3" t="s">
        <v>14</v>
      </c>
      <c r="E1545" s="3">
        <v>50</v>
      </c>
      <c r="G1545" s="57"/>
    </row>
    <row r="1546" spans="1:7" ht="12.75" x14ac:dyDescent="0.2">
      <c r="A1546" s="3">
        <v>28</v>
      </c>
      <c r="B1546" s="4" t="s">
        <v>58</v>
      </c>
      <c r="C1546" s="3" t="s">
        <v>125</v>
      </c>
      <c r="D1546" s="3" t="s">
        <v>138</v>
      </c>
      <c r="E1546" s="3">
        <v>3</v>
      </c>
      <c r="F1546">
        <f>SUM(E1541:E1546)</f>
        <v>312</v>
      </c>
      <c r="G1546" s="57"/>
    </row>
    <row r="1547" spans="1:7" ht="12.75" x14ac:dyDescent="0.2">
      <c r="A1547" s="3">
        <v>29</v>
      </c>
      <c r="B1547" s="4" t="s">
        <v>59</v>
      </c>
      <c r="C1547" s="3" t="s">
        <v>347</v>
      </c>
      <c r="D1547" s="3" t="s">
        <v>283</v>
      </c>
      <c r="E1547" s="3">
        <v>174</v>
      </c>
      <c r="G1547" s="59">
        <v>531</v>
      </c>
    </row>
    <row r="1548" spans="1:7" ht="12.75" x14ac:dyDescent="0.2">
      <c r="A1548" s="3">
        <v>29</v>
      </c>
      <c r="B1548" s="4" t="s">
        <v>59</v>
      </c>
      <c r="C1548" s="3" t="s">
        <v>347</v>
      </c>
      <c r="D1548" s="3" t="s">
        <v>315</v>
      </c>
      <c r="E1548" s="3">
        <v>6</v>
      </c>
      <c r="G1548" s="57"/>
    </row>
    <row r="1549" spans="1:7" ht="12.75" x14ac:dyDescent="0.2">
      <c r="A1549" s="3">
        <v>29</v>
      </c>
      <c r="B1549" s="4" t="s">
        <v>59</v>
      </c>
      <c r="C1549" s="3" t="s">
        <v>347</v>
      </c>
      <c r="D1549" s="3" t="s">
        <v>316</v>
      </c>
      <c r="E1549" s="3">
        <v>3</v>
      </c>
      <c r="G1549" s="57"/>
    </row>
    <row r="1550" spans="1:7" ht="12.75" x14ac:dyDescent="0.2">
      <c r="A1550" s="3">
        <v>29</v>
      </c>
      <c r="B1550" s="4" t="s">
        <v>59</v>
      </c>
      <c r="C1550" s="3" t="s">
        <v>347</v>
      </c>
      <c r="D1550" s="3" t="s">
        <v>128</v>
      </c>
      <c r="E1550" s="3">
        <v>179</v>
      </c>
      <c r="G1550" s="57"/>
    </row>
    <row r="1551" spans="1:7" ht="12.75" x14ac:dyDescent="0.2">
      <c r="A1551" s="3">
        <v>29</v>
      </c>
      <c r="B1551" s="4" t="s">
        <v>59</v>
      </c>
      <c r="C1551" s="3" t="s">
        <v>347</v>
      </c>
      <c r="D1551" s="3" t="s">
        <v>353</v>
      </c>
      <c r="E1551" s="3">
        <v>5</v>
      </c>
      <c r="G1551" s="57"/>
    </row>
    <row r="1552" spans="1:7" ht="12.75" x14ac:dyDescent="0.2">
      <c r="A1552" s="3">
        <v>29</v>
      </c>
      <c r="B1552" s="4" t="s">
        <v>59</v>
      </c>
      <c r="C1552" s="3" t="s">
        <v>347</v>
      </c>
      <c r="D1552" s="3" t="s">
        <v>149</v>
      </c>
      <c r="E1552" s="3">
        <v>97</v>
      </c>
      <c r="G1552" s="57"/>
    </row>
    <row r="1553" spans="1:7" ht="12.75" x14ac:dyDescent="0.2">
      <c r="A1553" s="3">
        <v>29</v>
      </c>
      <c r="B1553" s="4" t="s">
        <v>59</v>
      </c>
      <c r="C1553" s="3" t="s">
        <v>347</v>
      </c>
      <c r="D1553" s="3" t="s">
        <v>14</v>
      </c>
      <c r="E1553" s="3">
        <v>14</v>
      </c>
      <c r="G1553" s="57"/>
    </row>
    <row r="1554" spans="1:7" ht="12.75" x14ac:dyDescent="0.2">
      <c r="A1554" s="3">
        <v>29</v>
      </c>
      <c r="B1554" s="4" t="s">
        <v>59</v>
      </c>
      <c r="C1554" s="3" t="s">
        <v>347</v>
      </c>
      <c r="D1554" s="3" t="s">
        <v>138</v>
      </c>
      <c r="E1554" s="3">
        <v>0</v>
      </c>
      <c r="F1554">
        <f>SUM(E1547:E1554)</f>
        <v>478</v>
      </c>
      <c r="G1554" s="57"/>
    </row>
    <row r="1555" spans="1:7" ht="12.75" x14ac:dyDescent="0.2">
      <c r="A1555" s="3">
        <v>29</v>
      </c>
      <c r="B1555" s="4" t="s">
        <v>59</v>
      </c>
      <c r="C1555" s="3" t="s">
        <v>273</v>
      </c>
      <c r="D1555" s="3" t="s">
        <v>283</v>
      </c>
      <c r="E1555" s="3">
        <v>178</v>
      </c>
      <c r="G1555" s="57"/>
    </row>
    <row r="1556" spans="1:7" ht="18" customHeight="1" x14ac:dyDescent="0.2">
      <c r="A1556" s="3">
        <v>29</v>
      </c>
      <c r="B1556" s="4" t="s">
        <v>59</v>
      </c>
      <c r="C1556" s="3" t="s">
        <v>273</v>
      </c>
      <c r="D1556" s="3" t="s">
        <v>315</v>
      </c>
      <c r="E1556" s="3">
        <v>3</v>
      </c>
      <c r="G1556" s="57"/>
    </row>
    <row r="1557" spans="1:7" ht="18" customHeight="1" x14ac:dyDescent="0.2">
      <c r="A1557" s="3">
        <v>29</v>
      </c>
      <c r="B1557" s="4" t="s">
        <v>59</v>
      </c>
      <c r="C1557" s="3" t="s">
        <v>273</v>
      </c>
      <c r="D1557" s="3" t="s">
        <v>128</v>
      </c>
      <c r="E1557" s="3">
        <v>203</v>
      </c>
      <c r="G1557" s="57"/>
    </row>
    <row r="1558" spans="1:7" ht="18" customHeight="1" x14ac:dyDescent="0.2">
      <c r="A1558" s="3">
        <v>29</v>
      </c>
      <c r="B1558" s="4" t="s">
        <v>59</v>
      </c>
      <c r="C1558" s="3" t="s">
        <v>273</v>
      </c>
      <c r="D1558" s="3" t="s">
        <v>149</v>
      </c>
      <c r="E1558" s="3">
        <v>12</v>
      </c>
      <c r="G1558" s="57"/>
    </row>
    <row r="1559" spans="1:7" ht="18" customHeight="1" x14ac:dyDescent="0.2">
      <c r="A1559" s="3">
        <v>29</v>
      </c>
      <c r="B1559" s="4" t="s">
        <v>59</v>
      </c>
      <c r="C1559" s="3" t="s">
        <v>273</v>
      </c>
      <c r="D1559" s="3" t="s">
        <v>14</v>
      </c>
      <c r="E1559" s="3">
        <v>82</v>
      </c>
      <c r="G1559" s="57"/>
    </row>
    <row r="1560" spans="1:7" ht="18" customHeight="1" x14ac:dyDescent="0.2">
      <c r="A1560" s="3">
        <v>29</v>
      </c>
      <c r="B1560" s="4" t="s">
        <v>59</v>
      </c>
      <c r="C1560" s="3" t="s">
        <v>273</v>
      </c>
      <c r="D1560" s="3" t="s">
        <v>138</v>
      </c>
      <c r="E1560" s="3">
        <v>0</v>
      </c>
      <c r="F1560">
        <f>SUM(E1555:E1560)</f>
        <v>478</v>
      </c>
      <c r="G1560" s="57"/>
    </row>
    <row r="1561" spans="1:7" ht="18" customHeight="1" x14ac:dyDescent="0.2">
      <c r="A1561" s="3">
        <v>29</v>
      </c>
      <c r="B1561" s="4" t="s">
        <v>59</v>
      </c>
      <c r="C1561" s="3" t="s">
        <v>125</v>
      </c>
      <c r="D1561" s="3" t="s">
        <v>283</v>
      </c>
      <c r="E1561" s="3">
        <v>177</v>
      </c>
      <c r="G1561" s="57"/>
    </row>
    <row r="1562" spans="1:7" ht="18" customHeight="1" x14ac:dyDescent="0.2">
      <c r="A1562" s="3">
        <v>29</v>
      </c>
      <c r="B1562" s="4" t="s">
        <v>59</v>
      </c>
      <c r="C1562" s="3" t="s">
        <v>125</v>
      </c>
      <c r="D1562" s="3" t="s">
        <v>315</v>
      </c>
      <c r="E1562" s="3">
        <v>3</v>
      </c>
      <c r="G1562" s="57"/>
    </row>
    <row r="1563" spans="1:7" ht="18" customHeight="1" x14ac:dyDescent="0.2">
      <c r="A1563" s="3">
        <v>29</v>
      </c>
      <c r="B1563" s="4" t="s">
        <v>59</v>
      </c>
      <c r="C1563" s="3" t="s">
        <v>125</v>
      </c>
      <c r="D1563" s="3" t="s">
        <v>128</v>
      </c>
      <c r="E1563" s="3">
        <v>200</v>
      </c>
      <c r="G1563" s="57"/>
    </row>
    <row r="1564" spans="1:7" ht="18" customHeight="1" x14ac:dyDescent="0.2">
      <c r="A1564" s="3">
        <v>29</v>
      </c>
      <c r="B1564" s="4" t="s">
        <v>59</v>
      </c>
      <c r="C1564" s="3" t="s">
        <v>125</v>
      </c>
      <c r="D1564" s="3" t="s">
        <v>149</v>
      </c>
      <c r="E1564" s="3">
        <v>15</v>
      </c>
      <c r="G1564" s="57"/>
    </row>
    <row r="1565" spans="1:7" ht="18" customHeight="1" x14ac:dyDescent="0.2">
      <c r="A1565" s="3">
        <v>29</v>
      </c>
      <c r="B1565" s="4" t="s">
        <v>59</v>
      </c>
      <c r="C1565" s="3" t="s">
        <v>125</v>
      </c>
      <c r="D1565" s="3" t="s">
        <v>14</v>
      </c>
      <c r="E1565" s="3">
        <v>83</v>
      </c>
      <c r="G1565" s="57"/>
    </row>
    <row r="1566" spans="1:7" ht="18" customHeight="1" x14ac:dyDescent="0.2">
      <c r="A1566" s="3">
        <v>29</v>
      </c>
      <c r="B1566" s="4" t="s">
        <v>59</v>
      </c>
      <c r="C1566" s="3" t="s">
        <v>125</v>
      </c>
      <c r="D1566" s="3" t="s">
        <v>138</v>
      </c>
      <c r="E1566" s="3">
        <v>0</v>
      </c>
      <c r="F1566">
        <f>SUM(E1561:E1566)</f>
        <v>478</v>
      </c>
      <c r="G1566" s="57"/>
    </row>
    <row r="1567" spans="1:7" ht="18" customHeight="1" x14ac:dyDescent="0.2">
      <c r="A1567" s="3">
        <v>30</v>
      </c>
      <c r="B1567" s="4" t="s">
        <v>60</v>
      </c>
      <c r="C1567" s="3" t="s">
        <v>347</v>
      </c>
      <c r="D1567" s="3" t="s">
        <v>283</v>
      </c>
      <c r="E1567" s="3">
        <v>116</v>
      </c>
      <c r="G1567" s="59">
        <v>244</v>
      </c>
    </row>
    <row r="1568" spans="1:7" ht="12.75" x14ac:dyDescent="0.2">
      <c r="A1568" s="3">
        <v>30</v>
      </c>
      <c r="B1568" s="4" t="s">
        <v>60</v>
      </c>
      <c r="C1568" s="3" t="s">
        <v>347</v>
      </c>
      <c r="D1568" s="3" t="s">
        <v>315</v>
      </c>
      <c r="E1568" s="3">
        <v>1</v>
      </c>
      <c r="G1568" s="57"/>
    </row>
    <row r="1569" spans="1:7" ht="12.75" x14ac:dyDescent="0.2">
      <c r="A1569" s="3">
        <v>30</v>
      </c>
      <c r="B1569" s="4" t="s">
        <v>60</v>
      </c>
      <c r="C1569" s="3" t="s">
        <v>347</v>
      </c>
      <c r="D1569" s="3" t="s">
        <v>316</v>
      </c>
      <c r="E1569" s="3">
        <v>2</v>
      </c>
      <c r="G1569" s="57"/>
    </row>
    <row r="1570" spans="1:7" ht="12.75" x14ac:dyDescent="0.2">
      <c r="A1570" s="3">
        <v>30</v>
      </c>
      <c r="B1570" s="4" t="s">
        <v>60</v>
      </c>
      <c r="C1570" s="3" t="s">
        <v>347</v>
      </c>
      <c r="D1570" s="3" t="s">
        <v>128</v>
      </c>
      <c r="E1570" s="3">
        <v>35</v>
      </c>
      <c r="G1570" s="57"/>
    </row>
    <row r="1571" spans="1:7" ht="12.75" x14ac:dyDescent="0.2">
      <c r="A1571" s="3">
        <v>30</v>
      </c>
      <c r="B1571" s="4" t="s">
        <v>60</v>
      </c>
      <c r="C1571" s="3" t="s">
        <v>347</v>
      </c>
      <c r="D1571" s="3" t="s">
        <v>353</v>
      </c>
      <c r="E1571" s="3">
        <v>3</v>
      </c>
      <c r="G1571" s="57"/>
    </row>
    <row r="1572" spans="1:7" ht="12.75" x14ac:dyDescent="0.2">
      <c r="A1572" s="3">
        <v>30</v>
      </c>
      <c r="B1572" s="4" t="s">
        <v>60</v>
      </c>
      <c r="C1572" s="3" t="s">
        <v>347</v>
      </c>
      <c r="D1572" s="3" t="s">
        <v>149</v>
      </c>
      <c r="E1572" s="3">
        <v>29</v>
      </c>
      <c r="G1572" s="57"/>
    </row>
    <row r="1573" spans="1:7" ht="12.75" x14ac:dyDescent="0.2">
      <c r="A1573" s="3">
        <v>30</v>
      </c>
      <c r="B1573" s="4" t="s">
        <v>60</v>
      </c>
      <c r="C1573" s="3" t="s">
        <v>347</v>
      </c>
      <c r="D1573" s="3" t="s">
        <v>14</v>
      </c>
      <c r="E1573" s="3">
        <v>23</v>
      </c>
      <c r="G1573" s="57"/>
    </row>
    <row r="1574" spans="1:7" ht="12.75" x14ac:dyDescent="0.2">
      <c r="A1574" s="3">
        <v>30</v>
      </c>
      <c r="B1574" s="4" t="s">
        <v>60</v>
      </c>
      <c r="C1574" s="3" t="s">
        <v>347</v>
      </c>
      <c r="D1574" s="3" t="s">
        <v>138</v>
      </c>
      <c r="E1574" s="3">
        <v>0</v>
      </c>
      <c r="F1574">
        <f>SUM(E1567:E1574)</f>
        <v>209</v>
      </c>
      <c r="G1574" s="57"/>
    </row>
    <row r="1575" spans="1:7" ht="12.75" x14ac:dyDescent="0.2">
      <c r="A1575" s="3">
        <v>30</v>
      </c>
      <c r="B1575" s="4" t="s">
        <v>60</v>
      </c>
      <c r="C1575" s="3" t="s">
        <v>273</v>
      </c>
      <c r="D1575" s="3" t="s">
        <v>283</v>
      </c>
      <c r="E1575" s="3">
        <v>127</v>
      </c>
      <c r="G1575" s="57"/>
    </row>
    <row r="1576" spans="1:7" ht="12.75" x14ac:dyDescent="0.2">
      <c r="A1576" s="3">
        <v>30</v>
      </c>
      <c r="B1576" s="4" t="s">
        <v>60</v>
      </c>
      <c r="C1576" s="3" t="s">
        <v>273</v>
      </c>
      <c r="D1576" s="3" t="s">
        <v>315</v>
      </c>
      <c r="E1576" s="3">
        <v>0</v>
      </c>
      <c r="G1576" s="57"/>
    </row>
    <row r="1577" spans="1:7" ht="12.75" x14ac:dyDescent="0.2">
      <c r="A1577" s="3">
        <v>30</v>
      </c>
      <c r="B1577" s="4" t="s">
        <v>60</v>
      </c>
      <c r="C1577" s="3" t="s">
        <v>273</v>
      </c>
      <c r="D1577" s="3" t="s">
        <v>128</v>
      </c>
      <c r="E1577" s="3">
        <v>30</v>
      </c>
      <c r="G1577" s="57"/>
    </row>
    <row r="1578" spans="1:7" ht="12.75" x14ac:dyDescent="0.2">
      <c r="A1578" s="3">
        <v>30</v>
      </c>
      <c r="B1578" s="4" t="s">
        <v>60</v>
      </c>
      <c r="C1578" s="3" t="s">
        <v>273</v>
      </c>
      <c r="D1578" s="3" t="s">
        <v>149</v>
      </c>
      <c r="E1578" s="3">
        <v>13</v>
      </c>
      <c r="G1578" s="57"/>
    </row>
    <row r="1579" spans="1:7" ht="12.75" x14ac:dyDescent="0.2">
      <c r="A1579" s="3">
        <v>30</v>
      </c>
      <c r="B1579" s="4" t="s">
        <v>60</v>
      </c>
      <c r="C1579" s="3" t="s">
        <v>273</v>
      </c>
      <c r="D1579" s="3" t="s">
        <v>14</v>
      </c>
      <c r="E1579" s="3">
        <v>39</v>
      </c>
      <c r="G1579" s="57"/>
    </row>
    <row r="1580" spans="1:7" ht="12.75" x14ac:dyDescent="0.2">
      <c r="A1580" s="3">
        <v>30</v>
      </c>
      <c r="B1580" s="4" t="s">
        <v>60</v>
      </c>
      <c r="C1580" s="3" t="s">
        <v>273</v>
      </c>
      <c r="D1580" s="3" t="s">
        <v>138</v>
      </c>
      <c r="E1580" s="3">
        <v>0</v>
      </c>
      <c r="F1580">
        <f>SUM(E1575:E1580)</f>
        <v>209</v>
      </c>
      <c r="G1580" s="57"/>
    </row>
    <row r="1581" spans="1:7" ht="12.75" x14ac:dyDescent="0.2">
      <c r="A1581" s="3">
        <v>30</v>
      </c>
      <c r="B1581" s="4" t="s">
        <v>60</v>
      </c>
      <c r="C1581" s="3" t="s">
        <v>125</v>
      </c>
      <c r="D1581" s="3" t="s">
        <v>283</v>
      </c>
      <c r="E1581" s="3">
        <v>127</v>
      </c>
      <c r="G1581" s="57"/>
    </row>
    <row r="1582" spans="1:7" ht="12.75" x14ac:dyDescent="0.2">
      <c r="A1582" s="3">
        <v>30</v>
      </c>
      <c r="B1582" s="4" t="s">
        <v>60</v>
      </c>
      <c r="C1582" s="3" t="s">
        <v>125</v>
      </c>
      <c r="D1582" s="3" t="s">
        <v>315</v>
      </c>
      <c r="E1582" s="3">
        <v>0</v>
      </c>
      <c r="G1582" s="57"/>
    </row>
    <row r="1583" spans="1:7" ht="12.75" x14ac:dyDescent="0.2">
      <c r="A1583" s="3">
        <v>30</v>
      </c>
      <c r="B1583" s="4" t="s">
        <v>60</v>
      </c>
      <c r="C1583" s="3" t="s">
        <v>125</v>
      </c>
      <c r="D1583" s="3" t="s">
        <v>128</v>
      </c>
      <c r="E1583" s="3">
        <v>29</v>
      </c>
      <c r="G1583" s="57"/>
    </row>
    <row r="1584" spans="1:7" ht="12.75" x14ac:dyDescent="0.2">
      <c r="A1584" s="3">
        <v>30</v>
      </c>
      <c r="B1584" s="4" t="s">
        <v>60</v>
      </c>
      <c r="C1584" s="3" t="s">
        <v>125</v>
      </c>
      <c r="D1584" s="3" t="s">
        <v>149</v>
      </c>
      <c r="E1584" s="3">
        <v>13</v>
      </c>
      <c r="G1584" s="57"/>
    </row>
    <row r="1585" spans="1:7" ht="12.75" x14ac:dyDescent="0.2">
      <c r="A1585" s="3">
        <v>30</v>
      </c>
      <c r="B1585" s="4" t="s">
        <v>60</v>
      </c>
      <c r="C1585" s="3" t="s">
        <v>125</v>
      </c>
      <c r="D1585" s="3" t="s">
        <v>14</v>
      </c>
      <c r="E1585" s="3">
        <v>40</v>
      </c>
      <c r="G1585" s="57"/>
    </row>
    <row r="1586" spans="1:7" ht="12.75" x14ac:dyDescent="0.2">
      <c r="A1586" s="3">
        <v>30</v>
      </c>
      <c r="B1586" s="4" t="s">
        <v>60</v>
      </c>
      <c r="C1586" s="3" t="s">
        <v>125</v>
      </c>
      <c r="D1586" s="3" t="s">
        <v>138</v>
      </c>
      <c r="E1586" s="3">
        <v>0</v>
      </c>
      <c r="F1586">
        <f>SUM(E1581:E1586)</f>
        <v>209</v>
      </c>
      <c r="G1586" s="57"/>
    </row>
    <row r="1587" spans="1:7" ht="12.75" x14ac:dyDescent="0.2">
      <c r="A1587" s="3">
        <v>31</v>
      </c>
      <c r="B1587" s="4" t="s">
        <v>61</v>
      </c>
      <c r="C1587" s="3" t="s">
        <v>347</v>
      </c>
      <c r="D1587" s="3" t="s">
        <v>283</v>
      </c>
      <c r="E1587" s="3">
        <v>707</v>
      </c>
      <c r="G1587" s="59">
        <v>2440</v>
      </c>
    </row>
    <row r="1588" spans="1:7" ht="12.75" x14ac:dyDescent="0.2">
      <c r="A1588" s="3">
        <v>31</v>
      </c>
      <c r="B1588" s="4" t="s">
        <v>61</v>
      </c>
      <c r="C1588" s="3" t="s">
        <v>347</v>
      </c>
      <c r="D1588" s="3" t="s">
        <v>315</v>
      </c>
      <c r="E1588" s="3">
        <v>24</v>
      </c>
      <c r="G1588" s="57"/>
    </row>
    <row r="1589" spans="1:7" ht="12.75" x14ac:dyDescent="0.2">
      <c r="A1589" s="3">
        <v>31</v>
      </c>
      <c r="B1589" s="4" t="s">
        <v>61</v>
      </c>
      <c r="C1589" s="3" t="s">
        <v>347</v>
      </c>
      <c r="D1589" s="3" t="s">
        <v>316</v>
      </c>
      <c r="E1589" s="3">
        <v>22</v>
      </c>
      <c r="G1589" s="57"/>
    </row>
    <row r="1590" spans="1:7" ht="12.75" x14ac:dyDescent="0.2">
      <c r="A1590" s="3">
        <v>31</v>
      </c>
      <c r="B1590" s="4" t="s">
        <v>61</v>
      </c>
      <c r="C1590" s="3" t="s">
        <v>347</v>
      </c>
      <c r="D1590" s="3" t="s">
        <v>128</v>
      </c>
      <c r="E1590" s="3">
        <v>811</v>
      </c>
      <c r="G1590" s="57"/>
    </row>
    <row r="1591" spans="1:7" ht="12.75" x14ac:dyDescent="0.2">
      <c r="A1591" s="3">
        <v>31</v>
      </c>
      <c r="B1591" s="4" t="s">
        <v>61</v>
      </c>
      <c r="C1591" s="3" t="s">
        <v>347</v>
      </c>
      <c r="D1591" s="3" t="s">
        <v>353</v>
      </c>
      <c r="E1591" s="3">
        <v>34</v>
      </c>
      <c r="G1591" s="57"/>
    </row>
    <row r="1592" spans="1:7" ht="12.75" x14ac:dyDescent="0.2">
      <c r="A1592" s="3">
        <v>31</v>
      </c>
      <c r="B1592" s="4" t="s">
        <v>61</v>
      </c>
      <c r="C1592" s="3" t="s">
        <v>347</v>
      </c>
      <c r="D1592" s="3" t="s">
        <v>149</v>
      </c>
      <c r="E1592" s="3">
        <v>443</v>
      </c>
      <c r="G1592" s="57"/>
    </row>
    <row r="1593" spans="1:7" ht="12.75" x14ac:dyDescent="0.2">
      <c r="A1593" s="3">
        <v>31</v>
      </c>
      <c r="B1593" s="4" t="s">
        <v>61</v>
      </c>
      <c r="C1593" s="3" t="s">
        <v>347</v>
      </c>
      <c r="D1593" s="3" t="s">
        <v>14</v>
      </c>
      <c r="E1593" s="3">
        <v>68</v>
      </c>
      <c r="G1593" s="57"/>
    </row>
    <row r="1594" spans="1:7" ht="12.75" x14ac:dyDescent="0.2">
      <c r="A1594" s="3">
        <v>31</v>
      </c>
      <c r="B1594" s="4" t="s">
        <v>61</v>
      </c>
      <c r="C1594" s="3" t="s">
        <v>347</v>
      </c>
      <c r="D1594" s="3" t="s">
        <v>138</v>
      </c>
      <c r="E1594" s="3">
        <v>14</v>
      </c>
      <c r="F1594">
        <f>SUM(E1587:E1594)</f>
        <v>2123</v>
      </c>
      <c r="G1594" s="57"/>
    </row>
    <row r="1595" spans="1:7" ht="12.75" x14ac:dyDescent="0.2">
      <c r="A1595" s="3">
        <v>31</v>
      </c>
      <c r="B1595" s="4" t="s">
        <v>61</v>
      </c>
      <c r="C1595" s="3" t="s">
        <v>273</v>
      </c>
      <c r="D1595" s="3" t="s">
        <v>283</v>
      </c>
      <c r="E1595" s="3">
        <v>830</v>
      </c>
      <c r="G1595" s="57"/>
    </row>
    <row r="1596" spans="1:7" ht="12.75" x14ac:dyDescent="0.2">
      <c r="A1596" s="3">
        <v>31</v>
      </c>
      <c r="B1596" s="4" t="s">
        <v>61</v>
      </c>
      <c r="C1596" s="3" t="s">
        <v>273</v>
      </c>
      <c r="D1596" s="3" t="s">
        <v>315</v>
      </c>
      <c r="E1596" s="3">
        <v>16</v>
      </c>
      <c r="G1596" s="57"/>
    </row>
    <row r="1597" spans="1:7" ht="12.75" x14ac:dyDescent="0.2">
      <c r="A1597" s="3">
        <v>31</v>
      </c>
      <c r="B1597" s="4" t="s">
        <v>61</v>
      </c>
      <c r="C1597" s="3" t="s">
        <v>273</v>
      </c>
      <c r="D1597" s="3" t="s">
        <v>128</v>
      </c>
      <c r="E1597" s="3">
        <v>821</v>
      </c>
      <c r="G1597" s="57"/>
    </row>
    <row r="1598" spans="1:7" ht="12.75" x14ac:dyDescent="0.2">
      <c r="A1598" s="3">
        <v>31</v>
      </c>
      <c r="B1598" s="4" t="s">
        <v>61</v>
      </c>
      <c r="C1598" s="3" t="s">
        <v>273</v>
      </c>
      <c r="D1598" s="3" t="s">
        <v>149</v>
      </c>
      <c r="E1598" s="3">
        <v>82</v>
      </c>
      <c r="G1598" s="57"/>
    </row>
    <row r="1599" spans="1:7" ht="12.75" x14ac:dyDescent="0.2">
      <c r="A1599" s="3">
        <v>31</v>
      </c>
      <c r="B1599" s="4" t="s">
        <v>61</v>
      </c>
      <c r="C1599" s="3" t="s">
        <v>273</v>
      </c>
      <c r="D1599" s="3" t="s">
        <v>14</v>
      </c>
      <c r="E1599" s="3">
        <v>370</v>
      </c>
      <c r="G1599" s="57"/>
    </row>
    <row r="1600" spans="1:7" ht="12.75" x14ac:dyDescent="0.2">
      <c r="A1600" s="3">
        <v>31</v>
      </c>
      <c r="B1600" s="4" t="s">
        <v>61</v>
      </c>
      <c r="C1600" s="3" t="s">
        <v>273</v>
      </c>
      <c r="D1600" s="3" t="s">
        <v>138</v>
      </c>
      <c r="E1600" s="3">
        <v>4</v>
      </c>
      <c r="F1600">
        <f>SUM(E1595:E1600)</f>
        <v>2123</v>
      </c>
      <c r="G1600" s="57"/>
    </row>
    <row r="1601" spans="1:7" ht="12.75" x14ac:dyDescent="0.2">
      <c r="A1601" s="3">
        <v>31</v>
      </c>
      <c r="B1601" s="4" t="s">
        <v>61</v>
      </c>
      <c r="C1601" s="3" t="s">
        <v>125</v>
      </c>
      <c r="D1601" s="3" t="s">
        <v>283</v>
      </c>
      <c r="E1601" s="3">
        <v>825</v>
      </c>
      <c r="G1601" s="57"/>
    </row>
    <row r="1602" spans="1:7" ht="12.75" x14ac:dyDescent="0.2">
      <c r="A1602" s="3">
        <v>31</v>
      </c>
      <c r="B1602" s="4" t="s">
        <v>61</v>
      </c>
      <c r="C1602" s="3" t="s">
        <v>125</v>
      </c>
      <c r="D1602" s="3" t="s">
        <v>315</v>
      </c>
      <c r="E1602" s="3">
        <v>11</v>
      </c>
      <c r="G1602" s="57"/>
    </row>
    <row r="1603" spans="1:7" ht="12.75" x14ac:dyDescent="0.2">
      <c r="A1603" s="3">
        <v>31</v>
      </c>
      <c r="B1603" s="4" t="s">
        <v>61</v>
      </c>
      <c r="C1603" s="3" t="s">
        <v>125</v>
      </c>
      <c r="D1603" s="3" t="s">
        <v>128</v>
      </c>
      <c r="E1603" s="3">
        <v>820</v>
      </c>
      <c r="G1603" s="57"/>
    </row>
    <row r="1604" spans="1:7" ht="12.75" x14ac:dyDescent="0.2">
      <c r="A1604" s="3">
        <v>31</v>
      </c>
      <c r="B1604" s="4" t="s">
        <v>61</v>
      </c>
      <c r="C1604" s="3" t="s">
        <v>125</v>
      </c>
      <c r="D1604" s="3" t="s">
        <v>149</v>
      </c>
      <c r="E1604" s="3">
        <v>80</v>
      </c>
      <c r="G1604" s="57"/>
    </row>
    <row r="1605" spans="1:7" ht="12.75" x14ac:dyDescent="0.2">
      <c r="A1605" s="3">
        <v>31</v>
      </c>
      <c r="B1605" s="4" t="s">
        <v>61</v>
      </c>
      <c r="C1605" s="3" t="s">
        <v>125</v>
      </c>
      <c r="D1605" s="3" t="s">
        <v>14</v>
      </c>
      <c r="E1605" s="3">
        <v>383</v>
      </c>
      <c r="G1605" s="57"/>
    </row>
    <row r="1606" spans="1:7" ht="12.75" x14ac:dyDescent="0.2">
      <c r="A1606" s="3">
        <v>31</v>
      </c>
      <c r="B1606" s="4" t="s">
        <v>61</v>
      </c>
      <c r="C1606" s="3" t="s">
        <v>125</v>
      </c>
      <c r="D1606" s="3" t="s">
        <v>138</v>
      </c>
      <c r="E1606" s="3">
        <v>4</v>
      </c>
      <c r="F1606">
        <f>SUM(E1601:E1606)</f>
        <v>2123</v>
      </c>
      <c r="G1606" s="57"/>
    </row>
    <row r="1607" spans="1:7" ht="12.75" x14ac:dyDescent="0.2">
      <c r="A1607" s="3">
        <v>32</v>
      </c>
      <c r="B1607" s="4" t="s">
        <v>62</v>
      </c>
      <c r="C1607" s="3" t="s">
        <v>347</v>
      </c>
      <c r="D1607" s="3" t="s">
        <v>283</v>
      </c>
      <c r="E1607" s="3">
        <v>168</v>
      </c>
      <c r="G1607" s="59">
        <v>296</v>
      </c>
    </row>
    <row r="1608" spans="1:7" ht="12.75" x14ac:dyDescent="0.2">
      <c r="A1608" s="3">
        <v>32</v>
      </c>
      <c r="B1608" s="4" t="s">
        <v>62</v>
      </c>
      <c r="C1608" s="3" t="s">
        <v>347</v>
      </c>
      <c r="D1608" s="3" t="s">
        <v>315</v>
      </c>
      <c r="E1608" s="3">
        <v>0</v>
      </c>
      <c r="G1608" s="57"/>
    </row>
    <row r="1609" spans="1:7" ht="12.75" x14ac:dyDescent="0.2">
      <c r="A1609" s="3">
        <v>32</v>
      </c>
      <c r="B1609" s="4" t="s">
        <v>62</v>
      </c>
      <c r="C1609" s="3" t="s">
        <v>347</v>
      </c>
      <c r="D1609" s="3" t="s">
        <v>316</v>
      </c>
      <c r="E1609" s="3">
        <v>2</v>
      </c>
      <c r="G1609" s="57"/>
    </row>
    <row r="1610" spans="1:7" ht="12.75" x14ac:dyDescent="0.2">
      <c r="A1610" s="3">
        <v>32</v>
      </c>
      <c r="B1610" s="4" t="s">
        <v>62</v>
      </c>
      <c r="C1610" s="3" t="s">
        <v>347</v>
      </c>
      <c r="D1610" s="3" t="s">
        <v>128</v>
      </c>
      <c r="E1610" s="3">
        <v>45</v>
      </c>
      <c r="G1610" s="57"/>
    </row>
    <row r="1611" spans="1:7" ht="12.75" x14ac:dyDescent="0.2">
      <c r="A1611" s="3">
        <v>32</v>
      </c>
      <c r="B1611" s="4" t="s">
        <v>62</v>
      </c>
      <c r="C1611" s="3" t="s">
        <v>347</v>
      </c>
      <c r="D1611" s="3" t="s">
        <v>353</v>
      </c>
      <c r="E1611" s="3">
        <v>2</v>
      </c>
      <c r="G1611" s="57"/>
    </row>
    <row r="1612" spans="1:7" ht="12.75" x14ac:dyDescent="0.2">
      <c r="A1612" s="3">
        <v>32</v>
      </c>
      <c r="B1612" s="4" t="s">
        <v>62</v>
      </c>
      <c r="C1612" s="3" t="s">
        <v>347</v>
      </c>
      <c r="D1612" s="3" t="s">
        <v>149</v>
      </c>
      <c r="E1612" s="3">
        <v>34</v>
      </c>
      <c r="G1612" s="57"/>
    </row>
    <row r="1613" spans="1:7" ht="12.75" x14ac:dyDescent="0.2">
      <c r="A1613" s="3">
        <v>32</v>
      </c>
      <c r="B1613" s="4" t="s">
        <v>62</v>
      </c>
      <c r="C1613" s="3" t="s">
        <v>347</v>
      </c>
      <c r="D1613" s="3" t="s">
        <v>14</v>
      </c>
      <c r="E1613" s="3">
        <v>9</v>
      </c>
      <c r="G1613" s="57"/>
    </row>
    <row r="1614" spans="1:7" ht="12.75" x14ac:dyDescent="0.2">
      <c r="A1614" s="3">
        <v>32</v>
      </c>
      <c r="B1614" s="4" t="s">
        <v>62</v>
      </c>
      <c r="C1614" s="3" t="s">
        <v>347</v>
      </c>
      <c r="D1614" s="3" t="s">
        <v>138</v>
      </c>
      <c r="E1614" s="3">
        <v>6</v>
      </c>
      <c r="F1614">
        <f>SUM(E1607:E1614)</f>
        <v>266</v>
      </c>
      <c r="G1614" s="57"/>
    </row>
    <row r="1615" spans="1:7" ht="12.75" x14ac:dyDescent="0.2">
      <c r="A1615" s="3">
        <v>32</v>
      </c>
      <c r="B1615" s="4" t="s">
        <v>62</v>
      </c>
      <c r="C1615" s="3" t="s">
        <v>273</v>
      </c>
      <c r="D1615" s="3" t="s">
        <v>283</v>
      </c>
      <c r="E1615" s="3">
        <v>188</v>
      </c>
      <c r="G1615" s="57"/>
    </row>
    <row r="1616" spans="1:7" ht="12.75" x14ac:dyDescent="0.2">
      <c r="A1616" s="3">
        <v>32</v>
      </c>
      <c r="B1616" s="4" t="s">
        <v>62</v>
      </c>
      <c r="C1616" s="3" t="s">
        <v>273</v>
      </c>
      <c r="D1616" s="3" t="s">
        <v>315</v>
      </c>
      <c r="E1616" s="3">
        <v>0</v>
      </c>
      <c r="G1616" s="57"/>
    </row>
    <row r="1617" spans="1:7" ht="12.75" x14ac:dyDescent="0.2">
      <c r="A1617" s="3">
        <v>32</v>
      </c>
      <c r="B1617" s="4" t="s">
        <v>62</v>
      </c>
      <c r="C1617" s="3" t="s">
        <v>273</v>
      </c>
      <c r="D1617" s="3" t="s">
        <v>128</v>
      </c>
      <c r="E1617" s="3">
        <v>24</v>
      </c>
      <c r="G1617" s="57"/>
    </row>
    <row r="1618" spans="1:7" ht="12.75" x14ac:dyDescent="0.2">
      <c r="A1618" s="3">
        <v>32</v>
      </c>
      <c r="B1618" s="4" t="s">
        <v>62</v>
      </c>
      <c r="C1618" s="3" t="s">
        <v>273</v>
      </c>
      <c r="D1618" s="3" t="s">
        <v>149</v>
      </c>
      <c r="E1618" s="3">
        <v>4</v>
      </c>
      <c r="G1618" s="57"/>
    </row>
    <row r="1619" spans="1:7" ht="12.75" x14ac:dyDescent="0.2">
      <c r="A1619" s="3">
        <v>32</v>
      </c>
      <c r="B1619" s="4" t="s">
        <v>62</v>
      </c>
      <c r="C1619" s="3" t="s">
        <v>273</v>
      </c>
      <c r="D1619" s="3" t="s">
        <v>14</v>
      </c>
      <c r="E1619" s="3">
        <v>44</v>
      </c>
      <c r="G1619" s="57"/>
    </row>
    <row r="1620" spans="1:7" ht="12.75" x14ac:dyDescent="0.2">
      <c r="A1620" s="3">
        <v>32</v>
      </c>
      <c r="B1620" s="4" t="s">
        <v>62</v>
      </c>
      <c r="C1620" s="3" t="s">
        <v>273</v>
      </c>
      <c r="D1620" s="3" t="s">
        <v>138</v>
      </c>
      <c r="E1620" s="3">
        <v>6</v>
      </c>
      <c r="F1620">
        <f>SUM(E1615:E1620)</f>
        <v>266</v>
      </c>
      <c r="G1620" s="57"/>
    </row>
    <row r="1621" spans="1:7" ht="12.75" x14ac:dyDescent="0.2">
      <c r="A1621" s="3">
        <v>32</v>
      </c>
      <c r="B1621" s="4" t="s">
        <v>62</v>
      </c>
      <c r="C1621" s="3" t="s">
        <v>125</v>
      </c>
      <c r="D1621" s="3" t="s">
        <v>283</v>
      </c>
      <c r="E1621" s="3">
        <v>187</v>
      </c>
      <c r="G1621" s="57"/>
    </row>
    <row r="1622" spans="1:7" ht="12.75" x14ac:dyDescent="0.2">
      <c r="A1622" s="3">
        <v>32</v>
      </c>
      <c r="B1622" s="4" t="s">
        <v>62</v>
      </c>
      <c r="C1622" s="3" t="s">
        <v>125</v>
      </c>
      <c r="D1622" s="3" t="s">
        <v>315</v>
      </c>
      <c r="E1622" s="3">
        <v>0</v>
      </c>
      <c r="G1622" s="57"/>
    </row>
    <row r="1623" spans="1:7" ht="12.75" x14ac:dyDescent="0.2">
      <c r="A1623" s="3">
        <v>32</v>
      </c>
      <c r="B1623" s="4" t="s">
        <v>62</v>
      </c>
      <c r="C1623" s="3" t="s">
        <v>125</v>
      </c>
      <c r="D1623" s="3" t="s">
        <v>128</v>
      </c>
      <c r="E1623" s="3">
        <v>24</v>
      </c>
      <c r="G1623" s="57"/>
    </row>
    <row r="1624" spans="1:7" ht="12.75" x14ac:dyDescent="0.2">
      <c r="A1624" s="3">
        <v>32</v>
      </c>
      <c r="B1624" s="4" t="s">
        <v>62</v>
      </c>
      <c r="C1624" s="3" t="s">
        <v>125</v>
      </c>
      <c r="D1624" s="3" t="s">
        <v>149</v>
      </c>
      <c r="E1624" s="3">
        <v>4</v>
      </c>
      <c r="G1624" s="57"/>
    </row>
    <row r="1625" spans="1:7" ht="12.75" x14ac:dyDescent="0.2">
      <c r="A1625" s="3">
        <v>32</v>
      </c>
      <c r="B1625" s="4" t="s">
        <v>62</v>
      </c>
      <c r="C1625" s="3" t="s">
        <v>125</v>
      </c>
      <c r="D1625" s="3" t="s">
        <v>14</v>
      </c>
      <c r="E1625" s="3">
        <v>45</v>
      </c>
      <c r="G1625" s="57"/>
    </row>
    <row r="1626" spans="1:7" ht="12.75" x14ac:dyDescent="0.2">
      <c r="A1626" s="3">
        <v>32</v>
      </c>
      <c r="B1626" s="4" t="s">
        <v>62</v>
      </c>
      <c r="C1626" s="3" t="s">
        <v>125</v>
      </c>
      <c r="D1626" s="3" t="s">
        <v>138</v>
      </c>
      <c r="E1626" s="3">
        <v>6</v>
      </c>
      <c r="F1626">
        <f>SUM(E1621:E1626)</f>
        <v>266</v>
      </c>
      <c r="G1626" s="57"/>
    </row>
    <row r="1627" spans="1:7" ht="12.75" x14ac:dyDescent="0.2">
      <c r="A1627" s="3">
        <v>33</v>
      </c>
      <c r="B1627" s="4" t="s">
        <v>63</v>
      </c>
      <c r="C1627" s="3" t="s">
        <v>347</v>
      </c>
      <c r="D1627" s="3" t="s">
        <v>283</v>
      </c>
      <c r="E1627" s="3">
        <v>205</v>
      </c>
      <c r="G1627" s="59">
        <v>488</v>
      </c>
    </row>
    <row r="1628" spans="1:7" ht="12.75" x14ac:dyDescent="0.2">
      <c r="A1628" s="3">
        <v>33</v>
      </c>
      <c r="B1628" s="4" t="s">
        <v>63</v>
      </c>
      <c r="C1628" s="3" t="s">
        <v>347</v>
      </c>
      <c r="D1628" s="3" t="s">
        <v>315</v>
      </c>
      <c r="E1628" s="3">
        <v>2</v>
      </c>
      <c r="G1628" s="57"/>
    </row>
    <row r="1629" spans="1:7" ht="12.75" x14ac:dyDescent="0.2">
      <c r="A1629" s="3">
        <v>33</v>
      </c>
      <c r="B1629" s="4" t="s">
        <v>63</v>
      </c>
      <c r="C1629" s="3" t="s">
        <v>347</v>
      </c>
      <c r="D1629" s="3" t="s">
        <v>316</v>
      </c>
      <c r="E1629" s="3">
        <v>0</v>
      </c>
      <c r="G1629" s="57"/>
    </row>
    <row r="1630" spans="1:7" ht="12.75" x14ac:dyDescent="0.2">
      <c r="A1630" s="3">
        <v>33</v>
      </c>
      <c r="B1630" s="4" t="s">
        <v>63</v>
      </c>
      <c r="C1630" s="3" t="s">
        <v>347</v>
      </c>
      <c r="D1630" s="3" t="s">
        <v>128</v>
      </c>
      <c r="E1630" s="3">
        <v>62</v>
      </c>
      <c r="G1630" s="57"/>
    </row>
    <row r="1631" spans="1:7" ht="12.75" x14ac:dyDescent="0.2">
      <c r="A1631" s="3">
        <v>33</v>
      </c>
      <c r="B1631" s="4" t="s">
        <v>63</v>
      </c>
      <c r="C1631" s="3" t="s">
        <v>347</v>
      </c>
      <c r="D1631" s="3" t="s">
        <v>353</v>
      </c>
      <c r="E1631" s="3">
        <v>3</v>
      </c>
      <c r="G1631" s="57"/>
    </row>
    <row r="1632" spans="1:7" ht="12.75" x14ac:dyDescent="0.2">
      <c r="A1632" s="3">
        <v>33</v>
      </c>
      <c r="B1632" s="4" t="s">
        <v>63</v>
      </c>
      <c r="C1632" s="3" t="s">
        <v>347</v>
      </c>
      <c r="D1632" s="3" t="s">
        <v>149</v>
      </c>
      <c r="E1632" s="3">
        <v>126</v>
      </c>
      <c r="G1632" s="57"/>
    </row>
    <row r="1633" spans="1:7" ht="12.75" x14ac:dyDescent="0.2">
      <c r="A1633" s="3">
        <v>33</v>
      </c>
      <c r="B1633" s="4" t="s">
        <v>63</v>
      </c>
      <c r="C1633" s="3" t="s">
        <v>347</v>
      </c>
      <c r="D1633" s="3" t="s">
        <v>14</v>
      </c>
      <c r="E1633" s="3">
        <v>31</v>
      </c>
      <c r="G1633" s="57"/>
    </row>
    <row r="1634" spans="1:7" ht="12.75" x14ac:dyDescent="0.2">
      <c r="A1634" s="3">
        <v>33</v>
      </c>
      <c r="B1634" s="4" t="s">
        <v>63</v>
      </c>
      <c r="C1634" s="3" t="s">
        <v>347</v>
      </c>
      <c r="D1634" s="3" t="s">
        <v>138</v>
      </c>
      <c r="E1634" s="3">
        <v>1</v>
      </c>
      <c r="F1634">
        <f>SUM(E1627:E1634)</f>
        <v>430</v>
      </c>
      <c r="G1634" s="57"/>
    </row>
    <row r="1635" spans="1:7" ht="12.75" x14ac:dyDescent="0.2">
      <c r="A1635" s="3">
        <v>33</v>
      </c>
      <c r="B1635" s="4" t="s">
        <v>63</v>
      </c>
      <c r="C1635" s="3" t="s">
        <v>273</v>
      </c>
      <c r="D1635" s="3" t="s">
        <v>283</v>
      </c>
      <c r="E1635" s="3">
        <v>227</v>
      </c>
      <c r="G1635" s="57"/>
    </row>
    <row r="1636" spans="1:7" ht="12.75" x14ac:dyDescent="0.2">
      <c r="A1636" s="3">
        <v>33</v>
      </c>
      <c r="B1636" s="4" t="s">
        <v>63</v>
      </c>
      <c r="C1636" s="3" t="s">
        <v>273</v>
      </c>
      <c r="D1636" s="3" t="s">
        <v>315</v>
      </c>
      <c r="E1636" s="3">
        <v>2</v>
      </c>
      <c r="G1636" s="57"/>
    </row>
    <row r="1637" spans="1:7" ht="12.75" x14ac:dyDescent="0.2">
      <c r="A1637" s="3">
        <v>33</v>
      </c>
      <c r="B1637" s="4" t="s">
        <v>63</v>
      </c>
      <c r="C1637" s="3" t="s">
        <v>273</v>
      </c>
      <c r="D1637" s="3" t="s">
        <v>128</v>
      </c>
      <c r="E1637" s="3">
        <v>46</v>
      </c>
      <c r="G1637" s="57"/>
    </row>
    <row r="1638" spans="1:7" ht="12.75" x14ac:dyDescent="0.2">
      <c r="A1638" s="3">
        <v>33</v>
      </c>
      <c r="B1638" s="4" t="s">
        <v>63</v>
      </c>
      <c r="C1638" s="3" t="s">
        <v>273</v>
      </c>
      <c r="D1638" s="3" t="s">
        <v>149</v>
      </c>
      <c r="E1638" s="3">
        <v>65</v>
      </c>
      <c r="G1638" s="57"/>
    </row>
    <row r="1639" spans="1:7" ht="12.75" x14ac:dyDescent="0.2">
      <c r="A1639" s="3">
        <v>33</v>
      </c>
      <c r="B1639" s="4" t="s">
        <v>63</v>
      </c>
      <c r="C1639" s="3" t="s">
        <v>273</v>
      </c>
      <c r="D1639" s="3" t="s">
        <v>14</v>
      </c>
      <c r="E1639" s="3">
        <v>89</v>
      </c>
      <c r="G1639" s="57"/>
    </row>
    <row r="1640" spans="1:7" ht="12.75" x14ac:dyDescent="0.2">
      <c r="A1640" s="3">
        <v>33</v>
      </c>
      <c r="B1640" s="4" t="s">
        <v>63</v>
      </c>
      <c r="C1640" s="3" t="s">
        <v>273</v>
      </c>
      <c r="D1640" s="3" t="s">
        <v>138</v>
      </c>
      <c r="E1640" s="3">
        <v>1</v>
      </c>
      <c r="F1640">
        <f>SUM(E1635:E1640)</f>
        <v>430</v>
      </c>
      <c r="G1640" s="57"/>
    </row>
    <row r="1641" spans="1:7" ht="12.75" x14ac:dyDescent="0.2">
      <c r="A1641" s="3">
        <v>33</v>
      </c>
      <c r="B1641" s="4" t="s">
        <v>63</v>
      </c>
      <c r="C1641" s="3" t="s">
        <v>125</v>
      </c>
      <c r="D1641" s="3" t="s">
        <v>283</v>
      </c>
      <c r="E1641" s="3">
        <v>225</v>
      </c>
      <c r="G1641" s="57"/>
    </row>
    <row r="1642" spans="1:7" ht="12.75" x14ac:dyDescent="0.2">
      <c r="A1642" s="3">
        <v>33</v>
      </c>
      <c r="B1642" s="4" t="s">
        <v>63</v>
      </c>
      <c r="C1642" s="3" t="s">
        <v>125</v>
      </c>
      <c r="D1642" s="3" t="s">
        <v>315</v>
      </c>
      <c r="E1642" s="3">
        <v>2</v>
      </c>
      <c r="G1642" s="57"/>
    </row>
    <row r="1643" spans="1:7" ht="12.75" x14ac:dyDescent="0.2">
      <c r="A1643" s="3">
        <v>33</v>
      </c>
      <c r="B1643" s="4" t="s">
        <v>63</v>
      </c>
      <c r="C1643" s="3" t="s">
        <v>125</v>
      </c>
      <c r="D1643" s="3" t="s">
        <v>128</v>
      </c>
      <c r="E1643" s="3">
        <v>50</v>
      </c>
      <c r="G1643" s="57"/>
    </row>
    <row r="1644" spans="1:7" ht="12.75" x14ac:dyDescent="0.2">
      <c r="A1644" s="3">
        <v>33</v>
      </c>
      <c r="B1644" s="4" t="s">
        <v>63</v>
      </c>
      <c r="C1644" s="3" t="s">
        <v>125</v>
      </c>
      <c r="D1644" s="3" t="s">
        <v>149</v>
      </c>
      <c r="E1644" s="3">
        <v>65</v>
      </c>
      <c r="G1644" s="57"/>
    </row>
    <row r="1645" spans="1:7" ht="12.75" x14ac:dyDescent="0.2">
      <c r="A1645" s="3">
        <v>33</v>
      </c>
      <c r="B1645" s="4" t="s">
        <v>63</v>
      </c>
      <c r="C1645" s="3" t="s">
        <v>125</v>
      </c>
      <c r="D1645" s="3" t="s">
        <v>14</v>
      </c>
      <c r="E1645" s="3">
        <v>87</v>
      </c>
      <c r="G1645" s="57"/>
    </row>
    <row r="1646" spans="1:7" ht="12.75" x14ac:dyDescent="0.2">
      <c r="A1646" s="3">
        <v>33</v>
      </c>
      <c r="B1646" s="4" t="s">
        <v>63</v>
      </c>
      <c r="C1646" s="3" t="s">
        <v>125</v>
      </c>
      <c r="D1646" s="3" t="s">
        <v>138</v>
      </c>
      <c r="E1646" s="3">
        <v>1</v>
      </c>
      <c r="F1646">
        <f>SUM(E1641:E1646)</f>
        <v>430</v>
      </c>
      <c r="G1646" s="57"/>
    </row>
    <row r="1647" spans="1:7" ht="12.75" x14ac:dyDescent="0.2">
      <c r="A1647" s="3">
        <v>34</v>
      </c>
      <c r="B1647" s="4" t="s">
        <v>64</v>
      </c>
      <c r="C1647" s="3" t="s">
        <v>347</v>
      </c>
      <c r="D1647" s="3" t="s">
        <v>283</v>
      </c>
      <c r="E1647" s="3">
        <v>632</v>
      </c>
      <c r="G1647" s="59">
        <v>1869</v>
      </c>
    </row>
    <row r="1648" spans="1:7" ht="12.75" x14ac:dyDescent="0.2">
      <c r="A1648" s="3">
        <v>34</v>
      </c>
      <c r="B1648" s="4" t="s">
        <v>64</v>
      </c>
      <c r="C1648" s="3" t="s">
        <v>347</v>
      </c>
      <c r="D1648" s="3" t="s">
        <v>315</v>
      </c>
      <c r="E1648" s="3">
        <v>16</v>
      </c>
      <c r="G1648" s="57"/>
    </row>
    <row r="1649" spans="1:7" ht="12.75" x14ac:dyDescent="0.2">
      <c r="A1649" s="3">
        <v>34</v>
      </c>
      <c r="B1649" s="4" t="s">
        <v>64</v>
      </c>
      <c r="C1649" s="3" t="s">
        <v>347</v>
      </c>
      <c r="D1649" s="3" t="s">
        <v>316</v>
      </c>
      <c r="E1649" s="3">
        <v>4</v>
      </c>
      <c r="G1649" s="57"/>
    </row>
    <row r="1650" spans="1:7" ht="12.75" x14ac:dyDescent="0.2">
      <c r="A1650" s="3">
        <v>34</v>
      </c>
      <c r="B1650" s="4" t="s">
        <v>64</v>
      </c>
      <c r="C1650" s="3" t="s">
        <v>347</v>
      </c>
      <c r="D1650" s="3" t="s">
        <v>128</v>
      </c>
      <c r="E1650" s="3">
        <v>718</v>
      </c>
      <c r="G1650" s="57"/>
    </row>
    <row r="1651" spans="1:7" ht="12.75" x14ac:dyDescent="0.2">
      <c r="A1651" s="3">
        <v>34</v>
      </c>
      <c r="B1651" s="4" t="s">
        <v>64</v>
      </c>
      <c r="C1651" s="3" t="s">
        <v>347</v>
      </c>
      <c r="D1651" s="3" t="s">
        <v>353</v>
      </c>
      <c r="E1651" s="3">
        <v>16</v>
      </c>
      <c r="G1651" s="57"/>
    </row>
    <row r="1652" spans="1:7" ht="12.75" x14ac:dyDescent="0.2">
      <c r="A1652" s="3">
        <v>34</v>
      </c>
      <c r="B1652" s="4" t="s">
        <v>64</v>
      </c>
      <c r="C1652" s="3" t="s">
        <v>347</v>
      </c>
      <c r="D1652" s="3" t="s">
        <v>149</v>
      </c>
      <c r="E1652" s="3">
        <v>219</v>
      </c>
      <c r="G1652" s="57"/>
    </row>
    <row r="1653" spans="1:7" ht="12.75" x14ac:dyDescent="0.2">
      <c r="A1653" s="3">
        <v>34</v>
      </c>
      <c r="B1653" s="4" t="s">
        <v>64</v>
      </c>
      <c r="C1653" s="3" t="s">
        <v>347</v>
      </c>
      <c r="D1653" s="3" t="s">
        <v>14</v>
      </c>
      <c r="E1653" s="3">
        <v>66</v>
      </c>
      <c r="G1653" s="57"/>
    </row>
    <row r="1654" spans="1:7" ht="12.75" x14ac:dyDescent="0.2">
      <c r="A1654" s="3">
        <v>34</v>
      </c>
      <c r="B1654" s="4" t="s">
        <v>64</v>
      </c>
      <c r="C1654" s="3" t="s">
        <v>347</v>
      </c>
      <c r="D1654" s="3" t="s">
        <v>138</v>
      </c>
      <c r="E1654" s="3">
        <v>0</v>
      </c>
      <c r="F1654">
        <f>SUM(E1647:E1654)</f>
        <v>1671</v>
      </c>
      <c r="G1654" s="57"/>
    </row>
    <row r="1655" spans="1:7" ht="12.75" x14ac:dyDescent="0.2">
      <c r="A1655" s="3">
        <v>34</v>
      </c>
      <c r="B1655" s="4" t="s">
        <v>64</v>
      </c>
      <c r="C1655" s="3" t="s">
        <v>273</v>
      </c>
      <c r="D1655" s="3" t="s">
        <v>283</v>
      </c>
      <c r="E1655" s="3">
        <v>669</v>
      </c>
      <c r="G1655" s="57"/>
    </row>
    <row r="1656" spans="1:7" ht="12.75" x14ac:dyDescent="0.2">
      <c r="A1656" s="3">
        <v>34</v>
      </c>
      <c r="B1656" s="4" t="s">
        <v>64</v>
      </c>
      <c r="C1656" s="3" t="s">
        <v>273</v>
      </c>
      <c r="D1656" s="3" t="s">
        <v>315</v>
      </c>
      <c r="E1656" s="3">
        <v>6</v>
      </c>
      <c r="G1656" s="57"/>
    </row>
    <row r="1657" spans="1:7" ht="12.75" x14ac:dyDescent="0.2">
      <c r="A1657" s="3">
        <v>34</v>
      </c>
      <c r="B1657" s="4" t="s">
        <v>64</v>
      </c>
      <c r="C1657" s="3" t="s">
        <v>273</v>
      </c>
      <c r="D1657" s="3" t="s">
        <v>128</v>
      </c>
      <c r="E1657" s="3">
        <v>745</v>
      </c>
      <c r="G1657" s="57"/>
    </row>
    <row r="1658" spans="1:7" ht="12.75" x14ac:dyDescent="0.2">
      <c r="A1658" s="3">
        <v>34</v>
      </c>
      <c r="B1658" s="4" t="s">
        <v>64</v>
      </c>
      <c r="C1658" s="3" t="s">
        <v>273</v>
      </c>
      <c r="D1658" s="3" t="s">
        <v>149</v>
      </c>
      <c r="E1658" s="3">
        <v>59</v>
      </c>
      <c r="G1658" s="57"/>
    </row>
    <row r="1659" spans="1:7" ht="12.75" x14ac:dyDescent="0.2">
      <c r="A1659" s="3">
        <v>34</v>
      </c>
      <c r="B1659" s="4" t="s">
        <v>64</v>
      </c>
      <c r="C1659" s="3" t="s">
        <v>273</v>
      </c>
      <c r="D1659" s="3" t="s">
        <v>14</v>
      </c>
      <c r="E1659" s="3">
        <v>192</v>
      </c>
      <c r="G1659" s="57"/>
    </row>
    <row r="1660" spans="1:7" ht="12.75" x14ac:dyDescent="0.2">
      <c r="A1660" s="3">
        <v>34</v>
      </c>
      <c r="B1660" s="4" t="s">
        <v>64</v>
      </c>
      <c r="C1660" s="3" t="s">
        <v>273</v>
      </c>
      <c r="D1660" s="3" t="s">
        <v>138</v>
      </c>
      <c r="E1660" s="3">
        <v>0</v>
      </c>
      <c r="F1660">
        <f>SUM(E1655:E1660)</f>
        <v>1671</v>
      </c>
      <c r="G1660" s="57"/>
    </row>
    <row r="1661" spans="1:7" ht="12.75" x14ac:dyDescent="0.2">
      <c r="A1661" s="3">
        <v>34</v>
      </c>
      <c r="B1661" s="4" t="s">
        <v>64</v>
      </c>
      <c r="C1661" s="3" t="s">
        <v>125</v>
      </c>
      <c r="D1661" s="3" t="s">
        <v>283</v>
      </c>
      <c r="E1661" s="3">
        <v>665</v>
      </c>
      <c r="G1661" s="57"/>
    </row>
    <row r="1662" spans="1:7" ht="12.75" x14ac:dyDescent="0.2">
      <c r="A1662" s="3">
        <v>34</v>
      </c>
      <c r="B1662" s="4" t="s">
        <v>64</v>
      </c>
      <c r="C1662" s="3" t="s">
        <v>125</v>
      </c>
      <c r="D1662" s="3" t="s">
        <v>315</v>
      </c>
      <c r="E1662" s="3">
        <v>6</v>
      </c>
      <c r="G1662" s="57"/>
    </row>
    <row r="1663" spans="1:7" ht="12.75" x14ac:dyDescent="0.2">
      <c r="A1663" s="3">
        <v>34</v>
      </c>
      <c r="B1663" s="4" t="s">
        <v>64</v>
      </c>
      <c r="C1663" s="3" t="s">
        <v>125</v>
      </c>
      <c r="D1663" s="3" t="s">
        <v>128</v>
      </c>
      <c r="E1663" s="3">
        <v>745</v>
      </c>
      <c r="G1663" s="57"/>
    </row>
    <row r="1664" spans="1:7" ht="12.75" x14ac:dyDescent="0.2">
      <c r="A1664" s="3">
        <v>34</v>
      </c>
      <c r="B1664" s="4" t="s">
        <v>64</v>
      </c>
      <c r="C1664" s="3" t="s">
        <v>125</v>
      </c>
      <c r="D1664" s="3" t="s">
        <v>149</v>
      </c>
      <c r="E1664" s="3">
        <v>57</v>
      </c>
      <c r="G1664" s="57"/>
    </row>
    <row r="1665" spans="1:7" ht="12.75" x14ac:dyDescent="0.2">
      <c r="A1665" s="3">
        <v>34</v>
      </c>
      <c r="B1665" s="4" t="s">
        <v>64</v>
      </c>
      <c r="C1665" s="3" t="s">
        <v>125</v>
      </c>
      <c r="D1665" s="3" t="s">
        <v>14</v>
      </c>
      <c r="E1665" s="3">
        <v>198</v>
      </c>
      <c r="G1665" s="57"/>
    </row>
    <row r="1666" spans="1:7" ht="12.75" x14ac:dyDescent="0.2">
      <c r="A1666" s="3">
        <v>34</v>
      </c>
      <c r="B1666" s="4" t="s">
        <v>64</v>
      </c>
      <c r="C1666" s="3" t="s">
        <v>125</v>
      </c>
      <c r="D1666" s="3" t="s">
        <v>138</v>
      </c>
      <c r="E1666" s="3">
        <v>0</v>
      </c>
      <c r="F1666">
        <f>SUM(E1661:E1666)</f>
        <v>1671</v>
      </c>
      <c r="G1666" s="57"/>
    </row>
    <row r="1667" spans="1:7" ht="12.75" x14ac:dyDescent="0.2">
      <c r="A1667" s="3">
        <v>35</v>
      </c>
      <c r="B1667" s="4" t="s">
        <v>65</v>
      </c>
      <c r="C1667" s="3" t="s">
        <v>347</v>
      </c>
      <c r="D1667" s="3" t="s">
        <v>283</v>
      </c>
      <c r="E1667" s="3">
        <v>200</v>
      </c>
      <c r="G1667" s="59">
        <v>949</v>
      </c>
    </row>
    <row r="1668" spans="1:7" ht="12.75" x14ac:dyDescent="0.2">
      <c r="A1668" s="3">
        <v>35</v>
      </c>
      <c r="B1668" s="4" t="s">
        <v>65</v>
      </c>
      <c r="C1668" s="3" t="s">
        <v>347</v>
      </c>
      <c r="D1668" s="3" t="s">
        <v>315</v>
      </c>
      <c r="E1668" s="3">
        <v>22</v>
      </c>
      <c r="G1668" s="57"/>
    </row>
    <row r="1669" spans="1:7" ht="12.75" x14ac:dyDescent="0.2">
      <c r="A1669" s="3">
        <v>35</v>
      </c>
      <c r="B1669" s="4" t="s">
        <v>65</v>
      </c>
      <c r="C1669" s="3" t="s">
        <v>347</v>
      </c>
      <c r="D1669" s="3" t="s">
        <v>316</v>
      </c>
      <c r="E1669" s="3">
        <v>5</v>
      </c>
      <c r="G1669" s="57"/>
    </row>
    <row r="1670" spans="1:7" ht="12.75" x14ac:dyDescent="0.2">
      <c r="A1670" s="3">
        <v>35</v>
      </c>
      <c r="B1670" s="4" t="s">
        <v>65</v>
      </c>
      <c r="C1670" s="3" t="s">
        <v>347</v>
      </c>
      <c r="D1670" s="3" t="s">
        <v>128</v>
      </c>
      <c r="E1670" s="3">
        <v>477</v>
      </c>
      <c r="G1670" s="57"/>
    </row>
    <row r="1671" spans="1:7" ht="12.75" x14ac:dyDescent="0.2">
      <c r="A1671" s="3">
        <v>35</v>
      </c>
      <c r="B1671" s="4" t="s">
        <v>65</v>
      </c>
      <c r="C1671" s="3" t="s">
        <v>347</v>
      </c>
      <c r="D1671" s="3" t="s">
        <v>353</v>
      </c>
      <c r="E1671" s="3">
        <v>10</v>
      </c>
      <c r="G1671" s="57"/>
    </row>
    <row r="1672" spans="1:7" ht="12.75" x14ac:dyDescent="0.2">
      <c r="A1672" s="3">
        <v>35</v>
      </c>
      <c r="B1672" s="4" t="s">
        <v>65</v>
      </c>
      <c r="C1672" s="3" t="s">
        <v>347</v>
      </c>
      <c r="D1672" s="3" t="s">
        <v>149</v>
      </c>
      <c r="E1672" s="3">
        <v>82</v>
      </c>
      <c r="G1672" s="57"/>
    </row>
    <row r="1673" spans="1:7" ht="12.75" x14ac:dyDescent="0.2">
      <c r="A1673" s="3">
        <v>35</v>
      </c>
      <c r="B1673" s="4" t="s">
        <v>65</v>
      </c>
      <c r="C1673" s="3" t="s">
        <v>347</v>
      </c>
      <c r="D1673" s="3" t="s">
        <v>14</v>
      </c>
      <c r="E1673" s="3">
        <v>33</v>
      </c>
      <c r="G1673" s="57"/>
    </row>
    <row r="1674" spans="1:7" ht="12.75" x14ac:dyDescent="0.2">
      <c r="A1674" s="3">
        <v>35</v>
      </c>
      <c r="B1674" s="4" t="s">
        <v>65</v>
      </c>
      <c r="C1674" s="3" t="s">
        <v>347</v>
      </c>
      <c r="D1674" s="3" t="s">
        <v>138</v>
      </c>
      <c r="E1674" s="3">
        <v>2</v>
      </c>
      <c r="F1674">
        <f>SUM(E1667:E1674)</f>
        <v>831</v>
      </c>
      <c r="G1674" s="57"/>
    </row>
    <row r="1675" spans="1:7" ht="12.75" x14ac:dyDescent="0.2">
      <c r="A1675" s="3">
        <v>35</v>
      </c>
      <c r="B1675" s="4" t="s">
        <v>65</v>
      </c>
      <c r="C1675" s="3" t="s">
        <v>273</v>
      </c>
      <c r="D1675" s="3" t="s">
        <v>283</v>
      </c>
      <c r="E1675" s="3">
        <v>201</v>
      </c>
      <c r="G1675" s="57"/>
    </row>
    <row r="1676" spans="1:7" ht="12.75" x14ac:dyDescent="0.2">
      <c r="A1676" s="3">
        <v>35</v>
      </c>
      <c r="B1676" s="4" t="s">
        <v>65</v>
      </c>
      <c r="C1676" s="3" t="s">
        <v>273</v>
      </c>
      <c r="D1676" s="3" t="s">
        <v>315</v>
      </c>
      <c r="E1676" s="3">
        <v>16</v>
      </c>
      <c r="G1676" s="57"/>
    </row>
    <row r="1677" spans="1:7" ht="12.75" x14ac:dyDescent="0.2">
      <c r="A1677" s="3">
        <v>35</v>
      </c>
      <c r="B1677" s="4" t="s">
        <v>65</v>
      </c>
      <c r="C1677" s="3" t="s">
        <v>273</v>
      </c>
      <c r="D1677" s="3" t="s">
        <v>128</v>
      </c>
      <c r="E1677" s="3">
        <v>488</v>
      </c>
      <c r="G1677" s="57"/>
    </row>
    <row r="1678" spans="1:7" ht="12.75" x14ac:dyDescent="0.2">
      <c r="A1678" s="3">
        <v>35</v>
      </c>
      <c r="B1678" s="4" t="s">
        <v>65</v>
      </c>
      <c r="C1678" s="3" t="s">
        <v>273</v>
      </c>
      <c r="D1678" s="3" t="s">
        <v>149</v>
      </c>
      <c r="E1678" s="3">
        <v>14</v>
      </c>
      <c r="G1678" s="57"/>
    </row>
    <row r="1679" spans="1:7" ht="12.75" x14ac:dyDescent="0.2">
      <c r="A1679" s="3">
        <v>35</v>
      </c>
      <c r="B1679" s="4" t="s">
        <v>65</v>
      </c>
      <c r="C1679" s="3" t="s">
        <v>273</v>
      </c>
      <c r="D1679" s="3" t="s">
        <v>14</v>
      </c>
      <c r="E1679" s="3">
        <v>110</v>
      </c>
      <c r="G1679" s="57"/>
    </row>
    <row r="1680" spans="1:7" ht="12.75" x14ac:dyDescent="0.2">
      <c r="A1680" s="3">
        <v>35</v>
      </c>
      <c r="B1680" s="4" t="s">
        <v>65</v>
      </c>
      <c r="C1680" s="3" t="s">
        <v>273</v>
      </c>
      <c r="D1680" s="3" t="s">
        <v>138</v>
      </c>
      <c r="E1680" s="3">
        <v>2</v>
      </c>
      <c r="F1680">
        <f>SUM(E1675:E1680)</f>
        <v>831</v>
      </c>
      <c r="G1680" s="57"/>
    </row>
    <row r="1681" spans="1:7" ht="12.75" x14ac:dyDescent="0.2">
      <c r="A1681" s="3">
        <v>35</v>
      </c>
      <c r="B1681" s="4" t="s">
        <v>65</v>
      </c>
      <c r="C1681" s="3" t="s">
        <v>125</v>
      </c>
      <c r="D1681" s="3" t="s">
        <v>283</v>
      </c>
      <c r="E1681" s="3">
        <v>193</v>
      </c>
      <c r="G1681" s="57"/>
    </row>
    <row r="1682" spans="1:7" ht="12.75" x14ac:dyDescent="0.2">
      <c r="A1682" s="3">
        <v>35</v>
      </c>
      <c r="B1682" s="4" t="s">
        <v>65</v>
      </c>
      <c r="C1682" s="3" t="s">
        <v>125</v>
      </c>
      <c r="D1682" s="3" t="s">
        <v>315</v>
      </c>
      <c r="E1682" s="3">
        <v>15</v>
      </c>
      <c r="G1682" s="57"/>
    </row>
    <row r="1683" spans="1:7" ht="12.75" x14ac:dyDescent="0.2">
      <c r="A1683" s="3">
        <v>35</v>
      </c>
      <c r="B1683" s="4" t="s">
        <v>65</v>
      </c>
      <c r="C1683" s="3" t="s">
        <v>125</v>
      </c>
      <c r="D1683" s="3" t="s">
        <v>128</v>
      </c>
      <c r="E1683" s="3">
        <v>491</v>
      </c>
      <c r="G1683" s="57"/>
    </row>
    <row r="1684" spans="1:7" ht="12.75" x14ac:dyDescent="0.2">
      <c r="A1684" s="3">
        <v>35</v>
      </c>
      <c r="B1684" s="4" t="s">
        <v>65</v>
      </c>
      <c r="C1684" s="3" t="s">
        <v>125</v>
      </c>
      <c r="D1684" s="3" t="s">
        <v>149</v>
      </c>
      <c r="E1684" s="3">
        <v>12</v>
      </c>
      <c r="G1684" s="57"/>
    </row>
    <row r="1685" spans="1:7" ht="12.75" x14ac:dyDescent="0.2">
      <c r="A1685" s="3">
        <v>35</v>
      </c>
      <c r="B1685" s="4" t="s">
        <v>65</v>
      </c>
      <c r="C1685" s="3" t="s">
        <v>125</v>
      </c>
      <c r="D1685" s="3" t="s">
        <v>14</v>
      </c>
      <c r="E1685" s="3">
        <v>118</v>
      </c>
      <c r="G1685" s="57"/>
    </row>
    <row r="1686" spans="1:7" ht="12.75" x14ac:dyDescent="0.2">
      <c r="A1686" s="3">
        <v>35</v>
      </c>
      <c r="B1686" s="4" t="s">
        <v>65</v>
      </c>
      <c r="C1686" s="3" t="s">
        <v>125</v>
      </c>
      <c r="D1686" s="3" t="s">
        <v>138</v>
      </c>
      <c r="E1686" s="3">
        <v>2</v>
      </c>
      <c r="F1686">
        <f>SUM(E1681:E1686)</f>
        <v>831</v>
      </c>
      <c r="G1686" s="57"/>
    </row>
    <row r="1687" spans="1:7" ht="12.75" x14ac:dyDescent="0.2">
      <c r="A1687" s="3">
        <v>37</v>
      </c>
      <c r="B1687" s="4" t="s">
        <v>67</v>
      </c>
      <c r="C1687" s="3" t="s">
        <v>347</v>
      </c>
      <c r="D1687" s="3" t="s">
        <v>283</v>
      </c>
      <c r="E1687" s="3">
        <v>28</v>
      </c>
      <c r="G1687" s="59">
        <v>63</v>
      </c>
    </row>
    <row r="1688" spans="1:7" ht="12.75" x14ac:dyDescent="0.2">
      <c r="A1688" s="3">
        <v>37</v>
      </c>
      <c r="B1688" s="4" t="s">
        <v>67</v>
      </c>
      <c r="C1688" s="3" t="s">
        <v>347</v>
      </c>
      <c r="D1688" s="3" t="s">
        <v>315</v>
      </c>
      <c r="E1688" s="3">
        <v>1</v>
      </c>
      <c r="G1688" s="57"/>
    </row>
    <row r="1689" spans="1:7" ht="12.75" x14ac:dyDescent="0.2">
      <c r="A1689" s="3">
        <v>37</v>
      </c>
      <c r="B1689" s="4" t="s">
        <v>67</v>
      </c>
      <c r="C1689" s="3" t="s">
        <v>347</v>
      </c>
      <c r="D1689" s="3" t="s">
        <v>316</v>
      </c>
      <c r="E1689" s="3">
        <v>1</v>
      </c>
      <c r="G1689" s="57"/>
    </row>
    <row r="1690" spans="1:7" ht="12.75" x14ac:dyDescent="0.2">
      <c r="A1690" s="3">
        <v>37</v>
      </c>
      <c r="B1690" s="4" t="s">
        <v>67</v>
      </c>
      <c r="C1690" s="3" t="s">
        <v>347</v>
      </c>
      <c r="D1690" s="3" t="s">
        <v>128</v>
      </c>
      <c r="E1690" s="3">
        <v>17</v>
      </c>
      <c r="G1690" s="57"/>
    </row>
    <row r="1691" spans="1:7" ht="12.75" x14ac:dyDescent="0.2">
      <c r="A1691" s="3">
        <v>37</v>
      </c>
      <c r="B1691" s="4" t="s">
        <v>67</v>
      </c>
      <c r="C1691" s="3" t="s">
        <v>347</v>
      </c>
      <c r="D1691" s="3" t="s">
        <v>353</v>
      </c>
      <c r="E1691" s="3">
        <v>0</v>
      </c>
      <c r="G1691" s="57"/>
    </row>
    <row r="1692" spans="1:7" ht="12.75" x14ac:dyDescent="0.2">
      <c r="A1692" s="3">
        <v>37</v>
      </c>
      <c r="B1692" s="4" t="s">
        <v>67</v>
      </c>
      <c r="C1692" s="3" t="s">
        <v>347</v>
      </c>
      <c r="D1692" s="3" t="s">
        <v>149</v>
      </c>
      <c r="E1692" s="3">
        <v>5</v>
      </c>
      <c r="G1692" s="57"/>
    </row>
    <row r="1693" spans="1:7" ht="12.75" x14ac:dyDescent="0.2">
      <c r="A1693" s="3">
        <v>37</v>
      </c>
      <c r="B1693" s="4" t="s">
        <v>67</v>
      </c>
      <c r="C1693" s="3" t="s">
        <v>347</v>
      </c>
      <c r="D1693" s="3" t="s">
        <v>14</v>
      </c>
      <c r="E1693" s="3">
        <v>0</v>
      </c>
      <c r="G1693" s="57"/>
    </row>
    <row r="1694" spans="1:7" ht="12.75" x14ac:dyDescent="0.2">
      <c r="A1694" s="3">
        <v>37</v>
      </c>
      <c r="B1694" s="4" t="s">
        <v>67</v>
      </c>
      <c r="C1694" s="3" t="s">
        <v>347</v>
      </c>
      <c r="D1694" s="3" t="s">
        <v>138</v>
      </c>
      <c r="E1694" s="3">
        <v>0</v>
      </c>
      <c r="F1694">
        <f>SUM(E1687:E1694)</f>
        <v>52</v>
      </c>
      <c r="G1694" s="57"/>
    </row>
    <row r="1695" spans="1:7" ht="12.75" x14ac:dyDescent="0.2">
      <c r="A1695" s="3">
        <v>37</v>
      </c>
      <c r="B1695" s="4" t="s">
        <v>67</v>
      </c>
      <c r="C1695" s="3" t="s">
        <v>273</v>
      </c>
      <c r="D1695" s="3" t="s">
        <v>283</v>
      </c>
      <c r="E1695" s="3">
        <v>30</v>
      </c>
      <c r="G1695" s="57"/>
    </row>
    <row r="1696" spans="1:7" ht="12.75" x14ac:dyDescent="0.2">
      <c r="A1696" s="3">
        <v>37</v>
      </c>
      <c r="B1696" s="4" t="s">
        <v>67</v>
      </c>
      <c r="C1696" s="3" t="s">
        <v>273</v>
      </c>
      <c r="D1696" s="3" t="s">
        <v>315</v>
      </c>
      <c r="E1696" s="3">
        <v>0</v>
      </c>
      <c r="G1696" s="57"/>
    </row>
    <row r="1697" spans="1:7" ht="12.75" x14ac:dyDescent="0.2">
      <c r="A1697" s="3">
        <v>37</v>
      </c>
      <c r="B1697" s="4" t="s">
        <v>67</v>
      </c>
      <c r="C1697" s="3" t="s">
        <v>273</v>
      </c>
      <c r="D1697" s="3" t="s">
        <v>128</v>
      </c>
      <c r="E1697" s="3">
        <v>15</v>
      </c>
      <c r="G1697" s="57"/>
    </row>
    <row r="1698" spans="1:7" ht="12.75" x14ac:dyDescent="0.2">
      <c r="A1698" s="3">
        <v>37</v>
      </c>
      <c r="B1698" s="4" t="s">
        <v>67</v>
      </c>
      <c r="C1698" s="3" t="s">
        <v>273</v>
      </c>
      <c r="D1698" s="3" t="s">
        <v>149</v>
      </c>
      <c r="E1698" s="3">
        <v>2</v>
      </c>
      <c r="G1698" s="57"/>
    </row>
    <row r="1699" spans="1:7" ht="12.75" x14ac:dyDescent="0.2">
      <c r="A1699" s="3">
        <v>37</v>
      </c>
      <c r="B1699" s="4" t="s">
        <v>67</v>
      </c>
      <c r="C1699" s="3" t="s">
        <v>273</v>
      </c>
      <c r="D1699" s="3" t="s">
        <v>14</v>
      </c>
      <c r="E1699" s="3">
        <v>5</v>
      </c>
      <c r="G1699" s="57"/>
    </row>
    <row r="1700" spans="1:7" ht="12.75" x14ac:dyDescent="0.2">
      <c r="A1700" s="3">
        <v>37</v>
      </c>
      <c r="B1700" s="4" t="s">
        <v>67</v>
      </c>
      <c r="C1700" s="3" t="s">
        <v>273</v>
      </c>
      <c r="D1700" s="3" t="s">
        <v>138</v>
      </c>
      <c r="E1700" s="3">
        <v>0</v>
      </c>
      <c r="F1700">
        <f>SUM(E1695:E1700)</f>
        <v>52</v>
      </c>
      <c r="G1700" s="57"/>
    </row>
    <row r="1701" spans="1:7" ht="12.75" x14ac:dyDescent="0.2">
      <c r="A1701" s="3">
        <v>37</v>
      </c>
      <c r="B1701" s="4" t="s">
        <v>67</v>
      </c>
      <c r="C1701" s="3" t="s">
        <v>125</v>
      </c>
      <c r="D1701" s="3" t="s">
        <v>283</v>
      </c>
      <c r="E1701" s="3">
        <v>30</v>
      </c>
      <c r="G1701" s="57"/>
    </row>
    <row r="1702" spans="1:7" ht="12.75" x14ac:dyDescent="0.2">
      <c r="A1702" s="3">
        <v>37</v>
      </c>
      <c r="B1702" s="4" t="s">
        <v>67</v>
      </c>
      <c r="C1702" s="3" t="s">
        <v>125</v>
      </c>
      <c r="D1702" s="3" t="s">
        <v>315</v>
      </c>
      <c r="E1702" s="3">
        <v>0</v>
      </c>
      <c r="G1702" s="57"/>
    </row>
    <row r="1703" spans="1:7" ht="12.75" x14ac:dyDescent="0.2">
      <c r="A1703" s="3">
        <v>37</v>
      </c>
      <c r="B1703" s="4" t="s">
        <v>67</v>
      </c>
      <c r="C1703" s="3" t="s">
        <v>125</v>
      </c>
      <c r="D1703" s="3" t="s">
        <v>128</v>
      </c>
      <c r="E1703" s="3">
        <v>15</v>
      </c>
      <c r="G1703" s="57"/>
    </row>
    <row r="1704" spans="1:7" ht="12.75" x14ac:dyDescent="0.2">
      <c r="A1704" s="3">
        <v>37</v>
      </c>
      <c r="B1704" s="4" t="s">
        <v>67</v>
      </c>
      <c r="C1704" s="3" t="s">
        <v>125</v>
      </c>
      <c r="D1704" s="3" t="s">
        <v>149</v>
      </c>
      <c r="E1704" s="3">
        <v>2</v>
      </c>
      <c r="G1704" s="57"/>
    </row>
    <row r="1705" spans="1:7" ht="12.75" x14ac:dyDescent="0.2">
      <c r="A1705" s="3">
        <v>37</v>
      </c>
      <c r="B1705" s="4" t="s">
        <v>67</v>
      </c>
      <c r="C1705" s="3" t="s">
        <v>125</v>
      </c>
      <c r="D1705" s="3" t="s">
        <v>14</v>
      </c>
      <c r="E1705" s="3">
        <v>5</v>
      </c>
      <c r="G1705" s="57"/>
    </row>
    <row r="1706" spans="1:7" ht="12.75" x14ac:dyDescent="0.2">
      <c r="A1706" s="3">
        <v>37</v>
      </c>
      <c r="B1706" s="4" t="s">
        <v>67</v>
      </c>
      <c r="C1706" s="3" t="s">
        <v>125</v>
      </c>
      <c r="D1706" s="3" t="s">
        <v>138</v>
      </c>
      <c r="E1706" s="3">
        <v>0</v>
      </c>
      <c r="F1706">
        <f>SUM(E1701:E1706)</f>
        <v>52</v>
      </c>
      <c r="G1706" s="57"/>
    </row>
    <row r="1707" spans="1:7" ht="12.75" x14ac:dyDescent="0.2">
      <c r="A1707" s="3">
        <v>38</v>
      </c>
      <c r="B1707" s="4" t="s">
        <v>68</v>
      </c>
      <c r="C1707" s="3" t="s">
        <v>347</v>
      </c>
      <c r="D1707" s="3" t="s">
        <v>283</v>
      </c>
      <c r="E1707" s="3">
        <v>67</v>
      </c>
      <c r="G1707" s="59">
        <v>478</v>
      </c>
    </row>
    <row r="1708" spans="1:7" ht="12.75" x14ac:dyDescent="0.2">
      <c r="A1708" s="3">
        <v>38</v>
      </c>
      <c r="B1708" s="4" t="s">
        <v>68</v>
      </c>
      <c r="C1708" s="3" t="s">
        <v>347</v>
      </c>
      <c r="D1708" s="3" t="s">
        <v>315</v>
      </c>
      <c r="E1708" s="3">
        <v>3</v>
      </c>
      <c r="G1708" s="57"/>
    </row>
    <row r="1709" spans="1:7" ht="12.75" x14ac:dyDescent="0.2">
      <c r="A1709" s="3">
        <v>38</v>
      </c>
      <c r="B1709" s="4" t="s">
        <v>68</v>
      </c>
      <c r="C1709" s="3" t="s">
        <v>347</v>
      </c>
      <c r="D1709" s="3" t="s">
        <v>316</v>
      </c>
      <c r="E1709" s="3">
        <v>8</v>
      </c>
      <c r="G1709" s="57"/>
    </row>
    <row r="1710" spans="1:7" ht="12.75" x14ac:dyDescent="0.2">
      <c r="A1710" s="3">
        <v>38</v>
      </c>
      <c r="B1710" s="4" t="s">
        <v>68</v>
      </c>
      <c r="C1710" s="3" t="s">
        <v>347</v>
      </c>
      <c r="D1710" s="3" t="s">
        <v>128</v>
      </c>
      <c r="E1710" s="3">
        <v>238</v>
      </c>
      <c r="G1710" s="57"/>
    </row>
    <row r="1711" spans="1:7" ht="12.75" x14ac:dyDescent="0.2">
      <c r="A1711" s="3">
        <v>38</v>
      </c>
      <c r="B1711" s="4" t="s">
        <v>68</v>
      </c>
      <c r="C1711" s="3" t="s">
        <v>347</v>
      </c>
      <c r="D1711" s="3" t="s">
        <v>353</v>
      </c>
      <c r="E1711" s="3">
        <v>9</v>
      </c>
      <c r="G1711" s="57"/>
    </row>
    <row r="1712" spans="1:7" ht="12.75" x14ac:dyDescent="0.2">
      <c r="A1712" s="3">
        <v>38</v>
      </c>
      <c r="B1712" s="4" t="s">
        <v>68</v>
      </c>
      <c r="C1712" s="3" t="s">
        <v>347</v>
      </c>
      <c r="D1712" s="3" t="s">
        <v>149</v>
      </c>
      <c r="E1712" s="3">
        <v>88</v>
      </c>
      <c r="G1712" s="57"/>
    </row>
    <row r="1713" spans="1:7" ht="12.75" x14ac:dyDescent="0.2">
      <c r="A1713" s="3">
        <v>38</v>
      </c>
      <c r="B1713" s="4" t="s">
        <v>68</v>
      </c>
      <c r="C1713" s="3" t="s">
        <v>347</v>
      </c>
      <c r="D1713" s="3" t="s">
        <v>14</v>
      </c>
      <c r="E1713" s="3">
        <v>8</v>
      </c>
      <c r="G1713" s="57"/>
    </row>
    <row r="1714" spans="1:7" ht="12.75" x14ac:dyDescent="0.2">
      <c r="A1714" s="3">
        <v>38</v>
      </c>
      <c r="B1714" s="4" t="s">
        <v>68</v>
      </c>
      <c r="C1714" s="3" t="s">
        <v>347</v>
      </c>
      <c r="D1714" s="3" t="s">
        <v>138</v>
      </c>
      <c r="E1714" s="3">
        <v>0</v>
      </c>
      <c r="F1714">
        <f>SUM(E1707:E1714)</f>
        <v>421</v>
      </c>
      <c r="G1714" s="57"/>
    </row>
    <row r="1715" spans="1:7" ht="12.75" x14ac:dyDescent="0.2">
      <c r="A1715" s="3">
        <v>38</v>
      </c>
      <c r="B1715" s="4" t="s">
        <v>68</v>
      </c>
      <c r="C1715" s="3" t="s">
        <v>273</v>
      </c>
      <c r="D1715" s="3" t="s">
        <v>283</v>
      </c>
      <c r="E1715" s="3">
        <v>108</v>
      </c>
      <c r="G1715" s="57"/>
    </row>
    <row r="1716" spans="1:7" ht="12.75" x14ac:dyDescent="0.2">
      <c r="A1716" s="3">
        <v>38</v>
      </c>
      <c r="B1716" s="4" t="s">
        <v>68</v>
      </c>
      <c r="C1716" s="3" t="s">
        <v>273</v>
      </c>
      <c r="D1716" s="3" t="s">
        <v>315</v>
      </c>
      <c r="E1716" s="3">
        <v>2</v>
      </c>
      <c r="G1716" s="57"/>
    </row>
    <row r="1717" spans="1:7" ht="12.75" x14ac:dyDescent="0.2">
      <c r="A1717" s="3">
        <v>38</v>
      </c>
      <c r="B1717" s="4" t="s">
        <v>68</v>
      </c>
      <c r="C1717" s="3" t="s">
        <v>273</v>
      </c>
      <c r="D1717" s="3" t="s">
        <v>128</v>
      </c>
      <c r="E1717" s="3">
        <v>242</v>
      </c>
      <c r="G1717" s="57"/>
    </row>
    <row r="1718" spans="1:7" ht="12.75" x14ac:dyDescent="0.2">
      <c r="A1718" s="3">
        <v>38</v>
      </c>
      <c r="B1718" s="4" t="s">
        <v>68</v>
      </c>
      <c r="C1718" s="3" t="s">
        <v>273</v>
      </c>
      <c r="D1718" s="3" t="s">
        <v>149</v>
      </c>
      <c r="E1718" s="3">
        <v>11</v>
      </c>
      <c r="G1718" s="57"/>
    </row>
    <row r="1719" spans="1:7" ht="12.75" x14ac:dyDescent="0.2">
      <c r="A1719" s="3">
        <v>38</v>
      </c>
      <c r="B1719" s="4" t="s">
        <v>68</v>
      </c>
      <c r="C1719" s="3" t="s">
        <v>273</v>
      </c>
      <c r="D1719" s="3" t="s">
        <v>14</v>
      </c>
      <c r="E1719" s="3">
        <v>58</v>
      </c>
      <c r="G1719" s="57"/>
    </row>
    <row r="1720" spans="1:7" ht="12.75" x14ac:dyDescent="0.2">
      <c r="A1720" s="3">
        <v>38</v>
      </c>
      <c r="B1720" s="4" t="s">
        <v>68</v>
      </c>
      <c r="C1720" s="3" t="s">
        <v>273</v>
      </c>
      <c r="D1720" s="3" t="s">
        <v>138</v>
      </c>
      <c r="E1720" s="3">
        <v>0</v>
      </c>
      <c r="F1720">
        <f>SUM(E1715:E1720)</f>
        <v>421</v>
      </c>
      <c r="G1720" s="57"/>
    </row>
    <row r="1721" spans="1:7" ht="12.75" x14ac:dyDescent="0.2">
      <c r="A1721" s="3">
        <v>38</v>
      </c>
      <c r="B1721" s="4" t="s">
        <v>68</v>
      </c>
      <c r="C1721" s="3" t="s">
        <v>125</v>
      </c>
      <c r="D1721" s="3" t="s">
        <v>283</v>
      </c>
      <c r="E1721" s="3">
        <v>108</v>
      </c>
      <c r="G1721" s="57"/>
    </row>
    <row r="1722" spans="1:7" ht="12.75" x14ac:dyDescent="0.2">
      <c r="A1722" s="3">
        <v>38</v>
      </c>
      <c r="B1722" s="4" t="s">
        <v>68</v>
      </c>
      <c r="C1722" s="3" t="s">
        <v>125</v>
      </c>
      <c r="D1722" s="3" t="s">
        <v>315</v>
      </c>
      <c r="E1722" s="3">
        <v>2</v>
      </c>
      <c r="G1722" s="57"/>
    </row>
    <row r="1723" spans="1:7" ht="12.75" x14ac:dyDescent="0.2">
      <c r="A1723" s="3">
        <v>38</v>
      </c>
      <c r="B1723" s="4" t="s">
        <v>68</v>
      </c>
      <c r="C1723" s="3" t="s">
        <v>125</v>
      </c>
      <c r="D1723" s="3" t="s">
        <v>128</v>
      </c>
      <c r="E1723" s="3">
        <v>244</v>
      </c>
      <c r="G1723" s="57"/>
    </row>
    <row r="1724" spans="1:7" ht="12.75" x14ac:dyDescent="0.2">
      <c r="A1724" s="3">
        <v>38</v>
      </c>
      <c r="B1724" s="4" t="s">
        <v>68</v>
      </c>
      <c r="C1724" s="3" t="s">
        <v>125</v>
      </c>
      <c r="D1724" s="3" t="s">
        <v>149</v>
      </c>
      <c r="E1724" s="3">
        <v>11</v>
      </c>
      <c r="G1724" s="57"/>
    </row>
    <row r="1725" spans="1:7" ht="12.75" x14ac:dyDescent="0.2">
      <c r="A1725" s="3">
        <v>38</v>
      </c>
      <c r="B1725" s="4" t="s">
        <v>68</v>
      </c>
      <c r="C1725" s="3" t="s">
        <v>125</v>
      </c>
      <c r="D1725" s="3" t="s">
        <v>14</v>
      </c>
      <c r="E1725" s="3">
        <v>56</v>
      </c>
      <c r="G1725" s="57"/>
    </row>
    <row r="1726" spans="1:7" ht="12.75" x14ac:dyDescent="0.2">
      <c r="A1726" s="3">
        <v>38</v>
      </c>
      <c r="B1726" s="4" t="s">
        <v>68</v>
      </c>
      <c r="C1726" s="3" t="s">
        <v>125</v>
      </c>
      <c r="D1726" s="3" t="s">
        <v>138</v>
      </c>
      <c r="E1726" s="3">
        <v>0</v>
      </c>
      <c r="F1726">
        <f>SUM(E1721:E1726)</f>
        <v>421</v>
      </c>
      <c r="G1726" s="57"/>
    </row>
    <row r="1727" spans="1:7" ht="12.75" x14ac:dyDescent="0.2">
      <c r="A1727" s="3">
        <v>39</v>
      </c>
      <c r="B1727" s="4" t="s">
        <v>69</v>
      </c>
      <c r="C1727" s="3" t="s">
        <v>347</v>
      </c>
      <c r="D1727" s="3" t="s">
        <v>283</v>
      </c>
      <c r="E1727" s="3">
        <v>517</v>
      </c>
      <c r="G1727" s="59">
        <v>1615</v>
      </c>
    </row>
    <row r="1728" spans="1:7" ht="12.75" x14ac:dyDescent="0.2">
      <c r="A1728" s="3">
        <v>39</v>
      </c>
      <c r="B1728" s="4" t="s">
        <v>69</v>
      </c>
      <c r="C1728" s="3" t="s">
        <v>347</v>
      </c>
      <c r="D1728" s="3" t="s">
        <v>315</v>
      </c>
      <c r="E1728" s="3">
        <v>16</v>
      </c>
      <c r="G1728" s="57"/>
    </row>
    <row r="1729" spans="1:7" ht="12.75" x14ac:dyDescent="0.2">
      <c r="A1729" s="3">
        <v>39</v>
      </c>
      <c r="B1729" s="4" t="s">
        <v>69</v>
      </c>
      <c r="C1729" s="3" t="s">
        <v>347</v>
      </c>
      <c r="D1729" s="3" t="s">
        <v>316</v>
      </c>
      <c r="E1729" s="3">
        <v>8</v>
      </c>
      <c r="G1729" s="57"/>
    </row>
    <row r="1730" spans="1:7" ht="12.75" x14ac:dyDescent="0.2">
      <c r="A1730" s="3">
        <v>39</v>
      </c>
      <c r="B1730" s="4" t="s">
        <v>69</v>
      </c>
      <c r="C1730" s="3" t="s">
        <v>347</v>
      </c>
      <c r="D1730" s="3" t="s">
        <v>128</v>
      </c>
      <c r="E1730" s="3">
        <v>443</v>
      </c>
      <c r="G1730" s="57"/>
    </row>
    <row r="1731" spans="1:7" ht="12.75" x14ac:dyDescent="0.2">
      <c r="A1731" s="3">
        <v>39</v>
      </c>
      <c r="B1731" s="4" t="s">
        <v>69</v>
      </c>
      <c r="C1731" s="3" t="s">
        <v>347</v>
      </c>
      <c r="D1731" s="3" t="s">
        <v>353</v>
      </c>
      <c r="E1731" s="3">
        <v>17</v>
      </c>
      <c r="G1731" s="57"/>
    </row>
    <row r="1732" spans="1:7" ht="12.75" x14ac:dyDescent="0.2">
      <c r="A1732" s="3">
        <v>39</v>
      </c>
      <c r="B1732" s="4" t="s">
        <v>69</v>
      </c>
      <c r="C1732" s="3" t="s">
        <v>347</v>
      </c>
      <c r="D1732" s="3" t="s">
        <v>149</v>
      </c>
      <c r="E1732" s="3">
        <v>297</v>
      </c>
      <c r="G1732" s="57"/>
    </row>
    <row r="1733" spans="1:7" ht="12.75" x14ac:dyDescent="0.2">
      <c r="A1733" s="3">
        <v>39</v>
      </c>
      <c r="B1733" s="4" t="s">
        <v>69</v>
      </c>
      <c r="C1733" s="3" t="s">
        <v>347</v>
      </c>
      <c r="D1733" s="3" t="s">
        <v>14</v>
      </c>
      <c r="E1733" s="3">
        <v>64</v>
      </c>
      <c r="G1733" s="57"/>
    </row>
    <row r="1734" spans="1:7" ht="12.75" x14ac:dyDescent="0.2">
      <c r="A1734" s="3">
        <v>39</v>
      </c>
      <c r="B1734" s="4" t="s">
        <v>69</v>
      </c>
      <c r="C1734" s="3" t="s">
        <v>347</v>
      </c>
      <c r="D1734" s="3" t="s">
        <v>138</v>
      </c>
      <c r="E1734" s="3">
        <v>0</v>
      </c>
      <c r="F1734">
        <f>SUM(E1727:E1734)</f>
        <v>1362</v>
      </c>
      <c r="G1734" s="57"/>
    </row>
    <row r="1735" spans="1:7" ht="12.75" x14ac:dyDescent="0.2">
      <c r="A1735" s="3">
        <v>39</v>
      </c>
      <c r="B1735" s="4" t="s">
        <v>69</v>
      </c>
      <c r="C1735" s="3" t="s">
        <v>273</v>
      </c>
      <c r="D1735" s="3" t="s">
        <v>283</v>
      </c>
      <c r="E1735" s="3">
        <v>632</v>
      </c>
      <c r="G1735" s="57"/>
    </row>
    <row r="1736" spans="1:7" ht="12.75" x14ac:dyDescent="0.2">
      <c r="A1736" s="3">
        <v>39</v>
      </c>
      <c r="B1736" s="4" t="s">
        <v>69</v>
      </c>
      <c r="C1736" s="3" t="s">
        <v>273</v>
      </c>
      <c r="D1736" s="3" t="s">
        <v>315</v>
      </c>
      <c r="E1736" s="3">
        <v>7</v>
      </c>
      <c r="G1736" s="57"/>
    </row>
    <row r="1737" spans="1:7" ht="12.75" x14ac:dyDescent="0.2">
      <c r="A1737" s="3">
        <v>39</v>
      </c>
      <c r="B1737" s="4" t="s">
        <v>69</v>
      </c>
      <c r="C1737" s="3" t="s">
        <v>273</v>
      </c>
      <c r="D1737" s="3" t="s">
        <v>128</v>
      </c>
      <c r="E1737" s="3">
        <v>429</v>
      </c>
      <c r="G1737" s="57"/>
    </row>
    <row r="1738" spans="1:7" ht="12.75" x14ac:dyDescent="0.2">
      <c r="A1738" s="3">
        <v>39</v>
      </c>
      <c r="B1738" s="4" t="s">
        <v>69</v>
      </c>
      <c r="C1738" s="3" t="s">
        <v>273</v>
      </c>
      <c r="D1738" s="3" t="s">
        <v>149</v>
      </c>
      <c r="E1738" s="3">
        <v>62</v>
      </c>
      <c r="G1738" s="57"/>
    </row>
    <row r="1739" spans="1:7" ht="12.75" x14ac:dyDescent="0.2">
      <c r="A1739" s="3">
        <v>39</v>
      </c>
      <c r="B1739" s="4" t="s">
        <v>69</v>
      </c>
      <c r="C1739" s="3" t="s">
        <v>273</v>
      </c>
      <c r="D1739" s="3" t="s">
        <v>14</v>
      </c>
      <c r="E1739" s="3">
        <v>232</v>
      </c>
      <c r="G1739" s="57"/>
    </row>
    <row r="1740" spans="1:7" ht="12.75" x14ac:dyDescent="0.2">
      <c r="A1740" s="3">
        <v>39</v>
      </c>
      <c r="B1740" s="4" t="s">
        <v>69</v>
      </c>
      <c r="C1740" s="3" t="s">
        <v>273</v>
      </c>
      <c r="D1740" s="3" t="s">
        <v>138</v>
      </c>
      <c r="E1740" s="3">
        <v>0</v>
      </c>
      <c r="F1740">
        <f>SUM(E1735:E1740)</f>
        <v>1362</v>
      </c>
      <c r="G1740" s="57"/>
    </row>
    <row r="1741" spans="1:7" ht="12.75" x14ac:dyDescent="0.2">
      <c r="A1741" s="3">
        <v>39</v>
      </c>
      <c r="B1741" s="4" t="s">
        <v>69</v>
      </c>
      <c r="C1741" s="3" t="s">
        <v>125</v>
      </c>
      <c r="D1741" s="3" t="s">
        <v>283</v>
      </c>
      <c r="E1741" s="3">
        <v>629</v>
      </c>
      <c r="G1741" s="57"/>
    </row>
    <row r="1742" spans="1:7" ht="12.75" x14ac:dyDescent="0.2">
      <c r="A1742" s="3">
        <v>39</v>
      </c>
      <c r="B1742" s="4" t="s">
        <v>69</v>
      </c>
      <c r="C1742" s="3" t="s">
        <v>125</v>
      </c>
      <c r="D1742" s="3" t="s">
        <v>315</v>
      </c>
      <c r="E1742" s="3">
        <v>6</v>
      </c>
      <c r="G1742" s="57"/>
    </row>
    <row r="1743" spans="1:7" ht="12.75" x14ac:dyDescent="0.2">
      <c r="A1743" s="3">
        <v>39</v>
      </c>
      <c r="B1743" s="4" t="s">
        <v>69</v>
      </c>
      <c r="C1743" s="3" t="s">
        <v>125</v>
      </c>
      <c r="D1743" s="3" t="s">
        <v>128</v>
      </c>
      <c r="E1743" s="3">
        <v>431</v>
      </c>
      <c r="G1743" s="57"/>
    </row>
    <row r="1744" spans="1:7" ht="12.75" x14ac:dyDescent="0.2">
      <c r="A1744" s="3">
        <v>39</v>
      </c>
      <c r="B1744" s="4" t="s">
        <v>69</v>
      </c>
      <c r="C1744" s="3" t="s">
        <v>125</v>
      </c>
      <c r="D1744" s="3" t="s">
        <v>149</v>
      </c>
      <c r="E1744" s="3">
        <v>57</v>
      </c>
      <c r="G1744" s="57"/>
    </row>
    <row r="1745" spans="1:7" ht="12.75" x14ac:dyDescent="0.2">
      <c r="A1745" s="3">
        <v>39</v>
      </c>
      <c r="B1745" s="4" t="s">
        <v>69</v>
      </c>
      <c r="C1745" s="3" t="s">
        <v>125</v>
      </c>
      <c r="D1745" s="3" t="s">
        <v>14</v>
      </c>
      <c r="E1745" s="3">
        <v>239</v>
      </c>
      <c r="G1745" s="57"/>
    </row>
    <row r="1746" spans="1:7" ht="12.75" x14ac:dyDescent="0.2">
      <c r="A1746" s="3">
        <v>39</v>
      </c>
      <c r="B1746" s="4" t="s">
        <v>69</v>
      </c>
      <c r="C1746" s="3" t="s">
        <v>125</v>
      </c>
      <c r="D1746" s="3" t="s">
        <v>138</v>
      </c>
      <c r="E1746" s="3">
        <v>0</v>
      </c>
      <c r="F1746">
        <f>SUM(E1741:E1746)</f>
        <v>1362</v>
      </c>
      <c r="G1746" s="57"/>
    </row>
    <row r="1747" spans="1:7" ht="12.75" x14ac:dyDescent="0.2">
      <c r="A1747" s="2" t="s">
        <v>70</v>
      </c>
      <c r="B1747" s="4" t="s">
        <v>71</v>
      </c>
      <c r="C1747" s="3" t="s">
        <v>347</v>
      </c>
      <c r="D1747" s="3" t="s">
        <v>283</v>
      </c>
      <c r="E1747" s="3">
        <v>102</v>
      </c>
      <c r="G1747" s="59">
        <v>400</v>
      </c>
    </row>
    <row r="1748" spans="1:7" ht="12.75" x14ac:dyDescent="0.2">
      <c r="A1748" s="2" t="s">
        <v>70</v>
      </c>
      <c r="B1748" s="4" t="s">
        <v>71</v>
      </c>
      <c r="C1748" s="3" t="s">
        <v>347</v>
      </c>
      <c r="D1748" s="3" t="s">
        <v>315</v>
      </c>
      <c r="E1748" s="3">
        <v>5</v>
      </c>
      <c r="G1748" s="57"/>
    </row>
    <row r="1749" spans="1:7" ht="12.75" x14ac:dyDescent="0.2">
      <c r="A1749" s="2" t="s">
        <v>70</v>
      </c>
      <c r="B1749" s="4" t="s">
        <v>71</v>
      </c>
      <c r="C1749" s="3" t="s">
        <v>347</v>
      </c>
      <c r="D1749" s="3" t="s">
        <v>316</v>
      </c>
      <c r="E1749" s="3">
        <v>1</v>
      </c>
      <c r="G1749" s="57"/>
    </row>
    <row r="1750" spans="1:7" ht="12.75" x14ac:dyDescent="0.2">
      <c r="A1750" s="2" t="s">
        <v>70</v>
      </c>
      <c r="B1750" s="4" t="s">
        <v>71</v>
      </c>
      <c r="C1750" s="3" t="s">
        <v>347</v>
      </c>
      <c r="D1750" s="3" t="s">
        <v>128</v>
      </c>
      <c r="E1750" s="3">
        <v>159</v>
      </c>
      <c r="G1750" s="57"/>
    </row>
    <row r="1751" spans="1:7" ht="12.75" x14ac:dyDescent="0.2">
      <c r="A1751" s="2" t="s">
        <v>70</v>
      </c>
      <c r="B1751" s="4" t="s">
        <v>71</v>
      </c>
      <c r="C1751" s="3" t="s">
        <v>347</v>
      </c>
      <c r="D1751" s="3" t="s">
        <v>353</v>
      </c>
      <c r="E1751" s="3">
        <v>4</v>
      </c>
      <c r="G1751" s="57"/>
    </row>
    <row r="1752" spans="1:7" ht="12.75" x14ac:dyDescent="0.2">
      <c r="A1752" s="2" t="s">
        <v>70</v>
      </c>
      <c r="B1752" s="4" t="s">
        <v>71</v>
      </c>
      <c r="C1752" s="3" t="s">
        <v>347</v>
      </c>
      <c r="D1752" s="3" t="s">
        <v>149</v>
      </c>
      <c r="E1752" s="3">
        <v>61</v>
      </c>
      <c r="G1752" s="57"/>
    </row>
    <row r="1753" spans="1:7" ht="12.75" x14ac:dyDescent="0.2">
      <c r="A1753" s="2" t="s">
        <v>70</v>
      </c>
      <c r="B1753" s="4" t="s">
        <v>71</v>
      </c>
      <c r="C1753" s="3" t="s">
        <v>347</v>
      </c>
      <c r="D1753" s="3" t="s">
        <v>14</v>
      </c>
      <c r="E1753" s="3">
        <v>21</v>
      </c>
      <c r="G1753" s="57"/>
    </row>
    <row r="1754" spans="1:7" ht="12.75" x14ac:dyDescent="0.2">
      <c r="A1754" s="2" t="s">
        <v>70</v>
      </c>
      <c r="B1754" s="4" t="s">
        <v>71</v>
      </c>
      <c r="C1754" s="3" t="s">
        <v>347</v>
      </c>
      <c r="D1754" s="3" t="s">
        <v>138</v>
      </c>
      <c r="E1754" s="3">
        <v>8</v>
      </c>
      <c r="F1754">
        <f>SUM(E1747:E1754)</f>
        <v>361</v>
      </c>
      <c r="G1754" s="57"/>
    </row>
    <row r="1755" spans="1:7" ht="12.75" x14ac:dyDescent="0.2">
      <c r="A1755" s="2" t="s">
        <v>70</v>
      </c>
      <c r="B1755" s="4" t="s">
        <v>71</v>
      </c>
      <c r="C1755" s="3" t="s">
        <v>273</v>
      </c>
      <c r="D1755" s="3" t="s">
        <v>283</v>
      </c>
      <c r="E1755" s="3">
        <v>139</v>
      </c>
      <c r="G1755" s="57"/>
    </row>
    <row r="1756" spans="1:7" ht="12.75" x14ac:dyDescent="0.2">
      <c r="A1756" s="2" t="s">
        <v>70</v>
      </c>
      <c r="B1756" s="4" t="s">
        <v>71</v>
      </c>
      <c r="C1756" s="3" t="s">
        <v>273</v>
      </c>
      <c r="D1756" s="3" t="s">
        <v>315</v>
      </c>
      <c r="E1756" s="3">
        <v>0</v>
      </c>
      <c r="G1756" s="57"/>
    </row>
    <row r="1757" spans="1:7" ht="12.75" x14ac:dyDescent="0.2">
      <c r="A1757" s="2" t="s">
        <v>70</v>
      </c>
      <c r="B1757" s="4" t="s">
        <v>71</v>
      </c>
      <c r="C1757" s="3" t="s">
        <v>273</v>
      </c>
      <c r="D1757" s="3" t="s">
        <v>128</v>
      </c>
      <c r="E1757" s="3">
        <v>158</v>
      </c>
      <c r="G1757" s="57"/>
    </row>
    <row r="1758" spans="1:7" ht="12.75" x14ac:dyDescent="0.2">
      <c r="A1758" s="2" t="s">
        <v>70</v>
      </c>
      <c r="B1758" s="4" t="s">
        <v>71</v>
      </c>
      <c r="C1758" s="3" t="s">
        <v>273</v>
      </c>
      <c r="D1758" s="3" t="s">
        <v>149</v>
      </c>
      <c r="E1758" s="3">
        <v>9</v>
      </c>
      <c r="G1758" s="57"/>
    </row>
    <row r="1759" spans="1:7" ht="12.75" x14ac:dyDescent="0.2">
      <c r="A1759" s="2" t="s">
        <v>70</v>
      </c>
      <c r="B1759" s="4" t="s">
        <v>71</v>
      </c>
      <c r="C1759" s="3" t="s">
        <v>273</v>
      </c>
      <c r="D1759" s="3" t="s">
        <v>14</v>
      </c>
      <c r="E1759" s="3">
        <v>47</v>
      </c>
      <c r="G1759" s="57"/>
    </row>
    <row r="1760" spans="1:7" ht="12.75" x14ac:dyDescent="0.2">
      <c r="A1760" s="2" t="s">
        <v>70</v>
      </c>
      <c r="B1760" s="4" t="s">
        <v>71</v>
      </c>
      <c r="C1760" s="3" t="s">
        <v>273</v>
      </c>
      <c r="D1760" s="3" t="s">
        <v>138</v>
      </c>
      <c r="E1760" s="3">
        <v>8</v>
      </c>
      <c r="F1760">
        <f>SUM(E1755:E1760)</f>
        <v>361</v>
      </c>
      <c r="G1760" s="57"/>
    </row>
    <row r="1761" spans="1:7" ht="12.75" x14ac:dyDescent="0.2">
      <c r="A1761" s="2" t="s">
        <v>70</v>
      </c>
      <c r="B1761" s="4" t="s">
        <v>71</v>
      </c>
      <c r="C1761" s="3" t="s">
        <v>125</v>
      </c>
      <c r="D1761" s="3" t="s">
        <v>283</v>
      </c>
      <c r="E1761" s="3">
        <v>139</v>
      </c>
      <c r="G1761" s="57"/>
    </row>
    <row r="1762" spans="1:7" ht="12.75" x14ac:dyDescent="0.2">
      <c r="A1762" s="2" t="s">
        <v>70</v>
      </c>
      <c r="B1762" s="4" t="s">
        <v>71</v>
      </c>
      <c r="C1762" s="3" t="s">
        <v>125</v>
      </c>
      <c r="D1762" s="3" t="s">
        <v>315</v>
      </c>
      <c r="E1762" s="3">
        <v>1</v>
      </c>
      <c r="G1762" s="57"/>
    </row>
    <row r="1763" spans="1:7" ht="12.75" x14ac:dyDescent="0.2">
      <c r="A1763" s="2" t="s">
        <v>70</v>
      </c>
      <c r="B1763" s="4" t="s">
        <v>71</v>
      </c>
      <c r="C1763" s="3" t="s">
        <v>125</v>
      </c>
      <c r="D1763" s="3" t="s">
        <v>128</v>
      </c>
      <c r="E1763" s="3">
        <v>158</v>
      </c>
      <c r="G1763" s="57"/>
    </row>
    <row r="1764" spans="1:7" ht="12.75" x14ac:dyDescent="0.2">
      <c r="A1764" s="2" t="s">
        <v>70</v>
      </c>
      <c r="B1764" s="4" t="s">
        <v>71</v>
      </c>
      <c r="C1764" s="3" t="s">
        <v>125</v>
      </c>
      <c r="D1764" s="3" t="s">
        <v>149</v>
      </c>
      <c r="E1764" s="3">
        <v>6</v>
      </c>
      <c r="G1764" s="57"/>
    </row>
    <row r="1765" spans="1:7" ht="12.75" x14ac:dyDescent="0.2">
      <c r="A1765" s="2" t="s">
        <v>70</v>
      </c>
      <c r="B1765" s="4" t="s">
        <v>71</v>
      </c>
      <c r="C1765" s="3" t="s">
        <v>125</v>
      </c>
      <c r="D1765" s="3" t="s">
        <v>14</v>
      </c>
      <c r="E1765" s="3">
        <v>49</v>
      </c>
      <c r="G1765" s="57"/>
    </row>
    <row r="1766" spans="1:7" ht="12.75" x14ac:dyDescent="0.2">
      <c r="A1766" s="2" t="s">
        <v>70</v>
      </c>
      <c r="B1766" s="4" t="s">
        <v>71</v>
      </c>
      <c r="C1766" s="3" t="s">
        <v>125</v>
      </c>
      <c r="D1766" s="3" t="s">
        <v>138</v>
      </c>
      <c r="E1766" s="3">
        <v>8</v>
      </c>
      <c r="F1766">
        <f>SUM(E1761:E1766)</f>
        <v>361</v>
      </c>
      <c r="G1766" s="57"/>
    </row>
    <row r="1767" spans="1:7" ht="12.75" x14ac:dyDescent="0.2">
      <c r="A1767" s="2">
        <v>40</v>
      </c>
      <c r="B1767" s="4" t="s">
        <v>72</v>
      </c>
      <c r="C1767" s="3" t="s">
        <v>347</v>
      </c>
      <c r="D1767" s="3" t="s">
        <v>283</v>
      </c>
      <c r="E1767" s="3">
        <v>553</v>
      </c>
      <c r="G1767" s="59">
        <v>2506</v>
      </c>
    </row>
    <row r="1768" spans="1:7" ht="12.75" x14ac:dyDescent="0.2">
      <c r="A1768" s="2">
        <v>40</v>
      </c>
      <c r="B1768" s="4" t="s">
        <v>72</v>
      </c>
      <c r="C1768" s="3" t="s">
        <v>347</v>
      </c>
      <c r="D1768" s="3" t="s">
        <v>315</v>
      </c>
      <c r="E1768" s="3">
        <v>22</v>
      </c>
      <c r="G1768" s="57"/>
    </row>
    <row r="1769" spans="1:7" ht="12.75" x14ac:dyDescent="0.2">
      <c r="A1769" s="2">
        <v>40</v>
      </c>
      <c r="B1769" s="4" t="s">
        <v>72</v>
      </c>
      <c r="C1769" s="3" t="s">
        <v>347</v>
      </c>
      <c r="D1769" s="3" t="s">
        <v>316</v>
      </c>
      <c r="E1769" s="3">
        <v>16</v>
      </c>
      <c r="G1769" s="57"/>
    </row>
    <row r="1770" spans="1:7" ht="12.75" x14ac:dyDescent="0.2">
      <c r="A1770" s="2">
        <v>40</v>
      </c>
      <c r="B1770" s="4" t="s">
        <v>72</v>
      </c>
      <c r="C1770" s="3" t="s">
        <v>347</v>
      </c>
      <c r="D1770" s="3" t="s">
        <v>128</v>
      </c>
      <c r="E1770" s="3">
        <v>956</v>
      </c>
      <c r="G1770" s="57"/>
    </row>
    <row r="1771" spans="1:7" ht="12.75" x14ac:dyDescent="0.2">
      <c r="A1771" s="2">
        <v>40</v>
      </c>
      <c r="B1771" s="4" t="s">
        <v>72</v>
      </c>
      <c r="C1771" s="3" t="s">
        <v>347</v>
      </c>
      <c r="D1771" s="3" t="s">
        <v>353</v>
      </c>
      <c r="E1771" s="3">
        <v>30</v>
      </c>
      <c r="G1771" s="57"/>
    </row>
    <row r="1772" spans="1:7" ht="12.75" x14ac:dyDescent="0.2">
      <c r="A1772" s="2">
        <v>40</v>
      </c>
      <c r="B1772" s="4" t="s">
        <v>72</v>
      </c>
      <c r="C1772" s="3" t="s">
        <v>347</v>
      </c>
      <c r="D1772" s="3" t="s">
        <v>149</v>
      </c>
      <c r="E1772" s="3">
        <v>425</v>
      </c>
      <c r="G1772" s="57"/>
    </row>
    <row r="1773" spans="1:7" ht="12.75" x14ac:dyDescent="0.2">
      <c r="A1773" s="2">
        <v>40</v>
      </c>
      <c r="B1773" s="4" t="s">
        <v>72</v>
      </c>
      <c r="C1773" s="3" t="s">
        <v>347</v>
      </c>
      <c r="D1773" s="3" t="s">
        <v>14</v>
      </c>
      <c r="E1773" s="3">
        <v>96</v>
      </c>
      <c r="G1773" s="57"/>
    </row>
    <row r="1774" spans="1:7" ht="12.75" x14ac:dyDescent="0.2">
      <c r="A1774" s="2">
        <v>40</v>
      </c>
      <c r="B1774" s="4" t="s">
        <v>72</v>
      </c>
      <c r="C1774" s="3" t="s">
        <v>347</v>
      </c>
      <c r="D1774" s="3" t="s">
        <v>138</v>
      </c>
      <c r="E1774" s="3">
        <v>10</v>
      </c>
      <c r="F1774">
        <f>SUM(E1767:E1774)</f>
        <v>2108</v>
      </c>
      <c r="G1774" s="57"/>
    </row>
    <row r="1775" spans="1:7" ht="12.75" x14ac:dyDescent="0.2">
      <c r="A1775" s="2">
        <v>40</v>
      </c>
      <c r="B1775" s="4" t="s">
        <v>72</v>
      </c>
      <c r="C1775" s="3" t="s">
        <v>273</v>
      </c>
      <c r="D1775" s="3" t="s">
        <v>283</v>
      </c>
      <c r="E1775" s="3">
        <v>747</v>
      </c>
      <c r="G1775" s="57"/>
    </row>
    <row r="1776" spans="1:7" ht="12.75" x14ac:dyDescent="0.2">
      <c r="A1776" s="2">
        <v>40</v>
      </c>
      <c r="B1776" s="4" t="s">
        <v>72</v>
      </c>
      <c r="C1776" s="3" t="s">
        <v>273</v>
      </c>
      <c r="D1776" s="3" t="s">
        <v>315</v>
      </c>
      <c r="E1776" s="3">
        <v>10</v>
      </c>
      <c r="G1776" s="57"/>
    </row>
    <row r="1777" spans="1:7" ht="12.75" x14ac:dyDescent="0.2">
      <c r="A1777" s="2">
        <v>40</v>
      </c>
      <c r="B1777" s="4" t="s">
        <v>72</v>
      </c>
      <c r="C1777" s="3" t="s">
        <v>273</v>
      </c>
      <c r="D1777" s="3" t="s">
        <v>128</v>
      </c>
      <c r="E1777" s="3">
        <v>852</v>
      </c>
      <c r="G1777" s="57"/>
    </row>
    <row r="1778" spans="1:7" ht="12.75" x14ac:dyDescent="0.2">
      <c r="A1778" s="2">
        <v>40</v>
      </c>
      <c r="B1778" s="4" t="s">
        <v>72</v>
      </c>
      <c r="C1778" s="3" t="s">
        <v>273</v>
      </c>
      <c r="D1778" s="3" t="s">
        <v>149</v>
      </c>
      <c r="E1778" s="3">
        <v>170</v>
      </c>
      <c r="G1778" s="57"/>
    </row>
    <row r="1779" spans="1:7" ht="12.75" x14ac:dyDescent="0.2">
      <c r="A1779" s="2">
        <v>40</v>
      </c>
      <c r="B1779" s="4" t="s">
        <v>72</v>
      </c>
      <c r="C1779" s="3" t="s">
        <v>273</v>
      </c>
      <c r="D1779" s="3" t="s">
        <v>14</v>
      </c>
      <c r="E1779" s="3">
        <v>319</v>
      </c>
      <c r="G1779" s="57"/>
    </row>
    <row r="1780" spans="1:7" ht="12.75" x14ac:dyDescent="0.2">
      <c r="A1780" s="2">
        <v>40</v>
      </c>
      <c r="B1780" s="4" t="s">
        <v>72</v>
      </c>
      <c r="C1780" s="3" t="s">
        <v>273</v>
      </c>
      <c r="D1780" s="3" t="s">
        <v>138</v>
      </c>
      <c r="E1780" s="3">
        <v>10</v>
      </c>
      <c r="F1780">
        <f>SUM(E1775:E1780)</f>
        <v>2108</v>
      </c>
      <c r="G1780" s="57"/>
    </row>
    <row r="1781" spans="1:7" ht="12.75" x14ac:dyDescent="0.2">
      <c r="A1781" s="2">
        <v>40</v>
      </c>
      <c r="B1781" s="4" t="s">
        <v>72</v>
      </c>
      <c r="C1781" s="3" t="s">
        <v>125</v>
      </c>
      <c r="D1781" s="3" t="s">
        <v>283</v>
      </c>
      <c r="E1781" s="3">
        <v>750</v>
      </c>
      <c r="G1781" s="57"/>
    </row>
    <row r="1782" spans="1:7" ht="12.75" x14ac:dyDescent="0.2">
      <c r="A1782" s="2">
        <v>40</v>
      </c>
      <c r="B1782" s="4" t="s">
        <v>72</v>
      </c>
      <c r="C1782" s="3" t="s">
        <v>125</v>
      </c>
      <c r="D1782" s="3" t="s">
        <v>315</v>
      </c>
      <c r="E1782" s="3">
        <v>10</v>
      </c>
      <c r="G1782" s="57"/>
    </row>
    <row r="1783" spans="1:7" ht="12.75" x14ac:dyDescent="0.2">
      <c r="A1783" s="2">
        <v>40</v>
      </c>
      <c r="B1783" s="4" t="s">
        <v>72</v>
      </c>
      <c r="C1783" s="3" t="s">
        <v>125</v>
      </c>
      <c r="D1783" s="3" t="s">
        <v>128</v>
      </c>
      <c r="E1783" s="3">
        <v>857</v>
      </c>
      <c r="G1783" s="57"/>
    </row>
    <row r="1784" spans="1:7" ht="12.75" x14ac:dyDescent="0.2">
      <c r="A1784" s="2">
        <v>40</v>
      </c>
      <c r="B1784" s="4" t="s">
        <v>72</v>
      </c>
      <c r="C1784" s="3" t="s">
        <v>125</v>
      </c>
      <c r="D1784" s="3" t="s">
        <v>149</v>
      </c>
      <c r="E1784" s="3">
        <v>141</v>
      </c>
      <c r="G1784" s="57"/>
    </row>
    <row r="1785" spans="1:7" ht="12.75" x14ac:dyDescent="0.2">
      <c r="A1785" s="2">
        <v>40</v>
      </c>
      <c r="B1785" s="4" t="s">
        <v>72</v>
      </c>
      <c r="C1785" s="3" t="s">
        <v>125</v>
      </c>
      <c r="D1785" s="3" t="s">
        <v>14</v>
      </c>
      <c r="E1785" s="3">
        <v>340</v>
      </c>
      <c r="G1785" s="57"/>
    </row>
    <row r="1786" spans="1:7" ht="12.75" x14ac:dyDescent="0.2">
      <c r="A1786" s="2">
        <v>40</v>
      </c>
      <c r="B1786" s="4" t="s">
        <v>72</v>
      </c>
      <c r="C1786" s="3" t="s">
        <v>125</v>
      </c>
      <c r="D1786" s="3" t="s">
        <v>138</v>
      </c>
      <c r="E1786" s="3">
        <v>10</v>
      </c>
      <c r="F1786">
        <f>SUM(E1781:E1786)</f>
        <v>2108</v>
      </c>
      <c r="G1786" s="57"/>
    </row>
    <row r="1787" spans="1:7" ht="12.75" x14ac:dyDescent="0.2">
      <c r="A1787" s="3">
        <v>42</v>
      </c>
      <c r="B1787" s="4" t="s">
        <v>73</v>
      </c>
      <c r="C1787" s="3" t="s">
        <v>347</v>
      </c>
      <c r="D1787" s="3" t="s">
        <v>283</v>
      </c>
      <c r="E1787" s="3">
        <v>623</v>
      </c>
      <c r="G1787" s="59">
        <v>2466</v>
      </c>
    </row>
    <row r="1788" spans="1:7" ht="12.75" x14ac:dyDescent="0.2">
      <c r="A1788" s="3">
        <v>42</v>
      </c>
      <c r="B1788" s="4" t="s">
        <v>73</v>
      </c>
      <c r="C1788" s="3" t="s">
        <v>347</v>
      </c>
      <c r="D1788" s="3" t="s">
        <v>315</v>
      </c>
      <c r="E1788" s="3">
        <v>62</v>
      </c>
      <c r="G1788" s="57"/>
    </row>
    <row r="1789" spans="1:7" ht="12.75" x14ac:dyDescent="0.2">
      <c r="A1789" s="3">
        <v>42</v>
      </c>
      <c r="B1789" s="4" t="s">
        <v>73</v>
      </c>
      <c r="C1789" s="3" t="s">
        <v>347</v>
      </c>
      <c r="D1789" s="3" t="s">
        <v>316</v>
      </c>
      <c r="E1789" s="3">
        <v>25</v>
      </c>
      <c r="G1789" s="57"/>
    </row>
    <row r="1790" spans="1:7" ht="12.75" x14ac:dyDescent="0.2">
      <c r="A1790" s="3">
        <v>42</v>
      </c>
      <c r="B1790" s="4" t="s">
        <v>73</v>
      </c>
      <c r="C1790" s="3" t="s">
        <v>347</v>
      </c>
      <c r="D1790" s="3" t="s">
        <v>128</v>
      </c>
      <c r="E1790" s="3">
        <v>699</v>
      </c>
      <c r="G1790" s="57"/>
    </row>
    <row r="1791" spans="1:7" ht="12.75" x14ac:dyDescent="0.2">
      <c r="A1791" s="3">
        <v>42</v>
      </c>
      <c r="B1791" s="4" t="s">
        <v>73</v>
      </c>
      <c r="C1791" s="3" t="s">
        <v>347</v>
      </c>
      <c r="D1791" s="3" t="s">
        <v>353</v>
      </c>
      <c r="E1791" s="3">
        <v>31</v>
      </c>
      <c r="G1791" s="57"/>
    </row>
    <row r="1792" spans="1:7" ht="12.75" x14ac:dyDescent="0.2">
      <c r="A1792" s="3">
        <v>42</v>
      </c>
      <c r="B1792" s="4" t="s">
        <v>73</v>
      </c>
      <c r="C1792" s="3" t="s">
        <v>347</v>
      </c>
      <c r="D1792" s="3" t="s">
        <v>149</v>
      </c>
      <c r="E1792" s="3">
        <v>498</v>
      </c>
      <c r="G1792" s="57"/>
    </row>
    <row r="1793" spans="1:7" ht="12.75" x14ac:dyDescent="0.2">
      <c r="A1793" s="3">
        <v>42</v>
      </c>
      <c r="B1793" s="4" t="s">
        <v>73</v>
      </c>
      <c r="C1793" s="3" t="s">
        <v>347</v>
      </c>
      <c r="D1793" s="3" t="s">
        <v>14</v>
      </c>
      <c r="E1793" s="3">
        <v>110</v>
      </c>
      <c r="G1793" s="57"/>
    </row>
    <row r="1794" spans="1:7" ht="12.75" x14ac:dyDescent="0.2">
      <c r="A1794" s="3">
        <v>42</v>
      </c>
      <c r="B1794" s="4" t="s">
        <v>73</v>
      </c>
      <c r="C1794" s="3" t="s">
        <v>347</v>
      </c>
      <c r="D1794" s="3" t="s">
        <v>138</v>
      </c>
      <c r="E1794" s="3">
        <v>7</v>
      </c>
      <c r="F1794">
        <f>SUM(E1787:E1794)</f>
        <v>2055</v>
      </c>
      <c r="G1794" s="57"/>
    </row>
    <row r="1795" spans="1:7" ht="12.75" x14ac:dyDescent="0.2">
      <c r="A1795" s="3">
        <v>42</v>
      </c>
      <c r="B1795" s="4" t="s">
        <v>73</v>
      </c>
      <c r="C1795" s="3" t="s">
        <v>273</v>
      </c>
      <c r="D1795" s="3" t="s">
        <v>283</v>
      </c>
      <c r="E1795" s="3">
        <v>691</v>
      </c>
      <c r="G1795" s="57"/>
    </row>
    <row r="1796" spans="1:7" ht="12.75" x14ac:dyDescent="0.2">
      <c r="A1796" s="3">
        <v>42</v>
      </c>
      <c r="B1796" s="4" t="s">
        <v>73</v>
      </c>
      <c r="C1796" s="3" t="s">
        <v>273</v>
      </c>
      <c r="D1796" s="3" t="s">
        <v>315</v>
      </c>
      <c r="E1796" s="3">
        <v>34</v>
      </c>
      <c r="G1796" s="57"/>
    </row>
    <row r="1797" spans="1:7" ht="12.75" x14ac:dyDescent="0.2">
      <c r="A1797" s="3">
        <v>42</v>
      </c>
      <c r="B1797" s="4" t="s">
        <v>73</v>
      </c>
      <c r="C1797" s="3" t="s">
        <v>273</v>
      </c>
      <c r="D1797" s="3" t="s">
        <v>128</v>
      </c>
      <c r="E1797" s="3">
        <v>576</v>
      </c>
      <c r="G1797" s="57"/>
    </row>
    <row r="1798" spans="1:7" ht="12.75" x14ac:dyDescent="0.2">
      <c r="A1798" s="3">
        <v>42</v>
      </c>
      <c r="B1798" s="4" t="s">
        <v>73</v>
      </c>
      <c r="C1798" s="3" t="s">
        <v>273</v>
      </c>
      <c r="D1798" s="3" t="s">
        <v>149</v>
      </c>
      <c r="E1798" s="3">
        <v>285</v>
      </c>
      <c r="G1798" s="57"/>
    </row>
    <row r="1799" spans="1:7" ht="12.75" x14ac:dyDescent="0.2">
      <c r="A1799" s="3">
        <v>42</v>
      </c>
      <c r="B1799" s="4" t="s">
        <v>73</v>
      </c>
      <c r="C1799" s="3" t="s">
        <v>273</v>
      </c>
      <c r="D1799" s="3" t="s">
        <v>14</v>
      </c>
      <c r="E1799" s="3">
        <v>461</v>
      </c>
      <c r="G1799" s="57"/>
    </row>
    <row r="1800" spans="1:7" ht="12.75" x14ac:dyDescent="0.2">
      <c r="A1800" s="3">
        <v>42</v>
      </c>
      <c r="B1800" s="4" t="s">
        <v>73</v>
      </c>
      <c r="C1800" s="3" t="s">
        <v>273</v>
      </c>
      <c r="D1800" s="3" t="s">
        <v>138</v>
      </c>
      <c r="E1800" s="3">
        <v>8</v>
      </c>
      <c r="F1800">
        <f>SUM(E1795:E1800)</f>
        <v>2055</v>
      </c>
      <c r="G1800" s="57"/>
    </row>
    <row r="1801" spans="1:7" ht="12.75" x14ac:dyDescent="0.2">
      <c r="A1801" s="3">
        <v>42</v>
      </c>
      <c r="B1801" s="4" t="s">
        <v>73</v>
      </c>
      <c r="C1801" s="3" t="s">
        <v>125</v>
      </c>
      <c r="D1801" s="3" t="s">
        <v>283</v>
      </c>
      <c r="E1801" s="3">
        <v>687</v>
      </c>
      <c r="G1801" s="57"/>
    </row>
    <row r="1802" spans="1:7" ht="12.75" x14ac:dyDescent="0.2">
      <c r="A1802" s="3">
        <v>42</v>
      </c>
      <c r="B1802" s="4" t="s">
        <v>73</v>
      </c>
      <c r="C1802" s="3" t="s">
        <v>125</v>
      </c>
      <c r="D1802" s="3" t="s">
        <v>315</v>
      </c>
      <c r="E1802" s="3">
        <v>33</v>
      </c>
      <c r="G1802" s="57"/>
    </row>
    <row r="1803" spans="1:7" ht="12.75" x14ac:dyDescent="0.2">
      <c r="A1803" s="3">
        <v>42</v>
      </c>
      <c r="B1803" s="4" t="s">
        <v>73</v>
      </c>
      <c r="C1803" s="3" t="s">
        <v>125</v>
      </c>
      <c r="D1803" s="3" t="s">
        <v>128</v>
      </c>
      <c r="E1803" s="3">
        <v>570</v>
      </c>
      <c r="G1803" s="57"/>
    </row>
    <row r="1804" spans="1:7" ht="12.75" x14ac:dyDescent="0.2">
      <c r="A1804" s="3">
        <v>42</v>
      </c>
      <c r="B1804" s="4" t="s">
        <v>73</v>
      </c>
      <c r="C1804" s="3" t="s">
        <v>125</v>
      </c>
      <c r="D1804" s="3" t="s">
        <v>149</v>
      </c>
      <c r="E1804" s="3">
        <v>274</v>
      </c>
      <c r="G1804" s="57"/>
    </row>
    <row r="1805" spans="1:7" ht="12.75" x14ac:dyDescent="0.2">
      <c r="A1805" s="3">
        <v>42</v>
      </c>
      <c r="B1805" s="4" t="s">
        <v>73</v>
      </c>
      <c r="C1805" s="3" t="s">
        <v>125</v>
      </c>
      <c r="D1805" s="3" t="s">
        <v>14</v>
      </c>
      <c r="E1805" s="3">
        <v>483</v>
      </c>
      <c r="G1805" s="57"/>
    </row>
    <row r="1806" spans="1:7" ht="12.75" x14ac:dyDescent="0.2">
      <c r="A1806" s="3">
        <v>42</v>
      </c>
      <c r="B1806" s="4" t="s">
        <v>73</v>
      </c>
      <c r="C1806" s="3" t="s">
        <v>125</v>
      </c>
      <c r="D1806" s="3" t="s">
        <v>138</v>
      </c>
      <c r="E1806" s="3">
        <v>8</v>
      </c>
      <c r="F1806">
        <f>SUM(E1801:E1806)</f>
        <v>2055</v>
      </c>
      <c r="G1806" s="57"/>
    </row>
    <row r="1807" spans="1:7" ht="12.75" x14ac:dyDescent="0.2">
      <c r="A1807" s="3">
        <v>43</v>
      </c>
      <c r="B1807" s="4" t="s">
        <v>74</v>
      </c>
      <c r="C1807" s="3" t="s">
        <v>347</v>
      </c>
      <c r="D1807" s="3" t="s">
        <v>283</v>
      </c>
      <c r="E1807" s="3">
        <v>125</v>
      </c>
      <c r="G1807" s="59">
        <v>337</v>
      </c>
    </row>
    <row r="1808" spans="1:7" ht="12.75" x14ac:dyDescent="0.2">
      <c r="A1808" s="3">
        <v>43</v>
      </c>
      <c r="B1808" s="4" t="s">
        <v>74</v>
      </c>
      <c r="C1808" s="3" t="s">
        <v>347</v>
      </c>
      <c r="D1808" s="3" t="s">
        <v>315</v>
      </c>
      <c r="E1808" s="3">
        <v>1</v>
      </c>
      <c r="G1808" s="57"/>
    </row>
    <row r="1809" spans="1:7" ht="12.75" x14ac:dyDescent="0.2">
      <c r="A1809" s="3">
        <v>43</v>
      </c>
      <c r="B1809" s="4" t="s">
        <v>74</v>
      </c>
      <c r="C1809" s="3" t="s">
        <v>347</v>
      </c>
      <c r="D1809" s="3" t="s">
        <v>316</v>
      </c>
      <c r="E1809" s="3">
        <v>1</v>
      </c>
      <c r="G1809" s="57"/>
    </row>
    <row r="1810" spans="1:7" ht="12.75" x14ac:dyDescent="0.2">
      <c r="A1810" s="3">
        <v>43</v>
      </c>
      <c r="B1810" s="4" t="s">
        <v>74</v>
      </c>
      <c r="C1810" s="3" t="s">
        <v>347</v>
      </c>
      <c r="D1810" s="3" t="s">
        <v>128</v>
      </c>
      <c r="E1810" s="3">
        <v>121</v>
      </c>
      <c r="G1810" s="57"/>
    </row>
    <row r="1811" spans="1:7" ht="12.75" x14ac:dyDescent="0.2">
      <c r="A1811" s="3">
        <v>43</v>
      </c>
      <c r="B1811" s="4" t="s">
        <v>74</v>
      </c>
      <c r="C1811" s="3" t="s">
        <v>347</v>
      </c>
      <c r="D1811" s="3" t="s">
        <v>353</v>
      </c>
      <c r="E1811" s="3">
        <v>2</v>
      </c>
      <c r="G1811" s="57"/>
    </row>
    <row r="1812" spans="1:7" ht="12.75" x14ac:dyDescent="0.2">
      <c r="A1812" s="3">
        <v>43</v>
      </c>
      <c r="B1812" s="4" t="s">
        <v>74</v>
      </c>
      <c r="C1812" s="3" t="s">
        <v>347</v>
      </c>
      <c r="D1812" s="3" t="s">
        <v>149</v>
      </c>
      <c r="E1812" s="3">
        <v>21</v>
      </c>
      <c r="G1812" s="57"/>
    </row>
    <row r="1813" spans="1:7" ht="12.75" x14ac:dyDescent="0.2">
      <c r="A1813" s="3">
        <v>43</v>
      </c>
      <c r="B1813" s="4" t="s">
        <v>74</v>
      </c>
      <c r="C1813" s="3" t="s">
        <v>347</v>
      </c>
      <c r="D1813" s="3" t="s">
        <v>14</v>
      </c>
      <c r="E1813" s="3">
        <v>30</v>
      </c>
      <c r="G1813" s="57"/>
    </row>
    <row r="1814" spans="1:7" ht="12.75" x14ac:dyDescent="0.2">
      <c r="A1814" s="3">
        <v>43</v>
      </c>
      <c r="B1814" s="4" t="s">
        <v>74</v>
      </c>
      <c r="C1814" s="3" t="s">
        <v>347</v>
      </c>
      <c r="D1814" s="3" t="s">
        <v>138</v>
      </c>
      <c r="E1814" s="3">
        <v>0</v>
      </c>
      <c r="F1814">
        <f>SUM(E1807:E1814)</f>
        <v>301</v>
      </c>
      <c r="G1814" s="57"/>
    </row>
    <row r="1815" spans="1:7" ht="12.75" x14ac:dyDescent="0.2">
      <c r="A1815" s="3">
        <v>43</v>
      </c>
      <c r="B1815" s="4" t="s">
        <v>74</v>
      </c>
      <c r="C1815" s="3" t="s">
        <v>273</v>
      </c>
      <c r="D1815" s="3" t="s">
        <v>283</v>
      </c>
      <c r="E1815" s="3">
        <v>122</v>
      </c>
      <c r="G1815" s="57"/>
    </row>
    <row r="1816" spans="1:7" ht="12.75" x14ac:dyDescent="0.2">
      <c r="A1816" s="3">
        <v>43</v>
      </c>
      <c r="B1816" s="4" t="s">
        <v>74</v>
      </c>
      <c r="C1816" s="3" t="s">
        <v>273</v>
      </c>
      <c r="D1816" s="3" t="s">
        <v>315</v>
      </c>
      <c r="E1816" s="3">
        <v>1</v>
      </c>
      <c r="G1816" s="57"/>
    </row>
    <row r="1817" spans="1:7" ht="12.75" x14ac:dyDescent="0.2">
      <c r="A1817" s="3">
        <v>43</v>
      </c>
      <c r="B1817" s="4" t="s">
        <v>74</v>
      </c>
      <c r="C1817" s="3" t="s">
        <v>273</v>
      </c>
      <c r="D1817" s="3" t="s">
        <v>128</v>
      </c>
      <c r="E1817" s="3">
        <v>120</v>
      </c>
      <c r="G1817" s="57"/>
    </row>
    <row r="1818" spans="1:7" ht="12.75" x14ac:dyDescent="0.2">
      <c r="A1818" s="3">
        <v>43</v>
      </c>
      <c r="B1818" s="4" t="s">
        <v>74</v>
      </c>
      <c r="C1818" s="3" t="s">
        <v>273</v>
      </c>
      <c r="D1818" s="3" t="s">
        <v>149</v>
      </c>
      <c r="E1818" s="3">
        <v>15</v>
      </c>
      <c r="G1818" s="57"/>
    </row>
    <row r="1819" spans="1:7" ht="12.75" x14ac:dyDescent="0.2">
      <c r="A1819" s="3">
        <v>43</v>
      </c>
      <c r="B1819" s="4" t="s">
        <v>74</v>
      </c>
      <c r="C1819" s="3" t="s">
        <v>273</v>
      </c>
      <c r="D1819" s="3" t="s">
        <v>14</v>
      </c>
      <c r="E1819" s="3">
        <v>43</v>
      </c>
      <c r="G1819" s="57"/>
    </row>
    <row r="1820" spans="1:7" ht="12.75" x14ac:dyDescent="0.2">
      <c r="A1820" s="3">
        <v>43</v>
      </c>
      <c r="B1820" s="4" t="s">
        <v>74</v>
      </c>
      <c r="C1820" s="3" t="s">
        <v>273</v>
      </c>
      <c r="D1820" s="3" t="s">
        <v>138</v>
      </c>
      <c r="E1820" s="3">
        <v>0</v>
      </c>
      <c r="F1820">
        <f>SUM(E1815:E1820)</f>
        <v>301</v>
      </c>
      <c r="G1820" s="57"/>
    </row>
    <row r="1821" spans="1:7" ht="12.75" x14ac:dyDescent="0.2">
      <c r="A1821" s="3">
        <v>43</v>
      </c>
      <c r="B1821" s="4" t="s">
        <v>74</v>
      </c>
      <c r="C1821" s="3" t="s">
        <v>125</v>
      </c>
      <c r="D1821" s="3" t="s">
        <v>283</v>
      </c>
      <c r="E1821" s="3">
        <v>122</v>
      </c>
      <c r="G1821" s="57"/>
    </row>
    <row r="1822" spans="1:7" ht="12.75" x14ac:dyDescent="0.2">
      <c r="A1822" s="3">
        <v>43</v>
      </c>
      <c r="B1822" s="4" t="s">
        <v>74</v>
      </c>
      <c r="C1822" s="3" t="s">
        <v>125</v>
      </c>
      <c r="D1822" s="3" t="s">
        <v>315</v>
      </c>
      <c r="E1822" s="3">
        <v>1</v>
      </c>
      <c r="G1822" s="57"/>
    </row>
    <row r="1823" spans="1:7" ht="12.75" x14ac:dyDescent="0.2">
      <c r="A1823" s="3">
        <v>43</v>
      </c>
      <c r="B1823" s="4" t="s">
        <v>74</v>
      </c>
      <c r="C1823" s="3" t="s">
        <v>125</v>
      </c>
      <c r="D1823" s="3" t="s">
        <v>128</v>
      </c>
      <c r="E1823" s="3">
        <v>119</v>
      </c>
      <c r="G1823" s="57"/>
    </row>
    <row r="1824" spans="1:7" ht="12.75" x14ac:dyDescent="0.2">
      <c r="A1824" s="3">
        <v>43</v>
      </c>
      <c r="B1824" s="4" t="s">
        <v>74</v>
      </c>
      <c r="C1824" s="3" t="s">
        <v>125</v>
      </c>
      <c r="D1824" s="3" t="s">
        <v>149</v>
      </c>
      <c r="E1824" s="3">
        <v>5</v>
      </c>
      <c r="G1824" s="57"/>
    </row>
    <row r="1825" spans="1:7" ht="12.75" x14ac:dyDescent="0.2">
      <c r="A1825" s="3">
        <v>43</v>
      </c>
      <c r="B1825" s="4" t="s">
        <v>74</v>
      </c>
      <c r="C1825" s="3" t="s">
        <v>125</v>
      </c>
      <c r="D1825" s="3" t="s">
        <v>14</v>
      </c>
      <c r="E1825" s="3">
        <v>54</v>
      </c>
      <c r="G1825" s="57"/>
    </row>
    <row r="1826" spans="1:7" ht="12.75" x14ac:dyDescent="0.2">
      <c r="A1826" s="3">
        <v>43</v>
      </c>
      <c r="B1826" s="4" t="s">
        <v>74</v>
      </c>
      <c r="C1826" s="3" t="s">
        <v>125</v>
      </c>
      <c r="D1826" s="3" t="s">
        <v>138</v>
      </c>
      <c r="E1826" s="3">
        <v>0</v>
      </c>
      <c r="F1826">
        <f>SUM(E1821:E1826)</f>
        <v>301</v>
      </c>
      <c r="G1826" s="57"/>
    </row>
    <row r="1827" spans="1:7" ht="12.75" x14ac:dyDescent="0.2">
      <c r="A1827" s="3">
        <v>45</v>
      </c>
      <c r="B1827" s="4" t="s">
        <v>75</v>
      </c>
      <c r="C1827" s="3" t="s">
        <v>347</v>
      </c>
      <c r="D1827" s="3" t="s">
        <v>283</v>
      </c>
      <c r="E1827" s="3">
        <v>62</v>
      </c>
      <c r="G1827" s="59">
        <v>127</v>
      </c>
    </row>
    <row r="1828" spans="1:7" ht="12.75" x14ac:dyDescent="0.2">
      <c r="A1828" s="3">
        <v>45</v>
      </c>
      <c r="B1828" s="4" t="s">
        <v>75</v>
      </c>
      <c r="C1828" s="3" t="s">
        <v>347</v>
      </c>
      <c r="D1828" s="3" t="s">
        <v>315</v>
      </c>
      <c r="E1828" s="3">
        <v>1</v>
      </c>
      <c r="G1828" s="57"/>
    </row>
    <row r="1829" spans="1:7" ht="12.75" x14ac:dyDescent="0.2">
      <c r="A1829" s="3">
        <v>45</v>
      </c>
      <c r="B1829" s="4" t="s">
        <v>75</v>
      </c>
      <c r="C1829" s="3" t="s">
        <v>347</v>
      </c>
      <c r="D1829" s="3" t="s">
        <v>316</v>
      </c>
      <c r="E1829" s="3">
        <v>1</v>
      </c>
      <c r="G1829" s="57"/>
    </row>
    <row r="1830" spans="1:7" ht="12.75" x14ac:dyDescent="0.2">
      <c r="A1830" s="3">
        <v>45</v>
      </c>
      <c r="B1830" s="4" t="s">
        <v>75</v>
      </c>
      <c r="C1830" s="3" t="s">
        <v>347</v>
      </c>
      <c r="D1830" s="3" t="s">
        <v>128</v>
      </c>
      <c r="E1830" s="3">
        <v>8</v>
      </c>
      <c r="G1830" s="57"/>
    </row>
    <row r="1831" spans="1:7" ht="12.75" x14ac:dyDescent="0.2">
      <c r="A1831" s="3">
        <v>45</v>
      </c>
      <c r="B1831" s="4" t="s">
        <v>75</v>
      </c>
      <c r="C1831" s="3" t="s">
        <v>347</v>
      </c>
      <c r="D1831" s="3" t="s">
        <v>353</v>
      </c>
      <c r="E1831" s="3">
        <v>0</v>
      </c>
      <c r="G1831" s="57"/>
    </row>
    <row r="1832" spans="1:7" ht="12.75" x14ac:dyDescent="0.2">
      <c r="A1832" s="3">
        <v>45</v>
      </c>
      <c r="B1832" s="4" t="s">
        <v>75</v>
      </c>
      <c r="C1832" s="3" t="s">
        <v>347</v>
      </c>
      <c r="D1832" s="3" t="s">
        <v>149</v>
      </c>
      <c r="E1832" s="3">
        <v>31</v>
      </c>
      <c r="G1832" s="57"/>
    </row>
    <row r="1833" spans="1:7" ht="12.75" x14ac:dyDescent="0.2">
      <c r="A1833" s="3">
        <v>45</v>
      </c>
      <c r="B1833" s="4" t="s">
        <v>75</v>
      </c>
      <c r="C1833" s="3" t="s">
        <v>347</v>
      </c>
      <c r="D1833" s="3" t="s">
        <v>14</v>
      </c>
      <c r="E1833" s="3">
        <v>7</v>
      </c>
      <c r="G1833" s="57"/>
    </row>
    <row r="1834" spans="1:7" ht="12.75" x14ac:dyDescent="0.2">
      <c r="A1834" s="3">
        <v>45</v>
      </c>
      <c r="B1834" s="4" t="s">
        <v>75</v>
      </c>
      <c r="C1834" s="3" t="s">
        <v>347</v>
      </c>
      <c r="D1834" s="3" t="s">
        <v>138</v>
      </c>
      <c r="E1834" s="3">
        <v>0</v>
      </c>
      <c r="F1834">
        <f>SUM(E1827:E1834)</f>
        <v>110</v>
      </c>
      <c r="G1834" s="57"/>
    </row>
    <row r="1835" spans="1:7" ht="12.75" x14ac:dyDescent="0.2">
      <c r="A1835" s="3">
        <v>45</v>
      </c>
      <c r="B1835" s="4" t="s">
        <v>75</v>
      </c>
      <c r="C1835" s="3" t="s">
        <v>273</v>
      </c>
      <c r="D1835" s="3" t="s">
        <v>283</v>
      </c>
      <c r="E1835" s="3">
        <v>74</v>
      </c>
      <c r="G1835" s="57"/>
    </row>
    <row r="1836" spans="1:7" ht="12.75" x14ac:dyDescent="0.2">
      <c r="A1836" s="3">
        <v>45</v>
      </c>
      <c r="B1836" s="4" t="s">
        <v>75</v>
      </c>
      <c r="C1836" s="3" t="s">
        <v>273</v>
      </c>
      <c r="D1836" s="3" t="s">
        <v>315</v>
      </c>
      <c r="E1836" s="3">
        <v>0</v>
      </c>
      <c r="G1836" s="57"/>
    </row>
    <row r="1837" spans="1:7" ht="12.75" x14ac:dyDescent="0.2">
      <c r="A1837" s="3">
        <v>45</v>
      </c>
      <c r="B1837" s="4" t="s">
        <v>75</v>
      </c>
      <c r="C1837" s="3" t="s">
        <v>273</v>
      </c>
      <c r="D1837" s="3" t="s">
        <v>128</v>
      </c>
      <c r="E1837" s="3">
        <v>4</v>
      </c>
      <c r="G1837" s="57"/>
    </row>
    <row r="1838" spans="1:7" ht="12.75" x14ac:dyDescent="0.2">
      <c r="A1838" s="3">
        <v>45</v>
      </c>
      <c r="B1838" s="4" t="s">
        <v>75</v>
      </c>
      <c r="C1838" s="3" t="s">
        <v>273</v>
      </c>
      <c r="D1838" s="3" t="s">
        <v>149</v>
      </c>
      <c r="E1838" s="3">
        <v>3</v>
      </c>
      <c r="G1838" s="57"/>
    </row>
    <row r="1839" spans="1:7" ht="12.75" x14ac:dyDescent="0.2">
      <c r="A1839" s="3">
        <v>45</v>
      </c>
      <c r="B1839" s="4" t="s">
        <v>75</v>
      </c>
      <c r="C1839" s="3" t="s">
        <v>273</v>
      </c>
      <c r="D1839" s="3" t="s">
        <v>14</v>
      </c>
      <c r="E1839" s="3">
        <v>29</v>
      </c>
      <c r="G1839" s="57"/>
    </row>
    <row r="1840" spans="1:7" ht="12.75" x14ac:dyDescent="0.2">
      <c r="A1840" s="3">
        <v>45</v>
      </c>
      <c r="B1840" s="4" t="s">
        <v>75</v>
      </c>
      <c r="C1840" s="3" t="s">
        <v>273</v>
      </c>
      <c r="D1840" s="3" t="s">
        <v>138</v>
      </c>
      <c r="E1840" s="3">
        <v>0</v>
      </c>
      <c r="F1840">
        <f>SUM(E1835:E1840)</f>
        <v>110</v>
      </c>
      <c r="G1840" s="57"/>
    </row>
    <row r="1841" spans="1:7" ht="12.75" x14ac:dyDescent="0.2">
      <c r="A1841" s="3">
        <v>45</v>
      </c>
      <c r="B1841" s="4" t="s">
        <v>75</v>
      </c>
      <c r="C1841" s="3" t="s">
        <v>125</v>
      </c>
      <c r="D1841" s="3" t="s">
        <v>283</v>
      </c>
      <c r="E1841" s="3">
        <v>74</v>
      </c>
      <c r="G1841" s="57"/>
    </row>
    <row r="1842" spans="1:7" ht="12.75" x14ac:dyDescent="0.2">
      <c r="A1842" s="3">
        <v>45</v>
      </c>
      <c r="B1842" s="4" t="s">
        <v>75</v>
      </c>
      <c r="C1842" s="3" t="s">
        <v>125</v>
      </c>
      <c r="D1842" s="3" t="s">
        <v>315</v>
      </c>
      <c r="E1842" s="3">
        <v>0</v>
      </c>
      <c r="G1842" s="57"/>
    </row>
    <row r="1843" spans="1:7" ht="12.75" x14ac:dyDescent="0.2">
      <c r="A1843" s="3">
        <v>45</v>
      </c>
      <c r="B1843" s="4" t="s">
        <v>75</v>
      </c>
      <c r="C1843" s="3" t="s">
        <v>125</v>
      </c>
      <c r="D1843" s="3" t="s">
        <v>128</v>
      </c>
      <c r="E1843" s="3">
        <v>4</v>
      </c>
      <c r="G1843" s="57"/>
    </row>
    <row r="1844" spans="1:7" ht="12.75" x14ac:dyDescent="0.2">
      <c r="A1844" s="3">
        <v>45</v>
      </c>
      <c r="B1844" s="4" t="s">
        <v>75</v>
      </c>
      <c r="C1844" s="3" t="s">
        <v>125</v>
      </c>
      <c r="D1844" s="3" t="s">
        <v>149</v>
      </c>
      <c r="E1844" s="3">
        <v>2</v>
      </c>
      <c r="G1844" s="57"/>
    </row>
    <row r="1845" spans="1:7" ht="12.75" x14ac:dyDescent="0.2">
      <c r="A1845" s="3">
        <v>45</v>
      </c>
      <c r="B1845" s="4" t="s">
        <v>75</v>
      </c>
      <c r="C1845" s="3" t="s">
        <v>125</v>
      </c>
      <c r="D1845" s="3" t="s">
        <v>14</v>
      </c>
      <c r="E1845" s="3">
        <v>30</v>
      </c>
      <c r="G1845" s="57"/>
    </row>
    <row r="1846" spans="1:7" ht="12.75" x14ac:dyDescent="0.2">
      <c r="A1846" s="3">
        <v>45</v>
      </c>
      <c r="B1846" s="4" t="s">
        <v>75</v>
      </c>
      <c r="C1846" s="3" t="s">
        <v>125</v>
      </c>
      <c r="D1846" s="3" t="s">
        <v>138</v>
      </c>
      <c r="E1846" s="3">
        <v>0</v>
      </c>
      <c r="F1846">
        <f>SUM(E1841:E1846)</f>
        <v>110</v>
      </c>
      <c r="G1846" s="57"/>
    </row>
    <row r="1847" spans="1:7" ht="12.75" x14ac:dyDescent="0.2">
      <c r="A1847" s="3">
        <v>46</v>
      </c>
      <c r="B1847" s="4" t="s">
        <v>76</v>
      </c>
      <c r="C1847" s="3" t="s">
        <v>347</v>
      </c>
      <c r="D1847" s="3" t="s">
        <v>283</v>
      </c>
      <c r="E1847" s="3">
        <v>350</v>
      </c>
      <c r="G1847" s="59">
        <v>673</v>
      </c>
    </row>
    <row r="1848" spans="1:7" ht="12.75" x14ac:dyDescent="0.2">
      <c r="A1848" s="3">
        <v>46</v>
      </c>
      <c r="B1848" s="4" t="s">
        <v>76</v>
      </c>
      <c r="C1848" s="3" t="s">
        <v>347</v>
      </c>
      <c r="D1848" s="3" t="s">
        <v>315</v>
      </c>
      <c r="E1848" s="3">
        <v>2</v>
      </c>
      <c r="G1848" s="57"/>
    </row>
    <row r="1849" spans="1:7" ht="12.75" x14ac:dyDescent="0.2">
      <c r="A1849" s="3">
        <v>46</v>
      </c>
      <c r="B1849" s="4" t="s">
        <v>76</v>
      </c>
      <c r="C1849" s="3" t="s">
        <v>347</v>
      </c>
      <c r="D1849" s="3" t="s">
        <v>316</v>
      </c>
      <c r="E1849" s="3">
        <v>5</v>
      </c>
      <c r="G1849" s="57"/>
    </row>
    <row r="1850" spans="1:7" ht="12.75" x14ac:dyDescent="0.2">
      <c r="A1850" s="3">
        <v>46</v>
      </c>
      <c r="B1850" s="4" t="s">
        <v>76</v>
      </c>
      <c r="C1850" s="3" t="s">
        <v>347</v>
      </c>
      <c r="D1850" s="3" t="s">
        <v>128</v>
      </c>
      <c r="E1850" s="3">
        <v>170</v>
      </c>
      <c r="G1850" s="57"/>
    </row>
    <row r="1851" spans="1:7" ht="12.75" x14ac:dyDescent="0.2">
      <c r="A1851" s="3">
        <v>46</v>
      </c>
      <c r="B1851" s="4" t="s">
        <v>76</v>
      </c>
      <c r="C1851" s="3" t="s">
        <v>347</v>
      </c>
      <c r="D1851" s="3" t="s">
        <v>353</v>
      </c>
      <c r="E1851" s="3">
        <v>3</v>
      </c>
      <c r="G1851" s="57"/>
    </row>
    <row r="1852" spans="1:7" ht="12.75" x14ac:dyDescent="0.2">
      <c r="A1852" s="3">
        <v>46</v>
      </c>
      <c r="B1852" s="4" t="s">
        <v>76</v>
      </c>
      <c r="C1852" s="3" t="s">
        <v>347</v>
      </c>
      <c r="D1852" s="3" t="s">
        <v>149</v>
      </c>
      <c r="E1852" s="3">
        <v>42</v>
      </c>
      <c r="G1852" s="57"/>
    </row>
    <row r="1853" spans="1:7" ht="12.75" x14ac:dyDescent="0.2">
      <c r="A1853" s="3">
        <v>46</v>
      </c>
      <c r="B1853" s="4" t="s">
        <v>76</v>
      </c>
      <c r="C1853" s="3" t="s">
        <v>347</v>
      </c>
      <c r="D1853" s="3" t="s">
        <v>14</v>
      </c>
      <c r="E1853" s="3">
        <v>26</v>
      </c>
      <c r="G1853" s="57"/>
    </row>
    <row r="1854" spans="1:7" ht="12.75" x14ac:dyDescent="0.2">
      <c r="A1854" s="3">
        <v>46</v>
      </c>
      <c r="B1854" s="4" t="s">
        <v>76</v>
      </c>
      <c r="C1854" s="3" t="s">
        <v>347</v>
      </c>
      <c r="D1854" s="3" t="s">
        <v>138</v>
      </c>
      <c r="E1854" s="3">
        <v>1</v>
      </c>
      <c r="F1854">
        <f>SUM(E1847:E1854)</f>
        <v>599</v>
      </c>
      <c r="G1854" s="57"/>
    </row>
    <row r="1855" spans="1:7" ht="12.75" x14ac:dyDescent="0.2">
      <c r="A1855" s="3">
        <v>46</v>
      </c>
      <c r="B1855" s="4" t="s">
        <v>76</v>
      </c>
      <c r="C1855" s="3" t="s">
        <v>273</v>
      </c>
      <c r="D1855" s="3" t="s">
        <v>283</v>
      </c>
      <c r="E1855" s="3">
        <v>368</v>
      </c>
      <c r="G1855" s="57"/>
    </row>
    <row r="1856" spans="1:7" ht="12.75" x14ac:dyDescent="0.2">
      <c r="A1856" s="3">
        <v>46</v>
      </c>
      <c r="B1856" s="4" t="s">
        <v>76</v>
      </c>
      <c r="C1856" s="3" t="s">
        <v>273</v>
      </c>
      <c r="D1856" s="3" t="s">
        <v>315</v>
      </c>
      <c r="E1856" s="3">
        <v>2</v>
      </c>
      <c r="G1856" s="57"/>
    </row>
    <row r="1857" spans="1:7" ht="12.75" x14ac:dyDescent="0.2">
      <c r="A1857" s="3">
        <v>46</v>
      </c>
      <c r="B1857" s="4" t="s">
        <v>76</v>
      </c>
      <c r="C1857" s="3" t="s">
        <v>273</v>
      </c>
      <c r="D1857" s="3" t="s">
        <v>128</v>
      </c>
      <c r="E1857" s="3">
        <v>155</v>
      </c>
      <c r="G1857" s="57"/>
    </row>
    <row r="1858" spans="1:7" ht="12.75" x14ac:dyDescent="0.2">
      <c r="A1858" s="3">
        <v>46</v>
      </c>
      <c r="B1858" s="4" t="s">
        <v>76</v>
      </c>
      <c r="C1858" s="3" t="s">
        <v>273</v>
      </c>
      <c r="D1858" s="3" t="s">
        <v>149</v>
      </c>
      <c r="E1858" s="3">
        <v>7</v>
      </c>
      <c r="G1858" s="57"/>
    </row>
    <row r="1859" spans="1:7" ht="12.75" x14ac:dyDescent="0.2">
      <c r="A1859" s="3">
        <v>46</v>
      </c>
      <c r="B1859" s="4" t="s">
        <v>76</v>
      </c>
      <c r="C1859" s="3" t="s">
        <v>273</v>
      </c>
      <c r="D1859" s="3" t="s">
        <v>14</v>
      </c>
      <c r="E1859" s="3">
        <v>66</v>
      </c>
      <c r="G1859" s="57"/>
    </row>
    <row r="1860" spans="1:7" ht="12.75" x14ac:dyDescent="0.2">
      <c r="A1860" s="3">
        <v>46</v>
      </c>
      <c r="B1860" s="4" t="s">
        <v>76</v>
      </c>
      <c r="C1860" s="3" t="s">
        <v>273</v>
      </c>
      <c r="D1860" s="3" t="s">
        <v>138</v>
      </c>
      <c r="E1860" s="3">
        <v>1</v>
      </c>
      <c r="F1860">
        <f>SUM(E1855:E1860)</f>
        <v>599</v>
      </c>
      <c r="G1860" s="57"/>
    </row>
    <row r="1861" spans="1:7" ht="12.75" x14ac:dyDescent="0.2">
      <c r="A1861" s="3">
        <v>46</v>
      </c>
      <c r="B1861" s="4" t="s">
        <v>76</v>
      </c>
      <c r="C1861" s="3" t="s">
        <v>125</v>
      </c>
      <c r="D1861" s="3" t="s">
        <v>283</v>
      </c>
      <c r="E1861" s="3">
        <v>370</v>
      </c>
      <c r="G1861" s="57"/>
    </row>
    <row r="1862" spans="1:7" ht="12.75" x14ac:dyDescent="0.2">
      <c r="A1862" s="3">
        <v>46</v>
      </c>
      <c r="B1862" s="4" t="s">
        <v>76</v>
      </c>
      <c r="C1862" s="3" t="s">
        <v>125</v>
      </c>
      <c r="D1862" s="3" t="s">
        <v>315</v>
      </c>
      <c r="E1862" s="3">
        <v>2</v>
      </c>
      <c r="G1862" s="57"/>
    </row>
    <row r="1863" spans="1:7" ht="12.75" x14ac:dyDescent="0.2">
      <c r="A1863" s="3">
        <v>46</v>
      </c>
      <c r="B1863" s="4" t="s">
        <v>76</v>
      </c>
      <c r="C1863" s="3" t="s">
        <v>125</v>
      </c>
      <c r="D1863" s="3" t="s">
        <v>128</v>
      </c>
      <c r="E1863" s="3">
        <v>155</v>
      </c>
      <c r="G1863" s="57"/>
    </row>
    <row r="1864" spans="1:7" ht="12.75" x14ac:dyDescent="0.2">
      <c r="A1864" s="3">
        <v>46</v>
      </c>
      <c r="B1864" s="4" t="s">
        <v>76</v>
      </c>
      <c r="C1864" s="3" t="s">
        <v>125</v>
      </c>
      <c r="D1864" s="3" t="s">
        <v>149</v>
      </c>
      <c r="E1864" s="3">
        <v>5</v>
      </c>
      <c r="G1864" s="57"/>
    </row>
    <row r="1865" spans="1:7" ht="12.75" x14ac:dyDescent="0.2">
      <c r="A1865" s="3">
        <v>46</v>
      </c>
      <c r="B1865" s="4" t="s">
        <v>76</v>
      </c>
      <c r="C1865" s="3" t="s">
        <v>125</v>
      </c>
      <c r="D1865" s="3" t="s">
        <v>14</v>
      </c>
      <c r="E1865" s="3">
        <v>66</v>
      </c>
      <c r="G1865" s="57"/>
    </row>
    <row r="1866" spans="1:7" ht="12.75" x14ac:dyDescent="0.2">
      <c r="A1866" s="3">
        <v>46</v>
      </c>
      <c r="B1866" s="4" t="s">
        <v>76</v>
      </c>
      <c r="C1866" s="3" t="s">
        <v>125</v>
      </c>
      <c r="D1866" s="3" t="s">
        <v>138</v>
      </c>
      <c r="E1866" s="3">
        <v>1</v>
      </c>
      <c r="F1866">
        <f>SUM(E1861:E1866)</f>
        <v>599</v>
      </c>
      <c r="G1866" s="57"/>
    </row>
    <row r="1867" spans="1:7" ht="12.75" x14ac:dyDescent="0.2">
      <c r="A1867" s="3">
        <v>47</v>
      </c>
      <c r="B1867" s="4" t="s">
        <v>77</v>
      </c>
      <c r="C1867" s="3" t="s">
        <v>347</v>
      </c>
      <c r="D1867" s="3" t="s">
        <v>283</v>
      </c>
      <c r="E1867" s="3">
        <v>519</v>
      </c>
      <c r="G1867" s="59">
        <v>1179</v>
      </c>
    </row>
    <row r="1868" spans="1:7" ht="12.75" x14ac:dyDescent="0.2">
      <c r="A1868" s="3">
        <v>47</v>
      </c>
      <c r="B1868" s="4" t="s">
        <v>77</v>
      </c>
      <c r="C1868" s="3" t="s">
        <v>347</v>
      </c>
      <c r="D1868" s="3" t="s">
        <v>315</v>
      </c>
      <c r="E1868" s="3">
        <v>10</v>
      </c>
      <c r="G1868" s="57"/>
    </row>
    <row r="1869" spans="1:7" ht="12.75" x14ac:dyDescent="0.2">
      <c r="A1869" s="3">
        <v>47</v>
      </c>
      <c r="B1869" s="4" t="s">
        <v>77</v>
      </c>
      <c r="C1869" s="3" t="s">
        <v>347</v>
      </c>
      <c r="D1869" s="3" t="s">
        <v>316</v>
      </c>
      <c r="E1869" s="3">
        <v>9</v>
      </c>
      <c r="G1869" s="57"/>
    </row>
    <row r="1870" spans="1:7" ht="12.75" x14ac:dyDescent="0.2">
      <c r="A1870" s="3">
        <v>47</v>
      </c>
      <c r="B1870" s="4" t="s">
        <v>77</v>
      </c>
      <c r="C1870" s="3" t="s">
        <v>347</v>
      </c>
      <c r="D1870" s="3" t="s">
        <v>128</v>
      </c>
      <c r="E1870" s="3">
        <v>327</v>
      </c>
      <c r="G1870" s="57"/>
    </row>
    <row r="1871" spans="1:7" ht="12.75" x14ac:dyDescent="0.2">
      <c r="A1871" s="3">
        <v>47</v>
      </c>
      <c r="B1871" s="4" t="s">
        <v>77</v>
      </c>
      <c r="C1871" s="3" t="s">
        <v>347</v>
      </c>
      <c r="D1871" s="3" t="s">
        <v>353</v>
      </c>
      <c r="E1871" s="3">
        <v>8</v>
      </c>
      <c r="G1871" s="57"/>
    </row>
    <row r="1872" spans="1:7" ht="12.75" x14ac:dyDescent="0.2">
      <c r="A1872" s="3">
        <v>47</v>
      </c>
      <c r="B1872" s="4" t="s">
        <v>77</v>
      </c>
      <c r="C1872" s="3" t="s">
        <v>347</v>
      </c>
      <c r="D1872" s="3" t="s">
        <v>149</v>
      </c>
      <c r="E1872" s="3">
        <v>106</v>
      </c>
      <c r="G1872" s="57"/>
    </row>
    <row r="1873" spans="1:7" ht="12.75" x14ac:dyDescent="0.2">
      <c r="A1873" s="3">
        <v>47</v>
      </c>
      <c r="B1873" s="4" t="s">
        <v>77</v>
      </c>
      <c r="C1873" s="3" t="s">
        <v>347</v>
      </c>
      <c r="D1873" s="3" t="s">
        <v>14</v>
      </c>
      <c r="E1873" s="3">
        <v>66</v>
      </c>
      <c r="G1873" s="57"/>
    </row>
    <row r="1874" spans="1:7" ht="12.75" x14ac:dyDescent="0.2">
      <c r="A1874" s="3">
        <v>47</v>
      </c>
      <c r="B1874" s="4" t="s">
        <v>77</v>
      </c>
      <c r="C1874" s="3" t="s">
        <v>347</v>
      </c>
      <c r="D1874" s="3" t="s">
        <v>138</v>
      </c>
      <c r="E1874" s="3">
        <v>2</v>
      </c>
      <c r="F1874">
        <f>SUM(E1867:E1874)</f>
        <v>1047</v>
      </c>
      <c r="G1874" s="57"/>
    </row>
    <row r="1875" spans="1:7" ht="12.75" x14ac:dyDescent="0.2">
      <c r="A1875" s="3">
        <v>47</v>
      </c>
      <c r="B1875" s="4" t="s">
        <v>77</v>
      </c>
      <c r="C1875" s="3" t="s">
        <v>273</v>
      </c>
      <c r="D1875" s="3" t="s">
        <v>283</v>
      </c>
      <c r="E1875" s="3">
        <v>594</v>
      </c>
      <c r="G1875" s="57"/>
    </row>
    <row r="1876" spans="1:7" ht="12.75" x14ac:dyDescent="0.2">
      <c r="A1876" s="3">
        <v>47</v>
      </c>
      <c r="B1876" s="4" t="s">
        <v>77</v>
      </c>
      <c r="C1876" s="3" t="s">
        <v>273</v>
      </c>
      <c r="D1876" s="3" t="s">
        <v>315</v>
      </c>
      <c r="E1876" s="3">
        <v>4</v>
      </c>
      <c r="G1876" s="57"/>
    </row>
    <row r="1877" spans="1:7" ht="12.75" x14ac:dyDescent="0.2">
      <c r="A1877" s="3">
        <v>47</v>
      </c>
      <c r="B1877" s="4" t="s">
        <v>77</v>
      </c>
      <c r="C1877" s="3" t="s">
        <v>273</v>
      </c>
      <c r="D1877" s="3" t="s">
        <v>128</v>
      </c>
      <c r="E1877" s="3">
        <v>295</v>
      </c>
      <c r="G1877" s="57"/>
    </row>
    <row r="1878" spans="1:7" ht="12.75" x14ac:dyDescent="0.2">
      <c r="A1878" s="3">
        <v>47</v>
      </c>
      <c r="B1878" s="4" t="s">
        <v>77</v>
      </c>
      <c r="C1878" s="3" t="s">
        <v>273</v>
      </c>
      <c r="D1878" s="3" t="s">
        <v>149</v>
      </c>
      <c r="E1878" s="3">
        <v>21</v>
      </c>
      <c r="G1878" s="57"/>
    </row>
    <row r="1879" spans="1:7" ht="12.75" x14ac:dyDescent="0.2">
      <c r="A1879" s="3">
        <v>47</v>
      </c>
      <c r="B1879" s="4" t="s">
        <v>77</v>
      </c>
      <c r="C1879" s="3" t="s">
        <v>273</v>
      </c>
      <c r="D1879" s="3" t="s">
        <v>14</v>
      </c>
      <c r="E1879" s="3">
        <v>133</v>
      </c>
      <c r="G1879" s="57"/>
    </row>
    <row r="1880" spans="1:7" ht="12.75" x14ac:dyDescent="0.2">
      <c r="A1880" s="3">
        <v>47</v>
      </c>
      <c r="B1880" s="4" t="s">
        <v>77</v>
      </c>
      <c r="C1880" s="3" t="s">
        <v>273</v>
      </c>
      <c r="D1880" s="3" t="s">
        <v>138</v>
      </c>
      <c r="E1880" s="3">
        <v>0</v>
      </c>
      <c r="F1880">
        <f>SUM(E1875:E1880)</f>
        <v>1047</v>
      </c>
      <c r="G1880" s="57"/>
    </row>
    <row r="1881" spans="1:7" ht="12.75" x14ac:dyDescent="0.2">
      <c r="A1881" s="3">
        <v>47</v>
      </c>
      <c r="B1881" s="4" t="s">
        <v>77</v>
      </c>
      <c r="C1881" s="3" t="s">
        <v>125</v>
      </c>
      <c r="D1881" s="3" t="s">
        <v>283</v>
      </c>
      <c r="E1881" s="3">
        <v>598</v>
      </c>
      <c r="G1881" s="57"/>
    </row>
    <row r="1882" spans="1:7" ht="12.75" x14ac:dyDescent="0.2">
      <c r="A1882" s="3">
        <v>47</v>
      </c>
      <c r="B1882" s="4" t="s">
        <v>77</v>
      </c>
      <c r="C1882" s="3" t="s">
        <v>125</v>
      </c>
      <c r="D1882" s="3" t="s">
        <v>315</v>
      </c>
      <c r="E1882" s="3">
        <v>3</v>
      </c>
      <c r="G1882" s="57"/>
    </row>
    <row r="1883" spans="1:7" ht="12.75" x14ac:dyDescent="0.2">
      <c r="A1883" s="3">
        <v>47</v>
      </c>
      <c r="B1883" s="4" t="s">
        <v>77</v>
      </c>
      <c r="C1883" s="3" t="s">
        <v>125</v>
      </c>
      <c r="D1883" s="3" t="s">
        <v>128</v>
      </c>
      <c r="E1883" s="3">
        <v>292</v>
      </c>
      <c r="G1883" s="57"/>
    </row>
    <row r="1884" spans="1:7" ht="12.75" x14ac:dyDescent="0.2">
      <c r="A1884" s="3">
        <v>47</v>
      </c>
      <c r="B1884" s="4" t="s">
        <v>77</v>
      </c>
      <c r="C1884" s="3" t="s">
        <v>125</v>
      </c>
      <c r="D1884" s="3" t="s">
        <v>149</v>
      </c>
      <c r="E1884" s="3">
        <v>20</v>
      </c>
      <c r="G1884" s="57"/>
    </row>
    <row r="1885" spans="1:7" ht="12.75" x14ac:dyDescent="0.2">
      <c r="A1885" s="3">
        <v>47</v>
      </c>
      <c r="B1885" s="4" t="s">
        <v>77</v>
      </c>
      <c r="C1885" s="3" t="s">
        <v>125</v>
      </c>
      <c r="D1885" s="3" t="s">
        <v>14</v>
      </c>
      <c r="E1885" s="3">
        <v>134</v>
      </c>
      <c r="G1885" s="57"/>
    </row>
    <row r="1886" spans="1:7" ht="12.75" x14ac:dyDescent="0.2">
      <c r="A1886" s="3">
        <v>47</v>
      </c>
      <c r="B1886" s="4" t="s">
        <v>77</v>
      </c>
      <c r="C1886" s="3" t="s">
        <v>125</v>
      </c>
      <c r="D1886" s="3" t="s">
        <v>138</v>
      </c>
      <c r="E1886" s="3">
        <v>0</v>
      </c>
      <c r="F1886">
        <f>SUM(E1881:E1886)</f>
        <v>1047</v>
      </c>
      <c r="G1886" s="57"/>
    </row>
    <row r="1887" spans="1:7" ht="12.75" x14ac:dyDescent="0.2">
      <c r="A1887" s="3">
        <v>49</v>
      </c>
      <c r="B1887" s="4" t="s">
        <v>79</v>
      </c>
      <c r="C1887" s="3" t="s">
        <v>347</v>
      </c>
      <c r="D1887" s="3" t="s">
        <v>283</v>
      </c>
      <c r="E1887" s="3">
        <v>117</v>
      </c>
      <c r="G1887" s="59">
        <v>250</v>
      </c>
    </row>
    <row r="1888" spans="1:7" ht="12.75" x14ac:dyDescent="0.2">
      <c r="A1888" s="3">
        <v>49</v>
      </c>
      <c r="B1888" s="4" t="s">
        <v>79</v>
      </c>
      <c r="C1888" s="3" t="s">
        <v>347</v>
      </c>
      <c r="D1888" s="3" t="s">
        <v>315</v>
      </c>
      <c r="E1888" s="3">
        <v>0</v>
      </c>
      <c r="G1888" s="57"/>
    </row>
    <row r="1889" spans="1:7" ht="12.75" x14ac:dyDescent="0.2">
      <c r="A1889" s="3">
        <v>49</v>
      </c>
      <c r="B1889" s="4" t="s">
        <v>79</v>
      </c>
      <c r="C1889" s="3" t="s">
        <v>347</v>
      </c>
      <c r="D1889" s="3" t="s">
        <v>316</v>
      </c>
      <c r="E1889" s="3">
        <v>0</v>
      </c>
      <c r="G1889" s="57"/>
    </row>
    <row r="1890" spans="1:7" ht="12.75" x14ac:dyDescent="0.2">
      <c r="A1890" s="3">
        <v>49</v>
      </c>
      <c r="B1890" s="4" t="s">
        <v>79</v>
      </c>
      <c r="C1890" s="3" t="s">
        <v>347</v>
      </c>
      <c r="D1890" s="3" t="s">
        <v>128</v>
      </c>
      <c r="E1890" s="3">
        <v>76</v>
      </c>
      <c r="G1890" s="57"/>
    </row>
    <row r="1891" spans="1:7" ht="12.75" x14ac:dyDescent="0.2">
      <c r="A1891" s="3">
        <v>49</v>
      </c>
      <c r="B1891" s="4" t="s">
        <v>79</v>
      </c>
      <c r="C1891" s="3" t="s">
        <v>347</v>
      </c>
      <c r="D1891" s="3" t="s">
        <v>353</v>
      </c>
      <c r="E1891" s="3">
        <v>1</v>
      </c>
      <c r="G1891" s="57"/>
    </row>
    <row r="1892" spans="1:7" ht="12.75" x14ac:dyDescent="0.2">
      <c r="A1892" s="3">
        <v>49</v>
      </c>
      <c r="B1892" s="4" t="s">
        <v>79</v>
      </c>
      <c r="C1892" s="3" t="s">
        <v>347</v>
      </c>
      <c r="D1892" s="3" t="s">
        <v>149</v>
      </c>
      <c r="E1892" s="3">
        <v>16</v>
      </c>
      <c r="G1892" s="57"/>
    </row>
    <row r="1893" spans="1:7" ht="12.75" x14ac:dyDescent="0.2">
      <c r="A1893" s="3">
        <v>49</v>
      </c>
      <c r="B1893" s="4" t="s">
        <v>79</v>
      </c>
      <c r="C1893" s="3" t="s">
        <v>347</v>
      </c>
      <c r="D1893" s="3" t="s">
        <v>14</v>
      </c>
      <c r="E1893" s="3">
        <v>7</v>
      </c>
      <c r="G1893" s="57"/>
    </row>
    <row r="1894" spans="1:7" ht="12.75" x14ac:dyDescent="0.2">
      <c r="A1894" s="3">
        <v>49</v>
      </c>
      <c r="B1894" s="4" t="s">
        <v>79</v>
      </c>
      <c r="C1894" s="3" t="s">
        <v>347</v>
      </c>
      <c r="D1894" s="3" t="s">
        <v>138</v>
      </c>
      <c r="E1894" s="3">
        <v>0</v>
      </c>
      <c r="F1894">
        <f>SUM(E1887:E1894)</f>
        <v>217</v>
      </c>
      <c r="G1894" s="57"/>
    </row>
    <row r="1895" spans="1:7" ht="12.75" x14ac:dyDescent="0.2">
      <c r="A1895" s="3">
        <v>49</v>
      </c>
      <c r="B1895" s="4" t="s">
        <v>79</v>
      </c>
      <c r="C1895" s="3" t="s">
        <v>273</v>
      </c>
      <c r="D1895" s="3" t="s">
        <v>283</v>
      </c>
      <c r="E1895" s="3">
        <v>129</v>
      </c>
      <c r="G1895" s="57"/>
    </row>
    <row r="1896" spans="1:7" ht="12.75" x14ac:dyDescent="0.2">
      <c r="A1896" s="3">
        <v>49</v>
      </c>
      <c r="B1896" s="4" t="s">
        <v>79</v>
      </c>
      <c r="C1896" s="3" t="s">
        <v>273</v>
      </c>
      <c r="D1896" s="3" t="s">
        <v>315</v>
      </c>
      <c r="E1896" s="3">
        <v>0</v>
      </c>
      <c r="G1896" s="57"/>
    </row>
    <row r="1897" spans="1:7" ht="12.75" x14ac:dyDescent="0.2">
      <c r="A1897" s="3">
        <v>49</v>
      </c>
      <c r="B1897" s="4" t="s">
        <v>79</v>
      </c>
      <c r="C1897" s="3" t="s">
        <v>273</v>
      </c>
      <c r="D1897" s="3" t="s">
        <v>128</v>
      </c>
      <c r="E1897" s="3">
        <v>63</v>
      </c>
      <c r="G1897" s="57"/>
    </row>
    <row r="1898" spans="1:7" ht="12.75" x14ac:dyDescent="0.2">
      <c r="A1898" s="3">
        <v>49</v>
      </c>
      <c r="B1898" s="4" t="s">
        <v>79</v>
      </c>
      <c r="C1898" s="3" t="s">
        <v>273</v>
      </c>
      <c r="D1898" s="3" t="s">
        <v>149</v>
      </c>
      <c r="E1898" s="3">
        <v>8</v>
      </c>
      <c r="G1898" s="57"/>
    </row>
    <row r="1899" spans="1:7" ht="12.75" x14ac:dyDescent="0.2">
      <c r="A1899" s="3">
        <v>49</v>
      </c>
      <c r="B1899" s="4" t="s">
        <v>79</v>
      </c>
      <c r="C1899" s="3" t="s">
        <v>273</v>
      </c>
      <c r="D1899" s="3" t="s">
        <v>14</v>
      </c>
      <c r="E1899" s="3">
        <v>17</v>
      </c>
      <c r="G1899" s="57"/>
    </row>
    <row r="1900" spans="1:7" ht="12.75" x14ac:dyDescent="0.2">
      <c r="A1900" s="3">
        <v>49</v>
      </c>
      <c r="B1900" s="4" t="s">
        <v>79</v>
      </c>
      <c r="C1900" s="3" t="s">
        <v>273</v>
      </c>
      <c r="D1900" s="3" t="s">
        <v>138</v>
      </c>
      <c r="E1900" s="3">
        <v>0</v>
      </c>
      <c r="F1900">
        <f>SUM(E1895:E1900)</f>
        <v>217</v>
      </c>
      <c r="G1900" s="57"/>
    </row>
    <row r="1901" spans="1:7" ht="12.75" x14ac:dyDescent="0.2">
      <c r="A1901" s="3">
        <v>49</v>
      </c>
      <c r="B1901" s="4" t="s">
        <v>79</v>
      </c>
      <c r="C1901" s="3" t="s">
        <v>125</v>
      </c>
      <c r="D1901" s="3" t="s">
        <v>283</v>
      </c>
      <c r="E1901" s="3">
        <v>129</v>
      </c>
      <c r="G1901" s="57"/>
    </row>
    <row r="1902" spans="1:7" ht="12.75" x14ac:dyDescent="0.2">
      <c r="A1902" s="3">
        <v>49</v>
      </c>
      <c r="B1902" s="4" t="s">
        <v>79</v>
      </c>
      <c r="C1902" s="3" t="s">
        <v>125</v>
      </c>
      <c r="D1902" s="3" t="s">
        <v>315</v>
      </c>
      <c r="E1902" s="3">
        <v>0</v>
      </c>
      <c r="G1902" s="57"/>
    </row>
    <row r="1903" spans="1:7" ht="12.75" x14ac:dyDescent="0.2">
      <c r="A1903" s="3">
        <v>49</v>
      </c>
      <c r="B1903" s="4" t="s">
        <v>79</v>
      </c>
      <c r="C1903" s="3" t="s">
        <v>125</v>
      </c>
      <c r="D1903" s="3" t="s">
        <v>128</v>
      </c>
      <c r="E1903" s="3">
        <v>63</v>
      </c>
      <c r="G1903" s="57"/>
    </row>
    <row r="1904" spans="1:7" ht="12.75" x14ac:dyDescent="0.2">
      <c r="A1904" s="3">
        <v>49</v>
      </c>
      <c r="B1904" s="4" t="s">
        <v>79</v>
      </c>
      <c r="C1904" s="3" t="s">
        <v>125</v>
      </c>
      <c r="D1904" s="3" t="s">
        <v>149</v>
      </c>
      <c r="E1904" s="3">
        <v>8</v>
      </c>
      <c r="G1904" s="57"/>
    </row>
    <row r="1905" spans="1:7" ht="12.75" x14ac:dyDescent="0.2">
      <c r="A1905" s="3">
        <v>49</v>
      </c>
      <c r="B1905" s="4" t="s">
        <v>79</v>
      </c>
      <c r="C1905" s="3" t="s">
        <v>125</v>
      </c>
      <c r="D1905" s="3" t="s">
        <v>14</v>
      </c>
      <c r="E1905" s="3">
        <v>17</v>
      </c>
      <c r="G1905" s="57"/>
    </row>
    <row r="1906" spans="1:7" ht="12.75" x14ac:dyDescent="0.2">
      <c r="A1906" s="3">
        <v>49</v>
      </c>
      <c r="B1906" s="4" t="s">
        <v>79</v>
      </c>
      <c r="C1906" s="3" t="s">
        <v>125</v>
      </c>
      <c r="D1906" s="3" t="s">
        <v>138</v>
      </c>
      <c r="E1906" s="3">
        <v>0</v>
      </c>
      <c r="F1906">
        <f>SUM(E1901:E1906)</f>
        <v>217</v>
      </c>
      <c r="G1906" s="57"/>
    </row>
    <row r="1907" spans="1:7" ht="12.75" x14ac:dyDescent="0.2">
      <c r="A1907" s="3">
        <v>53</v>
      </c>
      <c r="B1907" s="4" t="s">
        <v>80</v>
      </c>
      <c r="C1907" s="3" t="s">
        <v>347</v>
      </c>
      <c r="D1907" s="3" t="s">
        <v>283</v>
      </c>
      <c r="E1907" s="3">
        <v>107</v>
      </c>
      <c r="G1907" s="59">
        <v>258</v>
      </c>
    </row>
    <row r="1908" spans="1:7" ht="12.75" x14ac:dyDescent="0.2">
      <c r="A1908" s="3">
        <v>53</v>
      </c>
      <c r="B1908" s="4" t="s">
        <v>80</v>
      </c>
      <c r="C1908" s="3" t="s">
        <v>347</v>
      </c>
      <c r="D1908" s="3" t="s">
        <v>315</v>
      </c>
      <c r="E1908" s="3">
        <v>0</v>
      </c>
      <c r="G1908" s="57"/>
    </row>
    <row r="1909" spans="1:7" ht="12.75" x14ac:dyDescent="0.2">
      <c r="A1909" s="3">
        <v>53</v>
      </c>
      <c r="B1909" s="4" t="s">
        <v>80</v>
      </c>
      <c r="C1909" s="3" t="s">
        <v>347</v>
      </c>
      <c r="D1909" s="3" t="s">
        <v>316</v>
      </c>
      <c r="E1909" s="3">
        <v>4</v>
      </c>
      <c r="G1909" s="57"/>
    </row>
    <row r="1910" spans="1:7" ht="12.75" x14ac:dyDescent="0.2">
      <c r="A1910" s="3">
        <v>53</v>
      </c>
      <c r="B1910" s="4" t="s">
        <v>80</v>
      </c>
      <c r="C1910" s="3" t="s">
        <v>347</v>
      </c>
      <c r="D1910" s="3" t="s">
        <v>128</v>
      </c>
      <c r="E1910" s="3">
        <v>76</v>
      </c>
      <c r="G1910" s="57"/>
    </row>
    <row r="1911" spans="1:7" ht="12.75" x14ac:dyDescent="0.2">
      <c r="A1911" s="3">
        <v>53</v>
      </c>
      <c r="B1911" s="4" t="s">
        <v>80</v>
      </c>
      <c r="C1911" s="3" t="s">
        <v>347</v>
      </c>
      <c r="D1911" s="3" t="s">
        <v>353</v>
      </c>
      <c r="E1911" s="3">
        <v>1</v>
      </c>
      <c r="G1911" s="57"/>
    </row>
    <row r="1912" spans="1:7" ht="12.75" x14ac:dyDescent="0.2">
      <c r="A1912" s="3">
        <v>53</v>
      </c>
      <c r="B1912" s="4" t="s">
        <v>80</v>
      </c>
      <c r="C1912" s="3" t="s">
        <v>347</v>
      </c>
      <c r="D1912" s="3" t="s">
        <v>149</v>
      </c>
      <c r="E1912" s="3">
        <v>35</v>
      </c>
      <c r="G1912" s="57"/>
    </row>
    <row r="1913" spans="1:7" ht="12.75" x14ac:dyDescent="0.2">
      <c r="A1913" s="3">
        <v>53</v>
      </c>
      <c r="B1913" s="4" t="s">
        <v>80</v>
      </c>
      <c r="C1913" s="3" t="s">
        <v>347</v>
      </c>
      <c r="D1913" s="3" t="s">
        <v>14</v>
      </c>
      <c r="E1913" s="3">
        <v>6</v>
      </c>
      <c r="G1913" s="57"/>
    </row>
    <row r="1914" spans="1:7" ht="12.75" x14ac:dyDescent="0.2">
      <c r="A1914" s="3">
        <v>53</v>
      </c>
      <c r="B1914" s="4" t="s">
        <v>80</v>
      </c>
      <c r="C1914" s="3" t="s">
        <v>347</v>
      </c>
      <c r="D1914" s="3" t="s">
        <v>138</v>
      </c>
      <c r="E1914" s="3">
        <v>0</v>
      </c>
      <c r="F1914">
        <f>SUM(E1907:E1914)</f>
        <v>229</v>
      </c>
      <c r="G1914" s="57"/>
    </row>
    <row r="1915" spans="1:7" ht="12.75" x14ac:dyDescent="0.2">
      <c r="A1915" s="3">
        <v>53</v>
      </c>
      <c r="B1915" s="4" t="s">
        <v>80</v>
      </c>
      <c r="C1915" s="3" t="s">
        <v>273</v>
      </c>
      <c r="D1915" s="3" t="s">
        <v>283</v>
      </c>
      <c r="E1915" s="3">
        <v>123</v>
      </c>
      <c r="G1915" s="57"/>
    </row>
    <row r="1916" spans="1:7" ht="12.75" x14ac:dyDescent="0.2">
      <c r="A1916" s="3">
        <v>53</v>
      </c>
      <c r="B1916" s="4" t="s">
        <v>80</v>
      </c>
      <c r="C1916" s="3" t="s">
        <v>273</v>
      </c>
      <c r="D1916" s="3" t="s">
        <v>315</v>
      </c>
      <c r="E1916" s="3">
        <v>0</v>
      </c>
      <c r="G1916" s="57"/>
    </row>
    <row r="1917" spans="1:7" ht="12.75" x14ac:dyDescent="0.2">
      <c r="A1917" s="3">
        <v>53</v>
      </c>
      <c r="B1917" s="4" t="s">
        <v>80</v>
      </c>
      <c r="C1917" s="3" t="s">
        <v>273</v>
      </c>
      <c r="D1917" s="3" t="s">
        <v>128</v>
      </c>
      <c r="E1917" s="3">
        <v>65</v>
      </c>
      <c r="G1917" s="57"/>
    </row>
    <row r="1918" spans="1:7" ht="12.75" x14ac:dyDescent="0.2">
      <c r="A1918" s="3">
        <v>53</v>
      </c>
      <c r="B1918" s="4" t="s">
        <v>80</v>
      </c>
      <c r="C1918" s="3" t="s">
        <v>273</v>
      </c>
      <c r="D1918" s="3" t="s">
        <v>149</v>
      </c>
      <c r="E1918" s="3">
        <v>19</v>
      </c>
      <c r="G1918" s="57"/>
    </row>
    <row r="1919" spans="1:7" ht="12.75" x14ac:dyDescent="0.2">
      <c r="A1919" s="3">
        <v>53</v>
      </c>
      <c r="B1919" s="4" t="s">
        <v>80</v>
      </c>
      <c r="C1919" s="3" t="s">
        <v>273</v>
      </c>
      <c r="D1919" s="3" t="s">
        <v>14</v>
      </c>
      <c r="E1919" s="3">
        <v>22</v>
      </c>
      <c r="G1919" s="57"/>
    </row>
    <row r="1920" spans="1:7" ht="12.75" x14ac:dyDescent="0.2">
      <c r="A1920" s="3">
        <v>53</v>
      </c>
      <c r="B1920" s="4" t="s">
        <v>80</v>
      </c>
      <c r="C1920" s="3" t="s">
        <v>273</v>
      </c>
      <c r="D1920" s="3" t="s">
        <v>138</v>
      </c>
      <c r="E1920" s="3">
        <v>0</v>
      </c>
      <c r="F1920">
        <f>SUM(E1915:E1920)</f>
        <v>229</v>
      </c>
      <c r="G1920" s="57"/>
    </row>
    <row r="1921" spans="1:7" ht="12.75" x14ac:dyDescent="0.2">
      <c r="A1921" s="3">
        <v>53</v>
      </c>
      <c r="B1921" s="4" t="s">
        <v>80</v>
      </c>
      <c r="C1921" s="3" t="s">
        <v>125</v>
      </c>
      <c r="D1921" s="3" t="s">
        <v>283</v>
      </c>
      <c r="E1921" s="3">
        <v>123</v>
      </c>
      <c r="G1921" s="57"/>
    </row>
    <row r="1922" spans="1:7" ht="12.75" x14ac:dyDescent="0.2">
      <c r="A1922" s="3">
        <v>53</v>
      </c>
      <c r="B1922" s="4" t="s">
        <v>80</v>
      </c>
      <c r="C1922" s="3" t="s">
        <v>125</v>
      </c>
      <c r="D1922" s="3" t="s">
        <v>315</v>
      </c>
      <c r="E1922" s="3">
        <v>0</v>
      </c>
      <c r="G1922" s="57"/>
    </row>
    <row r="1923" spans="1:7" ht="12.75" x14ac:dyDescent="0.2">
      <c r="A1923" s="3">
        <v>53</v>
      </c>
      <c r="B1923" s="4" t="s">
        <v>80</v>
      </c>
      <c r="C1923" s="3" t="s">
        <v>125</v>
      </c>
      <c r="D1923" s="3" t="s">
        <v>128</v>
      </c>
      <c r="E1923" s="3">
        <v>65</v>
      </c>
      <c r="G1923" s="57"/>
    </row>
    <row r="1924" spans="1:7" ht="12.75" x14ac:dyDescent="0.2">
      <c r="A1924" s="3">
        <v>53</v>
      </c>
      <c r="B1924" s="4" t="s">
        <v>80</v>
      </c>
      <c r="C1924" s="3" t="s">
        <v>125</v>
      </c>
      <c r="D1924" s="3" t="s">
        <v>149</v>
      </c>
      <c r="E1924" s="3">
        <v>19</v>
      </c>
      <c r="G1924" s="57"/>
    </row>
    <row r="1925" spans="1:7" ht="12.75" x14ac:dyDescent="0.2">
      <c r="A1925" s="3">
        <v>53</v>
      </c>
      <c r="B1925" s="4" t="s">
        <v>80</v>
      </c>
      <c r="C1925" s="3" t="s">
        <v>125</v>
      </c>
      <c r="D1925" s="3" t="s">
        <v>14</v>
      </c>
      <c r="E1925" s="3">
        <v>22</v>
      </c>
      <c r="G1925" s="57"/>
    </row>
    <row r="1926" spans="1:7" ht="12.75" x14ac:dyDescent="0.2">
      <c r="A1926" s="3">
        <v>53</v>
      </c>
      <c r="B1926" s="4" t="s">
        <v>80</v>
      </c>
      <c r="C1926" s="3" t="s">
        <v>125</v>
      </c>
      <c r="D1926" s="3" t="s">
        <v>138</v>
      </c>
      <c r="E1926" s="3">
        <v>0</v>
      </c>
      <c r="F1926">
        <f>SUM(E1921:E1926)</f>
        <v>229</v>
      </c>
      <c r="G1926" s="57"/>
    </row>
    <row r="1927" spans="1:7" ht="12.75" x14ac:dyDescent="0.2">
      <c r="A1927" s="3">
        <v>54</v>
      </c>
      <c r="B1927" s="4" t="s">
        <v>81</v>
      </c>
      <c r="C1927" s="3" t="s">
        <v>347</v>
      </c>
      <c r="D1927" s="3" t="s">
        <v>283</v>
      </c>
      <c r="E1927" s="3">
        <v>81</v>
      </c>
      <c r="G1927" s="59">
        <v>202</v>
      </c>
    </row>
    <row r="1928" spans="1:7" ht="12.75" x14ac:dyDescent="0.2">
      <c r="A1928" s="3">
        <v>54</v>
      </c>
      <c r="B1928" s="4" t="s">
        <v>81</v>
      </c>
      <c r="C1928" s="3" t="s">
        <v>347</v>
      </c>
      <c r="D1928" s="3" t="s">
        <v>315</v>
      </c>
      <c r="E1928" s="3">
        <v>1</v>
      </c>
      <c r="G1928" s="57"/>
    </row>
    <row r="1929" spans="1:7" ht="12.75" x14ac:dyDescent="0.2">
      <c r="A1929" s="3">
        <v>54</v>
      </c>
      <c r="B1929" s="4" t="s">
        <v>81</v>
      </c>
      <c r="C1929" s="3" t="s">
        <v>347</v>
      </c>
      <c r="D1929" s="3" t="s">
        <v>316</v>
      </c>
      <c r="E1929" s="3">
        <v>2</v>
      </c>
      <c r="G1929" s="57"/>
    </row>
    <row r="1930" spans="1:7" ht="12.75" x14ac:dyDescent="0.2">
      <c r="A1930" s="3">
        <v>54</v>
      </c>
      <c r="B1930" s="4" t="s">
        <v>81</v>
      </c>
      <c r="C1930" s="3" t="s">
        <v>347</v>
      </c>
      <c r="D1930" s="3" t="s">
        <v>128</v>
      </c>
      <c r="E1930" s="3">
        <v>16</v>
      </c>
      <c r="G1930" s="57"/>
    </row>
    <row r="1931" spans="1:7" ht="12.75" x14ac:dyDescent="0.2">
      <c r="A1931" s="3">
        <v>54</v>
      </c>
      <c r="B1931" s="4" t="s">
        <v>81</v>
      </c>
      <c r="C1931" s="3" t="s">
        <v>347</v>
      </c>
      <c r="D1931" s="3" t="s">
        <v>353</v>
      </c>
      <c r="E1931" s="3">
        <v>0</v>
      </c>
      <c r="G1931" s="57"/>
    </row>
    <row r="1932" spans="1:7" ht="12.75" x14ac:dyDescent="0.2">
      <c r="A1932" s="3">
        <v>54</v>
      </c>
      <c r="B1932" s="4" t="s">
        <v>81</v>
      </c>
      <c r="C1932" s="3" t="s">
        <v>347</v>
      </c>
      <c r="D1932" s="3" t="s">
        <v>149</v>
      </c>
      <c r="E1932" s="3">
        <v>24</v>
      </c>
      <c r="G1932" s="57"/>
    </row>
    <row r="1933" spans="1:7" ht="12.75" x14ac:dyDescent="0.2">
      <c r="A1933" s="3">
        <v>54</v>
      </c>
      <c r="B1933" s="4" t="s">
        <v>81</v>
      </c>
      <c r="C1933" s="3" t="s">
        <v>347</v>
      </c>
      <c r="D1933" s="3" t="s">
        <v>14</v>
      </c>
      <c r="E1933" s="3">
        <v>11</v>
      </c>
      <c r="G1933" s="57"/>
    </row>
    <row r="1934" spans="1:7" ht="12.75" x14ac:dyDescent="0.2">
      <c r="A1934" s="3">
        <v>54</v>
      </c>
      <c r="B1934" s="4" t="s">
        <v>81</v>
      </c>
      <c r="C1934" s="3" t="s">
        <v>347</v>
      </c>
      <c r="D1934" s="3" t="s">
        <v>138</v>
      </c>
      <c r="E1934" s="3">
        <v>0</v>
      </c>
      <c r="F1934">
        <f>SUM(E1927:E1934)</f>
        <v>135</v>
      </c>
      <c r="G1934" s="57"/>
    </row>
    <row r="1935" spans="1:7" ht="12.75" x14ac:dyDescent="0.2">
      <c r="A1935" s="3">
        <v>54</v>
      </c>
      <c r="B1935" s="4" t="s">
        <v>81</v>
      </c>
      <c r="C1935" s="3" t="s">
        <v>273</v>
      </c>
      <c r="D1935" s="3" t="s">
        <v>283</v>
      </c>
      <c r="E1935" s="3">
        <v>93</v>
      </c>
      <c r="G1935" s="57"/>
    </row>
    <row r="1936" spans="1:7" ht="12.75" x14ac:dyDescent="0.2">
      <c r="A1936" s="3">
        <v>54</v>
      </c>
      <c r="B1936" s="4" t="s">
        <v>81</v>
      </c>
      <c r="C1936" s="3" t="s">
        <v>273</v>
      </c>
      <c r="D1936" s="3" t="s">
        <v>315</v>
      </c>
      <c r="E1936" s="3">
        <v>0</v>
      </c>
      <c r="G1936" s="57"/>
    </row>
    <row r="1937" spans="1:7" ht="12.75" x14ac:dyDescent="0.2">
      <c r="A1937" s="3">
        <v>54</v>
      </c>
      <c r="B1937" s="4" t="s">
        <v>81</v>
      </c>
      <c r="C1937" s="3" t="s">
        <v>273</v>
      </c>
      <c r="D1937" s="3" t="s">
        <v>128</v>
      </c>
      <c r="E1937" s="3">
        <v>10</v>
      </c>
      <c r="G1937" s="57"/>
    </row>
    <row r="1938" spans="1:7" ht="12.75" x14ac:dyDescent="0.2">
      <c r="A1938" s="3">
        <v>54</v>
      </c>
      <c r="B1938" s="4" t="s">
        <v>81</v>
      </c>
      <c r="C1938" s="3" t="s">
        <v>273</v>
      </c>
      <c r="D1938" s="3" t="s">
        <v>149</v>
      </c>
      <c r="E1938" s="3">
        <v>6</v>
      </c>
      <c r="G1938" s="57"/>
    </row>
    <row r="1939" spans="1:7" ht="12.75" x14ac:dyDescent="0.2">
      <c r="A1939" s="3">
        <v>54</v>
      </c>
      <c r="B1939" s="4" t="s">
        <v>81</v>
      </c>
      <c r="C1939" s="3" t="s">
        <v>273</v>
      </c>
      <c r="D1939" s="3" t="s">
        <v>14</v>
      </c>
      <c r="E1939" s="3">
        <v>26</v>
      </c>
      <c r="G1939" s="57"/>
    </row>
    <row r="1940" spans="1:7" ht="12.75" x14ac:dyDescent="0.2">
      <c r="A1940" s="3">
        <v>54</v>
      </c>
      <c r="B1940" s="4" t="s">
        <v>81</v>
      </c>
      <c r="C1940" s="3" t="s">
        <v>273</v>
      </c>
      <c r="D1940" s="3" t="s">
        <v>138</v>
      </c>
      <c r="E1940" s="3">
        <v>0</v>
      </c>
      <c r="F1940">
        <f>SUM(E1935:E1940)</f>
        <v>135</v>
      </c>
      <c r="G1940" s="57"/>
    </row>
    <row r="1941" spans="1:7" ht="12.75" x14ac:dyDescent="0.2">
      <c r="A1941" s="3">
        <v>54</v>
      </c>
      <c r="B1941" s="4" t="s">
        <v>81</v>
      </c>
      <c r="C1941" s="3" t="s">
        <v>125</v>
      </c>
      <c r="D1941" s="3" t="s">
        <v>283</v>
      </c>
      <c r="E1941" s="3">
        <v>91</v>
      </c>
      <c r="G1941" s="57"/>
    </row>
    <row r="1942" spans="1:7" ht="12.75" x14ac:dyDescent="0.2">
      <c r="A1942" s="3">
        <v>54</v>
      </c>
      <c r="B1942" s="4" t="s">
        <v>81</v>
      </c>
      <c r="C1942" s="3" t="s">
        <v>125</v>
      </c>
      <c r="D1942" s="3" t="s">
        <v>315</v>
      </c>
      <c r="E1942" s="3">
        <v>0</v>
      </c>
      <c r="G1942" s="57"/>
    </row>
    <row r="1943" spans="1:7" ht="12.75" x14ac:dyDescent="0.2">
      <c r="A1943" s="3">
        <v>54</v>
      </c>
      <c r="B1943" s="4" t="s">
        <v>81</v>
      </c>
      <c r="C1943" s="3" t="s">
        <v>125</v>
      </c>
      <c r="D1943" s="3" t="s">
        <v>128</v>
      </c>
      <c r="E1943" s="3">
        <v>9</v>
      </c>
      <c r="G1943" s="57"/>
    </row>
    <row r="1944" spans="1:7" ht="12.75" x14ac:dyDescent="0.2">
      <c r="A1944" s="3">
        <v>54</v>
      </c>
      <c r="B1944" s="4" t="s">
        <v>81</v>
      </c>
      <c r="C1944" s="3" t="s">
        <v>125</v>
      </c>
      <c r="D1944" s="3" t="s">
        <v>149</v>
      </c>
      <c r="E1944" s="3">
        <v>6</v>
      </c>
      <c r="G1944" s="57"/>
    </row>
    <row r="1945" spans="1:7" ht="12.75" x14ac:dyDescent="0.2">
      <c r="A1945" s="3">
        <v>54</v>
      </c>
      <c r="B1945" s="4" t="s">
        <v>81</v>
      </c>
      <c r="C1945" s="3" t="s">
        <v>125</v>
      </c>
      <c r="D1945" s="3" t="s">
        <v>14</v>
      </c>
      <c r="E1945" s="3">
        <v>29</v>
      </c>
      <c r="G1945" s="57"/>
    </row>
    <row r="1946" spans="1:7" ht="12.75" x14ac:dyDescent="0.2">
      <c r="A1946" s="3">
        <v>54</v>
      </c>
      <c r="B1946" s="4" t="s">
        <v>81</v>
      </c>
      <c r="C1946" s="3" t="s">
        <v>125</v>
      </c>
      <c r="D1946" s="3" t="s">
        <v>138</v>
      </c>
      <c r="E1946" s="3">
        <v>0</v>
      </c>
      <c r="F1946">
        <f>SUM(E1941:E1946)</f>
        <v>135</v>
      </c>
      <c r="G1946" s="57"/>
    </row>
    <row r="1947" spans="1:7" ht="12.75" x14ac:dyDescent="0.2">
      <c r="A1947" s="3">
        <v>55</v>
      </c>
      <c r="B1947" s="4" t="s">
        <v>82</v>
      </c>
      <c r="C1947" s="3" t="s">
        <v>347</v>
      </c>
      <c r="D1947" s="3" t="s">
        <v>283</v>
      </c>
      <c r="E1947" s="3">
        <v>112</v>
      </c>
      <c r="G1947" s="59">
        <v>319</v>
      </c>
    </row>
    <row r="1948" spans="1:7" ht="12.75" x14ac:dyDescent="0.2">
      <c r="A1948" s="3">
        <v>55</v>
      </c>
      <c r="B1948" s="4" t="s">
        <v>82</v>
      </c>
      <c r="C1948" s="3" t="s">
        <v>347</v>
      </c>
      <c r="D1948" s="3" t="s">
        <v>315</v>
      </c>
      <c r="E1948" s="3">
        <v>9</v>
      </c>
      <c r="G1948" s="57"/>
    </row>
    <row r="1949" spans="1:7" ht="12.75" x14ac:dyDescent="0.2">
      <c r="A1949" s="3">
        <v>55</v>
      </c>
      <c r="B1949" s="4" t="s">
        <v>82</v>
      </c>
      <c r="C1949" s="3" t="s">
        <v>347</v>
      </c>
      <c r="D1949" s="3" t="s">
        <v>316</v>
      </c>
      <c r="E1949" s="3">
        <v>1</v>
      </c>
      <c r="G1949" s="57"/>
    </row>
    <row r="1950" spans="1:7" ht="12.75" x14ac:dyDescent="0.2">
      <c r="A1950" s="3">
        <v>55</v>
      </c>
      <c r="B1950" s="4" t="s">
        <v>82</v>
      </c>
      <c r="C1950" s="3" t="s">
        <v>347</v>
      </c>
      <c r="D1950" s="3" t="s">
        <v>128</v>
      </c>
      <c r="E1950" s="3">
        <v>108</v>
      </c>
      <c r="G1950" s="57"/>
    </row>
    <row r="1951" spans="1:7" ht="12.75" x14ac:dyDescent="0.2">
      <c r="A1951" s="3">
        <v>55</v>
      </c>
      <c r="B1951" s="4" t="s">
        <v>82</v>
      </c>
      <c r="C1951" s="3" t="s">
        <v>347</v>
      </c>
      <c r="D1951" s="3" t="s">
        <v>353</v>
      </c>
      <c r="E1951" s="3">
        <v>1</v>
      </c>
      <c r="G1951" s="57"/>
    </row>
    <row r="1952" spans="1:7" ht="12.75" x14ac:dyDescent="0.2">
      <c r="A1952" s="3">
        <v>55</v>
      </c>
      <c r="B1952" s="4" t="s">
        <v>82</v>
      </c>
      <c r="C1952" s="3" t="s">
        <v>347</v>
      </c>
      <c r="D1952" s="3" t="s">
        <v>149</v>
      </c>
      <c r="E1952" s="3">
        <v>48</v>
      </c>
      <c r="G1952" s="57"/>
    </row>
    <row r="1953" spans="1:7" ht="12.75" x14ac:dyDescent="0.2">
      <c r="A1953" s="3">
        <v>55</v>
      </c>
      <c r="B1953" s="4" t="s">
        <v>82</v>
      </c>
      <c r="C1953" s="3" t="s">
        <v>347</v>
      </c>
      <c r="D1953" s="3" t="s">
        <v>14</v>
      </c>
      <c r="E1953" s="3">
        <v>20</v>
      </c>
      <c r="G1953" s="57"/>
    </row>
    <row r="1954" spans="1:7" ht="12.75" x14ac:dyDescent="0.2">
      <c r="A1954" s="3">
        <v>55</v>
      </c>
      <c r="B1954" s="4" t="s">
        <v>82</v>
      </c>
      <c r="C1954" s="3" t="s">
        <v>347</v>
      </c>
      <c r="D1954" s="3" t="s">
        <v>138</v>
      </c>
      <c r="E1954" s="3">
        <v>3</v>
      </c>
      <c r="F1954">
        <f>SUM(E1947:E1954)</f>
        <v>302</v>
      </c>
      <c r="G1954" s="57"/>
    </row>
    <row r="1955" spans="1:7" ht="12.75" x14ac:dyDescent="0.2">
      <c r="A1955" s="3">
        <v>55</v>
      </c>
      <c r="B1955" s="4" t="s">
        <v>82</v>
      </c>
      <c r="C1955" s="3" t="s">
        <v>273</v>
      </c>
      <c r="D1955" s="3" t="s">
        <v>283</v>
      </c>
      <c r="E1955" s="3">
        <v>142</v>
      </c>
      <c r="G1955" s="57"/>
    </row>
    <row r="1956" spans="1:7" ht="12.75" x14ac:dyDescent="0.2">
      <c r="A1956" s="3">
        <v>55</v>
      </c>
      <c r="B1956" s="4" t="s">
        <v>82</v>
      </c>
      <c r="C1956" s="3" t="s">
        <v>273</v>
      </c>
      <c r="D1956" s="3" t="s">
        <v>315</v>
      </c>
      <c r="E1956" s="3">
        <v>3</v>
      </c>
      <c r="G1956" s="57"/>
    </row>
    <row r="1957" spans="1:7" ht="12.75" x14ac:dyDescent="0.2">
      <c r="A1957" s="3">
        <v>55</v>
      </c>
      <c r="B1957" s="4" t="s">
        <v>82</v>
      </c>
      <c r="C1957" s="3" t="s">
        <v>273</v>
      </c>
      <c r="D1957" s="3" t="s">
        <v>128</v>
      </c>
      <c r="E1957" s="3">
        <v>87</v>
      </c>
      <c r="G1957" s="57"/>
    </row>
    <row r="1958" spans="1:7" ht="12.75" x14ac:dyDescent="0.2">
      <c r="A1958" s="3">
        <v>55</v>
      </c>
      <c r="B1958" s="4" t="s">
        <v>82</v>
      </c>
      <c r="C1958" s="3" t="s">
        <v>273</v>
      </c>
      <c r="D1958" s="3" t="s">
        <v>149</v>
      </c>
      <c r="E1958" s="3">
        <v>23</v>
      </c>
      <c r="G1958" s="57"/>
    </row>
    <row r="1959" spans="1:7" ht="12.75" x14ac:dyDescent="0.2">
      <c r="A1959" s="3">
        <v>55</v>
      </c>
      <c r="B1959" s="4" t="s">
        <v>82</v>
      </c>
      <c r="C1959" s="3" t="s">
        <v>273</v>
      </c>
      <c r="D1959" s="3" t="s">
        <v>14</v>
      </c>
      <c r="E1959" s="3">
        <v>46</v>
      </c>
      <c r="G1959" s="57"/>
    </row>
    <row r="1960" spans="1:7" ht="12.75" x14ac:dyDescent="0.2">
      <c r="A1960" s="3">
        <v>55</v>
      </c>
      <c r="B1960" s="4" t="s">
        <v>82</v>
      </c>
      <c r="C1960" s="3" t="s">
        <v>273</v>
      </c>
      <c r="D1960" s="3" t="s">
        <v>138</v>
      </c>
      <c r="E1960" s="3">
        <v>1</v>
      </c>
      <c r="F1960">
        <f>SUM(E1955:E1960)</f>
        <v>302</v>
      </c>
      <c r="G1960" s="57"/>
    </row>
    <row r="1961" spans="1:7" ht="12.75" x14ac:dyDescent="0.2">
      <c r="A1961" s="3">
        <v>55</v>
      </c>
      <c r="B1961" s="4" t="s">
        <v>82</v>
      </c>
      <c r="C1961" s="3" t="s">
        <v>125</v>
      </c>
      <c r="D1961" s="3" t="s">
        <v>283</v>
      </c>
      <c r="E1961" s="3">
        <v>142</v>
      </c>
      <c r="G1961" s="57"/>
    </row>
    <row r="1962" spans="1:7" ht="12.75" x14ac:dyDescent="0.2">
      <c r="A1962" s="3">
        <v>55</v>
      </c>
      <c r="B1962" s="4" t="s">
        <v>82</v>
      </c>
      <c r="C1962" s="3" t="s">
        <v>125</v>
      </c>
      <c r="D1962" s="3" t="s">
        <v>315</v>
      </c>
      <c r="E1962" s="3">
        <v>3</v>
      </c>
      <c r="G1962" s="57"/>
    </row>
    <row r="1963" spans="1:7" ht="12.75" x14ac:dyDescent="0.2">
      <c r="A1963" s="3">
        <v>55</v>
      </c>
      <c r="B1963" s="4" t="s">
        <v>82</v>
      </c>
      <c r="C1963" s="3" t="s">
        <v>125</v>
      </c>
      <c r="D1963" s="3" t="s">
        <v>128</v>
      </c>
      <c r="E1963" s="3">
        <v>87</v>
      </c>
      <c r="G1963" s="57"/>
    </row>
    <row r="1964" spans="1:7" ht="12.75" x14ac:dyDescent="0.2">
      <c r="A1964" s="3">
        <v>55</v>
      </c>
      <c r="B1964" s="4" t="s">
        <v>82</v>
      </c>
      <c r="C1964" s="3" t="s">
        <v>125</v>
      </c>
      <c r="D1964" s="3" t="s">
        <v>149</v>
      </c>
      <c r="E1964" s="3">
        <v>22</v>
      </c>
      <c r="G1964" s="57"/>
    </row>
    <row r="1965" spans="1:7" ht="12.75" x14ac:dyDescent="0.2">
      <c r="A1965" s="3">
        <v>55</v>
      </c>
      <c r="B1965" s="4" t="s">
        <v>82</v>
      </c>
      <c r="C1965" s="3" t="s">
        <v>125</v>
      </c>
      <c r="D1965" s="3" t="s">
        <v>14</v>
      </c>
      <c r="E1965" s="3">
        <v>47</v>
      </c>
      <c r="G1965" s="57"/>
    </row>
    <row r="1966" spans="1:7" ht="12.75" x14ac:dyDescent="0.2">
      <c r="A1966" s="3">
        <v>55</v>
      </c>
      <c r="B1966" s="4" t="s">
        <v>82</v>
      </c>
      <c r="C1966" s="3" t="s">
        <v>125</v>
      </c>
      <c r="D1966" s="3" t="s">
        <v>138</v>
      </c>
      <c r="E1966" s="3">
        <v>1</v>
      </c>
      <c r="F1966">
        <f>SUM(E1961:E1966)</f>
        <v>302</v>
      </c>
      <c r="G1966" s="57"/>
    </row>
    <row r="1967" spans="1:7" ht="12.75" x14ac:dyDescent="0.2">
      <c r="A1967" s="3">
        <v>56</v>
      </c>
      <c r="B1967" s="4" t="s">
        <v>83</v>
      </c>
      <c r="C1967" s="3" t="s">
        <v>347</v>
      </c>
      <c r="D1967" s="3" t="s">
        <v>283</v>
      </c>
      <c r="E1967" s="3">
        <v>161</v>
      </c>
      <c r="G1967" s="59">
        <v>469</v>
      </c>
    </row>
    <row r="1968" spans="1:7" ht="12.75" x14ac:dyDescent="0.2">
      <c r="A1968" s="3">
        <v>56</v>
      </c>
      <c r="B1968" s="4" t="s">
        <v>83</v>
      </c>
      <c r="C1968" s="3" t="s">
        <v>347</v>
      </c>
      <c r="D1968" s="3" t="s">
        <v>315</v>
      </c>
      <c r="E1968" s="3">
        <v>5</v>
      </c>
      <c r="G1968" s="57"/>
    </row>
    <row r="1969" spans="1:7" ht="12.75" x14ac:dyDescent="0.2">
      <c r="A1969" s="3">
        <v>56</v>
      </c>
      <c r="B1969" s="4" t="s">
        <v>83</v>
      </c>
      <c r="C1969" s="3" t="s">
        <v>347</v>
      </c>
      <c r="D1969" s="3" t="s">
        <v>316</v>
      </c>
      <c r="E1969" s="3">
        <v>9</v>
      </c>
      <c r="G1969" s="57"/>
    </row>
    <row r="1970" spans="1:7" ht="12.75" x14ac:dyDescent="0.2">
      <c r="A1970" s="3">
        <v>56</v>
      </c>
      <c r="B1970" s="4" t="s">
        <v>83</v>
      </c>
      <c r="C1970" s="3" t="s">
        <v>347</v>
      </c>
      <c r="D1970" s="3" t="s">
        <v>128</v>
      </c>
      <c r="E1970" s="3">
        <v>121</v>
      </c>
      <c r="G1970" s="57"/>
    </row>
    <row r="1971" spans="1:7" ht="12.75" x14ac:dyDescent="0.2">
      <c r="A1971" s="3">
        <v>56</v>
      </c>
      <c r="B1971" s="4" t="s">
        <v>83</v>
      </c>
      <c r="C1971" s="3" t="s">
        <v>347</v>
      </c>
      <c r="D1971" s="3" t="s">
        <v>353</v>
      </c>
      <c r="E1971" s="3">
        <v>5</v>
      </c>
      <c r="G1971" s="57"/>
    </row>
    <row r="1972" spans="1:7" ht="12.75" x14ac:dyDescent="0.2">
      <c r="A1972" s="3">
        <v>56</v>
      </c>
      <c r="B1972" s="4" t="s">
        <v>83</v>
      </c>
      <c r="C1972" s="3" t="s">
        <v>347</v>
      </c>
      <c r="D1972" s="3" t="s">
        <v>149</v>
      </c>
      <c r="E1972" s="3">
        <v>107</v>
      </c>
      <c r="G1972" s="57"/>
    </row>
    <row r="1973" spans="1:7" ht="12.75" x14ac:dyDescent="0.2">
      <c r="A1973" s="3">
        <v>56</v>
      </c>
      <c r="B1973" s="4" t="s">
        <v>83</v>
      </c>
      <c r="C1973" s="3" t="s">
        <v>347</v>
      </c>
      <c r="D1973" s="3" t="s">
        <v>14</v>
      </c>
      <c r="E1973" s="3">
        <v>20</v>
      </c>
      <c r="G1973" s="57"/>
    </row>
    <row r="1974" spans="1:7" ht="12.75" x14ac:dyDescent="0.2">
      <c r="A1974" s="3">
        <v>56</v>
      </c>
      <c r="B1974" s="4" t="s">
        <v>83</v>
      </c>
      <c r="C1974" s="3" t="s">
        <v>347</v>
      </c>
      <c r="D1974" s="3" t="s">
        <v>138</v>
      </c>
      <c r="E1974" s="3">
        <v>0</v>
      </c>
      <c r="F1974">
        <f>SUM(E1967:E1974)</f>
        <v>428</v>
      </c>
      <c r="G1974" s="57"/>
    </row>
    <row r="1975" spans="1:7" ht="12.75" x14ac:dyDescent="0.2">
      <c r="A1975" s="3">
        <v>56</v>
      </c>
      <c r="B1975" s="4" t="s">
        <v>83</v>
      </c>
      <c r="C1975" s="3" t="s">
        <v>273</v>
      </c>
      <c r="D1975" s="3" t="s">
        <v>283</v>
      </c>
      <c r="E1975" s="3">
        <v>170</v>
      </c>
      <c r="G1975" s="57"/>
    </row>
    <row r="1976" spans="1:7" ht="12.75" x14ac:dyDescent="0.2">
      <c r="A1976" s="3">
        <v>56</v>
      </c>
      <c r="B1976" s="4" t="s">
        <v>83</v>
      </c>
      <c r="C1976" s="3" t="s">
        <v>273</v>
      </c>
      <c r="D1976" s="3" t="s">
        <v>315</v>
      </c>
      <c r="E1976" s="3">
        <v>3</v>
      </c>
      <c r="G1976" s="57"/>
    </row>
    <row r="1977" spans="1:7" ht="12.75" x14ac:dyDescent="0.2">
      <c r="A1977" s="3">
        <v>56</v>
      </c>
      <c r="B1977" s="4" t="s">
        <v>83</v>
      </c>
      <c r="C1977" s="3" t="s">
        <v>273</v>
      </c>
      <c r="D1977" s="3" t="s">
        <v>128</v>
      </c>
      <c r="E1977" s="3">
        <v>107</v>
      </c>
      <c r="G1977" s="57"/>
    </row>
    <row r="1978" spans="1:7" ht="12.75" x14ac:dyDescent="0.2">
      <c r="A1978" s="3">
        <v>56</v>
      </c>
      <c r="B1978" s="4" t="s">
        <v>83</v>
      </c>
      <c r="C1978" s="3" t="s">
        <v>273</v>
      </c>
      <c r="D1978" s="3" t="s">
        <v>149</v>
      </c>
      <c r="E1978" s="3">
        <v>79</v>
      </c>
      <c r="G1978" s="57"/>
    </row>
    <row r="1979" spans="1:7" ht="12.75" x14ac:dyDescent="0.2">
      <c r="A1979" s="3">
        <v>56</v>
      </c>
      <c r="B1979" s="4" t="s">
        <v>83</v>
      </c>
      <c r="C1979" s="3" t="s">
        <v>273</v>
      </c>
      <c r="D1979" s="3" t="s">
        <v>14</v>
      </c>
      <c r="E1979" s="3">
        <v>69</v>
      </c>
      <c r="G1979" s="57"/>
    </row>
    <row r="1980" spans="1:7" ht="12.75" x14ac:dyDescent="0.2">
      <c r="A1980" s="3">
        <v>56</v>
      </c>
      <c r="B1980" s="4" t="s">
        <v>83</v>
      </c>
      <c r="C1980" s="3" t="s">
        <v>273</v>
      </c>
      <c r="D1980" s="3" t="s">
        <v>138</v>
      </c>
      <c r="E1980" s="3">
        <v>0</v>
      </c>
      <c r="F1980">
        <f>SUM(E1975:E1980)</f>
        <v>428</v>
      </c>
      <c r="G1980" s="57"/>
    </row>
    <row r="1981" spans="1:7" ht="12.75" x14ac:dyDescent="0.2">
      <c r="A1981" s="3">
        <v>56</v>
      </c>
      <c r="B1981" s="4" t="s">
        <v>83</v>
      </c>
      <c r="C1981" s="3" t="s">
        <v>125</v>
      </c>
      <c r="D1981" s="3" t="s">
        <v>283</v>
      </c>
      <c r="E1981" s="3">
        <v>168</v>
      </c>
      <c r="G1981" s="57"/>
    </row>
    <row r="1982" spans="1:7" ht="12.75" x14ac:dyDescent="0.2">
      <c r="A1982" s="3">
        <v>56</v>
      </c>
      <c r="B1982" s="4" t="s">
        <v>83</v>
      </c>
      <c r="C1982" s="3" t="s">
        <v>125</v>
      </c>
      <c r="D1982" s="3" t="s">
        <v>315</v>
      </c>
      <c r="E1982" s="3">
        <v>2</v>
      </c>
      <c r="G1982" s="57"/>
    </row>
    <row r="1983" spans="1:7" ht="12.75" x14ac:dyDescent="0.2">
      <c r="A1983" s="3">
        <v>56</v>
      </c>
      <c r="B1983" s="4" t="s">
        <v>83</v>
      </c>
      <c r="C1983" s="3" t="s">
        <v>125</v>
      </c>
      <c r="D1983" s="3" t="s">
        <v>128</v>
      </c>
      <c r="E1983" s="3">
        <v>106</v>
      </c>
      <c r="G1983" s="57"/>
    </row>
    <row r="1984" spans="1:7" ht="12.75" x14ac:dyDescent="0.2">
      <c r="A1984" s="3">
        <v>56</v>
      </c>
      <c r="B1984" s="4" t="s">
        <v>83</v>
      </c>
      <c r="C1984" s="3" t="s">
        <v>125</v>
      </c>
      <c r="D1984" s="3" t="s">
        <v>149</v>
      </c>
      <c r="E1984" s="3">
        <v>79</v>
      </c>
      <c r="G1984" s="57"/>
    </row>
    <row r="1985" spans="1:7" ht="12.75" x14ac:dyDescent="0.2">
      <c r="A1985" s="3">
        <v>56</v>
      </c>
      <c r="B1985" s="4" t="s">
        <v>83</v>
      </c>
      <c r="C1985" s="3" t="s">
        <v>125</v>
      </c>
      <c r="D1985" s="3" t="s">
        <v>14</v>
      </c>
      <c r="E1985" s="3">
        <v>73</v>
      </c>
      <c r="G1985" s="57"/>
    </row>
    <row r="1986" spans="1:7" ht="12.75" x14ac:dyDescent="0.2">
      <c r="A1986" s="3">
        <v>56</v>
      </c>
      <c r="B1986" s="4" t="s">
        <v>83</v>
      </c>
      <c r="C1986" s="3" t="s">
        <v>125</v>
      </c>
      <c r="D1986" s="3" t="s">
        <v>138</v>
      </c>
      <c r="E1986" s="3">
        <v>0</v>
      </c>
      <c r="F1986">
        <f>SUM(E1981:E1986)</f>
        <v>428</v>
      </c>
      <c r="G1986" s="57"/>
    </row>
    <row r="1987" spans="1:7" ht="12.75" x14ac:dyDescent="0.2">
      <c r="A1987" s="3">
        <v>59</v>
      </c>
      <c r="B1987" s="4" t="s">
        <v>85</v>
      </c>
      <c r="C1987" s="3" t="s">
        <v>347</v>
      </c>
      <c r="D1987" s="3" t="s">
        <v>283</v>
      </c>
      <c r="E1987" s="3">
        <v>177</v>
      </c>
      <c r="G1987" s="59">
        <v>416</v>
      </c>
    </row>
    <row r="1988" spans="1:7" ht="12.75" x14ac:dyDescent="0.2">
      <c r="A1988" s="3">
        <v>59</v>
      </c>
      <c r="B1988" s="4" t="s">
        <v>85</v>
      </c>
      <c r="C1988" s="3" t="s">
        <v>347</v>
      </c>
      <c r="D1988" s="3" t="s">
        <v>315</v>
      </c>
      <c r="E1988" s="3">
        <v>6</v>
      </c>
      <c r="G1988" s="57"/>
    </row>
    <row r="1989" spans="1:7" ht="12.75" x14ac:dyDescent="0.2">
      <c r="A1989" s="3">
        <v>59</v>
      </c>
      <c r="B1989" s="4" t="s">
        <v>85</v>
      </c>
      <c r="C1989" s="3" t="s">
        <v>347</v>
      </c>
      <c r="D1989" s="3" t="s">
        <v>316</v>
      </c>
      <c r="E1989" s="3">
        <v>14</v>
      </c>
      <c r="G1989" s="57"/>
    </row>
    <row r="1990" spans="1:7" ht="12.75" x14ac:dyDescent="0.2">
      <c r="A1990" s="3">
        <v>59</v>
      </c>
      <c r="B1990" s="4" t="s">
        <v>85</v>
      </c>
      <c r="C1990" s="3" t="s">
        <v>347</v>
      </c>
      <c r="D1990" s="3" t="s">
        <v>128</v>
      </c>
      <c r="E1990" s="3">
        <v>86</v>
      </c>
      <c r="G1990" s="57"/>
    </row>
    <row r="1991" spans="1:7" ht="12.75" x14ac:dyDescent="0.2">
      <c r="A1991" s="3">
        <v>59</v>
      </c>
      <c r="B1991" s="4" t="s">
        <v>85</v>
      </c>
      <c r="C1991" s="3" t="s">
        <v>347</v>
      </c>
      <c r="D1991" s="3" t="s">
        <v>353</v>
      </c>
      <c r="E1991" s="3">
        <v>6</v>
      </c>
      <c r="G1991" s="57"/>
    </row>
    <row r="1992" spans="1:7" ht="12.75" x14ac:dyDescent="0.2">
      <c r="A1992" s="3">
        <v>59</v>
      </c>
      <c r="B1992" s="4" t="s">
        <v>85</v>
      </c>
      <c r="C1992" s="3" t="s">
        <v>347</v>
      </c>
      <c r="D1992" s="3" t="s">
        <v>149</v>
      </c>
      <c r="E1992" s="3">
        <v>66</v>
      </c>
      <c r="G1992" s="57"/>
    </row>
    <row r="1993" spans="1:7" ht="12.75" x14ac:dyDescent="0.2">
      <c r="A1993" s="3">
        <v>59</v>
      </c>
      <c r="B1993" s="4" t="s">
        <v>85</v>
      </c>
      <c r="C1993" s="3" t="s">
        <v>347</v>
      </c>
      <c r="D1993" s="3" t="s">
        <v>14</v>
      </c>
      <c r="E1993" s="3">
        <v>21</v>
      </c>
      <c r="G1993" s="57"/>
    </row>
    <row r="1994" spans="1:7" ht="12.75" x14ac:dyDescent="0.2">
      <c r="A1994" s="3">
        <v>59</v>
      </c>
      <c r="B1994" s="4" t="s">
        <v>85</v>
      </c>
      <c r="C1994" s="3" t="s">
        <v>347</v>
      </c>
      <c r="D1994" s="3" t="s">
        <v>138</v>
      </c>
      <c r="E1994" s="3">
        <v>2</v>
      </c>
      <c r="F1994">
        <f>SUM(E1987:E1994)</f>
        <v>378</v>
      </c>
      <c r="G1994" s="57"/>
    </row>
    <row r="1995" spans="1:7" ht="12.75" x14ac:dyDescent="0.2">
      <c r="A1995" s="3">
        <v>59</v>
      </c>
      <c r="B1995" s="4" t="s">
        <v>85</v>
      </c>
      <c r="C1995" s="3" t="s">
        <v>273</v>
      </c>
      <c r="D1995" s="3" t="s">
        <v>283</v>
      </c>
      <c r="E1995" s="3">
        <v>190</v>
      </c>
      <c r="G1995" s="57"/>
    </row>
    <row r="1996" spans="1:7" ht="12.75" x14ac:dyDescent="0.2">
      <c r="A1996" s="3">
        <v>59</v>
      </c>
      <c r="B1996" s="4" t="s">
        <v>85</v>
      </c>
      <c r="C1996" s="3" t="s">
        <v>273</v>
      </c>
      <c r="D1996" s="3" t="s">
        <v>315</v>
      </c>
      <c r="E1996" s="3">
        <v>5</v>
      </c>
      <c r="G1996" s="57"/>
    </row>
    <row r="1997" spans="1:7" ht="12.75" x14ac:dyDescent="0.2">
      <c r="A1997" s="3">
        <v>59</v>
      </c>
      <c r="B1997" s="4" t="s">
        <v>85</v>
      </c>
      <c r="C1997" s="3" t="s">
        <v>273</v>
      </c>
      <c r="D1997" s="3" t="s">
        <v>128</v>
      </c>
      <c r="E1997" s="3">
        <v>89</v>
      </c>
      <c r="G1997" s="57"/>
    </row>
    <row r="1998" spans="1:7" ht="12.75" x14ac:dyDescent="0.2">
      <c r="A1998" s="3">
        <v>59</v>
      </c>
      <c r="B1998" s="4" t="s">
        <v>85</v>
      </c>
      <c r="C1998" s="3" t="s">
        <v>273</v>
      </c>
      <c r="D1998" s="3" t="s">
        <v>149</v>
      </c>
      <c r="E1998" s="3">
        <v>25</v>
      </c>
      <c r="G1998" s="57"/>
    </row>
    <row r="1999" spans="1:7" ht="12.75" x14ac:dyDescent="0.2">
      <c r="A1999" s="3">
        <v>59</v>
      </c>
      <c r="B1999" s="4" t="s">
        <v>85</v>
      </c>
      <c r="C1999" s="3" t="s">
        <v>273</v>
      </c>
      <c r="D1999" s="3" t="s">
        <v>14</v>
      </c>
      <c r="E1999" s="3">
        <v>67</v>
      </c>
      <c r="G1999" s="57"/>
    </row>
    <row r="2000" spans="1:7" ht="12.75" x14ac:dyDescent="0.2">
      <c r="A2000" s="3">
        <v>59</v>
      </c>
      <c r="B2000" s="4" t="s">
        <v>85</v>
      </c>
      <c r="C2000" s="3" t="s">
        <v>273</v>
      </c>
      <c r="D2000" s="3" t="s">
        <v>138</v>
      </c>
      <c r="E2000" s="3">
        <v>2</v>
      </c>
      <c r="F2000">
        <f>SUM(E1995:E2000)</f>
        <v>378</v>
      </c>
      <c r="G2000" s="57"/>
    </row>
    <row r="2001" spans="1:7" ht="12.75" x14ac:dyDescent="0.2">
      <c r="A2001" s="3">
        <v>59</v>
      </c>
      <c r="B2001" s="4" t="s">
        <v>85</v>
      </c>
      <c r="C2001" s="3" t="s">
        <v>125</v>
      </c>
      <c r="D2001" s="3" t="s">
        <v>283</v>
      </c>
      <c r="E2001" s="3">
        <v>193</v>
      </c>
      <c r="G2001" s="57"/>
    </row>
    <row r="2002" spans="1:7" ht="12.75" x14ac:dyDescent="0.2">
      <c r="A2002" s="3">
        <v>59</v>
      </c>
      <c r="B2002" s="4" t="s">
        <v>85</v>
      </c>
      <c r="C2002" s="3" t="s">
        <v>125</v>
      </c>
      <c r="D2002" s="3" t="s">
        <v>315</v>
      </c>
      <c r="E2002" s="3">
        <v>3</v>
      </c>
      <c r="G2002" s="57"/>
    </row>
    <row r="2003" spans="1:7" ht="12.75" x14ac:dyDescent="0.2">
      <c r="A2003" s="3">
        <v>59</v>
      </c>
      <c r="B2003" s="4" t="s">
        <v>85</v>
      </c>
      <c r="C2003" s="3" t="s">
        <v>125</v>
      </c>
      <c r="D2003" s="3" t="s">
        <v>128</v>
      </c>
      <c r="E2003" s="3">
        <v>88</v>
      </c>
      <c r="G2003" s="57"/>
    </row>
    <row r="2004" spans="1:7" ht="12.75" x14ac:dyDescent="0.2">
      <c r="A2004" s="3">
        <v>59</v>
      </c>
      <c r="B2004" s="4" t="s">
        <v>85</v>
      </c>
      <c r="C2004" s="3" t="s">
        <v>125</v>
      </c>
      <c r="D2004" s="3" t="s">
        <v>149</v>
      </c>
      <c r="E2004" s="3">
        <v>23</v>
      </c>
      <c r="G2004" s="57"/>
    </row>
    <row r="2005" spans="1:7" ht="12.75" x14ac:dyDescent="0.2">
      <c r="A2005" s="3">
        <v>59</v>
      </c>
      <c r="B2005" s="4" t="s">
        <v>85</v>
      </c>
      <c r="C2005" s="3" t="s">
        <v>125</v>
      </c>
      <c r="D2005" s="3" t="s">
        <v>14</v>
      </c>
      <c r="E2005" s="3">
        <v>69</v>
      </c>
      <c r="G2005" s="57"/>
    </row>
    <row r="2006" spans="1:7" ht="12.75" x14ac:dyDescent="0.2">
      <c r="A2006" s="3">
        <v>59</v>
      </c>
      <c r="B2006" s="4" t="s">
        <v>85</v>
      </c>
      <c r="C2006" s="3" t="s">
        <v>125</v>
      </c>
      <c r="D2006" s="3" t="s">
        <v>138</v>
      </c>
      <c r="E2006" s="3">
        <v>2</v>
      </c>
      <c r="F2006">
        <f>SUM(E2001:E2006)</f>
        <v>378</v>
      </c>
      <c r="G2006" s="57"/>
    </row>
    <row r="2007" spans="1:7" ht="12.75" x14ac:dyDescent="0.2">
      <c r="A2007" s="3">
        <v>60</v>
      </c>
      <c r="B2007" s="4" t="s">
        <v>154</v>
      </c>
      <c r="C2007" s="3" t="s">
        <v>347</v>
      </c>
      <c r="D2007" s="3" t="s">
        <v>283</v>
      </c>
      <c r="E2007" s="3">
        <v>6</v>
      </c>
      <c r="G2007" s="59">
        <v>56</v>
      </c>
    </row>
    <row r="2008" spans="1:7" ht="12.75" x14ac:dyDescent="0.2">
      <c r="A2008" s="3">
        <v>60</v>
      </c>
      <c r="B2008" s="4" t="s">
        <v>154</v>
      </c>
      <c r="C2008" s="3" t="s">
        <v>347</v>
      </c>
      <c r="D2008" s="3" t="s">
        <v>315</v>
      </c>
      <c r="E2008" s="3">
        <v>1</v>
      </c>
      <c r="G2008" s="57"/>
    </row>
    <row r="2009" spans="1:7" ht="12.75" x14ac:dyDescent="0.2">
      <c r="A2009" s="3">
        <v>60</v>
      </c>
      <c r="B2009" s="4" t="s">
        <v>154</v>
      </c>
      <c r="C2009" s="3" t="s">
        <v>347</v>
      </c>
      <c r="D2009" s="3" t="s">
        <v>316</v>
      </c>
      <c r="E2009" s="3">
        <v>4</v>
      </c>
      <c r="G2009" s="57"/>
    </row>
    <row r="2010" spans="1:7" ht="12.75" x14ac:dyDescent="0.2">
      <c r="A2010" s="3">
        <v>60</v>
      </c>
      <c r="B2010" s="4" t="s">
        <v>154</v>
      </c>
      <c r="C2010" s="3" t="s">
        <v>347</v>
      </c>
      <c r="D2010" s="3" t="s">
        <v>128</v>
      </c>
      <c r="E2010" s="3">
        <v>16</v>
      </c>
      <c r="G2010" s="57"/>
    </row>
    <row r="2011" spans="1:7" ht="12.75" x14ac:dyDescent="0.2">
      <c r="A2011" s="3">
        <v>60</v>
      </c>
      <c r="B2011" s="4" t="s">
        <v>154</v>
      </c>
      <c r="C2011" s="3" t="s">
        <v>347</v>
      </c>
      <c r="D2011" s="3" t="s">
        <v>353</v>
      </c>
      <c r="E2011" s="3">
        <v>0</v>
      </c>
      <c r="G2011" s="57"/>
    </row>
    <row r="2012" spans="1:7" ht="12.75" x14ac:dyDescent="0.2">
      <c r="A2012" s="3">
        <v>60</v>
      </c>
      <c r="B2012" s="4" t="s">
        <v>154</v>
      </c>
      <c r="C2012" s="3" t="s">
        <v>347</v>
      </c>
      <c r="D2012" s="3" t="s">
        <v>149</v>
      </c>
      <c r="E2012" s="3">
        <v>8</v>
      </c>
      <c r="G2012" s="57"/>
    </row>
    <row r="2013" spans="1:7" ht="12.75" x14ac:dyDescent="0.2">
      <c r="A2013" s="3">
        <v>60</v>
      </c>
      <c r="B2013" s="4" t="s">
        <v>154</v>
      </c>
      <c r="C2013" s="3" t="s">
        <v>347</v>
      </c>
      <c r="D2013" s="3" t="s">
        <v>14</v>
      </c>
      <c r="E2013" s="3">
        <v>1</v>
      </c>
      <c r="G2013" s="57"/>
    </row>
    <row r="2014" spans="1:7" ht="12.75" x14ac:dyDescent="0.2">
      <c r="A2014" s="3">
        <v>60</v>
      </c>
      <c r="B2014" s="4" t="s">
        <v>154</v>
      </c>
      <c r="C2014" s="3" t="s">
        <v>347</v>
      </c>
      <c r="D2014" s="3" t="s">
        <v>138</v>
      </c>
      <c r="E2014" s="3">
        <v>0</v>
      </c>
      <c r="F2014">
        <f>SUM(E2007:E2014)</f>
        <v>36</v>
      </c>
      <c r="G2014" s="57"/>
    </row>
    <row r="2015" spans="1:7" ht="12.75" x14ac:dyDescent="0.2">
      <c r="A2015" s="3">
        <v>60</v>
      </c>
      <c r="B2015" s="4" t="s">
        <v>154</v>
      </c>
      <c r="C2015" s="3" t="s">
        <v>273</v>
      </c>
      <c r="D2015" s="3" t="s">
        <v>283</v>
      </c>
      <c r="E2015" s="3">
        <v>4</v>
      </c>
      <c r="G2015" s="57"/>
    </row>
    <row r="2016" spans="1:7" ht="12.75" x14ac:dyDescent="0.2">
      <c r="A2016" s="3">
        <v>60</v>
      </c>
      <c r="B2016" s="4" t="s">
        <v>154</v>
      </c>
      <c r="C2016" s="3" t="s">
        <v>273</v>
      </c>
      <c r="D2016" s="3" t="s">
        <v>315</v>
      </c>
      <c r="E2016" s="3">
        <v>1</v>
      </c>
      <c r="G2016" s="57"/>
    </row>
    <row r="2017" spans="1:7" ht="12.75" x14ac:dyDescent="0.2">
      <c r="A2017" s="3">
        <v>60</v>
      </c>
      <c r="B2017" s="4" t="s">
        <v>154</v>
      </c>
      <c r="C2017" s="3" t="s">
        <v>273</v>
      </c>
      <c r="D2017" s="3" t="s">
        <v>128</v>
      </c>
      <c r="E2017" s="3">
        <v>13</v>
      </c>
      <c r="G2017" s="57"/>
    </row>
    <row r="2018" spans="1:7" ht="12.75" x14ac:dyDescent="0.2">
      <c r="A2018" s="3">
        <v>60</v>
      </c>
      <c r="B2018" s="4" t="s">
        <v>154</v>
      </c>
      <c r="C2018" s="3" t="s">
        <v>273</v>
      </c>
      <c r="D2018" s="3" t="s">
        <v>149</v>
      </c>
      <c r="E2018" s="3">
        <v>7</v>
      </c>
      <c r="G2018" s="57"/>
    </row>
    <row r="2019" spans="1:7" ht="12.75" x14ac:dyDescent="0.2">
      <c r="A2019" s="3">
        <v>60</v>
      </c>
      <c r="B2019" s="4" t="s">
        <v>154</v>
      </c>
      <c r="C2019" s="3" t="s">
        <v>273</v>
      </c>
      <c r="D2019" s="3" t="s">
        <v>14</v>
      </c>
      <c r="E2019" s="3">
        <v>11</v>
      </c>
      <c r="G2019" s="57"/>
    </row>
    <row r="2020" spans="1:7" ht="12.75" x14ac:dyDescent="0.2">
      <c r="A2020" s="3">
        <v>60</v>
      </c>
      <c r="B2020" s="4" t="s">
        <v>154</v>
      </c>
      <c r="C2020" s="3" t="s">
        <v>273</v>
      </c>
      <c r="D2020" s="3" t="s">
        <v>138</v>
      </c>
      <c r="E2020" s="3">
        <v>0</v>
      </c>
      <c r="F2020">
        <f>SUM(E2015:E2020)</f>
        <v>36</v>
      </c>
      <c r="G2020" s="57"/>
    </row>
    <row r="2021" spans="1:7" ht="12.75" x14ac:dyDescent="0.2">
      <c r="A2021" s="3">
        <v>60</v>
      </c>
      <c r="B2021" s="4" t="s">
        <v>154</v>
      </c>
      <c r="C2021" s="3" t="s">
        <v>125</v>
      </c>
      <c r="D2021" s="3" t="s">
        <v>283</v>
      </c>
      <c r="E2021" s="3">
        <v>4</v>
      </c>
      <c r="G2021" s="57"/>
    </row>
    <row r="2022" spans="1:7" ht="12.75" x14ac:dyDescent="0.2">
      <c r="A2022" s="3">
        <v>60</v>
      </c>
      <c r="B2022" s="4" t="s">
        <v>154</v>
      </c>
      <c r="C2022" s="3" t="s">
        <v>125</v>
      </c>
      <c r="D2022" s="3" t="s">
        <v>315</v>
      </c>
      <c r="E2022" s="3">
        <v>1</v>
      </c>
      <c r="G2022" s="57"/>
    </row>
    <row r="2023" spans="1:7" ht="12.75" x14ac:dyDescent="0.2">
      <c r="A2023" s="3">
        <v>60</v>
      </c>
      <c r="B2023" s="4" t="s">
        <v>154</v>
      </c>
      <c r="C2023" s="3" t="s">
        <v>125</v>
      </c>
      <c r="D2023" s="3" t="s">
        <v>128</v>
      </c>
      <c r="E2023" s="3">
        <v>13</v>
      </c>
      <c r="G2023" s="57"/>
    </row>
    <row r="2024" spans="1:7" ht="12.75" x14ac:dyDescent="0.2">
      <c r="A2024" s="3">
        <v>60</v>
      </c>
      <c r="B2024" s="4" t="s">
        <v>154</v>
      </c>
      <c r="C2024" s="3" t="s">
        <v>125</v>
      </c>
      <c r="D2024" s="3" t="s">
        <v>149</v>
      </c>
      <c r="E2024" s="3">
        <v>7</v>
      </c>
      <c r="G2024" s="57"/>
    </row>
    <row r="2025" spans="1:7" ht="12.75" x14ac:dyDescent="0.2">
      <c r="A2025" s="3">
        <v>60</v>
      </c>
      <c r="B2025" s="4" t="s">
        <v>154</v>
      </c>
      <c r="C2025" s="3" t="s">
        <v>125</v>
      </c>
      <c r="D2025" s="3" t="s">
        <v>14</v>
      </c>
      <c r="E2025" s="3">
        <v>11</v>
      </c>
      <c r="G2025" s="57"/>
    </row>
    <row r="2026" spans="1:7" ht="12.75" x14ac:dyDescent="0.2">
      <c r="A2026" s="3">
        <v>60</v>
      </c>
      <c r="B2026" s="4" t="s">
        <v>154</v>
      </c>
      <c r="C2026" s="3" t="s">
        <v>125</v>
      </c>
      <c r="D2026" s="3" t="s">
        <v>138</v>
      </c>
      <c r="E2026" s="3">
        <v>0</v>
      </c>
      <c r="F2026">
        <f>SUM(E2021:E2026)</f>
        <v>36</v>
      </c>
      <c r="G2026" s="57"/>
    </row>
    <row r="2027" spans="1:7" ht="12.75" x14ac:dyDescent="0.2">
      <c r="A2027" s="3">
        <v>62</v>
      </c>
      <c r="B2027" s="4" t="s">
        <v>87</v>
      </c>
      <c r="C2027" s="3" t="s">
        <v>347</v>
      </c>
      <c r="D2027" s="3" t="s">
        <v>283</v>
      </c>
      <c r="E2027" s="3">
        <v>217</v>
      </c>
      <c r="G2027" s="59">
        <v>608</v>
      </c>
    </row>
    <row r="2028" spans="1:7" ht="12.75" x14ac:dyDescent="0.2">
      <c r="A2028" s="3">
        <v>62</v>
      </c>
      <c r="B2028" s="4" t="s">
        <v>87</v>
      </c>
      <c r="C2028" s="3" t="s">
        <v>347</v>
      </c>
      <c r="D2028" s="3" t="s">
        <v>315</v>
      </c>
      <c r="E2028" s="3">
        <v>1</v>
      </c>
      <c r="G2028" s="57"/>
    </row>
    <row r="2029" spans="1:7" ht="12.75" x14ac:dyDescent="0.2">
      <c r="A2029" s="3">
        <v>62</v>
      </c>
      <c r="B2029" s="4" t="s">
        <v>87</v>
      </c>
      <c r="C2029" s="3" t="s">
        <v>347</v>
      </c>
      <c r="D2029" s="3" t="s">
        <v>316</v>
      </c>
      <c r="E2029" s="3">
        <v>1</v>
      </c>
      <c r="G2029" s="57"/>
    </row>
    <row r="2030" spans="1:7" ht="12.75" x14ac:dyDescent="0.2">
      <c r="A2030" s="3">
        <v>62</v>
      </c>
      <c r="B2030" s="4" t="s">
        <v>87</v>
      </c>
      <c r="C2030" s="3" t="s">
        <v>347</v>
      </c>
      <c r="D2030" s="3" t="s">
        <v>128</v>
      </c>
      <c r="E2030" s="3">
        <v>166</v>
      </c>
      <c r="G2030" s="57"/>
    </row>
    <row r="2031" spans="1:7" ht="12.75" x14ac:dyDescent="0.2">
      <c r="A2031" s="3">
        <v>62</v>
      </c>
      <c r="B2031" s="4" t="s">
        <v>87</v>
      </c>
      <c r="C2031" s="3" t="s">
        <v>347</v>
      </c>
      <c r="D2031" s="3" t="s">
        <v>353</v>
      </c>
      <c r="E2031" s="3">
        <v>4</v>
      </c>
      <c r="G2031" s="57"/>
    </row>
    <row r="2032" spans="1:7" ht="12.75" x14ac:dyDescent="0.2">
      <c r="A2032" s="3">
        <v>62</v>
      </c>
      <c r="B2032" s="4" t="s">
        <v>87</v>
      </c>
      <c r="C2032" s="3" t="s">
        <v>347</v>
      </c>
      <c r="D2032" s="3" t="s">
        <v>149</v>
      </c>
      <c r="E2032" s="3">
        <v>48</v>
      </c>
      <c r="G2032" s="57"/>
    </row>
    <row r="2033" spans="1:7" ht="12.75" x14ac:dyDescent="0.2">
      <c r="A2033" s="3">
        <v>62</v>
      </c>
      <c r="B2033" s="4" t="s">
        <v>87</v>
      </c>
      <c r="C2033" s="3" t="s">
        <v>347</v>
      </c>
      <c r="D2033" s="3" t="s">
        <v>14</v>
      </c>
      <c r="E2033" s="3">
        <v>108</v>
      </c>
      <c r="G2033" s="57"/>
    </row>
    <row r="2034" spans="1:7" ht="12.75" x14ac:dyDescent="0.2">
      <c r="A2034" s="3">
        <v>62</v>
      </c>
      <c r="B2034" s="4" t="s">
        <v>87</v>
      </c>
      <c r="C2034" s="3" t="s">
        <v>347</v>
      </c>
      <c r="D2034" s="3" t="s">
        <v>138</v>
      </c>
      <c r="E2034" s="3">
        <v>1</v>
      </c>
      <c r="F2034">
        <f>SUM(E2027:E2034)</f>
        <v>546</v>
      </c>
      <c r="G2034" s="57"/>
    </row>
    <row r="2035" spans="1:7" ht="12.75" x14ac:dyDescent="0.2">
      <c r="A2035" s="3">
        <v>62</v>
      </c>
      <c r="B2035" s="4" t="s">
        <v>87</v>
      </c>
      <c r="C2035" s="3" t="s">
        <v>273</v>
      </c>
      <c r="D2035" s="3" t="s">
        <v>283</v>
      </c>
      <c r="E2035" s="3">
        <v>232</v>
      </c>
      <c r="G2035" s="57"/>
    </row>
    <row r="2036" spans="1:7" ht="12.75" x14ac:dyDescent="0.2">
      <c r="A2036" s="3">
        <v>62</v>
      </c>
      <c r="B2036" s="4" t="s">
        <v>87</v>
      </c>
      <c r="C2036" s="3" t="s">
        <v>273</v>
      </c>
      <c r="D2036" s="3" t="s">
        <v>315</v>
      </c>
      <c r="E2036" s="3">
        <v>2</v>
      </c>
      <c r="G2036" s="57"/>
    </row>
    <row r="2037" spans="1:7" ht="12.75" x14ac:dyDescent="0.2">
      <c r="A2037" s="3">
        <v>62</v>
      </c>
      <c r="B2037" s="4" t="s">
        <v>87</v>
      </c>
      <c r="C2037" s="3" t="s">
        <v>273</v>
      </c>
      <c r="D2037" s="3" t="s">
        <v>128</v>
      </c>
      <c r="E2037" s="3">
        <v>175</v>
      </c>
      <c r="G2037" s="57"/>
    </row>
    <row r="2038" spans="1:7" ht="12.75" x14ac:dyDescent="0.2">
      <c r="A2038" s="3">
        <v>62</v>
      </c>
      <c r="B2038" s="4" t="s">
        <v>87</v>
      </c>
      <c r="C2038" s="3" t="s">
        <v>273</v>
      </c>
      <c r="D2038" s="3" t="s">
        <v>149</v>
      </c>
      <c r="E2038" s="3">
        <v>11</v>
      </c>
      <c r="G2038" s="57"/>
    </row>
    <row r="2039" spans="1:7" ht="12.75" x14ac:dyDescent="0.2">
      <c r="A2039" s="3">
        <v>62</v>
      </c>
      <c r="B2039" s="4" t="s">
        <v>87</v>
      </c>
      <c r="C2039" s="3" t="s">
        <v>273</v>
      </c>
      <c r="D2039" s="3" t="s">
        <v>14</v>
      </c>
      <c r="E2039" s="3">
        <v>125</v>
      </c>
      <c r="G2039" s="57"/>
    </row>
    <row r="2040" spans="1:7" ht="12.75" x14ac:dyDescent="0.2">
      <c r="A2040" s="3">
        <v>62</v>
      </c>
      <c r="B2040" s="4" t="s">
        <v>87</v>
      </c>
      <c r="C2040" s="3" t="s">
        <v>273</v>
      </c>
      <c r="D2040" s="3" t="s">
        <v>138</v>
      </c>
      <c r="E2040" s="3">
        <v>1</v>
      </c>
      <c r="F2040">
        <f>SUM(E2035:E2040)</f>
        <v>546</v>
      </c>
      <c r="G2040" s="57"/>
    </row>
    <row r="2041" spans="1:7" ht="12.75" x14ac:dyDescent="0.2">
      <c r="A2041" s="3">
        <v>62</v>
      </c>
      <c r="B2041" s="4" t="s">
        <v>87</v>
      </c>
      <c r="C2041" s="3" t="s">
        <v>125</v>
      </c>
      <c r="D2041" s="3" t="s">
        <v>283</v>
      </c>
      <c r="E2041" s="3">
        <v>235</v>
      </c>
      <c r="G2041" s="57"/>
    </row>
    <row r="2042" spans="1:7" ht="12.75" x14ac:dyDescent="0.2">
      <c r="A2042" s="3">
        <v>62</v>
      </c>
      <c r="B2042" s="4" t="s">
        <v>87</v>
      </c>
      <c r="C2042" s="3" t="s">
        <v>125</v>
      </c>
      <c r="D2042" s="3" t="s">
        <v>315</v>
      </c>
      <c r="E2042" s="3">
        <v>2</v>
      </c>
      <c r="G2042" s="57"/>
    </row>
    <row r="2043" spans="1:7" ht="12.75" x14ac:dyDescent="0.2">
      <c r="A2043" s="3">
        <v>62</v>
      </c>
      <c r="B2043" s="4" t="s">
        <v>87</v>
      </c>
      <c r="C2043" s="3" t="s">
        <v>125</v>
      </c>
      <c r="D2043" s="3" t="s">
        <v>128</v>
      </c>
      <c r="E2043" s="3">
        <v>169</v>
      </c>
      <c r="G2043" s="57"/>
    </row>
    <row r="2044" spans="1:7" ht="12.75" x14ac:dyDescent="0.2">
      <c r="A2044" s="3">
        <v>62</v>
      </c>
      <c r="B2044" s="4" t="s">
        <v>87</v>
      </c>
      <c r="C2044" s="3" t="s">
        <v>125</v>
      </c>
      <c r="D2044" s="3" t="s">
        <v>149</v>
      </c>
      <c r="E2044" s="3">
        <v>12</v>
      </c>
      <c r="G2044" s="57"/>
    </row>
    <row r="2045" spans="1:7" ht="12.75" x14ac:dyDescent="0.2">
      <c r="A2045" s="3">
        <v>62</v>
      </c>
      <c r="B2045" s="4" t="s">
        <v>87</v>
      </c>
      <c r="C2045" s="3" t="s">
        <v>125</v>
      </c>
      <c r="D2045" s="3" t="s">
        <v>14</v>
      </c>
      <c r="E2045" s="3">
        <v>127</v>
      </c>
      <c r="G2045" s="57"/>
    </row>
    <row r="2046" spans="1:7" ht="12.75" x14ac:dyDescent="0.2">
      <c r="A2046" s="3">
        <v>62</v>
      </c>
      <c r="B2046" s="4" t="s">
        <v>87</v>
      </c>
      <c r="C2046" s="3" t="s">
        <v>125</v>
      </c>
      <c r="D2046" s="3" t="s">
        <v>138</v>
      </c>
      <c r="E2046" s="3">
        <v>1</v>
      </c>
      <c r="F2046">
        <f>SUM(E2041:E2046)</f>
        <v>546</v>
      </c>
      <c r="G2046" s="57"/>
    </row>
    <row r="2047" spans="1:7" ht="12.75" x14ac:dyDescent="0.2">
      <c r="A2047" s="3">
        <v>63</v>
      </c>
      <c r="B2047" s="4" t="s">
        <v>88</v>
      </c>
      <c r="C2047" s="3" t="s">
        <v>347</v>
      </c>
      <c r="D2047" s="3" t="s">
        <v>283</v>
      </c>
      <c r="E2047" s="3">
        <v>691</v>
      </c>
      <c r="G2047" s="59">
        <v>2668</v>
      </c>
    </row>
    <row r="2048" spans="1:7" ht="12.75" x14ac:dyDescent="0.2">
      <c r="A2048" s="3">
        <v>63</v>
      </c>
      <c r="B2048" s="4" t="s">
        <v>88</v>
      </c>
      <c r="C2048" s="3" t="s">
        <v>347</v>
      </c>
      <c r="D2048" s="3" t="s">
        <v>315</v>
      </c>
      <c r="E2048" s="3">
        <v>29</v>
      </c>
      <c r="G2048" s="57"/>
    </row>
    <row r="2049" spans="1:7" ht="12.75" x14ac:dyDescent="0.2">
      <c r="A2049" s="3">
        <v>63</v>
      </c>
      <c r="B2049" s="4" t="s">
        <v>88</v>
      </c>
      <c r="C2049" s="3" t="s">
        <v>347</v>
      </c>
      <c r="D2049" s="3" t="s">
        <v>316</v>
      </c>
      <c r="E2049" s="3">
        <v>19</v>
      </c>
      <c r="G2049" s="57"/>
    </row>
    <row r="2050" spans="1:7" ht="12.75" x14ac:dyDescent="0.2">
      <c r="A2050" s="3">
        <v>63</v>
      </c>
      <c r="B2050" s="4" t="s">
        <v>88</v>
      </c>
      <c r="C2050" s="3" t="s">
        <v>347</v>
      </c>
      <c r="D2050" s="3" t="s">
        <v>128</v>
      </c>
      <c r="E2050" s="3">
        <v>836</v>
      </c>
      <c r="G2050" s="57"/>
    </row>
    <row r="2051" spans="1:7" ht="12.75" x14ac:dyDescent="0.2">
      <c r="A2051" s="3">
        <v>63</v>
      </c>
      <c r="B2051" s="4" t="s">
        <v>88</v>
      </c>
      <c r="C2051" s="3" t="s">
        <v>347</v>
      </c>
      <c r="D2051" s="3" t="s">
        <v>353</v>
      </c>
      <c r="E2051" s="3">
        <v>51</v>
      </c>
      <c r="G2051" s="57"/>
    </row>
    <row r="2052" spans="1:7" ht="12.75" x14ac:dyDescent="0.2">
      <c r="A2052" s="3">
        <v>63</v>
      </c>
      <c r="B2052" s="4" t="s">
        <v>88</v>
      </c>
      <c r="C2052" s="3" t="s">
        <v>347</v>
      </c>
      <c r="D2052" s="3" t="s">
        <v>149</v>
      </c>
      <c r="E2052" s="3">
        <v>508</v>
      </c>
      <c r="G2052" s="57"/>
    </row>
    <row r="2053" spans="1:7" ht="12.75" x14ac:dyDescent="0.2">
      <c r="A2053" s="3">
        <v>63</v>
      </c>
      <c r="B2053" s="4" t="s">
        <v>88</v>
      </c>
      <c r="C2053" s="3" t="s">
        <v>347</v>
      </c>
      <c r="D2053" s="3" t="s">
        <v>14</v>
      </c>
      <c r="E2053" s="3">
        <v>99</v>
      </c>
      <c r="G2053" s="57"/>
    </row>
    <row r="2054" spans="1:7" ht="12.75" x14ac:dyDescent="0.2">
      <c r="A2054" s="3">
        <v>63</v>
      </c>
      <c r="B2054" s="4" t="s">
        <v>88</v>
      </c>
      <c r="C2054" s="3" t="s">
        <v>347</v>
      </c>
      <c r="D2054" s="3" t="s">
        <v>138</v>
      </c>
      <c r="E2054" s="3">
        <v>1</v>
      </c>
      <c r="F2054">
        <f>SUM(E2047:E2054)</f>
        <v>2234</v>
      </c>
      <c r="G2054" s="57"/>
    </row>
    <row r="2055" spans="1:7" ht="12.75" x14ac:dyDescent="0.2">
      <c r="A2055" s="3">
        <v>63</v>
      </c>
      <c r="B2055" s="4" t="s">
        <v>88</v>
      </c>
      <c r="C2055" s="3" t="s">
        <v>273</v>
      </c>
      <c r="D2055" s="3" t="s">
        <v>283</v>
      </c>
      <c r="E2055" s="3">
        <v>974</v>
      </c>
      <c r="G2055" s="57"/>
    </row>
    <row r="2056" spans="1:7" ht="12.75" x14ac:dyDescent="0.2">
      <c r="A2056" s="3">
        <v>63</v>
      </c>
      <c r="B2056" s="4" t="s">
        <v>88</v>
      </c>
      <c r="C2056" s="3" t="s">
        <v>273</v>
      </c>
      <c r="D2056" s="3" t="s">
        <v>315</v>
      </c>
      <c r="E2056" s="3">
        <v>24</v>
      </c>
      <c r="G2056" s="57"/>
    </row>
    <row r="2057" spans="1:7" ht="12.75" x14ac:dyDescent="0.2">
      <c r="A2057" s="3">
        <v>63</v>
      </c>
      <c r="B2057" s="4" t="s">
        <v>88</v>
      </c>
      <c r="C2057" s="3" t="s">
        <v>273</v>
      </c>
      <c r="D2057" s="3" t="s">
        <v>128</v>
      </c>
      <c r="E2057" s="3">
        <v>762</v>
      </c>
      <c r="G2057" s="57"/>
    </row>
    <row r="2058" spans="1:7" ht="12.75" x14ac:dyDescent="0.2">
      <c r="A2058" s="3">
        <v>63</v>
      </c>
      <c r="B2058" s="4" t="s">
        <v>88</v>
      </c>
      <c r="C2058" s="3" t="s">
        <v>273</v>
      </c>
      <c r="D2058" s="3" t="s">
        <v>149</v>
      </c>
      <c r="E2058" s="3">
        <v>72</v>
      </c>
      <c r="G2058" s="57"/>
    </row>
    <row r="2059" spans="1:7" ht="12.75" x14ac:dyDescent="0.2">
      <c r="A2059" s="3">
        <v>63</v>
      </c>
      <c r="B2059" s="4" t="s">
        <v>88</v>
      </c>
      <c r="C2059" s="3" t="s">
        <v>273</v>
      </c>
      <c r="D2059" s="3" t="s">
        <v>14</v>
      </c>
      <c r="E2059" s="3">
        <v>399</v>
      </c>
      <c r="G2059" s="57"/>
    </row>
    <row r="2060" spans="1:7" ht="12.75" x14ac:dyDescent="0.2">
      <c r="A2060" s="3">
        <v>63</v>
      </c>
      <c r="B2060" s="4" t="s">
        <v>88</v>
      </c>
      <c r="C2060" s="3" t="s">
        <v>273</v>
      </c>
      <c r="D2060" s="3" t="s">
        <v>138</v>
      </c>
      <c r="E2060" s="3">
        <v>3</v>
      </c>
      <c r="F2060">
        <f>SUM(E2055:E2060)</f>
        <v>2234</v>
      </c>
      <c r="G2060" s="57"/>
    </row>
    <row r="2061" spans="1:7" ht="12.75" x14ac:dyDescent="0.2">
      <c r="A2061" s="3">
        <v>63</v>
      </c>
      <c r="B2061" s="4" t="s">
        <v>88</v>
      </c>
      <c r="C2061" s="3" t="s">
        <v>125</v>
      </c>
      <c r="D2061" s="3" t="s">
        <v>283</v>
      </c>
      <c r="E2061" s="3">
        <v>980</v>
      </c>
      <c r="G2061" s="57"/>
    </row>
    <row r="2062" spans="1:7" ht="12.75" x14ac:dyDescent="0.2">
      <c r="A2062" s="3">
        <v>63</v>
      </c>
      <c r="B2062" s="4" t="s">
        <v>88</v>
      </c>
      <c r="C2062" s="3" t="s">
        <v>125</v>
      </c>
      <c r="D2062" s="3" t="s">
        <v>315</v>
      </c>
      <c r="E2062" s="3">
        <v>24</v>
      </c>
      <c r="G2062" s="57"/>
    </row>
    <row r="2063" spans="1:7" ht="12.75" x14ac:dyDescent="0.2">
      <c r="A2063" s="3">
        <v>63</v>
      </c>
      <c r="B2063" s="4" t="s">
        <v>88</v>
      </c>
      <c r="C2063" s="3" t="s">
        <v>125</v>
      </c>
      <c r="D2063" s="3" t="s">
        <v>128</v>
      </c>
      <c r="E2063" s="3">
        <v>794</v>
      </c>
      <c r="G2063" s="57"/>
    </row>
    <row r="2064" spans="1:7" ht="12.75" x14ac:dyDescent="0.2">
      <c r="A2064" s="3">
        <v>63</v>
      </c>
      <c r="B2064" s="4" t="s">
        <v>88</v>
      </c>
      <c r="C2064" s="3" t="s">
        <v>125</v>
      </c>
      <c r="D2064" s="3" t="s">
        <v>149</v>
      </c>
      <c r="E2064" s="3">
        <v>70</v>
      </c>
      <c r="G2064" s="57"/>
    </row>
    <row r="2065" spans="1:7" ht="12.75" x14ac:dyDescent="0.2">
      <c r="A2065" s="3">
        <v>63</v>
      </c>
      <c r="B2065" s="4" t="s">
        <v>88</v>
      </c>
      <c r="C2065" s="3" t="s">
        <v>125</v>
      </c>
      <c r="D2065" s="3" t="s">
        <v>14</v>
      </c>
      <c r="E2065" s="3">
        <v>363</v>
      </c>
      <c r="G2065" s="57"/>
    </row>
    <row r="2066" spans="1:7" ht="12.75" x14ac:dyDescent="0.2">
      <c r="A2066" s="3">
        <v>63</v>
      </c>
      <c r="B2066" s="4" t="s">
        <v>88</v>
      </c>
      <c r="C2066" s="3" t="s">
        <v>125</v>
      </c>
      <c r="D2066" s="3" t="s">
        <v>138</v>
      </c>
      <c r="E2066" s="3">
        <v>3</v>
      </c>
      <c r="F2066">
        <f>SUM(E2061:E2066)</f>
        <v>2234</v>
      </c>
      <c r="G2066" s="57"/>
    </row>
    <row r="2067" spans="1:7" ht="12.75" x14ac:dyDescent="0.2">
      <c r="A2067" s="3">
        <v>64</v>
      </c>
      <c r="B2067" s="4" t="s">
        <v>89</v>
      </c>
      <c r="C2067" s="3" t="s">
        <v>347</v>
      </c>
      <c r="D2067" s="3" t="s">
        <v>283</v>
      </c>
      <c r="E2067" s="3">
        <v>301</v>
      </c>
      <c r="G2067" s="59">
        <v>686</v>
      </c>
    </row>
    <row r="2068" spans="1:7" ht="12.75" x14ac:dyDescent="0.2">
      <c r="A2068" s="3">
        <v>64</v>
      </c>
      <c r="B2068" s="4" t="s">
        <v>89</v>
      </c>
      <c r="C2068" s="3" t="s">
        <v>347</v>
      </c>
      <c r="D2068" s="3" t="s">
        <v>315</v>
      </c>
      <c r="E2068" s="3">
        <v>13</v>
      </c>
      <c r="G2068" s="57"/>
    </row>
    <row r="2069" spans="1:7" ht="12.75" x14ac:dyDescent="0.2">
      <c r="A2069" s="3">
        <v>64</v>
      </c>
      <c r="B2069" s="4" t="s">
        <v>89</v>
      </c>
      <c r="C2069" s="3" t="s">
        <v>347</v>
      </c>
      <c r="D2069" s="3" t="s">
        <v>316</v>
      </c>
      <c r="E2069" s="3">
        <v>7</v>
      </c>
      <c r="G2069" s="57"/>
    </row>
    <row r="2070" spans="1:7" ht="12.75" x14ac:dyDescent="0.2">
      <c r="A2070" s="3">
        <v>64</v>
      </c>
      <c r="B2070" s="4" t="s">
        <v>89</v>
      </c>
      <c r="C2070" s="3" t="s">
        <v>347</v>
      </c>
      <c r="D2070" s="3" t="s">
        <v>128</v>
      </c>
      <c r="E2070" s="3">
        <v>194</v>
      </c>
      <c r="G2070" s="57"/>
    </row>
    <row r="2071" spans="1:7" ht="12.75" x14ac:dyDescent="0.2">
      <c r="A2071" s="3">
        <v>64</v>
      </c>
      <c r="B2071" s="4" t="s">
        <v>89</v>
      </c>
      <c r="C2071" s="3" t="s">
        <v>347</v>
      </c>
      <c r="D2071" s="3" t="s">
        <v>353</v>
      </c>
      <c r="E2071" s="3">
        <v>3</v>
      </c>
      <c r="G2071" s="57"/>
    </row>
    <row r="2072" spans="1:7" ht="12.75" x14ac:dyDescent="0.2">
      <c r="A2072" s="3">
        <v>64</v>
      </c>
      <c r="B2072" s="4" t="s">
        <v>89</v>
      </c>
      <c r="C2072" s="3" t="s">
        <v>347</v>
      </c>
      <c r="D2072" s="3" t="s">
        <v>149</v>
      </c>
      <c r="E2072" s="3">
        <v>60</v>
      </c>
      <c r="G2072" s="57"/>
    </row>
    <row r="2073" spans="1:7" ht="12.75" x14ac:dyDescent="0.2">
      <c r="A2073" s="3">
        <v>64</v>
      </c>
      <c r="B2073" s="4" t="s">
        <v>89</v>
      </c>
      <c r="C2073" s="3" t="s">
        <v>347</v>
      </c>
      <c r="D2073" s="3" t="s">
        <v>14</v>
      </c>
      <c r="E2073" s="3">
        <v>21</v>
      </c>
      <c r="G2073" s="57"/>
    </row>
    <row r="2074" spans="1:7" ht="12.75" x14ac:dyDescent="0.2">
      <c r="A2074" s="3">
        <v>64</v>
      </c>
      <c r="B2074" s="4" t="s">
        <v>89</v>
      </c>
      <c r="C2074" s="3" t="s">
        <v>347</v>
      </c>
      <c r="D2074" s="3" t="s">
        <v>138</v>
      </c>
      <c r="E2074" s="3">
        <v>2</v>
      </c>
      <c r="F2074">
        <f>SUM(E2067:E2074)</f>
        <v>601</v>
      </c>
      <c r="G2074" s="57"/>
    </row>
    <row r="2075" spans="1:7" ht="12.75" x14ac:dyDescent="0.2">
      <c r="A2075" s="3">
        <v>64</v>
      </c>
      <c r="B2075" s="4" t="s">
        <v>89</v>
      </c>
      <c r="C2075" s="3" t="s">
        <v>273</v>
      </c>
      <c r="D2075" s="3" t="s">
        <v>283</v>
      </c>
      <c r="E2075" s="3">
        <v>328</v>
      </c>
      <c r="G2075" s="57"/>
    </row>
    <row r="2076" spans="1:7" ht="12.75" x14ac:dyDescent="0.2">
      <c r="A2076" s="3">
        <v>64</v>
      </c>
      <c r="B2076" s="4" t="s">
        <v>89</v>
      </c>
      <c r="C2076" s="3" t="s">
        <v>273</v>
      </c>
      <c r="D2076" s="3" t="s">
        <v>315</v>
      </c>
      <c r="E2076" s="3">
        <v>5</v>
      </c>
      <c r="G2076" s="57"/>
    </row>
    <row r="2077" spans="1:7" ht="12.75" x14ac:dyDescent="0.2">
      <c r="A2077" s="3">
        <v>64</v>
      </c>
      <c r="B2077" s="4" t="s">
        <v>89</v>
      </c>
      <c r="C2077" s="3" t="s">
        <v>273</v>
      </c>
      <c r="D2077" s="3" t="s">
        <v>128</v>
      </c>
      <c r="E2077" s="3">
        <v>200</v>
      </c>
      <c r="G2077" s="57"/>
    </row>
    <row r="2078" spans="1:7" ht="12.75" x14ac:dyDescent="0.2">
      <c r="A2078" s="3">
        <v>64</v>
      </c>
      <c r="B2078" s="4" t="s">
        <v>89</v>
      </c>
      <c r="C2078" s="3" t="s">
        <v>273</v>
      </c>
      <c r="D2078" s="3" t="s">
        <v>149</v>
      </c>
      <c r="E2078" s="3">
        <v>16</v>
      </c>
      <c r="G2078" s="57"/>
    </row>
    <row r="2079" spans="1:7" ht="12.75" x14ac:dyDescent="0.2">
      <c r="A2079" s="3">
        <v>64</v>
      </c>
      <c r="B2079" s="4" t="s">
        <v>89</v>
      </c>
      <c r="C2079" s="3" t="s">
        <v>273</v>
      </c>
      <c r="D2079" s="3" t="s">
        <v>14</v>
      </c>
      <c r="E2079" s="3">
        <v>52</v>
      </c>
      <c r="G2079" s="57"/>
    </row>
    <row r="2080" spans="1:7" ht="12.75" x14ac:dyDescent="0.2">
      <c r="A2080" s="3">
        <v>64</v>
      </c>
      <c r="B2080" s="4" t="s">
        <v>89</v>
      </c>
      <c r="C2080" s="3" t="s">
        <v>273</v>
      </c>
      <c r="D2080" s="3" t="s">
        <v>138</v>
      </c>
      <c r="E2080" s="3">
        <v>0</v>
      </c>
      <c r="F2080">
        <f>SUM(E2075:E2080)</f>
        <v>601</v>
      </c>
      <c r="G2080" s="57"/>
    </row>
    <row r="2081" spans="1:7" ht="12.75" x14ac:dyDescent="0.2">
      <c r="A2081" s="3">
        <v>64</v>
      </c>
      <c r="B2081" s="4" t="s">
        <v>89</v>
      </c>
      <c r="C2081" s="3" t="s">
        <v>125</v>
      </c>
      <c r="D2081" s="3" t="s">
        <v>283</v>
      </c>
      <c r="E2081" s="3">
        <v>323</v>
      </c>
      <c r="G2081" s="57"/>
    </row>
    <row r="2082" spans="1:7" ht="12.75" x14ac:dyDescent="0.2">
      <c r="A2082" s="3">
        <v>64</v>
      </c>
      <c r="B2082" s="4" t="s">
        <v>89</v>
      </c>
      <c r="C2082" s="3" t="s">
        <v>125</v>
      </c>
      <c r="D2082" s="3" t="s">
        <v>315</v>
      </c>
      <c r="E2082" s="3">
        <v>5</v>
      </c>
      <c r="G2082" s="57"/>
    </row>
    <row r="2083" spans="1:7" ht="12.75" x14ac:dyDescent="0.2">
      <c r="A2083" s="3">
        <v>64</v>
      </c>
      <c r="B2083" s="4" t="s">
        <v>89</v>
      </c>
      <c r="C2083" s="3" t="s">
        <v>125</v>
      </c>
      <c r="D2083" s="3" t="s">
        <v>128</v>
      </c>
      <c r="E2083" s="3">
        <v>204</v>
      </c>
      <c r="G2083" s="57"/>
    </row>
    <row r="2084" spans="1:7" ht="12.75" x14ac:dyDescent="0.2">
      <c r="A2084" s="3">
        <v>64</v>
      </c>
      <c r="B2084" s="4" t="s">
        <v>89</v>
      </c>
      <c r="C2084" s="3" t="s">
        <v>125</v>
      </c>
      <c r="D2084" s="3" t="s">
        <v>149</v>
      </c>
      <c r="E2084" s="3">
        <v>16</v>
      </c>
      <c r="G2084" s="57"/>
    </row>
    <row r="2085" spans="1:7" ht="12.75" x14ac:dyDescent="0.2">
      <c r="A2085" s="3">
        <v>64</v>
      </c>
      <c r="B2085" s="4" t="s">
        <v>89</v>
      </c>
      <c r="C2085" s="3" t="s">
        <v>125</v>
      </c>
      <c r="D2085" s="3" t="s">
        <v>14</v>
      </c>
      <c r="E2085" s="3">
        <v>53</v>
      </c>
      <c r="G2085" s="57"/>
    </row>
    <row r="2086" spans="1:7" ht="12.75" x14ac:dyDescent="0.2">
      <c r="A2086" s="3">
        <v>64</v>
      </c>
      <c r="B2086" s="4" t="s">
        <v>89</v>
      </c>
      <c r="C2086" s="3" t="s">
        <v>125</v>
      </c>
      <c r="D2086" s="3" t="s">
        <v>138</v>
      </c>
      <c r="E2086" s="3">
        <v>0</v>
      </c>
      <c r="F2086">
        <f>SUM(E2081:E2086)</f>
        <v>601</v>
      </c>
      <c r="G2086" s="57"/>
    </row>
    <row r="2087" spans="1:7" ht="12.75" x14ac:dyDescent="0.2">
      <c r="A2087" s="3">
        <v>66</v>
      </c>
      <c r="B2087" s="4" t="s">
        <v>91</v>
      </c>
      <c r="C2087" s="3" t="s">
        <v>347</v>
      </c>
      <c r="D2087" s="3" t="s">
        <v>283</v>
      </c>
      <c r="E2087" s="3">
        <v>17</v>
      </c>
      <c r="G2087" s="59">
        <v>112</v>
      </c>
    </row>
    <row r="2088" spans="1:7" ht="12.75" x14ac:dyDescent="0.2">
      <c r="A2088" s="3">
        <v>66</v>
      </c>
      <c r="B2088" s="4" t="s">
        <v>91</v>
      </c>
      <c r="C2088" s="3" t="s">
        <v>347</v>
      </c>
      <c r="D2088" s="3" t="s">
        <v>315</v>
      </c>
      <c r="E2088" s="3">
        <v>1</v>
      </c>
      <c r="G2088" s="57"/>
    </row>
    <row r="2089" spans="1:7" ht="12.75" x14ac:dyDescent="0.2">
      <c r="A2089" s="3">
        <v>66</v>
      </c>
      <c r="B2089" s="4" t="s">
        <v>91</v>
      </c>
      <c r="C2089" s="3" t="s">
        <v>347</v>
      </c>
      <c r="D2089" s="3" t="s">
        <v>316</v>
      </c>
      <c r="E2089" s="3">
        <v>0</v>
      </c>
      <c r="G2089" s="57"/>
    </row>
    <row r="2090" spans="1:7" ht="12.75" x14ac:dyDescent="0.2">
      <c r="A2090" s="3">
        <v>66</v>
      </c>
      <c r="B2090" s="4" t="s">
        <v>91</v>
      </c>
      <c r="C2090" s="3" t="s">
        <v>347</v>
      </c>
      <c r="D2090" s="3" t="s">
        <v>128</v>
      </c>
      <c r="E2090" s="3">
        <v>55</v>
      </c>
      <c r="G2090" s="57"/>
    </row>
    <row r="2091" spans="1:7" ht="12.75" x14ac:dyDescent="0.2">
      <c r="A2091" s="3">
        <v>66</v>
      </c>
      <c r="B2091" s="4" t="s">
        <v>91</v>
      </c>
      <c r="C2091" s="3" t="s">
        <v>347</v>
      </c>
      <c r="D2091" s="3" t="s">
        <v>353</v>
      </c>
      <c r="E2091" s="3">
        <v>2</v>
      </c>
      <c r="G2091" s="57"/>
    </row>
    <row r="2092" spans="1:7" ht="12.75" x14ac:dyDescent="0.2">
      <c r="A2092" s="3">
        <v>66</v>
      </c>
      <c r="B2092" s="4" t="s">
        <v>91</v>
      </c>
      <c r="C2092" s="3" t="s">
        <v>347</v>
      </c>
      <c r="D2092" s="3" t="s">
        <v>149</v>
      </c>
      <c r="E2092" s="3">
        <v>13</v>
      </c>
      <c r="G2092" s="57"/>
    </row>
    <row r="2093" spans="1:7" ht="12.75" x14ac:dyDescent="0.2">
      <c r="A2093" s="3">
        <v>66</v>
      </c>
      <c r="B2093" s="4" t="s">
        <v>91</v>
      </c>
      <c r="C2093" s="3" t="s">
        <v>347</v>
      </c>
      <c r="D2093" s="3" t="s">
        <v>14</v>
      </c>
      <c r="E2093" s="3">
        <v>10</v>
      </c>
      <c r="G2093" s="57"/>
    </row>
    <row r="2094" spans="1:7" ht="12.75" x14ac:dyDescent="0.2">
      <c r="A2094" s="3">
        <v>66</v>
      </c>
      <c r="B2094" s="4" t="s">
        <v>91</v>
      </c>
      <c r="C2094" s="3" t="s">
        <v>347</v>
      </c>
      <c r="D2094" s="3" t="s">
        <v>138</v>
      </c>
      <c r="E2094" s="3">
        <v>1</v>
      </c>
      <c r="F2094">
        <f>SUM(E2087:E2094)</f>
        <v>99</v>
      </c>
      <c r="G2094" s="57"/>
    </row>
    <row r="2095" spans="1:7" ht="12.75" x14ac:dyDescent="0.2">
      <c r="A2095" s="3">
        <v>66</v>
      </c>
      <c r="B2095" s="4" t="s">
        <v>91</v>
      </c>
      <c r="C2095" s="3" t="s">
        <v>273</v>
      </c>
      <c r="D2095" s="3" t="s">
        <v>283</v>
      </c>
      <c r="E2095" s="3">
        <v>20</v>
      </c>
      <c r="G2095" s="57"/>
    </row>
    <row r="2096" spans="1:7" ht="12.75" x14ac:dyDescent="0.2">
      <c r="A2096" s="3">
        <v>66</v>
      </c>
      <c r="B2096" s="4" t="s">
        <v>91</v>
      </c>
      <c r="C2096" s="3" t="s">
        <v>273</v>
      </c>
      <c r="D2096" s="3" t="s">
        <v>315</v>
      </c>
      <c r="E2096" s="3">
        <v>1</v>
      </c>
      <c r="G2096" s="57"/>
    </row>
    <row r="2097" spans="1:7" ht="12.75" x14ac:dyDescent="0.2">
      <c r="A2097" s="3">
        <v>66</v>
      </c>
      <c r="B2097" s="4" t="s">
        <v>91</v>
      </c>
      <c r="C2097" s="3" t="s">
        <v>273</v>
      </c>
      <c r="D2097" s="3" t="s">
        <v>128</v>
      </c>
      <c r="E2097" s="3">
        <v>51</v>
      </c>
      <c r="G2097" s="57"/>
    </row>
    <row r="2098" spans="1:7" ht="12.75" x14ac:dyDescent="0.2">
      <c r="A2098" s="3">
        <v>66</v>
      </c>
      <c r="B2098" s="4" t="s">
        <v>91</v>
      </c>
      <c r="C2098" s="3" t="s">
        <v>273</v>
      </c>
      <c r="D2098" s="3" t="s">
        <v>149</v>
      </c>
      <c r="E2098" s="3">
        <v>4</v>
      </c>
      <c r="G2098" s="57"/>
    </row>
    <row r="2099" spans="1:7" ht="12.75" x14ac:dyDescent="0.2">
      <c r="A2099" s="3">
        <v>66</v>
      </c>
      <c r="B2099" s="4" t="s">
        <v>91</v>
      </c>
      <c r="C2099" s="3" t="s">
        <v>273</v>
      </c>
      <c r="D2099" s="3" t="s">
        <v>14</v>
      </c>
      <c r="E2099" s="3">
        <v>22</v>
      </c>
      <c r="G2099" s="57"/>
    </row>
    <row r="2100" spans="1:7" ht="12.75" x14ac:dyDescent="0.2">
      <c r="A2100" s="3">
        <v>66</v>
      </c>
      <c r="B2100" s="4" t="s">
        <v>91</v>
      </c>
      <c r="C2100" s="3" t="s">
        <v>273</v>
      </c>
      <c r="D2100" s="3" t="s">
        <v>138</v>
      </c>
      <c r="E2100" s="3">
        <v>1</v>
      </c>
      <c r="F2100">
        <f>SUM(E2095:E2100)</f>
        <v>99</v>
      </c>
      <c r="G2100" s="57"/>
    </row>
    <row r="2101" spans="1:7" ht="12.75" x14ac:dyDescent="0.2">
      <c r="A2101" s="3">
        <v>66</v>
      </c>
      <c r="B2101" s="4" t="s">
        <v>91</v>
      </c>
      <c r="C2101" s="3" t="s">
        <v>125</v>
      </c>
      <c r="D2101" s="3" t="s">
        <v>283</v>
      </c>
      <c r="E2101" s="3">
        <v>20</v>
      </c>
      <c r="G2101" s="57"/>
    </row>
    <row r="2102" spans="1:7" ht="12.75" x14ac:dyDescent="0.2">
      <c r="A2102" s="3">
        <v>66</v>
      </c>
      <c r="B2102" s="4" t="s">
        <v>91</v>
      </c>
      <c r="C2102" s="3" t="s">
        <v>125</v>
      </c>
      <c r="D2102" s="3" t="s">
        <v>315</v>
      </c>
      <c r="E2102" s="3">
        <v>1</v>
      </c>
      <c r="G2102" s="57"/>
    </row>
    <row r="2103" spans="1:7" ht="12.75" x14ac:dyDescent="0.2">
      <c r="A2103" s="3">
        <v>66</v>
      </c>
      <c r="B2103" s="4" t="s">
        <v>91</v>
      </c>
      <c r="C2103" s="3" t="s">
        <v>125</v>
      </c>
      <c r="D2103" s="3" t="s">
        <v>128</v>
      </c>
      <c r="E2103" s="3">
        <v>51</v>
      </c>
      <c r="G2103" s="57"/>
    </row>
    <row r="2104" spans="1:7" ht="12.75" x14ac:dyDescent="0.2">
      <c r="A2104" s="3">
        <v>66</v>
      </c>
      <c r="B2104" s="4" t="s">
        <v>91</v>
      </c>
      <c r="C2104" s="3" t="s">
        <v>125</v>
      </c>
      <c r="D2104" s="3" t="s">
        <v>149</v>
      </c>
      <c r="E2104" s="3">
        <v>4</v>
      </c>
      <c r="G2104" s="57"/>
    </row>
    <row r="2105" spans="1:7" ht="12.75" x14ac:dyDescent="0.2">
      <c r="A2105" s="3">
        <v>66</v>
      </c>
      <c r="B2105" s="4" t="s">
        <v>91</v>
      </c>
      <c r="C2105" s="3" t="s">
        <v>125</v>
      </c>
      <c r="D2105" s="3" t="s">
        <v>14</v>
      </c>
      <c r="E2105" s="3">
        <v>22</v>
      </c>
      <c r="G2105" s="57"/>
    </row>
    <row r="2106" spans="1:7" ht="12.75" x14ac:dyDescent="0.2">
      <c r="A2106" s="3">
        <v>66</v>
      </c>
      <c r="B2106" s="4" t="s">
        <v>91</v>
      </c>
      <c r="C2106" s="3" t="s">
        <v>125</v>
      </c>
      <c r="D2106" s="3" t="s">
        <v>138</v>
      </c>
      <c r="E2106" s="3">
        <v>1</v>
      </c>
      <c r="F2106">
        <f>SUM(E2101:E2106)</f>
        <v>99</v>
      </c>
      <c r="G2106" s="57"/>
    </row>
    <row r="2107" spans="1:7" ht="12.75" x14ac:dyDescent="0.2">
      <c r="A2107" s="3">
        <v>67</v>
      </c>
      <c r="B2107" s="4" t="s">
        <v>155</v>
      </c>
      <c r="C2107" s="3" t="s">
        <v>347</v>
      </c>
      <c r="D2107" s="3" t="s">
        <v>283</v>
      </c>
      <c r="E2107" s="3">
        <v>8</v>
      </c>
      <c r="G2107" s="59">
        <v>44</v>
      </c>
    </row>
    <row r="2108" spans="1:7" ht="12.75" x14ac:dyDescent="0.2">
      <c r="A2108" s="3">
        <v>67</v>
      </c>
      <c r="B2108" s="4" t="s">
        <v>155</v>
      </c>
      <c r="C2108" s="3" t="s">
        <v>347</v>
      </c>
      <c r="D2108" s="3" t="s">
        <v>315</v>
      </c>
      <c r="E2108" s="3">
        <v>0</v>
      </c>
      <c r="G2108" s="57"/>
    </row>
    <row r="2109" spans="1:7" ht="12.75" x14ac:dyDescent="0.2">
      <c r="A2109" s="3">
        <v>67</v>
      </c>
      <c r="B2109" s="4" t="s">
        <v>155</v>
      </c>
      <c r="C2109" s="3" t="s">
        <v>347</v>
      </c>
      <c r="D2109" s="3" t="s">
        <v>316</v>
      </c>
      <c r="E2109" s="3">
        <v>0</v>
      </c>
      <c r="G2109" s="57"/>
    </row>
    <row r="2110" spans="1:7" ht="12.75" x14ac:dyDescent="0.2">
      <c r="A2110" s="3">
        <v>67</v>
      </c>
      <c r="B2110" s="4" t="s">
        <v>155</v>
      </c>
      <c r="C2110" s="3" t="s">
        <v>347</v>
      </c>
      <c r="D2110" s="3" t="s">
        <v>128</v>
      </c>
      <c r="E2110" s="3">
        <v>13</v>
      </c>
      <c r="G2110" s="57"/>
    </row>
    <row r="2111" spans="1:7" ht="12.75" x14ac:dyDescent="0.2">
      <c r="A2111" s="3">
        <v>67</v>
      </c>
      <c r="B2111" s="4" t="s">
        <v>155</v>
      </c>
      <c r="C2111" s="3" t="s">
        <v>347</v>
      </c>
      <c r="D2111" s="3" t="s">
        <v>353</v>
      </c>
      <c r="E2111" s="3">
        <v>0</v>
      </c>
      <c r="G2111" s="57"/>
    </row>
    <row r="2112" spans="1:7" ht="12.75" x14ac:dyDescent="0.2">
      <c r="A2112" s="3">
        <v>67</v>
      </c>
      <c r="B2112" s="4" t="s">
        <v>155</v>
      </c>
      <c r="C2112" s="3" t="s">
        <v>347</v>
      </c>
      <c r="D2112" s="3" t="s">
        <v>149</v>
      </c>
      <c r="E2112" s="3">
        <v>15</v>
      </c>
      <c r="G2112" s="57"/>
    </row>
    <row r="2113" spans="1:7" ht="12.75" x14ac:dyDescent="0.2">
      <c r="A2113" s="3">
        <v>67</v>
      </c>
      <c r="B2113" s="4" t="s">
        <v>155</v>
      </c>
      <c r="C2113" s="3" t="s">
        <v>347</v>
      </c>
      <c r="D2113" s="3" t="s">
        <v>14</v>
      </c>
      <c r="E2113" s="3">
        <v>0</v>
      </c>
      <c r="G2113" s="57"/>
    </row>
    <row r="2114" spans="1:7" ht="12.75" x14ac:dyDescent="0.2">
      <c r="A2114" s="3">
        <v>67</v>
      </c>
      <c r="B2114" s="4" t="s">
        <v>155</v>
      </c>
      <c r="C2114" s="3" t="s">
        <v>347</v>
      </c>
      <c r="D2114" s="3" t="s">
        <v>138</v>
      </c>
      <c r="E2114" s="3">
        <v>0</v>
      </c>
      <c r="F2114">
        <f>SUM(E2107:E2114)</f>
        <v>36</v>
      </c>
      <c r="G2114" s="57"/>
    </row>
    <row r="2115" spans="1:7" ht="12.75" x14ac:dyDescent="0.2">
      <c r="A2115" s="3">
        <v>67</v>
      </c>
      <c r="B2115" s="4" t="s">
        <v>155</v>
      </c>
      <c r="C2115" s="3" t="s">
        <v>273</v>
      </c>
      <c r="D2115" s="3" t="s">
        <v>283</v>
      </c>
      <c r="E2115" s="3">
        <v>19</v>
      </c>
      <c r="G2115" s="57"/>
    </row>
    <row r="2116" spans="1:7" ht="12.75" x14ac:dyDescent="0.2">
      <c r="A2116" s="3">
        <v>67</v>
      </c>
      <c r="B2116" s="4" t="s">
        <v>155</v>
      </c>
      <c r="C2116" s="3" t="s">
        <v>273</v>
      </c>
      <c r="D2116" s="3" t="s">
        <v>315</v>
      </c>
      <c r="E2116" s="3">
        <v>1</v>
      </c>
      <c r="G2116" s="57"/>
    </row>
    <row r="2117" spans="1:7" ht="12.75" x14ac:dyDescent="0.2">
      <c r="A2117" s="3">
        <v>67</v>
      </c>
      <c r="B2117" s="4" t="s">
        <v>155</v>
      </c>
      <c r="C2117" s="3" t="s">
        <v>273</v>
      </c>
      <c r="D2117" s="3" t="s">
        <v>128</v>
      </c>
      <c r="E2117" s="3">
        <v>11</v>
      </c>
      <c r="G2117" s="57"/>
    </row>
    <row r="2118" spans="1:7" ht="12.75" x14ac:dyDescent="0.2">
      <c r="A2118" s="3">
        <v>67</v>
      </c>
      <c r="B2118" s="4" t="s">
        <v>155</v>
      </c>
      <c r="C2118" s="3" t="s">
        <v>273</v>
      </c>
      <c r="D2118" s="3" t="s">
        <v>149</v>
      </c>
      <c r="E2118" s="3">
        <v>2</v>
      </c>
      <c r="G2118" s="57"/>
    </row>
    <row r="2119" spans="1:7" ht="12.75" x14ac:dyDescent="0.2">
      <c r="A2119" s="3">
        <v>67</v>
      </c>
      <c r="B2119" s="4" t="s">
        <v>155</v>
      </c>
      <c r="C2119" s="3" t="s">
        <v>273</v>
      </c>
      <c r="D2119" s="3" t="s">
        <v>14</v>
      </c>
      <c r="E2119" s="3">
        <v>3</v>
      </c>
      <c r="G2119" s="57"/>
    </row>
    <row r="2120" spans="1:7" ht="12.75" x14ac:dyDescent="0.2">
      <c r="A2120" s="3">
        <v>67</v>
      </c>
      <c r="B2120" s="4" t="s">
        <v>155</v>
      </c>
      <c r="C2120" s="3" t="s">
        <v>273</v>
      </c>
      <c r="D2120" s="3" t="s">
        <v>138</v>
      </c>
      <c r="E2120" s="3">
        <v>0</v>
      </c>
      <c r="F2120">
        <f>SUM(E2115:E2120)</f>
        <v>36</v>
      </c>
      <c r="G2120" s="57"/>
    </row>
    <row r="2121" spans="1:7" ht="12.75" x14ac:dyDescent="0.2">
      <c r="A2121" s="3">
        <v>67</v>
      </c>
      <c r="B2121" s="4" t="s">
        <v>155</v>
      </c>
      <c r="C2121" s="3" t="s">
        <v>125</v>
      </c>
      <c r="D2121" s="3" t="s">
        <v>283</v>
      </c>
      <c r="E2121" s="3">
        <v>19</v>
      </c>
      <c r="G2121" s="57"/>
    </row>
    <row r="2122" spans="1:7" ht="12.75" x14ac:dyDescent="0.2">
      <c r="A2122" s="3">
        <v>67</v>
      </c>
      <c r="B2122" s="4" t="s">
        <v>155</v>
      </c>
      <c r="C2122" s="3" t="s">
        <v>125</v>
      </c>
      <c r="D2122" s="3" t="s">
        <v>315</v>
      </c>
      <c r="E2122" s="3">
        <v>1</v>
      </c>
      <c r="G2122" s="57"/>
    </row>
    <row r="2123" spans="1:7" ht="12.75" x14ac:dyDescent="0.2">
      <c r="A2123" s="3">
        <v>67</v>
      </c>
      <c r="B2123" s="4" t="s">
        <v>155</v>
      </c>
      <c r="C2123" s="3" t="s">
        <v>125</v>
      </c>
      <c r="D2123" s="3" t="s">
        <v>128</v>
      </c>
      <c r="E2123" s="3">
        <v>10</v>
      </c>
      <c r="G2123" s="57"/>
    </row>
    <row r="2124" spans="1:7" ht="12.75" x14ac:dyDescent="0.2">
      <c r="A2124" s="3">
        <v>67</v>
      </c>
      <c r="B2124" s="4" t="s">
        <v>155</v>
      </c>
      <c r="C2124" s="3" t="s">
        <v>125</v>
      </c>
      <c r="D2124" s="3" t="s">
        <v>149</v>
      </c>
      <c r="E2124" s="3">
        <v>2</v>
      </c>
      <c r="G2124" s="57"/>
    </row>
    <row r="2125" spans="1:7" ht="12.75" x14ac:dyDescent="0.2">
      <c r="A2125" s="3">
        <v>67</v>
      </c>
      <c r="B2125" s="4" t="s">
        <v>155</v>
      </c>
      <c r="C2125" s="3" t="s">
        <v>125</v>
      </c>
      <c r="D2125" s="3" t="s">
        <v>14</v>
      </c>
      <c r="E2125" s="3">
        <v>4</v>
      </c>
      <c r="G2125" s="57"/>
    </row>
    <row r="2126" spans="1:7" ht="12.75" x14ac:dyDescent="0.2">
      <c r="A2126" s="3">
        <v>67</v>
      </c>
      <c r="B2126" s="4" t="s">
        <v>155</v>
      </c>
      <c r="C2126" s="3" t="s">
        <v>125</v>
      </c>
      <c r="D2126" s="3" t="s">
        <v>138</v>
      </c>
      <c r="E2126" s="3">
        <v>0</v>
      </c>
      <c r="F2126">
        <f>SUM(E2121:E2126)</f>
        <v>36</v>
      </c>
      <c r="G2126" s="57"/>
    </row>
    <row r="2127" spans="1:7" ht="12.75" x14ac:dyDescent="0.2">
      <c r="A2127" s="3">
        <v>68</v>
      </c>
      <c r="B2127" s="4" t="s">
        <v>92</v>
      </c>
      <c r="C2127" s="3" t="s">
        <v>347</v>
      </c>
      <c r="D2127" s="3" t="s">
        <v>283</v>
      </c>
      <c r="E2127" s="3">
        <v>97</v>
      </c>
      <c r="G2127" s="59">
        <v>585</v>
      </c>
    </row>
    <row r="2128" spans="1:7" ht="12.75" x14ac:dyDescent="0.2">
      <c r="A2128" s="3">
        <v>68</v>
      </c>
      <c r="B2128" s="4" t="s">
        <v>92</v>
      </c>
      <c r="C2128" s="3" t="s">
        <v>347</v>
      </c>
      <c r="D2128" s="3" t="s">
        <v>315</v>
      </c>
      <c r="E2128" s="3">
        <v>5</v>
      </c>
      <c r="G2128" s="57"/>
    </row>
    <row r="2129" spans="1:7" ht="12.75" x14ac:dyDescent="0.2">
      <c r="A2129" s="3">
        <v>68</v>
      </c>
      <c r="B2129" s="4" t="s">
        <v>92</v>
      </c>
      <c r="C2129" s="3" t="s">
        <v>347</v>
      </c>
      <c r="D2129" s="3" t="s">
        <v>316</v>
      </c>
      <c r="E2129" s="3">
        <v>6</v>
      </c>
      <c r="G2129" s="57"/>
    </row>
    <row r="2130" spans="1:7" ht="12.75" x14ac:dyDescent="0.2">
      <c r="A2130" s="3">
        <v>68</v>
      </c>
      <c r="B2130" s="4" t="s">
        <v>92</v>
      </c>
      <c r="C2130" s="3" t="s">
        <v>347</v>
      </c>
      <c r="D2130" s="3" t="s">
        <v>128</v>
      </c>
      <c r="E2130" s="3">
        <v>217</v>
      </c>
      <c r="G2130" s="57"/>
    </row>
    <row r="2131" spans="1:7" ht="12.75" x14ac:dyDescent="0.2">
      <c r="A2131" s="3">
        <v>68</v>
      </c>
      <c r="B2131" s="4" t="s">
        <v>92</v>
      </c>
      <c r="C2131" s="3" t="s">
        <v>347</v>
      </c>
      <c r="D2131" s="3" t="s">
        <v>353</v>
      </c>
      <c r="E2131" s="3">
        <v>12</v>
      </c>
      <c r="G2131" s="57"/>
    </row>
    <row r="2132" spans="1:7" ht="12.75" x14ac:dyDescent="0.2">
      <c r="A2132" s="3">
        <v>68</v>
      </c>
      <c r="B2132" s="4" t="s">
        <v>92</v>
      </c>
      <c r="C2132" s="3" t="s">
        <v>347</v>
      </c>
      <c r="D2132" s="3" t="s">
        <v>149</v>
      </c>
      <c r="E2132" s="3">
        <v>133</v>
      </c>
      <c r="G2132" s="57"/>
    </row>
    <row r="2133" spans="1:7" ht="12.75" x14ac:dyDescent="0.2">
      <c r="A2133" s="3">
        <v>68</v>
      </c>
      <c r="B2133" s="4" t="s">
        <v>92</v>
      </c>
      <c r="C2133" s="3" t="s">
        <v>347</v>
      </c>
      <c r="D2133" s="3" t="s">
        <v>14</v>
      </c>
      <c r="E2133" s="3">
        <v>41</v>
      </c>
      <c r="G2133" s="57"/>
    </row>
    <row r="2134" spans="1:7" ht="12.75" x14ac:dyDescent="0.2">
      <c r="A2134" s="3">
        <v>68</v>
      </c>
      <c r="B2134" s="4" t="s">
        <v>92</v>
      </c>
      <c r="C2134" s="3" t="s">
        <v>347</v>
      </c>
      <c r="D2134" s="3" t="s">
        <v>138</v>
      </c>
      <c r="E2134" s="3">
        <v>1</v>
      </c>
      <c r="F2134">
        <f>SUM(E2127:E2134)</f>
        <v>512</v>
      </c>
      <c r="G2134" s="57"/>
    </row>
    <row r="2135" spans="1:7" ht="12.75" x14ac:dyDescent="0.2">
      <c r="A2135" s="3">
        <v>68</v>
      </c>
      <c r="B2135" s="4" t="s">
        <v>92</v>
      </c>
      <c r="C2135" s="3" t="s">
        <v>273</v>
      </c>
      <c r="D2135" s="3" t="s">
        <v>283</v>
      </c>
      <c r="E2135" s="3">
        <v>151</v>
      </c>
      <c r="G2135" s="57"/>
    </row>
    <row r="2136" spans="1:7" ht="12.75" x14ac:dyDescent="0.2">
      <c r="A2136" s="3">
        <v>68</v>
      </c>
      <c r="B2136" s="4" t="s">
        <v>92</v>
      </c>
      <c r="C2136" s="3" t="s">
        <v>273</v>
      </c>
      <c r="D2136" s="3" t="s">
        <v>315</v>
      </c>
      <c r="E2136" s="3">
        <v>5</v>
      </c>
      <c r="G2136" s="57"/>
    </row>
    <row r="2137" spans="1:7" ht="12.75" x14ac:dyDescent="0.2">
      <c r="A2137" s="3">
        <v>68</v>
      </c>
      <c r="B2137" s="4" t="s">
        <v>92</v>
      </c>
      <c r="C2137" s="3" t="s">
        <v>273</v>
      </c>
      <c r="D2137" s="3" t="s">
        <v>128</v>
      </c>
      <c r="E2137" s="3">
        <v>203</v>
      </c>
      <c r="G2137" s="57"/>
    </row>
    <row r="2138" spans="1:7" ht="12.75" x14ac:dyDescent="0.2">
      <c r="A2138" s="3">
        <v>68</v>
      </c>
      <c r="B2138" s="4" t="s">
        <v>92</v>
      </c>
      <c r="C2138" s="3" t="s">
        <v>273</v>
      </c>
      <c r="D2138" s="3" t="s">
        <v>149</v>
      </c>
      <c r="E2138" s="3">
        <v>15</v>
      </c>
      <c r="G2138" s="57"/>
    </row>
    <row r="2139" spans="1:7" ht="12.75" x14ac:dyDescent="0.2">
      <c r="A2139" s="3">
        <v>68</v>
      </c>
      <c r="B2139" s="4" t="s">
        <v>92</v>
      </c>
      <c r="C2139" s="3" t="s">
        <v>273</v>
      </c>
      <c r="D2139" s="3" t="s">
        <v>14</v>
      </c>
      <c r="E2139" s="3">
        <v>137</v>
      </c>
      <c r="G2139" s="57"/>
    </row>
    <row r="2140" spans="1:7" ht="12.75" x14ac:dyDescent="0.2">
      <c r="A2140" s="3">
        <v>68</v>
      </c>
      <c r="B2140" s="4" t="s">
        <v>92</v>
      </c>
      <c r="C2140" s="3" t="s">
        <v>273</v>
      </c>
      <c r="D2140" s="3" t="s">
        <v>138</v>
      </c>
      <c r="E2140" s="3">
        <v>1</v>
      </c>
      <c r="F2140">
        <f>SUM(E2135:E2140)</f>
        <v>512</v>
      </c>
      <c r="G2140" s="57"/>
    </row>
    <row r="2141" spans="1:7" ht="12.75" x14ac:dyDescent="0.2">
      <c r="A2141" s="3">
        <v>68</v>
      </c>
      <c r="B2141" s="4" t="s">
        <v>92</v>
      </c>
      <c r="C2141" s="3" t="s">
        <v>125</v>
      </c>
      <c r="D2141" s="3" t="s">
        <v>283</v>
      </c>
      <c r="E2141" s="3">
        <v>152</v>
      </c>
      <c r="G2141" s="57"/>
    </row>
    <row r="2142" spans="1:7" ht="12.75" x14ac:dyDescent="0.2">
      <c r="A2142" s="3">
        <v>68</v>
      </c>
      <c r="B2142" s="4" t="s">
        <v>92</v>
      </c>
      <c r="C2142" s="3" t="s">
        <v>125</v>
      </c>
      <c r="D2142" s="3" t="s">
        <v>315</v>
      </c>
      <c r="E2142" s="3">
        <v>7</v>
      </c>
      <c r="G2142" s="57"/>
    </row>
    <row r="2143" spans="1:7" ht="12.75" x14ac:dyDescent="0.2">
      <c r="A2143" s="3">
        <v>68</v>
      </c>
      <c r="B2143" s="4" t="s">
        <v>92</v>
      </c>
      <c r="C2143" s="3" t="s">
        <v>125</v>
      </c>
      <c r="D2143" s="3" t="s">
        <v>128</v>
      </c>
      <c r="E2143" s="3">
        <v>207</v>
      </c>
      <c r="G2143" s="57"/>
    </row>
    <row r="2144" spans="1:7" ht="12.75" x14ac:dyDescent="0.2">
      <c r="A2144" s="3">
        <v>68</v>
      </c>
      <c r="B2144" s="4" t="s">
        <v>92</v>
      </c>
      <c r="C2144" s="3" t="s">
        <v>125</v>
      </c>
      <c r="D2144" s="3" t="s">
        <v>149</v>
      </c>
      <c r="E2144" s="3">
        <v>13</v>
      </c>
      <c r="G2144" s="57"/>
    </row>
    <row r="2145" spans="1:7" ht="12.75" x14ac:dyDescent="0.2">
      <c r="A2145" s="3">
        <v>68</v>
      </c>
      <c r="B2145" s="4" t="s">
        <v>92</v>
      </c>
      <c r="C2145" s="3" t="s">
        <v>125</v>
      </c>
      <c r="D2145" s="3" t="s">
        <v>14</v>
      </c>
      <c r="E2145" s="3">
        <v>132</v>
      </c>
      <c r="G2145" s="57"/>
    </row>
    <row r="2146" spans="1:7" ht="12.75" x14ac:dyDescent="0.2">
      <c r="A2146" s="3">
        <v>68</v>
      </c>
      <c r="B2146" s="4" t="s">
        <v>92</v>
      </c>
      <c r="C2146" s="3" t="s">
        <v>125</v>
      </c>
      <c r="D2146" s="3" t="s">
        <v>138</v>
      </c>
      <c r="E2146" s="3">
        <v>1</v>
      </c>
      <c r="F2146">
        <f>SUM(E2141:E2146)</f>
        <v>512</v>
      </c>
      <c r="G2146" s="57"/>
    </row>
    <row r="2147" spans="1:7" ht="12.75" x14ac:dyDescent="0.2">
      <c r="A2147" s="3">
        <v>69</v>
      </c>
      <c r="B2147" s="4" t="s">
        <v>93</v>
      </c>
      <c r="C2147" s="3" t="s">
        <v>347</v>
      </c>
      <c r="D2147" s="3" t="s">
        <v>283</v>
      </c>
      <c r="E2147" s="3">
        <v>741</v>
      </c>
      <c r="G2147" s="59">
        <v>2039</v>
      </c>
    </row>
    <row r="2148" spans="1:7" ht="12.75" x14ac:dyDescent="0.2">
      <c r="A2148" s="3">
        <v>69</v>
      </c>
      <c r="B2148" s="4" t="s">
        <v>93</v>
      </c>
      <c r="C2148" s="3" t="s">
        <v>347</v>
      </c>
      <c r="D2148" s="3" t="s">
        <v>315</v>
      </c>
      <c r="E2148" s="3">
        <v>15</v>
      </c>
      <c r="G2148" s="57"/>
    </row>
    <row r="2149" spans="1:7" ht="12.75" x14ac:dyDescent="0.2">
      <c r="A2149" s="3">
        <v>69</v>
      </c>
      <c r="B2149" s="4" t="s">
        <v>93</v>
      </c>
      <c r="C2149" s="3" t="s">
        <v>347</v>
      </c>
      <c r="D2149" s="3" t="s">
        <v>316</v>
      </c>
      <c r="E2149" s="3">
        <v>30</v>
      </c>
      <c r="G2149" s="57"/>
    </row>
    <row r="2150" spans="1:7" ht="12.75" x14ac:dyDescent="0.2">
      <c r="A2150" s="3">
        <v>69</v>
      </c>
      <c r="B2150" s="4" t="s">
        <v>93</v>
      </c>
      <c r="C2150" s="3" t="s">
        <v>347</v>
      </c>
      <c r="D2150" s="3" t="s">
        <v>128</v>
      </c>
      <c r="E2150" s="3">
        <v>485</v>
      </c>
      <c r="G2150" s="57"/>
    </row>
    <row r="2151" spans="1:7" ht="12.75" x14ac:dyDescent="0.2">
      <c r="A2151" s="3">
        <v>69</v>
      </c>
      <c r="B2151" s="4" t="s">
        <v>93</v>
      </c>
      <c r="C2151" s="3" t="s">
        <v>347</v>
      </c>
      <c r="D2151" s="3" t="s">
        <v>353</v>
      </c>
      <c r="E2151" s="3">
        <v>84</v>
      </c>
      <c r="G2151" s="57"/>
    </row>
    <row r="2152" spans="1:7" ht="12.75" x14ac:dyDescent="0.2">
      <c r="A2152" s="3">
        <v>69</v>
      </c>
      <c r="B2152" s="4" t="s">
        <v>93</v>
      </c>
      <c r="C2152" s="3" t="s">
        <v>347</v>
      </c>
      <c r="D2152" s="3" t="s">
        <v>149</v>
      </c>
      <c r="E2152" s="3">
        <v>207</v>
      </c>
      <c r="G2152" s="57"/>
    </row>
    <row r="2153" spans="1:7" ht="12.75" x14ac:dyDescent="0.2">
      <c r="A2153" s="3">
        <v>69</v>
      </c>
      <c r="B2153" s="4" t="s">
        <v>93</v>
      </c>
      <c r="C2153" s="3" t="s">
        <v>347</v>
      </c>
      <c r="D2153" s="3" t="s">
        <v>14</v>
      </c>
      <c r="E2153" s="3">
        <v>121</v>
      </c>
      <c r="G2153" s="57"/>
    </row>
    <row r="2154" spans="1:7" ht="12.75" x14ac:dyDescent="0.2">
      <c r="A2154" s="3">
        <v>69</v>
      </c>
      <c r="B2154" s="4" t="s">
        <v>93</v>
      </c>
      <c r="C2154" s="3" t="s">
        <v>347</v>
      </c>
      <c r="D2154" s="3" t="s">
        <v>138</v>
      </c>
      <c r="E2154" s="3">
        <v>23</v>
      </c>
      <c r="F2154">
        <f>SUM(E2147:E2154)</f>
        <v>1706</v>
      </c>
      <c r="G2154" s="57"/>
    </row>
    <row r="2155" spans="1:7" ht="12.75" x14ac:dyDescent="0.2">
      <c r="A2155" s="3">
        <v>69</v>
      </c>
      <c r="B2155" s="4" t="s">
        <v>93</v>
      </c>
      <c r="C2155" s="3" t="s">
        <v>273</v>
      </c>
      <c r="D2155" s="3" t="s">
        <v>283</v>
      </c>
      <c r="E2155" s="3">
        <v>882</v>
      </c>
      <c r="G2155" s="57"/>
    </row>
    <row r="2156" spans="1:7" ht="12.75" x14ac:dyDescent="0.2">
      <c r="A2156" s="3">
        <v>69</v>
      </c>
      <c r="B2156" s="4" t="s">
        <v>93</v>
      </c>
      <c r="C2156" s="3" t="s">
        <v>273</v>
      </c>
      <c r="D2156" s="3" t="s">
        <v>315</v>
      </c>
      <c r="E2156" s="3">
        <v>8</v>
      </c>
      <c r="G2156" s="57"/>
    </row>
    <row r="2157" spans="1:7" ht="12.75" x14ac:dyDescent="0.2">
      <c r="A2157" s="3">
        <v>69</v>
      </c>
      <c r="B2157" s="4" t="s">
        <v>93</v>
      </c>
      <c r="C2157" s="3" t="s">
        <v>273</v>
      </c>
      <c r="D2157" s="3" t="s">
        <v>128</v>
      </c>
      <c r="E2157" s="3">
        <v>545</v>
      </c>
      <c r="G2157" s="57"/>
    </row>
    <row r="2158" spans="1:7" ht="12.75" x14ac:dyDescent="0.2">
      <c r="A2158" s="3">
        <v>69</v>
      </c>
      <c r="B2158" s="4" t="s">
        <v>93</v>
      </c>
      <c r="C2158" s="3" t="s">
        <v>273</v>
      </c>
      <c r="D2158" s="3" t="s">
        <v>149</v>
      </c>
      <c r="E2158" s="3">
        <v>68</v>
      </c>
      <c r="G2158" s="57"/>
    </row>
    <row r="2159" spans="1:7" ht="12.75" x14ac:dyDescent="0.2">
      <c r="A2159" s="3">
        <v>69</v>
      </c>
      <c r="B2159" s="4" t="s">
        <v>93</v>
      </c>
      <c r="C2159" s="3" t="s">
        <v>273</v>
      </c>
      <c r="D2159" s="3" t="s">
        <v>14</v>
      </c>
      <c r="E2159" s="3">
        <v>202</v>
      </c>
      <c r="G2159" s="57"/>
    </row>
    <row r="2160" spans="1:7" ht="12.75" x14ac:dyDescent="0.2">
      <c r="A2160" s="3">
        <v>69</v>
      </c>
      <c r="B2160" s="4" t="s">
        <v>93</v>
      </c>
      <c r="C2160" s="3" t="s">
        <v>273</v>
      </c>
      <c r="D2160" s="3" t="s">
        <v>138</v>
      </c>
      <c r="E2160" s="3">
        <v>1</v>
      </c>
      <c r="F2160">
        <f>SUM(E2155:E2160)</f>
        <v>1706</v>
      </c>
      <c r="G2160" s="57"/>
    </row>
    <row r="2161" spans="1:7" ht="12.75" x14ac:dyDescent="0.2">
      <c r="A2161" s="3">
        <v>69</v>
      </c>
      <c r="B2161" s="4" t="s">
        <v>93</v>
      </c>
      <c r="C2161" s="3" t="s">
        <v>125</v>
      </c>
      <c r="D2161" s="3" t="s">
        <v>283</v>
      </c>
      <c r="E2161" s="3">
        <v>857</v>
      </c>
      <c r="G2161" s="57"/>
    </row>
    <row r="2162" spans="1:7" ht="12.75" x14ac:dyDescent="0.2">
      <c r="A2162" s="3">
        <v>69</v>
      </c>
      <c r="B2162" s="4" t="s">
        <v>93</v>
      </c>
      <c r="C2162" s="3" t="s">
        <v>125</v>
      </c>
      <c r="D2162" s="3" t="s">
        <v>315</v>
      </c>
      <c r="E2162" s="3">
        <v>10</v>
      </c>
      <c r="G2162" s="57"/>
    </row>
    <row r="2163" spans="1:7" ht="12.75" x14ac:dyDescent="0.2">
      <c r="A2163" s="3">
        <v>69</v>
      </c>
      <c r="B2163" s="4" t="s">
        <v>93</v>
      </c>
      <c r="C2163" s="3" t="s">
        <v>125</v>
      </c>
      <c r="D2163" s="3" t="s">
        <v>128</v>
      </c>
      <c r="E2163" s="3">
        <v>534</v>
      </c>
      <c r="G2163" s="57"/>
    </row>
    <row r="2164" spans="1:7" ht="12.75" x14ac:dyDescent="0.2">
      <c r="A2164" s="3">
        <v>69</v>
      </c>
      <c r="B2164" s="4" t="s">
        <v>93</v>
      </c>
      <c r="C2164" s="3" t="s">
        <v>125</v>
      </c>
      <c r="D2164" s="3" t="s">
        <v>149</v>
      </c>
      <c r="E2164" s="3">
        <v>64</v>
      </c>
      <c r="G2164" s="57"/>
    </row>
    <row r="2165" spans="1:7" ht="12.75" x14ac:dyDescent="0.2">
      <c r="A2165" s="3">
        <v>69</v>
      </c>
      <c r="B2165" s="4" t="s">
        <v>93</v>
      </c>
      <c r="C2165" s="3" t="s">
        <v>125</v>
      </c>
      <c r="D2165" s="3" t="s">
        <v>14</v>
      </c>
      <c r="E2165" s="3">
        <v>240</v>
      </c>
      <c r="G2165" s="57"/>
    </row>
    <row r="2166" spans="1:7" ht="12.75" x14ac:dyDescent="0.2">
      <c r="A2166" s="3">
        <v>69</v>
      </c>
      <c r="B2166" s="4" t="s">
        <v>93</v>
      </c>
      <c r="C2166" s="3" t="s">
        <v>125</v>
      </c>
      <c r="D2166" s="3" t="s">
        <v>138</v>
      </c>
      <c r="E2166" s="3">
        <v>1</v>
      </c>
      <c r="F2166">
        <f>SUM(E2161:E2166)</f>
        <v>1706</v>
      </c>
      <c r="G2166" s="57"/>
    </row>
    <row r="2167" spans="1:7" ht="12.75" x14ac:dyDescent="0.2">
      <c r="A2167" s="3">
        <v>70</v>
      </c>
      <c r="B2167" s="4" t="s">
        <v>156</v>
      </c>
      <c r="C2167" s="3" t="s">
        <v>347</v>
      </c>
      <c r="D2167" s="3" t="s">
        <v>283</v>
      </c>
      <c r="E2167" s="3">
        <v>0</v>
      </c>
      <c r="G2167" s="59">
        <v>5</v>
      </c>
    </row>
    <row r="2168" spans="1:7" ht="12.75" x14ac:dyDescent="0.2">
      <c r="A2168" s="3">
        <v>70</v>
      </c>
      <c r="B2168" s="4" t="s">
        <v>156</v>
      </c>
      <c r="C2168" s="3" t="s">
        <v>347</v>
      </c>
      <c r="D2168" s="3" t="s">
        <v>315</v>
      </c>
      <c r="E2168" s="3">
        <v>0</v>
      </c>
      <c r="G2168" s="57"/>
    </row>
    <row r="2169" spans="1:7" ht="12.75" x14ac:dyDescent="0.2">
      <c r="A2169" s="3">
        <v>70</v>
      </c>
      <c r="B2169" s="4" t="s">
        <v>156</v>
      </c>
      <c r="C2169" s="3" t="s">
        <v>347</v>
      </c>
      <c r="D2169" s="3" t="s">
        <v>316</v>
      </c>
      <c r="E2169" s="3">
        <v>0</v>
      </c>
      <c r="G2169" s="57"/>
    </row>
    <row r="2170" spans="1:7" ht="12.75" x14ac:dyDescent="0.2">
      <c r="A2170" s="3">
        <v>70</v>
      </c>
      <c r="B2170" s="4" t="s">
        <v>156</v>
      </c>
      <c r="C2170" s="3" t="s">
        <v>347</v>
      </c>
      <c r="D2170" s="3" t="s">
        <v>128</v>
      </c>
      <c r="E2170" s="3">
        <v>0</v>
      </c>
      <c r="G2170" s="57"/>
    </row>
    <row r="2171" spans="1:7" ht="12.75" x14ac:dyDescent="0.2">
      <c r="A2171" s="3">
        <v>70</v>
      </c>
      <c r="B2171" s="4" t="s">
        <v>156</v>
      </c>
      <c r="C2171" s="3" t="s">
        <v>347</v>
      </c>
      <c r="D2171" s="3" t="s">
        <v>353</v>
      </c>
      <c r="E2171" s="3">
        <v>0</v>
      </c>
      <c r="G2171" s="57"/>
    </row>
    <row r="2172" spans="1:7" ht="12.75" x14ac:dyDescent="0.2">
      <c r="A2172" s="3">
        <v>70</v>
      </c>
      <c r="B2172" s="4" t="s">
        <v>156</v>
      </c>
      <c r="C2172" s="3" t="s">
        <v>347</v>
      </c>
      <c r="D2172" s="3" t="s">
        <v>149</v>
      </c>
      <c r="E2172" s="3">
        <v>1</v>
      </c>
      <c r="G2172" s="57"/>
    </row>
    <row r="2173" spans="1:7" ht="12.75" x14ac:dyDescent="0.2">
      <c r="A2173" s="3">
        <v>70</v>
      </c>
      <c r="B2173" s="4" t="s">
        <v>156</v>
      </c>
      <c r="C2173" s="3" t="s">
        <v>347</v>
      </c>
      <c r="D2173" s="3" t="s">
        <v>14</v>
      </c>
      <c r="E2173" s="3">
        <v>0</v>
      </c>
      <c r="G2173" s="57"/>
    </row>
    <row r="2174" spans="1:7" ht="12.75" x14ac:dyDescent="0.2">
      <c r="A2174" s="3">
        <v>70</v>
      </c>
      <c r="B2174" s="4" t="s">
        <v>156</v>
      </c>
      <c r="C2174" s="3" t="s">
        <v>347</v>
      </c>
      <c r="D2174" s="3" t="s">
        <v>138</v>
      </c>
      <c r="E2174" s="3">
        <v>0</v>
      </c>
      <c r="F2174">
        <f>SUM(E2167:E2174)</f>
        <v>1</v>
      </c>
      <c r="G2174" s="57"/>
    </row>
    <row r="2175" spans="1:7" ht="12.75" x14ac:dyDescent="0.2">
      <c r="A2175" s="3">
        <v>70</v>
      </c>
      <c r="B2175" s="4" t="s">
        <v>156</v>
      </c>
      <c r="C2175" s="3" t="s">
        <v>273</v>
      </c>
      <c r="D2175" s="3" t="s">
        <v>283</v>
      </c>
      <c r="E2175" s="3">
        <v>0</v>
      </c>
      <c r="G2175" s="57"/>
    </row>
    <row r="2176" spans="1:7" ht="12.75" x14ac:dyDescent="0.2">
      <c r="A2176" s="3">
        <v>70</v>
      </c>
      <c r="B2176" s="4" t="s">
        <v>156</v>
      </c>
      <c r="C2176" s="3" t="s">
        <v>273</v>
      </c>
      <c r="D2176" s="3" t="s">
        <v>315</v>
      </c>
      <c r="E2176" s="3">
        <v>0</v>
      </c>
      <c r="G2176" s="57"/>
    </row>
    <row r="2177" spans="1:7" ht="12.75" x14ac:dyDescent="0.2">
      <c r="A2177" s="3">
        <v>70</v>
      </c>
      <c r="B2177" s="4" t="s">
        <v>156</v>
      </c>
      <c r="C2177" s="3" t="s">
        <v>273</v>
      </c>
      <c r="D2177" s="3" t="s">
        <v>128</v>
      </c>
      <c r="E2177" s="3">
        <v>0</v>
      </c>
      <c r="G2177" s="57"/>
    </row>
    <row r="2178" spans="1:7" ht="12.75" x14ac:dyDescent="0.2">
      <c r="A2178" s="3">
        <v>70</v>
      </c>
      <c r="B2178" s="4" t="s">
        <v>156</v>
      </c>
      <c r="C2178" s="3" t="s">
        <v>273</v>
      </c>
      <c r="D2178" s="3" t="s">
        <v>149</v>
      </c>
      <c r="E2178" s="3">
        <v>1</v>
      </c>
      <c r="G2178" s="57"/>
    </row>
    <row r="2179" spans="1:7" ht="12.75" x14ac:dyDescent="0.2">
      <c r="A2179" s="3">
        <v>70</v>
      </c>
      <c r="B2179" s="4" t="s">
        <v>156</v>
      </c>
      <c r="C2179" s="3" t="s">
        <v>273</v>
      </c>
      <c r="D2179" s="3" t="s">
        <v>14</v>
      </c>
      <c r="E2179" s="3">
        <v>0</v>
      </c>
      <c r="G2179" s="57"/>
    </row>
    <row r="2180" spans="1:7" ht="12.75" x14ac:dyDescent="0.2">
      <c r="A2180" s="3">
        <v>70</v>
      </c>
      <c r="B2180" s="4" t="s">
        <v>156</v>
      </c>
      <c r="C2180" s="3" t="s">
        <v>273</v>
      </c>
      <c r="D2180" s="3" t="s">
        <v>138</v>
      </c>
      <c r="E2180" s="3">
        <v>0</v>
      </c>
      <c r="F2180">
        <f>SUM(E2175:E2180)</f>
        <v>1</v>
      </c>
      <c r="G2180" s="57"/>
    </row>
    <row r="2181" spans="1:7" ht="12.75" x14ac:dyDescent="0.2">
      <c r="A2181" s="3">
        <v>70</v>
      </c>
      <c r="B2181" s="4" t="s">
        <v>156</v>
      </c>
      <c r="C2181" s="3" t="s">
        <v>125</v>
      </c>
      <c r="D2181" s="3" t="s">
        <v>283</v>
      </c>
      <c r="E2181" s="3">
        <v>0</v>
      </c>
      <c r="G2181" s="57"/>
    </row>
    <row r="2182" spans="1:7" ht="12.75" x14ac:dyDescent="0.2">
      <c r="A2182" s="3">
        <v>70</v>
      </c>
      <c r="B2182" s="4" t="s">
        <v>156</v>
      </c>
      <c r="C2182" s="3" t="s">
        <v>125</v>
      </c>
      <c r="D2182" s="3" t="s">
        <v>315</v>
      </c>
      <c r="E2182" s="3">
        <v>0</v>
      </c>
      <c r="G2182" s="57"/>
    </row>
    <row r="2183" spans="1:7" ht="12.75" x14ac:dyDescent="0.2">
      <c r="A2183" s="3">
        <v>70</v>
      </c>
      <c r="B2183" s="4" t="s">
        <v>156</v>
      </c>
      <c r="C2183" s="3" t="s">
        <v>125</v>
      </c>
      <c r="D2183" s="3" t="s">
        <v>128</v>
      </c>
      <c r="E2183" s="3">
        <v>0</v>
      </c>
      <c r="G2183" s="57"/>
    </row>
    <row r="2184" spans="1:7" ht="12.75" x14ac:dyDescent="0.2">
      <c r="A2184" s="3">
        <v>70</v>
      </c>
      <c r="B2184" s="4" t="s">
        <v>156</v>
      </c>
      <c r="C2184" s="3" t="s">
        <v>125</v>
      </c>
      <c r="D2184" s="3" t="s">
        <v>149</v>
      </c>
      <c r="E2184" s="3">
        <v>1</v>
      </c>
      <c r="G2184" s="57"/>
    </row>
    <row r="2185" spans="1:7" ht="12.75" x14ac:dyDescent="0.2">
      <c r="A2185" s="3">
        <v>70</v>
      </c>
      <c r="B2185" s="4" t="s">
        <v>156</v>
      </c>
      <c r="C2185" s="3" t="s">
        <v>125</v>
      </c>
      <c r="D2185" s="3" t="s">
        <v>14</v>
      </c>
      <c r="E2185" s="3">
        <v>0</v>
      </c>
      <c r="G2185" s="57"/>
    </row>
    <row r="2186" spans="1:7" ht="12.75" x14ac:dyDescent="0.2">
      <c r="A2186" s="3">
        <v>70</v>
      </c>
      <c r="B2186" s="4" t="s">
        <v>156</v>
      </c>
      <c r="C2186" s="3" t="s">
        <v>125</v>
      </c>
      <c r="D2186" s="3" t="s">
        <v>138</v>
      </c>
      <c r="E2186" s="3">
        <v>0</v>
      </c>
      <c r="F2186">
        <f>SUM(E2181:E2186)</f>
        <v>1</v>
      </c>
      <c r="G2186" s="57"/>
    </row>
    <row r="2187" spans="1:7" ht="12.75" x14ac:dyDescent="0.2">
      <c r="A2187" s="3">
        <v>71</v>
      </c>
      <c r="B2187" s="4" t="s">
        <v>94</v>
      </c>
      <c r="C2187" s="3" t="s">
        <v>347</v>
      </c>
      <c r="D2187" s="3" t="s">
        <v>283</v>
      </c>
      <c r="E2187" s="3">
        <v>624</v>
      </c>
      <c r="G2187" s="59">
        <v>1230</v>
      </c>
    </row>
    <row r="2188" spans="1:7" ht="12.75" x14ac:dyDescent="0.2">
      <c r="A2188" s="3">
        <v>71</v>
      </c>
      <c r="B2188" s="4" t="s">
        <v>94</v>
      </c>
      <c r="C2188" s="3" t="s">
        <v>347</v>
      </c>
      <c r="D2188" s="3" t="s">
        <v>315</v>
      </c>
      <c r="E2188" s="3">
        <v>3</v>
      </c>
      <c r="G2188" s="57"/>
    </row>
    <row r="2189" spans="1:7" ht="12.75" x14ac:dyDescent="0.2">
      <c r="A2189" s="3">
        <v>71</v>
      </c>
      <c r="B2189" s="4" t="s">
        <v>94</v>
      </c>
      <c r="C2189" s="3" t="s">
        <v>347</v>
      </c>
      <c r="D2189" s="3" t="s">
        <v>316</v>
      </c>
      <c r="E2189" s="3">
        <v>6</v>
      </c>
      <c r="G2189" s="57"/>
    </row>
    <row r="2190" spans="1:7" ht="12.75" x14ac:dyDescent="0.2">
      <c r="A2190" s="3">
        <v>71</v>
      </c>
      <c r="B2190" s="4" t="s">
        <v>94</v>
      </c>
      <c r="C2190" s="3" t="s">
        <v>347</v>
      </c>
      <c r="D2190" s="3" t="s">
        <v>128</v>
      </c>
      <c r="E2190" s="3">
        <v>399</v>
      </c>
      <c r="G2190" s="57"/>
    </row>
    <row r="2191" spans="1:7" ht="12.75" x14ac:dyDescent="0.2">
      <c r="A2191" s="3">
        <v>71</v>
      </c>
      <c r="B2191" s="4" t="s">
        <v>94</v>
      </c>
      <c r="C2191" s="3" t="s">
        <v>347</v>
      </c>
      <c r="D2191" s="3" t="s">
        <v>353</v>
      </c>
      <c r="E2191" s="3">
        <v>1</v>
      </c>
      <c r="G2191" s="57"/>
    </row>
    <row r="2192" spans="1:7" ht="12.75" x14ac:dyDescent="0.2">
      <c r="A2192" s="3">
        <v>71</v>
      </c>
      <c r="B2192" s="4" t="s">
        <v>94</v>
      </c>
      <c r="C2192" s="3" t="s">
        <v>347</v>
      </c>
      <c r="D2192" s="3" t="s">
        <v>149</v>
      </c>
      <c r="E2192" s="3">
        <v>44</v>
      </c>
      <c r="G2192" s="57"/>
    </row>
    <row r="2193" spans="1:7" ht="12.75" x14ac:dyDescent="0.2">
      <c r="A2193" s="3">
        <v>71</v>
      </c>
      <c r="B2193" s="4" t="s">
        <v>94</v>
      </c>
      <c r="C2193" s="3" t="s">
        <v>347</v>
      </c>
      <c r="D2193" s="3" t="s">
        <v>14</v>
      </c>
      <c r="E2193" s="3">
        <v>15</v>
      </c>
      <c r="G2193" s="57"/>
    </row>
    <row r="2194" spans="1:7" ht="12.75" x14ac:dyDescent="0.2">
      <c r="A2194" s="3">
        <v>71</v>
      </c>
      <c r="B2194" s="4" t="s">
        <v>94</v>
      </c>
      <c r="C2194" s="3" t="s">
        <v>347</v>
      </c>
      <c r="D2194" s="3" t="s">
        <v>138</v>
      </c>
      <c r="E2194" s="3">
        <v>2</v>
      </c>
      <c r="F2194">
        <f>SUM(E2187:E2194)</f>
        <v>1094</v>
      </c>
      <c r="G2194" s="57"/>
    </row>
    <row r="2195" spans="1:7" ht="12.75" x14ac:dyDescent="0.2">
      <c r="A2195" s="3">
        <v>71</v>
      </c>
      <c r="B2195" s="4" t="s">
        <v>94</v>
      </c>
      <c r="C2195" s="3" t="s">
        <v>273</v>
      </c>
      <c r="D2195" s="3" t="s">
        <v>283</v>
      </c>
      <c r="E2195" s="3">
        <v>644</v>
      </c>
      <c r="G2195" s="57"/>
    </row>
    <row r="2196" spans="1:7" ht="12.75" x14ac:dyDescent="0.2">
      <c r="A2196" s="3">
        <v>71</v>
      </c>
      <c r="B2196" s="4" t="s">
        <v>94</v>
      </c>
      <c r="C2196" s="3" t="s">
        <v>273</v>
      </c>
      <c r="D2196" s="3" t="s">
        <v>315</v>
      </c>
      <c r="E2196" s="3">
        <v>3</v>
      </c>
      <c r="G2196" s="57"/>
    </row>
    <row r="2197" spans="1:7" ht="12.75" x14ac:dyDescent="0.2">
      <c r="A2197" s="3">
        <v>71</v>
      </c>
      <c r="B2197" s="4" t="s">
        <v>94</v>
      </c>
      <c r="C2197" s="3" t="s">
        <v>273</v>
      </c>
      <c r="D2197" s="3" t="s">
        <v>128</v>
      </c>
      <c r="E2197" s="3">
        <v>372</v>
      </c>
      <c r="G2197" s="57"/>
    </row>
    <row r="2198" spans="1:7" ht="12.75" x14ac:dyDescent="0.2">
      <c r="A2198" s="3">
        <v>71</v>
      </c>
      <c r="B2198" s="4" t="s">
        <v>94</v>
      </c>
      <c r="C2198" s="3" t="s">
        <v>273</v>
      </c>
      <c r="D2198" s="3" t="s">
        <v>149</v>
      </c>
      <c r="E2198" s="3">
        <v>15</v>
      </c>
      <c r="G2198" s="57"/>
    </row>
    <row r="2199" spans="1:7" ht="12.75" x14ac:dyDescent="0.2">
      <c r="A2199" s="3">
        <v>71</v>
      </c>
      <c r="B2199" s="4" t="s">
        <v>94</v>
      </c>
      <c r="C2199" s="3" t="s">
        <v>273</v>
      </c>
      <c r="D2199" s="3" t="s">
        <v>14</v>
      </c>
      <c r="E2199" s="3">
        <v>58</v>
      </c>
      <c r="G2199" s="57"/>
    </row>
    <row r="2200" spans="1:7" ht="12.75" x14ac:dyDescent="0.2">
      <c r="A2200" s="3">
        <v>71</v>
      </c>
      <c r="B2200" s="4" t="s">
        <v>94</v>
      </c>
      <c r="C2200" s="3" t="s">
        <v>273</v>
      </c>
      <c r="D2200" s="3" t="s">
        <v>138</v>
      </c>
      <c r="E2200" s="3">
        <v>2</v>
      </c>
      <c r="F2200">
        <f>SUM(E2195:E2200)</f>
        <v>1094</v>
      </c>
      <c r="G2200" s="57"/>
    </row>
    <row r="2201" spans="1:7" ht="12.75" x14ac:dyDescent="0.2">
      <c r="A2201" s="3">
        <v>71</v>
      </c>
      <c r="B2201" s="4" t="s">
        <v>94</v>
      </c>
      <c r="C2201" s="3" t="s">
        <v>125</v>
      </c>
      <c r="D2201" s="3" t="s">
        <v>283</v>
      </c>
      <c r="E2201" s="3">
        <v>644</v>
      </c>
      <c r="G2201" s="57"/>
    </row>
    <row r="2202" spans="1:7" ht="12.75" x14ac:dyDescent="0.2">
      <c r="A2202" s="3">
        <v>71</v>
      </c>
      <c r="B2202" s="4" t="s">
        <v>94</v>
      </c>
      <c r="C2202" s="3" t="s">
        <v>125</v>
      </c>
      <c r="D2202" s="3" t="s">
        <v>315</v>
      </c>
      <c r="E2202" s="3">
        <v>3</v>
      </c>
      <c r="G2202" s="57"/>
    </row>
    <row r="2203" spans="1:7" ht="12.75" x14ac:dyDescent="0.2">
      <c r="A2203" s="3">
        <v>71</v>
      </c>
      <c r="B2203" s="4" t="s">
        <v>94</v>
      </c>
      <c r="C2203" s="3" t="s">
        <v>125</v>
      </c>
      <c r="D2203" s="3" t="s">
        <v>128</v>
      </c>
      <c r="E2203" s="3">
        <v>371</v>
      </c>
      <c r="G2203" s="57"/>
    </row>
    <row r="2204" spans="1:7" ht="12.75" x14ac:dyDescent="0.2">
      <c r="A2204" s="3">
        <v>71</v>
      </c>
      <c r="B2204" s="4" t="s">
        <v>94</v>
      </c>
      <c r="C2204" s="3" t="s">
        <v>125</v>
      </c>
      <c r="D2204" s="3" t="s">
        <v>149</v>
      </c>
      <c r="E2204" s="3">
        <v>15</v>
      </c>
      <c r="G2204" s="57"/>
    </row>
    <row r="2205" spans="1:7" ht="12.75" x14ac:dyDescent="0.2">
      <c r="A2205" s="3">
        <v>71</v>
      </c>
      <c r="B2205" s="4" t="s">
        <v>94</v>
      </c>
      <c r="C2205" s="3" t="s">
        <v>125</v>
      </c>
      <c r="D2205" s="3" t="s">
        <v>14</v>
      </c>
      <c r="E2205" s="3">
        <v>59</v>
      </c>
      <c r="G2205" s="57"/>
    </row>
    <row r="2206" spans="1:7" ht="12.75" x14ac:dyDescent="0.2">
      <c r="A2206" s="3">
        <v>71</v>
      </c>
      <c r="B2206" s="4" t="s">
        <v>94</v>
      </c>
      <c r="C2206" s="3" t="s">
        <v>125</v>
      </c>
      <c r="D2206" s="3" t="s">
        <v>138</v>
      </c>
      <c r="E2206" s="3">
        <v>2</v>
      </c>
      <c r="F2206">
        <f>SUM(E2201:E2206)</f>
        <v>1094</v>
      </c>
      <c r="G2206" s="57"/>
    </row>
    <row r="2207" spans="1:7" ht="12.75" x14ac:dyDescent="0.2">
      <c r="A2207" s="3">
        <v>72</v>
      </c>
      <c r="B2207" s="4" t="s">
        <v>95</v>
      </c>
      <c r="C2207" s="3" t="s">
        <v>347</v>
      </c>
      <c r="D2207" s="3" t="s">
        <v>283</v>
      </c>
      <c r="E2207" s="3">
        <v>547</v>
      </c>
      <c r="G2207" s="59">
        <v>1997</v>
      </c>
    </row>
    <row r="2208" spans="1:7" ht="12.75" x14ac:dyDescent="0.2">
      <c r="A2208" s="3">
        <v>72</v>
      </c>
      <c r="B2208" s="4" t="s">
        <v>95</v>
      </c>
      <c r="C2208" s="3" t="s">
        <v>347</v>
      </c>
      <c r="D2208" s="3" t="s">
        <v>315</v>
      </c>
      <c r="E2208" s="3">
        <v>16</v>
      </c>
      <c r="G2208" s="57"/>
    </row>
    <row r="2209" spans="1:7" ht="12.75" x14ac:dyDescent="0.2">
      <c r="A2209" s="3">
        <v>72</v>
      </c>
      <c r="B2209" s="4" t="s">
        <v>95</v>
      </c>
      <c r="C2209" s="3" t="s">
        <v>347</v>
      </c>
      <c r="D2209" s="3" t="s">
        <v>316</v>
      </c>
      <c r="E2209" s="3">
        <v>42</v>
      </c>
      <c r="G2209" s="57"/>
    </row>
    <row r="2210" spans="1:7" ht="12.75" x14ac:dyDescent="0.2">
      <c r="A2210" s="3">
        <v>72</v>
      </c>
      <c r="B2210" s="4" t="s">
        <v>95</v>
      </c>
      <c r="C2210" s="3" t="s">
        <v>347</v>
      </c>
      <c r="D2210" s="3" t="s">
        <v>128</v>
      </c>
      <c r="E2210" s="3">
        <v>776</v>
      </c>
      <c r="G2210" s="57"/>
    </row>
    <row r="2211" spans="1:7" ht="12.75" x14ac:dyDescent="0.2">
      <c r="A2211" s="3">
        <v>72</v>
      </c>
      <c r="B2211" s="4" t="s">
        <v>95</v>
      </c>
      <c r="C2211" s="3" t="s">
        <v>347</v>
      </c>
      <c r="D2211" s="3" t="s">
        <v>353</v>
      </c>
      <c r="E2211" s="3">
        <v>18</v>
      </c>
      <c r="G2211" s="57"/>
    </row>
    <row r="2212" spans="1:7" ht="12.75" x14ac:dyDescent="0.2">
      <c r="A2212" s="3">
        <v>72</v>
      </c>
      <c r="B2212" s="4" t="s">
        <v>95</v>
      </c>
      <c r="C2212" s="3" t="s">
        <v>347</v>
      </c>
      <c r="D2212" s="3" t="s">
        <v>149</v>
      </c>
      <c r="E2212" s="3">
        <v>218</v>
      </c>
      <c r="G2212" s="57"/>
    </row>
    <row r="2213" spans="1:7" ht="12.75" x14ac:dyDescent="0.2">
      <c r="A2213" s="3">
        <v>72</v>
      </c>
      <c r="B2213" s="4" t="s">
        <v>95</v>
      </c>
      <c r="C2213" s="3" t="s">
        <v>347</v>
      </c>
      <c r="D2213" s="3" t="s">
        <v>14</v>
      </c>
      <c r="E2213" s="3">
        <v>106</v>
      </c>
      <c r="G2213" s="57"/>
    </row>
    <row r="2214" spans="1:7" ht="12.75" x14ac:dyDescent="0.2">
      <c r="A2214" s="3">
        <v>72</v>
      </c>
      <c r="B2214" s="4" t="s">
        <v>95</v>
      </c>
      <c r="C2214" s="3" t="s">
        <v>347</v>
      </c>
      <c r="D2214" s="3" t="s">
        <v>138</v>
      </c>
      <c r="E2214" s="3">
        <v>8</v>
      </c>
      <c r="F2214">
        <f>SUM(E2207:E2214)</f>
        <v>1731</v>
      </c>
      <c r="G2214" s="57"/>
    </row>
    <row r="2215" spans="1:7" ht="12.75" x14ac:dyDescent="0.2">
      <c r="A2215" s="3">
        <v>72</v>
      </c>
      <c r="B2215" s="4" t="s">
        <v>95</v>
      </c>
      <c r="C2215" s="3" t="s">
        <v>273</v>
      </c>
      <c r="D2215" s="3" t="s">
        <v>283</v>
      </c>
      <c r="E2215" s="3">
        <v>462</v>
      </c>
      <c r="G2215" s="57"/>
    </row>
    <row r="2216" spans="1:7" ht="12.75" x14ac:dyDescent="0.2">
      <c r="A2216" s="3">
        <v>72</v>
      </c>
      <c r="B2216" s="4" t="s">
        <v>95</v>
      </c>
      <c r="C2216" s="3" t="s">
        <v>273</v>
      </c>
      <c r="D2216" s="3" t="s">
        <v>315</v>
      </c>
      <c r="E2216" s="3">
        <v>10</v>
      </c>
      <c r="G2216" s="57"/>
    </row>
    <row r="2217" spans="1:7" ht="12.75" x14ac:dyDescent="0.2">
      <c r="A2217" s="3">
        <v>72</v>
      </c>
      <c r="B2217" s="4" t="s">
        <v>95</v>
      </c>
      <c r="C2217" s="3" t="s">
        <v>273</v>
      </c>
      <c r="D2217" s="3" t="s">
        <v>128</v>
      </c>
      <c r="E2217" s="3">
        <v>809</v>
      </c>
      <c r="G2217" s="57"/>
    </row>
    <row r="2218" spans="1:7" ht="12.75" x14ac:dyDescent="0.2">
      <c r="A2218" s="3">
        <v>72</v>
      </c>
      <c r="B2218" s="4" t="s">
        <v>95</v>
      </c>
      <c r="C2218" s="3" t="s">
        <v>273</v>
      </c>
      <c r="D2218" s="3" t="s">
        <v>149</v>
      </c>
      <c r="E2218" s="3">
        <v>99</v>
      </c>
      <c r="G2218" s="57"/>
    </row>
    <row r="2219" spans="1:7" ht="12.75" x14ac:dyDescent="0.2">
      <c r="A2219" s="3">
        <v>72</v>
      </c>
      <c r="B2219" s="4" t="s">
        <v>95</v>
      </c>
      <c r="C2219" s="3" t="s">
        <v>273</v>
      </c>
      <c r="D2219" s="3" t="s">
        <v>14</v>
      </c>
      <c r="E2219" s="3">
        <v>349</v>
      </c>
      <c r="G2219" s="57"/>
    </row>
    <row r="2220" spans="1:7" ht="12.75" x14ac:dyDescent="0.2">
      <c r="A2220" s="3">
        <v>72</v>
      </c>
      <c r="B2220" s="4" t="s">
        <v>95</v>
      </c>
      <c r="C2220" s="3" t="s">
        <v>273</v>
      </c>
      <c r="D2220" s="3" t="s">
        <v>138</v>
      </c>
      <c r="E2220" s="3">
        <v>2</v>
      </c>
      <c r="F2220">
        <f>SUM(E2215:E2220)</f>
        <v>1731</v>
      </c>
      <c r="G2220" s="57"/>
    </row>
    <row r="2221" spans="1:7" ht="12.75" x14ac:dyDescent="0.2">
      <c r="A2221" s="3">
        <v>72</v>
      </c>
      <c r="B2221" s="4" t="s">
        <v>95</v>
      </c>
      <c r="C2221" s="3" t="s">
        <v>125</v>
      </c>
      <c r="D2221" s="3" t="s">
        <v>283</v>
      </c>
      <c r="E2221" s="3">
        <v>465</v>
      </c>
      <c r="G2221" s="57"/>
    </row>
    <row r="2222" spans="1:7" ht="12.75" x14ac:dyDescent="0.2">
      <c r="A2222" s="3">
        <v>72</v>
      </c>
      <c r="B2222" s="4" t="s">
        <v>95</v>
      </c>
      <c r="C2222" s="3" t="s">
        <v>125</v>
      </c>
      <c r="D2222" s="3" t="s">
        <v>315</v>
      </c>
      <c r="E2222" s="3">
        <v>10</v>
      </c>
      <c r="G2222" s="57"/>
    </row>
    <row r="2223" spans="1:7" ht="12.75" x14ac:dyDescent="0.2">
      <c r="A2223" s="3">
        <v>72</v>
      </c>
      <c r="B2223" s="4" t="s">
        <v>95</v>
      </c>
      <c r="C2223" s="3" t="s">
        <v>125</v>
      </c>
      <c r="D2223" s="3" t="s">
        <v>128</v>
      </c>
      <c r="E2223" s="3">
        <v>794</v>
      </c>
      <c r="G2223" s="57"/>
    </row>
    <row r="2224" spans="1:7" ht="12.75" x14ac:dyDescent="0.2">
      <c r="A2224" s="3">
        <v>72</v>
      </c>
      <c r="B2224" s="4" t="s">
        <v>95</v>
      </c>
      <c r="C2224" s="3" t="s">
        <v>125</v>
      </c>
      <c r="D2224" s="3" t="s">
        <v>149</v>
      </c>
      <c r="E2224" s="3">
        <v>98</v>
      </c>
      <c r="G2224" s="57"/>
    </row>
    <row r="2225" spans="1:7" ht="12.75" x14ac:dyDescent="0.2">
      <c r="A2225" s="3">
        <v>72</v>
      </c>
      <c r="B2225" s="4" t="s">
        <v>95</v>
      </c>
      <c r="C2225" s="3" t="s">
        <v>125</v>
      </c>
      <c r="D2225" s="3" t="s">
        <v>14</v>
      </c>
      <c r="E2225" s="3">
        <v>362</v>
      </c>
      <c r="G2225" s="57"/>
    </row>
    <row r="2226" spans="1:7" ht="12.75" x14ac:dyDescent="0.2">
      <c r="A2226" s="3">
        <v>72</v>
      </c>
      <c r="B2226" s="4" t="s">
        <v>95</v>
      </c>
      <c r="C2226" s="3" t="s">
        <v>125</v>
      </c>
      <c r="D2226" s="3" t="s">
        <v>138</v>
      </c>
      <c r="E2226" s="3">
        <v>2</v>
      </c>
      <c r="F2226">
        <f>SUM(E2221:E2226)</f>
        <v>1731</v>
      </c>
      <c r="G2226" s="57"/>
    </row>
    <row r="2227" spans="1:7" ht="12.75" x14ac:dyDescent="0.2">
      <c r="A2227" s="3">
        <v>73</v>
      </c>
      <c r="B2227" s="4" t="s">
        <v>96</v>
      </c>
      <c r="C2227" s="3" t="s">
        <v>347</v>
      </c>
      <c r="D2227" s="3" t="s">
        <v>283</v>
      </c>
      <c r="E2227" s="3">
        <v>65</v>
      </c>
      <c r="G2227" s="59">
        <v>203</v>
      </c>
    </row>
    <row r="2228" spans="1:7" ht="12.75" x14ac:dyDescent="0.2">
      <c r="A2228" s="3">
        <v>73</v>
      </c>
      <c r="B2228" s="4" t="s">
        <v>96</v>
      </c>
      <c r="C2228" s="3" t="s">
        <v>347</v>
      </c>
      <c r="D2228" s="3" t="s">
        <v>315</v>
      </c>
      <c r="E2228" s="3">
        <v>1</v>
      </c>
      <c r="G2228" s="57"/>
    </row>
    <row r="2229" spans="1:7" ht="12.75" x14ac:dyDescent="0.2">
      <c r="A2229" s="3">
        <v>73</v>
      </c>
      <c r="B2229" s="4" t="s">
        <v>96</v>
      </c>
      <c r="C2229" s="3" t="s">
        <v>347</v>
      </c>
      <c r="D2229" s="3" t="s">
        <v>316</v>
      </c>
      <c r="E2229" s="3">
        <v>14</v>
      </c>
      <c r="G2229" s="57"/>
    </row>
    <row r="2230" spans="1:7" ht="12.75" x14ac:dyDescent="0.2">
      <c r="A2230" s="3">
        <v>73</v>
      </c>
      <c r="B2230" s="4" t="s">
        <v>96</v>
      </c>
      <c r="C2230" s="3" t="s">
        <v>347</v>
      </c>
      <c r="D2230" s="3" t="s">
        <v>128</v>
      </c>
      <c r="E2230" s="3">
        <v>59</v>
      </c>
      <c r="G2230" s="57"/>
    </row>
    <row r="2231" spans="1:7" ht="12.75" x14ac:dyDescent="0.2">
      <c r="A2231" s="3">
        <v>73</v>
      </c>
      <c r="B2231" s="4" t="s">
        <v>96</v>
      </c>
      <c r="C2231" s="3" t="s">
        <v>347</v>
      </c>
      <c r="D2231" s="3" t="s">
        <v>353</v>
      </c>
      <c r="E2231" s="3">
        <v>3</v>
      </c>
      <c r="G2231" s="57"/>
    </row>
    <row r="2232" spans="1:7" ht="12.75" x14ac:dyDescent="0.2">
      <c r="A2232" s="3">
        <v>73</v>
      </c>
      <c r="B2232" s="4" t="s">
        <v>96</v>
      </c>
      <c r="C2232" s="3" t="s">
        <v>347</v>
      </c>
      <c r="D2232" s="3" t="s">
        <v>149</v>
      </c>
      <c r="E2232" s="3">
        <v>29</v>
      </c>
      <c r="G2232" s="57"/>
    </row>
    <row r="2233" spans="1:7" ht="12.75" x14ac:dyDescent="0.2">
      <c r="A2233" s="3">
        <v>73</v>
      </c>
      <c r="B2233" s="4" t="s">
        <v>96</v>
      </c>
      <c r="C2233" s="3" t="s">
        <v>347</v>
      </c>
      <c r="D2233" s="3" t="s">
        <v>14</v>
      </c>
      <c r="E2233" s="3">
        <v>18</v>
      </c>
      <c r="G2233" s="57"/>
    </row>
    <row r="2234" spans="1:7" ht="12.75" x14ac:dyDescent="0.2">
      <c r="A2234" s="3">
        <v>73</v>
      </c>
      <c r="B2234" s="4" t="s">
        <v>96</v>
      </c>
      <c r="C2234" s="3" t="s">
        <v>347</v>
      </c>
      <c r="D2234" s="3" t="s">
        <v>138</v>
      </c>
      <c r="E2234" s="3">
        <v>0</v>
      </c>
      <c r="F2234">
        <f>SUM(E2227:E2234)</f>
        <v>189</v>
      </c>
      <c r="G2234" s="57"/>
    </row>
    <row r="2235" spans="1:7" ht="12.75" x14ac:dyDescent="0.2">
      <c r="A2235" s="3">
        <v>73</v>
      </c>
      <c r="B2235" s="4" t="s">
        <v>96</v>
      </c>
      <c r="C2235" s="3" t="s">
        <v>273</v>
      </c>
      <c r="D2235" s="3" t="s">
        <v>283</v>
      </c>
      <c r="E2235" s="3">
        <v>79</v>
      </c>
      <c r="G2235" s="57"/>
    </row>
    <row r="2236" spans="1:7" ht="12.75" x14ac:dyDescent="0.2">
      <c r="A2236" s="3">
        <v>73</v>
      </c>
      <c r="B2236" s="4" t="s">
        <v>96</v>
      </c>
      <c r="C2236" s="3" t="s">
        <v>273</v>
      </c>
      <c r="D2236" s="3" t="s">
        <v>315</v>
      </c>
      <c r="E2236" s="3">
        <v>0</v>
      </c>
      <c r="G2236" s="57"/>
    </row>
    <row r="2237" spans="1:7" ht="12.75" x14ac:dyDescent="0.2">
      <c r="A2237" s="3">
        <v>73</v>
      </c>
      <c r="B2237" s="4" t="s">
        <v>96</v>
      </c>
      <c r="C2237" s="3" t="s">
        <v>273</v>
      </c>
      <c r="D2237" s="3" t="s">
        <v>128</v>
      </c>
      <c r="E2237" s="3">
        <v>42</v>
      </c>
      <c r="G2237" s="57"/>
    </row>
    <row r="2238" spans="1:7" ht="12.75" x14ac:dyDescent="0.2">
      <c r="A2238" s="3">
        <v>73</v>
      </c>
      <c r="B2238" s="4" t="s">
        <v>96</v>
      </c>
      <c r="C2238" s="3" t="s">
        <v>273</v>
      </c>
      <c r="D2238" s="3" t="s">
        <v>149</v>
      </c>
      <c r="E2238" s="3">
        <v>7</v>
      </c>
      <c r="G2238" s="57"/>
    </row>
    <row r="2239" spans="1:7" ht="12.75" x14ac:dyDescent="0.2">
      <c r="A2239" s="3">
        <v>73</v>
      </c>
      <c r="B2239" s="4" t="s">
        <v>96</v>
      </c>
      <c r="C2239" s="3" t="s">
        <v>273</v>
      </c>
      <c r="D2239" s="3" t="s">
        <v>14</v>
      </c>
      <c r="E2239" s="3">
        <v>61</v>
      </c>
      <c r="G2239" s="57"/>
    </row>
    <row r="2240" spans="1:7" ht="12.75" x14ac:dyDescent="0.2">
      <c r="A2240" s="3">
        <v>73</v>
      </c>
      <c r="B2240" s="4" t="s">
        <v>96</v>
      </c>
      <c r="C2240" s="3" t="s">
        <v>273</v>
      </c>
      <c r="D2240" s="3" t="s">
        <v>138</v>
      </c>
      <c r="E2240" s="3">
        <v>0</v>
      </c>
      <c r="F2240">
        <f>SUM(E2235:E2240)</f>
        <v>189</v>
      </c>
      <c r="G2240" s="57"/>
    </row>
    <row r="2241" spans="1:7" ht="12.75" x14ac:dyDescent="0.2">
      <c r="A2241" s="3">
        <v>73</v>
      </c>
      <c r="B2241" s="4" t="s">
        <v>96</v>
      </c>
      <c r="C2241" s="3" t="s">
        <v>125</v>
      </c>
      <c r="D2241" s="3" t="s">
        <v>283</v>
      </c>
      <c r="E2241" s="3">
        <v>79</v>
      </c>
      <c r="G2241" s="57"/>
    </row>
    <row r="2242" spans="1:7" ht="12.75" x14ac:dyDescent="0.2">
      <c r="A2242" s="3">
        <v>73</v>
      </c>
      <c r="B2242" s="4" t="s">
        <v>96</v>
      </c>
      <c r="C2242" s="3" t="s">
        <v>125</v>
      </c>
      <c r="D2242" s="3" t="s">
        <v>315</v>
      </c>
      <c r="E2242" s="3">
        <v>0</v>
      </c>
      <c r="G2242" s="57"/>
    </row>
    <row r="2243" spans="1:7" ht="12.75" x14ac:dyDescent="0.2">
      <c r="A2243" s="3">
        <v>73</v>
      </c>
      <c r="B2243" s="4" t="s">
        <v>96</v>
      </c>
      <c r="C2243" s="3" t="s">
        <v>125</v>
      </c>
      <c r="D2243" s="3" t="s">
        <v>128</v>
      </c>
      <c r="E2243" s="3">
        <v>42</v>
      </c>
      <c r="G2243" s="57"/>
    </row>
    <row r="2244" spans="1:7" ht="12.75" x14ac:dyDescent="0.2">
      <c r="A2244" s="3">
        <v>73</v>
      </c>
      <c r="B2244" s="4" t="s">
        <v>96</v>
      </c>
      <c r="C2244" s="3" t="s">
        <v>125</v>
      </c>
      <c r="D2244" s="3" t="s">
        <v>149</v>
      </c>
      <c r="E2244" s="3">
        <v>7</v>
      </c>
      <c r="G2244" s="57"/>
    </row>
    <row r="2245" spans="1:7" ht="12.75" x14ac:dyDescent="0.2">
      <c r="A2245" s="3">
        <v>73</v>
      </c>
      <c r="B2245" s="4" t="s">
        <v>96</v>
      </c>
      <c r="C2245" s="3" t="s">
        <v>125</v>
      </c>
      <c r="D2245" s="3" t="s">
        <v>14</v>
      </c>
      <c r="E2245" s="3">
        <v>61</v>
      </c>
      <c r="G2245" s="57"/>
    </row>
    <row r="2246" spans="1:7" ht="12.75" x14ac:dyDescent="0.2">
      <c r="A2246" s="3">
        <v>73</v>
      </c>
      <c r="B2246" s="4" t="s">
        <v>96</v>
      </c>
      <c r="C2246" s="3" t="s">
        <v>125</v>
      </c>
      <c r="D2246" s="3" t="s">
        <v>138</v>
      </c>
      <c r="E2246" s="3">
        <v>0</v>
      </c>
      <c r="F2246">
        <f>SUM(E2241:E2246)</f>
        <v>189</v>
      </c>
      <c r="G2246" s="57"/>
    </row>
    <row r="2247" spans="1:7" ht="12.75" x14ac:dyDescent="0.2">
      <c r="A2247" s="3">
        <v>74</v>
      </c>
      <c r="B2247" s="4" t="s">
        <v>97</v>
      </c>
      <c r="C2247" s="3" t="s">
        <v>347</v>
      </c>
      <c r="D2247" s="3" t="s">
        <v>283</v>
      </c>
      <c r="E2247" s="3">
        <v>147</v>
      </c>
      <c r="G2247" s="59">
        <v>405</v>
      </c>
    </row>
    <row r="2248" spans="1:7" ht="12.75" x14ac:dyDescent="0.2">
      <c r="A2248" s="3">
        <v>74</v>
      </c>
      <c r="B2248" s="4" t="s">
        <v>97</v>
      </c>
      <c r="C2248" s="3" t="s">
        <v>347</v>
      </c>
      <c r="D2248" s="3" t="s">
        <v>315</v>
      </c>
      <c r="E2248" s="3">
        <v>2</v>
      </c>
      <c r="G2248" s="57"/>
    </row>
    <row r="2249" spans="1:7" ht="12.75" x14ac:dyDescent="0.2">
      <c r="A2249" s="3">
        <v>74</v>
      </c>
      <c r="B2249" s="4" t="s">
        <v>97</v>
      </c>
      <c r="C2249" s="3" t="s">
        <v>347</v>
      </c>
      <c r="D2249" s="3" t="s">
        <v>316</v>
      </c>
      <c r="E2249" s="3">
        <v>10</v>
      </c>
      <c r="G2249" s="57"/>
    </row>
    <row r="2250" spans="1:7" ht="12.75" x14ac:dyDescent="0.2">
      <c r="A2250" s="3">
        <v>74</v>
      </c>
      <c r="B2250" s="4" t="s">
        <v>97</v>
      </c>
      <c r="C2250" s="3" t="s">
        <v>347</v>
      </c>
      <c r="D2250" s="3" t="s">
        <v>128</v>
      </c>
      <c r="E2250" s="3">
        <v>98</v>
      </c>
      <c r="G2250" s="57"/>
    </row>
    <row r="2251" spans="1:7" ht="12.75" x14ac:dyDescent="0.2">
      <c r="A2251" s="3">
        <v>74</v>
      </c>
      <c r="B2251" s="4" t="s">
        <v>97</v>
      </c>
      <c r="C2251" s="3" t="s">
        <v>347</v>
      </c>
      <c r="D2251" s="3" t="s">
        <v>353</v>
      </c>
      <c r="E2251" s="3">
        <v>1</v>
      </c>
      <c r="G2251" s="57"/>
    </row>
    <row r="2252" spans="1:7" ht="12.75" x14ac:dyDescent="0.2">
      <c r="A2252" s="3">
        <v>74</v>
      </c>
      <c r="B2252" s="4" t="s">
        <v>97</v>
      </c>
      <c r="C2252" s="3" t="s">
        <v>347</v>
      </c>
      <c r="D2252" s="3" t="s">
        <v>149</v>
      </c>
      <c r="E2252" s="3">
        <v>61</v>
      </c>
      <c r="G2252" s="57"/>
    </row>
    <row r="2253" spans="1:7" ht="12.75" x14ac:dyDescent="0.2">
      <c r="A2253" s="3">
        <v>74</v>
      </c>
      <c r="B2253" s="4" t="s">
        <v>97</v>
      </c>
      <c r="C2253" s="3" t="s">
        <v>347</v>
      </c>
      <c r="D2253" s="3" t="s">
        <v>14</v>
      </c>
      <c r="E2253" s="3">
        <v>62</v>
      </c>
      <c r="G2253" s="57"/>
    </row>
    <row r="2254" spans="1:7" ht="12.75" x14ac:dyDescent="0.2">
      <c r="A2254" s="3">
        <v>74</v>
      </c>
      <c r="B2254" s="4" t="s">
        <v>97</v>
      </c>
      <c r="C2254" s="3" t="s">
        <v>347</v>
      </c>
      <c r="D2254" s="3" t="s">
        <v>138</v>
      </c>
      <c r="E2254" s="3">
        <v>0</v>
      </c>
      <c r="F2254">
        <f>SUM(E2247:E2254)</f>
        <v>381</v>
      </c>
      <c r="G2254" s="57"/>
    </row>
    <row r="2255" spans="1:7" ht="12.75" x14ac:dyDescent="0.2">
      <c r="A2255" s="3">
        <v>74</v>
      </c>
      <c r="B2255" s="4" t="s">
        <v>97</v>
      </c>
      <c r="C2255" s="3" t="s">
        <v>273</v>
      </c>
      <c r="D2255" s="3" t="s">
        <v>283</v>
      </c>
      <c r="E2255" s="3">
        <v>170</v>
      </c>
      <c r="G2255" s="57"/>
    </row>
    <row r="2256" spans="1:7" ht="12.75" x14ac:dyDescent="0.2">
      <c r="A2256" s="3">
        <v>74</v>
      </c>
      <c r="B2256" s="4" t="s">
        <v>97</v>
      </c>
      <c r="C2256" s="3" t="s">
        <v>273</v>
      </c>
      <c r="D2256" s="3" t="s">
        <v>315</v>
      </c>
      <c r="E2256" s="3">
        <v>0</v>
      </c>
      <c r="G2256" s="57"/>
    </row>
    <row r="2257" spans="1:7" ht="12.75" x14ac:dyDescent="0.2">
      <c r="A2257" s="3">
        <v>74</v>
      </c>
      <c r="B2257" s="4" t="s">
        <v>97</v>
      </c>
      <c r="C2257" s="3" t="s">
        <v>273</v>
      </c>
      <c r="D2257" s="3" t="s">
        <v>128</v>
      </c>
      <c r="E2257" s="3">
        <v>80</v>
      </c>
      <c r="G2257" s="57"/>
    </row>
    <row r="2258" spans="1:7" ht="12.75" x14ac:dyDescent="0.2">
      <c r="A2258" s="3">
        <v>74</v>
      </c>
      <c r="B2258" s="4" t="s">
        <v>97</v>
      </c>
      <c r="C2258" s="3" t="s">
        <v>273</v>
      </c>
      <c r="D2258" s="3" t="s">
        <v>149</v>
      </c>
      <c r="E2258" s="3">
        <v>11</v>
      </c>
      <c r="G2258" s="57"/>
    </row>
    <row r="2259" spans="1:7" ht="12.75" x14ac:dyDescent="0.2">
      <c r="A2259" s="3">
        <v>74</v>
      </c>
      <c r="B2259" s="4" t="s">
        <v>97</v>
      </c>
      <c r="C2259" s="3" t="s">
        <v>273</v>
      </c>
      <c r="D2259" s="3" t="s">
        <v>14</v>
      </c>
      <c r="E2259" s="3">
        <v>119</v>
      </c>
      <c r="G2259" s="57"/>
    </row>
    <row r="2260" spans="1:7" ht="12.75" x14ac:dyDescent="0.2">
      <c r="A2260" s="3">
        <v>74</v>
      </c>
      <c r="B2260" s="4" t="s">
        <v>97</v>
      </c>
      <c r="C2260" s="3" t="s">
        <v>273</v>
      </c>
      <c r="D2260" s="3" t="s">
        <v>138</v>
      </c>
      <c r="E2260" s="3">
        <v>1</v>
      </c>
      <c r="F2260">
        <f>SUM(E2255:E2260)</f>
        <v>381</v>
      </c>
      <c r="G2260" s="57"/>
    </row>
    <row r="2261" spans="1:7" ht="12.75" x14ac:dyDescent="0.2">
      <c r="A2261" s="3">
        <v>74</v>
      </c>
      <c r="B2261" s="4" t="s">
        <v>97</v>
      </c>
      <c r="C2261" s="3" t="s">
        <v>125</v>
      </c>
      <c r="D2261" s="3" t="s">
        <v>283</v>
      </c>
      <c r="E2261" s="3">
        <v>169</v>
      </c>
      <c r="G2261" s="57"/>
    </row>
    <row r="2262" spans="1:7" ht="12.75" x14ac:dyDescent="0.2">
      <c r="A2262" s="3">
        <v>74</v>
      </c>
      <c r="B2262" s="4" t="s">
        <v>97</v>
      </c>
      <c r="C2262" s="3" t="s">
        <v>125</v>
      </c>
      <c r="D2262" s="3" t="s">
        <v>315</v>
      </c>
      <c r="E2262" s="3">
        <v>0</v>
      </c>
      <c r="G2262" s="57"/>
    </row>
    <row r="2263" spans="1:7" ht="12.75" x14ac:dyDescent="0.2">
      <c r="A2263" s="3">
        <v>74</v>
      </c>
      <c r="B2263" s="4" t="s">
        <v>97</v>
      </c>
      <c r="C2263" s="3" t="s">
        <v>125</v>
      </c>
      <c r="D2263" s="3" t="s">
        <v>128</v>
      </c>
      <c r="E2263" s="3">
        <v>79</v>
      </c>
      <c r="G2263" s="57"/>
    </row>
    <row r="2264" spans="1:7" ht="12.75" x14ac:dyDescent="0.2">
      <c r="A2264" s="3">
        <v>74</v>
      </c>
      <c r="B2264" s="4" t="s">
        <v>97</v>
      </c>
      <c r="C2264" s="3" t="s">
        <v>125</v>
      </c>
      <c r="D2264" s="3" t="s">
        <v>149</v>
      </c>
      <c r="E2264" s="3">
        <v>11</v>
      </c>
      <c r="G2264" s="57"/>
    </row>
    <row r="2265" spans="1:7" ht="12.75" x14ac:dyDescent="0.2">
      <c r="A2265" s="3">
        <v>74</v>
      </c>
      <c r="B2265" s="4" t="s">
        <v>97</v>
      </c>
      <c r="C2265" s="3" t="s">
        <v>125</v>
      </c>
      <c r="D2265" s="3" t="s">
        <v>14</v>
      </c>
      <c r="E2265" s="3">
        <v>121</v>
      </c>
      <c r="G2265" s="57"/>
    </row>
    <row r="2266" spans="1:7" ht="12.75" x14ac:dyDescent="0.2">
      <c r="A2266" s="3">
        <v>74</v>
      </c>
      <c r="B2266" s="4" t="s">
        <v>97</v>
      </c>
      <c r="C2266" s="3" t="s">
        <v>125</v>
      </c>
      <c r="D2266" s="3" t="s">
        <v>138</v>
      </c>
      <c r="E2266" s="3">
        <v>1</v>
      </c>
      <c r="F2266">
        <f>SUM(E2261:E2266)</f>
        <v>381</v>
      </c>
      <c r="G2266" s="57"/>
    </row>
    <row r="2267" spans="1:7" ht="12.75" x14ac:dyDescent="0.2">
      <c r="A2267" s="3">
        <v>75</v>
      </c>
      <c r="B2267" s="4" t="s">
        <v>98</v>
      </c>
      <c r="C2267" s="3" t="s">
        <v>347</v>
      </c>
      <c r="D2267" s="3" t="s">
        <v>283</v>
      </c>
      <c r="E2267" s="3">
        <v>1126</v>
      </c>
      <c r="G2267" s="59">
        <v>3132</v>
      </c>
    </row>
    <row r="2268" spans="1:7" ht="12.75" x14ac:dyDescent="0.2">
      <c r="A2268" s="3">
        <v>75</v>
      </c>
      <c r="B2268" s="4" t="s">
        <v>98</v>
      </c>
      <c r="C2268" s="3" t="s">
        <v>347</v>
      </c>
      <c r="D2268" s="3" t="s">
        <v>315</v>
      </c>
      <c r="E2268" s="3">
        <v>18</v>
      </c>
      <c r="G2268" s="57"/>
    </row>
    <row r="2269" spans="1:7" ht="12.75" x14ac:dyDescent="0.2">
      <c r="A2269" s="3">
        <v>75</v>
      </c>
      <c r="B2269" s="4" t="s">
        <v>98</v>
      </c>
      <c r="C2269" s="3" t="s">
        <v>347</v>
      </c>
      <c r="D2269" s="3" t="s">
        <v>316</v>
      </c>
      <c r="E2269" s="3">
        <v>70</v>
      </c>
      <c r="G2269" s="57"/>
    </row>
    <row r="2270" spans="1:7" ht="12.75" x14ac:dyDescent="0.2">
      <c r="A2270" s="3">
        <v>75</v>
      </c>
      <c r="B2270" s="4" t="s">
        <v>98</v>
      </c>
      <c r="C2270" s="3" t="s">
        <v>347</v>
      </c>
      <c r="D2270" s="3" t="s">
        <v>128</v>
      </c>
      <c r="E2270" s="3">
        <v>978</v>
      </c>
      <c r="G2270" s="57"/>
    </row>
    <row r="2271" spans="1:7" ht="12.75" x14ac:dyDescent="0.2">
      <c r="A2271" s="3">
        <v>75</v>
      </c>
      <c r="B2271" s="4" t="s">
        <v>98</v>
      </c>
      <c r="C2271" s="3" t="s">
        <v>347</v>
      </c>
      <c r="D2271" s="3" t="s">
        <v>353</v>
      </c>
      <c r="E2271" s="3">
        <v>20</v>
      </c>
      <c r="G2271" s="57"/>
    </row>
    <row r="2272" spans="1:7" ht="12.75" x14ac:dyDescent="0.2">
      <c r="A2272" s="3">
        <v>75</v>
      </c>
      <c r="B2272" s="4" t="s">
        <v>98</v>
      </c>
      <c r="C2272" s="3" t="s">
        <v>347</v>
      </c>
      <c r="D2272" s="3" t="s">
        <v>149</v>
      </c>
      <c r="E2272" s="3">
        <v>306</v>
      </c>
      <c r="G2272" s="57"/>
    </row>
    <row r="2273" spans="1:7" ht="12.75" x14ac:dyDescent="0.2">
      <c r="A2273" s="3">
        <v>75</v>
      </c>
      <c r="B2273" s="4" t="s">
        <v>98</v>
      </c>
      <c r="C2273" s="3" t="s">
        <v>347</v>
      </c>
      <c r="D2273" s="3" t="s">
        <v>14</v>
      </c>
      <c r="E2273" s="3">
        <v>125</v>
      </c>
      <c r="G2273" s="57"/>
    </row>
    <row r="2274" spans="1:7" ht="12.75" x14ac:dyDescent="0.2">
      <c r="A2274" s="3">
        <v>75</v>
      </c>
      <c r="B2274" s="4" t="s">
        <v>98</v>
      </c>
      <c r="C2274" s="3" t="s">
        <v>347</v>
      </c>
      <c r="D2274" s="3" t="s">
        <v>138</v>
      </c>
      <c r="E2274" s="3">
        <v>16</v>
      </c>
      <c r="F2274">
        <f>SUM(E2267:E2274)</f>
        <v>2659</v>
      </c>
      <c r="G2274" s="57"/>
    </row>
    <row r="2275" spans="1:7" ht="12.75" x14ac:dyDescent="0.2">
      <c r="A2275" s="3">
        <v>75</v>
      </c>
      <c r="B2275" s="4" t="s">
        <v>98</v>
      </c>
      <c r="C2275" s="3" t="s">
        <v>273</v>
      </c>
      <c r="D2275" s="3" t="s">
        <v>283</v>
      </c>
      <c r="E2275" s="3">
        <v>1209</v>
      </c>
      <c r="G2275" s="57"/>
    </row>
    <row r="2276" spans="1:7" ht="12.75" x14ac:dyDescent="0.2">
      <c r="A2276" s="3">
        <v>75</v>
      </c>
      <c r="B2276" s="4" t="s">
        <v>98</v>
      </c>
      <c r="C2276" s="3" t="s">
        <v>273</v>
      </c>
      <c r="D2276" s="3" t="s">
        <v>315</v>
      </c>
      <c r="E2276" s="3">
        <v>6</v>
      </c>
      <c r="G2276" s="57"/>
    </row>
    <row r="2277" spans="1:7" ht="12.75" x14ac:dyDescent="0.2">
      <c r="A2277" s="3">
        <v>75</v>
      </c>
      <c r="B2277" s="4" t="s">
        <v>98</v>
      </c>
      <c r="C2277" s="3" t="s">
        <v>273</v>
      </c>
      <c r="D2277" s="3" t="s">
        <v>128</v>
      </c>
      <c r="E2277" s="3">
        <v>1008</v>
      </c>
      <c r="G2277" s="57"/>
    </row>
    <row r="2278" spans="1:7" ht="12.75" x14ac:dyDescent="0.2">
      <c r="A2278" s="3">
        <v>75</v>
      </c>
      <c r="B2278" s="4" t="s">
        <v>98</v>
      </c>
      <c r="C2278" s="3" t="s">
        <v>273</v>
      </c>
      <c r="D2278" s="3" t="s">
        <v>149</v>
      </c>
      <c r="E2278" s="3">
        <v>77</v>
      </c>
      <c r="G2278" s="57"/>
    </row>
    <row r="2279" spans="1:7" ht="12.75" x14ac:dyDescent="0.2">
      <c r="A2279" s="3">
        <v>75</v>
      </c>
      <c r="B2279" s="4" t="s">
        <v>98</v>
      </c>
      <c r="C2279" s="3" t="s">
        <v>273</v>
      </c>
      <c r="D2279" s="3" t="s">
        <v>14</v>
      </c>
      <c r="E2279" s="3">
        <v>341</v>
      </c>
      <c r="G2279" s="57"/>
    </row>
    <row r="2280" spans="1:7" ht="12.75" x14ac:dyDescent="0.2">
      <c r="A2280" s="3">
        <v>75</v>
      </c>
      <c r="B2280" s="4" t="s">
        <v>98</v>
      </c>
      <c r="C2280" s="3" t="s">
        <v>273</v>
      </c>
      <c r="D2280" s="3" t="s">
        <v>138</v>
      </c>
      <c r="E2280" s="3">
        <v>18</v>
      </c>
      <c r="F2280">
        <f>SUM(E2275:E2280)</f>
        <v>2659</v>
      </c>
      <c r="G2280" s="57"/>
    </row>
    <row r="2281" spans="1:7" ht="12.75" x14ac:dyDescent="0.2">
      <c r="A2281" s="3">
        <v>75</v>
      </c>
      <c r="B2281" s="4" t="s">
        <v>98</v>
      </c>
      <c r="C2281" s="3" t="s">
        <v>125</v>
      </c>
      <c r="D2281" s="3" t="s">
        <v>283</v>
      </c>
      <c r="E2281" s="3">
        <v>1210</v>
      </c>
      <c r="G2281" s="57"/>
    </row>
    <row r="2282" spans="1:7" ht="12.75" x14ac:dyDescent="0.2">
      <c r="A2282" s="3">
        <v>75</v>
      </c>
      <c r="B2282" s="4" t="s">
        <v>98</v>
      </c>
      <c r="C2282" s="3" t="s">
        <v>125</v>
      </c>
      <c r="D2282" s="3" t="s">
        <v>315</v>
      </c>
      <c r="E2282" s="3">
        <v>7</v>
      </c>
      <c r="G2282" s="57"/>
    </row>
    <row r="2283" spans="1:7" ht="12.75" x14ac:dyDescent="0.2">
      <c r="A2283" s="3">
        <v>75</v>
      </c>
      <c r="B2283" s="4" t="s">
        <v>98</v>
      </c>
      <c r="C2283" s="3" t="s">
        <v>125</v>
      </c>
      <c r="D2283" s="3" t="s">
        <v>128</v>
      </c>
      <c r="E2283" s="3">
        <v>1003</v>
      </c>
      <c r="G2283" s="57"/>
    </row>
    <row r="2284" spans="1:7" ht="12.75" x14ac:dyDescent="0.2">
      <c r="A2284" s="3">
        <v>75</v>
      </c>
      <c r="B2284" s="4" t="s">
        <v>98</v>
      </c>
      <c r="C2284" s="3" t="s">
        <v>125</v>
      </c>
      <c r="D2284" s="3" t="s">
        <v>149</v>
      </c>
      <c r="E2284" s="3">
        <v>78</v>
      </c>
      <c r="G2284" s="57"/>
    </row>
    <row r="2285" spans="1:7" ht="12.75" x14ac:dyDescent="0.2">
      <c r="A2285" s="3">
        <v>75</v>
      </c>
      <c r="B2285" s="4" t="s">
        <v>98</v>
      </c>
      <c r="C2285" s="3" t="s">
        <v>125</v>
      </c>
      <c r="D2285" s="3" t="s">
        <v>14</v>
      </c>
      <c r="E2285" s="3">
        <v>345</v>
      </c>
      <c r="G2285" s="57"/>
    </row>
    <row r="2286" spans="1:7" ht="12.75" x14ac:dyDescent="0.2">
      <c r="A2286" s="3">
        <v>75</v>
      </c>
      <c r="B2286" s="4" t="s">
        <v>98</v>
      </c>
      <c r="C2286" s="3" t="s">
        <v>125</v>
      </c>
      <c r="D2286" s="3" t="s">
        <v>138</v>
      </c>
      <c r="E2286" s="3">
        <v>16</v>
      </c>
      <c r="F2286">
        <f>SUM(E2281:E2286)</f>
        <v>2659</v>
      </c>
      <c r="G2286" s="57"/>
    </row>
    <row r="2287" spans="1:7" ht="12.75" x14ac:dyDescent="0.2">
      <c r="A2287" s="3">
        <v>76</v>
      </c>
      <c r="B2287" s="4" t="s">
        <v>99</v>
      </c>
      <c r="C2287" s="3" t="s">
        <v>347</v>
      </c>
      <c r="D2287" s="3" t="s">
        <v>283</v>
      </c>
      <c r="E2287" s="3">
        <v>88</v>
      </c>
      <c r="G2287" s="59">
        <v>302</v>
      </c>
    </row>
    <row r="2288" spans="1:7" ht="12.75" x14ac:dyDescent="0.2">
      <c r="A2288" s="3">
        <v>76</v>
      </c>
      <c r="B2288" s="4" t="s">
        <v>99</v>
      </c>
      <c r="C2288" s="3" t="s">
        <v>347</v>
      </c>
      <c r="D2288" s="3" t="s">
        <v>315</v>
      </c>
      <c r="E2288" s="3">
        <v>2</v>
      </c>
      <c r="G2288" s="57"/>
    </row>
    <row r="2289" spans="1:7" ht="12.75" x14ac:dyDescent="0.2">
      <c r="A2289" s="3">
        <v>76</v>
      </c>
      <c r="B2289" s="4" t="s">
        <v>99</v>
      </c>
      <c r="C2289" s="3" t="s">
        <v>347</v>
      </c>
      <c r="D2289" s="3" t="s">
        <v>316</v>
      </c>
      <c r="E2289" s="3">
        <v>15</v>
      </c>
      <c r="G2289" s="57"/>
    </row>
    <row r="2290" spans="1:7" ht="12.75" x14ac:dyDescent="0.2">
      <c r="A2290" s="3">
        <v>76</v>
      </c>
      <c r="B2290" s="4" t="s">
        <v>99</v>
      </c>
      <c r="C2290" s="3" t="s">
        <v>347</v>
      </c>
      <c r="D2290" s="3" t="s">
        <v>128</v>
      </c>
      <c r="E2290" s="3">
        <v>74</v>
      </c>
      <c r="G2290" s="57"/>
    </row>
    <row r="2291" spans="1:7" ht="12.75" x14ac:dyDescent="0.2">
      <c r="A2291" s="3">
        <v>76</v>
      </c>
      <c r="B2291" s="4" t="s">
        <v>99</v>
      </c>
      <c r="C2291" s="3" t="s">
        <v>347</v>
      </c>
      <c r="D2291" s="3" t="s">
        <v>353</v>
      </c>
      <c r="E2291" s="3">
        <v>4</v>
      </c>
      <c r="G2291" s="57"/>
    </row>
    <row r="2292" spans="1:7" ht="12.75" x14ac:dyDescent="0.2">
      <c r="A2292" s="3">
        <v>76</v>
      </c>
      <c r="B2292" s="4" t="s">
        <v>99</v>
      </c>
      <c r="C2292" s="3" t="s">
        <v>347</v>
      </c>
      <c r="D2292" s="3" t="s">
        <v>149</v>
      </c>
      <c r="E2292" s="3">
        <v>53</v>
      </c>
      <c r="G2292" s="57"/>
    </row>
    <row r="2293" spans="1:7" ht="12.75" x14ac:dyDescent="0.2">
      <c r="A2293" s="3">
        <v>76</v>
      </c>
      <c r="B2293" s="4" t="s">
        <v>99</v>
      </c>
      <c r="C2293" s="3" t="s">
        <v>347</v>
      </c>
      <c r="D2293" s="3" t="s">
        <v>14</v>
      </c>
      <c r="E2293" s="3">
        <v>25</v>
      </c>
      <c r="G2293" s="57"/>
    </row>
    <row r="2294" spans="1:7" ht="12.75" x14ac:dyDescent="0.2">
      <c r="A2294" s="3">
        <v>76</v>
      </c>
      <c r="B2294" s="4" t="s">
        <v>99</v>
      </c>
      <c r="C2294" s="3" t="s">
        <v>347</v>
      </c>
      <c r="D2294" s="3" t="s">
        <v>138</v>
      </c>
      <c r="E2294" s="3">
        <v>0</v>
      </c>
      <c r="F2294">
        <f>SUM(E2287:E2294)</f>
        <v>261</v>
      </c>
      <c r="G2294" s="57"/>
    </row>
    <row r="2295" spans="1:7" ht="12.75" x14ac:dyDescent="0.2">
      <c r="A2295" s="3">
        <v>76</v>
      </c>
      <c r="B2295" s="4" t="s">
        <v>99</v>
      </c>
      <c r="C2295" s="3" t="s">
        <v>273</v>
      </c>
      <c r="D2295" s="3" t="s">
        <v>283</v>
      </c>
      <c r="E2295" s="3">
        <v>98</v>
      </c>
      <c r="G2295" s="57"/>
    </row>
    <row r="2296" spans="1:7" ht="12.75" x14ac:dyDescent="0.2">
      <c r="A2296" s="3">
        <v>76</v>
      </c>
      <c r="B2296" s="4" t="s">
        <v>99</v>
      </c>
      <c r="C2296" s="3" t="s">
        <v>273</v>
      </c>
      <c r="D2296" s="3" t="s">
        <v>315</v>
      </c>
      <c r="E2296" s="3">
        <v>2</v>
      </c>
      <c r="G2296" s="57"/>
    </row>
    <row r="2297" spans="1:7" ht="12.75" x14ac:dyDescent="0.2">
      <c r="A2297" s="3">
        <v>76</v>
      </c>
      <c r="B2297" s="4" t="s">
        <v>99</v>
      </c>
      <c r="C2297" s="3" t="s">
        <v>273</v>
      </c>
      <c r="D2297" s="3" t="s">
        <v>128</v>
      </c>
      <c r="E2297" s="3">
        <v>55</v>
      </c>
      <c r="G2297" s="57"/>
    </row>
    <row r="2298" spans="1:7" ht="12.75" x14ac:dyDescent="0.2">
      <c r="A2298" s="3">
        <v>76</v>
      </c>
      <c r="B2298" s="4" t="s">
        <v>99</v>
      </c>
      <c r="C2298" s="3" t="s">
        <v>273</v>
      </c>
      <c r="D2298" s="3" t="s">
        <v>149</v>
      </c>
      <c r="E2298" s="3">
        <v>23</v>
      </c>
      <c r="G2298" s="57"/>
    </row>
    <row r="2299" spans="1:7" ht="12.75" x14ac:dyDescent="0.2">
      <c r="A2299" s="3">
        <v>76</v>
      </c>
      <c r="B2299" s="4" t="s">
        <v>99</v>
      </c>
      <c r="C2299" s="3" t="s">
        <v>273</v>
      </c>
      <c r="D2299" s="3" t="s">
        <v>14</v>
      </c>
      <c r="E2299" s="3">
        <v>83</v>
      </c>
      <c r="G2299" s="57"/>
    </row>
    <row r="2300" spans="1:7" ht="12.75" x14ac:dyDescent="0.2">
      <c r="A2300" s="3">
        <v>76</v>
      </c>
      <c r="B2300" s="4" t="s">
        <v>99</v>
      </c>
      <c r="C2300" s="3" t="s">
        <v>273</v>
      </c>
      <c r="D2300" s="3" t="s">
        <v>138</v>
      </c>
      <c r="E2300" s="3">
        <v>0</v>
      </c>
      <c r="F2300">
        <f>SUM(E2295:E2300)</f>
        <v>261</v>
      </c>
      <c r="G2300" s="57"/>
    </row>
    <row r="2301" spans="1:7" ht="12.75" x14ac:dyDescent="0.2">
      <c r="A2301" s="3">
        <v>76</v>
      </c>
      <c r="B2301" s="4" t="s">
        <v>99</v>
      </c>
      <c r="C2301" s="3" t="s">
        <v>125</v>
      </c>
      <c r="D2301" s="3" t="s">
        <v>283</v>
      </c>
      <c r="E2301" s="3">
        <v>97</v>
      </c>
      <c r="G2301" s="57"/>
    </row>
    <row r="2302" spans="1:7" ht="12.75" x14ac:dyDescent="0.2">
      <c r="A2302" s="3">
        <v>76</v>
      </c>
      <c r="B2302" s="4" t="s">
        <v>99</v>
      </c>
      <c r="C2302" s="3" t="s">
        <v>125</v>
      </c>
      <c r="D2302" s="3" t="s">
        <v>315</v>
      </c>
      <c r="E2302" s="3">
        <v>2</v>
      </c>
      <c r="G2302" s="57"/>
    </row>
    <row r="2303" spans="1:7" ht="12.75" x14ac:dyDescent="0.2">
      <c r="A2303" s="3">
        <v>76</v>
      </c>
      <c r="B2303" s="4" t="s">
        <v>99</v>
      </c>
      <c r="C2303" s="3" t="s">
        <v>125</v>
      </c>
      <c r="D2303" s="3" t="s">
        <v>128</v>
      </c>
      <c r="E2303" s="3">
        <v>55</v>
      </c>
      <c r="G2303" s="57"/>
    </row>
    <row r="2304" spans="1:7" ht="12.75" x14ac:dyDescent="0.2">
      <c r="A2304" s="3">
        <v>76</v>
      </c>
      <c r="B2304" s="4" t="s">
        <v>99</v>
      </c>
      <c r="C2304" s="3" t="s">
        <v>125</v>
      </c>
      <c r="D2304" s="3" t="s">
        <v>149</v>
      </c>
      <c r="E2304" s="3">
        <v>23</v>
      </c>
      <c r="G2304" s="57"/>
    </row>
    <row r="2305" spans="1:7" ht="12.75" x14ac:dyDescent="0.2">
      <c r="A2305" s="3">
        <v>76</v>
      </c>
      <c r="B2305" s="4" t="s">
        <v>99</v>
      </c>
      <c r="C2305" s="3" t="s">
        <v>125</v>
      </c>
      <c r="D2305" s="3" t="s">
        <v>14</v>
      </c>
      <c r="E2305" s="3">
        <v>84</v>
      </c>
      <c r="G2305" s="57"/>
    </row>
    <row r="2306" spans="1:7" ht="12.75" x14ac:dyDescent="0.2">
      <c r="A2306" s="3">
        <v>76</v>
      </c>
      <c r="B2306" s="4" t="s">
        <v>99</v>
      </c>
      <c r="C2306" s="3" t="s">
        <v>125</v>
      </c>
      <c r="D2306" s="3" t="s">
        <v>138</v>
      </c>
      <c r="E2306" s="3">
        <v>0</v>
      </c>
      <c r="F2306">
        <f>SUM(E2301:E2306)</f>
        <v>261</v>
      </c>
      <c r="G2306" s="57"/>
    </row>
    <row r="2307" spans="1:7" ht="12.75" x14ac:dyDescent="0.2">
      <c r="A2307" s="3">
        <v>77</v>
      </c>
      <c r="B2307" s="4" t="s">
        <v>100</v>
      </c>
      <c r="C2307" s="3" t="s">
        <v>347</v>
      </c>
      <c r="D2307" s="3" t="s">
        <v>283</v>
      </c>
      <c r="E2307" s="3">
        <v>322</v>
      </c>
      <c r="G2307" s="59">
        <v>1302</v>
      </c>
    </row>
    <row r="2308" spans="1:7" ht="12.75" x14ac:dyDescent="0.2">
      <c r="A2308" s="3">
        <v>77</v>
      </c>
      <c r="B2308" s="4" t="s">
        <v>100</v>
      </c>
      <c r="C2308" s="3" t="s">
        <v>347</v>
      </c>
      <c r="D2308" s="3" t="s">
        <v>315</v>
      </c>
      <c r="E2308" s="3">
        <v>37</v>
      </c>
      <c r="G2308" s="57"/>
    </row>
    <row r="2309" spans="1:7" ht="12.75" x14ac:dyDescent="0.2">
      <c r="A2309" s="3">
        <v>77</v>
      </c>
      <c r="B2309" s="4" t="s">
        <v>100</v>
      </c>
      <c r="C2309" s="3" t="s">
        <v>347</v>
      </c>
      <c r="D2309" s="3" t="s">
        <v>316</v>
      </c>
      <c r="E2309" s="3">
        <v>28</v>
      </c>
      <c r="G2309" s="57"/>
    </row>
    <row r="2310" spans="1:7" ht="12.75" x14ac:dyDescent="0.2">
      <c r="A2310" s="3">
        <v>77</v>
      </c>
      <c r="B2310" s="4" t="s">
        <v>100</v>
      </c>
      <c r="C2310" s="3" t="s">
        <v>347</v>
      </c>
      <c r="D2310" s="3" t="s">
        <v>128</v>
      </c>
      <c r="E2310" s="3">
        <v>479</v>
      </c>
      <c r="G2310" s="57"/>
    </row>
    <row r="2311" spans="1:7" ht="12.75" x14ac:dyDescent="0.2">
      <c r="A2311" s="3">
        <v>77</v>
      </c>
      <c r="B2311" s="4" t="s">
        <v>100</v>
      </c>
      <c r="C2311" s="3" t="s">
        <v>347</v>
      </c>
      <c r="D2311" s="3" t="s">
        <v>353</v>
      </c>
      <c r="E2311" s="3">
        <v>16</v>
      </c>
      <c r="G2311" s="57"/>
    </row>
    <row r="2312" spans="1:7" ht="12.75" x14ac:dyDescent="0.2">
      <c r="A2312" s="3">
        <v>77</v>
      </c>
      <c r="B2312" s="4" t="s">
        <v>100</v>
      </c>
      <c r="C2312" s="3" t="s">
        <v>347</v>
      </c>
      <c r="D2312" s="3" t="s">
        <v>149</v>
      </c>
      <c r="E2312" s="3">
        <v>199</v>
      </c>
      <c r="G2312" s="57"/>
    </row>
    <row r="2313" spans="1:7" ht="12.75" x14ac:dyDescent="0.2">
      <c r="A2313" s="3">
        <v>77</v>
      </c>
      <c r="B2313" s="4" t="s">
        <v>100</v>
      </c>
      <c r="C2313" s="3" t="s">
        <v>347</v>
      </c>
      <c r="D2313" s="3" t="s">
        <v>14</v>
      </c>
      <c r="E2313" s="3">
        <v>57</v>
      </c>
      <c r="G2313" s="57"/>
    </row>
    <row r="2314" spans="1:7" ht="12.75" x14ac:dyDescent="0.2">
      <c r="A2314" s="3">
        <v>77</v>
      </c>
      <c r="B2314" s="4" t="s">
        <v>100</v>
      </c>
      <c r="C2314" s="3" t="s">
        <v>347</v>
      </c>
      <c r="D2314" s="3" t="s">
        <v>138</v>
      </c>
      <c r="E2314" s="3">
        <v>1</v>
      </c>
      <c r="F2314">
        <f>SUM(E2307:E2314)</f>
        <v>1139</v>
      </c>
      <c r="G2314" s="57"/>
    </row>
    <row r="2315" spans="1:7" ht="12.75" x14ac:dyDescent="0.2">
      <c r="A2315" s="3">
        <v>77</v>
      </c>
      <c r="B2315" s="4" t="s">
        <v>100</v>
      </c>
      <c r="C2315" s="3" t="s">
        <v>273</v>
      </c>
      <c r="D2315" s="3" t="s">
        <v>283</v>
      </c>
      <c r="E2315" s="3">
        <v>350</v>
      </c>
      <c r="G2315" s="57"/>
    </row>
    <row r="2316" spans="1:7" ht="12.75" x14ac:dyDescent="0.2">
      <c r="A2316" s="3">
        <v>77</v>
      </c>
      <c r="B2316" s="4" t="s">
        <v>100</v>
      </c>
      <c r="C2316" s="3" t="s">
        <v>273</v>
      </c>
      <c r="D2316" s="3" t="s">
        <v>315</v>
      </c>
      <c r="E2316" s="3">
        <v>48</v>
      </c>
      <c r="G2316" s="57"/>
    </row>
    <row r="2317" spans="1:7" ht="12.75" x14ac:dyDescent="0.2">
      <c r="A2317" s="3">
        <v>77</v>
      </c>
      <c r="B2317" s="4" t="s">
        <v>100</v>
      </c>
      <c r="C2317" s="3" t="s">
        <v>273</v>
      </c>
      <c r="D2317" s="3" t="s">
        <v>128</v>
      </c>
      <c r="E2317" s="3">
        <v>497</v>
      </c>
      <c r="G2317" s="57"/>
    </row>
    <row r="2318" spans="1:7" ht="12.75" x14ac:dyDescent="0.2">
      <c r="A2318" s="3">
        <v>77</v>
      </c>
      <c r="B2318" s="4" t="s">
        <v>100</v>
      </c>
      <c r="C2318" s="3" t="s">
        <v>273</v>
      </c>
      <c r="D2318" s="3" t="s">
        <v>149</v>
      </c>
      <c r="E2318" s="3">
        <v>65</v>
      </c>
      <c r="G2318" s="57"/>
    </row>
    <row r="2319" spans="1:7" ht="12.75" x14ac:dyDescent="0.2">
      <c r="A2319" s="3">
        <v>77</v>
      </c>
      <c r="B2319" s="4" t="s">
        <v>100</v>
      </c>
      <c r="C2319" s="3" t="s">
        <v>273</v>
      </c>
      <c r="D2319" s="3" t="s">
        <v>14</v>
      </c>
      <c r="E2319" s="3">
        <v>178</v>
      </c>
      <c r="G2319" s="57"/>
    </row>
    <row r="2320" spans="1:7" ht="12.75" x14ac:dyDescent="0.2">
      <c r="A2320" s="3">
        <v>77</v>
      </c>
      <c r="B2320" s="4" t="s">
        <v>100</v>
      </c>
      <c r="C2320" s="3" t="s">
        <v>273</v>
      </c>
      <c r="D2320" s="3" t="s">
        <v>138</v>
      </c>
      <c r="E2320" s="3">
        <v>1</v>
      </c>
      <c r="F2320">
        <f>SUM(E2315:E2320)</f>
        <v>1139</v>
      </c>
      <c r="G2320" s="57"/>
    </row>
    <row r="2321" spans="1:7" ht="12.75" x14ac:dyDescent="0.2">
      <c r="A2321" s="3">
        <v>77</v>
      </c>
      <c r="B2321" s="4" t="s">
        <v>100</v>
      </c>
      <c r="C2321" s="3" t="s">
        <v>125</v>
      </c>
      <c r="D2321" s="3" t="s">
        <v>283</v>
      </c>
      <c r="E2321" s="3">
        <v>351</v>
      </c>
      <c r="G2321" s="57"/>
    </row>
    <row r="2322" spans="1:7" ht="12.75" x14ac:dyDescent="0.2">
      <c r="A2322" s="3">
        <v>77</v>
      </c>
      <c r="B2322" s="4" t="s">
        <v>100</v>
      </c>
      <c r="C2322" s="3" t="s">
        <v>125</v>
      </c>
      <c r="D2322" s="3" t="s">
        <v>315</v>
      </c>
      <c r="E2322" s="3">
        <v>23</v>
      </c>
      <c r="G2322" s="57"/>
    </row>
    <row r="2323" spans="1:7" ht="12.75" x14ac:dyDescent="0.2">
      <c r="A2323" s="3">
        <v>77</v>
      </c>
      <c r="B2323" s="4" t="s">
        <v>100</v>
      </c>
      <c r="C2323" s="3" t="s">
        <v>125</v>
      </c>
      <c r="D2323" s="3" t="s">
        <v>128</v>
      </c>
      <c r="E2323" s="3">
        <v>504</v>
      </c>
      <c r="G2323" s="57"/>
    </row>
    <row r="2324" spans="1:7" ht="12.75" x14ac:dyDescent="0.2">
      <c r="A2324" s="3">
        <v>77</v>
      </c>
      <c r="B2324" s="4" t="s">
        <v>100</v>
      </c>
      <c r="C2324" s="3" t="s">
        <v>125</v>
      </c>
      <c r="D2324" s="3" t="s">
        <v>149</v>
      </c>
      <c r="E2324" s="3">
        <v>64</v>
      </c>
      <c r="G2324" s="57"/>
    </row>
    <row r="2325" spans="1:7" ht="12.75" x14ac:dyDescent="0.2">
      <c r="A2325" s="3">
        <v>77</v>
      </c>
      <c r="B2325" s="4" t="s">
        <v>100</v>
      </c>
      <c r="C2325" s="3" t="s">
        <v>125</v>
      </c>
      <c r="D2325" s="3" t="s">
        <v>14</v>
      </c>
      <c r="E2325" s="3">
        <v>196</v>
      </c>
      <c r="G2325" s="57"/>
    </row>
    <row r="2326" spans="1:7" ht="12.75" x14ac:dyDescent="0.2">
      <c r="A2326" s="3">
        <v>77</v>
      </c>
      <c r="B2326" s="4" t="s">
        <v>100</v>
      </c>
      <c r="C2326" s="3" t="s">
        <v>125</v>
      </c>
      <c r="D2326" s="3" t="s">
        <v>138</v>
      </c>
      <c r="E2326" s="3">
        <v>1</v>
      </c>
      <c r="F2326">
        <f>SUM(E2321:E2326)</f>
        <v>1139</v>
      </c>
      <c r="G2326" s="57"/>
    </row>
    <row r="2327" spans="1:7" ht="12.75" x14ac:dyDescent="0.2">
      <c r="A2327" s="3">
        <v>78</v>
      </c>
      <c r="B2327" s="4" t="s">
        <v>101</v>
      </c>
      <c r="C2327" s="3" t="s">
        <v>347</v>
      </c>
      <c r="D2327" s="3" t="s">
        <v>283</v>
      </c>
      <c r="E2327" s="3">
        <v>82</v>
      </c>
      <c r="G2327" s="59">
        <v>275</v>
      </c>
    </row>
    <row r="2328" spans="1:7" ht="12.75" x14ac:dyDescent="0.2">
      <c r="A2328" s="3">
        <v>78</v>
      </c>
      <c r="B2328" s="4" t="s">
        <v>101</v>
      </c>
      <c r="C2328" s="3" t="s">
        <v>347</v>
      </c>
      <c r="D2328" s="3" t="s">
        <v>315</v>
      </c>
      <c r="E2328" s="3">
        <v>10</v>
      </c>
      <c r="G2328" s="57"/>
    </row>
    <row r="2329" spans="1:7" ht="12.75" x14ac:dyDescent="0.2">
      <c r="A2329" s="3">
        <v>78</v>
      </c>
      <c r="B2329" s="4" t="s">
        <v>101</v>
      </c>
      <c r="C2329" s="3" t="s">
        <v>347</v>
      </c>
      <c r="D2329" s="3" t="s">
        <v>316</v>
      </c>
      <c r="E2329" s="3">
        <v>9</v>
      </c>
      <c r="G2329" s="57"/>
    </row>
    <row r="2330" spans="1:7" ht="12.75" x14ac:dyDescent="0.2">
      <c r="A2330" s="3">
        <v>78</v>
      </c>
      <c r="B2330" s="4" t="s">
        <v>101</v>
      </c>
      <c r="C2330" s="3" t="s">
        <v>347</v>
      </c>
      <c r="D2330" s="3" t="s">
        <v>128</v>
      </c>
      <c r="E2330" s="3">
        <v>88</v>
      </c>
      <c r="G2330" s="57"/>
    </row>
    <row r="2331" spans="1:7" ht="12.75" x14ac:dyDescent="0.2">
      <c r="A2331" s="3">
        <v>78</v>
      </c>
      <c r="B2331" s="4" t="s">
        <v>101</v>
      </c>
      <c r="C2331" s="3" t="s">
        <v>347</v>
      </c>
      <c r="D2331" s="3" t="s">
        <v>353</v>
      </c>
      <c r="E2331" s="3">
        <v>1</v>
      </c>
      <c r="G2331" s="57"/>
    </row>
    <row r="2332" spans="1:7" ht="12.75" x14ac:dyDescent="0.2">
      <c r="A2332" s="3">
        <v>78</v>
      </c>
      <c r="B2332" s="4" t="s">
        <v>101</v>
      </c>
      <c r="C2332" s="3" t="s">
        <v>347</v>
      </c>
      <c r="D2332" s="3" t="s">
        <v>149</v>
      </c>
      <c r="E2332" s="3">
        <v>42</v>
      </c>
      <c r="G2332" s="57"/>
    </row>
    <row r="2333" spans="1:7" ht="12.75" x14ac:dyDescent="0.2">
      <c r="A2333" s="3">
        <v>78</v>
      </c>
      <c r="B2333" s="4" t="s">
        <v>101</v>
      </c>
      <c r="C2333" s="3" t="s">
        <v>347</v>
      </c>
      <c r="D2333" s="3" t="s">
        <v>14</v>
      </c>
      <c r="E2333" s="3">
        <v>9</v>
      </c>
      <c r="G2333" s="57"/>
    </row>
    <row r="2334" spans="1:7" ht="12.75" x14ac:dyDescent="0.2">
      <c r="A2334" s="3">
        <v>78</v>
      </c>
      <c r="B2334" s="4" t="s">
        <v>101</v>
      </c>
      <c r="C2334" s="3" t="s">
        <v>347</v>
      </c>
      <c r="D2334" s="3" t="s">
        <v>138</v>
      </c>
      <c r="E2334" s="3">
        <v>1</v>
      </c>
      <c r="F2334">
        <f>SUM(E2327:E2334)</f>
        <v>242</v>
      </c>
      <c r="G2334" s="57"/>
    </row>
    <row r="2335" spans="1:7" ht="12.75" x14ac:dyDescent="0.2">
      <c r="A2335" s="3">
        <v>78</v>
      </c>
      <c r="B2335" s="4" t="s">
        <v>101</v>
      </c>
      <c r="C2335" s="3" t="s">
        <v>273</v>
      </c>
      <c r="D2335" s="3" t="s">
        <v>283</v>
      </c>
      <c r="E2335" s="3">
        <v>70</v>
      </c>
      <c r="G2335" s="57"/>
    </row>
    <row r="2336" spans="1:7" ht="12.75" x14ac:dyDescent="0.2">
      <c r="A2336" s="3">
        <v>78</v>
      </c>
      <c r="B2336" s="4" t="s">
        <v>101</v>
      </c>
      <c r="C2336" s="3" t="s">
        <v>273</v>
      </c>
      <c r="D2336" s="3" t="s">
        <v>315</v>
      </c>
      <c r="E2336" s="3">
        <v>1</v>
      </c>
      <c r="G2336" s="57"/>
    </row>
    <row r="2337" spans="1:7" ht="12.75" x14ac:dyDescent="0.2">
      <c r="A2337" s="3">
        <v>78</v>
      </c>
      <c r="B2337" s="4" t="s">
        <v>101</v>
      </c>
      <c r="C2337" s="3" t="s">
        <v>273</v>
      </c>
      <c r="D2337" s="3" t="s">
        <v>128</v>
      </c>
      <c r="E2337" s="3">
        <v>123</v>
      </c>
      <c r="G2337" s="57"/>
    </row>
    <row r="2338" spans="1:7" ht="12.75" x14ac:dyDescent="0.2">
      <c r="A2338" s="3">
        <v>78</v>
      </c>
      <c r="B2338" s="4" t="s">
        <v>101</v>
      </c>
      <c r="C2338" s="3" t="s">
        <v>273</v>
      </c>
      <c r="D2338" s="3" t="s">
        <v>149</v>
      </c>
      <c r="E2338" s="3">
        <v>5</v>
      </c>
      <c r="G2338" s="57"/>
    </row>
    <row r="2339" spans="1:7" ht="12.75" x14ac:dyDescent="0.2">
      <c r="A2339" s="3">
        <v>78</v>
      </c>
      <c r="B2339" s="4" t="s">
        <v>101</v>
      </c>
      <c r="C2339" s="3" t="s">
        <v>273</v>
      </c>
      <c r="D2339" s="3" t="s">
        <v>14</v>
      </c>
      <c r="E2339" s="3">
        <v>42</v>
      </c>
      <c r="G2339" s="57"/>
    </row>
    <row r="2340" spans="1:7" ht="12.75" x14ac:dyDescent="0.2">
      <c r="A2340" s="3">
        <v>78</v>
      </c>
      <c r="B2340" s="4" t="s">
        <v>101</v>
      </c>
      <c r="C2340" s="3" t="s">
        <v>273</v>
      </c>
      <c r="D2340" s="3" t="s">
        <v>138</v>
      </c>
      <c r="E2340" s="3">
        <v>1</v>
      </c>
      <c r="F2340">
        <f>SUM(E2335:E2340)</f>
        <v>242</v>
      </c>
      <c r="G2340" s="57"/>
    </row>
    <row r="2341" spans="1:7" ht="12.75" x14ac:dyDescent="0.2">
      <c r="A2341" s="3">
        <v>78</v>
      </c>
      <c r="B2341" s="4" t="s">
        <v>101</v>
      </c>
      <c r="C2341" s="3" t="s">
        <v>125</v>
      </c>
      <c r="D2341" s="3" t="s">
        <v>283</v>
      </c>
      <c r="E2341" s="3">
        <v>70</v>
      </c>
      <c r="G2341" s="57"/>
    </row>
    <row r="2342" spans="1:7" ht="12.75" x14ac:dyDescent="0.2">
      <c r="A2342" s="3">
        <v>78</v>
      </c>
      <c r="B2342" s="4" t="s">
        <v>101</v>
      </c>
      <c r="C2342" s="3" t="s">
        <v>125</v>
      </c>
      <c r="D2342" s="3" t="s">
        <v>315</v>
      </c>
      <c r="E2342" s="3">
        <v>1</v>
      </c>
      <c r="G2342" s="57"/>
    </row>
    <row r="2343" spans="1:7" ht="12.75" x14ac:dyDescent="0.2">
      <c r="A2343" s="3">
        <v>78</v>
      </c>
      <c r="B2343" s="4" t="s">
        <v>101</v>
      </c>
      <c r="C2343" s="3" t="s">
        <v>125</v>
      </c>
      <c r="D2343" s="3" t="s">
        <v>128</v>
      </c>
      <c r="E2343" s="3">
        <v>123</v>
      </c>
      <c r="G2343" s="57"/>
    </row>
    <row r="2344" spans="1:7" ht="12.75" x14ac:dyDescent="0.2">
      <c r="A2344" s="3">
        <v>78</v>
      </c>
      <c r="B2344" s="4" t="s">
        <v>101</v>
      </c>
      <c r="C2344" s="3" t="s">
        <v>125</v>
      </c>
      <c r="D2344" s="3" t="s">
        <v>149</v>
      </c>
      <c r="E2344" s="3">
        <v>5</v>
      </c>
      <c r="G2344" s="57"/>
    </row>
    <row r="2345" spans="1:7" ht="12.75" x14ac:dyDescent="0.2">
      <c r="A2345" s="3">
        <v>78</v>
      </c>
      <c r="B2345" s="4" t="s">
        <v>101</v>
      </c>
      <c r="C2345" s="3" t="s">
        <v>125</v>
      </c>
      <c r="D2345" s="3" t="s">
        <v>14</v>
      </c>
      <c r="E2345" s="3">
        <v>42</v>
      </c>
      <c r="G2345" s="57"/>
    </row>
    <row r="2346" spans="1:7" ht="12.75" x14ac:dyDescent="0.2">
      <c r="A2346" s="3">
        <v>78</v>
      </c>
      <c r="B2346" s="4" t="s">
        <v>101</v>
      </c>
      <c r="C2346" s="3" t="s">
        <v>125</v>
      </c>
      <c r="D2346" s="3" t="s">
        <v>138</v>
      </c>
      <c r="E2346" s="3">
        <v>1</v>
      </c>
      <c r="F2346">
        <f>SUM(E2341:E2346)</f>
        <v>242</v>
      </c>
      <c r="G2346" s="57"/>
    </row>
    <row r="2347" spans="1:7" ht="12.75" x14ac:dyDescent="0.2">
      <c r="A2347" s="3">
        <v>79</v>
      </c>
      <c r="B2347" s="4" t="s">
        <v>102</v>
      </c>
      <c r="C2347" s="3" t="s">
        <v>347</v>
      </c>
      <c r="D2347" s="3" t="s">
        <v>283</v>
      </c>
      <c r="E2347" s="3">
        <v>295</v>
      </c>
      <c r="G2347" s="59">
        <v>1182</v>
      </c>
    </row>
    <row r="2348" spans="1:7" ht="12.75" x14ac:dyDescent="0.2">
      <c r="A2348" s="3">
        <v>79</v>
      </c>
      <c r="B2348" s="4" t="s">
        <v>102</v>
      </c>
      <c r="C2348" s="3" t="s">
        <v>347</v>
      </c>
      <c r="D2348" s="3" t="s">
        <v>315</v>
      </c>
      <c r="E2348" s="3">
        <v>21</v>
      </c>
      <c r="G2348" s="57"/>
    </row>
    <row r="2349" spans="1:7" ht="12.75" x14ac:dyDescent="0.2">
      <c r="A2349" s="3">
        <v>79</v>
      </c>
      <c r="B2349" s="4" t="s">
        <v>102</v>
      </c>
      <c r="C2349" s="3" t="s">
        <v>347</v>
      </c>
      <c r="D2349" s="3" t="s">
        <v>316</v>
      </c>
      <c r="E2349" s="3">
        <v>22</v>
      </c>
      <c r="G2349" s="57"/>
    </row>
    <row r="2350" spans="1:7" ht="12.75" x14ac:dyDescent="0.2">
      <c r="A2350" s="3">
        <v>79</v>
      </c>
      <c r="B2350" s="4" t="s">
        <v>102</v>
      </c>
      <c r="C2350" s="3" t="s">
        <v>347</v>
      </c>
      <c r="D2350" s="3" t="s">
        <v>128</v>
      </c>
      <c r="E2350" s="3">
        <v>481</v>
      </c>
      <c r="G2350" s="57"/>
    </row>
    <row r="2351" spans="1:7" ht="12.75" x14ac:dyDescent="0.2">
      <c r="A2351" s="3">
        <v>79</v>
      </c>
      <c r="B2351" s="4" t="s">
        <v>102</v>
      </c>
      <c r="C2351" s="3" t="s">
        <v>347</v>
      </c>
      <c r="D2351" s="3" t="s">
        <v>353</v>
      </c>
      <c r="E2351" s="3">
        <v>8</v>
      </c>
      <c r="G2351" s="57"/>
    </row>
    <row r="2352" spans="1:7" ht="12.75" x14ac:dyDescent="0.2">
      <c r="A2352" s="3">
        <v>79</v>
      </c>
      <c r="B2352" s="4" t="s">
        <v>102</v>
      </c>
      <c r="C2352" s="3" t="s">
        <v>347</v>
      </c>
      <c r="D2352" s="3" t="s">
        <v>149</v>
      </c>
      <c r="E2352" s="3">
        <v>175</v>
      </c>
      <c r="G2352" s="57"/>
    </row>
    <row r="2353" spans="1:7" ht="12.75" x14ac:dyDescent="0.2">
      <c r="A2353" s="3">
        <v>79</v>
      </c>
      <c r="B2353" s="4" t="s">
        <v>102</v>
      </c>
      <c r="C2353" s="3" t="s">
        <v>347</v>
      </c>
      <c r="D2353" s="3" t="s">
        <v>14</v>
      </c>
      <c r="E2353" s="3">
        <v>38</v>
      </c>
      <c r="G2353" s="57"/>
    </row>
    <row r="2354" spans="1:7" ht="12.75" x14ac:dyDescent="0.2">
      <c r="A2354" s="3">
        <v>79</v>
      </c>
      <c r="B2354" s="4" t="s">
        <v>102</v>
      </c>
      <c r="C2354" s="3" t="s">
        <v>347</v>
      </c>
      <c r="D2354" s="3" t="s">
        <v>138</v>
      </c>
      <c r="E2354" s="3">
        <v>4</v>
      </c>
      <c r="F2354">
        <f>SUM(E2347:E2354)</f>
        <v>1044</v>
      </c>
      <c r="G2354" s="57"/>
    </row>
    <row r="2355" spans="1:7" ht="12.75" x14ac:dyDescent="0.2">
      <c r="A2355" s="3">
        <v>79</v>
      </c>
      <c r="B2355" s="4" t="s">
        <v>102</v>
      </c>
      <c r="C2355" s="3" t="s">
        <v>273</v>
      </c>
      <c r="D2355" s="3" t="s">
        <v>283</v>
      </c>
      <c r="E2355" s="3">
        <v>340</v>
      </c>
      <c r="G2355" s="57"/>
    </row>
    <row r="2356" spans="1:7" ht="12.75" x14ac:dyDescent="0.2">
      <c r="A2356" s="3">
        <v>79</v>
      </c>
      <c r="B2356" s="4" t="s">
        <v>102</v>
      </c>
      <c r="C2356" s="3" t="s">
        <v>273</v>
      </c>
      <c r="D2356" s="3" t="s">
        <v>315</v>
      </c>
      <c r="E2356" s="3">
        <v>13</v>
      </c>
      <c r="G2356" s="57"/>
    </row>
    <row r="2357" spans="1:7" ht="12.75" x14ac:dyDescent="0.2">
      <c r="A2357" s="3">
        <v>79</v>
      </c>
      <c r="B2357" s="4" t="s">
        <v>102</v>
      </c>
      <c r="C2357" s="3" t="s">
        <v>273</v>
      </c>
      <c r="D2357" s="3" t="s">
        <v>128</v>
      </c>
      <c r="E2357" s="3">
        <v>489</v>
      </c>
      <c r="G2357" s="57"/>
    </row>
    <row r="2358" spans="1:7" ht="12.75" x14ac:dyDescent="0.2">
      <c r="A2358" s="3">
        <v>79</v>
      </c>
      <c r="B2358" s="4" t="s">
        <v>102</v>
      </c>
      <c r="C2358" s="3" t="s">
        <v>273</v>
      </c>
      <c r="D2358" s="3" t="s">
        <v>149</v>
      </c>
      <c r="E2358" s="3">
        <v>52</v>
      </c>
      <c r="G2358" s="57"/>
    </row>
    <row r="2359" spans="1:7" ht="12.75" x14ac:dyDescent="0.2">
      <c r="A2359" s="3">
        <v>79</v>
      </c>
      <c r="B2359" s="4" t="s">
        <v>102</v>
      </c>
      <c r="C2359" s="3" t="s">
        <v>273</v>
      </c>
      <c r="D2359" s="3" t="s">
        <v>14</v>
      </c>
      <c r="E2359" s="3">
        <v>145</v>
      </c>
      <c r="G2359" s="57"/>
    </row>
    <row r="2360" spans="1:7" ht="12.75" x14ac:dyDescent="0.2">
      <c r="A2360" s="3">
        <v>79</v>
      </c>
      <c r="B2360" s="4" t="s">
        <v>102</v>
      </c>
      <c r="C2360" s="3" t="s">
        <v>273</v>
      </c>
      <c r="D2360" s="3" t="s">
        <v>138</v>
      </c>
      <c r="E2360" s="3">
        <v>5</v>
      </c>
      <c r="F2360">
        <f>SUM(E2355:E2360)</f>
        <v>1044</v>
      </c>
      <c r="G2360" s="57"/>
    </row>
    <row r="2361" spans="1:7" ht="12.75" x14ac:dyDescent="0.2">
      <c r="A2361" s="3">
        <v>79</v>
      </c>
      <c r="B2361" s="4" t="s">
        <v>102</v>
      </c>
      <c r="C2361" s="3" t="s">
        <v>125</v>
      </c>
      <c r="D2361" s="3" t="s">
        <v>283</v>
      </c>
      <c r="E2361" s="3">
        <v>334</v>
      </c>
      <c r="G2361" s="57"/>
    </row>
    <row r="2362" spans="1:7" ht="12.75" x14ac:dyDescent="0.2">
      <c r="A2362" s="3">
        <v>79</v>
      </c>
      <c r="B2362" s="4" t="s">
        <v>102</v>
      </c>
      <c r="C2362" s="3" t="s">
        <v>125</v>
      </c>
      <c r="D2362" s="3" t="s">
        <v>315</v>
      </c>
      <c r="E2362" s="3">
        <v>12</v>
      </c>
      <c r="G2362" s="57"/>
    </row>
    <row r="2363" spans="1:7" ht="12.75" x14ac:dyDescent="0.2">
      <c r="A2363" s="3">
        <v>79</v>
      </c>
      <c r="B2363" s="4" t="s">
        <v>102</v>
      </c>
      <c r="C2363" s="3" t="s">
        <v>125</v>
      </c>
      <c r="D2363" s="3" t="s">
        <v>128</v>
      </c>
      <c r="E2363" s="3">
        <v>489</v>
      </c>
      <c r="G2363" s="57"/>
    </row>
    <row r="2364" spans="1:7" ht="12.75" x14ac:dyDescent="0.2">
      <c r="A2364" s="3">
        <v>79</v>
      </c>
      <c r="B2364" s="4" t="s">
        <v>102</v>
      </c>
      <c r="C2364" s="3" t="s">
        <v>125</v>
      </c>
      <c r="D2364" s="3" t="s">
        <v>149</v>
      </c>
      <c r="E2364" s="3">
        <v>52</v>
      </c>
      <c r="G2364" s="57"/>
    </row>
    <row r="2365" spans="1:7" ht="12.75" x14ac:dyDescent="0.2">
      <c r="A2365" s="3">
        <v>79</v>
      </c>
      <c r="B2365" s="4" t="s">
        <v>102</v>
      </c>
      <c r="C2365" s="3" t="s">
        <v>125</v>
      </c>
      <c r="D2365" s="3" t="s">
        <v>14</v>
      </c>
      <c r="E2365" s="3">
        <v>154</v>
      </c>
      <c r="G2365" s="57"/>
    </row>
    <row r="2366" spans="1:7" ht="12.75" x14ac:dyDescent="0.2">
      <c r="A2366" s="3">
        <v>79</v>
      </c>
      <c r="B2366" s="4" t="s">
        <v>102</v>
      </c>
      <c r="C2366" s="3" t="s">
        <v>125</v>
      </c>
      <c r="D2366" s="3" t="s">
        <v>138</v>
      </c>
      <c r="E2366" s="3">
        <v>3</v>
      </c>
      <c r="F2366">
        <f>SUM(E2361:E2366)</f>
        <v>1044</v>
      </c>
      <c r="G2366" s="57"/>
    </row>
    <row r="2367" spans="1:7" ht="12.75" x14ac:dyDescent="0.2">
      <c r="A2367" s="3">
        <v>80</v>
      </c>
      <c r="B2367" s="4" t="s">
        <v>103</v>
      </c>
      <c r="C2367" s="3" t="s">
        <v>347</v>
      </c>
      <c r="D2367" s="3" t="s">
        <v>283</v>
      </c>
      <c r="E2367" s="3">
        <v>52</v>
      </c>
      <c r="G2367" s="59">
        <v>172</v>
      </c>
    </row>
    <row r="2368" spans="1:7" ht="12.75" x14ac:dyDescent="0.2">
      <c r="A2368" s="3">
        <v>80</v>
      </c>
      <c r="B2368" s="4" t="s">
        <v>103</v>
      </c>
      <c r="C2368" s="3" t="s">
        <v>347</v>
      </c>
      <c r="D2368" s="3" t="s">
        <v>315</v>
      </c>
      <c r="E2368" s="3">
        <v>0</v>
      </c>
      <c r="G2368" s="57"/>
    </row>
    <row r="2369" spans="1:7" ht="12.75" x14ac:dyDescent="0.2">
      <c r="A2369" s="3">
        <v>80</v>
      </c>
      <c r="B2369" s="4" t="s">
        <v>103</v>
      </c>
      <c r="C2369" s="3" t="s">
        <v>347</v>
      </c>
      <c r="D2369" s="3" t="s">
        <v>316</v>
      </c>
      <c r="E2369" s="3">
        <v>4</v>
      </c>
      <c r="G2369" s="57"/>
    </row>
    <row r="2370" spans="1:7" ht="12.75" x14ac:dyDescent="0.2">
      <c r="A2370" s="3">
        <v>80</v>
      </c>
      <c r="B2370" s="4" t="s">
        <v>103</v>
      </c>
      <c r="C2370" s="3" t="s">
        <v>347</v>
      </c>
      <c r="D2370" s="3" t="s">
        <v>128</v>
      </c>
      <c r="E2370" s="3">
        <v>56</v>
      </c>
      <c r="G2370" s="57"/>
    </row>
    <row r="2371" spans="1:7" ht="12.75" x14ac:dyDescent="0.2">
      <c r="A2371" s="3">
        <v>80</v>
      </c>
      <c r="B2371" s="4" t="s">
        <v>103</v>
      </c>
      <c r="C2371" s="3" t="s">
        <v>347</v>
      </c>
      <c r="D2371" s="3" t="s">
        <v>353</v>
      </c>
      <c r="E2371" s="3">
        <v>2</v>
      </c>
      <c r="G2371" s="57"/>
    </row>
    <row r="2372" spans="1:7" ht="12.75" x14ac:dyDescent="0.2">
      <c r="A2372" s="3">
        <v>80</v>
      </c>
      <c r="B2372" s="4" t="s">
        <v>103</v>
      </c>
      <c r="C2372" s="3" t="s">
        <v>347</v>
      </c>
      <c r="D2372" s="3" t="s">
        <v>149</v>
      </c>
      <c r="E2372" s="3">
        <v>27</v>
      </c>
      <c r="G2372" s="57"/>
    </row>
    <row r="2373" spans="1:7" ht="12.75" x14ac:dyDescent="0.2">
      <c r="A2373" s="3">
        <v>80</v>
      </c>
      <c r="B2373" s="4" t="s">
        <v>103</v>
      </c>
      <c r="C2373" s="3" t="s">
        <v>347</v>
      </c>
      <c r="D2373" s="3" t="s">
        <v>14</v>
      </c>
      <c r="E2373" s="3">
        <v>22</v>
      </c>
      <c r="G2373" s="57"/>
    </row>
    <row r="2374" spans="1:7" ht="12.75" x14ac:dyDescent="0.2">
      <c r="A2374" s="3">
        <v>80</v>
      </c>
      <c r="B2374" s="4" t="s">
        <v>103</v>
      </c>
      <c r="C2374" s="3" t="s">
        <v>347</v>
      </c>
      <c r="D2374" s="3" t="s">
        <v>138</v>
      </c>
      <c r="E2374" s="3">
        <v>0</v>
      </c>
      <c r="F2374">
        <f>SUM(E2367:E2374)</f>
        <v>163</v>
      </c>
      <c r="G2374" s="57"/>
    </row>
    <row r="2375" spans="1:7" ht="12.75" x14ac:dyDescent="0.2">
      <c r="A2375" s="3">
        <v>80</v>
      </c>
      <c r="B2375" s="4" t="s">
        <v>103</v>
      </c>
      <c r="C2375" s="3" t="s">
        <v>273</v>
      </c>
      <c r="D2375" s="3" t="s">
        <v>283</v>
      </c>
      <c r="E2375" s="3">
        <v>68</v>
      </c>
      <c r="G2375" s="57"/>
    </row>
    <row r="2376" spans="1:7" ht="12.75" x14ac:dyDescent="0.2">
      <c r="A2376" s="3">
        <v>80</v>
      </c>
      <c r="B2376" s="4" t="s">
        <v>103</v>
      </c>
      <c r="C2376" s="3" t="s">
        <v>273</v>
      </c>
      <c r="D2376" s="3" t="s">
        <v>315</v>
      </c>
      <c r="E2376" s="3">
        <v>0</v>
      </c>
      <c r="G2376" s="57"/>
    </row>
    <row r="2377" spans="1:7" ht="12.75" x14ac:dyDescent="0.2">
      <c r="A2377" s="3">
        <v>80</v>
      </c>
      <c r="B2377" s="4" t="s">
        <v>103</v>
      </c>
      <c r="C2377" s="3" t="s">
        <v>273</v>
      </c>
      <c r="D2377" s="3" t="s">
        <v>128</v>
      </c>
      <c r="E2377" s="3">
        <v>45</v>
      </c>
      <c r="G2377" s="57"/>
    </row>
    <row r="2378" spans="1:7" ht="12.75" x14ac:dyDescent="0.2">
      <c r="A2378" s="3">
        <v>80</v>
      </c>
      <c r="B2378" s="4" t="s">
        <v>103</v>
      </c>
      <c r="C2378" s="3" t="s">
        <v>273</v>
      </c>
      <c r="D2378" s="3" t="s">
        <v>149</v>
      </c>
      <c r="E2378" s="3">
        <v>11</v>
      </c>
      <c r="G2378" s="57"/>
    </row>
    <row r="2379" spans="1:7" ht="12.75" x14ac:dyDescent="0.2">
      <c r="A2379" s="3">
        <v>80</v>
      </c>
      <c r="B2379" s="4" t="s">
        <v>103</v>
      </c>
      <c r="C2379" s="3" t="s">
        <v>273</v>
      </c>
      <c r="D2379" s="3" t="s">
        <v>14</v>
      </c>
      <c r="E2379" s="3">
        <v>39</v>
      </c>
      <c r="G2379" s="57"/>
    </row>
    <row r="2380" spans="1:7" ht="12.75" x14ac:dyDescent="0.2">
      <c r="A2380" s="3">
        <v>80</v>
      </c>
      <c r="B2380" s="4" t="s">
        <v>103</v>
      </c>
      <c r="C2380" s="3" t="s">
        <v>273</v>
      </c>
      <c r="D2380" s="3" t="s">
        <v>138</v>
      </c>
      <c r="E2380" s="3">
        <v>0</v>
      </c>
      <c r="F2380">
        <f>SUM(E2375:E2380)</f>
        <v>163</v>
      </c>
      <c r="G2380" s="57"/>
    </row>
    <row r="2381" spans="1:7" ht="12.75" x14ac:dyDescent="0.2">
      <c r="A2381" s="3">
        <v>80</v>
      </c>
      <c r="B2381" s="4" t="s">
        <v>103</v>
      </c>
      <c r="C2381" s="3" t="s">
        <v>125</v>
      </c>
      <c r="D2381" s="3" t="s">
        <v>283</v>
      </c>
      <c r="E2381" s="3">
        <v>66</v>
      </c>
      <c r="G2381" s="57"/>
    </row>
    <row r="2382" spans="1:7" ht="12.75" x14ac:dyDescent="0.2">
      <c r="A2382" s="3">
        <v>80</v>
      </c>
      <c r="B2382" s="4" t="s">
        <v>103</v>
      </c>
      <c r="C2382" s="3" t="s">
        <v>125</v>
      </c>
      <c r="D2382" s="3" t="s">
        <v>315</v>
      </c>
      <c r="E2382" s="3">
        <v>0</v>
      </c>
      <c r="G2382" s="57"/>
    </row>
    <row r="2383" spans="1:7" ht="12.75" x14ac:dyDescent="0.2">
      <c r="A2383" s="3">
        <v>80</v>
      </c>
      <c r="B2383" s="4" t="s">
        <v>103</v>
      </c>
      <c r="C2383" s="3" t="s">
        <v>125</v>
      </c>
      <c r="D2383" s="3" t="s">
        <v>128</v>
      </c>
      <c r="E2383" s="3">
        <v>45</v>
      </c>
      <c r="G2383" s="57"/>
    </row>
    <row r="2384" spans="1:7" ht="12.75" x14ac:dyDescent="0.2">
      <c r="A2384" s="3">
        <v>80</v>
      </c>
      <c r="B2384" s="4" t="s">
        <v>103</v>
      </c>
      <c r="C2384" s="3" t="s">
        <v>125</v>
      </c>
      <c r="D2384" s="3" t="s">
        <v>149</v>
      </c>
      <c r="E2384" s="3">
        <v>10</v>
      </c>
      <c r="G2384" s="57"/>
    </row>
    <row r="2385" spans="1:7" ht="12.75" x14ac:dyDescent="0.2">
      <c r="A2385" s="3">
        <v>80</v>
      </c>
      <c r="B2385" s="4" t="s">
        <v>103</v>
      </c>
      <c r="C2385" s="3" t="s">
        <v>125</v>
      </c>
      <c r="D2385" s="3" t="s">
        <v>14</v>
      </c>
      <c r="E2385" s="3">
        <v>42</v>
      </c>
      <c r="G2385" s="57"/>
    </row>
    <row r="2386" spans="1:7" ht="12.75" x14ac:dyDescent="0.2">
      <c r="A2386" s="3">
        <v>80</v>
      </c>
      <c r="B2386" s="4" t="s">
        <v>103</v>
      </c>
      <c r="C2386" s="3" t="s">
        <v>125</v>
      </c>
      <c r="D2386" s="3" t="s">
        <v>138</v>
      </c>
      <c r="E2386" s="3">
        <v>0</v>
      </c>
      <c r="F2386">
        <f>SUM(E2381:E2386)</f>
        <v>163</v>
      </c>
      <c r="G2386" s="57"/>
    </row>
    <row r="2387" spans="1:7" ht="12.75" x14ac:dyDescent="0.2">
      <c r="A2387" s="3">
        <v>83</v>
      </c>
      <c r="B2387" s="4" t="s">
        <v>157</v>
      </c>
      <c r="C2387" s="3" t="s">
        <v>347</v>
      </c>
      <c r="D2387" s="3" t="s">
        <v>283</v>
      </c>
      <c r="E2387" s="3">
        <v>0</v>
      </c>
      <c r="G2387" s="59">
        <v>1</v>
      </c>
    </row>
    <row r="2388" spans="1:7" ht="12.75" x14ac:dyDescent="0.2">
      <c r="A2388" s="3">
        <v>83</v>
      </c>
      <c r="B2388" s="4" t="s">
        <v>157</v>
      </c>
      <c r="C2388" s="3" t="s">
        <v>347</v>
      </c>
      <c r="D2388" s="3" t="s">
        <v>315</v>
      </c>
      <c r="E2388" s="3">
        <v>0</v>
      </c>
      <c r="G2388" s="57"/>
    </row>
    <row r="2389" spans="1:7" ht="12.75" x14ac:dyDescent="0.2">
      <c r="A2389" s="3">
        <v>83</v>
      </c>
      <c r="B2389" s="4" t="s">
        <v>157</v>
      </c>
      <c r="C2389" s="3" t="s">
        <v>347</v>
      </c>
      <c r="D2389" s="3" t="s">
        <v>316</v>
      </c>
      <c r="E2389" s="3">
        <v>0</v>
      </c>
      <c r="G2389" s="57"/>
    </row>
    <row r="2390" spans="1:7" ht="12.75" x14ac:dyDescent="0.2">
      <c r="A2390" s="3">
        <v>83</v>
      </c>
      <c r="B2390" s="4" t="s">
        <v>157</v>
      </c>
      <c r="C2390" s="3" t="s">
        <v>347</v>
      </c>
      <c r="D2390" s="3" t="s">
        <v>128</v>
      </c>
      <c r="E2390" s="3">
        <v>0</v>
      </c>
      <c r="G2390" s="57"/>
    </row>
    <row r="2391" spans="1:7" ht="12.75" x14ac:dyDescent="0.2">
      <c r="A2391" s="3">
        <v>83</v>
      </c>
      <c r="B2391" s="4" t="s">
        <v>157</v>
      </c>
      <c r="C2391" s="3" t="s">
        <v>347</v>
      </c>
      <c r="D2391" s="3" t="s">
        <v>353</v>
      </c>
      <c r="E2391" s="3">
        <v>0</v>
      </c>
      <c r="G2391" s="57"/>
    </row>
    <row r="2392" spans="1:7" ht="12.75" x14ac:dyDescent="0.2">
      <c r="A2392" s="3">
        <v>83</v>
      </c>
      <c r="B2392" s="4" t="s">
        <v>157</v>
      </c>
      <c r="C2392" s="3" t="s">
        <v>347</v>
      </c>
      <c r="D2392" s="3" t="s">
        <v>149</v>
      </c>
      <c r="E2392" s="3">
        <v>0</v>
      </c>
      <c r="G2392" s="57"/>
    </row>
    <row r="2393" spans="1:7" ht="12.75" x14ac:dyDescent="0.2">
      <c r="A2393" s="3">
        <v>83</v>
      </c>
      <c r="B2393" s="4" t="s">
        <v>157</v>
      </c>
      <c r="C2393" s="3" t="s">
        <v>347</v>
      </c>
      <c r="D2393" s="3" t="s">
        <v>14</v>
      </c>
      <c r="E2393" s="3">
        <v>0</v>
      </c>
      <c r="G2393" s="57"/>
    </row>
    <row r="2394" spans="1:7" ht="12.75" x14ac:dyDescent="0.2">
      <c r="A2394" s="3">
        <v>83</v>
      </c>
      <c r="B2394" s="4" t="s">
        <v>157</v>
      </c>
      <c r="C2394" s="3" t="s">
        <v>347</v>
      </c>
      <c r="D2394" s="3" t="s">
        <v>138</v>
      </c>
      <c r="E2394" s="3">
        <v>0</v>
      </c>
      <c r="F2394">
        <f>SUM(E2387:E2394)</f>
        <v>0</v>
      </c>
      <c r="G2394" s="57"/>
    </row>
    <row r="2395" spans="1:7" ht="12.75" x14ac:dyDescent="0.2">
      <c r="A2395" s="3">
        <v>83</v>
      </c>
      <c r="B2395" s="4" t="s">
        <v>157</v>
      </c>
      <c r="C2395" s="3" t="s">
        <v>273</v>
      </c>
      <c r="D2395" s="3" t="s">
        <v>283</v>
      </c>
      <c r="E2395" s="3">
        <v>0</v>
      </c>
      <c r="G2395" s="57"/>
    </row>
    <row r="2396" spans="1:7" ht="12.75" x14ac:dyDescent="0.2">
      <c r="A2396" s="3">
        <v>83</v>
      </c>
      <c r="B2396" s="4" t="s">
        <v>157</v>
      </c>
      <c r="C2396" s="3" t="s">
        <v>273</v>
      </c>
      <c r="D2396" s="3" t="s">
        <v>315</v>
      </c>
      <c r="E2396" s="3">
        <v>0</v>
      </c>
      <c r="G2396" s="57"/>
    </row>
    <row r="2397" spans="1:7" ht="12.75" x14ac:dyDescent="0.2">
      <c r="A2397" s="3">
        <v>83</v>
      </c>
      <c r="B2397" s="4" t="s">
        <v>157</v>
      </c>
      <c r="C2397" s="3" t="s">
        <v>273</v>
      </c>
      <c r="D2397" s="3" t="s">
        <v>128</v>
      </c>
      <c r="E2397" s="3">
        <v>0</v>
      </c>
      <c r="G2397" s="57"/>
    </row>
    <row r="2398" spans="1:7" ht="12.75" x14ac:dyDescent="0.2">
      <c r="A2398" s="3">
        <v>83</v>
      </c>
      <c r="B2398" s="4" t="s">
        <v>157</v>
      </c>
      <c r="C2398" s="3" t="s">
        <v>273</v>
      </c>
      <c r="D2398" s="3" t="s">
        <v>149</v>
      </c>
      <c r="E2398" s="3">
        <v>0</v>
      </c>
      <c r="G2398" s="57"/>
    </row>
    <row r="2399" spans="1:7" ht="12.75" x14ac:dyDescent="0.2">
      <c r="A2399" s="3">
        <v>83</v>
      </c>
      <c r="B2399" s="4" t="s">
        <v>157</v>
      </c>
      <c r="C2399" s="3" t="s">
        <v>273</v>
      </c>
      <c r="D2399" s="3" t="s">
        <v>14</v>
      </c>
      <c r="E2399" s="3">
        <v>0</v>
      </c>
      <c r="G2399" s="57"/>
    </row>
    <row r="2400" spans="1:7" ht="12.75" x14ac:dyDescent="0.2">
      <c r="A2400" s="3">
        <v>83</v>
      </c>
      <c r="B2400" s="4" t="s">
        <v>157</v>
      </c>
      <c r="C2400" s="3" t="s">
        <v>273</v>
      </c>
      <c r="D2400" s="3" t="s">
        <v>138</v>
      </c>
      <c r="E2400" s="3">
        <v>0</v>
      </c>
      <c r="F2400">
        <f>SUM(E2395:E2400)</f>
        <v>0</v>
      </c>
      <c r="G2400" s="57"/>
    </row>
    <row r="2401" spans="1:7" ht="12.75" x14ac:dyDescent="0.2">
      <c r="A2401" s="3">
        <v>83</v>
      </c>
      <c r="B2401" s="4" t="s">
        <v>157</v>
      </c>
      <c r="C2401" s="3" t="s">
        <v>125</v>
      </c>
      <c r="D2401" s="3" t="s">
        <v>283</v>
      </c>
      <c r="E2401" s="3">
        <v>0</v>
      </c>
      <c r="G2401" s="57"/>
    </row>
    <row r="2402" spans="1:7" ht="12.75" x14ac:dyDescent="0.2">
      <c r="A2402" s="3">
        <v>83</v>
      </c>
      <c r="B2402" s="4" t="s">
        <v>157</v>
      </c>
      <c r="C2402" s="3" t="s">
        <v>125</v>
      </c>
      <c r="D2402" s="3" t="s">
        <v>315</v>
      </c>
      <c r="E2402" s="3">
        <v>0</v>
      </c>
      <c r="G2402" s="57"/>
    </row>
    <row r="2403" spans="1:7" ht="12.75" x14ac:dyDescent="0.2">
      <c r="A2403" s="3">
        <v>83</v>
      </c>
      <c r="B2403" s="4" t="s">
        <v>157</v>
      </c>
      <c r="C2403" s="3" t="s">
        <v>125</v>
      </c>
      <c r="D2403" s="3" t="s">
        <v>128</v>
      </c>
      <c r="E2403" s="3">
        <v>0</v>
      </c>
      <c r="G2403" s="57"/>
    </row>
    <row r="2404" spans="1:7" ht="12.75" x14ac:dyDescent="0.2">
      <c r="A2404" s="3">
        <v>83</v>
      </c>
      <c r="B2404" s="4" t="s">
        <v>157</v>
      </c>
      <c r="C2404" s="3" t="s">
        <v>125</v>
      </c>
      <c r="D2404" s="3" t="s">
        <v>149</v>
      </c>
      <c r="E2404" s="3">
        <v>0</v>
      </c>
      <c r="G2404" s="57"/>
    </row>
    <row r="2405" spans="1:7" ht="12.75" x14ac:dyDescent="0.2">
      <c r="A2405" s="3">
        <v>83</v>
      </c>
      <c r="B2405" s="4" t="s">
        <v>157</v>
      </c>
      <c r="C2405" s="3" t="s">
        <v>125</v>
      </c>
      <c r="D2405" s="3" t="s">
        <v>14</v>
      </c>
      <c r="E2405" s="3">
        <v>0</v>
      </c>
      <c r="G2405" s="57"/>
    </row>
    <row r="2406" spans="1:7" ht="12.75" x14ac:dyDescent="0.2">
      <c r="A2406" s="3">
        <v>83</v>
      </c>
      <c r="B2406" s="4" t="s">
        <v>157</v>
      </c>
      <c r="C2406" s="3" t="s">
        <v>125</v>
      </c>
      <c r="D2406" s="3" t="s">
        <v>138</v>
      </c>
      <c r="E2406" s="3">
        <v>0</v>
      </c>
      <c r="F2406">
        <f>SUM(E2401:E2406)</f>
        <v>0</v>
      </c>
      <c r="G2406" s="57"/>
    </row>
    <row r="2407" spans="1:7" ht="12.75" x14ac:dyDescent="0.2">
      <c r="A2407" s="3">
        <v>84</v>
      </c>
      <c r="B2407" s="4" t="s">
        <v>158</v>
      </c>
      <c r="C2407" s="3" t="s">
        <v>347</v>
      </c>
      <c r="D2407" s="3" t="s">
        <v>283</v>
      </c>
      <c r="E2407" s="3">
        <v>0</v>
      </c>
      <c r="G2407" s="59">
        <v>8</v>
      </c>
    </row>
    <row r="2408" spans="1:7" ht="12.75" x14ac:dyDescent="0.2">
      <c r="A2408" s="3">
        <v>84</v>
      </c>
      <c r="B2408" s="4" t="s">
        <v>158</v>
      </c>
      <c r="C2408" s="3" t="s">
        <v>347</v>
      </c>
      <c r="D2408" s="3" t="s">
        <v>315</v>
      </c>
      <c r="E2408" s="3">
        <v>0</v>
      </c>
      <c r="G2408" s="57"/>
    </row>
    <row r="2409" spans="1:7" ht="12.75" x14ac:dyDescent="0.2">
      <c r="A2409" s="3">
        <v>84</v>
      </c>
      <c r="B2409" s="4" t="s">
        <v>158</v>
      </c>
      <c r="C2409" s="3" t="s">
        <v>347</v>
      </c>
      <c r="D2409" s="3" t="s">
        <v>316</v>
      </c>
      <c r="E2409" s="3">
        <v>0</v>
      </c>
      <c r="G2409" s="57"/>
    </row>
    <row r="2410" spans="1:7" ht="12.75" x14ac:dyDescent="0.2">
      <c r="A2410" s="3">
        <v>84</v>
      </c>
      <c r="B2410" s="4" t="s">
        <v>158</v>
      </c>
      <c r="C2410" s="3" t="s">
        <v>347</v>
      </c>
      <c r="D2410" s="3" t="s">
        <v>128</v>
      </c>
      <c r="E2410" s="3">
        <v>3</v>
      </c>
      <c r="G2410" s="57"/>
    </row>
    <row r="2411" spans="1:7" ht="12.75" x14ac:dyDescent="0.2">
      <c r="A2411" s="3">
        <v>84</v>
      </c>
      <c r="B2411" s="4" t="s">
        <v>158</v>
      </c>
      <c r="C2411" s="3" t="s">
        <v>347</v>
      </c>
      <c r="D2411" s="3" t="s">
        <v>353</v>
      </c>
      <c r="E2411" s="3">
        <v>0</v>
      </c>
      <c r="G2411" s="57"/>
    </row>
    <row r="2412" spans="1:7" ht="12.75" x14ac:dyDescent="0.2">
      <c r="A2412" s="3">
        <v>84</v>
      </c>
      <c r="B2412" s="4" t="s">
        <v>158</v>
      </c>
      <c r="C2412" s="3" t="s">
        <v>347</v>
      </c>
      <c r="D2412" s="3" t="s">
        <v>149</v>
      </c>
      <c r="E2412" s="3">
        <v>2</v>
      </c>
      <c r="G2412" s="57"/>
    </row>
    <row r="2413" spans="1:7" ht="12.75" x14ac:dyDescent="0.2">
      <c r="A2413" s="3">
        <v>84</v>
      </c>
      <c r="B2413" s="4" t="s">
        <v>158</v>
      </c>
      <c r="C2413" s="3" t="s">
        <v>347</v>
      </c>
      <c r="D2413" s="3" t="s">
        <v>14</v>
      </c>
      <c r="E2413" s="3">
        <v>0</v>
      </c>
      <c r="G2413" s="57"/>
    </row>
    <row r="2414" spans="1:7" ht="12.75" x14ac:dyDescent="0.2">
      <c r="A2414" s="3">
        <v>84</v>
      </c>
      <c r="B2414" s="4" t="s">
        <v>158</v>
      </c>
      <c r="C2414" s="3" t="s">
        <v>347</v>
      </c>
      <c r="D2414" s="3" t="s">
        <v>138</v>
      </c>
      <c r="E2414" s="3">
        <v>0</v>
      </c>
      <c r="F2414">
        <f>SUM(E2407:E2414)</f>
        <v>5</v>
      </c>
      <c r="G2414" s="57"/>
    </row>
    <row r="2415" spans="1:7" ht="12.75" x14ac:dyDescent="0.2">
      <c r="A2415" s="3">
        <v>84</v>
      </c>
      <c r="B2415" s="4" t="s">
        <v>158</v>
      </c>
      <c r="C2415" s="3" t="s">
        <v>273</v>
      </c>
      <c r="D2415" s="3" t="s">
        <v>283</v>
      </c>
      <c r="E2415" s="3">
        <v>0</v>
      </c>
      <c r="G2415" s="57"/>
    </row>
    <row r="2416" spans="1:7" ht="12.75" x14ac:dyDescent="0.2">
      <c r="A2416" s="3">
        <v>84</v>
      </c>
      <c r="B2416" s="4" t="s">
        <v>158</v>
      </c>
      <c r="C2416" s="3" t="s">
        <v>273</v>
      </c>
      <c r="D2416" s="3" t="s">
        <v>315</v>
      </c>
      <c r="E2416" s="3">
        <v>0</v>
      </c>
      <c r="G2416" s="57"/>
    </row>
    <row r="2417" spans="1:7" ht="12.75" x14ac:dyDescent="0.2">
      <c r="A2417" s="3">
        <v>84</v>
      </c>
      <c r="B2417" s="4" t="s">
        <v>158</v>
      </c>
      <c r="C2417" s="3" t="s">
        <v>273</v>
      </c>
      <c r="D2417" s="3" t="s">
        <v>128</v>
      </c>
      <c r="E2417" s="3">
        <v>1</v>
      </c>
      <c r="G2417" s="57"/>
    </row>
    <row r="2418" spans="1:7" ht="12.75" x14ac:dyDescent="0.2">
      <c r="A2418" s="3">
        <v>84</v>
      </c>
      <c r="B2418" s="4" t="s">
        <v>158</v>
      </c>
      <c r="C2418" s="3" t="s">
        <v>273</v>
      </c>
      <c r="D2418" s="3" t="s">
        <v>149</v>
      </c>
      <c r="E2418" s="3">
        <v>2</v>
      </c>
      <c r="G2418" s="57"/>
    </row>
    <row r="2419" spans="1:7" ht="12.75" x14ac:dyDescent="0.2">
      <c r="A2419" s="3">
        <v>84</v>
      </c>
      <c r="B2419" s="4" t="s">
        <v>158</v>
      </c>
      <c r="C2419" s="3" t="s">
        <v>273</v>
      </c>
      <c r="D2419" s="3" t="s">
        <v>14</v>
      </c>
      <c r="E2419" s="3">
        <v>2</v>
      </c>
      <c r="G2419" s="57"/>
    </row>
    <row r="2420" spans="1:7" ht="12.75" x14ac:dyDescent="0.2">
      <c r="A2420" s="3">
        <v>84</v>
      </c>
      <c r="B2420" s="4" t="s">
        <v>158</v>
      </c>
      <c r="C2420" s="3" t="s">
        <v>273</v>
      </c>
      <c r="D2420" s="3" t="s">
        <v>138</v>
      </c>
      <c r="E2420" s="3">
        <v>0</v>
      </c>
      <c r="F2420">
        <f>SUM(E2415:E2420)</f>
        <v>5</v>
      </c>
      <c r="G2420" s="57"/>
    </row>
    <row r="2421" spans="1:7" ht="12.75" x14ac:dyDescent="0.2">
      <c r="A2421" s="3">
        <v>84</v>
      </c>
      <c r="B2421" s="4" t="s">
        <v>158</v>
      </c>
      <c r="C2421" s="3" t="s">
        <v>125</v>
      </c>
      <c r="D2421" s="3" t="s">
        <v>283</v>
      </c>
      <c r="E2421" s="3">
        <v>0</v>
      </c>
      <c r="G2421" s="57"/>
    </row>
    <row r="2422" spans="1:7" ht="12.75" x14ac:dyDescent="0.2">
      <c r="A2422" s="3">
        <v>84</v>
      </c>
      <c r="B2422" s="4" t="s">
        <v>158</v>
      </c>
      <c r="C2422" s="3" t="s">
        <v>125</v>
      </c>
      <c r="D2422" s="3" t="s">
        <v>315</v>
      </c>
      <c r="E2422" s="3">
        <v>0</v>
      </c>
      <c r="G2422" s="57"/>
    </row>
    <row r="2423" spans="1:7" ht="12.75" x14ac:dyDescent="0.2">
      <c r="A2423" s="3">
        <v>84</v>
      </c>
      <c r="B2423" s="4" t="s">
        <v>158</v>
      </c>
      <c r="C2423" s="3" t="s">
        <v>125</v>
      </c>
      <c r="D2423" s="3" t="s">
        <v>128</v>
      </c>
      <c r="E2423" s="3">
        <v>1</v>
      </c>
      <c r="G2423" s="57"/>
    </row>
    <row r="2424" spans="1:7" ht="12.75" x14ac:dyDescent="0.2">
      <c r="A2424" s="3">
        <v>84</v>
      </c>
      <c r="B2424" s="4" t="s">
        <v>158</v>
      </c>
      <c r="C2424" s="3" t="s">
        <v>125</v>
      </c>
      <c r="D2424" s="3" t="s">
        <v>149</v>
      </c>
      <c r="E2424" s="3">
        <v>2</v>
      </c>
      <c r="G2424" s="57"/>
    </row>
    <row r="2425" spans="1:7" ht="12.75" x14ac:dyDescent="0.2">
      <c r="A2425" s="3">
        <v>84</v>
      </c>
      <c r="B2425" s="4" t="s">
        <v>158</v>
      </c>
      <c r="C2425" s="3" t="s">
        <v>125</v>
      </c>
      <c r="D2425" s="3" t="s">
        <v>14</v>
      </c>
      <c r="E2425" s="3">
        <v>2</v>
      </c>
      <c r="G2425" s="57"/>
    </row>
    <row r="2426" spans="1:7" ht="12.75" x14ac:dyDescent="0.2">
      <c r="A2426" s="3">
        <v>84</v>
      </c>
      <c r="B2426" s="4" t="s">
        <v>158</v>
      </c>
      <c r="C2426" s="3" t="s">
        <v>125</v>
      </c>
      <c r="D2426" s="3" t="s">
        <v>138</v>
      </c>
      <c r="E2426" s="3">
        <v>0</v>
      </c>
      <c r="F2426">
        <f>SUM(E2421:E2426)</f>
        <v>5</v>
      </c>
      <c r="G2426" s="57"/>
    </row>
    <row r="2427" spans="1:7" ht="12.75" x14ac:dyDescent="0.2">
      <c r="A2427" s="3">
        <v>85</v>
      </c>
      <c r="B2427" s="4" t="s">
        <v>159</v>
      </c>
      <c r="C2427" s="3" t="s">
        <v>347</v>
      </c>
      <c r="D2427" s="3" t="s">
        <v>283</v>
      </c>
      <c r="E2427" s="3">
        <v>0</v>
      </c>
      <c r="G2427" s="59">
        <v>3</v>
      </c>
    </row>
    <row r="2428" spans="1:7" ht="12.75" x14ac:dyDescent="0.2">
      <c r="A2428" s="3">
        <v>85</v>
      </c>
      <c r="B2428" s="4" t="s">
        <v>159</v>
      </c>
      <c r="C2428" s="3" t="s">
        <v>347</v>
      </c>
      <c r="D2428" s="3" t="s">
        <v>315</v>
      </c>
      <c r="E2428" s="3">
        <v>0</v>
      </c>
      <c r="G2428" s="57"/>
    </row>
    <row r="2429" spans="1:7" ht="12.75" x14ac:dyDescent="0.2">
      <c r="A2429" s="3">
        <v>85</v>
      </c>
      <c r="B2429" s="4" t="s">
        <v>159</v>
      </c>
      <c r="C2429" s="3" t="s">
        <v>347</v>
      </c>
      <c r="D2429" s="3" t="s">
        <v>316</v>
      </c>
      <c r="E2429" s="3">
        <v>0</v>
      </c>
      <c r="G2429" s="57"/>
    </row>
    <row r="2430" spans="1:7" ht="12.75" x14ac:dyDescent="0.2">
      <c r="A2430" s="3">
        <v>85</v>
      </c>
      <c r="B2430" s="4" t="s">
        <v>159</v>
      </c>
      <c r="C2430" s="3" t="s">
        <v>347</v>
      </c>
      <c r="D2430" s="3" t="s">
        <v>128</v>
      </c>
      <c r="E2430" s="3">
        <v>1</v>
      </c>
      <c r="G2430" s="57"/>
    </row>
    <row r="2431" spans="1:7" ht="12.75" x14ac:dyDescent="0.2">
      <c r="A2431" s="3">
        <v>85</v>
      </c>
      <c r="B2431" s="4" t="s">
        <v>159</v>
      </c>
      <c r="C2431" s="3" t="s">
        <v>347</v>
      </c>
      <c r="D2431" s="3" t="s">
        <v>353</v>
      </c>
      <c r="E2431" s="3">
        <v>0</v>
      </c>
      <c r="G2431" s="57"/>
    </row>
    <row r="2432" spans="1:7" ht="12.75" x14ac:dyDescent="0.2">
      <c r="A2432" s="3">
        <v>85</v>
      </c>
      <c r="B2432" s="4" t="s">
        <v>159</v>
      </c>
      <c r="C2432" s="3" t="s">
        <v>347</v>
      </c>
      <c r="D2432" s="3" t="s">
        <v>149</v>
      </c>
      <c r="E2432" s="3">
        <v>2</v>
      </c>
      <c r="G2432" s="57"/>
    </row>
    <row r="2433" spans="1:7" ht="12.75" x14ac:dyDescent="0.2">
      <c r="A2433" s="3">
        <v>85</v>
      </c>
      <c r="B2433" s="4" t="s">
        <v>159</v>
      </c>
      <c r="C2433" s="3" t="s">
        <v>347</v>
      </c>
      <c r="D2433" s="3" t="s">
        <v>14</v>
      </c>
      <c r="E2433" s="3">
        <v>0</v>
      </c>
      <c r="G2433" s="57"/>
    </row>
    <row r="2434" spans="1:7" ht="12.75" x14ac:dyDescent="0.2">
      <c r="A2434" s="3">
        <v>85</v>
      </c>
      <c r="B2434" s="4" t="s">
        <v>159</v>
      </c>
      <c r="C2434" s="3" t="s">
        <v>347</v>
      </c>
      <c r="D2434" s="3" t="s">
        <v>138</v>
      </c>
      <c r="E2434" s="3">
        <v>0</v>
      </c>
      <c r="F2434">
        <f>SUM(E2427:E2434)</f>
        <v>3</v>
      </c>
      <c r="G2434" s="57"/>
    </row>
    <row r="2435" spans="1:7" ht="12.75" x14ac:dyDescent="0.2">
      <c r="A2435" s="3">
        <v>85</v>
      </c>
      <c r="B2435" s="4" t="s">
        <v>159</v>
      </c>
      <c r="C2435" s="3" t="s">
        <v>273</v>
      </c>
      <c r="D2435" s="3" t="s">
        <v>283</v>
      </c>
      <c r="E2435" s="3">
        <v>0</v>
      </c>
      <c r="G2435" s="57"/>
    </row>
    <row r="2436" spans="1:7" ht="12.75" x14ac:dyDescent="0.2">
      <c r="A2436" s="3">
        <v>85</v>
      </c>
      <c r="B2436" s="4" t="s">
        <v>159</v>
      </c>
      <c r="C2436" s="3" t="s">
        <v>273</v>
      </c>
      <c r="D2436" s="3" t="s">
        <v>315</v>
      </c>
      <c r="E2436" s="3">
        <v>0</v>
      </c>
      <c r="G2436" s="57"/>
    </row>
    <row r="2437" spans="1:7" ht="12.75" x14ac:dyDescent="0.2">
      <c r="A2437" s="3">
        <v>85</v>
      </c>
      <c r="B2437" s="4" t="s">
        <v>159</v>
      </c>
      <c r="C2437" s="3" t="s">
        <v>273</v>
      </c>
      <c r="D2437" s="3" t="s">
        <v>128</v>
      </c>
      <c r="E2437" s="3">
        <v>1</v>
      </c>
      <c r="G2437" s="57"/>
    </row>
    <row r="2438" spans="1:7" ht="12.75" x14ac:dyDescent="0.2">
      <c r="A2438" s="3">
        <v>85</v>
      </c>
      <c r="B2438" s="4" t="s">
        <v>159</v>
      </c>
      <c r="C2438" s="3" t="s">
        <v>273</v>
      </c>
      <c r="D2438" s="3" t="s">
        <v>149</v>
      </c>
      <c r="E2438" s="3">
        <v>2</v>
      </c>
      <c r="G2438" s="57"/>
    </row>
    <row r="2439" spans="1:7" ht="12.75" x14ac:dyDescent="0.2">
      <c r="A2439" s="3">
        <v>85</v>
      </c>
      <c r="B2439" s="4" t="s">
        <v>159</v>
      </c>
      <c r="C2439" s="3" t="s">
        <v>273</v>
      </c>
      <c r="D2439" s="3" t="s">
        <v>14</v>
      </c>
      <c r="E2439" s="3">
        <v>0</v>
      </c>
      <c r="G2439" s="57"/>
    </row>
    <row r="2440" spans="1:7" ht="12.75" x14ac:dyDescent="0.2">
      <c r="A2440" s="3">
        <v>85</v>
      </c>
      <c r="B2440" s="4" t="s">
        <v>159</v>
      </c>
      <c r="C2440" s="3" t="s">
        <v>273</v>
      </c>
      <c r="D2440" s="3" t="s">
        <v>138</v>
      </c>
      <c r="E2440" s="3">
        <v>0</v>
      </c>
      <c r="F2440">
        <f>SUM(E2435:E2440)</f>
        <v>3</v>
      </c>
      <c r="G2440" s="57"/>
    </row>
    <row r="2441" spans="1:7" ht="12.75" x14ac:dyDescent="0.2">
      <c r="A2441" s="3">
        <v>85</v>
      </c>
      <c r="B2441" s="4" t="s">
        <v>159</v>
      </c>
      <c r="C2441" s="3" t="s">
        <v>125</v>
      </c>
      <c r="D2441" s="3" t="s">
        <v>283</v>
      </c>
      <c r="E2441" s="3">
        <v>0</v>
      </c>
      <c r="G2441" s="57"/>
    </row>
    <row r="2442" spans="1:7" ht="12.75" x14ac:dyDescent="0.2">
      <c r="A2442" s="3">
        <v>85</v>
      </c>
      <c r="B2442" s="4" t="s">
        <v>159</v>
      </c>
      <c r="C2442" s="3" t="s">
        <v>125</v>
      </c>
      <c r="D2442" s="3" t="s">
        <v>315</v>
      </c>
      <c r="E2442" s="3">
        <v>0</v>
      </c>
      <c r="G2442" s="57"/>
    </row>
    <row r="2443" spans="1:7" ht="12.75" x14ac:dyDescent="0.2">
      <c r="A2443" s="3">
        <v>85</v>
      </c>
      <c r="B2443" s="4" t="s">
        <v>159</v>
      </c>
      <c r="C2443" s="3" t="s">
        <v>125</v>
      </c>
      <c r="D2443" s="3" t="s">
        <v>128</v>
      </c>
      <c r="E2443" s="3">
        <v>1</v>
      </c>
      <c r="G2443" s="57"/>
    </row>
    <row r="2444" spans="1:7" ht="12.75" x14ac:dyDescent="0.2">
      <c r="A2444" s="3">
        <v>85</v>
      </c>
      <c r="B2444" s="4" t="s">
        <v>159</v>
      </c>
      <c r="C2444" s="3" t="s">
        <v>125</v>
      </c>
      <c r="D2444" s="3" t="s">
        <v>149</v>
      </c>
      <c r="E2444" s="3">
        <v>2</v>
      </c>
      <c r="G2444" s="57"/>
    </row>
    <row r="2445" spans="1:7" ht="12.75" x14ac:dyDescent="0.2">
      <c r="A2445" s="3">
        <v>85</v>
      </c>
      <c r="B2445" s="4" t="s">
        <v>159</v>
      </c>
      <c r="C2445" s="3" t="s">
        <v>125</v>
      </c>
      <c r="D2445" s="3" t="s">
        <v>14</v>
      </c>
      <c r="E2445" s="3">
        <v>0</v>
      </c>
      <c r="G2445" s="57"/>
    </row>
    <row r="2446" spans="1:7" ht="12.75" x14ac:dyDescent="0.2">
      <c r="A2446" s="3">
        <v>85</v>
      </c>
      <c r="B2446" s="4" t="s">
        <v>159</v>
      </c>
      <c r="C2446" s="3" t="s">
        <v>125</v>
      </c>
      <c r="D2446" s="3" t="s">
        <v>138</v>
      </c>
      <c r="E2446" s="3">
        <v>0</v>
      </c>
      <c r="F2446">
        <f>SUM(E2441:E2446)</f>
        <v>3</v>
      </c>
      <c r="G2446" s="57"/>
    </row>
    <row r="2447" spans="1:7" ht="12.75" x14ac:dyDescent="0.2">
      <c r="A2447" s="3">
        <v>87</v>
      </c>
      <c r="B2447" s="4" t="s">
        <v>107</v>
      </c>
      <c r="C2447" s="3" t="s">
        <v>347</v>
      </c>
      <c r="D2447" s="3" t="s">
        <v>283</v>
      </c>
      <c r="E2447" s="3">
        <v>367</v>
      </c>
      <c r="G2447" s="59">
        <v>992</v>
      </c>
    </row>
    <row r="2448" spans="1:7" ht="12.75" x14ac:dyDescent="0.2">
      <c r="A2448" s="3">
        <v>87</v>
      </c>
      <c r="B2448" s="4" t="s">
        <v>107</v>
      </c>
      <c r="C2448" s="3" t="s">
        <v>347</v>
      </c>
      <c r="D2448" s="3" t="s">
        <v>315</v>
      </c>
      <c r="E2448" s="3">
        <v>10</v>
      </c>
      <c r="G2448" s="57"/>
    </row>
    <row r="2449" spans="1:7" ht="12.75" x14ac:dyDescent="0.2">
      <c r="A2449" s="3">
        <v>87</v>
      </c>
      <c r="B2449" s="4" t="s">
        <v>107</v>
      </c>
      <c r="C2449" s="3" t="s">
        <v>347</v>
      </c>
      <c r="D2449" s="3" t="s">
        <v>316</v>
      </c>
      <c r="E2449" s="3">
        <v>15</v>
      </c>
      <c r="G2449" s="57"/>
    </row>
    <row r="2450" spans="1:7" ht="12.75" x14ac:dyDescent="0.2">
      <c r="A2450" s="3">
        <v>87</v>
      </c>
      <c r="B2450" s="4" t="s">
        <v>107</v>
      </c>
      <c r="C2450" s="3" t="s">
        <v>347</v>
      </c>
      <c r="D2450" s="3" t="s">
        <v>128</v>
      </c>
      <c r="E2450" s="3">
        <v>298</v>
      </c>
      <c r="G2450" s="57"/>
    </row>
    <row r="2451" spans="1:7" ht="12.75" x14ac:dyDescent="0.2">
      <c r="A2451" s="3">
        <v>87</v>
      </c>
      <c r="B2451" s="4" t="s">
        <v>107</v>
      </c>
      <c r="C2451" s="3" t="s">
        <v>347</v>
      </c>
      <c r="D2451" s="3" t="s">
        <v>353</v>
      </c>
      <c r="E2451" s="3">
        <v>17</v>
      </c>
      <c r="G2451" s="57"/>
    </row>
    <row r="2452" spans="1:7" ht="12.75" x14ac:dyDescent="0.2">
      <c r="A2452" s="3">
        <v>87</v>
      </c>
      <c r="B2452" s="4" t="s">
        <v>107</v>
      </c>
      <c r="C2452" s="3" t="s">
        <v>347</v>
      </c>
      <c r="D2452" s="3" t="s">
        <v>149</v>
      </c>
      <c r="E2452" s="3">
        <v>102</v>
      </c>
      <c r="G2452" s="57"/>
    </row>
    <row r="2453" spans="1:7" ht="12.75" x14ac:dyDescent="0.2">
      <c r="A2453" s="3">
        <v>87</v>
      </c>
      <c r="B2453" s="4" t="s">
        <v>107</v>
      </c>
      <c r="C2453" s="3" t="s">
        <v>347</v>
      </c>
      <c r="D2453" s="3" t="s">
        <v>14</v>
      </c>
      <c r="E2453" s="3">
        <v>36</v>
      </c>
      <c r="G2453" s="57"/>
    </row>
    <row r="2454" spans="1:7" ht="12.75" x14ac:dyDescent="0.2">
      <c r="A2454" s="3">
        <v>87</v>
      </c>
      <c r="B2454" s="4" t="s">
        <v>107</v>
      </c>
      <c r="C2454" s="3" t="s">
        <v>347</v>
      </c>
      <c r="D2454" s="3" t="s">
        <v>138</v>
      </c>
      <c r="E2454" s="3">
        <v>0</v>
      </c>
      <c r="F2454">
        <f>SUM(E2447:E2454)</f>
        <v>845</v>
      </c>
      <c r="G2454" s="57"/>
    </row>
    <row r="2455" spans="1:7" ht="12.75" x14ac:dyDescent="0.2">
      <c r="A2455" s="3">
        <v>87</v>
      </c>
      <c r="B2455" s="4" t="s">
        <v>107</v>
      </c>
      <c r="C2455" s="3" t="s">
        <v>273</v>
      </c>
      <c r="D2455" s="3" t="s">
        <v>283</v>
      </c>
      <c r="E2455" s="3">
        <v>424</v>
      </c>
      <c r="G2455" s="57"/>
    </row>
    <row r="2456" spans="1:7" ht="12.75" x14ac:dyDescent="0.2">
      <c r="A2456" s="3">
        <v>87</v>
      </c>
      <c r="B2456" s="4" t="s">
        <v>107</v>
      </c>
      <c r="C2456" s="3" t="s">
        <v>273</v>
      </c>
      <c r="D2456" s="3" t="s">
        <v>315</v>
      </c>
      <c r="E2456" s="3">
        <v>3</v>
      </c>
      <c r="G2456" s="57"/>
    </row>
    <row r="2457" spans="1:7" ht="12.75" x14ac:dyDescent="0.2">
      <c r="A2457" s="3">
        <v>87</v>
      </c>
      <c r="B2457" s="4" t="s">
        <v>107</v>
      </c>
      <c r="C2457" s="3" t="s">
        <v>273</v>
      </c>
      <c r="D2457" s="3" t="s">
        <v>128</v>
      </c>
      <c r="E2457" s="3">
        <v>294</v>
      </c>
      <c r="G2457" s="57"/>
    </row>
    <row r="2458" spans="1:7" ht="12.75" x14ac:dyDescent="0.2">
      <c r="A2458" s="3">
        <v>87</v>
      </c>
      <c r="B2458" s="4" t="s">
        <v>107</v>
      </c>
      <c r="C2458" s="3" t="s">
        <v>273</v>
      </c>
      <c r="D2458" s="3" t="s">
        <v>149</v>
      </c>
      <c r="E2458" s="3">
        <v>26</v>
      </c>
      <c r="G2458" s="57"/>
    </row>
    <row r="2459" spans="1:7" ht="12.75" x14ac:dyDescent="0.2">
      <c r="A2459" s="3">
        <v>87</v>
      </c>
      <c r="B2459" s="4" t="s">
        <v>107</v>
      </c>
      <c r="C2459" s="3" t="s">
        <v>273</v>
      </c>
      <c r="D2459" s="3" t="s">
        <v>14</v>
      </c>
      <c r="E2459" s="3">
        <v>98</v>
      </c>
      <c r="G2459" s="57"/>
    </row>
    <row r="2460" spans="1:7" ht="12.75" x14ac:dyDescent="0.2">
      <c r="A2460" s="3">
        <v>87</v>
      </c>
      <c r="B2460" s="4" t="s">
        <v>107</v>
      </c>
      <c r="C2460" s="3" t="s">
        <v>273</v>
      </c>
      <c r="D2460" s="3" t="s">
        <v>138</v>
      </c>
      <c r="E2460" s="3">
        <v>0</v>
      </c>
      <c r="F2460">
        <f>SUM(E2455:E2460)</f>
        <v>845</v>
      </c>
      <c r="G2460" s="57"/>
    </row>
    <row r="2461" spans="1:7" ht="12.75" x14ac:dyDescent="0.2">
      <c r="A2461" s="3">
        <v>87</v>
      </c>
      <c r="B2461" s="4" t="s">
        <v>107</v>
      </c>
      <c r="C2461" s="3" t="s">
        <v>125</v>
      </c>
      <c r="D2461" s="3" t="s">
        <v>283</v>
      </c>
      <c r="E2461" s="3">
        <v>407</v>
      </c>
      <c r="G2461" s="57"/>
    </row>
    <row r="2462" spans="1:7" ht="12.75" x14ac:dyDescent="0.2">
      <c r="A2462" s="3">
        <v>87</v>
      </c>
      <c r="B2462" s="4" t="s">
        <v>107</v>
      </c>
      <c r="C2462" s="3" t="s">
        <v>125</v>
      </c>
      <c r="D2462" s="3" t="s">
        <v>315</v>
      </c>
      <c r="E2462" s="3">
        <v>4</v>
      </c>
      <c r="G2462" s="57"/>
    </row>
    <row r="2463" spans="1:7" ht="12.75" x14ac:dyDescent="0.2">
      <c r="A2463" s="3">
        <v>87</v>
      </c>
      <c r="B2463" s="4" t="s">
        <v>107</v>
      </c>
      <c r="C2463" s="3" t="s">
        <v>125</v>
      </c>
      <c r="D2463" s="3" t="s">
        <v>128</v>
      </c>
      <c r="E2463" s="3">
        <v>292</v>
      </c>
      <c r="G2463" s="57"/>
    </row>
    <row r="2464" spans="1:7" ht="12.75" x14ac:dyDescent="0.2">
      <c r="A2464" s="3">
        <v>87</v>
      </c>
      <c r="B2464" s="4" t="s">
        <v>107</v>
      </c>
      <c r="C2464" s="3" t="s">
        <v>125</v>
      </c>
      <c r="D2464" s="3" t="s">
        <v>149</v>
      </c>
      <c r="E2464" s="3">
        <v>23</v>
      </c>
      <c r="G2464" s="57"/>
    </row>
    <row r="2465" spans="1:7" ht="12.75" x14ac:dyDescent="0.2">
      <c r="A2465" s="3">
        <v>87</v>
      </c>
      <c r="B2465" s="4" t="s">
        <v>107</v>
      </c>
      <c r="C2465" s="3" t="s">
        <v>125</v>
      </c>
      <c r="D2465" s="3" t="s">
        <v>14</v>
      </c>
      <c r="E2465" s="3">
        <v>119</v>
      </c>
      <c r="G2465" s="57"/>
    </row>
    <row r="2466" spans="1:7" ht="12.75" x14ac:dyDescent="0.2">
      <c r="A2466" s="3">
        <v>87</v>
      </c>
      <c r="B2466" s="4" t="s">
        <v>107</v>
      </c>
      <c r="C2466" s="3" t="s">
        <v>125</v>
      </c>
      <c r="D2466" s="3" t="s">
        <v>138</v>
      </c>
      <c r="E2466" s="3">
        <v>0</v>
      </c>
      <c r="F2466">
        <f>SUM(E2461:E2466)</f>
        <v>845</v>
      </c>
      <c r="G2466" s="57"/>
    </row>
    <row r="2467" spans="1:7" ht="12.75" x14ac:dyDescent="0.2">
      <c r="A2467" s="3">
        <v>88</v>
      </c>
      <c r="B2467" s="4" t="s">
        <v>108</v>
      </c>
      <c r="C2467" s="3" t="s">
        <v>347</v>
      </c>
      <c r="D2467" s="3" t="s">
        <v>283</v>
      </c>
      <c r="E2467" s="3">
        <v>127</v>
      </c>
      <c r="G2467" s="59">
        <v>496</v>
      </c>
    </row>
    <row r="2468" spans="1:7" ht="12.75" x14ac:dyDescent="0.2">
      <c r="A2468" s="3">
        <v>88</v>
      </c>
      <c r="B2468" s="4" t="s">
        <v>108</v>
      </c>
      <c r="C2468" s="3" t="s">
        <v>347</v>
      </c>
      <c r="D2468" s="3" t="s">
        <v>315</v>
      </c>
      <c r="E2468" s="3">
        <v>5</v>
      </c>
      <c r="G2468" s="57"/>
    </row>
    <row r="2469" spans="1:7" ht="12.75" x14ac:dyDescent="0.2">
      <c r="A2469" s="3">
        <v>88</v>
      </c>
      <c r="B2469" s="4" t="s">
        <v>108</v>
      </c>
      <c r="C2469" s="3" t="s">
        <v>347</v>
      </c>
      <c r="D2469" s="3" t="s">
        <v>316</v>
      </c>
      <c r="E2469" s="3">
        <v>2</v>
      </c>
      <c r="G2469" s="57"/>
    </row>
    <row r="2470" spans="1:7" ht="12.75" x14ac:dyDescent="0.2">
      <c r="A2470" s="3">
        <v>88</v>
      </c>
      <c r="B2470" s="4" t="s">
        <v>108</v>
      </c>
      <c r="C2470" s="3" t="s">
        <v>347</v>
      </c>
      <c r="D2470" s="3" t="s">
        <v>128</v>
      </c>
      <c r="E2470" s="3">
        <v>142</v>
      </c>
      <c r="G2470" s="57"/>
    </row>
    <row r="2471" spans="1:7" ht="12.75" x14ac:dyDescent="0.2">
      <c r="A2471" s="3">
        <v>88</v>
      </c>
      <c r="B2471" s="4" t="s">
        <v>108</v>
      </c>
      <c r="C2471" s="3" t="s">
        <v>347</v>
      </c>
      <c r="D2471" s="3" t="s">
        <v>353</v>
      </c>
      <c r="E2471" s="3">
        <v>7</v>
      </c>
      <c r="G2471" s="57"/>
    </row>
    <row r="2472" spans="1:7" ht="12.75" x14ac:dyDescent="0.2">
      <c r="A2472" s="3">
        <v>88</v>
      </c>
      <c r="B2472" s="4" t="s">
        <v>108</v>
      </c>
      <c r="C2472" s="3" t="s">
        <v>347</v>
      </c>
      <c r="D2472" s="3" t="s">
        <v>149</v>
      </c>
      <c r="E2472" s="3">
        <v>116</v>
      </c>
      <c r="G2472" s="57"/>
    </row>
    <row r="2473" spans="1:7" ht="12.75" x14ac:dyDescent="0.2">
      <c r="A2473" s="3">
        <v>88</v>
      </c>
      <c r="B2473" s="4" t="s">
        <v>108</v>
      </c>
      <c r="C2473" s="3" t="s">
        <v>347</v>
      </c>
      <c r="D2473" s="3" t="s">
        <v>14</v>
      </c>
      <c r="E2473" s="3">
        <v>34</v>
      </c>
      <c r="G2473" s="57"/>
    </row>
    <row r="2474" spans="1:7" ht="12.75" x14ac:dyDescent="0.2">
      <c r="A2474" s="3">
        <v>88</v>
      </c>
      <c r="B2474" s="4" t="s">
        <v>108</v>
      </c>
      <c r="C2474" s="3" t="s">
        <v>347</v>
      </c>
      <c r="D2474" s="3" t="s">
        <v>138</v>
      </c>
      <c r="E2474" s="3">
        <v>0</v>
      </c>
      <c r="F2474">
        <f>SUM(E2467:E2474)</f>
        <v>433</v>
      </c>
      <c r="G2474" s="57"/>
    </row>
    <row r="2475" spans="1:7" ht="12.75" x14ac:dyDescent="0.2">
      <c r="A2475" s="3">
        <v>88</v>
      </c>
      <c r="B2475" s="4" t="s">
        <v>108</v>
      </c>
      <c r="C2475" s="3" t="s">
        <v>273</v>
      </c>
      <c r="D2475" s="3" t="s">
        <v>283</v>
      </c>
      <c r="E2475" s="3">
        <v>163</v>
      </c>
      <c r="G2475" s="57"/>
    </row>
    <row r="2476" spans="1:7" ht="12.75" x14ac:dyDescent="0.2">
      <c r="A2476" s="3">
        <v>88</v>
      </c>
      <c r="B2476" s="4" t="s">
        <v>108</v>
      </c>
      <c r="C2476" s="3" t="s">
        <v>273</v>
      </c>
      <c r="D2476" s="3" t="s">
        <v>315</v>
      </c>
      <c r="E2476" s="3">
        <v>7</v>
      </c>
      <c r="G2476" s="57"/>
    </row>
    <row r="2477" spans="1:7" ht="12.75" x14ac:dyDescent="0.2">
      <c r="A2477" s="3">
        <v>88</v>
      </c>
      <c r="B2477" s="4" t="s">
        <v>108</v>
      </c>
      <c r="C2477" s="3" t="s">
        <v>273</v>
      </c>
      <c r="D2477" s="3" t="s">
        <v>128</v>
      </c>
      <c r="E2477" s="3">
        <v>135</v>
      </c>
      <c r="G2477" s="57"/>
    </row>
    <row r="2478" spans="1:7" ht="12.75" x14ac:dyDescent="0.2">
      <c r="A2478" s="3">
        <v>88</v>
      </c>
      <c r="B2478" s="4" t="s">
        <v>108</v>
      </c>
      <c r="C2478" s="3" t="s">
        <v>273</v>
      </c>
      <c r="D2478" s="3" t="s">
        <v>149</v>
      </c>
      <c r="E2478" s="3">
        <v>37</v>
      </c>
      <c r="G2478" s="57"/>
    </row>
    <row r="2479" spans="1:7" ht="12.75" x14ac:dyDescent="0.2">
      <c r="A2479" s="3">
        <v>88</v>
      </c>
      <c r="B2479" s="4" t="s">
        <v>108</v>
      </c>
      <c r="C2479" s="3" t="s">
        <v>273</v>
      </c>
      <c r="D2479" s="3" t="s">
        <v>14</v>
      </c>
      <c r="E2479" s="3">
        <v>91</v>
      </c>
      <c r="G2479" s="57"/>
    </row>
    <row r="2480" spans="1:7" ht="12.75" x14ac:dyDescent="0.2">
      <c r="A2480" s="3">
        <v>88</v>
      </c>
      <c r="B2480" s="4" t="s">
        <v>108</v>
      </c>
      <c r="C2480" s="3" t="s">
        <v>273</v>
      </c>
      <c r="D2480" s="3" t="s">
        <v>138</v>
      </c>
      <c r="E2480" s="3">
        <v>0</v>
      </c>
      <c r="F2480">
        <f>SUM(E2475:E2480)</f>
        <v>433</v>
      </c>
      <c r="G2480" s="57"/>
    </row>
    <row r="2481" spans="1:7" ht="12.75" x14ac:dyDescent="0.2">
      <c r="A2481" s="3">
        <v>88</v>
      </c>
      <c r="B2481" s="4" t="s">
        <v>108</v>
      </c>
      <c r="C2481" s="3" t="s">
        <v>125</v>
      </c>
      <c r="D2481" s="3" t="s">
        <v>283</v>
      </c>
      <c r="E2481" s="3">
        <v>163</v>
      </c>
      <c r="G2481" s="57"/>
    </row>
    <row r="2482" spans="1:7" ht="12.75" x14ac:dyDescent="0.2">
      <c r="A2482" s="3">
        <v>88</v>
      </c>
      <c r="B2482" s="4" t="s">
        <v>108</v>
      </c>
      <c r="C2482" s="3" t="s">
        <v>125</v>
      </c>
      <c r="D2482" s="3" t="s">
        <v>315</v>
      </c>
      <c r="E2482" s="3">
        <v>6</v>
      </c>
      <c r="G2482" s="57"/>
    </row>
    <row r="2483" spans="1:7" ht="12.75" x14ac:dyDescent="0.2">
      <c r="A2483" s="3">
        <v>88</v>
      </c>
      <c r="B2483" s="4" t="s">
        <v>108</v>
      </c>
      <c r="C2483" s="3" t="s">
        <v>125</v>
      </c>
      <c r="D2483" s="3" t="s">
        <v>128</v>
      </c>
      <c r="E2483" s="3">
        <v>136</v>
      </c>
      <c r="G2483" s="57"/>
    </row>
    <row r="2484" spans="1:7" ht="12.75" x14ac:dyDescent="0.2">
      <c r="A2484" s="3">
        <v>88</v>
      </c>
      <c r="B2484" s="4" t="s">
        <v>108</v>
      </c>
      <c r="C2484" s="3" t="s">
        <v>125</v>
      </c>
      <c r="D2484" s="3" t="s">
        <v>149</v>
      </c>
      <c r="E2484" s="3">
        <v>36</v>
      </c>
      <c r="G2484" s="57"/>
    </row>
    <row r="2485" spans="1:7" ht="12.75" x14ac:dyDescent="0.2">
      <c r="A2485" s="3">
        <v>88</v>
      </c>
      <c r="B2485" s="4" t="s">
        <v>108</v>
      </c>
      <c r="C2485" s="3" t="s">
        <v>125</v>
      </c>
      <c r="D2485" s="3" t="s">
        <v>14</v>
      </c>
      <c r="E2485" s="3">
        <v>92</v>
      </c>
      <c r="G2485" s="57"/>
    </row>
    <row r="2486" spans="1:7" ht="12.75" x14ac:dyDescent="0.2">
      <c r="A2486" s="3">
        <v>88</v>
      </c>
      <c r="B2486" s="4" t="s">
        <v>108</v>
      </c>
      <c r="C2486" s="3" t="s">
        <v>125</v>
      </c>
      <c r="D2486" s="3" t="s">
        <v>138</v>
      </c>
      <c r="E2486" s="3">
        <v>0</v>
      </c>
      <c r="F2486">
        <f>SUM(E2481:E2486)</f>
        <v>433</v>
      </c>
      <c r="G2486" s="57"/>
    </row>
    <row r="2487" spans="1:7" ht="12.75" x14ac:dyDescent="0.2">
      <c r="A2487" s="3">
        <v>89</v>
      </c>
      <c r="B2487" s="4" t="s">
        <v>109</v>
      </c>
      <c r="C2487" s="3" t="s">
        <v>347</v>
      </c>
      <c r="D2487" s="3" t="s">
        <v>283</v>
      </c>
      <c r="E2487" s="3">
        <v>1258</v>
      </c>
      <c r="G2487" s="59">
        <v>3217</v>
      </c>
    </row>
    <row r="2488" spans="1:7" ht="12.75" x14ac:dyDescent="0.2">
      <c r="A2488" s="3">
        <v>89</v>
      </c>
      <c r="B2488" s="4" t="s">
        <v>109</v>
      </c>
      <c r="C2488" s="3" t="s">
        <v>347</v>
      </c>
      <c r="D2488" s="3" t="s">
        <v>315</v>
      </c>
      <c r="E2488" s="3">
        <v>23</v>
      </c>
      <c r="G2488" s="57"/>
    </row>
    <row r="2489" spans="1:7" ht="12.75" x14ac:dyDescent="0.2">
      <c r="A2489" s="3">
        <v>89</v>
      </c>
      <c r="B2489" s="4" t="s">
        <v>109</v>
      </c>
      <c r="C2489" s="3" t="s">
        <v>347</v>
      </c>
      <c r="D2489" s="3" t="s">
        <v>316</v>
      </c>
      <c r="E2489" s="3">
        <v>71</v>
      </c>
      <c r="G2489" s="57"/>
    </row>
    <row r="2490" spans="1:7" ht="12.75" x14ac:dyDescent="0.2">
      <c r="A2490" s="3">
        <v>89</v>
      </c>
      <c r="B2490" s="4" t="s">
        <v>109</v>
      </c>
      <c r="C2490" s="3" t="s">
        <v>347</v>
      </c>
      <c r="D2490" s="3" t="s">
        <v>128</v>
      </c>
      <c r="E2490" s="3">
        <v>792</v>
      </c>
      <c r="G2490" s="57"/>
    </row>
    <row r="2491" spans="1:7" ht="12.75" x14ac:dyDescent="0.2">
      <c r="A2491" s="3">
        <v>89</v>
      </c>
      <c r="B2491" s="4" t="s">
        <v>109</v>
      </c>
      <c r="C2491" s="3" t="s">
        <v>347</v>
      </c>
      <c r="D2491" s="3" t="s">
        <v>353</v>
      </c>
      <c r="E2491" s="3">
        <v>33</v>
      </c>
      <c r="G2491" s="57"/>
    </row>
    <row r="2492" spans="1:7" ht="12.75" x14ac:dyDescent="0.2">
      <c r="A2492" s="3">
        <v>89</v>
      </c>
      <c r="B2492" s="4" t="s">
        <v>109</v>
      </c>
      <c r="C2492" s="3" t="s">
        <v>347</v>
      </c>
      <c r="D2492" s="3" t="s">
        <v>149</v>
      </c>
      <c r="E2492" s="3">
        <v>328</v>
      </c>
      <c r="G2492" s="57"/>
    </row>
    <row r="2493" spans="1:7" ht="12.75" x14ac:dyDescent="0.2">
      <c r="A2493" s="3">
        <v>89</v>
      </c>
      <c r="B2493" s="4" t="s">
        <v>109</v>
      </c>
      <c r="C2493" s="3" t="s">
        <v>347</v>
      </c>
      <c r="D2493" s="3" t="s">
        <v>14</v>
      </c>
      <c r="E2493" s="3">
        <v>131</v>
      </c>
      <c r="G2493" s="57"/>
    </row>
    <row r="2494" spans="1:7" ht="12.75" x14ac:dyDescent="0.2">
      <c r="A2494" s="3">
        <v>89</v>
      </c>
      <c r="B2494" s="4" t="s">
        <v>109</v>
      </c>
      <c r="C2494" s="3" t="s">
        <v>347</v>
      </c>
      <c r="D2494" s="3" t="s">
        <v>138</v>
      </c>
      <c r="E2494" s="3">
        <v>11</v>
      </c>
      <c r="F2494">
        <f>SUM(E2487:E2494)</f>
        <v>2647</v>
      </c>
      <c r="G2494" s="57"/>
    </row>
    <row r="2495" spans="1:7" ht="12.75" x14ac:dyDescent="0.2">
      <c r="A2495" s="3">
        <v>89</v>
      </c>
      <c r="B2495" s="4" t="s">
        <v>109</v>
      </c>
      <c r="C2495" s="3" t="s">
        <v>273</v>
      </c>
      <c r="D2495" s="3" t="s">
        <v>283</v>
      </c>
      <c r="E2495" s="3">
        <v>1252</v>
      </c>
      <c r="G2495" s="57"/>
    </row>
    <row r="2496" spans="1:7" ht="12.75" x14ac:dyDescent="0.2">
      <c r="A2496" s="3">
        <v>89</v>
      </c>
      <c r="B2496" s="4" t="s">
        <v>109</v>
      </c>
      <c r="C2496" s="3" t="s">
        <v>273</v>
      </c>
      <c r="D2496" s="3" t="s">
        <v>315</v>
      </c>
      <c r="E2496" s="3">
        <v>10</v>
      </c>
      <c r="G2496" s="57"/>
    </row>
    <row r="2497" spans="1:7" ht="12.75" x14ac:dyDescent="0.2">
      <c r="A2497" s="3">
        <v>89</v>
      </c>
      <c r="B2497" s="4" t="s">
        <v>109</v>
      </c>
      <c r="C2497" s="3" t="s">
        <v>273</v>
      </c>
      <c r="D2497" s="3" t="s">
        <v>128</v>
      </c>
      <c r="E2497" s="3">
        <v>792</v>
      </c>
      <c r="G2497" s="57"/>
    </row>
    <row r="2498" spans="1:7" ht="12.75" x14ac:dyDescent="0.2">
      <c r="A2498" s="3">
        <v>89</v>
      </c>
      <c r="B2498" s="4" t="s">
        <v>109</v>
      </c>
      <c r="C2498" s="3" t="s">
        <v>273</v>
      </c>
      <c r="D2498" s="3" t="s">
        <v>149</v>
      </c>
      <c r="E2498" s="3">
        <v>134</v>
      </c>
      <c r="G2498" s="57"/>
    </row>
    <row r="2499" spans="1:7" ht="12.75" x14ac:dyDescent="0.2">
      <c r="A2499" s="3">
        <v>89</v>
      </c>
      <c r="B2499" s="4" t="s">
        <v>109</v>
      </c>
      <c r="C2499" s="3" t="s">
        <v>273</v>
      </c>
      <c r="D2499" s="3" t="s">
        <v>14</v>
      </c>
      <c r="E2499" s="3">
        <v>447</v>
      </c>
      <c r="G2499" s="57"/>
    </row>
    <row r="2500" spans="1:7" ht="12.75" x14ac:dyDescent="0.2">
      <c r="A2500" s="3">
        <v>89</v>
      </c>
      <c r="B2500" s="4" t="s">
        <v>109</v>
      </c>
      <c r="C2500" s="3" t="s">
        <v>273</v>
      </c>
      <c r="D2500" s="3" t="s">
        <v>138</v>
      </c>
      <c r="E2500" s="3">
        <v>12</v>
      </c>
      <c r="F2500">
        <f>SUM(E2495:E2500)</f>
        <v>2647</v>
      </c>
      <c r="G2500" s="57"/>
    </row>
    <row r="2501" spans="1:7" ht="12.75" x14ac:dyDescent="0.2">
      <c r="A2501" s="3">
        <v>89</v>
      </c>
      <c r="B2501" s="4" t="s">
        <v>109</v>
      </c>
      <c r="C2501" s="3" t="s">
        <v>125</v>
      </c>
      <c r="D2501" s="3" t="s">
        <v>283</v>
      </c>
      <c r="E2501" s="3">
        <v>1244</v>
      </c>
      <c r="G2501" s="57"/>
    </row>
    <row r="2502" spans="1:7" ht="12.75" x14ac:dyDescent="0.2">
      <c r="A2502" s="3">
        <v>89</v>
      </c>
      <c r="B2502" s="4" t="s">
        <v>109</v>
      </c>
      <c r="C2502" s="3" t="s">
        <v>125</v>
      </c>
      <c r="D2502" s="3" t="s">
        <v>315</v>
      </c>
      <c r="E2502" s="3">
        <v>91</v>
      </c>
      <c r="G2502" s="57"/>
    </row>
    <row r="2503" spans="1:7" ht="12.75" x14ac:dyDescent="0.2">
      <c r="A2503" s="3">
        <v>89</v>
      </c>
      <c r="B2503" s="4" t="s">
        <v>109</v>
      </c>
      <c r="C2503" s="3" t="s">
        <v>125</v>
      </c>
      <c r="D2503" s="3" t="s">
        <v>128</v>
      </c>
      <c r="E2503" s="3">
        <v>728</v>
      </c>
      <c r="G2503" s="57"/>
    </row>
    <row r="2504" spans="1:7" ht="12.75" x14ac:dyDescent="0.2">
      <c r="A2504" s="3">
        <v>89</v>
      </c>
      <c r="B2504" s="4" t="s">
        <v>109</v>
      </c>
      <c r="C2504" s="3" t="s">
        <v>125</v>
      </c>
      <c r="D2504" s="3" t="s">
        <v>149</v>
      </c>
      <c r="E2504" s="3">
        <v>154</v>
      </c>
      <c r="G2504" s="57"/>
    </row>
    <row r="2505" spans="1:7" ht="12.75" x14ac:dyDescent="0.2">
      <c r="A2505" s="3">
        <v>89</v>
      </c>
      <c r="B2505" s="4" t="s">
        <v>109</v>
      </c>
      <c r="C2505" s="3" t="s">
        <v>125</v>
      </c>
      <c r="D2505" s="3" t="s">
        <v>14</v>
      </c>
      <c r="E2505" s="3">
        <v>417</v>
      </c>
      <c r="G2505" s="57"/>
    </row>
    <row r="2506" spans="1:7" ht="12.75" x14ac:dyDescent="0.2">
      <c r="A2506" s="3">
        <v>89</v>
      </c>
      <c r="B2506" s="4" t="s">
        <v>109</v>
      </c>
      <c r="C2506" s="3" t="s">
        <v>125</v>
      </c>
      <c r="D2506" s="3" t="s">
        <v>138</v>
      </c>
      <c r="E2506" s="3">
        <v>13</v>
      </c>
      <c r="F2506">
        <f>SUM(E2501:E2506)</f>
        <v>2647</v>
      </c>
      <c r="G2506" s="57"/>
    </row>
    <row r="2507" spans="1:7" ht="12.75" x14ac:dyDescent="0.2">
      <c r="A2507" s="3">
        <v>90</v>
      </c>
      <c r="B2507" s="4" t="s">
        <v>110</v>
      </c>
      <c r="C2507" s="3" t="s">
        <v>347</v>
      </c>
      <c r="D2507" s="3" t="s">
        <v>283</v>
      </c>
      <c r="E2507" s="3">
        <v>224</v>
      </c>
      <c r="G2507" s="59">
        <v>685</v>
      </c>
    </row>
    <row r="2508" spans="1:7" ht="12.75" x14ac:dyDescent="0.2">
      <c r="A2508" s="3">
        <v>90</v>
      </c>
      <c r="B2508" s="4" t="s">
        <v>110</v>
      </c>
      <c r="C2508" s="3" t="s">
        <v>347</v>
      </c>
      <c r="D2508" s="3" t="s">
        <v>315</v>
      </c>
      <c r="E2508" s="3">
        <v>10</v>
      </c>
      <c r="G2508" s="57"/>
    </row>
    <row r="2509" spans="1:7" ht="12.75" x14ac:dyDescent="0.2">
      <c r="A2509" s="3">
        <v>90</v>
      </c>
      <c r="B2509" s="4" t="s">
        <v>110</v>
      </c>
      <c r="C2509" s="3" t="s">
        <v>347</v>
      </c>
      <c r="D2509" s="3" t="s">
        <v>316</v>
      </c>
      <c r="E2509" s="3">
        <v>1</v>
      </c>
      <c r="G2509" s="57"/>
    </row>
    <row r="2510" spans="1:7" ht="12.75" x14ac:dyDescent="0.2">
      <c r="A2510" s="3">
        <v>90</v>
      </c>
      <c r="B2510" s="4" t="s">
        <v>110</v>
      </c>
      <c r="C2510" s="3" t="s">
        <v>347</v>
      </c>
      <c r="D2510" s="3" t="s">
        <v>128</v>
      </c>
      <c r="E2510" s="3">
        <v>208</v>
      </c>
      <c r="G2510" s="57"/>
    </row>
    <row r="2511" spans="1:7" ht="12.75" x14ac:dyDescent="0.2">
      <c r="A2511" s="3">
        <v>90</v>
      </c>
      <c r="B2511" s="4" t="s">
        <v>110</v>
      </c>
      <c r="C2511" s="3" t="s">
        <v>347</v>
      </c>
      <c r="D2511" s="3" t="s">
        <v>353</v>
      </c>
      <c r="E2511" s="3">
        <v>10</v>
      </c>
      <c r="G2511" s="57"/>
    </row>
    <row r="2512" spans="1:7" ht="12.75" x14ac:dyDescent="0.2">
      <c r="A2512" s="3">
        <v>90</v>
      </c>
      <c r="B2512" s="4" t="s">
        <v>110</v>
      </c>
      <c r="C2512" s="3" t="s">
        <v>347</v>
      </c>
      <c r="D2512" s="3" t="s">
        <v>149</v>
      </c>
      <c r="E2512" s="3">
        <v>137</v>
      </c>
      <c r="G2512" s="57"/>
    </row>
    <row r="2513" spans="1:7" ht="12.75" x14ac:dyDescent="0.2">
      <c r="A2513" s="3">
        <v>90</v>
      </c>
      <c r="B2513" s="4" t="s">
        <v>110</v>
      </c>
      <c r="C2513" s="3" t="s">
        <v>347</v>
      </c>
      <c r="D2513" s="3" t="s">
        <v>14</v>
      </c>
      <c r="E2513" s="3">
        <v>33</v>
      </c>
      <c r="G2513" s="57"/>
    </row>
    <row r="2514" spans="1:7" ht="12.75" x14ac:dyDescent="0.2">
      <c r="A2514" s="3">
        <v>90</v>
      </c>
      <c r="B2514" s="4" t="s">
        <v>110</v>
      </c>
      <c r="C2514" s="3" t="s">
        <v>347</v>
      </c>
      <c r="D2514" s="3" t="s">
        <v>138</v>
      </c>
      <c r="E2514" s="3">
        <v>0</v>
      </c>
      <c r="F2514">
        <f>SUM(E2507:E2514)</f>
        <v>623</v>
      </c>
      <c r="G2514" s="57"/>
    </row>
    <row r="2515" spans="1:7" ht="12.75" x14ac:dyDescent="0.2">
      <c r="A2515" s="3">
        <v>90</v>
      </c>
      <c r="B2515" s="4" t="s">
        <v>110</v>
      </c>
      <c r="C2515" s="3" t="s">
        <v>273</v>
      </c>
      <c r="D2515" s="3" t="s">
        <v>283</v>
      </c>
      <c r="E2515" s="3">
        <v>205</v>
      </c>
      <c r="G2515" s="57"/>
    </row>
    <row r="2516" spans="1:7" ht="12.75" x14ac:dyDescent="0.2">
      <c r="A2516" s="3">
        <v>90</v>
      </c>
      <c r="B2516" s="4" t="s">
        <v>110</v>
      </c>
      <c r="C2516" s="3" t="s">
        <v>273</v>
      </c>
      <c r="D2516" s="3" t="s">
        <v>315</v>
      </c>
      <c r="E2516" s="3">
        <v>2</v>
      </c>
      <c r="G2516" s="57"/>
    </row>
    <row r="2517" spans="1:7" ht="12.75" x14ac:dyDescent="0.2">
      <c r="A2517" s="3">
        <v>90</v>
      </c>
      <c r="B2517" s="4" t="s">
        <v>110</v>
      </c>
      <c r="C2517" s="3" t="s">
        <v>273</v>
      </c>
      <c r="D2517" s="3" t="s">
        <v>128</v>
      </c>
      <c r="E2517" s="3">
        <v>236</v>
      </c>
      <c r="G2517" s="57"/>
    </row>
    <row r="2518" spans="1:7" ht="12.75" x14ac:dyDescent="0.2">
      <c r="A2518" s="3">
        <v>90</v>
      </c>
      <c r="B2518" s="4" t="s">
        <v>110</v>
      </c>
      <c r="C2518" s="3" t="s">
        <v>273</v>
      </c>
      <c r="D2518" s="3" t="s">
        <v>149</v>
      </c>
      <c r="E2518" s="3">
        <v>54</v>
      </c>
      <c r="G2518" s="57"/>
    </row>
    <row r="2519" spans="1:7" ht="12.75" x14ac:dyDescent="0.2">
      <c r="A2519" s="3">
        <v>90</v>
      </c>
      <c r="B2519" s="4" t="s">
        <v>110</v>
      </c>
      <c r="C2519" s="3" t="s">
        <v>273</v>
      </c>
      <c r="D2519" s="3" t="s">
        <v>14</v>
      </c>
      <c r="E2519" s="3">
        <v>126</v>
      </c>
      <c r="G2519" s="57"/>
    </row>
    <row r="2520" spans="1:7" ht="12.75" x14ac:dyDescent="0.2">
      <c r="A2520" s="3">
        <v>90</v>
      </c>
      <c r="B2520" s="4" t="s">
        <v>110</v>
      </c>
      <c r="C2520" s="3" t="s">
        <v>273</v>
      </c>
      <c r="D2520" s="3" t="s">
        <v>138</v>
      </c>
      <c r="E2520" s="3">
        <v>0</v>
      </c>
      <c r="F2520">
        <f>SUM(E2515:E2520)</f>
        <v>623</v>
      </c>
      <c r="G2520" s="57"/>
    </row>
    <row r="2521" spans="1:7" ht="12.75" x14ac:dyDescent="0.2">
      <c r="A2521" s="3">
        <v>90</v>
      </c>
      <c r="B2521" s="4" t="s">
        <v>110</v>
      </c>
      <c r="C2521" s="3" t="s">
        <v>125</v>
      </c>
      <c r="D2521" s="3" t="s">
        <v>283</v>
      </c>
      <c r="E2521" s="3">
        <v>210</v>
      </c>
      <c r="G2521" s="57"/>
    </row>
    <row r="2522" spans="1:7" ht="12.75" x14ac:dyDescent="0.2">
      <c r="A2522" s="3">
        <v>90</v>
      </c>
      <c r="B2522" s="4" t="s">
        <v>110</v>
      </c>
      <c r="C2522" s="3" t="s">
        <v>125</v>
      </c>
      <c r="D2522" s="3" t="s">
        <v>315</v>
      </c>
      <c r="E2522" s="3">
        <v>2</v>
      </c>
      <c r="G2522" s="57"/>
    </row>
    <row r="2523" spans="1:7" ht="12.75" x14ac:dyDescent="0.2">
      <c r="A2523" s="3">
        <v>90</v>
      </c>
      <c r="B2523" s="4" t="s">
        <v>110</v>
      </c>
      <c r="C2523" s="3" t="s">
        <v>125</v>
      </c>
      <c r="D2523" s="3" t="s">
        <v>128</v>
      </c>
      <c r="E2523" s="3">
        <v>237</v>
      </c>
      <c r="G2523" s="57"/>
    </row>
    <row r="2524" spans="1:7" ht="12.75" x14ac:dyDescent="0.2">
      <c r="A2524" s="3">
        <v>90</v>
      </c>
      <c r="B2524" s="4" t="s">
        <v>110</v>
      </c>
      <c r="C2524" s="3" t="s">
        <v>125</v>
      </c>
      <c r="D2524" s="3" t="s">
        <v>149</v>
      </c>
      <c r="E2524" s="3">
        <v>33</v>
      </c>
      <c r="G2524" s="57"/>
    </row>
    <row r="2525" spans="1:7" ht="12.75" x14ac:dyDescent="0.2">
      <c r="A2525" s="3">
        <v>90</v>
      </c>
      <c r="B2525" s="4" t="s">
        <v>110</v>
      </c>
      <c r="C2525" s="3" t="s">
        <v>125</v>
      </c>
      <c r="D2525" s="3" t="s">
        <v>14</v>
      </c>
      <c r="E2525" s="3">
        <v>141</v>
      </c>
      <c r="G2525" s="57"/>
    </row>
    <row r="2526" spans="1:7" ht="12.75" x14ac:dyDescent="0.2">
      <c r="A2526" s="3">
        <v>90</v>
      </c>
      <c r="B2526" s="4" t="s">
        <v>110</v>
      </c>
      <c r="C2526" s="3" t="s">
        <v>125</v>
      </c>
      <c r="D2526" s="3" t="s">
        <v>138</v>
      </c>
      <c r="E2526" s="3">
        <v>0</v>
      </c>
      <c r="F2526">
        <f>SUM(E2521:E2526)</f>
        <v>623</v>
      </c>
      <c r="G2526" s="57"/>
    </row>
    <row r="2527" spans="1:7" ht="12.75" x14ac:dyDescent="0.2">
      <c r="A2527" s="3">
        <v>91</v>
      </c>
      <c r="B2527" s="4" t="s">
        <v>111</v>
      </c>
      <c r="C2527" s="3" t="s">
        <v>347</v>
      </c>
      <c r="D2527" s="3" t="s">
        <v>283</v>
      </c>
      <c r="E2527" s="3">
        <v>93</v>
      </c>
      <c r="G2527" s="59">
        <v>314</v>
      </c>
    </row>
    <row r="2528" spans="1:7" ht="12.75" x14ac:dyDescent="0.2">
      <c r="A2528" s="3">
        <v>91</v>
      </c>
      <c r="B2528" s="4" t="s">
        <v>111</v>
      </c>
      <c r="C2528" s="3" t="s">
        <v>347</v>
      </c>
      <c r="D2528" s="3" t="s">
        <v>315</v>
      </c>
      <c r="E2528" s="3">
        <v>6</v>
      </c>
      <c r="G2528" s="57"/>
    </row>
    <row r="2529" spans="1:7" ht="12.75" x14ac:dyDescent="0.2">
      <c r="A2529" s="3">
        <v>91</v>
      </c>
      <c r="B2529" s="4" t="s">
        <v>111</v>
      </c>
      <c r="C2529" s="3" t="s">
        <v>347</v>
      </c>
      <c r="D2529" s="3" t="s">
        <v>316</v>
      </c>
      <c r="E2529" s="3">
        <v>3</v>
      </c>
      <c r="G2529" s="57"/>
    </row>
    <row r="2530" spans="1:7" ht="12.75" x14ac:dyDescent="0.2">
      <c r="A2530" s="3">
        <v>91</v>
      </c>
      <c r="B2530" s="4" t="s">
        <v>111</v>
      </c>
      <c r="C2530" s="3" t="s">
        <v>347</v>
      </c>
      <c r="D2530" s="3" t="s">
        <v>128</v>
      </c>
      <c r="E2530" s="3">
        <v>119</v>
      </c>
      <c r="G2530" s="57"/>
    </row>
    <row r="2531" spans="1:7" ht="12.75" x14ac:dyDescent="0.2">
      <c r="A2531" s="3">
        <v>91</v>
      </c>
      <c r="B2531" s="4" t="s">
        <v>111</v>
      </c>
      <c r="C2531" s="3" t="s">
        <v>347</v>
      </c>
      <c r="D2531" s="3" t="s">
        <v>353</v>
      </c>
      <c r="E2531" s="3">
        <v>3</v>
      </c>
      <c r="G2531" s="57"/>
    </row>
    <row r="2532" spans="1:7" ht="12.75" x14ac:dyDescent="0.2">
      <c r="A2532" s="3">
        <v>91</v>
      </c>
      <c r="B2532" s="4" t="s">
        <v>111</v>
      </c>
      <c r="C2532" s="3" t="s">
        <v>347</v>
      </c>
      <c r="D2532" s="3" t="s">
        <v>149</v>
      </c>
      <c r="E2532" s="3">
        <v>19</v>
      </c>
      <c r="G2532" s="57"/>
    </row>
    <row r="2533" spans="1:7" ht="12.75" x14ac:dyDescent="0.2">
      <c r="A2533" s="3">
        <v>91</v>
      </c>
      <c r="B2533" s="4" t="s">
        <v>111</v>
      </c>
      <c r="C2533" s="3" t="s">
        <v>347</v>
      </c>
      <c r="D2533" s="3" t="s">
        <v>14</v>
      </c>
      <c r="E2533" s="3">
        <v>30</v>
      </c>
      <c r="G2533" s="57"/>
    </row>
    <row r="2534" spans="1:7" ht="12.75" x14ac:dyDescent="0.2">
      <c r="A2534" s="3">
        <v>91</v>
      </c>
      <c r="B2534" s="4" t="s">
        <v>111</v>
      </c>
      <c r="C2534" s="3" t="s">
        <v>347</v>
      </c>
      <c r="D2534" s="3" t="s">
        <v>138</v>
      </c>
      <c r="E2534" s="3">
        <v>10</v>
      </c>
      <c r="F2534">
        <f>SUM(E2527:E2534)</f>
        <v>283</v>
      </c>
      <c r="G2534" s="57"/>
    </row>
    <row r="2535" spans="1:7" ht="12.75" x14ac:dyDescent="0.2">
      <c r="A2535" s="3">
        <v>91</v>
      </c>
      <c r="B2535" s="4" t="s">
        <v>111</v>
      </c>
      <c r="C2535" s="3" t="s">
        <v>273</v>
      </c>
      <c r="D2535" s="3" t="s">
        <v>283</v>
      </c>
      <c r="E2535" s="3">
        <v>112</v>
      </c>
      <c r="G2535" s="57"/>
    </row>
    <row r="2536" spans="1:7" ht="12.75" x14ac:dyDescent="0.2">
      <c r="A2536" s="3">
        <v>91</v>
      </c>
      <c r="B2536" s="4" t="s">
        <v>111</v>
      </c>
      <c r="C2536" s="3" t="s">
        <v>273</v>
      </c>
      <c r="D2536" s="3" t="s">
        <v>315</v>
      </c>
      <c r="E2536" s="3">
        <v>0</v>
      </c>
      <c r="G2536" s="57"/>
    </row>
    <row r="2537" spans="1:7" ht="12.75" x14ac:dyDescent="0.2">
      <c r="A2537" s="3">
        <v>91</v>
      </c>
      <c r="B2537" s="4" t="s">
        <v>111</v>
      </c>
      <c r="C2537" s="3" t="s">
        <v>273</v>
      </c>
      <c r="D2537" s="3" t="s">
        <v>128</v>
      </c>
      <c r="E2537" s="3">
        <v>111</v>
      </c>
      <c r="G2537" s="57"/>
    </row>
    <row r="2538" spans="1:7" ht="12.75" x14ac:dyDescent="0.2">
      <c r="A2538" s="3">
        <v>91</v>
      </c>
      <c r="B2538" s="4" t="s">
        <v>111</v>
      </c>
      <c r="C2538" s="3" t="s">
        <v>273</v>
      </c>
      <c r="D2538" s="3" t="s">
        <v>149</v>
      </c>
      <c r="E2538" s="3">
        <v>2</v>
      </c>
      <c r="G2538" s="57"/>
    </row>
    <row r="2539" spans="1:7" ht="12.75" x14ac:dyDescent="0.2">
      <c r="A2539" s="3">
        <v>91</v>
      </c>
      <c r="B2539" s="4" t="s">
        <v>111</v>
      </c>
      <c r="C2539" s="3" t="s">
        <v>273</v>
      </c>
      <c r="D2539" s="3" t="s">
        <v>14</v>
      </c>
      <c r="E2539" s="3">
        <v>40</v>
      </c>
      <c r="G2539" s="57"/>
    </row>
    <row r="2540" spans="1:7" ht="12.75" x14ac:dyDescent="0.2">
      <c r="A2540" s="3">
        <v>91</v>
      </c>
      <c r="B2540" s="4" t="s">
        <v>111</v>
      </c>
      <c r="C2540" s="3" t="s">
        <v>273</v>
      </c>
      <c r="D2540" s="3" t="s">
        <v>138</v>
      </c>
      <c r="E2540" s="3">
        <v>18</v>
      </c>
      <c r="F2540">
        <f>SUM(E2535:E2540)</f>
        <v>283</v>
      </c>
      <c r="G2540" s="57"/>
    </row>
    <row r="2541" spans="1:7" ht="12.75" x14ac:dyDescent="0.2">
      <c r="A2541" s="3">
        <v>91</v>
      </c>
      <c r="B2541" s="4" t="s">
        <v>111</v>
      </c>
      <c r="C2541" s="3" t="s">
        <v>125</v>
      </c>
      <c r="D2541" s="3" t="s">
        <v>283</v>
      </c>
      <c r="E2541" s="3">
        <v>113</v>
      </c>
      <c r="G2541" s="57"/>
    </row>
    <row r="2542" spans="1:7" ht="12.75" x14ac:dyDescent="0.2">
      <c r="A2542" s="3">
        <v>91</v>
      </c>
      <c r="B2542" s="4" t="s">
        <v>111</v>
      </c>
      <c r="C2542" s="3" t="s">
        <v>125</v>
      </c>
      <c r="D2542" s="3" t="s">
        <v>315</v>
      </c>
      <c r="E2542" s="3">
        <v>0</v>
      </c>
      <c r="G2542" s="57"/>
    </row>
    <row r="2543" spans="1:7" ht="12.75" x14ac:dyDescent="0.2">
      <c r="A2543" s="3">
        <v>91</v>
      </c>
      <c r="B2543" s="4" t="s">
        <v>111</v>
      </c>
      <c r="C2543" s="3" t="s">
        <v>125</v>
      </c>
      <c r="D2543" s="3" t="s">
        <v>128</v>
      </c>
      <c r="E2543" s="3">
        <v>108</v>
      </c>
      <c r="G2543" s="57"/>
    </row>
    <row r="2544" spans="1:7" ht="12.75" x14ac:dyDescent="0.2">
      <c r="A2544" s="3">
        <v>91</v>
      </c>
      <c r="B2544" s="4" t="s">
        <v>111</v>
      </c>
      <c r="C2544" s="3" t="s">
        <v>125</v>
      </c>
      <c r="D2544" s="3" t="s">
        <v>149</v>
      </c>
      <c r="E2544" s="3">
        <v>2</v>
      </c>
      <c r="G2544" s="57"/>
    </row>
    <row r="2545" spans="1:7" ht="12.75" x14ac:dyDescent="0.2">
      <c r="A2545" s="3">
        <v>91</v>
      </c>
      <c r="B2545" s="4" t="s">
        <v>111</v>
      </c>
      <c r="C2545" s="3" t="s">
        <v>125</v>
      </c>
      <c r="D2545" s="3" t="s">
        <v>14</v>
      </c>
      <c r="E2545" s="3">
        <v>40</v>
      </c>
      <c r="G2545" s="57"/>
    </row>
    <row r="2546" spans="1:7" ht="12.75" x14ac:dyDescent="0.2">
      <c r="A2546" s="3">
        <v>91</v>
      </c>
      <c r="B2546" s="4" t="s">
        <v>111</v>
      </c>
      <c r="C2546" s="3" t="s">
        <v>125</v>
      </c>
      <c r="D2546" s="3" t="s">
        <v>138</v>
      </c>
      <c r="E2546" s="3">
        <v>20</v>
      </c>
      <c r="F2546">
        <f>SUM(E2541:E2546)</f>
        <v>283</v>
      </c>
      <c r="G2546" s="57"/>
    </row>
    <row r="2547" spans="1:7" ht="12.75" x14ac:dyDescent="0.2">
      <c r="A2547" s="3">
        <v>92</v>
      </c>
      <c r="B2547" s="4" t="s">
        <v>112</v>
      </c>
      <c r="C2547" s="3" t="s">
        <v>347</v>
      </c>
      <c r="D2547" s="3" t="s">
        <v>283</v>
      </c>
      <c r="E2547" s="3">
        <v>86</v>
      </c>
      <c r="G2547" s="59">
        <v>264</v>
      </c>
    </row>
    <row r="2548" spans="1:7" ht="12.75" x14ac:dyDescent="0.2">
      <c r="A2548" s="3">
        <v>92</v>
      </c>
      <c r="B2548" s="4" t="s">
        <v>112</v>
      </c>
      <c r="C2548" s="3" t="s">
        <v>347</v>
      </c>
      <c r="D2548" s="3" t="s">
        <v>315</v>
      </c>
      <c r="E2548" s="3">
        <v>2</v>
      </c>
      <c r="G2548" s="57"/>
    </row>
    <row r="2549" spans="1:7" ht="12.75" x14ac:dyDescent="0.2">
      <c r="A2549" s="3">
        <v>92</v>
      </c>
      <c r="B2549" s="4" t="s">
        <v>112</v>
      </c>
      <c r="C2549" s="3" t="s">
        <v>347</v>
      </c>
      <c r="D2549" s="3" t="s">
        <v>316</v>
      </c>
      <c r="E2549" s="3">
        <v>5</v>
      </c>
      <c r="G2549" s="57"/>
    </row>
    <row r="2550" spans="1:7" ht="12.75" x14ac:dyDescent="0.2">
      <c r="A2550" s="3">
        <v>92</v>
      </c>
      <c r="B2550" s="4" t="s">
        <v>112</v>
      </c>
      <c r="C2550" s="3" t="s">
        <v>347</v>
      </c>
      <c r="D2550" s="3" t="s">
        <v>128</v>
      </c>
      <c r="E2550" s="3">
        <v>65</v>
      </c>
      <c r="G2550" s="57"/>
    </row>
    <row r="2551" spans="1:7" ht="12.75" x14ac:dyDescent="0.2">
      <c r="A2551" s="3">
        <v>92</v>
      </c>
      <c r="B2551" s="4" t="s">
        <v>112</v>
      </c>
      <c r="C2551" s="3" t="s">
        <v>347</v>
      </c>
      <c r="D2551" s="3" t="s">
        <v>353</v>
      </c>
      <c r="E2551" s="3">
        <v>1</v>
      </c>
      <c r="G2551" s="57"/>
    </row>
    <row r="2552" spans="1:7" ht="12.75" x14ac:dyDescent="0.2">
      <c r="A2552" s="3">
        <v>92</v>
      </c>
      <c r="B2552" s="4" t="s">
        <v>112</v>
      </c>
      <c r="C2552" s="3" t="s">
        <v>347</v>
      </c>
      <c r="D2552" s="3" t="s">
        <v>149</v>
      </c>
      <c r="E2552" s="3">
        <v>50</v>
      </c>
      <c r="G2552" s="57"/>
    </row>
    <row r="2553" spans="1:7" ht="12.75" x14ac:dyDescent="0.2">
      <c r="A2553" s="3">
        <v>92</v>
      </c>
      <c r="B2553" s="4" t="s">
        <v>112</v>
      </c>
      <c r="C2553" s="3" t="s">
        <v>347</v>
      </c>
      <c r="D2553" s="3" t="s">
        <v>14</v>
      </c>
      <c r="E2553" s="3">
        <v>17</v>
      </c>
      <c r="G2553" s="57"/>
    </row>
    <row r="2554" spans="1:7" ht="12.75" x14ac:dyDescent="0.2">
      <c r="A2554" s="3">
        <v>92</v>
      </c>
      <c r="B2554" s="4" t="s">
        <v>112</v>
      </c>
      <c r="C2554" s="3" t="s">
        <v>347</v>
      </c>
      <c r="D2554" s="3" t="s">
        <v>138</v>
      </c>
      <c r="E2554" s="3">
        <v>0</v>
      </c>
      <c r="F2554">
        <f>SUM(E2547:E2554)</f>
        <v>226</v>
      </c>
      <c r="G2554" s="57"/>
    </row>
    <row r="2555" spans="1:7" ht="12.75" x14ac:dyDescent="0.2">
      <c r="A2555" s="3">
        <v>92</v>
      </c>
      <c r="B2555" s="4" t="s">
        <v>112</v>
      </c>
      <c r="C2555" s="3" t="s">
        <v>273</v>
      </c>
      <c r="D2555" s="3" t="s">
        <v>283</v>
      </c>
      <c r="E2555" s="3">
        <v>97</v>
      </c>
      <c r="G2555" s="57"/>
    </row>
    <row r="2556" spans="1:7" ht="12.75" x14ac:dyDescent="0.2">
      <c r="A2556" s="3">
        <v>92</v>
      </c>
      <c r="B2556" s="4" t="s">
        <v>112</v>
      </c>
      <c r="C2556" s="3" t="s">
        <v>273</v>
      </c>
      <c r="D2556" s="3" t="s">
        <v>315</v>
      </c>
      <c r="E2556" s="3">
        <v>2</v>
      </c>
      <c r="G2556" s="57"/>
    </row>
    <row r="2557" spans="1:7" ht="12.75" x14ac:dyDescent="0.2">
      <c r="A2557" s="3">
        <v>92</v>
      </c>
      <c r="B2557" s="4" t="s">
        <v>112</v>
      </c>
      <c r="C2557" s="3" t="s">
        <v>273</v>
      </c>
      <c r="D2557" s="3" t="s">
        <v>128</v>
      </c>
      <c r="E2557" s="3">
        <v>53</v>
      </c>
      <c r="G2557" s="57"/>
    </row>
    <row r="2558" spans="1:7" ht="12.75" x14ac:dyDescent="0.2">
      <c r="A2558" s="3">
        <v>92</v>
      </c>
      <c r="B2558" s="4" t="s">
        <v>112</v>
      </c>
      <c r="C2558" s="3" t="s">
        <v>273</v>
      </c>
      <c r="D2558" s="3" t="s">
        <v>149</v>
      </c>
      <c r="E2558" s="3">
        <v>24</v>
      </c>
      <c r="G2558" s="57"/>
    </row>
    <row r="2559" spans="1:7" ht="12.75" x14ac:dyDescent="0.2">
      <c r="A2559" s="3">
        <v>92</v>
      </c>
      <c r="B2559" s="4" t="s">
        <v>112</v>
      </c>
      <c r="C2559" s="3" t="s">
        <v>273</v>
      </c>
      <c r="D2559" s="3" t="s">
        <v>14</v>
      </c>
      <c r="E2559" s="3">
        <v>50</v>
      </c>
      <c r="G2559" s="57"/>
    </row>
    <row r="2560" spans="1:7" ht="12.75" x14ac:dyDescent="0.2">
      <c r="A2560" s="3">
        <v>92</v>
      </c>
      <c r="B2560" s="4" t="s">
        <v>112</v>
      </c>
      <c r="C2560" s="3" t="s">
        <v>273</v>
      </c>
      <c r="D2560" s="3" t="s">
        <v>138</v>
      </c>
      <c r="E2560" s="3">
        <v>0</v>
      </c>
      <c r="F2560">
        <f>SUM(E2555:E2560)</f>
        <v>226</v>
      </c>
      <c r="G2560" s="57"/>
    </row>
    <row r="2561" spans="1:7" ht="12.75" x14ac:dyDescent="0.2">
      <c r="A2561" s="3">
        <v>92</v>
      </c>
      <c r="B2561" s="4" t="s">
        <v>112</v>
      </c>
      <c r="C2561" s="3" t="s">
        <v>125</v>
      </c>
      <c r="D2561" s="3" t="s">
        <v>283</v>
      </c>
      <c r="E2561" s="3">
        <v>97</v>
      </c>
      <c r="G2561" s="57"/>
    </row>
    <row r="2562" spans="1:7" ht="12.75" x14ac:dyDescent="0.2">
      <c r="A2562" s="3">
        <v>92</v>
      </c>
      <c r="B2562" s="4" t="s">
        <v>112</v>
      </c>
      <c r="C2562" s="3" t="s">
        <v>125</v>
      </c>
      <c r="D2562" s="3" t="s">
        <v>315</v>
      </c>
      <c r="E2562" s="3">
        <v>2</v>
      </c>
      <c r="G2562" s="57"/>
    </row>
    <row r="2563" spans="1:7" ht="12.75" x14ac:dyDescent="0.2">
      <c r="A2563" s="3">
        <v>92</v>
      </c>
      <c r="B2563" s="4" t="s">
        <v>112</v>
      </c>
      <c r="C2563" s="3" t="s">
        <v>125</v>
      </c>
      <c r="D2563" s="3" t="s">
        <v>128</v>
      </c>
      <c r="E2563" s="3">
        <v>52</v>
      </c>
      <c r="G2563" s="57"/>
    </row>
    <row r="2564" spans="1:7" ht="12.75" x14ac:dyDescent="0.2">
      <c r="A2564" s="3">
        <v>92</v>
      </c>
      <c r="B2564" s="4" t="s">
        <v>112</v>
      </c>
      <c r="C2564" s="3" t="s">
        <v>125</v>
      </c>
      <c r="D2564" s="3" t="s">
        <v>149</v>
      </c>
      <c r="E2564" s="3">
        <v>24</v>
      </c>
      <c r="G2564" s="57"/>
    </row>
    <row r="2565" spans="1:7" ht="12.75" x14ac:dyDescent="0.2">
      <c r="A2565" s="3">
        <v>92</v>
      </c>
      <c r="B2565" s="4" t="s">
        <v>112</v>
      </c>
      <c r="C2565" s="3" t="s">
        <v>125</v>
      </c>
      <c r="D2565" s="3" t="s">
        <v>14</v>
      </c>
      <c r="E2565" s="3">
        <v>51</v>
      </c>
      <c r="G2565" s="57"/>
    </row>
    <row r="2566" spans="1:7" ht="12.75" x14ac:dyDescent="0.2">
      <c r="A2566" s="3">
        <v>92</v>
      </c>
      <c r="B2566" s="4" t="s">
        <v>112</v>
      </c>
      <c r="C2566" s="3" t="s">
        <v>125</v>
      </c>
      <c r="D2566" s="3" t="s">
        <v>138</v>
      </c>
      <c r="E2566" s="3">
        <v>0</v>
      </c>
      <c r="F2566">
        <f>SUM(E2561:E2566)</f>
        <v>226</v>
      </c>
      <c r="G2566" s="57"/>
    </row>
    <row r="2567" spans="1:7" ht="12.75" x14ac:dyDescent="0.2">
      <c r="A2567" s="3">
        <v>94</v>
      </c>
      <c r="B2567" s="4" t="s">
        <v>114</v>
      </c>
      <c r="C2567" s="3" t="s">
        <v>347</v>
      </c>
      <c r="D2567" s="3" t="s">
        <v>283</v>
      </c>
      <c r="E2567" s="3">
        <v>181</v>
      </c>
      <c r="G2567" s="59">
        <v>446</v>
      </c>
    </row>
    <row r="2568" spans="1:7" ht="12.75" x14ac:dyDescent="0.2">
      <c r="A2568" s="3">
        <v>94</v>
      </c>
      <c r="B2568" s="4" t="s">
        <v>114</v>
      </c>
      <c r="C2568" s="3" t="s">
        <v>347</v>
      </c>
      <c r="D2568" s="3" t="s">
        <v>315</v>
      </c>
      <c r="E2568" s="3">
        <v>3</v>
      </c>
      <c r="G2568" s="57"/>
    </row>
    <row r="2569" spans="1:7" ht="12.75" x14ac:dyDescent="0.2">
      <c r="A2569" s="3">
        <v>94</v>
      </c>
      <c r="B2569" s="4" t="s">
        <v>114</v>
      </c>
      <c r="C2569" s="3" t="s">
        <v>347</v>
      </c>
      <c r="D2569" s="3" t="s">
        <v>316</v>
      </c>
      <c r="E2569" s="3">
        <v>2</v>
      </c>
      <c r="G2569" s="57"/>
    </row>
    <row r="2570" spans="1:7" ht="12.75" x14ac:dyDescent="0.2">
      <c r="A2570" s="3">
        <v>94</v>
      </c>
      <c r="B2570" s="4" t="s">
        <v>114</v>
      </c>
      <c r="C2570" s="3" t="s">
        <v>347</v>
      </c>
      <c r="D2570" s="3" t="s">
        <v>128</v>
      </c>
      <c r="E2570" s="3">
        <v>164</v>
      </c>
      <c r="G2570" s="57"/>
    </row>
    <row r="2571" spans="1:7" ht="12.75" x14ac:dyDescent="0.2">
      <c r="A2571" s="3">
        <v>94</v>
      </c>
      <c r="B2571" s="4" t="s">
        <v>114</v>
      </c>
      <c r="C2571" s="3" t="s">
        <v>347</v>
      </c>
      <c r="D2571" s="3" t="s">
        <v>353</v>
      </c>
      <c r="E2571" s="3">
        <v>0</v>
      </c>
      <c r="G2571" s="57"/>
    </row>
    <row r="2572" spans="1:7" ht="12.75" x14ac:dyDescent="0.2">
      <c r="A2572" s="3">
        <v>94</v>
      </c>
      <c r="B2572" s="4" t="s">
        <v>114</v>
      </c>
      <c r="C2572" s="3" t="s">
        <v>347</v>
      </c>
      <c r="D2572" s="3" t="s">
        <v>149</v>
      </c>
      <c r="E2572" s="3">
        <v>50</v>
      </c>
      <c r="G2572" s="57"/>
    </row>
    <row r="2573" spans="1:7" ht="12.75" x14ac:dyDescent="0.2">
      <c r="A2573" s="3">
        <v>94</v>
      </c>
      <c r="B2573" s="4" t="s">
        <v>114</v>
      </c>
      <c r="C2573" s="3" t="s">
        <v>347</v>
      </c>
      <c r="D2573" s="3" t="s">
        <v>14</v>
      </c>
      <c r="E2573" s="3">
        <v>12</v>
      </c>
      <c r="G2573" s="57"/>
    </row>
    <row r="2574" spans="1:7" ht="12.75" x14ac:dyDescent="0.2">
      <c r="A2574" s="3">
        <v>94</v>
      </c>
      <c r="B2574" s="4" t="s">
        <v>114</v>
      </c>
      <c r="C2574" s="3" t="s">
        <v>347</v>
      </c>
      <c r="D2574" s="3" t="s">
        <v>138</v>
      </c>
      <c r="E2574" s="3">
        <v>3</v>
      </c>
      <c r="F2574">
        <f>SUM(E2567:E2574)</f>
        <v>415</v>
      </c>
      <c r="G2574" s="57"/>
    </row>
    <row r="2575" spans="1:7" ht="12.75" x14ac:dyDescent="0.2">
      <c r="A2575" s="3">
        <v>94</v>
      </c>
      <c r="B2575" s="4" t="s">
        <v>114</v>
      </c>
      <c r="C2575" s="3" t="s">
        <v>273</v>
      </c>
      <c r="D2575" s="3" t="s">
        <v>283</v>
      </c>
      <c r="E2575" s="3">
        <v>199</v>
      </c>
      <c r="G2575" s="57"/>
    </row>
    <row r="2576" spans="1:7" ht="12.75" x14ac:dyDescent="0.2">
      <c r="A2576" s="3">
        <v>94</v>
      </c>
      <c r="B2576" s="4" t="s">
        <v>114</v>
      </c>
      <c r="C2576" s="3" t="s">
        <v>273</v>
      </c>
      <c r="D2576" s="3" t="s">
        <v>315</v>
      </c>
      <c r="E2576" s="3">
        <v>1</v>
      </c>
      <c r="G2576" s="57"/>
    </row>
    <row r="2577" spans="1:7" ht="12.75" x14ac:dyDescent="0.2">
      <c r="A2577" s="3">
        <v>94</v>
      </c>
      <c r="B2577" s="4" t="s">
        <v>114</v>
      </c>
      <c r="C2577" s="3" t="s">
        <v>273</v>
      </c>
      <c r="D2577" s="3" t="s">
        <v>128</v>
      </c>
      <c r="E2577" s="3">
        <v>168</v>
      </c>
      <c r="G2577" s="57"/>
    </row>
    <row r="2578" spans="1:7" ht="12.75" x14ac:dyDescent="0.2">
      <c r="A2578" s="3">
        <v>94</v>
      </c>
      <c r="B2578" s="4" t="s">
        <v>114</v>
      </c>
      <c r="C2578" s="3" t="s">
        <v>273</v>
      </c>
      <c r="D2578" s="3" t="s">
        <v>149</v>
      </c>
      <c r="E2578" s="3">
        <v>9</v>
      </c>
      <c r="G2578" s="57"/>
    </row>
    <row r="2579" spans="1:7" ht="12.75" x14ac:dyDescent="0.2">
      <c r="A2579" s="3">
        <v>94</v>
      </c>
      <c r="B2579" s="4" t="s">
        <v>114</v>
      </c>
      <c r="C2579" s="3" t="s">
        <v>273</v>
      </c>
      <c r="D2579" s="3" t="s">
        <v>14</v>
      </c>
      <c r="E2579" s="3">
        <v>36</v>
      </c>
      <c r="G2579" s="57"/>
    </row>
    <row r="2580" spans="1:7" ht="12.75" x14ac:dyDescent="0.2">
      <c r="A2580" s="3">
        <v>94</v>
      </c>
      <c r="B2580" s="4" t="s">
        <v>114</v>
      </c>
      <c r="C2580" s="3" t="s">
        <v>273</v>
      </c>
      <c r="D2580" s="3" t="s">
        <v>138</v>
      </c>
      <c r="E2580" s="3">
        <v>2</v>
      </c>
      <c r="F2580">
        <f>SUM(E2575:E2580)</f>
        <v>415</v>
      </c>
      <c r="G2580" s="57"/>
    </row>
    <row r="2581" spans="1:7" ht="12.75" x14ac:dyDescent="0.2">
      <c r="A2581" s="3">
        <v>94</v>
      </c>
      <c r="B2581" s="4" t="s">
        <v>114</v>
      </c>
      <c r="C2581" s="3" t="s">
        <v>125</v>
      </c>
      <c r="D2581" s="3" t="s">
        <v>283</v>
      </c>
      <c r="E2581" s="3">
        <v>199</v>
      </c>
      <c r="G2581" s="57"/>
    </row>
    <row r="2582" spans="1:7" ht="12.75" x14ac:dyDescent="0.2">
      <c r="A2582" s="3">
        <v>94</v>
      </c>
      <c r="B2582" s="4" t="s">
        <v>114</v>
      </c>
      <c r="C2582" s="3" t="s">
        <v>125</v>
      </c>
      <c r="D2582" s="3" t="s">
        <v>315</v>
      </c>
      <c r="E2582" s="3">
        <v>0</v>
      </c>
      <c r="G2582" s="57"/>
    </row>
    <row r="2583" spans="1:7" ht="12.75" x14ac:dyDescent="0.2">
      <c r="A2583" s="3">
        <v>94</v>
      </c>
      <c r="B2583" s="4" t="s">
        <v>114</v>
      </c>
      <c r="C2583" s="3" t="s">
        <v>125</v>
      </c>
      <c r="D2583" s="3" t="s">
        <v>128</v>
      </c>
      <c r="E2583" s="3">
        <v>167</v>
      </c>
      <c r="G2583" s="57"/>
    </row>
    <row r="2584" spans="1:7" ht="12.75" x14ac:dyDescent="0.2">
      <c r="A2584" s="3">
        <v>94</v>
      </c>
      <c r="B2584" s="4" t="s">
        <v>114</v>
      </c>
      <c r="C2584" s="3" t="s">
        <v>125</v>
      </c>
      <c r="D2584" s="3" t="s">
        <v>149</v>
      </c>
      <c r="E2584" s="3">
        <v>8</v>
      </c>
      <c r="G2584" s="57"/>
    </row>
    <row r="2585" spans="1:7" ht="12.75" x14ac:dyDescent="0.2">
      <c r="A2585" s="3">
        <v>94</v>
      </c>
      <c r="B2585" s="4" t="s">
        <v>114</v>
      </c>
      <c r="C2585" s="3" t="s">
        <v>125</v>
      </c>
      <c r="D2585" s="3" t="s">
        <v>14</v>
      </c>
      <c r="E2585" s="3">
        <v>39</v>
      </c>
      <c r="G2585" s="57"/>
    </row>
    <row r="2586" spans="1:7" ht="12.75" x14ac:dyDescent="0.2">
      <c r="A2586" s="3">
        <v>94</v>
      </c>
      <c r="B2586" s="4" t="s">
        <v>114</v>
      </c>
      <c r="C2586" s="3" t="s">
        <v>125</v>
      </c>
      <c r="D2586" s="3" t="s">
        <v>138</v>
      </c>
      <c r="E2586" s="3">
        <v>2</v>
      </c>
      <c r="F2586">
        <f>SUM(E2581:E2586)</f>
        <v>415</v>
      </c>
      <c r="G2586" s="57"/>
    </row>
    <row r="2587" spans="1:7" ht="12.75" x14ac:dyDescent="0.2">
      <c r="A2587" s="3">
        <v>95</v>
      </c>
      <c r="B2587" s="4" t="s">
        <v>115</v>
      </c>
      <c r="C2587" s="3" t="s">
        <v>347</v>
      </c>
      <c r="D2587" s="3" t="s">
        <v>283</v>
      </c>
      <c r="E2587" s="3">
        <v>29</v>
      </c>
      <c r="G2587" s="59">
        <v>127</v>
      </c>
    </row>
    <row r="2588" spans="1:7" ht="12.75" x14ac:dyDescent="0.2">
      <c r="A2588" s="3">
        <v>95</v>
      </c>
      <c r="B2588" s="4" t="s">
        <v>115</v>
      </c>
      <c r="C2588" s="3" t="s">
        <v>347</v>
      </c>
      <c r="D2588" s="3" t="s">
        <v>315</v>
      </c>
      <c r="E2588" s="3">
        <v>0</v>
      </c>
      <c r="G2588" s="57"/>
    </row>
    <row r="2589" spans="1:7" ht="12.75" x14ac:dyDescent="0.2">
      <c r="A2589" s="3">
        <v>95</v>
      </c>
      <c r="B2589" s="4" t="s">
        <v>115</v>
      </c>
      <c r="C2589" s="3" t="s">
        <v>347</v>
      </c>
      <c r="D2589" s="3" t="s">
        <v>316</v>
      </c>
      <c r="E2589" s="3">
        <v>0</v>
      </c>
      <c r="G2589" s="57"/>
    </row>
    <row r="2590" spans="1:7" ht="12.75" x14ac:dyDescent="0.2">
      <c r="A2590" s="3">
        <v>95</v>
      </c>
      <c r="B2590" s="4" t="s">
        <v>115</v>
      </c>
      <c r="C2590" s="3" t="s">
        <v>347</v>
      </c>
      <c r="D2590" s="3" t="s">
        <v>128</v>
      </c>
      <c r="E2590" s="3">
        <v>55</v>
      </c>
      <c r="G2590" s="57"/>
    </row>
    <row r="2591" spans="1:7" ht="12.75" x14ac:dyDescent="0.2">
      <c r="A2591" s="3">
        <v>95</v>
      </c>
      <c r="B2591" s="4" t="s">
        <v>115</v>
      </c>
      <c r="C2591" s="3" t="s">
        <v>347</v>
      </c>
      <c r="D2591" s="3" t="s">
        <v>353</v>
      </c>
      <c r="E2591" s="3">
        <v>1</v>
      </c>
      <c r="G2591" s="57"/>
    </row>
    <row r="2592" spans="1:7" ht="12.75" x14ac:dyDescent="0.2">
      <c r="A2592" s="3">
        <v>95</v>
      </c>
      <c r="B2592" s="4" t="s">
        <v>115</v>
      </c>
      <c r="C2592" s="3" t="s">
        <v>347</v>
      </c>
      <c r="D2592" s="3" t="s">
        <v>149</v>
      </c>
      <c r="E2592" s="3">
        <v>32</v>
      </c>
      <c r="G2592" s="57"/>
    </row>
    <row r="2593" spans="1:7" ht="12.75" x14ac:dyDescent="0.2">
      <c r="A2593" s="3">
        <v>95</v>
      </c>
      <c r="B2593" s="4" t="s">
        <v>115</v>
      </c>
      <c r="C2593" s="3" t="s">
        <v>347</v>
      </c>
      <c r="D2593" s="3" t="s">
        <v>14</v>
      </c>
      <c r="E2593" s="3">
        <v>6</v>
      </c>
      <c r="G2593" s="57"/>
    </row>
    <row r="2594" spans="1:7" ht="12.75" x14ac:dyDescent="0.2">
      <c r="A2594" s="3">
        <v>95</v>
      </c>
      <c r="B2594" s="4" t="s">
        <v>115</v>
      </c>
      <c r="C2594" s="3" t="s">
        <v>347</v>
      </c>
      <c r="D2594" s="3" t="s">
        <v>138</v>
      </c>
      <c r="E2594" s="3">
        <v>0</v>
      </c>
      <c r="F2594">
        <f>SUM(E2587:E2594)</f>
        <v>123</v>
      </c>
      <c r="G2594" s="57"/>
    </row>
    <row r="2595" spans="1:7" ht="12.75" x14ac:dyDescent="0.2">
      <c r="A2595" s="3">
        <v>95</v>
      </c>
      <c r="B2595" s="4" t="s">
        <v>115</v>
      </c>
      <c r="C2595" s="3" t="s">
        <v>273</v>
      </c>
      <c r="D2595" s="3" t="s">
        <v>283</v>
      </c>
      <c r="E2595" s="3">
        <v>41</v>
      </c>
      <c r="G2595" s="57"/>
    </row>
    <row r="2596" spans="1:7" ht="12.75" x14ac:dyDescent="0.2">
      <c r="A2596" s="3">
        <v>95</v>
      </c>
      <c r="B2596" s="4" t="s">
        <v>115</v>
      </c>
      <c r="C2596" s="3" t="s">
        <v>273</v>
      </c>
      <c r="D2596" s="3" t="s">
        <v>315</v>
      </c>
      <c r="E2596" s="3">
        <v>0</v>
      </c>
      <c r="G2596" s="57"/>
    </row>
    <row r="2597" spans="1:7" ht="12.75" x14ac:dyDescent="0.2">
      <c r="A2597" s="3">
        <v>95</v>
      </c>
      <c r="B2597" s="4" t="s">
        <v>115</v>
      </c>
      <c r="C2597" s="3" t="s">
        <v>273</v>
      </c>
      <c r="D2597" s="3" t="s">
        <v>128</v>
      </c>
      <c r="E2597" s="3">
        <v>45</v>
      </c>
      <c r="G2597" s="57"/>
    </row>
    <row r="2598" spans="1:7" ht="12.75" x14ac:dyDescent="0.2">
      <c r="A2598" s="3">
        <v>95</v>
      </c>
      <c r="B2598" s="4" t="s">
        <v>115</v>
      </c>
      <c r="C2598" s="3" t="s">
        <v>273</v>
      </c>
      <c r="D2598" s="3" t="s">
        <v>149</v>
      </c>
      <c r="E2598" s="3">
        <v>7</v>
      </c>
      <c r="G2598" s="57"/>
    </row>
    <row r="2599" spans="1:7" ht="12.75" x14ac:dyDescent="0.2">
      <c r="A2599" s="3">
        <v>95</v>
      </c>
      <c r="B2599" s="4" t="s">
        <v>115</v>
      </c>
      <c r="C2599" s="3" t="s">
        <v>273</v>
      </c>
      <c r="D2599" s="3" t="s">
        <v>14</v>
      </c>
      <c r="E2599" s="3">
        <v>30</v>
      </c>
      <c r="G2599" s="57"/>
    </row>
    <row r="2600" spans="1:7" ht="12.75" x14ac:dyDescent="0.2">
      <c r="A2600" s="3">
        <v>95</v>
      </c>
      <c r="B2600" s="4" t="s">
        <v>115</v>
      </c>
      <c r="C2600" s="3" t="s">
        <v>273</v>
      </c>
      <c r="D2600" s="3" t="s">
        <v>138</v>
      </c>
      <c r="E2600" s="3">
        <v>0</v>
      </c>
      <c r="F2600">
        <f>SUM(E2595:E2600)</f>
        <v>123</v>
      </c>
      <c r="G2600" s="57"/>
    </row>
    <row r="2601" spans="1:7" ht="12.75" x14ac:dyDescent="0.2">
      <c r="A2601" s="3">
        <v>95</v>
      </c>
      <c r="B2601" s="4" t="s">
        <v>115</v>
      </c>
      <c r="C2601" s="3" t="s">
        <v>125</v>
      </c>
      <c r="D2601" s="3" t="s">
        <v>283</v>
      </c>
      <c r="E2601" s="3">
        <v>41</v>
      </c>
      <c r="G2601" s="57"/>
    </row>
    <row r="2602" spans="1:7" ht="12.75" x14ac:dyDescent="0.2">
      <c r="A2602" s="3">
        <v>95</v>
      </c>
      <c r="B2602" s="4" t="s">
        <v>115</v>
      </c>
      <c r="C2602" s="3" t="s">
        <v>125</v>
      </c>
      <c r="D2602" s="3" t="s">
        <v>315</v>
      </c>
      <c r="E2602" s="3">
        <v>0</v>
      </c>
      <c r="G2602" s="57"/>
    </row>
    <row r="2603" spans="1:7" ht="12.75" x14ac:dyDescent="0.2">
      <c r="A2603" s="3">
        <v>95</v>
      </c>
      <c r="B2603" s="4" t="s">
        <v>115</v>
      </c>
      <c r="C2603" s="3" t="s">
        <v>125</v>
      </c>
      <c r="D2603" s="3" t="s">
        <v>128</v>
      </c>
      <c r="E2603" s="3">
        <v>43</v>
      </c>
      <c r="G2603" s="57"/>
    </row>
    <row r="2604" spans="1:7" ht="12.75" x14ac:dyDescent="0.2">
      <c r="A2604" s="3">
        <v>95</v>
      </c>
      <c r="B2604" s="4" t="s">
        <v>115</v>
      </c>
      <c r="C2604" s="3" t="s">
        <v>125</v>
      </c>
      <c r="D2604" s="3" t="s">
        <v>149</v>
      </c>
      <c r="E2604" s="3">
        <v>5</v>
      </c>
      <c r="G2604" s="57"/>
    </row>
    <row r="2605" spans="1:7" ht="12.75" x14ac:dyDescent="0.2">
      <c r="A2605" s="3">
        <v>95</v>
      </c>
      <c r="B2605" s="4" t="s">
        <v>115</v>
      </c>
      <c r="C2605" s="3" t="s">
        <v>125</v>
      </c>
      <c r="D2605" s="3" t="s">
        <v>14</v>
      </c>
      <c r="E2605" s="3">
        <v>34</v>
      </c>
      <c r="G2605" s="57"/>
    </row>
    <row r="2606" spans="1:7" ht="12.75" x14ac:dyDescent="0.2">
      <c r="A2606" s="3">
        <v>95</v>
      </c>
      <c r="B2606" s="4" t="s">
        <v>115</v>
      </c>
      <c r="C2606" s="3" t="s">
        <v>125</v>
      </c>
      <c r="D2606" s="3" t="s">
        <v>138</v>
      </c>
      <c r="E2606" s="3">
        <v>0</v>
      </c>
      <c r="F2606">
        <f>SUM(E2601:E2606)</f>
        <v>123</v>
      </c>
      <c r="G2606" s="57"/>
    </row>
    <row r="2607" spans="1:7" ht="12.75" x14ac:dyDescent="0.2">
      <c r="A2607" s="3">
        <v>101</v>
      </c>
      <c r="B2607" s="4" t="s">
        <v>177</v>
      </c>
      <c r="C2607" s="3" t="s">
        <v>347</v>
      </c>
      <c r="D2607" s="3" t="s">
        <v>283</v>
      </c>
      <c r="E2607" s="3">
        <v>31</v>
      </c>
      <c r="G2607" s="59" t="s">
        <v>334</v>
      </c>
    </row>
    <row r="2608" spans="1:7" ht="12.75" x14ac:dyDescent="0.2">
      <c r="A2608" s="3">
        <v>101</v>
      </c>
      <c r="B2608" s="4" t="s">
        <v>177</v>
      </c>
      <c r="C2608" s="3" t="s">
        <v>347</v>
      </c>
      <c r="D2608" s="3" t="s">
        <v>315</v>
      </c>
      <c r="E2608" s="3">
        <v>0</v>
      </c>
      <c r="G2608" s="57"/>
    </row>
    <row r="2609" spans="1:7" ht="12.75" x14ac:dyDescent="0.2">
      <c r="A2609" s="3">
        <v>101</v>
      </c>
      <c r="B2609" s="4" t="s">
        <v>177</v>
      </c>
      <c r="C2609" s="3" t="s">
        <v>347</v>
      </c>
      <c r="D2609" s="3" t="s">
        <v>316</v>
      </c>
      <c r="E2609" s="3">
        <v>1</v>
      </c>
      <c r="G2609" s="57"/>
    </row>
    <row r="2610" spans="1:7" ht="12.75" x14ac:dyDescent="0.2">
      <c r="A2610" s="3">
        <v>101</v>
      </c>
      <c r="B2610" s="4" t="s">
        <v>177</v>
      </c>
      <c r="C2610" s="3" t="s">
        <v>347</v>
      </c>
      <c r="D2610" s="3" t="s">
        <v>128</v>
      </c>
      <c r="E2610" s="3">
        <v>12</v>
      </c>
      <c r="G2610" s="57"/>
    </row>
    <row r="2611" spans="1:7" ht="12.75" x14ac:dyDescent="0.2">
      <c r="A2611" s="3">
        <v>101</v>
      </c>
      <c r="B2611" s="4" t="s">
        <v>177</v>
      </c>
      <c r="C2611" s="3" t="s">
        <v>347</v>
      </c>
      <c r="D2611" s="3" t="s">
        <v>353</v>
      </c>
      <c r="E2611" s="3">
        <v>0</v>
      </c>
      <c r="G2611" s="57"/>
    </row>
    <row r="2612" spans="1:7" ht="12.75" x14ac:dyDescent="0.2">
      <c r="A2612" s="3">
        <v>101</v>
      </c>
      <c r="B2612" s="4" t="s">
        <v>177</v>
      </c>
      <c r="C2612" s="3" t="s">
        <v>347</v>
      </c>
      <c r="D2612" s="3" t="s">
        <v>149</v>
      </c>
      <c r="E2612" s="3">
        <v>2</v>
      </c>
      <c r="G2612" s="57"/>
    </row>
    <row r="2613" spans="1:7" ht="12.75" x14ac:dyDescent="0.2">
      <c r="A2613" s="3">
        <v>101</v>
      </c>
      <c r="B2613" s="4" t="s">
        <v>177</v>
      </c>
      <c r="C2613" s="3" t="s">
        <v>347</v>
      </c>
      <c r="D2613" s="3" t="s">
        <v>14</v>
      </c>
      <c r="E2613" s="3">
        <v>3</v>
      </c>
      <c r="G2613" s="57"/>
    </row>
    <row r="2614" spans="1:7" ht="12.75" x14ac:dyDescent="0.2">
      <c r="A2614" s="3">
        <v>101</v>
      </c>
      <c r="B2614" s="4" t="s">
        <v>177</v>
      </c>
      <c r="C2614" s="3" t="s">
        <v>347</v>
      </c>
      <c r="D2614" s="3" t="s">
        <v>138</v>
      </c>
      <c r="E2614" s="3">
        <v>0</v>
      </c>
      <c r="F2614">
        <f>SUM(E2607:E2614)</f>
        <v>49</v>
      </c>
      <c r="G2614" s="57"/>
    </row>
    <row r="2615" spans="1:7" ht="12.75" x14ac:dyDescent="0.2">
      <c r="A2615" s="3">
        <v>101</v>
      </c>
      <c r="B2615" s="4" t="s">
        <v>177</v>
      </c>
      <c r="C2615" s="3" t="s">
        <v>273</v>
      </c>
      <c r="D2615" s="3" t="s">
        <v>283</v>
      </c>
      <c r="E2615" s="3">
        <v>12</v>
      </c>
      <c r="G2615" s="57"/>
    </row>
    <row r="2616" spans="1:7" ht="12.75" x14ac:dyDescent="0.2">
      <c r="A2616" s="3">
        <v>101</v>
      </c>
      <c r="B2616" s="4" t="s">
        <v>177</v>
      </c>
      <c r="C2616" s="3" t="s">
        <v>273</v>
      </c>
      <c r="D2616" s="3" t="s">
        <v>315</v>
      </c>
      <c r="E2616" s="3">
        <v>3</v>
      </c>
      <c r="G2616" s="57"/>
    </row>
    <row r="2617" spans="1:7" ht="12.75" x14ac:dyDescent="0.2">
      <c r="A2617" s="3">
        <v>101</v>
      </c>
      <c r="B2617" s="4" t="s">
        <v>177</v>
      </c>
      <c r="C2617" s="3" t="s">
        <v>273</v>
      </c>
      <c r="D2617" s="3" t="s">
        <v>128</v>
      </c>
      <c r="E2617" s="3">
        <v>10</v>
      </c>
      <c r="G2617" s="57"/>
    </row>
    <row r="2618" spans="1:7" ht="12.75" x14ac:dyDescent="0.2">
      <c r="A2618" s="3">
        <v>101</v>
      </c>
      <c r="B2618" s="4" t="s">
        <v>177</v>
      </c>
      <c r="C2618" s="3" t="s">
        <v>273</v>
      </c>
      <c r="D2618" s="3" t="s">
        <v>149</v>
      </c>
      <c r="E2618" s="3">
        <v>2</v>
      </c>
      <c r="G2618" s="57"/>
    </row>
    <row r="2619" spans="1:7" ht="12.75" x14ac:dyDescent="0.2">
      <c r="A2619" s="3">
        <v>101</v>
      </c>
      <c r="B2619" s="4" t="s">
        <v>177</v>
      </c>
      <c r="C2619" s="3" t="s">
        <v>273</v>
      </c>
      <c r="D2619" s="3" t="s">
        <v>14</v>
      </c>
      <c r="E2619" s="3">
        <v>22</v>
      </c>
      <c r="G2619" s="57"/>
    </row>
    <row r="2620" spans="1:7" ht="12.75" x14ac:dyDescent="0.2">
      <c r="A2620" s="3">
        <v>101</v>
      </c>
      <c r="B2620" s="4" t="s">
        <v>177</v>
      </c>
      <c r="C2620" s="3" t="s">
        <v>273</v>
      </c>
      <c r="D2620" s="3" t="s">
        <v>138</v>
      </c>
      <c r="E2620" s="3">
        <v>0</v>
      </c>
      <c r="F2620">
        <f>SUM(E2615:E2620)</f>
        <v>49</v>
      </c>
      <c r="G2620" s="57"/>
    </row>
    <row r="2621" spans="1:7" ht="12.75" x14ac:dyDescent="0.2">
      <c r="A2621" s="3">
        <v>101</v>
      </c>
      <c r="B2621" s="4" t="s">
        <v>177</v>
      </c>
      <c r="C2621" s="3" t="s">
        <v>125</v>
      </c>
      <c r="D2621" s="3" t="s">
        <v>283</v>
      </c>
      <c r="E2621" s="3">
        <v>13</v>
      </c>
      <c r="G2621" s="57"/>
    </row>
    <row r="2622" spans="1:7" ht="12.75" x14ac:dyDescent="0.2">
      <c r="A2622" s="3">
        <v>101</v>
      </c>
      <c r="B2622" s="4" t="s">
        <v>177</v>
      </c>
      <c r="C2622" s="3" t="s">
        <v>125</v>
      </c>
      <c r="D2622" s="3" t="s">
        <v>315</v>
      </c>
      <c r="E2622" s="3">
        <v>6</v>
      </c>
      <c r="G2622" s="57"/>
    </row>
    <row r="2623" spans="1:7" ht="12.75" x14ac:dyDescent="0.2">
      <c r="A2623" s="3">
        <v>101</v>
      </c>
      <c r="B2623" s="4" t="s">
        <v>177</v>
      </c>
      <c r="C2623" s="3" t="s">
        <v>125</v>
      </c>
      <c r="D2623" s="3" t="s">
        <v>128</v>
      </c>
      <c r="E2623" s="3">
        <v>5</v>
      </c>
      <c r="G2623" s="57"/>
    </row>
    <row r="2624" spans="1:7" ht="12.75" x14ac:dyDescent="0.2">
      <c r="A2624" s="3">
        <v>101</v>
      </c>
      <c r="B2624" s="4" t="s">
        <v>177</v>
      </c>
      <c r="C2624" s="3" t="s">
        <v>125</v>
      </c>
      <c r="D2624" s="3" t="s">
        <v>149</v>
      </c>
      <c r="E2624" s="3">
        <v>3</v>
      </c>
      <c r="G2624" s="57"/>
    </row>
    <row r="2625" spans="1:7" ht="12.75" x14ac:dyDescent="0.2">
      <c r="A2625" s="3">
        <v>101</v>
      </c>
      <c r="B2625" s="4" t="s">
        <v>177</v>
      </c>
      <c r="C2625" s="3" t="s">
        <v>125</v>
      </c>
      <c r="D2625" s="3" t="s">
        <v>14</v>
      </c>
      <c r="E2625" s="3">
        <v>22</v>
      </c>
      <c r="G2625" s="57"/>
    </row>
    <row r="2626" spans="1:7" ht="12.75" x14ac:dyDescent="0.2">
      <c r="A2626" s="3">
        <v>101</v>
      </c>
      <c r="B2626" s="4" t="s">
        <v>177</v>
      </c>
      <c r="C2626" s="3" t="s">
        <v>125</v>
      </c>
      <c r="D2626" s="3" t="s">
        <v>138</v>
      </c>
      <c r="E2626" s="3">
        <v>0</v>
      </c>
      <c r="F2626">
        <f>SUM(E2621:E2626)</f>
        <v>49</v>
      </c>
      <c r="G2626" s="57"/>
    </row>
    <row r="2627" spans="1:7" ht="12.75" x14ac:dyDescent="0.2">
      <c r="A2627" s="3">
        <v>201</v>
      </c>
      <c r="B2627" s="4" t="s">
        <v>335</v>
      </c>
      <c r="C2627" s="3" t="s">
        <v>347</v>
      </c>
      <c r="D2627" s="3" t="s">
        <v>283</v>
      </c>
      <c r="E2627" s="3">
        <v>3</v>
      </c>
      <c r="G2627" s="59">
        <v>111</v>
      </c>
    </row>
    <row r="2628" spans="1:7" ht="12.75" x14ac:dyDescent="0.2">
      <c r="A2628" s="3">
        <v>201</v>
      </c>
      <c r="B2628" s="4" t="s">
        <v>335</v>
      </c>
      <c r="C2628" s="3" t="s">
        <v>347</v>
      </c>
      <c r="D2628" s="3" t="s">
        <v>315</v>
      </c>
      <c r="E2628" s="3">
        <v>2</v>
      </c>
      <c r="G2628" s="57"/>
    </row>
    <row r="2629" spans="1:7" ht="12.75" x14ac:dyDescent="0.2">
      <c r="A2629" s="3">
        <v>201</v>
      </c>
      <c r="B2629" s="4" t="s">
        <v>335</v>
      </c>
      <c r="C2629" s="3" t="s">
        <v>347</v>
      </c>
      <c r="D2629" s="3" t="s">
        <v>316</v>
      </c>
      <c r="E2629" s="3">
        <v>0</v>
      </c>
      <c r="G2629" s="57"/>
    </row>
    <row r="2630" spans="1:7" ht="12.75" x14ac:dyDescent="0.2">
      <c r="A2630" s="3">
        <v>201</v>
      </c>
      <c r="B2630" s="4" t="s">
        <v>335</v>
      </c>
      <c r="C2630" s="3" t="s">
        <v>347</v>
      </c>
      <c r="D2630" s="3" t="s">
        <v>128</v>
      </c>
      <c r="E2630" s="3">
        <v>19</v>
      </c>
      <c r="G2630" s="57"/>
    </row>
    <row r="2631" spans="1:7" ht="12.75" x14ac:dyDescent="0.2">
      <c r="A2631" s="3">
        <v>201</v>
      </c>
      <c r="B2631" s="4" t="s">
        <v>335</v>
      </c>
      <c r="C2631" s="3" t="s">
        <v>347</v>
      </c>
      <c r="D2631" s="3" t="s">
        <v>353</v>
      </c>
      <c r="E2631" s="3">
        <v>0</v>
      </c>
      <c r="G2631" s="57"/>
    </row>
    <row r="2632" spans="1:7" ht="12.75" x14ac:dyDescent="0.2">
      <c r="A2632" s="3">
        <v>201</v>
      </c>
      <c r="B2632" s="4" t="s">
        <v>335</v>
      </c>
      <c r="C2632" s="3" t="s">
        <v>347</v>
      </c>
      <c r="D2632" s="3" t="s">
        <v>149</v>
      </c>
      <c r="E2632" s="3">
        <v>2</v>
      </c>
      <c r="G2632" s="57"/>
    </row>
    <row r="2633" spans="1:7" ht="12.75" x14ac:dyDescent="0.2">
      <c r="A2633" s="3">
        <v>201</v>
      </c>
      <c r="B2633" s="4" t="s">
        <v>335</v>
      </c>
      <c r="C2633" s="3" t="s">
        <v>347</v>
      </c>
      <c r="D2633" s="3" t="s">
        <v>14</v>
      </c>
      <c r="E2633" s="3">
        <v>0</v>
      </c>
      <c r="G2633" s="57"/>
    </row>
    <row r="2634" spans="1:7" ht="12.75" x14ac:dyDescent="0.2">
      <c r="A2634" s="3">
        <v>201</v>
      </c>
      <c r="B2634" s="4" t="s">
        <v>335</v>
      </c>
      <c r="C2634" s="3" t="s">
        <v>347</v>
      </c>
      <c r="D2634" s="3" t="s">
        <v>138</v>
      </c>
      <c r="E2634" s="3">
        <v>1</v>
      </c>
      <c r="F2634">
        <f>SUM(E2627:E2634)</f>
        <v>27</v>
      </c>
      <c r="G2634" s="57"/>
    </row>
    <row r="2635" spans="1:7" ht="12.75" x14ac:dyDescent="0.2">
      <c r="A2635" s="3">
        <v>201</v>
      </c>
      <c r="B2635" s="4" t="s">
        <v>335</v>
      </c>
      <c r="C2635" s="3" t="s">
        <v>273</v>
      </c>
      <c r="D2635" s="3" t="s">
        <v>283</v>
      </c>
      <c r="E2635" s="3">
        <v>1</v>
      </c>
      <c r="G2635" s="57"/>
    </row>
    <row r="2636" spans="1:7" ht="12.75" x14ac:dyDescent="0.2">
      <c r="A2636" s="3">
        <v>201</v>
      </c>
      <c r="B2636" s="4" t="s">
        <v>335</v>
      </c>
      <c r="C2636" s="3" t="s">
        <v>273</v>
      </c>
      <c r="D2636" s="3" t="s">
        <v>315</v>
      </c>
      <c r="E2636" s="3">
        <v>10</v>
      </c>
      <c r="G2636" s="57"/>
    </row>
    <row r="2637" spans="1:7" ht="12.75" x14ac:dyDescent="0.2">
      <c r="A2637" s="3">
        <v>201</v>
      </c>
      <c r="B2637" s="4" t="s">
        <v>335</v>
      </c>
      <c r="C2637" s="3" t="s">
        <v>273</v>
      </c>
      <c r="D2637" s="3" t="s">
        <v>128</v>
      </c>
      <c r="E2637" s="3">
        <v>8</v>
      </c>
      <c r="G2637" s="57"/>
    </row>
    <row r="2638" spans="1:7" ht="12.75" x14ac:dyDescent="0.2">
      <c r="A2638" s="3">
        <v>201</v>
      </c>
      <c r="B2638" s="4" t="s">
        <v>335</v>
      </c>
      <c r="C2638" s="3" t="s">
        <v>273</v>
      </c>
      <c r="D2638" s="3" t="s">
        <v>149</v>
      </c>
      <c r="E2638" s="3">
        <v>5</v>
      </c>
      <c r="G2638" s="57"/>
    </row>
    <row r="2639" spans="1:7" ht="12.75" x14ac:dyDescent="0.2">
      <c r="A2639" s="3">
        <v>201</v>
      </c>
      <c r="B2639" s="4" t="s">
        <v>335</v>
      </c>
      <c r="C2639" s="3" t="s">
        <v>273</v>
      </c>
      <c r="D2639" s="3" t="s">
        <v>14</v>
      </c>
      <c r="E2639" s="3">
        <v>2</v>
      </c>
      <c r="G2639" s="57"/>
    </row>
    <row r="2640" spans="1:7" ht="12.75" x14ac:dyDescent="0.2">
      <c r="A2640" s="3">
        <v>201</v>
      </c>
      <c r="B2640" s="4" t="s">
        <v>335</v>
      </c>
      <c r="C2640" s="3" t="s">
        <v>273</v>
      </c>
      <c r="D2640" s="3" t="s">
        <v>138</v>
      </c>
      <c r="E2640" s="3">
        <v>1</v>
      </c>
      <c r="F2640">
        <f>SUM(E2635:E2640)</f>
        <v>27</v>
      </c>
      <c r="G2640" s="57"/>
    </row>
    <row r="2641" spans="1:7" ht="12.75" x14ac:dyDescent="0.2">
      <c r="A2641" s="3">
        <v>201</v>
      </c>
      <c r="B2641" s="4" t="s">
        <v>335</v>
      </c>
      <c r="C2641" s="3" t="s">
        <v>125</v>
      </c>
      <c r="D2641" s="3" t="s">
        <v>283</v>
      </c>
      <c r="E2641" s="3">
        <v>1</v>
      </c>
      <c r="G2641" s="57"/>
    </row>
    <row r="2642" spans="1:7" ht="12.75" x14ac:dyDescent="0.2">
      <c r="A2642" s="3">
        <v>201</v>
      </c>
      <c r="B2642" s="4" t="s">
        <v>335</v>
      </c>
      <c r="C2642" s="3" t="s">
        <v>125</v>
      </c>
      <c r="D2642" s="3" t="s">
        <v>315</v>
      </c>
      <c r="E2642" s="3">
        <v>9</v>
      </c>
      <c r="G2642" s="57"/>
    </row>
    <row r="2643" spans="1:7" ht="12.75" x14ac:dyDescent="0.2">
      <c r="A2643" s="3">
        <v>201</v>
      </c>
      <c r="B2643" s="4" t="s">
        <v>335</v>
      </c>
      <c r="C2643" s="3" t="s">
        <v>125</v>
      </c>
      <c r="D2643" s="3" t="s">
        <v>128</v>
      </c>
      <c r="E2643" s="3">
        <v>10</v>
      </c>
      <c r="G2643" s="57"/>
    </row>
    <row r="2644" spans="1:7" ht="12.75" x14ac:dyDescent="0.2">
      <c r="A2644" s="3">
        <v>201</v>
      </c>
      <c r="B2644" s="4" t="s">
        <v>335</v>
      </c>
      <c r="C2644" s="3" t="s">
        <v>125</v>
      </c>
      <c r="D2644" s="3" t="s">
        <v>149</v>
      </c>
      <c r="E2644" s="3">
        <v>4</v>
      </c>
      <c r="G2644" s="57"/>
    </row>
    <row r="2645" spans="1:7" ht="12.75" x14ac:dyDescent="0.2">
      <c r="A2645" s="3">
        <v>201</v>
      </c>
      <c r="B2645" s="4" t="s">
        <v>335</v>
      </c>
      <c r="C2645" s="3" t="s">
        <v>125</v>
      </c>
      <c r="D2645" s="3" t="s">
        <v>14</v>
      </c>
      <c r="E2645" s="3">
        <v>2</v>
      </c>
      <c r="G2645" s="57"/>
    </row>
    <row r="2646" spans="1:7" ht="12.75" x14ac:dyDescent="0.2">
      <c r="A2646" s="3">
        <v>201</v>
      </c>
      <c r="B2646" s="4" t="s">
        <v>335</v>
      </c>
      <c r="C2646" s="3" t="s">
        <v>125</v>
      </c>
      <c r="D2646" s="3" t="s">
        <v>138</v>
      </c>
      <c r="E2646" s="3">
        <v>1</v>
      </c>
      <c r="F2646">
        <f>SUM(E2641:E2646)</f>
        <v>27</v>
      </c>
      <c r="G2646" s="57"/>
    </row>
    <row r="2647" spans="1:7" ht="12.75" x14ac:dyDescent="0.2">
      <c r="A2647" s="3">
        <v>301</v>
      </c>
      <c r="B2647" s="4" t="s">
        <v>336</v>
      </c>
      <c r="C2647" s="3" t="s">
        <v>347</v>
      </c>
      <c r="D2647" s="3" t="s">
        <v>283</v>
      </c>
      <c r="E2647" s="3">
        <v>20</v>
      </c>
      <c r="G2647" s="59">
        <v>319</v>
      </c>
    </row>
    <row r="2648" spans="1:7" ht="12.75" x14ac:dyDescent="0.2">
      <c r="A2648" s="3">
        <v>301</v>
      </c>
      <c r="B2648" s="4" t="s">
        <v>336</v>
      </c>
      <c r="C2648" s="3" t="s">
        <v>347</v>
      </c>
      <c r="D2648" s="3" t="s">
        <v>315</v>
      </c>
      <c r="E2648" s="3">
        <v>1</v>
      </c>
      <c r="G2648" s="57"/>
    </row>
    <row r="2649" spans="1:7" ht="12.75" x14ac:dyDescent="0.2">
      <c r="A2649" s="3">
        <v>301</v>
      </c>
      <c r="B2649" s="4" t="s">
        <v>336</v>
      </c>
      <c r="C2649" s="3" t="s">
        <v>347</v>
      </c>
      <c r="D2649" s="3" t="s">
        <v>316</v>
      </c>
      <c r="E2649" s="3">
        <v>2</v>
      </c>
      <c r="G2649" s="57"/>
    </row>
    <row r="2650" spans="1:7" ht="12.75" x14ac:dyDescent="0.2">
      <c r="A2650" s="3">
        <v>301</v>
      </c>
      <c r="B2650" s="4" t="s">
        <v>336</v>
      </c>
      <c r="C2650" s="3" t="s">
        <v>347</v>
      </c>
      <c r="D2650" s="3" t="s">
        <v>128</v>
      </c>
      <c r="E2650" s="3">
        <v>43</v>
      </c>
      <c r="G2650" s="57"/>
    </row>
    <row r="2651" spans="1:7" ht="12.75" x14ac:dyDescent="0.2">
      <c r="A2651" s="3">
        <v>301</v>
      </c>
      <c r="B2651" s="4" t="s">
        <v>336</v>
      </c>
      <c r="C2651" s="3" t="s">
        <v>347</v>
      </c>
      <c r="D2651" s="3" t="s">
        <v>353</v>
      </c>
      <c r="E2651" s="3">
        <v>3</v>
      </c>
      <c r="G2651" s="57"/>
    </row>
    <row r="2652" spans="1:7" ht="12.75" x14ac:dyDescent="0.2">
      <c r="A2652" s="3">
        <v>301</v>
      </c>
      <c r="B2652" s="4" t="s">
        <v>336</v>
      </c>
      <c r="C2652" s="3" t="s">
        <v>347</v>
      </c>
      <c r="D2652" s="3" t="s">
        <v>149</v>
      </c>
      <c r="E2652" s="3">
        <v>53</v>
      </c>
      <c r="G2652" s="57"/>
    </row>
    <row r="2653" spans="1:7" ht="12.75" x14ac:dyDescent="0.2">
      <c r="A2653" s="3">
        <v>301</v>
      </c>
      <c r="B2653" s="4" t="s">
        <v>336</v>
      </c>
      <c r="C2653" s="3" t="s">
        <v>347</v>
      </c>
      <c r="D2653" s="3" t="s">
        <v>14</v>
      </c>
      <c r="E2653" s="3">
        <v>4</v>
      </c>
      <c r="G2653" s="57"/>
    </row>
    <row r="2654" spans="1:7" ht="12.75" x14ac:dyDescent="0.2">
      <c r="A2654" s="3">
        <v>301</v>
      </c>
      <c r="B2654" s="4" t="s">
        <v>336</v>
      </c>
      <c r="C2654" s="3" t="s">
        <v>347</v>
      </c>
      <c r="D2654" s="3" t="s">
        <v>138</v>
      </c>
      <c r="E2654" s="3">
        <v>4</v>
      </c>
      <c r="F2654">
        <f>SUM(E2647:E2654)</f>
        <v>130</v>
      </c>
      <c r="G2654" s="57"/>
    </row>
    <row r="2655" spans="1:7" ht="12.75" x14ac:dyDescent="0.2">
      <c r="A2655" s="3">
        <v>301</v>
      </c>
      <c r="B2655" s="4" t="s">
        <v>336</v>
      </c>
      <c r="C2655" s="3" t="s">
        <v>273</v>
      </c>
      <c r="D2655" s="3" t="s">
        <v>283</v>
      </c>
      <c r="E2655" s="3">
        <v>18</v>
      </c>
      <c r="G2655" s="57"/>
    </row>
    <row r="2656" spans="1:7" ht="12.75" x14ac:dyDescent="0.2">
      <c r="A2656" s="3">
        <v>301</v>
      </c>
      <c r="B2656" s="4" t="s">
        <v>336</v>
      </c>
      <c r="C2656" s="3" t="s">
        <v>273</v>
      </c>
      <c r="D2656" s="3" t="s">
        <v>315</v>
      </c>
      <c r="E2656" s="3">
        <v>1</v>
      </c>
      <c r="G2656" s="57"/>
    </row>
    <row r="2657" spans="1:7" ht="12.75" x14ac:dyDescent="0.2">
      <c r="A2657" s="3">
        <v>301</v>
      </c>
      <c r="B2657" s="4" t="s">
        <v>336</v>
      </c>
      <c r="C2657" s="3" t="s">
        <v>273</v>
      </c>
      <c r="D2657" s="3" t="s">
        <v>128</v>
      </c>
      <c r="E2657" s="3">
        <v>32</v>
      </c>
      <c r="G2657" s="57"/>
    </row>
    <row r="2658" spans="1:7" ht="12.75" x14ac:dyDescent="0.2">
      <c r="A2658" s="3">
        <v>301</v>
      </c>
      <c r="B2658" s="4" t="s">
        <v>336</v>
      </c>
      <c r="C2658" s="3" t="s">
        <v>273</v>
      </c>
      <c r="D2658" s="3" t="s">
        <v>149</v>
      </c>
      <c r="E2658" s="3">
        <v>37</v>
      </c>
      <c r="G2658" s="57"/>
    </row>
    <row r="2659" spans="1:7" ht="12.75" x14ac:dyDescent="0.2">
      <c r="A2659" s="3">
        <v>301</v>
      </c>
      <c r="B2659" s="4" t="s">
        <v>336</v>
      </c>
      <c r="C2659" s="3" t="s">
        <v>273</v>
      </c>
      <c r="D2659" s="3" t="s">
        <v>14</v>
      </c>
      <c r="E2659" s="3">
        <v>39</v>
      </c>
      <c r="G2659" s="57"/>
    </row>
    <row r="2660" spans="1:7" ht="12.75" x14ac:dyDescent="0.2">
      <c r="A2660" s="3">
        <v>301</v>
      </c>
      <c r="B2660" s="4" t="s">
        <v>336</v>
      </c>
      <c r="C2660" s="3" t="s">
        <v>273</v>
      </c>
      <c r="D2660" s="3" t="s">
        <v>138</v>
      </c>
      <c r="E2660" s="3">
        <v>3</v>
      </c>
      <c r="F2660">
        <f>SUM(E2655:E2660)</f>
        <v>130</v>
      </c>
      <c r="G2660" s="57"/>
    </row>
    <row r="2661" spans="1:7" ht="12.75" x14ac:dyDescent="0.2">
      <c r="A2661" s="3">
        <v>301</v>
      </c>
      <c r="B2661" s="4" t="s">
        <v>336</v>
      </c>
      <c r="C2661" s="3" t="s">
        <v>125</v>
      </c>
      <c r="D2661" s="3" t="s">
        <v>283</v>
      </c>
      <c r="E2661" s="3">
        <v>19</v>
      </c>
      <c r="G2661" s="57"/>
    </row>
    <row r="2662" spans="1:7" ht="12.75" x14ac:dyDescent="0.2">
      <c r="A2662" s="3">
        <v>301</v>
      </c>
      <c r="B2662" s="4" t="s">
        <v>336</v>
      </c>
      <c r="C2662" s="3" t="s">
        <v>125</v>
      </c>
      <c r="D2662" s="3" t="s">
        <v>315</v>
      </c>
      <c r="E2662" s="3">
        <v>1</v>
      </c>
      <c r="G2662" s="57"/>
    </row>
    <row r="2663" spans="1:7" ht="12.75" x14ac:dyDescent="0.2">
      <c r="A2663" s="3">
        <v>301</v>
      </c>
      <c r="B2663" s="4" t="s">
        <v>336</v>
      </c>
      <c r="C2663" s="3" t="s">
        <v>125</v>
      </c>
      <c r="D2663" s="3" t="s">
        <v>128</v>
      </c>
      <c r="E2663" s="3">
        <v>31</v>
      </c>
      <c r="G2663" s="57"/>
    </row>
    <row r="2664" spans="1:7" ht="12.75" x14ac:dyDescent="0.2">
      <c r="A2664" s="3">
        <v>301</v>
      </c>
      <c r="B2664" s="4" t="s">
        <v>336</v>
      </c>
      <c r="C2664" s="3" t="s">
        <v>125</v>
      </c>
      <c r="D2664" s="3" t="s">
        <v>149</v>
      </c>
      <c r="E2664" s="3">
        <v>37</v>
      </c>
      <c r="G2664" s="57"/>
    </row>
    <row r="2665" spans="1:7" ht="12.75" x14ac:dyDescent="0.2">
      <c r="A2665" s="3">
        <v>301</v>
      </c>
      <c r="B2665" s="4" t="s">
        <v>336</v>
      </c>
      <c r="C2665" s="3" t="s">
        <v>125</v>
      </c>
      <c r="D2665" s="3" t="s">
        <v>14</v>
      </c>
      <c r="E2665" s="3">
        <v>39</v>
      </c>
      <c r="G2665" s="57"/>
    </row>
    <row r="2666" spans="1:7" ht="12.75" x14ac:dyDescent="0.2">
      <c r="A2666" s="3">
        <v>301</v>
      </c>
      <c r="B2666" s="4" t="s">
        <v>336</v>
      </c>
      <c r="C2666" s="3" t="s">
        <v>125</v>
      </c>
      <c r="D2666" s="3" t="s">
        <v>138</v>
      </c>
      <c r="E2666" s="3">
        <v>3</v>
      </c>
      <c r="F2666">
        <f>SUM(E2661:E2666)</f>
        <v>130</v>
      </c>
      <c r="G2666" s="57"/>
    </row>
    <row r="2667" spans="1:7" ht="12.75" x14ac:dyDescent="0.2">
      <c r="A2667" s="3"/>
      <c r="B2667" s="4" t="s">
        <v>71</v>
      </c>
      <c r="C2667" s="3" t="s">
        <v>162</v>
      </c>
      <c r="D2667" s="3" t="s">
        <v>3</v>
      </c>
      <c r="E2667" s="3">
        <v>175</v>
      </c>
      <c r="G2667" s="19"/>
    </row>
    <row r="2668" spans="1:7" ht="12.75" x14ac:dyDescent="0.2">
      <c r="A2668" s="3"/>
      <c r="B2668" s="4" t="s">
        <v>71</v>
      </c>
      <c r="C2668" s="3" t="s">
        <v>162</v>
      </c>
      <c r="D2668" s="3" t="s">
        <v>149</v>
      </c>
      <c r="E2668" s="3">
        <v>2</v>
      </c>
      <c r="G2668" s="19"/>
    </row>
    <row r="2669" spans="1:7" ht="12.75" x14ac:dyDescent="0.2">
      <c r="A2669" s="3"/>
      <c r="B2669" s="4" t="s">
        <v>71</v>
      </c>
      <c r="C2669" s="3" t="s">
        <v>162</v>
      </c>
      <c r="D2669" s="3" t="s">
        <v>128</v>
      </c>
      <c r="E2669" s="3">
        <v>152</v>
      </c>
      <c r="G2669" s="19"/>
    </row>
    <row r="2670" spans="1:7" ht="12.75" x14ac:dyDescent="0.2">
      <c r="A2670" s="3"/>
      <c r="B2670" s="4" t="s">
        <v>71</v>
      </c>
      <c r="C2670" s="3" t="s">
        <v>162</v>
      </c>
      <c r="D2670" s="3" t="s">
        <v>14</v>
      </c>
      <c r="E2670" s="3">
        <v>20</v>
      </c>
      <c r="G2670" s="19"/>
    </row>
    <row r="2671" spans="1:7" ht="12.75" x14ac:dyDescent="0.2">
      <c r="A2671" s="3"/>
      <c r="B2671" s="4" t="s">
        <v>71</v>
      </c>
      <c r="C2671" s="3" t="s">
        <v>162</v>
      </c>
      <c r="D2671" s="3" t="s">
        <v>138</v>
      </c>
      <c r="E2671" s="3">
        <v>12</v>
      </c>
      <c r="F2671">
        <f>SUM(E2667:E2671)</f>
        <v>361</v>
      </c>
      <c r="G2671" s="19"/>
    </row>
    <row r="2672" spans="1:7" ht="12.75" x14ac:dyDescent="0.2">
      <c r="A2672" s="3"/>
      <c r="B2672" s="4" t="s">
        <v>71</v>
      </c>
      <c r="C2672" s="3" t="s">
        <v>161</v>
      </c>
      <c r="D2672" s="3" t="s">
        <v>3</v>
      </c>
      <c r="E2672" s="3">
        <v>177</v>
      </c>
      <c r="G2672" s="19"/>
    </row>
    <row r="2673" spans="1:7" ht="12.75" x14ac:dyDescent="0.2">
      <c r="A2673" s="3"/>
      <c r="B2673" s="4" t="s">
        <v>71</v>
      </c>
      <c r="C2673" s="3" t="s">
        <v>161</v>
      </c>
      <c r="D2673" s="3" t="s">
        <v>149</v>
      </c>
      <c r="E2673" s="3">
        <v>4</v>
      </c>
      <c r="G2673" s="19"/>
    </row>
    <row r="2674" spans="1:7" ht="12.75" x14ac:dyDescent="0.2">
      <c r="A2674" s="3"/>
      <c r="B2674" s="4" t="s">
        <v>71</v>
      </c>
      <c r="C2674" s="3" t="s">
        <v>161</v>
      </c>
      <c r="D2674" s="3" t="s">
        <v>128</v>
      </c>
      <c r="E2674" s="3">
        <v>147</v>
      </c>
      <c r="G2674" s="19"/>
    </row>
    <row r="2675" spans="1:7" ht="12.75" x14ac:dyDescent="0.2">
      <c r="A2675" s="3"/>
      <c r="B2675" s="4" t="s">
        <v>71</v>
      </c>
      <c r="C2675" s="3" t="s">
        <v>161</v>
      </c>
      <c r="D2675" s="3" t="s">
        <v>14</v>
      </c>
      <c r="E2675" s="3">
        <v>21</v>
      </c>
      <c r="G2675" s="19"/>
    </row>
    <row r="2676" spans="1:7" ht="12.75" x14ac:dyDescent="0.2">
      <c r="A2676" s="3"/>
      <c r="B2676" s="4" t="s">
        <v>71</v>
      </c>
      <c r="C2676" s="3" t="s">
        <v>161</v>
      </c>
      <c r="D2676" s="3" t="s">
        <v>138</v>
      </c>
      <c r="E2676" s="3">
        <v>12</v>
      </c>
      <c r="F2676">
        <f>SUM(E2672:E2676)</f>
        <v>361</v>
      </c>
      <c r="G2676" s="19"/>
    </row>
    <row r="2677" spans="1:7" ht="12.75" x14ac:dyDescent="0.2">
      <c r="A2677" s="3"/>
      <c r="B2677" s="4" t="s">
        <v>99</v>
      </c>
      <c r="C2677" s="3" t="s">
        <v>162</v>
      </c>
      <c r="D2677" s="3" t="s">
        <v>3</v>
      </c>
      <c r="E2677" s="3">
        <v>143</v>
      </c>
      <c r="G2677" s="19"/>
    </row>
    <row r="2678" spans="1:7" ht="12.75" x14ac:dyDescent="0.2">
      <c r="A2678" s="3"/>
      <c r="B2678" s="4" t="s">
        <v>99</v>
      </c>
      <c r="C2678" s="3" t="s">
        <v>162</v>
      </c>
      <c r="D2678" s="3" t="s">
        <v>315</v>
      </c>
      <c r="E2678" s="3">
        <v>2</v>
      </c>
      <c r="G2678" s="19"/>
    </row>
    <row r="2679" spans="1:7" ht="12.75" x14ac:dyDescent="0.2">
      <c r="A2679" s="3"/>
      <c r="B2679" s="4" t="s">
        <v>99</v>
      </c>
      <c r="C2679" s="3" t="s">
        <v>162</v>
      </c>
      <c r="D2679" s="3" t="s">
        <v>149</v>
      </c>
      <c r="E2679" s="3">
        <v>19</v>
      </c>
      <c r="G2679" s="19"/>
    </row>
    <row r="2680" spans="1:7" ht="12.75" x14ac:dyDescent="0.2">
      <c r="A2680" s="3"/>
      <c r="B2680" s="4" t="s">
        <v>99</v>
      </c>
      <c r="C2680" s="3" t="s">
        <v>162</v>
      </c>
      <c r="D2680" s="3" t="s">
        <v>128</v>
      </c>
      <c r="E2680" s="3">
        <v>52</v>
      </c>
      <c r="G2680" s="19"/>
    </row>
    <row r="2681" spans="1:7" ht="12.75" x14ac:dyDescent="0.2">
      <c r="A2681" s="3"/>
      <c r="B2681" s="4" t="s">
        <v>99</v>
      </c>
      <c r="C2681" s="3" t="s">
        <v>162</v>
      </c>
      <c r="D2681" s="3" t="s">
        <v>275</v>
      </c>
      <c r="E2681" s="3">
        <v>2</v>
      </c>
      <c r="G2681" s="19"/>
    </row>
    <row r="2682" spans="1:7" ht="12.75" x14ac:dyDescent="0.2">
      <c r="A2682" s="3"/>
      <c r="B2682" s="4" t="s">
        <v>99</v>
      </c>
      <c r="C2682" s="3" t="s">
        <v>162</v>
      </c>
      <c r="D2682" s="3" t="s">
        <v>305</v>
      </c>
      <c r="E2682" s="3">
        <v>13</v>
      </c>
      <c r="G2682" s="19"/>
    </row>
    <row r="2683" spans="1:7" ht="12.75" x14ac:dyDescent="0.2">
      <c r="A2683" s="3"/>
      <c r="B2683" s="4" t="s">
        <v>99</v>
      </c>
      <c r="C2683" s="3" t="s">
        <v>162</v>
      </c>
      <c r="D2683" s="3" t="s">
        <v>14</v>
      </c>
      <c r="E2683" s="3">
        <v>30</v>
      </c>
      <c r="F2683">
        <f>SUM(E2677:E2683)</f>
        <v>261</v>
      </c>
      <c r="G2683" s="19"/>
    </row>
    <row r="2684" spans="1:7" ht="12.75" x14ac:dyDescent="0.2">
      <c r="A2684" s="3"/>
      <c r="B2684" s="4" t="s">
        <v>99</v>
      </c>
      <c r="C2684" s="3" t="s">
        <v>161</v>
      </c>
      <c r="D2684" s="3" t="s">
        <v>3</v>
      </c>
      <c r="E2684" s="3">
        <v>142</v>
      </c>
      <c r="G2684" s="19"/>
    </row>
    <row r="2685" spans="1:7" ht="12.75" x14ac:dyDescent="0.2">
      <c r="A2685" s="3"/>
      <c r="B2685" s="4" t="s">
        <v>99</v>
      </c>
      <c r="C2685" s="3" t="s">
        <v>161</v>
      </c>
      <c r="D2685" s="3" t="s">
        <v>315</v>
      </c>
      <c r="E2685" s="3">
        <v>4</v>
      </c>
      <c r="G2685" s="19"/>
    </row>
    <row r="2686" spans="1:7" ht="12.75" x14ac:dyDescent="0.2">
      <c r="A2686" s="3"/>
      <c r="B2686" s="4" t="s">
        <v>99</v>
      </c>
      <c r="C2686" s="3" t="s">
        <v>161</v>
      </c>
      <c r="D2686" s="3" t="s">
        <v>149</v>
      </c>
      <c r="E2686" s="3">
        <v>19</v>
      </c>
      <c r="G2686" s="19"/>
    </row>
    <row r="2687" spans="1:7" ht="12.75" x14ac:dyDescent="0.2">
      <c r="A2687" s="3"/>
      <c r="B2687" s="4" t="s">
        <v>99</v>
      </c>
      <c r="C2687" s="3" t="s">
        <v>161</v>
      </c>
      <c r="D2687" s="3" t="s">
        <v>128</v>
      </c>
      <c r="E2687" s="3">
        <v>47</v>
      </c>
      <c r="G2687" s="19"/>
    </row>
    <row r="2688" spans="1:7" ht="12.75" x14ac:dyDescent="0.2">
      <c r="A2688" s="3"/>
      <c r="B2688" s="4" t="s">
        <v>99</v>
      </c>
      <c r="C2688" s="3" t="s">
        <v>161</v>
      </c>
      <c r="D2688" s="3" t="s">
        <v>275</v>
      </c>
      <c r="E2688" s="3">
        <v>2</v>
      </c>
      <c r="G2688" s="19"/>
    </row>
    <row r="2689" spans="1:7" ht="12.75" x14ac:dyDescent="0.2">
      <c r="A2689" s="3"/>
      <c r="B2689" s="4" t="s">
        <v>99</v>
      </c>
      <c r="C2689" s="3" t="s">
        <v>161</v>
      </c>
      <c r="D2689" s="3" t="s">
        <v>305</v>
      </c>
      <c r="E2689" s="3">
        <v>13</v>
      </c>
      <c r="G2689" s="19"/>
    </row>
    <row r="2690" spans="1:7" ht="12.75" x14ac:dyDescent="0.2">
      <c r="A2690" s="3"/>
      <c r="B2690" s="4" t="s">
        <v>99</v>
      </c>
      <c r="C2690" s="3" t="s">
        <v>161</v>
      </c>
      <c r="D2690" s="3" t="s">
        <v>14</v>
      </c>
      <c r="E2690" s="3">
        <v>34</v>
      </c>
      <c r="F2690">
        <f>SUM(E2684:E2690)</f>
        <v>261</v>
      </c>
      <c r="G2690" s="19"/>
    </row>
    <row r="2691" spans="1:7" ht="12.75" x14ac:dyDescent="0.2">
      <c r="A2691" s="3"/>
      <c r="B2691" s="4" t="s">
        <v>82</v>
      </c>
      <c r="C2691" s="3" t="s">
        <v>162</v>
      </c>
      <c r="D2691" s="3" t="s">
        <v>3</v>
      </c>
      <c r="E2691" s="3">
        <v>178</v>
      </c>
      <c r="G2691" s="19"/>
    </row>
    <row r="2692" spans="1:7" ht="12.75" x14ac:dyDescent="0.2">
      <c r="A2692" s="3"/>
      <c r="B2692" s="4" t="s">
        <v>82</v>
      </c>
      <c r="C2692" s="3" t="s">
        <v>162</v>
      </c>
      <c r="D2692" s="3" t="s">
        <v>315</v>
      </c>
      <c r="E2692" s="3">
        <v>1</v>
      </c>
      <c r="G2692" s="19"/>
    </row>
    <row r="2693" spans="1:7" ht="12.75" x14ac:dyDescent="0.2">
      <c r="A2693" s="3"/>
      <c r="B2693" s="4" t="s">
        <v>82</v>
      </c>
      <c r="C2693" s="3" t="s">
        <v>162</v>
      </c>
      <c r="D2693" s="3" t="s">
        <v>149</v>
      </c>
      <c r="E2693" s="3">
        <v>14</v>
      </c>
      <c r="G2693" s="19"/>
    </row>
    <row r="2694" spans="1:7" ht="12.75" x14ac:dyDescent="0.2">
      <c r="A2694" s="3"/>
      <c r="B2694" s="4" t="s">
        <v>82</v>
      </c>
      <c r="C2694" s="3" t="s">
        <v>162</v>
      </c>
      <c r="D2694" s="3" t="s">
        <v>128</v>
      </c>
      <c r="E2694" s="3">
        <v>91</v>
      </c>
      <c r="G2694" s="19"/>
    </row>
    <row r="2695" spans="1:7" ht="12.75" x14ac:dyDescent="0.2">
      <c r="A2695" s="3"/>
      <c r="B2695" s="4" t="s">
        <v>82</v>
      </c>
      <c r="C2695" s="3" t="s">
        <v>162</v>
      </c>
      <c r="D2695" s="3" t="s">
        <v>275</v>
      </c>
      <c r="E2695" s="3">
        <v>1</v>
      </c>
      <c r="G2695" s="19"/>
    </row>
    <row r="2696" spans="1:7" ht="12.75" x14ac:dyDescent="0.2">
      <c r="A2696" s="3"/>
      <c r="B2696" s="4" t="s">
        <v>82</v>
      </c>
      <c r="C2696" s="3" t="s">
        <v>162</v>
      </c>
      <c r="D2696" s="3" t="s">
        <v>14</v>
      </c>
      <c r="E2696" s="3">
        <v>14</v>
      </c>
      <c r="G2696" s="19"/>
    </row>
    <row r="2697" spans="1:7" ht="12.75" x14ac:dyDescent="0.2">
      <c r="A2697" s="3"/>
      <c r="B2697" s="4" t="s">
        <v>82</v>
      </c>
      <c r="C2697" s="3" t="s">
        <v>162</v>
      </c>
      <c r="D2697" s="3" t="s">
        <v>138</v>
      </c>
      <c r="E2697" s="3">
        <v>3</v>
      </c>
      <c r="F2697">
        <f>SUM(E2691:E2697)</f>
        <v>302</v>
      </c>
      <c r="G2697" s="19"/>
    </row>
    <row r="2698" spans="1:7" ht="12.75" x14ac:dyDescent="0.2">
      <c r="A2698" s="3"/>
      <c r="B2698" s="4" t="s">
        <v>82</v>
      </c>
      <c r="C2698" s="3" t="s">
        <v>161</v>
      </c>
      <c r="D2698" s="3" t="s">
        <v>3</v>
      </c>
      <c r="E2698" s="3">
        <v>174</v>
      </c>
      <c r="G2698" s="19"/>
    </row>
    <row r="2699" spans="1:7" ht="12.75" x14ac:dyDescent="0.2">
      <c r="A2699" s="3"/>
      <c r="B2699" s="4" t="s">
        <v>82</v>
      </c>
      <c r="C2699" s="3" t="s">
        <v>161</v>
      </c>
      <c r="D2699" s="3" t="s">
        <v>315</v>
      </c>
      <c r="E2699" s="3">
        <v>1</v>
      </c>
      <c r="G2699" s="19"/>
    </row>
    <row r="2700" spans="1:7" ht="12.75" x14ac:dyDescent="0.2">
      <c r="A2700" s="3"/>
      <c r="B2700" s="4" t="s">
        <v>82</v>
      </c>
      <c r="C2700" s="3" t="s">
        <v>161</v>
      </c>
      <c r="D2700" s="3" t="s">
        <v>149</v>
      </c>
      <c r="E2700" s="3">
        <v>23</v>
      </c>
      <c r="G2700" s="19"/>
    </row>
    <row r="2701" spans="1:7" ht="12.75" x14ac:dyDescent="0.2">
      <c r="A2701" s="3"/>
      <c r="B2701" s="4" t="s">
        <v>82</v>
      </c>
      <c r="C2701" s="3" t="s">
        <v>161</v>
      </c>
      <c r="D2701" s="3" t="s">
        <v>128</v>
      </c>
      <c r="E2701" s="3">
        <v>87</v>
      </c>
      <c r="G2701" s="19"/>
    </row>
    <row r="2702" spans="1:7" ht="12.75" x14ac:dyDescent="0.2">
      <c r="A2702" s="3"/>
      <c r="B2702" s="4" t="s">
        <v>82</v>
      </c>
      <c r="C2702" s="3" t="s">
        <v>161</v>
      </c>
      <c r="D2702" s="3" t="s">
        <v>275</v>
      </c>
      <c r="E2702" s="3">
        <v>1</v>
      </c>
      <c r="G2702" s="19"/>
    </row>
    <row r="2703" spans="1:7" ht="12.75" x14ac:dyDescent="0.2">
      <c r="A2703" s="3"/>
      <c r="B2703" s="4" t="s">
        <v>82</v>
      </c>
      <c r="C2703" s="3" t="s">
        <v>161</v>
      </c>
      <c r="D2703" s="3" t="s">
        <v>14</v>
      </c>
      <c r="E2703" s="3">
        <v>13</v>
      </c>
      <c r="G2703" s="19"/>
    </row>
    <row r="2704" spans="1:7" ht="12.75" x14ac:dyDescent="0.2">
      <c r="A2704" s="3"/>
      <c r="B2704" s="4" t="s">
        <v>82</v>
      </c>
      <c r="C2704" s="3" t="s">
        <v>161</v>
      </c>
      <c r="D2704" s="3" t="s">
        <v>138</v>
      </c>
      <c r="E2704" s="3">
        <v>3</v>
      </c>
      <c r="F2704">
        <f>SUM(E2698:E2704)</f>
        <v>302</v>
      </c>
      <c r="G2704" s="19"/>
    </row>
    <row r="2705" spans="1:7" ht="12.75" x14ac:dyDescent="0.2">
      <c r="A2705" s="3"/>
      <c r="B2705" s="4" t="s">
        <v>54</v>
      </c>
      <c r="C2705" s="3" t="s">
        <v>162</v>
      </c>
      <c r="D2705" s="3" t="s">
        <v>3</v>
      </c>
      <c r="E2705" s="3">
        <v>215</v>
      </c>
      <c r="G2705" s="19"/>
    </row>
    <row r="2706" spans="1:7" ht="12.75" x14ac:dyDescent="0.2">
      <c r="A2706" s="3"/>
      <c r="B2706" s="4" t="s">
        <v>54</v>
      </c>
      <c r="C2706" s="3" t="s">
        <v>162</v>
      </c>
      <c r="D2706" s="3" t="s">
        <v>274</v>
      </c>
      <c r="E2706" s="3">
        <v>4</v>
      </c>
      <c r="G2706" s="19"/>
    </row>
    <row r="2707" spans="1:7" ht="12.75" x14ac:dyDescent="0.2">
      <c r="A2707" s="3"/>
      <c r="B2707" s="4" t="s">
        <v>54</v>
      </c>
      <c r="C2707" s="3" t="s">
        <v>162</v>
      </c>
      <c r="D2707" s="3" t="s">
        <v>315</v>
      </c>
      <c r="E2707" s="3">
        <v>1</v>
      </c>
      <c r="G2707" s="19"/>
    </row>
    <row r="2708" spans="1:7" ht="12.75" x14ac:dyDescent="0.2">
      <c r="A2708" s="3"/>
      <c r="B2708" s="4" t="s">
        <v>54</v>
      </c>
      <c r="C2708" s="3" t="s">
        <v>162</v>
      </c>
      <c r="D2708" s="3" t="s">
        <v>149</v>
      </c>
      <c r="E2708" s="3">
        <v>26</v>
      </c>
      <c r="G2708" s="19"/>
    </row>
    <row r="2709" spans="1:7" ht="12.75" x14ac:dyDescent="0.2">
      <c r="A2709" s="3"/>
      <c r="B2709" s="4" t="s">
        <v>54</v>
      </c>
      <c r="C2709" s="3" t="s">
        <v>162</v>
      </c>
      <c r="D2709" s="3" t="s">
        <v>128</v>
      </c>
      <c r="E2709" s="3">
        <v>58</v>
      </c>
      <c r="G2709" s="19"/>
    </row>
    <row r="2710" spans="1:7" ht="12.75" x14ac:dyDescent="0.2">
      <c r="A2710" s="3"/>
      <c r="B2710" s="4" t="s">
        <v>54</v>
      </c>
      <c r="C2710" s="3" t="s">
        <v>162</v>
      </c>
      <c r="D2710" s="3" t="s">
        <v>275</v>
      </c>
      <c r="E2710" s="3">
        <v>2</v>
      </c>
      <c r="G2710" s="19"/>
    </row>
    <row r="2711" spans="1:7" ht="12.75" x14ac:dyDescent="0.2">
      <c r="A2711" s="3"/>
      <c r="B2711" s="4" t="s">
        <v>54</v>
      </c>
      <c r="C2711" s="3" t="s">
        <v>162</v>
      </c>
      <c r="D2711" s="3" t="s">
        <v>305</v>
      </c>
      <c r="E2711" s="3">
        <v>8</v>
      </c>
      <c r="G2711" s="19"/>
    </row>
    <row r="2712" spans="1:7" ht="12.75" x14ac:dyDescent="0.2">
      <c r="A2712" s="3"/>
      <c r="B2712" s="4" t="s">
        <v>54</v>
      </c>
      <c r="C2712" s="3" t="s">
        <v>162</v>
      </c>
      <c r="D2712" s="3" t="s">
        <v>14</v>
      </c>
      <c r="E2712" s="3">
        <v>38</v>
      </c>
      <c r="G2712" s="19"/>
    </row>
    <row r="2713" spans="1:7" ht="12.75" x14ac:dyDescent="0.2">
      <c r="A2713" s="3"/>
      <c r="B2713" s="4" t="s">
        <v>54</v>
      </c>
      <c r="C2713" s="3" t="s">
        <v>162</v>
      </c>
      <c r="D2713" s="3" t="s">
        <v>138</v>
      </c>
      <c r="E2713" s="3">
        <v>1</v>
      </c>
      <c r="F2713">
        <f>SUM(E2705:E2713)</f>
        <v>353</v>
      </c>
      <c r="G2713" s="19"/>
    </row>
    <row r="2714" spans="1:7" ht="12.75" x14ac:dyDescent="0.2">
      <c r="A2714" s="3"/>
      <c r="B2714" s="4" t="s">
        <v>54</v>
      </c>
      <c r="C2714" s="3" t="s">
        <v>161</v>
      </c>
      <c r="D2714" s="3" t="s">
        <v>3</v>
      </c>
      <c r="E2714" s="3">
        <v>215</v>
      </c>
      <c r="G2714" s="19"/>
    </row>
    <row r="2715" spans="1:7" ht="12.75" x14ac:dyDescent="0.2">
      <c r="A2715" s="3"/>
      <c r="B2715" s="4" t="s">
        <v>54</v>
      </c>
      <c r="C2715" s="3" t="s">
        <v>161</v>
      </c>
      <c r="D2715" s="3" t="s">
        <v>274</v>
      </c>
      <c r="E2715" s="3">
        <v>4</v>
      </c>
      <c r="G2715" s="19"/>
    </row>
    <row r="2716" spans="1:7" ht="12.75" x14ac:dyDescent="0.2">
      <c r="A2716" s="3"/>
      <c r="B2716" s="4" t="s">
        <v>54</v>
      </c>
      <c r="C2716" s="3" t="s">
        <v>161</v>
      </c>
      <c r="D2716" s="3" t="s">
        <v>315</v>
      </c>
      <c r="E2716" s="3">
        <v>2</v>
      </c>
      <c r="G2716" s="19"/>
    </row>
    <row r="2717" spans="1:7" ht="12.75" x14ac:dyDescent="0.2">
      <c r="A2717" s="3"/>
      <c r="B2717" s="4" t="s">
        <v>54</v>
      </c>
      <c r="C2717" s="3" t="s">
        <v>161</v>
      </c>
      <c r="D2717" s="3" t="s">
        <v>149</v>
      </c>
      <c r="E2717" s="3">
        <v>28</v>
      </c>
      <c r="G2717" s="19"/>
    </row>
    <row r="2718" spans="1:7" ht="12.75" x14ac:dyDescent="0.2">
      <c r="A2718" s="3"/>
      <c r="B2718" s="4" t="s">
        <v>54</v>
      </c>
      <c r="C2718" s="3" t="s">
        <v>161</v>
      </c>
      <c r="D2718" s="3" t="s">
        <v>128</v>
      </c>
      <c r="E2718" s="3">
        <v>55</v>
      </c>
      <c r="G2718" s="19"/>
    </row>
    <row r="2719" spans="1:7" ht="12.75" x14ac:dyDescent="0.2">
      <c r="A2719" s="3"/>
      <c r="B2719" s="4" t="s">
        <v>54</v>
      </c>
      <c r="C2719" s="3" t="s">
        <v>161</v>
      </c>
      <c r="D2719" s="3" t="s">
        <v>275</v>
      </c>
      <c r="E2719" s="3">
        <v>2</v>
      </c>
      <c r="G2719" s="19"/>
    </row>
    <row r="2720" spans="1:7" ht="12.75" x14ac:dyDescent="0.2">
      <c r="A2720" s="3"/>
      <c r="B2720" s="4" t="s">
        <v>54</v>
      </c>
      <c r="C2720" s="3" t="s">
        <v>161</v>
      </c>
      <c r="D2720" s="3" t="s">
        <v>305</v>
      </c>
      <c r="E2720" s="3">
        <v>9</v>
      </c>
      <c r="G2720" s="19"/>
    </row>
    <row r="2721" spans="1:7" ht="12.75" x14ac:dyDescent="0.2">
      <c r="A2721" s="3"/>
      <c r="B2721" s="4" t="s">
        <v>54</v>
      </c>
      <c r="C2721" s="3" t="s">
        <v>161</v>
      </c>
      <c r="D2721" s="3" t="s">
        <v>14</v>
      </c>
      <c r="E2721" s="3">
        <v>37</v>
      </c>
      <c r="G2721" s="19"/>
    </row>
    <row r="2722" spans="1:7" ht="12.75" x14ac:dyDescent="0.2">
      <c r="A2722" s="3"/>
      <c r="B2722" s="4" t="s">
        <v>54</v>
      </c>
      <c r="C2722" s="3" t="s">
        <v>161</v>
      </c>
      <c r="D2722" s="3" t="s">
        <v>138</v>
      </c>
      <c r="E2722" s="3">
        <v>1</v>
      </c>
      <c r="F2722">
        <f>SUM(E2714:E2722)</f>
        <v>353</v>
      </c>
      <c r="G2722" s="19"/>
    </row>
    <row r="2723" spans="1:7" ht="12.75" x14ac:dyDescent="0.2">
      <c r="A2723" s="3"/>
      <c r="B2723" s="4" t="s">
        <v>64</v>
      </c>
      <c r="C2723" s="3" t="s">
        <v>162</v>
      </c>
      <c r="D2723" s="3" t="s">
        <v>3</v>
      </c>
      <c r="E2723" s="3">
        <v>892</v>
      </c>
      <c r="G2723" s="19"/>
    </row>
    <row r="2724" spans="1:7" ht="12.75" x14ac:dyDescent="0.2">
      <c r="A2724" s="3"/>
      <c r="B2724" s="4" t="s">
        <v>64</v>
      </c>
      <c r="C2724" s="3" t="s">
        <v>162</v>
      </c>
      <c r="D2724" s="3" t="s">
        <v>274</v>
      </c>
      <c r="E2724" s="3">
        <v>1</v>
      </c>
      <c r="G2724" s="19"/>
    </row>
    <row r="2725" spans="1:7" ht="12.75" x14ac:dyDescent="0.2">
      <c r="A2725" s="3"/>
      <c r="B2725" s="4" t="s">
        <v>64</v>
      </c>
      <c r="C2725" s="3" t="s">
        <v>162</v>
      </c>
      <c r="D2725" s="3" t="s">
        <v>315</v>
      </c>
      <c r="E2725" s="3">
        <v>3</v>
      </c>
      <c r="G2725" s="19"/>
    </row>
    <row r="2726" spans="1:7" ht="12.75" x14ac:dyDescent="0.2">
      <c r="A2726" s="3"/>
      <c r="B2726" s="4" t="s">
        <v>64</v>
      </c>
      <c r="C2726" s="3" t="s">
        <v>162</v>
      </c>
      <c r="D2726" s="3" t="s">
        <v>149</v>
      </c>
      <c r="E2726" s="3">
        <v>17</v>
      </c>
      <c r="G2726" s="19"/>
    </row>
    <row r="2727" spans="1:7" ht="12.75" x14ac:dyDescent="0.2">
      <c r="A2727" s="3"/>
      <c r="B2727" s="4" t="s">
        <v>64</v>
      </c>
      <c r="C2727" s="3" t="s">
        <v>162</v>
      </c>
      <c r="D2727" s="3" t="s">
        <v>128</v>
      </c>
      <c r="E2727" s="3">
        <v>690</v>
      </c>
      <c r="G2727" s="19"/>
    </row>
    <row r="2728" spans="1:7" ht="12.75" x14ac:dyDescent="0.2">
      <c r="A2728" s="3"/>
      <c r="B2728" s="4" t="s">
        <v>64</v>
      </c>
      <c r="C2728" s="3" t="s">
        <v>162</v>
      </c>
      <c r="D2728" s="3" t="s">
        <v>275</v>
      </c>
      <c r="E2728" s="3">
        <v>2</v>
      </c>
      <c r="G2728" s="19"/>
    </row>
    <row r="2729" spans="1:7" ht="12.75" x14ac:dyDescent="0.2">
      <c r="A2729" s="3"/>
      <c r="B2729" s="4" t="s">
        <v>64</v>
      </c>
      <c r="C2729" s="3" t="s">
        <v>162</v>
      </c>
      <c r="D2729" s="3" t="s">
        <v>305</v>
      </c>
      <c r="E2729" s="3">
        <v>8</v>
      </c>
      <c r="G2729" s="19"/>
    </row>
    <row r="2730" spans="1:7" ht="12.75" x14ac:dyDescent="0.2">
      <c r="A2730" s="3"/>
      <c r="B2730" s="4" t="s">
        <v>64</v>
      </c>
      <c r="C2730" s="3" t="s">
        <v>162</v>
      </c>
      <c r="D2730" s="3" t="s">
        <v>14</v>
      </c>
      <c r="E2730" s="3">
        <v>58</v>
      </c>
      <c r="F2730">
        <f>SUM(E2723:E2730)</f>
        <v>1671</v>
      </c>
      <c r="G2730" s="19"/>
    </row>
    <row r="2731" spans="1:7" ht="12.75" x14ac:dyDescent="0.2">
      <c r="A2731" s="3"/>
      <c r="B2731" s="4" t="s">
        <v>64</v>
      </c>
      <c r="C2731" s="3" t="s">
        <v>161</v>
      </c>
      <c r="D2731" s="3" t="s">
        <v>3</v>
      </c>
      <c r="E2731" s="3">
        <v>842</v>
      </c>
      <c r="G2731" s="19"/>
    </row>
    <row r="2732" spans="1:7" ht="12.75" x14ac:dyDescent="0.2">
      <c r="A2732" s="3"/>
      <c r="B2732" s="4" t="s">
        <v>64</v>
      </c>
      <c r="C2732" s="3" t="s">
        <v>161</v>
      </c>
      <c r="D2732" s="3" t="s">
        <v>274</v>
      </c>
      <c r="E2732" s="3">
        <v>2</v>
      </c>
      <c r="G2732" s="19"/>
    </row>
    <row r="2733" spans="1:7" ht="12.75" x14ac:dyDescent="0.2">
      <c r="A2733" s="3"/>
      <c r="B2733" s="4" t="s">
        <v>64</v>
      </c>
      <c r="C2733" s="3" t="s">
        <v>161</v>
      </c>
      <c r="D2733" s="3" t="s">
        <v>315</v>
      </c>
      <c r="E2733" s="3">
        <v>3</v>
      </c>
      <c r="G2733" s="19"/>
    </row>
    <row r="2734" spans="1:7" ht="12.75" x14ac:dyDescent="0.2">
      <c r="A2734" s="3"/>
      <c r="B2734" s="4" t="s">
        <v>64</v>
      </c>
      <c r="C2734" s="3" t="s">
        <v>161</v>
      </c>
      <c r="D2734" s="3" t="s">
        <v>149</v>
      </c>
      <c r="E2734" s="3">
        <v>18</v>
      </c>
      <c r="G2734" s="19"/>
    </row>
    <row r="2735" spans="1:7" ht="12.75" x14ac:dyDescent="0.2">
      <c r="A2735" s="3"/>
      <c r="B2735" s="4" t="s">
        <v>64</v>
      </c>
      <c r="C2735" s="3" t="s">
        <v>161</v>
      </c>
      <c r="D2735" s="3" t="s">
        <v>128</v>
      </c>
      <c r="E2735" s="3">
        <v>708</v>
      </c>
      <c r="G2735" s="19"/>
    </row>
    <row r="2736" spans="1:7" ht="12.75" x14ac:dyDescent="0.2">
      <c r="A2736" s="3"/>
      <c r="B2736" s="4" t="s">
        <v>64</v>
      </c>
      <c r="C2736" s="3" t="s">
        <v>161</v>
      </c>
      <c r="D2736" s="3" t="s">
        <v>275</v>
      </c>
      <c r="E2736" s="3">
        <v>2</v>
      </c>
      <c r="G2736" s="19"/>
    </row>
    <row r="2737" spans="1:7" ht="12.75" x14ac:dyDescent="0.2">
      <c r="A2737" s="3"/>
      <c r="B2737" s="4" t="s">
        <v>64</v>
      </c>
      <c r="C2737" s="3" t="s">
        <v>161</v>
      </c>
      <c r="D2737" s="3" t="s">
        <v>305</v>
      </c>
      <c r="E2737" s="3">
        <v>8</v>
      </c>
      <c r="G2737" s="19"/>
    </row>
    <row r="2738" spans="1:7" ht="12.75" x14ac:dyDescent="0.2">
      <c r="A2738" s="3"/>
      <c r="B2738" s="4" t="s">
        <v>64</v>
      </c>
      <c r="C2738" s="3" t="s">
        <v>161</v>
      </c>
      <c r="D2738" s="3" t="s">
        <v>14</v>
      </c>
      <c r="E2738" s="3">
        <v>88</v>
      </c>
      <c r="F2738">
        <f>SUM(E2731:E2738)</f>
        <v>1671</v>
      </c>
      <c r="G2738" s="19"/>
    </row>
    <row r="2739" spans="1:7" ht="12.75" x14ac:dyDescent="0.2">
      <c r="A2739" s="3"/>
      <c r="B2739" s="4" t="s">
        <v>100</v>
      </c>
      <c r="C2739" s="3" t="s">
        <v>162</v>
      </c>
      <c r="D2739" s="3" t="s">
        <v>3</v>
      </c>
      <c r="E2739" s="3">
        <v>497</v>
      </c>
      <c r="G2739" s="19"/>
    </row>
    <row r="2740" spans="1:7" ht="12.75" x14ac:dyDescent="0.2">
      <c r="A2740" s="3"/>
      <c r="B2740" s="4" t="s">
        <v>100</v>
      </c>
      <c r="C2740" s="3" t="s">
        <v>162</v>
      </c>
      <c r="D2740" s="3" t="s">
        <v>315</v>
      </c>
      <c r="E2740" s="3">
        <v>9</v>
      </c>
      <c r="G2740" s="19"/>
    </row>
    <row r="2741" spans="1:7" ht="12.75" x14ac:dyDescent="0.2">
      <c r="A2741" s="3"/>
      <c r="B2741" s="4" t="s">
        <v>100</v>
      </c>
      <c r="C2741" s="3" t="s">
        <v>162</v>
      </c>
      <c r="D2741" s="3" t="s">
        <v>149</v>
      </c>
      <c r="E2741" s="3">
        <v>30</v>
      </c>
      <c r="G2741" s="19"/>
    </row>
    <row r="2742" spans="1:7" ht="12.75" x14ac:dyDescent="0.2">
      <c r="A2742" s="3"/>
      <c r="B2742" s="4" t="s">
        <v>100</v>
      </c>
      <c r="C2742" s="3" t="s">
        <v>162</v>
      </c>
      <c r="D2742" s="3" t="s">
        <v>128</v>
      </c>
      <c r="E2742" s="3">
        <v>510</v>
      </c>
      <c r="G2742" s="19"/>
    </row>
    <row r="2743" spans="1:7" ht="12.75" x14ac:dyDescent="0.2">
      <c r="A2743" s="3"/>
      <c r="B2743" s="4" t="s">
        <v>100</v>
      </c>
      <c r="C2743" s="3" t="s">
        <v>162</v>
      </c>
      <c r="D2743" s="3" t="s">
        <v>275</v>
      </c>
      <c r="E2743" s="3">
        <v>1</v>
      </c>
      <c r="G2743" s="19"/>
    </row>
    <row r="2744" spans="1:7" ht="12.75" x14ac:dyDescent="0.2">
      <c r="A2744" s="3"/>
      <c r="B2744" s="4" t="s">
        <v>100</v>
      </c>
      <c r="C2744" s="3" t="s">
        <v>162</v>
      </c>
      <c r="D2744" s="3" t="s">
        <v>305</v>
      </c>
      <c r="E2744" s="3">
        <v>8</v>
      </c>
      <c r="G2744" s="19"/>
    </row>
    <row r="2745" spans="1:7" ht="12.75" x14ac:dyDescent="0.2">
      <c r="A2745" s="3"/>
      <c r="B2745" s="4" t="s">
        <v>100</v>
      </c>
      <c r="C2745" s="3" t="s">
        <v>162</v>
      </c>
      <c r="D2745" s="3" t="s">
        <v>14</v>
      </c>
      <c r="E2745" s="3">
        <v>84</v>
      </c>
      <c r="F2745">
        <f>SUM(E2739:E2745)</f>
        <v>1139</v>
      </c>
      <c r="G2745" s="19"/>
    </row>
    <row r="2746" spans="1:7" ht="12.75" x14ac:dyDescent="0.2">
      <c r="A2746" s="3"/>
      <c r="B2746" s="4" t="s">
        <v>100</v>
      </c>
      <c r="C2746" s="3" t="s">
        <v>161</v>
      </c>
      <c r="D2746" s="3" t="s">
        <v>3</v>
      </c>
      <c r="E2746" s="3">
        <v>449</v>
      </c>
      <c r="G2746" s="19"/>
    </row>
    <row r="2747" spans="1:7" ht="12.75" x14ac:dyDescent="0.2">
      <c r="A2747" s="3"/>
      <c r="B2747" s="4" t="s">
        <v>100</v>
      </c>
      <c r="C2747" s="3" t="s">
        <v>161</v>
      </c>
      <c r="D2747" s="3" t="s">
        <v>315</v>
      </c>
      <c r="E2747" s="3">
        <v>12</v>
      </c>
      <c r="G2747" s="19"/>
    </row>
    <row r="2748" spans="1:7" ht="12.75" x14ac:dyDescent="0.2">
      <c r="A2748" s="3"/>
      <c r="B2748" s="4" t="s">
        <v>100</v>
      </c>
      <c r="C2748" s="3" t="s">
        <v>161</v>
      </c>
      <c r="D2748" s="3" t="s">
        <v>149</v>
      </c>
      <c r="E2748" s="3">
        <v>35</v>
      </c>
      <c r="G2748" s="19"/>
    </row>
    <row r="2749" spans="1:7" ht="12.75" x14ac:dyDescent="0.2">
      <c r="A2749" s="3"/>
      <c r="B2749" s="4" t="s">
        <v>100</v>
      </c>
      <c r="C2749" s="3" t="s">
        <v>161</v>
      </c>
      <c r="D2749" s="3" t="s">
        <v>128</v>
      </c>
      <c r="E2749" s="3">
        <v>515</v>
      </c>
      <c r="G2749" s="19"/>
    </row>
    <row r="2750" spans="1:7" ht="12.75" x14ac:dyDescent="0.2">
      <c r="A2750" s="3"/>
      <c r="B2750" s="4" t="s">
        <v>100</v>
      </c>
      <c r="C2750" s="3" t="s">
        <v>161</v>
      </c>
      <c r="D2750" s="3" t="s">
        <v>275</v>
      </c>
      <c r="E2750" s="3">
        <v>1</v>
      </c>
      <c r="G2750" s="19"/>
    </row>
    <row r="2751" spans="1:7" ht="12.75" x14ac:dyDescent="0.2">
      <c r="A2751" s="3"/>
      <c r="B2751" s="4" t="s">
        <v>100</v>
      </c>
      <c r="C2751" s="3" t="s">
        <v>161</v>
      </c>
      <c r="D2751" s="3" t="s">
        <v>305</v>
      </c>
      <c r="E2751" s="3">
        <v>8</v>
      </c>
      <c r="G2751" s="19"/>
    </row>
    <row r="2752" spans="1:7" ht="12.75" x14ac:dyDescent="0.2">
      <c r="A2752" s="3"/>
      <c r="B2752" s="4" t="s">
        <v>100</v>
      </c>
      <c r="C2752" s="3" t="s">
        <v>161</v>
      </c>
      <c r="D2752" s="3" t="s">
        <v>14</v>
      </c>
      <c r="E2752" s="3">
        <v>119</v>
      </c>
      <c r="F2752">
        <f>SUM(E2746:E2752)</f>
        <v>1139</v>
      </c>
      <c r="G2752" s="19"/>
    </row>
    <row r="2753" spans="1:7" ht="12.75" x14ac:dyDescent="0.2">
      <c r="A2753" s="3"/>
      <c r="B2753" s="4" t="s">
        <v>37</v>
      </c>
      <c r="C2753" s="3" t="s">
        <v>162</v>
      </c>
      <c r="D2753" s="3" t="s">
        <v>3</v>
      </c>
      <c r="E2753" s="3">
        <v>150</v>
      </c>
      <c r="G2753" s="19"/>
    </row>
    <row r="2754" spans="1:7" ht="12.75" x14ac:dyDescent="0.2">
      <c r="A2754" s="3"/>
      <c r="B2754" s="4" t="s">
        <v>37</v>
      </c>
      <c r="C2754" s="3" t="s">
        <v>162</v>
      </c>
      <c r="D2754" s="3" t="s">
        <v>315</v>
      </c>
      <c r="E2754" s="3">
        <v>1</v>
      </c>
      <c r="G2754" s="19"/>
    </row>
    <row r="2755" spans="1:7" ht="12.75" x14ac:dyDescent="0.2">
      <c r="A2755" s="3"/>
      <c r="B2755" s="4" t="s">
        <v>37</v>
      </c>
      <c r="C2755" s="3" t="s">
        <v>162</v>
      </c>
      <c r="D2755" s="3" t="s">
        <v>149</v>
      </c>
      <c r="E2755" s="3">
        <v>2</v>
      </c>
      <c r="G2755" s="19"/>
    </row>
    <row r="2756" spans="1:7" ht="12.75" x14ac:dyDescent="0.2">
      <c r="A2756" s="3"/>
      <c r="B2756" s="4" t="s">
        <v>37</v>
      </c>
      <c r="C2756" s="3" t="s">
        <v>162</v>
      </c>
      <c r="D2756" s="3" t="s">
        <v>128</v>
      </c>
      <c r="E2756" s="3">
        <v>181</v>
      </c>
      <c r="G2756" s="19"/>
    </row>
    <row r="2757" spans="1:7" ht="12.75" x14ac:dyDescent="0.2">
      <c r="A2757" s="3"/>
      <c r="B2757" s="4" t="s">
        <v>37</v>
      </c>
      <c r="C2757" s="3" t="s">
        <v>162</v>
      </c>
      <c r="D2757" s="3" t="s">
        <v>14</v>
      </c>
      <c r="E2757" s="3">
        <v>10</v>
      </c>
      <c r="G2757" s="19"/>
    </row>
    <row r="2758" spans="1:7" ht="12.75" x14ac:dyDescent="0.2">
      <c r="A2758" s="3"/>
      <c r="B2758" s="4" t="s">
        <v>37</v>
      </c>
      <c r="C2758" s="3" t="s">
        <v>162</v>
      </c>
      <c r="D2758" s="3" t="s">
        <v>138</v>
      </c>
      <c r="E2758" s="3">
        <v>1</v>
      </c>
      <c r="F2758">
        <f>SUM(E2753:E2758)</f>
        <v>345</v>
      </c>
      <c r="G2758" s="19"/>
    </row>
    <row r="2759" spans="1:7" ht="12.75" x14ac:dyDescent="0.2">
      <c r="A2759" s="3"/>
      <c r="B2759" s="4" t="s">
        <v>37</v>
      </c>
      <c r="C2759" s="3" t="s">
        <v>161</v>
      </c>
      <c r="D2759" s="3" t="s">
        <v>3</v>
      </c>
      <c r="E2759" s="3">
        <v>142</v>
      </c>
      <c r="G2759" s="19"/>
    </row>
    <row r="2760" spans="1:7" ht="12.75" x14ac:dyDescent="0.2">
      <c r="A2760" s="3"/>
      <c r="B2760" s="4" t="s">
        <v>37</v>
      </c>
      <c r="C2760" s="3" t="s">
        <v>161</v>
      </c>
      <c r="D2760" s="3" t="s">
        <v>315</v>
      </c>
      <c r="E2760" s="3">
        <v>1</v>
      </c>
      <c r="G2760" s="19"/>
    </row>
    <row r="2761" spans="1:7" ht="12.75" x14ac:dyDescent="0.2">
      <c r="A2761" s="3"/>
      <c r="B2761" s="4" t="s">
        <v>37</v>
      </c>
      <c r="C2761" s="3" t="s">
        <v>161</v>
      </c>
      <c r="D2761" s="3" t="s">
        <v>149</v>
      </c>
      <c r="E2761" s="3">
        <v>4</v>
      </c>
      <c r="G2761" s="19"/>
    </row>
    <row r="2762" spans="1:7" ht="12.75" x14ac:dyDescent="0.2">
      <c r="A2762" s="3"/>
      <c r="B2762" s="4" t="s">
        <v>37</v>
      </c>
      <c r="C2762" s="3" t="s">
        <v>161</v>
      </c>
      <c r="D2762" s="3" t="s">
        <v>128</v>
      </c>
      <c r="E2762" s="3">
        <v>178</v>
      </c>
      <c r="G2762" s="19"/>
    </row>
    <row r="2763" spans="1:7" ht="12.75" x14ac:dyDescent="0.2">
      <c r="A2763" s="3"/>
      <c r="B2763" s="4" t="s">
        <v>37</v>
      </c>
      <c r="C2763" s="3" t="s">
        <v>161</v>
      </c>
      <c r="D2763" s="3" t="s">
        <v>14</v>
      </c>
      <c r="E2763" s="3">
        <v>19</v>
      </c>
      <c r="G2763" s="19"/>
    </row>
    <row r="2764" spans="1:7" ht="12.75" x14ac:dyDescent="0.2">
      <c r="A2764" s="3"/>
      <c r="B2764" s="4" t="s">
        <v>37</v>
      </c>
      <c r="C2764" s="3" t="s">
        <v>161</v>
      </c>
      <c r="D2764" s="3" t="s">
        <v>138</v>
      </c>
      <c r="E2764" s="3">
        <v>1</v>
      </c>
      <c r="F2764">
        <f>SUM(E2759:E2764)</f>
        <v>345</v>
      </c>
      <c r="G2764" s="19"/>
    </row>
    <row r="2765" spans="1:7" ht="12.75" x14ac:dyDescent="0.2">
      <c r="A2765" s="3"/>
      <c r="B2765" s="4" t="s">
        <v>38</v>
      </c>
      <c r="C2765" s="3" t="s">
        <v>162</v>
      </c>
      <c r="D2765" s="3" t="s">
        <v>3</v>
      </c>
      <c r="E2765" s="3">
        <v>675</v>
      </c>
      <c r="G2765" s="19"/>
    </row>
    <row r="2766" spans="1:7" ht="12.75" x14ac:dyDescent="0.2">
      <c r="A2766" s="3"/>
      <c r="B2766" s="4" t="s">
        <v>38</v>
      </c>
      <c r="C2766" s="3" t="s">
        <v>162</v>
      </c>
      <c r="D2766" s="3" t="s">
        <v>274</v>
      </c>
      <c r="E2766" s="3">
        <v>6</v>
      </c>
      <c r="G2766" s="19"/>
    </row>
    <row r="2767" spans="1:7" ht="12.75" x14ac:dyDescent="0.2">
      <c r="A2767" s="3"/>
      <c r="B2767" s="4" t="s">
        <v>38</v>
      </c>
      <c r="C2767" s="3" t="s">
        <v>162</v>
      </c>
      <c r="D2767" s="3" t="s">
        <v>315</v>
      </c>
      <c r="E2767" s="3">
        <v>1</v>
      </c>
      <c r="G2767" s="19"/>
    </row>
    <row r="2768" spans="1:7" ht="12.75" x14ac:dyDescent="0.2">
      <c r="A2768" s="3"/>
      <c r="B2768" s="4" t="s">
        <v>38</v>
      </c>
      <c r="C2768" s="3" t="s">
        <v>162</v>
      </c>
      <c r="D2768" s="3" t="s">
        <v>149</v>
      </c>
      <c r="E2768" s="3">
        <v>20</v>
      </c>
      <c r="G2768" s="19"/>
    </row>
    <row r="2769" spans="1:7" ht="12.75" x14ac:dyDescent="0.2">
      <c r="A2769" s="3"/>
      <c r="B2769" s="4" t="s">
        <v>38</v>
      </c>
      <c r="C2769" s="3" t="s">
        <v>162</v>
      </c>
      <c r="D2769" s="3" t="s">
        <v>128</v>
      </c>
      <c r="E2769" s="3">
        <v>701</v>
      </c>
      <c r="G2769" s="19"/>
    </row>
    <row r="2770" spans="1:7" ht="12.75" x14ac:dyDescent="0.2">
      <c r="A2770" s="3"/>
      <c r="B2770" s="4" t="s">
        <v>38</v>
      </c>
      <c r="C2770" s="3" t="s">
        <v>162</v>
      </c>
      <c r="D2770" s="3" t="s">
        <v>275</v>
      </c>
      <c r="E2770" s="3">
        <v>12</v>
      </c>
      <c r="G2770" s="19"/>
    </row>
    <row r="2771" spans="1:7" ht="12.75" x14ac:dyDescent="0.2">
      <c r="A2771" s="3"/>
      <c r="B2771" s="4" t="s">
        <v>38</v>
      </c>
      <c r="C2771" s="3" t="s">
        <v>162</v>
      </c>
      <c r="D2771" s="3" t="s">
        <v>305</v>
      </c>
      <c r="E2771" s="3">
        <v>40</v>
      </c>
      <c r="G2771" s="19"/>
    </row>
    <row r="2772" spans="1:7" ht="12.75" x14ac:dyDescent="0.2">
      <c r="A2772" s="3"/>
      <c r="B2772" s="4" t="s">
        <v>38</v>
      </c>
      <c r="C2772" s="3" t="s">
        <v>162</v>
      </c>
      <c r="D2772" s="3" t="s">
        <v>14</v>
      </c>
      <c r="E2772" s="3">
        <v>74</v>
      </c>
      <c r="G2772" s="19"/>
    </row>
    <row r="2773" spans="1:7" ht="12.75" x14ac:dyDescent="0.2">
      <c r="A2773" s="3"/>
      <c r="B2773" s="4" t="s">
        <v>38</v>
      </c>
      <c r="C2773" s="3" t="s">
        <v>162</v>
      </c>
      <c r="D2773" s="3" t="s">
        <v>138</v>
      </c>
      <c r="E2773" s="3">
        <v>12</v>
      </c>
      <c r="F2773">
        <f>SUM(E2765:E2773)</f>
        <v>1541</v>
      </c>
      <c r="G2773" s="19"/>
    </row>
    <row r="2774" spans="1:7" ht="12.75" x14ac:dyDescent="0.2">
      <c r="A2774" s="3"/>
      <c r="B2774" s="4" t="s">
        <v>38</v>
      </c>
      <c r="C2774" s="3" t="s">
        <v>161</v>
      </c>
      <c r="D2774" s="3" t="s">
        <v>3</v>
      </c>
      <c r="E2774" s="3">
        <v>657</v>
      </c>
      <c r="G2774" s="19"/>
    </row>
    <row r="2775" spans="1:7" ht="12.75" x14ac:dyDescent="0.2">
      <c r="A2775" s="3"/>
      <c r="B2775" s="4" t="s">
        <v>38</v>
      </c>
      <c r="C2775" s="3" t="s">
        <v>161</v>
      </c>
      <c r="D2775" s="3" t="s">
        <v>274</v>
      </c>
      <c r="E2775" s="3">
        <v>6</v>
      </c>
      <c r="G2775" s="19"/>
    </row>
    <row r="2776" spans="1:7" ht="12.75" x14ac:dyDescent="0.2">
      <c r="A2776" s="3"/>
      <c r="B2776" s="4" t="s">
        <v>38</v>
      </c>
      <c r="C2776" s="3" t="s">
        <v>161</v>
      </c>
      <c r="D2776" s="3" t="s">
        <v>315</v>
      </c>
      <c r="E2776" s="3">
        <v>1</v>
      </c>
      <c r="G2776" s="19"/>
    </row>
    <row r="2777" spans="1:7" ht="12.75" x14ac:dyDescent="0.2">
      <c r="A2777" s="3"/>
      <c r="B2777" s="4" t="s">
        <v>38</v>
      </c>
      <c r="C2777" s="3" t="s">
        <v>161</v>
      </c>
      <c r="D2777" s="3" t="s">
        <v>149</v>
      </c>
      <c r="E2777" s="3">
        <v>18</v>
      </c>
      <c r="G2777" s="19"/>
    </row>
    <row r="2778" spans="1:7" ht="12.75" x14ac:dyDescent="0.2">
      <c r="A2778" s="3"/>
      <c r="B2778" s="4" t="s">
        <v>38</v>
      </c>
      <c r="C2778" s="3" t="s">
        <v>161</v>
      </c>
      <c r="D2778" s="3" t="s">
        <v>128</v>
      </c>
      <c r="E2778" s="3">
        <v>709</v>
      </c>
      <c r="G2778" s="19"/>
    </row>
    <row r="2779" spans="1:7" ht="12.75" x14ac:dyDescent="0.2">
      <c r="A2779" s="3"/>
      <c r="B2779" s="4" t="s">
        <v>38</v>
      </c>
      <c r="C2779" s="3" t="s">
        <v>161</v>
      </c>
      <c r="D2779" s="3" t="s">
        <v>275</v>
      </c>
      <c r="E2779" s="3">
        <v>11</v>
      </c>
      <c r="G2779" s="19"/>
    </row>
    <row r="2780" spans="1:7" ht="12.75" x14ac:dyDescent="0.2">
      <c r="A2780" s="3"/>
      <c r="B2780" s="4" t="s">
        <v>38</v>
      </c>
      <c r="C2780" s="3" t="s">
        <v>161</v>
      </c>
      <c r="D2780" s="3" t="s">
        <v>305</v>
      </c>
      <c r="E2780" s="3">
        <v>39</v>
      </c>
      <c r="G2780" s="19"/>
    </row>
    <row r="2781" spans="1:7" ht="12.75" x14ac:dyDescent="0.2">
      <c r="A2781" s="3"/>
      <c r="B2781" s="4" t="s">
        <v>38</v>
      </c>
      <c r="C2781" s="3" t="s">
        <v>161</v>
      </c>
      <c r="D2781" s="3" t="s">
        <v>14</v>
      </c>
      <c r="E2781" s="3">
        <v>89</v>
      </c>
      <c r="G2781" s="19"/>
    </row>
    <row r="2782" spans="1:7" ht="12.75" x14ac:dyDescent="0.2">
      <c r="A2782" s="3"/>
      <c r="B2782" s="4" t="s">
        <v>38</v>
      </c>
      <c r="C2782" s="3" t="s">
        <v>161</v>
      </c>
      <c r="D2782" s="3" t="s">
        <v>138</v>
      </c>
      <c r="E2782" s="3">
        <v>11</v>
      </c>
      <c r="F2782">
        <f>SUM(E2774:E2782)</f>
        <v>1541</v>
      </c>
      <c r="G2782" s="19"/>
    </row>
    <row r="2783" spans="1:7" ht="12.75" x14ac:dyDescent="0.2">
      <c r="A2783" s="3"/>
      <c r="B2783" s="4" t="s">
        <v>107</v>
      </c>
      <c r="C2783" s="3" t="s">
        <v>162</v>
      </c>
      <c r="D2783" s="3" t="s">
        <v>3</v>
      </c>
      <c r="E2783" s="3">
        <v>481</v>
      </c>
      <c r="G2783" s="19"/>
    </row>
    <row r="2784" spans="1:7" ht="12.75" x14ac:dyDescent="0.2">
      <c r="A2784" s="3"/>
      <c r="B2784" s="4" t="s">
        <v>107</v>
      </c>
      <c r="C2784" s="3" t="s">
        <v>162</v>
      </c>
      <c r="D2784" s="3" t="s">
        <v>274</v>
      </c>
      <c r="E2784" s="3">
        <v>2</v>
      </c>
      <c r="G2784" s="19"/>
    </row>
    <row r="2785" spans="1:7" ht="12.75" x14ac:dyDescent="0.2">
      <c r="A2785" s="3"/>
      <c r="B2785" s="4" t="s">
        <v>107</v>
      </c>
      <c r="C2785" s="3" t="s">
        <v>162</v>
      </c>
      <c r="D2785" s="3" t="s">
        <v>315</v>
      </c>
      <c r="E2785" s="3">
        <v>1</v>
      </c>
      <c r="G2785" s="19"/>
    </row>
    <row r="2786" spans="1:7" ht="12.75" x14ac:dyDescent="0.2">
      <c r="A2786" s="3"/>
      <c r="B2786" s="4" t="s">
        <v>107</v>
      </c>
      <c r="C2786" s="3" t="s">
        <v>162</v>
      </c>
      <c r="D2786" s="3" t="s">
        <v>149</v>
      </c>
      <c r="E2786" s="3">
        <v>11</v>
      </c>
      <c r="G2786" s="19"/>
    </row>
    <row r="2787" spans="1:7" ht="12.75" x14ac:dyDescent="0.2">
      <c r="A2787" s="3"/>
      <c r="B2787" s="4" t="s">
        <v>107</v>
      </c>
      <c r="C2787" s="3" t="s">
        <v>162</v>
      </c>
      <c r="D2787" s="3" t="s">
        <v>128</v>
      </c>
      <c r="E2787" s="3">
        <v>291</v>
      </c>
      <c r="G2787" s="19"/>
    </row>
    <row r="2788" spans="1:7" ht="12.75" x14ac:dyDescent="0.2">
      <c r="A2788" s="3"/>
      <c r="B2788" s="4" t="s">
        <v>107</v>
      </c>
      <c r="C2788" s="3" t="s">
        <v>162</v>
      </c>
      <c r="D2788" s="3" t="s">
        <v>305</v>
      </c>
      <c r="E2788" s="3">
        <v>10</v>
      </c>
      <c r="G2788" s="19"/>
    </row>
    <row r="2789" spans="1:7" ht="12.75" x14ac:dyDescent="0.2">
      <c r="A2789" s="3"/>
      <c r="B2789" s="4" t="s">
        <v>107</v>
      </c>
      <c r="C2789" s="3" t="s">
        <v>162</v>
      </c>
      <c r="D2789" s="3" t="s">
        <v>14</v>
      </c>
      <c r="E2789" s="3">
        <v>49</v>
      </c>
      <c r="F2789">
        <f>SUM(E2783:E2789)</f>
        <v>845</v>
      </c>
      <c r="G2789" s="19"/>
    </row>
    <row r="2790" spans="1:7" ht="12.75" x14ac:dyDescent="0.2">
      <c r="A2790" s="3"/>
      <c r="B2790" s="4" t="s">
        <v>107</v>
      </c>
      <c r="C2790" s="3" t="s">
        <v>161</v>
      </c>
      <c r="D2790" s="3" t="s">
        <v>3</v>
      </c>
      <c r="E2790" s="3">
        <v>462</v>
      </c>
      <c r="G2790" s="19"/>
    </row>
    <row r="2791" spans="1:7" ht="12.75" x14ac:dyDescent="0.2">
      <c r="A2791" s="3"/>
      <c r="B2791" s="4" t="s">
        <v>107</v>
      </c>
      <c r="C2791" s="3" t="s">
        <v>161</v>
      </c>
      <c r="D2791" s="3" t="s">
        <v>274</v>
      </c>
      <c r="E2791" s="3">
        <v>2</v>
      </c>
      <c r="G2791" s="19"/>
    </row>
    <row r="2792" spans="1:7" ht="12.75" x14ac:dyDescent="0.2">
      <c r="A2792" s="3"/>
      <c r="B2792" s="4" t="s">
        <v>107</v>
      </c>
      <c r="C2792" s="3" t="s">
        <v>161</v>
      </c>
      <c r="D2792" s="3" t="s">
        <v>315</v>
      </c>
      <c r="E2792" s="3">
        <v>5</v>
      </c>
      <c r="G2792" s="19"/>
    </row>
    <row r="2793" spans="1:7" ht="12.75" x14ac:dyDescent="0.2">
      <c r="A2793" s="3"/>
      <c r="B2793" s="4" t="s">
        <v>107</v>
      </c>
      <c r="C2793" s="3" t="s">
        <v>161</v>
      </c>
      <c r="D2793" s="3" t="s">
        <v>149</v>
      </c>
      <c r="E2793" s="3">
        <v>12</v>
      </c>
      <c r="G2793" s="19"/>
    </row>
    <row r="2794" spans="1:7" ht="12.75" x14ac:dyDescent="0.2">
      <c r="A2794" s="3"/>
      <c r="B2794" s="4" t="s">
        <v>107</v>
      </c>
      <c r="C2794" s="3" t="s">
        <v>161</v>
      </c>
      <c r="D2794" s="3" t="s">
        <v>128</v>
      </c>
      <c r="E2794" s="3">
        <v>281</v>
      </c>
      <c r="G2794" s="19"/>
    </row>
    <row r="2795" spans="1:7" ht="12.75" x14ac:dyDescent="0.2">
      <c r="A2795" s="3"/>
      <c r="B2795" s="4" t="s">
        <v>107</v>
      </c>
      <c r="C2795" s="3" t="s">
        <v>161</v>
      </c>
      <c r="D2795" s="3" t="s">
        <v>275</v>
      </c>
      <c r="E2795" s="3">
        <v>1</v>
      </c>
      <c r="G2795" s="19"/>
    </row>
    <row r="2796" spans="1:7" ht="12.75" x14ac:dyDescent="0.2">
      <c r="A2796" s="3"/>
      <c r="B2796" s="4" t="s">
        <v>107</v>
      </c>
      <c r="C2796" s="3" t="s">
        <v>161</v>
      </c>
      <c r="D2796" s="3" t="s">
        <v>305</v>
      </c>
      <c r="E2796" s="3">
        <v>10</v>
      </c>
      <c r="G2796" s="19"/>
    </row>
    <row r="2797" spans="1:7" ht="12.75" x14ac:dyDescent="0.2">
      <c r="A2797" s="3"/>
      <c r="B2797" s="4" t="s">
        <v>107</v>
      </c>
      <c r="C2797" s="3" t="s">
        <v>161</v>
      </c>
      <c r="D2797" s="3" t="s">
        <v>14</v>
      </c>
      <c r="E2797" s="3">
        <v>72</v>
      </c>
      <c r="F2797">
        <f>SUM(E2790:E2797)</f>
        <v>845</v>
      </c>
      <c r="G2797" s="19"/>
    </row>
    <row r="2798" spans="1:7" ht="12.75" x14ac:dyDescent="0.2">
      <c r="A2798" s="3"/>
      <c r="B2798" s="4" t="s">
        <v>110</v>
      </c>
      <c r="C2798" s="3" t="s">
        <v>162</v>
      </c>
      <c r="D2798" s="3" t="s">
        <v>3</v>
      </c>
      <c r="E2798" s="3">
        <v>292</v>
      </c>
      <c r="G2798" s="19"/>
    </row>
    <row r="2799" spans="1:7" ht="12.75" x14ac:dyDescent="0.2">
      <c r="A2799" s="3"/>
      <c r="B2799" s="4" t="s">
        <v>110</v>
      </c>
      <c r="C2799" s="3" t="s">
        <v>162</v>
      </c>
      <c r="D2799" s="3" t="s">
        <v>315</v>
      </c>
      <c r="E2799" s="3">
        <v>1</v>
      </c>
      <c r="G2799" s="19"/>
    </row>
    <row r="2800" spans="1:7" ht="12.75" x14ac:dyDescent="0.2">
      <c r="A2800" s="3"/>
      <c r="B2800" s="4" t="s">
        <v>110</v>
      </c>
      <c r="C2800" s="3" t="s">
        <v>162</v>
      </c>
      <c r="D2800" s="3" t="s">
        <v>149</v>
      </c>
      <c r="E2800" s="3">
        <v>19</v>
      </c>
      <c r="G2800" s="19"/>
    </row>
    <row r="2801" spans="1:7" ht="12.75" x14ac:dyDescent="0.2">
      <c r="A2801" s="3"/>
      <c r="B2801" s="4" t="s">
        <v>110</v>
      </c>
      <c r="C2801" s="3" t="s">
        <v>162</v>
      </c>
      <c r="D2801" s="3" t="s">
        <v>128</v>
      </c>
      <c r="E2801" s="3">
        <v>257</v>
      </c>
      <c r="G2801" s="19"/>
    </row>
    <row r="2802" spans="1:7" ht="12.75" x14ac:dyDescent="0.2">
      <c r="A2802" s="3"/>
      <c r="B2802" s="4" t="s">
        <v>110</v>
      </c>
      <c r="C2802" s="3" t="s">
        <v>162</v>
      </c>
      <c r="D2802" s="3" t="s">
        <v>275</v>
      </c>
      <c r="E2802" s="3">
        <v>1</v>
      </c>
      <c r="G2802" s="19"/>
    </row>
    <row r="2803" spans="1:7" ht="12.75" x14ac:dyDescent="0.2">
      <c r="A2803" s="3"/>
      <c r="B2803" s="4" t="s">
        <v>110</v>
      </c>
      <c r="C2803" s="3" t="s">
        <v>162</v>
      </c>
      <c r="D2803" s="3" t="s">
        <v>305</v>
      </c>
      <c r="E2803" s="3">
        <v>3</v>
      </c>
      <c r="G2803" s="19"/>
    </row>
    <row r="2804" spans="1:7" ht="12.75" x14ac:dyDescent="0.2">
      <c r="A2804" s="3"/>
      <c r="B2804" s="4" t="s">
        <v>110</v>
      </c>
      <c r="C2804" s="3" t="s">
        <v>162</v>
      </c>
      <c r="D2804" s="3" t="s">
        <v>14</v>
      </c>
      <c r="E2804" s="3">
        <v>57</v>
      </c>
      <c r="F2804">
        <f>SUM(E2798:E2804)</f>
        <v>630</v>
      </c>
      <c r="G2804" s="19"/>
    </row>
    <row r="2805" spans="1:7" ht="12.75" x14ac:dyDescent="0.2">
      <c r="A2805" s="3"/>
      <c r="B2805" s="4" t="s">
        <v>110</v>
      </c>
      <c r="C2805" s="3" t="s">
        <v>161</v>
      </c>
      <c r="D2805" s="3" t="s">
        <v>3</v>
      </c>
      <c r="E2805" s="3">
        <v>266</v>
      </c>
      <c r="G2805" s="19"/>
    </row>
    <row r="2806" spans="1:7" ht="12.75" x14ac:dyDescent="0.2">
      <c r="A2806" s="3"/>
      <c r="B2806" s="4" t="s">
        <v>110</v>
      </c>
      <c r="C2806" s="3" t="s">
        <v>161</v>
      </c>
      <c r="D2806" s="3" t="s">
        <v>315</v>
      </c>
      <c r="E2806" s="3">
        <v>1</v>
      </c>
      <c r="G2806" s="19"/>
    </row>
    <row r="2807" spans="1:7" ht="12.75" x14ac:dyDescent="0.2">
      <c r="A2807" s="3"/>
      <c r="B2807" s="4" t="s">
        <v>110</v>
      </c>
      <c r="C2807" s="3" t="s">
        <v>161</v>
      </c>
      <c r="D2807" s="3" t="s">
        <v>149</v>
      </c>
      <c r="E2807" s="3">
        <v>19</v>
      </c>
      <c r="G2807" s="19"/>
    </row>
    <row r="2808" spans="1:7" ht="12.75" x14ac:dyDescent="0.2">
      <c r="A2808" s="3"/>
      <c r="B2808" s="4" t="s">
        <v>110</v>
      </c>
      <c r="C2808" s="3" t="s">
        <v>161</v>
      </c>
      <c r="D2808" s="3" t="s">
        <v>128</v>
      </c>
      <c r="E2808" s="3">
        <v>257</v>
      </c>
      <c r="G2808" s="19"/>
    </row>
    <row r="2809" spans="1:7" ht="12.75" x14ac:dyDescent="0.2">
      <c r="A2809" s="3"/>
      <c r="B2809" s="4" t="s">
        <v>110</v>
      </c>
      <c r="C2809" s="3" t="s">
        <v>161</v>
      </c>
      <c r="D2809" s="3" t="s">
        <v>275</v>
      </c>
      <c r="E2809" s="3">
        <v>3</v>
      </c>
      <c r="G2809" s="19"/>
    </row>
    <row r="2810" spans="1:7" ht="12.75" x14ac:dyDescent="0.2">
      <c r="A2810" s="3"/>
      <c r="B2810" s="4" t="s">
        <v>110</v>
      </c>
      <c r="C2810" s="3" t="s">
        <v>161</v>
      </c>
      <c r="D2810" s="3" t="s">
        <v>305</v>
      </c>
      <c r="E2810" s="3">
        <v>2</v>
      </c>
      <c r="G2810" s="19"/>
    </row>
    <row r="2811" spans="1:7" ht="12.75" x14ac:dyDescent="0.2">
      <c r="A2811" s="3"/>
      <c r="B2811" s="4" t="s">
        <v>110</v>
      </c>
      <c r="C2811" s="3" t="s">
        <v>161</v>
      </c>
      <c r="D2811" s="3" t="s">
        <v>14</v>
      </c>
      <c r="E2811" s="3">
        <v>82</v>
      </c>
      <c r="F2811">
        <f>SUM(E2805:E2811)</f>
        <v>630</v>
      </c>
      <c r="G2811" s="19"/>
    </row>
    <row r="2812" spans="1:7" ht="12.75" x14ac:dyDescent="0.2">
      <c r="A2812" s="3"/>
      <c r="B2812" s="4" t="s">
        <v>47</v>
      </c>
      <c r="C2812" s="3" t="s">
        <v>162</v>
      </c>
      <c r="D2812" s="3" t="s">
        <v>3</v>
      </c>
      <c r="E2812" s="3">
        <v>636</v>
      </c>
      <c r="G2812" s="19"/>
    </row>
    <row r="2813" spans="1:7" ht="12.75" x14ac:dyDescent="0.2">
      <c r="A2813" s="3"/>
      <c r="B2813" s="4" t="s">
        <v>47</v>
      </c>
      <c r="C2813" s="3" t="s">
        <v>162</v>
      </c>
      <c r="D2813" s="3" t="s">
        <v>274</v>
      </c>
      <c r="E2813" s="3">
        <v>3</v>
      </c>
      <c r="G2813" s="19"/>
    </row>
    <row r="2814" spans="1:7" ht="12.75" x14ac:dyDescent="0.2">
      <c r="A2814" s="3"/>
      <c r="B2814" s="4" t="s">
        <v>47</v>
      </c>
      <c r="C2814" s="3" t="s">
        <v>162</v>
      </c>
      <c r="D2814" s="3" t="s">
        <v>149</v>
      </c>
      <c r="E2814" s="3">
        <v>10</v>
      </c>
      <c r="G2814" s="19"/>
    </row>
    <row r="2815" spans="1:7" ht="12.75" x14ac:dyDescent="0.2">
      <c r="A2815" s="3"/>
      <c r="B2815" s="4" t="s">
        <v>47</v>
      </c>
      <c r="C2815" s="3" t="s">
        <v>162</v>
      </c>
      <c r="D2815" s="3" t="s">
        <v>128</v>
      </c>
      <c r="E2815" s="3">
        <v>590</v>
      </c>
      <c r="G2815" s="19"/>
    </row>
    <row r="2816" spans="1:7" ht="12.75" x14ac:dyDescent="0.2">
      <c r="A2816" s="3"/>
      <c r="B2816" s="4" t="s">
        <v>47</v>
      </c>
      <c r="C2816" s="3" t="s">
        <v>162</v>
      </c>
      <c r="D2816" s="3" t="s">
        <v>275</v>
      </c>
      <c r="E2816" s="3">
        <v>1</v>
      </c>
      <c r="G2816" s="19"/>
    </row>
    <row r="2817" spans="1:7" ht="12.75" x14ac:dyDescent="0.2">
      <c r="A2817" s="3"/>
      <c r="B2817" s="4" t="s">
        <v>47</v>
      </c>
      <c r="C2817" s="3" t="s">
        <v>162</v>
      </c>
      <c r="D2817" s="3" t="s">
        <v>305</v>
      </c>
      <c r="E2817" s="3">
        <v>3</v>
      </c>
      <c r="G2817" s="19"/>
    </row>
    <row r="2818" spans="1:7" ht="12.75" x14ac:dyDescent="0.2">
      <c r="A2818" s="3"/>
      <c r="B2818" s="4" t="s">
        <v>47</v>
      </c>
      <c r="C2818" s="3" t="s">
        <v>162</v>
      </c>
      <c r="D2818" s="3" t="s">
        <v>14</v>
      </c>
      <c r="E2818" s="3">
        <v>95</v>
      </c>
      <c r="F2818">
        <f>SUM(E2812:E2818)</f>
        <v>1338</v>
      </c>
      <c r="G2818" s="19"/>
    </row>
    <row r="2819" spans="1:7" ht="12.75" x14ac:dyDescent="0.2">
      <c r="A2819" s="3"/>
      <c r="B2819" s="4" t="s">
        <v>47</v>
      </c>
      <c r="C2819" s="3" t="s">
        <v>161</v>
      </c>
      <c r="D2819" s="3" t="s">
        <v>3</v>
      </c>
      <c r="E2819" s="3">
        <v>610</v>
      </c>
      <c r="G2819" s="19"/>
    </row>
    <row r="2820" spans="1:7" ht="12.75" x14ac:dyDescent="0.2">
      <c r="A2820" s="3"/>
      <c r="B2820" s="4" t="s">
        <v>47</v>
      </c>
      <c r="C2820" s="3" t="s">
        <v>161</v>
      </c>
      <c r="D2820" s="3" t="s">
        <v>274</v>
      </c>
      <c r="E2820" s="3">
        <v>3</v>
      </c>
      <c r="G2820" s="19"/>
    </row>
    <row r="2821" spans="1:7" ht="12.75" x14ac:dyDescent="0.2">
      <c r="A2821" s="3"/>
      <c r="B2821" s="4" t="s">
        <v>47</v>
      </c>
      <c r="C2821" s="3" t="s">
        <v>161</v>
      </c>
      <c r="D2821" s="3" t="s">
        <v>149</v>
      </c>
      <c r="E2821" s="3">
        <v>10</v>
      </c>
      <c r="G2821" s="19"/>
    </row>
    <row r="2822" spans="1:7" ht="12.75" x14ac:dyDescent="0.2">
      <c r="A2822" s="3"/>
      <c r="B2822" s="4" t="s">
        <v>47</v>
      </c>
      <c r="C2822" s="3" t="s">
        <v>161</v>
      </c>
      <c r="D2822" s="3" t="s">
        <v>128</v>
      </c>
      <c r="E2822" s="3">
        <v>583</v>
      </c>
      <c r="G2822" s="19"/>
    </row>
    <row r="2823" spans="1:7" ht="12.75" x14ac:dyDescent="0.2">
      <c r="A2823" s="3"/>
      <c r="B2823" s="4" t="s">
        <v>47</v>
      </c>
      <c r="C2823" s="3" t="s">
        <v>161</v>
      </c>
      <c r="D2823" s="3" t="s">
        <v>275</v>
      </c>
      <c r="E2823" s="3">
        <v>1</v>
      </c>
      <c r="G2823" s="19"/>
    </row>
    <row r="2824" spans="1:7" ht="12.75" x14ac:dyDescent="0.2">
      <c r="A2824" s="3"/>
      <c r="B2824" s="4" t="s">
        <v>47</v>
      </c>
      <c r="C2824" s="3" t="s">
        <v>161</v>
      </c>
      <c r="D2824" s="3" t="s">
        <v>305</v>
      </c>
      <c r="E2824" s="3">
        <v>7</v>
      </c>
      <c r="G2824" s="19"/>
    </row>
    <row r="2825" spans="1:7" ht="12.75" x14ac:dyDescent="0.2">
      <c r="A2825" s="3"/>
      <c r="B2825" s="4" t="s">
        <v>47</v>
      </c>
      <c r="C2825" s="3" t="s">
        <v>161</v>
      </c>
      <c r="D2825" s="3" t="s">
        <v>14</v>
      </c>
      <c r="E2825" s="3">
        <v>124</v>
      </c>
      <c r="F2825">
        <f>SUM(E2819:E2825)</f>
        <v>1338</v>
      </c>
      <c r="G2825" s="19"/>
    </row>
    <row r="2826" spans="1:7" ht="12.75" x14ac:dyDescent="0.2">
      <c r="A2826" s="3"/>
      <c r="B2826" s="4" t="s">
        <v>69</v>
      </c>
      <c r="C2826" s="3" t="s">
        <v>162</v>
      </c>
      <c r="D2826" s="3" t="s">
        <v>3</v>
      </c>
      <c r="E2826" s="3">
        <v>781</v>
      </c>
      <c r="G2826" s="19"/>
    </row>
    <row r="2827" spans="1:7" ht="12.75" x14ac:dyDescent="0.2">
      <c r="A2827" s="3"/>
      <c r="B2827" s="4" t="s">
        <v>69</v>
      </c>
      <c r="C2827" s="3" t="s">
        <v>162</v>
      </c>
      <c r="D2827" s="3" t="s">
        <v>315</v>
      </c>
      <c r="E2827" s="3">
        <v>4</v>
      </c>
      <c r="G2827" s="19"/>
    </row>
    <row r="2828" spans="1:7" ht="12.75" x14ac:dyDescent="0.2">
      <c r="A2828" s="3"/>
      <c r="B2828" s="4" t="s">
        <v>69</v>
      </c>
      <c r="C2828" s="3" t="s">
        <v>162</v>
      </c>
      <c r="D2828" s="3" t="s">
        <v>149</v>
      </c>
      <c r="E2828" s="3">
        <v>33</v>
      </c>
      <c r="G2828" s="19"/>
    </row>
    <row r="2829" spans="1:7" ht="12.75" x14ac:dyDescent="0.2">
      <c r="A2829" s="3"/>
      <c r="B2829" s="4" t="s">
        <v>69</v>
      </c>
      <c r="C2829" s="3" t="s">
        <v>162</v>
      </c>
      <c r="D2829" s="3" t="s">
        <v>128</v>
      </c>
      <c r="E2829" s="3">
        <v>417</v>
      </c>
      <c r="G2829" s="19"/>
    </row>
    <row r="2830" spans="1:7" ht="12.75" x14ac:dyDescent="0.2">
      <c r="A2830" s="3"/>
      <c r="B2830" s="4" t="s">
        <v>69</v>
      </c>
      <c r="C2830" s="3" t="s">
        <v>162</v>
      </c>
      <c r="D2830" s="3" t="s">
        <v>275</v>
      </c>
      <c r="E2830" s="3">
        <v>1</v>
      </c>
      <c r="G2830" s="19"/>
    </row>
    <row r="2831" spans="1:7" ht="12.75" x14ac:dyDescent="0.2">
      <c r="A2831" s="3"/>
      <c r="B2831" s="4" t="s">
        <v>69</v>
      </c>
      <c r="C2831" s="3" t="s">
        <v>162</v>
      </c>
      <c r="D2831" s="3" t="s">
        <v>305</v>
      </c>
      <c r="E2831" s="3">
        <v>24</v>
      </c>
      <c r="G2831" s="19"/>
    </row>
    <row r="2832" spans="1:7" ht="12.75" x14ac:dyDescent="0.2">
      <c r="A2832" s="3"/>
      <c r="B2832" s="4" t="s">
        <v>69</v>
      </c>
      <c r="C2832" s="3" t="s">
        <v>162</v>
      </c>
      <c r="D2832" s="3" t="s">
        <v>14</v>
      </c>
      <c r="E2832" s="3">
        <v>100</v>
      </c>
      <c r="G2832" s="19"/>
    </row>
    <row r="2833" spans="1:7" ht="12.75" x14ac:dyDescent="0.2">
      <c r="A2833" s="3"/>
      <c r="B2833" s="4" t="s">
        <v>69</v>
      </c>
      <c r="C2833" s="3" t="s">
        <v>162</v>
      </c>
      <c r="D2833" s="3" t="s">
        <v>138</v>
      </c>
      <c r="E2833" s="3">
        <v>2</v>
      </c>
      <c r="F2833">
        <f>SUM(E2826:E2833)</f>
        <v>1362</v>
      </c>
      <c r="G2833" s="19"/>
    </row>
    <row r="2834" spans="1:7" ht="12.75" x14ac:dyDescent="0.2">
      <c r="A2834" s="3"/>
      <c r="B2834" s="4" t="s">
        <v>69</v>
      </c>
      <c r="C2834" s="3" t="s">
        <v>161</v>
      </c>
      <c r="D2834" s="3" t="s">
        <v>3</v>
      </c>
      <c r="E2834" s="3">
        <v>742</v>
      </c>
      <c r="G2834" s="19"/>
    </row>
    <row r="2835" spans="1:7" ht="12.75" x14ac:dyDescent="0.2">
      <c r="A2835" s="3"/>
      <c r="B2835" s="4" t="s">
        <v>69</v>
      </c>
      <c r="C2835" s="3" t="s">
        <v>161</v>
      </c>
      <c r="D2835" s="3" t="s">
        <v>274</v>
      </c>
      <c r="E2835" s="3">
        <v>1</v>
      </c>
      <c r="G2835" s="19"/>
    </row>
    <row r="2836" spans="1:7" ht="12.75" x14ac:dyDescent="0.2">
      <c r="A2836" s="3"/>
      <c r="B2836" s="4" t="s">
        <v>69</v>
      </c>
      <c r="C2836" s="3" t="s">
        <v>161</v>
      </c>
      <c r="D2836" s="3" t="s">
        <v>315</v>
      </c>
      <c r="E2836" s="3">
        <v>4</v>
      </c>
      <c r="G2836" s="19"/>
    </row>
    <row r="2837" spans="1:7" ht="12.75" x14ac:dyDescent="0.2">
      <c r="A2837" s="3"/>
      <c r="B2837" s="4" t="s">
        <v>69</v>
      </c>
      <c r="C2837" s="3" t="s">
        <v>161</v>
      </c>
      <c r="D2837" s="3" t="s">
        <v>149</v>
      </c>
      <c r="E2837" s="3">
        <v>34</v>
      </c>
      <c r="G2837" s="19"/>
    </row>
    <row r="2838" spans="1:7" ht="12.75" x14ac:dyDescent="0.2">
      <c r="A2838" s="3"/>
      <c r="B2838" s="4" t="s">
        <v>69</v>
      </c>
      <c r="C2838" s="3" t="s">
        <v>161</v>
      </c>
      <c r="D2838" s="3" t="s">
        <v>128</v>
      </c>
      <c r="E2838" s="3">
        <v>423</v>
      </c>
      <c r="G2838" s="19"/>
    </row>
    <row r="2839" spans="1:7" ht="12.75" x14ac:dyDescent="0.2">
      <c r="A2839" s="3"/>
      <c r="B2839" s="4" t="s">
        <v>69</v>
      </c>
      <c r="C2839" s="3" t="s">
        <v>161</v>
      </c>
      <c r="D2839" s="3" t="s">
        <v>275</v>
      </c>
      <c r="E2839" s="3">
        <v>1</v>
      </c>
      <c r="G2839" s="19"/>
    </row>
    <row r="2840" spans="1:7" ht="12.75" x14ac:dyDescent="0.2">
      <c r="A2840" s="3"/>
      <c r="B2840" s="4" t="s">
        <v>69</v>
      </c>
      <c r="C2840" s="3" t="s">
        <v>161</v>
      </c>
      <c r="D2840" s="3" t="s">
        <v>305</v>
      </c>
      <c r="E2840" s="3">
        <v>21</v>
      </c>
      <c r="G2840" s="19"/>
    </row>
    <row r="2841" spans="1:7" ht="12.75" x14ac:dyDescent="0.2">
      <c r="A2841" s="3"/>
      <c r="B2841" s="4" t="s">
        <v>69</v>
      </c>
      <c r="C2841" s="3" t="s">
        <v>161</v>
      </c>
      <c r="D2841" s="3" t="s">
        <v>14</v>
      </c>
      <c r="E2841" s="3">
        <v>133</v>
      </c>
      <c r="G2841" s="19"/>
    </row>
    <row r="2842" spans="1:7" ht="12.75" x14ac:dyDescent="0.2">
      <c r="A2842" s="3"/>
      <c r="B2842" s="4" t="s">
        <v>69</v>
      </c>
      <c r="C2842" s="3" t="s">
        <v>161</v>
      </c>
      <c r="D2842" s="3" t="s">
        <v>138</v>
      </c>
      <c r="E2842" s="3">
        <v>3</v>
      </c>
      <c r="F2842">
        <f>SUM(E2834:E2842)</f>
        <v>1362</v>
      </c>
      <c r="G2842" s="19"/>
    </row>
    <row r="2843" spans="1:7" ht="12.75" x14ac:dyDescent="0.2">
      <c r="A2843" s="3"/>
      <c r="B2843" s="4" t="s">
        <v>93</v>
      </c>
      <c r="C2843" s="3" t="s">
        <v>162</v>
      </c>
      <c r="D2843" s="3" t="s">
        <v>3</v>
      </c>
      <c r="E2843" s="3">
        <v>1033</v>
      </c>
      <c r="G2843" s="19"/>
    </row>
    <row r="2844" spans="1:7" ht="12.75" x14ac:dyDescent="0.2">
      <c r="A2844" s="3"/>
      <c r="B2844" s="4" t="s">
        <v>93</v>
      </c>
      <c r="C2844" s="3" t="s">
        <v>162</v>
      </c>
      <c r="D2844" s="3" t="s">
        <v>274</v>
      </c>
      <c r="E2844" s="3">
        <v>4</v>
      </c>
      <c r="G2844" s="19"/>
    </row>
    <row r="2845" spans="1:7" ht="12.75" x14ac:dyDescent="0.2">
      <c r="A2845" s="3"/>
      <c r="B2845" s="4" t="s">
        <v>93</v>
      </c>
      <c r="C2845" s="3" t="s">
        <v>162</v>
      </c>
      <c r="D2845" s="3" t="s">
        <v>315</v>
      </c>
      <c r="E2845" s="3">
        <v>2</v>
      </c>
      <c r="G2845" s="19"/>
    </row>
    <row r="2846" spans="1:7" ht="12.75" x14ac:dyDescent="0.2">
      <c r="A2846" s="3"/>
      <c r="B2846" s="4" t="s">
        <v>93</v>
      </c>
      <c r="C2846" s="3" t="s">
        <v>162</v>
      </c>
      <c r="D2846" s="3" t="s">
        <v>149</v>
      </c>
      <c r="E2846" s="3">
        <v>14</v>
      </c>
      <c r="G2846" s="19"/>
    </row>
    <row r="2847" spans="1:7" ht="12.75" x14ac:dyDescent="0.2">
      <c r="A2847" s="3"/>
      <c r="B2847" s="4" t="s">
        <v>93</v>
      </c>
      <c r="C2847" s="3" t="s">
        <v>162</v>
      </c>
      <c r="D2847" s="3" t="s">
        <v>128</v>
      </c>
      <c r="E2847" s="3">
        <v>534</v>
      </c>
      <c r="G2847" s="19"/>
    </row>
    <row r="2848" spans="1:7" ht="12.75" x14ac:dyDescent="0.2">
      <c r="A2848" s="3"/>
      <c r="B2848" s="4" t="s">
        <v>93</v>
      </c>
      <c r="C2848" s="3" t="s">
        <v>162</v>
      </c>
      <c r="D2848" s="3" t="s">
        <v>275</v>
      </c>
      <c r="E2848" s="3">
        <v>5</v>
      </c>
      <c r="G2848" s="19"/>
    </row>
    <row r="2849" spans="1:7" ht="12.75" x14ac:dyDescent="0.2">
      <c r="A2849" s="3"/>
      <c r="B2849" s="4" t="s">
        <v>93</v>
      </c>
      <c r="C2849" s="3" t="s">
        <v>162</v>
      </c>
      <c r="D2849" s="3" t="s">
        <v>305</v>
      </c>
      <c r="E2849" s="3">
        <v>30</v>
      </c>
      <c r="G2849" s="19"/>
    </row>
    <row r="2850" spans="1:7" ht="12.75" x14ac:dyDescent="0.2">
      <c r="A2850" s="3"/>
      <c r="B2850" s="4" t="s">
        <v>93</v>
      </c>
      <c r="C2850" s="3" t="s">
        <v>162</v>
      </c>
      <c r="D2850" s="3" t="s">
        <v>14</v>
      </c>
      <c r="E2850" s="3">
        <v>75</v>
      </c>
      <c r="G2850" s="19"/>
    </row>
    <row r="2851" spans="1:7" ht="12.75" x14ac:dyDescent="0.2">
      <c r="A2851" s="3"/>
      <c r="B2851" s="4" t="s">
        <v>93</v>
      </c>
      <c r="C2851" s="3" t="s">
        <v>162</v>
      </c>
      <c r="D2851" s="3" t="s">
        <v>138</v>
      </c>
      <c r="E2851" s="3">
        <v>9</v>
      </c>
      <c r="F2851">
        <f>SUM(E2843:E2851)</f>
        <v>1706</v>
      </c>
      <c r="G2851" s="19"/>
    </row>
    <row r="2852" spans="1:7" ht="12.75" x14ac:dyDescent="0.2">
      <c r="A2852" s="3"/>
      <c r="B2852" s="4" t="s">
        <v>93</v>
      </c>
      <c r="C2852" s="3" t="s">
        <v>161</v>
      </c>
      <c r="D2852" s="3" t="s">
        <v>3</v>
      </c>
      <c r="E2852" s="3">
        <v>988</v>
      </c>
      <c r="G2852" s="19"/>
    </row>
    <row r="2853" spans="1:7" ht="12.75" x14ac:dyDescent="0.2">
      <c r="A2853" s="3"/>
      <c r="B2853" s="4" t="s">
        <v>93</v>
      </c>
      <c r="C2853" s="3" t="s">
        <v>161</v>
      </c>
      <c r="D2853" s="3" t="s">
        <v>274</v>
      </c>
      <c r="E2853" s="3">
        <v>4</v>
      </c>
      <c r="G2853" s="19"/>
    </row>
    <row r="2854" spans="1:7" ht="12.75" x14ac:dyDescent="0.2">
      <c r="A2854" s="3"/>
      <c r="B2854" s="4" t="s">
        <v>93</v>
      </c>
      <c r="C2854" s="3" t="s">
        <v>161</v>
      </c>
      <c r="D2854" s="3" t="s">
        <v>315</v>
      </c>
      <c r="E2854" s="3">
        <v>3</v>
      </c>
      <c r="G2854" s="19"/>
    </row>
    <row r="2855" spans="1:7" ht="12.75" x14ac:dyDescent="0.2">
      <c r="A2855" s="3"/>
      <c r="B2855" s="4" t="s">
        <v>93</v>
      </c>
      <c r="C2855" s="3" t="s">
        <v>161</v>
      </c>
      <c r="D2855" s="3" t="s">
        <v>149</v>
      </c>
      <c r="E2855" s="3">
        <v>15</v>
      </c>
      <c r="G2855" s="19"/>
    </row>
    <row r="2856" spans="1:7" ht="12.75" x14ac:dyDescent="0.2">
      <c r="A2856" s="3"/>
      <c r="B2856" s="4" t="s">
        <v>93</v>
      </c>
      <c r="C2856" s="3" t="s">
        <v>161</v>
      </c>
      <c r="D2856" s="3" t="s">
        <v>128</v>
      </c>
      <c r="E2856" s="3">
        <v>532</v>
      </c>
      <c r="G2856" s="19"/>
    </row>
    <row r="2857" spans="1:7" ht="12.75" x14ac:dyDescent="0.2">
      <c r="A2857" s="3"/>
      <c r="B2857" s="4" t="s">
        <v>93</v>
      </c>
      <c r="C2857" s="3" t="s">
        <v>161</v>
      </c>
      <c r="D2857" s="3" t="s">
        <v>275</v>
      </c>
      <c r="E2857" s="3">
        <v>5</v>
      </c>
      <c r="G2857" s="19"/>
    </row>
    <row r="2858" spans="1:7" ht="12.75" x14ac:dyDescent="0.2">
      <c r="A2858" s="3"/>
      <c r="B2858" s="4" t="s">
        <v>93</v>
      </c>
      <c r="C2858" s="3" t="s">
        <v>161</v>
      </c>
      <c r="D2858" s="3" t="s">
        <v>305</v>
      </c>
      <c r="E2858" s="3">
        <v>29</v>
      </c>
      <c r="G2858" s="19"/>
    </row>
    <row r="2859" spans="1:7" ht="12.75" x14ac:dyDescent="0.2">
      <c r="A2859" s="3"/>
      <c r="B2859" s="4" t="s">
        <v>93</v>
      </c>
      <c r="C2859" s="3" t="s">
        <v>161</v>
      </c>
      <c r="D2859" s="3" t="s">
        <v>14</v>
      </c>
      <c r="E2859" s="3">
        <v>119</v>
      </c>
      <c r="G2859" s="19"/>
    </row>
    <row r="2860" spans="1:7" ht="12.75" x14ac:dyDescent="0.2">
      <c r="A2860" s="3"/>
      <c r="B2860" s="4" t="s">
        <v>93</v>
      </c>
      <c r="C2860" s="3" t="s">
        <v>161</v>
      </c>
      <c r="D2860" s="3" t="s">
        <v>138</v>
      </c>
      <c r="E2860" s="3">
        <v>11</v>
      </c>
      <c r="F2860">
        <f>SUM(E2852:E2860)</f>
        <v>1706</v>
      </c>
      <c r="G2860" s="19"/>
    </row>
    <row r="2861" spans="1:7" ht="12.75" x14ac:dyDescent="0.2">
      <c r="A2861" s="3"/>
      <c r="B2861" s="4" t="s">
        <v>74</v>
      </c>
      <c r="C2861" s="3" t="s">
        <v>162</v>
      </c>
      <c r="D2861" s="3" t="s">
        <v>3</v>
      </c>
      <c r="E2861" s="3">
        <v>168</v>
      </c>
      <c r="G2861" s="19"/>
    </row>
    <row r="2862" spans="1:7" ht="12.75" x14ac:dyDescent="0.2">
      <c r="A2862" s="3"/>
      <c r="B2862" s="4" t="s">
        <v>74</v>
      </c>
      <c r="C2862" s="3" t="s">
        <v>162</v>
      </c>
      <c r="D2862" s="3" t="s">
        <v>315</v>
      </c>
      <c r="E2862" s="3">
        <v>1</v>
      </c>
      <c r="G2862" s="19"/>
    </row>
    <row r="2863" spans="1:7" ht="12.75" x14ac:dyDescent="0.2">
      <c r="A2863" s="3"/>
      <c r="B2863" s="4" t="s">
        <v>74</v>
      </c>
      <c r="C2863" s="3" t="s">
        <v>162</v>
      </c>
      <c r="D2863" s="3" t="s">
        <v>149</v>
      </c>
      <c r="E2863" s="3">
        <v>1</v>
      </c>
      <c r="G2863" s="19"/>
    </row>
    <row r="2864" spans="1:7" ht="12.75" x14ac:dyDescent="0.2">
      <c r="A2864" s="3"/>
      <c r="B2864" s="4" t="s">
        <v>74</v>
      </c>
      <c r="C2864" s="3" t="s">
        <v>162</v>
      </c>
      <c r="D2864" s="3" t="s">
        <v>128</v>
      </c>
      <c r="E2864" s="3">
        <v>114</v>
      </c>
      <c r="G2864" s="19"/>
    </row>
    <row r="2865" spans="1:7" ht="12.75" x14ac:dyDescent="0.2">
      <c r="A2865" s="3"/>
      <c r="B2865" s="4" t="s">
        <v>74</v>
      </c>
      <c r="C2865" s="3" t="s">
        <v>162</v>
      </c>
      <c r="D2865" s="3" t="s">
        <v>305</v>
      </c>
      <c r="E2865" s="3">
        <v>1</v>
      </c>
      <c r="G2865" s="19"/>
    </row>
    <row r="2866" spans="1:7" ht="12.75" x14ac:dyDescent="0.2">
      <c r="A2866" s="3"/>
      <c r="B2866" s="4" t="s">
        <v>74</v>
      </c>
      <c r="C2866" s="3" t="s">
        <v>162</v>
      </c>
      <c r="D2866" s="3" t="s">
        <v>14</v>
      </c>
      <c r="E2866" s="3">
        <v>16</v>
      </c>
      <c r="F2866">
        <f>SUM(E2861:E2866)</f>
        <v>301</v>
      </c>
      <c r="G2866" s="19"/>
    </row>
    <row r="2867" spans="1:7" ht="12.75" x14ac:dyDescent="0.2">
      <c r="A2867" s="3"/>
      <c r="B2867" s="4" t="s">
        <v>74</v>
      </c>
      <c r="C2867" s="3" t="s">
        <v>161</v>
      </c>
      <c r="D2867" s="3" t="s">
        <v>3</v>
      </c>
      <c r="E2867" s="3">
        <v>147</v>
      </c>
      <c r="G2867" s="19"/>
    </row>
    <row r="2868" spans="1:7" ht="12.75" x14ac:dyDescent="0.2">
      <c r="A2868" s="3"/>
      <c r="B2868" s="4" t="s">
        <v>74</v>
      </c>
      <c r="C2868" s="3" t="s">
        <v>161</v>
      </c>
      <c r="D2868" s="3" t="s">
        <v>315</v>
      </c>
      <c r="E2868" s="3">
        <v>1</v>
      </c>
      <c r="G2868" s="19"/>
    </row>
    <row r="2869" spans="1:7" ht="12.75" x14ac:dyDescent="0.2">
      <c r="A2869" s="3"/>
      <c r="B2869" s="4" t="s">
        <v>74</v>
      </c>
      <c r="C2869" s="3" t="s">
        <v>161</v>
      </c>
      <c r="D2869" s="3" t="s">
        <v>149</v>
      </c>
      <c r="E2869" s="3">
        <v>1</v>
      </c>
      <c r="G2869" s="19"/>
    </row>
    <row r="2870" spans="1:7" ht="12.75" x14ac:dyDescent="0.2">
      <c r="A2870" s="3"/>
      <c r="B2870" s="4" t="s">
        <v>74</v>
      </c>
      <c r="C2870" s="3" t="s">
        <v>161</v>
      </c>
      <c r="D2870" s="3" t="s">
        <v>128</v>
      </c>
      <c r="E2870" s="3">
        <v>124</v>
      </c>
      <c r="G2870" s="19"/>
    </row>
    <row r="2871" spans="1:7" ht="12.75" x14ac:dyDescent="0.2">
      <c r="A2871" s="3"/>
      <c r="B2871" s="4" t="s">
        <v>74</v>
      </c>
      <c r="C2871" s="3" t="s">
        <v>161</v>
      </c>
      <c r="D2871" s="3" t="s">
        <v>305</v>
      </c>
      <c r="E2871" s="3">
        <v>2</v>
      </c>
      <c r="G2871" s="19"/>
    </row>
    <row r="2872" spans="1:7" ht="12.75" x14ac:dyDescent="0.2">
      <c r="A2872" s="3"/>
      <c r="B2872" s="4" t="s">
        <v>74</v>
      </c>
      <c r="C2872" s="3" t="s">
        <v>161</v>
      </c>
      <c r="D2872" s="3" t="s">
        <v>14</v>
      </c>
      <c r="E2872" s="3">
        <v>26</v>
      </c>
      <c r="F2872">
        <f>SUM(E2867:E2872)</f>
        <v>301</v>
      </c>
      <c r="G2872" s="19"/>
    </row>
    <row r="2873" spans="1:7" ht="12.75" x14ac:dyDescent="0.2">
      <c r="A2873" s="3"/>
      <c r="B2873" s="4" t="s">
        <v>42</v>
      </c>
      <c r="C2873" s="3" t="s">
        <v>162</v>
      </c>
      <c r="D2873" s="3" t="s">
        <v>3</v>
      </c>
      <c r="E2873" s="3">
        <v>1739</v>
      </c>
      <c r="G2873" s="19"/>
    </row>
    <row r="2874" spans="1:7" ht="12.75" x14ac:dyDescent="0.2">
      <c r="A2874" s="3"/>
      <c r="B2874" s="4" t="s">
        <v>42</v>
      </c>
      <c r="C2874" s="3" t="s">
        <v>162</v>
      </c>
      <c r="D2874" s="3" t="s">
        <v>274</v>
      </c>
      <c r="E2874" s="3">
        <v>6</v>
      </c>
      <c r="G2874" s="19"/>
    </row>
    <row r="2875" spans="1:7" ht="12.75" x14ac:dyDescent="0.2">
      <c r="A2875" s="3"/>
      <c r="B2875" s="4" t="s">
        <v>42</v>
      </c>
      <c r="C2875" s="3" t="s">
        <v>162</v>
      </c>
      <c r="D2875" s="3" t="s">
        <v>315</v>
      </c>
      <c r="E2875" s="3">
        <v>6</v>
      </c>
      <c r="G2875" s="19"/>
    </row>
    <row r="2876" spans="1:7" ht="12.75" x14ac:dyDescent="0.2">
      <c r="A2876" s="3"/>
      <c r="B2876" s="4" t="s">
        <v>42</v>
      </c>
      <c r="C2876" s="3" t="s">
        <v>162</v>
      </c>
      <c r="D2876" s="3" t="s">
        <v>149</v>
      </c>
      <c r="E2876" s="3">
        <v>68</v>
      </c>
      <c r="G2876" s="19"/>
    </row>
    <row r="2877" spans="1:7" ht="12.75" x14ac:dyDescent="0.2">
      <c r="A2877" s="3"/>
      <c r="B2877" s="4" t="s">
        <v>42</v>
      </c>
      <c r="C2877" s="3" t="s">
        <v>162</v>
      </c>
      <c r="D2877" s="3" t="s">
        <v>128</v>
      </c>
      <c r="E2877" s="3">
        <v>997</v>
      </c>
      <c r="G2877" s="19"/>
    </row>
    <row r="2878" spans="1:7" ht="12.75" x14ac:dyDescent="0.2">
      <c r="A2878" s="3"/>
      <c r="B2878" s="4" t="s">
        <v>42</v>
      </c>
      <c r="C2878" s="3" t="s">
        <v>162</v>
      </c>
      <c r="D2878" s="3" t="s">
        <v>275</v>
      </c>
      <c r="E2878" s="3">
        <v>4</v>
      </c>
      <c r="G2878" s="19"/>
    </row>
    <row r="2879" spans="1:7" ht="12.75" x14ac:dyDescent="0.2">
      <c r="A2879" s="3"/>
      <c r="B2879" s="4" t="s">
        <v>42</v>
      </c>
      <c r="C2879" s="3" t="s">
        <v>162</v>
      </c>
      <c r="D2879" s="3" t="s">
        <v>305</v>
      </c>
      <c r="E2879" s="3">
        <v>54</v>
      </c>
      <c r="G2879" s="19"/>
    </row>
    <row r="2880" spans="1:7" ht="12.75" x14ac:dyDescent="0.2">
      <c r="A2880" s="3"/>
      <c r="B2880" s="4" t="s">
        <v>42</v>
      </c>
      <c r="C2880" s="3" t="s">
        <v>162</v>
      </c>
      <c r="D2880" s="3" t="s">
        <v>14</v>
      </c>
      <c r="E2880" s="3">
        <v>234</v>
      </c>
      <c r="G2880" s="19"/>
    </row>
    <row r="2881" spans="1:7" ht="12.75" x14ac:dyDescent="0.2">
      <c r="A2881" s="3"/>
      <c r="B2881" s="4" t="s">
        <v>42</v>
      </c>
      <c r="C2881" s="3" t="s">
        <v>162</v>
      </c>
      <c r="D2881" s="3" t="s">
        <v>138</v>
      </c>
      <c r="E2881" s="3">
        <v>26</v>
      </c>
      <c r="F2881">
        <f>SUM(E2873:E2881)</f>
        <v>3134</v>
      </c>
      <c r="G2881" s="19"/>
    </row>
    <row r="2882" spans="1:7" ht="12.75" x14ac:dyDescent="0.2">
      <c r="A2882" s="3"/>
      <c r="B2882" s="4" t="s">
        <v>42</v>
      </c>
      <c r="C2882" s="3" t="s">
        <v>161</v>
      </c>
      <c r="D2882" s="3" t="s">
        <v>3</v>
      </c>
      <c r="E2882" s="3">
        <v>1643</v>
      </c>
      <c r="G2882" s="19"/>
    </row>
    <row r="2883" spans="1:7" ht="12.75" x14ac:dyDescent="0.2">
      <c r="A2883" s="3"/>
      <c r="B2883" s="4" t="s">
        <v>42</v>
      </c>
      <c r="C2883" s="3" t="s">
        <v>161</v>
      </c>
      <c r="D2883" s="3" t="s">
        <v>274</v>
      </c>
      <c r="E2883" s="3">
        <v>6</v>
      </c>
      <c r="G2883" s="19"/>
    </row>
    <row r="2884" spans="1:7" ht="12.75" x14ac:dyDescent="0.2">
      <c r="A2884" s="3"/>
      <c r="B2884" s="4" t="s">
        <v>42</v>
      </c>
      <c r="C2884" s="3" t="s">
        <v>161</v>
      </c>
      <c r="D2884" s="3" t="s">
        <v>315</v>
      </c>
      <c r="E2884" s="3">
        <v>6</v>
      </c>
      <c r="G2884" s="19"/>
    </row>
    <row r="2885" spans="1:7" ht="12.75" x14ac:dyDescent="0.2">
      <c r="A2885" s="3"/>
      <c r="B2885" s="4" t="s">
        <v>42</v>
      </c>
      <c r="C2885" s="3" t="s">
        <v>161</v>
      </c>
      <c r="D2885" s="3" t="s">
        <v>149</v>
      </c>
      <c r="E2885" s="3">
        <v>67</v>
      </c>
      <c r="G2885" s="19"/>
    </row>
    <row r="2886" spans="1:7" ht="12.75" x14ac:dyDescent="0.2">
      <c r="A2886" s="3"/>
      <c r="B2886" s="4" t="s">
        <v>42</v>
      </c>
      <c r="C2886" s="3" t="s">
        <v>161</v>
      </c>
      <c r="D2886" s="3" t="s">
        <v>128</v>
      </c>
      <c r="E2886" s="3">
        <v>1020</v>
      </c>
      <c r="G2886" s="19"/>
    </row>
    <row r="2887" spans="1:7" ht="12.75" x14ac:dyDescent="0.2">
      <c r="A2887" s="3"/>
      <c r="B2887" s="4" t="s">
        <v>42</v>
      </c>
      <c r="C2887" s="3" t="s">
        <v>161</v>
      </c>
      <c r="D2887" s="3" t="s">
        <v>275</v>
      </c>
      <c r="E2887" s="3">
        <v>4</v>
      </c>
      <c r="G2887" s="19"/>
    </row>
    <row r="2888" spans="1:7" ht="12.75" x14ac:dyDescent="0.2">
      <c r="A2888" s="3"/>
      <c r="B2888" s="4" t="s">
        <v>42</v>
      </c>
      <c r="C2888" s="3" t="s">
        <v>161</v>
      </c>
      <c r="D2888" s="3" t="s">
        <v>305</v>
      </c>
      <c r="E2888" s="3">
        <v>57</v>
      </c>
      <c r="G2888" s="19"/>
    </row>
    <row r="2889" spans="1:7" ht="12.75" x14ac:dyDescent="0.2">
      <c r="A2889" s="3"/>
      <c r="B2889" s="4" t="s">
        <v>42</v>
      </c>
      <c r="C2889" s="3" t="s">
        <v>161</v>
      </c>
      <c r="D2889" s="3" t="s">
        <v>14</v>
      </c>
      <c r="E2889" s="3">
        <v>306</v>
      </c>
      <c r="G2889" s="19"/>
    </row>
    <row r="2890" spans="1:7" ht="12.75" x14ac:dyDescent="0.2">
      <c r="A2890" s="3"/>
      <c r="B2890" s="4" t="s">
        <v>42</v>
      </c>
      <c r="C2890" s="3" t="s">
        <v>161</v>
      </c>
      <c r="D2890" s="3" t="s">
        <v>138</v>
      </c>
      <c r="E2890" s="3">
        <v>25</v>
      </c>
      <c r="F2890">
        <f>SUM(E2882:E2890)</f>
        <v>3134</v>
      </c>
      <c r="G2890" s="19"/>
    </row>
    <row r="2891" spans="1:7" ht="12.75" x14ac:dyDescent="0.2">
      <c r="A2891" s="3"/>
      <c r="B2891" s="4" t="s">
        <v>50</v>
      </c>
      <c r="C2891" s="3" t="s">
        <v>162</v>
      </c>
      <c r="D2891" s="3" t="s">
        <v>3</v>
      </c>
      <c r="E2891" s="3">
        <v>111</v>
      </c>
      <c r="G2891" s="19"/>
    </row>
    <row r="2892" spans="1:7" ht="12.75" x14ac:dyDescent="0.2">
      <c r="A2892" s="3"/>
      <c r="B2892" s="4" t="s">
        <v>50</v>
      </c>
      <c r="C2892" s="3" t="s">
        <v>162</v>
      </c>
      <c r="D2892" s="3" t="s">
        <v>315</v>
      </c>
      <c r="E2892" s="3">
        <v>3</v>
      </c>
      <c r="G2892" s="19"/>
    </row>
    <row r="2893" spans="1:7" ht="12.75" x14ac:dyDescent="0.2">
      <c r="A2893" s="3"/>
      <c r="B2893" s="4" t="s">
        <v>50</v>
      </c>
      <c r="C2893" s="3" t="s">
        <v>162</v>
      </c>
      <c r="D2893" s="3" t="s">
        <v>149</v>
      </c>
      <c r="E2893" s="3">
        <v>10</v>
      </c>
      <c r="G2893" s="19"/>
    </row>
    <row r="2894" spans="1:7" ht="12.75" x14ac:dyDescent="0.2">
      <c r="A2894" s="3"/>
      <c r="B2894" s="4" t="s">
        <v>50</v>
      </c>
      <c r="C2894" s="3" t="s">
        <v>162</v>
      </c>
      <c r="D2894" s="3" t="s">
        <v>128</v>
      </c>
      <c r="E2894" s="3">
        <v>104</v>
      </c>
      <c r="G2894" s="19"/>
    </row>
    <row r="2895" spans="1:7" ht="12.75" x14ac:dyDescent="0.2">
      <c r="A2895" s="3"/>
      <c r="B2895" s="4" t="s">
        <v>50</v>
      </c>
      <c r="C2895" s="3" t="s">
        <v>162</v>
      </c>
      <c r="D2895" s="3" t="s">
        <v>305</v>
      </c>
      <c r="E2895" s="3">
        <v>11</v>
      </c>
      <c r="G2895" s="19"/>
    </row>
    <row r="2896" spans="1:7" ht="12.75" x14ac:dyDescent="0.2">
      <c r="A2896" s="3"/>
      <c r="B2896" s="4" t="s">
        <v>50</v>
      </c>
      <c r="C2896" s="3" t="s">
        <v>162</v>
      </c>
      <c r="D2896" s="3" t="s">
        <v>14</v>
      </c>
      <c r="E2896" s="3">
        <v>36</v>
      </c>
      <c r="G2896" s="19"/>
    </row>
    <row r="2897" spans="1:7" ht="12.75" x14ac:dyDescent="0.2">
      <c r="A2897" s="3"/>
      <c r="B2897" s="4" t="s">
        <v>50</v>
      </c>
      <c r="C2897" s="3" t="s">
        <v>162</v>
      </c>
      <c r="D2897" s="3" t="s">
        <v>138</v>
      </c>
      <c r="E2897" s="3">
        <v>2</v>
      </c>
      <c r="F2897">
        <f>SUM(E2891:E2897)</f>
        <v>277</v>
      </c>
      <c r="G2897" s="19"/>
    </row>
    <row r="2898" spans="1:7" ht="12.75" x14ac:dyDescent="0.2">
      <c r="A2898" s="3"/>
      <c r="B2898" s="4" t="s">
        <v>50</v>
      </c>
      <c r="C2898" s="3" t="s">
        <v>161</v>
      </c>
      <c r="D2898" s="3" t="s">
        <v>3</v>
      </c>
      <c r="E2898" s="3">
        <v>104</v>
      </c>
      <c r="G2898" s="19"/>
    </row>
    <row r="2899" spans="1:7" ht="12.75" x14ac:dyDescent="0.2">
      <c r="A2899" s="3"/>
      <c r="B2899" s="4" t="s">
        <v>50</v>
      </c>
      <c r="C2899" s="3" t="s">
        <v>161</v>
      </c>
      <c r="D2899" s="3" t="s">
        <v>315</v>
      </c>
      <c r="E2899" s="3">
        <v>4</v>
      </c>
      <c r="G2899" s="19"/>
    </row>
    <row r="2900" spans="1:7" ht="12.75" x14ac:dyDescent="0.2">
      <c r="A2900" s="3"/>
      <c r="B2900" s="4" t="s">
        <v>50</v>
      </c>
      <c r="C2900" s="3" t="s">
        <v>161</v>
      </c>
      <c r="D2900" s="3" t="s">
        <v>149</v>
      </c>
      <c r="E2900" s="3">
        <v>10</v>
      </c>
      <c r="G2900" s="19"/>
    </row>
    <row r="2901" spans="1:7" ht="12.75" x14ac:dyDescent="0.2">
      <c r="A2901" s="3"/>
      <c r="B2901" s="4" t="s">
        <v>50</v>
      </c>
      <c r="C2901" s="3" t="s">
        <v>161</v>
      </c>
      <c r="D2901" s="3" t="s">
        <v>128</v>
      </c>
      <c r="E2901" s="3">
        <v>101</v>
      </c>
      <c r="G2901" s="19"/>
    </row>
    <row r="2902" spans="1:7" ht="12.75" x14ac:dyDescent="0.2">
      <c r="A2902" s="3"/>
      <c r="B2902" s="4" t="s">
        <v>50</v>
      </c>
      <c r="C2902" s="3" t="s">
        <v>161</v>
      </c>
      <c r="D2902" s="3" t="s">
        <v>305</v>
      </c>
      <c r="E2902" s="3">
        <v>11</v>
      </c>
      <c r="G2902" s="19"/>
    </row>
    <row r="2903" spans="1:7" ht="12.75" x14ac:dyDescent="0.2">
      <c r="A2903" s="3"/>
      <c r="B2903" s="4" t="s">
        <v>50</v>
      </c>
      <c r="C2903" s="3" t="s">
        <v>161</v>
      </c>
      <c r="D2903" s="3" t="s">
        <v>14</v>
      </c>
      <c r="E2903" s="3">
        <v>45</v>
      </c>
      <c r="G2903" s="19"/>
    </row>
    <row r="2904" spans="1:7" ht="12.75" x14ac:dyDescent="0.2">
      <c r="A2904" s="3"/>
      <c r="B2904" s="4" t="s">
        <v>50</v>
      </c>
      <c r="C2904" s="3" t="s">
        <v>161</v>
      </c>
      <c r="D2904" s="3" t="s">
        <v>138</v>
      </c>
      <c r="E2904" s="3">
        <v>2</v>
      </c>
      <c r="F2904">
        <f>SUM(E2898:E2904)</f>
        <v>277</v>
      </c>
      <c r="G2904" s="19"/>
    </row>
    <row r="2905" spans="1:7" ht="12.75" x14ac:dyDescent="0.2">
      <c r="A2905" s="3"/>
      <c r="B2905" s="4" t="s">
        <v>112</v>
      </c>
      <c r="C2905" s="3" t="s">
        <v>162</v>
      </c>
      <c r="D2905" s="3" t="s">
        <v>3</v>
      </c>
      <c r="E2905" s="3">
        <v>126</v>
      </c>
      <c r="G2905" s="19"/>
    </row>
    <row r="2906" spans="1:7" ht="12.75" x14ac:dyDescent="0.2">
      <c r="A2906" s="3"/>
      <c r="B2906" s="4" t="s">
        <v>112</v>
      </c>
      <c r="C2906" s="3" t="s">
        <v>162</v>
      </c>
      <c r="D2906" s="3" t="s">
        <v>315</v>
      </c>
      <c r="E2906" s="3">
        <v>2</v>
      </c>
      <c r="G2906" s="19"/>
    </row>
    <row r="2907" spans="1:7" ht="12.75" x14ac:dyDescent="0.2">
      <c r="A2907" s="3"/>
      <c r="B2907" s="4" t="s">
        <v>112</v>
      </c>
      <c r="C2907" s="3" t="s">
        <v>162</v>
      </c>
      <c r="D2907" s="3" t="s">
        <v>149</v>
      </c>
      <c r="E2907" s="3">
        <v>17</v>
      </c>
      <c r="G2907" s="19"/>
    </row>
    <row r="2908" spans="1:7" ht="12.75" x14ac:dyDescent="0.2">
      <c r="A2908" s="3"/>
      <c r="B2908" s="4" t="s">
        <v>112</v>
      </c>
      <c r="C2908" s="3" t="s">
        <v>162</v>
      </c>
      <c r="D2908" s="3" t="s">
        <v>128</v>
      </c>
      <c r="E2908" s="3">
        <v>56</v>
      </c>
      <c r="G2908" s="19"/>
    </row>
    <row r="2909" spans="1:7" ht="12.75" x14ac:dyDescent="0.2">
      <c r="A2909" s="3"/>
      <c r="B2909" s="4" t="s">
        <v>112</v>
      </c>
      <c r="C2909" s="3" t="s">
        <v>162</v>
      </c>
      <c r="D2909" s="3" t="s">
        <v>275</v>
      </c>
      <c r="E2909" s="3">
        <v>1</v>
      </c>
      <c r="G2909" s="19"/>
    </row>
    <row r="2910" spans="1:7" ht="12.75" x14ac:dyDescent="0.2">
      <c r="A2910" s="3"/>
      <c r="B2910" s="4" t="s">
        <v>112</v>
      </c>
      <c r="C2910" s="3" t="s">
        <v>162</v>
      </c>
      <c r="D2910" s="3" t="s">
        <v>305</v>
      </c>
      <c r="E2910" s="3">
        <v>4</v>
      </c>
      <c r="G2910" s="19"/>
    </row>
    <row r="2911" spans="1:7" ht="12.75" x14ac:dyDescent="0.2">
      <c r="A2911" s="3"/>
      <c r="B2911" s="4" t="s">
        <v>112</v>
      </c>
      <c r="C2911" s="3" t="s">
        <v>162</v>
      </c>
      <c r="D2911" s="3" t="s">
        <v>14</v>
      </c>
      <c r="E2911" s="3">
        <v>20</v>
      </c>
      <c r="F2911">
        <f>SUM(E2905:E2911)</f>
        <v>226</v>
      </c>
      <c r="G2911" s="19"/>
    </row>
    <row r="2912" spans="1:7" ht="12.75" x14ac:dyDescent="0.2">
      <c r="A2912" s="3"/>
      <c r="B2912" s="4" t="s">
        <v>112</v>
      </c>
      <c r="C2912" s="3" t="s">
        <v>161</v>
      </c>
      <c r="D2912" s="3" t="s">
        <v>3</v>
      </c>
      <c r="E2912" s="3">
        <v>122</v>
      </c>
      <c r="G2912" s="19"/>
    </row>
    <row r="2913" spans="1:7" ht="12.75" x14ac:dyDescent="0.2">
      <c r="A2913" s="3"/>
      <c r="B2913" s="4" t="s">
        <v>112</v>
      </c>
      <c r="C2913" s="3" t="s">
        <v>161</v>
      </c>
      <c r="D2913" s="3" t="s">
        <v>315</v>
      </c>
      <c r="E2913" s="3">
        <v>2</v>
      </c>
      <c r="G2913" s="19"/>
    </row>
    <row r="2914" spans="1:7" ht="12.75" x14ac:dyDescent="0.2">
      <c r="A2914" s="3"/>
      <c r="B2914" s="4" t="s">
        <v>112</v>
      </c>
      <c r="C2914" s="3" t="s">
        <v>161</v>
      </c>
      <c r="D2914" s="3" t="s">
        <v>149</v>
      </c>
      <c r="E2914" s="3">
        <v>21</v>
      </c>
      <c r="G2914" s="19"/>
    </row>
    <row r="2915" spans="1:7" ht="12.75" x14ac:dyDescent="0.2">
      <c r="A2915" s="3"/>
      <c r="B2915" s="4" t="s">
        <v>112</v>
      </c>
      <c r="C2915" s="3" t="s">
        <v>161</v>
      </c>
      <c r="D2915" s="3" t="s">
        <v>128</v>
      </c>
      <c r="E2915" s="3">
        <v>53</v>
      </c>
      <c r="G2915" s="19"/>
    </row>
    <row r="2916" spans="1:7" ht="12.75" x14ac:dyDescent="0.2">
      <c r="A2916" s="3"/>
      <c r="B2916" s="4" t="s">
        <v>112</v>
      </c>
      <c r="C2916" s="3" t="s">
        <v>161</v>
      </c>
      <c r="D2916" s="3" t="s">
        <v>275</v>
      </c>
      <c r="E2916" s="3">
        <v>1</v>
      </c>
      <c r="G2916" s="19"/>
    </row>
    <row r="2917" spans="1:7" ht="12.75" x14ac:dyDescent="0.2">
      <c r="A2917" s="3"/>
      <c r="B2917" s="4" t="s">
        <v>112</v>
      </c>
      <c r="C2917" s="3" t="s">
        <v>161</v>
      </c>
      <c r="D2917" s="3" t="s">
        <v>305</v>
      </c>
      <c r="E2917" s="3">
        <v>4</v>
      </c>
      <c r="G2917" s="19"/>
    </row>
    <row r="2918" spans="1:7" ht="12.75" x14ac:dyDescent="0.2">
      <c r="A2918" s="3"/>
      <c r="B2918" s="4" t="s">
        <v>112</v>
      </c>
      <c r="C2918" s="3" t="s">
        <v>161</v>
      </c>
      <c r="D2918" s="3" t="s">
        <v>14</v>
      </c>
      <c r="E2918" s="3">
        <v>23</v>
      </c>
      <c r="F2918">
        <f>SUM(E2912:E2918)</f>
        <v>226</v>
      </c>
      <c r="G2918" s="19"/>
    </row>
    <row r="2919" spans="1:7" ht="12.75" x14ac:dyDescent="0.2">
      <c r="A2919" s="3"/>
      <c r="B2919" s="4" t="s">
        <v>51</v>
      </c>
      <c r="C2919" s="3" t="s">
        <v>162</v>
      </c>
      <c r="D2919" s="3" t="s">
        <v>3</v>
      </c>
      <c r="E2919" s="3">
        <v>258</v>
      </c>
      <c r="G2919" s="19"/>
    </row>
    <row r="2920" spans="1:7" ht="12.75" x14ac:dyDescent="0.2">
      <c r="A2920" s="3"/>
      <c r="B2920" s="4" t="s">
        <v>51</v>
      </c>
      <c r="C2920" s="3" t="s">
        <v>162</v>
      </c>
      <c r="D2920" s="3" t="s">
        <v>274</v>
      </c>
      <c r="E2920" s="3">
        <v>3</v>
      </c>
      <c r="G2920" s="19"/>
    </row>
    <row r="2921" spans="1:7" ht="12.75" x14ac:dyDescent="0.2">
      <c r="A2921" s="3"/>
      <c r="B2921" s="4" t="s">
        <v>51</v>
      </c>
      <c r="C2921" s="3" t="s">
        <v>162</v>
      </c>
      <c r="D2921" s="3" t="s">
        <v>315</v>
      </c>
      <c r="E2921" s="3">
        <v>4</v>
      </c>
      <c r="G2921" s="19"/>
    </row>
    <row r="2922" spans="1:7" ht="12.75" x14ac:dyDescent="0.2">
      <c r="A2922" s="3"/>
      <c r="B2922" s="4" t="s">
        <v>51</v>
      </c>
      <c r="C2922" s="3" t="s">
        <v>162</v>
      </c>
      <c r="D2922" s="3" t="s">
        <v>149</v>
      </c>
      <c r="E2922" s="3">
        <v>52</v>
      </c>
      <c r="G2922" s="19"/>
    </row>
    <row r="2923" spans="1:7" ht="12.75" x14ac:dyDescent="0.2">
      <c r="A2923" s="3"/>
      <c r="B2923" s="4" t="s">
        <v>51</v>
      </c>
      <c r="C2923" s="3" t="s">
        <v>162</v>
      </c>
      <c r="D2923" s="3" t="s">
        <v>128</v>
      </c>
      <c r="E2923" s="3">
        <v>153</v>
      </c>
      <c r="G2923" s="19"/>
    </row>
    <row r="2924" spans="1:7" ht="12.75" x14ac:dyDescent="0.2">
      <c r="A2924" s="3"/>
      <c r="B2924" s="4" t="s">
        <v>51</v>
      </c>
      <c r="C2924" s="3" t="s">
        <v>162</v>
      </c>
      <c r="D2924" s="3" t="s">
        <v>275</v>
      </c>
      <c r="E2924" s="3">
        <v>3</v>
      </c>
      <c r="G2924" s="19"/>
    </row>
    <row r="2925" spans="1:7" ht="12.75" x14ac:dyDescent="0.2">
      <c r="A2925" s="3"/>
      <c r="B2925" s="4" t="s">
        <v>51</v>
      </c>
      <c r="C2925" s="3" t="s">
        <v>162</v>
      </c>
      <c r="D2925" s="3" t="s">
        <v>305</v>
      </c>
      <c r="E2925" s="3">
        <v>21</v>
      </c>
      <c r="G2925" s="19"/>
    </row>
    <row r="2926" spans="1:7" ht="12.75" x14ac:dyDescent="0.2">
      <c r="A2926" s="3"/>
      <c r="B2926" s="4" t="s">
        <v>51</v>
      </c>
      <c r="C2926" s="3" t="s">
        <v>162</v>
      </c>
      <c r="D2926" s="3" t="s">
        <v>14</v>
      </c>
      <c r="E2926" s="3">
        <v>61</v>
      </c>
      <c r="G2926" s="19"/>
    </row>
    <row r="2927" spans="1:7" ht="12.75" x14ac:dyDescent="0.2">
      <c r="A2927" s="3"/>
      <c r="B2927" s="4" t="s">
        <v>51</v>
      </c>
      <c r="C2927" s="3" t="s">
        <v>162</v>
      </c>
      <c r="D2927" s="3" t="s">
        <v>138</v>
      </c>
      <c r="E2927" s="3">
        <v>2</v>
      </c>
      <c r="F2927">
        <f>SUM(E2919:E2927)</f>
        <v>557</v>
      </c>
      <c r="G2927" s="19"/>
    </row>
    <row r="2928" spans="1:7" ht="12.75" x14ac:dyDescent="0.2">
      <c r="A2928" s="3"/>
      <c r="B2928" s="4" t="s">
        <v>51</v>
      </c>
      <c r="C2928" s="3" t="s">
        <v>161</v>
      </c>
      <c r="D2928" s="3" t="s">
        <v>3</v>
      </c>
      <c r="E2928" s="3">
        <v>249</v>
      </c>
      <c r="G2928" s="19"/>
    </row>
    <row r="2929" spans="1:7" ht="12.75" x14ac:dyDescent="0.2">
      <c r="A2929" s="3"/>
      <c r="B2929" s="4" t="s">
        <v>51</v>
      </c>
      <c r="C2929" s="3" t="s">
        <v>161</v>
      </c>
      <c r="D2929" s="3" t="s">
        <v>274</v>
      </c>
      <c r="E2929" s="3">
        <v>3</v>
      </c>
      <c r="G2929" s="19"/>
    </row>
    <row r="2930" spans="1:7" ht="12.75" x14ac:dyDescent="0.2">
      <c r="A2930" s="3"/>
      <c r="B2930" s="4" t="s">
        <v>51</v>
      </c>
      <c r="C2930" s="3" t="s">
        <v>161</v>
      </c>
      <c r="D2930" s="3" t="s">
        <v>315</v>
      </c>
      <c r="E2930" s="3">
        <v>4</v>
      </c>
      <c r="G2930" s="19"/>
    </row>
    <row r="2931" spans="1:7" ht="12.75" x14ac:dyDescent="0.2">
      <c r="A2931" s="3"/>
      <c r="B2931" s="4" t="s">
        <v>51</v>
      </c>
      <c r="C2931" s="3" t="s">
        <v>161</v>
      </c>
      <c r="D2931" s="3" t="s">
        <v>149</v>
      </c>
      <c r="E2931" s="3">
        <v>53</v>
      </c>
      <c r="G2931" s="19"/>
    </row>
    <row r="2932" spans="1:7" ht="12.75" x14ac:dyDescent="0.2">
      <c r="A2932" s="3"/>
      <c r="B2932" s="4" t="s">
        <v>51</v>
      </c>
      <c r="C2932" s="3" t="s">
        <v>161</v>
      </c>
      <c r="D2932" s="3" t="s">
        <v>128</v>
      </c>
      <c r="E2932" s="3">
        <v>145</v>
      </c>
      <c r="G2932" s="19"/>
    </row>
    <row r="2933" spans="1:7" ht="12.75" x14ac:dyDescent="0.2">
      <c r="A2933" s="3"/>
      <c r="B2933" s="4" t="s">
        <v>51</v>
      </c>
      <c r="C2933" s="3" t="s">
        <v>161</v>
      </c>
      <c r="D2933" s="3" t="s">
        <v>275</v>
      </c>
      <c r="E2933" s="3">
        <v>3</v>
      </c>
      <c r="G2933" s="19"/>
    </row>
    <row r="2934" spans="1:7" ht="12.75" x14ac:dyDescent="0.2">
      <c r="A2934" s="3"/>
      <c r="B2934" s="4" t="s">
        <v>51</v>
      </c>
      <c r="C2934" s="3" t="s">
        <v>161</v>
      </c>
      <c r="D2934" s="3" t="s">
        <v>305</v>
      </c>
      <c r="E2934" s="3">
        <v>21</v>
      </c>
      <c r="G2934" s="19"/>
    </row>
    <row r="2935" spans="1:7" ht="12.75" x14ac:dyDescent="0.2">
      <c r="A2935" s="3"/>
      <c r="B2935" s="4" t="s">
        <v>51</v>
      </c>
      <c r="C2935" s="3" t="s">
        <v>161</v>
      </c>
      <c r="D2935" s="3" t="s">
        <v>14</v>
      </c>
      <c r="E2935" s="3">
        <v>77</v>
      </c>
      <c r="G2935" s="19"/>
    </row>
    <row r="2936" spans="1:7" ht="12.75" x14ac:dyDescent="0.2">
      <c r="A2936" s="3"/>
      <c r="B2936" s="4" t="s">
        <v>51</v>
      </c>
      <c r="C2936" s="3" t="s">
        <v>161</v>
      </c>
      <c r="D2936" s="3" t="s">
        <v>138</v>
      </c>
      <c r="E2936" s="3">
        <v>2</v>
      </c>
      <c r="F2936">
        <f>SUM(E2928:E2936)</f>
        <v>557</v>
      </c>
      <c r="G2936" s="19"/>
    </row>
    <row r="2937" spans="1:7" ht="12.75" x14ac:dyDescent="0.2">
      <c r="A2937" s="3"/>
      <c r="B2937" s="4" t="s">
        <v>88</v>
      </c>
      <c r="C2937" s="3" t="s">
        <v>162</v>
      </c>
      <c r="D2937" s="3" t="s">
        <v>3</v>
      </c>
      <c r="E2937" s="3">
        <v>1299</v>
      </c>
      <c r="G2937" s="19"/>
    </row>
    <row r="2938" spans="1:7" ht="12.75" x14ac:dyDescent="0.2">
      <c r="A2938" s="3"/>
      <c r="B2938" s="4" t="s">
        <v>88</v>
      </c>
      <c r="C2938" s="3" t="s">
        <v>162</v>
      </c>
      <c r="D2938" s="3" t="s">
        <v>274</v>
      </c>
      <c r="E2938" s="3">
        <v>6</v>
      </c>
      <c r="G2938" s="19"/>
    </row>
    <row r="2939" spans="1:7" ht="12.75" x14ac:dyDescent="0.2">
      <c r="A2939" s="3"/>
      <c r="B2939" s="4" t="s">
        <v>88</v>
      </c>
      <c r="C2939" s="3" t="s">
        <v>162</v>
      </c>
      <c r="D2939" s="3" t="s">
        <v>315</v>
      </c>
      <c r="E2939" s="3">
        <v>4</v>
      </c>
      <c r="G2939" s="19"/>
    </row>
    <row r="2940" spans="1:7" ht="12.75" x14ac:dyDescent="0.2">
      <c r="A2940" s="3"/>
      <c r="B2940" s="4" t="s">
        <v>88</v>
      </c>
      <c r="C2940" s="3" t="s">
        <v>162</v>
      </c>
      <c r="D2940" s="3" t="s">
        <v>149</v>
      </c>
      <c r="E2940" s="3">
        <v>18</v>
      </c>
      <c r="G2940" s="19"/>
    </row>
    <row r="2941" spans="1:7" ht="12.75" x14ac:dyDescent="0.2">
      <c r="A2941" s="3"/>
      <c r="B2941" s="4" t="s">
        <v>88</v>
      </c>
      <c r="C2941" s="3" t="s">
        <v>162</v>
      </c>
      <c r="D2941" s="3" t="s">
        <v>128</v>
      </c>
      <c r="E2941" s="3">
        <v>755</v>
      </c>
      <c r="G2941" s="19"/>
    </row>
    <row r="2942" spans="1:7" ht="12.75" x14ac:dyDescent="0.2">
      <c r="A2942" s="3"/>
      <c r="B2942" s="4" t="s">
        <v>88</v>
      </c>
      <c r="C2942" s="3" t="s">
        <v>162</v>
      </c>
      <c r="D2942" s="3" t="s">
        <v>275</v>
      </c>
      <c r="E2942" s="3">
        <v>4</v>
      </c>
      <c r="G2942" s="19"/>
    </row>
    <row r="2943" spans="1:7" ht="12.75" x14ac:dyDescent="0.2">
      <c r="A2943" s="3"/>
      <c r="B2943" s="4" t="s">
        <v>88</v>
      </c>
      <c r="C2943" s="3" t="s">
        <v>162</v>
      </c>
      <c r="D2943" s="3" t="s">
        <v>305</v>
      </c>
      <c r="E2943" s="3">
        <v>47</v>
      </c>
      <c r="G2943" s="19"/>
    </row>
    <row r="2944" spans="1:7" ht="12.75" x14ac:dyDescent="0.2">
      <c r="A2944" s="3"/>
      <c r="B2944" s="4" t="s">
        <v>88</v>
      </c>
      <c r="C2944" s="3" t="s">
        <v>162</v>
      </c>
      <c r="D2944" s="3" t="s">
        <v>14</v>
      </c>
      <c r="E2944" s="3">
        <v>130</v>
      </c>
      <c r="G2944" s="19"/>
    </row>
    <row r="2945" spans="1:7" ht="12.75" x14ac:dyDescent="0.2">
      <c r="A2945" s="3"/>
      <c r="B2945" s="4" t="s">
        <v>88</v>
      </c>
      <c r="C2945" s="3" t="s">
        <v>162</v>
      </c>
      <c r="D2945" s="3" t="s">
        <v>138</v>
      </c>
      <c r="E2945" s="3">
        <v>7</v>
      </c>
      <c r="F2945">
        <f>SUM(E2937:E2945)</f>
        <v>2270</v>
      </c>
      <c r="G2945" s="19"/>
    </row>
    <row r="2946" spans="1:7" ht="12.75" x14ac:dyDescent="0.2">
      <c r="A2946" s="3"/>
      <c r="B2946" s="4" t="s">
        <v>88</v>
      </c>
      <c r="C2946" s="3" t="s">
        <v>161</v>
      </c>
      <c r="D2946" s="3" t="s">
        <v>3</v>
      </c>
      <c r="E2946" s="3">
        <v>1190</v>
      </c>
      <c r="G2946" s="19"/>
    </row>
    <row r="2947" spans="1:7" ht="12.75" x14ac:dyDescent="0.2">
      <c r="A2947" s="3"/>
      <c r="B2947" s="4" t="s">
        <v>88</v>
      </c>
      <c r="C2947" s="3" t="s">
        <v>161</v>
      </c>
      <c r="D2947" s="3" t="s">
        <v>274</v>
      </c>
      <c r="E2947" s="3">
        <v>6</v>
      </c>
      <c r="G2947" s="19"/>
    </row>
    <row r="2948" spans="1:7" ht="12.75" x14ac:dyDescent="0.2">
      <c r="A2948" s="3"/>
      <c r="B2948" s="4" t="s">
        <v>88</v>
      </c>
      <c r="C2948" s="3" t="s">
        <v>161</v>
      </c>
      <c r="D2948" s="3" t="s">
        <v>315</v>
      </c>
      <c r="E2948" s="3">
        <v>4</v>
      </c>
      <c r="G2948" s="19"/>
    </row>
    <row r="2949" spans="1:7" ht="12.75" x14ac:dyDescent="0.2">
      <c r="A2949" s="3"/>
      <c r="B2949" s="4" t="s">
        <v>88</v>
      </c>
      <c r="C2949" s="3" t="s">
        <v>161</v>
      </c>
      <c r="D2949" s="3" t="s">
        <v>149</v>
      </c>
      <c r="E2949" s="3">
        <v>18</v>
      </c>
      <c r="G2949" s="19"/>
    </row>
    <row r="2950" spans="1:7" ht="12.75" x14ac:dyDescent="0.2">
      <c r="A2950" s="3"/>
      <c r="B2950" s="4" t="s">
        <v>88</v>
      </c>
      <c r="C2950" s="3" t="s">
        <v>161</v>
      </c>
      <c r="D2950" s="3" t="s">
        <v>128</v>
      </c>
      <c r="E2950" s="3">
        <v>752</v>
      </c>
      <c r="G2950" s="19"/>
    </row>
    <row r="2951" spans="1:7" ht="12.75" x14ac:dyDescent="0.2">
      <c r="A2951" s="3"/>
      <c r="B2951" s="4" t="s">
        <v>88</v>
      </c>
      <c r="C2951" s="3" t="s">
        <v>161</v>
      </c>
      <c r="D2951" s="3" t="s">
        <v>275</v>
      </c>
      <c r="E2951" s="3">
        <v>9</v>
      </c>
      <c r="G2951" s="19"/>
    </row>
    <row r="2952" spans="1:7" ht="12.75" x14ac:dyDescent="0.2">
      <c r="A2952" s="3"/>
      <c r="B2952" s="4" t="s">
        <v>88</v>
      </c>
      <c r="C2952" s="3" t="s">
        <v>161</v>
      </c>
      <c r="D2952" s="3" t="s">
        <v>305</v>
      </c>
      <c r="E2952" s="3">
        <v>85</v>
      </c>
      <c r="G2952" s="19"/>
    </row>
    <row r="2953" spans="1:7" ht="12.75" x14ac:dyDescent="0.2">
      <c r="A2953" s="3"/>
      <c r="B2953" s="4" t="s">
        <v>88</v>
      </c>
      <c r="C2953" s="3" t="s">
        <v>161</v>
      </c>
      <c r="D2953" s="3" t="s">
        <v>14</v>
      </c>
      <c r="E2953" s="3">
        <v>196</v>
      </c>
      <c r="G2953" s="19"/>
    </row>
    <row r="2954" spans="1:7" ht="12.75" x14ac:dyDescent="0.2">
      <c r="A2954" s="3"/>
      <c r="B2954" s="4" t="s">
        <v>88</v>
      </c>
      <c r="C2954" s="3" t="s">
        <v>161</v>
      </c>
      <c r="D2954" s="3" t="s">
        <v>138</v>
      </c>
      <c r="E2954" s="3">
        <v>10</v>
      </c>
      <c r="F2954">
        <f>SUM(E2946:E2954)</f>
        <v>2270</v>
      </c>
      <c r="G2954" s="19"/>
    </row>
    <row r="2955" spans="1:7" ht="12.75" x14ac:dyDescent="0.2">
      <c r="A2955" s="3"/>
      <c r="B2955" s="4" t="s">
        <v>111</v>
      </c>
      <c r="C2955" s="3" t="s">
        <v>162</v>
      </c>
      <c r="D2955" s="3" t="s">
        <v>3</v>
      </c>
      <c r="E2955" s="3">
        <v>144</v>
      </c>
      <c r="G2955" s="19"/>
    </row>
    <row r="2956" spans="1:7" ht="12.75" x14ac:dyDescent="0.2">
      <c r="A2956" s="3"/>
      <c r="B2956" s="4" t="s">
        <v>111</v>
      </c>
      <c r="C2956" s="3" t="s">
        <v>162</v>
      </c>
      <c r="D2956" s="3" t="s">
        <v>128</v>
      </c>
      <c r="E2956" s="3">
        <v>109</v>
      </c>
      <c r="G2956" s="19"/>
    </row>
    <row r="2957" spans="1:7" ht="12.75" x14ac:dyDescent="0.2">
      <c r="A2957" s="3"/>
      <c r="B2957" s="4" t="s">
        <v>111</v>
      </c>
      <c r="C2957" s="3" t="s">
        <v>162</v>
      </c>
      <c r="D2957" s="3" t="s">
        <v>14</v>
      </c>
      <c r="E2957" s="3">
        <v>26</v>
      </c>
      <c r="G2957" s="19"/>
    </row>
    <row r="2958" spans="1:7" ht="12.75" x14ac:dyDescent="0.2">
      <c r="A2958" s="3"/>
      <c r="B2958" s="4" t="s">
        <v>111</v>
      </c>
      <c r="C2958" s="3" t="s">
        <v>162</v>
      </c>
      <c r="D2958" s="3" t="s">
        <v>138</v>
      </c>
      <c r="E2958" s="3">
        <v>4</v>
      </c>
      <c r="F2958">
        <f>SUM(E2955:E2958)</f>
        <v>283</v>
      </c>
      <c r="G2958" s="19"/>
    </row>
    <row r="2959" spans="1:7" ht="12.75" x14ac:dyDescent="0.2">
      <c r="A2959" s="3"/>
      <c r="B2959" s="4" t="s">
        <v>111</v>
      </c>
      <c r="C2959" s="3" t="s">
        <v>161</v>
      </c>
      <c r="D2959" s="3" t="s">
        <v>3</v>
      </c>
      <c r="E2959" s="3">
        <v>130</v>
      </c>
      <c r="G2959" s="19"/>
    </row>
    <row r="2960" spans="1:7" ht="12.75" x14ac:dyDescent="0.2">
      <c r="A2960" s="3"/>
      <c r="B2960" s="4" t="s">
        <v>111</v>
      </c>
      <c r="C2960" s="3" t="s">
        <v>161</v>
      </c>
      <c r="D2960" s="3" t="s">
        <v>128</v>
      </c>
      <c r="E2960" s="3">
        <v>111</v>
      </c>
      <c r="G2960" s="19"/>
    </row>
    <row r="2961" spans="1:7" ht="12.75" x14ac:dyDescent="0.2">
      <c r="A2961" s="3"/>
      <c r="B2961" s="4" t="s">
        <v>111</v>
      </c>
      <c r="C2961" s="3" t="s">
        <v>161</v>
      </c>
      <c r="D2961" s="3" t="s">
        <v>14</v>
      </c>
      <c r="E2961" s="3">
        <v>30</v>
      </c>
      <c r="G2961" s="19"/>
    </row>
    <row r="2962" spans="1:7" ht="12.75" x14ac:dyDescent="0.2">
      <c r="A2962" s="3"/>
      <c r="B2962" s="4" t="s">
        <v>111</v>
      </c>
      <c r="C2962" s="3" t="s">
        <v>161</v>
      </c>
      <c r="D2962" s="3" t="s">
        <v>138</v>
      </c>
      <c r="E2962" s="3">
        <v>12</v>
      </c>
      <c r="F2962">
        <f>SUM(E2959:E2962)</f>
        <v>283</v>
      </c>
      <c r="G2962" s="19"/>
    </row>
    <row r="2963" spans="1:7" ht="12.75" x14ac:dyDescent="0.2">
      <c r="A2963" s="3"/>
      <c r="B2963" s="4" t="s">
        <v>56</v>
      </c>
      <c r="C2963" s="3" t="s">
        <v>162</v>
      </c>
      <c r="D2963" s="3" t="s">
        <v>3</v>
      </c>
      <c r="E2963" s="3">
        <v>304</v>
      </c>
      <c r="G2963" s="19"/>
    </row>
    <row r="2964" spans="1:7" ht="12.75" x14ac:dyDescent="0.2">
      <c r="A2964" s="3"/>
      <c r="B2964" s="4" t="s">
        <v>56</v>
      </c>
      <c r="C2964" s="3" t="s">
        <v>162</v>
      </c>
      <c r="D2964" s="3" t="s">
        <v>274</v>
      </c>
      <c r="E2964" s="3">
        <v>2</v>
      </c>
      <c r="G2964" s="19"/>
    </row>
    <row r="2965" spans="1:7" ht="12.75" x14ac:dyDescent="0.2">
      <c r="A2965" s="3"/>
      <c r="B2965" s="4" t="s">
        <v>56</v>
      </c>
      <c r="C2965" s="3" t="s">
        <v>162</v>
      </c>
      <c r="D2965" s="3" t="s">
        <v>315</v>
      </c>
      <c r="E2965" s="3">
        <v>2</v>
      </c>
      <c r="G2965" s="19"/>
    </row>
    <row r="2966" spans="1:7" ht="12.75" x14ac:dyDescent="0.2">
      <c r="A2966" s="3"/>
      <c r="B2966" s="4" t="s">
        <v>56</v>
      </c>
      <c r="C2966" s="3" t="s">
        <v>162</v>
      </c>
      <c r="D2966" s="3" t="s">
        <v>149</v>
      </c>
      <c r="E2966" s="3">
        <v>8</v>
      </c>
      <c r="G2966" s="19"/>
    </row>
    <row r="2967" spans="1:7" ht="12.75" x14ac:dyDescent="0.2">
      <c r="A2967" s="3"/>
      <c r="B2967" s="4" t="s">
        <v>56</v>
      </c>
      <c r="C2967" s="3" t="s">
        <v>162</v>
      </c>
      <c r="D2967" s="3" t="s">
        <v>128</v>
      </c>
      <c r="E2967" s="3">
        <v>97</v>
      </c>
      <c r="G2967" s="19"/>
    </row>
    <row r="2968" spans="1:7" ht="12.75" x14ac:dyDescent="0.2">
      <c r="A2968" s="3"/>
      <c r="B2968" s="4" t="s">
        <v>56</v>
      </c>
      <c r="C2968" s="3" t="s">
        <v>162</v>
      </c>
      <c r="D2968" s="3" t="s">
        <v>275</v>
      </c>
      <c r="E2968" s="3">
        <v>2</v>
      </c>
      <c r="G2968" s="19"/>
    </row>
    <row r="2969" spans="1:7" ht="12.75" x14ac:dyDescent="0.2">
      <c r="A2969" s="3"/>
      <c r="B2969" s="4" t="s">
        <v>56</v>
      </c>
      <c r="C2969" s="3" t="s">
        <v>162</v>
      </c>
      <c r="D2969" s="3" t="s">
        <v>305</v>
      </c>
      <c r="E2969" s="3">
        <v>4</v>
      </c>
      <c r="G2969" s="19"/>
    </row>
    <row r="2970" spans="1:7" ht="12.75" x14ac:dyDescent="0.2">
      <c r="A2970" s="3"/>
      <c r="B2970" s="4" t="s">
        <v>56</v>
      </c>
      <c r="C2970" s="3" t="s">
        <v>162</v>
      </c>
      <c r="D2970" s="3" t="s">
        <v>14</v>
      </c>
      <c r="E2970" s="3">
        <v>20</v>
      </c>
      <c r="F2970">
        <f>SUM(E2963:E2970)</f>
        <v>439</v>
      </c>
      <c r="G2970" s="19"/>
    </row>
    <row r="2971" spans="1:7" ht="12.75" x14ac:dyDescent="0.2">
      <c r="A2971" s="3"/>
      <c r="B2971" s="4" t="s">
        <v>56</v>
      </c>
      <c r="C2971" s="3" t="s">
        <v>161</v>
      </c>
      <c r="D2971" s="3" t="s">
        <v>3</v>
      </c>
      <c r="E2971" s="3">
        <v>297</v>
      </c>
      <c r="G2971" s="19"/>
    </row>
    <row r="2972" spans="1:7" ht="12.75" x14ac:dyDescent="0.2">
      <c r="A2972" s="3"/>
      <c r="B2972" s="4" t="s">
        <v>56</v>
      </c>
      <c r="C2972" s="3" t="s">
        <v>161</v>
      </c>
      <c r="D2972" s="3" t="s">
        <v>274</v>
      </c>
      <c r="E2972" s="3">
        <v>2</v>
      </c>
      <c r="G2972" s="19"/>
    </row>
    <row r="2973" spans="1:7" ht="12.75" x14ac:dyDescent="0.2">
      <c r="A2973" s="3"/>
      <c r="B2973" s="4" t="s">
        <v>56</v>
      </c>
      <c r="C2973" s="3" t="s">
        <v>161</v>
      </c>
      <c r="D2973" s="3" t="s">
        <v>315</v>
      </c>
      <c r="E2973" s="3">
        <v>2</v>
      </c>
      <c r="G2973" s="19"/>
    </row>
    <row r="2974" spans="1:7" ht="12.75" x14ac:dyDescent="0.2">
      <c r="A2974" s="3"/>
      <c r="B2974" s="4" t="s">
        <v>56</v>
      </c>
      <c r="C2974" s="3" t="s">
        <v>161</v>
      </c>
      <c r="D2974" s="3" t="s">
        <v>149</v>
      </c>
      <c r="E2974" s="3">
        <v>8</v>
      </c>
      <c r="G2974" s="19"/>
    </row>
    <row r="2975" spans="1:7" ht="12.75" x14ac:dyDescent="0.2">
      <c r="A2975" s="3"/>
      <c r="B2975" s="4" t="s">
        <v>56</v>
      </c>
      <c r="C2975" s="3" t="s">
        <v>161</v>
      </c>
      <c r="D2975" s="3" t="s">
        <v>128</v>
      </c>
      <c r="E2975" s="3">
        <v>98</v>
      </c>
      <c r="G2975" s="19"/>
    </row>
    <row r="2976" spans="1:7" ht="12.75" x14ac:dyDescent="0.2">
      <c r="A2976" s="3"/>
      <c r="B2976" s="4" t="s">
        <v>56</v>
      </c>
      <c r="C2976" s="3" t="s">
        <v>161</v>
      </c>
      <c r="D2976" s="3" t="s">
        <v>275</v>
      </c>
      <c r="E2976" s="3">
        <v>2</v>
      </c>
      <c r="G2976" s="19"/>
    </row>
    <row r="2977" spans="1:7" ht="12.75" x14ac:dyDescent="0.2">
      <c r="A2977" s="3"/>
      <c r="B2977" s="4" t="s">
        <v>56</v>
      </c>
      <c r="C2977" s="3" t="s">
        <v>161</v>
      </c>
      <c r="D2977" s="3" t="s">
        <v>305</v>
      </c>
      <c r="E2977" s="3">
        <v>4</v>
      </c>
      <c r="G2977" s="19"/>
    </row>
    <row r="2978" spans="1:7" ht="12.75" x14ac:dyDescent="0.2">
      <c r="A2978" s="3"/>
      <c r="B2978" s="4" t="s">
        <v>56</v>
      </c>
      <c r="C2978" s="3" t="s">
        <v>161</v>
      </c>
      <c r="D2978" s="3" t="s">
        <v>14</v>
      </c>
      <c r="E2978" s="3">
        <v>26</v>
      </c>
      <c r="F2978">
        <f>SUM(E2971:E2978)</f>
        <v>439</v>
      </c>
      <c r="G2978" s="19"/>
    </row>
    <row r="2979" spans="1:7" ht="12.75" x14ac:dyDescent="0.2">
      <c r="A2979" s="3"/>
      <c r="B2979" s="4" t="s">
        <v>79</v>
      </c>
      <c r="C2979" s="3" t="s">
        <v>162</v>
      </c>
      <c r="D2979" s="3" t="s">
        <v>3</v>
      </c>
      <c r="E2979" s="3">
        <v>150</v>
      </c>
      <c r="G2979" s="19"/>
    </row>
    <row r="2980" spans="1:7" ht="12.75" x14ac:dyDescent="0.2">
      <c r="A2980" s="3"/>
      <c r="B2980" s="4" t="s">
        <v>79</v>
      </c>
      <c r="C2980" s="3" t="s">
        <v>162</v>
      </c>
      <c r="D2980" s="3" t="s">
        <v>149</v>
      </c>
      <c r="E2980" s="3">
        <v>5</v>
      </c>
      <c r="G2980" s="19"/>
    </row>
    <row r="2981" spans="1:7" ht="12.75" x14ac:dyDescent="0.2">
      <c r="A2981" s="3"/>
      <c r="B2981" s="4" t="s">
        <v>79</v>
      </c>
      <c r="C2981" s="3" t="s">
        <v>162</v>
      </c>
      <c r="D2981" s="3" t="s">
        <v>128</v>
      </c>
      <c r="E2981" s="3">
        <v>57</v>
      </c>
      <c r="G2981" s="19"/>
    </row>
    <row r="2982" spans="1:7" ht="12.75" x14ac:dyDescent="0.2">
      <c r="A2982" s="3"/>
      <c r="B2982" s="4" t="s">
        <v>79</v>
      </c>
      <c r="C2982" s="3" t="s">
        <v>162</v>
      </c>
      <c r="D2982" s="3" t="s">
        <v>275</v>
      </c>
      <c r="E2982" s="3">
        <v>1</v>
      </c>
      <c r="G2982" s="19"/>
    </row>
    <row r="2983" spans="1:7" ht="12.75" x14ac:dyDescent="0.2">
      <c r="A2983" s="3"/>
      <c r="B2983" s="4" t="s">
        <v>79</v>
      </c>
      <c r="C2983" s="3" t="s">
        <v>162</v>
      </c>
      <c r="D2983" s="3" t="s">
        <v>14</v>
      </c>
      <c r="E2983" s="3">
        <v>4</v>
      </c>
      <c r="F2983">
        <f>SUM(E2979:E2983)</f>
        <v>217</v>
      </c>
      <c r="G2983" s="19"/>
    </row>
    <row r="2984" spans="1:7" ht="12.75" x14ac:dyDescent="0.2">
      <c r="A2984" s="3"/>
      <c r="B2984" s="4" t="s">
        <v>79</v>
      </c>
      <c r="C2984" s="3" t="s">
        <v>161</v>
      </c>
      <c r="D2984" s="3" t="s">
        <v>3</v>
      </c>
      <c r="E2984" s="3">
        <v>147</v>
      </c>
      <c r="G2984" s="19"/>
    </row>
    <row r="2985" spans="1:7" ht="12.75" x14ac:dyDescent="0.2">
      <c r="A2985" s="3"/>
      <c r="B2985" s="4" t="s">
        <v>79</v>
      </c>
      <c r="C2985" s="3" t="s">
        <v>161</v>
      </c>
      <c r="D2985" s="3" t="s">
        <v>149</v>
      </c>
      <c r="E2985" s="3">
        <v>5</v>
      </c>
      <c r="G2985" s="19"/>
    </row>
    <row r="2986" spans="1:7" ht="12.75" x14ac:dyDescent="0.2">
      <c r="A2986" s="3"/>
      <c r="B2986" s="4" t="s">
        <v>79</v>
      </c>
      <c r="C2986" s="3" t="s">
        <v>161</v>
      </c>
      <c r="D2986" s="3" t="s">
        <v>128</v>
      </c>
      <c r="E2986" s="3">
        <v>57</v>
      </c>
      <c r="G2986" s="19"/>
    </row>
    <row r="2987" spans="1:7" ht="12.75" x14ac:dyDescent="0.2">
      <c r="A2987" s="3"/>
      <c r="B2987" s="4" t="s">
        <v>79</v>
      </c>
      <c r="C2987" s="3" t="s">
        <v>161</v>
      </c>
      <c r="D2987" s="3" t="s">
        <v>275</v>
      </c>
      <c r="E2987" s="3">
        <v>1</v>
      </c>
      <c r="G2987" s="19"/>
    </row>
    <row r="2988" spans="1:7" ht="12.75" x14ac:dyDescent="0.2">
      <c r="A2988" s="3"/>
      <c r="B2988" s="4" t="s">
        <v>79</v>
      </c>
      <c r="C2988" s="3" t="s">
        <v>161</v>
      </c>
      <c r="D2988" s="3" t="s">
        <v>14</v>
      </c>
      <c r="E2988" s="3">
        <v>7</v>
      </c>
      <c r="F2988">
        <f>SUM(E2984:E2988)</f>
        <v>217</v>
      </c>
      <c r="G2988" s="19"/>
    </row>
    <row r="2989" spans="1:7" ht="12.75" x14ac:dyDescent="0.2">
      <c r="A2989" s="3"/>
      <c r="B2989" s="4" t="s">
        <v>12</v>
      </c>
      <c r="C2989" s="3" t="s">
        <v>162</v>
      </c>
      <c r="D2989" s="3" t="s">
        <v>3</v>
      </c>
      <c r="E2989" s="3">
        <v>532</v>
      </c>
      <c r="G2989" s="19"/>
    </row>
    <row r="2990" spans="1:7" ht="12.75" x14ac:dyDescent="0.2">
      <c r="A2990" s="3"/>
      <c r="B2990" s="4" t="s">
        <v>12</v>
      </c>
      <c r="C2990" s="3" t="s">
        <v>162</v>
      </c>
      <c r="D2990" s="3" t="s">
        <v>274</v>
      </c>
      <c r="E2990" s="3">
        <v>2</v>
      </c>
      <c r="G2990" s="19"/>
    </row>
    <row r="2991" spans="1:7" ht="12.75" x14ac:dyDescent="0.2">
      <c r="A2991" s="3"/>
      <c r="B2991" s="4" t="s">
        <v>12</v>
      </c>
      <c r="C2991" s="3" t="s">
        <v>162</v>
      </c>
      <c r="D2991" s="3" t="s">
        <v>315</v>
      </c>
      <c r="E2991" s="3">
        <v>9</v>
      </c>
      <c r="G2991" s="19"/>
    </row>
    <row r="2992" spans="1:7" ht="12.75" x14ac:dyDescent="0.2">
      <c r="A2992" s="3"/>
      <c r="B2992" s="4" t="s">
        <v>12</v>
      </c>
      <c r="C2992" s="3" t="s">
        <v>162</v>
      </c>
      <c r="D2992" s="3" t="s">
        <v>149</v>
      </c>
      <c r="E2992" s="3">
        <v>45</v>
      </c>
      <c r="G2992" s="19"/>
    </row>
    <row r="2993" spans="1:7" ht="12.75" x14ac:dyDescent="0.2">
      <c r="A2993" s="3"/>
      <c r="B2993" s="4" t="s">
        <v>12</v>
      </c>
      <c r="C2993" s="3" t="s">
        <v>162</v>
      </c>
      <c r="D2993" s="3" t="s">
        <v>128</v>
      </c>
      <c r="E2993" s="3">
        <v>445</v>
      </c>
      <c r="G2993" s="19"/>
    </row>
    <row r="2994" spans="1:7" ht="12.75" x14ac:dyDescent="0.2">
      <c r="A2994" s="3"/>
      <c r="B2994" s="4" t="s">
        <v>12</v>
      </c>
      <c r="C2994" s="3" t="s">
        <v>162</v>
      </c>
      <c r="D2994" s="3" t="s">
        <v>275</v>
      </c>
      <c r="E2994" s="3">
        <v>4</v>
      </c>
      <c r="G2994" s="19"/>
    </row>
    <row r="2995" spans="1:7" ht="12.75" x14ac:dyDescent="0.2">
      <c r="A2995" s="3"/>
      <c r="B2995" s="4" t="s">
        <v>12</v>
      </c>
      <c r="C2995" s="3" t="s">
        <v>162</v>
      </c>
      <c r="D2995" s="3" t="s">
        <v>305</v>
      </c>
      <c r="E2995" s="3">
        <v>67</v>
      </c>
      <c r="G2995" s="19"/>
    </row>
    <row r="2996" spans="1:7" ht="12.75" x14ac:dyDescent="0.2">
      <c r="A2996" s="3"/>
      <c r="B2996" s="4" t="s">
        <v>12</v>
      </c>
      <c r="C2996" s="3" t="s">
        <v>162</v>
      </c>
      <c r="D2996" s="3" t="s">
        <v>14</v>
      </c>
      <c r="E2996" s="3">
        <v>156</v>
      </c>
      <c r="G2996" s="19"/>
    </row>
    <row r="2997" spans="1:7" ht="12.75" x14ac:dyDescent="0.2">
      <c r="A2997" s="3"/>
      <c r="B2997" s="4" t="s">
        <v>12</v>
      </c>
      <c r="C2997" s="3" t="s">
        <v>162</v>
      </c>
      <c r="D2997" s="3" t="s">
        <v>138</v>
      </c>
      <c r="E2997" s="3">
        <v>2</v>
      </c>
      <c r="F2997">
        <f>SUM(E2989:E2997)</f>
        <v>1262</v>
      </c>
      <c r="G2997" s="19"/>
    </row>
    <row r="2998" spans="1:7" ht="12.75" x14ac:dyDescent="0.2">
      <c r="A2998" s="3"/>
      <c r="B2998" s="4" t="s">
        <v>12</v>
      </c>
      <c r="C2998" s="3" t="s">
        <v>161</v>
      </c>
      <c r="D2998" s="3" t="s">
        <v>3</v>
      </c>
      <c r="E2998" s="3">
        <v>471</v>
      </c>
      <c r="G2998" s="19"/>
    </row>
    <row r="2999" spans="1:7" ht="12.75" x14ac:dyDescent="0.2">
      <c r="A2999" s="3"/>
      <c r="B2999" s="4" t="s">
        <v>12</v>
      </c>
      <c r="C2999" s="3" t="s">
        <v>161</v>
      </c>
      <c r="D2999" s="3" t="s">
        <v>274</v>
      </c>
      <c r="E2999" s="3">
        <v>2</v>
      </c>
      <c r="G2999" s="19"/>
    </row>
    <row r="3000" spans="1:7" ht="12.75" x14ac:dyDescent="0.2">
      <c r="A3000" s="3"/>
      <c r="B3000" s="4" t="s">
        <v>12</v>
      </c>
      <c r="C3000" s="3" t="s">
        <v>161</v>
      </c>
      <c r="D3000" s="3" t="s">
        <v>315</v>
      </c>
      <c r="E3000" s="3">
        <v>18</v>
      </c>
      <c r="G3000" s="19"/>
    </row>
    <row r="3001" spans="1:7" ht="12.75" x14ac:dyDescent="0.2">
      <c r="A3001" s="3"/>
      <c r="B3001" s="4" t="s">
        <v>12</v>
      </c>
      <c r="C3001" s="3" t="s">
        <v>161</v>
      </c>
      <c r="D3001" s="3" t="s">
        <v>149</v>
      </c>
      <c r="E3001" s="3">
        <v>45</v>
      </c>
      <c r="G3001" s="19"/>
    </row>
    <row r="3002" spans="1:7" ht="12.75" x14ac:dyDescent="0.2">
      <c r="A3002" s="3"/>
      <c r="B3002" s="4" t="s">
        <v>12</v>
      </c>
      <c r="C3002" s="3" t="s">
        <v>161</v>
      </c>
      <c r="D3002" s="3" t="s">
        <v>128</v>
      </c>
      <c r="E3002" s="3">
        <v>407</v>
      </c>
      <c r="G3002" s="19"/>
    </row>
    <row r="3003" spans="1:7" ht="12.75" x14ac:dyDescent="0.2">
      <c r="A3003" s="3"/>
      <c r="B3003" s="4" t="s">
        <v>12</v>
      </c>
      <c r="C3003" s="3" t="s">
        <v>161</v>
      </c>
      <c r="D3003" s="3" t="s">
        <v>275</v>
      </c>
      <c r="E3003" s="3">
        <v>5</v>
      </c>
      <c r="G3003" s="19"/>
    </row>
    <row r="3004" spans="1:7" ht="12.75" x14ac:dyDescent="0.2">
      <c r="A3004" s="3"/>
      <c r="B3004" s="4" t="s">
        <v>12</v>
      </c>
      <c r="C3004" s="3" t="s">
        <v>161</v>
      </c>
      <c r="D3004" s="3" t="s">
        <v>305</v>
      </c>
      <c r="E3004" s="3">
        <v>81</v>
      </c>
      <c r="G3004" s="19"/>
    </row>
    <row r="3005" spans="1:7" ht="12.75" x14ac:dyDescent="0.2">
      <c r="A3005" s="3"/>
      <c r="B3005" s="4" t="s">
        <v>12</v>
      </c>
      <c r="C3005" s="3" t="s">
        <v>161</v>
      </c>
      <c r="D3005" s="3" t="s">
        <v>14</v>
      </c>
      <c r="E3005" s="3">
        <v>221</v>
      </c>
      <c r="G3005" s="19"/>
    </row>
    <row r="3006" spans="1:7" ht="12.75" x14ac:dyDescent="0.2">
      <c r="A3006" s="3"/>
      <c r="B3006" s="4" t="s">
        <v>12</v>
      </c>
      <c r="C3006" s="3" t="s">
        <v>161</v>
      </c>
      <c r="D3006" s="3" t="s">
        <v>138</v>
      </c>
      <c r="E3006" s="3">
        <v>12</v>
      </c>
      <c r="F3006">
        <f>SUM(E2998:E3006)</f>
        <v>1262</v>
      </c>
      <c r="G3006" s="19"/>
    </row>
    <row r="3007" spans="1:7" ht="12.75" x14ac:dyDescent="0.2">
      <c r="A3007" s="3"/>
      <c r="B3007" s="4" t="s">
        <v>83</v>
      </c>
      <c r="C3007" s="3" t="s">
        <v>162</v>
      </c>
      <c r="D3007" s="3" t="s">
        <v>3</v>
      </c>
      <c r="E3007" s="3">
        <v>240</v>
      </c>
      <c r="G3007" s="19"/>
    </row>
    <row r="3008" spans="1:7" ht="12.75" x14ac:dyDescent="0.2">
      <c r="A3008" s="3"/>
      <c r="B3008" s="4" t="s">
        <v>83</v>
      </c>
      <c r="C3008" s="3" t="s">
        <v>162</v>
      </c>
      <c r="D3008" s="3" t="s">
        <v>274</v>
      </c>
      <c r="E3008" s="3">
        <v>2</v>
      </c>
      <c r="G3008" s="19"/>
    </row>
    <row r="3009" spans="1:7" ht="12.75" x14ac:dyDescent="0.2">
      <c r="A3009" s="3"/>
      <c r="B3009" s="4" t="s">
        <v>83</v>
      </c>
      <c r="C3009" s="3" t="s">
        <v>162</v>
      </c>
      <c r="D3009" s="3" t="s">
        <v>149</v>
      </c>
      <c r="E3009" s="3">
        <v>66</v>
      </c>
      <c r="G3009" s="19"/>
    </row>
    <row r="3010" spans="1:7" ht="12.75" x14ac:dyDescent="0.2">
      <c r="A3010" s="3"/>
      <c r="B3010" s="4" t="s">
        <v>83</v>
      </c>
      <c r="C3010" s="3" t="s">
        <v>162</v>
      </c>
      <c r="D3010" s="3" t="s">
        <v>128</v>
      </c>
      <c r="E3010" s="3">
        <v>98</v>
      </c>
      <c r="G3010" s="19"/>
    </row>
    <row r="3011" spans="1:7" ht="12.75" x14ac:dyDescent="0.2">
      <c r="A3011" s="3"/>
      <c r="B3011" s="4" t="s">
        <v>83</v>
      </c>
      <c r="C3011" s="3" t="s">
        <v>162</v>
      </c>
      <c r="D3011" s="3" t="s">
        <v>305</v>
      </c>
      <c r="E3011" s="3">
        <v>4</v>
      </c>
      <c r="G3011" s="19"/>
    </row>
    <row r="3012" spans="1:7" ht="12.75" x14ac:dyDescent="0.2">
      <c r="A3012" s="3"/>
      <c r="B3012" s="4" t="s">
        <v>83</v>
      </c>
      <c r="C3012" s="3" t="s">
        <v>162</v>
      </c>
      <c r="D3012" s="3" t="s">
        <v>14</v>
      </c>
      <c r="E3012" s="3">
        <v>15</v>
      </c>
      <c r="G3012" s="19"/>
    </row>
    <row r="3013" spans="1:7" ht="12.75" x14ac:dyDescent="0.2">
      <c r="A3013" s="3"/>
      <c r="B3013" s="4" t="s">
        <v>83</v>
      </c>
      <c r="C3013" s="3" t="s">
        <v>162</v>
      </c>
      <c r="D3013" s="3" t="s">
        <v>138</v>
      </c>
      <c r="E3013" s="3">
        <v>3</v>
      </c>
      <c r="F3013">
        <f>SUM(E3007:E3013)</f>
        <v>428</v>
      </c>
      <c r="G3013" s="19"/>
    </row>
    <row r="3014" spans="1:7" ht="12.75" x14ac:dyDescent="0.2">
      <c r="A3014" s="3"/>
      <c r="B3014" s="4" t="s">
        <v>83</v>
      </c>
      <c r="C3014" s="3" t="s">
        <v>161</v>
      </c>
      <c r="D3014" s="3" t="s">
        <v>3</v>
      </c>
      <c r="E3014" s="3">
        <v>230</v>
      </c>
      <c r="G3014" s="19"/>
    </row>
    <row r="3015" spans="1:7" ht="12.75" x14ac:dyDescent="0.2">
      <c r="A3015" s="3"/>
      <c r="B3015" s="4" t="s">
        <v>83</v>
      </c>
      <c r="C3015" s="3" t="s">
        <v>161</v>
      </c>
      <c r="D3015" s="3" t="s">
        <v>274</v>
      </c>
      <c r="E3015" s="3">
        <v>2</v>
      </c>
      <c r="G3015" s="19"/>
    </row>
    <row r="3016" spans="1:7" ht="12.75" x14ac:dyDescent="0.2">
      <c r="A3016" s="3"/>
      <c r="B3016" s="4" t="s">
        <v>83</v>
      </c>
      <c r="C3016" s="3" t="s">
        <v>161</v>
      </c>
      <c r="D3016" s="3" t="s">
        <v>149</v>
      </c>
      <c r="E3016" s="3">
        <v>68</v>
      </c>
      <c r="G3016" s="19"/>
    </row>
    <row r="3017" spans="1:7" ht="12.75" x14ac:dyDescent="0.2">
      <c r="A3017" s="3"/>
      <c r="B3017" s="4" t="s">
        <v>83</v>
      </c>
      <c r="C3017" s="3" t="s">
        <v>161</v>
      </c>
      <c r="D3017" s="3" t="s">
        <v>128</v>
      </c>
      <c r="E3017" s="3">
        <v>97</v>
      </c>
      <c r="G3017" s="19"/>
    </row>
    <row r="3018" spans="1:7" ht="12.75" x14ac:dyDescent="0.2">
      <c r="A3018" s="3"/>
      <c r="B3018" s="4" t="s">
        <v>83</v>
      </c>
      <c r="C3018" s="3" t="s">
        <v>161</v>
      </c>
      <c r="D3018" s="3" t="s">
        <v>305</v>
      </c>
      <c r="E3018" s="3">
        <v>4</v>
      </c>
      <c r="G3018" s="19"/>
    </row>
    <row r="3019" spans="1:7" ht="12.75" x14ac:dyDescent="0.2">
      <c r="A3019" s="3"/>
      <c r="B3019" s="4" t="s">
        <v>83</v>
      </c>
      <c r="C3019" s="3" t="s">
        <v>161</v>
      </c>
      <c r="D3019" s="3" t="s">
        <v>14</v>
      </c>
      <c r="E3019" s="3">
        <v>25</v>
      </c>
      <c r="G3019" s="19"/>
    </row>
    <row r="3020" spans="1:7" ht="12.75" x14ac:dyDescent="0.2">
      <c r="A3020" s="3"/>
      <c r="B3020" s="4" t="s">
        <v>83</v>
      </c>
      <c r="C3020" s="3" t="s">
        <v>161</v>
      </c>
      <c r="D3020" s="3" t="s">
        <v>138</v>
      </c>
      <c r="E3020" s="3">
        <v>2</v>
      </c>
      <c r="F3020">
        <f>SUM(E3014:E3020)</f>
        <v>428</v>
      </c>
      <c r="G3020" s="19"/>
    </row>
    <row r="3021" spans="1:7" ht="12.75" x14ac:dyDescent="0.2">
      <c r="A3021" s="3"/>
      <c r="B3021" s="4" t="s">
        <v>57</v>
      </c>
      <c r="C3021" s="3" t="s">
        <v>162</v>
      </c>
      <c r="D3021" s="3" t="s">
        <v>3</v>
      </c>
      <c r="E3021" s="3">
        <v>3384</v>
      </c>
      <c r="G3021" s="19"/>
    </row>
    <row r="3022" spans="1:7" ht="12.75" x14ac:dyDescent="0.2">
      <c r="A3022" s="3"/>
      <c r="B3022" s="4" t="s">
        <v>57</v>
      </c>
      <c r="C3022" s="3" t="s">
        <v>162</v>
      </c>
      <c r="D3022" s="3" t="s">
        <v>274</v>
      </c>
      <c r="E3022" s="3">
        <v>22</v>
      </c>
      <c r="G3022" s="19"/>
    </row>
    <row r="3023" spans="1:7" ht="12.75" x14ac:dyDescent="0.2">
      <c r="A3023" s="3"/>
      <c r="B3023" s="4" t="s">
        <v>57</v>
      </c>
      <c r="C3023" s="3" t="s">
        <v>162</v>
      </c>
      <c r="D3023" s="3" t="s">
        <v>315</v>
      </c>
      <c r="E3023" s="3">
        <v>48</v>
      </c>
      <c r="G3023" s="19"/>
    </row>
    <row r="3024" spans="1:7" ht="12.75" x14ac:dyDescent="0.2">
      <c r="A3024" s="3"/>
      <c r="B3024" s="4" t="s">
        <v>57</v>
      </c>
      <c r="C3024" s="3" t="s">
        <v>162</v>
      </c>
      <c r="D3024" s="3" t="s">
        <v>149</v>
      </c>
      <c r="E3024" s="3">
        <v>332</v>
      </c>
      <c r="G3024" s="19"/>
    </row>
    <row r="3025" spans="1:7" ht="12.75" x14ac:dyDescent="0.2">
      <c r="A3025" s="3"/>
      <c r="B3025" s="4" t="s">
        <v>57</v>
      </c>
      <c r="C3025" s="3" t="s">
        <v>162</v>
      </c>
      <c r="D3025" s="3" t="s">
        <v>128</v>
      </c>
      <c r="E3025" s="3">
        <v>2596</v>
      </c>
      <c r="G3025" s="19"/>
    </row>
    <row r="3026" spans="1:7" ht="12.75" x14ac:dyDescent="0.2">
      <c r="A3026" s="3"/>
      <c r="B3026" s="4" t="s">
        <v>57</v>
      </c>
      <c r="C3026" s="3" t="s">
        <v>162</v>
      </c>
      <c r="D3026" s="3" t="s">
        <v>275</v>
      </c>
      <c r="E3026" s="3">
        <v>20</v>
      </c>
      <c r="G3026" s="19"/>
    </row>
    <row r="3027" spans="1:7" ht="12.75" x14ac:dyDescent="0.2">
      <c r="A3027" s="3"/>
      <c r="B3027" s="4" t="s">
        <v>57</v>
      </c>
      <c r="C3027" s="3" t="s">
        <v>162</v>
      </c>
      <c r="D3027" s="3" t="s">
        <v>305</v>
      </c>
      <c r="E3027" s="3">
        <v>197</v>
      </c>
      <c r="G3027" s="19"/>
    </row>
    <row r="3028" spans="1:7" ht="12.75" x14ac:dyDescent="0.2">
      <c r="A3028" s="3"/>
      <c r="B3028" s="4" t="s">
        <v>57</v>
      </c>
      <c r="C3028" s="3" t="s">
        <v>162</v>
      </c>
      <c r="D3028" s="3" t="s">
        <v>14</v>
      </c>
      <c r="E3028" s="3">
        <v>546</v>
      </c>
      <c r="G3028" s="19"/>
    </row>
    <row r="3029" spans="1:7" ht="12.75" x14ac:dyDescent="0.2">
      <c r="A3029" s="3"/>
      <c r="B3029" s="4" t="s">
        <v>57</v>
      </c>
      <c r="C3029" s="3" t="s">
        <v>162</v>
      </c>
      <c r="D3029" s="3" t="s">
        <v>138</v>
      </c>
      <c r="E3029" s="3">
        <v>52</v>
      </c>
      <c r="F3029">
        <f>SUM(E3021:E3029)</f>
        <v>7197</v>
      </c>
      <c r="G3029" s="19"/>
    </row>
    <row r="3030" spans="1:7" ht="12.75" x14ac:dyDescent="0.2">
      <c r="A3030" s="3"/>
      <c r="B3030" s="4" t="s">
        <v>57</v>
      </c>
      <c r="C3030" s="3" t="s">
        <v>161</v>
      </c>
      <c r="D3030" s="3" t="s">
        <v>3</v>
      </c>
      <c r="E3030" s="3">
        <v>3224</v>
      </c>
      <c r="G3030" s="19"/>
    </row>
    <row r="3031" spans="1:7" ht="12.75" x14ac:dyDescent="0.2">
      <c r="A3031" s="3"/>
      <c r="B3031" s="4" t="s">
        <v>57</v>
      </c>
      <c r="C3031" s="3" t="s">
        <v>161</v>
      </c>
      <c r="D3031" s="3" t="s">
        <v>274</v>
      </c>
      <c r="E3031" s="3">
        <v>20</v>
      </c>
      <c r="G3031" s="19"/>
    </row>
    <row r="3032" spans="1:7" ht="12.75" x14ac:dyDescent="0.2">
      <c r="A3032" s="3"/>
      <c r="B3032" s="4" t="s">
        <v>57</v>
      </c>
      <c r="C3032" s="3" t="s">
        <v>161</v>
      </c>
      <c r="D3032" s="3" t="s">
        <v>315</v>
      </c>
      <c r="E3032" s="3">
        <v>53</v>
      </c>
      <c r="G3032" s="19"/>
    </row>
    <row r="3033" spans="1:7" ht="12.75" x14ac:dyDescent="0.2">
      <c r="A3033" s="3"/>
      <c r="B3033" s="4" t="s">
        <v>57</v>
      </c>
      <c r="C3033" s="3" t="s">
        <v>161</v>
      </c>
      <c r="D3033" s="3" t="s">
        <v>149</v>
      </c>
      <c r="E3033" s="3">
        <v>371</v>
      </c>
      <c r="G3033" s="19"/>
    </row>
    <row r="3034" spans="1:7" ht="12.75" x14ac:dyDescent="0.2">
      <c r="A3034" s="3"/>
      <c r="B3034" s="4" t="s">
        <v>57</v>
      </c>
      <c r="C3034" s="3" t="s">
        <v>161</v>
      </c>
      <c r="D3034" s="3" t="s">
        <v>128</v>
      </c>
      <c r="E3034" s="3">
        <v>2592</v>
      </c>
      <c r="G3034" s="19"/>
    </row>
    <row r="3035" spans="1:7" ht="12.75" x14ac:dyDescent="0.2">
      <c r="A3035" s="3"/>
      <c r="B3035" s="4" t="s">
        <v>57</v>
      </c>
      <c r="C3035" s="3" t="s">
        <v>161</v>
      </c>
      <c r="D3035" s="3" t="s">
        <v>275</v>
      </c>
      <c r="E3035" s="3">
        <v>20</v>
      </c>
      <c r="G3035" s="19"/>
    </row>
    <row r="3036" spans="1:7" ht="12.75" x14ac:dyDescent="0.2">
      <c r="A3036" s="3"/>
      <c r="B3036" s="4" t="s">
        <v>57</v>
      </c>
      <c r="C3036" s="3" t="s">
        <v>161</v>
      </c>
      <c r="D3036" s="3" t="s">
        <v>305</v>
      </c>
      <c r="E3036" s="3">
        <v>193</v>
      </c>
      <c r="G3036" s="19"/>
    </row>
    <row r="3037" spans="1:7" ht="12.75" x14ac:dyDescent="0.2">
      <c r="A3037" s="3"/>
      <c r="B3037" s="4" t="s">
        <v>57</v>
      </c>
      <c r="C3037" s="3" t="s">
        <v>161</v>
      </c>
      <c r="D3037" s="3" t="s">
        <v>14</v>
      </c>
      <c r="E3037" s="3">
        <v>675</v>
      </c>
      <c r="G3037" s="19"/>
    </row>
    <row r="3038" spans="1:7" ht="12.75" x14ac:dyDescent="0.2">
      <c r="A3038" s="3"/>
      <c r="B3038" s="4" t="s">
        <v>57</v>
      </c>
      <c r="C3038" s="3" t="s">
        <v>161</v>
      </c>
      <c r="D3038" s="3" t="s">
        <v>138</v>
      </c>
      <c r="E3038" s="3">
        <v>49</v>
      </c>
      <c r="F3038">
        <f>SUM(E3030:E3038)</f>
        <v>7197</v>
      </c>
      <c r="G3038" s="19"/>
    </row>
    <row r="3039" spans="1:7" ht="12.75" x14ac:dyDescent="0.2">
      <c r="A3039" s="3"/>
      <c r="B3039" s="4" t="s">
        <v>102</v>
      </c>
      <c r="C3039" s="3" t="s">
        <v>162</v>
      </c>
      <c r="D3039" s="3" t="s">
        <v>3</v>
      </c>
      <c r="E3039" s="3">
        <v>473</v>
      </c>
      <c r="G3039" s="19"/>
    </row>
    <row r="3040" spans="1:7" ht="12.75" x14ac:dyDescent="0.2">
      <c r="A3040" s="3"/>
      <c r="B3040" s="4" t="s">
        <v>102</v>
      </c>
      <c r="C3040" s="3" t="s">
        <v>162</v>
      </c>
      <c r="D3040" s="3" t="s">
        <v>274</v>
      </c>
      <c r="E3040" s="3">
        <v>2</v>
      </c>
      <c r="G3040" s="19"/>
    </row>
    <row r="3041" spans="1:7" ht="12.75" x14ac:dyDescent="0.2">
      <c r="A3041" s="3"/>
      <c r="B3041" s="4" t="s">
        <v>102</v>
      </c>
      <c r="C3041" s="3" t="s">
        <v>162</v>
      </c>
      <c r="D3041" s="3" t="s">
        <v>315</v>
      </c>
      <c r="E3041" s="3">
        <v>6</v>
      </c>
      <c r="G3041" s="19"/>
    </row>
    <row r="3042" spans="1:7" ht="12.75" x14ac:dyDescent="0.2">
      <c r="A3042" s="3"/>
      <c r="B3042" s="4" t="s">
        <v>102</v>
      </c>
      <c r="C3042" s="3" t="s">
        <v>162</v>
      </c>
      <c r="D3042" s="3" t="s">
        <v>149</v>
      </c>
      <c r="E3042" s="3">
        <v>11</v>
      </c>
      <c r="G3042" s="19"/>
    </row>
    <row r="3043" spans="1:7" ht="12.75" x14ac:dyDescent="0.2">
      <c r="A3043" s="3"/>
      <c r="B3043" s="4" t="s">
        <v>102</v>
      </c>
      <c r="C3043" s="3" t="s">
        <v>162</v>
      </c>
      <c r="D3043" s="3" t="s">
        <v>128</v>
      </c>
      <c r="E3043" s="3">
        <v>468</v>
      </c>
      <c r="G3043" s="19"/>
    </row>
    <row r="3044" spans="1:7" ht="12.75" x14ac:dyDescent="0.2">
      <c r="A3044" s="3"/>
      <c r="B3044" s="4" t="s">
        <v>102</v>
      </c>
      <c r="C3044" s="3" t="s">
        <v>162</v>
      </c>
      <c r="D3044" s="3" t="s">
        <v>275</v>
      </c>
      <c r="E3044" s="3">
        <v>3</v>
      </c>
      <c r="G3044" s="19"/>
    </row>
    <row r="3045" spans="1:7" ht="12.75" x14ac:dyDescent="0.2">
      <c r="A3045" s="3"/>
      <c r="B3045" s="4" t="s">
        <v>102</v>
      </c>
      <c r="C3045" s="3" t="s">
        <v>162</v>
      </c>
      <c r="D3045" s="3" t="s">
        <v>305</v>
      </c>
      <c r="E3045" s="3">
        <v>17</v>
      </c>
      <c r="G3045" s="19"/>
    </row>
    <row r="3046" spans="1:7" ht="12.75" x14ac:dyDescent="0.2">
      <c r="A3046" s="3"/>
      <c r="B3046" s="4" t="s">
        <v>102</v>
      </c>
      <c r="C3046" s="3" t="s">
        <v>162</v>
      </c>
      <c r="D3046" s="3" t="s">
        <v>14</v>
      </c>
      <c r="E3046" s="3">
        <v>57</v>
      </c>
      <c r="G3046" s="19"/>
    </row>
    <row r="3047" spans="1:7" ht="12.75" x14ac:dyDescent="0.2">
      <c r="A3047" s="3"/>
      <c r="B3047" s="4" t="s">
        <v>102</v>
      </c>
      <c r="C3047" s="3" t="s">
        <v>162</v>
      </c>
      <c r="D3047" s="3" t="s">
        <v>138</v>
      </c>
      <c r="E3047" s="3">
        <v>7</v>
      </c>
      <c r="F3047">
        <f>SUM(E3039:E3047)</f>
        <v>1044</v>
      </c>
      <c r="G3047" s="19"/>
    </row>
    <row r="3048" spans="1:7" ht="12.75" x14ac:dyDescent="0.2">
      <c r="A3048" s="3"/>
      <c r="B3048" s="4" t="s">
        <v>102</v>
      </c>
      <c r="C3048" s="3" t="s">
        <v>161</v>
      </c>
      <c r="D3048" s="3" t="s">
        <v>3</v>
      </c>
      <c r="E3048" s="3">
        <v>384</v>
      </c>
      <c r="G3048" s="19"/>
    </row>
    <row r="3049" spans="1:7" ht="12.75" x14ac:dyDescent="0.2">
      <c r="A3049" s="3"/>
      <c r="B3049" s="4" t="s">
        <v>102</v>
      </c>
      <c r="C3049" s="3" t="s">
        <v>161</v>
      </c>
      <c r="D3049" s="3" t="s">
        <v>274</v>
      </c>
      <c r="E3049" s="3">
        <v>2</v>
      </c>
      <c r="G3049" s="19"/>
    </row>
    <row r="3050" spans="1:7" ht="12.75" x14ac:dyDescent="0.2">
      <c r="A3050" s="3"/>
      <c r="B3050" s="4" t="s">
        <v>102</v>
      </c>
      <c r="C3050" s="3" t="s">
        <v>161</v>
      </c>
      <c r="D3050" s="3" t="s">
        <v>315</v>
      </c>
      <c r="E3050" s="3">
        <v>62</v>
      </c>
      <c r="G3050" s="19"/>
    </row>
    <row r="3051" spans="1:7" ht="12.75" x14ac:dyDescent="0.2">
      <c r="A3051" s="3"/>
      <c r="B3051" s="4" t="s">
        <v>102</v>
      </c>
      <c r="C3051" s="3" t="s">
        <v>161</v>
      </c>
      <c r="D3051" s="3" t="s">
        <v>149</v>
      </c>
      <c r="E3051" s="3">
        <v>33</v>
      </c>
      <c r="G3051" s="19"/>
    </row>
    <row r="3052" spans="1:7" ht="12.75" x14ac:dyDescent="0.2">
      <c r="A3052" s="3"/>
      <c r="B3052" s="4" t="s">
        <v>102</v>
      </c>
      <c r="C3052" s="3" t="s">
        <v>161</v>
      </c>
      <c r="D3052" s="3" t="s">
        <v>128</v>
      </c>
      <c r="E3052" s="3">
        <v>451</v>
      </c>
      <c r="G3052" s="19"/>
    </row>
    <row r="3053" spans="1:7" ht="12.75" x14ac:dyDescent="0.2">
      <c r="A3053" s="3"/>
      <c r="B3053" s="4" t="s">
        <v>102</v>
      </c>
      <c r="C3053" s="3" t="s">
        <v>161</v>
      </c>
      <c r="D3053" s="3" t="s">
        <v>275</v>
      </c>
      <c r="E3053" s="3">
        <v>3</v>
      </c>
      <c r="G3053" s="19"/>
    </row>
    <row r="3054" spans="1:7" ht="12.75" x14ac:dyDescent="0.2">
      <c r="A3054" s="3"/>
      <c r="B3054" s="4" t="s">
        <v>102</v>
      </c>
      <c r="C3054" s="3" t="s">
        <v>161</v>
      </c>
      <c r="D3054" s="3" t="s">
        <v>305</v>
      </c>
      <c r="E3054" s="3">
        <v>18</v>
      </c>
      <c r="G3054" s="19"/>
    </row>
    <row r="3055" spans="1:7" ht="12.75" x14ac:dyDescent="0.2">
      <c r="A3055" s="3"/>
      <c r="B3055" s="4" t="s">
        <v>102</v>
      </c>
      <c r="C3055" s="3" t="s">
        <v>161</v>
      </c>
      <c r="D3055" s="3" t="s">
        <v>14</v>
      </c>
      <c r="E3055" s="3">
        <v>82</v>
      </c>
      <c r="G3055" s="19"/>
    </row>
    <row r="3056" spans="1:7" ht="12.75" x14ac:dyDescent="0.2">
      <c r="A3056" s="3"/>
      <c r="B3056" s="4" t="s">
        <v>102</v>
      </c>
      <c r="C3056" s="3" t="s">
        <v>161</v>
      </c>
      <c r="D3056" s="3" t="s">
        <v>138</v>
      </c>
      <c r="E3056" s="3">
        <v>9</v>
      </c>
      <c r="F3056">
        <f>SUM(E3048:E3056)</f>
        <v>1044</v>
      </c>
      <c r="G3056" s="19"/>
    </row>
    <row r="3057" spans="1:7" ht="12.75" x14ac:dyDescent="0.2">
      <c r="A3057" s="3"/>
      <c r="B3057" s="4" t="s">
        <v>45</v>
      </c>
      <c r="C3057" s="3" t="s">
        <v>162</v>
      </c>
      <c r="D3057" s="3" t="s">
        <v>3</v>
      </c>
      <c r="E3057" s="3">
        <v>17</v>
      </c>
      <c r="G3057" s="19"/>
    </row>
    <row r="3058" spans="1:7" ht="12.75" x14ac:dyDescent="0.2">
      <c r="A3058" s="3"/>
      <c r="B3058" s="4" t="s">
        <v>45</v>
      </c>
      <c r="C3058" s="3" t="s">
        <v>162</v>
      </c>
      <c r="D3058" s="3" t="s">
        <v>305</v>
      </c>
      <c r="E3058" s="3">
        <v>1</v>
      </c>
      <c r="G3058" s="19"/>
    </row>
    <row r="3059" spans="1:7" ht="12.75" x14ac:dyDescent="0.2">
      <c r="A3059" s="3"/>
      <c r="B3059" s="4" t="s">
        <v>45</v>
      </c>
      <c r="C3059" s="3" t="s">
        <v>162</v>
      </c>
      <c r="D3059" s="3" t="s">
        <v>14</v>
      </c>
      <c r="E3059" s="3">
        <v>1</v>
      </c>
      <c r="F3059">
        <f>SUM(E3057:E3059)</f>
        <v>19</v>
      </c>
      <c r="G3059" s="19"/>
    </row>
    <row r="3060" spans="1:7" ht="12.75" x14ac:dyDescent="0.2">
      <c r="A3060" s="3"/>
      <c r="B3060" s="4" t="s">
        <v>45</v>
      </c>
      <c r="C3060" s="3" t="s">
        <v>161</v>
      </c>
      <c r="D3060" s="3" t="s">
        <v>3</v>
      </c>
      <c r="E3060" s="3">
        <v>16</v>
      </c>
      <c r="G3060" s="19"/>
    </row>
    <row r="3061" spans="1:7" ht="12.75" x14ac:dyDescent="0.2">
      <c r="A3061" s="3"/>
      <c r="B3061" s="4" t="s">
        <v>45</v>
      </c>
      <c r="C3061" s="3" t="s">
        <v>161</v>
      </c>
      <c r="D3061" s="3" t="s">
        <v>305</v>
      </c>
      <c r="E3061" s="3">
        <v>1</v>
      </c>
      <c r="G3061" s="19"/>
    </row>
    <row r="3062" spans="1:7" ht="12.75" x14ac:dyDescent="0.2">
      <c r="A3062" s="3"/>
      <c r="B3062" s="4" t="s">
        <v>45</v>
      </c>
      <c r="C3062" s="3" t="s">
        <v>161</v>
      </c>
      <c r="D3062" s="3" t="s">
        <v>14</v>
      </c>
      <c r="E3062" s="3">
        <v>2</v>
      </c>
      <c r="F3062">
        <f>SUM(E3060:E3062)</f>
        <v>19</v>
      </c>
      <c r="G3062" s="19"/>
    </row>
    <row r="3063" spans="1:7" ht="12.75" x14ac:dyDescent="0.2">
      <c r="A3063" s="3"/>
      <c r="B3063" s="4" t="s">
        <v>103</v>
      </c>
      <c r="C3063" s="3" t="s">
        <v>162</v>
      </c>
      <c r="D3063" s="3" t="s">
        <v>3</v>
      </c>
      <c r="E3063" s="3">
        <v>82</v>
      </c>
      <c r="G3063" s="19"/>
    </row>
    <row r="3064" spans="1:7" ht="12.75" x14ac:dyDescent="0.2">
      <c r="A3064" s="3"/>
      <c r="B3064" s="4" t="s">
        <v>103</v>
      </c>
      <c r="C3064" s="3" t="s">
        <v>162</v>
      </c>
      <c r="D3064" s="3" t="s">
        <v>149</v>
      </c>
      <c r="E3064" s="3">
        <v>7</v>
      </c>
      <c r="G3064" s="19"/>
    </row>
    <row r="3065" spans="1:7" ht="12.75" x14ac:dyDescent="0.2">
      <c r="A3065" s="3"/>
      <c r="B3065" s="4" t="s">
        <v>103</v>
      </c>
      <c r="C3065" s="3" t="s">
        <v>162</v>
      </c>
      <c r="D3065" s="3" t="s">
        <v>128</v>
      </c>
      <c r="E3065" s="3">
        <v>52</v>
      </c>
      <c r="G3065" s="19"/>
    </row>
    <row r="3066" spans="1:7" ht="12.75" x14ac:dyDescent="0.2">
      <c r="A3066" s="3"/>
      <c r="B3066" s="4" t="s">
        <v>103</v>
      </c>
      <c r="C3066" s="3" t="s">
        <v>162</v>
      </c>
      <c r="D3066" s="3" t="s">
        <v>305</v>
      </c>
      <c r="E3066" s="3">
        <v>3</v>
      </c>
      <c r="G3066" s="19"/>
    </row>
    <row r="3067" spans="1:7" ht="12.75" x14ac:dyDescent="0.2">
      <c r="A3067" s="3"/>
      <c r="B3067" s="4" t="s">
        <v>103</v>
      </c>
      <c r="C3067" s="3" t="s">
        <v>162</v>
      </c>
      <c r="D3067" s="3" t="s">
        <v>14</v>
      </c>
      <c r="E3067" s="3">
        <v>19</v>
      </c>
      <c r="F3067">
        <f>SUM(E3063:E3067)</f>
        <v>163</v>
      </c>
      <c r="G3067" s="19"/>
    </row>
    <row r="3068" spans="1:7" ht="12.75" x14ac:dyDescent="0.2">
      <c r="A3068" s="3"/>
      <c r="B3068" s="4" t="s">
        <v>103</v>
      </c>
      <c r="C3068" s="3" t="s">
        <v>161</v>
      </c>
      <c r="D3068" s="3" t="s">
        <v>3</v>
      </c>
      <c r="E3068" s="3">
        <v>85</v>
      </c>
      <c r="G3068" s="19"/>
    </row>
    <row r="3069" spans="1:7" ht="12.75" x14ac:dyDescent="0.2">
      <c r="A3069" s="3"/>
      <c r="B3069" s="4" t="s">
        <v>103</v>
      </c>
      <c r="C3069" s="3" t="s">
        <v>161</v>
      </c>
      <c r="D3069" s="3" t="s">
        <v>149</v>
      </c>
      <c r="E3069" s="3">
        <v>7</v>
      </c>
      <c r="G3069" s="19"/>
    </row>
    <row r="3070" spans="1:7" ht="12.75" x14ac:dyDescent="0.2">
      <c r="A3070" s="3"/>
      <c r="B3070" s="4" t="s">
        <v>103</v>
      </c>
      <c r="C3070" s="3" t="s">
        <v>161</v>
      </c>
      <c r="D3070" s="3" t="s">
        <v>128</v>
      </c>
      <c r="E3070" s="3">
        <v>46</v>
      </c>
      <c r="G3070" s="19"/>
    </row>
    <row r="3071" spans="1:7" ht="12.75" x14ac:dyDescent="0.2">
      <c r="A3071" s="3"/>
      <c r="B3071" s="4" t="s">
        <v>103</v>
      </c>
      <c r="C3071" s="3" t="s">
        <v>161</v>
      </c>
      <c r="D3071" s="3" t="s">
        <v>305</v>
      </c>
      <c r="E3071" s="3">
        <v>3</v>
      </c>
      <c r="G3071" s="19"/>
    </row>
    <row r="3072" spans="1:7" ht="12.75" x14ac:dyDescent="0.2">
      <c r="A3072" s="3"/>
      <c r="B3072" s="4" t="s">
        <v>103</v>
      </c>
      <c r="C3072" s="3" t="s">
        <v>161</v>
      </c>
      <c r="D3072" s="3" t="s">
        <v>14</v>
      </c>
      <c r="E3072" s="3">
        <v>22</v>
      </c>
      <c r="F3072">
        <f>SUM(E3068:E3072)</f>
        <v>163</v>
      </c>
      <c r="G3072" s="19"/>
    </row>
    <row r="3073" spans="1:7" ht="12.75" x14ac:dyDescent="0.2">
      <c r="A3073" s="3"/>
      <c r="B3073" s="4" t="s">
        <v>62</v>
      </c>
      <c r="C3073" s="3" t="s">
        <v>162</v>
      </c>
      <c r="D3073" s="3" t="s">
        <v>3</v>
      </c>
      <c r="E3073" s="3">
        <v>224</v>
      </c>
      <c r="G3073" s="19"/>
    </row>
    <row r="3074" spans="1:7" ht="12.75" x14ac:dyDescent="0.2">
      <c r="A3074" s="3"/>
      <c r="B3074" s="4" t="s">
        <v>62</v>
      </c>
      <c r="C3074" s="3" t="s">
        <v>162</v>
      </c>
      <c r="D3074" s="3" t="s">
        <v>149</v>
      </c>
      <c r="E3074" s="3">
        <v>1</v>
      </c>
      <c r="G3074" s="19"/>
    </row>
    <row r="3075" spans="1:7" ht="12.75" x14ac:dyDescent="0.2">
      <c r="A3075" s="3"/>
      <c r="B3075" s="4" t="s">
        <v>62</v>
      </c>
      <c r="C3075" s="3" t="s">
        <v>162</v>
      </c>
      <c r="D3075" s="3" t="s">
        <v>128</v>
      </c>
      <c r="E3075" s="3">
        <v>22</v>
      </c>
      <c r="G3075" s="19"/>
    </row>
    <row r="3076" spans="1:7" ht="12.75" x14ac:dyDescent="0.2">
      <c r="A3076" s="3"/>
      <c r="B3076" s="4" t="s">
        <v>62</v>
      </c>
      <c r="C3076" s="3" t="s">
        <v>162</v>
      </c>
      <c r="D3076" s="3" t="s">
        <v>14</v>
      </c>
      <c r="E3076" s="3">
        <v>13</v>
      </c>
      <c r="G3076" s="19"/>
    </row>
    <row r="3077" spans="1:7" ht="12.75" x14ac:dyDescent="0.2">
      <c r="A3077" s="3"/>
      <c r="B3077" s="4" t="s">
        <v>62</v>
      </c>
      <c r="C3077" s="3" t="s">
        <v>162</v>
      </c>
      <c r="D3077" s="3" t="s">
        <v>138</v>
      </c>
      <c r="E3077" s="3">
        <v>6</v>
      </c>
      <c r="F3077">
        <f>SUM(E3073:E3077)</f>
        <v>266</v>
      </c>
      <c r="G3077" s="19"/>
    </row>
    <row r="3078" spans="1:7" ht="12.75" x14ac:dyDescent="0.2">
      <c r="A3078" s="3"/>
      <c r="B3078" s="4" t="s">
        <v>62</v>
      </c>
      <c r="C3078" s="3" t="s">
        <v>161</v>
      </c>
      <c r="D3078" s="3" t="s">
        <v>3</v>
      </c>
      <c r="E3078" s="3">
        <v>215</v>
      </c>
      <c r="G3078" s="19"/>
    </row>
    <row r="3079" spans="1:7" ht="12.75" x14ac:dyDescent="0.2">
      <c r="A3079" s="3"/>
      <c r="B3079" s="4" t="s">
        <v>62</v>
      </c>
      <c r="C3079" s="3" t="s">
        <v>161</v>
      </c>
      <c r="D3079" s="3" t="s">
        <v>149</v>
      </c>
      <c r="E3079" s="3">
        <v>1</v>
      </c>
      <c r="G3079" s="19"/>
    </row>
    <row r="3080" spans="1:7" ht="12.75" x14ac:dyDescent="0.2">
      <c r="A3080" s="3"/>
      <c r="B3080" s="4" t="s">
        <v>62</v>
      </c>
      <c r="C3080" s="3" t="s">
        <v>161</v>
      </c>
      <c r="D3080" s="3" t="s">
        <v>128</v>
      </c>
      <c r="E3080" s="3">
        <v>23</v>
      </c>
      <c r="G3080" s="19"/>
    </row>
    <row r="3081" spans="1:7" ht="12.75" x14ac:dyDescent="0.2">
      <c r="A3081" s="3"/>
      <c r="B3081" s="4" t="s">
        <v>62</v>
      </c>
      <c r="C3081" s="3" t="s">
        <v>161</v>
      </c>
      <c r="D3081" s="3" t="s">
        <v>14</v>
      </c>
      <c r="E3081" s="3">
        <v>21</v>
      </c>
      <c r="G3081" s="19"/>
    </row>
    <row r="3082" spans="1:7" ht="12.75" x14ac:dyDescent="0.2">
      <c r="A3082" s="3"/>
      <c r="B3082" s="4" t="s">
        <v>62</v>
      </c>
      <c r="C3082" s="3" t="s">
        <v>161</v>
      </c>
      <c r="D3082" s="3" t="s">
        <v>138</v>
      </c>
      <c r="E3082" s="3">
        <v>6</v>
      </c>
      <c r="F3082">
        <f>SUM(E3078:E3082)</f>
        <v>266</v>
      </c>
      <c r="G3082" s="19"/>
    </row>
    <row r="3083" spans="1:7" ht="12.75" x14ac:dyDescent="0.2">
      <c r="A3083" s="3"/>
      <c r="B3083" s="4" t="s">
        <v>113</v>
      </c>
      <c r="C3083" s="3" t="s">
        <v>162</v>
      </c>
      <c r="D3083" s="3" t="s">
        <v>3</v>
      </c>
      <c r="E3083" s="3">
        <v>3272</v>
      </c>
      <c r="G3083" s="19"/>
    </row>
    <row r="3084" spans="1:7" ht="12.75" x14ac:dyDescent="0.2">
      <c r="A3084" s="3"/>
      <c r="B3084" s="4" t="s">
        <v>113</v>
      </c>
      <c r="C3084" s="3" t="s">
        <v>162</v>
      </c>
      <c r="D3084" s="3" t="s">
        <v>274</v>
      </c>
      <c r="E3084" s="3">
        <v>42</v>
      </c>
      <c r="G3084" s="19"/>
    </row>
    <row r="3085" spans="1:7" ht="12.75" x14ac:dyDescent="0.2">
      <c r="A3085" s="3"/>
      <c r="B3085" s="4" t="s">
        <v>113</v>
      </c>
      <c r="C3085" s="3" t="s">
        <v>162</v>
      </c>
      <c r="D3085" s="3" t="s">
        <v>315</v>
      </c>
      <c r="E3085" s="3">
        <v>47</v>
      </c>
      <c r="G3085" s="19"/>
    </row>
    <row r="3086" spans="1:7" ht="12.75" x14ac:dyDescent="0.2">
      <c r="A3086" s="3"/>
      <c r="B3086" s="4" t="s">
        <v>113</v>
      </c>
      <c r="C3086" s="3" t="s">
        <v>162</v>
      </c>
      <c r="D3086" s="3" t="s">
        <v>149</v>
      </c>
      <c r="E3086" s="3">
        <v>629</v>
      </c>
      <c r="G3086" s="19"/>
    </row>
    <row r="3087" spans="1:7" ht="12.75" x14ac:dyDescent="0.2">
      <c r="A3087" s="3"/>
      <c r="B3087" s="4" t="s">
        <v>113</v>
      </c>
      <c r="C3087" s="3" t="s">
        <v>162</v>
      </c>
      <c r="D3087" s="3" t="s">
        <v>128</v>
      </c>
      <c r="E3087" s="3">
        <v>2390</v>
      </c>
      <c r="G3087" s="19"/>
    </row>
    <row r="3088" spans="1:7" ht="12.75" x14ac:dyDescent="0.2">
      <c r="A3088" s="3"/>
      <c r="B3088" s="4" t="s">
        <v>113</v>
      </c>
      <c r="C3088" s="3" t="s">
        <v>162</v>
      </c>
      <c r="D3088" s="3" t="s">
        <v>275</v>
      </c>
      <c r="E3088" s="3">
        <v>33</v>
      </c>
      <c r="G3088" s="19"/>
    </row>
    <row r="3089" spans="1:7" ht="12.75" x14ac:dyDescent="0.2">
      <c r="A3089" s="3"/>
      <c r="B3089" s="4" t="s">
        <v>113</v>
      </c>
      <c r="C3089" s="3" t="s">
        <v>162</v>
      </c>
      <c r="D3089" s="3" t="s">
        <v>305</v>
      </c>
      <c r="E3089" s="3">
        <v>332</v>
      </c>
      <c r="G3089" s="19"/>
    </row>
    <row r="3090" spans="1:7" ht="12.75" x14ac:dyDescent="0.2">
      <c r="A3090" s="3"/>
      <c r="B3090" s="4" t="s">
        <v>113</v>
      </c>
      <c r="C3090" s="3" t="s">
        <v>162</v>
      </c>
      <c r="D3090" s="3" t="s">
        <v>14</v>
      </c>
      <c r="E3090" s="3">
        <v>1979</v>
      </c>
      <c r="G3090" s="19"/>
    </row>
    <row r="3091" spans="1:7" ht="12.75" x14ac:dyDescent="0.2">
      <c r="A3091" s="3"/>
      <c r="B3091" s="4" t="s">
        <v>113</v>
      </c>
      <c r="C3091" s="3" t="s">
        <v>162</v>
      </c>
      <c r="D3091" s="3" t="s">
        <v>138</v>
      </c>
      <c r="E3091" s="3">
        <v>111</v>
      </c>
      <c r="F3091">
        <f>SUM(E3083:E3091)</f>
        <v>8835</v>
      </c>
      <c r="G3091" s="19"/>
    </row>
    <row r="3092" spans="1:7" ht="12.75" x14ac:dyDescent="0.2">
      <c r="A3092" s="3"/>
      <c r="B3092" s="4" t="s">
        <v>113</v>
      </c>
      <c r="C3092" s="3" t="s">
        <v>161</v>
      </c>
      <c r="D3092" s="3" t="s">
        <v>3</v>
      </c>
      <c r="E3092" s="3">
        <v>2768</v>
      </c>
      <c r="G3092" s="19"/>
    </row>
    <row r="3093" spans="1:7" ht="12.75" x14ac:dyDescent="0.2">
      <c r="A3093" s="3"/>
      <c r="B3093" s="4" t="s">
        <v>113</v>
      </c>
      <c r="C3093" s="3" t="s">
        <v>161</v>
      </c>
      <c r="D3093" s="3" t="s">
        <v>274</v>
      </c>
      <c r="E3093" s="3">
        <v>40</v>
      </c>
      <c r="G3093" s="19"/>
    </row>
    <row r="3094" spans="1:7" ht="12.75" x14ac:dyDescent="0.2">
      <c r="A3094" s="3"/>
      <c r="B3094" s="4" t="s">
        <v>113</v>
      </c>
      <c r="C3094" s="3" t="s">
        <v>161</v>
      </c>
      <c r="D3094" s="3" t="s">
        <v>315</v>
      </c>
      <c r="E3094" s="3">
        <v>52</v>
      </c>
      <c r="G3094" s="19"/>
    </row>
    <row r="3095" spans="1:7" ht="12.75" x14ac:dyDescent="0.2">
      <c r="A3095" s="3"/>
      <c r="B3095" s="4" t="s">
        <v>113</v>
      </c>
      <c r="C3095" s="3" t="s">
        <v>161</v>
      </c>
      <c r="D3095" s="3" t="s">
        <v>149</v>
      </c>
      <c r="E3095" s="3">
        <v>574</v>
      </c>
      <c r="G3095" s="19"/>
    </row>
    <row r="3096" spans="1:7" ht="12.75" x14ac:dyDescent="0.2">
      <c r="A3096" s="3"/>
      <c r="B3096" s="4" t="s">
        <v>113</v>
      </c>
      <c r="C3096" s="3" t="s">
        <v>161</v>
      </c>
      <c r="D3096" s="3" t="s">
        <v>128</v>
      </c>
      <c r="E3096" s="3">
        <v>2256</v>
      </c>
      <c r="G3096" s="19"/>
    </row>
    <row r="3097" spans="1:7" ht="12.75" x14ac:dyDescent="0.2">
      <c r="A3097" s="3"/>
      <c r="B3097" s="4" t="s">
        <v>113</v>
      </c>
      <c r="C3097" s="3" t="s">
        <v>161</v>
      </c>
      <c r="D3097" s="3" t="s">
        <v>275</v>
      </c>
      <c r="E3097" s="3">
        <v>32</v>
      </c>
      <c r="G3097" s="19"/>
    </row>
    <row r="3098" spans="1:7" ht="12.75" x14ac:dyDescent="0.2">
      <c r="A3098" s="3"/>
      <c r="B3098" s="4" t="s">
        <v>113</v>
      </c>
      <c r="C3098" s="3" t="s">
        <v>161</v>
      </c>
      <c r="D3098" s="3" t="s">
        <v>305</v>
      </c>
      <c r="E3098" s="3">
        <v>334</v>
      </c>
      <c r="G3098" s="19"/>
    </row>
    <row r="3099" spans="1:7" ht="12.75" x14ac:dyDescent="0.2">
      <c r="A3099" s="3"/>
      <c r="B3099" s="4" t="s">
        <v>113</v>
      </c>
      <c r="C3099" s="3" t="s">
        <v>161</v>
      </c>
      <c r="D3099" s="3" t="s">
        <v>14</v>
      </c>
      <c r="E3099" s="3">
        <v>2678</v>
      </c>
      <c r="G3099" s="19"/>
    </row>
    <row r="3100" spans="1:7" ht="12.75" x14ac:dyDescent="0.2">
      <c r="A3100" s="3"/>
      <c r="B3100" s="4" t="s">
        <v>113</v>
      </c>
      <c r="C3100" s="3" t="s">
        <v>161</v>
      </c>
      <c r="D3100" s="3" t="s">
        <v>138</v>
      </c>
      <c r="E3100" s="3">
        <v>101</v>
      </c>
      <c r="F3100">
        <f>SUM(E3092:E3100)</f>
        <v>8835</v>
      </c>
      <c r="G3100" s="19"/>
    </row>
    <row r="3101" spans="1:7" ht="12.75" x14ac:dyDescent="0.2">
      <c r="A3101" s="3"/>
      <c r="B3101" s="4" t="s">
        <v>65</v>
      </c>
      <c r="C3101" s="3" t="s">
        <v>162</v>
      </c>
      <c r="D3101" s="3" t="s">
        <v>3</v>
      </c>
      <c r="E3101" s="3">
        <v>276</v>
      </c>
      <c r="G3101" s="19"/>
    </row>
    <row r="3102" spans="1:7" ht="12.75" x14ac:dyDescent="0.2">
      <c r="A3102" s="3"/>
      <c r="B3102" s="4" t="s">
        <v>65</v>
      </c>
      <c r="C3102" s="3" t="s">
        <v>162</v>
      </c>
      <c r="D3102" s="3" t="s">
        <v>274</v>
      </c>
      <c r="E3102" s="3">
        <v>1</v>
      </c>
      <c r="G3102" s="19"/>
    </row>
    <row r="3103" spans="1:7" ht="12.75" x14ac:dyDescent="0.2">
      <c r="A3103" s="3"/>
      <c r="B3103" s="4" t="s">
        <v>65</v>
      </c>
      <c r="C3103" s="3" t="s">
        <v>162</v>
      </c>
      <c r="D3103" s="3" t="s">
        <v>315</v>
      </c>
      <c r="E3103" s="3">
        <v>7</v>
      </c>
      <c r="G3103" s="19"/>
    </row>
    <row r="3104" spans="1:7" ht="12.75" x14ac:dyDescent="0.2">
      <c r="A3104" s="3"/>
      <c r="B3104" s="4" t="s">
        <v>65</v>
      </c>
      <c r="C3104" s="3" t="s">
        <v>162</v>
      </c>
      <c r="D3104" s="3" t="s">
        <v>149</v>
      </c>
      <c r="E3104" s="3">
        <v>8</v>
      </c>
      <c r="G3104" s="19"/>
    </row>
    <row r="3105" spans="1:7" ht="12.75" x14ac:dyDescent="0.2">
      <c r="A3105" s="3"/>
      <c r="B3105" s="4" t="s">
        <v>65</v>
      </c>
      <c r="C3105" s="3" t="s">
        <v>162</v>
      </c>
      <c r="D3105" s="3" t="s">
        <v>128</v>
      </c>
      <c r="E3105" s="3">
        <v>483</v>
      </c>
      <c r="G3105" s="19"/>
    </row>
    <row r="3106" spans="1:7" ht="12.75" x14ac:dyDescent="0.2">
      <c r="A3106" s="3"/>
      <c r="B3106" s="4" t="s">
        <v>65</v>
      </c>
      <c r="C3106" s="3" t="s">
        <v>162</v>
      </c>
      <c r="D3106" s="3" t="s">
        <v>305</v>
      </c>
      <c r="E3106" s="3">
        <v>7</v>
      </c>
      <c r="G3106" s="19"/>
    </row>
    <row r="3107" spans="1:7" ht="12.75" x14ac:dyDescent="0.2">
      <c r="A3107" s="3"/>
      <c r="B3107" s="4" t="s">
        <v>65</v>
      </c>
      <c r="C3107" s="3" t="s">
        <v>162</v>
      </c>
      <c r="D3107" s="3" t="s">
        <v>14</v>
      </c>
      <c r="E3107" s="3">
        <v>43</v>
      </c>
      <c r="G3107" s="19"/>
    </row>
    <row r="3108" spans="1:7" ht="12.75" x14ac:dyDescent="0.2">
      <c r="A3108" s="3"/>
      <c r="B3108" s="4" t="s">
        <v>65</v>
      </c>
      <c r="C3108" s="3" t="s">
        <v>162</v>
      </c>
      <c r="D3108" s="3" t="s">
        <v>138</v>
      </c>
      <c r="E3108" s="3">
        <v>6</v>
      </c>
      <c r="F3108">
        <f>SUM(E3101:E3108)</f>
        <v>831</v>
      </c>
      <c r="G3108" s="19"/>
    </row>
    <row r="3109" spans="1:7" ht="12.75" x14ac:dyDescent="0.2">
      <c r="A3109" s="3"/>
      <c r="B3109" s="4" t="s">
        <v>65</v>
      </c>
      <c r="C3109" s="3" t="s">
        <v>161</v>
      </c>
      <c r="D3109" s="3" t="s">
        <v>3</v>
      </c>
      <c r="E3109" s="3">
        <v>224</v>
      </c>
      <c r="G3109" s="19"/>
    </row>
    <row r="3110" spans="1:7" ht="12.75" x14ac:dyDescent="0.2">
      <c r="A3110" s="3"/>
      <c r="B3110" s="4" t="s">
        <v>65</v>
      </c>
      <c r="C3110" s="3" t="s">
        <v>161</v>
      </c>
      <c r="D3110" s="3" t="s">
        <v>274</v>
      </c>
      <c r="E3110" s="3">
        <v>1</v>
      </c>
      <c r="G3110" s="19"/>
    </row>
    <row r="3111" spans="1:7" ht="12.75" x14ac:dyDescent="0.2">
      <c r="A3111" s="3"/>
      <c r="B3111" s="4" t="s">
        <v>65</v>
      </c>
      <c r="C3111" s="3" t="s">
        <v>161</v>
      </c>
      <c r="D3111" s="3" t="s">
        <v>315</v>
      </c>
      <c r="E3111" s="3">
        <v>8</v>
      </c>
      <c r="G3111" s="19"/>
    </row>
    <row r="3112" spans="1:7" ht="12.75" x14ac:dyDescent="0.2">
      <c r="A3112" s="3"/>
      <c r="B3112" s="4" t="s">
        <v>65</v>
      </c>
      <c r="C3112" s="3" t="s">
        <v>161</v>
      </c>
      <c r="D3112" s="3" t="s">
        <v>149</v>
      </c>
      <c r="E3112" s="3">
        <v>8</v>
      </c>
      <c r="G3112" s="19"/>
    </row>
    <row r="3113" spans="1:7" ht="12.75" x14ac:dyDescent="0.2">
      <c r="A3113" s="3"/>
      <c r="B3113" s="4" t="s">
        <v>65</v>
      </c>
      <c r="C3113" s="3" t="s">
        <v>161</v>
      </c>
      <c r="D3113" s="3" t="s">
        <v>128</v>
      </c>
      <c r="E3113" s="3">
        <v>493</v>
      </c>
      <c r="G3113" s="19"/>
    </row>
    <row r="3114" spans="1:7" ht="12.75" x14ac:dyDescent="0.2">
      <c r="A3114" s="3"/>
      <c r="B3114" s="4" t="s">
        <v>65</v>
      </c>
      <c r="C3114" s="3" t="s">
        <v>161</v>
      </c>
      <c r="D3114" s="3" t="s">
        <v>305</v>
      </c>
      <c r="E3114" s="3">
        <v>5</v>
      </c>
      <c r="G3114" s="19"/>
    </row>
    <row r="3115" spans="1:7" ht="12.75" x14ac:dyDescent="0.2">
      <c r="A3115" s="3"/>
      <c r="B3115" s="4" t="s">
        <v>65</v>
      </c>
      <c r="C3115" s="3" t="s">
        <v>161</v>
      </c>
      <c r="D3115" s="3" t="s">
        <v>14</v>
      </c>
      <c r="E3115" s="3">
        <v>82</v>
      </c>
      <c r="G3115" s="19"/>
    </row>
    <row r="3116" spans="1:7" ht="12.75" x14ac:dyDescent="0.2">
      <c r="A3116" s="3"/>
      <c r="B3116" s="4" t="s">
        <v>65</v>
      </c>
      <c r="C3116" s="3" t="s">
        <v>161</v>
      </c>
      <c r="D3116" s="3" t="s">
        <v>138</v>
      </c>
      <c r="E3116" s="3">
        <v>10</v>
      </c>
      <c r="F3116">
        <f>SUM(E3109:E3116)</f>
        <v>831</v>
      </c>
      <c r="G3116" s="19"/>
    </row>
    <row r="3117" spans="1:7" ht="12.75" x14ac:dyDescent="0.2">
      <c r="A3117" s="3"/>
      <c r="B3117" s="4" t="s">
        <v>84</v>
      </c>
      <c r="C3117" s="3" t="s">
        <v>162</v>
      </c>
      <c r="D3117" s="3" t="s">
        <v>3</v>
      </c>
      <c r="E3117" s="3">
        <v>19980</v>
      </c>
      <c r="G3117" s="19"/>
    </row>
    <row r="3118" spans="1:7" ht="12.75" x14ac:dyDescent="0.2">
      <c r="A3118" s="3"/>
      <c r="B3118" s="4" t="s">
        <v>84</v>
      </c>
      <c r="C3118" s="3" t="s">
        <v>162</v>
      </c>
      <c r="D3118" s="3" t="s">
        <v>274</v>
      </c>
      <c r="E3118" s="3">
        <v>384</v>
      </c>
      <c r="G3118" s="19"/>
    </row>
    <row r="3119" spans="1:7" ht="12.75" x14ac:dyDescent="0.2">
      <c r="A3119" s="3"/>
      <c r="B3119" s="4" t="s">
        <v>84</v>
      </c>
      <c r="C3119" s="3" t="s">
        <v>162</v>
      </c>
      <c r="D3119" s="3" t="s">
        <v>315</v>
      </c>
      <c r="E3119" s="3">
        <v>658</v>
      </c>
      <c r="G3119" s="19"/>
    </row>
    <row r="3120" spans="1:7" ht="12.75" x14ac:dyDescent="0.2">
      <c r="A3120" s="3"/>
      <c r="B3120" s="4" t="s">
        <v>84</v>
      </c>
      <c r="C3120" s="3" t="s">
        <v>162</v>
      </c>
      <c r="D3120" s="3" t="s">
        <v>149</v>
      </c>
      <c r="E3120" s="3">
        <v>3500</v>
      </c>
      <c r="G3120" s="19"/>
    </row>
    <row r="3121" spans="1:7" ht="12.75" x14ac:dyDescent="0.2">
      <c r="A3121" s="3"/>
      <c r="B3121" s="4" t="s">
        <v>84</v>
      </c>
      <c r="C3121" s="3" t="s">
        <v>162</v>
      </c>
      <c r="D3121" s="3" t="s">
        <v>128</v>
      </c>
      <c r="E3121" s="3">
        <v>8241</v>
      </c>
      <c r="G3121" s="19"/>
    </row>
    <row r="3122" spans="1:7" ht="12.75" x14ac:dyDescent="0.2">
      <c r="A3122" s="3"/>
      <c r="B3122" s="4" t="s">
        <v>84</v>
      </c>
      <c r="C3122" s="3" t="s">
        <v>162</v>
      </c>
      <c r="D3122" s="3" t="s">
        <v>275</v>
      </c>
      <c r="E3122" s="3">
        <v>413</v>
      </c>
      <c r="G3122" s="19"/>
    </row>
    <row r="3123" spans="1:7" ht="12.75" x14ac:dyDescent="0.2">
      <c r="A3123" s="3"/>
      <c r="B3123" s="4" t="s">
        <v>84</v>
      </c>
      <c r="C3123" s="3" t="s">
        <v>162</v>
      </c>
      <c r="D3123" s="3" t="s">
        <v>305</v>
      </c>
      <c r="E3123" s="3">
        <v>2124</v>
      </c>
      <c r="G3123" s="19"/>
    </row>
    <row r="3124" spans="1:7" ht="12.75" x14ac:dyDescent="0.2">
      <c r="A3124" s="3"/>
      <c r="B3124" s="4" t="s">
        <v>84</v>
      </c>
      <c r="C3124" s="3" t="s">
        <v>162</v>
      </c>
      <c r="D3124" s="3" t="s">
        <v>14</v>
      </c>
      <c r="E3124" s="3">
        <v>3976</v>
      </c>
      <c r="G3124" s="19"/>
    </row>
    <row r="3125" spans="1:7" ht="12.75" x14ac:dyDescent="0.2">
      <c r="A3125" s="3"/>
      <c r="B3125" s="4" t="s">
        <v>84</v>
      </c>
      <c r="C3125" s="3" t="s">
        <v>162</v>
      </c>
      <c r="D3125" s="3" t="s">
        <v>138</v>
      </c>
      <c r="E3125" s="3">
        <v>477</v>
      </c>
      <c r="F3125">
        <f>SUM(E3117:E3125)</f>
        <v>39753</v>
      </c>
      <c r="G3125" s="19"/>
    </row>
    <row r="3126" spans="1:7" ht="12.75" x14ac:dyDescent="0.2">
      <c r="A3126" s="3"/>
      <c r="B3126" s="4" t="s">
        <v>84</v>
      </c>
      <c r="C3126" s="3" t="s">
        <v>161</v>
      </c>
      <c r="D3126" s="3" t="s">
        <v>3</v>
      </c>
      <c r="E3126" s="3">
        <v>18147</v>
      </c>
      <c r="G3126" s="19"/>
    </row>
    <row r="3127" spans="1:7" ht="12.75" x14ac:dyDescent="0.2">
      <c r="A3127" s="3"/>
      <c r="B3127" s="4" t="s">
        <v>84</v>
      </c>
      <c r="C3127" s="3" t="s">
        <v>161</v>
      </c>
      <c r="D3127" s="3" t="s">
        <v>274</v>
      </c>
      <c r="E3127" s="3">
        <v>359</v>
      </c>
      <c r="G3127" s="19"/>
    </row>
    <row r="3128" spans="1:7" ht="12.75" x14ac:dyDescent="0.2">
      <c r="A3128" s="3"/>
      <c r="B3128" s="4" t="s">
        <v>84</v>
      </c>
      <c r="C3128" s="3" t="s">
        <v>161</v>
      </c>
      <c r="D3128" s="3" t="s">
        <v>315</v>
      </c>
      <c r="E3128" s="3">
        <v>686</v>
      </c>
      <c r="G3128" s="19"/>
    </row>
    <row r="3129" spans="1:7" ht="12.75" x14ac:dyDescent="0.2">
      <c r="A3129" s="3"/>
      <c r="B3129" s="4" t="s">
        <v>84</v>
      </c>
      <c r="C3129" s="3" t="s">
        <v>161</v>
      </c>
      <c r="D3129" s="3" t="s">
        <v>149</v>
      </c>
      <c r="E3129" s="3">
        <v>3568</v>
      </c>
      <c r="G3129" s="19"/>
    </row>
    <row r="3130" spans="1:7" ht="12.75" x14ac:dyDescent="0.2">
      <c r="A3130" s="3"/>
      <c r="B3130" s="4" t="s">
        <v>84</v>
      </c>
      <c r="C3130" s="3" t="s">
        <v>161</v>
      </c>
      <c r="D3130" s="3" t="s">
        <v>128</v>
      </c>
      <c r="E3130" s="3">
        <v>8334</v>
      </c>
      <c r="G3130" s="19"/>
    </row>
    <row r="3131" spans="1:7" ht="12.75" x14ac:dyDescent="0.2">
      <c r="A3131" s="3"/>
      <c r="B3131" s="4" t="s">
        <v>84</v>
      </c>
      <c r="C3131" s="3" t="s">
        <v>161</v>
      </c>
      <c r="D3131" s="3" t="s">
        <v>275</v>
      </c>
      <c r="E3131" s="3">
        <v>445</v>
      </c>
      <c r="G3131" s="19"/>
    </row>
    <row r="3132" spans="1:7" ht="12.75" x14ac:dyDescent="0.2">
      <c r="A3132" s="3"/>
      <c r="B3132" s="4" t="s">
        <v>84</v>
      </c>
      <c r="C3132" s="3" t="s">
        <v>161</v>
      </c>
      <c r="D3132" s="3" t="s">
        <v>305</v>
      </c>
      <c r="E3132" s="3">
        <v>2135</v>
      </c>
      <c r="G3132" s="19"/>
    </row>
    <row r="3133" spans="1:7" ht="12.75" x14ac:dyDescent="0.2">
      <c r="A3133" s="3"/>
      <c r="B3133" s="4" t="s">
        <v>84</v>
      </c>
      <c r="C3133" s="3" t="s">
        <v>161</v>
      </c>
      <c r="D3133" s="3" t="s">
        <v>14</v>
      </c>
      <c r="E3133" s="3">
        <v>5648</v>
      </c>
      <c r="G3133" s="19"/>
    </row>
    <row r="3134" spans="1:7" ht="12.75" x14ac:dyDescent="0.2">
      <c r="A3134" s="3"/>
      <c r="B3134" s="4" t="s">
        <v>84</v>
      </c>
      <c r="C3134" s="3" t="s">
        <v>161</v>
      </c>
      <c r="D3134" s="3" t="s">
        <v>138</v>
      </c>
      <c r="E3134" s="3">
        <v>431</v>
      </c>
      <c r="F3134">
        <f>SUM(E3126:E3134)</f>
        <v>39753</v>
      </c>
      <c r="G3134" s="19"/>
    </row>
    <row r="3135" spans="1:7" ht="12.75" x14ac:dyDescent="0.2">
      <c r="A3135" s="3"/>
      <c r="B3135" s="4" t="s">
        <v>72</v>
      </c>
      <c r="C3135" s="3" t="s">
        <v>162</v>
      </c>
      <c r="D3135" s="3" t="s">
        <v>3</v>
      </c>
      <c r="E3135" s="3">
        <v>1018</v>
      </c>
      <c r="G3135" s="19"/>
    </row>
    <row r="3136" spans="1:7" ht="12.75" x14ac:dyDescent="0.2">
      <c r="A3136" s="3"/>
      <c r="B3136" s="4" t="s">
        <v>72</v>
      </c>
      <c r="C3136" s="3" t="s">
        <v>162</v>
      </c>
      <c r="D3136" s="3" t="s">
        <v>274</v>
      </c>
      <c r="E3136" s="3">
        <v>5</v>
      </c>
      <c r="G3136" s="19"/>
    </row>
    <row r="3137" spans="1:7" ht="12.75" x14ac:dyDescent="0.2">
      <c r="A3137" s="3"/>
      <c r="B3137" s="4" t="s">
        <v>72</v>
      </c>
      <c r="C3137" s="3" t="s">
        <v>162</v>
      </c>
      <c r="D3137" s="3" t="s">
        <v>315</v>
      </c>
      <c r="E3137" s="3">
        <v>6</v>
      </c>
      <c r="G3137" s="19"/>
    </row>
    <row r="3138" spans="1:7" ht="12.75" x14ac:dyDescent="0.2">
      <c r="A3138" s="3"/>
      <c r="B3138" s="4" t="s">
        <v>72</v>
      </c>
      <c r="C3138" s="3" t="s">
        <v>162</v>
      </c>
      <c r="D3138" s="3" t="s">
        <v>149</v>
      </c>
      <c r="E3138" s="3">
        <v>73</v>
      </c>
      <c r="G3138" s="19"/>
    </row>
    <row r="3139" spans="1:7" ht="12.75" x14ac:dyDescent="0.2">
      <c r="A3139" s="3"/>
      <c r="B3139" s="4" t="s">
        <v>72</v>
      </c>
      <c r="C3139" s="3" t="s">
        <v>162</v>
      </c>
      <c r="D3139" s="3" t="s">
        <v>128</v>
      </c>
      <c r="E3139" s="3">
        <v>799</v>
      </c>
      <c r="G3139" s="19"/>
    </row>
    <row r="3140" spans="1:7" ht="12.75" x14ac:dyDescent="0.2">
      <c r="A3140" s="3"/>
      <c r="B3140" s="4" t="s">
        <v>72</v>
      </c>
      <c r="C3140" s="3" t="s">
        <v>162</v>
      </c>
      <c r="D3140" s="3" t="s">
        <v>275</v>
      </c>
      <c r="E3140" s="3">
        <v>6</v>
      </c>
      <c r="G3140" s="19"/>
    </row>
    <row r="3141" spans="1:7" ht="12.75" x14ac:dyDescent="0.2">
      <c r="A3141" s="3"/>
      <c r="B3141" s="4" t="s">
        <v>72</v>
      </c>
      <c r="C3141" s="3" t="s">
        <v>162</v>
      </c>
      <c r="D3141" s="3" t="s">
        <v>305</v>
      </c>
      <c r="E3141" s="3">
        <v>53</v>
      </c>
      <c r="G3141" s="19"/>
    </row>
    <row r="3142" spans="1:7" ht="12.75" x14ac:dyDescent="0.2">
      <c r="A3142" s="3"/>
      <c r="B3142" s="4" t="s">
        <v>72</v>
      </c>
      <c r="C3142" s="3" t="s">
        <v>162</v>
      </c>
      <c r="D3142" s="3" t="s">
        <v>14</v>
      </c>
      <c r="E3142" s="3">
        <v>138</v>
      </c>
      <c r="G3142" s="19"/>
    </row>
    <row r="3143" spans="1:7" ht="12.75" x14ac:dyDescent="0.2">
      <c r="A3143" s="3"/>
      <c r="B3143" s="4" t="s">
        <v>72</v>
      </c>
      <c r="C3143" s="3" t="s">
        <v>162</v>
      </c>
      <c r="D3143" s="3" t="s">
        <v>138</v>
      </c>
      <c r="E3143" s="3">
        <v>10</v>
      </c>
      <c r="F3143">
        <f>SUM(E3135:E3143)</f>
        <v>2108</v>
      </c>
      <c r="G3143" s="19"/>
    </row>
    <row r="3144" spans="1:7" ht="12.75" x14ac:dyDescent="0.2">
      <c r="A3144" s="3"/>
      <c r="B3144" s="4" t="s">
        <v>72</v>
      </c>
      <c r="C3144" s="3" t="s">
        <v>161</v>
      </c>
      <c r="D3144" s="3" t="s">
        <v>3</v>
      </c>
      <c r="E3144" s="3">
        <v>950</v>
      </c>
      <c r="G3144" s="19"/>
    </row>
    <row r="3145" spans="1:7" ht="12.75" x14ac:dyDescent="0.2">
      <c r="A3145" s="3"/>
      <c r="B3145" s="4" t="s">
        <v>72</v>
      </c>
      <c r="C3145" s="3" t="s">
        <v>161</v>
      </c>
      <c r="D3145" s="3" t="s">
        <v>274</v>
      </c>
      <c r="E3145" s="3">
        <v>6</v>
      </c>
      <c r="G3145" s="19"/>
    </row>
    <row r="3146" spans="1:7" ht="12.75" x14ac:dyDescent="0.2">
      <c r="A3146" s="3"/>
      <c r="B3146" s="4" t="s">
        <v>72</v>
      </c>
      <c r="C3146" s="3" t="s">
        <v>161</v>
      </c>
      <c r="D3146" s="3" t="s">
        <v>315</v>
      </c>
      <c r="E3146" s="3">
        <v>6</v>
      </c>
      <c r="G3146" s="19"/>
    </row>
    <row r="3147" spans="1:7" ht="12.75" x14ac:dyDescent="0.2">
      <c r="A3147" s="3"/>
      <c r="B3147" s="4" t="s">
        <v>72</v>
      </c>
      <c r="C3147" s="3" t="s">
        <v>161</v>
      </c>
      <c r="D3147" s="3" t="s">
        <v>149</v>
      </c>
      <c r="E3147" s="3">
        <v>100</v>
      </c>
      <c r="G3147" s="19"/>
    </row>
    <row r="3148" spans="1:7" ht="12.75" x14ac:dyDescent="0.2">
      <c r="A3148" s="3"/>
      <c r="B3148" s="4" t="s">
        <v>72</v>
      </c>
      <c r="C3148" s="3" t="s">
        <v>161</v>
      </c>
      <c r="D3148" s="3" t="s">
        <v>128</v>
      </c>
      <c r="E3148" s="3">
        <v>790</v>
      </c>
      <c r="G3148" s="19"/>
    </row>
    <row r="3149" spans="1:7" ht="12.75" x14ac:dyDescent="0.2">
      <c r="A3149" s="3"/>
      <c r="B3149" s="4" t="s">
        <v>72</v>
      </c>
      <c r="C3149" s="3" t="s">
        <v>161</v>
      </c>
      <c r="D3149" s="3" t="s">
        <v>275</v>
      </c>
      <c r="E3149" s="3">
        <v>6</v>
      </c>
      <c r="G3149" s="19"/>
    </row>
    <row r="3150" spans="1:7" ht="12.75" x14ac:dyDescent="0.2">
      <c r="A3150" s="3"/>
      <c r="B3150" s="4" t="s">
        <v>72</v>
      </c>
      <c r="C3150" s="3" t="s">
        <v>161</v>
      </c>
      <c r="D3150" s="3" t="s">
        <v>305</v>
      </c>
      <c r="E3150" s="3">
        <v>69</v>
      </c>
      <c r="G3150" s="19"/>
    </row>
    <row r="3151" spans="1:7" ht="12.75" x14ac:dyDescent="0.2">
      <c r="A3151" s="3"/>
      <c r="B3151" s="4" t="s">
        <v>72</v>
      </c>
      <c r="C3151" s="3" t="s">
        <v>161</v>
      </c>
      <c r="D3151" s="3" t="s">
        <v>14</v>
      </c>
      <c r="E3151" s="3">
        <v>171</v>
      </c>
      <c r="G3151" s="19"/>
    </row>
    <row r="3152" spans="1:7" ht="12.75" x14ac:dyDescent="0.2">
      <c r="A3152" s="3"/>
      <c r="B3152" s="4" t="s">
        <v>72</v>
      </c>
      <c r="C3152" s="3" t="s">
        <v>161</v>
      </c>
      <c r="D3152" s="3" t="s">
        <v>138</v>
      </c>
      <c r="E3152" s="3">
        <v>10</v>
      </c>
      <c r="F3152">
        <f>SUM(E3144:E3152)</f>
        <v>2108</v>
      </c>
      <c r="G3152" s="19"/>
    </row>
    <row r="3153" spans="1:7" ht="12.75" x14ac:dyDescent="0.2">
      <c r="A3153" s="3"/>
      <c r="B3153" s="4" t="s">
        <v>66</v>
      </c>
      <c r="C3153" s="3" t="s">
        <v>162</v>
      </c>
      <c r="D3153" s="3" t="s">
        <v>3</v>
      </c>
      <c r="E3153" s="3">
        <v>951</v>
      </c>
      <c r="G3153" s="19"/>
    </row>
    <row r="3154" spans="1:7" ht="12.75" x14ac:dyDescent="0.2">
      <c r="A3154" s="3"/>
      <c r="B3154" s="4" t="s">
        <v>66</v>
      </c>
      <c r="C3154" s="3" t="s">
        <v>162</v>
      </c>
      <c r="D3154" s="3" t="s">
        <v>274</v>
      </c>
      <c r="E3154" s="3">
        <v>5</v>
      </c>
      <c r="G3154" s="19"/>
    </row>
    <row r="3155" spans="1:7" ht="12.75" x14ac:dyDescent="0.2">
      <c r="A3155" s="3"/>
      <c r="B3155" s="4" t="s">
        <v>66</v>
      </c>
      <c r="C3155" s="3" t="s">
        <v>162</v>
      </c>
      <c r="D3155" s="3" t="s">
        <v>315</v>
      </c>
      <c r="E3155" s="3">
        <v>17</v>
      </c>
      <c r="G3155" s="19"/>
    </row>
    <row r="3156" spans="1:7" ht="12.75" x14ac:dyDescent="0.2">
      <c r="A3156" s="3"/>
      <c r="B3156" s="4" t="s">
        <v>66</v>
      </c>
      <c r="C3156" s="3" t="s">
        <v>162</v>
      </c>
      <c r="D3156" s="3" t="s">
        <v>149</v>
      </c>
      <c r="E3156" s="3">
        <v>245</v>
      </c>
      <c r="G3156" s="19"/>
    </row>
    <row r="3157" spans="1:7" ht="12.75" x14ac:dyDescent="0.2">
      <c r="A3157" s="3"/>
      <c r="B3157" s="4" t="s">
        <v>66</v>
      </c>
      <c r="C3157" s="3" t="s">
        <v>162</v>
      </c>
      <c r="D3157" s="3" t="s">
        <v>128</v>
      </c>
      <c r="E3157" s="3">
        <v>1551</v>
      </c>
      <c r="G3157" s="19"/>
    </row>
    <row r="3158" spans="1:7" ht="12.75" x14ac:dyDescent="0.2">
      <c r="A3158" s="3"/>
      <c r="B3158" s="4" t="s">
        <v>66</v>
      </c>
      <c r="C3158" s="3" t="s">
        <v>162</v>
      </c>
      <c r="D3158" s="3" t="s">
        <v>275</v>
      </c>
      <c r="E3158" s="3">
        <v>11</v>
      </c>
      <c r="G3158" s="19"/>
    </row>
    <row r="3159" spans="1:7" ht="12.75" x14ac:dyDescent="0.2">
      <c r="A3159" s="3"/>
      <c r="B3159" s="4" t="s">
        <v>66</v>
      </c>
      <c r="C3159" s="3" t="s">
        <v>162</v>
      </c>
      <c r="D3159" s="3" t="s">
        <v>305</v>
      </c>
      <c r="E3159" s="3">
        <v>98</v>
      </c>
      <c r="G3159" s="19"/>
    </row>
    <row r="3160" spans="1:7" ht="12.75" x14ac:dyDescent="0.2">
      <c r="A3160" s="3"/>
      <c r="B3160" s="4" t="s">
        <v>66</v>
      </c>
      <c r="C3160" s="3" t="s">
        <v>162</v>
      </c>
      <c r="D3160" s="3" t="s">
        <v>14</v>
      </c>
      <c r="E3160" s="3">
        <v>201</v>
      </c>
      <c r="G3160" s="19"/>
    </row>
    <row r="3161" spans="1:7" ht="12.75" x14ac:dyDescent="0.2">
      <c r="A3161" s="3"/>
      <c r="B3161" s="4" t="s">
        <v>66</v>
      </c>
      <c r="C3161" s="3" t="s">
        <v>162</v>
      </c>
      <c r="D3161" s="3" t="s">
        <v>138</v>
      </c>
      <c r="E3161" s="3">
        <v>3</v>
      </c>
      <c r="F3161">
        <f>SUM(E3153:E3161)</f>
        <v>3082</v>
      </c>
      <c r="G3161" s="19"/>
    </row>
    <row r="3162" spans="1:7" ht="12.75" x14ac:dyDescent="0.2">
      <c r="A3162" s="3"/>
      <c r="B3162" s="4" t="s">
        <v>66</v>
      </c>
      <c r="C3162" s="3" t="s">
        <v>161</v>
      </c>
      <c r="D3162" s="3" t="s">
        <v>3</v>
      </c>
      <c r="E3162" s="3">
        <v>759</v>
      </c>
      <c r="G3162" s="19"/>
    </row>
    <row r="3163" spans="1:7" ht="12.75" x14ac:dyDescent="0.2">
      <c r="A3163" s="3"/>
      <c r="B3163" s="4" t="s">
        <v>66</v>
      </c>
      <c r="C3163" s="3" t="s">
        <v>161</v>
      </c>
      <c r="D3163" s="3" t="s">
        <v>274</v>
      </c>
      <c r="E3163" s="3">
        <v>5</v>
      </c>
      <c r="G3163" s="19"/>
    </row>
    <row r="3164" spans="1:7" ht="12.75" x14ac:dyDescent="0.2">
      <c r="A3164" s="3"/>
      <c r="B3164" s="4" t="s">
        <v>66</v>
      </c>
      <c r="C3164" s="3" t="s">
        <v>161</v>
      </c>
      <c r="D3164" s="3" t="s">
        <v>315</v>
      </c>
      <c r="E3164" s="3">
        <v>22</v>
      </c>
      <c r="G3164" s="19"/>
    </row>
    <row r="3165" spans="1:7" ht="12.75" x14ac:dyDescent="0.2">
      <c r="A3165" s="3"/>
      <c r="B3165" s="4" t="s">
        <v>66</v>
      </c>
      <c r="C3165" s="3" t="s">
        <v>161</v>
      </c>
      <c r="D3165" s="3" t="s">
        <v>149</v>
      </c>
      <c r="E3165" s="3">
        <v>291</v>
      </c>
      <c r="G3165" s="19"/>
    </row>
    <row r="3166" spans="1:7" ht="12.75" x14ac:dyDescent="0.2">
      <c r="A3166" s="3"/>
      <c r="B3166" s="4" t="s">
        <v>66</v>
      </c>
      <c r="C3166" s="3" t="s">
        <v>161</v>
      </c>
      <c r="D3166" s="3" t="s">
        <v>128</v>
      </c>
      <c r="E3166" s="3">
        <v>1534</v>
      </c>
      <c r="G3166" s="19"/>
    </row>
    <row r="3167" spans="1:7" ht="12.75" x14ac:dyDescent="0.2">
      <c r="A3167" s="3"/>
      <c r="B3167" s="4" t="s">
        <v>66</v>
      </c>
      <c r="C3167" s="3" t="s">
        <v>161</v>
      </c>
      <c r="D3167" s="3" t="s">
        <v>275</v>
      </c>
      <c r="E3167" s="3">
        <v>11</v>
      </c>
      <c r="G3167" s="19"/>
    </row>
    <row r="3168" spans="1:7" ht="12.75" x14ac:dyDescent="0.2">
      <c r="A3168" s="3"/>
      <c r="B3168" s="4" t="s">
        <v>66</v>
      </c>
      <c r="C3168" s="3" t="s">
        <v>161</v>
      </c>
      <c r="D3168" s="3" t="s">
        <v>305</v>
      </c>
      <c r="E3168" s="3">
        <v>179</v>
      </c>
      <c r="G3168" s="19"/>
    </row>
    <row r="3169" spans="1:7" ht="12.75" x14ac:dyDescent="0.2">
      <c r="A3169" s="3"/>
      <c r="B3169" s="4" t="s">
        <v>66</v>
      </c>
      <c r="C3169" s="3" t="s">
        <v>161</v>
      </c>
      <c r="D3169" s="3" t="s">
        <v>14</v>
      </c>
      <c r="E3169" s="3">
        <v>280</v>
      </c>
      <c r="G3169" s="19"/>
    </row>
    <row r="3170" spans="1:7" ht="12.75" x14ac:dyDescent="0.2">
      <c r="A3170" s="3"/>
      <c r="B3170" s="4" t="s">
        <v>66</v>
      </c>
      <c r="C3170" s="3" t="s">
        <v>161</v>
      </c>
      <c r="D3170" s="3" t="s">
        <v>138</v>
      </c>
      <c r="E3170" s="3">
        <v>1</v>
      </c>
      <c r="F3170">
        <f>SUM(E3162:E3170)</f>
        <v>3082</v>
      </c>
      <c r="G3170" s="19"/>
    </row>
    <row r="3171" spans="1:7" ht="12.75" x14ac:dyDescent="0.2">
      <c r="A3171" s="3"/>
      <c r="B3171" s="4" t="s">
        <v>104</v>
      </c>
      <c r="C3171" s="3" t="s">
        <v>162</v>
      </c>
      <c r="D3171" s="3" t="s">
        <v>3</v>
      </c>
      <c r="E3171" s="3">
        <v>1844</v>
      </c>
      <c r="G3171" s="19"/>
    </row>
    <row r="3172" spans="1:7" ht="12.75" x14ac:dyDescent="0.2">
      <c r="A3172" s="3"/>
      <c r="B3172" s="4" t="s">
        <v>104</v>
      </c>
      <c r="C3172" s="3" t="s">
        <v>162</v>
      </c>
      <c r="D3172" s="3" t="s">
        <v>274</v>
      </c>
      <c r="E3172" s="3">
        <v>8</v>
      </c>
      <c r="G3172" s="19"/>
    </row>
    <row r="3173" spans="1:7" ht="12.75" x14ac:dyDescent="0.2">
      <c r="A3173" s="3"/>
      <c r="B3173" s="4" t="s">
        <v>104</v>
      </c>
      <c r="C3173" s="3" t="s">
        <v>162</v>
      </c>
      <c r="D3173" s="3" t="s">
        <v>315</v>
      </c>
      <c r="E3173" s="3">
        <v>47</v>
      </c>
      <c r="G3173" s="19"/>
    </row>
    <row r="3174" spans="1:7" ht="12.75" x14ac:dyDescent="0.2">
      <c r="A3174" s="3"/>
      <c r="B3174" s="4" t="s">
        <v>104</v>
      </c>
      <c r="C3174" s="3" t="s">
        <v>162</v>
      </c>
      <c r="D3174" s="3" t="s">
        <v>149</v>
      </c>
      <c r="E3174" s="3">
        <v>140</v>
      </c>
      <c r="G3174" s="19"/>
    </row>
    <row r="3175" spans="1:7" ht="12.75" x14ac:dyDescent="0.2">
      <c r="A3175" s="3"/>
      <c r="B3175" s="4" t="s">
        <v>104</v>
      </c>
      <c r="C3175" s="3" t="s">
        <v>162</v>
      </c>
      <c r="D3175" s="3" t="s">
        <v>128</v>
      </c>
      <c r="E3175" s="3">
        <v>1023</v>
      </c>
      <c r="G3175" s="19"/>
    </row>
    <row r="3176" spans="1:7" ht="12.75" x14ac:dyDescent="0.2">
      <c r="A3176" s="3"/>
      <c r="B3176" s="4" t="s">
        <v>104</v>
      </c>
      <c r="C3176" s="3" t="s">
        <v>162</v>
      </c>
      <c r="D3176" s="3" t="s">
        <v>275</v>
      </c>
      <c r="E3176" s="3">
        <v>3</v>
      </c>
      <c r="G3176" s="19"/>
    </row>
    <row r="3177" spans="1:7" ht="12.75" x14ac:dyDescent="0.2">
      <c r="A3177" s="3"/>
      <c r="B3177" s="4" t="s">
        <v>104</v>
      </c>
      <c r="C3177" s="3" t="s">
        <v>162</v>
      </c>
      <c r="D3177" s="3" t="s">
        <v>305</v>
      </c>
      <c r="E3177" s="3">
        <v>105</v>
      </c>
      <c r="G3177" s="19"/>
    </row>
    <row r="3178" spans="1:7" ht="12.75" x14ac:dyDescent="0.2">
      <c r="A3178" s="3"/>
      <c r="B3178" s="4" t="s">
        <v>104</v>
      </c>
      <c r="C3178" s="3" t="s">
        <v>162</v>
      </c>
      <c r="D3178" s="3" t="s">
        <v>14</v>
      </c>
      <c r="E3178" s="3">
        <v>240</v>
      </c>
      <c r="G3178" s="19"/>
    </row>
    <row r="3179" spans="1:7" ht="12.75" x14ac:dyDescent="0.2">
      <c r="A3179" s="3"/>
      <c r="B3179" s="4" t="s">
        <v>104</v>
      </c>
      <c r="C3179" s="3" t="s">
        <v>162</v>
      </c>
      <c r="D3179" s="3" t="s">
        <v>138</v>
      </c>
      <c r="E3179" s="3">
        <v>35</v>
      </c>
      <c r="F3179">
        <f>SUM(E3171:E3179)</f>
        <v>3445</v>
      </c>
      <c r="G3179" s="19"/>
    </row>
    <row r="3180" spans="1:7" ht="12.75" x14ac:dyDescent="0.2">
      <c r="A3180" s="3"/>
      <c r="B3180" s="4" t="s">
        <v>104</v>
      </c>
      <c r="C3180" s="3" t="s">
        <v>161</v>
      </c>
      <c r="D3180" s="3" t="s">
        <v>3</v>
      </c>
      <c r="E3180" s="3">
        <v>1807</v>
      </c>
      <c r="G3180" s="19"/>
    </row>
    <row r="3181" spans="1:7" ht="12.75" x14ac:dyDescent="0.2">
      <c r="A3181" s="3"/>
      <c r="B3181" s="4" t="s">
        <v>104</v>
      </c>
      <c r="C3181" s="3" t="s">
        <v>161</v>
      </c>
      <c r="D3181" s="3" t="s">
        <v>274</v>
      </c>
      <c r="E3181" s="3">
        <v>8</v>
      </c>
      <c r="G3181" s="19"/>
    </row>
    <row r="3182" spans="1:7" ht="12.75" x14ac:dyDescent="0.2">
      <c r="A3182" s="3"/>
      <c r="B3182" s="4" t="s">
        <v>104</v>
      </c>
      <c r="C3182" s="3" t="s">
        <v>161</v>
      </c>
      <c r="D3182" s="3" t="s">
        <v>315</v>
      </c>
      <c r="E3182" s="3">
        <v>66</v>
      </c>
      <c r="G3182" s="19"/>
    </row>
    <row r="3183" spans="1:7" ht="12.75" x14ac:dyDescent="0.2">
      <c r="A3183" s="3"/>
      <c r="B3183" s="4" t="s">
        <v>104</v>
      </c>
      <c r="C3183" s="3" t="s">
        <v>161</v>
      </c>
      <c r="D3183" s="3" t="s">
        <v>149</v>
      </c>
      <c r="E3183" s="3">
        <v>143</v>
      </c>
      <c r="G3183" s="19"/>
    </row>
    <row r="3184" spans="1:7" ht="12.75" x14ac:dyDescent="0.2">
      <c r="A3184" s="3"/>
      <c r="B3184" s="4" t="s">
        <v>104</v>
      </c>
      <c r="C3184" s="3" t="s">
        <v>161</v>
      </c>
      <c r="D3184" s="3" t="s">
        <v>128</v>
      </c>
      <c r="E3184" s="3">
        <v>977</v>
      </c>
      <c r="G3184" s="19"/>
    </row>
    <row r="3185" spans="1:7" ht="12.75" x14ac:dyDescent="0.2">
      <c r="A3185" s="3"/>
      <c r="B3185" s="4" t="s">
        <v>104</v>
      </c>
      <c r="C3185" s="3" t="s">
        <v>161</v>
      </c>
      <c r="D3185" s="3" t="s">
        <v>275</v>
      </c>
      <c r="E3185" s="3">
        <v>3</v>
      </c>
      <c r="G3185" s="19"/>
    </row>
    <row r="3186" spans="1:7" ht="12.75" x14ac:dyDescent="0.2">
      <c r="A3186" s="3"/>
      <c r="B3186" s="4" t="s">
        <v>104</v>
      </c>
      <c r="C3186" s="3" t="s">
        <v>161</v>
      </c>
      <c r="D3186" s="3" t="s">
        <v>305</v>
      </c>
      <c r="E3186" s="3">
        <v>105</v>
      </c>
      <c r="G3186" s="19"/>
    </row>
    <row r="3187" spans="1:7" ht="12.75" x14ac:dyDescent="0.2">
      <c r="A3187" s="3"/>
      <c r="B3187" s="4" t="s">
        <v>104</v>
      </c>
      <c r="C3187" s="3" t="s">
        <v>161</v>
      </c>
      <c r="D3187" s="3" t="s">
        <v>14</v>
      </c>
      <c r="E3187" s="3">
        <v>302</v>
      </c>
      <c r="G3187" s="19"/>
    </row>
    <row r="3188" spans="1:7" ht="12.75" x14ac:dyDescent="0.2">
      <c r="A3188" s="3"/>
      <c r="B3188" s="4" t="s">
        <v>104</v>
      </c>
      <c r="C3188" s="3" t="s">
        <v>161</v>
      </c>
      <c r="D3188" s="3" t="s">
        <v>138</v>
      </c>
      <c r="E3188" s="3">
        <v>34</v>
      </c>
      <c r="F3188">
        <f>SUM(E3180:E3188)</f>
        <v>3445</v>
      </c>
      <c r="G3188" s="19"/>
    </row>
    <row r="3189" spans="1:7" ht="12.75" x14ac:dyDescent="0.2">
      <c r="A3189" s="3"/>
      <c r="B3189" s="4" t="s">
        <v>52</v>
      </c>
      <c r="C3189" s="3" t="s">
        <v>162</v>
      </c>
      <c r="D3189" s="3" t="s">
        <v>3</v>
      </c>
      <c r="E3189" s="3">
        <v>2269</v>
      </c>
      <c r="G3189" s="19"/>
    </row>
    <row r="3190" spans="1:7" ht="12.75" x14ac:dyDescent="0.2">
      <c r="A3190" s="3"/>
      <c r="B3190" s="4" t="s">
        <v>52</v>
      </c>
      <c r="C3190" s="3" t="s">
        <v>162</v>
      </c>
      <c r="D3190" s="3" t="s">
        <v>274</v>
      </c>
      <c r="E3190" s="3">
        <v>17</v>
      </c>
      <c r="G3190" s="19"/>
    </row>
    <row r="3191" spans="1:7" ht="12.75" x14ac:dyDescent="0.2">
      <c r="A3191" s="3"/>
      <c r="B3191" s="4" t="s">
        <v>52</v>
      </c>
      <c r="C3191" s="3" t="s">
        <v>162</v>
      </c>
      <c r="D3191" s="3" t="s">
        <v>315</v>
      </c>
      <c r="E3191" s="3">
        <v>32</v>
      </c>
      <c r="G3191" s="19"/>
    </row>
    <row r="3192" spans="1:7" ht="12.75" x14ac:dyDescent="0.2">
      <c r="A3192" s="3"/>
      <c r="B3192" s="4" t="s">
        <v>52</v>
      </c>
      <c r="C3192" s="3" t="s">
        <v>162</v>
      </c>
      <c r="D3192" s="3" t="s">
        <v>149</v>
      </c>
      <c r="E3192" s="3">
        <v>227</v>
      </c>
      <c r="G3192" s="19"/>
    </row>
    <row r="3193" spans="1:7" ht="12.75" x14ac:dyDescent="0.2">
      <c r="A3193" s="3"/>
      <c r="B3193" s="4" t="s">
        <v>52</v>
      </c>
      <c r="C3193" s="3" t="s">
        <v>162</v>
      </c>
      <c r="D3193" s="3" t="s">
        <v>128</v>
      </c>
      <c r="E3193" s="3">
        <v>2313</v>
      </c>
      <c r="G3193" s="19"/>
    </row>
    <row r="3194" spans="1:7" ht="12.75" x14ac:dyDescent="0.2">
      <c r="A3194" s="3"/>
      <c r="B3194" s="4" t="s">
        <v>52</v>
      </c>
      <c r="C3194" s="3" t="s">
        <v>162</v>
      </c>
      <c r="D3194" s="3" t="s">
        <v>275</v>
      </c>
      <c r="E3194" s="3">
        <v>11</v>
      </c>
      <c r="G3194" s="19"/>
    </row>
    <row r="3195" spans="1:7" ht="12.75" x14ac:dyDescent="0.2">
      <c r="A3195" s="3"/>
      <c r="B3195" s="4" t="s">
        <v>52</v>
      </c>
      <c r="C3195" s="3" t="s">
        <v>162</v>
      </c>
      <c r="D3195" s="3" t="s">
        <v>305</v>
      </c>
      <c r="E3195" s="3">
        <v>236</v>
      </c>
      <c r="G3195" s="19"/>
    </row>
    <row r="3196" spans="1:7" ht="12.75" x14ac:dyDescent="0.2">
      <c r="A3196" s="3"/>
      <c r="B3196" s="4" t="s">
        <v>52</v>
      </c>
      <c r="C3196" s="3" t="s">
        <v>162</v>
      </c>
      <c r="D3196" s="3" t="s">
        <v>14</v>
      </c>
      <c r="E3196" s="3">
        <v>601</v>
      </c>
      <c r="G3196" s="19"/>
    </row>
    <row r="3197" spans="1:7" ht="12.75" x14ac:dyDescent="0.2">
      <c r="A3197" s="3"/>
      <c r="B3197" s="4" t="s">
        <v>52</v>
      </c>
      <c r="C3197" s="3" t="s">
        <v>162</v>
      </c>
      <c r="D3197" s="3" t="s">
        <v>138</v>
      </c>
      <c r="E3197" s="3">
        <v>117</v>
      </c>
      <c r="F3197">
        <f>SUM(E3189:E3197)</f>
        <v>5823</v>
      </c>
      <c r="G3197" s="19"/>
    </row>
    <row r="3198" spans="1:7" ht="12.75" x14ac:dyDescent="0.2">
      <c r="A3198" s="3"/>
      <c r="B3198" s="4" t="s">
        <v>52</v>
      </c>
      <c r="C3198" s="3" t="s">
        <v>161</v>
      </c>
      <c r="D3198" s="3" t="s">
        <v>3</v>
      </c>
      <c r="E3198" s="3">
        <v>2078</v>
      </c>
      <c r="G3198" s="19"/>
    </row>
    <row r="3199" spans="1:7" ht="12.75" x14ac:dyDescent="0.2">
      <c r="A3199" s="3"/>
      <c r="B3199" s="4" t="s">
        <v>52</v>
      </c>
      <c r="C3199" s="3" t="s">
        <v>161</v>
      </c>
      <c r="D3199" s="3" t="s">
        <v>274</v>
      </c>
      <c r="E3199" s="3">
        <v>18</v>
      </c>
      <c r="G3199" s="19"/>
    </row>
    <row r="3200" spans="1:7" ht="12.75" x14ac:dyDescent="0.2">
      <c r="A3200" s="3"/>
      <c r="B3200" s="4" t="s">
        <v>52</v>
      </c>
      <c r="C3200" s="3" t="s">
        <v>161</v>
      </c>
      <c r="D3200" s="3" t="s">
        <v>315</v>
      </c>
      <c r="E3200" s="3">
        <v>34</v>
      </c>
      <c r="G3200" s="19"/>
    </row>
    <row r="3201" spans="1:7" ht="12.75" x14ac:dyDescent="0.2">
      <c r="A3201" s="3"/>
      <c r="B3201" s="4" t="s">
        <v>52</v>
      </c>
      <c r="C3201" s="3" t="s">
        <v>161</v>
      </c>
      <c r="D3201" s="3" t="s">
        <v>149</v>
      </c>
      <c r="E3201" s="3">
        <v>225</v>
      </c>
      <c r="G3201" s="19"/>
    </row>
    <row r="3202" spans="1:7" ht="12.75" x14ac:dyDescent="0.2">
      <c r="A3202" s="3"/>
      <c r="B3202" s="4" t="s">
        <v>52</v>
      </c>
      <c r="C3202" s="3" t="s">
        <v>161</v>
      </c>
      <c r="D3202" s="3" t="s">
        <v>128</v>
      </c>
      <c r="E3202" s="3">
        <v>2258</v>
      </c>
      <c r="G3202" s="19"/>
    </row>
    <row r="3203" spans="1:7" ht="12.75" x14ac:dyDescent="0.2">
      <c r="A3203" s="3"/>
      <c r="B3203" s="4" t="s">
        <v>52</v>
      </c>
      <c r="C3203" s="3" t="s">
        <v>161</v>
      </c>
      <c r="D3203" s="3" t="s">
        <v>275</v>
      </c>
      <c r="E3203" s="3">
        <v>12</v>
      </c>
      <c r="G3203" s="19"/>
    </row>
    <row r="3204" spans="1:7" ht="12.75" x14ac:dyDescent="0.2">
      <c r="A3204" s="3"/>
      <c r="B3204" s="4" t="s">
        <v>52</v>
      </c>
      <c r="C3204" s="3" t="s">
        <v>161</v>
      </c>
      <c r="D3204" s="3" t="s">
        <v>305</v>
      </c>
      <c r="E3204" s="3">
        <v>290</v>
      </c>
      <c r="G3204" s="19"/>
    </row>
    <row r="3205" spans="1:7" ht="12.75" x14ac:dyDescent="0.2">
      <c r="A3205" s="3"/>
      <c r="B3205" s="4" t="s">
        <v>52</v>
      </c>
      <c r="C3205" s="3" t="s">
        <v>161</v>
      </c>
      <c r="D3205" s="3" t="s">
        <v>14</v>
      </c>
      <c r="E3205" s="3">
        <v>784</v>
      </c>
      <c r="G3205" s="19"/>
    </row>
    <row r="3206" spans="1:7" ht="12.75" x14ac:dyDescent="0.2">
      <c r="A3206" s="3"/>
      <c r="B3206" s="4" t="s">
        <v>52</v>
      </c>
      <c r="C3206" s="3" t="s">
        <v>161</v>
      </c>
      <c r="D3206" s="3" t="s">
        <v>138</v>
      </c>
      <c r="E3206" s="3">
        <v>124</v>
      </c>
      <c r="F3206">
        <f>SUM(E3198:E3206)</f>
        <v>5823</v>
      </c>
      <c r="G3206" s="19"/>
    </row>
    <row r="3207" spans="1:7" ht="12.75" x14ac:dyDescent="0.2">
      <c r="A3207" s="3"/>
      <c r="B3207" s="4" t="s">
        <v>73</v>
      </c>
      <c r="C3207" s="3" t="s">
        <v>162</v>
      </c>
      <c r="D3207" s="3" t="s">
        <v>3</v>
      </c>
      <c r="E3207" s="3">
        <v>878</v>
      </c>
      <c r="G3207" s="19"/>
    </row>
    <row r="3208" spans="1:7" ht="12.75" x14ac:dyDescent="0.2">
      <c r="A3208" s="3"/>
      <c r="B3208" s="4" t="s">
        <v>73</v>
      </c>
      <c r="C3208" s="3" t="s">
        <v>162</v>
      </c>
      <c r="D3208" s="3" t="s">
        <v>274</v>
      </c>
      <c r="E3208" s="3">
        <v>4</v>
      </c>
      <c r="G3208" s="19"/>
    </row>
    <row r="3209" spans="1:7" ht="12.75" x14ac:dyDescent="0.2">
      <c r="A3209" s="3"/>
      <c r="B3209" s="4" t="s">
        <v>73</v>
      </c>
      <c r="C3209" s="3" t="s">
        <v>162</v>
      </c>
      <c r="D3209" s="3" t="s">
        <v>315</v>
      </c>
      <c r="E3209" s="3">
        <v>18</v>
      </c>
      <c r="G3209" s="19"/>
    </row>
    <row r="3210" spans="1:7" ht="12.75" x14ac:dyDescent="0.2">
      <c r="A3210" s="3"/>
      <c r="B3210" s="4" t="s">
        <v>73</v>
      </c>
      <c r="C3210" s="3" t="s">
        <v>162</v>
      </c>
      <c r="D3210" s="3" t="s">
        <v>149</v>
      </c>
      <c r="E3210" s="3">
        <v>239</v>
      </c>
      <c r="G3210" s="19"/>
    </row>
    <row r="3211" spans="1:7" ht="12.75" x14ac:dyDescent="0.2">
      <c r="A3211" s="3"/>
      <c r="B3211" s="4" t="s">
        <v>73</v>
      </c>
      <c r="C3211" s="3" t="s">
        <v>162</v>
      </c>
      <c r="D3211" s="3" t="s">
        <v>128</v>
      </c>
      <c r="E3211" s="3">
        <v>548</v>
      </c>
      <c r="G3211" s="19"/>
    </row>
    <row r="3212" spans="1:7" ht="12.75" x14ac:dyDescent="0.2">
      <c r="A3212" s="3"/>
      <c r="B3212" s="4" t="s">
        <v>73</v>
      </c>
      <c r="C3212" s="3" t="s">
        <v>162</v>
      </c>
      <c r="D3212" s="3" t="s">
        <v>275</v>
      </c>
      <c r="E3212" s="3">
        <v>2</v>
      </c>
      <c r="G3212" s="19"/>
    </row>
    <row r="3213" spans="1:7" ht="12.75" x14ac:dyDescent="0.2">
      <c r="A3213" s="3"/>
      <c r="B3213" s="4" t="s">
        <v>73</v>
      </c>
      <c r="C3213" s="3" t="s">
        <v>162</v>
      </c>
      <c r="D3213" s="3" t="s">
        <v>305</v>
      </c>
      <c r="E3213" s="3">
        <v>60</v>
      </c>
      <c r="G3213" s="19"/>
    </row>
    <row r="3214" spans="1:7" ht="12.75" x14ac:dyDescent="0.2">
      <c r="A3214" s="3"/>
      <c r="B3214" s="4" t="s">
        <v>73</v>
      </c>
      <c r="C3214" s="3" t="s">
        <v>162</v>
      </c>
      <c r="D3214" s="3" t="s">
        <v>14</v>
      </c>
      <c r="E3214" s="3">
        <v>295</v>
      </c>
      <c r="G3214" s="19"/>
    </row>
    <row r="3215" spans="1:7" ht="12.75" x14ac:dyDescent="0.2">
      <c r="A3215" s="3"/>
      <c r="B3215" s="4" t="s">
        <v>73</v>
      </c>
      <c r="C3215" s="3" t="s">
        <v>162</v>
      </c>
      <c r="D3215" s="3" t="s">
        <v>138</v>
      </c>
      <c r="E3215" s="3">
        <v>11</v>
      </c>
      <c r="F3215">
        <f>SUM(E3207:E3215)</f>
        <v>2055</v>
      </c>
      <c r="G3215" s="19"/>
    </row>
    <row r="3216" spans="1:7" ht="12.75" x14ac:dyDescent="0.2">
      <c r="A3216" s="3"/>
      <c r="B3216" s="4" t="s">
        <v>73</v>
      </c>
      <c r="C3216" s="3" t="s">
        <v>161</v>
      </c>
      <c r="D3216" s="3" t="s">
        <v>3</v>
      </c>
      <c r="E3216" s="3">
        <v>747</v>
      </c>
      <c r="G3216" s="19"/>
    </row>
    <row r="3217" spans="1:7" ht="12.75" x14ac:dyDescent="0.2">
      <c r="A3217" s="3"/>
      <c r="B3217" s="4" t="s">
        <v>73</v>
      </c>
      <c r="C3217" s="3" t="s">
        <v>161</v>
      </c>
      <c r="D3217" s="3" t="s">
        <v>274</v>
      </c>
      <c r="E3217" s="3">
        <v>3</v>
      </c>
      <c r="G3217" s="19"/>
    </row>
    <row r="3218" spans="1:7" ht="12.75" x14ac:dyDescent="0.2">
      <c r="A3218" s="3"/>
      <c r="B3218" s="4" t="s">
        <v>73</v>
      </c>
      <c r="C3218" s="3" t="s">
        <v>161</v>
      </c>
      <c r="D3218" s="3" t="s">
        <v>315</v>
      </c>
      <c r="E3218" s="3">
        <v>20</v>
      </c>
      <c r="G3218" s="19"/>
    </row>
    <row r="3219" spans="1:7" ht="12.75" x14ac:dyDescent="0.2">
      <c r="A3219" s="3"/>
      <c r="B3219" s="4" t="s">
        <v>73</v>
      </c>
      <c r="C3219" s="3" t="s">
        <v>161</v>
      </c>
      <c r="D3219" s="3" t="s">
        <v>149</v>
      </c>
      <c r="E3219" s="3">
        <v>379</v>
      </c>
      <c r="G3219" s="19"/>
    </row>
    <row r="3220" spans="1:7" ht="12.75" x14ac:dyDescent="0.2">
      <c r="A3220" s="3"/>
      <c r="B3220" s="4" t="s">
        <v>73</v>
      </c>
      <c r="C3220" s="3" t="s">
        <v>161</v>
      </c>
      <c r="D3220" s="3" t="s">
        <v>128</v>
      </c>
      <c r="E3220" s="3">
        <v>491</v>
      </c>
      <c r="G3220" s="19"/>
    </row>
    <row r="3221" spans="1:7" ht="12.75" x14ac:dyDescent="0.2">
      <c r="A3221" s="3"/>
      <c r="B3221" s="4" t="s">
        <v>73</v>
      </c>
      <c r="C3221" s="3" t="s">
        <v>161</v>
      </c>
      <c r="D3221" s="3" t="s">
        <v>275</v>
      </c>
      <c r="E3221" s="3">
        <v>1</v>
      </c>
      <c r="G3221" s="19"/>
    </row>
    <row r="3222" spans="1:7" ht="12.75" x14ac:dyDescent="0.2">
      <c r="A3222" s="3"/>
      <c r="B3222" s="4" t="s">
        <v>73</v>
      </c>
      <c r="C3222" s="3" t="s">
        <v>161</v>
      </c>
      <c r="D3222" s="3" t="s">
        <v>305</v>
      </c>
      <c r="E3222" s="3">
        <v>59</v>
      </c>
      <c r="G3222" s="19"/>
    </row>
    <row r="3223" spans="1:7" ht="12.75" x14ac:dyDescent="0.2">
      <c r="A3223" s="3"/>
      <c r="B3223" s="4" t="s">
        <v>73</v>
      </c>
      <c r="C3223" s="3" t="s">
        <v>161</v>
      </c>
      <c r="D3223" s="3" t="s">
        <v>14</v>
      </c>
      <c r="E3223" s="3">
        <v>344</v>
      </c>
      <c r="G3223" s="19"/>
    </row>
    <row r="3224" spans="1:7" ht="12.75" x14ac:dyDescent="0.2">
      <c r="A3224" s="3"/>
      <c r="B3224" s="4" t="s">
        <v>73</v>
      </c>
      <c r="C3224" s="3" t="s">
        <v>161</v>
      </c>
      <c r="D3224" s="3" t="s">
        <v>138</v>
      </c>
      <c r="E3224" s="3">
        <v>11</v>
      </c>
      <c r="F3224">
        <f>SUM(E3216:E3224)</f>
        <v>2055</v>
      </c>
      <c r="G3224" s="19"/>
    </row>
    <row r="3225" spans="1:7" ht="12.75" x14ac:dyDescent="0.2">
      <c r="A3225" s="3"/>
      <c r="B3225" s="4" t="s">
        <v>41</v>
      </c>
      <c r="C3225" s="3" t="s">
        <v>162</v>
      </c>
      <c r="D3225" s="3" t="s">
        <v>3</v>
      </c>
      <c r="E3225" s="3">
        <v>864</v>
      </c>
      <c r="G3225" s="19"/>
    </row>
    <row r="3226" spans="1:7" ht="12.75" x14ac:dyDescent="0.2">
      <c r="A3226" s="3"/>
      <c r="B3226" s="4" t="s">
        <v>41</v>
      </c>
      <c r="C3226" s="3" t="s">
        <v>162</v>
      </c>
      <c r="D3226" s="3" t="s">
        <v>274</v>
      </c>
      <c r="E3226" s="3">
        <v>7</v>
      </c>
      <c r="G3226" s="19"/>
    </row>
    <row r="3227" spans="1:7" ht="12.75" x14ac:dyDescent="0.2">
      <c r="A3227" s="3"/>
      <c r="B3227" s="4" t="s">
        <v>41</v>
      </c>
      <c r="C3227" s="3" t="s">
        <v>162</v>
      </c>
      <c r="D3227" s="3" t="s">
        <v>315</v>
      </c>
      <c r="E3227" s="3">
        <v>53</v>
      </c>
      <c r="G3227" s="19"/>
    </row>
    <row r="3228" spans="1:7" ht="12.75" x14ac:dyDescent="0.2">
      <c r="A3228" s="3"/>
      <c r="B3228" s="4" t="s">
        <v>41</v>
      </c>
      <c r="C3228" s="3" t="s">
        <v>162</v>
      </c>
      <c r="D3228" s="3" t="s">
        <v>149</v>
      </c>
      <c r="E3228" s="3">
        <v>49</v>
      </c>
      <c r="G3228" s="19"/>
    </row>
    <row r="3229" spans="1:7" ht="12.75" x14ac:dyDescent="0.2">
      <c r="A3229" s="3"/>
      <c r="B3229" s="4" t="s">
        <v>41</v>
      </c>
      <c r="C3229" s="3" t="s">
        <v>162</v>
      </c>
      <c r="D3229" s="3" t="s">
        <v>128</v>
      </c>
      <c r="E3229" s="3">
        <v>281</v>
      </c>
      <c r="G3229" s="19"/>
    </row>
    <row r="3230" spans="1:7" ht="12.75" x14ac:dyDescent="0.2">
      <c r="A3230" s="3"/>
      <c r="B3230" s="4" t="s">
        <v>41</v>
      </c>
      <c r="C3230" s="3" t="s">
        <v>162</v>
      </c>
      <c r="D3230" s="3" t="s">
        <v>275</v>
      </c>
      <c r="E3230" s="3">
        <v>8</v>
      </c>
      <c r="G3230" s="19"/>
    </row>
    <row r="3231" spans="1:7" ht="12.75" x14ac:dyDescent="0.2">
      <c r="A3231" s="3"/>
      <c r="B3231" s="4" t="s">
        <v>41</v>
      </c>
      <c r="C3231" s="3" t="s">
        <v>162</v>
      </c>
      <c r="D3231" s="3" t="s">
        <v>305</v>
      </c>
      <c r="E3231" s="3">
        <v>59</v>
      </c>
      <c r="G3231" s="19"/>
    </row>
    <row r="3232" spans="1:7" ht="12.75" x14ac:dyDescent="0.2">
      <c r="A3232" s="3"/>
      <c r="B3232" s="4" t="s">
        <v>41</v>
      </c>
      <c r="C3232" s="3" t="s">
        <v>162</v>
      </c>
      <c r="D3232" s="3" t="s">
        <v>14</v>
      </c>
      <c r="E3232" s="3">
        <v>130</v>
      </c>
      <c r="G3232" s="19"/>
    </row>
    <row r="3233" spans="1:7" ht="12.75" x14ac:dyDescent="0.2">
      <c r="A3233" s="3"/>
      <c r="B3233" s="4" t="s">
        <v>41</v>
      </c>
      <c r="C3233" s="3" t="s">
        <v>162</v>
      </c>
      <c r="D3233" s="3" t="s">
        <v>138</v>
      </c>
      <c r="E3233" s="3">
        <v>10</v>
      </c>
      <c r="F3233">
        <f>SUM(E3225:E3233)</f>
        <v>1461</v>
      </c>
      <c r="G3233" s="19"/>
    </row>
    <row r="3234" spans="1:7" ht="12.75" x14ac:dyDescent="0.2">
      <c r="A3234" s="3"/>
      <c r="B3234" s="4" t="s">
        <v>41</v>
      </c>
      <c r="C3234" s="3" t="s">
        <v>161</v>
      </c>
      <c r="D3234" s="3" t="s">
        <v>3</v>
      </c>
      <c r="E3234" s="3">
        <v>942</v>
      </c>
      <c r="G3234" s="19"/>
    </row>
    <row r="3235" spans="1:7" ht="12.75" x14ac:dyDescent="0.2">
      <c r="A3235" s="3"/>
      <c r="B3235" s="4" t="s">
        <v>41</v>
      </c>
      <c r="C3235" s="3" t="s">
        <v>161</v>
      </c>
      <c r="D3235" s="3" t="s">
        <v>274</v>
      </c>
      <c r="E3235" s="3">
        <v>7</v>
      </c>
      <c r="G3235" s="19"/>
    </row>
    <row r="3236" spans="1:7" ht="12.75" x14ac:dyDescent="0.2">
      <c r="A3236" s="3"/>
      <c r="B3236" s="4" t="s">
        <v>41</v>
      </c>
      <c r="C3236" s="3" t="s">
        <v>161</v>
      </c>
      <c r="D3236" s="3" t="s">
        <v>315</v>
      </c>
      <c r="E3236" s="3">
        <v>56</v>
      </c>
      <c r="G3236" s="19"/>
    </row>
    <row r="3237" spans="1:7" ht="12.75" x14ac:dyDescent="0.2">
      <c r="A3237" s="3"/>
      <c r="B3237" s="4" t="s">
        <v>41</v>
      </c>
      <c r="C3237" s="3" t="s">
        <v>161</v>
      </c>
      <c r="D3237" s="3" t="s">
        <v>149</v>
      </c>
      <c r="E3237" s="3">
        <v>48</v>
      </c>
      <c r="G3237" s="19"/>
    </row>
    <row r="3238" spans="1:7" ht="12.75" x14ac:dyDescent="0.2">
      <c r="A3238" s="3"/>
      <c r="B3238" s="4" t="s">
        <v>41</v>
      </c>
      <c r="C3238" s="3" t="s">
        <v>161</v>
      </c>
      <c r="D3238" s="3" t="s">
        <v>128</v>
      </c>
      <c r="E3238" s="3">
        <v>179</v>
      </c>
      <c r="G3238" s="19"/>
    </row>
    <row r="3239" spans="1:7" ht="12.75" x14ac:dyDescent="0.2">
      <c r="A3239" s="3"/>
      <c r="B3239" s="4" t="s">
        <v>41</v>
      </c>
      <c r="C3239" s="3" t="s">
        <v>161</v>
      </c>
      <c r="D3239" s="3" t="s">
        <v>275</v>
      </c>
      <c r="E3239" s="3">
        <v>8</v>
      </c>
      <c r="G3239" s="19"/>
    </row>
    <row r="3240" spans="1:7" ht="12.75" x14ac:dyDescent="0.2">
      <c r="A3240" s="3"/>
      <c r="B3240" s="4" t="s">
        <v>41</v>
      </c>
      <c r="C3240" s="3" t="s">
        <v>161</v>
      </c>
      <c r="D3240" s="3" t="s">
        <v>305</v>
      </c>
      <c r="E3240" s="3">
        <v>65</v>
      </c>
      <c r="G3240" s="19"/>
    </row>
    <row r="3241" spans="1:7" ht="12.75" x14ac:dyDescent="0.2">
      <c r="A3241" s="3"/>
      <c r="B3241" s="4" t="s">
        <v>41</v>
      </c>
      <c r="C3241" s="3" t="s">
        <v>161</v>
      </c>
      <c r="D3241" s="3" t="s">
        <v>14</v>
      </c>
      <c r="E3241" s="3">
        <v>144</v>
      </c>
      <c r="G3241" s="19"/>
    </row>
    <row r="3242" spans="1:7" ht="12.75" x14ac:dyDescent="0.2">
      <c r="A3242" s="3"/>
      <c r="B3242" s="4" t="s">
        <v>41</v>
      </c>
      <c r="C3242" s="3" t="s">
        <v>161</v>
      </c>
      <c r="D3242" s="3" t="s">
        <v>138</v>
      </c>
      <c r="E3242" s="3">
        <v>12</v>
      </c>
      <c r="F3242">
        <f>SUM(E3234:E3242)</f>
        <v>1461</v>
      </c>
      <c r="G3242" s="19"/>
    </row>
    <row r="3243" spans="1:7" ht="12.75" x14ac:dyDescent="0.2">
      <c r="A3243" s="3"/>
      <c r="B3243" s="4" t="s">
        <v>55</v>
      </c>
      <c r="C3243" s="3" t="s">
        <v>162</v>
      </c>
      <c r="D3243" s="3" t="s">
        <v>3</v>
      </c>
      <c r="E3243" s="3">
        <v>528</v>
      </c>
      <c r="G3243" s="19"/>
    </row>
    <row r="3244" spans="1:7" ht="12.75" x14ac:dyDescent="0.2">
      <c r="A3244" s="3"/>
      <c r="B3244" s="4" t="s">
        <v>55</v>
      </c>
      <c r="C3244" s="3" t="s">
        <v>162</v>
      </c>
      <c r="D3244" s="3" t="s">
        <v>274</v>
      </c>
      <c r="E3244" s="3">
        <v>2</v>
      </c>
      <c r="G3244" s="19"/>
    </row>
    <row r="3245" spans="1:7" ht="12.75" x14ac:dyDescent="0.2">
      <c r="A3245" s="3"/>
      <c r="B3245" s="4" t="s">
        <v>55</v>
      </c>
      <c r="C3245" s="3" t="s">
        <v>162</v>
      </c>
      <c r="D3245" s="3" t="s">
        <v>149</v>
      </c>
      <c r="E3245" s="3">
        <v>5</v>
      </c>
      <c r="G3245" s="19"/>
    </row>
    <row r="3246" spans="1:7" ht="12.75" x14ac:dyDescent="0.2">
      <c r="A3246" s="3"/>
      <c r="B3246" s="4" t="s">
        <v>55</v>
      </c>
      <c r="C3246" s="3" t="s">
        <v>162</v>
      </c>
      <c r="D3246" s="3" t="s">
        <v>128</v>
      </c>
      <c r="E3246" s="3">
        <v>68</v>
      </c>
      <c r="G3246" s="19"/>
    </row>
    <row r="3247" spans="1:7" ht="12.75" x14ac:dyDescent="0.2">
      <c r="A3247" s="3"/>
      <c r="B3247" s="4" t="s">
        <v>55</v>
      </c>
      <c r="C3247" s="3" t="s">
        <v>162</v>
      </c>
      <c r="D3247" s="3" t="s">
        <v>275</v>
      </c>
      <c r="E3247" s="3">
        <v>7</v>
      </c>
      <c r="G3247" s="19"/>
    </row>
    <row r="3248" spans="1:7" ht="12.75" x14ac:dyDescent="0.2">
      <c r="A3248" s="3"/>
      <c r="B3248" s="4" t="s">
        <v>55</v>
      </c>
      <c r="C3248" s="3" t="s">
        <v>162</v>
      </c>
      <c r="D3248" s="3" t="s">
        <v>305</v>
      </c>
      <c r="E3248" s="3">
        <v>8</v>
      </c>
      <c r="G3248" s="19"/>
    </row>
    <row r="3249" spans="1:7" ht="12.75" x14ac:dyDescent="0.2">
      <c r="A3249" s="3"/>
      <c r="B3249" s="4" t="s">
        <v>55</v>
      </c>
      <c r="C3249" s="3" t="s">
        <v>162</v>
      </c>
      <c r="D3249" s="3" t="s">
        <v>14</v>
      </c>
      <c r="E3249" s="3">
        <v>40</v>
      </c>
      <c r="G3249" s="19"/>
    </row>
    <row r="3250" spans="1:7" ht="12.75" x14ac:dyDescent="0.2">
      <c r="A3250" s="3"/>
      <c r="B3250" s="4" t="s">
        <v>55</v>
      </c>
      <c r="C3250" s="3" t="s">
        <v>162</v>
      </c>
      <c r="D3250" s="3" t="s">
        <v>138</v>
      </c>
      <c r="E3250" s="3">
        <v>5</v>
      </c>
      <c r="F3250">
        <f>SUM(E3243:E3250)</f>
        <v>663</v>
      </c>
      <c r="G3250" s="19"/>
    </row>
    <row r="3251" spans="1:7" ht="12.75" x14ac:dyDescent="0.2">
      <c r="A3251" s="3"/>
      <c r="B3251" s="4" t="s">
        <v>55</v>
      </c>
      <c r="C3251" s="3" t="s">
        <v>161</v>
      </c>
      <c r="D3251" s="3" t="s">
        <v>3</v>
      </c>
      <c r="E3251" s="3">
        <v>471</v>
      </c>
      <c r="G3251" s="19"/>
    </row>
    <row r="3252" spans="1:7" ht="12.75" x14ac:dyDescent="0.2">
      <c r="A3252" s="3"/>
      <c r="B3252" s="4" t="s">
        <v>55</v>
      </c>
      <c r="C3252" s="3" t="s">
        <v>161</v>
      </c>
      <c r="D3252" s="3" t="s">
        <v>274</v>
      </c>
      <c r="E3252" s="3">
        <v>2</v>
      </c>
      <c r="G3252" s="19"/>
    </row>
    <row r="3253" spans="1:7" ht="12.75" x14ac:dyDescent="0.2">
      <c r="A3253" s="3"/>
      <c r="B3253" s="4" t="s">
        <v>55</v>
      </c>
      <c r="C3253" s="3" t="s">
        <v>161</v>
      </c>
      <c r="D3253" s="3" t="s">
        <v>149</v>
      </c>
      <c r="E3253" s="3">
        <v>6</v>
      </c>
      <c r="G3253" s="19"/>
    </row>
    <row r="3254" spans="1:7" ht="12.75" x14ac:dyDescent="0.2">
      <c r="A3254" s="3"/>
      <c r="B3254" s="4" t="s">
        <v>55</v>
      </c>
      <c r="C3254" s="3" t="s">
        <v>161</v>
      </c>
      <c r="D3254" s="3" t="s">
        <v>128</v>
      </c>
      <c r="E3254" s="3">
        <v>90</v>
      </c>
      <c r="G3254" s="19"/>
    </row>
    <row r="3255" spans="1:7" ht="12.75" x14ac:dyDescent="0.2">
      <c r="A3255" s="3"/>
      <c r="B3255" s="4" t="s">
        <v>55</v>
      </c>
      <c r="C3255" s="3" t="s">
        <v>161</v>
      </c>
      <c r="D3255" s="3" t="s">
        <v>275</v>
      </c>
      <c r="E3255" s="3">
        <v>7</v>
      </c>
      <c r="G3255" s="19"/>
    </row>
    <row r="3256" spans="1:7" ht="12.75" x14ac:dyDescent="0.2">
      <c r="A3256" s="3"/>
      <c r="B3256" s="4" t="s">
        <v>55</v>
      </c>
      <c r="C3256" s="3" t="s">
        <v>161</v>
      </c>
      <c r="D3256" s="3" t="s">
        <v>305</v>
      </c>
      <c r="E3256" s="3">
        <v>8</v>
      </c>
      <c r="G3256" s="19"/>
    </row>
    <row r="3257" spans="1:7" ht="12.75" x14ac:dyDescent="0.2">
      <c r="A3257" s="3"/>
      <c r="B3257" s="4" t="s">
        <v>55</v>
      </c>
      <c r="C3257" s="3" t="s">
        <v>161</v>
      </c>
      <c r="D3257" s="3" t="s">
        <v>14</v>
      </c>
      <c r="E3257" s="3">
        <v>76</v>
      </c>
      <c r="G3257" s="19"/>
    </row>
    <row r="3258" spans="1:7" ht="12.75" x14ac:dyDescent="0.2">
      <c r="A3258" s="3"/>
      <c r="B3258" s="4" t="s">
        <v>55</v>
      </c>
      <c r="C3258" s="3" t="s">
        <v>161</v>
      </c>
      <c r="D3258" s="3" t="s">
        <v>138</v>
      </c>
      <c r="E3258" s="3">
        <v>3</v>
      </c>
      <c r="F3258">
        <f>SUM(E3251:E3258)</f>
        <v>663</v>
      </c>
      <c r="G3258" s="19"/>
    </row>
    <row r="3259" spans="1:7" ht="12.75" x14ac:dyDescent="0.2">
      <c r="A3259" s="3"/>
      <c r="B3259" s="4" t="s">
        <v>94</v>
      </c>
      <c r="C3259" s="3" t="s">
        <v>162</v>
      </c>
      <c r="D3259" s="3" t="s">
        <v>3</v>
      </c>
      <c r="E3259" s="3">
        <v>693</v>
      </c>
      <c r="G3259" s="19"/>
    </row>
    <row r="3260" spans="1:7" ht="12.75" x14ac:dyDescent="0.2">
      <c r="A3260" s="3"/>
      <c r="B3260" s="4" t="s">
        <v>94</v>
      </c>
      <c r="C3260" s="3" t="s">
        <v>162</v>
      </c>
      <c r="D3260" s="3" t="s">
        <v>315</v>
      </c>
      <c r="E3260" s="3">
        <v>3</v>
      </c>
      <c r="G3260" s="19"/>
    </row>
    <row r="3261" spans="1:7" ht="12.75" x14ac:dyDescent="0.2">
      <c r="A3261" s="3"/>
      <c r="B3261" s="4" t="s">
        <v>94</v>
      </c>
      <c r="C3261" s="3" t="s">
        <v>162</v>
      </c>
      <c r="D3261" s="3" t="s">
        <v>149</v>
      </c>
      <c r="E3261" s="3">
        <v>6</v>
      </c>
      <c r="G3261" s="19"/>
    </row>
    <row r="3262" spans="1:7" ht="12.75" x14ac:dyDescent="0.2">
      <c r="A3262" s="3"/>
      <c r="B3262" s="4" t="s">
        <v>94</v>
      </c>
      <c r="C3262" s="3" t="s">
        <v>162</v>
      </c>
      <c r="D3262" s="3" t="s">
        <v>128</v>
      </c>
      <c r="E3262" s="3">
        <v>352</v>
      </c>
      <c r="G3262" s="19"/>
    </row>
    <row r="3263" spans="1:7" ht="12.75" x14ac:dyDescent="0.2">
      <c r="A3263" s="3"/>
      <c r="B3263" s="4" t="s">
        <v>94</v>
      </c>
      <c r="C3263" s="3" t="s">
        <v>162</v>
      </c>
      <c r="D3263" s="3" t="s">
        <v>275</v>
      </c>
      <c r="E3263" s="3">
        <v>1</v>
      </c>
      <c r="G3263" s="19"/>
    </row>
    <row r="3264" spans="1:7" ht="12.75" x14ac:dyDescent="0.2">
      <c r="A3264" s="3"/>
      <c r="B3264" s="4" t="s">
        <v>94</v>
      </c>
      <c r="C3264" s="3" t="s">
        <v>162</v>
      </c>
      <c r="D3264" s="3" t="s">
        <v>305</v>
      </c>
      <c r="E3264" s="3">
        <v>3</v>
      </c>
      <c r="G3264" s="19"/>
    </row>
    <row r="3265" spans="1:7" ht="12.75" x14ac:dyDescent="0.2">
      <c r="A3265" s="3"/>
      <c r="B3265" s="4" t="s">
        <v>94</v>
      </c>
      <c r="C3265" s="3" t="s">
        <v>162</v>
      </c>
      <c r="D3265" s="3" t="s">
        <v>14</v>
      </c>
      <c r="E3265" s="3">
        <v>34</v>
      </c>
      <c r="G3265" s="19"/>
    </row>
    <row r="3266" spans="1:7" ht="12.75" x14ac:dyDescent="0.2">
      <c r="A3266" s="3"/>
      <c r="B3266" s="4" t="s">
        <v>94</v>
      </c>
      <c r="C3266" s="3" t="s">
        <v>162</v>
      </c>
      <c r="D3266" s="3" t="s">
        <v>138</v>
      </c>
      <c r="E3266" s="3">
        <v>2</v>
      </c>
      <c r="F3266">
        <f>SUM(E3259:E3266)</f>
        <v>1094</v>
      </c>
      <c r="G3266" s="19"/>
    </row>
    <row r="3267" spans="1:7" ht="12.75" x14ac:dyDescent="0.2">
      <c r="A3267" s="3"/>
      <c r="B3267" s="4" t="s">
        <v>94</v>
      </c>
      <c r="C3267" s="3" t="s">
        <v>161</v>
      </c>
      <c r="D3267" s="3" t="s">
        <v>3</v>
      </c>
      <c r="E3267" s="3">
        <v>666</v>
      </c>
      <c r="G3267" s="19"/>
    </row>
    <row r="3268" spans="1:7" ht="12.75" x14ac:dyDescent="0.2">
      <c r="A3268" s="3"/>
      <c r="B3268" s="4" t="s">
        <v>94</v>
      </c>
      <c r="C3268" s="3" t="s">
        <v>161</v>
      </c>
      <c r="D3268" s="3" t="s">
        <v>315</v>
      </c>
      <c r="E3268" s="3">
        <v>3</v>
      </c>
      <c r="G3268" s="19"/>
    </row>
    <row r="3269" spans="1:7" ht="12.75" x14ac:dyDescent="0.2">
      <c r="A3269" s="3"/>
      <c r="B3269" s="4" t="s">
        <v>94</v>
      </c>
      <c r="C3269" s="3" t="s">
        <v>161</v>
      </c>
      <c r="D3269" s="3" t="s">
        <v>149</v>
      </c>
      <c r="E3269" s="3">
        <v>6</v>
      </c>
      <c r="G3269" s="19"/>
    </row>
    <row r="3270" spans="1:7" ht="12.75" x14ac:dyDescent="0.2">
      <c r="A3270" s="3"/>
      <c r="B3270" s="4" t="s">
        <v>94</v>
      </c>
      <c r="C3270" s="3" t="s">
        <v>161</v>
      </c>
      <c r="D3270" s="3" t="s">
        <v>128</v>
      </c>
      <c r="E3270" s="3">
        <v>374</v>
      </c>
      <c r="G3270" s="19"/>
    </row>
    <row r="3271" spans="1:7" ht="12.75" x14ac:dyDescent="0.2">
      <c r="A3271" s="3"/>
      <c r="B3271" s="4" t="s">
        <v>94</v>
      </c>
      <c r="C3271" s="3" t="s">
        <v>161</v>
      </c>
      <c r="D3271" s="3" t="s">
        <v>275</v>
      </c>
      <c r="E3271" s="3">
        <v>1</v>
      </c>
      <c r="G3271" s="19"/>
    </row>
    <row r="3272" spans="1:7" ht="12.75" x14ac:dyDescent="0.2">
      <c r="A3272" s="3"/>
      <c r="B3272" s="4" t="s">
        <v>94</v>
      </c>
      <c r="C3272" s="3" t="s">
        <v>161</v>
      </c>
      <c r="D3272" s="3" t="s">
        <v>305</v>
      </c>
      <c r="E3272" s="3">
        <v>4</v>
      </c>
      <c r="G3272" s="19"/>
    </row>
    <row r="3273" spans="1:7" ht="12.75" x14ac:dyDescent="0.2">
      <c r="A3273" s="3"/>
      <c r="B3273" s="4" t="s">
        <v>94</v>
      </c>
      <c r="C3273" s="3" t="s">
        <v>161</v>
      </c>
      <c r="D3273" s="3" t="s">
        <v>14</v>
      </c>
      <c r="E3273" s="3">
        <v>38</v>
      </c>
      <c r="G3273" s="19"/>
    </row>
    <row r="3274" spans="1:7" ht="12.75" x14ac:dyDescent="0.2">
      <c r="A3274" s="3"/>
      <c r="B3274" s="4" t="s">
        <v>94</v>
      </c>
      <c r="C3274" s="3" t="s">
        <v>161</v>
      </c>
      <c r="D3274" s="3" t="s">
        <v>138</v>
      </c>
      <c r="E3274" s="3">
        <v>2</v>
      </c>
      <c r="F3274">
        <f>SUM(E3267:E3274)</f>
        <v>1094</v>
      </c>
      <c r="G3274" s="19"/>
    </row>
    <row r="3275" spans="1:7" ht="12.75" x14ac:dyDescent="0.2">
      <c r="A3275" s="3"/>
      <c r="B3275" s="4" t="s">
        <v>80</v>
      </c>
      <c r="C3275" s="3" t="s">
        <v>162</v>
      </c>
      <c r="D3275" s="3" t="s">
        <v>3</v>
      </c>
      <c r="E3275" s="3">
        <v>139</v>
      </c>
      <c r="G3275" s="19"/>
    </row>
    <row r="3276" spans="1:7" ht="12.75" x14ac:dyDescent="0.2">
      <c r="A3276" s="3"/>
      <c r="B3276" s="4" t="s">
        <v>80</v>
      </c>
      <c r="C3276" s="3" t="s">
        <v>162</v>
      </c>
      <c r="D3276" s="3" t="s">
        <v>149</v>
      </c>
      <c r="E3276" s="3">
        <v>11</v>
      </c>
      <c r="G3276" s="19"/>
    </row>
    <row r="3277" spans="1:7" ht="12.75" x14ac:dyDescent="0.2">
      <c r="A3277" s="3"/>
      <c r="B3277" s="4" t="s">
        <v>80</v>
      </c>
      <c r="C3277" s="3" t="s">
        <v>162</v>
      </c>
      <c r="D3277" s="3" t="s">
        <v>128</v>
      </c>
      <c r="E3277" s="3">
        <v>75</v>
      </c>
      <c r="G3277" s="19"/>
    </row>
    <row r="3278" spans="1:7" ht="12.75" x14ac:dyDescent="0.2">
      <c r="A3278" s="3"/>
      <c r="B3278" s="4" t="s">
        <v>80</v>
      </c>
      <c r="C3278" s="3" t="s">
        <v>162</v>
      </c>
      <c r="D3278" s="3" t="s">
        <v>14</v>
      </c>
      <c r="E3278" s="3">
        <v>4</v>
      </c>
      <c r="F3278">
        <f>SUM(E3275:E3278)</f>
        <v>229</v>
      </c>
      <c r="G3278" s="19"/>
    </row>
    <row r="3279" spans="1:7" ht="12.75" x14ac:dyDescent="0.2">
      <c r="A3279" s="3"/>
      <c r="B3279" s="4" t="s">
        <v>80</v>
      </c>
      <c r="C3279" s="3" t="s">
        <v>161</v>
      </c>
      <c r="D3279" s="3" t="s">
        <v>3</v>
      </c>
      <c r="E3279" s="3">
        <v>136</v>
      </c>
      <c r="G3279" s="19"/>
    </row>
    <row r="3280" spans="1:7" ht="12.75" x14ac:dyDescent="0.2">
      <c r="A3280" s="3"/>
      <c r="B3280" s="4" t="s">
        <v>80</v>
      </c>
      <c r="C3280" s="3" t="s">
        <v>161</v>
      </c>
      <c r="D3280" s="3" t="s">
        <v>149</v>
      </c>
      <c r="E3280" s="3">
        <v>14</v>
      </c>
      <c r="G3280" s="19"/>
    </row>
    <row r="3281" spans="1:7" ht="12.75" x14ac:dyDescent="0.2">
      <c r="A3281" s="3"/>
      <c r="B3281" s="4" t="s">
        <v>80</v>
      </c>
      <c r="C3281" s="3" t="s">
        <v>161</v>
      </c>
      <c r="D3281" s="3" t="s">
        <v>128</v>
      </c>
      <c r="E3281" s="3">
        <v>68</v>
      </c>
      <c r="G3281" s="19"/>
    </row>
    <row r="3282" spans="1:7" ht="12.75" x14ac:dyDescent="0.2">
      <c r="A3282" s="3"/>
      <c r="B3282" s="4" t="s">
        <v>80</v>
      </c>
      <c r="C3282" s="3" t="s">
        <v>161</v>
      </c>
      <c r="D3282" s="3" t="s">
        <v>275</v>
      </c>
      <c r="E3282" s="3">
        <v>1</v>
      </c>
      <c r="G3282" s="19"/>
    </row>
    <row r="3283" spans="1:7" ht="12.75" x14ac:dyDescent="0.2">
      <c r="A3283" s="3"/>
      <c r="B3283" s="4" t="s">
        <v>80</v>
      </c>
      <c r="C3283" s="3" t="s">
        <v>161</v>
      </c>
      <c r="D3283" s="3" t="s">
        <v>14</v>
      </c>
      <c r="E3283" s="3">
        <v>10</v>
      </c>
      <c r="F3283">
        <f>SUM(E3279:E3283)</f>
        <v>229</v>
      </c>
      <c r="G3283" s="19"/>
    </row>
    <row r="3284" spans="1:7" ht="12.75" x14ac:dyDescent="0.2">
      <c r="A3284" s="3"/>
      <c r="B3284" s="4" t="s">
        <v>81</v>
      </c>
      <c r="C3284" s="3" t="s">
        <v>162</v>
      </c>
      <c r="D3284" s="3" t="s">
        <v>3</v>
      </c>
      <c r="E3284" s="3">
        <v>110</v>
      </c>
      <c r="G3284" s="19"/>
    </row>
    <row r="3285" spans="1:7" ht="12.75" x14ac:dyDescent="0.2">
      <c r="A3285" s="3"/>
      <c r="B3285" s="4" t="s">
        <v>81</v>
      </c>
      <c r="C3285" s="3" t="s">
        <v>162</v>
      </c>
      <c r="D3285" s="3" t="s">
        <v>149</v>
      </c>
      <c r="E3285" s="3">
        <v>3</v>
      </c>
      <c r="G3285" s="19"/>
    </row>
    <row r="3286" spans="1:7" ht="12.75" x14ac:dyDescent="0.2">
      <c r="A3286" s="3"/>
      <c r="B3286" s="4" t="s">
        <v>81</v>
      </c>
      <c r="C3286" s="3" t="s">
        <v>162</v>
      </c>
      <c r="D3286" s="3" t="s">
        <v>128</v>
      </c>
      <c r="E3286" s="3">
        <v>10</v>
      </c>
      <c r="G3286" s="19"/>
    </row>
    <row r="3287" spans="1:7" ht="12.75" x14ac:dyDescent="0.2">
      <c r="A3287" s="3"/>
      <c r="B3287" s="4" t="s">
        <v>81</v>
      </c>
      <c r="C3287" s="3" t="s">
        <v>162</v>
      </c>
      <c r="D3287" s="3" t="s">
        <v>14</v>
      </c>
      <c r="E3287" s="3">
        <v>12</v>
      </c>
      <c r="F3287">
        <f>SUM(E3284:E3287)</f>
        <v>135</v>
      </c>
      <c r="G3287" s="19"/>
    </row>
    <row r="3288" spans="1:7" ht="12.75" x14ac:dyDescent="0.2">
      <c r="A3288" s="3"/>
      <c r="B3288" s="4" t="s">
        <v>81</v>
      </c>
      <c r="C3288" s="3" t="s">
        <v>161</v>
      </c>
      <c r="D3288" s="3" t="s">
        <v>3</v>
      </c>
      <c r="E3288" s="3">
        <v>106</v>
      </c>
      <c r="G3288" s="19"/>
    </row>
    <row r="3289" spans="1:7" ht="12.75" x14ac:dyDescent="0.2">
      <c r="A3289" s="3"/>
      <c r="B3289" s="4" t="s">
        <v>81</v>
      </c>
      <c r="C3289" s="3" t="s">
        <v>161</v>
      </c>
      <c r="D3289" s="3" t="s">
        <v>149</v>
      </c>
      <c r="E3289" s="3">
        <v>3</v>
      </c>
      <c r="G3289" s="19"/>
    </row>
    <row r="3290" spans="1:7" ht="12.75" x14ac:dyDescent="0.2">
      <c r="A3290" s="3"/>
      <c r="B3290" s="4" t="s">
        <v>81</v>
      </c>
      <c r="C3290" s="3" t="s">
        <v>161</v>
      </c>
      <c r="D3290" s="3" t="s">
        <v>128</v>
      </c>
      <c r="E3290" s="3">
        <v>8</v>
      </c>
      <c r="G3290" s="19"/>
    </row>
    <row r="3291" spans="1:7" ht="12.75" x14ac:dyDescent="0.2">
      <c r="A3291" s="3"/>
      <c r="B3291" s="4" t="s">
        <v>81</v>
      </c>
      <c r="C3291" s="3" t="s">
        <v>161</v>
      </c>
      <c r="D3291" s="3" t="s">
        <v>14</v>
      </c>
      <c r="E3291" s="3">
        <v>18</v>
      </c>
      <c r="F3291">
        <f>SUM(E3288:E3291)</f>
        <v>135</v>
      </c>
      <c r="G3291" s="19"/>
    </row>
    <row r="3292" spans="1:7" ht="12.75" x14ac:dyDescent="0.2">
      <c r="A3292" s="3"/>
      <c r="B3292" s="4" t="s">
        <v>43</v>
      </c>
      <c r="C3292" s="3" t="s">
        <v>162</v>
      </c>
      <c r="D3292" s="3" t="s">
        <v>3</v>
      </c>
      <c r="E3292" s="3">
        <v>769</v>
      </c>
      <c r="G3292" s="19"/>
    </row>
    <row r="3293" spans="1:7" ht="12.75" x14ac:dyDescent="0.2">
      <c r="A3293" s="3"/>
      <c r="B3293" s="4" t="s">
        <v>43</v>
      </c>
      <c r="C3293" s="3" t="s">
        <v>162</v>
      </c>
      <c r="D3293" s="3" t="s">
        <v>274</v>
      </c>
      <c r="E3293" s="3">
        <v>1</v>
      </c>
      <c r="G3293" s="19"/>
    </row>
    <row r="3294" spans="1:7" ht="12.75" x14ac:dyDescent="0.2">
      <c r="A3294" s="3"/>
      <c r="B3294" s="4" t="s">
        <v>43</v>
      </c>
      <c r="C3294" s="3" t="s">
        <v>162</v>
      </c>
      <c r="D3294" s="3" t="s">
        <v>315</v>
      </c>
      <c r="E3294" s="3">
        <v>5</v>
      </c>
      <c r="G3294" s="19"/>
    </row>
    <row r="3295" spans="1:7" ht="12.75" x14ac:dyDescent="0.2">
      <c r="A3295" s="3"/>
      <c r="B3295" s="4" t="s">
        <v>43</v>
      </c>
      <c r="C3295" s="3" t="s">
        <v>162</v>
      </c>
      <c r="D3295" s="3" t="s">
        <v>149</v>
      </c>
      <c r="E3295" s="3">
        <v>31</v>
      </c>
      <c r="G3295" s="19"/>
    </row>
    <row r="3296" spans="1:7" ht="12.75" x14ac:dyDescent="0.2">
      <c r="A3296" s="3"/>
      <c r="B3296" s="4" t="s">
        <v>43</v>
      </c>
      <c r="C3296" s="3" t="s">
        <v>162</v>
      </c>
      <c r="D3296" s="3" t="s">
        <v>128</v>
      </c>
      <c r="E3296" s="3">
        <v>439</v>
      </c>
      <c r="G3296" s="19"/>
    </row>
    <row r="3297" spans="1:7" ht="12.75" x14ac:dyDescent="0.2">
      <c r="A3297" s="3"/>
      <c r="B3297" s="4" t="s">
        <v>43</v>
      </c>
      <c r="C3297" s="3" t="s">
        <v>162</v>
      </c>
      <c r="D3297" s="3" t="s">
        <v>275</v>
      </c>
      <c r="E3297" s="3">
        <v>5</v>
      </c>
      <c r="G3297" s="19"/>
    </row>
    <row r="3298" spans="1:7" ht="12.75" x14ac:dyDescent="0.2">
      <c r="A3298" s="3"/>
      <c r="B3298" s="4" t="s">
        <v>43</v>
      </c>
      <c r="C3298" s="3" t="s">
        <v>162</v>
      </c>
      <c r="D3298" s="3" t="s">
        <v>305</v>
      </c>
      <c r="E3298" s="3">
        <v>10</v>
      </c>
      <c r="G3298" s="19"/>
    </row>
    <row r="3299" spans="1:7" ht="12.75" x14ac:dyDescent="0.2">
      <c r="A3299" s="3"/>
      <c r="B3299" s="4" t="s">
        <v>43</v>
      </c>
      <c r="C3299" s="3" t="s">
        <v>162</v>
      </c>
      <c r="D3299" s="3" t="s">
        <v>14</v>
      </c>
      <c r="E3299" s="3">
        <v>80</v>
      </c>
      <c r="G3299" s="19"/>
    </row>
    <row r="3300" spans="1:7" ht="12.75" x14ac:dyDescent="0.2">
      <c r="A3300" s="3"/>
      <c r="B3300" s="4" t="s">
        <v>43</v>
      </c>
      <c r="C3300" s="3" t="s">
        <v>162</v>
      </c>
      <c r="D3300" s="3" t="s">
        <v>138</v>
      </c>
      <c r="E3300" s="3">
        <v>5</v>
      </c>
      <c r="F3300">
        <f>SUM(E3292:E3300)</f>
        <v>1345</v>
      </c>
      <c r="G3300" s="19"/>
    </row>
    <row r="3301" spans="1:7" ht="12.75" x14ac:dyDescent="0.2">
      <c r="A3301" s="3"/>
      <c r="B3301" s="4" t="s">
        <v>43</v>
      </c>
      <c r="C3301" s="3" t="s">
        <v>161</v>
      </c>
      <c r="D3301" s="3" t="s">
        <v>3</v>
      </c>
      <c r="E3301" s="3">
        <v>740</v>
      </c>
      <c r="G3301" s="19"/>
    </row>
    <row r="3302" spans="1:7" ht="12.75" x14ac:dyDescent="0.2">
      <c r="A3302" s="3"/>
      <c r="B3302" s="4" t="s">
        <v>43</v>
      </c>
      <c r="C3302" s="3" t="s">
        <v>161</v>
      </c>
      <c r="D3302" s="3" t="s">
        <v>274</v>
      </c>
      <c r="E3302" s="3">
        <v>1</v>
      </c>
      <c r="G3302" s="19"/>
    </row>
    <row r="3303" spans="1:7" ht="12.75" x14ac:dyDescent="0.2">
      <c r="A3303" s="3"/>
      <c r="B3303" s="4" t="s">
        <v>43</v>
      </c>
      <c r="C3303" s="3" t="s">
        <v>161</v>
      </c>
      <c r="D3303" s="3" t="s">
        <v>315</v>
      </c>
      <c r="E3303" s="3">
        <v>5</v>
      </c>
      <c r="G3303" s="19"/>
    </row>
    <row r="3304" spans="1:7" ht="12.75" x14ac:dyDescent="0.2">
      <c r="A3304" s="3"/>
      <c r="B3304" s="4" t="s">
        <v>43</v>
      </c>
      <c r="C3304" s="3" t="s">
        <v>161</v>
      </c>
      <c r="D3304" s="3" t="s">
        <v>149</v>
      </c>
      <c r="E3304" s="3">
        <v>31</v>
      </c>
      <c r="G3304" s="19"/>
    </row>
    <row r="3305" spans="1:7" ht="12.75" x14ac:dyDescent="0.2">
      <c r="A3305" s="3"/>
      <c r="B3305" s="4" t="s">
        <v>43</v>
      </c>
      <c r="C3305" s="3" t="s">
        <v>161</v>
      </c>
      <c r="D3305" s="3" t="s">
        <v>128</v>
      </c>
      <c r="E3305" s="3">
        <v>427</v>
      </c>
      <c r="G3305" s="19"/>
    </row>
    <row r="3306" spans="1:7" ht="12.75" x14ac:dyDescent="0.2">
      <c r="A3306" s="3"/>
      <c r="B3306" s="4" t="s">
        <v>43</v>
      </c>
      <c r="C3306" s="3" t="s">
        <v>161</v>
      </c>
      <c r="D3306" s="3" t="s">
        <v>275</v>
      </c>
      <c r="E3306" s="3">
        <v>5</v>
      </c>
      <c r="G3306" s="19"/>
    </row>
    <row r="3307" spans="1:7" ht="12.75" x14ac:dyDescent="0.2">
      <c r="A3307" s="3"/>
      <c r="B3307" s="4" t="s">
        <v>43</v>
      </c>
      <c r="C3307" s="3" t="s">
        <v>161</v>
      </c>
      <c r="D3307" s="3" t="s">
        <v>305</v>
      </c>
      <c r="E3307" s="3">
        <v>10</v>
      </c>
      <c r="G3307" s="19"/>
    </row>
    <row r="3308" spans="1:7" ht="12.75" x14ac:dyDescent="0.2">
      <c r="A3308" s="3"/>
      <c r="B3308" s="4" t="s">
        <v>43</v>
      </c>
      <c r="C3308" s="3" t="s">
        <v>161</v>
      </c>
      <c r="D3308" s="3" t="s">
        <v>14</v>
      </c>
      <c r="E3308" s="3">
        <v>121</v>
      </c>
      <c r="G3308" s="19"/>
    </row>
    <row r="3309" spans="1:7" ht="12.75" x14ac:dyDescent="0.2">
      <c r="A3309" s="3"/>
      <c r="B3309" s="4" t="s">
        <v>43</v>
      </c>
      <c r="C3309" s="3" t="s">
        <v>161</v>
      </c>
      <c r="D3309" s="3" t="s">
        <v>138</v>
      </c>
      <c r="E3309" s="3">
        <v>5</v>
      </c>
      <c r="F3309">
        <f>SUM(E3301:E3309)</f>
        <v>1345</v>
      </c>
      <c r="G3309" s="19"/>
    </row>
    <row r="3310" spans="1:7" ht="12.75" x14ac:dyDescent="0.2">
      <c r="A3310" s="3"/>
      <c r="B3310" s="4" t="s">
        <v>75</v>
      </c>
      <c r="C3310" s="3" t="s">
        <v>162</v>
      </c>
      <c r="D3310" s="3" t="s">
        <v>3</v>
      </c>
      <c r="E3310" s="3">
        <v>101</v>
      </c>
      <c r="G3310" s="19"/>
    </row>
    <row r="3311" spans="1:7" ht="12.75" x14ac:dyDescent="0.2">
      <c r="A3311" s="3"/>
      <c r="B3311" s="4" t="s">
        <v>75</v>
      </c>
      <c r="C3311" s="3" t="s">
        <v>162</v>
      </c>
      <c r="D3311" s="3" t="s">
        <v>149</v>
      </c>
      <c r="E3311" s="3">
        <v>2</v>
      </c>
      <c r="G3311" s="19"/>
    </row>
    <row r="3312" spans="1:7" ht="12.75" x14ac:dyDescent="0.2">
      <c r="A3312" s="3"/>
      <c r="B3312" s="4" t="s">
        <v>75</v>
      </c>
      <c r="C3312" s="3" t="s">
        <v>162</v>
      </c>
      <c r="D3312" s="3" t="s">
        <v>128</v>
      </c>
      <c r="E3312" s="3">
        <v>5</v>
      </c>
      <c r="G3312" s="19"/>
    </row>
    <row r="3313" spans="1:7" ht="12.75" x14ac:dyDescent="0.2">
      <c r="A3313" s="3"/>
      <c r="B3313" s="4" t="s">
        <v>75</v>
      </c>
      <c r="C3313" s="3" t="s">
        <v>162</v>
      </c>
      <c r="D3313" s="3" t="s">
        <v>305</v>
      </c>
      <c r="E3313" s="3">
        <v>1</v>
      </c>
      <c r="G3313" s="19"/>
    </row>
    <row r="3314" spans="1:7" ht="12.75" x14ac:dyDescent="0.2">
      <c r="A3314" s="3"/>
      <c r="B3314" s="4" t="s">
        <v>75</v>
      </c>
      <c r="C3314" s="3" t="s">
        <v>162</v>
      </c>
      <c r="D3314" s="3" t="s">
        <v>14</v>
      </c>
      <c r="E3314" s="3">
        <v>1</v>
      </c>
      <c r="F3314">
        <f>SUM(E3310:E3314)</f>
        <v>110</v>
      </c>
      <c r="G3314" s="19"/>
    </row>
    <row r="3315" spans="1:7" ht="12.75" x14ac:dyDescent="0.2">
      <c r="A3315" s="3"/>
      <c r="B3315" s="4" t="s">
        <v>75</v>
      </c>
      <c r="C3315" s="3" t="s">
        <v>161</v>
      </c>
      <c r="D3315" s="3" t="s">
        <v>3</v>
      </c>
      <c r="E3315" s="3">
        <v>98</v>
      </c>
      <c r="G3315" s="19"/>
    </row>
    <row r="3316" spans="1:7" ht="12.75" x14ac:dyDescent="0.2">
      <c r="A3316" s="3"/>
      <c r="B3316" s="4" t="s">
        <v>75</v>
      </c>
      <c r="C3316" s="3" t="s">
        <v>161</v>
      </c>
      <c r="D3316" s="3" t="s">
        <v>149</v>
      </c>
      <c r="E3316" s="3">
        <v>2</v>
      </c>
      <c r="G3316" s="19"/>
    </row>
    <row r="3317" spans="1:7" ht="12.75" x14ac:dyDescent="0.2">
      <c r="A3317" s="3"/>
      <c r="B3317" s="4" t="s">
        <v>75</v>
      </c>
      <c r="C3317" s="3" t="s">
        <v>161</v>
      </c>
      <c r="D3317" s="3" t="s">
        <v>128</v>
      </c>
      <c r="E3317" s="3">
        <v>5</v>
      </c>
      <c r="G3317" s="19"/>
    </row>
    <row r="3318" spans="1:7" ht="12.75" x14ac:dyDescent="0.2">
      <c r="A3318" s="3"/>
      <c r="B3318" s="4" t="s">
        <v>75</v>
      </c>
      <c r="C3318" s="3" t="s">
        <v>161</v>
      </c>
      <c r="D3318" s="3" t="s">
        <v>305</v>
      </c>
      <c r="E3318" s="3">
        <v>1</v>
      </c>
      <c r="G3318" s="19"/>
    </row>
    <row r="3319" spans="1:7" ht="12.75" x14ac:dyDescent="0.2">
      <c r="A3319" s="3"/>
      <c r="B3319" s="4" t="s">
        <v>75</v>
      </c>
      <c r="C3319" s="3" t="s">
        <v>161</v>
      </c>
      <c r="D3319" s="3" t="s">
        <v>14</v>
      </c>
      <c r="E3319" s="3">
        <v>4</v>
      </c>
      <c r="F3319">
        <f>SUM(E3315:E3319)</f>
        <v>110</v>
      </c>
      <c r="G3319" s="19"/>
    </row>
    <row r="3320" spans="1:7" ht="12.75" x14ac:dyDescent="0.2">
      <c r="A3320" s="3"/>
      <c r="B3320" s="4" t="s">
        <v>76</v>
      </c>
      <c r="C3320" s="3" t="s">
        <v>162</v>
      </c>
      <c r="D3320" s="3" t="s">
        <v>3</v>
      </c>
      <c r="E3320" s="3">
        <v>416</v>
      </c>
      <c r="G3320" s="19"/>
    </row>
    <row r="3321" spans="1:7" ht="12.75" x14ac:dyDescent="0.2">
      <c r="A3321" s="3"/>
      <c r="B3321" s="4" t="s">
        <v>76</v>
      </c>
      <c r="C3321" s="3" t="s">
        <v>162</v>
      </c>
      <c r="D3321" s="3" t="s">
        <v>315</v>
      </c>
      <c r="E3321" s="3">
        <v>1</v>
      </c>
      <c r="G3321" s="19"/>
    </row>
    <row r="3322" spans="1:7" ht="12.75" x14ac:dyDescent="0.2">
      <c r="A3322" s="3"/>
      <c r="B3322" s="4" t="s">
        <v>76</v>
      </c>
      <c r="C3322" s="3" t="s">
        <v>162</v>
      </c>
      <c r="D3322" s="3" t="s">
        <v>149</v>
      </c>
      <c r="E3322" s="3">
        <v>4</v>
      </c>
      <c r="G3322" s="19"/>
    </row>
    <row r="3323" spans="1:7" ht="12.75" x14ac:dyDescent="0.2">
      <c r="A3323" s="3"/>
      <c r="B3323" s="4" t="s">
        <v>76</v>
      </c>
      <c r="C3323" s="3" t="s">
        <v>162</v>
      </c>
      <c r="D3323" s="3" t="s">
        <v>128</v>
      </c>
      <c r="E3323" s="3">
        <v>150</v>
      </c>
      <c r="G3323" s="19"/>
    </row>
    <row r="3324" spans="1:7" ht="12.75" x14ac:dyDescent="0.2">
      <c r="A3324" s="3"/>
      <c r="B3324" s="4" t="s">
        <v>76</v>
      </c>
      <c r="C3324" s="3" t="s">
        <v>162</v>
      </c>
      <c r="D3324" s="3" t="s">
        <v>275</v>
      </c>
      <c r="E3324" s="3">
        <v>1</v>
      </c>
      <c r="G3324" s="19"/>
    </row>
    <row r="3325" spans="1:7" ht="12.75" x14ac:dyDescent="0.2">
      <c r="A3325" s="3"/>
      <c r="B3325" s="4" t="s">
        <v>76</v>
      </c>
      <c r="C3325" s="3" t="s">
        <v>162</v>
      </c>
      <c r="D3325" s="3" t="s">
        <v>305</v>
      </c>
      <c r="E3325" s="3">
        <v>2</v>
      </c>
      <c r="G3325" s="19"/>
    </row>
    <row r="3326" spans="1:7" ht="12.75" x14ac:dyDescent="0.2">
      <c r="A3326" s="3"/>
      <c r="B3326" s="4" t="s">
        <v>76</v>
      </c>
      <c r="C3326" s="3" t="s">
        <v>162</v>
      </c>
      <c r="D3326" s="3" t="s">
        <v>14</v>
      </c>
      <c r="E3326" s="3">
        <v>23</v>
      </c>
      <c r="G3326" s="19"/>
    </row>
    <row r="3327" spans="1:7" ht="12.75" x14ac:dyDescent="0.2">
      <c r="A3327" s="3"/>
      <c r="B3327" s="4" t="s">
        <v>76</v>
      </c>
      <c r="C3327" s="3" t="s">
        <v>162</v>
      </c>
      <c r="D3327" s="3" t="s">
        <v>138</v>
      </c>
      <c r="E3327" s="3">
        <v>2</v>
      </c>
      <c r="F3327">
        <f>SUM(E3320:E3327)</f>
        <v>599</v>
      </c>
      <c r="G3327" s="19"/>
    </row>
    <row r="3328" spans="1:7" ht="12.75" x14ac:dyDescent="0.2">
      <c r="A3328" s="3"/>
      <c r="B3328" s="4" t="s">
        <v>76</v>
      </c>
      <c r="C3328" s="3" t="s">
        <v>161</v>
      </c>
      <c r="D3328" s="3" t="s">
        <v>3</v>
      </c>
      <c r="E3328" s="3">
        <v>399</v>
      </c>
      <c r="G3328" s="19"/>
    </row>
    <row r="3329" spans="1:7" ht="12.75" x14ac:dyDescent="0.2">
      <c r="A3329" s="3"/>
      <c r="B3329" s="4" t="s">
        <v>76</v>
      </c>
      <c r="C3329" s="3" t="s">
        <v>161</v>
      </c>
      <c r="D3329" s="3" t="s">
        <v>274</v>
      </c>
      <c r="E3329" s="3">
        <v>1</v>
      </c>
      <c r="G3329" s="19"/>
    </row>
    <row r="3330" spans="1:7" ht="12.75" x14ac:dyDescent="0.2">
      <c r="A3330" s="3"/>
      <c r="B3330" s="4" t="s">
        <v>76</v>
      </c>
      <c r="C3330" s="3" t="s">
        <v>161</v>
      </c>
      <c r="D3330" s="3" t="s">
        <v>149</v>
      </c>
      <c r="E3330" s="3">
        <v>4</v>
      </c>
      <c r="G3330" s="19"/>
    </row>
    <row r="3331" spans="1:7" ht="12.75" x14ac:dyDescent="0.2">
      <c r="A3331" s="3"/>
      <c r="B3331" s="4" t="s">
        <v>76</v>
      </c>
      <c r="C3331" s="3" t="s">
        <v>161</v>
      </c>
      <c r="D3331" s="3" t="s">
        <v>128</v>
      </c>
      <c r="E3331" s="3">
        <v>156</v>
      </c>
      <c r="G3331" s="19"/>
    </row>
    <row r="3332" spans="1:7" ht="12.75" x14ac:dyDescent="0.2">
      <c r="A3332" s="3"/>
      <c r="B3332" s="4" t="s">
        <v>76</v>
      </c>
      <c r="C3332" s="3" t="s">
        <v>161</v>
      </c>
      <c r="D3332" s="3" t="s">
        <v>275</v>
      </c>
      <c r="E3332" s="3">
        <v>1</v>
      </c>
      <c r="G3332" s="19"/>
    </row>
    <row r="3333" spans="1:7" ht="12.75" x14ac:dyDescent="0.2">
      <c r="A3333" s="3"/>
      <c r="B3333" s="4" t="s">
        <v>76</v>
      </c>
      <c r="C3333" s="3" t="s">
        <v>161</v>
      </c>
      <c r="D3333" s="3" t="s">
        <v>305</v>
      </c>
      <c r="E3333" s="3">
        <v>1</v>
      </c>
      <c r="G3333" s="19"/>
    </row>
    <row r="3334" spans="1:7" ht="12.75" x14ac:dyDescent="0.2">
      <c r="A3334" s="3"/>
      <c r="B3334" s="4" t="s">
        <v>76</v>
      </c>
      <c r="C3334" s="3" t="s">
        <v>161</v>
      </c>
      <c r="D3334" s="3" t="s">
        <v>14</v>
      </c>
      <c r="E3334" s="3">
        <v>35</v>
      </c>
      <c r="G3334" s="19"/>
    </row>
    <row r="3335" spans="1:7" ht="12.75" x14ac:dyDescent="0.2">
      <c r="A3335" s="3"/>
      <c r="B3335" s="4" t="s">
        <v>76</v>
      </c>
      <c r="C3335" s="3" t="s">
        <v>161</v>
      </c>
      <c r="D3335" s="3" t="s">
        <v>138</v>
      </c>
      <c r="E3335" s="3">
        <v>2</v>
      </c>
      <c r="F3335">
        <f>SUM(E3328:E3335)</f>
        <v>599</v>
      </c>
      <c r="G3335" s="19"/>
    </row>
    <row r="3336" spans="1:7" ht="12.75" x14ac:dyDescent="0.2">
      <c r="A3336" s="3"/>
      <c r="B3336" s="4" t="s">
        <v>25</v>
      </c>
      <c r="C3336" s="3" t="s">
        <v>162</v>
      </c>
      <c r="D3336" s="3" t="s">
        <v>3</v>
      </c>
      <c r="E3336" s="3">
        <v>1853</v>
      </c>
      <c r="G3336" s="19"/>
    </row>
    <row r="3337" spans="1:7" ht="12.75" x14ac:dyDescent="0.2">
      <c r="A3337" s="3"/>
      <c r="B3337" s="4" t="s">
        <v>25</v>
      </c>
      <c r="C3337" s="3" t="s">
        <v>162</v>
      </c>
      <c r="D3337" s="3" t="s">
        <v>274</v>
      </c>
      <c r="E3337" s="3">
        <v>4</v>
      </c>
      <c r="G3337" s="19"/>
    </row>
    <row r="3338" spans="1:7" ht="12.75" x14ac:dyDescent="0.2">
      <c r="A3338" s="3"/>
      <c r="B3338" s="4" t="s">
        <v>25</v>
      </c>
      <c r="C3338" s="3" t="s">
        <v>162</v>
      </c>
      <c r="D3338" s="3" t="s">
        <v>315</v>
      </c>
      <c r="E3338" s="3">
        <v>129</v>
      </c>
      <c r="G3338" s="19"/>
    </row>
    <row r="3339" spans="1:7" ht="12.75" x14ac:dyDescent="0.2">
      <c r="A3339" s="3"/>
      <c r="B3339" s="4" t="s">
        <v>25</v>
      </c>
      <c r="C3339" s="3" t="s">
        <v>162</v>
      </c>
      <c r="D3339" s="3" t="s">
        <v>149</v>
      </c>
      <c r="E3339" s="3">
        <v>109</v>
      </c>
      <c r="G3339" s="19"/>
    </row>
    <row r="3340" spans="1:7" ht="12.75" x14ac:dyDescent="0.2">
      <c r="A3340" s="3"/>
      <c r="B3340" s="4" t="s">
        <v>25</v>
      </c>
      <c r="C3340" s="3" t="s">
        <v>162</v>
      </c>
      <c r="D3340" s="3" t="s">
        <v>128</v>
      </c>
      <c r="E3340" s="3">
        <v>1276</v>
      </c>
      <c r="G3340" s="19"/>
    </row>
    <row r="3341" spans="1:7" ht="12.75" x14ac:dyDescent="0.2">
      <c r="A3341" s="3"/>
      <c r="B3341" s="4" t="s">
        <v>25</v>
      </c>
      <c r="C3341" s="3" t="s">
        <v>162</v>
      </c>
      <c r="D3341" s="3" t="s">
        <v>275</v>
      </c>
      <c r="E3341" s="3">
        <v>8</v>
      </c>
      <c r="G3341" s="19"/>
    </row>
    <row r="3342" spans="1:7" ht="12.75" x14ac:dyDescent="0.2">
      <c r="A3342" s="3"/>
      <c r="B3342" s="4" t="s">
        <v>25</v>
      </c>
      <c r="C3342" s="3" t="s">
        <v>162</v>
      </c>
      <c r="D3342" s="3" t="s">
        <v>305</v>
      </c>
      <c r="E3342" s="3">
        <v>117</v>
      </c>
      <c r="G3342" s="19"/>
    </row>
    <row r="3343" spans="1:7" ht="12.75" x14ac:dyDescent="0.2">
      <c r="A3343" s="3"/>
      <c r="B3343" s="4" t="s">
        <v>25</v>
      </c>
      <c r="C3343" s="3" t="s">
        <v>162</v>
      </c>
      <c r="D3343" s="3" t="s">
        <v>14</v>
      </c>
      <c r="E3343" s="3">
        <v>342</v>
      </c>
      <c r="G3343" s="19"/>
    </row>
    <row r="3344" spans="1:7" ht="12.75" x14ac:dyDescent="0.2">
      <c r="A3344" s="3"/>
      <c r="B3344" s="4" t="s">
        <v>25</v>
      </c>
      <c r="C3344" s="3" t="s">
        <v>162</v>
      </c>
      <c r="D3344" s="3" t="s">
        <v>138</v>
      </c>
      <c r="E3344" s="3">
        <v>28</v>
      </c>
      <c r="F3344">
        <f>SUM(E3336:E3344)</f>
        <v>3866</v>
      </c>
      <c r="G3344" s="19"/>
    </row>
    <row r="3345" spans="1:7" ht="12.75" x14ac:dyDescent="0.2">
      <c r="A3345" s="3"/>
      <c r="B3345" s="4" t="s">
        <v>25</v>
      </c>
      <c r="C3345" s="3" t="s">
        <v>161</v>
      </c>
      <c r="D3345" s="3" t="s">
        <v>3</v>
      </c>
      <c r="E3345" s="3">
        <v>1718</v>
      </c>
      <c r="G3345" s="19"/>
    </row>
    <row r="3346" spans="1:7" ht="12.75" x14ac:dyDescent="0.2">
      <c r="A3346" s="3"/>
      <c r="B3346" s="4" t="s">
        <v>25</v>
      </c>
      <c r="C3346" s="3" t="s">
        <v>161</v>
      </c>
      <c r="D3346" s="3" t="s">
        <v>274</v>
      </c>
      <c r="E3346" s="3">
        <v>5</v>
      </c>
      <c r="G3346" s="19"/>
    </row>
    <row r="3347" spans="1:7" ht="12.75" x14ac:dyDescent="0.2">
      <c r="A3347" s="3"/>
      <c r="B3347" s="4" t="s">
        <v>25</v>
      </c>
      <c r="C3347" s="3" t="s">
        <v>161</v>
      </c>
      <c r="D3347" s="3" t="s">
        <v>315</v>
      </c>
      <c r="E3347" s="3">
        <v>165</v>
      </c>
      <c r="G3347" s="19"/>
    </row>
    <row r="3348" spans="1:7" ht="12.75" x14ac:dyDescent="0.2">
      <c r="A3348" s="3"/>
      <c r="B3348" s="4" t="s">
        <v>25</v>
      </c>
      <c r="C3348" s="3" t="s">
        <v>161</v>
      </c>
      <c r="D3348" s="3" t="s">
        <v>149</v>
      </c>
      <c r="E3348" s="3">
        <v>124</v>
      </c>
      <c r="G3348" s="19"/>
    </row>
    <row r="3349" spans="1:7" ht="12.75" x14ac:dyDescent="0.2">
      <c r="A3349" s="3"/>
      <c r="B3349" s="4" t="s">
        <v>25</v>
      </c>
      <c r="C3349" s="3" t="s">
        <v>161</v>
      </c>
      <c r="D3349" s="3" t="s">
        <v>128</v>
      </c>
      <c r="E3349" s="3">
        <v>1229</v>
      </c>
      <c r="G3349" s="19"/>
    </row>
    <row r="3350" spans="1:7" ht="12.75" x14ac:dyDescent="0.2">
      <c r="A3350" s="3"/>
      <c r="B3350" s="4" t="s">
        <v>25</v>
      </c>
      <c r="C3350" s="3" t="s">
        <v>161</v>
      </c>
      <c r="D3350" s="3" t="s">
        <v>275</v>
      </c>
      <c r="E3350" s="3">
        <v>8</v>
      </c>
      <c r="G3350" s="19"/>
    </row>
    <row r="3351" spans="1:7" ht="12.75" x14ac:dyDescent="0.2">
      <c r="A3351" s="3"/>
      <c r="B3351" s="4" t="s">
        <v>25</v>
      </c>
      <c r="C3351" s="3" t="s">
        <v>161</v>
      </c>
      <c r="D3351" s="3" t="s">
        <v>305</v>
      </c>
      <c r="E3351" s="3">
        <v>123</v>
      </c>
      <c r="G3351" s="19"/>
    </row>
    <row r="3352" spans="1:7" ht="12.75" x14ac:dyDescent="0.2">
      <c r="A3352" s="3"/>
      <c r="B3352" s="4" t="s">
        <v>25</v>
      </c>
      <c r="C3352" s="3" t="s">
        <v>161</v>
      </c>
      <c r="D3352" s="3" t="s">
        <v>14</v>
      </c>
      <c r="E3352" s="3">
        <v>462</v>
      </c>
      <c r="G3352" s="19"/>
    </row>
    <row r="3353" spans="1:7" ht="12.75" x14ac:dyDescent="0.2">
      <c r="A3353" s="3"/>
      <c r="B3353" s="4" t="s">
        <v>25</v>
      </c>
      <c r="C3353" s="3" t="s">
        <v>161</v>
      </c>
      <c r="D3353" s="3" t="s">
        <v>138</v>
      </c>
      <c r="E3353" s="3">
        <v>32</v>
      </c>
      <c r="F3353">
        <f>SUM(E3345:E3353)</f>
        <v>3866</v>
      </c>
      <c r="G3353" s="19"/>
    </row>
    <row r="3354" spans="1:7" ht="12.75" x14ac:dyDescent="0.2">
      <c r="A3354" s="3"/>
      <c r="B3354" s="4" t="s">
        <v>101</v>
      </c>
      <c r="C3354" s="3" t="s">
        <v>162</v>
      </c>
      <c r="D3354" s="3" t="s">
        <v>3</v>
      </c>
      <c r="E3354" s="3">
        <v>93</v>
      </c>
      <c r="G3354" s="19"/>
    </row>
    <row r="3355" spans="1:7" ht="12.75" x14ac:dyDescent="0.2">
      <c r="A3355" s="3"/>
      <c r="B3355" s="4" t="s">
        <v>101</v>
      </c>
      <c r="C3355" s="3" t="s">
        <v>162</v>
      </c>
      <c r="D3355" s="3" t="s">
        <v>274</v>
      </c>
      <c r="E3355" s="3">
        <v>1</v>
      </c>
      <c r="G3355" s="19"/>
    </row>
    <row r="3356" spans="1:7" ht="12.75" x14ac:dyDescent="0.2">
      <c r="A3356" s="3"/>
      <c r="B3356" s="4" t="s">
        <v>101</v>
      </c>
      <c r="C3356" s="3" t="s">
        <v>162</v>
      </c>
      <c r="D3356" s="3" t="s">
        <v>149</v>
      </c>
      <c r="E3356" s="3">
        <v>4</v>
      </c>
      <c r="G3356" s="19"/>
    </row>
    <row r="3357" spans="1:7" ht="12.75" x14ac:dyDescent="0.2">
      <c r="A3357" s="3"/>
      <c r="B3357" s="4" t="s">
        <v>101</v>
      </c>
      <c r="C3357" s="3" t="s">
        <v>162</v>
      </c>
      <c r="D3357" s="3" t="s">
        <v>128</v>
      </c>
      <c r="E3357" s="3">
        <v>130</v>
      </c>
      <c r="G3357" s="19"/>
    </row>
    <row r="3358" spans="1:7" ht="12.75" x14ac:dyDescent="0.2">
      <c r="A3358" s="3"/>
      <c r="B3358" s="4" t="s">
        <v>101</v>
      </c>
      <c r="C3358" s="3" t="s">
        <v>162</v>
      </c>
      <c r="D3358" s="3" t="s">
        <v>14</v>
      </c>
      <c r="E3358" s="3">
        <v>13</v>
      </c>
      <c r="G3358" s="19"/>
    </row>
    <row r="3359" spans="1:7" ht="12.75" x14ac:dyDescent="0.2">
      <c r="A3359" s="3"/>
      <c r="B3359" s="4" t="s">
        <v>101</v>
      </c>
      <c r="C3359" s="3" t="s">
        <v>162</v>
      </c>
      <c r="D3359" s="3" t="s">
        <v>138</v>
      </c>
      <c r="E3359" s="3">
        <v>1</v>
      </c>
      <c r="F3359">
        <f>SUM(E3354:E3359)</f>
        <v>242</v>
      </c>
      <c r="G3359" s="19"/>
    </row>
    <row r="3360" spans="1:7" ht="12.75" x14ac:dyDescent="0.2">
      <c r="A3360" s="3"/>
      <c r="B3360" s="4" t="s">
        <v>101</v>
      </c>
      <c r="C3360" s="3" t="s">
        <v>161</v>
      </c>
      <c r="D3360" s="3" t="s">
        <v>3</v>
      </c>
      <c r="E3360" s="3">
        <v>83</v>
      </c>
      <c r="G3360" s="19"/>
    </row>
    <row r="3361" spans="1:7" ht="12.75" x14ac:dyDescent="0.2">
      <c r="A3361" s="3"/>
      <c r="B3361" s="4" t="s">
        <v>101</v>
      </c>
      <c r="C3361" s="3" t="s">
        <v>161</v>
      </c>
      <c r="D3361" s="3" t="s">
        <v>315</v>
      </c>
      <c r="E3361" s="3">
        <v>1</v>
      </c>
      <c r="G3361" s="19"/>
    </row>
    <row r="3362" spans="1:7" ht="12.75" x14ac:dyDescent="0.2">
      <c r="A3362" s="3"/>
      <c r="B3362" s="4" t="s">
        <v>101</v>
      </c>
      <c r="C3362" s="3" t="s">
        <v>161</v>
      </c>
      <c r="D3362" s="3" t="s">
        <v>149</v>
      </c>
      <c r="E3362" s="3">
        <v>4</v>
      </c>
      <c r="G3362" s="19"/>
    </row>
    <row r="3363" spans="1:7" ht="12.75" x14ac:dyDescent="0.2">
      <c r="A3363" s="3"/>
      <c r="B3363" s="4" t="s">
        <v>101</v>
      </c>
      <c r="C3363" s="3" t="s">
        <v>161</v>
      </c>
      <c r="D3363" s="3" t="s">
        <v>128</v>
      </c>
      <c r="E3363" s="3">
        <v>133</v>
      </c>
      <c r="G3363" s="19"/>
    </row>
    <row r="3364" spans="1:7" ht="12.75" x14ac:dyDescent="0.2">
      <c r="A3364" s="3"/>
      <c r="B3364" s="4" t="s">
        <v>101</v>
      </c>
      <c r="C3364" s="3" t="s">
        <v>161</v>
      </c>
      <c r="D3364" s="3" t="s">
        <v>14</v>
      </c>
      <c r="E3364" s="3">
        <v>18</v>
      </c>
      <c r="G3364" s="19"/>
    </row>
    <row r="3365" spans="1:7" ht="12.75" x14ac:dyDescent="0.2">
      <c r="A3365" s="3"/>
      <c r="B3365" s="4" t="s">
        <v>101</v>
      </c>
      <c r="C3365" s="3" t="s">
        <v>161</v>
      </c>
      <c r="D3365" s="3" t="s">
        <v>138</v>
      </c>
      <c r="E3365" s="3">
        <v>3</v>
      </c>
      <c r="F3365">
        <f>SUM(E3360:E3365)</f>
        <v>242</v>
      </c>
      <c r="G3365" s="19"/>
    </row>
    <row r="3366" spans="1:7" ht="12.75" x14ac:dyDescent="0.2">
      <c r="A3366" s="3"/>
      <c r="B3366" s="4" t="s">
        <v>58</v>
      </c>
      <c r="C3366" s="3" t="s">
        <v>162</v>
      </c>
      <c r="D3366" s="3" t="s">
        <v>3</v>
      </c>
      <c r="E3366" s="3">
        <v>141</v>
      </c>
      <c r="G3366" s="19"/>
    </row>
    <row r="3367" spans="1:7" ht="12.75" x14ac:dyDescent="0.2">
      <c r="A3367" s="3"/>
      <c r="B3367" s="4" t="s">
        <v>58</v>
      </c>
      <c r="C3367" s="3" t="s">
        <v>162</v>
      </c>
      <c r="D3367" s="3" t="s">
        <v>149</v>
      </c>
      <c r="E3367" s="3">
        <v>6</v>
      </c>
      <c r="G3367" s="19"/>
    </row>
    <row r="3368" spans="1:7" ht="12.75" x14ac:dyDescent="0.2">
      <c r="A3368" s="3"/>
      <c r="B3368" s="4" t="s">
        <v>58</v>
      </c>
      <c r="C3368" s="3" t="s">
        <v>162</v>
      </c>
      <c r="D3368" s="3" t="s">
        <v>128</v>
      </c>
      <c r="E3368" s="3">
        <v>143</v>
      </c>
      <c r="G3368" s="19"/>
    </row>
    <row r="3369" spans="1:7" ht="12.75" x14ac:dyDescent="0.2">
      <c r="A3369" s="3"/>
      <c r="B3369" s="4" t="s">
        <v>58</v>
      </c>
      <c r="C3369" s="3" t="s">
        <v>162</v>
      </c>
      <c r="D3369" s="3" t="s">
        <v>14</v>
      </c>
      <c r="E3369" s="3">
        <v>17</v>
      </c>
      <c r="G3369" s="19"/>
    </row>
    <row r="3370" spans="1:7" ht="12.75" x14ac:dyDescent="0.2">
      <c r="A3370" s="3"/>
      <c r="B3370" s="4" t="s">
        <v>58</v>
      </c>
      <c r="C3370" s="3" t="s">
        <v>162</v>
      </c>
      <c r="D3370" s="3" t="s">
        <v>138</v>
      </c>
      <c r="E3370" s="3">
        <v>5</v>
      </c>
      <c r="F3370">
        <f>SUM(E3366:E3370)</f>
        <v>312</v>
      </c>
      <c r="G3370" s="19"/>
    </row>
    <row r="3371" spans="1:7" ht="12.75" x14ac:dyDescent="0.2">
      <c r="A3371" s="3"/>
      <c r="B3371" s="4" t="s">
        <v>58</v>
      </c>
      <c r="C3371" s="3" t="s">
        <v>161</v>
      </c>
      <c r="D3371" s="3" t="s">
        <v>3</v>
      </c>
      <c r="E3371" s="3">
        <v>116</v>
      </c>
      <c r="G3371" s="19"/>
    </row>
    <row r="3372" spans="1:7" ht="12.75" x14ac:dyDescent="0.2">
      <c r="A3372" s="3"/>
      <c r="B3372" s="4" t="s">
        <v>58</v>
      </c>
      <c r="C3372" s="3" t="s">
        <v>161</v>
      </c>
      <c r="D3372" s="3" t="s">
        <v>149</v>
      </c>
      <c r="E3372" s="3">
        <v>5</v>
      </c>
      <c r="G3372" s="19"/>
    </row>
    <row r="3373" spans="1:7" ht="12.75" x14ac:dyDescent="0.2">
      <c r="A3373" s="3"/>
      <c r="B3373" s="4" t="s">
        <v>58</v>
      </c>
      <c r="C3373" s="3" t="s">
        <v>161</v>
      </c>
      <c r="D3373" s="3" t="s">
        <v>128</v>
      </c>
      <c r="E3373" s="3">
        <v>152</v>
      </c>
      <c r="G3373" s="19"/>
    </row>
    <row r="3374" spans="1:7" ht="12.75" x14ac:dyDescent="0.2">
      <c r="A3374" s="3"/>
      <c r="B3374" s="4" t="s">
        <v>58</v>
      </c>
      <c r="C3374" s="3" t="s">
        <v>161</v>
      </c>
      <c r="D3374" s="3" t="s">
        <v>14</v>
      </c>
      <c r="E3374" s="3">
        <v>34</v>
      </c>
      <c r="G3374" s="19"/>
    </row>
    <row r="3375" spans="1:7" ht="12.75" x14ac:dyDescent="0.2">
      <c r="A3375" s="3"/>
      <c r="B3375" s="4" t="s">
        <v>58</v>
      </c>
      <c r="C3375" s="3" t="s">
        <v>161</v>
      </c>
      <c r="D3375" s="3" t="s">
        <v>138</v>
      </c>
      <c r="E3375" s="3">
        <v>5</v>
      </c>
      <c r="F3375">
        <f>SUM(E3371:E3375)</f>
        <v>312</v>
      </c>
      <c r="G3375" s="19"/>
    </row>
    <row r="3376" spans="1:7" ht="12.75" x14ac:dyDescent="0.2">
      <c r="A3376" s="3"/>
      <c r="B3376" s="4" t="s">
        <v>108</v>
      </c>
      <c r="C3376" s="3" t="s">
        <v>162</v>
      </c>
      <c r="D3376" s="3" t="s">
        <v>3</v>
      </c>
      <c r="E3376" s="3">
        <v>242</v>
      </c>
      <c r="G3376" s="19"/>
    </row>
    <row r="3377" spans="1:7" ht="12.75" x14ac:dyDescent="0.2">
      <c r="A3377" s="3"/>
      <c r="B3377" s="4" t="s">
        <v>108</v>
      </c>
      <c r="C3377" s="3" t="s">
        <v>162</v>
      </c>
      <c r="D3377" s="3" t="s">
        <v>315</v>
      </c>
      <c r="E3377" s="3">
        <v>2</v>
      </c>
      <c r="G3377" s="19"/>
    </row>
    <row r="3378" spans="1:7" ht="12.75" x14ac:dyDescent="0.2">
      <c r="A3378" s="3"/>
      <c r="B3378" s="4" t="s">
        <v>108</v>
      </c>
      <c r="C3378" s="3" t="s">
        <v>162</v>
      </c>
      <c r="D3378" s="3" t="s">
        <v>149</v>
      </c>
      <c r="E3378" s="3">
        <v>14</v>
      </c>
      <c r="G3378" s="19"/>
    </row>
    <row r="3379" spans="1:7" ht="12.75" x14ac:dyDescent="0.2">
      <c r="A3379" s="3"/>
      <c r="B3379" s="4" t="s">
        <v>108</v>
      </c>
      <c r="C3379" s="3" t="s">
        <v>162</v>
      </c>
      <c r="D3379" s="3" t="s">
        <v>128</v>
      </c>
      <c r="E3379" s="3">
        <v>131</v>
      </c>
      <c r="G3379" s="19"/>
    </row>
    <row r="3380" spans="1:7" ht="12.75" x14ac:dyDescent="0.2">
      <c r="A3380" s="3"/>
      <c r="B3380" s="4" t="s">
        <v>108</v>
      </c>
      <c r="C3380" s="3" t="s">
        <v>162</v>
      </c>
      <c r="D3380" s="3" t="s">
        <v>275</v>
      </c>
      <c r="E3380" s="3">
        <v>1</v>
      </c>
      <c r="G3380" s="19"/>
    </row>
    <row r="3381" spans="1:7" ht="12.75" x14ac:dyDescent="0.2">
      <c r="A3381" s="3"/>
      <c r="B3381" s="4" t="s">
        <v>108</v>
      </c>
      <c r="C3381" s="3" t="s">
        <v>162</v>
      </c>
      <c r="D3381" s="3" t="s">
        <v>305</v>
      </c>
      <c r="E3381" s="3">
        <v>6</v>
      </c>
      <c r="G3381" s="19"/>
    </row>
    <row r="3382" spans="1:7" ht="12.75" x14ac:dyDescent="0.2">
      <c r="A3382" s="3"/>
      <c r="B3382" s="4" t="s">
        <v>108</v>
      </c>
      <c r="C3382" s="3" t="s">
        <v>162</v>
      </c>
      <c r="D3382" s="3" t="s">
        <v>14</v>
      </c>
      <c r="E3382" s="3">
        <v>37</v>
      </c>
      <c r="F3382">
        <f>SUM(E3376:E3382)</f>
        <v>433</v>
      </c>
      <c r="G3382" s="19"/>
    </row>
    <row r="3383" spans="1:7" ht="12.75" x14ac:dyDescent="0.2">
      <c r="A3383" s="3"/>
      <c r="B3383" s="4" t="s">
        <v>108</v>
      </c>
      <c r="C3383" s="3" t="s">
        <v>161</v>
      </c>
      <c r="D3383" s="3" t="s">
        <v>3</v>
      </c>
      <c r="E3383" s="3">
        <v>163</v>
      </c>
      <c r="G3383" s="19"/>
    </row>
    <row r="3384" spans="1:7" ht="12.75" x14ac:dyDescent="0.2">
      <c r="A3384" s="3"/>
      <c r="B3384" s="4" t="s">
        <v>108</v>
      </c>
      <c r="C3384" s="3" t="s">
        <v>161</v>
      </c>
      <c r="D3384" s="3" t="s">
        <v>274</v>
      </c>
      <c r="E3384" s="3">
        <v>1</v>
      </c>
      <c r="G3384" s="19"/>
    </row>
    <row r="3385" spans="1:7" ht="12.75" x14ac:dyDescent="0.2">
      <c r="A3385" s="3"/>
      <c r="B3385" s="4" t="s">
        <v>108</v>
      </c>
      <c r="C3385" s="3" t="s">
        <v>161</v>
      </c>
      <c r="D3385" s="3" t="s">
        <v>315</v>
      </c>
      <c r="E3385" s="3">
        <v>9</v>
      </c>
      <c r="G3385" s="19"/>
    </row>
    <row r="3386" spans="1:7" ht="12.75" x14ac:dyDescent="0.2">
      <c r="A3386" s="3"/>
      <c r="B3386" s="4" t="s">
        <v>108</v>
      </c>
      <c r="C3386" s="3" t="s">
        <v>161</v>
      </c>
      <c r="D3386" s="3" t="s">
        <v>149</v>
      </c>
      <c r="E3386" s="3">
        <v>19</v>
      </c>
      <c r="G3386" s="19"/>
    </row>
    <row r="3387" spans="1:7" ht="12.75" x14ac:dyDescent="0.2">
      <c r="A3387" s="3"/>
      <c r="B3387" s="4" t="s">
        <v>108</v>
      </c>
      <c r="C3387" s="3" t="s">
        <v>161</v>
      </c>
      <c r="D3387" s="3" t="s">
        <v>128</v>
      </c>
      <c r="E3387" s="3">
        <v>127</v>
      </c>
      <c r="G3387" s="19"/>
    </row>
    <row r="3388" spans="1:7" ht="12.75" x14ac:dyDescent="0.2">
      <c r="A3388" s="3"/>
      <c r="B3388" s="4" t="s">
        <v>108</v>
      </c>
      <c r="C3388" s="3" t="s">
        <v>161</v>
      </c>
      <c r="D3388" s="3" t="s">
        <v>275</v>
      </c>
      <c r="E3388" s="3">
        <v>1</v>
      </c>
      <c r="G3388" s="19"/>
    </row>
    <row r="3389" spans="1:7" ht="12.75" x14ac:dyDescent="0.2">
      <c r="A3389" s="3"/>
      <c r="B3389" s="4" t="s">
        <v>108</v>
      </c>
      <c r="C3389" s="3" t="s">
        <v>161</v>
      </c>
      <c r="D3389" s="3" t="s">
        <v>305</v>
      </c>
      <c r="E3389" s="3">
        <v>6</v>
      </c>
      <c r="G3389" s="19"/>
    </row>
    <row r="3390" spans="1:7" ht="12.75" x14ac:dyDescent="0.2">
      <c r="A3390" s="3"/>
      <c r="B3390" s="4" t="s">
        <v>108</v>
      </c>
      <c r="C3390" s="3" t="s">
        <v>161</v>
      </c>
      <c r="D3390" s="3" t="s">
        <v>14</v>
      </c>
      <c r="E3390" s="3">
        <v>107</v>
      </c>
      <c r="F3390">
        <f>SUM(E3383:E3390)</f>
        <v>433</v>
      </c>
      <c r="G3390" s="19"/>
    </row>
    <row r="3391" spans="1:7" ht="12.75" x14ac:dyDescent="0.2">
      <c r="A3391" s="3"/>
      <c r="B3391" s="4" t="s">
        <v>89</v>
      </c>
      <c r="C3391" s="3" t="s">
        <v>162</v>
      </c>
      <c r="D3391" s="3" t="s">
        <v>3</v>
      </c>
      <c r="E3391" s="3">
        <v>350</v>
      </c>
      <c r="G3391" s="19"/>
    </row>
    <row r="3392" spans="1:7" ht="12.75" x14ac:dyDescent="0.2">
      <c r="A3392" s="3"/>
      <c r="B3392" s="4" t="s">
        <v>89</v>
      </c>
      <c r="C3392" s="3" t="s">
        <v>162</v>
      </c>
      <c r="D3392" s="3" t="s">
        <v>315</v>
      </c>
      <c r="E3392" s="3">
        <v>1</v>
      </c>
      <c r="G3392" s="19"/>
    </row>
    <row r="3393" spans="1:7" ht="12.75" x14ac:dyDescent="0.2">
      <c r="A3393" s="3"/>
      <c r="B3393" s="4" t="s">
        <v>89</v>
      </c>
      <c r="C3393" s="3" t="s">
        <v>162</v>
      </c>
      <c r="D3393" s="3" t="s">
        <v>128</v>
      </c>
      <c r="E3393" s="3">
        <v>206</v>
      </c>
      <c r="G3393" s="19"/>
    </row>
    <row r="3394" spans="1:7" ht="12.75" x14ac:dyDescent="0.2">
      <c r="A3394" s="3"/>
      <c r="B3394" s="4" t="s">
        <v>89</v>
      </c>
      <c r="C3394" s="3" t="s">
        <v>162</v>
      </c>
      <c r="D3394" s="3" t="s">
        <v>275</v>
      </c>
      <c r="E3394" s="3">
        <v>3</v>
      </c>
      <c r="G3394" s="19"/>
    </row>
    <row r="3395" spans="1:7" ht="12.75" x14ac:dyDescent="0.2">
      <c r="A3395" s="3"/>
      <c r="B3395" s="4" t="s">
        <v>89</v>
      </c>
      <c r="C3395" s="3" t="s">
        <v>162</v>
      </c>
      <c r="D3395" s="3" t="s">
        <v>305</v>
      </c>
      <c r="E3395" s="3">
        <v>3</v>
      </c>
      <c r="G3395" s="19"/>
    </row>
    <row r="3396" spans="1:7" ht="12.75" x14ac:dyDescent="0.2">
      <c r="A3396" s="3"/>
      <c r="B3396" s="4" t="s">
        <v>89</v>
      </c>
      <c r="C3396" s="3" t="s">
        <v>162</v>
      </c>
      <c r="D3396" s="3" t="s">
        <v>14</v>
      </c>
      <c r="E3396" s="3">
        <v>35</v>
      </c>
      <c r="G3396" s="19"/>
    </row>
    <row r="3397" spans="1:7" ht="12.75" x14ac:dyDescent="0.2">
      <c r="A3397" s="3"/>
      <c r="B3397" s="4" t="s">
        <v>89</v>
      </c>
      <c r="C3397" s="3" t="s">
        <v>162</v>
      </c>
      <c r="D3397" s="3" t="s">
        <v>138</v>
      </c>
      <c r="E3397" s="3">
        <v>3</v>
      </c>
      <c r="F3397">
        <f>SUM(E3391:E3397)</f>
        <v>601</v>
      </c>
      <c r="G3397" s="19"/>
    </row>
    <row r="3398" spans="1:7" ht="12.75" x14ac:dyDescent="0.2">
      <c r="A3398" s="3"/>
      <c r="B3398" s="4" t="s">
        <v>89</v>
      </c>
      <c r="C3398" s="3" t="s">
        <v>161</v>
      </c>
      <c r="D3398" s="3" t="s">
        <v>3</v>
      </c>
      <c r="E3398" s="3">
        <v>329</v>
      </c>
      <c r="G3398" s="19"/>
    </row>
    <row r="3399" spans="1:7" ht="12.75" x14ac:dyDescent="0.2">
      <c r="A3399" s="3"/>
      <c r="B3399" s="4" t="s">
        <v>89</v>
      </c>
      <c r="C3399" s="3" t="s">
        <v>161</v>
      </c>
      <c r="D3399" s="3" t="s">
        <v>315</v>
      </c>
      <c r="E3399" s="3">
        <v>19</v>
      </c>
      <c r="G3399" s="19"/>
    </row>
    <row r="3400" spans="1:7" ht="12.75" x14ac:dyDescent="0.2">
      <c r="A3400" s="3"/>
      <c r="B3400" s="4" t="s">
        <v>89</v>
      </c>
      <c r="C3400" s="3" t="s">
        <v>161</v>
      </c>
      <c r="D3400" s="3" t="s">
        <v>128</v>
      </c>
      <c r="E3400" s="3">
        <v>199</v>
      </c>
      <c r="G3400" s="19"/>
    </row>
    <row r="3401" spans="1:7" ht="12.75" x14ac:dyDescent="0.2">
      <c r="A3401" s="3"/>
      <c r="B3401" s="4" t="s">
        <v>89</v>
      </c>
      <c r="C3401" s="3" t="s">
        <v>161</v>
      </c>
      <c r="D3401" s="3" t="s">
        <v>275</v>
      </c>
      <c r="E3401" s="3">
        <v>12</v>
      </c>
      <c r="G3401" s="19"/>
    </row>
    <row r="3402" spans="1:7" ht="12.75" x14ac:dyDescent="0.2">
      <c r="A3402" s="3"/>
      <c r="B3402" s="4" t="s">
        <v>89</v>
      </c>
      <c r="C3402" s="3" t="s">
        <v>161</v>
      </c>
      <c r="D3402" s="3" t="s">
        <v>305</v>
      </c>
      <c r="E3402" s="3">
        <v>3</v>
      </c>
      <c r="G3402" s="19"/>
    </row>
    <row r="3403" spans="1:7" ht="12.75" x14ac:dyDescent="0.2">
      <c r="A3403" s="3"/>
      <c r="B3403" s="4" t="s">
        <v>89</v>
      </c>
      <c r="C3403" s="3" t="s">
        <v>161</v>
      </c>
      <c r="D3403" s="3" t="s">
        <v>14</v>
      </c>
      <c r="E3403" s="3">
        <v>34</v>
      </c>
      <c r="G3403" s="19"/>
    </row>
    <row r="3404" spans="1:7" ht="12.75" x14ac:dyDescent="0.2">
      <c r="A3404" s="3"/>
      <c r="B3404" s="4" t="s">
        <v>89</v>
      </c>
      <c r="C3404" s="3" t="s">
        <v>161</v>
      </c>
      <c r="D3404" s="3" t="s">
        <v>138</v>
      </c>
      <c r="E3404" s="3">
        <v>5</v>
      </c>
      <c r="F3404">
        <f>SUM(E3398:E3404)</f>
        <v>601</v>
      </c>
      <c r="G3404" s="19"/>
    </row>
    <row r="3405" spans="1:7" ht="12.75" x14ac:dyDescent="0.2">
      <c r="A3405" s="3"/>
      <c r="B3405" s="4" t="s">
        <v>35</v>
      </c>
      <c r="C3405" s="3" t="s">
        <v>162</v>
      </c>
      <c r="D3405" s="3" t="s">
        <v>3</v>
      </c>
      <c r="E3405" s="3">
        <v>1010</v>
      </c>
      <c r="G3405" s="19"/>
    </row>
    <row r="3406" spans="1:7" ht="12.75" x14ac:dyDescent="0.2">
      <c r="A3406" s="3"/>
      <c r="B3406" s="4" t="s">
        <v>35</v>
      </c>
      <c r="C3406" s="3" t="s">
        <v>162</v>
      </c>
      <c r="D3406" s="3" t="s">
        <v>315</v>
      </c>
      <c r="E3406" s="3">
        <v>3</v>
      </c>
      <c r="G3406" s="19"/>
    </row>
    <row r="3407" spans="1:7" ht="12.75" x14ac:dyDescent="0.2">
      <c r="A3407" s="3"/>
      <c r="B3407" s="4" t="s">
        <v>35</v>
      </c>
      <c r="C3407" s="3" t="s">
        <v>162</v>
      </c>
      <c r="D3407" s="3" t="s">
        <v>149</v>
      </c>
      <c r="E3407" s="3">
        <v>15</v>
      </c>
      <c r="G3407" s="19"/>
    </row>
    <row r="3408" spans="1:7" ht="12.75" x14ac:dyDescent="0.2">
      <c r="A3408" s="3"/>
      <c r="B3408" s="4" t="s">
        <v>35</v>
      </c>
      <c r="C3408" s="3" t="s">
        <v>162</v>
      </c>
      <c r="D3408" s="3" t="s">
        <v>128</v>
      </c>
      <c r="E3408" s="3">
        <v>766</v>
      </c>
      <c r="G3408" s="19"/>
    </row>
    <row r="3409" spans="1:7" ht="12.75" x14ac:dyDescent="0.2">
      <c r="A3409" s="3"/>
      <c r="B3409" s="4" t="s">
        <v>35</v>
      </c>
      <c r="C3409" s="3" t="s">
        <v>162</v>
      </c>
      <c r="D3409" s="3" t="s">
        <v>275</v>
      </c>
      <c r="E3409" s="3">
        <v>1</v>
      </c>
      <c r="G3409" s="19"/>
    </row>
    <row r="3410" spans="1:7" ht="12.75" x14ac:dyDescent="0.2">
      <c r="A3410" s="3"/>
      <c r="B3410" s="4" t="s">
        <v>35</v>
      </c>
      <c r="C3410" s="3" t="s">
        <v>162</v>
      </c>
      <c r="D3410" s="3" t="s">
        <v>305</v>
      </c>
      <c r="E3410" s="3">
        <v>15</v>
      </c>
      <c r="G3410" s="19"/>
    </row>
    <row r="3411" spans="1:7" ht="12.75" x14ac:dyDescent="0.2">
      <c r="A3411" s="3"/>
      <c r="B3411" s="4" t="s">
        <v>35</v>
      </c>
      <c r="C3411" s="3" t="s">
        <v>162</v>
      </c>
      <c r="D3411" s="3" t="s">
        <v>14</v>
      </c>
      <c r="E3411" s="3">
        <v>73</v>
      </c>
      <c r="G3411" s="19"/>
    </row>
    <row r="3412" spans="1:7" ht="12.75" x14ac:dyDescent="0.2">
      <c r="A3412" s="3"/>
      <c r="B3412" s="4" t="s">
        <v>35</v>
      </c>
      <c r="C3412" s="3" t="s">
        <v>162</v>
      </c>
      <c r="D3412" s="3" t="s">
        <v>138</v>
      </c>
      <c r="E3412" s="3">
        <v>4</v>
      </c>
      <c r="F3412">
        <f>SUM(E3405:E3412)</f>
        <v>1887</v>
      </c>
      <c r="G3412" s="19"/>
    </row>
    <row r="3413" spans="1:7" ht="12.75" x14ac:dyDescent="0.2">
      <c r="A3413" s="3"/>
      <c r="B3413" s="4" t="s">
        <v>35</v>
      </c>
      <c r="C3413" s="3" t="s">
        <v>161</v>
      </c>
      <c r="D3413" s="3" t="s">
        <v>3</v>
      </c>
      <c r="E3413" s="3">
        <v>972</v>
      </c>
      <c r="G3413" s="19"/>
    </row>
    <row r="3414" spans="1:7" ht="12.75" x14ac:dyDescent="0.2">
      <c r="A3414" s="3"/>
      <c r="B3414" s="4" t="s">
        <v>35</v>
      </c>
      <c r="C3414" s="3" t="s">
        <v>161</v>
      </c>
      <c r="D3414" s="3" t="s">
        <v>315</v>
      </c>
      <c r="E3414" s="3">
        <v>4</v>
      </c>
      <c r="G3414" s="19"/>
    </row>
    <row r="3415" spans="1:7" ht="12.75" x14ac:dyDescent="0.2">
      <c r="A3415" s="3"/>
      <c r="B3415" s="4" t="s">
        <v>35</v>
      </c>
      <c r="C3415" s="3" t="s">
        <v>161</v>
      </c>
      <c r="D3415" s="3" t="s">
        <v>149</v>
      </c>
      <c r="E3415" s="3">
        <v>16</v>
      </c>
      <c r="G3415" s="19"/>
    </row>
    <row r="3416" spans="1:7" ht="12.75" x14ac:dyDescent="0.2">
      <c r="A3416" s="3"/>
      <c r="B3416" s="4" t="s">
        <v>35</v>
      </c>
      <c r="C3416" s="3" t="s">
        <v>161</v>
      </c>
      <c r="D3416" s="3" t="s">
        <v>128</v>
      </c>
      <c r="E3416" s="3">
        <v>744</v>
      </c>
      <c r="G3416" s="19"/>
    </row>
    <row r="3417" spans="1:7" ht="12.75" x14ac:dyDescent="0.2">
      <c r="A3417" s="3"/>
      <c r="B3417" s="4" t="s">
        <v>35</v>
      </c>
      <c r="C3417" s="3" t="s">
        <v>161</v>
      </c>
      <c r="D3417" s="3" t="s">
        <v>305</v>
      </c>
      <c r="E3417" s="3">
        <v>22</v>
      </c>
      <c r="G3417" s="19"/>
    </row>
    <row r="3418" spans="1:7" ht="12.75" x14ac:dyDescent="0.2">
      <c r="A3418" s="3"/>
      <c r="B3418" s="4" t="s">
        <v>35</v>
      </c>
      <c r="C3418" s="3" t="s">
        <v>161</v>
      </c>
      <c r="D3418" s="3" t="s">
        <v>14</v>
      </c>
      <c r="E3418" s="3">
        <v>126</v>
      </c>
      <c r="G3418" s="19"/>
    </row>
    <row r="3419" spans="1:7" ht="12.75" x14ac:dyDescent="0.2">
      <c r="A3419" s="3"/>
      <c r="B3419" s="4" t="s">
        <v>35</v>
      </c>
      <c r="C3419" s="3" t="s">
        <v>161</v>
      </c>
      <c r="D3419" s="3" t="s">
        <v>138</v>
      </c>
      <c r="E3419" s="3">
        <v>3</v>
      </c>
      <c r="F3419">
        <f>SUM(E3413:E3419)</f>
        <v>1887</v>
      </c>
      <c r="G3419" s="19"/>
    </row>
    <row r="3420" spans="1:7" ht="12.75" x14ac:dyDescent="0.2">
      <c r="A3420" s="3"/>
      <c r="B3420" s="4" t="s">
        <v>59</v>
      </c>
      <c r="C3420" s="3" t="s">
        <v>162</v>
      </c>
      <c r="D3420" s="3" t="s">
        <v>3</v>
      </c>
      <c r="E3420" s="3">
        <v>251</v>
      </c>
      <c r="G3420" s="19"/>
    </row>
    <row r="3421" spans="1:7" ht="12.75" x14ac:dyDescent="0.2">
      <c r="A3421" s="3"/>
      <c r="B3421" s="4" t="s">
        <v>59</v>
      </c>
      <c r="C3421" s="3" t="s">
        <v>162</v>
      </c>
      <c r="D3421" s="3" t="s">
        <v>315</v>
      </c>
      <c r="E3421" s="3">
        <v>1</v>
      </c>
      <c r="G3421" s="19"/>
    </row>
    <row r="3422" spans="1:7" ht="12.75" x14ac:dyDescent="0.2">
      <c r="A3422" s="3"/>
      <c r="B3422" s="4" t="s">
        <v>59</v>
      </c>
      <c r="C3422" s="3" t="s">
        <v>162</v>
      </c>
      <c r="D3422" s="3" t="s">
        <v>149</v>
      </c>
      <c r="E3422" s="3">
        <v>11</v>
      </c>
      <c r="G3422" s="19"/>
    </row>
    <row r="3423" spans="1:7" ht="12.75" x14ac:dyDescent="0.2">
      <c r="A3423" s="3"/>
      <c r="B3423" s="4" t="s">
        <v>59</v>
      </c>
      <c r="C3423" s="3" t="s">
        <v>162</v>
      </c>
      <c r="D3423" s="3" t="s">
        <v>128</v>
      </c>
      <c r="E3423" s="3">
        <v>195</v>
      </c>
      <c r="G3423" s="19"/>
    </row>
    <row r="3424" spans="1:7" ht="12.75" x14ac:dyDescent="0.2">
      <c r="A3424" s="3"/>
      <c r="B3424" s="4" t="s">
        <v>59</v>
      </c>
      <c r="C3424" s="3" t="s">
        <v>162</v>
      </c>
      <c r="D3424" s="3" t="s">
        <v>275</v>
      </c>
      <c r="E3424" s="3">
        <v>1</v>
      </c>
      <c r="G3424" s="19"/>
    </row>
    <row r="3425" spans="1:7" ht="12.75" x14ac:dyDescent="0.2">
      <c r="A3425" s="3"/>
      <c r="B3425" s="4" t="s">
        <v>59</v>
      </c>
      <c r="C3425" s="3" t="s">
        <v>162</v>
      </c>
      <c r="D3425" s="3" t="s">
        <v>305</v>
      </c>
      <c r="E3425" s="3">
        <v>3</v>
      </c>
      <c r="G3425" s="19"/>
    </row>
    <row r="3426" spans="1:7" ht="12.75" x14ac:dyDescent="0.2">
      <c r="A3426" s="3"/>
      <c r="B3426" s="4" t="s">
        <v>59</v>
      </c>
      <c r="C3426" s="3" t="s">
        <v>162</v>
      </c>
      <c r="D3426" s="3" t="s">
        <v>14</v>
      </c>
      <c r="E3426" s="3">
        <v>16</v>
      </c>
      <c r="F3426">
        <f>SUM(E3420:E3426)</f>
        <v>478</v>
      </c>
      <c r="G3426" s="19"/>
    </row>
    <row r="3427" spans="1:7" ht="12.75" x14ac:dyDescent="0.2">
      <c r="A3427" s="3"/>
      <c r="B3427" s="4" t="s">
        <v>59</v>
      </c>
      <c r="C3427" s="3" t="s">
        <v>161</v>
      </c>
      <c r="D3427" s="3" t="s">
        <v>3</v>
      </c>
      <c r="E3427" s="3">
        <v>212</v>
      </c>
      <c r="G3427" s="19"/>
    </row>
    <row r="3428" spans="1:7" ht="12.75" x14ac:dyDescent="0.2">
      <c r="A3428" s="3"/>
      <c r="B3428" s="4" t="s">
        <v>59</v>
      </c>
      <c r="C3428" s="3" t="s">
        <v>161</v>
      </c>
      <c r="D3428" s="3" t="s">
        <v>315</v>
      </c>
      <c r="E3428" s="3">
        <v>2</v>
      </c>
      <c r="G3428" s="19"/>
    </row>
    <row r="3429" spans="1:7" ht="12.75" x14ac:dyDescent="0.2">
      <c r="A3429" s="3"/>
      <c r="B3429" s="4" t="s">
        <v>59</v>
      </c>
      <c r="C3429" s="3" t="s">
        <v>161</v>
      </c>
      <c r="D3429" s="3" t="s">
        <v>149</v>
      </c>
      <c r="E3429" s="3">
        <v>48</v>
      </c>
      <c r="G3429" s="19"/>
    </row>
    <row r="3430" spans="1:7" ht="12.75" x14ac:dyDescent="0.2">
      <c r="A3430" s="3"/>
      <c r="B3430" s="4" t="s">
        <v>59</v>
      </c>
      <c r="C3430" s="3" t="s">
        <v>161</v>
      </c>
      <c r="D3430" s="3" t="s">
        <v>128</v>
      </c>
      <c r="E3430" s="3">
        <v>184</v>
      </c>
      <c r="G3430" s="19"/>
    </row>
    <row r="3431" spans="1:7" ht="12.75" x14ac:dyDescent="0.2">
      <c r="A3431" s="3"/>
      <c r="B3431" s="4" t="s">
        <v>59</v>
      </c>
      <c r="C3431" s="3" t="s">
        <v>161</v>
      </c>
      <c r="D3431" s="3" t="s">
        <v>305</v>
      </c>
      <c r="E3431" s="3">
        <v>3</v>
      </c>
      <c r="G3431" s="19"/>
    </row>
    <row r="3432" spans="1:7" ht="12.75" x14ac:dyDescent="0.2">
      <c r="A3432" s="3"/>
      <c r="B3432" s="4" t="s">
        <v>59</v>
      </c>
      <c r="C3432" s="3" t="s">
        <v>161</v>
      </c>
      <c r="D3432" s="3" t="s">
        <v>14</v>
      </c>
      <c r="E3432" s="3">
        <v>29</v>
      </c>
      <c r="F3432">
        <f>SUM(E3427:E3432)</f>
        <v>478</v>
      </c>
      <c r="G3432" s="19"/>
    </row>
    <row r="3433" spans="1:7" ht="12.75" x14ac:dyDescent="0.2">
      <c r="A3433" s="3"/>
      <c r="B3433" s="4" t="s">
        <v>95</v>
      </c>
      <c r="C3433" s="3" t="s">
        <v>162</v>
      </c>
      <c r="D3433" s="3" t="s">
        <v>3</v>
      </c>
      <c r="E3433" s="3">
        <v>581</v>
      </c>
      <c r="G3433" s="19"/>
    </row>
    <row r="3434" spans="1:7" ht="12.75" x14ac:dyDescent="0.2">
      <c r="A3434" s="3"/>
      <c r="B3434" s="4" t="s">
        <v>95</v>
      </c>
      <c r="C3434" s="3" t="s">
        <v>162</v>
      </c>
      <c r="D3434" s="3" t="s">
        <v>274</v>
      </c>
      <c r="E3434" s="3">
        <v>9</v>
      </c>
      <c r="G3434" s="19"/>
    </row>
    <row r="3435" spans="1:7" ht="12.75" x14ac:dyDescent="0.2">
      <c r="A3435" s="3"/>
      <c r="B3435" s="4" t="s">
        <v>95</v>
      </c>
      <c r="C3435" s="3" t="s">
        <v>162</v>
      </c>
      <c r="D3435" s="3" t="s">
        <v>315</v>
      </c>
      <c r="E3435" s="3">
        <v>6</v>
      </c>
      <c r="G3435" s="19"/>
    </row>
    <row r="3436" spans="1:7" ht="12.75" x14ac:dyDescent="0.2">
      <c r="A3436" s="3"/>
      <c r="B3436" s="4" t="s">
        <v>95</v>
      </c>
      <c r="C3436" s="3" t="s">
        <v>162</v>
      </c>
      <c r="D3436" s="3" t="s">
        <v>149</v>
      </c>
      <c r="E3436" s="3">
        <v>69</v>
      </c>
      <c r="G3436" s="19"/>
    </row>
    <row r="3437" spans="1:7" ht="12.75" x14ac:dyDescent="0.2">
      <c r="A3437" s="3"/>
      <c r="B3437" s="4" t="s">
        <v>95</v>
      </c>
      <c r="C3437" s="3" t="s">
        <v>162</v>
      </c>
      <c r="D3437" s="3" t="s">
        <v>128</v>
      </c>
      <c r="E3437" s="3">
        <v>788</v>
      </c>
      <c r="G3437" s="19"/>
    </row>
    <row r="3438" spans="1:7" ht="12.75" x14ac:dyDescent="0.2">
      <c r="A3438" s="3"/>
      <c r="B3438" s="4" t="s">
        <v>95</v>
      </c>
      <c r="C3438" s="3" t="s">
        <v>162</v>
      </c>
      <c r="D3438" s="3" t="s">
        <v>275</v>
      </c>
      <c r="E3438" s="3">
        <v>6</v>
      </c>
      <c r="G3438" s="19"/>
    </row>
    <row r="3439" spans="1:7" ht="12.75" x14ac:dyDescent="0.2">
      <c r="A3439" s="3"/>
      <c r="B3439" s="4" t="s">
        <v>95</v>
      </c>
      <c r="C3439" s="3" t="s">
        <v>162</v>
      </c>
      <c r="D3439" s="3" t="s">
        <v>305</v>
      </c>
      <c r="E3439" s="3">
        <v>76</v>
      </c>
      <c r="G3439" s="19"/>
    </row>
    <row r="3440" spans="1:7" ht="12.75" x14ac:dyDescent="0.2">
      <c r="A3440" s="3"/>
      <c r="B3440" s="4" t="s">
        <v>95</v>
      </c>
      <c r="C3440" s="3" t="s">
        <v>162</v>
      </c>
      <c r="D3440" s="3" t="s">
        <v>14</v>
      </c>
      <c r="E3440" s="3">
        <v>189</v>
      </c>
      <c r="G3440" s="19"/>
    </row>
    <row r="3441" spans="1:7" ht="12.75" x14ac:dyDescent="0.2">
      <c r="A3441" s="3"/>
      <c r="B3441" s="4" t="s">
        <v>95</v>
      </c>
      <c r="C3441" s="3" t="s">
        <v>162</v>
      </c>
      <c r="D3441" s="3" t="s">
        <v>138</v>
      </c>
      <c r="E3441" s="3">
        <v>7</v>
      </c>
      <c r="F3441">
        <f>SUM(E3433:E3441)</f>
        <v>1731</v>
      </c>
      <c r="G3441" s="19"/>
    </row>
    <row r="3442" spans="1:7" ht="12.75" x14ac:dyDescent="0.2">
      <c r="A3442" s="3"/>
      <c r="B3442" s="4" t="s">
        <v>95</v>
      </c>
      <c r="C3442" s="3" t="s">
        <v>161</v>
      </c>
      <c r="D3442" s="3" t="s">
        <v>3</v>
      </c>
      <c r="E3442" s="3">
        <v>473</v>
      </c>
      <c r="G3442" s="19"/>
    </row>
    <row r="3443" spans="1:7" ht="12.75" x14ac:dyDescent="0.2">
      <c r="A3443" s="3"/>
      <c r="B3443" s="4" t="s">
        <v>95</v>
      </c>
      <c r="C3443" s="3" t="s">
        <v>161</v>
      </c>
      <c r="D3443" s="3" t="s">
        <v>274</v>
      </c>
      <c r="E3443" s="3">
        <v>10</v>
      </c>
      <c r="G3443" s="19"/>
    </row>
    <row r="3444" spans="1:7" ht="12.75" x14ac:dyDescent="0.2">
      <c r="A3444" s="3"/>
      <c r="B3444" s="4" t="s">
        <v>95</v>
      </c>
      <c r="C3444" s="3" t="s">
        <v>161</v>
      </c>
      <c r="D3444" s="3" t="s">
        <v>315</v>
      </c>
      <c r="E3444" s="3">
        <v>7</v>
      </c>
      <c r="G3444" s="19"/>
    </row>
    <row r="3445" spans="1:7" ht="12.75" x14ac:dyDescent="0.2">
      <c r="A3445" s="3"/>
      <c r="B3445" s="4" t="s">
        <v>95</v>
      </c>
      <c r="C3445" s="3" t="s">
        <v>161</v>
      </c>
      <c r="D3445" s="3" t="s">
        <v>149</v>
      </c>
      <c r="E3445" s="3">
        <v>150</v>
      </c>
      <c r="G3445" s="19"/>
    </row>
    <row r="3446" spans="1:7" ht="12.75" x14ac:dyDescent="0.2">
      <c r="A3446" s="3"/>
      <c r="B3446" s="4" t="s">
        <v>95</v>
      </c>
      <c r="C3446" s="3" t="s">
        <v>161</v>
      </c>
      <c r="D3446" s="3" t="s">
        <v>128</v>
      </c>
      <c r="E3446" s="3">
        <v>796</v>
      </c>
      <c r="G3446" s="19"/>
    </row>
    <row r="3447" spans="1:7" ht="12.75" x14ac:dyDescent="0.2">
      <c r="A3447" s="3"/>
      <c r="B3447" s="4" t="s">
        <v>95</v>
      </c>
      <c r="C3447" s="3" t="s">
        <v>161</v>
      </c>
      <c r="D3447" s="3" t="s">
        <v>275</v>
      </c>
      <c r="E3447" s="3">
        <v>7</v>
      </c>
      <c r="G3447" s="19"/>
    </row>
    <row r="3448" spans="1:7" ht="12.75" x14ac:dyDescent="0.2">
      <c r="A3448" s="3"/>
      <c r="B3448" s="4" t="s">
        <v>95</v>
      </c>
      <c r="C3448" s="3" t="s">
        <v>161</v>
      </c>
      <c r="D3448" s="3" t="s">
        <v>305</v>
      </c>
      <c r="E3448" s="3">
        <v>69</v>
      </c>
      <c r="G3448" s="19"/>
    </row>
    <row r="3449" spans="1:7" ht="12.75" x14ac:dyDescent="0.2">
      <c r="A3449" s="3"/>
      <c r="B3449" s="4" t="s">
        <v>95</v>
      </c>
      <c r="C3449" s="3" t="s">
        <v>161</v>
      </c>
      <c r="D3449" s="3" t="s">
        <v>14</v>
      </c>
      <c r="E3449" s="3">
        <v>212</v>
      </c>
      <c r="G3449" s="19"/>
    </row>
    <row r="3450" spans="1:7" ht="12.75" x14ac:dyDescent="0.2">
      <c r="A3450" s="3"/>
      <c r="B3450" s="4" t="s">
        <v>95</v>
      </c>
      <c r="C3450" s="3" t="s">
        <v>161</v>
      </c>
      <c r="D3450" s="3" t="s">
        <v>138</v>
      </c>
      <c r="E3450" s="3">
        <v>7</v>
      </c>
      <c r="F3450">
        <f>SUM(E3442:E3450)</f>
        <v>1731</v>
      </c>
      <c r="G3450" s="19"/>
    </row>
    <row r="3451" spans="1:7" ht="12.75" x14ac:dyDescent="0.2">
      <c r="A3451" s="3"/>
      <c r="B3451" s="4" t="s">
        <v>67</v>
      </c>
      <c r="C3451" s="3" t="s">
        <v>162</v>
      </c>
      <c r="D3451" s="3" t="s">
        <v>3</v>
      </c>
      <c r="E3451" s="3">
        <v>35</v>
      </c>
      <c r="G3451" s="19"/>
    </row>
    <row r="3452" spans="1:7" ht="12.75" x14ac:dyDescent="0.2">
      <c r="A3452" s="3"/>
      <c r="B3452" s="4" t="s">
        <v>67</v>
      </c>
      <c r="C3452" s="3" t="s">
        <v>162</v>
      </c>
      <c r="D3452" s="3" t="s">
        <v>149</v>
      </c>
      <c r="E3452" s="3">
        <v>2</v>
      </c>
      <c r="G3452" s="19"/>
    </row>
    <row r="3453" spans="1:7" ht="12.75" x14ac:dyDescent="0.2">
      <c r="A3453" s="3"/>
      <c r="B3453" s="4" t="s">
        <v>67</v>
      </c>
      <c r="C3453" s="3" t="s">
        <v>162</v>
      </c>
      <c r="D3453" s="3" t="s">
        <v>128</v>
      </c>
      <c r="E3453" s="3">
        <v>15</v>
      </c>
      <c r="F3453">
        <f>SUM(E3451:E3453)</f>
        <v>52</v>
      </c>
      <c r="G3453" s="19"/>
    </row>
    <row r="3454" spans="1:7" ht="12.75" x14ac:dyDescent="0.2">
      <c r="A3454" s="3"/>
      <c r="B3454" s="4" t="s">
        <v>67</v>
      </c>
      <c r="C3454" s="3" t="s">
        <v>161</v>
      </c>
      <c r="D3454" s="3" t="s">
        <v>3</v>
      </c>
      <c r="E3454" s="3">
        <v>35</v>
      </c>
      <c r="G3454" s="19"/>
    </row>
    <row r="3455" spans="1:7" ht="12.75" x14ac:dyDescent="0.2">
      <c r="A3455" s="3"/>
      <c r="B3455" s="4" t="s">
        <v>67</v>
      </c>
      <c r="C3455" s="3" t="s">
        <v>161</v>
      </c>
      <c r="D3455" s="3" t="s">
        <v>149</v>
      </c>
      <c r="E3455" s="3">
        <v>2</v>
      </c>
      <c r="G3455" s="19"/>
    </row>
    <row r="3456" spans="1:7" ht="12.75" x14ac:dyDescent="0.2">
      <c r="A3456" s="3"/>
      <c r="B3456" s="4" t="s">
        <v>67</v>
      </c>
      <c r="C3456" s="3" t="s">
        <v>161</v>
      </c>
      <c r="D3456" s="3" t="s">
        <v>128</v>
      </c>
      <c r="E3456" s="3">
        <v>15</v>
      </c>
      <c r="F3456">
        <f>SUM(E3454:E3456)</f>
        <v>52</v>
      </c>
      <c r="G3456" s="19"/>
    </row>
    <row r="3457" spans="1:7" ht="12.75" x14ac:dyDescent="0.2">
      <c r="A3457" s="3"/>
      <c r="B3457" s="4" t="s">
        <v>96</v>
      </c>
      <c r="C3457" s="3" t="s">
        <v>162</v>
      </c>
      <c r="D3457" s="3" t="s">
        <v>3</v>
      </c>
      <c r="E3457" s="3">
        <v>111</v>
      </c>
      <c r="G3457" s="19"/>
    </row>
    <row r="3458" spans="1:7" ht="12.75" x14ac:dyDescent="0.2">
      <c r="A3458" s="3"/>
      <c r="B3458" s="4" t="s">
        <v>96</v>
      </c>
      <c r="C3458" s="3" t="s">
        <v>162</v>
      </c>
      <c r="D3458" s="3" t="s">
        <v>149</v>
      </c>
      <c r="E3458" s="3">
        <v>6</v>
      </c>
      <c r="G3458" s="19"/>
    </row>
    <row r="3459" spans="1:7" ht="12.75" x14ac:dyDescent="0.2">
      <c r="A3459" s="3"/>
      <c r="B3459" s="4" t="s">
        <v>96</v>
      </c>
      <c r="C3459" s="3" t="s">
        <v>162</v>
      </c>
      <c r="D3459" s="3" t="s">
        <v>128</v>
      </c>
      <c r="E3459" s="3">
        <v>40</v>
      </c>
      <c r="G3459" s="19"/>
    </row>
    <row r="3460" spans="1:7" ht="12.75" x14ac:dyDescent="0.2">
      <c r="A3460" s="3"/>
      <c r="B3460" s="4" t="s">
        <v>96</v>
      </c>
      <c r="C3460" s="3" t="s">
        <v>162</v>
      </c>
      <c r="D3460" s="3" t="s">
        <v>275</v>
      </c>
      <c r="E3460" s="3">
        <v>1</v>
      </c>
      <c r="G3460" s="19"/>
    </row>
    <row r="3461" spans="1:7" ht="12.75" x14ac:dyDescent="0.2">
      <c r="A3461" s="3"/>
      <c r="B3461" s="4" t="s">
        <v>96</v>
      </c>
      <c r="C3461" s="3" t="s">
        <v>162</v>
      </c>
      <c r="D3461" s="3" t="s">
        <v>305</v>
      </c>
      <c r="E3461" s="3">
        <v>10</v>
      </c>
      <c r="G3461" s="19"/>
    </row>
    <row r="3462" spans="1:7" ht="12.75" x14ac:dyDescent="0.2">
      <c r="A3462" s="3"/>
      <c r="B3462" s="4" t="s">
        <v>96</v>
      </c>
      <c r="C3462" s="3" t="s">
        <v>162</v>
      </c>
      <c r="D3462" s="3" t="s">
        <v>14</v>
      </c>
      <c r="E3462" s="3">
        <v>21</v>
      </c>
      <c r="F3462">
        <f>SUM(E3457:E3462)</f>
        <v>189</v>
      </c>
      <c r="G3462" s="19"/>
    </row>
    <row r="3463" spans="1:7" ht="12.75" x14ac:dyDescent="0.2">
      <c r="A3463" s="3"/>
      <c r="B3463" s="4" t="s">
        <v>96</v>
      </c>
      <c r="C3463" s="3" t="s">
        <v>161</v>
      </c>
      <c r="D3463" s="3" t="s">
        <v>3</v>
      </c>
      <c r="E3463" s="3">
        <v>110</v>
      </c>
      <c r="G3463" s="19"/>
    </row>
    <row r="3464" spans="1:7" ht="12.75" x14ac:dyDescent="0.2">
      <c r="A3464" s="3"/>
      <c r="B3464" s="4" t="s">
        <v>96</v>
      </c>
      <c r="C3464" s="3" t="s">
        <v>161</v>
      </c>
      <c r="D3464" s="3" t="s">
        <v>149</v>
      </c>
      <c r="E3464" s="3">
        <v>6</v>
      </c>
      <c r="G3464" s="19"/>
    </row>
    <row r="3465" spans="1:7" ht="12.75" x14ac:dyDescent="0.2">
      <c r="A3465" s="3"/>
      <c r="B3465" s="4" t="s">
        <v>96</v>
      </c>
      <c r="C3465" s="3" t="s">
        <v>161</v>
      </c>
      <c r="D3465" s="3" t="s">
        <v>128</v>
      </c>
      <c r="E3465" s="3">
        <v>37</v>
      </c>
      <c r="G3465" s="19"/>
    </row>
    <row r="3466" spans="1:7" ht="12.75" x14ac:dyDescent="0.2">
      <c r="A3466" s="3"/>
      <c r="B3466" s="4" t="s">
        <v>96</v>
      </c>
      <c r="C3466" s="3" t="s">
        <v>161</v>
      </c>
      <c r="D3466" s="3" t="s">
        <v>275</v>
      </c>
      <c r="E3466" s="3">
        <v>1</v>
      </c>
      <c r="G3466" s="19"/>
    </row>
    <row r="3467" spans="1:7" ht="12.75" x14ac:dyDescent="0.2">
      <c r="A3467" s="3"/>
      <c r="B3467" s="4" t="s">
        <v>96</v>
      </c>
      <c r="C3467" s="3" t="s">
        <v>161</v>
      </c>
      <c r="D3467" s="3" t="s">
        <v>305</v>
      </c>
      <c r="E3467" s="3">
        <v>10</v>
      </c>
      <c r="G3467" s="19"/>
    </row>
    <row r="3468" spans="1:7" ht="12.75" x14ac:dyDescent="0.2">
      <c r="A3468" s="3"/>
      <c r="B3468" s="4" t="s">
        <v>96</v>
      </c>
      <c r="C3468" s="3" t="s">
        <v>161</v>
      </c>
      <c r="D3468" s="3" t="s">
        <v>14</v>
      </c>
      <c r="E3468" s="3">
        <v>25</v>
      </c>
      <c r="F3468">
        <f>SUM(E3463:E3468)</f>
        <v>189</v>
      </c>
      <c r="G3468" s="19"/>
    </row>
    <row r="3469" spans="1:7" ht="12.75" x14ac:dyDescent="0.2">
      <c r="A3469" s="3"/>
      <c r="B3469" s="4" t="s">
        <v>63</v>
      </c>
      <c r="C3469" s="3" t="s">
        <v>162</v>
      </c>
      <c r="D3469" s="3" t="s">
        <v>3</v>
      </c>
      <c r="E3469" s="3">
        <v>304</v>
      </c>
      <c r="G3469" s="19"/>
    </row>
    <row r="3470" spans="1:7" ht="12.75" x14ac:dyDescent="0.2">
      <c r="A3470" s="3"/>
      <c r="B3470" s="4" t="s">
        <v>63</v>
      </c>
      <c r="C3470" s="3" t="s">
        <v>162</v>
      </c>
      <c r="D3470" s="3" t="s">
        <v>149</v>
      </c>
      <c r="E3470" s="3">
        <v>49</v>
      </c>
      <c r="G3470" s="19"/>
    </row>
    <row r="3471" spans="1:7" ht="12.75" x14ac:dyDescent="0.2">
      <c r="A3471" s="3"/>
      <c r="B3471" s="4" t="s">
        <v>63</v>
      </c>
      <c r="C3471" s="3" t="s">
        <v>162</v>
      </c>
      <c r="D3471" s="3" t="s">
        <v>128</v>
      </c>
      <c r="E3471" s="3">
        <v>48</v>
      </c>
      <c r="G3471" s="19"/>
    </row>
    <row r="3472" spans="1:7" ht="12.75" x14ac:dyDescent="0.2">
      <c r="A3472" s="3"/>
      <c r="B3472" s="4" t="s">
        <v>63</v>
      </c>
      <c r="C3472" s="3" t="s">
        <v>162</v>
      </c>
      <c r="D3472" s="3" t="s">
        <v>275</v>
      </c>
      <c r="E3472" s="3">
        <v>1</v>
      </c>
      <c r="G3472" s="19"/>
    </row>
    <row r="3473" spans="1:7" ht="12.75" x14ac:dyDescent="0.2">
      <c r="A3473" s="3"/>
      <c r="B3473" s="4" t="s">
        <v>63</v>
      </c>
      <c r="C3473" s="3" t="s">
        <v>162</v>
      </c>
      <c r="D3473" s="3" t="s">
        <v>14</v>
      </c>
      <c r="E3473" s="3">
        <v>27</v>
      </c>
      <c r="G3473" s="19"/>
    </row>
    <row r="3474" spans="1:7" ht="12.75" x14ac:dyDescent="0.2">
      <c r="A3474" s="3"/>
      <c r="B3474" s="4" t="s">
        <v>63</v>
      </c>
      <c r="C3474" s="3" t="s">
        <v>162</v>
      </c>
      <c r="D3474" s="3" t="s">
        <v>138</v>
      </c>
      <c r="E3474" s="3">
        <v>1</v>
      </c>
      <c r="F3474">
        <f>SUM(E3469:E3474)</f>
        <v>430</v>
      </c>
      <c r="G3474" s="19"/>
    </row>
    <row r="3475" spans="1:7" ht="12.75" x14ac:dyDescent="0.2">
      <c r="A3475" s="3"/>
      <c r="B3475" s="4" t="s">
        <v>63</v>
      </c>
      <c r="C3475" s="3" t="s">
        <v>161</v>
      </c>
      <c r="D3475" s="3" t="s">
        <v>3</v>
      </c>
      <c r="E3475" s="3">
        <v>279</v>
      </c>
      <c r="G3475" s="19"/>
    </row>
    <row r="3476" spans="1:7" ht="12.75" x14ac:dyDescent="0.2">
      <c r="A3476" s="3"/>
      <c r="B3476" s="4" t="s">
        <v>63</v>
      </c>
      <c r="C3476" s="3" t="s">
        <v>161</v>
      </c>
      <c r="D3476" s="3" t="s">
        <v>149</v>
      </c>
      <c r="E3476" s="3">
        <v>50</v>
      </c>
      <c r="G3476" s="19"/>
    </row>
    <row r="3477" spans="1:7" ht="12.75" x14ac:dyDescent="0.2">
      <c r="A3477" s="3"/>
      <c r="B3477" s="4" t="s">
        <v>63</v>
      </c>
      <c r="C3477" s="3" t="s">
        <v>161</v>
      </c>
      <c r="D3477" s="3" t="s">
        <v>128</v>
      </c>
      <c r="E3477" s="3">
        <v>48</v>
      </c>
      <c r="G3477" s="19"/>
    </row>
    <row r="3478" spans="1:7" ht="12.75" x14ac:dyDescent="0.2">
      <c r="A3478" s="3"/>
      <c r="B3478" s="4" t="s">
        <v>63</v>
      </c>
      <c r="C3478" s="3" t="s">
        <v>161</v>
      </c>
      <c r="D3478" s="3" t="s">
        <v>275</v>
      </c>
      <c r="E3478" s="3">
        <v>1</v>
      </c>
      <c r="G3478" s="19"/>
    </row>
    <row r="3479" spans="1:7" ht="12.75" x14ac:dyDescent="0.2">
      <c r="A3479" s="3"/>
      <c r="B3479" s="4" t="s">
        <v>63</v>
      </c>
      <c r="C3479" s="3" t="s">
        <v>161</v>
      </c>
      <c r="D3479" s="3" t="s">
        <v>14</v>
      </c>
      <c r="E3479" s="3">
        <v>51</v>
      </c>
      <c r="G3479" s="19"/>
    </row>
    <row r="3480" spans="1:7" ht="12.75" x14ac:dyDescent="0.2">
      <c r="A3480" s="3"/>
      <c r="B3480" s="4" t="s">
        <v>63</v>
      </c>
      <c r="C3480" s="3" t="s">
        <v>161</v>
      </c>
      <c r="D3480" s="3" t="s">
        <v>138</v>
      </c>
      <c r="E3480" s="3">
        <v>1</v>
      </c>
      <c r="F3480">
        <f>SUM(E3475:E3480)</f>
        <v>430</v>
      </c>
      <c r="G3480" s="19"/>
    </row>
    <row r="3481" spans="1:7" ht="12.75" x14ac:dyDescent="0.2">
      <c r="A3481" s="3"/>
      <c r="B3481" s="4" t="s">
        <v>87</v>
      </c>
      <c r="C3481" s="3" t="s">
        <v>162</v>
      </c>
      <c r="D3481" s="3" t="s">
        <v>3</v>
      </c>
      <c r="E3481" s="3">
        <v>277</v>
      </c>
      <c r="G3481" s="19"/>
    </row>
    <row r="3482" spans="1:7" ht="12.75" x14ac:dyDescent="0.2">
      <c r="A3482" s="3"/>
      <c r="B3482" s="4" t="s">
        <v>87</v>
      </c>
      <c r="C3482" s="3" t="s">
        <v>162</v>
      </c>
      <c r="D3482" s="3" t="s">
        <v>274</v>
      </c>
      <c r="E3482" s="3">
        <v>2</v>
      </c>
      <c r="G3482" s="19"/>
    </row>
    <row r="3483" spans="1:7" ht="12.75" x14ac:dyDescent="0.2">
      <c r="A3483" s="3"/>
      <c r="B3483" s="4" t="s">
        <v>87</v>
      </c>
      <c r="C3483" s="3" t="s">
        <v>162</v>
      </c>
      <c r="D3483" s="3" t="s">
        <v>315</v>
      </c>
      <c r="E3483" s="3">
        <v>1</v>
      </c>
      <c r="G3483" s="19"/>
    </row>
    <row r="3484" spans="1:7" ht="12.75" x14ac:dyDescent="0.2">
      <c r="A3484" s="3"/>
      <c r="B3484" s="4" t="s">
        <v>87</v>
      </c>
      <c r="C3484" s="3" t="s">
        <v>162</v>
      </c>
      <c r="D3484" s="3" t="s">
        <v>149</v>
      </c>
      <c r="E3484" s="3">
        <v>9</v>
      </c>
      <c r="G3484" s="19"/>
    </row>
    <row r="3485" spans="1:7" ht="12.75" x14ac:dyDescent="0.2">
      <c r="A3485" s="3"/>
      <c r="B3485" s="4" t="s">
        <v>87</v>
      </c>
      <c r="C3485" s="3" t="s">
        <v>162</v>
      </c>
      <c r="D3485" s="3" t="s">
        <v>128</v>
      </c>
      <c r="E3485" s="3">
        <v>181</v>
      </c>
      <c r="G3485" s="19"/>
    </row>
    <row r="3486" spans="1:7" ht="12.75" x14ac:dyDescent="0.2">
      <c r="A3486" s="3"/>
      <c r="B3486" s="4" t="s">
        <v>87</v>
      </c>
      <c r="C3486" s="3" t="s">
        <v>162</v>
      </c>
      <c r="D3486" s="3" t="s">
        <v>275</v>
      </c>
      <c r="E3486" s="3">
        <v>2</v>
      </c>
      <c r="G3486" s="19"/>
    </row>
    <row r="3487" spans="1:7" ht="12.75" x14ac:dyDescent="0.2">
      <c r="A3487" s="3"/>
      <c r="B3487" s="4" t="s">
        <v>87</v>
      </c>
      <c r="C3487" s="3" t="s">
        <v>162</v>
      </c>
      <c r="D3487" s="3" t="s">
        <v>305</v>
      </c>
      <c r="E3487" s="3">
        <v>2</v>
      </c>
      <c r="G3487" s="19"/>
    </row>
    <row r="3488" spans="1:7" ht="12.75" x14ac:dyDescent="0.2">
      <c r="A3488" s="3"/>
      <c r="B3488" s="4" t="s">
        <v>87</v>
      </c>
      <c r="C3488" s="3" t="s">
        <v>162</v>
      </c>
      <c r="D3488" s="3" t="s">
        <v>14</v>
      </c>
      <c r="E3488" s="3">
        <v>71</v>
      </c>
      <c r="G3488" s="19"/>
    </row>
    <row r="3489" spans="1:7" ht="12.75" x14ac:dyDescent="0.2">
      <c r="A3489" s="3"/>
      <c r="B3489" s="4" t="s">
        <v>87</v>
      </c>
      <c r="C3489" s="3" t="s">
        <v>162</v>
      </c>
      <c r="D3489" s="3" t="s">
        <v>138</v>
      </c>
      <c r="E3489" s="3">
        <v>1</v>
      </c>
      <c r="F3489">
        <f>SUM(E3481:E3489)</f>
        <v>546</v>
      </c>
      <c r="G3489" s="19"/>
    </row>
    <row r="3490" spans="1:7" ht="12.75" x14ac:dyDescent="0.2">
      <c r="A3490" s="3"/>
      <c r="B3490" s="4" t="s">
        <v>87</v>
      </c>
      <c r="C3490" s="3" t="s">
        <v>161</v>
      </c>
      <c r="D3490" s="3" t="s">
        <v>3</v>
      </c>
      <c r="E3490" s="3">
        <v>275</v>
      </c>
      <c r="G3490" s="19"/>
    </row>
    <row r="3491" spans="1:7" ht="12.75" x14ac:dyDescent="0.2">
      <c r="A3491" s="3"/>
      <c r="B3491" s="4" t="s">
        <v>87</v>
      </c>
      <c r="C3491" s="3" t="s">
        <v>161</v>
      </c>
      <c r="D3491" s="3" t="s">
        <v>274</v>
      </c>
      <c r="E3491" s="3">
        <v>2</v>
      </c>
      <c r="G3491" s="19"/>
    </row>
    <row r="3492" spans="1:7" ht="12.75" x14ac:dyDescent="0.2">
      <c r="A3492" s="3"/>
      <c r="B3492" s="4" t="s">
        <v>87</v>
      </c>
      <c r="C3492" s="3" t="s">
        <v>161</v>
      </c>
      <c r="D3492" s="3" t="s">
        <v>315</v>
      </c>
      <c r="E3492" s="3">
        <v>1</v>
      </c>
      <c r="G3492" s="19"/>
    </row>
    <row r="3493" spans="1:7" ht="12.75" x14ac:dyDescent="0.2">
      <c r="A3493" s="3"/>
      <c r="B3493" s="4" t="s">
        <v>87</v>
      </c>
      <c r="C3493" s="3" t="s">
        <v>161</v>
      </c>
      <c r="D3493" s="3" t="s">
        <v>149</v>
      </c>
      <c r="E3493" s="3">
        <v>17</v>
      </c>
      <c r="G3493" s="19"/>
    </row>
    <row r="3494" spans="1:7" ht="12.75" x14ac:dyDescent="0.2">
      <c r="A3494" s="3"/>
      <c r="B3494" s="4" t="s">
        <v>87</v>
      </c>
      <c r="C3494" s="3" t="s">
        <v>161</v>
      </c>
      <c r="D3494" s="3" t="s">
        <v>128</v>
      </c>
      <c r="E3494" s="3">
        <v>190</v>
      </c>
      <c r="G3494" s="19"/>
    </row>
    <row r="3495" spans="1:7" ht="12.75" x14ac:dyDescent="0.2">
      <c r="A3495" s="3"/>
      <c r="B3495" s="4" t="s">
        <v>87</v>
      </c>
      <c r="C3495" s="3" t="s">
        <v>161</v>
      </c>
      <c r="D3495" s="3" t="s">
        <v>275</v>
      </c>
      <c r="E3495" s="3">
        <v>2</v>
      </c>
      <c r="G3495" s="19"/>
    </row>
    <row r="3496" spans="1:7" ht="12.75" x14ac:dyDescent="0.2">
      <c r="A3496" s="3"/>
      <c r="B3496" s="4" t="s">
        <v>87</v>
      </c>
      <c r="C3496" s="3" t="s">
        <v>161</v>
      </c>
      <c r="D3496" s="3" t="s">
        <v>305</v>
      </c>
      <c r="E3496" s="3">
        <v>2</v>
      </c>
      <c r="G3496" s="19"/>
    </row>
    <row r="3497" spans="1:7" ht="12.75" x14ac:dyDescent="0.2">
      <c r="A3497" s="3"/>
      <c r="B3497" s="4" t="s">
        <v>87</v>
      </c>
      <c r="C3497" s="3" t="s">
        <v>161</v>
      </c>
      <c r="D3497" s="3" t="s">
        <v>14</v>
      </c>
      <c r="E3497" s="3">
        <v>56</v>
      </c>
      <c r="G3497" s="19"/>
    </row>
    <row r="3498" spans="1:7" ht="12.75" x14ac:dyDescent="0.2">
      <c r="A3498" s="3"/>
      <c r="B3498" s="4" t="s">
        <v>87</v>
      </c>
      <c r="C3498" s="3" t="s">
        <v>161</v>
      </c>
      <c r="D3498" s="3" t="s">
        <v>138</v>
      </c>
      <c r="E3498" s="3">
        <v>1</v>
      </c>
      <c r="F3498">
        <f>SUM(E3490:E3498)</f>
        <v>546</v>
      </c>
      <c r="G3498" s="19"/>
    </row>
    <row r="3499" spans="1:7" ht="12.75" x14ac:dyDescent="0.2">
      <c r="A3499" s="3"/>
      <c r="B3499" s="4" t="s">
        <v>114</v>
      </c>
      <c r="C3499" s="3" t="s">
        <v>162</v>
      </c>
      <c r="D3499" s="3" t="s">
        <v>3</v>
      </c>
      <c r="E3499" s="3">
        <v>224</v>
      </c>
      <c r="G3499" s="19"/>
    </row>
    <row r="3500" spans="1:7" ht="12.75" x14ac:dyDescent="0.2">
      <c r="A3500" s="3"/>
      <c r="B3500" s="4" t="s">
        <v>114</v>
      </c>
      <c r="C3500" s="3" t="s">
        <v>162</v>
      </c>
      <c r="D3500" s="3" t="s">
        <v>274</v>
      </c>
      <c r="E3500" s="3">
        <v>1</v>
      </c>
      <c r="G3500" s="19"/>
    </row>
    <row r="3501" spans="1:7" ht="12.75" x14ac:dyDescent="0.2">
      <c r="A3501" s="3"/>
      <c r="B3501" s="4" t="s">
        <v>114</v>
      </c>
      <c r="C3501" s="3" t="s">
        <v>162</v>
      </c>
      <c r="D3501" s="3" t="s">
        <v>149</v>
      </c>
      <c r="E3501" s="3">
        <v>1</v>
      </c>
      <c r="G3501" s="19"/>
    </row>
    <row r="3502" spans="1:7" ht="12.75" x14ac:dyDescent="0.2">
      <c r="A3502" s="3"/>
      <c r="B3502" s="4" t="s">
        <v>114</v>
      </c>
      <c r="C3502" s="3" t="s">
        <v>162</v>
      </c>
      <c r="D3502" s="3" t="s">
        <v>128</v>
      </c>
      <c r="E3502" s="3">
        <v>175</v>
      </c>
      <c r="G3502" s="19"/>
    </row>
    <row r="3503" spans="1:7" ht="12.75" x14ac:dyDescent="0.2">
      <c r="A3503" s="3"/>
      <c r="B3503" s="4" t="s">
        <v>114</v>
      </c>
      <c r="C3503" s="3" t="s">
        <v>162</v>
      </c>
      <c r="D3503" s="3" t="s">
        <v>305</v>
      </c>
      <c r="E3503" s="3">
        <v>3</v>
      </c>
      <c r="G3503" s="19"/>
    </row>
    <row r="3504" spans="1:7" ht="12.75" x14ac:dyDescent="0.2">
      <c r="A3504" s="3"/>
      <c r="B3504" s="4" t="s">
        <v>114</v>
      </c>
      <c r="C3504" s="3" t="s">
        <v>162</v>
      </c>
      <c r="D3504" s="3" t="s">
        <v>14</v>
      </c>
      <c r="E3504" s="3">
        <v>9</v>
      </c>
      <c r="G3504" s="19"/>
    </row>
    <row r="3505" spans="1:7" ht="12.75" x14ac:dyDescent="0.2">
      <c r="A3505" s="3"/>
      <c r="B3505" s="4" t="s">
        <v>114</v>
      </c>
      <c r="C3505" s="3" t="s">
        <v>162</v>
      </c>
      <c r="D3505" s="3" t="s">
        <v>138</v>
      </c>
      <c r="E3505" s="3">
        <v>2</v>
      </c>
      <c r="F3505">
        <f>SUM(E3499:E3505)</f>
        <v>415</v>
      </c>
      <c r="G3505" s="19"/>
    </row>
    <row r="3506" spans="1:7" ht="12.75" x14ac:dyDescent="0.2">
      <c r="A3506" s="3"/>
      <c r="B3506" s="4" t="s">
        <v>114</v>
      </c>
      <c r="C3506" s="3" t="s">
        <v>161</v>
      </c>
      <c r="D3506" s="3" t="s">
        <v>3</v>
      </c>
      <c r="E3506" s="3">
        <v>210</v>
      </c>
      <c r="G3506" s="19"/>
    </row>
    <row r="3507" spans="1:7" ht="12.75" x14ac:dyDescent="0.2">
      <c r="A3507" s="3"/>
      <c r="B3507" s="4" t="s">
        <v>114</v>
      </c>
      <c r="C3507" s="3" t="s">
        <v>161</v>
      </c>
      <c r="D3507" s="3" t="s">
        <v>274</v>
      </c>
      <c r="E3507" s="3">
        <v>1</v>
      </c>
      <c r="G3507" s="19"/>
    </row>
    <row r="3508" spans="1:7" ht="12.75" x14ac:dyDescent="0.2">
      <c r="A3508" s="3"/>
      <c r="B3508" s="4" t="s">
        <v>114</v>
      </c>
      <c r="C3508" s="3" t="s">
        <v>161</v>
      </c>
      <c r="D3508" s="3" t="s">
        <v>149</v>
      </c>
      <c r="E3508" s="3">
        <v>1</v>
      </c>
      <c r="G3508" s="19"/>
    </row>
    <row r="3509" spans="1:7" ht="12.75" x14ac:dyDescent="0.2">
      <c r="A3509" s="3"/>
      <c r="B3509" s="4" t="s">
        <v>114</v>
      </c>
      <c r="C3509" s="3" t="s">
        <v>161</v>
      </c>
      <c r="D3509" s="3" t="s">
        <v>128</v>
      </c>
      <c r="E3509" s="3">
        <v>179</v>
      </c>
      <c r="G3509" s="19"/>
    </row>
    <row r="3510" spans="1:7" ht="12.75" x14ac:dyDescent="0.2">
      <c r="A3510" s="3"/>
      <c r="B3510" s="4" t="s">
        <v>114</v>
      </c>
      <c r="C3510" s="3" t="s">
        <v>161</v>
      </c>
      <c r="D3510" s="3" t="s">
        <v>305</v>
      </c>
      <c r="E3510" s="3">
        <v>3</v>
      </c>
      <c r="G3510" s="19"/>
    </row>
    <row r="3511" spans="1:7" ht="12.75" x14ac:dyDescent="0.2">
      <c r="A3511" s="3"/>
      <c r="B3511" s="4" t="s">
        <v>114</v>
      </c>
      <c r="C3511" s="3" t="s">
        <v>161</v>
      </c>
      <c r="D3511" s="3" t="s">
        <v>14</v>
      </c>
      <c r="E3511" s="3">
        <v>19</v>
      </c>
      <c r="G3511" s="19"/>
    </row>
    <row r="3512" spans="1:7" ht="12.75" x14ac:dyDescent="0.2">
      <c r="A3512" s="3"/>
      <c r="B3512" s="4" t="s">
        <v>114</v>
      </c>
      <c r="C3512" s="3" t="s">
        <v>161</v>
      </c>
      <c r="D3512" s="3" t="s">
        <v>138</v>
      </c>
      <c r="E3512" s="3">
        <v>2</v>
      </c>
      <c r="F3512">
        <f>SUM(E3506:E3512)</f>
        <v>415</v>
      </c>
      <c r="G3512" s="19"/>
    </row>
    <row r="3513" spans="1:7" ht="12.75" x14ac:dyDescent="0.2">
      <c r="A3513" s="3"/>
      <c r="B3513" s="4" t="s">
        <v>90</v>
      </c>
      <c r="C3513" s="3" t="s">
        <v>162</v>
      </c>
      <c r="D3513" s="3" t="s">
        <v>3</v>
      </c>
      <c r="E3513" s="3">
        <v>1366</v>
      </c>
      <c r="G3513" s="19"/>
    </row>
    <row r="3514" spans="1:7" ht="12.75" x14ac:dyDescent="0.2">
      <c r="A3514" s="3"/>
      <c r="B3514" s="4" t="s">
        <v>90</v>
      </c>
      <c r="C3514" s="3" t="s">
        <v>162</v>
      </c>
      <c r="D3514" s="3" t="s">
        <v>274</v>
      </c>
      <c r="E3514" s="3">
        <v>3</v>
      </c>
      <c r="G3514" s="19"/>
    </row>
    <row r="3515" spans="1:7" ht="12.75" x14ac:dyDescent="0.2">
      <c r="A3515" s="3"/>
      <c r="B3515" s="4" t="s">
        <v>90</v>
      </c>
      <c r="C3515" s="3" t="s">
        <v>162</v>
      </c>
      <c r="D3515" s="3" t="s">
        <v>315</v>
      </c>
      <c r="E3515" s="3">
        <v>7</v>
      </c>
      <c r="G3515" s="19"/>
    </row>
    <row r="3516" spans="1:7" ht="12.75" x14ac:dyDescent="0.2">
      <c r="A3516" s="3"/>
      <c r="B3516" s="4" t="s">
        <v>90</v>
      </c>
      <c r="C3516" s="3" t="s">
        <v>162</v>
      </c>
      <c r="D3516" s="3" t="s">
        <v>149</v>
      </c>
      <c r="E3516" s="3">
        <v>132</v>
      </c>
      <c r="G3516" s="19"/>
    </row>
    <row r="3517" spans="1:7" ht="12.75" x14ac:dyDescent="0.2">
      <c r="A3517" s="3"/>
      <c r="B3517" s="4" t="s">
        <v>90</v>
      </c>
      <c r="C3517" s="3" t="s">
        <v>162</v>
      </c>
      <c r="D3517" s="3" t="s">
        <v>128</v>
      </c>
      <c r="E3517" s="3">
        <v>1006</v>
      </c>
      <c r="G3517" s="19"/>
    </row>
    <row r="3518" spans="1:7" ht="12.75" x14ac:dyDescent="0.2">
      <c r="A3518" s="3"/>
      <c r="B3518" s="4" t="s">
        <v>90</v>
      </c>
      <c r="C3518" s="3" t="s">
        <v>162</v>
      </c>
      <c r="D3518" s="3" t="s">
        <v>275</v>
      </c>
      <c r="E3518" s="3">
        <v>13</v>
      </c>
      <c r="G3518" s="19"/>
    </row>
    <row r="3519" spans="1:7" ht="12.75" x14ac:dyDescent="0.2">
      <c r="A3519" s="3"/>
      <c r="B3519" s="4" t="s">
        <v>90</v>
      </c>
      <c r="C3519" s="3" t="s">
        <v>162</v>
      </c>
      <c r="D3519" s="3" t="s">
        <v>305</v>
      </c>
      <c r="E3519" s="3">
        <v>60</v>
      </c>
      <c r="G3519" s="19"/>
    </row>
    <row r="3520" spans="1:7" ht="12.75" x14ac:dyDescent="0.2">
      <c r="A3520" s="3"/>
      <c r="B3520" s="4" t="s">
        <v>90</v>
      </c>
      <c r="C3520" s="3" t="s">
        <v>162</v>
      </c>
      <c r="D3520" s="3" t="s">
        <v>14</v>
      </c>
      <c r="E3520" s="3">
        <v>175</v>
      </c>
      <c r="G3520" s="19"/>
    </row>
    <row r="3521" spans="1:7" ht="12.75" x14ac:dyDescent="0.2">
      <c r="A3521" s="3"/>
      <c r="B3521" s="4" t="s">
        <v>90</v>
      </c>
      <c r="C3521" s="3" t="s">
        <v>162</v>
      </c>
      <c r="D3521" s="3" t="s">
        <v>138</v>
      </c>
      <c r="E3521" s="3">
        <v>33</v>
      </c>
      <c r="F3521">
        <f>SUM(E3513:E3521)</f>
        <v>2795</v>
      </c>
      <c r="G3521" s="19"/>
    </row>
    <row r="3522" spans="1:7" ht="12.75" x14ac:dyDescent="0.2">
      <c r="A3522" s="3"/>
      <c r="B3522" s="4" t="s">
        <v>90</v>
      </c>
      <c r="C3522" s="3" t="s">
        <v>161</v>
      </c>
      <c r="D3522" s="3" t="s">
        <v>3</v>
      </c>
      <c r="E3522" s="3">
        <v>1277</v>
      </c>
      <c r="G3522" s="19"/>
    </row>
    <row r="3523" spans="1:7" ht="12.75" x14ac:dyDescent="0.2">
      <c r="A3523" s="3"/>
      <c r="B3523" s="4" t="s">
        <v>90</v>
      </c>
      <c r="C3523" s="3" t="s">
        <v>161</v>
      </c>
      <c r="D3523" s="3" t="s">
        <v>274</v>
      </c>
      <c r="E3523" s="3">
        <v>2</v>
      </c>
      <c r="G3523" s="19"/>
    </row>
    <row r="3524" spans="1:7" ht="12.75" x14ac:dyDescent="0.2">
      <c r="A3524" s="3"/>
      <c r="B3524" s="4" t="s">
        <v>90</v>
      </c>
      <c r="C3524" s="3" t="s">
        <v>161</v>
      </c>
      <c r="D3524" s="3" t="s">
        <v>315</v>
      </c>
      <c r="E3524" s="3">
        <v>8</v>
      </c>
      <c r="G3524" s="19"/>
    </row>
    <row r="3525" spans="1:7" ht="12.75" x14ac:dyDescent="0.2">
      <c r="A3525" s="3"/>
      <c r="B3525" s="4" t="s">
        <v>90</v>
      </c>
      <c r="C3525" s="3" t="s">
        <v>161</v>
      </c>
      <c r="D3525" s="3" t="s">
        <v>149</v>
      </c>
      <c r="E3525" s="3">
        <v>133</v>
      </c>
      <c r="G3525" s="19"/>
    </row>
    <row r="3526" spans="1:7" ht="12.75" x14ac:dyDescent="0.2">
      <c r="A3526" s="3"/>
      <c r="B3526" s="4" t="s">
        <v>90</v>
      </c>
      <c r="C3526" s="3" t="s">
        <v>161</v>
      </c>
      <c r="D3526" s="3" t="s">
        <v>128</v>
      </c>
      <c r="E3526" s="3">
        <v>1010</v>
      </c>
      <c r="G3526" s="19"/>
    </row>
    <row r="3527" spans="1:7" ht="12.75" x14ac:dyDescent="0.2">
      <c r="A3527" s="3"/>
      <c r="B3527" s="4" t="s">
        <v>90</v>
      </c>
      <c r="C3527" s="3" t="s">
        <v>161</v>
      </c>
      <c r="D3527" s="3" t="s">
        <v>275</v>
      </c>
      <c r="E3527" s="3">
        <v>16</v>
      </c>
      <c r="G3527" s="19"/>
    </row>
    <row r="3528" spans="1:7" ht="12.75" x14ac:dyDescent="0.2">
      <c r="A3528" s="3"/>
      <c r="B3528" s="4" t="s">
        <v>90</v>
      </c>
      <c r="C3528" s="3" t="s">
        <v>161</v>
      </c>
      <c r="D3528" s="3" t="s">
        <v>305</v>
      </c>
      <c r="E3528" s="3">
        <v>64</v>
      </c>
      <c r="G3528" s="19"/>
    </row>
    <row r="3529" spans="1:7" ht="12.75" x14ac:dyDescent="0.2">
      <c r="A3529" s="3"/>
      <c r="B3529" s="4" t="s">
        <v>90</v>
      </c>
      <c r="C3529" s="3" t="s">
        <v>161</v>
      </c>
      <c r="D3529" s="3" t="s">
        <v>14</v>
      </c>
      <c r="E3529" s="3">
        <v>252</v>
      </c>
      <c r="G3529" s="19"/>
    </row>
    <row r="3530" spans="1:7" ht="12.75" x14ac:dyDescent="0.2">
      <c r="A3530" s="3"/>
      <c r="B3530" s="4" t="s">
        <v>90</v>
      </c>
      <c r="C3530" s="3" t="s">
        <v>161</v>
      </c>
      <c r="D3530" s="3" t="s">
        <v>138</v>
      </c>
      <c r="E3530" s="3">
        <v>33</v>
      </c>
      <c r="F3530">
        <f>SUM(E3522:E3530)</f>
        <v>2795</v>
      </c>
      <c r="G3530" s="19"/>
    </row>
    <row r="3531" spans="1:7" ht="12.75" x14ac:dyDescent="0.2">
      <c r="A3531" s="3"/>
      <c r="B3531" s="4" t="s">
        <v>97</v>
      </c>
      <c r="C3531" s="3" t="s">
        <v>162</v>
      </c>
      <c r="D3531" s="3" t="s">
        <v>3</v>
      </c>
      <c r="E3531" s="3">
        <v>223</v>
      </c>
      <c r="G3531" s="19"/>
    </row>
    <row r="3532" spans="1:7" ht="12.75" x14ac:dyDescent="0.2">
      <c r="A3532" s="3"/>
      <c r="B3532" s="4" t="s">
        <v>97</v>
      </c>
      <c r="C3532" s="3" t="s">
        <v>162</v>
      </c>
      <c r="D3532" s="3" t="s">
        <v>149</v>
      </c>
      <c r="E3532" s="3">
        <v>5</v>
      </c>
      <c r="G3532" s="19"/>
    </row>
    <row r="3533" spans="1:7" ht="12.75" x14ac:dyDescent="0.2">
      <c r="A3533" s="3"/>
      <c r="B3533" s="4" t="s">
        <v>97</v>
      </c>
      <c r="C3533" s="3" t="s">
        <v>162</v>
      </c>
      <c r="D3533" s="3" t="s">
        <v>128</v>
      </c>
      <c r="E3533" s="3">
        <v>81</v>
      </c>
      <c r="G3533" s="19"/>
    </row>
    <row r="3534" spans="1:7" ht="12.75" x14ac:dyDescent="0.2">
      <c r="A3534" s="3"/>
      <c r="B3534" s="4" t="s">
        <v>97</v>
      </c>
      <c r="C3534" s="3" t="s">
        <v>162</v>
      </c>
      <c r="D3534" s="3" t="s">
        <v>305</v>
      </c>
      <c r="E3534" s="3">
        <v>4</v>
      </c>
      <c r="G3534" s="19"/>
    </row>
    <row r="3535" spans="1:7" ht="12.75" x14ac:dyDescent="0.2">
      <c r="A3535" s="3"/>
      <c r="B3535" s="4" t="s">
        <v>97</v>
      </c>
      <c r="C3535" s="3" t="s">
        <v>162</v>
      </c>
      <c r="D3535" s="3" t="s">
        <v>14</v>
      </c>
      <c r="E3535" s="3">
        <v>66</v>
      </c>
      <c r="G3535" s="19"/>
    </row>
    <row r="3536" spans="1:7" ht="12.75" x14ac:dyDescent="0.2">
      <c r="A3536" s="3"/>
      <c r="B3536" s="4" t="s">
        <v>97</v>
      </c>
      <c r="C3536" s="3" t="s">
        <v>162</v>
      </c>
      <c r="D3536" s="3" t="s">
        <v>138</v>
      </c>
      <c r="E3536" s="3">
        <v>2</v>
      </c>
      <c r="F3536">
        <f>SUM(E3531:E3536)</f>
        <v>381</v>
      </c>
      <c r="G3536" s="19"/>
    </row>
    <row r="3537" spans="1:7" ht="12.75" x14ac:dyDescent="0.2">
      <c r="A3537" s="3"/>
      <c r="B3537" s="4" t="s">
        <v>97</v>
      </c>
      <c r="C3537" s="3" t="s">
        <v>161</v>
      </c>
      <c r="D3537" s="3" t="s">
        <v>3</v>
      </c>
      <c r="E3537" s="3">
        <v>218</v>
      </c>
      <c r="G3537" s="19"/>
    </row>
    <row r="3538" spans="1:7" ht="12.75" x14ac:dyDescent="0.2">
      <c r="A3538" s="3"/>
      <c r="B3538" s="4" t="s">
        <v>97</v>
      </c>
      <c r="C3538" s="3" t="s">
        <v>161</v>
      </c>
      <c r="D3538" s="3" t="s">
        <v>149</v>
      </c>
      <c r="E3538" s="3">
        <v>5</v>
      </c>
      <c r="G3538" s="19"/>
    </row>
    <row r="3539" spans="1:7" ht="12.75" x14ac:dyDescent="0.2">
      <c r="A3539" s="3"/>
      <c r="B3539" s="4" t="s">
        <v>97</v>
      </c>
      <c r="C3539" s="3" t="s">
        <v>161</v>
      </c>
      <c r="D3539" s="3" t="s">
        <v>128</v>
      </c>
      <c r="E3539" s="3">
        <v>68</v>
      </c>
      <c r="G3539" s="19"/>
    </row>
    <row r="3540" spans="1:7" ht="12.75" x14ac:dyDescent="0.2">
      <c r="A3540" s="3"/>
      <c r="B3540" s="4" t="s">
        <v>97</v>
      </c>
      <c r="C3540" s="3" t="s">
        <v>161</v>
      </c>
      <c r="D3540" s="3" t="s">
        <v>305</v>
      </c>
      <c r="E3540" s="3">
        <v>17</v>
      </c>
      <c r="G3540" s="19"/>
    </row>
    <row r="3541" spans="1:7" ht="12.75" x14ac:dyDescent="0.2">
      <c r="A3541" s="3"/>
      <c r="B3541" s="4" t="s">
        <v>97</v>
      </c>
      <c r="C3541" s="3" t="s">
        <v>161</v>
      </c>
      <c r="D3541" s="3" t="s">
        <v>14</v>
      </c>
      <c r="E3541" s="3">
        <v>71</v>
      </c>
      <c r="G3541" s="19"/>
    </row>
    <row r="3542" spans="1:7" ht="12.75" x14ac:dyDescent="0.2">
      <c r="A3542" s="3"/>
      <c r="B3542" s="4" t="s">
        <v>97</v>
      </c>
      <c r="C3542" s="3" t="s">
        <v>161</v>
      </c>
      <c r="D3542" s="3" t="s">
        <v>138</v>
      </c>
      <c r="E3542" s="3">
        <v>2</v>
      </c>
      <c r="F3542">
        <f>SUM(E3537:E3542)</f>
        <v>381</v>
      </c>
      <c r="G3542" s="19"/>
    </row>
    <row r="3543" spans="1:7" ht="12.75" x14ac:dyDescent="0.2">
      <c r="A3543" s="3"/>
      <c r="B3543" s="4" t="s">
        <v>98</v>
      </c>
      <c r="C3543" s="3" t="s">
        <v>162</v>
      </c>
      <c r="D3543" s="3" t="s">
        <v>3</v>
      </c>
      <c r="E3543" s="3">
        <v>1379</v>
      </c>
      <c r="G3543" s="19"/>
    </row>
    <row r="3544" spans="1:7" ht="12.75" x14ac:dyDescent="0.2">
      <c r="A3544" s="3"/>
      <c r="B3544" s="4" t="s">
        <v>98</v>
      </c>
      <c r="C3544" s="3" t="s">
        <v>162</v>
      </c>
      <c r="D3544" s="3" t="s">
        <v>274</v>
      </c>
      <c r="E3544" s="3">
        <v>10</v>
      </c>
      <c r="G3544" s="19"/>
    </row>
    <row r="3545" spans="1:7" ht="12.75" x14ac:dyDescent="0.2">
      <c r="A3545" s="3"/>
      <c r="B3545" s="4" t="s">
        <v>98</v>
      </c>
      <c r="C3545" s="3" t="s">
        <v>162</v>
      </c>
      <c r="D3545" s="3" t="s">
        <v>315</v>
      </c>
      <c r="E3545" s="3">
        <v>10</v>
      </c>
      <c r="G3545" s="19"/>
    </row>
    <row r="3546" spans="1:7" ht="12.75" x14ac:dyDescent="0.2">
      <c r="A3546" s="3"/>
      <c r="B3546" s="4" t="s">
        <v>98</v>
      </c>
      <c r="C3546" s="3" t="s">
        <v>162</v>
      </c>
      <c r="D3546" s="3" t="s">
        <v>149</v>
      </c>
      <c r="E3546" s="3">
        <v>41</v>
      </c>
      <c r="G3546" s="19"/>
    </row>
    <row r="3547" spans="1:7" ht="12.75" x14ac:dyDescent="0.2">
      <c r="A3547" s="3"/>
      <c r="B3547" s="4" t="s">
        <v>98</v>
      </c>
      <c r="C3547" s="3" t="s">
        <v>162</v>
      </c>
      <c r="D3547" s="3" t="s">
        <v>128</v>
      </c>
      <c r="E3547" s="3">
        <v>956</v>
      </c>
      <c r="G3547" s="19"/>
    </row>
    <row r="3548" spans="1:7" ht="12.75" x14ac:dyDescent="0.2">
      <c r="A3548" s="3"/>
      <c r="B3548" s="4" t="s">
        <v>98</v>
      </c>
      <c r="C3548" s="3" t="s">
        <v>162</v>
      </c>
      <c r="D3548" s="3" t="s">
        <v>275</v>
      </c>
      <c r="E3548" s="3">
        <v>4</v>
      </c>
      <c r="G3548" s="19"/>
    </row>
    <row r="3549" spans="1:7" ht="12.75" x14ac:dyDescent="0.2">
      <c r="A3549" s="3"/>
      <c r="B3549" s="4" t="s">
        <v>98</v>
      </c>
      <c r="C3549" s="3" t="s">
        <v>162</v>
      </c>
      <c r="D3549" s="3" t="s">
        <v>305</v>
      </c>
      <c r="E3549" s="3">
        <v>72</v>
      </c>
      <c r="G3549" s="19"/>
    </row>
    <row r="3550" spans="1:7" ht="12.75" x14ac:dyDescent="0.2">
      <c r="A3550" s="3"/>
      <c r="B3550" s="4" t="s">
        <v>98</v>
      </c>
      <c r="C3550" s="3" t="s">
        <v>162</v>
      </c>
      <c r="D3550" s="3" t="s">
        <v>14</v>
      </c>
      <c r="E3550" s="3">
        <v>155</v>
      </c>
      <c r="G3550" s="19"/>
    </row>
    <row r="3551" spans="1:7" ht="12.75" x14ac:dyDescent="0.2">
      <c r="A3551" s="3"/>
      <c r="B3551" s="4" t="s">
        <v>98</v>
      </c>
      <c r="C3551" s="3" t="s">
        <v>162</v>
      </c>
      <c r="D3551" s="3" t="s">
        <v>138</v>
      </c>
      <c r="E3551" s="3">
        <v>33</v>
      </c>
      <c r="F3551">
        <f>SUM(E3543:E3551)</f>
        <v>2660</v>
      </c>
      <c r="G3551" s="19"/>
    </row>
    <row r="3552" spans="1:7" ht="12.75" x14ac:dyDescent="0.2">
      <c r="A3552" s="3"/>
      <c r="B3552" s="4" t="s">
        <v>98</v>
      </c>
      <c r="C3552" s="3" t="s">
        <v>161</v>
      </c>
      <c r="D3552" s="3" t="s">
        <v>3</v>
      </c>
      <c r="E3552" s="3">
        <v>1280</v>
      </c>
      <c r="G3552" s="19"/>
    </row>
    <row r="3553" spans="1:7" ht="12.75" x14ac:dyDescent="0.2">
      <c r="A3553" s="3"/>
      <c r="B3553" s="4" t="s">
        <v>98</v>
      </c>
      <c r="C3553" s="3" t="s">
        <v>161</v>
      </c>
      <c r="D3553" s="3" t="s">
        <v>274</v>
      </c>
      <c r="E3553" s="3">
        <v>10</v>
      </c>
      <c r="G3553" s="19"/>
    </row>
    <row r="3554" spans="1:7" ht="12.75" x14ac:dyDescent="0.2">
      <c r="A3554" s="3"/>
      <c r="B3554" s="4" t="s">
        <v>98</v>
      </c>
      <c r="C3554" s="3" t="s">
        <v>161</v>
      </c>
      <c r="D3554" s="3" t="s">
        <v>315</v>
      </c>
      <c r="E3554" s="3">
        <v>13</v>
      </c>
      <c r="G3554" s="19"/>
    </row>
    <row r="3555" spans="1:7" ht="12.75" x14ac:dyDescent="0.2">
      <c r="A3555" s="3"/>
      <c r="B3555" s="4" t="s">
        <v>98</v>
      </c>
      <c r="C3555" s="3" t="s">
        <v>161</v>
      </c>
      <c r="D3555" s="3" t="s">
        <v>149</v>
      </c>
      <c r="E3555" s="3">
        <v>45</v>
      </c>
      <c r="G3555" s="19"/>
    </row>
    <row r="3556" spans="1:7" ht="12.75" x14ac:dyDescent="0.2">
      <c r="A3556" s="3"/>
      <c r="B3556" s="4" t="s">
        <v>98</v>
      </c>
      <c r="C3556" s="3" t="s">
        <v>161</v>
      </c>
      <c r="D3556" s="3" t="s">
        <v>128</v>
      </c>
      <c r="E3556" s="3">
        <v>968</v>
      </c>
      <c r="G3556" s="19"/>
    </row>
    <row r="3557" spans="1:7" ht="12.75" x14ac:dyDescent="0.2">
      <c r="A3557" s="3"/>
      <c r="B3557" s="4" t="s">
        <v>98</v>
      </c>
      <c r="C3557" s="3" t="s">
        <v>161</v>
      </c>
      <c r="D3557" s="3" t="s">
        <v>275</v>
      </c>
      <c r="E3557" s="3">
        <v>4</v>
      </c>
      <c r="G3557" s="19"/>
    </row>
    <row r="3558" spans="1:7" ht="12.75" x14ac:dyDescent="0.2">
      <c r="A3558" s="3"/>
      <c r="B3558" s="4" t="s">
        <v>98</v>
      </c>
      <c r="C3558" s="3" t="s">
        <v>161</v>
      </c>
      <c r="D3558" s="3" t="s">
        <v>305</v>
      </c>
      <c r="E3558" s="3">
        <v>69</v>
      </c>
      <c r="G3558" s="19"/>
    </row>
    <row r="3559" spans="1:7" ht="12.75" x14ac:dyDescent="0.2">
      <c r="A3559" s="3"/>
      <c r="B3559" s="4" t="s">
        <v>98</v>
      </c>
      <c r="C3559" s="3" t="s">
        <v>161</v>
      </c>
      <c r="D3559" s="3" t="s">
        <v>14</v>
      </c>
      <c r="E3559" s="3">
        <v>236</v>
      </c>
      <c r="G3559" s="19"/>
    </row>
    <row r="3560" spans="1:7" ht="12.75" x14ac:dyDescent="0.2">
      <c r="A3560" s="3"/>
      <c r="B3560" s="4" t="s">
        <v>98</v>
      </c>
      <c r="C3560" s="3" t="s">
        <v>161</v>
      </c>
      <c r="D3560" s="3" t="s">
        <v>138</v>
      </c>
      <c r="E3560" s="3">
        <v>35</v>
      </c>
      <c r="F3560">
        <f>SUM(E3552:E3560)</f>
        <v>2660</v>
      </c>
      <c r="G3560" s="19"/>
    </row>
    <row r="3561" spans="1:7" ht="12.75" x14ac:dyDescent="0.2">
      <c r="A3561" s="3"/>
      <c r="B3561" s="4" t="s">
        <v>105</v>
      </c>
      <c r="C3561" s="3" t="s">
        <v>162</v>
      </c>
      <c r="D3561" s="3" t="s">
        <v>3</v>
      </c>
      <c r="E3561" s="3">
        <v>2517</v>
      </c>
      <c r="G3561" s="19"/>
    </row>
    <row r="3562" spans="1:7" ht="12.75" x14ac:dyDescent="0.2">
      <c r="A3562" s="3"/>
      <c r="B3562" s="4" t="s">
        <v>105</v>
      </c>
      <c r="C3562" s="3" t="s">
        <v>162</v>
      </c>
      <c r="D3562" s="3" t="s">
        <v>274</v>
      </c>
      <c r="E3562" s="3">
        <v>15</v>
      </c>
      <c r="G3562" s="19"/>
    </row>
    <row r="3563" spans="1:7" ht="12.75" x14ac:dyDescent="0.2">
      <c r="A3563" s="3"/>
      <c r="B3563" s="4" t="s">
        <v>105</v>
      </c>
      <c r="C3563" s="3" t="s">
        <v>162</v>
      </c>
      <c r="D3563" s="3" t="s">
        <v>315</v>
      </c>
      <c r="E3563" s="3">
        <v>36</v>
      </c>
      <c r="G3563" s="19"/>
    </row>
    <row r="3564" spans="1:7" ht="12.75" x14ac:dyDescent="0.2">
      <c r="A3564" s="3"/>
      <c r="B3564" s="4" t="s">
        <v>105</v>
      </c>
      <c r="C3564" s="3" t="s">
        <v>162</v>
      </c>
      <c r="D3564" s="3" t="s">
        <v>149</v>
      </c>
      <c r="E3564" s="3">
        <v>213</v>
      </c>
      <c r="G3564" s="19"/>
    </row>
    <row r="3565" spans="1:7" ht="12.75" x14ac:dyDescent="0.2">
      <c r="A3565" s="3"/>
      <c r="B3565" s="4" t="s">
        <v>105</v>
      </c>
      <c r="C3565" s="3" t="s">
        <v>162</v>
      </c>
      <c r="D3565" s="3" t="s">
        <v>128</v>
      </c>
      <c r="E3565" s="3">
        <v>1928</v>
      </c>
      <c r="G3565" s="19"/>
    </row>
    <row r="3566" spans="1:7" ht="12.75" x14ac:dyDescent="0.2">
      <c r="A3566" s="3"/>
      <c r="B3566" s="4" t="s">
        <v>105</v>
      </c>
      <c r="C3566" s="3" t="s">
        <v>162</v>
      </c>
      <c r="D3566" s="3" t="s">
        <v>275</v>
      </c>
      <c r="E3566" s="3">
        <v>9</v>
      </c>
      <c r="G3566" s="19"/>
    </row>
    <row r="3567" spans="1:7" ht="12.75" x14ac:dyDescent="0.2">
      <c r="A3567" s="3"/>
      <c r="B3567" s="4" t="s">
        <v>105</v>
      </c>
      <c r="C3567" s="3" t="s">
        <v>162</v>
      </c>
      <c r="D3567" s="3" t="s">
        <v>305</v>
      </c>
      <c r="E3567" s="3">
        <v>329</v>
      </c>
      <c r="G3567" s="19"/>
    </row>
    <row r="3568" spans="1:7" ht="12.75" x14ac:dyDescent="0.2">
      <c r="A3568" s="3"/>
      <c r="B3568" s="4" t="s">
        <v>105</v>
      </c>
      <c r="C3568" s="3" t="s">
        <v>162</v>
      </c>
      <c r="D3568" s="3" t="s">
        <v>14</v>
      </c>
      <c r="E3568" s="3">
        <v>458</v>
      </c>
      <c r="G3568" s="19"/>
    </row>
    <row r="3569" spans="1:7" ht="12.75" x14ac:dyDescent="0.2">
      <c r="A3569" s="3"/>
      <c r="B3569" s="4" t="s">
        <v>105</v>
      </c>
      <c r="C3569" s="3" t="s">
        <v>162</v>
      </c>
      <c r="D3569" s="3" t="s">
        <v>138</v>
      </c>
      <c r="E3569" s="3">
        <v>39</v>
      </c>
      <c r="F3569">
        <f>SUM(E3561:E3569)</f>
        <v>5544</v>
      </c>
      <c r="G3569" s="19"/>
    </row>
    <row r="3570" spans="1:7" ht="12.75" x14ac:dyDescent="0.2">
      <c r="A3570" s="3"/>
      <c r="B3570" s="4" t="s">
        <v>105</v>
      </c>
      <c r="C3570" s="3" t="s">
        <v>161</v>
      </c>
      <c r="D3570" s="3" t="s">
        <v>3</v>
      </c>
      <c r="E3570" s="3">
        <v>2406</v>
      </c>
      <c r="G3570" s="19"/>
    </row>
    <row r="3571" spans="1:7" ht="12.75" x14ac:dyDescent="0.2">
      <c r="A3571" s="3"/>
      <c r="B3571" s="4" t="s">
        <v>105</v>
      </c>
      <c r="C3571" s="3" t="s">
        <v>161</v>
      </c>
      <c r="D3571" s="3" t="s">
        <v>274</v>
      </c>
      <c r="E3571" s="3">
        <v>18</v>
      </c>
      <c r="G3571" s="19"/>
    </row>
    <row r="3572" spans="1:7" ht="12.75" x14ac:dyDescent="0.2">
      <c r="A3572" s="3"/>
      <c r="B3572" s="4" t="s">
        <v>105</v>
      </c>
      <c r="C3572" s="3" t="s">
        <v>161</v>
      </c>
      <c r="D3572" s="3" t="s">
        <v>315</v>
      </c>
      <c r="E3572" s="3">
        <v>39</v>
      </c>
      <c r="G3572" s="19"/>
    </row>
    <row r="3573" spans="1:7" ht="12.75" x14ac:dyDescent="0.2">
      <c r="A3573" s="3"/>
      <c r="B3573" s="4" t="s">
        <v>105</v>
      </c>
      <c r="C3573" s="3" t="s">
        <v>161</v>
      </c>
      <c r="D3573" s="3" t="s">
        <v>149</v>
      </c>
      <c r="E3573" s="3">
        <v>224</v>
      </c>
      <c r="G3573" s="19"/>
    </row>
    <row r="3574" spans="1:7" ht="12.75" x14ac:dyDescent="0.2">
      <c r="A3574" s="3"/>
      <c r="B3574" s="4" t="s">
        <v>105</v>
      </c>
      <c r="C3574" s="3" t="s">
        <v>161</v>
      </c>
      <c r="D3574" s="3" t="s">
        <v>128</v>
      </c>
      <c r="E3574" s="3">
        <v>1922</v>
      </c>
      <c r="G3574" s="19"/>
    </row>
    <row r="3575" spans="1:7" ht="12.75" x14ac:dyDescent="0.2">
      <c r="A3575" s="3"/>
      <c r="B3575" s="4" t="s">
        <v>105</v>
      </c>
      <c r="C3575" s="3" t="s">
        <v>161</v>
      </c>
      <c r="D3575" s="3" t="s">
        <v>275</v>
      </c>
      <c r="E3575" s="3">
        <v>11</v>
      </c>
      <c r="G3575" s="19"/>
    </row>
    <row r="3576" spans="1:7" ht="12.75" x14ac:dyDescent="0.2">
      <c r="A3576" s="3"/>
      <c r="B3576" s="4" t="s">
        <v>105</v>
      </c>
      <c r="C3576" s="3" t="s">
        <v>161</v>
      </c>
      <c r="D3576" s="3" t="s">
        <v>305</v>
      </c>
      <c r="E3576" s="3">
        <v>332</v>
      </c>
      <c r="G3576" s="19"/>
    </row>
    <row r="3577" spans="1:7" ht="12.75" x14ac:dyDescent="0.2">
      <c r="A3577" s="3"/>
      <c r="B3577" s="4" t="s">
        <v>105</v>
      </c>
      <c r="C3577" s="3" t="s">
        <v>161</v>
      </c>
      <c r="D3577" s="3" t="s">
        <v>14</v>
      </c>
      <c r="E3577" s="3">
        <v>552</v>
      </c>
      <c r="G3577" s="19"/>
    </row>
    <row r="3578" spans="1:7" ht="12.75" x14ac:dyDescent="0.2">
      <c r="A3578" s="3"/>
      <c r="B3578" s="4" t="s">
        <v>105</v>
      </c>
      <c r="C3578" s="3" t="s">
        <v>161</v>
      </c>
      <c r="D3578" s="3" t="s">
        <v>138</v>
      </c>
      <c r="E3578" s="3">
        <v>40</v>
      </c>
      <c r="F3578">
        <f>SUM(E3570:E3578)</f>
        <v>5544</v>
      </c>
      <c r="G3578" s="19"/>
    </row>
    <row r="3579" spans="1:7" ht="12.75" x14ac:dyDescent="0.2">
      <c r="A3579" s="3"/>
      <c r="B3579" s="4" t="s">
        <v>91</v>
      </c>
      <c r="C3579" s="3" t="s">
        <v>162</v>
      </c>
      <c r="D3579" s="3" t="s">
        <v>3</v>
      </c>
      <c r="E3579" s="3">
        <v>31</v>
      </c>
      <c r="G3579" s="19"/>
    </row>
    <row r="3580" spans="1:7" ht="12.75" x14ac:dyDescent="0.2">
      <c r="A3580" s="3"/>
      <c r="B3580" s="4" t="s">
        <v>91</v>
      </c>
      <c r="C3580" s="3" t="s">
        <v>162</v>
      </c>
      <c r="D3580" s="3" t="s">
        <v>149</v>
      </c>
      <c r="E3580" s="3">
        <v>2</v>
      </c>
      <c r="G3580" s="19"/>
    </row>
    <row r="3581" spans="1:7" ht="12.75" x14ac:dyDescent="0.2">
      <c r="A3581" s="3"/>
      <c r="B3581" s="4" t="s">
        <v>91</v>
      </c>
      <c r="C3581" s="3" t="s">
        <v>162</v>
      </c>
      <c r="D3581" s="3" t="s">
        <v>128</v>
      </c>
      <c r="E3581" s="3">
        <v>52</v>
      </c>
      <c r="G3581" s="19"/>
    </row>
    <row r="3582" spans="1:7" ht="12.75" x14ac:dyDescent="0.2">
      <c r="A3582" s="3"/>
      <c r="B3582" s="4" t="s">
        <v>91</v>
      </c>
      <c r="C3582" s="3" t="s">
        <v>162</v>
      </c>
      <c r="D3582" s="3" t="s">
        <v>275</v>
      </c>
      <c r="E3582" s="3">
        <v>1</v>
      </c>
      <c r="G3582" s="19"/>
    </row>
    <row r="3583" spans="1:7" ht="12.75" x14ac:dyDescent="0.2">
      <c r="A3583" s="3"/>
      <c r="B3583" s="4" t="s">
        <v>91</v>
      </c>
      <c r="C3583" s="3" t="s">
        <v>162</v>
      </c>
      <c r="D3583" s="3" t="s">
        <v>14</v>
      </c>
      <c r="E3583" s="3">
        <v>12</v>
      </c>
      <c r="G3583" s="19"/>
    </row>
    <row r="3584" spans="1:7" ht="12.75" x14ac:dyDescent="0.2">
      <c r="A3584" s="3"/>
      <c r="B3584" s="4" t="s">
        <v>91</v>
      </c>
      <c r="C3584" s="3" t="s">
        <v>162</v>
      </c>
      <c r="D3584" s="3" t="s">
        <v>138</v>
      </c>
      <c r="E3584" s="3">
        <v>1</v>
      </c>
      <c r="F3584">
        <f>SUM(E3579:E3584)</f>
        <v>99</v>
      </c>
      <c r="G3584" s="19"/>
    </row>
    <row r="3585" spans="1:7" ht="12.75" x14ac:dyDescent="0.2">
      <c r="A3585" s="3"/>
      <c r="B3585" s="4" t="s">
        <v>91</v>
      </c>
      <c r="C3585" s="3" t="s">
        <v>161</v>
      </c>
      <c r="D3585" s="3" t="s">
        <v>3</v>
      </c>
      <c r="E3585" s="3">
        <v>31</v>
      </c>
      <c r="G3585" s="19"/>
    </row>
    <row r="3586" spans="1:7" ht="12.75" x14ac:dyDescent="0.2">
      <c r="A3586" s="3"/>
      <c r="B3586" s="4" t="s">
        <v>91</v>
      </c>
      <c r="C3586" s="3" t="s">
        <v>161</v>
      </c>
      <c r="D3586" s="3" t="s">
        <v>149</v>
      </c>
      <c r="E3586" s="3">
        <v>2</v>
      </c>
      <c r="G3586" s="19"/>
    </row>
    <row r="3587" spans="1:7" ht="12.75" x14ac:dyDescent="0.2">
      <c r="A3587" s="3"/>
      <c r="B3587" s="4" t="s">
        <v>91</v>
      </c>
      <c r="C3587" s="3" t="s">
        <v>161</v>
      </c>
      <c r="D3587" s="3" t="s">
        <v>128</v>
      </c>
      <c r="E3587" s="3">
        <v>52</v>
      </c>
      <c r="G3587" s="19"/>
    </row>
    <row r="3588" spans="1:7" ht="12.75" x14ac:dyDescent="0.2">
      <c r="A3588" s="3"/>
      <c r="B3588" s="4" t="s">
        <v>91</v>
      </c>
      <c r="C3588" s="3" t="s">
        <v>161</v>
      </c>
      <c r="D3588" s="3" t="s">
        <v>275</v>
      </c>
      <c r="E3588" s="3">
        <v>1</v>
      </c>
      <c r="G3588" s="19"/>
    </row>
    <row r="3589" spans="1:7" ht="12.75" x14ac:dyDescent="0.2">
      <c r="A3589" s="3"/>
      <c r="B3589" s="4" t="s">
        <v>91</v>
      </c>
      <c r="C3589" s="3" t="s">
        <v>161</v>
      </c>
      <c r="D3589" s="3" t="s">
        <v>14</v>
      </c>
      <c r="E3589" s="3">
        <v>12</v>
      </c>
      <c r="G3589" s="19"/>
    </row>
    <row r="3590" spans="1:7" ht="12.75" x14ac:dyDescent="0.2">
      <c r="A3590" s="3"/>
      <c r="B3590" s="4" t="s">
        <v>91</v>
      </c>
      <c r="C3590" s="3" t="s">
        <v>161</v>
      </c>
      <c r="D3590" s="3" t="s">
        <v>138</v>
      </c>
      <c r="E3590" s="3">
        <v>1</v>
      </c>
      <c r="F3590">
        <f>SUM(E3585:E3590)</f>
        <v>99</v>
      </c>
      <c r="G3590" s="19"/>
    </row>
    <row r="3591" spans="1:7" ht="12.75" x14ac:dyDescent="0.2">
      <c r="A3591" s="3"/>
      <c r="B3591" s="4" t="s">
        <v>36</v>
      </c>
      <c r="C3591" s="3" t="s">
        <v>162</v>
      </c>
      <c r="D3591" s="3" t="s">
        <v>3</v>
      </c>
      <c r="E3591" s="3">
        <v>369</v>
      </c>
      <c r="G3591" s="19"/>
    </row>
    <row r="3592" spans="1:7" ht="12.75" x14ac:dyDescent="0.2">
      <c r="A3592" s="3"/>
      <c r="B3592" s="4" t="s">
        <v>36</v>
      </c>
      <c r="C3592" s="3" t="s">
        <v>162</v>
      </c>
      <c r="D3592" s="3" t="s">
        <v>274</v>
      </c>
      <c r="E3592" s="3">
        <v>1</v>
      </c>
      <c r="G3592" s="19"/>
    </row>
    <row r="3593" spans="1:7" ht="12.75" x14ac:dyDescent="0.2">
      <c r="A3593" s="3"/>
      <c r="B3593" s="4" t="s">
        <v>36</v>
      </c>
      <c r="C3593" s="3" t="s">
        <v>162</v>
      </c>
      <c r="D3593" s="3" t="s">
        <v>315</v>
      </c>
      <c r="E3593" s="3">
        <v>3</v>
      </c>
      <c r="G3593" s="19"/>
    </row>
    <row r="3594" spans="1:7" ht="12.75" x14ac:dyDescent="0.2">
      <c r="A3594" s="3"/>
      <c r="B3594" s="4" t="s">
        <v>36</v>
      </c>
      <c r="C3594" s="3" t="s">
        <v>162</v>
      </c>
      <c r="D3594" s="3" t="s">
        <v>149</v>
      </c>
      <c r="E3594" s="3">
        <v>8</v>
      </c>
      <c r="G3594" s="19"/>
    </row>
    <row r="3595" spans="1:7" ht="12.75" x14ac:dyDescent="0.2">
      <c r="A3595" s="3"/>
      <c r="B3595" s="4" t="s">
        <v>36</v>
      </c>
      <c r="C3595" s="3" t="s">
        <v>162</v>
      </c>
      <c r="D3595" s="3" t="s">
        <v>128</v>
      </c>
      <c r="E3595" s="3">
        <v>147</v>
      </c>
      <c r="G3595" s="19"/>
    </row>
    <row r="3596" spans="1:7" ht="12.75" x14ac:dyDescent="0.2">
      <c r="A3596" s="3"/>
      <c r="B3596" s="4" t="s">
        <v>36</v>
      </c>
      <c r="C3596" s="3" t="s">
        <v>162</v>
      </c>
      <c r="D3596" s="3" t="s">
        <v>305</v>
      </c>
      <c r="E3596" s="3">
        <v>3</v>
      </c>
      <c r="G3596" s="19"/>
    </row>
    <row r="3597" spans="1:7" ht="12.75" x14ac:dyDescent="0.2">
      <c r="A3597" s="3"/>
      <c r="B3597" s="4" t="s">
        <v>36</v>
      </c>
      <c r="C3597" s="3" t="s">
        <v>162</v>
      </c>
      <c r="D3597" s="3" t="s">
        <v>14</v>
      </c>
      <c r="E3597" s="3">
        <v>38</v>
      </c>
      <c r="G3597" s="19"/>
    </row>
    <row r="3598" spans="1:7" ht="12.75" x14ac:dyDescent="0.2">
      <c r="A3598" s="3"/>
      <c r="B3598" s="4" t="s">
        <v>36</v>
      </c>
      <c r="C3598" s="3" t="s">
        <v>162</v>
      </c>
      <c r="D3598" s="3" t="s">
        <v>138</v>
      </c>
      <c r="E3598" s="3">
        <v>9</v>
      </c>
      <c r="F3598">
        <f>SUM(E3591:E3598)</f>
        <v>578</v>
      </c>
      <c r="G3598" s="19"/>
    </row>
    <row r="3599" spans="1:7" ht="12.75" x14ac:dyDescent="0.2">
      <c r="A3599" s="3"/>
      <c r="B3599" s="4" t="s">
        <v>36</v>
      </c>
      <c r="C3599" s="3" t="s">
        <v>161</v>
      </c>
      <c r="D3599" s="3" t="s">
        <v>3</v>
      </c>
      <c r="E3599" s="3">
        <v>334</v>
      </c>
      <c r="G3599" s="19"/>
    </row>
    <row r="3600" spans="1:7" ht="12.75" x14ac:dyDescent="0.2">
      <c r="A3600" s="3"/>
      <c r="B3600" s="4" t="s">
        <v>36</v>
      </c>
      <c r="C3600" s="3" t="s">
        <v>161</v>
      </c>
      <c r="D3600" s="3" t="s">
        <v>274</v>
      </c>
      <c r="E3600" s="3">
        <v>1</v>
      </c>
      <c r="G3600" s="19"/>
    </row>
    <row r="3601" spans="1:7" ht="12.75" x14ac:dyDescent="0.2">
      <c r="A3601" s="3"/>
      <c r="B3601" s="4" t="s">
        <v>36</v>
      </c>
      <c r="C3601" s="3" t="s">
        <v>161</v>
      </c>
      <c r="D3601" s="3" t="s">
        <v>315</v>
      </c>
      <c r="E3601" s="3">
        <v>3</v>
      </c>
      <c r="G3601" s="19"/>
    </row>
    <row r="3602" spans="1:7" ht="12.75" x14ac:dyDescent="0.2">
      <c r="A3602" s="3"/>
      <c r="B3602" s="4" t="s">
        <v>36</v>
      </c>
      <c r="C3602" s="3" t="s">
        <v>161</v>
      </c>
      <c r="D3602" s="3" t="s">
        <v>149</v>
      </c>
      <c r="E3602" s="3">
        <v>8</v>
      </c>
      <c r="G3602" s="19"/>
    </row>
    <row r="3603" spans="1:7" ht="12.75" x14ac:dyDescent="0.2">
      <c r="A3603" s="3"/>
      <c r="B3603" s="4" t="s">
        <v>36</v>
      </c>
      <c r="C3603" s="3" t="s">
        <v>161</v>
      </c>
      <c r="D3603" s="3" t="s">
        <v>128</v>
      </c>
      <c r="E3603" s="3">
        <v>151</v>
      </c>
      <c r="G3603" s="19"/>
    </row>
    <row r="3604" spans="1:7" ht="12.75" x14ac:dyDescent="0.2">
      <c r="A3604" s="3"/>
      <c r="B3604" s="4" t="s">
        <v>36</v>
      </c>
      <c r="C3604" s="3" t="s">
        <v>161</v>
      </c>
      <c r="D3604" s="3" t="s">
        <v>305</v>
      </c>
      <c r="E3604" s="3">
        <v>3</v>
      </c>
      <c r="G3604" s="19"/>
    </row>
    <row r="3605" spans="1:7" ht="12.75" x14ac:dyDescent="0.2">
      <c r="A3605" s="3"/>
      <c r="B3605" s="4" t="s">
        <v>36</v>
      </c>
      <c r="C3605" s="3" t="s">
        <v>161</v>
      </c>
      <c r="D3605" s="3" t="s">
        <v>14</v>
      </c>
      <c r="E3605" s="3">
        <v>69</v>
      </c>
      <c r="G3605" s="19"/>
    </row>
    <row r="3606" spans="1:7" ht="12.75" x14ac:dyDescent="0.2">
      <c r="A3606" s="3"/>
      <c r="B3606" s="4" t="s">
        <v>36</v>
      </c>
      <c r="C3606" s="3" t="s">
        <v>161</v>
      </c>
      <c r="D3606" s="3" t="s">
        <v>138</v>
      </c>
      <c r="E3606" s="3">
        <v>9</v>
      </c>
      <c r="F3606">
        <f>SUM(E3599:E3606)</f>
        <v>578</v>
      </c>
      <c r="G3606" s="19"/>
    </row>
    <row r="3607" spans="1:7" ht="12.75" x14ac:dyDescent="0.2">
      <c r="A3607" s="3"/>
      <c r="B3607" s="4" t="s">
        <v>60</v>
      </c>
      <c r="C3607" s="3" t="s">
        <v>162</v>
      </c>
      <c r="D3607" s="3" t="s">
        <v>3</v>
      </c>
      <c r="E3607" s="3">
        <v>138</v>
      </c>
      <c r="G3607" s="19"/>
    </row>
    <row r="3608" spans="1:7" ht="12.75" x14ac:dyDescent="0.2">
      <c r="A3608" s="3"/>
      <c r="B3608" s="4" t="s">
        <v>60</v>
      </c>
      <c r="C3608" s="3" t="s">
        <v>162</v>
      </c>
      <c r="D3608" s="3" t="s">
        <v>149</v>
      </c>
      <c r="E3608" s="3">
        <v>11</v>
      </c>
      <c r="G3608" s="19"/>
    </row>
    <row r="3609" spans="1:7" ht="12.75" x14ac:dyDescent="0.2">
      <c r="A3609" s="3"/>
      <c r="B3609" s="4" t="s">
        <v>60</v>
      </c>
      <c r="C3609" s="3" t="s">
        <v>162</v>
      </c>
      <c r="D3609" s="3" t="s">
        <v>128</v>
      </c>
      <c r="E3609" s="3">
        <v>30</v>
      </c>
      <c r="G3609" s="19"/>
    </row>
    <row r="3610" spans="1:7" ht="12.75" x14ac:dyDescent="0.2">
      <c r="A3610" s="3"/>
      <c r="B3610" s="4" t="s">
        <v>60</v>
      </c>
      <c r="C3610" s="3" t="s">
        <v>162</v>
      </c>
      <c r="D3610" s="3" t="s">
        <v>275</v>
      </c>
      <c r="E3610" s="3">
        <v>3</v>
      </c>
      <c r="G3610" s="19"/>
    </row>
    <row r="3611" spans="1:7" ht="12.75" x14ac:dyDescent="0.2">
      <c r="A3611" s="3"/>
      <c r="B3611" s="4" t="s">
        <v>60</v>
      </c>
      <c r="C3611" s="3" t="s">
        <v>162</v>
      </c>
      <c r="D3611" s="3" t="s">
        <v>305</v>
      </c>
      <c r="E3611" s="3">
        <v>5</v>
      </c>
      <c r="G3611" s="19"/>
    </row>
    <row r="3612" spans="1:7" ht="12.75" x14ac:dyDescent="0.2">
      <c r="A3612" s="3"/>
      <c r="B3612" s="4" t="s">
        <v>60</v>
      </c>
      <c r="C3612" s="3" t="s">
        <v>162</v>
      </c>
      <c r="D3612" s="3" t="s">
        <v>14</v>
      </c>
      <c r="E3612" s="3">
        <v>22</v>
      </c>
      <c r="F3612">
        <f>SUM(E3607:E3612)</f>
        <v>209</v>
      </c>
      <c r="G3612" s="19"/>
    </row>
    <row r="3613" spans="1:7" ht="12.75" x14ac:dyDescent="0.2">
      <c r="A3613" s="3"/>
      <c r="B3613" s="4" t="s">
        <v>60</v>
      </c>
      <c r="C3613" s="3" t="s">
        <v>161</v>
      </c>
      <c r="D3613" s="3" t="s">
        <v>3</v>
      </c>
      <c r="E3613" s="3">
        <v>134</v>
      </c>
      <c r="G3613" s="19"/>
    </row>
    <row r="3614" spans="1:7" ht="12.75" x14ac:dyDescent="0.2">
      <c r="A3614" s="3"/>
      <c r="B3614" s="4" t="s">
        <v>60</v>
      </c>
      <c r="C3614" s="3" t="s">
        <v>161</v>
      </c>
      <c r="D3614" s="3" t="s">
        <v>149</v>
      </c>
      <c r="E3614" s="3">
        <v>11</v>
      </c>
      <c r="G3614" s="19"/>
    </row>
    <row r="3615" spans="1:7" ht="12.75" x14ac:dyDescent="0.2">
      <c r="A3615" s="3"/>
      <c r="B3615" s="4" t="s">
        <v>60</v>
      </c>
      <c r="C3615" s="3" t="s">
        <v>161</v>
      </c>
      <c r="D3615" s="3" t="s">
        <v>128</v>
      </c>
      <c r="E3615" s="3">
        <v>30</v>
      </c>
      <c r="G3615" s="19"/>
    </row>
    <row r="3616" spans="1:7" ht="12.75" x14ac:dyDescent="0.2">
      <c r="A3616" s="3"/>
      <c r="B3616" s="4" t="s">
        <v>60</v>
      </c>
      <c r="C3616" s="3" t="s">
        <v>161</v>
      </c>
      <c r="D3616" s="3" t="s">
        <v>275</v>
      </c>
      <c r="E3616" s="3">
        <v>3</v>
      </c>
      <c r="G3616" s="19"/>
    </row>
    <row r="3617" spans="1:7" ht="12.75" x14ac:dyDescent="0.2">
      <c r="A3617" s="3"/>
      <c r="B3617" s="4" t="s">
        <v>60</v>
      </c>
      <c r="C3617" s="3" t="s">
        <v>161</v>
      </c>
      <c r="D3617" s="3" t="s">
        <v>305</v>
      </c>
      <c r="E3617" s="3">
        <v>5</v>
      </c>
      <c r="G3617" s="19"/>
    </row>
    <row r="3618" spans="1:7" ht="12.75" x14ac:dyDescent="0.2">
      <c r="A3618" s="3"/>
      <c r="B3618" s="4" t="s">
        <v>60</v>
      </c>
      <c r="C3618" s="3" t="s">
        <v>161</v>
      </c>
      <c r="D3618" s="3" t="s">
        <v>14</v>
      </c>
      <c r="E3618" s="3">
        <v>26</v>
      </c>
      <c r="F3618">
        <f>SUM(E3613:E3618)</f>
        <v>209</v>
      </c>
      <c r="G3618" s="19"/>
    </row>
    <row r="3619" spans="1:7" ht="12.75" x14ac:dyDescent="0.2">
      <c r="A3619" s="3"/>
      <c r="B3619" s="4" t="s">
        <v>46</v>
      </c>
      <c r="C3619" s="3" t="s">
        <v>162</v>
      </c>
      <c r="D3619" s="3" t="s">
        <v>3</v>
      </c>
      <c r="E3619" s="3">
        <v>1259</v>
      </c>
      <c r="G3619" s="19"/>
    </row>
    <row r="3620" spans="1:7" ht="12.75" x14ac:dyDescent="0.2">
      <c r="A3620" s="3"/>
      <c r="B3620" s="4" t="s">
        <v>46</v>
      </c>
      <c r="C3620" s="3" t="s">
        <v>162</v>
      </c>
      <c r="D3620" s="3" t="s">
        <v>274</v>
      </c>
      <c r="E3620" s="3">
        <v>3</v>
      </c>
      <c r="G3620" s="19"/>
    </row>
    <row r="3621" spans="1:7" ht="12.75" x14ac:dyDescent="0.2">
      <c r="A3621" s="3"/>
      <c r="B3621" s="4" t="s">
        <v>46</v>
      </c>
      <c r="C3621" s="3" t="s">
        <v>162</v>
      </c>
      <c r="D3621" s="3" t="s">
        <v>315</v>
      </c>
      <c r="E3621" s="3">
        <v>5</v>
      </c>
      <c r="G3621" s="19"/>
    </row>
    <row r="3622" spans="1:7" ht="12.75" x14ac:dyDescent="0.2">
      <c r="A3622" s="3"/>
      <c r="B3622" s="4" t="s">
        <v>46</v>
      </c>
      <c r="C3622" s="3" t="s">
        <v>162</v>
      </c>
      <c r="D3622" s="3" t="s">
        <v>149</v>
      </c>
      <c r="E3622" s="3">
        <v>96</v>
      </c>
      <c r="G3622" s="19"/>
    </row>
    <row r="3623" spans="1:7" ht="12.75" x14ac:dyDescent="0.2">
      <c r="A3623" s="3"/>
      <c r="B3623" s="4" t="s">
        <v>46</v>
      </c>
      <c r="C3623" s="3" t="s">
        <v>162</v>
      </c>
      <c r="D3623" s="3" t="s">
        <v>128</v>
      </c>
      <c r="E3623" s="3">
        <v>297</v>
      </c>
      <c r="G3623" s="19"/>
    </row>
    <row r="3624" spans="1:7" ht="12.75" x14ac:dyDescent="0.2">
      <c r="A3624" s="3"/>
      <c r="B3624" s="4" t="s">
        <v>46</v>
      </c>
      <c r="C3624" s="3" t="s">
        <v>162</v>
      </c>
      <c r="D3624" s="3" t="s">
        <v>275</v>
      </c>
      <c r="E3624" s="3">
        <v>15</v>
      </c>
      <c r="G3624" s="19"/>
    </row>
    <row r="3625" spans="1:7" ht="12.75" x14ac:dyDescent="0.2">
      <c r="A3625" s="3"/>
      <c r="B3625" s="4" t="s">
        <v>46</v>
      </c>
      <c r="C3625" s="3" t="s">
        <v>162</v>
      </c>
      <c r="D3625" s="3" t="s">
        <v>305</v>
      </c>
      <c r="E3625" s="3">
        <v>46</v>
      </c>
      <c r="G3625" s="19"/>
    </row>
    <row r="3626" spans="1:7" ht="12.75" x14ac:dyDescent="0.2">
      <c r="A3626" s="3"/>
      <c r="B3626" s="4" t="s">
        <v>46</v>
      </c>
      <c r="C3626" s="3" t="s">
        <v>162</v>
      </c>
      <c r="D3626" s="3" t="s">
        <v>14</v>
      </c>
      <c r="E3626" s="3">
        <v>319</v>
      </c>
      <c r="G3626" s="19"/>
    </row>
    <row r="3627" spans="1:7" ht="12.75" x14ac:dyDescent="0.2">
      <c r="A3627" s="3"/>
      <c r="B3627" s="4" t="s">
        <v>46</v>
      </c>
      <c r="C3627" s="3" t="s">
        <v>162</v>
      </c>
      <c r="D3627" s="3" t="s">
        <v>138</v>
      </c>
      <c r="E3627" s="3">
        <v>13</v>
      </c>
      <c r="F3627">
        <f>SUM(E3619:E3627)</f>
        <v>2053</v>
      </c>
      <c r="G3627" s="19"/>
    </row>
    <row r="3628" spans="1:7" ht="12.75" x14ac:dyDescent="0.2">
      <c r="A3628" s="3"/>
      <c r="B3628" s="4" t="s">
        <v>46</v>
      </c>
      <c r="C3628" s="3" t="s">
        <v>161</v>
      </c>
      <c r="D3628" s="3" t="s">
        <v>3</v>
      </c>
      <c r="E3628" s="3">
        <v>1195</v>
      </c>
      <c r="G3628" s="19"/>
    </row>
    <row r="3629" spans="1:7" ht="12.75" x14ac:dyDescent="0.2">
      <c r="A3629" s="3"/>
      <c r="B3629" s="4" t="s">
        <v>46</v>
      </c>
      <c r="C3629" s="3" t="s">
        <v>161</v>
      </c>
      <c r="D3629" s="3" t="s">
        <v>274</v>
      </c>
      <c r="E3629" s="3">
        <v>4</v>
      </c>
      <c r="G3629" s="19"/>
    </row>
    <row r="3630" spans="1:7" ht="12.75" x14ac:dyDescent="0.2">
      <c r="A3630" s="3"/>
      <c r="B3630" s="4" t="s">
        <v>46</v>
      </c>
      <c r="C3630" s="3" t="s">
        <v>161</v>
      </c>
      <c r="D3630" s="3" t="s">
        <v>315</v>
      </c>
      <c r="E3630" s="3">
        <v>6</v>
      </c>
      <c r="G3630" s="19"/>
    </row>
    <row r="3631" spans="1:7" ht="12.75" x14ac:dyDescent="0.2">
      <c r="A3631" s="3"/>
      <c r="B3631" s="4" t="s">
        <v>46</v>
      </c>
      <c r="C3631" s="3" t="s">
        <v>161</v>
      </c>
      <c r="D3631" s="3" t="s">
        <v>149</v>
      </c>
      <c r="E3631" s="3">
        <v>101</v>
      </c>
      <c r="G3631" s="19"/>
    </row>
    <row r="3632" spans="1:7" ht="12.75" x14ac:dyDescent="0.2">
      <c r="A3632" s="3"/>
      <c r="B3632" s="4" t="s">
        <v>46</v>
      </c>
      <c r="C3632" s="3" t="s">
        <v>161</v>
      </c>
      <c r="D3632" s="3" t="s">
        <v>128</v>
      </c>
      <c r="E3632" s="3">
        <v>285</v>
      </c>
      <c r="G3632" s="19"/>
    </row>
    <row r="3633" spans="1:7" ht="12.75" x14ac:dyDescent="0.2">
      <c r="A3633" s="3"/>
      <c r="B3633" s="4" t="s">
        <v>46</v>
      </c>
      <c r="C3633" s="3" t="s">
        <v>161</v>
      </c>
      <c r="D3633" s="3" t="s">
        <v>275</v>
      </c>
      <c r="E3633" s="3">
        <v>14</v>
      </c>
      <c r="G3633" s="19"/>
    </row>
    <row r="3634" spans="1:7" ht="12.75" x14ac:dyDescent="0.2">
      <c r="A3634" s="3"/>
      <c r="B3634" s="4" t="s">
        <v>46</v>
      </c>
      <c r="C3634" s="3" t="s">
        <v>161</v>
      </c>
      <c r="D3634" s="3" t="s">
        <v>305</v>
      </c>
      <c r="E3634" s="3">
        <v>46</v>
      </c>
      <c r="G3634" s="19"/>
    </row>
    <row r="3635" spans="1:7" ht="12.75" x14ac:dyDescent="0.2">
      <c r="A3635" s="3"/>
      <c r="B3635" s="4" t="s">
        <v>46</v>
      </c>
      <c r="C3635" s="3" t="s">
        <v>161</v>
      </c>
      <c r="D3635" s="3" t="s">
        <v>14</v>
      </c>
      <c r="E3635" s="3">
        <v>387</v>
      </c>
      <c r="G3635" s="19"/>
    </row>
    <row r="3636" spans="1:7" ht="12.75" x14ac:dyDescent="0.2">
      <c r="A3636" s="3"/>
      <c r="B3636" s="4" t="s">
        <v>46</v>
      </c>
      <c r="C3636" s="3" t="s">
        <v>161</v>
      </c>
      <c r="D3636" s="3" t="s">
        <v>138</v>
      </c>
      <c r="E3636" s="3">
        <v>15</v>
      </c>
      <c r="F3636">
        <f>SUM(E3628:E3636)</f>
        <v>2053</v>
      </c>
      <c r="G3636" s="19"/>
    </row>
    <row r="3637" spans="1:7" ht="12.75" x14ac:dyDescent="0.2">
      <c r="A3637" s="3"/>
      <c r="B3637" s="4" t="s">
        <v>40</v>
      </c>
      <c r="C3637" s="3" t="s">
        <v>162</v>
      </c>
      <c r="D3637" s="3" t="s">
        <v>3</v>
      </c>
      <c r="E3637" s="3">
        <v>20864</v>
      </c>
      <c r="G3637" s="19"/>
    </row>
    <row r="3638" spans="1:7" ht="12.75" x14ac:dyDescent="0.2">
      <c r="A3638" s="3"/>
      <c r="B3638" s="4" t="s">
        <v>40</v>
      </c>
      <c r="C3638" s="3" t="s">
        <v>162</v>
      </c>
      <c r="D3638" s="3" t="s">
        <v>274</v>
      </c>
      <c r="E3638" s="3">
        <v>438</v>
      </c>
      <c r="G3638" s="19"/>
    </row>
    <row r="3639" spans="1:7" ht="12.75" x14ac:dyDescent="0.2">
      <c r="A3639" s="3"/>
      <c r="B3639" s="4" t="s">
        <v>40</v>
      </c>
      <c r="C3639" s="3" t="s">
        <v>162</v>
      </c>
      <c r="D3639" s="3" t="s">
        <v>315</v>
      </c>
      <c r="E3639" s="3">
        <v>1005</v>
      </c>
      <c r="G3639" s="19"/>
    </row>
    <row r="3640" spans="1:7" ht="12.75" x14ac:dyDescent="0.2">
      <c r="A3640" s="3"/>
      <c r="B3640" s="4" t="s">
        <v>40</v>
      </c>
      <c r="C3640" s="3" t="s">
        <v>162</v>
      </c>
      <c r="D3640" s="3" t="s">
        <v>149</v>
      </c>
      <c r="E3640" s="3">
        <v>5484</v>
      </c>
      <c r="G3640" s="19"/>
    </row>
    <row r="3641" spans="1:7" ht="12.75" x14ac:dyDescent="0.2">
      <c r="A3641" s="3"/>
      <c r="B3641" s="4" t="s">
        <v>40</v>
      </c>
      <c r="C3641" s="3" t="s">
        <v>162</v>
      </c>
      <c r="D3641" s="3" t="s">
        <v>128</v>
      </c>
      <c r="E3641" s="3">
        <v>27246</v>
      </c>
      <c r="G3641" s="19"/>
    </row>
    <row r="3642" spans="1:7" ht="12.75" x14ac:dyDescent="0.2">
      <c r="A3642" s="3"/>
      <c r="B3642" s="4" t="s">
        <v>40</v>
      </c>
      <c r="C3642" s="3" t="s">
        <v>162</v>
      </c>
      <c r="D3642" s="3" t="s">
        <v>275</v>
      </c>
      <c r="E3642" s="3">
        <v>942</v>
      </c>
      <c r="G3642" s="19"/>
    </row>
    <row r="3643" spans="1:7" ht="12.75" x14ac:dyDescent="0.2">
      <c r="A3643" s="3"/>
      <c r="B3643" s="4" t="s">
        <v>40</v>
      </c>
      <c r="C3643" s="3" t="s">
        <v>162</v>
      </c>
      <c r="D3643" s="3" t="s">
        <v>305</v>
      </c>
      <c r="E3643" s="3">
        <v>5497</v>
      </c>
      <c r="G3643" s="19"/>
    </row>
    <row r="3644" spans="1:7" ht="12.75" x14ac:dyDescent="0.2">
      <c r="A3644" s="3"/>
      <c r="B3644" s="4" t="s">
        <v>40</v>
      </c>
      <c r="C3644" s="3" t="s">
        <v>162</v>
      </c>
      <c r="D3644" s="3" t="s">
        <v>14</v>
      </c>
      <c r="E3644" s="3">
        <v>7836</v>
      </c>
      <c r="G3644" s="19"/>
    </row>
    <row r="3645" spans="1:7" ht="12.75" x14ac:dyDescent="0.2">
      <c r="A3645" s="3"/>
      <c r="B3645" s="4" t="s">
        <v>40</v>
      </c>
      <c r="C3645" s="3" t="s">
        <v>162</v>
      </c>
      <c r="D3645" s="3" t="s">
        <v>138</v>
      </c>
      <c r="E3645" s="3">
        <v>739</v>
      </c>
      <c r="F3645">
        <f>SUM(E3637:E3645)</f>
        <v>70051</v>
      </c>
      <c r="G3645" s="19"/>
    </row>
    <row r="3646" spans="1:7" ht="12.75" x14ac:dyDescent="0.2">
      <c r="A3646" s="3"/>
      <c r="B3646" s="4" t="s">
        <v>40</v>
      </c>
      <c r="C3646" s="3" t="s">
        <v>161</v>
      </c>
      <c r="D3646" s="3" t="s">
        <v>3</v>
      </c>
      <c r="E3646" s="3">
        <v>19490</v>
      </c>
      <c r="G3646" s="19"/>
    </row>
    <row r="3647" spans="1:7" ht="12.75" x14ac:dyDescent="0.2">
      <c r="A3647" s="3"/>
      <c r="B3647" s="4" t="s">
        <v>40</v>
      </c>
      <c r="C3647" s="3" t="s">
        <v>161</v>
      </c>
      <c r="D3647" s="3" t="s">
        <v>274</v>
      </c>
      <c r="E3647" s="3">
        <v>529</v>
      </c>
      <c r="G3647" s="19"/>
    </row>
    <row r="3648" spans="1:7" ht="12.75" x14ac:dyDescent="0.2">
      <c r="A3648" s="3"/>
      <c r="B3648" s="4" t="s">
        <v>40</v>
      </c>
      <c r="C3648" s="3" t="s">
        <v>161</v>
      </c>
      <c r="D3648" s="3" t="s">
        <v>315</v>
      </c>
      <c r="E3648" s="3">
        <v>1107</v>
      </c>
      <c r="G3648" s="19"/>
    </row>
    <row r="3649" spans="1:7" ht="12.75" x14ac:dyDescent="0.2">
      <c r="A3649" s="3"/>
      <c r="B3649" s="4" t="s">
        <v>40</v>
      </c>
      <c r="C3649" s="3" t="s">
        <v>161</v>
      </c>
      <c r="D3649" s="3" t="s">
        <v>149</v>
      </c>
      <c r="E3649" s="3">
        <v>5563</v>
      </c>
      <c r="G3649" s="19"/>
    </row>
    <row r="3650" spans="1:7" ht="12.75" x14ac:dyDescent="0.2">
      <c r="A3650" s="3"/>
      <c r="B3650" s="4" t="s">
        <v>40</v>
      </c>
      <c r="C3650" s="3" t="s">
        <v>161</v>
      </c>
      <c r="D3650" s="3" t="s">
        <v>128</v>
      </c>
      <c r="E3650" s="3">
        <v>26399</v>
      </c>
      <c r="G3650" s="19"/>
    </row>
    <row r="3651" spans="1:7" ht="12.75" x14ac:dyDescent="0.2">
      <c r="A3651" s="3"/>
      <c r="B3651" s="4" t="s">
        <v>40</v>
      </c>
      <c r="C3651" s="3" t="s">
        <v>161</v>
      </c>
      <c r="D3651" s="3" t="s">
        <v>275</v>
      </c>
      <c r="E3651" s="3">
        <v>945</v>
      </c>
      <c r="G3651" s="19"/>
    </row>
    <row r="3652" spans="1:7" ht="12.75" x14ac:dyDescent="0.2">
      <c r="A3652" s="3"/>
      <c r="B3652" s="4" t="s">
        <v>40</v>
      </c>
      <c r="C3652" s="3" t="s">
        <v>161</v>
      </c>
      <c r="D3652" s="3" t="s">
        <v>305</v>
      </c>
      <c r="E3652" s="3">
        <v>5507</v>
      </c>
      <c r="G3652" s="19"/>
    </row>
    <row r="3653" spans="1:7" ht="12.75" x14ac:dyDescent="0.2">
      <c r="A3653" s="3"/>
      <c r="B3653" s="4" t="s">
        <v>40</v>
      </c>
      <c r="C3653" s="3" t="s">
        <v>161</v>
      </c>
      <c r="D3653" s="3" t="s">
        <v>14</v>
      </c>
      <c r="E3653" s="3">
        <v>9800</v>
      </c>
      <c r="G3653" s="19"/>
    </row>
    <row r="3654" spans="1:7" ht="12.75" x14ac:dyDescent="0.2">
      <c r="A3654" s="3"/>
      <c r="B3654" s="4" t="s">
        <v>40</v>
      </c>
      <c r="C3654" s="3" t="s">
        <v>161</v>
      </c>
      <c r="D3654" s="3" t="s">
        <v>138</v>
      </c>
      <c r="E3654" s="3">
        <v>711</v>
      </c>
      <c r="F3654">
        <f>SUM(E3646:E3654)</f>
        <v>70051</v>
      </c>
      <c r="G3654" s="19"/>
    </row>
    <row r="3655" spans="1:7" ht="12.75" x14ac:dyDescent="0.2">
      <c r="A3655" s="3"/>
      <c r="B3655" s="4" t="s">
        <v>68</v>
      </c>
      <c r="C3655" s="3" t="s">
        <v>162</v>
      </c>
      <c r="D3655" s="3" t="s">
        <v>3</v>
      </c>
      <c r="E3655" s="3">
        <v>159</v>
      </c>
      <c r="G3655" s="19"/>
    </row>
    <row r="3656" spans="1:7" ht="12.75" x14ac:dyDescent="0.2">
      <c r="A3656" s="3"/>
      <c r="B3656" s="4" t="s">
        <v>68</v>
      </c>
      <c r="C3656" s="3" t="s">
        <v>162</v>
      </c>
      <c r="D3656" s="3" t="s">
        <v>315</v>
      </c>
      <c r="E3656" s="3">
        <v>1</v>
      </c>
      <c r="G3656" s="19"/>
    </row>
    <row r="3657" spans="1:7" ht="12.75" x14ac:dyDescent="0.2">
      <c r="A3657" s="3"/>
      <c r="B3657" s="4" t="s">
        <v>68</v>
      </c>
      <c r="C3657" s="3" t="s">
        <v>162</v>
      </c>
      <c r="D3657" s="3" t="s">
        <v>149</v>
      </c>
      <c r="E3657" s="3">
        <v>6</v>
      </c>
      <c r="G3657" s="19"/>
    </row>
    <row r="3658" spans="1:7" ht="12.75" x14ac:dyDescent="0.2">
      <c r="A3658" s="3"/>
      <c r="B3658" s="4" t="s">
        <v>68</v>
      </c>
      <c r="C3658" s="3" t="s">
        <v>162</v>
      </c>
      <c r="D3658" s="3" t="s">
        <v>128</v>
      </c>
      <c r="E3658" s="3">
        <v>219</v>
      </c>
      <c r="G3658" s="19"/>
    </row>
    <row r="3659" spans="1:7" ht="12.75" x14ac:dyDescent="0.2">
      <c r="A3659" s="3"/>
      <c r="B3659" s="4" t="s">
        <v>68</v>
      </c>
      <c r="C3659" s="3" t="s">
        <v>162</v>
      </c>
      <c r="D3659" s="3" t="s">
        <v>305</v>
      </c>
      <c r="E3659" s="3">
        <v>18</v>
      </c>
      <c r="G3659" s="19"/>
    </row>
    <row r="3660" spans="1:7" ht="12.75" x14ac:dyDescent="0.2">
      <c r="A3660" s="3"/>
      <c r="B3660" s="4" t="s">
        <v>68</v>
      </c>
      <c r="C3660" s="3" t="s">
        <v>162</v>
      </c>
      <c r="D3660" s="3" t="s">
        <v>14</v>
      </c>
      <c r="E3660" s="3">
        <v>15</v>
      </c>
      <c r="G3660" s="19"/>
    </row>
    <row r="3661" spans="1:7" ht="12.75" x14ac:dyDescent="0.2">
      <c r="A3661" s="3"/>
      <c r="B3661" s="4" t="s">
        <v>68</v>
      </c>
      <c r="C3661" s="3" t="s">
        <v>162</v>
      </c>
      <c r="D3661" s="3" t="s">
        <v>138</v>
      </c>
      <c r="E3661" s="3">
        <v>3</v>
      </c>
      <c r="F3661">
        <f>SUM(E3655:E3661)</f>
        <v>421</v>
      </c>
      <c r="G3661" s="19"/>
    </row>
    <row r="3662" spans="1:7" ht="12.75" x14ac:dyDescent="0.2">
      <c r="A3662" s="3"/>
      <c r="B3662" s="4" t="s">
        <v>68</v>
      </c>
      <c r="C3662" s="3" t="s">
        <v>161</v>
      </c>
      <c r="D3662" s="3" t="s">
        <v>3</v>
      </c>
      <c r="E3662" s="3">
        <v>125</v>
      </c>
      <c r="G3662" s="19"/>
    </row>
    <row r="3663" spans="1:7" ht="12.75" x14ac:dyDescent="0.2">
      <c r="A3663" s="3"/>
      <c r="B3663" s="4" t="s">
        <v>68</v>
      </c>
      <c r="C3663" s="3" t="s">
        <v>161</v>
      </c>
      <c r="D3663" s="3" t="s">
        <v>315</v>
      </c>
      <c r="E3663" s="3">
        <v>1</v>
      </c>
      <c r="G3663" s="19"/>
    </row>
    <row r="3664" spans="1:7" ht="12.75" x14ac:dyDescent="0.2">
      <c r="A3664" s="3"/>
      <c r="B3664" s="4" t="s">
        <v>68</v>
      </c>
      <c r="C3664" s="3" t="s">
        <v>161</v>
      </c>
      <c r="D3664" s="3" t="s">
        <v>149</v>
      </c>
      <c r="E3664" s="3">
        <v>6</v>
      </c>
      <c r="G3664" s="19"/>
    </row>
    <row r="3665" spans="1:7" ht="12.75" x14ac:dyDescent="0.2">
      <c r="A3665" s="3"/>
      <c r="B3665" s="4" t="s">
        <v>68</v>
      </c>
      <c r="C3665" s="3" t="s">
        <v>161</v>
      </c>
      <c r="D3665" s="3" t="s">
        <v>128</v>
      </c>
      <c r="E3665" s="3">
        <v>223</v>
      </c>
      <c r="G3665" s="19"/>
    </row>
    <row r="3666" spans="1:7" ht="12.75" x14ac:dyDescent="0.2">
      <c r="A3666" s="3"/>
      <c r="B3666" s="4" t="s">
        <v>68</v>
      </c>
      <c r="C3666" s="3" t="s">
        <v>161</v>
      </c>
      <c r="D3666" s="3" t="s">
        <v>305</v>
      </c>
      <c r="E3666" s="3">
        <v>33</v>
      </c>
      <c r="G3666" s="19"/>
    </row>
    <row r="3667" spans="1:7" ht="12.75" x14ac:dyDescent="0.2">
      <c r="A3667" s="3"/>
      <c r="B3667" s="4" t="s">
        <v>68</v>
      </c>
      <c r="C3667" s="3" t="s">
        <v>161</v>
      </c>
      <c r="D3667" s="3" t="s">
        <v>14</v>
      </c>
      <c r="E3667" s="3">
        <v>31</v>
      </c>
      <c r="G3667" s="19"/>
    </row>
    <row r="3668" spans="1:7" ht="12.75" x14ac:dyDescent="0.2">
      <c r="A3668" s="3"/>
      <c r="B3668" s="4" t="s">
        <v>68</v>
      </c>
      <c r="C3668" s="3" t="s">
        <v>161</v>
      </c>
      <c r="D3668" s="3" t="s">
        <v>138</v>
      </c>
      <c r="E3668" s="3">
        <v>2</v>
      </c>
      <c r="F3668">
        <f>SUM(E3662:E3668)</f>
        <v>421</v>
      </c>
      <c r="G3668" s="19"/>
    </row>
    <row r="3669" spans="1:7" ht="12.75" x14ac:dyDescent="0.2">
      <c r="A3669" s="3"/>
      <c r="B3669" s="4" t="s">
        <v>49</v>
      </c>
      <c r="C3669" s="3" t="s">
        <v>162</v>
      </c>
      <c r="D3669" s="3" t="s">
        <v>3</v>
      </c>
      <c r="E3669" s="3">
        <v>49</v>
      </c>
      <c r="G3669" s="19"/>
    </row>
    <row r="3670" spans="1:7" ht="12.75" x14ac:dyDescent="0.2">
      <c r="A3670" s="3"/>
      <c r="B3670" s="4" t="s">
        <v>49</v>
      </c>
      <c r="C3670" s="3" t="s">
        <v>162</v>
      </c>
      <c r="D3670" s="3" t="s">
        <v>149</v>
      </c>
      <c r="E3670" s="3">
        <v>2</v>
      </c>
      <c r="G3670" s="19"/>
    </row>
    <row r="3671" spans="1:7" ht="12.75" x14ac:dyDescent="0.2">
      <c r="A3671" s="3"/>
      <c r="B3671" s="4" t="s">
        <v>49</v>
      </c>
      <c r="C3671" s="3" t="s">
        <v>162</v>
      </c>
      <c r="D3671" s="3" t="s">
        <v>128</v>
      </c>
      <c r="E3671" s="3">
        <v>62</v>
      </c>
      <c r="G3671" s="19"/>
    </row>
    <row r="3672" spans="1:7" ht="12.75" x14ac:dyDescent="0.2">
      <c r="A3672" s="3"/>
      <c r="B3672" s="4" t="s">
        <v>49</v>
      </c>
      <c r="C3672" s="3" t="s">
        <v>162</v>
      </c>
      <c r="D3672" s="3" t="s">
        <v>305</v>
      </c>
      <c r="E3672" s="3">
        <v>1</v>
      </c>
      <c r="G3672" s="19"/>
    </row>
    <row r="3673" spans="1:7" ht="12.75" x14ac:dyDescent="0.2">
      <c r="A3673" s="3"/>
      <c r="B3673" s="4" t="s">
        <v>49</v>
      </c>
      <c r="C3673" s="3" t="s">
        <v>162</v>
      </c>
      <c r="D3673" s="3" t="s">
        <v>14</v>
      </c>
      <c r="E3673" s="3">
        <v>11</v>
      </c>
      <c r="F3673">
        <f>SUM(E3669:E3673)</f>
        <v>125</v>
      </c>
      <c r="G3673" s="19"/>
    </row>
    <row r="3674" spans="1:7" ht="12.75" x14ac:dyDescent="0.2">
      <c r="A3674" s="3"/>
      <c r="B3674" s="4" t="s">
        <v>49</v>
      </c>
      <c r="C3674" s="3" t="s">
        <v>161</v>
      </c>
      <c r="D3674" s="3" t="s">
        <v>3</v>
      </c>
      <c r="E3674" s="3">
        <v>49</v>
      </c>
      <c r="G3674" s="19"/>
    </row>
    <row r="3675" spans="1:7" ht="12.75" x14ac:dyDescent="0.2">
      <c r="A3675" s="3"/>
      <c r="B3675" s="4" t="s">
        <v>49</v>
      </c>
      <c r="C3675" s="3" t="s">
        <v>161</v>
      </c>
      <c r="D3675" s="3" t="s">
        <v>274</v>
      </c>
      <c r="E3675" s="3">
        <v>3</v>
      </c>
      <c r="G3675" s="19"/>
    </row>
    <row r="3676" spans="1:7" ht="12.75" x14ac:dyDescent="0.2">
      <c r="A3676" s="3"/>
      <c r="B3676" s="4" t="s">
        <v>49</v>
      </c>
      <c r="C3676" s="3" t="s">
        <v>161</v>
      </c>
      <c r="D3676" s="3" t="s">
        <v>149</v>
      </c>
      <c r="E3676" s="3">
        <v>2</v>
      </c>
      <c r="G3676" s="19"/>
    </row>
    <row r="3677" spans="1:7" ht="12.75" x14ac:dyDescent="0.2">
      <c r="A3677" s="3"/>
      <c r="B3677" s="4" t="s">
        <v>49</v>
      </c>
      <c r="C3677" s="3" t="s">
        <v>161</v>
      </c>
      <c r="D3677" s="3" t="s">
        <v>128</v>
      </c>
      <c r="E3677" s="3">
        <v>63</v>
      </c>
      <c r="G3677" s="19"/>
    </row>
    <row r="3678" spans="1:7" ht="12.75" x14ac:dyDescent="0.2">
      <c r="A3678" s="3"/>
      <c r="B3678" s="4" t="s">
        <v>49</v>
      </c>
      <c r="C3678" s="3" t="s">
        <v>161</v>
      </c>
      <c r="D3678" s="3" t="s">
        <v>305</v>
      </c>
      <c r="E3678" s="3">
        <v>1</v>
      </c>
      <c r="G3678" s="19"/>
    </row>
    <row r="3679" spans="1:7" ht="12.75" x14ac:dyDescent="0.2">
      <c r="A3679" s="3"/>
      <c r="B3679" s="4" t="s">
        <v>49</v>
      </c>
      <c r="C3679" s="3" t="s">
        <v>161</v>
      </c>
      <c r="D3679" s="3" t="s">
        <v>14</v>
      </c>
      <c r="E3679" s="3">
        <v>7</v>
      </c>
      <c r="F3679">
        <f>SUM(E3674:E3679)</f>
        <v>125</v>
      </c>
      <c r="G3679" s="19"/>
    </row>
    <row r="3680" spans="1:7" ht="12.75" x14ac:dyDescent="0.2">
      <c r="A3680" s="3"/>
      <c r="B3680" s="4" t="s">
        <v>85</v>
      </c>
      <c r="C3680" s="3" t="s">
        <v>162</v>
      </c>
      <c r="D3680" s="3" t="s">
        <v>3</v>
      </c>
      <c r="E3680" s="3">
        <v>238</v>
      </c>
      <c r="G3680" s="19"/>
    </row>
    <row r="3681" spans="1:7" ht="12.75" x14ac:dyDescent="0.2">
      <c r="A3681" s="3"/>
      <c r="B3681" s="4" t="s">
        <v>85</v>
      </c>
      <c r="C3681" s="3" t="s">
        <v>162</v>
      </c>
      <c r="D3681" s="3" t="s">
        <v>315</v>
      </c>
      <c r="E3681" s="3">
        <v>2</v>
      </c>
      <c r="G3681" s="19"/>
    </row>
    <row r="3682" spans="1:7" ht="12.75" x14ac:dyDescent="0.2">
      <c r="A3682" s="3"/>
      <c r="B3682" s="4" t="s">
        <v>85</v>
      </c>
      <c r="C3682" s="3" t="s">
        <v>162</v>
      </c>
      <c r="D3682" s="3" t="s">
        <v>149</v>
      </c>
      <c r="E3682" s="3">
        <v>13</v>
      </c>
      <c r="G3682" s="19"/>
    </row>
    <row r="3683" spans="1:7" ht="12.75" x14ac:dyDescent="0.2">
      <c r="A3683" s="3"/>
      <c r="B3683" s="4" t="s">
        <v>85</v>
      </c>
      <c r="C3683" s="3" t="s">
        <v>162</v>
      </c>
      <c r="D3683" s="3" t="s">
        <v>128</v>
      </c>
      <c r="E3683" s="3">
        <v>84</v>
      </c>
      <c r="G3683" s="19"/>
    </row>
    <row r="3684" spans="1:7" ht="12.75" x14ac:dyDescent="0.2">
      <c r="A3684" s="3"/>
      <c r="B3684" s="4" t="s">
        <v>85</v>
      </c>
      <c r="C3684" s="3" t="s">
        <v>162</v>
      </c>
      <c r="D3684" s="3" t="s">
        <v>305</v>
      </c>
      <c r="E3684" s="3">
        <v>4</v>
      </c>
      <c r="G3684" s="19"/>
    </row>
    <row r="3685" spans="1:7" ht="12.75" x14ac:dyDescent="0.2">
      <c r="A3685" s="3"/>
      <c r="B3685" s="4" t="s">
        <v>85</v>
      </c>
      <c r="C3685" s="3" t="s">
        <v>162</v>
      </c>
      <c r="D3685" s="3" t="s">
        <v>14</v>
      </c>
      <c r="E3685" s="3">
        <v>27</v>
      </c>
      <c r="G3685" s="19"/>
    </row>
    <row r="3686" spans="1:7" ht="12.75" x14ac:dyDescent="0.2">
      <c r="A3686" s="3"/>
      <c r="B3686" s="4" t="s">
        <v>85</v>
      </c>
      <c r="C3686" s="3" t="s">
        <v>162</v>
      </c>
      <c r="D3686" s="3" t="s">
        <v>138</v>
      </c>
      <c r="E3686" s="3">
        <v>10</v>
      </c>
      <c r="F3686">
        <f>SUM(E3680:E3686)</f>
        <v>378</v>
      </c>
      <c r="G3686" s="19"/>
    </row>
    <row r="3687" spans="1:7" ht="12.75" x14ac:dyDescent="0.2">
      <c r="A3687" s="3"/>
      <c r="B3687" s="4" t="s">
        <v>85</v>
      </c>
      <c r="C3687" s="3" t="s">
        <v>161</v>
      </c>
      <c r="D3687" s="3" t="s">
        <v>3</v>
      </c>
      <c r="E3687" s="3">
        <v>239</v>
      </c>
      <c r="G3687" s="19"/>
    </row>
    <row r="3688" spans="1:7" ht="12.75" x14ac:dyDescent="0.2">
      <c r="A3688" s="3"/>
      <c r="B3688" s="4" t="s">
        <v>85</v>
      </c>
      <c r="C3688" s="3" t="s">
        <v>161</v>
      </c>
      <c r="D3688" s="3" t="s">
        <v>315</v>
      </c>
      <c r="E3688" s="3">
        <v>2</v>
      </c>
      <c r="G3688" s="19"/>
    </row>
    <row r="3689" spans="1:7" ht="12.75" x14ac:dyDescent="0.2">
      <c r="A3689" s="3"/>
      <c r="B3689" s="4" t="s">
        <v>85</v>
      </c>
      <c r="C3689" s="3" t="s">
        <v>161</v>
      </c>
      <c r="D3689" s="3" t="s">
        <v>149</v>
      </c>
      <c r="E3689" s="3">
        <v>11</v>
      </c>
      <c r="G3689" s="19"/>
    </row>
    <row r="3690" spans="1:7" ht="12.75" x14ac:dyDescent="0.2">
      <c r="A3690" s="3"/>
      <c r="B3690" s="4" t="s">
        <v>85</v>
      </c>
      <c r="C3690" s="3" t="s">
        <v>161</v>
      </c>
      <c r="D3690" s="3" t="s">
        <v>128</v>
      </c>
      <c r="E3690" s="3">
        <v>79</v>
      </c>
      <c r="G3690" s="19"/>
    </row>
    <row r="3691" spans="1:7" ht="12.75" x14ac:dyDescent="0.2">
      <c r="A3691" s="3"/>
      <c r="B3691" s="4" t="s">
        <v>85</v>
      </c>
      <c r="C3691" s="3" t="s">
        <v>161</v>
      </c>
      <c r="D3691" s="3" t="s">
        <v>305</v>
      </c>
      <c r="E3691" s="3">
        <v>4</v>
      </c>
      <c r="G3691" s="19"/>
    </row>
    <row r="3692" spans="1:7" ht="12.75" x14ac:dyDescent="0.2">
      <c r="A3692" s="3"/>
      <c r="B3692" s="4" t="s">
        <v>85</v>
      </c>
      <c r="C3692" s="3" t="s">
        <v>161</v>
      </c>
      <c r="D3692" s="3" t="s">
        <v>14</v>
      </c>
      <c r="E3692" s="3">
        <v>33</v>
      </c>
      <c r="G3692" s="19"/>
    </row>
    <row r="3693" spans="1:7" ht="12.75" x14ac:dyDescent="0.2">
      <c r="A3693" s="3"/>
      <c r="B3693" s="4" t="s">
        <v>85</v>
      </c>
      <c r="C3693" s="3" t="s">
        <v>161</v>
      </c>
      <c r="D3693" s="3" t="s">
        <v>138</v>
      </c>
      <c r="E3693" s="3">
        <v>10</v>
      </c>
      <c r="F3693">
        <f>SUM(E3687:E3693)</f>
        <v>378</v>
      </c>
      <c r="G3693" s="19"/>
    </row>
    <row r="3694" spans="1:7" ht="12.75" x14ac:dyDescent="0.2">
      <c r="A3694" s="3"/>
      <c r="B3694" s="4" t="s">
        <v>77</v>
      </c>
      <c r="C3694" s="3" t="s">
        <v>162</v>
      </c>
      <c r="D3694" s="3" t="s">
        <v>3</v>
      </c>
      <c r="E3694" s="3">
        <v>669</v>
      </c>
      <c r="G3694" s="19"/>
    </row>
    <row r="3695" spans="1:7" ht="12.75" x14ac:dyDescent="0.2">
      <c r="A3695" s="3"/>
      <c r="B3695" s="4" t="s">
        <v>77</v>
      </c>
      <c r="C3695" s="3" t="s">
        <v>162</v>
      </c>
      <c r="D3695" s="3" t="s">
        <v>274</v>
      </c>
      <c r="E3695" s="3">
        <v>3</v>
      </c>
      <c r="G3695" s="19"/>
    </row>
    <row r="3696" spans="1:7" ht="12.75" x14ac:dyDescent="0.2">
      <c r="A3696" s="3"/>
      <c r="B3696" s="4" t="s">
        <v>77</v>
      </c>
      <c r="C3696" s="3" t="s">
        <v>162</v>
      </c>
      <c r="D3696" s="3" t="s">
        <v>315</v>
      </c>
      <c r="E3696" s="3">
        <v>2</v>
      </c>
      <c r="G3696" s="19"/>
    </row>
    <row r="3697" spans="1:7" ht="12.75" x14ac:dyDescent="0.2">
      <c r="A3697" s="3"/>
      <c r="B3697" s="4" t="s">
        <v>77</v>
      </c>
      <c r="C3697" s="3" t="s">
        <v>162</v>
      </c>
      <c r="D3697" s="3" t="s">
        <v>149</v>
      </c>
      <c r="E3697" s="3">
        <v>7</v>
      </c>
      <c r="G3697" s="19"/>
    </row>
    <row r="3698" spans="1:7" ht="12.75" x14ac:dyDescent="0.2">
      <c r="A3698" s="3"/>
      <c r="B3698" s="4" t="s">
        <v>77</v>
      </c>
      <c r="C3698" s="3" t="s">
        <v>162</v>
      </c>
      <c r="D3698" s="3" t="s">
        <v>128</v>
      </c>
      <c r="E3698" s="3">
        <v>294</v>
      </c>
      <c r="G3698" s="19"/>
    </row>
    <row r="3699" spans="1:7" ht="12.75" x14ac:dyDescent="0.2">
      <c r="A3699" s="3"/>
      <c r="B3699" s="4" t="s">
        <v>77</v>
      </c>
      <c r="C3699" s="3" t="s">
        <v>162</v>
      </c>
      <c r="D3699" s="3" t="s">
        <v>305</v>
      </c>
      <c r="E3699" s="3">
        <v>15</v>
      </c>
      <c r="G3699" s="19"/>
    </row>
    <row r="3700" spans="1:7" ht="12.75" x14ac:dyDescent="0.2">
      <c r="A3700" s="3"/>
      <c r="B3700" s="4" t="s">
        <v>77</v>
      </c>
      <c r="C3700" s="3" t="s">
        <v>162</v>
      </c>
      <c r="D3700" s="3" t="s">
        <v>14</v>
      </c>
      <c r="E3700" s="3">
        <v>52</v>
      </c>
      <c r="G3700" s="19"/>
    </row>
    <row r="3701" spans="1:7" ht="12.75" x14ac:dyDescent="0.2">
      <c r="A3701" s="3"/>
      <c r="B3701" s="4" t="s">
        <v>77</v>
      </c>
      <c r="C3701" s="3" t="s">
        <v>162</v>
      </c>
      <c r="D3701" s="3" t="s">
        <v>138</v>
      </c>
      <c r="E3701" s="3">
        <v>5</v>
      </c>
      <c r="F3701">
        <f>SUM(E3694:E3701)</f>
        <v>1047</v>
      </c>
      <c r="G3701" s="19"/>
    </row>
    <row r="3702" spans="1:7" ht="12.75" x14ac:dyDescent="0.2">
      <c r="A3702" s="3"/>
      <c r="B3702" s="4" t="s">
        <v>77</v>
      </c>
      <c r="C3702" s="3" t="s">
        <v>161</v>
      </c>
      <c r="D3702" s="3" t="s">
        <v>3</v>
      </c>
      <c r="E3702" s="3">
        <v>632</v>
      </c>
      <c r="G3702" s="19"/>
    </row>
    <row r="3703" spans="1:7" ht="12.75" x14ac:dyDescent="0.2">
      <c r="A3703" s="3"/>
      <c r="B3703" s="4" t="s">
        <v>77</v>
      </c>
      <c r="C3703" s="3" t="s">
        <v>161</v>
      </c>
      <c r="D3703" s="3" t="s">
        <v>274</v>
      </c>
      <c r="E3703" s="3">
        <v>3</v>
      </c>
      <c r="G3703" s="19"/>
    </row>
    <row r="3704" spans="1:7" ht="12.75" x14ac:dyDescent="0.2">
      <c r="A3704" s="3"/>
      <c r="B3704" s="4" t="s">
        <v>77</v>
      </c>
      <c r="C3704" s="3" t="s">
        <v>161</v>
      </c>
      <c r="D3704" s="3" t="s">
        <v>315</v>
      </c>
      <c r="E3704" s="3">
        <v>2</v>
      </c>
      <c r="G3704" s="19"/>
    </row>
    <row r="3705" spans="1:7" ht="12.75" x14ac:dyDescent="0.2">
      <c r="A3705" s="3"/>
      <c r="B3705" s="4" t="s">
        <v>77</v>
      </c>
      <c r="C3705" s="3" t="s">
        <v>161</v>
      </c>
      <c r="D3705" s="3" t="s">
        <v>149</v>
      </c>
      <c r="E3705" s="3">
        <v>7</v>
      </c>
      <c r="G3705" s="19"/>
    </row>
    <row r="3706" spans="1:7" ht="12.75" x14ac:dyDescent="0.2">
      <c r="A3706" s="3"/>
      <c r="B3706" s="4" t="s">
        <v>77</v>
      </c>
      <c r="C3706" s="3" t="s">
        <v>161</v>
      </c>
      <c r="D3706" s="3" t="s">
        <v>128</v>
      </c>
      <c r="E3706" s="3">
        <v>291</v>
      </c>
      <c r="G3706" s="19"/>
    </row>
    <row r="3707" spans="1:7" ht="12.75" x14ac:dyDescent="0.2">
      <c r="A3707" s="3"/>
      <c r="B3707" s="4" t="s">
        <v>77</v>
      </c>
      <c r="C3707" s="3" t="s">
        <v>161</v>
      </c>
      <c r="D3707" s="3" t="s">
        <v>305</v>
      </c>
      <c r="E3707" s="3">
        <v>15</v>
      </c>
      <c r="G3707" s="19"/>
    </row>
    <row r="3708" spans="1:7" ht="12.75" x14ac:dyDescent="0.2">
      <c r="A3708" s="3"/>
      <c r="B3708" s="4" t="s">
        <v>77</v>
      </c>
      <c r="C3708" s="3" t="s">
        <v>161</v>
      </c>
      <c r="D3708" s="3" t="s">
        <v>14</v>
      </c>
      <c r="E3708" s="3">
        <v>93</v>
      </c>
      <c r="G3708" s="19"/>
    </row>
    <row r="3709" spans="1:7" ht="12.75" x14ac:dyDescent="0.2">
      <c r="A3709" s="3"/>
      <c r="B3709" s="4" t="s">
        <v>77</v>
      </c>
      <c r="C3709" s="3" t="s">
        <v>161</v>
      </c>
      <c r="D3709" s="3" t="s">
        <v>138</v>
      </c>
      <c r="E3709" s="3">
        <v>4</v>
      </c>
      <c r="F3709">
        <f>SUM(E3702:E3709)</f>
        <v>1047</v>
      </c>
      <c r="G3709" s="19"/>
    </row>
    <row r="3710" spans="1:7" ht="12.75" x14ac:dyDescent="0.2">
      <c r="A3710" s="3"/>
      <c r="B3710" s="4" t="s">
        <v>106</v>
      </c>
      <c r="C3710" s="3" t="s">
        <v>162</v>
      </c>
      <c r="D3710" s="3" t="s">
        <v>3</v>
      </c>
      <c r="E3710" s="3">
        <v>3486</v>
      </c>
      <c r="G3710" s="19"/>
    </row>
    <row r="3711" spans="1:7" ht="12.75" x14ac:dyDescent="0.2">
      <c r="A3711" s="3"/>
      <c r="B3711" s="4" t="s">
        <v>106</v>
      </c>
      <c r="C3711" s="3" t="s">
        <v>162</v>
      </c>
      <c r="D3711" s="3" t="s">
        <v>274</v>
      </c>
      <c r="E3711" s="3">
        <v>45</v>
      </c>
      <c r="G3711" s="19"/>
    </row>
    <row r="3712" spans="1:7" ht="12.75" x14ac:dyDescent="0.2">
      <c r="A3712" s="3"/>
      <c r="B3712" s="4" t="s">
        <v>106</v>
      </c>
      <c r="C3712" s="3" t="s">
        <v>162</v>
      </c>
      <c r="D3712" s="3" t="s">
        <v>315</v>
      </c>
      <c r="E3712" s="3">
        <v>101</v>
      </c>
      <c r="G3712" s="19"/>
    </row>
    <row r="3713" spans="1:7" ht="12.75" x14ac:dyDescent="0.2">
      <c r="A3713" s="3"/>
      <c r="B3713" s="4" t="s">
        <v>106</v>
      </c>
      <c r="C3713" s="3" t="s">
        <v>162</v>
      </c>
      <c r="D3713" s="3" t="s">
        <v>149</v>
      </c>
      <c r="E3713" s="3">
        <v>692</v>
      </c>
      <c r="G3713" s="19"/>
    </row>
    <row r="3714" spans="1:7" ht="12.75" x14ac:dyDescent="0.2">
      <c r="A3714" s="3"/>
      <c r="B3714" s="4" t="s">
        <v>106</v>
      </c>
      <c r="C3714" s="3" t="s">
        <v>162</v>
      </c>
      <c r="D3714" s="3" t="s">
        <v>128</v>
      </c>
      <c r="E3714" s="3">
        <v>2889</v>
      </c>
      <c r="G3714" s="19"/>
    </row>
    <row r="3715" spans="1:7" ht="12.75" x14ac:dyDescent="0.2">
      <c r="A3715" s="3"/>
      <c r="B3715" s="4" t="s">
        <v>106</v>
      </c>
      <c r="C3715" s="3" t="s">
        <v>162</v>
      </c>
      <c r="D3715" s="3" t="s">
        <v>275</v>
      </c>
      <c r="E3715" s="3">
        <v>53</v>
      </c>
      <c r="G3715" s="19"/>
    </row>
    <row r="3716" spans="1:7" ht="12.75" x14ac:dyDescent="0.2">
      <c r="A3716" s="3"/>
      <c r="B3716" s="4" t="s">
        <v>106</v>
      </c>
      <c r="C3716" s="3" t="s">
        <v>162</v>
      </c>
      <c r="D3716" s="3" t="s">
        <v>305</v>
      </c>
      <c r="E3716" s="3">
        <v>507</v>
      </c>
      <c r="G3716" s="19"/>
    </row>
    <row r="3717" spans="1:7" ht="12.75" x14ac:dyDescent="0.2">
      <c r="A3717" s="3"/>
      <c r="B3717" s="4" t="s">
        <v>106</v>
      </c>
      <c r="C3717" s="3" t="s">
        <v>162</v>
      </c>
      <c r="D3717" s="3" t="s">
        <v>14</v>
      </c>
      <c r="E3717" s="3">
        <v>915</v>
      </c>
      <c r="G3717" s="19"/>
    </row>
    <row r="3718" spans="1:7" ht="12.75" x14ac:dyDescent="0.2">
      <c r="A3718" s="3"/>
      <c r="B3718" s="4" t="s">
        <v>106</v>
      </c>
      <c r="C3718" s="3" t="s">
        <v>162</v>
      </c>
      <c r="D3718" s="3" t="s">
        <v>138</v>
      </c>
      <c r="E3718" s="3">
        <v>62</v>
      </c>
      <c r="F3718">
        <f>SUM(E3710:E3718)</f>
        <v>8750</v>
      </c>
      <c r="G3718" s="19"/>
    </row>
    <row r="3719" spans="1:7" ht="12.75" x14ac:dyDescent="0.2">
      <c r="A3719" s="3"/>
      <c r="B3719" s="4" t="s">
        <v>106</v>
      </c>
      <c r="C3719" s="3" t="s">
        <v>161</v>
      </c>
      <c r="D3719" s="3" t="s">
        <v>3</v>
      </c>
      <c r="E3719" s="3">
        <v>3368</v>
      </c>
      <c r="G3719" s="19"/>
    </row>
    <row r="3720" spans="1:7" ht="12.75" x14ac:dyDescent="0.2">
      <c r="A3720" s="3"/>
      <c r="B3720" s="4" t="s">
        <v>106</v>
      </c>
      <c r="C3720" s="3" t="s">
        <v>161</v>
      </c>
      <c r="D3720" s="3" t="s">
        <v>274</v>
      </c>
      <c r="E3720" s="3">
        <v>51</v>
      </c>
      <c r="G3720" s="19"/>
    </row>
    <row r="3721" spans="1:7" ht="12.75" x14ac:dyDescent="0.2">
      <c r="A3721" s="3"/>
      <c r="B3721" s="4" t="s">
        <v>106</v>
      </c>
      <c r="C3721" s="3" t="s">
        <v>161</v>
      </c>
      <c r="D3721" s="3" t="s">
        <v>315</v>
      </c>
      <c r="E3721" s="3">
        <v>114</v>
      </c>
      <c r="G3721" s="19"/>
    </row>
    <row r="3722" spans="1:7" ht="12.75" x14ac:dyDescent="0.2">
      <c r="A3722" s="3"/>
      <c r="B3722" s="4" t="s">
        <v>106</v>
      </c>
      <c r="C3722" s="3" t="s">
        <v>161</v>
      </c>
      <c r="D3722" s="3" t="s">
        <v>149</v>
      </c>
      <c r="E3722" s="3">
        <v>704</v>
      </c>
      <c r="G3722" s="19"/>
    </row>
    <row r="3723" spans="1:7" ht="12.75" x14ac:dyDescent="0.2">
      <c r="A3723" s="3"/>
      <c r="B3723" s="4" t="s">
        <v>106</v>
      </c>
      <c r="C3723" s="3" t="s">
        <v>161</v>
      </c>
      <c r="D3723" s="3" t="s">
        <v>128</v>
      </c>
      <c r="E3723" s="3">
        <v>2703</v>
      </c>
      <c r="G3723" s="19"/>
    </row>
    <row r="3724" spans="1:7" ht="12.75" x14ac:dyDescent="0.2">
      <c r="A3724" s="3"/>
      <c r="B3724" s="4" t="s">
        <v>106</v>
      </c>
      <c r="C3724" s="3" t="s">
        <v>161</v>
      </c>
      <c r="D3724" s="3" t="s">
        <v>275</v>
      </c>
      <c r="E3724" s="3">
        <v>53</v>
      </c>
      <c r="G3724" s="19"/>
    </row>
    <row r="3725" spans="1:7" ht="12.75" x14ac:dyDescent="0.2">
      <c r="A3725" s="3"/>
      <c r="B3725" s="4" t="s">
        <v>106</v>
      </c>
      <c r="C3725" s="3" t="s">
        <v>161</v>
      </c>
      <c r="D3725" s="3" t="s">
        <v>305</v>
      </c>
      <c r="E3725" s="3">
        <v>510</v>
      </c>
      <c r="G3725" s="19"/>
    </row>
    <row r="3726" spans="1:7" ht="12.75" x14ac:dyDescent="0.2">
      <c r="A3726" s="3"/>
      <c r="B3726" s="4" t="s">
        <v>106</v>
      </c>
      <c r="C3726" s="3" t="s">
        <v>161</v>
      </c>
      <c r="D3726" s="3" t="s">
        <v>14</v>
      </c>
      <c r="E3726" s="3">
        <v>1185</v>
      </c>
      <c r="G3726" s="19"/>
    </row>
    <row r="3727" spans="1:7" ht="12.75" x14ac:dyDescent="0.2">
      <c r="A3727" s="3"/>
      <c r="B3727" s="4" t="s">
        <v>106</v>
      </c>
      <c r="C3727" s="3" t="s">
        <v>161</v>
      </c>
      <c r="D3727" s="3" t="s">
        <v>138</v>
      </c>
      <c r="E3727" s="3">
        <v>62</v>
      </c>
      <c r="F3727">
        <f>SUM(E3719:E3727)</f>
        <v>8750</v>
      </c>
      <c r="G3727" s="19"/>
    </row>
    <row r="3728" spans="1:7" ht="12.75" x14ac:dyDescent="0.2">
      <c r="A3728" s="3"/>
      <c r="B3728" s="4" t="s">
        <v>109</v>
      </c>
      <c r="C3728" s="3" t="s">
        <v>162</v>
      </c>
      <c r="D3728" s="3" t="s">
        <v>3</v>
      </c>
      <c r="E3728" s="3">
        <v>1407</v>
      </c>
      <c r="G3728" s="19"/>
    </row>
    <row r="3729" spans="1:7" ht="12.75" x14ac:dyDescent="0.2">
      <c r="A3729" s="3"/>
      <c r="B3729" s="4" t="s">
        <v>109</v>
      </c>
      <c r="C3729" s="3" t="s">
        <v>162</v>
      </c>
      <c r="D3729" s="3" t="s">
        <v>274</v>
      </c>
      <c r="E3729" s="3">
        <v>10</v>
      </c>
      <c r="G3729" s="19"/>
    </row>
    <row r="3730" spans="1:7" ht="12.75" x14ac:dyDescent="0.2">
      <c r="A3730" s="3"/>
      <c r="B3730" s="4" t="s">
        <v>109</v>
      </c>
      <c r="C3730" s="3" t="s">
        <v>162</v>
      </c>
      <c r="D3730" s="3" t="s">
        <v>315</v>
      </c>
      <c r="E3730" s="3">
        <v>7</v>
      </c>
      <c r="G3730" s="19"/>
    </row>
    <row r="3731" spans="1:7" ht="12.75" x14ac:dyDescent="0.2">
      <c r="A3731" s="3"/>
      <c r="B3731" s="4" t="s">
        <v>109</v>
      </c>
      <c r="C3731" s="3" t="s">
        <v>162</v>
      </c>
      <c r="D3731" s="3" t="s">
        <v>149</v>
      </c>
      <c r="E3731" s="3">
        <v>66</v>
      </c>
      <c r="G3731" s="19"/>
    </row>
    <row r="3732" spans="1:7" ht="12.75" x14ac:dyDescent="0.2">
      <c r="A3732" s="3"/>
      <c r="B3732" s="4" t="s">
        <v>109</v>
      </c>
      <c r="C3732" s="3" t="s">
        <v>162</v>
      </c>
      <c r="D3732" s="3" t="s">
        <v>128</v>
      </c>
      <c r="E3732" s="3">
        <v>781</v>
      </c>
      <c r="G3732" s="19"/>
    </row>
    <row r="3733" spans="1:7" ht="12.75" x14ac:dyDescent="0.2">
      <c r="A3733" s="3"/>
      <c r="B3733" s="4" t="s">
        <v>109</v>
      </c>
      <c r="C3733" s="3" t="s">
        <v>162</v>
      </c>
      <c r="D3733" s="3" t="s">
        <v>275</v>
      </c>
      <c r="E3733" s="3">
        <v>6</v>
      </c>
      <c r="G3733" s="19"/>
    </row>
    <row r="3734" spans="1:7" ht="12.75" x14ac:dyDescent="0.2">
      <c r="A3734" s="3"/>
      <c r="B3734" s="4" t="s">
        <v>109</v>
      </c>
      <c r="C3734" s="3" t="s">
        <v>162</v>
      </c>
      <c r="D3734" s="3" t="s">
        <v>305</v>
      </c>
      <c r="E3734" s="3">
        <v>142</v>
      </c>
      <c r="G3734" s="19"/>
    </row>
    <row r="3735" spans="1:7" ht="12.75" x14ac:dyDescent="0.2">
      <c r="A3735" s="3"/>
      <c r="B3735" s="4" t="s">
        <v>109</v>
      </c>
      <c r="C3735" s="3" t="s">
        <v>162</v>
      </c>
      <c r="D3735" s="3" t="s">
        <v>14</v>
      </c>
      <c r="E3735" s="3">
        <v>209</v>
      </c>
      <c r="G3735" s="19"/>
    </row>
    <row r="3736" spans="1:7" ht="12.75" x14ac:dyDescent="0.2">
      <c r="A3736" s="3"/>
      <c r="B3736" s="4" t="s">
        <v>109</v>
      </c>
      <c r="C3736" s="3" t="s">
        <v>162</v>
      </c>
      <c r="D3736" s="3" t="s">
        <v>138</v>
      </c>
      <c r="E3736" s="3">
        <v>19</v>
      </c>
      <c r="F3736">
        <f>SUM(E3728:E3736)</f>
        <v>2647</v>
      </c>
      <c r="G3736" s="19"/>
    </row>
    <row r="3737" spans="1:7" ht="12.75" x14ac:dyDescent="0.2">
      <c r="A3737" s="3"/>
      <c r="B3737" s="4" t="s">
        <v>109</v>
      </c>
      <c r="C3737" s="3" t="s">
        <v>161</v>
      </c>
      <c r="D3737" s="3" t="s">
        <v>3</v>
      </c>
      <c r="E3737" s="3">
        <v>1373</v>
      </c>
      <c r="G3737" s="19"/>
    </row>
    <row r="3738" spans="1:7" ht="12.75" x14ac:dyDescent="0.2">
      <c r="A3738" s="3"/>
      <c r="B3738" s="4" t="s">
        <v>109</v>
      </c>
      <c r="C3738" s="3" t="s">
        <v>161</v>
      </c>
      <c r="D3738" s="3" t="s">
        <v>274</v>
      </c>
      <c r="E3738" s="3">
        <v>10</v>
      </c>
      <c r="G3738" s="19"/>
    </row>
    <row r="3739" spans="1:7" ht="12.75" x14ac:dyDescent="0.2">
      <c r="A3739" s="3"/>
      <c r="B3739" s="4" t="s">
        <v>109</v>
      </c>
      <c r="C3739" s="3" t="s">
        <v>161</v>
      </c>
      <c r="D3739" s="3" t="s">
        <v>315</v>
      </c>
      <c r="E3739" s="3">
        <v>10</v>
      </c>
      <c r="G3739" s="19"/>
    </row>
    <row r="3740" spans="1:7" ht="12.75" x14ac:dyDescent="0.2">
      <c r="A3740" s="3"/>
      <c r="B3740" s="4" t="s">
        <v>109</v>
      </c>
      <c r="C3740" s="3" t="s">
        <v>161</v>
      </c>
      <c r="D3740" s="3" t="s">
        <v>149</v>
      </c>
      <c r="E3740" s="3">
        <v>81</v>
      </c>
      <c r="G3740" s="19"/>
    </row>
    <row r="3741" spans="1:7" ht="12.75" x14ac:dyDescent="0.2">
      <c r="A3741" s="3"/>
      <c r="B3741" s="4" t="s">
        <v>109</v>
      </c>
      <c r="C3741" s="3" t="s">
        <v>161</v>
      </c>
      <c r="D3741" s="3" t="s">
        <v>128</v>
      </c>
      <c r="E3741" s="3">
        <v>776</v>
      </c>
      <c r="G3741" s="19"/>
    </row>
    <row r="3742" spans="1:7" ht="12.75" x14ac:dyDescent="0.2">
      <c r="A3742" s="3"/>
      <c r="B3742" s="4" t="s">
        <v>109</v>
      </c>
      <c r="C3742" s="3" t="s">
        <v>161</v>
      </c>
      <c r="D3742" s="3" t="s">
        <v>275</v>
      </c>
      <c r="E3742" s="3">
        <v>7</v>
      </c>
      <c r="G3742" s="19"/>
    </row>
    <row r="3743" spans="1:7" ht="12.75" x14ac:dyDescent="0.2">
      <c r="A3743" s="3"/>
      <c r="B3743" s="4" t="s">
        <v>109</v>
      </c>
      <c r="C3743" s="3" t="s">
        <v>161</v>
      </c>
      <c r="D3743" s="3" t="s">
        <v>305</v>
      </c>
      <c r="E3743" s="3">
        <v>136</v>
      </c>
      <c r="G3743" s="19"/>
    </row>
    <row r="3744" spans="1:7" ht="12.75" x14ac:dyDescent="0.2">
      <c r="A3744" s="3"/>
      <c r="B3744" s="4" t="s">
        <v>109</v>
      </c>
      <c r="C3744" s="3" t="s">
        <v>161</v>
      </c>
      <c r="D3744" s="3" t="s">
        <v>14</v>
      </c>
      <c r="E3744" s="3">
        <v>234</v>
      </c>
      <c r="G3744" s="19"/>
    </row>
    <row r="3745" spans="1:7" ht="12.75" x14ac:dyDescent="0.2">
      <c r="A3745" s="3"/>
      <c r="B3745" s="4" t="s">
        <v>109</v>
      </c>
      <c r="C3745" s="3" t="s">
        <v>161</v>
      </c>
      <c r="D3745" s="3" t="s">
        <v>138</v>
      </c>
      <c r="E3745" s="3">
        <v>20</v>
      </c>
      <c r="F3745">
        <f>SUM(E3737:E3745)</f>
        <v>2647</v>
      </c>
      <c r="G3745" s="19"/>
    </row>
    <row r="3746" spans="1:7" ht="12.75" x14ac:dyDescent="0.2">
      <c r="A3746" s="3"/>
      <c r="B3746" s="4" t="s">
        <v>115</v>
      </c>
      <c r="C3746" s="3" t="s">
        <v>162</v>
      </c>
      <c r="D3746" s="3" t="s">
        <v>3</v>
      </c>
      <c r="E3746" s="3">
        <v>72</v>
      </c>
      <c r="G3746" s="19"/>
    </row>
    <row r="3747" spans="1:7" ht="12.75" x14ac:dyDescent="0.2">
      <c r="A3747" s="3"/>
      <c r="B3747" s="4" t="s">
        <v>115</v>
      </c>
      <c r="C3747" s="3" t="s">
        <v>162</v>
      </c>
      <c r="D3747" s="3" t="s">
        <v>149</v>
      </c>
      <c r="E3747" s="3">
        <v>1</v>
      </c>
      <c r="G3747" s="19"/>
    </row>
    <row r="3748" spans="1:7" ht="12.75" x14ac:dyDescent="0.2">
      <c r="A3748" s="3"/>
      <c r="B3748" s="4" t="s">
        <v>115</v>
      </c>
      <c r="C3748" s="3" t="s">
        <v>162</v>
      </c>
      <c r="D3748" s="3" t="s">
        <v>128</v>
      </c>
      <c r="E3748" s="3">
        <v>44</v>
      </c>
      <c r="G3748" s="19"/>
    </row>
    <row r="3749" spans="1:7" ht="12.75" x14ac:dyDescent="0.2">
      <c r="A3749" s="3"/>
      <c r="B3749" s="4" t="s">
        <v>115</v>
      </c>
      <c r="C3749" s="3" t="s">
        <v>162</v>
      </c>
      <c r="D3749" s="3" t="s">
        <v>14</v>
      </c>
      <c r="E3749" s="3">
        <v>6</v>
      </c>
      <c r="F3749">
        <f>SUM(E3746:E3749)</f>
        <v>123</v>
      </c>
      <c r="G3749" s="19"/>
    </row>
    <row r="3750" spans="1:7" ht="12.75" x14ac:dyDescent="0.2">
      <c r="A3750" s="3"/>
      <c r="B3750" s="4" t="s">
        <v>115</v>
      </c>
      <c r="C3750" s="3" t="s">
        <v>161</v>
      </c>
      <c r="D3750" s="3" t="s">
        <v>3</v>
      </c>
      <c r="E3750" s="3">
        <v>71</v>
      </c>
      <c r="G3750" s="19"/>
    </row>
    <row r="3751" spans="1:7" ht="12.75" x14ac:dyDescent="0.2">
      <c r="A3751" s="3"/>
      <c r="B3751" s="4" t="s">
        <v>115</v>
      </c>
      <c r="C3751" s="3" t="s">
        <v>161</v>
      </c>
      <c r="D3751" s="3" t="s">
        <v>149</v>
      </c>
      <c r="E3751" s="3">
        <v>1</v>
      </c>
      <c r="G3751" s="19"/>
    </row>
    <row r="3752" spans="1:7" ht="12.75" x14ac:dyDescent="0.2">
      <c r="A3752" s="3"/>
      <c r="B3752" s="4" t="s">
        <v>115</v>
      </c>
      <c r="C3752" s="3" t="s">
        <v>161</v>
      </c>
      <c r="D3752" s="3" t="s">
        <v>128</v>
      </c>
      <c r="E3752" s="3">
        <v>44</v>
      </c>
      <c r="G3752" s="19"/>
    </row>
    <row r="3753" spans="1:7" ht="12.75" x14ac:dyDescent="0.2">
      <c r="A3753" s="3"/>
      <c r="B3753" s="4" t="s">
        <v>115</v>
      </c>
      <c r="C3753" s="3" t="s">
        <v>161</v>
      </c>
      <c r="D3753" s="3" t="s">
        <v>14</v>
      </c>
      <c r="E3753" s="3">
        <v>7</v>
      </c>
      <c r="F3753">
        <f>SUM(E3750:E3753)</f>
        <v>123</v>
      </c>
      <c r="G3753" s="19"/>
    </row>
    <row r="3754" spans="1:7" ht="12.75" x14ac:dyDescent="0.2">
      <c r="A3754" s="3"/>
      <c r="B3754" s="4" t="s">
        <v>44</v>
      </c>
      <c r="C3754" s="3" t="s">
        <v>162</v>
      </c>
      <c r="D3754" s="3" t="s">
        <v>3</v>
      </c>
      <c r="E3754" s="3">
        <v>509</v>
      </c>
      <c r="G3754" s="19"/>
    </row>
    <row r="3755" spans="1:7" ht="12.75" x14ac:dyDescent="0.2">
      <c r="A3755" s="3"/>
      <c r="B3755" s="4" t="s">
        <v>44</v>
      </c>
      <c r="C3755" s="3" t="s">
        <v>162</v>
      </c>
      <c r="D3755" s="3" t="s">
        <v>274</v>
      </c>
      <c r="E3755" s="3">
        <v>1</v>
      </c>
      <c r="G3755" s="19"/>
    </row>
    <row r="3756" spans="1:7" ht="12.75" x14ac:dyDescent="0.2">
      <c r="A3756" s="3"/>
      <c r="B3756" s="4" t="s">
        <v>44</v>
      </c>
      <c r="C3756" s="3" t="s">
        <v>162</v>
      </c>
      <c r="D3756" s="3" t="s">
        <v>315</v>
      </c>
      <c r="E3756" s="3">
        <v>3</v>
      </c>
      <c r="G3756" s="19"/>
    </row>
    <row r="3757" spans="1:7" ht="12.75" x14ac:dyDescent="0.2">
      <c r="A3757" s="3"/>
      <c r="B3757" s="4" t="s">
        <v>44</v>
      </c>
      <c r="C3757" s="3" t="s">
        <v>162</v>
      </c>
      <c r="D3757" s="3" t="s">
        <v>149</v>
      </c>
      <c r="E3757" s="3">
        <v>22</v>
      </c>
      <c r="G3757" s="19"/>
    </row>
    <row r="3758" spans="1:7" ht="12.75" x14ac:dyDescent="0.2">
      <c r="A3758" s="3"/>
      <c r="B3758" s="4" t="s">
        <v>44</v>
      </c>
      <c r="C3758" s="3" t="s">
        <v>162</v>
      </c>
      <c r="D3758" s="3" t="s">
        <v>128</v>
      </c>
      <c r="E3758" s="3">
        <v>211</v>
      </c>
      <c r="G3758" s="19"/>
    </row>
    <row r="3759" spans="1:7" ht="12.75" x14ac:dyDescent="0.2">
      <c r="A3759" s="3"/>
      <c r="B3759" s="4" t="s">
        <v>44</v>
      </c>
      <c r="C3759" s="3" t="s">
        <v>162</v>
      </c>
      <c r="D3759" s="3" t="s">
        <v>275</v>
      </c>
      <c r="E3759" s="3">
        <v>4</v>
      </c>
      <c r="G3759" s="19"/>
    </row>
    <row r="3760" spans="1:7" ht="12.75" x14ac:dyDescent="0.2">
      <c r="A3760" s="3"/>
      <c r="B3760" s="4" t="s">
        <v>44</v>
      </c>
      <c r="C3760" s="3" t="s">
        <v>162</v>
      </c>
      <c r="D3760" s="3" t="s">
        <v>305</v>
      </c>
      <c r="E3760" s="3">
        <v>12</v>
      </c>
      <c r="G3760" s="19"/>
    </row>
    <row r="3761" spans="1:7" ht="12.75" x14ac:dyDescent="0.2">
      <c r="A3761" s="3"/>
      <c r="B3761" s="4" t="s">
        <v>44</v>
      </c>
      <c r="C3761" s="3" t="s">
        <v>162</v>
      </c>
      <c r="D3761" s="3" t="s">
        <v>14</v>
      </c>
      <c r="E3761" s="3">
        <v>50</v>
      </c>
      <c r="G3761" s="19"/>
    </row>
    <row r="3762" spans="1:7" ht="12.75" x14ac:dyDescent="0.2">
      <c r="A3762" s="3"/>
      <c r="B3762" s="4" t="s">
        <v>44</v>
      </c>
      <c r="C3762" s="3" t="s">
        <v>162</v>
      </c>
      <c r="D3762" s="3" t="s">
        <v>138</v>
      </c>
      <c r="E3762" s="3">
        <v>13</v>
      </c>
      <c r="F3762">
        <f>SUM(E3754:E3762)</f>
        <v>825</v>
      </c>
      <c r="G3762" s="19"/>
    </row>
    <row r="3763" spans="1:7" ht="12.75" x14ac:dyDescent="0.2">
      <c r="A3763" s="3"/>
      <c r="B3763" s="4" t="s">
        <v>44</v>
      </c>
      <c r="C3763" s="3" t="s">
        <v>161</v>
      </c>
      <c r="D3763" s="3" t="s">
        <v>3</v>
      </c>
      <c r="E3763" s="3">
        <v>496</v>
      </c>
      <c r="G3763" s="19"/>
    </row>
    <row r="3764" spans="1:7" ht="12.75" x14ac:dyDescent="0.2">
      <c r="A3764" s="3"/>
      <c r="B3764" s="4" t="s">
        <v>44</v>
      </c>
      <c r="C3764" s="3" t="s">
        <v>161</v>
      </c>
      <c r="D3764" s="3" t="s">
        <v>274</v>
      </c>
      <c r="E3764" s="3">
        <v>2</v>
      </c>
      <c r="G3764" s="19"/>
    </row>
    <row r="3765" spans="1:7" ht="12.75" x14ac:dyDescent="0.2">
      <c r="A3765" s="3"/>
      <c r="B3765" s="4" t="s">
        <v>44</v>
      </c>
      <c r="C3765" s="3" t="s">
        <v>161</v>
      </c>
      <c r="D3765" s="3" t="s">
        <v>315</v>
      </c>
      <c r="E3765" s="3">
        <v>4</v>
      </c>
      <c r="G3765" s="19"/>
    </row>
    <row r="3766" spans="1:7" ht="12.75" x14ac:dyDescent="0.2">
      <c r="A3766" s="3"/>
      <c r="B3766" s="4" t="s">
        <v>44</v>
      </c>
      <c r="C3766" s="3" t="s">
        <v>161</v>
      </c>
      <c r="D3766" s="3" t="s">
        <v>149</v>
      </c>
      <c r="E3766" s="3">
        <v>22</v>
      </c>
      <c r="G3766" s="19"/>
    </row>
    <row r="3767" spans="1:7" ht="12.75" x14ac:dyDescent="0.2">
      <c r="A3767" s="3"/>
      <c r="B3767" s="4" t="s">
        <v>44</v>
      </c>
      <c r="C3767" s="3" t="s">
        <v>161</v>
      </c>
      <c r="D3767" s="3" t="s">
        <v>128</v>
      </c>
      <c r="E3767" s="3">
        <v>201</v>
      </c>
      <c r="G3767" s="19"/>
    </row>
    <row r="3768" spans="1:7" ht="12.75" x14ac:dyDescent="0.2">
      <c r="A3768" s="3"/>
      <c r="B3768" s="4" t="s">
        <v>44</v>
      </c>
      <c r="C3768" s="3" t="s">
        <v>161</v>
      </c>
      <c r="D3768" s="3" t="s">
        <v>275</v>
      </c>
      <c r="E3768" s="3">
        <v>5</v>
      </c>
      <c r="G3768" s="19"/>
    </row>
    <row r="3769" spans="1:7" ht="12.75" x14ac:dyDescent="0.2">
      <c r="A3769" s="3"/>
      <c r="B3769" s="4" t="s">
        <v>44</v>
      </c>
      <c r="C3769" s="3" t="s">
        <v>161</v>
      </c>
      <c r="D3769" s="3" t="s">
        <v>305</v>
      </c>
      <c r="E3769" s="3">
        <v>11</v>
      </c>
      <c r="G3769" s="19"/>
    </row>
    <row r="3770" spans="1:7" ht="12.75" x14ac:dyDescent="0.2">
      <c r="A3770" s="3"/>
      <c r="B3770" s="4" t="s">
        <v>44</v>
      </c>
      <c r="C3770" s="3" t="s">
        <v>161</v>
      </c>
      <c r="D3770" s="3" t="s">
        <v>14</v>
      </c>
      <c r="E3770" s="3">
        <v>71</v>
      </c>
      <c r="G3770" s="19"/>
    </row>
    <row r="3771" spans="1:7" ht="12.75" x14ac:dyDescent="0.2">
      <c r="A3771" s="3"/>
      <c r="B3771" s="4" t="s">
        <v>44</v>
      </c>
      <c r="C3771" s="3" t="s">
        <v>161</v>
      </c>
      <c r="D3771" s="3" t="s">
        <v>138</v>
      </c>
      <c r="E3771" s="3">
        <v>13</v>
      </c>
      <c r="F3771">
        <f>SUM(E3763:E3771)</f>
        <v>825</v>
      </c>
      <c r="G3771" s="19"/>
    </row>
    <row r="3772" spans="1:7" ht="12.75" x14ac:dyDescent="0.2">
      <c r="A3772" s="3"/>
      <c r="B3772" s="4" t="s">
        <v>86</v>
      </c>
      <c r="C3772" s="3" t="s">
        <v>162</v>
      </c>
      <c r="D3772" s="3" t="s">
        <v>3</v>
      </c>
      <c r="E3772" s="3">
        <v>2877</v>
      </c>
      <c r="G3772" s="19"/>
    </row>
    <row r="3773" spans="1:7" ht="12.75" x14ac:dyDescent="0.2">
      <c r="A3773" s="3"/>
      <c r="B3773" s="4" t="s">
        <v>86</v>
      </c>
      <c r="C3773" s="3" t="s">
        <v>162</v>
      </c>
      <c r="D3773" s="3" t="s">
        <v>274</v>
      </c>
      <c r="E3773" s="3">
        <v>19</v>
      </c>
      <c r="G3773" s="19"/>
    </row>
    <row r="3774" spans="1:7" ht="12.75" x14ac:dyDescent="0.2">
      <c r="A3774" s="3"/>
      <c r="B3774" s="4" t="s">
        <v>86</v>
      </c>
      <c r="C3774" s="3" t="s">
        <v>162</v>
      </c>
      <c r="D3774" s="3" t="s">
        <v>315</v>
      </c>
      <c r="E3774" s="3">
        <v>34</v>
      </c>
      <c r="G3774" s="19"/>
    </row>
    <row r="3775" spans="1:7" ht="12.75" x14ac:dyDescent="0.2">
      <c r="A3775" s="3"/>
      <c r="B3775" s="4" t="s">
        <v>86</v>
      </c>
      <c r="C3775" s="3" t="s">
        <v>162</v>
      </c>
      <c r="D3775" s="3" t="s">
        <v>149</v>
      </c>
      <c r="E3775" s="3">
        <v>303</v>
      </c>
      <c r="G3775" s="19"/>
    </row>
    <row r="3776" spans="1:7" ht="12.75" x14ac:dyDescent="0.2">
      <c r="A3776" s="3"/>
      <c r="B3776" s="4" t="s">
        <v>86</v>
      </c>
      <c r="C3776" s="3" t="s">
        <v>162</v>
      </c>
      <c r="D3776" s="3" t="s">
        <v>128</v>
      </c>
      <c r="E3776" s="3">
        <v>939</v>
      </c>
      <c r="G3776" s="19"/>
    </row>
    <row r="3777" spans="1:7" ht="12.75" x14ac:dyDescent="0.2">
      <c r="A3777" s="3"/>
      <c r="B3777" s="4" t="s">
        <v>86</v>
      </c>
      <c r="C3777" s="3" t="s">
        <v>162</v>
      </c>
      <c r="D3777" s="3" t="s">
        <v>275</v>
      </c>
      <c r="E3777" s="3">
        <v>10</v>
      </c>
      <c r="G3777" s="19"/>
    </row>
    <row r="3778" spans="1:7" ht="12.75" x14ac:dyDescent="0.2">
      <c r="A3778" s="3"/>
      <c r="B3778" s="4" t="s">
        <v>86</v>
      </c>
      <c r="C3778" s="3" t="s">
        <v>162</v>
      </c>
      <c r="D3778" s="3" t="s">
        <v>305</v>
      </c>
      <c r="E3778" s="3">
        <v>175</v>
      </c>
      <c r="G3778" s="19"/>
    </row>
    <row r="3779" spans="1:7" ht="12.75" x14ac:dyDescent="0.2">
      <c r="A3779" s="3"/>
      <c r="B3779" s="4" t="s">
        <v>86</v>
      </c>
      <c r="C3779" s="3" t="s">
        <v>162</v>
      </c>
      <c r="D3779" s="3" t="s">
        <v>14</v>
      </c>
      <c r="E3779" s="3">
        <v>1497</v>
      </c>
      <c r="G3779" s="19"/>
    </row>
    <row r="3780" spans="1:7" ht="12.75" x14ac:dyDescent="0.2">
      <c r="A3780" s="3"/>
      <c r="B3780" s="4" t="s">
        <v>86</v>
      </c>
      <c r="C3780" s="3" t="s">
        <v>162</v>
      </c>
      <c r="D3780" s="3" t="s">
        <v>138</v>
      </c>
      <c r="E3780" s="3">
        <v>60</v>
      </c>
      <c r="F3780">
        <f>SUM(E3772:E3780)</f>
        <v>5914</v>
      </c>
      <c r="G3780" s="19"/>
    </row>
    <row r="3781" spans="1:7" ht="12.75" x14ac:dyDescent="0.2">
      <c r="A3781" s="3"/>
      <c r="B3781" s="4" t="s">
        <v>86</v>
      </c>
      <c r="C3781" s="3" t="s">
        <v>161</v>
      </c>
      <c r="D3781" s="3" t="s">
        <v>3</v>
      </c>
      <c r="E3781" s="3">
        <v>2401</v>
      </c>
      <c r="G3781" s="19"/>
    </row>
    <row r="3782" spans="1:7" ht="12.75" x14ac:dyDescent="0.2">
      <c r="A3782" s="3"/>
      <c r="B3782" s="4" t="s">
        <v>86</v>
      </c>
      <c r="C3782" s="3" t="s">
        <v>161</v>
      </c>
      <c r="D3782" s="3" t="s">
        <v>274</v>
      </c>
      <c r="E3782" s="3">
        <v>17</v>
      </c>
      <c r="G3782" s="19"/>
    </row>
    <row r="3783" spans="1:7" ht="12.75" x14ac:dyDescent="0.2">
      <c r="A3783" s="3"/>
      <c r="B3783" s="4" t="s">
        <v>86</v>
      </c>
      <c r="C3783" s="3" t="s">
        <v>161</v>
      </c>
      <c r="D3783" s="3" t="s">
        <v>315</v>
      </c>
      <c r="E3783" s="3">
        <v>65</v>
      </c>
      <c r="G3783" s="19"/>
    </row>
    <row r="3784" spans="1:7" ht="12.75" x14ac:dyDescent="0.2">
      <c r="A3784" s="3"/>
      <c r="B3784" s="4" t="s">
        <v>86</v>
      </c>
      <c r="C3784" s="3" t="s">
        <v>161</v>
      </c>
      <c r="D3784" s="3" t="s">
        <v>149</v>
      </c>
      <c r="E3784" s="3">
        <v>294</v>
      </c>
      <c r="G3784" s="19"/>
    </row>
    <row r="3785" spans="1:7" ht="12.75" x14ac:dyDescent="0.2">
      <c r="A3785" s="3"/>
      <c r="B3785" s="4" t="s">
        <v>86</v>
      </c>
      <c r="C3785" s="3" t="s">
        <v>161</v>
      </c>
      <c r="D3785" s="3" t="s">
        <v>128</v>
      </c>
      <c r="E3785" s="3">
        <v>827</v>
      </c>
      <c r="G3785" s="19"/>
    </row>
    <row r="3786" spans="1:7" ht="12.75" x14ac:dyDescent="0.2">
      <c r="A3786" s="3"/>
      <c r="B3786" s="4" t="s">
        <v>86</v>
      </c>
      <c r="C3786" s="3" t="s">
        <v>161</v>
      </c>
      <c r="D3786" s="3" t="s">
        <v>275</v>
      </c>
      <c r="E3786" s="3">
        <v>12</v>
      </c>
      <c r="G3786" s="19"/>
    </row>
    <row r="3787" spans="1:7" ht="12.75" x14ac:dyDescent="0.2">
      <c r="A3787" s="3"/>
      <c r="B3787" s="4" t="s">
        <v>86</v>
      </c>
      <c r="C3787" s="3" t="s">
        <v>161</v>
      </c>
      <c r="D3787" s="3" t="s">
        <v>305</v>
      </c>
      <c r="E3787" s="3">
        <v>192</v>
      </c>
      <c r="G3787" s="19"/>
    </row>
    <row r="3788" spans="1:7" ht="12.75" x14ac:dyDescent="0.2">
      <c r="A3788" s="3"/>
      <c r="B3788" s="4" t="s">
        <v>86</v>
      </c>
      <c r="C3788" s="3" t="s">
        <v>161</v>
      </c>
      <c r="D3788" s="3" t="s">
        <v>14</v>
      </c>
      <c r="E3788" s="3">
        <v>2043</v>
      </c>
      <c r="G3788" s="19"/>
    </row>
    <row r="3789" spans="1:7" ht="12.75" x14ac:dyDescent="0.2">
      <c r="A3789" s="3"/>
      <c r="B3789" s="4" t="s">
        <v>86</v>
      </c>
      <c r="C3789" s="3" t="s">
        <v>161</v>
      </c>
      <c r="D3789" s="3" t="s">
        <v>138</v>
      </c>
      <c r="E3789" s="3">
        <v>63</v>
      </c>
      <c r="F3789">
        <f>SUM(E3781:E3789)</f>
        <v>5914</v>
      </c>
      <c r="G3789" s="19"/>
    </row>
    <row r="3790" spans="1:7" ht="12.75" x14ac:dyDescent="0.2">
      <c r="A3790" s="3"/>
      <c r="B3790" s="4" t="s">
        <v>53</v>
      </c>
      <c r="C3790" s="3" t="s">
        <v>162</v>
      </c>
      <c r="D3790" s="3" t="s">
        <v>3</v>
      </c>
      <c r="E3790" s="3">
        <v>350</v>
      </c>
      <c r="G3790" s="19"/>
    </row>
    <row r="3791" spans="1:7" ht="12.75" x14ac:dyDescent="0.2">
      <c r="A3791" s="3"/>
      <c r="B3791" s="4" t="s">
        <v>53</v>
      </c>
      <c r="C3791" s="3" t="s">
        <v>162</v>
      </c>
      <c r="D3791" s="3" t="s">
        <v>315</v>
      </c>
      <c r="E3791" s="3">
        <v>26</v>
      </c>
      <c r="G3791" s="19"/>
    </row>
    <row r="3792" spans="1:7" ht="12.75" x14ac:dyDescent="0.2">
      <c r="A3792" s="3"/>
      <c r="B3792" s="4" t="s">
        <v>53</v>
      </c>
      <c r="C3792" s="3" t="s">
        <v>162</v>
      </c>
      <c r="D3792" s="3" t="s">
        <v>149</v>
      </c>
      <c r="E3792" s="3">
        <v>10</v>
      </c>
      <c r="G3792" s="19"/>
    </row>
    <row r="3793" spans="1:7" ht="12.75" x14ac:dyDescent="0.2">
      <c r="A3793" s="3"/>
      <c r="B3793" s="4" t="s">
        <v>53</v>
      </c>
      <c r="C3793" s="3" t="s">
        <v>162</v>
      </c>
      <c r="D3793" s="3" t="s">
        <v>128</v>
      </c>
      <c r="E3793" s="3">
        <v>154</v>
      </c>
      <c r="G3793" s="19"/>
    </row>
    <row r="3794" spans="1:7" ht="12.75" x14ac:dyDescent="0.2">
      <c r="A3794" s="3"/>
      <c r="B3794" s="4" t="s">
        <v>53</v>
      </c>
      <c r="C3794" s="3" t="s">
        <v>162</v>
      </c>
      <c r="D3794" s="3" t="s">
        <v>275</v>
      </c>
      <c r="E3794" s="3">
        <v>5</v>
      </c>
      <c r="G3794" s="19"/>
    </row>
    <row r="3795" spans="1:7" ht="12.75" x14ac:dyDescent="0.2">
      <c r="A3795" s="3"/>
      <c r="B3795" s="4" t="s">
        <v>53</v>
      </c>
      <c r="C3795" s="3" t="s">
        <v>162</v>
      </c>
      <c r="D3795" s="3" t="s">
        <v>305</v>
      </c>
      <c r="E3795" s="3">
        <v>6</v>
      </c>
      <c r="G3795" s="19"/>
    </row>
    <row r="3796" spans="1:7" ht="12.75" x14ac:dyDescent="0.2">
      <c r="A3796" s="3"/>
      <c r="B3796" s="4" t="s">
        <v>53</v>
      </c>
      <c r="C3796" s="3" t="s">
        <v>162</v>
      </c>
      <c r="D3796" s="3" t="s">
        <v>14</v>
      </c>
      <c r="E3796" s="3">
        <v>26</v>
      </c>
      <c r="F3796">
        <f>SUM(E3790:E3796)</f>
        <v>577</v>
      </c>
      <c r="G3796" s="19"/>
    </row>
    <row r="3797" spans="1:7" ht="12.75" x14ac:dyDescent="0.2">
      <c r="A3797" s="3"/>
      <c r="B3797" s="4" t="s">
        <v>53</v>
      </c>
      <c r="C3797" s="3" t="s">
        <v>161</v>
      </c>
      <c r="D3797" s="3" t="s">
        <v>3</v>
      </c>
      <c r="E3797" s="3">
        <v>339</v>
      </c>
      <c r="G3797" s="19"/>
    </row>
    <row r="3798" spans="1:7" ht="12.75" x14ac:dyDescent="0.2">
      <c r="A3798" s="3"/>
      <c r="B3798" s="4" t="s">
        <v>53</v>
      </c>
      <c r="C3798" s="3" t="s">
        <v>161</v>
      </c>
      <c r="D3798" s="3" t="s">
        <v>315</v>
      </c>
      <c r="E3798" s="3">
        <v>29</v>
      </c>
      <c r="G3798" s="19"/>
    </row>
    <row r="3799" spans="1:7" ht="12.75" x14ac:dyDescent="0.2">
      <c r="A3799" s="3"/>
      <c r="B3799" s="4" t="s">
        <v>53</v>
      </c>
      <c r="C3799" s="3" t="s">
        <v>161</v>
      </c>
      <c r="D3799" s="3" t="s">
        <v>149</v>
      </c>
      <c r="E3799" s="3">
        <v>9</v>
      </c>
      <c r="G3799" s="19"/>
    </row>
    <row r="3800" spans="1:7" ht="12.75" x14ac:dyDescent="0.2">
      <c r="A3800" s="3"/>
      <c r="B3800" s="4" t="s">
        <v>53</v>
      </c>
      <c r="C3800" s="3" t="s">
        <v>161</v>
      </c>
      <c r="D3800" s="3" t="s">
        <v>128</v>
      </c>
      <c r="E3800" s="3">
        <v>155</v>
      </c>
      <c r="G3800" s="19"/>
    </row>
    <row r="3801" spans="1:7" ht="12.75" x14ac:dyDescent="0.2">
      <c r="A3801" s="3"/>
      <c r="B3801" s="4" t="s">
        <v>53</v>
      </c>
      <c r="C3801" s="3" t="s">
        <v>161</v>
      </c>
      <c r="D3801" s="3" t="s">
        <v>275</v>
      </c>
      <c r="E3801" s="3">
        <v>5</v>
      </c>
      <c r="G3801" s="19"/>
    </row>
    <row r="3802" spans="1:7" ht="12.75" x14ac:dyDescent="0.2">
      <c r="A3802" s="3"/>
      <c r="B3802" s="4" t="s">
        <v>53</v>
      </c>
      <c r="C3802" s="3" t="s">
        <v>161</v>
      </c>
      <c r="D3802" s="3" t="s">
        <v>305</v>
      </c>
      <c r="E3802" s="3">
        <v>5</v>
      </c>
      <c r="G3802" s="19"/>
    </row>
    <row r="3803" spans="1:7" ht="12.75" x14ac:dyDescent="0.2">
      <c r="A3803" s="3"/>
      <c r="B3803" s="4" t="s">
        <v>53</v>
      </c>
      <c r="C3803" s="3" t="s">
        <v>161</v>
      </c>
      <c r="D3803" s="3" t="s">
        <v>14</v>
      </c>
      <c r="E3803" s="3">
        <v>35</v>
      </c>
      <c r="F3803">
        <f>SUM(E3797:E3803)</f>
        <v>577</v>
      </c>
      <c r="G3803" s="19"/>
    </row>
    <row r="3804" spans="1:7" ht="12.75" x14ac:dyDescent="0.2">
      <c r="A3804" s="3"/>
      <c r="B3804" s="4" t="s">
        <v>78</v>
      </c>
      <c r="C3804" s="3" t="s">
        <v>162</v>
      </c>
      <c r="D3804" s="3" t="s">
        <v>3</v>
      </c>
      <c r="E3804" s="3">
        <v>2836</v>
      </c>
      <c r="G3804" s="19"/>
    </row>
    <row r="3805" spans="1:7" ht="12.75" x14ac:dyDescent="0.2">
      <c r="A3805" s="3"/>
      <c r="B3805" s="4" t="s">
        <v>78</v>
      </c>
      <c r="C3805" s="3" t="s">
        <v>162</v>
      </c>
      <c r="D3805" s="3" t="s">
        <v>274</v>
      </c>
      <c r="E3805" s="3">
        <v>12</v>
      </c>
      <c r="G3805" s="19"/>
    </row>
    <row r="3806" spans="1:7" ht="12.75" x14ac:dyDescent="0.2">
      <c r="A3806" s="3"/>
      <c r="B3806" s="4" t="s">
        <v>78</v>
      </c>
      <c r="C3806" s="3" t="s">
        <v>162</v>
      </c>
      <c r="D3806" s="3" t="s">
        <v>315</v>
      </c>
      <c r="E3806" s="3">
        <v>31</v>
      </c>
      <c r="G3806" s="19"/>
    </row>
    <row r="3807" spans="1:7" ht="12.75" x14ac:dyDescent="0.2">
      <c r="A3807" s="3"/>
      <c r="B3807" s="4" t="s">
        <v>78</v>
      </c>
      <c r="C3807" s="3" t="s">
        <v>162</v>
      </c>
      <c r="D3807" s="3" t="s">
        <v>149</v>
      </c>
      <c r="E3807" s="3">
        <v>89</v>
      </c>
      <c r="G3807" s="19"/>
    </row>
    <row r="3808" spans="1:7" ht="12.75" x14ac:dyDescent="0.2">
      <c r="A3808" s="3"/>
      <c r="B3808" s="4" t="s">
        <v>78</v>
      </c>
      <c r="C3808" s="3" t="s">
        <v>162</v>
      </c>
      <c r="D3808" s="3" t="s">
        <v>128</v>
      </c>
      <c r="E3808" s="3">
        <v>769</v>
      </c>
      <c r="G3808" s="19"/>
    </row>
    <row r="3809" spans="1:7" ht="12.75" x14ac:dyDescent="0.2">
      <c r="A3809" s="3"/>
      <c r="B3809" s="4" t="s">
        <v>78</v>
      </c>
      <c r="C3809" s="3" t="s">
        <v>162</v>
      </c>
      <c r="D3809" s="3" t="s">
        <v>275</v>
      </c>
      <c r="E3809" s="3">
        <v>15</v>
      </c>
      <c r="G3809" s="19"/>
    </row>
    <row r="3810" spans="1:7" ht="12.75" x14ac:dyDescent="0.2">
      <c r="A3810" s="3"/>
      <c r="B3810" s="4" t="s">
        <v>78</v>
      </c>
      <c r="C3810" s="3" t="s">
        <v>162</v>
      </c>
      <c r="D3810" s="3" t="s">
        <v>305</v>
      </c>
      <c r="E3810" s="3">
        <v>246</v>
      </c>
      <c r="G3810" s="19"/>
    </row>
    <row r="3811" spans="1:7" ht="12.75" x14ac:dyDescent="0.2">
      <c r="A3811" s="3"/>
      <c r="B3811" s="4" t="s">
        <v>78</v>
      </c>
      <c r="C3811" s="3" t="s">
        <v>162</v>
      </c>
      <c r="D3811" s="3" t="s">
        <v>14</v>
      </c>
      <c r="E3811" s="3">
        <v>515</v>
      </c>
      <c r="G3811" s="19"/>
    </row>
    <row r="3812" spans="1:7" ht="12.75" x14ac:dyDescent="0.2">
      <c r="A3812" s="3"/>
      <c r="B3812" s="4" t="s">
        <v>78</v>
      </c>
      <c r="C3812" s="3" t="s">
        <v>162</v>
      </c>
      <c r="D3812" s="3" t="s">
        <v>138</v>
      </c>
      <c r="E3812" s="3">
        <v>90</v>
      </c>
      <c r="F3812">
        <f>SUM(E3804:E3812)</f>
        <v>4603</v>
      </c>
      <c r="G3812" s="19"/>
    </row>
    <row r="3813" spans="1:7" ht="12.75" x14ac:dyDescent="0.2">
      <c r="A3813" s="3"/>
      <c r="B3813" s="4" t="s">
        <v>78</v>
      </c>
      <c r="C3813" s="3" t="s">
        <v>161</v>
      </c>
      <c r="D3813" s="3" t="s">
        <v>3</v>
      </c>
      <c r="E3813" s="3">
        <v>2541</v>
      </c>
      <c r="G3813" s="19"/>
    </row>
    <row r="3814" spans="1:7" ht="12.75" x14ac:dyDescent="0.2">
      <c r="A3814" s="3"/>
      <c r="B3814" s="4" t="s">
        <v>78</v>
      </c>
      <c r="C3814" s="3" t="s">
        <v>161</v>
      </c>
      <c r="D3814" s="3" t="s">
        <v>274</v>
      </c>
      <c r="E3814" s="3">
        <v>11</v>
      </c>
      <c r="G3814" s="19"/>
    </row>
    <row r="3815" spans="1:7" ht="12.75" x14ac:dyDescent="0.2">
      <c r="A3815" s="3"/>
      <c r="B3815" s="4" t="s">
        <v>78</v>
      </c>
      <c r="C3815" s="3" t="s">
        <v>161</v>
      </c>
      <c r="D3815" s="3" t="s">
        <v>315</v>
      </c>
      <c r="E3815" s="3">
        <v>28</v>
      </c>
      <c r="G3815" s="19"/>
    </row>
    <row r="3816" spans="1:7" ht="12.75" x14ac:dyDescent="0.2">
      <c r="A3816" s="3"/>
      <c r="B3816" s="4" t="s">
        <v>78</v>
      </c>
      <c r="C3816" s="3" t="s">
        <v>161</v>
      </c>
      <c r="D3816" s="3" t="s">
        <v>149</v>
      </c>
      <c r="E3816" s="3">
        <v>89</v>
      </c>
      <c r="G3816" s="19"/>
    </row>
    <row r="3817" spans="1:7" ht="12.75" x14ac:dyDescent="0.2">
      <c r="A3817" s="3"/>
      <c r="B3817" s="4" t="s">
        <v>78</v>
      </c>
      <c r="C3817" s="3" t="s">
        <v>161</v>
      </c>
      <c r="D3817" s="3" t="s">
        <v>128</v>
      </c>
      <c r="E3817" s="3">
        <v>787</v>
      </c>
      <c r="G3817" s="19"/>
    </row>
    <row r="3818" spans="1:7" ht="12.75" x14ac:dyDescent="0.2">
      <c r="A3818" s="3"/>
      <c r="B3818" s="4" t="s">
        <v>78</v>
      </c>
      <c r="C3818" s="3" t="s">
        <v>161</v>
      </c>
      <c r="D3818" s="3" t="s">
        <v>275</v>
      </c>
      <c r="E3818" s="3">
        <v>15</v>
      </c>
      <c r="G3818" s="19"/>
    </row>
    <row r="3819" spans="1:7" ht="12.75" x14ac:dyDescent="0.2">
      <c r="A3819" s="3"/>
      <c r="B3819" s="4" t="s">
        <v>78</v>
      </c>
      <c r="C3819" s="3" t="s">
        <v>161</v>
      </c>
      <c r="D3819" s="3" t="s">
        <v>305</v>
      </c>
      <c r="E3819" s="3">
        <v>222</v>
      </c>
      <c r="G3819" s="19"/>
    </row>
    <row r="3820" spans="1:7" ht="12.75" x14ac:dyDescent="0.2">
      <c r="A3820" s="3"/>
      <c r="B3820" s="4" t="s">
        <v>78</v>
      </c>
      <c r="C3820" s="3" t="s">
        <v>161</v>
      </c>
      <c r="D3820" s="3" t="s">
        <v>14</v>
      </c>
      <c r="E3820" s="3">
        <v>802</v>
      </c>
      <c r="G3820" s="19"/>
    </row>
    <row r="3821" spans="1:7" ht="12.75" x14ac:dyDescent="0.2">
      <c r="A3821" s="3"/>
      <c r="B3821" s="4" t="s">
        <v>78</v>
      </c>
      <c r="C3821" s="3" t="s">
        <v>161</v>
      </c>
      <c r="D3821" s="3" t="s">
        <v>138</v>
      </c>
      <c r="E3821" s="3">
        <v>108</v>
      </c>
      <c r="F3821">
        <f>SUM(E3813:E3821)</f>
        <v>4603</v>
      </c>
      <c r="G3821" s="19"/>
    </row>
    <row r="3822" spans="1:7" ht="12.75" x14ac:dyDescent="0.2">
      <c r="A3822" s="3"/>
      <c r="B3822" s="4" t="s">
        <v>92</v>
      </c>
      <c r="C3822" s="3" t="s">
        <v>162</v>
      </c>
      <c r="D3822" s="3" t="s">
        <v>3</v>
      </c>
      <c r="E3822" s="3">
        <v>261</v>
      </c>
      <c r="G3822" s="19"/>
    </row>
    <row r="3823" spans="1:7" ht="12.75" x14ac:dyDescent="0.2">
      <c r="A3823" s="3"/>
      <c r="B3823" s="4" t="s">
        <v>92</v>
      </c>
      <c r="C3823" s="3" t="s">
        <v>162</v>
      </c>
      <c r="D3823" s="3" t="s">
        <v>274</v>
      </c>
      <c r="E3823" s="3">
        <v>3</v>
      </c>
      <c r="G3823" s="19"/>
    </row>
    <row r="3824" spans="1:7" ht="12.75" x14ac:dyDescent="0.2">
      <c r="A3824" s="3"/>
      <c r="B3824" s="4" t="s">
        <v>92</v>
      </c>
      <c r="C3824" s="3" t="s">
        <v>162</v>
      </c>
      <c r="D3824" s="3" t="s">
        <v>149</v>
      </c>
      <c r="E3824" s="3">
        <v>2</v>
      </c>
      <c r="G3824" s="19"/>
    </row>
    <row r="3825" spans="1:7" ht="12.75" x14ac:dyDescent="0.2">
      <c r="A3825" s="3"/>
      <c r="B3825" s="4" t="s">
        <v>92</v>
      </c>
      <c r="C3825" s="3" t="s">
        <v>162</v>
      </c>
      <c r="D3825" s="3" t="s">
        <v>128</v>
      </c>
      <c r="E3825" s="3">
        <v>197</v>
      </c>
      <c r="G3825" s="19"/>
    </row>
    <row r="3826" spans="1:7" ht="12.75" x14ac:dyDescent="0.2">
      <c r="A3826" s="3"/>
      <c r="B3826" s="4" t="s">
        <v>92</v>
      </c>
      <c r="C3826" s="3" t="s">
        <v>162</v>
      </c>
      <c r="D3826" s="3" t="s">
        <v>275</v>
      </c>
      <c r="E3826" s="3">
        <v>6</v>
      </c>
      <c r="G3826" s="19"/>
    </row>
    <row r="3827" spans="1:7" ht="12.75" x14ac:dyDescent="0.2">
      <c r="A3827" s="3"/>
      <c r="B3827" s="4" t="s">
        <v>92</v>
      </c>
      <c r="C3827" s="3" t="s">
        <v>162</v>
      </c>
      <c r="D3827" s="3" t="s">
        <v>305</v>
      </c>
      <c r="E3827" s="3">
        <v>6</v>
      </c>
      <c r="G3827" s="19"/>
    </row>
    <row r="3828" spans="1:7" ht="12.75" x14ac:dyDescent="0.2">
      <c r="A3828" s="3"/>
      <c r="B3828" s="4" t="s">
        <v>92</v>
      </c>
      <c r="C3828" s="3" t="s">
        <v>162</v>
      </c>
      <c r="D3828" s="3" t="s">
        <v>14</v>
      </c>
      <c r="E3828" s="3">
        <v>30</v>
      </c>
      <c r="G3828" s="19"/>
    </row>
    <row r="3829" spans="1:7" ht="12.75" x14ac:dyDescent="0.2">
      <c r="A3829" s="3"/>
      <c r="B3829" s="4" t="s">
        <v>92</v>
      </c>
      <c r="C3829" s="3" t="s">
        <v>162</v>
      </c>
      <c r="D3829" s="3" t="s">
        <v>138</v>
      </c>
      <c r="E3829" s="3">
        <v>7</v>
      </c>
      <c r="F3829">
        <f>SUM(E3822:E3829)</f>
        <v>512</v>
      </c>
      <c r="G3829" s="19"/>
    </row>
    <row r="3830" spans="1:7" ht="12.75" x14ac:dyDescent="0.2">
      <c r="A3830" s="3"/>
      <c r="B3830" s="4" t="s">
        <v>92</v>
      </c>
      <c r="C3830" s="3" t="s">
        <v>161</v>
      </c>
      <c r="D3830" s="3" t="s">
        <v>3</v>
      </c>
      <c r="E3830" s="3">
        <v>219</v>
      </c>
      <c r="G3830" s="19"/>
    </row>
    <row r="3831" spans="1:7" ht="12.75" x14ac:dyDescent="0.2">
      <c r="A3831" s="3"/>
      <c r="B3831" s="4" t="s">
        <v>92</v>
      </c>
      <c r="C3831" s="3" t="s">
        <v>161</v>
      </c>
      <c r="D3831" s="3" t="s">
        <v>274</v>
      </c>
      <c r="E3831" s="3">
        <v>4</v>
      </c>
      <c r="G3831" s="19"/>
    </row>
    <row r="3832" spans="1:7" ht="12.75" x14ac:dyDescent="0.2">
      <c r="A3832" s="3"/>
      <c r="B3832" s="4" t="s">
        <v>92</v>
      </c>
      <c r="C3832" s="3" t="s">
        <v>161</v>
      </c>
      <c r="D3832" s="3" t="s">
        <v>149</v>
      </c>
      <c r="E3832" s="3">
        <v>2</v>
      </c>
      <c r="G3832" s="19"/>
    </row>
    <row r="3833" spans="1:7" ht="12.75" x14ac:dyDescent="0.2">
      <c r="A3833" s="3"/>
      <c r="B3833" s="4" t="s">
        <v>92</v>
      </c>
      <c r="C3833" s="3" t="s">
        <v>161</v>
      </c>
      <c r="D3833" s="3" t="s">
        <v>128</v>
      </c>
      <c r="E3833" s="3">
        <v>189</v>
      </c>
      <c r="G3833" s="19"/>
    </row>
    <row r="3834" spans="1:7" ht="12.75" x14ac:dyDescent="0.2">
      <c r="A3834" s="3"/>
      <c r="B3834" s="4" t="s">
        <v>92</v>
      </c>
      <c r="C3834" s="3" t="s">
        <v>161</v>
      </c>
      <c r="D3834" s="3" t="s">
        <v>275</v>
      </c>
      <c r="E3834" s="3">
        <v>31</v>
      </c>
      <c r="G3834" s="19"/>
    </row>
    <row r="3835" spans="1:7" ht="12.75" x14ac:dyDescent="0.2">
      <c r="A3835" s="3"/>
      <c r="B3835" s="4" t="s">
        <v>92</v>
      </c>
      <c r="C3835" s="3" t="s">
        <v>161</v>
      </c>
      <c r="D3835" s="3" t="s">
        <v>305</v>
      </c>
      <c r="E3835" s="3">
        <v>7</v>
      </c>
      <c r="G3835" s="19"/>
    </row>
    <row r="3836" spans="1:7" ht="12.75" x14ac:dyDescent="0.2">
      <c r="A3836" s="3"/>
      <c r="B3836" s="4" t="s">
        <v>92</v>
      </c>
      <c r="C3836" s="3" t="s">
        <v>161</v>
      </c>
      <c r="D3836" s="3" t="s">
        <v>14</v>
      </c>
      <c r="E3836" s="3">
        <v>56</v>
      </c>
      <c r="G3836" s="19"/>
    </row>
    <row r="3837" spans="1:7" ht="12.75" x14ac:dyDescent="0.2">
      <c r="A3837" s="3"/>
      <c r="B3837" s="4" t="s">
        <v>92</v>
      </c>
      <c r="C3837" s="3" t="s">
        <v>161</v>
      </c>
      <c r="D3837" s="3" t="s">
        <v>138</v>
      </c>
      <c r="E3837" s="3">
        <v>4</v>
      </c>
      <c r="F3837">
        <f>SUM(E3830:E3837)</f>
        <v>512</v>
      </c>
      <c r="G3837" s="19"/>
    </row>
    <row r="3838" spans="1:7" ht="12.75" x14ac:dyDescent="0.2">
      <c r="A3838" s="3"/>
      <c r="B3838" s="4" t="s">
        <v>61</v>
      </c>
      <c r="C3838" s="3" t="s">
        <v>162</v>
      </c>
      <c r="D3838" s="3" t="s">
        <v>3</v>
      </c>
      <c r="E3838" s="3">
        <v>1010</v>
      </c>
      <c r="G3838" s="19"/>
    </row>
    <row r="3839" spans="1:7" ht="12.75" x14ac:dyDescent="0.2">
      <c r="A3839" s="3"/>
      <c r="B3839" s="4" t="s">
        <v>61</v>
      </c>
      <c r="C3839" s="3" t="s">
        <v>162</v>
      </c>
      <c r="D3839" s="3" t="s">
        <v>274</v>
      </c>
      <c r="E3839" s="3">
        <v>6</v>
      </c>
      <c r="G3839" s="19"/>
    </row>
    <row r="3840" spans="1:7" ht="12.75" x14ac:dyDescent="0.2">
      <c r="A3840" s="3"/>
      <c r="B3840" s="4" t="s">
        <v>61</v>
      </c>
      <c r="C3840" s="3" t="s">
        <v>162</v>
      </c>
      <c r="D3840" s="3" t="s">
        <v>315</v>
      </c>
      <c r="E3840" s="3">
        <v>5</v>
      </c>
      <c r="G3840" s="19"/>
    </row>
    <row r="3841" spans="1:7" ht="12.75" x14ac:dyDescent="0.2">
      <c r="A3841" s="3"/>
      <c r="B3841" s="4" t="s">
        <v>61</v>
      </c>
      <c r="C3841" s="3" t="s">
        <v>162</v>
      </c>
      <c r="D3841" s="3" t="s">
        <v>149</v>
      </c>
      <c r="E3841" s="3">
        <v>25</v>
      </c>
      <c r="G3841" s="19"/>
    </row>
    <row r="3842" spans="1:7" ht="12.75" x14ac:dyDescent="0.2">
      <c r="A3842" s="3"/>
      <c r="B3842" s="4" t="s">
        <v>61</v>
      </c>
      <c r="C3842" s="3" t="s">
        <v>162</v>
      </c>
      <c r="D3842" s="3" t="s">
        <v>128</v>
      </c>
      <c r="E3842" s="3">
        <v>857</v>
      </c>
      <c r="G3842" s="19"/>
    </row>
    <row r="3843" spans="1:7" ht="12.75" x14ac:dyDescent="0.2">
      <c r="A3843" s="3"/>
      <c r="B3843" s="4" t="s">
        <v>61</v>
      </c>
      <c r="C3843" s="3" t="s">
        <v>162</v>
      </c>
      <c r="D3843" s="3" t="s">
        <v>275</v>
      </c>
      <c r="E3843" s="3">
        <v>5</v>
      </c>
      <c r="G3843" s="19"/>
    </row>
    <row r="3844" spans="1:7" ht="12.75" x14ac:dyDescent="0.2">
      <c r="A3844" s="3"/>
      <c r="B3844" s="4" t="s">
        <v>61</v>
      </c>
      <c r="C3844" s="3" t="s">
        <v>162</v>
      </c>
      <c r="D3844" s="3" t="s">
        <v>305</v>
      </c>
      <c r="E3844" s="3">
        <v>39</v>
      </c>
      <c r="G3844" s="19"/>
    </row>
    <row r="3845" spans="1:7" ht="12.75" x14ac:dyDescent="0.2">
      <c r="A3845" s="3"/>
      <c r="B3845" s="4" t="s">
        <v>61</v>
      </c>
      <c r="C3845" s="3" t="s">
        <v>162</v>
      </c>
      <c r="D3845" s="3" t="s">
        <v>14</v>
      </c>
      <c r="E3845" s="3">
        <v>172</v>
      </c>
      <c r="G3845" s="19"/>
    </row>
    <row r="3846" spans="1:7" ht="12.75" x14ac:dyDescent="0.2">
      <c r="A3846" s="3"/>
      <c r="B3846" s="4" t="s">
        <v>61</v>
      </c>
      <c r="C3846" s="3" t="s">
        <v>162</v>
      </c>
      <c r="D3846" s="3" t="s">
        <v>138</v>
      </c>
      <c r="E3846" s="3">
        <v>4</v>
      </c>
      <c r="F3846">
        <f>SUM(E3838:E3846)</f>
        <v>2123</v>
      </c>
      <c r="G3846" s="19"/>
    </row>
    <row r="3847" spans="1:7" ht="12.75" x14ac:dyDescent="0.2">
      <c r="A3847" s="3"/>
      <c r="B3847" s="4" t="s">
        <v>61</v>
      </c>
      <c r="C3847" s="3" t="s">
        <v>161</v>
      </c>
      <c r="D3847" s="3" t="s">
        <v>3</v>
      </c>
      <c r="E3847" s="3">
        <v>949</v>
      </c>
      <c r="G3847" s="19"/>
    </row>
    <row r="3848" spans="1:7" ht="12.75" x14ac:dyDescent="0.2">
      <c r="A3848" s="3"/>
      <c r="B3848" s="4" t="s">
        <v>61</v>
      </c>
      <c r="C3848" s="3" t="s">
        <v>161</v>
      </c>
      <c r="D3848" s="3" t="s">
        <v>274</v>
      </c>
      <c r="E3848" s="3">
        <v>7</v>
      </c>
      <c r="G3848" s="19"/>
    </row>
    <row r="3849" spans="1:7" ht="12.75" x14ac:dyDescent="0.2">
      <c r="A3849" s="3"/>
      <c r="B3849" s="4" t="s">
        <v>61</v>
      </c>
      <c r="C3849" s="3" t="s">
        <v>161</v>
      </c>
      <c r="D3849" s="3" t="s">
        <v>315</v>
      </c>
      <c r="E3849" s="3">
        <v>8</v>
      </c>
      <c r="G3849" s="19"/>
    </row>
    <row r="3850" spans="1:7" ht="12.75" x14ac:dyDescent="0.2">
      <c r="A3850" s="3"/>
      <c r="B3850" s="4" t="s">
        <v>61</v>
      </c>
      <c r="C3850" s="3" t="s">
        <v>161</v>
      </c>
      <c r="D3850" s="3" t="s">
        <v>149</v>
      </c>
      <c r="E3850" s="3">
        <v>21</v>
      </c>
      <c r="G3850" s="19"/>
    </row>
    <row r="3851" spans="1:7" ht="12.75" x14ac:dyDescent="0.2">
      <c r="A3851" s="3"/>
      <c r="B3851" s="4" t="s">
        <v>61</v>
      </c>
      <c r="C3851" s="3" t="s">
        <v>161</v>
      </c>
      <c r="D3851" s="3" t="s">
        <v>128</v>
      </c>
      <c r="E3851" s="3">
        <v>846</v>
      </c>
      <c r="G3851" s="19"/>
    </row>
    <row r="3852" spans="1:7" ht="12.75" x14ac:dyDescent="0.2">
      <c r="A3852" s="3"/>
      <c r="B3852" s="4" t="s">
        <v>61</v>
      </c>
      <c r="C3852" s="3" t="s">
        <v>161</v>
      </c>
      <c r="D3852" s="3" t="s">
        <v>275</v>
      </c>
      <c r="E3852" s="3">
        <v>6</v>
      </c>
      <c r="G3852" s="19"/>
    </row>
    <row r="3853" spans="1:7" ht="12.75" x14ac:dyDescent="0.2">
      <c r="A3853" s="3"/>
      <c r="B3853" s="4" t="s">
        <v>61</v>
      </c>
      <c r="C3853" s="3" t="s">
        <v>161</v>
      </c>
      <c r="D3853" s="3" t="s">
        <v>305</v>
      </c>
      <c r="E3853" s="3">
        <v>44</v>
      </c>
      <c r="G3853" s="19"/>
    </row>
    <row r="3854" spans="1:7" ht="12.75" x14ac:dyDescent="0.2">
      <c r="A3854" s="3"/>
      <c r="B3854" s="4" t="s">
        <v>61</v>
      </c>
      <c r="C3854" s="3" t="s">
        <v>161</v>
      </c>
      <c r="D3854" s="3" t="s">
        <v>14</v>
      </c>
      <c r="E3854" s="3">
        <v>238</v>
      </c>
      <c r="G3854" s="19"/>
    </row>
    <row r="3855" spans="1:7" ht="12.75" x14ac:dyDescent="0.2">
      <c r="A3855" s="3"/>
      <c r="B3855" s="4" t="s">
        <v>61</v>
      </c>
      <c r="C3855" s="3" t="s">
        <v>161</v>
      </c>
      <c r="D3855" s="3" t="s">
        <v>138</v>
      </c>
      <c r="E3855" s="3">
        <v>4</v>
      </c>
      <c r="F3855">
        <f>SUM(E3847:E3855)</f>
        <v>2123</v>
      </c>
      <c r="G3855" s="19"/>
    </row>
    <row r="3856" spans="1:7" ht="12.75" x14ac:dyDescent="0.2">
      <c r="A3856" s="3"/>
      <c r="B3856" s="4"/>
      <c r="G3856" s="19"/>
    </row>
    <row r="3857" spans="1:7" ht="12.75" x14ac:dyDescent="0.2">
      <c r="A3857" s="3"/>
      <c r="B3857" s="4"/>
      <c r="G3857" s="19"/>
    </row>
    <row r="3858" spans="1:7" ht="12.75" x14ac:dyDescent="0.2">
      <c r="A3858" s="3"/>
      <c r="B3858" s="4"/>
      <c r="G3858" s="19"/>
    </row>
    <row r="3859" spans="1:7" ht="12.75" x14ac:dyDescent="0.2">
      <c r="A3859" s="3"/>
      <c r="B3859" s="4"/>
      <c r="G3859" s="19"/>
    </row>
    <row r="3860" spans="1:7" ht="12.75" x14ac:dyDescent="0.2">
      <c r="A3860" s="3"/>
      <c r="B3860" s="4"/>
      <c r="G3860" s="19"/>
    </row>
    <row r="3861" spans="1:7" ht="12.75" x14ac:dyDescent="0.2">
      <c r="A3861" s="3"/>
      <c r="B3861" s="4"/>
      <c r="G3861" s="19"/>
    </row>
    <row r="3862" spans="1:7" ht="12.75" x14ac:dyDescent="0.2">
      <c r="A3862" s="3"/>
      <c r="B3862" s="4"/>
      <c r="G3862" s="19"/>
    </row>
    <row r="3863" spans="1:7" ht="12.75" x14ac:dyDescent="0.2">
      <c r="A3863" s="3"/>
      <c r="B3863" s="4"/>
      <c r="G3863" s="19"/>
    </row>
    <row r="3864" spans="1:7" ht="12.75" x14ac:dyDescent="0.2">
      <c r="A3864" s="3"/>
      <c r="B3864" s="4"/>
      <c r="G3864" s="19"/>
    </row>
    <row r="3865" spans="1:7" ht="12.75" x14ac:dyDescent="0.2">
      <c r="A3865" s="3"/>
      <c r="B3865" s="4"/>
      <c r="G3865" s="19"/>
    </row>
    <row r="3866" spans="1:7" ht="12.75" x14ac:dyDescent="0.2">
      <c r="A3866" s="3"/>
      <c r="B3866" s="4"/>
      <c r="G3866" s="19"/>
    </row>
    <row r="3867" spans="1:7" ht="12.75" x14ac:dyDescent="0.2">
      <c r="A3867" s="3"/>
      <c r="B3867" s="4"/>
      <c r="G3867" s="19"/>
    </row>
    <row r="3868" spans="1:7" ht="12.75" x14ac:dyDescent="0.2">
      <c r="A3868" s="3"/>
      <c r="B3868" s="4"/>
      <c r="G3868" s="19"/>
    </row>
    <row r="3869" spans="1:7" ht="12.75" x14ac:dyDescent="0.2">
      <c r="A3869" s="3"/>
      <c r="B3869" s="4"/>
      <c r="G3869" s="19"/>
    </row>
    <row r="3870" spans="1:7" ht="12.75" x14ac:dyDescent="0.2">
      <c r="A3870" s="3"/>
      <c r="B3870" s="4"/>
      <c r="G3870" s="19"/>
    </row>
    <row r="3871" spans="1:7" ht="12.75" x14ac:dyDescent="0.2">
      <c r="A3871" s="3"/>
      <c r="B3871" s="4"/>
      <c r="G3871" s="19"/>
    </row>
    <row r="3872" spans="1:7" ht="12.75" x14ac:dyDescent="0.2">
      <c r="A3872" s="3"/>
      <c r="B3872" s="4"/>
      <c r="G3872" s="19"/>
    </row>
    <row r="3873" spans="1:7" ht="12.75" x14ac:dyDescent="0.2">
      <c r="A3873" s="3"/>
      <c r="B3873" s="4"/>
      <c r="G3873" s="19"/>
    </row>
    <row r="3874" spans="1:7" ht="12.75" x14ac:dyDescent="0.2">
      <c r="A3874" s="3"/>
      <c r="B3874" s="4"/>
      <c r="G3874" s="19"/>
    </row>
    <row r="3875" spans="1:7" ht="12.75" x14ac:dyDescent="0.2">
      <c r="A3875" s="3"/>
      <c r="B3875" s="4"/>
      <c r="G3875" s="19"/>
    </row>
    <row r="3876" spans="1:7" ht="12.75" x14ac:dyDescent="0.2">
      <c r="A3876" s="3"/>
      <c r="B3876" s="4"/>
      <c r="G3876" s="19"/>
    </row>
    <row r="3877" spans="1:7" ht="12.75" x14ac:dyDescent="0.2">
      <c r="A3877" s="3"/>
      <c r="B3877" s="4"/>
      <c r="G3877" s="19"/>
    </row>
    <row r="3878" spans="1:7" ht="12.75" x14ac:dyDescent="0.2">
      <c r="A3878" s="3"/>
      <c r="B3878" s="4"/>
      <c r="G3878" s="19"/>
    </row>
    <row r="3879" spans="1:7" ht="12.75" x14ac:dyDescent="0.2">
      <c r="A3879" s="3"/>
      <c r="B3879" s="4"/>
      <c r="G3879" s="19"/>
    </row>
    <row r="3880" spans="1:7" ht="12.75" x14ac:dyDescent="0.2">
      <c r="A3880" s="3"/>
      <c r="B3880" s="4"/>
      <c r="G3880" s="19"/>
    </row>
    <row r="3881" spans="1:7" ht="12.75" x14ac:dyDescent="0.2">
      <c r="A3881" s="3"/>
      <c r="B3881" s="4"/>
      <c r="G3881" s="19"/>
    </row>
    <row r="3882" spans="1:7" ht="12.75" x14ac:dyDescent="0.2">
      <c r="A3882" s="3"/>
      <c r="B3882" s="4"/>
      <c r="G3882" s="19"/>
    </row>
    <row r="3883" spans="1:7" ht="12.75" x14ac:dyDescent="0.2">
      <c r="A3883" s="3"/>
      <c r="B3883" s="4"/>
      <c r="G3883" s="19"/>
    </row>
    <row r="3884" spans="1:7" ht="12.75" x14ac:dyDescent="0.2">
      <c r="A3884" s="3"/>
      <c r="B3884" s="4"/>
      <c r="G3884" s="19"/>
    </row>
    <row r="3885" spans="1:7" ht="12.75" x14ac:dyDescent="0.2">
      <c r="A3885" s="3"/>
      <c r="B3885" s="4"/>
      <c r="G3885" s="19"/>
    </row>
    <row r="3886" spans="1:7" ht="12.75" x14ac:dyDescent="0.2">
      <c r="A3886" s="3"/>
      <c r="B3886" s="4"/>
      <c r="G3886" s="19"/>
    </row>
    <row r="3887" spans="1:7" ht="12.75" x14ac:dyDescent="0.2">
      <c r="A3887" s="3"/>
      <c r="B3887" s="4"/>
      <c r="G3887" s="19"/>
    </row>
    <row r="3888" spans="1:7" ht="12.75" x14ac:dyDescent="0.2">
      <c r="A3888" s="3"/>
      <c r="B3888" s="4"/>
      <c r="G3888" s="19"/>
    </row>
    <row r="3889" spans="1:7" ht="12.75" x14ac:dyDescent="0.2">
      <c r="A3889" s="3"/>
      <c r="B3889" s="4"/>
      <c r="G3889" s="19"/>
    </row>
    <row r="3890" spans="1:7" ht="12.75" x14ac:dyDescent="0.2">
      <c r="A3890" s="3"/>
      <c r="B3890" s="4"/>
      <c r="G3890" s="19"/>
    </row>
    <row r="3891" spans="1:7" ht="12.75" x14ac:dyDescent="0.2">
      <c r="A3891" s="3"/>
      <c r="B3891" s="4"/>
      <c r="G3891" s="19"/>
    </row>
    <row r="3892" spans="1:7" ht="12.75" x14ac:dyDescent="0.2">
      <c r="A3892" s="3"/>
      <c r="B3892" s="4"/>
      <c r="G3892" s="19"/>
    </row>
    <row r="3893" spans="1:7" ht="12.75" x14ac:dyDescent="0.2">
      <c r="A3893" s="3"/>
      <c r="B3893" s="4"/>
      <c r="G3893" s="19"/>
    </row>
    <row r="3894" spans="1:7" ht="12.75" x14ac:dyDescent="0.2">
      <c r="A3894" s="3"/>
      <c r="B3894" s="4"/>
      <c r="G3894" s="19"/>
    </row>
    <row r="3895" spans="1:7" ht="12.75" x14ac:dyDescent="0.2">
      <c r="A3895" s="3"/>
      <c r="B3895" s="4"/>
      <c r="G3895" s="19"/>
    </row>
    <row r="3896" spans="1:7" ht="12.75" x14ac:dyDescent="0.2">
      <c r="A3896" s="3"/>
      <c r="B3896" s="4"/>
      <c r="G3896" s="19"/>
    </row>
    <row r="3897" spans="1:7" ht="12.75" x14ac:dyDescent="0.2">
      <c r="A3897" s="3"/>
      <c r="B3897" s="4"/>
      <c r="G3897" s="19"/>
    </row>
    <row r="3898" spans="1:7" ht="12.75" x14ac:dyDescent="0.2">
      <c r="A3898" s="3"/>
      <c r="B3898" s="4"/>
      <c r="G3898" s="19"/>
    </row>
    <row r="3899" spans="1:7" ht="12.75" x14ac:dyDescent="0.2">
      <c r="A3899" s="3"/>
      <c r="B3899" s="4"/>
      <c r="G3899" s="19"/>
    </row>
    <row r="3900" spans="1:7" ht="12.75" x14ac:dyDescent="0.2">
      <c r="A3900" s="3"/>
      <c r="B3900" s="4"/>
      <c r="G3900" s="19"/>
    </row>
    <row r="3901" spans="1:7" ht="12.75" x14ac:dyDescent="0.2">
      <c r="A3901" s="3"/>
      <c r="B3901" s="4"/>
      <c r="G3901" s="19"/>
    </row>
    <row r="3902" spans="1:7" ht="12.75" x14ac:dyDescent="0.2">
      <c r="A3902" s="3"/>
      <c r="B3902" s="4"/>
      <c r="G3902" s="19"/>
    </row>
    <row r="3903" spans="1:7" ht="12.75" x14ac:dyDescent="0.2">
      <c r="A3903" s="3"/>
      <c r="B3903" s="4"/>
      <c r="G3903" s="19"/>
    </row>
    <row r="3904" spans="1:7" ht="12.75" x14ac:dyDescent="0.2">
      <c r="A3904" s="3"/>
      <c r="B3904" s="4"/>
      <c r="G3904" s="19"/>
    </row>
    <row r="3905" spans="1:7" ht="12.75" x14ac:dyDescent="0.2">
      <c r="A3905" s="3"/>
      <c r="B3905" s="4"/>
      <c r="G3905" s="19"/>
    </row>
    <row r="3906" spans="1:7" ht="12.75" x14ac:dyDescent="0.2">
      <c r="A3906" s="3"/>
      <c r="B3906" s="4"/>
      <c r="G3906" s="19"/>
    </row>
    <row r="3907" spans="1:7" ht="12.75" x14ac:dyDescent="0.2">
      <c r="A3907" s="3"/>
      <c r="B3907" s="4"/>
      <c r="G3907" s="19"/>
    </row>
    <row r="3908" spans="1:7" ht="12.75" x14ac:dyDescent="0.2">
      <c r="A3908" s="3"/>
      <c r="B3908" s="4"/>
      <c r="G3908" s="19"/>
    </row>
    <row r="3909" spans="1:7" ht="12.75" x14ac:dyDescent="0.2">
      <c r="A3909" s="3"/>
      <c r="B3909" s="4"/>
      <c r="G3909" s="19"/>
    </row>
    <row r="3910" spans="1:7" ht="12.75" x14ac:dyDescent="0.2">
      <c r="A3910" s="3"/>
      <c r="B3910" s="4"/>
      <c r="G3910" s="19"/>
    </row>
    <row r="3911" spans="1:7" ht="12.75" x14ac:dyDescent="0.2">
      <c r="A3911" s="3"/>
      <c r="B3911" s="4"/>
      <c r="G3911" s="19"/>
    </row>
    <row r="3912" spans="1:7" ht="12.75" x14ac:dyDescent="0.2">
      <c r="A3912" s="3"/>
      <c r="B3912" s="4"/>
      <c r="G3912" s="19"/>
    </row>
    <row r="3913" spans="1:7" ht="12.75" x14ac:dyDescent="0.2">
      <c r="A3913" s="3"/>
      <c r="B3913" s="4"/>
      <c r="G3913" s="19"/>
    </row>
    <row r="3914" spans="1:7" ht="12.75" x14ac:dyDescent="0.2">
      <c r="A3914" s="3"/>
      <c r="B3914" s="4"/>
      <c r="G3914" s="19"/>
    </row>
    <row r="3915" spans="1:7" ht="12.75" x14ac:dyDescent="0.2">
      <c r="A3915" s="3"/>
      <c r="B3915" s="4"/>
      <c r="G3915" s="19"/>
    </row>
    <row r="3916" spans="1:7" ht="12.75" x14ac:dyDescent="0.2">
      <c r="A3916" s="3"/>
      <c r="B3916" s="4"/>
      <c r="G3916" s="19"/>
    </row>
    <row r="3917" spans="1:7" ht="12.75" x14ac:dyDescent="0.2">
      <c r="A3917" s="3"/>
      <c r="B3917" s="4"/>
      <c r="G3917" s="19"/>
    </row>
    <row r="3918" spans="1:7" ht="12.75" x14ac:dyDescent="0.2">
      <c r="A3918" s="3"/>
      <c r="B3918" s="4"/>
      <c r="G3918" s="19"/>
    </row>
    <row r="3919" spans="1:7" ht="12.75" x14ac:dyDescent="0.2">
      <c r="A3919" s="3"/>
      <c r="B3919" s="4"/>
      <c r="G3919" s="19"/>
    </row>
    <row r="3920" spans="1:7" ht="12.75" x14ac:dyDescent="0.2">
      <c r="A3920" s="3"/>
      <c r="B3920" s="4"/>
      <c r="G3920" s="19"/>
    </row>
    <row r="3921" spans="1:7" ht="12.75" x14ac:dyDescent="0.2">
      <c r="A3921" s="3"/>
      <c r="B3921" s="4"/>
      <c r="G3921" s="19"/>
    </row>
    <row r="3922" spans="1:7" ht="12.75" x14ac:dyDescent="0.2">
      <c r="A3922" s="3"/>
      <c r="B3922" s="4"/>
      <c r="G3922" s="19"/>
    </row>
    <row r="3923" spans="1:7" ht="12.75" x14ac:dyDescent="0.2">
      <c r="A3923" s="3"/>
      <c r="B3923" s="4"/>
      <c r="G3923" s="19"/>
    </row>
    <row r="3924" spans="1:7" ht="12.75" x14ac:dyDescent="0.2">
      <c r="A3924" s="3"/>
      <c r="B3924" s="4"/>
      <c r="G3924" s="19"/>
    </row>
    <row r="3925" spans="1:7" ht="12.75" x14ac:dyDescent="0.2">
      <c r="A3925" s="3"/>
      <c r="B3925" s="4"/>
      <c r="G3925" s="19"/>
    </row>
    <row r="3926" spans="1:7" ht="12.75" x14ac:dyDescent="0.2">
      <c r="A3926" s="3"/>
      <c r="B3926" s="4"/>
      <c r="G3926" s="19"/>
    </row>
    <row r="3927" spans="1:7" ht="12.75" x14ac:dyDescent="0.2">
      <c r="A3927" s="3"/>
      <c r="B3927" s="4"/>
      <c r="G3927" s="19"/>
    </row>
    <row r="3928" spans="1:7" ht="12.75" x14ac:dyDescent="0.2">
      <c r="A3928" s="3"/>
      <c r="B3928" s="4"/>
      <c r="G3928" s="19"/>
    </row>
    <row r="3929" spans="1:7" ht="12.75" x14ac:dyDescent="0.2">
      <c r="A3929" s="3"/>
      <c r="B3929" s="4"/>
      <c r="G3929" s="19"/>
    </row>
    <row r="3930" spans="1:7" ht="12.75" x14ac:dyDescent="0.2">
      <c r="A3930" s="3"/>
      <c r="B3930" s="4"/>
      <c r="G3930" s="19"/>
    </row>
    <row r="3931" spans="1:7" ht="12.75" x14ac:dyDescent="0.2">
      <c r="A3931" s="3"/>
      <c r="B3931" s="4"/>
      <c r="G3931" s="19"/>
    </row>
    <row r="3932" spans="1:7" ht="12.75" x14ac:dyDescent="0.2">
      <c r="A3932" s="3"/>
      <c r="B3932" s="4"/>
      <c r="G3932" s="19"/>
    </row>
    <row r="3933" spans="1:7" ht="12.75" x14ac:dyDescent="0.2">
      <c r="A3933" s="3"/>
      <c r="B3933" s="4"/>
      <c r="G3933" s="19"/>
    </row>
    <row r="3934" spans="1:7" ht="12.75" x14ac:dyDescent="0.2">
      <c r="A3934" s="3"/>
      <c r="B3934" s="4"/>
      <c r="G3934" s="19"/>
    </row>
    <row r="3935" spans="1:7" ht="12.75" x14ac:dyDescent="0.2">
      <c r="A3935" s="3"/>
      <c r="B3935" s="4"/>
      <c r="G3935" s="19"/>
    </row>
    <row r="3936" spans="1:7" ht="12.75" x14ac:dyDescent="0.2">
      <c r="A3936" s="3"/>
      <c r="B3936" s="4"/>
      <c r="G3936" s="19"/>
    </row>
    <row r="3937" spans="1:7" ht="12.75" x14ac:dyDescent="0.2">
      <c r="A3937" s="3"/>
      <c r="B3937" s="4"/>
      <c r="G3937" s="19"/>
    </row>
    <row r="3938" spans="1:7" ht="12.75" x14ac:dyDescent="0.2">
      <c r="A3938" s="3"/>
      <c r="B3938" s="4"/>
      <c r="G3938" s="19"/>
    </row>
    <row r="3939" spans="1:7" ht="12.75" x14ac:dyDescent="0.2">
      <c r="A3939" s="3"/>
      <c r="B3939" s="4"/>
      <c r="G3939" s="19"/>
    </row>
    <row r="3940" spans="1:7" ht="12.75" x14ac:dyDescent="0.2">
      <c r="A3940" s="3"/>
      <c r="B3940" s="4"/>
      <c r="G3940" s="19"/>
    </row>
    <row r="3941" spans="1:7" ht="12.75" x14ac:dyDescent="0.2">
      <c r="A3941" s="3"/>
      <c r="B3941" s="4"/>
      <c r="G3941" s="19"/>
    </row>
    <row r="3942" spans="1:7" ht="12.75" x14ac:dyDescent="0.2">
      <c r="A3942" s="3"/>
      <c r="B3942" s="4"/>
      <c r="G3942" s="19"/>
    </row>
    <row r="3943" spans="1:7" ht="12.75" x14ac:dyDescent="0.2">
      <c r="A3943" s="3"/>
      <c r="B3943" s="4"/>
      <c r="G3943" s="19"/>
    </row>
    <row r="3944" spans="1:7" ht="12.75" x14ac:dyDescent="0.2">
      <c r="A3944" s="3"/>
      <c r="B3944" s="4"/>
      <c r="G3944" s="19"/>
    </row>
    <row r="3945" spans="1:7" ht="12.75" x14ac:dyDescent="0.2">
      <c r="A3945" s="3"/>
      <c r="B3945" s="4"/>
      <c r="G3945" s="19"/>
    </row>
    <row r="3946" spans="1:7" ht="12.75" x14ac:dyDescent="0.2">
      <c r="A3946" s="3"/>
      <c r="B3946" s="4"/>
      <c r="G3946" s="19"/>
    </row>
    <row r="3947" spans="1:7" ht="12.75" x14ac:dyDescent="0.2">
      <c r="A3947" s="3"/>
      <c r="B3947" s="4"/>
      <c r="G3947" s="19"/>
    </row>
    <row r="3948" spans="1:7" ht="12.75" x14ac:dyDescent="0.2">
      <c r="A3948" s="3"/>
      <c r="B3948" s="4"/>
      <c r="G3948" s="19"/>
    </row>
    <row r="3949" spans="1:7" ht="12.75" x14ac:dyDescent="0.2">
      <c r="A3949" s="3"/>
      <c r="B3949" s="4"/>
      <c r="G3949" s="19"/>
    </row>
    <row r="3950" spans="1:7" ht="12.75" x14ac:dyDescent="0.2">
      <c r="A3950" s="3"/>
      <c r="B3950" s="4"/>
      <c r="G3950" s="19"/>
    </row>
    <row r="3951" spans="1:7" ht="12.75" x14ac:dyDescent="0.2">
      <c r="A3951" s="3"/>
      <c r="B3951" s="4"/>
      <c r="G3951" s="19"/>
    </row>
    <row r="3952" spans="1:7" ht="12.75" x14ac:dyDescent="0.2">
      <c r="A3952" s="3"/>
      <c r="B3952" s="4"/>
      <c r="G3952" s="19"/>
    </row>
    <row r="3953" spans="1:7" ht="12.75" x14ac:dyDescent="0.2">
      <c r="A3953" s="3"/>
      <c r="B3953" s="4"/>
      <c r="G3953" s="19"/>
    </row>
    <row r="3954" spans="1:7" ht="12.75" x14ac:dyDescent="0.2">
      <c r="A3954" s="3"/>
      <c r="B3954" s="4"/>
      <c r="G3954" s="19"/>
    </row>
    <row r="3955" spans="1:7" ht="12.75" x14ac:dyDescent="0.2">
      <c r="A3955" s="3"/>
      <c r="B3955" s="4"/>
      <c r="G3955" s="19"/>
    </row>
    <row r="3956" spans="1:7" ht="12.75" x14ac:dyDescent="0.2">
      <c r="A3956" s="3"/>
      <c r="B3956" s="4"/>
      <c r="G3956" s="19"/>
    </row>
    <row r="3957" spans="1:7" ht="12.75" x14ac:dyDescent="0.2">
      <c r="A3957" s="3"/>
      <c r="B3957" s="4"/>
      <c r="G3957" s="19"/>
    </row>
    <row r="3958" spans="1:7" ht="12.75" x14ac:dyDescent="0.2">
      <c r="A3958" s="3"/>
      <c r="B3958" s="4"/>
      <c r="G3958" s="19"/>
    </row>
    <row r="3959" spans="1:7" ht="12.75" x14ac:dyDescent="0.2">
      <c r="A3959" s="3"/>
      <c r="B3959" s="4"/>
      <c r="G3959" s="19"/>
    </row>
    <row r="3960" spans="1:7" ht="12.75" x14ac:dyDescent="0.2">
      <c r="A3960" s="3"/>
      <c r="B3960" s="4"/>
      <c r="G3960" s="19"/>
    </row>
    <row r="3961" spans="1:7" ht="12.75" x14ac:dyDescent="0.2">
      <c r="A3961" s="3"/>
      <c r="B3961" s="4"/>
      <c r="G3961" s="19"/>
    </row>
    <row r="3962" spans="1:7" ht="12.75" x14ac:dyDescent="0.2">
      <c r="A3962" s="3"/>
      <c r="B3962" s="4"/>
      <c r="G3962" s="19"/>
    </row>
    <row r="3963" spans="1:7" ht="12.75" x14ac:dyDescent="0.2">
      <c r="A3963" s="3"/>
      <c r="B3963" s="4"/>
      <c r="G3963" s="19"/>
    </row>
    <row r="3964" spans="1:7" ht="12.75" x14ac:dyDescent="0.2">
      <c r="A3964" s="3"/>
      <c r="B3964" s="4"/>
      <c r="G3964" s="19"/>
    </row>
    <row r="3965" spans="1:7" ht="12.75" x14ac:dyDescent="0.2">
      <c r="A3965" s="3"/>
      <c r="B3965" s="4"/>
      <c r="G3965" s="19"/>
    </row>
    <row r="3966" spans="1:7" ht="12.75" x14ac:dyDescent="0.2">
      <c r="A3966" s="3"/>
      <c r="B3966" s="4"/>
      <c r="G3966" s="19"/>
    </row>
    <row r="3967" spans="1:7" ht="12.75" x14ac:dyDescent="0.2">
      <c r="A3967" s="3"/>
      <c r="B3967" s="4"/>
      <c r="G3967" s="19"/>
    </row>
    <row r="3968" spans="1:7" ht="12.75" x14ac:dyDescent="0.2">
      <c r="A3968" s="3"/>
      <c r="B3968" s="4"/>
      <c r="G3968" s="19"/>
    </row>
    <row r="3969" spans="1:7" ht="12.75" x14ac:dyDescent="0.2">
      <c r="A3969" s="3"/>
      <c r="B3969" s="4"/>
      <c r="G3969" s="19"/>
    </row>
    <row r="3970" spans="1:7" ht="12.75" x14ac:dyDescent="0.2">
      <c r="A3970" s="3"/>
      <c r="B3970" s="4"/>
      <c r="G3970" s="19"/>
    </row>
    <row r="3971" spans="1:7" ht="12.75" x14ac:dyDescent="0.2">
      <c r="A3971" s="3"/>
      <c r="B3971" s="4"/>
      <c r="G3971" s="19"/>
    </row>
    <row r="3972" spans="1:7" ht="12.75" x14ac:dyDescent="0.2">
      <c r="A3972" s="3"/>
      <c r="B3972" s="4"/>
      <c r="G3972" s="19"/>
    </row>
    <row r="3973" spans="1:7" ht="12.75" x14ac:dyDescent="0.2">
      <c r="A3973" s="3"/>
      <c r="B3973" s="4"/>
      <c r="G3973" s="19"/>
    </row>
    <row r="3974" spans="1:7" ht="12.75" x14ac:dyDescent="0.2">
      <c r="A3974" s="3"/>
      <c r="B3974" s="4"/>
      <c r="G3974" s="19"/>
    </row>
    <row r="3975" spans="1:7" ht="12.75" x14ac:dyDescent="0.2">
      <c r="A3975" s="3"/>
      <c r="B3975" s="4"/>
      <c r="G3975" s="19"/>
    </row>
    <row r="3976" spans="1:7" ht="12.75" x14ac:dyDescent="0.2">
      <c r="A3976" s="3"/>
      <c r="B3976" s="4"/>
      <c r="G3976" s="19"/>
    </row>
    <row r="3977" spans="1:7" ht="12.75" x14ac:dyDescent="0.2">
      <c r="A3977" s="3"/>
      <c r="B3977" s="4"/>
      <c r="G3977" s="19"/>
    </row>
    <row r="3978" spans="1:7" ht="12.75" x14ac:dyDescent="0.2">
      <c r="A3978" s="3"/>
      <c r="B3978" s="4"/>
      <c r="G3978" s="19"/>
    </row>
    <row r="3979" spans="1:7" ht="12.75" x14ac:dyDescent="0.2">
      <c r="A3979" s="3"/>
      <c r="B3979" s="4"/>
      <c r="G3979" s="19"/>
    </row>
    <row r="3980" spans="1:7" ht="12.75" x14ac:dyDescent="0.2">
      <c r="A3980" s="3"/>
      <c r="B3980" s="4"/>
      <c r="G3980" s="19"/>
    </row>
    <row r="3981" spans="1:7" ht="12.75" x14ac:dyDescent="0.2">
      <c r="A3981" s="3"/>
      <c r="B3981" s="4"/>
      <c r="G3981" s="19"/>
    </row>
    <row r="3982" spans="1:7" ht="12.75" x14ac:dyDescent="0.2">
      <c r="A3982" s="3"/>
      <c r="B3982" s="4"/>
      <c r="G3982" s="19"/>
    </row>
    <row r="3983" spans="1:7" ht="12.75" x14ac:dyDescent="0.2">
      <c r="A3983" s="3"/>
      <c r="B3983" s="4"/>
      <c r="G3983" s="19"/>
    </row>
    <row r="3984" spans="1:7" ht="12.75" x14ac:dyDescent="0.2">
      <c r="A3984" s="3"/>
      <c r="B3984" s="4"/>
      <c r="G3984" s="19"/>
    </row>
    <row r="3985" spans="1:7" ht="12.75" x14ac:dyDescent="0.2">
      <c r="A3985" s="3"/>
      <c r="B3985" s="4"/>
      <c r="G3985" s="19"/>
    </row>
    <row r="3986" spans="1:7" ht="12.75" x14ac:dyDescent="0.2">
      <c r="A3986" s="3"/>
      <c r="B3986" s="4"/>
      <c r="G3986" s="19"/>
    </row>
    <row r="3987" spans="1:7" ht="12.75" x14ac:dyDescent="0.2">
      <c r="A3987" s="3"/>
      <c r="B3987" s="4"/>
      <c r="G3987" s="19"/>
    </row>
    <row r="3988" spans="1:7" ht="12.75" x14ac:dyDescent="0.2">
      <c r="A3988" s="3"/>
      <c r="B3988" s="4"/>
      <c r="G3988" s="19"/>
    </row>
    <row r="3989" spans="1:7" ht="12.75" x14ac:dyDescent="0.2">
      <c r="A3989" s="3"/>
      <c r="B3989" s="4"/>
      <c r="G3989" s="19"/>
    </row>
    <row r="3990" spans="1:7" ht="12.75" x14ac:dyDescent="0.2">
      <c r="A3990" s="3"/>
      <c r="B3990" s="4"/>
      <c r="G3990" s="19"/>
    </row>
    <row r="3991" spans="1:7" ht="12.75" x14ac:dyDescent="0.2">
      <c r="A3991" s="3"/>
      <c r="B3991" s="4"/>
      <c r="G3991" s="19"/>
    </row>
    <row r="3992" spans="1:7" ht="12.75" x14ac:dyDescent="0.2">
      <c r="A3992" s="3"/>
      <c r="B3992" s="4"/>
      <c r="G3992" s="19"/>
    </row>
    <row r="3993" spans="1:7" ht="12.75" x14ac:dyDescent="0.2">
      <c r="A3993" s="3"/>
      <c r="B3993" s="4"/>
      <c r="G3993" s="19"/>
    </row>
    <row r="3994" spans="1:7" ht="12.75" x14ac:dyDescent="0.2">
      <c r="A3994" s="3"/>
      <c r="B3994" s="4"/>
      <c r="G3994" s="19"/>
    </row>
    <row r="3995" spans="1:7" ht="12.75" x14ac:dyDescent="0.2">
      <c r="A3995" s="3"/>
      <c r="B3995" s="4"/>
      <c r="G3995" s="19"/>
    </row>
    <row r="3996" spans="1:7" ht="12.75" x14ac:dyDescent="0.2">
      <c r="A3996" s="3"/>
      <c r="B3996" s="4"/>
      <c r="G3996" s="19"/>
    </row>
    <row r="3997" spans="1:7" ht="12.75" x14ac:dyDescent="0.2">
      <c r="A3997" s="3"/>
      <c r="B3997" s="4"/>
      <c r="G3997" s="19"/>
    </row>
    <row r="3998" spans="1:7" ht="12.75" x14ac:dyDescent="0.2">
      <c r="A3998" s="3"/>
      <c r="B3998" s="4"/>
      <c r="G3998" s="19"/>
    </row>
    <row r="3999" spans="1:7" ht="12.75" x14ac:dyDescent="0.2">
      <c r="A3999" s="3"/>
      <c r="B3999" s="4"/>
      <c r="G3999" s="19"/>
    </row>
    <row r="4000" spans="1:7" ht="12.75" x14ac:dyDescent="0.2">
      <c r="A4000" s="3"/>
      <c r="B4000" s="4"/>
      <c r="G4000" s="19"/>
    </row>
    <row r="4001" spans="1:7" ht="12.75" x14ac:dyDescent="0.2">
      <c r="A4001" s="3"/>
      <c r="B4001" s="4"/>
      <c r="G4001" s="19"/>
    </row>
    <row r="4002" spans="1:7" ht="12.75" x14ac:dyDescent="0.2">
      <c r="A4002" s="3"/>
      <c r="B4002" s="4"/>
      <c r="G4002" s="19"/>
    </row>
    <row r="4003" spans="1:7" ht="12.75" x14ac:dyDescent="0.2">
      <c r="A4003" s="3"/>
      <c r="B4003" s="4"/>
      <c r="G4003" s="19"/>
    </row>
    <row r="4004" spans="1:7" ht="12.75" x14ac:dyDescent="0.2">
      <c r="A4004" s="3"/>
      <c r="B4004" s="4"/>
      <c r="G4004" s="19"/>
    </row>
    <row r="4005" spans="1:7" ht="12.75" x14ac:dyDescent="0.2">
      <c r="A4005" s="3"/>
      <c r="B4005" s="4"/>
      <c r="G4005" s="19"/>
    </row>
    <row r="4006" spans="1:7" ht="12.75" x14ac:dyDescent="0.2">
      <c r="A4006" s="3"/>
      <c r="B4006" s="4"/>
      <c r="G4006" s="19"/>
    </row>
    <row r="4007" spans="1:7" ht="12.75" x14ac:dyDescent="0.2">
      <c r="A4007" s="3"/>
      <c r="B4007" s="4"/>
      <c r="G4007" s="19"/>
    </row>
    <row r="4008" spans="1:7" ht="12.75" x14ac:dyDescent="0.2">
      <c r="A4008" s="3"/>
      <c r="B4008" s="4"/>
      <c r="G4008" s="19"/>
    </row>
    <row r="4009" spans="1:7" ht="12.75" x14ac:dyDescent="0.2">
      <c r="A4009" s="3"/>
      <c r="B4009" s="4"/>
      <c r="G4009" s="19"/>
    </row>
    <row r="4010" spans="1:7" ht="12.75" x14ac:dyDescent="0.2">
      <c r="A4010" s="3"/>
      <c r="B4010" s="4"/>
      <c r="G4010" s="19"/>
    </row>
    <row r="4011" spans="1:7" ht="12.75" x14ac:dyDescent="0.2">
      <c r="A4011" s="3"/>
      <c r="B4011" s="4"/>
      <c r="G4011" s="19"/>
    </row>
    <row r="4012" spans="1:7" ht="12.75" x14ac:dyDescent="0.2">
      <c r="A4012" s="3"/>
      <c r="B4012" s="4"/>
      <c r="G4012" s="19"/>
    </row>
    <row r="4013" spans="1:7" ht="12.75" x14ac:dyDescent="0.2">
      <c r="A4013" s="3"/>
      <c r="B4013" s="4"/>
      <c r="G4013" s="19"/>
    </row>
    <row r="4014" spans="1:7" ht="12.75" x14ac:dyDescent="0.2">
      <c r="A4014" s="3"/>
      <c r="B4014" s="4"/>
      <c r="G4014" s="19"/>
    </row>
    <row r="4015" spans="1:7" ht="12.75" x14ac:dyDescent="0.2">
      <c r="A4015" s="3"/>
      <c r="B4015" s="4"/>
      <c r="G4015" s="19"/>
    </row>
    <row r="4016" spans="1:7" ht="12.75" x14ac:dyDescent="0.2">
      <c r="A4016" s="3"/>
      <c r="B4016" s="4"/>
      <c r="G4016" s="19"/>
    </row>
    <row r="4017" spans="1:7" ht="12.75" x14ac:dyDescent="0.2">
      <c r="A4017" s="3"/>
      <c r="B4017" s="4"/>
      <c r="G4017" s="19"/>
    </row>
    <row r="4018" spans="1:7" ht="12.75" x14ac:dyDescent="0.2">
      <c r="A4018" s="3"/>
      <c r="B4018" s="4"/>
      <c r="G4018" s="19"/>
    </row>
    <row r="4019" spans="1:7" ht="12.75" x14ac:dyDescent="0.2">
      <c r="A4019" s="3"/>
      <c r="B4019" s="4"/>
      <c r="G4019" s="19"/>
    </row>
    <row r="4020" spans="1:7" ht="12.75" x14ac:dyDescent="0.2">
      <c r="A4020" s="3"/>
      <c r="B4020" s="4"/>
      <c r="G4020" s="19"/>
    </row>
    <row r="4021" spans="1:7" ht="12.75" x14ac:dyDescent="0.2">
      <c r="A4021" s="3"/>
      <c r="B4021" s="4"/>
      <c r="G4021" s="19"/>
    </row>
    <row r="4022" spans="1:7" ht="12.75" x14ac:dyDescent="0.2">
      <c r="A4022" s="3"/>
      <c r="B4022" s="4"/>
      <c r="G4022" s="19"/>
    </row>
    <row r="4023" spans="1:7" ht="12.75" x14ac:dyDescent="0.2">
      <c r="A4023" s="3"/>
      <c r="B4023" s="4"/>
      <c r="G4023" s="19"/>
    </row>
    <row r="4024" spans="1:7" ht="12.75" x14ac:dyDescent="0.2">
      <c r="A4024" s="3"/>
      <c r="B4024" s="4"/>
      <c r="G4024" s="19"/>
    </row>
    <row r="4025" spans="1:7" ht="12.75" x14ac:dyDescent="0.2">
      <c r="A4025" s="3"/>
      <c r="B4025" s="4"/>
      <c r="G4025" s="19"/>
    </row>
    <row r="4026" spans="1:7" ht="12.75" x14ac:dyDescent="0.2">
      <c r="A4026" s="3"/>
      <c r="B4026" s="4"/>
      <c r="G4026" s="19"/>
    </row>
    <row r="4027" spans="1:7" ht="12.75" x14ac:dyDescent="0.2">
      <c r="A4027" s="3"/>
      <c r="B4027" s="4"/>
      <c r="G4027" s="19"/>
    </row>
    <row r="4028" spans="1:7" ht="12.75" x14ac:dyDescent="0.2">
      <c r="A4028" s="3"/>
      <c r="B4028" s="4"/>
      <c r="G4028" s="19"/>
    </row>
    <row r="4029" spans="1:7" ht="12.75" x14ac:dyDescent="0.2">
      <c r="A4029" s="3"/>
      <c r="B4029" s="4"/>
      <c r="G4029" s="19"/>
    </row>
    <row r="4030" spans="1:7" ht="12.75" x14ac:dyDescent="0.2">
      <c r="A4030" s="3"/>
      <c r="B4030" s="4"/>
      <c r="G4030" s="19"/>
    </row>
    <row r="4031" spans="1:7" ht="12.75" x14ac:dyDescent="0.2">
      <c r="A4031" s="3"/>
      <c r="B4031" s="4"/>
      <c r="G4031" s="19"/>
    </row>
    <row r="4032" spans="1:7" ht="12.75" x14ac:dyDescent="0.2">
      <c r="A4032" s="3"/>
      <c r="B4032" s="4"/>
      <c r="G4032" s="19"/>
    </row>
    <row r="4033" spans="1:7" ht="12.75" x14ac:dyDescent="0.2">
      <c r="A4033" s="3"/>
      <c r="B4033" s="4"/>
      <c r="G4033" s="19"/>
    </row>
    <row r="4034" spans="1:7" ht="12.75" x14ac:dyDescent="0.2">
      <c r="A4034" s="3"/>
      <c r="B4034" s="4"/>
      <c r="G4034" s="19"/>
    </row>
    <row r="4035" spans="1:7" ht="12.75" x14ac:dyDescent="0.2">
      <c r="A4035" s="3"/>
      <c r="B4035" s="4"/>
      <c r="G4035" s="19"/>
    </row>
    <row r="4036" spans="1:7" ht="12.75" x14ac:dyDescent="0.2">
      <c r="A4036" s="3"/>
      <c r="B4036" s="4"/>
      <c r="G4036" s="19"/>
    </row>
    <row r="4037" spans="1:7" ht="12.75" x14ac:dyDescent="0.2">
      <c r="A4037" s="3"/>
      <c r="B4037" s="4"/>
      <c r="G4037" s="19"/>
    </row>
    <row r="4038" spans="1:7" ht="12.75" x14ac:dyDescent="0.2">
      <c r="A4038" s="3"/>
      <c r="B4038" s="4"/>
      <c r="G4038" s="19"/>
    </row>
    <row r="4039" spans="1:7" ht="12.75" x14ac:dyDescent="0.2">
      <c r="A4039" s="3"/>
      <c r="B4039" s="4"/>
      <c r="G4039" s="19"/>
    </row>
    <row r="4040" spans="1:7" ht="12.75" x14ac:dyDescent="0.2">
      <c r="A4040" s="3"/>
      <c r="B4040" s="4"/>
      <c r="G4040" s="19"/>
    </row>
    <row r="4041" spans="1:7" ht="12.75" x14ac:dyDescent="0.2">
      <c r="A4041" s="3"/>
      <c r="B4041" s="4"/>
      <c r="G4041" s="19"/>
    </row>
    <row r="4042" spans="1:7" ht="12.75" x14ac:dyDescent="0.2">
      <c r="A4042" s="3"/>
      <c r="B4042" s="4"/>
      <c r="G4042" s="19"/>
    </row>
    <row r="4043" spans="1:7" ht="12.75" x14ac:dyDescent="0.2">
      <c r="A4043" s="3"/>
      <c r="B4043" s="4"/>
      <c r="G4043" s="19"/>
    </row>
    <row r="4044" spans="1:7" ht="12.75" x14ac:dyDescent="0.2">
      <c r="A4044" s="3"/>
      <c r="B4044" s="4"/>
      <c r="G4044" s="19"/>
    </row>
    <row r="4045" spans="1:7" ht="12.75" x14ac:dyDescent="0.2">
      <c r="A4045" s="3"/>
      <c r="B4045" s="4"/>
      <c r="G4045" s="19"/>
    </row>
    <row r="4046" spans="1:7" ht="12.75" x14ac:dyDescent="0.2">
      <c r="A4046" s="3"/>
      <c r="B4046" s="4"/>
      <c r="G4046" s="19"/>
    </row>
    <row r="4047" spans="1:7" ht="12.75" x14ac:dyDescent="0.2">
      <c r="A4047" s="3"/>
      <c r="B4047" s="4"/>
      <c r="G4047" s="19"/>
    </row>
    <row r="4048" spans="1:7" ht="12.75" x14ac:dyDescent="0.2">
      <c r="A4048" s="3"/>
      <c r="B4048" s="4"/>
      <c r="G4048" s="19"/>
    </row>
    <row r="4049" spans="1:7" ht="12.75" x14ac:dyDescent="0.2">
      <c r="A4049" s="3"/>
      <c r="B4049" s="4"/>
      <c r="G4049" s="19"/>
    </row>
    <row r="4050" spans="1:7" ht="12.75" x14ac:dyDescent="0.2">
      <c r="A4050" s="3"/>
      <c r="B4050" s="4"/>
      <c r="G4050" s="19"/>
    </row>
    <row r="4051" spans="1:7" ht="12.75" x14ac:dyDescent="0.2">
      <c r="A4051" s="3"/>
      <c r="B4051" s="4"/>
      <c r="G4051" s="19"/>
    </row>
    <row r="4052" spans="1:7" ht="12.75" x14ac:dyDescent="0.2">
      <c r="A4052" s="3"/>
      <c r="B4052" s="4"/>
      <c r="G4052" s="19"/>
    </row>
    <row r="4053" spans="1:7" ht="12.75" x14ac:dyDescent="0.2">
      <c r="A4053" s="3"/>
      <c r="B4053" s="4"/>
      <c r="G4053" s="19"/>
    </row>
    <row r="4054" spans="1:7" ht="12.75" x14ac:dyDescent="0.2">
      <c r="A4054" s="3"/>
      <c r="B4054" s="4"/>
      <c r="G4054" s="19"/>
    </row>
    <row r="4055" spans="1:7" ht="12.75" x14ac:dyDescent="0.2">
      <c r="A4055" s="3"/>
      <c r="B4055" s="4"/>
      <c r="G4055" s="19"/>
    </row>
    <row r="4056" spans="1:7" ht="12.75" x14ac:dyDescent="0.2">
      <c r="A4056" s="3"/>
      <c r="B4056" s="4"/>
      <c r="G4056" s="19"/>
    </row>
    <row r="4057" spans="1:7" ht="12.75" x14ac:dyDescent="0.2">
      <c r="A4057" s="3"/>
      <c r="B4057" s="4"/>
      <c r="G4057" s="19"/>
    </row>
    <row r="4058" spans="1:7" ht="12.75" x14ac:dyDescent="0.2">
      <c r="A4058" s="3"/>
      <c r="B4058" s="4"/>
      <c r="G4058" s="19"/>
    </row>
    <row r="4059" spans="1:7" ht="12.75" x14ac:dyDescent="0.2">
      <c r="A4059" s="3"/>
      <c r="B4059" s="4"/>
      <c r="G4059" s="19"/>
    </row>
    <row r="4060" spans="1:7" ht="12.75" x14ac:dyDescent="0.2">
      <c r="A4060" s="3"/>
      <c r="B4060" s="4"/>
      <c r="G4060" s="19"/>
    </row>
    <row r="4061" spans="1:7" ht="12.75" x14ac:dyDescent="0.2">
      <c r="A4061" s="3"/>
      <c r="B4061" s="4"/>
      <c r="G4061" s="19"/>
    </row>
    <row r="4062" spans="1:7" ht="12.75" x14ac:dyDescent="0.2">
      <c r="A4062" s="3"/>
      <c r="B4062" s="4"/>
      <c r="G4062" s="19"/>
    </row>
    <row r="4063" spans="1:7" ht="12.75" x14ac:dyDescent="0.2">
      <c r="A4063" s="3"/>
      <c r="B4063" s="4"/>
      <c r="G4063" s="19"/>
    </row>
    <row r="4064" spans="1:7" ht="12.75" x14ac:dyDescent="0.2">
      <c r="A4064" s="3"/>
      <c r="B4064" s="4"/>
      <c r="G4064" s="19"/>
    </row>
    <row r="4065" spans="1:7" ht="12.75" x14ac:dyDescent="0.2">
      <c r="A4065" s="3"/>
      <c r="B4065" s="4"/>
      <c r="G4065" s="19"/>
    </row>
    <row r="4066" spans="1:7" ht="12.75" x14ac:dyDescent="0.2">
      <c r="A4066" s="3"/>
      <c r="B4066" s="4"/>
      <c r="G4066" s="19"/>
    </row>
    <row r="4067" spans="1:7" ht="12.75" x14ac:dyDescent="0.2">
      <c r="A4067" s="3"/>
      <c r="B4067" s="4"/>
      <c r="G4067" s="19"/>
    </row>
    <row r="4068" spans="1:7" ht="12.75" x14ac:dyDescent="0.2">
      <c r="A4068" s="3"/>
      <c r="B4068" s="4"/>
      <c r="G4068" s="19"/>
    </row>
    <row r="4069" spans="1:7" ht="12.75" x14ac:dyDescent="0.2">
      <c r="A4069" s="3"/>
      <c r="B4069" s="4"/>
      <c r="G4069" s="19"/>
    </row>
    <row r="4070" spans="1:7" ht="12.75" x14ac:dyDescent="0.2">
      <c r="A4070" s="3"/>
      <c r="B4070" s="4"/>
      <c r="G4070" s="19"/>
    </row>
    <row r="4071" spans="1:7" ht="12.75" x14ac:dyDescent="0.2">
      <c r="A4071" s="3"/>
      <c r="B4071" s="4"/>
      <c r="G4071" s="19"/>
    </row>
    <row r="4072" spans="1:7" ht="12.75" x14ac:dyDescent="0.2">
      <c r="A4072" s="3"/>
      <c r="B4072" s="4"/>
      <c r="G4072" s="19"/>
    </row>
    <row r="4073" spans="1:7" ht="12.75" x14ac:dyDescent="0.2">
      <c r="A4073" s="3"/>
      <c r="B4073" s="4"/>
      <c r="G4073" s="19"/>
    </row>
    <row r="4074" spans="1:7" ht="12.75" x14ac:dyDescent="0.2">
      <c r="A4074" s="3"/>
      <c r="B4074" s="4"/>
      <c r="G4074" s="19"/>
    </row>
    <row r="4075" spans="1:7" ht="12.75" x14ac:dyDescent="0.2">
      <c r="A4075" s="3"/>
      <c r="B4075" s="4"/>
      <c r="G4075" s="19"/>
    </row>
    <row r="4076" spans="1:7" ht="12.75" x14ac:dyDescent="0.2">
      <c r="A4076" s="3"/>
      <c r="B4076" s="4"/>
      <c r="G4076" s="19"/>
    </row>
    <row r="4077" spans="1:7" ht="12.75" x14ac:dyDescent="0.2">
      <c r="A4077" s="3"/>
      <c r="B4077" s="4"/>
      <c r="G4077" s="19"/>
    </row>
    <row r="4078" spans="1:7" ht="12.75" x14ac:dyDescent="0.2">
      <c r="A4078" s="3"/>
      <c r="B4078" s="4"/>
      <c r="G4078" s="19"/>
    </row>
    <row r="4079" spans="1:7" ht="12.75" x14ac:dyDescent="0.2">
      <c r="A4079" s="3"/>
      <c r="B4079" s="4"/>
      <c r="G4079" s="19"/>
    </row>
    <row r="4080" spans="1:7" ht="12.75" x14ac:dyDescent="0.2">
      <c r="A4080" s="3"/>
      <c r="B4080" s="4"/>
      <c r="G4080" s="19"/>
    </row>
    <row r="4081" spans="1:7" ht="12.75" x14ac:dyDescent="0.2">
      <c r="A4081" s="3"/>
      <c r="B4081" s="4"/>
      <c r="G4081" s="19"/>
    </row>
    <row r="4082" spans="1:7" ht="12.75" x14ac:dyDescent="0.2">
      <c r="A4082" s="3"/>
      <c r="B4082" s="4"/>
      <c r="G4082" s="19"/>
    </row>
    <row r="4083" spans="1:7" ht="12.75" x14ac:dyDescent="0.2">
      <c r="A4083" s="3"/>
      <c r="B4083" s="4"/>
      <c r="G4083" s="19"/>
    </row>
    <row r="4084" spans="1:7" ht="12.75" x14ac:dyDescent="0.2">
      <c r="A4084" s="3"/>
      <c r="B4084" s="4"/>
      <c r="G4084" s="19"/>
    </row>
    <row r="4085" spans="1:7" ht="12.75" x14ac:dyDescent="0.2">
      <c r="A4085" s="3"/>
      <c r="B4085" s="4"/>
      <c r="G4085" s="19"/>
    </row>
    <row r="4086" spans="1:7" ht="12.75" x14ac:dyDescent="0.2">
      <c r="A4086" s="3"/>
      <c r="B4086" s="4"/>
      <c r="G4086" s="19"/>
    </row>
    <row r="4087" spans="1:7" ht="12.75" x14ac:dyDescent="0.2">
      <c r="A4087" s="3"/>
      <c r="B4087" s="4"/>
      <c r="G4087" s="19"/>
    </row>
    <row r="4088" spans="1:7" ht="12.75" x14ac:dyDescent="0.2">
      <c r="A4088" s="3"/>
      <c r="B4088" s="4"/>
      <c r="G4088" s="19"/>
    </row>
    <row r="4089" spans="1:7" ht="12.75" x14ac:dyDescent="0.2">
      <c r="A4089" s="3"/>
      <c r="B4089" s="4"/>
      <c r="G4089" s="19"/>
    </row>
    <row r="4090" spans="1:7" ht="12.75" x14ac:dyDescent="0.2">
      <c r="A4090" s="3"/>
      <c r="B4090" s="4"/>
      <c r="G4090" s="19"/>
    </row>
    <row r="4091" spans="1:7" ht="12.75" x14ac:dyDescent="0.2">
      <c r="A4091" s="3"/>
      <c r="B4091" s="4"/>
      <c r="G4091" s="19"/>
    </row>
    <row r="4092" spans="1:7" ht="12.75" x14ac:dyDescent="0.2">
      <c r="A4092" s="3"/>
      <c r="B4092" s="4"/>
      <c r="G4092" s="19"/>
    </row>
    <row r="4093" spans="1:7" ht="12.75" x14ac:dyDescent="0.2">
      <c r="A4093" s="3"/>
      <c r="B4093" s="4"/>
      <c r="G4093" s="19"/>
    </row>
    <row r="4094" spans="1:7" ht="12.75" x14ac:dyDescent="0.2">
      <c r="A4094" s="3"/>
      <c r="B4094" s="4"/>
      <c r="G4094" s="19"/>
    </row>
    <row r="4095" spans="1:7" ht="12.75" x14ac:dyDescent="0.2">
      <c r="A4095" s="3"/>
      <c r="B4095" s="4"/>
      <c r="G4095" s="19"/>
    </row>
    <row r="4096" spans="1:7" ht="12.75" x14ac:dyDescent="0.2">
      <c r="A4096" s="3"/>
      <c r="B4096" s="4"/>
      <c r="G4096" s="19"/>
    </row>
    <row r="4097" spans="1:7" ht="12.75" x14ac:dyDescent="0.2">
      <c r="A4097" s="3"/>
      <c r="B4097" s="4"/>
      <c r="G4097" s="19"/>
    </row>
    <row r="4098" spans="1:7" ht="12.75" x14ac:dyDescent="0.2">
      <c r="A4098" s="3"/>
      <c r="B4098" s="4"/>
      <c r="G4098" s="19"/>
    </row>
    <row r="4099" spans="1:7" ht="12.75" x14ac:dyDescent="0.2">
      <c r="A4099" s="3"/>
      <c r="B4099" s="4"/>
      <c r="G4099" s="19"/>
    </row>
    <row r="4100" spans="1:7" ht="12.75" x14ac:dyDescent="0.2">
      <c r="A4100" s="3"/>
      <c r="B4100" s="4"/>
      <c r="G4100" s="19"/>
    </row>
    <row r="4101" spans="1:7" ht="12.75" x14ac:dyDescent="0.2">
      <c r="A4101" s="3"/>
      <c r="B4101" s="4"/>
      <c r="G4101" s="19"/>
    </row>
    <row r="4102" spans="1:7" ht="12.75" x14ac:dyDescent="0.2">
      <c r="A4102" s="3"/>
      <c r="B4102" s="4"/>
      <c r="G4102" s="19"/>
    </row>
    <row r="4103" spans="1:7" ht="12.75" x14ac:dyDescent="0.2">
      <c r="A4103" s="3"/>
      <c r="B4103" s="4"/>
      <c r="G4103" s="19"/>
    </row>
    <row r="4104" spans="1:7" ht="12.75" x14ac:dyDescent="0.2">
      <c r="A4104" s="3"/>
      <c r="B4104" s="4"/>
      <c r="G4104" s="19"/>
    </row>
    <row r="4105" spans="1:7" ht="12.75" x14ac:dyDescent="0.2">
      <c r="A4105" s="3"/>
      <c r="B4105" s="4"/>
      <c r="G4105" s="19"/>
    </row>
    <row r="4106" spans="1:7" ht="12.75" x14ac:dyDescent="0.2">
      <c r="A4106" s="3"/>
      <c r="B4106" s="4"/>
      <c r="G4106" s="19"/>
    </row>
    <row r="4107" spans="1:7" ht="12.75" x14ac:dyDescent="0.2">
      <c r="A4107" s="3"/>
      <c r="B4107" s="4"/>
      <c r="G4107" s="19"/>
    </row>
    <row r="4108" spans="1:7" ht="12.75" x14ac:dyDescent="0.2">
      <c r="A4108" s="3"/>
      <c r="B4108" s="4"/>
      <c r="G4108" s="19"/>
    </row>
    <row r="4109" spans="1:7" ht="12.75" x14ac:dyDescent="0.2">
      <c r="A4109" s="3"/>
      <c r="B4109" s="4"/>
      <c r="G4109" s="19"/>
    </row>
    <row r="4110" spans="1:7" ht="12.75" x14ac:dyDescent="0.2">
      <c r="A4110" s="3"/>
      <c r="B4110" s="4"/>
      <c r="G4110" s="19"/>
    </row>
    <row r="4111" spans="1:7" ht="12.75" x14ac:dyDescent="0.2">
      <c r="A4111" s="3"/>
      <c r="B4111" s="4"/>
      <c r="G4111" s="19"/>
    </row>
    <row r="4112" spans="1:7" ht="12.75" x14ac:dyDescent="0.2">
      <c r="A4112" s="3"/>
      <c r="B4112" s="4"/>
      <c r="G4112" s="19"/>
    </row>
    <row r="4113" spans="1:7" ht="12.75" x14ac:dyDescent="0.2">
      <c r="A4113" s="3"/>
      <c r="B4113" s="4"/>
      <c r="G4113" s="19"/>
    </row>
    <row r="4114" spans="1:7" ht="12.75" x14ac:dyDescent="0.2">
      <c r="A4114" s="3"/>
      <c r="B4114" s="4"/>
      <c r="G4114" s="19"/>
    </row>
    <row r="4115" spans="1:7" ht="12.75" x14ac:dyDescent="0.2">
      <c r="A4115" s="3"/>
      <c r="B4115" s="4"/>
      <c r="G4115" s="19"/>
    </row>
    <row r="4116" spans="1:7" ht="12.75" x14ac:dyDescent="0.2">
      <c r="A4116" s="3"/>
      <c r="B4116" s="4"/>
      <c r="G4116" s="19"/>
    </row>
    <row r="4117" spans="1:7" ht="12.75" x14ac:dyDescent="0.2">
      <c r="A4117" s="3"/>
      <c r="B4117" s="4"/>
      <c r="G4117" s="19"/>
    </row>
    <row r="4118" spans="1:7" ht="12.75" x14ac:dyDescent="0.2">
      <c r="A4118" s="3"/>
      <c r="B4118" s="4"/>
      <c r="G4118" s="19"/>
    </row>
    <row r="4119" spans="1:7" ht="12.75" x14ac:dyDescent="0.2">
      <c r="A4119" s="3"/>
      <c r="B4119" s="4"/>
      <c r="G4119" s="19"/>
    </row>
    <row r="4120" spans="1:7" ht="12.75" x14ac:dyDescent="0.2">
      <c r="A4120" s="3"/>
      <c r="B4120" s="4"/>
      <c r="G4120" s="19"/>
    </row>
    <row r="4121" spans="1:7" ht="12.75" x14ac:dyDescent="0.2">
      <c r="A4121" s="3"/>
      <c r="B4121" s="4"/>
      <c r="G4121" s="19"/>
    </row>
    <row r="4122" spans="1:7" ht="12.75" x14ac:dyDescent="0.2">
      <c r="A4122" s="3"/>
      <c r="B4122" s="4"/>
      <c r="G4122" s="19"/>
    </row>
    <row r="4123" spans="1:7" ht="12.75" x14ac:dyDescent="0.2">
      <c r="A4123" s="3"/>
      <c r="B4123" s="4"/>
      <c r="G4123" s="19"/>
    </row>
    <row r="4124" spans="1:7" ht="12.75" x14ac:dyDescent="0.2">
      <c r="A4124" s="3"/>
      <c r="B4124" s="4"/>
      <c r="G4124" s="19"/>
    </row>
    <row r="4125" spans="1:7" ht="12.75" x14ac:dyDescent="0.2">
      <c r="A4125" s="3"/>
      <c r="B4125" s="4"/>
      <c r="G4125" s="19"/>
    </row>
    <row r="4126" spans="1:7" ht="12.75" x14ac:dyDescent="0.2">
      <c r="A4126" s="3"/>
      <c r="B4126" s="4"/>
      <c r="G4126" s="19"/>
    </row>
    <row r="4127" spans="1:7" ht="12.75" x14ac:dyDescent="0.2">
      <c r="A4127" s="3"/>
      <c r="B4127" s="4"/>
      <c r="G4127" s="19"/>
    </row>
    <row r="4128" spans="1:7" ht="12.75" x14ac:dyDescent="0.2">
      <c r="A4128" s="3"/>
      <c r="B4128" s="4"/>
      <c r="G4128" s="19"/>
    </row>
    <row r="4129" spans="1:7" ht="12.75" x14ac:dyDescent="0.2">
      <c r="A4129" s="3"/>
      <c r="B4129" s="4"/>
      <c r="G4129" s="19"/>
    </row>
    <row r="4130" spans="1:7" ht="12.75" x14ac:dyDescent="0.2">
      <c r="A4130" s="3"/>
      <c r="B4130" s="4"/>
      <c r="G4130" s="19"/>
    </row>
    <row r="4131" spans="1:7" ht="12.75" x14ac:dyDescent="0.2">
      <c r="A4131" s="3"/>
      <c r="B4131" s="4"/>
      <c r="G4131" s="19"/>
    </row>
    <row r="4132" spans="1:7" ht="12.75" x14ac:dyDescent="0.2">
      <c r="A4132" s="3"/>
      <c r="B4132" s="4"/>
      <c r="G4132" s="19"/>
    </row>
    <row r="4133" spans="1:7" ht="12.75" x14ac:dyDescent="0.2">
      <c r="A4133" s="3"/>
      <c r="B4133" s="4"/>
      <c r="G4133" s="19"/>
    </row>
    <row r="4134" spans="1:7" ht="12.75" x14ac:dyDescent="0.2">
      <c r="A4134" s="3"/>
      <c r="B4134" s="4"/>
      <c r="G4134" s="19"/>
    </row>
    <row r="4135" spans="1:7" ht="12.75" x14ac:dyDescent="0.2">
      <c r="A4135" s="3"/>
      <c r="B4135" s="4"/>
      <c r="G4135" s="19"/>
    </row>
    <row r="4136" spans="1:7" ht="12.75" x14ac:dyDescent="0.2">
      <c r="A4136" s="3"/>
      <c r="B4136" s="4"/>
      <c r="G4136" s="19"/>
    </row>
    <row r="4137" spans="1:7" ht="12.75" x14ac:dyDescent="0.2">
      <c r="A4137" s="3"/>
      <c r="B4137" s="4"/>
      <c r="G4137" s="19"/>
    </row>
    <row r="4138" spans="1:7" ht="12.75" x14ac:dyDescent="0.2">
      <c r="A4138" s="3"/>
      <c r="B4138" s="4"/>
      <c r="G4138" s="19"/>
    </row>
    <row r="4139" spans="1:7" ht="12.75" x14ac:dyDescent="0.2">
      <c r="A4139" s="3"/>
      <c r="B4139" s="4"/>
      <c r="G4139" s="19"/>
    </row>
    <row r="4140" spans="1:7" ht="12.75" x14ac:dyDescent="0.2">
      <c r="A4140" s="3"/>
      <c r="B4140" s="4"/>
      <c r="G4140" s="19"/>
    </row>
    <row r="4141" spans="1:7" ht="12.75" x14ac:dyDescent="0.2">
      <c r="A4141" s="3"/>
      <c r="B4141" s="4"/>
      <c r="G4141" s="19"/>
    </row>
    <row r="4142" spans="1:7" ht="12.75" x14ac:dyDescent="0.2">
      <c r="A4142" s="3"/>
      <c r="B4142" s="4"/>
      <c r="G4142" s="19"/>
    </row>
    <row r="4143" spans="1:7" ht="12.75" x14ac:dyDescent="0.2">
      <c r="A4143" s="3"/>
      <c r="B4143" s="4"/>
      <c r="G4143" s="19"/>
    </row>
    <row r="4144" spans="1:7" ht="12.75" x14ac:dyDescent="0.2">
      <c r="A4144" s="3"/>
      <c r="B4144" s="4"/>
      <c r="G4144" s="19"/>
    </row>
    <row r="4145" spans="1:7" ht="12.75" x14ac:dyDescent="0.2">
      <c r="A4145" s="3"/>
      <c r="B4145" s="4"/>
      <c r="G4145" s="19"/>
    </row>
    <row r="4146" spans="1:7" ht="12.75" x14ac:dyDescent="0.2">
      <c r="A4146" s="3"/>
      <c r="B4146" s="4"/>
      <c r="G4146" s="19"/>
    </row>
    <row r="4147" spans="1:7" ht="12.75" x14ac:dyDescent="0.2">
      <c r="A4147" s="3"/>
      <c r="B4147" s="4"/>
      <c r="G4147" s="19"/>
    </row>
    <row r="4148" spans="1:7" ht="12.75" x14ac:dyDescent="0.2">
      <c r="A4148" s="3"/>
      <c r="B4148" s="4"/>
      <c r="G4148" s="19"/>
    </row>
    <row r="4149" spans="1:7" ht="12.75" x14ac:dyDescent="0.2">
      <c r="A4149" s="3"/>
      <c r="B4149" s="4"/>
      <c r="G4149" s="19"/>
    </row>
    <row r="4150" spans="1:7" ht="12.75" x14ac:dyDescent="0.2">
      <c r="A4150" s="3"/>
      <c r="B4150" s="4"/>
      <c r="G4150" s="19"/>
    </row>
    <row r="4151" spans="1:7" ht="12.75" x14ac:dyDescent="0.2">
      <c r="A4151" s="3"/>
      <c r="B4151" s="4"/>
      <c r="G4151" s="19"/>
    </row>
    <row r="4152" spans="1:7" ht="12.75" x14ac:dyDescent="0.2">
      <c r="A4152" s="3"/>
      <c r="B4152" s="4"/>
      <c r="G4152" s="19"/>
    </row>
    <row r="4153" spans="1:7" ht="12.75" x14ac:dyDescent="0.2">
      <c r="A4153" s="3"/>
      <c r="B4153" s="4"/>
      <c r="G4153" s="19"/>
    </row>
    <row r="4154" spans="1:7" ht="12.75" x14ac:dyDescent="0.2">
      <c r="A4154" s="3"/>
      <c r="B4154" s="4"/>
      <c r="G4154" s="19"/>
    </row>
    <row r="4155" spans="1:7" ht="12.75" x14ac:dyDescent="0.2">
      <c r="A4155" s="3"/>
      <c r="B4155" s="4"/>
      <c r="G4155" s="19"/>
    </row>
    <row r="4156" spans="1:7" ht="12.75" x14ac:dyDescent="0.2">
      <c r="A4156" s="3"/>
      <c r="B4156" s="4"/>
      <c r="G4156" s="19"/>
    </row>
    <row r="4157" spans="1:7" ht="12.75" x14ac:dyDescent="0.2">
      <c r="A4157" s="3"/>
      <c r="B4157" s="4"/>
      <c r="G4157" s="19"/>
    </row>
    <row r="4158" spans="1:7" ht="12.75" x14ac:dyDescent="0.2">
      <c r="A4158" s="3"/>
      <c r="B4158" s="4"/>
      <c r="G4158" s="19"/>
    </row>
    <row r="4159" spans="1:7" ht="12.75" x14ac:dyDescent="0.2">
      <c r="A4159" s="3"/>
      <c r="B4159" s="4"/>
      <c r="G4159" s="19"/>
    </row>
    <row r="4160" spans="1:7" ht="12.75" x14ac:dyDescent="0.2">
      <c r="A4160" s="3"/>
      <c r="B4160" s="4"/>
      <c r="G4160" s="19"/>
    </row>
    <row r="4161" spans="1:7" ht="12.75" x14ac:dyDescent="0.2">
      <c r="A4161" s="3"/>
      <c r="B4161" s="4"/>
      <c r="G4161" s="19"/>
    </row>
    <row r="4162" spans="1:7" ht="12.75" x14ac:dyDescent="0.2">
      <c r="A4162" s="3"/>
      <c r="B4162" s="4"/>
      <c r="G4162" s="19"/>
    </row>
    <row r="4163" spans="1:7" ht="12.75" x14ac:dyDescent="0.2">
      <c r="A4163" s="3"/>
      <c r="B4163" s="4"/>
      <c r="G4163" s="19"/>
    </row>
    <row r="4164" spans="1:7" ht="12.75" x14ac:dyDescent="0.2">
      <c r="A4164" s="3"/>
      <c r="B4164" s="4"/>
      <c r="G4164" s="19"/>
    </row>
    <row r="4165" spans="1:7" ht="12.75" x14ac:dyDescent="0.2">
      <c r="A4165" s="3"/>
      <c r="B4165" s="4"/>
      <c r="G4165" s="19"/>
    </row>
    <row r="4166" spans="1:7" ht="12.75" x14ac:dyDescent="0.2">
      <c r="A4166" s="3"/>
      <c r="B4166" s="4"/>
      <c r="G4166" s="19"/>
    </row>
    <row r="4167" spans="1:7" ht="12.75" x14ac:dyDescent="0.2">
      <c r="A4167" s="3"/>
      <c r="B4167" s="4"/>
      <c r="G4167" s="19"/>
    </row>
    <row r="4168" spans="1:7" ht="12.75" x14ac:dyDescent="0.2">
      <c r="A4168" s="3"/>
      <c r="B4168" s="4"/>
      <c r="G4168" s="19"/>
    </row>
    <row r="4169" spans="1:7" ht="12.75" x14ac:dyDescent="0.2">
      <c r="A4169" s="3"/>
      <c r="B4169" s="4"/>
      <c r="G4169" s="19"/>
    </row>
    <row r="4170" spans="1:7" ht="12.75" x14ac:dyDescent="0.2">
      <c r="A4170" s="3"/>
      <c r="B4170" s="4"/>
      <c r="G4170" s="19"/>
    </row>
    <row r="4171" spans="1:7" ht="12.75" x14ac:dyDescent="0.2">
      <c r="A4171" s="3"/>
      <c r="B4171" s="4"/>
      <c r="G4171" s="19"/>
    </row>
    <row r="4172" spans="1:7" ht="12.75" x14ac:dyDescent="0.2">
      <c r="A4172" s="3"/>
      <c r="B4172" s="4"/>
      <c r="G4172" s="19"/>
    </row>
    <row r="4173" spans="1:7" ht="12.75" x14ac:dyDescent="0.2">
      <c r="A4173" s="3"/>
      <c r="B4173" s="4"/>
      <c r="G4173" s="19"/>
    </row>
    <row r="4174" spans="1:7" ht="12.75" x14ac:dyDescent="0.2">
      <c r="A4174" s="3"/>
      <c r="B4174" s="4"/>
      <c r="G4174" s="19"/>
    </row>
    <row r="4175" spans="1:7" ht="12.75" x14ac:dyDescent="0.2">
      <c r="A4175" s="3"/>
      <c r="B4175" s="4"/>
      <c r="G4175" s="19"/>
    </row>
    <row r="4176" spans="1:7" ht="12.75" x14ac:dyDescent="0.2">
      <c r="A4176" s="3"/>
      <c r="B4176" s="4"/>
      <c r="G4176" s="19"/>
    </row>
    <row r="4177" spans="1:7" ht="12.75" x14ac:dyDescent="0.2">
      <c r="A4177" s="3"/>
      <c r="B4177" s="4"/>
      <c r="G4177" s="19"/>
    </row>
    <row r="4178" spans="1:7" ht="12.75" x14ac:dyDescent="0.2">
      <c r="A4178" s="3"/>
      <c r="B4178" s="4"/>
      <c r="G4178" s="19"/>
    </row>
    <row r="4179" spans="1:7" ht="12.75" x14ac:dyDescent="0.2">
      <c r="A4179" s="3"/>
      <c r="B4179" s="4"/>
      <c r="G4179" s="19"/>
    </row>
    <row r="4180" spans="1:7" ht="12.75" x14ac:dyDescent="0.2">
      <c r="A4180" s="3"/>
      <c r="B4180" s="4"/>
      <c r="G4180" s="19"/>
    </row>
    <row r="4181" spans="1:7" ht="12.75" x14ac:dyDescent="0.2">
      <c r="A4181" s="3"/>
      <c r="B4181" s="4"/>
      <c r="G4181" s="19"/>
    </row>
    <row r="4182" spans="1:7" ht="12.75" x14ac:dyDescent="0.2">
      <c r="A4182" s="3"/>
      <c r="B4182" s="4"/>
      <c r="G4182" s="19"/>
    </row>
    <row r="4183" spans="1:7" ht="12.75" x14ac:dyDescent="0.2">
      <c r="A4183" s="3"/>
      <c r="B4183" s="4"/>
      <c r="G4183" s="19"/>
    </row>
    <row r="4184" spans="1:7" ht="12.75" x14ac:dyDescent="0.2">
      <c r="A4184" s="3"/>
      <c r="B4184" s="4"/>
      <c r="G4184" s="19"/>
    </row>
    <row r="4185" spans="1:7" ht="12.75" x14ac:dyDescent="0.2">
      <c r="A4185" s="3"/>
      <c r="B4185" s="4"/>
      <c r="G4185" s="19"/>
    </row>
    <row r="4186" spans="1:7" ht="12.75" x14ac:dyDescent="0.2">
      <c r="A4186" s="3"/>
      <c r="B4186" s="4"/>
      <c r="G4186" s="19"/>
    </row>
    <row r="4187" spans="1:7" ht="12.75" x14ac:dyDescent="0.2">
      <c r="A4187" s="3"/>
      <c r="B4187" s="4"/>
      <c r="G4187" s="19"/>
    </row>
    <row r="4188" spans="1:7" ht="12.75" x14ac:dyDescent="0.2">
      <c r="A4188" s="3"/>
      <c r="B4188" s="4"/>
      <c r="G4188" s="19"/>
    </row>
    <row r="4189" spans="1:7" ht="12.75" x14ac:dyDescent="0.2">
      <c r="A4189" s="3"/>
      <c r="B4189" s="4"/>
      <c r="G4189" s="19"/>
    </row>
    <row r="4190" spans="1:7" ht="12.75" x14ac:dyDescent="0.2">
      <c r="A4190" s="3"/>
      <c r="B4190" s="4"/>
      <c r="G4190" s="19"/>
    </row>
    <row r="4191" spans="1:7" ht="12.75" x14ac:dyDescent="0.2">
      <c r="A4191" s="3"/>
      <c r="B4191" s="4"/>
      <c r="G4191" s="19"/>
    </row>
    <row r="4192" spans="1:7" ht="12.75" x14ac:dyDescent="0.2">
      <c r="A4192" s="3"/>
      <c r="B4192" s="4"/>
      <c r="G4192" s="19"/>
    </row>
    <row r="4193" spans="1:7" ht="12.75" x14ac:dyDescent="0.2">
      <c r="A4193" s="3"/>
      <c r="B4193" s="4"/>
      <c r="G4193" s="19"/>
    </row>
    <row r="4194" spans="1:7" ht="12.75" x14ac:dyDescent="0.2">
      <c r="A4194" s="3"/>
      <c r="B4194" s="4"/>
      <c r="G4194" s="19"/>
    </row>
    <row r="4195" spans="1:7" ht="12.75" x14ac:dyDescent="0.2">
      <c r="A4195" s="3"/>
      <c r="B4195" s="4"/>
      <c r="G4195" s="19"/>
    </row>
    <row r="4196" spans="1:7" ht="12.75" x14ac:dyDescent="0.2">
      <c r="A4196" s="3"/>
      <c r="B4196" s="4"/>
      <c r="G4196" s="19"/>
    </row>
    <row r="4197" spans="1:7" ht="12.75" x14ac:dyDescent="0.2">
      <c r="A4197" s="3"/>
      <c r="B4197" s="4"/>
      <c r="G4197" s="19"/>
    </row>
    <row r="4198" spans="1:7" ht="12.75" x14ac:dyDescent="0.2">
      <c r="A4198" s="3"/>
      <c r="B4198" s="4"/>
      <c r="G4198" s="19"/>
    </row>
    <row r="4199" spans="1:7" ht="12.75" x14ac:dyDescent="0.2">
      <c r="A4199" s="3"/>
      <c r="B4199" s="4"/>
      <c r="G4199" s="19"/>
    </row>
    <row r="4200" spans="1:7" ht="12.75" x14ac:dyDescent="0.2">
      <c r="A4200" s="3"/>
      <c r="B4200" s="4"/>
      <c r="G4200" s="19"/>
    </row>
    <row r="4201" spans="1:7" ht="12.75" x14ac:dyDescent="0.2">
      <c r="A4201" s="3"/>
      <c r="B4201" s="4"/>
      <c r="G4201" s="19"/>
    </row>
    <row r="4202" spans="1:7" ht="12.75" x14ac:dyDescent="0.2">
      <c r="A4202" s="3"/>
      <c r="B4202" s="4"/>
      <c r="G4202" s="19"/>
    </row>
    <row r="4203" spans="1:7" ht="12.75" x14ac:dyDescent="0.2">
      <c r="A4203" s="3"/>
      <c r="B4203" s="4"/>
      <c r="G4203" s="19"/>
    </row>
    <row r="4204" spans="1:7" ht="12.75" x14ac:dyDescent="0.2">
      <c r="A4204" s="3"/>
      <c r="B4204" s="4"/>
      <c r="G4204" s="19"/>
    </row>
    <row r="4205" spans="1:7" ht="12.75" x14ac:dyDescent="0.2">
      <c r="A4205" s="3"/>
      <c r="B4205" s="4"/>
      <c r="G4205" s="19"/>
    </row>
    <row r="4206" spans="1:7" ht="12.75" x14ac:dyDescent="0.2">
      <c r="A4206" s="3"/>
      <c r="B4206" s="4"/>
      <c r="G4206" s="19"/>
    </row>
    <row r="4207" spans="1:7" ht="12.75" x14ac:dyDescent="0.2">
      <c r="A4207" s="3"/>
      <c r="B4207" s="4"/>
      <c r="G4207" s="19"/>
    </row>
    <row r="4208" spans="1:7" ht="12.75" x14ac:dyDescent="0.2">
      <c r="A4208" s="3"/>
      <c r="B4208" s="4"/>
      <c r="G4208" s="19"/>
    </row>
    <row r="4209" spans="1:7" ht="12.75" x14ac:dyDescent="0.2">
      <c r="A4209" s="3"/>
      <c r="B4209" s="4"/>
      <c r="G4209" s="19"/>
    </row>
    <row r="4210" spans="1:7" ht="12.75" x14ac:dyDescent="0.2">
      <c r="A4210" s="3"/>
      <c r="B4210" s="4"/>
      <c r="G4210" s="19"/>
    </row>
    <row r="4211" spans="1:7" ht="12.75" x14ac:dyDescent="0.2">
      <c r="A4211" s="3"/>
      <c r="B4211" s="4"/>
      <c r="G4211" s="19"/>
    </row>
    <row r="4212" spans="1:7" ht="12.75" x14ac:dyDescent="0.2">
      <c r="A4212" s="3"/>
      <c r="B4212" s="4"/>
      <c r="G4212" s="19"/>
    </row>
    <row r="4213" spans="1:7" ht="12.75" x14ac:dyDescent="0.2">
      <c r="A4213" s="3"/>
      <c r="B4213" s="4"/>
      <c r="G4213" s="19"/>
    </row>
    <row r="4214" spans="1:7" ht="12.75" x14ac:dyDescent="0.2">
      <c r="A4214" s="3"/>
      <c r="B4214" s="4"/>
      <c r="G4214" s="19"/>
    </row>
    <row r="4215" spans="1:7" ht="12.75" x14ac:dyDescent="0.2">
      <c r="A4215" s="3"/>
      <c r="B4215" s="4"/>
      <c r="G4215" s="19"/>
    </row>
    <row r="4216" spans="1:7" ht="12.75" x14ac:dyDescent="0.2">
      <c r="A4216" s="3"/>
      <c r="B4216" s="4"/>
      <c r="G4216" s="19"/>
    </row>
    <row r="4217" spans="1:7" ht="12.75" x14ac:dyDescent="0.2">
      <c r="A4217" s="3"/>
      <c r="B4217" s="4"/>
      <c r="G4217" s="19"/>
    </row>
    <row r="4218" spans="1:7" ht="12.75" x14ac:dyDescent="0.2">
      <c r="A4218" s="3"/>
      <c r="B4218" s="4"/>
      <c r="G4218" s="19"/>
    </row>
    <row r="4219" spans="1:7" ht="12.75" x14ac:dyDescent="0.2">
      <c r="A4219" s="3"/>
      <c r="B4219" s="4"/>
      <c r="G4219" s="19"/>
    </row>
    <row r="4220" spans="1:7" ht="12.75" x14ac:dyDescent="0.2">
      <c r="A4220" s="3"/>
      <c r="B4220" s="4"/>
      <c r="G4220" s="19"/>
    </row>
    <row r="4221" spans="1:7" ht="12.75" x14ac:dyDescent="0.2">
      <c r="A4221" s="3"/>
      <c r="B4221" s="4"/>
      <c r="G4221" s="19"/>
    </row>
    <row r="4222" spans="1:7" ht="12.75" x14ac:dyDescent="0.2">
      <c r="A4222" s="3"/>
      <c r="B4222" s="4"/>
      <c r="G4222" s="19"/>
    </row>
    <row r="4223" spans="1:7" ht="12.75" x14ac:dyDescent="0.2">
      <c r="A4223" s="3"/>
      <c r="B4223" s="4"/>
      <c r="G4223" s="19"/>
    </row>
    <row r="4224" spans="1:7" ht="12.75" x14ac:dyDescent="0.2">
      <c r="A4224" s="3"/>
      <c r="B4224" s="4"/>
      <c r="G4224" s="19"/>
    </row>
    <row r="4225" spans="1:7" ht="12.75" x14ac:dyDescent="0.2">
      <c r="A4225" s="3"/>
      <c r="B4225" s="4"/>
      <c r="G4225" s="19"/>
    </row>
    <row r="4226" spans="1:7" ht="12.75" x14ac:dyDescent="0.2">
      <c r="A4226" s="3"/>
      <c r="B4226" s="4"/>
      <c r="G4226" s="19"/>
    </row>
    <row r="4227" spans="1:7" ht="12.75" x14ac:dyDescent="0.2">
      <c r="A4227" s="3"/>
      <c r="B4227" s="4"/>
      <c r="G4227" s="19"/>
    </row>
    <row r="4228" spans="1:7" ht="12.75" x14ac:dyDescent="0.2">
      <c r="A4228" s="3"/>
      <c r="B4228" s="4"/>
      <c r="G4228" s="19"/>
    </row>
    <row r="4229" spans="1:7" ht="12.75" x14ac:dyDescent="0.2">
      <c r="A4229" s="3"/>
      <c r="B4229" s="4"/>
      <c r="G4229" s="19"/>
    </row>
    <row r="4230" spans="1:7" ht="12.75" x14ac:dyDescent="0.2">
      <c r="A4230" s="3"/>
      <c r="B4230" s="4"/>
      <c r="G4230" s="19"/>
    </row>
    <row r="4231" spans="1:7" ht="12.75" x14ac:dyDescent="0.2">
      <c r="A4231" s="3"/>
      <c r="B4231" s="4"/>
      <c r="G4231" s="19"/>
    </row>
    <row r="4232" spans="1:7" ht="12.75" x14ac:dyDescent="0.2">
      <c r="A4232" s="3"/>
      <c r="B4232" s="4"/>
      <c r="G4232" s="19"/>
    </row>
    <row r="4233" spans="1:7" ht="12.75" x14ac:dyDescent="0.2">
      <c r="A4233" s="3"/>
      <c r="B4233" s="4"/>
      <c r="G4233" s="19"/>
    </row>
    <row r="4234" spans="1:7" ht="12.75" x14ac:dyDescent="0.2">
      <c r="A4234" s="3"/>
      <c r="B4234" s="4"/>
      <c r="G4234" s="19"/>
    </row>
    <row r="4235" spans="1:7" ht="12.75" x14ac:dyDescent="0.2">
      <c r="A4235" s="3"/>
      <c r="B4235" s="4"/>
      <c r="G4235" s="19"/>
    </row>
    <row r="4236" spans="1:7" ht="12.75" x14ac:dyDescent="0.2">
      <c r="A4236" s="3"/>
      <c r="B4236" s="4"/>
      <c r="G4236" s="19"/>
    </row>
    <row r="4237" spans="1:7" ht="12.75" x14ac:dyDescent="0.2">
      <c r="A4237" s="3"/>
      <c r="B4237" s="4"/>
      <c r="G4237" s="19"/>
    </row>
    <row r="4238" spans="1:7" ht="12.75" x14ac:dyDescent="0.2">
      <c r="A4238" s="3"/>
      <c r="B4238" s="4"/>
      <c r="G4238" s="19"/>
    </row>
    <row r="4239" spans="1:7" ht="12.75" x14ac:dyDescent="0.2">
      <c r="A4239" s="3"/>
      <c r="B4239" s="4"/>
      <c r="G4239" s="19"/>
    </row>
    <row r="4240" spans="1:7" ht="12.75" x14ac:dyDescent="0.2">
      <c r="A4240" s="3"/>
      <c r="B4240" s="4"/>
      <c r="G4240" s="19"/>
    </row>
    <row r="4241" spans="1:7" ht="12.75" x14ac:dyDescent="0.2">
      <c r="A4241" s="3"/>
      <c r="B4241" s="4"/>
      <c r="G4241" s="19"/>
    </row>
    <row r="4242" spans="1:7" ht="12.75" x14ac:dyDescent="0.2">
      <c r="A4242" s="3"/>
      <c r="B4242" s="4"/>
      <c r="G4242" s="19"/>
    </row>
    <row r="4243" spans="1:7" ht="12.75" x14ac:dyDescent="0.2">
      <c r="A4243" s="3"/>
      <c r="B4243" s="4"/>
      <c r="G4243" s="19"/>
    </row>
    <row r="4244" spans="1:7" ht="12.75" x14ac:dyDescent="0.2">
      <c r="A4244" s="3"/>
      <c r="B4244" s="4"/>
      <c r="G4244" s="19"/>
    </row>
    <row r="4245" spans="1:7" ht="12.75" x14ac:dyDescent="0.2">
      <c r="A4245" s="3"/>
      <c r="B4245" s="4"/>
      <c r="G4245" s="19"/>
    </row>
    <row r="4246" spans="1:7" ht="12.75" x14ac:dyDescent="0.2">
      <c r="A4246" s="3"/>
      <c r="B4246" s="4"/>
      <c r="G4246" s="19"/>
    </row>
    <row r="4247" spans="1:7" ht="12.75" x14ac:dyDescent="0.2">
      <c r="A4247" s="3"/>
      <c r="B4247" s="4"/>
      <c r="G4247" s="19"/>
    </row>
    <row r="4248" spans="1:7" ht="12.75" x14ac:dyDescent="0.2">
      <c r="A4248" s="3"/>
      <c r="B4248" s="4"/>
      <c r="G4248" s="19"/>
    </row>
    <row r="4249" spans="1:7" ht="12.75" x14ac:dyDescent="0.2">
      <c r="A4249" s="3"/>
      <c r="B4249" s="4"/>
      <c r="G4249" s="19"/>
    </row>
    <row r="4250" spans="1:7" ht="12.75" x14ac:dyDescent="0.2">
      <c r="A4250" s="3"/>
      <c r="B4250" s="4"/>
      <c r="G4250" s="19"/>
    </row>
    <row r="4251" spans="1:7" ht="12.75" x14ac:dyDescent="0.2">
      <c r="A4251" s="3"/>
      <c r="B4251" s="4"/>
      <c r="G4251" s="19"/>
    </row>
    <row r="4252" spans="1:7" ht="12.75" x14ac:dyDescent="0.2">
      <c r="A4252" s="3"/>
      <c r="B4252" s="4"/>
      <c r="G4252" s="19"/>
    </row>
    <row r="4253" spans="1:7" ht="12.75" x14ac:dyDescent="0.2">
      <c r="A4253" s="3"/>
      <c r="B4253" s="4"/>
      <c r="G4253" s="19"/>
    </row>
    <row r="4254" spans="1:7" ht="12.75" x14ac:dyDescent="0.2">
      <c r="A4254" s="3"/>
      <c r="B4254" s="4"/>
      <c r="G4254" s="19"/>
    </row>
    <row r="4255" spans="1:7" ht="12.75" x14ac:dyDescent="0.2">
      <c r="A4255" s="3"/>
      <c r="B4255" s="4"/>
      <c r="G4255" s="19"/>
    </row>
    <row r="4256" spans="1:7" ht="12.75" x14ac:dyDescent="0.2">
      <c r="A4256" s="3"/>
      <c r="B4256" s="4"/>
      <c r="G4256" s="19"/>
    </row>
    <row r="4257" spans="1:7" ht="12.75" x14ac:dyDescent="0.2">
      <c r="A4257" s="3"/>
      <c r="B4257" s="4"/>
      <c r="G4257" s="19"/>
    </row>
    <row r="4258" spans="1:7" ht="12.75" x14ac:dyDescent="0.2">
      <c r="A4258" s="3"/>
      <c r="B4258" s="4"/>
      <c r="G4258" s="19"/>
    </row>
    <row r="4259" spans="1:7" ht="12.75" x14ac:dyDescent="0.2">
      <c r="A4259" s="3"/>
      <c r="B4259" s="4"/>
      <c r="G4259" s="19"/>
    </row>
    <row r="4260" spans="1:7" ht="12.75" x14ac:dyDescent="0.2">
      <c r="A4260" s="3"/>
      <c r="B4260" s="4"/>
      <c r="G4260" s="19"/>
    </row>
    <row r="4261" spans="1:7" ht="12.75" x14ac:dyDescent="0.2">
      <c r="A4261" s="3"/>
      <c r="B4261" s="4"/>
      <c r="G4261" s="19"/>
    </row>
    <row r="4262" spans="1:7" ht="12.75" x14ac:dyDescent="0.2">
      <c r="A4262" s="3"/>
      <c r="B4262" s="4"/>
      <c r="G4262" s="19"/>
    </row>
    <row r="4263" spans="1:7" ht="12.75" x14ac:dyDescent="0.2">
      <c r="A4263" s="3"/>
      <c r="B4263" s="4"/>
      <c r="G4263" s="19"/>
    </row>
    <row r="4264" spans="1:7" ht="12.75" x14ac:dyDescent="0.2">
      <c r="A4264" s="3"/>
      <c r="B4264" s="4"/>
      <c r="G4264" s="19"/>
    </row>
    <row r="4265" spans="1:7" ht="12.75" x14ac:dyDescent="0.2">
      <c r="A4265" s="3"/>
      <c r="B4265" s="4"/>
      <c r="G4265" s="19"/>
    </row>
    <row r="4266" spans="1:7" ht="12.75" x14ac:dyDescent="0.2">
      <c r="A4266" s="3"/>
      <c r="B4266" s="4"/>
      <c r="G4266" s="19"/>
    </row>
    <row r="4267" spans="1:7" ht="12.75" x14ac:dyDescent="0.2">
      <c r="A4267" s="3"/>
      <c r="B4267" s="4"/>
      <c r="G4267" s="19"/>
    </row>
    <row r="4268" spans="1:7" ht="12.75" x14ac:dyDescent="0.2">
      <c r="A4268" s="3"/>
      <c r="B4268" s="4"/>
      <c r="G4268" s="19"/>
    </row>
    <row r="4269" spans="1:7" ht="12.75" x14ac:dyDescent="0.2">
      <c r="A4269" s="3"/>
      <c r="B4269" s="4"/>
      <c r="G4269" s="19"/>
    </row>
    <row r="4270" spans="1:7" ht="12.75" x14ac:dyDescent="0.2">
      <c r="A4270" s="3"/>
      <c r="B4270" s="4"/>
      <c r="G4270" s="19"/>
    </row>
    <row r="4271" spans="1:7" ht="12.75" x14ac:dyDescent="0.2">
      <c r="A4271" s="3"/>
      <c r="B4271" s="4"/>
      <c r="G4271" s="19"/>
    </row>
    <row r="4272" spans="1:7" ht="12.75" x14ac:dyDescent="0.2">
      <c r="A4272" s="3"/>
      <c r="B4272" s="4"/>
      <c r="G4272" s="19"/>
    </row>
    <row r="4273" spans="1:7" ht="12.75" x14ac:dyDescent="0.2">
      <c r="A4273" s="3"/>
      <c r="B4273" s="4"/>
      <c r="G4273" s="19"/>
    </row>
    <row r="4274" spans="1:7" ht="12.75" x14ac:dyDescent="0.2">
      <c r="A4274" s="3"/>
      <c r="B4274" s="4"/>
      <c r="G4274" s="19"/>
    </row>
    <row r="4275" spans="1:7" ht="12.75" x14ac:dyDescent="0.2">
      <c r="A4275" s="3"/>
      <c r="B4275" s="4"/>
      <c r="G4275" s="19"/>
    </row>
    <row r="4276" spans="1:7" ht="12.75" x14ac:dyDescent="0.2">
      <c r="A4276" s="3"/>
      <c r="B4276" s="4"/>
      <c r="G4276" s="19"/>
    </row>
    <row r="4277" spans="1:7" ht="12.75" x14ac:dyDescent="0.2">
      <c r="A4277" s="3"/>
      <c r="B4277" s="4"/>
      <c r="G4277" s="19"/>
    </row>
    <row r="4278" spans="1:7" ht="12.75" x14ac:dyDescent="0.2">
      <c r="A4278" s="3"/>
      <c r="B4278" s="4"/>
      <c r="G4278" s="19"/>
    </row>
    <row r="4279" spans="1:7" ht="12.75" x14ac:dyDescent="0.2">
      <c r="A4279" s="3"/>
      <c r="B4279" s="4"/>
      <c r="G4279" s="19"/>
    </row>
    <row r="4280" spans="1:7" ht="12.75" x14ac:dyDescent="0.2">
      <c r="A4280" s="3"/>
      <c r="B4280" s="4"/>
      <c r="G4280" s="19"/>
    </row>
    <row r="4281" spans="1:7" ht="12.75" x14ac:dyDescent="0.2">
      <c r="A4281" s="3"/>
      <c r="B4281" s="4"/>
      <c r="G4281" s="19"/>
    </row>
    <row r="4282" spans="1:7" ht="12.75" x14ac:dyDescent="0.2">
      <c r="A4282" s="3"/>
      <c r="B4282" s="4"/>
      <c r="G4282" s="19"/>
    </row>
    <row r="4283" spans="1:7" ht="12.75" x14ac:dyDescent="0.2">
      <c r="A4283" s="3"/>
      <c r="B4283" s="4"/>
      <c r="G4283" s="19"/>
    </row>
    <row r="4284" spans="1:7" ht="12.75" x14ac:dyDescent="0.2">
      <c r="A4284" s="3"/>
      <c r="B4284" s="4"/>
      <c r="G4284" s="19"/>
    </row>
    <row r="4285" spans="1:7" ht="12.75" x14ac:dyDescent="0.2">
      <c r="A4285" s="3"/>
      <c r="B4285" s="4"/>
      <c r="G4285" s="19"/>
    </row>
    <row r="4286" spans="1:7" ht="12.75" x14ac:dyDescent="0.2">
      <c r="A4286" s="3"/>
      <c r="B4286" s="4"/>
      <c r="G4286" s="19"/>
    </row>
    <row r="4287" spans="1:7" ht="12.75" x14ac:dyDescent="0.2">
      <c r="A4287" s="3"/>
      <c r="B4287" s="4"/>
      <c r="G4287" s="19"/>
    </row>
    <row r="4288" spans="1:7" ht="12.75" x14ac:dyDescent="0.2">
      <c r="A4288" s="3"/>
      <c r="B4288" s="4"/>
      <c r="G4288" s="19"/>
    </row>
    <row r="4289" spans="1:7" ht="12.75" x14ac:dyDescent="0.2">
      <c r="A4289" s="3"/>
      <c r="B4289" s="4"/>
      <c r="G4289" s="19"/>
    </row>
    <row r="4290" spans="1:7" ht="12.75" x14ac:dyDescent="0.2">
      <c r="A4290" s="3"/>
      <c r="B4290" s="4"/>
      <c r="G4290" s="19"/>
    </row>
    <row r="4291" spans="1:7" ht="12.75" x14ac:dyDescent="0.2">
      <c r="A4291" s="3"/>
      <c r="B4291" s="4"/>
      <c r="G4291" s="19"/>
    </row>
    <row r="4292" spans="1:7" ht="12.75" x14ac:dyDescent="0.2">
      <c r="A4292" s="3"/>
      <c r="B4292" s="4"/>
      <c r="G4292" s="19"/>
    </row>
    <row r="4293" spans="1:7" ht="12.75" x14ac:dyDescent="0.2">
      <c r="A4293" s="3"/>
      <c r="B4293" s="4"/>
      <c r="G4293" s="19"/>
    </row>
    <row r="4294" spans="1:7" ht="12.75" x14ac:dyDescent="0.2">
      <c r="A4294" s="3"/>
      <c r="B4294" s="4"/>
      <c r="G4294" s="19"/>
    </row>
    <row r="4295" spans="1:7" ht="12.75" x14ac:dyDescent="0.2">
      <c r="A4295" s="3"/>
      <c r="B4295" s="4"/>
      <c r="G4295" s="19"/>
    </row>
    <row r="4296" spans="1:7" ht="12.75" x14ac:dyDescent="0.2">
      <c r="A4296" s="3"/>
      <c r="B4296" s="4"/>
      <c r="G4296" s="19"/>
    </row>
    <row r="4297" spans="1:7" ht="12.75" x14ac:dyDescent="0.2">
      <c r="A4297" s="3"/>
      <c r="B4297" s="4"/>
      <c r="G4297" s="19"/>
    </row>
    <row r="4298" spans="1:7" ht="12.75" x14ac:dyDescent="0.2">
      <c r="A4298" s="3"/>
      <c r="B4298" s="4"/>
      <c r="G4298" s="19"/>
    </row>
    <row r="4299" spans="1:7" ht="12.75" x14ac:dyDescent="0.2">
      <c r="A4299" s="3"/>
      <c r="B4299" s="4"/>
      <c r="G4299" s="19"/>
    </row>
    <row r="4300" spans="1:7" ht="12.75" x14ac:dyDescent="0.2">
      <c r="A4300" s="3"/>
      <c r="B4300" s="4"/>
      <c r="G4300" s="19"/>
    </row>
    <row r="4301" spans="1:7" ht="12.75" x14ac:dyDescent="0.2">
      <c r="A4301" s="3"/>
      <c r="B4301" s="4"/>
      <c r="G4301" s="19"/>
    </row>
    <row r="4302" spans="1:7" ht="12.75" x14ac:dyDescent="0.2">
      <c r="A4302" s="3"/>
      <c r="B4302" s="4"/>
      <c r="G4302" s="19"/>
    </row>
    <row r="4303" spans="1:7" ht="12.75" x14ac:dyDescent="0.2">
      <c r="A4303" s="3"/>
      <c r="B4303" s="4"/>
      <c r="G4303" s="19"/>
    </row>
    <row r="4304" spans="1:7" ht="12.75" x14ac:dyDescent="0.2">
      <c r="A4304" s="3"/>
      <c r="B4304" s="4"/>
      <c r="G4304" s="19"/>
    </row>
    <row r="4305" spans="1:7" ht="12.75" x14ac:dyDescent="0.2">
      <c r="A4305" s="3"/>
      <c r="B4305" s="4"/>
      <c r="G4305" s="19"/>
    </row>
    <row r="4306" spans="1:7" ht="12.75" x14ac:dyDescent="0.2">
      <c r="A4306" s="3"/>
      <c r="B4306" s="4"/>
      <c r="G4306" s="19"/>
    </row>
    <row r="4307" spans="1:7" ht="12.75" x14ac:dyDescent="0.2">
      <c r="A4307" s="3"/>
      <c r="B4307" s="4"/>
      <c r="G4307" s="19"/>
    </row>
    <row r="4308" spans="1:7" ht="12.75" x14ac:dyDescent="0.2">
      <c r="A4308" s="3"/>
      <c r="B4308" s="4"/>
      <c r="G4308" s="19"/>
    </row>
    <row r="4309" spans="1:7" ht="12.75" x14ac:dyDescent="0.2">
      <c r="A4309" s="3"/>
      <c r="B4309" s="4"/>
      <c r="G4309" s="19"/>
    </row>
    <row r="4310" spans="1:7" ht="12.75" x14ac:dyDescent="0.2">
      <c r="A4310" s="3"/>
      <c r="B4310" s="4"/>
      <c r="G4310" s="19"/>
    </row>
    <row r="4311" spans="1:7" ht="12.75" x14ac:dyDescent="0.2">
      <c r="A4311" s="3"/>
      <c r="B4311" s="4"/>
      <c r="G4311" s="19"/>
    </row>
    <row r="4312" spans="1:7" ht="12.75" x14ac:dyDescent="0.2">
      <c r="A4312" s="3"/>
      <c r="B4312" s="4"/>
      <c r="G4312" s="19"/>
    </row>
    <row r="4313" spans="1:7" ht="12.75" x14ac:dyDescent="0.2">
      <c r="A4313" s="3"/>
      <c r="B4313" s="4"/>
      <c r="G4313" s="19"/>
    </row>
    <row r="4314" spans="1:7" ht="12.75" x14ac:dyDescent="0.2">
      <c r="A4314" s="3"/>
      <c r="B4314" s="4"/>
      <c r="G4314" s="19"/>
    </row>
    <row r="4315" spans="1:7" ht="12.75" x14ac:dyDescent="0.2">
      <c r="A4315" s="3"/>
      <c r="B4315" s="4"/>
      <c r="G4315" s="19"/>
    </row>
    <row r="4316" spans="1:7" ht="12.75" x14ac:dyDescent="0.2">
      <c r="A4316" s="3"/>
      <c r="B4316" s="4"/>
      <c r="G4316" s="19"/>
    </row>
    <row r="4317" spans="1:7" ht="12.75" x14ac:dyDescent="0.2">
      <c r="A4317" s="3"/>
      <c r="B4317" s="4"/>
      <c r="G4317" s="19"/>
    </row>
    <row r="4318" spans="1:7" ht="12.75" x14ac:dyDescent="0.2">
      <c r="A4318" s="3"/>
      <c r="B4318" s="4"/>
      <c r="G4318" s="19"/>
    </row>
    <row r="4319" spans="1:7" ht="12.75" x14ac:dyDescent="0.2">
      <c r="A4319" s="3"/>
      <c r="B4319" s="4"/>
      <c r="G4319" s="19"/>
    </row>
    <row r="4320" spans="1:7" ht="12.75" x14ac:dyDescent="0.2">
      <c r="A4320" s="3"/>
      <c r="B4320" s="4"/>
      <c r="G4320" s="19"/>
    </row>
    <row r="4321" spans="1:7" ht="12.75" x14ac:dyDescent="0.2">
      <c r="A4321" s="3"/>
      <c r="B4321" s="4"/>
      <c r="G4321" s="19"/>
    </row>
    <row r="4322" spans="1:7" ht="12.75" x14ac:dyDescent="0.2">
      <c r="A4322" s="3"/>
      <c r="B4322" s="4"/>
      <c r="G4322" s="19"/>
    </row>
    <row r="4323" spans="1:7" ht="12.75" x14ac:dyDescent="0.2">
      <c r="A4323" s="3"/>
      <c r="B4323" s="4"/>
      <c r="G4323" s="19"/>
    </row>
    <row r="4324" spans="1:7" ht="12.75" x14ac:dyDescent="0.2">
      <c r="A4324" s="3"/>
      <c r="B4324" s="4"/>
      <c r="G4324" s="19"/>
    </row>
    <row r="4325" spans="1:7" ht="12.75" x14ac:dyDescent="0.2">
      <c r="A4325" s="3"/>
      <c r="B4325" s="4"/>
      <c r="G4325" s="19"/>
    </row>
    <row r="4326" spans="1:7" ht="12.75" x14ac:dyDescent="0.2">
      <c r="A4326" s="3"/>
      <c r="B4326" s="4"/>
      <c r="G4326" s="19"/>
    </row>
    <row r="4327" spans="1:7" ht="12.75" x14ac:dyDescent="0.2">
      <c r="A4327" s="3"/>
      <c r="B4327" s="4"/>
      <c r="G4327" s="19"/>
    </row>
    <row r="4328" spans="1:7" ht="12.75" x14ac:dyDescent="0.2">
      <c r="A4328" s="3"/>
      <c r="B4328" s="4"/>
      <c r="G4328" s="19"/>
    </row>
    <row r="4329" spans="1:7" ht="12.75" x14ac:dyDescent="0.2">
      <c r="A4329" s="3"/>
      <c r="B4329" s="4"/>
      <c r="G4329" s="19"/>
    </row>
    <row r="4330" spans="1:7" ht="12.75" x14ac:dyDescent="0.2">
      <c r="A4330" s="3"/>
      <c r="B4330" s="4"/>
      <c r="G4330" s="19"/>
    </row>
    <row r="4331" spans="1:7" ht="12.75" x14ac:dyDescent="0.2">
      <c r="A4331" s="3"/>
      <c r="B4331" s="4"/>
      <c r="G4331" s="19"/>
    </row>
    <row r="4332" spans="1:7" ht="12.75" x14ac:dyDescent="0.2">
      <c r="A4332" s="3"/>
      <c r="B4332" s="4"/>
      <c r="G4332" s="19"/>
    </row>
    <row r="4333" spans="1:7" ht="12.75" x14ac:dyDescent="0.2">
      <c r="A4333" s="3"/>
      <c r="B4333" s="4"/>
      <c r="G4333" s="19"/>
    </row>
    <row r="4334" spans="1:7" ht="12.75" x14ac:dyDescent="0.2">
      <c r="A4334" s="3"/>
      <c r="B4334" s="4"/>
      <c r="G4334" s="19"/>
    </row>
    <row r="4335" spans="1:7" ht="12.75" x14ac:dyDescent="0.2">
      <c r="A4335" s="3"/>
      <c r="B4335" s="4"/>
      <c r="G4335" s="19"/>
    </row>
    <row r="4336" spans="1:7" ht="12.75" x14ac:dyDescent="0.2">
      <c r="A4336" s="3"/>
      <c r="B4336" s="4"/>
      <c r="G4336" s="19"/>
    </row>
    <row r="4337" spans="1:7" ht="12.75" x14ac:dyDescent="0.2">
      <c r="A4337" s="3"/>
      <c r="B4337" s="4"/>
      <c r="G4337" s="19"/>
    </row>
    <row r="4338" spans="1:7" ht="12.75" x14ac:dyDescent="0.2">
      <c r="A4338" s="3"/>
      <c r="B4338" s="4"/>
      <c r="G4338" s="19"/>
    </row>
    <row r="4339" spans="1:7" ht="12.75" x14ac:dyDescent="0.2">
      <c r="A4339" s="3"/>
      <c r="B4339" s="4"/>
      <c r="G4339" s="19"/>
    </row>
    <row r="4340" spans="1:7" ht="12.75" x14ac:dyDescent="0.2">
      <c r="A4340" s="3"/>
      <c r="B4340" s="4"/>
      <c r="G4340" s="19"/>
    </row>
    <row r="4341" spans="1:7" ht="12.75" x14ac:dyDescent="0.2">
      <c r="A4341" s="3"/>
      <c r="B4341" s="4"/>
      <c r="G4341" s="19"/>
    </row>
    <row r="4342" spans="1:7" ht="12.75" x14ac:dyDescent="0.2">
      <c r="A4342" s="3"/>
      <c r="B4342" s="4"/>
      <c r="G4342" s="19"/>
    </row>
    <row r="4343" spans="1:7" ht="12.75" x14ac:dyDescent="0.2">
      <c r="A4343" s="3"/>
      <c r="B4343" s="4"/>
      <c r="G4343" s="19"/>
    </row>
    <row r="4344" spans="1:7" ht="12.75" x14ac:dyDescent="0.2">
      <c r="A4344" s="3"/>
      <c r="B4344" s="4"/>
      <c r="G4344" s="19"/>
    </row>
    <row r="4345" spans="1:7" ht="12.75" x14ac:dyDescent="0.2">
      <c r="A4345" s="3"/>
      <c r="B4345" s="4"/>
      <c r="G4345" s="19"/>
    </row>
    <row r="4346" spans="1:7" ht="12.75" x14ac:dyDescent="0.2">
      <c r="A4346" s="3"/>
      <c r="B4346" s="4"/>
      <c r="G4346" s="19"/>
    </row>
    <row r="4347" spans="1:7" ht="12.75" x14ac:dyDescent="0.2">
      <c r="A4347" s="3"/>
      <c r="B4347" s="4"/>
      <c r="G4347" s="19"/>
    </row>
    <row r="4348" spans="1:7" ht="12.75" x14ac:dyDescent="0.2">
      <c r="A4348" s="3"/>
      <c r="B4348" s="4"/>
      <c r="G4348" s="19"/>
    </row>
    <row r="4349" spans="1:7" ht="12.75" x14ac:dyDescent="0.2">
      <c r="A4349" s="3"/>
      <c r="B4349" s="4"/>
      <c r="G4349" s="19"/>
    </row>
    <row r="4350" spans="1:7" ht="12.75" x14ac:dyDescent="0.2">
      <c r="A4350" s="3"/>
      <c r="B4350" s="4"/>
      <c r="G4350" s="19"/>
    </row>
    <row r="4351" spans="1:7" ht="12.75" x14ac:dyDescent="0.2">
      <c r="A4351" s="3"/>
      <c r="B4351" s="4"/>
      <c r="G4351" s="19"/>
    </row>
    <row r="4352" spans="1:7" ht="12.75" x14ac:dyDescent="0.2">
      <c r="A4352" s="3"/>
      <c r="B4352" s="4"/>
      <c r="G4352" s="19"/>
    </row>
    <row r="4353" spans="1:7" ht="12.75" x14ac:dyDescent="0.2">
      <c r="A4353" s="3"/>
      <c r="B4353" s="4"/>
      <c r="G4353" s="19"/>
    </row>
    <row r="4354" spans="1:7" ht="12.75" x14ac:dyDescent="0.2">
      <c r="A4354" s="3"/>
      <c r="B4354" s="4"/>
      <c r="G4354" s="19"/>
    </row>
    <row r="4355" spans="1:7" ht="12.75" x14ac:dyDescent="0.2">
      <c r="A4355" s="3"/>
      <c r="B4355" s="4"/>
      <c r="G4355" s="19"/>
    </row>
    <row r="4356" spans="1:7" ht="12.75" x14ac:dyDescent="0.2">
      <c r="A4356" s="3"/>
      <c r="B4356" s="4"/>
      <c r="G4356" s="19"/>
    </row>
  </sheetData>
  <mergeCells count="90">
    <mergeCell ref="G1847:G1866"/>
    <mergeCell ref="G1867:G1886"/>
    <mergeCell ref="G1887:G1906"/>
    <mergeCell ref="G1907:G1926"/>
    <mergeCell ref="G1927:G1946"/>
    <mergeCell ref="G1947:G1966"/>
    <mergeCell ref="G1967:G1986"/>
    <mergeCell ref="G1987:G2006"/>
    <mergeCell ref="G2007:G2026"/>
    <mergeCell ref="G2027:G2046"/>
    <mergeCell ref="G2047:G2066"/>
    <mergeCell ref="G2067:G2086"/>
    <mergeCell ref="G2087:G2106"/>
    <mergeCell ref="G2107:G2126"/>
    <mergeCell ref="G2127:G2146"/>
    <mergeCell ref="G2147:G2166"/>
    <mergeCell ref="G2167:G2186"/>
    <mergeCell ref="G2187:G2206"/>
    <mergeCell ref="G2207:G2226"/>
    <mergeCell ref="G2227:G2246"/>
    <mergeCell ref="G2247:G2266"/>
    <mergeCell ref="G2267:G2286"/>
    <mergeCell ref="G2287:G2306"/>
    <mergeCell ref="G2307:G2326"/>
    <mergeCell ref="G2327:G2346"/>
    <mergeCell ref="G2347:G2366"/>
    <mergeCell ref="G2367:G2386"/>
    <mergeCell ref="G2387:G2406"/>
    <mergeCell ref="G2547:G2566"/>
    <mergeCell ref="G2567:G2586"/>
    <mergeCell ref="G2587:G2606"/>
    <mergeCell ref="G2607:G2626"/>
    <mergeCell ref="G2627:G2646"/>
    <mergeCell ref="G2647:G2666"/>
    <mergeCell ref="G2407:G2426"/>
    <mergeCell ref="G2427:G2446"/>
    <mergeCell ref="G2447:G2466"/>
    <mergeCell ref="G2467:G2486"/>
    <mergeCell ref="G2487:G2506"/>
    <mergeCell ref="G2507:G2526"/>
    <mergeCell ref="G2527:G2546"/>
    <mergeCell ref="G867:G886"/>
    <mergeCell ref="G887:G906"/>
    <mergeCell ref="G907:G926"/>
    <mergeCell ref="G927:G946"/>
    <mergeCell ref="G947:G966"/>
    <mergeCell ref="G967:G986"/>
    <mergeCell ref="G987:G1006"/>
    <mergeCell ref="G1007:G1026"/>
    <mergeCell ref="G1027:G1046"/>
    <mergeCell ref="G1047:G1066"/>
    <mergeCell ref="G1067:G1086"/>
    <mergeCell ref="G1087:G1106"/>
    <mergeCell ref="G1107:G1126"/>
    <mergeCell ref="G1127:G1146"/>
    <mergeCell ref="G1147:G1166"/>
    <mergeCell ref="G1167:G1186"/>
    <mergeCell ref="G1187:G1206"/>
    <mergeCell ref="G1207:G1226"/>
    <mergeCell ref="G1227:G1246"/>
    <mergeCell ref="G1247:G1266"/>
    <mergeCell ref="G1267:G1286"/>
    <mergeCell ref="G1287:G1306"/>
    <mergeCell ref="G1307:G1326"/>
    <mergeCell ref="G1327:G1346"/>
    <mergeCell ref="G1347:G1366"/>
    <mergeCell ref="G1367:G1386"/>
    <mergeCell ref="G1387:G1406"/>
    <mergeCell ref="G1407:G1426"/>
    <mergeCell ref="G1427:G1446"/>
    <mergeCell ref="G1447:G1466"/>
    <mergeCell ref="G1467:G1486"/>
    <mergeCell ref="G1487:G1506"/>
    <mergeCell ref="G1507:G1526"/>
    <mergeCell ref="G1527:G1546"/>
    <mergeCell ref="G1547:G1566"/>
    <mergeCell ref="G1567:G1586"/>
    <mergeCell ref="G1587:G1606"/>
    <mergeCell ref="G1607:G1626"/>
    <mergeCell ref="G1627:G1646"/>
    <mergeCell ref="G1647:G1666"/>
    <mergeCell ref="G1767:G1786"/>
    <mergeCell ref="G1787:G1806"/>
    <mergeCell ref="G1807:G1826"/>
    <mergeCell ref="G1827:G1846"/>
    <mergeCell ref="G1667:G1686"/>
    <mergeCell ref="G1687:G1706"/>
    <mergeCell ref="G1707:G1726"/>
    <mergeCell ref="G1727:G1746"/>
    <mergeCell ref="G1747:G1766"/>
  </mergeCells>
  <dataValidations count="3">
    <dataValidation type="list" allowBlank="1" showErrorMessage="1" sqref="C867:C2666" xr:uid="{00000000-0002-0000-0A00-000000000000}">
      <formula1>$I$9:$I$11</formula1>
    </dataValidation>
    <dataValidation type="list" allowBlank="1" sqref="D1:D4356" xr:uid="{00000000-0002-0000-0A00-000001000000}">
      <formula1>$J$4:$J$86</formula1>
    </dataValidation>
    <dataValidation type="list" allowBlank="1" showErrorMessage="1" sqref="C6:C866 C2667:C4356" xr:uid="{00000000-0002-0000-0A00-000002000000}">
      <formula1>$I$4:$I$14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3000000}">
          <x14:formula1>
            <xm:f>'Copia de Localidades'!$A$3:$A$105</xm:f>
          </x14:formula1>
          <xm:sqref>B1:B4356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S1004"/>
  <sheetViews>
    <sheetView showGridLines="0" workbookViewId="0">
      <selection activeCell="H6" sqref="H6"/>
    </sheetView>
  </sheetViews>
  <sheetFormatPr baseColWidth="10" defaultColWidth="14.42578125" defaultRowHeight="15.75" customHeight="1" x14ac:dyDescent="0.2"/>
  <sheetData>
    <row r="1" spans="1:19" ht="15.75" customHeight="1" x14ac:dyDescent="0.2">
      <c r="A1" s="20"/>
    </row>
    <row r="2" spans="1:19" ht="15" x14ac:dyDescent="0.25">
      <c r="A2" s="60" t="s">
        <v>364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1"/>
      <c r="O2" s="21"/>
      <c r="P2" s="21"/>
      <c r="Q2" s="21"/>
      <c r="R2" s="21"/>
      <c r="S2" s="21"/>
    </row>
    <row r="3" spans="1:19" ht="15.75" customHeight="1" x14ac:dyDescent="0.2">
      <c r="A3" s="61"/>
      <c r="B3" s="57"/>
      <c r="C3" s="57"/>
      <c r="D3" s="57"/>
      <c r="E3" s="57"/>
      <c r="F3" s="57"/>
      <c r="G3" s="57"/>
      <c r="H3" s="57"/>
      <c r="I3" s="57"/>
      <c r="J3" s="31"/>
      <c r="K3" s="31"/>
      <c r="L3" s="31"/>
      <c r="M3" s="31"/>
    </row>
    <row r="4" spans="1:19" ht="15.75" customHeight="1" x14ac:dyDescent="0.2">
      <c r="A4" s="2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9" ht="15.75" customHeight="1" x14ac:dyDescent="0.2">
      <c r="A5" s="49" t="s">
        <v>365</v>
      </c>
      <c r="B5" s="49" t="s">
        <v>1</v>
      </c>
      <c r="C5" s="49" t="s">
        <v>6</v>
      </c>
    </row>
    <row r="6" spans="1:19" ht="15.75" customHeight="1" x14ac:dyDescent="0.2">
      <c r="B6" s="55" t="s">
        <v>283</v>
      </c>
      <c r="D6" s="55" t="s">
        <v>128</v>
      </c>
      <c r="F6" s="55" t="s">
        <v>14</v>
      </c>
      <c r="H6" s="55" t="s">
        <v>149</v>
      </c>
      <c r="J6" s="55" t="s">
        <v>315</v>
      </c>
      <c r="L6" s="55" t="s">
        <v>138</v>
      </c>
    </row>
    <row r="7" spans="1:19" ht="15.75" customHeight="1" x14ac:dyDescent="0.2">
      <c r="A7" s="49" t="s">
        <v>5</v>
      </c>
      <c r="B7" s="55" t="s">
        <v>273</v>
      </c>
      <c r="C7" s="55" t="s">
        <v>125</v>
      </c>
      <c r="D7" s="55" t="s">
        <v>273</v>
      </c>
      <c r="E7" s="55" t="s">
        <v>125</v>
      </c>
      <c r="F7" s="55" t="s">
        <v>125</v>
      </c>
      <c r="G7" s="55" t="s">
        <v>273</v>
      </c>
      <c r="H7" s="55" t="s">
        <v>273</v>
      </c>
      <c r="I7" s="55" t="s">
        <v>125</v>
      </c>
      <c r="J7" s="55" t="s">
        <v>273</v>
      </c>
      <c r="K7" s="55" t="s">
        <v>125</v>
      </c>
      <c r="L7" s="55" t="s">
        <v>273</v>
      </c>
      <c r="M7" s="55" t="s">
        <v>125</v>
      </c>
    </row>
    <row r="8" spans="1:19" ht="15.75" customHeight="1" x14ac:dyDescent="0.2">
      <c r="A8" s="55" t="s">
        <v>40</v>
      </c>
      <c r="B8" s="50">
        <v>22106</v>
      </c>
      <c r="C8" s="50">
        <v>21892</v>
      </c>
      <c r="D8" s="50">
        <v>23505</v>
      </c>
      <c r="E8" s="50">
        <v>23541</v>
      </c>
      <c r="F8" s="50">
        <v>14678</v>
      </c>
      <c r="G8" s="50">
        <v>14296</v>
      </c>
      <c r="H8" s="50">
        <v>7742</v>
      </c>
      <c r="I8" s="50">
        <v>7612</v>
      </c>
      <c r="J8" s="50">
        <v>1841</v>
      </c>
      <c r="K8" s="50">
        <v>1783</v>
      </c>
      <c r="L8" s="50">
        <v>561</v>
      </c>
      <c r="M8" s="50">
        <v>545</v>
      </c>
      <c r="N8" s="22"/>
      <c r="O8" s="22"/>
      <c r="P8" s="22"/>
      <c r="Q8" s="22"/>
      <c r="R8" s="22"/>
      <c r="S8" s="23"/>
    </row>
    <row r="9" spans="1:19" ht="15.75" customHeight="1" x14ac:dyDescent="0.2">
      <c r="A9" s="55" t="s">
        <v>84</v>
      </c>
      <c r="B9" s="50">
        <v>6059</v>
      </c>
      <c r="C9" s="50">
        <v>6068</v>
      </c>
      <c r="D9" s="50">
        <v>3416</v>
      </c>
      <c r="E9" s="50">
        <v>3430</v>
      </c>
      <c r="F9" s="50">
        <v>4328</v>
      </c>
      <c r="G9" s="50">
        <v>4283</v>
      </c>
      <c r="H9" s="50">
        <v>2472</v>
      </c>
      <c r="I9" s="50">
        <v>2416</v>
      </c>
      <c r="J9" s="50">
        <v>335</v>
      </c>
      <c r="K9" s="50">
        <v>322</v>
      </c>
      <c r="L9" s="50">
        <v>154</v>
      </c>
      <c r="M9" s="50">
        <v>155</v>
      </c>
      <c r="N9" s="24"/>
      <c r="O9" s="24"/>
      <c r="P9" s="24"/>
      <c r="Q9" s="24"/>
      <c r="R9" s="24"/>
      <c r="S9" s="25"/>
    </row>
    <row r="10" spans="1:19" ht="15.75" customHeight="1" x14ac:dyDescent="0.2">
      <c r="A10" s="55" t="s">
        <v>113</v>
      </c>
      <c r="B10" s="50">
        <v>2132</v>
      </c>
      <c r="C10" s="50">
        <v>2124</v>
      </c>
      <c r="D10" s="50">
        <v>2225</v>
      </c>
      <c r="E10" s="50">
        <v>2164</v>
      </c>
      <c r="F10" s="50">
        <v>3259</v>
      </c>
      <c r="G10" s="50">
        <v>3163</v>
      </c>
      <c r="H10" s="50">
        <v>1137</v>
      </c>
      <c r="I10" s="50">
        <v>1113</v>
      </c>
      <c r="J10" s="50">
        <v>90</v>
      </c>
      <c r="K10" s="50">
        <v>75</v>
      </c>
      <c r="L10" s="50">
        <v>88</v>
      </c>
      <c r="M10" s="50">
        <v>100</v>
      </c>
      <c r="N10" s="24"/>
      <c r="O10" s="24"/>
      <c r="P10" s="24"/>
      <c r="Q10" s="24"/>
      <c r="R10" s="24"/>
      <c r="S10" s="25"/>
    </row>
    <row r="11" spans="1:19" ht="15.75" customHeight="1" x14ac:dyDescent="0.2">
      <c r="A11" s="55" t="s">
        <v>106</v>
      </c>
      <c r="B11" s="50">
        <v>3138</v>
      </c>
      <c r="C11" s="50">
        <v>3175</v>
      </c>
      <c r="D11" s="50">
        <v>2598</v>
      </c>
      <c r="E11" s="50">
        <v>2580</v>
      </c>
      <c r="F11" s="50">
        <v>1812</v>
      </c>
      <c r="G11" s="50">
        <v>1756</v>
      </c>
      <c r="H11" s="50">
        <v>1019</v>
      </c>
      <c r="I11" s="50">
        <v>959</v>
      </c>
      <c r="J11" s="50">
        <v>198</v>
      </c>
      <c r="K11" s="50">
        <v>183</v>
      </c>
      <c r="L11" s="50">
        <v>41</v>
      </c>
      <c r="M11" s="50">
        <v>41</v>
      </c>
      <c r="N11" s="24"/>
      <c r="O11" s="24"/>
      <c r="P11" s="24"/>
      <c r="Q11" s="24"/>
      <c r="R11" s="24"/>
      <c r="S11" s="25"/>
    </row>
    <row r="12" spans="1:19" ht="15.75" customHeight="1" x14ac:dyDescent="0.2">
      <c r="A12" s="55" t="s">
        <v>57</v>
      </c>
      <c r="B12" s="50">
        <v>2993</v>
      </c>
      <c r="C12" s="50">
        <v>2993</v>
      </c>
      <c r="D12" s="50">
        <v>2672</v>
      </c>
      <c r="E12" s="50">
        <v>2642</v>
      </c>
      <c r="F12" s="50">
        <v>964</v>
      </c>
      <c r="G12" s="50">
        <v>933</v>
      </c>
      <c r="H12" s="50">
        <v>469</v>
      </c>
      <c r="I12" s="50">
        <v>460</v>
      </c>
      <c r="J12" s="50">
        <v>64</v>
      </c>
      <c r="K12" s="50">
        <v>65</v>
      </c>
      <c r="L12" s="50">
        <v>66</v>
      </c>
      <c r="M12" s="50">
        <v>73</v>
      </c>
      <c r="N12" s="24"/>
      <c r="O12" s="24"/>
      <c r="P12" s="24"/>
      <c r="Q12" s="24"/>
      <c r="R12" s="24"/>
      <c r="S12" s="25"/>
    </row>
    <row r="13" spans="1:19" ht="15.75" customHeight="1" x14ac:dyDescent="0.2">
      <c r="A13" s="55" t="s">
        <v>86</v>
      </c>
      <c r="B13" s="50">
        <v>1997</v>
      </c>
      <c r="C13" s="50">
        <v>2283</v>
      </c>
      <c r="D13" s="50">
        <v>759</v>
      </c>
      <c r="E13" s="50">
        <v>734</v>
      </c>
      <c r="F13" s="50">
        <v>2143</v>
      </c>
      <c r="G13" s="50">
        <v>2375</v>
      </c>
      <c r="H13" s="50">
        <v>636</v>
      </c>
      <c r="I13" s="50">
        <v>605</v>
      </c>
      <c r="J13" s="50">
        <v>97</v>
      </c>
      <c r="K13" s="50">
        <v>96</v>
      </c>
      <c r="L13" s="50">
        <v>50</v>
      </c>
      <c r="M13" s="50">
        <v>53</v>
      </c>
      <c r="N13" s="24"/>
      <c r="O13" s="24"/>
      <c r="P13" s="24"/>
      <c r="Q13" s="24"/>
      <c r="R13" s="24"/>
      <c r="S13" s="25"/>
    </row>
    <row r="14" spans="1:19" ht="15.75" customHeight="1" x14ac:dyDescent="0.2">
      <c r="A14" s="55" t="s">
        <v>52</v>
      </c>
      <c r="B14" s="50">
        <v>1757</v>
      </c>
      <c r="C14" s="50">
        <v>1780</v>
      </c>
      <c r="D14" s="50">
        <v>2210</v>
      </c>
      <c r="E14" s="50">
        <v>2193</v>
      </c>
      <c r="F14" s="50">
        <v>1222</v>
      </c>
      <c r="G14" s="50">
        <v>1218</v>
      </c>
      <c r="H14" s="50">
        <v>388</v>
      </c>
      <c r="I14" s="50">
        <v>369</v>
      </c>
      <c r="J14" s="50">
        <v>59</v>
      </c>
      <c r="K14" s="50">
        <v>68</v>
      </c>
      <c r="L14" s="50">
        <v>191</v>
      </c>
      <c r="M14" s="50">
        <v>191</v>
      </c>
      <c r="N14" s="24"/>
      <c r="O14" s="24"/>
      <c r="P14" s="24"/>
      <c r="Q14" s="24"/>
      <c r="R14" s="24"/>
      <c r="S14" s="25"/>
    </row>
    <row r="15" spans="1:19" ht="15.75" customHeight="1" x14ac:dyDescent="0.2">
      <c r="A15" s="55" t="s">
        <v>105</v>
      </c>
      <c r="B15" s="50">
        <v>2253</v>
      </c>
      <c r="C15" s="50">
        <v>2241</v>
      </c>
      <c r="D15" s="50">
        <v>2096</v>
      </c>
      <c r="E15" s="50">
        <v>2032</v>
      </c>
      <c r="F15" s="50">
        <v>918</v>
      </c>
      <c r="G15" s="50">
        <v>830</v>
      </c>
      <c r="H15" s="50">
        <v>294</v>
      </c>
      <c r="I15" s="50">
        <v>287</v>
      </c>
      <c r="J15" s="50">
        <v>56</v>
      </c>
      <c r="K15" s="50">
        <v>52</v>
      </c>
      <c r="L15" s="50">
        <v>15</v>
      </c>
      <c r="M15" s="50">
        <v>14</v>
      </c>
      <c r="N15" s="24"/>
      <c r="O15" s="24"/>
      <c r="P15" s="24"/>
      <c r="Q15" s="24"/>
      <c r="R15" s="24"/>
      <c r="S15" s="25"/>
    </row>
    <row r="16" spans="1:19" ht="15.75" customHeight="1" x14ac:dyDescent="0.2">
      <c r="A16" s="55" t="s">
        <v>78</v>
      </c>
      <c r="B16" s="50">
        <v>2093</v>
      </c>
      <c r="C16" s="50">
        <v>2081</v>
      </c>
      <c r="D16" s="50">
        <v>826</v>
      </c>
      <c r="E16" s="50">
        <v>830</v>
      </c>
      <c r="F16" s="50">
        <v>1260</v>
      </c>
      <c r="G16" s="50">
        <v>1245</v>
      </c>
      <c r="H16" s="50">
        <v>240</v>
      </c>
      <c r="I16" s="50">
        <v>237</v>
      </c>
      <c r="J16" s="50">
        <v>53</v>
      </c>
      <c r="K16" s="50">
        <v>51</v>
      </c>
      <c r="L16" s="50">
        <v>146</v>
      </c>
      <c r="M16" s="50">
        <v>144</v>
      </c>
      <c r="N16" s="24"/>
      <c r="O16" s="24"/>
      <c r="P16" s="24"/>
      <c r="Q16" s="24"/>
      <c r="R16" s="24"/>
      <c r="S16" s="25"/>
    </row>
    <row r="17" spans="1:19" ht="15.75" customHeight="1" x14ac:dyDescent="0.2">
      <c r="A17" s="55" t="s">
        <v>25</v>
      </c>
      <c r="B17" s="50">
        <v>1596</v>
      </c>
      <c r="C17" s="50">
        <v>1596</v>
      </c>
      <c r="D17" s="50">
        <v>1306</v>
      </c>
      <c r="E17" s="50">
        <v>1304</v>
      </c>
      <c r="F17" s="50">
        <v>585</v>
      </c>
      <c r="G17" s="50">
        <v>543</v>
      </c>
      <c r="H17" s="50">
        <v>227</v>
      </c>
      <c r="I17" s="50">
        <v>191</v>
      </c>
      <c r="J17" s="50">
        <v>178</v>
      </c>
      <c r="K17" s="50">
        <v>175</v>
      </c>
      <c r="L17" s="50">
        <v>16</v>
      </c>
      <c r="M17" s="50">
        <v>15</v>
      </c>
      <c r="N17" s="24"/>
      <c r="O17" s="24"/>
      <c r="P17" s="24"/>
      <c r="Q17" s="24"/>
      <c r="R17" s="24"/>
      <c r="S17" s="25"/>
    </row>
    <row r="18" spans="1:19" ht="15.75" customHeight="1" x14ac:dyDescent="0.2">
      <c r="A18" s="55" t="s">
        <v>104</v>
      </c>
      <c r="B18" s="50">
        <v>1531</v>
      </c>
      <c r="C18" s="50">
        <v>1519</v>
      </c>
      <c r="D18" s="50">
        <v>1066</v>
      </c>
      <c r="E18" s="50">
        <v>1076</v>
      </c>
      <c r="F18" s="50">
        <v>553</v>
      </c>
      <c r="G18" s="50">
        <v>538</v>
      </c>
      <c r="H18" s="50">
        <v>219</v>
      </c>
      <c r="I18" s="50">
        <v>211</v>
      </c>
      <c r="J18" s="50">
        <v>69</v>
      </c>
      <c r="K18" s="50">
        <v>64</v>
      </c>
      <c r="L18" s="50">
        <v>22</v>
      </c>
      <c r="M18" s="50">
        <v>22</v>
      </c>
      <c r="N18" s="24"/>
      <c r="O18" s="24"/>
      <c r="P18" s="24"/>
      <c r="Q18" s="24"/>
      <c r="R18" s="24"/>
      <c r="S18" s="25"/>
    </row>
    <row r="19" spans="1:19" ht="15.75" customHeight="1" x14ac:dyDescent="0.2">
      <c r="A19" s="55" t="s">
        <v>42</v>
      </c>
      <c r="B19" s="50">
        <v>1330</v>
      </c>
      <c r="C19" s="50">
        <v>1322</v>
      </c>
      <c r="D19" s="50">
        <v>1076</v>
      </c>
      <c r="E19" s="50">
        <v>1069</v>
      </c>
      <c r="F19" s="50">
        <v>528</v>
      </c>
      <c r="G19" s="50">
        <v>513</v>
      </c>
      <c r="H19" s="50">
        <v>189</v>
      </c>
      <c r="I19" s="50">
        <v>190</v>
      </c>
      <c r="J19" s="50">
        <v>17</v>
      </c>
      <c r="K19" s="50">
        <v>16</v>
      </c>
      <c r="L19" s="50">
        <v>9</v>
      </c>
      <c r="M19" s="50">
        <v>9</v>
      </c>
      <c r="N19" s="24"/>
      <c r="O19" s="24"/>
      <c r="P19" s="24"/>
      <c r="Q19" s="24"/>
      <c r="R19" s="24"/>
      <c r="S19" s="25"/>
    </row>
    <row r="20" spans="1:19" ht="15.75" customHeight="1" x14ac:dyDescent="0.2">
      <c r="A20" s="55" t="s">
        <v>66</v>
      </c>
      <c r="B20" s="50">
        <v>665</v>
      </c>
      <c r="C20" s="50">
        <v>654</v>
      </c>
      <c r="D20" s="50">
        <v>1562</v>
      </c>
      <c r="E20" s="50">
        <v>1557</v>
      </c>
      <c r="F20" s="50">
        <v>490</v>
      </c>
      <c r="G20" s="50">
        <v>472</v>
      </c>
      <c r="H20" s="50">
        <v>350</v>
      </c>
      <c r="I20" s="50">
        <v>346</v>
      </c>
      <c r="J20" s="50">
        <v>32</v>
      </c>
      <c r="K20" s="50">
        <v>34</v>
      </c>
      <c r="L20" s="50">
        <v>1</v>
      </c>
      <c r="M20" s="50">
        <v>1</v>
      </c>
      <c r="N20" s="24"/>
      <c r="O20" s="24"/>
      <c r="P20" s="24"/>
      <c r="Q20" s="24"/>
      <c r="R20" s="24"/>
      <c r="S20" s="25"/>
    </row>
    <row r="21" spans="1:19" ht="15.75" customHeight="1" x14ac:dyDescent="0.2">
      <c r="A21" s="55" t="s">
        <v>90</v>
      </c>
      <c r="B21" s="50">
        <v>968</v>
      </c>
      <c r="C21" s="50">
        <v>966</v>
      </c>
      <c r="D21" s="50">
        <v>1043</v>
      </c>
      <c r="E21" s="50">
        <v>1052</v>
      </c>
      <c r="F21" s="50">
        <v>517</v>
      </c>
      <c r="G21" s="50">
        <v>517</v>
      </c>
      <c r="H21" s="50">
        <v>234</v>
      </c>
      <c r="I21" s="50">
        <v>222</v>
      </c>
      <c r="J21" s="50">
        <v>23</v>
      </c>
      <c r="K21" s="50">
        <v>30</v>
      </c>
      <c r="L21" s="50">
        <v>10</v>
      </c>
      <c r="M21" s="50">
        <v>8</v>
      </c>
      <c r="N21" s="24"/>
      <c r="O21" s="24"/>
      <c r="P21" s="24"/>
      <c r="Q21" s="24"/>
      <c r="R21" s="24"/>
      <c r="S21" s="25"/>
    </row>
    <row r="22" spans="1:19" ht="15.75" customHeight="1" x14ac:dyDescent="0.2">
      <c r="A22" s="55" t="s">
        <v>98</v>
      </c>
      <c r="B22" s="50">
        <v>1209</v>
      </c>
      <c r="C22" s="50">
        <v>1210</v>
      </c>
      <c r="D22" s="50">
        <v>1008</v>
      </c>
      <c r="E22" s="50">
        <v>1003</v>
      </c>
      <c r="F22" s="50">
        <v>345</v>
      </c>
      <c r="G22" s="50">
        <v>341</v>
      </c>
      <c r="H22" s="50">
        <v>77</v>
      </c>
      <c r="I22" s="50">
        <v>78</v>
      </c>
      <c r="J22" s="50">
        <v>6</v>
      </c>
      <c r="K22" s="50">
        <v>7</v>
      </c>
      <c r="L22" s="50">
        <v>18</v>
      </c>
      <c r="M22" s="50">
        <v>16</v>
      </c>
      <c r="N22" s="24"/>
      <c r="O22" s="24"/>
      <c r="P22" s="24"/>
      <c r="Q22" s="24"/>
      <c r="R22" s="24"/>
      <c r="S22" s="25"/>
    </row>
    <row r="23" spans="1:19" ht="15.75" customHeight="1" x14ac:dyDescent="0.2">
      <c r="A23" s="55" t="s">
        <v>109</v>
      </c>
      <c r="B23" s="50">
        <v>1252</v>
      </c>
      <c r="C23" s="50">
        <v>1244</v>
      </c>
      <c r="D23" s="50">
        <v>792</v>
      </c>
      <c r="E23" s="50">
        <v>728</v>
      </c>
      <c r="F23" s="50">
        <v>417</v>
      </c>
      <c r="G23" s="50">
        <v>447</v>
      </c>
      <c r="H23" s="50">
        <v>134</v>
      </c>
      <c r="I23" s="50">
        <v>154</v>
      </c>
      <c r="J23" s="50">
        <v>10</v>
      </c>
      <c r="K23" s="50">
        <v>91</v>
      </c>
      <c r="L23" s="50">
        <v>12</v>
      </c>
      <c r="M23" s="50">
        <v>13</v>
      </c>
      <c r="N23" s="24"/>
      <c r="O23" s="24"/>
      <c r="P23" s="24"/>
      <c r="Q23" s="24"/>
      <c r="R23" s="24"/>
      <c r="S23" s="25"/>
    </row>
    <row r="24" spans="1:19" ht="15.75" customHeight="1" x14ac:dyDescent="0.2">
      <c r="A24" s="55" t="s">
        <v>88</v>
      </c>
      <c r="B24" s="50">
        <v>974</v>
      </c>
      <c r="C24" s="50">
        <v>980</v>
      </c>
      <c r="D24" s="50">
        <v>762</v>
      </c>
      <c r="E24" s="50">
        <v>794</v>
      </c>
      <c r="F24" s="50">
        <v>363</v>
      </c>
      <c r="G24" s="50">
        <v>399</v>
      </c>
      <c r="H24" s="50">
        <v>72</v>
      </c>
      <c r="I24" s="50">
        <v>70</v>
      </c>
      <c r="J24" s="50">
        <v>24</v>
      </c>
      <c r="K24" s="50">
        <v>24</v>
      </c>
      <c r="L24" s="50">
        <v>3</v>
      </c>
      <c r="M24" s="50">
        <v>3</v>
      </c>
      <c r="N24" s="24"/>
      <c r="O24" s="24"/>
      <c r="P24" s="24"/>
      <c r="Q24" s="24"/>
      <c r="R24" s="24"/>
      <c r="S24" s="25"/>
    </row>
    <row r="25" spans="1:19" ht="15.75" customHeight="1" x14ac:dyDescent="0.2">
      <c r="A25" s="55" t="s">
        <v>61</v>
      </c>
      <c r="B25" s="50">
        <v>830</v>
      </c>
      <c r="C25" s="50">
        <v>825</v>
      </c>
      <c r="D25" s="50">
        <v>821</v>
      </c>
      <c r="E25" s="50">
        <v>820</v>
      </c>
      <c r="F25" s="50">
        <v>383</v>
      </c>
      <c r="G25" s="50">
        <v>370</v>
      </c>
      <c r="H25" s="50">
        <v>82</v>
      </c>
      <c r="I25" s="50">
        <v>80</v>
      </c>
      <c r="J25" s="50">
        <v>16</v>
      </c>
      <c r="K25" s="50">
        <v>11</v>
      </c>
      <c r="L25" s="50">
        <v>4</v>
      </c>
      <c r="M25" s="50">
        <v>4</v>
      </c>
      <c r="N25" s="24"/>
      <c r="O25" s="24"/>
      <c r="P25" s="24"/>
      <c r="Q25" s="24"/>
      <c r="R25" s="24"/>
      <c r="S25" s="25"/>
    </row>
    <row r="26" spans="1:19" ht="15.75" customHeight="1" x14ac:dyDescent="0.2">
      <c r="A26" s="55" t="s">
        <v>72</v>
      </c>
      <c r="B26" s="50">
        <v>747</v>
      </c>
      <c r="C26" s="50">
        <v>750</v>
      </c>
      <c r="D26" s="50">
        <v>852</v>
      </c>
      <c r="E26" s="50">
        <v>857</v>
      </c>
      <c r="F26" s="50">
        <v>340</v>
      </c>
      <c r="G26" s="50">
        <v>319</v>
      </c>
      <c r="H26" s="50">
        <v>170</v>
      </c>
      <c r="I26" s="50">
        <v>141</v>
      </c>
      <c r="J26" s="50">
        <v>10</v>
      </c>
      <c r="K26" s="50">
        <v>10</v>
      </c>
      <c r="L26" s="50">
        <v>10</v>
      </c>
      <c r="M26" s="50">
        <v>10</v>
      </c>
      <c r="N26" s="24"/>
      <c r="O26" s="24"/>
      <c r="P26" s="24"/>
      <c r="Q26" s="24"/>
      <c r="R26" s="24"/>
      <c r="S26" s="25"/>
    </row>
    <row r="27" spans="1:19" ht="15.75" customHeight="1" x14ac:dyDescent="0.2">
      <c r="A27" s="55" t="s">
        <v>73</v>
      </c>
      <c r="B27" s="50">
        <v>691</v>
      </c>
      <c r="C27" s="50">
        <v>687</v>
      </c>
      <c r="D27" s="50">
        <v>576</v>
      </c>
      <c r="E27" s="50">
        <v>570</v>
      </c>
      <c r="F27" s="50">
        <v>483</v>
      </c>
      <c r="G27" s="50">
        <v>461</v>
      </c>
      <c r="H27" s="50">
        <v>285</v>
      </c>
      <c r="I27" s="50">
        <v>274</v>
      </c>
      <c r="J27" s="50">
        <v>34</v>
      </c>
      <c r="K27" s="50">
        <v>33</v>
      </c>
      <c r="L27" s="50">
        <v>8</v>
      </c>
      <c r="M27" s="50">
        <v>8</v>
      </c>
      <c r="N27" s="24"/>
      <c r="O27" s="24"/>
      <c r="P27" s="24"/>
      <c r="Q27" s="24"/>
      <c r="R27" s="24"/>
      <c r="S27" s="25"/>
    </row>
    <row r="28" spans="1:19" ht="15.75" customHeight="1" x14ac:dyDescent="0.2">
      <c r="A28" s="55" t="s">
        <v>46</v>
      </c>
      <c r="B28" s="50">
        <v>1133</v>
      </c>
      <c r="C28" s="50">
        <v>1135</v>
      </c>
      <c r="D28" s="50">
        <v>280</v>
      </c>
      <c r="E28" s="50">
        <v>274</v>
      </c>
      <c r="F28" s="50">
        <v>509</v>
      </c>
      <c r="G28" s="50">
        <v>502</v>
      </c>
      <c r="H28" s="50">
        <v>118</v>
      </c>
      <c r="I28" s="50">
        <v>118</v>
      </c>
      <c r="J28" s="50">
        <v>10</v>
      </c>
      <c r="K28" s="50">
        <v>10</v>
      </c>
      <c r="L28" s="50">
        <v>10</v>
      </c>
      <c r="M28" s="50">
        <v>7</v>
      </c>
      <c r="N28" s="24"/>
      <c r="O28" s="24"/>
      <c r="P28" s="24"/>
      <c r="Q28" s="24"/>
      <c r="R28" s="24"/>
      <c r="S28" s="25"/>
    </row>
    <row r="29" spans="1:19" ht="15.75" customHeight="1" x14ac:dyDescent="0.2">
      <c r="A29" s="55" t="s">
        <v>35</v>
      </c>
      <c r="B29" s="50">
        <v>789</v>
      </c>
      <c r="C29" s="50">
        <v>759</v>
      </c>
      <c r="D29" s="50">
        <v>854</v>
      </c>
      <c r="E29" s="50">
        <v>789</v>
      </c>
      <c r="F29" s="50">
        <v>302</v>
      </c>
      <c r="G29" s="50">
        <v>190</v>
      </c>
      <c r="H29" s="50">
        <v>29</v>
      </c>
      <c r="I29" s="50">
        <v>28</v>
      </c>
      <c r="J29" s="50">
        <v>25</v>
      </c>
      <c r="K29" s="50">
        <v>9</v>
      </c>
      <c r="L29" s="50">
        <v>0</v>
      </c>
      <c r="M29" s="50">
        <v>0</v>
      </c>
      <c r="N29" s="24"/>
      <c r="O29" s="24"/>
      <c r="P29" s="24"/>
      <c r="Q29" s="24"/>
      <c r="R29" s="24"/>
      <c r="S29" s="25"/>
    </row>
    <row r="30" spans="1:19" ht="15.75" customHeight="1" x14ac:dyDescent="0.2">
      <c r="A30" s="55" t="s">
        <v>95</v>
      </c>
      <c r="B30" s="50">
        <v>462</v>
      </c>
      <c r="C30" s="50">
        <v>465</v>
      </c>
      <c r="D30" s="50">
        <v>809</v>
      </c>
      <c r="E30" s="50">
        <v>794</v>
      </c>
      <c r="F30" s="50">
        <v>362</v>
      </c>
      <c r="G30" s="50">
        <v>349</v>
      </c>
      <c r="H30" s="50">
        <v>99</v>
      </c>
      <c r="I30" s="50">
        <v>98</v>
      </c>
      <c r="J30" s="50">
        <v>10</v>
      </c>
      <c r="K30" s="50">
        <v>10</v>
      </c>
      <c r="L30" s="50">
        <v>2</v>
      </c>
      <c r="M30" s="50">
        <v>2</v>
      </c>
      <c r="N30" s="24"/>
      <c r="O30" s="24"/>
      <c r="P30" s="24"/>
      <c r="Q30" s="24"/>
      <c r="R30" s="24"/>
      <c r="S30" s="25"/>
    </row>
    <row r="31" spans="1:19" ht="15.75" customHeight="1" x14ac:dyDescent="0.2">
      <c r="A31" s="55" t="s">
        <v>93</v>
      </c>
      <c r="B31" s="50">
        <v>882</v>
      </c>
      <c r="C31" s="50">
        <v>857</v>
      </c>
      <c r="D31" s="50">
        <v>545</v>
      </c>
      <c r="E31" s="50">
        <v>534</v>
      </c>
      <c r="F31" s="50">
        <v>240</v>
      </c>
      <c r="G31" s="50">
        <v>202</v>
      </c>
      <c r="H31" s="50">
        <v>68</v>
      </c>
      <c r="I31" s="50">
        <v>64</v>
      </c>
      <c r="J31" s="50">
        <v>8</v>
      </c>
      <c r="K31" s="50">
        <v>10</v>
      </c>
      <c r="L31" s="50">
        <v>1</v>
      </c>
      <c r="M31" s="50">
        <v>1</v>
      </c>
      <c r="N31" s="24"/>
      <c r="O31" s="24"/>
      <c r="P31" s="24"/>
      <c r="Q31" s="24"/>
      <c r="R31" s="24"/>
      <c r="S31" s="25"/>
    </row>
    <row r="32" spans="1:19" ht="15.75" customHeight="1" x14ac:dyDescent="0.2">
      <c r="A32" s="55" t="s">
        <v>64</v>
      </c>
      <c r="B32" s="50">
        <v>669</v>
      </c>
      <c r="C32" s="50">
        <v>665</v>
      </c>
      <c r="D32" s="50">
        <v>745</v>
      </c>
      <c r="E32" s="50">
        <v>745</v>
      </c>
      <c r="F32" s="50">
        <v>198</v>
      </c>
      <c r="G32" s="50">
        <v>192</v>
      </c>
      <c r="H32" s="50">
        <v>59</v>
      </c>
      <c r="I32" s="50">
        <v>57</v>
      </c>
      <c r="J32" s="50">
        <v>6</v>
      </c>
      <c r="K32" s="50">
        <v>6</v>
      </c>
      <c r="L32" s="50">
        <v>0</v>
      </c>
      <c r="M32" s="50">
        <v>0</v>
      </c>
      <c r="N32" s="24"/>
      <c r="O32" s="24"/>
      <c r="P32" s="24"/>
      <c r="Q32" s="24"/>
      <c r="R32" s="24"/>
      <c r="S32" s="25"/>
    </row>
    <row r="33" spans="1:19" ht="15.75" customHeight="1" x14ac:dyDescent="0.2">
      <c r="A33" s="55" t="s">
        <v>38</v>
      </c>
      <c r="B33" s="50">
        <v>631</v>
      </c>
      <c r="C33" s="50">
        <v>632</v>
      </c>
      <c r="D33" s="50">
        <v>695</v>
      </c>
      <c r="E33" s="50">
        <v>690</v>
      </c>
      <c r="F33" s="50">
        <v>174</v>
      </c>
      <c r="G33" s="50">
        <v>170</v>
      </c>
      <c r="H33" s="50">
        <v>32</v>
      </c>
      <c r="I33" s="50">
        <v>33</v>
      </c>
      <c r="J33" s="50">
        <v>6</v>
      </c>
      <c r="K33" s="50">
        <v>5</v>
      </c>
      <c r="L33" s="50">
        <v>7</v>
      </c>
      <c r="M33" s="50">
        <v>7</v>
      </c>
      <c r="N33" s="24"/>
      <c r="O33" s="24"/>
      <c r="P33" s="24"/>
      <c r="Q33" s="24"/>
      <c r="R33" s="24"/>
      <c r="S33" s="25"/>
    </row>
    <row r="34" spans="1:19" ht="15.75" customHeight="1" x14ac:dyDescent="0.2">
      <c r="A34" s="55" t="s">
        <v>41</v>
      </c>
      <c r="B34" s="50">
        <v>799</v>
      </c>
      <c r="C34" s="50">
        <v>807</v>
      </c>
      <c r="D34" s="50">
        <v>194</v>
      </c>
      <c r="E34" s="50">
        <v>192</v>
      </c>
      <c r="F34" s="50">
        <v>283</v>
      </c>
      <c r="G34" s="50">
        <v>276</v>
      </c>
      <c r="H34" s="50">
        <v>106</v>
      </c>
      <c r="I34" s="50">
        <v>102</v>
      </c>
      <c r="J34" s="50">
        <v>73</v>
      </c>
      <c r="K34" s="50">
        <v>67</v>
      </c>
      <c r="L34" s="50">
        <v>13</v>
      </c>
      <c r="M34" s="50">
        <v>10</v>
      </c>
      <c r="N34" s="24"/>
      <c r="O34" s="24"/>
      <c r="P34" s="24"/>
      <c r="Q34" s="24"/>
      <c r="R34" s="24"/>
      <c r="S34" s="25"/>
    </row>
    <row r="35" spans="1:19" ht="15.75" customHeight="1" x14ac:dyDescent="0.2">
      <c r="A35" s="55" t="s">
        <v>69</v>
      </c>
      <c r="B35" s="50">
        <v>632</v>
      </c>
      <c r="C35" s="50">
        <v>629</v>
      </c>
      <c r="D35" s="50">
        <v>429</v>
      </c>
      <c r="E35" s="50">
        <v>431</v>
      </c>
      <c r="F35" s="50">
        <v>239</v>
      </c>
      <c r="G35" s="50">
        <v>232</v>
      </c>
      <c r="H35" s="50">
        <v>62</v>
      </c>
      <c r="I35" s="50">
        <v>57</v>
      </c>
      <c r="J35" s="50">
        <v>7</v>
      </c>
      <c r="K35" s="50">
        <v>6</v>
      </c>
      <c r="L35" s="50">
        <v>0</v>
      </c>
      <c r="M35" s="50">
        <v>0</v>
      </c>
      <c r="N35" s="24"/>
      <c r="O35" s="24"/>
      <c r="P35" s="24"/>
      <c r="Q35" s="24"/>
      <c r="R35" s="24"/>
      <c r="S35" s="25"/>
    </row>
    <row r="36" spans="1:19" ht="15.75" customHeight="1" x14ac:dyDescent="0.2">
      <c r="A36" s="55" t="s">
        <v>43</v>
      </c>
      <c r="B36" s="50">
        <v>592</v>
      </c>
      <c r="C36" s="50">
        <v>592</v>
      </c>
      <c r="D36" s="50">
        <v>449</v>
      </c>
      <c r="E36" s="50">
        <v>438</v>
      </c>
      <c r="F36" s="50">
        <v>223</v>
      </c>
      <c r="G36" s="50">
        <v>211</v>
      </c>
      <c r="H36" s="50">
        <v>81</v>
      </c>
      <c r="I36" s="50">
        <v>81</v>
      </c>
      <c r="J36" s="50">
        <v>7</v>
      </c>
      <c r="K36" s="50">
        <v>6</v>
      </c>
      <c r="L36" s="50">
        <v>5</v>
      </c>
      <c r="M36" s="50">
        <v>5</v>
      </c>
      <c r="N36" s="24"/>
      <c r="O36" s="24"/>
      <c r="P36" s="24"/>
      <c r="Q36" s="24"/>
      <c r="R36" s="24"/>
      <c r="S36" s="25"/>
    </row>
    <row r="37" spans="1:19" ht="15.75" customHeight="1" x14ac:dyDescent="0.2">
      <c r="A37" s="55" t="s">
        <v>47</v>
      </c>
      <c r="B37" s="50">
        <v>528</v>
      </c>
      <c r="C37" s="50">
        <v>532</v>
      </c>
      <c r="D37" s="50">
        <v>605</v>
      </c>
      <c r="E37" s="50">
        <v>603</v>
      </c>
      <c r="F37" s="50">
        <v>179</v>
      </c>
      <c r="G37" s="50">
        <v>180</v>
      </c>
      <c r="H37" s="50">
        <v>23</v>
      </c>
      <c r="I37" s="50">
        <v>22</v>
      </c>
      <c r="J37" s="50">
        <v>2</v>
      </c>
      <c r="K37" s="50">
        <v>2</v>
      </c>
      <c r="L37" s="50">
        <v>0</v>
      </c>
      <c r="M37" s="50">
        <v>0</v>
      </c>
      <c r="N37" s="24"/>
      <c r="O37" s="24"/>
      <c r="P37" s="24"/>
      <c r="Q37" s="24"/>
      <c r="R37" s="24"/>
      <c r="S37" s="25"/>
    </row>
    <row r="38" spans="1:19" ht="12.75" x14ac:dyDescent="0.2">
      <c r="A38" s="55" t="s">
        <v>12</v>
      </c>
      <c r="B38" s="50">
        <v>404</v>
      </c>
      <c r="C38" s="50">
        <v>390</v>
      </c>
      <c r="D38" s="50">
        <v>406</v>
      </c>
      <c r="E38" s="50">
        <v>413</v>
      </c>
      <c r="F38" s="50">
        <v>363</v>
      </c>
      <c r="G38" s="50">
        <v>264</v>
      </c>
      <c r="H38" s="50">
        <v>83</v>
      </c>
      <c r="I38" s="50">
        <v>79</v>
      </c>
      <c r="J38" s="50">
        <v>83</v>
      </c>
      <c r="K38" s="50">
        <v>15</v>
      </c>
      <c r="L38" s="50">
        <v>22</v>
      </c>
      <c r="M38" s="50">
        <v>2</v>
      </c>
      <c r="N38" s="24"/>
      <c r="O38" s="24"/>
      <c r="P38" s="24"/>
      <c r="Q38" s="24"/>
      <c r="R38" s="24"/>
      <c r="S38" s="25"/>
    </row>
    <row r="39" spans="1:19" ht="12.75" x14ac:dyDescent="0.2">
      <c r="A39" s="55" t="s">
        <v>100</v>
      </c>
      <c r="B39" s="50">
        <v>350</v>
      </c>
      <c r="C39" s="50">
        <v>351</v>
      </c>
      <c r="D39" s="50">
        <v>497</v>
      </c>
      <c r="E39" s="50">
        <v>504</v>
      </c>
      <c r="F39" s="50">
        <v>196</v>
      </c>
      <c r="G39" s="50">
        <v>178</v>
      </c>
      <c r="H39" s="50">
        <v>65</v>
      </c>
      <c r="I39" s="50">
        <v>64</v>
      </c>
      <c r="J39" s="50">
        <v>48</v>
      </c>
      <c r="K39" s="50">
        <v>23</v>
      </c>
      <c r="L39" s="50">
        <v>1</v>
      </c>
      <c r="M39" s="50">
        <v>1</v>
      </c>
      <c r="N39" s="24"/>
      <c r="O39" s="24"/>
      <c r="P39" s="24"/>
      <c r="Q39" s="24"/>
      <c r="R39" s="24"/>
      <c r="S39" s="25"/>
    </row>
    <row r="40" spans="1:19" ht="12.75" x14ac:dyDescent="0.2">
      <c r="A40" s="55" t="s">
        <v>94</v>
      </c>
      <c r="B40" s="50">
        <v>644</v>
      </c>
      <c r="C40" s="50">
        <v>644</v>
      </c>
      <c r="D40" s="50">
        <v>372</v>
      </c>
      <c r="E40" s="50">
        <v>371</v>
      </c>
      <c r="F40" s="50">
        <v>59</v>
      </c>
      <c r="G40" s="50">
        <v>58</v>
      </c>
      <c r="H40" s="50">
        <v>15</v>
      </c>
      <c r="I40" s="50">
        <v>15</v>
      </c>
      <c r="J40" s="50">
        <v>3</v>
      </c>
      <c r="K40" s="50">
        <v>3</v>
      </c>
      <c r="L40" s="50">
        <v>2</v>
      </c>
      <c r="M40" s="50">
        <v>2</v>
      </c>
      <c r="N40" s="24"/>
      <c r="O40" s="24"/>
      <c r="P40" s="24"/>
      <c r="Q40" s="24"/>
      <c r="R40" s="24"/>
      <c r="S40" s="25"/>
    </row>
    <row r="41" spans="1:19" ht="12.75" x14ac:dyDescent="0.2">
      <c r="A41" s="55" t="s">
        <v>77</v>
      </c>
      <c r="B41" s="50">
        <v>594</v>
      </c>
      <c r="C41" s="50">
        <v>598</v>
      </c>
      <c r="D41" s="50">
        <v>295</v>
      </c>
      <c r="E41" s="50">
        <v>292</v>
      </c>
      <c r="F41" s="50">
        <v>134</v>
      </c>
      <c r="G41" s="50">
        <v>133</v>
      </c>
      <c r="H41" s="50">
        <v>21</v>
      </c>
      <c r="I41" s="50">
        <v>20</v>
      </c>
      <c r="J41" s="50">
        <v>4</v>
      </c>
      <c r="K41" s="50">
        <v>3</v>
      </c>
      <c r="L41" s="50">
        <v>0</v>
      </c>
      <c r="M41" s="50">
        <v>0</v>
      </c>
      <c r="N41" s="24"/>
      <c r="O41" s="24"/>
      <c r="P41" s="24"/>
      <c r="Q41" s="24"/>
      <c r="R41" s="24"/>
      <c r="S41" s="25"/>
    </row>
    <row r="42" spans="1:19" ht="12.75" x14ac:dyDescent="0.2">
      <c r="A42" s="55" t="s">
        <v>102</v>
      </c>
      <c r="B42" s="50">
        <v>340</v>
      </c>
      <c r="C42" s="50">
        <v>334</v>
      </c>
      <c r="D42" s="50">
        <v>489</v>
      </c>
      <c r="E42" s="50">
        <v>489</v>
      </c>
      <c r="F42" s="50">
        <v>154</v>
      </c>
      <c r="G42" s="50">
        <v>145</v>
      </c>
      <c r="H42" s="50">
        <v>52</v>
      </c>
      <c r="I42" s="50">
        <v>52</v>
      </c>
      <c r="J42" s="50">
        <v>13</v>
      </c>
      <c r="K42" s="50">
        <v>12</v>
      </c>
      <c r="L42" s="50">
        <v>5</v>
      </c>
      <c r="M42" s="50">
        <v>3</v>
      </c>
      <c r="N42" s="24"/>
      <c r="O42" s="24"/>
      <c r="P42" s="24"/>
      <c r="Q42" s="24"/>
      <c r="R42" s="24"/>
      <c r="S42" s="25"/>
    </row>
    <row r="43" spans="1:19" ht="12.75" x14ac:dyDescent="0.2">
      <c r="A43" s="55" t="s">
        <v>107</v>
      </c>
      <c r="B43" s="50">
        <v>424</v>
      </c>
      <c r="C43" s="50">
        <v>407</v>
      </c>
      <c r="D43" s="50">
        <v>294</v>
      </c>
      <c r="E43" s="50">
        <v>292</v>
      </c>
      <c r="F43" s="50">
        <v>119</v>
      </c>
      <c r="G43" s="50">
        <v>98</v>
      </c>
      <c r="H43" s="50">
        <v>26</v>
      </c>
      <c r="I43" s="50">
        <v>23</v>
      </c>
      <c r="J43" s="50">
        <v>3</v>
      </c>
      <c r="K43" s="50">
        <v>4</v>
      </c>
      <c r="L43" s="50">
        <v>0</v>
      </c>
      <c r="M43" s="50">
        <v>0</v>
      </c>
      <c r="N43" s="24"/>
      <c r="O43" s="24"/>
      <c r="P43" s="24"/>
      <c r="Q43" s="24"/>
      <c r="R43" s="24"/>
      <c r="S43" s="25"/>
    </row>
    <row r="44" spans="1:19" ht="12.75" x14ac:dyDescent="0.2">
      <c r="A44" s="55" t="s">
        <v>65</v>
      </c>
      <c r="B44" s="50">
        <v>201</v>
      </c>
      <c r="C44" s="50">
        <v>193</v>
      </c>
      <c r="D44" s="50">
        <v>488</v>
      </c>
      <c r="E44" s="50">
        <v>491</v>
      </c>
      <c r="F44" s="50">
        <v>118</v>
      </c>
      <c r="G44" s="50">
        <v>110</v>
      </c>
      <c r="H44" s="50">
        <v>14</v>
      </c>
      <c r="I44" s="50">
        <v>12</v>
      </c>
      <c r="J44" s="50">
        <v>16</v>
      </c>
      <c r="K44" s="50">
        <v>15</v>
      </c>
      <c r="L44" s="50">
        <v>2</v>
      </c>
      <c r="M44" s="50">
        <v>2</v>
      </c>
      <c r="N44" s="24"/>
      <c r="O44" s="24"/>
      <c r="P44" s="24"/>
      <c r="Q44" s="24"/>
      <c r="R44" s="24"/>
      <c r="S44" s="25"/>
    </row>
    <row r="45" spans="1:19" ht="12.75" x14ac:dyDescent="0.2">
      <c r="A45" s="55" t="s">
        <v>44</v>
      </c>
      <c r="B45" s="50">
        <v>438</v>
      </c>
      <c r="C45" s="50">
        <v>438</v>
      </c>
      <c r="D45" s="50">
        <v>197</v>
      </c>
      <c r="E45" s="50">
        <v>201</v>
      </c>
      <c r="F45" s="50">
        <v>88</v>
      </c>
      <c r="G45" s="50">
        <v>88</v>
      </c>
      <c r="H45" s="50">
        <v>43</v>
      </c>
      <c r="I45" s="50">
        <v>43</v>
      </c>
      <c r="J45" s="50">
        <v>4</v>
      </c>
      <c r="K45" s="50">
        <v>4</v>
      </c>
      <c r="L45" s="50">
        <v>11</v>
      </c>
      <c r="M45" s="50">
        <v>7</v>
      </c>
      <c r="N45" s="24"/>
      <c r="O45" s="24"/>
      <c r="P45" s="24"/>
      <c r="Q45" s="24"/>
      <c r="R45" s="24"/>
      <c r="S45" s="25"/>
    </row>
    <row r="46" spans="1:19" ht="12.75" x14ac:dyDescent="0.2">
      <c r="A46" s="55" t="s">
        <v>55</v>
      </c>
      <c r="B46" s="50">
        <v>393</v>
      </c>
      <c r="C46" s="50">
        <v>393</v>
      </c>
      <c r="D46" s="50">
        <v>74</v>
      </c>
      <c r="E46" s="50">
        <v>73</v>
      </c>
      <c r="F46" s="50">
        <v>176</v>
      </c>
      <c r="G46" s="50">
        <v>173</v>
      </c>
      <c r="H46" s="50">
        <v>19</v>
      </c>
      <c r="I46" s="50">
        <v>18</v>
      </c>
      <c r="J46" s="50">
        <v>4</v>
      </c>
      <c r="K46" s="50">
        <v>3</v>
      </c>
      <c r="L46" s="50">
        <v>0</v>
      </c>
      <c r="M46" s="50">
        <v>0</v>
      </c>
      <c r="N46" s="24"/>
      <c r="O46" s="24"/>
      <c r="P46" s="24"/>
      <c r="Q46" s="24"/>
      <c r="R46" s="24"/>
      <c r="S46" s="25"/>
    </row>
    <row r="47" spans="1:19" ht="12.75" x14ac:dyDescent="0.2">
      <c r="A47" s="55" t="s">
        <v>110</v>
      </c>
      <c r="B47" s="50">
        <v>205</v>
      </c>
      <c r="C47" s="50">
        <v>210</v>
      </c>
      <c r="D47" s="50">
        <v>236</v>
      </c>
      <c r="E47" s="50">
        <v>237</v>
      </c>
      <c r="F47" s="50">
        <v>141</v>
      </c>
      <c r="G47" s="50">
        <v>126</v>
      </c>
      <c r="H47" s="50">
        <v>54</v>
      </c>
      <c r="I47" s="50">
        <v>33</v>
      </c>
      <c r="J47" s="50">
        <v>2</v>
      </c>
      <c r="K47" s="50">
        <v>2</v>
      </c>
      <c r="L47" s="50">
        <v>0</v>
      </c>
      <c r="M47" s="50">
        <v>0</v>
      </c>
      <c r="N47" s="24"/>
      <c r="O47" s="24"/>
      <c r="P47" s="24"/>
      <c r="Q47" s="24"/>
      <c r="R47" s="24"/>
      <c r="S47" s="25"/>
    </row>
    <row r="48" spans="1:19" ht="12.75" x14ac:dyDescent="0.2">
      <c r="A48" s="55" t="s">
        <v>89</v>
      </c>
      <c r="B48" s="50">
        <v>328</v>
      </c>
      <c r="C48" s="50">
        <v>323</v>
      </c>
      <c r="D48" s="50">
        <v>200</v>
      </c>
      <c r="E48" s="50">
        <v>204</v>
      </c>
      <c r="F48" s="50">
        <v>53</v>
      </c>
      <c r="G48" s="50">
        <v>52</v>
      </c>
      <c r="H48" s="50">
        <v>16</v>
      </c>
      <c r="I48" s="50">
        <v>16</v>
      </c>
      <c r="J48" s="50">
        <v>5</v>
      </c>
      <c r="K48" s="50">
        <v>5</v>
      </c>
      <c r="L48" s="50">
        <v>0</v>
      </c>
      <c r="M48" s="50">
        <v>0</v>
      </c>
      <c r="N48" s="24"/>
      <c r="O48" s="24"/>
      <c r="P48" s="24"/>
      <c r="Q48" s="24"/>
      <c r="R48" s="24"/>
      <c r="S48" s="25"/>
    </row>
    <row r="49" spans="1:19" ht="12.75" x14ac:dyDescent="0.2">
      <c r="A49" s="55" t="s">
        <v>76</v>
      </c>
      <c r="B49" s="50">
        <v>368</v>
      </c>
      <c r="C49" s="50">
        <v>370</v>
      </c>
      <c r="D49" s="50">
        <v>155</v>
      </c>
      <c r="E49" s="50">
        <v>155</v>
      </c>
      <c r="F49" s="50">
        <v>66</v>
      </c>
      <c r="G49" s="50">
        <v>66</v>
      </c>
      <c r="H49" s="50">
        <v>7</v>
      </c>
      <c r="I49" s="50">
        <v>5</v>
      </c>
      <c r="J49" s="50">
        <v>2</v>
      </c>
      <c r="K49" s="50">
        <v>2</v>
      </c>
      <c r="L49" s="50">
        <v>1</v>
      </c>
      <c r="M49" s="50">
        <v>1</v>
      </c>
      <c r="N49" s="24"/>
      <c r="O49" s="24"/>
      <c r="P49" s="24"/>
      <c r="Q49" s="24"/>
      <c r="R49" s="24"/>
      <c r="S49" s="25"/>
    </row>
    <row r="50" spans="1:19" ht="12.75" x14ac:dyDescent="0.2">
      <c r="A50" s="55" t="s">
        <v>36</v>
      </c>
      <c r="B50" s="50">
        <v>258</v>
      </c>
      <c r="C50" s="50">
        <v>258</v>
      </c>
      <c r="D50" s="50">
        <v>173</v>
      </c>
      <c r="E50" s="50">
        <v>179</v>
      </c>
      <c r="F50" s="50">
        <v>110</v>
      </c>
      <c r="G50" s="50">
        <v>118</v>
      </c>
      <c r="H50" s="50">
        <v>24</v>
      </c>
      <c r="I50" s="50">
        <v>26</v>
      </c>
      <c r="J50" s="50">
        <v>4</v>
      </c>
      <c r="K50" s="50">
        <v>4</v>
      </c>
      <c r="L50" s="50">
        <v>1</v>
      </c>
      <c r="M50" s="50">
        <v>1</v>
      </c>
      <c r="N50" s="24"/>
      <c r="O50" s="24"/>
      <c r="P50" s="24"/>
      <c r="Q50" s="24"/>
      <c r="R50" s="24"/>
      <c r="S50" s="25"/>
    </row>
    <row r="51" spans="1:19" ht="12.75" x14ac:dyDescent="0.2">
      <c r="A51" s="55" t="s">
        <v>53</v>
      </c>
      <c r="B51" s="50">
        <v>299</v>
      </c>
      <c r="C51" s="50">
        <v>298</v>
      </c>
      <c r="D51" s="50">
        <v>155</v>
      </c>
      <c r="E51" s="50">
        <v>155</v>
      </c>
      <c r="F51" s="50">
        <v>76</v>
      </c>
      <c r="G51" s="50">
        <v>72</v>
      </c>
      <c r="H51" s="50">
        <v>19</v>
      </c>
      <c r="I51" s="50">
        <v>19</v>
      </c>
      <c r="J51" s="50">
        <v>32</v>
      </c>
      <c r="K51" s="50">
        <v>29</v>
      </c>
      <c r="L51" s="50">
        <v>0</v>
      </c>
      <c r="M51" s="50">
        <v>0</v>
      </c>
      <c r="N51" s="24"/>
      <c r="O51" s="24"/>
      <c r="P51" s="24"/>
      <c r="Q51" s="24"/>
      <c r="R51" s="24"/>
      <c r="S51" s="25"/>
    </row>
    <row r="52" spans="1:19" ht="12.75" x14ac:dyDescent="0.2">
      <c r="A52" s="55" t="s">
        <v>51</v>
      </c>
      <c r="B52" s="50">
        <v>189</v>
      </c>
      <c r="C52" s="50">
        <v>189</v>
      </c>
      <c r="D52" s="50">
        <v>158</v>
      </c>
      <c r="E52" s="50">
        <v>156</v>
      </c>
      <c r="F52" s="50">
        <v>144</v>
      </c>
      <c r="G52" s="50">
        <v>139</v>
      </c>
      <c r="H52" s="50">
        <v>65</v>
      </c>
      <c r="I52" s="50">
        <v>62</v>
      </c>
      <c r="J52" s="50">
        <v>5</v>
      </c>
      <c r="K52" s="50">
        <v>5</v>
      </c>
      <c r="L52" s="50">
        <v>0</v>
      </c>
      <c r="M52" s="50">
        <v>0</v>
      </c>
      <c r="N52" s="24"/>
      <c r="O52" s="24"/>
      <c r="P52" s="24"/>
      <c r="Q52" s="24"/>
      <c r="R52" s="24"/>
      <c r="S52" s="25"/>
    </row>
    <row r="53" spans="1:19" ht="12.75" x14ac:dyDescent="0.2">
      <c r="A53" s="55" t="s">
        <v>87</v>
      </c>
      <c r="B53" s="50">
        <v>232</v>
      </c>
      <c r="C53" s="50">
        <v>235</v>
      </c>
      <c r="D53" s="50">
        <v>175</v>
      </c>
      <c r="E53" s="50">
        <v>169</v>
      </c>
      <c r="F53" s="50">
        <v>127</v>
      </c>
      <c r="G53" s="50">
        <v>125</v>
      </c>
      <c r="H53" s="50">
        <v>11</v>
      </c>
      <c r="I53" s="50">
        <v>12</v>
      </c>
      <c r="J53" s="50">
        <v>2</v>
      </c>
      <c r="K53" s="50">
        <v>2</v>
      </c>
      <c r="L53" s="50">
        <v>1</v>
      </c>
      <c r="M53" s="50">
        <v>1</v>
      </c>
      <c r="N53" s="24"/>
      <c r="O53" s="24"/>
      <c r="P53" s="24"/>
      <c r="Q53" s="24"/>
      <c r="R53" s="24"/>
      <c r="S53" s="25"/>
    </row>
    <row r="54" spans="1:19" ht="12.75" x14ac:dyDescent="0.2">
      <c r="A54" s="55" t="s">
        <v>92</v>
      </c>
      <c r="B54" s="50">
        <v>151</v>
      </c>
      <c r="C54" s="50">
        <v>152</v>
      </c>
      <c r="D54" s="50">
        <v>203</v>
      </c>
      <c r="E54" s="50">
        <v>207</v>
      </c>
      <c r="F54" s="50">
        <v>132</v>
      </c>
      <c r="G54" s="50">
        <v>137</v>
      </c>
      <c r="H54" s="50">
        <v>15</v>
      </c>
      <c r="I54" s="50">
        <v>13</v>
      </c>
      <c r="J54" s="50">
        <v>5</v>
      </c>
      <c r="K54" s="50">
        <v>7</v>
      </c>
      <c r="L54" s="50">
        <v>1</v>
      </c>
      <c r="M54" s="50">
        <v>1</v>
      </c>
      <c r="N54" s="24"/>
      <c r="O54" s="24"/>
      <c r="P54" s="24"/>
      <c r="Q54" s="24"/>
      <c r="R54" s="24"/>
      <c r="S54" s="25"/>
    </row>
    <row r="55" spans="1:19" ht="12.75" x14ac:dyDescent="0.2">
      <c r="A55" s="55" t="s">
        <v>59</v>
      </c>
      <c r="B55" s="50">
        <v>178</v>
      </c>
      <c r="C55" s="50">
        <v>177</v>
      </c>
      <c r="D55" s="50">
        <v>203</v>
      </c>
      <c r="E55" s="50">
        <v>200</v>
      </c>
      <c r="F55" s="50">
        <v>83</v>
      </c>
      <c r="G55" s="50">
        <v>82</v>
      </c>
      <c r="H55" s="50">
        <v>12</v>
      </c>
      <c r="I55" s="50">
        <v>15</v>
      </c>
      <c r="J55" s="50">
        <v>3</v>
      </c>
      <c r="K55" s="50">
        <v>3</v>
      </c>
      <c r="L55" s="50">
        <v>0</v>
      </c>
      <c r="M55" s="50">
        <v>0</v>
      </c>
      <c r="N55" s="24"/>
      <c r="O55" s="24"/>
      <c r="P55" s="24"/>
      <c r="Q55" s="24"/>
      <c r="R55" s="24"/>
      <c r="S55" s="25"/>
    </row>
    <row r="56" spans="1:19" ht="12.75" x14ac:dyDescent="0.2">
      <c r="A56" s="55" t="s">
        <v>56</v>
      </c>
      <c r="B56" s="50">
        <v>272</v>
      </c>
      <c r="C56" s="50">
        <v>268</v>
      </c>
      <c r="D56" s="50">
        <v>107</v>
      </c>
      <c r="E56" s="50">
        <v>108</v>
      </c>
      <c r="F56" s="50">
        <v>47</v>
      </c>
      <c r="G56" s="50">
        <v>44</v>
      </c>
      <c r="H56" s="50">
        <v>13</v>
      </c>
      <c r="I56" s="50">
        <v>13</v>
      </c>
      <c r="J56" s="50">
        <v>3</v>
      </c>
      <c r="K56" s="50">
        <v>3</v>
      </c>
      <c r="L56" s="50">
        <v>0</v>
      </c>
      <c r="M56" s="50">
        <v>0</v>
      </c>
      <c r="N56" s="24"/>
      <c r="O56" s="24"/>
      <c r="P56" s="24"/>
      <c r="Q56" s="24"/>
      <c r="R56" s="24"/>
      <c r="S56" s="25"/>
    </row>
    <row r="57" spans="1:19" ht="12.75" x14ac:dyDescent="0.2">
      <c r="A57" s="55" t="s">
        <v>108</v>
      </c>
      <c r="B57" s="50">
        <v>163</v>
      </c>
      <c r="C57" s="50">
        <v>163</v>
      </c>
      <c r="D57" s="50">
        <v>135</v>
      </c>
      <c r="E57" s="50">
        <v>136</v>
      </c>
      <c r="F57" s="50">
        <v>92</v>
      </c>
      <c r="G57" s="50">
        <v>91</v>
      </c>
      <c r="H57" s="50">
        <v>37</v>
      </c>
      <c r="I57" s="50">
        <v>36</v>
      </c>
      <c r="J57" s="50">
        <v>7</v>
      </c>
      <c r="K57" s="50">
        <v>6</v>
      </c>
      <c r="L57" s="50">
        <v>0</v>
      </c>
      <c r="M57" s="50">
        <v>0</v>
      </c>
      <c r="N57" s="24"/>
      <c r="O57" s="24"/>
      <c r="P57" s="24"/>
      <c r="Q57" s="24"/>
      <c r="R57" s="24"/>
      <c r="S57" s="25"/>
    </row>
    <row r="58" spans="1:19" ht="12.75" x14ac:dyDescent="0.2">
      <c r="A58" s="55" t="s">
        <v>63</v>
      </c>
      <c r="B58" s="50">
        <v>227</v>
      </c>
      <c r="C58" s="50">
        <v>225</v>
      </c>
      <c r="D58" s="50">
        <v>46</v>
      </c>
      <c r="E58" s="50">
        <v>50</v>
      </c>
      <c r="F58" s="50">
        <v>87</v>
      </c>
      <c r="G58" s="50">
        <v>89</v>
      </c>
      <c r="H58" s="50">
        <v>65</v>
      </c>
      <c r="I58" s="50">
        <v>65</v>
      </c>
      <c r="J58" s="50">
        <v>2</v>
      </c>
      <c r="K58" s="50">
        <v>2</v>
      </c>
      <c r="L58" s="50">
        <v>1</v>
      </c>
      <c r="M58" s="50">
        <v>1</v>
      </c>
      <c r="N58" s="24"/>
      <c r="O58" s="24"/>
      <c r="P58" s="24"/>
      <c r="Q58" s="24"/>
      <c r="R58" s="24"/>
      <c r="S58" s="25"/>
    </row>
    <row r="59" spans="1:19" ht="12.75" x14ac:dyDescent="0.2">
      <c r="A59" s="55" t="s">
        <v>83</v>
      </c>
      <c r="B59" s="50">
        <v>170</v>
      </c>
      <c r="C59" s="50">
        <v>168</v>
      </c>
      <c r="D59" s="50">
        <v>107</v>
      </c>
      <c r="E59" s="50">
        <v>106</v>
      </c>
      <c r="F59" s="50">
        <v>73</v>
      </c>
      <c r="G59" s="50">
        <v>69</v>
      </c>
      <c r="H59" s="50">
        <v>79</v>
      </c>
      <c r="I59" s="50">
        <v>79</v>
      </c>
      <c r="J59" s="50">
        <v>3</v>
      </c>
      <c r="K59" s="50">
        <v>2</v>
      </c>
      <c r="L59" s="50">
        <v>0</v>
      </c>
      <c r="M59" s="50">
        <v>0</v>
      </c>
      <c r="N59" s="24"/>
      <c r="O59" s="24"/>
      <c r="P59" s="24"/>
      <c r="Q59" s="24"/>
      <c r="R59" s="24"/>
      <c r="S59" s="25"/>
    </row>
    <row r="60" spans="1:19" ht="12.75" x14ac:dyDescent="0.2">
      <c r="A60" s="55" t="s">
        <v>68</v>
      </c>
      <c r="B60" s="50">
        <v>108</v>
      </c>
      <c r="C60" s="50">
        <v>108</v>
      </c>
      <c r="D60" s="50">
        <v>242</v>
      </c>
      <c r="E60" s="50">
        <v>244</v>
      </c>
      <c r="F60" s="50">
        <v>56</v>
      </c>
      <c r="G60" s="50">
        <v>58</v>
      </c>
      <c r="H60" s="50">
        <v>11</v>
      </c>
      <c r="I60" s="50">
        <v>11</v>
      </c>
      <c r="J60" s="50">
        <v>2</v>
      </c>
      <c r="K60" s="50">
        <v>2</v>
      </c>
      <c r="L60" s="50">
        <v>0</v>
      </c>
      <c r="M60" s="50">
        <v>0</v>
      </c>
      <c r="N60" s="24"/>
      <c r="O60" s="24"/>
      <c r="P60" s="24"/>
      <c r="Q60" s="24"/>
      <c r="R60" s="24"/>
      <c r="S60" s="25"/>
    </row>
    <row r="61" spans="1:19" ht="12.75" x14ac:dyDescent="0.2">
      <c r="A61" s="55" t="s">
        <v>114</v>
      </c>
      <c r="B61" s="50">
        <v>199</v>
      </c>
      <c r="C61" s="50">
        <v>199</v>
      </c>
      <c r="D61" s="50">
        <v>168</v>
      </c>
      <c r="E61" s="50">
        <v>167</v>
      </c>
      <c r="F61" s="50">
        <v>39</v>
      </c>
      <c r="G61" s="50">
        <v>36</v>
      </c>
      <c r="H61" s="50">
        <v>9</v>
      </c>
      <c r="I61" s="50">
        <v>8</v>
      </c>
      <c r="J61" s="50">
        <v>1</v>
      </c>
      <c r="K61" s="50">
        <v>0</v>
      </c>
      <c r="L61" s="50">
        <v>2</v>
      </c>
      <c r="M61" s="50">
        <v>2</v>
      </c>
      <c r="N61" s="24"/>
      <c r="O61" s="24"/>
      <c r="P61" s="24"/>
      <c r="Q61" s="24"/>
      <c r="R61" s="24"/>
      <c r="S61" s="25"/>
    </row>
    <row r="62" spans="1:19" ht="12.75" x14ac:dyDescent="0.2">
      <c r="A62" s="55" t="s">
        <v>97</v>
      </c>
      <c r="B62" s="50">
        <v>170</v>
      </c>
      <c r="C62" s="50">
        <v>169</v>
      </c>
      <c r="D62" s="50">
        <v>80</v>
      </c>
      <c r="E62" s="50">
        <v>79</v>
      </c>
      <c r="F62" s="50">
        <v>121</v>
      </c>
      <c r="G62" s="50">
        <v>119</v>
      </c>
      <c r="H62" s="50">
        <v>11</v>
      </c>
      <c r="I62" s="50">
        <v>11</v>
      </c>
      <c r="J62" s="50">
        <v>0</v>
      </c>
      <c r="K62" s="50">
        <v>0</v>
      </c>
      <c r="L62" s="50">
        <v>1</v>
      </c>
      <c r="M62" s="50">
        <v>1</v>
      </c>
      <c r="N62" s="24"/>
      <c r="O62" s="24"/>
      <c r="P62" s="24"/>
      <c r="Q62" s="24"/>
      <c r="R62" s="24"/>
      <c r="S62" s="25"/>
    </row>
    <row r="63" spans="1:19" ht="12.75" x14ac:dyDescent="0.2">
      <c r="A63" s="55" t="s">
        <v>85</v>
      </c>
      <c r="B63" s="50">
        <v>190</v>
      </c>
      <c r="C63" s="50">
        <v>193</v>
      </c>
      <c r="D63" s="50">
        <v>89</v>
      </c>
      <c r="E63" s="50">
        <v>88</v>
      </c>
      <c r="F63" s="50">
        <v>69</v>
      </c>
      <c r="G63" s="50">
        <v>67</v>
      </c>
      <c r="H63" s="50">
        <v>25</v>
      </c>
      <c r="I63" s="50">
        <v>23</v>
      </c>
      <c r="J63" s="50">
        <v>5</v>
      </c>
      <c r="K63" s="50">
        <v>3</v>
      </c>
      <c r="L63" s="50">
        <v>2</v>
      </c>
      <c r="M63" s="50">
        <v>2</v>
      </c>
      <c r="N63" s="24"/>
      <c r="O63" s="24"/>
      <c r="P63" s="24"/>
      <c r="Q63" s="24"/>
      <c r="R63" s="24"/>
      <c r="S63" s="25"/>
    </row>
    <row r="64" spans="1:19" ht="12.75" x14ac:dyDescent="0.2">
      <c r="A64" s="55" t="s">
        <v>71</v>
      </c>
      <c r="B64" s="50">
        <v>139</v>
      </c>
      <c r="C64" s="50">
        <v>139</v>
      </c>
      <c r="D64" s="50">
        <v>158</v>
      </c>
      <c r="E64" s="50">
        <v>158</v>
      </c>
      <c r="F64" s="50">
        <v>49</v>
      </c>
      <c r="G64" s="50">
        <v>47</v>
      </c>
      <c r="H64" s="50">
        <v>9</v>
      </c>
      <c r="I64" s="50">
        <v>6</v>
      </c>
      <c r="J64" s="50">
        <v>0</v>
      </c>
      <c r="K64" s="50">
        <v>1</v>
      </c>
      <c r="L64" s="50">
        <v>8</v>
      </c>
      <c r="M64" s="50">
        <v>8</v>
      </c>
      <c r="N64" s="26"/>
      <c r="O64" s="26"/>
      <c r="P64" s="26"/>
      <c r="Q64" s="26"/>
      <c r="R64" s="26"/>
      <c r="S64" s="27"/>
    </row>
    <row r="65" spans="1:13" ht="12.75" x14ac:dyDescent="0.2">
      <c r="A65" s="55" t="s">
        <v>54</v>
      </c>
      <c r="B65" s="50">
        <v>194</v>
      </c>
      <c r="C65" s="50">
        <v>194</v>
      </c>
      <c r="D65" s="50">
        <v>46</v>
      </c>
      <c r="E65" s="50">
        <v>46</v>
      </c>
      <c r="F65" s="50">
        <v>65</v>
      </c>
      <c r="G65" s="50">
        <v>65</v>
      </c>
      <c r="H65" s="50">
        <v>45</v>
      </c>
      <c r="I65" s="50">
        <v>45</v>
      </c>
      <c r="J65" s="50">
        <v>2</v>
      </c>
      <c r="K65" s="50">
        <v>2</v>
      </c>
      <c r="L65" s="50">
        <v>1</v>
      </c>
      <c r="M65" s="50">
        <v>1</v>
      </c>
    </row>
    <row r="66" spans="1:13" ht="12.75" x14ac:dyDescent="0.2">
      <c r="A66" s="55" t="s">
        <v>37</v>
      </c>
      <c r="B66" s="50">
        <v>90</v>
      </c>
      <c r="C66" s="50">
        <v>90</v>
      </c>
      <c r="D66" s="50">
        <v>188</v>
      </c>
      <c r="E66" s="50">
        <v>181</v>
      </c>
      <c r="F66" s="50">
        <v>67</v>
      </c>
      <c r="G66" s="50">
        <v>60</v>
      </c>
      <c r="H66" s="50">
        <v>5</v>
      </c>
      <c r="I66" s="50">
        <v>5</v>
      </c>
      <c r="J66" s="50">
        <v>2</v>
      </c>
      <c r="K66" s="50">
        <v>2</v>
      </c>
      <c r="L66" s="50">
        <v>0</v>
      </c>
      <c r="M66" s="50">
        <v>0</v>
      </c>
    </row>
    <row r="67" spans="1:13" ht="12.75" x14ac:dyDescent="0.2">
      <c r="A67" s="55" t="s">
        <v>58</v>
      </c>
      <c r="B67" s="50">
        <v>85</v>
      </c>
      <c r="C67" s="50">
        <v>84</v>
      </c>
      <c r="D67" s="50">
        <v>156</v>
      </c>
      <c r="E67" s="50">
        <v>154</v>
      </c>
      <c r="F67" s="50">
        <v>50</v>
      </c>
      <c r="G67" s="50">
        <v>48</v>
      </c>
      <c r="H67" s="50">
        <v>16</v>
      </c>
      <c r="I67" s="50">
        <v>17</v>
      </c>
      <c r="J67" s="50">
        <v>4</v>
      </c>
      <c r="K67" s="50">
        <v>4</v>
      </c>
      <c r="L67" s="50">
        <v>3</v>
      </c>
      <c r="M67" s="50">
        <v>3</v>
      </c>
    </row>
    <row r="68" spans="1:13" ht="12.75" x14ac:dyDescent="0.2">
      <c r="A68" s="55" t="s">
        <v>82</v>
      </c>
      <c r="B68" s="50">
        <v>142</v>
      </c>
      <c r="C68" s="50">
        <v>142</v>
      </c>
      <c r="D68" s="50">
        <v>87</v>
      </c>
      <c r="E68" s="50">
        <v>87</v>
      </c>
      <c r="F68" s="50">
        <v>47</v>
      </c>
      <c r="G68" s="50">
        <v>46</v>
      </c>
      <c r="H68" s="50">
        <v>23</v>
      </c>
      <c r="I68" s="50">
        <v>22</v>
      </c>
      <c r="J68" s="50">
        <v>3</v>
      </c>
      <c r="K68" s="50">
        <v>3</v>
      </c>
      <c r="L68" s="50">
        <v>1</v>
      </c>
      <c r="M68" s="50">
        <v>1</v>
      </c>
    </row>
    <row r="69" spans="1:13" ht="12.75" x14ac:dyDescent="0.2">
      <c r="A69" s="55" t="s">
        <v>74</v>
      </c>
      <c r="B69" s="50">
        <v>122</v>
      </c>
      <c r="C69" s="50">
        <v>122</v>
      </c>
      <c r="D69" s="50">
        <v>120</v>
      </c>
      <c r="E69" s="50">
        <v>119</v>
      </c>
      <c r="F69" s="50">
        <v>54</v>
      </c>
      <c r="G69" s="50">
        <v>43</v>
      </c>
      <c r="H69" s="50">
        <v>15</v>
      </c>
      <c r="I69" s="50">
        <v>5</v>
      </c>
      <c r="J69" s="50">
        <v>1</v>
      </c>
      <c r="K69" s="50">
        <v>1</v>
      </c>
      <c r="L69" s="50">
        <v>0</v>
      </c>
      <c r="M69" s="50">
        <v>0</v>
      </c>
    </row>
    <row r="70" spans="1:13" ht="12.75" x14ac:dyDescent="0.2">
      <c r="A70" s="55" t="s">
        <v>111</v>
      </c>
      <c r="B70" s="50">
        <v>112</v>
      </c>
      <c r="C70" s="50">
        <v>113</v>
      </c>
      <c r="D70" s="50">
        <v>111</v>
      </c>
      <c r="E70" s="50">
        <v>108</v>
      </c>
      <c r="F70" s="50">
        <v>40</v>
      </c>
      <c r="G70" s="50">
        <v>40</v>
      </c>
      <c r="H70" s="50">
        <v>2</v>
      </c>
      <c r="I70" s="50">
        <v>2</v>
      </c>
      <c r="J70" s="50">
        <v>0</v>
      </c>
      <c r="K70" s="50">
        <v>0</v>
      </c>
      <c r="L70" s="50">
        <v>18</v>
      </c>
      <c r="M70" s="50">
        <v>20</v>
      </c>
    </row>
    <row r="71" spans="1:13" ht="12.75" x14ac:dyDescent="0.2">
      <c r="A71" s="55" t="s">
        <v>50</v>
      </c>
      <c r="B71" s="50">
        <v>92</v>
      </c>
      <c r="C71" s="50">
        <v>88</v>
      </c>
      <c r="D71" s="50">
        <v>97</v>
      </c>
      <c r="E71" s="50">
        <v>100</v>
      </c>
      <c r="F71" s="50">
        <v>73</v>
      </c>
      <c r="G71" s="50">
        <v>72</v>
      </c>
      <c r="H71" s="50">
        <v>12</v>
      </c>
      <c r="I71" s="50">
        <v>12</v>
      </c>
      <c r="J71" s="50">
        <v>4</v>
      </c>
      <c r="K71" s="50">
        <v>4</v>
      </c>
      <c r="L71" s="50">
        <v>0</v>
      </c>
      <c r="M71" s="50">
        <v>0</v>
      </c>
    </row>
    <row r="72" spans="1:13" ht="12.75" x14ac:dyDescent="0.2">
      <c r="A72" s="55" t="s">
        <v>62</v>
      </c>
      <c r="B72" s="50">
        <v>188</v>
      </c>
      <c r="C72" s="50">
        <v>187</v>
      </c>
      <c r="D72" s="50">
        <v>24</v>
      </c>
      <c r="E72" s="50">
        <v>24</v>
      </c>
      <c r="F72" s="50">
        <v>45</v>
      </c>
      <c r="G72" s="50">
        <v>44</v>
      </c>
      <c r="H72" s="50">
        <v>4</v>
      </c>
      <c r="I72" s="50">
        <v>4</v>
      </c>
      <c r="J72" s="50">
        <v>0</v>
      </c>
      <c r="K72" s="50">
        <v>0</v>
      </c>
      <c r="L72" s="50">
        <v>6</v>
      </c>
      <c r="M72" s="50">
        <v>6</v>
      </c>
    </row>
    <row r="73" spans="1:13" ht="12.75" x14ac:dyDescent="0.2">
      <c r="A73" s="55" t="s">
        <v>99</v>
      </c>
      <c r="B73" s="50">
        <v>98</v>
      </c>
      <c r="C73" s="50">
        <v>97</v>
      </c>
      <c r="D73" s="50">
        <v>55</v>
      </c>
      <c r="E73" s="50">
        <v>55</v>
      </c>
      <c r="F73" s="50">
        <v>84</v>
      </c>
      <c r="G73" s="50">
        <v>83</v>
      </c>
      <c r="H73" s="50">
        <v>23</v>
      </c>
      <c r="I73" s="50">
        <v>23</v>
      </c>
      <c r="J73" s="50">
        <v>2</v>
      </c>
      <c r="K73" s="50">
        <v>2</v>
      </c>
      <c r="L73" s="50">
        <v>0</v>
      </c>
      <c r="M73" s="50">
        <v>0</v>
      </c>
    </row>
    <row r="74" spans="1:13" ht="12.75" x14ac:dyDescent="0.2">
      <c r="A74" s="55" t="s">
        <v>101</v>
      </c>
      <c r="B74" s="50">
        <v>70</v>
      </c>
      <c r="C74" s="50">
        <v>70</v>
      </c>
      <c r="D74" s="50">
        <v>123</v>
      </c>
      <c r="E74" s="50">
        <v>123</v>
      </c>
      <c r="F74" s="50">
        <v>42</v>
      </c>
      <c r="G74" s="50">
        <v>42</v>
      </c>
      <c r="H74" s="50">
        <v>5</v>
      </c>
      <c r="I74" s="50">
        <v>5</v>
      </c>
      <c r="J74" s="50">
        <v>1</v>
      </c>
      <c r="K74" s="50">
        <v>1</v>
      </c>
      <c r="L74" s="50">
        <v>1</v>
      </c>
      <c r="M74" s="50">
        <v>1</v>
      </c>
    </row>
    <row r="75" spans="1:13" ht="12.75" x14ac:dyDescent="0.2">
      <c r="A75" s="55" t="s">
        <v>80</v>
      </c>
      <c r="B75" s="50">
        <v>123</v>
      </c>
      <c r="C75" s="50">
        <v>123</v>
      </c>
      <c r="D75" s="50">
        <v>65</v>
      </c>
      <c r="E75" s="50">
        <v>65</v>
      </c>
      <c r="F75" s="50">
        <v>22</v>
      </c>
      <c r="G75" s="50">
        <v>22</v>
      </c>
      <c r="H75" s="50">
        <v>19</v>
      </c>
      <c r="I75" s="50">
        <v>19</v>
      </c>
      <c r="J75" s="50">
        <v>0</v>
      </c>
      <c r="K75" s="50">
        <v>0</v>
      </c>
      <c r="L75" s="50">
        <v>0</v>
      </c>
      <c r="M75" s="50">
        <v>0</v>
      </c>
    </row>
    <row r="76" spans="1:13" ht="12.75" x14ac:dyDescent="0.2">
      <c r="A76" s="55" t="s">
        <v>112</v>
      </c>
      <c r="B76" s="50">
        <v>97</v>
      </c>
      <c r="C76" s="50">
        <v>97</v>
      </c>
      <c r="D76" s="50">
        <v>53</v>
      </c>
      <c r="E76" s="50">
        <v>52</v>
      </c>
      <c r="F76" s="50">
        <v>51</v>
      </c>
      <c r="G76" s="50">
        <v>50</v>
      </c>
      <c r="H76" s="50">
        <v>24</v>
      </c>
      <c r="I76" s="50">
        <v>24</v>
      </c>
      <c r="J76" s="50">
        <v>2</v>
      </c>
      <c r="K76" s="50">
        <v>2</v>
      </c>
      <c r="L76" s="50">
        <v>0</v>
      </c>
      <c r="M76" s="50">
        <v>0</v>
      </c>
    </row>
    <row r="77" spans="1:13" ht="12.75" x14ac:dyDescent="0.2">
      <c r="A77" s="55" t="s">
        <v>79</v>
      </c>
      <c r="B77" s="50">
        <v>129</v>
      </c>
      <c r="C77" s="50">
        <v>129</v>
      </c>
      <c r="D77" s="50">
        <v>63</v>
      </c>
      <c r="E77" s="50">
        <v>63</v>
      </c>
      <c r="F77" s="50">
        <v>17</v>
      </c>
      <c r="G77" s="50">
        <v>17</v>
      </c>
      <c r="H77" s="50">
        <v>8</v>
      </c>
      <c r="I77" s="50">
        <v>8</v>
      </c>
      <c r="J77" s="50">
        <v>0</v>
      </c>
      <c r="K77" s="50">
        <v>0</v>
      </c>
      <c r="L77" s="50">
        <v>0</v>
      </c>
      <c r="M77" s="50">
        <v>0</v>
      </c>
    </row>
    <row r="78" spans="1:13" ht="12.75" x14ac:dyDescent="0.2">
      <c r="A78" s="55" t="s">
        <v>60</v>
      </c>
      <c r="B78" s="50">
        <v>127</v>
      </c>
      <c r="C78" s="50">
        <v>127</v>
      </c>
      <c r="D78" s="50">
        <v>30</v>
      </c>
      <c r="E78" s="50">
        <v>29</v>
      </c>
      <c r="F78" s="50">
        <v>40</v>
      </c>
      <c r="G78" s="50">
        <v>39</v>
      </c>
      <c r="H78" s="50">
        <v>13</v>
      </c>
      <c r="I78" s="50">
        <v>13</v>
      </c>
      <c r="J78" s="50">
        <v>0</v>
      </c>
      <c r="K78" s="50">
        <v>0</v>
      </c>
      <c r="L78" s="50">
        <v>0</v>
      </c>
      <c r="M78" s="50">
        <v>0</v>
      </c>
    </row>
    <row r="79" spans="1:13" ht="12.75" x14ac:dyDescent="0.2">
      <c r="A79" s="55" t="s">
        <v>96</v>
      </c>
      <c r="B79" s="50">
        <v>79</v>
      </c>
      <c r="C79" s="50">
        <v>79</v>
      </c>
      <c r="D79" s="50">
        <v>42</v>
      </c>
      <c r="E79" s="50">
        <v>42</v>
      </c>
      <c r="F79" s="50">
        <v>61</v>
      </c>
      <c r="G79" s="50">
        <v>61</v>
      </c>
      <c r="H79" s="50">
        <v>7</v>
      </c>
      <c r="I79" s="50">
        <v>7</v>
      </c>
      <c r="J79" s="50">
        <v>0</v>
      </c>
      <c r="K79" s="50">
        <v>0</v>
      </c>
      <c r="L79" s="50">
        <v>0</v>
      </c>
      <c r="M79" s="50">
        <v>0</v>
      </c>
    </row>
    <row r="80" spans="1:13" ht="12.75" x14ac:dyDescent="0.2">
      <c r="A80" s="55" t="s">
        <v>103</v>
      </c>
      <c r="B80" s="50">
        <v>68</v>
      </c>
      <c r="C80" s="50">
        <v>66</v>
      </c>
      <c r="D80" s="50">
        <v>45</v>
      </c>
      <c r="E80" s="50">
        <v>45</v>
      </c>
      <c r="F80" s="50">
        <v>42</v>
      </c>
      <c r="G80" s="50">
        <v>39</v>
      </c>
      <c r="H80" s="50">
        <v>11</v>
      </c>
      <c r="I80" s="50">
        <v>10</v>
      </c>
      <c r="J80" s="50">
        <v>0</v>
      </c>
      <c r="K80" s="50">
        <v>0</v>
      </c>
      <c r="L80" s="50">
        <v>0</v>
      </c>
      <c r="M80" s="50">
        <v>0</v>
      </c>
    </row>
    <row r="81" spans="1:13" ht="12.75" x14ac:dyDescent="0.2">
      <c r="A81" s="55" t="s">
        <v>81</v>
      </c>
      <c r="B81" s="50">
        <v>93</v>
      </c>
      <c r="C81" s="50">
        <v>91</v>
      </c>
      <c r="D81" s="50">
        <v>10</v>
      </c>
      <c r="E81" s="50">
        <v>9</v>
      </c>
      <c r="F81" s="50">
        <v>29</v>
      </c>
      <c r="G81" s="50">
        <v>26</v>
      </c>
      <c r="H81" s="50">
        <v>6</v>
      </c>
      <c r="I81" s="50">
        <v>6</v>
      </c>
      <c r="J81" s="50">
        <v>0</v>
      </c>
      <c r="K81" s="50">
        <v>0</v>
      </c>
      <c r="L81" s="50">
        <v>0</v>
      </c>
      <c r="M81" s="50">
        <v>0</v>
      </c>
    </row>
    <row r="82" spans="1:13" ht="12.75" x14ac:dyDescent="0.2">
      <c r="A82" s="55" t="s">
        <v>336</v>
      </c>
      <c r="B82" s="50">
        <v>18</v>
      </c>
      <c r="C82" s="50">
        <v>19</v>
      </c>
      <c r="D82" s="50">
        <v>32</v>
      </c>
      <c r="E82" s="50">
        <v>31</v>
      </c>
      <c r="F82" s="50">
        <v>39</v>
      </c>
      <c r="G82" s="50">
        <v>39</v>
      </c>
      <c r="H82" s="50">
        <v>37</v>
      </c>
      <c r="I82" s="50">
        <v>37</v>
      </c>
      <c r="J82" s="50">
        <v>1</v>
      </c>
      <c r="K82" s="50">
        <v>1</v>
      </c>
      <c r="L82" s="50">
        <v>3</v>
      </c>
      <c r="M82" s="50">
        <v>3</v>
      </c>
    </row>
    <row r="83" spans="1:13" ht="12.75" x14ac:dyDescent="0.2">
      <c r="A83" s="55" t="s">
        <v>49</v>
      </c>
      <c r="B83" s="50">
        <v>34</v>
      </c>
      <c r="C83" s="50">
        <v>34</v>
      </c>
      <c r="D83" s="50">
        <v>62</v>
      </c>
      <c r="E83" s="50">
        <v>62</v>
      </c>
      <c r="F83" s="50">
        <v>27</v>
      </c>
      <c r="G83" s="50">
        <v>27</v>
      </c>
      <c r="H83" s="50">
        <v>2</v>
      </c>
      <c r="I83" s="50">
        <v>2</v>
      </c>
      <c r="J83" s="50">
        <v>0</v>
      </c>
      <c r="K83" s="50">
        <v>0</v>
      </c>
      <c r="L83" s="50">
        <v>0</v>
      </c>
      <c r="M83" s="50">
        <v>0</v>
      </c>
    </row>
    <row r="84" spans="1:13" ht="12.75" x14ac:dyDescent="0.2">
      <c r="A84" s="55" t="s">
        <v>115</v>
      </c>
      <c r="B84" s="50">
        <v>41</v>
      </c>
      <c r="C84" s="50">
        <v>41</v>
      </c>
      <c r="D84" s="50">
        <v>45</v>
      </c>
      <c r="E84" s="50">
        <v>43</v>
      </c>
      <c r="F84" s="50">
        <v>34</v>
      </c>
      <c r="G84" s="50">
        <v>30</v>
      </c>
      <c r="H84" s="50">
        <v>7</v>
      </c>
      <c r="I84" s="50">
        <v>5</v>
      </c>
      <c r="J84" s="50">
        <v>0</v>
      </c>
      <c r="K84" s="50">
        <v>0</v>
      </c>
      <c r="L84" s="50">
        <v>0</v>
      </c>
      <c r="M84" s="50">
        <v>0</v>
      </c>
    </row>
    <row r="85" spans="1:13" ht="12.75" x14ac:dyDescent="0.2">
      <c r="A85" s="55" t="s">
        <v>75</v>
      </c>
      <c r="B85" s="50">
        <v>74</v>
      </c>
      <c r="C85" s="50">
        <v>74</v>
      </c>
      <c r="D85" s="50">
        <v>4</v>
      </c>
      <c r="E85" s="50">
        <v>4</v>
      </c>
      <c r="F85" s="50">
        <v>30</v>
      </c>
      <c r="G85" s="50">
        <v>29</v>
      </c>
      <c r="H85" s="50">
        <v>3</v>
      </c>
      <c r="I85" s="50">
        <v>2</v>
      </c>
      <c r="J85" s="50">
        <v>0</v>
      </c>
      <c r="K85" s="50">
        <v>0</v>
      </c>
      <c r="L85" s="50">
        <v>0</v>
      </c>
      <c r="M85" s="50">
        <v>0</v>
      </c>
    </row>
    <row r="86" spans="1:13" ht="12.75" x14ac:dyDescent="0.2">
      <c r="A86" s="55" t="s">
        <v>91</v>
      </c>
      <c r="B86" s="50">
        <v>20</v>
      </c>
      <c r="C86" s="50">
        <v>20</v>
      </c>
      <c r="D86" s="50">
        <v>51</v>
      </c>
      <c r="E86" s="50">
        <v>51</v>
      </c>
      <c r="F86" s="50">
        <v>22</v>
      </c>
      <c r="G86" s="50">
        <v>22</v>
      </c>
      <c r="H86" s="50">
        <v>4</v>
      </c>
      <c r="I86" s="50">
        <v>4</v>
      </c>
      <c r="J86" s="50">
        <v>1</v>
      </c>
      <c r="K86" s="50">
        <v>1</v>
      </c>
      <c r="L86" s="50">
        <v>1</v>
      </c>
      <c r="M86" s="50">
        <v>1</v>
      </c>
    </row>
    <row r="87" spans="1:13" ht="12.75" x14ac:dyDescent="0.2">
      <c r="A87" s="55" t="s">
        <v>67</v>
      </c>
      <c r="B87" s="50">
        <v>30</v>
      </c>
      <c r="C87" s="50">
        <v>30</v>
      </c>
      <c r="D87" s="50">
        <v>15</v>
      </c>
      <c r="E87" s="50">
        <v>15</v>
      </c>
      <c r="F87" s="50">
        <v>5</v>
      </c>
      <c r="G87" s="50">
        <v>5</v>
      </c>
      <c r="H87" s="50">
        <v>2</v>
      </c>
      <c r="I87" s="50">
        <v>2</v>
      </c>
      <c r="J87" s="50">
        <v>0</v>
      </c>
      <c r="K87" s="50">
        <v>0</v>
      </c>
      <c r="L87" s="50">
        <v>0</v>
      </c>
      <c r="M87" s="50">
        <v>0</v>
      </c>
    </row>
    <row r="88" spans="1:13" ht="12.75" x14ac:dyDescent="0.2">
      <c r="A88" s="55" t="s">
        <v>177</v>
      </c>
      <c r="B88" s="50">
        <v>12</v>
      </c>
      <c r="C88" s="50">
        <v>13</v>
      </c>
      <c r="D88" s="50">
        <v>10</v>
      </c>
      <c r="E88" s="50">
        <v>5</v>
      </c>
      <c r="F88" s="50">
        <v>22</v>
      </c>
      <c r="G88" s="50">
        <v>22</v>
      </c>
      <c r="H88" s="50">
        <v>2</v>
      </c>
      <c r="I88" s="50">
        <v>3</v>
      </c>
      <c r="J88" s="50">
        <v>3</v>
      </c>
      <c r="K88" s="50">
        <v>6</v>
      </c>
      <c r="L88" s="50">
        <v>0</v>
      </c>
      <c r="M88" s="50">
        <v>0</v>
      </c>
    </row>
    <row r="89" spans="1:13" ht="12.75" x14ac:dyDescent="0.2">
      <c r="A89" s="55" t="s">
        <v>153</v>
      </c>
      <c r="B89" s="50">
        <v>18</v>
      </c>
      <c r="C89" s="50">
        <v>18</v>
      </c>
      <c r="D89" s="50">
        <v>8</v>
      </c>
      <c r="E89" s="50">
        <v>8</v>
      </c>
      <c r="F89" s="50">
        <v>14</v>
      </c>
      <c r="G89" s="50">
        <v>14</v>
      </c>
      <c r="H89" s="50">
        <v>4</v>
      </c>
      <c r="I89" s="50">
        <v>4</v>
      </c>
      <c r="J89" s="50">
        <v>0</v>
      </c>
      <c r="K89" s="50">
        <v>0</v>
      </c>
      <c r="L89" s="50">
        <v>0</v>
      </c>
      <c r="M89" s="50">
        <v>0</v>
      </c>
    </row>
    <row r="90" spans="1:13" ht="12.75" x14ac:dyDescent="0.2">
      <c r="A90" s="55" t="s">
        <v>155</v>
      </c>
      <c r="B90" s="50">
        <v>19</v>
      </c>
      <c r="C90" s="50">
        <v>19</v>
      </c>
      <c r="D90" s="50">
        <v>11</v>
      </c>
      <c r="E90" s="50">
        <v>10</v>
      </c>
      <c r="F90" s="50">
        <v>4</v>
      </c>
      <c r="G90" s="50">
        <v>3</v>
      </c>
      <c r="H90" s="50">
        <v>2</v>
      </c>
      <c r="I90" s="50">
        <v>2</v>
      </c>
      <c r="J90" s="50">
        <v>1</v>
      </c>
      <c r="K90" s="50">
        <v>1</v>
      </c>
      <c r="L90" s="50">
        <v>0</v>
      </c>
      <c r="M90" s="50">
        <v>0</v>
      </c>
    </row>
    <row r="91" spans="1:13" ht="12.75" x14ac:dyDescent="0.2">
      <c r="A91" s="55" t="s">
        <v>154</v>
      </c>
      <c r="B91" s="50">
        <v>4</v>
      </c>
      <c r="C91" s="50">
        <v>4</v>
      </c>
      <c r="D91" s="50">
        <v>13</v>
      </c>
      <c r="E91" s="50">
        <v>13</v>
      </c>
      <c r="F91" s="50">
        <v>11</v>
      </c>
      <c r="G91" s="50">
        <v>11</v>
      </c>
      <c r="H91" s="50">
        <v>7</v>
      </c>
      <c r="I91" s="50">
        <v>7</v>
      </c>
      <c r="J91" s="50">
        <v>1</v>
      </c>
      <c r="K91" s="50">
        <v>1</v>
      </c>
      <c r="L91" s="50">
        <v>0</v>
      </c>
      <c r="M91" s="50">
        <v>0</v>
      </c>
    </row>
    <row r="92" spans="1:13" ht="12.75" x14ac:dyDescent="0.2">
      <c r="A92" s="55" t="s">
        <v>335</v>
      </c>
      <c r="B92" s="50">
        <v>1</v>
      </c>
      <c r="C92" s="50">
        <v>1</v>
      </c>
      <c r="D92" s="50">
        <v>8</v>
      </c>
      <c r="E92" s="50">
        <v>10</v>
      </c>
      <c r="F92" s="50">
        <v>2</v>
      </c>
      <c r="G92" s="50">
        <v>2</v>
      </c>
      <c r="H92" s="50">
        <v>5</v>
      </c>
      <c r="I92" s="50">
        <v>4</v>
      </c>
      <c r="J92" s="50">
        <v>10</v>
      </c>
      <c r="K92" s="50">
        <v>9</v>
      </c>
      <c r="L92" s="50">
        <v>1</v>
      </c>
      <c r="M92" s="50">
        <v>1</v>
      </c>
    </row>
    <row r="93" spans="1:13" ht="12.75" x14ac:dyDescent="0.2">
      <c r="A93" s="55" t="s">
        <v>45</v>
      </c>
      <c r="B93" s="50">
        <v>16</v>
      </c>
      <c r="C93" s="50">
        <v>16</v>
      </c>
      <c r="D93" s="50">
        <v>0</v>
      </c>
      <c r="E93" s="50">
        <v>0</v>
      </c>
      <c r="F93" s="50">
        <v>2</v>
      </c>
      <c r="G93" s="50">
        <v>2</v>
      </c>
      <c r="H93" s="50">
        <v>1</v>
      </c>
      <c r="I93" s="50">
        <v>1</v>
      </c>
      <c r="J93" s="50">
        <v>0</v>
      </c>
      <c r="K93" s="50">
        <v>0</v>
      </c>
      <c r="L93" s="50">
        <v>0</v>
      </c>
      <c r="M93" s="50">
        <v>0</v>
      </c>
    </row>
    <row r="94" spans="1:13" ht="12.75" x14ac:dyDescent="0.2">
      <c r="A94" s="55" t="s">
        <v>158</v>
      </c>
      <c r="B94" s="50">
        <v>0</v>
      </c>
      <c r="C94" s="50">
        <v>0</v>
      </c>
      <c r="D94" s="50">
        <v>1</v>
      </c>
      <c r="E94" s="50">
        <v>1</v>
      </c>
      <c r="F94" s="50">
        <v>2</v>
      </c>
      <c r="G94" s="50">
        <v>2</v>
      </c>
      <c r="H94" s="50">
        <v>2</v>
      </c>
      <c r="I94" s="50">
        <v>2</v>
      </c>
      <c r="J94" s="50">
        <v>0</v>
      </c>
      <c r="K94" s="50">
        <v>0</v>
      </c>
      <c r="L94" s="50">
        <v>0</v>
      </c>
      <c r="M94" s="50">
        <v>0</v>
      </c>
    </row>
    <row r="95" spans="1:13" ht="12.75" x14ac:dyDescent="0.2">
      <c r="A95" s="55" t="s">
        <v>159</v>
      </c>
      <c r="B95" s="50">
        <v>0</v>
      </c>
      <c r="C95" s="50">
        <v>0</v>
      </c>
      <c r="D95" s="50">
        <v>1</v>
      </c>
      <c r="E95" s="50">
        <v>1</v>
      </c>
      <c r="F95" s="50">
        <v>0</v>
      </c>
      <c r="G95" s="50">
        <v>0</v>
      </c>
      <c r="H95" s="50">
        <v>2</v>
      </c>
      <c r="I95" s="50">
        <v>2</v>
      </c>
      <c r="J95" s="50">
        <v>0</v>
      </c>
      <c r="K95" s="50">
        <v>0</v>
      </c>
      <c r="L95" s="50">
        <v>0</v>
      </c>
      <c r="M95" s="50">
        <v>0</v>
      </c>
    </row>
    <row r="96" spans="1:13" ht="12.75" x14ac:dyDescent="0.2">
      <c r="A96" s="55" t="s">
        <v>156</v>
      </c>
      <c r="B96" s="50">
        <v>0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1</v>
      </c>
      <c r="I96" s="50">
        <v>1</v>
      </c>
      <c r="J96" s="50">
        <v>0</v>
      </c>
      <c r="K96" s="50">
        <v>0</v>
      </c>
      <c r="L96" s="50">
        <v>0</v>
      </c>
      <c r="M96" s="50">
        <v>0</v>
      </c>
    </row>
    <row r="97" spans="1:13" ht="12.75" x14ac:dyDescent="0.2">
      <c r="A97" s="55" t="s">
        <v>157</v>
      </c>
      <c r="B97" s="50">
        <v>0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</row>
    <row r="98" spans="1:13" ht="12.75" x14ac:dyDescent="0.2">
      <c r="A98" s="55" t="s">
        <v>269</v>
      </c>
      <c r="B98" s="50">
        <v>73268</v>
      </c>
      <c r="C98" s="50">
        <v>73243</v>
      </c>
      <c r="D98" s="50">
        <v>64254</v>
      </c>
      <c r="E98" s="50">
        <v>63946</v>
      </c>
      <c r="F98" s="50">
        <v>42312</v>
      </c>
      <c r="G98" s="50">
        <v>41312</v>
      </c>
      <c r="H98" s="50">
        <v>18252</v>
      </c>
      <c r="I98" s="50">
        <v>17759</v>
      </c>
      <c r="J98" s="50">
        <v>3665</v>
      </c>
      <c r="K98" s="50">
        <v>3521</v>
      </c>
      <c r="L98" s="50">
        <v>1559</v>
      </c>
      <c r="M98" s="50">
        <v>1529</v>
      </c>
    </row>
    <row r="99" spans="1:13" ht="12.75" x14ac:dyDescent="0.2">
      <c r="A99" s="20"/>
    </row>
    <row r="100" spans="1:13" ht="12.75" x14ac:dyDescent="0.2">
      <c r="A100" s="20"/>
    </row>
    <row r="101" spans="1:13" ht="12.75" x14ac:dyDescent="0.2">
      <c r="A101" s="20"/>
    </row>
    <row r="102" spans="1:13" ht="12.75" x14ac:dyDescent="0.2">
      <c r="A102" s="20"/>
    </row>
    <row r="103" spans="1:13" ht="12.75" x14ac:dyDescent="0.2">
      <c r="A103" s="20"/>
    </row>
    <row r="104" spans="1:13" ht="12.75" x14ac:dyDescent="0.2">
      <c r="A104" s="20"/>
    </row>
    <row r="105" spans="1:13" ht="12.75" x14ac:dyDescent="0.2">
      <c r="A105" s="20"/>
    </row>
    <row r="106" spans="1:13" ht="12.75" x14ac:dyDescent="0.2">
      <c r="A106" s="20"/>
    </row>
    <row r="107" spans="1:13" ht="12.75" x14ac:dyDescent="0.2">
      <c r="A107" s="20"/>
    </row>
    <row r="108" spans="1:13" ht="12.75" x14ac:dyDescent="0.2">
      <c r="A108" s="20"/>
    </row>
    <row r="109" spans="1:13" ht="12.75" x14ac:dyDescent="0.2">
      <c r="A109" s="20"/>
    </row>
    <row r="110" spans="1:13" ht="12.75" x14ac:dyDescent="0.2">
      <c r="A110" s="20"/>
    </row>
    <row r="111" spans="1:13" ht="12.75" x14ac:dyDescent="0.2">
      <c r="A111" s="20"/>
    </row>
    <row r="112" spans="1:13" ht="12.75" x14ac:dyDescent="0.2">
      <c r="A112" s="20"/>
    </row>
    <row r="113" spans="1:1" ht="12.75" x14ac:dyDescent="0.2">
      <c r="A113" s="20"/>
    </row>
    <row r="114" spans="1:1" ht="12.75" x14ac:dyDescent="0.2">
      <c r="A114" s="20"/>
    </row>
    <row r="115" spans="1:1" ht="12.75" x14ac:dyDescent="0.2">
      <c r="A115" s="20"/>
    </row>
    <row r="116" spans="1:1" ht="12.75" x14ac:dyDescent="0.2">
      <c r="A116" s="20"/>
    </row>
    <row r="117" spans="1:1" ht="12.75" x14ac:dyDescent="0.2">
      <c r="A117" s="20"/>
    </row>
    <row r="118" spans="1:1" ht="12.75" x14ac:dyDescent="0.2">
      <c r="A118" s="20"/>
    </row>
    <row r="119" spans="1:1" ht="12.75" x14ac:dyDescent="0.2">
      <c r="A119" s="20"/>
    </row>
    <row r="120" spans="1:1" ht="12.75" x14ac:dyDescent="0.2">
      <c r="A120" s="20"/>
    </row>
    <row r="121" spans="1:1" ht="12.75" x14ac:dyDescent="0.2">
      <c r="A121" s="20"/>
    </row>
    <row r="122" spans="1:1" ht="12.75" x14ac:dyDescent="0.2">
      <c r="A122" s="20"/>
    </row>
    <row r="123" spans="1:1" ht="12.75" x14ac:dyDescent="0.2">
      <c r="A123" s="20"/>
    </row>
    <row r="124" spans="1:1" ht="12.75" x14ac:dyDescent="0.2">
      <c r="A124" s="20"/>
    </row>
    <row r="125" spans="1:1" ht="12.75" x14ac:dyDescent="0.2">
      <c r="A125" s="20"/>
    </row>
    <row r="126" spans="1:1" ht="12.75" x14ac:dyDescent="0.2">
      <c r="A126" s="20"/>
    </row>
    <row r="127" spans="1:1" ht="12.75" x14ac:dyDescent="0.2">
      <c r="A127" s="20"/>
    </row>
    <row r="128" spans="1:1" ht="12.75" x14ac:dyDescent="0.2">
      <c r="A128" s="20"/>
    </row>
    <row r="129" spans="1:1" ht="12.75" x14ac:dyDescent="0.2">
      <c r="A129" s="20"/>
    </row>
    <row r="130" spans="1:1" ht="12.75" x14ac:dyDescent="0.2">
      <c r="A130" s="20"/>
    </row>
    <row r="131" spans="1:1" ht="12.75" x14ac:dyDescent="0.2">
      <c r="A131" s="20"/>
    </row>
    <row r="132" spans="1:1" ht="12.75" x14ac:dyDescent="0.2">
      <c r="A132" s="20"/>
    </row>
    <row r="133" spans="1:1" ht="12.75" x14ac:dyDescent="0.2">
      <c r="A133" s="20"/>
    </row>
    <row r="134" spans="1:1" ht="12.75" x14ac:dyDescent="0.2">
      <c r="A134" s="20"/>
    </row>
    <row r="135" spans="1:1" ht="12.75" x14ac:dyDescent="0.2">
      <c r="A135" s="20"/>
    </row>
    <row r="136" spans="1:1" ht="12.75" x14ac:dyDescent="0.2">
      <c r="A136" s="20"/>
    </row>
    <row r="137" spans="1:1" ht="12.75" x14ac:dyDescent="0.2">
      <c r="A137" s="20"/>
    </row>
    <row r="138" spans="1:1" ht="12.75" x14ac:dyDescent="0.2">
      <c r="A138" s="20"/>
    </row>
    <row r="139" spans="1:1" ht="12.75" x14ac:dyDescent="0.2">
      <c r="A139" s="20"/>
    </row>
    <row r="140" spans="1:1" ht="12.75" x14ac:dyDescent="0.2">
      <c r="A140" s="20"/>
    </row>
    <row r="141" spans="1:1" ht="12.75" x14ac:dyDescent="0.2">
      <c r="A141" s="20"/>
    </row>
    <row r="142" spans="1:1" ht="12.75" x14ac:dyDescent="0.2">
      <c r="A142" s="20"/>
    </row>
    <row r="143" spans="1:1" ht="12.75" x14ac:dyDescent="0.2">
      <c r="A143" s="20"/>
    </row>
    <row r="144" spans="1:1" ht="12.75" x14ac:dyDescent="0.2">
      <c r="A144" s="20"/>
    </row>
    <row r="145" spans="1:1" ht="12.75" x14ac:dyDescent="0.2">
      <c r="A145" s="20"/>
    </row>
    <row r="146" spans="1:1" ht="12.75" x14ac:dyDescent="0.2">
      <c r="A146" s="20"/>
    </row>
    <row r="147" spans="1:1" ht="12.75" x14ac:dyDescent="0.2">
      <c r="A147" s="20"/>
    </row>
    <row r="148" spans="1:1" ht="12.75" x14ac:dyDescent="0.2">
      <c r="A148" s="20"/>
    </row>
    <row r="149" spans="1:1" ht="12.75" x14ac:dyDescent="0.2">
      <c r="A149" s="20"/>
    </row>
    <row r="150" spans="1:1" ht="12.75" x14ac:dyDescent="0.2">
      <c r="A150" s="20"/>
    </row>
    <row r="151" spans="1:1" ht="12.75" x14ac:dyDescent="0.2">
      <c r="A151" s="20"/>
    </row>
    <row r="152" spans="1:1" ht="12.75" x14ac:dyDescent="0.2">
      <c r="A152" s="20"/>
    </row>
    <row r="153" spans="1:1" ht="12.75" x14ac:dyDescent="0.2">
      <c r="A153" s="20"/>
    </row>
    <row r="154" spans="1:1" ht="12.75" x14ac:dyDescent="0.2">
      <c r="A154" s="20"/>
    </row>
    <row r="155" spans="1:1" ht="12.75" x14ac:dyDescent="0.2">
      <c r="A155" s="20"/>
    </row>
    <row r="156" spans="1:1" ht="12.75" x14ac:dyDescent="0.2">
      <c r="A156" s="20"/>
    </row>
    <row r="157" spans="1:1" ht="12.75" x14ac:dyDescent="0.2">
      <c r="A157" s="20"/>
    </row>
    <row r="158" spans="1:1" ht="12.75" x14ac:dyDescent="0.2">
      <c r="A158" s="20"/>
    </row>
    <row r="159" spans="1:1" ht="12.75" x14ac:dyDescent="0.2">
      <c r="A159" s="20"/>
    </row>
    <row r="160" spans="1:1" ht="12.75" x14ac:dyDescent="0.2">
      <c r="A160" s="20"/>
    </row>
    <row r="161" spans="1:1" ht="12.75" x14ac:dyDescent="0.2">
      <c r="A161" s="20"/>
    </row>
    <row r="162" spans="1:1" ht="12.75" x14ac:dyDescent="0.2">
      <c r="A162" s="20"/>
    </row>
    <row r="163" spans="1:1" ht="12.75" x14ac:dyDescent="0.2">
      <c r="A163" s="20"/>
    </row>
    <row r="164" spans="1:1" ht="12.75" x14ac:dyDescent="0.2">
      <c r="A164" s="20"/>
    </row>
    <row r="165" spans="1:1" ht="12.75" x14ac:dyDescent="0.2">
      <c r="A165" s="20"/>
    </row>
    <row r="166" spans="1:1" ht="12.75" x14ac:dyDescent="0.2">
      <c r="A166" s="20"/>
    </row>
    <row r="167" spans="1:1" ht="12.75" x14ac:dyDescent="0.2">
      <c r="A167" s="20"/>
    </row>
    <row r="168" spans="1:1" ht="12.75" x14ac:dyDescent="0.2">
      <c r="A168" s="20"/>
    </row>
    <row r="169" spans="1:1" ht="12.75" x14ac:dyDescent="0.2">
      <c r="A169" s="20"/>
    </row>
    <row r="170" spans="1:1" ht="12.75" x14ac:dyDescent="0.2">
      <c r="A170" s="20"/>
    </row>
    <row r="171" spans="1:1" ht="12.75" x14ac:dyDescent="0.2">
      <c r="A171" s="20"/>
    </row>
    <row r="172" spans="1:1" ht="12.75" x14ac:dyDescent="0.2">
      <c r="A172" s="20"/>
    </row>
    <row r="173" spans="1:1" ht="12.75" x14ac:dyDescent="0.2">
      <c r="A173" s="20"/>
    </row>
    <row r="174" spans="1:1" ht="12.75" x14ac:dyDescent="0.2">
      <c r="A174" s="20"/>
    </row>
    <row r="175" spans="1:1" ht="12.75" x14ac:dyDescent="0.2">
      <c r="A175" s="20"/>
    </row>
    <row r="176" spans="1:1" ht="12.75" x14ac:dyDescent="0.2">
      <c r="A176" s="20"/>
    </row>
    <row r="177" spans="1:1" ht="12.75" x14ac:dyDescent="0.2">
      <c r="A177" s="20"/>
    </row>
    <row r="178" spans="1:1" ht="12.75" x14ac:dyDescent="0.2">
      <c r="A178" s="20"/>
    </row>
    <row r="179" spans="1:1" ht="12.75" x14ac:dyDescent="0.2">
      <c r="A179" s="20"/>
    </row>
    <row r="180" spans="1:1" ht="12.75" x14ac:dyDescent="0.2">
      <c r="A180" s="20"/>
    </row>
    <row r="181" spans="1:1" ht="12.75" x14ac:dyDescent="0.2">
      <c r="A181" s="20"/>
    </row>
    <row r="182" spans="1:1" ht="12.75" x14ac:dyDescent="0.2">
      <c r="A182" s="20"/>
    </row>
    <row r="183" spans="1:1" ht="12.75" x14ac:dyDescent="0.2">
      <c r="A183" s="20"/>
    </row>
    <row r="184" spans="1:1" ht="12.75" x14ac:dyDescent="0.2">
      <c r="A184" s="20"/>
    </row>
    <row r="185" spans="1:1" ht="12.75" x14ac:dyDescent="0.2">
      <c r="A185" s="20"/>
    </row>
    <row r="186" spans="1:1" ht="12.75" x14ac:dyDescent="0.2">
      <c r="A186" s="20"/>
    </row>
    <row r="187" spans="1:1" ht="12.75" x14ac:dyDescent="0.2">
      <c r="A187" s="20"/>
    </row>
    <row r="188" spans="1:1" ht="12.75" x14ac:dyDescent="0.2">
      <c r="A188" s="20"/>
    </row>
    <row r="189" spans="1:1" ht="12.75" x14ac:dyDescent="0.2">
      <c r="A189" s="20"/>
    </row>
    <row r="190" spans="1:1" ht="12.75" x14ac:dyDescent="0.2">
      <c r="A190" s="20"/>
    </row>
    <row r="191" spans="1:1" ht="12.75" x14ac:dyDescent="0.2">
      <c r="A191" s="20"/>
    </row>
    <row r="192" spans="1:1" ht="12.75" x14ac:dyDescent="0.2">
      <c r="A192" s="20"/>
    </row>
    <row r="193" spans="1:1" ht="12.75" x14ac:dyDescent="0.2">
      <c r="A193" s="20"/>
    </row>
    <row r="194" spans="1:1" ht="12.75" x14ac:dyDescent="0.2">
      <c r="A194" s="20"/>
    </row>
    <row r="195" spans="1:1" ht="12.75" x14ac:dyDescent="0.2">
      <c r="A195" s="20"/>
    </row>
    <row r="196" spans="1:1" ht="12.75" x14ac:dyDescent="0.2">
      <c r="A196" s="20"/>
    </row>
    <row r="197" spans="1:1" ht="12.75" x14ac:dyDescent="0.2">
      <c r="A197" s="20"/>
    </row>
    <row r="198" spans="1:1" ht="12.75" x14ac:dyDescent="0.2">
      <c r="A198" s="20"/>
    </row>
    <row r="199" spans="1:1" ht="12.75" x14ac:dyDescent="0.2">
      <c r="A199" s="20"/>
    </row>
    <row r="200" spans="1:1" ht="12.75" x14ac:dyDescent="0.2">
      <c r="A200" s="20"/>
    </row>
    <row r="201" spans="1:1" ht="12.75" x14ac:dyDescent="0.2">
      <c r="A201" s="20"/>
    </row>
    <row r="202" spans="1:1" ht="12.75" x14ac:dyDescent="0.2">
      <c r="A202" s="20"/>
    </row>
    <row r="203" spans="1:1" ht="12.75" x14ac:dyDescent="0.2">
      <c r="A203" s="20"/>
    </row>
    <row r="204" spans="1:1" ht="12.75" x14ac:dyDescent="0.2">
      <c r="A204" s="20"/>
    </row>
    <row r="205" spans="1:1" ht="12.75" x14ac:dyDescent="0.2">
      <c r="A205" s="20"/>
    </row>
    <row r="206" spans="1:1" ht="12.75" x14ac:dyDescent="0.2">
      <c r="A206" s="20"/>
    </row>
    <row r="207" spans="1:1" ht="12.75" x14ac:dyDescent="0.2">
      <c r="A207" s="20"/>
    </row>
    <row r="208" spans="1:1" ht="12.75" x14ac:dyDescent="0.2">
      <c r="A208" s="20"/>
    </row>
    <row r="209" spans="1:1" ht="12.75" x14ac:dyDescent="0.2">
      <c r="A209" s="20"/>
    </row>
    <row r="210" spans="1:1" ht="12.75" x14ac:dyDescent="0.2">
      <c r="A210" s="20"/>
    </row>
    <row r="211" spans="1:1" ht="12.75" x14ac:dyDescent="0.2">
      <c r="A211" s="20"/>
    </row>
    <row r="212" spans="1:1" ht="12.75" x14ac:dyDescent="0.2">
      <c r="A212" s="20"/>
    </row>
    <row r="213" spans="1:1" ht="12.75" x14ac:dyDescent="0.2">
      <c r="A213" s="20"/>
    </row>
    <row r="214" spans="1:1" ht="12.75" x14ac:dyDescent="0.2">
      <c r="A214" s="20"/>
    </row>
    <row r="215" spans="1:1" ht="12.75" x14ac:dyDescent="0.2">
      <c r="A215" s="20"/>
    </row>
    <row r="216" spans="1:1" ht="12.75" x14ac:dyDescent="0.2">
      <c r="A216" s="20"/>
    </row>
    <row r="217" spans="1:1" ht="12.75" x14ac:dyDescent="0.2">
      <c r="A217" s="20"/>
    </row>
    <row r="218" spans="1:1" ht="12.75" x14ac:dyDescent="0.2">
      <c r="A218" s="20"/>
    </row>
    <row r="219" spans="1:1" ht="12.75" x14ac:dyDescent="0.2">
      <c r="A219" s="20"/>
    </row>
    <row r="220" spans="1:1" ht="12.75" x14ac:dyDescent="0.2">
      <c r="A220" s="20"/>
    </row>
    <row r="221" spans="1:1" ht="12.75" x14ac:dyDescent="0.2">
      <c r="A221" s="20"/>
    </row>
    <row r="222" spans="1:1" ht="12.75" x14ac:dyDescent="0.2">
      <c r="A222" s="20"/>
    </row>
    <row r="223" spans="1:1" ht="12.75" x14ac:dyDescent="0.2">
      <c r="A223" s="20"/>
    </row>
    <row r="224" spans="1:1" ht="12.75" x14ac:dyDescent="0.2">
      <c r="A224" s="20"/>
    </row>
    <row r="225" spans="1:1" ht="12.75" x14ac:dyDescent="0.2">
      <c r="A225" s="20"/>
    </row>
    <row r="226" spans="1:1" ht="12.75" x14ac:dyDescent="0.2">
      <c r="A226" s="20"/>
    </row>
    <row r="227" spans="1:1" ht="12.75" x14ac:dyDescent="0.2">
      <c r="A227" s="20"/>
    </row>
    <row r="228" spans="1:1" ht="12.75" x14ac:dyDescent="0.2">
      <c r="A228" s="20"/>
    </row>
    <row r="229" spans="1:1" ht="12.75" x14ac:dyDescent="0.2">
      <c r="A229" s="20"/>
    </row>
    <row r="230" spans="1:1" ht="12.75" x14ac:dyDescent="0.2">
      <c r="A230" s="20"/>
    </row>
    <row r="231" spans="1:1" ht="12.75" x14ac:dyDescent="0.2">
      <c r="A231" s="20"/>
    </row>
    <row r="232" spans="1:1" ht="12.75" x14ac:dyDescent="0.2">
      <c r="A232" s="20"/>
    </row>
    <row r="233" spans="1:1" ht="12.75" x14ac:dyDescent="0.2">
      <c r="A233" s="20"/>
    </row>
    <row r="234" spans="1:1" ht="12.75" x14ac:dyDescent="0.2">
      <c r="A234" s="20"/>
    </row>
    <row r="235" spans="1:1" ht="12.75" x14ac:dyDescent="0.2">
      <c r="A235" s="20"/>
    </row>
    <row r="236" spans="1:1" ht="12.75" x14ac:dyDescent="0.2">
      <c r="A236" s="20"/>
    </row>
    <row r="237" spans="1:1" ht="12.75" x14ac:dyDescent="0.2">
      <c r="A237" s="20"/>
    </row>
    <row r="238" spans="1:1" ht="12.75" x14ac:dyDescent="0.2">
      <c r="A238" s="20"/>
    </row>
    <row r="239" spans="1:1" ht="12.75" x14ac:dyDescent="0.2">
      <c r="A239" s="20"/>
    </row>
    <row r="240" spans="1:1" ht="12.75" x14ac:dyDescent="0.2">
      <c r="A240" s="20"/>
    </row>
    <row r="241" spans="1:1" ht="12.75" x14ac:dyDescent="0.2">
      <c r="A241" s="20"/>
    </row>
    <row r="242" spans="1:1" ht="12.75" x14ac:dyDescent="0.2">
      <c r="A242" s="20"/>
    </row>
    <row r="243" spans="1:1" ht="12.75" x14ac:dyDescent="0.2">
      <c r="A243" s="20"/>
    </row>
    <row r="244" spans="1:1" ht="12.75" x14ac:dyDescent="0.2">
      <c r="A244" s="20"/>
    </row>
    <row r="245" spans="1:1" ht="12.75" x14ac:dyDescent="0.2">
      <c r="A245" s="20"/>
    </row>
    <row r="246" spans="1:1" ht="12.75" x14ac:dyDescent="0.2">
      <c r="A246" s="20"/>
    </row>
    <row r="247" spans="1:1" ht="12.75" x14ac:dyDescent="0.2">
      <c r="A247" s="20"/>
    </row>
    <row r="248" spans="1:1" ht="12.75" x14ac:dyDescent="0.2">
      <c r="A248" s="20"/>
    </row>
    <row r="249" spans="1:1" ht="12.75" x14ac:dyDescent="0.2">
      <c r="A249" s="20"/>
    </row>
    <row r="250" spans="1:1" ht="12.75" x14ac:dyDescent="0.2">
      <c r="A250" s="20"/>
    </row>
    <row r="251" spans="1:1" ht="12.75" x14ac:dyDescent="0.2">
      <c r="A251" s="20"/>
    </row>
    <row r="252" spans="1:1" ht="12.75" x14ac:dyDescent="0.2">
      <c r="A252" s="20"/>
    </row>
    <row r="253" spans="1:1" ht="12.75" x14ac:dyDescent="0.2">
      <c r="A253" s="20"/>
    </row>
    <row r="254" spans="1:1" ht="12.75" x14ac:dyDescent="0.2">
      <c r="A254" s="20"/>
    </row>
    <row r="255" spans="1:1" ht="12.75" x14ac:dyDescent="0.2">
      <c r="A255" s="20"/>
    </row>
    <row r="256" spans="1:1" ht="12.75" x14ac:dyDescent="0.2">
      <c r="A256" s="20"/>
    </row>
    <row r="257" spans="1:1" ht="12.75" x14ac:dyDescent="0.2">
      <c r="A257" s="20"/>
    </row>
    <row r="258" spans="1:1" ht="12.75" x14ac:dyDescent="0.2">
      <c r="A258" s="20"/>
    </row>
    <row r="259" spans="1:1" ht="12.75" x14ac:dyDescent="0.2">
      <c r="A259" s="20"/>
    </row>
    <row r="260" spans="1:1" ht="12.75" x14ac:dyDescent="0.2">
      <c r="A260" s="20"/>
    </row>
    <row r="261" spans="1:1" ht="12.75" x14ac:dyDescent="0.2">
      <c r="A261" s="20"/>
    </row>
    <row r="262" spans="1:1" ht="12.75" x14ac:dyDescent="0.2">
      <c r="A262" s="20"/>
    </row>
    <row r="263" spans="1:1" ht="12.75" x14ac:dyDescent="0.2">
      <c r="A263" s="20"/>
    </row>
    <row r="264" spans="1:1" ht="12.75" x14ac:dyDescent="0.2">
      <c r="A264" s="20"/>
    </row>
    <row r="265" spans="1:1" ht="12.75" x14ac:dyDescent="0.2">
      <c r="A265" s="20"/>
    </row>
    <row r="266" spans="1:1" ht="12.75" x14ac:dyDescent="0.2">
      <c r="A266" s="20"/>
    </row>
    <row r="267" spans="1:1" ht="12.75" x14ac:dyDescent="0.2">
      <c r="A267" s="20"/>
    </row>
    <row r="268" spans="1:1" ht="12.75" x14ac:dyDescent="0.2">
      <c r="A268" s="20"/>
    </row>
    <row r="269" spans="1:1" ht="12.75" x14ac:dyDescent="0.2">
      <c r="A269" s="20"/>
    </row>
    <row r="270" spans="1:1" ht="12.75" x14ac:dyDescent="0.2">
      <c r="A270" s="20"/>
    </row>
    <row r="271" spans="1:1" ht="12.75" x14ac:dyDescent="0.2">
      <c r="A271" s="20"/>
    </row>
    <row r="272" spans="1:1" ht="12.75" x14ac:dyDescent="0.2">
      <c r="A272" s="20"/>
    </row>
    <row r="273" spans="1:1" ht="12.75" x14ac:dyDescent="0.2">
      <c r="A273" s="20"/>
    </row>
    <row r="274" spans="1:1" ht="12.75" x14ac:dyDescent="0.2">
      <c r="A274" s="20"/>
    </row>
    <row r="275" spans="1:1" ht="12.75" x14ac:dyDescent="0.2">
      <c r="A275" s="20"/>
    </row>
    <row r="276" spans="1:1" ht="12.75" x14ac:dyDescent="0.2">
      <c r="A276" s="20"/>
    </row>
    <row r="277" spans="1:1" ht="12.75" x14ac:dyDescent="0.2">
      <c r="A277" s="20"/>
    </row>
    <row r="278" spans="1:1" ht="12.75" x14ac:dyDescent="0.2">
      <c r="A278" s="20"/>
    </row>
    <row r="279" spans="1:1" ht="12.75" x14ac:dyDescent="0.2">
      <c r="A279" s="20"/>
    </row>
    <row r="280" spans="1:1" ht="12.75" x14ac:dyDescent="0.2">
      <c r="A280" s="20"/>
    </row>
    <row r="281" spans="1:1" ht="12.75" x14ac:dyDescent="0.2">
      <c r="A281" s="20"/>
    </row>
    <row r="282" spans="1:1" ht="12.75" x14ac:dyDescent="0.2">
      <c r="A282" s="20"/>
    </row>
    <row r="283" spans="1:1" ht="12.75" x14ac:dyDescent="0.2">
      <c r="A283" s="20"/>
    </row>
    <row r="284" spans="1:1" ht="12.75" x14ac:dyDescent="0.2">
      <c r="A284" s="20"/>
    </row>
    <row r="285" spans="1:1" ht="12.75" x14ac:dyDescent="0.2">
      <c r="A285" s="20"/>
    </row>
    <row r="286" spans="1:1" ht="12.75" x14ac:dyDescent="0.2">
      <c r="A286" s="20"/>
    </row>
    <row r="287" spans="1:1" ht="12.75" x14ac:dyDescent="0.2">
      <c r="A287" s="20"/>
    </row>
    <row r="288" spans="1:1" ht="12.75" x14ac:dyDescent="0.2">
      <c r="A288" s="20"/>
    </row>
    <row r="289" spans="1:1" ht="12.75" x14ac:dyDescent="0.2">
      <c r="A289" s="20"/>
    </row>
    <row r="290" spans="1:1" ht="12.75" x14ac:dyDescent="0.2">
      <c r="A290" s="20"/>
    </row>
    <row r="291" spans="1:1" ht="12.75" x14ac:dyDescent="0.2">
      <c r="A291" s="20"/>
    </row>
    <row r="292" spans="1:1" ht="12.75" x14ac:dyDescent="0.2">
      <c r="A292" s="20"/>
    </row>
    <row r="293" spans="1:1" ht="12.75" x14ac:dyDescent="0.2">
      <c r="A293" s="20"/>
    </row>
    <row r="294" spans="1:1" ht="12.75" x14ac:dyDescent="0.2">
      <c r="A294" s="20"/>
    </row>
    <row r="295" spans="1:1" ht="12.75" x14ac:dyDescent="0.2">
      <c r="A295" s="20"/>
    </row>
    <row r="296" spans="1:1" ht="12.75" x14ac:dyDescent="0.2">
      <c r="A296" s="20"/>
    </row>
    <row r="297" spans="1:1" ht="12.75" x14ac:dyDescent="0.2">
      <c r="A297" s="20"/>
    </row>
    <row r="298" spans="1:1" ht="12.75" x14ac:dyDescent="0.2">
      <c r="A298" s="20"/>
    </row>
    <row r="299" spans="1:1" ht="12.75" x14ac:dyDescent="0.2">
      <c r="A299" s="20"/>
    </row>
    <row r="300" spans="1:1" ht="12.75" x14ac:dyDescent="0.2">
      <c r="A300" s="20"/>
    </row>
    <row r="301" spans="1:1" ht="12.75" x14ac:dyDescent="0.2">
      <c r="A301" s="20"/>
    </row>
    <row r="302" spans="1:1" ht="12.75" x14ac:dyDescent="0.2">
      <c r="A302" s="20"/>
    </row>
    <row r="303" spans="1:1" ht="12.75" x14ac:dyDescent="0.2">
      <c r="A303" s="20"/>
    </row>
    <row r="304" spans="1:1" ht="12.75" x14ac:dyDescent="0.2">
      <c r="A304" s="20"/>
    </row>
    <row r="305" spans="1:1" ht="12.75" x14ac:dyDescent="0.2">
      <c r="A305" s="20"/>
    </row>
    <row r="306" spans="1:1" ht="12.75" x14ac:dyDescent="0.2">
      <c r="A306" s="20"/>
    </row>
    <row r="307" spans="1:1" ht="12.75" x14ac:dyDescent="0.2">
      <c r="A307" s="20"/>
    </row>
    <row r="308" spans="1:1" ht="12.75" x14ac:dyDescent="0.2">
      <c r="A308" s="20"/>
    </row>
    <row r="309" spans="1:1" ht="12.75" x14ac:dyDescent="0.2">
      <c r="A309" s="20"/>
    </row>
    <row r="310" spans="1:1" ht="12.75" x14ac:dyDescent="0.2">
      <c r="A310" s="20"/>
    </row>
    <row r="311" spans="1:1" ht="12.75" x14ac:dyDescent="0.2">
      <c r="A311" s="20"/>
    </row>
    <row r="312" spans="1:1" ht="12.75" x14ac:dyDescent="0.2">
      <c r="A312" s="20"/>
    </row>
    <row r="313" spans="1:1" ht="12.75" x14ac:dyDescent="0.2">
      <c r="A313" s="20"/>
    </row>
    <row r="314" spans="1:1" ht="12.75" x14ac:dyDescent="0.2">
      <c r="A314" s="20"/>
    </row>
    <row r="315" spans="1:1" ht="12.75" x14ac:dyDescent="0.2">
      <c r="A315" s="20"/>
    </row>
    <row r="316" spans="1:1" ht="12.75" x14ac:dyDescent="0.2">
      <c r="A316" s="20"/>
    </row>
    <row r="317" spans="1:1" ht="12.75" x14ac:dyDescent="0.2">
      <c r="A317" s="20"/>
    </row>
    <row r="318" spans="1:1" ht="12.75" x14ac:dyDescent="0.2">
      <c r="A318" s="20"/>
    </row>
    <row r="319" spans="1:1" ht="12.75" x14ac:dyDescent="0.2">
      <c r="A319" s="20"/>
    </row>
    <row r="320" spans="1:1" ht="12.75" x14ac:dyDescent="0.2">
      <c r="A320" s="20"/>
    </row>
    <row r="321" spans="1:1" ht="12.75" x14ac:dyDescent="0.2">
      <c r="A321" s="20"/>
    </row>
    <row r="322" spans="1:1" ht="12.75" x14ac:dyDescent="0.2">
      <c r="A322" s="20"/>
    </row>
    <row r="323" spans="1:1" ht="12.75" x14ac:dyDescent="0.2">
      <c r="A323" s="20"/>
    </row>
    <row r="324" spans="1:1" ht="12.75" x14ac:dyDescent="0.2">
      <c r="A324" s="20"/>
    </row>
    <row r="325" spans="1:1" ht="12.75" x14ac:dyDescent="0.2">
      <c r="A325" s="20"/>
    </row>
    <row r="326" spans="1:1" ht="12.75" x14ac:dyDescent="0.2">
      <c r="A326" s="20"/>
    </row>
    <row r="327" spans="1:1" ht="12.75" x14ac:dyDescent="0.2">
      <c r="A327" s="20"/>
    </row>
    <row r="328" spans="1:1" ht="12.75" x14ac:dyDescent="0.2">
      <c r="A328" s="20"/>
    </row>
    <row r="329" spans="1:1" ht="12.75" x14ac:dyDescent="0.2">
      <c r="A329" s="20"/>
    </row>
    <row r="330" spans="1:1" ht="12.75" x14ac:dyDescent="0.2">
      <c r="A330" s="20"/>
    </row>
    <row r="331" spans="1:1" ht="12.75" x14ac:dyDescent="0.2">
      <c r="A331" s="20"/>
    </row>
    <row r="332" spans="1:1" ht="12.75" x14ac:dyDescent="0.2">
      <c r="A332" s="20"/>
    </row>
    <row r="333" spans="1:1" ht="12.75" x14ac:dyDescent="0.2">
      <c r="A333" s="20"/>
    </row>
    <row r="334" spans="1:1" ht="12.75" x14ac:dyDescent="0.2">
      <c r="A334" s="20"/>
    </row>
    <row r="335" spans="1:1" ht="12.75" x14ac:dyDescent="0.2">
      <c r="A335" s="20"/>
    </row>
    <row r="336" spans="1:1" ht="12.75" x14ac:dyDescent="0.2">
      <c r="A336" s="20"/>
    </row>
    <row r="337" spans="1:1" ht="12.75" x14ac:dyDescent="0.2">
      <c r="A337" s="20"/>
    </row>
    <row r="338" spans="1:1" ht="12.75" x14ac:dyDescent="0.2">
      <c r="A338" s="20"/>
    </row>
    <row r="339" spans="1:1" ht="12.75" x14ac:dyDescent="0.2">
      <c r="A339" s="20"/>
    </row>
    <row r="340" spans="1:1" ht="12.75" x14ac:dyDescent="0.2">
      <c r="A340" s="20"/>
    </row>
    <row r="341" spans="1:1" ht="12.75" x14ac:dyDescent="0.2">
      <c r="A341" s="20"/>
    </row>
    <row r="342" spans="1:1" ht="12.75" x14ac:dyDescent="0.2">
      <c r="A342" s="20"/>
    </row>
    <row r="343" spans="1:1" ht="12.75" x14ac:dyDescent="0.2">
      <c r="A343" s="20"/>
    </row>
    <row r="344" spans="1:1" ht="12.75" x14ac:dyDescent="0.2">
      <c r="A344" s="20"/>
    </row>
    <row r="345" spans="1:1" ht="12.75" x14ac:dyDescent="0.2">
      <c r="A345" s="20"/>
    </row>
    <row r="346" spans="1:1" ht="12.75" x14ac:dyDescent="0.2">
      <c r="A346" s="20"/>
    </row>
    <row r="347" spans="1:1" ht="12.75" x14ac:dyDescent="0.2">
      <c r="A347" s="20"/>
    </row>
    <row r="348" spans="1:1" ht="12.75" x14ac:dyDescent="0.2">
      <c r="A348" s="20"/>
    </row>
    <row r="349" spans="1:1" ht="12.75" x14ac:dyDescent="0.2">
      <c r="A349" s="20"/>
    </row>
    <row r="350" spans="1:1" ht="12.75" x14ac:dyDescent="0.2">
      <c r="A350" s="20"/>
    </row>
    <row r="351" spans="1:1" ht="12.75" x14ac:dyDescent="0.2">
      <c r="A351" s="20"/>
    </row>
    <row r="352" spans="1:1" ht="12.75" x14ac:dyDescent="0.2">
      <c r="A352" s="20"/>
    </row>
    <row r="353" spans="1:1" ht="12.75" x14ac:dyDescent="0.2">
      <c r="A353" s="20"/>
    </row>
    <row r="354" spans="1:1" ht="12.75" x14ac:dyDescent="0.2">
      <c r="A354" s="20"/>
    </row>
    <row r="355" spans="1:1" ht="12.75" x14ac:dyDescent="0.2">
      <c r="A355" s="20"/>
    </row>
    <row r="356" spans="1:1" ht="12.75" x14ac:dyDescent="0.2">
      <c r="A356" s="20"/>
    </row>
    <row r="357" spans="1:1" ht="12.75" x14ac:dyDescent="0.2">
      <c r="A357" s="20"/>
    </row>
    <row r="358" spans="1:1" ht="12.75" x14ac:dyDescent="0.2">
      <c r="A358" s="20"/>
    </row>
    <row r="359" spans="1:1" ht="12.75" x14ac:dyDescent="0.2">
      <c r="A359" s="20"/>
    </row>
    <row r="360" spans="1:1" ht="12.75" x14ac:dyDescent="0.2">
      <c r="A360" s="20"/>
    </row>
    <row r="361" spans="1:1" ht="12.75" x14ac:dyDescent="0.2">
      <c r="A361" s="20"/>
    </row>
    <row r="362" spans="1:1" ht="12.75" x14ac:dyDescent="0.2">
      <c r="A362" s="20"/>
    </row>
    <row r="363" spans="1:1" ht="12.75" x14ac:dyDescent="0.2">
      <c r="A363" s="20"/>
    </row>
    <row r="364" spans="1:1" ht="12.75" x14ac:dyDescent="0.2">
      <c r="A364" s="20"/>
    </row>
    <row r="365" spans="1:1" ht="12.75" x14ac:dyDescent="0.2">
      <c r="A365" s="20"/>
    </row>
    <row r="366" spans="1:1" ht="12.75" x14ac:dyDescent="0.2">
      <c r="A366" s="20"/>
    </row>
    <row r="367" spans="1:1" ht="12.75" x14ac:dyDescent="0.2">
      <c r="A367" s="20"/>
    </row>
    <row r="368" spans="1:1" ht="12.75" x14ac:dyDescent="0.2">
      <c r="A368" s="20"/>
    </row>
    <row r="369" spans="1:1" ht="12.75" x14ac:dyDescent="0.2">
      <c r="A369" s="20"/>
    </row>
    <row r="370" spans="1:1" ht="12.75" x14ac:dyDescent="0.2">
      <c r="A370" s="20"/>
    </row>
    <row r="371" spans="1:1" ht="12.75" x14ac:dyDescent="0.2">
      <c r="A371" s="20"/>
    </row>
    <row r="372" spans="1:1" ht="12.75" x14ac:dyDescent="0.2">
      <c r="A372" s="20"/>
    </row>
    <row r="373" spans="1:1" ht="12.75" x14ac:dyDescent="0.2">
      <c r="A373" s="20"/>
    </row>
    <row r="374" spans="1:1" ht="12.75" x14ac:dyDescent="0.2">
      <c r="A374" s="20"/>
    </row>
    <row r="375" spans="1:1" ht="12.75" x14ac:dyDescent="0.2">
      <c r="A375" s="20"/>
    </row>
    <row r="376" spans="1:1" ht="12.75" x14ac:dyDescent="0.2">
      <c r="A376" s="20"/>
    </row>
    <row r="377" spans="1:1" ht="12.75" x14ac:dyDescent="0.2">
      <c r="A377" s="20"/>
    </row>
    <row r="378" spans="1:1" ht="12.75" x14ac:dyDescent="0.2">
      <c r="A378" s="20"/>
    </row>
    <row r="379" spans="1:1" ht="12.75" x14ac:dyDescent="0.2">
      <c r="A379" s="20"/>
    </row>
    <row r="380" spans="1:1" ht="12.75" x14ac:dyDescent="0.2">
      <c r="A380" s="20"/>
    </row>
    <row r="381" spans="1:1" ht="12.75" x14ac:dyDescent="0.2">
      <c r="A381" s="20"/>
    </row>
    <row r="382" spans="1:1" ht="12.75" x14ac:dyDescent="0.2">
      <c r="A382" s="20"/>
    </row>
    <row r="383" spans="1:1" ht="12.75" x14ac:dyDescent="0.2">
      <c r="A383" s="20"/>
    </row>
    <row r="384" spans="1:1" ht="12.75" x14ac:dyDescent="0.2">
      <c r="A384" s="20"/>
    </row>
    <row r="385" spans="1:1" ht="12.75" x14ac:dyDescent="0.2">
      <c r="A385" s="20"/>
    </row>
    <row r="386" spans="1:1" ht="12.75" x14ac:dyDescent="0.2">
      <c r="A386" s="20"/>
    </row>
    <row r="387" spans="1:1" ht="12.75" x14ac:dyDescent="0.2">
      <c r="A387" s="20"/>
    </row>
    <row r="388" spans="1:1" ht="12.75" x14ac:dyDescent="0.2">
      <c r="A388" s="20"/>
    </row>
    <row r="389" spans="1:1" ht="12.75" x14ac:dyDescent="0.2">
      <c r="A389" s="20"/>
    </row>
    <row r="390" spans="1:1" ht="12.75" x14ac:dyDescent="0.2">
      <c r="A390" s="20"/>
    </row>
    <row r="391" spans="1:1" ht="12.75" x14ac:dyDescent="0.2">
      <c r="A391" s="20"/>
    </row>
    <row r="392" spans="1:1" ht="12.75" x14ac:dyDescent="0.2">
      <c r="A392" s="20"/>
    </row>
    <row r="393" spans="1:1" ht="12.75" x14ac:dyDescent="0.2">
      <c r="A393" s="20"/>
    </row>
    <row r="394" spans="1:1" ht="12.75" x14ac:dyDescent="0.2">
      <c r="A394" s="20"/>
    </row>
    <row r="395" spans="1:1" ht="12.75" x14ac:dyDescent="0.2">
      <c r="A395" s="20"/>
    </row>
    <row r="396" spans="1:1" ht="12.75" x14ac:dyDescent="0.2">
      <c r="A396" s="20"/>
    </row>
    <row r="397" spans="1:1" ht="12.75" x14ac:dyDescent="0.2">
      <c r="A397" s="20"/>
    </row>
    <row r="398" spans="1:1" ht="12.75" x14ac:dyDescent="0.2">
      <c r="A398" s="20"/>
    </row>
    <row r="399" spans="1:1" ht="12.75" x14ac:dyDescent="0.2">
      <c r="A399" s="20"/>
    </row>
    <row r="400" spans="1:1" ht="12.75" x14ac:dyDescent="0.2">
      <c r="A400" s="20"/>
    </row>
    <row r="401" spans="1:1" ht="12.75" x14ac:dyDescent="0.2">
      <c r="A401" s="20"/>
    </row>
    <row r="402" spans="1:1" ht="12.75" x14ac:dyDescent="0.2">
      <c r="A402" s="20"/>
    </row>
    <row r="403" spans="1:1" ht="12.75" x14ac:dyDescent="0.2">
      <c r="A403" s="20"/>
    </row>
    <row r="404" spans="1:1" ht="12.75" x14ac:dyDescent="0.2">
      <c r="A404" s="20"/>
    </row>
    <row r="405" spans="1:1" ht="12.75" x14ac:dyDescent="0.2">
      <c r="A405" s="20"/>
    </row>
    <row r="406" spans="1:1" ht="12.75" x14ac:dyDescent="0.2">
      <c r="A406" s="20"/>
    </row>
    <row r="407" spans="1:1" ht="12.75" x14ac:dyDescent="0.2">
      <c r="A407" s="20"/>
    </row>
    <row r="408" spans="1:1" ht="12.75" x14ac:dyDescent="0.2">
      <c r="A408" s="20"/>
    </row>
    <row r="409" spans="1:1" ht="12.75" x14ac:dyDescent="0.2">
      <c r="A409" s="20"/>
    </row>
    <row r="410" spans="1:1" ht="12.75" x14ac:dyDescent="0.2">
      <c r="A410" s="20"/>
    </row>
    <row r="411" spans="1:1" ht="12.75" x14ac:dyDescent="0.2">
      <c r="A411" s="20"/>
    </row>
    <row r="412" spans="1:1" ht="12.75" x14ac:dyDescent="0.2">
      <c r="A412" s="20"/>
    </row>
    <row r="413" spans="1:1" ht="12.75" x14ac:dyDescent="0.2">
      <c r="A413" s="20"/>
    </row>
    <row r="414" spans="1:1" ht="12.75" x14ac:dyDescent="0.2">
      <c r="A414" s="20"/>
    </row>
    <row r="415" spans="1:1" ht="12.75" x14ac:dyDescent="0.2">
      <c r="A415" s="20"/>
    </row>
    <row r="416" spans="1:1" ht="12.75" x14ac:dyDescent="0.2">
      <c r="A416" s="20"/>
    </row>
    <row r="417" spans="1:1" ht="12.75" x14ac:dyDescent="0.2">
      <c r="A417" s="20"/>
    </row>
    <row r="418" spans="1:1" ht="12.75" x14ac:dyDescent="0.2">
      <c r="A418" s="20"/>
    </row>
    <row r="419" spans="1:1" ht="12.75" x14ac:dyDescent="0.2">
      <c r="A419" s="20"/>
    </row>
    <row r="420" spans="1:1" ht="12.75" x14ac:dyDescent="0.2">
      <c r="A420" s="20"/>
    </row>
    <row r="421" spans="1:1" ht="12.75" x14ac:dyDescent="0.2">
      <c r="A421" s="20"/>
    </row>
    <row r="422" spans="1:1" ht="12.75" x14ac:dyDescent="0.2">
      <c r="A422" s="20"/>
    </row>
    <row r="423" spans="1:1" ht="12.75" x14ac:dyDescent="0.2">
      <c r="A423" s="20"/>
    </row>
    <row r="424" spans="1:1" ht="12.75" x14ac:dyDescent="0.2">
      <c r="A424" s="20"/>
    </row>
    <row r="425" spans="1:1" ht="12.75" x14ac:dyDescent="0.2">
      <c r="A425" s="20"/>
    </row>
    <row r="426" spans="1:1" ht="12.75" x14ac:dyDescent="0.2">
      <c r="A426" s="20"/>
    </row>
    <row r="427" spans="1:1" ht="12.75" x14ac:dyDescent="0.2">
      <c r="A427" s="20"/>
    </row>
    <row r="428" spans="1:1" ht="12.75" x14ac:dyDescent="0.2">
      <c r="A428" s="20"/>
    </row>
    <row r="429" spans="1:1" ht="12.75" x14ac:dyDescent="0.2">
      <c r="A429" s="20"/>
    </row>
    <row r="430" spans="1:1" ht="12.75" x14ac:dyDescent="0.2">
      <c r="A430" s="20"/>
    </row>
    <row r="431" spans="1:1" ht="12.75" x14ac:dyDescent="0.2">
      <c r="A431" s="20"/>
    </row>
    <row r="432" spans="1:1" ht="12.75" x14ac:dyDescent="0.2">
      <c r="A432" s="20"/>
    </row>
    <row r="433" spans="1:1" ht="12.75" x14ac:dyDescent="0.2">
      <c r="A433" s="20"/>
    </row>
    <row r="434" spans="1:1" ht="12.75" x14ac:dyDescent="0.2">
      <c r="A434" s="20"/>
    </row>
    <row r="435" spans="1:1" ht="12.75" x14ac:dyDescent="0.2">
      <c r="A435" s="20"/>
    </row>
    <row r="436" spans="1:1" ht="12.75" x14ac:dyDescent="0.2">
      <c r="A436" s="20"/>
    </row>
    <row r="437" spans="1:1" ht="12.75" x14ac:dyDescent="0.2">
      <c r="A437" s="20"/>
    </row>
    <row r="438" spans="1:1" ht="12.75" x14ac:dyDescent="0.2">
      <c r="A438" s="20"/>
    </row>
    <row r="439" spans="1:1" ht="12.75" x14ac:dyDescent="0.2">
      <c r="A439" s="20"/>
    </row>
    <row r="440" spans="1:1" ht="12.75" x14ac:dyDescent="0.2">
      <c r="A440" s="20"/>
    </row>
    <row r="441" spans="1:1" ht="12.75" x14ac:dyDescent="0.2">
      <c r="A441" s="20"/>
    </row>
    <row r="442" spans="1:1" ht="12.75" x14ac:dyDescent="0.2">
      <c r="A442" s="20"/>
    </row>
    <row r="443" spans="1:1" ht="12.75" x14ac:dyDescent="0.2">
      <c r="A443" s="20"/>
    </row>
    <row r="444" spans="1:1" ht="12.75" x14ac:dyDescent="0.2">
      <c r="A444" s="20"/>
    </row>
    <row r="445" spans="1:1" ht="12.75" x14ac:dyDescent="0.2">
      <c r="A445" s="20"/>
    </row>
    <row r="446" spans="1:1" ht="12.75" x14ac:dyDescent="0.2">
      <c r="A446" s="20"/>
    </row>
    <row r="447" spans="1:1" ht="12.75" x14ac:dyDescent="0.2">
      <c r="A447" s="20"/>
    </row>
    <row r="448" spans="1:1" ht="12.75" x14ac:dyDescent="0.2">
      <c r="A448" s="20"/>
    </row>
    <row r="449" spans="1:1" ht="12.75" x14ac:dyDescent="0.2">
      <c r="A449" s="20"/>
    </row>
    <row r="450" spans="1:1" ht="12.75" x14ac:dyDescent="0.2">
      <c r="A450" s="20"/>
    </row>
    <row r="451" spans="1:1" ht="12.75" x14ac:dyDescent="0.2">
      <c r="A451" s="20"/>
    </row>
    <row r="452" spans="1:1" ht="12.75" x14ac:dyDescent="0.2">
      <c r="A452" s="20"/>
    </row>
    <row r="453" spans="1:1" ht="12.75" x14ac:dyDescent="0.2">
      <c r="A453" s="20"/>
    </row>
    <row r="454" spans="1:1" ht="12.75" x14ac:dyDescent="0.2">
      <c r="A454" s="20"/>
    </row>
    <row r="455" spans="1:1" ht="12.75" x14ac:dyDescent="0.2">
      <c r="A455" s="20"/>
    </row>
    <row r="456" spans="1:1" ht="12.75" x14ac:dyDescent="0.2">
      <c r="A456" s="20"/>
    </row>
    <row r="457" spans="1:1" ht="12.75" x14ac:dyDescent="0.2">
      <c r="A457" s="20"/>
    </row>
    <row r="458" spans="1:1" ht="12.75" x14ac:dyDescent="0.2">
      <c r="A458" s="20"/>
    </row>
    <row r="459" spans="1:1" ht="12.75" x14ac:dyDescent="0.2">
      <c r="A459" s="20"/>
    </row>
    <row r="460" spans="1:1" ht="12.75" x14ac:dyDescent="0.2">
      <c r="A460" s="20"/>
    </row>
    <row r="461" spans="1:1" ht="12.75" x14ac:dyDescent="0.2">
      <c r="A461" s="20"/>
    </row>
    <row r="462" spans="1:1" ht="12.75" x14ac:dyDescent="0.2">
      <c r="A462" s="20"/>
    </row>
    <row r="463" spans="1:1" ht="12.75" x14ac:dyDescent="0.2">
      <c r="A463" s="20"/>
    </row>
    <row r="464" spans="1:1" ht="12.75" x14ac:dyDescent="0.2">
      <c r="A464" s="20"/>
    </row>
    <row r="465" spans="1:1" ht="12.75" x14ac:dyDescent="0.2">
      <c r="A465" s="20"/>
    </row>
    <row r="466" spans="1:1" ht="12.75" x14ac:dyDescent="0.2">
      <c r="A466" s="20"/>
    </row>
    <row r="467" spans="1:1" ht="12.75" x14ac:dyDescent="0.2">
      <c r="A467" s="20"/>
    </row>
    <row r="468" spans="1:1" ht="12.75" x14ac:dyDescent="0.2">
      <c r="A468" s="20"/>
    </row>
    <row r="469" spans="1:1" ht="12.75" x14ac:dyDescent="0.2">
      <c r="A469" s="20"/>
    </row>
    <row r="470" spans="1:1" ht="12.75" x14ac:dyDescent="0.2">
      <c r="A470" s="20"/>
    </row>
    <row r="471" spans="1:1" ht="12.75" x14ac:dyDescent="0.2">
      <c r="A471" s="20"/>
    </row>
    <row r="472" spans="1:1" ht="12.75" x14ac:dyDescent="0.2">
      <c r="A472" s="20"/>
    </row>
    <row r="473" spans="1:1" ht="12.75" x14ac:dyDescent="0.2">
      <c r="A473" s="20"/>
    </row>
    <row r="474" spans="1:1" ht="12.75" x14ac:dyDescent="0.2">
      <c r="A474" s="20"/>
    </row>
    <row r="475" spans="1:1" ht="12.75" x14ac:dyDescent="0.2">
      <c r="A475" s="20"/>
    </row>
    <row r="476" spans="1:1" ht="12.75" x14ac:dyDescent="0.2">
      <c r="A476" s="20"/>
    </row>
    <row r="477" spans="1:1" ht="12.75" x14ac:dyDescent="0.2">
      <c r="A477" s="20"/>
    </row>
    <row r="478" spans="1:1" ht="12.75" x14ac:dyDescent="0.2">
      <c r="A478" s="20"/>
    </row>
    <row r="479" spans="1:1" ht="12.75" x14ac:dyDescent="0.2">
      <c r="A479" s="20"/>
    </row>
    <row r="480" spans="1:1" ht="12.75" x14ac:dyDescent="0.2">
      <c r="A480" s="20"/>
    </row>
    <row r="481" spans="1:1" ht="12.75" x14ac:dyDescent="0.2">
      <c r="A481" s="20"/>
    </row>
    <row r="482" spans="1:1" ht="12.75" x14ac:dyDescent="0.2">
      <c r="A482" s="20"/>
    </row>
    <row r="483" spans="1:1" ht="12.75" x14ac:dyDescent="0.2">
      <c r="A483" s="20"/>
    </row>
    <row r="484" spans="1:1" ht="12.75" x14ac:dyDescent="0.2">
      <c r="A484" s="20"/>
    </row>
    <row r="485" spans="1:1" ht="12.75" x14ac:dyDescent="0.2">
      <c r="A485" s="20"/>
    </row>
    <row r="486" spans="1:1" ht="12.75" x14ac:dyDescent="0.2">
      <c r="A486" s="20"/>
    </row>
    <row r="487" spans="1:1" ht="12.75" x14ac:dyDescent="0.2">
      <c r="A487" s="20"/>
    </row>
    <row r="488" spans="1:1" ht="12.75" x14ac:dyDescent="0.2">
      <c r="A488" s="20"/>
    </row>
    <row r="489" spans="1:1" ht="12.75" x14ac:dyDescent="0.2">
      <c r="A489" s="20"/>
    </row>
    <row r="490" spans="1:1" ht="12.75" x14ac:dyDescent="0.2">
      <c r="A490" s="20"/>
    </row>
    <row r="491" spans="1:1" ht="12.75" x14ac:dyDescent="0.2">
      <c r="A491" s="20"/>
    </row>
    <row r="492" spans="1:1" ht="12.75" x14ac:dyDescent="0.2">
      <c r="A492" s="20"/>
    </row>
    <row r="493" spans="1:1" ht="12.75" x14ac:dyDescent="0.2">
      <c r="A493" s="20"/>
    </row>
    <row r="494" spans="1:1" ht="12.75" x14ac:dyDescent="0.2">
      <c r="A494" s="20"/>
    </row>
    <row r="495" spans="1:1" ht="12.75" x14ac:dyDescent="0.2">
      <c r="A495" s="20"/>
    </row>
    <row r="496" spans="1:1" ht="12.75" x14ac:dyDescent="0.2">
      <c r="A496" s="20"/>
    </row>
    <row r="497" spans="1:1" ht="12.75" x14ac:dyDescent="0.2">
      <c r="A497" s="20"/>
    </row>
    <row r="498" spans="1:1" ht="12.75" x14ac:dyDescent="0.2">
      <c r="A498" s="20"/>
    </row>
    <row r="499" spans="1:1" ht="12.75" x14ac:dyDescent="0.2">
      <c r="A499" s="20"/>
    </row>
    <row r="500" spans="1:1" ht="12.75" x14ac:dyDescent="0.2">
      <c r="A500" s="20"/>
    </row>
    <row r="501" spans="1:1" ht="12.75" x14ac:dyDescent="0.2">
      <c r="A501" s="20"/>
    </row>
    <row r="502" spans="1:1" ht="12.75" x14ac:dyDescent="0.2">
      <c r="A502" s="20"/>
    </row>
    <row r="503" spans="1:1" ht="12.75" x14ac:dyDescent="0.2">
      <c r="A503" s="20"/>
    </row>
    <row r="504" spans="1:1" ht="12.75" x14ac:dyDescent="0.2">
      <c r="A504" s="20"/>
    </row>
    <row r="505" spans="1:1" ht="12.75" x14ac:dyDescent="0.2">
      <c r="A505" s="20"/>
    </row>
    <row r="506" spans="1:1" ht="12.75" x14ac:dyDescent="0.2">
      <c r="A506" s="20"/>
    </row>
    <row r="507" spans="1:1" ht="12.75" x14ac:dyDescent="0.2">
      <c r="A507" s="20"/>
    </row>
    <row r="508" spans="1:1" ht="12.75" x14ac:dyDescent="0.2">
      <c r="A508" s="20"/>
    </row>
    <row r="509" spans="1:1" ht="12.75" x14ac:dyDescent="0.2">
      <c r="A509" s="20"/>
    </row>
    <row r="510" spans="1:1" ht="12.75" x14ac:dyDescent="0.2">
      <c r="A510" s="20"/>
    </row>
    <row r="511" spans="1:1" ht="12.75" x14ac:dyDescent="0.2">
      <c r="A511" s="20"/>
    </row>
    <row r="512" spans="1:1" ht="12.75" x14ac:dyDescent="0.2">
      <c r="A512" s="20"/>
    </row>
    <row r="513" spans="1:1" ht="12.75" x14ac:dyDescent="0.2">
      <c r="A513" s="20"/>
    </row>
    <row r="514" spans="1:1" ht="12.75" x14ac:dyDescent="0.2">
      <c r="A514" s="20"/>
    </row>
    <row r="515" spans="1:1" ht="12.75" x14ac:dyDescent="0.2">
      <c r="A515" s="20"/>
    </row>
    <row r="516" spans="1:1" ht="12.75" x14ac:dyDescent="0.2">
      <c r="A516" s="20"/>
    </row>
    <row r="517" spans="1:1" ht="12.75" x14ac:dyDescent="0.2">
      <c r="A517" s="20"/>
    </row>
    <row r="518" spans="1:1" ht="12.75" x14ac:dyDescent="0.2">
      <c r="A518" s="20"/>
    </row>
    <row r="519" spans="1:1" ht="12.75" x14ac:dyDescent="0.2">
      <c r="A519" s="20"/>
    </row>
    <row r="520" spans="1:1" ht="12.75" x14ac:dyDescent="0.2">
      <c r="A520" s="20"/>
    </row>
    <row r="521" spans="1:1" ht="12.75" x14ac:dyDescent="0.2">
      <c r="A521" s="20"/>
    </row>
    <row r="522" spans="1:1" ht="12.75" x14ac:dyDescent="0.2">
      <c r="A522" s="20"/>
    </row>
    <row r="523" spans="1:1" ht="12.75" x14ac:dyDescent="0.2">
      <c r="A523" s="20"/>
    </row>
    <row r="524" spans="1:1" ht="12.75" x14ac:dyDescent="0.2">
      <c r="A524" s="20"/>
    </row>
    <row r="525" spans="1:1" ht="12.75" x14ac:dyDescent="0.2">
      <c r="A525" s="20"/>
    </row>
    <row r="526" spans="1:1" ht="12.75" x14ac:dyDescent="0.2">
      <c r="A526" s="20"/>
    </row>
    <row r="527" spans="1:1" ht="12.75" x14ac:dyDescent="0.2">
      <c r="A527" s="20"/>
    </row>
    <row r="528" spans="1:1" ht="12.75" x14ac:dyDescent="0.2">
      <c r="A528" s="20"/>
    </row>
    <row r="529" spans="1:1" ht="12.75" x14ac:dyDescent="0.2">
      <c r="A529" s="20"/>
    </row>
    <row r="530" spans="1:1" ht="12.75" x14ac:dyDescent="0.2">
      <c r="A530" s="20"/>
    </row>
    <row r="531" spans="1:1" ht="12.75" x14ac:dyDescent="0.2">
      <c r="A531" s="20"/>
    </row>
    <row r="532" spans="1:1" ht="12.75" x14ac:dyDescent="0.2">
      <c r="A532" s="20"/>
    </row>
    <row r="533" spans="1:1" ht="12.75" x14ac:dyDescent="0.2">
      <c r="A533" s="20"/>
    </row>
    <row r="534" spans="1:1" ht="12.75" x14ac:dyDescent="0.2">
      <c r="A534" s="20"/>
    </row>
    <row r="535" spans="1:1" ht="12.75" x14ac:dyDescent="0.2">
      <c r="A535" s="20"/>
    </row>
    <row r="536" spans="1:1" ht="12.75" x14ac:dyDescent="0.2">
      <c r="A536" s="20"/>
    </row>
    <row r="537" spans="1:1" ht="12.75" x14ac:dyDescent="0.2">
      <c r="A537" s="20"/>
    </row>
    <row r="538" spans="1:1" ht="12.75" x14ac:dyDescent="0.2">
      <c r="A538" s="20"/>
    </row>
    <row r="539" spans="1:1" ht="12.75" x14ac:dyDescent="0.2">
      <c r="A539" s="20"/>
    </row>
    <row r="540" spans="1:1" ht="12.75" x14ac:dyDescent="0.2">
      <c r="A540" s="20"/>
    </row>
    <row r="541" spans="1:1" ht="12.75" x14ac:dyDescent="0.2">
      <c r="A541" s="20"/>
    </row>
    <row r="542" spans="1:1" ht="12.75" x14ac:dyDescent="0.2">
      <c r="A542" s="20"/>
    </row>
    <row r="543" spans="1:1" ht="12.75" x14ac:dyDescent="0.2">
      <c r="A543" s="20"/>
    </row>
    <row r="544" spans="1:1" ht="12.75" x14ac:dyDescent="0.2">
      <c r="A544" s="20"/>
    </row>
    <row r="545" spans="1:1" ht="12.75" x14ac:dyDescent="0.2">
      <c r="A545" s="20"/>
    </row>
    <row r="546" spans="1:1" ht="12.75" x14ac:dyDescent="0.2">
      <c r="A546" s="20"/>
    </row>
    <row r="547" spans="1:1" ht="12.75" x14ac:dyDescent="0.2">
      <c r="A547" s="20"/>
    </row>
    <row r="548" spans="1:1" ht="12.75" x14ac:dyDescent="0.2">
      <c r="A548" s="20"/>
    </row>
    <row r="549" spans="1:1" ht="12.75" x14ac:dyDescent="0.2">
      <c r="A549" s="20"/>
    </row>
    <row r="550" spans="1:1" ht="12.75" x14ac:dyDescent="0.2">
      <c r="A550" s="20"/>
    </row>
    <row r="551" spans="1:1" ht="12.75" x14ac:dyDescent="0.2">
      <c r="A551" s="20"/>
    </row>
    <row r="552" spans="1:1" ht="12.75" x14ac:dyDescent="0.2">
      <c r="A552" s="20"/>
    </row>
    <row r="553" spans="1:1" ht="12.75" x14ac:dyDescent="0.2">
      <c r="A553" s="20"/>
    </row>
    <row r="554" spans="1:1" ht="12.75" x14ac:dyDescent="0.2">
      <c r="A554" s="20"/>
    </row>
    <row r="555" spans="1:1" ht="12.75" x14ac:dyDescent="0.2">
      <c r="A555" s="20"/>
    </row>
    <row r="556" spans="1:1" ht="12.75" x14ac:dyDescent="0.2">
      <c r="A556" s="20"/>
    </row>
    <row r="557" spans="1:1" ht="12.75" x14ac:dyDescent="0.2">
      <c r="A557" s="20"/>
    </row>
    <row r="558" spans="1:1" ht="12.75" x14ac:dyDescent="0.2">
      <c r="A558" s="20"/>
    </row>
    <row r="559" spans="1:1" ht="12.75" x14ac:dyDescent="0.2">
      <c r="A559" s="20"/>
    </row>
    <row r="560" spans="1:1" ht="12.75" x14ac:dyDescent="0.2">
      <c r="A560" s="20"/>
    </row>
    <row r="561" spans="1:1" ht="12.75" x14ac:dyDescent="0.2">
      <c r="A561" s="20"/>
    </row>
    <row r="562" spans="1:1" ht="12.75" x14ac:dyDescent="0.2">
      <c r="A562" s="20"/>
    </row>
    <row r="563" spans="1:1" ht="12.75" x14ac:dyDescent="0.2">
      <c r="A563" s="20"/>
    </row>
    <row r="564" spans="1:1" ht="12.75" x14ac:dyDescent="0.2">
      <c r="A564" s="20"/>
    </row>
    <row r="565" spans="1:1" ht="12.75" x14ac:dyDescent="0.2">
      <c r="A565" s="20"/>
    </row>
    <row r="566" spans="1:1" ht="12.75" x14ac:dyDescent="0.2">
      <c r="A566" s="20"/>
    </row>
    <row r="567" spans="1:1" ht="12.75" x14ac:dyDescent="0.2">
      <c r="A567" s="20"/>
    </row>
    <row r="568" spans="1:1" ht="12.75" x14ac:dyDescent="0.2">
      <c r="A568" s="20"/>
    </row>
    <row r="569" spans="1:1" ht="12.75" x14ac:dyDescent="0.2">
      <c r="A569" s="20"/>
    </row>
    <row r="570" spans="1:1" ht="12.75" x14ac:dyDescent="0.2">
      <c r="A570" s="20"/>
    </row>
    <row r="571" spans="1:1" ht="12.75" x14ac:dyDescent="0.2">
      <c r="A571" s="20"/>
    </row>
    <row r="572" spans="1:1" ht="12.75" x14ac:dyDescent="0.2">
      <c r="A572" s="20"/>
    </row>
    <row r="573" spans="1:1" ht="12.75" x14ac:dyDescent="0.2">
      <c r="A573" s="20"/>
    </row>
    <row r="574" spans="1:1" ht="12.75" x14ac:dyDescent="0.2">
      <c r="A574" s="20"/>
    </row>
    <row r="575" spans="1:1" ht="12.75" x14ac:dyDescent="0.2">
      <c r="A575" s="20"/>
    </row>
    <row r="576" spans="1:1" ht="12.75" x14ac:dyDescent="0.2">
      <c r="A576" s="20"/>
    </row>
    <row r="577" spans="1:1" ht="12.75" x14ac:dyDescent="0.2">
      <c r="A577" s="20"/>
    </row>
    <row r="578" spans="1:1" ht="12.75" x14ac:dyDescent="0.2">
      <c r="A578" s="20"/>
    </row>
    <row r="579" spans="1:1" ht="12.75" x14ac:dyDescent="0.2">
      <c r="A579" s="20"/>
    </row>
    <row r="580" spans="1:1" ht="12.75" x14ac:dyDescent="0.2">
      <c r="A580" s="20"/>
    </row>
    <row r="581" spans="1:1" ht="12.75" x14ac:dyDescent="0.2">
      <c r="A581" s="20"/>
    </row>
    <row r="582" spans="1:1" ht="12.75" x14ac:dyDescent="0.2">
      <c r="A582" s="20"/>
    </row>
    <row r="583" spans="1:1" ht="12.75" x14ac:dyDescent="0.2">
      <c r="A583" s="20"/>
    </row>
    <row r="584" spans="1:1" ht="12.75" x14ac:dyDescent="0.2">
      <c r="A584" s="20"/>
    </row>
    <row r="585" spans="1:1" ht="12.75" x14ac:dyDescent="0.2">
      <c r="A585" s="20"/>
    </row>
    <row r="586" spans="1:1" ht="12.75" x14ac:dyDescent="0.2">
      <c r="A586" s="20"/>
    </row>
    <row r="587" spans="1:1" ht="12.75" x14ac:dyDescent="0.2">
      <c r="A587" s="20"/>
    </row>
    <row r="588" spans="1:1" ht="12.75" x14ac:dyDescent="0.2">
      <c r="A588" s="20"/>
    </row>
    <row r="589" spans="1:1" ht="12.75" x14ac:dyDescent="0.2">
      <c r="A589" s="20"/>
    </row>
    <row r="590" spans="1:1" ht="12.75" x14ac:dyDescent="0.2">
      <c r="A590" s="20"/>
    </row>
    <row r="591" spans="1:1" ht="12.75" x14ac:dyDescent="0.2">
      <c r="A591" s="20"/>
    </row>
    <row r="592" spans="1:1" ht="12.75" x14ac:dyDescent="0.2">
      <c r="A592" s="20"/>
    </row>
    <row r="593" spans="1:1" ht="12.75" x14ac:dyDescent="0.2">
      <c r="A593" s="20"/>
    </row>
    <row r="594" spans="1:1" ht="12.75" x14ac:dyDescent="0.2">
      <c r="A594" s="20"/>
    </row>
    <row r="595" spans="1:1" ht="12.75" x14ac:dyDescent="0.2">
      <c r="A595" s="20"/>
    </row>
    <row r="596" spans="1:1" ht="12.75" x14ac:dyDescent="0.2">
      <c r="A596" s="20"/>
    </row>
    <row r="597" spans="1:1" ht="12.75" x14ac:dyDescent="0.2">
      <c r="A597" s="20"/>
    </row>
    <row r="598" spans="1:1" ht="12.75" x14ac:dyDescent="0.2">
      <c r="A598" s="20"/>
    </row>
    <row r="599" spans="1:1" ht="12.75" x14ac:dyDescent="0.2">
      <c r="A599" s="20"/>
    </row>
    <row r="600" spans="1:1" ht="12.75" x14ac:dyDescent="0.2">
      <c r="A600" s="20"/>
    </row>
    <row r="601" spans="1:1" ht="12.75" x14ac:dyDescent="0.2">
      <c r="A601" s="20"/>
    </row>
    <row r="602" spans="1:1" ht="12.75" x14ac:dyDescent="0.2">
      <c r="A602" s="20"/>
    </row>
    <row r="603" spans="1:1" ht="12.75" x14ac:dyDescent="0.2">
      <c r="A603" s="20"/>
    </row>
    <row r="604" spans="1:1" ht="12.75" x14ac:dyDescent="0.2">
      <c r="A604" s="20"/>
    </row>
    <row r="605" spans="1:1" ht="12.75" x14ac:dyDescent="0.2">
      <c r="A605" s="20"/>
    </row>
    <row r="606" spans="1:1" ht="12.75" x14ac:dyDescent="0.2">
      <c r="A606" s="20"/>
    </row>
    <row r="607" spans="1:1" ht="12.75" x14ac:dyDescent="0.2">
      <c r="A607" s="20"/>
    </row>
    <row r="608" spans="1:1" ht="12.75" x14ac:dyDescent="0.2">
      <c r="A608" s="20"/>
    </row>
    <row r="609" spans="1:1" ht="12.75" x14ac:dyDescent="0.2">
      <c r="A609" s="20"/>
    </row>
    <row r="610" spans="1:1" ht="12.75" x14ac:dyDescent="0.2">
      <c r="A610" s="20"/>
    </row>
    <row r="611" spans="1:1" ht="12.75" x14ac:dyDescent="0.2">
      <c r="A611" s="20"/>
    </row>
    <row r="612" spans="1:1" ht="12.75" x14ac:dyDescent="0.2">
      <c r="A612" s="20"/>
    </row>
    <row r="613" spans="1:1" ht="12.75" x14ac:dyDescent="0.2">
      <c r="A613" s="20"/>
    </row>
    <row r="614" spans="1:1" ht="12.75" x14ac:dyDescent="0.2">
      <c r="A614" s="20"/>
    </row>
    <row r="615" spans="1:1" ht="12.75" x14ac:dyDescent="0.2">
      <c r="A615" s="20"/>
    </row>
    <row r="616" spans="1:1" ht="12.75" x14ac:dyDescent="0.2">
      <c r="A616" s="20"/>
    </row>
    <row r="617" spans="1:1" ht="12.75" x14ac:dyDescent="0.2">
      <c r="A617" s="20"/>
    </row>
    <row r="618" spans="1:1" ht="12.75" x14ac:dyDescent="0.2">
      <c r="A618" s="20"/>
    </row>
    <row r="619" spans="1:1" ht="12.75" x14ac:dyDescent="0.2">
      <c r="A619" s="20"/>
    </row>
    <row r="620" spans="1:1" ht="12.75" x14ac:dyDescent="0.2">
      <c r="A620" s="20"/>
    </row>
    <row r="621" spans="1:1" ht="12.75" x14ac:dyDescent="0.2">
      <c r="A621" s="20"/>
    </row>
    <row r="622" spans="1:1" ht="12.75" x14ac:dyDescent="0.2">
      <c r="A622" s="20"/>
    </row>
    <row r="623" spans="1:1" ht="12.75" x14ac:dyDescent="0.2">
      <c r="A623" s="20"/>
    </row>
    <row r="624" spans="1:1" ht="12.75" x14ac:dyDescent="0.2">
      <c r="A624" s="20"/>
    </row>
    <row r="625" spans="1:1" ht="12.75" x14ac:dyDescent="0.2">
      <c r="A625" s="20"/>
    </row>
    <row r="626" spans="1:1" ht="12.75" x14ac:dyDescent="0.2">
      <c r="A626" s="20"/>
    </row>
    <row r="627" spans="1:1" ht="12.75" x14ac:dyDescent="0.2">
      <c r="A627" s="20"/>
    </row>
    <row r="628" spans="1:1" ht="12.75" x14ac:dyDescent="0.2">
      <c r="A628" s="20"/>
    </row>
    <row r="629" spans="1:1" ht="12.75" x14ac:dyDescent="0.2">
      <c r="A629" s="20"/>
    </row>
    <row r="630" spans="1:1" ht="12.75" x14ac:dyDescent="0.2">
      <c r="A630" s="20"/>
    </row>
    <row r="631" spans="1:1" ht="12.75" x14ac:dyDescent="0.2">
      <c r="A631" s="20"/>
    </row>
    <row r="632" spans="1:1" ht="12.75" x14ac:dyDescent="0.2">
      <c r="A632" s="20"/>
    </row>
    <row r="633" spans="1:1" ht="12.75" x14ac:dyDescent="0.2">
      <c r="A633" s="20"/>
    </row>
    <row r="634" spans="1:1" ht="12.75" x14ac:dyDescent="0.2">
      <c r="A634" s="20"/>
    </row>
    <row r="635" spans="1:1" ht="12.75" x14ac:dyDescent="0.2">
      <c r="A635" s="20"/>
    </row>
    <row r="636" spans="1:1" ht="12.75" x14ac:dyDescent="0.2">
      <c r="A636" s="20"/>
    </row>
    <row r="637" spans="1:1" ht="12.75" x14ac:dyDescent="0.2">
      <c r="A637" s="20"/>
    </row>
    <row r="638" spans="1:1" ht="12.75" x14ac:dyDescent="0.2">
      <c r="A638" s="20"/>
    </row>
    <row r="639" spans="1:1" ht="12.75" x14ac:dyDescent="0.2">
      <c r="A639" s="20"/>
    </row>
    <row r="640" spans="1:1" ht="12.75" x14ac:dyDescent="0.2">
      <c r="A640" s="20"/>
    </row>
    <row r="641" spans="1:1" ht="12.75" x14ac:dyDescent="0.2">
      <c r="A641" s="20"/>
    </row>
    <row r="642" spans="1:1" ht="12.75" x14ac:dyDescent="0.2">
      <c r="A642" s="20"/>
    </row>
    <row r="643" spans="1:1" ht="12.75" x14ac:dyDescent="0.2">
      <c r="A643" s="20"/>
    </row>
    <row r="644" spans="1:1" ht="12.75" x14ac:dyDescent="0.2">
      <c r="A644" s="20"/>
    </row>
    <row r="645" spans="1:1" ht="12.75" x14ac:dyDescent="0.2">
      <c r="A645" s="20"/>
    </row>
    <row r="646" spans="1:1" ht="12.75" x14ac:dyDescent="0.2">
      <c r="A646" s="20"/>
    </row>
    <row r="647" spans="1:1" ht="12.75" x14ac:dyDescent="0.2">
      <c r="A647" s="20"/>
    </row>
    <row r="648" spans="1:1" ht="12.75" x14ac:dyDescent="0.2">
      <c r="A648" s="20"/>
    </row>
    <row r="649" spans="1:1" ht="12.75" x14ac:dyDescent="0.2">
      <c r="A649" s="20"/>
    </row>
    <row r="650" spans="1:1" ht="12.75" x14ac:dyDescent="0.2">
      <c r="A650" s="20"/>
    </row>
    <row r="651" spans="1:1" ht="12.75" x14ac:dyDescent="0.2">
      <c r="A651" s="20"/>
    </row>
    <row r="652" spans="1:1" ht="12.75" x14ac:dyDescent="0.2">
      <c r="A652" s="20"/>
    </row>
    <row r="653" spans="1:1" ht="12.75" x14ac:dyDescent="0.2">
      <c r="A653" s="20"/>
    </row>
    <row r="654" spans="1:1" ht="12.75" x14ac:dyDescent="0.2">
      <c r="A654" s="20"/>
    </row>
    <row r="655" spans="1:1" ht="12.75" x14ac:dyDescent="0.2">
      <c r="A655" s="20"/>
    </row>
    <row r="656" spans="1:1" ht="12.75" x14ac:dyDescent="0.2">
      <c r="A656" s="20"/>
    </row>
    <row r="657" spans="1:1" ht="12.75" x14ac:dyDescent="0.2">
      <c r="A657" s="20"/>
    </row>
    <row r="658" spans="1:1" ht="12.75" x14ac:dyDescent="0.2">
      <c r="A658" s="20"/>
    </row>
    <row r="659" spans="1:1" ht="12.75" x14ac:dyDescent="0.2">
      <c r="A659" s="20"/>
    </row>
    <row r="660" spans="1:1" ht="12.75" x14ac:dyDescent="0.2">
      <c r="A660" s="20"/>
    </row>
    <row r="661" spans="1:1" ht="12.75" x14ac:dyDescent="0.2">
      <c r="A661" s="20"/>
    </row>
    <row r="662" spans="1:1" ht="12.75" x14ac:dyDescent="0.2">
      <c r="A662" s="20"/>
    </row>
    <row r="663" spans="1:1" ht="12.75" x14ac:dyDescent="0.2">
      <c r="A663" s="20"/>
    </row>
    <row r="664" spans="1:1" ht="12.75" x14ac:dyDescent="0.2">
      <c r="A664" s="20"/>
    </row>
    <row r="665" spans="1:1" ht="12.75" x14ac:dyDescent="0.2">
      <c r="A665" s="20"/>
    </row>
    <row r="666" spans="1:1" ht="12.75" x14ac:dyDescent="0.2">
      <c r="A666" s="20"/>
    </row>
    <row r="667" spans="1:1" ht="12.75" x14ac:dyDescent="0.2">
      <c r="A667" s="20"/>
    </row>
    <row r="668" spans="1:1" ht="12.75" x14ac:dyDescent="0.2">
      <c r="A668" s="20"/>
    </row>
    <row r="669" spans="1:1" ht="12.75" x14ac:dyDescent="0.2">
      <c r="A669" s="20"/>
    </row>
    <row r="670" spans="1:1" ht="12.75" x14ac:dyDescent="0.2">
      <c r="A670" s="20"/>
    </row>
    <row r="671" spans="1:1" ht="12.75" x14ac:dyDescent="0.2">
      <c r="A671" s="20"/>
    </row>
    <row r="672" spans="1:1" ht="12.75" x14ac:dyDescent="0.2">
      <c r="A672" s="20"/>
    </row>
    <row r="673" spans="1:1" ht="12.75" x14ac:dyDescent="0.2">
      <c r="A673" s="20"/>
    </row>
    <row r="674" spans="1:1" ht="12.75" x14ac:dyDescent="0.2">
      <c r="A674" s="20"/>
    </row>
    <row r="675" spans="1:1" ht="12.75" x14ac:dyDescent="0.2">
      <c r="A675" s="20"/>
    </row>
    <row r="676" spans="1:1" ht="12.75" x14ac:dyDescent="0.2">
      <c r="A676" s="20"/>
    </row>
    <row r="677" spans="1:1" ht="12.75" x14ac:dyDescent="0.2">
      <c r="A677" s="20"/>
    </row>
    <row r="678" spans="1:1" ht="12.75" x14ac:dyDescent="0.2">
      <c r="A678" s="20"/>
    </row>
    <row r="679" spans="1:1" ht="12.75" x14ac:dyDescent="0.2">
      <c r="A679" s="20"/>
    </row>
    <row r="680" spans="1:1" ht="12.75" x14ac:dyDescent="0.2">
      <c r="A680" s="20"/>
    </row>
    <row r="681" spans="1:1" ht="12.75" x14ac:dyDescent="0.2">
      <c r="A681" s="20"/>
    </row>
    <row r="682" spans="1:1" ht="12.75" x14ac:dyDescent="0.2">
      <c r="A682" s="20"/>
    </row>
    <row r="683" spans="1:1" ht="12.75" x14ac:dyDescent="0.2">
      <c r="A683" s="20"/>
    </row>
    <row r="684" spans="1:1" ht="12.75" x14ac:dyDescent="0.2">
      <c r="A684" s="20"/>
    </row>
    <row r="685" spans="1:1" ht="12.75" x14ac:dyDescent="0.2">
      <c r="A685" s="20"/>
    </row>
    <row r="686" spans="1:1" ht="12.75" x14ac:dyDescent="0.2">
      <c r="A686" s="20"/>
    </row>
    <row r="687" spans="1:1" ht="12.75" x14ac:dyDescent="0.2">
      <c r="A687" s="20"/>
    </row>
    <row r="688" spans="1:1" ht="12.75" x14ac:dyDescent="0.2">
      <c r="A688" s="20"/>
    </row>
    <row r="689" spans="1:1" ht="12.75" x14ac:dyDescent="0.2">
      <c r="A689" s="20"/>
    </row>
    <row r="690" spans="1:1" ht="12.75" x14ac:dyDescent="0.2">
      <c r="A690" s="20"/>
    </row>
    <row r="691" spans="1:1" ht="12.75" x14ac:dyDescent="0.2">
      <c r="A691" s="20"/>
    </row>
    <row r="692" spans="1:1" ht="12.75" x14ac:dyDescent="0.2">
      <c r="A692" s="20"/>
    </row>
    <row r="693" spans="1:1" ht="12.75" x14ac:dyDescent="0.2">
      <c r="A693" s="20"/>
    </row>
    <row r="694" spans="1:1" ht="12.75" x14ac:dyDescent="0.2">
      <c r="A694" s="20"/>
    </row>
    <row r="695" spans="1:1" ht="12.75" x14ac:dyDescent="0.2">
      <c r="A695" s="20"/>
    </row>
    <row r="696" spans="1:1" ht="12.75" x14ac:dyDescent="0.2">
      <c r="A696" s="20"/>
    </row>
    <row r="697" spans="1:1" ht="12.75" x14ac:dyDescent="0.2">
      <c r="A697" s="20"/>
    </row>
    <row r="698" spans="1:1" ht="12.75" x14ac:dyDescent="0.2">
      <c r="A698" s="20"/>
    </row>
    <row r="699" spans="1:1" ht="12.75" x14ac:dyDescent="0.2">
      <c r="A699" s="20"/>
    </row>
    <row r="700" spans="1:1" ht="12.75" x14ac:dyDescent="0.2">
      <c r="A700" s="20"/>
    </row>
    <row r="701" spans="1:1" ht="12.75" x14ac:dyDescent="0.2">
      <c r="A701" s="20"/>
    </row>
    <row r="702" spans="1:1" ht="12.75" x14ac:dyDescent="0.2">
      <c r="A702" s="20"/>
    </row>
    <row r="703" spans="1:1" ht="12.75" x14ac:dyDescent="0.2">
      <c r="A703" s="20"/>
    </row>
    <row r="704" spans="1:1" ht="12.75" x14ac:dyDescent="0.2">
      <c r="A704" s="20"/>
    </row>
    <row r="705" spans="1:1" ht="12.75" x14ac:dyDescent="0.2">
      <c r="A705" s="20"/>
    </row>
    <row r="706" spans="1:1" ht="12.75" x14ac:dyDescent="0.2">
      <c r="A706" s="20"/>
    </row>
    <row r="707" spans="1:1" ht="12.75" x14ac:dyDescent="0.2">
      <c r="A707" s="20"/>
    </row>
    <row r="708" spans="1:1" ht="12.75" x14ac:dyDescent="0.2">
      <c r="A708" s="20"/>
    </row>
    <row r="709" spans="1:1" ht="12.75" x14ac:dyDescent="0.2">
      <c r="A709" s="20"/>
    </row>
    <row r="710" spans="1:1" ht="12.75" x14ac:dyDescent="0.2">
      <c r="A710" s="20"/>
    </row>
    <row r="711" spans="1:1" ht="12.75" x14ac:dyDescent="0.2">
      <c r="A711" s="20"/>
    </row>
    <row r="712" spans="1:1" ht="12.75" x14ac:dyDescent="0.2">
      <c r="A712" s="20"/>
    </row>
    <row r="713" spans="1:1" ht="12.75" x14ac:dyDescent="0.2">
      <c r="A713" s="20"/>
    </row>
    <row r="714" spans="1:1" ht="12.75" x14ac:dyDescent="0.2">
      <c r="A714" s="20"/>
    </row>
    <row r="715" spans="1:1" ht="12.75" x14ac:dyDescent="0.2">
      <c r="A715" s="20"/>
    </row>
    <row r="716" spans="1:1" ht="12.75" x14ac:dyDescent="0.2">
      <c r="A716" s="20"/>
    </row>
    <row r="717" spans="1:1" ht="12.75" x14ac:dyDescent="0.2">
      <c r="A717" s="20"/>
    </row>
    <row r="718" spans="1:1" ht="12.75" x14ac:dyDescent="0.2">
      <c r="A718" s="20"/>
    </row>
    <row r="719" spans="1:1" ht="12.75" x14ac:dyDescent="0.2">
      <c r="A719" s="20"/>
    </row>
    <row r="720" spans="1:1" ht="12.75" x14ac:dyDescent="0.2">
      <c r="A720" s="20"/>
    </row>
    <row r="721" spans="1:1" ht="12.75" x14ac:dyDescent="0.2">
      <c r="A721" s="20"/>
    </row>
    <row r="722" spans="1:1" ht="12.75" x14ac:dyDescent="0.2">
      <c r="A722" s="20"/>
    </row>
    <row r="723" spans="1:1" ht="12.75" x14ac:dyDescent="0.2">
      <c r="A723" s="20"/>
    </row>
    <row r="724" spans="1:1" ht="12.75" x14ac:dyDescent="0.2">
      <c r="A724" s="20"/>
    </row>
    <row r="725" spans="1:1" ht="12.75" x14ac:dyDescent="0.2">
      <c r="A725" s="20"/>
    </row>
    <row r="726" spans="1:1" ht="12.75" x14ac:dyDescent="0.2">
      <c r="A726" s="20"/>
    </row>
    <row r="727" spans="1:1" ht="12.75" x14ac:dyDescent="0.2">
      <c r="A727" s="20"/>
    </row>
    <row r="728" spans="1:1" ht="12.75" x14ac:dyDescent="0.2">
      <c r="A728" s="20"/>
    </row>
    <row r="729" spans="1:1" ht="12.75" x14ac:dyDescent="0.2">
      <c r="A729" s="20"/>
    </row>
    <row r="730" spans="1:1" ht="12.75" x14ac:dyDescent="0.2">
      <c r="A730" s="20"/>
    </row>
    <row r="731" spans="1:1" ht="12.75" x14ac:dyDescent="0.2">
      <c r="A731" s="20"/>
    </row>
    <row r="732" spans="1:1" ht="12.75" x14ac:dyDescent="0.2">
      <c r="A732" s="20"/>
    </row>
    <row r="733" spans="1:1" ht="12.75" x14ac:dyDescent="0.2">
      <c r="A733" s="20"/>
    </row>
    <row r="734" spans="1:1" ht="12.75" x14ac:dyDescent="0.2">
      <c r="A734" s="20"/>
    </row>
    <row r="735" spans="1:1" ht="12.75" x14ac:dyDescent="0.2">
      <c r="A735" s="20"/>
    </row>
    <row r="736" spans="1:1" ht="12.75" x14ac:dyDescent="0.2">
      <c r="A736" s="20"/>
    </row>
    <row r="737" spans="1:1" ht="12.75" x14ac:dyDescent="0.2">
      <c r="A737" s="20"/>
    </row>
    <row r="738" spans="1:1" ht="12.75" x14ac:dyDescent="0.2">
      <c r="A738" s="20"/>
    </row>
    <row r="739" spans="1:1" ht="12.75" x14ac:dyDescent="0.2">
      <c r="A739" s="20"/>
    </row>
    <row r="740" spans="1:1" ht="12.75" x14ac:dyDescent="0.2">
      <c r="A740" s="20"/>
    </row>
    <row r="741" spans="1:1" ht="12.75" x14ac:dyDescent="0.2">
      <c r="A741" s="20"/>
    </row>
    <row r="742" spans="1:1" ht="12.75" x14ac:dyDescent="0.2">
      <c r="A742" s="20"/>
    </row>
    <row r="743" spans="1:1" ht="12.75" x14ac:dyDescent="0.2">
      <c r="A743" s="20"/>
    </row>
    <row r="744" spans="1:1" ht="12.75" x14ac:dyDescent="0.2">
      <c r="A744" s="20"/>
    </row>
    <row r="745" spans="1:1" ht="12.75" x14ac:dyDescent="0.2">
      <c r="A745" s="20"/>
    </row>
    <row r="746" spans="1:1" ht="12.75" x14ac:dyDescent="0.2">
      <c r="A746" s="20"/>
    </row>
    <row r="747" spans="1:1" ht="12.75" x14ac:dyDescent="0.2">
      <c r="A747" s="20"/>
    </row>
    <row r="748" spans="1:1" ht="12.75" x14ac:dyDescent="0.2">
      <c r="A748" s="20"/>
    </row>
    <row r="749" spans="1:1" ht="12.75" x14ac:dyDescent="0.2">
      <c r="A749" s="20"/>
    </row>
    <row r="750" spans="1:1" ht="12.75" x14ac:dyDescent="0.2">
      <c r="A750" s="20"/>
    </row>
    <row r="751" spans="1:1" ht="12.75" x14ac:dyDescent="0.2">
      <c r="A751" s="20"/>
    </row>
    <row r="752" spans="1:1" ht="12.75" x14ac:dyDescent="0.2">
      <c r="A752" s="20"/>
    </row>
    <row r="753" spans="1:1" ht="12.75" x14ac:dyDescent="0.2">
      <c r="A753" s="20"/>
    </row>
    <row r="754" spans="1:1" ht="12.75" x14ac:dyDescent="0.2">
      <c r="A754" s="20"/>
    </row>
    <row r="755" spans="1:1" ht="12.75" x14ac:dyDescent="0.2">
      <c r="A755" s="20"/>
    </row>
    <row r="756" spans="1:1" ht="12.75" x14ac:dyDescent="0.2">
      <c r="A756" s="20"/>
    </row>
    <row r="757" spans="1:1" ht="12.75" x14ac:dyDescent="0.2">
      <c r="A757" s="20"/>
    </row>
    <row r="758" spans="1:1" ht="12.75" x14ac:dyDescent="0.2">
      <c r="A758" s="20"/>
    </row>
    <row r="759" spans="1:1" ht="12.75" x14ac:dyDescent="0.2">
      <c r="A759" s="20"/>
    </row>
    <row r="760" spans="1:1" ht="12.75" x14ac:dyDescent="0.2">
      <c r="A760" s="20"/>
    </row>
    <row r="761" spans="1:1" ht="12.75" x14ac:dyDescent="0.2">
      <c r="A761" s="20"/>
    </row>
    <row r="762" spans="1:1" ht="12.75" x14ac:dyDescent="0.2">
      <c r="A762" s="20"/>
    </row>
    <row r="763" spans="1:1" ht="12.75" x14ac:dyDescent="0.2">
      <c r="A763" s="20"/>
    </row>
    <row r="764" spans="1:1" ht="12.75" x14ac:dyDescent="0.2">
      <c r="A764" s="20"/>
    </row>
    <row r="765" spans="1:1" ht="12.75" x14ac:dyDescent="0.2">
      <c r="A765" s="20"/>
    </row>
    <row r="766" spans="1:1" ht="12.75" x14ac:dyDescent="0.2">
      <c r="A766" s="20"/>
    </row>
    <row r="767" spans="1:1" ht="12.75" x14ac:dyDescent="0.2">
      <c r="A767" s="20"/>
    </row>
    <row r="768" spans="1:1" ht="12.75" x14ac:dyDescent="0.2">
      <c r="A768" s="20"/>
    </row>
    <row r="769" spans="1:1" ht="12.75" x14ac:dyDescent="0.2">
      <c r="A769" s="20"/>
    </row>
    <row r="770" spans="1:1" ht="12.75" x14ac:dyDescent="0.2">
      <c r="A770" s="20"/>
    </row>
    <row r="771" spans="1:1" ht="12.75" x14ac:dyDescent="0.2">
      <c r="A771" s="20"/>
    </row>
    <row r="772" spans="1:1" ht="12.75" x14ac:dyDescent="0.2">
      <c r="A772" s="20"/>
    </row>
    <row r="773" spans="1:1" ht="12.75" x14ac:dyDescent="0.2">
      <c r="A773" s="20"/>
    </row>
    <row r="774" spans="1:1" ht="12.75" x14ac:dyDescent="0.2">
      <c r="A774" s="20"/>
    </row>
    <row r="775" spans="1:1" ht="12.75" x14ac:dyDescent="0.2">
      <c r="A775" s="20"/>
    </row>
    <row r="776" spans="1:1" ht="12.75" x14ac:dyDescent="0.2">
      <c r="A776" s="20"/>
    </row>
    <row r="777" spans="1:1" ht="12.75" x14ac:dyDescent="0.2">
      <c r="A777" s="20"/>
    </row>
    <row r="778" spans="1:1" ht="12.75" x14ac:dyDescent="0.2">
      <c r="A778" s="20"/>
    </row>
    <row r="779" spans="1:1" ht="12.75" x14ac:dyDescent="0.2">
      <c r="A779" s="20"/>
    </row>
    <row r="780" spans="1:1" ht="12.75" x14ac:dyDescent="0.2">
      <c r="A780" s="20"/>
    </row>
    <row r="781" spans="1:1" ht="12.75" x14ac:dyDescent="0.2">
      <c r="A781" s="20"/>
    </row>
    <row r="782" spans="1:1" ht="12.75" x14ac:dyDescent="0.2">
      <c r="A782" s="20"/>
    </row>
    <row r="783" spans="1:1" ht="12.75" x14ac:dyDescent="0.2">
      <c r="A783" s="20"/>
    </row>
    <row r="784" spans="1:1" ht="12.75" x14ac:dyDescent="0.2">
      <c r="A784" s="20"/>
    </row>
    <row r="785" spans="1:1" ht="12.75" x14ac:dyDescent="0.2">
      <c r="A785" s="20"/>
    </row>
    <row r="786" spans="1:1" ht="12.75" x14ac:dyDescent="0.2">
      <c r="A786" s="20"/>
    </row>
    <row r="787" spans="1:1" ht="12.75" x14ac:dyDescent="0.2">
      <c r="A787" s="20"/>
    </row>
    <row r="788" spans="1:1" ht="12.75" x14ac:dyDescent="0.2">
      <c r="A788" s="20"/>
    </row>
    <row r="789" spans="1:1" ht="12.75" x14ac:dyDescent="0.2">
      <c r="A789" s="20"/>
    </row>
    <row r="790" spans="1:1" ht="12.75" x14ac:dyDescent="0.2">
      <c r="A790" s="20"/>
    </row>
    <row r="791" spans="1:1" ht="12.75" x14ac:dyDescent="0.2">
      <c r="A791" s="20"/>
    </row>
    <row r="792" spans="1:1" ht="12.75" x14ac:dyDescent="0.2">
      <c r="A792" s="20"/>
    </row>
    <row r="793" spans="1:1" ht="12.75" x14ac:dyDescent="0.2">
      <c r="A793" s="20"/>
    </row>
    <row r="794" spans="1:1" ht="12.75" x14ac:dyDescent="0.2">
      <c r="A794" s="20"/>
    </row>
    <row r="795" spans="1:1" ht="12.75" x14ac:dyDescent="0.2">
      <c r="A795" s="20"/>
    </row>
    <row r="796" spans="1:1" ht="12.75" x14ac:dyDescent="0.2">
      <c r="A796" s="20"/>
    </row>
    <row r="797" spans="1:1" ht="12.75" x14ac:dyDescent="0.2">
      <c r="A797" s="20"/>
    </row>
    <row r="798" spans="1:1" ht="12.75" x14ac:dyDescent="0.2">
      <c r="A798" s="20"/>
    </row>
    <row r="799" spans="1:1" ht="12.75" x14ac:dyDescent="0.2">
      <c r="A799" s="20"/>
    </row>
    <row r="800" spans="1:1" ht="12.75" x14ac:dyDescent="0.2">
      <c r="A800" s="20"/>
    </row>
    <row r="801" spans="1:1" ht="12.75" x14ac:dyDescent="0.2">
      <c r="A801" s="20"/>
    </row>
    <row r="802" spans="1:1" ht="12.75" x14ac:dyDescent="0.2">
      <c r="A802" s="20"/>
    </row>
    <row r="803" spans="1:1" ht="12.75" x14ac:dyDescent="0.2">
      <c r="A803" s="20"/>
    </row>
    <row r="804" spans="1:1" ht="12.75" x14ac:dyDescent="0.2">
      <c r="A804" s="20"/>
    </row>
    <row r="805" spans="1:1" ht="12.75" x14ac:dyDescent="0.2">
      <c r="A805" s="20"/>
    </row>
    <row r="806" spans="1:1" ht="12.75" x14ac:dyDescent="0.2">
      <c r="A806" s="20"/>
    </row>
    <row r="807" spans="1:1" ht="12.75" x14ac:dyDescent="0.2">
      <c r="A807" s="20"/>
    </row>
    <row r="808" spans="1:1" ht="12.75" x14ac:dyDescent="0.2">
      <c r="A808" s="20"/>
    </row>
    <row r="809" spans="1:1" ht="12.75" x14ac:dyDescent="0.2">
      <c r="A809" s="20"/>
    </row>
    <row r="810" spans="1:1" ht="12.75" x14ac:dyDescent="0.2">
      <c r="A810" s="20"/>
    </row>
    <row r="811" spans="1:1" ht="12.75" x14ac:dyDescent="0.2">
      <c r="A811" s="20"/>
    </row>
    <row r="812" spans="1:1" ht="12.75" x14ac:dyDescent="0.2">
      <c r="A812" s="20"/>
    </row>
    <row r="813" spans="1:1" ht="12.75" x14ac:dyDescent="0.2">
      <c r="A813" s="20"/>
    </row>
    <row r="814" spans="1:1" ht="12.75" x14ac:dyDescent="0.2">
      <c r="A814" s="20"/>
    </row>
    <row r="815" spans="1:1" ht="12.75" x14ac:dyDescent="0.2">
      <c r="A815" s="20"/>
    </row>
    <row r="816" spans="1:1" ht="12.75" x14ac:dyDescent="0.2">
      <c r="A816" s="20"/>
    </row>
    <row r="817" spans="1:1" ht="12.75" x14ac:dyDescent="0.2">
      <c r="A817" s="20"/>
    </row>
    <row r="818" spans="1:1" ht="12.75" x14ac:dyDescent="0.2">
      <c r="A818" s="20"/>
    </row>
    <row r="819" spans="1:1" ht="12.75" x14ac:dyDescent="0.2">
      <c r="A819" s="20"/>
    </row>
    <row r="820" spans="1:1" ht="12.75" x14ac:dyDescent="0.2">
      <c r="A820" s="20"/>
    </row>
    <row r="821" spans="1:1" ht="12.75" x14ac:dyDescent="0.2">
      <c r="A821" s="20"/>
    </row>
    <row r="822" spans="1:1" ht="12.75" x14ac:dyDescent="0.2">
      <c r="A822" s="20"/>
    </row>
    <row r="823" spans="1:1" ht="12.75" x14ac:dyDescent="0.2">
      <c r="A823" s="20"/>
    </row>
    <row r="824" spans="1:1" ht="12.75" x14ac:dyDescent="0.2">
      <c r="A824" s="20"/>
    </row>
    <row r="825" spans="1:1" ht="12.75" x14ac:dyDescent="0.2">
      <c r="A825" s="20"/>
    </row>
    <row r="826" spans="1:1" ht="12.75" x14ac:dyDescent="0.2">
      <c r="A826" s="20"/>
    </row>
    <row r="827" spans="1:1" ht="12.75" x14ac:dyDescent="0.2">
      <c r="A827" s="20"/>
    </row>
    <row r="828" spans="1:1" ht="12.75" x14ac:dyDescent="0.2">
      <c r="A828" s="20"/>
    </row>
    <row r="829" spans="1:1" ht="12.75" x14ac:dyDescent="0.2">
      <c r="A829" s="20"/>
    </row>
    <row r="830" spans="1:1" ht="12.75" x14ac:dyDescent="0.2">
      <c r="A830" s="20"/>
    </row>
    <row r="831" spans="1:1" ht="12.75" x14ac:dyDescent="0.2">
      <c r="A831" s="20"/>
    </row>
    <row r="832" spans="1:1" ht="12.75" x14ac:dyDescent="0.2">
      <c r="A832" s="20"/>
    </row>
    <row r="833" spans="1:1" ht="12.75" x14ac:dyDescent="0.2">
      <c r="A833" s="20"/>
    </row>
    <row r="834" spans="1:1" ht="12.75" x14ac:dyDescent="0.2">
      <c r="A834" s="20"/>
    </row>
    <row r="835" spans="1:1" ht="12.75" x14ac:dyDescent="0.2">
      <c r="A835" s="20"/>
    </row>
    <row r="836" spans="1:1" ht="12.75" x14ac:dyDescent="0.2">
      <c r="A836" s="20"/>
    </row>
    <row r="837" spans="1:1" ht="12.75" x14ac:dyDescent="0.2">
      <c r="A837" s="20"/>
    </row>
    <row r="838" spans="1:1" ht="12.75" x14ac:dyDescent="0.2">
      <c r="A838" s="20"/>
    </row>
    <row r="839" spans="1:1" ht="12.75" x14ac:dyDescent="0.2">
      <c r="A839" s="20"/>
    </row>
    <row r="840" spans="1:1" ht="12.75" x14ac:dyDescent="0.2">
      <c r="A840" s="20"/>
    </row>
    <row r="841" spans="1:1" ht="12.75" x14ac:dyDescent="0.2">
      <c r="A841" s="20"/>
    </row>
    <row r="842" spans="1:1" ht="12.75" x14ac:dyDescent="0.2">
      <c r="A842" s="20"/>
    </row>
    <row r="843" spans="1:1" ht="12.75" x14ac:dyDescent="0.2">
      <c r="A843" s="20"/>
    </row>
    <row r="844" spans="1:1" ht="12.75" x14ac:dyDescent="0.2">
      <c r="A844" s="20"/>
    </row>
    <row r="845" spans="1:1" ht="12.75" x14ac:dyDescent="0.2">
      <c r="A845" s="20"/>
    </row>
    <row r="846" spans="1:1" ht="12.75" x14ac:dyDescent="0.2">
      <c r="A846" s="20"/>
    </row>
    <row r="847" spans="1:1" ht="12.75" x14ac:dyDescent="0.2">
      <c r="A847" s="20"/>
    </row>
    <row r="848" spans="1:1" ht="12.75" x14ac:dyDescent="0.2">
      <c r="A848" s="20"/>
    </row>
    <row r="849" spans="1:1" ht="12.75" x14ac:dyDescent="0.2">
      <c r="A849" s="20"/>
    </row>
    <row r="850" spans="1:1" ht="12.75" x14ac:dyDescent="0.2">
      <c r="A850" s="20"/>
    </row>
    <row r="851" spans="1:1" ht="12.75" x14ac:dyDescent="0.2">
      <c r="A851" s="20"/>
    </row>
    <row r="852" spans="1:1" ht="12.75" x14ac:dyDescent="0.2">
      <c r="A852" s="20"/>
    </row>
    <row r="853" spans="1:1" ht="12.75" x14ac:dyDescent="0.2">
      <c r="A853" s="20"/>
    </row>
    <row r="854" spans="1:1" ht="12.75" x14ac:dyDescent="0.2">
      <c r="A854" s="20"/>
    </row>
    <row r="855" spans="1:1" ht="12.75" x14ac:dyDescent="0.2">
      <c r="A855" s="20"/>
    </row>
    <row r="856" spans="1:1" ht="12.75" x14ac:dyDescent="0.2">
      <c r="A856" s="20"/>
    </row>
    <row r="857" spans="1:1" ht="12.75" x14ac:dyDescent="0.2">
      <c r="A857" s="20"/>
    </row>
    <row r="858" spans="1:1" ht="12.75" x14ac:dyDescent="0.2">
      <c r="A858" s="20"/>
    </row>
    <row r="859" spans="1:1" ht="12.75" x14ac:dyDescent="0.2">
      <c r="A859" s="20"/>
    </row>
    <row r="860" spans="1:1" ht="12.75" x14ac:dyDescent="0.2">
      <c r="A860" s="20"/>
    </row>
    <row r="861" spans="1:1" ht="12.75" x14ac:dyDescent="0.2">
      <c r="A861" s="20"/>
    </row>
    <row r="862" spans="1:1" ht="12.75" x14ac:dyDescent="0.2">
      <c r="A862" s="20"/>
    </row>
    <row r="863" spans="1:1" ht="12.75" x14ac:dyDescent="0.2">
      <c r="A863" s="20"/>
    </row>
    <row r="864" spans="1:1" ht="12.75" x14ac:dyDescent="0.2">
      <c r="A864" s="20"/>
    </row>
    <row r="865" spans="1:1" ht="12.75" x14ac:dyDescent="0.2">
      <c r="A865" s="20"/>
    </row>
    <row r="866" spans="1:1" ht="12.75" x14ac:dyDescent="0.2">
      <c r="A866" s="20"/>
    </row>
    <row r="867" spans="1:1" ht="12.75" x14ac:dyDescent="0.2">
      <c r="A867" s="20"/>
    </row>
    <row r="868" spans="1:1" ht="12.75" x14ac:dyDescent="0.2">
      <c r="A868" s="20"/>
    </row>
    <row r="869" spans="1:1" ht="12.75" x14ac:dyDescent="0.2">
      <c r="A869" s="20"/>
    </row>
    <row r="870" spans="1:1" ht="12.75" x14ac:dyDescent="0.2">
      <c r="A870" s="20"/>
    </row>
    <row r="871" spans="1:1" ht="12.75" x14ac:dyDescent="0.2">
      <c r="A871" s="20"/>
    </row>
    <row r="872" spans="1:1" ht="12.75" x14ac:dyDescent="0.2">
      <c r="A872" s="20"/>
    </row>
    <row r="873" spans="1:1" ht="12.75" x14ac:dyDescent="0.2">
      <c r="A873" s="20"/>
    </row>
    <row r="874" spans="1:1" ht="12.75" x14ac:dyDescent="0.2">
      <c r="A874" s="20"/>
    </row>
    <row r="875" spans="1:1" ht="12.75" x14ac:dyDescent="0.2">
      <c r="A875" s="20"/>
    </row>
    <row r="876" spans="1:1" ht="12.75" x14ac:dyDescent="0.2">
      <c r="A876" s="20"/>
    </row>
    <row r="877" spans="1:1" ht="12.75" x14ac:dyDescent="0.2">
      <c r="A877" s="20"/>
    </row>
    <row r="878" spans="1:1" ht="12.75" x14ac:dyDescent="0.2">
      <c r="A878" s="20"/>
    </row>
    <row r="879" spans="1:1" ht="12.75" x14ac:dyDescent="0.2">
      <c r="A879" s="20"/>
    </row>
    <row r="880" spans="1:1" ht="12.75" x14ac:dyDescent="0.2">
      <c r="A880" s="20"/>
    </row>
    <row r="881" spans="1:1" ht="12.75" x14ac:dyDescent="0.2">
      <c r="A881" s="20"/>
    </row>
    <row r="882" spans="1:1" ht="12.75" x14ac:dyDescent="0.2">
      <c r="A882" s="20"/>
    </row>
    <row r="883" spans="1:1" ht="12.75" x14ac:dyDescent="0.2">
      <c r="A883" s="20"/>
    </row>
    <row r="884" spans="1:1" ht="12.75" x14ac:dyDescent="0.2">
      <c r="A884" s="20"/>
    </row>
    <row r="885" spans="1:1" ht="12.75" x14ac:dyDescent="0.2">
      <c r="A885" s="20"/>
    </row>
    <row r="886" spans="1:1" ht="12.75" x14ac:dyDescent="0.2">
      <c r="A886" s="20"/>
    </row>
    <row r="887" spans="1:1" ht="12.75" x14ac:dyDescent="0.2">
      <c r="A887" s="20"/>
    </row>
    <row r="888" spans="1:1" ht="12.75" x14ac:dyDescent="0.2">
      <c r="A888" s="20"/>
    </row>
    <row r="889" spans="1:1" ht="12.75" x14ac:dyDescent="0.2">
      <c r="A889" s="20"/>
    </row>
    <row r="890" spans="1:1" ht="12.75" x14ac:dyDescent="0.2">
      <c r="A890" s="20"/>
    </row>
    <row r="891" spans="1:1" ht="12.75" x14ac:dyDescent="0.2">
      <c r="A891" s="20"/>
    </row>
    <row r="892" spans="1:1" ht="12.75" x14ac:dyDescent="0.2">
      <c r="A892" s="20"/>
    </row>
    <row r="893" spans="1:1" ht="12.75" x14ac:dyDescent="0.2">
      <c r="A893" s="20"/>
    </row>
    <row r="894" spans="1:1" ht="12.75" x14ac:dyDescent="0.2">
      <c r="A894" s="20"/>
    </row>
    <row r="895" spans="1:1" ht="12.75" x14ac:dyDescent="0.2">
      <c r="A895" s="20"/>
    </row>
    <row r="896" spans="1:1" ht="12.75" x14ac:dyDescent="0.2">
      <c r="A896" s="20"/>
    </row>
    <row r="897" spans="1:1" ht="12.75" x14ac:dyDescent="0.2">
      <c r="A897" s="20"/>
    </row>
    <row r="898" spans="1:1" ht="12.75" x14ac:dyDescent="0.2">
      <c r="A898" s="20"/>
    </row>
    <row r="899" spans="1:1" ht="12.75" x14ac:dyDescent="0.2">
      <c r="A899" s="20"/>
    </row>
    <row r="900" spans="1:1" ht="12.75" x14ac:dyDescent="0.2">
      <c r="A900" s="20"/>
    </row>
    <row r="901" spans="1:1" ht="12.75" x14ac:dyDescent="0.2">
      <c r="A901" s="20"/>
    </row>
    <row r="902" spans="1:1" ht="12.75" x14ac:dyDescent="0.2">
      <c r="A902" s="20"/>
    </row>
    <row r="903" spans="1:1" ht="12.75" x14ac:dyDescent="0.2">
      <c r="A903" s="20"/>
    </row>
    <row r="904" spans="1:1" ht="12.75" x14ac:dyDescent="0.2">
      <c r="A904" s="20"/>
    </row>
    <row r="905" spans="1:1" ht="12.75" x14ac:dyDescent="0.2">
      <c r="A905" s="20"/>
    </row>
    <row r="906" spans="1:1" ht="12.75" x14ac:dyDescent="0.2">
      <c r="A906" s="20"/>
    </row>
    <row r="907" spans="1:1" ht="12.75" x14ac:dyDescent="0.2">
      <c r="A907" s="20"/>
    </row>
    <row r="908" spans="1:1" ht="12.75" x14ac:dyDescent="0.2">
      <c r="A908" s="20"/>
    </row>
    <row r="909" spans="1:1" ht="12.75" x14ac:dyDescent="0.2">
      <c r="A909" s="20"/>
    </row>
    <row r="910" spans="1:1" ht="12.75" x14ac:dyDescent="0.2">
      <c r="A910" s="20"/>
    </row>
    <row r="911" spans="1:1" ht="12.75" x14ac:dyDescent="0.2">
      <c r="A911" s="20"/>
    </row>
    <row r="912" spans="1:1" ht="12.75" x14ac:dyDescent="0.2">
      <c r="A912" s="20"/>
    </row>
    <row r="913" spans="1:1" ht="12.75" x14ac:dyDescent="0.2">
      <c r="A913" s="20"/>
    </row>
    <row r="914" spans="1:1" ht="12.75" x14ac:dyDescent="0.2">
      <c r="A914" s="20"/>
    </row>
    <row r="915" spans="1:1" ht="12.75" x14ac:dyDescent="0.2">
      <c r="A915" s="20"/>
    </row>
    <row r="916" spans="1:1" ht="12.75" x14ac:dyDescent="0.2">
      <c r="A916" s="20"/>
    </row>
    <row r="917" spans="1:1" ht="12.75" x14ac:dyDescent="0.2">
      <c r="A917" s="20"/>
    </row>
    <row r="918" spans="1:1" ht="12.75" x14ac:dyDescent="0.2">
      <c r="A918" s="20"/>
    </row>
    <row r="919" spans="1:1" ht="12.75" x14ac:dyDescent="0.2">
      <c r="A919" s="20"/>
    </row>
    <row r="920" spans="1:1" ht="12.75" x14ac:dyDescent="0.2">
      <c r="A920" s="20"/>
    </row>
    <row r="921" spans="1:1" ht="12.75" x14ac:dyDescent="0.2">
      <c r="A921" s="20"/>
    </row>
    <row r="922" spans="1:1" ht="12.75" x14ac:dyDescent="0.2">
      <c r="A922" s="20"/>
    </row>
    <row r="923" spans="1:1" ht="12.75" x14ac:dyDescent="0.2">
      <c r="A923" s="20"/>
    </row>
    <row r="924" spans="1:1" ht="12.75" x14ac:dyDescent="0.2">
      <c r="A924" s="20"/>
    </row>
    <row r="925" spans="1:1" ht="12.75" x14ac:dyDescent="0.2">
      <c r="A925" s="20"/>
    </row>
    <row r="926" spans="1:1" ht="12.75" x14ac:dyDescent="0.2">
      <c r="A926" s="20"/>
    </row>
    <row r="927" spans="1:1" ht="12.75" x14ac:dyDescent="0.2">
      <c r="A927" s="20"/>
    </row>
    <row r="928" spans="1:1" ht="12.75" x14ac:dyDescent="0.2">
      <c r="A928" s="20"/>
    </row>
    <row r="929" spans="1:1" ht="12.75" x14ac:dyDescent="0.2">
      <c r="A929" s="20"/>
    </row>
    <row r="930" spans="1:1" ht="12.75" x14ac:dyDescent="0.2">
      <c r="A930" s="20"/>
    </row>
    <row r="931" spans="1:1" ht="12.75" x14ac:dyDescent="0.2">
      <c r="A931" s="20"/>
    </row>
    <row r="932" spans="1:1" ht="12.75" x14ac:dyDescent="0.2">
      <c r="A932" s="20"/>
    </row>
    <row r="933" spans="1:1" ht="12.75" x14ac:dyDescent="0.2">
      <c r="A933" s="20"/>
    </row>
    <row r="934" spans="1:1" ht="12.75" x14ac:dyDescent="0.2">
      <c r="A934" s="20"/>
    </row>
    <row r="935" spans="1:1" ht="12.75" x14ac:dyDescent="0.2">
      <c r="A935" s="20"/>
    </row>
    <row r="936" spans="1:1" ht="12.75" x14ac:dyDescent="0.2">
      <c r="A936" s="20"/>
    </row>
    <row r="937" spans="1:1" ht="12.75" x14ac:dyDescent="0.2">
      <c r="A937" s="20"/>
    </row>
    <row r="938" spans="1:1" ht="12.75" x14ac:dyDescent="0.2">
      <c r="A938" s="20"/>
    </row>
    <row r="939" spans="1:1" ht="12.75" x14ac:dyDescent="0.2">
      <c r="A939" s="20"/>
    </row>
    <row r="940" spans="1:1" ht="12.75" x14ac:dyDescent="0.2">
      <c r="A940" s="20"/>
    </row>
    <row r="941" spans="1:1" ht="12.75" x14ac:dyDescent="0.2">
      <c r="A941" s="20"/>
    </row>
    <row r="942" spans="1:1" ht="12.75" x14ac:dyDescent="0.2">
      <c r="A942" s="20"/>
    </row>
    <row r="943" spans="1:1" ht="12.75" x14ac:dyDescent="0.2">
      <c r="A943" s="20"/>
    </row>
    <row r="944" spans="1:1" ht="12.75" x14ac:dyDescent="0.2">
      <c r="A944" s="20"/>
    </row>
    <row r="945" spans="1:1" ht="12.75" x14ac:dyDescent="0.2">
      <c r="A945" s="20"/>
    </row>
    <row r="946" spans="1:1" ht="12.75" x14ac:dyDescent="0.2">
      <c r="A946" s="20"/>
    </row>
    <row r="947" spans="1:1" ht="12.75" x14ac:dyDescent="0.2">
      <c r="A947" s="20"/>
    </row>
    <row r="948" spans="1:1" ht="12.75" x14ac:dyDescent="0.2">
      <c r="A948" s="20"/>
    </row>
    <row r="949" spans="1:1" ht="12.75" x14ac:dyDescent="0.2">
      <c r="A949" s="20"/>
    </row>
    <row r="950" spans="1:1" ht="12.75" x14ac:dyDescent="0.2">
      <c r="A950" s="20"/>
    </row>
    <row r="951" spans="1:1" ht="12.75" x14ac:dyDescent="0.2">
      <c r="A951" s="20"/>
    </row>
    <row r="952" spans="1:1" ht="12.75" x14ac:dyDescent="0.2">
      <c r="A952" s="20"/>
    </row>
    <row r="953" spans="1:1" ht="12.75" x14ac:dyDescent="0.2">
      <c r="A953" s="20"/>
    </row>
    <row r="954" spans="1:1" ht="12.75" x14ac:dyDescent="0.2">
      <c r="A954" s="20"/>
    </row>
    <row r="955" spans="1:1" ht="12.75" x14ac:dyDescent="0.2">
      <c r="A955" s="20"/>
    </row>
    <row r="956" spans="1:1" ht="12.75" x14ac:dyDescent="0.2">
      <c r="A956" s="20"/>
    </row>
    <row r="957" spans="1:1" ht="12.75" x14ac:dyDescent="0.2">
      <c r="A957" s="20"/>
    </row>
    <row r="958" spans="1:1" ht="12.75" x14ac:dyDescent="0.2">
      <c r="A958" s="20"/>
    </row>
    <row r="959" spans="1:1" ht="12.75" x14ac:dyDescent="0.2">
      <c r="A959" s="20"/>
    </row>
    <row r="960" spans="1:1" ht="12.75" x14ac:dyDescent="0.2">
      <c r="A960" s="20"/>
    </row>
    <row r="961" spans="1:1" ht="12.75" x14ac:dyDescent="0.2">
      <c r="A961" s="20"/>
    </row>
    <row r="962" spans="1:1" ht="12.75" x14ac:dyDescent="0.2">
      <c r="A962" s="20"/>
    </row>
    <row r="963" spans="1:1" ht="12.75" x14ac:dyDescent="0.2">
      <c r="A963" s="20"/>
    </row>
    <row r="964" spans="1:1" ht="12.75" x14ac:dyDescent="0.2">
      <c r="A964" s="20"/>
    </row>
    <row r="965" spans="1:1" ht="12.75" x14ac:dyDescent="0.2">
      <c r="A965" s="20"/>
    </row>
    <row r="966" spans="1:1" ht="12.75" x14ac:dyDescent="0.2">
      <c r="A966" s="20"/>
    </row>
    <row r="967" spans="1:1" ht="12.75" x14ac:dyDescent="0.2">
      <c r="A967" s="20"/>
    </row>
    <row r="968" spans="1:1" ht="12.75" x14ac:dyDescent="0.2">
      <c r="A968" s="20"/>
    </row>
    <row r="969" spans="1:1" ht="12.75" x14ac:dyDescent="0.2">
      <c r="A969" s="20"/>
    </row>
    <row r="970" spans="1:1" ht="12.75" x14ac:dyDescent="0.2">
      <c r="A970" s="20"/>
    </row>
    <row r="971" spans="1:1" ht="12.75" x14ac:dyDescent="0.2">
      <c r="A971" s="20"/>
    </row>
    <row r="972" spans="1:1" ht="12.75" x14ac:dyDescent="0.2">
      <c r="A972" s="20"/>
    </row>
    <row r="973" spans="1:1" ht="12.75" x14ac:dyDescent="0.2">
      <c r="A973" s="20"/>
    </row>
    <row r="974" spans="1:1" ht="12.75" x14ac:dyDescent="0.2">
      <c r="A974" s="20"/>
    </row>
    <row r="975" spans="1:1" ht="12.75" x14ac:dyDescent="0.2">
      <c r="A975" s="20"/>
    </row>
    <row r="976" spans="1:1" ht="12.75" x14ac:dyDescent="0.2">
      <c r="A976" s="20"/>
    </row>
    <row r="977" spans="1:1" ht="12.75" x14ac:dyDescent="0.2">
      <c r="A977" s="20"/>
    </row>
    <row r="978" spans="1:1" ht="12.75" x14ac:dyDescent="0.2">
      <c r="A978" s="20"/>
    </row>
    <row r="979" spans="1:1" ht="12.75" x14ac:dyDescent="0.2">
      <c r="A979" s="20"/>
    </row>
    <row r="980" spans="1:1" ht="12.75" x14ac:dyDescent="0.2">
      <c r="A980" s="20"/>
    </row>
    <row r="981" spans="1:1" ht="12.75" x14ac:dyDescent="0.2">
      <c r="A981" s="20"/>
    </row>
    <row r="982" spans="1:1" ht="12.75" x14ac:dyDescent="0.2">
      <c r="A982" s="20"/>
    </row>
    <row r="983" spans="1:1" ht="12.75" x14ac:dyDescent="0.2">
      <c r="A983" s="20"/>
    </row>
    <row r="984" spans="1:1" ht="12.75" x14ac:dyDescent="0.2">
      <c r="A984" s="20"/>
    </row>
    <row r="985" spans="1:1" ht="12.75" x14ac:dyDescent="0.2">
      <c r="A985" s="20"/>
    </row>
    <row r="986" spans="1:1" ht="12.75" x14ac:dyDescent="0.2">
      <c r="A986" s="20"/>
    </row>
    <row r="987" spans="1:1" ht="12.75" x14ac:dyDescent="0.2">
      <c r="A987" s="20"/>
    </row>
    <row r="988" spans="1:1" ht="12.75" x14ac:dyDescent="0.2">
      <c r="A988" s="20"/>
    </row>
    <row r="989" spans="1:1" ht="12.75" x14ac:dyDescent="0.2">
      <c r="A989" s="20"/>
    </row>
    <row r="990" spans="1:1" ht="12.75" x14ac:dyDescent="0.2">
      <c r="A990" s="20"/>
    </row>
    <row r="991" spans="1:1" ht="12.75" x14ac:dyDescent="0.2">
      <c r="A991" s="20"/>
    </row>
    <row r="992" spans="1:1" ht="12.75" x14ac:dyDescent="0.2">
      <c r="A992" s="20"/>
    </row>
    <row r="993" spans="1:1" ht="12.75" x14ac:dyDescent="0.2">
      <c r="A993" s="20"/>
    </row>
    <row r="994" spans="1:1" ht="12.75" x14ac:dyDescent="0.2">
      <c r="A994" s="20"/>
    </row>
    <row r="995" spans="1:1" ht="12.75" x14ac:dyDescent="0.2">
      <c r="A995" s="20"/>
    </row>
    <row r="996" spans="1:1" ht="12.75" x14ac:dyDescent="0.2">
      <c r="A996" s="20"/>
    </row>
    <row r="997" spans="1:1" ht="12.75" x14ac:dyDescent="0.2">
      <c r="A997" s="20"/>
    </row>
    <row r="998" spans="1:1" ht="12.75" x14ac:dyDescent="0.2">
      <c r="A998" s="20"/>
    </row>
    <row r="999" spans="1:1" ht="12.75" x14ac:dyDescent="0.2">
      <c r="A999" s="20"/>
    </row>
    <row r="1000" spans="1:1" ht="12.75" x14ac:dyDescent="0.2">
      <c r="A1000" s="20"/>
    </row>
    <row r="1001" spans="1:1" ht="12.75" x14ac:dyDescent="0.2">
      <c r="A1001" s="20"/>
    </row>
    <row r="1002" spans="1:1" ht="12.75" x14ac:dyDescent="0.2">
      <c r="A1002" s="20"/>
    </row>
    <row r="1003" spans="1:1" ht="12.75" x14ac:dyDescent="0.2">
      <c r="A1003" s="20"/>
    </row>
    <row r="1004" spans="1:1" ht="12.75" x14ac:dyDescent="0.2">
      <c r="A1004" s="20"/>
    </row>
  </sheetData>
  <mergeCells count="2">
    <mergeCell ref="A2:M2"/>
    <mergeCell ref="A3:I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4248"/>
  <sheetViews>
    <sheetView workbookViewId="0">
      <selection activeCell="A5" sqref="A5:G5"/>
    </sheetView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11.42578125" customWidth="1"/>
    <col min="8" max="8" width="10.28515625" customWidth="1"/>
    <col min="9" max="9" width="29.28515625" customWidth="1"/>
    <col min="10" max="10" width="42.7109375" customWidth="1"/>
  </cols>
  <sheetData>
    <row r="1" spans="1:10" ht="12.75" x14ac:dyDescent="0.2">
      <c r="A1" s="3" t="s">
        <v>359</v>
      </c>
      <c r="B1" s="18"/>
      <c r="I1" s="3" t="s">
        <v>360</v>
      </c>
    </row>
    <row r="2" spans="1:10" ht="12.75" x14ac:dyDescent="0.2">
      <c r="B2" s="18"/>
      <c r="G2" s="28"/>
    </row>
    <row r="3" spans="1:10" ht="12.75" x14ac:dyDescent="0.2">
      <c r="B3" s="18"/>
      <c r="G3" s="28"/>
      <c r="I3" s="14" t="s">
        <v>0</v>
      </c>
      <c r="J3" s="14" t="s">
        <v>1</v>
      </c>
    </row>
    <row r="4" spans="1:10" ht="12.75" x14ac:dyDescent="0.2">
      <c r="B4" s="18"/>
      <c r="G4" s="28"/>
      <c r="I4" s="3" t="s">
        <v>2</v>
      </c>
      <c r="J4" s="3" t="s">
        <v>3</v>
      </c>
    </row>
    <row r="5" spans="1:10" ht="12.75" x14ac:dyDescent="0.2">
      <c r="A5" s="31" t="s">
        <v>4</v>
      </c>
      <c r="B5" s="17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9" t="s">
        <v>271</v>
      </c>
      <c r="I5" s="3" t="s">
        <v>10</v>
      </c>
      <c r="J5" s="3" t="s">
        <v>11</v>
      </c>
    </row>
    <row r="6" spans="1:10" ht="12.75" x14ac:dyDescent="0.2">
      <c r="A6" s="2" t="s">
        <v>39</v>
      </c>
      <c r="B6" s="4" t="s">
        <v>40</v>
      </c>
      <c r="C6" s="3" t="s">
        <v>347</v>
      </c>
      <c r="D6" s="3" t="s">
        <v>366</v>
      </c>
      <c r="E6" s="3">
        <v>437</v>
      </c>
      <c r="G6" s="59">
        <f>41964+46705</f>
        <v>88669</v>
      </c>
      <c r="I6" s="3" t="s">
        <v>13</v>
      </c>
      <c r="J6" s="3" t="s">
        <v>14</v>
      </c>
    </row>
    <row r="7" spans="1:10" ht="12.75" x14ac:dyDescent="0.2">
      <c r="A7" s="2" t="s">
        <v>39</v>
      </c>
      <c r="B7" s="4" t="s">
        <v>40</v>
      </c>
      <c r="C7" s="3" t="s">
        <v>347</v>
      </c>
      <c r="D7" s="3" t="s">
        <v>274</v>
      </c>
      <c r="E7" s="3">
        <v>0</v>
      </c>
      <c r="G7" s="57"/>
      <c r="I7" s="3" t="s">
        <v>15</v>
      </c>
      <c r="J7" s="3" t="s">
        <v>16</v>
      </c>
    </row>
    <row r="8" spans="1:10" ht="12.75" x14ac:dyDescent="0.2">
      <c r="A8" s="2" t="s">
        <v>39</v>
      </c>
      <c r="B8" s="4" t="s">
        <v>40</v>
      </c>
      <c r="C8" s="3" t="s">
        <v>347</v>
      </c>
      <c r="D8" s="3" t="s">
        <v>367</v>
      </c>
      <c r="E8" s="3">
        <v>151</v>
      </c>
      <c r="G8" s="57"/>
      <c r="I8" s="3" t="s">
        <v>17</v>
      </c>
      <c r="J8" s="3" t="s">
        <v>18</v>
      </c>
    </row>
    <row r="9" spans="1:10" ht="12.75" x14ac:dyDescent="0.2">
      <c r="A9" s="2" t="s">
        <v>39</v>
      </c>
      <c r="B9" s="4" t="s">
        <v>40</v>
      </c>
      <c r="C9" s="3" t="s">
        <v>347</v>
      </c>
      <c r="D9" s="3" t="s">
        <v>368</v>
      </c>
      <c r="E9" s="3">
        <v>163</v>
      </c>
      <c r="G9" s="57"/>
      <c r="I9" s="3" t="s">
        <v>347</v>
      </c>
      <c r="J9" s="3" t="s">
        <v>19</v>
      </c>
    </row>
    <row r="10" spans="1:10" ht="12.75" x14ac:dyDescent="0.2">
      <c r="A10" s="2" t="s">
        <v>39</v>
      </c>
      <c r="B10" s="4" t="s">
        <v>40</v>
      </c>
      <c r="C10" s="3" t="s">
        <v>347</v>
      </c>
      <c r="D10" s="3" t="s">
        <v>283</v>
      </c>
      <c r="E10" s="3">
        <v>25113</v>
      </c>
      <c r="G10" s="57"/>
      <c r="I10" s="3" t="s">
        <v>273</v>
      </c>
      <c r="J10" s="3" t="s">
        <v>274</v>
      </c>
    </row>
    <row r="11" spans="1:10" ht="12.75" x14ac:dyDescent="0.2">
      <c r="A11" s="2" t="s">
        <v>39</v>
      </c>
      <c r="B11" s="4" t="s">
        <v>40</v>
      </c>
      <c r="C11" s="3" t="s">
        <v>347</v>
      </c>
      <c r="D11" s="3" t="s">
        <v>315</v>
      </c>
      <c r="E11" s="3">
        <v>2363</v>
      </c>
      <c r="G11" s="57"/>
      <c r="I11" s="3" t="s">
        <v>125</v>
      </c>
      <c r="J11" s="3" t="s">
        <v>20</v>
      </c>
    </row>
    <row r="12" spans="1:10" ht="12.75" x14ac:dyDescent="0.2">
      <c r="A12" s="2" t="s">
        <v>39</v>
      </c>
      <c r="B12" s="4" t="s">
        <v>40</v>
      </c>
      <c r="C12" s="3" t="s">
        <v>347</v>
      </c>
      <c r="D12" s="3" t="s">
        <v>316</v>
      </c>
      <c r="E12" s="3">
        <v>1155</v>
      </c>
      <c r="G12" s="57"/>
      <c r="J12" s="3" t="s">
        <v>21</v>
      </c>
    </row>
    <row r="13" spans="1:10" ht="12.75" x14ac:dyDescent="0.2">
      <c r="A13" s="2" t="s">
        <v>39</v>
      </c>
      <c r="B13" s="4" t="s">
        <v>40</v>
      </c>
      <c r="C13" s="3" t="s">
        <v>347</v>
      </c>
      <c r="D13" s="3" t="s">
        <v>369</v>
      </c>
      <c r="E13" s="3">
        <v>270</v>
      </c>
      <c r="G13" s="57"/>
      <c r="J13" s="3" t="s">
        <v>22</v>
      </c>
    </row>
    <row r="14" spans="1:10" ht="12.75" x14ac:dyDescent="0.2">
      <c r="A14" s="2" t="s">
        <v>39</v>
      </c>
      <c r="B14" s="4" t="s">
        <v>40</v>
      </c>
      <c r="C14" s="3" t="s">
        <v>347</v>
      </c>
      <c r="D14" s="3" t="s">
        <v>128</v>
      </c>
      <c r="E14" s="3">
        <v>21560</v>
      </c>
      <c r="G14" s="57"/>
      <c r="J14" s="3" t="s">
        <v>366</v>
      </c>
    </row>
    <row r="15" spans="1:10" ht="12.75" x14ac:dyDescent="0.2">
      <c r="A15" s="2" t="s">
        <v>39</v>
      </c>
      <c r="B15" s="4" t="s">
        <v>40</v>
      </c>
      <c r="C15" s="3" t="s">
        <v>347</v>
      </c>
      <c r="D15" s="3" t="s">
        <v>370</v>
      </c>
      <c r="E15" s="3">
        <v>386</v>
      </c>
      <c r="G15" s="57"/>
      <c r="J15" s="3" t="s">
        <v>367</v>
      </c>
    </row>
    <row r="16" spans="1:10" ht="12.75" x14ac:dyDescent="0.2">
      <c r="A16" s="2" t="s">
        <v>39</v>
      </c>
      <c r="B16" s="4" t="s">
        <v>40</v>
      </c>
      <c r="C16" s="3" t="s">
        <v>347</v>
      </c>
      <c r="D16" s="3" t="s">
        <v>353</v>
      </c>
      <c r="E16" s="3">
        <v>1805</v>
      </c>
      <c r="G16" s="57"/>
      <c r="J16" s="3" t="s">
        <v>368</v>
      </c>
    </row>
    <row r="17" spans="1:10" ht="12.75" x14ac:dyDescent="0.2">
      <c r="A17" s="2" t="s">
        <v>39</v>
      </c>
      <c r="B17" s="4" t="s">
        <v>40</v>
      </c>
      <c r="C17" s="3" t="s">
        <v>347</v>
      </c>
      <c r="D17" s="3" t="s">
        <v>371</v>
      </c>
      <c r="E17" s="3">
        <v>10462</v>
      </c>
      <c r="G17" s="57"/>
      <c r="J17" s="3" t="s">
        <v>369</v>
      </c>
    </row>
    <row r="18" spans="1:10" ht="12.75" x14ac:dyDescent="0.2">
      <c r="A18" s="2" t="s">
        <v>39</v>
      </c>
      <c r="B18" s="4" t="s">
        <v>40</v>
      </c>
      <c r="C18" s="3" t="s">
        <v>347</v>
      </c>
      <c r="D18" s="3" t="s">
        <v>14</v>
      </c>
      <c r="E18" s="3">
        <v>2421</v>
      </c>
      <c r="G18" s="57"/>
      <c r="J18" s="3" t="s">
        <v>370</v>
      </c>
    </row>
    <row r="19" spans="1:10" ht="12.75" x14ac:dyDescent="0.2">
      <c r="A19" s="2" t="s">
        <v>39</v>
      </c>
      <c r="B19" s="4" t="s">
        <v>40</v>
      </c>
      <c r="C19" s="3" t="s">
        <v>347</v>
      </c>
      <c r="D19" s="3" t="s">
        <v>138</v>
      </c>
      <c r="E19" s="3">
        <v>1016</v>
      </c>
      <c r="F19">
        <f>SUM(E6:E19)</f>
        <v>67302</v>
      </c>
      <c r="G19" s="57"/>
      <c r="J19" s="3" t="s">
        <v>371</v>
      </c>
    </row>
    <row r="20" spans="1:10" ht="12.75" x14ac:dyDescent="0.2">
      <c r="A20" s="2" t="s">
        <v>39</v>
      </c>
      <c r="B20" s="4" t="s">
        <v>40</v>
      </c>
      <c r="C20" s="3" t="s">
        <v>273</v>
      </c>
      <c r="D20" s="3" t="s">
        <v>274</v>
      </c>
      <c r="E20" s="3">
        <v>436</v>
      </c>
      <c r="G20" s="57"/>
      <c r="J20" s="3" t="s">
        <v>275</v>
      </c>
    </row>
    <row r="21" spans="1:10" ht="12.75" x14ac:dyDescent="0.2">
      <c r="A21" s="2" t="s">
        <v>39</v>
      </c>
      <c r="B21" s="4" t="s">
        <v>40</v>
      </c>
      <c r="C21" s="3" t="s">
        <v>273</v>
      </c>
      <c r="D21" s="3" t="s">
        <v>283</v>
      </c>
      <c r="E21" s="3">
        <v>26061</v>
      </c>
      <c r="G21" s="57"/>
      <c r="J21" s="3" t="s">
        <v>276</v>
      </c>
    </row>
    <row r="22" spans="1:10" ht="12.75" x14ac:dyDescent="0.2">
      <c r="A22" s="2" t="s">
        <v>39</v>
      </c>
      <c r="B22" s="4" t="s">
        <v>40</v>
      </c>
      <c r="C22" s="3" t="s">
        <v>273</v>
      </c>
      <c r="D22" s="3" t="s">
        <v>315</v>
      </c>
      <c r="E22" s="3">
        <v>1786</v>
      </c>
      <c r="G22" s="57"/>
      <c r="J22" s="3" t="s">
        <v>23</v>
      </c>
    </row>
    <row r="23" spans="1:10" ht="12.75" x14ac:dyDescent="0.2">
      <c r="A23" s="2" t="s">
        <v>39</v>
      </c>
      <c r="B23" s="4" t="s">
        <v>40</v>
      </c>
      <c r="C23" s="3" t="s">
        <v>273</v>
      </c>
      <c r="D23" s="3" t="s">
        <v>128</v>
      </c>
      <c r="E23" s="3">
        <v>23349</v>
      </c>
      <c r="G23" s="57"/>
      <c r="J23" s="3" t="s">
        <v>24</v>
      </c>
    </row>
    <row r="24" spans="1:10" ht="12.75" x14ac:dyDescent="0.2">
      <c r="A24" s="2" t="s">
        <v>39</v>
      </c>
      <c r="B24" s="4" t="s">
        <v>40</v>
      </c>
      <c r="C24" s="3" t="s">
        <v>273</v>
      </c>
      <c r="D24" s="3" t="s">
        <v>353</v>
      </c>
      <c r="E24" s="3">
        <v>1366</v>
      </c>
      <c r="G24" s="57"/>
      <c r="J24" s="3" t="s">
        <v>26</v>
      </c>
    </row>
    <row r="25" spans="1:10" ht="12.75" x14ac:dyDescent="0.2">
      <c r="A25" s="2" t="s">
        <v>39</v>
      </c>
      <c r="B25" s="4" t="s">
        <v>40</v>
      </c>
      <c r="C25" s="3" t="s">
        <v>273</v>
      </c>
      <c r="D25" s="3" t="s">
        <v>371</v>
      </c>
      <c r="E25" s="3">
        <v>6974</v>
      </c>
      <c r="G25" s="57"/>
      <c r="J25" s="3" t="s">
        <v>141</v>
      </c>
    </row>
    <row r="26" spans="1:10" ht="12.75" x14ac:dyDescent="0.2">
      <c r="A26" s="2" t="s">
        <v>39</v>
      </c>
      <c r="B26" s="4" t="s">
        <v>40</v>
      </c>
      <c r="C26" s="3" t="s">
        <v>273</v>
      </c>
      <c r="D26" s="3" t="s">
        <v>14</v>
      </c>
      <c r="E26" s="3">
        <v>6434</v>
      </c>
      <c r="G26" s="57"/>
      <c r="J26" s="3" t="s">
        <v>27</v>
      </c>
    </row>
    <row r="27" spans="1:10" ht="12.75" x14ac:dyDescent="0.2">
      <c r="A27" s="2" t="s">
        <v>39</v>
      </c>
      <c r="B27" s="4" t="s">
        <v>40</v>
      </c>
      <c r="C27" s="3" t="s">
        <v>273</v>
      </c>
      <c r="D27" s="3" t="s">
        <v>138</v>
      </c>
      <c r="E27" s="3">
        <v>896</v>
      </c>
      <c r="F27">
        <f>SUM(E20:E27)</f>
        <v>67302</v>
      </c>
      <c r="G27" s="57"/>
      <c r="J27" s="3" t="s">
        <v>28</v>
      </c>
    </row>
    <row r="28" spans="1:10" ht="12.75" x14ac:dyDescent="0.2">
      <c r="A28" s="2" t="s">
        <v>39</v>
      </c>
      <c r="B28" s="4" t="s">
        <v>40</v>
      </c>
      <c r="C28" s="3" t="s">
        <v>125</v>
      </c>
      <c r="D28" s="3" t="s">
        <v>274</v>
      </c>
      <c r="E28" s="3">
        <v>503</v>
      </c>
      <c r="G28" s="57"/>
      <c r="J28" s="3" t="s">
        <v>29</v>
      </c>
    </row>
    <row r="29" spans="1:10" ht="12.75" x14ac:dyDescent="0.2">
      <c r="A29" s="2" t="s">
        <v>39</v>
      </c>
      <c r="B29" s="4" t="s">
        <v>40</v>
      </c>
      <c r="C29" s="3" t="s">
        <v>125</v>
      </c>
      <c r="D29" s="3" t="s">
        <v>283</v>
      </c>
      <c r="E29" s="3">
        <v>25597</v>
      </c>
      <c r="G29" s="57"/>
      <c r="J29" s="3" t="s">
        <v>278</v>
      </c>
    </row>
    <row r="30" spans="1:10" ht="12.75" x14ac:dyDescent="0.2">
      <c r="A30" s="2" t="s">
        <v>39</v>
      </c>
      <c r="B30" s="4" t="s">
        <v>40</v>
      </c>
      <c r="C30" s="3" t="s">
        <v>125</v>
      </c>
      <c r="D30" s="3" t="s">
        <v>315</v>
      </c>
      <c r="E30" s="3">
        <v>1811</v>
      </c>
      <c r="G30" s="57"/>
      <c r="J30" s="3" t="s">
        <v>144</v>
      </c>
    </row>
    <row r="31" spans="1:10" ht="12.75" x14ac:dyDescent="0.2">
      <c r="A31" s="2" t="s">
        <v>39</v>
      </c>
      <c r="B31" s="4" t="s">
        <v>40</v>
      </c>
      <c r="C31" s="3" t="s">
        <v>125</v>
      </c>
      <c r="D31" s="3" t="s">
        <v>128</v>
      </c>
      <c r="E31" s="3">
        <v>22647</v>
      </c>
      <c r="G31" s="57"/>
      <c r="J31" s="3" t="s">
        <v>30</v>
      </c>
    </row>
    <row r="32" spans="1:10" ht="12.75" x14ac:dyDescent="0.2">
      <c r="A32" s="2" t="s">
        <v>39</v>
      </c>
      <c r="B32" s="4" t="s">
        <v>40</v>
      </c>
      <c r="C32" s="3" t="s">
        <v>125</v>
      </c>
      <c r="D32" s="3" t="s">
        <v>353</v>
      </c>
      <c r="E32" s="3">
        <v>1554</v>
      </c>
      <c r="G32" s="57"/>
      <c r="J32" s="3" t="s">
        <v>31</v>
      </c>
    </row>
    <row r="33" spans="1:10" ht="12.75" x14ac:dyDescent="0.2">
      <c r="A33" s="2" t="s">
        <v>39</v>
      </c>
      <c r="B33" s="4" t="s">
        <v>40</v>
      </c>
      <c r="C33" s="3" t="s">
        <v>125</v>
      </c>
      <c r="D33" s="3" t="s">
        <v>371</v>
      </c>
      <c r="E33" s="3">
        <v>7023</v>
      </c>
      <c r="G33" s="57"/>
      <c r="J33" s="3" t="s">
        <v>32</v>
      </c>
    </row>
    <row r="34" spans="1:10" ht="12.75" x14ac:dyDescent="0.2">
      <c r="A34" s="2" t="s">
        <v>39</v>
      </c>
      <c r="B34" s="4" t="s">
        <v>40</v>
      </c>
      <c r="C34" s="3" t="s">
        <v>125</v>
      </c>
      <c r="D34" s="3" t="s">
        <v>14</v>
      </c>
      <c r="E34" s="3">
        <v>7299</v>
      </c>
      <c r="G34" s="57"/>
      <c r="J34" s="3" t="s">
        <v>33</v>
      </c>
    </row>
    <row r="35" spans="1:10" ht="12.75" x14ac:dyDescent="0.2">
      <c r="A35" s="2" t="s">
        <v>39</v>
      </c>
      <c r="B35" s="4" t="s">
        <v>40</v>
      </c>
      <c r="C35" s="3" t="s">
        <v>125</v>
      </c>
      <c r="D35" s="3" t="s">
        <v>138</v>
      </c>
      <c r="E35" s="3">
        <v>868</v>
      </c>
      <c r="F35">
        <f>SUM(E28:E35)</f>
        <v>67302</v>
      </c>
      <c r="G35" s="57"/>
      <c r="J35" s="3" t="s">
        <v>142</v>
      </c>
    </row>
    <row r="36" spans="1:10" ht="12.75" x14ac:dyDescent="0.2">
      <c r="A36" s="2" t="s">
        <v>175</v>
      </c>
      <c r="B36" s="4" t="s">
        <v>84</v>
      </c>
      <c r="C36" s="3" t="s">
        <v>347</v>
      </c>
      <c r="D36" s="3" t="s">
        <v>366</v>
      </c>
      <c r="E36" s="3">
        <v>166</v>
      </c>
      <c r="G36" s="59">
        <f>28399+20324</f>
        <v>48723</v>
      </c>
      <c r="J36" s="3" t="s">
        <v>34</v>
      </c>
    </row>
    <row r="37" spans="1:10" ht="12.75" x14ac:dyDescent="0.2">
      <c r="A37" s="2" t="s">
        <v>175</v>
      </c>
      <c r="B37" s="4" t="s">
        <v>84</v>
      </c>
      <c r="C37" s="3" t="s">
        <v>347</v>
      </c>
      <c r="D37" s="3" t="s">
        <v>274</v>
      </c>
      <c r="E37" s="3">
        <v>0</v>
      </c>
      <c r="G37" s="57"/>
      <c r="J37" s="3" t="s">
        <v>279</v>
      </c>
    </row>
    <row r="38" spans="1:10" ht="12.75" x14ac:dyDescent="0.2">
      <c r="A38" s="2" t="s">
        <v>175</v>
      </c>
      <c r="B38" s="4" t="s">
        <v>84</v>
      </c>
      <c r="C38" s="3" t="s">
        <v>347</v>
      </c>
      <c r="D38" s="3" t="s">
        <v>367</v>
      </c>
      <c r="E38" s="3">
        <v>74</v>
      </c>
      <c r="G38" s="57"/>
      <c r="J38" s="3" t="s">
        <v>280</v>
      </c>
    </row>
    <row r="39" spans="1:10" ht="12.75" x14ac:dyDescent="0.2">
      <c r="A39" s="2" t="s">
        <v>175</v>
      </c>
      <c r="B39" s="4" t="s">
        <v>84</v>
      </c>
      <c r="C39" s="3" t="s">
        <v>347</v>
      </c>
      <c r="D39" s="3" t="s">
        <v>368</v>
      </c>
      <c r="E39" s="3">
        <v>92</v>
      </c>
      <c r="G39" s="57"/>
      <c r="J39" s="3" t="s">
        <v>281</v>
      </c>
    </row>
    <row r="40" spans="1:10" ht="12.75" x14ac:dyDescent="0.2">
      <c r="A40" s="2" t="s">
        <v>175</v>
      </c>
      <c r="B40" s="4" t="s">
        <v>84</v>
      </c>
      <c r="C40" s="3" t="s">
        <v>347</v>
      </c>
      <c r="D40" s="3" t="s">
        <v>283</v>
      </c>
      <c r="E40" s="3">
        <v>13874</v>
      </c>
      <c r="G40" s="57"/>
      <c r="J40" s="3" t="s">
        <v>282</v>
      </c>
    </row>
    <row r="41" spans="1:10" ht="12.75" x14ac:dyDescent="0.2">
      <c r="A41" s="2" t="s">
        <v>175</v>
      </c>
      <c r="B41" s="4" t="s">
        <v>84</v>
      </c>
      <c r="C41" s="3" t="s">
        <v>347</v>
      </c>
      <c r="D41" s="3" t="s">
        <v>315</v>
      </c>
      <c r="E41" s="3">
        <v>1070</v>
      </c>
      <c r="G41" s="57"/>
      <c r="J41" s="3" t="s">
        <v>283</v>
      </c>
    </row>
    <row r="42" spans="1:10" ht="12.75" x14ac:dyDescent="0.2">
      <c r="A42" s="2" t="s">
        <v>175</v>
      </c>
      <c r="B42" s="4" t="s">
        <v>84</v>
      </c>
      <c r="C42" s="3" t="s">
        <v>347</v>
      </c>
      <c r="D42" s="3" t="s">
        <v>316</v>
      </c>
      <c r="E42" s="3">
        <v>1041</v>
      </c>
      <c r="G42" s="57"/>
      <c r="J42" s="3" t="s">
        <v>284</v>
      </c>
    </row>
    <row r="43" spans="1:10" ht="12.75" x14ac:dyDescent="0.2">
      <c r="A43" s="2" t="s">
        <v>175</v>
      </c>
      <c r="B43" s="4" t="s">
        <v>84</v>
      </c>
      <c r="C43" s="3" t="s">
        <v>347</v>
      </c>
      <c r="D43" s="3" t="s">
        <v>369</v>
      </c>
      <c r="E43" s="3">
        <v>147</v>
      </c>
      <c r="G43" s="57"/>
      <c r="J43" s="3" t="s">
        <v>285</v>
      </c>
    </row>
    <row r="44" spans="1:10" ht="12.75" x14ac:dyDescent="0.2">
      <c r="A44" s="2" t="s">
        <v>175</v>
      </c>
      <c r="B44" s="4" t="s">
        <v>84</v>
      </c>
      <c r="C44" s="3" t="s">
        <v>347</v>
      </c>
      <c r="D44" s="3" t="s">
        <v>128</v>
      </c>
      <c r="E44" s="3">
        <v>11955</v>
      </c>
      <c r="G44" s="57"/>
      <c r="J44" s="3" t="s">
        <v>286</v>
      </c>
    </row>
    <row r="45" spans="1:10" ht="12.75" x14ac:dyDescent="0.2">
      <c r="A45" s="2" t="s">
        <v>175</v>
      </c>
      <c r="B45" s="4" t="s">
        <v>84</v>
      </c>
      <c r="C45" s="3" t="s">
        <v>347</v>
      </c>
      <c r="D45" s="3" t="s">
        <v>370</v>
      </c>
      <c r="E45" s="3">
        <v>213</v>
      </c>
      <c r="G45" s="57"/>
      <c r="J45" s="3" t="s">
        <v>149</v>
      </c>
    </row>
    <row r="46" spans="1:10" ht="12.75" x14ac:dyDescent="0.2">
      <c r="A46" s="2" t="s">
        <v>175</v>
      </c>
      <c r="B46" s="4" t="s">
        <v>84</v>
      </c>
      <c r="C46" s="3" t="s">
        <v>347</v>
      </c>
      <c r="D46" s="3" t="s">
        <v>353</v>
      </c>
      <c r="E46" s="3">
        <v>769</v>
      </c>
      <c r="G46" s="57"/>
      <c r="J46" s="3" t="s">
        <v>287</v>
      </c>
    </row>
    <row r="47" spans="1:10" ht="12.75" x14ac:dyDescent="0.2">
      <c r="A47" s="2" t="s">
        <v>175</v>
      </c>
      <c r="B47" s="4" t="s">
        <v>84</v>
      </c>
      <c r="C47" s="3" t="s">
        <v>347</v>
      </c>
      <c r="D47" s="3" t="s">
        <v>371</v>
      </c>
      <c r="E47" s="3">
        <v>6455</v>
      </c>
      <c r="G47" s="57"/>
      <c r="J47" s="3" t="s">
        <v>288</v>
      </c>
    </row>
    <row r="48" spans="1:10" ht="12.75" x14ac:dyDescent="0.2">
      <c r="A48" s="2" t="s">
        <v>175</v>
      </c>
      <c r="B48" s="4" t="s">
        <v>84</v>
      </c>
      <c r="C48" s="3" t="s">
        <v>347</v>
      </c>
      <c r="D48" s="3" t="s">
        <v>14</v>
      </c>
      <c r="E48" s="3">
        <v>2091</v>
      </c>
      <c r="G48" s="57"/>
      <c r="J48" s="3" t="s">
        <v>289</v>
      </c>
    </row>
    <row r="49" spans="1:10" ht="12.75" x14ac:dyDescent="0.2">
      <c r="A49" s="2" t="s">
        <v>175</v>
      </c>
      <c r="B49" s="4" t="s">
        <v>84</v>
      </c>
      <c r="C49" s="3" t="s">
        <v>347</v>
      </c>
      <c r="D49" s="3" t="s">
        <v>138</v>
      </c>
      <c r="E49" s="3">
        <v>520</v>
      </c>
      <c r="F49">
        <f>SUM(E36:E49)</f>
        <v>38467</v>
      </c>
      <c r="G49" s="57"/>
      <c r="J49" s="3" t="s">
        <v>290</v>
      </c>
    </row>
    <row r="50" spans="1:10" ht="12.75" x14ac:dyDescent="0.2">
      <c r="A50" s="2" t="s">
        <v>175</v>
      </c>
      <c r="B50" s="4" t="s">
        <v>84</v>
      </c>
      <c r="C50" s="3" t="s">
        <v>273</v>
      </c>
      <c r="D50" s="3" t="s">
        <v>274</v>
      </c>
      <c r="E50" s="3">
        <v>272</v>
      </c>
      <c r="G50" s="57"/>
      <c r="J50" s="3" t="s">
        <v>291</v>
      </c>
    </row>
    <row r="51" spans="1:10" ht="12.75" x14ac:dyDescent="0.2">
      <c r="A51" s="2" t="s">
        <v>175</v>
      </c>
      <c r="B51" s="4" t="s">
        <v>84</v>
      </c>
      <c r="C51" s="3" t="s">
        <v>273</v>
      </c>
      <c r="D51" s="3" t="s">
        <v>283</v>
      </c>
      <c r="E51" s="3">
        <v>16139</v>
      </c>
      <c r="G51" s="57"/>
      <c r="J51" s="3" t="s">
        <v>292</v>
      </c>
    </row>
    <row r="52" spans="1:10" ht="12.75" x14ac:dyDescent="0.2">
      <c r="A52" s="2" t="s">
        <v>175</v>
      </c>
      <c r="B52" s="4" t="s">
        <v>84</v>
      </c>
      <c r="C52" s="3" t="s">
        <v>273</v>
      </c>
      <c r="D52" s="3" t="s">
        <v>315</v>
      </c>
      <c r="E52" s="3">
        <v>708</v>
      </c>
      <c r="G52" s="57"/>
      <c r="J52" s="3" t="s">
        <v>293</v>
      </c>
    </row>
    <row r="53" spans="1:10" ht="12.75" x14ac:dyDescent="0.2">
      <c r="A53" s="2" t="s">
        <v>175</v>
      </c>
      <c r="B53" s="4" t="s">
        <v>84</v>
      </c>
      <c r="C53" s="3" t="s">
        <v>273</v>
      </c>
      <c r="D53" s="3" t="s">
        <v>128</v>
      </c>
      <c r="E53" s="3">
        <v>12293</v>
      </c>
      <c r="G53" s="57"/>
      <c r="J53" s="3" t="s">
        <v>140</v>
      </c>
    </row>
    <row r="54" spans="1:10" ht="12.75" x14ac:dyDescent="0.2">
      <c r="A54" s="2" t="s">
        <v>175</v>
      </c>
      <c r="B54" s="4" t="s">
        <v>84</v>
      </c>
      <c r="C54" s="3" t="s">
        <v>273</v>
      </c>
      <c r="D54" s="3" t="s">
        <v>353</v>
      </c>
      <c r="E54" s="3">
        <v>430</v>
      </c>
      <c r="G54" s="57"/>
      <c r="J54" s="3" t="s">
        <v>294</v>
      </c>
    </row>
    <row r="55" spans="1:10" ht="12.75" x14ac:dyDescent="0.2">
      <c r="A55" s="2" t="s">
        <v>175</v>
      </c>
      <c r="B55" s="4" t="s">
        <v>84</v>
      </c>
      <c r="C55" s="3" t="s">
        <v>273</v>
      </c>
      <c r="D55" s="3" t="s">
        <v>371</v>
      </c>
      <c r="E55" s="3">
        <v>4322</v>
      </c>
      <c r="G55" s="57"/>
      <c r="J55" s="3" t="s">
        <v>295</v>
      </c>
    </row>
    <row r="56" spans="1:10" ht="12.75" x14ac:dyDescent="0.2">
      <c r="A56" s="2" t="s">
        <v>175</v>
      </c>
      <c r="B56" s="4" t="s">
        <v>84</v>
      </c>
      <c r="C56" s="3" t="s">
        <v>273</v>
      </c>
      <c r="D56" s="3" t="s">
        <v>14</v>
      </c>
      <c r="E56" s="3">
        <v>3860</v>
      </c>
      <c r="G56" s="57"/>
      <c r="J56" s="3" t="s">
        <v>296</v>
      </c>
    </row>
    <row r="57" spans="1:10" ht="12.75" x14ac:dyDescent="0.2">
      <c r="A57" s="2" t="s">
        <v>175</v>
      </c>
      <c r="B57" s="4" t="s">
        <v>84</v>
      </c>
      <c r="C57" s="3" t="s">
        <v>273</v>
      </c>
      <c r="D57" s="3" t="s">
        <v>138</v>
      </c>
      <c r="E57" s="3">
        <v>443</v>
      </c>
      <c r="F57">
        <f>SUM(E50:E57)</f>
        <v>38467</v>
      </c>
      <c r="G57" s="57"/>
      <c r="J57" s="3" t="s">
        <v>297</v>
      </c>
    </row>
    <row r="58" spans="1:10" ht="12.75" x14ac:dyDescent="0.2">
      <c r="A58" s="2" t="s">
        <v>175</v>
      </c>
      <c r="B58" s="4" t="s">
        <v>84</v>
      </c>
      <c r="C58" s="3" t="s">
        <v>125</v>
      </c>
      <c r="D58" s="3" t="s">
        <v>274</v>
      </c>
      <c r="E58" s="3">
        <v>263</v>
      </c>
      <c r="G58" s="57"/>
      <c r="J58" s="3" t="s">
        <v>298</v>
      </c>
    </row>
    <row r="59" spans="1:10" ht="12.75" x14ac:dyDescent="0.2">
      <c r="A59" s="2" t="s">
        <v>175</v>
      </c>
      <c r="B59" s="4" t="s">
        <v>84</v>
      </c>
      <c r="C59" s="3" t="s">
        <v>125</v>
      </c>
      <c r="D59" s="3" t="s">
        <v>283</v>
      </c>
      <c r="E59" s="3">
        <v>16033</v>
      </c>
      <c r="G59" s="57"/>
      <c r="J59" s="3" t="s">
        <v>299</v>
      </c>
    </row>
    <row r="60" spans="1:10" ht="12.75" x14ac:dyDescent="0.2">
      <c r="A60" s="2" t="s">
        <v>175</v>
      </c>
      <c r="B60" s="4" t="s">
        <v>84</v>
      </c>
      <c r="C60" s="3" t="s">
        <v>125</v>
      </c>
      <c r="D60" s="3" t="s">
        <v>315</v>
      </c>
      <c r="E60" s="3">
        <v>760</v>
      </c>
      <c r="G60" s="57"/>
      <c r="J60" s="3" t="s">
        <v>300</v>
      </c>
    </row>
    <row r="61" spans="1:10" ht="12.75" x14ac:dyDescent="0.2">
      <c r="A61" s="2" t="s">
        <v>175</v>
      </c>
      <c r="B61" s="4" t="s">
        <v>84</v>
      </c>
      <c r="C61" s="3" t="s">
        <v>125</v>
      </c>
      <c r="D61" s="3" t="s">
        <v>128</v>
      </c>
      <c r="E61" s="3">
        <v>11899</v>
      </c>
      <c r="G61" s="57"/>
      <c r="J61" s="3" t="s">
        <v>301</v>
      </c>
    </row>
    <row r="62" spans="1:10" ht="12.75" x14ac:dyDescent="0.2">
      <c r="A62" s="2" t="s">
        <v>175</v>
      </c>
      <c r="B62" s="4" t="s">
        <v>84</v>
      </c>
      <c r="C62" s="3" t="s">
        <v>125</v>
      </c>
      <c r="D62" s="3" t="s">
        <v>353</v>
      </c>
      <c r="E62" s="3">
        <v>472</v>
      </c>
      <c r="G62" s="57"/>
      <c r="J62" s="3" t="s">
        <v>302</v>
      </c>
    </row>
    <row r="63" spans="1:10" ht="12.75" x14ac:dyDescent="0.2">
      <c r="A63" s="2" t="s">
        <v>175</v>
      </c>
      <c r="B63" s="4" t="s">
        <v>84</v>
      </c>
      <c r="C63" s="3" t="s">
        <v>125</v>
      </c>
      <c r="D63" s="3" t="s">
        <v>371</v>
      </c>
      <c r="E63" s="3">
        <v>4305</v>
      </c>
      <c r="G63" s="57"/>
      <c r="J63" s="3" t="s">
        <v>303</v>
      </c>
    </row>
    <row r="64" spans="1:10" ht="12.75" x14ac:dyDescent="0.2">
      <c r="A64" s="2" t="s">
        <v>175</v>
      </c>
      <c r="B64" s="4" t="s">
        <v>84</v>
      </c>
      <c r="C64" s="3" t="s">
        <v>125</v>
      </c>
      <c r="D64" s="3" t="s">
        <v>14</v>
      </c>
      <c r="E64" s="3">
        <v>4322</v>
      </c>
      <c r="G64" s="57"/>
      <c r="J64" s="3" t="s">
        <v>304</v>
      </c>
    </row>
    <row r="65" spans="1:10" ht="12.75" x14ac:dyDescent="0.2">
      <c r="A65" s="2" t="s">
        <v>175</v>
      </c>
      <c r="B65" s="4" t="s">
        <v>84</v>
      </c>
      <c r="C65" s="3" t="s">
        <v>125</v>
      </c>
      <c r="D65" s="3" t="s">
        <v>138</v>
      </c>
      <c r="E65" s="3">
        <v>413</v>
      </c>
      <c r="F65">
        <f>SUM(E58:E65)</f>
        <v>38467</v>
      </c>
      <c r="G65" s="57"/>
      <c r="J65" s="3" t="s">
        <v>305</v>
      </c>
    </row>
    <row r="66" spans="1:10" ht="12.75" x14ac:dyDescent="0.2">
      <c r="A66" s="3">
        <v>93</v>
      </c>
      <c r="B66" s="4" t="s">
        <v>113</v>
      </c>
      <c r="C66" s="3" t="s">
        <v>347</v>
      </c>
      <c r="D66" s="3" t="s">
        <v>366</v>
      </c>
      <c r="E66" s="3">
        <v>48</v>
      </c>
      <c r="G66" s="59">
        <v>11322</v>
      </c>
      <c r="J66" s="3" t="s">
        <v>306</v>
      </c>
    </row>
    <row r="67" spans="1:10" ht="12.75" x14ac:dyDescent="0.2">
      <c r="A67" s="3">
        <v>93</v>
      </c>
      <c r="B67" s="4" t="s">
        <v>113</v>
      </c>
      <c r="C67" s="3" t="s">
        <v>347</v>
      </c>
      <c r="D67" s="3" t="s">
        <v>274</v>
      </c>
      <c r="E67" s="3">
        <v>0</v>
      </c>
      <c r="G67" s="57"/>
      <c r="J67" s="3" t="s">
        <v>318</v>
      </c>
    </row>
    <row r="68" spans="1:10" ht="12.75" x14ac:dyDescent="0.2">
      <c r="A68" s="3">
        <v>93</v>
      </c>
      <c r="B68" s="4" t="s">
        <v>113</v>
      </c>
      <c r="C68" s="3" t="s">
        <v>347</v>
      </c>
      <c r="D68" s="3" t="s">
        <v>367</v>
      </c>
      <c r="E68" s="3">
        <v>21</v>
      </c>
      <c r="G68" s="57"/>
      <c r="J68" s="3" t="s">
        <v>308</v>
      </c>
    </row>
    <row r="69" spans="1:10" ht="12.75" x14ac:dyDescent="0.2">
      <c r="A69" s="3">
        <v>93</v>
      </c>
      <c r="B69" s="4" t="s">
        <v>113</v>
      </c>
      <c r="C69" s="3" t="s">
        <v>347</v>
      </c>
      <c r="D69" s="3" t="s">
        <v>368</v>
      </c>
      <c r="E69" s="3">
        <v>29</v>
      </c>
      <c r="G69" s="57"/>
      <c r="J69" s="3" t="s">
        <v>309</v>
      </c>
    </row>
    <row r="70" spans="1:10" ht="12.75" x14ac:dyDescent="0.2">
      <c r="A70" s="3">
        <v>93</v>
      </c>
      <c r="B70" s="4" t="s">
        <v>113</v>
      </c>
      <c r="C70" s="3" t="s">
        <v>347</v>
      </c>
      <c r="D70" s="3" t="s">
        <v>283</v>
      </c>
      <c r="E70" s="3">
        <v>2433</v>
      </c>
      <c r="G70" s="57"/>
      <c r="J70" s="3" t="s">
        <v>310</v>
      </c>
    </row>
    <row r="71" spans="1:10" ht="12.75" x14ac:dyDescent="0.2">
      <c r="A71" s="3">
        <v>93</v>
      </c>
      <c r="B71" s="4" t="s">
        <v>113</v>
      </c>
      <c r="C71" s="3" t="s">
        <v>347</v>
      </c>
      <c r="D71" s="3" t="s">
        <v>315</v>
      </c>
      <c r="E71" s="3">
        <v>119</v>
      </c>
      <c r="G71" s="57"/>
      <c r="J71" s="3" t="s">
        <v>311</v>
      </c>
    </row>
    <row r="72" spans="1:10" ht="12.75" x14ac:dyDescent="0.2">
      <c r="A72" s="3">
        <v>93</v>
      </c>
      <c r="B72" s="4" t="s">
        <v>113</v>
      </c>
      <c r="C72" s="3" t="s">
        <v>347</v>
      </c>
      <c r="D72" s="3" t="s">
        <v>316</v>
      </c>
      <c r="E72" s="3">
        <v>148</v>
      </c>
      <c r="G72" s="57"/>
      <c r="J72" s="3" t="s">
        <v>143</v>
      </c>
    </row>
    <row r="73" spans="1:10" ht="12.75" x14ac:dyDescent="0.2">
      <c r="A73" s="3">
        <v>93</v>
      </c>
      <c r="B73" s="4" t="s">
        <v>113</v>
      </c>
      <c r="C73" s="3" t="s">
        <v>347</v>
      </c>
      <c r="D73" s="3" t="s">
        <v>369</v>
      </c>
      <c r="E73" s="3">
        <v>29</v>
      </c>
      <c r="G73" s="57"/>
      <c r="J73" s="3" t="s">
        <v>312</v>
      </c>
    </row>
    <row r="74" spans="1:10" ht="12.75" x14ac:dyDescent="0.2">
      <c r="A74" s="3">
        <v>93</v>
      </c>
      <c r="B74" s="4" t="s">
        <v>113</v>
      </c>
      <c r="C74" s="3" t="s">
        <v>347</v>
      </c>
      <c r="D74" s="3" t="s">
        <v>128</v>
      </c>
      <c r="E74" s="3">
        <v>3043</v>
      </c>
      <c r="G74" s="57"/>
      <c r="J74" s="3" t="s">
        <v>313</v>
      </c>
    </row>
    <row r="75" spans="1:10" ht="12.75" x14ac:dyDescent="0.2">
      <c r="A75" s="3">
        <v>93</v>
      </c>
      <c r="B75" s="4" t="s">
        <v>113</v>
      </c>
      <c r="C75" s="3" t="s">
        <v>347</v>
      </c>
      <c r="D75" s="3" t="s">
        <v>370</v>
      </c>
      <c r="E75" s="3">
        <v>38</v>
      </c>
      <c r="G75" s="57"/>
      <c r="J75" s="3" t="s">
        <v>132</v>
      </c>
    </row>
    <row r="76" spans="1:10" ht="12.75" x14ac:dyDescent="0.2">
      <c r="A76" s="3">
        <v>93</v>
      </c>
      <c r="B76" s="4" t="s">
        <v>113</v>
      </c>
      <c r="C76" s="3" t="s">
        <v>347</v>
      </c>
      <c r="D76" s="3" t="s">
        <v>353</v>
      </c>
      <c r="E76" s="3">
        <v>128</v>
      </c>
      <c r="G76" s="57"/>
      <c r="J76" s="3" t="s">
        <v>138</v>
      </c>
    </row>
    <row r="77" spans="1:10" ht="12.75" x14ac:dyDescent="0.2">
      <c r="A77" s="3">
        <v>93</v>
      </c>
      <c r="B77" s="4" t="s">
        <v>113</v>
      </c>
      <c r="C77" s="3" t="s">
        <v>347</v>
      </c>
      <c r="D77" s="3" t="s">
        <v>371</v>
      </c>
      <c r="E77" s="3">
        <v>1651</v>
      </c>
      <c r="G77" s="57"/>
      <c r="J77" s="3" t="s">
        <v>314</v>
      </c>
    </row>
    <row r="78" spans="1:10" ht="12.75" x14ac:dyDescent="0.2">
      <c r="A78" s="3">
        <v>93</v>
      </c>
      <c r="B78" s="4" t="s">
        <v>113</v>
      </c>
      <c r="C78" s="3" t="s">
        <v>347</v>
      </c>
      <c r="D78" s="3" t="s">
        <v>14</v>
      </c>
      <c r="E78" s="3">
        <v>391</v>
      </c>
      <c r="G78" s="57"/>
      <c r="J78" s="3" t="s">
        <v>315</v>
      </c>
    </row>
    <row r="79" spans="1:10" ht="12.75" x14ac:dyDescent="0.2">
      <c r="A79" s="3">
        <v>93</v>
      </c>
      <c r="B79" s="4" t="s">
        <v>113</v>
      </c>
      <c r="C79" s="3" t="s">
        <v>347</v>
      </c>
      <c r="D79" s="3" t="s">
        <v>138</v>
      </c>
      <c r="E79" s="3">
        <v>115</v>
      </c>
      <c r="F79">
        <f>SUM(E66:E79)</f>
        <v>8193</v>
      </c>
      <c r="G79" s="57"/>
      <c r="J79" s="3" t="s">
        <v>316</v>
      </c>
    </row>
    <row r="80" spans="1:10" ht="12.75" x14ac:dyDescent="0.2">
      <c r="A80" s="3">
        <v>93</v>
      </c>
      <c r="B80" s="4" t="s">
        <v>113</v>
      </c>
      <c r="C80" s="3" t="s">
        <v>273</v>
      </c>
      <c r="D80" s="3" t="s">
        <v>274</v>
      </c>
      <c r="E80" s="3">
        <v>14</v>
      </c>
      <c r="G80" s="57"/>
      <c r="J80" s="3" t="s">
        <v>128</v>
      </c>
    </row>
    <row r="81" spans="1:10" ht="12.75" x14ac:dyDescent="0.2">
      <c r="A81" s="3">
        <v>93</v>
      </c>
      <c r="B81" s="4" t="s">
        <v>113</v>
      </c>
      <c r="C81" s="3" t="s">
        <v>273</v>
      </c>
      <c r="D81" s="3" t="s">
        <v>283</v>
      </c>
      <c r="E81" s="3">
        <v>2692</v>
      </c>
      <c r="G81" s="57"/>
      <c r="J81" s="3" t="s">
        <v>353</v>
      </c>
    </row>
    <row r="82" spans="1:10" ht="12.75" x14ac:dyDescent="0.2">
      <c r="A82" s="3">
        <v>93</v>
      </c>
      <c r="B82" s="4" t="s">
        <v>113</v>
      </c>
      <c r="C82" s="3" t="s">
        <v>273</v>
      </c>
      <c r="D82" s="3" t="s">
        <v>315</v>
      </c>
      <c r="E82" s="3">
        <v>107</v>
      </c>
      <c r="G82" s="57"/>
    </row>
    <row r="83" spans="1:10" ht="12.75" x14ac:dyDescent="0.2">
      <c r="A83" s="3">
        <v>93</v>
      </c>
      <c r="B83" s="4" t="s">
        <v>113</v>
      </c>
      <c r="C83" s="3" t="s">
        <v>273</v>
      </c>
      <c r="D83" s="3" t="s">
        <v>128</v>
      </c>
      <c r="E83" s="3">
        <v>3167</v>
      </c>
      <c r="G83" s="57"/>
    </row>
    <row r="84" spans="1:10" ht="12.75" x14ac:dyDescent="0.2">
      <c r="A84" s="3">
        <v>93</v>
      </c>
      <c r="B84" s="4" t="s">
        <v>113</v>
      </c>
      <c r="C84" s="3" t="s">
        <v>273</v>
      </c>
      <c r="D84" s="3" t="s">
        <v>353</v>
      </c>
      <c r="E84" s="3">
        <v>71</v>
      </c>
      <c r="G84" s="57"/>
    </row>
    <row r="85" spans="1:10" ht="12.75" x14ac:dyDescent="0.2">
      <c r="A85" s="3">
        <v>93</v>
      </c>
      <c r="B85" s="4" t="s">
        <v>113</v>
      </c>
      <c r="C85" s="3" t="s">
        <v>273</v>
      </c>
      <c r="D85" s="3" t="s">
        <v>371</v>
      </c>
      <c r="E85" s="3">
        <v>1253</v>
      </c>
      <c r="G85" s="57"/>
    </row>
    <row r="86" spans="1:10" ht="12.75" x14ac:dyDescent="0.2">
      <c r="A86" s="3">
        <v>93</v>
      </c>
      <c r="B86" s="4" t="s">
        <v>113</v>
      </c>
      <c r="C86" s="3" t="s">
        <v>273</v>
      </c>
      <c r="D86" s="3" t="s">
        <v>14</v>
      </c>
      <c r="E86" s="3">
        <v>797</v>
      </c>
      <c r="G86" s="57"/>
    </row>
    <row r="87" spans="1:10" ht="12.75" x14ac:dyDescent="0.2">
      <c r="A87" s="3">
        <v>93</v>
      </c>
      <c r="B87" s="4" t="s">
        <v>113</v>
      </c>
      <c r="C87" s="3" t="s">
        <v>273</v>
      </c>
      <c r="D87" s="3" t="s">
        <v>138</v>
      </c>
      <c r="E87" s="3">
        <v>92</v>
      </c>
      <c r="F87">
        <f>SUM(E80:E87)</f>
        <v>8193</v>
      </c>
      <c r="G87" s="57"/>
    </row>
    <row r="88" spans="1:10" ht="12.75" x14ac:dyDescent="0.2">
      <c r="A88" s="3">
        <v>93</v>
      </c>
      <c r="B88" s="4" t="s">
        <v>113</v>
      </c>
      <c r="C88" s="3" t="s">
        <v>125</v>
      </c>
      <c r="D88" s="3" t="s">
        <v>274</v>
      </c>
      <c r="E88" s="3">
        <v>48</v>
      </c>
      <c r="G88" s="57"/>
    </row>
    <row r="89" spans="1:10" ht="12.75" x14ac:dyDescent="0.2">
      <c r="A89" s="3">
        <v>93</v>
      </c>
      <c r="B89" s="4" t="s">
        <v>113</v>
      </c>
      <c r="C89" s="3" t="s">
        <v>125</v>
      </c>
      <c r="D89" s="3" t="s">
        <v>283</v>
      </c>
      <c r="E89" s="3">
        <v>2649</v>
      </c>
      <c r="G89" s="57"/>
    </row>
    <row r="90" spans="1:10" ht="12.75" x14ac:dyDescent="0.2">
      <c r="A90" s="3">
        <v>93</v>
      </c>
      <c r="B90" s="4" t="s">
        <v>113</v>
      </c>
      <c r="C90" s="3" t="s">
        <v>125</v>
      </c>
      <c r="D90" s="3" t="s">
        <v>315</v>
      </c>
      <c r="E90" s="3">
        <v>124</v>
      </c>
      <c r="G90" s="57"/>
    </row>
    <row r="91" spans="1:10" ht="12.75" x14ac:dyDescent="0.2">
      <c r="A91" s="3">
        <v>93</v>
      </c>
      <c r="B91" s="4" t="s">
        <v>113</v>
      </c>
      <c r="C91" s="3" t="s">
        <v>125</v>
      </c>
      <c r="D91" s="3" t="s">
        <v>128</v>
      </c>
      <c r="E91" s="3">
        <v>3037</v>
      </c>
      <c r="G91" s="57"/>
    </row>
    <row r="92" spans="1:10" ht="12.75" x14ac:dyDescent="0.2">
      <c r="A92" s="3">
        <v>93</v>
      </c>
      <c r="B92" s="4" t="s">
        <v>113</v>
      </c>
      <c r="C92" s="3" t="s">
        <v>125</v>
      </c>
      <c r="D92" s="3" t="s">
        <v>353</v>
      </c>
      <c r="E92" s="3">
        <v>116</v>
      </c>
      <c r="G92" s="57"/>
    </row>
    <row r="93" spans="1:10" ht="12.75" x14ac:dyDescent="0.2">
      <c r="A93" s="3">
        <v>93</v>
      </c>
      <c r="B93" s="4" t="s">
        <v>113</v>
      </c>
      <c r="C93" s="3" t="s">
        <v>125</v>
      </c>
      <c r="D93" s="3" t="s">
        <v>371</v>
      </c>
      <c r="E93" s="3">
        <v>1218</v>
      </c>
      <c r="G93" s="57"/>
      <c r="J93" s="3"/>
    </row>
    <row r="94" spans="1:10" ht="12.75" x14ac:dyDescent="0.2">
      <c r="A94" s="3">
        <v>93</v>
      </c>
      <c r="B94" s="4" t="s">
        <v>113</v>
      </c>
      <c r="C94" s="3" t="s">
        <v>125</v>
      </c>
      <c r="D94" s="3" t="s">
        <v>14</v>
      </c>
      <c r="E94" s="3">
        <v>913</v>
      </c>
      <c r="G94" s="57"/>
      <c r="J94" s="3"/>
    </row>
    <row r="95" spans="1:10" ht="12.75" x14ac:dyDescent="0.2">
      <c r="A95" s="3">
        <v>93</v>
      </c>
      <c r="B95" s="4" t="s">
        <v>113</v>
      </c>
      <c r="C95" s="3" t="s">
        <v>125</v>
      </c>
      <c r="D95" s="3" t="s">
        <v>138</v>
      </c>
      <c r="E95" s="3">
        <v>88</v>
      </c>
      <c r="F95">
        <f>SUM(E88:E95)</f>
        <v>8193</v>
      </c>
      <c r="G95" s="57"/>
      <c r="J95" s="3"/>
    </row>
    <row r="96" spans="1:10" ht="12.75" x14ac:dyDescent="0.2">
      <c r="A96" s="3">
        <v>86</v>
      </c>
      <c r="B96" s="4" t="s">
        <v>106</v>
      </c>
      <c r="C96" s="3" t="s">
        <v>347</v>
      </c>
      <c r="D96" s="3" t="s">
        <v>366</v>
      </c>
      <c r="E96" s="3">
        <v>48</v>
      </c>
      <c r="G96" s="59">
        <v>10863</v>
      </c>
      <c r="J96" s="3"/>
    </row>
    <row r="97" spans="1:9" ht="12.75" x14ac:dyDescent="0.2">
      <c r="A97" s="3">
        <v>86</v>
      </c>
      <c r="B97" s="4" t="s">
        <v>106</v>
      </c>
      <c r="C97" s="3" t="s">
        <v>347</v>
      </c>
      <c r="D97" s="3" t="s">
        <v>274</v>
      </c>
      <c r="E97" s="3">
        <v>0</v>
      </c>
      <c r="G97" s="57"/>
    </row>
    <row r="98" spans="1:9" ht="12.75" x14ac:dyDescent="0.2">
      <c r="A98" s="3">
        <v>86</v>
      </c>
      <c r="B98" s="4" t="s">
        <v>106</v>
      </c>
      <c r="C98" s="3" t="s">
        <v>347</v>
      </c>
      <c r="D98" s="3" t="s">
        <v>367</v>
      </c>
      <c r="E98" s="3">
        <v>17</v>
      </c>
      <c r="G98" s="57"/>
    </row>
    <row r="99" spans="1:9" ht="12.75" x14ac:dyDescent="0.2">
      <c r="A99" s="3">
        <v>86</v>
      </c>
      <c r="B99" s="4" t="s">
        <v>106</v>
      </c>
      <c r="C99" s="3" t="s">
        <v>347</v>
      </c>
      <c r="D99" s="3" t="s">
        <v>368</v>
      </c>
      <c r="E99" s="3">
        <v>86</v>
      </c>
      <c r="G99" s="57"/>
    </row>
    <row r="100" spans="1:9" ht="12.75" x14ac:dyDescent="0.2">
      <c r="A100" s="3">
        <v>86</v>
      </c>
      <c r="B100" s="4" t="s">
        <v>106</v>
      </c>
      <c r="C100" s="3" t="s">
        <v>347</v>
      </c>
      <c r="D100" s="3" t="s">
        <v>283</v>
      </c>
      <c r="E100" s="3">
        <v>3440</v>
      </c>
      <c r="G100" s="57"/>
    </row>
    <row r="101" spans="1:9" ht="12.75" x14ac:dyDescent="0.2">
      <c r="A101" s="3">
        <v>86</v>
      </c>
      <c r="B101" s="4" t="s">
        <v>106</v>
      </c>
      <c r="C101" s="3" t="s">
        <v>347</v>
      </c>
      <c r="D101" s="3" t="s">
        <v>315</v>
      </c>
      <c r="E101" s="3">
        <v>240</v>
      </c>
      <c r="G101" s="57"/>
    </row>
    <row r="102" spans="1:9" ht="12.75" x14ac:dyDescent="0.2">
      <c r="A102" s="3">
        <v>86</v>
      </c>
      <c r="B102" s="4" t="s">
        <v>106</v>
      </c>
      <c r="C102" s="3" t="s">
        <v>347</v>
      </c>
      <c r="D102" s="3" t="s">
        <v>316</v>
      </c>
      <c r="E102" s="3">
        <v>127</v>
      </c>
      <c r="G102" s="57"/>
    </row>
    <row r="103" spans="1:9" ht="12.75" x14ac:dyDescent="0.2">
      <c r="A103" s="3">
        <v>86</v>
      </c>
      <c r="B103" s="4" t="s">
        <v>106</v>
      </c>
      <c r="C103" s="3" t="s">
        <v>347</v>
      </c>
      <c r="D103" s="3" t="s">
        <v>369</v>
      </c>
      <c r="E103" s="3">
        <v>26</v>
      </c>
      <c r="G103" s="57"/>
    </row>
    <row r="104" spans="1:9" ht="12.75" x14ac:dyDescent="0.2">
      <c r="A104" s="3">
        <v>86</v>
      </c>
      <c r="B104" s="4" t="s">
        <v>106</v>
      </c>
      <c r="C104" s="3" t="s">
        <v>347</v>
      </c>
      <c r="D104" s="3" t="s">
        <v>128</v>
      </c>
      <c r="E104" s="3">
        <v>2402</v>
      </c>
      <c r="G104" s="57"/>
    </row>
    <row r="105" spans="1:9" ht="12.75" x14ac:dyDescent="0.2">
      <c r="A105" s="3">
        <v>86</v>
      </c>
      <c r="B105" s="4" t="s">
        <v>106</v>
      </c>
      <c r="C105" s="3" t="s">
        <v>347</v>
      </c>
      <c r="D105" s="3" t="s">
        <v>370</v>
      </c>
      <c r="E105" s="3">
        <v>27</v>
      </c>
      <c r="G105" s="57"/>
      <c r="I105" s="3"/>
    </row>
    <row r="106" spans="1:9" ht="12.75" x14ac:dyDescent="0.2">
      <c r="A106" s="3">
        <v>86</v>
      </c>
      <c r="B106" s="4" t="s">
        <v>106</v>
      </c>
      <c r="C106" s="3" t="s">
        <v>347</v>
      </c>
      <c r="D106" s="3" t="s">
        <v>353</v>
      </c>
      <c r="E106" s="3">
        <v>174</v>
      </c>
      <c r="G106" s="57"/>
    </row>
    <row r="107" spans="1:9" ht="12.75" x14ac:dyDescent="0.2">
      <c r="A107" s="3">
        <v>86</v>
      </c>
      <c r="B107" s="4" t="s">
        <v>106</v>
      </c>
      <c r="C107" s="3" t="s">
        <v>347</v>
      </c>
      <c r="D107" s="3" t="s">
        <v>371</v>
      </c>
      <c r="E107" s="3">
        <v>1312</v>
      </c>
      <c r="G107" s="57"/>
    </row>
    <row r="108" spans="1:9" ht="12.75" x14ac:dyDescent="0.2">
      <c r="A108" s="3">
        <v>86</v>
      </c>
      <c r="B108" s="4" t="s">
        <v>106</v>
      </c>
      <c r="C108" s="3" t="s">
        <v>347</v>
      </c>
      <c r="D108" s="3" t="s">
        <v>14</v>
      </c>
      <c r="E108" s="3">
        <v>372</v>
      </c>
      <c r="G108" s="57"/>
    </row>
    <row r="109" spans="1:9" ht="12.75" x14ac:dyDescent="0.2">
      <c r="A109" s="3">
        <v>86</v>
      </c>
      <c r="B109" s="4" t="s">
        <v>106</v>
      </c>
      <c r="C109" s="3" t="s">
        <v>347</v>
      </c>
      <c r="D109" s="3" t="s">
        <v>138</v>
      </c>
      <c r="E109" s="3">
        <v>106</v>
      </c>
      <c r="F109">
        <f>SUM(E96:E109)</f>
        <v>8377</v>
      </c>
      <c r="G109" s="57"/>
    </row>
    <row r="110" spans="1:9" ht="12.75" x14ac:dyDescent="0.2">
      <c r="A110" s="3">
        <v>86</v>
      </c>
      <c r="B110" s="4" t="s">
        <v>106</v>
      </c>
      <c r="C110" s="3" t="s">
        <v>273</v>
      </c>
      <c r="D110" s="3" t="s">
        <v>274</v>
      </c>
      <c r="E110" s="3">
        <v>42</v>
      </c>
      <c r="G110" s="57"/>
    </row>
    <row r="111" spans="1:9" ht="12.75" x14ac:dyDescent="0.2">
      <c r="A111" s="3">
        <v>86</v>
      </c>
      <c r="B111" s="4" t="s">
        <v>106</v>
      </c>
      <c r="C111" s="3" t="s">
        <v>273</v>
      </c>
      <c r="D111" s="3" t="s">
        <v>283</v>
      </c>
      <c r="E111" s="3">
        <v>3696</v>
      </c>
      <c r="G111" s="57"/>
    </row>
    <row r="112" spans="1:9" ht="12.75" x14ac:dyDescent="0.2">
      <c r="A112" s="3">
        <v>86</v>
      </c>
      <c r="B112" s="4" t="s">
        <v>106</v>
      </c>
      <c r="C112" s="3" t="s">
        <v>273</v>
      </c>
      <c r="D112" s="3" t="s">
        <v>315</v>
      </c>
      <c r="E112" s="3">
        <v>205</v>
      </c>
      <c r="G112" s="57"/>
    </row>
    <row r="113" spans="1:7" ht="12.75" x14ac:dyDescent="0.2">
      <c r="A113" s="3">
        <v>86</v>
      </c>
      <c r="B113" s="4" t="s">
        <v>106</v>
      </c>
      <c r="C113" s="3" t="s">
        <v>273</v>
      </c>
      <c r="D113" s="3" t="s">
        <v>128</v>
      </c>
      <c r="E113" s="3">
        <v>2560</v>
      </c>
      <c r="G113" s="57"/>
    </row>
    <row r="114" spans="1:7" ht="12.75" x14ac:dyDescent="0.2">
      <c r="A114" s="3">
        <v>86</v>
      </c>
      <c r="B114" s="4" t="s">
        <v>106</v>
      </c>
      <c r="C114" s="3" t="s">
        <v>273</v>
      </c>
      <c r="D114" s="3" t="s">
        <v>353</v>
      </c>
      <c r="E114" s="3">
        <v>123</v>
      </c>
      <c r="G114" s="57"/>
    </row>
    <row r="115" spans="1:7" ht="12.75" x14ac:dyDescent="0.2">
      <c r="A115" s="3">
        <v>86</v>
      </c>
      <c r="B115" s="4" t="s">
        <v>106</v>
      </c>
      <c r="C115" s="3" t="s">
        <v>273</v>
      </c>
      <c r="D115" s="3" t="s">
        <v>371</v>
      </c>
      <c r="E115" s="3">
        <v>935</v>
      </c>
      <c r="G115" s="57"/>
    </row>
    <row r="116" spans="1:7" ht="12.75" x14ac:dyDescent="0.2">
      <c r="A116" s="3">
        <v>86</v>
      </c>
      <c r="B116" s="4" t="s">
        <v>106</v>
      </c>
      <c r="C116" s="3" t="s">
        <v>273</v>
      </c>
      <c r="D116" s="3" t="s">
        <v>14</v>
      </c>
      <c r="E116" s="3">
        <v>734</v>
      </c>
      <c r="G116" s="57"/>
    </row>
    <row r="117" spans="1:7" ht="12.75" x14ac:dyDescent="0.2">
      <c r="A117" s="3">
        <v>86</v>
      </c>
      <c r="B117" s="4" t="s">
        <v>106</v>
      </c>
      <c r="C117" s="3" t="s">
        <v>273</v>
      </c>
      <c r="D117" s="3" t="s">
        <v>138</v>
      </c>
      <c r="E117" s="3">
        <v>82</v>
      </c>
      <c r="F117">
        <f>SUM(E110:E117)</f>
        <v>8377</v>
      </c>
      <c r="G117" s="57"/>
    </row>
    <row r="118" spans="1:7" ht="12.75" x14ac:dyDescent="0.2">
      <c r="A118" s="3">
        <v>86</v>
      </c>
      <c r="B118" s="4" t="s">
        <v>106</v>
      </c>
      <c r="C118" s="3" t="s">
        <v>125</v>
      </c>
      <c r="D118" s="3" t="s">
        <v>274</v>
      </c>
      <c r="E118" s="3">
        <v>44</v>
      </c>
      <c r="G118" s="57"/>
    </row>
    <row r="119" spans="1:7" ht="12.75" x14ac:dyDescent="0.2">
      <c r="A119" s="3">
        <v>86</v>
      </c>
      <c r="B119" s="4" t="s">
        <v>106</v>
      </c>
      <c r="C119" s="3" t="s">
        <v>125</v>
      </c>
      <c r="D119" s="3" t="s">
        <v>283</v>
      </c>
      <c r="E119" s="3">
        <v>3683</v>
      </c>
      <c r="G119" s="57"/>
    </row>
    <row r="120" spans="1:7" ht="12.75" x14ac:dyDescent="0.2">
      <c r="A120" s="3">
        <v>86</v>
      </c>
      <c r="B120" s="4" t="s">
        <v>106</v>
      </c>
      <c r="C120" s="3" t="s">
        <v>125</v>
      </c>
      <c r="D120" s="3" t="s">
        <v>315</v>
      </c>
      <c r="E120" s="3">
        <v>193</v>
      </c>
      <c r="G120" s="57"/>
    </row>
    <row r="121" spans="1:7" ht="12.75" x14ac:dyDescent="0.2">
      <c r="A121" s="3">
        <v>86</v>
      </c>
      <c r="B121" s="4" t="s">
        <v>106</v>
      </c>
      <c r="C121" s="3" t="s">
        <v>125</v>
      </c>
      <c r="D121" s="3" t="s">
        <v>128</v>
      </c>
      <c r="E121" s="3">
        <v>2499</v>
      </c>
      <c r="G121" s="57"/>
    </row>
    <row r="122" spans="1:7" ht="12.75" x14ac:dyDescent="0.2">
      <c r="A122" s="3">
        <v>86</v>
      </c>
      <c r="B122" s="4" t="s">
        <v>106</v>
      </c>
      <c r="C122" s="3" t="s">
        <v>125</v>
      </c>
      <c r="D122" s="3" t="s">
        <v>353</v>
      </c>
      <c r="E122" s="3">
        <v>113</v>
      </c>
      <c r="G122" s="57"/>
    </row>
    <row r="123" spans="1:7" ht="12.75" x14ac:dyDescent="0.2">
      <c r="A123" s="3">
        <v>86</v>
      </c>
      <c r="B123" s="4" t="s">
        <v>106</v>
      </c>
      <c r="C123" s="3" t="s">
        <v>125</v>
      </c>
      <c r="D123" s="3" t="s">
        <v>371</v>
      </c>
      <c r="E123" s="3">
        <v>900</v>
      </c>
      <c r="G123" s="57"/>
    </row>
    <row r="124" spans="1:7" ht="12.75" x14ac:dyDescent="0.2">
      <c r="A124" s="3">
        <v>86</v>
      </c>
      <c r="B124" s="4" t="s">
        <v>106</v>
      </c>
      <c r="C124" s="3" t="s">
        <v>125</v>
      </c>
      <c r="D124" s="3" t="s">
        <v>14</v>
      </c>
      <c r="E124" s="3">
        <v>863</v>
      </c>
      <c r="G124" s="57"/>
    </row>
    <row r="125" spans="1:7" ht="12.75" x14ac:dyDescent="0.2">
      <c r="A125" s="3">
        <v>86</v>
      </c>
      <c r="B125" s="4" t="s">
        <v>106</v>
      </c>
      <c r="C125" s="3" t="s">
        <v>125</v>
      </c>
      <c r="D125" s="3" t="s">
        <v>138</v>
      </c>
      <c r="E125" s="3">
        <v>82</v>
      </c>
      <c r="F125">
        <f>SUM(E118:E125)</f>
        <v>8377</v>
      </c>
      <c r="G125" s="57"/>
    </row>
    <row r="126" spans="1:7" ht="12.75" x14ac:dyDescent="0.2">
      <c r="A126" s="3">
        <v>27</v>
      </c>
      <c r="B126" s="4" t="s">
        <v>57</v>
      </c>
      <c r="C126" s="3" t="s">
        <v>347</v>
      </c>
      <c r="D126" s="3" t="s">
        <v>366</v>
      </c>
      <c r="E126" s="3">
        <v>31</v>
      </c>
      <c r="G126" s="59">
        <v>8637</v>
      </c>
    </row>
    <row r="127" spans="1:7" ht="12.75" x14ac:dyDescent="0.2">
      <c r="A127" s="3">
        <v>27</v>
      </c>
      <c r="B127" s="4" t="s">
        <v>57</v>
      </c>
      <c r="C127" s="3" t="s">
        <v>347</v>
      </c>
      <c r="D127" s="3" t="s">
        <v>274</v>
      </c>
      <c r="E127" s="3">
        <v>0</v>
      </c>
      <c r="G127" s="57"/>
    </row>
    <row r="128" spans="1:7" ht="12.75" x14ac:dyDescent="0.2">
      <c r="A128" s="3">
        <v>27</v>
      </c>
      <c r="B128" s="4" t="s">
        <v>57</v>
      </c>
      <c r="C128" s="3" t="s">
        <v>347</v>
      </c>
      <c r="D128" s="3" t="s">
        <v>367</v>
      </c>
      <c r="E128" s="3">
        <v>15</v>
      </c>
      <c r="G128" s="57"/>
    </row>
    <row r="129" spans="1:7" ht="12.75" x14ac:dyDescent="0.2">
      <c r="A129" s="3">
        <v>27</v>
      </c>
      <c r="B129" s="4" t="s">
        <v>57</v>
      </c>
      <c r="C129" s="3" t="s">
        <v>347</v>
      </c>
      <c r="D129" s="3" t="s">
        <v>368</v>
      </c>
      <c r="E129" s="3">
        <v>16</v>
      </c>
      <c r="G129" s="57"/>
    </row>
    <row r="130" spans="1:7" ht="12.75" x14ac:dyDescent="0.2">
      <c r="A130" s="3">
        <v>27</v>
      </c>
      <c r="B130" s="4" t="s">
        <v>57</v>
      </c>
      <c r="C130" s="3" t="s">
        <v>347</v>
      </c>
      <c r="D130" s="3" t="s">
        <v>283</v>
      </c>
      <c r="E130" s="3">
        <v>3130</v>
      </c>
      <c r="G130" s="57"/>
    </row>
    <row r="131" spans="1:7" ht="12.75" x14ac:dyDescent="0.2">
      <c r="A131" s="3">
        <v>27</v>
      </c>
      <c r="B131" s="4" t="s">
        <v>57</v>
      </c>
      <c r="C131" s="3" t="s">
        <v>347</v>
      </c>
      <c r="D131" s="3" t="s">
        <v>315</v>
      </c>
      <c r="E131" s="3">
        <v>105</v>
      </c>
      <c r="G131" s="57"/>
    </row>
    <row r="132" spans="1:7" ht="12.75" x14ac:dyDescent="0.2">
      <c r="A132" s="3">
        <v>27</v>
      </c>
      <c r="B132" s="4" t="s">
        <v>57</v>
      </c>
      <c r="C132" s="3" t="s">
        <v>347</v>
      </c>
      <c r="D132" s="3" t="s">
        <v>316</v>
      </c>
      <c r="E132" s="3">
        <v>139</v>
      </c>
      <c r="G132" s="57"/>
    </row>
    <row r="133" spans="1:7" ht="12.75" x14ac:dyDescent="0.2">
      <c r="A133" s="3">
        <v>27</v>
      </c>
      <c r="B133" s="4" t="s">
        <v>57</v>
      </c>
      <c r="C133" s="3" t="s">
        <v>347</v>
      </c>
      <c r="D133" s="3" t="s">
        <v>369</v>
      </c>
      <c r="E133" s="3">
        <v>31</v>
      </c>
      <c r="G133" s="57"/>
    </row>
    <row r="134" spans="1:7" ht="12.75" x14ac:dyDescent="0.2">
      <c r="A134" s="3">
        <v>27</v>
      </c>
      <c r="B134" s="4" t="s">
        <v>57</v>
      </c>
      <c r="C134" s="3" t="s">
        <v>347</v>
      </c>
      <c r="D134" s="3" t="s">
        <v>128</v>
      </c>
      <c r="E134" s="3">
        <v>2219</v>
      </c>
      <c r="G134" s="57"/>
    </row>
    <row r="135" spans="1:7" ht="12.75" x14ac:dyDescent="0.2">
      <c r="A135" s="3">
        <v>27</v>
      </c>
      <c r="B135" s="4" t="s">
        <v>57</v>
      </c>
      <c r="C135" s="3" t="s">
        <v>347</v>
      </c>
      <c r="D135" s="3" t="s">
        <v>370</v>
      </c>
      <c r="E135" s="3">
        <v>17</v>
      </c>
      <c r="G135" s="57"/>
    </row>
    <row r="136" spans="1:7" ht="12.75" x14ac:dyDescent="0.2">
      <c r="A136" s="3">
        <v>27</v>
      </c>
      <c r="B136" s="4" t="s">
        <v>57</v>
      </c>
      <c r="C136" s="3" t="s">
        <v>347</v>
      </c>
      <c r="D136" s="3" t="s">
        <v>353</v>
      </c>
      <c r="E136" s="3">
        <v>72</v>
      </c>
      <c r="G136" s="57"/>
    </row>
    <row r="137" spans="1:7" ht="12.75" x14ac:dyDescent="0.2">
      <c r="A137" s="3">
        <v>27</v>
      </c>
      <c r="B137" s="4" t="s">
        <v>57</v>
      </c>
      <c r="C137" s="3" t="s">
        <v>347</v>
      </c>
      <c r="D137" s="3" t="s">
        <v>371</v>
      </c>
      <c r="E137" s="3">
        <v>779</v>
      </c>
      <c r="G137" s="57"/>
    </row>
    <row r="138" spans="1:7" ht="12.75" x14ac:dyDescent="0.2">
      <c r="A138" s="3">
        <v>27</v>
      </c>
      <c r="B138" s="4" t="s">
        <v>57</v>
      </c>
      <c r="C138" s="3" t="s">
        <v>347</v>
      </c>
      <c r="D138" s="3" t="s">
        <v>14</v>
      </c>
      <c r="E138" s="3">
        <v>187</v>
      </c>
      <c r="G138" s="57"/>
    </row>
    <row r="139" spans="1:7" ht="12.75" x14ac:dyDescent="0.2">
      <c r="A139" s="3">
        <v>27</v>
      </c>
      <c r="B139" s="4" t="s">
        <v>57</v>
      </c>
      <c r="C139" s="3" t="s">
        <v>347</v>
      </c>
      <c r="D139" s="3" t="s">
        <v>138</v>
      </c>
      <c r="E139" s="3">
        <v>67</v>
      </c>
      <c r="F139">
        <f>SUM(E126:E139)</f>
        <v>6808</v>
      </c>
      <c r="G139" s="57"/>
    </row>
    <row r="140" spans="1:7" ht="12.75" x14ac:dyDescent="0.2">
      <c r="A140" s="3">
        <v>27</v>
      </c>
      <c r="B140" s="4" t="s">
        <v>57</v>
      </c>
      <c r="C140" s="3" t="s">
        <v>273</v>
      </c>
      <c r="D140" s="3" t="s">
        <v>274</v>
      </c>
      <c r="E140" s="3">
        <v>19</v>
      </c>
      <c r="G140" s="57"/>
    </row>
    <row r="141" spans="1:7" ht="12.75" x14ac:dyDescent="0.2">
      <c r="A141" s="3">
        <v>27</v>
      </c>
      <c r="B141" s="4" t="s">
        <v>57</v>
      </c>
      <c r="C141" s="3" t="s">
        <v>273</v>
      </c>
      <c r="D141" s="3" t="s">
        <v>283</v>
      </c>
      <c r="E141" s="3">
        <v>3298</v>
      </c>
      <c r="G141" s="57"/>
    </row>
    <row r="142" spans="1:7" ht="12.75" x14ac:dyDescent="0.2">
      <c r="A142" s="3">
        <v>27</v>
      </c>
      <c r="B142" s="4" t="s">
        <v>57</v>
      </c>
      <c r="C142" s="3" t="s">
        <v>273</v>
      </c>
      <c r="D142" s="3" t="s">
        <v>315</v>
      </c>
      <c r="E142" s="3">
        <v>75</v>
      </c>
      <c r="G142" s="57"/>
    </row>
    <row r="143" spans="1:7" ht="12.75" x14ac:dyDescent="0.2">
      <c r="A143" s="3">
        <v>27</v>
      </c>
      <c r="B143" s="4" t="s">
        <v>57</v>
      </c>
      <c r="C143" s="3" t="s">
        <v>273</v>
      </c>
      <c r="D143" s="3" t="s">
        <v>128</v>
      </c>
      <c r="E143" s="3">
        <v>2219</v>
      </c>
      <c r="G143" s="57"/>
    </row>
    <row r="144" spans="1:7" ht="12.75" x14ac:dyDescent="0.2">
      <c r="A144" s="3">
        <v>27</v>
      </c>
      <c r="B144" s="4" t="s">
        <v>57</v>
      </c>
      <c r="C144" s="3" t="s">
        <v>273</v>
      </c>
      <c r="D144" s="3" t="s">
        <v>353</v>
      </c>
      <c r="E144" s="3">
        <v>46</v>
      </c>
      <c r="G144" s="57"/>
    </row>
    <row r="145" spans="1:7" ht="12.75" x14ac:dyDescent="0.2">
      <c r="A145" s="3">
        <v>27</v>
      </c>
      <c r="B145" s="4" t="s">
        <v>57</v>
      </c>
      <c r="C145" s="3" t="s">
        <v>273</v>
      </c>
      <c r="D145" s="3" t="s">
        <v>371</v>
      </c>
      <c r="E145" s="3">
        <v>525</v>
      </c>
      <c r="G145" s="57"/>
    </row>
    <row r="146" spans="1:7" ht="12.75" x14ac:dyDescent="0.2">
      <c r="A146" s="3">
        <v>27</v>
      </c>
      <c r="B146" s="4" t="s">
        <v>57</v>
      </c>
      <c r="C146" s="3" t="s">
        <v>273</v>
      </c>
      <c r="D146" s="3" t="s">
        <v>14</v>
      </c>
      <c r="E146" s="3">
        <v>558</v>
      </c>
      <c r="G146" s="57"/>
    </row>
    <row r="147" spans="1:7" ht="12.75" x14ac:dyDescent="0.2">
      <c r="A147" s="3">
        <v>27</v>
      </c>
      <c r="B147" s="4" t="s">
        <v>57</v>
      </c>
      <c r="C147" s="3" t="s">
        <v>273</v>
      </c>
      <c r="D147" s="3" t="s">
        <v>138</v>
      </c>
      <c r="E147" s="3">
        <v>68</v>
      </c>
      <c r="F147">
        <f>SUM(E140:E147)</f>
        <v>6808</v>
      </c>
      <c r="G147" s="57"/>
    </row>
    <row r="148" spans="1:7" ht="12.75" x14ac:dyDescent="0.2">
      <c r="A148" s="3">
        <v>27</v>
      </c>
      <c r="B148" s="4" t="s">
        <v>57</v>
      </c>
      <c r="C148" s="3" t="s">
        <v>125</v>
      </c>
      <c r="D148" s="3" t="s">
        <v>274</v>
      </c>
      <c r="E148" s="3">
        <v>13</v>
      </c>
      <c r="G148" s="57"/>
    </row>
    <row r="149" spans="1:7" ht="12.75" x14ac:dyDescent="0.2">
      <c r="A149" s="3">
        <v>27</v>
      </c>
      <c r="B149" s="4" t="s">
        <v>57</v>
      </c>
      <c r="C149" s="3" t="s">
        <v>125</v>
      </c>
      <c r="D149" s="3" t="s">
        <v>283</v>
      </c>
      <c r="E149" s="3">
        <v>3306</v>
      </c>
      <c r="G149" s="57"/>
    </row>
    <row r="150" spans="1:7" ht="12.75" x14ac:dyDescent="0.2">
      <c r="A150" s="3">
        <v>27</v>
      </c>
      <c r="B150" s="4" t="s">
        <v>57</v>
      </c>
      <c r="C150" s="3" t="s">
        <v>125</v>
      </c>
      <c r="D150" s="3" t="s">
        <v>315</v>
      </c>
      <c r="E150" s="3">
        <v>75</v>
      </c>
      <c r="G150" s="57"/>
    </row>
    <row r="151" spans="1:7" ht="12.75" x14ac:dyDescent="0.2">
      <c r="A151" s="3">
        <v>27</v>
      </c>
      <c r="B151" s="4" t="s">
        <v>57</v>
      </c>
      <c r="C151" s="3" t="s">
        <v>125</v>
      </c>
      <c r="D151" s="3" t="s">
        <v>128</v>
      </c>
      <c r="E151" s="3">
        <v>2181</v>
      </c>
      <c r="G151" s="57"/>
    </row>
    <row r="152" spans="1:7" ht="12.75" x14ac:dyDescent="0.2">
      <c r="A152" s="3">
        <v>27</v>
      </c>
      <c r="B152" s="4" t="s">
        <v>57</v>
      </c>
      <c r="C152" s="3" t="s">
        <v>125</v>
      </c>
      <c r="D152" s="3" t="s">
        <v>353</v>
      </c>
      <c r="E152" s="3">
        <v>44</v>
      </c>
      <c r="G152" s="57"/>
    </row>
    <row r="153" spans="1:7" ht="12.75" x14ac:dyDescent="0.2">
      <c r="A153" s="3">
        <v>27</v>
      </c>
      <c r="B153" s="4" t="s">
        <v>57</v>
      </c>
      <c r="C153" s="3" t="s">
        <v>125</v>
      </c>
      <c r="D153" s="3" t="s">
        <v>371</v>
      </c>
      <c r="E153" s="3">
        <v>531</v>
      </c>
      <c r="G153" s="57"/>
    </row>
    <row r="154" spans="1:7" ht="12.75" x14ac:dyDescent="0.2">
      <c r="A154" s="3">
        <v>27</v>
      </c>
      <c r="B154" s="4" t="s">
        <v>57</v>
      </c>
      <c r="C154" s="3" t="s">
        <v>125</v>
      </c>
      <c r="D154" s="3" t="s">
        <v>14</v>
      </c>
      <c r="E154" s="3">
        <v>590</v>
      </c>
      <c r="G154" s="57"/>
    </row>
    <row r="155" spans="1:7" ht="12.75" x14ac:dyDescent="0.2">
      <c r="A155" s="3">
        <v>27</v>
      </c>
      <c r="B155" s="4" t="s">
        <v>57</v>
      </c>
      <c r="C155" s="3" t="s">
        <v>125</v>
      </c>
      <c r="D155" s="3" t="s">
        <v>138</v>
      </c>
      <c r="E155" s="3">
        <v>68</v>
      </c>
      <c r="F155">
        <f>SUM(E148:E155)</f>
        <v>6808</v>
      </c>
      <c r="G155" s="57"/>
    </row>
    <row r="156" spans="1:7" ht="12.75" x14ac:dyDescent="0.2">
      <c r="A156" s="3">
        <v>61</v>
      </c>
      <c r="B156" s="4" t="s">
        <v>86</v>
      </c>
      <c r="C156" s="3" t="s">
        <v>347</v>
      </c>
      <c r="D156" s="3" t="s">
        <v>366</v>
      </c>
      <c r="E156" s="3">
        <v>41</v>
      </c>
      <c r="G156" s="59">
        <v>6940</v>
      </c>
    </row>
    <row r="157" spans="1:7" ht="12.75" x14ac:dyDescent="0.2">
      <c r="A157" s="3">
        <v>61</v>
      </c>
      <c r="B157" s="4" t="s">
        <v>86</v>
      </c>
      <c r="C157" s="3" t="s">
        <v>347</v>
      </c>
      <c r="D157" s="3" t="s">
        <v>274</v>
      </c>
      <c r="E157" s="3">
        <v>0</v>
      </c>
      <c r="G157" s="57"/>
    </row>
    <row r="158" spans="1:7" ht="12.75" x14ac:dyDescent="0.2">
      <c r="A158" s="3">
        <v>61</v>
      </c>
      <c r="B158" s="4" t="s">
        <v>86</v>
      </c>
      <c r="C158" s="3" t="s">
        <v>347</v>
      </c>
      <c r="D158" s="3" t="s">
        <v>367</v>
      </c>
      <c r="E158" s="3">
        <v>15</v>
      </c>
      <c r="G158" s="57"/>
    </row>
    <row r="159" spans="1:7" ht="12.75" x14ac:dyDescent="0.2">
      <c r="A159" s="3">
        <v>61</v>
      </c>
      <c r="B159" s="4" t="s">
        <v>86</v>
      </c>
      <c r="C159" s="3" t="s">
        <v>347</v>
      </c>
      <c r="D159" s="3" t="s">
        <v>368</v>
      </c>
      <c r="E159" s="3">
        <v>13</v>
      </c>
      <c r="G159" s="57"/>
    </row>
    <row r="160" spans="1:7" ht="12.75" x14ac:dyDescent="0.2">
      <c r="A160" s="3">
        <v>61</v>
      </c>
      <c r="B160" s="4" t="s">
        <v>86</v>
      </c>
      <c r="C160" s="3" t="s">
        <v>347</v>
      </c>
      <c r="D160" s="3" t="s">
        <v>283</v>
      </c>
      <c r="E160" s="3">
        <v>1942</v>
      </c>
      <c r="G160" s="57"/>
    </row>
    <row r="161" spans="1:7" ht="12.75" x14ac:dyDescent="0.2">
      <c r="A161" s="3">
        <v>61</v>
      </c>
      <c r="B161" s="4" t="s">
        <v>86</v>
      </c>
      <c r="C161" s="3" t="s">
        <v>347</v>
      </c>
      <c r="D161" s="3" t="s">
        <v>315</v>
      </c>
      <c r="E161" s="3">
        <v>88</v>
      </c>
      <c r="G161" s="57"/>
    </row>
    <row r="162" spans="1:7" ht="12.75" x14ac:dyDescent="0.2">
      <c r="A162" s="3">
        <v>61</v>
      </c>
      <c r="B162" s="4" t="s">
        <v>86</v>
      </c>
      <c r="C162" s="3" t="s">
        <v>347</v>
      </c>
      <c r="D162" s="3" t="s">
        <v>316</v>
      </c>
      <c r="E162" s="3">
        <v>141</v>
      </c>
      <c r="G162" s="57"/>
    </row>
    <row r="163" spans="1:7" ht="12.75" x14ac:dyDescent="0.2">
      <c r="A163" s="3">
        <v>61</v>
      </c>
      <c r="B163" s="4" t="s">
        <v>86</v>
      </c>
      <c r="C163" s="3" t="s">
        <v>347</v>
      </c>
      <c r="D163" s="3" t="s">
        <v>369</v>
      </c>
      <c r="E163" s="3">
        <v>20</v>
      </c>
      <c r="G163" s="57"/>
    </row>
    <row r="164" spans="1:7" ht="12.75" x14ac:dyDescent="0.2">
      <c r="A164" s="3">
        <v>61</v>
      </c>
      <c r="B164" s="4" t="s">
        <v>86</v>
      </c>
      <c r="C164" s="3" t="s">
        <v>347</v>
      </c>
      <c r="D164" s="3" t="s">
        <v>128</v>
      </c>
      <c r="E164" s="3">
        <v>1018</v>
      </c>
      <c r="G164" s="57"/>
    </row>
    <row r="165" spans="1:7" ht="12.75" x14ac:dyDescent="0.2">
      <c r="A165" s="3">
        <v>61</v>
      </c>
      <c r="B165" s="4" t="s">
        <v>86</v>
      </c>
      <c r="C165" s="3" t="s">
        <v>347</v>
      </c>
      <c r="D165" s="3" t="s">
        <v>370</v>
      </c>
      <c r="E165" s="3">
        <v>89</v>
      </c>
      <c r="G165" s="57"/>
    </row>
    <row r="166" spans="1:7" ht="12.75" x14ac:dyDescent="0.2">
      <c r="A166" s="3">
        <v>61</v>
      </c>
      <c r="B166" s="4" t="s">
        <v>86</v>
      </c>
      <c r="C166" s="3" t="s">
        <v>347</v>
      </c>
      <c r="D166" s="3" t="s">
        <v>353</v>
      </c>
      <c r="E166" s="3">
        <v>85</v>
      </c>
      <c r="G166" s="57"/>
    </row>
    <row r="167" spans="1:7" ht="12.75" x14ac:dyDescent="0.2">
      <c r="A167" s="3">
        <v>61</v>
      </c>
      <c r="B167" s="4" t="s">
        <v>86</v>
      </c>
      <c r="C167" s="3" t="s">
        <v>347</v>
      </c>
      <c r="D167" s="3" t="s">
        <v>371</v>
      </c>
      <c r="E167" s="3">
        <v>1465</v>
      </c>
      <c r="G167" s="57"/>
    </row>
    <row r="168" spans="1:7" ht="12.75" x14ac:dyDescent="0.2">
      <c r="A168" s="3">
        <v>61</v>
      </c>
      <c r="B168" s="4" t="s">
        <v>86</v>
      </c>
      <c r="C168" s="3" t="s">
        <v>347</v>
      </c>
      <c r="D168" s="3" t="s">
        <v>14</v>
      </c>
      <c r="E168" s="3">
        <v>474</v>
      </c>
      <c r="G168" s="57"/>
    </row>
    <row r="169" spans="1:7" ht="12.75" x14ac:dyDescent="0.2">
      <c r="A169" s="3">
        <v>61</v>
      </c>
      <c r="B169" s="4" t="s">
        <v>86</v>
      </c>
      <c r="C169" s="3" t="s">
        <v>347</v>
      </c>
      <c r="D169" s="3" t="s">
        <v>138</v>
      </c>
      <c r="E169" s="3">
        <v>69</v>
      </c>
      <c r="F169">
        <f>SUM(E156:E169)</f>
        <v>5460</v>
      </c>
      <c r="G169" s="57"/>
    </row>
    <row r="170" spans="1:7" ht="12.75" x14ac:dyDescent="0.2">
      <c r="A170" s="3">
        <v>61</v>
      </c>
      <c r="B170" s="4" t="s">
        <v>86</v>
      </c>
      <c r="C170" s="3" t="s">
        <v>273</v>
      </c>
      <c r="D170" s="3" t="s">
        <v>274</v>
      </c>
      <c r="E170" s="3">
        <v>21</v>
      </c>
      <c r="G170" s="57"/>
    </row>
    <row r="171" spans="1:7" ht="12.75" x14ac:dyDescent="0.2">
      <c r="A171" s="3">
        <v>61</v>
      </c>
      <c r="B171" s="4" t="s">
        <v>86</v>
      </c>
      <c r="C171" s="3" t="s">
        <v>273</v>
      </c>
      <c r="D171" s="3" t="s">
        <v>283</v>
      </c>
      <c r="E171" s="3">
        <v>2763</v>
      </c>
      <c r="G171" s="57"/>
    </row>
    <row r="172" spans="1:7" ht="12.75" x14ac:dyDescent="0.2">
      <c r="A172" s="3">
        <v>61</v>
      </c>
      <c r="B172" s="4" t="s">
        <v>86</v>
      </c>
      <c r="C172" s="3" t="s">
        <v>273</v>
      </c>
      <c r="D172" s="3" t="s">
        <v>315</v>
      </c>
      <c r="E172" s="3">
        <v>70</v>
      </c>
      <c r="G172" s="57"/>
    </row>
    <row r="173" spans="1:7" ht="12.75" x14ac:dyDescent="0.2">
      <c r="A173" s="3">
        <v>61</v>
      </c>
      <c r="B173" s="4" t="s">
        <v>86</v>
      </c>
      <c r="C173" s="3" t="s">
        <v>273</v>
      </c>
      <c r="D173" s="3" t="s">
        <v>128</v>
      </c>
      <c r="E173" s="3">
        <v>968</v>
      </c>
      <c r="G173" s="57"/>
    </row>
    <row r="174" spans="1:7" ht="12.75" x14ac:dyDescent="0.2">
      <c r="A174" s="3">
        <v>61</v>
      </c>
      <c r="B174" s="4" t="s">
        <v>86</v>
      </c>
      <c r="C174" s="3" t="s">
        <v>273</v>
      </c>
      <c r="D174" s="3" t="s">
        <v>353</v>
      </c>
      <c r="E174" s="3">
        <v>45</v>
      </c>
      <c r="G174" s="57"/>
    </row>
    <row r="175" spans="1:7" ht="12.75" x14ac:dyDescent="0.2">
      <c r="A175" s="3">
        <v>61</v>
      </c>
      <c r="B175" s="4" t="s">
        <v>86</v>
      </c>
      <c r="C175" s="3" t="s">
        <v>273</v>
      </c>
      <c r="D175" s="3" t="s">
        <v>371</v>
      </c>
      <c r="E175" s="3">
        <v>1107</v>
      </c>
      <c r="G175" s="57"/>
    </row>
    <row r="176" spans="1:7" ht="12.75" x14ac:dyDescent="0.2">
      <c r="A176" s="3">
        <v>61</v>
      </c>
      <c r="B176" s="4" t="s">
        <v>86</v>
      </c>
      <c r="C176" s="3" t="s">
        <v>273</v>
      </c>
      <c r="D176" s="3" t="s">
        <v>14</v>
      </c>
      <c r="E176" s="3">
        <v>429</v>
      </c>
      <c r="G176" s="57"/>
    </row>
    <row r="177" spans="1:7" ht="12.75" x14ac:dyDescent="0.2">
      <c r="A177" s="3">
        <v>61</v>
      </c>
      <c r="B177" s="4" t="s">
        <v>86</v>
      </c>
      <c r="C177" s="3" t="s">
        <v>273</v>
      </c>
      <c r="D177" s="3" t="s">
        <v>138</v>
      </c>
      <c r="E177" s="3">
        <v>57</v>
      </c>
      <c r="F177">
        <f>SUM(E170:E177)</f>
        <v>5460</v>
      </c>
      <c r="G177" s="57"/>
    </row>
    <row r="178" spans="1:7" ht="12.75" x14ac:dyDescent="0.2">
      <c r="A178" s="3">
        <v>61</v>
      </c>
      <c r="B178" s="4" t="s">
        <v>86</v>
      </c>
      <c r="C178" s="3" t="s">
        <v>125</v>
      </c>
      <c r="D178" s="3" t="s">
        <v>274</v>
      </c>
      <c r="E178" s="3">
        <v>24</v>
      </c>
      <c r="G178" s="57"/>
    </row>
    <row r="179" spans="1:7" ht="12.75" x14ac:dyDescent="0.2">
      <c r="A179" s="3">
        <v>61</v>
      </c>
      <c r="B179" s="4" t="s">
        <v>86</v>
      </c>
      <c r="C179" s="3" t="s">
        <v>125</v>
      </c>
      <c r="D179" s="3" t="s">
        <v>283</v>
      </c>
      <c r="E179" s="3">
        <v>2641</v>
      </c>
      <c r="G179" s="57"/>
    </row>
    <row r="180" spans="1:7" ht="12.75" x14ac:dyDescent="0.2">
      <c r="A180" s="3">
        <v>61</v>
      </c>
      <c r="B180" s="4" t="s">
        <v>86</v>
      </c>
      <c r="C180" s="3" t="s">
        <v>125</v>
      </c>
      <c r="D180" s="3" t="s">
        <v>315</v>
      </c>
      <c r="E180" s="3">
        <v>70</v>
      </c>
      <c r="G180" s="57"/>
    </row>
    <row r="181" spans="1:7" ht="12.75" x14ac:dyDescent="0.2">
      <c r="A181" s="3">
        <v>61</v>
      </c>
      <c r="B181" s="4" t="s">
        <v>86</v>
      </c>
      <c r="C181" s="3" t="s">
        <v>125</v>
      </c>
      <c r="D181" s="3" t="s">
        <v>128</v>
      </c>
      <c r="E181" s="3">
        <v>962</v>
      </c>
      <c r="G181" s="57"/>
    </row>
    <row r="182" spans="1:7" ht="12.75" x14ac:dyDescent="0.2">
      <c r="A182" s="3">
        <v>61</v>
      </c>
      <c r="B182" s="4" t="s">
        <v>86</v>
      </c>
      <c r="C182" s="3" t="s">
        <v>125</v>
      </c>
      <c r="D182" s="3" t="s">
        <v>353</v>
      </c>
      <c r="E182" s="3">
        <v>47</v>
      </c>
      <c r="G182" s="57"/>
    </row>
    <row r="183" spans="1:7" ht="12.75" x14ac:dyDescent="0.2">
      <c r="A183" s="3">
        <v>61</v>
      </c>
      <c r="B183" s="4" t="s">
        <v>86</v>
      </c>
      <c r="C183" s="3" t="s">
        <v>125</v>
      </c>
      <c r="D183" s="3" t="s">
        <v>371</v>
      </c>
      <c r="E183" s="3">
        <v>1097</v>
      </c>
      <c r="G183" s="57"/>
    </row>
    <row r="184" spans="1:7" ht="12.75" x14ac:dyDescent="0.2">
      <c r="A184" s="3">
        <v>61</v>
      </c>
      <c r="B184" s="4" t="s">
        <v>86</v>
      </c>
      <c r="C184" s="3" t="s">
        <v>125</v>
      </c>
      <c r="D184" s="3" t="s">
        <v>14</v>
      </c>
      <c r="E184" s="3">
        <v>563</v>
      </c>
      <c r="G184" s="57"/>
    </row>
    <row r="185" spans="1:7" ht="12.75" x14ac:dyDescent="0.2">
      <c r="A185" s="3">
        <v>61</v>
      </c>
      <c r="B185" s="4" t="s">
        <v>86</v>
      </c>
      <c r="C185" s="3" t="s">
        <v>125</v>
      </c>
      <c r="D185" s="3" t="s">
        <v>138</v>
      </c>
      <c r="E185" s="3">
        <v>56</v>
      </c>
      <c r="F185">
        <f>SUM(E178:E185)</f>
        <v>5460</v>
      </c>
      <c r="G185" s="57"/>
    </row>
    <row r="186" spans="1:7" ht="12.75" x14ac:dyDescent="0.2">
      <c r="A186" s="3">
        <v>22</v>
      </c>
      <c r="B186" s="4" t="s">
        <v>52</v>
      </c>
      <c r="C186" s="3" t="s">
        <v>347</v>
      </c>
      <c r="D186" s="3" t="s">
        <v>366</v>
      </c>
      <c r="E186" s="3">
        <v>16</v>
      </c>
      <c r="G186" s="59">
        <v>6804</v>
      </c>
    </row>
    <row r="187" spans="1:7" ht="12.75" x14ac:dyDescent="0.2">
      <c r="A187" s="3">
        <v>22</v>
      </c>
      <c r="B187" s="4" t="s">
        <v>52</v>
      </c>
      <c r="C187" s="3" t="s">
        <v>347</v>
      </c>
      <c r="D187" s="3" t="s">
        <v>274</v>
      </c>
      <c r="E187" s="3">
        <v>0</v>
      </c>
      <c r="G187" s="57"/>
    </row>
    <row r="188" spans="1:7" ht="12.75" x14ac:dyDescent="0.2">
      <c r="A188" s="3">
        <v>22</v>
      </c>
      <c r="B188" s="4" t="s">
        <v>52</v>
      </c>
      <c r="C188" s="3" t="s">
        <v>347</v>
      </c>
      <c r="D188" s="3" t="s">
        <v>367</v>
      </c>
      <c r="E188" s="3">
        <v>13</v>
      </c>
      <c r="G188" s="57"/>
    </row>
    <row r="189" spans="1:7" ht="12.75" x14ac:dyDescent="0.2">
      <c r="A189" s="3">
        <v>22</v>
      </c>
      <c r="B189" s="4" t="s">
        <v>52</v>
      </c>
      <c r="C189" s="3" t="s">
        <v>347</v>
      </c>
      <c r="D189" s="3" t="s">
        <v>368</v>
      </c>
      <c r="E189" s="3">
        <v>17</v>
      </c>
      <c r="G189" s="57"/>
    </row>
    <row r="190" spans="1:7" ht="12.75" x14ac:dyDescent="0.2">
      <c r="A190" s="3">
        <v>22</v>
      </c>
      <c r="B190" s="4" t="s">
        <v>52</v>
      </c>
      <c r="C190" s="3" t="s">
        <v>347</v>
      </c>
      <c r="D190" s="3" t="s">
        <v>283</v>
      </c>
      <c r="E190" s="3">
        <v>1667</v>
      </c>
      <c r="G190" s="57"/>
    </row>
    <row r="191" spans="1:7" ht="12.75" x14ac:dyDescent="0.2">
      <c r="A191" s="3">
        <v>22</v>
      </c>
      <c r="B191" s="4" t="s">
        <v>52</v>
      </c>
      <c r="C191" s="3" t="s">
        <v>347</v>
      </c>
      <c r="D191" s="3" t="s">
        <v>315</v>
      </c>
      <c r="E191" s="3">
        <v>183</v>
      </c>
      <c r="G191" s="57"/>
    </row>
    <row r="192" spans="1:7" ht="12.75" x14ac:dyDescent="0.2">
      <c r="A192" s="3">
        <v>22</v>
      </c>
      <c r="B192" s="4" t="s">
        <v>52</v>
      </c>
      <c r="C192" s="3" t="s">
        <v>347</v>
      </c>
      <c r="D192" s="3" t="s">
        <v>316</v>
      </c>
      <c r="E192" s="3">
        <v>114</v>
      </c>
      <c r="G192" s="57"/>
    </row>
    <row r="193" spans="1:7" ht="12.75" x14ac:dyDescent="0.2">
      <c r="A193" s="3">
        <v>22</v>
      </c>
      <c r="B193" s="4" t="s">
        <v>52</v>
      </c>
      <c r="C193" s="3" t="s">
        <v>347</v>
      </c>
      <c r="D193" s="3" t="s">
        <v>369</v>
      </c>
      <c r="E193" s="3">
        <v>41</v>
      </c>
      <c r="G193" s="57"/>
    </row>
    <row r="194" spans="1:7" ht="12.75" x14ac:dyDescent="0.2">
      <c r="A194" s="3">
        <v>22</v>
      </c>
      <c r="B194" s="4" t="s">
        <v>52</v>
      </c>
      <c r="C194" s="3" t="s">
        <v>347</v>
      </c>
      <c r="D194" s="3" t="s">
        <v>128</v>
      </c>
      <c r="E194" s="3">
        <v>2373</v>
      </c>
      <c r="G194" s="57"/>
    </row>
    <row r="195" spans="1:7" ht="12.75" x14ac:dyDescent="0.2">
      <c r="A195" s="3">
        <v>22</v>
      </c>
      <c r="B195" s="4" t="s">
        <v>52</v>
      </c>
      <c r="C195" s="3" t="s">
        <v>347</v>
      </c>
      <c r="D195" s="3" t="s">
        <v>370</v>
      </c>
      <c r="E195" s="3">
        <v>16</v>
      </c>
      <c r="G195" s="57"/>
    </row>
    <row r="196" spans="1:7" ht="12.75" x14ac:dyDescent="0.2">
      <c r="A196" s="3">
        <v>22</v>
      </c>
      <c r="B196" s="4" t="s">
        <v>52</v>
      </c>
      <c r="C196" s="3" t="s">
        <v>347</v>
      </c>
      <c r="D196" s="3" t="s">
        <v>353</v>
      </c>
      <c r="E196" s="3">
        <v>77</v>
      </c>
      <c r="G196" s="57"/>
    </row>
    <row r="197" spans="1:7" ht="12.75" x14ac:dyDescent="0.2">
      <c r="A197" s="3">
        <v>22</v>
      </c>
      <c r="B197" s="4" t="s">
        <v>52</v>
      </c>
      <c r="C197" s="3" t="s">
        <v>347</v>
      </c>
      <c r="D197" s="3" t="s">
        <v>371</v>
      </c>
      <c r="E197" s="3">
        <v>656</v>
      </c>
      <c r="G197" s="57"/>
    </row>
    <row r="198" spans="1:7" ht="12.75" x14ac:dyDescent="0.2">
      <c r="A198" s="3">
        <v>22</v>
      </c>
      <c r="B198" s="4" t="s">
        <v>52</v>
      </c>
      <c r="C198" s="3" t="s">
        <v>347</v>
      </c>
      <c r="D198" s="3" t="s">
        <v>14</v>
      </c>
      <c r="E198" s="3">
        <v>251</v>
      </c>
      <c r="G198" s="57"/>
    </row>
    <row r="199" spans="1:7" ht="12.75" x14ac:dyDescent="0.2">
      <c r="A199" s="3">
        <v>22</v>
      </c>
      <c r="B199" s="4" t="s">
        <v>52</v>
      </c>
      <c r="C199" s="3" t="s">
        <v>347</v>
      </c>
      <c r="D199" s="3" t="s">
        <v>138</v>
      </c>
      <c r="E199" s="3">
        <v>54</v>
      </c>
      <c r="F199">
        <f>SUM(E186:E199)</f>
        <v>5478</v>
      </c>
      <c r="G199" s="57"/>
    </row>
    <row r="200" spans="1:7" ht="12.75" x14ac:dyDescent="0.2">
      <c r="A200" s="3">
        <v>22</v>
      </c>
      <c r="B200" s="4" t="s">
        <v>52</v>
      </c>
      <c r="C200" s="3" t="s">
        <v>273</v>
      </c>
      <c r="D200" s="3" t="s">
        <v>274</v>
      </c>
      <c r="E200" s="3">
        <v>14</v>
      </c>
      <c r="G200" s="57"/>
    </row>
    <row r="201" spans="1:7" ht="12.75" x14ac:dyDescent="0.2">
      <c r="A201" s="3">
        <v>22</v>
      </c>
      <c r="B201" s="4" t="s">
        <v>52</v>
      </c>
      <c r="C201" s="3" t="s">
        <v>273</v>
      </c>
      <c r="D201" s="3" t="s">
        <v>283</v>
      </c>
      <c r="E201" s="3">
        <v>1890</v>
      </c>
      <c r="G201" s="57"/>
    </row>
    <row r="202" spans="1:7" ht="12.75" x14ac:dyDescent="0.2">
      <c r="A202" s="3">
        <v>22</v>
      </c>
      <c r="B202" s="4" t="s">
        <v>52</v>
      </c>
      <c r="C202" s="3" t="s">
        <v>273</v>
      </c>
      <c r="D202" s="3" t="s">
        <v>315</v>
      </c>
      <c r="E202" s="3">
        <v>78</v>
      </c>
      <c r="G202" s="57"/>
    </row>
    <row r="203" spans="1:7" ht="12.75" x14ac:dyDescent="0.2">
      <c r="A203" s="3">
        <v>22</v>
      </c>
      <c r="B203" s="4" t="s">
        <v>52</v>
      </c>
      <c r="C203" s="3" t="s">
        <v>273</v>
      </c>
      <c r="D203" s="3" t="s">
        <v>128</v>
      </c>
      <c r="E203" s="3">
        <v>2634</v>
      </c>
      <c r="G203" s="57"/>
    </row>
    <row r="204" spans="1:7" ht="12.75" x14ac:dyDescent="0.2">
      <c r="A204" s="3">
        <v>22</v>
      </c>
      <c r="B204" s="4" t="s">
        <v>52</v>
      </c>
      <c r="C204" s="3" t="s">
        <v>273</v>
      </c>
      <c r="D204" s="3" t="s">
        <v>353</v>
      </c>
      <c r="E204" s="3">
        <v>36</v>
      </c>
      <c r="G204" s="57"/>
    </row>
    <row r="205" spans="1:7" ht="12.75" x14ac:dyDescent="0.2">
      <c r="A205" s="3">
        <v>22</v>
      </c>
      <c r="B205" s="4" t="s">
        <v>52</v>
      </c>
      <c r="C205" s="3" t="s">
        <v>273</v>
      </c>
      <c r="D205" s="3" t="s">
        <v>371</v>
      </c>
      <c r="E205" s="3">
        <v>363</v>
      </c>
      <c r="G205" s="57"/>
    </row>
    <row r="206" spans="1:7" ht="12.75" x14ac:dyDescent="0.2">
      <c r="A206" s="3">
        <v>22</v>
      </c>
      <c r="B206" s="4" t="s">
        <v>52</v>
      </c>
      <c r="C206" s="3" t="s">
        <v>273</v>
      </c>
      <c r="D206" s="3" t="s">
        <v>14</v>
      </c>
      <c r="E206" s="3">
        <v>416</v>
      </c>
      <c r="G206" s="57"/>
    </row>
    <row r="207" spans="1:7" ht="12.75" x14ac:dyDescent="0.2">
      <c r="A207" s="3">
        <v>22</v>
      </c>
      <c r="B207" s="4" t="s">
        <v>52</v>
      </c>
      <c r="C207" s="3" t="s">
        <v>273</v>
      </c>
      <c r="D207" s="3" t="s">
        <v>138</v>
      </c>
      <c r="E207" s="3">
        <v>47</v>
      </c>
      <c r="F207">
        <f>SUM(E200:E207)</f>
        <v>5478</v>
      </c>
      <c r="G207" s="57"/>
    </row>
    <row r="208" spans="1:7" ht="12.75" x14ac:dyDescent="0.2">
      <c r="A208" s="3">
        <v>22</v>
      </c>
      <c r="B208" s="4" t="s">
        <v>52</v>
      </c>
      <c r="C208" s="3" t="s">
        <v>125</v>
      </c>
      <c r="D208" s="3" t="s">
        <v>274</v>
      </c>
      <c r="E208" s="3">
        <v>14</v>
      </c>
      <c r="G208" s="57"/>
    </row>
    <row r="209" spans="1:7" ht="12.75" x14ac:dyDescent="0.2">
      <c r="A209" s="3">
        <v>22</v>
      </c>
      <c r="B209" s="4" t="s">
        <v>52</v>
      </c>
      <c r="C209" s="3" t="s">
        <v>125</v>
      </c>
      <c r="D209" s="3" t="s">
        <v>283</v>
      </c>
      <c r="E209" s="3">
        <v>1887</v>
      </c>
      <c r="G209" s="57"/>
    </row>
    <row r="210" spans="1:7" ht="12.75" x14ac:dyDescent="0.2">
      <c r="A210" s="3">
        <v>22</v>
      </c>
      <c r="B210" s="4" t="s">
        <v>52</v>
      </c>
      <c r="C210" s="3" t="s">
        <v>125</v>
      </c>
      <c r="D210" s="3" t="s">
        <v>315</v>
      </c>
      <c r="E210" s="3">
        <v>88</v>
      </c>
      <c r="G210" s="57"/>
    </row>
    <row r="211" spans="1:7" ht="12.75" x14ac:dyDescent="0.2">
      <c r="A211" s="3">
        <v>22</v>
      </c>
      <c r="B211" s="4" t="s">
        <v>52</v>
      </c>
      <c r="C211" s="3" t="s">
        <v>125</v>
      </c>
      <c r="D211" s="3" t="s">
        <v>128</v>
      </c>
      <c r="E211" s="3">
        <v>2564</v>
      </c>
      <c r="G211" s="57"/>
    </row>
    <row r="212" spans="1:7" ht="12.75" x14ac:dyDescent="0.2">
      <c r="A212" s="3">
        <v>22</v>
      </c>
      <c r="B212" s="4" t="s">
        <v>52</v>
      </c>
      <c r="C212" s="3" t="s">
        <v>125</v>
      </c>
      <c r="D212" s="3" t="s">
        <v>353</v>
      </c>
      <c r="E212" s="3">
        <v>36</v>
      </c>
      <c r="G212" s="57"/>
    </row>
    <row r="213" spans="1:7" ht="12.75" x14ac:dyDescent="0.2">
      <c r="A213" s="3">
        <v>22</v>
      </c>
      <c r="B213" s="4" t="s">
        <v>52</v>
      </c>
      <c r="C213" s="3" t="s">
        <v>125</v>
      </c>
      <c r="D213" s="3" t="s">
        <v>371</v>
      </c>
      <c r="E213" s="3">
        <v>365</v>
      </c>
      <c r="G213" s="57"/>
    </row>
    <row r="214" spans="1:7" ht="12.75" x14ac:dyDescent="0.2">
      <c r="A214" s="3">
        <v>22</v>
      </c>
      <c r="B214" s="4" t="s">
        <v>52</v>
      </c>
      <c r="C214" s="3" t="s">
        <v>125</v>
      </c>
      <c r="D214" s="3" t="s">
        <v>14</v>
      </c>
      <c r="E214" s="3">
        <v>480</v>
      </c>
      <c r="G214" s="57"/>
    </row>
    <row r="215" spans="1:7" ht="12.75" x14ac:dyDescent="0.2">
      <c r="A215" s="3">
        <v>22</v>
      </c>
      <c r="B215" s="4" t="s">
        <v>52</v>
      </c>
      <c r="C215" s="3" t="s">
        <v>125</v>
      </c>
      <c r="D215" s="3" t="s">
        <v>138</v>
      </c>
      <c r="E215" s="3">
        <v>44</v>
      </c>
      <c r="F215">
        <f>SUM(E208:E215)</f>
        <v>5478</v>
      </c>
      <c r="G215" s="57"/>
    </row>
    <row r="216" spans="1:7" ht="12.75" x14ac:dyDescent="0.2">
      <c r="A216" s="3">
        <v>82</v>
      </c>
      <c r="B216" s="4" t="s">
        <v>105</v>
      </c>
      <c r="C216" s="3" t="s">
        <v>347</v>
      </c>
      <c r="D216" s="3" t="s">
        <v>366</v>
      </c>
      <c r="E216" s="3">
        <v>18</v>
      </c>
      <c r="G216" s="59">
        <v>6728</v>
      </c>
    </row>
    <row r="217" spans="1:7" ht="12.75" x14ac:dyDescent="0.2">
      <c r="A217" s="3">
        <v>82</v>
      </c>
      <c r="B217" s="4" t="s">
        <v>105</v>
      </c>
      <c r="C217" s="3" t="s">
        <v>347</v>
      </c>
      <c r="D217" s="3" t="s">
        <v>274</v>
      </c>
      <c r="E217" s="3">
        <v>0</v>
      </c>
      <c r="G217" s="57"/>
    </row>
    <row r="218" spans="1:7" ht="12.75" x14ac:dyDescent="0.2">
      <c r="A218" s="3">
        <v>82</v>
      </c>
      <c r="B218" s="4" t="s">
        <v>105</v>
      </c>
      <c r="C218" s="3" t="s">
        <v>347</v>
      </c>
      <c r="D218" s="3" t="s">
        <v>367</v>
      </c>
      <c r="E218" s="3">
        <v>5</v>
      </c>
      <c r="G218" s="57"/>
    </row>
    <row r="219" spans="1:7" ht="12.75" x14ac:dyDescent="0.2">
      <c r="A219" s="3">
        <v>82</v>
      </c>
      <c r="B219" s="4" t="s">
        <v>105</v>
      </c>
      <c r="C219" s="3" t="s">
        <v>347</v>
      </c>
      <c r="D219" s="3" t="s">
        <v>368</v>
      </c>
      <c r="E219" s="3">
        <v>7</v>
      </c>
      <c r="G219" s="57"/>
    </row>
    <row r="220" spans="1:7" ht="12.75" x14ac:dyDescent="0.2">
      <c r="A220" s="3">
        <v>82</v>
      </c>
      <c r="B220" s="4" t="s">
        <v>105</v>
      </c>
      <c r="C220" s="3" t="s">
        <v>347</v>
      </c>
      <c r="D220" s="3" t="s">
        <v>283</v>
      </c>
      <c r="E220" s="3">
        <v>1930</v>
      </c>
      <c r="G220" s="57"/>
    </row>
    <row r="221" spans="1:7" ht="12.75" x14ac:dyDescent="0.2">
      <c r="A221" s="3">
        <v>82</v>
      </c>
      <c r="B221" s="4" t="s">
        <v>105</v>
      </c>
      <c r="C221" s="3" t="s">
        <v>347</v>
      </c>
      <c r="D221" s="3" t="s">
        <v>315</v>
      </c>
      <c r="E221" s="3">
        <v>104</v>
      </c>
      <c r="G221" s="57"/>
    </row>
    <row r="222" spans="1:7" ht="12.75" x14ac:dyDescent="0.2">
      <c r="A222" s="3">
        <v>82</v>
      </c>
      <c r="B222" s="4" t="s">
        <v>105</v>
      </c>
      <c r="C222" s="3" t="s">
        <v>347</v>
      </c>
      <c r="D222" s="3" t="s">
        <v>316</v>
      </c>
      <c r="E222" s="3">
        <v>194</v>
      </c>
      <c r="G222" s="57"/>
    </row>
    <row r="223" spans="1:7" ht="12.75" x14ac:dyDescent="0.2">
      <c r="A223" s="3">
        <v>82</v>
      </c>
      <c r="B223" s="4" t="s">
        <v>105</v>
      </c>
      <c r="C223" s="3" t="s">
        <v>347</v>
      </c>
      <c r="D223" s="3" t="s">
        <v>369</v>
      </c>
      <c r="E223" s="3">
        <v>9</v>
      </c>
      <c r="G223" s="57"/>
    </row>
    <row r="224" spans="1:7" ht="12.75" x14ac:dyDescent="0.2">
      <c r="A224" s="3">
        <v>82</v>
      </c>
      <c r="B224" s="4" t="s">
        <v>105</v>
      </c>
      <c r="C224" s="3" t="s">
        <v>347</v>
      </c>
      <c r="D224" s="3" t="s">
        <v>128</v>
      </c>
      <c r="E224" s="3">
        <v>1933</v>
      </c>
      <c r="G224" s="57"/>
    </row>
    <row r="225" spans="1:7" ht="12.75" x14ac:dyDescent="0.2">
      <c r="A225" s="3">
        <v>82</v>
      </c>
      <c r="B225" s="4" t="s">
        <v>105</v>
      </c>
      <c r="C225" s="3" t="s">
        <v>347</v>
      </c>
      <c r="D225" s="3" t="s">
        <v>370</v>
      </c>
      <c r="E225" s="3">
        <v>26</v>
      </c>
      <c r="G225" s="57"/>
    </row>
    <row r="226" spans="1:7" ht="12.75" x14ac:dyDescent="0.2">
      <c r="A226" s="3">
        <v>82</v>
      </c>
      <c r="B226" s="4" t="s">
        <v>105</v>
      </c>
      <c r="C226" s="3" t="s">
        <v>347</v>
      </c>
      <c r="D226" s="3" t="s">
        <v>353</v>
      </c>
      <c r="E226" s="3">
        <v>75</v>
      </c>
      <c r="G226" s="57"/>
    </row>
    <row r="227" spans="1:7" ht="12.75" x14ac:dyDescent="0.2">
      <c r="A227" s="3">
        <v>82</v>
      </c>
      <c r="B227" s="4" t="s">
        <v>105</v>
      </c>
      <c r="C227" s="3" t="s">
        <v>347</v>
      </c>
      <c r="D227" s="3" t="s">
        <v>371</v>
      </c>
      <c r="E227" s="3">
        <v>686</v>
      </c>
      <c r="G227" s="57"/>
    </row>
    <row r="228" spans="1:7" ht="12.75" x14ac:dyDescent="0.2">
      <c r="A228" s="3">
        <v>82</v>
      </c>
      <c r="B228" s="4" t="s">
        <v>105</v>
      </c>
      <c r="C228" s="3" t="s">
        <v>347</v>
      </c>
      <c r="D228" s="3" t="s">
        <v>14</v>
      </c>
      <c r="E228" s="3">
        <v>127</v>
      </c>
      <c r="G228" s="57"/>
    </row>
    <row r="229" spans="1:7" ht="12.75" x14ac:dyDescent="0.2">
      <c r="A229" s="3">
        <v>82</v>
      </c>
      <c r="B229" s="4" t="s">
        <v>105</v>
      </c>
      <c r="C229" s="3" t="s">
        <v>347</v>
      </c>
      <c r="D229" s="3" t="s">
        <v>138</v>
      </c>
      <c r="E229" s="3">
        <v>57</v>
      </c>
      <c r="F229">
        <f>SUM(E216:E229)</f>
        <v>5171</v>
      </c>
      <c r="G229" s="57"/>
    </row>
    <row r="230" spans="1:7" ht="12.75" x14ac:dyDescent="0.2">
      <c r="A230" s="3">
        <v>82</v>
      </c>
      <c r="B230" s="4" t="s">
        <v>105</v>
      </c>
      <c r="C230" s="3" t="s">
        <v>273</v>
      </c>
      <c r="D230" s="3" t="s">
        <v>274</v>
      </c>
      <c r="E230" s="3">
        <v>18</v>
      </c>
      <c r="G230" s="57"/>
    </row>
    <row r="231" spans="1:7" ht="12.75" x14ac:dyDescent="0.2">
      <c r="A231" s="3">
        <v>82</v>
      </c>
      <c r="B231" s="4" t="s">
        <v>105</v>
      </c>
      <c r="C231" s="3" t="s">
        <v>273</v>
      </c>
      <c r="D231" s="3" t="s">
        <v>283</v>
      </c>
      <c r="E231" s="3">
        <v>2042</v>
      </c>
      <c r="G231" s="57"/>
    </row>
    <row r="232" spans="1:7" ht="12.75" x14ac:dyDescent="0.2">
      <c r="A232" s="3">
        <v>82</v>
      </c>
      <c r="B232" s="4" t="s">
        <v>105</v>
      </c>
      <c r="C232" s="3" t="s">
        <v>273</v>
      </c>
      <c r="D232" s="3" t="s">
        <v>315</v>
      </c>
      <c r="E232" s="3">
        <v>122</v>
      </c>
      <c r="G232" s="57"/>
    </row>
    <row r="233" spans="1:7" ht="12.75" x14ac:dyDescent="0.2">
      <c r="A233" s="3">
        <v>82</v>
      </c>
      <c r="B233" s="4" t="s">
        <v>105</v>
      </c>
      <c r="C233" s="3" t="s">
        <v>273</v>
      </c>
      <c r="D233" s="3" t="s">
        <v>128</v>
      </c>
      <c r="E233" s="3">
        <v>1857</v>
      </c>
      <c r="G233" s="57"/>
    </row>
    <row r="234" spans="1:7" ht="12.75" x14ac:dyDescent="0.2">
      <c r="A234" s="3">
        <v>82</v>
      </c>
      <c r="B234" s="4" t="s">
        <v>105</v>
      </c>
      <c r="C234" s="3" t="s">
        <v>273</v>
      </c>
      <c r="D234" s="3" t="s">
        <v>353</v>
      </c>
      <c r="E234" s="3">
        <v>93</v>
      </c>
      <c r="G234" s="57"/>
    </row>
    <row r="235" spans="1:7" ht="12.75" x14ac:dyDescent="0.2">
      <c r="A235" s="3">
        <v>82</v>
      </c>
      <c r="B235" s="4" t="s">
        <v>105</v>
      </c>
      <c r="C235" s="3" t="s">
        <v>273</v>
      </c>
      <c r="D235" s="3" t="s">
        <v>371</v>
      </c>
      <c r="E235" s="3">
        <v>498</v>
      </c>
      <c r="G235" s="57"/>
    </row>
    <row r="236" spans="1:7" ht="12.75" x14ac:dyDescent="0.2">
      <c r="A236" s="3">
        <v>82</v>
      </c>
      <c r="B236" s="4" t="s">
        <v>105</v>
      </c>
      <c r="C236" s="3" t="s">
        <v>273</v>
      </c>
      <c r="D236" s="3" t="s">
        <v>14</v>
      </c>
      <c r="E236" s="3">
        <v>476</v>
      </c>
      <c r="G236" s="57"/>
    </row>
    <row r="237" spans="1:7" ht="12.75" x14ac:dyDescent="0.2">
      <c r="A237" s="3">
        <v>82</v>
      </c>
      <c r="B237" s="4" t="s">
        <v>105</v>
      </c>
      <c r="C237" s="3" t="s">
        <v>273</v>
      </c>
      <c r="D237" s="3" t="s">
        <v>138</v>
      </c>
      <c r="E237" s="3">
        <v>65</v>
      </c>
      <c r="F237">
        <f>SUM(E230:E237)</f>
        <v>5171</v>
      </c>
      <c r="G237" s="57"/>
    </row>
    <row r="238" spans="1:7" ht="12.75" x14ac:dyDescent="0.2">
      <c r="A238" s="3">
        <v>82</v>
      </c>
      <c r="B238" s="4" t="s">
        <v>105</v>
      </c>
      <c r="C238" s="3" t="s">
        <v>125</v>
      </c>
      <c r="D238" s="3" t="s">
        <v>274</v>
      </c>
      <c r="E238" s="3">
        <v>18</v>
      </c>
      <c r="G238" s="57"/>
    </row>
    <row r="239" spans="1:7" ht="12.75" x14ac:dyDescent="0.2">
      <c r="A239" s="3">
        <v>82</v>
      </c>
      <c r="B239" s="4" t="s">
        <v>105</v>
      </c>
      <c r="C239" s="3" t="s">
        <v>125</v>
      </c>
      <c r="D239" s="3" t="s">
        <v>283</v>
      </c>
      <c r="E239" s="3">
        <v>2085</v>
      </c>
      <c r="G239" s="57"/>
    </row>
    <row r="240" spans="1:7" ht="12.75" x14ac:dyDescent="0.2">
      <c r="A240" s="3">
        <v>82</v>
      </c>
      <c r="B240" s="4" t="s">
        <v>105</v>
      </c>
      <c r="C240" s="3" t="s">
        <v>125</v>
      </c>
      <c r="D240" s="3" t="s">
        <v>315</v>
      </c>
      <c r="E240" s="3">
        <v>67</v>
      </c>
      <c r="G240" s="57"/>
    </row>
    <row r="241" spans="1:7" ht="12.75" x14ac:dyDescent="0.2">
      <c r="A241" s="3">
        <v>82</v>
      </c>
      <c r="B241" s="4" t="s">
        <v>105</v>
      </c>
      <c r="C241" s="3" t="s">
        <v>125</v>
      </c>
      <c r="D241" s="3" t="s">
        <v>128</v>
      </c>
      <c r="E241" s="3">
        <v>1885</v>
      </c>
      <c r="G241" s="57"/>
    </row>
    <row r="242" spans="1:7" ht="12.75" x14ac:dyDescent="0.2">
      <c r="A242" s="3">
        <v>82</v>
      </c>
      <c r="B242" s="4" t="s">
        <v>105</v>
      </c>
      <c r="C242" s="3" t="s">
        <v>125</v>
      </c>
      <c r="D242" s="3" t="s">
        <v>353</v>
      </c>
      <c r="E242" s="3">
        <v>40</v>
      </c>
      <c r="G242" s="57"/>
    </row>
    <row r="243" spans="1:7" ht="12.75" x14ac:dyDescent="0.2">
      <c r="A243" s="3">
        <v>82</v>
      </c>
      <c r="B243" s="4" t="s">
        <v>105</v>
      </c>
      <c r="C243" s="3" t="s">
        <v>125</v>
      </c>
      <c r="D243" s="3" t="s">
        <v>371</v>
      </c>
      <c r="E243" s="3">
        <v>523</v>
      </c>
      <c r="G243" s="57"/>
    </row>
    <row r="244" spans="1:7" ht="12.75" x14ac:dyDescent="0.2">
      <c r="A244" s="3">
        <v>82</v>
      </c>
      <c r="B244" s="4" t="s">
        <v>105</v>
      </c>
      <c r="C244" s="3" t="s">
        <v>125</v>
      </c>
      <c r="D244" s="3" t="s">
        <v>14</v>
      </c>
      <c r="E244" s="3">
        <v>511</v>
      </c>
      <c r="G244" s="57"/>
    </row>
    <row r="245" spans="1:7" ht="12.75" x14ac:dyDescent="0.2">
      <c r="A245" s="3">
        <v>82</v>
      </c>
      <c r="B245" s="4" t="s">
        <v>105</v>
      </c>
      <c r="C245" s="3" t="s">
        <v>125</v>
      </c>
      <c r="D245" s="3" t="s">
        <v>138</v>
      </c>
      <c r="E245" s="3">
        <v>42</v>
      </c>
      <c r="F245">
        <f>SUM(E238:E245)</f>
        <v>5171</v>
      </c>
      <c r="G245" s="57"/>
    </row>
    <row r="246" spans="1:7" ht="12.75" x14ac:dyDescent="0.2">
      <c r="A246" s="3">
        <v>48</v>
      </c>
      <c r="B246" s="4" t="s">
        <v>78</v>
      </c>
      <c r="C246" s="3" t="s">
        <v>347</v>
      </c>
      <c r="D246" s="3" t="s">
        <v>366</v>
      </c>
      <c r="E246" s="3">
        <v>7</v>
      </c>
      <c r="G246" s="59">
        <v>5329</v>
      </c>
    </row>
    <row r="247" spans="1:7" ht="12.75" x14ac:dyDescent="0.2">
      <c r="A247" s="3">
        <v>48</v>
      </c>
      <c r="B247" s="4" t="s">
        <v>78</v>
      </c>
      <c r="C247" s="3" t="s">
        <v>347</v>
      </c>
      <c r="D247" s="3" t="s">
        <v>274</v>
      </c>
      <c r="E247" s="3">
        <v>0</v>
      </c>
      <c r="G247" s="57"/>
    </row>
    <row r="248" spans="1:7" ht="12.75" x14ac:dyDescent="0.2">
      <c r="A248" s="3">
        <v>48</v>
      </c>
      <c r="B248" s="4" t="s">
        <v>78</v>
      </c>
      <c r="C248" s="3" t="s">
        <v>347</v>
      </c>
      <c r="D248" s="3" t="s">
        <v>367</v>
      </c>
      <c r="E248" s="3">
        <v>6</v>
      </c>
      <c r="G248" s="57"/>
    </row>
    <row r="249" spans="1:7" ht="12.75" x14ac:dyDescent="0.2">
      <c r="A249" s="3">
        <v>48</v>
      </c>
      <c r="B249" s="4" t="s">
        <v>78</v>
      </c>
      <c r="C249" s="3" t="s">
        <v>347</v>
      </c>
      <c r="D249" s="3" t="s">
        <v>368</v>
      </c>
      <c r="E249" s="3">
        <v>3</v>
      </c>
      <c r="G249" s="57"/>
    </row>
    <row r="250" spans="1:7" ht="12.75" x14ac:dyDescent="0.2">
      <c r="A250" s="3">
        <v>48</v>
      </c>
      <c r="B250" s="4" t="s">
        <v>78</v>
      </c>
      <c r="C250" s="3" t="s">
        <v>347</v>
      </c>
      <c r="D250" s="3" t="s">
        <v>283</v>
      </c>
      <c r="E250" s="3">
        <v>2075</v>
      </c>
      <c r="G250" s="57"/>
    </row>
    <row r="251" spans="1:7" ht="12.75" x14ac:dyDescent="0.2">
      <c r="A251" s="3">
        <v>48</v>
      </c>
      <c r="B251" s="4" t="s">
        <v>78</v>
      </c>
      <c r="C251" s="3" t="s">
        <v>347</v>
      </c>
      <c r="D251" s="3" t="s">
        <v>315</v>
      </c>
      <c r="E251" s="3">
        <v>79</v>
      </c>
      <c r="G251" s="57"/>
    </row>
    <row r="252" spans="1:7" ht="12.75" x14ac:dyDescent="0.2">
      <c r="A252" s="3">
        <v>48</v>
      </c>
      <c r="B252" s="4" t="s">
        <v>78</v>
      </c>
      <c r="C252" s="3" t="s">
        <v>347</v>
      </c>
      <c r="D252" s="3" t="s">
        <v>316</v>
      </c>
      <c r="E252" s="3">
        <v>93</v>
      </c>
      <c r="G252" s="57"/>
    </row>
    <row r="253" spans="1:7" ht="12.75" x14ac:dyDescent="0.2">
      <c r="A253" s="3">
        <v>48</v>
      </c>
      <c r="B253" s="4" t="s">
        <v>78</v>
      </c>
      <c r="C253" s="3" t="s">
        <v>347</v>
      </c>
      <c r="D253" s="3" t="s">
        <v>369</v>
      </c>
      <c r="E253" s="3">
        <v>15</v>
      </c>
      <c r="G253" s="57"/>
    </row>
    <row r="254" spans="1:7" ht="12.75" x14ac:dyDescent="0.2">
      <c r="A254" s="3">
        <v>48</v>
      </c>
      <c r="B254" s="4" t="s">
        <v>78</v>
      </c>
      <c r="C254" s="3" t="s">
        <v>347</v>
      </c>
      <c r="D254" s="3" t="s">
        <v>128</v>
      </c>
      <c r="E254" s="3">
        <v>1080</v>
      </c>
      <c r="G254" s="57"/>
    </row>
    <row r="255" spans="1:7" ht="12.75" x14ac:dyDescent="0.2">
      <c r="A255" s="3">
        <v>48</v>
      </c>
      <c r="B255" s="4" t="s">
        <v>78</v>
      </c>
      <c r="C255" s="3" t="s">
        <v>347</v>
      </c>
      <c r="D255" s="3" t="s">
        <v>370</v>
      </c>
      <c r="E255" s="3">
        <v>10</v>
      </c>
      <c r="G255" s="57"/>
    </row>
    <row r="256" spans="1:7" ht="12.75" x14ac:dyDescent="0.2">
      <c r="A256" s="3">
        <v>48</v>
      </c>
      <c r="B256" s="4" t="s">
        <v>78</v>
      </c>
      <c r="C256" s="3" t="s">
        <v>347</v>
      </c>
      <c r="D256" s="3" t="s">
        <v>353</v>
      </c>
      <c r="E256" s="3">
        <v>60</v>
      </c>
      <c r="G256" s="57"/>
    </row>
    <row r="257" spans="1:7" ht="12.75" x14ac:dyDescent="0.2">
      <c r="A257" s="3">
        <v>48</v>
      </c>
      <c r="B257" s="4" t="s">
        <v>78</v>
      </c>
      <c r="C257" s="3" t="s">
        <v>347</v>
      </c>
      <c r="D257" s="3" t="s">
        <v>371</v>
      </c>
      <c r="E257" s="3">
        <v>558</v>
      </c>
      <c r="G257" s="57"/>
    </row>
    <row r="258" spans="1:7" ht="12.75" x14ac:dyDescent="0.2">
      <c r="A258" s="3">
        <v>48</v>
      </c>
      <c r="B258" s="4" t="s">
        <v>78</v>
      </c>
      <c r="C258" s="3" t="s">
        <v>347</v>
      </c>
      <c r="D258" s="3" t="s">
        <v>14</v>
      </c>
      <c r="E258" s="3">
        <v>221</v>
      </c>
      <c r="G258" s="57"/>
    </row>
    <row r="259" spans="1:7" ht="12.75" x14ac:dyDescent="0.2">
      <c r="A259" s="3">
        <v>48</v>
      </c>
      <c r="B259" s="4" t="s">
        <v>78</v>
      </c>
      <c r="C259" s="3" t="s">
        <v>347</v>
      </c>
      <c r="D259" s="3" t="s">
        <v>138</v>
      </c>
      <c r="E259" s="3">
        <v>40</v>
      </c>
      <c r="F259">
        <f>SUM(E246:E259)</f>
        <v>4247</v>
      </c>
      <c r="G259" s="57"/>
    </row>
    <row r="260" spans="1:7" ht="12.75" x14ac:dyDescent="0.2">
      <c r="A260" s="3">
        <v>48</v>
      </c>
      <c r="B260" s="4" t="s">
        <v>78</v>
      </c>
      <c r="C260" s="3" t="s">
        <v>273</v>
      </c>
      <c r="D260" s="3" t="s">
        <v>274</v>
      </c>
      <c r="E260" s="3">
        <v>10</v>
      </c>
      <c r="G260" s="57"/>
    </row>
    <row r="261" spans="1:7" ht="12.75" x14ac:dyDescent="0.2">
      <c r="A261" s="3">
        <v>48</v>
      </c>
      <c r="B261" s="4" t="s">
        <v>78</v>
      </c>
      <c r="C261" s="3" t="s">
        <v>273</v>
      </c>
      <c r="D261" s="3" t="s">
        <v>283</v>
      </c>
      <c r="E261" s="3">
        <v>2897</v>
      </c>
      <c r="G261" s="57"/>
    </row>
    <row r="262" spans="1:7" ht="12.75" x14ac:dyDescent="0.2">
      <c r="A262" s="3">
        <v>48</v>
      </c>
      <c r="B262" s="4" t="s">
        <v>78</v>
      </c>
      <c r="C262" s="3" t="s">
        <v>273</v>
      </c>
      <c r="D262" s="3" t="s">
        <v>315</v>
      </c>
      <c r="E262" s="3">
        <v>44</v>
      </c>
      <c r="G262" s="57"/>
    </row>
    <row r="263" spans="1:7" ht="12.75" x14ac:dyDescent="0.2">
      <c r="A263" s="3">
        <v>48</v>
      </c>
      <c r="B263" s="4" t="s">
        <v>78</v>
      </c>
      <c r="C263" s="3" t="s">
        <v>273</v>
      </c>
      <c r="D263" s="3" t="s">
        <v>128</v>
      </c>
      <c r="E263" s="3">
        <v>783</v>
      </c>
      <c r="G263" s="57"/>
    </row>
    <row r="264" spans="1:7" ht="12.75" x14ac:dyDescent="0.2">
      <c r="A264" s="3">
        <v>48</v>
      </c>
      <c r="B264" s="4" t="s">
        <v>78</v>
      </c>
      <c r="C264" s="3" t="s">
        <v>273</v>
      </c>
      <c r="D264" s="3" t="s">
        <v>353</v>
      </c>
      <c r="E264" s="3">
        <v>28</v>
      </c>
      <c r="G264" s="57"/>
    </row>
    <row r="265" spans="1:7" ht="12.75" x14ac:dyDescent="0.2">
      <c r="A265" s="3">
        <v>48</v>
      </c>
      <c r="B265" s="4" t="s">
        <v>78</v>
      </c>
      <c r="C265" s="3" t="s">
        <v>273</v>
      </c>
      <c r="D265" s="3" t="s">
        <v>371</v>
      </c>
      <c r="E265" s="3">
        <v>192</v>
      </c>
      <c r="G265" s="57"/>
    </row>
    <row r="266" spans="1:7" ht="12.75" x14ac:dyDescent="0.2">
      <c r="A266" s="3">
        <v>48</v>
      </c>
      <c r="B266" s="4" t="s">
        <v>78</v>
      </c>
      <c r="C266" s="3" t="s">
        <v>273</v>
      </c>
      <c r="D266" s="3" t="s">
        <v>14</v>
      </c>
      <c r="E266" s="3">
        <v>263</v>
      </c>
      <c r="G266" s="57"/>
    </row>
    <row r="267" spans="1:7" ht="12.75" x14ac:dyDescent="0.2">
      <c r="A267" s="3">
        <v>48</v>
      </c>
      <c r="B267" s="4" t="s">
        <v>78</v>
      </c>
      <c r="C267" s="3" t="s">
        <v>273</v>
      </c>
      <c r="D267" s="3" t="s">
        <v>138</v>
      </c>
      <c r="E267" s="3">
        <v>30</v>
      </c>
      <c r="F267">
        <f>SUM(E260:E267)</f>
        <v>4247</v>
      </c>
      <c r="G267" s="57"/>
    </row>
    <row r="268" spans="1:7" ht="12.75" x14ac:dyDescent="0.2">
      <c r="A268" s="3">
        <v>48</v>
      </c>
      <c r="B268" s="4" t="s">
        <v>78</v>
      </c>
      <c r="C268" s="3" t="s">
        <v>125</v>
      </c>
      <c r="D268" s="3" t="s">
        <v>274</v>
      </c>
      <c r="E268" s="3">
        <v>13</v>
      </c>
      <c r="G268" s="57"/>
    </row>
    <row r="269" spans="1:7" ht="12.75" x14ac:dyDescent="0.2">
      <c r="A269" s="3">
        <v>48</v>
      </c>
      <c r="B269" s="4" t="s">
        <v>78</v>
      </c>
      <c r="C269" s="3" t="s">
        <v>125</v>
      </c>
      <c r="D269" s="3" t="s">
        <v>283</v>
      </c>
      <c r="E269" s="3">
        <v>2780</v>
      </c>
      <c r="G269" s="57"/>
    </row>
    <row r="270" spans="1:7" ht="12.75" x14ac:dyDescent="0.2">
      <c r="A270" s="3">
        <v>48</v>
      </c>
      <c r="B270" s="4" t="s">
        <v>78</v>
      </c>
      <c r="C270" s="3" t="s">
        <v>125</v>
      </c>
      <c r="D270" s="3" t="s">
        <v>315</v>
      </c>
      <c r="E270" s="3">
        <v>42</v>
      </c>
      <c r="G270" s="57"/>
    </row>
    <row r="271" spans="1:7" ht="12.75" x14ac:dyDescent="0.2">
      <c r="A271" s="3">
        <v>48</v>
      </c>
      <c r="B271" s="4" t="s">
        <v>78</v>
      </c>
      <c r="C271" s="3" t="s">
        <v>125</v>
      </c>
      <c r="D271" s="3" t="s">
        <v>128</v>
      </c>
      <c r="E271" s="3">
        <v>834</v>
      </c>
      <c r="G271" s="57"/>
    </row>
    <row r="272" spans="1:7" ht="12.75" x14ac:dyDescent="0.2">
      <c r="A272" s="3">
        <v>48</v>
      </c>
      <c r="B272" s="4" t="s">
        <v>78</v>
      </c>
      <c r="C272" s="3" t="s">
        <v>125</v>
      </c>
      <c r="D272" s="3" t="s">
        <v>353</v>
      </c>
      <c r="E272" s="3">
        <v>32</v>
      </c>
      <c r="G272" s="57"/>
    </row>
    <row r="273" spans="1:7" ht="12.75" x14ac:dyDescent="0.2">
      <c r="A273" s="3">
        <v>48</v>
      </c>
      <c r="B273" s="4" t="s">
        <v>78</v>
      </c>
      <c r="C273" s="3" t="s">
        <v>125</v>
      </c>
      <c r="D273" s="3" t="s">
        <v>371</v>
      </c>
      <c r="E273" s="3">
        <v>199</v>
      </c>
      <c r="G273" s="57"/>
    </row>
    <row r="274" spans="1:7" ht="12.75" x14ac:dyDescent="0.2">
      <c r="A274" s="3">
        <v>48</v>
      </c>
      <c r="B274" s="4" t="s">
        <v>78</v>
      </c>
      <c r="C274" s="3" t="s">
        <v>125</v>
      </c>
      <c r="D274" s="3" t="s">
        <v>14</v>
      </c>
      <c r="E274" s="3">
        <v>320</v>
      </c>
      <c r="G274" s="57"/>
    </row>
    <row r="275" spans="1:7" ht="12.75" x14ac:dyDescent="0.2">
      <c r="A275" s="3">
        <v>48</v>
      </c>
      <c r="B275" s="4" t="s">
        <v>78</v>
      </c>
      <c r="C275" s="3" t="s">
        <v>125</v>
      </c>
      <c r="D275" s="3" t="s">
        <v>138</v>
      </c>
      <c r="E275" s="3">
        <v>27</v>
      </c>
      <c r="F275">
        <f>SUM(E268:E275)</f>
        <v>4247</v>
      </c>
      <c r="G275" s="57"/>
    </row>
    <row r="276" spans="1:7" ht="12.75" x14ac:dyDescent="0.2">
      <c r="A276" s="3">
        <v>36</v>
      </c>
      <c r="B276" s="4" t="s">
        <v>66</v>
      </c>
      <c r="C276" s="3" t="s">
        <v>347</v>
      </c>
      <c r="D276" s="3" t="s">
        <v>366</v>
      </c>
      <c r="E276" s="3">
        <v>9</v>
      </c>
      <c r="G276" s="59">
        <v>4090</v>
      </c>
    </row>
    <row r="277" spans="1:7" ht="12.75" x14ac:dyDescent="0.2">
      <c r="A277" s="3">
        <v>36</v>
      </c>
      <c r="B277" s="4" t="s">
        <v>66</v>
      </c>
      <c r="C277" s="3" t="s">
        <v>347</v>
      </c>
      <c r="D277" s="3" t="s">
        <v>274</v>
      </c>
      <c r="E277" s="3">
        <v>0</v>
      </c>
      <c r="G277" s="57"/>
    </row>
    <row r="278" spans="1:7" ht="12.75" x14ac:dyDescent="0.2">
      <c r="A278" s="3">
        <v>36</v>
      </c>
      <c r="B278" s="4" t="s">
        <v>66</v>
      </c>
      <c r="C278" s="3" t="s">
        <v>347</v>
      </c>
      <c r="D278" s="3" t="s">
        <v>367</v>
      </c>
      <c r="E278" s="3">
        <v>7</v>
      </c>
      <c r="G278" s="57"/>
    </row>
    <row r="279" spans="1:7" ht="12.75" x14ac:dyDescent="0.2">
      <c r="A279" s="3">
        <v>36</v>
      </c>
      <c r="B279" s="4" t="s">
        <v>66</v>
      </c>
      <c r="C279" s="3" t="s">
        <v>347</v>
      </c>
      <c r="D279" s="3" t="s">
        <v>368</v>
      </c>
      <c r="E279" s="3">
        <v>55</v>
      </c>
      <c r="G279" s="57"/>
    </row>
    <row r="280" spans="1:7" ht="12.75" x14ac:dyDescent="0.2">
      <c r="A280" s="3">
        <v>36</v>
      </c>
      <c r="B280" s="4" t="s">
        <v>66</v>
      </c>
      <c r="C280" s="3" t="s">
        <v>347</v>
      </c>
      <c r="D280" s="3" t="s">
        <v>283</v>
      </c>
      <c r="E280" s="3">
        <v>586</v>
      </c>
      <c r="G280" s="57"/>
    </row>
    <row r="281" spans="1:7" ht="12.75" x14ac:dyDescent="0.2">
      <c r="A281" s="3">
        <v>36</v>
      </c>
      <c r="B281" s="4" t="s">
        <v>66</v>
      </c>
      <c r="C281" s="3" t="s">
        <v>347</v>
      </c>
      <c r="D281" s="3" t="s">
        <v>315</v>
      </c>
      <c r="E281" s="3">
        <v>52</v>
      </c>
      <c r="G281" s="57"/>
    </row>
    <row r="282" spans="1:7" ht="12.75" x14ac:dyDescent="0.2">
      <c r="A282" s="3">
        <v>36</v>
      </c>
      <c r="B282" s="4" t="s">
        <v>66</v>
      </c>
      <c r="C282" s="3" t="s">
        <v>347</v>
      </c>
      <c r="D282" s="3" t="s">
        <v>316</v>
      </c>
      <c r="E282" s="3">
        <v>44</v>
      </c>
      <c r="G282" s="57"/>
    </row>
    <row r="283" spans="1:7" ht="12.75" x14ac:dyDescent="0.2">
      <c r="A283" s="3">
        <v>36</v>
      </c>
      <c r="B283" s="4" t="s">
        <v>66</v>
      </c>
      <c r="C283" s="3" t="s">
        <v>347</v>
      </c>
      <c r="D283" s="3" t="s">
        <v>369</v>
      </c>
      <c r="E283" s="3">
        <v>34</v>
      </c>
      <c r="G283" s="57"/>
    </row>
    <row r="284" spans="1:7" ht="12.75" x14ac:dyDescent="0.2">
      <c r="A284" s="3">
        <v>36</v>
      </c>
      <c r="B284" s="4" t="s">
        <v>66</v>
      </c>
      <c r="C284" s="3" t="s">
        <v>347</v>
      </c>
      <c r="D284" s="3" t="s">
        <v>128</v>
      </c>
      <c r="E284" s="3">
        <v>1416</v>
      </c>
      <c r="G284" s="57"/>
    </row>
    <row r="285" spans="1:7" ht="12.75" x14ac:dyDescent="0.2">
      <c r="A285" s="3">
        <v>36</v>
      </c>
      <c r="B285" s="4" t="s">
        <v>66</v>
      </c>
      <c r="C285" s="3" t="s">
        <v>347</v>
      </c>
      <c r="D285" s="3" t="s">
        <v>370</v>
      </c>
      <c r="E285" s="3">
        <v>21</v>
      </c>
      <c r="G285" s="57"/>
    </row>
    <row r="286" spans="1:7" ht="12.75" x14ac:dyDescent="0.2">
      <c r="A286" s="3">
        <v>36</v>
      </c>
      <c r="B286" s="4" t="s">
        <v>66</v>
      </c>
      <c r="C286" s="3" t="s">
        <v>347</v>
      </c>
      <c r="D286" s="3" t="s">
        <v>353</v>
      </c>
      <c r="E286" s="3">
        <v>80</v>
      </c>
      <c r="G286" s="57"/>
    </row>
    <row r="287" spans="1:7" ht="12.75" x14ac:dyDescent="0.2">
      <c r="A287" s="3">
        <v>36</v>
      </c>
      <c r="B287" s="4" t="s">
        <v>66</v>
      </c>
      <c r="C287" s="3" t="s">
        <v>347</v>
      </c>
      <c r="D287" s="3" t="s">
        <v>371</v>
      </c>
      <c r="E287" s="3">
        <v>536</v>
      </c>
      <c r="G287" s="57"/>
    </row>
    <row r="288" spans="1:7" ht="12.75" x14ac:dyDescent="0.2">
      <c r="A288" s="3">
        <v>36</v>
      </c>
      <c r="B288" s="4" t="s">
        <v>66</v>
      </c>
      <c r="C288" s="3" t="s">
        <v>347</v>
      </c>
      <c r="D288" s="3" t="s">
        <v>14</v>
      </c>
      <c r="E288" s="3">
        <v>93</v>
      </c>
      <c r="G288" s="57"/>
    </row>
    <row r="289" spans="1:7" ht="12.75" x14ac:dyDescent="0.2">
      <c r="A289" s="3">
        <v>36</v>
      </c>
      <c r="B289" s="4" t="s">
        <v>66</v>
      </c>
      <c r="C289" s="3" t="s">
        <v>347</v>
      </c>
      <c r="D289" s="3" t="s">
        <v>138</v>
      </c>
      <c r="E289" s="3">
        <v>5</v>
      </c>
      <c r="F289">
        <f>SUM(E276:E289)</f>
        <v>2938</v>
      </c>
      <c r="G289" s="57"/>
    </row>
    <row r="290" spans="1:7" ht="12.75" x14ac:dyDescent="0.2">
      <c r="A290" s="3">
        <v>36</v>
      </c>
      <c r="B290" s="4" t="s">
        <v>66</v>
      </c>
      <c r="C290" s="3" t="s">
        <v>273</v>
      </c>
      <c r="D290" s="3" t="s">
        <v>274</v>
      </c>
      <c r="E290" s="3">
        <v>6</v>
      </c>
      <c r="G290" s="57"/>
    </row>
    <row r="291" spans="1:7" ht="12.75" x14ac:dyDescent="0.2">
      <c r="A291" s="3">
        <v>36</v>
      </c>
      <c r="B291" s="4" t="s">
        <v>66</v>
      </c>
      <c r="C291" s="3" t="s">
        <v>273</v>
      </c>
      <c r="D291" s="3" t="s">
        <v>283</v>
      </c>
      <c r="E291" s="3">
        <v>747</v>
      </c>
      <c r="G291" s="57"/>
    </row>
    <row r="292" spans="1:7" ht="12.75" x14ac:dyDescent="0.2">
      <c r="A292" s="3">
        <v>36</v>
      </c>
      <c r="B292" s="4" t="s">
        <v>66</v>
      </c>
      <c r="C292" s="3" t="s">
        <v>273</v>
      </c>
      <c r="D292" s="3" t="s">
        <v>315</v>
      </c>
      <c r="E292" s="3">
        <v>39</v>
      </c>
      <c r="G292" s="57"/>
    </row>
    <row r="293" spans="1:7" ht="12.75" x14ac:dyDescent="0.2">
      <c r="A293" s="3">
        <v>36</v>
      </c>
      <c r="B293" s="4" t="s">
        <v>66</v>
      </c>
      <c r="C293" s="3" t="s">
        <v>273</v>
      </c>
      <c r="D293" s="3" t="s">
        <v>128</v>
      </c>
      <c r="E293" s="3">
        <v>1527</v>
      </c>
      <c r="G293" s="57"/>
    </row>
    <row r="294" spans="1:7" ht="12.75" x14ac:dyDescent="0.2">
      <c r="A294" s="3">
        <v>36</v>
      </c>
      <c r="B294" s="4" t="s">
        <v>66</v>
      </c>
      <c r="C294" s="3" t="s">
        <v>273</v>
      </c>
      <c r="D294" s="3" t="s">
        <v>353</v>
      </c>
      <c r="E294" s="3">
        <v>20</v>
      </c>
      <c r="G294" s="57"/>
    </row>
    <row r="295" spans="1:7" ht="12.75" x14ac:dyDescent="0.2">
      <c r="A295" s="3">
        <v>36</v>
      </c>
      <c r="B295" s="4" t="s">
        <v>66</v>
      </c>
      <c r="C295" s="3" t="s">
        <v>273</v>
      </c>
      <c r="D295" s="3" t="s">
        <v>371</v>
      </c>
      <c r="E295" s="3">
        <v>391</v>
      </c>
      <c r="G295" s="57"/>
    </row>
    <row r="296" spans="1:7" ht="12.75" x14ac:dyDescent="0.2">
      <c r="A296" s="3">
        <v>36</v>
      </c>
      <c r="B296" s="4" t="s">
        <v>66</v>
      </c>
      <c r="C296" s="3" t="s">
        <v>273</v>
      </c>
      <c r="D296" s="3" t="s">
        <v>14</v>
      </c>
      <c r="E296" s="3">
        <v>201</v>
      </c>
      <c r="G296" s="57"/>
    </row>
    <row r="297" spans="1:7" ht="12.75" x14ac:dyDescent="0.2">
      <c r="A297" s="3">
        <v>36</v>
      </c>
      <c r="B297" s="4" t="s">
        <v>66</v>
      </c>
      <c r="C297" s="3" t="s">
        <v>273</v>
      </c>
      <c r="D297" s="3" t="s">
        <v>138</v>
      </c>
      <c r="E297" s="3">
        <v>7</v>
      </c>
      <c r="F297">
        <f>SUM(E290:E297)</f>
        <v>2938</v>
      </c>
      <c r="G297" s="57"/>
    </row>
    <row r="298" spans="1:7" ht="12.75" x14ac:dyDescent="0.2">
      <c r="A298" s="3">
        <v>36</v>
      </c>
      <c r="B298" s="4" t="s">
        <v>66</v>
      </c>
      <c r="C298" s="3" t="s">
        <v>125</v>
      </c>
      <c r="D298" s="3" t="s">
        <v>274</v>
      </c>
      <c r="E298" s="3">
        <v>7</v>
      </c>
      <c r="G298" s="57"/>
    </row>
    <row r="299" spans="1:7" ht="12.75" x14ac:dyDescent="0.2">
      <c r="A299" s="3">
        <v>36</v>
      </c>
      <c r="B299" s="4" t="s">
        <v>66</v>
      </c>
      <c r="C299" s="3" t="s">
        <v>125</v>
      </c>
      <c r="D299" s="3" t="s">
        <v>283</v>
      </c>
      <c r="E299" s="3">
        <v>710</v>
      </c>
      <c r="G299" s="57"/>
    </row>
    <row r="300" spans="1:7" ht="12.75" x14ac:dyDescent="0.2">
      <c r="A300" s="3">
        <v>36</v>
      </c>
      <c r="B300" s="4" t="s">
        <v>66</v>
      </c>
      <c r="C300" s="3" t="s">
        <v>125</v>
      </c>
      <c r="D300" s="3" t="s">
        <v>315</v>
      </c>
      <c r="E300" s="3">
        <v>64</v>
      </c>
      <c r="G300" s="57"/>
    </row>
    <row r="301" spans="1:7" ht="12.75" x14ac:dyDescent="0.2">
      <c r="A301" s="3">
        <v>36</v>
      </c>
      <c r="B301" s="4" t="s">
        <v>66</v>
      </c>
      <c r="C301" s="3" t="s">
        <v>125</v>
      </c>
      <c r="D301" s="3" t="s">
        <v>128</v>
      </c>
      <c r="E301" s="3">
        <v>1378</v>
      </c>
      <c r="G301" s="57"/>
    </row>
    <row r="302" spans="1:7" ht="12.75" x14ac:dyDescent="0.2">
      <c r="A302" s="3">
        <v>36</v>
      </c>
      <c r="B302" s="4" t="s">
        <v>66</v>
      </c>
      <c r="C302" s="3" t="s">
        <v>125</v>
      </c>
      <c r="D302" s="3" t="s">
        <v>353</v>
      </c>
      <c r="E302" s="3">
        <v>126</v>
      </c>
      <c r="G302" s="57"/>
    </row>
    <row r="303" spans="1:7" ht="12.75" x14ac:dyDescent="0.2">
      <c r="A303" s="3">
        <v>36</v>
      </c>
      <c r="B303" s="4" t="s">
        <v>66</v>
      </c>
      <c r="C303" s="3" t="s">
        <v>125</v>
      </c>
      <c r="D303" s="3" t="s">
        <v>371</v>
      </c>
      <c r="E303" s="3">
        <v>367</v>
      </c>
      <c r="G303" s="57"/>
    </row>
    <row r="304" spans="1:7" ht="12.75" x14ac:dyDescent="0.2">
      <c r="A304" s="3">
        <v>36</v>
      </c>
      <c r="B304" s="4" t="s">
        <v>66</v>
      </c>
      <c r="C304" s="3" t="s">
        <v>125</v>
      </c>
      <c r="D304" s="3" t="s">
        <v>14</v>
      </c>
      <c r="E304" s="3">
        <v>265</v>
      </c>
      <c r="G304" s="57"/>
    </row>
    <row r="305" spans="1:7" ht="12.75" x14ac:dyDescent="0.2">
      <c r="A305" s="3">
        <v>36</v>
      </c>
      <c r="B305" s="4" t="s">
        <v>66</v>
      </c>
      <c r="C305" s="3" t="s">
        <v>125</v>
      </c>
      <c r="D305" s="3" t="s">
        <v>138</v>
      </c>
      <c r="E305" s="3">
        <v>21</v>
      </c>
      <c r="F305">
        <f>SUM(E298:E305)</f>
        <v>2938</v>
      </c>
      <c r="G305" s="57"/>
    </row>
    <row r="306" spans="1:7" ht="12.75" x14ac:dyDescent="0.2">
      <c r="A306" s="3">
        <v>2</v>
      </c>
      <c r="B306" s="4" t="s">
        <v>25</v>
      </c>
      <c r="C306" s="3" t="s">
        <v>347</v>
      </c>
      <c r="D306" s="3" t="s">
        <v>366</v>
      </c>
      <c r="E306" s="3">
        <v>13</v>
      </c>
      <c r="G306" s="59">
        <v>4526</v>
      </c>
    </row>
    <row r="307" spans="1:7" ht="12.75" x14ac:dyDescent="0.2">
      <c r="A307" s="3">
        <v>2</v>
      </c>
      <c r="B307" s="4" t="s">
        <v>25</v>
      </c>
      <c r="C307" s="3" t="s">
        <v>347</v>
      </c>
      <c r="D307" s="3" t="s">
        <v>274</v>
      </c>
      <c r="E307" s="3">
        <v>0</v>
      </c>
      <c r="G307" s="57"/>
    </row>
    <row r="308" spans="1:7" ht="12.75" x14ac:dyDescent="0.2">
      <c r="A308" s="3">
        <v>2</v>
      </c>
      <c r="B308" s="4" t="s">
        <v>25</v>
      </c>
      <c r="C308" s="3" t="s">
        <v>347</v>
      </c>
      <c r="D308" s="3" t="s">
        <v>367</v>
      </c>
      <c r="E308" s="3">
        <v>10</v>
      </c>
      <c r="G308" s="57"/>
    </row>
    <row r="309" spans="1:7" ht="12.75" x14ac:dyDescent="0.2">
      <c r="A309" s="3">
        <v>2</v>
      </c>
      <c r="B309" s="4" t="s">
        <v>25</v>
      </c>
      <c r="C309" s="3" t="s">
        <v>347</v>
      </c>
      <c r="D309" s="3" t="s">
        <v>368</v>
      </c>
      <c r="E309" s="3">
        <v>4</v>
      </c>
      <c r="G309" s="57"/>
    </row>
    <row r="310" spans="1:7" ht="12.75" x14ac:dyDescent="0.2">
      <c r="A310" s="3">
        <v>2</v>
      </c>
      <c r="B310" s="4" t="s">
        <v>25</v>
      </c>
      <c r="C310" s="3" t="s">
        <v>347</v>
      </c>
      <c r="D310" s="3" t="s">
        <v>283</v>
      </c>
      <c r="E310" s="3">
        <v>1493</v>
      </c>
      <c r="G310" s="57"/>
    </row>
    <row r="311" spans="1:7" ht="12.75" x14ac:dyDescent="0.2">
      <c r="A311" s="3">
        <v>2</v>
      </c>
      <c r="B311" s="4" t="s">
        <v>25</v>
      </c>
      <c r="C311" s="3" t="s">
        <v>347</v>
      </c>
      <c r="D311" s="3" t="s">
        <v>315</v>
      </c>
      <c r="E311" s="3">
        <v>110</v>
      </c>
      <c r="G311" s="57"/>
    </row>
    <row r="312" spans="1:7" ht="12.75" x14ac:dyDescent="0.2">
      <c r="A312" s="3">
        <v>2</v>
      </c>
      <c r="B312" s="4" t="s">
        <v>25</v>
      </c>
      <c r="C312" s="3" t="s">
        <v>347</v>
      </c>
      <c r="D312" s="3" t="s">
        <v>316</v>
      </c>
      <c r="E312" s="3">
        <v>47</v>
      </c>
      <c r="G312" s="57"/>
    </row>
    <row r="313" spans="1:7" ht="12.75" x14ac:dyDescent="0.2">
      <c r="A313" s="3">
        <v>2</v>
      </c>
      <c r="B313" s="4" t="s">
        <v>25</v>
      </c>
      <c r="C313" s="3" t="s">
        <v>347</v>
      </c>
      <c r="D313" s="3" t="s">
        <v>369</v>
      </c>
      <c r="E313" s="3">
        <v>8</v>
      </c>
      <c r="G313" s="57"/>
    </row>
    <row r="314" spans="1:7" ht="12.75" x14ac:dyDescent="0.2">
      <c r="A314" s="3">
        <v>2</v>
      </c>
      <c r="B314" s="4" t="s">
        <v>25</v>
      </c>
      <c r="C314" s="3" t="s">
        <v>347</v>
      </c>
      <c r="D314" s="3" t="s">
        <v>128</v>
      </c>
      <c r="E314" s="3">
        <v>1507</v>
      </c>
      <c r="G314" s="57"/>
    </row>
    <row r="315" spans="1:7" ht="12.75" x14ac:dyDescent="0.2">
      <c r="A315" s="3">
        <v>2</v>
      </c>
      <c r="B315" s="4" t="s">
        <v>25</v>
      </c>
      <c r="C315" s="3" t="s">
        <v>347</v>
      </c>
      <c r="D315" s="3" t="s">
        <v>370</v>
      </c>
      <c r="E315" s="3">
        <v>8</v>
      </c>
      <c r="G315" s="57"/>
    </row>
    <row r="316" spans="1:7" ht="12.75" x14ac:dyDescent="0.2">
      <c r="A316" s="3">
        <v>2</v>
      </c>
      <c r="B316" s="4" t="s">
        <v>25</v>
      </c>
      <c r="C316" s="3" t="s">
        <v>347</v>
      </c>
      <c r="D316" s="3" t="s">
        <v>353</v>
      </c>
      <c r="E316" s="3">
        <v>30</v>
      </c>
      <c r="G316" s="57"/>
    </row>
    <row r="317" spans="1:7" ht="12.75" x14ac:dyDescent="0.2">
      <c r="A317" s="3">
        <v>2</v>
      </c>
      <c r="B317" s="4" t="s">
        <v>25</v>
      </c>
      <c r="C317" s="3" t="s">
        <v>347</v>
      </c>
      <c r="D317" s="3" t="s">
        <v>371</v>
      </c>
      <c r="E317" s="3">
        <v>331</v>
      </c>
      <c r="G317" s="57"/>
    </row>
    <row r="318" spans="1:7" ht="12.75" x14ac:dyDescent="0.2">
      <c r="A318" s="3">
        <v>2</v>
      </c>
      <c r="B318" s="4" t="s">
        <v>25</v>
      </c>
      <c r="C318" s="3" t="s">
        <v>347</v>
      </c>
      <c r="D318" s="3" t="s">
        <v>14</v>
      </c>
      <c r="E318" s="3">
        <v>103</v>
      </c>
      <c r="G318" s="57"/>
    </row>
    <row r="319" spans="1:7" ht="12.75" x14ac:dyDescent="0.2">
      <c r="A319" s="3">
        <v>2</v>
      </c>
      <c r="B319" s="4" t="s">
        <v>25</v>
      </c>
      <c r="C319" s="3" t="s">
        <v>347</v>
      </c>
      <c r="D319" s="3" t="s">
        <v>138</v>
      </c>
      <c r="E319" s="3">
        <v>28</v>
      </c>
      <c r="F319">
        <f>SUM(E306:E319)</f>
        <v>3692</v>
      </c>
      <c r="G319" s="57"/>
    </row>
    <row r="320" spans="1:7" ht="12.75" x14ac:dyDescent="0.2">
      <c r="A320" s="3">
        <v>2</v>
      </c>
      <c r="B320" s="4" t="s">
        <v>25</v>
      </c>
      <c r="C320" s="3" t="s">
        <v>273</v>
      </c>
      <c r="D320" s="3" t="s">
        <v>274</v>
      </c>
      <c r="E320" s="3">
        <v>5</v>
      </c>
      <c r="G320" s="57"/>
    </row>
    <row r="321" spans="1:7" ht="12.75" x14ac:dyDescent="0.2">
      <c r="A321" s="3">
        <v>2</v>
      </c>
      <c r="B321" s="4" t="s">
        <v>25</v>
      </c>
      <c r="C321" s="3" t="s">
        <v>273</v>
      </c>
      <c r="D321" s="3" t="s">
        <v>283</v>
      </c>
      <c r="E321" s="3">
        <v>1570</v>
      </c>
      <c r="G321" s="57"/>
    </row>
    <row r="322" spans="1:7" ht="12.75" x14ac:dyDescent="0.2">
      <c r="A322" s="3">
        <v>2</v>
      </c>
      <c r="B322" s="4" t="s">
        <v>25</v>
      </c>
      <c r="C322" s="3" t="s">
        <v>273</v>
      </c>
      <c r="D322" s="3" t="s">
        <v>315</v>
      </c>
      <c r="E322" s="3">
        <v>105</v>
      </c>
      <c r="G322" s="57"/>
    </row>
    <row r="323" spans="1:7" ht="12.75" x14ac:dyDescent="0.2">
      <c r="A323" s="3">
        <v>2</v>
      </c>
      <c r="B323" s="4" t="s">
        <v>25</v>
      </c>
      <c r="C323" s="3" t="s">
        <v>273</v>
      </c>
      <c r="D323" s="3" t="s">
        <v>128</v>
      </c>
      <c r="E323" s="3">
        <v>1555</v>
      </c>
      <c r="G323" s="57"/>
    </row>
    <row r="324" spans="1:7" ht="12.75" x14ac:dyDescent="0.2">
      <c r="A324" s="3">
        <v>2</v>
      </c>
      <c r="B324" s="4" t="s">
        <v>25</v>
      </c>
      <c r="C324" s="3" t="s">
        <v>273</v>
      </c>
      <c r="D324" s="3" t="s">
        <v>353</v>
      </c>
      <c r="E324" s="3">
        <v>21</v>
      </c>
      <c r="G324" s="57"/>
    </row>
    <row r="325" spans="1:7" ht="12.75" x14ac:dyDescent="0.2">
      <c r="A325" s="3">
        <v>2</v>
      </c>
      <c r="B325" s="4" t="s">
        <v>25</v>
      </c>
      <c r="C325" s="3" t="s">
        <v>273</v>
      </c>
      <c r="D325" s="3" t="s">
        <v>371</v>
      </c>
      <c r="E325" s="3">
        <v>219</v>
      </c>
      <c r="G325" s="57"/>
    </row>
    <row r="326" spans="1:7" ht="12.75" x14ac:dyDescent="0.2">
      <c r="A326" s="3">
        <v>2</v>
      </c>
      <c r="B326" s="4" t="s">
        <v>25</v>
      </c>
      <c r="C326" s="3" t="s">
        <v>273</v>
      </c>
      <c r="D326" s="3" t="s">
        <v>14</v>
      </c>
      <c r="E326" s="3">
        <v>188</v>
      </c>
      <c r="G326" s="57"/>
    </row>
    <row r="327" spans="1:7" ht="12.75" x14ac:dyDescent="0.2">
      <c r="A327" s="3">
        <v>2</v>
      </c>
      <c r="B327" s="4" t="s">
        <v>25</v>
      </c>
      <c r="C327" s="3" t="s">
        <v>273</v>
      </c>
      <c r="D327" s="3" t="s">
        <v>138</v>
      </c>
      <c r="E327" s="3">
        <v>29</v>
      </c>
      <c r="F327">
        <f>SUM(E320:E327)</f>
        <v>3692</v>
      </c>
      <c r="G327" s="57"/>
    </row>
    <row r="328" spans="1:7" ht="12.75" x14ac:dyDescent="0.2">
      <c r="A328" s="3">
        <v>2</v>
      </c>
      <c r="B328" s="4" t="s">
        <v>25</v>
      </c>
      <c r="C328" s="3" t="s">
        <v>125</v>
      </c>
      <c r="D328" s="3" t="s">
        <v>274</v>
      </c>
      <c r="E328" s="3">
        <v>6</v>
      </c>
      <c r="G328" s="57"/>
    </row>
    <row r="329" spans="1:7" ht="12.75" x14ac:dyDescent="0.2">
      <c r="A329" s="3">
        <v>2</v>
      </c>
      <c r="B329" s="4" t="s">
        <v>25</v>
      </c>
      <c r="C329" s="3" t="s">
        <v>125</v>
      </c>
      <c r="D329" s="3" t="s">
        <v>283</v>
      </c>
      <c r="E329" s="3">
        <v>1569</v>
      </c>
      <c r="G329" s="57"/>
    </row>
    <row r="330" spans="1:7" ht="12.75" x14ac:dyDescent="0.2">
      <c r="A330" s="3">
        <v>2</v>
      </c>
      <c r="B330" s="4" t="s">
        <v>25</v>
      </c>
      <c r="C330" s="3" t="s">
        <v>125</v>
      </c>
      <c r="D330" s="3" t="s">
        <v>315</v>
      </c>
      <c r="E330" s="3">
        <v>89</v>
      </c>
      <c r="G330" s="57"/>
    </row>
    <row r="331" spans="1:7" ht="12.75" x14ac:dyDescent="0.2">
      <c r="A331" s="3">
        <v>2</v>
      </c>
      <c r="B331" s="4" t="s">
        <v>25</v>
      </c>
      <c r="C331" s="3" t="s">
        <v>125</v>
      </c>
      <c r="D331" s="3" t="s">
        <v>128</v>
      </c>
      <c r="E331" s="3">
        <v>1501</v>
      </c>
      <c r="G331" s="57"/>
    </row>
    <row r="332" spans="1:7" ht="12.75" x14ac:dyDescent="0.2">
      <c r="A332" s="3">
        <v>2</v>
      </c>
      <c r="B332" s="4" t="s">
        <v>25</v>
      </c>
      <c r="C332" s="3" t="s">
        <v>125</v>
      </c>
      <c r="D332" s="3" t="s">
        <v>353</v>
      </c>
      <c r="E332" s="3">
        <v>21</v>
      </c>
      <c r="G332" s="57"/>
    </row>
    <row r="333" spans="1:7" ht="12.75" x14ac:dyDescent="0.2">
      <c r="A333" s="3">
        <v>2</v>
      </c>
      <c r="B333" s="4" t="s">
        <v>25</v>
      </c>
      <c r="C333" s="3" t="s">
        <v>125</v>
      </c>
      <c r="D333" s="3" t="s">
        <v>371</v>
      </c>
      <c r="E333" s="3">
        <v>221</v>
      </c>
      <c r="G333" s="57"/>
    </row>
    <row r="334" spans="1:7" ht="12.75" x14ac:dyDescent="0.2">
      <c r="A334" s="3">
        <v>2</v>
      </c>
      <c r="B334" s="4" t="s">
        <v>25</v>
      </c>
      <c r="C334" s="3" t="s">
        <v>125</v>
      </c>
      <c r="D334" s="3" t="s">
        <v>14</v>
      </c>
      <c r="E334" s="3">
        <v>255</v>
      </c>
      <c r="G334" s="57"/>
    </row>
    <row r="335" spans="1:7" ht="12.75" x14ac:dyDescent="0.2">
      <c r="A335" s="3">
        <v>2</v>
      </c>
      <c r="B335" s="4" t="s">
        <v>25</v>
      </c>
      <c r="C335" s="3" t="s">
        <v>125</v>
      </c>
      <c r="D335" s="3" t="s">
        <v>138</v>
      </c>
      <c r="E335" s="3">
        <v>30</v>
      </c>
      <c r="F335">
        <f>SUM(E328:E335)</f>
        <v>3692</v>
      </c>
      <c r="G335" s="57"/>
    </row>
    <row r="336" spans="1:7" ht="12.75" x14ac:dyDescent="0.2">
      <c r="A336" s="3">
        <v>81</v>
      </c>
      <c r="B336" s="4" t="s">
        <v>104</v>
      </c>
      <c r="C336" s="3" t="s">
        <v>347</v>
      </c>
      <c r="D336" s="3" t="s">
        <v>366</v>
      </c>
      <c r="E336" s="3">
        <v>1</v>
      </c>
      <c r="G336" s="59">
        <v>4158</v>
      </c>
    </row>
    <row r="337" spans="1:7" ht="12.75" x14ac:dyDescent="0.2">
      <c r="A337" s="3">
        <v>81</v>
      </c>
      <c r="B337" s="4" t="s">
        <v>104</v>
      </c>
      <c r="C337" s="3" t="s">
        <v>347</v>
      </c>
      <c r="D337" s="3" t="s">
        <v>274</v>
      </c>
      <c r="E337" s="3">
        <v>0</v>
      </c>
      <c r="G337" s="57"/>
    </row>
    <row r="338" spans="1:7" ht="12.75" x14ac:dyDescent="0.2">
      <c r="A338" s="3">
        <v>81</v>
      </c>
      <c r="B338" s="4" t="s">
        <v>104</v>
      </c>
      <c r="C338" s="3" t="s">
        <v>347</v>
      </c>
      <c r="D338" s="3" t="s">
        <v>367</v>
      </c>
      <c r="E338" s="3">
        <v>2</v>
      </c>
      <c r="G338" s="57"/>
    </row>
    <row r="339" spans="1:7" ht="12.75" x14ac:dyDescent="0.2">
      <c r="A339" s="3">
        <v>81</v>
      </c>
      <c r="B339" s="4" t="s">
        <v>104</v>
      </c>
      <c r="C339" s="3" t="s">
        <v>347</v>
      </c>
      <c r="D339" s="3" t="s">
        <v>368</v>
      </c>
      <c r="E339" s="3">
        <v>7</v>
      </c>
      <c r="G339" s="57"/>
    </row>
    <row r="340" spans="1:7" ht="12.75" x14ac:dyDescent="0.2">
      <c r="A340" s="3">
        <v>81</v>
      </c>
      <c r="B340" s="4" t="s">
        <v>104</v>
      </c>
      <c r="C340" s="3" t="s">
        <v>347</v>
      </c>
      <c r="D340" s="3" t="s">
        <v>283</v>
      </c>
      <c r="E340" s="3">
        <v>1383</v>
      </c>
      <c r="G340" s="57"/>
    </row>
    <row r="341" spans="1:7" ht="12.75" x14ac:dyDescent="0.2">
      <c r="A341" s="3">
        <v>81</v>
      </c>
      <c r="B341" s="4" t="s">
        <v>104</v>
      </c>
      <c r="C341" s="3" t="s">
        <v>347</v>
      </c>
      <c r="D341" s="3" t="s">
        <v>315</v>
      </c>
      <c r="E341" s="3">
        <v>79</v>
      </c>
      <c r="G341" s="57"/>
    </row>
    <row r="342" spans="1:7" ht="12.75" x14ac:dyDescent="0.2">
      <c r="A342" s="3">
        <v>81</v>
      </c>
      <c r="B342" s="4" t="s">
        <v>104</v>
      </c>
      <c r="C342" s="3" t="s">
        <v>347</v>
      </c>
      <c r="D342" s="3" t="s">
        <v>316</v>
      </c>
      <c r="E342" s="3">
        <v>85</v>
      </c>
      <c r="G342" s="57"/>
    </row>
    <row r="343" spans="1:7" ht="12.75" x14ac:dyDescent="0.2">
      <c r="A343" s="3">
        <v>81</v>
      </c>
      <c r="B343" s="4" t="s">
        <v>104</v>
      </c>
      <c r="C343" s="3" t="s">
        <v>347</v>
      </c>
      <c r="D343" s="3" t="s">
        <v>369</v>
      </c>
      <c r="E343" s="3">
        <v>7</v>
      </c>
      <c r="G343" s="57"/>
    </row>
    <row r="344" spans="1:7" ht="12.75" x14ac:dyDescent="0.2">
      <c r="A344" s="3">
        <v>81</v>
      </c>
      <c r="B344" s="4" t="s">
        <v>104</v>
      </c>
      <c r="C344" s="3" t="s">
        <v>347</v>
      </c>
      <c r="D344" s="3" t="s">
        <v>128</v>
      </c>
      <c r="E344" s="3">
        <v>1276</v>
      </c>
      <c r="G344" s="57"/>
    </row>
    <row r="345" spans="1:7" ht="12.75" x14ac:dyDescent="0.2">
      <c r="A345" s="3">
        <v>81</v>
      </c>
      <c r="B345" s="4" t="s">
        <v>104</v>
      </c>
      <c r="C345" s="3" t="s">
        <v>347</v>
      </c>
      <c r="D345" s="3" t="s">
        <v>370</v>
      </c>
      <c r="E345" s="3">
        <v>11</v>
      </c>
      <c r="G345" s="57"/>
    </row>
    <row r="346" spans="1:7" ht="12.75" x14ac:dyDescent="0.2">
      <c r="A346" s="3">
        <v>81</v>
      </c>
      <c r="B346" s="4" t="s">
        <v>104</v>
      </c>
      <c r="C346" s="3" t="s">
        <v>347</v>
      </c>
      <c r="D346" s="3" t="s">
        <v>353</v>
      </c>
      <c r="E346" s="3">
        <v>36</v>
      </c>
      <c r="G346" s="57"/>
    </row>
    <row r="347" spans="1:7" ht="12.75" x14ac:dyDescent="0.2">
      <c r="A347" s="3">
        <v>81</v>
      </c>
      <c r="B347" s="4" t="s">
        <v>104</v>
      </c>
      <c r="C347" s="3" t="s">
        <v>347</v>
      </c>
      <c r="D347" s="3" t="s">
        <v>371</v>
      </c>
      <c r="E347" s="3">
        <v>302</v>
      </c>
      <c r="G347" s="57"/>
    </row>
    <row r="348" spans="1:7" ht="12.75" x14ac:dyDescent="0.2">
      <c r="A348" s="3">
        <v>81</v>
      </c>
      <c r="B348" s="4" t="s">
        <v>104</v>
      </c>
      <c r="C348" s="3" t="s">
        <v>347</v>
      </c>
      <c r="D348" s="3" t="s">
        <v>14</v>
      </c>
      <c r="E348" s="3">
        <v>100</v>
      </c>
      <c r="G348" s="57"/>
    </row>
    <row r="349" spans="1:7" ht="12.75" x14ac:dyDescent="0.2">
      <c r="A349" s="3">
        <v>81</v>
      </c>
      <c r="B349" s="4" t="s">
        <v>104</v>
      </c>
      <c r="C349" s="3" t="s">
        <v>347</v>
      </c>
      <c r="D349" s="3" t="s">
        <v>138</v>
      </c>
      <c r="E349" s="3">
        <v>16</v>
      </c>
      <c r="F349">
        <f>SUM(E336:E349)</f>
        <v>3305</v>
      </c>
      <c r="G349" s="57"/>
    </row>
    <row r="350" spans="1:7" ht="12.75" x14ac:dyDescent="0.2">
      <c r="A350" s="3">
        <v>81</v>
      </c>
      <c r="B350" s="4" t="s">
        <v>104</v>
      </c>
      <c r="C350" s="3" t="s">
        <v>273</v>
      </c>
      <c r="D350" s="3" t="s">
        <v>274</v>
      </c>
      <c r="E350" s="3">
        <v>2</v>
      </c>
      <c r="G350" s="57"/>
    </row>
    <row r="351" spans="1:7" ht="12.75" x14ac:dyDescent="0.2">
      <c r="A351" s="3">
        <v>81</v>
      </c>
      <c r="B351" s="4" t="s">
        <v>104</v>
      </c>
      <c r="C351" s="3" t="s">
        <v>273</v>
      </c>
      <c r="D351" s="3" t="s">
        <v>283</v>
      </c>
      <c r="E351" s="3">
        <v>1586</v>
      </c>
      <c r="G351" s="57"/>
    </row>
    <row r="352" spans="1:7" ht="12.75" x14ac:dyDescent="0.2">
      <c r="A352" s="3">
        <v>81</v>
      </c>
      <c r="B352" s="4" t="s">
        <v>104</v>
      </c>
      <c r="C352" s="3" t="s">
        <v>273</v>
      </c>
      <c r="D352" s="3" t="s">
        <v>315</v>
      </c>
      <c r="E352" s="3">
        <v>69</v>
      </c>
      <c r="G352" s="57"/>
    </row>
    <row r="353" spans="1:7" ht="12.75" x14ac:dyDescent="0.2">
      <c r="A353" s="3">
        <v>81</v>
      </c>
      <c r="B353" s="4" t="s">
        <v>104</v>
      </c>
      <c r="C353" s="3" t="s">
        <v>273</v>
      </c>
      <c r="D353" s="3" t="s">
        <v>128</v>
      </c>
      <c r="E353" s="3">
        <v>1189</v>
      </c>
      <c r="G353" s="57"/>
    </row>
    <row r="354" spans="1:7" ht="12.75" x14ac:dyDescent="0.2">
      <c r="A354" s="3">
        <v>81</v>
      </c>
      <c r="B354" s="4" t="s">
        <v>104</v>
      </c>
      <c r="C354" s="3" t="s">
        <v>273</v>
      </c>
      <c r="D354" s="3" t="s">
        <v>353</v>
      </c>
      <c r="E354" s="3">
        <v>9</v>
      </c>
      <c r="G354" s="57"/>
    </row>
    <row r="355" spans="1:7" ht="12.75" x14ac:dyDescent="0.2">
      <c r="A355" s="3">
        <v>81</v>
      </c>
      <c r="B355" s="4" t="s">
        <v>104</v>
      </c>
      <c r="C355" s="3" t="s">
        <v>273</v>
      </c>
      <c r="D355" s="3" t="s">
        <v>371</v>
      </c>
      <c r="E355" s="3">
        <v>176</v>
      </c>
      <c r="G355" s="57"/>
    </row>
    <row r="356" spans="1:7" ht="12.75" x14ac:dyDescent="0.2">
      <c r="A356" s="3">
        <v>81</v>
      </c>
      <c r="B356" s="4" t="s">
        <v>104</v>
      </c>
      <c r="C356" s="3" t="s">
        <v>273</v>
      </c>
      <c r="D356" s="3" t="s">
        <v>14</v>
      </c>
      <c r="E356" s="3">
        <v>260</v>
      </c>
      <c r="G356" s="57"/>
    </row>
    <row r="357" spans="1:7" ht="12.75" x14ac:dyDescent="0.2">
      <c r="A357" s="3">
        <v>81</v>
      </c>
      <c r="B357" s="4" t="s">
        <v>104</v>
      </c>
      <c r="C357" s="3" t="s">
        <v>273</v>
      </c>
      <c r="D357" s="3" t="s">
        <v>138</v>
      </c>
      <c r="E357" s="3">
        <v>14</v>
      </c>
      <c r="F357">
        <f>SUM(E350:E357)</f>
        <v>3305</v>
      </c>
      <c r="G357" s="57"/>
    </row>
    <row r="358" spans="1:7" ht="12.75" x14ac:dyDescent="0.2">
      <c r="A358" s="3">
        <v>81</v>
      </c>
      <c r="B358" s="4" t="s">
        <v>104</v>
      </c>
      <c r="C358" s="3" t="s">
        <v>125</v>
      </c>
      <c r="D358" s="3" t="s">
        <v>274</v>
      </c>
      <c r="E358" s="3">
        <v>2</v>
      </c>
      <c r="G358" s="57"/>
    </row>
    <row r="359" spans="1:7" ht="12.75" x14ac:dyDescent="0.2">
      <c r="A359" s="3">
        <v>81</v>
      </c>
      <c r="B359" s="4" t="s">
        <v>104</v>
      </c>
      <c r="C359" s="3" t="s">
        <v>125</v>
      </c>
      <c r="D359" s="3" t="s">
        <v>283</v>
      </c>
      <c r="E359" s="3">
        <v>1586</v>
      </c>
      <c r="G359" s="57"/>
    </row>
    <row r="360" spans="1:7" ht="12.75" x14ac:dyDescent="0.2">
      <c r="A360" s="3">
        <v>81</v>
      </c>
      <c r="B360" s="4" t="s">
        <v>104</v>
      </c>
      <c r="C360" s="3" t="s">
        <v>125</v>
      </c>
      <c r="D360" s="3" t="s">
        <v>315</v>
      </c>
      <c r="E360" s="3">
        <v>68</v>
      </c>
      <c r="G360" s="57"/>
    </row>
    <row r="361" spans="1:7" ht="12.75" x14ac:dyDescent="0.2">
      <c r="A361" s="3">
        <v>81</v>
      </c>
      <c r="B361" s="4" t="s">
        <v>104</v>
      </c>
      <c r="C361" s="3" t="s">
        <v>125</v>
      </c>
      <c r="D361" s="3" t="s">
        <v>128</v>
      </c>
      <c r="E361" s="3">
        <v>1173</v>
      </c>
      <c r="G361" s="57"/>
    </row>
    <row r="362" spans="1:7" ht="12.75" x14ac:dyDescent="0.2">
      <c r="A362" s="3">
        <v>81</v>
      </c>
      <c r="B362" s="4" t="s">
        <v>104</v>
      </c>
      <c r="C362" s="3" t="s">
        <v>125</v>
      </c>
      <c r="D362" s="3" t="s">
        <v>353</v>
      </c>
      <c r="E362" s="3">
        <v>9</v>
      </c>
      <c r="G362" s="57"/>
    </row>
    <row r="363" spans="1:7" ht="12.75" x14ac:dyDescent="0.2">
      <c r="A363" s="3">
        <v>81</v>
      </c>
      <c r="B363" s="4" t="s">
        <v>104</v>
      </c>
      <c r="C363" s="3" t="s">
        <v>125</v>
      </c>
      <c r="D363" s="3" t="s">
        <v>371</v>
      </c>
      <c r="E363" s="3">
        <v>176</v>
      </c>
      <c r="G363" s="57"/>
    </row>
    <row r="364" spans="1:7" ht="12.75" x14ac:dyDescent="0.2">
      <c r="A364" s="3">
        <v>81</v>
      </c>
      <c r="B364" s="4" t="s">
        <v>104</v>
      </c>
      <c r="C364" s="3" t="s">
        <v>125</v>
      </c>
      <c r="D364" s="3" t="s">
        <v>14</v>
      </c>
      <c r="E364" s="3">
        <v>276</v>
      </c>
      <c r="G364" s="57"/>
    </row>
    <row r="365" spans="1:7" ht="12.75" x14ac:dyDescent="0.2">
      <c r="A365" s="3">
        <v>81</v>
      </c>
      <c r="B365" s="4" t="s">
        <v>104</v>
      </c>
      <c r="C365" s="3" t="s">
        <v>125</v>
      </c>
      <c r="D365" s="3" t="s">
        <v>138</v>
      </c>
      <c r="E365" s="3">
        <v>15</v>
      </c>
      <c r="F365">
        <f>SUM(E358:E365)</f>
        <v>3305</v>
      </c>
      <c r="G365" s="57"/>
    </row>
    <row r="366" spans="1:7" ht="12.75" x14ac:dyDescent="0.2">
      <c r="A366" s="3">
        <v>13</v>
      </c>
      <c r="B366" s="4" t="s">
        <v>42</v>
      </c>
      <c r="C366" s="3" t="s">
        <v>347</v>
      </c>
      <c r="D366" s="3" t="s">
        <v>366</v>
      </c>
      <c r="E366" s="3">
        <v>8</v>
      </c>
      <c r="G366" s="59">
        <v>3640</v>
      </c>
    </row>
    <row r="367" spans="1:7" ht="12.75" x14ac:dyDescent="0.2">
      <c r="A367" s="3">
        <v>13</v>
      </c>
      <c r="B367" s="4" t="s">
        <v>42</v>
      </c>
      <c r="C367" s="3" t="s">
        <v>347</v>
      </c>
      <c r="D367" s="3" t="s">
        <v>274</v>
      </c>
      <c r="E367" s="3">
        <v>0</v>
      </c>
      <c r="G367" s="57"/>
    </row>
    <row r="368" spans="1:7" ht="12.75" x14ac:dyDescent="0.2">
      <c r="A368" s="3">
        <v>13</v>
      </c>
      <c r="B368" s="4" t="s">
        <v>42</v>
      </c>
      <c r="C368" s="3" t="s">
        <v>347</v>
      </c>
      <c r="D368" s="3" t="s">
        <v>367</v>
      </c>
      <c r="E368" s="3">
        <v>3</v>
      </c>
      <c r="G368" s="57"/>
    </row>
    <row r="369" spans="1:7" ht="12.75" x14ac:dyDescent="0.2">
      <c r="A369" s="3">
        <v>13</v>
      </c>
      <c r="B369" s="4" t="s">
        <v>42</v>
      </c>
      <c r="C369" s="3" t="s">
        <v>347</v>
      </c>
      <c r="D369" s="3" t="s">
        <v>368</v>
      </c>
      <c r="E369" s="3">
        <v>4</v>
      </c>
      <c r="G369" s="57"/>
    </row>
    <row r="370" spans="1:7" ht="12.75" x14ac:dyDescent="0.2">
      <c r="A370" s="3">
        <v>13</v>
      </c>
      <c r="B370" s="4" t="s">
        <v>42</v>
      </c>
      <c r="C370" s="3" t="s">
        <v>347</v>
      </c>
      <c r="D370" s="3" t="s">
        <v>283</v>
      </c>
      <c r="E370" s="3">
        <v>1206</v>
      </c>
      <c r="G370" s="57"/>
    </row>
    <row r="371" spans="1:7" ht="12.75" x14ac:dyDescent="0.2">
      <c r="A371" s="3">
        <v>13</v>
      </c>
      <c r="B371" s="4" t="s">
        <v>42</v>
      </c>
      <c r="C371" s="3" t="s">
        <v>347</v>
      </c>
      <c r="D371" s="3" t="s">
        <v>315</v>
      </c>
      <c r="E371" s="3">
        <v>20</v>
      </c>
      <c r="G371" s="57"/>
    </row>
    <row r="372" spans="1:7" ht="12.75" x14ac:dyDescent="0.2">
      <c r="A372" s="3">
        <v>13</v>
      </c>
      <c r="B372" s="4" t="s">
        <v>42</v>
      </c>
      <c r="C372" s="3" t="s">
        <v>347</v>
      </c>
      <c r="D372" s="3" t="s">
        <v>316</v>
      </c>
      <c r="E372" s="3">
        <v>38</v>
      </c>
      <c r="G372" s="57"/>
    </row>
    <row r="373" spans="1:7" ht="12.75" x14ac:dyDescent="0.2">
      <c r="A373" s="3">
        <v>13</v>
      </c>
      <c r="B373" s="4" t="s">
        <v>42</v>
      </c>
      <c r="C373" s="3" t="s">
        <v>347</v>
      </c>
      <c r="D373" s="3" t="s">
        <v>369</v>
      </c>
      <c r="E373" s="3">
        <v>4</v>
      </c>
      <c r="G373" s="57"/>
    </row>
    <row r="374" spans="1:7" ht="12.75" x14ac:dyDescent="0.2">
      <c r="A374" s="3">
        <v>13</v>
      </c>
      <c r="B374" s="4" t="s">
        <v>42</v>
      </c>
      <c r="C374" s="3" t="s">
        <v>347</v>
      </c>
      <c r="D374" s="3" t="s">
        <v>128</v>
      </c>
      <c r="E374" s="3">
        <v>1065</v>
      </c>
      <c r="G374" s="57"/>
    </row>
    <row r="375" spans="1:7" ht="12.75" x14ac:dyDescent="0.2">
      <c r="A375" s="3">
        <v>13</v>
      </c>
      <c r="B375" s="4" t="s">
        <v>42</v>
      </c>
      <c r="C375" s="3" t="s">
        <v>347</v>
      </c>
      <c r="D375" s="3" t="s">
        <v>370</v>
      </c>
      <c r="E375" s="3">
        <v>5</v>
      </c>
      <c r="G375" s="57"/>
    </row>
    <row r="376" spans="1:7" ht="12.75" x14ac:dyDescent="0.2">
      <c r="A376" s="3">
        <v>13</v>
      </c>
      <c r="B376" s="4" t="s">
        <v>42</v>
      </c>
      <c r="C376" s="3" t="s">
        <v>347</v>
      </c>
      <c r="D376" s="3" t="s">
        <v>353</v>
      </c>
      <c r="E376" s="3">
        <v>19</v>
      </c>
      <c r="G376" s="57"/>
    </row>
    <row r="377" spans="1:7" ht="12.75" x14ac:dyDescent="0.2">
      <c r="A377" s="3">
        <v>13</v>
      </c>
      <c r="B377" s="4" t="s">
        <v>42</v>
      </c>
      <c r="C377" s="3" t="s">
        <v>347</v>
      </c>
      <c r="D377" s="3" t="s">
        <v>371</v>
      </c>
      <c r="E377" s="3">
        <v>354</v>
      </c>
      <c r="G377" s="57"/>
    </row>
    <row r="378" spans="1:7" ht="12.75" x14ac:dyDescent="0.2">
      <c r="A378" s="3">
        <v>13</v>
      </c>
      <c r="B378" s="4" t="s">
        <v>42</v>
      </c>
      <c r="C378" s="3" t="s">
        <v>347</v>
      </c>
      <c r="D378" s="3" t="s">
        <v>14</v>
      </c>
      <c r="E378" s="3">
        <v>141</v>
      </c>
      <c r="G378" s="57"/>
    </row>
    <row r="379" spans="1:7" ht="12.75" x14ac:dyDescent="0.2">
      <c r="A379" s="3">
        <v>13</v>
      </c>
      <c r="B379" s="4" t="s">
        <v>42</v>
      </c>
      <c r="C379" s="3" t="s">
        <v>347</v>
      </c>
      <c r="D379" s="3" t="s">
        <v>138</v>
      </c>
      <c r="E379" s="3">
        <v>14</v>
      </c>
      <c r="F379">
        <f>SUM(E366:E379)</f>
        <v>2881</v>
      </c>
      <c r="G379" s="57"/>
    </row>
    <row r="380" spans="1:7" ht="12.75" x14ac:dyDescent="0.2">
      <c r="A380" s="3">
        <v>13</v>
      </c>
      <c r="B380" s="4" t="s">
        <v>42</v>
      </c>
      <c r="C380" s="3" t="s">
        <v>273</v>
      </c>
      <c r="D380" s="3" t="s">
        <v>274</v>
      </c>
      <c r="E380" s="3">
        <v>5</v>
      </c>
      <c r="G380" s="57"/>
    </row>
    <row r="381" spans="1:7" ht="12.75" x14ac:dyDescent="0.2">
      <c r="A381" s="3">
        <v>13</v>
      </c>
      <c r="B381" s="4" t="s">
        <v>42</v>
      </c>
      <c r="C381" s="3" t="s">
        <v>273</v>
      </c>
      <c r="D381" s="3" t="s">
        <v>283</v>
      </c>
      <c r="E381" s="3">
        <v>1266</v>
      </c>
      <c r="G381" s="57"/>
    </row>
    <row r="382" spans="1:7" ht="12.75" x14ac:dyDescent="0.2">
      <c r="A382" s="3">
        <v>13</v>
      </c>
      <c r="B382" s="4" t="s">
        <v>42</v>
      </c>
      <c r="C382" s="3" t="s">
        <v>273</v>
      </c>
      <c r="D382" s="3" t="s">
        <v>315</v>
      </c>
      <c r="E382" s="3">
        <v>11</v>
      </c>
      <c r="G382" s="57"/>
    </row>
    <row r="383" spans="1:7" ht="12.75" x14ac:dyDescent="0.2">
      <c r="A383" s="3">
        <v>13</v>
      </c>
      <c r="B383" s="4" t="s">
        <v>42</v>
      </c>
      <c r="C383" s="3" t="s">
        <v>273</v>
      </c>
      <c r="D383" s="3" t="s">
        <v>128</v>
      </c>
      <c r="E383" s="3">
        <v>1058</v>
      </c>
      <c r="G383" s="57"/>
    </row>
    <row r="384" spans="1:7" ht="12.75" x14ac:dyDescent="0.2">
      <c r="A384" s="3">
        <v>13</v>
      </c>
      <c r="B384" s="4" t="s">
        <v>42</v>
      </c>
      <c r="C384" s="3" t="s">
        <v>273</v>
      </c>
      <c r="D384" s="3" t="s">
        <v>353</v>
      </c>
      <c r="E384" s="3">
        <v>5</v>
      </c>
      <c r="G384" s="57"/>
    </row>
    <row r="385" spans="1:7" ht="12.75" x14ac:dyDescent="0.2">
      <c r="A385" s="3">
        <v>13</v>
      </c>
      <c r="B385" s="4" t="s">
        <v>42</v>
      </c>
      <c r="C385" s="3" t="s">
        <v>273</v>
      </c>
      <c r="D385" s="3" t="s">
        <v>371</v>
      </c>
      <c r="E385" s="3">
        <v>234</v>
      </c>
      <c r="G385" s="57"/>
    </row>
    <row r="386" spans="1:7" ht="12.75" x14ac:dyDescent="0.2">
      <c r="A386" s="3">
        <v>13</v>
      </c>
      <c r="B386" s="4" t="s">
        <v>42</v>
      </c>
      <c r="C386" s="3" t="s">
        <v>273</v>
      </c>
      <c r="D386" s="3" t="s">
        <v>14</v>
      </c>
      <c r="E386" s="3">
        <v>288</v>
      </c>
      <c r="G386" s="57"/>
    </row>
    <row r="387" spans="1:7" ht="12.75" x14ac:dyDescent="0.2">
      <c r="A387" s="3">
        <v>13</v>
      </c>
      <c r="B387" s="4" t="s">
        <v>42</v>
      </c>
      <c r="C387" s="3" t="s">
        <v>273</v>
      </c>
      <c r="D387" s="3" t="s">
        <v>138</v>
      </c>
      <c r="E387" s="3">
        <v>14</v>
      </c>
      <c r="F387">
        <f>SUM(E380:E387)</f>
        <v>2881</v>
      </c>
      <c r="G387" s="57"/>
    </row>
    <row r="388" spans="1:7" ht="12.75" x14ac:dyDescent="0.2">
      <c r="A388" s="3">
        <v>13</v>
      </c>
      <c r="B388" s="4" t="s">
        <v>42</v>
      </c>
      <c r="C388" s="3" t="s">
        <v>125</v>
      </c>
      <c r="D388" s="3" t="s">
        <v>274</v>
      </c>
      <c r="E388" s="3">
        <v>81</v>
      </c>
      <c r="G388" s="57"/>
    </row>
    <row r="389" spans="1:7" ht="12.75" x14ac:dyDescent="0.2">
      <c r="A389" s="3">
        <v>13</v>
      </c>
      <c r="B389" s="4" t="s">
        <v>42</v>
      </c>
      <c r="C389" s="3" t="s">
        <v>125</v>
      </c>
      <c r="D389" s="3" t="s">
        <v>283</v>
      </c>
      <c r="E389" s="3">
        <v>1174</v>
      </c>
      <c r="G389" s="57"/>
    </row>
    <row r="390" spans="1:7" ht="12.75" x14ac:dyDescent="0.2">
      <c r="A390" s="3">
        <v>13</v>
      </c>
      <c r="B390" s="4" t="s">
        <v>42</v>
      </c>
      <c r="C390" s="3" t="s">
        <v>125</v>
      </c>
      <c r="D390" s="3" t="s">
        <v>315</v>
      </c>
      <c r="E390" s="3">
        <v>58</v>
      </c>
      <c r="G390" s="57"/>
    </row>
    <row r="391" spans="1:7" ht="12.75" x14ac:dyDescent="0.2">
      <c r="A391" s="3">
        <v>13</v>
      </c>
      <c r="B391" s="4" t="s">
        <v>42</v>
      </c>
      <c r="C391" s="3" t="s">
        <v>125</v>
      </c>
      <c r="D391" s="3" t="s">
        <v>128</v>
      </c>
      <c r="E391" s="3">
        <v>991</v>
      </c>
      <c r="G391" s="57"/>
    </row>
    <row r="392" spans="1:7" ht="12.75" x14ac:dyDescent="0.2">
      <c r="A392" s="3">
        <v>13</v>
      </c>
      <c r="B392" s="4" t="s">
        <v>42</v>
      </c>
      <c r="C392" s="3" t="s">
        <v>125</v>
      </c>
      <c r="D392" s="3" t="s">
        <v>353</v>
      </c>
      <c r="E392" s="3">
        <v>66</v>
      </c>
      <c r="G392" s="57"/>
    </row>
    <row r="393" spans="1:7" ht="12.75" x14ac:dyDescent="0.2">
      <c r="A393" s="3">
        <v>13</v>
      </c>
      <c r="B393" s="4" t="s">
        <v>42</v>
      </c>
      <c r="C393" s="3" t="s">
        <v>125</v>
      </c>
      <c r="D393" s="3" t="s">
        <v>371</v>
      </c>
      <c r="E393" s="3">
        <v>265</v>
      </c>
      <c r="G393" s="57"/>
    </row>
    <row r="394" spans="1:7" ht="12.75" x14ac:dyDescent="0.2">
      <c r="A394" s="3">
        <v>13</v>
      </c>
      <c r="B394" s="4" t="s">
        <v>42</v>
      </c>
      <c r="C394" s="3" t="s">
        <v>125</v>
      </c>
      <c r="D394" s="3" t="s">
        <v>14</v>
      </c>
      <c r="E394" s="3">
        <v>232</v>
      </c>
      <c r="G394" s="57"/>
    </row>
    <row r="395" spans="1:7" ht="12.75" x14ac:dyDescent="0.2">
      <c r="A395" s="3">
        <v>13</v>
      </c>
      <c r="B395" s="4" t="s">
        <v>42</v>
      </c>
      <c r="C395" s="3" t="s">
        <v>125</v>
      </c>
      <c r="D395" s="3" t="s">
        <v>138</v>
      </c>
      <c r="E395" s="3">
        <v>14</v>
      </c>
      <c r="F395">
        <f>SUM(E388:E395)</f>
        <v>2881</v>
      </c>
      <c r="G395" s="57"/>
    </row>
    <row r="396" spans="1:7" ht="12.75" x14ac:dyDescent="0.2">
      <c r="A396" s="3">
        <v>65</v>
      </c>
      <c r="B396" s="4" t="s">
        <v>90</v>
      </c>
      <c r="C396" s="3" t="s">
        <v>347</v>
      </c>
      <c r="D396" s="3" t="s">
        <v>366</v>
      </c>
      <c r="E396" s="3">
        <v>9</v>
      </c>
      <c r="G396" s="59">
        <v>3351</v>
      </c>
    </row>
    <row r="397" spans="1:7" ht="12.75" x14ac:dyDescent="0.2">
      <c r="A397" s="3">
        <v>65</v>
      </c>
      <c r="B397" s="4" t="s">
        <v>90</v>
      </c>
      <c r="C397" s="3" t="s">
        <v>347</v>
      </c>
      <c r="D397" s="3" t="s">
        <v>274</v>
      </c>
      <c r="E397" s="3">
        <v>0</v>
      </c>
      <c r="G397" s="57"/>
    </row>
    <row r="398" spans="1:7" ht="12.75" x14ac:dyDescent="0.2">
      <c r="A398" s="3">
        <v>65</v>
      </c>
      <c r="B398" s="4" t="s">
        <v>90</v>
      </c>
      <c r="C398" s="3" t="s">
        <v>347</v>
      </c>
      <c r="D398" s="3" t="s">
        <v>367</v>
      </c>
      <c r="E398" s="3">
        <v>7</v>
      </c>
      <c r="G398" s="57"/>
    </row>
    <row r="399" spans="1:7" ht="12.75" x14ac:dyDescent="0.2">
      <c r="A399" s="3">
        <v>65</v>
      </c>
      <c r="B399" s="4" t="s">
        <v>90</v>
      </c>
      <c r="C399" s="3" t="s">
        <v>347</v>
      </c>
      <c r="D399" s="3" t="s">
        <v>368</v>
      </c>
      <c r="E399" s="3">
        <v>3</v>
      </c>
      <c r="G399" s="57"/>
    </row>
    <row r="400" spans="1:7" ht="12.75" x14ac:dyDescent="0.2">
      <c r="A400" s="3">
        <v>65</v>
      </c>
      <c r="B400" s="4" t="s">
        <v>90</v>
      </c>
      <c r="C400" s="3" t="s">
        <v>347</v>
      </c>
      <c r="D400" s="3" t="s">
        <v>283</v>
      </c>
      <c r="E400" s="3">
        <v>852</v>
      </c>
      <c r="G400" s="57"/>
    </row>
    <row r="401" spans="1:7" ht="12.75" x14ac:dyDescent="0.2">
      <c r="A401" s="3">
        <v>65</v>
      </c>
      <c r="B401" s="4" t="s">
        <v>90</v>
      </c>
      <c r="C401" s="3" t="s">
        <v>347</v>
      </c>
      <c r="D401" s="3" t="s">
        <v>315</v>
      </c>
      <c r="E401" s="3">
        <v>40</v>
      </c>
      <c r="G401" s="57"/>
    </row>
    <row r="402" spans="1:7" ht="12.75" x14ac:dyDescent="0.2">
      <c r="A402" s="3">
        <v>65</v>
      </c>
      <c r="B402" s="4" t="s">
        <v>90</v>
      </c>
      <c r="C402" s="3" t="s">
        <v>347</v>
      </c>
      <c r="D402" s="3" t="s">
        <v>316</v>
      </c>
      <c r="E402" s="3">
        <v>59</v>
      </c>
      <c r="G402" s="57"/>
    </row>
    <row r="403" spans="1:7" ht="12.75" x14ac:dyDescent="0.2">
      <c r="A403" s="3">
        <v>65</v>
      </c>
      <c r="B403" s="4" t="s">
        <v>90</v>
      </c>
      <c r="C403" s="3" t="s">
        <v>347</v>
      </c>
      <c r="D403" s="3" t="s">
        <v>369</v>
      </c>
      <c r="E403" s="3">
        <v>35</v>
      </c>
      <c r="G403" s="57"/>
    </row>
    <row r="404" spans="1:7" ht="12.75" x14ac:dyDescent="0.2">
      <c r="A404" s="3">
        <v>65</v>
      </c>
      <c r="B404" s="4" t="s">
        <v>90</v>
      </c>
      <c r="C404" s="3" t="s">
        <v>347</v>
      </c>
      <c r="D404" s="3" t="s">
        <v>128</v>
      </c>
      <c r="E404" s="3">
        <v>1020</v>
      </c>
      <c r="G404" s="57"/>
    </row>
    <row r="405" spans="1:7" ht="12.75" x14ac:dyDescent="0.2">
      <c r="A405" s="3">
        <v>65</v>
      </c>
      <c r="B405" s="4" t="s">
        <v>90</v>
      </c>
      <c r="C405" s="3" t="s">
        <v>347</v>
      </c>
      <c r="D405" s="3" t="s">
        <v>370</v>
      </c>
      <c r="E405" s="3">
        <v>8</v>
      </c>
      <c r="G405" s="57"/>
    </row>
    <row r="406" spans="1:7" ht="12.75" x14ac:dyDescent="0.2">
      <c r="A406" s="3">
        <v>65</v>
      </c>
      <c r="B406" s="4" t="s">
        <v>90</v>
      </c>
      <c r="C406" s="3" t="s">
        <v>347</v>
      </c>
      <c r="D406" s="3" t="s">
        <v>353</v>
      </c>
      <c r="E406" s="3">
        <v>73</v>
      </c>
      <c r="G406" s="57"/>
    </row>
    <row r="407" spans="1:7" ht="12.75" x14ac:dyDescent="0.2">
      <c r="A407" s="3">
        <v>65</v>
      </c>
      <c r="B407" s="4" t="s">
        <v>90</v>
      </c>
      <c r="C407" s="3" t="s">
        <v>347</v>
      </c>
      <c r="D407" s="3" t="s">
        <v>371</v>
      </c>
      <c r="E407" s="3">
        <v>430</v>
      </c>
      <c r="G407" s="57"/>
    </row>
    <row r="408" spans="1:7" ht="12.75" x14ac:dyDescent="0.2">
      <c r="A408" s="3">
        <v>65</v>
      </c>
      <c r="B408" s="4" t="s">
        <v>90</v>
      </c>
      <c r="C408" s="3" t="s">
        <v>347</v>
      </c>
      <c r="D408" s="3" t="s">
        <v>14</v>
      </c>
      <c r="E408" s="3">
        <v>71</v>
      </c>
      <c r="G408" s="57"/>
    </row>
    <row r="409" spans="1:7" ht="12.75" x14ac:dyDescent="0.2">
      <c r="A409" s="3">
        <v>65</v>
      </c>
      <c r="B409" s="4" t="s">
        <v>90</v>
      </c>
      <c r="C409" s="3" t="s">
        <v>347</v>
      </c>
      <c r="D409" s="3" t="s">
        <v>138</v>
      </c>
      <c r="E409" s="3">
        <v>15</v>
      </c>
      <c r="F409">
        <f>SUM(E396:E409)</f>
        <v>2622</v>
      </c>
      <c r="G409" s="57"/>
    </row>
    <row r="410" spans="1:7" ht="12.75" x14ac:dyDescent="0.2">
      <c r="A410" s="3">
        <v>65</v>
      </c>
      <c r="B410" s="4" t="s">
        <v>90</v>
      </c>
      <c r="C410" s="3" t="s">
        <v>273</v>
      </c>
      <c r="D410" s="3" t="s">
        <v>274</v>
      </c>
      <c r="E410" s="3">
        <v>2</v>
      </c>
      <c r="G410" s="57"/>
    </row>
    <row r="411" spans="1:7" ht="12.75" x14ac:dyDescent="0.2">
      <c r="A411" s="3">
        <v>65</v>
      </c>
      <c r="B411" s="4" t="s">
        <v>90</v>
      </c>
      <c r="C411" s="3" t="s">
        <v>273</v>
      </c>
      <c r="D411" s="3" t="s">
        <v>283</v>
      </c>
      <c r="E411" s="3">
        <v>1166</v>
      </c>
      <c r="G411" s="57"/>
    </row>
    <row r="412" spans="1:7" ht="12.75" x14ac:dyDescent="0.2">
      <c r="A412" s="3">
        <v>65</v>
      </c>
      <c r="B412" s="4" t="s">
        <v>90</v>
      </c>
      <c r="C412" s="3" t="s">
        <v>273</v>
      </c>
      <c r="D412" s="3" t="s">
        <v>315</v>
      </c>
      <c r="E412" s="3">
        <v>28</v>
      </c>
      <c r="G412" s="57"/>
    </row>
    <row r="413" spans="1:7" ht="12.75" x14ac:dyDescent="0.2">
      <c r="A413" s="3">
        <v>65</v>
      </c>
      <c r="B413" s="4" t="s">
        <v>90</v>
      </c>
      <c r="C413" s="3" t="s">
        <v>273</v>
      </c>
      <c r="D413" s="3" t="s">
        <v>128</v>
      </c>
      <c r="E413" s="3">
        <v>985</v>
      </c>
      <c r="G413" s="57"/>
    </row>
    <row r="414" spans="1:7" ht="12.75" x14ac:dyDescent="0.2">
      <c r="A414" s="3">
        <v>65</v>
      </c>
      <c r="B414" s="4" t="s">
        <v>90</v>
      </c>
      <c r="C414" s="3" t="s">
        <v>273</v>
      </c>
      <c r="D414" s="3" t="s">
        <v>353</v>
      </c>
      <c r="E414" s="3">
        <v>10</v>
      </c>
      <c r="G414" s="57"/>
    </row>
    <row r="415" spans="1:7" ht="12.75" x14ac:dyDescent="0.2">
      <c r="A415" s="3">
        <v>65</v>
      </c>
      <c r="B415" s="4" t="s">
        <v>90</v>
      </c>
      <c r="C415" s="3" t="s">
        <v>273</v>
      </c>
      <c r="D415" s="3" t="s">
        <v>371</v>
      </c>
      <c r="E415" s="3">
        <v>243</v>
      </c>
      <c r="G415" s="57"/>
    </row>
    <row r="416" spans="1:7" ht="12.75" x14ac:dyDescent="0.2">
      <c r="A416" s="3">
        <v>65</v>
      </c>
      <c r="B416" s="4" t="s">
        <v>90</v>
      </c>
      <c r="C416" s="3" t="s">
        <v>273</v>
      </c>
      <c r="D416" s="3" t="s">
        <v>14</v>
      </c>
      <c r="E416" s="3">
        <v>174</v>
      </c>
      <c r="G416" s="57"/>
    </row>
    <row r="417" spans="1:7" ht="12.75" x14ac:dyDescent="0.2">
      <c r="A417" s="3">
        <v>65</v>
      </c>
      <c r="B417" s="4" t="s">
        <v>90</v>
      </c>
      <c r="C417" s="3" t="s">
        <v>273</v>
      </c>
      <c r="D417" s="3" t="s">
        <v>138</v>
      </c>
      <c r="E417" s="3">
        <v>14</v>
      </c>
      <c r="F417">
        <f>SUM(E410:E417)</f>
        <v>2622</v>
      </c>
      <c r="G417" s="57"/>
    </row>
    <row r="418" spans="1:7" ht="12.75" x14ac:dyDescent="0.2">
      <c r="A418" s="3">
        <v>65</v>
      </c>
      <c r="B418" s="4" t="s">
        <v>90</v>
      </c>
      <c r="C418" s="3" t="s">
        <v>125</v>
      </c>
      <c r="D418" s="3" t="s">
        <v>274</v>
      </c>
      <c r="E418" s="3">
        <v>3</v>
      </c>
      <c r="G418" s="57"/>
    </row>
    <row r="419" spans="1:7" ht="12.75" x14ac:dyDescent="0.2">
      <c r="A419" s="3">
        <v>65</v>
      </c>
      <c r="B419" s="4" t="s">
        <v>90</v>
      </c>
      <c r="C419" s="3" t="s">
        <v>125</v>
      </c>
      <c r="D419" s="3" t="s">
        <v>283</v>
      </c>
      <c r="E419" s="3">
        <v>1164</v>
      </c>
      <c r="G419" s="57"/>
    </row>
    <row r="420" spans="1:7" ht="12.75" x14ac:dyDescent="0.2">
      <c r="A420" s="3">
        <v>65</v>
      </c>
      <c r="B420" s="4" t="s">
        <v>90</v>
      </c>
      <c r="C420" s="3" t="s">
        <v>125</v>
      </c>
      <c r="D420" s="3" t="s">
        <v>315</v>
      </c>
      <c r="E420" s="3">
        <v>28</v>
      </c>
      <c r="G420" s="57"/>
    </row>
    <row r="421" spans="1:7" ht="12.75" x14ac:dyDescent="0.2">
      <c r="A421" s="3">
        <v>65</v>
      </c>
      <c r="B421" s="4" t="s">
        <v>90</v>
      </c>
      <c r="C421" s="3" t="s">
        <v>125</v>
      </c>
      <c r="D421" s="3" t="s">
        <v>128</v>
      </c>
      <c r="E421" s="3">
        <v>983</v>
      </c>
      <c r="G421" s="57"/>
    </row>
    <row r="422" spans="1:7" ht="12.75" x14ac:dyDescent="0.2">
      <c r="A422" s="3">
        <v>65</v>
      </c>
      <c r="B422" s="4" t="s">
        <v>90</v>
      </c>
      <c r="C422" s="3" t="s">
        <v>125</v>
      </c>
      <c r="D422" s="3" t="s">
        <v>353</v>
      </c>
      <c r="E422" s="3">
        <v>10</v>
      </c>
      <c r="G422" s="57"/>
    </row>
    <row r="423" spans="1:7" ht="12.75" x14ac:dyDescent="0.2">
      <c r="A423" s="3">
        <v>65</v>
      </c>
      <c r="B423" s="4" t="s">
        <v>90</v>
      </c>
      <c r="C423" s="3" t="s">
        <v>125</v>
      </c>
      <c r="D423" s="3" t="s">
        <v>371</v>
      </c>
      <c r="E423" s="3">
        <v>244</v>
      </c>
      <c r="G423" s="57"/>
    </row>
    <row r="424" spans="1:7" ht="12.75" x14ac:dyDescent="0.2">
      <c r="A424" s="3">
        <v>65</v>
      </c>
      <c r="B424" s="4" t="s">
        <v>90</v>
      </c>
      <c r="C424" s="3" t="s">
        <v>125</v>
      </c>
      <c r="D424" s="3" t="s">
        <v>14</v>
      </c>
      <c r="E424" s="3">
        <v>180</v>
      </c>
      <c r="G424" s="57"/>
    </row>
    <row r="425" spans="1:7" ht="12.75" x14ac:dyDescent="0.2">
      <c r="A425" s="3">
        <v>65</v>
      </c>
      <c r="B425" s="4" t="s">
        <v>90</v>
      </c>
      <c r="C425" s="3" t="s">
        <v>125</v>
      </c>
      <c r="D425" s="3" t="s">
        <v>138</v>
      </c>
      <c r="E425" s="3">
        <v>10</v>
      </c>
      <c r="F425">
        <f>SUM(E418:E425)</f>
        <v>2622</v>
      </c>
      <c r="G425" s="57"/>
    </row>
    <row r="426" spans="1:7" ht="12.75" x14ac:dyDescent="0.2">
      <c r="A426" s="3">
        <v>1</v>
      </c>
      <c r="B426" s="4" t="s">
        <v>12</v>
      </c>
      <c r="C426" s="3" t="s">
        <v>347</v>
      </c>
      <c r="D426" s="3" t="s">
        <v>366</v>
      </c>
      <c r="E426" s="3">
        <v>4</v>
      </c>
      <c r="G426" s="59">
        <v>1484</v>
      </c>
    </row>
    <row r="427" spans="1:7" ht="12.75" x14ac:dyDescent="0.2">
      <c r="A427" s="3">
        <v>1</v>
      </c>
      <c r="B427" s="4" t="s">
        <v>12</v>
      </c>
      <c r="C427" s="3" t="s">
        <v>347</v>
      </c>
      <c r="D427" s="3" t="s">
        <v>274</v>
      </c>
      <c r="E427" s="3">
        <v>0</v>
      </c>
      <c r="G427" s="57"/>
    </row>
    <row r="428" spans="1:7" ht="12.75" x14ac:dyDescent="0.2">
      <c r="A428" s="3">
        <v>1</v>
      </c>
      <c r="B428" s="4" t="s">
        <v>12</v>
      </c>
      <c r="C428" s="3" t="s">
        <v>347</v>
      </c>
      <c r="D428" s="3" t="s">
        <v>367</v>
      </c>
      <c r="E428" s="3">
        <v>4</v>
      </c>
      <c r="G428" s="57"/>
    </row>
    <row r="429" spans="1:7" ht="12.75" x14ac:dyDescent="0.2">
      <c r="A429" s="3">
        <v>1</v>
      </c>
      <c r="B429" s="4" t="s">
        <v>12</v>
      </c>
      <c r="C429" s="3" t="s">
        <v>347</v>
      </c>
      <c r="D429" s="3" t="s">
        <v>368</v>
      </c>
      <c r="E429" s="3">
        <v>3</v>
      </c>
      <c r="G429" s="57"/>
    </row>
    <row r="430" spans="1:7" ht="12.75" x14ac:dyDescent="0.2">
      <c r="A430" s="3">
        <v>1</v>
      </c>
      <c r="B430" s="4" t="s">
        <v>12</v>
      </c>
      <c r="C430" s="3" t="s">
        <v>347</v>
      </c>
      <c r="D430" s="3" t="s">
        <v>283</v>
      </c>
      <c r="E430" s="3">
        <v>307</v>
      </c>
      <c r="G430" s="57"/>
    </row>
    <row r="431" spans="1:7" ht="12.75" x14ac:dyDescent="0.2">
      <c r="A431" s="3">
        <v>1</v>
      </c>
      <c r="B431" s="4" t="s">
        <v>12</v>
      </c>
      <c r="C431" s="3" t="s">
        <v>347</v>
      </c>
      <c r="D431" s="3" t="s">
        <v>315</v>
      </c>
      <c r="E431" s="3">
        <v>36</v>
      </c>
      <c r="G431" s="57"/>
    </row>
    <row r="432" spans="1:7" ht="12.75" x14ac:dyDescent="0.2">
      <c r="A432" s="3">
        <v>1</v>
      </c>
      <c r="B432" s="4" t="s">
        <v>12</v>
      </c>
      <c r="C432" s="3" t="s">
        <v>347</v>
      </c>
      <c r="D432" s="3" t="s">
        <v>316</v>
      </c>
      <c r="E432" s="3">
        <v>16</v>
      </c>
      <c r="G432" s="57"/>
    </row>
    <row r="433" spans="1:7" ht="12.75" x14ac:dyDescent="0.2">
      <c r="A433" s="3">
        <v>1</v>
      </c>
      <c r="B433" s="4" t="s">
        <v>12</v>
      </c>
      <c r="C433" s="3" t="s">
        <v>347</v>
      </c>
      <c r="D433" s="3" t="s">
        <v>369</v>
      </c>
      <c r="E433" s="3">
        <v>20</v>
      </c>
      <c r="G433" s="57"/>
    </row>
    <row r="434" spans="1:7" ht="12.75" x14ac:dyDescent="0.2">
      <c r="A434" s="3">
        <v>1</v>
      </c>
      <c r="B434" s="4" t="s">
        <v>12</v>
      </c>
      <c r="C434" s="3" t="s">
        <v>347</v>
      </c>
      <c r="D434" s="3" t="s">
        <v>128</v>
      </c>
      <c r="E434" s="3">
        <v>418</v>
      </c>
      <c r="G434" s="57"/>
    </row>
    <row r="435" spans="1:7" ht="12.75" x14ac:dyDescent="0.2">
      <c r="A435" s="3">
        <v>1</v>
      </c>
      <c r="B435" s="4" t="s">
        <v>12</v>
      </c>
      <c r="C435" s="3" t="s">
        <v>347</v>
      </c>
      <c r="D435" s="3" t="s">
        <v>370</v>
      </c>
      <c r="E435" s="3">
        <v>3</v>
      </c>
      <c r="G435" s="57"/>
    </row>
    <row r="436" spans="1:7" ht="12.75" x14ac:dyDescent="0.2">
      <c r="A436" s="3">
        <v>1</v>
      </c>
      <c r="B436" s="4" t="s">
        <v>12</v>
      </c>
      <c r="C436" s="3" t="s">
        <v>347</v>
      </c>
      <c r="D436" s="3" t="s">
        <v>353</v>
      </c>
      <c r="E436" s="3">
        <v>42</v>
      </c>
      <c r="G436" s="57"/>
    </row>
    <row r="437" spans="1:7" ht="12.75" x14ac:dyDescent="0.2">
      <c r="A437" s="3">
        <v>1</v>
      </c>
      <c r="B437" s="4" t="s">
        <v>12</v>
      </c>
      <c r="C437" s="3" t="s">
        <v>347</v>
      </c>
      <c r="D437" s="3" t="s">
        <v>371</v>
      </c>
      <c r="E437" s="3">
        <v>136</v>
      </c>
      <c r="G437" s="57"/>
    </row>
    <row r="438" spans="1:7" ht="12.75" x14ac:dyDescent="0.2">
      <c r="A438" s="3">
        <v>1</v>
      </c>
      <c r="B438" s="4" t="s">
        <v>12</v>
      </c>
      <c r="C438" s="3" t="s">
        <v>347</v>
      </c>
      <c r="D438" s="3" t="s">
        <v>14</v>
      </c>
      <c r="E438" s="3">
        <v>178</v>
      </c>
      <c r="G438" s="57"/>
    </row>
    <row r="439" spans="1:7" ht="12.75" x14ac:dyDescent="0.2">
      <c r="A439" s="3">
        <v>1</v>
      </c>
      <c r="B439" s="4" t="s">
        <v>12</v>
      </c>
      <c r="C439" s="3" t="s">
        <v>347</v>
      </c>
      <c r="D439" s="3" t="s">
        <v>138</v>
      </c>
      <c r="E439" s="3">
        <v>17</v>
      </c>
      <c r="F439">
        <f>SUM(E426:E439)</f>
        <v>1184</v>
      </c>
      <c r="G439" s="57"/>
    </row>
    <row r="440" spans="1:7" ht="12.75" x14ac:dyDescent="0.2">
      <c r="A440" s="3">
        <v>1</v>
      </c>
      <c r="B440" s="4" t="s">
        <v>12</v>
      </c>
      <c r="C440" s="3" t="s">
        <v>273</v>
      </c>
      <c r="D440" s="3" t="s">
        <v>274</v>
      </c>
      <c r="E440" s="3">
        <v>2</v>
      </c>
      <c r="G440" s="57"/>
    </row>
    <row r="441" spans="1:7" ht="12.75" x14ac:dyDescent="0.2">
      <c r="A441" s="3">
        <v>1</v>
      </c>
      <c r="B441" s="4" t="s">
        <v>12</v>
      </c>
      <c r="C441" s="3" t="s">
        <v>273</v>
      </c>
      <c r="D441" s="3" t="s">
        <v>283</v>
      </c>
      <c r="E441" s="3">
        <v>493</v>
      </c>
      <c r="G441" s="57"/>
    </row>
    <row r="442" spans="1:7" ht="12.75" x14ac:dyDescent="0.2">
      <c r="A442" s="3">
        <v>1</v>
      </c>
      <c r="B442" s="4" t="s">
        <v>12</v>
      </c>
      <c r="C442" s="3" t="s">
        <v>273</v>
      </c>
      <c r="D442" s="3" t="s">
        <v>315</v>
      </c>
      <c r="E442" s="3">
        <v>24</v>
      </c>
      <c r="G442" s="57"/>
    </row>
    <row r="443" spans="1:7" ht="12.75" x14ac:dyDescent="0.2">
      <c r="A443" s="3">
        <v>1</v>
      </c>
      <c r="B443" s="4" t="s">
        <v>12</v>
      </c>
      <c r="C443" s="3" t="s">
        <v>273</v>
      </c>
      <c r="D443" s="3" t="s">
        <v>128</v>
      </c>
      <c r="E443" s="3">
        <v>484</v>
      </c>
      <c r="G443" s="57"/>
    </row>
    <row r="444" spans="1:7" ht="12.75" x14ac:dyDescent="0.2">
      <c r="A444" s="3">
        <v>1</v>
      </c>
      <c r="B444" s="4" t="s">
        <v>12</v>
      </c>
      <c r="C444" s="3" t="s">
        <v>273</v>
      </c>
      <c r="D444" s="3" t="s">
        <v>353</v>
      </c>
      <c r="E444" s="3">
        <v>8</v>
      </c>
      <c r="G444" s="57"/>
    </row>
    <row r="445" spans="1:7" ht="12.75" x14ac:dyDescent="0.2">
      <c r="A445" s="3">
        <v>1</v>
      </c>
      <c r="B445" s="4" t="s">
        <v>12</v>
      </c>
      <c r="C445" s="3" t="s">
        <v>273</v>
      </c>
      <c r="D445" s="3" t="s">
        <v>371</v>
      </c>
      <c r="E445" s="3">
        <v>53</v>
      </c>
      <c r="G445" s="57"/>
    </row>
    <row r="446" spans="1:7" ht="12.75" x14ac:dyDescent="0.2">
      <c r="A446" s="3">
        <v>1</v>
      </c>
      <c r="B446" s="4" t="s">
        <v>12</v>
      </c>
      <c r="C446" s="3" t="s">
        <v>273</v>
      </c>
      <c r="D446" s="3" t="s">
        <v>14</v>
      </c>
      <c r="E446" s="3">
        <v>109</v>
      </c>
      <c r="G446" s="57"/>
    </row>
    <row r="447" spans="1:7" ht="12.75" x14ac:dyDescent="0.2">
      <c r="A447" s="3">
        <v>1</v>
      </c>
      <c r="B447" s="4" t="s">
        <v>12</v>
      </c>
      <c r="C447" s="3" t="s">
        <v>273</v>
      </c>
      <c r="D447" s="3" t="s">
        <v>138</v>
      </c>
      <c r="E447" s="3">
        <v>11</v>
      </c>
      <c r="F447">
        <f>SUM(E440:E447)</f>
        <v>1184</v>
      </c>
      <c r="G447" s="57"/>
    </row>
    <row r="448" spans="1:7" ht="12.75" x14ac:dyDescent="0.2">
      <c r="A448" s="3">
        <v>1</v>
      </c>
      <c r="B448" s="4" t="s">
        <v>12</v>
      </c>
      <c r="C448" s="3" t="s">
        <v>125</v>
      </c>
      <c r="D448" s="3" t="s">
        <v>274</v>
      </c>
      <c r="E448" s="3">
        <v>2</v>
      </c>
      <c r="G448" s="57"/>
    </row>
    <row r="449" spans="1:7" ht="12.75" x14ac:dyDescent="0.2">
      <c r="A449" s="3">
        <v>1</v>
      </c>
      <c r="B449" s="4" t="s">
        <v>12</v>
      </c>
      <c r="C449" s="3" t="s">
        <v>125</v>
      </c>
      <c r="D449" s="3" t="s">
        <v>283</v>
      </c>
      <c r="E449" s="3">
        <v>477</v>
      </c>
      <c r="G449" s="57"/>
    </row>
    <row r="450" spans="1:7" ht="12.75" x14ac:dyDescent="0.2">
      <c r="A450" s="3">
        <v>1</v>
      </c>
      <c r="B450" s="4" t="s">
        <v>12</v>
      </c>
      <c r="C450" s="3" t="s">
        <v>125</v>
      </c>
      <c r="D450" s="3" t="s">
        <v>315</v>
      </c>
      <c r="E450" s="3">
        <v>22</v>
      </c>
      <c r="G450" s="57"/>
    </row>
    <row r="451" spans="1:7" ht="12.75" x14ac:dyDescent="0.2">
      <c r="A451" s="3">
        <v>1</v>
      </c>
      <c r="B451" s="4" t="s">
        <v>12</v>
      </c>
      <c r="C451" s="3" t="s">
        <v>125</v>
      </c>
      <c r="D451" s="3" t="s">
        <v>128</v>
      </c>
      <c r="E451" s="3">
        <v>478</v>
      </c>
      <c r="G451" s="57"/>
    </row>
    <row r="452" spans="1:7" ht="12.75" x14ac:dyDescent="0.2">
      <c r="A452" s="3">
        <v>1</v>
      </c>
      <c r="B452" s="4" t="s">
        <v>12</v>
      </c>
      <c r="C452" s="3" t="s">
        <v>125</v>
      </c>
      <c r="D452" s="3" t="s">
        <v>353</v>
      </c>
      <c r="E452" s="3">
        <v>8</v>
      </c>
      <c r="G452" s="57"/>
    </row>
    <row r="453" spans="1:7" ht="12.75" x14ac:dyDescent="0.2">
      <c r="A453" s="3">
        <v>1</v>
      </c>
      <c r="B453" s="4" t="s">
        <v>12</v>
      </c>
      <c r="C453" s="3" t="s">
        <v>125</v>
      </c>
      <c r="D453" s="3" t="s">
        <v>371</v>
      </c>
      <c r="E453" s="3">
        <v>53</v>
      </c>
      <c r="G453" s="57"/>
    </row>
    <row r="454" spans="1:7" ht="12.75" x14ac:dyDescent="0.2">
      <c r="A454" s="3">
        <v>1</v>
      </c>
      <c r="B454" s="4" t="s">
        <v>12</v>
      </c>
      <c r="C454" s="3" t="s">
        <v>125</v>
      </c>
      <c r="D454" s="3" t="s">
        <v>14</v>
      </c>
      <c r="E454" s="3">
        <v>134</v>
      </c>
      <c r="G454" s="57"/>
    </row>
    <row r="455" spans="1:7" ht="12.75" x14ac:dyDescent="0.2">
      <c r="A455" s="3">
        <v>1</v>
      </c>
      <c r="B455" s="4" t="s">
        <v>12</v>
      </c>
      <c r="C455" s="3" t="s">
        <v>125</v>
      </c>
      <c r="D455" s="3" t="s">
        <v>138</v>
      </c>
      <c r="E455" s="3">
        <v>10</v>
      </c>
      <c r="F455">
        <f>SUM(E448:E455)</f>
        <v>1184</v>
      </c>
      <c r="G455" s="57"/>
    </row>
    <row r="456" spans="1:7" ht="12.75" x14ac:dyDescent="0.2">
      <c r="A456" s="3">
        <v>3</v>
      </c>
      <c r="B456" s="4" t="s">
        <v>35</v>
      </c>
      <c r="C456" s="3" t="s">
        <v>347</v>
      </c>
      <c r="D456" s="3" t="s">
        <v>366</v>
      </c>
      <c r="E456" s="3">
        <v>3</v>
      </c>
      <c r="G456" s="59">
        <v>2132</v>
      </c>
    </row>
    <row r="457" spans="1:7" ht="12.75" x14ac:dyDescent="0.2">
      <c r="A457" s="3">
        <v>3</v>
      </c>
      <c r="B457" s="4" t="s">
        <v>35</v>
      </c>
      <c r="C457" s="3" t="s">
        <v>347</v>
      </c>
      <c r="D457" s="3" t="s">
        <v>274</v>
      </c>
      <c r="E457" s="3">
        <v>0</v>
      </c>
      <c r="G457" s="57"/>
    </row>
    <row r="458" spans="1:7" ht="12.75" x14ac:dyDescent="0.2">
      <c r="A458" s="3">
        <v>3</v>
      </c>
      <c r="B458" s="4" t="s">
        <v>35</v>
      </c>
      <c r="C458" s="3" t="s">
        <v>347</v>
      </c>
      <c r="D458" s="3" t="s">
        <v>367</v>
      </c>
      <c r="E458" s="3">
        <v>1</v>
      </c>
      <c r="G458" s="57"/>
    </row>
    <row r="459" spans="1:7" ht="12.75" x14ac:dyDescent="0.2">
      <c r="A459" s="3">
        <v>3</v>
      </c>
      <c r="B459" s="4" t="s">
        <v>35</v>
      </c>
      <c r="C459" s="3" t="s">
        <v>347</v>
      </c>
      <c r="D459" s="3" t="s">
        <v>368</v>
      </c>
      <c r="E459" s="3">
        <v>1</v>
      </c>
      <c r="G459" s="57"/>
    </row>
    <row r="460" spans="1:7" ht="12.75" x14ac:dyDescent="0.2">
      <c r="A460" s="3">
        <v>3</v>
      </c>
      <c r="B460" s="4" t="s">
        <v>35</v>
      </c>
      <c r="C460" s="3" t="s">
        <v>347</v>
      </c>
      <c r="D460" s="3" t="s">
        <v>283</v>
      </c>
      <c r="E460" s="3">
        <v>728</v>
      </c>
      <c r="G460" s="57"/>
    </row>
    <row r="461" spans="1:7" ht="12.75" x14ac:dyDescent="0.2">
      <c r="A461" s="3">
        <v>3</v>
      </c>
      <c r="B461" s="4" t="s">
        <v>35</v>
      </c>
      <c r="C461" s="3" t="s">
        <v>347</v>
      </c>
      <c r="D461" s="3" t="s">
        <v>315</v>
      </c>
      <c r="E461" s="3">
        <v>13</v>
      </c>
      <c r="G461" s="57"/>
    </row>
    <row r="462" spans="1:7" ht="12.75" x14ac:dyDescent="0.2">
      <c r="A462" s="3">
        <v>3</v>
      </c>
      <c r="B462" s="4" t="s">
        <v>35</v>
      </c>
      <c r="C462" s="3" t="s">
        <v>347</v>
      </c>
      <c r="D462" s="3" t="s">
        <v>316</v>
      </c>
      <c r="E462" s="3">
        <v>21</v>
      </c>
      <c r="G462" s="57"/>
    </row>
    <row r="463" spans="1:7" ht="12.75" x14ac:dyDescent="0.2">
      <c r="A463" s="3">
        <v>3</v>
      </c>
      <c r="B463" s="4" t="s">
        <v>35</v>
      </c>
      <c r="C463" s="3" t="s">
        <v>347</v>
      </c>
      <c r="D463" s="3" t="s">
        <v>369</v>
      </c>
      <c r="E463" s="3">
        <v>4</v>
      </c>
      <c r="G463" s="57"/>
    </row>
    <row r="464" spans="1:7" ht="12.75" x14ac:dyDescent="0.2">
      <c r="A464" s="3">
        <v>3</v>
      </c>
      <c r="B464" s="4" t="s">
        <v>35</v>
      </c>
      <c r="C464" s="3" t="s">
        <v>347</v>
      </c>
      <c r="D464" s="3" t="s">
        <v>128</v>
      </c>
      <c r="E464" s="3">
        <v>829</v>
      </c>
      <c r="G464" s="57"/>
    </row>
    <row r="465" spans="1:7" ht="12.75" x14ac:dyDescent="0.2">
      <c r="A465" s="3">
        <v>3</v>
      </c>
      <c r="B465" s="4" t="s">
        <v>35</v>
      </c>
      <c r="C465" s="3" t="s">
        <v>347</v>
      </c>
      <c r="D465" s="3" t="s">
        <v>370</v>
      </c>
      <c r="E465" s="3">
        <v>1</v>
      </c>
      <c r="G465" s="57"/>
    </row>
    <row r="466" spans="1:7" ht="12.75" x14ac:dyDescent="0.2">
      <c r="A466" s="3">
        <v>3</v>
      </c>
      <c r="B466" s="4" t="s">
        <v>35</v>
      </c>
      <c r="C466" s="3" t="s">
        <v>347</v>
      </c>
      <c r="D466" s="3" t="s">
        <v>353</v>
      </c>
      <c r="E466" s="3">
        <v>9</v>
      </c>
      <c r="G466" s="57"/>
    </row>
    <row r="467" spans="1:7" ht="12.75" x14ac:dyDescent="0.2">
      <c r="A467" s="3">
        <v>3</v>
      </c>
      <c r="B467" s="4" t="s">
        <v>35</v>
      </c>
      <c r="C467" s="3" t="s">
        <v>347</v>
      </c>
      <c r="D467" s="3" t="s">
        <v>371</v>
      </c>
      <c r="E467" s="3">
        <v>108</v>
      </c>
      <c r="G467" s="57"/>
    </row>
    <row r="468" spans="1:7" ht="12.75" x14ac:dyDescent="0.2">
      <c r="A468" s="3">
        <v>3</v>
      </c>
      <c r="B468" s="4" t="s">
        <v>35</v>
      </c>
      <c r="C468" s="3" t="s">
        <v>347</v>
      </c>
      <c r="D468" s="3" t="s">
        <v>14</v>
      </c>
      <c r="E468" s="3">
        <v>65</v>
      </c>
      <c r="G468" s="57"/>
    </row>
    <row r="469" spans="1:7" ht="12.75" x14ac:dyDescent="0.2">
      <c r="A469" s="3">
        <v>3</v>
      </c>
      <c r="B469" s="4" t="s">
        <v>35</v>
      </c>
      <c r="C469" s="3" t="s">
        <v>347</v>
      </c>
      <c r="D469" s="3" t="s">
        <v>138</v>
      </c>
      <c r="E469" s="3">
        <v>5</v>
      </c>
      <c r="F469">
        <f>SUM(E456:E469)</f>
        <v>1788</v>
      </c>
      <c r="G469" s="57"/>
    </row>
    <row r="470" spans="1:7" ht="12.75" x14ac:dyDescent="0.2">
      <c r="A470" s="3">
        <v>3</v>
      </c>
      <c r="B470" s="4" t="s">
        <v>35</v>
      </c>
      <c r="C470" s="3" t="s">
        <v>273</v>
      </c>
      <c r="D470" s="3" t="s">
        <v>274</v>
      </c>
      <c r="E470" s="3">
        <v>2</v>
      </c>
      <c r="G470" s="57"/>
    </row>
    <row r="471" spans="1:7" ht="12.75" x14ac:dyDescent="0.2">
      <c r="A471" s="3">
        <v>3</v>
      </c>
      <c r="B471" s="4" t="s">
        <v>35</v>
      </c>
      <c r="C471" s="3" t="s">
        <v>273</v>
      </c>
      <c r="D471" s="3" t="s">
        <v>283</v>
      </c>
      <c r="E471" s="3">
        <v>786</v>
      </c>
      <c r="G471" s="57"/>
    </row>
    <row r="472" spans="1:7" ht="12.75" x14ac:dyDescent="0.2">
      <c r="A472" s="3">
        <v>3</v>
      </c>
      <c r="B472" s="4" t="s">
        <v>35</v>
      </c>
      <c r="C472" s="3" t="s">
        <v>273</v>
      </c>
      <c r="D472" s="3" t="s">
        <v>315</v>
      </c>
      <c r="E472" s="3">
        <v>9</v>
      </c>
      <c r="G472" s="57"/>
    </row>
    <row r="473" spans="1:7" ht="12.75" x14ac:dyDescent="0.2">
      <c r="A473" s="3">
        <v>3</v>
      </c>
      <c r="B473" s="4" t="s">
        <v>35</v>
      </c>
      <c r="C473" s="3" t="s">
        <v>273</v>
      </c>
      <c r="D473" s="3" t="s">
        <v>128</v>
      </c>
      <c r="E473" s="3">
        <v>893</v>
      </c>
      <c r="G473" s="57"/>
    </row>
    <row r="474" spans="1:7" ht="12.75" x14ac:dyDescent="0.2">
      <c r="A474" s="3">
        <v>3</v>
      </c>
      <c r="B474" s="4" t="s">
        <v>35</v>
      </c>
      <c r="C474" s="3" t="s">
        <v>273</v>
      </c>
      <c r="D474" s="3" t="s">
        <v>353</v>
      </c>
      <c r="E474" s="3">
        <v>7</v>
      </c>
      <c r="G474" s="57"/>
    </row>
    <row r="475" spans="1:7" ht="12.75" x14ac:dyDescent="0.2">
      <c r="A475" s="3">
        <v>3</v>
      </c>
      <c r="B475" s="4" t="s">
        <v>35</v>
      </c>
      <c r="C475" s="3" t="s">
        <v>273</v>
      </c>
      <c r="D475" s="3" t="s">
        <v>371</v>
      </c>
      <c r="E475" s="3">
        <v>35</v>
      </c>
      <c r="G475" s="57"/>
    </row>
    <row r="476" spans="1:7" ht="12.75" x14ac:dyDescent="0.2">
      <c r="A476" s="3">
        <v>3</v>
      </c>
      <c r="B476" s="4" t="s">
        <v>35</v>
      </c>
      <c r="C476" s="3" t="s">
        <v>273</v>
      </c>
      <c r="D476" s="3" t="s">
        <v>14</v>
      </c>
      <c r="E476" s="3">
        <v>53</v>
      </c>
      <c r="G476" s="57"/>
    </row>
    <row r="477" spans="1:7" ht="12.75" x14ac:dyDescent="0.2">
      <c r="A477" s="3">
        <v>3</v>
      </c>
      <c r="B477" s="4" t="s">
        <v>35</v>
      </c>
      <c r="C477" s="3" t="s">
        <v>273</v>
      </c>
      <c r="D477" s="3" t="s">
        <v>138</v>
      </c>
      <c r="E477" s="3">
        <v>3</v>
      </c>
      <c r="F477">
        <f>SUM(E470:E477)</f>
        <v>1788</v>
      </c>
      <c r="G477" s="57"/>
    </row>
    <row r="478" spans="1:7" ht="12.75" x14ac:dyDescent="0.2">
      <c r="A478" s="3">
        <v>3</v>
      </c>
      <c r="B478" s="4" t="s">
        <v>35</v>
      </c>
      <c r="C478" s="3" t="s">
        <v>125</v>
      </c>
      <c r="D478" s="3" t="s">
        <v>274</v>
      </c>
      <c r="E478" s="3">
        <v>2</v>
      </c>
      <c r="G478" s="57"/>
    </row>
    <row r="479" spans="1:7" ht="12.75" x14ac:dyDescent="0.2">
      <c r="A479" s="3">
        <v>3</v>
      </c>
      <c r="B479" s="4" t="s">
        <v>35</v>
      </c>
      <c r="C479" s="3" t="s">
        <v>125</v>
      </c>
      <c r="D479" s="3" t="s">
        <v>283</v>
      </c>
      <c r="E479" s="3">
        <v>812</v>
      </c>
      <c r="G479" s="57"/>
    </row>
    <row r="480" spans="1:7" ht="12.75" x14ac:dyDescent="0.2">
      <c r="A480" s="3">
        <v>3</v>
      </c>
      <c r="B480" s="4" t="s">
        <v>35</v>
      </c>
      <c r="C480" s="3" t="s">
        <v>125</v>
      </c>
      <c r="D480" s="3" t="s">
        <v>315</v>
      </c>
      <c r="E480" s="3">
        <v>8</v>
      </c>
      <c r="G480" s="57"/>
    </row>
    <row r="481" spans="1:7" ht="12.75" x14ac:dyDescent="0.2">
      <c r="A481" s="3">
        <v>3</v>
      </c>
      <c r="B481" s="4" t="s">
        <v>35</v>
      </c>
      <c r="C481" s="3" t="s">
        <v>125</v>
      </c>
      <c r="D481" s="3" t="s">
        <v>128</v>
      </c>
      <c r="E481" s="3">
        <v>837</v>
      </c>
      <c r="G481" s="57"/>
    </row>
    <row r="482" spans="1:7" ht="12.75" x14ac:dyDescent="0.2">
      <c r="A482" s="3">
        <v>3</v>
      </c>
      <c r="B482" s="4" t="s">
        <v>35</v>
      </c>
      <c r="C482" s="3" t="s">
        <v>125</v>
      </c>
      <c r="D482" s="3" t="s">
        <v>353</v>
      </c>
      <c r="E482" s="3">
        <v>7</v>
      </c>
      <c r="G482" s="57"/>
    </row>
    <row r="483" spans="1:7" ht="12.75" x14ac:dyDescent="0.2">
      <c r="A483" s="3">
        <v>3</v>
      </c>
      <c r="B483" s="4" t="s">
        <v>35</v>
      </c>
      <c r="C483" s="3" t="s">
        <v>125</v>
      </c>
      <c r="D483" s="3" t="s">
        <v>371</v>
      </c>
      <c r="E483" s="3">
        <v>38</v>
      </c>
      <c r="G483" s="57"/>
    </row>
    <row r="484" spans="1:7" ht="12.75" x14ac:dyDescent="0.2">
      <c r="A484" s="3">
        <v>3</v>
      </c>
      <c r="B484" s="4" t="s">
        <v>35</v>
      </c>
      <c r="C484" s="3" t="s">
        <v>125</v>
      </c>
      <c r="D484" s="3" t="s">
        <v>14</v>
      </c>
      <c r="E484" s="3">
        <v>81</v>
      </c>
      <c r="G484" s="57"/>
    </row>
    <row r="485" spans="1:7" ht="12.75" x14ac:dyDescent="0.2">
      <c r="A485" s="3">
        <v>3</v>
      </c>
      <c r="B485" s="4" t="s">
        <v>35</v>
      </c>
      <c r="C485" s="3" t="s">
        <v>125</v>
      </c>
      <c r="D485" s="3" t="s">
        <v>138</v>
      </c>
      <c r="E485" s="3">
        <v>3</v>
      </c>
      <c r="F485">
        <f>SUM(E478:E485)</f>
        <v>1788</v>
      </c>
      <c r="G485" s="57"/>
    </row>
    <row r="486" spans="1:7" ht="12.75" x14ac:dyDescent="0.2">
      <c r="A486" s="3">
        <v>4</v>
      </c>
      <c r="B486" s="4" t="s">
        <v>36</v>
      </c>
      <c r="C486" s="3" t="s">
        <v>347</v>
      </c>
      <c r="D486" s="3" t="s">
        <v>366</v>
      </c>
      <c r="E486" s="3">
        <v>0</v>
      </c>
      <c r="G486" s="59">
        <v>632</v>
      </c>
    </row>
    <row r="487" spans="1:7" ht="12.75" x14ac:dyDescent="0.2">
      <c r="A487" s="3">
        <v>4</v>
      </c>
      <c r="B487" s="4" t="s">
        <v>36</v>
      </c>
      <c r="C487" s="3" t="s">
        <v>347</v>
      </c>
      <c r="D487" s="3" t="s">
        <v>274</v>
      </c>
      <c r="E487" s="3">
        <v>0</v>
      </c>
      <c r="G487" s="57"/>
    </row>
    <row r="488" spans="1:7" ht="12.75" x14ac:dyDescent="0.2">
      <c r="A488" s="3">
        <v>4</v>
      </c>
      <c r="B488" s="4" t="s">
        <v>36</v>
      </c>
      <c r="C488" s="3" t="s">
        <v>347</v>
      </c>
      <c r="D488" s="3" t="s">
        <v>367</v>
      </c>
      <c r="E488" s="3">
        <v>0</v>
      </c>
      <c r="G488" s="57"/>
    </row>
    <row r="489" spans="1:7" ht="12.75" x14ac:dyDescent="0.2">
      <c r="A489" s="3">
        <v>4</v>
      </c>
      <c r="B489" s="4" t="s">
        <v>36</v>
      </c>
      <c r="C489" s="3" t="s">
        <v>347</v>
      </c>
      <c r="D489" s="3" t="s">
        <v>368</v>
      </c>
      <c r="E489" s="3">
        <v>0</v>
      </c>
      <c r="G489" s="57"/>
    </row>
    <row r="490" spans="1:7" ht="12.75" x14ac:dyDescent="0.2">
      <c r="A490" s="3">
        <v>4</v>
      </c>
      <c r="B490" s="4" t="s">
        <v>36</v>
      </c>
      <c r="C490" s="3" t="s">
        <v>347</v>
      </c>
      <c r="D490" s="3" t="s">
        <v>283</v>
      </c>
      <c r="E490" s="3">
        <v>234</v>
      </c>
      <c r="G490" s="57"/>
    </row>
    <row r="491" spans="1:7" ht="12.75" x14ac:dyDescent="0.2">
      <c r="A491" s="3">
        <v>4</v>
      </c>
      <c r="B491" s="4" t="s">
        <v>36</v>
      </c>
      <c r="C491" s="3" t="s">
        <v>347</v>
      </c>
      <c r="D491" s="3" t="s">
        <v>315</v>
      </c>
      <c r="E491" s="3">
        <v>6</v>
      </c>
      <c r="G491" s="57"/>
    </row>
    <row r="492" spans="1:7" ht="12.75" x14ac:dyDescent="0.2">
      <c r="A492" s="3">
        <v>4</v>
      </c>
      <c r="B492" s="4" t="s">
        <v>36</v>
      </c>
      <c r="C492" s="3" t="s">
        <v>347</v>
      </c>
      <c r="D492" s="3" t="s">
        <v>316</v>
      </c>
      <c r="E492" s="3">
        <v>4</v>
      </c>
      <c r="G492" s="57"/>
    </row>
    <row r="493" spans="1:7" ht="12.75" x14ac:dyDescent="0.2">
      <c r="A493" s="3">
        <v>4</v>
      </c>
      <c r="B493" s="4" t="s">
        <v>36</v>
      </c>
      <c r="C493" s="3" t="s">
        <v>347</v>
      </c>
      <c r="D493" s="3" t="s">
        <v>369</v>
      </c>
      <c r="E493" s="3">
        <v>0</v>
      </c>
      <c r="G493" s="57"/>
    </row>
    <row r="494" spans="1:7" ht="12.75" x14ac:dyDescent="0.2">
      <c r="A494" s="3">
        <v>4</v>
      </c>
      <c r="B494" s="4" t="s">
        <v>36</v>
      </c>
      <c r="C494" s="3" t="s">
        <v>347</v>
      </c>
      <c r="D494" s="3" t="s">
        <v>128</v>
      </c>
      <c r="E494" s="3">
        <v>200</v>
      </c>
      <c r="G494" s="57"/>
    </row>
    <row r="495" spans="1:7" ht="12.75" x14ac:dyDescent="0.2">
      <c r="A495" s="3">
        <v>4</v>
      </c>
      <c r="B495" s="4" t="s">
        <v>36</v>
      </c>
      <c r="C495" s="3" t="s">
        <v>347</v>
      </c>
      <c r="D495" s="3" t="s">
        <v>370</v>
      </c>
      <c r="E495" s="3">
        <v>1</v>
      </c>
      <c r="G495" s="57"/>
    </row>
    <row r="496" spans="1:7" ht="12.75" x14ac:dyDescent="0.2">
      <c r="A496" s="3">
        <v>4</v>
      </c>
      <c r="B496" s="4" t="s">
        <v>36</v>
      </c>
      <c r="C496" s="3" t="s">
        <v>347</v>
      </c>
      <c r="D496" s="3" t="s">
        <v>353</v>
      </c>
      <c r="E496" s="3">
        <v>7</v>
      </c>
      <c r="G496" s="57"/>
    </row>
    <row r="497" spans="1:7" ht="12.75" x14ac:dyDescent="0.2">
      <c r="A497" s="3">
        <v>4</v>
      </c>
      <c r="B497" s="4" t="s">
        <v>36</v>
      </c>
      <c r="C497" s="3" t="s">
        <v>347</v>
      </c>
      <c r="D497" s="3" t="s">
        <v>371</v>
      </c>
      <c r="E497" s="3">
        <v>67</v>
      </c>
      <c r="G497" s="57"/>
    </row>
    <row r="498" spans="1:7" ht="12.75" x14ac:dyDescent="0.2">
      <c r="A498" s="3">
        <v>4</v>
      </c>
      <c r="B498" s="4" t="s">
        <v>36</v>
      </c>
      <c r="C498" s="3" t="s">
        <v>347</v>
      </c>
      <c r="D498" s="3" t="s">
        <v>14</v>
      </c>
      <c r="E498" s="3">
        <v>6</v>
      </c>
      <c r="G498" s="57"/>
    </row>
    <row r="499" spans="1:7" ht="12.75" x14ac:dyDescent="0.2">
      <c r="A499" s="3">
        <v>4</v>
      </c>
      <c r="B499" s="4" t="s">
        <v>36</v>
      </c>
      <c r="C499" s="3" t="s">
        <v>347</v>
      </c>
      <c r="D499" s="3" t="s">
        <v>138</v>
      </c>
      <c r="E499" s="3">
        <v>1</v>
      </c>
      <c r="F499">
        <f>SUM(E486:E499)</f>
        <v>526</v>
      </c>
      <c r="G499" s="57"/>
    </row>
    <row r="500" spans="1:7" ht="12.75" x14ac:dyDescent="0.2">
      <c r="A500" s="3">
        <v>4</v>
      </c>
      <c r="B500" s="4" t="s">
        <v>36</v>
      </c>
      <c r="C500" s="3" t="s">
        <v>273</v>
      </c>
      <c r="D500" s="3" t="s">
        <v>274</v>
      </c>
      <c r="E500" s="3">
        <v>2</v>
      </c>
      <c r="G500" s="57"/>
    </row>
    <row r="501" spans="1:7" ht="12.75" x14ac:dyDescent="0.2">
      <c r="A501" s="3">
        <v>4</v>
      </c>
      <c r="B501" s="4" t="s">
        <v>36</v>
      </c>
      <c r="C501" s="3" t="s">
        <v>273</v>
      </c>
      <c r="D501" s="3" t="s">
        <v>283</v>
      </c>
      <c r="E501" s="3">
        <v>268</v>
      </c>
      <c r="G501" s="57"/>
    </row>
    <row r="502" spans="1:7" ht="12.75" x14ac:dyDescent="0.2">
      <c r="A502" s="3">
        <v>4</v>
      </c>
      <c r="B502" s="4" t="s">
        <v>36</v>
      </c>
      <c r="C502" s="3" t="s">
        <v>273</v>
      </c>
      <c r="D502" s="3" t="s">
        <v>315</v>
      </c>
      <c r="E502" s="3">
        <v>1</v>
      </c>
      <c r="G502" s="57"/>
    </row>
    <row r="503" spans="1:7" ht="12.75" x14ac:dyDescent="0.2">
      <c r="A503" s="3">
        <v>4</v>
      </c>
      <c r="B503" s="4" t="s">
        <v>36</v>
      </c>
      <c r="C503" s="3" t="s">
        <v>273</v>
      </c>
      <c r="D503" s="3" t="s">
        <v>128</v>
      </c>
      <c r="E503" s="3">
        <v>186</v>
      </c>
      <c r="G503" s="57"/>
    </row>
    <row r="504" spans="1:7" ht="12.75" x14ac:dyDescent="0.2">
      <c r="A504" s="3">
        <v>4</v>
      </c>
      <c r="B504" s="4" t="s">
        <v>36</v>
      </c>
      <c r="C504" s="3" t="s">
        <v>273</v>
      </c>
      <c r="D504" s="3" t="s">
        <v>353</v>
      </c>
      <c r="E504" s="3">
        <v>3</v>
      </c>
      <c r="G504" s="57"/>
    </row>
    <row r="505" spans="1:7" ht="12.75" x14ac:dyDescent="0.2">
      <c r="A505" s="3">
        <v>4</v>
      </c>
      <c r="B505" s="4" t="s">
        <v>36</v>
      </c>
      <c r="C505" s="3" t="s">
        <v>273</v>
      </c>
      <c r="D505" s="3" t="s">
        <v>371</v>
      </c>
      <c r="E505" s="3">
        <v>33</v>
      </c>
      <c r="G505" s="57"/>
    </row>
    <row r="506" spans="1:7" ht="12.75" x14ac:dyDescent="0.2">
      <c r="A506" s="3">
        <v>4</v>
      </c>
      <c r="B506" s="4" t="s">
        <v>36</v>
      </c>
      <c r="C506" s="3" t="s">
        <v>273</v>
      </c>
      <c r="D506" s="3" t="s">
        <v>14</v>
      </c>
      <c r="E506" s="3">
        <v>32</v>
      </c>
      <c r="G506" s="57"/>
    </row>
    <row r="507" spans="1:7" ht="12.75" x14ac:dyDescent="0.2">
      <c r="A507" s="3">
        <v>4</v>
      </c>
      <c r="B507" s="4" t="s">
        <v>36</v>
      </c>
      <c r="C507" s="3" t="s">
        <v>273</v>
      </c>
      <c r="D507" s="3" t="s">
        <v>138</v>
      </c>
      <c r="E507" s="3">
        <v>1</v>
      </c>
      <c r="F507">
        <f>SUM(E500:E507)</f>
        <v>526</v>
      </c>
      <c r="G507" s="57"/>
    </row>
    <row r="508" spans="1:7" ht="12.75" x14ac:dyDescent="0.2">
      <c r="A508" s="3">
        <v>4</v>
      </c>
      <c r="B508" s="4" t="s">
        <v>36</v>
      </c>
      <c r="C508" s="3" t="s">
        <v>125</v>
      </c>
      <c r="D508" s="3" t="s">
        <v>274</v>
      </c>
      <c r="E508" s="3">
        <v>2</v>
      </c>
      <c r="G508" s="57"/>
    </row>
    <row r="509" spans="1:7" ht="12.75" x14ac:dyDescent="0.2">
      <c r="A509" s="3">
        <v>4</v>
      </c>
      <c r="B509" s="4" t="s">
        <v>36</v>
      </c>
      <c r="C509" s="3" t="s">
        <v>125</v>
      </c>
      <c r="D509" s="3" t="s">
        <v>283</v>
      </c>
      <c r="E509" s="3">
        <v>277</v>
      </c>
      <c r="G509" s="57"/>
    </row>
    <row r="510" spans="1:7" ht="12.75" x14ac:dyDescent="0.2">
      <c r="A510" s="3">
        <v>4</v>
      </c>
      <c r="B510" s="4" t="s">
        <v>36</v>
      </c>
      <c r="C510" s="3" t="s">
        <v>125</v>
      </c>
      <c r="D510" s="3" t="s">
        <v>315</v>
      </c>
      <c r="E510" s="3">
        <v>1</v>
      </c>
      <c r="G510" s="57"/>
    </row>
    <row r="511" spans="1:7" ht="12.75" x14ac:dyDescent="0.2">
      <c r="A511" s="3">
        <v>4</v>
      </c>
      <c r="B511" s="4" t="s">
        <v>36</v>
      </c>
      <c r="C511" s="3" t="s">
        <v>125</v>
      </c>
      <c r="D511" s="3" t="s">
        <v>128</v>
      </c>
      <c r="E511" s="3">
        <v>178</v>
      </c>
      <c r="G511" s="57"/>
    </row>
    <row r="512" spans="1:7" ht="12.75" x14ac:dyDescent="0.2">
      <c r="A512" s="3">
        <v>4</v>
      </c>
      <c r="B512" s="4" t="s">
        <v>36</v>
      </c>
      <c r="C512" s="3" t="s">
        <v>125</v>
      </c>
      <c r="D512" s="3" t="s">
        <v>353</v>
      </c>
      <c r="E512" s="3">
        <v>3</v>
      </c>
      <c r="G512" s="57"/>
    </row>
    <row r="513" spans="1:7" ht="12.75" x14ac:dyDescent="0.2">
      <c r="A513" s="3">
        <v>4</v>
      </c>
      <c r="B513" s="4" t="s">
        <v>36</v>
      </c>
      <c r="C513" s="3" t="s">
        <v>125</v>
      </c>
      <c r="D513" s="3" t="s">
        <v>371</v>
      </c>
      <c r="E513" s="3">
        <v>34</v>
      </c>
      <c r="G513" s="57"/>
    </row>
    <row r="514" spans="1:7" ht="12.75" x14ac:dyDescent="0.2">
      <c r="A514" s="3">
        <v>4</v>
      </c>
      <c r="B514" s="4" t="s">
        <v>36</v>
      </c>
      <c r="C514" s="3" t="s">
        <v>125</v>
      </c>
      <c r="D514" s="3" t="s">
        <v>14</v>
      </c>
      <c r="E514" s="3">
        <v>30</v>
      </c>
      <c r="G514" s="57"/>
    </row>
    <row r="515" spans="1:7" ht="12.75" x14ac:dyDescent="0.2">
      <c r="A515" s="3">
        <v>4</v>
      </c>
      <c r="B515" s="4" t="s">
        <v>36</v>
      </c>
      <c r="C515" s="3" t="s">
        <v>125</v>
      </c>
      <c r="D515" s="3" t="s">
        <v>138</v>
      </c>
      <c r="E515" s="3">
        <v>1</v>
      </c>
      <c r="F515">
        <f>SUM(E508:E515)</f>
        <v>526</v>
      </c>
      <c r="G515" s="57"/>
    </row>
    <row r="516" spans="1:7" ht="12.75" x14ac:dyDescent="0.2">
      <c r="A516" s="3">
        <v>5</v>
      </c>
      <c r="B516" s="4" t="s">
        <v>37</v>
      </c>
      <c r="C516" s="3" t="s">
        <v>347</v>
      </c>
      <c r="D516" s="3" t="s">
        <v>366</v>
      </c>
      <c r="E516" s="3">
        <v>1</v>
      </c>
      <c r="G516" s="59">
        <v>382</v>
      </c>
    </row>
    <row r="517" spans="1:7" ht="12.75" x14ac:dyDescent="0.2">
      <c r="A517" s="3">
        <v>5</v>
      </c>
      <c r="B517" s="4" t="s">
        <v>37</v>
      </c>
      <c r="C517" s="3" t="s">
        <v>347</v>
      </c>
      <c r="D517" s="3" t="s">
        <v>274</v>
      </c>
      <c r="E517" s="3">
        <v>0</v>
      </c>
      <c r="G517" s="57"/>
    </row>
    <row r="518" spans="1:7" ht="12.75" x14ac:dyDescent="0.2">
      <c r="A518" s="3">
        <v>5</v>
      </c>
      <c r="B518" s="4" t="s">
        <v>37</v>
      </c>
      <c r="C518" s="3" t="s">
        <v>347</v>
      </c>
      <c r="D518" s="3" t="s">
        <v>367</v>
      </c>
      <c r="E518" s="3">
        <v>0</v>
      </c>
      <c r="G518" s="57"/>
    </row>
    <row r="519" spans="1:7" ht="12.75" x14ac:dyDescent="0.2">
      <c r="A519" s="3">
        <v>5</v>
      </c>
      <c r="B519" s="4" t="s">
        <v>37</v>
      </c>
      <c r="C519" s="3" t="s">
        <v>347</v>
      </c>
      <c r="D519" s="3" t="s">
        <v>368</v>
      </c>
      <c r="E519" s="3">
        <v>0</v>
      </c>
      <c r="G519" s="57"/>
    </row>
    <row r="520" spans="1:7" ht="12.75" x14ac:dyDescent="0.2">
      <c r="A520" s="3">
        <v>5</v>
      </c>
      <c r="B520" s="4" t="s">
        <v>37</v>
      </c>
      <c r="C520" s="3" t="s">
        <v>347</v>
      </c>
      <c r="D520" s="3" t="s">
        <v>283</v>
      </c>
      <c r="E520" s="3">
        <v>58</v>
      </c>
      <c r="G520" s="57"/>
    </row>
    <row r="521" spans="1:7" ht="12.75" x14ac:dyDescent="0.2">
      <c r="A521" s="3">
        <v>5</v>
      </c>
      <c r="B521" s="4" t="s">
        <v>37</v>
      </c>
      <c r="C521" s="3" t="s">
        <v>347</v>
      </c>
      <c r="D521" s="3" t="s">
        <v>315</v>
      </c>
      <c r="E521" s="3">
        <v>2</v>
      </c>
      <c r="G521" s="57"/>
    </row>
    <row r="522" spans="1:7" ht="12.75" x14ac:dyDescent="0.2">
      <c r="A522" s="3">
        <v>5</v>
      </c>
      <c r="B522" s="4" t="s">
        <v>37</v>
      </c>
      <c r="C522" s="3" t="s">
        <v>347</v>
      </c>
      <c r="D522" s="3" t="s">
        <v>316</v>
      </c>
      <c r="E522" s="3">
        <v>2</v>
      </c>
      <c r="G522" s="57"/>
    </row>
    <row r="523" spans="1:7" ht="12.75" x14ac:dyDescent="0.2">
      <c r="A523" s="3">
        <v>5</v>
      </c>
      <c r="B523" s="4" t="s">
        <v>37</v>
      </c>
      <c r="C523" s="3" t="s">
        <v>347</v>
      </c>
      <c r="D523" s="3" t="s">
        <v>369</v>
      </c>
      <c r="E523" s="3">
        <v>0</v>
      </c>
      <c r="G523" s="57"/>
    </row>
    <row r="524" spans="1:7" ht="12.75" x14ac:dyDescent="0.2">
      <c r="A524" s="3">
        <v>5</v>
      </c>
      <c r="B524" s="4" t="s">
        <v>37</v>
      </c>
      <c r="C524" s="3" t="s">
        <v>347</v>
      </c>
      <c r="D524" s="3" t="s">
        <v>128</v>
      </c>
      <c r="E524" s="3">
        <v>219</v>
      </c>
      <c r="G524" s="57"/>
    </row>
    <row r="525" spans="1:7" ht="12.75" x14ac:dyDescent="0.2">
      <c r="A525" s="3">
        <v>5</v>
      </c>
      <c r="B525" s="4" t="s">
        <v>37</v>
      </c>
      <c r="C525" s="3" t="s">
        <v>347</v>
      </c>
      <c r="D525" s="3" t="s">
        <v>370</v>
      </c>
      <c r="E525" s="3">
        <v>0</v>
      </c>
      <c r="G525" s="57"/>
    </row>
    <row r="526" spans="1:7" ht="12.75" x14ac:dyDescent="0.2">
      <c r="A526" s="3">
        <v>5</v>
      </c>
      <c r="B526" s="4" t="s">
        <v>37</v>
      </c>
      <c r="C526" s="3" t="s">
        <v>347</v>
      </c>
      <c r="D526" s="3" t="s">
        <v>353</v>
      </c>
      <c r="E526" s="3">
        <v>1</v>
      </c>
      <c r="G526" s="57"/>
    </row>
    <row r="527" spans="1:7" ht="12.75" x14ac:dyDescent="0.2">
      <c r="A527" s="3">
        <v>5</v>
      </c>
      <c r="B527" s="4" t="s">
        <v>37</v>
      </c>
      <c r="C527" s="3" t="s">
        <v>347</v>
      </c>
      <c r="D527" s="3" t="s">
        <v>371</v>
      </c>
      <c r="E527" s="3">
        <v>19</v>
      </c>
      <c r="G527" s="57"/>
    </row>
    <row r="528" spans="1:7" ht="12.75" x14ac:dyDescent="0.2">
      <c r="A528" s="3">
        <v>5</v>
      </c>
      <c r="B528" s="4" t="s">
        <v>37</v>
      </c>
      <c r="C528" s="3" t="s">
        <v>347</v>
      </c>
      <c r="D528" s="3" t="s">
        <v>14</v>
      </c>
      <c r="E528" s="3">
        <v>21</v>
      </c>
      <c r="G528" s="57"/>
    </row>
    <row r="529" spans="1:7" ht="12.75" x14ac:dyDescent="0.2">
      <c r="A529" s="3">
        <v>5</v>
      </c>
      <c r="B529" s="4" t="s">
        <v>37</v>
      </c>
      <c r="C529" s="3" t="s">
        <v>347</v>
      </c>
      <c r="D529" s="3" t="s">
        <v>138</v>
      </c>
      <c r="E529" s="3">
        <v>4</v>
      </c>
      <c r="F529">
        <f>SUM(E516:E529)</f>
        <v>327</v>
      </c>
      <c r="G529" s="57"/>
    </row>
    <row r="530" spans="1:7" ht="12.75" x14ac:dyDescent="0.2">
      <c r="A530" s="3">
        <v>5</v>
      </c>
      <c r="B530" s="4" t="s">
        <v>37</v>
      </c>
      <c r="C530" s="3" t="s">
        <v>273</v>
      </c>
      <c r="D530" s="3" t="s">
        <v>274</v>
      </c>
      <c r="E530" s="3">
        <v>0</v>
      </c>
      <c r="G530" s="57"/>
    </row>
    <row r="531" spans="1:7" ht="12.75" x14ac:dyDescent="0.2">
      <c r="A531" s="3">
        <v>5</v>
      </c>
      <c r="B531" s="4" t="s">
        <v>37</v>
      </c>
      <c r="C531" s="3" t="s">
        <v>273</v>
      </c>
      <c r="D531" s="3" t="s">
        <v>283</v>
      </c>
      <c r="E531" s="3">
        <v>88</v>
      </c>
      <c r="G531" s="57"/>
    </row>
    <row r="532" spans="1:7" ht="12.75" x14ac:dyDescent="0.2">
      <c r="A532" s="3">
        <v>5</v>
      </c>
      <c r="B532" s="4" t="s">
        <v>37</v>
      </c>
      <c r="C532" s="3" t="s">
        <v>273</v>
      </c>
      <c r="D532" s="3" t="s">
        <v>315</v>
      </c>
      <c r="E532" s="3">
        <v>0</v>
      </c>
      <c r="G532" s="57"/>
    </row>
    <row r="533" spans="1:7" ht="12.75" x14ac:dyDescent="0.2">
      <c r="A533" s="3">
        <v>5</v>
      </c>
      <c r="B533" s="4" t="s">
        <v>37</v>
      </c>
      <c r="C533" s="3" t="s">
        <v>273</v>
      </c>
      <c r="D533" s="3" t="s">
        <v>128</v>
      </c>
      <c r="E533" s="3">
        <v>213</v>
      </c>
      <c r="G533" s="57"/>
    </row>
    <row r="534" spans="1:7" ht="12.75" x14ac:dyDescent="0.2">
      <c r="A534" s="3">
        <v>5</v>
      </c>
      <c r="B534" s="4" t="s">
        <v>37</v>
      </c>
      <c r="C534" s="3" t="s">
        <v>273</v>
      </c>
      <c r="D534" s="3" t="s">
        <v>353</v>
      </c>
      <c r="E534" s="3">
        <v>0</v>
      </c>
      <c r="G534" s="57"/>
    </row>
    <row r="535" spans="1:7" ht="12.75" x14ac:dyDescent="0.2">
      <c r="A535" s="3">
        <v>5</v>
      </c>
      <c r="B535" s="4" t="s">
        <v>37</v>
      </c>
      <c r="C535" s="3" t="s">
        <v>273</v>
      </c>
      <c r="D535" s="3" t="s">
        <v>371</v>
      </c>
      <c r="E535" s="3">
        <v>11</v>
      </c>
      <c r="G535" s="57"/>
    </row>
    <row r="536" spans="1:7" ht="12.75" x14ac:dyDescent="0.2">
      <c r="A536" s="3">
        <v>5</v>
      </c>
      <c r="B536" s="4" t="s">
        <v>37</v>
      </c>
      <c r="C536" s="3" t="s">
        <v>273</v>
      </c>
      <c r="D536" s="3" t="s">
        <v>14</v>
      </c>
      <c r="E536" s="3">
        <v>11</v>
      </c>
      <c r="G536" s="57"/>
    </row>
    <row r="537" spans="1:7" ht="12.75" x14ac:dyDescent="0.2">
      <c r="A537" s="3">
        <v>5</v>
      </c>
      <c r="B537" s="4" t="s">
        <v>37</v>
      </c>
      <c r="C537" s="3" t="s">
        <v>273</v>
      </c>
      <c r="D537" s="3" t="s">
        <v>138</v>
      </c>
      <c r="E537" s="3">
        <v>4</v>
      </c>
      <c r="F537">
        <f>SUM(E530:E537)</f>
        <v>327</v>
      </c>
      <c r="G537" s="57"/>
    </row>
    <row r="538" spans="1:7" ht="12.75" x14ac:dyDescent="0.2">
      <c r="A538" s="3">
        <v>5</v>
      </c>
      <c r="B538" s="4" t="s">
        <v>37</v>
      </c>
      <c r="C538" s="3" t="s">
        <v>125</v>
      </c>
      <c r="D538" s="3" t="s">
        <v>274</v>
      </c>
      <c r="E538" s="3">
        <v>0</v>
      </c>
      <c r="G538" s="57"/>
    </row>
    <row r="539" spans="1:7" ht="12.75" x14ac:dyDescent="0.2">
      <c r="A539" s="3">
        <v>5</v>
      </c>
      <c r="B539" s="4" t="s">
        <v>37</v>
      </c>
      <c r="C539" s="3" t="s">
        <v>125</v>
      </c>
      <c r="D539" s="3" t="s">
        <v>283</v>
      </c>
      <c r="E539" s="3">
        <v>87</v>
      </c>
      <c r="G539" s="57"/>
    </row>
    <row r="540" spans="1:7" ht="12.75" x14ac:dyDescent="0.2">
      <c r="A540" s="3">
        <v>5</v>
      </c>
      <c r="B540" s="4" t="s">
        <v>37</v>
      </c>
      <c r="C540" s="3" t="s">
        <v>125</v>
      </c>
      <c r="D540" s="3" t="s">
        <v>315</v>
      </c>
      <c r="E540" s="3">
        <v>0</v>
      </c>
      <c r="G540" s="57"/>
    </row>
    <row r="541" spans="1:7" ht="12.75" x14ac:dyDescent="0.2">
      <c r="A541" s="3">
        <v>5</v>
      </c>
      <c r="B541" s="4" t="s">
        <v>37</v>
      </c>
      <c r="C541" s="3" t="s">
        <v>125</v>
      </c>
      <c r="D541" s="3" t="s">
        <v>128</v>
      </c>
      <c r="E541" s="3">
        <v>210</v>
      </c>
      <c r="G541" s="57"/>
    </row>
    <row r="542" spans="1:7" ht="12.75" x14ac:dyDescent="0.2">
      <c r="A542" s="3">
        <v>5</v>
      </c>
      <c r="B542" s="4" t="s">
        <v>37</v>
      </c>
      <c r="C542" s="3" t="s">
        <v>125</v>
      </c>
      <c r="D542" s="3" t="s">
        <v>353</v>
      </c>
      <c r="E542" s="3">
        <v>0</v>
      </c>
      <c r="G542" s="57"/>
    </row>
    <row r="543" spans="1:7" ht="12.75" x14ac:dyDescent="0.2">
      <c r="A543" s="3">
        <v>5</v>
      </c>
      <c r="B543" s="4" t="s">
        <v>37</v>
      </c>
      <c r="C543" s="3" t="s">
        <v>125</v>
      </c>
      <c r="D543" s="3" t="s">
        <v>371</v>
      </c>
      <c r="E543" s="3">
        <v>11</v>
      </c>
      <c r="G543" s="57"/>
    </row>
    <row r="544" spans="1:7" ht="12.75" x14ac:dyDescent="0.2">
      <c r="A544" s="3">
        <v>5</v>
      </c>
      <c r="B544" s="4" t="s">
        <v>37</v>
      </c>
      <c r="C544" s="3" t="s">
        <v>125</v>
      </c>
      <c r="D544" s="3" t="s">
        <v>14</v>
      </c>
      <c r="E544" s="3">
        <v>15</v>
      </c>
      <c r="G544" s="57"/>
    </row>
    <row r="545" spans="1:7" ht="12.75" x14ac:dyDescent="0.2">
      <c r="A545" s="3">
        <v>5</v>
      </c>
      <c r="B545" s="4" t="s">
        <v>37</v>
      </c>
      <c r="C545" s="3" t="s">
        <v>125</v>
      </c>
      <c r="D545" s="3" t="s">
        <v>138</v>
      </c>
      <c r="E545" s="3">
        <v>4</v>
      </c>
      <c r="F545">
        <f>SUM(E538:E545)</f>
        <v>327</v>
      </c>
      <c r="G545" s="57"/>
    </row>
    <row r="546" spans="1:7" ht="12.75" x14ac:dyDescent="0.2">
      <c r="A546" s="3">
        <v>6</v>
      </c>
      <c r="B546" s="4" t="s">
        <v>38</v>
      </c>
      <c r="C546" s="3" t="s">
        <v>347</v>
      </c>
      <c r="D546" s="3" t="s">
        <v>366</v>
      </c>
      <c r="E546" s="3">
        <v>3</v>
      </c>
      <c r="G546" s="59">
        <v>1701</v>
      </c>
    </row>
    <row r="547" spans="1:7" ht="12.75" x14ac:dyDescent="0.2">
      <c r="A547" s="3">
        <v>6</v>
      </c>
      <c r="B547" s="4" t="s">
        <v>38</v>
      </c>
      <c r="C547" s="3" t="s">
        <v>347</v>
      </c>
      <c r="D547" s="3" t="s">
        <v>274</v>
      </c>
      <c r="E547" s="3">
        <v>0</v>
      </c>
      <c r="G547" s="57"/>
    </row>
    <row r="548" spans="1:7" ht="12.75" x14ac:dyDescent="0.2">
      <c r="A548" s="3">
        <v>6</v>
      </c>
      <c r="B548" s="4" t="s">
        <v>38</v>
      </c>
      <c r="C548" s="3" t="s">
        <v>347</v>
      </c>
      <c r="D548" s="3" t="s">
        <v>367</v>
      </c>
      <c r="E548" s="3">
        <v>2</v>
      </c>
      <c r="G548" s="57"/>
    </row>
    <row r="549" spans="1:7" ht="12.75" x14ac:dyDescent="0.2">
      <c r="A549" s="3">
        <v>6</v>
      </c>
      <c r="B549" s="4" t="s">
        <v>38</v>
      </c>
      <c r="C549" s="3" t="s">
        <v>347</v>
      </c>
      <c r="D549" s="3" t="s">
        <v>368</v>
      </c>
      <c r="E549" s="3">
        <v>3</v>
      </c>
      <c r="G549" s="57"/>
    </row>
    <row r="550" spans="1:7" ht="12.75" x14ac:dyDescent="0.2">
      <c r="A550" s="3">
        <v>6</v>
      </c>
      <c r="B550" s="4" t="s">
        <v>38</v>
      </c>
      <c r="C550" s="3" t="s">
        <v>347</v>
      </c>
      <c r="D550" s="3" t="s">
        <v>283</v>
      </c>
      <c r="E550" s="3">
        <v>598</v>
      </c>
      <c r="G550" s="57"/>
    </row>
    <row r="551" spans="1:7" ht="12.75" x14ac:dyDescent="0.2">
      <c r="A551" s="3">
        <v>6</v>
      </c>
      <c r="B551" s="4" t="s">
        <v>38</v>
      </c>
      <c r="C551" s="3" t="s">
        <v>347</v>
      </c>
      <c r="D551" s="3" t="s">
        <v>315</v>
      </c>
      <c r="E551" s="3">
        <v>26</v>
      </c>
      <c r="G551" s="57"/>
    </row>
    <row r="552" spans="1:7" ht="12.75" x14ac:dyDescent="0.2">
      <c r="A552" s="3">
        <v>6</v>
      </c>
      <c r="B552" s="4" t="s">
        <v>38</v>
      </c>
      <c r="C552" s="3" t="s">
        <v>347</v>
      </c>
      <c r="D552" s="3" t="s">
        <v>316</v>
      </c>
      <c r="E552" s="3">
        <v>23</v>
      </c>
      <c r="G552" s="57"/>
    </row>
    <row r="553" spans="1:7" ht="12.75" x14ac:dyDescent="0.2">
      <c r="A553" s="3">
        <v>6</v>
      </c>
      <c r="B553" s="4" t="s">
        <v>38</v>
      </c>
      <c r="C553" s="3" t="s">
        <v>347</v>
      </c>
      <c r="D553" s="3" t="s">
        <v>369</v>
      </c>
      <c r="E553" s="3">
        <v>0</v>
      </c>
      <c r="G553" s="57"/>
    </row>
    <row r="554" spans="1:7" ht="12.75" x14ac:dyDescent="0.2">
      <c r="A554" s="3">
        <v>6</v>
      </c>
      <c r="B554" s="4" t="s">
        <v>38</v>
      </c>
      <c r="C554" s="3" t="s">
        <v>347</v>
      </c>
      <c r="D554" s="3" t="s">
        <v>128</v>
      </c>
      <c r="E554" s="3">
        <v>609</v>
      </c>
      <c r="G554" s="57"/>
    </row>
    <row r="555" spans="1:7" ht="12.75" x14ac:dyDescent="0.2">
      <c r="A555" s="3">
        <v>6</v>
      </c>
      <c r="B555" s="4" t="s">
        <v>38</v>
      </c>
      <c r="C555" s="3" t="s">
        <v>347</v>
      </c>
      <c r="D555" s="3" t="s">
        <v>370</v>
      </c>
      <c r="E555" s="3">
        <v>7</v>
      </c>
      <c r="G555" s="57"/>
    </row>
    <row r="556" spans="1:7" ht="12.75" x14ac:dyDescent="0.2">
      <c r="A556" s="3">
        <v>6</v>
      </c>
      <c r="B556" s="4" t="s">
        <v>38</v>
      </c>
      <c r="C556" s="3" t="s">
        <v>347</v>
      </c>
      <c r="D556" s="3" t="s">
        <v>353</v>
      </c>
      <c r="E556" s="3">
        <v>20</v>
      </c>
      <c r="G556" s="57"/>
    </row>
    <row r="557" spans="1:7" ht="12.75" x14ac:dyDescent="0.2">
      <c r="A557" s="3">
        <v>6</v>
      </c>
      <c r="B557" s="4" t="s">
        <v>38</v>
      </c>
      <c r="C557" s="3" t="s">
        <v>347</v>
      </c>
      <c r="D557" s="3" t="s">
        <v>371</v>
      </c>
      <c r="E557" s="3">
        <v>96</v>
      </c>
      <c r="G557" s="57"/>
    </row>
    <row r="558" spans="1:7" ht="12.75" x14ac:dyDescent="0.2">
      <c r="A558" s="3">
        <v>6</v>
      </c>
      <c r="B558" s="4" t="s">
        <v>38</v>
      </c>
      <c r="C558" s="3" t="s">
        <v>347</v>
      </c>
      <c r="D558" s="3" t="s">
        <v>14</v>
      </c>
      <c r="E558" s="3">
        <v>37</v>
      </c>
      <c r="G558" s="57"/>
    </row>
    <row r="559" spans="1:7" ht="12.75" x14ac:dyDescent="0.2">
      <c r="A559" s="3">
        <v>6</v>
      </c>
      <c r="B559" s="4" t="s">
        <v>38</v>
      </c>
      <c r="C559" s="3" t="s">
        <v>347</v>
      </c>
      <c r="D559" s="3" t="s">
        <v>138</v>
      </c>
      <c r="E559" s="3">
        <v>14</v>
      </c>
      <c r="F559">
        <f>SUM(E546:E559)</f>
        <v>1438</v>
      </c>
      <c r="G559" s="57"/>
    </row>
    <row r="560" spans="1:7" ht="12.75" x14ac:dyDescent="0.2">
      <c r="A560" s="3">
        <v>6</v>
      </c>
      <c r="B560" s="4" t="s">
        <v>38</v>
      </c>
      <c r="C560" s="3" t="s">
        <v>273</v>
      </c>
      <c r="D560" s="3" t="s">
        <v>274</v>
      </c>
      <c r="E560" s="3">
        <v>4</v>
      </c>
      <c r="G560" s="57"/>
    </row>
    <row r="561" spans="1:7" ht="12.75" x14ac:dyDescent="0.2">
      <c r="A561" s="3">
        <v>6</v>
      </c>
      <c r="B561" s="4" t="s">
        <v>38</v>
      </c>
      <c r="C561" s="3" t="s">
        <v>273</v>
      </c>
      <c r="D561" s="3" t="s">
        <v>283</v>
      </c>
      <c r="E561" s="3">
        <v>605</v>
      </c>
      <c r="G561" s="57"/>
    </row>
    <row r="562" spans="1:7" ht="12.75" x14ac:dyDescent="0.2">
      <c r="A562" s="3">
        <v>6</v>
      </c>
      <c r="B562" s="4" t="s">
        <v>38</v>
      </c>
      <c r="C562" s="3" t="s">
        <v>273</v>
      </c>
      <c r="D562" s="3" t="s">
        <v>315</v>
      </c>
      <c r="E562" s="3">
        <v>12</v>
      </c>
      <c r="G562" s="57"/>
    </row>
    <row r="563" spans="1:7" ht="12.75" x14ac:dyDescent="0.2">
      <c r="A563" s="3">
        <v>6</v>
      </c>
      <c r="B563" s="4" t="s">
        <v>38</v>
      </c>
      <c r="C563" s="3" t="s">
        <v>273</v>
      </c>
      <c r="D563" s="3" t="s">
        <v>128</v>
      </c>
      <c r="E563" s="3">
        <v>654</v>
      </c>
      <c r="G563" s="57"/>
    </row>
    <row r="564" spans="1:7" ht="12.75" x14ac:dyDescent="0.2">
      <c r="A564" s="3">
        <v>6</v>
      </c>
      <c r="B564" s="4" t="s">
        <v>38</v>
      </c>
      <c r="C564" s="3" t="s">
        <v>273</v>
      </c>
      <c r="D564" s="3" t="s">
        <v>353</v>
      </c>
      <c r="E564" s="3">
        <v>11</v>
      </c>
      <c r="G564" s="57"/>
    </row>
    <row r="565" spans="1:7" ht="12.75" x14ac:dyDescent="0.2">
      <c r="A565" s="3">
        <v>6</v>
      </c>
      <c r="B565" s="4" t="s">
        <v>38</v>
      </c>
      <c r="C565" s="3" t="s">
        <v>273</v>
      </c>
      <c r="D565" s="3" t="s">
        <v>371</v>
      </c>
      <c r="E565" s="3">
        <v>64</v>
      </c>
      <c r="G565" s="57"/>
    </row>
    <row r="566" spans="1:7" ht="12.75" x14ac:dyDescent="0.2">
      <c r="A566" s="3">
        <v>6</v>
      </c>
      <c r="B566" s="4" t="s">
        <v>38</v>
      </c>
      <c r="C566" s="3" t="s">
        <v>273</v>
      </c>
      <c r="D566" s="3" t="s">
        <v>14</v>
      </c>
      <c r="E566" s="3">
        <v>77</v>
      </c>
      <c r="G566" s="57"/>
    </row>
    <row r="567" spans="1:7" ht="12.75" x14ac:dyDescent="0.2">
      <c r="A567" s="3">
        <v>6</v>
      </c>
      <c r="B567" s="4" t="s">
        <v>38</v>
      </c>
      <c r="C567" s="3" t="s">
        <v>273</v>
      </c>
      <c r="D567" s="3" t="s">
        <v>138</v>
      </c>
      <c r="E567" s="3">
        <v>11</v>
      </c>
      <c r="F567">
        <f>SUM(E560:E567)</f>
        <v>1438</v>
      </c>
      <c r="G567" s="57"/>
    </row>
    <row r="568" spans="1:7" ht="12.75" x14ac:dyDescent="0.2">
      <c r="A568" s="3">
        <v>6</v>
      </c>
      <c r="B568" s="4" t="s">
        <v>38</v>
      </c>
      <c r="C568" s="3" t="s">
        <v>125</v>
      </c>
      <c r="D568" s="3" t="s">
        <v>274</v>
      </c>
      <c r="E568" s="3">
        <v>4</v>
      </c>
      <c r="G568" s="57"/>
    </row>
    <row r="569" spans="1:7" ht="12.75" x14ac:dyDescent="0.2">
      <c r="A569" s="3">
        <v>6</v>
      </c>
      <c r="B569" s="4" t="s">
        <v>38</v>
      </c>
      <c r="C569" s="3" t="s">
        <v>125</v>
      </c>
      <c r="D569" s="3" t="s">
        <v>283</v>
      </c>
      <c r="E569" s="3">
        <v>603</v>
      </c>
      <c r="G569" s="57"/>
    </row>
    <row r="570" spans="1:7" ht="12.75" x14ac:dyDescent="0.2">
      <c r="A570" s="3">
        <v>6</v>
      </c>
      <c r="B570" s="4" t="s">
        <v>38</v>
      </c>
      <c r="C570" s="3" t="s">
        <v>125</v>
      </c>
      <c r="D570" s="3" t="s">
        <v>315</v>
      </c>
      <c r="E570" s="3">
        <v>8</v>
      </c>
      <c r="G570" s="57"/>
    </row>
    <row r="571" spans="1:7" ht="12.75" x14ac:dyDescent="0.2">
      <c r="A571" s="3">
        <v>6</v>
      </c>
      <c r="B571" s="4" t="s">
        <v>38</v>
      </c>
      <c r="C571" s="3" t="s">
        <v>125</v>
      </c>
      <c r="D571" s="3" t="s">
        <v>128</v>
      </c>
      <c r="E571" s="3">
        <v>643</v>
      </c>
      <c r="G571" s="57"/>
    </row>
    <row r="572" spans="1:7" ht="12.75" x14ac:dyDescent="0.2">
      <c r="A572" s="3">
        <v>6</v>
      </c>
      <c r="B572" s="4" t="s">
        <v>38</v>
      </c>
      <c r="C572" s="3" t="s">
        <v>125</v>
      </c>
      <c r="D572" s="3" t="s">
        <v>353</v>
      </c>
      <c r="E572" s="3">
        <v>12</v>
      </c>
      <c r="G572" s="57"/>
    </row>
    <row r="573" spans="1:7" ht="12.75" x14ac:dyDescent="0.2">
      <c r="A573" s="3">
        <v>6</v>
      </c>
      <c r="B573" s="4" t="s">
        <v>38</v>
      </c>
      <c r="C573" s="3" t="s">
        <v>125</v>
      </c>
      <c r="D573" s="3" t="s">
        <v>371</v>
      </c>
      <c r="E573" s="3">
        <v>64</v>
      </c>
      <c r="G573" s="57"/>
    </row>
    <row r="574" spans="1:7" ht="12.75" x14ac:dyDescent="0.2">
      <c r="A574" s="3">
        <v>6</v>
      </c>
      <c r="B574" s="4" t="s">
        <v>38</v>
      </c>
      <c r="C574" s="3" t="s">
        <v>125</v>
      </c>
      <c r="D574" s="3" t="s">
        <v>14</v>
      </c>
      <c r="E574" s="3">
        <v>93</v>
      </c>
      <c r="G574" s="57"/>
    </row>
    <row r="575" spans="1:7" ht="12.75" x14ac:dyDescent="0.2">
      <c r="A575" s="3">
        <v>6</v>
      </c>
      <c r="B575" s="4" t="s">
        <v>38</v>
      </c>
      <c r="C575" s="3" t="s">
        <v>125</v>
      </c>
      <c r="D575" s="3" t="s">
        <v>138</v>
      </c>
      <c r="E575" s="3">
        <v>11</v>
      </c>
      <c r="F575">
        <f>SUM(E568:E575)</f>
        <v>1438</v>
      </c>
      <c r="G575" s="57"/>
    </row>
    <row r="576" spans="1:7" ht="12.75" x14ac:dyDescent="0.2">
      <c r="A576" s="3">
        <v>11</v>
      </c>
      <c r="B576" s="4" t="s">
        <v>41</v>
      </c>
      <c r="C576" s="3" t="s">
        <v>347</v>
      </c>
      <c r="D576" s="3" t="s">
        <v>366</v>
      </c>
      <c r="E576" s="3">
        <v>10</v>
      </c>
      <c r="G576" s="59">
        <v>1724</v>
      </c>
    </row>
    <row r="577" spans="1:7" ht="12.75" x14ac:dyDescent="0.2">
      <c r="A577" s="3">
        <v>11</v>
      </c>
      <c r="B577" s="4" t="s">
        <v>41</v>
      </c>
      <c r="C577" s="3" t="s">
        <v>347</v>
      </c>
      <c r="D577" s="3" t="s">
        <v>274</v>
      </c>
      <c r="E577" s="3">
        <v>0</v>
      </c>
      <c r="G577" s="57"/>
    </row>
    <row r="578" spans="1:7" ht="12.75" x14ac:dyDescent="0.2">
      <c r="A578" s="3">
        <v>11</v>
      </c>
      <c r="B578" s="4" t="s">
        <v>41</v>
      </c>
      <c r="C578" s="3" t="s">
        <v>347</v>
      </c>
      <c r="D578" s="3" t="s">
        <v>367</v>
      </c>
      <c r="E578" s="3">
        <v>1</v>
      </c>
      <c r="G578" s="57"/>
    </row>
    <row r="579" spans="1:7" ht="12.75" x14ac:dyDescent="0.2">
      <c r="A579" s="3">
        <v>11</v>
      </c>
      <c r="B579" s="4" t="s">
        <v>41</v>
      </c>
      <c r="C579" s="3" t="s">
        <v>347</v>
      </c>
      <c r="D579" s="3" t="s">
        <v>368</v>
      </c>
      <c r="E579" s="3">
        <v>4</v>
      </c>
      <c r="G579" s="57"/>
    </row>
    <row r="580" spans="1:7" ht="12.75" x14ac:dyDescent="0.2">
      <c r="A580" s="3">
        <v>11</v>
      </c>
      <c r="B580" s="4" t="s">
        <v>41</v>
      </c>
      <c r="C580" s="3" t="s">
        <v>347</v>
      </c>
      <c r="D580" s="3" t="s">
        <v>283</v>
      </c>
      <c r="E580" s="3">
        <v>789</v>
      </c>
      <c r="G580" s="57"/>
    </row>
    <row r="581" spans="1:7" ht="12.75" x14ac:dyDescent="0.2">
      <c r="A581" s="3">
        <v>11</v>
      </c>
      <c r="B581" s="4" t="s">
        <v>41</v>
      </c>
      <c r="C581" s="3" t="s">
        <v>347</v>
      </c>
      <c r="D581" s="3" t="s">
        <v>315</v>
      </c>
      <c r="E581" s="3">
        <v>50</v>
      </c>
      <c r="G581" s="57"/>
    </row>
    <row r="582" spans="1:7" ht="12.75" x14ac:dyDescent="0.2">
      <c r="A582" s="3">
        <v>11</v>
      </c>
      <c r="B582" s="4" t="s">
        <v>41</v>
      </c>
      <c r="C582" s="3" t="s">
        <v>347</v>
      </c>
      <c r="D582" s="3" t="s">
        <v>316</v>
      </c>
      <c r="E582" s="3">
        <v>28</v>
      </c>
      <c r="G582" s="57"/>
    </row>
    <row r="583" spans="1:7" ht="12.75" x14ac:dyDescent="0.2">
      <c r="A583" s="3">
        <v>11</v>
      </c>
      <c r="B583" s="4" t="s">
        <v>41</v>
      </c>
      <c r="C583" s="3" t="s">
        <v>347</v>
      </c>
      <c r="D583" s="3" t="s">
        <v>369</v>
      </c>
      <c r="E583" s="3">
        <v>6</v>
      </c>
      <c r="G583" s="57"/>
    </row>
    <row r="584" spans="1:7" ht="12.75" x14ac:dyDescent="0.2">
      <c r="A584" s="3">
        <v>11</v>
      </c>
      <c r="B584" s="4" t="s">
        <v>41</v>
      </c>
      <c r="C584" s="3" t="s">
        <v>347</v>
      </c>
      <c r="D584" s="3" t="s">
        <v>128</v>
      </c>
      <c r="E584" s="3">
        <v>210</v>
      </c>
      <c r="G584" s="57"/>
    </row>
    <row r="585" spans="1:7" ht="12.75" x14ac:dyDescent="0.2">
      <c r="A585" s="3">
        <v>11</v>
      </c>
      <c r="B585" s="4" t="s">
        <v>41</v>
      </c>
      <c r="C585" s="3" t="s">
        <v>347</v>
      </c>
      <c r="D585" s="3" t="s">
        <v>370</v>
      </c>
      <c r="E585" s="3">
        <v>4</v>
      </c>
      <c r="G585" s="57"/>
    </row>
    <row r="586" spans="1:7" ht="12.75" x14ac:dyDescent="0.2">
      <c r="A586" s="3">
        <v>11</v>
      </c>
      <c r="B586" s="4" t="s">
        <v>41</v>
      </c>
      <c r="C586" s="3" t="s">
        <v>347</v>
      </c>
      <c r="D586" s="3" t="s">
        <v>353</v>
      </c>
      <c r="E586" s="3">
        <v>18</v>
      </c>
      <c r="G586" s="57"/>
    </row>
    <row r="587" spans="1:7" ht="12.75" x14ac:dyDescent="0.2">
      <c r="A587" s="3">
        <v>11</v>
      </c>
      <c r="B587" s="4" t="s">
        <v>41</v>
      </c>
      <c r="C587" s="3" t="s">
        <v>347</v>
      </c>
      <c r="D587" s="3" t="s">
        <v>371</v>
      </c>
      <c r="E587" s="3">
        <v>203</v>
      </c>
      <c r="G587" s="57"/>
    </row>
    <row r="588" spans="1:7" ht="12.75" x14ac:dyDescent="0.2">
      <c r="A588" s="3">
        <v>11</v>
      </c>
      <c r="B588" s="4" t="s">
        <v>41</v>
      </c>
      <c r="C588" s="3" t="s">
        <v>347</v>
      </c>
      <c r="D588" s="3" t="s">
        <v>14</v>
      </c>
      <c r="E588" s="3">
        <v>27</v>
      </c>
      <c r="G588" s="57"/>
    </row>
    <row r="589" spans="1:7" ht="12.75" x14ac:dyDescent="0.2">
      <c r="A589" s="3">
        <v>11</v>
      </c>
      <c r="B589" s="4" t="s">
        <v>41</v>
      </c>
      <c r="C589" s="3" t="s">
        <v>347</v>
      </c>
      <c r="D589" s="3" t="s">
        <v>138</v>
      </c>
      <c r="E589" s="3">
        <v>10</v>
      </c>
      <c r="F589">
        <f>SUM(E576:E589)</f>
        <v>1360</v>
      </c>
      <c r="G589" s="57"/>
    </row>
    <row r="590" spans="1:7" ht="12.75" x14ac:dyDescent="0.2">
      <c r="A590" s="3">
        <v>11</v>
      </c>
      <c r="B590" s="4" t="s">
        <v>41</v>
      </c>
      <c r="C590" s="3" t="s">
        <v>273</v>
      </c>
      <c r="D590" s="3" t="s">
        <v>274</v>
      </c>
      <c r="E590" s="3">
        <v>3</v>
      </c>
      <c r="G590" s="57"/>
    </row>
    <row r="591" spans="1:7" ht="12.75" x14ac:dyDescent="0.2">
      <c r="A591" s="3">
        <v>11</v>
      </c>
      <c r="B591" s="4" t="s">
        <v>41</v>
      </c>
      <c r="C591" s="3" t="s">
        <v>273</v>
      </c>
      <c r="D591" s="3" t="s">
        <v>283</v>
      </c>
      <c r="E591" s="3">
        <v>823</v>
      </c>
      <c r="G591" s="57"/>
    </row>
    <row r="592" spans="1:7" ht="12.75" x14ac:dyDescent="0.2">
      <c r="A592" s="3">
        <v>11</v>
      </c>
      <c r="B592" s="4" t="s">
        <v>41</v>
      </c>
      <c r="C592" s="3" t="s">
        <v>273</v>
      </c>
      <c r="D592" s="3" t="s">
        <v>315</v>
      </c>
      <c r="E592" s="3">
        <v>46</v>
      </c>
      <c r="G592" s="57"/>
    </row>
    <row r="593" spans="1:7" ht="12.75" x14ac:dyDescent="0.2">
      <c r="A593" s="3">
        <v>11</v>
      </c>
      <c r="B593" s="4" t="s">
        <v>41</v>
      </c>
      <c r="C593" s="3" t="s">
        <v>273</v>
      </c>
      <c r="D593" s="3" t="s">
        <v>128</v>
      </c>
      <c r="E593" s="3">
        <v>215</v>
      </c>
      <c r="G593" s="57"/>
    </row>
    <row r="594" spans="1:7" ht="12.75" x14ac:dyDescent="0.2">
      <c r="A594" s="3">
        <v>11</v>
      </c>
      <c r="B594" s="4" t="s">
        <v>41</v>
      </c>
      <c r="C594" s="3" t="s">
        <v>273</v>
      </c>
      <c r="D594" s="3" t="s">
        <v>353</v>
      </c>
      <c r="E594" s="3">
        <v>9</v>
      </c>
      <c r="G594" s="57"/>
    </row>
    <row r="595" spans="1:7" ht="12.75" x14ac:dyDescent="0.2">
      <c r="A595" s="3">
        <v>11</v>
      </c>
      <c r="B595" s="4" t="s">
        <v>41</v>
      </c>
      <c r="C595" s="3" t="s">
        <v>273</v>
      </c>
      <c r="D595" s="3" t="s">
        <v>371</v>
      </c>
      <c r="E595" s="3">
        <v>120</v>
      </c>
      <c r="G595" s="57"/>
    </row>
    <row r="596" spans="1:7" ht="12.75" x14ac:dyDescent="0.2">
      <c r="A596" s="3">
        <v>11</v>
      </c>
      <c r="B596" s="4" t="s">
        <v>41</v>
      </c>
      <c r="C596" s="3" t="s">
        <v>273</v>
      </c>
      <c r="D596" s="3" t="s">
        <v>14</v>
      </c>
      <c r="E596" s="3">
        <v>132</v>
      </c>
      <c r="G596" s="57"/>
    </row>
    <row r="597" spans="1:7" ht="12.75" x14ac:dyDescent="0.2">
      <c r="A597" s="3">
        <v>11</v>
      </c>
      <c r="B597" s="4" t="s">
        <v>41</v>
      </c>
      <c r="C597" s="3" t="s">
        <v>273</v>
      </c>
      <c r="D597" s="3" t="s">
        <v>138</v>
      </c>
      <c r="E597" s="3">
        <v>12</v>
      </c>
      <c r="F597">
        <f>SUM(E590:E597)</f>
        <v>1360</v>
      </c>
      <c r="G597" s="57"/>
    </row>
    <row r="598" spans="1:7" ht="12.75" x14ac:dyDescent="0.2">
      <c r="A598" s="3">
        <v>11</v>
      </c>
      <c r="B598" s="4" t="s">
        <v>41</v>
      </c>
      <c r="C598" s="3" t="s">
        <v>125</v>
      </c>
      <c r="D598" s="3" t="s">
        <v>274</v>
      </c>
      <c r="E598" s="3">
        <v>3</v>
      </c>
      <c r="G598" s="57"/>
    </row>
    <row r="599" spans="1:7" ht="12.75" x14ac:dyDescent="0.2">
      <c r="A599" s="3">
        <v>11</v>
      </c>
      <c r="B599" s="4" t="s">
        <v>41</v>
      </c>
      <c r="C599" s="3" t="s">
        <v>125</v>
      </c>
      <c r="D599" s="3" t="s">
        <v>283</v>
      </c>
      <c r="E599" s="3">
        <v>817</v>
      </c>
      <c r="G599" s="57"/>
    </row>
    <row r="600" spans="1:7" ht="12.75" x14ac:dyDescent="0.2">
      <c r="A600" s="3">
        <v>11</v>
      </c>
      <c r="B600" s="4" t="s">
        <v>41</v>
      </c>
      <c r="C600" s="3" t="s">
        <v>125</v>
      </c>
      <c r="D600" s="3" t="s">
        <v>315</v>
      </c>
      <c r="E600" s="3">
        <v>48</v>
      </c>
      <c r="G600" s="57"/>
    </row>
    <row r="601" spans="1:7" ht="12.75" x14ac:dyDescent="0.2">
      <c r="A601" s="3">
        <v>11</v>
      </c>
      <c r="B601" s="4" t="s">
        <v>41</v>
      </c>
      <c r="C601" s="3" t="s">
        <v>125</v>
      </c>
      <c r="D601" s="3" t="s">
        <v>128</v>
      </c>
      <c r="E601" s="3">
        <v>219</v>
      </c>
      <c r="G601" s="57"/>
    </row>
    <row r="602" spans="1:7" ht="12.75" x14ac:dyDescent="0.2">
      <c r="A602" s="3">
        <v>11</v>
      </c>
      <c r="B602" s="4" t="s">
        <v>41</v>
      </c>
      <c r="C602" s="3" t="s">
        <v>125</v>
      </c>
      <c r="D602" s="3" t="s">
        <v>353</v>
      </c>
      <c r="E602" s="3">
        <v>9</v>
      </c>
      <c r="G602" s="57"/>
    </row>
    <row r="603" spans="1:7" ht="12.75" x14ac:dyDescent="0.2">
      <c r="A603" s="3">
        <v>11</v>
      </c>
      <c r="B603" s="4" t="s">
        <v>41</v>
      </c>
      <c r="C603" s="3" t="s">
        <v>125</v>
      </c>
      <c r="D603" s="3" t="s">
        <v>371</v>
      </c>
      <c r="E603" s="3">
        <v>120</v>
      </c>
      <c r="G603" s="57"/>
    </row>
    <row r="604" spans="1:7" ht="12.75" x14ac:dyDescent="0.2">
      <c r="A604" s="3">
        <v>11</v>
      </c>
      <c r="B604" s="4" t="s">
        <v>41</v>
      </c>
      <c r="C604" s="3" t="s">
        <v>125</v>
      </c>
      <c r="D604" s="3" t="s">
        <v>14</v>
      </c>
      <c r="E604" s="3">
        <v>132</v>
      </c>
      <c r="G604" s="57"/>
    </row>
    <row r="605" spans="1:7" ht="12.75" x14ac:dyDescent="0.2">
      <c r="A605" s="3">
        <v>11</v>
      </c>
      <c r="B605" s="4" t="s">
        <v>41</v>
      </c>
      <c r="C605" s="3" t="s">
        <v>125</v>
      </c>
      <c r="D605" s="3" t="s">
        <v>138</v>
      </c>
      <c r="E605" s="3">
        <v>12</v>
      </c>
      <c r="F605">
        <f>SUM(E598:E605)</f>
        <v>1360</v>
      </c>
      <c r="G605" s="57"/>
    </row>
    <row r="606" spans="1:7" ht="12.75" x14ac:dyDescent="0.2">
      <c r="A606" s="3">
        <v>14</v>
      </c>
      <c r="B606" s="4" t="s">
        <v>153</v>
      </c>
      <c r="C606" s="3" t="s">
        <v>347</v>
      </c>
      <c r="D606" s="3" t="s">
        <v>366</v>
      </c>
      <c r="E606" s="3">
        <v>0</v>
      </c>
      <c r="G606" s="59">
        <v>55</v>
      </c>
    </row>
    <row r="607" spans="1:7" ht="12.75" x14ac:dyDescent="0.2">
      <c r="A607" s="3">
        <v>14</v>
      </c>
      <c r="B607" s="4" t="s">
        <v>153</v>
      </c>
      <c r="C607" s="3" t="s">
        <v>347</v>
      </c>
      <c r="D607" s="3" t="s">
        <v>274</v>
      </c>
      <c r="E607" s="3">
        <v>0</v>
      </c>
      <c r="G607" s="57"/>
    </row>
    <row r="608" spans="1:7" ht="12.75" x14ac:dyDescent="0.2">
      <c r="A608" s="3">
        <v>14</v>
      </c>
      <c r="B608" s="4" t="s">
        <v>153</v>
      </c>
      <c r="C608" s="3" t="s">
        <v>347</v>
      </c>
      <c r="D608" s="3" t="s">
        <v>367</v>
      </c>
      <c r="E608" s="3">
        <v>0</v>
      </c>
      <c r="G608" s="57"/>
    </row>
    <row r="609" spans="1:7" ht="12.75" x14ac:dyDescent="0.2">
      <c r="A609" s="3">
        <v>14</v>
      </c>
      <c r="B609" s="4" t="s">
        <v>153</v>
      </c>
      <c r="C609" s="3" t="s">
        <v>347</v>
      </c>
      <c r="D609" s="3" t="s">
        <v>368</v>
      </c>
      <c r="E609" s="3">
        <v>0</v>
      </c>
      <c r="G609" s="57"/>
    </row>
    <row r="610" spans="1:7" ht="12.75" x14ac:dyDescent="0.2">
      <c r="A610" s="3">
        <v>14</v>
      </c>
      <c r="B610" s="4" t="s">
        <v>153</v>
      </c>
      <c r="C610" s="3" t="s">
        <v>347</v>
      </c>
      <c r="D610" s="3" t="s">
        <v>283</v>
      </c>
      <c r="E610" s="3">
        <v>24</v>
      </c>
      <c r="G610" s="57"/>
    </row>
    <row r="611" spans="1:7" ht="12.75" x14ac:dyDescent="0.2">
      <c r="A611" s="3">
        <v>14</v>
      </c>
      <c r="B611" s="4" t="s">
        <v>153</v>
      </c>
      <c r="C611" s="3" t="s">
        <v>347</v>
      </c>
      <c r="D611" s="3" t="s">
        <v>315</v>
      </c>
      <c r="E611" s="3">
        <v>1</v>
      </c>
      <c r="G611" s="57"/>
    </row>
    <row r="612" spans="1:7" ht="12.75" x14ac:dyDescent="0.2">
      <c r="A612" s="3">
        <v>14</v>
      </c>
      <c r="B612" s="4" t="s">
        <v>153</v>
      </c>
      <c r="C612" s="3" t="s">
        <v>347</v>
      </c>
      <c r="D612" s="3" t="s">
        <v>316</v>
      </c>
      <c r="E612" s="3">
        <v>2</v>
      </c>
      <c r="G612" s="57"/>
    </row>
    <row r="613" spans="1:7" ht="12.75" x14ac:dyDescent="0.2">
      <c r="A613" s="3">
        <v>14</v>
      </c>
      <c r="B613" s="4" t="s">
        <v>153</v>
      </c>
      <c r="C613" s="3" t="s">
        <v>347</v>
      </c>
      <c r="D613" s="3" t="s">
        <v>369</v>
      </c>
      <c r="E613" s="3">
        <v>0</v>
      </c>
      <c r="G613" s="57"/>
    </row>
    <row r="614" spans="1:7" ht="12.75" x14ac:dyDescent="0.2">
      <c r="A614" s="3">
        <v>14</v>
      </c>
      <c r="B614" s="4" t="s">
        <v>153</v>
      </c>
      <c r="C614" s="3" t="s">
        <v>347</v>
      </c>
      <c r="D614" s="3" t="s">
        <v>128</v>
      </c>
      <c r="E614" s="3">
        <v>6</v>
      </c>
      <c r="G614" s="57"/>
    </row>
    <row r="615" spans="1:7" ht="12.75" x14ac:dyDescent="0.2">
      <c r="A615" s="3">
        <v>14</v>
      </c>
      <c r="B615" s="4" t="s">
        <v>153</v>
      </c>
      <c r="C615" s="3" t="s">
        <v>347</v>
      </c>
      <c r="D615" s="3" t="s">
        <v>370</v>
      </c>
      <c r="E615" s="3">
        <v>0</v>
      </c>
      <c r="G615" s="57"/>
    </row>
    <row r="616" spans="1:7" ht="12.75" x14ac:dyDescent="0.2">
      <c r="A616" s="3">
        <v>14</v>
      </c>
      <c r="B616" s="4" t="s">
        <v>153</v>
      </c>
      <c r="C616" s="3" t="s">
        <v>347</v>
      </c>
      <c r="D616" s="3" t="s">
        <v>353</v>
      </c>
      <c r="E616" s="3">
        <v>1</v>
      </c>
      <c r="G616" s="57"/>
    </row>
    <row r="617" spans="1:7" ht="12.75" x14ac:dyDescent="0.2">
      <c r="A617" s="3">
        <v>14</v>
      </c>
      <c r="B617" s="4" t="s">
        <v>153</v>
      </c>
      <c r="C617" s="3" t="s">
        <v>347</v>
      </c>
      <c r="D617" s="3" t="s">
        <v>371</v>
      </c>
      <c r="E617" s="3">
        <v>9</v>
      </c>
      <c r="G617" s="57"/>
    </row>
    <row r="618" spans="1:7" ht="12.75" x14ac:dyDescent="0.2">
      <c r="A618" s="3">
        <v>14</v>
      </c>
      <c r="B618" s="4" t="s">
        <v>153</v>
      </c>
      <c r="C618" s="3" t="s">
        <v>347</v>
      </c>
      <c r="D618" s="3" t="s">
        <v>14</v>
      </c>
      <c r="E618" s="3">
        <v>2</v>
      </c>
      <c r="G618" s="57"/>
    </row>
    <row r="619" spans="1:7" ht="12.75" x14ac:dyDescent="0.2">
      <c r="A619" s="3">
        <v>14</v>
      </c>
      <c r="B619" s="4" t="s">
        <v>153</v>
      </c>
      <c r="C619" s="3" t="s">
        <v>347</v>
      </c>
      <c r="D619" s="3" t="s">
        <v>138</v>
      </c>
      <c r="E619" s="3">
        <v>0</v>
      </c>
      <c r="F619">
        <f>SUM(E606:E619)</f>
        <v>45</v>
      </c>
      <c r="G619" s="57"/>
    </row>
    <row r="620" spans="1:7" ht="12.75" x14ac:dyDescent="0.2">
      <c r="A620" s="3">
        <v>14</v>
      </c>
      <c r="B620" s="4" t="s">
        <v>153</v>
      </c>
      <c r="C620" s="3" t="s">
        <v>273</v>
      </c>
      <c r="D620" s="3" t="s">
        <v>274</v>
      </c>
      <c r="E620" s="3">
        <v>0</v>
      </c>
      <c r="G620" s="57"/>
    </row>
    <row r="621" spans="1:7" ht="12.75" x14ac:dyDescent="0.2">
      <c r="A621" s="3">
        <v>14</v>
      </c>
      <c r="B621" s="4" t="s">
        <v>153</v>
      </c>
      <c r="C621" s="3" t="s">
        <v>273</v>
      </c>
      <c r="D621" s="3" t="s">
        <v>283</v>
      </c>
      <c r="E621" s="3">
        <v>26</v>
      </c>
      <c r="G621" s="57"/>
    </row>
    <row r="622" spans="1:7" ht="12.75" x14ac:dyDescent="0.2">
      <c r="A622" s="3">
        <v>14</v>
      </c>
      <c r="B622" s="4" t="s">
        <v>153</v>
      </c>
      <c r="C622" s="3" t="s">
        <v>273</v>
      </c>
      <c r="D622" s="3" t="s">
        <v>315</v>
      </c>
      <c r="E622" s="3">
        <v>1</v>
      </c>
      <c r="G622" s="57"/>
    </row>
    <row r="623" spans="1:7" ht="12.75" x14ac:dyDescent="0.2">
      <c r="A623" s="3">
        <v>14</v>
      </c>
      <c r="B623" s="4" t="s">
        <v>153</v>
      </c>
      <c r="C623" s="3" t="s">
        <v>273</v>
      </c>
      <c r="D623" s="3" t="s">
        <v>128</v>
      </c>
      <c r="E623" s="3">
        <v>8</v>
      </c>
      <c r="G623" s="57"/>
    </row>
    <row r="624" spans="1:7" ht="12.75" x14ac:dyDescent="0.2">
      <c r="A624" s="3">
        <v>14</v>
      </c>
      <c r="B624" s="4" t="s">
        <v>153</v>
      </c>
      <c r="C624" s="3" t="s">
        <v>273</v>
      </c>
      <c r="D624" s="3" t="s">
        <v>353</v>
      </c>
      <c r="E624" s="3">
        <v>0</v>
      </c>
      <c r="G624" s="57"/>
    </row>
    <row r="625" spans="1:7" ht="12.75" x14ac:dyDescent="0.2">
      <c r="A625" s="3">
        <v>14</v>
      </c>
      <c r="B625" s="4" t="s">
        <v>153</v>
      </c>
      <c r="C625" s="3" t="s">
        <v>273</v>
      </c>
      <c r="D625" s="3" t="s">
        <v>371</v>
      </c>
      <c r="E625" s="3">
        <v>7</v>
      </c>
      <c r="G625" s="57"/>
    </row>
    <row r="626" spans="1:7" ht="12.75" x14ac:dyDescent="0.2">
      <c r="A626" s="3">
        <v>14</v>
      </c>
      <c r="B626" s="4" t="s">
        <v>153</v>
      </c>
      <c r="C626" s="3" t="s">
        <v>273</v>
      </c>
      <c r="D626" s="3" t="s">
        <v>14</v>
      </c>
      <c r="E626" s="3">
        <v>3</v>
      </c>
      <c r="G626" s="57"/>
    </row>
    <row r="627" spans="1:7" ht="12.75" x14ac:dyDescent="0.2">
      <c r="A627" s="3">
        <v>14</v>
      </c>
      <c r="B627" s="4" t="s">
        <v>153</v>
      </c>
      <c r="C627" s="3" t="s">
        <v>273</v>
      </c>
      <c r="D627" s="3" t="s">
        <v>138</v>
      </c>
      <c r="E627" s="3">
        <v>0</v>
      </c>
      <c r="F627">
        <f>SUM(E620:E627)</f>
        <v>45</v>
      </c>
      <c r="G627" s="57"/>
    </row>
    <row r="628" spans="1:7" ht="12.75" x14ac:dyDescent="0.2">
      <c r="A628" s="3">
        <v>14</v>
      </c>
      <c r="B628" s="4" t="s">
        <v>153</v>
      </c>
      <c r="C628" s="3" t="s">
        <v>125</v>
      </c>
      <c r="D628" s="3" t="s">
        <v>274</v>
      </c>
      <c r="E628" s="3">
        <v>0</v>
      </c>
      <c r="G628" s="57"/>
    </row>
    <row r="629" spans="1:7" ht="12.75" x14ac:dyDescent="0.2">
      <c r="A629" s="3">
        <v>14</v>
      </c>
      <c r="B629" s="4" t="s">
        <v>153</v>
      </c>
      <c r="C629" s="3" t="s">
        <v>125</v>
      </c>
      <c r="D629" s="3" t="s">
        <v>283</v>
      </c>
      <c r="E629" s="3">
        <v>26</v>
      </c>
      <c r="G629" s="57"/>
    </row>
    <row r="630" spans="1:7" ht="12.75" x14ac:dyDescent="0.2">
      <c r="A630" s="3">
        <v>14</v>
      </c>
      <c r="B630" s="4" t="s">
        <v>153</v>
      </c>
      <c r="C630" s="3" t="s">
        <v>125</v>
      </c>
      <c r="D630" s="3" t="s">
        <v>315</v>
      </c>
      <c r="E630" s="3">
        <v>1</v>
      </c>
      <c r="G630" s="57"/>
    </row>
    <row r="631" spans="1:7" ht="12.75" x14ac:dyDescent="0.2">
      <c r="A631" s="3">
        <v>14</v>
      </c>
      <c r="B631" s="4" t="s">
        <v>153</v>
      </c>
      <c r="C631" s="3" t="s">
        <v>125</v>
      </c>
      <c r="D631" s="3" t="s">
        <v>128</v>
      </c>
      <c r="E631" s="3">
        <v>6</v>
      </c>
      <c r="G631" s="57"/>
    </row>
    <row r="632" spans="1:7" ht="12.75" x14ac:dyDescent="0.2">
      <c r="A632" s="3">
        <v>14</v>
      </c>
      <c r="B632" s="4" t="s">
        <v>153</v>
      </c>
      <c r="C632" s="3" t="s">
        <v>125</v>
      </c>
      <c r="D632" s="3" t="s">
        <v>353</v>
      </c>
      <c r="E632" s="3">
        <v>1</v>
      </c>
      <c r="G632" s="57"/>
    </row>
    <row r="633" spans="1:7" ht="12.75" x14ac:dyDescent="0.2">
      <c r="A633" s="3">
        <v>14</v>
      </c>
      <c r="B633" s="4" t="s">
        <v>153</v>
      </c>
      <c r="C633" s="3" t="s">
        <v>125</v>
      </c>
      <c r="D633" s="3" t="s">
        <v>371</v>
      </c>
      <c r="E633" s="3">
        <v>7</v>
      </c>
      <c r="G633" s="57"/>
    </row>
    <row r="634" spans="1:7" ht="12.75" x14ac:dyDescent="0.2">
      <c r="A634" s="3">
        <v>14</v>
      </c>
      <c r="B634" s="4" t="s">
        <v>153</v>
      </c>
      <c r="C634" s="3" t="s">
        <v>125</v>
      </c>
      <c r="D634" s="3" t="s">
        <v>14</v>
      </c>
      <c r="E634" s="3">
        <v>4</v>
      </c>
      <c r="G634" s="57"/>
    </row>
    <row r="635" spans="1:7" ht="12.75" x14ac:dyDescent="0.2">
      <c r="A635" s="3">
        <v>14</v>
      </c>
      <c r="B635" s="4" t="s">
        <v>153</v>
      </c>
      <c r="C635" s="3" t="s">
        <v>125</v>
      </c>
      <c r="D635" s="3" t="s">
        <v>138</v>
      </c>
      <c r="E635" s="3">
        <v>0</v>
      </c>
      <c r="F635">
        <f>SUM(E628:E635)</f>
        <v>45</v>
      </c>
      <c r="G635" s="57"/>
    </row>
    <row r="636" spans="1:7" ht="12.75" x14ac:dyDescent="0.2">
      <c r="A636" s="3">
        <v>15</v>
      </c>
      <c r="B636" s="4" t="s">
        <v>43</v>
      </c>
      <c r="C636" s="3" t="s">
        <v>347</v>
      </c>
      <c r="D636" s="3" t="s">
        <v>366</v>
      </c>
      <c r="E636" s="3">
        <v>1</v>
      </c>
      <c r="G636" s="59">
        <v>1536</v>
      </c>
    </row>
    <row r="637" spans="1:7" ht="12.75" x14ac:dyDescent="0.2">
      <c r="A637" s="3">
        <v>15</v>
      </c>
      <c r="B637" s="4" t="s">
        <v>43</v>
      </c>
      <c r="C637" s="3" t="s">
        <v>347</v>
      </c>
      <c r="D637" s="3" t="s">
        <v>274</v>
      </c>
      <c r="E637" s="3">
        <v>0</v>
      </c>
      <c r="G637" s="57"/>
    </row>
    <row r="638" spans="1:7" ht="12.75" x14ac:dyDescent="0.2">
      <c r="A638" s="3">
        <v>15</v>
      </c>
      <c r="B638" s="4" t="s">
        <v>43</v>
      </c>
      <c r="C638" s="3" t="s">
        <v>347</v>
      </c>
      <c r="D638" s="3" t="s">
        <v>367</v>
      </c>
      <c r="E638" s="3">
        <v>0</v>
      </c>
      <c r="G638" s="57"/>
    </row>
    <row r="639" spans="1:7" ht="12.75" x14ac:dyDescent="0.2">
      <c r="A639" s="3">
        <v>15</v>
      </c>
      <c r="B639" s="4" t="s">
        <v>43</v>
      </c>
      <c r="C639" s="3" t="s">
        <v>347</v>
      </c>
      <c r="D639" s="3" t="s">
        <v>368</v>
      </c>
      <c r="E639" s="3">
        <v>0</v>
      </c>
      <c r="G639" s="57"/>
    </row>
    <row r="640" spans="1:7" ht="12.75" x14ac:dyDescent="0.2">
      <c r="A640" s="3">
        <v>15</v>
      </c>
      <c r="B640" s="4" t="s">
        <v>43</v>
      </c>
      <c r="C640" s="3" t="s">
        <v>347</v>
      </c>
      <c r="D640" s="3" t="s">
        <v>283</v>
      </c>
      <c r="E640" s="3">
        <v>518</v>
      </c>
      <c r="G640" s="57"/>
    </row>
    <row r="641" spans="1:7" ht="12.75" x14ac:dyDescent="0.2">
      <c r="A641" s="3">
        <v>15</v>
      </c>
      <c r="B641" s="4" t="s">
        <v>43</v>
      </c>
      <c r="C641" s="3" t="s">
        <v>347</v>
      </c>
      <c r="D641" s="3" t="s">
        <v>315</v>
      </c>
      <c r="E641" s="3">
        <v>11</v>
      </c>
      <c r="G641" s="57"/>
    </row>
    <row r="642" spans="1:7" ht="12.75" x14ac:dyDescent="0.2">
      <c r="A642" s="3">
        <v>15</v>
      </c>
      <c r="B642" s="4" t="s">
        <v>43</v>
      </c>
      <c r="C642" s="3" t="s">
        <v>347</v>
      </c>
      <c r="D642" s="3" t="s">
        <v>316</v>
      </c>
      <c r="E642" s="3">
        <v>21</v>
      </c>
      <c r="G642" s="57"/>
    </row>
    <row r="643" spans="1:7" ht="12.75" x14ac:dyDescent="0.2">
      <c r="A643" s="3">
        <v>15</v>
      </c>
      <c r="B643" s="4" t="s">
        <v>43</v>
      </c>
      <c r="C643" s="3" t="s">
        <v>347</v>
      </c>
      <c r="D643" s="3" t="s">
        <v>369</v>
      </c>
      <c r="E643" s="3">
        <v>4</v>
      </c>
      <c r="G643" s="57"/>
    </row>
    <row r="644" spans="1:7" ht="12.75" x14ac:dyDescent="0.2">
      <c r="A644" s="3">
        <v>15</v>
      </c>
      <c r="B644" s="4" t="s">
        <v>43</v>
      </c>
      <c r="C644" s="3" t="s">
        <v>347</v>
      </c>
      <c r="D644" s="3" t="s">
        <v>128</v>
      </c>
      <c r="E644" s="3">
        <v>514</v>
      </c>
      <c r="G644" s="57"/>
    </row>
    <row r="645" spans="1:7" ht="12.75" x14ac:dyDescent="0.2">
      <c r="A645" s="3">
        <v>15</v>
      </c>
      <c r="B645" s="4" t="s">
        <v>43</v>
      </c>
      <c r="C645" s="3" t="s">
        <v>347</v>
      </c>
      <c r="D645" s="3" t="s">
        <v>370</v>
      </c>
      <c r="E645" s="3">
        <v>4</v>
      </c>
      <c r="G645" s="57"/>
    </row>
    <row r="646" spans="1:7" ht="12.75" x14ac:dyDescent="0.2">
      <c r="A646" s="3">
        <v>15</v>
      </c>
      <c r="B646" s="4" t="s">
        <v>43</v>
      </c>
      <c r="C646" s="3" t="s">
        <v>347</v>
      </c>
      <c r="D646" s="3" t="s">
        <v>353</v>
      </c>
      <c r="E646" s="3">
        <v>12</v>
      </c>
      <c r="G646" s="57"/>
    </row>
    <row r="647" spans="1:7" ht="12.75" x14ac:dyDescent="0.2">
      <c r="A647" s="3">
        <v>15</v>
      </c>
      <c r="B647" s="4" t="s">
        <v>43</v>
      </c>
      <c r="C647" s="3" t="s">
        <v>347</v>
      </c>
      <c r="D647" s="3" t="s">
        <v>371</v>
      </c>
      <c r="E647" s="3">
        <v>160</v>
      </c>
      <c r="G647" s="57"/>
    </row>
    <row r="648" spans="1:7" ht="12.75" x14ac:dyDescent="0.2">
      <c r="A648" s="3">
        <v>15</v>
      </c>
      <c r="B648" s="4" t="s">
        <v>43</v>
      </c>
      <c r="C648" s="3" t="s">
        <v>347</v>
      </c>
      <c r="D648" s="3" t="s">
        <v>14</v>
      </c>
      <c r="E648" s="3">
        <v>36</v>
      </c>
      <c r="G648" s="57"/>
    </row>
    <row r="649" spans="1:7" ht="12.75" x14ac:dyDescent="0.2">
      <c r="A649" s="3">
        <v>15</v>
      </c>
      <c r="B649" s="4" t="s">
        <v>43</v>
      </c>
      <c r="C649" s="3" t="s">
        <v>347</v>
      </c>
      <c r="D649" s="3" t="s">
        <v>138</v>
      </c>
      <c r="E649" s="3">
        <v>13</v>
      </c>
      <c r="F649">
        <f>SUM(E636:E649)</f>
        <v>1294</v>
      </c>
      <c r="G649" s="57"/>
    </row>
    <row r="650" spans="1:7" ht="12.75" x14ac:dyDescent="0.2">
      <c r="A650" s="3">
        <v>15</v>
      </c>
      <c r="B650" s="4" t="s">
        <v>43</v>
      </c>
      <c r="C650" s="3" t="s">
        <v>273</v>
      </c>
      <c r="D650" s="3" t="s">
        <v>274</v>
      </c>
      <c r="E650" s="3">
        <v>3</v>
      </c>
      <c r="G650" s="57"/>
    </row>
    <row r="651" spans="1:7" ht="12.75" x14ac:dyDescent="0.2">
      <c r="A651" s="3">
        <v>15</v>
      </c>
      <c r="B651" s="4" t="s">
        <v>43</v>
      </c>
      <c r="C651" s="3" t="s">
        <v>273</v>
      </c>
      <c r="D651" s="3" t="s">
        <v>283</v>
      </c>
      <c r="E651" s="3">
        <v>605</v>
      </c>
      <c r="G651" s="57"/>
    </row>
    <row r="652" spans="1:7" ht="12.75" x14ac:dyDescent="0.2">
      <c r="A652" s="3">
        <v>15</v>
      </c>
      <c r="B652" s="4" t="s">
        <v>43</v>
      </c>
      <c r="C652" s="3" t="s">
        <v>273</v>
      </c>
      <c r="D652" s="3" t="s">
        <v>315</v>
      </c>
      <c r="E652" s="3">
        <v>6</v>
      </c>
      <c r="G652" s="57"/>
    </row>
    <row r="653" spans="1:7" ht="12.75" x14ac:dyDescent="0.2">
      <c r="A653" s="3">
        <v>15</v>
      </c>
      <c r="B653" s="4" t="s">
        <v>43</v>
      </c>
      <c r="C653" s="3" t="s">
        <v>273</v>
      </c>
      <c r="D653" s="3" t="s">
        <v>128</v>
      </c>
      <c r="E653" s="3">
        <v>490</v>
      </c>
      <c r="G653" s="57"/>
    </row>
    <row r="654" spans="1:7" ht="12.75" x14ac:dyDescent="0.2">
      <c r="A654" s="3">
        <v>15</v>
      </c>
      <c r="B654" s="4" t="s">
        <v>43</v>
      </c>
      <c r="C654" s="3" t="s">
        <v>273</v>
      </c>
      <c r="D654" s="3" t="s">
        <v>353</v>
      </c>
      <c r="E654" s="3">
        <v>8</v>
      </c>
      <c r="G654" s="57"/>
    </row>
    <row r="655" spans="1:7" ht="12.75" x14ac:dyDescent="0.2">
      <c r="A655" s="3">
        <v>15</v>
      </c>
      <c r="B655" s="4" t="s">
        <v>43</v>
      </c>
      <c r="C655" s="3" t="s">
        <v>273</v>
      </c>
      <c r="D655" s="3" t="s">
        <v>371</v>
      </c>
      <c r="E655" s="3">
        <v>96</v>
      </c>
      <c r="G655" s="57"/>
    </row>
    <row r="656" spans="1:7" ht="12.75" x14ac:dyDescent="0.2">
      <c r="A656" s="3">
        <v>15</v>
      </c>
      <c r="B656" s="4" t="s">
        <v>43</v>
      </c>
      <c r="C656" s="3" t="s">
        <v>273</v>
      </c>
      <c r="D656" s="3" t="s">
        <v>14</v>
      </c>
      <c r="E656" s="3">
        <v>76</v>
      </c>
      <c r="G656" s="57"/>
    </row>
    <row r="657" spans="1:7" ht="12.75" x14ac:dyDescent="0.2">
      <c r="A657" s="3">
        <v>15</v>
      </c>
      <c r="B657" s="4" t="s">
        <v>43</v>
      </c>
      <c r="C657" s="3" t="s">
        <v>273</v>
      </c>
      <c r="D657" s="3" t="s">
        <v>138</v>
      </c>
      <c r="E657" s="3">
        <v>10</v>
      </c>
      <c r="F657">
        <f>SUM(E650:E657)</f>
        <v>1294</v>
      </c>
      <c r="G657" s="57"/>
    </row>
    <row r="658" spans="1:7" ht="12.75" x14ac:dyDescent="0.2">
      <c r="A658" s="3">
        <v>15</v>
      </c>
      <c r="B658" s="4" t="s">
        <v>43</v>
      </c>
      <c r="C658" s="3" t="s">
        <v>125</v>
      </c>
      <c r="D658" s="3" t="s">
        <v>274</v>
      </c>
      <c r="E658" s="3">
        <v>3</v>
      </c>
      <c r="G658" s="57"/>
    </row>
    <row r="659" spans="1:7" ht="12.75" x14ac:dyDescent="0.2">
      <c r="A659" s="3">
        <v>15</v>
      </c>
      <c r="B659" s="4" t="s">
        <v>43</v>
      </c>
      <c r="C659" s="3" t="s">
        <v>125</v>
      </c>
      <c r="D659" s="3" t="s">
        <v>283</v>
      </c>
      <c r="E659" s="3">
        <v>603</v>
      </c>
      <c r="G659" s="57"/>
    </row>
    <row r="660" spans="1:7" ht="12.75" x14ac:dyDescent="0.2">
      <c r="A660" s="3">
        <v>15</v>
      </c>
      <c r="B660" s="4" t="s">
        <v>43</v>
      </c>
      <c r="C660" s="3" t="s">
        <v>125</v>
      </c>
      <c r="D660" s="3" t="s">
        <v>315</v>
      </c>
      <c r="E660" s="3">
        <v>6</v>
      </c>
      <c r="G660" s="57"/>
    </row>
    <row r="661" spans="1:7" ht="12.75" x14ac:dyDescent="0.2">
      <c r="A661" s="3">
        <v>15</v>
      </c>
      <c r="B661" s="4" t="s">
        <v>43</v>
      </c>
      <c r="C661" s="3" t="s">
        <v>125</v>
      </c>
      <c r="D661" s="3" t="s">
        <v>128</v>
      </c>
      <c r="E661" s="3">
        <v>466</v>
      </c>
      <c r="G661" s="57"/>
    </row>
    <row r="662" spans="1:7" ht="12.75" x14ac:dyDescent="0.2">
      <c r="A662" s="3">
        <v>15</v>
      </c>
      <c r="B662" s="4" t="s">
        <v>43</v>
      </c>
      <c r="C662" s="3" t="s">
        <v>125</v>
      </c>
      <c r="D662" s="3" t="s">
        <v>353</v>
      </c>
      <c r="E662" s="3">
        <v>8</v>
      </c>
      <c r="G662" s="57"/>
    </row>
    <row r="663" spans="1:7" ht="12.75" x14ac:dyDescent="0.2">
      <c r="A663" s="3">
        <v>15</v>
      </c>
      <c r="B663" s="4" t="s">
        <v>43</v>
      </c>
      <c r="C663" s="3" t="s">
        <v>125</v>
      </c>
      <c r="D663" s="3" t="s">
        <v>371</v>
      </c>
      <c r="E663" s="3">
        <v>96</v>
      </c>
      <c r="G663" s="57"/>
    </row>
    <row r="664" spans="1:7" ht="12.75" x14ac:dyDescent="0.2">
      <c r="A664" s="3">
        <v>15</v>
      </c>
      <c r="B664" s="4" t="s">
        <v>43</v>
      </c>
      <c r="C664" s="3" t="s">
        <v>125</v>
      </c>
      <c r="D664" s="3" t="s">
        <v>14</v>
      </c>
      <c r="E664" s="3">
        <v>102</v>
      </c>
      <c r="G664" s="57"/>
    </row>
    <row r="665" spans="1:7" ht="12.75" x14ac:dyDescent="0.2">
      <c r="A665" s="3">
        <v>15</v>
      </c>
      <c r="B665" s="4" t="s">
        <v>43</v>
      </c>
      <c r="C665" s="3" t="s">
        <v>125</v>
      </c>
      <c r="D665" s="3" t="s">
        <v>138</v>
      </c>
      <c r="E665" s="3">
        <v>10</v>
      </c>
      <c r="F665">
        <f>SUM(E658:E665)</f>
        <v>1294</v>
      </c>
      <c r="G665" s="57"/>
    </row>
    <row r="666" spans="1:7" ht="12.75" x14ac:dyDescent="0.2">
      <c r="A666" s="3">
        <v>16</v>
      </c>
      <c r="B666" s="4" t="s">
        <v>44</v>
      </c>
      <c r="C666" s="3" t="s">
        <v>347</v>
      </c>
      <c r="D666" s="3" t="s">
        <v>366</v>
      </c>
      <c r="E666" s="3">
        <v>3</v>
      </c>
      <c r="G666" s="59">
        <v>867</v>
      </c>
    </row>
    <row r="667" spans="1:7" ht="12.75" x14ac:dyDescent="0.2">
      <c r="A667" s="3">
        <v>16</v>
      </c>
      <c r="B667" s="4" t="s">
        <v>44</v>
      </c>
      <c r="C667" s="3" t="s">
        <v>347</v>
      </c>
      <c r="D667" s="3" t="s">
        <v>274</v>
      </c>
      <c r="E667" s="3">
        <v>0</v>
      </c>
      <c r="G667" s="57"/>
    </row>
    <row r="668" spans="1:7" ht="12.75" x14ac:dyDescent="0.2">
      <c r="A668" s="3">
        <v>16</v>
      </c>
      <c r="B668" s="4" t="s">
        <v>44</v>
      </c>
      <c r="C668" s="3" t="s">
        <v>347</v>
      </c>
      <c r="D668" s="3" t="s">
        <v>367</v>
      </c>
      <c r="E668" s="3">
        <v>2</v>
      </c>
      <c r="G668" s="57"/>
    </row>
    <row r="669" spans="1:7" ht="12.75" x14ac:dyDescent="0.2">
      <c r="A669" s="3">
        <v>16</v>
      </c>
      <c r="B669" s="4" t="s">
        <v>44</v>
      </c>
      <c r="C669" s="3" t="s">
        <v>347</v>
      </c>
      <c r="D669" s="3" t="s">
        <v>368</v>
      </c>
      <c r="E669" s="3">
        <v>1</v>
      </c>
      <c r="G669" s="57"/>
    </row>
    <row r="670" spans="1:7" ht="12.75" x14ac:dyDescent="0.2">
      <c r="A670" s="3">
        <v>16</v>
      </c>
      <c r="B670" s="4" t="s">
        <v>44</v>
      </c>
      <c r="C670" s="3" t="s">
        <v>347</v>
      </c>
      <c r="D670" s="3" t="s">
        <v>283</v>
      </c>
      <c r="E670" s="3">
        <v>380</v>
      </c>
      <c r="G670" s="57"/>
    </row>
    <row r="671" spans="1:7" ht="12.75" x14ac:dyDescent="0.2">
      <c r="A671" s="3">
        <v>16</v>
      </c>
      <c r="B671" s="4" t="s">
        <v>44</v>
      </c>
      <c r="C671" s="3" t="s">
        <v>347</v>
      </c>
      <c r="D671" s="3" t="s">
        <v>315</v>
      </c>
      <c r="E671" s="3">
        <v>5</v>
      </c>
      <c r="G671" s="57"/>
    </row>
    <row r="672" spans="1:7" ht="12.75" x14ac:dyDescent="0.2">
      <c r="A672" s="3">
        <v>16</v>
      </c>
      <c r="B672" s="4" t="s">
        <v>44</v>
      </c>
      <c r="C672" s="3" t="s">
        <v>347</v>
      </c>
      <c r="D672" s="3" t="s">
        <v>316</v>
      </c>
      <c r="E672" s="3">
        <v>7</v>
      </c>
      <c r="G672" s="57"/>
    </row>
    <row r="673" spans="1:7" ht="12.75" x14ac:dyDescent="0.2">
      <c r="A673" s="3">
        <v>16</v>
      </c>
      <c r="B673" s="4" t="s">
        <v>44</v>
      </c>
      <c r="C673" s="3" t="s">
        <v>347</v>
      </c>
      <c r="D673" s="3" t="s">
        <v>369</v>
      </c>
      <c r="E673" s="3">
        <v>0</v>
      </c>
      <c r="G673" s="57"/>
    </row>
    <row r="674" spans="1:7" ht="12.75" x14ac:dyDescent="0.2">
      <c r="A674" s="3">
        <v>16</v>
      </c>
      <c r="B674" s="4" t="s">
        <v>44</v>
      </c>
      <c r="C674" s="3" t="s">
        <v>347</v>
      </c>
      <c r="D674" s="3" t="s">
        <v>128</v>
      </c>
      <c r="E674" s="3">
        <v>214</v>
      </c>
      <c r="G674" s="57"/>
    </row>
    <row r="675" spans="1:7" ht="12.75" x14ac:dyDescent="0.2">
      <c r="A675" s="3">
        <v>16</v>
      </c>
      <c r="B675" s="4" t="s">
        <v>44</v>
      </c>
      <c r="C675" s="3" t="s">
        <v>347</v>
      </c>
      <c r="D675" s="3" t="s">
        <v>370</v>
      </c>
      <c r="E675" s="3">
        <v>3</v>
      </c>
      <c r="G675" s="57"/>
    </row>
    <row r="676" spans="1:7" ht="12.75" x14ac:dyDescent="0.2">
      <c r="A676" s="3">
        <v>16</v>
      </c>
      <c r="B676" s="4" t="s">
        <v>44</v>
      </c>
      <c r="C676" s="3" t="s">
        <v>347</v>
      </c>
      <c r="D676" s="3" t="s">
        <v>353</v>
      </c>
      <c r="E676" s="3">
        <v>8</v>
      </c>
      <c r="G676" s="57"/>
    </row>
    <row r="677" spans="1:7" ht="12.75" x14ac:dyDescent="0.2">
      <c r="A677" s="3">
        <v>16</v>
      </c>
      <c r="B677" s="4" t="s">
        <v>44</v>
      </c>
      <c r="C677" s="3" t="s">
        <v>347</v>
      </c>
      <c r="D677" s="3" t="s">
        <v>371</v>
      </c>
      <c r="E677" s="3">
        <v>87</v>
      </c>
      <c r="G677" s="57"/>
    </row>
    <row r="678" spans="1:7" ht="12.75" x14ac:dyDescent="0.2">
      <c r="A678" s="3">
        <v>16</v>
      </c>
      <c r="B678" s="4" t="s">
        <v>44</v>
      </c>
      <c r="C678" s="3" t="s">
        <v>347</v>
      </c>
      <c r="D678" s="3" t="s">
        <v>14</v>
      </c>
      <c r="E678" s="3">
        <v>30</v>
      </c>
      <c r="G678" s="57"/>
    </row>
    <row r="679" spans="1:7" ht="12.75" x14ac:dyDescent="0.2">
      <c r="A679" s="3">
        <v>16</v>
      </c>
      <c r="B679" s="4" t="s">
        <v>44</v>
      </c>
      <c r="C679" s="3" t="s">
        <v>347</v>
      </c>
      <c r="D679" s="3" t="s">
        <v>138</v>
      </c>
      <c r="E679" s="3">
        <v>7</v>
      </c>
      <c r="F679">
        <f>SUM(E666:E679)</f>
        <v>747</v>
      </c>
      <c r="G679" s="57"/>
    </row>
    <row r="680" spans="1:7" ht="12.75" x14ac:dyDescent="0.2">
      <c r="A680" s="3">
        <v>16</v>
      </c>
      <c r="B680" s="4" t="s">
        <v>44</v>
      </c>
      <c r="C680" s="3" t="s">
        <v>273</v>
      </c>
      <c r="D680" s="3" t="s">
        <v>274</v>
      </c>
      <c r="E680" s="3">
        <v>2</v>
      </c>
      <c r="G680" s="57"/>
    </row>
    <row r="681" spans="1:7" ht="12.75" x14ac:dyDescent="0.2">
      <c r="A681" s="3">
        <v>16</v>
      </c>
      <c r="B681" s="4" t="s">
        <v>44</v>
      </c>
      <c r="C681" s="3" t="s">
        <v>273</v>
      </c>
      <c r="D681" s="3" t="s">
        <v>283</v>
      </c>
      <c r="E681" s="3">
        <v>423</v>
      </c>
      <c r="G681" s="57"/>
    </row>
    <row r="682" spans="1:7" ht="12.75" x14ac:dyDescent="0.2">
      <c r="A682" s="3">
        <v>16</v>
      </c>
      <c r="B682" s="4" t="s">
        <v>44</v>
      </c>
      <c r="C682" s="3" t="s">
        <v>273</v>
      </c>
      <c r="D682" s="3" t="s">
        <v>315</v>
      </c>
      <c r="E682" s="3">
        <v>2</v>
      </c>
      <c r="G682" s="57"/>
    </row>
    <row r="683" spans="1:7" ht="12.75" x14ac:dyDescent="0.2">
      <c r="A683" s="3">
        <v>16</v>
      </c>
      <c r="B683" s="4" t="s">
        <v>44</v>
      </c>
      <c r="C683" s="3" t="s">
        <v>273</v>
      </c>
      <c r="D683" s="3" t="s">
        <v>128</v>
      </c>
      <c r="E683" s="3">
        <v>208</v>
      </c>
      <c r="G683" s="57"/>
    </row>
    <row r="684" spans="1:7" ht="12.75" x14ac:dyDescent="0.2">
      <c r="A684" s="3">
        <v>16</v>
      </c>
      <c r="B684" s="4" t="s">
        <v>44</v>
      </c>
      <c r="C684" s="3" t="s">
        <v>273</v>
      </c>
      <c r="D684" s="3" t="s">
        <v>353</v>
      </c>
      <c r="E684" s="3">
        <v>4</v>
      </c>
      <c r="G684" s="57"/>
    </row>
    <row r="685" spans="1:7" ht="12.75" x14ac:dyDescent="0.2">
      <c r="A685" s="3">
        <v>16</v>
      </c>
      <c r="B685" s="4" t="s">
        <v>44</v>
      </c>
      <c r="C685" s="3" t="s">
        <v>273</v>
      </c>
      <c r="D685" s="3" t="s">
        <v>371</v>
      </c>
      <c r="E685" s="3">
        <v>51</v>
      </c>
      <c r="G685" s="57"/>
    </row>
    <row r="686" spans="1:7" ht="12.75" x14ac:dyDescent="0.2">
      <c r="A686" s="3">
        <v>16</v>
      </c>
      <c r="B686" s="4" t="s">
        <v>44</v>
      </c>
      <c r="C686" s="3" t="s">
        <v>273</v>
      </c>
      <c r="D686" s="3" t="s">
        <v>14</v>
      </c>
      <c r="E686" s="3">
        <v>52</v>
      </c>
      <c r="G686" s="57"/>
    </row>
    <row r="687" spans="1:7" ht="12.75" x14ac:dyDescent="0.2">
      <c r="A687" s="3">
        <v>16</v>
      </c>
      <c r="B687" s="4" t="s">
        <v>44</v>
      </c>
      <c r="C687" s="3" t="s">
        <v>273</v>
      </c>
      <c r="D687" s="3" t="s">
        <v>138</v>
      </c>
      <c r="E687" s="3">
        <v>5</v>
      </c>
      <c r="F687">
        <f>SUM(E680:E687)</f>
        <v>747</v>
      </c>
      <c r="G687" s="57"/>
    </row>
    <row r="688" spans="1:7" ht="12.75" x14ac:dyDescent="0.2">
      <c r="A688" s="3">
        <v>16</v>
      </c>
      <c r="B688" s="4" t="s">
        <v>44</v>
      </c>
      <c r="C688" s="3" t="s">
        <v>125</v>
      </c>
      <c r="D688" s="3" t="s">
        <v>274</v>
      </c>
      <c r="E688" s="3">
        <v>2</v>
      </c>
      <c r="G688" s="57"/>
    </row>
    <row r="689" spans="1:7" ht="12.75" x14ac:dyDescent="0.2">
      <c r="A689" s="3">
        <v>16</v>
      </c>
      <c r="B689" s="4" t="s">
        <v>44</v>
      </c>
      <c r="C689" s="3" t="s">
        <v>125</v>
      </c>
      <c r="D689" s="3" t="s">
        <v>283</v>
      </c>
      <c r="E689" s="3">
        <v>424</v>
      </c>
      <c r="G689" s="57"/>
    </row>
    <row r="690" spans="1:7" ht="12.75" x14ac:dyDescent="0.2">
      <c r="A690" s="3">
        <v>16</v>
      </c>
      <c r="B690" s="4" t="s">
        <v>44</v>
      </c>
      <c r="C690" s="3" t="s">
        <v>125</v>
      </c>
      <c r="D690" s="3" t="s">
        <v>315</v>
      </c>
      <c r="E690" s="3">
        <v>2</v>
      </c>
      <c r="G690" s="57"/>
    </row>
    <row r="691" spans="1:7" ht="12.75" x14ac:dyDescent="0.2">
      <c r="A691" s="3">
        <v>16</v>
      </c>
      <c r="B691" s="4" t="s">
        <v>44</v>
      </c>
      <c r="C691" s="3" t="s">
        <v>125</v>
      </c>
      <c r="D691" s="3" t="s">
        <v>128</v>
      </c>
      <c r="E691" s="3">
        <v>204</v>
      </c>
      <c r="G691" s="57"/>
    </row>
    <row r="692" spans="1:7" ht="12.75" x14ac:dyDescent="0.2">
      <c r="A692" s="3">
        <v>16</v>
      </c>
      <c r="B692" s="4" t="s">
        <v>44</v>
      </c>
      <c r="C692" s="3" t="s">
        <v>125</v>
      </c>
      <c r="D692" s="3" t="s">
        <v>353</v>
      </c>
      <c r="E692" s="3">
        <v>4</v>
      </c>
      <c r="G692" s="57"/>
    </row>
    <row r="693" spans="1:7" ht="12.75" x14ac:dyDescent="0.2">
      <c r="A693" s="3">
        <v>16</v>
      </c>
      <c r="B693" s="4" t="s">
        <v>44</v>
      </c>
      <c r="C693" s="3" t="s">
        <v>125</v>
      </c>
      <c r="D693" s="3" t="s">
        <v>371</v>
      </c>
      <c r="E693" s="3">
        <v>51</v>
      </c>
      <c r="G693" s="57"/>
    </row>
    <row r="694" spans="1:7" ht="12.75" x14ac:dyDescent="0.2">
      <c r="A694" s="3">
        <v>16</v>
      </c>
      <c r="B694" s="4" t="s">
        <v>44</v>
      </c>
      <c r="C694" s="3" t="s">
        <v>125</v>
      </c>
      <c r="D694" s="3" t="s">
        <v>14</v>
      </c>
      <c r="E694" s="3">
        <v>56</v>
      </c>
      <c r="G694" s="57"/>
    </row>
    <row r="695" spans="1:7" ht="12.75" x14ac:dyDescent="0.2">
      <c r="A695" s="3">
        <v>16</v>
      </c>
      <c r="B695" s="4" t="s">
        <v>44</v>
      </c>
      <c r="C695" s="3" t="s">
        <v>125</v>
      </c>
      <c r="D695" s="3" t="s">
        <v>138</v>
      </c>
      <c r="E695" s="3">
        <v>4</v>
      </c>
      <c r="F695">
        <f>SUM(E688:E695)</f>
        <v>747</v>
      </c>
      <c r="G695" s="57"/>
    </row>
    <row r="696" spans="1:7" ht="12.75" x14ac:dyDescent="0.2">
      <c r="A696" s="3">
        <v>17</v>
      </c>
      <c r="B696" s="4" t="s">
        <v>45</v>
      </c>
      <c r="C696" s="3" t="s">
        <v>347</v>
      </c>
      <c r="D696" s="3" t="s">
        <v>366</v>
      </c>
      <c r="E696" s="3">
        <v>0</v>
      </c>
      <c r="G696" s="59">
        <v>31</v>
      </c>
    </row>
    <row r="697" spans="1:7" ht="12.75" x14ac:dyDescent="0.2">
      <c r="A697" s="3">
        <v>17</v>
      </c>
      <c r="B697" s="4" t="s">
        <v>45</v>
      </c>
      <c r="C697" s="3" t="s">
        <v>347</v>
      </c>
      <c r="D697" s="3" t="s">
        <v>274</v>
      </c>
      <c r="E697" s="3">
        <v>0</v>
      </c>
      <c r="G697" s="57"/>
    </row>
    <row r="698" spans="1:7" ht="12.75" x14ac:dyDescent="0.2">
      <c r="A698" s="3">
        <v>17</v>
      </c>
      <c r="B698" s="4" t="s">
        <v>45</v>
      </c>
      <c r="C698" s="3" t="s">
        <v>347</v>
      </c>
      <c r="D698" s="3" t="s">
        <v>367</v>
      </c>
      <c r="E698" s="3">
        <v>0</v>
      </c>
      <c r="G698" s="57"/>
    </row>
    <row r="699" spans="1:7" ht="12.75" x14ac:dyDescent="0.2">
      <c r="A699" s="3">
        <v>17</v>
      </c>
      <c r="B699" s="4" t="s">
        <v>45</v>
      </c>
      <c r="C699" s="3" t="s">
        <v>347</v>
      </c>
      <c r="D699" s="3" t="s">
        <v>368</v>
      </c>
      <c r="E699" s="3">
        <v>0</v>
      </c>
      <c r="G699" s="57"/>
    </row>
    <row r="700" spans="1:7" ht="12.75" x14ac:dyDescent="0.2">
      <c r="A700" s="3">
        <v>17</v>
      </c>
      <c r="B700" s="4" t="s">
        <v>45</v>
      </c>
      <c r="C700" s="3" t="s">
        <v>347</v>
      </c>
      <c r="D700" s="3" t="s">
        <v>283</v>
      </c>
      <c r="E700" s="3">
        <v>11</v>
      </c>
      <c r="G700" s="57"/>
    </row>
    <row r="701" spans="1:7" ht="12.75" x14ac:dyDescent="0.2">
      <c r="A701" s="3">
        <v>17</v>
      </c>
      <c r="B701" s="4" t="s">
        <v>45</v>
      </c>
      <c r="C701" s="3" t="s">
        <v>347</v>
      </c>
      <c r="D701" s="3" t="s">
        <v>315</v>
      </c>
      <c r="E701" s="3">
        <v>0</v>
      </c>
      <c r="G701" s="57"/>
    </row>
    <row r="702" spans="1:7" ht="12.75" x14ac:dyDescent="0.2">
      <c r="A702" s="3">
        <v>17</v>
      </c>
      <c r="B702" s="4" t="s">
        <v>45</v>
      </c>
      <c r="C702" s="3" t="s">
        <v>347</v>
      </c>
      <c r="D702" s="3" t="s">
        <v>316</v>
      </c>
      <c r="E702" s="3">
        <v>0</v>
      </c>
      <c r="G702" s="57"/>
    </row>
    <row r="703" spans="1:7" ht="12.75" x14ac:dyDescent="0.2">
      <c r="A703" s="3">
        <v>17</v>
      </c>
      <c r="B703" s="4" t="s">
        <v>45</v>
      </c>
      <c r="C703" s="3" t="s">
        <v>347</v>
      </c>
      <c r="D703" s="3" t="s">
        <v>369</v>
      </c>
      <c r="E703" s="3">
        <v>0</v>
      </c>
      <c r="G703" s="57"/>
    </row>
    <row r="704" spans="1:7" ht="12.75" x14ac:dyDescent="0.2">
      <c r="A704" s="3">
        <v>17</v>
      </c>
      <c r="B704" s="4" t="s">
        <v>45</v>
      </c>
      <c r="C704" s="3" t="s">
        <v>347</v>
      </c>
      <c r="D704" s="3" t="s">
        <v>128</v>
      </c>
      <c r="E704" s="3">
        <v>0</v>
      </c>
      <c r="G704" s="57"/>
    </row>
    <row r="705" spans="1:7" ht="12.75" x14ac:dyDescent="0.2">
      <c r="A705" s="3">
        <v>17</v>
      </c>
      <c r="B705" s="4" t="s">
        <v>45</v>
      </c>
      <c r="C705" s="3" t="s">
        <v>347</v>
      </c>
      <c r="D705" s="3" t="s">
        <v>370</v>
      </c>
      <c r="E705" s="3">
        <v>0</v>
      </c>
      <c r="G705" s="57"/>
    </row>
    <row r="706" spans="1:7" ht="12.75" x14ac:dyDescent="0.2">
      <c r="A706" s="3">
        <v>17</v>
      </c>
      <c r="B706" s="4" t="s">
        <v>45</v>
      </c>
      <c r="C706" s="3" t="s">
        <v>347</v>
      </c>
      <c r="D706" s="3" t="s">
        <v>353</v>
      </c>
      <c r="E706" s="3">
        <v>0</v>
      </c>
      <c r="G706" s="57"/>
    </row>
    <row r="707" spans="1:7" ht="12.75" x14ac:dyDescent="0.2">
      <c r="A707" s="3">
        <v>17</v>
      </c>
      <c r="B707" s="4" t="s">
        <v>45</v>
      </c>
      <c r="C707" s="3" t="s">
        <v>347</v>
      </c>
      <c r="D707" s="3" t="s">
        <v>371</v>
      </c>
      <c r="E707" s="3">
        <v>3</v>
      </c>
      <c r="G707" s="57"/>
    </row>
    <row r="708" spans="1:7" ht="12.75" x14ac:dyDescent="0.2">
      <c r="A708" s="3">
        <v>17</v>
      </c>
      <c r="B708" s="4" t="s">
        <v>45</v>
      </c>
      <c r="C708" s="3" t="s">
        <v>347</v>
      </c>
      <c r="D708" s="3" t="s">
        <v>14</v>
      </c>
      <c r="E708" s="3">
        <v>0</v>
      </c>
      <c r="G708" s="57"/>
    </row>
    <row r="709" spans="1:7" ht="12.75" x14ac:dyDescent="0.2">
      <c r="A709" s="3">
        <v>17</v>
      </c>
      <c r="B709" s="4" t="s">
        <v>45</v>
      </c>
      <c r="C709" s="3" t="s">
        <v>347</v>
      </c>
      <c r="D709" s="3" t="s">
        <v>138</v>
      </c>
      <c r="E709" s="3">
        <v>0</v>
      </c>
      <c r="F709">
        <f>SUM(E696:E709)</f>
        <v>14</v>
      </c>
      <c r="G709" s="57"/>
    </row>
    <row r="710" spans="1:7" ht="12.75" x14ac:dyDescent="0.2">
      <c r="A710" s="3">
        <v>17</v>
      </c>
      <c r="B710" s="4" t="s">
        <v>45</v>
      </c>
      <c r="C710" s="3" t="s">
        <v>273</v>
      </c>
      <c r="D710" s="3" t="s">
        <v>274</v>
      </c>
      <c r="E710" s="3">
        <v>0</v>
      </c>
      <c r="G710" s="57"/>
    </row>
    <row r="711" spans="1:7" ht="12.75" x14ac:dyDescent="0.2">
      <c r="A711" s="3">
        <v>17</v>
      </c>
      <c r="B711" s="4" t="s">
        <v>45</v>
      </c>
      <c r="C711" s="3" t="s">
        <v>273</v>
      </c>
      <c r="D711" s="3" t="s">
        <v>283</v>
      </c>
      <c r="E711" s="3">
        <v>11</v>
      </c>
      <c r="G711" s="57"/>
    </row>
    <row r="712" spans="1:7" ht="12.75" x14ac:dyDescent="0.2">
      <c r="A712" s="3">
        <v>17</v>
      </c>
      <c r="B712" s="4" t="s">
        <v>45</v>
      </c>
      <c r="C712" s="3" t="s">
        <v>273</v>
      </c>
      <c r="D712" s="3" t="s">
        <v>315</v>
      </c>
      <c r="E712" s="3">
        <v>0</v>
      </c>
      <c r="G712" s="57"/>
    </row>
    <row r="713" spans="1:7" ht="12.75" x14ac:dyDescent="0.2">
      <c r="A713" s="3">
        <v>17</v>
      </c>
      <c r="B713" s="4" t="s">
        <v>45</v>
      </c>
      <c r="C713" s="3" t="s">
        <v>273</v>
      </c>
      <c r="D713" s="3" t="s">
        <v>128</v>
      </c>
      <c r="E713" s="3">
        <v>0</v>
      </c>
      <c r="G713" s="57"/>
    </row>
    <row r="714" spans="1:7" ht="12.75" x14ac:dyDescent="0.2">
      <c r="A714" s="3">
        <v>17</v>
      </c>
      <c r="B714" s="4" t="s">
        <v>45</v>
      </c>
      <c r="C714" s="3" t="s">
        <v>273</v>
      </c>
      <c r="D714" s="3" t="s">
        <v>353</v>
      </c>
      <c r="E714" s="3">
        <v>1</v>
      </c>
      <c r="G714" s="57"/>
    </row>
    <row r="715" spans="1:7" ht="12.75" x14ac:dyDescent="0.2">
      <c r="A715" s="3">
        <v>17</v>
      </c>
      <c r="B715" s="4" t="s">
        <v>45</v>
      </c>
      <c r="C715" s="3" t="s">
        <v>273</v>
      </c>
      <c r="D715" s="3" t="s">
        <v>371</v>
      </c>
      <c r="E715" s="3">
        <v>2</v>
      </c>
      <c r="G715" s="57"/>
    </row>
    <row r="716" spans="1:7" ht="12.75" x14ac:dyDescent="0.2">
      <c r="A716" s="3">
        <v>17</v>
      </c>
      <c r="B716" s="4" t="s">
        <v>45</v>
      </c>
      <c r="C716" s="3" t="s">
        <v>273</v>
      </c>
      <c r="D716" s="3" t="s">
        <v>14</v>
      </c>
      <c r="E716" s="3">
        <v>0</v>
      </c>
      <c r="G716" s="57"/>
    </row>
    <row r="717" spans="1:7" ht="12.75" x14ac:dyDescent="0.2">
      <c r="A717" s="3">
        <v>17</v>
      </c>
      <c r="B717" s="4" t="s">
        <v>45</v>
      </c>
      <c r="C717" s="3" t="s">
        <v>273</v>
      </c>
      <c r="D717" s="3" t="s">
        <v>138</v>
      </c>
      <c r="E717" s="3">
        <v>0</v>
      </c>
      <c r="F717">
        <f>SUM(E710:E717)</f>
        <v>14</v>
      </c>
      <c r="G717" s="57"/>
    </row>
    <row r="718" spans="1:7" ht="12.75" x14ac:dyDescent="0.2">
      <c r="A718" s="3">
        <v>17</v>
      </c>
      <c r="B718" s="4" t="s">
        <v>45</v>
      </c>
      <c r="C718" s="3" t="s">
        <v>125</v>
      </c>
      <c r="D718" s="3" t="s">
        <v>274</v>
      </c>
      <c r="E718" s="3">
        <v>0</v>
      </c>
      <c r="G718" s="57"/>
    </row>
    <row r="719" spans="1:7" ht="12.75" x14ac:dyDescent="0.2">
      <c r="A719" s="3">
        <v>17</v>
      </c>
      <c r="B719" s="4" t="s">
        <v>45</v>
      </c>
      <c r="C719" s="3" t="s">
        <v>125</v>
      </c>
      <c r="D719" s="3" t="s">
        <v>283</v>
      </c>
      <c r="E719" s="3">
        <v>11</v>
      </c>
      <c r="G719" s="57"/>
    </row>
    <row r="720" spans="1:7" ht="12.75" x14ac:dyDescent="0.2">
      <c r="A720" s="3">
        <v>17</v>
      </c>
      <c r="B720" s="4" t="s">
        <v>45</v>
      </c>
      <c r="C720" s="3" t="s">
        <v>125</v>
      </c>
      <c r="D720" s="3" t="s">
        <v>315</v>
      </c>
      <c r="E720" s="3">
        <v>0</v>
      </c>
      <c r="G720" s="57"/>
    </row>
    <row r="721" spans="1:7" ht="12.75" x14ac:dyDescent="0.2">
      <c r="A721" s="3">
        <v>17</v>
      </c>
      <c r="B721" s="4" t="s">
        <v>45</v>
      </c>
      <c r="C721" s="3" t="s">
        <v>125</v>
      </c>
      <c r="D721" s="3" t="s">
        <v>128</v>
      </c>
      <c r="E721" s="3">
        <v>0</v>
      </c>
      <c r="G721" s="57"/>
    </row>
    <row r="722" spans="1:7" ht="12.75" x14ac:dyDescent="0.2">
      <c r="A722" s="3">
        <v>17</v>
      </c>
      <c r="B722" s="4" t="s">
        <v>45</v>
      </c>
      <c r="C722" s="3" t="s">
        <v>125</v>
      </c>
      <c r="D722" s="3" t="s">
        <v>353</v>
      </c>
      <c r="E722" s="3">
        <v>1</v>
      </c>
      <c r="G722" s="57"/>
    </row>
    <row r="723" spans="1:7" ht="12.75" x14ac:dyDescent="0.2">
      <c r="A723" s="3">
        <v>17</v>
      </c>
      <c r="B723" s="4" t="s">
        <v>45</v>
      </c>
      <c r="C723" s="3" t="s">
        <v>125</v>
      </c>
      <c r="D723" s="3" t="s">
        <v>371</v>
      </c>
      <c r="E723" s="3">
        <v>2</v>
      </c>
      <c r="G723" s="57"/>
    </row>
    <row r="724" spans="1:7" ht="12.75" x14ac:dyDescent="0.2">
      <c r="A724" s="3">
        <v>17</v>
      </c>
      <c r="B724" s="4" t="s">
        <v>45</v>
      </c>
      <c r="C724" s="3" t="s">
        <v>125</v>
      </c>
      <c r="D724" s="3" t="s">
        <v>14</v>
      </c>
      <c r="E724" s="3">
        <v>0</v>
      </c>
      <c r="G724" s="57"/>
    </row>
    <row r="725" spans="1:7" ht="12.75" x14ac:dyDescent="0.2">
      <c r="A725" s="3">
        <v>17</v>
      </c>
      <c r="B725" s="4" t="s">
        <v>45</v>
      </c>
      <c r="C725" s="3" t="s">
        <v>125</v>
      </c>
      <c r="D725" s="3" t="s">
        <v>138</v>
      </c>
      <c r="E725" s="3">
        <v>0</v>
      </c>
      <c r="F725">
        <f>SUM(E718:E725)</f>
        <v>14</v>
      </c>
      <c r="G725" s="57"/>
    </row>
    <row r="726" spans="1:7" ht="12.75" x14ac:dyDescent="0.2">
      <c r="A726" s="3">
        <v>18</v>
      </c>
      <c r="B726" s="4" t="s">
        <v>46</v>
      </c>
      <c r="C726" s="3" t="s">
        <v>347</v>
      </c>
      <c r="D726" s="3" t="s">
        <v>366</v>
      </c>
      <c r="E726" s="3">
        <v>12</v>
      </c>
      <c r="G726" s="59">
        <v>2420</v>
      </c>
    </row>
    <row r="727" spans="1:7" ht="12.75" x14ac:dyDescent="0.2">
      <c r="A727" s="3">
        <v>18</v>
      </c>
      <c r="B727" s="4" t="s">
        <v>46</v>
      </c>
      <c r="C727" s="3" t="s">
        <v>347</v>
      </c>
      <c r="D727" s="3" t="s">
        <v>274</v>
      </c>
      <c r="E727" s="3">
        <v>0</v>
      </c>
      <c r="G727" s="57"/>
    </row>
    <row r="728" spans="1:7" ht="12.75" x14ac:dyDescent="0.2">
      <c r="A728" s="3">
        <v>18</v>
      </c>
      <c r="B728" s="4" t="s">
        <v>46</v>
      </c>
      <c r="C728" s="3" t="s">
        <v>347</v>
      </c>
      <c r="D728" s="3" t="s">
        <v>367</v>
      </c>
      <c r="E728" s="3">
        <v>4</v>
      </c>
      <c r="G728" s="57"/>
    </row>
    <row r="729" spans="1:7" ht="12.75" x14ac:dyDescent="0.2">
      <c r="A729" s="3">
        <v>18</v>
      </c>
      <c r="B729" s="4" t="s">
        <v>46</v>
      </c>
      <c r="C729" s="3" t="s">
        <v>347</v>
      </c>
      <c r="D729" s="3" t="s">
        <v>368</v>
      </c>
      <c r="E729" s="3">
        <v>3</v>
      </c>
      <c r="G729" s="57"/>
    </row>
    <row r="730" spans="1:7" ht="12.75" x14ac:dyDescent="0.2">
      <c r="A730" s="3">
        <v>18</v>
      </c>
      <c r="B730" s="4" t="s">
        <v>46</v>
      </c>
      <c r="C730" s="3" t="s">
        <v>347</v>
      </c>
      <c r="D730" s="3" t="s">
        <v>283</v>
      </c>
      <c r="E730" s="3">
        <v>1226</v>
      </c>
      <c r="G730" s="57"/>
    </row>
    <row r="731" spans="1:7" ht="12.75" x14ac:dyDescent="0.2">
      <c r="A731" s="3">
        <v>18</v>
      </c>
      <c r="B731" s="4" t="s">
        <v>46</v>
      </c>
      <c r="C731" s="3" t="s">
        <v>347</v>
      </c>
      <c r="D731" s="3" t="s">
        <v>315</v>
      </c>
      <c r="E731" s="3">
        <v>18</v>
      </c>
      <c r="G731" s="57"/>
    </row>
    <row r="732" spans="1:7" ht="12.75" x14ac:dyDescent="0.2">
      <c r="A732" s="3">
        <v>18</v>
      </c>
      <c r="B732" s="4" t="s">
        <v>46</v>
      </c>
      <c r="C732" s="3" t="s">
        <v>347</v>
      </c>
      <c r="D732" s="3" t="s">
        <v>316</v>
      </c>
      <c r="E732" s="3">
        <v>21</v>
      </c>
      <c r="G732" s="57"/>
    </row>
    <row r="733" spans="1:7" ht="12.75" x14ac:dyDescent="0.2">
      <c r="A733" s="3">
        <v>18</v>
      </c>
      <c r="B733" s="4" t="s">
        <v>46</v>
      </c>
      <c r="C733" s="3" t="s">
        <v>347</v>
      </c>
      <c r="D733" s="3" t="s">
        <v>369</v>
      </c>
      <c r="E733" s="3">
        <v>10</v>
      </c>
      <c r="G733" s="57"/>
    </row>
    <row r="734" spans="1:7" ht="12.75" x14ac:dyDescent="0.2">
      <c r="A734" s="3">
        <v>18</v>
      </c>
      <c r="B734" s="4" t="s">
        <v>46</v>
      </c>
      <c r="C734" s="3" t="s">
        <v>347</v>
      </c>
      <c r="D734" s="3" t="s">
        <v>128</v>
      </c>
      <c r="E734" s="3">
        <v>311</v>
      </c>
      <c r="G734" s="57"/>
    </row>
    <row r="735" spans="1:7" ht="12.75" x14ac:dyDescent="0.2">
      <c r="A735" s="3">
        <v>18</v>
      </c>
      <c r="B735" s="4" t="s">
        <v>46</v>
      </c>
      <c r="C735" s="3" t="s">
        <v>347</v>
      </c>
      <c r="D735" s="3" t="s">
        <v>370</v>
      </c>
      <c r="E735" s="3">
        <v>0</v>
      </c>
      <c r="G735" s="57"/>
    </row>
    <row r="736" spans="1:7" ht="12.75" x14ac:dyDescent="0.2">
      <c r="A736" s="3">
        <v>18</v>
      </c>
      <c r="B736" s="4" t="s">
        <v>46</v>
      </c>
      <c r="C736" s="3" t="s">
        <v>347</v>
      </c>
      <c r="D736" s="3" t="s">
        <v>353</v>
      </c>
      <c r="E736" s="3">
        <v>24</v>
      </c>
      <c r="G736" s="57"/>
    </row>
    <row r="737" spans="1:7" ht="12.75" x14ac:dyDescent="0.2">
      <c r="A737" s="3">
        <v>18</v>
      </c>
      <c r="B737" s="4" t="s">
        <v>46</v>
      </c>
      <c r="C737" s="3" t="s">
        <v>347</v>
      </c>
      <c r="D737" s="3" t="s">
        <v>371</v>
      </c>
      <c r="E737" s="3">
        <v>125</v>
      </c>
      <c r="G737" s="57"/>
    </row>
    <row r="738" spans="1:7" ht="12.75" x14ac:dyDescent="0.2">
      <c r="A738" s="3">
        <v>18</v>
      </c>
      <c r="B738" s="4" t="s">
        <v>46</v>
      </c>
      <c r="C738" s="3" t="s">
        <v>347</v>
      </c>
      <c r="D738" s="3" t="s">
        <v>14</v>
      </c>
      <c r="E738" s="3">
        <v>84</v>
      </c>
      <c r="G738" s="57"/>
    </row>
    <row r="739" spans="1:7" ht="12.75" x14ac:dyDescent="0.2">
      <c r="A739" s="3">
        <v>18</v>
      </c>
      <c r="B739" s="4" t="s">
        <v>46</v>
      </c>
      <c r="C739" s="3" t="s">
        <v>347</v>
      </c>
      <c r="D739" s="3" t="s">
        <v>138</v>
      </c>
      <c r="E739" s="3">
        <v>13</v>
      </c>
      <c r="F739">
        <f>SUM(E726:E739)</f>
        <v>1851</v>
      </c>
      <c r="G739" s="57"/>
    </row>
    <row r="740" spans="1:7" ht="12.75" x14ac:dyDescent="0.2">
      <c r="A740" s="3">
        <v>18</v>
      </c>
      <c r="B740" s="4" t="s">
        <v>46</v>
      </c>
      <c r="C740" s="3" t="s">
        <v>273</v>
      </c>
      <c r="D740" s="3" t="s">
        <v>274</v>
      </c>
      <c r="E740" s="3">
        <v>7</v>
      </c>
      <c r="G740" s="57"/>
    </row>
    <row r="741" spans="1:7" ht="12.75" x14ac:dyDescent="0.2">
      <c r="A741" s="3">
        <v>18</v>
      </c>
      <c r="B741" s="4" t="s">
        <v>46</v>
      </c>
      <c r="C741" s="3" t="s">
        <v>273</v>
      </c>
      <c r="D741" s="3" t="s">
        <v>283</v>
      </c>
      <c r="E741" s="3">
        <v>1304</v>
      </c>
      <c r="G741" s="57"/>
    </row>
    <row r="742" spans="1:7" ht="12.75" x14ac:dyDescent="0.2">
      <c r="A742" s="3">
        <v>18</v>
      </c>
      <c r="B742" s="4" t="s">
        <v>46</v>
      </c>
      <c r="C742" s="3" t="s">
        <v>273</v>
      </c>
      <c r="D742" s="3" t="s">
        <v>315</v>
      </c>
      <c r="E742" s="3">
        <v>6</v>
      </c>
      <c r="G742" s="57"/>
    </row>
    <row r="743" spans="1:7" ht="12.75" x14ac:dyDescent="0.2">
      <c r="A743" s="3">
        <v>18</v>
      </c>
      <c r="B743" s="4" t="s">
        <v>46</v>
      </c>
      <c r="C743" s="3" t="s">
        <v>273</v>
      </c>
      <c r="D743" s="3" t="s">
        <v>128</v>
      </c>
      <c r="E743" s="3">
        <v>284</v>
      </c>
      <c r="G743" s="57"/>
    </row>
    <row r="744" spans="1:7" ht="12.75" x14ac:dyDescent="0.2">
      <c r="A744" s="3">
        <v>18</v>
      </c>
      <c r="B744" s="4" t="s">
        <v>46</v>
      </c>
      <c r="C744" s="3" t="s">
        <v>273</v>
      </c>
      <c r="D744" s="3" t="s">
        <v>353</v>
      </c>
      <c r="E744" s="3">
        <v>7</v>
      </c>
      <c r="G744" s="57"/>
    </row>
    <row r="745" spans="1:7" ht="12.75" x14ac:dyDescent="0.2">
      <c r="A745" s="3">
        <v>18</v>
      </c>
      <c r="B745" s="4" t="s">
        <v>46</v>
      </c>
      <c r="C745" s="3" t="s">
        <v>273</v>
      </c>
      <c r="D745" s="3" t="s">
        <v>371</v>
      </c>
      <c r="E745" s="3">
        <v>69</v>
      </c>
      <c r="G745" s="57"/>
    </row>
    <row r="746" spans="1:7" ht="12.75" x14ac:dyDescent="0.2">
      <c r="A746" s="3">
        <v>18</v>
      </c>
      <c r="B746" s="4" t="s">
        <v>46</v>
      </c>
      <c r="C746" s="3" t="s">
        <v>273</v>
      </c>
      <c r="D746" s="3" t="s">
        <v>14</v>
      </c>
      <c r="E746" s="3">
        <v>161</v>
      </c>
      <c r="G746" s="57"/>
    </row>
    <row r="747" spans="1:7" ht="12.75" x14ac:dyDescent="0.2">
      <c r="A747" s="3">
        <v>18</v>
      </c>
      <c r="B747" s="4" t="s">
        <v>46</v>
      </c>
      <c r="C747" s="3" t="s">
        <v>273</v>
      </c>
      <c r="D747" s="3" t="s">
        <v>138</v>
      </c>
      <c r="E747" s="3">
        <v>13</v>
      </c>
      <c r="F747">
        <f>SUM(E740:E747)</f>
        <v>1851</v>
      </c>
      <c r="G747" s="57"/>
    </row>
    <row r="748" spans="1:7" ht="12.75" x14ac:dyDescent="0.2">
      <c r="A748" s="3">
        <v>18</v>
      </c>
      <c r="B748" s="4" t="s">
        <v>46</v>
      </c>
      <c r="C748" s="3" t="s">
        <v>125</v>
      </c>
      <c r="D748" s="3" t="s">
        <v>274</v>
      </c>
      <c r="E748" s="3">
        <v>6</v>
      </c>
      <c r="G748" s="57"/>
    </row>
    <row r="749" spans="1:7" ht="12.75" x14ac:dyDescent="0.2">
      <c r="A749" s="3">
        <v>18</v>
      </c>
      <c r="B749" s="4" t="s">
        <v>46</v>
      </c>
      <c r="C749" s="3" t="s">
        <v>125</v>
      </c>
      <c r="D749" s="3" t="s">
        <v>283</v>
      </c>
      <c r="E749" s="3">
        <v>1288</v>
      </c>
      <c r="G749" s="57"/>
    </row>
    <row r="750" spans="1:7" ht="12.75" x14ac:dyDescent="0.2">
      <c r="A750" s="3">
        <v>18</v>
      </c>
      <c r="B750" s="4" t="s">
        <v>46</v>
      </c>
      <c r="C750" s="3" t="s">
        <v>125</v>
      </c>
      <c r="D750" s="3" t="s">
        <v>315</v>
      </c>
      <c r="E750" s="3">
        <v>6</v>
      </c>
      <c r="G750" s="57"/>
    </row>
    <row r="751" spans="1:7" ht="12.75" x14ac:dyDescent="0.2">
      <c r="A751" s="3">
        <v>18</v>
      </c>
      <c r="B751" s="4" t="s">
        <v>46</v>
      </c>
      <c r="C751" s="3" t="s">
        <v>125</v>
      </c>
      <c r="D751" s="3" t="s">
        <v>128</v>
      </c>
      <c r="E751" s="3">
        <v>279</v>
      </c>
      <c r="G751" s="57"/>
    </row>
    <row r="752" spans="1:7" ht="12.75" x14ac:dyDescent="0.2">
      <c r="A752" s="3">
        <v>18</v>
      </c>
      <c r="B752" s="4" t="s">
        <v>46</v>
      </c>
      <c r="C752" s="3" t="s">
        <v>125</v>
      </c>
      <c r="D752" s="3" t="s">
        <v>353</v>
      </c>
      <c r="E752" s="3">
        <v>8</v>
      </c>
      <c r="G752" s="57"/>
    </row>
    <row r="753" spans="1:7" ht="12.75" x14ac:dyDescent="0.2">
      <c r="A753" s="3">
        <v>18</v>
      </c>
      <c r="B753" s="4" t="s">
        <v>46</v>
      </c>
      <c r="C753" s="3" t="s">
        <v>125</v>
      </c>
      <c r="D753" s="3" t="s">
        <v>371</v>
      </c>
      <c r="E753" s="3">
        <v>70</v>
      </c>
      <c r="G753" s="57"/>
    </row>
    <row r="754" spans="1:7" ht="12.75" x14ac:dyDescent="0.2">
      <c r="A754" s="3">
        <v>18</v>
      </c>
      <c r="B754" s="4" t="s">
        <v>46</v>
      </c>
      <c r="C754" s="3" t="s">
        <v>125</v>
      </c>
      <c r="D754" s="3" t="s">
        <v>14</v>
      </c>
      <c r="E754" s="3">
        <v>181</v>
      </c>
      <c r="G754" s="57"/>
    </row>
    <row r="755" spans="1:7" ht="12.75" x14ac:dyDescent="0.2">
      <c r="A755" s="3">
        <v>18</v>
      </c>
      <c r="B755" s="4" t="s">
        <v>46</v>
      </c>
      <c r="C755" s="3" t="s">
        <v>125</v>
      </c>
      <c r="D755" s="3" t="s">
        <v>138</v>
      </c>
      <c r="E755" s="3">
        <v>13</v>
      </c>
      <c r="F755">
        <f>SUM(E748:E755)</f>
        <v>1851</v>
      </c>
      <c r="G755" s="57"/>
    </row>
    <row r="756" spans="1:7" ht="12.75" x14ac:dyDescent="0.2">
      <c r="A756" s="3">
        <v>19</v>
      </c>
      <c r="B756" s="4" t="s">
        <v>47</v>
      </c>
      <c r="C756" s="3" t="s">
        <v>347</v>
      </c>
      <c r="D756" s="3" t="s">
        <v>366</v>
      </c>
      <c r="E756" s="3">
        <v>1</v>
      </c>
      <c r="G756" s="59">
        <v>1497</v>
      </c>
    </row>
    <row r="757" spans="1:7" ht="12.75" x14ac:dyDescent="0.2">
      <c r="A757" s="3">
        <v>19</v>
      </c>
      <c r="B757" s="4" t="s">
        <v>47</v>
      </c>
      <c r="C757" s="3" t="s">
        <v>347</v>
      </c>
      <c r="D757" s="3" t="s">
        <v>274</v>
      </c>
      <c r="E757" s="3">
        <v>0</v>
      </c>
      <c r="G757" s="57"/>
    </row>
    <row r="758" spans="1:7" ht="12.75" x14ac:dyDescent="0.2">
      <c r="A758" s="3">
        <v>19</v>
      </c>
      <c r="B758" s="4" t="s">
        <v>47</v>
      </c>
      <c r="C758" s="3" t="s">
        <v>347</v>
      </c>
      <c r="D758" s="3" t="s">
        <v>367</v>
      </c>
      <c r="E758" s="3">
        <v>0</v>
      </c>
      <c r="G758" s="57"/>
    </row>
    <row r="759" spans="1:7" ht="12.75" x14ac:dyDescent="0.2">
      <c r="A759" s="3">
        <v>19</v>
      </c>
      <c r="B759" s="4" t="s">
        <v>47</v>
      </c>
      <c r="C759" s="3" t="s">
        <v>347</v>
      </c>
      <c r="D759" s="3" t="s">
        <v>368</v>
      </c>
      <c r="E759" s="3">
        <v>3</v>
      </c>
      <c r="G759" s="57"/>
    </row>
    <row r="760" spans="1:7" ht="12.75" x14ac:dyDescent="0.2">
      <c r="A760" s="3">
        <v>19</v>
      </c>
      <c r="B760" s="4" t="s">
        <v>47</v>
      </c>
      <c r="C760" s="3" t="s">
        <v>347</v>
      </c>
      <c r="D760" s="3" t="s">
        <v>283</v>
      </c>
      <c r="E760" s="3">
        <v>461</v>
      </c>
      <c r="G760" s="57"/>
    </row>
    <row r="761" spans="1:7" ht="12.75" x14ac:dyDescent="0.2">
      <c r="A761" s="3">
        <v>19</v>
      </c>
      <c r="B761" s="4" t="s">
        <v>47</v>
      </c>
      <c r="C761" s="3" t="s">
        <v>347</v>
      </c>
      <c r="D761" s="3" t="s">
        <v>315</v>
      </c>
      <c r="E761" s="3">
        <v>16</v>
      </c>
      <c r="G761" s="57"/>
    </row>
    <row r="762" spans="1:7" ht="12.75" x14ac:dyDescent="0.2">
      <c r="A762" s="3">
        <v>19</v>
      </c>
      <c r="B762" s="4" t="s">
        <v>47</v>
      </c>
      <c r="C762" s="3" t="s">
        <v>347</v>
      </c>
      <c r="D762" s="3" t="s">
        <v>316</v>
      </c>
      <c r="E762" s="3">
        <v>30</v>
      </c>
      <c r="G762" s="57"/>
    </row>
    <row r="763" spans="1:7" ht="12.75" x14ac:dyDescent="0.2">
      <c r="A763" s="3">
        <v>19</v>
      </c>
      <c r="B763" s="4" t="s">
        <v>47</v>
      </c>
      <c r="C763" s="3" t="s">
        <v>347</v>
      </c>
      <c r="D763" s="3" t="s">
        <v>369</v>
      </c>
      <c r="E763" s="3">
        <v>4</v>
      </c>
      <c r="G763" s="57"/>
    </row>
    <row r="764" spans="1:7" ht="12.75" x14ac:dyDescent="0.2">
      <c r="A764" s="3">
        <v>19</v>
      </c>
      <c r="B764" s="4" t="s">
        <v>47</v>
      </c>
      <c r="C764" s="3" t="s">
        <v>347</v>
      </c>
      <c r="D764" s="3" t="s">
        <v>128</v>
      </c>
      <c r="E764" s="3">
        <v>481</v>
      </c>
      <c r="G764" s="57"/>
    </row>
    <row r="765" spans="1:7" ht="12.75" x14ac:dyDescent="0.2">
      <c r="A765" s="3">
        <v>19</v>
      </c>
      <c r="B765" s="4" t="s">
        <v>47</v>
      </c>
      <c r="C765" s="3" t="s">
        <v>347</v>
      </c>
      <c r="D765" s="3" t="s">
        <v>370</v>
      </c>
      <c r="E765" s="3">
        <v>0</v>
      </c>
      <c r="G765" s="57"/>
    </row>
    <row r="766" spans="1:7" ht="12.75" x14ac:dyDescent="0.2">
      <c r="A766" s="3">
        <v>19</v>
      </c>
      <c r="B766" s="4" t="s">
        <v>47</v>
      </c>
      <c r="C766" s="3" t="s">
        <v>347</v>
      </c>
      <c r="D766" s="3" t="s">
        <v>353</v>
      </c>
      <c r="E766" s="3">
        <v>6</v>
      </c>
      <c r="G766" s="57"/>
    </row>
    <row r="767" spans="1:7" ht="12.75" x14ac:dyDescent="0.2">
      <c r="A767" s="3">
        <v>19</v>
      </c>
      <c r="B767" s="4" t="s">
        <v>47</v>
      </c>
      <c r="C767" s="3" t="s">
        <v>347</v>
      </c>
      <c r="D767" s="3" t="s">
        <v>371</v>
      </c>
      <c r="E767" s="3">
        <v>136</v>
      </c>
      <c r="G767" s="57"/>
    </row>
    <row r="768" spans="1:7" ht="12.75" x14ac:dyDescent="0.2">
      <c r="A768" s="3">
        <v>19</v>
      </c>
      <c r="B768" s="4" t="s">
        <v>47</v>
      </c>
      <c r="C768" s="3" t="s">
        <v>347</v>
      </c>
      <c r="D768" s="3" t="s">
        <v>14</v>
      </c>
      <c r="E768" s="3">
        <v>96</v>
      </c>
      <c r="G768" s="57"/>
    </row>
    <row r="769" spans="1:7" ht="12.75" x14ac:dyDescent="0.2">
      <c r="A769" s="3">
        <v>19</v>
      </c>
      <c r="B769" s="4" t="s">
        <v>47</v>
      </c>
      <c r="C769" s="3" t="s">
        <v>347</v>
      </c>
      <c r="D769" s="3" t="s">
        <v>138</v>
      </c>
      <c r="E769" s="3">
        <v>0</v>
      </c>
      <c r="F769">
        <f>SUM(E756:E769)</f>
        <v>1234</v>
      </c>
      <c r="G769" s="57"/>
    </row>
    <row r="770" spans="1:7" ht="12.75" x14ac:dyDescent="0.2">
      <c r="A770" s="3">
        <v>19</v>
      </c>
      <c r="B770" s="4" t="s">
        <v>47</v>
      </c>
      <c r="C770" s="3" t="s">
        <v>273</v>
      </c>
      <c r="D770" s="3" t="s">
        <v>274</v>
      </c>
      <c r="E770" s="3">
        <v>5</v>
      </c>
      <c r="G770" s="57"/>
    </row>
    <row r="771" spans="1:7" ht="12.75" x14ac:dyDescent="0.2">
      <c r="A771" s="3">
        <v>19</v>
      </c>
      <c r="B771" s="4" t="s">
        <v>47</v>
      </c>
      <c r="C771" s="3" t="s">
        <v>273</v>
      </c>
      <c r="D771" s="3" t="s">
        <v>283</v>
      </c>
      <c r="E771" s="3">
        <v>515</v>
      </c>
      <c r="G771" s="57"/>
    </row>
    <row r="772" spans="1:7" ht="12.75" x14ac:dyDescent="0.2">
      <c r="A772" s="3">
        <v>19</v>
      </c>
      <c r="B772" s="4" t="s">
        <v>47</v>
      </c>
      <c r="C772" s="3" t="s">
        <v>273</v>
      </c>
      <c r="D772" s="3" t="s">
        <v>315</v>
      </c>
      <c r="E772" s="3">
        <v>14</v>
      </c>
      <c r="G772" s="57"/>
    </row>
    <row r="773" spans="1:7" ht="12.75" x14ac:dyDescent="0.2">
      <c r="A773" s="3">
        <v>19</v>
      </c>
      <c r="B773" s="4" t="s">
        <v>47</v>
      </c>
      <c r="C773" s="3" t="s">
        <v>273</v>
      </c>
      <c r="D773" s="3" t="s">
        <v>128</v>
      </c>
      <c r="E773" s="3">
        <v>532</v>
      </c>
      <c r="G773" s="57"/>
    </row>
    <row r="774" spans="1:7" ht="12.75" x14ac:dyDescent="0.2">
      <c r="A774" s="3">
        <v>19</v>
      </c>
      <c r="B774" s="4" t="s">
        <v>47</v>
      </c>
      <c r="C774" s="3" t="s">
        <v>273</v>
      </c>
      <c r="D774" s="3" t="s">
        <v>353</v>
      </c>
      <c r="E774" s="3">
        <v>3</v>
      </c>
      <c r="G774" s="57"/>
    </row>
    <row r="775" spans="1:7" ht="12.75" x14ac:dyDescent="0.2">
      <c r="A775" s="3">
        <v>19</v>
      </c>
      <c r="B775" s="4" t="s">
        <v>47</v>
      </c>
      <c r="C775" s="3" t="s">
        <v>273</v>
      </c>
      <c r="D775" s="3" t="s">
        <v>371</v>
      </c>
      <c r="E775" s="3">
        <v>81</v>
      </c>
      <c r="G775" s="57"/>
    </row>
    <row r="776" spans="1:7" ht="12.75" x14ac:dyDescent="0.2">
      <c r="A776" s="3">
        <v>19</v>
      </c>
      <c r="B776" s="4" t="s">
        <v>47</v>
      </c>
      <c r="C776" s="3" t="s">
        <v>273</v>
      </c>
      <c r="D776" s="3" t="s">
        <v>14</v>
      </c>
      <c r="E776" s="3">
        <v>84</v>
      </c>
      <c r="G776" s="57"/>
    </row>
    <row r="777" spans="1:7" ht="12.75" x14ac:dyDescent="0.2">
      <c r="A777" s="3">
        <v>19</v>
      </c>
      <c r="B777" s="4" t="s">
        <v>47</v>
      </c>
      <c r="C777" s="3" t="s">
        <v>273</v>
      </c>
      <c r="D777" s="3" t="s">
        <v>138</v>
      </c>
      <c r="E777" s="3">
        <v>0</v>
      </c>
      <c r="F777">
        <f>SUM(E770:E777)</f>
        <v>1234</v>
      </c>
      <c r="G777" s="57"/>
    </row>
    <row r="778" spans="1:7" ht="12.75" x14ac:dyDescent="0.2">
      <c r="A778" s="3">
        <v>19</v>
      </c>
      <c r="B778" s="4" t="s">
        <v>47</v>
      </c>
      <c r="C778" s="3" t="s">
        <v>125</v>
      </c>
      <c r="D778" s="3" t="s">
        <v>274</v>
      </c>
      <c r="E778" s="3">
        <v>5</v>
      </c>
      <c r="G778" s="57"/>
    </row>
    <row r="779" spans="1:7" ht="12.75" x14ac:dyDescent="0.2">
      <c r="A779" s="3">
        <v>19</v>
      </c>
      <c r="B779" s="4" t="s">
        <v>47</v>
      </c>
      <c r="C779" s="3" t="s">
        <v>125</v>
      </c>
      <c r="D779" s="3" t="s">
        <v>283</v>
      </c>
      <c r="E779" s="3">
        <v>518</v>
      </c>
      <c r="G779" s="57"/>
    </row>
    <row r="780" spans="1:7" ht="12.75" x14ac:dyDescent="0.2">
      <c r="A780" s="3">
        <v>19</v>
      </c>
      <c r="B780" s="4" t="s">
        <v>47</v>
      </c>
      <c r="C780" s="3" t="s">
        <v>125</v>
      </c>
      <c r="D780" s="3" t="s">
        <v>315</v>
      </c>
      <c r="E780" s="3">
        <v>14</v>
      </c>
      <c r="G780" s="57"/>
    </row>
    <row r="781" spans="1:7" ht="12.75" x14ac:dyDescent="0.2">
      <c r="A781" s="3">
        <v>19</v>
      </c>
      <c r="B781" s="4" t="s">
        <v>47</v>
      </c>
      <c r="C781" s="3" t="s">
        <v>125</v>
      </c>
      <c r="D781" s="3" t="s">
        <v>128</v>
      </c>
      <c r="E781" s="3">
        <v>525</v>
      </c>
      <c r="G781" s="57"/>
    </row>
    <row r="782" spans="1:7" ht="12.75" x14ac:dyDescent="0.2">
      <c r="A782" s="3">
        <v>19</v>
      </c>
      <c r="B782" s="4" t="s">
        <v>47</v>
      </c>
      <c r="C782" s="3" t="s">
        <v>125</v>
      </c>
      <c r="D782" s="3" t="s">
        <v>353</v>
      </c>
      <c r="E782" s="3">
        <v>4</v>
      </c>
      <c r="G782" s="57"/>
    </row>
    <row r="783" spans="1:7" ht="12.75" x14ac:dyDescent="0.2">
      <c r="A783" s="3">
        <v>19</v>
      </c>
      <c r="B783" s="4" t="s">
        <v>47</v>
      </c>
      <c r="C783" s="3" t="s">
        <v>125</v>
      </c>
      <c r="D783" s="3" t="s">
        <v>371</v>
      </c>
      <c r="E783" s="3">
        <v>81</v>
      </c>
      <c r="G783" s="57"/>
    </row>
    <row r="784" spans="1:7" ht="12.75" x14ac:dyDescent="0.2">
      <c r="A784" s="3">
        <v>19</v>
      </c>
      <c r="B784" s="4" t="s">
        <v>47</v>
      </c>
      <c r="C784" s="3" t="s">
        <v>125</v>
      </c>
      <c r="D784" s="3" t="s">
        <v>14</v>
      </c>
      <c r="E784" s="3">
        <v>87</v>
      </c>
      <c r="G784" s="57"/>
    </row>
    <row r="785" spans="1:7" ht="12.75" x14ac:dyDescent="0.2">
      <c r="A785" s="3">
        <v>19</v>
      </c>
      <c r="B785" s="4" t="s">
        <v>47</v>
      </c>
      <c r="C785" s="3" t="s">
        <v>125</v>
      </c>
      <c r="D785" s="3" t="s">
        <v>138</v>
      </c>
      <c r="E785" s="3">
        <v>0</v>
      </c>
      <c r="F785">
        <f>SUM(E778:E785)</f>
        <v>1234</v>
      </c>
      <c r="G785" s="57"/>
    </row>
    <row r="786" spans="1:7" ht="12.75" x14ac:dyDescent="0.2">
      <c r="A786" s="2" t="s">
        <v>48</v>
      </c>
      <c r="B786" s="4" t="s">
        <v>49</v>
      </c>
      <c r="C786" s="3" t="s">
        <v>347</v>
      </c>
      <c r="D786" s="3" t="s">
        <v>366</v>
      </c>
      <c r="E786" s="3">
        <v>1</v>
      </c>
      <c r="G786" s="59">
        <v>145</v>
      </c>
    </row>
    <row r="787" spans="1:7" ht="12.75" x14ac:dyDescent="0.2">
      <c r="A787" s="2" t="s">
        <v>48</v>
      </c>
      <c r="B787" s="4" t="s">
        <v>49</v>
      </c>
      <c r="C787" s="3" t="s">
        <v>347</v>
      </c>
      <c r="D787" s="3" t="s">
        <v>274</v>
      </c>
      <c r="E787" s="3">
        <v>0</v>
      </c>
      <c r="G787" s="57"/>
    </row>
    <row r="788" spans="1:7" ht="12.75" x14ac:dyDescent="0.2">
      <c r="A788" s="2" t="s">
        <v>48</v>
      </c>
      <c r="B788" s="4" t="s">
        <v>49</v>
      </c>
      <c r="C788" s="3" t="s">
        <v>347</v>
      </c>
      <c r="D788" s="3" t="s">
        <v>367</v>
      </c>
      <c r="E788" s="3">
        <v>0</v>
      </c>
      <c r="G788" s="57"/>
    </row>
    <row r="789" spans="1:7" ht="12.75" x14ac:dyDescent="0.2">
      <c r="A789" s="2" t="s">
        <v>48</v>
      </c>
      <c r="B789" s="4" t="s">
        <v>49</v>
      </c>
      <c r="C789" s="3" t="s">
        <v>347</v>
      </c>
      <c r="D789" s="3" t="s">
        <v>368</v>
      </c>
      <c r="E789" s="3">
        <v>0</v>
      </c>
      <c r="G789" s="57"/>
    </row>
    <row r="790" spans="1:7" ht="12.75" x14ac:dyDescent="0.2">
      <c r="A790" s="2" t="s">
        <v>48</v>
      </c>
      <c r="B790" s="4" t="s">
        <v>49</v>
      </c>
      <c r="C790" s="3" t="s">
        <v>347</v>
      </c>
      <c r="D790" s="3" t="s">
        <v>283</v>
      </c>
      <c r="E790" s="3">
        <v>56</v>
      </c>
      <c r="G790" s="57"/>
    </row>
    <row r="791" spans="1:7" ht="12.75" x14ac:dyDescent="0.2">
      <c r="A791" s="2" t="s">
        <v>48</v>
      </c>
      <c r="B791" s="4" t="s">
        <v>49</v>
      </c>
      <c r="C791" s="3" t="s">
        <v>347</v>
      </c>
      <c r="D791" s="3" t="s">
        <v>315</v>
      </c>
      <c r="E791" s="3">
        <v>1</v>
      </c>
      <c r="G791" s="57"/>
    </row>
    <row r="792" spans="1:7" ht="12.75" x14ac:dyDescent="0.2">
      <c r="A792" s="2" t="s">
        <v>48</v>
      </c>
      <c r="B792" s="4" t="s">
        <v>49</v>
      </c>
      <c r="C792" s="3" t="s">
        <v>347</v>
      </c>
      <c r="D792" s="3" t="s">
        <v>316</v>
      </c>
      <c r="E792" s="3">
        <v>3</v>
      </c>
      <c r="G792" s="57"/>
    </row>
    <row r="793" spans="1:7" ht="12.75" x14ac:dyDescent="0.2">
      <c r="A793" s="2" t="s">
        <v>48</v>
      </c>
      <c r="B793" s="4" t="s">
        <v>49</v>
      </c>
      <c r="C793" s="3" t="s">
        <v>347</v>
      </c>
      <c r="D793" s="3" t="s">
        <v>369</v>
      </c>
      <c r="E793" s="3">
        <v>0</v>
      </c>
      <c r="G793" s="57"/>
    </row>
    <row r="794" spans="1:7" ht="12.75" x14ac:dyDescent="0.2">
      <c r="A794" s="2" t="s">
        <v>48</v>
      </c>
      <c r="B794" s="4" t="s">
        <v>49</v>
      </c>
      <c r="C794" s="3" t="s">
        <v>347</v>
      </c>
      <c r="D794" s="3" t="s">
        <v>128</v>
      </c>
      <c r="E794" s="3">
        <v>36</v>
      </c>
      <c r="G794" s="57"/>
    </row>
    <row r="795" spans="1:7" ht="12.75" x14ac:dyDescent="0.2">
      <c r="A795" s="2" t="s">
        <v>48</v>
      </c>
      <c r="B795" s="4" t="s">
        <v>49</v>
      </c>
      <c r="C795" s="3" t="s">
        <v>347</v>
      </c>
      <c r="D795" s="3" t="s">
        <v>370</v>
      </c>
      <c r="E795" s="3">
        <v>2</v>
      </c>
      <c r="G795" s="57"/>
    </row>
    <row r="796" spans="1:7" ht="12.75" x14ac:dyDescent="0.2">
      <c r="A796" s="2" t="s">
        <v>48</v>
      </c>
      <c r="B796" s="4" t="s">
        <v>49</v>
      </c>
      <c r="C796" s="3" t="s">
        <v>347</v>
      </c>
      <c r="D796" s="3" t="s">
        <v>353</v>
      </c>
      <c r="E796" s="3">
        <v>0</v>
      </c>
      <c r="G796" s="57"/>
    </row>
    <row r="797" spans="1:7" ht="12.75" x14ac:dyDescent="0.2">
      <c r="A797" s="2" t="s">
        <v>48</v>
      </c>
      <c r="B797" s="4" t="s">
        <v>49</v>
      </c>
      <c r="C797" s="3" t="s">
        <v>347</v>
      </c>
      <c r="D797" s="3" t="s">
        <v>371</v>
      </c>
      <c r="E797" s="3">
        <v>23</v>
      </c>
      <c r="G797" s="57"/>
    </row>
    <row r="798" spans="1:7" ht="12.75" x14ac:dyDescent="0.2">
      <c r="A798" s="2" t="s">
        <v>48</v>
      </c>
      <c r="B798" s="4" t="s">
        <v>49</v>
      </c>
      <c r="C798" s="3" t="s">
        <v>347</v>
      </c>
      <c r="D798" s="3" t="s">
        <v>14</v>
      </c>
      <c r="E798" s="3">
        <v>2</v>
      </c>
      <c r="G798" s="57"/>
    </row>
    <row r="799" spans="1:7" ht="12.75" x14ac:dyDescent="0.2">
      <c r="A799" s="2" t="s">
        <v>48</v>
      </c>
      <c r="B799" s="4" t="s">
        <v>49</v>
      </c>
      <c r="C799" s="3" t="s">
        <v>347</v>
      </c>
      <c r="D799" s="3" t="s">
        <v>138</v>
      </c>
      <c r="E799" s="3">
        <v>0</v>
      </c>
      <c r="F799">
        <f>SUM(E786:E799)</f>
        <v>124</v>
      </c>
      <c r="G799" s="57"/>
    </row>
    <row r="800" spans="1:7" ht="12.75" x14ac:dyDescent="0.2">
      <c r="A800" s="2" t="s">
        <v>48</v>
      </c>
      <c r="B800" s="4" t="s">
        <v>49</v>
      </c>
      <c r="C800" s="3" t="s">
        <v>273</v>
      </c>
      <c r="D800" s="3" t="s">
        <v>274</v>
      </c>
      <c r="E800" s="3">
        <v>2</v>
      </c>
      <c r="G800" s="57"/>
    </row>
    <row r="801" spans="1:7" ht="12.75" x14ac:dyDescent="0.2">
      <c r="A801" s="2" t="s">
        <v>48</v>
      </c>
      <c r="B801" s="4" t="s">
        <v>49</v>
      </c>
      <c r="C801" s="3" t="s">
        <v>273</v>
      </c>
      <c r="D801" s="3" t="s">
        <v>283</v>
      </c>
      <c r="E801" s="3">
        <v>64</v>
      </c>
      <c r="G801" s="57"/>
    </row>
    <row r="802" spans="1:7" ht="12.75" x14ac:dyDescent="0.2">
      <c r="A802" s="2" t="s">
        <v>48</v>
      </c>
      <c r="B802" s="4" t="s">
        <v>49</v>
      </c>
      <c r="C802" s="3" t="s">
        <v>273</v>
      </c>
      <c r="D802" s="3" t="s">
        <v>315</v>
      </c>
      <c r="E802" s="3">
        <v>1</v>
      </c>
      <c r="G802" s="57"/>
    </row>
    <row r="803" spans="1:7" ht="12.75" x14ac:dyDescent="0.2">
      <c r="A803" s="2" t="s">
        <v>48</v>
      </c>
      <c r="B803" s="4" t="s">
        <v>49</v>
      </c>
      <c r="C803" s="3" t="s">
        <v>273</v>
      </c>
      <c r="D803" s="3" t="s">
        <v>128</v>
      </c>
      <c r="E803" s="3">
        <v>38</v>
      </c>
      <c r="G803" s="57"/>
    </row>
    <row r="804" spans="1:7" ht="12.75" x14ac:dyDescent="0.2">
      <c r="A804" s="2" t="s">
        <v>48</v>
      </c>
      <c r="B804" s="4" t="s">
        <v>49</v>
      </c>
      <c r="C804" s="3" t="s">
        <v>273</v>
      </c>
      <c r="D804" s="3" t="s">
        <v>353</v>
      </c>
      <c r="E804" s="3">
        <v>0</v>
      </c>
      <c r="G804" s="57"/>
    </row>
    <row r="805" spans="1:7" ht="12.75" x14ac:dyDescent="0.2">
      <c r="A805" s="2" t="s">
        <v>48</v>
      </c>
      <c r="B805" s="4" t="s">
        <v>49</v>
      </c>
      <c r="C805" s="3" t="s">
        <v>273</v>
      </c>
      <c r="D805" s="3" t="s">
        <v>371</v>
      </c>
      <c r="E805" s="3">
        <v>12</v>
      </c>
      <c r="G805" s="57"/>
    </row>
    <row r="806" spans="1:7" ht="12.75" x14ac:dyDescent="0.2">
      <c r="A806" s="2" t="s">
        <v>48</v>
      </c>
      <c r="B806" s="4" t="s">
        <v>49</v>
      </c>
      <c r="C806" s="3" t="s">
        <v>273</v>
      </c>
      <c r="D806" s="3" t="s">
        <v>14</v>
      </c>
      <c r="E806" s="3">
        <v>7</v>
      </c>
      <c r="G806" s="57"/>
    </row>
    <row r="807" spans="1:7" ht="12.75" x14ac:dyDescent="0.2">
      <c r="A807" s="2" t="s">
        <v>48</v>
      </c>
      <c r="B807" s="4" t="s">
        <v>49</v>
      </c>
      <c r="C807" s="3" t="s">
        <v>273</v>
      </c>
      <c r="D807" s="3" t="s">
        <v>138</v>
      </c>
      <c r="E807" s="3">
        <v>0</v>
      </c>
      <c r="F807">
        <f>SUM(E800:E807)</f>
        <v>124</v>
      </c>
      <c r="G807" s="57"/>
    </row>
    <row r="808" spans="1:7" ht="12.75" x14ac:dyDescent="0.2">
      <c r="A808" s="2" t="s">
        <v>48</v>
      </c>
      <c r="B808" s="4" t="s">
        <v>49</v>
      </c>
      <c r="C808" s="3" t="s">
        <v>125</v>
      </c>
      <c r="D808" s="3" t="s">
        <v>274</v>
      </c>
      <c r="E808" s="3">
        <v>6</v>
      </c>
      <c r="G808" s="57"/>
    </row>
    <row r="809" spans="1:7" ht="12.75" x14ac:dyDescent="0.2">
      <c r="A809" s="2" t="s">
        <v>48</v>
      </c>
      <c r="B809" s="4" t="s">
        <v>49</v>
      </c>
      <c r="C809" s="3" t="s">
        <v>125</v>
      </c>
      <c r="D809" s="3" t="s">
        <v>283</v>
      </c>
      <c r="E809" s="3">
        <v>64</v>
      </c>
      <c r="G809" s="57"/>
    </row>
    <row r="810" spans="1:7" ht="12.75" x14ac:dyDescent="0.2">
      <c r="A810" s="2" t="s">
        <v>48</v>
      </c>
      <c r="B810" s="4" t="s">
        <v>49</v>
      </c>
      <c r="C810" s="3" t="s">
        <v>125</v>
      </c>
      <c r="D810" s="3" t="s">
        <v>315</v>
      </c>
      <c r="E810" s="3">
        <v>1</v>
      </c>
      <c r="G810" s="57"/>
    </row>
    <row r="811" spans="1:7" ht="12.75" x14ac:dyDescent="0.2">
      <c r="A811" s="2" t="s">
        <v>48</v>
      </c>
      <c r="B811" s="4" t="s">
        <v>49</v>
      </c>
      <c r="C811" s="3" t="s">
        <v>125</v>
      </c>
      <c r="D811" s="3" t="s">
        <v>128</v>
      </c>
      <c r="E811" s="3">
        <v>33</v>
      </c>
      <c r="G811" s="57"/>
    </row>
    <row r="812" spans="1:7" ht="12.75" x14ac:dyDescent="0.2">
      <c r="A812" s="2" t="s">
        <v>48</v>
      </c>
      <c r="B812" s="4" t="s">
        <v>49</v>
      </c>
      <c r="C812" s="3" t="s">
        <v>125</v>
      </c>
      <c r="D812" s="3" t="s">
        <v>353</v>
      </c>
      <c r="E812" s="3">
        <v>0</v>
      </c>
      <c r="G812" s="57"/>
    </row>
    <row r="813" spans="1:7" ht="12.75" x14ac:dyDescent="0.2">
      <c r="A813" s="2" t="s">
        <v>48</v>
      </c>
      <c r="B813" s="4" t="s">
        <v>49</v>
      </c>
      <c r="C813" s="3" t="s">
        <v>125</v>
      </c>
      <c r="D813" s="3" t="s">
        <v>371</v>
      </c>
      <c r="E813" s="3">
        <v>12</v>
      </c>
      <c r="G813" s="57"/>
    </row>
    <row r="814" spans="1:7" ht="12.75" x14ac:dyDescent="0.2">
      <c r="A814" s="2" t="s">
        <v>48</v>
      </c>
      <c r="B814" s="4" t="s">
        <v>49</v>
      </c>
      <c r="C814" s="3" t="s">
        <v>125</v>
      </c>
      <c r="D814" s="3" t="s">
        <v>14</v>
      </c>
      <c r="E814" s="3">
        <v>8</v>
      </c>
      <c r="G814" s="57"/>
    </row>
    <row r="815" spans="1:7" ht="12.75" x14ac:dyDescent="0.2">
      <c r="A815" s="2" t="s">
        <v>48</v>
      </c>
      <c r="B815" s="4" t="s">
        <v>49</v>
      </c>
      <c r="C815" s="3" t="s">
        <v>125</v>
      </c>
      <c r="D815" s="3" t="s">
        <v>138</v>
      </c>
      <c r="E815" s="3">
        <v>0</v>
      </c>
      <c r="F815">
        <f>SUM(E808:E815)</f>
        <v>124</v>
      </c>
      <c r="G815" s="57"/>
    </row>
    <row r="816" spans="1:7" ht="12.75" x14ac:dyDescent="0.2">
      <c r="A816" s="3">
        <v>20</v>
      </c>
      <c r="B816" s="4" t="s">
        <v>50</v>
      </c>
      <c r="C816" s="3" t="s">
        <v>347</v>
      </c>
      <c r="D816" s="3" t="s">
        <v>366</v>
      </c>
      <c r="E816" s="3">
        <v>0</v>
      </c>
      <c r="G816" s="59">
        <v>323</v>
      </c>
    </row>
    <row r="817" spans="1:7" ht="12.75" x14ac:dyDescent="0.2">
      <c r="A817" s="3">
        <v>20</v>
      </c>
      <c r="B817" s="4" t="s">
        <v>50</v>
      </c>
      <c r="C817" s="3" t="s">
        <v>347</v>
      </c>
      <c r="D817" s="3" t="s">
        <v>274</v>
      </c>
      <c r="E817" s="3">
        <v>0</v>
      </c>
      <c r="G817" s="57"/>
    </row>
    <row r="818" spans="1:7" ht="12.75" x14ac:dyDescent="0.2">
      <c r="A818" s="3">
        <v>20</v>
      </c>
      <c r="B818" s="4" t="s">
        <v>50</v>
      </c>
      <c r="C818" s="3" t="s">
        <v>347</v>
      </c>
      <c r="D818" s="3" t="s">
        <v>367</v>
      </c>
      <c r="E818" s="3">
        <v>1</v>
      </c>
      <c r="G818" s="57"/>
    </row>
    <row r="819" spans="1:7" ht="12.75" x14ac:dyDescent="0.2">
      <c r="A819" s="3">
        <v>20</v>
      </c>
      <c r="B819" s="4" t="s">
        <v>50</v>
      </c>
      <c r="C819" s="3" t="s">
        <v>347</v>
      </c>
      <c r="D819" s="3" t="s">
        <v>368</v>
      </c>
      <c r="E819" s="3">
        <v>0</v>
      </c>
      <c r="G819" s="57"/>
    </row>
    <row r="820" spans="1:7" ht="12.75" x14ac:dyDescent="0.2">
      <c r="A820" s="3">
        <v>20</v>
      </c>
      <c r="B820" s="4" t="s">
        <v>50</v>
      </c>
      <c r="C820" s="3" t="s">
        <v>347</v>
      </c>
      <c r="D820" s="3" t="s">
        <v>283</v>
      </c>
      <c r="E820" s="3">
        <v>89</v>
      </c>
      <c r="G820" s="57"/>
    </row>
    <row r="821" spans="1:7" ht="12.75" x14ac:dyDescent="0.2">
      <c r="A821" s="3">
        <v>20</v>
      </c>
      <c r="B821" s="4" t="s">
        <v>50</v>
      </c>
      <c r="C821" s="3" t="s">
        <v>347</v>
      </c>
      <c r="D821" s="3" t="s">
        <v>315</v>
      </c>
      <c r="E821" s="3">
        <v>8</v>
      </c>
      <c r="G821" s="57"/>
    </row>
    <row r="822" spans="1:7" ht="12.75" x14ac:dyDescent="0.2">
      <c r="A822" s="3">
        <v>20</v>
      </c>
      <c r="B822" s="4" t="s">
        <v>50</v>
      </c>
      <c r="C822" s="3" t="s">
        <v>347</v>
      </c>
      <c r="D822" s="3" t="s">
        <v>316</v>
      </c>
      <c r="E822" s="3">
        <v>14</v>
      </c>
      <c r="G822" s="57"/>
    </row>
    <row r="823" spans="1:7" ht="12.75" x14ac:dyDescent="0.2">
      <c r="A823" s="3">
        <v>20</v>
      </c>
      <c r="B823" s="4" t="s">
        <v>50</v>
      </c>
      <c r="C823" s="3" t="s">
        <v>347</v>
      </c>
      <c r="D823" s="3" t="s">
        <v>369</v>
      </c>
      <c r="E823" s="3">
        <v>12</v>
      </c>
      <c r="G823" s="57"/>
    </row>
    <row r="824" spans="1:7" ht="12.75" x14ac:dyDescent="0.2">
      <c r="A824" s="3">
        <v>20</v>
      </c>
      <c r="B824" s="4" t="s">
        <v>50</v>
      </c>
      <c r="C824" s="3" t="s">
        <v>347</v>
      </c>
      <c r="D824" s="3" t="s">
        <v>128</v>
      </c>
      <c r="E824" s="3">
        <v>108</v>
      </c>
      <c r="G824" s="57"/>
    </row>
    <row r="825" spans="1:7" ht="12.75" x14ac:dyDescent="0.2">
      <c r="A825" s="3">
        <v>20</v>
      </c>
      <c r="B825" s="4" t="s">
        <v>50</v>
      </c>
      <c r="C825" s="3" t="s">
        <v>347</v>
      </c>
      <c r="D825" s="3" t="s">
        <v>370</v>
      </c>
      <c r="E825" s="3">
        <v>0</v>
      </c>
      <c r="G825" s="57"/>
    </row>
    <row r="826" spans="1:7" ht="12.75" x14ac:dyDescent="0.2">
      <c r="A826" s="3">
        <v>20</v>
      </c>
      <c r="B826" s="4" t="s">
        <v>50</v>
      </c>
      <c r="C826" s="3" t="s">
        <v>347</v>
      </c>
      <c r="D826" s="3" t="s">
        <v>353</v>
      </c>
      <c r="E826" s="3">
        <v>4</v>
      </c>
      <c r="G826" s="57"/>
    </row>
    <row r="827" spans="1:7" ht="12.75" x14ac:dyDescent="0.2">
      <c r="A827" s="3">
        <v>20</v>
      </c>
      <c r="B827" s="4" t="s">
        <v>50</v>
      </c>
      <c r="C827" s="3" t="s">
        <v>347</v>
      </c>
      <c r="D827" s="3" t="s">
        <v>371</v>
      </c>
      <c r="E827" s="3">
        <v>31</v>
      </c>
      <c r="G827" s="57"/>
    </row>
    <row r="828" spans="1:7" ht="12.75" x14ac:dyDescent="0.2">
      <c r="A828" s="3">
        <v>20</v>
      </c>
      <c r="B828" s="4" t="s">
        <v>50</v>
      </c>
      <c r="C828" s="3" t="s">
        <v>347</v>
      </c>
      <c r="D828" s="3" t="s">
        <v>14</v>
      </c>
      <c r="E828" s="3">
        <v>0</v>
      </c>
      <c r="G828" s="57"/>
    </row>
    <row r="829" spans="1:7" ht="12.75" x14ac:dyDescent="0.2">
      <c r="A829" s="3">
        <v>20</v>
      </c>
      <c r="B829" s="4" t="s">
        <v>50</v>
      </c>
      <c r="C829" s="3" t="s">
        <v>347</v>
      </c>
      <c r="D829" s="3" t="s">
        <v>138</v>
      </c>
      <c r="E829" s="3">
        <v>0</v>
      </c>
      <c r="F829">
        <f>SUM(E816:E829)</f>
        <v>267</v>
      </c>
      <c r="G829" s="57"/>
    </row>
    <row r="830" spans="1:7" ht="12.75" x14ac:dyDescent="0.2">
      <c r="A830" s="3">
        <v>20</v>
      </c>
      <c r="B830" s="4" t="s">
        <v>50</v>
      </c>
      <c r="C830" s="3" t="s">
        <v>273</v>
      </c>
      <c r="D830" s="3" t="s">
        <v>274</v>
      </c>
      <c r="E830" s="3">
        <v>0</v>
      </c>
      <c r="G830" s="57"/>
    </row>
    <row r="831" spans="1:7" ht="12.75" x14ac:dyDescent="0.2">
      <c r="A831" s="3">
        <v>20</v>
      </c>
      <c r="B831" s="4" t="s">
        <v>50</v>
      </c>
      <c r="C831" s="3" t="s">
        <v>273</v>
      </c>
      <c r="D831" s="3" t="s">
        <v>283</v>
      </c>
      <c r="E831" s="3">
        <v>84</v>
      </c>
      <c r="G831" s="57"/>
    </row>
    <row r="832" spans="1:7" ht="12.75" x14ac:dyDescent="0.2">
      <c r="A832" s="3">
        <v>20</v>
      </c>
      <c r="B832" s="4" t="s">
        <v>50</v>
      </c>
      <c r="C832" s="3" t="s">
        <v>273</v>
      </c>
      <c r="D832" s="3" t="s">
        <v>315</v>
      </c>
      <c r="E832" s="3">
        <v>6</v>
      </c>
      <c r="G832" s="57"/>
    </row>
    <row r="833" spans="1:7" ht="12.75" x14ac:dyDescent="0.2">
      <c r="A833" s="3">
        <v>20</v>
      </c>
      <c r="B833" s="4" t="s">
        <v>50</v>
      </c>
      <c r="C833" s="3" t="s">
        <v>273</v>
      </c>
      <c r="D833" s="3" t="s">
        <v>128</v>
      </c>
      <c r="E833" s="3">
        <v>120</v>
      </c>
      <c r="G833" s="57"/>
    </row>
    <row r="834" spans="1:7" ht="12.75" x14ac:dyDescent="0.2">
      <c r="A834" s="3">
        <v>20</v>
      </c>
      <c r="B834" s="4" t="s">
        <v>50</v>
      </c>
      <c r="C834" s="3" t="s">
        <v>273</v>
      </c>
      <c r="D834" s="3" t="s">
        <v>353</v>
      </c>
      <c r="E834" s="3">
        <v>0</v>
      </c>
      <c r="G834" s="57"/>
    </row>
    <row r="835" spans="1:7" ht="12.75" x14ac:dyDescent="0.2">
      <c r="A835" s="3">
        <v>20</v>
      </c>
      <c r="B835" s="4" t="s">
        <v>50</v>
      </c>
      <c r="C835" s="3" t="s">
        <v>273</v>
      </c>
      <c r="D835" s="3" t="s">
        <v>371</v>
      </c>
      <c r="E835" s="3">
        <v>21</v>
      </c>
      <c r="G835" s="57"/>
    </row>
    <row r="836" spans="1:7" ht="12.75" x14ac:dyDescent="0.2">
      <c r="A836" s="3">
        <v>20</v>
      </c>
      <c r="B836" s="4" t="s">
        <v>50</v>
      </c>
      <c r="C836" s="3" t="s">
        <v>273</v>
      </c>
      <c r="D836" s="3" t="s">
        <v>14</v>
      </c>
      <c r="E836" s="3">
        <v>36</v>
      </c>
      <c r="G836" s="57"/>
    </row>
    <row r="837" spans="1:7" ht="12.75" x14ac:dyDescent="0.2">
      <c r="A837" s="3">
        <v>20</v>
      </c>
      <c r="B837" s="4" t="s">
        <v>50</v>
      </c>
      <c r="C837" s="3" t="s">
        <v>273</v>
      </c>
      <c r="D837" s="3" t="s">
        <v>138</v>
      </c>
      <c r="E837" s="3">
        <v>0</v>
      </c>
      <c r="F837">
        <f>SUM(E830:E837)</f>
        <v>267</v>
      </c>
      <c r="G837" s="57"/>
    </row>
    <row r="838" spans="1:7" ht="12.75" x14ac:dyDescent="0.2">
      <c r="A838" s="3">
        <v>20</v>
      </c>
      <c r="B838" s="4" t="s">
        <v>50</v>
      </c>
      <c r="C838" s="3" t="s">
        <v>125</v>
      </c>
      <c r="D838" s="3" t="s">
        <v>274</v>
      </c>
      <c r="E838" s="3">
        <v>0</v>
      </c>
      <c r="G838" s="57"/>
    </row>
    <row r="839" spans="1:7" ht="12.75" x14ac:dyDescent="0.2">
      <c r="A839" s="3">
        <v>20</v>
      </c>
      <c r="B839" s="4" t="s">
        <v>50</v>
      </c>
      <c r="C839" s="3" t="s">
        <v>125</v>
      </c>
      <c r="D839" s="3" t="s">
        <v>283</v>
      </c>
      <c r="E839" s="3">
        <v>84</v>
      </c>
      <c r="G839" s="57"/>
    </row>
    <row r="840" spans="1:7" ht="12.75" x14ac:dyDescent="0.2">
      <c r="A840" s="3">
        <v>20</v>
      </c>
      <c r="B840" s="4" t="s">
        <v>50</v>
      </c>
      <c r="C840" s="3" t="s">
        <v>125</v>
      </c>
      <c r="D840" s="3" t="s">
        <v>315</v>
      </c>
      <c r="E840" s="3">
        <v>6</v>
      </c>
      <c r="G840" s="57"/>
    </row>
    <row r="841" spans="1:7" ht="12.75" x14ac:dyDescent="0.2">
      <c r="A841" s="3">
        <v>20</v>
      </c>
      <c r="B841" s="4" t="s">
        <v>50</v>
      </c>
      <c r="C841" s="3" t="s">
        <v>125</v>
      </c>
      <c r="D841" s="3" t="s">
        <v>128</v>
      </c>
      <c r="E841" s="3">
        <v>119</v>
      </c>
      <c r="G841" s="57"/>
    </row>
    <row r="842" spans="1:7" ht="12.75" x14ac:dyDescent="0.2">
      <c r="A842" s="3">
        <v>20</v>
      </c>
      <c r="B842" s="4" t="s">
        <v>50</v>
      </c>
      <c r="C842" s="3" t="s">
        <v>125</v>
      </c>
      <c r="D842" s="3" t="s">
        <v>353</v>
      </c>
      <c r="E842" s="3">
        <v>0</v>
      </c>
      <c r="G842" s="57"/>
    </row>
    <row r="843" spans="1:7" ht="12.75" x14ac:dyDescent="0.2">
      <c r="A843" s="3">
        <v>20</v>
      </c>
      <c r="B843" s="4" t="s">
        <v>50</v>
      </c>
      <c r="C843" s="3" t="s">
        <v>125</v>
      </c>
      <c r="D843" s="3" t="s">
        <v>371</v>
      </c>
      <c r="E843" s="3">
        <v>21</v>
      </c>
      <c r="G843" s="57"/>
    </row>
    <row r="844" spans="1:7" ht="12.75" x14ac:dyDescent="0.2">
      <c r="A844" s="3">
        <v>20</v>
      </c>
      <c r="B844" s="4" t="s">
        <v>50</v>
      </c>
      <c r="C844" s="3" t="s">
        <v>125</v>
      </c>
      <c r="D844" s="3" t="s">
        <v>14</v>
      </c>
      <c r="E844" s="3">
        <v>37</v>
      </c>
      <c r="G844" s="57"/>
    </row>
    <row r="845" spans="1:7" ht="12.75" x14ac:dyDescent="0.2">
      <c r="A845" s="3">
        <v>20</v>
      </c>
      <c r="B845" s="4" t="s">
        <v>50</v>
      </c>
      <c r="C845" s="3" t="s">
        <v>125</v>
      </c>
      <c r="D845" s="3" t="s">
        <v>138</v>
      </c>
      <c r="E845" s="3">
        <v>0</v>
      </c>
      <c r="F845">
        <f>SUM(E838:E845)</f>
        <v>267</v>
      </c>
      <c r="G845" s="57"/>
    </row>
    <row r="846" spans="1:7" ht="12.75" x14ac:dyDescent="0.2">
      <c r="A846" s="3">
        <v>21</v>
      </c>
      <c r="B846" s="4" t="s">
        <v>51</v>
      </c>
      <c r="C846" s="3" t="s">
        <v>347</v>
      </c>
      <c r="D846" s="3" t="s">
        <v>366</v>
      </c>
      <c r="E846" s="3">
        <v>2</v>
      </c>
      <c r="G846" s="59">
        <v>701</v>
      </c>
    </row>
    <row r="847" spans="1:7" ht="12.75" x14ac:dyDescent="0.2">
      <c r="A847" s="3">
        <v>21</v>
      </c>
      <c r="B847" s="4" t="s">
        <v>51</v>
      </c>
      <c r="C847" s="3" t="s">
        <v>347</v>
      </c>
      <c r="D847" s="3" t="s">
        <v>274</v>
      </c>
      <c r="E847" s="3">
        <v>0</v>
      </c>
      <c r="G847" s="57"/>
    </row>
    <row r="848" spans="1:7" ht="12.75" x14ac:dyDescent="0.2">
      <c r="A848" s="3">
        <v>21</v>
      </c>
      <c r="B848" s="4" t="s">
        <v>51</v>
      </c>
      <c r="C848" s="3" t="s">
        <v>347</v>
      </c>
      <c r="D848" s="3" t="s">
        <v>367</v>
      </c>
      <c r="E848" s="3">
        <v>1</v>
      </c>
      <c r="G848" s="57"/>
    </row>
    <row r="849" spans="1:7" ht="12.75" x14ac:dyDescent="0.2">
      <c r="A849" s="3">
        <v>21</v>
      </c>
      <c r="B849" s="4" t="s">
        <v>51</v>
      </c>
      <c r="C849" s="3" t="s">
        <v>347</v>
      </c>
      <c r="D849" s="3" t="s">
        <v>368</v>
      </c>
      <c r="E849" s="3">
        <v>5</v>
      </c>
      <c r="G849" s="57"/>
    </row>
    <row r="850" spans="1:7" ht="12.75" x14ac:dyDescent="0.2">
      <c r="A850" s="3">
        <v>21</v>
      </c>
      <c r="B850" s="4" t="s">
        <v>51</v>
      </c>
      <c r="C850" s="3" t="s">
        <v>347</v>
      </c>
      <c r="D850" s="3" t="s">
        <v>283</v>
      </c>
      <c r="E850" s="3">
        <v>191</v>
      </c>
      <c r="G850" s="57"/>
    </row>
    <row r="851" spans="1:7" ht="12.75" x14ac:dyDescent="0.2">
      <c r="A851" s="3">
        <v>21</v>
      </c>
      <c r="B851" s="4" t="s">
        <v>51</v>
      </c>
      <c r="C851" s="3" t="s">
        <v>347</v>
      </c>
      <c r="D851" s="3" t="s">
        <v>315</v>
      </c>
      <c r="E851" s="3">
        <v>7</v>
      </c>
      <c r="G851" s="57"/>
    </row>
    <row r="852" spans="1:7" ht="12.75" x14ac:dyDescent="0.2">
      <c r="A852" s="3">
        <v>21</v>
      </c>
      <c r="B852" s="4" t="s">
        <v>51</v>
      </c>
      <c r="C852" s="3" t="s">
        <v>347</v>
      </c>
      <c r="D852" s="3" t="s">
        <v>316</v>
      </c>
      <c r="E852" s="3">
        <v>18</v>
      </c>
      <c r="G852" s="57"/>
    </row>
    <row r="853" spans="1:7" ht="12.75" x14ac:dyDescent="0.2">
      <c r="A853" s="3">
        <v>21</v>
      </c>
      <c r="B853" s="4" t="s">
        <v>51</v>
      </c>
      <c r="C853" s="3" t="s">
        <v>347</v>
      </c>
      <c r="D853" s="3" t="s">
        <v>369</v>
      </c>
      <c r="E853" s="3">
        <v>2</v>
      </c>
      <c r="G853" s="57"/>
    </row>
    <row r="854" spans="1:7" ht="12.75" x14ac:dyDescent="0.2">
      <c r="A854" s="3">
        <v>21</v>
      </c>
      <c r="B854" s="4" t="s">
        <v>51</v>
      </c>
      <c r="C854" s="3" t="s">
        <v>347</v>
      </c>
      <c r="D854" s="3" t="s">
        <v>128</v>
      </c>
      <c r="E854" s="3">
        <v>200</v>
      </c>
      <c r="G854" s="57"/>
    </row>
    <row r="855" spans="1:7" ht="12.75" x14ac:dyDescent="0.2">
      <c r="A855" s="3">
        <v>21</v>
      </c>
      <c r="B855" s="4" t="s">
        <v>51</v>
      </c>
      <c r="C855" s="3" t="s">
        <v>347</v>
      </c>
      <c r="D855" s="3" t="s">
        <v>370</v>
      </c>
      <c r="E855" s="3">
        <v>4</v>
      </c>
      <c r="G855" s="57"/>
    </row>
    <row r="856" spans="1:7" ht="12.75" x14ac:dyDescent="0.2">
      <c r="A856" s="3">
        <v>21</v>
      </c>
      <c r="B856" s="4" t="s">
        <v>51</v>
      </c>
      <c r="C856" s="3" t="s">
        <v>347</v>
      </c>
      <c r="D856" s="3" t="s">
        <v>353</v>
      </c>
      <c r="E856" s="3">
        <v>2</v>
      </c>
      <c r="G856" s="57"/>
    </row>
    <row r="857" spans="1:7" ht="12.75" x14ac:dyDescent="0.2">
      <c r="A857" s="3">
        <v>21</v>
      </c>
      <c r="B857" s="4" t="s">
        <v>51</v>
      </c>
      <c r="C857" s="3" t="s">
        <v>347</v>
      </c>
      <c r="D857" s="3" t="s">
        <v>371</v>
      </c>
      <c r="E857" s="3">
        <v>58</v>
      </c>
      <c r="G857" s="57"/>
    </row>
    <row r="858" spans="1:7" ht="12.75" x14ac:dyDescent="0.2">
      <c r="A858" s="3">
        <v>21</v>
      </c>
      <c r="B858" s="4" t="s">
        <v>51</v>
      </c>
      <c r="C858" s="3" t="s">
        <v>347</v>
      </c>
      <c r="D858" s="3" t="s">
        <v>14</v>
      </c>
      <c r="E858" s="3">
        <v>19</v>
      </c>
      <c r="G858" s="57"/>
    </row>
    <row r="859" spans="1:7" ht="12.75" x14ac:dyDescent="0.2">
      <c r="A859" s="3">
        <v>21</v>
      </c>
      <c r="B859" s="4" t="s">
        <v>51</v>
      </c>
      <c r="C859" s="3" t="s">
        <v>347</v>
      </c>
      <c r="D859" s="3" t="s">
        <v>138</v>
      </c>
      <c r="E859" s="3">
        <v>5</v>
      </c>
      <c r="F859">
        <f>SUM(E846:E859)</f>
        <v>514</v>
      </c>
      <c r="G859" s="57"/>
    </row>
    <row r="860" spans="1:7" ht="12.75" x14ac:dyDescent="0.2">
      <c r="A860" s="3">
        <v>21</v>
      </c>
      <c r="B860" s="4" t="s">
        <v>51</v>
      </c>
      <c r="C860" s="3" t="s">
        <v>273</v>
      </c>
      <c r="D860" s="3" t="s">
        <v>274</v>
      </c>
      <c r="E860" s="3">
        <v>3</v>
      </c>
      <c r="G860" s="57"/>
    </row>
    <row r="861" spans="1:7" ht="12.75" x14ac:dyDescent="0.2">
      <c r="A861" s="3">
        <v>21</v>
      </c>
      <c r="B861" s="4" t="s">
        <v>51</v>
      </c>
      <c r="C861" s="3" t="s">
        <v>273</v>
      </c>
      <c r="D861" s="3" t="s">
        <v>283</v>
      </c>
      <c r="E861" s="3">
        <v>236</v>
      </c>
      <c r="G861" s="57"/>
    </row>
    <row r="862" spans="1:7" ht="12.75" x14ac:dyDescent="0.2">
      <c r="A862" s="3">
        <v>21</v>
      </c>
      <c r="B862" s="4" t="s">
        <v>51</v>
      </c>
      <c r="C862" s="3" t="s">
        <v>273</v>
      </c>
      <c r="D862" s="3" t="s">
        <v>315</v>
      </c>
      <c r="E862" s="3">
        <v>2</v>
      </c>
      <c r="G862" s="57"/>
    </row>
    <row r="863" spans="1:7" ht="12.75" x14ac:dyDescent="0.2">
      <c r="A863" s="3">
        <v>21</v>
      </c>
      <c r="B863" s="4" t="s">
        <v>51</v>
      </c>
      <c r="C863" s="3" t="s">
        <v>273</v>
      </c>
      <c r="D863" s="3" t="s">
        <v>128</v>
      </c>
      <c r="E863" s="3">
        <v>180</v>
      </c>
      <c r="G863" s="57"/>
    </row>
    <row r="864" spans="1:7" ht="12.75" x14ac:dyDescent="0.2">
      <c r="A864" s="3">
        <v>21</v>
      </c>
      <c r="B864" s="4" t="s">
        <v>51</v>
      </c>
      <c r="C864" s="3" t="s">
        <v>273</v>
      </c>
      <c r="D864" s="3" t="s">
        <v>353</v>
      </c>
      <c r="E864" s="3">
        <v>2</v>
      </c>
      <c r="G864" s="57"/>
    </row>
    <row r="865" spans="1:7" ht="12.75" x14ac:dyDescent="0.2">
      <c r="A865" s="3">
        <v>21</v>
      </c>
      <c r="B865" s="4" t="s">
        <v>51</v>
      </c>
      <c r="C865" s="3" t="s">
        <v>273</v>
      </c>
      <c r="D865" s="3" t="s">
        <v>371</v>
      </c>
      <c r="E865" s="3">
        <v>35</v>
      </c>
      <c r="G865" s="57"/>
    </row>
    <row r="866" spans="1:7" ht="12.75" x14ac:dyDescent="0.2">
      <c r="A866" s="3">
        <v>21</v>
      </c>
      <c r="B866" s="4" t="s">
        <v>51</v>
      </c>
      <c r="C866" s="3" t="s">
        <v>273</v>
      </c>
      <c r="D866" s="3" t="s">
        <v>14</v>
      </c>
      <c r="E866" s="3">
        <v>54</v>
      </c>
      <c r="G866" s="57"/>
    </row>
    <row r="867" spans="1:7" ht="12.75" x14ac:dyDescent="0.2">
      <c r="A867" s="3">
        <v>21</v>
      </c>
      <c r="B867" s="4" t="s">
        <v>51</v>
      </c>
      <c r="C867" s="3" t="s">
        <v>273</v>
      </c>
      <c r="D867" s="3" t="s">
        <v>138</v>
      </c>
      <c r="E867" s="3">
        <v>2</v>
      </c>
      <c r="F867">
        <f>SUM(E860:E867)</f>
        <v>514</v>
      </c>
      <c r="G867" s="57"/>
    </row>
    <row r="868" spans="1:7" ht="12.75" x14ac:dyDescent="0.2">
      <c r="A868" s="3">
        <v>21</v>
      </c>
      <c r="B868" s="4" t="s">
        <v>51</v>
      </c>
      <c r="C868" s="3" t="s">
        <v>125</v>
      </c>
      <c r="D868" s="3" t="s">
        <v>274</v>
      </c>
      <c r="E868" s="3">
        <v>3</v>
      </c>
      <c r="G868" s="57"/>
    </row>
    <row r="869" spans="1:7" ht="12.75" x14ac:dyDescent="0.2">
      <c r="A869" s="3">
        <v>21</v>
      </c>
      <c r="B869" s="4" t="s">
        <v>51</v>
      </c>
      <c r="C869" s="3" t="s">
        <v>125</v>
      </c>
      <c r="D869" s="3" t="s">
        <v>283</v>
      </c>
      <c r="E869" s="3">
        <v>234</v>
      </c>
      <c r="G869" s="57"/>
    </row>
    <row r="870" spans="1:7" ht="12.75" x14ac:dyDescent="0.2">
      <c r="A870" s="3">
        <v>21</v>
      </c>
      <c r="B870" s="4" t="s">
        <v>51</v>
      </c>
      <c r="C870" s="3" t="s">
        <v>125</v>
      </c>
      <c r="D870" s="3" t="s">
        <v>315</v>
      </c>
      <c r="E870" s="3">
        <v>39</v>
      </c>
      <c r="G870" s="57"/>
    </row>
    <row r="871" spans="1:7" ht="12.75" x14ac:dyDescent="0.2">
      <c r="A871" s="3">
        <v>21</v>
      </c>
      <c r="B871" s="4" t="s">
        <v>51</v>
      </c>
      <c r="C871" s="3" t="s">
        <v>125</v>
      </c>
      <c r="D871" s="3" t="s">
        <v>128</v>
      </c>
      <c r="E871" s="3">
        <v>144</v>
      </c>
      <c r="G871" s="57"/>
    </row>
    <row r="872" spans="1:7" ht="12.75" x14ac:dyDescent="0.2">
      <c r="A872" s="3">
        <v>21</v>
      </c>
      <c r="B872" s="4" t="s">
        <v>51</v>
      </c>
      <c r="C872" s="3" t="s">
        <v>125</v>
      </c>
      <c r="D872" s="3" t="s">
        <v>353</v>
      </c>
      <c r="E872" s="3">
        <v>9</v>
      </c>
      <c r="G872" s="57"/>
    </row>
    <row r="873" spans="1:7" ht="12.75" x14ac:dyDescent="0.2">
      <c r="A873" s="3">
        <v>21</v>
      </c>
      <c r="B873" s="4" t="s">
        <v>51</v>
      </c>
      <c r="C873" s="3" t="s">
        <v>125</v>
      </c>
      <c r="D873" s="3" t="s">
        <v>371</v>
      </c>
      <c r="E873" s="3">
        <v>43</v>
      </c>
      <c r="G873" s="57"/>
    </row>
    <row r="874" spans="1:7" ht="12.75" x14ac:dyDescent="0.2">
      <c r="A874" s="3">
        <v>21</v>
      </c>
      <c r="B874" s="4" t="s">
        <v>51</v>
      </c>
      <c r="C874" s="3" t="s">
        <v>125</v>
      </c>
      <c r="D874" s="3" t="s">
        <v>14</v>
      </c>
      <c r="E874" s="3">
        <v>41</v>
      </c>
      <c r="G874" s="57"/>
    </row>
    <row r="875" spans="1:7" ht="12.75" x14ac:dyDescent="0.2">
      <c r="A875" s="3">
        <v>21</v>
      </c>
      <c r="B875" s="4" t="s">
        <v>51</v>
      </c>
      <c r="C875" s="3" t="s">
        <v>125</v>
      </c>
      <c r="D875" s="3" t="s">
        <v>138</v>
      </c>
      <c r="E875" s="3">
        <v>1</v>
      </c>
      <c r="F875">
        <f>SUM(E868:E875)</f>
        <v>514</v>
      </c>
      <c r="G875" s="57"/>
    </row>
    <row r="876" spans="1:7" ht="12.75" x14ac:dyDescent="0.2">
      <c r="A876" s="3">
        <v>23</v>
      </c>
      <c r="B876" s="4" t="s">
        <v>53</v>
      </c>
      <c r="C876" s="3" t="s">
        <v>347</v>
      </c>
      <c r="D876" s="3" t="s">
        <v>366</v>
      </c>
      <c r="E876" s="3">
        <v>2</v>
      </c>
      <c r="G876" s="59">
        <v>646</v>
      </c>
    </row>
    <row r="877" spans="1:7" ht="12.75" x14ac:dyDescent="0.2">
      <c r="A877" s="3">
        <v>23</v>
      </c>
      <c r="B877" s="4" t="s">
        <v>53</v>
      </c>
      <c r="C877" s="3" t="s">
        <v>347</v>
      </c>
      <c r="D877" s="3" t="s">
        <v>274</v>
      </c>
      <c r="E877" s="3">
        <v>0</v>
      </c>
      <c r="G877" s="57"/>
    </row>
    <row r="878" spans="1:7" ht="12.75" x14ac:dyDescent="0.2">
      <c r="A878" s="3">
        <v>23</v>
      </c>
      <c r="B878" s="4" t="s">
        <v>53</v>
      </c>
      <c r="C878" s="3" t="s">
        <v>347</v>
      </c>
      <c r="D878" s="3" t="s">
        <v>367</v>
      </c>
      <c r="E878" s="3">
        <v>0</v>
      </c>
      <c r="G878" s="57"/>
    </row>
    <row r="879" spans="1:7" ht="12.75" x14ac:dyDescent="0.2">
      <c r="A879" s="3">
        <v>23</v>
      </c>
      <c r="B879" s="4" t="s">
        <v>53</v>
      </c>
      <c r="C879" s="3" t="s">
        <v>347</v>
      </c>
      <c r="D879" s="3" t="s">
        <v>368</v>
      </c>
      <c r="E879" s="3">
        <v>0</v>
      </c>
      <c r="G879" s="57"/>
    </row>
    <row r="880" spans="1:7" ht="12.75" x14ac:dyDescent="0.2">
      <c r="A880" s="3">
        <v>23</v>
      </c>
      <c r="B880" s="4" t="s">
        <v>53</v>
      </c>
      <c r="C880" s="3" t="s">
        <v>347</v>
      </c>
      <c r="D880" s="3" t="s">
        <v>283</v>
      </c>
      <c r="E880" s="3">
        <v>242</v>
      </c>
      <c r="G880" s="57"/>
    </row>
    <row r="881" spans="1:7" ht="12.75" x14ac:dyDescent="0.2">
      <c r="A881" s="3">
        <v>23</v>
      </c>
      <c r="B881" s="4" t="s">
        <v>53</v>
      </c>
      <c r="C881" s="3" t="s">
        <v>347</v>
      </c>
      <c r="D881" s="3" t="s">
        <v>315</v>
      </c>
      <c r="E881" s="3">
        <v>52</v>
      </c>
      <c r="G881" s="57"/>
    </row>
    <row r="882" spans="1:7" ht="12.75" x14ac:dyDescent="0.2">
      <c r="A882" s="3">
        <v>23</v>
      </c>
      <c r="B882" s="4" t="s">
        <v>53</v>
      </c>
      <c r="C882" s="3" t="s">
        <v>347</v>
      </c>
      <c r="D882" s="3" t="s">
        <v>316</v>
      </c>
      <c r="E882" s="3">
        <v>17</v>
      </c>
      <c r="G882" s="57"/>
    </row>
    <row r="883" spans="1:7" ht="12.75" x14ac:dyDescent="0.2">
      <c r="A883" s="3">
        <v>23</v>
      </c>
      <c r="B883" s="4" t="s">
        <v>53</v>
      </c>
      <c r="C883" s="3" t="s">
        <v>347</v>
      </c>
      <c r="D883" s="3" t="s">
        <v>369</v>
      </c>
      <c r="E883" s="3">
        <v>0</v>
      </c>
      <c r="G883" s="57"/>
    </row>
    <row r="884" spans="1:7" ht="12.75" x14ac:dyDescent="0.2">
      <c r="A884" s="3">
        <v>23</v>
      </c>
      <c r="B884" s="4" t="s">
        <v>53</v>
      </c>
      <c r="C884" s="3" t="s">
        <v>347</v>
      </c>
      <c r="D884" s="3" t="s">
        <v>128</v>
      </c>
      <c r="E884" s="3">
        <v>151</v>
      </c>
      <c r="G884" s="57"/>
    </row>
    <row r="885" spans="1:7" ht="12.75" x14ac:dyDescent="0.2">
      <c r="A885" s="3">
        <v>23</v>
      </c>
      <c r="B885" s="4" t="s">
        <v>53</v>
      </c>
      <c r="C885" s="3" t="s">
        <v>347</v>
      </c>
      <c r="D885" s="3" t="s">
        <v>370</v>
      </c>
      <c r="E885" s="3">
        <v>2</v>
      </c>
      <c r="G885" s="57"/>
    </row>
    <row r="886" spans="1:7" ht="12.75" x14ac:dyDescent="0.2">
      <c r="A886" s="3">
        <v>23</v>
      </c>
      <c r="B886" s="4" t="s">
        <v>53</v>
      </c>
      <c r="C886" s="3" t="s">
        <v>347</v>
      </c>
      <c r="D886" s="3" t="s">
        <v>353</v>
      </c>
      <c r="E886" s="3">
        <v>2</v>
      </c>
      <c r="G886" s="57"/>
    </row>
    <row r="887" spans="1:7" ht="12.75" x14ac:dyDescent="0.2">
      <c r="A887" s="3">
        <v>23</v>
      </c>
      <c r="B887" s="4" t="s">
        <v>53</v>
      </c>
      <c r="C887" s="3" t="s">
        <v>347</v>
      </c>
      <c r="D887" s="3" t="s">
        <v>371</v>
      </c>
      <c r="E887" s="3">
        <v>61</v>
      </c>
      <c r="G887" s="57"/>
    </row>
    <row r="888" spans="1:7" ht="12.75" x14ac:dyDescent="0.2">
      <c r="A888" s="3">
        <v>23</v>
      </c>
      <c r="B888" s="4" t="s">
        <v>53</v>
      </c>
      <c r="C888" s="3" t="s">
        <v>347</v>
      </c>
      <c r="D888" s="3" t="s">
        <v>14</v>
      </c>
      <c r="E888" s="3">
        <v>17</v>
      </c>
      <c r="G888" s="57"/>
    </row>
    <row r="889" spans="1:7" ht="12.75" x14ac:dyDescent="0.2">
      <c r="A889" s="3">
        <v>23</v>
      </c>
      <c r="B889" s="4" t="s">
        <v>53</v>
      </c>
      <c r="C889" s="3" t="s">
        <v>347</v>
      </c>
      <c r="D889" s="3" t="s">
        <v>138</v>
      </c>
      <c r="E889" s="3">
        <v>2</v>
      </c>
      <c r="F889">
        <f>SUM(E876:E889)</f>
        <v>548</v>
      </c>
      <c r="G889" s="57"/>
    </row>
    <row r="890" spans="1:7" ht="12.75" x14ac:dyDescent="0.2">
      <c r="A890" s="3">
        <v>23</v>
      </c>
      <c r="B890" s="4" t="s">
        <v>53</v>
      </c>
      <c r="C890" s="3" t="s">
        <v>273</v>
      </c>
      <c r="D890" s="3" t="s">
        <v>274</v>
      </c>
      <c r="E890" s="3">
        <v>4</v>
      </c>
      <c r="G890" s="57"/>
    </row>
    <row r="891" spans="1:7" ht="12.75" x14ac:dyDescent="0.2">
      <c r="A891" s="3">
        <v>23</v>
      </c>
      <c r="B891" s="4" t="s">
        <v>53</v>
      </c>
      <c r="C891" s="3" t="s">
        <v>273</v>
      </c>
      <c r="D891" s="3" t="s">
        <v>283</v>
      </c>
      <c r="E891" s="3">
        <v>282</v>
      </c>
      <c r="G891" s="57"/>
    </row>
    <row r="892" spans="1:7" ht="12.75" x14ac:dyDescent="0.2">
      <c r="A892" s="3">
        <v>23</v>
      </c>
      <c r="B892" s="4" t="s">
        <v>53</v>
      </c>
      <c r="C892" s="3" t="s">
        <v>273</v>
      </c>
      <c r="D892" s="3" t="s">
        <v>315</v>
      </c>
      <c r="E892" s="3">
        <v>49</v>
      </c>
      <c r="G892" s="57"/>
    </row>
    <row r="893" spans="1:7" ht="12.75" x14ac:dyDescent="0.2">
      <c r="A893" s="3">
        <v>23</v>
      </c>
      <c r="B893" s="4" t="s">
        <v>53</v>
      </c>
      <c r="C893" s="3" t="s">
        <v>273</v>
      </c>
      <c r="D893" s="3" t="s">
        <v>128</v>
      </c>
      <c r="E893" s="3">
        <v>148</v>
      </c>
      <c r="G893" s="57"/>
    </row>
    <row r="894" spans="1:7" ht="12.75" x14ac:dyDescent="0.2">
      <c r="A894" s="3">
        <v>23</v>
      </c>
      <c r="B894" s="4" t="s">
        <v>53</v>
      </c>
      <c r="C894" s="3" t="s">
        <v>273</v>
      </c>
      <c r="D894" s="3" t="s">
        <v>353</v>
      </c>
      <c r="E894" s="3">
        <v>2</v>
      </c>
      <c r="G894" s="57"/>
    </row>
    <row r="895" spans="1:7" ht="12.75" x14ac:dyDescent="0.2">
      <c r="A895" s="3">
        <v>23</v>
      </c>
      <c r="B895" s="4" t="s">
        <v>53</v>
      </c>
      <c r="C895" s="3" t="s">
        <v>273</v>
      </c>
      <c r="D895" s="3" t="s">
        <v>371</v>
      </c>
      <c r="E895" s="3">
        <v>33</v>
      </c>
      <c r="G895" s="57"/>
    </row>
    <row r="896" spans="1:7" ht="12.75" x14ac:dyDescent="0.2">
      <c r="A896" s="3">
        <v>23</v>
      </c>
      <c r="B896" s="4" t="s">
        <v>53</v>
      </c>
      <c r="C896" s="3" t="s">
        <v>273</v>
      </c>
      <c r="D896" s="3" t="s">
        <v>14</v>
      </c>
      <c r="E896" s="3">
        <v>28</v>
      </c>
      <c r="G896" s="57"/>
    </row>
    <row r="897" spans="1:7" ht="12.75" x14ac:dyDescent="0.2">
      <c r="A897" s="3">
        <v>23</v>
      </c>
      <c r="B897" s="4" t="s">
        <v>53</v>
      </c>
      <c r="C897" s="3" t="s">
        <v>273</v>
      </c>
      <c r="D897" s="3" t="s">
        <v>138</v>
      </c>
      <c r="E897" s="3">
        <v>2</v>
      </c>
      <c r="F897">
        <f>SUM(E890:E897)</f>
        <v>548</v>
      </c>
      <c r="G897" s="57"/>
    </row>
    <row r="898" spans="1:7" ht="12.75" x14ac:dyDescent="0.2">
      <c r="A898" s="3">
        <v>23</v>
      </c>
      <c r="B898" s="4" t="s">
        <v>53</v>
      </c>
      <c r="C898" s="3" t="s">
        <v>125</v>
      </c>
      <c r="D898" s="3" t="s">
        <v>274</v>
      </c>
      <c r="E898" s="3">
        <v>4</v>
      </c>
      <c r="G898" s="57"/>
    </row>
    <row r="899" spans="1:7" ht="12.75" x14ac:dyDescent="0.2">
      <c r="A899" s="3">
        <v>23</v>
      </c>
      <c r="B899" s="4" t="s">
        <v>53</v>
      </c>
      <c r="C899" s="3" t="s">
        <v>125</v>
      </c>
      <c r="D899" s="3" t="s">
        <v>283</v>
      </c>
      <c r="E899" s="3">
        <v>281</v>
      </c>
      <c r="G899" s="57"/>
    </row>
    <row r="900" spans="1:7" ht="12.75" x14ac:dyDescent="0.2">
      <c r="A900" s="3">
        <v>23</v>
      </c>
      <c r="B900" s="4" t="s">
        <v>53</v>
      </c>
      <c r="C900" s="3" t="s">
        <v>125</v>
      </c>
      <c r="D900" s="3" t="s">
        <v>315</v>
      </c>
      <c r="E900" s="3">
        <v>49</v>
      </c>
      <c r="G900" s="57"/>
    </row>
    <row r="901" spans="1:7" ht="12.75" x14ac:dyDescent="0.2">
      <c r="A901" s="3">
        <v>23</v>
      </c>
      <c r="B901" s="4" t="s">
        <v>53</v>
      </c>
      <c r="C901" s="3" t="s">
        <v>125</v>
      </c>
      <c r="D901" s="3" t="s">
        <v>128</v>
      </c>
      <c r="E901" s="3">
        <v>148</v>
      </c>
      <c r="G901" s="57"/>
    </row>
    <row r="902" spans="1:7" ht="12.75" x14ac:dyDescent="0.2">
      <c r="A902" s="3">
        <v>23</v>
      </c>
      <c r="B902" s="4" t="s">
        <v>53</v>
      </c>
      <c r="C902" s="3" t="s">
        <v>125</v>
      </c>
      <c r="D902" s="3" t="s">
        <v>353</v>
      </c>
      <c r="E902" s="3">
        <v>2</v>
      </c>
      <c r="G902" s="57"/>
    </row>
    <row r="903" spans="1:7" ht="12.75" x14ac:dyDescent="0.2">
      <c r="A903" s="3">
        <v>23</v>
      </c>
      <c r="B903" s="4" t="s">
        <v>53</v>
      </c>
      <c r="C903" s="3" t="s">
        <v>125</v>
      </c>
      <c r="D903" s="3" t="s">
        <v>371</v>
      </c>
      <c r="E903" s="3">
        <v>33</v>
      </c>
      <c r="G903" s="57"/>
    </row>
    <row r="904" spans="1:7" ht="12.75" x14ac:dyDescent="0.2">
      <c r="A904" s="3">
        <v>23</v>
      </c>
      <c r="B904" s="4" t="s">
        <v>53</v>
      </c>
      <c r="C904" s="3" t="s">
        <v>125</v>
      </c>
      <c r="D904" s="3" t="s">
        <v>14</v>
      </c>
      <c r="E904" s="3">
        <v>29</v>
      </c>
      <c r="G904" s="57"/>
    </row>
    <row r="905" spans="1:7" ht="12.75" x14ac:dyDescent="0.2">
      <c r="A905" s="3">
        <v>23</v>
      </c>
      <c r="B905" s="4" t="s">
        <v>53</v>
      </c>
      <c r="C905" s="3" t="s">
        <v>125</v>
      </c>
      <c r="D905" s="3" t="s">
        <v>138</v>
      </c>
      <c r="E905" s="3">
        <v>2</v>
      </c>
      <c r="F905">
        <f>SUM(E898:E905)</f>
        <v>548</v>
      </c>
      <c r="G905" s="57"/>
    </row>
    <row r="906" spans="1:7" ht="12.75" x14ac:dyDescent="0.2">
      <c r="A906" s="3">
        <v>24</v>
      </c>
      <c r="B906" s="4" t="s">
        <v>54</v>
      </c>
      <c r="C906" s="3" t="s">
        <v>347</v>
      </c>
      <c r="D906" s="3" t="s">
        <v>366</v>
      </c>
      <c r="E906" s="3">
        <v>1</v>
      </c>
      <c r="G906" s="59">
        <v>429</v>
      </c>
    </row>
    <row r="907" spans="1:7" ht="12.75" x14ac:dyDescent="0.2">
      <c r="A907" s="3">
        <v>24</v>
      </c>
      <c r="B907" s="4" t="s">
        <v>54</v>
      </c>
      <c r="C907" s="3" t="s">
        <v>347</v>
      </c>
      <c r="D907" s="3" t="s">
        <v>274</v>
      </c>
      <c r="E907" s="3">
        <v>0</v>
      </c>
      <c r="G907" s="57"/>
    </row>
    <row r="908" spans="1:7" ht="12.75" x14ac:dyDescent="0.2">
      <c r="A908" s="3">
        <v>24</v>
      </c>
      <c r="B908" s="4" t="s">
        <v>54</v>
      </c>
      <c r="C908" s="3" t="s">
        <v>347</v>
      </c>
      <c r="D908" s="3" t="s">
        <v>367</v>
      </c>
      <c r="E908" s="3">
        <v>0</v>
      </c>
      <c r="G908" s="57"/>
    </row>
    <row r="909" spans="1:7" ht="12.75" x14ac:dyDescent="0.2">
      <c r="A909" s="3">
        <v>24</v>
      </c>
      <c r="B909" s="4" t="s">
        <v>54</v>
      </c>
      <c r="C909" s="3" t="s">
        <v>347</v>
      </c>
      <c r="D909" s="3" t="s">
        <v>368</v>
      </c>
      <c r="E909" s="3">
        <v>1</v>
      </c>
      <c r="G909" s="57"/>
    </row>
    <row r="910" spans="1:7" ht="12.75" x14ac:dyDescent="0.2">
      <c r="A910" s="3">
        <v>24</v>
      </c>
      <c r="B910" s="4" t="s">
        <v>54</v>
      </c>
      <c r="C910" s="3" t="s">
        <v>347</v>
      </c>
      <c r="D910" s="3" t="s">
        <v>283</v>
      </c>
      <c r="E910" s="3">
        <v>220</v>
      </c>
      <c r="G910" s="57"/>
    </row>
    <row r="911" spans="1:7" ht="12.75" x14ac:dyDescent="0.2">
      <c r="A911" s="3">
        <v>24</v>
      </c>
      <c r="B911" s="4" t="s">
        <v>54</v>
      </c>
      <c r="C911" s="3" t="s">
        <v>347</v>
      </c>
      <c r="D911" s="3" t="s">
        <v>315</v>
      </c>
      <c r="E911" s="3">
        <v>3</v>
      </c>
      <c r="G911" s="57"/>
    </row>
    <row r="912" spans="1:7" ht="12.75" x14ac:dyDescent="0.2">
      <c r="A912" s="3">
        <v>24</v>
      </c>
      <c r="B912" s="4" t="s">
        <v>54</v>
      </c>
      <c r="C912" s="3" t="s">
        <v>347</v>
      </c>
      <c r="D912" s="3" t="s">
        <v>316</v>
      </c>
      <c r="E912" s="3">
        <v>11</v>
      </c>
      <c r="G912" s="57"/>
    </row>
    <row r="913" spans="1:7" ht="12.75" x14ac:dyDescent="0.2">
      <c r="A913" s="3">
        <v>24</v>
      </c>
      <c r="B913" s="4" t="s">
        <v>54</v>
      </c>
      <c r="C913" s="3" t="s">
        <v>347</v>
      </c>
      <c r="D913" s="3" t="s">
        <v>369</v>
      </c>
      <c r="E913" s="3">
        <v>1</v>
      </c>
      <c r="G913" s="57"/>
    </row>
    <row r="914" spans="1:7" ht="12.75" x14ac:dyDescent="0.2">
      <c r="A914" s="3">
        <v>24</v>
      </c>
      <c r="B914" s="4" t="s">
        <v>54</v>
      </c>
      <c r="C914" s="3" t="s">
        <v>347</v>
      </c>
      <c r="D914" s="3" t="s">
        <v>128</v>
      </c>
      <c r="E914" s="3">
        <v>34</v>
      </c>
      <c r="G914" s="57"/>
    </row>
    <row r="915" spans="1:7" ht="12.75" x14ac:dyDescent="0.2">
      <c r="A915" s="3">
        <v>24</v>
      </c>
      <c r="B915" s="4" t="s">
        <v>54</v>
      </c>
      <c r="C915" s="3" t="s">
        <v>347</v>
      </c>
      <c r="D915" s="3" t="s">
        <v>370</v>
      </c>
      <c r="E915" s="3">
        <v>2</v>
      </c>
      <c r="G915" s="57"/>
    </row>
    <row r="916" spans="1:7" ht="12.75" x14ac:dyDescent="0.2">
      <c r="A916" s="3">
        <v>24</v>
      </c>
      <c r="B916" s="4" t="s">
        <v>54</v>
      </c>
      <c r="C916" s="3" t="s">
        <v>347</v>
      </c>
      <c r="D916" s="3" t="s">
        <v>353</v>
      </c>
      <c r="E916" s="3">
        <v>16</v>
      </c>
      <c r="G916" s="57"/>
    </row>
    <row r="917" spans="1:7" ht="12.75" x14ac:dyDescent="0.2">
      <c r="A917" s="3">
        <v>24</v>
      </c>
      <c r="B917" s="4" t="s">
        <v>54</v>
      </c>
      <c r="C917" s="3" t="s">
        <v>347</v>
      </c>
      <c r="D917" s="3" t="s">
        <v>371</v>
      </c>
      <c r="E917" s="3">
        <v>41</v>
      </c>
      <c r="G917" s="57"/>
    </row>
    <row r="918" spans="1:7" ht="12.75" x14ac:dyDescent="0.2">
      <c r="A918" s="3">
        <v>24</v>
      </c>
      <c r="B918" s="4" t="s">
        <v>54</v>
      </c>
      <c r="C918" s="3" t="s">
        <v>347</v>
      </c>
      <c r="D918" s="3" t="s">
        <v>14</v>
      </c>
      <c r="E918" s="3">
        <v>11</v>
      </c>
      <c r="G918" s="57"/>
    </row>
    <row r="919" spans="1:7" ht="12.75" x14ac:dyDescent="0.2">
      <c r="A919" s="3">
        <v>24</v>
      </c>
      <c r="B919" s="4" t="s">
        <v>54</v>
      </c>
      <c r="C919" s="3" t="s">
        <v>347</v>
      </c>
      <c r="D919" s="3" t="s">
        <v>138</v>
      </c>
      <c r="E919" s="3">
        <v>1</v>
      </c>
      <c r="F919">
        <f>SUM(E906:E919)</f>
        <v>342</v>
      </c>
      <c r="G919" s="57"/>
    </row>
    <row r="920" spans="1:7" ht="12.75" x14ac:dyDescent="0.2">
      <c r="A920" s="3">
        <v>24</v>
      </c>
      <c r="B920" s="4" t="s">
        <v>54</v>
      </c>
      <c r="C920" s="3" t="s">
        <v>273</v>
      </c>
      <c r="D920" s="3" t="s">
        <v>274</v>
      </c>
      <c r="E920" s="3">
        <v>0</v>
      </c>
      <c r="G920" s="57"/>
    </row>
    <row r="921" spans="1:7" ht="12.75" x14ac:dyDescent="0.2">
      <c r="A921" s="3">
        <v>24</v>
      </c>
      <c r="B921" s="4" t="s">
        <v>54</v>
      </c>
      <c r="C921" s="3" t="s">
        <v>273</v>
      </c>
      <c r="D921" s="3" t="s">
        <v>283</v>
      </c>
      <c r="E921" s="3">
        <v>267</v>
      </c>
      <c r="G921" s="57"/>
    </row>
    <row r="922" spans="1:7" ht="12.75" x14ac:dyDescent="0.2">
      <c r="A922" s="3">
        <v>24</v>
      </c>
      <c r="B922" s="4" t="s">
        <v>54</v>
      </c>
      <c r="C922" s="3" t="s">
        <v>273</v>
      </c>
      <c r="D922" s="3" t="s">
        <v>315</v>
      </c>
      <c r="E922" s="3">
        <v>1</v>
      </c>
      <c r="G922" s="57"/>
    </row>
    <row r="923" spans="1:7" ht="12.75" x14ac:dyDescent="0.2">
      <c r="A923" s="3">
        <v>24</v>
      </c>
      <c r="B923" s="4" t="s">
        <v>54</v>
      </c>
      <c r="C923" s="3" t="s">
        <v>273</v>
      </c>
      <c r="D923" s="3" t="s">
        <v>128</v>
      </c>
      <c r="E923" s="3">
        <v>45</v>
      </c>
      <c r="G923" s="57"/>
    </row>
    <row r="924" spans="1:7" ht="12.75" x14ac:dyDescent="0.2">
      <c r="A924" s="3">
        <v>24</v>
      </c>
      <c r="B924" s="4" t="s">
        <v>54</v>
      </c>
      <c r="C924" s="3" t="s">
        <v>273</v>
      </c>
      <c r="D924" s="3" t="s">
        <v>353</v>
      </c>
      <c r="E924" s="3">
        <v>1</v>
      </c>
      <c r="G924" s="57"/>
    </row>
    <row r="925" spans="1:7" ht="12.75" x14ac:dyDescent="0.2">
      <c r="A925" s="3">
        <v>24</v>
      </c>
      <c r="B925" s="4" t="s">
        <v>54</v>
      </c>
      <c r="C925" s="3" t="s">
        <v>273</v>
      </c>
      <c r="D925" s="3" t="s">
        <v>371</v>
      </c>
      <c r="E925" s="3">
        <v>16</v>
      </c>
      <c r="G925" s="57"/>
    </row>
    <row r="926" spans="1:7" ht="12.75" x14ac:dyDescent="0.2">
      <c r="A926" s="3">
        <v>24</v>
      </c>
      <c r="B926" s="4" t="s">
        <v>54</v>
      </c>
      <c r="C926" s="3" t="s">
        <v>273</v>
      </c>
      <c r="D926" s="3" t="s">
        <v>14</v>
      </c>
      <c r="E926" s="3">
        <v>10</v>
      </c>
      <c r="G926" s="57"/>
    </row>
    <row r="927" spans="1:7" ht="12.75" x14ac:dyDescent="0.2">
      <c r="A927" s="3">
        <v>24</v>
      </c>
      <c r="B927" s="4" t="s">
        <v>54</v>
      </c>
      <c r="C927" s="3" t="s">
        <v>273</v>
      </c>
      <c r="D927" s="3" t="s">
        <v>138</v>
      </c>
      <c r="E927" s="3">
        <v>2</v>
      </c>
      <c r="F927">
        <f>SUM(E920:E927)</f>
        <v>342</v>
      </c>
      <c r="G927" s="57"/>
    </row>
    <row r="928" spans="1:7" ht="12.75" x14ac:dyDescent="0.2">
      <c r="A928" s="3">
        <v>24</v>
      </c>
      <c r="B928" s="4" t="s">
        <v>54</v>
      </c>
      <c r="C928" s="3" t="s">
        <v>125</v>
      </c>
      <c r="D928" s="3" t="s">
        <v>274</v>
      </c>
      <c r="E928" s="3">
        <v>0</v>
      </c>
      <c r="G928" s="57"/>
    </row>
    <row r="929" spans="1:7" ht="12.75" x14ac:dyDescent="0.2">
      <c r="A929" s="3">
        <v>24</v>
      </c>
      <c r="B929" s="4" t="s">
        <v>54</v>
      </c>
      <c r="C929" s="3" t="s">
        <v>125</v>
      </c>
      <c r="D929" s="3" t="s">
        <v>283</v>
      </c>
      <c r="E929" s="3">
        <v>264</v>
      </c>
      <c r="G929" s="57"/>
    </row>
    <row r="930" spans="1:7" ht="12.75" x14ac:dyDescent="0.2">
      <c r="A930" s="3">
        <v>24</v>
      </c>
      <c r="B930" s="4" t="s">
        <v>54</v>
      </c>
      <c r="C930" s="3" t="s">
        <v>125</v>
      </c>
      <c r="D930" s="3" t="s">
        <v>315</v>
      </c>
      <c r="E930" s="3">
        <v>1</v>
      </c>
      <c r="G930" s="57"/>
    </row>
    <row r="931" spans="1:7" ht="12.75" x14ac:dyDescent="0.2">
      <c r="A931" s="3">
        <v>24</v>
      </c>
      <c r="B931" s="4" t="s">
        <v>54</v>
      </c>
      <c r="C931" s="3" t="s">
        <v>125</v>
      </c>
      <c r="D931" s="3" t="s">
        <v>128</v>
      </c>
      <c r="E931" s="3">
        <v>44</v>
      </c>
      <c r="G931" s="57"/>
    </row>
    <row r="932" spans="1:7" ht="12.75" x14ac:dyDescent="0.2">
      <c r="A932" s="3">
        <v>24</v>
      </c>
      <c r="B932" s="4" t="s">
        <v>54</v>
      </c>
      <c r="C932" s="3" t="s">
        <v>125</v>
      </c>
      <c r="D932" s="3" t="s">
        <v>353</v>
      </c>
      <c r="E932" s="3">
        <v>2</v>
      </c>
      <c r="G932" s="57"/>
    </row>
    <row r="933" spans="1:7" ht="12.75" x14ac:dyDescent="0.2">
      <c r="A933" s="3">
        <v>24</v>
      </c>
      <c r="B933" s="4" t="s">
        <v>54</v>
      </c>
      <c r="C933" s="3" t="s">
        <v>125</v>
      </c>
      <c r="D933" s="3" t="s">
        <v>371</v>
      </c>
      <c r="E933" s="3">
        <v>15</v>
      </c>
      <c r="G933" s="57"/>
    </row>
    <row r="934" spans="1:7" ht="12.75" x14ac:dyDescent="0.2">
      <c r="A934" s="3">
        <v>24</v>
      </c>
      <c r="B934" s="4" t="s">
        <v>54</v>
      </c>
      <c r="C934" s="3" t="s">
        <v>125</v>
      </c>
      <c r="D934" s="3" t="s">
        <v>14</v>
      </c>
      <c r="E934" s="3">
        <v>14</v>
      </c>
      <c r="G934" s="57"/>
    </row>
    <row r="935" spans="1:7" ht="12.75" x14ac:dyDescent="0.2">
      <c r="A935" s="3">
        <v>24</v>
      </c>
      <c r="B935" s="4" t="s">
        <v>54</v>
      </c>
      <c r="C935" s="3" t="s">
        <v>125</v>
      </c>
      <c r="D935" s="3" t="s">
        <v>138</v>
      </c>
      <c r="E935" s="3">
        <v>2</v>
      </c>
      <c r="F935">
        <f>SUM(E928:E935)</f>
        <v>342</v>
      </c>
      <c r="G935" s="57"/>
    </row>
    <row r="936" spans="1:7" ht="12.75" x14ac:dyDescent="0.2">
      <c r="A936" s="3">
        <v>25</v>
      </c>
      <c r="B936" s="4" t="s">
        <v>55</v>
      </c>
      <c r="C936" s="3" t="s">
        <v>347</v>
      </c>
      <c r="D936" s="3" t="s">
        <v>366</v>
      </c>
      <c r="E936" s="3">
        <v>1</v>
      </c>
      <c r="G936" s="59">
        <v>773</v>
      </c>
    </row>
    <row r="937" spans="1:7" ht="12.75" x14ac:dyDescent="0.2">
      <c r="A937" s="3">
        <v>25</v>
      </c>
      <c r="B937" s="4" t="s">
        <v>55</v>
      </c>
      <c r="C937" s="3" t="s">
        <v>347</v>
      </c>
      <c r="D937" s="3" t="s">
        <v>274</v>
      </c>
      <c r="E937" s="3">
        <v>0</v>
      </c>
      <c r="G937" s="57"/>
    </row>
    <row r="938" spans="1:7" ht="12.75" x14ac:dyDescent="0.2">
      <c r="A938" s="3">
        <v>25</v>
      </c>
      <c r="B938" s="4" t="s">
        <v>55</v>
      </c>
      <c r="C938" s="3" t="s">
        <v>347</v>
      </c>
      <c r="D938" s="3" t="s">
        <v>367</v>
      </c>
      <c r="E938" s="3">
        <v>0</v>
      </c>
      <c r="G938" s="57"/>
    </row>
    <row r="939" spans="1:7" ht="12.75" x14ac:dyDescent="0.2">
      <c r="A939" s="3">
        <v>25</v>
      </c>
      <c r="B939" s="4" t="s">
        <v>55</v>
      </c>
      <c r="C939" s="3" t="s">
        <v>347</v>
      </c>
      <c r="D939" s="3" t="s">
        <v>368</v>
      </c>
      <c r="E939" s="3">
        <v>0</v>
      </c>
      <c r="G939" s="57"/>
    </row>
    <row r="940" spans="1:7" ht="12.75" x14ac:dyDescent="0.2">
      <c r="A940" s="3">
        <v>25</v>
      </c>
      <c r="B940" s="4" t="s">
        <v>55</v>
      </c>
      <c r="C940" s="3" t="s">
        <v>347</v>
      </c>
      <c r="D940" s="3" t="s">
        <v>283</v>
      </c>
      <c r="E940" s="3">
        <v>373</v>
      </c>
      <c r="G940" s="57"/>
    </row>
    <row r="941" spans="1:7" ht="12.75" x14ac:dyDescent="0.2">
      <c r="A941" s="3">
        <v>25</v>
      </c>
      <c r="B941" s="4" t="s">
        <v>55</v>
      </c>
      <c r="C941" s="3" t="s">
        <v>347</v>
      </c>
      <c r="D941" s="3" t="s">
        <v>315</v>
      </c>
      <c r="E941" s="3">
        <v>3</v>
      </c>
      <c r="G941" s="57"/>
    </row>
    <row r="942" spans="1:7" ht="12.75" x14ac:dyDescent="0.2">
      <c r="A942" s="3">
        <v>25</v>
      </c>
      <c r="B942" s="4" t="s">
        <v>55</v>
      </c>
      <c r="C942" s="3" t="s">
        <v>347</v>
      </c>
      <c r="D942" s="3" t="s">
        <v>316</v>
      </c>
      <c r="E942" s="3">
        <v>7</v>
      </c>
      <c r="G942" s="57"/>
    </row>
    <row r="943" spans="1:7" ht="12.75" x14ac:dyDescent="0.2">
      <c r="A943" s="3">
        <v>25</v>
      </c>
      <c r="B943" s="4" t="s">
        <v>55</v>
      </c>
      <c r="C943" s="3" t="s">
        <v>347</v>
      </c>
      <c r="D943" s="3" t="s">
        <v>369</v>
      </c>
      <c r="E943" s="3">
        <v>2</v>
      </c>
      <c r="G943" s="57"/>
    </row>
    <row r="944" spans="1:7" ht="12.75" x14ac:dyDescent="0.2">
      <c r="A944" s="3">
        <v>25</v>
      </c>
      <c r="B944" s="4" t="s">
        <v>55</v>
      </c>
      <c r="C944" s="3" t="s">
        <v>347</v>
      </c>
      <c r="D944" s="3" t="s">
        <v>128</v>
      </c>
      <c r="E944" s="3">
        <v>85</v>
      </c>
      <c r="G944" s="57"/>
    </row>
    <row r="945" spans="1:7" ht="12.75" x14ac:dyDescent="0.2">
      <c r="A945" s="3">
        <v>25</v>
      </c>
      <c r="B945" s="4" t="s">
        <v>55</v>
      </c>
      <c r="C945" s="3" t="s">
        <v>347</v>
      </c>
      <c r="D945" s="3" t="s">
        <v>370</v>
      </c>
      <c r="E945" s="3">
        <v>3</v>
      </c>
      <c r="G945" s="57"/>
    </row>
    <row r="946" spans="1:7" ht="12.75" x14ac:dyDescent="0.2">
      <c r="A946" s="3">
        <v>25</v>
      </c>
      <c r="B946" s="4" t="s">
        <v>55</v>
      </c>
      <c r="C946" s="3" t="s">
        <v>347</v>
      </c>
      <c r="D946" s="3" t="s">
        <v>353</v>
      </c>
      <c r="E946" s="3">
        <v>2</v>
      </c>
      <c r="G946" s="57"/>
    </row>
    <row r="947" spans="1:7" ht="12.75" x14ac:dyDescent="0.2">
      <c r="A947" s="3">
        <v>25</v>
      </c>
      <c r="B947" s="4" t="s">
        <v>55</v>
      </c>
      <c r="C947" s="3" t="s">
        <v>347</v>
      </c>
      <c r="D947" s="3" t="s">
        <v>371</v>
      </c>
      <c r="E947" s="3">
        <v>33</v>
      </c>
      <c r="G947" s="57"/>
    </row>
    <row r="948" spans="1:7" ht="12.75" x14ac:dyDescent="0.2">
      <c r="A948" s="3">
        <v>25</v>
      </c>
      <c r="B948" s="4" t="s">
        <v>55</v>
      </c>
      <c r="C948" s="3" t="s">
        <v>347</v>
      </c>
      <c r="D948" s="3" t="s">
        <v>14</v>
      </c>
      <c r="E948" s="3">
        <v>41</v>
      </c>
      <c r="G948" s="57"/>
    </row>
    <row r="949" spans="1:7" ht="12.75" x14ac:dyDescent="0.2">
      <c r="A949" s="3">
        <v>25</v>
      </c>
      <c r="B949" s="4" t="s">
        <v>55</v>
      </c>
      <c r="C949" s="3" t="s">
        <v>347</v>
      </c>
      <c r="D949" s="3" t="s">
        <v>138</v>
      </c>
      <c r="E949" s="3">
        <v>3</v>
      </c>
      <c r="F949">
        <f>SUM(E936:E949)</f>
        <v>553</v>
      </c>
      <c r="G949" s="57"/>
    </row>
    <row r="950" spans="1:7" ht="12.75" x14ac:dyDescent="0.2">
      <c r="A950" s="3">
        <v>25</v>
      </c>
      <c r="B950" s="4" t="s">
        <v>55</v>
      </c>
      <c r="C950" s="3" t="s">
        <v>273</v>
      </c>
      <c r="D950" s="3" t="s">
        <v>274</v>
      </c>
      <c r="E950" s="3">
        <v>0</v>
      </c>
      <c r="G950" s="57"/>
    </row>
    <row r="951" spans="1:7" ht="12.75" x14ac:dyDescent="0.2">
      <c r="A951" s="3">
        <v>25</v>
      </c>
      <c r="B951" s="4" t="s">
        <v>55</v>
      </c>
      <c r="C951" s="3" t="s">
        <v>273</v>
      </c>
      <c r="D951" s="3" t="s">
        <v>283</v>
      </c>
      <c r="E951" s="3">
        <v>401</v>
      </c>
      <c r="G951" s="57"/>
    </row>
    <row r="952" spans="1:7" ht="12.75" x14ac:dyDescent="0.2">
      <c r="A952" s="3">
        <v>25</v>
      </c>
      <c r="B952" s="4" t="s">
        <v>55</v>
      </c>
      <c r="C952" s="3" t="s">
        <v>273</v>
      </c>
      <c r="D952" s="3" t="s">
        <v>315</v>
      </c>
      <c r="E952" s="3">
        <v>3</v>
      </c>
      <c r="G952" s="57"/>
    </row>
    <row r="953" spans="1:7" ht="12.75" x14ac:dyDescent="0.2">
      <c r="A953" s="3">
        <v>25</v>
      </c>
      <c r="B953" s="4" t="s">
        <v>55</v>
      </c>
      <c r="C953" s="3" t="s">
        <v>273</v>
      </c>
      <c r="D953" s="3" t="s">
        <v>128</v>
      </c>
      <c r="E953" s="3">
        <v>74</v>
      </c>
      <c r="G953" s="57"/>
    </row>
    <row r="954" spans="1:7" ht="12.75" x14ac:dyDescent="0.2">
      <c r="A954" s="3">
        <v>25</v>
      </c>
      <c r="B954" s="4" t="s">
        <v>55</v>
      </c>
      <c r="C954" s="3" t="s">
        <v>273</v>
      </c>
      <c r="D954" s="3" t="s">
        <v>353</v>
      </c>
      <c r="E954" s="3">
        <v>0</v>
      </c>
      <c r="G954" s="57"/>
    </row>
    <row r="955" spans="1:7" ht="12.75" x14ac:dyDescent="0.2">
      <c r="A955" s="3">
        <v>25</v>
      </c>
      <c r="B955" s="4" t="s">
        <v>55</v>
      </c>
      <c r="C955" s="3" t="s">
        <v>273</v>
      </c>
      <c r="D955" s="3" t="s">
        <v>371</v>
      </c>
      <c r="E955" s="3">
        <v>8</v>
      </c>
      <c r="G955" s="57"/>
    </row>
    <row r="956" spans="1:7" ht="12.75" x14ac:dyDescent="0.2">
      <c r="A956" s="3">
        <v>25</v>
      </c>
      <c r="B956" s="4" t="s">
        <v>55</v>
      </c>
      <c r="C956" s="3" t="s">
        <v>273</v>
      </c>
      <c r="D956" s="3" t="s">
        <v>14</v>
      </c>
      <c r="E956" s="3">
        <v>64</v>
      </c>
      <c r="G956" s="57"/>
    </row>
    <row r="957" spans="1:7" ht="12.75" x14ac:dyDescent="0.2">
      <c r="A957" s="3">
        <v>25</v>
      </c>
      <c r="B957" s="4" t="s">
        <v>55</v>
      </c>
      <c r="C957" s="3" t="s">
        <v>273</v>
      </c>
      <c r="D957" s="3" t="s">
        <v>138</v>
      </c>
      <c r="E957" s="3">
        <v>3</v>
      </c>
      <c r="F957">
        <f>SUM(E950:E957)</f>
        <v>553</v>
      </c>
      <c r="G957" s="57"/>
    </row>
    <row r="958" spans="1:7" ht="12.75" x14ac:dyDescent="0.2">
      <c r="A958" s="3">
        <v>25</v>
      </c>
      <c r="B958" s="4" t="s">
        <v>55</v>
      </c>
      <c r="C958" s="3" t="s">
        <v>125</v>
      </c>
      <c r="D958" s="3" t="s">
        <v>274</v>
      </c>
      <c r="E958" s="3">
        <v>0</v>
      </c>
      <c r="G958" s="57"/>
    </row>
    <row r="959" spans="1:7" ht="12.75" x14ac:dyDescent="0.2">
      <c r="A959" s="3">
        <v>25</v>
      </c>
      <c r="B959" s="4" t="s">
        <v>55</v>
      </c>
      <c r="C959" s="3" t="s">
        <v>125</v>
      </c>
      <c r="D959" s="3" t="s">
        <v>283</v>
      </c>
      <c r="E959" s="3">
        <v>398</v>
      </c>
      <c r="G959" s="57"/>
    </row>
    <row r="960" spans="1:7" ht="12.75" x14ac:dyDescent="0.2">
      <c r="A960" s="3">
        <v>25</v>
      </c>
      <c r="B960" s="4" t="s">
        <v>55</v>
      </c>
      <c r="C960" s="3" t="s">
        <v>125</v>
      </c>
      <c r="D960" s="3" t="s">
        <v>315</v>
      </c>
      <c r="E960" s="3">
        <v>3</v>
      </c>
      <c r="G960" s="57"/>
    </row>
    <row r="961" spans="1:7" ht="12.75" x14ac:dyDescent="0.2">
      <c r="A961" s="3">
        <v>25</v>
      </c>
      <c r="B961" s="4" t="s">
        <v>55</v>
      </c>
      <c r="C961" s="3" t="s">
        <v>125</v>
      </c>
      <c r="D961" s="3" t="s">
        <v>128</v>
      </c>
      <c r="E961" s="3">
        <v>76</v>
      </c>
      <c r="G961" s="57"/>
    </row>
    <row r="962" spans="1:7" ht="12.75" x14ac:dyDescent="0.2">
      <c r="A962" s="3">
        <v>25</v>
      </c>
      <c r="B962" s="4" t="s">
        <v>55</v>
      </c>
      <c r="C962" s="3" t="s">
        <v>125</v>
      </c>
      <c r="D962" s="3" t="s">
        <v>353</v>
      </c>
      <c r="E962" s="3">
        <v>0</v>
      </c>
      <c r="G962" s="57"/>
    </row>
    <row r="963" spans="1:7" ht="12.75" x14ac:dyDescent="0.2">
      <c r="A963" s="3">
        <v>25</v>
      </c>
      <c r="B963" s="4" t="s">
        <v>55</v>
      </c>
      <c r="C963" s="3" t="s">
        <v>125</v>
      </c>
      <c r="D963" s="3" t="s">
        <v>371</v>
      </c>
      <c r="E963" s="3">
        <v>8</v>
      </c>
      <c r="G963" s="57"/>
    </row>
    <row r="964" spans="1:7" ht="12.75" x14ac:dyDescent="0.2">
      <c r="A964" s="3">
        <v>25</v>
      </c>
      <c r="B964" s="4" t="s">
        <v>55</v>
      </c>
      <c r="C964" s="3" t="s">
        <v>125</v>
      </c>
      <c r="D964" s="3" t="s">
        <v>14</v>
      </c>
      <c r="E964" s="3">
        <v>65</v>
      </c>
      <c r="G964" s="57"/>
    </row>
    <row r="965" spans="1:7" ht="12.75" x14ac:dyDescent="0.2">
      <c r="A965" s="3">
        <v>25</v>
      </c>
      <c r="B965" s="4" t="s">
        <v>55</v>
      </c>
      <c r="C965" s="3" t="s">
        <v>125</v>
      </c>
      <c r="D965" s="3" t="s">
        <v>138</v>
      </c>
      <c r="E965" s="3">
        <v>3</v>
      </c>
      <c r="F965">
        <f>SUM(E958:E965)</f>
        <v>553</v>
      </c>
      <c r="G965" s="57"/>
    </row>
    <row r="966" spans="1:7" ht="12.75" x14ac:dyDescent="0.2">
      <c r="A966" s="3">
        <v>26</v>
      </c>
      <c r="B966" s="4" t="s">
        <v>56</v>
      </c>
      <c r="C966" s="3" t="s">
        <v>347</v>
      </c>
      <c r="D966" s="3" t="s">
        <v>366</v>
      </c>
      <c r="E966" s="3">
        <v>0</v>
      </c>
      <c r="G966" s="59">
        <v>510</v>
      </c>
    </row>
    <row r="967" spans="1:7" ht="12.75" x14ac:dyDescent="0.2">
      <c r="A967" s="3">
        <v>26</v>
      </c>
      <c r="B967" s="4" t="s">
        <v>56</v>
      </c>
      <c r="C967" s="3" t="s">
        <v>347</v>
      </c>
      <c r="D967" s="3" t="s">
        <v>274</v>
      </c>
      <c r="E967" s="3">
        <v>0</v>
      </c>
      <c r="G967" s="57"/>
    </row>
    <row r="968" spans="1:7" ht="12.75" x14ac:dyDescent="0.2">
      <c r="A968" s="3">
        <v>26</v>
      </c>
      <c r="B968" s="4" t="s">
        <v>56</v>
      </c>
      <c r="C968" s="3" t="s">
        <v>347</v>
      </c>
      <c r="D968" s="3" t="s">
        <v>367</v>
      </c>
      <c r="E968" s="3">
        <v>1</v>
      </c>
      <c r="G968" s="57"/>
    </row>
    <row r="969" spans="1:7" ht="12.75" x14ac:dyDescent="0.2">
      <c r="A969" s="3">
        <v>26</v>
      </c>
      <c r="B969" s="4" t="s">
        <v>56</v>
      </c>
      <c r="C969" s="3" t="s">
        <v>347</v>
      </c>
      <c r="D969" s="3" t="s">
        <v>368</v>
      </c>
      <c r="E969" s="3">
        <v>1</v>
      </c>
      <c r="G969" s="57"/>
    </row>
    <row r="970" spans="1:7" ht="12.75" x14ac:dyDescent="0.2">
      <c r="A970" s="3">
        <v>26</v>
      </c>
      <c r="B970" s="4" t="s">
        <v>56</v>
      </c>
      <c r="C970" s="3" t="s">
        <v>347</v>
      </c>
      <c r="D970" s="3" t="s">
        <v>283</v>
      </c>
      <c r="E970" s="3">
        <v>301</v>
      </c>
      <c r="G970" s="57"/>
    </row>
    <row r="971" spans="1:7" ht="12.75" x14ac:dyDescent="0.2">
      <c r="A971" s="3">
        <v>26</v>
      </c>
      <c r="B971" s="4" t="s">
        <v>56</v>
      </c>
      <c r="C971" s="3" t="s">
        <v>347</v>
      </c>
      <c r="D971" s="3" t="s">
        <v>315</v>
      </c>
      <c r="E971" s="3">
        <v>2</v>
      </c>
      <c r="G971" s="57"/>
    </row>
    <row r="972" spans="1:7" ht="12.75" x14ac:dyDescent="0.2">
      <c r="A972" s="3">
        <v>26</v>
      </c>
      <c r="B972" s="4" t="s">
        <v>56</v>
      </c>
      <c r="C972" s="3" t="s">
        <v>347</v>
      </c>
      <c r="D972" s="3" t="s">
        <v>316</v>
      </c>
      <c r="E972" s="3">
        <v>7</v>
      </c>
      <c r="G972" s="57"/>
    </row>
    <row r="973" spans="1:7" ht="12.75" x14ac:dyDescent="0.2">
      <c r="A973" s="3">
        <v>26</v>
      </c>
      <c r="B973" s="4" t="s">
        <v>56</v>
      </c>
      <c r="C973" s="3" t="s">
        <v>347</v>
      </c>
      <c r="D973" s="3" t="s">
        <v>369</v>
      </c>
      <c r="E973" s="3">
        <v>0</v>
      </c>
      <c r="G973" s="57"/>
    </row>
    <row r="974" spans="1:7" ht="12.75" x14ac:dyDescent="0.2">
      <c r="A974" s="3">
        <v>26</v>
      </c>
      <c r="B974" s="4" t="s">
        <v>56</v>
      </c>
      <c r="C974" s="3" t="s">
        <v>347</v>
      </c>
      <c r="D974" s="3" t="s">
        <v>128</v>
      </c>
      <c r="E974" s="3">
        <v>107</v>
      </c>
      <c r="G974" s="57"/>
    </row>
    <row r="975" spans="1:7" ht="12.75" x14ac:dyDescent="0.2">
      <c r="A975" s="3">
        <v>26</v>
      </c>
      <c r="B975" s="4" t="s">
        <v>56</v>
      </c>
      <c r="C975" s="3" t="s">
        <v>347</v>
      </c>
      <c r="D975" s="3" t="s">
        <v>370</v>
      </c>
      <c r="E975" s="3">
        <v>1</v>
      </c>
      <c r="G975" s="57"/>
    </row>
    <row r="976" spans="1:7" ht="12.75" x14ac:dyDescent="0.2">
      <c r="A976" s="3">
        <v>26</v>
      </c>
      <c r="B976" s="4" t="s">
        <v>56</v>
      </c>
      <c r="C976" s="3" t="s">
        <v>347</v>
      </c>
      <c r="D976" s="3" t="s">
        <v>353</v>
      </c>
      <c r="E976" s="3">
        <v>1</v>
      </c>
      <c r="G976" s="57"/>
    </row>
    <row r="977" spans="1:7" ht="12.75" x14ac:dyDescent="0.2">
      <c r="A977" s="3">
        <v>26</v>
      </c>
      <c r="B977" s="4" t="s">
        <v>56</v>
      </c>
      <c r="C977" s="3" t="s">
        <v>347</v>
      </c>
      <c r="D977" s="3" t="s">
        <v>371</v>
      </c>
      <c r="E977" s="3">
        <v>13</v>
      </c>
      <c r="G977" s="57"/>
    </row>
    <row r="978" spans="1:7" ht="12.75" x14ac:dyDescent="0.2">
      <c r="A978" s="3">
        <v>26</v>
      </c>
      <c r="B978" s="4" t="s">
        <v>56</v>
      </c>
      <c r="C978" s="3" t="s">
        <v>347</v>
      </c>
      <c r="D978" s="3" t="s">
        <v>14</v>
      </c>
      <c r="E978" s="3">
        <v>9</v>
      </c>
      <c r="G978" s="57"/>
    </row>
    <row r="979" spans="1:7" ht="12.75" x14ac:dyDescent="0.2">
      <c r="A979" s="3">
        <v>26</v>
      </c>
      <c r="B979" s="4" t="s">
        <v>56</v>
      </c>
      <c r="C979" s="3" t="s">
        <v>347</v>
      </c>
      <c r="D979" s="3" t="s">
        <v>138</v>
      </c>
      <c r="E979" s="3">
        <v>0</v>
      </c>
      <c r="F979">
        <f>SUM(E966:E979)</f>
        <v>443</v>
      </c>
      <c r="G979" s="57"/>
    </row>
    <row r="980" spans="1:7" ht="12.75" x14ac:dyDescent="0.2">
      <c r="A980" s="3">
        <v>26</v>
      </c>
      <c r="B980" s="4" t="s">
        <v>56</v>
      </c>
      <c r="C980" s="3" t="s">
        <v>273</v>
      </c>
      <c r="D980" s="3" t="s">
        <v>274</v>
      </c>
      <c r="E980" s="3">
        <v>0</v>
      </c>
      <c r="G980" s="57"/>
    </row>
    <row r="981" spans="1:7" ht="12.75" x14ac:dyDescent="0.2">
      <c r="A981" s="3">
        <v>26</v>
      </c>
      <c r="B981" s="4" t="s">
        <v>56</v>
      </c>
      <c r="C981" s="3" t="s">
        <v>273</v>
      </c>
      <c r="D981" s="3" t="s">
        <v>283</v>
      </c>
      <c r="E981" s="3">
        <v>336</v>
      </c>
      <c r="G981" s="57"/>
    </row>
    <row r="982" spans="1:7" ht="12.75" x14ac:dyDescent="0.2">
      <c r="A982" s="3">
        <v>26</v>
      </c>
      <c r="B982" s="4" t="s">
        <v>56</v>
      </c>
      <c r="C982" s="3" t="s">
        <v>273</v>
      </c>
      <c r="D982" s="3" t="s">
        <v>315</v>
      </c>
      <c r="E982" s="3">
        <v>1</v>
      </c>
      <c r="G982" s="57"/>
    </row>
    <row r="983" spans="1:7" ht="12.75" x14ac:dyDescent="0.2">
      <c r="A983" s="3">
        <v>26</v>
      </c>
      <c r="B983" s="4" t="s">
        <v>56</v>
      </c>
      <c r="C983" s="3" t="s">
        <v>273</v>
      </c>
      <c r="D983" s="3" t="s">
        <v>128</v>
      </c>
      <c r="E983" s="3">
        <v>87</v>
      </c>
      <c r="G983" s="57"/>
    </row>
    <row r="984" spans="1:7" ht="12.75" x14ac:dyDescent="0.2">
      <c r="A984" s="3">
        <v>26</v>
      </c>
      <c r="B984" s="4" t="s">
        <v>56</v>
      </c>
      <c r="C984" s="3" t="s">
        <v>273</v>
      </c>
      <c r="D984" s="3" t="s">
        <v>353</v>
      </c>
      <c r="E984" s="3">
        <v>0</v>
      </c>
      <c r="G984" s="57"/>
    </row>
    <row r="985" spans="1:7" ht="12.75" x14ac:dyDescent="0.2">
      <c r="A985" s="3">
        <v>26</v>
      </c>
      <c r="B985" s="4" t="s">
        <v>56</v>
      </c>
      <c r="C985" s="3" t="s">
        <v>273</v>
      </c>
      <c r="D985" s="3" t="s">
        <v>371</v>
      </c>
      <c r="E985" s="3">
        <v>8</v>
      </c>
      <c r="G985" s="57"/>
    </row>
    <row r="986" spans="1:7" ht="12.75" x14ac:dyDescent="0.2">
      <c r="A986" s="3">
        <v>26</v>
      </c>
      <c r="B986" s="4" t="s">
        <v>56</v>
      </c>
      <c r="C986" s="3" t="s">
        <v>273</v>
      </c>
      <c r="D986" s="3" t="s">
        <v>14</v>
      </c>
      <c r="E986" s="3">
        <v>11</v>
      </c>
      <c r="G986" s="57"/>
    </row>
    <row r="987" spans="1:7" ht="12.75" x14ac:dyDescent="0.2">
      <c r="A987" s="3">
        <v>26</v>
      </c>
      <c r="B987" s="4" t="s">
        <v>56</v>
      </c>
      <c r="C987" s="3" t="s">
        <v>273</v>
      </c>
      <c r="D987" s="3" t="s">
        <v>138</v>
      </c>
      <c r="E987" s="3">
        <v>0</v>
      </c>
      <c r="F987">
        <f>SUM(E980:E987)</f>
        <v>443</v>
      </c>
      <c r="G987" s="57"/>
    </row>
    <row r="988" spans="1:7" ht="12.75" x14ac:dyDescent="0.2">
      <c r="A988" s="3">
        <v>26</v>
      </c>
      <c r="B988" s="4" t="s">
        <v>56</v>
      </c>
      <c r="C988" s="3" t="s">
        <v>125</v>
      </c>
      <c r="D988" s="3" t="s">
        <v>274</v>
      </c>
      <c r="E988" s="3">
        <v>0</v>
      </c>
      <c r="G988" s="57"/>
    </row>
    <row r="989" spans="1:7" ht="12.75" x14ac:dyDescent="0.2">
      <c r="A989" s="3">
        <v>26</v>
      </c>
      <c r="B989" s="4" t="s">
        <v>56</v>
      </c>
      <c r="C989" s="3" t="s">
        <v>125</v>
      </c>
      <c r="D989" s="3" t="s">
        <v>283</v>
      </c>
      <c r="E989" s="3">
        <v>339</v>
      </c>
      <c r="G989" s="57"/>
    </row>
    <row r="990" spans="1:7" ht="12.75" x14ac:dyDescent="0.2">
      <c r="A990" s="3">
        <v>26</v>
      </c>
      <c r="B990" s="4" t="s">
        <v>56</v>
      </c>
      <c r="C990" s="3" t="s">
        <v>125</v>
      </c>
      <c r="D990" s="3" t="s">
        <v>315</v>
      </c>
      <c r="E990" s="3">
        <v>2</v>
      </c>
      <c r="G990" s="57"/>
    </row>
    <row r="991" spans="1:7" ht="12.75" x14ac:dyDescent="0.2">
      <c r="A991" s="3">
        <v>26</v>
      </c>
      <c r="B991" s="4" t="s">
        <v>56</v>
      </c>
      <c r="C991" s="3" t="s">
        <v>125</v>
      </c>
      <c r="D991" s="3" t="s">
        <v>128</v>
      </c>
      <c r="E991" s="3">
        <v>84</v>
      </c>
      <c r="G991" s="57"/>
    </row>
    <row r="992" spans="1:7" ht="12.75" x14ac:dyDescent="0.2">
      <c r="A992" s="3">
        <v>26</v>
      </c>
      <c r="B992" s="4" t="s">
        <v>56</v>
      </c>
      <c r="C992" s="3" t="s">
        <v>125</v>
      </c>
      <c r="D992" s="3" t="s">
        <v>353</v>
      </c>
      <c r="E992" s="3">
        <v>0</v>
      </c>
      <c r="G992" s="57"/>
    </row>
    <row r="993" spans="1:7" ht="12.75" x14ac:dyDescent="0.2">
      <c r="A993" s="3">
        <v>26</v>
      </c>
      <c r="B993" s="4" t="s">
        <v>56</v>
      </c>
      <c r="C993" s="3" t="s">
        <v>125</v>
      </c>
      <c r="D993" s="3" t="s">
        <v>371</v>
      </c>
      <c r="E993" s="3">
        <v>8</v>
      </c>
      <c r="G993" s="57"/>
    </row>
    <row r="994" spans="1:7" ht="12.75" x14ac:dyDescent="0.2">
      <c r="A994" s="3">
        <v>26</v>
      </c>
      <c r="B994" s="4" t="s">
        <v>56</v>
      </c>
      <c r="C994" s="3" t="s">
        <v>125</v>
      </c>
      <c r="D994" s="3" t="s">
        <v>14</v>
      </c>
      <c r="E994" s="3">
        <v>10</v>
      </c>
      <c r="G994" s="57"/>
    </row>
    <row r="995" spans="1:7" ht="12.75" x14ac:dyDescent="0.2">
      <c r="A995" s="3">
        <v>26</v>
      </c>
      <c r="B995" s="4" t="s">
        <v>56</v>
      </c>
      <c r="C995" s="3" t="s">
        <v>125</v>
      </c>
      <c r="D995" s="3" t="s">
        <v>138</v>
      </c>
      <c r="E995" s="3">
        <v>0</v>
      </c>
      <c r="F995">
        <f>SUM(E988:E995)</f>
        <v>443</v>
      </c>
      <c r="G995" s="57"/>
    </row>
    <row r="996" spans="1:7" ht="12.75" x14ac:dyDescent="0.2">
      <c r="A996" s="3">
        <v>28</v>
      </c>
      <c r="B996" s="4" t="s">
        <v>58</v>
      </c>
      <c r="C996" s="3" t="s">
        <v>347</v>
      </c>
      <c r="D996" s="3" t="s">
        <v>366</v>
      </c>
      <c r="E996" s="3">
        <v>1</v>
      </c>
      <c r="G996" s="59">
        <v>351</v>
      </c>
    </row>
    <row r="997" spans="1:7" ht="12.75" x14ac:dyDescent="0.2">
      <c r="A997" s="3">
        <v>28</v>
      </c>
      <c r="B997" s="4" t="s">
        <v>58</v>
      </c>
      <c r="C997" s="3" t="s">
        <v>347</v>
      </c>
      <c r="D997" s="3" t="s">
        <v>274</v>
      </c>
      <c r="E997" s="3">
        <v>0</v>
      </c>
      <c r="G997" s="57"/>
    </row>
    <row r="998" spans="1:7" ht="12.75" x14ac:dyDescent="0.2">
      <c r="A998" s="3">
        <v>28</v>
      </c>
      <c r="B998" s="4" t="s">
        <v>58</v>
      </c>
      <c r="C998" s="3" t="s">
        <v>347</v>
      </c>
      <c r="D998" s="3" t="s">
        <v>367</v>
      </c>
      <c r="E998" s="3">
        <v>0</v>
      </c>
      <c r="G998" s="57"/>
    </row>
    <row r="999" spans="1:7" ht="12.75" x14ac:dyDescent="0.2">
      <c r="A999" s="3">
        <v>28</v>
      </c>
      <c r="B999" s="4" t="s">
        <v>58</v>
      </c>
      <c r="C999" s="3" t="s">
        <v>347</v>
      </c>
      <c r="D999" s="3" t="s">
        <v>368</v>
      </c>
      <c r="E999" s="3">
        <v>1</v>
      </c>
      <c r="G999" s="57"/>
    </row>
    <row r="1000" spans="1:7" ht="12.75" x14ac:dyDescent="0.2">
      <c r="A1000" s="3">
        <v>28</v>
      </c>
      <c r="B1000" s="4" t="s">
        <v>58</v>
      </c>
      <c r="C1000" s="3" t="s">
        <v>347</v>
      </c>
      <c r="D1000" s="3" t="s">
        <v>283</v>
      </c>
      <c r="E1000" s="3">
        <v>69</v>
      </c>
      <c r="G1000" s="57"/>
    </row>
    <row r="1001" spans="1:7" ht="12.75" x14ac:dyDescent="0.2">
      <c r="A1001" s="3">
        <v>28</v>
      </c>
      <c r="B1001" s="4" t="s">
        <v>58</v>
      </c>
      <c r="C1001" s="3" t="s">
        <v>347</v>
      </c>
      <c r="D1001" s="3" t="s">
        <v>315</v>
      </c>
      <c r="E1001" s="3">
        <v>23</v>
      </c>
      <c r="G1001" s="57"/>
    </row>
    <row r="1002" spans="1:7" ht="12.75" x14ac:dyDescent="0.2">
      <c r="A1002" s="3">
        <v>28</v>
      </c>
      <c r="B1002" s="4" t="s">
        <v>58</v>
      </c>
      <c r="C1002" s="3" t="s">
        <v>347</v>
      </c>
      <c r="D1002" s="3" t="s">
        <v>316</v>
      </c>
      <c r="E1002" s="3">
        <v>10</v>
      </c>
      <c r="G1002" s="57"/>
    </row>
    <row r="1003" spans="1:7" ht="12.75" x14ac:dyDescent="0.2">
      <c r="A1003" s="3">
        <v>28</v>
      </c>
      <c r="B1003" s="4" t="s">
        <v>58</v>
      </c>
      <c r="C1003" s="3" t="s">
        <v>347</v>
      </c>
      <c r="D1003" s="3" t="s">
        <v>369</v>
      </c>
      <c r="E1003" s="3">
        <v>1</v>
      </c>
      <c r="G1003" s="57"/>
    </row>
    <row r="1004" spans="1:7" ht="12.75" x14ac:dyDescent="0.2">
      <c r="A1004" s="3">
        <v>28</v>
      </c>
      <c r="B1004" s="4" t="s">
        <v>58</v>
      </c>
      <c r="C1004" s="3" t="s">
        <v>347</v>
      </c>
      <c r="D1004" s="3" t="s">
        <v>128</v>
      </c>
      <c r="E1004" s="3">
        <v>104</v>
      </c>
      <c r="G1004" s="57"/>
    </row>
    <row r="1005" spans="1:7" ht="12.75" x14ac:dyDescent="0.2">
      <c r="A1005" s="3">
        <v>28</v>
      </c>
      <c r="B1005" s="4" t="s">
        <v>58</v>
      </c>
      <c r="C1005" s="3" t="s">
        <v>347</v>
      </c>
      <c r="D1005" s="3" t="s">
        <v>370</v>
      </c>
      <c r="E1005" s="3">
        <v>0</v>
      </c>
      <c r="G1005" s="57"/>
    </row>
    <row r="1006" spans="1:7" ht="12.75" x14ac:dyDescent="0.2">
      <c r="A1006" s="3">
        <v>28</v>
      </c>
      <c r="B1006" s="4" t="s">
        <v>58</v>
      </c>
      <c r="C1006" s="3" t="s">
        <v>347</v>
      </c>
      <c r="D1006" s="3" t="s">
        <v>353</v>
      </c>
      <c r="E1006" s="3">
        <v>1</v>
      </c>
      <c r="G1006" s="57"/>
    </row>
    <row r="1007" spans="1:7" ht="12.75" x14ac:dyDescent="0.2">
      <c r="A1007" s="3">
        <v>28</v>
      </c>
      <c r="B1007" s="4" t="s">
        <v>58</v>
      </c>
      <c r="C1007" s="3" t="s">
        <v>347</v>
      </c>
      <c r="D1007" s="3" t="s">
        <v>371</v>
      </c>
      <c r="E1007" s="3">
        <v>70</v>
      </c>
      <c r="G1007" s="57"/>
    </row>
    <row r="1008" spans="1:7" ht="12.75" x14ac:dyDescent="0.2">
      <c r="A1008" s="3">
        <v>28</v>
      </c>
      <c r="B1008" s="4" t="s">
        <v>58</v>
      </c>
      <c r="C1008" s="3" t="s">
        <v>347</v>
      </c>
      <c r="D1008" s="3" t="s">
        <v>14</v>
      </c>
      <c r="E1008" s="3">
        <v>12</v>
      </c>
      <c r="G1008" s="57"/>
    </row>
    <row r="1009" spans="1:7" ht="12.75" x14ac:dyDescent="0.2">
      <c r="A1009" s="3">
        <v>28</v>
      </c>
      <c r="B1009" s="4" t="s">
        <v>58</v>
      </c>
      <c r="C1009" s="3" t="s">
        <v>347</v>
      </c>
      <c r="D1009" s="3" t="s">
        <v>138</v>
      </c>
      <c r="E1009" s="3">
        <v>4</v>
      </c>
      <c r="F1009">
        <f>SUM(E996:E1009)</f>
        <v>296</v>
      </c>
      <c r="G1009" s="57"/>
    </row>
    <row r="1010" spans="1:7" ht="12.75" x14ac:dyDescent="0.2">
      <c r="A1010" s="3">
        <v>28</v>
      </c>
      <c r="B1010" s="4" t="s">
        <v>58</v>
      </c>
      <c r="C1010" s="3" t="s">
        <v>273</v>
      </c>
      <c r="D1010" s="3" t="s">
        <v>274</v>
      </c>
      <c r="E1010" s="3">
        <v>0</v>
      </c>
      <c r="G1010" s="57"/>
    </row>
    <row r="1011" spans="1:7" ht="12.75" x14ac:dyDescent="0.2">
      <c r="A1011" s="3">
        <v>28</v>
      </c>
      <c r="B1011" s="4" t="s">
        <v>58</v>
      </c>
      <c r="C1011" s="3" t="s">
        <v>273</v>
      </c>
      <c r="D1011" s="3" t="s">
        <v>283</v>
      </c>
      <c r="E1011" s="3">
        <v>106</v>
      </c>
      <c r="G1011" s="57"/>
    </row>
    <row r="1012" spans="1:7" ht="12.75" x14ac:dyDescent="0.2">
      <c r="A1012" s="3">
        <v>28</v>
      </c>
      <c r="B1012" s="4" t="s">
        <v>58</v>
      </c>
      <c r="C1012" s="3" t="s">
        <v>273</v>
      </c>
      <c r="D1012" s="3" t="s">
        <v>315</v>
      </c>
      <c r="E1012" s="3">
        <v>2</v>
      </c>
      <c r="G1012" s="57"/>
    </row>
    <row r="1013" spans="1:7" ht="12.75" x14ac:dyDescent="0.2">
      <c r="A1013" s="3">
        <v>28</v>
      </c>
      <c r="B1013" s="4" t="s">
        <v>58</v>
      </c>
      <c r="C1013" s="3" t="s">
        <v>273</v>
      </c>
      <c r="D1013" s="3" t="s">
        <v>128</v>
      </c>
      <c r="E1013" s="3">
        <v>131</v>
      </c>
      <c r="G1013" s="57"/>
    </row>
    <row r="1014" spans="1:7" ht="12.75" x14ac:dyDescent="0.2">
      <c r="A1014" s="3">
        <v>28</v>
      </c>
      <c r="B1014" s="4" t="s">
        <v>58</v>
      </c>
      <c r="C1014" s="3" t="s">
        <v>273</v>
      </c>
      <c r="D1014" s="3" t="s">
        <v>353</v>
      </c>
      <c r="E1014" s="3">
        <v>2</v>
      </c>
      <c r="G1014" s="57"/>
    </row>
    <row r="1015" spans="1:7" ht="12.75" x14ac:dyDescent="0.2">
      <c r="A1015" s="3">
        <v>28</v>
      </c>
      <c r="B1015" s="4" t="s">
        <v>58</v>
      </c>
      <c r="C1015" s="3" t="s">
        <v>273</v>
      </c>
      <c r="D1015" s="3" t="s">
        <v>371</v>
      </c>
      <c r="E1015" s="3">
        <v>11</v>
      </c>
      <c r="G1015" s="57"/>
    </row>
    <row r="1016" spans="1:7" ht="12.75" x14ac:dyDescent="0.2">
      <c r="A1016" s="3">
        <v>28</v>
      </c>
      <c r="B1016" s="4" t="s">
        <v>58</v>
      </c>
      <c r="C1016" s="3" t="s">
        <v>273</v>
      </c>
      <c r="D1016" s="3" t="s">
        <v>14</v>
      </c>
      <c r="E1016" s="3">
        <v>39</v>
      </c>
      <c r="G1016" s="57"/>
    </row>
    <row r="1017" spans="1:7" ht="12.75" x14ac:dyDescent="0.2">
      <c r="A1017" s="3">
        <v>28</v>
      </c>
      <c r="B1017" s="4" t="s">
        <v>58</v>
      </c>
      <c r="C1017" s="3" t="s">
        <v>273</v>
      </c>
      <c r="D1017" s="3" t="s">
        <v>138</v>
      </c>
      <c r="E1017" s="3">
        <v>5</v>
      </c>
      <c r="F1017">
        <f>SUM(E1010:E1017)</f>
        <v>296</v>
      </c>
      <c r="G1017" s="57"/>
    </row>
    <row r="1018" spans="1:7" ht="12.75" x14ac:dyDescent="0.2">
      <c r="A1018" s="3">
        <v>28</v>
      </c>
      <c r="B1018" s="4" t="s">
        <v>58</v>
      </c>
      <c r="C1018" s="3" t="s">
        <v>125</v>
      </c>
      <c r="D1018" s="3" t="s">
        <v>274</v>
      </c>
      <c r="E1018" s="3">
        <v>0</v>
      </c>
      <c r="G1018" s="57"/>
    </row>
    <row r="1019" spans="1:7" ht="12.75" x14ac:dyDescent="0.2">
      <c r="A1019" s="3">
        <v>28</v>
      </c>
      <c r="B1019" s="4" t="s">
        <v>58</v>
      </c>
      <c r="C1019" s="3" t="s">
        <v>125</v>
      </c>
      <c r="D1019" s="3" t="s">
        <v>283</v>
      </c>
      <c r="E1019" s="3">
        <v>103</v>
      </c>
      <c r="G1019" s="57"/>
    </row>
    <row r="1020" spans="1:7" ht="12.75" x14ac:dyDescent="0.2">
      <c r="A1020" s="3">
        <v>28</v>
      </c>
      <c r="B1020" s="4" t="s">
        <v>58</v>
      </c>
      <c r="C1020" s="3" t="s">
        <v>125</v>
      </c>
      <c r="D1020" s="3" t="s">
        <v>315</v>
      </c>
      <c r="E1020" s="3">
        <v>3</v>
      </c>
      <c r="G1020" s="57"/>
    </row>
    <row r="1021" spans="1:7" ht="12.75" x14ac:dyDescent="0.2">
      <c r="A1021" s="3">
        <v>28</v>
      </c>
      <c r="B1021" s="4" t="s">
        <v>58</v>
      </c>
      <c r="C1021" s="3" t="s">
        <v>125</v>
      </c>
      <c r="D1021" s="3" t="s">
        <v>128</v>
      </c>
      <c r="E1021" s="3">
        <v>128</v>
      </c>
      <c r="G1021" s="57"/>
    </row>
    <row r="1022" spans="1:7" ht="12.75" x14ac:dyDescent="0.2">
      <c r="A1022" s="3">
        <v>28</v>
      </c>
      <c r="B1022" s="4" t="s">
        <v>58</v>
      </c>
      <c r="C1022" s="3" t="s">
        <v>125</v>
      </c>
      <c r="D1022" s="3" t="s">
        <v>353</v>
      </c>
      <c r="E1022" s="3">
        <v>2</v>
      </c>
      <c r="G1022" s="57"/>
    </row>
    <row r="1023" spans="1:7" ht="12.75" x14ac:dyDescent="0.2">
      <c r="A1023" s="3">
        <v>28</v>
      </c>
      <c r="B1023" s="4" t="s">
        <v>58</v>
      </c>
      <c r="C1023" s="3" t="s">
        <v>125</v>
      </c>
      <c r="D1023" s="3" t="s">
        <v>371</v>
      </c>
      <c r="E1023" s="3">
        <v>11</v>
      </c>
      <c r="G1023" s="57"/>
    </row>
    <row r="1024" spans="1:7" ht="12.75" x14ac:dyDescent="0.2">
      <c r="A1024" s="3">
        <v>28</v>
      </c>
      <c r="B1024" s="4" t="s">
        <v>58</v>
      </c>
      <c r="C1024" s="3" t="s">
        <v>125</v>
      </c>
      <c r="D1024" s="3" t="s">
        <v>14</v>
      </c>
      <c r="E1024" s="3">
        <v>45</v>
      </c>
      <c r="G1024" s="57"/>
    </row>
    <row r="1025" spans="1:7" ht="12.75" x14ac:dyDescent="0.2">
      <c r="A1025" s="3">
        <v>28</v>
      </c>
      <c r="B1025" s="4" t="s">
        <v>58</v>
      </c>
      <c r="C1025" s="3" t="s">
        <v>125</v>
      </c>
      <c r="D1025" s="3" t="s">
        <v>138</v>
      </c>
      <c r="E1025" s="3">
        <v>4</v>
      </c>
      <c r="F1025">
        <f>SUM(E1018:E1025)</f>
        <v>296</v>
      </c>
      <c r="G1025" s="57"/>
    </row>
    <row r="1026" spans="1:7" ht="12.75" x14ac:dyDescent="0.2">
      <c r="A1026" s="3">
        <v>29</v>
      </c>
      <c r="B1026" s="4" t="s">
        <v>59</v>
      </c>
      <c r="C1026" s="3" t="s">
        <v>347</v>
      </c>
      <c r="D1026" s="3" t="s">
        <v>366</v>
      </c>
      <c r="E1026" s="3">
        <v>1</v>
      </c>
      <c r="G1026" s="59">
        <v>531</v>
      </c>
    </row>
    <row r="1027" spans="1:7" ht="12.75" x14ac:dyDescent="0.2">
      <c r="A1027" s="3">
        <v>29</v>
      </c>
      <c r="B1027" s="4" t="s">
        <v>59</v>
      </c>
      <c r="C1027" s="3" t="s">
        <v>347</v>
      </c>
      <c r="D1027" s="3" t="s">
        <v>274</v>
      </c>
      <c r="E1027" s="3">
        <v>0</v>
      </c>
      <c r="G1027" s="57"/>
    </row>
    <row r="1028" spans="1:7" ht="12.75" x14ac:dyDescent="0.2">
      <c r="A1028" s="3">
        <v>29</v>
      </c>
      <c r="B1028" s="4" t="s">
        <v>59</v>
      </c>
      <c r="C1028" s="3" t="s">
        <v>347</v>
      </c>
      <c r="D1028" s="3" t="s">
        <v>367</v>
      </c>
      <c r="E1028" s="3">
        <v>1</v>
      </c>
      <c r="G1028" s="57"/>
    </row>
    <row r="1029" spans="1:7" ht="12.75" x14ac:dyDescent="0.2">
      <c r="A1029" s="3">
        <v>29</v>
      </c>
      <c r="B1029" s="4" t="s">
        <v>59</v>
      </c>
      <c r="C1029" s="3" t="s">
        <v>347</v>
      </c>
      <c r="D1029" s="3" t="s">
        <v>368</v>
      </c>
      <c r="E1029" s="3">
        <v>0</v>
      </c>
      <c r="G1029" s="57"/>
    </row>
    <row r="1030" spans="1:7" ht="12.75" x14ac:dyDescent="0.2">
      <c r="A1030" s="3">
        <v>29</v>
      </c>
      <c r="B1030" s="4" t="s">
        <v>59</v>
      </c>
      <c r="C1030" s="3" t="s">
        <v>347</v>
      </c>
      <c r="D1030" s="3" t="s">
        <v>283</v>
      </c>
      <c r="E1030" s="3">
        <v>214</v>
      </c>
      <c r="G1030" s="57"/>
    </row>
    <row r="1031" spans="1:7" ht="12.75" x14ac:dyDescent="0.2">
      <c r="A1031" s="3">
        <v>29</v>
      </c>
      <c r="B1031" s="4" t="s">
        <v>59</v>
      </c>
      <c r="C1031" s="3" t="s">
        <v>347</v>
      </c>
      <c r="D1031" s="3" t="s">
        <v>315</v>
      </c>
      <c r="E1031" s="3">
        <v>9</v>
      </c>
      <c r="G1031" s="57"/>
    </row>
    <row r="1032" spans="1:7" ht="12.75" x14ac:dyDescent="0.2">
      <c r="A1032" s="3">
        <v>29</v>
      </c>
      <c r="B1032" s="4" t="s">
        <v>59</v>
      </c>
      <c r="C1032" s="3" t="s">
        <v>347</v>
      </c>
      <c r="D1032" s="3" t="s">
        <v>316</v>
      </c>
      <c r="E1032" s="3">
        <v>9</v>
      </c>
      <c r="G1032" s="57"/>
    </row>
    <row r="1033" spans="1:7" ht="12.75" x14ac:dyDescent="0.2">
      <c r="A1033" s="3">
        <v>29</v>
      </c>
      <c r="B1033" s="4" t="s">
        <v>59</v>
      </c>
      <c r="C1033" s="3" t="s">
        <v>347</v>
      </c>
      <c r="D1033" s="3" t="s">
        <v>369</v>
      </c>
      <c r="E1033" s="3">
        <v>0</v>
      </c>
      <c r="G1033" s="57"/>
    </row>
    <row r="1034" spans="1:7" ht="12.75" x14ac:dyDescent="0.2">
      <c r="A1034" s="3">
        <v>29</v>
      </c>
      <c r="B1034" s="4" t="s">
        <v>59</v>
      </c>
      <c r="C1034" s="3" t="s">
        <v>347</v>
      </c>
      <c r="D1034" s="3" t="s">
        <v>128</v>
      </c>
      <c r="E1034" s="3">
        <v>131</v>
      </c>
      <c r="G1034" s="57"/>
    </row>
    <row r="1035" spans="1:7" ht="12.75" x14ac:dyDescent="0.2">
      <c r="A1035" s="3">
        <v>29</v>
      </c>
      <c r="B1035" s="4" t="s">
        <v>59</v>
      </c>
      <c r="C1035" s="3" t="s">
        <v>347</v>
      </c>
      <c r="D1035" s="3" t="s">
        <v>370</v>
      </c>
      <c r="E1035" s="3">
        <v>2</v>
      </c>
      <c r="G1035" s="57"/>
    </row>
    <row r="1036" spans="1:7" ht="12.75" x14ac:dyDescent="0.2">
      <c r="A1036" s="3">
        <v>29</v>
      </c>
      <c r="B1036" s="4" t="s">
        <v>59</v>
      </c>
      <c r="C1036" s="3" t="s">
        <v>347</v>
      </c>
      <c r="D1036" s="3" t="s">
        <v>353</v>
      </c>
      <c r="E1036" s="3">
        <v>3</v>
      </c>
      <c r="G1036" s="57"/>
    </row>
    <row r="1037" spans="1:7" ht="12.75" x14ac:dyDescent="0.2">
      <c r="A1037" s="3">
        <v>29</v>
      </c>
      <c r="B1037" s="4" t="s">
        <v>59</v>
      </c>
      <c r="C1037" s="3" t="s">
        <v>347</v>
      </c>
      <c r="D1037" s="3" t="s">
        <v>371</v>
      </c>
      <c r="E1037" s="3">
        <v>55</v>
      </c>
      <c r="G1037" s="57"/>
    </row>
    <row r="1038" spans="1:7" ht="12.75" x14ac:dyDescent="0.2">
      <c r="A1038" s="3">
        <v>29</v>
      </c>
      <c r="B1038" s="4" t="s">
        <v>59</v>
      </c>
      <c r="C1038" s="3" t="s">
        <v>347</v>
      </c>
      <c r="D1038" s="3" t="s">
        <v>14</v>
      </c>
      <c r="E1038" s="3">
        <v>9</v>
      </c>
      <c r="G1038" s="57"/>
    </row>
    <row r="1039" spans="1:7" ht="12.75" x14ac:dyDescent="0.2">
      <c r="A1039" s="3">
        <v>29</v>
      </c>
      <c r="B1039" s="4" t="s">
        <v>59</v>
      </c>
      <c r="C1039" s="3" t="s">
        <v>347</v>
      </c>
      <c r="D1039" s="3" t="s">
        <v>138</v>
      </c>
      <c r="E1039" s="3">
        <v>2</v>
      </c>
      <c r="F1039">
        <f>SUM(E1026:E1039)</f>
        <v>436</v>
      </c>
      <c r="G1039" s="57"/>
    </row>
    <row r="1040" spans="1:7" ht="12.75" x14ac:dyDescent="0.2">
      <c r="A1040" s="3">
        <v>29</v>
      </c>
      <c r="B1040" s="4" t="s">
        <v>59</v>
      </c>
      <c r="C1040" s="3" t="s">
        <v>273</v>
      </c>
      <c r="D1040" s="3" t="s">
        <v>274</v>
      </c>
      <c r="E1040" s="3">
        <v>0</v>
      </c>
      <c r="G1040" s="57"/>
    </row>
    <row r="1041" spans="1:7" ht="12.75" x14ac:dyDescent="0.2">
      <c r="A1041" s="3">
        <v>29</v>
      </c>
      <c r="B1041" s="4" t="s">
        <v>59</v>
      </c>
      <c r="C1041" s="3" t="s">
        <v>273</v>
      </c>
      <c r="D1041" s="3" t="s">
        <v>283</v>
      </c>
      <c r="E1041" s="3">
        <v>252</v>
      </c>
      <c r="G1041" s="57"/>
    </row>
    <row r="1042" spans="1:7" ht="12.75" x14ac:dyDescent="0.2">
      <c r="A1042" s="3">
        <v>29</v>
      </c>
      <c r="B1042" s="4" t="s">
        <v>59</v>
      </c>
      <c r="C1042" s="3" t="s">
        <v>273</v>
      </c>
      <c r="D1042" s="3" t="s">
        <v>315</v>
      </c>
      <c r="E1042" s="3">
        <v>5</v>
      </c>
      <c r="G1042" s="57"/>
    </row>
    <row r="1043" spans="1:7" ht="12.75" x14ac:dyDescent="0.2">
      <c r="A1043" s="3">
        <v>29</v>
      </c>
      <c r="B1043" s="4" t="s">
        <v>59</v>
      </c>
      <c r="C1043" s="3" t="s">
        <v>273</v>
      </c>
      <c r="D1043" s="3" t="s">
        <v>128</v>
      </c>
      <c r="E1043" s="3">
        <v>118</v>
      </c>
      <c r="G1043" s="57"/>
    </row>
    <row r="1044" spans="1:7" ht="12.75" x14ac:dyDescent="0.2">
      <c r="A1044" s="3">
        <v>29</v>
      </c>
      <c r="B1044" s="4" t="s">
        <v>59</v>
      </c>
      <c r="C1044" s="3" t="s">
        <v>273</v>
      </c>
      <c r="D1044" s="3" t="s">
        <v>353</v>
      </c>
      <c r="E1044" s="3">
        <v>4</v>
      </c>
      <c r="G1044" s="57"/>
    </row>
    <row r="1045" spans="1:7" ht="12.75" x14ac:dyDescent="0.2">
      <c r="A1045" s="3">
        <v>29</v>
      </c>
      <c r="B1045" s="4" t="s">
        <v>59</v>
      </c>
      <c r="C1045" s="3" t="s">
        <v>273</v>
      </c>
      <c r="D1045" s="3" t="s">
        <v>371</v>
      </c>
      <c r="E1045" s="3">
        <v>38</v>
      </c>
      <c r="G1045" s="57"/>
    </row>
    <row r="1046" spans="1:7" ht="12.75" x14ac:dyDescent="0.2">
      <c r="A1046" s="3">
        <v>29</v>
      </c>
      <c r="B1046" s="4" t="s">
        <v>59</v>
      </c>
      <c r="C1046" s="3" t="s">
        <v>273</v>
      </c>
      <c r="D1046" s="3" t="s">
        <v>14</v>
      </c>
      <c r="E1046" s="3">
        <v>17</v>
      </c>
      <c r="G1046" s="57"/>
    </row>
    <row r="1047" spans="1:7" ht="12.75" x14ac:dyDescent="0.2">
      <c r="A1047" s="3">
        <v>29</v>
      </c>
      <c r="B1047" s="4" t="s">
        <v>59</v>
      </c>
      <c r="C1047" s="3" t="s">
        <v>273</v>
      </c>
      <c r="D1047" s="3" t="s">
        <v>138</v>
      </c>
      <c r="E1047" s="3">
        <v>2</v>
      </c>
      <c r="F1047">
        <f>SUM(E1040:E1047)</f>
        <v>436</v>
      </c>
      <c r="G1047" s="57"/>
    </row>
    <row r="1048" spans="1:7" ht="12.75" x14ac:dyDescent="0.2">
      <c r="A1048" s="3">
        <v>29</v>
      </c>
      <c r="B1048" s="4" t="s">
        <v>59</v>
      </c>
      <c r="C1048" s="3" t="s">
        <v>125</v>
      </c>
      <c r="D1048" s="3" t="s">
        <v>274</v>
      </c>
      <c r="E1048" s="3">
        <v>0</v>
      </c>
      <c r="G1048" s="57"/>
    </row>
    <row r="1049" spans="1:7" ht="12.75" x14ac:dyDescent="0.2">
      <c r="A1049" s="3">
        <v>29</v>
      </c>
      <c r="B1049" s="4" t="s">
        <v>59</v>
      </c>
      <c r="C1049" s="3" t="s">
        <v>125</v>
      </c>
      <c r="D1049" s="3" t="s">
        <v>283</v>
      </c>
      <c r="E1049" s="3">
        <v>251</v>
      </c>
      <c r="G1049" s="57"/>
    </row>
    <row r="1050" spans="1:7" ht="12.75" x14ac:dyDescent="0.2">
      <c r="A1050" s="3">
        <v>29</v>
      </c>
      <c r="B1050" s="4" t="s">
        <v>59</v>
      </c>
      <c r="C1050" s="3" t="s">
        <v>125</v>
      </c>
      <c r="D1050" s="3" t="s">
        <v>315</v>
      </c>
      <c r="E1050" s="3">
        <v>5</v>
      </c>
      <c r="G1050" s="57"/>
    </row>
    <row r="1051" spans="1:7" ht="12.75" x14ac:dyDescent="0.2">
      <c r="A1051" s="3">
        <v>29</v>
      </c>
      <c r="B1051" s="4" t="s">
        <v>59</v>
      </c>
      <c r="C1051" s="3" t="s">
        <v>125</v>
      </c>
      <c r="D1051" s="3" t="s">
        <v>128</v>
      </c>
      <c r="E1051" s="3">
        <v>117</v>
      </c>
      <c r="G1051" s="57"/>
    </row>
    <row r="1052" spans="1:7" ht="12.75" x14ac:dyDescent="0.2">
      <c r="A1052" s="3">
        <v>29</v>
      </c>
      <c r="B1052" s="4" t="s">
        <v>59</v>
      </c>
      <c r="C1052" s="3" t="s">
        <v>125</v>
      </c>
      <c r="D1052" s="3" t="s">
        <v>353</v>
      </c>
      <c r="E1052" s="3">
        <v>4</v>
      </c>
      <c r="G1052" s="57"/>
    </row>
    <row r="1053" spans="1:7" ht="12.75" x14ac:dyDescent="0.2">
      <c r="A1053" s="3">
        <v>29</v>
      </c>
      <c r="B1053" s="4" t="s">
        <v>59</v>
      </c>
      <c r="C1053" s="3" t="s">
        <v>125</v>
      </c>
      <c r="D1053" s="3" t="s">
        <v>371</v>
      </c>
      <c r="E1053" s="3">
        <v>38</v>
      </c>
      <c r="G1053" s="57"/>
    </row>
    <row r="1054" spans="1:7" ht="12.75" x14ac:dyDescent="0.2">
      <c r="A1054" s="3">
        <v>29</v>
      </c>
      <c r="B1054" s="4" t="s">
        <v>59</v>
      </c>
      <c r="C1054" s="3" t="s">
        <v>125</v>
      </c>
      <c r="D1054" s="3" t="s">
        <v>14</v>
      </c>
      <c r="E1054" s="3">
        <v>18</v>
      </c>
      <c r="G1054" s="57"/>
    </row>
    <row r="1055" spans="1:7" ht="12.75" x14ac:dyDescent="0.2">
      <c r="A1055" s="3">
        <v>29</v>
      </c>
      <c r="B1055" s="4" t="s">
        <v>59</v>
      </c>
      <c r="C1055" s="3" t="s">
        <v>125</v>
      </c>
      <c r="D1055" s="3" t="s">
        <v>138</v>
      </c>
      <c r="E1055" s="3">
        <v>3</v>
      </c>
      <c r="F1055">
        <f>SUM(E1048:E1055)</f>
        <v>436</v>
      </c>
      <c r="G1055" s="57"/>
    </row>
    <row r="1056" spans="1:7" ht="12.75" x14ac:dyDescent="0.2">
      <c r="A1056" s="3">
        <v>30</v>
      </c>
      <c r="B1056" s="4" t="s">
        <v>60</v>
      </c>
      <c r="C1056" s="3" t="s">
        <v>347</v>
      </c>
      <c r="D1056" s="3" t="s">
        <v>366</v>
      </c>
      <c r="E1056" s="3">
        <v>2</v>
      </c>
      <c r="G1056" s="59">
        <v>244</v>
      </c>
    </row>
    <row r="1057" spans="1:7" ht="12.75" x14ac:dyDescent="0.2">
      <c r="A1057" s="3">
        <v>30</v>
      </c>
      <c r="B1057" s="4" t="s">
        <v>60</v>
      </c>
      <c r="C1057" s="3" t="s">
        <v>347</v>
      </c>
      <c r="D1057" s="3" t="s">
        <v>274</v>
      </c>
      <c r="E1057" s="3">
        <v>0</v>
      </c>
      <c r="G1057" s="57"/>
    </row>
    <row r="1058" spans="1:7" ht="12.75" x14ac:dyDescent="0.2">
      <c r="A1058" s="3">
        <v>30</v>
      </c>
      <c r="B1058" s="4" t="s">
        <v>60</v>
      </c>
      <c r="C1058" s="3" t="s">
        <v>347</v>
      </c>
      <c r="D1058" s="3" t="s">
        <v>367</v>
      </c>
      <c r="E1058" s="3">
        <v>0</v>
      </c>
      <c r="G1058" s="57"/>
    </row>
    <row r="1059" spans="1:7" ht="12.75" x14ac:dyDescent="0.2">
      <c r="A1059" s="3">
        <v>30</v>
      </c>
      <c r="B1059" s="4" t="s">
        <v>60</v>
      </c>
      <c r="C1059" s="3" t="s">
        <v>347</v>
      </c>
      <c r="D1059" s="3" t="s">
        <v>368</v>
      </c>
      <c r="E1059" s="3">
        <v>1</v>
      </c>
      <c r="G1059" s="57"/>
    </row>
    <row r="1060" spans="1:7" ht="12.75" x14ac:dyDescent="0.2">
      <c r="A1060" s="3">
        <v>30</v>
      </c>
      <c r="B1060" s="4" t="s">
        <v>60</v>
      </c>
      <c r="C1060" s="3" t="s">
        <v>347</v>
      </c>
      <c r="D1060" s="3" t="s">
        <v>283</v>
      </c>
      <c r="E1060" s="3">
        <v>140</v>
      </c>
      <c r="G1060" s="57"/>
    </row>
    <row r="1061" spans="1:7" ht="12.75" x14ac:dyDescent="0.2">
      <c r="A1061" s="3">
        <v>30</v>
      </c>
      <c r="B1061" s="4" t="s">
        <v>60</v>
      </c>
      <c r="C1061" s="3" t="s">
        <v>347</v>
      </c>
      <c r="D1061" s="3" t="s">
        <v>315</v>
      </c>
      <c r="E1061" s="3">
        <v>1</v>
      </c>
      <c r="G1061" s="57"/>
    </row>
    <row r="1062" spans="1:7" ht="12.75" x14ac:dyDescent="0.2">
      <c r="A1062" s="3">
        <v>30</v>
      </c>
      <c r="B1062" s="4" t="s">
        <v>60</v>
      </c>
      <c r="C1062" s="3" t="s">
        <v>347</v>
      </c>
      <c r="D1062" s="3" t="s">
        <v>316</v>
      </c>
      <c r="E1062" s="3">
        <v>1</v>
      </c>
      <c r="G1062" s="57"/>
    </row>
    <row r="1063" spans="1:7" ht="12.75" x14ac:dyDescent="0.2">
      <c r="A1063" s="3">
        <v>30</v>
      </c>
      <c r="B1063" s="4" t="s">
        <v>60</v>
      </c>
      <c r="C1063" s="3" t="s">
        <v>347</v>
      </c>
      <c r="D1063" s="3" t="s">
        <v>369</v>
      </c>
      <c r="E1063" s="3">
        <v>0</v>
      </c>
      <c r="G1063" s="57"/>
    </row>
    <row r="1064" spans="1:7" ht="12.75" x14ac:dyDescent="0.2">
      <c r="A1064" s="3">
        <v>30</v>
      </c>
      <c r="B1064" s="4" t="s">
        <v>60</v>
      </c>
      <c r="C1064" s="3" t="s">
        <v>347</v>
      </c>
      <c r="D1064" s="3" t="s">
        <v>128</v>
      </c>
      <c r="E1064" s="3">
        <v>33</v>
      </c>
      <c r="G1064" s="57"/>
    </row>
    <row r="1065" spans="1:7" ht="12.75" x14ac:dyDescent="0.2">
      <c r="A1065" s="3">
        <v>30</v>
      </c>
      <c r="B1065" s="4" t="s">
        <v>60</v>
      </c>
      <c r="C1065" s="3" t="s">
        <v>347</v>
      </c>
      <c r="D1065" s="3" t="s">
        <v>370</v>
      </c>
      <c r="E1065" s="3">
        <v>0</v>
      </c>
      <c r="G1065" s="57"/>
    </row>
    <row r="1066" spans="1:7" ht="12.75" x14ac:dyDescent="0.2">
      <c r="A1066" s="3">
        <v>30</v>
      </c>
      <c r="B1066" s="4" t="s">
        <v>60</v>
      </c>
      <c r="C1066" s="3" t="s">
        <v>347</v>
      </c>
      <c r="D1066" s="3" t="s">
        <v>353</v>
      </c>
      <c r="E1066" s="3">
        <v>2</v>
      </c>
      <c r="G1066" s="57"/>
    </row>
    <row r="1067" spans="1:7" ht="12.75" x14ac:dyDescent="0.2">
      <c r="A1067" s="3">
        <v>30</v>
      </c>
      <c r="B1067" s="4" t="s">
        <v>60</v>
      </c>
      <c r="C1067" s="3" t="s">
        <v>347</v>
      </c>
      <c r="D1067" s="3" t="s">
        <v>371</v>
      </c>
      <c r="E1067" s="3">
        <v>11</v>
      </c>
      <c r="G1067" s="57"/>
    </row>
    <row r="1068" spans="1:7" ht="12.75" x14ac:dyDescent="0.2">
      <c r="A1068" s="3">
        <v>30</v>
      </c>
      <c r="B1068" s="4" t="s">
        <v>60</v>
      </c>
      <c r="C1068" s="3" t="s">
        <v>347</v>
      </c>
      <c r="D1068" s="3" t="s">
        <v>14</v>
      </c>
      <c r="E1068" s="3">
        <v>12</v>
      </c>
      <c r="G1068" s="57"/>
    </row>
    <row r="1069" spans="1:7" ht="12.75" x14ac:dyDescent="0.2">
      <c r="A1069" s="3">
        <v>30</v>
      </c>
      <c r="B1069" s="4" t="s">
        <v>60</v>
      </c>
      <c r="C1069" s="3" t="s">
        <v>347</v>
      </c>
      <c r="D1069" s="3" t="s">
        <v>138</v>
      </c>
      <c r="E1069" s="3">
        <v>0</v>
      </c>
      <c r="F1069">
        <f>SUM(E1056:E1069)</f>
        <v>203</v>
      </c>
      <c r="G1069" s="57"/>
    </row>
    <row r="1070" spans="1:7" ht="12.75" x14ac:dyDescent="0.2">
      <c r="A1070" s="3">
        <v>30</v>
      </c>
      <c r="B1070" s="4" t="s">
        <v>60</v>
      </c>
      <c r="C1070" s="3" t="s">
        <v>273</v>
      </c>
      <c r="D1070" s="3" t="s">
        <v>274</v>
      </c>
      <c r="E1070" s="3">
        <v>0</v>
      </c>
      <c r="G1070" s="57"/>
    </row>
    <row r="1071" spans="1:7" ht="12.75" x14ac:dyDescent="0.2">
      <c r="A1071" s="3">
        <v>30</v>
      </c>
      <c r="B1071" s="4" t="s">
        <v>60</v>
      </c>
      <c r="C1071" s="3" t="s">
        <v>273</v>
      </c>
      <c r="D1071" s="3" t="s">
        <v>283</v>
      </c>
      <c r="E1071" s="3">
        <v>145</v>
      </c>
      <c r="G1071" s="57"/>
    </row>
    <row r="1072" spans="1:7" ht="12.75" x14ac:dyDescent="0.2">
      <c r="A1072" s="3">
        <v>30</v>
      </c>
      <c r="B1072" s="4" t="s">
        <v>60</v>
      </c>
      <c r="C1072" s="3" t="s">
        <v>273</v>
      </c>
      <c r="D1072" s="3" t="s">
        <v>315</v>
      </c>
      <c r="E1072" s="3">
        <v>1</v>
      </c>
      <c r="G1072" s="57"/>
    </row>
    <row r="1073" spans="1:7" ht="12.75" x14ac:dyDescent="0.2">
      <c r="A1073" s="3">
        <v>30</v>
      </c>
      <c r="B1073" s="4" t="s">
        <v>60</v>
      </c>
      <c r="C1073" s="3" t="s">
        <v>273</v>
      </c>
      <c r="D1073" s="3" t="s">
        <v>128</v>
      </c>
      <c r="E1073" s="3">
        <v>35</v>
      </c>
      <c r="G1073" s="57"/>
    </row>
    <row r="1074" spans="1:7" ht="12.75" x14ac:dyDescent="0.2">
      <c r="A1074" s="3">
        <v>30</v>
      </c>
      <c r="B1074" s="4" t="s">
        <v>60</v>
      </c>
      <c r="C1074" s="3" t="s">
        <v>273</v>
      </c>
      <c r="D1074" s="3" t="s">
        <v>353</v>
      </c>
      <c r="E1074" s="3">
        <v>1</v>
      </c>
      <c r="G1074" s="57"/>
    </row>
    <row r="1075" spans="1:7" ht="12.75" x14ac:dyDescent="0.2">
      <c r="A1075" s="3">
        <v>30</v>
      </c>
      <c r="B1075" s="4" t="s">
        <v>60</v>
      </c>
      <c r="C1075" s="3" t="s">
        <v>273</v>
      </c>
      <c r="D1075" s="3" t="s">
        <v>371</v>
      </c>
      <c r="E1075" s="3">
        <v>7</v>
      </c>
      <c r="G1075" s="57"/>
    </row>
    <row r="1076" spans="1:7" ht="12.75" x14ac:dyDescent="0.2">
      <c r="A1076" s="3">
        <v>30</v>
      </c>
      <c r="B1076" s="4" t="s">
        <v>60</v>
      </c>
      <c r="C1076" s="3" t="s">
        <v>273</v>
      </c>
      <c r="D1076" s="3" t="s">
        <v>14</v>
      </c>
      <c r="E1076" s="3">
        <v>14</v>
      </c>
      <c r="G1076" s="57"/>
    </row>
    <row r="1077" spans="1:7" ht="12.75" x14ac:dyDescent="0.2">
      <c r="A1077" s="3">
        <v>30</v>
      </c>
      <c r="B1077" s="4" t="s">
        <v>60</v>
      </c>
      <c r="C1077" s="3" t="s">
        <v>273</v>
      </c>
      <c r="D1077" s="3" t="s">
        <v>138</v>
      </c>
      <c r="E1077" s="3">
        <v>0</v>
      </c>
      <c r="F1077">
        <f>SUM(E1070:E1077)</f>
        <v>203</v>
      </c>
      <c r="G1077" s="57"/>
    </row>
    <row r="1078" spans="1:7" ht="12.75" x14ac:dyDescent="0.2">
      <c r="A1078" s="3">
        <v>30</v>
      </c>
      <c r="B1078" s="4" t="s">
        <v>60</v>
      </c>
      <c r="C1078" s="3" t="s">
        <v>125</v>
      </c>
      <c r="D1078" s="3" t="s">
        <v>274</v>
      </c>
      <c r="E1078" s="3">
        <v>0</v>
      </c>
      <c r="G1078" s="57"/>
    </row>
    <row r="1079" spans="1:7" ht="12.75" x14ac:dyDescent="0.2">
      <c r="A1079" s="3">
        <v>30</v>
      </c>
      <c r="B1079" s="4" t="s">
        <v>60</v>
      </c>
      <c r="C1079" s="3" t="s">
        <v>125</v>
      </c>
      <c r="D1079" s="3" t="s">
        <v>283</v>
      </c>
      <c r="E1079" s="3">
        <v>143</v>
      </c>
      <c r="G1079" s="57"/>
    </row>
    <row r="1080" spans="1:7" ht="12.75" x14ac:dyDescent="0.2">
      <c r="A1080" s="3">
        <v>30</v>
      </c>
      <c r="B1080" s="4" t="s">
        <v>60</v>
      </c>
      <c r="C1080" s="3" t="s">
        <v>125</v>
      </c>
      <c r="D1080" s="3" t="s">
        <v>315</v>
      </c>
      <c r="E1080" s="3">
        <v>1</v>
      </c>
      <c r="G1080" s="57"/>
    </row>
    <row r="1081" spans="1:7" ht="12.75" x14ac:dyDescent="0.2">
      <c r="A1081" s="3">
        <v>30</v>
      </c>
      <c r="B1081" s="4" t="s">
        <v>60</v>
      </c>
      <c r="C1081" s="3" t="s">
        <v>125</v>
      </c>
      <c r="D1081" s="3" t="s">
        <v>128</v>
      </c>
      <c r="E1081" s="3">
        <v>32</v>
      </c>
      <c r="G1081" s="57"/>
    </row>
    <row r="1082" spans="1:7" ht="12.75" x14ac:dyDescent="0.2">
      <c r="A1082" s="3">
        <v>30</v>
      </c>
      <c r="B1082" s="4" t="s">
        <v>60</v>
      </c>
      <c r="C1082" s="3" t="s">
        <v>125</v>
      </c>
      <c r="D1082" s="3" t="s">
        <v>353</v>
      </c>
      <c r="E1082" s="3">
        <v>1</v>
      </c>
      <c r="G1082" s="57"/>
    </row>
    <row r="1083" spans="1:7" ht="12.75" x14ac:dyDescent="0.2">
      <c r="A1083" s="3">
        <v>30</v>
      </c>
      <c r="B1083" s="4" t="s">
        <v>60</v>
      </c>
      <c r="C1083" s="3" t="s">
        <v>125</v>
      </c>
      <c r="D1083" s="3" t="s">
        <v>371</v>
      </c>
      <c r="E1083" s="3">
        <v>7</v>
      </c>
      <c r="G1083" s="57"/>
    </row>
    <row r="1084" spans="1:7" ht="12.75" x14ac:dyDescent="0.2">
      <c r="A1084" s="3">
        <v>30</v>
      </c>
      <c r="B1084" s="4" t="s">
        <v>60</v>
      </c>
      <c r="C1084" s="3" t="s">
        <v>125</v>
      </c>
      <c r="D1084" s="3" t="s">
        <v>14</v>
      </c>
      <c r="E1084" s="3">
        <v>19</v>
      </c>
      <c r="G1084" s="57"/>
    </row>
    <row r="1085" spans="1:7" ht="12.75" x14ac:dyDescent="0.2">
      <c r="A1085" s="3">
        <v>30</v>
      </c>
      <c r="B1085" s="4" t="s">
        <v>60</v>
      </c>
      <c r="C1085" s="3" t="s">
        <v>125</v>
      </c>
      <c r="D1085" s="3" t="s">
        <v>138</v>
      </c>
      <c r="E1085" s="3">
        <v>0</v>
      </c>
      <c r="F1085">
        <f>SUM(E1078:E1085)</f>
        <v>203</v>
      </c>
      <c r="G1085" s="57"/>
    </row>
    <row r="1086" spans="1:7" ht="12.75" x14ac:dyDescent="0.2">
      <c r="A1086" s="3">
        <v>31</v>
      </c>
      <c r="B1086" s="4" t="s">
        <v>61</v>
      </c>
      <c r="C1086" s="3" t="s">
        <v>347</v>
      </c>
      <c r="D1086" s="3" t="s">
        <v>366</v>
      </c>
      <c r="E1086" s="3">
        <v>8</v>
      </c>
      <c r="G1086" s="59">
        <v>2440</v>
      </c>
    </row>
    <row r="1087" spans="1:7" ht="12.75" x14ac:dyDescent="0.2">
      <c r="A1087" s="3">
        <v>31</v>
      </c>
      <c r="B1087" s="4" t="s">
        <v>61</v>
      </c>
      <c r="C1087" s="3" t="s">
        <v>347</v>
      </c>
      <c r="D1087" s="3" t="s">
        <v>274</v>
      </c>
      <c r="E1087" s="3">
        <v>0</v>
      </c>
      <c r="G1087" s="57"/>
    </row>
    <row r="1088" spans="1:7" ht="12.75" x14ac:dyDescent="0.2">
      <c r="A1088" s="3">
        <v>31</v>
      </c>
      <c r="B1088" s="4" t="s">
        <v>61</v>
      </c>
      <c r="C1088" s="3" t="s">
        <v>347</v>
      </c>
      <c r="D1088" s="3" t="s">
        <v>367</v>
      </c>
      <c r="E1088" s="3">
        <v>3</v>
      </c>
      <c r="G1088" s="57"/>
    </row>
    <row r="1089" spans="1:7" ht="12.75" x14ac:dyDescent="0.2">
      <c r="A1089" s="3">
        <v>31</v>
      </c>
      <c r="B1089" s="4" t="s">
        <v>61</v>
      </c>
      <c r="C1089" s="3" t="s">
        <v>347</v>
      </c>
      <c r="D1089" s="3" t="s">
        <v>368</v>
      </c>
      <c r="E1089" s="3">
        <v>6</v>
      </c>
      <c r="G1089" s="57"/>
    </row>
    <row r="1090" spans="1:7" ht="12.75" x14ac:dyDescent="0.2">
      <c r="A1090" s="3">
        <v>31</v>
      </c>
      <c r="B1090" s="4" t="s">
        <v>61</v>
      </c>
      <c r="C1090" s="3" t="s">
        <v>347</v>
      </c>
      <c r="D1090" s="3" t="s">
        <v>283</v>
      </c>
      <c r="E1090" s="3">
        <v>723</v>
      </c>
      <c r="G1090" s="57"/>
    </row>
    <row r="1091" spans="1:7" ht="12.75" x14ac:dyDescent="0.2">
      <c r="A1091" s="3">
        <v>31</v>
      </c>
      <c r="B1091" s="4" t="s">
        <v>61</v>
      </c>
      <c r="C1091" s="3" t="s">
        <v>347</v>
      </c>
      <c r="D1091" s="3" t="s">
        <v>315</v>
      </c>
      <c r="E1091" s="3">
        <v>23</v>
      </c>
      <c r="G1091" s="57"/>
    </row>
    <row r="1092" spans="1:7" ht="12.75" x14ac:dyDescent="0.2">
      <c r="A1092" s="3">
        <v>31</v>
      </c>
      <c r="B1092" s="4" t="s">
        <v>61</v>
      </c>
      <c r="C1092" s="3" t="s">
        <v>347</v>
      </c>
      <c r="D1092" s="3" t="s">
        <v>316</v>
      </c>
      <c r="E1092" s="3">
        <v>25</v>
      </c>
      <c r="G1092" s="57"/>
    </row>
    <row r="1093" spans="1:7" ht="12.75" x14ac:dyDescent="0.2">
      <c r="A1093" s="3">
        <v>31</v>
      </c>
      <c r="B1093" s="4" t="s">
        <v>61</v>
      </c>
      <c r="C1093" s="3" t="s">
        <v>347</v>
      </c>
      <c r="D1093" s="3" t="s">
        <v>369</v>
      </c>
      <c r="E1093" s="3">
        <v>3</v>
      </c>
      <c r="G1093" s="57"/>
    </row>
    <row r="1094" spans="1:7" ht="12.75" x14ac:dyDescent="0.2">
      <c r="A1094" s="3">
        <v>31</v>
      </c>
      <c r="B1094" s="4" t="s">
        <v>61</v>
      </c>
      <c r="C1094" s="3" t="s">
        <v>347</v>
      </c>
      <c r="D1094" s="3" t="s">
        <v>128</v>
      </c>
      <c r="E1094" s="3">
        <v>763</v>
      </c>
      <c r="G1094" s="57"/>
    </row>
    <row r="1095" spans="1:7" ht="12.75" x14ac:dyDescent="0.2">
      <c r="A1095" s="3">
        <v>31</v>
      </c>
      <c r="B1095" s="4" t="s">
        <v>61</v>
      </c>
      <c r="C1095" s="3" t="s">
        <v>347</v>
      </c>
      <c r="D1095" s="3" t="s">
        <v>370</v>
      </c>
      <c r="E1095" s="3">
        <v>7</v>
      </c>
      <c r="G1095" s="57"/>
    </row>
    <row r="1096" spans="1:7" ht="12.75" x14ac:dyDescent="0.2">
      <c r="A1096" s="3">
        <v>31</v>
      </c>
      <c r="B1096" s="4" t="s">
        <v>61</v>
      </c>
      <c r="C1096" s="3" t="s">
        <v>347</v>
      </c>
      <c r="D1096" s="3" t="s">
        <v>353</v>
      </c>
      <c r="E1096" s="3">
        <v>21</v>
      </c>
      <c r="G1096" s="57"/>
    </row>
    <row r="1097" spans="1:7" ht="12.75" x14ac:dyDescent="0.2">
      <c r="A1097" s="3">
        <v>31</v>
      </c>
      <c r="B1097" s="4" t="s">
        <v>61</v>
      </c>
      <c r="C1097" s="3" t="s">
        <v>347</v>
      </c>
      <c r="D1097" s="3" t="s">
        <v>371</v>
      </c>
      <c r="E1097" s="3">
        <v>345</v>
      </c>
      <c r="G1097" s="57"/>
    </row>
    <row r="1098" spans="1:7" ht="12.75" x14ac:dyDescent="0.2">
      <c r="A1098" s="3">
        <v>31</v>
      </c>
      <c r="B1098" s="4" t="s">
        <v>61</v>
      </c>
      <c r="C1098" s="3" t="s">
        <v>347</v>
      </c>
      <c r="D1098" s="3" t="s">
        <v>14</v>
      </c>
      <c r="E1098" s="3">
        <v>54</v>
      </c>
      <c r="G1098" s="57"/>
    </row>
    <row r="1099" spans="1:7" ht="12.75" x14ac:dyDescent="0.2">
      <c r="A1099" s="3">
        <v>31</v>
      </c>
      <c r="B1099" s="4" t="s">
        <v>61</v>
      </c>
      <c r="C1099" s="3" t="s">
        <v>347</v>
      </c>
      <c r="D1099" s="3" t="s">
        <v>138</v>
      </c>
      <c r="E1099" s="3">
        <v>5</v>
      </c>
      <c r="F1099">
        <f>SUM(E1086:E1099)</f>
        <v>1986</v>
      </c>
      <c r="G1099" s="57"/>
    </row>
    <row r="1100" spans="1:7" ht="12.75" x14ac:dyDescent="0.2">
      <c r="A1100" s="3">
        <v>31</v>
      </c>
      <c r="B1100" s="4" t="s">
        <v>61</v>
      </c>
      <c r="C1100" s="3" t="s">
        <v>273</v>
      </c>
      <c r="D1100" s="3" t="s">
        <v>274</v>
      </c>
      <c r="E1100" s="3">
        <v>3</v>
      </c>
      <c r="G1100" s="57"/>
    </row>
    <row r="1101" spans="1:7" ht="12.75" x14ac:dyDescent="0.2">
      <c r="A1101" s="3">
        <v>31</v>
      </c>
      <c r="B1101" s="4" t="s">
        <v>61</v>
      </c>
      <c r="C1101" s="3" t="s">
        <v>273</v>
      </c>
      <c r="D1101" s="3" t="s">
        <v>283</v>
      </c>
      <c r="E1101" s="3">
        <v>823</v>
      </c>
      <c r="G1101" s="57"/>
    </row>
    <row r="1102" spans="1:7" ht="12.75" x14ac:dyDescent="0.2">
      <c r="A1102" s="3">
        <v>31</v>
      </c>
      <c r="B1102" s="4" t="s">
        <v>61</v>
      </c>
      <c r="C1102" s="3" t="s">
        <v>273</v>
      </c>
      <c r="D1102" s="3" t="s">
        <v>315</v>
      </c>
      <c r="E1102" s="3">
        <v>17</v>
      </c>
      <c r="G1102" s="57"/>
    </row>
    <row r="1103" spans="1:7" ht="12.75" x14ac:dyDescent="0.2">
      <c r="A1103" s="3">
        <v>31</v>
      </c>
      <c r="B1103" s="4" t="s">
        <v>61</v>
      </c>
      <c r="C1103" s="3" t="s">
        <v>273</v>
      </c>
      <c r="D1103" s="3" t="s">
        <v>128</v>
      </c>
      <c r="E1103" s="3">
        <v>769</v>
      </c>
      <c r="G1103" s="57"/>
    </row>
    <row r="1104" spans="1:7" ht="12.75" x14ac:dyDescent="0.2">
      <c r="A1104" s="3">
        <v>31</v>
      </c>
      <c r="B1104" s="4" t="s">
        <v>61</v>
      </c>
      <c r="C1104" s="3" t="s">
        <v>273</v>
      </c>
      <c r="D1104" s="3" t="s">
        <v>353</v>
      </c>
      <c r="E1104" s="3">
        <v>52</v>
      </c>
      <c r="G1104" s="57"/>
    </row>
    <row r="1105" spans="1:7" ht="12.75" x14ac:dyDescent="0.2">
      <c r="A1105" s="3">
        <v>31</v>
      </c>
      <c r="B1105" s="4" t="s">
        <v>61</v>
      </c>
      <c r="C1105" s="3" t="s">
        <v>273</v>
      </c>
      <c r="D1105" s="3" t="s">
        <v>371</v>
      </c>
      <c r="E1105" s="3">
        <v>200</v>
      </c>
      <c r="G1105" s="57"/>
    </row>
    <row r="1106" spans="1:7" ht="12.75" x14ac:dyDescent="0.2">
      <c r="A1106" s="3">
        <v>31</v>
      </c>
      <c r="B1106" s="4" t="s">
        <v>61</v>
      </c>
      <c r="C1106" s="3" t="s">
        <v>273</v>
      </c>
      <c r="D1106" s="3" t="s">
        <v>14</v>
      </c>
      <c r="E1106" s="3">
        <v>117</v>
      </c>
      <c r="G1106" s="57"/>
    </row>
    <row r="1107" spans="1:7" ht="12.75" x14ac:dyDescent="0.2">
      <c r="A1107" s="3">
        <v>31</v>
      </c>
      <c r="B1107" s="4" t="s">
        <v>61</v>
      </c>
      <c r="C1107" s="3" t="s">
        <v>273</v>
      </c>
      <c r="D1107" s="3" t="s">
        <v>138</v>
      </c>
      <c r="E1107" s="3">
        <v>5</v>
      </c>
      <c r="F1107">
        <f>SUM(E1100:E1107)</f>
        <v>1986</v>
      </c>
      <c r="G1107" s="57"/>
    </row>
    <row r="1108" spans="1:7" ht="12.75" x14ac:dyDescent="0.2">
      <c r="A1108" s="3">
        <v>31</v>
      </c>
      <c r="B1108" s="4" t="s">
        <v>61</v>
      </c>
      <c r="C1108" s="3" t="s">
        <v>125</v>
      </c>
      <c r="D1108" s="3" t="s">
        <v>274</v>
      </c>
      <c r="E1108" s="3">
        <v>5</v>
      </c>
      <c r="G1108" s="57"/>
    </row>
    <row r="1109" spans="1:7" ht="12.75" x14ac:dyDescent="0.2">
      <c r="A1109" s="3">
        <v>31</v>
      </c>
      <c r="B1109" s="4" t="s">
        <v>61</v>
      </c>
      <c r="C1109" s="3" t="s">
        <v>125</v>
      </c>
      <c r="D1109" s="3" t="s">
        <v>283</v>
      </c>
      <c r="E1109" s="3">
        <v>821</v>
      </c>
      <c r="G1109" s="57"/>
    </row>
    <row r="1110" spans="1:7" ht="12.75" x14ac:dyDescent="0.2">
      <c r="A1110" s="3">
        <v>31</v>
      </c>
      <c r="B1110" s="4" t="s">
        <v>61</v>
      </c>
      <c r="C1110" s="3" t="s">
        <v>125</v>
      </c>
      <c r="D1110" s="3" t="s">
        <v>315</v>
      </c>
      <c r="E1110" s="3">
        <v>16</v>
      </c>
      <c r="G1110" s="57"/>
    </row>
    <row r="1111" spans="1:7" ht="12.75" x14ac:dyDescent="0.2">
      <c r="A1111" s="3">
        <v>31</v>
      </c>
      <c r="B1111" s="4" t="s">
        <v>61</v>
      </c>
      <c r="C1111" s="3" t="s">
        <v>125</v>
      </c>
      <c r="D1111" s="3" t="s">
        <v>128</v>
      </c>
      <c r="E1111" s="3">
        <v>754</v>
      </c>
      <c r="G1111" s="57"/>
    </row>
    <row r="1112" spans="1:7" ht="12.75" x14ac:dyDescent="0.2">
      <c r="A1112" s="3">
        <v>31</v>
      </c>
      <c r="B1112" s="4" t="s">
        <v>61</v>
      </c>
      <c r="C1112" s="3" t="s">
        <v>125</v>
      </c>
      <c r="D1112" s="3" t="s">
        <v>353</v>
      </c>
      <c r="E1112" s="3">
        <v>53</v>
      </c>
      <c r="G1112" s="57"/>
    </row>
    <row r="1113" spans="1:7" ht="12.75" x14ac:dyDescent="0.2">
      <c r="A1113" s="3">
        <v>31</v>
      </c>
      <c r="B1113" s="4" t="s">
        <v>61</v>
      </c>
      <c r="C1113" s="3" t="s">
        <v>125</v>
      </c>
      <c r="D1113" s="3" t="s">
        <v>371</v>
      </c>
      <c r="E1113" s="3">
        <v>202</v>
      </c>
      <c r="G1113" s="57"/>
    </row>
    <row r="1114" spans="1:7" ht="12.75" x14ac:dyDescent="0.2">
      <c r="A1114" s="3">
        <v>31</v>
      </c>
      <c r="B1114" s="4" t="s">
        <v>61</v>
      </c>
      <c r="C1114" s="3" t="s">
        <v>125</v>
      </c>
      <c r="D1114" s="3" t="s">
        <v>14</v>
      </c>
      <c r="E1114" s="3">
        <v>130</v>
      </c>
      <c r="G1114" s="57"/>
    </row>
    <row r="1115" spans="1:7" ht="12.75" x14ac:dyDescent="0.2">
      <c r="A1115" s="3">
        <v>31</v>
      </c>
      <c r="B1115" s="4" t="s">
        <v>61</v>
      </c>
      <c r="C1115" s="3" t="s">
        <v>125</v>
      </c>
      <c r="D1115" s="3" t="s">
        <v>138</v>
      </c>
      <c r="E1115" s="3">
        <v>5</v>
      </c>
      <c r="F1115">
        <f>SUM(E1108:E1115)</f>
        <v>1986</v>
      </c>
      <c r="G1115" s="57"/>
    </row>
    <row r="1116" spans="1:7" ht="12.75" x14ac:dyDescent="0.2">
      <c r="A1116" s="3">
        <v>32</v>
      </c>
      <c r="B1116" s="4" t="s">
        <v>62</v>
      </c>
      <c r="C1116" s="3" t="s">
        <v>347</v>
      </c>
      <c r="D1116" s="3" t="s">
        <v>366</v>
      </c>
      <c r="E1116" s="3">
        <v>1</v>
      </c>
      <c r="G1116" s="59">
        <v>296</v>
      </c>
    </row>
    <row r="1117" spans="1:7" ht="12.75" x14ac:dyDescent="0.2">
      <c r="A1117" s="3">
        <v>32</v>
      </c>
      <c r="B1117" s="4" t="s">
        <v>62</v>
      </c>
      <c r="C1117" s="3" t="s">
        <v>347</v>
      </c>
      <c r="D1117" s="3" t="s">
        <v>274</v>
      </c>
      <c r="E1117" s="3">
        <v>0</v>
      </c>
      <c r="G1117" s="57"/>
    </row>
    <row r="1118" spans="1:7" ht="12.75" x14ac:dyDescent="0.2">
      <c r="A1118" s="3">
        <v>32</v>
      </c>
      <c r="B1118" s="4" t="s">
        <v>62</v>
      </c>
      <c r="C1118" s="3" t="s">
        <v>347</v>
      </c>
      <c r="D1118" s="3" t="s">
        <v>367</v>
      </c>
      <c r="E1118" s="3">
        <v>0</v>
      </c>
      <c r="G1118" s="57"/>
    </row>
    <row r="1119" spans="1:7" ht="12.75" x14ac:dyDescent="0.2">
      <c r="A1119" s="3">
        <v>32</v>
      </c>
      <c r="B1119" s="4" t="s">
        <v>62</v>
      </c>
      <c r="C1119" s="3" t="s">
        <v>347</v>
      </c>
      <c r="D1119" s="3" t="s">
        <v>368</v>
      </c>
      <c r="E1119" s="3">
        <v>0</v>
      </c>
      <c r="G1119" s="57"/>
    </row>
    <row r="1120" spans="1:7" ht="12.75" x14ac:dyDescent="0.2">
      <c r="A1120" s="3">
        <v>32</v>
      </c>
      <c r="B1120" s="4" t="s">
        <v>62</v>
      </c>
      <c r="C1120" s="3" t="s">
        <v>347</v>
      </c>
      <c r="D1120" s="3" t="s">
        <v>283</v>
      </c>
      <c r="E1120" s="3">
        <v>159</v>
      </c>
      <c r="G1120" s="57"/>
    </row>
    <row r="1121" spans="1:7" ht="12.75" x14ac:dyDescent="0.2">
      <c r="A1121" s="3">
        <v>32</v>
      </c>
      <c r="B1121" s="4" t="s">
        <v>62</v>
      </c>
      <c r="C1121" s="3" t="s">
        <v>347</v>
      </c>
      <c r="D1121" s="3" t="s">
        <v>315</v>
      </c>
      <c r="E1121" s="3">
        <v>0</v>
      </c>
      <c r="G1121" s="57"/>
    </row>
    <row r="1122" spans="1:7" ht="12.75" x14ac:dyDescent="0.2">
      <c r="A1122" s="3">
        <v>32</v>
      </c>
      <c r="B1122" s="4" t="s">
        <v>62</v>
      </c>
      <c r="C1122" s="3" t="s">
        <v>347</v>
      </c>
      <c r="D1122" s="3" t="s">
        <v>316</v>
      </c>
      <c r="E1122" s="3">
        <v>6</v>
      </c>
      <c r="G1122" s="57"/>
    </row>
    <row r="1123" spans="1:7" ht="12.75" x14ac:dyDescent="0.2">
      <c r="A1123" s="3">
        <v>32</v>
      </c>
      <c r="B1123" s="4" t="s">
        <v>62</v>
      </c>
      <c r="C1123" s="3" t="s">
        <v>347</v>
      </c>
      <c r="D1123" s="3" t="s">
        <v>369</v>
      </c>
      <c r="E1123" s="3">
        <v>0</v>
      </c>
      <c r="G1123" s="57"/>
    </row>
    <row r="1124" spans="1:7" ht="12.75" x14ac:dyDescent="0.2">
      <c r="A1124" s="3">
        <v>32</v>
      </c>
      <c r="B1124" s="4" t="s">
        <v>62</v>
      </c>
      <c r="C1124" s="3" t="s">
        <v>347</v>
      </c>
      <c r="D1124" s="3" t="s">
        <v>128</v>
      </c>
      <c r="E1124" s="3">
        <v>46</v>
      </c>
      <c r="G1124" s="57"/>
    </row>
    <row r="1125" spans="1:7" ht="12.75" x14ac:dyDescent="0.2">
      <c r="A1125" s="3">
        <v>32</v>
      </c>
      <c r="B1125" s="4" t="s">
        <v>62</v>
      </c>
      <c r="C1125" s="3" t="s">
        <v>347</v>
      </c>
      <c r="D1125" s="3" t="s">
        <v>370</v>
      </c>
      <c r="E1125" s="3">
        <v>1</v>
      </c>
      <c r="G1125" s="57"/>
    </row>
    <row r="1126" spans="1:7" ht="12.75" x14ac:dyDescent="0.2">
      <c r="A1126" s="3">
        <v>32</v>
      </c>
      <c r="B1126" s="4" t="s">
        <v>62</v>
      </c>
      <c r="C1126" s="3" t="s">
        <v>347</v>
      </c>
      <c r="D1126" s="3" t="s">
        <v>353</v>
      </c>
      <c r="E1126" s="3">
        <v>0</v>
      </c>
      <c r="G1126" s="57"/>
    </row>
    <row r="1127" spans="1:7" ht="12.75" x14ac:dyDescent="0.2">
      <c r="A1127" s="3">
        <v>32</v>
      </c>
      <c r="B1127" s="4" t="s">
        <v>62</v>
      </c>
      <c r="C1127" s="3" t="s">
        <v>347</v>
      </c>
      <c r="D1127" s="3" t="s">
        <v>371</v>
      </c>
      <c r="E1127" s="3">
        <v>18</v>
      </c>
      <c r="G1127" s="57"/>
    </row>
    <row r="1128" spans="1:7" ht="12.75" x14ac:dyDescent="0.2">
      <c r="A1128" s="3">
        <v>32</v>
      </c>
      <c r="B1128" s="4" t="s">
        <v>62</v>
      </c>
      <c r="C1128" s="3" t="s">
        <v>347</v>
      </c>
      <c r="D1128" s="3" t="s">
        <v>14</v>
      </c>
      <c r="E1128" s="3">
        <v>9</v>
      </c>
      <c r="G1128" s="57"/>
    </row>
    <row r="1129" spans="1:7" ht="12.75" x14ac:dyDescent="0.2">
      <c r="A1129" s="3">
        <v>32</v>
      </c>
      <c r="B1129" s="4" t="s">
        <v>62</v>
      </c>
      <c r="C1129" s="3" t="s">
        <v>347</v>
      </c>
      <c r="D1129" s="3" t="s">
        <v>138</v>
      </c>
      <c r="E1129" s="3">
        <v>3</v>
      </c>
      <c r="F1129">
        <f>SUM(E1116:E1129)</f>
        <v>243</v>
      </c>
      <c r="G1129" s="57"/>
    </row>
    <row r="1130" spans="1:7" ht="12.75" x14ac:dyDescent="0.2">
      <c r="A1130" s="3">
        <v>32</v>
      </c>
      <c r="B1130" s="4" t="s">
        <v>62</v>
      </c>
      <c r="C1130" s="3" t="s">
        <v>273</v>
      </c>
      <c r="D1130" s="3" t="s">
        <v>274</v>
      </c>
      <c r="E1130" s="3">
        <v>0</v>
      </c>
      <c r="G1130" s="57"/>
    </row>
    <row r="1131" spans="1:7" ht="12.75" x14ac:dyDescent="0.2">
      <c r="A1131" s="3">
        <v>32</v>
      </c>
      <c r="B1131" s="4" t="s">
        <v>62</v>
      </c>
      <c r="C1131" s="3" t="s">
        <v>273</v>
      </c>
      <c r="D1131" s="3" t="s">
        <v>283</v>
      </c>
      <c r="E1131" s="3">
        <v>164</v>
      </c>
      <c r="G1131" s="57"/>
    </row>
    <row r="1132" spans="1:7" ht="12.75" x14ac:dyDescent="0.2">
      <c r="A1132" s="3">
        <v>32</v>
      </c>
      <c r="B1132" s="4" t="s">
        <v>62</v>
      </c>
      <c r="C1132" s="3" t="s">
        <v>273</v>
      </c>
      <c r="D1132" s="3" t="s">
        <v>315</v>
      </c>
      <c r="E1132" s="3">
        <v>0</v>
      </c>
      <c r="G1132" s="57"/>
    </row>
    <row r="1133" spans="1:7" ht="12.75" x14ac:dyDescent="0.2">
      <c r="A1133" s="3">
        <v>32</v>
      </c>
      <c r="B1133" s="4" t="s">
        <v>62</v>
      </c>
      <c r="C1133" s="3" t="s">
        <v>273</v>
      </c>
      <c r="D1133" s="3" t="s">
        <v>128</v>
      </c>
      <c r="E1133" s="3">
        <v>46</v>
      </c>
      <c r="G1133" s="57"/>
    </row>
    <row r="1134" spans="1:7" ht="12.75" x14ac:dyDescent="0.2">
      <c r="A1134" s="3">
        <v>32</v>
      </c>
      <c r="B1134" s="4" t="s">
        <v>62</v>
      </c>
      <c r="C1134" s="3" t="s">
        <v>273</v>
      </c>
      <c r="D1134" s="3" t="s">
        <v>353</v>
      </c>
      <c r="E1134" s="3">
        <v>0</v>
      </c>
      <c r="G1134" s="57"/>
    </row>
    <row r="1135" spans="1:7" ht="12.75" x14ac:dyDescent="0.2">
      <c r="A1135" s="3">
        <v>32</v>
      </c>
      <c r="B1135" s="4" t="s">
        <v>62</v>
      </c>
      <c r="C1135" s="3" t="s">
        <v>273</v>
      </c>
      <c r="D1135" s="3" t="s">
        <v>371</v>
      </c>
      <c r="E1135" s="3">
        <v>0</v>
      </c>
      <c r="G1135" s="57"/>
    </row>
    <row r="1136" spans="1:7" ht="12.75" x14ac:dyDescent="0.2">
      <c r="A1136" s="3">
        <v>32</v>
      </c>
      <c r="B1136" s="4" t="s">
        <v>62</v>
      </c>
      <c r="C1136" s="3" t="s">
        <v>273</v>
      </c>
      <c r="D1136" s="3" t="s">
        <v>14</v>
      </c>
      <c r="E1136" s="3">
        <v>30</v>
      </c>
      <c r="G1136" s="57"/>
    </row>
    <row r="1137" spans="1:7" ht="12.75" x14ac:dyDescent="0.2">
      <c r="A1137" s="3">
        <v>32</v>
      </c>
      <c r="B1137" s="4" t="s">
        <v>62</v>
      </c>
      <c r="C1137" s="3" t="s">
        <v>273</v>
      </c>
      <c r="D1137" s="3" t="s">
        <v>138</v>
      </c>
      <c r="E1137" s="3">
        <v>3</v>
      </c>
      <c r="F1137">
        <f>SUM(E1130:E1137)</f>
        <v>243</v>
      </c>
      <c r="G1137" s="57"/>
    </row>
    <row r="1138" spans="1:7" ht="12.75" x14ac:dyDescent="0.2">
      <c r="A1138" s="3">
        <v>32</v>
      </c>
      <c r="B1138" s="4" t="s">
        <v>62</v>
      </c>
      <c r="C1138" s="3" t="s">
        <v>125</v>
      </c>
      <c r="D1138" s="3" t="s">
        <v>274</v>
      </c>
      <c r="E1138" s="3">
        <v>0</v>
      </c>
      <c r="G1138" s="57"/>
    </row>
    <row r="1139" spans="1:7" ht="12.75" x14ac:dyDescent="0.2">
      <c r="A1139" s="3">
        <v>32</v>
      </c>
      <c r="B1139" s="4" t="s">
        <v>62</v>
      </c>
      <c r="C1139" s="3" t="s">
        <v>125</v>
      </c>
      <c r="D1139" s="3" t="s">
        <v>283</v>
      </c>
      <c r="E1139" s="3">
        <v>164</v>
      </c>
      <c r="G1139" s="57"/>
    </row>
    <row r="1140" spans="1:7" ht="12.75" x14ac:dyDescent="0.2">
      <c r="A1140" s="3">
        <v>32</v>
      </c>
      <c r="B1140" s="4" t="s">
        <v>62</v>
      </c>
      <c r="C1140" s="3" t="s">
        <v>125</v>
      </c>
      <c r="D1140" s="3" t="s">
        <v>315</v>
      </c>
      <c r="E1140" s="3">
        <v>43</v>
      </c>
      <c r="G1140" s="57"/>
    </row>
    <row r="1141" spans="1:7" ht="12.75" x14ac:dyDescent="0.2">
      <c r="A1141" s="3">
        <v>32</v>
      </c>
      <c r="B1141" s="4" t="s">
        <v>62</v>
      </c>
      <c r="C1141" s="3" t="s">
        <v>125</v>
      </c>
      <c r="D1141" s="3" t="s">
        <v>128</v>
      </c>
      <c r="E1141" s="3">
        <v>0</v>
      </c>
      <c r="G1141" s="57"/>
    </row>
    <row r="1142" spans="1:7" ht="12.75" x14ac:dyDescent="0.2">
      <c r="A1142" s="3">
        <v>32</v>
      </c>
      <c r="B1142" s="4" t="s">
        <v>62</v>
      </c>
      <c r="C1142" s="3" t="s">
        <v>125</v>
      </c>
      <c r="D1142" s="3" t="s">
        <v>353</v>
      </c>
      <c r="E1142" s="3">
        <v>0</v>
      </c>
      <c r="G1142" s="57"/>
    </row>
    <row r="1143" spans="1:7" ht="12.75" x14ac:dyDescent="0.2">
      <c r="A1143" s="3">
        <v>32</v>
      </c>
      <c r="B1143" s="4" t="s">
        <v>62</v>
      </c>
      <c r="C1143" s="3" t="s">
        <v>125</v>
      </c>
      <c r="D1143" s="3" t="s">
        <v>371</v>
      </c>
      <c r="E1143" s="3">
        <v>0</v>
      </c>
      <c r="G1143" s="57"/>
    </row>
    <row r="1144" spans="1:7" ht="12.75" x14ac:dyDescent="0.2">
      <c r="A1144" s="3">
        <v>32</v>
      </c>
      <c r="B1144" s="4" t="s">
        <v>62</v>
      </c>
      <c r="C1144" s="3" t="s">
        <v>125</v>
      </c>
      <c r="D1144" s="3" t="s">
        <v>14</v>
      </c>
      <c r="E1144" s="3">
        <v>33</v>
      </c>
      <c r="G1144" s="57"/>
    </row>
    <row r="1145" spans="1:7" ht="12.75" x14ac:dyDescent="0.2">
      <c r="A1145" s="3">
        <v>32</v>
      </c>
      <c r="B1145" s="4" t="s">
        <v>62</v>
      </c>
      <c r="C1145" s="3" t="s">
        <v>125</v>
      </c>
      <c r="D1145" s="3" t="s">
        <v>138</v>
      </c>
      <c r="E1145" s="3">
        <v>3</v>
      </c>
      <c r="F1145">
        <f>SUM(E1138:E1145)</f>
        <v>243</v>
      </c>
      <c r="G1145" s="57"/>
    </row>
    <row r="1146" spans="1:7" ht="12.75" x14ac:dyDescent="0.2">
      <c r="A1146" s="3">
        <v>33</v>
      </c>
      <c r="B1146" s="4" t="s">
        <v>63</v>
      </c>
      <c r="C1146" s="3" t="s">
        <v>347</v>
      </c>
      <c r="D1146" s="3" t="s">
        <v>366</v>
      </c>
      <c r="E1146" s="3">
        <v>2</v>
      </c>
      <c r="G1146" s="59">
        <v>488</v>
      </c>
    </row>
    <row r="1147" spans="1:7" ht="12.75" x14ac:dyDescent="0.2">
      <c r="A1147" s="3">
        <v>33</v>
      </c>
      <c r="B1147" s="4" t="s">
        <v>63</v>
      </c>
      <c r="C1147" s="3" t="s">
        <v>347</v>
      </c>
      <c r="D1147" s="3" t="s">
        <v>274</v>
      </c>
      <c r="E1147" s="3">
        <v>0</v>
      </c>
      <c r="G1147" s="57"/>
    </row>
    <row r="1148" spans="1:7" ht="12.75" x14ac:dyDescent="0.2">
      <c r="A1148" s="3">
        <v>33</v>
      </c>
      <c r="B1148" s="4" t="s">
        <v>63</v>
      </c>
      <c r="C1148" s="3" t="s">
        <v>347</v>
      </c>
      <c r="D1148" s="3" t="s">
        <v>367</v>
      </c>
      <c r="E1148" s="3">
        <v>0</v>
      </c>
      <c r="G1148" s="57"/>
    </row>
    <row r="1149" spans="1:7" ht="12.75" x14ac:dyDescent="0.2">
      <c r="A1149" s="3">
        <v>33</v>
      </c>
      <c r="B1149" s="4" t="s">
        <v>63</v>
      </c>
      <c r="C1149" s="3" t="s">
        <v>347</v>
      </c>
      <c r="D1149" s="3" t="s">
        <v>368</v>
      </c>
      <c r="E1149" s="3">
        <v>0</v>
      </c>
      <c r="G1149" s="57"/>
    </row>
    <row r="1150" spans="1:7" ht="12.75" x14ac:dyDescent="0.2">
      <c r="A1150" s="3">
        <v>33</v>
      </c>
      <c r="B1150" s="4" t="s">
        <v>63</v>
      </c>
      <c r="C1150" s="3" t="s">
        <v>347</v>
      </c>
      <c r="D1150" s="3" t="s">
        <v>283</v>
      </c>
      <c r="E1150" s="3">
        <v>212</v>
      </c>
      <c r="G1150" s="57"/>
    </row>
    <row r="1151" spans="1:7" ht="12.75" x14ac:dyDescent="0.2">
      <c r="A1151" s="3">
        <v>33</v>
      </c>
      <c r="B1151" s="4" t="s">
        <v>63</v>
      </c>
      <c r="C1151" s="3" t="s">
        <v>347</v>
      </c>
      <c r="D1151" s="3" t="s">
        <v>315</v>
      </c>
      <c r="E1151" s="3">
        <v>15</v>
      </c>
      <c r="G1151" s="57"/>
    </row>
    <row r="1152" spans="1:7" ht="12.75" x14ac:dyDescent="0.2">
      <c r="A1152" s="3">
        <v>33</v>
      </c>
      <c r="B1152" s="4" t="s">
        <v>63</v>
      </c>
      <c r="C1152" s="3" t="s">
        <v>347</v>
      </c>
      <c r="D1152" s="3" t="s">
        <v>316</v>
      </c>
      <c r="E1152" s="3">
        <v>3</v>
      </c>
      <c r="G1152" s="57"/>
    </row>
    <row r="1153" spans="1:7" ht="12.75" x14ac:dyDescent="0.2">
      <c r="A1153" s="3">
        <v>33</v>
      </c>
      <c r="B1153" s="4" t="s">
        <v>63</v>
      </c>
      <c r="C1153" s="3" t="s">
        <v>347</v>
      </c>
      <c r="D1153" s="3" t="s">
        <v>369</v>
      </c>
      <c r="E1153" s="3">
        <v>0</v>
      </c>
      <c r="G1153" s="57"/>
    </row>
    <row r="1154" spans="1:7" ht="12.75" x14ac:dyDescent="0.2">
      <c r="A1154" s="3">
        <v>33</v>
      </c>
      <c r="B1154" s="4" t="s">
        <v>63</v>
      </c>
      <c r="C1154" s="3" t="s">
        <v>347</v>
      </c>
      <c r="D1154" s="3" t="s">
        <v>128</v>
      </c>
      <c r="E1154" s="3">
        <v>82</v>
      </c>
      <c r="G1154" s="57"/>
    </row>
    <row r="1155" spans="1:7" ht="12.75" x14ac:dyDescent="0.2">
      <c r="A1155" s="3">
        <v>33</v>
      </c>
      <c r="B1155" s="4" t="s">
        <v>63</v>
      </c>
      <c r="C1155" s="3" t="s">
        <v>347</v>
      </c>
      <c r="D1155" s="3" t="s">
        <v>370</v>
      </c>
      <c r="E1155" s="3">
        <v>1</v>
      </c>
      <c r="G1155" s="57"/>
    </row>
    <row r="1156" spans="1:7" ht="12.75" x14ac:dyDescent="0.2">
      <c r="A1156" s="3">
        <v>33</v>
      </c>
      <c r="B1156" s="4" t="s">
        <v>63</v>
      </c>
      <c r="C1156" s="3" t="s">
        <v>347</v>
      </c>
      <c r="D1156" s="3" t="s">
        <v>353</v>
      </c>
      <c r="E1156" s="3">
        <v>2</v>
      </c>
      <c r="G1156" s="57"/>
    </row>
    <row r="1157" spans="1:7" ht="12.75" x14ac:dyDescent="0.2">
      <c r="A1157" s="3">
        <v>33</v>
      </c>
      <c r="B1157" s="4" t="s">
        <v>63</v>
      </c>
      <c r="C1157" s="3" t="s">
        <v>347</v>
      </c>
      <c r="D1157" s="3" t="s">
        <v>371</v>
      </c>
      <c r="E1157" s="3">
        <v>46</v>
      </c>
      <c r="G1157" s="57"/>
    </row>
    <row r="1158" spans="1:7" ht="12.75" x14ac:dyDescent="0.2">
      <c r="A1158" s="3">
        <v>33</v>
      </c>
      <c r="B1158" s="4" t="s">
        <v>63</v>
      </c>
      <c r="C1158" s="3" t="s">
        <v>347</v>
      </c>
      <c r="D1158" s="3" t="s">
        <v>14</v>
      </c>
      <c r="E1158" s="3">
        <v>17</v>
      </c>
      <c r="G1158" s="57"/>
    </row>
    <row r="1159" spans="1:7" ht="12.75" x14ac:dyDescent="0.2">
      <c r="A1159" s="3">
        <v>33</v>
      </c>
      <c r="B1159" s="4" t="s">
        <v>63</v>
      </c>
      <c r="C1159" s="3" t="s">
        <v>347</v>
      </c>
      <c r="D1159" s="3" t="s">
        <v>138</v>
      </c>
      <c r="E1159" s="3">
        <v>3</v>
      </c>
      <c r="F1159">
        <f>SUM(E1146:E1159)</f>
        <v>383</v>
      </c>
      <c r="G1159" s="57"/>
    </row>
    <row r="1160" spans="1:7" ht="12.75" x14ac:dyDescent="0.2">
      <c r="A1160" s="3">
        <v>33</v>
      </c>
      <c r="B1160" s="4" t="s">
        <v>63</v>
      </c>
      <c r="C1160" s="3" t="s">
        <v>273</v>
      </c>
      <c r="D1160" s="3" t="s">
        <v>274</v>
      </c>
      <c r="E1160" s="3">
        <v>1</v>
      </c>
      <c r="G1160" s="57"/>
    </row>
    <row r="1161" spans="1:7" ht="12.75" x14ac:dyDescent="0.2">
      <c r="A1161" s="3">
        <v>33</v>
      </c>
      <c r="B1161" s="4" t="s">
        <v>63</v>
      </c>
      <c r="C1161" s="3" t="s">
        <v>273</v>
      </c>
      <c r="D1161" s="3" t="s">
        <v>283</v>
      </c>
      <c r="E1161" s="3">
        <v>240</v>
      </c>
      <c r="G1161" s="57"/>
    </row>
    <row r="1162" spans="1:7" ht="12.75" x14ac:dyDescent="0.2">
      <c r="A1162" s="3">
        <v>33</v>
      </c>
      <c r="B1162" s="4" t="s">
        <v>63</v>
      </c>
      <c r="C1162" s="3" t="s">
        <v>273</v>
      </c>
      <c r="D1162" s="3" t="s">
        <v>315</v>
      </c>
      <c r="E1162" s="3">
        <v>2</v>
      </c>
      <c r="G1162" s="57"/>
    </row>
    <row r="1163" spans="1:7" ht="12.75" x14ac:dyDescent="0.2">
      <c r="A1163" s="3">
        <v>33</v>
      </c>
      <c r="B1163" s="4" t="s">
        <v>63</v>
      </c>
      <c r="C1163" s="3" t="s">
        <v>273</v>
      </c>
      <c r="D1163" s="3" t="s">
        <v>128</v>
      </c>
      <c r="E1163" s="3">
        <v>87</v>
      </c>
      <c r="G1163" s="57"/>
    </row>
    <row r="1164" spans="1:7" ht="12.75" x14ac:dyDescent="0.2">
      <c r="A1164" s="3">
        <v>33</v>
      </c>
      <c r="B1164" s="4" t="s">
        <v>63</v>
      </c>
      <c r="C1164" s="3" t="s">
        <v>273</v>
      </c>
      <c r="D1164" s="3" t="s">
        <v>353</v>
      </c>
      <c r="E1164" s="3">
        <v>2</v>
      </c>
      <c r="G1164" s="57"/>
    </row>
    <row r="1165" spans="1:7" ht="12.75" x14ac:dyDescent="0.2">
      <c r="A1165" s="3">
        <v>33</v>
      </c>
      <c r="B1165" s="4" t="s">
        <v>63</v>
      </c>
      <c r="C1165" s="3" t="s">
        <v>273</v>
      </c>
      <c r="D1165" s="3" t="s">
        <v>371</v>
      </c>
      <c r="E1165" s="3">
        <v>21</v>
      </c>
      <c r="G1165" s="57"/>
    </row>
    <row r="1166" spans="1:7" ht="12.75" x14ac:dyDescent="0.2">
      <c r="A1166" s="3">
        <v>33</v>
      </c>
      <c r="B1166" s="4" t="s">
        <v>63</v>
      </c>
      <c r="C1166" s="3" t="s">
        <v>273</v>
      </c>
      <c r="D1166" s="3" t="s">
        <v>14</v>
      </c>
      <c r="E1166" s="3">
        <v>27</v>
      </c>
      <c r="G1166" s="57"/>
    </row>
    <row r="1167" spans="1:7" ht="12.75" x14ac:dyDescent="0.2">
      <c r="A1167" s="3">
        <v>33</v>
      </c>
      <c r="B1167" s="4" t="s">
        <v>63</v>
      </c>
      <c r="C1167" s="3" t="s">
        <v>273</v>
      </c>
      <c r="D1167" s="3" t="s">
        <v>138</v>
      </c>
      <c r="E1167" s="3">
        <v>3</v>
      </c>
      <c r="F1167">
        <f>SUM(E1160:E1167)</f>
        <v>383</v>
      </c>
      <c r="G1167" s="57"/>
    </row>
    <row r="1168" spans="1:7" ht="12.75" x14ac:dyDescent="0.2">
      <c r="A1168" s="3">
        <v>33</v>
      </c>
      <c r="B1168" s="4" t="s">
        <v>63</v>
      </c>
      <c r="C1168" s="3" t="s">
        <v>125</v>
      </c>
      <c r="D1168" s="3" t="s">
        <v>274</v>
      </c>
      <c r="E1168" s="3">
        <v>1</v>
      </c>
      <c r="G1168" s="57"/>
    </row>
    <row r="1169" spans="1:7" ht="12.75" x14ac:dyDescent="0.2">
      <c r="A1169" s="3">
        <v>33</v>
      </c>
      <c r="B1169" s="4" t="s">
        <v>63</v>
      </c>
      <c r="C1169" s="3" t="s">
        <v>125</v>
      </c>
      <c r="D1169" s="3" t="s">
        <v>283</v>
      </c>
      <c r="E1169" s="3">
        <v>238</v>
      </c>
      <c r="G1169" s="57"/>
    </row>
    <row r="1170" spans="1:7" ht="12.75" x14ac:dyDescent="0.2">
      <c r="A1170" s="3">
        <v>33</v>
      </c>
      <c r="B1170" s="4" t="s">
        <v>63</v>
      </c>
      <c r="C1170" s="3" t="s">
        <v>125</v>
      </c>
      <c r="D1170" s="3" t="s">
        <v>315</v>
      </c>
      <c r="E1170" s="3">
        <v>2</v>
      </c>
      <c r="G1170" s="57"/>
    </row>
    <row r="1171" spans="1:7" ht="12.75" x14ac:dyDescent="0.2">
      <c r="A1171" s="3">
        <v>33</v>
      </c>
      <c r="B1171" s="4" t="s">
        <v>63</v>
      </c>
      <c r="C1171" s="3" t="s">
        <v>125</v>
      </c>
      <c r="D1171" s="3" t="s">
        <v>128</v>
      </c>
      <c r="E1171" s="3">
        <v>90</v>
      </c>
      <c r="G1171" s="57"/>
    </row>
    <row r="1172" spans="1:7" ht="12.75" x14ac:dyDescent="0.2">
      <c r="A1172" s="3">
        <v>33</v>
      </c>
      <c r="B1172" s="4" t="s">
        <v>63</v>
      </c>
      <c r="C1172" s="3" t="s">
        <v>125</v>
      </c>
      <c r="D1172" s="3" t="s">
        <v>353</v>
      </c>
      <c r="E1172" s="3">
        <v>2</v>
      </c>
      <c r="G1172" s="57"/>
    </row>
    <row r="1173" spans="1:7" ht="12.75" x14ac:dyDescent="0.2">
      <c r="A1173" s="3">
        <v>33</v>
      </c>
      <c r="B1173" s="4" t="s">
        <v>63</v>
      </c>
      <c r="C1173" s="3" t="s">
        <v>125</v>
      </c>
      <c r="D1173" s="3" t="s">
        <v>371</v>
      </c>
      <c r="E1173" s="3">
        <v>21</v>
      </c>
      <c r="G1173" s="57"/>
    </row>
    <row r="1174" spans="1:7" ht="12.75" x14ac:dyDescent="0.2">
      <c r="A1174" s="3">
        <v>33</v>
      </c>
      <c r="B1174" s="4" t="s">
        <v>63</v>
      </c>
      <c r="C1174" s="3" t="s">
        <v>125</v>
      </c>
      <c r="D1174" s="3" t="s">
        <v>14</v>
      </c>
      <c r="E1174" s="3">
        <v>27</v>
      </c>
      <c r="G1174" s="57"/>
    </row>
    <row r="1175" spans="1:7" ht="12.75" x14ac:dyDescent="0.2">
      <c r="A1175" s="3">
        <v>33</v>
      </c>
      <c r="B1175" s="4" t="s">
        <v>63</v>
      </c>
      <c r="C1175" s="3" t="s">
        <v>125</v>
      </c>
      <c r="D1175" s="3" t="s">
        <v>138</v>
      </c>
      <c r="E1175" s="3">
        <v>2</v>
      </c>
      <c r="F1175">
        <f>SUM(E1168:E1175)</f>
        <v>383</v>
      </c>
      <c r="G1175" s="57"/>
    </row>
    <row r="1176" spans="1:7" ht="12.75" x14ac:dyDescent="0.2">
      <c r="A1176" s="3">
        <v>34</v>
      </c>
      <c r="B1176" s="4" t="s">
        <v>64</v>
      </c>
      <c r="C1176" s="3" t="s">
        <v>347</v>
      </c>
      <c r="D1176" s="3" t="s">
        <v>366</v>
      </c>
      <c r="E1176" s="3">
        <v>4</v>
      </c>
      <c r="G1176" s="59">
        <v>1869</v>
      </c>
    </row>
    <row r="1177" spans="1:7" ht="12.75" x14ac:dyDescent="0.2">
      <c r="A1177" s="3">
        <v>34</v>
      </c>
      <c r="B1177" s="4" t="s">
        <v>64</v>
      </c>
      <c r="C1177" s="3" t="s">
        <v>347</v>
      </c>
      <c r="D1177" s="3" t="s">
        <v>274</v>
      </c>
      <c r="E1177" s="3">
        <v>0</v>
      </c>
      <c r="G1177" s="57"/>
    </row>
    <row r="1178" spans="1:7" ht="12.75" x14ac:dyDescent="0.2">
      <c r="A1178" s="3">
        <v>34</v>
      </c>
      <c r="B1178" s="4" t="s">
        <v>64</v>
      </c>
      <c r="C1178" s="3" t="s">
        <v>347</v>
      </c>
      <c r="D1178" s="3" t="s">
        <v>367</v>
      </c>
      <c r="E1178" s="3">
        <v>1</v>
      </c>
      <c r="G1178" s="57"/>
    </row>
    <row r="1179" spans="1:7" ht="12.75" x14ac:dyDescent="0.2">
      <c r="A1179" s="3">
        <v>34</v>
      </c>
      <c r="B1179" s="4" t="s">
        <v>64</v>
      </c>
      <c r="C1179" s="3" t="s">
        <v>347</v>
      </c>
      <c r="D1179" s="3" t="s">
        <v>368</v>
      </c>
      <c r="E1179" s="3">
        <v>4</v>
      </c>
      <c r="G1179" s="57"/>
    </row>
    <row r="1180" spans="1:7" ht="12.75" x14ac:dyDescent="0.2">
      <c r="A1180" s="3">
        <v>34</v>
      </c>
      <c r="B1180" s="4" t="s">
        <v>64</v>
      </c>
      <c r="C1180" s="3" t="s">
        <v>347</v>
      </c>
      <c r="D1180" s="3" t="s">
        <v>283</v>
      </c>
      <c r="E1180" s="3">
        <v>533</v>
      </c>
      <c r="G1180" s="57"/>
    </row>
    <row r="1181" spans="1:7" ht="12.75" x14ac:dyDescent="0.2">
      <c r="A1181" s="3">
        <v>34</v>
      </c>
      <c r="B1181" s="4" t="s">
        <v>64</v>
      </c>
      <c r="C1181" s="3" t="s">
        <v>347</v>
      </c>
      <c r="D1181" s="3" t="s">
        <v>315</v>
      </c>
      <c r="E1181" s="3">
        <v>16</v>
      </c>
      <c r="G1181" s="57"/>
    </row>
    <row r="1182" spans="1:7" ht="12.75" x14ac:dyDescent="0.2">
      <c r="A1182" s="3">
        <v>34</v>
      </c>
      <c r="B1182" s="4" t="s">
        <v>64</v>
      </c>
      <c r="C1182" s="3" t="s">
        <v>347</v>
      </c>
      <c r="D1182" s="3" t="s">
        <v>316</v>
      </c>
      <c r="E1182" s="3">
        <v>15</v>
      </c>
      <c r="G1182" s="57"/>
    </row>
    <row r="1183" spans="1:7" ht="12.75" x14ac:dyDescent="0.2">
      <c r="A1183" s="3">
        <v>34</v>
      </c>
      <c r="B1183" s="4" t="s">
        <v>64</v>
      </c>
      <c r="C1183" s="3" t="s">
        <v>347</v>
      </c>
      <c r="D1183" s="3" t="s">
        <v>369</v>
      </c>
      <c r="E1183" s="3">
        <v>3</v>
      </c>
      <c r="G1183" s="57"/>
    </row>
    <row r="1184" spans="1:7" ht="12.75" x14ac:dyDescent="0.2">
      <c r="A1184" s="3">
        <v>34</v>
      </c>
      <c r="B1184" s="4" t="s">
        <v>64</v>
      </c>
      <c r="C1184" s="3" t="s">
        <v>347</v>
      </c>
      <c r="D1184" s="3" t="s">
        <v>128</v>
      </c>
      <c r="E1184" s="3">
        <v>784</v>
      </c>
      <c r="G1184" s="57"/>
    </row>
    <row r="1185" spans="1:7" ht="12.75" x14ac:dyDescent="0.2">
      <c r="A1185" s="3">
        <v>34</v>
      </c>
      <c r="B1185" s="4" t="s">
        <v>64</v>
      </c>
      <c r="C1185" s="3" t="s">
        <v>347</v>
      </c>
      <c r="D1185" s="3" t="s">
        <v>370</v>
      </c>
      <c r="E1185" s="3">
        <v>8</v>
      </c>
      <c r="G1185" s="57"/>
    </row>
    <row r="1186" spans="1:7" ht="12.75" x14ac:dyDescent="0.2">
      <c r="A1186" s="3">
        <v>34</v>
      </c>
      <c r="B1186" s="4" t="s">
        <v>64</v>
      </c>
      <c r="C1186" s="3" t="s">
        <v>347</v>
      </c>
      <c r="D1186" s="3" t="s">
        <v>353</v>
      </c>
      <c r="E1186" s="3">
        <v>14</v>
      </c>
      <c r="G1186" s="57"/>
    </row>
    <row r="1187" spans="1:7" ht="12.75" x14ac:dyDescent="0.2">
      <c r="A1187" s="3">
        <v>34</v>
      </c>
      <c r="B1187" s="4" t="s">
        <v>64</v>
      </c>
      <c r="C1187" s="3" t="s">
        <v>347</v>
      </c>
      <c r="D1187" s="3" t="s">
        <v>371</v>
      </c>
      <c r="E1187" s="3">
        <v>128</v>
      </c>
      <c r="G1187" s="57"/>
    </row>
    <row r="1188" spans="1:7" ht="12.75" x14ac:dyDescent="0.2">
      <c r="A1188" s="3">
        <v>34</v>
      </c>
      <c r="B1188" s="4" t="s">
        <v>64</v>
      </c>
      <c r="C1188" s="3" t="s">
        <v>347</v>
      </c>
      <c r="D1188" s="3" t="s">
        <v>14</v>
      </c>
      <c r="E1188" s="3">
        <v>45</v>
      </c>
      <c r="G1188" s="57"/>
    </row>
    <row r="1189" spans="1:7" ht="12.75" x14ac:dyDescent="0.2">
      <c r="A1189" s="3">
        <v>34</v>
      </c>
      <c r="B1189" s="4" t="s">
        <v>64</v>
      </c>
      <c r="C1189" s="3" t="s">
        <v>347</v>
      </c>
      <c r="D1189" s="3" t="s">
        <v>138</v>
      </c>
      <c r="E1189" s="3">
        <v>0</v>
      </c>
      <c r="F1189">
        <f>SUM(E1176:E1189)</f>
        <v>1555</v>
      </c>
      <c r="G1189" s="57"/>
    </row>
    <row r="1190" spans="1:7" ht="12.75" x14ac:dyDescent="0.2">
      <c r="A1190" s="3">
        <v>34</v>
      </c>
      <c r="B1190" s="4" t="s">
        <v>64</v>
      </c>
      <c r="C1190" s="3" t="s">
        <v>273</v>
      </c>
      <c r="D1190" s="3" t="s">
        <v>274</v>
      </c>
      <c r="E1190" s="3">
        <v>5</v>
      </c>
      <c r="G1190" s="57"/>
    </row>
    <row r="1191" spans="1:7" ht="12.75" x14ac:dyDescent="0.2">
      <c r="A1191" s="3">
        <v>34</v>
      </c>
      <c r="B1191" s="4" t="s">
        <v>64</v>
      </c>
      <c r="C1191" s="3" t="s">
        <v>273</v>
      </c>
      <c r="D1191" s="3" t="s">
        <v>283</v>
      </c>
      <c r="E1191" s="3">
        <v>578</v>
      </c>
      <c r="G1191" s="57"/>
    </row>
    <row r="1192" spans="1:7" ht="12.75" x14ac:dyDescent="0.2">
      <c r="A1192" s="3">
        <v>34</v>
      </c>
      <c r="B1192" s="4" t="s">
        <v>64</v>
      </c>
      <c r="C1192" s="3" t="s">
        <v>273</v>
      </c>
      <c r="D1192" s="3" t="s">
        <v>315</v>
      </c>
      <c r="E1192" s="3">
        <v>31</v>
      </c>
      <c r="G1192" s="57"/>
    </row>
    <row r="1193" spans="1:7" ht="12.75" x14ac:dyDescent="0.2">
      <c r="A1193" s="3">
        <v>34</v>
      </c>
      <c r="B1193" s="4" t="s">
        <v>64</v>
      </c>
      <c r="C1193" s="3" t="s">
        <v>273</v>
      </c>
      <c r="D1193" s="3" t="s">
        <v>128</v>
      </c>
      <c r="E1193" s="3">
        <v>749</v>
      </c>
      <c r="G1193" s="57"/>
    </row>
    <row r="1194" spans="1:7" ht="12.75" x14ac:dyDescent="0.2">
      <c r="A1194" s="3">
        <v>34</v>
      </c>
      <c r="B1194" s="4" t="s">
        <v>64</v>
      </c>
      <c r="C1194" s="3" t="s">
        <v>273</v>
      </c>
      <c r="D1194" s="3" t="s">
        <v>353</v>
      </c>
      <c r="E1194" s="3">
        <v>21</v>
      </c>
      <c r="G1194" s="57"/>
    </row>
    <row r="1195" spans="1:7" ht="12.75" x14ac:dyDescent="0.2">
      <c r="A1195" s="3">
        <v>34</v>
      </c>
      <c r="B1195" s="4" t="s">
        <v>64</v>
      </c>
      <c r="C1195" s="3" t="s">
        <v>273</v>
      </c>
      <c r="D1195" s="3" t="s">
        <v>371</v>
      </c>
      <c r="E1195" s="3">
        <v>101</v>
      </c>
      <c r="G1195" s="57"/>
    </row>
    <row r="1196" spans="1:7" ht="12.75" x14ac:dyDescent="0.2">
      <c r="A1196" s="3">
        <v>34</v>
      </c>
      <c r="B1196" s="4" t="s">
        <v>64</v>
      </c>
      <c r="C1196" s="3" t="s">
        <v>273</v>
      </c>
      <c r="D1196" s="3" t="s">
        <v>14</v>
      </c>
      <c r="E1196" s="3">
        <v>70</v>
      </c>
      <c r="G1196" s="57"/>
    </row>
    <row r="1197" spans="1:7" ht="12.75" x14ac:dyDescent="0.2">
      <c r="A1197" s="3">
        <v>34</v>
      </c>
      <c r="B1197" s="4" t="s">
        <v>64</v>
      </c>
      <c r="C1197" s="3" t="s">
        <v>273</v>
      </c>
      <c r="D1197" s="3" t="s">
        <v>138</v>
      </c>
      <c r="E1197" s="3">
        <v>0</v>
      </c>
      <c r="F1197">
        <f>SUM(E1190:E1197)</f>
        <v>1555</v>
      </c>
      <c r="G1197" s="57"/>
    </row>
    <row r="1198" spans="1:7" ht="12.75" x14ac:dyDescent="0.2">
      <c r="A1198" s="3">
        <v>34</v>
      </c>
      <c r="B1198" s="4" t="s">
        <v>64</v>
      </c>
      <c r="C1198" s="3" t="s">
        <v>125</v>
      </c>
      <c r="D1198" s="3" t="s">
        <v>274</v>
      </c>
      <c r="E1198" s="3">
        <v>5</v>
      </c>
      <c r="G1198" s="57"/>
    </row>
    <row r="1199" spans="1:7" ht="12.75" x14ac:dyDescent="0.2">
      <c r="A1199" s="3">
        <v>34</v>
      </c>
      <c r="B1199" s="4" t="s">
        <v>64</v>
      </c>
      <c r="C1199" s="3" t="s">
        <v>125</v>
      </c>
      <c r="D1199" s="3" t="s">
        <v>283</v>
      </c>
      <c r="E1199" s="3">
        <v>579</v>
      </c>
      <c r="G1199" s="57"/>
    </row>
    <row r="1200" spans="1:7" ht="12.75" x14ac:dyDescent="0.2">
      <c r="A1200" s="3">
        <v>34</v>
      </c>
      <c r="B1200" s="4" t="s">
        <v>64</v>
      </c>
      <c r="C1200" s="3" t="s">
        <v>125</v>
      </c>
      <c r="D1200" s="3" t="s">
        <v>315</v>
      </c>
      <c r="E1200" s="3">
        <v>8</v>
      </c>
      <c r="G1200" s="57"/>
    </row>
    <row r="1201" spans="1:7" ht="12.75" x14ac:dyDescent="0.2">
      <c r="A1201" s="3">
        <v>34</v>
      </c>
      <c r="B1201" s="4" t="s">
        <v>64</v>
      </c>
      <c r="C1201" s="3" t="s">
        <v>125</v>
      </c>
      <c r="D1201" s="3" t="s">
        <v>128</v>
      </c>
      <c r="E1201" s="3">
        <v>762</v>
      </c>
      <c r="G1201" s="57"/>
    </row>
    <row r="1202" spans="1:7" ht="12.75" x14ac:dyDescent="0.2">
      <c r="A1202" s="3">
        <v>34</v>
      </c>
      <c r="B1202" s="4" t="s">
        <v>64</v>
      </c>
      <c r="C1202" s="3" t="s">
        <v>125</v>
      </c>
      <c r="D1202" s="3" t="s">
        <v>353</v>
      </c>
      <c r="E1202" s="3">
        <v>5</v>
      </c>
      <c r="G1202" s="57"/>
    </row>
    <row r="1203" spans="1:7" ht="12.75" x14ac:dyDescent="0.2">
      <c r="A1203" s="3">
        <v>34</v>
      </c>
      <c r="B1203" s="4" t="s">
        <v>64</v>
      </c>
      <c r="C1203" s="3" t="s">
        <v>125</v>
      </c>
      <c r="D1203" s="3" t="s">
        <v>371</v>
      </c>
      <c r="E1203" s="3">
        <v>79</v>
      </c>
      <c r="G1203" s="57"/>
    </row>
    <row r="1204" spans="1:7" ht="12.75" x14ac:dyDescent="0.2">
      <c r="A1204" s="3">
        <v>34</v>
      </c>
      <c r="B1204" s="4" t="s">
        <v>64</v>
      </c>
      <c r="C1204" s="3" t="s">
        <v>125</v>
      </c>
      <c r="D1204" s="3" t="s">
        <v>14</v>
      </c>
      <c r="E1204" s="3">
        <v>102</v>
      </c>
      <c r="G1204" s="57"/>
    </row>
    <row r="1205" spans="1:7" ht="12.75" x14ac:dyDescent="0.2">
      <c r="A1205" s="3">
        <v>34</v>
      </c>
      <c r="B1205" s="4" t="s">
        <v>64</v>
      </c>
      <c r="C1205" s="3" t="s">
        <v>125</v>
      </c>
      <c r="D1205" s="3" t="s">
        <v>138</v>
      </c>
      <c r="E1205" s="3">
        <v>15</v>
      </c>
      <c r="F1205">
        <f>SUM(E1198:E1205)</f>
        <v>1555</v>
      </c>
      <c r="G1205" s="57"/>
    </row>
    <row r="1206" spans="1:7" ht="12.75" x14ac:dyDescent="0.2">
      <c r="A1206" s="3">
        <v>35</v>
      </c>
      <c r="B1206" s="4" t="s">
        <v>65</v>
      </c>
      <c r="C1206" s="3" t="s">
        <v>347</v>
      </c>
      <c r="D1206" s="3" t="s">
        <v>366</v>
      </c>
      <c r="E1206" s="3">
        <v>2</v>
      </c>
      <c r="G1206" s="59">
        <v>949</v>
      </c>
    </row>
    <row r="1207" spans="1:7" ht="12.75" x14ac:dyDescent="0.2">
      <c r="A1207" s="3">
        <v>35</v>
      </c>
      <c r="B1207" s="4" t="s">
        <v>65</v>
      </c>
      <c r="C1207" s="3" t="s">
        <v>347</v>
      </c>
      <c r="D1207" s="3" t="s">
        <v>274</v>
      </c>
      <c r="E1207" s="3">
        <v>0</v>
      </c>
      <c r="G1207" s="57"/>
    </row>
    <row r="1208" spans="1:7" ht="12.75" x14ac:dyDescent="0.2">
      <c r="A1208" s="3">
        <v>35</v>
      </c>
      <c r="B1208" s="4" t="s">
        <v>65</v>
      </c>
      <c r="C1208" s="3" t="s">
        <v>347</v>
      </c>
      <c r="D1208" s="3" t="s">
        <v>367</v>
      </c>
      <c r="E1208" s="3">
        <v>0</v>
      </c>
      <c r="G1208" s="57"/>
    </row>
    <row r="1209" spans="1:7" ht="12.75" x14ac:dyDescent="0.2">
      <c r="A1209" s="3">
        <v>35</v>
      </c>
      <c r="B1209" s="4" t="s">
        <v>65</v>
      </c>
      <c r="C1209" s="3" t="s">
        <v>347</v>
      </c>
      <c r="D1209" s="3" t="s">
        <v>368</v>
      </c>
      <c r="E1209" s="3">
        <v>0</v>
      </c>
      <c r="G1209" s="57"/>
    </row>
    <row r="1210" spans="1:7" ht="12.75" x14ac:dyDescent="0.2">
      <c r="A1210" s="3">
        <v>35</v>
      </c>
      <c r="B1210" s="4" t="s">
        <v>65</v>
      </c>
      <c r="C1210" s="3" t="s">
        <v>347</v>
      </c>
      <c r="D1210" s="3" t="s">
        <v>283</v>
      </c>
      <c r="E1210" s="3">
        <v>180</v>
      </c>
      <c r="G1210" s="57"/>
    </row>
    <row r="1211" spans="1:7" ht="12.75" x14ac:dyDescent="0.2">
      <c r="A1211" s="3">
        <v>35</v>
      </c>
      <c r="B1211" s="4" t="s">
        <v>65</v>
      </c>
      <c r="C1211" s="3" t="s">
        <v>347</v>
      </c>
      <c r="D1211" s="3" t="s">
        <v>315</v>
      </c>
      <c r="E1211" s="3">
        <v>11</v>
      </c>
      <c r="G1211" s="57"/>
    </row>
    <row r="1212" spans="1:7" ht="12.75" x14ac:dyDescent="0.2">
      <c r="A1212" s="3">
        <v>35</v>
      </c>
      <c r="B1212" s="4" t="s">
        <v>65</v>
      </c>
      <c r="C1212" s="3" t="s">
        <v>347</v>
      </c>
      <c r="D1212" s="3" t="s">
        <v>316</v>
      </c>
      <c r="E1212" s="3">
        <v>12</v>
      </c>
      <c r="G1212" s="57"/>
    </row>
    <row r="1213" spans="1:7" ht="12.75" x14ac:dyDescent="0.2">
      <c r="A1213" s="3">
        <v>35</v>
      </c>
      <c r="B1213" s="4" t="s">
        <v>65</v>
      </c>
      <c r="C1213" s="3" t="s">
        <v>347</v>
      </c>
      <c r="D1213" s="3" t="s">
        <v>369</v>
      </c>
      <c r="E1213" s="3">
        <v>2</v>
      </c>
      <c r="G1213" s="57"/>
    </row>
    <row r="1214" spans="1:7" ht="12.75" x14ac:dyDescent="0.2">
      <c r="A1214" s="3">
        <v>35</v>
      </c>
      <c r="B1214" s="4" t="s">
        <v>65</v>
      </c>
      <c r="C1214" s="3" t="s">
        <v>347</v>
      </c>
      <c r="D1214" s="3" t="s">
        <v>128</v>
      </c>
      <c r="E1214" s="3">
        <v>453</v>
      </c>
      <c r="G1214" s="57"/>
    </row>
    <row r="1215" spans="1:7" ht="12.75" x14ac:dyDescent="0.2">
      <c r="A1215" s="3">
        <v>35</v>
      </c>
      <c r="B1215" s="4" t="s">
        <v>65</v>
      </c>
      <c r="C1215" s="3" t="s">
        <v>347</v>
      </c>
      <c r="D1215" s="3" t="s">
        <v>370</v>
      </c>
      <c r="E1215" s="3">
        <v>2</v>
      </c>
      <c r="G1215" s="57"/>
    </row>
    <row r="1216" spans="1:7" ht="12.75" x14ac:dyDescent="0.2">
      <c r="A1216" s="3">
        <v>35</v>
      </c>
      <c r="B1216" s="4" t="s">
        <v>65</v>
      </c>
      <c r="C1216" s="3" t="s">
        <v>347</v>
      </c>
      <c r="D1216" s="3" t="s">
        <v>353</v>
      </c>
      <c r="E1216" s="3">
        <v>16</v>
      </c>
      <c r="G1216" s="57"/>
    </row>
    <row r="1217" spans="1:7" ht="12.75" x14ac:dyDescent="0.2">
      <c r="A1217" s="3">
        <v>35</v>
      </c>
      <c r="B1217" s="4" t="s">
        <v>65</v>
      </c>
      <c r="C1217" s="3" t="s">
        <v>347</v>
      </c>
      <c r="D1217" s="3" t="s">
        <v>371</v>
      </c>
      <c r="E1217" s="3">
        <v>72</v>
      </c>
      <c r="G1217" s="57"/>
    </row>
    <row r="1218" spans="1:7" ht="12.75" x14ac:dyDescent="0.2">
      <c r="A1218" s="3">
        <v>35</v>
      </c>
      <c r="B1218" s="4" t="s">
        <v>65</v>
      </c>
      <c r="C1218" s="3" t="s">
        <v>347</v>
      </c>
      <c r="D1218" s="3" t="s">
        <v>14</v>
      </c>
      <c r="E1218" s="3">
        <v>28</v>
      </c>
      <c r="G1218" s="57"/>
    </row>
    <row r="1219" spans="1:7" ht="12.75" x14ac:dyDescent="0.2">
      <c r="A1219" s="3">
        <v>35</v>
      </c>
      <c r="B1219" s="4" t="s">
        <v>65</v>
      </c>
      <c r="C1219" s="3" t="s">
        <v>347</v>
      </c>
      <c r="D1219" s="3" t="s">
        <v>138</v>
      </c>
      <c r="E1219" s="3">
        <v>4</v>
      </c>
      <c r="F1219">
        <f>SUM(E1206:E1219)</f>
        <v>782</v>
      </c>
      <c r="G1219" s="57"/>
    </row>
    <row r="1220" spans="1:7" ht="12.75" x14ac:dyDescent="0.2">
      <c r="A1220" s="3">
        <v>35</v>
      </c>
      <c r="B1220" s="4" t="s">
        <v>65</v>
      </c>
      <c r="C1220" s="3" t="s">
        <v>273</v>
      </c>
      <c r="D1220" s="3" t="s">
        <v>274</v>
      </c>
      <c r="E1220" s="3">
        <v>2</v>
      </c>
      <c r="G1220" s="57"/>
    </row>
    <row r="1221" spans="1:7" ht="12.75" x14ac:dyDescent="0.2">
      <c r="A1221" s="3">
        <v>35</v>
      </c>
      <c r="B1221" s="4" t="s">
        <v>65</v>
      </c>
      <c r="C1221" s="3" t="s">
        <v>273</v>
      </c>
      <c r="D1221" s="3" t="s">
        <v>283</v>
      </c>
      <c r="E1221" s="3">
        <v>190</v>
      </c>
      <c r="G1221" s="57"/>
    </row>
    <row r="1222" spans="1:7" ht="12.75" x14ac:dyDescent="0.2">
      <c r="A1222" s="3">
        <v>35</v>
      </c>
      <c r="B1222" s="4" t="s">
        <v>65</v>
      </c>
      <c r="C1222" s="3" t="s">
        <v>273</v>
      </c>
      <c r="D1222" s="3" t="s">
        <v>315</v>
      </c>
      <c r="E1222" s="3">
        <v>46</v>
      </c>
      <c r="G1222" s="57"/>
    </row>
    <row r="1223" spans="1:7" ht="12.75" x14ac:dyDescent="0.2">
      <c r="A1223" s="3">
        <v>35</v>
      </c>
      <c r="B1223" s="4" t="s">
        <v>65</v>
      </c>
      <c r="C1223" s="3" t="s">
        <v>273</v>
      </c>
      <c r="D1223" s="3" t="s">
        <v>128</v>
      </c>
      <c r="E1223" s="3">
        <v>436</v>
      </c>
      <c r="G1223" s="57"/>
    </row>
    <row r="1224" spans="1:7" ht="12.75" x14ac:dyDescent="0.2">
      <c r="A1224" s="3">
        <v>35</v>
      </c>
      <c r="B1224" s="4" t="s">
        <v>65</v>
      </c>
      <c r="C1224" s="3" t="s">
        <v>273</v>
      </c>
      <c r="D1224" s="3" t="s">
        <v>353</v>
      </c>
      <c r="E1224" s="3">
        <v>23</v>
      </c>
      <c r="G1224" s="57"/>
    </row>
    <row r="1225" spans="1:7" ht="12.75" x14ac:dyDescent="0.2">
      <c r="A1225" s="3">
        <v>35</v>
      </c>
      <c r="B1225" s="4" t="s">
        <v>65</v>
      </c>
      <c r="C1225" s="3" t="s">
        <v>273</v>
      </c>
      <c r="D1225" s="3" t="s">
        <v>371</v>
      </c>
      <c r="E1225" s="3">
        <v>28</v>
      </c>
      <c r="G1225" s="57"/>
    </row>
    <row r="1226" spans="1:7" ht="12.75" x14ac:dyDescent="0.2">
      <c r="A1226" s="3">
        <v>35</v>
      </c>
      <c r="B1226" s="4" t="s">
        <v>65</v>
      </c>
      <c r="C1226" s="3" t="s">
        <v>273</v>
      </c>
      <c r="D1226" s="3" t="s">
        <v>14</v>
      </c>
      <c r="E1226" s="3">
        <v>55</v>
      </c>
      <c r="G1226" s="57"/>
    </row>
    <row r="1227" spans="1:7" ht="12.75" x14ac:dyDescent="0.2">
      <c r="A1227" s="3">
        <v>35</v>
      </c>
      <c r="B1227" s="4" t="s">
        <v>65</v>
      </c>
      <c r="C1227" s="3" t="s">
        <v>273</v>
      </c>
      <c r="D1227" s="3" t="s">
        <v>138</v>
      </c>
      <c r="E1227" s="3">
        <v>2</v>
      </c>
      <c r="F1227">
        <f>SUM(E1220:E1227)</f>
        <v>782</v>
      </c>
      <c r="G1227" s="57"/>
    </row>
    <row r="1228" spans="1:7" ht="12.75" x14ac:dyDescent="0.2">
      <c r="A1228" s="3">
        <v>35</v>
      </c>
      <c r="B1228" s="4" t="s">
        <v>65</v>
      </c>
      <c r="C1228" s="3" t="s">
        <v>125</v>
      </c>
      <c r="D1228" s="3" t="s">
        <v>274</v>
      </c>
      <c r="E1228" s="3">
        <v>2</v>
      </c>
      <c r="G1228" s="57"/>
    </row>
    <row r="1229" spans="1:7" ht="12.75" x14ac:dyDescent="0.2">
      <c r="A1229" s="3">
        <v>35</v>
      </c>
      <c r="B1229" s="4" t="s">
        <v>65</v>
      </c>
      <c r="C1229" s="3" t="s">
        <v>125</v>
      </c>
      <c r="D1229" s="3" t="s">
        <v>283</v>
      </c>
      <c r="E1229" s="3">
        <v>193</v>
      </c>
      <c r="G1229" s="57"/>
    </row>
    <row r="1230" spans="1:7" ht="12.75" x14ac:dyDescent="0.2">
      <c r="A1230" s="3">
        <v>35</v>
      </c>
      <c r="B1230" s="4" t="s">
        <v>65</v>
      </c>
      <c r="C1230" s="3" t="s">
        <v>125</v>
      </c>
      <c r="D1230" s="3" t="s">
        <v>315</v>
      </c>
      <c r="E1230" s="3">
        <v>16</v>
      </c>
      <c r="G1230" s="57"/>
    </row>
    <row r="1231" spans="1:7" ht="12.75" x14ac:dyDescent="0.2">
      <c r="A1231" s="3">
        <v>35</v>
      </c>
      <c r="B1231" s="4" t="s">
        <v>65</v>
      </c>
      <c r="C1231" s="3" t="s">
        <v>125</v>
      </c>
      <c r="D1231" s="3" t="s">
        <v>128</v>
      </c>
      <c r="E1231" s="3">
        <v>467</v>
      </c>
      <c r="G1231" s="57"/>
    </row>
    <row r="1232" spans="1:7" ht="12.75" x14ac:dyDescent="0.2">
      <c r="A1232" s="3">
        <v>35</v>
      </c>
      <c r="B1232" s="4" t="s">
        <v>65</v>
      </c>
      <c r="C1232" s="3" t="s">
        <v>125</v>
      </c>
      <c r="D1232" s="3" t="s">
        <v>353</v>
      </c>
      <c r="E1232" s="3">
        <v>4</v>
      </c>
      <c r="G1232" s="57"/>
    </row>
    <row r="1233" spans="1:7" ht="12.75" x14ac:dyDescent="0.2">
      <c r="A1233" s="3">
        <v>35</v>
      </c>
      <c r="B1233" s="4" t="s">
        <v>65</v>
      </c>
      <c r="C1233" s="3" t="s">
        <v>125</v>
      </c>
      <c r="D1233" s="3" t="s">
        <v>371</v>
      </c>
      <c r="E1233" s="3">
        <v>33</v>
      </c>
      <c r="G1233" s="57"/>
    </row>
    <row r="1234" spans="1:7" ht="12.75" x14ac:dyDescent="0.2">
      <c r="A1234" s="3">
        <v>35</v>
      </c>
      <c r="B1234" s="4" t="s">
        <v>65</v>
      </c>
      <c r="C1234" s="3" t="s">
        <v>125</v>
      </c>
      <c r="D1234" s="3" t="s">
        <v>14</v>
      </c>
      <c r="E1234" s="3">
        <v>67</v>
      </c>
      <c r="G1234" s="57"/>
    </row>
    <row r="1235" spans="1:7" ht="12.75" x14ac:dyDescent="0.2">
      <c r="A1235" s="3">
        <v>35</v>
      </c>
      <c r="B1235" s="4" t="s">
        <v>65</v>
      </c>
      <c r="C1235" s="3" t="s">
        <v>125</v>
      </c>
      <c r="D1235" s="3" t="s">
        <v>138</v>
      </c>
      <c r="E1235" s="3">
        <v>0</v>
      </c>
      <c r="F1235">
        <f>SUM(E1228:E1235)</f>
        <v>782</v>
      </c>
      <c r="G1235" s="57"/>
    </row>
    <row r="1236" spans="1:7" ht="12.75" x14ac:dyDescent="0.2">
      <c r="A1236" s="3">
        <v>37</v>
      </c>
      <c r="B1236" s="4" t="s">
        <v>67</v>
      </c>
      <c r="C1236" s="3" t="s">
        <v>347</v>
      </c>
      <c r="D1236" s="3" t="s">
        <v>366</v>
      </c>
      <c r="E1236" s="3">
        <v>0</v>
      </c>
      <c r="G1236" s="59">
        <v>63</v>
      </c>
    </row>
    <row r="1237" spans="1:7" ht="12.75" x14ac:dyDescent="0.2">
      <c r="A1237" s="3">
        <v>37</v>
      </c>
      <c r="B1237" s="4" t="s">
        <v>67</v>
      </c>
      <c r="C1237" s="3" t="s">
        <v>347</v>
      </c>
      <c r="D1237" s="3" t="s">
        <v>274</v>
      </c>
      <c r="E1237" s="3">
        <v>0</v>
      </c>
      <c r="G1237" s="57"/>
    </row>
    <row r="1238" spans="1:7" ht="12.75" x14ac:dyDescent="0.2">
      <c r="A1238" s="3">
        <v>37</v>
      </c>
      <c r="B1238" s="4" t="s">
        <v>67</v>
      </c>
      <c r="C1238" s="3" t="s">
        <v>347</v>
      </c>
      <c r="D1238" s="3" t="s">
        <v>367</v>
      </c>
      <c r="E1238" s="3">
        <v>0</v>
      </c>
      <c r="G1238" s="57"/>
    </row>
    <row r="1239" spans="1:7" ht="12.75" x14ac:dyDescent="0.2">
      <c r="A1239" s="3">
        <v>37</v>
      </c>
      <c r="B1239" s="4" t="s">
        <v>67</v>
      </c>
      <c r="C1239" s="3" t="s">
        <v>347</v>
      </c>
      <c r="D1239" s="3" t="s">
        <v>368</v>
      </c>
      <c r="E1239" s="3">
        <v>0</v>
      </c>
      <c r="G1239" s="57"/>
    </row>
    <row r="1240" spans="1:7" ht="12.75" x14ac:dyDescent="0.2">
      <c r="A1240" s="3">
        <v>37</v>
      </c>
      <c r="B1240" s="4" t="s">
        <v>67</v>
      </c>
      <c r="C1240" s="3" t="s">
        <v>347</v>
      </c>
      <c r="D1240" s="3" t="s">
        <v>283</v>
      </c>
      <c r="E1240" s="3">
        <v>22</v>
      </c>
      <c r="G1240" s="57"/>
    </row>
    <row r="1241" spans="1:7" ht="12.75" x14ac:dyDescent="0.2">
      <c r="A1241" s="3">
        <v>37</v>
      </c>
      <c r="B1241" s="4" t="s">
        <v>67</v>
      </c>
      <c r="C1241" s="3" t="s">
        <v>347</v>
      </c>
      <c r="D1241" s="3" t="s">
        <v>315</v>
      </c>
      <c r="E1241" s="3">
        <v>0</v>
      </c>
      <c r="G1241" s="57"/>
    </row>
    <row r="1242" spans="1:7" ht="12.75" x14ac:dyDescent="0.2">
      <c r="A1242" s="3">
        <v>37</v>
      </c>
      <c r="B1242" s="4" t="s">
        <v>67</v>
      </c>
      <c r="C1242" s="3" t="s">
        <v>347</v>
      </c>
      <c r="D1242" s="3" t="s">
        <v>316</v>
      </c>
      <c r="E1242" s="3">
        <v>1</v>
      </c>
      <c r="G1242" s="57"/>
    </row>
    <row r="1243" spans="1:7" ht="12.75" x14ac:dyDescent="0.2">
      <c r="A1243" s="3">
        <v>37</v>
      </c>
      <c r="B1243" s="4" t="s">
        <v>67</v>
      </c>
      <c r="C1243" s="3" t="s">
        <v>347</v>
      </c>
      <c r="D1243" s="3" t="s">
        <v>369</v>
      </c>
      <c r="E1243" s="3">
        <v>0</v>
      </c>
      <c r="G1243" s="57"/>
    </row>
    <row r="1244" spans="1:7" ht="12.75" x14ac:dyDescent="0.2">
      <c r="A1244" s="3">
        <v>37</v>
      </c>
      <c r="B1244" s="4" t="s">
        <v>67</v>
      </c>
      <c r="C1244" s="3" t="s">
        <v>347</v>
      </c>
      <c r="D1244" s="3" t="s">
        <v>128</v>
      </c>
      <c r="E1244" s="3">
        <v>14</v>
      </c>
      <c r="G1244" s="57"/>
    </row>
    <row r="1245" spans="1:7" ht="12.75" x14ac:dyDescent="0.2">
      <c r="A1245" s="3">
        <v>37</v>
      </c>
      <c r="B1245" s="4" t="s">
        <v>67</v>
      </c>
      <c r="C1245" s="3" t="s">
        <v>347</v>
      </c>
      <c r="D1245" s="3" t="s">
        <v>370</v>
      </c>
      <c r="E1245" s="3">
        <v>0</v>
      </c>
      <c r="G1245" s="57"/>
    </row>
    <row r="1246" spans="1:7" ht="12.75" x14ac:dyDescent="0.2">
      <c r="A1246" s="3">
        <v>37</v>
      </c>
      <c r="B1246" s="4" t="s">
        <v>67</v>
      </c>
      <c r="C1246" s="3" t="s">
        <v>347</v>
      </c>
      <c r="D1246" s="3" t="s">
        <v>353</v>
      </c>
      <c r="E1246" s="3">
        <v>0</v>
      </c>
      <c r="G1246" s="57"/>
    </row>
    <row r="1247" spans="1:7" ht="12.75" x14ac:dyDescent="0.2">
      <c r="A1247" s="3">
        <v>37</v>
      </c>
      <c r="B1247" s="4" t="s">
        <v>67</v>
      </c>
      <c r="C1247" s="3" t="s">
        <v>347</v>
      </c>
      <c r="D1247" s="3" t="s">
        <v>371</v>
      </c>
      <c r="E1247" s="3">
        <v>9</v>
      </c>
      <c r="G1247" s="57"/>
    </row>
    <row r="1248" spans="1:7" ht="12.75" x14ac:dyDescent="0.2">
      <c r="A1248" s="3">
        <v>37</v>
      </c>
      <c r="B1248" s="4" t="s">
        <v>67</v>
      </c>
      <c r="C1248" s="3" t="s">
        <v>347</v>
      </c>
      <c r="D1248" s="3" t="s">
        <v>14</v>
      </c>
      <c r="E1248" s="3">
        <v>6</v>
      </c>
      <c r="G1248" s="57"/>
    </row>
    <row r="1249" spans="1:7" ht="12.75" x14ac:dyDescent="0.2">
      <c r="A1249" s="3">
        <v>37</v>
      </c>
      <c r="B1249" s="4" t="s">
        <v>67</v>
      </c>
      <c r="C1249" s="3" t="s">
        <v>347</v>
      </c>
      <c r="D1249" s="3" t="s">
        <v>138</v>
      </c>
      <c r="E1249" s="3">
        <v>0</v>
      </c>
      <c r="F1249">
        <f>SUM(E1236:E1249)</f>
        <v>52</v>
      </c>
      <c r="G1249" s="57"/>
    </row>
    <row r="1250" spans="1:7" ht="12.75" x14ac:dyDescent="0.2">
      <c r="A1250" s="3">
        <v>37</v>
      </c>
      <c r="B1250" s="4" t="s">
        <v>67</v>
      </c>
      <c r="C1250" s="3" t="s">
        <v>273</v>
      </c>
      <c r="D1250" s="3" t="s">
        <v>274</v>
      </c>
      <c r="E1250" s="3">
        <v>0</v>
      </c>
      <c r="G1250" s="57"/>
    </row>
    <row r="1251" spans="1:7" ht="12.75" x14ac:dyDescent="0.2">
      <c r="A1251" s="3">
        <v>37</v>
      </c>
      <c r="B1251" s="4" t="s">
        <v>67</v>
      </c>
      <c r="C1251" s="3" t="s">
        <v>273</v>
      </c>
      <c r="D1251" s="3" t="s">
        <v>283</v>
      </c>
      <c r="E1251" s="3">
        <v>34</v>
      </c>
      <c r="G1251" s="57"/>
    </row>
    <row r="1252" spans="1:7" ht="12.75" x14ac:dyDescent="0.2">
      <c r="A1252" s="3">
        <v>37</v>
      </c>
      <c r="B1252" s="4" t="s">
        <v>67</v>
      </c>
      <c r="C1252" s="3" t="s">
        <v>273</v>
      </c>
      <c r="D1252" s="3" t="s">
        <v>315</v>
      </c>
      <c r="E1252" s="3">
        <v>0</v>
      </c>
      <c r="G1252" s="57"/>
    </row>
    <row r="1253" spans="1:7" ht="12.75" x14ac:dyDescent="0.2">
      <c r="A1253" s="3">
        <v>37</v>
      </c>
      <c r="B1253" s="4" t="s">
        <v>67</v>
      </c>
      <c r="C1253" s="3" t="s">
        <v>273</v>
      </c>
      <c r="D1253" s="3" t="s">
        <v>128</v>
      </c>
      <c r="E1253" s="3">
        <v>11</v>
      </c>
      <c r="G1253" s="57"/>
    </row>
    <row r="1254" spans="1:7" ht="12.75" x14ac:dyDescent="0.2">
      <c r="A1254" s="3">
        <v>37</v>
      </c>
      <c r="B1254" s="4" t="s">
        <v>67</v>
      </c>
      <c r="C1254" s="3" t="s">
        <v>273</v>
      </c>
      <c r="D1254" s="3" t="s">
        <v>353</v>
      </c>
      <c r="E1254" s="3">
        <v>0</v>
      </c>
      <c r="G1254" s="57"/>
    </row>
    <row r="1255" spans="1:7" ht="12.75" x14ac:dyDescent="0.2">
      <c r="A1255" s="3">
        <v>37</v>
      </c>
      <c r="B1255" s="4" t="s">
        <v>67</v>
      </c>
      <c r="C1255" s="3" t="s">
        <v>273</v>
      </c>
      <c r="D1255" s="3" t="s">
        <v>371</v>
      </c>
      <c r="E1255" s="3">
        <v>6</v>
      </c>
      <c r="G1255" s="57"/>
    </row>
    <row r="1256" spans="1:7" ht="12.75" x14ac:dyDescent="0.2">
      <c r="A1256" s="3">
        <v>37</v>
      </c>
      <c r="B1256" s="4" t="s">
        <v>67</v>
      </c>
      <c r="C1256" s="3" t="s">
        <v>273</v>
      </c>
      <c r="D1256" s="3" t="s">
        <v>14</v>
      </c>
      <c r="E1256" s="3">
        <v>1</v>
      </c>
      <c r="G1256" s="57"/>
    </row>
    <row r="1257" spans="1:7" ht="12.75" x14ac:dyDescent="0.2">
      <c r="A1257" s="3">
        <v>37</v>
      </c>
      <c r="B1257" s="4" t="s">
        <v>67</v>
      </c>
      <c r="C1257" s="3" t="s">
        <v>273</v>
      </c>
      <c r="D1257" s="3" t="s">
        <v>138</v>
      </c>
      <c r="E1257" s="3">
        <v>0</v>
      </c>
      <c r="F1257">
        <f>SUM(E1250:E1257)</f>
        <v>52</v>
      </c>
      <c r="G1257" s="57"/>
    </row>
    <row r="1258" spans="1:7" ht="12.75" x14ac:dyDescent="0.2">
      <c r="A1258" s="3">
        <v>37</v>
      </c>
      <c r="B1258" s="4" t="s">
        <v>67</v>
      </c>
      <c r="C1258" s="3" t="s">
        <v>125</v>
      </c>
      <c r="D1258" s="3" t="s">
        <v>274</v>
      </c>
      <c r="E1258" s="3">
        <v>0</v>
      </c>
      <c r="G1258" s="57"/>
    </row>
    <row r="1259" spans="1:7" ht="12.75" x14ac:dyDescent="0.2">
      <c r="A1259" s="3">
        <v>37</v>
      </c>
      <c r="B1259" s="4" t="s">
        <v>67</v>
      </c>
      <c r="C1259" s="3" t="s">
        <v>125</v>
      </c>
      <c r="D1259" s="3" t="s">
        <v>283</v>
      </c>
      <c r="E1259" s="3">
        <v>34</v>
      </c>
      <c r="G1259" s="57"/>
    </row>
    <row r="1260" spans="1:7" ht="12.75" x14ac:dyDescent="0.2">
      <c r="A1260" s="3">
        <v>37</v>
      </c>
      <c r="B1260" s="4" t="s">
        <v>67</v>
      </c>
      <c r="C1260" s="3" t="s">
        <v>125</v>
      </c>
      <c r="D1260" s="3" t="s">
        <v>315</v>
      </c>
      <c r="E1260" s="3">
        <v>0</v>
      </c>
      <c r="G1260" s="57"/>
    </row>
    <row r="1261" spans="1:7" ht="12.75" x14ac:dyDescent="0.2">
      <c r="A1261" s="3">
        <v>37</v>
      </c>
      <c r="B1261" s="4" t="s">
        <v>67</v>
      </c>
      <c r="C1261" s="3" t="s">
        <v>125</v>
      </c>
      <c r="D1261" s="3" t="s">
        <v>128</v>
      </c>
      <c r="E1261" s="3">
        <v>9</v>
      </c>
      <c r="G1261" s="57"/>
    </row>
    <row r="1262" spans="1:7" ht="12.75" x14ac:dyDescent="0.2">
      <c r="A1262" s="3">
        <v>37</v>
      </c>
      <c r="B1262" s="4" t="s">
        <v>67</v>
      </c>
      <c r="C1262" s="3" t="s">
        <v>125</v>
      </c>
      <c r="D1262" s="3" t="s">
        <v>353</v>
      </c>
      <c r="E1262" s="3">
        <v>0</v>
      </c>
      <c r="G1262" s="57"/>
    </row>
    <row r="1263" spans="1:7" ht="12.75" x14ac:dyDescent="0.2">
      <c r="A1263" s="3">
        <v>37</v>
      </c>
      <c r="B1263" s="4" t="s">
        <v>67</v>
      </c>
      <c r="C1263" s="3" t="s">
        <v>125</v>
      </c>
      <c r="D1263" s="3" t="s">
        <v>371</v>
      </c>
      <c r="E1263" s="3">
        <v>6</v>
      </c>
      <c r="G1263" s="57"/>
    </row>
    <row r="1264" spans="1:7" ht="12.75" x14ac:dyDescent="0.2">
      <c r="A1264" s="3">
        <v>37</v>
      </c>
      <c r="B1264" s="4" t="s">
        <v>67</v>
      </c>
      <c r="C1264" s="3" t="s">
        <v>125</v>
      </c>
      <c r="D1264" s="3" t="s">
        <v>14</v>
      </c>
      <c r="E1264" s="3">
        <v>3</v>
      </c>
      <c r="G1264" s="57"/>
    </row>
    <row r="1265" spans="1:7" ht="12.75" x14ac:dyDescent="0.2">
      <c r="A1265" s="3">
        <v>37</v>
      </c>
      <c r="B1265" s="4" t="s">
        <v>67</v>
      </c>
      <c r="C1265" s="3" t="s">
        <v>125</v>
      </c>
      <c r="D1265" s="3" t="s">
        <v>138</v>
      </c>
      <c r="E1265" s="3">
        <v>0</v>
      </c>
      <c r="F1265">
        <f>SUM(E1258:E1265)</f>
        <v>52</v>
      </c>
      <c r="G1265" s="57"/>
    </row>
    <row r="1266" spans="1:7" ht="12.75" x14ac:dyDescent="0.2">
      <c r="A1266" s="3">
        <v>38</v>
      </c>
      <c r="B1266" s="4" t="s">
        <v>68</v>
      </c>
      <c r="C1266" s="3" t="s">
        <v>347</v>
      </c>
      <c r="D1266" s="3" t="s">
        <v>366</v>
      </c>
      <c r="E1266" s="3">
        <v>1</v>
      </c>
      <c r="G1266" s="59">
        <v>478</v>
      </c>
    </row>
    <row r="1267" spans="1:7" ht="12.75" x14ac:dyDescent="0.2">
      <c r="A1267" s="3">
        <v>38</v>
      </c>
      <c r="B1267" s="4" t="s">
        <v>68</v>
      </c>
      <c r="C1267" s="3" t="s">
        <v>347</v>
      </c>
      <c r="D1267" s="3" t="s">
        <v>274</v>
      </c>
      <c r="E1267" s="3">
        <v>0</v>
      </c>
      <c r="G1267" s="57"/>
    </row>
    <row r="1268" spans="1:7" ht="12.75" x14ac:dyDescent="0.2">
      <c r="A1268" s="3">
        <v>38</v>
      </c>
      <c r="B1268" s="4" t="s">
        <v>68</v>
      </c>
      <c r="C1268" s="3" t="s">
        <v>347</v>
      </c>
      <c r="D1268" s="3" t="s">
        <v>367</v>
      </c>
      <c r="E1268" s="3">
        <v>0</v>
      </c>
      <c r="G1268" s="57"/>
    </row>
    <row r="1269" spans="1:7" ht="12.75" x14ac:dyDescent="0.2">
      <c r="A1269" s="3">
        <v>38</v>
      </c>
      <c r="B1269" s="4" t="s">
        <v>68</v>
      </c>
      <c r="C1269" s="3" t="s">
        <v>347</v>
      </c>
      <c r="D1269" s="3" t="s">
        <v>368</v>
      </c>
      <c r="E1269" s="3">
        <v>1</v>
      </c>
      <c r="G1269" s="57"/>
    </row>
    <row r="1270" spans="1:7" ht="12.75" x14ac:dyDescent="0.2">
      <c r="A1270" s="3">
        <v>38</v>
      </c>
      <c r="B1270" s="4" t="s">
        <v>68</v>
      </c>
      <c r="C1270" s="3" t="s">
        <v>347</v>
      </c>
      <c r="D1270" s="3" t="s">
        <v>283</v>
      </c>
      <c r="E1270" s="3">
        <v>76</v>
      </c>
      <c r="G1270" s="57"/>
    </row>
    <row r="1271" spans="1:7" ht="12.75" x14ac:dyDescent="0.2">
      <c r="A1271" s="3">
        <v>38</v>
      </c>
      <c r="B1271" s="4" t="s">
        <v>68</v>
      </c>
      <c r="C1271" s="3" t="s">
        <v>347</v>
      </c>
      <c r="D1271" s="3" t="s">
        <v>315</v>
      </c>
      <c r="E1271" s="3">
        <v>4</v>
      </c>
      <c r="G1271" s="57"/>
    </row>
    <row r="1272" spans="1:7" ht="12.75" x14ac:dyDescent="0.2">
      <c r="A1272" s="3">
        <v>38</v>
      </c>
      <c r="B1272" s="4" t="s">
        <v>68</v>
      </c>
      <c r="C1272" s="3" t="s">
        <v>347</v>
      </c>
      <c r="D1272" s="3" t="s">
        <v>316</v>
      </c>
      <c r="E1272" s="3">
        <v>3</v>
      </c>
      <c r="G1272" s="57"/>
    </row>
    <row r="1273" spans="1:7" ht="12.75" x14ac:dyDescent="0.2">
      <c r="A1273" s="3">
        <v>38</v>
      </c>
      <c r="B1273" s="4" t="s">
        <v>68</v>
      </c>
      <c r="C1273" s="3" t="s">
        <v>347</v>
      </c>
      <c r="D1273" s="3" t="s">
        <v>369</v>
      </c>
      <c r="E1273" s="3">
        <v>0</v>
      </c>
      <c r="G1273" s="57"/>
    </row>
    <row r="1274" spans="1:7" ht="12.75" x14ac:dyDescent="0.2">
      <c r="A1274" s="3">
        <v>38</v>
      </c>
      <c r="B1274" s="4" t="s">
        <v>68</v>
      </c>
      <c r="C1274" s="3" t="s">
        <v>347</v>
      </c>
      <c r="D1274" s="3" t="s">
        <v>128</v>
      </c>
      <c r="E1274" s="3">
        <v>224</v>
      </c>
      <c r="G1274" s="57"/>
    </row>
    <row r="1275" spans="1:7" ht="12.75" x14ac:dyDescent="0.2">
      <c r="A1275" s="3">
        <v>38</v>
      </c>
      <c r="B1275" s="4" t="s">
        <v>68</v>
      </c>
      <c r="C1275" s="3" t="s">
        <v>347</v>
      </c>
      <c r="D1275" s="3" t="s">
        <v>370</v>
      </c>
      <c r="E1275" s="3">
        <v>0</v>
      </c>
      <c r="G1275" s="57"/>
    </row>
    <row r="1276" spans="1:7" ht="12.75" x14ac:dyDescent="0.2">
      <c r="A1276" s="3">
        <v>38</v>
      </c>
      <c r="B1276" s="4" t="s">
        <v>68</v>
      </c>
      <c r="C1276" s="3" t="s">
        <v>347</v>
      </c>
      <c r="D1276" s="3" t="s">
        <v>353</v>
      </c>
      <c r="E1276" s="3">
        <v>9</v>
      </c>
      <c r="G1276" s="57"/>
    </row>
    <row r="1277" spans="1:7" ht="12.75" x14ac:dyDescent="0.2">
      <c r="A1277" s="3">
        <v>38</v>
      </c>
      <c r="B1277" s="4" t="s">
        <v>68</v>
      </c>
      <c r="C1277" s="3" t="s">
        <v>347</v>
      </c>
      <c r="D1277" s="3" t="s">
        <v>371</v>
      </c>
      <c r="E1277" s="3">
        <v>73</v>
      </c>
      <c r="G1277" s="57"/>
    </row>
    <row r="1278" spans="1:7" ht="12.75" x14ac:dyDescent="0.2">
      <c r="A1278" s="3">
        <v>38</v>
      </c>
      <c r="B1278" s="4" t="s">
        <v>68</v>
      </c>
      <c r="C1278" s="3" t="s">
        <v>347</v>
      </c>
      <c r="D1278" s="3" t="s">
        <v>14</v>
      </c>
      <c r="E1278" s="3">
        <v>6</v>
      </c>
      <c r="G1278" s="57"/>
    </row>
    <row r="1279" spans="1:7" ht="12.75" x14ac:dyDescent="0.2">
      <c r="A1279" s="3">
        <v>38</v>
      </c>
      <c r="B1279" s="4" t="s">
        <v>68</v>
      </c>
      <c r="C1279" s="3" t="s">
        <v>347</v>
      </c>
      <c r="D1279" s="3" t="s">
        <v>138</v>
      </c>
      <c r="E1279" s="3">
        <v>7</v>
      </c>
      <c r="F1279">
        <f>SUM(E1266:E1279)</f>
        <v>404</v>
      </c>
      <c r="G1279" s="57"/>
    </row>
    <row r="1280" spans="1:7" ht="12.75" x14ac:dyDescent="0.2">
      <c r="A1280" s="3">
        <v>38</v>
      </c>
      <c r="B1280" s="4" t="s">
        <v>68</v>
      </c>
      <c r="C1280" s="3" t="s">
        <v>273</v>
      </c>
      <c r="D1280" s="3" t="s">
        <v>274</v>
      </c>
      <c r="E1280" s="3">
        <v>1</v>
      </c>
      <c r="G1280" s="57"/>
    </row>
    <row r="1281" spans="1:7" ht="12.75" x14ac:dyDescent="0.2">
      <c r="A1281" s="3">
        <v>38</v>
      </c>
      <c r="B1281" s="4" t="s">
        <v>68</v>
      </c>
      <c r="C1281" s="3" t="s">
        <v>273</v>
      </c>
      <c r="D1281" s="3" t="s">
        <v>283</v>
      </c>
      <c r="E1281" s="3">
        <v>124</v>
      </c>
      <c r="G1281" s="57"/>
    </row>
    <row r="1282" spans="1:7" ht="12.75" x14ac:dyDescent="0.2">
      <c r="A1282" s="3">
        <v>38</v>
      </c>
      <c r="B1282" s="4" t="s">
        <v>68</v>
      </c>
      <c r="C1282" s="3" t="s">
        <v>273</v>
      </c>
      <c r="D1282" s="3" t="s">
        <v>315</v>
      </c>
      <c r="E1282" s="3">
        <v>2</v>
      </c>
      <c r="G1282" s="57"/>
    </row>
    <row r="1283" spans="1:7" ht="12.75" x14ac:dyDescent="0.2">
      <c r="A1283" s="3">
        <v>38</v>
      </c>
      <c r="B1283" s="4" t="s">
        <v>68</v>
      </c>
      <c r="C1283" s="3" t="s">
        <v>273</v>
      </c>
      <c r="D1283" s="3" t="s">
        <v>128</v>
      </c>
      <c r="E1283" s="3">
        <v>218</v>
      </c>
      <c r="G1283" s="57"/>
    </row>
    <row r="1284" spans="1:7" ht="12.75" x14ac:dyDescent="0.2">
      <c r="A1284" s="3">
        <v>38</v>
      </c>
      <c r="B1284" s="4" t="s">
        <v>68</v>
      </c>
      <c r="C1284" s="3" t="s">
        <v>273</v>
      </c>
      <c r="D1284" s="3" t="s">
        <v>353</v>
      </c>
      <c r="E1284" s="3">
        <v>6</v>
      </c>
      <c r="G1284" s="57"/>
    </row>
    <row r="1285" spans="1:7" ht="12.75" x14ac:dyDescent="0.2">
      <c r="A1285" s="3">
        <v>38</v>
      </c>
      <c r="B1285" s="4" t="s">
        <v>68</v>
      </c>
      <c r="C1285" s="3" t="s">
        <v>273</v>
      </c>
      <c r="D1285" s="3" t="s">
        <v>371</v>
      </c>
      <c r="E1285" s="3">
        <v>34</v>
      </c>
      <c r="G1285" s="57"/>
    </row>
    <row r="1286" spans="1:7" ht="12.75" x14ac:dyDescent="0.2">
      <c r="A1286" s="3">
        <v>38</v>
      </c>
      <c r="B1286" s="4" t="s">
        <v>68</v>
      </c>
      <c r="C1286" s="3" t="s">
        <v>273</v>
      </c>
      <c r="D1286" s="3" t="s">
        <v>14</v>
      </c>
      <c r="E1286" s="3">
        <v>13</v>
      </c>
      <c r="G1286" s="57"/>
    </row>
    <row r="1287" spans="1:7" ht="12.75" x14ac:dyDescent="0.2">
      <c r="A1287" s="3">
        <v>38</v>
      </c>
      <c r="B1287" s="4" t="s">
        <v>68</v>
      </c>
      <c r="C1287" s="3" t="s">
        <v>273</v>
      </c>
      <c r="D1287" s="3" t="s">
        <v>138</v>
      </c>
      <c r="E1287" s="3">
        <v>6</v>
      </c>
      <c r="F1287">
        <f>SUM(E1280:E1287)</f>
        <v>404</v>
      </c>
      <c r="G1287" s="57"/>
    </row>
    <row r="1288" spans="1:7" ht="12.75" x14ac:dyDescent="0.2">
      <c r="A1288" s="3">
        <v>38</v>
      </c>
      <c r="B1288" s="4" t="s">
        <v>68</v>
      </c>
      <c r="C1288" s="3" t="s">
        <v>125</v>
      </c>
      <c r="D1288" s="3" t="s">
        <v>274</v>
      </c>
      <c r="E1288" s="3">
        <v>1</v>
      </c>
      <c r="G1288" s="57"/>
    </row>
    <row r="1289" spans="1:7" ht="12.75" x14ac:dyDescent="0.2">
      <c r="A1289" s="3">
        <v>38</v>
      </c>
      <c r="B1289" s="4" t="s">
        <v>68</v>
      </c>
      <c r="C1289" s="3" t="s">
        <v>125</v>
      </c>
      <c r="D1289" s="3" t="s">
        <v>283</v>
      </c>
      <c r="E1289" s="3">
        <v>125</v>
      </c>
      <c r="G1289" s="57"/>
    </row>
    <row r="1290" spans="1:7" ht="12.75" x14ac:dyDescent="0.2">
      <c r="A1290" s="3">
        <v>38</v>
      </c>
      <c r="B1290" s="4" t="s">
        <v>68</v>
      </c>
      <c r="C1290" s="3" t="s">
        <v>125</v>
      </c>
      <c r="D1290" s="3" t="s">
        <v>315</v>
      </c>
      <c r="E1290" s="3">
        <v>2</v>
      </c>
      <c r="G1290" s="57"/>
    </row>
    <row r="1291" spans="1:7" ht="12.75" x14ac:dyDescent="0.2">
      <c r="A1291" s="3">
        <v>38</v>
      </c>
      <c r="B1291" s="4" t="s">
        <v>68</v>
      </c>
      <c r="C1291" s="3" t="s">
        <v>125</v>
      </c>
      <c r="D1291" s="3" t="s">
        <v>128</v>
      </c>
      <c r="E1291" s="3">
        <v>220</v>
      </c>
      <c r="G1291" s="57"/>
    </row>
    <row r="1292" spans="1:7" ht="12.75" x14ac:dyDescent="0.2">
      <c r="A1292" s="3">
        <v>38</v>
      </c>
      <c r="B1292" s="4" t="s">
        <v>68</v>
      </c>
      <c r="C1292" s="3" t="s">
        <v>125</v>
      </c>
      <c r="D1292" s="3" t="s">
        <v>353</v>
      </c>
      <c r="E1292" s="3">
        <v>6</v>
      </c>
      <c r="G1292" s="57"/>
    </row>
    <row r="1293" spans="1:7" ht="12.75" x14ac:dyDescent="0.2">
      <c r="A1293" s="3">
        <v>38</v>
      </c>
      <c r="B1293" s="4" t="s">
        <v>68</v>
      </c>
      <c r="C1293" s="3" t="s">
        <v>125</v>
      </c>
      <c r="D1293" s="3" t="s">
        <v>371</v>
      </c>
      <c r="E1293" s="3">
        <v>34</v>
      </c>
      <c r="G1293" s="57"/>
    </row>
    <row r="1294" spans="1:7" ht="12.75" x14ac:dyDescent="0.2">
      <c r="A1294" s="3">
        <v>38</v>
      </c>
      <c r="B1294" s="4" t="s">
        <v>68</v>
      </c>
      <c r="C1294" s="3" t="s">
        <v>125</v>
      </c>
      <c r="D1294" s="3" t="s">
        <v>14</v>
      </c>
      <c r="E1294" s="3">
        <v>10</v>
      </c>
      <c r="G1294" s="57"/>
    </row>
    <row r="1295" spans="1:7" ht="12.75" x14ac:dyDescent="0.2">
      <c r="A1295" s="3">
        <v>38</v>
      </c>
      <c r="B1295" s="4" t="s">
        <v>68</v>
      </c>
      <c r="C1295" s="3" t="s">
        <v>125</v>
      </c>
      <c r="D1295" s="3" t="s">
        <v>138</v>
      </c>
      <c r="E1295" s="3">
        <v>6</v>
      </c>
      <c r="F1295">
        <f>SUM(E1288:E1295)</f>
        <v>404</v>
      </c>
      <c r="G1295" s="57"/>
    </row>
    <row r="1296" spans="1:7" ht="12.75" x14ac:dyDescent="0.2">
      <c r="A1296" s="3">
        <v>39</v>
      </c>
      <c r="B1296" s="4" t="s">
        <v>69</v>
      </c>
      <c r="C1296" s="3" t="s">
        <v>347</v>
      </c>
      <c r="D1296" s="3" t="s">
        <v>366</v>
      </c>
      <c r="E1296" s="3">
        <v>1</v>
      </c>
      <c r="G1296" s="59">
        <v>1615</v>
      </c>
    </row>
    <row r="1297" spans="1:7" ht="12.75" x14ac:dyDescent="0.2">
      <c r="A1297" s="3">
        <v>39</v>
      </c>
      <c r="B1297" s="4" t="s">
        <v>69</v>
      </c>
      <c r="C1297" s="3" t="s">
        <v>347</v>
      </c>
      <c r="D1297" s="3" t="s">
        <v>274</v>
      </c>
      <c r="E1297" s="3">
        <v>0</v>
      </c>
      <c r="G1297" s="57"/>
    </row>
    <row r="1298" spans="1:7" ht="12.75" x14ac:dyDescent="0.2">
      <c r="A1298" s="3">
        <v>39</v>
      </c>
      <c r="B1298" s="4" t="s">
        <v>69</v>
      </c>
      <c r="C1298" s="3" t="s">
        <v>347</v>
      </c>
      <c r="D1298" s="3" t="s">
        <v>367</v>
      </c>
      <c r="E1298" s="3">
        <v>1</v>
      </c>
      <c r="G1298" s="57"/>
    </row>
    <row r="1299" spans="1:7" ht="12.75" x14ac:dyDescent="0.2">
      <c r="A1299" s="3">
        <v>39</v>
      </c>
      <c r="B1299" s="4" t="s">
        <v>69</v>
      </c>
      <c r="C1299" s="3" t="s">
        <v>347</v>
      </c>
      <c r="D1299" s="3" t="s">
        <v>368</v>
      </c>
      <c r="E1299" s="3">
        <v>2</v>
      </c>
      <c r="G1299" s="57"/>
    </row>
    <row r="1300" spans="1:7" ht="12.75" x14ac:dyDescent="0.2">
      <c r="A1300" s="3">
        <v>39</v>
      </c>
      <c r="B1300" s="4" t="s">
        <v>69</v>
      </c>
      <c r="C1300" s="3" t="s">
        <v>347</v>
      </c>
      <c r="D1300" s="3" t="s">
        <v>283</v>
      </c>
      <c r="E1300" s="3">
        <v>604</v>
      </c>
      <c r="G1300" s="57"/>
    </row>
    <row r="1301" spans="1:7" ht="12.75" x14ac:dyDescent="0.2">
      <c r="A1301" s="3">
        <v>39</v>
      </c>
      <c r="B1301" s="4" t="s">
        <v>69</v>
      </c>
      <c r="C1301" s="3" t="s">
        <v>347</v>
      </c>
      <c r="D1301" s="3" t="s">
        <v>315</v>
      </c>
      <c r="E1301" s="3">
        <v>16</v>
      </c>
      <c r="G1301" s="57"/>
    </row>
    <row r="1302" spans="1:7" ht="12.75" x14ac:dyDescent="0.2">
      <c r="A1302" s="3">
        <v>39</v>
      </c>
      <c r="B1302" s="4" t="s">
        <v>69</v>
      </c>
      <c r="C1302" s="3" t="s">
        <v>347</v>
      </c>
      <c r="D1302" s="3" t="s">
        <v>316</v>
      </c>
      <c r="E1302" s="3">
        <v>13</v>
      </c>
      <c r="G1302" s="57"/>
    </row>
    <row r="1303" spans="1:7" ht="12.75" x14ac:dyDescent="0.2">
      <c r="A1303" s="3">
        <v>39</v>
      </c>
      <c r="B1303" s="4" t="s">
        <v>69</v>
      </c>
      <c r="C1303" s="3" t="s">
        <v>347</v>
      </c>
      <c r="D1303" s="3" t="s">
        <v>369</v>
      </c>
      <c r="E1303" s="3">
        <v>1</v>
      </c>
      <c r="G1303" s="57"/>
    </row>
    <row r="1304" spans="1:7" ht="12.75" x14ac:dyDescent="0.2">
      <c r="A1304" s="3">
        <v>39</v>
      </c>
      <c r="B1304" s="4" t="s">
        <v>69</v>
      </c>
      <c r="C1304" s="3" t="s">
        <v>347</v>
      </c>
      <c r="D1304" s="3" t="s">
        <v>128</v>
      </c>
      <c r="E1304" s="3">
        <v>401</v>
      </c>
      <c r="G1304" s="57"/>
    </row>
    <row r="1305" spans="1:7" ht="12.75" x14ac:dyDescent="0.2">
      <c r="A1305" s="3">
        <v>39</v>
      </c>
      <c r="B1305" s="4" t="s">
        <v>69</v>
      </c>
      <c r="C1305" s="3" t="s">
        <v>347</v>
      </c>
      <c r="D1305" s="3" t="s">
        <v>370</v>
      </c>
      <c r="E1305" s="3">
        <v>3</v>
      </c>
      <c r="G1305" s="57"/>
    </row>
    <row r="1306" spans="1:7" ht="12.75" x14ac:dyDescent="0.2">
      <c r="A1306" s="3">
        <v>39</v>
      </c>
      <c r="B1306" s="4" t="s">
        <v>69</v>
      </c>
      <c r="C1306" s="3" t="s">
        <v>347</v>
      </c>
      <c r="D1306" s="3" t="s">
        <v>353</v>
      </c>
      <c r="E1306" s="3">
        <v>7</v>
      </c>
      <c r="G1306" s="57"/>
    </row>
    <row r="1307" spans="1:7" ht="12.75" x14ac:dyDescent="0.2">
      <c r="A1307" s="3">
        <v>39</v>
      </c>
      <c r="B1307" s="4" t="s">
        <v>69</v>
      </c>
      <c r="C1307" s="3" t="s">
        <v>347</v>
      </c>
      <c r="D1307" s="3" t="s">
        <v>371</v>
      </c>
      <c r="E1307" s="3">
        <v>202</v>
      </c>
      <c r="G1307" s="57"/>
    </row>
    <row r="1308" spans="1:7" ht="12.75" x14ac:dyDescent="0.2">
      <c r="A1308" s="3">
        <v>39</v>
      </c>
      <c r="B1308" s="4" t="s">
        <v>69</v>
      </c>
      <c r="C1308" s="3" t="s">
        <v>347</v>
      </c>
      <c r="D1308" s="3" t="s">
        <v>14</v>
      </c>
      <c r="E1308" s="3">
        <v>35</v>
      </c>
      <c r="G1308" s="57"/>
    </row>
    <row r="1309" spans="1:7" ht="12.75" x14ac:dyDescent="0.2">
      <c r="A1309" s="3">
        <v>39</v>
      </c>
      <c r="B1309" s="4" t="s">
        <v>69</v>
      </c>
      <c r="C1309" s="3" t="s">
        <v>347</v>
      </c>
      <c r="D1309" s="3" t="s">
        <v>138</v>
      </c>
      <c r="E1309" s="3">
        <v>9</v>
      </c>
      <c r="F1309">
        <f>SUM(E1296:E1309)</f>
        <v>1295</v>
      </c>
      <c r="G1309" s="57"/>
    </row>
    <row r="1310" spans="1:7" ht="12.75" x14ac:dyDescent="0.2">
      <c r="A1310" s="3">
        <v>39</v>
      </c>
      <c r="B1310" s="4" t="s">
        <v>69</v>
      </c>
      <c r="C1310" s="3" t="s">
        <v>273</v>
      </c>
      <c r="D1310" s="3" t="s">
        <v>274</v>
      </c>
      <c r="E1310" s="3">
        <v>4</v>
      </c>
      <c r="G1310" s="57"/>
    </row>
    <row r="1311" spans="1:7" ht="12.75" x14ac:dyDescent="0.2">
      <c r="A1311" s="3">
        <v>39</v>
      </c>
      <c r="B1311" s="4" t="s">
        <v>69</v>
      </c>
      <c r="C1311" s="3" t="s">
        <v>273</v>
      </c>
      <c r="D1311" s="3" t="s">
        <v>283</v>
      </c>
      <c r="E1311" s="3">
        <v>678</v>
      </c>
      <c r="G1311" s="57"/>
    </row>
    <row r="1312" spans="1:7" ht="12.75" x14ac:dyDescent="0.2">
      <c r="A1312" s="3">
        <v>39</v>
      </c>
      <c r="B1312" s="4" t="s">
        <v>69</v>
      </c>
      <c r="C1312" s="3" t="s">
        <v>273</v>
      </c>
      <c r="D1312" s="3" t="s">
        <v>315</v>
      </c>
      <c r="E1312" s="3">
        <v>12</v>
      </c>
      <c r="G1312" s="57"/>
    </row>
    <row r="1313" spans="1:7" ht="12.75" x14ac:dyDescent="0.2">
      <c r="A1313" s="3">
        <v>39</v>
      </c>
      <c r="B1313" s="4" t="s">
        <v>69</v>
      </c>
      <c r="C1313" s="3" t="s">
        <v>273</v>
      </c>
      <c r="D1313" s="3" t="s">
        <v>128</v>
      </c>
      <c r="E1313" s="3">
        <v>378</v>
      </c>
      <c r="G1313" s="57"/>
    </row>
    <row r="1314" spans="1:7" ht="12.75" x14ac:dyDescent="0.2">
      <c r="A1314" s="3">
        <v>39</v>
      </c>
      <c r="B1314" s="4" t="s">
        <v>69</v>
      </c>
      <c r="C1314" s="3" t="s">
        <v>273</v>
      </c>
      <c r="D1314" s="3" t="s">
        <v>353</v>
      </c>
      <c r="E1314" s="3">
        <v>4</v>
      </c>
      <c r="G1314" s="57"/>
    </row>
    <row r="1315" spans="1:7" ht="12.75" x14ac:dyDescent="0.2">
      <c r="A1315" s="3">
        <v>39</v>
      </c>
      <c r="B1315" s="4" t="s">
        <v>69</v>
      </c>
      <c r="C1315" s="3" t="s">
        <v>273</v>
      </c>
      <c r="D1315" s="3" t="s">
        <v>371</v>
      </c>
      <c r="E1315" s="3">
        <v>134</v>
      </c>
      <c r="G1315" s="57"/>
    </row>
    <row r="1316" spans="1:7" ht="12.75" x14ac:dyDescent="0.2">
      <c r="A1316" s="3">
        <v>39</v>
      </c>
      <c r="B1316" s="4" t="s">
        <v>69</v>
      </c>
      <c r="C1316" s="3" t="s">
        <v>273</v>
      </c>
      <c r="D1316" s="3" t="s">
        <v>14</v>
      </c>
      <c r="E1316" s="3">
        <v>76</v>
      </c>
      <c r="G1316" s="57"/>
    </row>
    <row r="1317" spans="1:7" ht="12.75" x14ac:dyDescent="0.2">
      <c r="A1317" s="3">
        <v>39</v>
      </c>
      <c r="B1317" s="4" t="s">
        <v>69</v>
      </c>
      <c r="C1317" s="3" t="s">
        <v>273</v>
      </c>
      <c r="D1317" s="3" t="s">
        <v>138</v>
      </c>
      <c r="E1317" s="3">
        <v>9</v>
      </c>
      <c r="F1317">
        <f>SUM(E1310:E1317)</f>
        <v>1295</v>
      </c>
      <c r="G1317" s="57"/>
    </row>
    <row r="1318" spans="1:7" ht="12.75" x14ac:dyDescent="0.2">
      <c r="A1318" s="3">
        <v>39</v>
      </c>
      <c r="B1318" s="4" t="s">
        <v>69</v>
      </c>
      <c r="C1318" s="3" t="s">
        <v>125</v>
      </c>
      <c r="D1318" s="3" t="s">
        <v>274</v>
      </c>
      <c r="E1318" s="3">
        <v>4</v>
      </c>
      <c r="G1318" s="57"/>
    </row>
    <row r="1319" spans="1:7" ht="12.75" x14ac:dyDescent="0.2">
      <c r="A1319" s="3">
        <v>39</v>
      </c>
      <c r="B1319" s="4" t="s">
        <v>69</v>
      </c>
      <c r="C1319" s="3" t="s">
        <v>125</v>
      </c>
      <c r="D1319" s="3" t="s">
        <v>283</v>
      </c>
      <c r="E1319" s="3">
        <v>674</v>
      </c>
      <c r="G1319" s="57"/>
    </row>
    <row r="1320" spans="1:7" ht="12.75" x14ac:dyDescent="0.2">
      <c r="A1320" s="3">
        <v>39</v>
      </c>
      <c r="B1320" s="4" t="s">
        <v>69</v>
      </c>
      <c r="C1320" s="3" t="s">
        <v>125</v>
      </c>
      <c r="D1320" s="3" t="s">
        <v>315</v>
      </c>
      <c r="E1320" s="3">
        <v>12</v>
      </c>
      <c r="G1320" s="57"/>
    </row>
    <row r="1321" spans="1:7" ht="12.75" x14ac:dyDescent="0.2">
      <c r="A1321" s="3">
        <v>39</v>
      </c>
      <c r="B1321" s="4" t="s">
        <v>69</v>
      </c>
      <c r="C1321" s="3" t="s">
        <v>125</v>
      </c>
      <c r="D1321" s="3" t="s">
        <v>128</v>
      </c>
      <c r="E1321" s="3">
        <v>376</v>
      </c>
      <c r="G1321" s="57"/>
    </row>
    <row r="1322" spans="1:7" ht="12.75" x14ac:dyDescent="0.2">
      <c r="A1322" s="3">
        <v>39</v>
      </c>
      <c r="B1322" s="4" t="s">
        <v>69</v>
      </c>
      <c r="C1322" s="3" t="s">
        <v>125</v>
      </c>
      <c r="D1322" s="3" t="s">
        <v>353</v>
      </c>
      <c r="E1322" s="3">
        <v>4</v>
      </c>
      <c r="G1322" s="57"/>
    </row>
    <row r="1323" spans="1:7" ht="12.75" x14ac:dyDescent="0.2">
      <c r="A1323" s="3">
        <v>39</v>
      </c>
      <c r="B1323" s="4" t="s">
        <v>69</v>
      </c>
      <c r="C1323" s="3" t="s">
        <v>125</v>
      </c>
      <c r="D1323" s="3" t="s">
        <v>371</v>
      </c>
      <c r="E1323" s="3">
        <v>134</v>
      </c>
      <c r="G1323" s="57"/>
    </row>
    <row r="1324" spans="1:7" ht="12.75" x14ac:dyDescent="0.2">
      <c r="A1324" s="3">
        <v>39</v>
      </c>
      <c r="B1324" s="4" t="s">
        <v>69</v>
      </c>
      <c r="C1324" s="3" t="s">
        <v>125</v>
      </c>
      <c r="D1324" s="3" t="s">
        <v>14</v>
      </c>
      <c r="E1324" s="3">
        <v>82</v>
      </c>
      <c r="G1324" s="57"/>
    </row>
    <row r="1325" spans="1:7" ht="12.75" x14ac:dyDescent="0.2">
      <c r="A1325" s="3">
        <v>39</v>
      </c>
      <c r="B1325" s="4" t="s">
        <v>69</v>
      </c>
      <c r="C1325" s="3" t="s">
        <v>125</v>
      </c>
      <c r="D1325" s="3" t="s">
        <v>138</v>
      </c>
      <c r="E1325" s="3">
        <v>9</v>
      </c>
      <c r="F1325">
        <f>SUM(E1318:E1325)</f>
        <v>1295</v>
      </c>
      <c r="G1325" s="57"/>
    </row>
    <row r="1326" spans="1:7" ht="12.75" x14ac:dyDescent="0.2">
      <c r="A1326" s="2" t="s">
        <v>70</v>
      </c>
      <c r="B1326" s="4" t="s">
        <v>71</v>
      </c>
      <c r="C1326" s="3" t="s">
        <v>347</v>
      </c>
      <c r="D1326" s="3" t="s">
        <v>366</v>
      </c>
      <c r="E1326" s="3">
        <v>1</v>
      </c>
      <c r="G1326" s="59">
        <v>399</v>
      </c>
    </row>
    <row r="1327" spans="1:7" ht="12.75" x14ac:dyDescent="0.2">
      <c r="A1327" s="2" t="s">
        <v>70</v>
      </c>
      <c r="B1327" s="4" t="s">
        <v>71</v>
      </c>
      <c r="C1327" s="3" t="s">
        <v>347</v>
      </c>
      <c r="D1327" s="3" t="s">
        <v>274</v>
      </c>
      <c r="E1327" s="3">
        <v>0</v>
      </c>
      <c r="G1327" s="57"/>
    </row>
    <row r="1328" spans="1:7" ht="12.75" x14ac:dyDescent="0.2">
      <c r="A1328" s="2" t="s">
        <v>70</v>
      </c>
      <c r="B1328" s="4" t="s">
        <v>71</v>
      </c>
      <c r="C1328" s="3" t="s">
        <v>347</v>
      </c>
      <c r="D1328" s="3" t="s">
        <v>367</v>
      </c>
      <c r="E1328" s="3">
        <v>0</v>
      </c>
      <c r="G1328" s="57"/>
    </row>
    <row r="1329" spans="1:7" ht="12.75" x14ac:dyDescent="0.2">
      <c r="A1329" s="2" t="s">
        <v>70</v>
      </c>
      <c r="B1329" s="4" t="s">
        <v>71</v>
      </c>
      <c r="C1329" s="3" t="s">
        <v>347</v>
      </c>
      <c r="D1329" s="3" t="s">
        <v>368</v>
      </c>
      <c r="E1329" s="3">
        <v>0</v>
      </c>
      <c r="G1329" s="57"/>
    </row>
    <row r="1330" spans="1:7" ht="12.75" x14ac:dyDescent="0.2">
      <c r="A1330" s="2" t="s">
        <v>70</v>
      </c>
      <c r="B1330" s="4" t="s">
        <v>71</v>
      </c>
      <c r="C1330" s="3" t="s">
        <v>347</v>
      </c>
      <c r="D1330" s="3" t="s">
        <v>283</v>
      </c>
      <c r="E1330" s="3">
        <v>140</v>
      </c>
      <c r="G1330" s="57"/>
    </row>
    <row r="1331" spans="1:7" ht="12.75" x14ac:dyDescent="0.2">
      <c r="A1331" s="2" t="s">
        <v>70</v>
      </c>
      <c r="B1331" s="4" t="s">
        <v>71</v>
      </c>
      <c r="C1331" s="3" t="s">
        <v>347</v>
      </c>
      <c r="D1331" s="3" t="s">
        <v>315</v>
      </c>
      <c r="E1331" s="3">
        <v>3</v>
      </c>
      <c r="G1331" s="57"/>
    </row>
    <row r="1332" spans="1:7" ht="12.75" x14ac:dyDescent="0.2">
      <c r="A1332" s="2" t="s">
        <v>70</v>
      </c>
      <c r="B1332" s="4" t="s">
        <v>71</v>
      </c>
      <c r="C1332" s="3" t="s">
        <v>347</v>
      </c>
      <c r="D1332" s="3" t="s">
        <v>316</v>
      </c>
      <c r="E1332" s="3">
        <v>3</v>
      </c>
      <c r="G1332" s="57"/>
    </row>
    <row r="1333" spans="1:7" ht="12.75" x14ac:dyDescent="0.2">
      <c r="A1333" s="2" t="s">
        <v>70</v>
      </c>
      <c r="B1333" s="4" t="s">
        <v>71</v>
      </c>
      <c r="C1333" s="3" t="s">
        <v>347</v>
      </c>
      <c r="D1333" s="3" t="s">
        <v>369</v>
      </c>
      <c r="E1333" s="3">
        <v>19</v>
      </c>
      <c r="G1333" s="57"/>
    </row>
    <row r="1334" spans="1:7" ht="12.75" x14ac:dyDescent="0.2">
      <c r="A1334" s="2" t="s">
        <v>70</v>
      </c>
      <c r="B1334" s="4" t="s">
        <v>71</v>
      </c>
      <c r="C1334" s="3" t="s">
        <v>347</v>
      </c>
      <c r="D1334" s="3" t="s">
        <v>128</v>
      </c>
      <c r="E1334" s="3">
        <v>107</v>
      </c>
      <c r="G1334" s="57"/>
    </row>
    <row r="1335" spans="1:7" ht="12.75" x14ac:dyDescent="0.2">
      <c r="A1335" s="2" t="s">
        <v>70</v>
      </c>
      <c r="B1335" s="4" t="s">
        <v>71</v>
      </c>
      <c r="C1335" s="3" t="s">
        <v>347</v>
      </c>
      <c r="D1335" s="3" t="s">
        <v>370</v>
      </c>
      <c r="E1335" s="3">
        <v>2</v>
      </c>
      <c r="G1335" s="57"/>
    </row>
    <row r="1336" spans="1:7" ht="12.75" x14ac:dyDescent="0.2">
      <c r="A1336" s="2" t="s">
        <v>70</v>
      </c>
      <c r="B1336" s="4" t="s">
        <v>71</v>
      </c>
      <c r="C1336" s="3" t="s">
        <v>347</v>
      </c>
      <c r="D1336" s="3" t="s">
        <v>353</v>
      </c>
      <c r="E1336" s="3">
        <v>13</v>
      </c>
      <c r="G1336" s="57"/>
    </row>
    <row r="1337" spans="1:7" ht="12.75" x14ac:dyDescent="0.2">
      <c r="A1337" s="2" t="s">
        <v>70</v>
      </c>
      <c r="B1337" s="4" t="s">
        <v>71</v>
      </c>
      <c r="C1337" s="3" t="s">
        <v>347</v>
      </c>
      <c r="D1337" s="3" t="s">
        <v>371</v>
      </c>
      <c r="E1337" s="3">
        <v>19</v>
      </c>
      <c r="G1337" s="57"/>
    </row>
    <row r="1338" spans="1:7" ht="12.75" x14ac:dyDescent="0.2">
      <c r="A1338" s="2" t="s">
        <v>70</v>
      </c>
      <c r="B1338" s="4" t="s">
        <v>71</v>
      </c>
      <c r="C1338" s="3" t="s">
        <v>347</v>
      </c>
      <c r="D1338" s="3" t="s">
        <v>14</v>
      </c>
      <c r="E1338" s="3">
        <v>16</v>
      </c>
      <c r="G1338" s="57"/>
    </row>
    <row r="1339" spans="1:7" ht="12.75" x14ac:dyDescent="0.2">
      <c r="A1339" s="2" t="s">
        <v>70</v>
      </c>
      <c r="B1339" s="4" t="s">
        <v>71</v>
      </c>
      <c r="C1339" s="3" t="s">
        <v>347</v>
      </c>
      <c r="D1339" s="3" t="s">
        <v>138</v>
      </c>
      <c r="E1339" s="3">
        <v>3</v>
      </c>
      <c r="F1339">
        <f>SUM(E1326:E1339)</f>
        <v>326</v>
      </c>
      <c r="G1339" s="57"/>
    </row>
    <row r="1340" spans="1:7" ht="12.75" x14ac:dyDescent="0.2">
      <c r="A1340" s="2" t="s">
        <v>70</v>
      </c>
      <c r="B1340" s="4" t="s">
        <v>71</v>
      </c>
      <c r="C1340" s="3" t="s">
        <v>273</v>
      </c>
      <c r="D1340" s="3" t="s">
        <v>274</v>
      </c>
      <c r="E1340" s="3">
        <v>0</v>
      </c>
      <c r="G1340" s="57"/>
    </row>
    <row r="1341" spans="1:7" ht="12.75" x14ac:dyDescent="0.2">
      <c r="A1341" s="2" t="s">
        <v>70</v>
      </c>
      <c r="B1341" s="4" t="s">
        <v>71</v>
      </c>
      <c r="C1341" s="3" t="s">
        <v>273</v>
      </c>
      <c r="D1341" s="3" t="s">
        <v>283</v>
      </c>
      <c r="E1341" s="3">
        <v>173</v>
      </c>
      <c r="G1341" s="57"/>
    </row>
    <row r="1342" spans="1:7" ht="12.75" x14ac:dyDescent="0.2">
      <c r="A1342" s="2" t="s">
        <v>70</v>
      </c>
      <c r="B1342" s="4" t="s">
        <v>71</v>
      </c>
      <c r="C1342" s="3" t="s">
        <v>273</v>
      </c>
      <c r="D1342" s="3" t="s">
        <v>315</v>
      </c>
      <c r="E1342" s="3">
        <v>3</v>
      </c>
      <c r="G1342" s="57"/>
    </row>
    <row r="1343" spans="1:7" ht="12.75" x14ac:dyDescent="0.2">
      <c r="A1343" s="2" t="s">
        <v>70</v>
      </c>
      <c r="B1343" s="4" t="s">
        <v>71</v>
      </c>
      <c r="C1343" s="3" t="s">
        <v>273</v>
      </c>
      <c r="D1343" s="3" t="s">
        <v>128</v>
      </c>
      <c r="E1343" s="3">
        <v>112</v>
      </c>
      <c r="G1343" s="57"/>
    </row>
    <row r="1344" spans="1:7" ht="12.75" x14ac:dyDescent="0.2">
      <c r="A1344" s="2" t="s">
        <v>70</v>
      </c>
      <c r="B1344" s="4" t="s">
        <v>71</v>
      </c>
      <c r="C1344" s="3" t="s">
        <v>273</v>
      </c>
      <c r="D1344" s="3" t="s">
        <v>353</v>
      </c>
      <c r="E1344" s="3">
        <v>2</v>
      </c>
      <c r="G1344" s="57"/>
    </row>
    <row r="1345" spans="1:7" ht="12.75" x14ac:dyDescent="0.2">
      <c r="A1345" s="2" t="s">
        <v>70</v>
      </c>
      <c r="B1345" s="4" t="s">
        <v>71</v>
      </c>
      <c r="C1345" s="3" t="s">
        <v>273</v>
      </c>
      <c r="D1345" s="3" t="s">
        <v>371</v>
      </c>
      <c r="E1345" s="3">
        <v>14</v>
      </c>
      <c r="G1345" s="57"/>
    </row>
    <row r="1346" spans="1:7" ht="12.75" x14ac:dyDescent="0.2">
      <c r="A1346" s="2" t="s">
        <v>70</v>
      </c>
      <c r="B1346" s="4" t="s">
        <v>71</v>
      </c>
      <c r="C1346" s="3" t="s">
        <v>273</v>
      </c>
      <c r="D1346" s="3" t="s">
        <v>14</v>
      </c>
      <c r="E1346" s="3">
        <v>14</v>
      </c>
      <c r="G1346" s="57"/>
    </row>
    <row r="1347" spans="1:7" ht="12.75" x14ac:dyDescent="0.2">
      <c r="A1347" s="2" t="s">
        <v>70</v>
      </c>
      <c r="B1347" s="4" t="s">
        <v>71</v>
      </c>
      <c r="C1347" s="3" t="s">
        <v>273</v>
      </c>
      <c r="D1347" s="3" t="s">
        <v>138</v>
      </c>
      <c r="E1347" s="3">
        <v>8</v>
      </c>
      <c r="F1347">
        <f>SUM(E1340:E1347)</f>
        <v>326</v>
      </c>
      <c r="G1347" s="57"/>
    </row>
    <row r="1348" spans="1:7" ht="12.75" x14ac:dyDescent="0.2">
      <c r="A1348" s="2" t="s">
        <v>70</v>
      </c>
      <c r="B1348" s="4" t="s">
        <v>71</v>
      </c>
      <c r="C1348" s="3" t="s">
        <v>125</v>
      </c>
      <c r="D1348" s="3" t="s">
        <v>274</v>
      </c>
      <c r="E1348" s="3">
        <v>0</v>
      </c>
      <c r="G1348" s="57"/>
    </row>
    <row r="1349" spans="1:7" ht="12.75" x14ac:dyDescent="0.2">
      <c r="A1349" s="2" t="s">
        <v>70</v>
      </c>
      <c r="B1349" s="4" t="s">
        <v>71</v>
      </c>
      <c r="C1349" s="3" t="s">
        <v>125</v>
      </c>
      <c r="D1349" s="3" t="s">
        <v>283</v>
      </c>
      <c r="E1349" s="3">
        <v>174</v>
      </c>
      <c r="G1349" s="57"/>
    </row>
    <row r="1350" spans="1:7" ht="12.75" x14ac:dyDescent="0.2">
      <c r="A1350" s="2" t="s">
        <v>70</v>
      </c>
      <c r="B1350" s="4" t="s">
        <v>71</v>
      </c>
      <c r="C1350" s="3" t="s">
        <v>125</v>
      </c>
      <c r="D1350" s="3" t="s">
        <v>315</v>
      </c>
      <c r="E1350" s="3">
        <v>3</v>
      </c>
      <c r="G1350" s="57"/>
    </row>
    <row r="1351" spans="1:7" ht="12.75" x14ac:dyDescent="0.2">
      <c r="A1351" s="2" t="s">
        <v>70</v>
      </c>
      <c r="B1351" s="4" t="s">
        <v>71</v>
      </c>
      <c r="C1351" s="3" t="s">
        <v>125</v>
      </c>
      <c r="D1351" s="3" t="s">
        <v>128</v>
      </c>
      <c r="E1351" s="3">
        <v>118</v>
      </c>
      <c r="G1351" s="57"/>
    </row>
    <row r="1352" spans="1:7" ht="12.75" x14ac:dyDescent="0.2">
      <c r="A1352" s="2" t="s">
        <v>70</v>
      </c>
      <c r="B1352" s="4" t="s">
        <v>71</v>
      </c>
      <c r="C1352" s="3" t="s">
        <v>125</v>
      </c>
      <c r="D1352" s="3" t="s">
        <v>353</v>
      </c>
      <c r="E1352" s="3">
        <v>2</v>
      </c>
      <c r="G1352" s="57"/>
    </row>
    <row r="1353" spans="1:7" ht="12.75" x14ac:dyDescent="0.2">
      <c r="A1353" s="2" t="s">
        <v>70</v>
      </c>
      <c r="B1353" s="4" t="s">
        <v>71</v>
      </c>
      <c r="C1353" s="3" t="s">
        <v>125</v>
      </c>
      <c r="D1353" s="3" t="s">
        <v>371</v>
      </c>
      <c r="E1353" s="3">
        <v>13</v>
      </c>
      <c r="G1353" s="57"/>
    </row>
    <row r="1354" spans="1:7" ht="12.75" x14ac:dyDescent="0.2">
      <c r="A1354" s="2" t="s">
        <v>70</v>
      </c>
      <c r="B1354" s="4" t="s">
        <v>71</v>
      </c>
      <c r="C1354" s="3" t="s">
        <v>125</v>
      </c>
      <c r="D1354" s="3" t="s">
        <v>14</v>
      </c>
      <c r="E1354" s="3">
        <v>8</v>
      </c>
      <c r="G1354" s="57"/>
    </row>
    <row r="1355" spans="1:7" ht="12.75" x14ac:dyDescent="0.2">
      <c r="A1355" s="2" t="s">
        <v>70</v>
      </c>
      <c r="B1355" s="4" t="s">
        <v>71</v>
      </c>
      <c r="C1355" s="3" t="s">
        <v>125</v>
      </c>
      <c r="D1355" s="3" t="s">
        <v>138</v>
      </c>
      <c r="E1355" s="3">
        <v>8</v>
      </c>
      <c r="F1355">
        <f>SUM(E1348:E1355)</f>
        <v>326</v>
      </c>
      <c r="G1355" s="57"/>
    </row>
    <row r="1356" spans="1:7" ht="12.75" x14ac:dyDescent="0.2">
      <c r="A1356" s="2">
        <v>40</v>
      </c>
      <c r="B1356" s="4" t="s">
        <v>72</v>
      </c>
      <c r="C1356" s="3" t="s">
        <v>347</v>
      </c>
      <c r="D1356" s="3" t="s">
        <v>366</v>
      </c>
      <c r="E1356" s="3">
        <v>8</v>
      </c>
      <c r="G1356" s="59">
        <v>2506</v>
      </c>
    </row>
    <row r="1357" spans="1:7" ht="12.75" x14ac:dyDescent="0.2">
      <c r="A1357" s="2">
        <v>40</v>
      </c>
      <c r="B1357" s="4" t="s">
        <v>72</v>
      </c>
      <c r="C1357" s="3" t="s">
        <v>347</v>
      </c>
      <c r="D1357" s="3" t="s">
        <v>274</v>
      </c>
      <c r="E1357" s="3">
        <v>0</v>
      </c>
      <c r="G1357" s="57"/>
    </row>
    <row r="1358" spans="1:7" ht="12.75" x14ac:dyDescent="0.2">
      <c r="A1358" s="2">
        <v>40</v>
      </c>
      <c r="B1358" s="4" t="s">
        <v>72</v>
      </c>
      <c r="C1358" s="3" t="s">
        <v>347</v>
      </c>
      <c r="D1358" s="3" t="s">
        <v>367</v>
      </c>
      <c r="E1358" s="3">
        <v>2</v>
      </c>
      <c r="G1358" s="57"/>
    </row>
    <row r="1359" spans="1:7" ht="12.75" x14ac:dyDescent="0.2">
      <c r="A1359" s="2">
        <v>40</v>
      </c>
      <c r="B1359" s="4" t="s">
        <v>72</v>
      </c>
      <c r="C1359" s="3" t="s">
        <v>347</v>
      </c>
      <c r="D1359" s="3" t="s">
        <v>368</v>
      </c>
      <c r="E1359" s="3">
        <v>2</v>
      </c>
      <c r="G1359" s="57"/>
    </row>
    <row r="1360" spans="1:7" ht="12.75" x14ac:dyDescent="0.2">
      <c r="A1360" s="2">
        <v>40</v>
      </c>
      <c r="B1360" s="4" t="s">
        <v>72</v>
      </c>
      <c r="C1360" s="3" t="s">
        <v>347</v>
      </c>
      <c r="D1360" s="3" t="s">
        <v>283</v>
      </c>
      <c r="E1360" s="3">
        <v>658</v>
      </c>
      <c r="G1360" s="57"/>
    </row>
    <row r="1361" spans="1:7" ht="12.75" x14ac:dyDescent="0.2">
      <c r="A1361" s="2">
        <v>40</v>
      </c>
      <c r="B1361" s="4" t="s">
        <v>72</v>
      </c>
      <c r="C1361" s="3" t="s">
        <v>347</v>
      </c>
      <c r="D1361" s="3" t="s">
        <v>315</v>
      </c>
      <c r="E1361" s="3">
        <v>29</v>
      </c>
      <c r="G1361" s="57"/>
    </row>
    <row r="1362" spans="1:7" ht="12.75" x14ac:dyDescent="0.2">
      <c r="A1362" s="2">
        <v>40</v>
      </c>
      <c r="B1362" s="4" t="s">
        <v>72</v>
      </c>
      <c r="C1362" s="3" t="s">
        <v>347</v>
      </c>
      <c r="D1362" s="3" t="s">
        <v>316</v>
      </c>
      <c r="E1362" s="3">
        <v>23</v>
      </c>
      <c r="G1362" s="57"/>
    </row>
    <row r="1363" spans="1:7" ht="12.75" x14ac:dyDescent="0.2">
      <c r="A1363" s="2">
        <v>40</v>
      </c>
      <c r="B1363" s="4" t="s">
        <v>72</v>
      </c>
      <c r="C1363" s="3" t="s">
        <v>347</v>
      </c>
      <c r="D1363" s="3" t="s">
        <v>369</v>
      </c>
      <c r="E1363" s="3">
        <v>3</v>
      </c>
      <c r="G1363" s="57"/>
    </row>
    <row r="1364" spans="1:7" ht="12.75" x14ac:dyDescent="0.2">
      <c r="A1364" s="2">
        <v>40</v>
      </c>
      <c r="B1364" s="4" t="s">
        <v>72</v>
      </c>
      <c r="C1364" s="3" t="s">
        <v>347</v>
      </c>
      <c r="D1364" s="3" t="s">
        <v>128</v>
      </c>
      <c r="E1364" s="3">
        <v>814</v>
      </c>
      <c r="G1364" s="57"/>
    </row>
    <row r="1365" spans="1:7" ht="12.75" x14ac:dyDescent="0.2">
      <c r="A1365" s="2">
        <v>40</v>
      </c>
      <c r="B1365" s="4" t="s">
        <v>72</v>
      </c>
      <c r="C1365" s="3" t="s">
        <v>347</v>
      </c>
      <c r="D1365" s="3" t="s">
        <v>370</v>
      </c>
      <c r="E1365" s="3">
        <v>4</v>
      </c>
      <c r="G1365" s="57"/>
    </row>
    <row r="1366" spans="1:7" ht="12.75" x14ac:dyDescent="0.2">
      <c r="A1366" s="2">
        <v>40</v>
      </c>
      <c r="B1366" s="4" t="s">
        <v>72</v>
      </c>
      <c r="C1366" s="3" t="s">
        <v>347</v>
      </c>
      <c r="D1366" s="3" t="s">
        <v>353</v>
      </c>
      <c r="E1366" s="3">
        <v>23</v>
      </c>
      <c r="G1366" s="57"/>
    </row>
    <row r="1367" spans="1:7" ht="12.75" x14ac:dyDescent="0.2">
      <c r="A1367" s="2">
        <v>40</v>
      </c>
      <c r="B1367" s="4" t="s">
        <v>72</v>
      </c>
      <c r="C1367" s="3" t="s">
        <v>347</v>
      </c>
      <c r="D1367" s="3" t="s">
        <v>371</v>
      </c>
      <c r="E1367" s="3">
        <v>334</v>
      </c>
      <c r="G1367" s="57"/>
    </row>
    <row r="1368" spans="1:7" ht="12.75" x14ac:dyDescent="0.2">
      <c r="A1368" s="2">
        <v>40</v>
      </c>
      <c r="B1368" s="4" t="s">
        <v>72</v>
      </c>
      <c r="C1368" s="3" t="s">
        <v>347</v>
      </c>
      <c r="D1368" s="3" t="s">
        <v>14</v>
      </c>
      <c r="E1368" s="3">
        <v>87</v>
      </c>
      <c r="G1368" s="57"/>
    </row>
    <row r="1369" spans="1:7" ht="12.75" x14ac:dyDescent="0.2">
      <c r="A1369" s="2">
        <v>40</v>
      </c>
      <c r="B1369" s="4" t="s">
        <v>72</v>
      </c>
      <c r="C1369" s="3" t="s">
        <v>347</v>
      </c>
      <c r="D1369" s="3" t="s">
        <v>138</v>
      </c>
      <c r="E1369" s="3">
        <v>20</v>
      </c>
      <c r="F1369">
        <f>SUM(E1356:E1369)</f>
        <v>2007</v>
      </c>
      <c r="G1369" s="57"/>
    </row>
    <row r="1370" spans="1:7" ht="12.75" x14ac:dyDescent="0.2">
      <c r="A1370" s="2">
        <v>40</v>
      </c>
      <c r="B1370" s="4" t="s">
        <v>72</v>
      </c>
      <c r="C1370" s="3" t="s">
        <v>273</v>
      </c>
      <c r="D1370" s="3" t="s">
        <v>274</v>
      </c>
      <c r="E1370" s="3">
        <v>1</v>
      </c>
      <c r="G1370" s="57"/>
    </row>
    <row r="1371" spans="1:7" ht="12.75" x14ac:dyDescent="0.2">
      <c r="A1371" s="2">
        <v>40</v>
      </c>
      <c r="B1371" s="4" t="s">
        <v>72</v>
      </c>
      <c r="C1371" s="3" t="s">
        <v>273</v>
      </c>
      <c r="D1371" s="3" t="s">
        <v>283</v>
      </c>
      <c r="E1371" s="3">
        <v>871</v>
      </c>
      <c r="G1371" s="57"/>
    </row>
    <row r="1372" spans="1:7" ht="12.75" x14ac:dyDescent="0.2">
      <c r="A1372" s="2">
        <v>40</v>
      </c>
      <c r="B1372" s="4" t="s">
        <v>72</v>
      </c>
      <c r="C1372" s="3" t="s">
        <v>273</v>
      </c>
      <c r="D1372" s="3" t="s">
        <v>315</v>
      </c>
      <c r="E1372" s="3">
        <v>20</v>
      </c>
      <c r="G1372" s="57"/>
    </row>
    <row r="1373" spans="1:7" ht="12.75" x14ac:dyDescent="0.2">
      <c r="A1373" s="2">
        <v>40</v>
      </c>
      <c r="B1373" s="4" t="s">
        <v>72</v>
      </c>
      <c r="C1373" s="3" t="s">
        <v>273</v>
      </c>
      <c r="D1373" s="3" t="s">
        <v>128</v>
      </c>
      <c r="E1373" s="3">
        <v>751</v>
      </c>
      <c r="G1373" s="57"/>
    </row>
    <row r="1374" spans="1:7" ht="12.75" x14ac:dyDescent="0.2">
      <c r="A1374" s="2">
        <v>40</v>
      </c>
      <c r="B1374" s="4" t="s">
        <v>72</v>
      </c>
      <c r="C1374" s="3" t="s">
        <v>273</v>
      </c>
      <c r="D1374" s="3" t="s">
        <v>353</v>
      </c>
      <c r="E1374" s="3">
        <v>15</v>
      </c>
      <c r="G1374" s="57"/>
    </row>
    <row r="1375" spans="1:7" ht="12.75" x14ac:dyDescent="0.2">
      <c r="A1375" s="2">
        <v>40</v>
      </c>
      <c r="B1375" s="4" t="s">
        <v>72</v>
      </c>
      <c r="C1375" s="3" t="s">
        <v>273</v>
      </c>
      <c r="D1375" s="3" t="s">
        <v>371</v>
      </c>
      <c r="E1375" s="3">
        <v>202</v>
      </c>
      <c r="G1375" s="57"/>
    </row>
    <row r="1376" spans="1:7" ht="12.75" x14ac:dyDescent="0.2">
      <c r="A1376" s="2">
        <v>40</v>
      </c>
      <c r="B1376" s="4" t="s">
        <v>72</v>
      </c>
      <c r="C1376" s="3" t="s">
        <v>273</v>
      </c>
      <c r="D1376" s="3" t="s">
        <v>14</v>
      </c>
      <c r="E1376" s="3">
        <v>127</v>
      </c>
      <c r="G1376" s="57"/>
    </row>
    <row r="1377" spans="1:7" ht="12.75" x14ac:dyDescent="0.2">
      <c r="A1377" s="2">
        <v>40</v>
      </c>
      <c r="B1377" s="4" t="s">
        <v>72</v>
      </c>
      <c r="C1377" s="3" t="s">
        <v>273</v>
      </c>
      <c r="D1377" s="3" t="s">
        <v>138</v>
      </c>
      <c r="E1377" s="3">
        <v>20</v>
      </c>
      <c r="F1377">
        <f>SUM(E1370:E1377)</f>
        <v>2007</v>
      </c>
      <c r="G1377" s="57"/>
    </row>
    <row r="1378" spans="1:7" ht="12.75" x14ac:dyDescent="0.2">
      <c r="A1378" s="2">
        <v>40</v>
      </c>
      <c r="B1378" s="4" t="s">
        <v>72</v>
      </c>
      <c r="C1378" s="3" t="s">
        <v>125</v>
      </c>
      <c r="D1378" s="3" t="s">
        <v>274</v>
      </c>
      <c r="E1378" s="3">
        <v>1</v>
      </c>
      <c r="G1378" s="57"/>
    </row>
    <row r="1379" spans="1:7" ht="12.75" x14ac:dyDescent="0.2">
      <c r="A1379" s="2">
        <v>40</v>
      </c>
      <c r="B1379" s="4" t="s">
        <v>72</v>
      </c>
      <c r="C1379" s="3" t="s">
        <v>125</v>
      </c>
      <c r="D1379" s="3" t="s">
        <v>283</v>
      </c>
      <c r="E1379" s="3">
        <v>885</v>
      </c>
      <c r="G1379" s="57"/>
    </row>
    <row r="1380" spans="1:7" ht="12.75" x14ac:dyDescent="0.2">
      <c r="A1380" s="2">
        <v>40</v>
      </c>
      <c r="B1380" s="4" t="s">
        <v>72</v>
      </c>
      <c r="C1380" s="3" t="s">
        <v>125</v>
      </c>
      <c r="D1380" s="3" t="s">
        <v>315</v>
      </c>
      <c r="E1380" s="3">
        <v>19</v>
      </c>
      <c r="G1380" s="57"/>
    </row>
    <row r="1381" spans="1:7" ht="12.75" x14ac:dyDescent="0.2">
      <c r="A1381" s="2">
        <v>40</v>
      </c>
      <c r="B1381" s="4" t="s">
        <v>72</v>
      </c>
      <c r="C1381" s="3" t="s">
        <v>125</v>
      </c>
      <c r="D1381" s="3" t="s">
        <v>128</v>
      </c>
      <c r="E1381" s="3">
        <v>732</v>
      </c>
      <c r="G1381" s="57"/>
    </row>
    <row r="1382" spans="1:7" ht="12.75" x14ac:dyDescent="0.2">
      <c r="A1382" s="2">
        <v>40</v>
      </c>
      <c r="B1382" s="4" t="s">
        <v>72</v>
      </c>
      <c r="C1382" s="3" t="s">
        <v>125</v>
      </c>
      <c r="D1382" s="3" t="s">
        <v>353</v>
      </c>
      <c r="E1382" s="3">
        <v>17</v>
      </c>
      <c r="G1382" s="57"/>
    </row>
    <row r="1383" spans="1:7" ht="12.75" x14ac:dyDescent="0.2">
      <c r="A1383" s="2">
        <v>40</v>
      </c>
      <c r="B1383" s="4" t="s">
        <v>72</v>
      </c>
      <c r="C1383" s="3" t="s">
        <v>125</v>
      </c>
      <c r="D1383" s="3" t="s">
        <v>371</v>
      </c>
      <c r="E1383" s="3">
        <v>197</v>
      </c>
      <c r="G1383" s="57"/>
    </row>
    <row r="1384" spans="1:7" ht="12.75" x14ac:dyDescent="0.2">
      <c r="A1384" s="2">
        <v>40</v>
      </c>
      <c r="B1384" s="4" t="s">
        <v>72</v>
      </c>
      <c r="C1384" s="3" t="s">
        <v>125</v>
      </c>
      <c r="D1384" s="3" t="s">
        <v>14</v>
      </c>
      <c r="E1384" s="3">
        <v>136</v>
      </c>
      <c r="G1384" s="57"/>
    </row>
    <row r="1385" spans="1:7" ht="12.75" x14ac:dyDescent="0.2">
      <c r="A1385" s="2">
        <v>40</v>
      </c>
      <c r="B1385" s="4" t="s">
        <v>72</v>
      </c>
      <c r="C1385" s="3" t="s">
        <v>125</v>
      </c>
      <c r="D1385" s="3" t="s">
        <v>138</v>
      </c>
      <c r="E1385" s="3">
        <v>20</v>
      </c>
      <c r="F1385">
        <f>SUM(E1378:E1385)</f>
        <v>2007</v>
      </c>
      <c r="G1385" s="57"/>
    </row>
    <row r="1386" spans="1:7" ht="12.75" x14ac:dyDescent="0.2">
      <c r="A1386" s="3">
        <v>42</v>
      </c>
      <c r="B1386" s="4" t="s">
        <v>73</v>
      </c>
      <c r="C1386" s="3" t="s">
        <v>347</v>
      </c>
      <c r="D1386" s="3" t="s">
        <v>366</v>
      </c>
      <c r="E1386" s="3">
        <v>8</v>
      </c>
      <c r="G1386" s="59">
        <v>2466</v>
      </c>
    </row>
    <row r="1387" spans="1:7" ht="12.75" x14ac:dyDescent="0.2">
      <c r="A1387" s="3">
        <v>42</v>
      </c>
      <c r="B1387" s="4" t="s">
        <v>73</v>
      </c>
      <c r="C1387" s="3" t="s">
        <v>347</v>
      </c>
      <c r="D1387" s="3" t="s">
        <v>274</v>
      </c>
      <c r="E1387" s="3">
        <v>0</v>
      </c>
      <c r="G1387" s="57"/>
    </row>
    <row r="1388" spans="1:7" ht="12.75" x14ac:dyDescent="0.2">
      <c r="A1388" s="3">
        <v>42</v>
      </c>
      <c r="B1388" s="4" t="s">
        <v>73</v>
      </c>
      <c r="C1388" s="3" t="s">
        <v>347</v>
      </c>
      <c r="D1388" s="3" t="s">
        <v>367</v>
      </c>
      <c r="E1388" s="3">
        <v>6</v>
      </c>
      <c r="G1388" s="57"/>
    </row>
    <row r="1389" spans="1:7" ht="12.75" x14ac:dyDescent="0.2">
      <c r="A1389" s="3">
        <v>42</v>
      </c>
      <c r="B1389" s="4" t="s">
        <v>73</v>
      </c>
      <c r="C1389" s="3" t="s">
        <v>347</v>
      </c>
      <c r="D1389" s="3" t="s">
        <v>368</v>
      </c>
      <c r="E1389" s="3">
        <v>4</v>
      </c>
      <c r="G1389" s="57"/>
    </row>
    <row r="1390" spans="1:7" ht="12.75" x14ac:dyDescent="0.2">
      <c r="A1390" s="3">
        <v>42</v>
      </c>
      <c r="B1390" s="4" t="s">
        <v>73</v>
      </c>
      <c r="C1390" s="3" t="s">
        <v>347</v>
      </c>
      <c r="D1390" s="3" t="s">
        <v>283</v>
      </c>
      <c r="E1390" s="3">
        <v>619</v>
      </c>
      <c r="G1390" s="57"/>
    </row>
    <row r="1391" spans="1:7" ht="12.75" x14ac:dyDescent="0.2">
      <c r="A1391" s="3">
        <v>42</v>
      </c>
      <c r="B1391" s="4" t="s">
        <v>73</v>
      </c>
      <c r="C1391" s="3" t="s">
        <v>347</v>
      </c>
      <c r="D1391" s="3" t="s">
        <v>315</v>
      </c>
      <c r="E1391" s="3">
        <v>64</v>
      </c>
      <c r="G1391" s="57"/>
    </row>
    <row r="1392" spans="1:7" ht="12.75" x14ac:dyDescent="0.2">
      <c r="A1392" s="3">
        <v>42</v>
      </c>
      <c r="B1392" s="4" t="s">
        <v>73</v>
      </c>
      <c r="C1392" s="3" t="s">
        <v>347</v>
      </c>
      <c r="D1392" s="3" t="s">
        <v>316</v>
      </c>
      <c r="E1392" s="3">
        <v>26</v>
      </c>
      <c r="G1392" s="57"/>
    </row>
    <row r="1393" spans="1:7" ht="12.75" x14ac:dyDescent="0.2">
      <c r="A1393" s="3">
        <v>42</v>
      </c>
      <c r="B1393" s="4" t="s">
        <v>73</v>
      </c>
      <c r="C1393" s="3" t="s">
        <v>347</v>
      </c>
      <c r="D1393" s="3" t="s">
        <v>369</v>
      </c>
      <c r="E1393" s="3">
        <v>3</v>
      </c>
      <c r="G1393" s="57"/>
    </row>
    <row r="1394" spans="1:7" ht="12.75" x14ac:dyDescent="0.2">
      <c r="A1394" s="3">
        <v>42</v>
      </c>
      <c r="B1394" s="4" t="s">
        <v>73</v>
      </c>
      <c r="C1394" s="3" t="s">
        <v>347</v>
      </c>
      <c r="D1394" s="3" t="s">
        <v>128</v>
      </c>
      <c r="E1394" s="3">
        <v>687</v>
      </c>
      <c r="G1394" s="57"/>
    </row>
    <row r="1395" spans="1:7" ht="12.75" x14ac:dyDescent="0.2">
      <c r="A1395" s="3">
        <v>42</v>
      </c>
      <c r="B1395" s="4" t="s">
        <v>73</v>
      </c>
      <c r="C1395" s="3" t="s">
        <v>347</v>
      </c>
      <c r="D1395" s="3" t="s">
        <v>370</v>
      </c>
      <c r="E1395" s="3">
        <v>6</v>
      </c>
      <c r="G1395" s="57"/>
    </row>
    <row r="1396" spans="1:7" ht="12.75" x14ac:dyDescent="0.2">
      <c r="A1396" s="3">
        <v>42</v>
      </c>
      <c r="B1396" s="4" t="s">
        <v>73</v>
      </c>
      <c r="C1396" s="3" t="s">
        <v>347</v>
      </c>
      <c r="D1396" s="3" t="s">
        <v>353</v>
      </c>
      <c r="E1396" s="3">
        <v>20</v>
      </c>
      <c r="G1396" s="57"/>
    </row>
    <row r="1397" spans="1:7" ht="12.75" x14ac:dyDescent="0.2">
      <c r="A1397" s="3">
        <v>42</v>
      </c>
      <c r="B1397" s="4" t="s">
        <v>73</v>
      </c>
      <c r="C1397" s="3" t="s">
        <v>347</v>
      </c>
      <c r="D1397" s="3" t="s">
        <v>371</v>
      </c>
      <c r="E1397" s="3">
        <v>464</v>
      </c>
      <c r="G1397" s="57"/>
    </row>
    <row r="1398" spans="1:7" ht="12.75" x14ac:dyDescent="0.2">
      <c r="A1398" s="3">
        <v>42</v>
      </c>
      <c r="B1398" s="4" t="s">
        <v>73</v>
      </c>
      <c r="C1398" s="3" t="s">
        <v>347</v>
      </c>
      <c r="D1398" s="3" t="s">
        <v>14</v>
      </c>
      <c r="E1398" s="3">
        <v>36</v>
      </c>
      <c r="G1398" s="57"/>
    </row>
    <row r="1399" spans="1:7" ht="12.75" x14ac:dyDescent="0.2">
      <c r="A1399" s="3">
        <v>42</v>
      </c>
      <c r="B1399" s="4" t="s">
        <v>73</v>
      </c>
      <c r="C1399" s="3" t="s">
        <v>347</v>
      </c>
      <c r="D1399" s="3" t="s">
        <v>138</v>
      </c>
      <c r="E1399" s="3">
        <v>8</v>
      </c>
      <c r="F1399">
        <f>SUM(E1386:E1399)</f>
        <v>1951</v>
      </c>
      <c r="G1399" s="57"/>
    </row>
    <row r="1400" spans="1:7" ht="12.75" x14ac:dyDescent="0.2">
      <c r="A1400" s="3">
        <v>42</v>
      </c>
      <c r="B1400" s="4" t="s">
        <v>73</v>
      </c>
      <c r="C1400" s="3" t="s">
        <v>273</v>
      </c>
      <c r="D1400" s="3" t="s">
        <v>274</v>
      </c>
      <c r="E1400" s="3">
        <v>1</v>
      </c>
      <c r="G1400" s="57"/>
    </row>
    <row r="1401" spans="1:7" ht="12.75" x14ac:dyDescent="0.2">
      <c r="A1401" s="3">
        <v>42</v>
      </c>
      <c r="B1401" s="4" t="s">
        <v>73</v>
      </c>
      <c r="C1401" s="3" t="s">
        <v>273</v>
      </c>
      <c r="D1401" s="3" t="s">
        <v>283</v>
      </c>
      <c r="E1401" s="3">
        <v>681</v>
      </c>
      <c r="G1401" s="57"/>
    </row>
    <row r="1402" spans="1:7" ht="12.75" x14ac:dyDescent="0.2">
      <c r="A1402" s="3">
        <v>42</v>
      </c>
      <c r="B1402" s="4" t="s">
        <v>73</v>
      </c>
      <c r="C1402" s="3" t="s">
        <v>273</v>
      </c>
      <c r="D1402" s="3" t="s">
        <v>315</v>
      </c>
      <c r="E1402" s="3">
        <v>39</v>
      </c>
      <c r="G1402" s="57"/>
    </row>
    <row r="1403" spans="1:7" ht="12.75" x14ac:dyDescent="0.2">
      <c r="A1403" s="3">
        <v>42</v>
      </c>
      <c r="B1403" s="4" t="s">
        <v>73</v>
      </c>
      <c r="C1403" s="3" t="s">
        <v>273</v>
      </c>
      <c r="D1403" s="3" t="s">
        <v>128</v>
      </c>
      <c r="E1403" s="3">
        <v>667</v>
      </c>
      <c r="G1403" s="57"/>
    </row>
    <row r="1404" spans="1:7" ht="12.75" x14ac:dyDescent="0.2">
      <c r="A1404" s="3">
        <v>42</v>
      </c>
      <c r="B1404" s="4" t="s">
        <v>73</v>
      </c>
      <c r="C1404" s="3" t="s">
        <v>273</v>
      </c>
      <c r="D1404" s="3" t="s">
        <v>353</v>
      </c>
      <c r="E1404" s="3">
        <v>8</v>
      </c>
      <c r="G1404" s="57"/>
    </row>
    <row r="1405" spans="1:7" ht="12.75" x14ac:dyDescent="0.2">
      <c r="A1405" s="3">
        <v>42</v>
      </c>
      <c r="B1405" s="4" t="s">
        <v>73</v>
      </c>
      <c r="C1405" s="3" t="s">
        <v>273</v>
      </c>
      <c r="D1405" s="3" t="s">
        <v>371</v>
      </c>
      <c r="E1405" s="3">
        <v>336</v>
      </c>
      <c r="G1405" s="57"/>
    </row>
    <row r="1406" spans="1:7" ht="12.75" x14ac:dyDescent="0.2">
      <c r="A1406" s="3">
        <v>42</v>
      </c>
      <c r="B1406" s="4" t="s">
        <v>73</v>
      </c>
      <c r="C1406" s="3" t="s">
        <v>273</v>
      </c>
      <c r="D1406" s="3" t="s">
        <v>14</v>
      </c>
      <c r="E1406" s="3">
        <v>212</v>
      </c>
      <c r="G1406" s="57"/>
    </row>
    <row r="1407" spans="1:7" ht="12.75" x14ac:dyDescent="0.2">
      <c r="A1407" s="3">
        <v>42</v>
      </c>
      <c r="B1407" s="4" t="s">
        <v>73</v>
      </c>
      <c r="C1407" s="3" t="s">
        <v>273</v>
      </c>
      <c r="D1407" s="3" t="s">
        <v>138</v>
      </c>
      <c r="E1407" s="3">
        <v>7</v>
      </c>
      <c r="F1407">
        <f>SUM(E1400:E1407)</f>
        <v>1951</v>
      </c>
      <c r="G1407" s="57"/>
    </row>
    <row r="1408" spans="1:7" ht="12.75" x14ac:dyDescent="0.2">
      <c r="A1408" s="3">
        <v>42</v>
      </c>
      <c r="B1408" s="4" t="s">
        <v>73</v>
      </c>
      <c r="C1408" s="3" t="s">
        <v>125</v>
      </c>
      <c r="D1408" s="3" t="s">
        <v>274</v>
      </c>
      <c r="E1408" s="3">
        <v>1</v>
      </c>
      <c r="G1408" s="57"/>
    </row>
    <row r="1409" spans="1:7" ht="12.75" x14ac:dyDescent="0.2">
      <c r="A1409" s="3">
        <v>42</v>
      </c>
      <c r="B1409" s="4" t="s">
        <v>73</v>
      </c>
      <c r="C1409" s="3" t="s">
        <v>125</v>
      </c>
      <c r="D1409" s="3" t="s">
        <v>283</v>
      </c>
      <c r="E1409" s="3">
        <v>683</v>
      </c>
      <c r="G1409" s="57"/>
    </row>
    <row r="1410" spans="1:7" ht="12.75" x14ac:dyDescent="0.2">
      <c r="A1410" s="3">
        <v>42</v>
      </c>
      <c r="B1410" s="4" t="s">
        <v>73</v>
      </c>
      <c r="C1410" s="3" t="s">
        <v>125</v>
      </c>
      <c r="D1410" s="3" t="s">
        <v>315</v>
      </c>
      <c r="E1410" s="3">
        <v>40</v>
      </c>
      <c r="G1410" s="57"/>
    </row>
    <row r="1411" spans="1:7" ht="12.75" x14ac:dyDescent="0.2">
      <c r="A1411" s="3">
        <v>42</v>
      </c>
      <c r="B1411" s="4" t="s">
        <v>73</v>
      </c>
      <c r="C1411" s="3" t="s">
        <v>125</v>
      </c>
      <c r="D1411" s="3" t="s">
        <v>128</v>
      </c>
      <c r="E1411" s="3">
        <v>665</v>
      </c>
      <c r="G1411" s="57"/>
    </row>
    <row r="1412" spans="1:7" ht="12.75" x14ac:dyDescent="0.2">
      <c r="A1412" s="3">
        <v>42</v>
      </c>
      <c r="B1412" s="4" t="s">
        <v>73</v>
      </c>
      <c r="C1412" s="3" t="s">
        <v>125</v>
      </c>
      <c r="D1412" s="3" t="s">
        <v>353</v>
      </c>
      <c r="E1412" s="3">
        <v>9</v>
      </c>
      <c r="G1412" s="57"/>
    </row>
    <row r="1413" spans="1:7" ht="12.75" x14ac:dyDescent="0.2">
      <c r="A1413" s="3">
        <v>42</v>
      </c>
      <c r="B1413" s="4" t="s">
        <v>73</v>
      </c>
      <c r="C1413" s="3" t="s">
        <v>125</v>
      </c>
      <c r="D1413" s="3" t="s">
        <v>371</v>
      </c>
      <c r="E1413" s="3">
        <v>332</v>
      </c>
      <c r="G1413" s="57"/>
    </row>
    <row r="1414" spans="1:7" ht="12.75" x14ac:dyDescent="0.2">
      <c r="A1414" s="3">
        <v>42</v>
      </c>
      <c r="B1414" s="4" t="s">
        <v>73</v>
      </c>
      <c r="C1414" s="3" t="s">
        <v>125</v>
      </c>
      <c r="D1414" s="3" t="s">
        <v>14</v>
      </c>
      <c r="E1414" s="3">
        <v>218</v>
      </c>
      <c r="G1414" s="57"/>
    </row>
    <row r="1415" spans="1:7" ht="12.75" x14ac:dyDescent="0.2">
      <c r="A1415" s="3">
        <v>42</v>
      </c>
      <c r="B1415" s="4" t="s">
        <v>73</v>
      </c>
      <c r="C1415" s="3" t="s">
        <v>125</v>
      </c>
      <c r="D1415" s="3" t="s">
        <v>138</v>
      </c>
      <c r="E1415" s="3">
        <v>3</v>
      </c>
      <c r="F1415">
        <f>SUM(E1408:E1415)</f>
        <v>1951</v>
      </c>
      <c r="G1415" s="57"/>
    </row>
    <row r="1416" spans="1:7" ht="12.75" x14ac:dyDescent="0.2">
      <c r="A1416" s="3">
        <v>43</v>
      </c>
      <c r="B1416" s="4" t="s">
        <v>74</v>
      </c>
      <c r="C1416" s="3" t="s">
        <v>347</v>
      </c>
      <c r="D1416" s="3" t="s">
        <v>366</v>
      </c>
      <c r="E1416" s="3">
        <v>0</v>
      </c>
      <c r="G1416" s="59">
        <v>337</v>
      </c>
    </row>
    <row r="1417" spans="1:7" ht="12.75" x14ac:dyDescent="0.2">
      <c r="A1417" s="3">
        <v>43</v>
      </c>
      <c r="B1417" s="4" t="s">
        <v>74</v>
      </c>
      <c r="C1417" s="3" t="s">
        <v>347</v>
      </c>
      <c r="D1417" s="3" t="s">
        <v>274</v>
      </c>
      <c r="E1417" s="3">
        <v>0</v>
      </c>
      <c r="G1417" s="57"/>
    </row>
    <row r="1418" spans="1:7" ht="12.75" x14ac:dyDescent="0.2">
      <c r="A1418" s="3">
        <v>43</v>
      </c>
      <c r="B1418" s="4" t="s">
        <v>74</v>
      </c>
      <c r="C1418" s="3" t="s">
        <v>347</v>
      </c>
      <c r="D1418" s="3" t="s">
        <v>367</v>
      </c>
      <c r="E1418" s="3">
        <v>0</v>
      </c>
      <c r="G1418" s="57"/>
    </row>
    <row r="1419" spans="1:7" ht="12.75" x14ac:dyDescent="0.2">
      <c r="A1419" s="3">
        <v>43</v>
      </c>
      <c r="B1419" s="4" t="s">
        <v>74</v>
      </c>
      <c r="C1419" s="3" t="s">
        <v>347</v>
      </c>
      <c r="D1419" s="3" t="s">
        <v>368</v>
      </c>
      <c r="E1419" s="3">
        <v>0</v>
      </c>
      <c r="G1419" s="57"/>
    </row>
    <row r="1420" spans="1:7" ht="12.75" x14ac:dyDescent="0.2">
      <c r="A1420" s="3">
        <v>43</v>
      </c>
      <c r="B1420" s="4" t="s">
        <v>74</v>
      </c>
      <c r="C1420" s="3" t="s">
        <v>347</v>
      </c>
      <c r="D1420" s="3" t="s">
        <v>283</v>
      </c>
      <c r="E1420" s="3">
        <v>115</v>
      </c>
      <c r="G1420" s="57"/>
    </row>
    <row r="1421" spans="1:7" ht="12.75" x14ac:dyDescent="0.2">
      <c r="A1421" s="3">
        <v>43</v>
      </c>
      <c r="B1421" s="4" t="s">
        <v>74</v>
      </c>
      <c r="C1421" s="3" t="s">
        <v>347</v>
      </c>
      <c r="D1421" s="3" t="s">
        <v>315</v>
      </c>
      <c r="E1421" s="3">
        <v>2</v>
      </c>
      <c r="G1421" s="57"/>
    </row>
    <row r="1422" spans="1:7" ht="12.75" x14ac:dyDescent="0.2">
      <c r="A1422" s="3">
        <v>43</v>
      </c>
      <c r="B1422" s="4" t="s">
        <v>74</v>
      </c>
      <c r="C1422" s="3" t="s">
        <v>347</v>
      </c>
      <c r="D1422" s="3" t="s">
        <v>316</v>
      </c>
      <c r="E1422" s="3">
        <v>11</v>
      </c>
      <c r="G1422" s="57"/>
    </row>
    <row r="1423" spans="1:7" ht="12.75" x14ac:dyDescent="0.2">
      <c r="A1423" s="3">
        <v>43</v>
      </c>
      <c r="B1423" s="4" t="s">
        <v>74</v>
      </c>
      <c r="C1423" s="3" t="s">
        <v>347</v>
      </c>
      <c r="D1423" s="3" t="s">
        <v>369</v>
      </c>
      <c r="E1423" s="3">
        <v>1</v>
      </c>
      <c r="G1423" s="57"/>
    </row>
    <row r="1424" spans="1:7" ht="12.75" x14ac:dyDescent="0.2">
      <c r="A1424" s="3">
        <v>43</v>
      </c>
      <c r="B1424" s="4" t="s">
        <v>74</v>
      </c>
      <c r="C1424" s="3" t="s">
        <v>347</v>
      </c>
      <c r="D1424" s="3" t="s">
        <v>128</v>
      </c>
      <c r="E1424" s="3">
        <v>116</v>
      </c>
      <c r="G1424" s="57"/>
    </row>
    <row r="1425" spans="1:7" ht="12.75" x14ac:dyDescent="0.2">
      <c r="A1425" s="3">
        <v>43</v>
      </c>
      <c r="B1425" s="4" t="s">
        <v>74</v>
      </c>
      <c r="C1425" s="3" t="s">
        <v>347</v>
      </c>
      <c r="D1425" s="3" t="s">
        <v>370</v>
      </c>
      <c r="E1425" s="3">
        <v>0</v>
      </c>
      <c r="G1425" s="57"/>
    </row>
    <row r="1426" spans="1:7" ht="12.75" x14ac:dyDescent="0.2">
      <c r="A1426" s="3">
        <v>43</v>
      </c>
      <c r="B1426" s="4" t="s">
        <v>74</v>
      </c>
      <c r="C1426" s="3" t="s">
        <v>347</v>
      </c>
      <c r="D1426" s="3" t="s">
        <v>353</v>
      </c>
      <c r="E1426" s="3">
        <v>2</v>
      </c>
      <c r="G1426" s="57"/>
    </row>
    <row r="1427" spans="1:7" ht="12.75" x14ac:dyDescent="0.2">
      <c r="A1427" s="3">
        <v>43</v>
      </c>
      <c r="B1427" s="4" t="s">
        <v>74</v>
      </c>
      <c r="C1427" s="3" t="s">
        <v>347</v>
      </c>
      <c r="D1427" s="3" t="s">
        <v>371</v>
      </c>
      <c r="E1427" s="3">
        <v>14</v>
      </c>
      <c r="G1427" s="57"/>
    </row>
    <row r="1428" spans="1:7" ht="12.75" x14ac:dyDescent="0.2">
      <c r="A1428" s="3">
        <v>43</v>
      </c>
      <c r="B1428" s="4" t="s">
        <v>74</v>
      </c>
      <c r="C1428" s="3" t="s">
        <v>347</v>
      </c>
      <c r="D1428" s="3" t="s">
        <v>14</v>
      </c>
      <c r="E1428" s="3">
        <v>15</v>
      </c>
      <c r="G1428" s="57"/>
    </row>
    <row r="1429" spans="1:7" ht="12.75" x14ac:dyDescent="0.2">
      <c r="A1429" s="3">
        <v>43</v>
      </c>
      <c r="B1429" s="4" t="s">
        <v>74</v>
      </c>
      <c r="C1429" s="3" t="s">
        <v>347</v>
      </c>
      <c r="D1429" s="3" t="s">
        <v>138</v>
      </c>
      <c r="E1429" s="3">
        <v>0</v>
      </c>
      <c r="F1429">
        <f>SUM(E1416:E1429)</f>
        <v>276</v>
      </c>
      <c r="G1429" s="57"/>
    </row>
    <row r="1430" spans="1:7" ht="12.75" x14ac:dyDescent="0.2">
      <c r="A1430" s="3">
        <v>43</v>
      </c>
      <c r="B1430" s="4" t="s">
        <v>74</v>
      </c>
      <c r="C1430" s="3" t="s">
        <v>273</v>
      </c>
      <c r="D1430" s="3" t="s">
        <v>274</v>
      </c>
      <c r="E1430" s="3">
        <v>0</v>
      </c>
      <c r="G1430" s="57"/>
    </row>
    <row r="1431" spans="1:7" ht="12.75" x14ac:dyDescent="0.2">
      <c r="A1431" s="3">
        <v>43</v>
      </c>
      <c r="B1431" s="4" t="s">
        <v>74</v>
      </c>
      <c r="C1431" s="3" t="s">
        <v>273</v>
      </c>
      <c r="D1431" s="3" t="s">
        <v>283</v>
      </c>
      <c r="E1431" s="3">
        <v>133</v>
      </c>
      <c r="G1431" s="57"/>
    </row>
    <row r="1432" spans="1:7" ht="12.75" x14ac:dyDescent="0.2">
      <c r="A1432" s="3">
        <v>43</v>
      </c>
      <c r="B1432" s="4" t="s">
        <v>74</v>
      </c>
      <c r="C1432" s="3" t="s">
        <v>273</v>
      </c>
      <c r="D1432" s="3" t="s">
        <v>315</v>
      </c>
      <c r="E1432" s="3">
        <v>1</v>
      </c>
      <c r="G1432" s="57"/>
    </row>
    <row r="1433" spans="1:7" ht="12.75" x14ac:dyDescent="0.2">
      <c r="A1433" s="3">
        <v>43</v>
      </c>
      <c r="B1433" s="4" t="s">
        <v>74</v>
      </c>
      <c r="C1433" s="3" t="s">
        <v>273</v>
      </c>
      <c r="D1433" s="3" t="s">
        <v>128</v>
      </c>
      <c r="E1433" s="3">
        <v>104</v>
      </c>
      <c r="G1433" s="57"/>
    </row>
    <row r="1434" spans="1:7" ht="12.75" x14ac:dyDescent="0.2">
      <c r="A1434" s="3">
        <v>43</v>
      </c>
      <c r="B1434" s="4" t="s">
        <v>74</v>
      </c>
      <c r="C1434" s="3" t="s">
        <v>273</v>
      </c>
      <c r="D1434" s="3" t="s">
        <v>353</v>
      </c>
      <c r="E1434" s="3">
        <v>1</v>
      </c>
      <c r="G1434" s="57"/>
    </row>
    <row r="1435" spans="1:7" ht="12.75" x14ac:dyDescent="0.2">
      <c r="A1435" s="3">
        <v>43</v>
      </c>
      <c r="B1435" s="4" t="s">
        <v>74</v>
      </c>
      <c r="C1435" s="3" t="s">
        <v>273</v>
      </c>
      <c r="D1435" s="3" t="s">
        <v>371</v>
      </c>
      <c r="E1435" s="3">
        <v>0</v>
      </c>
      <c r="G1435" s="57"/>
    </row>
    <row r="1436" spans="1:7" ht="12.75" x14ac:dyDescent="0.2">
      <c r="A1436" s="3">
        <v>43</v>
      </c>
      <c r="B1436" s="4" t="s">
        <v>74</v>
      </c>
      <c r="C1436" s="3" t="s">
        <v>273</v>
      </c>
      <c r="D1436" s="3" t="s">
        <v>14</v>
      </c>
      <c r="E1436" s="3">
        <v>36</v>
      </c>
      <c r="G1436" s="57"/>
    </row>
    <row r="1437" spans="1:7" ht="12.75" x14ac:dyDescent="0.2">
      <c r="A1437" s="3">
        <v>43</v>
      </c>
      <c r="B1437" s="4" t="s">
        <v>74</v>
      </c>
      <c r="C1437" s="3" t="s">
        <v>273</v>
      </c>
      <c r="D1437" s="3" t="s">
        <v>138</v>
      </c>
      <c r="E1437" s="3">
        <v>1</v>
      </c>
      <c r="F1437">
        <f>SUM(E1430:E1437)</f>
        <v>276</v>
      </c>
      <c r="G1437" s="57"/>
    </row>
    <row r="1438" spans="1:7" ht="12.75" x14ac:dyDescent="0.2">
      <c r="A1438" s="3">
        <v>43</v>
      </c>
      <c r="B1438" s="4" t="s">
        <v>74</v>
      </c>
      <c r="C1438" s="3" t="s">
        <v>125</v>
      </c>
      <c r="D1438" s="3" t="s">
        <v>274</v>
      </c>
      <c r="E1438" s="3">
        <v>0</v>
      </c>
      <c r="G1438" s="57"/>
    </row>
    <row r="1439" spans="1:7" ht="12.75" x14ac:dyDescent="0.2">
      <c r="A1439" s="3">
        <v>43</v>
      </c>
      <c r="B1439" s="4" t="s">
        <v>74</v>
      </c>
      <c r="C1439" s="3" t="s">
        <v>125</v>
      </c>
      <c r="D1439" s="3" t="s">
        <v>283</v>
      </c>
      <c r="E1439" s="3">
        <v>140</v>
      </c>
      <c r="G1439" s="57"/>
    </row>
    <row r="1440" spans="1:7" ht="12.75" x14ac:dyDescent="0.2">
      <c r="A1440" s="3">
        <v>43</v>
      </c>
      <c r="B1440" s="4" t="s">
        <v>74</v>
      </c>
      <c r="C1440" s="3" t="s">
        <v>125</v>
      </c>
      <c r="D1440" s="3" t="s">
        <v>315</v>
      </c>
      <c r="E1440" s="3">
        <v>1</v>
      </c>
      <c r="G1440" s="57"/>
    </row>
    <row r="1441" spans="1:7" ht="12.75" x14ac:dyDescent="0.2">
      <c r="A1441" s="3">
        <v>43</v>
      </c>
      <c r="B1441" s="4" t="s">
        <v>74</v>
      </c>
      <c r="C1441" s="3" t="s">
        <v>125</v>
      </c>
      <c r="D1441" s="3" t="s">
        <v>128</v>
      </c>
      <c r="E1441" s="3">
        <v>103</v>
      </c>
      <c r="G1441" s="57"/>
    </row>
    <row r="1442" spans="1:7" ht="12.75" x14ac:dyDescent="0.2">
      <c r="A1442" s="3">
        <v>43</v>
      </c>
      <c r="B1442" s="4" t="s">
        <v>74</v>
      </c>
      <c r="C1442" s="3" t="s">
        <v>125</v>
      </c>
      <c r="D1442" s="3" t="s">
        <v>353</v>
      </c>
      <c r="E1442" s="3">
        <v>1</v>
      </c>
      <c r="G1442" s="57"/>
    </row>
    <row r="1443" spans="1:7" ht="12.75" x14ac:dyDescent="0.2">
      <c r="A1443" s="3">
        <v>43</v>
      </c>
      <c r="B1443" s="4" t="s">
        <v>74</v>
      </c>
      <c r="C1443" s="3" t="s">
        <v>125</v>
      </c>
      <c r="D1443" s="3" t="s">
        <v>371</v>
      </c>
      <c r="E1443" s="3">
        <v>0</v>
      </c>
      <c r="G1443" s="57"/>
    </row>
    <row r="1444" spans="1:7" ht="12.75" x14ac:dyDescent="0.2">
      <c r="A1444" s="3">
        <v>43</v>
      </c>
      <c r="B1444" s="4" t="s">
        <v>74</v>
      </c>
      <c r="C1444" s="3" t="s">
        <v>125</v>
      </c>
      <c r="D1444" s="3" t="s">
        <v>14</v>
      </c>
      <c r="E1444" s="3">
        <v>31</v>
      </c>
      <c r="G1444" s="57"/>
    </row>
    <row r="1445" spans="1:7" ht="12.75" x14ac:dyDescent="0.2">
      <c r="A1445" s="3">
        <v>43</v>
      </c>
      <c r="B1445" s="4" t="s">
        <v>74</v>
      </c>
      <c r="C1445" s="3" t="s">
        <v>125</v>
      </c>
      <c r="D1445" s="3" t="s">
        <v>138</v>
      </c>
      <c r="E1445" s="3">
        <v>0</v>
      </c>
      <c r="F1445">
        <f>SUM(E1438:E1445)</f>
        <v>276</v>
      </c>
      <c r="G1445" s="57"/>
    </row>
    <row r="1446" spans="1:7" ht="12.75" x14ac:dyDescent="0.2">
      <c r="A1446" s="3">
        <v>45</v>
      </c>
      <c r="B1446" s="4" t="s">
        <v>75</v>
      </c>
      <c r="C1446" s="3" t="s">
        <v>347</v>
      </c>
      <c r="D1446" s="3" t="s">
        <v>366</v>
      </c>
      <c r="E1446" s="3">
        <v>0</v>
      </c>
      <c r="G1446" s="59">
        <v>127</v>
      </c>
    </row>
    <row r="1447" spans="1:7" ht="12.75" x14ac:dyDescent="0.2">
      <c r="A1447" s="3">
        <v>45</v>
      </c>
      <c r="B1447" s="4" t="s">
        <v>75</v>
      </c>
      <c r="C1447" s="3" t="s">
        <v>347</v>
      </c>
      <c r="D1447" s="3" t="s">
        <v>274</v>
      </c>
      <c r="E1447" s="3">
        <v>0</v>
      </c>
      <c r="G1447" s="57"/>
    </row>
    <row r="1448" spans="1:7" ht="12.75" x14ac:dyDescent="0.2">
      <c r="A1448" s="3">
        <v>45</v>
      </c>
      <c r="B1448" s="4" t="s">
        <v>75</v>
      </c>
      <c r="C1448" s="3" t="s">
        <v>347</v>
      </c>
      <c r="D1448" s="3" t="s">
        <v>367</v>
      </c>
      <c r="E1448" s="3">
        <v>0</v>
      </c>
      <c r="G1448" s="57"/>
    </row>
    <row r="1449" spans="1:7" ht="12.75" x14ac:dyDescent="0.2">
      <c r="A1449" s="3">
        <v>45</v>
      </c>
      <c r="B1449" s="4" t="s">
        <v>75</v>
      </c>
      <c r="C1449" s="3" t="s">
        <v>347</v>
      </c>
      <c r="D1449" s="3" t="s">
        <v>368</v>
      </c>
      <c r="E1449" s="3">
        <v>0</v>
      </c>
      <c r="G1449" s="57"/>
    </row>
    <row r="1450" spans="1:7" ht="12.75" x14ac:dyDescent="0.2">
      <c r="A1450" s="3">
        <v>45</v>
      </c>
      <c r="B1450" s="4" t="s">
        <v>75</v>
      </c>
      <c r="C1450" s="3" t="s">
        <v>347</v>
      </c>
      <c r="D1450" s="3" t="s">
        <v>283</v>
      </c>
      <c r="E1450" s="3">
        <v>74</v>
      </c>
      <c r="G1450" s="57"/>
    </row>
    <row r="1451" spans="1:7" ht="12.75" x14ac:dyDescent="0.2">
      <c r="A1451" s="3">
        <v>45</v>
      </c>
      <c r="B1451" s="4" t="s">
        <v>75</v>
      </c>
      <c r="C1451" s="3" t="s">
        <v>347</v>
      </c>
      <c r="D1451" s="3" t="s">
        <v>315</v>
      </c>
      <c r="E1451" s="3">
        <v>0</v>
      </c>
      <c r="G1451" s="57"/>
    </row>
    <row r="1452" spans="1:7" ht="12.75" x14ac:dyDescent="0.2">
      <c r="A1452" s="3">
        <v>45</v>
      </c>
      <c r="B1452" s="4" t="s">
        <v>75</v>
      </c>
      <c r="C1452" s="3" t="s">
        <v>347</v>
      </c>
      <c r="D1452" s="3" t="s">
        <v>316</v>
      </c>
      <c r="E1452" s="3">
        <v>0</v>
      </c>
      <c r="G1452" s="57"/>
    </row>
    <row r="1453" spans="1:7" ht="12.75" x14ac:dyDescent="0.2">
      <c r="A1453" s="3">
        <v>45</v>
      </c>
      <c r="B1453" s="4" t="s">
        <v>75</v>
      </c>
      <c r="C1453" s="3" t="s">
        <v>347</v>
      </c>
      <c r="D1453" s="3" t="s">
        <v>369</v>
      </c>
      <c r="E1453" s="3">
        <v>0</v>
      </c>
      <c r="G1453" s="57"/>
    </row>
    <row r="1454" spans="1:7" ht="12.75" x14ac:dyDescent="0.2">
      <c r="A1454" s="3">
        <v>45</v>
      </c>
      <c r="B1454" s="4" t="s">
        <v>75</v>
      </c>
      <c r="C1454" s="3" t="s">
        <v>347</v>
      </c>
      <c r="D1454" s="3" t="s">
        <v>128</v>
      </c>
      <c r="E1454" s="3">
        <v>14</v>
      </c>
      <c r="G1454" s="57"/>
    </row>
    <row r="1455" spans="1:7" ht="12.75" x14ac:dyDescent="0.2">
      <c r="A1455" s="3">
        <v>45</v>
      </c>
      <c r="B1455" s="4" t="s">
        <v>75</v>
      </c>
      <c r="C1455" s="3" t="s">
        <v>347</v>
      </c>
      <c r="D1455" s="3" t="s">
        <v>370</v>
      </c>
      <c r="E1455" s="3">
        <v>0</v>
      </c>
      <c r="G1455" s="57"/>
    </row>
    <row r="1456" spans="1:7" ht="12.75" x14ac:dyDescent="0.2">
      <c r="A1456" s="3">
        <v>45</v>
      </c>
      <c r="B1456" s="4" t="s">
        <v>75</v>
      </c>
      <c r="C1456" s="3" t="s">
        <v>347</v>
      </c>
      <c r="D1456" s="3" t="s">
        <v>353</v>
      </c>
      <c r="E1456" s="3">
        <v>0</v>
      </c>
      <c r="G1456" s="57"/>
    </row>
    <row r="1457" spans="1:7" ht="12.75" x14ac:dyDescent="0.2">
      <c r="A1457" s="3">
        <v>45</v>
      </c>
      <c r="B1457" s="4" t="s">
        <v>75</v>
      </c>
      <c r="C1457" s="3" t="s">
        <v>347</v>
      </c>
      <c r="D1457" s="3" t="s">
        <v>371</v>
      </c>
      <c r="E1457" s="3">
        <v>15</v>
      </c>
      <c r="G1457" s="57"/>
    </row>
    <row r="1458" spans="1:7" ht="12.75" x14ac:dyDescent="0.2">
      <c r="A1458" s="3">
        <v>45</v>
      </c>
      <c r="B1458" s="4" t="s">
        <v>75</v>
      </c>
      <c r="C1458" s="3" t="s">
        <v>347</v>
      </c>
      <c r="D1458" s="3" t="s">
        <v>14</v>
      </c>
      <c r="E1458" s="3">
        <v>6</v>
      </c>
      <c r="G1458" s="57"/>
    </row>
    <row r="1459" spans="1:7" ht="12.75" x14ac:dyDescent="0.2">
      <c r="A1459" s="3">
        <v>45</v>
      </c>
      <c r="B1459" s="4" t="s">
        <v>75</v>
      </c>
      <c r="C1459" s="3" t="s">
        <v>347</v>
      </c>
      <c r="D1459" s="3" t="s">
        <v>138</v>
      </c>
      <c r="E1459" s="3">
        <v>0</v>
      </c>
      <c r="F1459">
        <f>SUM(E1446:E1459)</f>
        <v>109</v>
      </c>
      <c r="G1459" s="57"/>
    </row>
    <row r="1460" spans="1:7" ht="12.75" x14ac:dyDescent="0.2">
      <c r="A1460" s="3">
        <v>45</v>
      </c>
      <c r="B1460" s="4" t="s">
        <v>75</v>
      </c>
      <c r="C1460" s="3" t="s">
        <v>273</v>
      </c>
      <c r="D1460" s="3" t="s">
        <v>274</v>
      </c>
      <c r="E1460" s="3">
        <v>0</v>
      </c>
      <c r="G1460" s="57"/>
    </row>
    <row r="1461" spans="1:7" ht="12.75" x14ac:dyDescent="0.2">
      <c r="A1461" s="3">
        <v>45</v>
      </c>
      <c r="B1461" s="4" t="s">
        <v>75</v>
      </c>
      <c r="C1461" s="3" t="s">
        <v>273</v>
      </c>
      <c r="D1461" s="3" t="s">
        <v>283</v>
      </c>
      <c r="E1461" s="3">
        <v>91</v>
      </c>
      <c r="G1461" s="57"/>
    </row>
    <row r="1462" spans="1:7" ht="12.75" x14ac:dyDescent="0.2">
      <c r="A1462" s="3">
        <v>45</v>
      </c>
      <c r="B1462" s="4" t="s">
        <v>75</v>
      </c>
      <c r="C1462" s="3" t="s">
        <v>273</v>
      </c>
      <c r="D1462" s="3" t="s">
        <v>315</v>
      </c>
      <c r="E1462" s="3">
        <v>0</v>
      </c>
      <c r="G1462" s="57"/>
    </row>
    <row r="1463" spans="1:7" ht="12.75" x14ac:dyDescent="0.2">
      <c r="A1463" s="3">
        <v>45</v>
      </c>
      <c r="B1463" s="4" t="s">
        <v>75</v>
      </c>
      <c r="C1463" s="3" t="s">
        <v>273</v>
      </c>
      <c r="D1463" s="3" t="s">
        <v>128</v>
      </c>
      <c r="E1463" s="3">
        <v>12</v>
      </c>
      <c r="G1463" s="57"/>
    </row>
    <row r="1464" spans="1:7" ht="12.75" x14ac:dyDescent="0.2">
      <c r="A1464" s="3">
        <v>45</v>
      </c>
      <c r="B1464" s="4" t="s">
        <v>75</v>
      </c>
      <c r="C1464" s="3" t="s">
        <v>273</v>
      </c>
      <c r="D1464" s="3" t="s">
        <v>353</v>
      </c>
      <c r="E1464" s="3">
        <v>0</v>
      </c>
      <c r="G1464" s="57"/>
    </row>
    <row r="1465" spans="1:7" ht="12.75" x14ac:dyDescent="0.2">
      <c r="A1465" s="3">
        <v>45</v>
      </c>
      <c r="B1465" s="4" t="s">
        <v>75</v>
      </c>
      <c r="C1465" s="3" t="s">
        <v>273</v>
      </c>
      <c r="D1465" s="3" t="s">
        <v>371</v>
      </c>
      <c r="E1465" s="3">
        <v>2</v>
      </c>
      <c r="G1465" s="57"/>
    </row>
    <row r="1466" spans="1:7" ht="12.75" x14ac:dyDescent="0.2">
      <c r="A1466" s="3">
        <v>45</v>
      </c>
      <c r="B1466" s="4" t="s">
        <v>75</v>
      </c>
      <c r="C1466" s="3" t="s">
        <v>273</v>
      </c>
      <c r="D1466" s="3" t="s">
        <v>14</v>
      </c>
      <c r="E1466" s="3">
        <v>4</v>
      </c>
      <c r="G1466" s="57"/>
    </row>
    <row r="1467" spans="1:7" ht="12.75" x14ac:dyDescent="0.2">
      <c r="A1467" s="3">
        <v>45</v>
      </c>
      <c r="B1467" s="4" t="s">
        <v>75</v>
      </c>
      <c r="C1467" s="3" t="s">
        <v>273</v>
      </c>
      <c r="D1467" s="3" t="s">
        <v>138</v>
      </c>
      <c r="E1467" s="3">
        <v>0</v>
      </c>
      <c r="F1467">
        <f>SUM(E1460:E1467)</f>
        <v>109</v>
      </c>
      <c r="G1467" s="57"/>
    </row>
    <row r="1468" spans="1:7" ht="12.75" x14ac:dyDescent="0.2">
      <c r="A1468" s="3">
        <v>45</v>
      </c>
      <c r="B1468" s="4" t="s">
        <v>75</v>
      </c>
      <c r="C1468" s="3" t="s">
        <v>125</v>
      </c>
      <c r="D1468" s="3" t="s">
        <v>274</v>
      </c>
      <c r="E1468" s="3">
        <v>0</v>
      </c>
      <c r="G1468" s="57"/>
    </row>
    <row r="1469" spans="1:7" ht="12.75" x14ac:dyDescent="0.2">
      <c r="A1469" s="3">
        <v>45</v>
      </c>
      <c r="B1469" s="4" t="s">
        <v>75</v>
      </c>
      <c r="C1469" s="3" t="s">
        <v>125</v>
      </c>
      <c r="D1469" s="3" t="s">
        <v>283</v>
      </c>
      <c r="E1469" s="3">
        <v>91</v>
      </c>
      <c r="G1469" s="57"/>
    </row>
    <row r="1470" spans="1:7" ht="12.75" x14ac:dyDescent="0.2">
      <c r="A1470" s="3">
        <v>45</v>
      </c>
      <c r="B1470" s="4" t="s">
        <v>75</v>
      </c>
      <c r="C1470" s="3" t="s">
        <v>125</v>
      </c>
      <c r="D1470" s="3" t="s">
        <v>315</v>
      </c>
      <c r="E1470" s="3">
        <v>0</v>
      </c>
      <c r="G1470" s="57"/>
    </row>
    <row r="1471" spans="1:7" ht="12.75" x14ac:dyDescent="0.2">
      <c r="A1471" s="3">
        <v>45</v>
      </c>
      <c r="B1471" s="4" t="s">
        <v>75</v>
      </c>
      <c r="C1471" s="3" t="s">
        <v>125</v>
      </c>
      <c r="D1471" s="3" t="s">
        <v>128</v>
      </c>
      <c r="E1471" s="3">
        <v>11</v>
      </c>
      <c r="G1471" s="57"/>
    </row>
    <row r="1472" spans="1:7" ht="12.75" x14ac:dyDescent="0.2">
      <c r="A1472" s="3">
        <v>45</v>
      </c>
      <c r="B1472" s="4" t="s">
        <v>75</v>
      </c>
      <c r="C1472" s="3" t="s">
        <v>125</v>
      </c>
      <c r="D1472" s="3" t="s">
        <v>353</v>
      </c>
      <c r="E1472" s="3">
        <v>0</v>
      </c>
      <c r="G1472" s="57"/>
    </row>
    <row r="1473" spans="1:7" ht="12.75" x14ac:dyDescent="0.2">
      <c r="A1473" s="3">
        <v>45</v>
      </c>
      <c r="B1473" s="4" t="s">
        <v>75</v>
      </c>
      <c r="C1473" s="3" t="s">
        <v>125</v>
      </c>
      <c r="D1473" s="3" t="s">
        <v>371</v>
      </c>
      <c r="E1473" s="3">
        <v>2</v>
      </c>
      <c r="G1473" s="57"/>
    </row>
    <row r="1474" spans="1:7" ht="12.75" x14ac:dyDescent="0.2">
      <c r="A1474" s="3">
        <v>45</v>
      </c>
      <c r="B1474" s="4" t="s">
        <v>75</v>
      </c>
      <c r="C1474" s="3" t="s">
        <v>125</v>
      </c>
      <c r="D1474" s="3" t="s">
        <v>14</v>
      </c>
      <c r="E1474" s="3">
        <v>5</v>
      </c>
      <c r="G1474" s="57"/>
    </row>
    <row r="1475" spans="1:7" ht="12.75" x14ac:dyDescent="0.2">
      <c r="A1475" s="3">
        <v>45</v>
      </c>
      <c r="B1475" s="4" t="s">
        <v>75</v>
      </c>
      <c r="C1475" s="3" t="s">
        <v>125</v>
      </c>
      <c r="D1475" s="3" t="s">
        <v>138</v>
      </c>
      <c r="E1475" s="3">
        <v>0</v>
      </c>
      <c r="F1475">
        <f>SUM(E1468:E1475)</f>
        <v>109</v>
      </c>
      <c r="G1475" s="57"/>
    </row>
    <row r="1476" spans="1:7" ht="12.75" x14ac:dyDescent="0.2">
      <c r="A1476" s="3">
        <v>46</v>
      </c>
      <c r="B1476" s="4" t="s">
        <v>76</v>
      </c>
      <c r="C1476" s="3" t="s">
        <v>347</v>
      </c>
      <c r="D1476" s="3" t="s">
        <v>366</v>
      </c>
      <c r="E1476" s="3">
        <v>0</v>
      </c>
      <c r="G1476" s="59">
        <v>673</v>
      </c>
    </row>
    <row r="1477" spans="1:7" ht="12.75" x14ac:dyDescent="0.2">
      <c r="A1477" s="3">
        <v>46</v>
      </c>
      <c r="B1477" s="4" t="s">
        <v>76</v>
      </c>
      <c r="C1477" s="3" t="s">
        <v>347</v>
      </c>
      <c r="D1477" s="3" t="s">
        <v>274</v>
      </c>
      <c r="E1477" s="3">
        <v>0</v>
      </c>
      <c r="G1477" s="57"/>
    </row>
    <row r="1478" spans="1:7" ht="12.75" x14ac:dyDescent="0.2">
      <c r="A1478" s="3">
        <v>46</v>
      </c>
      <c r="B1478" s="4" t="s">
        <v>76</v>
      </c>
      <c r="C1478" s="3" t="s">
        <v>347</v>
      </c>
      <c r="D1478" s="3" t="s">
        <v>367</v>
      </c>
      <c r="E1478" s="3">
        <v>0</v>
      </c>
      <c r="G1478" s="57"/>
    </row>
    <row r="1479" spans="1:7" ht="12.75" x14ac:dyDescent="0.2">
      <c r="A1479" s="3">
        <v>46</v>
      </c>
      <c r="B1479" s="4" t="s">
        <v>76</v>
      </c>
      <c r="C1479" s="3" t="s">
        <v>347</v>
      </c>
      <c r="D1479" s="3" t="s">
        <v>368</v>
      </c>
      <c r="E1479" s="3">
        <v>2</v>
      </c>
      <c r="G1479" s="57"/>
    </row>
    <row r="1480" spans="1:7" ht="12.75" x14ac:dyDescent="0.2">
      <c r="A1480" s="3">
        <v>46</v>
      </c>
      <c r="B1480" s="4" t="s">
        <v>76</v>
      </c>
      <c r="C1480" s="3" t="s">
        <v>347</v>
      </c>
      <c r="D1480" s="3" t="s">
        <v>283</v>
      </c>
      <c r="E1480" s="3">
        <v>405</v>
      </c>
      <c r="G1480" s="57"/>
    </row>
    <row r="1481" spans="1:7" ht="12.75" x14ac:dyDescent="0.2">
      <c r="A1481" s="3">
        <v>46</v>
      </c>
      <c r="B1481" s="4" t="s">
        <v>76</v>
      </c>
      <c r="C1481" s="3" t="s">
        <v>347</v>
      </c>
      <c r="D1481" s="3" t="s">
        <v>315</v>
      </c>
      <c r="E1481" s="3">
        <v>2</v>
      </c>
      <c r="G1481" s="57"/>
    </row>
    <row r="1482" spans="1:7" ht="12.75" x14ac:dyDescent="0.2">
      <c r="A1482" s="3">
        <v>46</v>
      </c>
      <c r="B1482" s="4" t="s">
        <v>76</v>
      </c>
      <c r="C1482" s="3" t="s">
        <v>347</v>
      </c>
      <c r="D1482" s="3" t="s">
        <v>316</v>
      </c>
      <c r="E1482" s="3">
        <v>8</v>
      </c>
      <c r="G1482" s="57"/>
    </row>
    <row r="1483" spans="1:7" ht="12.75" x14ac:dyDescent="0.2">
      <c r="A1483" s="3">
        <v>46</v>
      </c>
      <c r="B1483" s="4" t="s">
        <v>76</v>
      </c>
      <c r="C1483" s="3" t="s">
        <v>347</v>
      </c>
      <c r="D1483" s="3" t="s">
        <v>369</v>
      </c>
      <c r="E1483" s="3">
        <v>1</v>
      </c>
      <c r="G1483" s="57"/>
    </row>
    <row r="1484" spans="1:7" ht="12.75" x14ac:dyDescent="0.2">
      <c r="A1484" s="3">
        <v>46</v>
      </c>
      <c r="B1484" s="4" t="s">
        <v>76</v>
      </c>
      <c r="C1484" s="3" t="s">
        <v>347</v>
      </c>
      <c r="D1484" s="3" t="s">
        <v>128</v>
      </c>
      <c r="E1484" s="3">
        <v>132</v>
      </c>
      <c r="G1484" s="57"/>
    </row>
    <row r="1485" spans="1:7" ht="12.75" x14ac:dyDescent="0.2">
      <c r="A1485" s="3">
        <v>46</v>
      </c>
      <c r="B1485" s="4" t="s">
        <v>76</v>
      </c>
      <c r="C1485" s="3" t="s">
        <v>347</v>
      </c>
      <c r="D1485" s="3" t="s">
        <v>370</v>
      </c>
      <c r="E1485" s="3">
        <v>2</v>
      </c>
      <c r="G1485" s="57"/>
    </row>
    <row r="1486" spans="1:7" ht="12.75" x14ac:dyDescent="0.2">
      <c r="A1486" s="3">
        <v>46</v>
      </c>
      <c r="B1486" s="4" t="s">
        <v>76</v>
      </c>
      <c r="C1486" s="3" t="s">
        <v>347</v>
      </c>
      <c r="D1486" s="3" t="s">
        <v>353</v>
      </c>
      <c r="E1486" s="3">
        <v>2</v>
      </c>
      <c r="G1486" s="57"/>
    </row>
    <row r="1487" spans="1:7" ht="12.75" x14ac:dyDescent="0.2">
      <c r="A1487" s="3">
        <v>46</v>
      </c>
      <c r="B1487" s="4" t="s">
        <v>76</v>
      </c>
      <c r="C1487" s="3" t="s">
        <v>347</v>
      </c>
      <c r="D1487" s="3" t="s">
        <v>371</v>
      </c>
      <c r="E1487" s="3">
        <v>13</v>
      </c>
      <c r="G1487" s="57"/>
    </row>
    <row r="1488" spans="1:7" ht="12.75" x14ac:dyDescent="0.2">
      <c r="A1488" s="3">
        <v>46</v>
      </c>
      <c r="B1488" s="4" t="s">
        <v>76</v>
      </c>
      <c r="C1488" s="3" t="s">
        <v>347</v>
      </c>
      <c r="D1488" s="3" t="s">
        <v>14</v>
      </c>
      <c r="E1488" s="3">
        <v>6</v>
      </c>
      <c r="G1488" s="57"/>
    </row>
    <row r="1489" spans="1:7" ht="12.75" x14ac:dyDescent="0.2">
      <c r="A1489" s="3">
        <v>46</v>
      </c>
      <c r="B1489" s="4" t="s">
        <v>76</v>
      </c>
      <c r="C1489" s="3" t="s">
        <v>347</v>
      </c>
      <c r="D1489" s="3" t="s">
        <v>138</v>
      </c>
      <c r="E1489" s="3">
        <v>1</v>
      </c>
      <c r="F1489">
        <f>SUM(E1476:E1489)</f>
        <v>574</v>
      </c>
      <c r="G1489" s="57"/>
    </row>
    <row r="1490" spans="1:7" ht="12.75" x14ac:dyDescent="0.2">
      <c r="A1490" s="3">
        <v>46</v>
      </c>
      <c r="B1490" s="4" t="s">
        <v>76</v>
      </c>
      <c r="C1490" s="3" t="s">
        <v>273</v>
      </c>
      <c r="D1490" s="3" t="s">
        <v>274</v>
      </c>
      <c r="E1490" s="3">
        <v>0</v>
      </c>
      <c r="G1490" s="57"/>
    </row>
    <row r="1491" spans="1:7" ht="12.75" x14ac:dyDescent="0.2">
      <c r="A1491" s="3">
        <v>46</v>
      </c>
      <c r="B1491" s="4" t="s">
        <v>76</v>
      </c>
      <c r="C1491" s="3" t="s">
        <v>273</v>
      </c>
      <c r="D1491" s="3" t="s">
        <v>283</v>
      </c>
      <c r="E1491" s="3">
        <v>425</v>
      </c>
      <c r="G1491" s="57"/>
    </row>
    <row r="1492" spans="1:7" ht="12.75" x14ac:dyDescent="0.2">
      <c r="A1492" s="3">
        <v>46</v>
      </c>
      <c r="B1492" s="4" t="s">
        <v>76</v>
      </c>
      <c r="C1492" s="3" t="s">
        <v>273</v>
      </c>
      <c r="D1492" s="3" t="s">
        <v>315</v>
      </c>
      <c r="E1492" s="3">
        <v>2</v>
      </c>
      <c r="G1492" s="57"/>
    </row>
    <row r="1493" spans="1:7" ht="12.75" x14ac:dyDescent="0.2">
      <c r="A1493" s="3">
        <v>46</v>
      </c>
      <c r="B1493" s="4" t="s">
        <v>76</v>
      </c>
      <c r="C1493" s="3" t="s">
        <v>273</v>
      </c>
      <c r="D1493" s="3" t="s">
        <v>128</v>
      </c>
      <c r="E1493" s="3">
        <v>111</v>
      </c>
      <c r="G1493" s="57"/>
    </row>
    <row r="1494" spans="1:7" ht="12.75" x14ac:dyDescent="0.2">
      <c r="A1494" s="3">
        <v>46</v>
      </c>
      <c r="B1494" s="4" t="s">
        <v>76</v>
      </c>
      <c r="C1494" s="3" t="s">
        <v>273</v>
      </c>
      <c r="D1494" s="3" t="s">
        <v>353</v>
      </c>
      <c r="E1494" s="3">
        <v>1</v>
      </c>
      <c r="G1494" s="57"/>
    </row>
    <row r="1495" spans="1:7" ht="12.75" x14ac:dyDescent="0.2">
      <c r="A1495" s="3">
        <v>46</v>
      </c>
      <c r="B1495" s="4" t="s">
        <v>76</v>
      </c>
      <c r="C1495" s="3" t="s">
        <v>273</v>
      </c>
      <c r="D1495" s="3" t="s">
        <v>371</v>
      </c>
      <c r="E1495" s="3">
        <v>8</v>
      </c>
      <c r="G1495" s="57"/>
    </row>
    <row r="1496" spans="1:7" ht="12.75" x14ac:dyDescent="0.2">
      <c r="A1496" s="3">
        <v>46</v>
      </c>
      <c r="B1496" s="4" t="s">
        <v>76</v>
      </c>
      <c r="C1496" s="3" t="s">
        <v>273</v>
      </c>
      <c r="D1496" s="3" t="s">
        <v>14</v>
      </c>
      <c r="E1496" s="3">
        <v>26</v>
      </c>
      <c r="G1496" s="57"/>
    </row>
    <row r="1497" spans="1:7" ht="12.75" x14ac:dyDescent="0.2">
      <c r="A1497" s="3">
        <v>46</v>
      </c>
      <c r="B1497" s="4" t="s">
        <v>76</v>
      </c>
      <c r="C1497" s="3" t="s">
        <v>273</v>
      </c>
      <c r="D1497" s="3" t="s">
        <v>138</v>
      </c>
      <c r="E1497" s="3">
        <v>1</v>
      </c>
      <c r="F1497">
        <f>SUM(E1490:E1497)</f>
        <v>574</v>
      </c>
      <c r="G1497" s="57"/>
    </row>
    <row r="1498" spans="1:7" ht="12.75" x14ac:dyDescent="0.2">
      <c r="A1498" s="3">
        <v>46</v>
      </c>
      <c r="B1498" s="4" t="s">
        <v>76</v>
      </c>
      <c r="C1498" s="3" t="s">
        <v>125</v>
      </c>
      <c r="D1498" s="3" t="s">
        <v>274</v>
      </c>
      <c r="E1498" s="3">
        <v>0</v>
      </c>
      <c r="G1498" s="57"/>
    </row>
    <row r="1499" spans="1:7" ht="12.75" x14ac:dyDescent="0.2">
      <c r="A1499" s="3">
        <v>46</v>
      </c>
      <c r="B1499" s="4" t="s">
        <v>76</v>
      </c>
      <c r="C1499" s="3" t="s">
        <v>125</v>
      </c>
      <c r="D1499" s="3" t="s">
        <v>283</v>
      </c>
      <c r="E1499" s="3">
        <v>425</v>
      </c>
      <c r="G1499" s="57"/>
    </row>
    <row r="1500" spans="1:7" ht="12.75" x14ac:dyDescent="0.2">
      <c r="A1500" s="3">
        <v>46</v>
      </c>
      <c r="B1500" s="4" t="s">
        <v>76</v>
      </c>
      <c r="C1500" s="3" t="s">
        <v>125</v>
      </c>
      <c r="D1500" s="3" t="s">
        <v>315</v>
      </c>
      <c r="E1500" s="3">
        <v>2</v>
      </c>
      <c r="G1500" s="57"/>
    </row>
    <row r="1501" spans="1:7" ht="12.75" x14ac:dyDescent="0.2">
      <c r="A1501" s="3">
        <v>46</v>
      </c>
      <c r="B1501" s="4" t="s">
        <v>76</v>
      </c>
      <c r="C1501" s="3" t="s">
        <v>125</v>
      </c>
      <c r="D1501" s="3" t="s">
        <v>128</v>
      </c>
      <c r="E1501" s="3">
        <v>114</v>
      </c>
      <c r="G1501" s="57"/>
    </row>
    <row r="1502" spans="1:7" ht="12.75" x14ac:dyDescent="0.2">
      <c r="A1502" s="3">
        <v>46</v>
      </c>
      <c r="B1502" s="4" t="s">
        <v>76</v>
      </c>
      <c r="C1502" s="3" t="s">
        <v>125</v>
      </c>
      <c r="D1502" s="3" t="s">
        <v>353</v>
      </c>
      <c r="E1502" s="3">
        <v>1</v>
      </c>
      <c r="G1502" s="57"/>
    </row>
    <row r="1503" spans="1:7" ht="12.75" x14ac:dyDescent="0.2">
      <c r="A1503" s="3">
        <v>46</v>
      </c>
      <c r="B1503" s="4" t="s">
        <v>76</v>
      </c>
      <c r="C1503" s="3" t="s">
        <v>125</v>
      </c>
      <c r="D1503" s="3" t="s">
        <v>371</v>
      </c>
      <c r="E1503" s="3">
        <v>8</v>
      </c>
      <c r="G1503" s="57"/>
    </row>
    <row r="1504" spans="1:7" ht="12.75" x14ac:dyDescent="0.2">
      <c r="A1504" s="3">
        <v>46</v>
      </c>
      <c r="B1504" s="4" t="s">
        <v>76</v>
      </c>
      <c r="C1504" s="3" t="s">
        <v>125</v>
      </c>
      <c r="D1504" s="3" t="s">
        <v>14</v>
      </c>
      <c r="E1504" s="3">
        <v>24</v>
      </c>
      <c r="G1504" s="57"/>
    </row>
    <row r="1505" spans="1:7" ht="12.75" x14ac:dyDescent="0.2">
      <c r="A1505" s="3">
        <v>46</v>
      </c>
      <c r="B1505" s="4" t="s">
        <v>76</v>
      </c>
      <c r="C1505" s="3" t="s">
        <v>125</v>
      </c>
      <c r="D1505" s="3" t="s">
        <v>138</v>
      </c>
      <c r="E1505" s="3">
        <v>0</v>
      </c>
      <c r="F1505">
        <f>SUM(E1498:E1505)</f>
        <v>574</v>
      </c>
      <c r="G1505" s="57"/>
    </row>
    <row r="1506" spans="1:7" ht="12.75" x14ac:dyDescent="0.2">
      <c r="A1506" s="3">
        <v>47</v>
      </c>
      <c r="B1506" s="4" t="s">
        <v>77</v>
      </c>
      <c r="C1506" s="3" t="s">
        <v>347</v>
      </c>
      <c r="D1506" s="3" t="s">
        <v>366</v>
      </c>
      <c r="E1506" s="3">
        <v>7</v>
      </c>
      <c r="G1506" s="59">
        <v>1179</v>
      </c>
    </row>
    <row r="1507" spans="1:7" ht="12.75" x14ac:dyDescent="0.2">
      <c r="A1507" s="3">
        <v>47</v>
      </c>
      <c r="B1507" s="4" t="s">
        <v>77</v>
      </c>
      <c r="C1507" s="3" t="s">
        <v>347</v>
      </c>
      <c r="D1507" s="3" t="s">
        <v>274</v>
      </c>
      <c r="E1507" s="3">
        <v>0</v>
      </c>
      <c r="G1507" s="57"/>
    </row>
    <row r="1508" spans="1:7" ht="12.75" x14ac:dyDescent="0.2">
      <c r="A1508" s="3">
        <v>47</v>
      </c>
      <c r="B1508" s="4" t="s">
        <v>77</v>
      </c>
      <c r="C1508" s="3" t="s">
        <v>347</v>
      </c>
      <c r="D1508" s="3" t="s">
        <v>367</v>
      </c>
      <c r="E1508" s="3">
        <v>0</v>
      </c>
      <c r="G1508" s="57"/>
    </row>
    <row r="1509" spans="1:7" ht="12.75" x14ac:dyDescent="0.2">
      <c r="A1509" s="3">
        <v>47</v>
      </c>
      <c r="B1509" s="4" t="s">
        <v>77</v>
      </c>
      <c r="C1509" s="3" t="s">
        <v>347</v>
      </c>
      <c r="D1509" s="3" t="s">
        <v>368</v>
      </c>
      <c r="E1509" s="3">
        <v>0</v>
      </c>
      <c r="G1509" s="57"/>
    </row>
    <row r="1510" spans="1:7" ht="12.75" x14ac:dyDescent="0.2">
      <c r="A1510" s="3">
        <v>47</v>
      </c>
      <c r="B1510" s="4" t="s">
        <v>77</v>
      </c>
      <c r="C1510" s="3" t="s">
        <v>347</v>
      </c>
      <c r="D1510" s="3" t="s">
        <v>283</v>
      </c>
      <c r="E1510" s="3">
        <v>527</v>
      </c>
      <c r="G1510" s="57"/>
    </row>
    <row r="1511" spans="1:7" ht="12.75" x14ac:dyDescent="0.2">
      <c r="A1511" s="3">
        <v>47</v>
      </c>
      <c r="B1511" s="4" t="s">
        <v>77</v>
      </c>
      <c r="C1511" s="3" t="s">
        <v>347</v>
      </c>
      <c r="D1511" s="3" t="s">
        <v>315</v>
      </c>
      <c r="E1511" s="3">
        <v>7</v>
      </c>
      <c r="G1511" s="57"/>
    </row>
    <row r="1512" spans="1:7" ht="12.75" x14ac:dyDescent="0.2">
      <c r="A1512" s="3">
        <v>47</v>
      </c>
      <c r="B1512" s="4" t="s">
        <v>77</v>
      </c>
      <c r="C1512" s="3" t="s">
        <v>347</v>
      </c>
      <c r="D1512" s="3" t="s">
        <v>316</v>
      </c>
      <c r="E1512" s="3">
        <v>11</v>
      </c>
      <c r="G1512" s="57"/>
    </row>
    <row r="1513" spans="1:7" ht="12.75" x14ac:dyDescent="0.2">
      <c r="A1513" s="3">
        <v>47</v>
      </c>
      <c r="B1513" s="4" t="s">
        <v>77</v>
      </c>
      <c r="C1513" s="3" t="s">
        <v>347</v>
      </c>
      <c r="D1513" s="3" t="s">
        <v>369</v>
      </c>
      <c r="E1513" s="3">
        <v>2</v>
      </c>
      <c r="G1513" s="57"/>
    </row>
    <row r="1514" spans="1:7" ht="12.75" x14ac:dyDescent="0.2">
      <c r="A1514" s="3">
        <v>47</v>
      </c>
      <c r="B1514" s="4" t="s">
        <v>77</v>
      </c>
      <c r="C1514" s="3" t="s">
        <v>347</v>
      </c>
      <c r="D1514" s="3" t="s">
        <v>128</v>
      </c>
      <c r="E1514" s="3">
        <v>271</v>
      </c>
      <c r="G1514" s="57"/>
    </row>
    <row r="1515" spans="1:7" ht="12.75" x14ac:dyDescent="0.2">
      <c r="A1515" s="3">
        <v>47</v>
      </c>
      <c r="B1515" s="4" t="s">
        <v>77</v>
      </c>
      <c r="C1515" s="3" t="s">
        <v>347</v>
      </c>
      <c r="D1515" s="3" t="s">
        <v>370</v>
      </c>
      <c r="E1515" s="3">
        <v>0</v>
      </c>
      <c r="G1515" s="57"/>
    </row>
    <row r="1516" spans="1:7" ht="12.75" x14ac:dyDescent="0.2">
      <c r="A1516" s="3">
        <v>47</v>
      </c>
      <c r="B1516" s="4" t="s">
        <v>77</v>
      </c>
      <c r="C1516" s="3" t="s">
        <v>347</v>
      </c>
      <c r="D1516" s="3" t="s">
        <v>353</v>
      </c>
      <c r="E1516" s="3">
        <v>4</v>
      </c>
      <c r="G1516" s="57"/>
    </row>
    <row r="1517" spans="1:7" ht="12.75" x14ac:dyDescent="0.2">
      <c r="A1517" s="3">
        <v>47</v>
      </c>
      <c r="B1517" s="4" t="s">
        <v>77</v>
      </c>
      <c r="C1517" s="3" t="s">
        <v>347</v>
      </c>
      <c r="D1517" s="3" t="s">
        <v>371</v>
      </c>
      <c r="E1517" s="3">
        <v>78</v>
      </c>
      <c r="G1517" s="57"/>
    </row>
    <row r="1518" spans="1:7" ht="12.75" x14ac:dyDescent="0.2">
      <c r="A1518" s="3">
        <v>47</v>
      </c>
      <c r="B1518" s="4" t="s">
        <v>77</v>
      </c>
      <c r="C1518" s="3" t="s">
        <v>347</v>
      </c>
      <c r="D1518" s="3" t="s">
        <v>14</v>
      </c>
      <c r="E1518" s="3">
        <v>27</v>
      </c>
      <c r="G1518" s="57"/>
    </row>
    <row r="1519" spans="1:7" ht="12.75" x14ac:dyDescent="0.2">
      <c r="A1519" s="3">
        <v>47</v>
      </c>
      <c r="B1519" s="4" t="s">
        <v>77</v>
      </c>
      <c r="C1519" s="3" t="s">
        <v>347</v>
      </c>
      <c r="D1519" s="3" t="s">
        <v>138</v>
      </c>
      <c r="E1519" s="3">
        <v>6</v>
      </c>
      <c r="F1519">
        <f>SUM(E1506:E1519)</f>
        <v>940</v>
      </c>
      <c r="G1519" s="57"/>
    </row>
    <row r="1520" spans="1:7" ht="12.75" x14ac:dyDescent="0.2">
      <c r="A1520" s="3">
        <v>47</v>
      </c>
      <c r="B1520" s="4" t="s">
        <v>77</v>
      </c>
      <c r="C1520" s="3" t="s">
        <v>273</v>
      </c>
      <c r="D1520" s="3" t="s">
        <v>274</v>
      </c>
      <c r="E1520" s="3">
        <v>5</v>
      </c>
      <c r="G1520" s="57"/>
    </row>
    <row r="1521" spans="1:7" ht="12.75" x14ac:dyDescent="0.2">
      <c r="A1521" s="3">
        <v>47</v>
      </c>
      <c r="B1521" s="4" t="s">
        <v>77</v>
      </c>
      <c r="C1521" s="3" t="s">
        <v>273</v>
      </c>
      <c r="D1521" s="3" t="s">
        <v>283</v>
      </c>
      <c r="E1521" s="3">
        <v>616</v>
      </c>
      <c r="G1521" s="57"/>
    </row>
    <row r="1522" spans="1:7" ht="12.75" x14ac:dyDescent="0.2">
      <c r="A1522" s="3">
        <v>47</v>
      </c>
      <c r="B1522" s="4" t="s">
        <v>77</v>
      </c>
      <c r="C1522" s="3" t="s">
        <v>273</v>
      </c>
      <c r="D1522" s="3" t="s">
        <v>315</v>
      </c>
      <c r="E1522" s="3">
        <v>6</v>
      </c>
      <c r="G1522" s="57"/>
    </row>
    <row r="1523" spans="1:7" ht="12.75" x14ac:dyDescent="0.2">
      <c r="A1523" s="3">
        <v>47</v>
      </c>
      <c r="B1523" s="4" t="s">
        <v>77</v>
      </c>
      <c r="C1523" s="3" t="s">
        <v>273</v>
      </c>
      <c r="D1523" s="3" t="s">
        <v>128</v>
      </c>
      <c r="E1523" s="3">
        <v>236</v>
      </c>
      <c r="G1523" s="57"/>
    </row>
    <row r="1524" spans="1:7" ht="12.75" x14ac:dyDescent="0.2">
      <c r="A1524" s="3">
        <v>47</v>
      </c>
      <c r="B1524" s="4" t="s">
        <v>77</v>
      </c>
      <c r="C1524" s="3" t="s">
        <v>273</v>
      </c>
      <c r="D1524" s="3" t="s">
        <v>353</v>
      </c>
      <c r="E1524" s="3">
        <v>0</v>
      </c>
      <c r="G1524" s="57"/>
    </row>
    <row r="1525" spans="1:7" ht="12.75" x14ac:dyDescent="0.2">
      <c r="A1525" s="3">
        <v>47</v>
      </c>
      <c r="B1525" s="4" t="s">
        <v>77</v>
      </c>
      <c r="C1525" s="3" t="s">
        <v>273</v>
      </c>
      <c r="D1525" s="3" t="s">
        <v>371</v>
      </c>
      <c r="E1525" s="3">
        <v>13</v>
      </c>
      <c r="G1525" s="57"/>
    </row>
    <row r="1526" spans="1:7" ht="12.75" x14ac:dyDescent="0.2">
      <c r="A1526" s="3">
        <v>47</v>
      </c>
      <c r="B1526" s="4" t="s">
        <v>77</v>
      </c>
      <c r="C1526" s="3" t="s">
        <v>273</v>
      </c>
      <c r="D1526" s="3" t="s">
        <v>14</v>
      </c>
      <c r="E1526" s="3">
        <v>58</v>
      </c>
      <c r="G1526" s="57"/>
    </row>
    <row r="1527" spans="1:7" ht="12.75" x14ac:dyDescent="0.2">
      <c r="A1527" s="3">
        <v>47</v>
      </c>
      <c r="B1527" s="4" t="s">
        <v>77</v>
      </c>
      <c r="C1527" s="3" t="s">
        <v>273</v>
      </c>
      <c r="D1527" s="3" t="s">
        <v>138</v>
      </c>
      <c r="E1527" s="3">
        <v>6</v>
      </c>
      <c r="F1527">
        <f>SUM(E1520:E1527)</f>
        <v>940</v>
      </c>
      <c r="G1527" s="57"/>
    </row>
    <row r="1528" spans="1:7" ht="12.75" x14ac:dyDescent="0.2">
      <c r="A1528" s="3">
        <v>47</v>
      </c>
      <c r="B1528" s="4" t="s">
        <v>77</v>
      </c>
      <c r="C1528" s="3" t="s">
        <v>125</v>
      </c>
      <c r="D1528" s="3" t="s">
        <v>274</v>
      </c>
      <c r="E1528" s="3">
        <v>4</v>
      </c>
      <c r="G1528" s="57"/>
    </row>
    <row r="1529" spans="1:7" ht="12.75" x14ac:dyDescent="0.2">
      <c r="A1529" s="3">
        <v>47</v>
      </c>
      <c r="B1529" s="4" t="s">
        <v>77</v>
      </c>
      <c r="C1529" s="3" t="s">
        <v>125</v>
      </c>
      <c r="D1529" s="3" t="s">
        <v>283</v>
      </c>
      <c r="E1529" s="3">
        <v>611</v>
      </c>
      <c r="G1529" s="57"/>
    </row>
    <row r="1530" spans="1:7" ht="12.75" x14ac:dyDescent="0.2">
      <c r="A1530" s="3">
        <v>47</v>
      </c>
      <c r="B1530" s="4" t="s">
        <v>77</v>
      </c>
      <c r="C1530" s="3" t="s">
        <v>125</v>
      </c>
      <c r="D1530" s="3" t="s">
        <v>315</v>
      </c>
      <c r="E1530" s="3">
        <v>5</v>
      </c>
      <c r="G1530" s="57"/>
    </row>
    <row r="1531" spans="1:7" ht="12.75" x14ac:dyDescent="0.2">
      <c r="A1531" s="3">
        <v>47</v>
      </c>
      <c r="B1531" s="4" t="s">
        <v>77</v>
      </c>
      <c r="C1531" s="3" t="s">
        <v>125</v>
      </c>
      <c r="D1531" s="3" t="s">
        <v>128</v>
      </c>
      <c r="E1531" s="3">
        <v>235</v>
      </c>
      <c r="G1531" s="57"/>
    </row>
    <row r="1532" spans="1:7" ht="12.75" x14ac:dyDescent="0.2">
      <c r="A1532" s="3">
        <v>47</v>
      </c>
      <c r="B1532" s="4" t="s">
        <v>77</v>
      </c>
      <c r="C1532" s="3" t="s">
        <v>125</v>
      </c>
      <c r="D1532" s="3" t="s">
        <v>353</v>
      </c>
      <c r="E1532" s="3">
        <v>0</v>
      </c>
      <c r="G1532" s="57"/>
    </row>
    <row r="1533" spans="1:7" ht="12.75" x14ac:dyDescent="0.2">
      <c r="A1533" s="3">
        <v>47</v>
      </c>
      <c r="B1533" s="4" t="s">
        <v>77</v>
      </c>
      <c r="C1533" s="3" t="s">
        <v>125</v>
      </c>
      <c r="D1533" s="3" t="s">
        <v>371</v>
      </c>
      <c r="E1533" s="3">
        <v>13</v>
      </c>
      <c r="G1533" s="57"/>
    </row>
    <row r="1534" spans="1:7" ht="12.75" x14ac:dyDescent="0.2">
      <c r="A1534" s="3">
        <v>47</v>
      </c>
      <c r="B1534" s="4" t="s">
        <v>77</v>
      </c>
      <c r="C1534" s="3" t="s">
        <v>125</v>
      </c>
      <c r="D1534" s="3" t="s">
        <v>14</v>
      </c>
      <c r="E1534" s="3">
        <v>66</v>
      </c>
      <c r="G1534" s="57"/>
    </row>
    <row r="1535" spans="1:7" ht="12.75" x14ac:dyDescent="0.2">
      <c r="A1535" s="3">
        <v>47</v>
      </c>
      <c r="B1535" s="4" t="s">
        <v>77</v>
      </c>
      <c r="C1535" s="3" t="s">
        <v>125</v>
      </c>
      <c r="D1535" s="3" t="s">
        <v>138</v>
      </c>
      <c r="E1535" s="3">
        <v>6</v>
      </c>
      <c r="F1535">
        <f>SUM(E1528:E1535)</f>
        <v>940</v>
      </c>
      <c r="G1535" s="57"/>
    </row>
    <row r="1536" spans="1:7" ht="12.75" x14ac:dyDescent="0.2">
      <c r="A1536" s="3">
        <v>49</v>
      </c>
      <c r="B1536" s="4" t="s">
        <v>79</v>
      </c>
      <c r="C1536" s="3" t="s">
        <v>347</v>
      </c>
      <c r="D1536" s="3" t="s">
        <v>366</v>
      </c>
      <c r="E1536" s="3">
        <v>1</v>
      </c>
      <c r="G1536" s="59">
        <v>250</v>
      </c>
    </row>
    <row r="1537" spans="1:7" ht="12.75" x14ac:dyDescent="0.2">
      <c r="A1537" s="3">
        <v>49</v>
      </c>
      <c r="B1537" s="4" t="s">
        <v>79</v>
      </c>
      <c r="C1537" s="3" t="s">
        <v>347</v>
      </c>
      <c r="D1537" s="3" t="s">
        <v>274</v>
      </c>
      <c r="E1537" s="3">
        <v>0</v>
      </c>
      <c r="G1537" s="57"/>
    </row>
    <row r="1538" spans="1:7" ht="12.75" x14ac:dyDescent="0.2">
      <c r="A1538" s="3">
        <v>49</v>
      </c>
      <c r="B1538" s="4" t="s">
        <v>79</v>
      </c>
      <c r="C1538" s="3" t="s">
        <v>347</v>
      </c>
      <c r="D1538" s="3" t="s">
        <v>367</v>
      </c>
      <c r="E1538" s="3">
        <v>0</v>
      </c>
      <c r="G1538" s="57"/>
    </row>
    <row r="1539" spans="1:7" ht="12.75" x14ac:dyDescent="0.2">
      <c r="A1539" s="3">
        <v>49</v>
      </c>
      <c r="B1539" s="4" t="s">
        <v>79</v>
      </c>
      <c r="C1539" s="3" t="s">
        <v>347</v>
      </c>
      <c r="D1539" s="3" t="s">
        <v>368</v>
      </c>
      <c r="E1539" s="3">
        <v>1</v>
      </c>
      <c r="G1539" s="57"/>
    </row>
    <row r="1540" spans="1:7" ht="12.75" x14ac:dyDescent="0.2">
      <c r="A1540" s="3">
        <v>49</v>
      </c>
      <c r="B1540" s="4" t="s">
        <v>79</v>
      </c>
      <c r="C1540" s="3" t="s">
        <v>347</v>
      </c>
      <c r="D1540" s="3" t="s">
        <v>283</v>
      </c>
      <c r="E1540" s="3">
        <v>109</v>
      </c>
      <c r="G1540" s="57"/>
    </row>
    <row r="1541" spans="1:7" ht="12.75" x14ac:dyDescent="0.2">
      <c r="A1541" s="3">
        <v>49</v>
      </c>
      <c r="B1541" s="4" t="s">
        <v>79</v>
      </c>
      <c r="C1541" s="3" t="s">
        <v>347</v>
      </c>
      <c r="D1541" s="3" t="s">
        <v>315</v>
      </c>
      <c r="E1541" s="3">
        <v>2</v>
      </c>
      <c r="G1541" s="57"/>
    </row>
    <row r="1542" spans="1:7" ht="12.75" x14ac:dyDescent="0.2">
      <c r="A1542" s="3">
        <v>49</v>
      </c>
      <c r="B1542" s="4" t="s">
        <v>79</v>
      </c>
      <c r="C1542" s="3" t="s">
        <v>347</v>
      </c>
      <c r="D1542" s="3" t="s">
        <v>316</v>
      </c>
      <c r="E1542" s="3">
        <v>0</v>
      </c>
      <c r="G1542" s="57"/>
    </row>
    <row r="1543" spans="1:7" ht="12.75" x14ac:dyDescent="0.2">
      <c r="A1543" s="3">
        <v>49</v>
      </c>
      <c r="B1543" s="4" t="s">
        <v>79</v>
      </c>
      <c r="C1543" s="3" t="s">
        <v>347</v>
      </c>
      <c r="D1543" s="3" t="s">
        <v>369</v>
      </c>
      <c r="E1543" s="3">
        <v>2</v>
      </c>
      <c r="G1543" s="57"/>
    </row>
    <row r="1544" spans="1:7" ht="12.75" x14ac:dyDescent="0.2">
      <c r="A1544" s="3">
        <v>49</v>
      </c>
      <c r="B1544" s="4" t="s">
        <v>79</v>
      </c>
      <c r="C1544" s="3" t="s">
        <v>347</v>
      </c>
      <c r="D1544" s="3" t="s">
        <v>128</v>
      </c>
      <c r="E1544" s="3">
        <v>49</v>
      </c>
      <c r="G1544" s="57"/>
    </row>
    <row r="1545" spans="1:7" ht="12.75" x14ac:dyDescent="0.2">
      <c r="A1545" s="3">
        <v>49</v>
      </c>
      <c r="B1545" s="4" t="s">
        <v>79</v>
      </c>
      <c r="C1545" s="3" t="s">
        <v>347</v>
      </c>
      <c r="D1545" s="3" t="s">
        <v>370</v>
      </c>
      <c r="E1545" s="3">
        <v>0</v>
      </c>
      <c r="G1545" s="57"/>
    </row>
    <row r="1546" spans="1:7" ht="12.75" x14ac:dyDescent="0.2">
      <c r="A1546" s="3">
        <v>49</v>
      </c>
      <c r="B1546" s="4" t="s">
        <v>79</v>
      </c>
      <c r="C1546" s="3" t="s">
        <v>347</v>
      </c>
      <c r="D1546" s="3" t="s">
        <v>353</v>
      </c>
      <c r="E1546" s="3">
        <v>1</v>
      </c>
      <c r="G1546" s="57"/>
    </row>
    <row r="1547" spans="1:7" ht="12.75" x14ac:dyDescent="0.2">
      <c r="A1547" s="3">
        <v>49</v>
      </c>
      <c r="B1547" s="4" t="s">
        <v>79</v>
      </c>
      <c r="C1547" s="3" t="s">
        <v>347</v>
      </c>
      <c r="D1547" s="3" t="s">
        <v>371</v>
      </c>
      <c r="E1547" s="3">
        <v>15</v>
      </c>
      <c r="G1547" s="57"/>
    </row>
    <row r="1548" spans="1:7" ht="12.75" x14ac:dyDescent="0.2">
      <c r="A1548" s="3">
        <v>49</v>
      </c>
      <c r="B1548" s="4" t="s">
        <v>79</v>
      </c>
      <c r="C1548" s="3" t="s">
        <v>347</v>
      </c>
      <c r="D1548" s="3" t="s">
        <v>14</v>
      </c>
      <c r="E1548" s="3">
        <v>5</v>
      </c>
      <c r="G1548" s="57"/>
    </row>
    <row r="1549" spans="1:7" ht="12.75" x14ac:dyDescent="0.2">
      <c r="A1549" s="3">
        <v>49</v>
      </c>
      <c r="B1549" s="4" t="s">
        <v>79</v>
      </c>
      <c r="C1549" s="3" t="s">
        <v>347</v>
      </c>
      <c r="D1549" s="3" t="s">
        <v>138</v>
      </c>
      <c r="E1549" s="3">
        <v>0</v>
      </c>
      <c r="F1549">
        <f>SUM(E1536:E1549)</f>
        <v>185</v>
      </c>
      <c r="G1549" s="57"/>
    </row>
    <row r="1550" spans="1:7" ht="12.75" x14ac:dyDescent="0.2">
      <c r="A1550" s="3">
        <v>49</v>
      </c>
      <c r="B1550" s="4" t="s">
        <v>79</v>
      </c>
      <c r="C1550" s="3" t="s">
        <v>273</v>
      </c>
      <c r="D1550" s="3" t="s">
        <v>274</v>
      </c>
      <c r="E1550" s="3">
        <v>0</v>
      </c>
      <c r="G1550" s="57"/>
    </row>
    <row r="1551" spans="1:7" ht="12.75" x14ac:dyDescent="0.2">
      <c r="A1551" s="3">
        <v>49</v>
      </c>
      <c r="B1551" s="4" t="s">
        <v>79</v>
      </c>
      <c r="C1551" s="3" t="s">
        <v>273</v>
      </c>
      <c r="D1551" s="3" t="s">
        <v>283</v>
      </c>
      <c r="E1551" s="3">
        <v>123</v>
      </c>
      <c r="G1551" s="57"/>
    </row>
    <row r="1552" spans="1:7" ht="12.75" x14ac:dyDescent="0.2">
      <c r="A1552" s="3">
        <v>49</v>
      </c>
      <c r="B1552" s="4" t="s">
        <v>79</v>
      </c>
      <c r="C1552" s="3" t="s">
        <v>273</v>
      </c>
      <c r="D1552" s="3" t="s">
        <v>315</v>
      </c>
      <c r="E1552" s="3">
        <v>0</v>
      </c>
      <c r="G1552" s="57"/>
    </row>
    <row r="1553" spans="1:7" ht="12.75" x14ac:dyDescent="0.2">
      <c r="A1553" s="3">
        <v>49</v>
      </c>
      <c r="B1553" s="4" t="s">
        <v>79</v>
      </c>
      <c r="C1553" s="3" t="s">
        <v>273</v>
      </c>
      <c r="D1553" s="3" t="s">
        <v>128</v>
      </c>
      <c r="E1553" s="3">
        <v>45</v>
      </c>
      <c r="G1553" s="57"/>
    </row>
    <row r="1554" spans="1:7" ht="12.75" x14ac:dyDescent="0.2">
      <c r="A1554" s="3">
        <v>49</v>
      </c>
      <c r="B1554" s="4" t="s">
        <v>79</v>
      </c>
      <c r="C1554" s="3" t="s">
        <v>273</v>
      </c>
      <c r="D1554" s="3" t="s">
        <v>353</v>
      </c>
      <c r="E1554" s="3">
        <v>0</v>
      </c>
      <c r="G1554" s="57"/>
    </row>
    <row r="1555" spans="1:7" ht="12.75" x14ac:dyDescent="0.2">
      <c r="A1555" s="3">
        <v>49</v>
      </c>
      <c r="B1555" s="4" t="s">
        <v>79</v>
      </c>
      <c r="C1555" s="3" t="s">
        <v>273</v>
      </c>
      <c r="D1555" s="3" t="s">
        <v>371</v>
      </c>
      <c r="E1555" s="3">
        <v>9</v>
      </c>
      <c r="G1555" s="57"/>
    </row>
    <row r="1556" spans="1:7" ht="12.75" x14ac:dyDescent="0.2">
      <c r="A1556" s="3">
        <v>49</v>
      </c>
      <c r="B1556" s="4" t="s">
        <v>79</v>
      </c>
      <c r="C1556" s="3" t="s">
        <v>273</v>
      </c>
      <c r="D1556" s="3" t="s">
        <v>14</v>
      </c>
      <c r="E1556" s="3">
        <v>8</v>
      </c>
      <c r="G1556" s="57"/>
    </row>
    <row r="1557" spans="1:7" ht="12.75" x14ac:dyDescent="0.2">
      <c r="A1557" s="3">
        <v>49</v>
      </c>
      <c r="B1557" s="4" t="s">
        <v>79</v>
      </c>
      <c r="C1557" s="3" t="s">
        <v>273</v>
      </c>
      <c r="D1557" s="3" t="s">
        <v>138</v>
      </c>
      <c r="E1557" s="3">
        <v>0</v>
      </c>
      <c r="F1557">
        <f>SUM(E1550:E1557)</f>
        <v>185</v>
      </c>
      <c r="G1557" s="57"/>
    </row>
    <row r="1558" spans="1:7" ht="12.75" x14ac:dyDescent="0.2">
      <c r="A1558" s="3">
        <v>49</v>
      </c>
      <c r="B1558" s="4" t="s">
        <v>79</v>
      </c>
      <c r="C1558" s="3" t="s">
        <v>125</v>
      </c>
      <c r="D1558" s="3" t="s">
        <v>274</v>
      </c>
      <c r="E1558" s="3">
        <v>0</v>
      </c>
      <c r="G1558" s="57"/>
    </row>
    <row r="1559" spans="1:7" ht="12.75" x14ac:dyDescent="0.2">
      <c r="A1559" s="3">
        <v>49</v>
      </c>
      <c r="B1559" s="4" t="s">
        <v>79</v>
      </c>
      <c r="C1559" s="3" t="s">
        <v>125</v>
      </c>
      <c r="D1559" s="3" t="s">
        <v>283</v>
      </c>
      <c r="E1559" s="3">
        <v>123</v>
      </c>
      <c r="G1559" s="57"/>
    </row>
    <row r="1560" spans="1:7" ht="12.75" x14ac:dyDescent="0.2">
      <c r="A1560" s="3">
        <v>49</v>
      </c>
      <c r="B1560" s="4" t="s">
        <v>79</v>
      </c>
      <c r="C1560" s="3" t="s">
        <v>125</v>
      </c>
      <c r="D1560" s="3" t="s">
        <v>315</v>
      </c>
      <c r="E1560" s="3">
        <v>0</v>
      </c>
      <c r="G1560" s="57"/>
    </row>
    <row r="1561" spans="1:7" ht="12.75" x14ac:dyDescent="0.2">
      <c r="A1561" s="3">
        <v>49</v>
      </c>
      <c r="B1561" s="4" t="s">
        <v>79</v>
      </c>
      <c r="C1561" s="3" t="s">
        <v>125</v>
      </c>
      <c r="D1561" s="3" t="s">
        <v>128</v>
      </c>
      <c r="E1561" s="3">
        <v>45</v>
      </c>
      <c r="G1561" s="57"/>
    </row>
    <row r="1562" spans="1:7" ht="12.75" x14ac:dyDescent="0.2">
      <c r="A1562" s="3">
        <v>49</v>
      </c>
      <c r="B1562" s="4" t="s">
        <v>79</v>
      </c>
      <c r="C1562" s="3" t="s">
        <v>125</v>
      </c>
      <c r="D1562" s="3" t="s">
        <v>353</v>
      </c>
      <c r="E1562" s="3">
        <v>0</v>
      </c>
      <c r="G1562" s="57"/>
    </row>
    <row r="1563" spans="1:7" ht="12.75" x14ac:dyDescent="0.2">
      <c r="A1563" s="3">
        <v>49</v>
      </c>
      <c r="B1563" s="4" t="s">
        <v>79</v>
      </c>
      <c r="C1563" s="3" t="s">
        <v>125</v>
      </c>
      <c r="D1563" s="3" t="s">
        <v>371</v>
      </c>
      <c r="E1563" s="3">
        <v>9</v>
      </c>
      <c r="G1563" s="57"/>
    </row>
    <row r="1564" spans="1:7" ht="12.75" x14ac:dyDescent="0.2">
      <c r="A1564" s="3">
        <v>49</v>
      </c>
      <c r="B1564" s="4" t="s">
        <v>79</v>
      </c>
      <c r="C1564" s="3" t="s">
        <v>125</v>
      </c>
      <c r="D1564" s="3" t="s">
        <v>14</v>
      </c>
      <c r="E1564" s="3">
        <v>8</v>
      </c>
      <c r="G1564" s="57"/>
    </row>
    <row r="1565" spans="1:7" ht="12.75" x14ac:dyDescent="0.2">
      <c r="A1565" s="3">
        <v>49</v>
      </c>
      <c r="B1565" s="4" t="s">
        <v>79</v>
      </c>
      <c r="C1565" s="3" t="s">
        <v>125</v>
      </c>
      <c r="D1565" s="3" t="s">
        <v>138</v>
      </c>
      <c r="E1565" s="3">
        <v>0</v>
      </c>
      <c r="F1565">
        <f>SUM(E1558:E1565)</f>
        <v>185</v>
      </c>
      <c r="G1565" s="57"/>
    </row>
    <row r="1566" spans="1:7" ht="12.75" x14ac:dyDescent="0.2">
      <c r="A1566" s="3">
        <v>53</v>
      </c>
      <c r="B1566" s="4" t="s">
        <v>80</v>
      </c>
      <c r="C1566" s="3" t="s">
        <v>347</v>
      </c>
      <c r="D1566" s="3" t="s">
        <v>366</v>
      </c>
      <c r="E1566" s="3">
        <v>0</v>
      </c>
      <c r="G1566" s="59">
        <v>258</v>
      </c>
    </row>
    <row r="1567" spans="1:7" ht="12.75" x14ac:dyDescent="0.2">
      <c r="A1567" s="3">
        <v>53</v>
      </c>
      <c r="B1567" s="4" t="s">
        <v>80</v>
      </c>
      <c r="C1567" s="3" t="s">
        <v>347</v>
      </c>
      <c r="D1567" s="3" t="s">
        <v>274</v>
      </c>
      <c r="E1567" s="3">
        <v>0</v>
      </c>
      <c r="G1567" s="57"/>
    </row>
    <row r="1568" spans="1:7" ht="12.75" x14ac:dyDescent="0.2">
      <c r="A1568" s="3">
        <v>53</v>
      </c>
      <c r="B1568" s="4" t="s">
        <v>80</v>
      </c>
      <c r="C1568" s="3" t="s">
        <v>347</v>
      </c>
      <c r="D1568" s="3" t="s">
        <v>367</v>
      </c>
      <c r="E1568" s="3">
        <v>1</v>
      </c>
      <c r="G1568" s="57"/>
    </row>
    <row r="1569" spans="1:7" ht="12.75" x14ac:dyDescent="0.2">
      <c r="A1569" s="3">
        <v>53</v>
      </c>
      <c r="B1569" s="4" t="s">
        <v>80</v>
      </c>
      <c r="C1569" s="3" t="s">
        <v>347</v>
      </c>
      <c r="D1569" s="3" t="s">
        <v>368</v>
      </c>
      <c r="E1569" s="3">
        <v>0</v>
      </c>
      <c r="G1569" s="57"/>
    </row>
    <row r="1570" spans="1:7" ht="12.75" x14ac:dyDescent="0.2">
      <c r="A1570" s="3">
        <v>53</v>
      </c>
      <c r="B1570" s="4" t="s">
        <v>80</v>
      </c>
      <c r="C1570" s="3" t="s">
        <v>347</v>
      </c>
      <c r="D1570" s="3" t="s">
        <v>283</v>
      </c>
      <c r="E1570" s="3">
        <v>113</v>
      </c>
      <c r="G1570" s="57"/>
    </row>
    <row r="1571" spans="1:7" ht="12.75" x14ac:dyDescent="0.2">
      <c r="A1571" s="3">
        <v>53</v>
      </c>
      <c r="B1571" s="4" t="s">
        <v>80</v>
      </c>
      <c r="C1571" s="3" t="s">
        <v>347</v>
      </c>
      <c r="D1571" s="3" t="s">
        <v>315</v>
      </c>
      <c r="E1571" s="3">
        <v>0</v>
      </c>
      <c r="G1571" s="57"/>
    </row>
    <row r="1572" spans="1:7" ht="12.75" x14ac:dyDescent="0.2">
      <c r="A1572" s="3">
        <v>53</v>
      </c>
      <c r="B1572" s="4" t="s">
        <v>80</v>
      </c>
      <c r="C1572" s="3" t="s">
        <v>347</v>
      </c>
      <c r="D1572" s="3" t="s">
        <v>316</v>
      </c>
      <c r="E1572" s="3">
        <v>5</v>
      </c>
      <c r="G1572" s="57"/>
    </row>
    <row r="1573" spans="1:7" ht="12.75" x14ac:dyDescent="0.2">
      <c r="A1573" s="3">
        <v>53</v>
      </c>
      <c r="B1573" s="4" t="s">
        <v>80</v>
      </c>
      <c r="C1573" s="3" t="s">
        <v>347</v>
      </c>
      <c r="D1573" s="3" t="s">
        <v>369</v>
      </c>
      <c r="E1573" s="3">
        <v>1</v>
      </c>
      <c r="G1573" s="57"/>
    </row>
    <row r="1574" spans="1:7" ht="12.75" x14ac:dyDescent="0.2">
      <c r="A1574" s="3">
        <v>53</v>
      </c>
      <c r="B1574" s="4" t="s">
        <v>80</v>
      </c>
      <c r="C1574" s="3" t="s">
        <v>347</v>
      </c>
      <c r="D1574" s="3" t="s">
        <v>128</v>
      </c>
      <c r="E1574" s="3">
        <v>51</v>
      </c>
      <c r="G1574" s="57"/>
    </row>
    <row r="1575" spans="1:7" ht="12.75" x14ac:dyDescent="0.2">
      <c r="A1575" s="3">
        <v>53</v>
      </c>
      <c r="B1575" s="4" t="s">
        <v>80</v>
      </c>
      <c r="C1575" s="3" t="s">
        <v>347</v>
      </c>
      <c r="D1575" s="3" t="s">
        <v>370</v>
      </c>
      <c r="E1575" s="3">
        <v>0</v>
      </c>
      <c r="G1575" s="57"/>
    </row>
    <row r="1576" spans="1:7" ht="12.75" x14ac:dyDescent="0.2">
      <c r="A1576" s="3">
        <v>53</v>
      </c>
      <c r="B1576" s="4" t="s">
        <v>80</v>
      </c>
      <c r="C1576" s="3" t="s">
        <v>347</v>
      </c>
      <c r="D1576" s="3" t="s">
        <v>353</v>
      </c>
      <c r="E1576" s="3">
        <v>0</v>
      </c>
      <c r="G1576" s="57"/>
    </row>
    <row r="1577" spans="1:7" ht="12.75" x14ac:dyDescent="0.2">
      <c r="A1577" s="3">
        <v>53</v>
      </c>
      <c r="B1577" s="4" t="s">
        <v>80</v>
      </c>
      <c r="C1577" s="3" t="s">
        <v>347</v>
      </c>
      <c r="D1577" s="3" t="s">
        <v>371</v>
      </c>
      <c r="E1577" s="3">
        <v>36</v>
      </c>
      <c r="G1577" s="57"/>
    </row>
    <row r="1578" spans="1:7" ht="12.75" x14ac:dyDescent="0.2">
      <c r="A1578" s="3">
        <v>53</v>
      </c>
      <c r="B1578" s="4" t="s">
        <v>80</v>
      </c>
      <c r="C1578" s="3" t="s">
        <v>347</v>
      </c>
      <c r="D1578" s="3" t="s">
        <v>14</v>
      </c>
      <c r="E1578" s="3">
        <v>4</v>
      </c>
      <c r="G1578" s="57"/>
    </row>
    <row r="1579" spans="1:7" ht="12.75" x14ac:dyDescent="0.2">
      <c r="A1579" s="3">
        <v>53</v>
      </c>
      <c r="B1579" s="4" t="s">
        <v>80</v>
      </c>
      <c r="C1579" s="3" t="s">
        <v>347</v>
      </c>
      <c r="D1579" s="3" t="s">
        <v>138</v>
      </c>
      <c r="E1579" s="3">
        <v>0</v>
      </c>
      <c r="F1579">
        <f>SUM(E1566:E1579)</f>
        <v>211</v>
      </c>
      <c r="G1579" s="57"/>
    </row>
    <row r="1580" spans="1:7" ht="12.75" x14ac:dyDescent="0.2">
      <c r="A1580" s="3">
        <v>53</v>
      </c>
      <c r="B1580" s="4" t="s">
        <v>80</v>
      </c>
      <c r="C1580" s="3" t="s">
        <v>273</v>
      </c>
      <c r="D1580" s="3" t="s">
        <v>274</v>
      </c>
      <c r="E1580" s="3">
        <v>0</v>
      </c>
      <c r="G1580" s="57"/>
    </row>
    <row r="1581" spans="1:7" ht="12.75" x14ac:dyDescent="0.2">
      <c r="A1581" s="3">
        <v>53</v>
      </c>
      <c r="B1581" s="4" t="s">
        <v>80</v>
      </c>
      <c r="C1581" s="3" t="s">
        <v>273</v>
      </c>
      <c r="D1581" s="3" t="s">
        <v>283</v>
      </c>
      <c r="E1581" s="3">
        <v>149</v>
      </c>
      <c r="G1581" s="57"/>
    </row>
    <row r="1582" spans="1:7" ht="12.75" x14ac:dyDescent="0.2">
      <c r="A1582" s="3">
        <v>53</v>
      </c>
      <c r="B1582" s="4" t="s">
        <v>80</v>
      </c>
      <c r="C1582" s="3" t="s">
        <v>273</v>
      </c>
      <c r="D1582" s="3" t="s">
        <v>315</v>
      </c>
      <c r="E1582" s="3">
        <v>0</v>
      </c>
      <c r="G1582" s="57"/>
    </row>
    <row r="1583" spans="1:7" ht="12.75" x14ac:dyDescent="0.2">
      <c r="A1583" s="3">
        <v>53</v>
      </c>
      <c r="B1583" s="4" t="s">
        <v>80</v>
      </c>
      <c r="C1583" s="3" t="s">
        <v>273</v>
      </c>
      <c r="D1583" s="3" t="s">
        <v>128</v>
      </c>
      <c r="E1583" s="3">
        <v>48</v>
      </c>
      <c r="G1583" s="57"/>
    </row>
    <row r="1584" spans="1:7" ht="12.75" x14ac:dyDescent="0.2">
      <c r="A1584" s="3">
        <v>53</v>
      </c>
      <c r="B1584" s="4" t="s">
        <v>80</v>
      </c>
      <c r="C1584" s="3" t="s">
        <v>273</v>
      </c>
      <c r="D1584" s="3" t="s">
        <v>353</v>
      </c>
      <c r="E1584" s="3">
        <v>0</v>
      </c>
      <c r="G1584" s="57"/>
    </row>
    <row r="1585" spans="1:7" ht="12.75" x14ac:dyDescent="0.2">
      <c r="A1585" s="3">
        <v>53</v>
      </c>
      <c r="B1585" s="4" t="s">
        <v>80</v>
      </c>
      <c r="C1585" s="3" t="s">
        <v>273</v>
      </c>
      <c r="D1585" s="3" t="s">
        <v>371</v>
      </c>
      <c r="E1585" s="3">
        <v>8</v>
      </c>
      <c r="G1585" s="57"/>
    </row>
    <row r="1586" spans="1:7" ht="12.75" x14ac:dyDescent="0.2">
      <c r="A1586" s="3">
        <v>53</v>
      </c>
      <c r="B1586" s="4" t="s">
        <v>80</v>
      </c>
      <c r="C1586" s="3" t="s">
        <v>273</v>
      </c>
      <c r="D1586" s="3" t="s">
        <v>14</v>
      </c>
      <c r="E1586" s="3">
        <v>6</v>
      </c>
      <c r="G1586" s="57"/>
    </row>
    <row r="1587" spans="1:7" ht="12.75" x14ac:dyDescent="0.2">
      <c r="A1587" s="3">
        <v>53</v>
      </c>
      <c r="B1587" s="4" t="s">
        <v>80</v>
      </c>
      <c r="C1587" s="3" t="s">
        <v>273</v>
      </c>
      <c r="D1587" s="3" t="s">
        <v>138</v>
      </c>
      <c r="E1587" s="3">
        <v>0</v>
      </c>
      <c r="F1587">
        <f>SUM(E1580:E1587)</f>
        <v>211</v>
      </c>
      <c r="G1587" s="57"/>
    </row>
    <row r="1588" spans="1:7" ht="12.75" x14ac:dyDescent="0.2">
      <c r="A1588" s="3">
        <v>53</v>
      </c>
      <c r="B1588" s="4" t="s">
        <v>80</v>
      </c>
      <c r="C1588" s="3" t="s">
        <v>125</v>
      </c>
      <c r="D1588" s="3" t="s">
        <v>274</v>
      </c>
      <c r="E1588" s="3">
        <v>0</v>
      </c>
      <c r="G1588" s="57"/>
    </row>
    <row r="1589" spans="1:7" ht="12.75" x14ac:dyDescent="0.2">
      <c r="A1589" s="3">
        <v>53</v>
      </c>
      <c r="B1589" s="4" t="s">
        <v>80</v>
      </c>
      <c r="C1589" s="3" t="s">
        <v>125</v>
      </c>
      <c r="D1589" s="3" t="s">
        <v>283</v>
      </c>
      <c r="E1589" s="3">
        <v>152</v>
      </c>
      <c r="G1589" s="57"/>
    </row>
    <row r="1590" spans="1:7" ht="12.75" x14ac:dyDescent="0.2">
      <c r="A1590" s="3">
        <v>53</v>
      </c>
      <c r="B1590" s="4" t="s">
        <v>80</v>
      </c>
      <c r="C1590" s="3" t="s">
        <v>125</v>
      </c>
      <c r="D1590" s="3" t="s">
        <v>315</v>
      </c>
      <c r="E1590" s="3">
        <v>0</v>
      </c>
      <c r="G1590" s="57"/>
    </row>
    <row r="1591" spans="1:7" ht="12.75" x14ac:dyDescent="0.2">
      <c r="A1591" s="3">
        <v>53</v>
      </c>
      <c r="B1591" s="4" t="s">
        <v>80</v>
      </c>
      <c r="C1591" s="3" t="s">
        <v>125</v>
      </c>
      <c r="D1591" s="3" t="s">
        <v>128</v>
      </c>
      <c r="E1591" s="3">
        <v>44</v>
      </c>
      <c r="G1591" s="57"/>
    </row>
    <row r="1592" spans="1:7" ht="12.75" x14ac:dyDescent="0.2">
      <c r="A1592" s="3">
        <v>53</v>
      </c>
      <c r="B1592" s="4" t="s">
        <v>80</v>
      </c>
      <c r="C1592" s="3" t="s">
        <v>125</v>
      </c>
      <c r="D1592" s="3" t="s">
        <v>353</v>
      </c>
      <c r="E1592" s="3">
        <v>0</v>
      </c>
      <c r="G1592" s="57"/>
    </row>
    <row r="1593" spans="1:7" ht="12.75" x14ac:dyDescent="0.2">
      <c r="A1593" s="3">
        <v>53</v>
      </c>
      <c r="B1593" s="4" t="s">
        <v>80</v>
      </c>
      <c r="C1593" s="3" t="s">
        <v>125</v>
      </c>
      <c r="D1593" s="3" t="s">
        <v>371</v>
      </c>
      <c r="E1593" s="3">
        <v>8</v>
      </c>
      <c r="G1593" s="57"/>
    </row>
    <row r="1594" spans="1:7" ht="12.75" x14ac:dyDescent="0.2">
      <c r="A1594" s="3">
        <v>53</v>
      </c>
      <c r="B1594" s="4" t="s">
        <v>80</v>
      </c>
      <c r="C1594" s="3" t="s">
        <v>125</v>
      </c>
      <c r="D1594" s="3" t="s">
        <v>14</v>
      </c>
      <c r="E1594" s="3">
        <v>7</v>
      </c>
      <c r="G1594" s="57"/>
    </row>
    <row r="1595" spans="1:7" ht="12.75" x14ac:dyDescent="0.2">
      <c r="A1595" s="3">
        <v>53</v>
      </c>
      <c r="B1595" s="4" t="s">
        <v>80</v>
      </c>
      <c r="C1595" s="3" t="s">
        <v>125</v>
      </c>
      <c r="D1595" s="3" t="s">
        <v>138</v>
      </c>
      <c r="E1595" s="3">
        <v>0</v>
      </c>
      <c r="F1595">
        <f>SUM(E1588:E1595)</f>
        <v>211</v>
      </c>
      <c r="G1595" s="57"/>
    </row>
    <row r="1596" spans="1:7" ht="12.75" x14ac:dyDescent="0.2">
      <c r="A1596" s="3">
        <v>54</v>
      </c>
      <c r="B1596" s="4" t="s">
        <v>81</v>
      </c>
      <c r="C1596" s="3" t="s">
        <v>347</v>
      </c>
      <c r="D1596" s="3" t="s">
        <v>366</v>
      </c>
      <c r="E1596" s="3">
        <v>0</v>
      </c>
      <c r="G1596" s="59">
        <v>202</v>
      </c>
    </row>
    <row r="1597" spans="1:7" ht="12.75" x14ac:dyDescent="0.2">
      <c r="A1597" s="3">
        <v>54</v>
      </c>
      <c r="B1597" s="4" t="s">
        <v>81</v>
      </c>
      <c r="C1597" s="3" t="s">
        <v>347</v>
      </c>
      <c r="D1597" s="3" t="s">
        <v>274</v>
      </c>
      <c r="E1597" s="3">
        <v>0</v>
      </c>
      <c r="G1597" s="57"/>
    </row>
    <row r="1598" spans="1:7" ht="12.75" x14ac:dyDescent="0.2">
      <c r="A1598" s="3">
        <v>54</v>
      </c>
      <c r="B1598" s="4" t="s">
        <v>81</v>
      </c>
      <c r="C1598" s="3" t="s">
        <v>347</v>
      </c>
      <c r="D1598" s="3" t="s">
        <v>367</v>
      </c>
      <c r="E1598" s="3">
        <v>0</v>
      </c>
      <c r="G1598" s="57"/>
    </row>
    <row r="1599" spans="1:7" ht="12.75" x14ac:dyDescent="0.2">
      <c r="A1599" s="3">
        <v>54</v>
      </c>
      <c r="B1599" s="4" t="s">
        <v>81</v>
      </c>
      <c r="C1599" s="3" t="s">
        <v>347</v>
      </c>
      <c r="D1599" s="3" t="s">
        <v>368</v>
      </c>
      <c r="E1599" s="3">
        <v>1</v>
      </c>
      <c r="G1599" s="57"/>
    </row>
    <row r="1600" spans="1:7" ht="12.75" x14ac:dyDescent="0.2">
      <c r="A1600" s="3">
        <v>54</v>
      </c>
      <c r="B1600" s="4" t="s">
        <v>81</v>
      </c>
      <c r="C1600" s="3" t="s">
        <v>347</v>
      </c>
      <c r="D1600" s="3" t="s">
        <v>283</v>
      </c>
      <c r="E1600" s="3">
        <v>96</v>
      </c>
      <c r="G1600" s="57"/>
    </row>
    <row r="1601" spans="1:7" ht="12.75" x14ac:dyDescent="0.2">
      <c r="A1601" s="3">
        <v>54</v>
      </c>
      <c r="B1601" s="4" t="s">
        <v>81</v>
      </c>
      <c r="C1601" s="3" t="s">
        <v>347</v>
      </c>
      <c r="D1601" s="3" t="s">
        <v>315</v>
      </c>
      <c r="E1601" s="3">
        <v>0</v>
      </c>
      <c r="G1601" s="57"/>
    </row>
    <row r="1602" spans="1:7" ht="12.75" x14ac:dyDescent="0.2">
      <c r="A1602" s="3">
        <v>54</v>
      </c>
      <c r="B1602" s="4" t="s">
        <v>81</v>
      </c>
      <c r="C1602" s="3" t="s">
        <v>347</v>
      </c>
      <c r="D1602" s="3" t="s">
        <v>316</v>
      </c>
      <c r="E1602" s="3">
        <v>1</v>
      </c>
      <c r="G1602" s="57"/>
    </row>
    <row r="1603" spans="1:7" ht="12.75" x14ac:dyDescent="0.2">
      <c r="A1603" s="3">
        <v>54</v>
      </c>
      <c r="B1603" s="4" t="s">
        <v>81</v>
      </c>
      <c r="C1603" s="3" t="s">
        <v>347</v>
      </c>
      <c r="D1603" s="3" t="s">
        <v>369</v>
      </c>
      <c r="E1603" s="3">
        <v>0</v>
      </c>
      <c r="G1603" s="57"/>
    </row>
    <row r="1604" spans="1:7" ht="12.75" x14ac:dyDescent="0.2">
      <c r="A1604" s="3">
        <v>54</v>
      </c>
      <c r="B1604" s="4" t="s">
        <v>81</v>
      </c>
      <c r="C1604" s="3" t="s">
        <v>347</v>
      </c>
      <c r="D1604" s="3" t="s">
        <v>128</v>
      </c>
      <c r="E1604" s="3">
        <v>17</v>
      </c>
      <c r="G1604" s="57"/>
    </row>
    <row r="1605" spans="1:7" ht="12.75" x14ac:dyDescent="0.2">
      <c r="A1605" s="3">
        <v>54</v>
      </c>
      <c r="B1605" s="4" t="s">
        <v>81</v>
      </c>
      <c r="C1605" s="3" t="s">
        <v>347</v>
      </c>
      <c r="D1605" s="3" t="s">
        <v>370</v>
      </c>
      <c r="E1605" s="3">
        <v>0</v>
      </c>
      <c r="G1605" s="57"/>
    </row>
    <row r="1606" spans="1:7" ht="12.75" x14ac:dyDescent="0.2">
      <c r="A1606" s="3">
        <v>54</v>
      </c>
      <c r="B1606" s="4" t="s">
        <v>81</v>
      </c>
      <c r="C1606" s="3" t="s">
        <v>347</v>
      </c>
      <c r="D1606" s="3" t="s">
        <v>353</v>
      </c>
      <c r="E1606" s="3">
        <v>1</v>
      </c>
      <c r="G1606" s="57"/>
    </row>
    <row r="1607" spans="1:7" ht="12.75" x14ac:dyDescent="0.2">
      <c r="A1607" s="3">
        <v>54</v>
      </c>
      <c r="B1607" s="4" t="s">
        <v>81</v>
      </c>
      <c r="C1607" s="3" t="s">
        <v>347</v>
      </c>
      <c r="D1607" s="3" t="s">
        <v>371</v>
      </c>
      <c r="E1607" s="3">
        <v>12</v>
      </c>
      <c r="G1607" s="57"/>
    </row>
    <row r="1608" spans="1:7" ht="12.75" x14ac:dyDescent="0.2">
      <c r="A1608" s="3">
        <v>54</v>
      </c>
      <c r="B1608" s="4" t="s">
        <v>81</v>
      </c>
      <c r="C1608" s="3" t="s">
        <v>347</v>
      </c>
      <c r="D1608" s="3" t="s">
        <v>14</v>
      </c>
      <c r="E1608" s="3">
        <v>7</v>
      </c>
      <c r="G1608" s="57"/>
    </row>
    <row r="1609" spans="1:7" ht="12.75" x14ac:dyDescent="0.2">
      <c r="A1609" s="3">
        <v>54</v>
      </c>
      <c r="B1609" s="4" t="s">
        <v>81</v>
      </c>
      <c r="C1609" s="3" t="s">
        <v>347</v>
      </c>
      <c r="D1609" s="3" t="s">
        <v>138</v>
      </c>
      <c r="E1609" s="3">
        <v>0</v>
      </c>
      <c r="F1609">
        <f>SUM(E1596:E1609)</f>
        <v>135</v>
      </c>
      <c r="G1609" s="57"/>
    </row>
    <row r="1610" spans="1:7" ht="12.75" x14ac:dyDescent="0.2">
      <c r="A1610" s="3">
        <v>54</v>
      </c>
      <c r="B1610" s="4" t="s">
        <v>81</v>
      </c>
      <c r="C1610" s="3" t="s">
        <v>273</v>
      </c>
      <c r="D1610" s="3" t="s">
        <v>274</v>
      </c>
      <c r="E1610" s="3">
        <v>0</v>
      </c>
      <c r="G1610" s="57"/>
    </row>
    <row r="1611" spans="1:7" ht="12.75" x14ac:dyDescent="0.2">
      <c r="A1611" s="3">
        <v>54</v>
      </c>
      <c r="B1611" s="4" t="s">
        <v>81</v>
      </c>
      <c r="C1611" s="3" t="s">
        <v>273</v>
      </c>
      <c r="D1611" s="3" t="s">
        <v>283</v>
      </c>
      <c r="E1611" s="3">
        <v>115</v>
      </c>
      <c r="G1611" s="57"/>
    </row>
    <row r="1612" spans="1:7" ht="12.75" x14ac:dyDescent="0.2">
      <c r="A1612" s="3">
        <v>54</v>
      </c>
      <c r="B1612" s="4" t="s">
        <v>81</v>
      </c>
      <c r="C1612" s="3" t="s">
        <v>273</v>
      </c>
      <c r="D1612" s="3" t="s">
        <v>315</v>
      </c>
      <c r="E1612" s="3">
        <v>0</v>
      </c>
      <c r="G1612" s="57"/>
    </row>
    <row r="1613" spans="1:7" ht="12.75" x14ac:dyDescent="0.2">
      <c r="A1613" s="3">
        <v>54</v>
      </c>
      <c r="B1613" s="4" t="s">
        <v>81</v>
      </c>
      <c r="C1613" s="3" t="s">
        <v>273</v>
      </c>
      <c r="D1613" s="3" t="s">
        <v>128</v>
      </c>
      <c r="E1613" s="3">
        <v>11</v>
      </c>
      <c r="G1613" s="57"/>
    </row>
    <row r="1614" spans="1:7" ht="12.75" x14ac:dyDescent="0.2">
      <c r="A1614" s="3">
        <v>54</v>
      </c>
      <c r="B1614" s="4" t="s">
        <v>81</v>
      </c>
      <c r="C1614" s="3" t="s">
        <v>273</v>
      </c>
      <c r="D1614" s="3" t="s">
        <v>353</v>
      </c>
      <c r="E1614" s="3">
        <v>1</v>
      </c>
      <c r="G1614" s="57"/>
    </row>
    <row r="1615" spans="1:7" ht="12.75" x14ac:dyDescent="0.2">
      <c r="A1615" s="3">
        <v>54</v>
      </c>
      <c r="B1615" s="4" t="s">
        <v>81</v>
      </c>
      <c r="C1615" s="3" t="s">
        <v>273</v>
      </c>
      <c r="D1615" s="3" t="s">
        <v>371</v>
      </c>
      <c r="E1615" s="3">
        <v>4</v>
      </c>
      <c r="G1615" s="57"/>
    </row>
    <row r="1616" spans="1:7" ht="12.75" x14ac:dyDescent="0.2">
      <c r="A1616" s="3">
        <v>54</v>
      </c>
      <c r="B1616" s="4" t="s">
        <v>81</v>
      </c>
      <c r="C1616" s="3" t="s">
        <v>273</v>
      </c>
      <c r="D1616" s="3" t="s">
        <v>14</v>
      </c>
      <c r="E1616" s="3">
        <v>4</v>
      </c>
      <c r="G1616" s="57"/>
    </row>
    <row r="1617" spans="1:7" ht="12.75" x14ac:dyDescent="0.2">
      <c r="A1617" s="3">
        <v>54</v>
      </c>
      <c r="B1617" s="4" t="s">
        <v>81</v>
      </c>
      <c r="C1617" s="3" t="s">
        <v>273</v>
      </c>
      <c r="D1617" s="3" t="s">
        <v>138</v>
      </c>
      <c r="E1617" s="3">
        <v>0</v>
      </c>
      <c r="F1617">
        <f>SUM(E1610:E1617)</f>
        <v>135</v>
      </c>
      <c r="G1617" s="57"/>
    </row>
    <row r="1618" spans="1:7" ht="12.75" x14ac:dyDescent="0.2">
      <c r="A1618" s="3">
        <v>54</v>
      </c>
      <c r="B1618" s="4" t="s">
        <v>81</v>
      </c>
      <c r="C1618" s="3" t="s">
        <v>125</v>
      </c>
      <c r="D1618" s="3" t="s">
        <v>274</v>
      </c>
      <c r="E1618" s="3">
        <v>0</v>
      </c>
      <c r="G1618" s="57"/>
    </row>
    <row r="1619" spans="1:7" ht="12.75" x14ac:dyDescent="0.2">
      <c r="A1619" s="3">
        <v>54</v>
      </c>
      <c r="B1619" s="4" t="s">
        <v>81</v>
      </c>
      <c r="C1619" s="3" t="s">
        <v>125</v>
      </c>
      <c r="D1619" s="3" t="s">
        <v>283</v>
      </c>
      <c r="E1619" s="3">
        <v>116</v>
      </c>
      <c r="G1619" s="57"/>
    </row>
    <row r="1620" spans="1:7" ht="12.75" x14ac:dyDescent="0.2">
      <c r="A1620" s="3">
        <v>54</v>
      </c>
      <c r="B1620" s="4" t="s">
        <v>81</v>
      </c>
      <c r="C1620" s="3" t="s">
        <v>125</v>
      </c>
      <c r="D1620" s="3" t="s">
        <v>315</v>
      </c>
      <c r="E1620" s="3">
        <v>0</v>
      </c>
      <c r="G1620" s="57"/>
    </row>
    <row r="1621" spans="1:7" ht="12.75" x14ac:dyDescent="0.2">
      <c r="A1621" s="3">
        <v>54</v>
      </c>
      <c r="B1621" s="4" t="s">
        <v>81</v>
      </c>
      <c r="C1621" s="3" t="s">
        <v>125</v>
      </c>
      <c r="D1621" s="3" t="s">
        <v>128</v>
      </c>
      <c r="E1621" s="3">
        <v>11</v>
      </c>
      <c r="G1621" s="57"/>
    </row>
    <row r="1622" spans="1:7" ht="12.75" x14ac:dyDescent="0.2">
      <c r="A1622" s="3">
        <v>54</v>
      </c>
      <c r="B1622" s="4" t="s">
        <v>81</v>
      </c>
      <c r="C1622" s="3" t="s">
        <v>125</v>
      </c>
      <c r="D1622" s="3" t="s">
        <v>353</v>
      </c>
      <c r="E1622" s="3">
        <v>1</v>
      </c>
      <c r="G1622" s="57"/>
    </row>
    <row r="1623" spans="1:7" ht="12.75" x14ac:dyDescent="0.2">
      <c r="A1623" s="3">
        <v>54</v>
      </c>
      <c r="B1623" s="4" t="s">
        <v>81</v>
      </c>
      <c r="C1623" s="3" t="s">
        <v>125</v>
      </c>
      <c r="D1623" s="3" t="s">
        <v>371</v>
      </c>
      <c r="E1623" s="3">
        <v>4</v>
      </c>
      <c r="G1623" s="57"/>
    </row>
    <row r="1624" spans="1:7" ht="12.75" x14ac:dyDescent="0.2">
      <c r="A1624" s="3">
        <v>54</v>
      </c>
      <c r="B1624" s="4" t="s">
        <v>81</v>
      </c>
      <c r="C1624" s="3" t="s">
        <v>125</v>
      </c>
      <c r="D1624" s="3" t="s">
        <v>14</v>
      </c>
      <c r="E1624" s="3">
        <v>3</v>
      </c>
      <c r="G1624" s="57"/>
    </row>
    <row r="1625" spans="1:7" ht="12.75" x14ac:dyDescent="0.2">
      <c r="A1625" s="3">
        <v>54</v>
      </c>
      <c r="B1625" s="4" t="s">
        <v>81</v>
      </c>
      <c r="C1625" s="3" t="s">
        <v>125</v>
      </c>
      <c r="D1625" s="3" t="s">
        <v>138</v>
      </c>
      <c r="E1625" s="3">
        <v>0</v>
      </c>
      <c r="F1625">
        <f>SUM(E1618:E1625)</f>
        <v>135</v>
      </c>
      <c r="G1625" s="57"/>
    </row>
    <row r="1626" spans="1:7" ht="12.75" x14ac:dyDescent="0.2">
      <c r="A1626" s="3">
        <v>55</v>
      </c>
      <c r="B1626" s="4" t="s">
        <v>82</v>
      </c>
      <c r="C1626" s="3" t="s">
        <v>347</v>
      </c>
      <c r="D1626" s="3" t="s">
        <v>366</v>
      </c>
      <c r="E1626" s="3">
        <v>1</v>
      </c>
      <c r="G1626" s="59">
        <v>319</v>
      </c>
    </row>
    <row r="1627" spans="1:7" ht="12.75" x14ac:dyDescent="0.2">
      <c r="A1627" s="3">
        <v>55</v>
      </c>
      <c r="B1627" s="4" t="s">
        <v>82</v>
      </c>
      <c r="C1627" s="3" t="s">
        <v>347</v>
      </c>
      <c r="D1627" s="3" t="s">
        <v>274</v>
      </c>
      <c r="E1627" s="3">
        <v>0</v>
      </c>
      <c r="G1627" s="57"/>
    </row>
    <row r="1628" spans="1:7" ht="12.75" x14ac:dyDescent="0.2">
      <c r="A1628" s="3">
        <v>55</v>
      </c>
      <c r="B1628" s="4" t="s">
        <v>82</v>
      </c>
      <c r="C1628" s="3" t="s">
        <v>347</v>
      </c>
      <c r="D1628" s="3" t="s">
        <v>367</v>
      </c>
      <c r="E1628" s="3">
        <v>3</v>
      </c>
      <c r="G1628" s="57"/>
    </row>
    <row r="1629" spans="1:7" ht="12.75" x14ac:dyDescent="0.2">
      <c r="A1629" s="3">
        <v>55</v>
      </c>
      <c r="B1629" s="4" t="s">
        <v>82</v>
      </c>
      <c r="C1629" s="3" t="s">
        <v>347</v>
      </c>
      <c r="D1629" s="3" t="s">
        <v>368</v>
      </c>
      <c r="E1629" s="3">
        <v>0</v>
      </c>
      <c r="G1629" s="57"/>
    </row>
    <row r="1630" spans="1:7" ht="12.75" x14ac:dyDescent="0.2">
      <c r="A1630" s="3">
        <v>55</v>
      </c>
      <c r="B1630" s="4" t="s">
        <v>82</v>
      </c>
      <c r="C1630" s="3" t="s">
        <v>347</v>
      </c>
      <c r="D1630" s="3" t="s">
        <v>283</v>
      </c>
      <c r="E1630" s="3">
        <v>100</v>
      </c>
      <c r="G1630" s="57"/>
    </row>
    <row r="1631" spans="1:7" ht="12.75" x14ac:dyDescent="0.2">
      <c r="A1631" s="3">
        <v>55</v>
      </c>
      <c r="B1631" s="4" t="s">
        <v>82</v>
      </c>
      <c r="C1631" s="3" t="s">
        <v>347</v>
      </c>
      <c r="D1631" s="3" t="s">
        <v>315</v>
      </c>
      <c r="E1631" s="3">
        <v>7</v>
      </c>
      <c r="G1631" s="57"/>
    </row>
    <row r="1632" spans="1:7" ht="12.75" x14ac:dyDescent="0.2">
      <c r="A1632" s="3">
        <v>55</v>
      </c>
      <c r="B1632" s="4" t="s">
        <v>82</v>
      </c>
      <c r="C1632" s="3" t="s">
        <v>347</v>
      </c>
      <c r="D1632" s="3" t="s">
        <v>316</v>
      </c>
      <c r="E1632" s="3">
        <v>4</v>
      </c>
      <c r="G1632" s="57"/>
    </row>
    <row r="1633" spans="1:7" ht="12.75" x14ac:dyDescent="0.2">
      <c r="A1633" s="3">
        <v>55</v>
      </c>
      <c r="B1633" s="4" t="s">
        <v>82</v>
      </c>
      <c r="C1633" s="3" t="s">
        <v>347</v>
      </c>
      <c r="D1633" s="3" t="s">
        <v>369</v>
      </c>
      <c r="E1633" s="3">
        <v>1</v>
      </c>
      <c r="G1633" s="57"/>
    </row>
    <row r="1634" spans="1:7" ht="12.75" x14ac:dyDescent="0.2">
      <c r="A1634" s="3">
        <v>55</v>
      </c>
      <c r="B1634" s="4" t="s">
        <v>82</v>
      </c>
      <c r="C1634" s="3" t="s">
        <v>347</v>
      </c>
      <c r="D1634" s="3" t="s">
        <v>128</v>
      </c>
      <c r="E1634" s="3">
        <v>110</v>
      </c>
      <c r="G1634" s="57"/>
    </row>
    <row r="1635" spans="1:7" ht="12.75" x14ac:dyDescent="0.2">
      <c r="A1635" s="3">
        <v>55</v>
      </c>
      <c r="B1635" s="4" t="s">
        <v>82</v>
      </c>
      <c r="C1635" s="3" t="s">
        <v>347</v>
      </c>
      <c r="D1635" s="3" t="s">
        <v>370</v>
      </c>
      <c r="E1635" s="3">
        <v>4</v>
      </c>
      <c r="G1635" s="57"/>
    </row>
    <row r="1636" spans="1:7" ht="12.75" x14ac:dyDescent="0.2">
      <c r="A1636" s="3">
        <v>55</v>
      </c>
      <c r="B1636" s="4" t="s">
        <v>82</v>
      </c>
      <c r="C1636" s="3" t="s">
        <v>347</v>
      </c>
      <c r="D1636" s="3" t="s">
        <v>353</v>
      </c>
      <c r="E1636" s="3">
        <v>0</v>
      </c>
      <c r="G1636" s="57"/>
    </row>
    <row r="1637" spans="1:7" ht="12.75" x14ac:dyDescent="0.2">
      <c r="A1637" s="3">
        <v>55</v>
      </c>
      <c r="B1637" s="4" t="s">
        <v>82</v>
      </c>
      <c r="C1637" s="3" t="s">
        <v>347</v>
      </c>
      <c r="D1637" s="3" t="s">
        <v>371</v>
      </c>
      <c r="E1637" s="3">
        <v>46</v>
      </c>
      <c r="G1637" s="57"/>
    </row>
    <row r="1638" spans="1:7" ht="12.75" x14ac:dyDescent="0.2">
      <c r="A1638" s="3">
        <v>55</v>
      </c>
      <c r="B1638" s="4" t="s">
        <v>82</v>
      </c>
      <c r="C1638" s="3" t="s">
        <v>347</v>
      </c>
      <c r="D1638" s="3" t="s">
        <v>14</v>
      </c>
      <c r="E1638" s="3">
        <v>8</v>
      </c>
      <c r="G1638" s="57"/>
    </row>
    <row r="1639" spans="1:7" ht="12.75" x14ac:dyDescent="0.2">
      <c r="A1639" s="3">
        <v>55</v>
      </c>
      <c r="B1639" s="4" t="s">
        <v>82</v>
      </c>
      <c r="C1639" s="3" t="s">
        <v>347</v>
      </c>
      <c r="D1639" s="3" t="s">
        <v>138</v>
      </c>
      <c r="E1639" s="3">
        <v>2</v>
      </c>
      <c r="F1639">
        <f>SUM(E1626:E1639)</f>
        <v>286</v>
      </c>
      <c r="G1639" s="57"/>
    </row>
    <row r="1640" spans="1:7" ht="12.75" x14ac:dyDescent="0.2">
      <c r="A1640" s="3">
        <v>55</v>
      </c>
      <c r="B1640" s="4" t="s">
        <v>82</v>
      </c>
      <c r="C1640" s="3" t="s">
        <v>273</v>
      </c>
      <c r="D1640" s="3" t="s">
        <v>274</v>
      </c>
      <c r="E1640" s="3">
        <v>0</v>
      </c>
      <c r="G1640" s="57"/>
    </row>
    <row r="1641" spans="1:7" ht="12.75" x14ac:dyDescent="0.2">
      <c r="A1641" s="3">
        <v>55</v>
      </c>
      <c r="B1641" s="4" t="s">
        <v>82</v>
      </c>
      <c r="C1641" s="3" t="s">
        <v>273</v>
      </c>
      <c r="D1641" s="3" t="s">
        <v>283</v>
      </c>
      <c r="E1641" s="3">
        <v>126</v>
      </c>
      <c r="G1641" s="57"/>
    </row>
    <row r="1642" spans="1:7" ht="12.75" x14ac:dyDescent="0.2">
      <c r="A1642" s="3">
        <v>55</v>
      </c>
      <c r="B1642" s="4" t="s">
        <v>82</v>
      </c>
      <c r="C1642" s="3" t="s">
        <v>273</v>
      </c>
      <c r="D1642" s="3" t="s">
        <v>315</v>
      </c>
      <c r="E1642" s="3">
        <v>0</v>
      </c>
      <c r="G1642" s="57"/>
    </row>
    <row r="1643" spans="1:7" ht="12.75" x14ac:dyDescent="0.2">
      <c r="A1643" s="3">
        <v>55</v>
      </c>
      <c r="B1643" s="4" t="s">
        <v>82</v>
      </c>
      <c r="C1643" s="3" t="s">
        <v>273</v>
      </c>
      <c r="D1643" s="3" t="s">
        <v>128</v>
      </c>
      <c r="E1643" s="3">
        <v>117</v>
      </c>
      <c r="G1643" s="57"/>
    </row>
    <row r="1644" spans="1:7" ht="12.75" x14ac:dyDescent="0.2">
      <c r="A1644" s="3">
        <v>55</v>
      </c>
      <c r="B1644" s="4" t="s">
        <v>82</v>
      </c>
      <c r="C1644" s="3" t="s">
        <v>273</v>
      </c>
      <c r="D1644" s="3" t="s">
        <v>353</v>
      </c>
      <c r="E1644" s="3">
        <v>0</v>
      </c>
      <c r="G1644" s="57"/>
    </row>
    <row r="1645" spans="1:7" ht="12.75" x14ac:dyDescent="0.2">
      <c r="A1645" s="3">
        <v>55</v>
      </c>
      <c r="B1645" s="4" t="s">
        <v>82</v>
      </c>
      <c r="C1645" s="3" t="s">
        <v>273</v>
      </c>
      <c r="D1645" s="3" t="s">
        <v>371</v>
      </c>
      <c r="E1645" s="3">
        <v>26</v>
      </c>
      <c r="G1645" s="57"/>
    </row>
    <row r="1646" spans="1:7" ht="12.75" x14ac:dyDescent="0.2">
      <c r="A1646" s="3">
        <v>55</v>
      </c>
      <c r="B1646" s="4" t="s">
        <v>82</v>
      </c>
      <c r="C1646" s="3" t="s">
        <v>273</v>
      </c>
      <c r="D1646" s="3" t="s">
        <v>14</v>
      </c>
      <c r="E1646" s="3">
        <v>15</v>
      </c>
      <c r="G1646" s="57"/>
    </row>
    <row r="1647" spans="1:7" ht="12.75" x14ac:dyDescent="0.2">
      <c r="A1647" s="3">
        <v>55</v>
      </c>
      <c r="B1647" s="4" t="s">
        <v>82</v>
      </c>
      <c r="C1647" s="3" t="s">
        <v>273</v>
      </c>
      <c r="D1647" s="3" t="s">
        <v>138</v>
      </c>
      <c r="E1647" s="3">
        <v>2</v>
      </c>
      <c r="F1647">
        <f>SUM(E1640:E1647)</f>
        <v>286</v>
      </c>
      <c r="G1647" s="57"/>
    </row>
    <row r="1648" spans="1:7" ht="12.75" x14ac:dyDescent="0.2">
      <c r="A1648" s="3">
        <v>55</v>
      </c>
      <c r="B1648" s="4" t="s">
        <v>82</v>
      </c>
      <c r="C1648" s="3" t="s">
        <v>125</v>
      </c>
      <c r="D1648" s="3" t="s">
        <v>274</v>
      </c>
      <c r="E1648" s="3">
        <v>0</v>
      </c>
      <c r="G1648" s="57"/>
    </row>
    <row r="1649" spans="1:7" ht="12.75" x14ac:dyDescent="0.2">
      <c r="A1649" s="3">
        <v>55</v>
      </c>
      <c r="B1649" s="4" t="s">
        <v>82</v>
      </c>
      <c r="C1649" s="3" t="s">
        <v>125</v>
      </c>
      <c r="D1649" s="3" t="s">
        <v>283</v>
      </c>
      <c r="E1649" s="3">
        <v>126</v>
      </c>
      <c r="G1649" s="57"/>
    </row>
    <row r="1650" spans="1:7" ht="12.75" x14ac:dyDescent="0.2">
      <c r="A1650" s="3">
        <v>55</v>
      </c>
      <c r="B1650" s="4" t="s">
        <v>82</v>
      </c>
      <c r="C1650" s="3" t="s">
        <v>125</v>
      </c>
      <c r="D1650" s="3" t="s">
        <v>315</v>
      </c>
      <c r="E1650" s="3">
        <v>0</v>
      </c>
      <c r="G1650" s="57"/>
    </row>
    <row r="1651" spans="1:7" ht="12.75" x14ac:dyDescent="0.2">
      <c r="A1651" s="3">
        <v>55</v>
      </c>
      <c r="B1651" s="4" t="s">
        <v>82</v>
      </c>
      <c r="C1651" s="3" t="s">
        <v>125</v>
      </c>
      <c r="D1651" s="3" t="s">
        <v>128</v>
      </c>
      <c r="E1651" s="3">
        <v>115</v>
      </c>
      <c r="G1651" s="57"/>
    </row>
    <row r="1652" spans="1:7" ht="12.75" x14ac:dyDescent="0.2">
      <c r="A1652" s="3">
        <v>55</v>
      </c>
      <c r="B1652" s="4" t="s">
        <v>82</v>
      </c>
      <c r="C1652" s="3" t="s">
        <v>125</v>
      </c>
      <c r="D1652" s="3" t="s">
        <v>353</v>
      </c>
      <c r="E1652" s="3">
        <v>0</v>
      </c>
      <c r="G1652" s="57"/>
    </row>
    <row r="1653" spans="1:7" ht="12.75" x14ac:dyDescent="0.2">
      <c r="A1653" s="3">
        <v>55</v>
      </c>
      <c r="B1653" s="4" t="s">
        <v>82</v>
      </c>
      <c r="C1653" s="3" t="s">
        <v>125</v>
      </c>
      <c r="D1653" s="3" t="s">
        <v>371</v>
      </c>
      <c r="E1653" s="3">
        <v>27</v>
      </c>
      <c r="G1653" s="57"/>
    </row>
    <row r="1654" spans="1:7" ht="12.75" x14ac:dyDescent="0.2">
      <c r="A1654" s="3">
        <v>55</v>
      </c>
      <c r="B1654" s="4" t="s">
        <v>82</v>
      </c>
      <c r="C1654" s="3" t="s">
        <v>125</v>
      </c>
      <c r="D1654" s="3" t="s">
        <v>14</v>
      </c>
      <c r="E1654" s="3">
        <v>16</v>
      </c>
      <c r="G1654" s="57"/>
    </row>
    <row r="1655" spans="1:7" ht="12.75" x14ac:dyDescent="0.2">
      <c r="A1655" s="3">
        <v>55</v>
      </c>
      <c r="B1655" s="4" t="s">
        <v>82</v>
      </c>
      <c r="C1655" s="3" t="s">
        <v>125</v>
      </c>
      <c r="D1655" s="3" t="s">
        <v>138</v>
      </c>
      <c r="E1655" s="3">
        <v>2</v>
      </c>
      <c r="F1655">
        <f>SUM(E1648:E1655)</f>
        <v>286</v>
      </c>
      <c r="G1655" s="57"/>
    </row>
    <row r="1656" spans="1:7" ht="12.75" x14ac:dyDescent="0.2">
      <c r="A1656" s="3">
        <v>56</v>
      </c>
      <c r="B1656" s="4" t="s">
        <v>83</v>
      </c>
      <c r="C1656" s="3" t="s">
        <v>347</v>
      </c>
      <c r="D1656" s="3" t="s">
        <v>366</v>
      </c>
      <c r="E1656" s="3">
        <v>1</v>
      </c>
      <c r="G1656" s="59">
        <v>469</v>
      </c>
    </row>
    <row r="1657" spans="1:7" ht="12.75" x14ac:dyDescent="0.2">
      <c r="A1657" s="3">
        <v>56</v>
      </c>
      <c r="B1657" s="4" t="s">
        <v>83</v>
      </c>
      <c r="C1657" s="3" t="s">
        <v>347</v>
      </c>
      <c r="D1657" s="3" t="s">
        <v>274</v>
      </c>
      <c r="E1657" s="3">
        <v>0</v>
      </c>
      <c r="G1657" s="57"/>
    </row>
    <row r="1658" spans="1:7" ht="12.75" x14ac:dyDescent="0.2">
      <c r="A1658" s="3">
        <v>56</v>
      </c>
      <c r="B1658" s="4" t="s">
        <v>83</v>
      </c>
      <c r="C1658" s="3" t="s">
        <v>347</v>
      </c>
      <c r="D1658" s="3" t="s">
        <v>367</v>
      </c>
      <c r="E1658" s="3">
        <v>0</v>
      </c>
      <c r="G1658" s="57"/>
    </row>
    <row r="1659" spans="1:7" ht="12.75" x14ac:dyDescent="0.2">
      <c r="A1659" s="3">
        <v>56</v>
      </c>
      <c r="B1659" s="4" t="s">
        <v>83</v>
      </c>
      <c r="C1659" s="3" t="s">
        <v>347</v>
      </c>
      <c r="D1659" s="3" t="s">
        <v>368</v>
      </c>
      <c r="E1659" s="3">
        <v>0</v>
      </c>
      <c r="G1659" s="57"/>
    </row>
    <row r="1660" spans="1:7" ht="12.75" x14ac:dyDescent="0.2">
      <c r="A1660" s="3">
        <v>56</v>
      </c>
      <c r="B1660" s="4" t="s">
        <v>83</v>
      </c>
      <c r="C1660" s="3" t="s">
        <v>347</v>
      </c>
      <c r="D1660" s="3" t="s">
        <v>283</v>
      </c>
      <c r="E1660" s="3">
        <v>182</v>
      </c>
      <c r="G1660" s="57"/>
    </row>
    <row r="1661" spans="1:7" ht="12.75" x14ac:dyDescent="0.2">
      <c r="A1661" s="3">
        <v>56</v>
      </c>
      <c r="B1661" s="4" t="s">
        <v>83</v>
      </c>
      <c r="C1661" s="3" t="s">
        <v>347</v>
      </c>
      <c r="D1661" s="3" t="s">
        <v>315</v>
      </c>
      <c r="E1661" s="3">
        <v>4</v>
      </c>
      <c r="G1661" s="57"/>
    </row>
    <row r="1662" spans="1:7" ht="12.75" x14ac:dyDescent="0.2">
      <c r="A1662" s="3">
        <v>56</v>
      </c>
      <c r="B1662" s="4" t="s">
        <v>83</v>
      </c>
      <c r="C1662" s="3" t="s">
        <v>347</v>
      </c>
      <c r="D1662" s="3" t="s">
        <v>316</v>
      </c>
      <c r="E1662" s="3">
        <v>7</v>
      </c>
      <c r="G1662" s="57"/>
    </row>
    <row r="1663" spans="1:7" ht="12.75" x14ac:dyDescent="0.2">
      <c r="A1663" s="3">
        <v>56</v>
      </c>
      <c r="B1663" s="4" t="s">
        <v>83</v>
      </c>
      <c r="C1663" s="3" t="s">
        <v>347</v>
      </c>
      <c r="D1663" s="3" t="s">
        <v>369</v>
      </c>
      <c r="E1663" s="3">
        <v>1</v>
      </c>
      <c r="G1663" s="57"/>
    </row>
    <row r="1664" spans="1:7" ht="12.75" x14ac:dyDescent="0.2">
      <c r="A1664" s="3">
        <v>56</v>
      </c>
      <c r="B1664" s="4" t="s">
        <v>83</v>
      </c>
      <c r="C1664" s="3" t="s">
        <v>347</v>
      </c>
      <c r="D1664" s="3" t="s">
        <v>128</v>
      </c>
      <c r="E1664" s="3">
        <v>146</v>
      </c>
      <c r="G1664" s="57"/>
    </row>
    <row r="1665" spans="1:8" ht="12.75" x14ac:dyDescent="0.2">
      <c r="A1665" s="3">
        <v>56</v>
      </c>
      <c r="B1665" s="4" t="s">
        <v>83</v>
      </c>
      <c r="C1665" s="3" t="s">
        <v>347</v>
      </c>
      <c r="D1665" s="3" t="s">
        <v>370</v>
      </c>
      <c r="E1665" s="3">
        <v>2</v>
      </c>
      <c r="G1665" s="57"/>
    </row>
    <row r="1666" spans="1:8" ht="12.75" x14ac:dyDescent="0.2">
      <c r="A1666" s="3">
        <v>56</v>
      </c>
      <c r="B1666" s="4" t="s">
        <v>83</v>
      </c>
      <c r="C1666" s="3" t="s">
        <v>347</v>
      </c>
      <c r="D1666" s="3" t="s">
        <v>353</v>
      </c>
      <c r="E1666" s="3">
        <v>3</v>
      </c>
      <c r="G1666" s="57"/>
    </row>
    <row r="1667" spans="1:8" ht="12.75" x14ac:dyDescent="0.2">
      <c r="A1667" s="3">
        <v>56</v>
      </c>
      <c r="B1667" s="4" t="s">
        <v>83</v>
      </c>
      <c r="C1667" s="3" t="s">
        <v>347</v>
      </c>
      <c r="D1667" s="3" t="s">
        <v>371</v>
      </c>
      <c r="E1667" s="3">
        <v>53</v>
      </c>
      <c r="G1667" s="57"/>
      <c r="H1667" s="15"/>
    </row>
    <row r="1668" spans="1:8" ht="12.75" x14ac:dyDescent="0.2">
      <c r="A1668" s="3">
        <v>56</v>
      </c>
      <c r="B1668" s="4" t="s">
        <v>83</v>
      </c>
      <c r="C1668" s="3" t="s">
        <v>347</v>
      </c>
      <c r="D1668" s="3" t="s">
        <v>14</v>
      </c>
      <c r="E1668" s="3">
        <v>10</v>
      </c>
      <c r="G1668" s="57"/>
    </row>
    <row r="1669" spans="1:8" ht="12.75" x14ac:dyDescent="0.2">
      <c r="A1669" s="3">
        <v>56</v>
      </c>
      <c r="B1669" s="4" t="s">
        <v>83</v>
      </c>
      <c r="C1669" s="3" t="s">
        <v>347</v>
      </c>
      <c r="D1669" s="3" t="s">
        <v>138</v>
      </c>
      <c r="E1669" s="3">
        <v>3</v>
      </c>
      <c r="F1669">
        <f>SUM(E1656:E1669)</f>
        <v>412</v>
      </c>
      <c r="G1669" s="57"/>
    </row>
    <row r="1670" spans="1:8" ht="12.75" x14ac:dyDescent="0.2">
      <c r="A1670" s="3">
        <v>56</v>
      </c>
      <c r="B1670" s="4" t="s">
        <v>83</v>
      </c>
      <c r="C1670" s="3" t="s">
        <v>273</v>
      </c>
      <c r="D1670" s="3" t="s">
        <v>274</v>
      </c>
      <c r="E1670" s="3">
        <v>2</v>
      </c>
      <c r="G1670" s="57"/>
    </row>
    <row r="1671" spans="1:8" ht="12.75" x14ac:dyDescent="0.2">
      <c r="A1671" s="3">
        <v>56</v>
      </c>
      <c r="B1671" s="4" t="s">
        <v>83</v>
      </c>
      <c r="C1671" s="3" t="s">
        <v>273</v>
      </c>
      <c r="D1671" s="3" t="s">
        <v>283</v>
      </c>
      <c r="E1671" s="3">
        <v>193</v>
      </c>
      <c r="G1671" s="57"/>
    </row>
    <row r="1672" spans="1:8" ht="12.75" x14ac:dyDescent="0.2">
      <c r="A1672" s="3">
        <v>56</v>
      </c>
      <c r="B1672" s="4" t="s">
        <v>83</v>
      </c>
      <c r="C1672" s="3" t="s">
        <v>273</v>
      </c>
      <c r="D1672" s="3" t="s">
        <v>315</v>
      </c>
      <c r="E1672" s="3">
        <v>1</v>
      </c>
      <c r="G1672" s="57"/>
    </row>
    <row r="1673" spans="1:8" ht="12.75" x14ac:dyDescent="0.2">
      <c r="A1673" s="3">
        <v>56</v>
      </c>
      <c r="B1673" s="4" t="s">
        <v>83</v>
      </c>
      <c r="C1673" s="3" t="s">
        <v>273</v>
      </c>
      <c r="D1673" s="3" t="s">
        <v>128</v>
      </c>
      <c r="E1673" s="3">
        <v>148</v>
      </c>
      <c r="G1673" s="57"/>
    </row>
    <row r="1674" spans="1:8" ht="12.75" x14ac:dyDescent="0.2">
      <c r="A1674" s="3">
        <v>56</v>
      </c>
      <c r="B1674" s="4" t="s">
        <v>83</v>
      </c>
      <c r="C1674" s="3" t="s">
        <v>273</v>
      </c>
      <c r="D1674" s="3" t="s">
        <v>353</v>
      </c>
      <c r="E1674" s="3">
        <v>1</v>
      </c>
      <c r="G1674" s="57"/>
    </row>
    <row r="1675" spans="1:8" ht="12.75" x14ac:dyDescent="0.2">
      <c r="A1675" s="3">
        <v>56</v>
      </c>
      <c r="B1675" s="4" t="s">
        <v>83</v>
      </c>
      <c r="C1675" s="3" t="s">
        <v>273</v>
      </c>
      <c r="D1675" s="3" t="s">
        <v>371</v>
      </c>
      <c r="E1675" s="3">
        <v>40</v>
      </c>
      <c r="G1675" s="57"/>
    </row>
    <row r="1676" spans="1:8" ht="12.75" x14ac:dyDescent="0.2">
      <c r="A1676" s="3">
        <v>56</v>
      </c>
      <c r="B1676" s="4" t="s">
        <v>83</v>
      </c>
      <c r="C1676" s="3" t="s">
        <v>273</v>
      </c>
      <c r="D1676" s="3" t="s">
        <v>14</v>
      </c>
      <c r="E1676" s="3">
        <v>24</v>
      </c>
      <c r="G1676" s="57"/>
    </row>
    <row r="1677" spans="1:8" ht="12.75" x14ac:dyDescent="0.2">
      <c r="A1677" s="3">
        <v>56</v>
      </c>
      <c r="B1677" s="4" t="s">
        <v>83</v>
      </c>
      <c r="C1677" s="3" t="s">
        <v>273</v>
      </c>
      <c r="D1677" s="3" t="s">
        <v>138</v>
      </c>
      <c r="E1677" s="3">
        <v>3</v>
      </c>
      <c r="F1677">
        <f>SUM(E1670:E1677)</f>
        <v>412</v>
      </c>
      <c r="G1677" s="57"/>
    </row>
    <row r="1678" spans="1:8" ht="12.75" x14ac:dyDescent="0.2">
      <c r="A1678" s="3">
        <v>56</v>
      </c>
      <c r="B1678" s="4" t="s">
        <v>83</v>
      </c>
      <c r="C1678" s="3" t="s">
        <v>125</v>
      </c>
      <c r="D1678" s="3" t="s">
        <v>274</v>
      </c>
      <c r="E1678" s="3">
        <v>2</v>
      </c>
      <c r="G1678" s="57"/>
    </row>
    <row r="1679" spans="1:8" ht="12.75" x14ac:dyDescent="0.2">
      <c r="A1679" s="3">
        <v>56</v>
      </c>
      <c r="B1679" s="4" t="s">
        <v>83</v>
      </c>
      <c r="C1679" s="3" t="s">
        <v>125</v>
      </c>
      <c r="D1679" s="3" t="s">
        <v>283</v>
      </c>
      <c r="E1679" s="3">
        <v>193</v>
      </c>
      <c r="G1679" s="57"/>
    </row>
    <row r="1680" spans="1:8" ht="12.75" x14ac:dyDescent="0.2">
      <c r="A1680" s="3">
        <v>56</v>
      </c>
      <c r="B1680" s="4" t="s">
        <v>83</v>
      </c>
      <c r="C1680" s="3" t="s">
        <v>125</v>
      </c>
      <c r="D1680" s="3" t="s">
        <v>315</v>
      </c>
      <c r="E1680" s="3">
        <v>2</v>
      </c>
      <c r="G1680" s="57"/>
    </row>
    <row r="1681" spans="1:7" ht="12.75" x14ac:dyDescent="0.2">
      <c r="A1681" s="3">
        <v>56</v>
      </c>
      <c r="B1681" s="4" t="s">
        <v>83</v>
      </c>
      <c r="C1681" s="3" t="s">
        <v>125</v>
      </c>
      <c r="D1681" s="3" t="s">
        <v>128</v>
      </c>
      <c r="E1681" s="3">
        <v>150</v>
      </c>
      <c r="G1681" s="57"/>
    </row>
    <row r="1682" spans="1:7" ht="12.75" x14ac:dyDescent="0.2">
      <c r="A1682" s="3">
        <v>56</v>
      </c>
      <c r="B1682" s="4" t="s">
        <v>83</v>
      </c>
      <c r="C1682" s="3" t="s">
        <v>125</v>
      </c>
      <c r="D1682" s="3" t="s">
        <v>353</v>
      </c>
      <c r="E1682" s="3">
        <v>1</v>
      </c>
      <c r="G1682" s="57"/>
    </row>
    <row r="1683" spans="1:7" ht="12.75" x14ac:dyDescent="0.2">
      <c r="A1683" s="3">
        <v>56</v>
      </c>
      <c r="B1683" s="4" t="s">
        <v>83</v>
      </c>
      <c r="C1683" s="3" t="s">
        <v>125</v>
      </c>
      <c r="D1683" s="3" t="s">
        <v>371</v>
      </c>
      <c r="E1683" s="3">
        <v>40</v>
      </c>
      <c r="G1683" s="57"/>
    </row>
    <row r="1684" spans="1:7" ht="12.75" x14ac:dyDescent="0.2">
      <c r="A1684" s="3">
        <v>56</v>
      </c>
      <c r="B1684" s="4" t="s">
        <v>83</v>
      </c>
      <c r="C1684" s="3" t="s">
        <v>125</v>
      </c>
      <c r="D1684" s="3" t="s">
        <v>14</v>
      </c>
      <c r="E1684" s="3">
        <v>19</v>
      </c>
      <c r="G1684" s="57"/>
    </row>
    <row r="1685" spans="1:7" ht="12.75" x14ac:dyDescent="0.2">
      <c r="A1685" s="3">
        <v>56</v>
      </c>
      <c r="B1685" s="4" t="s">
        <v>83</v>
      </c>
      <c r="C1685" s="3" t="s">
        <v>125</v>
      </c>
      <c r="D1685" s="3" t="s">
        <v>138</v>
      </c>
      <c r="E1685" s="3">
        <v>5</v>
      </c>
      <c r="F1685">
        <f>SUM(E1678:E1685)</f>
        <v>412</v>
      </c>
      <c r="G1685" s="57"/>
    </row>
    <row r="1686" spans="1:7" ht="12.75" x14ac:dyDescent="0.2">
      <c r="A1686" s="3">
        <v>59</v>
      </c>
      <c r="B1686" s="4" t="s">
        <v>85</v>
      </c>
      <c r="C1686" s="3" t="s">
        <v>347</v>
      </c>
      <c r="D1686" s="3" t="s">
        <v>366</v>
      </c>
      <c r="E1686" s="3">
        <v>0</v>
      </c>
      <c r="G1686" s="59">
        <v>416</v>
      </c>
    </row>
    <row r="1687" spans="1:7" ht="12.75" x14ac:dyDescent="0.2">
      <c r="A1687" s="3">
        <v>59</v>
      </c>
      <c r="B1687" s="4" t="s">
        <v>85</v>
      </c>
      <c r="C1687" s="3" t="s">
        <v>347</v>
      </c>
      <c r="D1687" s="3" t="s">
        <v>274</v>
      </c>
      <c r="E1687" s="3">
        <v>0</v>
      </c>
      <c r="G1687" s="57"/>
    </row>
    <row r="1688" spans="1:7" ht="12.75" x14ac:dyDescent="0.2">
      <c r="A1688" s="3">
        <v>59</v>
      </c>
      <c r="B1688" s="4" t="s">
        <v>85</v>
      </c>
      <c r="C1688" s="3" t="s">
        <v>347</v>
      </c>
      <c r="D1688" s="3" t="s">
        <v>367</v>
      </c>
      <c r="E1688" s="3">
        <v>1</v>
      </c>
      <c r="G1688" s="57"/>
    </row>
    <row r="1689" spans="1:7" ht="12.75" x14ac:dyDescent="0.2">
      <c r="A1689" s="3">
        <v>59</v>
      </c>
      <c r="B1689" s="4" t="s">
        <v>85</v>
      </c>
      <c r="C1689" s="3" t="s">
        <v>347</v>
      </c>
      <c r="D1689" s="3" t="s">
        <v>368</v>
      </c>
      <c r="E1689" s="3">
        <v>1</v>
      </c>
      <c r="G1689" s="57"/>
    </row>
    <row r="1690" spans="1:7" ht="12.75" x14ac:dyDescent="0.2">
      <c r="A1690" s="3">
        <v>59</v>
      </c>
      <c r="B1690" s="4" t="s">
        <v>85</v>
      </c>
      <c r="C1690" s="3" t="s">
        <v>347</v>
      </c>
      <c r="D1690" s="3" t="s">
        <v>283</v>
      </c>
      <c r="E1690" s="3">
        <v>175</v>
      </c>
      <c r="G1690" s="57"/>
    </row>
    <row r="1691" spans="1:7" ht="12.75" x14ac:dyDescent="0.2">
      <c r="A1691" s="3">
        <v>59</v>
      </c>
      <c r="B1691" s="4" t="s">
        <v>85</v>
      </c>
      <c r="C1691" s="3" t="s">
        <v>347</v>
      </c>
      <c r="D1691" s="3" t="s">
        <v>315</v>
      </c>
      <c r="E1691" s="3">
        <v>8</v>
      </c>
      <c r="G1691" s="57"/>
    </row>
    <row r="1692" spans="1:7" ht="12.75" x14ac:dyDescent="0.2">
      <c r="A1692" s="3">
        <v>59</v>
      </c>
      <c r="B1692" s="4" t="s">
        <v>85</v>
      </c>
      <c r="C1692" s="3" t="s">
        <v>347</v>
      </c>
      <c r="D1692" s="3" t="s">
        <v>316</v>
      </c>
      <c r="E1692" s="3">
        <v>12</v>
      </c>
      <c r="G1692" s="57"/>
    </row>
    <row r="1693" spans="1:7" ht="12.75" x14ac:dyDescent="0.2">
      <c r="A1693" s="3">
        <v>59</v>
      </c>
      <c r="B1693" s="4" t="s">
        <v>85</v>
      </c>
      <c r="C1693" s="3" t="s">
        <v>347</v>
      </c>
      <c r="D1693" s="3" t="s">
        <v>369</v>
      </c>
      <c r="E1693" s="3">
        <v>0</v>
      </c>
      <c r="G1693" s="57"/>
    </row>
    <row r="1694" spans="1:7" ht="12.75" x14ac:dyDescent="0.2">
      <c r="A1694" s="3">
        <v>59</v>
      </c>
      <c r="B1694" s="4" t="s">
        <v>85</v>
      </c>
      <c r="C1694" s="3" t="s">
        <v>347</v>
      </c>
      <c r="D1694" s="3" t="s">
        <v>128</v>
      </c>
      <c r="E1694" s="3">
        <v>106</v>
      </c>
      <c r="G1694" s="57"/>
    </row>
    <row r="1695" spans="1:7" ht="12.75" x14ac:dyDescent="0.2">
      <c r="A1695" s="3">
        <v>59</v>
      </c>
      <c r="B1695" s="4" t="s">
        <v>85</v>
      </c>
      <c r="C1695" s="3" t="s">
        <v>347</v>
      </c>
      <c r="D1695" s="3" t="s">
        <v>370</v>
      </c>
      <c r="E1695" s="3">
        <v>1</v>
      </c>
      <c r="G1695" s="57"/>
    </row>
    <row r="1696" spans="1:7" ht="12.75" x14ac:dyDescent="0.2">
      <c r="A1696" s="3">
        <v>59</v>
      </c>
      <c r="B1696" s="4" t="s">
        <v>85</v>
      </c>
      <c r="C1696" s="3" t="s">
        <v>347</v>
      </c>
      <c r="D1696" s="3" t="s">
        <v>353</v>
      </c>
      <c r="E1696" s="3">
        <v>3</v>
      </c>
      <c r="G1696" s="57"/>
    </row>
    <row r="1697" spans="1:7" ht="12.75" x14ac:dyDescent="0.2">
      <c r="A1697" s="3">
        <v>59</v>
      </c>
      <c r="B1697" s="4" t="s">
        <v>85</v>
      </c>
      <c r="C1697" s="3" t="s">
        <v>347</v>
      </c>
      <c r="D1697" s="3" t="s">
        <v>371</v>
      </c>
      <c r="E1697" s="3">
        <v>47</v>
      </c>
      <c r="G1697" s="57"/>
    </row>
    <row r="1698" spans="1:7" ht="12.75" x14ac:dyDescent="0.2">
      <c r="A1698" s="3">
        <v>59</v>
      </c>
      <c r="B1698" s="4" t="s">
        <v>85</v>
      </c>
      <c r="C1698" s="3" t="s">
        <v>347</v>
      </c>
      <c r="D1698" s="3" t="s">
        <v>14</v>
      </c>
      <c r="E1698" s="3">
        <v>13</v>
      </c>
      <c r="G1698" s="57"/>
    </row>
    <row r="1699" spans="1:7" ht="12.75" x14ac:dyDescent="0.2">
      <c r="A1699" s="3">
        <v>59</v>
      </c>
      <c r="B1699" s="4" t="s">
        <v>85</v>
      </c>
      <c r="C1699" s="3" t="s">
        <v>347</v>
      </c>
      <c r="D1699" s="3" t="s">
        <v>138</v>
      </c>
      <c r="E1699" s="3">
        <v>1</v>
      </c>
      <c r="F1699">
        <f>SUM(E1686:E1699)</f>
        <v>368</v>
      </c>
      <c r="G1699" s="57"/>
    </row>
    <row r="1700" spans="1:7" ht="12.75" x14ac:dyDescent="0.2">
      <c r="A1700" s="3">
        <v>59</v>
      </c>
      <c r="B1700" s="4" t="s">
        <v>85</v>
      </c>
      <c r="C1700" s="3" t="s">
        <v>273</v>
      </c>
      <c r="D1700" s="3" t="s">
        <v>274</v>
      </c>
      <c r="E1700" s="3">
        <v>3</v>
      </c>
      <c r="G1700" s="57"/>
    </row>
    <row r="1701" spans="1:7" ht="12.75" x14ac:dyDescent="0.2">
      <c r="A1701" s="3">
        <v>59</v>
      </c>
      <c r="B1701" s="4" t="s">
        <v>85</v>
      </c>
      <c r="C1701" s="3" t="s">
        <v>273</v>
      </c>
      <c r="D1701" s="3" t="s">
        <v>283</v>
      </c>
      <c r="E1701" s="3">
        <v>199</v>
      </c>
      <c r="G1701" s="57"/>
    </row>
    <row r="1702" spans="1:7" ht="12.75" x14ac:dyDescent="0.2">
      <c r="A1702" s="3">
        <v>59</v>
      </c>
      <c r="B1702" s="4" t="s">
        <v>85</v>
      </c>
      <c r="C1702" s="3" t="s">
        <v>273</v>
      </c>
      <c r="D1702" s="3" t="s">
        <v>315</v>
      </c>
      <c r="E1702" s="3">
        <v>6</v>
      </c>
      <c r="G1702" s="57"/>
    </row>
    <row r="1703" spans="1:7" ht="12.75" x14ac:dyDescent="0.2">
      <c r="A1703" s="3">
        <v>59</v>
      </c>
      <c r="B1703" s="4" t="s">
        <v>85</v>
      </c>
      <c r="C1703" s="3" t="s">
        <v>273</v>
      </c>
      <c r="D1703" s="3" t="s">
        <v>128</v>
      </c>
      <c r="E1703" s="3">
        <v>104</v>
      </c>
      <c r="G1703" s="57"/>
    </row>
    <row r="1704" spans="1:7" ht="12.75" x14ac:dyDescent="0.2">
      <c r="A1704" s="3">
        <v>59</v>
      </c>
      <c r="B1704" s="4" t="s">
        <v>85</v>
      </c>
      <c r="C1704" s="3" t="s">
        <v>273</v>
      </c>
      <c r="D1704" s="3" t="s">
        <v>353</v>
      </c>
      <c r="E1704" s="3">
        <v>1</v>
      </c>
      <c r="G1704" s="57"/>
    </row>
    <row r="1705" spans="1:7" ht="12.75" x14ac:dyDescent="0.2">
      <c r="A1705" s="3">
        <v>59</v>
      </c>
      <c r="B1705" s="4" t="s">
        <v>85</v>
      </c>
      <c r="C1705" s="3" t="s">
        <v>273</v>
      </c>
      <c r="D1705" s="3" t="s">
        <v>371</v>
      </c>
      <c r="E1705" s="3">
        <v>17</v>
      </c>
      <c r="G1705" s="57"/>
    </row>
    <row r="1706" spans="1:7" ht="12.75" x14ac:dyDescent="0.2">
      <c r="A1706" s="3">
        <v>59</v>
      </c>
      <c r="B1706" s="4" t="s">
        <v>85</v>
      </c>
      <c r="C1706" s="3" t="s">
        <v>273</v>
      </c>
      <c r="D1706" s="3" t="s">
        <v>14</v>
      </c>
      <c r="E1706" s="3">
        <v>38</v>
      </c>
      <c r="G1706" s="57"/>
    </row>
    <row r="1707" spans="1:7" ht="12.75" x14ac:dyDescent="0.2">
      <c r="A1707" s="3">
        <v>59</v>
      </c>
      <c r="B1707" s="4" t="s">
        <v>85</v>
      </c>
      <c r="C1707" s="3" t="s">
        <v>273</v>
      </c>
      <c r="D1707" s="3" t="s">
        <v>138</v>
      </c>
      <c r="E1707" s="3">
        <v>0</v>
      </c>
      <c r="F1707">
        <f>SUM(E1700:E1707)</f>
        <v>368</v>
      </c>
      <c r="G1707" s="57"/>
    </row>
    <row r="1708" spans="1:7" ht="12.75" x14ac:dyDescent="0.2">
      <c r="A1708" s="3">
        <v>59</v>
      </c>
      <c r="B1708" s="4" t="s">
        <v>85</v>
      </c>
      <c r="C1708" s="3" t="s">
        <v>125</v>
      </c>
      <c r="D1708" s="3" t="s">
        <v>274</v>
      </c>
      <c r="E1708" s="3">
        <v>3</v>
      </c>
      <c r="G1708" s="57"/>
    </row>
    <row r="1709" spans="1:7" ht="12.75" x14ac:dyDescent="0.2">
      <c r="A1709" s="3">
        <v>59</v>
      </c>
      <c r="B1709" s="4" t="s">
        <v>85</v>
      </c>
      <c r="C1709" s="3" t="s">
        <v>125</v>
      </c>
      <c r="D1709" s="3" t="s">
        <v>283</v>
      </c>
      <c r="E1709" s="3">
        <v>196</v>
      </c>
      <c r="G1709" s="57"/>
    </row>
    <row r="1710" spans="1:7" ht="12.75" x14ac:dyDescent="0.2">
      <c r="A1710" s="3">
        <v>59</v>
      </c>
      <c r="B1710" s="4" t="s">
        <v>85</v>
      </c>
      <c r="C1710" s="3" t="s">
        <v>125</v>
      </c>
      <c r="D1710" s="3" t="s">
        <v>315</v>
      </c>
      <c r="E1710" s="3">
        <v>6</v>
      </c>
      <c r="G1710" s="57"/>
    </row>
    <row r="1711" spans="1:7" ht="12.75" x14ac:dyDescent="0.2">
      <c r="A1711" s="3">
        <v>59</v>
      </c>
      <c r="B1711" s="4" t="s">
        <v>85</v>
      </c>
      <c r="C1711" s="3" t="s">
        <v>125</v>
      </c>
      <c r="D1711" s="3" t="s">
        <v>128</v>
      </c>
      <c r="E1711" s="3">
        <v>102</v>
      </c>
      <c r="G1711" s="57"/>
    </row>
    <row r="1712" spans="1:7" ht="12.75" x14ac:dyDescent="0.2">
      <c r="A1712" s="3">
        <v>59</v>
      </c>
      <c r="B1712" s="4" t="s">
        <v>85</v>
      </c>
      <c r="C1712" s="3" t="s">
        <v>125</v>
      </c>
      <c r="D1712" s="3" t="s">
        <v>353</v>
      </c>
      <c r="E1712" s="3">
        <v>1</v>
      </c>
      <c r="G1712" s="57"/>
    </row>
    <row r="1713" spans="1:7" ht="12.75" x14ac:dyDescent="0.2">
      <c r="A1713" s="3">
        <v>59</v>
      </c>
      <c r="B1713" s="4" t="s">
        <v>85</v>
      </c>
      <c r="C1713" s="3" t="s">
        <v>125</v>
      </c>
      <c r="D1713" s="3" t="s">
        <v>371</v>
      </c>
      <c r="E1713" s="3">
        <v>17</v>
      </c>
      <c r="G1713" s="57"/>
    </row>
    <row r="1714" spans="1:7" ht="12.75" x14ac:dyDescent="0.2">
      <c r="A1714" s="3">
        <v>59</v>
      </c>
      <c r="B1714" s="4" t="s">
        <v>85</v>
      </c>
      <c r="C1714" s="3" t="s">
        <v>125</v>
      </c>
      <c r="D1714" s="3" t="s">
        <v>14</v>
      </c>
      <c r="E1714" s="3">
        <v>43</v>
      </c>
      <c r="G1714" s="57"/>
    </row>
    <row r="1715" spans="1:7" ht="12.75" x14ac:dyDescent="0.2">
      <c r="A1715" s="3">
        <v>59</v>
      </c>
      <c r="B1715" s="4" t="s">
        <v>85</v>
      </c>
      <c r="C1715" s="3" t="s">
        <v>125</v>
      </c>
      <c r="D1715" s="3" t="s">
        <v>138</v>
      </c>
      <c r="E1715" s="3">
        <v>0</v>
      </c>
      <c r="F1715">
        <f>SUM(E1708:E1715)</f>
        <v>368</v>
      </c>
      <c r="G1715" s="57"/>
    </row>
    <row r="1716" spans="1:7" ht="12.75" x14ac:dyDescent="0.2">
      <c r="A1716" s="3">
        <v>60</v>
      </c>
      <c r="B1716" s="4" t="s">
        <v>154</v>
      </c>
      <c r="C1716" s="3" t="s">
        <v>347</v>
      </c>
      <c r="D1716" s="3" t="s">
        <v>366</v>
      </c>
      <c r="E1716" s="3">
        <v>0</v>
      </c>
      <c r="G1716" s="59">
        <v>56</v>
      </c>
    </row>
    <row r="1717" spans="1:7" ht="12.75" x14ac:dyDescent="0.2">
      <c r="A1717" s="3">
        <v>60</v>
      </c>
      <c r="B1717" s="4" t="s">
        <v>154</v>
      </c>
      <c r="C1717" s="3" t="s">
        <v>347</v>
      </c>
      <c r="D1717" s="3" t="s">
        <v>274</v>
      </c>
      <c r="E1717" s="3">
        <v>0</v>
      </c>
      <c r="G1717" s="57"/>
    </row>
    <row r="1718" spans="1:7" ht="12.75" x14ac:dyDescent="0.2">
      <c r="A1718" s="3">
        <v>60</v>
      </c>
      <c r="B1718" s="4" t="s">
        <v>154</v>
      </c>
      <c r="C1718" s="3" t="s">
        <v>347</v>
      </c>
      <c r="D1718" s="3" t="s">
        <v>367</v>
      </c>
      <c r="E1718" s="3">
        <v>0</v>
      </c>
      <c r="G1718" s="57"/>
    </row>
    <row r="1719" spans="1:7" ht="12.75" x14ac:dyDescent="0.2">
      <c r="A1719" s="3">
        <v>60</v>
      </c>
      <c r="B1719" s="4" t="s">
        <v>154</v>
      </c>
      <c r="C1719" s="3" t="s">
        <v>347</v>
      </c>
      <c r="D1719" s="3" t="s">
        <v>368</v>
      </c>
      <c r="E1719" s="3">
        <v>1</v>
      </c>
      <c r="G1719" s="57"/>
    </row>
    <row r="1720" spans="1:7" ht="12.75" x14ac:dyDescent="0.2">
      <c r="A1720" s="3">
        <v>60</v>
      </c>
      <c r="B1720" s="4" t="s">
        <v>154</v>
      </c>
      <c r="C1720" s="3" t="s">
        <v>347</v>
      </c>
      <c r="D1720" s="3" t="s">
        <v>283</v>
      </c>
      <c r="E1720" s="3">
        <v>2</v>
      </c>
      <c r="G1720" s="57"/>
    </row>
    <row r="1721" spans="1:7" ht="12.75" x14ac:dyDescent="0.2">
      <c r="A1721" s="3">
        <v>60</v>
      </c>
      <c r="B1721" s="4" t="s">
        <v>154</v>
      </c>
      <c r="C1721" s="3" t="s">
        <v>347</v>
      </c>
      <c r="D1721" s="3" t="s">
        <v>315</v>
      </c>
      <c r="E1721" s="3">
        <v>0</v>
      </c>
      <c r="G1721" s="57"/>
    </row>
    <row r="1722" spans="1:7" ht="12.75" x14ac:dyDescent="0.2">
      <c r="A1722" s="3">
        <v>60</v>
      </c>
      <c r="B1722" s="4" t="s">
        <v>154</v>
      </c>
      <c r="C1722" s="3" t="s">
        <v>347</v>
      </c>
      <c r="D1722" s="3" t="s">
        <v>316</v>
      </c>
      <c r="E1722" s="3">
        <v>1</v>
      </c>
      <c r="G1722" s="57"/>
    </row>
    <row r="1723" spans="1:7" ht="12.75" x14ac:dyDescent="0.2">
      <c r="A1723" s="3">
        <v>60</v>
      </c>
      <c r="B1723" s="4" t="s">
        <v>154</v>
      </c>
      <c r="C1723" s="3" t="s">
        <v>347</v>
      </c>
      <c r="D1723" s="3" t="s">
        <v>369</v>
      </c>
      <c r="E1723" s="3">
        <v>0</v>
      </c>
      <c r="G1723" s="57"/>
    </row>
    <row r="1724" spans="1:7" ht="12.75" x14ac:dyDescent="0.2">
      <c r="A1724" s="3">
        <v>60</v>
      </c>
      <c r="B1724" s="4" t="s">
        <v>154</v>
      </c>
      <c r="C1724" s="3" t="s">
        <v>347</v>
      </c>
      <c r="D1724" s="3" t="s">
        <v>128</v>
      </c>
      <c r="E1724" s="3">
        <v>0</v>
      </c>
      <c r="G1724" s="57"/>
    </row>
    <row r="1725" spans="1:7" ht="12.75" x14ac:dyDescent="0.2">
      <c r="A1725" s="3">
        <v>60</v>
      </c>
      <c r="B1725" s="4" t="s">
        <v>154</v>
      </c>
      <c r="C1725" s="3" t="s">
        <v>347</v>
      </c>
      <c r="D1725" s="3" t="s">
        <v>370</v>
      </c>
      <c r="E1725" s="3">
        <v>0</v>
      </c>
      <c r="G1725" s="57"/>
    </row>
    <row r="1726" spans="1:7" ht="12.75" x14ac:dyDescent="0.2">
      <c r="A1726" s="3">
        <v>60</v>
      </c>
      <c r="B1726" s="4" t="s">
        <v>154</v>
      </c>
      <c r="C1726" s="3" t="s">
        <v>347</v>
      </c>
      <c r="D1726" s="3" t="s">
        <v>353</v>
      </c>
      <c r="E1726" s="3">
        <v>0</v>
      </c>
      <c r="G1726" s="57"/>
    </row>
    <row r="1727" spans="1:7" ht="12.75" x14ac:dyDescent="0.2">
      <c r="A1727" s="3">
        <v>60</v>
      </c>
      <c r="B1727" s="4" t="s">
        <v>154</v>
      </c>
      <c r="C1727" s="3" t="s">
        <v>347</v>
      </c>
      <c r="D1727" s="3" t="s">
        <v>371</v>
      </c>
      <c r="E1727" s="3">
        <v>2</v>
      </c>
      <c r="G1727" s="57"/>
    </row>
    <row r="1728" spans="1:7" ht="12.75" x14ac:dyDescent="0.2">
      <c r="A1728" s="3">
        <v>60</v>
      </c>
      <c r="B1728" s="4" t="s">
        <v>154</v>
      </c>
      <c r="C1728" s="3" t="s">
        <v>347</v>
      </c>
      <c r="D1728" s="3" t="s">
        <v>14</v>
      </c>
      <c r="E1728" s="3">
        <v>27</v>
      </c>
      <c r="G1728" s="57"/>
    </row>
    <row r="1729" spans="1:7" ht="12.75" x14ac:dyDescent="0.2">
      <c r="A1729" s="3">
        <v>60</v>
      </c>
      <c r="B1729" s="4" t="s">
        <v>154</v>
      </c>
      <c r="C1729" s="3" t="s">
        <v>347</v>
      </c>
      <c r="D1729" s="3" t="s">
        <v>138</v>
      </c>
      <c r="E1729" s="3">
        <v>0</v>
      </c>
      <c r="F1729">
        <f>SUM(E1716:E1729)</f>
        <v>33</v>
      </c>
      <c r="G1729" s="57"/>
    </row>
    <row r="1730" spans="1:7" ht="12.75" x14ac:dyDescent="0.2">
      <c r="A1730" s="3">
        <v>60</v>
      </c>
      <c r="B1730" s="4" t="s">
        <v>154</v>
      </c>
      <c r="C1730" s="3" t="s">
        <v>273</v>
      </c>
      <c r="D1730" s="3" t="s">
        <v>274</v>
      </c>
      <c r="E1730" s="3">
        <v>0</v>
      </c>
      <c r="G1730" s="57"/>
    </row>
    <row r="1731" spans="1:7" ht="12.75" x14ac:dyDescent="0.2">
      <c r="A1731" s="3">
        <v>60</v>
      </c>
      <c r="B1731" s="4" t="s">
        <v>154</v>
      </c>
      <c r="C1731" s="3" t="s">
        <v>273</v>
      </c>
      <c r="D1731" s="3" t="s">
        <v>283</v>
      </c>
      <c r="E1731" s="3">
        <v>8</v>
      </c>
      <c r="G1731" s="57"/>
    </row>
    <row r="1732" spans="1:7" ht="12.75" x14ac:dyDescent="0.2">
      <c r="A1732" s="3">
        <v>60</v>
      </c>
      <c r="B1732" s="4" t="s">
        <v>154</v>
      </c>
      <c r="C1732" s="3" t="s">
        <v>273</v>
      </c>
      <c r="D1732" s="3" t="s">
        <v>315</v>
      </c>
      <c r="E1732" s="3">
        <v>0</v>
      </c>
      <c r="G1732" s="57"/>
    </row>
    <row r="1733" spans="1:7" ht="12.75" x14ac:dyDescent="0.2">
      <c r="A1733" s="3">
        <v>60</v>
      </c>
      <c r="B1733" s="4" t="s">
        <v>154</v>
      </c>
      <c r="C1733" s="3" t="s">
        <v>273</v>
      </c>
      <c r="D1733" s="3" t="s">
        <v>128</v>
      </c>
      <c r="E1733" s="3">
        <v>16</v>
      </c>
      <c r="G1733" s="57"/>
    </row>
    <row r="1734" spans="1:7" ht="12.75" x14ac:dyDescent="0.2">
      <c r="A1734" s="3">
        <v>60</v>
      </c>
      <c r="B1734" s="4" t="s">
        <v>154</v>
      </c>
      <c r="C1734" s="3" t="s">
        <v>273</v>
      </c>
      <c r="D1734" s="3" t="s">
        <v>353</v>
      </c>
      <c r="E1734" s="3">
        <v>0</v>
      </c>
      <c r="G1734" s="57"/>
    </row>
    <row r="1735" spans="1:7" ht="12.75" x14ac:dyDescent="0.2">
      <c r="A1735" s="3">
        <v>60</v>
      </c>
      <c r="B1735" s="4" t="s">
        <v>154</v>
      </c>
      <c r="C1735" s="3" t="s">
        <v>273</v>
      </c>
      <c r="D1735" s="3" t="s">
        <v>371</v>
      </c>
      <c r="E1735" s="3">
        <v>2</v>
      </c>
      <c r="G1735" s="57"/>
    </row>
    <row r="1736" spans="1:7" ht="12.75" x14ac:dyDescent="0.2">
      <c r="A1736" s="3">
        <v>60</v>
      </c>
      <c r="B1736" s="4" t="s">
        <v>154</v>
      </c>
      <c r="C1736" s="3" t="s">
        <v>273</v>
      </c>
      <c r="D1736" s="3" t="s">
        <v>14</v>
      </c>
      <c r="E1736" s="3">
        <v>7</v>
      </c>
      <c r="G1736" s="57"/>
    </row>
    <row r="1737" spans="1:7" ht="12.75" x14ac:dyDescent="0.2">
      <c r="A1737" s="3">
        <v>60</v>
      </c>
      <c r="B1737" s="4" t="s">
        <v>154</v>
      </c>
      <c r="C1737" s="3" t="s">
        <v>273</v>
      </c>
      <c r="D1737" s="3" t="s">
        <v>138</v>
      </c>
      <c r="E1737" s="3">
        <v>0</v>
      </c>
      <c r="F1737">
        <f>SUM(E1730:E1737)</f>
        <v>33</v>
      </c>
      <c r="G1737" s="57"/>
    </row>
    <row r="1738" spans="1:7" ht="12.75" x14ac:dyDescent="0.2">
      <c r="A1738" s="3">
        <v>60</v>
      </c>
      <c r="B1738" s="4" t="s">
        <v>154</v>
      </c>
      <c r="C1738" s="3" t="s">
        <v>125</v>
      </c>
      <c r="D1738" s="3" t="s">
        <v>274</v>
      </c>
      <c r="E1738" s="3">
        <v>0</v>
      </c>
      <c r="G1738" s="57"/>
    </row>
    <row r="1739" spans="1:7" ht="12.75" x14ac:dyDescent="0.2">
      <c r="A1739" s="3">
        <v>60</v>
      </c>
      <c r="B1739" s="4" t="s">
        <v>154</v>
      </c>
      <c r="C1739" s="3" t="s">
        <v>125</v>
      </c>
      <c r="D1739" s="3" t="s">
        <v>283</v>
      </c>
      <c r="E1739" s="3">
        <v>0</v>
      </c>
      <c r="G1739" s="57"/>
    </row>
    <row r="1740" spans="1:7" ht="12.75" x14ac:dyDescent="0.2">
      <c r="A1740" s="3">
        <v>60</v>
      </c>
      <c r="B1740" s="4" t="s">
        <v>154</v>
      </c>
      <c r="C1740" s="3" t="s">
        <v>125</v>
      </c>
      <c r="D1740" s="3" t="s">
        <v>315</v>
      </c>
      <c r="E1740" s="3">
        <v>0</v>
      </c>
      <c r="G1740" s="57"/>
    </row>
    <row r="1741" spans="1:7" ht="12.75" x14ac:dyDescent="0.2">
      <c r="A1741" s="3">
        <v>60</v>
      </c>
      <c r="B1741" s="4" t="s">
        <v>154</v>
      </c>
      <c r="C1741" s="3" t="s">
        <v>125</v>
      </c>
      <c r="D1741" s="3" t="s">
        <v>128</v>
      </c>
      <c r="E1741" s="3">
        <v>0</v>
      </c>
      <c r="G1741" s="57"/>
    </row>
    <row r="1742" spans="1:7" ht="12.75" x14ac:dyDescent="0.2">
      <c r="A1742" s="3">
        <v>60</v>
      </c>
      <c r="B1742" s="4" t="s">
        <v>154</v>
      </c>
      <c r="C1742" s="3" t="s">
        <v>125</v>
      </c>
      <c r="D1742" s="3" t="s">
        <v>353</v>
      </c>
      <c r="E1742" s="3">
        <v>0</v>
      </c>
      <c r="G1742" s="57"/>
    </row>
    <row r="1743" spans="1:7" ht="12.75" x14ac:dyDescent="0.2">
      <c r="A1743" s="3">
        <v>60</v>
      </c>
      <c r="B1743" s="4" t="s">
        <v>154</v>
      </c>
      <c r="C1743" s="3" t="s">
        <v>125</v>
      </c>
      <c r="D1743" s="3" t="s">
        <v>371</v>
      </c>
      <c r="E1743" s="3">
        <v>0</v>
      </c>
      <c r="G1743" s="57"/>
    </row>
    <row r="1744" spans="1:7" ht="12.75" x14ac:dyDescent="0.2">
      <c r="A1744" s="3">
        <v>60</v>
      </c>
      <c r="B1744" s="4" t="s">
        <v>154</v>
      </c>
      <c r="C1744" s="3" t="s">
        <v>125</v>
      </c>
      <c r="D1744" s="3" t="s">
        <v>14</v>
      </c>
      <c r="E1744" s="3">
        <v>33</v>
      </c>
      <c r="G1744" s="57"/>
    </row>
    <row r="1745" spans="1:7" ht="12.75" x14ac:dyDescent="0.2">
      <c r="A1745" s="3">
        <v>60</v>
      </c>
      <c r="B1745" s="4" t="s">
        <v>154</v>
      </c>
      <c r="C1745" s="3" t="s">
        <v>125</v>
      </c>
      <c r="D1745" s="3" t="s">
        <v>138</v>
      </c>
      <c r="E1745" s="3">
        <v>0</v>
      </c>
      <c r="F1745">
        <f>SUM(E1738:E1745)</f>
        <v>33</v>
      </c>
      <c r="G1745" s="57"/>
    </row>
    <row r="1746" spans="1:7" ht="12.75" x14ac:dyDescent="0.2">
      <c r="A1746" s="3">
        <v>62</v>
      </c>
      <c r="B1746" s="4" t="s">
        <v>87</v>
      </c>
      <c r="C1746" s="3" t="s">
        <v>347</v>
      </c>
      <c r="D1746" s="3" t="s">
        <v>366</v>
      </c>
      <c r="E1746" s="3">
        <v>0</v>
      </c>
      <c r="G1746" s="59">
        <v>608</v>
      </c>
    </row>
    <row r="1747" spans="1:7" ht="12.75" x14ac:dyDescent="0.2">
      <c r="A1747" s="3">
        <v>62</v>
      </c>
      <c r="B1747" s="4" t="s">
        <v>87</v>
      </c>
      <c r="C1747" s="3" t="s">
        <v>347</v>
      </c>
      <c r="D1747" s="3" t="s">
        <v>274</v>
      </c>
      <c r="E1747" s="3">
        <v>0</v>
      </c>
      <c r="G1747" s="57"/>
    </row>
    <row r="1748" spans="1:7" ht="12.75" x14ac:dyDescent="0.2">
      <c r="A1748" s="3">
        <v>62</v>
      </c>
      <c r="B1748" s="4" t="s">
        <v>87</v>
      </c>
      <c r="C1748" s="3" t="s">
        <v>347</v>
      </c>
      <c r="D1748" s="3" t="s">
        <v>367</v>
      </c>
      <c r="E1748" s="3">
        <v>0</v>
      </c>
      <c r="G1748" s="57"/>
    </row>
    <row r="1749" spans="1:7" ht="12.75" x14ac:dyDescent="0.2">
      <c r="A1749" s="3">
        <v>62</v>
      </c>
      <c r="B1749" s="4" t="s">
        <v>87</v>
      </c>
      <c r="C1749" s="3" t="s">
        <v>347</v>
      </c>
      <c r="D1749" s="3" t="s">
        <v>368</v>
      </c>
      <c r="E1749" s="3">
        <v>2</v>
      </c>
      <c r="G1749" s="57"/>
    </row>
    <row r="1750" spans="1:7" ht="12.75" x14ac:dyDescent="0.2">
      <c r="A1750" s="3">
        <v>62</v>
      </c>
      <c r="B1750" s="4" t="s">
        <v>87</v>
      </c>
      <c r="C1750" s="3" t="s">
        <v>347</v>
      </c>
      <c r="D1750" s="3" t="s">
        <v>283</v>
      </c>
      <c r="E1750" s="3">
        <v>190</v>
      </c>
      <c r="G1750" s="57"/>
    </row>
    <row r="1751" spans="1:7" ht="12.75" x14ac:dyDescent="0.2">
      <c r="A1751" s="3">
        <v>62</v>
      </c>
      <c r="B1751" s="4" t="s">
        <v>87</v>
      </c>
      <c r="C1751" s="3" t="s">
        <v>347</v>
      </c>
      <c r="D1751" s="3" t="s">
        <v>315</v>
      </c>
      <c r="E1751" s="3">
        <v>3</v>
      </c>
      <c r="G1751" s="57"/>
    </row>
    <row r="1752" spans="1:7" ht="12.75" x14ac:dyDescent="0.2">
      <c r="A1752" s="3">
        <v>62</v>
      </c>
      <c r="B1752" s="4" t="s">
        <v>87</v>
      </c>
      <c r="C1752" s="3" t="s">
        <v>347</v>
      </c>
      <c r="D1752" s="3" t="s">
        <v>316</v>
      </c>
      <c r="E1752" s="3">
        <v>6</v>
      </c>
      <c r="G1752" s="57"/>
    </row>
    <row r="1753" spans="1:7" ht="12.75" x14ac:dyDescent="0.2">
      <c r="A1753" s="3">
        <v>62</v>
      </c>
      <c r="B1753" s="4" t="s">
        <v>87</v>
      </c>
      <c r="C1753" s="3" t="s">
        <v>347</v>
      </c>
      <c r="D1753" s="3" t="s">
        <v>369</v>
      </c>
      <c r="E1753" s="3">
        <v>2</v>
      </c>
      <c r="G1753" s="57"/>
    </row>
    <row r="1754" spans="1:7" ht="12.75" x14ac:dyDescent="0.2">
      <c r="A1754" s="3">
        <v>62</v>
      </c>
      <c r="B1754" s="4" t="s">
        <v>87</v>
      </c>
      <c r="C1754" s="3" t="s">
        <v>347</v>
      </c>
      <c r="D1754" s="3" t="s">
        <v>128</v>
      </c>
      <c r="E1754" s="3">
        <v>108</v>
      </c>
      <c r="G1754" s="57"/>
    </row>
    <row r="1755" spans="1:7" ht="12.75" x14ac:dyDescent="0.2">
      <c r="A1755" s="3">
        <v>62</v>
      </c>
      <c r="B1755" s="4" t="s">
        <v>87</v>
      </c>
      <c r="C1755" s="3" t="s">
        <v>347</v>
      </c>
      <c r="D1755" s="3" t="s">
        <v>370</v>
      </c>
      <c r="E1755" s="3">
        <v>1</v>
      </c>
      <c r="G1755" s="57"/>
    </row>
    <row r="1756" spans="1:7" ht="12.75" x14ac:dyDescent="0.2">
      <c r="A1756" s="3">
        <v>62</v>
      </c>
      <c r="B1756" s="4" t="s">
        <v>87</v>
      </c>
      <c r="C1756" s="3" t="s">
        <v>347</v>
      </c>
      <c r="D1756" s="3" t="s">
        <v>353</v>
      </c>
      <c r="E1756" s="3">
        <v>4</v>
      </c>
      <c r="G1756" s="57"/>
    </row>
    <row r="1757" spans="1:7" ht="12.75" x14ac:dyDescent="0.2">
      <c r="A1757" s="3">
        <v>62</v>
      </c>
      <c r="B1757" s="4" t="s">
        <v>87</v>
      </c>
      <c r="C1757" s="3" t="s">
        <v>347</v>
      </c>
      <c r="D1757" s="3" t="s">
        <v>371</v>
      </c>
      <c r="E1757" s="3">
        <v>81</v>
      </c>
      <c r="G1757" s="57"/>
    </row>
    <row r="1758" spans="1:7" ht="12.75" x14ac:dyDescent="0.2">
      <c r="A1758" s="3">
        <v>62</v>
      </c>
      <c r="B1758" s="4" t="s">
        <v>87</v>
      </c>
      <c r="C1758" s="3" t="s">
        <v>347</v>
      </c>
      <c r="D1758" s="3" t="s">
        <v>14</v>
      </c>
      <c r="E1758" s="3">
        <v>56</v>
      </c>
      <c r="G1758" s="57"/>
    </row>
    <row r="1759" spans="1:7" ht="12.75" x14ac:dyDescent="0.2">
      <c r="A1759" s="3">
        <v>62</v>
      </c>
      <c r="B1759" s="4" t="s">
        <v>87</v>
      </c>
      <c r="C1759" s="3" t="s">
        <v>347</v>
      </c>
      <c r="D1759" s="3" t="s">
        <v>138</v>
      </c>
      <c r="E1759" s="3">
        <v>6</v>
      </c>
      <c r="F1759">
        <f>SUM(E1746:E1759)</f>
        <v>459</v>
      </c>
      <c r="G1759" s="57"/>
    </row>
    <row r="1760" spans="1:7" ht="12.75" x14ac:dyDescent="0.2">
      <c r="A1760" s="3">
        <v>62</v>
      </c>
      <c r="B1760" s="4" t="s">
        <v>87</v>
      </c>
      <c r="C1760" s="3" t="s">
        <v>273</v>
      </c>
      <c r="D1760" s="3" t="s">
        <v>274</v>
      </c>
      <c r="E1760" s="3">
        <v>3</v>
      </c>
      <c r="G1760" s="57"/>
    </row>
    <row r="1761" spans="1:7" ht="12.75" x14ac:dyDescent="0.2">
      <c r="A1761" s="3">
        <v>62</v>
      </c>
      <c r="B1761" s="4" t="s">
        <v>87</v>
      </c>
      <c r="C1761" s="3" t="s">
        <v>273</v>
      </c>
      <c r="D1761" s="3" t="s">
        <v>283</v>
      </c>
      <c r="E1761" s="3">
        <v>250</v>
      </c>
      <c r="G1761" s="57"/>
    </row>
    <row r="1762" spans="1:7" ht="12.75" x14ac:dyDescent="0.2">
      <c r="A1762" s="3">
        <v>62</v>
      </c>
      <c r="B1762" s="4" t="s">
        <v>87</v>
      </c>
      <c r="C1762" s="3" t="s">
        <v>273</v>
      </c>
      <c r="D1762" s="3" t="s">
        <v>315</v>
      </c>
      <c r="E1762" s="3">
        <v>3</v>
      </c>
      <c r="G1762" s="57"/>
    </row>
    <row r="1763" spans="1:7" ht="12.75" x14ac:dyDescent="0.2">
      <c r="A1763" s="3">
        <v>62</v>
      </c>
      <c r="B1763" s="4" t="s">
        <v>87</v>
      </c>
      <c r="C1763" s="3" t="s">
        <v>273</v>
      </c>
      <c r="D1763" s="3" t="s">
        <v>128</v>
      </c>
      <c r="E1763" s="3">
        <v>112</v>
      </c>
      <c r="G1763" s="57"/>
    </row>
    <row r="1764" spans="1:7" ht="12.75" x14ac:dyDescent="0.2">
      <c r="A1764" s="3">
        <v>62</v>
      </c>
      <c r="B1764" s="4" t="s">
        <v>87</v>
      </c>
      <c r="C1764" s="3" t="s">
        <v>273</v>
      </c>
      <c r="D1764" s="3" t="s">
        <v>353</v>
      </c>
      <c r="E1764" s="3">
        <v>2</v>
      </c>
      <c r="G1764" s="57"/>
    </row>
    <row r="1765" spans="1:7" ht="12.75" x14ac:dyDescent="0.2">
      <c r="A1765" s="3">
        <v>62</v>
      </c>
      <c r="B1765" s="4" t="s">
        <v>87</v>
      </c>
      <c r="C1765" s="3" t="s">
        <v>273</v>
      </c>
      <c r="D1765" s="3" t="s">
        <v>371</v>
      </c>
      <c r="E1765" s="3">
        <v>27</v>
      </c>
      <c r="G1765" s="57"/>
    </row>
    <row r="1766" spans="1:7" ht="12.75" x14ac:dyDescent="0.2">
      <c r="A1766" s="3">
        <v>62</v>
      </c>
      <c r="B1766" s="4" t="s">
        <v>87</v>
      </c>
      <c r="C1766" s="3" t="s">
        <v>273</v>
      </c>
      <c r="D1766" s="3" t="s">
        <v>14</v>
      </c>
      <c r="E1766" s="3">
        <v>58</v>
      </c>
      <c r="G1766" s="57"/>
    </row>
    <row r="1767" spans="1:7" ht="12.75" x14ac:dyDescent="0.2">
      <c r="A1767" s="3">
        <v>62</v>
      </c>
      <c r="B1767" s="4" t="s">
        <v>87</v>
      </c>
      <c r="C1767" s="3" t="s">
        <v>273</v>
      </c>
      <c r="D1767" s="3" t="s">
        <v>138</v>
      </c>
      <c r="E1767" s="3">
        <v>4</v>
      </c>
      <c r="F1767">
        <f>SUM(E1760:E1767)</f>
        <v>459</v>
      </c>
      <c r="G1767" s="57"/>
    </row>
    <row r="1768" spans="1:7" ht="12.75" x14ac:dyDescent="0.2">
      <c r="A1768" s="3">
        <v>62</v>
      </c>
      <c r="B1768" s="4" t="s">
        <v>87</v>
      </c>
      <c r="C1768" s="3" t="s">
        <v>125</v>
      </c>
      <c r="D1768" s="3" t="s">
        <v>274</v>
      </c>
      <c r="E1768" s="3">
        <v>3</v>
      </c>
      <c r="G1768" s="57"/>
    </row>
    <row r="1769" spans="1:7" ht="12.75" x14ac:dyDescent="0.2">
      <c r="A1769" s="3">
        <v>62</v>
      </c>
      <c r="B1769" s="4" t="s">
        <v>87</v>
      </c>
      <c r="C1769" s="3" t="s">
        <v>125</v>
      </c>
      <c r="D1769" s="3" t="s">
        <v>283</v>
      </c>
      <c r="E1769" s="3">
        <v>247</v>
      </c>
      <c r="G1769" s="57"/>
    </row>
    <row r="1770" spans="1:7" ht="12.75" x14ac:dyDescent="0.2">
      <c r="A1770" s="3">
        <v>62</v>
      </c>
      <c r="B1770" s="4" t="s">
        <v>87</v>
      </c>
      <c r="C1770" s="3" t="s">
        <v>125</v>
      </c>
      <c r="D1770" s="3" t="s">
        <v>315</v>
      </c>
      <c r="E1770" s="3">
        <v>3</v>
      </c>
      <c r="G1770" s="57"/>
    </row>
    <row r="1771" spans="1:7" ht="12.75" x14ac:dyDescent="0.2">
      <c r="A1771" s="3">
        <v>62</v>
      </c>
      <c r="B1771" s="4" t="s">
        <v>87</v>
      </c>
      <c r="C1771" s="3" t="s">
        <v>125</v>
      </c>
      <c r="D1771" s="3" t="s">
        <v>128</v>
      </c>
      <c r="E1771" s="3">
        <v>103</v>
      </c>
      <c r="G1771" s="57"/>
    </row>
    <row r="1772" spans="1:7" ht="12.75" x14ac:dyDescent="0.2">
      <c r="A1772" s="3">
        <v>62</v>
      </c>
      <c r="B1772" s="4" t="s">
        <v>87</v>
      </c>
      <c r="C1772" s="3" t="s">
        <v>125</v>
      </c>
      <c r="D1772" s="3" t="s">
        <v>353</v>
      </c>
      <c r="E1772" s="3">
        <v>2</v>
      </c>
      <c r="G1772" s="57"/>
    </row>
    <row r="1773" spans="1:7" ht="12.75" x14ac:dyDescent="0.2">
      <c r="A1773" s="3">
        <v>62</v>
      </c>
      <c r="B1773" s="4" t="s">
        <v>87</v>
      </c>
      <c r="C1773" s="3" t="s">
        <v>125</v>
      </c>
      <c r="D1773" s="3" t="s">
        <v>371</v>
      </c>
      <c r="E1773" s="3">
        <v>28</v>
      </c>
      <c r="G1773" s="57"/>
    </row>
    <row r="1774" spans="1:7" ht="12.75" x14ac:dyDescent="0.2">
      <c r="A1774" s="3">
        <v>62</v>
      </c>
      <c r="B1774" s="4" t="s">
        <v>87</v>
      </c>
      <c r="C1774" s="3" t="s">
        <v>125</v>
      </c>
      <c r="D1774" s="3" t="s">
        <v>14</v>
      </c>
      <c r="E1774" s="3">
        <v>68</v>
      </c>
      <c r="G1774" s="57"/>
    </row>
    <row r="1775" spans="1:7" ht="12.75" x14ac:dyDescent="0.2">
      <c r="A1775" s="3">
        <v>62</v>
      </c>
      <c r="B1775" s="4" t="s">
        <v>87</v>
      </c>
      <c r="C1775" s="3" t="s">
        <v>125</v>
      </c>
      <c r="D1775" s="3" t="s">
        <v>138</v>
      </c>
      <c r="E1775" s="3">
        <v>5</v>
      </c>
      <c r="F1775">
        <f>SUM(E1768:E1775)</f>
        <v>459</v>
      </c>
      <c r="G1775" s="57"/>
    </row>
    <row r="1776" spans="1:7" ht="12.75" x14ac:dyDescent="0.2">
      <c r="A1776" s="3">
        <v>63</v>
      </c>
      <c r="B1776" s="4" t="s">
        <v>88</v>
      </c>
      <c r="C1776" s="3" t="s">
        <v>347</v>
      </c>
      <c r="D1776" s="3" t="s">
        <v>366</v>
      </c>
      <c r="E1776" s="3">
        <v>9</v>
      </c>
      <c r="G1776" s="59">
        <v>2668</v>
      </c>
    </row>
    <row r="1777" spans="1:7" ht="12.75" x14ac:dyDescent="0.2">
      <c r="A1777" s="3">
        <v>63</v>
      </c>
      <c r="B1777" s="4" t="s">
        <v>88</v>
      </c>
      <c r="C1777" s="3" t="s">
        <v>347</v>
      </c>
      <c r="D1777" s="3" t="s">
        <v>274</v>
      </c>
      <c r="E1777" s="3">
        <v>0</v>
      </c>
      <c r="G1777" s="57"/>
    </row>
    <row r="1778" spans="1:7" ht="12.75" x14ac:dyDescent="0.2">
      <c r="A1778" s="3">
        <v>63</v>
      </c>
      <c r="B1778" s="4" t="s">
        <v>88</v>
      </c>
      <c r="C1778" s="3" t="s">
        <v>347</v>
      </c>
      <c r="D1778" s="3" t="s">
        <v>367</v>
      </c>
      <c r="E1778" s="3">
        <v>0</v>
      </c>
      <c r="G1778" s="57"/>
    </row>
    <row r="1779" spans="1:7" ht="12.75" x14ac:dyDescent="0.2">
      <c r="A1779" s="3">
        <v>63</v>
      </c>
      <c r="B1779" s="4" t="s">
        <v>88</v>
      </c>
      <c r="C1779" s="3" t="s">
        <v>347</v>
      </c>
      <c r="D1779" s="3" t="s">
        <v>368</v>
      </c>
      <c r="E1779" s="3">
        <v>4</v>
      </c>
      <c r="G1779" s="57"/>
    </row>
    <row r="1780" spans="1:7" ht="12.75" x14ac:dyDescent="0.2">
      <c r="A1780" s="3">
        <v>63</v>
      </c>
      <c r="B1780" s="4" t="s">
        <v>88</v>
      </c>
      <c r="C1780" s="3" t="s">
        <v>347</v>
      </c>
      <c r="D1780" s="3" t="s">
        <v>283</v>
      </c>
      <c r="E1780" s="3">
        <v>629</v>
      </c>
      <c r="G1780" s="57"/>
    </row>
    <row r="1781" spans="1:7" ht="12.75" x14ac:dyDescent="0.2">
      <c r="A1781" s="3">
        <v>63</v>
      </c>
      <c r="B1781" s="4" t="s">
        <v>88</v>
      </c>
      <c r="C1781" s="3" t="s">
        <v>347</v>
      </c>
      <c r="D1781" s="3" t="s">
        <v>315</v>
      </c>
      <c r="E1781" s="3">
        <v>27</v>
      </c>
      <c r="G1781" s="57"/>
    </row>
    <row r="1782" spans="1:7" ht="12.75" x14ac:dyDescent="0.2">
      <c r="A1782" s="3">
        <v>63</v>
      </c>
      <c r="B1782" s="4" t="s">
        <v>88</v>
      </c>
      <c r="C1782" s="3" t="s">
        <v>347</v>
      </c>
      <c r="D1782" s="3" t="s">
        <v>316</v>
      </c>
      <c r="E1782" s="3">
        <v>31</v>
      </c>
      <c r="G1782" s="57"/>
    </row>
    <row r="1783" spans="1:7" ht="12.75" x14ac:dyDescent="0.2">
      <c r="A1783" s="3">
        <v>63</v>
      </c>
      <c r="B1783" s="4" t="s">
        <v>88</v>
      </c>
      <c r="C1783" s="3" t="s">
        <v>347</v>
      </c>
      <c r="D1783" s="3" t="s">
        <v>369</v>
      </c>
      <c r="E1783" s="3">
        <v>10</v>
      </c>
      <c r="G1783" s="57"/>
    </row>
    <row r="1784" spans="1:7" ht="12.75" x14ac:dyDescent="0.2">
      <c r="A1784" s="3">
        <v>63</v>
      </c>
      <c r="B1784" s="4" t="s">
        <v>88</v>
      </c>
      <c r="C1784" s="3" t="s">
        <v>347</v>
      </c>
      <c r="D1784" s="3" t="s">
        <v>128</v>
      </c>
      <c r="E1784" s="3">
        <v>870</v>
      </c>
      <c r="G1784" s="57"/>
    </row>
    <row r="1785" spans="1:7" ht="12.75" x14ac:dyDescent="0.2">
      <c r="A1785" s="3">
        <v>63</v>
      </c>
      <c r="B1785" s="4" t="s">
        <v>88</v>
      </c>
      <c r="C1785" s="3" t="s">
        <v>347</v>
      </c>
      <c r="D1785" s="3" t="s">
        <v>370</v>
      </c>
      <c r="E1785" s="3">
        <v>5</v>
      </c>
      <c r="G1785" s="57"/>
    </row>
    <row r="1786" spans="1:7" ht="12.75" x14ac:dyDescent="0.2">
      <c r="A1786" s="3">
        <v>63</v>
      </c>
      <c r="B1786" s="4" t="s">
        <v>88</v>
      </c>
      <c r="C1786" s="3" t="s">
        <v>347</v>
      </c>
      <c r="D1786" s="3" t="s">
        <v>353</v>
      </c>
      <c r="E1786" s="3">
        <v>79</v>
      </c>
      <c r="G1786" s="57"/>
    </row>
    <row r="1787" spans="1:7" ht="12.75" x14ac:dyDescent="0.2">
      <c r="A1787" s="3">
        <v>63</v>
      </c>
      <c r="B1787" s="4" t="s">
        <v>88</v>
      </c>
      <c r="C1787" s="3" t="s">
        <v>347</v>
      </c>
      <c r="D1787" s="3" t="s">
        <v>371</v>
      </c>
      <c r="E1787" s="3">
        <v>321</v>
      </c>
      <c r="G1787" s="57"/>
    </row>
    <row r="1788" spans="1:7" ht="12.75" x14ac:dyDescent="0.2">
      <c r="A1788" s="3">
        <v>63</v>
      </c>
      <c r="B1788" s="4" t="s">
        <v>88</v>
      </c>
      <c r="C1788" s="3" t="s">
        <v>347</v>
      </c>
      <c r="D1788" s="3" t="s">
        <v>14</v>
      </c>
      <c r="E1788" s="3">
        <v>112</v>
      </c>
      <c r="G1788" s="57"/>
    </row>
    <row r="1789" spans="1:7" ht="12.75" x14ac:dyDescent="0.2">
      <c r="A1789" s="3">
        <v>63</v>
      </c>
      <c r="B1789" s="4" t="s">
        <v>88</v>
      </c>
      <c r="C1789" s="3" t="s">
        <v>347</v>
      </c>
      <c r="D1789" s="3" t="s">
        <v>138</v>
      </c>
      <c r="E1789" s="3">
        <v>7</v>
      </c>
      <c r="F1789">
        <f>SUM(E1776:E1789)</f>
        <v>2104</v>
      </c>
      <c r="G1789" s="57"/>
    </row>
    <row r="1790" spans="1:7" ht="12.75" x14ac:dyDescent="0.2">
      <c r="A1790" s="3">
        <v>63</v>
      </c>
      <c r="B1790" s="4" t="s">
        <v>88</v>
      </c>
      <c r="C1790" s="3" t="s">
        <v>273</v>
      </c>
      <c r="D1790" s="3" t="s">
        <v>274</v>
      </c>
      <c r="E1790" s="3">
        <v>3</v>
      </c>
      <c r="G1790" s="57"/>
    </row>
    <row r="1791" spans="1:7" ht="12.75" x14ac:dyDescent="0.2">
      <c r="A1791" s="3">
        <v>63</v>
      </c>
      <c r="B1791" s="4" t="s">
        <v>88</v>
      </c>
      <c r="C1791" s="3" t="s">
        <v>273</v>
      </c>
      <c r="D1791" s="3" t="s">
        <v>283</v>
      </c>
      <c r="E1791" s="3">
        <v>849</v>
      </c>
      <c r="G1791" s="57"/>
    </row>
    <row r="1792" spans="1:7" ht="12.75" x14ac:dyDescent="0.2">
      <c r="A1792" s="3">
        <v>63</v>
      </c>
      <c r="B1792" s="4" t="s">
        <v>88</v>
      </c>
      <c r="C1792" s="3" t="s">
        <v>273</v>
      </c>
      <c r="D1792" s="3" t="s">
        <v>315</v>
      </c>
      <c r="E1792" s="3">
        <v>18</v>
      </c>
      <c r="G1792" s="57"/>
    </row>
    <row r="1793" spans="1:7" ht="12.75" x14ac:dyDescent="0.2">
      <c r="A1793" s="3">
        <v>63</v>
      </c>
      <c r="B1793" s="4" t="s">
        <v>88</v>
      </c>
      <c r="C1793" s="3" t="s">
        <v>273</v>
      </c>
      <c r="D1793" s="3" t="s">
        <v>128</v>
      </c>
      <c r="E1793" s="3">
        <v>862</v>
      </c>
      <c r="G1793" s="57"/>
    </row>
    <row r="1794" spans="1:7" ht="12.75" x14ac:dyDescent="0.2">
      <c r="A1794" s="3">
        <v>63</v>
      </c>
      <c r="B1794" s="4" t="s">
        <v>88</v>
      </c>
      <c r="C1794" s="3" t="s">
        <v>273</v>
      </c>
      <c r="D1794" s="3" t="s">
        <v>353</v>
      </c>
      <c r="E1794" s="3">
        <v>19</v>
      </c>
      <c r="G1794" s="57"/>
    </row>
    <row r="1795" spans="1:7" ht="12.75" x14ac:dyDescent="0.2">
      <c r="A1795" s="3">
        <v>63</v>
      </c>
      <c r="B1795" s="4" t="s">
        <v>88</v>
      </c>
      <c r="C1795" s="3" t="s">
        <v>273</v>
      </c>
      <c r="D1795" s="3" t="s">
        <v>371</v>
      </c>
      <c r="E1795" s="3">
        <v>102</v>
      </c>
      <c r="G1795" s="57"/>
    </row>
    <row r="1796" spans="1:7" ht="12.75" x14ac:dyDescent="0.2">
      <c r="A1796" s="3">
        <v>63</v>
      </c>
      <c r="B1796" s="4" t="s">
        <v>88</v>
      </c>
      <c r="C1796" s="3" t="s">
        <v>273</v>
      </c>
      <c r="D1796" s="3" t="s">
        <v>14</v>
      </c>
      <c r="E1796" s="3">
        <v>245</v>
      </c>
      <c r="G1796" s="57"/>
    </row>
    <row r="1797" spans="1:7" ht="12.75" x14ac:dyDescent="0.2">
      <c r="A1797" s="3">
        <v>63</v>
      </c>
      <c r="B1797" s="4" t="s">
        <v>88</v>
      </c>
      <c r="C1797" s="3" t="s">
        <v>273</v>
      </c>
      <c r="D1797" s="3" t="s">
        <v>138</v>
      </c>
      <c r="E1797" s="3">
        <v>6</v>
      </c>
      <c r="F1797">
        <f>SUM(E1790:E1797)</f>
        <v>2104</v>
      </c>
      <c r="G1797" s="57"/>
    </row>
    <row r="1798" spans="1:7" ht="12.75" x14ac:dyDescent="0.2">
      <c r="A1798" s="3">
        <v>63</v>
      </c>
      <c r="B1798" s="4" t="s">
        <v>88</v>
      </c>
      <c r="C1798" s="3" t="s">
        <v>125</v>
      </c>
      <c r="D1798" s="3" t="s">
        <v>274</v>
      </c>
      <c r="E1798" s="3">
        <v>3</v>
      </c>
      <c r="G1798" s="57"/>
    </row>
    <row r="1799" spans="1:7" ht="12.75" x14ac:dyDescent="0.2">
      <c r="A1799" s="3">
        <v>63</v>
      </c>
      <c r="B1799" s="4" t="s">
        <v>88</v>
      </c>
      <c r="C1799" s="3" t="s">
        <v>125</v>
      </c>
      <c r="D1799" s="3" t="s">
        <v>283</v>
      </c>
      <c r="E1799" s="3">
        <v>849</v>
      </c>
      <c r="G1799" s="57"/>
    </row>
    <row r="1800" spans="1:7" ht="12.75" x14ac:dyDescent="0.2">
      <c r="A1800" s="3">
        <v>63</v>
      </c>
      <c r="B1800" s="4" t="s">
        <v>88</v>
      </c>
      <c r="C1800" s="3" t="s">
        <v>125</v>
      </c>
      <c r="D1800" s="3" t="s">
        <v>315</v>
      </c>
      <c r="E1800" s="3">
        <v>18</v>
      </c>
      <c r="G1800" s="57"/>
    </row>
    <row r="1801" spans="1:7" ht="12.75" x14ac:dyDescent="0.2">
      <c r="A1801" s="3">
        <v>63</v>
      </c>
      <c r="B1801" s="4" t="s">
        <v>88</v>
      </c>
      <c r="C1801" s="3" t="s">
        <v>125</v>
      </c>
      <c r="D1801" s="3" t="s">
        <v>128</v>
      </c>
      <c r="E1801" s="3">
        <v>891</v>
      </c>
      <c r="G1801" s="57"/>
    </row>
    <row r="1802" spans="1:7" ht="12.75" x14ac:dyDescent="0.2">
      <c r="A1802" s="3">
        <v>63</v>
      </c>
      <c r="B1802" s="4" t="s">
        <v>88</v>
      </c>
      <c r="C1802" s="3" t="s">
        <v>125</v>
      </c>
      <c r="D1802" s="3" t="s">
        <v>353</v>
      </c>
      <c r="E1802" s="3">
        <v>19</v>
      </c>
      <c r="G1802" s="57"/>
    </row>
    <row r="1803" spans="1:7" ht="12.75" x14ac:dyDescent="0.2">
      <c r="A1803" s="3">
        <v>63</v>
      </c>
      <c r="B1803" s="4" t="s">
        <v>88</v>
      </c>
      <c r="C1803" s="3" t="s">
        <v>125</v>
      </c>
      <c r="D1803" s="3" t="s">
        <v>371</v>
      </c>
      <c r="E1803" s="3">
        <v>101</v>
      </c>
      <c r="G1803" s="57"/>
    </row>
    <row r="1804" spans="1:7" ht="12.75" x14ac:dyDescent="0.2">
      <c r="A1804" s="3">
        <v>63</v>
      </c>
      <c r="B1804" s="4" t="s">
        <v>88</v>
      </c>
      <c r="C1804" s="3" t="s">
        <v>125</v>
      </c>
      <c r="D1804" s="3" t="s">
        <v>14</v>
      </c>
      <c r="E1804" s="3">
        <v>216</v>
      </c>
      <c r="G1804" s="57"/>
    </row>
    <row r="1805" spans="1:7" ht="12.75" x14ac:dyDescent="0.2">
      <c r="A1805" s="3">
        <v>63</v>
      </c>
      <c r="B1805" s="4" t="s">
        <v>88</v>
      </c>
      <c r="C1805" s="3" t="s">
        <v>125</v>
      </c>
      <c r="D1805" s="3" t="s">
        <v>138</v>
      </c>
      <c r="E1805" s="3">
        <v>7</v>
      </c>
      <c r="F1805">
        <f>SUM(E1798:E1805)</f>
        <v>2104</v>
      </c>
      <c r="G1805" s="57"/>
    </row>
    <row r="1806" spans="1:7" ht="12.75" x14ac:dyDescent="0.2">
      <c r="A1806" s="3">
        <v>64</v>
      </c>
      <c r="B1806" s="4" t="s">
        <v>89</v>
      </c>
      <c r="C1806" s="3" t="s">
        <v>347</v>
      </c>
      <c r="D1806" s="3" t="s">
        <v>366</v>
      </c>
      <c r="E1806" s="3">
        <v>0</v>
      </c>
      <c r="G1806" s="59">
        <v>686</v>
      </c>
    </row>
    <row r="1807" spans="1:7" ht="12.75" x14ac:dyDescent="0.2">
      <c r="A1807" s="3">
        <v>64</v>
      </c>
      <c r="B1807" s="4" t="s">
        <v>89</v>
      </c>
      <c r="C1807" s="3" t="s">
        <v>347</v>
      </c>
      <c r="D1807" s="3" t="s">
        <v>274</v>
      </c>
      <c r="E1807" s="3">
        <v>0</v>
      </c>
      <c r="G1807" s="57"/>
    </row>
    <row r="1808" spans="1:7" ht="12.75" x14ac:dyDescent="0.2">
      <c r="A1808" s="3">
        <v>64</v>
      </c>
      <c r="B1808" s="4" t="s">
        <v>89</v>
      </c>
      <c r="C1808" s="3" t="s">
        <v>347</v>
      </c>
      <c r="D1808" s="3" t="s">
        <v>367</v>
      </c>
      <c r="E1808" s="3">
        <v>1</v>
      </c>
      <c r="G1808" s="57"/>
    </row>
    <row r="1809" spans="1:7" ht="12.75" x14ac:dyDescent="0.2">
      <c r="A1809" s="3">
        <v>64</v>
      </c>
      <c r="B1809" s="4" t="s">
        <v>89</v>
      </c>
      <c r="C1809" s="3" t="s">
        <v>347</v>
      </c>
      <c r="D1809" s="3" t="s">
        <v>368</v>
      </c>
      <c r="E1809" s="3">
        <v>2</v>
      </c>
      <c r="G1809" s="57"/>
    </row>
    <row r="1810" spans="1:7" ht="12.75" x14ac:dyDescent="0.2">
      <c r="A1810" s="3">
        <v>64</v>
      </c>
      <c r="B1810" s="4" t="s">
        <v>89</v>
      </c>
      <c r="C1810" s="3" t="s">
        <v>347</v>
      </c>
      <c r="D1810" s="3" t="s">
        <v>283</v>
      </c>
      <c r="E1810" s="3">
        <v>299</v>
      </c>
      <c r="G1810" s="57"/>
    </row>
    <row r="1811" spans="1:7" ht="12.75" x14ac:dyDescent="0.2">
      <c r="A1811" s="3">
        <v>64</v>
      </c>
      <c r="B1811" s="4" t="s">
        <v>89</v>
      </c>
      <c r="C1811" s="3" t="s">
        <v>347</v>
      </c>
      <c r="D1811" s="3" t="s">
        <v>315</v>
      </c>
      <c r="E1811" s="3">
        <v>5</v>
      </c>
      <c r="G1811" s="57"/>
    </row>
    <row r="1812" spans="1:7" ht="12.75" x14ac:dyDescent="0.2">
      <c r="A1812" s="3">
        <v>64</v>
      </c>
      <c r="B1812" s="4" t="s">
        <v>89</v>
      </c>
      <c r="C1812" s="3" t="s">
        <v>347</v>
      </c>
      <c r="D1812" s="3" t="s">
        <v>316</v>
      </c>
      <c r="E1812" s="3">
        <v>9</v>
      </c>
      <c r="G1812" s="57"/>
    </row>
    <row r="1813" spans="1:7" ht="12.75" x14ac:dyDescent="0.2">
      <c r="A1813" s="3">
        <v>64</v>
      </c>
      <c r="B1813" s="4" t="s">
        <v>89</v>
      </c>
      <c r="C1813" s="3" t="s">
        <v>347</v>
      </c>
      <c r="D1813" s="3" t="s">
        <v>369</v>
      </c>
      <c r="E1813" s="3">
        <v>1</v>
      </c>
      <c r="G1813" s="57"/>
    </row>
    <row r="1814" spans="1:7" ht="12.75" x14ac:dyDescent="0.2">
      <c r="A1814" s="3">
        <v>64</v>
      </c>
      <c r="B1814" s="4" t="s">
        <v>89</v>
      </c>
      <c r="C1814" s="3" t="s">
        <v>347</v>
      </c>
      <c r="D1814" s="3" t="s">
        <v>128</v>
      </c>
      <c r="E1814" s="3">
        <v>174</v>
      </c>
      <c r="G1814" s="57"/>
    </row>
    <row r="1815" spans="1:7" ht="12.75" x14ac:dyDescent="0.2">
      <c r="A1815" s="3">
        <v>64</v>
      </c>
      <c r="B1815" s="4" t="s">
        <v>89</v>
      </c>
      <c r="C1815" s="3" t="s">
        <v>347</v>
      </c>
      <c r="D1815" s="3" t="s">
        <v>370</v>
      </c>
      <c r="E1815" s="3">
        <v>4</v>
      </c>
      <c r="G1815" s="57"/>
    </row>
    <row r="1816" spans="1:7" ht="12.75" x14ac:dyDescent="0.2">
      <c r="A1816" s="3">
        <v>64</v>
      </c>
      <c r="B1816" s="4" t="s">
        <v>89</v>
      </c>
      <c r="C1816" s="3" t="s">
        <v>347</v>
      </c>
      <c r="D1816" s="3" t="s">
        <v>353</v>
      </c>
      <c r="E1816" s="3">
        <v>5</v>
      </c>
      <c r="G1816" s="57"/>
    </row>
    <row r="1817" spans="1:7" ht="12.75" x14ac:dyDescent="0.2">
      <c r="A1817" s="3">
        <v>64</v>
      </c>
      <c r="B1817" s="4" t="s">
        <v>89</v>
      </c>
      <c r="C1817" s="3" t="s">
        <v>347</v>
      </c>
      <c r="D1817" s="3" t="s">
        <v>371</v>
      </c>
      <c r="E1817" s="3">
        <v>54</v>
      </c>
      <c r="G1817" s="57"/>
    </row>
    <row r="1818" spans="1:7" ht="12.75" x14ac:dyDescent="0.2">
      <c r="A1818" s="3">
        <v>64</v>
      </c>
      <c r="B1818" s="4" t="s">
        <v>89</v>
      </c>
      <c r="C1818" s="3" t="s">
        <v>347</v>
      </c>
      <c r="D1818" s="3" t="s">
        <v>14</v>
      </c>
      <c r="E1818" s="3">
        <v>9</v>
      </c>
      <c r="G1818" s="57"/>
    </row>
    <row r="1819" spans="1:7" ht="12.75" x14ac:dyDescent="0.2">
      <c r="A1819" s="3">
        <v>64</v>
      </c>
      <c r="B1819" s="4" t="s">
        <v>89</v>
      </c>
      <c r="C1819" s="3" t="s">
        <v>347</v>
      </c>
      <c r="D1819" s="3" t="s">
        <v>138</v>
      </c>
      <c r="E1819" s="3">
        <v>1</v>
      </c>
      <c r="F1819">
        <f>SUM(E1806:E1819)</f>
        <v>564</v>
      </c>
      <c r="G1819" s="57"/>
    </row>
    <row r="1820" spans="1:7" ht="12.75" x14ac:dyDescent="0.2">
      <c r="A1820" s="3">
        <v>64</v>
      </c>
      <c r="B1820" s="4" t="s">
        <v>89</v>
      </c>
      <c r="C1820" s="3" t="s">
        <v>273</v>
      </c>
      <c r="D1820" s="3" t="s">
        <v>274</v>
      </c>
      <c r="E1820" s="3">
        <v>1</v>
      </c>
      <c r="G1820" s="57"/>
    </row>
    <row r="1821" spans="1:7" ht="12.75" x14ac:dyDescent="0.2">
      <c r="A1821" s="3">
        <v>64</v>
      </c>
      <c r="B1821" s="4" t="s">
        <v>89</v>
      </c>
      <c r="C1821" s="3" t="s">
        <v>273</v>
      </c>
      <c r="D1821" s="3" t="s">
        <v>283</v>
      </c>
      <c r="E1821" s="3">
        <v>324</v>
      </c>
      <c r="G1821" s="57"/>
    </row>
    <row r="1822" spans="1:7" ht="12.75" x14ac:dyDescent="0.2">
      <c r="A1822" s="3">
        <v>64</v>
      </c>
      <c r="B1822" s="4" t="s">
        <v>89</v>
      </c>
      <c r="C1822" s="3" t="s">
        <v>273</v>
      </c>
      <c r="D1822" s="3" t="s">
        <v>315</v>
      </c>
      <c r="E1822" s="3">
        <v>4</v>
      </c>
      <c r="G1822" s="57"/>
    </row>
    <row r="1823" spans="1:7" ht="12.75" x14ac:dyDescent="0.2">
      <c r="A1823" s="3">
        <v>64</v>
      </c>
      <c r="B1823" s="4" t="s">
        <v>89</v>
      </c>
      <c r="C1823" s="3" t="s">
        <v>273</v>
      </c>
      <c r="D1823" s="3" t="s">
        <v>128</v>
      </c>
      <c r="E1823" s="3">
        <v>180</v>
      </c>
      <c r="G1823" s="57"/>
    </row>
    <row r="1824" spans="1:7" ht="12.75" x14ac:dyDescent="0.2">
      <c r="A1824" s="3">
        <v>64</v>
      </c>
      <c r="B1824" s="4" t="s">
        <v>89</v>
      </c>
      <c r="C1824" s="3" t="s">
        <v>273</v>
      </c>
      <c r="D1824" s="3" t="s">
        <v>353</v>
      </c>
      <c r="E1824" s="3">
        <v>1</v>
      </c>
      <c r="G1824" s="57"/>
    </row>
    <row r="1825" spans="1:7" ht="12.75" x14ac:dyDescent="0.2">
      <c r="A1825" s="3">
        <v>64</v>
      </c>
      <c r="B1825" s="4" t="s">
        <v>89</v>
      </c>
      <c r="C1825" s="3" t="s">
        <v>273</v>
      </c>
      <c r="D1825" s="3" t="s">
        <v>371</v>
      </c>
      <c r="E1825" s="3">
        <v>29</v>
      </c>
      <c r="G1825" s="57"/>
    </row>
    <row r="1826" spans="1:7" ht="12.75" x14ac:dyDescent="0.2">
      <c r="A1826" s="3">
        <v>64</v>
      </c>
      <c r="B1826" s="4" t="s">
        <v>89</v>
      </c>
      <c r="C1826" s="3" t="s">
        <v>273</v>
      </c>
      <c r="D1826" s="3" t="s">
        <v>14</v>
      </c>
      <c r="E1826" s="3">
        <v>24</v>
      </c>
      <c r="G1826" s="57"/>
    </row>
    <row r="1827" spans="1:7" ht="12.75" x14ac:dyDescent="0.2">
      <c r="A1827" s="3">
        <v>64</v>
      </c>
      <c r="B1827" s="4" t="s">
        <v>89</v>
      </c>
      <c r="C1827" s="3" t="s">
        <v>273</v>
      </c>
      <c r="D1827" s="3" t="s">
        <v>138</v>
      </c>
      <c r="E1827" s="3">
        <v>1</v>
      </c>
      <c r="F1827">
        <f>SUM(E1820:E1827)</f>
        <v>564</v>
      </c>
      <c r="G1827" s="57"/>
    </row>
    <row r="1828" spans="1:7" ht="12.75" x14ac:dyDescent="0.2">
      <c r="A1828" s="3">
        <v>64</v>
      </c>
      <c r="B1828" s="4" t="s">
        <v>89</v>
      </c>
      <c r="C1828" s="3" t="s">
        <v>125</v>
      </c>
      <c r="D1828" s="3" t="s">
        <v>274</v>
      </c>
      <c r="E1828" s="3">
        <v>1</v>
      </c>
      <c r="G1828" s="57"/>
    </row>
    <row r="1829" spans="1:7" ht="12.75" x14ac:dyDescent="0.2">
      <c r="A1829" s="3">
        <v>64</v>
      </c>
      <c r="B1829" s="4" t="s">
        <v>89</v>
      </c>
      <c r="C1829" s="3" t="s">
        <v>125</v>
      </c>
      <c r="D1829" s="3" t="s">
        <v>283</v>
      </c>
      <c r="E1829" s="3">
        <v>335</v>
      </c>
      <c r="G1829" s="57"/>
    </row>
    <row r="1830" spans="1:7" ht="12.75" x14ac:dyDescent="0.2">
      <c r="A1830" s="3">
        <v>64</v>
      </c>
      <c r="B1830" s="4" t="s">
        <v>89</v>
      </c>
      <c r="C1830" s="3" t="s">
        <v>125</v>
      </c>
      <c r="D1830" s="3" t="s">
        <v>315</v>
      </c>
      <c r="E1830" s="3">
        <v>4</v>
      </c>
      <c r="G1830" s="57"/>
    </row>
    <row r="1831" spans="1:7" ht="12.75" x14ac:dyDescent="0.2">
      <c r="A1831" s="3">
        <v>64</v>
      </c>
      <c r="B1831" s="4" t="s">
        <v>89</v>
      </c>
      <c r="C1831" s="3" t="s">
        <v>125</v>
      </c>
      <c r="D1831" s="3" t="s">
        <v>128</v>
      </c>
      <c r="E1831" s="3">
        <v>179</v>
      </c>
      <c r="G1831" s="57"/>
    </row>
    <row r="1832" spans="1:7" ht="12.75" x14ac:dyDescent="0.2">
      <c r="A1832" s="3">
        <v>64</v>
      </c>
      <c r="B1832" s="4" t="s">
        <v>89</v>
      </c>
      <c r="C1832" s="3" t="s">
        <v>125</v>
      </c>
      <c r="D1832" s="3" t="s">
        <v>353</v>
      </c>
      <c r="E1832" s="3">
        <v>1</v>
      </c>
      <c r="G1832" s="57"/>
    </row>
    <row r="1833" spans="1:7" ht="12.75" x14ac:dyDescent="0.2">
      <c r="A1833" s="3">
        <v>64</v>
      </c>
      <c r="B1833" s="4" t="s">
        <v>89</v>
      </c>
      <c r="C1833" s="3" t="s">
        <v>125</v>
      </c>
      <c r="D1833" s="3" t="s">
        <v>371</v>
      </c>
      <c r="E1833" s="3">
        <v>29</v>
      </c>
      <c r="G1833" s="57"/>
    </row>
    <row r="1834" spans="1:7" ht="12.75" x14ac:dyDescent="0.2">
      <c r="A1834" s="3">
        <v>64</v>
      </c>
      <c r="B1834" s="4" t="s">
        <v>89</v>
      </c>
      <c r="C1834" s="3" t="s">
        <v>125</v>
      </c>
      <c r="D1834" s="3" t="s">
        <v>14</v>
      </c>
      <c r="E1834" s="3">
        <v>14</v>
      </c>
      <c r="G1834" s="57"/>
    </row>
    <row r="1835" spans="1:7" ht="12.75" x14ac:dyDescent="0.2">
      <c r="A1835" s="3">
        <v>64</v>
      </c>
      <c r="B1835" s="4" t="s">
        <v>89</v>
      </c>
      <c r="C1835" s="3" t="s">
        <v>125</v>
      </c>
      <c r="D1835" s="3" t="s">
        <v>138</v>
      </c>
      <c r="E1835" s="3">
        <v>1</v>
      </c>
      <c r="F1835">
        <f>SUM(E1828:E1835)</f>
        <v>564</v>
      </c>
      <c r="G1835" s="57"/>
    </row>
    <row r="1836" spans="1:7" ht="12.75" x14ac:dyDescent="0.2">
      <c r="A1836" s="3">
        <v>66</v>
      </c>
      <c r="B1836" s="4" t="s">
        <v>91</v>
      </c>
      <c r="C1836" s="3" t="s">
        <v>347</v>
      </c>
      <c r="D1836" s="3" t="s">
        <v>366</v>
      </c>
      <c r="E1836" s="3">
        <v>0</v>
      </c>
      <c r="G1836" s="59">
        <v>112</v>
      </c>
    </row>
    <row r="1837" spans="1:7" ht="12.75" x14ac:dyDescent="0.2">
      <c r="A1837" s="3">
        <v>66</v>
      </c>
      <c r="B1837" s="4" t="s">
        <v>91</v>
      </c>
      <c r="C1837" s="3" t="s">
        <v>347</v>
      </c>
      <c r="D1837" s="3" t="s">
        <v>274</v>
      </c>
      <c r="E1837" s="3">
        <v>0</v>
      </c>
      <c r="G1837" s="57"/>
    </row>
    <row r="1838" spans="1:7" ht="12.75" x14ac:dyDescent="0.2">
      <c r="A1838" s="3">
        <v>66</v>
      </c>
      <c r="B1838" s="4" t="s">
        <v>91</v>
      </c>
      <c r="C1838" s="3" t="s">
        <v>347</v>
      </c>
      <c r="D1838" s="3" t="s">
        <v>367</v>
      </c>
      <c r="E1838" s="3">
        <v>0</v>
      </c>
      <c r="G1838" s="57"/>
    </row>
    <row r="1839" spans="1:7" ht="12.75" x14ac:dyDescent="0.2">
      <c r="A1839" s="3">
        <v>66</v>
      </c>
      <c r="B1839" s="4" t="s">
        <v>91</v>
      </c>
      <c r="C1839" s="3" t="s">
        <v>347</v>
      </c>
      <c r="D1839" s="3" t="s">
        <v>368</v>
      </c>
      <c r="E1839" s="3">
        <v>0</v>
      </c>
      <c r="G1839" s="57"/>
    </row>
    <row r="1840" spans="1:7" ht="12.75" x14ac:dyDescent="0.2">
      <c r="A1840" s="3">
        <v>66</v>
      </c>
      <c r="B1840" s="4" t="s">
        <v>91</v>
      </c>
      <c r="C1840" s="3" t="s">
        <v>347</v>
      </c>
      <c r="D1840" s="3" t="s">
        <v>283</v>
      </c>
      <c r="E1840" s="3">
        <v>19</v>
      </c>
      <c r="G1840" s="57"/>
    </row>
    <row r="1841" spans="1:7" ht="12.75" x14ac:dyDescent="0.2">
      <c r="A1841" s="3">
        <v>66</v>
      </c>
      <c r="B1841" s="4" t="s">
        <v>91</v>
      </c>
      <c r="C1841" s="3" t="s">
        <v>347</v>
      </c>
      <c r="D1841" s="3" t="s">
        <v>315</v>
      </c>
      <c r="E1841" s="3">
        <v>0</v>
      </c>
      <c r="G1841" s="57"/>
    </row>
    <row r="1842" spans="1:7" ht="12.75" x14ac:dyDescent="0.2">
      <c r="A1842" s="3">
        <v>66</v>
      </c>
      <c r="B1842" s="4" t="s">
        <v>91</v>
      </c>
      <c r="C1842" s="3" t="s">
        <v>347</v>
      </c>
      <c r="D1842" s="3" t="s">
        <v>316</v>
      </c>
      <c r="E1842" s="3">
        <v>0</v>
      </c>
      <c r="G1842" s="57"/>
    </row>
    <row r="1843" spans="1:7" ht="12.75" x14ac:dyDescent="0.2">
      <c r="A1843" s="3">
        <v>66</v>
      </c>
      <c r="B1843" s="4" t="s">
        <v>91</v>
      </c>
      <c r="C1843" s="3" t="s">
        <v>347</v>
      </c>
      <c r="D1843" s="3" t="s">
        <v>369</v>
      </c>
      <c r="E1843" s="3">
        <v>0</v>
      </c>
      <c r="G1843" s="57"/>
    </row>
    <row r="1844" spans="1:7" ht="12.75" x14ac:dyDescent="0.2">
      <c r="A1844" s="3">
        <v>66</v>
      </c>
      <c r="B1844" s="4" t="s">
        <v>91</v>
      </c>
      <c r="C1844" s="3" t="s">
        <v>347</v>
      </c>
      <c r="D1844" s="3" t="s">
        <v>128</v>
      </c>
      <c r="E1844" s="3">
        <v>55</v>
      </c>
      <c r="G1844" s="57"/>
    </row>
    <row r="1845" spans="1:7" ht="12.75" x14ac:dyDescent="0.2">
      <c r="A1845" s="3">
        <v>66</v>
      </c>
      <c r="B1845" s="4" t="s">
        <v>91</v>
      </c>
      <c r="C1845" s="3" t="s">
        <v>347</v>
      </c>
      <c r="D1845" s="3" t="s">
        <v>370</v>
      </c>
      <c r="E1845" s="3">
        <v>0</v>
      </c>
      <c r="G1845" s="57"/>
    </row>
    <row r="1846" spans="1:7" ht="12.75" x14ac:dyDescent="0.2">
      <c r="A1846" s="3">
        <v>66</v>
      </c>
      <c r="B1846" s="4" t="s">
        <v>91</v>
      </c>
      <c r="C1846" s="3" t="s">
        <v>347</v>
      </c>
      <c r="D1846" s="3" t="s">
        <v>353</v>
      </c>
      <c r="E1846" s="3">
        <v>0</v>
      </c>
      <c r="G1846" s="57"/>
    </row>
    <row r="1847" spans="1:7" ht="12.75" x14ac:dyDescent="0.2">
      <c r="A1847" s="3">
        <v>66</v>
      </c>
      <c r="B1847" s="4" t="s">
        <v>91</v>
      </c>
      <c r="C1847" s="3" t="s">
        <v>347</v>
      </c>
      <c r="D1847" s="3" t="s">
        <v>371</v>
      </c>
      <c r="E1847" s="3">
        <v>15</v>
      </c>
      <c r="G1847" s="57"/>
    </row>
    <row r="1848" spans="1:7" ht="12.75" x14ac:dyDescent="0.2">
      <c r="A1848" s="3">
        <v>66</v>
      </c>
      <c r="B1848" s="4" t="s">
        <v>91</v>
      </c>
      <c r="C1848" s="3" t="s">
        <v>347</v>
      </c>
      <c r="D1848" s="3" t="s">
        <v>14</v>
      </c>
      <c r="E1848" s="3">
        <v>5</v>
      </c>
      <c r="G1848" s="57"/>
    </row>
    <row r="1849" spans="1:7" ht="12.75" x14ac:dyDescent="0.2">
      <c r="A1849" s="3">
        <v>66</v>
      </c>
      <c r="B1849" s="4" t="s">
        <v>91</v>
      </c>
      <c r="C1849" s="3" t="s">
        <v>347</v>
      </c>
      <c r="D1849" s="3" t="s">
        <v>138</v>
      </c>
      <c r="E1849" s="3">
        <v>4</v>
      </c>
      <c r="F1849">
        <f>SUM(E1836:E1849)</f>
        <v>98</v>
      </c>
      <c r="G1849" s="57"/>
    </row>
    <row r="1850" spans="1:7" ht="12.75" x14ac:dyDescent="0.2">
      <c r="A1850" s="3">
        <v>66</v>
      </c>
      <c r="B1850" s="4" t="s">
        <v>91</v>
      </c>
      <c r="C1850" s="3" t="s">
        <v>273</v>
      </c>
      <c r="D1850" s="3" t="s">
        <v>274</v>
      </c>
      <c r="E1850" s="3">
        <v>0</v>
      </c>
      <c r="G1850" s="57"/>
    </row>
    <row r="1851" spans="1:7" ht="12.75" x14ac:dyDescent="0.2">
      <c r="A1851" s="3">
        <v>66</v>
      </c>
      <c r="B1851" s="4" t="s">
        <v>91</v>
      </c>
      <c r="C1851" s="3" t="s">
        <v>273</v>
      </c>
      <c r="D1851" s="3" t="s">
        <v>283</v>
      </c>
      <c r="E1851" s="3">
        <v>28</v>
      </c>
      <c r="G1851" s="57"/>
    </row>
    <row r="1852" spans="1:7" ht="12.75" x14ac:dyDescent="0.2">
      <c r="A1852" s="3">
        <v>66</v>
      </c>
      <c r="B1852" s="4" t="s">
        <v>91</v>
      </c>
      <c r="C1852" s="3" t="s">
        <v>273</v>
      </c>
      <c r="D1852" s="3" t="s">
        <v>315</v>
      </c>
      <c r="E1852" s="3">
        <v>0</v>
      </c>
      <c r="G1852" s="57"/>
    </row>
    <row r="1853" spans="1:7" ht="12.75" x14ac:dyDescent="0.2">
      <c r="A1853" s="3">
        <v>66</v>
      </c>
      <c r="B1853" s="4" t="s">
        <v>91</v>
      </c>
      <c r="C1853" s="3" t="s">
        <v>273</v>
      </c>
      <c r="D1853" s="3" t="s">
        <v>128</v>
      </c>
      <c r="E1853" s="3">
        <v>56</v>
      </c>
      <c r="G1853" s="57"/>
    </row>
    <row r="1854" spans="1:7" ht="12.75" x14ac:dyDescent="0.2">
      <c r="A1854" s="3">
        <v>66</v>
      </c>
      <c r="B1854" s="4" t="s">
        <v>91</v>
      </c>
      <c r="C1854" s="3" t="s">
        <v>273</v>
      </c>
      <c r="D1854" s="3" t="s">
        <v>353</v>
      </c>
      <c r="E1854" s="3">
        <v>0</v>
      </c>
      <c r="G1854" s="57"/>
    </row>
    <row r="1855" spans="1:7" ht="12.75" x14ac:dyDescent="0.2">
      <c r="A1855" s="3">
        <v>66</v>
      </c>
      <c r="B1855" s="4" t="s">
        <v>91</v>
      </c>
      <c r="C1855" s="3" t="s">
        <v>273</v>
      </c>
      <c r="D1855" s="3" t="s">
        <v>371</v>
      </c>
      <c r="E1855" s="3">
        <v>6</v>
      </c>
      <c r="G1855" s="57"/>
    </row>
    <row r="1856" spans="1:7" ht="12.75" x14ac:dyDescent="0.2">
      <c r="A1856" s="3">
        <v>66</v>
      </c>
      <c r="B1856" s="4" t="s">
        <v>91</v>
      </c>
      <c r="C1856" s="3" t="s">
        <v>273</v>
      </c>
      <c r="D1856" s="3" t="s">
        <v>14</v>
      </c>
      <c r="E1856" s="3">
        <v>4</v>
      </c>
      <c r="G1856" s="57"/>
    </row>
    <row r="1857" spans="1:7" ht="12.75" x14ac:dyDescent="0.2">
      <c r="A1857" s="3">
        <v>66</v>
      </c>
      <c r="B1857" s="4" t="s">
        <v>91</v>
      </c>
      <c r="C1857" s="3" t="s">
        <v>273</v>
      </c>
      <c r="D1857" s="3" t="s">
        <v>138</v>
      </c>
      <c r="E1857" s="3">
        <v>4</v>
      </c>
      <c r="F1857">
        <f>SUM(E1850:E1857)</f>
        <v>98</v>
      </c>
      <c r="G1857" s="57"/>
    </row>
    <row r="1858" spans="1:7" ht="12.75" x14ac:dyDescent="0.2">
      <c r="A1858" s="3">
        <v>66</v>
      </c>
      <c r="B1858" s="4" t="s">
        <v>91</v>
      </c>
      <c r="C1858" s="3" t="s">
        <v>125</v>
      </c>
      <c r="D1858" s="3" t="s">
        <v>274</v>
      </c>
      <c r="E1858" s="3">
        <v>0</v>
      </c>
      <c r="G1858" s="57"/>
    </row>
    <row r="1859" spans="1:7" ht="12.75" x14ac:dyDescent="0.2">
      <c r="A1859" s="3">
        <v>66</v>
      </c>
      <c r="B1859" s="4" t="s">
        <v>91</v>
      </c>
      <c r="C1859" s="3" t="s">
        <v>125</v>
      </c>
      <c r="D1859" s="3" t="s">
        <v>283</v>
      </c>
      <c r="E1859" s="3">
        <v>28</v>
      </c>
      <c r="G1859" s="57"/>
    </row>
    <row r="1860" spans="1:7" ht="12.75" x14ac:dyDescent="0.2">
      <c r="A1860" s="3">
        <v>66</v>
      </c>
      <c r="B1860" s="4" t="s">
        <v>91</v>
      </c>
      <c r="C1860" s="3" t="s">
        <v>125</v>
      </c>
      <c r="D1860" s="3" t="s">
        <v>315</v>
      </c>
      <c r="E1860" s="3">
        <v>0</v>
      </c>
      <c r="G1860" s="57"/>
    </row>
    <row r="1861" spans="1:7" ht="12.75" x14ac:dyDescent="0.2">
      <c r="A1861" s="3">
        <v>66</v>
      </c>
      <c r="B1861" s="4" t="s">
        <v>91</v>
      </c>
      <c r="C1861" s="3" t="s">
        <v>125</v>
      </c>
      <c r="D1861" s="3" t="s">
        <v>128</v>
      </c>
      <c r="E1861" s="3">
        <v>56</v>
      </c>
      <c r="G1861" s="57"/>
    </row>
    <row r="1862" spans="1:7" ht="12.75" x14ac:dyDescent="0.2">
      <c r="A1862" s="3">
        <v>66</v>
      </c>
      <c r="B1862" s="4" t="s">
        <v>91</v>
      </c>
      <c r="C1862" s="3" t="s">
        <v>125</v>
      </c>
      <c r="D1862" s="3" t="s">
        <v>353</v>
      </c>
      <c r="E1862" s="3">
        <v>0</v>
      </c>
      <c r="G1862" s="57"/>
    </row>
    <row r="1863" spans="1:7" ht="12.75" x14ac:dyDescent="0.2">
      <c r="A1863" s="3">
        <v>66</v>
      </c>
      <c r="B1863" s="4" t="s">
        <v>91</v>
      </c>
      <c r="C1863" s="3" t="s">
        <v>125</v>
      </c>
      <c r="D1863" s="3" t="s">
        <v>371</v>
      </c>
      <c r="E1863" s="3">
        <v>6</v>
      </c>
      <c r="G1863" s="57"/>
    </row>
    <row r="1864" spans="1:7" ht="12.75" x14ac:dyDescent="0.2">
      <c r="A1864" s="3">
        <v>66</v>
      </c>
      <c r="B1864" s="4" t="s">
        <v>91</v>
      </c>
      <c r="C1864" s="3" t="s">
        <v>125</v>
      </c>
      <c r="D1864" s="3" t="s">
        <v>14</v>
      </c>
      <c r="E1864" s="3">
        <v>4</v>
      </c>
      <c r="G1864" s="57"/>
    </row>
    <row r="1865" spans="1:7" ht="12.75" x14ac:dyDescent="0.2">
      <c r="A1865" s="3">
        <v>66</v>
      </c>
      <c r="B1865" s="4" t="s">
        <v>91</v>
      </c>
      <c r="C1865" s="3" t="s">
        <v>125</v>
      </c>
      <c r="D1865" s="3" t="s">
        <v>138</v>
      </c>
      <c r="E1865" s="3">
        <v>4</v>
      </c>
      <c r="F1865">
        <f>SUM(E1858:E1865)</f>
        <v>98</v>
      </c>
      <c r="G1865" s="57"/>
    </row>
    <row r="1866" spans="1:7" ht="12.75" x14ac:dyDescent="0.2">
      <c r="A1866" s="3">
        <v>67</v>
      </c>
      <c r="B1866" s="4" t="s">
        <v>155</v>
      </c>
      <c r="C1866" s="3" t="s">
        <v>347</v>
      </c>
      <c r="D1866" s="3" t="s">
        <v>366</v>
      </c>
      <c r="E1866" s="3">
        <v>0</v>
      </c>
      <c r="G1866" s="59">
        <v>44</v>
      </c>
    </row>
    <row r="1867" spans="1:7" ht="12.75" x14ac:dyDescent="0.2">
      <c r="A1867" s="3">
        <v>67</v>
      </c>
      <c r="B1867" s="4" t="s">
        <v>155</v>
      </c>
      <c r="C1867" s="3" t="s">
        <v>347</v>
      </c>
      <c r="D1867" s="3" t="s">
        <v>274</v>
      </c>
      <c r="E1867" s="3">
        <v>0</v>
      </c>
      <c r="G1867" s="57"/>
    </row>
    <row r="1868" spans="1:7" ht="12.75" x14ac:dyDescent="0.2">
      <c r="A1868" s="3">
        <v>67</v>
      </c>
      <c r="B1868" s="4" t="s">
        <v>155</v>
      </c>
      <c r="C1868" s="3" t="s">
        <v>347</v>
      </c>
      <c r="D1868" s="3" t="s">
        <v>367</v>
      </c>
      <c r="E1868" s="3">
        <v>0</v>
      </c>
      <c r="G1868" s="57"/>
    </row>
    <row r="1869" spans="1:7" ht="12.75" x14ac:dyDescent="0.2">
      <c r="A1869" s="3">
        <v>67</v>
      </c>
      <c r="B1869" s="4" t="s">
        <v>155</v>
      </c>
      <c r="C1869" s="3" t="s">
        <v>347</v>
      </c>
      <c r="D1869" s="3" t="s">
        <v>368</v>
      </c>
      <c r="E1869" s="3">
        <v>0</v>
      </c>
      <c r="G1869" s="57"/>
    </row>
    <row r="1870" spans="1:7" ht="12.75" x14ac:dyDescent="0.2">
      <c r="A1870" s="3">
        <v>67</v>
      </c>
      <c r="B1870" s="4" t="s">
        <v>155</v>
      </c>
      <c r="C1870" s="3" t="s">
        <v>347</v>
      </c>
      <c r="D1870" s="3" t="s">
        <v>283</v>
      </c>
      <c r="E1870" s="3">
        <v>10</v>
      </c>
      <c r="G1870" s="57"/>
    </row>
    <row r="1871" spans="1:7" ht="12.75" x14ac:dyDescent="0.2">
      <c r="A1871" s="3">
        <v>67</v>
      </c>
      <c r="B1871" s="4" t="s">
        <v>155</v>
      </c>
      <c r="C1871" s="3" t="s">
        <v>347</v>
      </c>
      <c r="D1871" s="3" t="s">
        <v>315</v>
      </c>
      <c r="E1871" s="3">
        <v>0</v>
      </c>
      <c r="G1871" s="57"/>
    </row>
    <row r="1872" spans="1:7" ht="12.75" x14ac:dyDescent="0.2">
      <c r="A1872" s="3">
        <v>67</v>
      </c>
      <c r="B1872" s="4" t="s">
        <v>155</v>
      </c>
      <c r="C1872" s="3" t="s">
        <v>347</v>
      </c>
      <c r="D1872" s="3" t="s">
        <v>316</v>
      </c>
      <c r="E1872" s="3">
        <v>0</v>
      </c>
      <c r="G1872" s="57"/>
    </row>
    <row r="1873" spans="1:7" ht="12.75" x14ac:dyDescent="0.2">
      <c r="A1873" s="3">
        <v>67</v>
      </c>
      <c r="B1873" s="4" t="s">
        <v>155</v>
      </c>
      <c r="C1873" s="3" t="s">
        <v>347</v>
      </c>
      <c r="D1873" s="3" t="s">
        <v>369</v>
      </c>
      <c r="E1873" s="3">
        <v>0</v>
      </c>
      <c r="G1873" s="57"/>
    </row>
    <row r="1874" spans="1:7" ht="12.75" x14ac:dyDescent="0.2">
      <c r="A1874" s="3">
        <v>67</v>
      </c>
      <c r="B1874" s="4" t="s">
        <v>155</v>
      </c>
      <c r="C1874" s="3" t="s">
        <v>347</v>
      </c>
      <c r="D1874" s="3" t="s">
        <v>128</v>
      </c>
      <c r="E1874" s="3">
        <v>11</v>
      </c>
      <c r="G1874" s="57"/>
    </row>
    <row r="1875" spans="1:7" ht="12.75" x14ac:dyDescent="0.2">
      <c r="A1875" s="3">
        <v>67</v>
      </c>
      <c r="B1875" s="4" t="s">
        <v>155</v>
      </c>
      <c r="C1875" s="3" t="s">
        <v>347</v>
      </c>
      <c r="D1875" s="3" t="s">
        <v>370</v>
      </c>
      <c r="E1875" s="3">
        <v>0</v>
      </c>
      <c r="G1875" s="57"/>
    </row>
    <row r="1876" spans="1:7" ht="12.75" x14ac:dyDescent="0.2">
      <c r="A1876" s="3">
        <v>67</v>
      </c>
      <c r="B1876" s="4" t="s">
        <v>155</v>
      </c>
      <c r="C1876" s="3" t="s">
        <v>347</v>
      </c>
      <c r="D1876" s="3" t="s">
        <v>353</v>
      </c>
      <c r="E1876" s="3">
        <v>1</v>
      </c>
      <c r="G1876" s="57"/>
    </row>
    <row r="1877" spans="1:7" ht="12.75" x14ac:dyDescent="0.2">
      <c r="A1877" s="3">
        <v>67</v>
      </c>
      <c r="B1877" s="4" t="s">
        <v>155</v>
      </c>
      <c r="C1877" s="3" t="s">
        <v>347</v>
      </c>
      <c r="D1877" s="3" t="s">
        <v>371</v>
      </c>
      <c r="E1877" s="3">
        <v>13</v>
      </c>
      <c r="G1877" s="57"/>
    </row>
    <row r="1878" spans="1:7" ht="12.75" x14ac:dyDescent="0.2">
      <c r="A1878" s="3">
        <v>67</v>
      </c>
      <c r="B1878" s="4" t="s">
        <v>155</v>
      </c>
      <c r="C1878" s="3" t="s">
        <v>347</v>
      </c>
      <c r="D1878" s="3" t="s">
        <v>14</v>
      </c>
      <c r="E1878" s="3">
        <v>0</v>
      </c>
      <c r="G1878" s="57"/>
    </row>
    <row r="1879" spans="1:7" ht="12.75" x14ac:dyDescent="0.2">
      <c r="A1879" s="3">
        <v>67</v>
      </c>
      <c r="B1879" s="4" t="s">
        <v>155</v>
      </c>
      <c r="C1879" s="3" t="s">
        <v>347</v>
      </c>
      <c r="D1879" s="3" t="s">
        <v>138</v>
      </c>
      <c r="E1879" s="3">
        <v>0</v>
      </c>
      <c r="F1879">
        <f>SUM(E1866:E1879)</f>
        <v>35</v>
      </c>
      <c r="G1879" s="57"/>
    </row>
    <row r="1880" spans="1:7" ht="12.75" x14ac:dyDescent="0.2">
      <c r="A1880" s="3">
        <v>67</v>
      </c>
      <c r="B1880" s="4" t="s">
        <v>155</v>
      </c>
      <c r="C1880" s="3" t="s">
        <v>273</v>
      </c>
      <c r="D1880" s="3" t="s">
        <v>274</v>
      </c>
      <c r="E1880" s="3">
        <v>0</v>
      </c>
      <c r="G1880" s="57"/>
    </row>
    <row r="1881" spans="1:7" ht="12.75" x14ac:dyDescent="0.2">
      <c r="A1881" s="3">
        <v>67</v>
      </c>
      <c r="B1881" s="4" t="s">
        <v>155</v>
      </c>
      <c r="C1881" s="3" t="s">
        <v>273</v>
      </c>
      <c r="D1881" s="3" t="s">
        <v>283</v>
      </c>
      <c r="E1881" s="3">
        <v>17</v>
      </c>
      <c r="G1881" s="57"/>
    </row>
    <row r="1882" spans="1:7" ht="12.75" x14ac:dyDescent="0.2">
      <c r="A1882" s="3">
        <v>67</v>
      </c>
      <c r="B1882" s="4" t="s">
        <v>155</v>
      </c>
      <c r="C1882" s="3" t="s">
        <v>273</v>
      </c>
      <c r="D1882" s="3" t="s">
        <v>315</v>
      </c>
      <c r="E1882" s="3">
        <v>0</v>
      </c>
      <c r="G1882" s="57"/>
    </row>
    <row r="1883" spans="1:7" ht="12.75" x14ac:dyDescent="0.2">
      <c r="A1883" s="3">
        <v>67</v>
      </c>
      <c r="B1883" s="4" t="s">
        <v>155</v>
      </c>
      <c r="C1883" s="3" t="s">
        <v>273</v>
      </c>
      <c r="D1883" s="3" t="s">
        <v>128</v>
      </c>
      <c r="E1883" s="3">
        <v>12</v>
      </c>
      <c r="G1883" s="57"/>
    </row>
    <row r="1884" spans="1:7" ht="12.75" x14ac:dyDescent="0.2">
      <c r="A1884" s="3">
        <v>67</v>
      </c>
      <c r="B1884" s="4" t="s">
        <v>155</v>
      </c>
      <c r="C1884" s="3" t="s">
        <v>273</v>
      </c>
      <c r="D1884" s="3" t="s">
        <v>353</v>
      </c>
      <c r="E1884" s="3">
        <v>2</v>
      </c>
      <c r="G1884" s="57"/>
    </row>
    <row r="1885" spans="1:7" ht="12.75" x14ac:dyDescent="0.2">
      <c r="A1885" s="3">
        <v>67</v>
      </c>
      <c r="B1885" s="4" t="s">
        <v>155</v>
      </c>
      <c r="C1885" s="3" t="s">
        <v>273</v>
      </c>
      <c r="D1885" s="3" t="s">
        <v>371</v>
      </c>
      <c r="E1885" s="3">
        <v>3</v>
      </c>
      <c r="G1885" s="57"/>
    </row>
    <row r="1886" spans="1:7" ht="12.75" x14ac:dyDescent="0.2">
      <c r="A1886" s="3">
        <v>67</v>
      </c>
      <c r="B1886" s="4" t="s">
        <v>155</v>
      </c>
      <c r="C1886" s="3" t="s">
        <v>273</v>
      </c>
      <c r="D1886" s="3" t="s">
        <v>14</v>
      </c>
      <c r="E1886" s="3">
        <v>1</v>
      </c>
      <c r="G1886" s="57"/>
    </row>
    <row r="1887" spans="1:7" ht="12.75" x14ac:dyDescent="0.2">
      <c r="A1887" s="3">
        <v>67</v>
      </c>
      <c r="B1887" s="4" t="s">
        <v>155</v>
      </c>
      <c r="C1887" s="3" t="s">
        <v>273</v>
      </c>
      <c r="D1887" s="3" t="s">
        <v>138</v>
      </c>
      <c r="E1887" s="3">
        <v>0</v>
      </c>
      <c r="F1887">
        <f>SUM(E1880:E1887)</f>
        <v>35</v>
      </c>
      <c r="G1887" s="57"/>
    </row>
    <row r="1888" spans="1:7" ht="12.75" x14ac:dyDescent="0.2">
      <c r="A1888" s="3">
        <v>67</v>
      </c>
      <c r="B1888" s="4" t="s">
        <v>155</v>
      </c>
      <c r="C1888" s="3" t="s">
        <v>125</v>
      </c>
      <c r="D1888" s="3" t="s">
        <v>274</v>
      </c>
      <c r="E1888" s="3">
        <v>0</v>
      </c>
      <c r="G1888" s="57"/>
    </row>
    <row r="1889" spans="1:7" ht="12.75" x14ac:dyDescent="0.2">
      <c r="A1889" s="3">
        <v>67</v>
      </c>
      <c r="B1889" s="4" t="s">
        <v>155</v>
      </c>
      <c r="C1889" s="3" t="s">
        <v>125</v>
      </c>
      <c r="D1889" s="3" t="s">
        <v>283</v>
      </c>
      <c r="E1889" s="3">
        <v>17</v>
      </c>
      <c r="G1889" s="57"/>
    </row>
    <row r="1890" spans="1:7" ht="12.75" x14ac:dyDescent="0.2">
      <c r="A1890" s="3">
        <v>67</v>
      </c>
      <c r="B1890" s="4" t="s">
        <v>155</v>
      </c>
      <c r="C1890" s="3" t="s">
        <v>125</v>
      </c>
      <c r="D1890" s="3" t="s">
        <v>315</v>
      </c>
      <c r="E1890" s="3">
        <v>0</v>
      </c>
      <c r="G1890" s="57"/>
    </row>
    <row r="1891" spans="1:7" ht="12.75" x14ac:dyDescent="0.2">
      <c r="A1891" s="3">
        <v>67</v>
      </c>
      <c r="B1891" s="4" t="s">
        <v>155</v>
      </c>
      <c r="C1891" s="3" t="s">
        <v>125</v>
      </c>
      <c r="D1891" s="3" t="s">
        <v>128</v>
      </c>
      <c r="E1891" s="3">
        <v>12</v>
      </c>
      <c r="G1891" s="57"/>
    </row>
    <row r="1892" spans="1:7" ht="12.75" x14ac:dyDescent="0.2">
      <c r="A1892" s="3">
        <v>67</v>
      </c>
      <c r="B1892" s="4" t="s">
        <v>155</v>
      </c>
      <c r="C1892" s="3" t="s">
        <v>125</v>
      </c>
      <c r="D1892" s="3" t="s">
        <v>353</v>
      </c>
      <c r="E1892" s="3">
        <v>2</v>
      </c>
      <c r="G1892" s="57"/>
    </row>
    <row r="1893" spans="1:7" ht="12.75" x14ac:dyDescent="0.2">
      <c r="A1893" s="3">
        <v>67</v>
      </c>
      <c r="B1893" s="4" t="s">
        <v>155</v>
      </c>
      <c r="C1893" s="3" t="s">
        <v>125</v>
      </c>
      <c r="D1893" s="3" t="s">
        <v>371</v>
      </c>
      <c r="E1893" s="3">
        <v>3</v>
      </c>
      <c r="G1893" s="57"/>
    </row>
    <row r="1894" spans="1:7" ht="12.75" x14ac:dyDescent="0.2">
      <c r="A1894" s="3">
        <v>67</v>
      </c>
      <c r="B1894" s="4" t="s">
        <v>155</v>
      </c>
      <c r="C1894" s="3" t="s">
        <v>125</v>
      </c>
      <c r="D1894" s="3" t="s">
        <v>14</v>
      </c>
      <c r="E1894" s="3">
        <v>1</v>
      </c>
      <c r="G1894" s="57"/>
    </row>
    <row r="1895" spans="1:7" ht="12.75" x14ac:dyDescent="0.2">
      <c r="A1895" s="3">
        <v>67</v>
      </c>
      <c r="B1895" s="4" t="s">
        <v>155</v>
      </c>
      <c r="C1895" s="3" t="s">
        <v>125</v>
      </c>
      <c r="D1895" s="3" t="s">
        <v>138</v>
      </c>
      <c r="E1895" s="3">
        <v>0</v>
      </c>
      <c r="F1895">
        <f>SUM(E1888:E1895)</f>
        <v>35</v>
      </c>
      <c r="G1895" s="57"/>
    </row>
    <row r="1896" spans="1:7" ht="12.75" x14ac:dyDescent="0.2">
      <c r="A1896" s="3">
        <v>68</v>
      </c>
      <c r="B1896" s="4" t="s">
        <v>92</v>
      </c>
      <c r="C1896" s="3" t="s">
        <v>347</v>
      </c>
      <c r="D1896" s="3" t="s">
        <v>366</v>
      </c>
      <c r="E1896" s="3">
        <v>1</v>
      </c>
      <c r="G1896" s="59">
        <v>585</v>
      </c>
    </row>
    <row r="1897" spans="1:7" ht="12.75" x14ac:dyDescent="0.2">
      <c r="A1897" s="3">
        <v>68</v>
      </c>
      <c r="B1897" s="4" t="s">
        <v>92</v>
      </c>
      <c r="C1897" s="3" t="s">
        <v>347</v>
      </c>
      <c r="D1897" s="3" t="s">
        <v>274</v>
      </c>
      <c r="E1897" s="3">
        <v>0</v>
      </c>
      <c r="G1897" s="57"/>
    </row>
    <row r="1898" spans="1:7" ht="12.75" x14ac:dyDescent="0.2">
      <c r="A1898" s="3">
        <v>68</v>
      </c>
      <c r="B1898" s="4" t="s">
        <v>92</v>
      </c>
      <c r="C1898" s="3" t="s">
        <v>347</v>
      </c>
      <c r="D1898" s="3" t="s">
        <v>367</v>
      </c>
      <c r="E1898" s="3">
        <v>1</v>
      </c>
      <c r="G1898" s="57"/>
    </row>
    <row r="1899" spans="1:7" ht="12.75" x14ac:dyDescent="0.2">
      <c r="A1899" s="3">
        <v>68</v>
      </c>
      <c r="B1899" s="4" t="s">
        <v>92</v>
      </c>
      <c r="C1899" s="3" t="s">
        <v>347</v>
      </c>
      <c r="D1899" s="3" t="s">
        <v>368</v>
      </c>
      <c r="E1899" s="3">
        <v>3</v>
      </c>
      <c r="G1899" s="57"/>
    </row>
    <row r="1900" spans="1:7" ht="12.75" x14ac:dyDescent="0.2">
      <c r="A1900" s="3">
        <v>68</v>
      </c>
      <c r="B1900" s="4" t="s">
        <v>92</v>
      </c>
      <c r="C1900" s="3" t="s">
        <v>347</v>
      </c>
      <c r="D1900" s="3" t="s">
        <v>283</v>
      </c>
      <c r="E1900" s="3">
        <v>96</v>
      </c>
      <c r="G1900" s="57"/>
    </row>
    <row r="1901" spans="1:7" ht="12.75" x14ac:dyDescent="0.2">
      <c r="A1901" s="3">
        <v>68</v>
      </c>
      <c r="B1901" s="4" t="s">
        <v>92</v>
      </c>
      <c r="C1901" s="3" t="s">
        <v>347</v>
      </c>
      <c r="D1901" s="3" t="s">
        <v>315</v>
      </c>
      <c r="E1901" s="3">
        <v>7</v>
      </c>
      <c r="G1901" s="57"/>
    </row>
    <row r="1902" spans="1:7" ht="12.75" x14ac:dyDescent="0.2">
      <c r="A1902" s="3">
        <v>68</v>
      </c>
      <c r="B1902" s="4" t="s">
        <v>92</v>
      </c>
      <c r="C1902" s="3" t="s">
        <v>347</v>
      </c>
      <c r="D1902" s="3" t="s">
        <v>316</v>
      </c>
      <c r="E1902" s="3">
        <v>6</v>
      </c>
      <c r="G1902" s="57"/>
    </row>
    <row r="1903" spans="1:7" ht="12.75" x14ac:dyDescent="0.2">
      <c r="A1903" s="3">
        <v>68</v>
      </c>
      <c r="B1903" s="4" t="s">
        <v>92</v>
      </c>
      <c r="C1903" s="3" t="s">
        <v>347</v>
      </c>
      <c r="D1903" s="3" t="s">
        <v>369</v>
      </c>
      <c r="E1903" s="3">
        <v>0</v>
      </c>
      <c r="G1903" s="57"/>
    </row>
    <row r="1904" spans="1:7" ht="12.75" x14ac:dyDescent="0.2">
      <c r="A1904" s="3">
        <v>68</v>
      </c>
      <c r="B1904" s="4" t="s">
        <v>92</v>
      </c>
      <c r="C1904" s="3" t="s">
        <v>347</v>
      </c>
      <c r="D1904" s="3" t="s">
        <v>128</v>
      </c>
      <c r="E1904" s="3">
        <v>194</v>
      </c>
      <c r="G1904" s="57"/>
    </row>
    <row r="1905" spans="1:7" ht="12.75" x14ac:dyDescent="0.2">
      <c r="A1905" s="3">
        <v>68</v>
      </c>
      <c r="B1905" s="4" t="s">
        <v>92</v>
      </c>
      <c r="C1905" s="3" t="s">
        <v>347</v>
      </c>
      <c r="D1905" s="3" t="s">
        <v>370</v>
      </c>
      <c r="E1905" s="3">
        <v>0</v>
      </c>
      <c r="G1905" s="57"/>
    </row>
    <row r="1906" spans="1:7" ht="12.75" x14ac:dyDescent="0.2">
      <c r="A1906" s="3">
        <v>68</v>
      </c>
      <c r="B1906" s="4" t="s">
        <v>92</v>
      </c>
      <c r="C1906" s="3" t="s">
        <v>347</v>
      </c>
      <c r="D1906" s="3" t="s">
        <v>353</v>
      </c>
      <c r="E1906" s="3">
        <v>17</v>
      </c>
      <c r="G1906" s="57"/>
    </row>
    <row r="1907" spans="1:7" ht="12.75" x14ac:dyDescent="0.2">
      <c r="A1907" s="3">
        <v>68</v>
      </c>
      <c r="B1907" s="4" t="s">
        <v>92</v>
      </c>
      <c r="C1907" s="3" t="s">
        <v>347</v>
      </c>
      <c r="D1907" s="3" t="s">
        <v>371</v>
      </c>
      <c r="E1907" s="3">
        <v>108</v>
      </c>
      <c r="G1907" s="57"/>
    </row>
    <row r="1908" spans="1:7" ht="12.75" x14ac:dyDescent="0.2">
      <c r="A1908" s="3">
        <v>68</v>
      </c>
      <c r="B1908" s="4" t="s">
        <v>92</v>
      </c>
      <c r="C1908" s="3" t="s">
        <v>347</v>
      </c>
      <c r="D1908" s="3" t="s">
        <v>14</v>
      </c>
      <c r="E1908" s="3">
        <v>18</v>
      </c>
      <c r="G1908" s="57"/>
    </row>
    <row r="1909" spans="1:7" ht="12.75" x14ac:dyDescent="0.2">
      <c r="A1909" s="3">
        <v>68</v>
      </c>
      <c r="B1909" s="4" t="s">
        <v>92</v>
      </c>
      <c r="C1909" s="3" t="s">
        <v>347</v>
      </c>
      <c r="D1909" s="3" t="s">
        <v>138</v>
      </c>
      <c r="E1909" s="3">
        <v>4</v>
      </c>
      <c r="F1909">
        <f>SUM(E1896:E1909)</f>
        <v>455</v>
      </c>
      <c r="G1909" s="57"/>
    </row>
    <row r="1910" spans="1:7" ht="12.75" x14ac:dyDescent="0.2">
      <c r="A1910" s="3">
        <v>68</v>
      </c>
      <c r="B1910" s="4" t="s">
        <v>92</v>
      </c>
      <c r="C1910" s="3" t="s">
        <v>273</v>
      </c>
      <c r="D1910" s="3" t="s">
        <v>274</v>
      </c>
      <c r="E1910" s="3">
        <v>0</v>
      </c>
      <c r="G1910" s="57"/>
    </row>
    <row r="1911" spans="1:7" ht="12.75" x14ac:dyDescent="0.2">
      <c r="A1911" s="3">
        <v>68</v>
      </c>
      <c r="B1911" s="4" t="s">
        <v>92</v>
      </c>
      <c r="C1911" s="3" t="s">
        <v>273</v>
      </c>
      <c r="D1911" s="3" t="s">
        <v>283</v>
      </c>
      <c r="E1911" s="3">
        <v>132</v>
      </c>
      <c r="G1911" s="57"/>
    </row>
    <row r="1912" spans="1:7" ht="12.75" x14ac:dyDescent="0.2">
      <c r="A1912" s="3">
        <v>68</v>
      </c>
      <c r="B1912" s="4" t="s">
        <v>92</v>
      </c>
      <c r="C1912" s="3" t="s">
        <v>273</v>
      </c>
      <c r="D1912" s="3" t="s">
        <v>315</v>
      </c>
      <c r="E1912" s="3">
        <v>5</v>
      </c>
      <c r="G1912" s="57"/>
    </row>
    <row r="1913" spans="1:7" ht="12.75" x14ac:dyDescent="0.2">
      <c r="A1913" s="3">
        <v>68</v>
      </c>
      <c r="B1913" s="4" t="s">
        <v>92</v>
      </c>
      <c r="C1913" s="3" t="s">
        <v>273</v>
      </c>
      <c r="D1913" s="3" t="s">
        <v>128</v>
      </c>
      <c r="E1913" s="3">
        <v>187</v>
      </c>
      <c r="G1913" s="57"/>
    </row>
    <row r="1914" spans="1:7" ht="12.75" x14ac:dyDescent="0.2">
      <c r="A1914" s="3">
        <v>68</v>
      </c>
      <c r="B1914" s="4" t="s">
        <v>92</v>
      </c>
      <c r="C1914" s="3" t="s">
        <v>273</v>
      </c>
      <c r="D1914" s="3" t="s">
        <v>353</v>
      </c>
      <c r="E1914" s="3">
        <v>5</v>
      </c>
      <c r="G1914" s="57"/>
    </row>
    <row r="1915" spans="1:7" ht="12.75" x14ac:dyDescent="0.2">
      <c r="A1915" s="3">
        <v>68</v>
      </c>
      <c r="B1915" s="4" t="s">
        <v>92</v>
      </c>
      <c r="C1915" s="3" t="s">
        <v>273</v>
      </c>
      <c r="D1915" s="3" t="s">
        <v>371</v>
      </c>
      <c r="E1915" s="3">
        <v>67</v>
      </c>
      <c r="G1915" s="57"/>
    </row>
    <row r="1916" spans="1:7" ht="12.75" x14ac:dyDescent="0.2">
      <c r="A1916" s="3">
        <v>68</v>
      </c>
      <c r="B1916" s="4" t="s">
        <v>92</v>
      </c>
      <c r="C1916" s="3" t="s">
        <v>273</v>
      </c>
      <c r="D1916" s="3" t="s">
        <v>14</v>
      </c>
      <c r="E1916" s="3">
        <v>55</v>
      </c>
      <c r="G1916" s="57"/>
    </row>
    <row r="1917" spans="1:7" ht="12.75" x14ac:dyDescent="0.2">
      <c r="A1917" s="3">
        <v>68</v>
      </c>
      <c r="B1917" s="4" t="s">
        <v>92</v>
      </c>
      <c r="C1917" s="3" t="s">
        <v>273</v>
      </c>
      <c r="D1917" s="3" t="s">
        <v>138</v>
      </c>
      <c r="E1917" s="3">
        <v>4</v>
      </c>
      <c r="F1917">
        <f>SUM(E1910:E1917)</f>
        <v>455</v>
      </c>
      <c r="G1917" s="57"/>
    </row>
    <row r="1918" spans="1:7" ht="12.75" x14ac:dyDescent="0.2">
      <c r="A1918" s="3">
        <v>68</v>
      </c>
      <c r="B1918" s="4" t="s">
        <v>92</v>
      </c>
      <c r="C1918" s="3" t="s">
        <v>125</v>
      </c>
      <c r="D1918" s="3" t="s">
        <v>274</v>
      </c>
      <c r="E1918" s="3">
        <v>1</v>
      </c>
      <c r="G1918" s="57"/>
    </row>
    <row r="1919" spans="1:7" ht="12.75" x14ac:dyDescent="0.2">
      <c r="A1919" s="3">
        <v>68</v>
      </c>
      <c r="B1919" s="4" t="s">
        <v>92</v>
      </c>
      <c r="C1919" s="3" t="s">
        <v>125</v>
      </c>
      <c r="D1919" s="3" t="s">
        <v>283</v>
      </c>
      <c r="E1919" s="3">
        <v>129</v>
      </c>
      <c r="G1919" s="57"/>
    </row>
    <row r="1920" spans="1:7" ht="12.75" x14ac:dyDescent="0.2">
      <c r="A1920" s="3">
        <v>68</v>
      </c>
      <c r="B1920" s="4" t="s">
        <v>92</v>
      </c>
      <c r="C1920" s="3" t="s">
        <v>125</v>
      </c>
      <c r="D1920" s="3" t="s">
        <v>315</v>
      </c>
      <c r="E1920" s="3">
        <v>6</v>
      </c>
      <c r="G1920" s="57"/>
    </row>
    <row r="1921" spans="1:7" ht="12.75" x14ac:dyDescent="0.2">
      <c r="A1921" s="3">
        <v>68</v>
      </c>
      <c r="B1921" s="4" t="s">
        <v>92</v>
      </c>
      <c r="C1921" s="3" t="s">
        <v>125</v>
      </c>
      <c r="D1921" s="3" t="s">
        <v>128</v>
      </c>
      <c r="E1921" s="3">
        <v>194</v>
      </c>
      <c r="G1921" s="57"/>
    </row>
    <row r="1922" spans="1:7" ht="12.75" x14ac:dyDescent="0.2">
      <c r="A1922" s="3">
        <v>68</v>
      </c>
      <c r="B1922" s="4" t="s">
        <v>92</v>
      </c>
      <c r="C1922" s="3" t="s">
        <v>125</v>
      </c>
      <c r="D1922" s="3" t="s">
        <v>353</v>
      </c>
      <c r="E1922" s="3">
        <v>5</v>
      </c>
      <c r="G1922" s="57"/>
    </row>
    <row r="1923" spans="1:7" ht="12.75" x14ac:dyDescent="0.2">
      <c r="A1923" s="3">
        <v>68</v>
      </c>
      <c r="B1923" s="4" t="s">
        <v>92</v>
      </c>
      <c r="C1923" s="3" t="s">
        <v>125</v>
      </c>
      <c r="D1923" s="3" t="s">
        <v>371</v>
      </c>
      <c r="E1923" s="3">
        <v>64</v>
      </c>
      <c r="G1923" s="57"/>
    </row>
    <row r="1924" spans="1:7" ht="12.75" x14ac:dyDescent="0.2">
      <c r="A1924" s="3">
        <v>68</v>
      </c>
      <c r="B1924" s="4" t="s">
        <v>92</v>
      </c>
      <c r="C1924" s="3" t="s">
        <v>125</v>
      </c>
      <c r="D1924" s="3" t="s">
        <v>14</v>
      </c>
      <c r="E1924" s="3">
        <v>53</v>
      </c>
      <c r="G1924" s="57"/>
    </row>
    <row r="1925" spans="1:7" ht="12.75" x14ac:dyDescent="0.2">
      <c r="A1925" s="3">
        <v>68</v>
      </c>
      <c r="B1925" s="4" t="s">
        <v>92</v>
      </c>
      <c r="C1925" s="3" t="s">
        <v>125</v>
      </c>
      <c r="D1925" s="3" t="s">
        <v>138</v>
      </c>
      <c r="E1925" s="3">
        <v>3</v>
      </c>
      <c r="F1925">
        <f>SUM(E1918:E1925)</f>
        <v>455</v>
      </c>
      <c r="G1925" s="57"/>
    </row>
    <row r="1926" spans="1:7" ht="12.75" x14ac:dyDescent="0.2">
      <c r="A1926" s="3">
        <v>69</v>
      </c>
      <c r="B1926" s="4" t="s">
        <v>93</v>
      </c>
      <c r="C1926" s="3" t="s">
        <v>347</v>
      </c>
      <c r="D1926" s="3" t="s">
        <v>366</v>
      </c>
      <c r="E1926" s="3">
        <v>6</v>
      </c>
      <c r="G1926" s="59">
        <v>2039</v>
      </c>
    </row>
    <row r="1927" spans="1:7" ht="12.75" x14ac:dyDescent="0.2">
      <c r="A1927" s="3">
        <v>69</v>
      </c>
      <c r="B1927" s="4" t="s">
        <v>93</v>
      </c>
      <c r="C1927" s="3" t="s">
        <v>347</v>
      </c>
      <c r="D1927" s="3" t="s">
        <v>274</v>
      </c>
      <c r="E1927" s="3">
        <v>0</v>
      </c>
      <c r="G1927" s="57"/>
    </row>
    <row r="1928" spans="1:7" ht="12.75" x14ac:dyDescent="0.2">
      <c r="A1928" s="3">
        <v>69</v>
      </c>
      <c r="B1928" s="4" t="s">
        <v>93</v>
      </c>
      <c r="C1928" s="3" t="s">
        <v>347</v>
      </c>
      <c r="D1928" s="3" t="s">
        <v>367</v>
      </c>
      <c r="E1928" s="3">
        <v>1</v>
      </c>
      <c r="G1928" s="57"/>
    </row>
    <row r="1929" spans="1:7" ht="12.75" x14ac:dyDescent="0.2">
      <c r="A1929" s="3">
        <v>69</v>
      </c>
      <c r="B1929" s="4" t="s">
        <v>93</v>
      </c>
      <c r="C1929" s="3" t="s">
        <v>347</v>
      </c>
      <c r="D1929" s="3" t="s">
        <v>368</v>
      </c>
      <c r="E1929" s="3">
        <v>3</v>
      </c>
      <c r="G1929" s="57"/>
    </row>
    <row r="1930" spans="1:7" ht="12.75" x14ac:dyDescent="0.2">
      <c r="A1930" s="3">
        <v>69</v>
      </c>
      <c r="B1930" s="4" t="s">
        <v>93</v>
      </c>
      <c r="C1930" s="3" t="s">
        <v>347</v>
      </c>
      <c r="D1930" s="3" t="s">
        <v>283</v>
      </c>
      <c r="E1930" s="3">
        <v>690</v>
      </c>
      <c r="G1930" s="57"/>
    </row>
    <row r="1931" spans="1:7" ht="12.75" x14ac:dyDescent="0.2">
      <c r="A1931" s="3">
        <v>69</v>
      </c>
      <c r="B1931" s="4" t="s">
        <v>93</v>
      </c>
      <c r="C1931" s="3" t="s">
        <v>347</v>
      </c>
      <c r="D1931" s="3" t="s">
        <v>315</v>
      </c>
      <c r="E1931" s="3">
        <v>27</v>
      </c>
      <c r="G1931" s="57"/>
    </row>
    <row r="1932" spans="1:7" ht="12.75" x14ac:dyDescent="0.2">
      <c r="A1932" s="3">
        <v>69</v>
      </c>
      <c r="B1932" s="4" t="s">
        <v>93</v>
      </c>
      <c r="C1932" s="3" t="s">
        <v>347</v>
      </c>
      <c r="D1932" s="3" t="s">
        <v>316</v>
      </c>
      <c r="E1932" s="3">
        <v>31</v>
      </c>
      <c r="G1932" s="57"/>
    </row>
    <row r="1933" spans="1:7" ht="12.75" x14ac:dyDescent="0.2">
      <c r="A1933" s="3">
        <v>69</v>
      </c>
      <c r="B1933" s="4" t="s">
        <v>93</v>
      </c>
      <c r="C1933" s="3" t="s">
        <v>347</v>
      </c>
      <c r="D1933" s="3" t="s">
        <v>369</v>
      </c>
      <c r="E1933" s="3">
        <v>2</v>
      </c>
      <c r="G1933" s="57"/>
    </row>
    <row r="1934" spans="1:7" ht="12.75" x14ac:dyDescent="0.2">
      <c r="A1934" s="3">
        <v>69</v>
      </c>
      <c r="B1934" s="4" t="s">
        <v>93</v>
      </c>
      <c r="C1934" s="3" t="s">
        <v>347</v>
      </c>
      <c r="D1934" s="3" t="s">
        <v>128</v>
      </c>
      <c r="E1934" s="3">
        <v>541</v>
      </c>
      <c r="G1934" s="57"/>
    </row>
    <row r="1935" spans="1:7" ht="12.75" x14ac:dyDescent="0.2">
      <c r="A1935" s="3">
        <v>69</v>
      </c>
      <c r="B1935" s="4" t="s">
        <v>93</v>
      </c>
      <c r="C1935" s="3" t="s">
        <v>347</v>
      </c>
      <c r="D1935" s="3" t="s">
        <v>370</v>
      </c>
      <c r="E1935" s="3">
        <v>2</v>
      </c>
      <c r="G1935" s="57"/>
    </row>
    <row r="1936" spans="1:7" ht="12.75" x14ac:dyDescent="0.2">
      <c r="A1936" s="3">
        <v>69</v>
      </c>
      <c r="B1936" s="4" t="s">
        <v>93</v>
      </c>
      <c r="C1936" s="3" t="s">
        <v>347</v>
      </c>
      <c r="D1936" s="3" t="s">
        <v>353</v>
      </c>
      <c r="E1936" s="3">
        <v>12</v>
      </c>
      <c r="G1936" s="57"/>
    </row>
    <row r="1937" spans="1:7" ht="12.75" x14ac:dyDescent="0.2">
      <c r="A1937" s="3">
        <v>69</v>
      </c>
      <c r="B1937" s="4" t="s">
        <v>93</v>
      </c>
      <c r="C1937" s="3" t="s">
        <v>347</v>
      </c>
      <c r="D1937" s="3" t="s">
        <v>371</v>
      </c>
      <c r="E1937" s="3">
        <v>189</v>
      </c>
      <c r="G1937" s="57"/>
    </row>
    <row r="1938" spans="1:7" ht="12.75" x14ac:dyDescent="0.2">
      <c r="A1938" s="3">
        <v>69</v>
      </c>
      <c r="B1938" s="4" t="s">
        <v>93</v>
      </c>
      <c r="C1938" s="3" t="s">
        <v>347</v>
      </c>
      <c r="D1938" s="3" t="s">
        <v>14</v>
      </c>
      <c r="E1938" s="3">
        <v>55</v>
      </c>
      <c r="G1938" s="57"/>
    </row>
    <row r="1939" spans="1:7" ht="12.75" x14ac:dyDescent="0.2">
      <c r="A1939" s="3">
        <v>69</v>
      </c>
      <c r="B1939" s="4" t="s">
        <v>93</v>
      </c>
      <c r="C1939" s="3" t="s">
        <v>347</v>
      </c>
      <c r="D1939" s="3" t="s">
        <v>138</v>
      </c>
      <c r="E1939" s="3">
        <v>5</v>
      </c>
      <c r="F1939">
        <f>SUM(E1926:E1939)</f>
        <v>1564</v>
      </c>
      <c r="G1939" s="57"/>
    </row>
    <row r="1940" spans="1:7" ht="12.75" x14ac:dyDescent="0.2">
      <c r="A1940" s="3">
        <v>69</v>
      </c>
      <c r="B1940" s="4" t="s">
        <v>93</v>
      </c>
      <c r="C1940" s="3" t="s">
        <v>273</v>
      </c>
      <c r="D1940" s="3" t="s">
        <v>274</v>
      </c>
      <c r="E1940" s="3">
        <v>2</v>
      </c>
      <c r="G1940" s="57"/>
    </row>
    <row r="1941" spans="1:7" ht="12.75" x14ac:dyDescent="0.2">
      <c r="A1941" s="3">
        <v>69</v>
      </c>
      <c r="B1941" s="4" t="s">
        <v>93</v>
      </c>
      <c r="C1941" s="3" t="s">
        <v>273</v>
      </c>
      <c r="D1941" s="3" t="s">
        <v>283</v>
      </c>
      <c r="E1941" s="3">
        <v>772</v>
      </c>
      <c r="G1941" s="57"/>
    </row>
    <row r="1942" spans="1:7" ht="12.75" x14ac:dyDescent="0.2">
      <c r="A1942" s="3">
        <v>69</v>
      </c>
      <c r="B1942" s="4" t="s">
        <v>93</v>
      </c>
      <c r="C1942" s="3" t="s">
        <v>273</v>
      </c>
      <c r="D1942" s="3" t="s">
        <v>315</v>
      </c>
      <c r="E1942" s="3">
        <v>15</v>
      </c>
      <c r="G1942" s="57"/>
    </row>
    <row r="1943" spans="1:7" ht="12.75" x14ac:dyDescent="0.2">
      <c r="A1943" s="3">
        <v>69</v>
      </c>
      <c r="B1943" s="4" t="s">
        <v>93</v>
      </c>
      <c r="C1943" s="3" t="s">
        <v>273</v>
      </c>
      <c r="D1943" s="3" t="s">
        <v>128</v>
      </c>
      <c r="E1943" s="3">
        <v>533</v>
      </c>
      <c r="G1943" s="57"/>
    </row>
    <row r="1944" spans="1:7" ht="12.75" x14ac:dyDescent="0.2">
      <c r="A1944" s="3">
        <v>69</v>
      </c>
      <c r="B1944" s="4" t="s">
        <v>93</v>
      </c>
      <c r="C1944" s="3" t="s">
        <v>273</v>
      </c>
      <c r="D1944" s="3" t="s">
        <v>353</v>
      </c>
      <c r="E1944" s="3">
        <v>7</v>
      </c>
      <c r="G1944" s="57"/>
    </row>
    <row r="1945" spans="1:7" ht="12.75" x14ac:dyDescent="0.2">
      <c r="A1945" s="3">
        <v>69</v>
      </c>
      <c r="B1945" s="4" t="s">
        <v>93</v>
      </c>
      <c r="C1945" s="3" t="s">
        <v>273</v>
      </c>
      <c r="D1945" s="3" t="s">
        <v>371</v>
      </c>
      <c r="E1945" s="3">
        <v>123</v>
      </c>
      <c r="G1945" s="57"/>
    </row>
    <row r="1946" spans="1:7" ht="12.75" x14ac:dyDescent="0.2">
      <c r="A1946" s="3">
        <v>69</v>
      </c>
      <c r="B1946" s="4" t="s">
        <v>93</v>
      </c>
      <c r="C1946" s="3" t="s">
        <v>273</v>
      </c>
      <c r="D1946" s="3" t="s">
        <v>14</v>
      </c>
      <c r="E1946" s="3">
        <v>109</v>
      </c>
      <c r="G1946" s="57"/>
    </row>
    <row r="1947" spans="1:7" ht="12.75" x14ac:dyDescent="0.2">
      <c r="A1947" s="3">
        <v>69</v>
      </c>
      <c r="B1947" s="4" t="s">
        <v>93</v>
      </c>
      <c r="C1947" s="3" t="s">
        <v>273</v>
      </c>
      <c r="D1947" s="3" t="s">
        <v>138</v>
      </c>
      <c r="E1947" s="3">
        <v>3</v>
      </c>
      <c r="F1947">
        <f>SUM(E1940:E1947)</f>
        <v>1564</v>
      </c>
      <c r="G1947" s="57"/>
    </row>
    <row r="1948" spans="1:7" ht="12.75" x14ac:dyDescent="0.2">
      <c r="A1948" s="3">
        <v>69</v>
      </c>
      <c r="B1948" s="4" t="s">
        <v>93</v>
      </c>
      <c r="C1948" s="3" t="s">
        <v>125</v>
      </c>
      <c r="D1948" s="3" t="s">
        <v>274</v>
      </c>
      <c r="E1948" s="3">
        <v>2</v>
      </c>
      <c r="G1948" s="57"/>
    </row>
    <row r="1949" spans="1:7" ht="12.75" x14ac:dyDescent="0.2">
      <c r="A1949" s="3">
        <v>69</v>
      </c>
      <c r="B1949" s="4" t="s">
        <v>93</v>
      </c>
      <c r="C1949" s="3" t="s">
        <v>125</v>
      </c>
      <c r="D1949" s="3" t="s">
        <v>283</v>
      </c>
      <c r="E1949" s="3">
        <v>772</v>
      </c>
      <c r="G1949" s="57"/>
    </row>
    <row r="1950" spans="1:7" ht="12.75" x14ac:dyDescent="0.2">
      <c r="A1950" s="3">
        <v>69</v>
      </c>
      <c r="B1950" s="4" t="s">
        <v>93</v>
      </c>
      <c r="C1950" s="3" t="s">
        <v>125</v>
      </c>
      <c r="D1950" s="3" t="s">
        <v>315</v>
      </c>
      <c r="E1950" s="3">
        <v>14</v>
      </c>
      <c r="G1950" s="57"/>
    </row>
    <row r="1951" spans="1:7" ht="12.75" x14ac:dyDescent="0.2">
      <c r="A1951" s="3">
        <v>69</v>
      </c>
      <c r="B1951" s="4" t="s">
        <v>93</v>
      </c>
      <c r="C1951" s="3" t="s">
        <v>125</v>
      </c>
      <c r="D1951" s="3" t="s">
        <v>128</v>
      </c>
      <c r="E1951" s="3">
        <v>526</v>
      </c>
      <c r="G1951" s="57"/>
    </row>
    <row r="1952" spans="1:7" ht="12.75" x14ac:dyDescent="0.2">
      <c r="A1952" s="3">
        <v>69</v>
      </c>
      <c r="B1952" s="4" t="s">
        <v>93</v>
      </c>
      <c r="C1952" s="3" t="s">
        <v>125</v>
      </c>
      <c r="D1952" s="3" t="s">
        <v>353</v>
      </c>
      <c r="E1952" s="3">
        <v>7</v>
      </c>
      <c r="G1952" s="57"/>
    </row>
    <row r="1953" spans="1:7" ht="12.75" x14ac:dyDescent="0.2">
      <c r="A1953" s="3">
        <v>69</v>
      </c>
      <c r="B1953" s="4" t="s">
        <v>93</v>
      </c>
      <c r="C1953" s="3" t="s">
        <v>125</v>
      </c>
      <c r="D1953" s="3" t="s">
        <v>371</v>
      </c>
      <c r="E1953" s="3">
        <v>124</v>
      </c>
      <c r="G1953" s="57"/>
    </row>
    <row r="1954" spans="1:7" ht="12.75" x14ac:dyDescent="0.2">
      <c r="A1954" s="3">
        <v>69</v>
      </c>
      <c r="B1954" s="4" t="s">
        <v>93</v>
      </c>
      <c r="C1954" s="3" t="s">
        <v>125</v>
      </c>
      <c r="D1954" s="3" t="s">
        <v>14</v>
      </c>
      <c r="E1954" s="3">
        <v>116</v>
      </c>
      <c r="G1954" s="57"/>
    </row>
    <row r="1955" spans="1:7" ht="12.75" x14ac:dyDescent="0.2">
      <c r="A1955" s="3">
        <v>69</v>
      </c>
      <c r="B1955" s="4" t="s">
        <v>93</v>
      </c>
      <c r="C1955" s="3" t="s">
        <v>125</v>
      </c>
      <c r="D1955" s="3" t="s">
        <v>138</v>
      </c>
      <c r="E1955" s="3">
        <v>3</v>
      </c>
      <c r="F1955">
        <f>SUM(E1948:E1955)</f>
        <v>1564</v>
      </c>
      <c r="G1955" s="57"/>
    </row>
    <row r="1956" spans="1:7" ht="12.75" x14ac:dyDescent="0.2">
      <c r="A1956" s="3">
        <v>70</v>
      </c>
      <c r="B1956" s="4" t="s">
        <v>156</v>
      </c>
      <c r="C1956" s="3" t="s">
        <v>347</v>
      </c>
      <c r="D1956" s="3" t="s">
        <v>366</v>
      </c>
      <c r="E1956" s="3">
        <v>0</v>
      </c>
      <c r="G1956" s="59">
        <v>5</v>
      </c>
    </row>
    <row r="1957" spans="1:7" ht="12.75" x14ac:dyDescent="0.2">
      <c r="A1957" s="3">
        <v>70</v>
      </c>
      <c r="B1957" s="4" t="s">
        <v>156</v>
      </c>
      <c r="C1957" s="3" t="s">
        <v>347</v>
      </c>
      <c r="D1957" s="3" t="s">
        <v>274</v>
      </c>
      <c r="E1957" s="3">
        <v>0</v>
      </c>
      <c r="G1957" s="57"/>
    </row>
    <row r="1958" spans="1:7" ht="12.75" x14ac:dyDescent="0.2">
      <c r="A1958" s="3">
        <v>70</v>
      </c>
      <c r="B1958" s="4" t="s">
        <v>156</v>
      </c>
      <c r="C1958" s="3" t="s">
        <v>347</v>
      </c>
      <c r="D1958" s="3" t="s">
        <v>367</v>
      </c>
      <c r="E1958" s="3">
        <v>0</v>
      </c>
      <c r="G1958" s="57"/>
    </row>
    <row r="1959" spans="1:7" ht="12.75" x14ac:dyDescent="0.2">
      <c r="A1959" s="3">
        <v>70</v>
      </c>
      <c r="B1959" s="4" t="s">
        <v>156</v>
      </c>
      <c r="C1959" s="3" t="s">
        <v>347</v>
      </c>
      <c r="D1959" s="3" t="s">
        <v>368</v>
      </c>
      <c r="E1959" s="3">
        <v>0</v>
      </c>
      <c r="G1959" s="57"/>
    </row>
    <row r="1960" spans="1:7" ht="12.75" x14ac:dyDescent="0.2">
      <c r="A1960" s="3">
        <v>70</v>
      </c>
      <c r="B1960" s="4" t="s">
        <v>156</v>
      </c>
      <c r="C1960" s="3" t="s">
        <v>347</v>
      </c>
      <c r="D1960" s="3" t="s">
        <v>283</v>
      </c>
      <c r="E1960" s="3">
        <v>1</v>
      </c>
      <c r="G1960" s="57"/>
    </row>
    <row r="1961" spans="1:7" ht="12.75" x14ac:dyDescent="0.2">
      <c r="A1961" s="3">
        <v>70</v>
      </c>
      <c r="B1961" s="4" t="s">
        <v>156</v>
      </c>
      <c r="C1961" s="3" t="s">
        <v>347</v>
      </c>
      <c r="D1961" s="3" t="s">
        <v>315</v>
      </c>
      <c r="E1961" s="3">
        <v>0</v>
      </c>
      <c r="G1961" s="57"/>
    </row>
    <row r="1962" spans="1:7" ht="12.75" x14ac:dyDescent="0.2">
      <c r="A1962" s="3">
        <v>70</v>
      </c>
      <c r="B1962" s="4" t="s">
        <v>156</v>
      </c>
      <c r="C1962" s="3" t="s">
        <v>347</v>
      </c>
      <c r="D1962" s="3" t="s">
        <v>316</v>
      </c>
      <c r="E1962" s="3">
        <v>0</v>
      </c>
      <c r="G1962" s="57"/>
    </row>
    <row r="1963" spans="1:7" ht="12.75" x14ac:dyDescent="0.2">
      <c r="A1963" s="3">
        <v>70</v>
      </c>
      <c r="B1963" s="4" t="s">
        <v>156</v>
      </c>
      <c r="C1963" s="3" t="s">
        <v>347</v>
      </c>
      <c r="D1963" s="3" t="s">
        <v>369</v>
      </c>
      <c r="E1963" s="3">
        <v>0</v>
      </c>
      <c r="G1963" s="57"/>
    </row>
    <row r="1964" spans="1:7" ht="12.75" x14ac:dyDescent="0.2">
      <c r="A1964" s="3">
        <v>70</v>
      </c>
      <c r="B1964" s="4" t="s">
        <v>156</v>
      </c>
      <c r="C1964" s="3" t="s">
        <v>347</v>
      </c>
      <c r="D1964" s="3" t="s">
        <v>128</v>
      </c>
      <c r="E1964" s="3">
        <v>1</v>
      </c>
      <c r="G1964" s="57"/>
    </row>
    <row r="1965" spans="1:7" ht="12.75" x14ac:dyDescent="0.2">
      <c r="A1965" s="3">
        <v>70</v>
      </c>
      <c r="B1965" s="4" t="s">
        <v>156</v>
      </c>
      <c r="C1965" s="3" t="s">
        <v>347</v>
      </c>
      <c r="D1965" s="3" t="s">
        <v>370</v>
      </c>
      <c r="E1965" s="3">
        <v>0</v>
      </c>
      <c r="G1965" s="57"/>
    </row>
    <row r="1966" spans="1:7" ht="12.75" x14ac:dyDescent="0.2">
      <c r="A1966" s="3">
        <v>70</v>
      </c>
      <c r="B1966" s="4" t="s">
        <v>156</v>
      </c>
      <c r="C1966" s="3" t="s">
        <v>347</v>
      </c>
      <c r="D1966" s="3" t="s">
        <v>353</v>
      </c>
      <c r="E1966" s="3">
        <v>0</v>
      </c>
      <c r="G1966" s="57"/>
    </row>
    <row r="1967" spans="1:7" ht="12.75" x14ac:dyDescent="0.2">
      <c r="A1967" s="3">
        <v>70</v>
      </c>
      <c r="B1967" s="4" t="s">
        <v>156</v>
      </c>
      <c r="C1967" s="3" t="s">
        <v>347</v>
      </c>
      <c r="D1967" s="3" t="s">
        <v>371</v>
      </c>
      <c r="E1967" s="3">
        <v>0</v>
      </c>
      <c r="G1967" s="57"/>
    </row>
    <row r="1968" spans="1:7" ht="12.75" x14ac:dyDescent="0.2">
      <c r="A1968" s="3">
        <v>70</v>
      </c>
      <c r="B1968" s="4" t="s">
        <v>156</v>
      </c>
      <c r="C1968" s="3" t="s">
        <v>347</v>
      </c>
      <c r="D1968" s="3" t="s">
        <v>14</v>
      </c>
      <c r="E1968" s="3">
        <v>1</v>
      </c>
      <c r="G1968" s="57"/>
    </row>
    <row r="1969" spans="1:7" ht="12.75" x14ac:dyDescent="0.2">
      <c r="A1969" s="3">
        <v>70</v>
      </c>
      <c r="B1969" s="4" t="s">
        <v>156</v>
      </c>
      <c r="C1969" s="3" t="s">
        <v>347</v>
      </c>
      <c r="D1969" s="3" t="s">
        <v>138</v>
      </c>
      <c r="E1969" s="3">
        <v>0</v>
      </c>
      <c r="F1969">
        <f>SUM(E1956:E1969)</f>
        <v>3</v>
      </c>
      <c r="G1969" s="57"/>
    </row>
    <row r="1970" spans="1:7" ht="12.75" x14ac:dyDescent="0.2">
      <c r="A1970" s="3">
        <v>70</v>
      </c>
      <c r="B1970" s="4" t="s">
        <v>156</v>
      </c>
      <c r="C1970" s="3" t="s">
        <v>273</v>
      </c>
      <c r="D1970" s="3" t="s">
        <v>274</v>
      </c>
      <c r="E1970" s="3">
        <v>0</v>
      </c>
      <c r="G1970" s="57"/>
    </row>
    <row r="1971" spans="1:7" ht="12.75" x14ac:dyDescent="0.2">
      <c r="A1971" s="3">
        <v>70</v>
      </c>
      <c r="B1971" s="4" t="s">
        <v>156</v>
      </c>
      <c r="C1971" s="3" t="s">
        <v>273</v>
      </c>
      <c r="D1971" s="3" t="s">
        <v>283</v>
      </c>
      <c r="E1971" s="3">
        <v>2</v>
      </c>
      <c r="G1971" s="57"/>
    </row>
    <row r="1972" spans="1:7" ht="12.75" x14ac:dyDescent="0.2">
      <c r="A1972" s="3">
        <v>70</v>
      </c>
      <c r="B1972" s="4" t="s">
        <v>156</v>
      </c>
      <c r="C1972" s="3" t="s">
        <v>273</v>
      </c>
      <c r="D1972" s="3" t="s">
        <v>315</v>
      </c>
      <c r="E1972" s="3">
        <v>0</v>
      </c>
      <c r="G1972" s="57"/>
    </row>
    <row r="1973" spans="1:7" ht="12.75" x14ac:dyDescent="0.2">
      <c r="A1973" s="3">
        <v>70</v>
      </c>
      <c r="B1973" s="4" t="s">
        <v>156</v>
      </c>
      <c r="C1973" s="3" t="s">
        <v>273</v>
      </c>
      <c r="D1973" s="3" t="s">
        <v>128</v>
      </c>
      <c r="E1973" s="3">
        <v>1</v>
      </c>
      <c r="G1973" s="57"/>
    </row>
    <row r="1974" spans="1:7" ht="12.75" x14ac:dyDescent="0.2">
      <c r="A1974" s="3">
        <v>70</v>
      </c>
      <c r="B1974" s="4" t="s">
        <v>156</v>
      </c>
      <c r="C1974" s="3" t="s">
        <v>273</v>
      </c>
      <c r="D1974" s="3" t="s">
        <v>353</v>
      </c>
      <c r="E1974" s="3">
        <v>0</v>
      </c>
      <c r="G1974" s="57"/>
    </row>
    <row r="1975" spans="1:7" ht="12.75" x14ac:dyDescent="0.2">
      <c r="A1975" s="3">
        <v>70</v>
      </c>
      <c r="B1975" s="4" t="s">
        <v>156</v>
      </c>
      <c r="C1975" s="3" t="s">
        <v>273</v>
      </c>
      <c r="D1975" s="3" t="s">
        <v>371</v>
      </c>
      <c r="E1975" s="3">
        <v>0</v>
      </c>
      <c r="G1975" s="57"/>
    </row>
    <row r="1976" spans="1:7" ht="12.75" x14ac:dyDescent="0.2">
      <c r="A1976" s="3">
        <v>70</v>
      </c>
      <c r="B1976" s="4" t="s">
        <v>156</v>
      </c>
      <c r="C1976" s="3" t="s">
        <v>273</v>
      </c>
      <c r="D1976" s="3" t="s">
        <v>14</v>
      </c>
      <c r="E1976" s="3">
        <v>0</v>
      </c>
      <c r="G1976" s="57"/>
    </row>
    <row r="1977" spans="1:7" ht="12.75" x14ac:dyDescent="0.2">
      <c r="A1977" s="3">
        <v>70</v>
      </c>
      <c r="B1977" s="4" t="s">
        <v>156</v>
      </c>
      <c r="C1977" s="3" t="s">
        <v>273</v>
      </c>
      <c r="D1977" s="3" t="s">
        <v>138</v>
      </c>
      <c r="E1977" s="3">
        <v>0</v>
      </c>
      <c r="F1977">
        <f>SUM(E1970:E1977)</f>
        <v>3</v>
      </c>
      <c r="G1977" s="57"/>
    </row>
    <row r="1978" spans="1:7" ht="12.75" x14ac:dyDescent="0.2">
      <c r="A1978" s="3">
        <v>70</v>
      </c>
      <c r="B1978" s="4" t="s">
        <v>156</v>
      </c>
      <c r="C1978" s="3" t="s">
        <v>125</v>
      </c>
      <c r="D1978" s="3" t="s">
        <v>274</v>
      </c>
      <c r="E1978" s="3">
        <v>0</v>
      </c>
      <c r="G1978" s="57"/>
    </row>
    <row r="1979" spans="1:7" ht="12.75" x14ac:dyDescent="0.2">
      <c r="A1979" s="3">
        <v>70</v>
      </c>
      <c r="B1979" s="4" t="s">
        <v>156</v>
      </c>
      <c r="C1979" s="3" t="s">
        <v>125</v>
      </c>
      <c r="D1979" s="3" t="s">
        <v>283</v>
      </c>
      <c r="E1979" s="3">
        <v>2</v>
      </c>
      <c r="G1979" s="57"/>
    </row>
    <row r="1980" spans="1:7" ht="12.75" x14ac:dyDescent="0.2">
      <c r="A1980" s="3">
        <v>70</v>
      </c>
      <c r="B1980" s="4" t="s">
        <v>156</v>
      </c>
      <c r="C1980" s="3" t="s">
        <v>125</v>
      </c>
      <c r="D1980" s="3" t="s">
        <v>315</v>
      </c>
      <c r="E1980" s="3">
        <v>0</v>
      </c>
      <c r="G1980" s="57"/>
    </row>
    <row r="1981" spans="1:7" ht="12.75" x14ac:dyDescent="0.2">
      <c r="A1981" s="3">
        <v>70</v>
      </c>
      <c r="B1981" s="4" t="s">
        <v>156</v>
      </c>
      <c r="C1981" s="3" t="s">
        <v>125</v>
      </c>
      <c r="D1981" s="3" t="s">
        <v>128</v>
      </c>
      <c r="E1981" s="3">
        <v>1</v>
      </c>
      <c r="G1981" s="57"/>
    </row>
    <row r="1982" spans="1:7" ht="12.75" x14ac:dyDescent="0.2">
      <c r="A1982" s="3">
        <v>70</v>
      </c>
      <c r="B1982" s="4" t="s">
        <v>156</v>
      </c>
      <c r="C1982" s="3" t="s">
        <v>125</v>
      </c>
      <c r="D1982" s="3" t="s">
        <v>353</v>
      </c>
      <c r="E1982" s="3">
        <v>0</v>
      </c>
      <c r="G1982" s="57"/>
    </row>
    <row r="1983" spans="1:7" ht="12.75" x14ac:dyDescent="0.2">
      <c r="A1983" s="3">
        <v>70</v>
      </c>
      <c r="B1983" s="4" t="s">
        <v>156</v>
      </c>
      <c r="C1983" s="3" t="s">
        <v>125</v>
      </c>
      <c r="D1983" s="3" t="s">
        <v>371</v>
      </c>
      <c r="E1983" s="3">
        <v>0</v>
      </c>
      <c r="G1983" s="57"/>
    </row>
    <row r="1984" spans="1:7" ht="12.75" x14ac:dyDescent="0.2">
      <c r="A1984" s="3">
        <v>70</v>
      </c>
      <c r="B1984" s="4" t="s">
        <v>156</v>
      </c>
      <c r="C1984" s="3" t="s">
        <v>125</v>
      </c>
      <c r="D1984" s="3" t="s">
        <v>14</v>
      </c>
      <c r="E1984" s="3">
        <v>0</v>
      </c>
      <c r="G1984" s="57"/>
    </row>
    <row r="1985" spans="1:7" ht="12.75" x14ac:dyDescent="0.2">
      <c r="A1985" s="3">
        <v>70</v>
      </c>
      <c r="B1985" s="4" t="s">
        <v>156</v>
      </c>
      <c r="C1985" s="3" t="s">
        <v>125</v>
      </c>
      <c r="D1985" s="3" t="s">
        <v>138</v>
      </c>
      <c r="E1985" s="3">
        <v>0</v>
      </c>
      <c r="F1985">
        <f>SUM(E1978:E1985)</f>
        <v>3</v>
      </c>
      <c r="G1985" s="57"/>
    </row>
    <row r="1986" spans="1:7" ht="12.75" x14ac:dyDescent="0.2">
      <c r="A1986" s="3">
        <v>71</v>
      </c>
      <c r="B1986" s="4" t="s">
        <v>94</v>
      </c>
      <c r="C1986" s="3" t="s">
        <v>347</v>
      </c>
      <c r="D1986" s="3" t="s">
        <v>366</v>
      </c>
      <c r="E1986" s="3">
        <v>1</v>
      </c>
      <c r="G1986" s="59">
        <v>1230</v>
      </c>
    </row>
    <row r="1987" spans="1:7" ht="12.75" x14ac:dyDescent="0.2">
      <c r="A1987" s="3">
        <v>71</v>
      </c>
      <c r="B1987" s="4" t="s">
        <v>94</v>
      </c>
      <c r="C1987" s="3" t="s">
        <v>347</v>
      </c>
      <c r="D1987" s="3" t="s">
        <v>274</v>
      </c>
      <c r="E1987" s="3">
        <v>0</v>
      </c>
      <c r="G1987" s="57"/>
    </row>
    <row r="1988" spans="1:7" ht="12.75" x14ac:dyDescent="0.2">
      <c r="A1988" s="3">
        <v>71</v>
      </c>
      <c r="B1988" s="4" t="s">
        <v>94</v>
      </c>
      <c r="C1988" s="3" t="s">
        <v>347</v>
      </c>
      <c r="D1988" s="3" t="s">
        <v>367</v>
      </c>
      <c r="E1988" s="3">
        <v>0</v>
      </c>
      <c r="G1988" s="57"/>
    </row>
    <row r="1989" spans="1:7" ht="12.75" x14ac:dyDescent="0.2">
      <c r="A1989" s="3">
        <v>71</v>
      </c>
      <c r="B1989" s="4" t="s">
        <v>94</v>
      </c>
      <c r="C1989" s="3" t="s">
        <v>347</v>
      </c>
      <c r="D1989" s="3" t="s">
        <v>368</v>
      </c>
      <c r="E1989" s="3">
        <v>0</v>
      </c>
      <c r="G1989" s="57"/>
    </row>
    <row r="1990" spans="1:7" ht="12.75" x14ac:dyDescent="0.2">
      <c r="A1990" s="3">
        <v>71</v>
      </c>
      <c r="B1990" s="4" t="s">
        <v>94</v>
      </c>
      <c r="C1990" s="3" t="s">
        <v>347</v>
      </c>
      <c r="D1990" s="3" t="s">
        <v>283</v>
      </c>
      <c r="E1990" s="3">
        <v>457</v>
      </c>
      <c r="G1990" s="57"/>
    </row>
    <row r="1991" spans="1:7" ht="12.75" x14ac:dyDescent="0.2">
      <c r="A1991" s="3">
        <v>71</v>
      </c>
      <c r="B1991" s="4" t="s">
        <v>94</v>
      </c>
      <c r="C1991" s="3" t="s">
        <v>347</v>
      </c>
      <c r="D1991" s="3" t="s">
        <v>315</v>
      </c>
      <c r="E1991" s="3">
        <v>4</v>
      </c>
      <c r="G1991" s="57"/>
    </row>
    <row r="1992" spans="1:7" ht="12.75" x14ac:dyDescent="0.2">
      <c r="A1992" s="3">
        <v>71</v>
      </c>
      <c r="B1992" s="4" t="s">
        <v>94</v>
      </c>
      <c r="C1992" s="3" t="s">
        <v>347</v>
      </c>
      <c r="D1992" s="3" t="s">
        <v>316</v>
      </c>
      <c r="E1992" s="3">
        <v>20</v>
      </c>
      <c r="G1992" s="57"/>
    </row>
    <row r="1993" spans="1:7" ht="12.75" x14ac:dyDescent="0.2">
      <c r="A1993" s="3">
        <v>71</v>
      </c>
      <c r="B1993" s="4" t="s">
        <v>94</v>
      </c>
      <c r="C1993" s="3" t="s">
        <v>347</v>
      </c>
      <c r="D1993" s="3" t="s">
        <v>369</v>
      </c>
      <c r="E1993" s="3">
        <v>0</v>
      </c>
      <c r="G1993" s="57"/>
    </row>
    <row r="1994" spans="1:7" ht="12.75" x14ac:dyDescent="0.2">
      <c r="A1994" s="3">
        <v>71</v>
      </c>
      <c r="B1994" s="4" t="s">
        <v>94</v>
      </c>
      <c r="C1994" s="3" t="s">
        <v>347</v>
      </c>
      <c r="D1994" s="3" t="s">
        <v>128</v>
      </c>
      <c r="E1994" s="3">
        <v>352</v>
      </c>
      <c r="G1994" s="57"/>
    </row>
    <row r="1995" spans="1:7" ht="12.75" x14ac:dyDescent="0.2">
      <c r="A1995" s="3">
        <v>71</v>
      </c>
      <c r="B1995" s="4" t="s">
        <v>94</v>
      </c>
      <c r="C1995" s="3" t="s">
        <v>347</v>
      </c>
      <c r="D1995" s="3" t="s">
        <v>370</v>
      </c>
      <c r="E1995" s="3">
        <v>2</v>
      </c>
      <c r="G1995" s="57"/>
    </row>
    <row r="1996" spans="1:7" ht="12.75" x14ac:dyDescent="0.2">
      <c r="A1996" s="3">
        <v>71</v>
      </c>
      <c r="B1996" s="4" t="s">
        <v>94</v>
      </c>
      <c r="C1996" s="3" t="s">
        <v>347</v>
      </c>
      <c r="D1996" s="3" t="s">
        <v>353</v>
      </c>
      <c r="E1996" s="3">
        <v>4</v>
      </c>
      <c r="G1996" s="57"/>
    </row>
    <row r="1997" spans="1:7" ht="12.75" x14ac:dyDescent="0.2">
      <c r="A1997" s="3">
        <v>71</v>
      </c>
      <c r="B1997" s="4" t="s">
        <v>94</v>
      </c>
      <c r="C1997" s="3" t="s">
        <v>347</v>
      </c>
      <c r="D1997" s="3" t="s">
        <v>371</v>
      </c>
      <c r="E1997" s="3">
        <v>50</v>
      </c>
      <c r="G1997" s="57"/>
    </row>
    <row r="1998" spans="1:7" ht="12.75" x14ac:dyDescent="0.2">
      <c r="A1998" s="3">
        <v>71</v>
      </c>
      <c r="B1998" s="4" t="s">
        <v>94</v>
      </c>
      <c r="C1998" s="3" t="s">
        <v>347</v>
      </c>
      <c r="D1998" s="3" t="s">
        <v>14</v>
      </c>
      <c r="E1998" s="3">
        <v>26</v>
      </c>
      <c r="G1998" s="57"/>
    </row>
    <row r="1999" spans="1:7" ht="12.75" x14ac:dyDescent="0.2">
      <c r="A1999" s="3">
        <v>71</v>
      </c>
      <c r="B1999" s="4" t="s">
        <v>94</v>
      </c>
      <c r="C1999" s="3" t="s">
        <v>347</v>
      </c>
      <c r="D1999" s="3" t="s">
        <v>138</v>
      </c>
      <c r="E1999" s="3">
        <v>0</v>
      </c>
      <c r="F1999">
        <f>SUM(E1986:E1999)</f>
        <v>916</v>
      </c>
      <c r="G1999" s="57"/>
    </row>
    <row r="2000" spans="1:7" ht="12.75" x14ac:dyDescent="0.2">
      <c r="A2000" s="3">
        <v>71</v>
      </c>
      <c r="B2000" s="4" t="s">
        <v>94</v>
      </c>
      <c r="C2000" s="3" t="s">
        <v>273</v>
      </c>
      <c r="D2000" s="3" t="s">
        <v>274</v>
      </c>
      <c r="E2000" s="3">
        <v>0</v>
      </c>
      <c r="G2000" s="57"/>
    </row>
    <row r="2001" spans="1:7" ht="12.75" x14ac:dyDescent="0.2">
      <c r="A2001" s="3">
        <v>71</v>
      </c>
      <c r="B2001" s="4" t="s">
        <v>94</v>
      </c>
      <c r="C2001" s="3" t="s">
        <v>273</v>
      </c>
      <c r="D2001" s="3" t="s">
        <v>283</v>
      </c>
      <c r="E2001" s="3">
        <v>480</v>
      </c>
      <c r="G2001" s="57"/>
    </row>
    <row r="2002" spans="1:7" ht="12.75" x14ac:dyDescent="0.2">
      <c r="A2002" s="3">
        <v>71</v>
      </c>
      <c r="B2002" s="4" t="s">
        <v>94</v>
      </c>
      <c r="C2002" s="3" t="s">
        <v>273</v>
      </c>
      <c r="D2002" s="3" t="s">
        <v>315</v>
      </c>
      <c r="E2002" s="3">
        <v>3</v>
      </c>
      <c r="G2002" s="57"/>
    </row>
    <row r="2003" spans="1:7" ht="12.75" x14ac:dyDescent="0.2">
      <c r="A2003" s="3">
        <v>71</v>
      </c>
      <c r="B2003" s="4" t="s">
        <v>94</v>
      </c>
      <c r="C2003" s="3" t="s">
        <v>273</v>
      </c>
      <c r="D2003" s="3" t="s">
        <v>128</v>
      </c>
      <c r="E2003" s="3">
        <v>342</v>
      </c>
      <c r="G2003" s="57"/>
    </row>
    <row r="2004" spans="1:7" ht="12.75" x14ac:dyDescent="0.2">
      <c r="A2004" s="3">
        <v>71</v>
      </c>
      <c r="B2004" s="4" t="s">
        <v>94</v>
      </c>
      <c r="C2004" s="3" t="s">
        <v>273</v>
      </c>
      <c r="D2004" s="3" t="s">
        <v>353</v>
      </c>
      <c r="E2004" s="3">
        <v>1</v>
      </c>
      <c r="G2004" s="57"/>
    </row>
    <row r="2005" spans="1:7" ht="12.75" x14ac:dyDescent="0.2">
      <c r="A2005" s="3">
        <v>71</v>
      </c>
      <c r="B2005" s="4" t="s">
        <v>94</v>
      </c>
      <c r="C2005" s="3" t="s">
        <v>273</v>
      </c>
      <c r="D2005" s="3" t="s">
        <v>371</v>
      </c>
      <c r="E2005" s="3">
        <v>22</v>
      </c>
      <c r="G2005" s="57"/>
    </row>
    <row r="2006" spans="1:7" ht="12.75" x14ac:dyDescent="0.2">
      <c r="A2006" s="3">
        <v>71</v>
      </c>
      <c r="B2006" s="4" t="s">
        <v>94</v>
      </c>
      <c r="C2006" s="3" t="s">
        <v>273</v>
      </c>
      <c r="D2006" s="3" t="s">
        <v>14</v>
      </c>
      <c r="E2006" s="3">
        <v>67</v>
      </c>
      <c r="G2006" s="57"/>
    </row>
    <row r="2007" spans="1:7" ht="12.75" x14ac:dyDescent="0.2">
      <c r="A2007" s="3">
        <v>71</v>
      </c>
      <c r="B2007" s="4" t="s">
        <v>94</v>
      </c>
      <c r="C2007" s="3" t="s">
        <v>273</v>
      </c>
      <c r="D2007" s="3" t="s">
        <v>138</v>
      </c>
      <c r="E2007" s="3">
        <v>1</v>
      </c>
      <c r="F2007">
        <f>SUM(E2000:E2007)</f>
        <v>916</v>
      </c>
      <c r="G2007" s="57"/>
    </row>
    <row r="2008" spans="1:7" ht="12.75" x14ac:dyDescent="0.2">
      <c r="A2008" s="3">
        <v>71</v>
      </c>
      <c r="B2008" s="4" t="s">
        <v>94</v>
      </c>
      <c r="C2008" s="3" t="s">
        <v>125</v>
      </c>
      <c r="D2008" s="3" t="s">
        <v>274</v>
      </c>
      <c r="E2008" s="3">
        <v>0</v>
      </c>
      <c r="G2008" s="57"/>
    </row>
    <row r="2009" spans="1:7" ht="12.75" x14ac:dyDescent="0.2">
      <c r="A2009" s="3">
        <v>71</v>
      </c>
      <c r="B2009" s="4" t="s">
        <v>94</v>
      </c>
      <c r="C2009" s="3" t="s">
        <v>125</v>
      </c>
      <c r="D2009" s="3" t="s">
        <v>283</v>
      </c>
      <c r="E2009" s="3">
        <v>479</v>
      </c>
      <c r="G2009" s="57"/>
    </row>
    <row r="2010" spans="1:7" ht="12.75" x14ac:dyDescent="0.2">
      <c r="A2010" s="3">
        <v>71</v>
      </c>
      <c r="B2010" s="4" t="s">
        <v>94</v>
      </c>
      <c r="C2010" s="3" t="s">
        <v>125</v>
      </c>
      <c r="D2010" s="3" t="s">
        <v>315</v>
      </c>
      <c r="E2010" s="3">
        <v>3</v>
      </c>
      <c r="G2010" s="57"/>
    </row>
    <row r="2011" spans="1:7" ht="12.75" x14ac:dyDescent="0.2">
      <c r="A2011" s="3">
        <v>71</v>
      </c>
      <c r="B2011" s="4" t="s">
        <v>94</v>
      </c>
      <c r="C2011" s="3" t="s">
        <v>125</v>
      </c>
      <c r="D2011" s="3" t="s">
        <v>128</v>
      </c>
      <c r="E2011" s="3">
        <v>340</v>
      </c>
      <c r="G2011" s="57"/>
    </row>
    <row r="2012" spans="1:7" ht="12.75" x14ac:dyDescent="0.2">
      <c r="A2012" s="3">
        <v>71</v>
      </c>
      <c r="B2012" s="4" t="s">
        <v>94</v>
      </c>
      <c r="C2012" s="3" t="s">
        <v>125</v>
      </c>
      <c r="D2012" s="3" t="s">
        <v>353</v>
      </c>
      <c r="E2012" s="3">
        <v>1</v>
      </c>
      <c r="G2012" s="57"/>
    </row>
    <row r="2013" spans="1:7" ht="12.75" x14ac:dyDescent="0.2">
      <c r="A2013" s="3">
        <v>71</v>
      </c>
      <c r="B2013" s="4" t="s">
        <v>94</v>
      </c>
      <c r="C2013" s="3" t="s">
        <v>125</v>
      </c>
      <c r="D2013" s="3" t="s">
        <v>371</v>
      </c>
      <c r="E2013" s="3">
        <v>38</v>
      </c>
      <c r="G2013" s="57"/>
    </row>
    <row r="2014" spans="1:7" ht="12.75" x14ac:dyDescent="0.2">
      <c r="A2014" s="3">
        <v>71</v>
      </c>
      <c r="B2014" s="4" t="s">
        <v>94</v>
      </c>
      <c r="C2014" s="3" t="s">
        <v>125</v>
      </c>
      <c r="D2014" s="3" t="s">
        <v>14</v>
      </c>
      <c r="E2014" s="3">
        <v>54</v>
      </c>
      <c r="G2014" s="57"/>
    </row>
    <row r="2015" spans="1:7" ht="12.75" x14ac:dyDescent="0.2">
      <c r="A2015" s="3">
        <v>71</v>
      </c>
      <c r="B2015" s="4" t="s">
        <v>94</v>
      </c>
      <c r="C2015" s="3" t="s">
        <v>125</v>
      </c>
      <c r="D2015" s="3" t="s">
        <v>138</v>
      </c>
      <c r="E2015" s="3">
        <v>1</v>
      </c>
      <c r="F2015">
        <f>SUM(E2008:E2015)</f>
        <v>916</v>
      </c>
      <c r="G2015" s="57"/>
    </row>
    <row r="2016" spans="1:7" ht="12.75" x14ac:dyDescent="0.2">
      <c r="A2016" s="3">
        <v>72</v>
      </c>
      <c r="B2016" s="4" t="s">
        <v>95</v>
      </c>
      <c r="C2016" s="3" t="s">
        <v>347</v>
      </c>
      <c r="D2016" s="3" t="s">
        <v>366</v>
      </c>
      <c r="E2016" s="3">
        <v>10</v>
      </c>
      <c r="G2016" s="59">
        <v>1997</v>
      </c>
    </row>
    <row r="2017" spans="1:7" ht="12.75" x14ac:dyDescent="0.2">
      <c r="A2017" s="3">
        <v>72</v>
      </c>
      <c r="B2017" s="4" t="s">
        <v>95</v>
      </c>
      <c r="C2017" s="3" t="s">
        <v>347</v>
      </c>
      <c r="D2017" s="3" t="s">
        <v>274</v>
      </c>
      <c r="E2017" s="3">
        <v>0</v>
      </c>
      <c r="G2017" s="57"/>
    </row>
    <row r="2018" spans="1:7" ht="12.75" x14ac:dyDescent="0.2">
      <c r="A2018" s="3">
        <v>72</v>
      </c>
      <c r="B2018" s="4" t="s">
        <v>95</v>
      </c>
      <c r="C2018" s="3" t="s">
        <v>347</v>
      </c>
      <c r="D2018" s="3" t="s">
        <v>367</v>
      </c>
      <c r="E2018" s="3">
        <v>3</v>
      </c>
      <c r="G2018" s="57"/>
    </row>
    <row r="2019" spans="1:7" ht="12.75" x14ac:dyDescent="0.2">
      <c r="A2019" s="3">
        <v>72</v>
      </c>
      <c r="B2019" s="4" t="s">
        <v>95</v>
      </c>
      <c r="C2019" s="3" t="s">
        <v>347</v>
      </c>
      <c r="D2019" s="3" t="s">
        <v>368</v>
      </c>
      <c r="E2019" s="3">
        <v>6</v>
      </c>
      <c r="G2019" s="57"/>
    </row>
    <row r="2020" spans="1:7" ht="12.75" x14ac:dyDescent="0.2">
      <c r="A2020" s="3">
        <v>72</v>
      </c>
      <c r="B2020" s="4" t="s">
        <v>95</v>
      </c>
      <c r="C2020" s="3" t="s">
        <v>347</v>
      </c>
      <c r="D2020" s="3" t="s">
        <v>283</v>
      </c>
      <c r="E2020" s="3">
        <v>459</v>
      </c>
      <c r="G2020" s="57"/>
    </row>
    <row r="2021" spans="1:7" ht="12.75" x14ac:dyDescent="0.2">
      <c r="A2021" s="3">
        <v>72</v>
      </c>
      <c r="B2021" s="4" t="s">
        <v>95</v>
      </c>
      <c r="C2021" s="3" t="s">
        <v>347</v>
      </c>
      <c r="D2021" s="3" t="s">
        <v>315</v>
      </c>
      <c r="E2021" s="3">
        <v>11</v>
      </c>
      <c r="G2021" s="57"/>
    </row>
    <row r="2022" spans="1:7" ht="12.75" x14ac:dyDescent="0.2">
      <c r="A2022" s="3">
        <v>72</v>
      </c>
      <c r="B2022" s="4" t="s">
        <v>95</v>
      </c>
      <c r="C2022" s="3" t="s">
        <v>347</v>
      </c>
      <c r="D2022" s="3" t="s">
        <v>316</v>
      </c>
      <c r="E2022" s="3">
        <v>51</v>
      </c>
      <c r="G2022" s="57"/>
    </row>
    <row r="2023" spans="1:7" ht="12.75" x14ac:dyDescent="0.2">
      <c r="A2023" s="3">
        <v>72</v>
      </c>
      <c r="B2023" s="4" t="s">
        <v>95</v>
      </c>
      <c r="C2023" s="3" t="s">
        <v>347</v>
      </c>
      <c r="D2023" s="3" t="s">
        <v>369</v>
      </c>
      <c r="E2023" s="3">
        <v>6</v>
      </c>
      <c r="G2023" s="57"/>
    </row>
    <row r="2024" spans="1:7" ht="12.75" x14ac:dyDescent="0.2">
      <c r="A2024" s="3">
        <v>72</v>
      </c>
      <c r="B2024" s="4" t="s">
        <v>95</v>
      </c>
      <c r="C2024" s="3" t="s">
        <v>347</v>
      </c>
      <c r="D2024" s="3" t="s">
        <v>128</v>
      </c>
      <c r="E2024" s="3">
        <v>787</v>
      </c>
      <c r="G2024" s="57"/>
    </row>
    <row r="2025" spans="1:7" ht="12.75" x14ac:dyDescent="0.2">
      <c r="A2025" s="3">
        <v>72</v>
      </c>
      <c r="B2025" s="4" t="s">
        <v>95</v>
      </c>
      <c r="C2025" s="3" t="s">
        <v>347</v>
      </c>
      <c r="D2025" s="3" t="s">
        <v>370</v>
      </c>
      <c r="E2025" s="3">
        <v>6</v>
      </c>
      <c r="G2025" s="57"/>
    </row>
    <row r="2026" spans="1:7" ht="12.75" x14ac:dyDescent="0.2">
      <c r="A2026" s="3">
        <v>72</v>
      </c>
      <c r="B2026" s="4" t="s">
        <v>95</v>
      </c>
      <c r="C2026" s="3" t="s">
        <v>347</v>
      </c>
      <c r="D2026" s="3" t="s">
        <v>353</v>
      </c>
      <c r="E2026" s="3">
        <v>16</v>
      </c>
      <c r="G2026" s="57"/>
    </row>
    <row r="2027" spans="1:7" ht="12.75" x14ac:dyDescent="0.2">
      <c r="A2027" s="3">
        <v>72</v>
      </c>
      <c r="B2027" s="4" t="s">
        <v>95</v>
      </c>
      <c r="C2027" s="3" t="s">
        <v>347</v>
      </c>
      <c r="D2027" s="3" t="s">
        <v>371</v>
      </c>
      <c r="E2027" s="3">
        <v>186</v>
      </c>
      <c r="G2027" s="57"/>
    </row>
    <row r="2028" spans="1:7" ht="12.75" x14ac:dyDescent="0.2">
      <c r="A2028" s="3">
        <v>72</v>
      </c>
      <c r="B2028" s="4" t="s">
        <v>95</v>
      </c>
      <c r="C2028" s="3" t="s">
        <v>347</v>
      </c>
      <c r="D2028" s="3" t="s">
        <v>14</v>
      </c>
      <c r="E2028" s="3">
        <v>72</v>
      </c>
      <c r="G2028" s="57"/>
    </row>
    <row r="2029" spans="1:7" ht="12.75" x14ac:dyDescent="0.2">
      <c r="A2029" s="3">
        <v>72</v>
      </c>
      <c r="B2029" s="4" t="s">
        <v>95</v>
      </c>
      <c r="C2029" s="3" t="s">
        <v>347</v>
      </c>
      <c r="D2029" s="3" t="s">
        <v>138</v>
      </c>
      <c r="E2029" s="3">
        <v>7</v>
      </c>
      <c r="F2029">
        <f>SUM(E2016:E2029)</f>
        <v>1620</v>
      </c>
      <c r="G2029" s="57"/>
    </row>
    <row r="2030" spans="1:7" ht="12.75" x14ac:dyDescent="0.2">
      <c r="A2030" s="3">
        <v>72</v>
      </c>
      <c r="B2030" s="4" t="s">
        <v>95</v>
      </c>
      <c r="C2030" s="3" t="s">
        <v>273</v>
      </c>
      <c r="D2030" s="3" t="s">
        <v>274</v>
      </c>
      <c r="E2030" s="3">
        <v>5</v>
      </c>
      <c r="G2030" s="57"/>
    </row>
    <row r="2031" spans="1:7" ht="12.75" x14ac:dyDescent="0.2">
      <c r="A2031" s="3">
        <v>72</v>
      </c>
      <c r="B2031" s="4" t="s">
        <v>95</v>
      </c>
      <c r="C2031" s="3" t="s">
        <v>273</v>
      </c>
      <c r="D2031" s="3" t="s">
        <v>283</v>
      </c>
      <c r="E2031" s="3">
        <v>454</v>
      </c>
      <c r="G2031" s="57"/>
    </row>
    <row r="2032" spans="1:7" ht="12.75" x14ac:dyDescent="0.2">
      <c r="A2032" s="3">
        <v>72</v>
      </c>
      <c r="B2032" s="4" t="s">
        <v>95</v>
      </c>
      <c r="C2032" s="3" t="s">
        <v>273</v>
      </c>
      <c r="D2032" s="3" t="s">
        <v>315</v>
      </c>
      <c r="E2032" s="3">
        <v>10</v>
      </c>
      <c r="G2032" s="57"/>
    </row>
    <row r="2033" spans="1:7" ht="12.75" x14ac:dyDescent="0.2">
      <c r="A2033" s="3">
        <v>72</v>
      </c>
      <c r="B2033" s="4" t="s">
        <v>95</v>
      </c>
      <c r="C2033" s="3" t="s">
        <v>273</v>
      </c>
      <c r="D2033" s="3" t="s">
        <v>128</v>
      </c>
      <c r="E2033" s="3">
        <v>839</v>
      </c>
      <c r="G2033" s="57"/>
    </row>
    <row r="2034" spans="1:7" ht="12.75" x14ac:dyDescent="0.2">
      <c r="A2034" s="3">
        <v>72</v>
      </c>
      <c r="B2034" s="4" t="s">
        <v>95</v>
      </c>
      <c r="C2034" s="3" t="s">
        <v>273</v>
      </c>
      <c r="D2034" s="3" t="s">
        <v>353</v>
      </c>
      <c r="E2034" s="3">
        <v>6</v>
      </c>
      <c r="G2034" s="57"/>
    </row>
    <row r="2035" spans="1:7" ht="12.75" x14ac:dyDescent="0.2">
      <c r="A2035" s="3">
        <v>72</v>
      </c>
      <c r="B2035" s="4" t="s">
        <v>95</v>
      </c>
      <c r="C2035" s="3" t="s">
        <v>273</v>
      </c>
      <c r="D2035" s="3" t="s">
        <v>371</v>
      </c>
      <c r="E2035" s="3">
        <v>155</v>
      </c>
      <c r="G2035" s="57"/>
    </row>
    <row r="2036" spans="1:7" ht="12.75" x14ac:dyDescent="0.2">
      <c r="A2036" s="3">
        <v>72</v>
      </c>
      <c r="B2036" s="4" t="s">
        <v>95</v>
      </c>
      <c r="C2036" s="3" t="s">
        <v>273</v>
      </c>
      <c r="D2036" s="3" t="s">
        <v>14</v>
      </c>
      <c r="E2036" s="3">
        <v>146</v>
      </c>
      <c r="G2036" s="57"/>
    </row>
    <row r="2037" spans="1:7" ht="12.75" x14ac:dyDescent="0.2">
      <c r="A2037" s="3">
        <v>72</v>
      </c>
      <c r="B2037" s="4" t="s">
        <v>95</v>
      </c>
      <c r="C2037" s="3" t="s">
        <v>273</v>
      </c>
      <c r="D2037" s="3" t="s">
        <v>138</v>
      </c>
      <c r="E2037" s="3">
        <v>5</v>
      </c>
      <c r="F2037">
        <f>SUM(E2030:E2037)</f>
        <v>1620</v>
      </c>
      <c r="G2037" s="57"/>
    </row>
    <row r="2038" spans="1:7" ht="12.75" x14ac:dyDescent="0.2">
      <c r="A2038" s="3">
        <v>72</v>
      </c>
      <c r="B2038" s="4" t="s">
        <v>95</v>
      </c>
      <c r="C2038" s="3" t="s">
        <v>125</v>
      </c>
      <c r="D2038" s="3" t="s">
        <v>274</v>
      </c>
      <c r="E2038" s="3">
        <v>5</v>
      </c>
      <c r="G2038" s="57"/>
    </row>
    <row r="2039" spans="1:7" ht="12.75" x14ac:dyDescent="0.2">
      <c r="A2039" s="3">
        <v>72</v>
      </c>
      <c r="B2039" s="4" t="s">
        <v>95</v>
      </c>
      <c r="C2039" s="3" t="s">
        <v>125</v>
      </c>
      <c r="D2039" s="3" t="s">
        <v>283</v>
      </c>
      <c r="E2039" s="3">
        <v>458</v>
      </c>
      <c r="G2039" s="57"/>
    </row>
    <row r="2040" spans="1:7" ht="12.75" x14ac:dyDescent="0.2">
      <c r="A2040" s="3">
        <v>72</v>
      </c>
      <c r="B2040" s="4" t="s">
        <v>95</v>
      </c>
      <c r="C2040" s="3" t="s">
        <v>125</v>
      </c>
      <c r="D2040" s="3" t="s">
        <v>315</v>
      </c>
      <c r="E2040" s="3">
        <v>8</v>
      </c>
      <c r="G2040" s="57"/>
    </row>
    <row r="2041" spans="1:7" ht="12.75" x14ac:dyDescent="0.2">
      <c r="A2041" s="3">
        <v>72</v>
      </c>
      <c r="B2041" s="4" t="s">
        <v>95</v>
      </c>
      <c r="C2041" s="3" t="s">
        <v>125</v>
      </c>
      <c r="D2041" s="3" t="s">
        <v>128</v>
      </c>
      <c r="E2041" s="3">
        <v>837</v>
      </c>
      <c r="G2041" s="57"/>
    </row>
    <row r="2042" spans="1:7" ht="12.75" x14ac:dyDescent="0.2">
      <c r="A2042" s="3">
        <v>72</v>
      </c>
      <c r="B2042" s="4" t="s">
        <v>95</v>
      </c>
      <c r="C2042" s="3" t="s">
        <v>125</v>
      </c>
      <c r="D2042" s="3" t="s">
        <v>353</v>
      </c>
      <c r="E2042" s="3">
        <v>6</v>
      </c>
      <c r="G2042" s="57"/>
    </row>
    <row r="2043" spans="1:7" ht="12.75" x14ac:dyDescent="0.2">
      <c r="A2043" s="3">
        <v>72</v>
      </c>
      <c r="B2043" s="4" t="s">
        <v>95</v>
      </c>
      <c r="C2043" s="3" t="s">
        <v>125</v>
      </c>
      <c r="D2043" s="3" t="s">
        <v>371</v>
      </c>
      <c r="E2043" s="3">
        <v>156</v>
      </c>
      <c r="G2043" s="57"/>
    </row>
    <row r="2044" spans="1:7" ht="12.75" x14ac:dyDescent="0.2">
      <c r="A2044" s="3">
        <v>72</v>
      </c>
      <c r="B2044" s="4" t="s">
        <v>95</v>
      </c>
      <c r="C2044" s="3" t="s">
        <v>125</v>
      </c>
      <c r="D2044" s="3" t="s">
        <v>14</v>
      </c>
      <c r="E2044" s="3">
        <v>146</v>
      </c>
      <c r="G2044" s="57"/>
    </row>
    <row r="2045" spans="1:7" ht="12.75" x14ac:dyDescent="0.2">
      <c r="A2045" s="3">
        <v>72</v>
      </c>
      <c r="B2045" s="4" t="s">
        <v>95</v>
      </c>
      <c r="C2045" s="3" t="s">
        <v>125</v>
      </c>
      <c r="D2045" s="3" t="s">
        <v>138</v>
      </c>
      <c r="E2045" s="3">
        <v>4</v>
      </c>
      <c r="F2045">
        <f>SUM(E2038:E2045)</f>
        <v>1620</v>
      </c>
      <c r="G2045" s="57"/>
    </row>
    <row r="2046" spans="1:7" ht="12.75" x14ac:dyDescent="0.2">
      <c r="A2046" s="3">
        <v>73</v>
      </c>
      <c r="B2046" s="4" t="s">
        <v>96</v>
      </c>
      <c r="C2046" s="3" t="s">
        <v>347</v>
      </c>
      <c r="D2046" s="3" t="s">
        <v>366</v>
      </c>
      <c r="E2046" s="3">
        <v>0</v>
      </c>
      <c r="G2046" s="59">
        <v>203</v>
      </c>
    </row>
    <row r="2047" spans="1:7" ht="12.75" x14ac:dyDescent="0.2">
      <c r="A2047" s="3">
        <v>73</v>
      </c>
      <c r="B2047" s="4" t="s">
        <v>96</v>
      </c>
      <c r="C2047" s="3" t="s">
        <v>347</v>
      </c>
      <c r="D2047" s="3" t="s">
        <v>274</v>
      </c>
      <c r="E2047" s="3">
        <v>0</v>
      </c>
      <c r="G2047" s="57"/>
    </row>
    <row r="2048" spans="1:7" ht="12.75" x14ac:dyDescent="0.2">
      <c r="A2048" s="3">
        <v>73</v>
      </c>
      <c r="B2048" s="4" t="s">
        <v>96</v>
      </c>
      <c r="C2048" s="3" t="s">
        <v>347</v>
      </c>
      <c r="D2048" s="3" t="s">
        <v>367</v>
      </c>
      <c r="E2048" s="3">
        <v>1</v>
      </c>
      <c r="G2048" s="57"/>
    </row>
    <row r="2049" spans="1:7" ht="12.75" x14ac:dyDescent="0.2">
      <c r="A2049" s="3">
        <v>73</v>
      </c>
      <c r="B2049" s="4" t="s">
        <v>96</v>
      </c>
      <c r="C2049" s="3" t="s">
        <v>347</v>
      </c>
      <c r="D2049" s="3" t="s">
        <v>368</v>
      </c>
      <c r="E2049" s="3">
        <v>1</v>
      </c>
      <c r="G2049" s="57"/>
    </row>
    <row r="2050" spans="1:7" ht="12.75" x14ac:dyDescent="0.2">
      <c r="A2050" s="3">
        <v>73</v>
      </c>
      <c r="B2050" s="4" t="s">
        <v>96</v>
      </c>
      <c r="C2050" s="3" t="s">
        <v>347</v>
      </c>
      <c r="D2050" s="3" t="s">
        <v>283</v>
      </c>
      <c r="E2050" s="3">
        <v>71</v>
      </c>
      <c r="G2050" s="57"/>
    </row>
    <row r="2051" spans="1:7" ht="12.75" x14ac:dyDescent="0.2">
      <c r="A2051" s="3">
        <v>73</v>
      </c>
      <c r="B2051" s="4" t="s">
        <v>96</v>
      </c>
      <c r="C2051" s="3" t="s">
        <v>347</v>
      </c>
      <c r="D2051" s="3" t="s">
        <v>315</v>
      </c>
      <c r="E2051" s="3">
        <v>2</v>
      </c>
      <c r="G2051" s="57"/>
    </row>
    <row r="2052" spans="1:7" ht="12.75" x14ac:dyDescent="0.2">
      <c r="A2052" s="3">
        <v>73</v>
      </c>
      <c r="B2052" s="4" t="s">
        <v>96</v>
      </c>
      <c r="C2052" s="3" t="s">
        <v>347</v>
      </c>
      <c r="D2052" s="3" t="s">
        <v>316</v>
      </c>
      <c r="E2052" s="3">
        <v>6</v>
      </c>
      <c r="G2052" s="57"/>
    </row>
    <row r="2053" spans="1:7" ht="12.75" x14ac:dyDescent="0.2">
      <c r="A2053" s="3">
        <v>73</v>
      </c>
      <c r="B2053" s="4" t="s">
        <v>96</v>
      </c>
      <c r="C2053" s="3" t="s">
        <v>347</v>
      </c>
      <c r="D2053" s="3" t="s">
        <v>369</v>
      </c>
      <c r="E2053" s="3">
        <v>0</v>
      </c>
      <c r="G2053" s="57"/>
    </row>
    <row r="2054" spans="1:7" ht="12.75" x14ac:dyDescent="0.2">
      <c r="A2054" s="3">
        <v>73</v>
      </c>
      <c r="B2054" s="4" t="s">
        <v>96</v>
      </c>
      <c r="C2054" s="3" t="s">
        <v>347</v>
      </c>
      <c r="D2054" s="3" t="s">
        <v>128</v>
      </c>
      <c r="E2054" s="3">
        <v>56</v>
      </c>
      <c r="G2054" s="57"/>
    </row>
    <row r="2055" spans="1:7" ht="12.75" x14ac:dyDescent="0.2">
      <c r="A2055" s="3">
        <v>73</v>
      </c>
      <c r="B2055" s="4" t="s">
        <v>96</v>
      </c>
      <c r="C2055" s="3" t="s">
        <v>347</v>
      </c>
      <c r="D2055" s="3" t="s">
        <v>370</v>
      </c>
      <c r="E2055" s="3">
        <v>1</v>
      </c>
      <c r="G2055" s="57"/>
    </row>
    <row r="2056" spans="1:7" ht="12.75" x14ac:dyDescent="0.2">
      <c r="A2056" s="3">
        <v>73</v>
      </c>
      <c r="B2056" s="4" t="s">
        <v>96</v>
      </c>
      <c r="C2056" s="3" t="s">
        <v>347</v>
      </c>
      <c r="D2056" s="3" t="s">
        <v>353</v>
      </c>
      <c r="E2056" s="3">
        <v>1</v>
      </c>
      <c r="G2056" s="57"/>
    </row>
    <row r="2057" spans="1:7" ht="12.75" x14ac:dyDescent="0.2">
      <c r="A2057" s="3">
        <v>73</v>
      </c>
      <c r="B2057" s="4" t="s">
        <v>96</v>
      </c>
      <c r="C2057" s="3" t="s">
        <v>347</v>
      </c>
      <c r="D2057" s="3" t="s">
        <v>371</v>
      </c>
      <c r="E2057" s="3">
        <v>22</v>
      </c>
      <c r="G2057" s="57"/>
    </row>
    <row r="2058" spans="1:7" ht="12.75" x14ac:dyDescent="0.2">
      <c r="A2058" s="3">
        <v>73</v>
      </c>
      <c r="B2058" s="4" t="s">
        <v>96</v>
      </c>
      <c r="C2058" s="3" t="s">
        <v>347</v>
      </c>
      <c r="D2058" s="3" t="s">
        <v>14</v>
      </c>
      <c r="E2058" s="3">
        <v>19</v>
      </c>
      <c r="G2058" s="57"/>
    </row>
    <row r="2059" spans="1:7" ht="12.75" x14ac:dyDescent="0.2">
      <c r="A2059" s="3">
        <v>73</v>
      </c>
      <c r="B2059" s="4" t="s">
        <v>96</v>
      </c>
      <c r="C2059" s="3" t="s">
        <v>347</v>
      </c>
      <c r="D2059" s="3" t="s">
        <v>138</v>
      </c>
      <c r="E2059" s="3">
        <v>1</v>
      </c>
      <c r="F2059">
        <f>SUM(E2046:E2059)</f>
        <v>181</v>
      </c>
      <c r="G2059" s="57"/>
    </row>
    <row r="2060" spans="1:7" ht="12.75" x14ac:dyDescent="0.2">
      <c r="A2060" s="3">
        <v>73</v>
      </c>
      <c r="B2060" s="4" t="s">
        <v>96</v>
      </c>
      <c r="C2060" s="3" t="s">
        <v>273</v>
      </c>
      <c r="D2060" s="3" t="s">
        <v>274</v>
      </c>
      <c r="E2060" s="3">
        <v>0</v>
      </c>
      <c r="G2060" s="57"/>
    </row>
    <row r="2061" spans="1:7" ht="12.75" x14ac:dyDescent="0.2">
      <c r="A2061" s="3">
        <v>73</v>
      </c>
      <c r="B2061" s="4" t="s">
        <v>96</v>
      </c>
      <c r="C2061" s="3" t="s">
        <v>273</v>
      </c>
      <c r="D2061" s="3" t="s">
        <v>283</v>
      </c>
      <c r="E2061" s="3">
        <v>115</v>
      </c>
      <c r="G2061" s="57"/>
    </row>
    <row r="2062" spans="1:7" ht="12.75" x14ac:dyDescent="0.2">
      <c r="A2062" s="3">
        <v>73</v>
      </c>
      <c r="B2062" s="4" t="s">
        <v>96</v>
      </c>
      <c r="C2062" s="3" t="s">
        <v>273</v>
      </c>
      <c r="D2062" s="3" t="s">
        <v>315</v>
      </c>
      <c r="E2062" s="3">
        <v>0</v>
      </c>
      <c r="G2062" s="57"/>
    </row>
    <row r="2063" spans="1:7" ht="12.75" x14ac:dyDescent="0.2">
      <c r="A2063" s="3">
        <v>73</v>
      </c>
      <c r="B2063" s="4" t="s">
        <v>96</v>
      </c>
      <c r="C2063" s="3" t="s">
        <v>273</v>
      </c>
      <c r="D2063" s="3" t="s">
        <v>128</v>
      </c>
      <c r="E2063" s="3">
        <v>40</v>
      </c>
      <c r="G2063" s="57"/>
    </row>
    <row r="2064" spans="1:7" ht="12.75" x14ac:dyDescent="0.2">
      <c r="A2064" s="3">
        <v>73</v>
      </c>
      <c r="B2064" s="4" t="s">
        <v>96</v>
      </c>
      <c r="C2064" s="3" t="s">
        <v>273</v>
      </c>
      <c r="D2064" s="3" t="s">
        <v>353</v>
      </c>
      <c r="E2064" s="3">
        <v>0</v>
      </c>
      <c r="G2064" s="57"/>
    </row>
    <row r="2065" spans="1:7" ht="12.75" x14ac:dyDescent="0.2">
      <c r="A2065" s="3">
        <v>73</v>
      </c>
      <c r="B2065" s="4" t="s">
        <v>96</v>
      </c>
      <c r="C2065" s="3" t="s">
        <v>273</v>
      </c>
      <c r="D2065" s="3" t="s">
        <v>371</v>
      </c>
      <c r="E2065" s="3">
        <v>6</v>
      </c>
      <c r="G2065" s="57"/>
    </row>
    <row r="2066" spans="1:7" ht="12.75" x14ac:dyDescent="0.2">
      <c r="A2066" s="3">
        <v>73</v>
      </c>
      <c r="B2066" s="4" t="s">
        <v>96</v>
      </c>
      <c r="C2066" s="3" t="s">
        <v>273</v>
      </c>
      <c r="D2066" s="3" t="s">
        <v>14</v>
      </c>
      <c r="E2066" s="3">
        <v>19</v>
      </c>
      <c r="G2066" s="57"/>
    </row>
    <row r="2067" spans="1:7" ht="12.75" x14ac:dyDescent="0.2">
      <c r="A2067" s="3">
        <v>73</v>
      </c>
      <c r="B2067" s="4" t="s">
        <v>96</v>
      </c>
      <c r="C2067" s="3" t="s">
        <v>273</v>
      </c>
      <c r="D2067" s="3" t="s">
        <v>138</v>
      </c>
      <c r="E2067" s="3">
        <v>1</v>
      </c>
      <c r="F2067">
        <f>SUM(E2060:E2067)</f>
        <v>181</v>
      </c>
      <c r="G2067" s="57"/>
    </row>
    <row r="2068" spans="1:7" ht="12.75" x14ac:dyDescent="0.2">
      <c r="A2068" s="3">
        <v>73</v>
      </c>
      <c r="B2068" s="4" t="s">
        <v>96</v>
      </c>
      <c r="C2068" s="3" t="s">
        <v>125</v>
      </c>
      <c r="D2068" s="3" t="s">
        <v>274</v>
      </c>
      <c r="E2068" s="3">
        <v>0</v>
      </c>
      <c r="G2068" s="57"/>
    </row>
    <row r="2069" spans="1:7" ht="12.75" x14ac:dyDescent="0.2">
      <c r="A2069" s="3">
        <v>73</v>
      </c>
      <c r="B2069" s="4" t="s">
        <v>96</v>
      </c>
      <c r="C2069" s="3" t="s">
        <v>125</v>
      </c>
      <c r="D2069" s="3" t="s">
        <v>283</v>
      </c>
      <c r="E2069" s="3">
        <v>113</v>
      </c>
      <c r="G2069" s="57"/>
    </row>
    <row r="2070" spans="1:7" ht="12.75" x14ac:dyDescent="0.2">
      <c r="A2070" s="3">
        <v>73</v>
      </c>
      <c r="B2070" s="4" t="s">
        <v>96</v>
      </c>
      <c r="C2070" s="3" t="s">
        <v>125</v>
      </c>
      <c r="D2070" s="3" t="s">
        <v>315</v>
      </c>
      <c r="E2070" s="3">
        <v>0</v>
      </c>
      <c r="G2070" s="57"/>
    </row>
    <row r="2071" spans="1:7" ht="12.75" x14ac:dyDescent="0.2">
      <c r="A2071" s="3">
        <v>73</v>
      </c>
      <c r="B2071" s="4" t="s">
        <v>96</v>
      </c>
      <c r="C2071" s="3" t="s">
        <v>125</v>
      </c>
      <c r="D2071" s="3" t="s">
        <v>128</v>
      </c>
      <c r="E2071" s="3">
        <v>39</v>
      </c>
      <c r="G2071" s="57"/>
    </row>
    <row r="2072" spans="1:7" ht="12.75" x14ac:dyDescent="0.2">
      <c r="A2072" s="3">
        <v>73</v>
      </c>
      <c r="B2072" s="4" t="s">
        <v>96</v>
      </c>
      <c r="C2072" s="3" t="s">
        <v>125</v>
      </c>
      <c r="D2072" s="3" t="s">
        <v>353</v>
      </c>
      <c r="E2072" s="3">
        <v>0</v>
      </c>
      <c r="G2072" s="57"/>
    </row>
    <row r="2073" spans="1:7" ht="12.75" x14ac:dyDescent="0.2">
      <c r="A2073" s="3">
        <v>73</v>
      </c>
      <c r="B2073" s="4" t="s">
        <v>96</v>
      </c>
      <c r="C2073" s="3" t="s">
        <v>125</v>
      </c>
      <c r="D2073" s="3" t="s">
        <v>371</v>
      </c>
      <c r="E2073" s="3">
        <v>6</v>
      </c>
      <c r="G2073" s="57"/>
    </row>
    <row r="2074" spans="1:7" ht="12.75" x14ac:dyDescent="0.2">
      <c r="A2074" s="3">
        <v>73</v>
      </c>
      <c r="B2074" s="4" t="s">
        <v>96</v>
      </c>
      <c r="C2074" s="3" t="s">
        <v>125</v>
      </c>
      <c r="D2074" s="3" t="s">
        <v>14</v>
      </c>
      <c r="E2074" s="3">
        <v>22</v>
      </c>
      <c r="G2074" s="57"/>
    </row>
    <row r="2075" spans="1:7" ht="12.75" x14ac:dyDescent="0.2">
      <c r="A2075" s="3">
        <v>73</v>
      </c>
      <c r="B2075" s="4" t="s">
        <v>96</v>
      </c>
      <c r="C2075" s="3" t="s">
        <v>125</v>
      </c>
      <c r="D2075" s="3" t="s">
        <v>138</v>
      </c>
      <c r="E2075" s="3">
        <v>1</v>
      </c>
      <c r="F2075">
        <f>SUM(E2068:E2075)</f>
        <v>181</v>
      </c>
      <c r="G2075" s="57"/>
    </row>
    <row r="2076" spans="1:7" ht="12.75" x14ac:dyDescent="0.2">
      <c r="A2076" s="3">
        <v>74</v>
      </c>
      <c r="B2076" s="4" t="s">
        <v>97</v>
      </c>
      <c r="C2076" s="3" t="s">
        <v>347</v>
      </c>
      <c r="D2076" s="3" t="s">
        <v>366</v>
      </c>
      <c r="E2076" s="3">
        <v>1</v>
      </c>
      <c r="G2076" s="59">
        <v>405</v>
      </c>
    </row>
    <row r="2077" spans="1:7" ht="12.75" x14ac:dyDescent="0.2">
      <c r="A2077" s="3">
        <v>74</v>
      </c>
      <c r="B2077" s="4" t="s">
        <v>97</v>
      </c>
      <c r="C2077" s="3" t="s">
        <v>347</v>
      </c>
      <c r="D2077" s="3" t="s">
        <v>274</v>
      </c>
      <c r="E2077" s="3">
        <v>0</v>
      </c>
      <c r="G2077" s="57"/>
    </row>
    <row r="2078" spans="1:7" ht="12.75" x14ac:dyDescent="0.2">
      <c r="A2078" s="3">
        <v>74</v>
      </c>
      <c r="B2078" s="4" t="s">
        <v>97</v>
      </c>
      <c r="C2078" s="3" t="s">
        <v>347</v>
      </c>
      <c r="D2078" s="3" t="s">
        <v>367</v>
      </c>
      <c r="E2078" s="3">
        <v>0</v>
      </c>
      <c r="G2078" s="57"/>
    </row>
    <row r="2079" spans="1:7" ht="12.75" x14ac:dyDescent="0.2">
      <c r="A2079" s="3">
        <v>74</v>
      </c>
      <c r="B2079" s="4" t="s">
        <v>97</v>
      </c>
      <c r="C2079" s="3" t="s">
        <v>347</v>
      </c>
      <c r="D2079" s="3" t="s">
        <v>368</v>
      </c>
      <c r="E2079" s="3">
        <v>0</v>
      </c>
      <c r="G2079" s="57"/>
    </row>
    <row r="2080" spans="1:7" ht="12.75" x14ac:dyDescent="0.2">
      <c r="A2080" s="3">
        <v>74</v>
      </c>
      <c r="B2080" s="4" t="s">
        <v>97</v>
      </c>
      <c r="C2080" s="3" t="s">
        <v>347</v>
      </c>
      <c r="D2080" s="3" t="s">
        <v>283</v>
      </c>
      <c r="E2080" s="3">
        <v>168</v>
      </c>
      <c r="G2080" s="57"/>
    </row>
    <row r="2081" spans="1:7" ht="12.75" x14ac:dyDescent="0.2">
      <c r="A2081" s="3">
        <v>74</v>
      </c>
      <c r="B2081" s="4" t="s">
        <v>97</v>
      </c>
      <c r="C2081" s="3" t="s">
        <v>347</v>
      </c>
      <c r="D2081" s="3" t="s">
        <v>315</v>
      </c>
      <c r="E2081" s="3">
        <v>0</v>
      </c>
      <c r="G2081" s="57"/>
    </row>
    <row r="2082" spans="1:7" ht="12.75" x14ac:dyDescent="0.2">
      <c r="A2082" s="3">
        <v>74</v>
      </c>
      <c r="B2082" s="4" t="s">
        <v>97</v>
      </c>
      <c r="C2082" s="3" t="s">
        <v>347</v>
      </c>
      <c r="D2082" s="3" t="s">
        <v>316</v>
      </c>
      <c r="E2082" s="3">
        <v>17</v>
      </c>
      <c r="G2082" s="57"/>
    </row>
    <row r="2083" spans="1:7" ht="12.75" x14ac:dyDescent="0.2">
      <c r="A2083" s="3">
        <v>74</v>
      </c>
      <c r="B2083" s="4" t="s">
        <v>97</v>
      </c>
      <c r="C2083" s="3" t="s">
        <v>347</v>
      </c>
      <c r="D2083" s="3" t="s">
        <v>369</v>
      </c>
      <c r="E2083" s="3">
        <v>0</v>
      </c>
      <c r="G2083" s="57"/>
    </row>
    <row r="2084" spans="1:7" ht="12.75" x14ac:dyDescent="0.2">
      <c r="A2084" s="3">
        <v>74</v>
      </c>
      <c r="B2084" s="4" t="s">
        <v>97</v>
      </c>
      <c r="C2084" s="3" t="s">
        <v>347</v>
      </c>
      <c r="D2084" s="3" t="s">
        <v>128</v>
      </c>
      <c r="E2084" s="3">
        <v>95</v>
      </c>
      <c r="G2084" s="57"/>
    </row>
    <row r="2085" spans="1:7" ht="12.75" x14ac:dyDescent="0.2">
      <c r="A2085" s="3">
        <v>74</v>
      </c>
      <c r="B2085" s="4" t="s">
        <v>97</v>
      </c>
      <c r="C2085" s="3" t="s">
        <v>347</v>
      </c>
      <c r="D2085" s="3" t="s">
        <v>370</v>
      </c>
      <c r="E2085" s="3">
        <v>0</v>
      </c>
      <c r="G2085" s="57"/>
    </row>
    <row r="2086" spans="1:7" ht="12.75" x14ac:dyDescent="0.2">
      <c r="A2086" s="3">
        <v>74</v>
      </c>
      <c r="B2086" s="4" t="s">
        <v>97</v>
      </c>
      <c r="C2086" s="3" t="s">
        <v>347</v>
      </c>
      <c r="D2086" s="3" t="s">
        <v>353</v>
      </c>
      <c r="E2086" s="3">
        <v>1</v>
      </c>
      <c r="G2086" s="57"/>
    </row>
    <row r="2087" spans="1:7" ht="12.75" x14ac:dyDescent="0.2">
      <c r="A2087" s="3">
        <v>74</v>
      </c>
      <c r="B2087" s="4" t="s">
        <v>97</v>
      </c>
      <c r="C2087" s="3" t="s">
        <v>347</v>
      </c>
      <c r="D2087" s="3" t="s">
        <v>371</v>
      </c>
      <c r="E2087" s="3">
        <v>34</v>
      </c>
      <c r="G2087" s="57"/>
    </row>
    <row r="2088" spans="1:7" ht="12.75" x14ac:dyDescent="0.2">
      <c r="A2088" s="3">
        <v>74</v>
      </c>
      <c r="B2088" s="4" t="s">
        <v>97</v>
      </c>
      <c r="C2088" s="3" t="s">
        <v>347</v>
      </c>
      <c r="D2088" s="3" t="s">
        <v>14</v>
      </c>
      <c r="E2088" s="3">
        <v>26</v>
      </c>
      <c r="G2088" s="57"/>
    </row>
    <row r="2089" spans="1:7" ht="12.75" x14ac:dyDescent="0.2">
      <c r="A2089" s="3">
        <v>74</v>
      </c>
      <c r="B2089" s="4" t="s">
        <v>97</v>
      </c>
      <c r="C2089" s="3" t="s">
        <v>347</v>
      </c>
      <c r="D2089" s="3" t="s">
        <v>138</v>
      </c>
      <c r="E2089" s="3">
        <v>6</v>
      </c>
      <c r="F2089">
        <f>SUM(E2076:E2089)</f>
        <v>348</v>
      </c>
      <c r="G2089" s="57"/>
    </row>
    <row r="2090" spans="1:7" ht="12.75" x14ac:dyDescent="0.2">
      <c r="A2090" s="3">
        <v>74</v>
      </c>
      <c r="B2090" s="4" t="s">
        <v>97</v>
      </c>
      <c r="C2090" s="3" t="s">
        <v>273</v>
      </c>
      <c r="D2090" s="3" t="s">
        <v>274</v>
      </c>
      <c r="E2090" s="3">
        <v>0</v>
      </c>
      <c r="G2090" s="57"/>
    </row>
    <row r="2091" spans="1:7" ht="12.75" x14ac:dyDescent="0.2">
      <c r="A2091" s="3">
        <v>74</v>
      </c>
      <c r="B2091" s="4" t="s">
        <v>97</v>
      </c>
      <c r="C2091" s="3" t="s">
        <v>273</v>
      </c>
      <c r="D2091" s="3" t="s">
        <v>283</v>
      </c>
      <c r="E2091" s="3">
        <v>249</v>
      </c>
      <c r="G2091" s="57"/>
    </row>
    <row r="2092" spans="1:7" ht="12.75" x14ac:dyDescent="0.2">
      <c r="A2092" s="3">
        <v>74</v>
      </c>
      <c r="B2092" s="4" t="s">
        <v>97</v>
      </c>
      <c r="C2092" s="3" t="s">
        <v>273</v>
      </c>
      <c r="D2092" s="3" t="s">
        <v>315</v>
      </c>
      <c r="E2092" s="3">
        <v>0</v>
      </c>
      <c r="G2092" s="57"/>
    </row>
    <row r="2093" spans="1:7" ht="12.75" x14ac:dyDescent="0.2">
      <c r="A2093" s="3">
        <v>74</v>
      </c>
      <c r="B2093" s="4" t="s">
        <v>97</v>
      </c>
      <c r="C2093" s="3" t="s">
        <v>273</v>
      </c>
      <c r="D2093" s="3" t="s">
        <v>128</v>
      </c>
      <c r="E2093" s="3">
        <v>42</v>
      </c>
      <c r="G2093" s="57"/>
    </row>
    <row r="2094" spans="1:7" ht="12.75" x14ac:dyDescent="0.2">
      <c r="A2094" s="3">
        <v>74</v>
      </c>
      <c r="B2094" s="4" t="s">
        <v>97</v>
      </c>
      <c r="C2094" s="3" t="s">
        <v>273</v>
      </c>
      <c r="D2094" s="3" t="s">
        <v>353</v>
      </c>
      <c r="E2094" s="3">
        <v>0</v>
      </c>
      <c r="G2094" s="57"/>
    </row>
    <row r="2095" spans="1:7" ht="12.75" x14ac:dyDescent="0.2">
      <c r="A2095" s="3">
        <v>74</v>
      </c>
      <c r="B2095" s="4" t="s">
        <v>97</v>
      </c>
      <c r="C2095" s="3" t="s">
        <v>273</v>
      </c>
      <c r="D2095" s="3" t="s">
        <v>371</v>
      </c>
      <c r="E2095" s="3">
        <v>8</v>
      </c>
      <c r="G2095" s="57"/>
    </row>
    <row r="2096" spans="1:7" ht="12.75" x14ac:dyDescent="0.2">
      <c r="A2096" s="3">
        <v>74</v>
      </c>
      <c r="B2096" s="4" t="s">
        <v>97</v>
      </c>
      <c r="C2096" s="3" t="s">
        <v>273</v>
      </c>
      <c r="D2096" s="3" t="s">
        <v>14</v>
      </c>
      <c r="E2096" s="3">
        <v>43</v>
      </c>
      <c r="G2096" s="57"/>
    </row>
    <row r="2097" spans="1:7" ht="12.75" x14ac:dyDescent="0.2">
      <c r="A2097" s="3">
        <v>74</v>
      </c>
      <c r="B2097" s="4" t="s">
        <v>97</v>
      </c>
      <c r="C2097" s="3" t="s">
        <v>273</v>
      </c>
      <c r="D2097" s="3" t="s">
        <v>138</v>
      </c>
      <c r="E2097" s="3">
        <v>6</v>
      </c>
      <c r="F2097">
        <f>SUM(E2090:E2097)</f>
        <v>348</v>
      </c>
      <c r="G2097" s="57"/>
    </row>
    <row r="2098" spans="1:7" ht="12.75" x14ac:dyDescent="0.2">
      <c r="A2098" s="3">
        <v>74</v>
      </c>
      <c r="B2098" s="4" t="s">
        <v>97</v>
      </c>
      <c r="C2098" s="3" t="s">
        <v>125</v>
      </c>
      <c r="D2098" s="3" t="s">
        <v>274</v>
      </c>
      <c r="E2098" s="3">
        <v>0</v>
      </c>
      <c r="G2098" s="57"/>
    </row>
    <row r="2099" spans="1:7" ht="12.75" x14ac:dyDescent="0.2">
      <c r="A2099" s="3">
        <v>74</v>
      </c>
      <c r="B2099" s="4" t="s">
        <v>97</v>
      </c>
      <c r="C2099" s="3" t="s">
        <v>125</v>
      </c>
      <c r="D2099" s="3" t="s">
        <v>283</v>
      </c>
      <c r="E2099" s="3">
        <v>247</v>
      </c>
      <c r="G2099" s="57"/>
    </row>
    <row r="2100" spans="1:7" ht="12.75" x14ac:dyDescent="0.2">
      <c r="A2100" s="3">
        <v>74</v>
      </c>
      <c r="B2100" s="4" t="s">
        <v>97</v>
      </c>
      <c r="C2100" s="3" t="s">
        <v>125</v>
      </c>
      <c r="D2100" s="3" t="s">
        <v>315</v>
      </c>
      <c r="E2100" s="3">
        <v>0</v>
      </c>
      <c r="G2100" s="57"/>
    </row>
    <row r="2101" spans="1:7" ht="12.75" x14ac:dyDescent="0.2">
      <c r="A2101" s="3">
        <v>74</v>
      </c>
      <c r="B2101" s="4" t="s">
        <v>97</v>
      </c>
      <c r="C2101" s="3" t="s">
        <v>125</v>
      </c>
      <c r="D2101" s="3" t="s">
        <v>128</v>
      </c>
      <c r="E2101" s="3">
        <v>41</v>
      </c>
      <c r="G2101" s="57"/>
    </row>
    <row r="2102" spans="1:7" ht="12.75" x14ac:dyDescent="0.2">
      <c r="A2102" s="3">
        <v>74</v>
      </c>
      <c r="B2102" s="4" t="s">
        <v>97</v>
      </c>
      <c r="C2102" s="3" t="s">
        <v>125</v>
      </c>
      <c r="D2102" s="3" t="s">
        <v>353</v>
      </c>
      <c r="E2102" s="3">
        <v>0</v>
      </c>
      <c r="G2102" s="57"/>
    </row>
    <row r="2103" spans="1:7" ht="12.75" x14ac:dyDescent="0.2">
      <c r="A2103" s="3">
        <v>74</v>
      </c>
      <c r="B2103" s="4" t="s">
        <v>97</v>
      </c>
      <c r="C2103" s="3" t="s">
        <v>125</v>
      </c>
      <c r="D2103" s="3" t="s">
        <v>371</v>
      </c>
      <c r="E2103" s="3">
        <v>8</v>
      </c>
      <c r="G2103" s="57"/>
    </row>
    <row r="2104" spans="1:7" ht="12.75" x14ac:dyDescent="0.2">
      <c r="A2104" s="3">
        <v>74</v>
      </c>
      <c r="B2104" s="4" t="s">
        <v>97</v>
      </c>
      <c r="C2104" s="3" t="s">
        <v>125</v>
      </c>
      <c r="D2104" s="3" t="s">
        <v>14</v>
      </c>
      <c r="E2104" s="3">
        <v>46</v>
      </c>
      <c r="G2104" s="57"/>
    </row>
    <row r="2105" spans="1:7" ht="12.75" x14ac:dyDescent="0.2">
      <c r="A2105" s="3">
        <v>74</v>
      </c>
      <c r="B2105" s="4" t="s">
        <v>97</v>
      </c>
      <c r="C2105" s="3" t="s">
        <v>125</v>
      </c>
      <c r="D2105" s="3" t="s">
        <v>138</v>
      </c>
      <c r="E2105" s="3">
        <v>6</v>
      </c>
      <c r="F2105">
        <f>SUM(E2098:E2105)</f>
        <v>348</v>
      </c>
      <c r="G2105" s="57"/>
    </row>
    <row r="2106" spans="1:7" ht="12.75" x14ac:dyDescent="0.2">
      <c r="A2106" s="3">
        <v>75</v>
      </c>
      <c r="B2106" s="4" t="s">
        <v>98</v>
      </c>
      <c r="C2106" s="3" t="s">
        <v>347</v>
      </c>
      <c r="D2106" s="3" t="s">
        <v>366</v>
      </c>
      <c r="E2106" s="3">
        <v>8</v>
      </c>
      <c r="G2106" s="59">
        <v>3132</v>
      </c>
    </row>
    <row r="2107" spans="1:7" ht="12.75" x14ac:dyDescent="0.2">
      <c r="A2107" s="3">
        <v>75</v>
      </c>
      <c r="B2107" s="4" t="s">
        <v>98</v>
      </c>
      <c r="C2107" s="3" t="s">
        <v>347</v>
      </c>
      <c r="D2107" s="3" t="s">
        <v>274</v>
      </c>
      <c r="E2107" s="3">
        <v>0</v>
      </c>
      <c r="G2107" s="57"/>
    </row>
    <row r="2108" spans="1:7" ht="12.75" x14ac:dyDescent="0.2">
      <c r="A2108" s="3">
        <v>75</v>
      </c>
      <c r="B2108" s="4" t="s">
        <v>98</v>
      </c>
      <c r="C2108" s="3" t="s">
        <v>347</v>
      </c>
      <c r="D2108" s="3" t="s">
        <v>367</v>
      </c>
      <c r="E2108" s="3">
        <v>4</v>
      </c>
      <c r="G2108" s="57"/>
    </row>
    <row r="2109" spans="1:7" ht="12.75" x14ac:dyDescent="0.2">
      <c r="A2109" s="3">
        <v>75</v>
      </c>
      <c r="B2109" s="4" t="s">
        <v>98</v>
      </c>
      <c r="C2109" s="3" t="s">
        <v>347</v>
      </c>
      <c r="D2109" s="3" t="s">
        <v>368</v>
      </c>
      <c r="E2109" s="3">
        <v>6</v>
      </c>
      <c r="G2109" s="57"/>
    </row>
    <row r="2110" spans="1:7" ht="12.75" x14ac:dyDescent="0.2">
      <c r="A2110" s="3">
        <v>75</v>
      </c>
      <c r="B2110" s="4" t="s">
        <v>98</v>
      </c>
      <c r="C2110" s="3" t="s">
        <v>347</v>
      </c>
      <c r="D2110" s="3" t="s">
        <v>283</v>
      </c>
      <c r="E2110" s="3">
        <v>1146</v>
      </c>
      <c r="G2110" s="57"/>
    </row>
    <row r="2111" spans="1:7" ht="12.75" x14ac:dyDescent="0.2">
      <c r="A2111" s="3">
        <v>75</v>
      </c>
      <c r="B2111" s="4" t="s">
        <v>98</v>
      </c>
      <c r="C2111" s="3" t="s">
        <v>347</v>
      </c>
      <c r="D2111" s="3" t="s">
        <v>315</v>
      </c>
      <c r="E2111" s="3">
        <v>14</v>
      </c>
      <c r="G2111" s="57"/>
    </row>
    <row r="2112" spans="1:7" ht="12.75" x14ac:dyDescent="0.2">
      <c r="A2112" s="3">
        <v>75</v>
      </c>
      <c r="B2112" s="4" t="s">
        <v>98</v>
      </c>
      <c r="C2112" s="3" t="s">
        <v>347</v>
      </c>
      <c r="D2112" s="3" t="s">
        <v>316</v>
      </c>
      <c r="E2112" s="3">
        <v>71</v>
      </c>
      <c r="G2112" s="57"/>
    </row>
    <row r="2113" spans="1:7" ht="12.75" x14ac:dyDescent="0.2">
      <c r="A2113" s="3">
        <v>75</v>
      </c>
      <c r="B2113" s="4" t="s">
        <v>98</v>
      </c>
      <c r="C2113" s="3" t="s">
        <v>347</v>
      </c>
      <c r="D2113" s="3" t="s">
        <v>369</v>
      </c>
      <c r="E2113" s="3">
        <v>4</v>
      </c>
      <c r="G2113" s="57"/>
    </row>
    <row r="2114" spans="1:7" ht="12.75" x14ac:dyDescent="0.2">
      <c r="A2114" s="3">
        <v>75</v>
      </c>
      <c r="B2114" s="4" t="s">
        <v>98</v>
      </c>
      <c r="C2114" s="3" t="s">
        <v>347</v>
      </c>
      <c r="D2114" s="3" t="s">
        <v>128</v>
      </c>
      <c r="E2114" s="3">
        <v>785</v>
      </c>
      <c r="G2114" s="57"/>
    </row>
    <row r="2115" spans="1:7" ht="12.75" x14ac:dyDescent="0.2">
      <c r="A2115" s="3">
        <v>75</v>
      </c>
      <c r="B2115" s="4" t="s">
        <v>98</v>
      </c>
      <c r="C2115" s="3" t="s">
        <v>347</v>
      </c>
      <c r="D2115" s="3" t="s">
        <v>370</v>
      </c>
      <c r="E2115" s="3">
        <v>2</v>
      </c>
      <c r="G2115" s="57"/>
    </row>
    <row r="2116" spans="1:7" ht="12.75" x14ac:dyDescent="0.2">
      <c r="A2116" s="3">
        <v>75</v>
      </c>
      <c r="B2116" s="4" t="s">
        <v>98</v>
      </c>
      <c r="C2116" s="3" t="s">
        <v>347</v>
      </c>
      <c r="D2116" s="3" t="s">
        <v>353</v>
      </c>
      <c r="E2116" s="3">
        <v>14</v>
      </c>
      <c r="G2116" s="57"/>
    </row>
    <row r="2117" spans="1:7" ht="12.75" x14ac:dyDescent="0.2">
      <c r="A2117" s="3">
        <v>75</v>
      </c>
      <c r="B2117" s="4" t="s">
        <v>98</v>
      </c>
      <c r="C2117" s="3" t="s">
        <v>347</v>
      </c>
      <c r="D2117" s="3" t="s">
        <v>371</v>
      </c>
      <c r="E2117" s="3">
        <v>176</v>
      </c>
      <c r="G2117" s="57"/>
    </row>
    <row r="2118" spans="1:7" ht="12.75" x14ac:dyDescent="0.2">
      <c r="A2118" s="3">
        <v>75</v>
      </c>
      <c r="B2118" s="4" t="s">
        <v>98</v>
      </c>
      <c r="C2118" s="3" t="s">
        <v>347</v>
      </c>
      <c r="D2118" s="3" t="s">
        <v>14</v>
      </c>
      <c r="E2118" s="3">
        <v>83</v>
      </c>
      <c r="G2118" s="57"/>
    </row>
    <row r="2119" spans="1:7" ht="12.75" x14ac:dyDescent="0.2">
      <c r="A2119" s="3">
        <v>75</v>
      </c>
      <c r="B2119" s="4" t="s">
        <v>98</v>
      </c>
      <c r="C2119" s="3" t="s">
        <v>347</v>
      </c>
      <c r="D2119" s="3" t="s">
        <v>138</v>
      </c>
      <c r="E2119" s="3">
        <v>7</v>
      </c>
      <c r="F2119">
        <f>SUM(E2106:E2119)</f>
        <v>2320</v>
      </c>
      <c r="G2119" s="57"/>
    </row>
    <row r="2120" spans="1:7" ht="12.75" x14ac:dyDescent="0.2">
      <c r="A2120" s="3">
        <v>75</v>
      </c>
      <c r="B2120" s="4" t="s">
        <v>98</v>
      </c>
      <c r="C2120" s="3" t="s">
        <v>273</v>
      </c>
      <c r="D2120" s="3" t="s">
        <v>274</v>
      </c>
      <c r="E2120" s="3">
        <v>0</v>
      </c>
      <c r="G2120" s="57"/>
    </row>
    <row r="2121" spans="1:7" ht="12.75" x14ac:dyDescent="0.2">
      <c r="A2121" s="3">
        <v>75</v>
      </c>
      <c r="B2121" s="4" t="s">
        <v>98</v>
      </c>
      <c r="C2121" s="3" t="s">
        <v>273</v>
      </c>
      <c r="D2121" s="3" t="s">
        <v>283</v>
      </c>
      <c r="E2121" s="3">
        <v>1248</v>
      </c>
      <c r="G2121" s="57"/>
    </row>
    <row r="2122" spans="1:7" ht="12.75" x14ac:dyDescent="0.2">
      <c r="A2122" s="3">
        <v>75</v>
      </c>
      <c r="B2122" s="4" t="s">
        <v>98</v>
      </c>
      <c r="C2122" s="3" t="s">
        <v>273</v>
      </c>
      <c r="D2122" s="3" t="s">
        <v>315</v>
      </c>
      <c r="E2122" s="3">
        <v>6</v>
      </c>
      <c r="G2122" s="57"/>
    </row>
    <row r="2123" spans="1:7" ht="12.75" x14ac:dyDescent="0.2">
      <c r="A2123" s="3">
        <v>75</v>
      </c>
      <c r="B2123" s="4" t="s">
        <v>98</v>
      </c>
      <c r="C2123" s="3" t="s">
        <v>273</v>
      </c>
      <c r="D2123" s="3" t="s">
        <v>128</v>
      </c>
      <c r="E2123" s="3">
        <v>775</v>
      </c>
      <c r="G2123" s="57"/>
    </row>
    <row r="2124" spans="1:7" ht="12.75" x14ac:dyDescent="0.2">
      <c r="A2124" s="3">
        <v>75</v>
      </c>
      <c r="B2124" s="4" t="s">
        <v>98</v>
      </c>
      <c r="C2124" s="3" t="s">
        <v>273</v>
      </c>
      <c r="D2124" s="3" t="s">
        <v>353</v>
      </c>
      <c r="E2124" s="3">
        <v>8</v>
      </c>
      <c r="G2124" s="57"/>
    </row>
    <row r="2125" spans="1:7" ht="12.75" x14ac:dyDescent="0.2">
      <c r="A2125" s="3">
        <v>75</v>
      </c>
      <c r="B2125" s="4" t="s">
        <v>98</v>
      </c>
      <c r="C2125" s="3" t="s">
        <v>273</v>
      </c>
      <c r="D2125" s="3" t="s">
        <v>371</v>
      </c>
      <c r="E2125" s="3">
        <v>105</v>
      </c>
      <c r="G2125" s="57"/>
    </row>
    <row r="2126" spans="1:7" ht="12.75" x14ac:dyDescent="0.2">
      <c r="A2126" s="3">
        <v>75</v>
      </c>
      <c r="B2126" s="4" t="s">
        <v>98</v>
      </c>
      <c r="C2126" s="3" t="s">
        <v>273</v>
      </c>
      <c r="D2126" s="3" t="s">
        <v>14</v>
      </c>
      <c r="E2126" s="3">
        <v>170</v>
      </c>
      <c r="G2126" s="57"/>
    </row>
    <row r="2127" spans="1:7" ht="12.75" x14ac:dyDescent="0.2">
      <c r="A2127" s="3">
        <v>75</v>
      </c>
      <c r="B2127" s="4" t="s">
        <v>98</v>
      </c>
      <c r="C2127" s="3" t="s">
        <v>273</v>
      </c>
      <c r="D2127" s="3" t="s">
        <v>138</v>
      </c>
      <c r="E2127" s="3">
        <v>8</v>
      </c>
      <c r="F2127">
        <f>SUM(E2120:E2127)</f>
        <v>2320</v>
      </c>
      <c r="G2127" s="57"/>
    </row>
    <row r="2128" spans="1:7" ht="12.75" x14ac:dyDescent="0.2">
      <c r="A2128" s="3">
        <v>75</v>
      </c>
      <c r="B2128" s="4" t="s">
        <v>98</v>
      </c>
      <c r="C2128" s="3" t="s">
        <v>125</v>
      </c>
      <c r="D2128" s="3" t="s">
        <v>274</v>
      </c>
      <c r="E2128" s="3">
        <v>1</v>
      </c>
      <c r="G2128" s="57"/>
    </row>
    <row r="2129" spans="1:7" ht="12.75" x14ac:dyDescent="0.2">
      <c r="A2129" s="3">
        <v>75</v>
      </c>
      <c r="B2129" s="4" t="s">
        <v>98</v>
      </c>
      <c r="C2129" s="3" t="s">
        <v>125</v>
      </c>
      <c r="D2129" s="3" t="s">
        <v>283</v>
      </c>
      <c r="E2129" s="3">
        <v>1245</v>
      </c>
      <c r="G2129" s="57"/>
    </row>
    <row r="2130" spans="1:7" ht="12.75" x14ac:dyDescent="0.2">
      <c r="A2130" s="3">
        <v>75</v>
      </c>
      <c r="B2130" s="4" t="s">
        <v>98</v>
      </c>
      <c r="C2130" s="3" t="s">
        <v>125</v>
      </c>
      <c r="D2130" s="3" t="s">
        <v>315</v>
      </c>
      <c r="E2130" s="3">
        <v>5</v>
      </c>
      <c r="G2130" s="57"/>
    </row>
    <row r="2131" spans="1:7" ht="12.75" x14ac:dyDescent="0.2">
      <c r="A2131" s="3">
        <v>75</v>
      </c>
      <c r="B2131" s="4" t="s">
        <v>98</v>
      </c>
      <c r="C2131" s="3" t="s">
        <v>125</v>
      </c>
      <c r="D2131" s="3" t="s">
        <v>128</v>
      </c>
      <c r="E2131" s="3">
        <v>773</v>
      </c>
      <c r="G2131" s="57"/>
    </row>
    <row r="2132" spans="1:7" ht="12.75" x14ac:dyDescent="0.2">
      <c r="A2132" s="3">
        <v>75</v>
      </c>
      <c r="B2132" s="4" t="s">
        <v>98</v>
      </c>
      <c r="C2132" s="3" t="s">
        <v>125</v>
      </c>
      <c r="D2132" s="3" t="s">
        <v>353</v>
      </c>
      <c r="E2132" s="3">
        <v>9</v>
      </c>
      <c r="G2132" s="57"/>
    </row>
    <row r="2133" spans="1:7" ht="12.75" x14ac:dyDescent="0.2">
      <c r="A2133" s="3">
        <v>75</v>
      </c>
      <c r="B2133" s="4" t="s">
        <v>98</v>
      </c>
      <c r="C2133" s="3" t="s">
        <v>125</v>
      </c>
      <c r="D2133" s="3" t="s">
        <v>371</v>
      </c>
      <c r="E2133" s="3">
        <v>105</v>
      </c>
      <c r="G2133" s="57"/>
    </row>
    <row r="2134" spans="1:7" ht="12.75" x14ac:dyDescent="0.2">
      <c r="A2134" s="3">
        <v>75</v>
      </c>
      <c r="B2134" s="4" t="s">
        <v>98</v>
      </c>
      <c r="C2134" s="3" t="s">
        <v>125</v>
      </c>
      <c r="D2134" s="3" t="s">
        <v>14</v>
      </c>
      <c r="E2134" s="3">
        <v>174</v>
      </c>
      <c r="G2134" s="57"/>
    </row>
    <row r="2135" spans="1:7" ht="12.75" x14ac:dyDescent="0.2">
      <c r="A2135" s="3">
        <v>75</v>
      </c>
      <c r="B2135" s="4" t="s">
        <v>98</v>
      </c>
      <c r="C2135" s="3" t="s">
        <v>125</v>
      </c>
      <c r="D2135" s="3" t="s">
        <v>138</v>
      </c>
      <c r="E2135" s="3">
        <v>8</v>
      </c>
      <c r="F2135">
        <f>SUM(E2128:E2135)</f>
        <v>2320</v>
      </c>
      <c r="G2135" s="57"/>
    </row>
    <row r="2136" spans="1:7" ht="12.75" x14ac:dyDescent="0.2">
      <c r="A2136" s="3">
        <v>76</v>
      </c>
      <c r="B2136" s="4" t="s">
        <v>99</v>
      </c>
      <c r="C2136" s="3" t="s">
        <v>347</v>
      </c>
      <c r="D2136" s="3" t="s">
        <v>366</v>
      </c>
      <c r="E2136" s="3">
        <v>0</v>
      </c>
      <c r="G2136" s="59">
        <v>302</v>
      </c>
    </row>
    <row r="2137" spans="1:7" ht="12.75" x14ac:dyDescent="0.2">
      <c r="A2137" s="3">
        <v>76</v>
      </c>
      <c r="B2137" s="4" t="s">
        <v>99</v>
      </c>
      <c r="C2137" s="3" t="s">
        <v>347</v>
      </c>
      <c r="D2137" s="3" t="s">
        <v>274</v>
      </c>
      <c r="E2137" s="3">
        <v>0</v>
      </c>
      <c r="G2137" s="57"/>
    </row>
    <row r="2138" spans="1:7" ht="12.75" x14ac:dyDescent="0.2">
      <c r="A2138" s="3">
        <v>76</v>
      </c>
      <c r="B2138" s="4" t="s">
        <v>99</v>
      </c>
      <c r="C2138" s="3" t="s">
        <v>347</v>
      </c>
      <c r="D2138" s="3" t="s">
        <v>367</v>
      </c>
      <c r="E2138" s="3">
        <v>1</v>
      </c>
      <c r="G2138" s="57"/>
    </row>
    <row r="2139" spans="1:7" ht="12.75" x14ac:dyDescent="0.2">
      <c r="A2139" s="3">
        <v>76</v>
      </c>
      <c r="B2139" s="4" t="s">
        <v>99</v>
      </c>
      <c r="C2139" s="3" t="s">
        <v>347</v>
      </c>
      <c r="D2139" s="3" t="s">
        <v>368</v>
      </c>
      <c r="E2139" s="3">
        <v>0</v>
      </c>
      <c r="G2139" s="57"/>
    </row>
    <row r="2140" spans="1:7" ht="12.75" x14ac:dyDescent="0.2">
      <c r="A2140" s="3">
        <v>76</v>
      </c>
      <c r="B2140" s="4" t="s">
        <v>99</v>
      </c>
      <c r="C2140" s="3" t="s">
        <v>347</v>
      </c>
      <c r="D2140" s="3" t="s">
        <v>283</v>
      </c>
      <c r="E2140" s="3">
        <v>122</v>
      </c>
      <c r="G2140" s="57"/>
    </row>
    <row r="2141" spans="1:7" ht="12.75" x14ac:dyDescent="0.2">
      <c r="A2141" s="3">
        <v>76</v>
      </c>
      <c r="B2141" s="4" t="s">
        <v>99</v>
      </c>
      <c r="C2141" s="3" t="s">
        <v>347</v>
      </c>
      <c r="D2141" s="3" t="s">
        <v>315</v>
      </c>
      <c r="E2141" s="3">
        <v>1</v>
      </c>
      <c r="G2141" s="57"/>
    </row>
    <row r="2142" spans="1:7" ht="12.75" x14ac:dyDescent="0.2">
      <c r="A2142" s="3">
        <v>76</v>
      </c>
      <c r="B2142" s="4" t="s">
        <v>99</v>
      </c>
      <c r="C2142" s="3" t="s">
        <v>347</v>
      </c>
      <c r="D2142" s="3" t="s">
        <v>316</v>
      </c>
      <c r="E2142" s="3">
        <v>13</v>
      </c>
      <c r="G2142" s="57"/>
    </row>
    <row r="2143" spans="1:7" ht="12.75" x14ac:dyDescent="0.2">
      <c r="A2143" s="3">
        <v>76</v>
      </c>
      <c r="B2143" s="4" t="s">
        <v>99</v>
      </c>
      <c r="C2143" s="3" t="s">
        <v>347</v>
      </c>
      <c r="D2143" s="3" t="s">
        <v>369</v>
      </c>
      <c r="E2143" s="3">
        <v>2</v>
      </c>
      <c r="G2143" s="57"/>
    </row>
    <row r="2144" spans="1:7" ht="12.75" x14ac:dyDescent="0.2">
      <c r="A2144" s="3">
        <v>76</v>
      </c>
      <c r="B2144" s="4" t="s">
        <v>99</v>
      </c>
      <c r="C2144" s="3" t="s">
        <v>347</v>
      </c>
      <c r="D2144" s="3" t="s">
        <v>128</v>
      </c>
      <c r="E2144" s="3">
        <v>67</v>
      </c>
      <c r="G2144" s="57"/>
    </row>
    <row r="2145" spans="1:7" ht="12.75" x14ac:dyDescent="0.2">
      <c r="A2145" s="3">
        <v>76</v>
      </c>
      <c r="B2145" s="4" t="s">
        <v>99</v>
      </c>
      <c r="C2145" s="3" t="s">
        <v>347</v>
      </c>
      <c r="D2145" s="3" t="s">
        <v>370</v>
      </c>
      <c r="E2145" s="3">
        <v>1</v>
      </c>
      <c r="G2145" s="57"/>
    </row>
    <row r="2146" spans="1:7" ht="12.75" x14ac:dyDescent="0.2">
      <c r="A2146" s="3">
        <v>76</v>
      </c>
      <c r="B2146" s="4" t="s">
        <v>99</v>
      </c>
      <c r="C2146" s="3" t="s">
        <v>347</v>
      </c>
      <c r="D2146" s="3" t="s">
        <v>353</v>
      </c>
      <c r="E2146" s="3">
        <v>0</v>
      </c>
      <c r="G2146" s="57"/>
    </row>
    <row r="2147" spans="1:7" ht="12.75" x14ac:dyDescent="0.2">
      <c r="A2147" s="3">
        <v>76</v>
      </c>
      <c r="B2147" s="4" t="s">
        <v>99</v>
      </c>
      <c r="C2147" s="3" t="s">
        <v>347</v>
      </c>
      <c r="D2147" s="3" t="s">
        <v>371</v>
      </c>
      <c r="E2147" s="3">
        <v>36</v>
      </c>
      <c r="G2147" s="57"/>
    </row>
    <row r="2148" spans="1:7" ht="12.75" x14ac:dyDescent="0.2">
      <c r="A2148" s="3">
        <v>76</v>
      </c>
      <c r="B2148" s="4" t="s">
        <v>99</v>
      </c>
      <c r="C2148" s="3" t="s">
        <v>347</v>
      </c>
      <c r="D2148" s="3" t="s">
        <v>14</v>
      </c>
      <c r="E2148" s="3">
        <v>4</v>
      </c>
      <c r="G2148" s="57"/>
    </row>
    <row r="2149" spans="1:7" ht="12.75" x14ac:dyDescent="0.2">
      <c r="A2149" s="3">
        <v>76</v>
      </c>
      <c r="B2149" s="4" t="s">
        <v>99</v>
      </c>
      <c r="C2149" s="3" t="s">
        <v>347</v>
      </c>
      <c r="D2149" s="3" t="s">
        <v>138</v>
      </c>
      <c r="E2149" s="3">
        <v>0</v>
      </c>
      <c r="F2149">
        <f>SUM(E2136:E2149)</f>
        <v>247</v>
      </c>
      <c r="G2149" s="57"/>
    </row>
    <row r="2150" spans="1:7" ht="12.75" x14ac:dyDescent="0.2">
      <c r="A2150" s="3">
        <v>76</v>
      </c>
      <c r="B2150" s="4" t="s">
        <v>99</v>
      </c>
      <c r="C2150" s="3" t="s">
        <v>273</v>
      </c>
      <c r="D2150" s="3" t="s">
        <v>274</v>
      </c>
      <c r="E2150" s="3">
        <v>0</v>
      </c>
      <c r="G2150" s="57"/>
    </row>
    <row r="2151" spans="1:7" ht="12.75" x14ac:dyDescent="0.2">
      <c r="A2151" s="3">
        <v>76</v>
      </c>
      <c r="B2151" s="4" t="s">
        <v>99</v>
      </c>
      <c r="C2151" s="3" t="s">
        <v>273</v>
      </c>
      <c r="D2151" s="3" t="s">
        <v>283</v>
      </c>
      <c r="E2151" s="3">
        <v>137</v>
      </c>
      <c r="G2151" s="57"/>
    </row>
    <row r="2152" spans="1:7" ht="12.75" x14ac:dyDescent="0.2">
      <c r="A2152" s="3">
        <v>76</v>
      </c>
      <c r="B2152" s="4" t="s">
        <v>99</v>
      </c>
      <c r="C2152" s="3" t="s">
        <v>273</v>
      </c>
      <c r="D2152" s="3" t="s">
        <v>315</v>
      </c>
      <c r="E2152" s="3">
        <v>1</v>
      </c>
      <c r="G2152" s="57"/>
    </row>
    <row r="2153" spans="1:7" ht="12.75" x14ac:dyDescent="0.2">
      <c r="A2153" s="3">
        <v>76</v>
      </c>
      <c r="B2153" s="4" t="s">
        <v>99</v>
      </c>
      <c r="C2153" s="3" t="s">
        <v>273</v>
      </c>
      <c r="D2153" s="3" t="s">
        <v>128</v>
      </c>
      <c r="E2153" s="3">
        <v>63</v>
      </c>
      <c r="G2153" s="57"/>
    </row>
    <row r="2154" spans="1:7" ht="12.75" x14ac:dyDescent="0.2">
      <c r="A2154" s="3">
        <v>76</v>
      </c>
      <c r="B2154" s="4" t="s">
        <v>99</v>
      </c>
      <c r="C2154" s="3" t="s">
        <v>273</v>
      </c>
      <c r="D2154" s="3" t="s">
        <v>353</v>
      </c>
      <c r="E2154" s="3">
        <v>1</v>
      </c>
      <c r="G2154" s="57"/>
    </row>
    <row r="2155" spans="1:7" ht="12.75" x14ac:dyDescent="0.2">
      <c r="A2155" s="3">
        <v>76</v>
      </c>
      <c r="B2155" s="4" t="s">
        <v>99</v>
      </c>
      <c r="C2155" s="3" t="s">
        <v>273</v>
      </c>
      <c r="D2155" s="3" t="s">
        <v>371</v>
      </c>
      <c r="E2155" s="3">
        <v>20</v>
      </c>
      <c r="G2155" s="57"/>
    </row>
    <row r="2156" spans="1:7" ht="12.75" x14ac:dyDescent="0.2">
      <c r="A2156" s="3">
        <v>76</v>
      </c>
      <c r="B2156" s="4" t="s">
        <v>99</v>
      </c>
      <c r="C2156" s="3" t="s">
        <v>273</v>
      </c>
      <c r="D2156" s="3" t="s">
        <v>14</v>
      </c>
      <c r="E2156" s="3">
        <v>25</v>
      </c>
      <c r="G2156" s="57"/>
    </row>
    <row r="2157" spans="1:7" ht="12.75" x14ac:dyDescent="0.2">
      <c r="A2157" s="3">
        <v>76</v>
      </c>
      <c r="B2157" s="4" t="s">
        <v>99</v>
      </c>
      <c r="C2157" s="3" t="s">
        <v>273</v>
      </c>
      <c r="D2157" s="3" t="s">
        <v>138</v>
      </c>
      <c r="E2157" s="3">
        <v>0</v>
      </c>
      <c r="F2157">
        <f>SUM(E2150:E2157)</f>
        <v>247</v>
      </c>
      <c r="G2157" s="57"/>
    </row>
    <row r="2158" spans="1:7" ht="12.75" x14ac:dyDescent="0.2">
      <c r="A2158" s="3">
        <v>76</v>
      </c>
      <c r="B2158" s="4" t="s">
        <v>99</v>
      </c>
      <c r="C2158" s="3" t="s">
        <v>125</v>
      </c>
      <c r="D2158" s="3" t="s">
        <v>274</v>
      </c>
      <c r="E2158" s="3">
        <v>0</v>
      </c>
      <c r="G2158" s="57"/>
    </row>
    <row r="2159" spans="1:7" ht="12.75" x14ac:dyDescent="0.2">
      <c r="A2159" s="3">
        <v>76</v>
      </c>
      <c r="B2159" s="4" t="s">
        <v>99</v>
      </c>
      <c r="C2159" s="3" t="s">
        <v>125</v>
      </c>
      <c r="D2159" s="3" t="s">
        <v>283</v>
      </c>
      <c r="E2159" s="3">
        <v>136</v>
      </c>
      <c r="G2159" s="57"/>
    </row>
    <row r="2160" spans="1:7" ht="12.75" x14ac:dyDescent="0.2">
      <c r="A2160" s="3">
        <v>76</v>
      </c>
      <c r="B2160" s="4" t="s">
        <v>99</v>
      </c>
      <c r="C2160" s="3" t="s">
        <v>125</v>
      </c>
      <c r="D2160" s="3" t="s">
        <v>315</v>
      </c>
      <c r="E2160" s="3">
        <v>1</v>
      </c>
      <c r="G2160" s="57"/>
    </row>
    <row r="2161" spans="1:7" ht="12.75" x14ac:dyDescent="0.2">
      <c r="A2161" s="3">
        <v>76</v>
      </c>
      <c r="B2161" s="4" t="s">
        <v>99</v>
      </c>
      <c r="C2161" s="3" t="s">
        <v>125</v>
      </c>
      <c r="D2161" s="3" t="s">
        <v>128</v>
      </c>
      <c r="E2161" s="3">
        <v>62</v>
      </c>
      <c r="G2161" s="57"/>
    </row>
    <row r="2162" spans="1:7" ht="12.75" x14ac:dyDescent="0.2">
      <c r="A2162" s="3">
        <v>76</v>
      </c>
      <c r="B2162" s="4" t="s">
        <v>99</v>
      </c>
      <c r="C2162" s="3" t="s">
        <v>125</v>
      </c>
      <c r="D2162" s="3" t="s">
        <v>353</v>
      </c>
      <c r="E2162" s="3">
        <v>1</v>
      </c>
      <c r="G2162" s="57"/>
    </row>
    <row r="2163" spans="1:7" ht="12.75" x14ac:dyDescent="0.2">
      <c r="A2163" s="3">
        <v>76</v>
      </c>
      <c r="B2163" s="4" t="s">
        <v>99</v>
      </c>
      <c r="C2163" s="3" t="s">
        <v>125</v>
      </c>
      <c r="D2163" s="3" t="s">
        <v>371</v>
      </c>
      <c r="E2163" s="3">
        <v>20</v>
      </c>
      <c r="G2163" s="57"/>
    </row>
    <row r="2164" spans="1:7" ht="12.75" x14ac:dyDescent="0.2">
      <c r="A2164" s="3">
        <v>76</v>
      </c>
      <c r="B2164" s="4" t="s">
        <v>99</v>
      </c>
      <c r="C2164" s="3" t="s">
        <v>125</v>
      </c>
      <c r="D2164" s="3" t="s">
        <v>14</v>
      </c>
      <c r="E2164" s="3">
        <v>27</v>
      </c>
      <c r="G2164" s="57"/>
    </row>
    <row r="2165" spans="1:7" ht="12.75" x14ac:dyDescent="0.2">
      <c r="A2165" s="3">
        <v>76</v>
      </c>
      <c r="B2165" s="4" t="s">
        <v>99</v>
      </c>
      <c r="C2165" s="3" t="s">
        <v>125</v>
      </c>
      <c r="D2165" s="3" t="s">
        <v>138</v>
      </c>
      <c r="E2165" s="3">
        <v>0</v>
      </c>
      <c r="F2165">
        <f>SUM(E2158:E2165)</f>
        <v>247</v>
      </c>
      <c r="G2165" s="57"/>
    </row>
    <row r="2166" spans="1:7" ht="12.75" x14ac:dyDescent="0.2">
      <c r="A2166" s="3">
        <v>77</v>
      </c>
      <c r="B2166" s="4" t="s">
        <v>100</v>
      </c>
      <c r="C2166" s="3" t="s">
        <v>347</v>
      </c>
      <c r="D2166" s="3" t="s">
        <v>366</v>
      </c>
      <c r="E2166" s="3">
        <v>2</v>
      </c>
      <c r="G2166" s="59">
        <v>1302</v>
      </c>
    </row>
    <row r="2167" spans="1:7" ht="12.75" x14ac:dyDescent="0.2">
      <c r="A2167" s="3">
        <v>77</v>
      </c>
      <c r="B2167" s="4" t="s">
        <v>100</v>
      </c>
      <c r="C2167" s="3" t="s">
        <v>347</v>
      </c>
      <c r="D2167" s="3" t="s">
        <v>274</v>
      </c>
      <c r="E2167" s="3">
        <v>0</v>
      </c>
      <c r="G2167" s="57"/>
    </row>
    <row r="2168" spans="1:7" ht="12.75" x14ac:dyDescent="0.2">
      <c r="A2168" s="3">
        <v>77</v>
      </c>
      <c r="B2168" s="4" t="s">
        <v>100</v>
      </c>
      <c r="C2168" s="3" t="s">
        <v>347</v>
      </c>
      <c r="D2168" s="3" t="s">
        <v>367</v>
      </c>
      <c r="E2168" s="3">
        <v>1</v>
      </c>
      <c r="G2168" s="57"/>
    </row>
    <row r="2169" spans="1:7" ht="12.75" x14ac:dyDescent="0.2">
      <c r="A2169" s="3">
        <v>77</v>
      </c>
      <c r="B2169" s="4" t="s">
        <v>100</v>
      </c>
      <c r="C2169" s="3" t="s">
        <v>347</v>
      </c>
      <c r="D2169" s="3" t="s">
        <v>368</v>
      </c>
      <c r="E2169" s="3">
        <v>1</v>
      </c>
      <c r="G2169" s="57"/>
    </row>
    <row r="2170" spans="1:7" ht="12.75" x14ac:dyDescent="0.2">
      <c r="A2170" s="3">
        <v>77</v>
      </c>
      <c r="B2170" s="4" t="s">
        <v>100</v>
      </c>
      <c r="C2170" s="3" t="s">
        <v>347</v>
      </c>
      <c r="D2170" s="3" t="s">
        <v>283</v>
      </c>
      <c r="E2170" s="3">
        <v>279</v>
      </c>
      <c r="G2170" s="57"/>
    </row>
    <row r="2171" spans="1:7" ht="12.75" x14ac:dyDescent="0.2">
      <c r="A2171" s="3">
        <v>77</v>
      </c>
      <c r="B2171" s="4" t="s">
        <v>100</v>
      </c>
      <c r="C2171" s="3" t="s">
        <v>347</v>
      </c>
      <c r="D2171" s="3" t="s">
        <v>315</v>
      </c>
      <c r="E2171" s="3">
        <v>48</v>
      </c>
      <c r="G2171" s="57"/>
    </row>
    <row r="2172" spans="1:7" ht="12.75" x14ac:dyDescent="0.2">
      <c r="A2172" s="3">
        <v>77</v>
      </c>
      <c r="B2172" s="4" t="s">
        <v>100</v>
      </c>
      <c r="C2172" s="3" t="s">
        <v>347</v>
      </c>
      <c r="D2172" s="3" t="s">
        <v>316</v>
      </c>
      <c r="E2172" s="3">
        <v>42</v>
      </c>
      <c r="G2172" s="57"/>
    </row>
    <row r="2173" spans="1:7" ht="12.75" x14ac:dyDescent="0.2">
      <c r="A2173" s="3">
        <v>77</v>
      </c>
      <c r="B2173" s="4" t="s">
        <v>100</v>
      </c>
      <c r="C2173" s="3" t="s">
        <v>347</v>
      </c>
      <c r="D2173" s="3" t="s">
        <v>369</v>
      </c>
      <c r="E2173" s="3">
        <v>5</v>
      </c>
      <c r="G2173" s="57"/>
    </row>
    <row r="2174" spans="1:7" ht="12.75" x14ac:dyDescent="0.2">
      <c r="A2174" s="3">
        <v>77</v>
      </c>
      <c r="B2174" s="4" t="s">
        <v>100</v>
      </c>
      <c r="C2174" s="3" t="s">
        <v>347</v>
      </c>
      <c r="D2174" s="3" t="s">
        <v>128</v>
      </c>
      <c r="E2174" s="3">
        <v>460</v>
      </c>
      <c r="G2174" s="57"/>
    </row>
    <row r="2175" spans="1:7" ht="12.75" x14ac:dyDescent="0.2">
      <c r="A2175" s="3">
        <v>77</v>
      </c>
      <c r="B2175" s="4" t="s">
        <v>100</v>
      </c>
      <c r="C2175" s="3" t="s">
        <v>347</v>
      </c>
      <c r="D2175" s="3" t="s">
        <v>370</v>
      </c>
      <c r="E2175" s="3">
        <v>1</v>
      </c>
      <c r="G2175" s="57"/>
    </row>
    <row r="2176" spans="1:7" ht="12.75" x14ac:dyDescent="0.2">
      <c r="A2176" s="3">
        <v>77</v>
      </c>
      <c r="B2176" s="4" t="s">
        <v>100</v>
      </c>
      <c r="C2176" s="3" t="s">
        <v>347</v>
      </c>
      <c r="D2176" s="3" t="s">
        <v>353</v>
      </c>
      <c r="E2176" s="3">
        <v>16</v>
      </c>
      <c r="G2176" s="57"/>
    </row>
    <row r="2177" spans="1:7" ht="12.75" x14ac:dyDescent="0.2">
      <c r="A2177" s="3">
        <v>77</v>
      </c>
      <c r="B2177" s="4" t="s">
        <v>100</v>
      </c>
      <c r="C2177" s="3" t="s">
        <v>347</v>
      </c>
      <c r="D2177" s="3" t="s">
        <v>371</v>
      </c>
      <c r="E2177" s="3">
        <v>146</v>
      </c>
      <c r="G2177" s="57"/>
    </row>
    <row r="2178" spans="1:7" ht="12.75" x14ac:dyDescent="0.2">
      <c r="A2178" s="3">
        <v>77</v>
      </c>
      <c r="B2178" s="4" t="s">
        <v>100</v>
      </c>
      <c r="C2178" s="3" t="s">
        <v>347</v>
      </c>
      <c r="D2178" s="3" t="s">
        <v>14</v>
      </c>
      <c r="E2178" s="3">
        <v>45</v>
      </c>
      <c r="G2178" s="57"/>
    </row>
    <row r="2179" spans="1:7" ht="12.75" x14ac:dyDescent="0.2">
      <c r="A2179" s="3">
        <v>77</v>
      </c>
      <c r="B2179" s="4" t="s">
        <v>100</v>
      </c>
      <c r="C2179" s="3" t="s">
        <v>347</v>
      </c>
      <c r="D2179" s="3" t="s">
        <v>138</v>
      </c>
      <c r="E2179" s="3">
        <v>0</v>
      </c>
      <c r="F2179">
        <f>SUM(E2166:E2179)</f>
        <v>1046</v>
      </c>
      <c r="G2179" s="57"/>
    </row>
    <row r="2180" spans="1:7" ht="12.75" x14ac:dyDescent="0.2">
      <c r="A2180" s="3">
        <v>77</v>
      </c>
      <c r="B2180" s="4" t="s">
        <v>100</v>
      </c>
      <c r="C2180" s="3" t="s">
        <v>273</v>
      </c>
      <c r="D2180" s="3" t="s">
        <v>274</v>
      </c>
      <c r="E2180" s="3">
        <v>1</v>
      </c>
      <c r="G2180" s="57"/>
    </row>
    <row r="2181" spans="1:7" ht="12.75" x14ac:dyDescent="0.2">
      <c r="A2181" s="3">
        <v>77</v>
      </c>
      <c r="B2181" s="4" t="s">
        <v>100</v>
      </c>
      <c r="C2181" s="3" t="s">
        <v>273</v>
      </c>
      <c r="D2181" s="3" t="s">
        <v>283</v>
      </c>
      <c r="E2181" s="3">
        <v>329</v>
      </c>
      <c r="G2181" s="57"/>
    </row>
    <row r="2182" spans="1:7" ht="12.75" x14ac:dyDescent="0.2">
      <c r="A2182" s="3">
        <v>77</v>
      </c>
      <c r="B2182" s="4" t="s">
        <v>100</v>
      </c>
      <c r="C2182" s="3" t="s">
        <v>273</v>
      </c>
      <c r="D2182" s="3" t="s">
        <v>315</v>
      </c>
      <c r="E2182" s="3">
        <v>60</v>
      </c>
      <c r="G2182" s="57"/>
    </row>
    <row r="2183" spans="1:7" ht="12.75" x14ac:dyDescent="0.2">
      <c r="A2183" s="3">
        <v>77</v>
      </c>
      <c r="B2183" s="4" t="s">
        <v>100</v>
      </c>
      <c r="C2183" s="3" t="s">
        <v>273</v>
      </c>
      <c r="D2183" s="3" t="s">
        <v>128</v>
      </c>
      <c r="E2183" s="3">
        <v>457</v>
      </c>
      <c r="G2183" s="57"/>
    </row>
    <row r="2184" spans="1:7" ht="12.75" x14ac:dyDescent="0.2">
      <c r="A2184" s="3">
        <v>77</v>
      </c>
      <c r="B2184" s="4" t="s">
        <v>100</v>
      </c>
      <c r="C2184" s="3" t="s">
        <v>273</v>
      </c>
      <c r="D2184" s="3" t="s">
        <v>353</v>
      </c>
      <c r="E2184" s="3">
        <v>7</v>
      </c>
      <c r="G2184" s="57"/>
    </row>
    <row r="2185" spans="1:7" ht="12.75" x14ac:dyDescent="0.2">
      <c r="A2185" s="3">
        <v>77</v>
      </c>
      <c r="B2185" s="4" t="s">
        <v>100</v>
      </c>
      <c r="C2185" s="3" t="s">
        <v>273</v>
      </c>
      <c r="D2185" s="3" t="s">
        <v>371</v>
      </c>
      <c r="E2185" s="3">
        <v>81</v>
      </c>
      <c r="G2185" s="57"/>
    </row>
    <row r="2186" spans="1:7" ht="12.75" x14ac:dyDescent="0.2">
      <c r="A2186" s="3">
        <v>77</v>
      </c>
      <c r="B2186" s="4" t="s">
        <v>100</v>
      </c>
      <c r="C2186" s="3" t="s">
        <v>273</v>
      </c>
      <c r="D2186" s="3" t="s">
        <v>14</v>
      </c>
      <c r="E2186" s="3">
        <v>111</v>
      </c>
      <c r="G2186" s="57"/>
    </row>
    <row r="2187" spans="1:7" ht="12.75" x14ac:dyDescent="0.2">
      <c r="A2187" s="3">
        <v>77</v>
      </c>
      <c r="B2187" s="4" t="s">
        <v>100</v>
      </c>
      <c r="C2187" s="3" t="s">
        <v>273</v>
      </c>
      <c r="D2187" s="3" t="s">
        <v>138</v>
      </c>
      <c r="E2187" s="3">
        <v>0</v>
      </c>
      <c r="F2187">
        <f>SUM(E2180:E2187)</f>
        <v>1046</v>
      </c>
      <c r="G2187" s="57"/>
    </row>
    <row r="2188" spans="1:7" ht="12.75" x14ac:dyDescent="0.2">
      <c r="A2188" s="3">
        <v>77</v>
      </c>
      <c r="B2188" s="4" t="s">
        <v>100</v>
      </c>
      <c r="C2188" s="3" t="s">
        <v>125</v>
      </c>
      <c r="D2188" s="3" t="s">
        <v>274</v>
      </c>
      <c r="E2188" s="3">
        <v>1</v>
      </c>
      <c r="G2188" s="57"/>
    </row>
    <row r="2189" spans="1:7" ht="12.75" x14ac:dyDescent="0.2">
      <c r="A2189" s="3">
        <v>77</v>
      </c>
      <c r="B2189" s="4" t="s">
        <v>100</v>
      </c>
      <c r="C2189" s="3" t="s">
        <v>125</v>
      </c>
      <c r="D2189" s="3" t="s">
        <v>283</v>
      </c>
      <c r="E2189" s="3">
        <v>324</v>
      </c>
      <c r="G2189" s="57"/>
    </row>
    <row r="2190" spans="1:7" ht="12.75" x14ac:dyDescent="0.2">
      <c r="A2190" s="3">
        <v>77</v>
      </c>
      <c r="B2190" s="4" t="s">
        <v>100</v>
      </c>
      <c r="C2190" s="3" t="s">
        <v>125</v>
      </c>
      <c r="D2190" s="3" t="s">
        <v>315</v>
      </c>
      <c r="E2190" s="3">
        <v>57</v>
      </c>
      <c r="G2190" s="57"/>
    </row>
    <row r="2191" spans="1:7" ht="12.75" x14ac:dyDescent="0.2">
      <c r="A2191" s="3">
        <v>77</v>
      </c>
      <c r="B2191" s="4" t="s">
        <v>100</v>
      </c>
      <c r="C2191" s="3" t="s">
        <v>125</v>
      </c>
      <c r="D2191" s="3" t="s">
        <v>128</v>
      </c>
      <c r="E2191" s="3">
        <v>459</v>
      </c>
      <c r="G2191" s="57"/>
    </row>
    <row r="2192" spans="1:7" ht="12.75" x14ac:dyDescent="0.2">
      <c r="A2192" s="3">
        <v>77</v>
      </c>
      <c r="B2192" s="4" t="s">
        <v>100</v>
      </c>
      <c r="C2192" s="3" t="s">
        <v>125</v>
      </c>
      <c r="D2192" s="3" t="s">
        <v>353</v>
      </c>
      <c r="E2192" s="3">
        <v>7</v>
      </c>
      <c r="G2192" s="57"/>
    </row>
    <row r="2193" spans="1:7" ht="12.75" x14ac:dyDescent="0.2">
      <c r="A2193" s="3">
        <v>77</v>
      </c>
      <c r="B2193" s="4" t="s">
        <v>100</v>
      </c>
      <c r="C2193" s="3" t="s">
        <v>125</v>
      </c>
      <c r="D2193" s="3" t="s">
        <v>371</v>
      </c>
      <c r="E2193" s="3">
        <v>81</v>
      </c>
      <c r="G2193" s="57"/>
    </row>
    <row r="2194" spans="1:7" ht="12.75" x14ac:dyDescent="0.2">
      <c r="A2194" s="3">
        <v>77</v>
      </c>
      <c r="B2194" s="4" t="s">
        <v>100</v>
      </c>
      <c r="C2194" s="3" t="s">
        <v>125</v>
      </c>
      <c r="D2194" s="3" t="s">
        <v>14</v>
      </c>
      <c r="E2194" s="3">
        <v>117</v>
      </c>
      <c r="G2194" s="57"/>
    </row>
    <row r="2195" spans="1:7" ht="12.75" x14ac:dyDescent="0.2">
      <c r="A2195" s="3">
        <v>77</v>
      </c>
      <c r="B2195" s="4" t="s">
        <v>100</v>
      </c>
      <c r="C2195" s="3" t="s">
        <v>125</v>
      </c>
      <c r="D2195" s="3" t="s">
        <v>138</v>
      </c>
      <c r="E2195" s="3">
        <v>0</v>
      </c>
      <c r="F2195">
        <f>SUM(E2188:E2195)</f>
        <v>1046</v>
      </c>
      <c r="G2195" s="57"/>
    </row>
    <row r="2196" spans="1:7" ht="12.75" x14ac:dyDescent="0.2">
      <c r="A2196" s="3">
        <v>78</v>
      </c>
      <c r="B2196" s="4" t="s">
        <v>101</v>
      </c>
      <c r="C2196" s="3" t="s">
        <v>347</v>
      </c>
      <c r="D2196" s="3" t="s">
        <v>366</v>
      </c>
      <c r="E2196" s="3">
        <v>0</v>
      </c>
      <c r="G2196" s="59">
        <v>275</v>
      </c>
    </row>
    <row r="2197" spans="1:7" ht="12.75" x14ac:dyDescent="0.2">
      <c r="A2197" s="3">
        <v>78</v>
      </c>
      <c r="B2197" s="4" t="s">
        <v>101</v>
      </c>
      <c r="C2197" s="3" t="s">
        <v>347</v>
      </c>
      <c r="D2197" s="3" t="s">
        <v>274</v>
      </c>
      <c r="E2197" s="3">
        <v>0</v>
      </c>
      <c r="G2197" s="57"/>
    </row>
    <row r="2198" spans="1:7" ht="12.75" x14ac:dyDescent="0.2">
      <c r="A2198" s="3">
        <v>78</v>
      </c>
      <c r="B2198" s="4" t="s">
        <v>101</v>
      </c>
      <c r="C2198" s="3" t="s">
        <v>347</v>
      </c>
      <c r="D2198" s="3" t="s">
        <v>367</v>
      </c>
      <c r="E2198" s="3">
        <v>1</v>
      </c>
      <c r="G2198" s="57"/>
    </row>
    <row r="2199" spans="1:7" ht="12.75" x14ac:dyDescent="0.2">
      <c r="A2199" s="3">
        <v>78</v>
      </c>
      <c r="B2199" s="4" t="s">
        <v>101</v>
      </c>
      <c r="C2199" s="3" t="s">
        <v>347</v>
      </c>
      <c r="D2199" s="3" t="s">
        <v>368</v>
      </c>
      <c r="E2199" s="3">
        <v>0</v>
      </c>
      <c r="G2199" s="57"/>
    </row>
    <row r="2200" spans="1:7" ht="12.75" x14ac:dyDescent="0.2">
      <c r="A2200" s="3">
        <v>78</v>
      </c>
      <c r="B2200" s="4" t="s">
        <v>101</v>
      </c>
      <c r="C2200" s="3" t="s">
        <v>347</v>
      </c>
      <c r="D2200" s="3" t="s">
        <v>283</v>
      </c>
      <c r="E2200" s="3">
        <v>83</v>
      </c>
      <c r="G2200" s="57"/>
    </row>
    <row r="2201" spans="1:7" ht="12.75" x14ac:dyDescent="0.2">
      <c r="A2201" s="3">
        <v>78</v>
      </c>
      <c r="B2201" s="4" t="s">
        <v>101</v>
      </c>
      <c r="C2201" s="3" t="s">
        <v>347</v>
      </c>
      <c r="D2201" s="3" t="s">
        <v>315</v>
      </c>
      <c r="E2201" s="3">
        <v>9</v>
      </c>
      <c r="G2201" s="57"/>
    </row>
    <row r="2202" spans="1:7" ht="12.75" x14ac:dyDescent="0.2">
      <c r="A2202" s="3">
        <v>78</v>
      </c>
      <c r="B2202" s="4" t="s">
        <v>101</v>
      </c>
      <c r="C2202" s="3" t="s">
        <v>347</v>
      </c>
      <c r="D2202" s="3" t="s">
        <v>316</v>
      </c>
      <c r="E2202" s="3">
        <v>10</v>
      </c>
      <c r="G2202" s="57"/>
    </row>
    <row r="2203" spans="1:7" ht="12.75" x14ac:dyDescent="0.2">
      <c r="A2203" s="3">
        <v>78</v>
      </c>
      <c r="B2203" s="4" t="s">
        <v>101</v>
      </c>
      <c r="C2203" s="3" t="s">
        <v>347</v>
      </c>
      <c r="D2203" s="3" t="s">
        <v>369</v>
      </c>
      <c r="E2203" s="3">
        <v>0</v>
      </c>
      <c r="G2203" s="57"/>
    </row>
    <row r="2204" spans="1:7" ht="12.75" x14ac:dyDescent="0.2">
      <c r="A2204" s="3">
        <v>78</v>
      </c>
      <c r="B2204" s="4" t="s">
        <v>101</v>
      </c>
      <c r="C2204" s="3" t="s">
        <v>347</v>
      </c>
      <c r="D2204" s="3" t="s">
        <v>128</v>
      </c>
      <c r="E2204" s="3">
        <v>63</v>
      </c>
      <c r="G2204" s="57"/>
    </row>
    <row r="2205" spans="1:7" ht="12.75" x14ac:dyDescent="0.2">
      <c r="A2205" s="3">
        <v>78</v>
      </c>
      <c r="B2205" s="4" t="s">
        <v>101</v>
      </c>
      <c r="C2205" s="3" t="s">
        <v>347</v>
      </c>
      <c r="D2205" s="3" t="s">
        <v>370</v>
      </c>
      <c r="E2205" s="3">
        <v>0</v>
      </c>
      <c r="G2205" s="57"/>
    </row>
    <row r="2206" spans="1:7" ht="12.75" x14ac:dyDescent="0.2">
      <c r="A2206" s="3">
        <v>78</v>
      </c>
      <c r="B2206" s="4" t="s">
        <v>101</v>
      </c>
      <c r="C2206" s="3" t="s">
        <v>347</v>
      </c>
      <c r="D2206" s="3" t="s">
        <v>353</v>
      </c>
      <c r="E2206" s="3">
        <v>6</v>
      </c>
      <c r="G2206" s="57"/>
    </row>
    <row r="2207" spans="1:7" ht="12.75" x14ac:dyDescent="0.2">
      <c r="A2207" s="3">
        <v>78</v>
      </c>
      <c r="B2207" s="4" t="s">
        <v>101</v>
      </c>
      <c r="C2207" s="3" t="s">
        <v>347</v>
      </c>
      <c r="D2207" s="3" t="s">
        <v>371</v>
      </c>
      <c r="E2207" s="3">
        <v>37</v>
      </c>
      <c r="G2207" s="57"/>
    </row>
    <row r="2208" spans="1:7" ht="12.75" x14ac:dyDescent="0.2">
      <c r="A2208" s="3">
        <v>78</v>
      </c>
      <c r="B2208" s="4" t="s">
        <v>101</v>
      </c>
      <c r="C2208" s="3" t="s">
        <v>347</v>
      </c>
      <c r="D2208" s="3" t="s">
        <v>14</v>
      </c>
      <c r="E2208" s="3">
        <v>8</v>
      </c>
      <c r="G2208" s="57"/>
    </row>
    <row r="2209" spans="1:7" ht="12.75" x14ac:dyDescent="0.2">
      <c r="A2209" s="3">
        <v>78</v>
      </c>
      <c r="B2209" s="4" t="s">
        <v>101</v>
      </c>
      <c r="C2209" s="3" t="s">
        <v>347</v>
      </c>
      <c r="D2209" s="3" t="s">
        <v>138</v>
      </c>
      <c r="E2209" s="3">
        <v>3</v>
      </c>
      <c r="F2209">
        <f>SUM(E2196:E2209)</f>
        <v>220</v>
      </c>
      <c r="G2209" s="57"/>
    </row>
    <row r="2210" spans="1:7" ht="12.75" x14ac:dyDescent="0.2">
      <c r="A2210" s="3">
        <v>78</v>
      </c>
      <c r="B2210" s="4" t="s">
        <v>101</v>
      </c>
      <c r="C2210" s="3" t="s">
        <v>273</v>
      </c>
      <c r="D2210" s="3" t="s">
        <v>274</v>
      </c>
      <c r="E2210" s="3">
        <v>0</v>
      </c>
      <c r="G2210" s="57"/>
    </row>
    <row r="2211" spans="1:7" ht="12.75" x14ac:dyDescent="0.2">
      <c r="A2211" s="3">
        <v>78</v>
      </c>
      <c r="B2211" s="4" t="s">
        <v>101</v>
      </c>
      <c r="C2211" s="3" t="s">
        <v>273</v>
      </c>
      <c r="D2211" s="3" t="s">
        <v>283</v>
      </c>
      <c r="E2211" s="3">
        <v>97</v>
      </c>
      <c r="G2211" s="57"/>
    </row>
    <row r="2212" spans="1:7" ht="12.75" x14ac:dyDescent="0.2">
      <c r="A2212" s="3">
        <v>78</v>
      </c>
      <c r="B2212" s="4" t="s">
        <v>101</v>
      </c>
      <c r="C2212" s="3" t="s">
        <v>273</v>
      </c>
      <c r="D2212" s="3" t="s">
        <v>315</v>
      </c>
      <c r="E2212" s="3">
        <v>0</v>
      </c>
      <c r="G2212" s="57"/>
    </row>
    <row r="2213" spans="1:7" ht="12.75" x14ac:dyDescent="0.2">
      <c r="A2213" s="3">
        <v>78</v>
      </c>
      <c r="B2213" s="4" t="s">
        <v>101</v>
      </c>
      <c r="C2213" s="3" t="s">
        <v>273</v>
      </c>
      <c r="D2213" s="3" t="s">
        <v>128</v>
      </c>
      <c r="E2213" s="3">
        <v>63</v>
      </c>
      <c r="G2213" s="57"/>
    </row>
    <row r="2214" spans="1:7" ht="12.75" x14ac:dyDescent="0.2">
      <c r="A2214" s="3">
        <v>78</v>
      </c>
      <c r="B2214" s="4" t="s">
        <v>101</v>
      </c>
      <c r="C2214" s="3" t="s">
        <v>273</v>
      </c>
      <c r="D2214" s="3" t="s">
        <v>353</v>
      </c>
      <c r="E2214" s="3">
        <v>0</v>
      </c>
      <c r="G2214" s="57"/>
    </row>
    <row r="2215" spans="1:7" ht="12.75" x14ac:dyDescent="0.2">
      <c r="A2215" s="3">
        <v>78</v>
      </c>
      <c r="B2215" s="4" t="s">
        <v>101</v>
      </c>
      <c r="C2215" s="3" t="s">
        <v>273</v>
      </c>
      <c r="D2215" s="3" t="s">
        <v>371</v>
      </c>
      <c r="E2215" s="3">
        <v>22</v>
      </c>
      <c r="G2215" s="57"/>
    </row>
    <row r="2216" spans="1:7" ht="12.75" x14ac:dyDescent="0.2">
      <c r="A2216" s="3">
        <v>78</v>
      </c>
      <c r="B2216" s="4" t="s">
        <v>101</v>
      </c>
      <c r="C2216" s="3" t="s">
        <v>273</v>
      </c>
      <c r="D2216" s="3" t="s">
        <v>14</v>
      </c>
      <c r="E2216" s="3">
        <v>35</v>
      </c>
      <c r="G2216" s="57"/>
    </row>
    <row r="2217" spans="1:7" ht="12.75" x14ac:dyDescent="0.2">
      <c r="A2217" s="3">
        <v>78</v>
      </c>
      <c r="B2217" s="4" t="s">
        <v>101</v>
      </c>
      <c r="C2217" s="3" t="s">
        <v>273</v>
      </c>
      <c r="D2217" s="3" t="s">
        <v>138</v>
      </c>
      <c r="E2217" s="3">
        <v>3</v>
      </c>
      <c r="F2217">
        <f>SUM(E2210:E2217)</f>
        <v>220</v>
      </c>
      <c r="G2217" s="57"/>
    </row>
    <row r="2218" spans="1:7" ht="12.75" x14ac:dyDescent="0.2">
      <c r="A2218" s="3">
        <v>78</v>
      </c>
      <c r="B2218" s="4" t="s">
        <v>101</v>
      </c>
      <c r="C2218" s="3" t="s">
        <v>125</v>
      </c>
      <c r="D2218" s="3" t="s">
        <v>274</v>
      </c>
      <c r="E2218" s="3">
        <v>0</v>
      </c>
      <c r="G2218" s="57"/>
    </row>
    <row r="2219" spans="1:7" ht="12.75" x14ac:dyDescent="0.2">
      <c r="A2219" s="3">
        <v>78</v>
      </c>
      <c r="B2219" s="4" t="s">
        <v>101</v>
      </c>
      <c r="C2219" s="3" t="s">
        <v>125</v>
      </c>
      <c r="D2219" s="3" t="s">
        <v>283</v>
      </c>
      <c r="E2219" s="3">
        <v>95</v>
      </c>
      <c r="G2219" s="57"/>
    </row>
    <row r="2220" spans="1:7" ht="12.75" x14ac:dyDescent="0.2">
      <c r="A2220" s="3">
        <v>78</v>
      </c>
      <c r="B2220" s="4" t="s">
        <v>101</v>
      </c>
      <c r="C2220" s="3" t="s">
        <v>125</v>
      </c>
      <c r="D2220" s="3" t="s">
        <v>315</v>
      </c>
      <c r="E2220" s="3">
        <v>0</v>
      </c>
      <c r="G2220" s="57"/>
    </row>
    <row r="2221" spans="1:7" ht="12.75" x14ac:dyDescent="0.2">
      <c r="A2221" s="3">
        <v>78</v>
      </c>
      <c r="B2221" s="4" t="s">
        <v>101</v>
      </c>
      <c r="C2221" s="3" t="s">
        <v>125</v>
      </c>
      <c r="D2221" s="3" t="s">
        <v>128</v>
      </c>
      <c r="E2221" s="3">
        <v>61</v>
      </c>
      <c r="G2221" s="57"/>
    </row>
    <row r="2222" spans="1:7" ht="12.75" x14ac:dyDescent="0.2">
      <c r="A2222" s="3">
        <v>78</v>
      </c>
      <c r="B2222" s="4" t="s">
        <v>101</v>
      </c>
      <c r="C2222" s="3" t="s">
        <v>125</v>
      </c>
      <c r="D2222" s="3" t="s">
        <v>353</v>
      </c>
      <c r="E2222" s="3">
        <v>0</v>
      </c>
      <c r="G2222" s="57"/>
    </row>
    <row r="2223" spans="1:7" ht="12.75" x14ac:dyDescent="0.2">
      <c r="A2223" s="3">
        <v>78</v>
      </c>
      <c r="B2223" s="4" t="s">
        <v>101</v>
      </c>
      <c r="C2223" s="3" t="s">
        <v>125</v>
      </c>
      <c r="D2223" s="3" t="s">
        <v>371</v>
      </c>
      <c r="E2223" s="3">
        <v>22</v>
      </c>
      <c r="G2223" s="57"/>
    </row>
    <row r="2224" spans="1:7" ht="12.75" x14ac:dyDescent="0.2">
      <c r="A2224" s="3">
        <v>78</v>
      </c>
      <c r="B2224" s="4" t="s">
        <v>101</v>
      </c>
      <c r="C2224" s="3" t="s">
        <v>125</v>
      </c>
      <c r="D2224" s="3" t="s">
        <v>14</v>
      </c>
      <c r="E2224" s="3">
        <v>39</v>
      </c>
      <c r="G2224" s="57"/>
    </row>
    <row r="2225" spans="1:7" ht="12.75" x14ac:dyDescent="0.2">
      <c r="A2225" s="3">
        <v>78</v>
      </c>
      <c r="B2225" s="4" t="s">
        <v>101</v>
      </c>
      <c r="C2225" s="3" t="s">
        <v>125</v>
      </c>
      <c r="D2225" s="3" t="s">
        <v>138</v>
      </c>
      <c r="E2225" s="3">
        <v>3</v>
      </c>
      <c r="F2225">
        <f>SUM(E2218:E2225)</f>
        <v>220</v>
      </c>
      <c r="G2225" s="57"/>
    </row>
    <row r="2226" spans="1:7" ht="12.75" x14ac:dyDescent="0.2">
      <c r="A2226" s="3">
        <v>79</v>
      </c>
      <c r="B2226" s="4" t="s">
        <v>102</v>
      </c>
      <c r="C2226" s="3" t="s">
        <v>347</v>
      </c>
      <c r="D2226" s="3" t="s">
        <v>366</v>
      </c>
      <c r="E2226" s="3">
        <v>8</v>
      </c>
      <c r="G2226" s="59">
        <v>1181</v>
      </c>
    </row>
    <row r="2227" spans="1:7" ht="12.75" x14ac:dyDescent="0.2">
      <c r="A2227" s="3">
        <v>79</v>
      </c>
      <c r="B2227" s="4" t="s">
        <v>102</v>
      </c>
      <c r="C2227" s="3" t="s">
        <v>347</v>
      </c>
      <c r="D2227" s="3" t="s">
        <v>274</v>
      </c>
      <c r="E2227" s="3">
        <v>0</v>
      </c>
      <c r="G2227" s="57"/>
    </row>
    <row r="2228" spans="1:7" ht="12.75" x14ac:dyDescent="0.2">
      <c r="A2228" s="3">
        <v>79</v>
      </c>
      <c r="B2228" s="4" t="s">
        <v>102</v>
      </c>
      <c r="C2228" s="3" t="s">
        <v>347</v>
      </c>
      <c r="D2228" s="3" t="s">
        <v>367</v>
      </c>
      <c r="E2228" s="3">
        <v>4</v>
      </c>
      <c r="G2228" s="57"/>
    </row>
    <row r="2229" spans="1:7" ht="12.75" x14ac:dyDescent="0.2">
      <c r="A2229" s="3">
        <v>79</v>
      </c>
      <c r="B2229" s="4" t="s">
        <v>102</v>
      </c>
      <c r="C2229" s="3" t="s">
        <v>347</v>
      </c>
      <c r="D2229" s="3" t="s">
        <v>368</v>
      </c>
      <c r="E2229" s="3">
        <v>1</v>
      </c>
      <c r="G2229" s="57"/>
    </row>
    <row r="2230" spans="1:7" ht="12.75" x14ac:dyDescent="0.2">
      <c r="A2230" s="3">
        <v>79</v>
      </c>
      <c r="B2230" s="4" t="s">
        <v>102</v>
      </c>
      <c r="C2230" s="3" t="s">
        <v>347</v>
      </c>
      <c r="D2230" s="3" t="s">
        <v>283</v>
      </c>
      <c r="E2230" s="3">
        <v>272</v>
      </c>
      <c r="G2230" s="57"/>
    </row>
    <row r="2231" spans="1:7" ht="12.75" x14ac:dyDescent="0.2">
      <c r="A2231" s="3">
        <v>79</v>
      </c>
      <c r="B2231" s="4" t="s">
        <v>102</v>
      </c>
      <c r="C2231" s="3" t="s">
        <v>347</v>
      </c>
      <c r="D2231" s="3" t="s">
        <v>315</v>
      </c>
      <c r="E2231" s="3">
        <v>29</v>
      </c>
      <c r="G2231" s="57"/>
    </row>
    <row r="2232" spans="1:7" ht="12.75" x14ac:dyDescent="0.2">
      <c r="A2232" s="3">
        <v>79</v>
      </c>
      <c r="B2232" s="4" t="s">
        <v>102</v>
      </c>
      <c r="C2232" s="3" t="s">
        <v>347</v>
      </c>
      <c r="D2232" s="3" t="s">
        <v>316</v>
      </c>
      <c r="E2232" s="3">
        <v>28</v>
      </c>
      <c r="G2232" s="57"/>
    </row>
    <row r="2233" spans="1:7" ht="12.75" x14ac:dyDescent="0.2">
      <c r="A2233" s="3">
        <v>79</v>
      </c>
      <c r="B2233" s="4" t="s">
        <v>102</v>
      </c>
      <c r="C2233" s="3" t="s">
        <v>347</v>
      </c>
      <c r="D2233" s="3" t="s">
        <v>369</v>
      </c>
      <c r="E2233" s="3">
        <v>0</v>
      </c>
      <c r="G2233" s="57"/>
    </row>
    <row r="2234" spans="1:7" ht="12.75" x14ac:dyDescent="0.2">
      <c r="A2234" s="3">
        <v>79</v>
      </c>
      <c r="B2234" s="4" t="s">
        <v>102</v>
      </c>
      <c r="C2234" s="3" t="s">
        <v>347</v>
      </c>
      <c r="D2234" s="3" t="s">
        <v>128</v>
      </c>
      <c r="E2234" s="3">
        <v>399</v>
      </c>
      <c r="G2234" s="57"/>
    </row>
    <row r="2235" spans="1:7" ht="12.75" x14ac:dyDescent="0.2">
      <c r="A2235" s="3">
        <v>79</v>
      </c>
      <c r="B2235" s="4" t="s">
        <v>102</v>
      </c>
      <c r="C2235" s="3" t="s">
        <v>347</v>
      </c>
      <c r="D2235" s="3" t="s">
        <v>370</v>
      </c>
      <c r="E2235" s="3">
        <v>3</v>
      </c>
      <c r="G2235" s="57"/>
    </row>
    <row r="2236" spans="1:7" ht="12.75" x14ac:dyDescent="0.2">
      <c r="A2236" s="3">
        <v>79</v>
      </c>
      <c r="B2236" s="4" t="s">
        <v>102</v>
      </c>
      <c r="C2236" s="3" t="s">
        <v>347</v>
      </c>
      <c r="D2236" s="3" t="s">
        <v>353</v>
      </c>
      <c r="E2236" s="3">
        <v>11</v>
      </c>
      <c r="G2236" s="57"/>
    </row>
    <row r="2237" spans="1:7" ht="12.75" x14ac:dyDescent="0.2">
      <c r="A2237" s="3">
        <v>79</v>
      </c>
      <c r="B2237" s="4" t="s">
        <v>102</v>
      </c>
      <c r="C2237" s="3" t="s">
        <v>347</v>
      </c>
      <c r="D2237" s="3" t="s">
        <v>371</v>
      </c>
      <c r="E2237" s="3">
        <v>126</v>
      </c>
      <c r="G2237" s="57"/>
    </row>
    <row r="2238" spans="1:7" ht="12.75" x14ac:dyDescent="0.2">
      <c r="A2238" s="3">
        <v>79</v>
      </c>
      <c r="B2238" s="4" t="s">
        <v>102</v>
      </c>
      <c r="C2238" s="3" t="s">
        <v>347</v>
      </c>
      <c r="D2238" s="3" t="s">
        <v>14</v>
      </c>
      <c r="E2238" s="3">
        <v>67</v>
      </c>
      <c r="G2238" s="57"/>
    </row>
    <row r="2239" spans="1:7" ht="12.75" x14ac:dyDescent="0.2">
      <c r="A2239" s="3">
        <v>79</v>
      </c>
      <c r="B2239" s="4" t="s">
        <v>102</v>
      </c>
      <c r="C2239" s="3" t="s">
        <v>347</v>
      </c>
      <c r="D2239" s="3" t="s">
        <v>138</v>
      </c>
      <c r="E2239" s="3">
        <v>4</v>
      </c>
      <c r="F2239">
        <f>SUM(E2226:E2239)</f>
        <v>952</v>
      </c>
      <c r="G2239" s="57"/>
    </row>
    <row r="2240" spans="1:7" ht="12.75" x14ac:dyDescent="0.2">
      <c r="A2240" s="3">
        <v>79</v>
      </c>
      <c r="B2240" s="4" t="s">
        <v>102</v>
      </c>
      <c r="C2240" s="3" t="s">
        <v>273</v>
      </c>
      <c r="D2240" s="3" t="s">
        <v>274</v>
      </c>
      <c r="E2240" s="3">
        <v>2</v>
      </c>
      <c r="G2240" s="57"/>
    </row>
    <row r="2241" spans="1:7" ht="12.75" x14ac:dyDescent="0.2">
      <c r="A2241" s="3">
        <v>79</v>
      </c>
      <c r="B2241" s="4" t="s">
        <v>102</v>
      </c>
      <c r="C2241" s="3" t="s">
        <v>273</v>
      </c>
      <c r="D2241" s="3" t="s">
        <v>283</v>
      </c>
      <c r="E2241" s="3">
        <v>322</v>
      </c>
      <c r="G2241" s="57"/>
    </row>
    <row r="2242" spans="1:7" ht="12.75" x14ac:dyDescent="0.2">
      <c r="A2242" s="3">
        <v>79</v>
      </c>
      <c r="B2242" s="4" t="s">
        <v>102</v>
      </c>
      <c r="C2242" s="3" t="s">
        <v>273</v>
      </c>
      <c r="D2242" s="3" t="s">
        <v>315</v>
      </c>
      <c r="E2242" s="3">
        <v>23</v>
      </c>
      <c r="G2242" s="57"/>
    </row>
    <row r="2243" spans="1:7" ht="12.75" x14ac:dyDescent="0.2">
      <c r="A2243" s="3">
        <v>79</v>
      </c>
      <c r="B2243" s="4" t="s">
        <v>102</v>
      </c>
      <c r="C2243" s="3" t="s">
        <v>273</v>
      </c>
      <c r="D2243" s="3" t="s">
        <v>128</v>
      </c>
      <c r="E2243" s="3">
        <v>420</v>
      </c>
      <c r="G2243" s="57"/>
    </row>
    <row r="2244" spans="1:7" ht="12.75" x14ac:dyDescent="0.2">
      <c r="A2244" s="3">
        <v>79</v>
      </c>
      <c r="B2244" s="4" t="s">
        <v>102</v>
      </c>
      <c r="C2244" s="3" t="s">
        <v>273</v>
      </c>
      <c r="D2244" s="3" t="s">
        <v>353</v>
      </c>
      <c r="E2244" s="3">
        <v>2</v>
      </c>
      <c r="G2244" s="57"/>
    </row>
    <row r="2245" spans="1:7" ht="12.75" x14ac:dyDescent="0.2">
      <c r="A2245" s="3">
        <v>79</v>
      </c>
      <c r="B2245" s="4" t="s">
        <v>102</v>
      </c>
      <c r="C2245" s="3" t="s">
        <v>273</v>
      </c>
      <c r="D2245" s="3" t="s">
        <v>371</v>
      </c>
      <c r="E2245" s="3">
        <v>88</v>
      </c>
      <c r="G2245" s="57"/>
    </row>
    <row r="2246" spans="1:7" ht="12.75" x14ac:dyDescent="0.2">
      <c r="A2246" s="3">
        <v>79</v>
      </c>
      <c r="B2246" s="4" t="s">
        <v>102</v>
      </c>
      <c r="C2246" s="3" t="s">
        <v>273</v>
      </c>
      <c r="D2246" s="3" t="s">
        <v>14</v>
      </c>
      <c r="E2246" s="3">
        <v>92</v>
      </c>
      <c r="G2246" s="57"/>
    </row>
    <row r="2247" spans="1:7" ht="12.75" x14ac:dyDescent="0.2">
      <c r="A2247" s="3">
        <v>79</v>
      </c>
      <c r="B2247" s="4" t="s">
        <v>102</v>
      </c>
      <c r="C2247" s="3" t="s">
        <v>273</v>
      </c>
      <c r="D2247" s="3" t="s">
        <v>138</v>
      </c>
      <c r="E2247" s="3">
        <v>3</v>
      </c>
      <c r="F2247">
        <f>SUM(E2240:E2247)</f>
        <v>952</v>
      </c>
      <c r="G2247" s="57"/>
    </row>
    <row r="2248" spans="1:7" ht="12.75" x14ac:dyDescent="0.2">
      <c r="A2248" s="3">
        <v>79</v>
      </c>
      <c r="B2248" s="4" t="s">
        <v>102</v>
      </c>
      <c r="C2248" s="3" t="s">
        <v>125</v>
      </c>
      <c r="D2248" s="3" t="s">
        <v>274</v>
      </c>
      <c r="E2248" s="3">
        <v>2</v>
      </c>
      <c r="G2248" s="57"/>
    </row>
    <row r="2249" spans="1:7" ht="12.75" x14ac:dyDescent="0.2">
      <c r="A2249" s="3">
        <v>79</v>
      </c>
      <c r="B2249" s="4" t="s">
        <v>102</v>
      </c>
      <c r="C2249" s="3" t="s">
        <v>125</v>
      </c>
      <c r="D2249" s="3" t="s">
        <v>283</v>
      </c>
      <c r="E2249" s="3">
        <v>319</v>
      </c>
      <c r="G2249" s="57"/>
    </row>
    <row r="2250" spans="1:7" ht="12.75" x14ac:dyDescent="0.2">
      <c r="A2250" s="3">
        <v>79</v>
      </c>
      <c r="B2250" s="4" t="s">
        <v>102</v>
      </c>
      <c r="C2250" s="3" t="s">
        <v>125</v>
      </c>
      <c r="D2250" s="3" t="s">
        <v>315</v>
      </c>
      <c r="E2250" s="3">
        <v>22</v>
      </c>
      <c r="G2250" s="57"/>
    </row>
    <row r="2251" spans="1:7" ht="12.75" x14ac:dyDescent="0.2">
      <c r="A2251" s="3">
        <v>79</v>
      </c>
      <c r="B2251" s="4" t="s">
        <v>102</v>
      </c>
      <c r="C2251" s="3" t="s">
        <v>125</v>
      </c>
      <c r="D2251" s="3" t="s">
        <v>128</v>
      </c>
      <c r="E2251" s="3">
        <v>412</v>
      </c>
      <c r="G2251" s="57"/>
    </row>
    <row r="2252" spans="1:7" ht="12.75" x14ac:dyDescent="0.2">
      <c r="A2252" s="3">
        <v>79</v>
      </c>
      <c r="B2252" s="4" t="s">
        <v>102</v>
      </c>
      <c r="C2252" s="3" t="s">
        <v>125</v>
      </c>
      <c r="D2252" s="3" t="s">
        <v>353</v>
      </c>
      <c r="E2252" s="3">
        <v>2</v>
      </c>
      <c r="G2252" s="57"/>
    </row>
    <row r="2253" spans="1:7" ht="12.75" x14ac:dyDescent="0.2">
      <c r="A2253" s="3">
        <v>79</v>
      </c>
      <c r="B2253" s="4" t="s">
        <v>102</v>
      </c>
      <c r="C2253" s="3" t="s">
        <v>125</v>
      </c>
      <c r="D2253" s="3" t="s">
        <v>371</v>
      </c>
      <c r="E2253" s="3">
        <v>89</v>
      </c>
      <c r="G2253" s="57"/>
    </row>
    <row r="2254" spans="1:7" ht="12.75" x14ac:dyDescent="0.2">
      <c r="A2254" s="3">
        <v>79</v>
      </c>
      <c r="B2254" s="4" t="s">
        <v>102</v>
      </c>
      <c r="C2254" s="3" t="s">
        <v>125</v>
      </c>
      <c r="D2254" s="3" t="s">
        <v>14</v>
      </c>
      <c r="E2254" s="3">
        <v>103</v>
      </c>
      <c r="G2254" s="57"/>
    </row>
    <row r="2255" spans="1:7" ht="12.75" x14ac:dyDescent="0.2">
      <c r="A2255" s="3">
        <v>79</v>
      </c>
      <c r="B2255" s="4" t="s">
        <v>102</v>
      </c>
      <c r="C2255" s="3" t="s">
        <v>125</v>
      </c>
      <c r="D2255" s="3" t="s">
        <v>138</v>
      </c>
      <c r="E2255" s="3">
        <v>3</v>
      </c>
      <c r="F2255">
        <f>SUM(E2248:E2255)</f>
        <v>952</v>
      </c>
      <c r="G2255" s="57"/>
    </row>
    <row r="2256" spans="1:7" ht="12.75" x14ac:dyDescent="0.2">
      <c r="A2256" s="3">
        <v>80</v>
      </c>
      <c r="B2256" s="4" t="s">
        <v>103</v>
      </c>
      <c r="C2256" s="3" t="s">
        <v>347</v>
      </c>
      <c r="D2256" s="3" t="s">
        <v>366</v>
      </c>
      <c r="E2256" s="3">
        <v>0</v>
      </c>
      <c r="G2256" s="59">
        <v>172</v>
      </c>
    </row>
    <row r="2257" spans="1:7" ht="12.75" x14ac:dyDescent="0.2">
      <c r="A2257" s="3">
        <v>80</v>
      </c>
      <c r="B2257" s="4" t="s">
        <v>103</v>
      </c>
      <c r="C2257" s="3" t="s">
        <v>347</v>
      </c>
      <c r="D2257" s="3" t="s">
        <v>274</v>
      </c>
      <c r="E2257" s="3">
        <v>0</v>
      </c>
      <c r="G2257" s="57"/>
    </row>
    <row r="2258" spans="1:7" ht="12.75" x14ac:dyDescent="0.2">
      <c r="A2258" s="3">
        <v>80</v>
      </c>
      <c r="B2258" s="4" t="s">
        <v>103</v>
      </c>
      <c r="C2258" s="3" t="s">
        <v>347</v>
      </c>
      <c r="D2258" s="3" t="s">
        <v>367</v>
      </c>
      <c r="E2258" s="3">
        <v>0</v>
      </c>
      <c r="G2258" s="57"/>
    </row>
    <row r="2259" spans="1:7" ht="12.75" x14ac:dyDescent="0.2">
      <c r="A2259" s="3">
        <v>80</v>
      </c>
      <c r="B2259" s="4" t="s">
        <v>103</v>
      </c>
      <c r="C2259" s="3" t="s">
        <v>347</v>
      </c>
      <c r="D2259" s="3" t="s">
        <v>368</v>
      </c>
      <c r="E2259" s="3">
        <v>1</v>
      </c>
      <c r="G2259" s="57"/>
    </row>
    <row r="2260" spans="1:7" ht="12.75" x14ac:dyDescent="0.2">
      <c r="A2260" s="3">
        <v>80</v>
      </c>
      <c r="B2260" s="4" t="s">
        <v>103</v>
      </c>
      <c r="C2260" s="3" t="s">
        <v>347</v>
      </c>
      <c r="D2260" s="3" t="s">
        <v>283</v>
      </c>
      <c r="E2260" s="3">
        <v>82</v>
      </c>
      <c r="G2260" s="57"/>
    </row>
    <row r="2261" spans="1:7" ht="12.75" x14ac:dyDescent="0.2">
      <c r="A2261" s="3">
        <v>80</v>
      </c>
      <c r="B2261" s="4" t="s">
        <v>103</v>
      </c>
      <c r="C2261" s="3" t="s">
        <v>347</v>
      </c>
      <c r="D2261" s="3" t="s">
        <v>315</v>
      </c>
      <c r="E2261" s="3">
        <v>2</v>
      </c>
      <c r="G2261" s="57"/>
    </row>
    <row r="2262" spans="1:7" ht="12.75" x14ac:dyDescent="0.2">
      <c r="A2262" s="3">
        <v>80</v>
      </c>
      <c r="B2262" s="4" t="s">
        <v>103</v>
      </c>
      <c r="C2262" s="3" t="s">
        <v>347</v>
      </c>
      <c r="D2262" s="3" t="s">
        <v>316</v>
      </c>
      <c r="E2262" s="3">
        <v>2</v>
      </c>
      <c r="G2262" s="57"/>
    </row>
    <row r="2263" spans="1:7" ht="12.75" x14ac:dyDescent="0.2">
      <c r="A2263" s="3">
        <v>80</v>
      </c>
      <c r="B2263" s="4" t="s">
        <v>103</v>
      </c>
      <c r="C2263" s="3" t="s">
        <v>347</v>
      </c>
      <c r="D2263" s="3" t="s">
        <v>369</v>
      </c>
      <c r="E2263" s="3">
        <v>0</v>
      </c>
      <c r="G2263" s="57"/>
    </row>
    <row r="2264" spans="1:7" ht="12.75" x14ac:dyDescent="0.2">
      <c r="A2264" s="3">
        <v>80</v>
      </c>
      <c r="B2264" s="4" t="s">
        <v>103</v>
      </c>
      <c r="C2264" s="3" t="s">
        <v>347</v>
      </c>
      <c r="D2264" s="3" t="s">
        <v>128</v>
      </c>
      <c r="E2264" s="3">
        <v>39</v>
      </c>
      <c r="G2264" s="57"/>
    </row>
    <row r="2265" spans="1:7" ht="12.75" x14ac:dyDescent="0.2">
      <c r="A2265" s="3">
        <v>80</v>
      </c>
      <c r="B2265" s="4" t="s">
        <v>103</v>
      </c>
      <c r="C2265" s="3" t="s">
        <v>347</v>
      </c>
      <c r="D2265" s="3" t="s">
        <v>370</v>
      </c>
      <c r="E2265" s="3">
        <v>0</v>
      </c>
      <c r="G2265" s="57"/>
    </row>
    <row r="2266" spans="1:7" ht="12.75" x14ac:dyDescent="0.2">
      <c r="A2266" s="3">
        <v>80</v>
      </c>
      <c r="B2266" s="4" t="s">
        <v>103</v>
      </c>
      <c r="C2266" s="3" t="s">
        <v>347</v>
      </c>
      <c r="D2266" s="3" t="s">
        <v>353</v>
      </c>
      <c r="E2266" s="3">
        <v>0</v>
      </c>
      <c r="G2266" s="57"/>
    </row>
    <row r="2267" spans="1:7" ht="12.75" x14ac:dyDescent="0.2">
      <c r="A2267" s="3">
        <v>80</v>
      </c>
      <c r="B2267" s="4" t="s">
        <v>103</v>
      </c>
      <c r="C2267" s="3" t="s">
        <v>347</v>
      </c>
      <c r="D2267" s="3" t="s">
        <v>371</v>
      </c>
      <c r="E2267" s="3">
        <v>18</v>
      </c>
      <c r="G2267" s="57"/>
    </row>
    <row r="2268" spans="1:7" ht="12.75" x14ac:dyDescent="0.2">
      <c r="A2268" s="3">
        <v>80</v>
      </c>
      <c r="B2268" s="4" t="s">
        <v>103</v>
      </c>
      <c r="C2268" s="3" t="s">
        <v>347</v>
      </c>
      <c r="D2268" s="3" t="s">
        <v>14</v>
      </c>
      <c r="E2268" s="3">
        <v>15</v>
      </c>
      <c r="G2268" s="57"/>
    </row>
    <row r="2269" spans="1:7" ht="12.75" x14ac:dyDescent="0.2">
      <c r="A2269" s="3">
        <v>80</v>
      </c>
      <c r="B2269" s="4" t="s">
        <v>103</v>
      </c>
      <c r="C2269" s="3" t="s">
        <v>347</v>
      </c>
      <c r="D2269" s="3" t="s">
        <v>138</v>
      </c>
      <c r="E2269" s="3">
        <v>0</v>
      </c>
      <c r="F2269">
        <f>SUM(E2256:E2269)</f>
        <v>159</v>
      </c>
      <c r="G2269" s="57"/>
    </row>
    <row r="2270" spans="1:7" ht="12.75" x14ac:dyDescent="0.2">
      <c r="A2270" s="3">
        <v>80</v>
      </c>
      <c r="B2270" s="4" t="s">
        <v>103</v>
      </c>
      <c r="C2270" s="3" t="s">
        <v>273</v>
      </c>
      <c r="D2270" s="3" t="s">
        <v>274</v>
      </c>
      <c r="E2270" s="3">
        <v>0</v>
      </c>
      <c r="G2270" s="57"/>
    </row>
    <row r="2271" spans="1:7" ht="12.75" x14ac:dyDescent="0.2">
      <c r="A2271" s="3">
        <v>80</v>
      </c>
      <c r="B2271" s="4" t="s">
        <v>103</v>
      </c>
      <c r="C2271" s="3" t="s">
        <v>273</v>
      </c>
      <c r="D2271" s="3" t="s">
        <v>283</v>
      </c>
      <c r="E2271" s="3">
        <v>123</v>
      </c>
      <c r="G2271" s="57"/>
    </row>
    <row r="2272" spans="1:7" ht="12.75" x14ac:dyDescent="0.2">
      <c r="A2272" s="3">
        <v>80</v>
      </c>
      <c r="B2272" s="4" t="s">
        <v>103</v>
      </c>
      <c r="C2272" s="3" t="s">
        <v>273</v>
      </c>
      <c r="D2272" s="3" t="s">
        <v>315</v>
      </c>
      <c r="E2272" s="3">
        <v>1</v>
      </c>
      <c r="G2272" s="57"/>
    </row>
    <row r="2273" spans="1:7" ht="12.75" x14ac:dyDescent="0.2">
      <c r="A2273" s="3">
        <v>80</v>
      </c>
      <c r="B2273" s="4" t="s">
        <v>103</v>
      </c>
      <c r="C2273" s="3" t="s">
        <v>273</v>
      </c>
      <c r="D2273" s="3" t="s">
        <v>128</v>
      </c>
      <c r="E2273" s="3">
        <v>29</v>
      </c>
      <c r="G2273" s="57"/>
    </row>
    <row r="2274" spans="1:7" ht="12.75" x14ac:dyDescent="0.2">
      <c r="A2274" s="3">
        <v>80</v>
      </c>
      <c r="B2274" s="4" t="s">
        <v>103</v>
      </c>
      <c r="C2274" s="3" t="s">
        <v>273</v>
      </c>
      <c r="D2274" s="3" t="s">
        <v>353</v>
      </c>
      <c r="E2274" s="3">
        <v>0</v>
      </c>
      <c r="G2274" s="57"/>
    </row>
    <row r="2275" spans="1:7" ht="12.75" x14ac:dyDescent="0.2">
      <c r="A2275" s="3">
        <v>80</v>
      </c>
      <c r="B2275" s="4" t="s">
        <v>103</v>
      </c>
      <c r="C2275" s="3" t="s">
        <v>273</v>
      </c>
      <c r="D2275" s="3" t="s">
        <v>371</v>
      </c>
      <c r="E2275" s="3">
        <v>5</v>
      </c>
      <c r="G2275" s="57"/>
    </row>
    <row r="2276" spans="1:7" ht="12.75" x14ac:dyDescent="0.2">
      <c r="A2276" s="3">
        <v>80</v>
      </c>
      <c r="B2276" s="4" t="s">
        <v>103</v>
      </c>
      <c r="C2276" s="3" t="s">
        <v>273</v>
      </c>
      <c r="D2276" s="3" t="s">
        <v>14</v>
      </c>
      <c r="E2276" s="3">
        <v>1</v>
      </c>
      <c r="G2276" s="57"/>
    </row>
    <row r="2277" spans="1:7" ht="12.75" x14ac:dyDescent="0.2">
      <c r="A2277" s="3">
        <v>80</v>
      </c>
      <c r="B2277" s="4" t="s">
        <v>103</v>
      </c>
      <c r="C2277" s="3" t="s">
        <v>273</v>
      </c>
      <c r="D2277" s="3" t="s">
        <v>138</v>
      </c>
      <c r="E2277" s="3">
        <v>0</v>
      </c>
      <c r="F2277">
        <f>SUM(E2270:E2277)</f>
        <v>159</v>
      </c>
      <c r="G2277" s="57"/>
    </row>
    <row r="2278" spans="1:7" ht="12.75" x14ac:dyDescent="0.2">
      <c r="A2278" s="3">
        <v>80</v>
      </c>
      <c r="B2278" s="4" t="s">
        <v>103</v>
      </c>
      <c r="C2278" s="3" t="s">
        <v>125</v>
      </c>
      <c r="D2278" s="3" t="s">
        <v>274</v>
      </c>
      <c r="E2278" s="3">
        <v>0</v>
      </c>
      <c r="G2278" s="57"/>
    </row>
    <row r="2279" spans="1:7" ht="12.75" x14ac:dyDescent="0.2">
      <c r="A2279" s="3">
        <v>80</v>
      </c>
      <c r="B2279" s="4" t="s">
        <v>103</v>
      </c>
      <c r="C2279" s="3" t="s">
        <v>125</v>
      </c>
      <c r="D2279" s="3" t="s">
        <v>283</v>
      </c>
      <c r="E2279" s="3">
        <v>119</v>
      </c>
      <c r="G2279" s="57"/>
    </row>
    <row r="2280" spans="1:7" ht="12.75" x14ac:dyDescent="0.2">
      <c r="A2280" s="3">
        <v>80</v>
      </c>
      <c r="B2280" s="4" t="s">
        <v>103</v>
      </c>
      <c r="C2280" s="3" t="s">
        <v>125</v>
      </c>
      <c r="D2280" s="3" t="s">
        <v>315</v>
      </c>
      <c r="E2280" s="3">
        <v>1</v>
      </c>
      <c r="G2280" s="57"/>
    </row>
    <row r="2281" spans="1:7" ht="12.75" x14ac:dyDescent="0.2">
      <c r="A2281" s="3">
        <v>80</v>
      </c>
      <c r="B2281" s="4" t="s">
        <v>103</v>
      </c>
      <c r="C2281" s="3" t="s">
        <v>125</v>
      </c>
      <c r="D2281" s="3" t="s">
        <v>128</v>
      </c>
      <c r="E2281" s="3">
        <v>31</v>
      </c>
      <c r="G2281" s="57"/>
    </row>
    <row r="2282" spans="1:7" ht="12.75" x14ac:dyDescent="0.2">
      <c r="A2282" s="3">
        <v>80</v>
      </c>
      <c r="B2282" s="4" t="s">
        <v>103</v>
      </c>
      <c r="C2282" s="3" t="s">
        <v>125</v>
      </c>
      <c r="D2282" s="3" t="s">
        <v>353</v>
      </c>
      <c r="E2282" s="3">
        <v>0</v>
      </c>
      <c r="G2282" s="57"/>
    </row>
    <row r="2283" spans="1:7" ht="12.75" x14ac:dyDescent="0.2">
      <c r="A2283" s="3">
        <v>80</v>
      </c>
      <c r="B2283" s="4" t="s">
        <v>103</v>
      </c>
      <c r="C2283" s="3" t="s">
        <v>125</v>
      </c>
      <c r="D2283" s="3" t="s">
        <v>371</v>
      </c>
      <c r="E2283" s="3">
        <v>5</v>
      </c>
      <c r="G2283" s="57"/>
    </row>
    <row r="2284" spans="1:7" ht="12.75" x14ac:dyDescent="0.2">
      <c r="A2284" s="3">
        <v>80</v>
      </c>
      <c r="B2284" s="4" t="s">
        <v>103</v>
      </c>
      <c r="C2284" s="3" t="s">
        <v>125</v>
      </c>
      <c r="D2284" s="3" t="s">
        <v>14</v>
      </c>
      <c r="E2284" s="3">
        <v>3</v>
      </c>
      <c r="G2284" s="57"/>
    </row>
    <row r="2285" spans="1:7" ht="12.75" x14ac:dyDescent="0.2">
      <c r="A2285" s="3">
        <v>80</v>
      </c>
      <c r="B2285" s="4" t="s">
        <v>103</v>
      </c>
      <c r="C2285" s="3" t="s">
        <v>125</v>
      </c>
      <c r="D2285" s="3" t="s">
        <v>138</v>
      </c>
      <c r="E2285" s="3">
        <v>0</v>
      </c>
      <c r="F2285">
        <f>SUM(E2278:E2285)</f>
        <v>159</v>
      </c>
      <c r="G2285" s="57"/>
    </row>
    <row r="2286" spans="1:7" ht="12.75" x14ac:dyDescent="0.2">
      <c r="A2286" s="3">
        <v>83</v>
      </c>
      <c r="B2286" s="4" t="s">
        <v>157</v>
      </c>
      <c r="C2286" s="3" t="s">
        <v>347</v>
      </c>
      <c r="D2286" s="3" t="s">
        <v>366</v>
      </c>
      <c r="E2286" s="3">
        <v>0</v>
      </c>
      <c r="G2286" s="59">
        <v>1</v>
      </c>
    </row>
    <row r="2287" spans="1:7" ht="12.75" x14ac:dyDescent="0.2">
      <c r="A2287" s="3">
        <v>83</v>
      </c>
      <c r="B2287" s="4" t="s">
        <v>157</v>
      </c>
      <c r="C2287" s="3" t="s">
        <v>347</v>
      </c>
      <c r="D2287" s="3" t="s">
        <v>274</v>
      </c>
      <c r="E2287" s="3">
        <v>0</v>
      </c>
      <c r="G2287" s="57"/>
    </row>
    <row r="2288" spans="1:7" ht="12.75" x14ac:dyDescent="0.2">
      <c r="A2288" s="3">
        <v>83</v>
      </c>
      <c r="B2288" s="4" t="s">
        <v>157</v>
      </c>
      <c r="C2288" s="3" t="s">
        <v>347</v>
      </c>
      <c r="D2288" s="3" t="s">
        <v>367</v>
      </c>
      <c r="E2288" s="3">
        <v>0</v>
      </c>
      <c r="G2288" s="57"/>
    </row>
    <row r="2289" spans="1:7" ht="12.75" x14ac:dyDescent="0.2">
      <c r="A2289" s="3">
        <v>83</v>
      </c>
      <c r="B2289" s="4" t="s">
        <v>157</v>
      </c>
      <c r="C2289" s="3" t="s">
        <v>347</v>
      </c>
      <c r="D2289" s="3" t="s">
        <v>368</v>
      </c>
      <c r="E2289" s="3">
        <v>0</v>
      </c>
      <c r="G2289" s="57"/>
    </row>
    <row r="2290" spans="1:7" ht="12.75" x14ac:dyDescent="0.2">
      <c r="A2290" s="3">
        <v>83</v>
      </c>
      <c r="B2290" s="4" t="s">
        <v>157</v>
      </c>
      <c r="C2290" s="3" t="s">
        <v>347</v>
      </c>
      <c r="D2290" s="3" t="s">
        <v>283</v>
      </c>
      <c r="E2290" s="3">
        <v>0</v>
      </c>
      <c r="G2290" s="57"/>
    </row>
    <row r="2291" spans="1:7" ht="12.75" x14ac:dyDescent="0.2">
      <c r="A2291" s="3">
        <v>83</v>
      </c>
      <c r="B2291" s="4" t="s">
        <v>157</v>
      </c>
      <c r="C2291" s="3" t="s">
        <v>347</v>
      </c>
      <c r="D2291" s="3" t="s">
        <v>315</v>
      </c>
      <c r="E2291" s="3">
        <v>0</v>
      </c>
      <c r="G2291" s="57"/>
    </row>
    <row r="2292" spans="1:7" ht="12.75" x14ac:dyDescent="0.2">
      <c r="A2292" s="3">
        <v>83</v>
      </c>
      <c r="B2292" s="4" t="s">
        <v>157</v>
      </c>
      <c r="C2292" s="3" t="s">
        <v>347</v>
      </c>
      <c r="D2292" s="3" t="s">
        <v>316</v>
      </c>
      <c r="E2292" s="3">
        <v>0</v>
      </c>
      <c r="G2292" s="57"/>
    </row>
    <row r="2293" spans="1:7" ht="12.75" x14ac:dyDescent="0.2">
      <c r="A2293" s="3">
        <v>83</v>
      </c>
      <c r="B2293" s="4" t="s">
        <v>157</v>
      </c>
      <c r="C2293" s="3" t="s">
        <v>347</v>
      </c>
      <c r="D2293" s="3" t="s">
        <v>369</v>
      </c>
      <c r="E2293" s="3">
        <v>0</v>
      </c>
      <c r="G2293" s="57"/>
    </row>
    <row r="2294" spans="1:7" ht="12.75" x14ac:dyDescent="0.2">
      <c r="A2294" s="3">
        <v>83</v>
      </c>
      <c r="B2294" s="4" t="s">
        <v>157</v>
      </c>
      <c r="C2294" s="3" t="s">
        <v>347</v>
      </c>
      <c r="D2294" s="3" t="s">
        <v>128</v>
      </c>
      <c r="E2294" s="3">
        <v>0</v>
      </c>
      <c r="G2294" s="57"/>
    </row>
    <row r="2295" spans="1:7" ht="12.75" x14ac:dyDescent="0.2">
      <c r="A2295" s="3">
        <v>83</v>
      </c>
      <c r="B2295" s="4" t="s">
        <v>157</v>
      </c>
      <c r="C2295" s="3" t="s">
        <v>347</v>
      </c>
      <c r="D2295" s="3" t="s">
        <v>370</v>
      </c>
      <c r="E2295" s="3">
        <v>0</v>
      </c>
      <c r="G2295" s="57"/>
    </row>
    <row r="2296" spans="1:7" ht="12.75" x14ac:dyDescent="0.2">
      <c r="A2296" s="3">
        <v>83</v>
      </c>
      <c r="B2296" s="4" t="s">
        <v>157</v>
      </c>
      <c r="C2296" s="3" t="s">
        <v>347</v>
      </c>
      <c r="D2296" s="3" t="s">
        <v>353</v>
      </c>
      <c r="E2296" s="3">
        <v>0</v>
      </c>
      <c r="G2296" s="57"/>
    </row>
    <row r="2297" spans="1:7" ht="12.75" x14ac:dyDescent="0.2">
      <c r="A2297" s="3">
        <v>83</v>
      </c>
      <c r="B2297" s="4" t="s">
        <v>157</v>
      </c>
      <c r="C2297" s="3" t="s">
        <v>347</v>
      </c>
      <c r="D2297" s="3" t="s">
        <v>371</v>
      </c>
      <c r="E2297" s="3">
        <v>0</v>
      </c>
      <c r="G2297" s="57"/>
    </row>
    <row r="2298" spans="1:7" ht="12.75" x14ac:dyDescent="0.2">
      <c r="A2298" s="3">
        <v>83</v>
      </c>
      <c r="B2298" s="4" t="s">
        <v>157</v>
      </c>
      <c r="C2298" s="3" t="s">
        <v>347</v>
      </c>
      <c r="D2298" s="3" t="s">
        <v>14</v>
      </c>
      <c r="E2298" s="3">
        <v>0</v>
      </c>
      <c r="G2298" s="57"/>
    </row>
    <row r="2299" spans="1:7" ht="12.75" x14ac:dyDescent="0.2">
      <c r="A2299" s="3">
        <v>83</v>
      </c>
      <c r="B2299" s="4" t="s">
        <v>157</v>
      </c>
      <c r="C2299" s="3" t="s">
        <v>347</v>
      </c>
      <c r="D2299" s="3" t="s">
        <v>138</v>
      </c>
      <c r="E2299" s="3">
        <v>0</v>
      </c>
      <c r="F2299">
        <f>SUM(E2286:E2299)</f>
        <v>0</v>
      </c>
      <c r="G2299" s="57"/>
    </row>
    <row r="2300" spans="1:7" ht="12.75" x14ac:dyDescent="0.2">
      <c r="A2300" s="3">
        <v>83</v>
      </c>
      <c r="B2300" s="4" t="s">
        <v>157</v>
      </c>
      <c r="C2300" s="3" t="s">
        <v>273</v>
      </c>
      <c r="D2300" s="3" t="s">
        <v>274</v>
      </c>
      <c r="E2300" s="3">
        <v>0</v>
      </c>
      <c r="G2300" s="57"/>
    </row>
    <row r="2301" spans="1:7" ht="12.75" x14ac:dyDescent="0.2">
      <c r="A2301" s="3">
        <v>83</v>
      </c>
      <c r="B2301" s="4" t="s">
        <v>157</v>
      </c>
      <c r="C2301" s="3" t="s">
        <v>273</v>
      </c>
      <c r="D2301" s="3" t="s">
        <v>283</v>
      </c>
      <c r="E2301" s="3">
        <v>0</v>
      </c>
      <c r="G2301" s="57"/>
    </row>
    <row r="2302" spans="1:7" ht="12.75" x14ac:dyDescent="0.2">
      <c r="A2302" s="3">
        <v>83</v>
      </c>
      <c r="B2302" s="4" t="s">
        <v>157</v>
      </c>
      <c r="C2302" s="3" t="s">
        <v>273</v>
      </c>
      <c r="D2302" s="3" t="s">
        <v>315</v>
      </c>
      <c r="E2302" s="3">
        <v>0</v>
      </c>
      <c r="G2302" s="57"/>
    </row>
    <row r="2303" spans="1:7" ht="12.75" x14ac:dyDescent="0.2">
      <c r="A2303" s="3">
        <v>83</v>
      </c>
      <c r="B2303" s="4" t="s">
        <v>157</v>
      </c>
      <c r="C2303" s="3" t="s">
        <v>273</v>
      </c>
      <c r="D2303" s="3" t="s">
        <v>128</v>
      </c>
      <c r="E2303" s="3">
        <v>0</v>
      </c>
      <c r="G2303" s="57"/>
    </row>
    <row r="2304" spans="1:7" ht="12.75" x14ac:dyDescent="0.2">
      <c r="A2304" s="3">
        <v>83</v>
      </c>
      <c r="B2304" s="4" t="s">
        <v>157</v>
      </c>
      <c r="C2304" s="3" t="s">
        <v>273</v>
      </c>
      <c r="D2304" s="3" t="s">
        <v>353</v>
      </c>
      <c r="E2304" s="3">
        <v>0</v>
      </c>
      <c r="G2304" s="57"/>
    </row>
    <row r="2305" spans="1:7" ht="12.75" x14ac:dyDescent="0.2">
      <c r="A2305" s="3">
        <v>83</v>
      </c>
      <c r="B2305" s="4" t="s">
        <v>157</v>
      </c>
      <c r="C2305" s="3" t="s">
        <v>273</v>
      </c>
      <c r="D2305" s="3" t="s">
        <v>371</v>
      </c>
      <c r="E2305" s="3">
        <v>0</v>
      </c>
      <c r="G2305" s="57"/>
    </row>
    <row r="2306" spans="1:7" ht="12.75" x14ac:dyDescent="0.2">
      <c r="A2306" s="3">
        <v>83</v>
      </c>
      <c r="B2306" s="4" t="s">
        <v>157</v>
      </c>
      <c r="C2306" s="3" t="s">
        <v>273</v>
      </c>
      <c r="D2306" s="3" t="s">
        <v>14</v>
      </c>
      <c r="E2306" s="3">
        <v>0</v>
      </c>
      <c r="G2306" s="57"/>
    </row>
    <row r="2307" spans="1:7" ht="12.75" x14ac:dyDescent="0.2">
      <c r="A2307" s="3">
        <v>83</v>
      </c>
      <c r="B2307" s="4" t="s">
        <v>157</v>
      </c>
      <c r="C2307" s="3" t="s">
        <v>273</v>
      </c>
      <c r="D2307" s="3" t="s">
        <v>138</v>
      </c>
      <c r="E2307" s="3">
        <v>0</v>
      </c>
      <c r="F2307">
        <f>SUM(E2300:E2307)</f>
        <v>0</v>
      </c>
      <c r="G2307" s="57"/>
    </row>
    <row r="2308" spans="1:7" ht="12.75" x14ac:dyDescent="0.2">
      <c r="A2308" s="3">
        <v>83</v>
      </c>
      <c r="B2308" s="4" t="s">
        <v>157</v>
      </c>
      <c r="C2308" s="3" t="s">
        <v>125</v>
      </c>
      <c r="D2308" s="3" t="s">
        <v>274</v>
      </c>
      <c r="E2308" s="3">
        <v>0</v>
      </c>
      <c r="G2308" s="57"/>
    </row>
    <row r="2309" spans="1:7" ht="12.75" x14ac:dyDescent="0.2">
      <c r="A2309" s="3">
        <v>83</v>
      </c>
      <c r="B2309" s="4" t="s">
        <v>157</v>
      </c>
      <c r="C2309" s="3" t="s">
        <v>125</v>
      </c>
      <c r="D2309" s="3" t="s">
        <v>283</v>
      </c>
      <c r="E2309" s="3">
        <v>0</v>
      </c>
      <c r="G2309" s="57"/>
    </row>
    <row r="2310" spans="1:7" ht="12.75" x14ac:dyDescent="0.2">
      <c r="A2310" s="3">
        <v>83</v>
      </c>
      <c r="B2310" s="4" t="s">
        <v>157</v>
      </c>
      <c r="C2310" s="3" t="s">
        <v>125</v>
      </c>
      <c r="D2310" s="3" t="s">
        <v>315</v>
      </c>
      <c r="E2310" s="3">
        <v>0</v>
      </c>
      <c r="G2310" s="57"/>
    </row>
    <row r="2311" spans="1:7" ht="12.75" x14ac:dyDescent="0.2">
      <c r="A2311" s="3">
        <v>83</v>
      </c>
      <c r="B2311" s="4" t="s">
        <v>157</v>
      </c>
      <c r="C2311" s="3" t="s">
        <v>125</v>
      </c>
      <c r="D2311" s="3" t="s">
        <v>128</v>
      </c>
      <c r="E2311" s="3">
        <v>0</v>
      </c>
      <c r="G2311" s="57"/>
    </row>
    <row r="2312" spans="1:7" ht="12.75" x14ac:dyDescent="0.2">
      <c r="A2312" s="3">
        <v>83</v>
      </c>
      <c r="B2312" s="4" t="s">
        <v>157</v>
      </c>
      <c r="C2312" s="3" t="s">
        <v>125</v>
      </c>
      <c r="D2312" s="3" t="s">
        <v>353</v>
      </c>
      <c r="E2312" s="3">
        <v>0</v>
      </c>
      <c r="G2312" s="57"/>
    </row>
    <row r="2313" spans="1:7" ht="12.75" x14ac:dyDescent="0.2">
      <c r="A2313" s="3">
        <v>83</v>
      </c>
      <c r="B2313" s="4" t="s">
        <v>157</v>
      </c>
      <c r="C2313" s="3" t="s">
        <v>125</v>
      </c>
      <c r="D2313" s="3" t="s">
        <v>371</v>
      </c>
      <c r="E2313" s="3">
        <v>0</v>
      </c>
      <c r="G2313" s="57"/>
    </row>
    <row r="2314" spans="1:7" ht="12.75" x14ac:dyDescent="0.2">
      <c r="A2314" s="3">
        <v>83</v>
      </c>
      <c r="B2314" s="4" t="s">
        <v>157</v>
      </c>
      <c r="C2314" s="3" t="s">
        <v>125</v>
      </c>
      <c r="D2314" s="3" t="s">
        <v>14</v>
      </c>
      <c r="E2314" s="3">
        <v>0</v>
      </c>
      <c r="G2314" s="57"/>
    </row>
    <row r="2315" spans="1:7" ht="12.75" x14ac:dyDescent="0.2">
      <c r="A2315" s="3">
        <v>83</v>
      </c>
      <c r="B2315" s="4" t="s">
        <v>157</v>
      </c>
      <c r="C2315" s="3" t="s">
        <v>125</v>
      </c>
      <c r="D2315" s="3" t="s">
        <v>138</v>
      </c>
      <c r="E2315" s="3">
        <v>0</v>
      </c>
      <c r="F2315">
        <f>SUM(E2308:E2315)</f>
        <v>0</v>
      </c>
      <c r="G2315" s="57"/>
    </row>
    <row r="2316" spans="1:7" ht="12.75" x14ac:dyDescent="0.2">
      <c r="A2316" s="3">
        <v>84</v>
      </c>
      <c r="B2316" s="4" t="s">
        <v>158</v>
      </c>
      <c r="C2316" s="3" t="s">
        <v>347</v>
      </c>
      <c r="D2316" s="3" t="s">
        <v>366</v>
      </c>
      <c r="E2316" s="3">
        <v>0</v>
      </c>
      <c r="G2316" s="59">
        <v>8</v>
      </c>
    </row>
    <row r="2317" spans="1:7" ht="12.75" x14ac:dyDescent="0.2">
      <c r="A2317" s="3">
        <v>84</v>
      </c>
      <c r="B2317" s="4" t="s">
        <v>158</v>
      </c>
      <c r="C2317" s="3" t="s">
        <v>347</v>
      </c>
      <c r="D2317" s="3" t="s">
        <v>274</v>
      </c>
      <c r="E2317" s="3">
        <v>0</v>
      </c>
      <c r="G2317" s="57"/>
    </row>
    <row r="2318" spans="1:7" ht="12.75" x14ac:dyDescent="0.2">
      <c r="A2318" s="3">
        <v>84</v>
      </c>
      <c r="B2318" s="4" t="s">
        <v>158</v>
      </c>
      <c r="C2318" s="3" t="s">
        <v>347</v>
      </c>
      <c r="D2318" s="3" t="s">
        <v>367</v>
      </c>
      <c r="E2318" s="3">
        <v>0</v>
      </c>
      <c r="G2318" s="57"/>
    </row>
    <row r="2319" spans="1:7" ht="12.75" x14ac:dyDescent="0.2">
      <c r="A2319" s="3">
        <v>84</v>
      </c>
      <c r="B2319" s="4" t="s">
        <v>158</v>
      </c>
      <c r="C2319" s="3" t="s">
        <v>347</v>
      </c>
      <c r="D2319" s="3" t="s">
        <v>368</v>
      </c>
      <c r="E2319" s="3">
        <v>0</v>
      </c>
      <c r="G2319" s="57"/>
    </row>
    <row r="2320" spans="1:7" ht="12.75" x14ac:dyDescent="0.2">
      <c r="A2320" s="3">
        <v>84</v>
      </c>
      <c r="B2320" s="4" t="s">
        <v>158</v>
      </c>
      <c r="C2320" s="3" t="s">
        <v>347</v>
      </c>
      <c r="D2320" s="3" t="s">
        <v>283</v>
      </c>
      <c r="E2320" s="3">
        <v>1</v>
      </c>
      <c r="G2320" s="57"/>
    </row>
    <row r="2321" spans="1:7" ht="12.75" x14ac:dyDescent="0.2">
      <c r="A2321" s="3">
        <v>84</v>
      </c>
      <c r="B2321" s="4" t="s">
        <v>158</v>
      </c>
      <c r="C2321" s="3" t="s">
        <v>347</v>
      </c>
      <c r="D2321" s="3" t="s">
        <v>315</v>
      </c>
      <c r="E2321" s="3">
        <v>0</v>
      </c>
      <c r="G2321" s="57"/>
    </row>
    <row r="2322" spans="1:7" ht="12.75" x14ac:dyDescent="0.2">
      <c r="A2322" s="3">
        <v>84</v>
      </c>
      <c r="B2322" s="4" t="s">
        <v>158</v>
      </c>
      <c r="C2322" s="3" t="s">
        <v>347</v>
      </c>
      <c r="D2322" s="3" t="s">
        <v>316</v>
      </c>
      <c r="E2322" s="3">
        <v>0</v>
      </c>
      <c r="G2322" s="57"/>
    </row>
    <row r="2323" spans="1:7" ht="12.75" x14ac:dyDescent="0.2">
      <c r="A2323" s="3">
        <v>84</v>
      </c>
      <c r="B2323" s="4" t="s">
        <v>158</v>
      </c>
      <c r="C2323" s="3" t="s">
        <v>347</v>
      </c>
      <c r="D2323" s="3" t="s">
        <v>369</v>
      </c>
      <c r="E2323" s="3">
        <v>0</v>
      </c>
      <c r="G2323" s="57"/>
    </row>
    <row r="2324" spans="1:7" ht="12.75" x14ac:dyDescent="0.2">
      <c r="A2324" s="3">
        <v>84</v>
      </c>
      <c r="B2324" s="4" t="s">
        <v>158</v>
      </c>
      <c r="C2324" s="3" t="s">
        <v>347</v>
      </c>
      <c r="D2324" s="3" t="s">
        <v>128</v>
      </c>
      <c r="E2324" s="3">
        <v>3</v>
      </c>
      <c r="G2324" s="57"/>
    </row>
    <row r="2325" spans="1:7" ht="12.75" x14ac:dyDescent="0.2">
      <c r="A2325" s="3">
        <v>84</v>
      </c>
      <c r="B2325" s="4" t="s">
        <v>158</v>
      </c>
      <c r="C2325" s="3" t="s">
        <v>347</v>
      </c>
      <c r="D2325" s="3" t="s">
        <v>370</v>
      </c>
      <c r="E2325" s="3">
        <v>0</v>
      </c>
      <c r="G2325" s="57"/>
    </row>
    <row r="2326" spans="1:7" ht="12.75" x14ac:dyDescent="0.2">
      <c r="A2326" s="3">
        <v>84</v>
      </c>
      <c r="B2326" s="4" t="s">
        <v>158</v>
      </c>
      <c r="C2326" s="3" t="s">
        <v>347</v>
      </c>
      <c r="D2326" s="3" t="s">
        <v>353</v>
      </c>
      <c r="E2326" s="3">
        <v>0</v>
      </c>
      <c r="G2326" s="57"/>
    </row>
    <row r="2327" spans="1:7" ht="12.75" x14ac:dyDescent="0.2">
      <c r="A2327" s="3">
        <v>84</v>
      </c>
      <c r="B2327" s="4" t="s">
        <v>158</v>
      </c>
      <c r="C2327" s="3" t="s">
        <v>347</v>
      </c>
      <c r="D2327" s="3" t="s">
        <v>371</v>
      </c>
      <c r="E2327" s="3">
        <v>0</v>
      </c>
      <c r="G2327" s="57"/>
    </row>
    <row r="2328" spans="1:7" ht="18" customHeight="1" x14ac:dyDescent="0.2">
      <c r="A2328" s="3">
        <v>84</v>
      </c>
      <c r="B2328" s="4" t="s">
        <v>158</v>
      </c>
      <c r="C2328" s="3" t="s">
        <v>347</v>
      </c>
      <c r="D2328" s="3" t="s">
        <v>14</v>
      </c>
      <c r="E2328" s="3">
        <v>1</v>
      </c>
      <c r="G2328" s="57"/>
    </row>
    <row r="2329" spans="1:7" ht="18" customHeight="1" x14ac:dyDescent="0.2">
      <c r="A2329" s="3">
        <v>84</v>
      </c>
      <c r="B2329" s="4" t="s">
        <v>158</v>
      </c>
      <c r="C2329" s="3" t="s">
        <v>347</v>
      </c>
      <c r="D2329" s="3" t="s">
        <v>138</v>
      </c>
      <c r="E2329" s="3">
        <v>0</v>
      </c>
      <c r="F2329">
        <f>SUM(E2316:E2329)</f>
        <v>5</v>
      </c>
      <c r="G2329" s="57"/>
    </row>
    <row r="2330" spans="1:7" ht="18" customHeight="1" x14ac:dyDescent="0.2">
      <c r="A2330" s="3">
        <v>84</v>
      </c>
      <c r="B2330" s="4" t="s">
        <v>158</v>
      </c>
      <c r="C2330" s="3" t="s">
        <v>273</v>
      </c>
      <c r="D2330" s="3" t="s">
        <v>274</v>
      </c>
      <c r="E2330" s="3">
        <v>0</v>
      </c>
      <c r="G2330" s="57"/>
    </row>
    <row r="2331" spans="1:7" ht="18" customHeight="1" x14ac:dyDescent="0.2">
      <c r="A2331" s="3">
        <v>84</v>
      </c>
      <c r="B2331" s="4" t="s">
        <v>158</v>
      </c>
      <c r="C2331" s="3" t="s">
        <v>273</v>
      </c>
      <c r="D2331" s="3" t="s">
        <v>283</v>
      </c>
      <c r="E2331" s="3">
        <v>1</v>
      </c>
      <c r="G2331" s="57"/>
    </row>
    <row r="2332" spans="1:7" ht="18" customHeight="1" x14ac:dyDescent="0.2">
      <c r="A2332" s="3">
        <v>84</v>
      </c>
      <c r="B2332" s="4" t="s">
        <v>158</v>
      </c>
      <c r="C2332" s="3" t="s">
        <v>273</v>
      </c>
      <c r="D2332" s="3" t="s">
        <v>315</v>
      </c>
      <c r="E2332" s="3">
        <v>0</v>
      </c>
      <c r="G2332" s="57"/>
    </row>
    <row r="2333" spans="1:7" ht="18" customHeight="1" x14ac:dyDescent="0.2">
      <c r="A2333" s="3">
        <v>84</v>
      </c>
      <c r="B2333" s="4" t="s">
        <v>158</v>
      </c>
      <c r="C2333" s="3" t="s">
        <v>273</v>
      </c>
      <c r="D2333" s="3" t="s">
        <v>128</v>
      </c>
      <c r="E2333" s="3">
        <v>3</v>
      </c>
      <c r="G2333" s="57"/>
    </row>
    <row r="2334" spans="1:7" ht="18" customHeight="1" x14ac:dyDescent="0.2">
      <c r="A2334" s="3">
        <v>84</v>
      </c>
      <c r="B2334" s="4" t="s">
        <v>158</v>
      </c>
      <c r="C2334" s="3" t="s">
        <v>273</v>
      </c>
      <c r="D2334" s="3" t="s">
        <v>353</v>
      </c>
      <c r="E2334" s="3">
        <v>0</v>
      </c>
      <c r="G2334" s="57"/>
    </row>
    <row r="2335" spans="1:7" ht="18" customHeight="1" x14ac:dyDescent="0.2">
      <c r="A2335" s="3">
        <v>84</v>
      </c>
      <c r="B2335" s="4" t="s">
        <v>158</v>
      </c>
      <c r="C2335" s="3" t="s">
        <v>273</v>
      </c>
      <c r="D2335" s="3" t="s">
        <v>371</v>
      </c>
      <c r="E2335" s="3">
        <v>0</v>
      </c>
      <c r="G2335" s="57"/>
    </row>
    <row r="2336" spans="1:7" ht="18" customHeight="1" x14ac:dyDescent="0.2">
      <c r="A2336" s="3">
        <v>84</v>
      </c>
      <c r="B2336" s="4" t="s">
        <v>158</v>
      </c>
      <c r="C2336" s="3" t="s">
        <v>273</v>
      </c>
      <c r="D2336" s="3" t="s">
        <v>14</v>
      </c>
      <c r="E2336" s="3">
        <v>1</v>
      </c>
      <c r="G2336" s="57"/>
    </row>
    <row r="2337" spans="1:7" ht="18" customHeight="1" x14ac:dyDescent="0.2">
      <c r="A2337" s="3">
        <v>84</v>
      </c>
      <c r="B2337" s="4" t="s">
        <v>158</v>
      </c>
      <c r="C2337" s="3" t="s">
        <v>273</v>
      </c>
      <c r="D2337" s="3" t="s">
        <v>138</v>
      </c>
      <c r="E2337" s="3">
        <v>0</v>
      </c>
      <c r="F2337">
        <f>SUM(E2330:E2337)</f>
        <v>5</v>
      </c>
      <c r="G2337" s="57"/>
    </row>
    <row r="2338" spans="1:7" ht="18" customHeight="1" x14ac:dyDescent="0.2">
      <c r="A2338" s="3">
        <v>84</v>
      </c>
      <c r="B2338" s="4" t="s">
        <v>158</v>
      </c>
      <c r="C2338" s="3" t="s">
        <v>125</v>
      </c>
      <c r="D2338" s="3" t="s">
        <v>274</v>
      </c>
      <c r="E2338" s="3">
        <v>0</v>
      </c>
      <c r="G2338" s="57"/>
    </row>
    <row r="2339" spans="1:7" ht="18" customHeight="1" x14ac:dyDescent="0.2">
      <c r="A2339" s="3">
        <v>84</v>
      </c>
      <c r="B2339" s="4" t="s">
        <v>158</v>
      </c>
      <c r="C2339" s="3" t="s">
        <v>125</v>
      </c>
      <c r="D2339" s="3" t="s">
        <v>283</v>
      </c>
      <c r="E2339" s="3">
        <v>1</v>
      </c>
      <c r="G2339" s="57"/>
    </row>
    <row r="2340" spans="1:7" ht="18" customHeight="1" x14ac:dyDescent="0.2">
      <c r="A2340" s="3">
        <v>84</v>
      </c>
      <c r="B2340" s="4" t="s">
        <v>158</v>
      </c>
      <c r="C2340" s="3" t="s">
        <v>125</v>
      </c>
      <c r="D2340" s="3" t="s">
        <v>315</v>
      </c>
      <c r="E2340" s="3">
        <v>0</v>
      </c>
      <c r="G2340" s="57"/>
    </row>
    <row r="2341" spans="1:7" ht="18" customHeight="1" x14ac:dyDescent="0.2">
      <c r="A2341" s="3">
        <v>84</v>
      </c>
      <c r="B2341" s="4" t="s">
        <v>158</v>
      </c>
      <c r="C2341" s="3" t="s">
        <v>125</v>
      </c>
      <c r="D2341" s="3" t="s">
        <v>128</v>
      </c>
      <c r="E2341" s="3">
        <v>3</v>
      </c>
      <c r="G2341" s="57"/>
    </row>
    <row r="2342" spans="1:7" ht="18" customHeight="1" x14ac:dyDescent="0.2">
      <c r="A2342" s="3">
        <v>84</v>
      </c>
      <c r="B2342" s="4" t="s">
        <v>158</v>
      </c>
      <c r="C2342" s="3" t="s">
        <v>125</v>
      </c>
      <c r="D2342" s="3" t="s">
        <v>353</v>
      </c>
      <c r="E2342" s="3">
        <v>0</v>
      </c>
      <c r="G2342" s="57"/>
    </row>
    <row r="2343" spans="1:7" ht="18" customHeight="1" x14ac:dyDescent="0.2">
      <c r="A2343" s="3">
        <v>84</v>
      </c>
      <c r="B2343" s="4" t="s">
        <v>158</v>
      </c>
      <c r="C2343" s="3" t="s">
        <v>125</v>
      </c>
      <c r="D2343" s="3" t="s">
        <v>371</v>
      </c>
      <c r="E2343" s="3">
        <v>0</v>
      </c>
      <c r="G2343" s="57"/>
    </row>
    <row r="2344" spans="1:7" ht="18" customHeight="1" x14ac:dyDescent="0.2">
      <c r="A2344" s="3">
        <v>84</v>
      </c>
      <c r="B2344" s="4" t="s">
        <v>158</v>
      </c>
      <c r="C2344" s="3" t="s">
        <v>125</v>
      </c>
      <c r="D2344" s="3" t="s">
        <v>14</v>
      </c>
      <c r="E2344" s="3">
        <v>1</v>
      </c>
      <c r="G2344" s="57"/>
    </row>
    <row r="2345" spans="1:7" ht="18" customHeight="1" x14ac:dyDescent="0.2">
      <c r="A2345" s="3">
        <v>84</v>
      </c>
      <c r="B2345" s="4" t="s">
        <v>158</v>
      </c>
      <c r="C2345" s="3" t="s">
        <v>125</v>
      </c>
      <c r="D2345" s="3" t="s">
        <v>138</v>
      </c>
      <c r="E2345" s="3">
        <v>0</v>
      </c>
      <c r="F2345">
        <f>SUM(E2338:E2345)</f>
        <v>5</v>
      </c>
      <c r="G2345" s="57"/>
    </row>
    <row r="2346" spans="1:7" ht="18" customHeight="1" x14ac:dyDescent="0.2">
      <c r="A2346" s="3">
        <v>85</v>
      </c>
      <c r="B2346" s="4" t="s">
        <v>159</v>
      </c>
      <c r="C2346" s="3" t="s">
        <v>347</v>
      </c>
      <c r="D2346" s="3" t="s">
        <v>366</v>
      </c>
      <c r="E2346" s="3">
        <v>0</v>
      </c>
      <c r="G2346" s="59">
        <v>3</v>
      </c>
    </row>
    <row r="2347" spans="1:7" ht="18" customHeight="1" x14ac:dyDescent="0.2">
      <c r="A2347" s="3">
        <v>85</v>
      </c>
      <c r="B2347" s="4" t="s">
        <v>159</v>
      </c>
      <c r="C2347" s="3" t="s">
        <v>347</v>
      </c>
      <c r="D2347" s="3" t="s">
        <v>274</v>
      </c>
      <c r="E2347" s="3">
        <v>0</v>
      </c>
      <c r="G2347" s="57"/>
    </row>
    <row r="2348" spans="1:7" ht="18" customHeight="1" x14ac:dyDescent="0.2">
      <c r="A2348" s="3">
        <v>85</v>
      </c>
      <c r="B2348" s="4" t="s">
        <v>159</v>
      </c>
      <c r="C2348" s="3" t="s">
        <v>347</v>
      </c>
      <c r="D2348" s="3" t="s">
        <v>367</v>
      </c>
      <c r="E2348" s="3">
        <v>0</v>
      </c>
      <c r="G2348" s="57"/>
    </row>
    <row r="2349" spans="1:7" ht="18" customHeight="1" x14ac:dyDescent="0.2">
      <c r="A2349" s="3">
        <v>85</v>
      </c>
      <c r="B2349" s="4" t="s">
        <v>159</v>
      </c>
      <c r="C2349" s="3" t="s">
        <v>347</v>
      </c>
      <c r="D2349" s="3" t="s">
        <v>368</v>
      </c>
      <c r="E2349" s="3">
        <v>0</v>
      </c>
      <c r="G2349" s="57"/>
    </row>
    <row r="2350" spans="1:7" ht="12.75" x14ac:dyDescent="0.2">
      <c r="A2350" s="3">
        <v>85</v>
      </c>
      <c r="B2350" s="4" t="s">
        <v>159</v>
      </c>
      <c r="C2350" s="3" t="s">
        <v>347</v>
      </c>
      <c r="D2350" s="3" t="s">
        <v>283</v>
      </c>
      <c r="E2350" s="3">
        <v>0</v>
      </c>
      <c r="G2350" s="57"/>
    </row>
    <row r="2351" spans="1:7" ht="12.75" x14ac:dyDescent="0.2">
      <c r="A2351" s="3">
        <v>85</v>
      </c>
      <c r="B2351" s="4" t="s">
        <v>159</v>
      </c>
      <c r="C2351" s="3" t="s">
        <v>347</v>
      </c>
      <c r="D2351" s="3" t="s">
        <v>315</v>
      </c>
      <c r="E2351" s="3">
        <v>0</v>
      </c>
      <c r="G2351" s="57"/>
    </row>
    <row r="2352" spans="1:7" ht="12.75" x14ac:dyDescent="0.2">
      <c r="A2352" s="3">
        <v>85</v>
      </c>
      <c r="B2352" s="4" t="s">
        <v>159</v>
      </c>
      <c r="C2352" s="3" t="s">
        <v>347</v>
      </c>
      <c r="D2352" s="3" t="s">
        <v>316</v>
      </c>
      <c r="E2352" s="3">
        <v>0</v>
      </c>
      <c r="G2352" s="57"/>
    </row>
    <row r="2353" spans="1:7" ht="12.75" x14ac:dyDescent="0.2">
      <c r="A2353" s="3">
        <v>85</v>
      </c>
      <c r="B2353" s="4" t="s">
        <v>159</v>
      </c>
      <c r="C2353" s="3" t="s">
        <v>347</v>
      </c>
      <c r="D2353" s="3" t="s">
        <v>369</v>
      </c>
      <c r="E2353" s="3">
        <v>0</v>
      </c>
      <c r="G2353" s="57"/>
    </row>
    <row r="2354" spans="1:7" ht="12.75" x14ac:dyDescent="0.2">
      <c r="A2354" s="3">
        <v>85</v>
      </c>
      <c r="B2354" s="4" t="s">
        <v>159</v>
      </c>
      <c r="C2354" s="3" t="s">
        <v>347</v>
      </c>
      <c r="D2354" s="3" t="s">
        <v>128</v>
      </c>
      <c r="E2354" s="3">
        <v>1</v>
      </c>
      <c r="G2354" s="57"/>
    </row>
    <row r="2355" spans="1:7" ht="12.75" x14ac:dyDescent="0.2">
      <c r="A2355" s="3">
        <v>85</v>
      </c>
      <c r="B2355" s="4" t="s">
        <v>159</v>
      </c>
      <c r="C2355" s="3" t="s">
        <v>347</v>
      </c>
      <c r="D2355" s="3" t="s">
        <v>370</v>
      </c>
      <c r="E2355" s="3">
        <v>0</v>
      </c>
      <c r="G2355" s="57"/>
    </row>
    <row r="2356" spans="1:7" ht="12.75" x14ac:dyDescent="0.2">
      <c r="A2356" s="3">
        <v>85</v>
      </c>
      <c r="B2356" s="4" t="s">
        <v>159</v>
      </c>
      <c r="C2356" s="3" t="s">
        <v>347</v>
      </c>
      <c r="D2356" s="3" t="s">
        <v>353</v>
      </c>
      <c r="E2356" s="3">
        <v>0</v>
      </c>
      <c r="G2356" s="57"/>
    </row>
    <row r="2357" spans="1:7" ht="12.75" x14ac:dyDescent="0.2">
      <c r="A2357" s="3">
        <v>85</v>
      </c>
      <c r="B2357" s="4" t="s">
        <v>159</v>
      </c>
      <c r="C2357" s="3" t="s">
        <v>347</v>
      </c>
      <c r="D2357" s="3" t="s">
        <v>371</v>
      </c>
      <c r="E2357" s="3">
        <v>1</v>
      </c>
      <c r="G2357" s="57"/>
    </row>
    <row r="2358" spans="1:7" ht="12.75" x14ac:dyDescent="0.2">
      <c r="A2358" s="3">
        <v>85</v>
      </c>
      <c r="B2358" s="4" t="s">
        <v>159</v>
      </c>
      <c r="C2358" s="3" t="s">
        <v>347</v>
      </c>
      <c r="D2358" s="3" t="s">
        <v>14</v>
      </c>
      <c r="E2358" s="3">
        <v>0</v>
      </c>
      <c r="G2358" s="57"/>
    </row>
    <row r="2359" spans="1:7" ht="12.75" x14ac:dyDescent="0.2">
      <c r="A2359" s="3">
        <v>85</v>
      </c>
      <c r="B2359" s="4" t="s">
        <v>159</v>
      </c>
      <c r="C2359" s="3" t="s">
        <v>347</v>
      </c>
      <c r="D2359" s="3" t="s">
        <v>138</v>
      </c>
      <c r="E2359" s="3">
        <v>0</v>
      </c>
      <c r="F2359">
        <f>SUM(E2346:E2359)</f>
        <v>2</v>
      </c>
      <c r="G2359" s="57"/>
    </row>
    <row r="2360" spans="1:7" ht="12.75" x14ac:dyDescent="0.2">
      <c r="A2360" s="3">
        <v>85</v>
      </c>
      <c r="B2360" s="4" t="s">
        <v>159</v>
      </c>
      <c r="C2360" s="3" t="s">
        <v>273</v>
      </c>
      <c r="D2360" s="3" t="s">
        <v>274</v>
      </c>
      <c r="E2360" s="3">
        <v>1</v>
      </c>
      <c r="G2360" s="57"/>
    </row>
    <row r="2361" spans="1:7" ht="12.75" x14ac:dyDescent="0.2">
      <c r="A2361" s="3">
        <v>85</v>
      </c>
      <c r="B2361" s="4" t="s">
        <v>159</v>
      </c>
      <c r="C2361" s="3" t="s">
        <v>273</v>
      </c>
      <c r="D2361" s="3" t="s">
        <v>283</v>
      </c>
      <c r="E2361" s="3">
        <v>0</v>
      </c>
      <c r="G2361" s="57"/>
    </row>
    <row r="2362" spans="1:7" ht="12.75" x14ac:dyDescent="0.2">
      <c r="A2362" s="3">
        <v>85</v>
      </c>
      <c r="B2362" s="4" t="s">
        <v>159</v>
      </c>
      <c r="C2362" s="3" t="s">
        <v>273</v>
      </c>
      <c r="D2362" s="3" t="s">
        <v>315</v>
      </c>
      <c r="E2362" s="3">
        <v>0</v>
      </c>
      <c r="G2362" s="57"/>
    </row>
    <row r="2363" spans="1:7" ht="12.75" x14ac:dyDescent="0.2">
      <c r="A2363" s="3">
        <v>85</v>
      </c>
      <c r="B2363" s="4" t="s">
        <v>159</v>
      </c>
      <c r="C2363" s="3" t="s">
        <v>273</v>
      </c>
      <c r="D2363" s="3" t="s">
        <v>128</v>
      </c>
      <c r="E2363" s="3">
        <v>0</v>
      </c>
      <c r="G2363" s="57"/>
    </row>
    <row r="2364" spans="1:7" ht="12.75" x14ac:dyDescent="0.2">
      <c r="A2364" s="3">
        <v>85</v>
      </c>
      <c r="B2364" s="4" t="s">
        <v>159</v>
      </c>
      <c r="C2364" s="3" t="s">
        <v>273</v>
      </c>
      <c r="D2364" s="3" t="s">
        <v>353</v>
      </c>
      <c r="E2364" s="3">
        <v>0</v>
      </c>
      <c r="G2364" s="57"/>
    </row>
    <row r="2365" spans="1:7" ht="12.75" x14ac:dyDescent="0.2">
      <c r="A2365" s="3">
        <v>85</v>
      </c>
      <c r="B2365" s="4" t="s">
        <v>159</v>
      </c>
      <c r="C2365" s="3" t="s">
        <v>273</v>
      </c>
      <c r="D2365" s="3" t="s">
        <v>371</v>
      </c>
      <c r="E2365" s="3">
        <v>1</v>
      </c>
      <c r="G2365" s="57"/>
    </row>
    <row r="2366" spans="1:7" ht="12.75" x14ac:dyDescent="0.2">
      <c r="A2366" s="3">
        <v>85</v>
      </c>
      <c r="B2366" s="4" t="s">
        <v>159</v>
      </c>
      <c r="C2366" s="3" t="s">
        <v>273</v>
      </c>
      <c r="D2366" s="3" t="s">
        <v>14</v>
      </c>
      <c r="E2366" s="3">
        <v>0</v>
      </c>
      <c r="G2366" s="57"/>
    </row>
    <row r="2367" spans="1:7" ht="12.75" x14ac:dyDescent="0.2">
      <c r="A2367" s="3">
        <v>85</v>
      </c>
      <c r="B2367" s="4" t="s">
        <v>159</v>
      </c>
      <c r="C2367" s="3" t="s">
        <v>273</v>
      </c>
      <c r="D2367" s="3" t="s">
        <v>138</v>
      </c>
      <c r="E2367" s="3">
        <v>0</v>
      </c>
      <c r="F2367">
        <f>SUM(E2360:E2367)</f>
        <v>2</v>
      </c>
      <c r="G2367" s="57"/>
    </row>
    <row r="2368" spans="1:7" ht="12.75" x14ac:dyDescent="0.2">
      <c r="A2368" s="3">
        <v>85</v>
      </c>
      <c r="B2368" s="4" t="s">
        <v>159</v>
      </c>
      <c r="C2368" s="3" t="s">
        <v>125</v>
      </c>
      <c r="D2368" s="3" t="s">
        <v>274</v>
      </c>
      <c r="E2368" s="3">
        <v>0</v>
      </c>
      <c r="G2368" s="57"/>
    </row>
    <row r="2369" spans="1:7" ht="12.75" x14ac:dyDescent="0.2">
      <c r="A2369" s="3">
        <v>85</v>
      </c>
      <c r="B2369" s="4" t="s">
        <v>159</v>
      </c>
      <c r="C2369" s="3" t="s">
        <v>125</v>
      </c>
      <c r="D2369" s="3" t="s">
        <v>283</v>
      </c>
      <c r="E2369" s="3">
        <v>0</v>
      </c>
      <c r="G2369" s="57"/>
    </row>
    <row r="2370" spans="1:7" ht="12.75" x14ac:dyDescent="0.2">
      <c r="A2370" s="3">
        <v>85</v>
      </c>
      <c r="B2370" s="4" t="s">
        <v>159</v>
      </c>
      <c r="C2370" s="3" t="s">
        <v>125</v>
      </c>
      <c r="D2370" s="3" t="s">
        <v>315</v>
      </c>
      <c r="E2370" s="3">
        <v>0</v>
      </c>
      <c r="G2370" s="57"/>
    </row>
    <row r="2371" spans="1:7" ht="12.75" x14ac:dyDescent="0.2">
      <c r="A2371" s="3">
        <v>85</v>
      </c>
      <c r="B2371" s="4" t="s">
        <v>159</v>
      </c>
      <c r="C2371" s="3" t="s">
        <v>125</v>
      </c>
      <c r="D2371" s="3" t="s">
        <v>128</v>
      </c>
      <c r="E2371" s="3">
        <v>0</v>
      </c>
      <c r="G2371" s="57"/>
    </row>
    <row r="2372" spans="1:7" ht="12.75" x14ac:dyDescent="0.2">
      <c r="A2372" s="3">
        <v>85</v>
      </c>
      <c r="B2372" s="4" t="s">
        <v>159</v>
      </c>
      <c r="C2372" s="3" t="s">
        <v>125</v>
      </c>
      <c r="D2372" s="3" t="s">
        <v>353</v>
      </c>
      <c r="E2372" s="3">
        <v>0</v>
      </c>
      <c r="G2372" s="57"/>
    </row>
    <row r="2373" spans="1:7" ht="12.75" x14ac:dyDescent="0.2">
      <c r="A2373" s="3">
        <v>85</v>
      </c>
      <c r="B2373" s="4" t="s">
        <v>159</v>
      </c>
      <c r="C2373" s="3" t="s">
        <v>125</v>
      </c>
      <c r="D2373" s="3" t="s">
        <v>371</v>
      </c>
      <c r="E2373" s="3">
        <v>0</v>
      </c>
      <c r="G2373" s="57"/>
    </row>
    <row r="2374" spans="1:7" ht="12.75" x14ac:dyDescent="0.2">
      <c r="A2374" s="3">
        <v>85</v>
      </c>
      <c r="B2374" s="4" t="s">
        <v>159</v>
      </c>
      <c r="C2374" s="3" t="s">
        <v>125</v>
      </c>
      <c r="D2374" s="3" t="s">
        <v>14</v>
      </c>
      <c r="E2374" s="3">
        <v>2</v>
      </c>
      <c r="G2374" s="57"/>
    </row>
    <row r="2375" spans="1:7" ht="12.75" x14ac:dyDescent="0.2">
      <c r="A2375" s="3">
        <v>85</v>
      </c>
      <c r="B2375" s="4" t="s">
        <v>159</v>
      </c>
      <c r="C2375" s="3" t="s">
        <v>125</v>
      </c>
      <c r="D2375" s="3" t="s">
        <v>138</v>
      </c>
      <c r="E2375" s="3">
        <v>0</v>
      </c>
      <c r="F2375">
        <f>SUM(E2368:E2375)</f>
        <v>2</v>
      </c>
      <c r="G2375" s="57"/>
    </row>
    <row r="2376" spans="1:7" ht="12.75" x14ac:dyDescent="0.2">
      <c r="A2376" s="3">
        <v>87</v>
      </c>
      <c r="B2376" s="4" t="s">
        <v>107</v>
      </c>
      <c r="C2376" s="3" t="s">
        <v>347</v>
      </c>
      <c r="D2376" s="3" t="s">
        <v>366</v>
      </c>
      <c r="E2376" s="3">
        <v>0</v>
      </c>
      <c r="G2376" s="59">
        <v>992</v>
      </c>
    </row>
    <row r="2377" spans="1:7" ht="12.75" x14ac:dyDescent="0.2">
      <c r="A2377" s="3">
        <v>87</v>
      </c>
      <c r="B2377" s="4" t="s">
        <v>107</v>
      </c>
      <c r="C2377" s="3" t="s">
        <v>347</v>
      </c>
      <c r="D2377" s="3" t="s">
        <v>274</v>
      </c>
      <c r="E2377" s="3">
        <v>0</v>
      </c>
      <c r="G2377" s="57"/>
    </row>
    <row r="2378" spans="1:7" ht="12.75" x14ac:dyDescent="0.2">
      <c r="A2378" s="3">
        <v>87</v>
      </c>
      <c r="B2378" s="4" t="s">
        <v>107</v>
      </c>
      <c r="C2378" s="3" t="s">
        <v>347</v>
      </c>
      <c r="D2378" s="3" t="s">
        <v>367</v>
      </c>
      <c r="E2378" s="3">
        <v>1</v>
      </c>
      <c r="G2378" s="57"/>
    </row>
    <row r="2379" spans="1:7" ht="12.75" x14ac:dyDescent="0.2">
      <c r="A2379" s="3">
        <v>87</v>
      </c>
      <c r="B2379" s="4" t="s">
        <v>107</v>
      </c>
      <c r="C2379" s="3" t="s">
        <v>347</v>
      </c>
      <c r="D2379" s="3" t="s">
        <v>368</v>
      </c>
      <c r="E2379" s="3">
        <v>0</v>
      </c>
      <c r="G2379" s="57"/>
    </row>
    <row r="2380" spans="1:7" ht="12.75" x14ac:dyDescent="0.2">
      <c r="A2380" s="3">
        <v>87</v>
      </c>
      <c r="B2380" s="4" t="s">
        <v>107</v>
      </c>
      <c r="C2380" s="3" t="s">
        <v>347</v>
      </c>
      <c r="D2380" s="3" t="s">
        <v>283</v>
      </c>
      <c r="E2380" s="3">
        <v>392</v>
      </c>
      <c r="G2380" s="57"/>
    </row>
    <row r="2381" spans="1:7" ht="12.75" x14ac:dyDescent="0.2">
      <c r="A2381" s="3">
        <v>87</v>
      </c>
      <c r="B2381" s="4" t="s">
        <v>107</v>
      </c>
      <c r="C2381" s="3" t="s">
        <v>347</v>
      </c>
      <c r="D2381" s="3" t="s">
        <v>315</v>
      </c>
      <c r="E2381" s="3">
        <v>7</v>
      </c>
      <c r="G2381" s="57"/>
    </row>
    <row r="2382" spans="1:7" ht="12.75" x14ac:dyDescent="0.2">
      <c r="A2382" s="3">
        <v>87</v>
      </c>
      <c r="B2382" s="4" t="s">
        <v>107</v>
      </c>
      <c r="C2382" s="3" t="s">
        <v>347</v>
      </c>
      <c r="D2382" s="3" t="s">
        <v>316</v>
      </c>
      <c r="E2382" s="3">
        <v>25</v>
      </c>
      <c r="G2382" s="57"/>
    </row>
    <row r="2383" spans="1:7" ht="12.75" x14ac:dyDescent="0.2">
      <c r="A2383" s="3">
        <v>87</v>
      </c>
      <c r="B2383" s="4" t="s">
        <v>107</v>
      </c>
      <c r="C2383" s="3" t="s">
        <v>347</v>
      </c>
      <c r="D2383" s="3" t="s">
        <v>369</v>
      </c>
      <c r="E2383" s="3">
        <v>2</v>
      </c>
      <c r="G2383" s="57"/>
    </row>
    <row r="2384" spans="1:7" ht="12.75" x14ac:dyDescent="0.2">
      <c r="A2384" s="3">
        <v>87</v>
      </c>
      <c r="B2384" s="4" t="s">
        <v>107</v>
      </c>
      <c r="C2384" s="3" t="s">
        <v>347</v>
      </c>
      <c r="D2384" s="3" t="s">
        <v>128</v>
      </c>
      <c r="E2384" s="3">
        <v>274</v>
      </c>
      <c r="G2384" s="57"/>
    </row>
    <row r="2385" spans="1:7" ht="12.75" x14ac:dyDescent="0.2">
      <c r="A2385" s="3">
        <v>87</v>
      </c>
      <c r="B2385" s="4" t="s">
        <v>107</v>
      </c>
      <c r="C2385" s="3" t="s">
        <v>347</v>
      </c>
      <c r="D2385" s="3" t="s">
        <v>370</v>
      </c>
      <c r="E2385" s="3">
        <v>2</v>
      </c>
      <c r="G2385" s="57"/>
    </row>
    <row r="2386" spans="1:7" ht="12.75" x14ac:dyDescent="0.2">
      <c r="A2386" s="3">
        <v>87</v>
      </c>
      <c r="B2386" s="4" t="s">
        <v>107</v>
      </c>
      <c r="C2386" s="3" t="s">
        <v>347</v>
      </c>
      <c r="D2386" s="3" t="s">
        <v>353</v>
      </c>
      <c r="E2386" s="3">
        <v>8</v>
      </c>
      <c r="G2386" s="57"/>
    </row>
    <row r="2387" spans="1:7" ht="12.75" x14ac:dyDescent="0.2">
      <c r="A2387" s="3">
        <v>87</v>
      </c>
      <c r="B2387" s="4" t="s">
        <v>107</v>
      </c>
      <c r="C2387" s="3" t="s">
        <v>347</v>
      </c>
      <c r="D2387" s="3" t="s">
        <v>371</v>
      </c>
      <c r="E2387" s="3">
        <v>83</v>
      </c>
      <c r="G2387" s="57"/>
    </row>
    <row r="2388" spans="1:7" ht="12.75" x14ac:dyDescent="0.2">
      <c r="A2388" s="3">
        <v>87</v>
      </c>
      <c r="B2388" s="4" t="s">
        <v>107</v>
      </c>
      <c r="C2388" s="3" t="s">
        <v>347</v>
      </c>
      <c r="D2388" s="3" t="s">
        <v>14</v>
      </c>
      <c r="E2388" s="3">
        <v>12</v>
      </c>
      <c r="G2388" s="57"/>
    </row>
    <row r="2389" spans="1:7" ht="12.75" x14ac:dyDescent="0.2">
      <c r="A2389" s="3">
        <v>87</v>
      </c>
      <c r="B2389" s="4" t="s">
        <v>107</v>
      </c>
      <c r="C2389" s="3" t="s">
        <v>347</v>
      </c>
      <c r="D2389" s="3" t="s">
        <v>138</v>
      </c>
      <c r="E2389" s="3">
        <v>4</v>
      </c>
      <c r="F2389">
        <f>SUM(E2376:E2389)</f>
        <v>810</v>
      </c>
      <c r="G2389" s="57"/>
    </row>
    <row r="2390" spans="1:7" ht="12.75" x14ac:dyDescent="0.2">
      <c r="A2390" s="3">
        <v>87</v>
      </c>
      <c r="B2390" s="4" t="s">
        <v>107</v>
      </c>
      <c r="C2390" s="3" t="s">
        <v>273</v>
      </c>
      <c r="D2390" s="3" t="s">
        <v>274</v>
      </c>
      <c r="E2390" s="3">
        <v>2</v>
      </c>
      <c r="G2390" s="57"/>
    </row>
    <row r="2391" spans="1:7" ht="12.75" x14ac:dyDescent="0.2">
      <c r="A2391" s="3">
        <v>87</v>
      </c>
      <c r="B2391" s="4" t="s">
        <v>107</v>
      </c>
      <c r="C2391" s="3" t="s">
        <v>273</v>
      </c>
      <c r="D2391" s="3" t="s">
        <v>283</v>
      </c>
      <c r="E2391" s="3">
        <v>430</v>
      </c>
      <c r="G2391" s="57"/>
    </row>
    <row r="2392" spans="1:7" ht="12.75" x14ac:dyDescent="0.2">
      <c r="A2392" s="3">
        <v>87</v>
      </c>
      <c r="B2392" s="4" t="s">
        <v>107</v>
      </c>
      <c r="C2392" s="3" t="s">
        <v>273</v>
      </c>
      <c r="D2392" s="3" t="s">
        <v>315</v>
      </c>
      <c r="E2392" s="3">
        <v>7</v>
      </c>
      <c r="G2392" s="57"/>
    </row>
    <row r="2393" spans="1:7" ht="12.75" x14ac:dyDescent="0.2">
      <c r="A2393" s="3">
        <v>87</v>
      </c>
      <c r="B2393" s="4" t="s">
        <v>107</v>
      </c>
      <c r="C2393" s="3" t="s">
        <v>273</v>
      </c>
      <c r="D2393" s="3" t="s">
        <v>128</v>
      </c>
      <c r="E2393" s="3">
        <v>264</v>
      </c>
      <c r="G2393" s="57"/>
    </row>
    <row r="2394" spans="1:7" ht="12.75" x14ac:dyDescent="0.2">
      <c r="A2394" s="3">
        <v>87</v>
      </c>
      <c r="B2394" s="4" t="s">
        <v>107</v>
      </c>
      <c r="C2394" s="3" t="s">
        <v>273</v>
      </c>
      <c r="D2394" s="3" t="s">
        <v>353</v>
      </c>
      <c r="E2394" s="3">
        <v>2</v>
      </c>
      <c r="G2394" s="57"/>
    </row>
    <row r="2395" spans="1:7" ht="12.75" x14ac:dyDescent="0.2">
      <c r="A2395" s="3">
        <v>87</v>
      </c>
      <c r="B2395" s="4" t="s">
        <v>107</v>
      </c>
      <c r="C2395" s="3" t="s">
        <v>273</v>
      </c>
      <c r="D2395" s="3" t="s">
        <v>371</v>
      </c>
      <c r="E2395" s="3">
        <v>58</v>
      </c>
      <c r="G2395" s="57"/>
    </row>
    <row r="2396" spans="1:7" ht="12.75" x14ac:dyDescent="0.2">
      <c r="A2396" s="3">
        <v>87</v>
      </c>
      <c r="B2396" s="4" t="s">
        <v>107</v>
      </c>
      <c r="C2396" s="3" t="s">
        <v>273</v>
      </c>
      <c r="D2396" s="3" t="s">
        <v>14</v>
      </c>
      <c r="E2396" s="3">
        <v>44</v>
      </c>
      <c r="G2396" s="57"/>
    </row>
    <row r="2397" spans="1:7" ht="12.75" x14ac:dyDescent="0.2">
      <c r="A2397" s="3">
        <v>87</v>
      </c>
      <c r="B2397" s="4" t="s">
        <v>107</v>
      </c>
      <c r="C2397" s="3" t="s">
        <v>273</v>
      </c>
      <c r="D2397" s="3" t="s">
        <v>138</v>
      </c>
      <c r="E2397" s="3">
        <v>3</v>
      </c>
      <c r="F2397">
        <f>SUM(E2390:E2397)</f>
        <v>810</v>
      </c>
      <c r="G2397" s="57"/>
    </row>
    <row r="2398" spans="1:7" ht="12.75" x14ac:dyDescent="0.2">
      <c r="A2398" s="3">
        <v>87</v>
      </c>
      <c r="B2398" s="4" t="s">
        <v>107</v>
      </c>
      <c r="C2398" s="3" t="s">
        <v>125</v>
      </c>
      <c r="D2398" s="3" t="s">
        <v>274</v>
      </c>
      <c r="E2398" s="3">
        <v>2</v>
      </c>
      <c r="G2398" s="57"/>
    </row>
    <row r="2399" spans="1:7" ht="12.75" x14ac:dyDescent="0.2">
      <c r="A2399" s="3">
        <v>87</v>
      </c>
      <c r="B2399" s="4" t="s">
        <v>107</v>
      </c>
      <c r="C2399" s="3" t="s">
        <v>125</v>
      </c>
      <c r="D2399" s="3" t="s">
        <v>283</v>
      </c>
      <c r="E2399" s="3">
        <v>426</v>
      </c>
      <c r="G2399" s="57"/>
    </row>
    <row r="2400" spans="1:7" ht="12.75" x14ac:dyDescent="0.2">
      <c r="A2400" s="3">
        <v>87</v>
      </c>
      <c r="B2400" s="4" t="s">
        <v>107</v>
      </c>
      <c r="C2400" s="3" t="s">
        <v>125</v>
      </c>
      <c r="D2400" s="3" t="s">
        <v>315</v>
      </c>
      <c r="E2400" s="3">
        <v>8</v>
      </c>
      <c r="G2400" s="57"/>
    </row>
    <row r="2401" spans="1:7" ht="12.75" x14ac:dyDescent="0.2">
      <c r="A2401" s="3">
        <v>87</v>
      </c>
      <c r="B2401" s="4" t="s">
        <v>107</v>
      </c>
      <c r="C2401" s="3" t="s">
        <v>125</v>
      </c>
      <c r="D2401" s="3" t="s">
        <v>128</v>
      </c>
      <c r="E2401" s="3">
        <v>265</v>
      </c>
      <c r="G2401" s="57"/>
    </row>
    <row r="2402" spans="1:7" ht="12.75" x14ac:dyDescent="0.2">
      <c r="A2402" s="3">
        <v>87</v>
      </c>
      <c r="B2402" s="4" t="s">
        <v>107</v>
      </c>
      <c r="C2402" s="3" t="s">
        <v>125</v>
      </c>
      <c r="D2402" s="3" t="s">
        <v>353</v>
      </c>
      <c r="E2402" s="3">
        <v>2</v>
      </c>
      <c r="G2402" s="57"/>
    </row>
    <row r="2403" spans="1:7" ht="12.75" x14ac:dyDescent="0.2">
      <c r="A2403" s="3">
        <v>87</v>
      </c>
      <c r="B2403" s="4" t="s">
        <v>107</v>
      </c>
      <c r="C2403" s="3" t="s">
        <v>125</v>
      </c>
      <c r="D2403" s="3" t="s">
        <v>371</v>
      </c>
      <c r="E2403" s="3">
        <v>57</v>
      </c>
      <c r="G2403" s="57"/>
    </row>
    <row r="2404" spans="1:7" ht="12.75" x14ac:dyDescent="0.2">
      <c r="A2404" s="3">
        <v>87</v>
      </c>
      <c r="B2404" s="4" t="s">
        <v>107</v>
      </c>
      <c r="C2404" s="3" t="s">
        <v>125</v>
      </c>
      <c r="D2404" s="3" t="s">
        <v>14</v>
      </c>
      <c r="E2404" s="3">
        <v>47</v>
      </c>
      <c r="G2404" s="57"/>
    </row>
    <row r="2405" spans="1:7" ht="12.75" x14ac:dyDescent="0.2">
      <c r="A2405" s="3">
        <v>87</v>
      </c>
      <c r="B2405" s="4" t="s">
        <v>107</v>
      </c>
      <c r="C2405" s="3" t="s">
        <v>125</v>
      </c>
      <c r="D2405" s="3" t="s">
        <v>138</v>
      </c>
      <c r="E2405" s="3">
        <v>3</v>
      </c>
      <c r="F2405">
        <f>SUM(E2398:E2405)</f>
        <v>810</v>
      </c>
      <c r="G2405" s="57"/>
    </row>
    <row r="2406" spans="1:7" ht="12.75" x14ac:dyDescent="0.2">
      <c r="A2406" s="3">
        <v>88</v>
      </c>
      <c r="B2406" s="4" t="s">
        <v>108</v>
      </c>
      <c r="C2406" s="3" t="s">
        <v>347</v>
      </c>
      <c r="D2406" s="3" t="s">
        <v>366</v>
      </c>
      <c r="E2406" s="3">
        <v>1</v>
      </c>
      <c r="G2406" s="59">
        <v>496</v>
      </c>
    </row>
    <row r="2407" spans="1:7" ht="12.75" x14ac:dyDescent="0.2">
      <c r="A2407" s="3">
        <v>88</v>
      </c>
      <c r="B2407" s="4" t="s">
        <v>108</v>
      </c>
      <c r="C2407" s="3" t="s">
        <v>347</v>
      </c>
      <c r="D2407" s="3" t="s">
        <v>274</v>
      </c>
      <c r="E2407" s="3">
        <v>0</v>
      </c>
      <c r="G2407" s="57"/>
    </row>
    <row r="2408" spans="1:7" ht="12.75" x14ac:dyDescent="0.2">
      <c r="A2408" s="3">
        <v>88</v>
      </c>
      <c r="B2408" s="4" t="s">
        <v>108</v>
      </c>
      <c r="C2408" s="3" t="s">
        <v>347</v>
      </c>
      <c r="D2408" s="3" t="s">
        <v>367</v>
      </c>
      <c r="E2408" s="3">
        <v>1</v>
      </c>
      <c r="G2408" s="57"/>
    </row>
    <row r="2409" spans="1:7" ht="12.75" x14ac:dyDescent="0.2">
      <c r="A2409" s="3">
        <v>88</v>
      </c>
      <c r="B2409" s="4" t="s">
        <v>108</v>
      </c>
      <c r="C2409" s="3" t="s">
        <v>347</v>
      </c>
      <c r="D2409" s="3" t="s">
        <v>368</v>
      </c>
      <c r="E2409" s="3">
        <v>0</v>
      </c>
      <c r="G2409" s="57"/>
    </row>
    <row r="2410" spans="1:7" ht="12.75" x14ac:dyDescent="0.2">
      <c r="A2410" s="3">
        <v>88</v>
      </c>
      <c r="B2410" s="4" t="s">
        <v>108</v>
      </c>
      <c r="C2410" s="3" t="s">
        <v>347</v>
      </c>
      <c r="D2410" s="3" t="s">
        <v>283</v>
      </c>
      <c r="E2410" s="3">
        <v>153</v>
      </c>
      <c r="G2410" s="57"/>
    </row>
    <row r="2411" spans="1:7" ht="12.75" x14ac:dyDescent="0.2">
      <c r="A2411" s="3">
        <v>88</v>
      </c>
      <c r="B2411" s="4" t="s">
        <v>108</v>
      </c>
      <c r="C2411" s="3" t="s">
        <v>347</v>
      </c>
      <c r="D2411" s="3" t="s">
        <v>315</v>
      </c>
      <c r="E2411" s="3">
        <v>8</v>
      </c>
      <c r="G2411" s="57"/>
    </row>
    <row r="2412" spans="1:7" ht="12.75" x14ac:dyDescent="0.2">
      <c r="A2412" s="3">
        <v>88</v>
      </c>
      <c r="B2412" s="4" t="s">
        <v>108</v>
      </c>
      <c r="C2412" s="3" t="s">
        <v>347</v>
      </c>
      <c r="D2412" s="3" t="s">
        <v>316</v>
      </c>
      <c r="E2412" s="3">
        <v>15</v>
      </c>
      <c r="G2412" s="57"/>
    </row>
    <row r="2413" spans="1:7" ht="12.75" x14ac:dyDescent="0.2">
      <c r="A2413" s="3">
        <v>88</v>
      </c>
      <c r="B2413" s="4" t="s">
        <v>108</v>
      </c>
      <c r="C2413" s="3" t="s">
        <v>347</v>
      </c>
      <c r="D2413" s="3" t="s">
        <v>369</v>
      </c>
      <c r="E2413" s="3">
        <v>0</v>
      </c>
      <c r="G2413" s="57"/>
    </row>
    <row r="2414" spans="1:7" ht="12.75" x14ac:dyDescent="0.2">
      <c r="A2414" s="3">
        <v>88</v>
      </c>
      <c r="B2414" s="4" t="s">
        <v>108</v>
      </c>
      <c r="C2414" s="3" t="s">
        <v>347</v>
      </c>
      <c r="D2414" s="3" t="s">
        <v>128</v>
      </c>
      <c r="E2414" s="3">
        <v>147</v>
      </c>
      <c r="G2414" s="57"/>
    </row>
    <row r="2415" spans="1:7" ht="12.75" x14ac:dyDescent="0.2">
      <c r="A2415" s="3">
        <v>88</v>
      </c>
      <c r="B2415" s="4" t="s">
        <v>108</v>
      </c>
      <c r="C2415" s="3" t="s">
        <v>347</v>
      </c>
      <c r="D2415" s="3" t="s">
        <v>370</v>
      </c>
      <c r="E2415" s="3">
        <v>2</v>
      </c>
      <c r="G2415" s="57"/>
    </row>
    <row r="2416" spans="1:7" ht="12.75" x14ac:dyDescent="0.2">
      <c r="A2416" s="3">
        <v>88</v>
      </c>
      <c r="B2416" s="4" t="s">
        <v>108</v>
      </c>
      <c r="C2416" s="3" t="s">
        <v>347</v>
      </c>
      <c r="D2416" s="3" t="s">
        <v>353</v>
      </c>
      <c r="E2416" s="3">
        <v>2</v>
      </c>
      <c r="G2416" s="57"/>
    </row>
    <row r="2417" spans="1:7" ht="12.75" x14ac:dyDescent="0.2">
      <c r="A2417" s="3">
        <v>88</v>
      </c>
      <c r="B2417" s="4" t="s">
        <v>108</v>
      </c>
      <c r="C2417" s="3" t="s">
        <v>347</v>
      </c>
      <c r="D2417" s="3" t="s">
        <v>371</v>
      </c>
      <c r="E2417" s="3">
        <v>74</v>
      </c>
      <c r="G2417" s="57"/>
    </row>
    <row r="2418" spans="1:7" ht="12.75" x14ac:dyDescent="0.2">
      <c r="A2418" s="3">
        <v>88</v>
      </c>
      <c r="B2418" s="4" t="s">
        <v>108</v>
      </c>
      <c r="C2418" s="3" t="s">
        <v>347</v>
      </c>
      <c r="D2418" s="3" t="s">
        <v>14</v>
      </c>
      <c r="E2418" s="3">
        <v>20</v>
      </c>
      <c r="G2418" s="57"/>
    </row>
    <row r="2419" spans="1:7" ht="12.75" x14ac:dyDescent="0.2">
      <c r="A2419" s="3">
        <v>88</v>
      </c>
      <c r="B2419" s="4" t="s">
        <v>108</v>
      </c>
      <c r="C2419" s="3" t="s">
        <v>347</v>
      </c>
      <c r="D2419" s="3" t="s">
        <v>138</v>
      </c>
      <c r="E2419" s="3">
        <v>0</v>
      </c>
      <c r="F2419">
        <f>SUM(E2406:E2419)</f>
        <v>423</v>
      </c>
      <c r="G2419" s="57"/>
    </row>
    <row r="2420" spans="1:7" ht="12.75" x14ac:dyDescent="0.2">
      <c r="A2420" s="3">
        <v>88</v>
      </c>
      <c r="B2420" s="4" t="s">
        <v>108</v>
      </c>
      <c r="C2420" s="3" t="s">
        <v>273</v>
      </c>
      <c r="D2420" s="3" t="s">
        <v>274</v>
      </c>
      <c r="E2420" s="3">
        <v>0</v>
      </c>
      <c r="G2420" s="57"/>
    </row>
    <row r="2421" spans="1:7" ht="12.75" x14ac:dyDescent="0.2">
      <c r="A2421" s="3">
        <v>88</v>
      </c>
      <c r="B2421" s="4" t="s">
        <v>108</v>
      </c>
      <c r="C2421" s="3" t="s">
        <v>273</v>
      </c>
      <c r="D2421" s="3" t="s">
        <v>283</v>
      </c>
      <c r="E2421" s="3">
        <v>170</v>
      </c>
      <c r="G2421" s="57"/>
    </row>
    <row r="2422" spans="1:7" ht="12.75" x14ac:dyDescent="0.2">
      <c r="A2422" s="3">
        <v>88</v>
      </c>
      <c r="B2422" s="4" t="s">
        <v>108</v>
      </c>
      <c r="C2422" s="3" t="s">
        <v>273</v>
      </c>
      <c r="D2422" s="3" t="s">
        <v>315</v>
      </c>
      <c r="E2422" s="3">
        <v>3</v>
      </c>
      <c r="G2422" s="57"/>
    </row>
    <row r="2423" spans="1:7" ht="12.75" x14ac:dyDescent="0.2">
      <c r="A2423" s="3">
        <v>88</v>
      </c>
      <c r="B2423" s="4" t="s">
        <v>108</v>
      </c>
      <c r="C2423" s="3" t="s">
        <v>273</v>
      </c>
      <c r="D2423" s="3" t="s">
        <v>128</v>
      </c>
      <c r="E2423" s="3">
        <v>163</v>
      </c>
      <c r="G2423" s="57"/>
    </row>
    <row r="2424" spans="1:7" ht="12.75" x14ac:dyDescent="0.2">
      <c r="A2424" s="3">
        <v>88</v>
      </c>
      <c r="B2424" s="4" t="s">
        <v>108</v>
      </c>
      <c r="C2424" s="3" t="s">
        <v>273</v>
      </c>
      <c r="D2424" s="3" t="s">
        <v>353</v>
      </c>
      <c r="E2424" s="3">
        <v>1</v>
      </c>
      <c r="G2424" s="57"/>
    </row>
    <row r="2425" spans="1:7" ht="12.75" x14ac:dyDescent="0.2">
      <c r="A2425" s="3">
        <v>88</v>
      </c>
      <c r="B2425" s="4" t="s">
        <v>108</v>
      </c>
      <c r="C2425" s="3" t="s">
        <v>273</v>
      </c>
      <c r="D2425" s="3" t="s">
        <v>371</v>
      </c>
      <c r="E2425" s="3">
        <v>57</v>
      </c>
      <c r="G2425" s="57"/>
    </row>
    <row r="2426" spans="1:7" ht="12.75" x14ac:dyDescent="0.2">
      <c r="A2426" s="3">
        <v>88</v>
      </c>
      <c r="B2426" s="4" t="s">
        <v>108</v>
      </c>
      <c r="C2426" s="3" t="s">
        <v>273</v>
      </c>
      <c r="D2426" s="3" t="s">
        <v>14</v>
      </c>
      <c r="E2426" s="3">
        <v>29</v>
      </c>
      <c r="G2426" s="57"/>
    </row>
    <row r="2427" spans="1:7" ht="12.75" x14ac:dyDescent="0.2">
      <c r="A2427" s="3">
        <v>88</v>
      </c>
      <c r="B2427" s="4" t="s">
        <v>108</v>
      </c>
      <c r="C2427" s="3" t="s">
        <v>273</v>
      </c>
      <c r="D2427" s="3" t="s">
        <v>138</v>
      </c>
      <c r="E2427" s="3">
        <v>0</v>
      </c>
      <c r="F2427">
        <f>SUM(E2420:E2427)</f>
        <v>423</v>
      </c>
      <c r="G2427" s="57"/>
    </row>
    <row r="2428" spans="1:7" ht="12.75" x14ac:dyDescent="0.2">
      <c r="A2428" s="3">
        <v>88</v>
      </c>
      <c r="B2428" s="4" t="s">
        <v>108</v>
      </c>
      <c r="C2428" s="3" t="s">
        <v>125</v>
      </c>
      <c r="D2428" s="3" t="s">
        <v>274</v>
      </c>
      <c r="E2428" s="3">
        <v>0</v>
      </c>
      <c r="G2428" s="57"/>
    </row>
    <row r="2429" spans="1:7" ht="12.75" x14ac:dyDescent="0.2">
      <c r="A2429" s="3">
        <v>88</v>
      </c>
      <c r="B2429" s="4" t="s">
        <v>108</v>
      </c>
      <c r="C2429" s="3" t="s">
        <v>125</v>
      </c>
      <c r="D2429" s="3" t="s">
        <v>283</v>
      </c>
      <c r="E2429" s="3">
        <v>170</v>
      </c>
      <c r="G2429" s="57"/>
    </row>
    <row r="2430" spans="1:7" ht="12.75" x14ac:dyDescent="0.2">
      <c r="A2430" s="3">
        <v>88</v>
      </c>
      <c r="B2430" s="4" t="s">
        <v>108</v>
      </c>
      <c r="C2430" s="3" t="s">
        <v>125</v>
      </c>
      <c r="D2430" s="3" t="s">
        <v>315</v>
      </c>
      <c r="E2430" s="3">
        <v>3</v>
      </c>
      <c r="G2430" s="57"/>
    </row>
    <row r="2431" spans="1:7" ht="12.75" x14ac:dyDescent="0.2">
      <c r="A2431" s="3">
        <v>88</v>
      </c>
      <c r="B2431" s="4" t="s">
        <v>108</v>
      </c>
      <c r="C2431" s="3" t="s">
        <v>125</v>
      </c>
      <c r="D2431" s="3" t="s">
        <v>128</v>
      </c>
      <c r="E2431" s="3">
        <v>158</v>
      </c>
      <c r="G2431" s="57"/>
    </row>
    <row r="2432" spans="1:7" ht="12.75" x14ac:dyDescent="0.2">
      <c r="A2432" s="3">
        <v>88</v>
      </c>
      <c r="B2432" s="4" t="s">
        <v>108</v>
      </c>
      <c r="C2432" s="3" t="s">
        <v>125</v>
      </c>
      <c r="D2432" s="3" t="s">
        <v>353</v>
      </c>
      <c r="E2432" s="3">
        <v>1</v>
      </c>
      <c r="G2432" s="57"/>
    </row>
    <row r="2433" spans="1:7" ht="12.75" x14ac:dyDescent="0.2">
      <c r="A2433" s="3">
        <v>88</v>
      </c>
      <c r="B2433" s="4" t="s">
        <v>108</v>
      </c>
      <c r="C2433" s="3" t="s">
        <v>125</v>
      </c>
      <c r="D2433" s="3" t="s">
        <v>371</v>
      </c>
      <c r="E2433" s="3">
        <v>57</v>
      </c>
      <c r="G2433" s="57"/>
    </row>
    <row r="2434" spans="1:7" ht="12.75" x14ac:dyDescent="0.2">
      <c r="A2434" s="3">
        <v>88</v>
      </c>
      <c r="B2434" s="4" t="s">
        <v>108</v>
      </c>
      <c r="C2434" s="3" t="s">
        <v>125</v>
      </c>
      <c r="D2434" s="3" t="s">
        <v>14</v>
      </c>
      <c r="E2434" s="3">
        <v>34</v>
      </c>
      <c r="G2434" s="57"/>
    </row>
    <row r="2435" spans="1:7" ht="12.75" x14ac:dyDescent="0.2">
      <c r="A2435" s="3">
        <v>88</v>
      </c>
      <c r="B2435" s="4" t="s">
        <v>108</v>
      </c>
      <c r="C2435" s="3" t="s">
        <v>125</v>
      </c>
      <c r="D2435" s="3" t="s">
        <v>138</v>
      </c>
      <c r="E2435" s="3">
        <v>0</v>
      </c>
      <c r="F2435">
        <f>SUM(E2428:E2435)</f>
        <v>423</v>
      </c>
      <c r="G2435" s="57"/>
    </row>
    <row r="2436" spans="1:7" ht="12.75" x14ac:dyDescent="0.2">
      <c r="A2436" s="3">
        <v>89</v>
      </c>
      <c r="B2436" s="4" t="s">
        <v>109</v>
      </c>
      <c r="C2436" s="3" t="s">
        <v>347</v>
      </c>
      <c r="D2436" s="3" t="s">
        <v>366</v>
      </c>
      <c r="E2436" s="3">
        <v>5</v>
      </c>
      <c r="G2436" s="59">
        <v>3217</v>
      </c>
    </row>
    <row r="2437" spans="1:7" ht="12.75" x14ac:dyDescent="0.2">
      <c r="A2437" s="3">
        <v>89</v>
      </c>
      <c r="B2437" s="4" t="s">
        <v>109</v>
      </c>
      <c r="C2437" s="3" t="s">
        <v>347</v>
      </c>
      <c r="D2437" s="3" t="s">
        <v>274</v>
      </c>
      <c r="E2437" s="3">
        <v>0</v>
      </c>
      <c r="G2437" s="57"/>
    </row>
    <row r="2438" spans="1:7" ht="12.75" x14ac:dyDescent="0.2">
      <c r="A2438" s="3">
        <v>89</v>
      </c>
      <c r="B2438" s="4" t="s">
        <v>109</v>
      </c>
      <c r="C2438" s="3" t="s">
        <v>347</v>
      </c>
      <c r="D2438" s="3" t="s">
        <v>367</v>
      </c>
      <c r="E2438" s="3">
        <v>4</v>
      </c>
      <c r="G2438" s="57"/>
    </row>
    <row r="2439" spans="1:7" ht="12.75" x14ac:dyDescent="0.2">
      <c r="A2439" s="3">
        <v>89</v>
      </c>
      <c r="B2439" s="4" t="s">
        <v>109</v>
      </c>
      <c r="C2439" s="3" t="s">
        <v>347</v>
      </c>
      <c r="D2439" s="3" t="s">
        <v>368</v>
      </c>
      <c r="E2439" s="3">
        <v>7</v>
      </c>
      <c r="G2439" s="57"/>
    </row>
    <row r="2440" spans="1:7" ht="12.75" x14ac:dyDescent="0.2">
      <c r="A2440" s="3">
        <v>89</v>
      </c>
      <c r="B2440" s="4" t="s">
        <v>109</v>
      </c>
      <c r="C2440" s="3" t="s">
        <v>347</v>
      </c>
      <c r="D2440" s="3" t="s">
        <v>283</v>
      </c>
      <c r="E2440" s="3">
        <v>1039</v>
      </c>
      <c r="G2440" s="57"/>
    </row>
    <row r="2441" spans="1:7" ht="12.75" x14ac:dyDescent="0.2">
      <c r="A2441" s="3">
        <v>89</v>
      </c>
      <c r="B2441" s="4" t="s">
        <v>109</v>
      </c>
      <c r="C2441" s="3" t="s">
        <v>347</v>
      </c>
      <c r="D2441" s="3" t="s">
        <v>315</v>
      </c>
      <c r="E2441" s="3">
        <v>29</v>
      </c>
      <c r="G2441" s="57"/>
    </row>
    <row r="2442" spans="1:7" ht="12.75" x14ac:dyDescent="0.2">
      <c r="A2442" s="3">
        <v>89</v>
      </c>
      <c r="B2442" s="4" t="s">
        <v>109</v>
      </c>
      <c r="C2442" s="3" t="s">
        <v>347</v>
      </c>
      <c r="D2442" s="3" t="s">
        <v>316</v>
      </c>
      <c r="E2442" s="3">
        <v>90</v>
      </c>
      <c r="G2442" s="57"/>
    </row>
    <row r="2443" spans="1:7" ht="12.75" x14ac:dyDescent="0.2">
      <c r="A2443" s="3">
        <v>89</v>
      </c>
      <c r="B2443" s="4" t="s">
        <v>109</v>
      </c>
      <c r="C2443" s="3" t="s">
        <v>347</v>
      </c>
      <c r="D2443" s="3" t="s">
        <v>369</v>
      </c>
      <c r="E2443" s="3">
        <v>5</v>
      </c>
      <c r="G2443" s="57"/>
    </row>
    <row r="2444" spans="1:7" ht="12.75" x14ac:dyDescent="0.2">
      <c r="A2444" s="3">
        <v>89</v>
      </c>
      <c r="B2444" s="4" t="s">
        <v>109</v>
      </c>
      <c r="C2444" s="3" t="s">
        <v>347</v>
      </c>
      <c r="D2444" s="3" t="s">
        <v>128</v>
      </c>
      <c r="E2444" s="3">
        <v>725</v>
      </c>
      <c r="G2444" s="57"/>
    </row>
    <row r="2445" spans="1:7" ht="12.75" x14ac:dyDescent="0.2">
      <c r="A2445" s="3">
        <v>89</v>
      </c>
      <c r="B2445" s="4" t="s">
        <v>109</v>
      </c>
      <c r="C2445" s="3" t="s">
        <v>347</v>
      </c>
      <c r="D2445" s="3" t="s">
        <v>370</v>
      </c>
      <c r="E2445" s="3">
        <v>4</v>
      </c>
      <c r="G2445" s="57"/>
    </row>
    <row r="2446" spans="1:7" ht="12.75" x14ac:dyDescent="0.2">
      <c r="A2446" s="3">
        <v>89</v>
      </c>
      <c r="B2446" s="4" t="s">
        <v>109</v>
      </c>
      <c r="C2446" s="3" t="s">
        <v>347</v>
      </c>
      <c r="D2446" s="3" t="s">
        <v>353</v>
      </c>
      <c r="E2446" s="3">
        <v>24</v>
      </c>
      <c r="G2446" s="57"/>
    </row>
    <row r="2447" spans="1:7" ht="12.75" x14ac:dyDescent="0.2">
      <c r="A2447" s="3">
        <v>89</v>
      </c>
      <c r="B2447" s="4" t="s">
        <v>109</v>
      </c>
      <c r="C2447" s="3" t="s">
        <v>347</v>
      </c>
      <c r="D2447" s="3" t="s">
        <v>371</v>
      </c>
      <c r="E2447" s="3">
        <v>258</v>
      </c>
      <c r="G2447" s="57"/>
    </row>
    <row r="2448" spans="1:7" ht="12.75" x14ac:dyDescent="0.2">
      <c r="A2448" s="3">
        <v>89</v>
      </c>
      <c r="B2448" s="4" t="s">
        <v>109</v>
      </c>
      <c r="C2448" s="3" t="s">
        <v>347</v>
      </c>
      <c r="D2448" s="3" t="s">
        <v>14</v>
      </c>
      <c r="E2448" s="3">
        <v>231</v>
      </c>
      <c r="G2448" s="57"/>
    </row>
    <row r="2449" spans="1:7" ht="12.75" x14ac:dyDescent="0.2">
      <c r="A2449" s="3">
        <v>89</v>
      </c>
      <c r="B2449" s="4" t="s">
        <v>109</v>
      </c>
      <c r="C2449" s="3" t="s">
        <v>347</v>
      </c>
      <c r="D2449" s="3" t="s">
        <v>138</v>
      </c>
      <c r="E2449" s="3">
        <v>22</v>
      </c>
      <c r="F2449">
        <f>SUM(E2436:E2449)</f>
        <v>2443</v>
      </c>
      <c r="G2449" s="57"/>
    </row>
    <row r="2450" spans="1:7" ht="12.75" x14ac:dyDescent="0.2">
      <c r="A2450" s="3">
        <v>89</v>
      </c>
      <c r="B2450" s="4" t="s">
        <v>109</v>
      </c>
      <c r="C2450" s="3" t="s">
        <v>273</v>
      </c>
      <c r="D2450" s="3" t="s">
        <v>274</v>
      </c>
      <c r="E2450" s="3">
        <v>6</v>
      </c>
      <c r="G2450" s="57"/>
    </row>
    <row r="2451" spans="1:7" ht="12.75" x14ac:dyDescent="0.2">
      <c r="A2451" s="3">
        <v>89</v>
      </c>
      <c r="B2451" s="4" t="s">
        <v>109</v>
      </c>
      <c r="C2451" s="3" t="s">
        <v>273</v>
      </c>
      <c r="D2451" s="3" t="s">
        <v>283</v>
      </c>
      <c r="E2451" s="3">
        <v>1212</v>
      </c>
      <c r="G2451" s="57"/>
    </row>
    <row r="2452" spans="1:7" ht="12.75" x14ac:dyDescent="0.2">
      <c r="A2452" s="3">
        <v>89</v>
      </c>
      <c r="B2452" s="4" t="s">
        <v>109</v>
      </c>
      <c r="C2452" s="3" t="s">
        <v>273</v>
      </c>
      <c r="D2452" s="3" t="s">
        <v>315</v>
      </c>
      <c r="E2452" s="3">
        <v>19</v>
      </c>
      <c r="G2452" s="57"/>
    </row>
    <row r="2453" spans="1:7" ht="12.75" x14ac:dyDescent="0.2">
      <c r="A2453" s="3">
        <v>89</v>
      </c>
      <c r="B2453" s="4" t="s">
        <v>109</v>
      </c>
      <c r="C2453" s="3" t="s">
        <v>273</v>
      </c>
      <c r="D2453" s="3" t="s">
        <v>128</v>
      </c>
      <c r="E2453" s="3">
        <v>766</v>
      </c>
      <c r="G2453" s="57"/>
    </row>
    <row r="2454" spans="1:7" ht="12.75" x14ac:dyDescent="0.2">
      <c r="A2454" s="3">
        <v>89</v>
      </c>
      <c r="B2454" s="4" t="s">
        <v>109</v>
      </c>
      <c r="C2454" s="3" t="s">
        <v>273</v>
      </c>
      <c r="D2454" s="3" t="s">
        <v>353</v>
      </c>
      <c r="E2454" s="3">
        <v>8</v>
      </c>
      <c r="G2454" s="57"/>
    </row>
    <row r="2455" spans="1:7" ht="12.75" x14ac:dyDescent="0.2">
      <c r="A2455" s="3">
        <v>89</v>
      </c>
      <c r="B2455" s="4" t="s">
        <v>109</v>
      </c>
      <c r="C2455" s="3" t="s">
        <v>273</v>
      </c>
      <c r="D2455" s="3" t="s">
        <v>371</v>
      </c>
      <c r="E2455" s="3">
        <v>166</v>
      </c>
      <c r="G2455" s="57"/>
    </row>
    <row r="2456" spans="1:7" ht="12.75" x14ac:dyDescent="0.2">
      <c r="A2456" s="3">
        <v>89</v>
      </c>
      <c r="B2456" s="4" t="s">
        <v>109</v>
      </c>
      <c r="C2456" s="3" t="s">
        <v>273</v>
      </c>
      <c r="D2456" s="3" t="s">
        <v>14</v>
      </c>
      <c r="E2456" s="3">
        <v>241</v>
      </c>
      <c r="G2456" s="57"/>
    </row>
    <row r="2457" spans="1:7" ht="12.75" x14ac:dyDescent="0.2">
      <c r="A2457" s="3">
        <v>89</v>
      </c>
      <c r="B2457" s="4" t="s">
        <v>109</v>
      </c>
      <c r="C2457" s="3" t="s">
        <v>273</v>
      </c>
      <c r="D2457" s="3" t="s">
        <v>138</v>
      </c>
      <c r="E2457" s="3">
        <v>25</v>
      </c>
      <c r="F2457">
        <f>SUM(E2450:E2457)</f>
        <v>2443</v>
      </c>
      <c r="G2457" s="57"/>
    </row>
    <row r="2458" spans="1:7" ht="12.75" x14ac:dyDescent="0.2">
      <c r="A2458" s="3">
        <v>89</v>
      </c>
      <c r="B2458" s="4" t="s">
        <v>109</v>
      </c>
      <c r="C2458" s="3" t="s">
        <v>125</v>
      </c>
      <c r="D2458" s="3" t="s">
        <v>274</v>
      </c>
      <c r="E2458" s="3">
        <v>6</v>
      </c>
      <c r="G2458" s="57"/>
    </row>
    <row r="2459" spans="1:7" ht="12.75" x14ac:dyDescent="0.2">
      <c r="A2459" s="3">
        <v>89</v>
      </c>
      <c r="B2459" s="4" t="s">
        <v>109</v>
      </c>
      <c r="C2459" s="3" t="s">
        <v>125</v>
      </c>
      <c r="D2459" s="3" t="s">
        <v>283</v>
      </c>
      <c r="E2459" s="3">
        <v>1211</v>
      </c>
      <c r="G2459" s="57"/>
    </row>
    <row r="2460" spans="1:7" ht="12.75" x14ac:dyDescent="0.2">
      <c r="A2460" s="3">
        <v>89</v>
      </c>
      <c r="B2460" s="4" t="s">
        <v>109</v>
      </c>
      <c r="C2460" s="3" t="s">
        <v>125</v>
      </c>
      <c r="D2460" s="3" t="s">
        <v>315</v>
      </c>
      <c r="E2460" s="3">
        <v>19</v>
      </c>
      <c r="G2460" s="57"/>
    </row>
    <row r="2461" spans="1:7" ht="12.75" x14ac:dyDescent="0.2">
      <c r="A2461" s="3">
        <v>89</v>
      </c>
      <c r="B2461" s="4" t="s">
        <v>109</v>
      </c>
      <c r="C2461" s="3" t="s">
        <v>125</v>
      </c>
      <c r="D2461" s="3" t="s">
        <v>128</v>
      </c>
      <c r="E2461" s="3">
        <v>763</v>
      </c>
      <c r="G2461" s="57"/>
    </row>
    <row r="2462" spans="1:7" ht="12.75" x14ac:dyDescent="0.2">
      <c r="A2462" s="3">
        <v>89</v>
      </c>
      <c r="B2462" s="4" t="s">
        <v>109</v>
      </c>
      <c r="C2462" s="3" t="s">
        <v>125</v>
      </c>
      <c r="D2462" s="3" t="s">
        <v>353</v>
      </c>
      <c r="E2462" s="3">
        <v>8</v>
      </c>
      <c r="G2462" s="57"/>
    </row>
    <row r="2463" spans="1:7" ht="12.75" x14ac:dyDescent="0.2">
      <c r="A2463" s="3">
        <v>89</v>
      </c>
      <c r="B2463" s="4" t="s">
        <v>109</v>
      </c>
      <c r="C2463" s="3" t="s">
        <v>125</v>
      </c>
      <c r="D2463" s="3" t="s">
        <v>371</v>
      </c>
      <c r="E2463" s="3">
        <v>185</v>
      </c>
      <c r="G2463" s="57"/>
    </row>
    <row r="2464" spans="1:7" ht="12.75" x14ac:dyDescent="0.2">
      <c r="A2464" s="3">
        <v>89</v>
      </c>
      <c r="B2464" s="4" t="s">
        <v>109</v>
      </c>
      <c r="C2464" s="3" t="s">
        <v>125</v>
      </c>
      <c r="D2464" s="3" t="s">
        <v>14</v>
      </c>
      <c r="E2464" s="3">
        <v>227</v>
      </c>
      <c r="G2464" s="57"/>
    </row>
    <row r="2465" spans="1:7" ht="12.75" x14ac:dyDescent="0.2">
      <c r="A2465" s="3">
        <v>89</v>
      </c>
      <c r="B2465" s="4" t="s">
        <v>109</v>
      </c>
      <c r="C2465" s="3" t="s">
        <v>125</v>
      </c>
      <c r="D2465" s="3" t="s">
        <v>138</v>
      </c>
      <c r="E2465" s="3">
        <v>24</v>
      </c>
      <c r="F2465">
        <f>SUM(E2458:E2465)</f>
        <v>2443</v>
      </c>
      <c r="G2465" s="57"/>
    </row>
    <row r="2466" spans="1:7" ht="12.75" x14ac:dyDescent="0.2">
      <c r="A2466" s="3">
        <v>90</v>
      </c>
      <c r="B2466" s="4" t="s">
        <v>110</v>
      </c>
      <c r="C2466" s="3" t="s">
        <v>347</v>
      </c>
      <c r="D2466" s="3" t="s">
        <v>366</v>
      </c>
      <c r="E2466" s="3">
        <v>2</v>
      </c>
      <c r="G2466" s="59">
        <v>685</v>
      </c>
    </row>
    <row r="2467" spans="1:7" ht="12.75" x14ac:dyDescent="0.2">
      <c r="A2467" s="3">
        <v>90</v>
      </c>
      <c r="B2467" s="4" t="s">
        <v>110</v>
      </c>
      <c r="C2467" s="3" t="s">
        <v>347</v>
      </c>
      <c r="D2467" s="3" t="s">
        <v>274</v>
      </c>
      <c r="E2467" s="3">
        <v>0</v>
      </c>
      <c r="G2467" s="57"/>
    </row>
    <row r="2468" spans="1:7" ht="12.75" x14ac:dyDescent="0.2">
      <c r="A2468" s="3">
        <v>90</v>
      </c>
      <c r="B2468" s="4" t="s">
        <v>110</v>
      </c>
      <c r="C2468" s="3" t="s">
        <v>347</v>
      </c>
      <c r="D2468" s="3" t="s">
        <v>367</v>
      </c>
      <c r="E2468" s="3">
        <v>0</v>
      </c>
      <c r="G2468" s="57"/>
    </row>
    <row r="2469" spans="1:7" ht="12.75" x14ac:dyDescent="0.2">
      <c r="A2469" s="3">
        <v>90</v>
      </c>
      <c r="B2469" s="4" t="s">
        <v>110</v>
      </c>
      <c r="C2469" s="3" t="s">
        <v>347</v>
      </c>
      <c r="D2469" s="3" t="s">
        <v>368</v>
      </c>
      <c r="E2469" s="3">
        <v>2</v>
      </c>
      <c r="G2469" s="57"/>
    </row>
    <row r="2470" spans="1:7" ht="12.75" x14ac:dyDescent="0.2">
      <c r="A2470" s="3">
        <v>90</v>
      </c>
      <c r="B2470" s="4" t="s">
        <v>110</v>
      </c>
      <c r="C2470" s="3" t="s">
        <v>347</v>
      </c>
      <c r="D2470" s="3" t="s">
        <v>283</v>
      </c>
      <c r="E2470" s="3">
        <v>236</v>
      </c>
      <c r="G2470" s="57"/>
    </row>
    <row r="2471" spans="1:7" ht="12.75" x14ac:dyDescent="0.2">
      <c r="A2471" s="3">
        <v>90</v>
      </c>
      <c r="B2471" s="4" t="s">
        <v>110</v>
      </c>
      <c r="C2471" s="3" t="s">
        <v>347</v>
      </c>
      <c r="D2471" s="3" t="s">
        <v>315</v>
      </c>
      <c r="E2471" s="3">
        <v>9</v>
      </c>
      <c r="G2471" s="57"/>
    </row>
    <row r="2472" spans="1:7" ht="12.75" x14ac:dyDescent="0.2">
      <c r="A2472" s="3">
        <v>90</v>
      </c>
      <c r="B2472" s="4" t="s">
        <v>110</v>
      </c>
      <c r="C2472" s="3" t="s">
        <v>347</v>
      </c>
      <c r="D2472" s="3" t="s">
        <v>316</v>
      </c>
      <c r="E2472" s="3">
        <v>9</v>
      </c>
      <c r="G2472" s="57"/>
    </row>
    <row r="2473" spans="1:7" ht="12.75" x14ac:dyDescent="0.2">
      <c r="A2473" s="3">
        <v>90</v>
      </c>
      <c r="B2473" s="4" t="s">
        <v>110</v>
      </c>
      <c r="C2473" s="3" t="s">
        <v>347</v>
      </c>
      <c r="D2473" s="3" t="s">
        <v>369</v>
      </c>
      <c r="E2473" s="3">
        <v>0</v>
      </c>
      <c r="G2473" s="57"/>
    </row>
    <row r="2474" spans="1:7" ht="12.75" x14ac:dyDescent="0.2">
      <c r="A2474" s="3">
        <v>90</v>
      </c>
      <c r="B2474" s="4" t="s">
        <v>110</v>
      </c>
      <c r="C2474" s="3" t="s">
        <v>347</v>
      </c>
      <c r="D2474" s="3" t="s">
        <v>128</v>
      </c>
      <c r="E2474" s="3">
        <v>180</v>
      </c>
      <c r="G2474" s="57"/>
    </row>
    <row r="2475" spans="1:7" ht="12.75" x14ac:dyDescent="0.2">
      <c r="A2475" s="3">
        <v>90</v>
      </c>
      <c r="B2475" s="4" t="s">
        <v>110</v>
      </c>
      <c r="C2475" s="3" t="s">
        <v>347</v>
      </c>
      <c r="D2475" s="3" t="s">
        <v>370</v>
      </c>
      <c r="E2475" s="3">
        <v>1</v>
      </c>
      <c r="G2475" s="57"/>
    </row>
    <row r="2476" spans="1:7" ht="12.75" x14ac:dyDescent="0.2">
      <c r="A2476" s="3">
        <v>90</v>
      </c>
      <c r="B2476" s="4" t="s">
        <v>110</v>
      </c>
      <c r="C2476" s="3" t="s">
        <v>347</v>
      </c>
      <c r="D2476" s="3" t="s">
        <v>353</v>
      </c>
      <c r="E2476" s="3">
        <v>5</v>
      </c>
      <c r="G2476" s="57"/>
    </row>
    <row r="2477" spans="1:7" ht="12.75" x14ac:dyDescent="0.2">
      <c r="A2477" s="3">
        <v>90</v>
      </c>
      <c r="B2477" s="4" t="s">
        <v>110</v>
      </c>
      <c r="C2477" s="3" t="s">
        <v>347</v>
      </c>
      <c r="D2477" s="3" t="s">
        <v>371</v>
      </c>
      <c r="E2477" s="3">
        <v>98</v>
      </c>
      <c r="G2477" s="57"/>
    </row>
    <row r="2478" spans="1:7" ht="12.75" x14ac:dyDescent="0.2">
      <c r="A2478" s="3">
        <v>90</v>
      </c>
      <c r="B2478" s="4" t="s">
        <v>110</v>
      </c>
      <c r="C2478" s="3" t="s">
        <v>347</v>
      </c>
      <c r="D2478" s="3" t="s">
        <v>14</v>
      </c>
      <c r="E2478" s="3">
        <v>24</v>
      </c>
      <c r="G2478" s="57"/>
    </row>
    <row r="2479" spans="1:7" ht="12.75" x14ac:dyDescent="0.2">
      <c r="A2479" s="3">
        <v>90</v>
      </c>
      <c r="B2479" s="4" t="s">
        <v>110</v>
      </c>
      <c r="C2479" s="3" t="s">
        <v>347</v>
      </c>
      <c r="D2479" s="3" t="s">
        <v>138</v>
      </c>
      <c r="E2479" s="3">
        <v>8</v>
      </c>
      <c r="F2479">
        <f>SUM(E2466:E2479)</f>
        <v>574</v>
      </c>
      <c r="G2479" s="57"/>
    </row>
    <row r="2480" spans="1:7" ht="12.75" x14ac:dyDescent="0.2">
      <c r="A2480" s="3">
        <v>90</v>
      </c>
      <c r="B2480" s="4" t="s">
        <v>110</v>
      </c>
      <c r="C2480" s="3" t="s">
        <v>273</v>
      </c>
      <c r="D2480" s="3" t="s">
        <v>274</v>
      </c>
      <c r="E2480" s="3">
        <v>1</v>
      </c>
      <c r="G2480" s="57"/>
    </row>
    <row r="2481" spans="1:7" ht="12.75" x14ac:dyDescent="0.2">
      <c r="A2481" s="3">
        <v>90</v>
      </c>
      <c r="B2481" s="4" t="s">
        <v>110</v>
      </c>
      <c r="C2481" s="3" t="s">
        <v>273</v>
      </c>
      <c r="D2481" s="3" t="s">
        <v>283</v>
      </c>
      <c r="E2481" s="3">
        <v>254</v>
      </c>
      <c r="G2481" s="57"/>
    </row>
    <row r="2482" spans="1:7" ht="12.75" x14ac:dyDescent="0.2">
      <c r="A2482" s="3">
        <v>90</v>
      </c>
      <c r="B2482" s="4" t="s">
        <v>110</v>
      </c>
      <c r="C2482" s="3" t="s">
        <v>273</v>
      </c>
      <c r="D2482" s="3" t="s">
        <v>315</v>
      </c>
      <c r="E2482" s="3">
        <v>3</v>
      </c>
      <c r="G2482" s="57"/>
    </row>
    <row r="2483" spans="1:7" ht="12.75" x14ac:dyDescent="0.2">
      <c r="A2483" s="3">
        <v>90</v>
      </c>
      <c r="B2483" s="4" t="s">
        <v>110</v>
      </c>
      <c r="C2483" s="3" t="s">
        <v>273</v>
      </c>
      <c r="D2483" s="3" t="s">
        <v>128</v>
      </c>
      <c r="E2483" s="3">
        <v>188</v>
      </c>
      <c r="G2483" s="57"/>
    </row>
    <row r="2484" spans="1:7" ht="12.75" x14ac:dyDescent="0.2">
      <c r="A2484" s="3">
        <v>90</v>
      </c>
      <c r="B2484" s="4" t="s">
        <v>110</v>
      </c>
      <c r="C2484" s="3" t="s">
        <v>273</v>
      </c>
      <c r="D2484" s="3" t="s">
        <v>353</v>
      </c>
      <c r="E2484" s="3">
        <v>4</v>
      </c>
      <c r="G2484" s="57"/>
    </row>
    <row r="2485" spans="1:7" ht="12.75" x14ac:dyDescent="0.2">
      <c r="A2485" s="3">
        <v>90</v>
      </c>
      <c r="B2485" s="4" t="s">
        <v>110</v>
      </c>
      <c r="C2485" s="3" t="s">
        <v>273</v>
      </c>
      <c r="D2485" s="3" t="s">
        <v>371</v>
      </c>
      <c r="E2485" s="3">
        <v>74</v>
      </c>
      <c r="G2485" s="57"/>
    </row>
    <row r="2486" spans="1:7" ht="12.75" x14ac:dyDescent="0.2">
      <c r="A2486" s="3">
        <v>90</v>
      </c>
      <c r="B2486" s="4" t="s">
        <v>110</v>
      </c>
      <c r="C2486" s="3" t="s">
        <v>273</v>
      </c>
      <c r="D2486" s="3" t="s">
        <v>14</v>
      </c>
      <c r="E2486" s="3">
        <v>41</v>
      </c>
      <c r="G2486" s="57"/>
    </row>
    <row r="2487" spans="1:7" ht="12.75" x14ac:dyDescent="0.2">
      <c r="A2487" s="3">
        <v>90</v>
      </c>
      <c r="B2487" s="4" t="s">
        <v>110</v>
      </c>
      <c r="C2487" s="3" t="s">
        <v>273</v>
      </c>
      <c r="D2487" s="3" t="s">
        <v>138</v>
      </c>
      <c r="E2487" s="3">
        <v>9</v>
      </c>
      <c r="F2487">
        <f>SUM(E2480:E2487)</f>
        <v>574</v>
      </c>
      <c r="G2487" s="57"/>
    </row>
    <row r="2488" spans="1:7" ht="12.75" x14ac:dyDescent="0.2">
      <c r="A2488" s="3">
        <v>90</v>
      </c>
      <c r="B2488" s="4" t="s">
        <v>110</v>
      </c>
      <c r="C2488" s="3" t="s">
        <v>125</v>
      </c>
      <c r="D2488" s="3" t="s">
        <v>274</v>
      </c>
      <c r="E2488" s="3">
        <v>1</v>
      </c>
      <c r="G2488" s="57"/>
    </row>
    <row r="2489" spans="1:7" ht="12.75" x14ac:dyDescent="0.2">
      <c r="A2489" s="3">
        <v>90</v>
      </c>
      <c r="B2489" s="4" t="s">
        <v>110</v>
      </c>
      <c r="C2489" s="3" t="s">
        <v>125</v>
      </c>
      <c r="D2489" s="3" t="s">
        <v>283</v>
      </c>
      <c r="E2489" s="3">
        <v>259</v>
      </c>
      <c r="G2489" s="57"/>
    </row>
    <row r="2490" spans="1:7" ht="12.75" x14ac:dyDescent="0.2">
      <c r="A2490" s="3">
        <v>90</v>
      </c>
      <c r="B2490" s="4" t="s">
        <v>110</v>
      </c>
      <c r="C2490" s="3" t="s">
        <v>125</v>
      </c>
      <c r="D2490" s="3" t="s">
        <v>315</v>
      </c>
      <c r="E2490" s="3">
        <v>3</v>
      </c>
      <c r="G2490" s="57"/>
    </row>
    <row r="2491" spans="1:7" ht="12.75" x14ac:dyDescent="0.2">
      <c r="A2491" s="3">
        <v>90</v>
      </c>
      <c r="B2491" s="4" t="s">
        <v>110</v>
      </c>
      <c r="C2491" s="3" t="s">
        <v>125</v>
      </c>
      <c r="D2491" s="3" t="s">
        <v>128</v>
      </c>
      <c r="E2491" s="3">
        <v>185</v>
      </c>
      <c r="G2491" s="57"/>
    </row>
    <row r="2492" spans="1:7" ht="12.75" x14ac:dyDescent="0.2">
      <c r="A2492" s="3">
        <v>90</v>
      </c>
      <c r="B2492" s="4" t="s">
        <v>110</v>
      </c>
      <c r="C2492" s="3" t="s">
        <v>125</v>
      </c>
      <c r="D2492" s="3" t="s">
        <v>353</v>
      </c>
      <c r="E2492" s="3">
        <v>5</v>
      </c>
      <c r="G2492" s="57"/>
    </row>
    <row r="2493" spans="1:7" ht="12.75" x14ac:dyDescent="0.2">
      <c r="A2493" s="3">
        <v>90</v>
      </c>
      <c r="B2493" s="4" t="s">
        <v>110</v>
      </c>
      <c r="C2493" s="3" t="s">
        <v>125</v>
      </c>
      <c r="D2493" s="3" t="s">
        <v>371</v>
      </c>
      <c r="E2493" s="3">
        <v>68</v>
      </c>
      <c r="G2493" s="57"/>
    </row>
    <row r="2494" spans="1:7" ht="12.75" x14ac:dyDescent="0.2">
      <c r="A2494" s="3">
        <v>90</v>
      </c>
      <c r="B2494" s="4" t="s">
        <v>110</v>
      </c>
      <c r="C2494" s="3" t="s">
        <v>125</v>
      </c>
      <c r="D2494" s="3" t="s">
        <v>14</v>
      </c>
      <c r="E2494" s="3">
        <v>45</v>
      </c>
      <c r="G2494" s="57"/>
    </row>
    <row r="2495" spans="1:7" ht="12.75" x14ac:dyDescent="0.2">
      <c r="A2495" s="3">
        <v>90</v>
      </c>
      <c r="B2495" s="4" t="s">
        <v>110</v>
      </c>
      <c r="C2495" s="3" t="s">
        <v>125</v>
      </c>
      <c r="D2495" s="3" t="s">
        <v>138</v>
      </c>
      <c r="E2495" s="3">
        <v>8</v>
      </c>
      <c r="F2495">
        <f>SUM(E2488:E2495)</f>
        <v>574</v>
      </c>
      <c r="G2495" s="57"/>
    </row>
    <row r="2496" spans="1:7" ht="12.75" x14ac:dyDescent="0.2">
      <c r="A2496" s="3">
        <v>91</v>
      </c>
      <c r="B2496" s="4" t="s">
        <v>111</v>
      </c>
      <c r="C2496" s="3" t="s">
        <v>347</v>
      </c>
      <c r="D2496" s="3" t="s">
        <v>366</v>
      </c>
      <c r="E2496" s="3">
        <v>0</v>
      </c>
      <c r="G2496" s="59">
        <v>314</v>
      </c>
    </row>
    <row r="2497" spans="1:7" ht="12.75" x14ac:dyDescent="0.2">
      <c r="A2497" s="3">
        <v>91</v>
      </c>
      <c r="B2497" s="4" t="s">
        <v>111</v>
      </c>
      <c r="C2497" s="3" t="s">
        <v>347</v>
      </c>
      <c r="D2497" s="3" t="s">
        <v>274</v>
      </c>
      <c r="E2497" s="3">
        <v>0</v>
      </c>
      <c r="G2497" s="57"/>
    </row>
    <row r="2498" spans="1:7" ht="12.75" x14ac:dyDescent="0.2">
      <c r="A2498" s="3">
        <v>91</v>
      </c>
      <c r="B2498" s="4" t="s">
        <v>111</v>
      </c>
      <c r="C2498" s="3" t="s">
        <v>347</v>
      </c>
      <c r="D2498" s="3" t="s">
        <v>367</v>
      </c>
      <c r="E2498" s="3">
        <v>0</v>
      </c>
      <c r="G2498" s="57"/>
    </row>
    <row r="2499" spans="1:7" ht="12.75" x14ac:dyDescent="0.2">
      <c r="A2499" s="3">
        <v>91</v>
      </c>
      <c r="B2499" s="4" t="s">
        <v>111</v>
      </c>
      <c r="C2499" s="3" t="s">
        <v>347</v>
      </c>
      <c r="D2499" s="3" t="s">
        <v>368</v>
      </c>
      <c r="E2499" s="3">
        <v>0</v>
      </c>
      <c r="G2499" s="57"/>
    </row>
    <row r="2500" spans="1:7" ht="12.75" x14ac:dyDescent="0.2">
      <c r="A2500" s="3">
        <v>91</v>
      </c>
      <c r="B2500" s="4" t="s">
        <v>111</v>
      </c>
      <c r="C2500" s="3" t="s">
        <v>347</v>
      </c>
      <c r="D2500" s="3" t="s">
        <v>283</v>
      </c>
      <c r="E2500" s="3">
        <v>101</v>
      </c>
      <c r="G2500" s="57"/>
    </row>
    <row r="2501" spans="1:7" ht="12.75" x14ac:dyDescent="0.2">
      <c r="A2501" s="3">
        <v>91</v>
      </c>
      <c r="B2501" s="4" t="s">
        <v>111</v>
      </c>
      <c r="C2501" s="3" t="s">
        <v>347</v>
      </c>
      <c r="D2501" s="3" t="s">
        <v>315</v>
      </c>
      <c r="E2501" s="3">
        <v>4</v>
      </c>
      <c r="G2501" s="57"/>
    </row>
    <row r="2502" spans="1:7" ht="12.75" x14ac:dyDescent="0.2">
      <c r="A2502" s="3">
        <v>91</v>
      </c>
      <c r="B2502" s="4" t="s">
        <v>111</v>
      </c>
      <c r="C2502" s="3" t="s">
        <v>347</v>
      </c>
      <c r="D2502" s="3" t="s">
        <v>316</v>
      </c>
      <c r="E2502" s="3">
        <v>2</v>
      </c>
      <c r="G2502" s="57"/>
    </row>
    <row r="2503" spans="1:7" ht="12.75" x14ac:dyDescent="0.2">
      <c r="A2503" s="3">
        <v>91</v>
      </c>
      <c r="B2503" s="4" t="s">
        <v>111</v>
      </c>
      <c r="C2503" s="3" t="s">
        <v>347</v>
      </c>
      <c r="D2503" s="3" t="s">
        <v>369</v>
      </c>
      <c r="E2503" s="3">
        <v>0</v>
      </c>
      <c r="G2503" s="57"/>
    </row>
    <row r="2504" spans="1:7" ht="12.75" x14ac:dyDescent="0.2">
      <c r="A2504" s="3">
        <v>91</v>
      </c>
      <c r="B2504" s="4" t="s">
        <v>111</v>
      </c>
      <c r="C2504" s="3" t="s">
        <v>347</v>
      </c>
      <c r="D2504" s="3" t="s">
        <v>128</v>
      </c>
      <c r="E2504" s="3">
        <v>117</v>
      </c>
      <c r="G2504" s="57"/>
    </row>
    <row r="2505" spans="1:7" ht="12.75" x14ac:dyDescent="0.2">
      <c r="A2505" s="3">
        <v>91</v>
      </c>
      <c r="B2505" s="4" t="s">
        <v>111</v>
      </c>
      <c r="C2505" s="3" t="s">
        <v>347</v>
      </c>
      <c r="D2505" s="3" t="s">
        <v>370</v>
      </c>
      <c r="E2505" s="3">
        <v>0</v>
      </c>
      <c r="G2505" s="57"/>
    </row>
    <row r="2506" spans="1:7" ht="12.75" x14ac:dyDescent="0.2">
      <c r="A2506" s="3">
        <v>91</v>
      </c>
      <c r="B2506" s="4" t="s">
        <v>111</v>
      </c>
      <c r="C2506" s="3" t="s">
        <v>347</v>
      </c>
      <c r="D2506" s="3" t="s">
        <v>353</v>
      </c>
      <c r="E2506" s="3">
        <v>5</v>
      </c>
      <c r="G2506" s="57"/>
    </row>
    <row r="2507" spans="1:7" ht="12.75" x14ac:dyDescent="0.2">
      <c r="A2507" s="3">
        <v>91</v>
      </c>
      <c r="B2507" s="4" t="s">
        <v>111</v>
      </c>
      <c r="C2507" s="3" t="s">
        <v>347</v>
      </c>
      <c r="D2507" s="3" t="s">
        <v>371</v>
      </c>
      <c r="E2507" s="3">
        <v>26</v>
      </c>
      <c r="G2507" s="57"/>
    </row>
    <row r="2508" spans="1:7" ht="12.75" x14ac:dyDescent="0.2">
      <c r="A2508" s="3">
        <v>91</v>
      </c>
      <c r="B2508" s="4" t="s">
        <v>111</v>
      </c>
      <c r="C2508" s="3" t="s">
        <v>347</v>
      </c>
      <c r="D2508" s="3" t="s">
        <v>14</v>
      </c>
      <c r="E2508" s="3">
        <v>11</v>
      </c>
      <c r="G2508" s="57"/>
    </row>
    <row r="2509" spans="1:7" ht="12.75" x14ac:dyDescent="0.2">
      <c r="A2509" s="3">
        <v>91</v>
      </c>
      <c r="B2509" s="4" t="s">
        <v>111</v>
      </c>
      <c r="C2509" s="3" t="s">
        <v>347</v>
      </c>
      <c r="D2509" s="3" t="s">
        <v>138</v>
      </c>
      <c r="E2509" s="3">
        <v>0</v>
      </c>
      <c r="F2509">
        <f>SUM(E2496:E2509)</f>
        <v>266</v>
      </c>
      <c r="G2509" s="57"/>
    </row>
    <row r="2510" spans="1:7" ht="12.75" x14ac:dyDescent="0.2">
      <c r="A2510" s="3">
        <v>91</v>
      </c>
      <c r="B2510" s="4" t="s">
        <v>111</v>
      </c>
      <c r="C2510" s="3" t="s">
        <v>273</v>
      </c>
      <c r="D2510" s="3" t="s">
        <v>274</v>
      </c>
      <c r="E2510" s="3">
        <v>3</v>
      </c>
      <c r="G2510" s="57"/>
    </row>
    <row r="2511" spans="1:7" ht="12.75" x14ac:dyDescent="0.2">
      <c r="A2511" s="3">
        <v>91</v>
      </c>
      <c r="B2511" s="4" t="s">
        <v>111</v>
      </c>
      <c r="C2511" s="3" t="s">
        <v>273</v>
      </c>
      <c r="D2511" s="3" t="s">
        <v>283</v>
      </c>
      <c r="E2511" s="3">
        <v>119</v>
      </c>
      <c r="G2511" s="57"/>
    </row>
    <row r="2512" spans="1:7" ht="12.75" x14ac:dyDescent="0.2">
      <c r="A2512" s="3">
        <v>91</v>
      </c>
      <c r="B2512" s="4" t="s">
        <v>111</v>
      </c>
      <c r="C2512" s="3" t="s">
        <v>273</v>
      </c>
      <c r="D2512" s="3" t="s">
        <v>315</v>
      </c>
      <c r="E2512" s="3">
        <v>4</v>
      </c>
      <c r="G2512" s="57"/>
    </row>
    <row r="2513" spans="1:7" ht="12.75" x14ac:dyDescent="0.2">
      <c r="A2513" s="3">
        <v>91</v>
      </c>
      <c r="B2513" s="4" t="s">
        <v>111</v>
      </c>
      <c r="C2513" s="3" t="s">
        <v>273</v>
      </c>
      <c r="D2513" s="3" t="s">
        <v>128</v>
      </c>
      <c r="E2513" s="3">
        <v>111</v>
      </c>
      <c r="G2513" s="57"/>
    </row>
    <row r="2514" spans="1:7" ht="12.75" x14ac:dyDescent="0.2">
      <c r="A2514" s="3">
        <v>91</v>
      </c>
      <c r="B2514" s="4" t="s">
        <v>111</v>
      </c>
      <c r="C2514" s="3" t="s">
        <v>273</v>
      </c>
      <c r="D2514" s="3" t="s">
        <v>353</v>
      </c>
      <c r="E2514" s="3">
        <v>3</v>
      </c>
      <c r="G2514" s="57"/>
    </row>
    <row r="2515" spans="1:7" ht="12.75" x14ac:dyDescent="0.2">
      <c r="A2515" s="3">
        <v>91</v>
      </c>
      <c r="B2515" s="4" t="s">
        <v>111</v>
      </c>
      <c r="C2515" s="3" t="s">
        <v>273</v>
      </c>
      <c r="D2515" s="3" t="s">
        <v>371</v>
      </c>
      <c r="E2515" s="3">
        <v>15</v>
      </c>
      <c r="G2515" s="57"/>
    </row>
    <row r="2516" spans="1:7" ht="12.75" x14ac:dyDescent="0.2">
      <c r="A2516" s="3">
        <v>91</v>
      </c>
      <c r="B2516" s="4" t="s">
        <v>111</v>
      </c>
      <c r="C2516" s="3" t="s">
        <v>273</v>
      </c>
      <c r="D2516" s="3" t="s">
        <v>14</v>
      </c>
      <c r="E2516" s="3">
        <v>11</v>
      </c>
      <c r="G2516" s="57"/>
    </row>
    <row r="2517" spans="1:7" ht="12.75" x14ac:dyDescent="0.2">
      <c r="A2517" s="3">
        <v>91</v>
      </c>
      <c r="B2517" s="4" t="s">
        <v>111</v>
      </c>
      <c r="C2517" s="3" t="s">
        <v>273</v>
      </c>
      <c r="D2517" s="3" t="s">
        <v>138</v>
      </c>
      <c r="E2517" s="3">
        <v>0</v>
      </c>
      <c r="F2517">
        <f>SUM(E2510:E2517)</f>
        <v>266</v>
      </c>
      <c r="G2517" s="57"/>
    </row>
    <row r="2518" spans="1:7" ht="12.75" x14ac:dyDescent="0.2">
      <c r="A2518" s="3">
        <v>91</v>
      </c>
      <c r="B2518" s="4" t="s">
        <v>111</v>
      </c>
      <c r="C2518" s="3" t="s">
        <v>125</v>
      </c>
      <c r="D2518" s="3" t="s">
        <v>274</v>
      </c>
      <c r="E2518" s="3">
        <v>3</v>
      </c>
      <c r="G2518" s="57"/>
    </row>
    <row r="2519" spans="1:7" ht="12.75" x14ac:dyDescent="0.2">
      <c r="A2519" s="3">
        <v>91</v>
      </c>
      <c r="B2519" s="4" t="s">
        <v>111</v>
      </c>
      <c r="C2519" s="3" t="s">
        <v>125</v>
      </c>
      <c r="D2519" s="3" t="s">
        <v>283</v>
      </c>
      <c r="E2519" s="3">
        <v>119</v>
      </c>
      <c r="G2519" s="57"/>
    </row>
    <row r="2520" spans="1:7" ht="12.75" x14ac:dyDescent="0.2">
      <c r="A2520" s="3">
        <v>91</v>
      </c>
      <c r="B2520" s="4" t="s">
        <v>111</v>
      </c>
      <c r="C2520" s="3" t="s">
        <v>125</v>
      </c>
      <c r="D2520" s="3" t="s">
        <v>315</v>
      </c>
      <c r="E2520" s="3">
        <v>4</v>
      </c>
      <c r="G2520" s="57"/>
    </row>
    <row r="2521" spans="1:7" ht="12.75" x14ac:dyDescent="0.2">
      <c r="A2521" s="3">
        <v>91</v>
      </c>
      <c r="B2521" s="4" t="s">
        <v>111</v>
      </c>
      <c r="C2521" s="3" t="s">
        <v>125</v>
      </c>
      <c r="D2521" s="3" t="s">
        <v>128</v>
      </c>
      <c r="E2521" s="3">
        <v>111</v>
      </c>
      <c r="G2521" s="57"/>
    </row>
    <row r="2522" spans="1:7" ht="12.75" x14ac:dyDescent="0.2">
      <c r="A2522" s="3">
        <v>91</v>
      </c>
      <c r="B2522" s="4" t="s">
        <v>111</v>
      </c>
      <c r="C2522" s="3" t="s">
        <v>125</v>
      </c>
      <c r="D2522" s="3" t="s">
        <v>353</v>
      </c>
      <c r="E2522" s="3">
        <v>3</v>
      </c>
      <c r="G2522" s="57"/>
    </row>
    <row r="2523" spans="1:7" ht="12.75" x14ac:dyDescent="0.2">
      <c r="A2523" s="3">
        <v>91</v>
      </c>
      <c r="B2523" s="4" t="s">
        <v>111</v>
      </c>
      <c r="C2523" s="3" t="s">
        <v>125</v>
      </c>
      <c r="D2523" s="3" t="s">
        <v>371</v>
      </c>
      <c r="E2523" s="3">
        <v>14</v>
      </c>
      <c r="G2523" s="57"/>
    </row>
    <row r="2524" spans="1:7" ht="12.75" x14ac:dyDescent="0.2">
      <c r="A2524" s="3">
        <v>91</v>
      </c>
      <c r="B2524" s="4" t="s">
        <v>111</v>
      </c>
      <c r="C2524" s="3" t="s">
        <v>125</v>
      </c>
      <c r="D2524" s="3" t="s">
        <v>14</v>
      </c>
      <c r="E2524" s="3">
        <v>12</v>
      </c>
      <c r="G2524" s="57"/>
    </row>
    <row r="2525" spans="1:7" ht="12.75" x14ac:dyDescent="0.2">
      <c r="A2525" s="3">
        <v>91</v>
      </c>
      <c r="B2525" s="4" t="s">
        <v>111</v>
      </c>
      <c r="C2525" s="3" t="s">
        <v>125</v>
      </c>
      <c r="D2525" s="3" t="s">
        <v>138</v>
      </c>
      <c r="E2525" s="3">
        <v>0</v>
      </c>
      <c r="F2525">
        <f>SUM(E2518:E2525)</f>
        <v>266</v>
      </c>
      <c r="G2525" s="57"/>
    </row>
    <row r="2526" spans="1:7" ht="12.75" x14ac:dyDescent="0.2">
      <c r="A2526" s="3">
        <v>92</v>
      </c>
      <c r="B2526" s="4" t="s">
        <v>112</v>
      </c>
      <c r="C2526" s="3" t="s">
        <v>347</v>
      </c>
      <c r="D2526" s="3" t="s">
        <v>366</v>
      </c>
      <c r="E2526" s="3">
        <v>0</v>
      </c>
      <c r="G2526" s="59">
        <v>264</v>
      </c>
    </row>
    <row r="2527" spans="1:7" ht="12.75" x14ac:dyDescent="0.2">
      <c r="A2527" s="3">
        <v>92</v>
      </c>
      <c r="B2527" s="4" t="s">
        <v>112</v>
      </c>
      <c r="C2527" s="3" t="s">
        <v>347</v>
      </c>
      <c r="D2527" s="3" t="s">
        <v>274</v>
      </c>
      <c r="E2527" s="3">
        <v>0</v>
      </c>
      <c r="G2527" s="57"/>
    </row>
    <row r="2528" spans="1:7" ht="12.75" x14ac:dyDescent="0.2">
      <c r="A2528" s="3">
        <v>92</v>
      </c>
      <c r="B2528" s="4" t="s">
        <v>112</v>
      </c>
      <c r="C2528" s="3" t="s">
        <v>347</v>
      </c>
      <c r="D2528" s="3" t="s">
        <v>367</v>
      </c>
      <c r="E2528" s="3">
        <v>0</v>
      </c>
      <c r="G2528" s="57"/>
    </row>
    <row r="2529" spans="1:7" ht="12.75" x14ac:dyDescent="0.2">
      <c r="A2529" s="3">
        <v>92</v>
      </c>
      <c r="B2529" s="4" t="s">
        <v>112</v>
      </c>
      <c r="C2529" s="3" t="s">
        <v>347</v>
      </c>
      <c r="D2529" s="3" t="s">
        <v>368</v>
      </c>
      <c r="E2529" s="3">
        <v>2</v>
      </c>
      <c r="G2529" s="57"/>
    </row>
    <row r="2530" spans="1:7" ht="12.75" x14ac:dyDescent="0.2">
      <c r="A2530" s="3">
        <v>92</v>
      </c>
      <c r="B2530" s="4" t="s">
        <v>112</v>
      </c>
      <c r="C2530" s="3" t="s">
        <v>347</v>
      </c>
      <c r="D2530" s="3" t="s">
        <v>283</v>
      </c>
      <c r="E2530" s="3">
        <v>90</v>
      </c>
      <c r="G2530" s="57"/>
    </row>
    <row r="2531" spans="1:7" ht="12.75" x14ac:dyDescent="0.2">
      <c r="A2531" s="3">
        <v>92</v>
      </c>
      <c r="B2531" s="4" t="s">
        <v>112</v>
      </c>
      <c r="C2531" s="3" t="s">
        <v>347</v>
      </c>
      <c r="D2531" s="3" t="s">
        <v>315</v>
      </c>
      <c r="E2531" s="3">
        <v>0</v>
      </c>
      <c r="G2531" s="57"/>
    </row>
    <row r="2532" spans="1:7" ht="12.75" x14ac:dyDescent="0.2">
      <c r="A2532" s="3">
        <v>92</v>
      </c>
      <c r="B2532" s="4" t="s">
        <v>112</v>
      </c>
      <c r="C2532" s="3" t="s">
        <v>347</v>
      </c>
      <c r="D2532" s="3" t="s">
        <v>316</v>
      </c>
      <c r="E2532" s="3">
        <v>4</v>
      </c>
      <c r="G2532" s="57"/>
    </row>
    <row r="2533" spans="1:7" ht="12.75" x14ac:dyDescent="0.2">
      <c r="A2533" s="3">
        <v>92</v>
      </c>
      <c r="B2533" s="4" t="s">
        <v>112</v>
      </c>
      <c r="C2533" s="3" t="s">
        <v>347</v>
      </c>
      <c r="D2533" s="3" t="s">
        <v>369</v>
      </c>
      <c r="E2533" s="3">
        <v>0</v>
      </c>
      <c r="G2533" s="57"/>
    </row>
    <row r="2534" spans="1:7" ht="12.75" x14ac:dyDescent="0.2">
      <c r="A2534" s="3">
        <v>92</v>
      </c>
      <c r="B2534" s="4" t="s">
        <v>112</v>
      </c>
      <c r="C2534" s="3" t="s">
        <v>347</v>
      </c>
      <c r="D2534" s="3" t="s">
        <v>128</v>
      </c>
      <c r="E2534" s="3">
        <v>61</v>
      </c>
      <c r="G2534" s="57"/>
    </row>
    <row r="2535" spans="1:7" ht="12.75" x14ac:dyDescent="0.2">
      <c r="A2535" s="3">
        <v>92</v>
      </c>
      <c r="B2535" s="4" t="s">
        <v>112</v>
      </c>
      <c r="C2535" s="3" t="s">
        <v>347</v>
      </c>
      <c r="D2535" s="3" t="s">
        <v>370</v>
      </c>
      <c r="E2535" s="3">
        <v>0</v>
      </c>
      <c r="G2535" s="57"/>
    </row>
    <row r="2536" spans="1:7" ht="12.75" x14ac:dyDescent="0.2">
      <c r="A2536" s="3">
        <v>92</v>
      </c>
      <c r="B2536" s="4" t="s">
        <v>112</v>
      </c>
      <c r="C2536" s="3" t="s">
        <v>347</v>
      </c>
      <c r="D2536" s="3" t="s">
        <v>353</v>
      </c>
      <c r="E2536" s="3">
        <v>1</v>
      </c>
      <c r="G2536" s="57"/>
    </row>
    <row r="2537" spans="1:7" ht="12.75" x14ac:dyDescent="0.2">
      <c r="A2537" s="3">
        <v>92</v>
      </c>
      <c r="B2537" s="4" t="s">
        <v>112</v>
      </c>
      <c r="C2537" s="3" t="s">
        <v>347</v>
      </c>
      <c r="D2537" s="3" t="s">
        <v>371</v>
      </c>
      <c r="E2537" s="3">
        <v>25</v>
      </c>
      <c r="G2537" s="57"/>
    </row>
    <row r="2538" spans="1:7" ht="12.75" x14ac:dyDescent="0.2">
      <c r="A2538" s="3">
        <v>92</v>
      </c>
      <c r="B2538" s="4" t="s">
        <v>112</v>
      </c>
      <c r="C2538" s="3" t="s">
        <v>347</v>
      </c>
      <c r="D2538" s="3" t="s">
        <v>14</v>
      </c>
      <c r="E2538" s="3">
        <v>21</v>
      </c>
      <c r="G2538" s="57"/>
    </row>
    <row r="2539" spans="1:7" ht="12.75" x14ac:dyDescent="0.2">
      <c r="A2539" s="3">
        <v>92</v>
      </c>
      <c r="B2539" s="4" t="s">
        <v>112</v>
      </c>
      <c r="C2539" s="3" t="s">
        <v>347</v>
      </c>
      <c r="D2539" s="3" t="s">
        <v>138</v>
      </c>
      <c r="E2539" s="3">
        <v>0</v>
      </c>
      <c r="F2539">
        <f>SUM(E2526:E2539)</f>
        <v>204</v>
      </c>
      <c r="G2539" s="57"/>
    </row>
    <row r="2540" spans="1:7" ht="12.75" x14ac:dyDescent="0.2">
      <c r="A2540" s="3">
        <v>92</v>
      </c>
      <c r="B2540" s="4" t="s">
        <v>112</v>
      </c>
      <c r="C2540" s="3" t="s">
        <v>273</v>
      </c>
      <c r="D2540" s="3" t="s">
        <v>274</v>
      </c>
      <c r="E2540" s="3">
        <v>0</v>
      </c>
      <c r="G2540" s="57"/>
    </row>
    <row r="2541" spans="1:7" ht="12.75" x14ac:dyDescent="0.2">
      <c r="A2541" s="3">
        <v>92</v>
      </c>
      <c r="B2541" s="4" t="s">
        <v>112</v>
      </c>
      <c r="C2541" s="3" t="s">
        <v>273</v>
      </c>
      <c r="D2541" s="3" t="s">
        <v>283</v>
      </c>
      <c r="E2541" s="3">
        <v>110</v>
      </c>
      <c r="G2541" s="57"/>
    </row>
    <row r="2542" spans="1:7" ht="12.75" x14ac:dyDescent="0.2">
      <c r="A2542" s="3">
        <v>92</v>
      </c>
      <c r="B2542" s="4" t="s">
        <v>112</v>
      </c>
      <c r="C2542" s="3" t="s">
        <v>273</v>
      </c>
      <c r="D2542" s="3" t="s">
        <v>315</v>
      </c>
      <c r="E2542" s="3">
        <v>0</v>
      </c>
      <c r="G2542" s="57"/>
    </row>
    <row r="2543" spans="1:7" ht="12.75" x14ac:dyDescent="0.2">
      <c r="A2543" s="3">
        <v>92</v>
      </c>
      <c r="B2543" s="4" t="s">
        <v>112</v>
      </c>
      <c r="C2543" s="3" t="s">
        <v>273</v>
      </c>
      <c r="D2543" s="3" t="s">
        <v>128</v>
      </c>
      <c r="E2543" s="3">
        <v>56</v>
      </c>
      <c r="G2543" s="57"/>
    </row>
    <row r="2544" spans="1:7" ht="12.75" x14ac:dyDescent="0.2">
      <c r="A2544" s="3">
        <v>92</v>
      </c>
      <c r="B2544" s="4" t="s">
        <v>112</v>
      </c>
      <c r="C2544" s="3" t="s">
        <v>273</v>
      </c>
      <c r="D2544" s="3" t="s">
        <v>353</v>
      </c>
      <c r="E2544" s="3">
        <v>1</v>
      </c>
      <c r="G2544" s="57"/>
    </row>
    <row r="2545" spans="1:7" ht="12.75" x14ac:dyDescent="0.2">
      <c r="A2545" s="3">
        <v>92</v>
      </c>
      <c r="B2545" s="4" t="s">
        <v>112</v>
      </c>
      <c r="C2545" s="3" t="s">
        <v>273</v>
      </c>
      <c r="D2545" s="3" t="s">
        <v>371</v>
      </c>
      <c r="E2545" s="3">
        <v>0</v>
      </c>
      <c r="G2545" s="57"/>
    </row>
    <row r="2546" spans="1:7" ht="12.75" x14ac:dyDescent="0.2">
      <c r="A2546" s="3">
        <v>92</v>
      </c>
      <c r="B2546" s="4" t="s">
        <v>112</v>
      </c>
      <c r="C2546" s="3" t="s">
        <v>273</v>
      </c>
      <c r="D2546" s="3" t="s">
        <v>14</v>
      </c>
      <c r="E2546" s="3">
        <v>37</v>
      </c>
      <c r="G2546" s="57"/>
    </row>
    <row r="2547" spans="1:7" ht="12.75" x14ac:dyDescent="0.2">
      <c r="A2547" s="3">
        <v>92</v>
      </c>
      <c r="B2547" s="4" t="s">
        <v>112</v>
      </c>
      <c r="C2547" s="3" t="s">
        <v>273</v>
      </c>
      <c r="D2547" s="3" t="s">
        <v>138</v>
      </c>
      <c r="E2547" s="3">
        <v>0</v>
      </c>
      <c r="F2547">
        <f>SUM(E2540:E2547)</f>
        <v>204</v>
      </c>
      <c r="G2547" s="57"/>
    </row>
    <row r="2548" spans="1:7" ht="12.75" x14ac:dyDescent="0.2">
      <c r="A2548" s="3">
        <v>92</v>
      </c>
      <c r="B2548" s="4" t="s">
        <v>112</v>
      </c>
      <c r="C2548" s="3" t="s">
        <v>125</v>
      </c>
      <c r="D2548" s="3" t="s">
        <v>274</v>
      </c>
      <c r="E2548" s="3">
        <v>0</v>
      </c>
      <c r="G2548" s="57"/>
    </row>
    <row r="2549" spans="1:7" ht="12.75" x14ac:dyDescent="0.2">
      <c r="A2549" s="3">
        <v>92</v>
      </c>
      <c r="B2549" s="4" t="s">
        <v>112</v>
      </c>
      <c r="C2549" s="3" t="s">
        <v>125</v>
      </c>
      <c r="D2549" s="3" t="s">
        <v>283</v>
      </c>
      <c r="E2549" s="3">
        <v>109</v>
      </c>
      <c r="G2549" s="57"/>
    </row>
    <row r="2550" spans="1:7" ht="12.75" x14ac:dyDescent="0.2">
      <c r="A2550" s="3">
        <v>92</v>
      </c>
      <c r="B2550" s="4" t="s">
        <v>112</v>
      </c>
      <c r="C2550" s="3" t="s">
        <v>125</v>
      </c>
      <c r="D2550" s="3" t="s">
        <v>315</v>
      </c>
      <c r="E2550" s="3">
        <v>0</v>
      </c>
      <c r="G2550" s="57"/>
    </row>
    <row r="2551" spans="1:7" ht="12.75" x14ac:dyDescent="0.2">
      <c r="A2551" s="3">
        <v>92</v>
      </c>
      <c r="B2551" s="4" t="s">
        <v>112</v>
      </c>
      <c r="C2551" s="3" t="s">
        <v>125</v>
      </c>
      <c r="D2551" s="3" t="s">
        <v>128</v>
      </c>
      <c r="E2551" s="3">
        <v>53</v>
      </c>
      <c r="G2551" s="57"/>
    </row>
    <row r="2552" spans="1:7" ht="12.75" x14ac:dyDescent="0.2">
      <c r="A2552" s="3">
        <v>92</v>
      </c>
      <c r="B2552" s="4" t="s">
        <v>112</v>
      </c>
      <c r="C2552" s="3" t="s">
        <v>125</v>
      </c>
      <c r="D2552" s="3" t="s">
        <v>353</v>
      </c>
      <c r="E2552" s="3">
        <v>1</v>
      </c>
      <c r="G2552" s="57"/>
    </row>
    <row r="2553" spans="1:7" ht="12.75" x14ac:dyDescent="0.2">
      <c r="A2553" s="3">
        <v>92</v>
      </c>
      <c r="B2553" s="4" t="s">
        <v>112</v>
      </c>
      <c r="C2553" s="3" t="s">
        <v>125</v>
      </c>
      <c r="D2553" s="3" t="s">
        <v>371</v>
      </c>
      <c r="E2553" s="3">
        <v>0</v>
      </c>
      <c r="G2553" s="57"/>
    </row>
    <row r="2554" spans="1:7" ht="12.75" x14ac:dyDescent="0.2">
      <c r="A2554" s="3">
        <v>92</v>
      </c>
      <c r="B2554" s="4" t="s">
        <v>112</v>
      </c>
      <c r="C2554" s="3" t="s">
        <v>125</v>
      </c>
      <c r="D2554" s="3" t="s">
        <v>14</v>
      </c>
      <c r="E2554" s="3">
        <v>41</v>
      </c>
      <c r="G2554" s="57"/>
    </row>
    <row r="2555" spans="1:7" ht="12.75" x14ac:dyDescent="0.2">
      <c r="A2555" s="3">
        <v>92</v>
      </c>
      <c r="B2555" s="4" t="s">
        <v>112</v>
      </c>
      <c r="C2555" s="3" t="s">
        <v>125</v>
      </c>
      <c r="D2555" s="3" t="s">
        <v>138</v>
      </c>
      <c r="E2555" s="3">
        <v>0</v>
      </c>
      <c r="F2555">
        <f>SUM(E2548:E2555)</f>
        <v>204</v>
      </c>
      <c r="G2555" s="57"/>
    </row>
    <row r="2556" spans="1:7" ht="12.75" x14ac:dyDescent="0.2">
      <c r="A2556" s="3">
        <v>94</v>
      </c>
      <c r="B2556" s="4" t="s">
        <v>114</v>
      </c>
      <c r="C2556" s="3" t="s">
        <v>347</v>
      </c>
      <c r="D2556" s="3" t="s">
        <v>366</v>
      </c>
      <c r="E2556" s="3">
        <v>1</v>
      </c>
      <c r="G2556" s="59">
        <v>446</v>
      </c>
    </row>
    <row r="2557" spans="1:7" ht="12.75" x14ac:dyDescent="0.2">
      <c r="A2557" s="3">
        <v>94</v>
      </c>
      <c r="B2557" s="4" t="s">
        <v>114</v>
      </c>
      <c r="C2557" s="3" t="s">
        <v>347</v>
      </c>
      <c r="D2557" s="3" t="s">
        <v>274</v>
      </c>
      <c r="E2557" s="3">
        <v>0</v>
      </c>
      <c r="G2557" s="57"/>
    </row>
    <row r="2558" spans="1:7" ht="12.75" x14ac:dyDescent="0.2">
      <c r="A2558" s="3">
        <v>94</v>
      </c>
      <c r="B2558" s="4" t="s">
        <v>114</v>
      </c>
      <c r="C2558" s="3" t="s">
        <v>347</v>
      </c>
      <c r="D2558" s="3" t="s">
        <v>367</v>
      </c>
      <c r="E2558" s="3">
        <v>0</v>
      </c>
      <c r="G2558" s="57"/>
    </row>
    <row r="2559" spans="1:7" ht="12.75" x14ac:dyDescent="0.2">
      <c r="A2559" s="3">
        <v>94</v>
      </c>
      <c r="B2559" s="4" t="s">
        <v>114</v>
      </c>
      <c r="C2559" s="3" t="s">
        <v>347</v>
      </c>
      <c r="D2559" s="3" t="s">
        <v>368</v>
      </c>
      <c r="E2559" s="3">
        <v>1</v>
      </c>
      <c r="G2559" s="57"/>
    </row>
    <row r="2560" spans="1:7" ht="12.75" x14ac:dyDescent="0.2">
      <c r="A2560" s="3">
        <v>94</v>
      </c>
      <c r="B2560" s="4" t="s">
        <v>114</v>
      </c>
      <c r="C2560" s="3" t="s">
        <v>347</v>
      </c>
      <c r="D2560" s="3" t="s">
        <v>283</v>
      </c>
      <c r="E2560" s="3">
        <v>195</v>
      </c>
      <c r="G2560" s="57"/>
    </row>
    <row r="2561" spans="1:7" ht="12.75" x14ac:dyDescent="0.2">
      <c r="A2561" s="3">
        <v>94</v>
      </c>
      <c r="B2561" s="4" t="s">
        <v>114</v>
      </c>
      <c r="C2561" s="3" t="s">
        <v>347</v>
      </c>
      <c r="D2561" s="3" t="s">
        <v>315</v>
      </c>
      <c r="E2561" s="3">
        <v>4</v>
      </c>
      <c r="G2561" s="57"/>
    </row>
    <row r="2562" spans="1:7" ht="12.75" x14ac:dyDescent="0.2">
      <c r="A2562" s="3">
        <v>94</v>
      </c>
      <c r="B2562" s="4" t="s">
        <v>114</v>
      </c>
      <c r="C2562" s="3" t="s">
        <v>347</v>
      </c>
      <c r="D2562" s="3" t="s">
        <v>316</v>
      </c>
      <c r="E2562" s="3">
        <v>5</v>
      </c>
      <c r="G2562" s="57"/>
    </row>
    <row r="2563" spans="1:7" ht="12.75" x14ac:dyDescent="0.2">
      <c r="A2563" s="3">
        <v>94</v>
      </c>
      <c r="B2563" s="4" t="s">
        <v>114</v>
      </c>
      <c r="C2563" s="3" t="s">
        <v>347</v>
      </c>
      <c r="D2563" s="3" t="s">
        <v>369</v>
      </c>
      <c r="E2563" s="3">
        <v>0</v>
      </c>
      <c r="G2563" s="57"/>
    </row>
    <row r="2564" spans="1:7" ht="12.75" x14ac:dyDescent="0.2">
      <c r="A2564" s="3">
        <v>94</v>
      </c>
      <c r="B2564" s="4" t="s">
        <v>114</v>
      </c>
      <c r="C2564" s="3" t="s">
        <v>347</v>
      </c>
      <c r="D2564" s="3" t="s">
        <v>128</v>
      </c>
      <c r="E2564" s="3">
        <v>133</v>
      </c>
      <c r="G2564" s="57"/>
    </row>
    <row r="2565" spans="1:7" ht="12.75" x14ac:dyDescent="0.2">
      <c r="A2565" s="3">
        <v>94</v>
      </c>
      <c r="B2565" s="4" t="s">
        <v>114</v>
      </c>
      <c r="C2565" s="3" t="s">
        <v>347</v>
      </c>
      <c r="D2565" s="3" t="s">
        <v>370</v>
      </c>
      <c r="E2565" s="3">
        <v>0</v>
      </c>
      <c r="G2565" s="57"/>
    </row>
    <row r="2566" spans="1:7" ht="12.75" x14ac:dyDescent="0.2">
      <c r="A2566" s="3">
        <v>94</v>
      </c>
      <c r="B2566" s="4" t="s">
        <v>114</v>
      </c>
      <c r="C2566" s="3" t="s">
        <v>347</v>
      </c>
      <c r="D2566" s="3" t="s">
        <v>353</v>
      </c>
      <c r="E2566" s="3">
        <v>3</v>
      </c>
      <c r="G2566" s="57"/>
    </row>
    <row r="2567" spans="1:7" ht="12.75" x14ac:dyDescent="0.2">
      <c r="A2567" s="3">
        <v>94</v>
      </c>
      <c r="B2567" s="4" t="s">
        <v>114</v>
      </c>
      <c r="C2567" s="3" t="s">
        <v>347</v>
      </c>
      <c r="D2567" s="3" t="s">
        <v>371</v>
      </c>
      <c r="E2567" s="3">
        <v>31</v>
      </c>
      <c r="G2567" s="57"/>
    </row>
    <row r="2568" spans="1:7" ht="12.75" x14ac:dyDescent="0.2">
      <c r="A2568" s="3">
        <v>94</v>
      </c>
      <c r="B2568" s="4" t="s">
        <v>114</v>
      </c>
      <c r="C2568" s="3" t="s">
        <v>347</v>
      </c>
      <c r="D2568" s="3" t="s">
        <v>14</v>
      </c>
      <c r="E2568" s="3">
        <v>7</v>
      </c>
      <c r="G2568" s="57"/>
    </row>
    <row r="2569" spans="1:7" ht="12.75" x14ac:dyDescent="0.2">
      <c r="A2569" s="3">
        <v>94</v>
      </c>
      <c r="B2569" s="4" t="s">
        <v>114</v>
      </c>
      <c r="C2569" s="3" t="s">
        <v>347</v>
      </c>
      <c r="D2569" s="3" t="s">
        <v>138</v>
      </c>
      <c r="E2569" s="3">
        <v>5</v>
      </c>
      <c r="F2569">
        <f>SUM(E2556:E2569)</f>
        <v>385</v>
      </c>
      <c r="G2569" s="57"/>
    </row>
    <row r="2570" spans="1:7" ht="12.75" x14ac:dyDescent="0.2">
      <c r="A2570" s="3">
        <v>94</v>
      </c>
      <c r="B2570" s="4" t="s">
        <v>114</v>
      </c>
      <c r="C2570" s="3" t="s">
        <v>273</v>
      </c>
      <c r="D2570" s="3" t="s">
        <v>274</v>
      </c>
      <c r="E2570" s="3">
        <v>1</v>
      </c>
      <c r="G2570" s="57"/>
    </row>
    <row r="2571" spans="1:7" ht="12.75" x14ac:dyDescent="0.2">
      <c r="A2571" s="3">
        <v>94</v>
      </c>
      <c r="B2571" s="4" t="s">
        <v>114</v>
      </c>
      <c r="C2571" s="3" t="s">
        <v>273</v>
      </c>
      <c r="D2571" s="3" t="s">
        <v>283</v>
      </c>
      <c r="E2571" s="3">
        <v>212</v>
      </c>
      <c r="G2571" s="57"/>
    </row>
    <row r="2572" spans="1:7" ht="12.75" x14ac:dyDescent="0.2">
      <c r="A2572" s="3">
        <v>94</v>
      </c>
      <c r="B2572" s="4" t="s">
        <v>114</v>
      </c>
      <c r="C2572" s="3" t="s">
        <v>273</v>
      </c>
      <c r="D2572" s="3" t="s">
        <v>315</v>
      </c>
      <c r="E2572" s="3">
        <v>1</v>
      </c>
      <c r="G2572" s="57"/>
    </row>
    <row r="2573" spans="1:7" ht="12.75" x14ac:dyDescent="0.2">
      <c r="A2573" s="3">
        <v>94</v>
      </c>
      <c r="B2573" s="4" t="s">
        <v>114</v>
      </c>
      <c r="C2573" s="3" t="s">
        <v>273</v>
      </c>
      <c r="D2573" s="3" t="s">
        <v>128</v>
      </c>
      <c r="E2573" s="3">
        <v>140</v>
      </c>
      <c r="G2573" s="57"/>
    </row>
    <row r="2574" spans="1:7" ht="12.75" x14ac:dyDescent="0.2">
      <c r="A2574" s="3">
        <v>94</v>
      </c>
      <c r="B2574" s="4" t="s">
        <v>114</v>
      </c>
      <c r="C2574" s="3" t="s">
        <v>273</v>
      </c>
      <c r="D2574" s="3" t="s">
        <v>353</v>
      </c>
      <c r="E2574" s="3">
        <v>0</v>
      </c>
      <c r="G2574" s="57"/>
    </row>
    <row r="2575" spans="1:7" ht="12.75" x14ac:dyDescent="0.2">
      <c r="A2575" s="3">
        <v>94</v>
      </c>
      <c r="B2575" s="4" t="s">
        <v>114</v>
      </c>
      <c r="C2575" s="3" t="s">
        <v>273</v>
      </c>
      <c r="D2575" s="3" t="s">
        <v>371</v>
      </c>
      <c r="E2575" s="3">
        <v>15</v>
      </c>
      <c r="G2575" s="57"/>
    </row>
    <row r="2576" spans="1:7" ht="12.75" x14ac:dyDescent="0.2">
      <c r="A2576" s="3">
        <v>94</v>
      </c>
      <c r="B2576" s="4" t="s">
        <v>114</v>
      </c>
      <c r="C2576" s="3" t="s">
        <v>273</v>
      </c>
      <c r="D2576" s="3" t="s">
        <v>14</v>
      </c>
      <c r="E2576" s="3">
        <v>12</v>
      </c>
      <c r="G2576" s="57"/>
    </row>
    <row r="2577" spans="1:7" ht="12.75" x14ac:dyDescent="0.2">
      <c r="A2577" s="3">
        <v>94</v>
      </c>
      <c r="B2577" s="4" t="s">
        <v>114</v>
      </c>
      <c r="C2577" s="3" t="s">
        <v>273</v>
      </c>
      <c r="D2577" s="3" t="s">
        <v>138</v>
      </c>
      <c r="E2577" s="3">
        <v>4</v>
      </c>
      <c r="F2577">
        <f>SUM(E2570:E2577)</f>
        <v>385</v>
      </c>
      <c r="G2577" s="57"/>
    </row>
    <row r="2578" spans="1:7" ht="12.75" x14ac:dyDescent="0.2">
      <c r="A2578" s="3">
        <v>94</v>
      </c>
      <c r="B2578" s="4" t="s">
        <v>114</v>
      </c>
      <c r="C2578" s="3" t="s">
        <v>125</v>
      </c>
      <c r="D2578" s="3" t="s">
        <v>274</v>
      </c>
      <c r="E2578" s="3">
        <v>1</v>
      </c>
      <c r="G2578" s="57"/>
    </row>
    <row r="2579" spans="1:7" ht="12.75" x14ac:dyDescent="0.2">
      <c r="A2579" s="3">
        <v>94</v>
      </c>
      <c r="B2579" s="4" t="s">
        <v>114</v>
      </c>
      <c r="C2579" s="3" t="s">
        <v>125</v>
      </c>
      <c r="D2579" s="3" t="s">
        <v>283</v>
      </c>
      <c r="E2579" s="3">
        <v>211</v>
      </c>
      <c r="G2579" s="57"/>
    </row>
    <row r="2580" spans="1:7" ht="12.75" x14ac:dyDescent="0.2">
      <c r="A2580" s="3">
        <v>94</v>
      </c>
      <c r="B2580" s="4" t="s">
        <v>114</v>
      </c>
      <c r="C2580" s="3" t="s">
        <v>125</v>
      </c>
      <c r="D2580" s="3" t="s">
        <v>315</v>
      </c>
      <c r="E2580" s="3">
        <v>1</v>
      </c>
      <c r="G2580" s="57"/>
    </row>
    <row r="2581" spans="1:7" ht="12.75" x14ac:dyDescent="0.2">
      <c r="A2581" s="3">
        <v>94</v>
      </c>
      <c r="B2581" s="4" t="s">
        <v>114</v>
      </c>
      <c r="C2581" s="3" t="s">
        <v>125</v>
      </c>
      <c r="D2581" s="3" t="s">
        <v>128</v>
      </c>
      <c r="E2581" s="3">
        <v>141</v>
      </c>
      <c r="G2581" s="57"/>
    </row>
    <row r="2582" spans="1:7" ht="12.75" x14ac:dyDescent="0.2">
      <c r="A2582" s="3">
        <v>94</v>
      </c>
      <c r="B2582" s="4" t="s">
        <v>114</v>
      </c>
      <c r="C2582" s="3" t="s">
        <v>125</v>
      </c>
      <c r="D2582" s="3" t="s">
        <v>353</v>
      </c>
      <c r="E2582" s="3">
        <v>0</v>
      </c>
      <c r="G2582" s="57"/>
    </row>
    <row r="2583" spans="1:7" ht="12.75" x14ac:dyDescent="0.2">
      <c r="A2583" s="3">
        <v>94</v>
      </c>
      <c r="B2583" s="4" t="s">
        <v>114</v>
      </c>
      <c r="C2583" s="3" t="s">
        <v>125</v>
      </c>
      <c r="D2583" s="3" t="s">
        <v>371</v>
      </c>
      <c r="E2583" s="3">
        <v>15</v>
      </c>
      <c r="G2583" s="57"/>
    </row>
    <row r="2584" spans="1:7" ht="12.75" x14ac:dyDescent="0.2">
      <c r="A2584" s="3">
        <v>94</v>
      </c>
      <c r="B2584" s="4" t="s">
        <v>114</v>
      </c>
      <c r="C2584" s="3" t="s">
        <v>125</v>
      </c>
      <c r="D2584" s="3" t="s">
        <v>14</v>
      </c>
      <c r="E2584" s="3">
        <v>12</v>
      </c>
      <c r="G2584" s="57"/>
    </row>
    <row r="2585" spans="1:7" ht="12.75" x14ac:dyDescent="0.2">
      <c r="A2585" s="3">
        <v>94</v>
      </c>
      <c r="B2585" s="4" t="s">
        <v>114</v>
      </c>
      <c r="C2585" s="3" t="s">
        <v>125</v>
      </c>
      <c r="D2585" s="3" t="s">
        <v>138</v>
      </c>
      <c r="E2585" s="3">
        <v>4</v>
      </c>
      <c r="F2585">
        <f>SUM(E2578:E2585)</f>
        <v>385</v>
      </c>
      <c r="G2585" s="57"/>
    </row>
    <row r="2586" spans="1:7" ht="12.75" x14ac:dyDescent="0.2">
      <c r="A2586" s="3">
        <v>95</v>
      </c>
      <c r="B2586" s="4" t="s">
        <v>115</v>
      </c>
      <c r="C2586" s="3" t="s">
        <v>347</v>
      </c>
      <c r="D2586" s="3" t="s">
        <v>366</v>
      </c>
      <c r="E2586" s="3">
        <v>0</v>
      </c>
      <c r="G2586" s="59">
        <v>127</v>
      </c>
    </row>
    <row r="2587" spans="1:7" ht="12.75" x14ac:dyDescent="0.2">
      <c r="A2587" s="3">
        <v>95</v>
      </c>
      <c r="B2587" s="4" t="s">
        <v>115</v>
      </c>
      <c r="C2587" s="3" t="s">
        <v>347</v>
      </c>
      <c r="D2587" s="3" t="s">
        <v>274</v>
      </c>
      <c r="E2587" s="3">
        <v>0</v>
      </c>
      <c r="G2587" s="57"/>
    </row>
    <row r="2588" spans="1:7" ht="12.75" x14ac:dyDescent="0.2">
      <c r="A2588" s="3">
        <v>95</v>
      </c>
      <c r="B2588" s="4" t="s">
        <v>115</v>
      </c>
      <c r="C2588" s="3" t="s">
        <v>347</v>
      </c>
      <c r="D2588" s="3" t="s">
        <v>367</v>
      </c>
      <c r="E2588" s="3">
        <v>0</v>
      </c>
      <c r="G2588" s="57"/>
    </row>
    <row r="2589" spans="1:7" ht="12.75" x14ac:dyDescent="0.2">
      <c r="A2589" s="3">
        <v>95</v>
      </c>
      <c r="B2589" s="4" t="s">
        <v>115</v>
      </c>
      <c r="C2589" s="3" t="s">
        <v>347</v>
      </c>
      <c r="D2589" s="3" t="s">
        <v>368</v>
      </c>
      <c r="E2589" s="3">
        <v>0</v>
      </c>
      <c r="G2589" s="57"/>
    </row>
    <row r="2590" spans="1:7" ht="12.75" x14ac:dyDescent="0.2">
      <c r="A2590" s="3">
        <v>95</v>
      </c>
      <c r="B2590" s="4" t="s">
        <v>115</v>
      </c>
      <c r="C2590" s="3" t="s">
        <v>347</v>
      </c>
      <c r="D2590" s="3" t="s">
        <v>283</v>
      </c>
      <c r="E2590" s="3">
        <v>22</v>
      </c>
      <c r="G2590" s="57"/>
    </row>
    <row r="2591" spans="1:7" ht="12.75" x14ac:dyDescent="0.2">
      <c r="A2591" s="3">
        <v>95</v>
      </c>
      <c r="B2591" s="4" t="s">
        <v>115</v>
      </c>
      <c r="C2591" s="3" t="s">
        <v>347</v>
      </c>
      <c r="D2591" s="3" t="s">
        <v>315</v>
      </c>
      <c r="E2591" s="3">
        <v>0</v>
      </c>
      <c r="G2591" s="57"/>
    </row>
    <row r="2592" spans="1:7" ht="12.75" x14ac:dyDescent="0.2">
      <c r="A2592" s="3">
        <v>95</v>
      </c>
      <c r="B2592" s="4" t="s">
        <v>115</v>
      </c>
      <c r="C2592" s="3" t="s">
        <v>347</v>
      </c>
      <c r="D2592" s="3" t="s">
        <v>316</v>
      </c>
      <c r="E2592" s="3">
        <v>1</v>
      </c>
      <c r="G2592" s="57"/>
    </row>
    <row r="2593" spans="1:7" ht="12.75" x14ac:dyDescent="0.2">
      <c r="A2593" s="3">
        <v>95</v>
      </c>
      <c r="B2593" s="4" t="s">
        <v>115</v>
      </c>
      <c r="C2593" s="3" t="s">
        <v>347</v>
      </c>
      <c r="D2593" s="3" t="s">
        <v>369</v>
      </c>
      <c r="E2593" s="3">
        <v>0</v>
      </c>
      <c r="G2593" s="57"/>
    </row>
    <row r="2594" spans="1:7" ht="12.75" x14ac:dyDescent="0.2">
      <c r="A2594" s="3">
        <v>95</v>
      </c>
      <c r="B2594" s="4" t="s">
        <v>115</v>
      </c>
      <c r="C2594" s="3" t="s">
        <v>347</v>
      </c>
      <c r="D2594" s="3" t="s">
        <v>128</v>
      </c>
      <c r="E2594" s="3">
        <v>62</v>
      </c>
      <c r="G2594" s="57"/>
    </row>
    <row r="2595" spans="1:7" ht="12.75" x14ac:dyDescent="0.2">
      <c r="A2595" s="3">
        <v>95</v>
      </c>
      <c r="B2595" s="4" t="s">
        <v>115</v>
      </c>
      <c r="C2595" s="3" t="s">
        <v>347</v>
      </c>
      <c r="D2595" s="3" t="s">
        <v>370</v>
      </c>
      <c r="E2595" s="3">
        <v>1</v>
      </c>
      <c r="G2595" s="57"/>
    </row>
    <row r="2596" spans="1:7" ht="12.75" x14ac:dyDescent="0.2">
      <c r="A2596" s="3">
        <v>95</v>
      </c>
      <c r="B2596" s="4" t="s">
        <v>115</v>
      </c>
      <c r="C2596" s="3" t="s">
        <v>347</v>
      </c>
      <c r="D2596" s="3" t="s">
        <v>353</v>
      </c>
      <c r="E2596" s="3">
        <v>0</v>
      </c>
      <c r="G2596" s="57"/>
    </row>
    <row r="2597" spans="1:7" ht="12.75" x14ac:dyDescent="0.2">
      <c r="A2597" s="3">
        <v>95</v>
      </c>
      <c r="B2597" s="4" t="s">
        <v>115</v>
      </c>
      <c r="C2597" s="3" t="s">
        <v>347</v>
      </c>
      <c r="D2597" s="3" t="s">
        <v>371</v>
      </c>
      <c r="E2597" s="3">
        <v>24</v>
      </c>
      <c r="G2597" s="57"/>
    </row>
    <row r="2598" spans="1:7" ht="12.75" x14ac:dyDescent="0.2">
      <c r="A2598" s="3">
        <v>95</v>
      </c>
      <c r="B2598" s="4" t="s">
        <v>115</v>
      </c>
      <c r="C2598" s="3" t="s">
        <v>347</v>
      </c>
      <c r="D2598" s="3" t="s">
        <v>14</v>
      </c>
      <c r="E2598" s="3">
        <v>4</v>
      </c>
      <c r="G2598" s="57"/>
    </row>
    <row r="2599" spans="1:7" ht="12.75" x14ac:dyDescent="0.2">
      <c r="A2599" s="3">
        <v>95</v>
      </c>
      <c r="B2599" s="4" t="s">
        <v>115</v>
      </c>
      <c r="C2599" s="3" t="s">
        <v>347</v>
      </c>
      <c r="D2599" s="3" t="s">
        <v>138</v>
      </c>
      <c r="E2599" s="3">
        <v>0</v>
      </c>
      <c r="F2599">
        <f>SUM(E2586:E2599)</f>
        <v>114</v>
      </c>
      <c r="G2599" s="57"/>
    </row>
    <row r="2600" spans="1:7" ht="12.75" x14ac:dyDescent="0.2">
      <c r="A2600" s="3">
        <v>95</v>
      </c>
      <c r="B2600" s="4" t="s">
        <v>115</v>
      </c>
      <c r="C2600" s="3" t="s">
        <v>273</v>
      </c>
      <c r="D2600" s="3" t="s">
        <v>274</v>
      </c>
      <c r="E2600" s="3">
        <v>0</v>
      </c>
      <c r="G2600" s="57"/>
    </row>
    <row r="2601" spans="1:7" ht="12.75" x14ac:dyDescent="0.2">
      <c r="A2601" s="3">
        <v>95</v>
      </c>
      <c r="B2601" s="4" t="s">
        <v>115</v>
      </c>
      <c r="C2601" s="3" t="s">
        <v>273</v>
      </c>
      <c r="D2601" s="3" t="s">
        <v>283</v>
      </c>
      <c r="E2601" s="3">
        <v>31</v>
      </c>
      <c r="G2601" s="57"/>
    </row>
    <row r="2602" spans="1:7" ht="12.75" x14ac:dyDescent="0.2">
      <c r="A2602" s="3">
        <v>95</v>
      </c>
      <c r="B2602" s="4" t="s">
        <v>115</v>
      </c>
      <c r="C2602" s="3" t="s">
        <v>273</v>
      </c>
      <c r="D2602" s="3" t="s">
        <v>315</v>
      </c>
      <c r="E2602" s="3">
        <v>0</v>
      </c>
      <c r="G2602" s="57"/>
    </row>
    <row r="2603" spans="1:7" ht="12.75" x14ac:dyDescent="0.2">
      <c r="A2603" s="3">
        <v>95</v>
      </c>
      <c r="B2603" s="4" t="s">
        <v>115</v>
      </c>
      <c r="C2603" s="3" t="s">
        <v>273</v>
      </c>
      <c r="D2603" s="3" t="s">
        <v>128</v>
      </c>
      <c r="E2603" s="3">
        <v>64</v>
      </c>
      <c r="G2603" s="57"/>
    </row>
    <row r="2604" spans="1:7" ht="12.75" x14ac:dyDescent="0.2">
      <c r="A2604" s="3">
        <v>95</v>
      </c>
      <c r="B2604" s="4" t="s">
        <v>115</v>
      </c>
      <c r="C2604" s="3" t="s">
        <v>273</v>
      </c>
      <c r="D2604" s="3" t="s">
        <v>353</v>
      </c>
      <c r="E2604" s="3">
        <v>0</v>
      </c>
      <c r="G2604" s="57"/>
    </row>
    <row r="2605" spans="1:7" ht="12.75" x14ac:dyDescent="0.2">
      <c r="A2605" s="3">
        <v>95</v>
      </c>
      <c r="B2605" s="4" t="s">
        <v>115</v>
      </c>
      <c r="C2605" s="3" t="s">
        <v>273</v>
      </c>
      <c r="D2605" s="3" t="s">
        <v>371</v>
      </c>
      <c r="E2605" s="3">
        <v>13</v>
      </c>
      <c r="G2605" s="57"/>
    </row>
    <row r="2606" spans="1:7" ht="12.75" x14ac:dyDescent="0.2">
      <c r="A2606" s="3">
        <v>95</v>
      </c>
      <c r="B2606" s="4" t="s">
        <v>115</v>
      </c>
      <c r="C2606" s="3" t="s">
        <v>273</v>
      </c>
      <c r="D2606" s="3" t="s">
        <v>14</v>
      </c>
      <c r="E2606" s="3">
        <v>6</v>
      </c>
      <c r="G2606" s="57"/>
    </row>
    <row r="2607" spans="1:7" ht="12.75" x14ac:dyDescent="0.2">
      <c r="A2607" s="3">
        <v>95</v>
      </c>
      <c r="B2607" s="4" t="s">
        <v>115</v>
      </c>
      <c r="C2607" s="3" t="s">
        <v>273</v>
      </c>
      <c r="D2607" s="3" t="s">
        <v>138</v>
      </c>
      <c r="E2607" s="3">
        <v>0</v>
      </c>
      <c r="F2607">
        <f>SUM(E2600:E2607)</f>
        <v>114</v>
      </c>
      <c r="G2607" s="57"/>
    </row>
    <row r="2608" spans="1:7" ht="12.75" x14ac:dyDescent="0.2">
      <c r="A2608" s="3">
        <v>95</v>
      </c>
      <c r="B2608" s="4" t="s">
        <v>115</v>
      </c>
      <c r="C2608" s="3" t="s">
        <v>125</v>
      </c>
      <c r="D2608" s="3" t="s">
        <v>274</v>
      </c>
      <c r="E2608" s="3">
        <v>0</v>
      </c>
      <c r="G2608" s="57"/>
    </row>
    <row r="2609" spans="1:7" ht="12.75" x14ac:dyDescent="0.2">
      <c r="A2609" s="3">
        <v>95</v>
      </c>
      <c r="B2609" s="4" t="s">
        <v>115</v>
      </c>
      <c r="C2609" s="3" t="s">
        <v>125</v>
      </c>
      <c r="D2609" s="3" t="s">
        <v>283</v>
      </c>
      <c r="E2609" s="3">
        <v>31</v>
      </c>
      <c r="G2609" s="57"/>
    </row>
    <row r="2610" spans="1:7" ht="12.75" x14ac:dyDescent="0.2">
      <c r="A2610" s="3">
        <v>95</v>
      </c>
      <c r="B2610" s="4" t="s">
        <v>115</v>
      </c>
      <c r="C2610" s="3" t="s">
        <v>125</v>
      </c>
      <c r="D2610" s="3" t="s">
        <v>315</v>
      </c>
      <c r="E2610" s="3">
        <v>0</v>
      </c>
      <c r="G2610" s="57"/>
    </row>
    <row r="2611" spans="1:7" ht="12.75" x14ac:dyDescent="0.2">
      <c r="A2611" s="3">
        <v>95</v>
      </c>
      <c r="B2611" s="4" t="s">
        <v>115</v>
      </c>
      <c r="C2611" s="3" t="s">
        <v>125</v>
      </c>
      <c r="D2611" s="3" t="s">
        <v>128</v>
      </c>
      <c r="E2611" s="3">
        <v>63</v>
      </c>
      <c r="G2611" s="57"/>
    </row>
    <row r="2612" spans="1:7" ht="12.75" x14ac:dyDescent="0.2">
      <c r="A2612" s="3">
        <v>95</v>
      </c>
      <c r="B2612" s="4" t="s">
        <v>115</v>
      </c>
      <c r="C2612" s="3" t="s">
        <v>125</v>
      </c>
      <c r="D2612" s="3" t="s">
        <v>353</v>
      </c>
      <c r="E2612" s="3">
        <v>0</v>
      </c>
      <c r="G2612" s="57"/>
    </row>
    <row r="2613" spans="1:7" ht="12.75" x14ac:dyDescent="0.2">
      <c r="A2613" s="3">
        <v>95</v>
      </c>
      <c r="B2613" s="4" t="s">
        <v>115</v>
      </c>
      <c r="C2613" s="3" t="s">
        <v>125</v>
      </c>
      <c r="D2613" s="3" t="s">
        <v>371</v>
      </c>
      <c r="E2613" s="3">
        <v>13</v>
      </c>
      <c r="G2613" s="57"/>
    </row>
    <row r="2614" spans="1:7" ht="12.75" x14ac:dyDescent="0.2">
      <c r="A2614" s="3">
        <v>95</v>
      </c>
      <c r="B2614" s="4" t="s">
        <v>115</v>
      </c>
      <c r="C2614" s="3" t="s">
        <v>125</v>
      </c>
      <c r="D2614" s="3" t="s">
        <v>14</v>
      </c>
      <c r="E2614" s="3">
        <v>7</v>
      </c>
      <c r="G2614" s="57"/>
    </row>
    <row r="2615" spans="1:7" ht="12.75" x14ac:dyDescent="0.2">
      <c r="A2615" s="3">
        <v>95</v>
      </c>
      <c r="B2615" s="4" t="s">
        <v>115</v>
      </c>
      <c r="C2615" s="3" t="s">
        <v>125</v>
      </c>
      <c r="D2615" s="3" t="s">
        <v>138</v>
      </c>
      <c r="E2615" s="3">
        <v>0</v>
      </c>
      <c r="F2615">
        <f>SUM(E2608:E2615)</f>
        <v>114</v>
      </c>
      <c r="G2615" s="57"/>
    </row>
    <row r="2616" spans="1:7" ht="12.75" x14ac:dyDescent="0.2">
      <c r="A2616" s="3">
        <v>100</v>
      </c>
      <c r="B2616" s="4" t="s">
        <v>177</v>
      </c>
      <c r="C2616" s="3" t="s">
        <v>347</v>
      </c>
      <c r="D2616" s="3" t="s">
        <v>366</v>
      </c>
      <c r="E2616" s="3">
        <v>0</v>
      </c>
      <c r="G2616" s="59" t="s">
        <v>334</v>
      </c>
    </row>
    <row r="2617" spans="1:7" ht="12.75" x14ac:dyDescent="0.2">
      <c r="A2617" s="3">
        <v>100</v>
      </c>
      <c r="B2617" s="4" t="s">
        <v>177</v>
      </c>
      <c r="C2617" s="3" t="s">
        <v>347</v>
      </c>
      <c r="D2617" s="3" t="s">
        <v>274</v>
      </c>
      <c r="E2617" s="3">
        <v>0</v>
      </c>
      <c r="G2617" s="57"/>
    </row>
    <row r="2618" spans="1:7" ht="12.75" x14ac:dyDescent="0.2">
      <c r="A2618" s="3">
        <v>100</v>
      </c>
      <c r="B2618" s="4" t="s">
        <v>177</v>
      </c>
      <c r="C2618" s="3" t="s">
        <v>347</v>
      </c>
      <c r="D2618" s="3" t="s">
        <v>367</v>
      </c>
      <c r="E2618" s="3">
        <v>0</v>
      </c>
      <c r="G2618" s="57"/>
    </row>
    <row r="2619" spans="1:7" ht="12.75" x14ac:dyDescent="0.2">
      <c r="A2619" s="3">
        <v>100</v>
      </c>
      <c r="B2619" s="4" t="s">
        <v>177</v>
      </c>
      <c r="C2619" s="3" t="s">
        <v>347</v>
      </c>
      <c r="D2619" s="3" t="s">
        <v>368</v>
      </c>
      <c r="E2619" s="3">
        <v>1</v>
      </c>
      <c r="G2619" s="57"/>
    </row>
    <row r="2620" spans="1:7" ht="12.75" x14ac:dyDescent="0.2">
      <c r="A2620" s="3">
        <v>100</v>
      </c>
      <c r="B2620" s="4" t="s">
        <v>177</v>
      </c>
      <c r="C2620" s="3" t="s">
        <v>347</v>
      </c>
      <c r="D2620" s="3" t="s">
        <v>283</v>
      </c>
      <c r="E2620" s="3">
        <v>20</v>
      </c>
      <c r="G2620" s="57"/>
    </row>
    <row r="2621" spans="1:7" ht="12.75" x14ac:dyDescent="0.2">
      <c r="A2621" s="3">
        <v>100</v>
      </c>
      <c r="B2621" s="4" t="s">
        <v>177</v>
      </c>
      <c r="C2621" s="3" t="s">
        <v>347</v>
      </c>
      <c r="D2621" s="3" t="s">
        <v>315</v>
      </c>
      <c r="E2621" s="3">
        <v>1</v>
      </c>
      <c r="G2621" s="57"/>
    </row>
    <row r="2622" spans="1:7" ht="12.75" x14ac:dyDescent="0.2">
      <c r="A2622" s="3">
        <v>100</v>
      </c>
      <c r="B2622" s="4" t="s">
        <v>177</v>
      </c>
      <c r="C2622" s="3" t="s">
        <v>347</v>
      </c>
      <c r="D2622" s="3" t="s">
        <v>316</v>
      </c>
      <c r="E2622" s="3">
        <v>0</v>
      </c>
      <c r="G2622" s="57"/>
    </row>
    <row r="2623" spans="1:7" ht="12.75" x14ac:dyDescent="0.2">
      <c r="A2623" s="3">
        <v>100</v>
      </c>
      <c r="B2623" s="4" t="s">
        <v>177</v>
      </c>
      <c r="C2623" s="3" t="s">
        <v>347</v>
      </c>
      <c r="D2623" s="3" t="s">
        <v>369</v>
      </c>
      <c r="E2623" s="3">
        <v>2</v>
      </c>
      <c r="G2623" s="57"/>
    </row>
    <row r="2624" spans="1:7" ht="12.75" x14ac:dyDescent="0.2">
      <c r="A2624" s="3">
        <v>100</v>
      </c>
      <c r="B2624" s="4" t="s">
        <v>177</v>
      </c>
      <c r="C2624" s="3" t="s">
        <v>347</v>
      </c>
      <c r="D2624" s="3" t="s">
        <v>128</v>
      </c>
      <c r="E2624" s="3">
        <v>15</v>
      </c>
      <c r="G2624" s="57"/>
    </row>
    <row r="2625" spans="1:7" ht="12.75" x14ac:dyDescent="0.2">
      <c r="A2625" s="3">
        <v>100</v>
      </c>
      <c r="B2625" s="4" t="s">
        <v>177</v>
      </c>
      <c r="C2625" s="3" t="s">
        <v>347</v>
      </c>
      <c r="D2625" s="3" t="s">
        <v>370</v>
      </c>
      <c r="E2625" s="3">
        <v>0</v>
      </c>
      <c r="G2625" s="57"/>
    </row>
    <row r="2626" spans="1:7" ht="12.75" x14ac:dyDescent="0.2">
      <c r="A2626" s="3">
        <v>100</v>
      </c>
      <c r="B2626" s="4" t="s">
        <v>177</v>
      </c>
      <c r="C2626" s="3" t="s">
        <v>347</v>
      </c>
      <c r="D2626" s="3" t="s">
        <v>353</v>
      </c>
      <c r="E2626" s="3">
        <v>1</v>
      </c>
      <c r="G2626" s="57"/>
    </row>
    <row r="2627" spans="1:7" ht="12.75" x14ac:dyDescent="0.2">
      <c r="A2627" s="3">
        <v>100</v>
      </c>
      <c r="B2627" s="4" t="s">
        <v>177</v>
      </c>
      <c r="C2627" s="3" t="s">
        <v>347</v>
      </c>
      <c r="D2627" s="3" t="s">
        <v>371</v>
      </c>
      <c r="E2627" s="3">
        <v>3</v>
      </c>
      <c r="G2627" s="57"/>
    </row>
    <row r="2628" spans="1:7" ht="12.75" x14ac:dyDescent="0.2">
      <c r="A2628" s="3">
        <v>100</v>
      </c>
      <c r="B2628" s="4" t="s">
        <v>177</v>
      </c>
      <c r="C2628" s="3" t="s">
        <v>347</v>
      </c>
      <c r="D2628" s="3" t="s">
        <v>14</v>
      </c>
      <c r="E2628" s="3">
        <v>3</v>
      </c>
      <c r="G2628" s="57"/>
    </row>
    <row r="2629" spans="1:7" ht="12.75" x14ac:dyDescent="0.2">
      <c r="A2629" s="3">
        <v>100</v>
      </c>
      <c r="B2629" s="4" t="s">
        <v>177</v>
      </c>
      <c r="C2629" s="3" t="s">
        <v>347</v>
      </c>
      <c r="D2629" s="3" t="s">
        <v>138</v>
      </c>
      <c r="E2629" s="3">
        <v>1</v>
      </c>
      <c r="F2629">
        <f>SUM(E2616:E2629)</f>
        <v>47</v>
      </c>
      <c r="G2629" s="57"/>
    </row>
    <row r="2630" spans="1:7" ht="12.75" x14ac:dyDescent="0.2">
      <c r="A2630" s="3">
        <v>100</v>
      </c>
      <c r="B2630" s="4" t="s">
        <v>177</v>
      </c>
      <c r="C2630" s="3" t="s">
        <v>273</v>
      </c>
      <c r="D2630" s="3" t="s">
        <v>274</v>
      </c>
      <c r="E2630" s="3">
        <v>1</v>
      </c>
      <c r="G2630" s="57"/>
    </row>
    <row r="2631" spans="1:7" ht="12.75" x14ac:dyDescent="0.2">
      <c r="A2631" s="3">
        <v>100</v>
      </c>
      <c r="B2631" s="4" t="s">
        <v>177</v>
      </c>
      <c r="C2631" s="3" t="s">
        <v>273</v>
      </c>
      <c r="D2631" s="3" t="s">
        <v>283</v>
      </c>
      <c r="E2631" s="3">
        <v>14</v>
      </c>
      <c r="G2631" s="57"/>
    </row>
    <row r="2632" spans="1:7" ht="12.75" x14ac:dyDescent="0.2">
      <c r="A2632" s="3">
        <v>100</v>
      </c>
      <c r="B2632" s="4" t="s">
        <v>177</v>
      </c>
      <c r="C2632" s="3" t="s">
        <v>273</v>
      </c>
      <c r="D2632" s="3" t="s">
        <v>315</v>
      </c>
      <c r="E2632" s="3">
        <v>2</v>
      </c>
      <c r="G2632" s="57"/>
    </row>
    <row r="2633" spans="1:7" ht="12.75" x14ac:dyDescent="0.2">
      <c r="A2633" s="3">
        <v>100</v>
      </c>
      <c r="B2633" s="4" t="s">
        <v>177</v>
      </c>
      <c r="C2633" s="3" t="s">
        <v>273</v>
      </c>
      <c r="D2633" s="3" t="s">
        <v>128</v>
      </c>
      <c r="E2633" s="3">
        <v>18</v>
      </c>
      <c r="G2633" s="57"/>
    </row>
    <row r="2634" spans="1:7" ht="12.75" x14ac:dyDescent="0.2">
      <c r="A2634" s="3">
        <v>100</v>
      </c>
      <c r="B2634" s="4" t="s">
        <v>177</v>
      </c>
      <c r="C2634" s="3" t="s">
        <v>273</v>
      </c>
      <c r="D2634" s="3" t="s">
        <v>353</v>
      </c>
      <c r="E2634" s="3">
        <v>1</v>
      </c>
      <c r="G2634" s="57"/>
    </row>
    <row r="2635" spans="1:7" ht="12.75" x14ac:dyDescent="0.2">
      <c r="A2635" s="3">
        <v>100</v>
      </c>
      <c r="B2635" s="4" t="s">
        <v>177</v>
      </c>
      <c r="C2635" s="3" t="s">
        <v>273</v>
      </c>
      <c r="D2635" s="3" t="s">
        <v>371</v>
      </c>
      <c r="E2635" s="3">
        <v>0</v>
      </c>
      <c r="G2635" s="57"/>
    </row>
    <row r="2636" spans="1:7" ht="12.75" x14ac:dyDescent="0.2">
      <c r="A2636" s="3">
        <v>100</v>
      </c>
      <c r="B2636" s="4" t="s">
        <v>177</v>
      </c>
      <c r="C2636" s="3" t="s">
        <v>273</v>
      </c>
      <c r="D2636" s="3" t="s">
        <v>14</v>
      </c>
      <c r="E2636" s="3">
        <v>8</v>
      </c>
      <c r="G2636" s="57"/>
    </row>
    <row r="2637" spans="1:7" ht="12.75" x14ac:dyDescent="0.2">
      <c r="A2637" s="3">
        <v>100</v>
      </c>
      <c r="B2637" s="4" t="s">
        <v>177</v>
      </c>
      <c r="C2637" s="3" t="s">
        <v>273</v>
      </c>
      <c r="D2637" s="3" t="s">
        <v>138</v>
      </c>
      <c r="E2637" s="3">
        <v>3</v>
      </c>
      <c r="F2637">
        <f>SUM(E2630:E2637)</f>
        <v>47</v>
      </c>
      <c r="G2637" s="57"/>
    </row>
    <row r="2638" spans="1:7" ht="12.75" x14ac:dyDescent="0.2">
      <c r="A2638" s="3">
        <v>100</v>
      </c>
      <c r="B2638" s="4" t="s">
        <v>177</v>
      </c>
      <c r="C2638" s="3" t="s">
        <v>125</v>
      </c>
      <c r="D2638" s="3" t="s">
        <v>274</v>
      </c>
      <c r="E2638" s="3">
        <v>0</v>
      </c>
      <c r="G2638" s="57"/>
    </row>
    <row r="2639" spans="1:7" ht="12.75" x14ac:dyDescent="0.2">
      <c r="A2639" s="3">
        <v>100</v>
      </c>
      <c r="B2639" s="4" t="s">
        <v>177</v>
      </c>
      <c r="C2639" s="3" t="s">
        <v>125</v>
      </c>
      <c r="D2639" s="3" t="s">
        <v>283</v>
      </c>
      <c r="E2639" s="3">
        <v>14</v>
      </c>
      <c r="G2639" s="57"/>
    </row>
    <row r="2640" spans="1:7" ht="12.75" x14ac:dyDescent="0.2">
      <c r="A2640" s="3">
        <v>100</v>
      </c>
      <c r="B2640" s="4" t="s">
        <v>177</v>
      </c>
      <c r="C2640" s="3" t="s">
        <v>125</v>
      </c>
      <c r="D2640" s="3" t="s">
        <v>315</v>
      </c>
      <c r="E2640" s="3">
        <v>3</v>
      </c>
      <c r="G2640" s="57"/>
    </row>
    <row r="2641" spans="1:7" ht="12.75" x14ac:dyDescent="0.2">
      <c r="A2641" s="3">
        <v>100</v>
      </c>
      <c r="B2641" s="4" t="s">
        <v>177</v>
      </c>
      <c r="C2641" s="3" t="s">
        <v>125</v>
      </c>
      <c r="D2641" s="3" t="s">
        <v>128</v>
      </c>
      <c r="E2641" s="3">
        <v>16</v>
      </c>
      <c r="G2641" s="57"/>
    </row>
    <row r="2642" spans="1:7" ht="12.75" x14ac:dyDescent="0.2">
      <c r="A2642" s="3">
        <v>100</v>
      </c>
      <c r="B2642" s="4" t="s">
        <v>177</v>
      </c>
      <c r="C2642" s="3" t="s">
        <v>125</v>
      </c>
      <c r="D2642" s="3" t="s">
        <v>353</v>
      </c>
      <c r="E2642" s="3">
        <v>3</v>
      </c>
      <c r="G2642" s="57"/>
    </row>
    <row r="2643" spans="1:7" ht="12.75" x14ac:dyDescent="0.2">
      <c r="A2643" s="3">
        <v>100</v>
      </c>
      <c r="B2643" s="4" t="s">
        <v>177</v>
      </c>
      <c r="C2643" s="3" t="s">
        <v>125</v>
      </c>
      <c r="D2643" s="3" t="s">
        <v>371</v>
      </c>
      <c r="E2643" s="3">
        <v>0</v>
      </c>
      <c r="G2643" s="57"/>
    </row>
    <row r="2644" spans="1:7" ht="12.75" x14ac:dyDescent="0.2">
      <c r="A2644" s="3">
        <v>100</v>
      </c>
      <c r="B2644" s="4" t="s">
        <v>177</v>
      </c>
      <c r="C2644" s="3" t="s">
        <v>125</v>
      </c>
      <c r="D2644" s="3" t="s">
        <v>14</v>
      </c>
      <c r="E2644" s="3">
        <v>9</v>
      </c>
      <c r="G2644" s="57"/>
    </row>
    <row r="2645" spans="1:7" ht="12.75" x14ac:dyDescent="0.2">
      <c r="A2645" s="3">
        <v>100</v>
      </c>
      <c r="B2645" s="4" t="s">
        <v>177</v>
      </c>
      <c r="C2645" s="3" t="s">
        <v>125</v>
      </c>
      <c r="D2645" s="3" t="s">
        <v>138</v>
      </c>
      <c r="E2645" s="3">
        <v>2</v>
      </c>
      <c r="F2645">
        <f>SUM(E2638:E2645)</f>
        <v>47</v>
      </c>
      <c r="G2645" s="57"/>
    </row>
    <row r="2646" spans="1:7" ht="12.75" x14ac:dyDescent="0.2">
      <c r="A2646" s="3"/>
      <c r="B2646" s="4"/>
      <c r="C2646" s="3"/>
      <c r="D2646" s="3"/>
      <c r="E2646" s="3"/>
      <c r="G2646" s="59"/>
    </row>
    <row r="2647" spans="1:7" ht="12.75" x14ac:dyDescent="0.2">
      <c r="A2647" s="3"/>
      <c r="B2647" s="4"/>
      <c r="C2647" s="3"/>
      <c r="D2647" s="3"/>
      <c r="E2647" s="3"/>
      <c r="G2647" s="57"/>
    </row>
    <row r="2648" spans="1:7" ht="12.75" x14ac:dyDescent="0.2">
      <c r="A2648" s="3"/>
      <c r="B2648" s="4"/>
      <c r="C2648" s="3"/>
      <c r="D2648" s="3"/>
      <c r="E2648" s="3"/>
      <c r="G2648" s="57"/>
    </row>
    <row r="2649" spans="1:7" ht="12.75" x14ac:dyDescent="0.2">
      <c r="A2649" s="3"/>
      <c r="B2649" s="4"/>
      <c r="C2649" s="3"/>
      <c r="D2649" s="3"/>
      <c r="E2649" s="3"/>
      <c r="G2649" s="57"/>
    </row>
    <row r="2650" spans="1:7" ht="12.75" x14ac:dyDescent="0.2">
      <c r="A2650" s="3"/>
      <c r="B2650" s="4"/>
      <c r="C2650" s="3"/>
      <c r="D2650" s="3"/>
      <c r="E2650" s="3"/>
      <c r="G2650" s="57"/>
    </row>
    <row r="2651" spans="1:7" ht="12.75" x14ac:dyDescent="0.2">
      <c r="A2651" s="3"/>
      <c r="B2651" s="4"/>
      <c r="C2651" s="3"/>
      <c r="D2651" s="3"/>
      <c r="E2651" s="3"/>
      <c r="G2651" s="57"/>
    </row>
    <row r="2652" spans="1:7" ht="12.75" x14ac:dyDescent="0.2">
      <c r="A2652" s="3"/>
      <c r="B2652" s="4"/>
      <c r="C2652" s="3"/>
      <c r="D2652" s="3"/>
      <c r="E2652" s="3"/>
      <c r="G2652" s="57"/>
    </row>
    <row r="2653" spans="1:7" ht="12.75" x14ac:dyDescent="0.2">
      <c r="A2653" s="3"/>
      <c r="B2653" s="4"/>
      <c r="C2653" s="3"/>
      <c r="D2653" s="3"/>
      <c r="E2653" s="3"/>
      <c r="G2653" s="57"/>
    </row>
    <row r="2654" spans="1:7" ht="12.75" x14ac:dyDescent="0.2">
      <c r="A2654" s="3"/>
      <c r="B2654" s="4"/>
      <c r="C2654" s="3"/>
      <c r="D2654" s="3"/>
      <c r="E2654" s="3"/>
      <c r="G2654" s="57"/>
    </row>
    <row r="2655" spans="1:7" ht="12.75" x14ac:dyDescent="0.2">
      <c r="A2655" s="3"/>
      <c r="B2655" s="4"/>
      <c r="C2655" s="3"/>
      <c r="D2655" s="3"/>
      <c r="E2655" s="3"/>
      <c r="G2655" s="57"/>
    </row>
    <row r="2656" spans="1:7" ht="12.75" x14ac:dyDescent="0.2">
      <c r="A2656" s="3"/>
      <c r="B2656" s="4"/>
      <c r="C2656" s="3"/>
      <c r="D2656" s="3"/>
      <c r="E2656" s="3"/>
      <c r="G2656" s="57"/>
    </row>
    <row r="2657" spans="1:7" ht="12.75" x14ac:dyDescent="0.2">
      <c r="A2657" s="3"/>
      <c r="B2657" s="4"/>
      <c r="C2657" s="3"/>
      <c r="D2657" s="3"/>
      <c r="E2657" s="3"/>
      <c r="G2657" s="57"/>
    </row>
    <row r="2658" spans="1:7" ht="12.75" x14ac:dyDescent="0.2">
      <c r="A2658" s="3"/>
      <c r="B2658" s="4"/>
      <c r="C2658" s="3"/>
      <c r="D2658" s="3"/>
      <c r="E2658" s="3"/>
      <c r="G2658" s="57"/>
    </row>
    <row r="2659" spans="1:7" ht="12.75" x14ac:dyDescent="0.2">
      <c r="A2659" s="3"/>
      <c r="B2659" s="4"/>
      <c r="C2659" s="3"/>
      <c r="D2659" s="3"/>
      <c r="E2659" s="3"/>
      <c r="G2659" s="57"/>
    </row>
    <row r="2660" spans="1:7" ht="12.75" x14ac:dyDescent="0.2">
      <c r="A2660" s="3"/>
      <c r="B2660" s="4"/>
      <c r="C2660" s="3"/>
      <c r="D2660" s="3"/>
      <c r="E2660" s="3"/>
      <c r="G2660" s="57"/>
    </row>
    <row r="2661" spans="1:7" ht="12.75" x14ac:dyDescent="0.2">
      <c r="A2661" s="3"/>
      <c r="B2661" s="4"/>
      <c r="C2661" s="3"/>
      <c r="D2661" s="3"/>
      <c r="E2661" s="3"/>
      <c r="G2661" s="57"/>
    </row>
    <row r="2662" spans="1:7" ht="12.75" x14ac:dyDescent="0.2">
      <c r="A2662" s="3"/>
      <c r="B2662" s="4"/>
      <c r="C2662" s="3"/>
      <c r="D2662" s="3"/>
      <c r="E2662" s="3"/>
      <c r="G2662" s="57"/>
    </row>
    <row r="2663" spans="1:7" ht="12.75" x14ac:dyDescent="0.2">
      <c r="A2663" s="3"/>
      <c r="B2663" s="4"/>
      <c r="C2663" s="3"/>
      <c r="D2663" s="3"/>
      <c r="E2663" s="3"/>
      <c r="G2663" s="57"/>
    </row>
    <row r="2664" spans="1:7" ht="12.75" x14ac:dyDescent="0.2">
      <c r="A2664" s="3"/>
      <c r="B2664" s="4"/>
      <c r="C2664" s="3"/>
      <c r="D2664" s="3"/>
      <c r="E2664" s="3"/>
      <c r="G2664" s="57"/>
    </row>
    <row r="2665" spans="1:7" ht="12.75" x14ac:dyDescent="0.2">
      <c r="A2665" s="3"/>
      <c r="B2665" s="4"/>
      <c r="C2665" s="3"/>
      <c r="D2665" s="3"/>
      <c r="E2665" s="3"/>
      <c r="G2665" s="57"/>
    </row>
    <row r="2666" spans="1:7" ht="12.75" x14ac:dyDescent="0.2">
      <c r="A2666" s="3"/>
      <c r="B2666" s="4"/>
      <c r="C2666" s="3"/>
      <c r="D2666" s="3"/>
      <c r="E2666" s="3"/>
      <c r="G2666" s="57"/>
    </row>
    <row r="2667" spans="1:7" ht="12.75" x14ac:dyDescent="0.2">
      <c r="A2667" s="3"/>
      <c r="B2667" s="4"/>
      <c r="C2667" s="3"/>
      <c r="D2667" s="3"/>
      <c r="E2667" s="3"/>
      <c r="G2667" s="57"/>
    </row>
    <row r="2668" spans="1:7" ht="12.75" x14ac:dyDescent="0.2">
      <c r="A2668" s="3"/>
      <c r="B2668" s="4"/>
      <c r="C2668" s="3"/>
      <c r="D2668" s="3"/>
      <c r="E2668" s="3"/>
      <c r="G2668" s="57"/>
    </row>
    <row r="2669" spans="1:7" ht="12.75" x14ac:dyDescent="0.2">
      <c r="A2669" s="3"/>
      <c r="B2669" s="4"/>
      <c r="C2669" s="3"/>
      <c r="D2669" s="3"/>
      <c r="E2669" s="3"/>
      <c r="G2669" s="57"/>
    </row>
    <row r="2670" spans="1:7" ht="12.75" x14ac:dyDescent="0.2">
      <c r="A2670" s="3"/>
      <c r="B2670" s="4"/>
      <c r="C2670" s="3"/>
      <c r="D2670" s="3"/>
      <c r="E2670" s="3"/>
      <c r="G2670" s="57"/>
    </row>
    <row r="2671" spans="1:7" ht="12.75" x14ac:dyDescent="0.2">
      <c r="A2671" s="3"/>
      <c r="B2671" s="4"/>
      <c r="C2671" s="3"/>
      <c r="D2671" s="3"/>
      <c r="E2671" s="3"/>
      <c r="G2671" s="57"/>
    </row>
    <row r="2672" spans="1:7" ht="12.75" x14ac:dyDescent="0.2">
      <c r="A2672" s="3"/>
      <c r="B2672" s="4"/>
      <c r="C2672" s="3"/>
      <c r="D2672" s="3"/>
      <c r="E2672" s="3"/>
      <c r="G2672" s="57"/>
    </row>
    <row r="2673" spans="1:7" ht="12.75" x14ac:dyDescent="0.2">
      <c r="A2673" s="3"/>
      <c r="B2673" s="4"/>
      <c r="C2673" s="3"/>
      <c r="D2673" s="3"/>
      <c r="E2673" s="3"/>
      <c r="G2673" s="57"/>
    </row>
    <row r="2674" spans="1:7" ht="12.75" x14ac:dyDescent="0.2">
      <c r="A2674" s="3"/>
      <c r="B2674" s="4"/>
      <c r="C2674" s="3"/>
      <c r="D2674" s="3"/>
      <c r="E2674" s="3"/>
      <c r="G2674" s="57"/>
    </row>
    <row r="2675" spans="1:7" ht="12.75" x14ac:dyDescent="0.2">
      <c r="A2675" s="3"/>
      <c r="B2675" s="4"/>
      <c r="C2675" s="3"/>
      <c r="D2675" s="3"/>
      <c r="E2675" s="3"/>
      <c r="G2675" s="57"/>
    </row>
    <row r="2676" spans="1:7" ht="12.75" x14ac:dyDescent="0.2">
      <c r="A2676" s="3"/>
      <c r="B2676" s="4"/>
      <c r="C2676" s="3"/>
      <c r="D2676" s="3"/>
      <c r="E2676" s="3"/>
      <c r="G2676" s="59"/>
    </row>
    <row r="2677" spans="1:7" ht="12.75" x14ac:dyDescent="0.2">
      <c r="A2677" s="3"/>
      <c r="B2677" s="4"/>
      <c r="C2677" s="3"/>
      <c r="D2677" s="3"/>
      <c r="E2677" s="3"/>
      <c r="G2677" s="57"/>
    </row>
    <row r="2678" spans="1:7" ht="12.75" x14ac:dyDescent="0.2">
      <c r="A2678" s="3"/>
      <c r="B2678" s="4"/>
      <c r="C2678" s="3"/>
      <c r="D2678" s="3"/>
      <c r="E2678" s="3"/>
      <c r="G2678" s="57"/>
    </row>
    <row r="2679" spans="1:7" ht="12.75" x14ac:dyDescent="0.2">
      <c r="A2679" s="3"/>
      <c r="B2679" s="4"/>
      <c r="C2679" s="3"/>
      <c r="D2679" s="3"/>
      <c r="E2679" s="3"/>
      <c r="G2679" s="57"/>
    </row>
    <row r="2680" spans="1:7" ht="12.75" x14ac:dyDescent="0.2">
      <c r="A2680" s="3"/>
      <c r="B2680" s="4"/>
      <c r="C2680" s="3"/>
      <c r="D2680" s="3"/>
      <c r="E2680" s="3"/>
      <c r="G2680" s="57"/>
    </row>
    <row r="2681" spans="1:7" ht="12.75" x14ac:dyDescent="0.2">
      <c r="A2681" s="3"/>
      <c r="B2681" s="4"/>
      <c r="C2681" s="3"/>
      <c r="D2681" s="3"/>
      <c r="E2681" s="3"/>
      <c r="G2681" s="57"/>
    </row>
    <row r="2682" spans="1:7" ht="12.75" x14ac:dyDescent="0.2">
      <c r="A2682" s="3"/>
      <c r="B2682" s="4"/>
      <c r="C2682" s="3"/>
      <c r="D2682" s="3"/>
      <c r="E2682" s="3"/>
      <c r="G2682" s="57"/>
    </row>
    <row r="2683" spans="1:7" ht="12.75" x14ac:dyDescent="0.2">
      <c r="A2683" s="3"/>
      <c r="B2683" s="4"/>
      <c r="C2683" s="3"/>
      <c r="D2683" s="3"/>
      <c r="E2683" s="3"/>
      <c r="G2683" s="57"/>
    </row>
    <row r="2684" spans="1:7" ht="12.75" x14ac:dyDescent="0.2">
      <c r="A2684" s="3"/>
      <c r="B2684" s="4"/>
      <c r="C2684" s="3"/>
      <c r="D2684" s="3"/>
      <c r="E2684" s="3"/>
      <c r="G2684" s="57"/>
    </row>
    <row r="2685" spans="1:7" ht="12.75" x14ac:dyDescent="0.2">
      <c r="A2685" s="3"/>
      <c r="B2685" s="4"/>
      <c r="C2685" s="3"/>
      <c r="D2685" s="3"/>
      <c r="E2685" s="3"/>
      <c r="G2685" s="57"/>
    </row>
    <row r="2686" spans="1:7" ht="12.75" x14ac:dyDescent="0.2">
      <c r="A2686" s="3"/>
      <c r="B2686" s="4"/>
      <c r="C2686" s="3"/>
      <c r="D2686" s="3"/>
      <c r="E2686" s="3"/>
      <c r="G2686" s="57"/>
    </row>
    <row r="2687" spans="1:7" ht="12.75" x14ac:dyDescent="0.2">
      <c r="A2687" s="3"/>
      <c r="B2687" s="4"/>
      <c r="C2687" s="3"/>
      <c r="D2687" s="3"/>
      <c r="E2687" s="3"/>
      <c r="G2687" s="57"/>
    </row>
    <row r="2688" spans="1:7" ht="12.75" x14ac:dyDescent="0.2">
      <c r="A2688" s="3"/>
      <c r="B2688" s="4"/>
      <c r="C2688" s="3"/>
      <c r="D2688" s="3"/>
      <c r="E2688" s="3"/>
      <c r="G2688" s="57"/>
    </row>
    <row r="2689" spans="1:7" ht="12.75" x14ac:dyDescent="0.2">
      <c r="A2689" s="3"/>
      <c r="B2689" s="4"/>
      <c r="C2689" s="3"/>
      <c r="D2689" s="3"/>
      <c r="E2689" s="3"/>
      <c r="G2689" s="57"/>
    </row>
    <row r="2690" spans="1:7" ht="12.75" x14ac:dyDescent="0.2">
      <c r="A2690" s="3"/>
      <c r="B2690" s="4"/>
      <c r="C2690" s="3"/>
      <c r="D2690" s="3"/>
      <c r="E2690" s="3"/>
      <c r="G2690" s="57"/>
    </row>
    <row r="2691" spans="1:7" ht="12.75" x14ac:dyDescent="0.2">
      <c r="A2691" s="3"/>
      <c r="B2691" s="4"/>
      <c r="C2691" s="3"/>
      <c r="D2691" s="3"/>
      <c r="E2691" s="3"/>
      <c r="G2691" s="57"/>
    </row>
    <row r="2692" spans="1:7" ht="12.75" x14ac:dyDescent="0.2">
      <c r="A2692" s="3"/>
      <c r="B2692" s="4"/>
      <c r="C2692" s="3"/>
      <c r="D2692" s="3"/>
      <c r="E2692" s="3"/>
      <c r="G2692" s="57"/>
    </row>
    <row r="2693" spans="1:7" ht="12.75" x14ac:dyDescent="0.2">
      <c r="A2693" s="3"/>
      <c r="B2693" s="4"/>
      <c r="C2693" s="3"/>
      <c r="D2693" s="3"/>
      <c r="E2693" s="3"/>
      <c r="G2693" s="57"/>
    </row>
    <row r="2694" spans="1:7" ht="12.75" x14ac:dyDescent="0.2">
      <c r="A2694" s="3"/>
      <c r="B2694" s="4"/>
      <c r="C2694" s="3"/>
      <c r="D2694" s="3"/>
      <c r="E2694" s="3"/>
      <c r="G2694" s="57"/>
    </row>
    <row r="2695" spans="1:7" ht="12.75" x14ac:dyDescent="0.2">
      <c r="A2695" s="3"/>
      <c r="B2695" s="4"/>
      <c r="C2695" s="3"/>
      <c r="D2695" s="3"/>
      <c r="E2695" s="3"/>
      <c r="G2695" s="57"/>
    </row>
    <row r="2696" spans="1:7" ht="12.75" x14ac:dyDescent="0.2">
      <c r="A2696" s="3"/>
      <c r="B2696" s="4"/>
      <c r="C2696" s="3"/>
      <c r="D2696" s="3"/>
      <c r="G2696" s="57"/>
    </row>
    <row r="2697" spans="1:7" ht="12.75" x14ac:dyDescent="0.2">
      <c r="A2697" s="3"/>
      <c r="B2697" s="4"/>
      <c r="C2697" s="3"/>
      <c r="D2697" s="3"/>
      <c r="G2697" s="57"/>
    </row>
    <row r="2698" spans="1:7" ht="12.75" x14ac:dyDescent="0.2">
      <c r="A2698" s="3"/>
      <c r="B2698" s="4"/>
      <c r="C2698" s="3"/>
      <c r="D2698" s="3"/>
      <c r="G2698" s="57"/>
    </row>
    <row r="2699" spans="1:7" ht="12.75" x14ac:dyDescent="0.2">
      <c r="A2699" s="3"/>
      <c r="B2699" s="4"/>
      <c r="C2699" s="3"/>
      <c r="D2699" s="3"/>
      <c r="G2699" s="57"/>
    </row>
    <row r="2700" spans="1:7" ht="12.75" x14ac:dyDescent="0.2">
      <c r="A2700" s="3"/>
      <c r="B2700" s="4"/>
      <c r="C2700" s="3"/>
      <c r="D2700" s="3"/>
      <c r="G2700" s="57"/>
    </row>
    <row r="2701" spans="1:7" ht="12.75" x14ac:dyDescent="0.2">
      <c r="A2701" s="3"/>
      <c r="B2701" s="4"/>
      <c r="C2701" s="3"/>
      <c r="D2701" s="3"/>
      <c r="G2701" s="57"/>
    </row>
    <row r="2702" spans="1:7" ht="12.75" x14ac:dyDescent="0.2">
      <c r="A2702" s="3"/>
      <c r="B2702" s="4"/>
      <c r="C2702" s="3"/>
      <c r="D2702" s="3"/>
      <c r="G2702" s="57"/>
    </row>
    <row r="2703" spans="1:7" ht="12.75" x14ac:dyDescent="0.2">
      <c r="A2703" s="3"/>
      <c r="B2703" s="4"/>
      <c r="C2703" s="3"/>
      <c r="D2703" s="3"/>
      <c r="G2703" s="57"/>
    </row>
    <row r="2704" spans="1:7" ht="12.75" x14ac:dyDescent="0.2">
      <c r="A2704" s="3"/>
      <c r="B2704" s="4"/>
      <c r="C2704" s="3"/>
      <c r="D2704" s="3"/>
      <c r="G2704" s="57"/>
    </row>
    <row r="2705" spans="1:7" ht="12.75" x14ac:dyDescent="0.2">
      <c r="A2705" s="3"/>
      <c r="B2705" s="4"/>
      <c r="C2705" s="3"/>
      <c r="D2705" s="3"/>
      <c r="G2705" s="57"/>
    </row>
    <row r="2706" spans="1:7" ht="12.75" x14ac:dyDescent="0.2">
      <c r="A2706" s="3"/>
      <c r="B2706" s="4"/>
      <c r="G2706" s="19"/>
    </row>
    <row r="2707" spans="1:7" ht="12.75" x14ac:dyDescent="0.2">
      <c r="A2707" s="3"/>
      <c r="B2707" s="4"/>
      <c r="G2707" s="19"/>
    </row>
    <row r="2708" spans="1:7" ht="12.75" x14ac:dyDescent="0.2">
      <c r="A2708" s="3"/>
      <c r="B2708" s="4"/>
      <c r="G2708" s="19"/>
    </row>
    <row r="2709" spans="1:7" ht="12.75" x14ac:dyDescent="0.2">
      <c r="A2709" s="3"/>
      <c r="B2709" s="4"/>
      <c r="G2709" s="19"/>
    </row>
    <row r="2710" spans="1:7" ht="12.75" x14ac:dyDescent="0.2">
      <c r="A2710" s="3"/>
      <c r="B2710" s="4"/>
      <c r="G2710" s="19"/>
    </row>
    <row r="2711" spans="1:7" ht="12.75" x14ac:dyDescent="0.2">
      <c r="A2711" s="3"/>
      <c r="B2711" s="4"/>
      <c r="G2711" s="19"/>
    </row>
    <row r="2712" spans="1:7" ht="12.75" x14ac:dyDescent="0.2">
      <c r="A2712" s="3"/>
      <c r="B2712" s="4"/>
      <c r="G2712" s="19"/>
    </row>
    <row r="2713" spans="1:7" ht="12.75" x14ac:dyDescent="0.2">
      <c r="A2713" s="3"/>
      <c r="B2713" s="4"/>
      <c r="G2713" s="19"/>
    </row>
    <row r="2714" spans="1:7" ht="12.75" x14ac:dyDescent="0.2">
      <c r="A2714" s="3"/>
      <c r="B2714" s="4"/>
      <c r="G2714" s="19"/>
    </row>
    <row r="2715" spans="1:7" ht="12.75" x14ac:dyDescent="0.2">
      <c r="A2715" s="3"/>
      <c r="B2715" s="4"/>
      <c r="G2715" s="19"/>
    </row>
    <row r="2716" spans="1:7" ht="12.75" x14ac:dyDescent="0.2">
      <c r="A2716" s="3"/>
      <c r="B2716" s="4"/>
      <c r="G2716" s="19"/>
    </row>
    <row r="2717" spans="1:7" ht="12.75" x14ac:dyDescent="0.2">
      <c r="A2717" s="3"/>
      <c r="B2717" s="4"/>
      <c r="G2717" s="19"/>
    </row>
    <row r="2718" spans="1:7" ht="12.75" x14ac:dyDescent="0.2">
      <c r="A2718" s="3"/>
      <c r="B2718" s="4"/>
      <c r="G2718" s="19"/>
    </row>
    <row r="2719" spans="1:7" ht="12.75" x14ac:dyDescent="0.2">
      <c r="A2719" s="3"/>
      <c r="B2719" s="4"/>
      <c r="G2719" s="19"/>
    </row>
    <row r="2720" spans="1:7" ht="12.75" x14ac:dyDescent="0.2">
      <c r="A2720" s="3"/>
      <c r="B2720" s="4"/>
      <c r="G2720" s="19"/>
    </row>
    <row r="2721" spans="1:7" ht="12.75" x14ac:dyDescent="0.2">
      <c r="A2721" s="3"/>
      <c r="B2721" s="4"/>
      <c r="G2721" s="19"/>
    </row>
    <row r="2722" spans="1:7" ht="12.75" x14ac:dyDescent="0.2">
      <c r="A2722" s="3"/>
      <c r="B2722" s="4"/>
      <c r="G2722" s="19"/>
    </row>
    <row r="2723" spans="1:7" ht="12.75" x14ac:dyDescent="0.2">
      <c r="A2723" s="3"/>
      <c r="B2723" s="4"/>
      <c r="G2723" s="19"/>
    </row>
    <row r="2724" spans="1:7" ht="12.75" x14ac:dyDescent="0.2">
      <c r="A2724" s="3"/>
      <c r="B2724" s="4"/>
      <c r="G2724" s="19"/>
    </row>
    <row r="2725" spans="1:7" ht="12.75" x14ac:dyDescent="0.2">
      <c r="A2725" s="3"/>
      <c r="B2725" s="4"/>
      <c r="G2725" s="19"/>
    </row>
    <row r="2726" spans="1:7" ht="12.75" x14ac:dyDescent="0.2">
      <c r="A2726" s="3"/>
      <c r="B2726" s="4"/>
      <c r="G2726" s="19"/>
    </row>
    <row r="2727" spans="1:7" ht="12.75" x14ac:dyDescent="0.2">
      <c r="A2727" s="3"/>
      <c r="B2727" s="4"/>
      <c r="G2727" s="19"/>
    </row>
    <row r="2728" spans="1:7" ht="12.75" x14ac:dyDescent="0.2">
      <c r="A2728" s="3"/>
      <c r="B2728" s="4"/>
      <c r="G2728" s="19"/>
    </row>
    <row r="2729" spans="1:7" ht="12.75" x14ac:dyDescent="0.2">
      <c r="A2729" s="3"/>
      <c r="B2729" s="4"/>
      <c r="G2729" s="19"/>
    </row>
    <row r="2730" spans="1:7" ht="12.75" x14ac:dyDescent="0.2">
      <c r="A2730" s="3"/>
      <c r="B2730" s="4"/>
      <c r="G2730" s="19"/>
    </row>
    <row r="2731" spans="1:7" ht="12.75" x14ac:dyDescent="0.2">
      <c r="A2731" s="3"/>
      <c r="B2731" s="4"/>
      <c r="G2731" s="19"/>
    </row>
    <row r="2732" spans="1:7" ht="12.75" x14ac:dyDescent="0.2">
      <c r="A2732" s="3"/>
      <c r="B2732" s="4"/>
      <c r="G2732" s="19"/>
    </row>
    <row r="2733" spans="1:7" ht="12.75" x14ac:dyDescent="0.2">
      <c r="A2733" s="3"/>
      <c r="B2733" s="4"/>
      <c r="G2733" s="19"/>
    </row>
    <row r="2734" spans="1:7" ht="12.75" x14ac:dyDescent="0.2">
      <c r="A2734" s="3"/>
      <c r="B2734" s="4"/>
      <c r="G2734" s="19"/>
    </row>
    <row r="2735" spans="1:7" ht="12.75" x14ac:dyDescent="0.2">
      <c r="A2735" s="3"/>
      <c r="B2735" s="4"/>
      <c r="G2735" s="19"/>
    </row>
    <row r="2736" spans="1:7" ht="12.75" x14ac:dyDescent="0.2">
      <c r="A2736" s="3"/>
      <c r="B2736" s="4"/>
      <c r="G2736" s="19"/>
    </row>
    <row r="2737" spans="1:7" ht="12.75" x14ac:dyDescent="0.2">
      <c r="A2737" s="3"/>
      <c r="B2737" s="4"/>
      <c r="G2737" s="19"/>
    </row>
    <row r="2738" spans="1:7" ht="12.75" x14ac:dyDescent="0.2">
      <c r="A2738" s="3"/>
      <c r="B2738" s="4"/>
      <c r="G2738" s="19"/>
    </row>
    <row r="2739" spans="1:7" ht="12.75" x14ac:dyDescent="0.2">
      <c r="A2739" s="3"/>
      <c r="B2739" s="4"/>
      <c r="G2739" s="19"/>
    </row>
    <row r="2740" spans="1:7" ht="12.75" x14ac:dyDescent="0.2">
      <c r="A2740" s="3"/>
      <c r="B2740" s="4"/>
      <c r="G2740" s="19"/>
    </row>
    <row r="2741" spans="1:7" ht="12.75" x14ac:dyDescent="0.2">
      <c r="A2741" s="3"/>
      <c r="B2741" s="4"/>
      <c r="G2741" s="19"/>
    </row>
    <row r="2742" spans="1:7" ht="12.75" x14ac:dyDescent="0.2">
      <c r="A2742" s="3"/>
      <c r="B2742" s="4"/>
      <c r="G2742" s="19"/>
    </row>
    <row r="2743" spans="1:7" ht="12.75" x14ac:dyDescent="0.2">
      <c r="A2743" s="3"/>
      <c r="B2743" s="4"/>
      <c r="G2743" s="19"/>
    </row>
    <row r="2744" spans="1:7" ht="12.75" x14ac:dyDescent="0.2">
      <c r="A2744" s="3"/>
      <c r="B2744" s="4"/>
      <c r="G2744" s="19"/>
    </row>
    <row r="2745" spans="1:7" ht="12.75" x14ac:dyDescent="0.2">
      <c r="A2745" s="3"/>
      <c r="B2745" s="4"/>
      <c r="G2745" s="19"/>
    </row>
    <row r="2746" spans="1:7" ht="12.75" x14ac:dyDescent="0.2">
      <c r="A2746" s="3"/>
      <c r="B2746" s="4"/>
      <c r="G2746" s="19"/>
    </row>
    <row r="2747" spans="1:7" ht="12.75" x14ac:dyDescent="0.2">
      <c r="A2747" s="3"/>
      <c r="B2747" s="4"/>
      <c r="G2747" s="19"/>
    </row>
    <row r="2748" spans="1:7" ht="12.75" x14ac:dyDescent="0.2">
      <c r="A2748" s="3"/>
      <c r="B2748" s="4"/>
      <c r="G2748" s="19"/>
    </row>
    <row r="2749" spans="1:7" ht="12.75" x14ac:dyDescent="0.2">
      <c r="A2749" s="3"/>
      <c r="B2749" s="4"/>
      <c r="G2749" s="19"/>
    </row>
    <row r="2750" spans="1:7" ht="12.75" x14ac:dyDescent="0.2">
      <c r="A2750" s="3"/>
      <c r="B2750" s="4"/>
      <c r="G2750" s="19"/>
    </row>
    <row r="2751" spans="1:7" ht="12.75" x14ac:dyDescent="0.2">
      <c r="A2751" s="3"/>
      <c r="B2751" s="4"/>
      <c r="G2751" s="19"/>
    </row>
    <row r="2752" spans="1:7" ht="12.75" x14ac:dyDescent="0.2">
      <c r="A2752" s="3"/>
      <c r="B2752" s="4"/>
      <c r="G2752" s="19"/>
    </row>
    <row r="2753" spans="1:7" ht="12.75" x14ac:dyDescent="0.2">
      <c r="A2753" s="3"/>
      <c r="B2753" s="4"/>
      <c r="G2753" s="19"/>
    </row>
    <row r="2754" spans="1:7" ht="12.75" x14ac:dyDescent="0.2">
      <c r="A2754" s="3"/>
      <c r="B2754" s="4"/>
      <c r="G2754" s="19"/>
    </row>
    <row r="2755" spans="1:7" ht="12.75" x14ac:dyDescent="0.2">
      <c r="A2755" s="3"/>
      <c r="B2755" s="4"/>
      <c r="G2755" s="19"/>
    </row>
    <row r="2756" spans="1:7" ht="12.75" x14ac:dyDescent="0.2">
      <c r="A2756" s="3"/>
      <c r="B2756" s="4"/>
      <c r="G2756" s="19"/>
    </row>
    <row r="2757" spans="1:7" ht="12.75" x14ac:dyDescent="0.2">
      <c r="A2757" s="3"/>
      <c r="B2757" s="4"/>
      <c r="G2757" s="19"/>
    </row>
    <row r="2758" spans="1:7" ht="12.75" x14ac:dyDescent="0.2">
      <c r="A2758" s="3"/>
      <c r="B2758" s="4"/>
      <c r="G2758" s="19"/>
    </row>
    <row r="2759" spans="1:7" ht="12.75" x14ac:dyDescent="0.2">
      <c r="A2759" s="3"/>
      <c r="B2759" s="4"/>
      <c r="G2759" s="19"/>
    </row>
    <row r="2760" spans="1:7" ht="12.75" x14ac:dyDescent="0.2">
      <c r="A2760" s="3"/>
      <c r="B2760" s="4"/>
      <c r="G2760" s="19"/>
    </row>
    <row r="2761" spans="1:7" ht="12.75" x14ac:dyDescent="0.2">
      <c r="A2761" s="3"/>
      <c r="B2761" s="4"/>
      <c r="G2761" s="19"/>
    </row>
    <row r="2762" spans="1:7" ht="12.75" x14ac:dyDescent="0.2">
      <c r="A2762" s="3"/>
      <c r="B2762" s="4"/>
      <c r="G2762" s="19"/>
    </row>
    <row r="2763" spans="1:7" ht="12.75" x14ac:dyDescent="0.2">
      <c r="A2763" s="3"/>
      <c r="B2763" s="4"/>
      <c r="G2763" s="19"/>
    </row>
    <row r="2764" spans="1:7" ht="12.75" x14ac:dyDescent="0.2">
      <c r="A2764" s="3"/>
      <c r="B2764" s="4"/>
      <c r="G2764" s="19"/>
    </row>
    <row r="2765" spans="1:7" ht="12.75" x14ac:dyDescent="0.2">
      <c r="A2765" s="3"/>
      <c r="B2765" s="4"/>
      <c r="G2765" s="19"/>
    </row>
    <row r="2766" spans="1:7" ht="12.75" x14ac:dyDescent="0.2">
      <c r="A2766" s="3"/>
      <c r="B2766" s="4"/>
      <c r="G2766" s="19"/>
    </row>
    <row r="2767" spans="1:7" ht="12.75" x14ac:dyDescent="0.2">
      <c r="A2767" s="3"/>
      <c r="B2767" s="4"/>
      <c r="G2767" s="19"/>
    </row>
    <row r="2768" spans="1:7" ht="12.75" x14ac:dyDescent="0.2">
      <c r="A2768" s="3"/>
      <c r="B2768" s="4"/>
      <c r="G2768" s="19"/>
    </row>
    <row r="2769" spans="1:7" ht="12.75" x14ac:dyDescent="0.2">
      <c r="A2769" s="3"/>
      <c r="B2769" s="4"/>
      <c r="G2769" s="19"/>
    </row>
    <row r="2770" spans="1:7" ht="12.75" x14ac:dyDescent="0.2">
      <c r="A2770" s="3"/>
      <c r="B2770" s="4"/>
      <c r="G2770" s="19"/>
    </row>
    <row r="2771" spans="1:7" ht="12.75" x14ac:dyDescent="0.2">
      <c r="A2771" s="3"/>
      <c r="B2771" s="4"/>
      <c r="G2771" s="19"/>
    </row>
    <row r="2772" spans="1:7" ht="12.75" x14ac:dyDescent="0.2">
      <c r="A2772" s="3"/>
      <c r="B2772" s="4"/>
      <c r="G2772" s="19"/>
    </row>
    <row r="2773" spans="1:7" ht="12.75" x14ac:dyDescent="0.2">
      <c r="A2773" s="3"/>
      <c r="B2773" s="4"/>
      <c r="G2773" s="19"/>
    </row>
    <row r="2774" spans="1:7" ht="12.75" x14ac:dyDescent="0.2">
      <c r="A2774" s="3"/>
      <c r="B2774" s="4"/>
      <c r="G2774" s="19"/>
    </row>
    <row r="2775" spans="1:7" ht="12.75" x14ac:dyDescent="0.2">
      <c r="A2775" s="3"/>
      <c r="B2775" s="4"/>
      <c r="G2775" s="19"/>
    </row>
    <row r="2776" spans="1:7" ht="12.75" x14ac:dyDescent="0.2">
      <c r="A2776" s="3"/>
      <c r="B2776" s="4"/>
      <c r="G2776" s="19"/>
    </row>
    <row r="2777" spans="1:7" ht="12.75" x14ac:dyDescent="0.2">
      <c r="A2777" s="3"/>
      <c r="B2777" s="4"/>
      <c r="G2777" s="19"/>
    </row>
    <row r="2778" spans="1:7" ht="12.75" x14ac:dyDescent="0.2">
      <c r="A2778" s="3"/>
      <c r="B2778" s="4"/>
      <c r="G2778" s="19"/>
    </row>
    <row r="2779" spans="1:7" ht="12.75" x14ac:dyDescent="0.2">
      <c r="A2779" s="3"/>
      <c r="B2779" s="4"/>
      <c r="G2779" s="19"/>
    </row>
    <row r="2780" spans="1:7" ht="12.75" x14ac:dyDescent="0.2">
      <c r="A2780" s="3"/>
      <c r="B2780" s="4"/>
      <c r="G2780" s="19"/>
    </row>
    <row r="2781" spans="1:7" ht="12.75" x14ac:dyDescent="0.2">
      <c r="A2781" s="3"/>
      <c r="B2781" s="4"/>
      <c r="G2781" s="19"/>
    </row>
    <row r="2782" spans="1:7" ht="12.75" x14ac:dyDescent="0.2">
      <c r="A2782" s="3"/>
      <c r="B2782" s="4"/>
      <c r="G2782" s="19"/>
    </row>
    <row r="2783" spans="1:7" ht="12.75" x14ac:dyDescent="0.2">
      <c r="A2783" s="3"/>
      <c r="B2783" s="4"/>
      <c r="G2783" s="19"/>
    </row>
    <row r="2784" spans="1:7" ht="12.75" x14ac:dyDescent="0.2">
      <c r="A2784" s="3"/>
      <c r="B2784" s="4"/>
      <c r="G2784" s="19"/>
    </row>
    <row r="2785" spans="1:7" ht="12.75" x14ac:dyDescent="0.2">
      <c r="A2785" s="3"/>
      <c r="B2785" s="4"/>
      <c r="G2785" s="19"/>
    </row>
    <row r="2786" spans="1:7" ht="12.75" x14ac:dyDescent="0.2">
      <c r="A2786" s="3"/>
      <c r="B2786" s="4"/>
      <c r="G2786" s="19"/>
    </row>
    <row r="2787" spans="1:7" ht="12.75" x14ac:dyDescent="0.2">
      <c r="A2787" s="3"/>
      <c r="B2787" s="4"/>
      <c r="G2787" s="19"/>
    </row>
    <row r="2788" spans="1:7" ht="12.75" x14ac:dyDescent="0.2">
      <c r="A2788" s="3"/>
      <c r="B2788" s="4"/>
      <c r="G2788" s="19"/>
    </row>
    <row r="2789" spans="1:7" ht="12.75" x14ac:dyDescent="0.2">
      <c r="A2789" s="3"/>
      <c r="B2789" s="4"/>
      <c r="G2789" s="19"/>
    </row>
    <row r="2790" spans="1:7" ht="12.75" x14ac:dyDescent="0.2">
      <c r="A2790" s="3"/>
      <c r="B2790" s="4"/>
      <c r="G2790" s="19"/>
    </row>
    <row r="2791" spans="1:7" ht="12.75" x14ac:dyDescent="0.2">
      <c r="A2791" s="3"/>
      <c r="B2791" s="4"/>
      <c r="G2791" s="19"/>
    </row>
    <row r="2792" spans="1:7" ht="12.75" x14ac:dyDescent="0.2">
      <c r="A2792" s="3"/>
      <c r="B2792" s="4"/>
      <c r="G2792" s="19"/>
    </row>
    <row r="2793" spans="1:7" ht="12.75" x14ac:dyDescent="0.2">
      <c r="A2793" s="3"/>
      <c r="B2793" s="4"/>
      <c r="G2793" s="19"/>
    </row>
    <row r="2794" spans="1:7" ht="12.75" x14ac:dyDescent="0.2">
      <c r="A2794" s="3"/>
      <c r="B2794" s="4"/>
      <c r="G2794" s="19"/>
    </row>
    <row r="2795" spans="1:7" ht="12.75" x14ac:dyDescent="0.2">
      <c r="A2795" s="3"/>
      <c r="B2795" s="4"/>
      <c r="G2795" s="19"/>
    </row>
    <row r="2796" spans="1:7" ht="12.75" x14ac:dyDescent="0.2">
      <c r="A2796" s="3"/>
      <c r="B2796" s="4"/>
      <c r="G2796" s="19"/>
    </row>
    <row r="2797" spans="1:7" ht="12.75" x14ac:dyDescent="0.2">
      <c r="A2797" s="3"/>
      <c r="B2797" s="4"/>
      <c r="G2797" s="19"/>
    </row>
    <row r="2798" spans="1:7" ht="12.75" x14ac:dyDescent="0.2">
      <c r="A2798" s="3"/>
      <c r="B2798" s="4"/>
      <c r="G2798" s="19"/>
    </row>
    <row r="2799" spans="1:7" ht="12.75" x14ac:dyDescent="0.2">
      <c r="A2799" s="3"/>
      <c r="B2799" s="4"/>
      <c r="G2799" s="19"/>
    </row>
    <row r="2800" spans="1:7" ht="12.75" x14ac:dyDescent="0.2">
      <c r="A2800" s="3"/>
      <c r="B2800" s="4"/>
      <c r="G2800" s="19"/>
    </row>
    <row r="2801" spans="1:7" ht="12.75" x14ac:dyDescent="0.2">
      <c r="A2801" s="3"/>
      <c r="B2801" s="4"/>
      <c r="G2801" s="19"/>
    </row>
    <row r="2802" spans="1:7" ht="12.75" x14ac:dyDescent="0.2">
      <c r="A2802" s="3"/>
      <c r="B2802" s="4"/>
      <c r="G2802" s="19"/>
    </row>
    <row r="2803" spans="1:7" ht="12.75" x14ac:dyDescent="0.2">
      <c r="A2803" s="3"/>
      <c r="B2803" s="4"/>
      <c r="G2803" s="19"/>
    </row>
    <row r="2804" spans="1:7" ht="12.75" x14ac:dyDescent="0.2">
      <c r="A2804" s="3"/>
      <c r="B2804" s="4"/>
      <c r="G2804" s="19"/>
    </row>
    <row r="2805" spans="1:7" ht="12.75" x14ac:dyDescent="0.2">
      <c r="A2805" s="3"/>
      <c r="B2805" s="4"/>
      <c r="G2805" s="19"/>
    </row>
    <row r="2806" spans="1:7" ht="12.75" x14ac:dyDescent="0.2">
      <c r="A2806" s="3"/>
      <c r="B2806" s="4"/>
      <c r="G2806" s="19"/>
    </row>
    <row r="2807" spans="1:7" ht="12.75" x14ac:dyDescent="0.2">
      <c r="A2807" s="3"/>
      <c r="B2807" s="4"/>
      <c r="G2807" s="19"/>
    </row>
    <row r="2808" spans="1:7" ht="12.75" x14ac:dyDescent="0.2">
      <c r="A2808" s="3"/>
      <c r="B2808" s="4"/>
      <c r="G2808" s="19"/>
    </row>
    <row r="2809" spans="1:7" ht="12.75" x14ac:dyDescent="0.2">
      <c r="A2809" s="3"/>
      <c r="B2809" s="4"/>
      <c r="G2809" s="19"/>
    </row>
    <row r="2810" spans="1:7" ht="12.75" x14ac:dyDescent="0.2">
      <c r="A2810" s="3"/>
      <c r="B2810" s="4"/>
      <c r="G2810" s="19"/>
    </row>
    <row r="2811" spans="1:7" ht="12.75" x14ac:dyDescent="0.2">
      <c r="A2811" s="3"/>
      <c r="B2811" s="4"/>
      <c r="G2811" s="19"/>
    </row>
    <row r="2812" spans="1:7" ht="12.75" x14ac:dyDescent="0.2">
      <c r="A2812" s="3"/>
      <c r="B2812" s="4"/>
      <c r="G2812" s="19"/>
    </row>
    <row r="2813" spans="1:7" ht="12.75" x14ac:dyDescent="0.2">
      <c r="A2813" s="3"/>
      <c r="B2813" s="4"/>
      <c r="G2813" s="19"/>
    </row>
    <row r="2814" spans="1:7" ht="12.75" x14ac:dyDescent="0.2">
      <c r="A2814" s="3"/>
      <c r="B2814" s="4"/>
      <c r="G2814" s="19"/>
    </row>
    <row r="2815" spans="1:7" ht="12.75" x14ac:dyDescent="0.2">
      <c r="A2815" s="3"/>
      <c r="B2815" s="4"/>
      <c r="G2815" s="19"/>
    </row>
    <row r="2816" spans="1:7" ht="12.75" x14ac:dyDescent="0.2">
      <c r="A2816" s="3"/>
      <c r="B2816" s="4"/>
      <c r="G2816" s="19"/>
    </row>
    <row r="2817" spans="1:7" ht="12.75" x14ac:dyDescent="0.2">
      <c r="A2817" s="3"/>
      <c r="B2817" s="4"/>
      <c r="G2817" s="19"/>
    </row>
    <row r="2818" spans="1:7" ht="12.75" x14ac:dyDescent="0.2">
      <c r="A2818" s="3"/>
      <c r="B2818" s="4"/>
      <c r="G2818" s="19"/>
    </row>
    <row r="2819" spans="1:7" ht="12.75" x14ac:dyDescent="0.2">
      <c r="A2819" s="3"/>
      <c r="B2819" s="4"/>
      <c r="G2819" s="19"/>
    </row>
    <row r="2820" spans="1:7" ht="12.75" x14ac:dyDescent="0.2">
      <c r="A2820" s="3"/>
      <c r="B2820" s="4"/>
      <c r="G2820" s="19"/>
    </row>
    <row r="2821" spans="1:7" ht="12.75" x14ac:dyDescent="0.2">
      <c r="A2821" s="3"/>
      <c r="B2821" s="4"/>
      <c r="G2821" s="19"/>
    </row>
    <row r="2822" spans="1:7" ht="12.75" x14ac:dyDescent="0.2">
      <c r="A2822" s="3"/>
      <c r="B2822" s="4"/>
      <c r="G2822" s="19"/>
    </row>
    <row r="2823" spans="1:7" ht="12.75" x14ac:dyDescent="0.2">
      <c r="A2823" s="3"/>
      <c r="B2823" s="4"/>
      <c r="G2823" s="19"/>
    </row>
    <row r="2824" spans="1:7" ht="12.75" x14ac:dyDescent="0.2">
      <c r="A2824" s="3"/>
      <c r="B2824" s="4"/>
      <c r="G2824" s="19"/>
    </row>
    <row r="2825" spans="1:7" ht="12.75" x14ac:dyDescent="0.2">
      <c r="A2825" s="3"/>
      <c r="B2825" s="4"/>
      <c r="G2825" s="19"/>
    </row>
    <row r="2826" spans="1:7" ht="12.75" x14ac:dyDescent="0.2">
      <c r="A2826" s="3"/>
      <c r="B2826" s="4"/>
      <c r="G2826" s="19"/>
    </row>
    <row r="2827" spans="1:7" ht="12.75" x14ac:dyDescent="0.2">
      <c r="A2827" s="3"/>
      <c r="B2827" s="4"/>
      <c r="G2827" s="19"/>
    </row>
    <row r="2828" spans="1:7" ht="12.75" x14ac:dyDescent="0.2">
      <c r="A2828" s="3"/>
      <c r="B2828" s="4"/>
      <c r="G2828" s="19"/>
    </row>
    <row r="2829" spans="1:7" ht="12.75" x14ac:dyDescent="0.2">
      <c r="A2829" s="3"/>
      <c r="B2829" s="4"/>
      <c r="G2829" s="19"/>
    </row>
    <row r="2830" spans="1:7" ht="12.75" x14ac:dyDescent="0.2">
      <c r="A2830" s="3"/>
      <c r="B2830" s="4"/>
      <c r="G2830" s="19"/>
    </row>
    <row r="2831" spans="1:7" ht="12.75" x14ac:dyDescent="0.2">
      <c r="A2831" s="3"/>
      <c r="B2831" s="4"/>
      <c r="G2831" s="19"/>
    </row>
    <row r="2832" spans="1:7" ht="12.75" x14ac:dyDescent="0.2">
      <c r="A2832" s="3"/>
      <c r="B2832" s="4"/>
      <c r="G2832" s="19"/>
    </row>
    <row r="2833" spans="1:7" ht="12.75" x14ac:dyDescent="0.2">
      <c r="A2833" s="3"/>
      <c r="B2833" s="4"/>
      <c r="G2833" s="19"/>
    </row>
    <row r="2834" spans="1:7" ht="12.75" x14ac:dyDescent="0.2">
      <c r="A2834" s="3"/>
      <c r="B2834" s="4"/>
      <c r="G2834" s="19"/>
    </row>
    <row r="2835" spans="1:7" ht="12.75" x14ac:dyDescent="0.2">
      <c r="A2835" s="3"/>
      <c r="B2835" s="4"/>
      <c r="G2835" s="19"/>
    </row>
    <row r="2836" spans="1:7" ht="12.75" x14ac:dyDescent="0.2">
      <c r="A2836" s="3"/>
      <c r="B2836" s="4"/>
      <c r="G2836" s="19"/>
    </row>
    <row r="2837" spans="1:7" ht="12.75" x14ac:dyDescent="0.2">
      <c r="A2837" s="3"/>
      <c r="B2837" s="4"/>
      <c r="G2837" s="19"/>
    </row>
    <row r="2838" spans="1:7" ht="12.75" x14ac:dyDescent="0.2">
      <c r="A2838" s="3"/>
      <c r="B2838" s="4"/>
      <c r="G2838" s="19"/>
    </row>
    <row r="2839" spans="1:7" ht="12.75" x14ac:dyDescent="0.2">
      <c r="A2839" s="3"/>
      <c r="B2839" s="4"/>
      <c r="G2839" s="19"/>
    </row>
    <row r="2840" spans="1:7" ht="12.75" x14ac:dyDescent="0.2">
      <c r="A2840" s="3"/>
      <c r="B2840" s="4"/>
      <c r="G2840" s="19"/>
    </row>
    <row r="2841" spans="1:7" ht="12.75" x14ac:dyDescent="0.2">
      <c r="A2841" s="3"/>
      <c r="B2841" s="4"/>
      <c r="G2841" s="19"/>
    </row>
    <row r="2842" spans="1:7" ht="12.75" x14ac:dyDescent="0.2">
      <c r="A2842" s="3"/>
      <c r="B2842" s="4"/>
      <c r="G2842" s="19"/>
    </row>
    <row r="2843" spans="1:7" ht="12.75" x14ac:dyDescent="0.2">
      <c r="A2843" s="3"/>
      <c r="B2843" s="4"/>
      <c r="G2843" s="19"/>
    </row>
    <row r="2844" spans="1:7" ht="12.75" x14ac:dyDescent="0.2">
      <c r="A2844" s="3"/>
      <c r="B2844" s="4"/>
      <c r="G2844" s="19"/>
    </row>
    <row r="2845" spans="1:7" ht="12.75" x14ac:dyDescent="0.2">
      <c r="A2845" s="3"/>
      <c r="B2845" s="4"/>
      <c r="G2845" s="19"/>
    </row>
    <row r="2846" spans="1:7" ht="12.75" x14ac:dyDescent="0.2">
      <c r="A2846" s="3"/>
      <c r="B2846" s="4"/>
      <c r="G2846" s="19"/>
    </row>
    <row r="2847" spans="1:7" ht="12.75" x14ac:dyDescent="0.2">
      <c r="A2847" s="3"/>
      <c r="B2847" s="4"/>
      <c r="G2847" s="19"/>
    </row>
    <row r="2848" spans="1:7" ht="12.75" x14ac:dyDescent="0.2">
      <c r="A2848" s="3"/>
      <c r="B2848" s="4"/>
      <c r="G2848" s="19"/>
    </row>
    <row r="2849" spans="1:7" ht="12.75" x14ac:dyDescent="0.2">
      <c r="A2849" s="3"/>
      <c r="B2849" s="4"/>
      <c r="G2849" s="19"/>
    </row>
    <row r="2850" spans="1:7" ht="12.75" x14ac:dyDescent="0.2">
      <c r="A2850" s="3"/>
      <c r="B2850" s="4"/>
      <c r="G2850" s="19"/>
    </row>
    <row r="2851" spans="1:7" ht="12.75" x14ac:dyDescent="0.2">
      <c r="A2851" s="3"/>
      <c r="B2851" s="4"/>
      <c r="G2851" s="19"/>
    </row>
    <row r="2852" spans="1:7" ht="12.75" x14ac:dyDescent="0.2">
      <c r="A2852" s="3"/>
      <c r="B2852" s="4"/>
      <c r="G2852" s="19"/>
    </row>
    <row r="2853" spans="1:7" ht="12.75" x14ac:dyDescent="0.2">
      <c r="A2853" s="3"/>
      <c r="B2853" s="4"/>
      <c r="G2853" s="19"/>
    </row>
    <row r="2854" spans="1:7" ht="12.75" x14ac:dyDescent="0.2">
      <c r="A2854" s="3"/>
      <c r="B2854" s="4"/>
      <c r="G2854" s="19"/>
    </row>
    <row r="2855" spans="1:7" ht="12.75" x14ac:dyDescent="0.2">
      <c r="A2855" s="3"/>
      <c r="B2855" s="4"/>
      <c r="G2855" s="19"/>
    </row>
    <row r="2856" spans="1:7" ht="12.75" x14ac:dyDescent="0.2">
      <c r="A2856" s="3"/>
      <c r="B2856" s="4"/>
      <c r="G2856" s="19"/>
    </row>
    <row r="2857" spans="1:7" ht="12.75" x14ac:dyDescent="0.2">
      <c r="A2857" s="3"/>
      <c r="B2857" s="4"/>
      <c r="G2857" s="19"/>
    </row>
    <row r="2858" spans="1:7" ht="12.75" x14ac:dyDescent="0.2">
      <c r="A2858" s="3"/>
      <c r="B2858" s="4"/>
      <c r="G2858" s="19"/>
    </row>
    <row r="2859" spans="1:7" ht="12.75" x14ac:dyDescent="0.2">
      <c r="A2859" s="3"/>
      <c r="B2859" s="4"/>
      <c r="G2859" s="19"/>
    </row>
    <row r="2860" spans="1:7" ht="12.75" x14ac:dyDescent="0.2">
      <c r="A2860" s="3"/>
      <c r="B2860" s="4"/>
      <c r="G2860" s="19"/>
    </row>
    <row r="2861" spans="1:7" ht="12.75" x14ac:dyDescent="0.2">
      <c r="A2861" s="3"/>
      <c r="B2861" s="4"/>
      <c r="G2861" s="19"/>
    </row>
    <row r="2862" spans="1:7" ht="12.75" x14ac:dyDescent="0.2">
      <c r="A2862" s="3"/>
      <c r="B2862" s="4"/>
      <c r="G2862" s="19"/>
    </row>
    <row r="2863" spans="1:7" ht="12.75" x14ac:dyDescent="0.2">
      <c r="A2863" s="3"/>
      <c r="B2863" s="4"/>
      <c r="G2863" s="19"/>
    </row>
    <row r="2864" spans="1:7" ht="12.75" x14ac:dyDescent="0.2">
      <c r="A2864" s="3"/>
      <c r="B2864" s="4"/>
      <c r="G2864" s="19"/>
    </row>
    <row r="2865" spans="1:7" ht="12.75" x14ac:dyDescent="0.2">
      <c r="A2865" s="3"/>
      <c r="B2865" s="4"/>
      <c r="G2865" s="19"/>
    </row>
    <row r="2866" spans="1:7" ht="12.75" x14ac:dyDescent="0.2">
      <c r="A2866" s="3"/>
      <c r="B2866" s="4"/>
      <c r="G2866" s="19"/>
    </row>
    <row r="2867" spans="1:7" ht="12.75" x14ac:dyDescent="0.2">
      <c r="A2867" s="3"/>
      <c r="B2867" s="4"/>
      <c r="G2867" s="19"/>
    </row>
    <row r="2868" spans="1:7" ht="12.75" x14ac:dyDescent="0.2">
      <c r="A2868" s="3"/>
      <c r="B2868" s="4"/>
      <c r="G2868" s="19"/>
    </row>
    <row r="2869" spans="1:7" ht="12.75" x14ac:dyDescent="0.2">
      <c r="A2869" s="3"/>
      <c r="B2869" s="4"/>
      <c r="G2869" s="19"/>
    </row>
    <row r="2870" spans="1:7" ht="12.75" x14ac:dyDescent="0.2">
      <c r="A2870" s="3"/>
      <c r="B2870" s="4"/>
      <c r="G2870" s="19"/>
    </row>
    <row r="2871" spans="1:7" ht="12.75" x14ac:dyDescent="0.2">
      <c r="A2871" s="3"/>
      <c r="B2871" s="4"/>
      <c r="G2871" s="19"/>
    </row>
    <row r="2872" spans="1:7" ht="12.75" x14ac:dyDescent="0.2">
      <c r="A2872" s="3"/>
      <c r="B2872" s="4"/>
      <c r="G2872" s="19"/>
    </row>
    <row r="2873" spans="1:7" ht="12.75" x14ac:dyDescent="0.2">
      <c r="A2873" s="3"/>
      <c r="B2873" s="4"/>
      <c r="G2873" s="19"/>
    </row>
    <row r="2874" spans="1:7" ht="12.75" x14ac:dyDescent="0.2">
      <c r="A2874" s="3"/>
      <c r="B2874" s="4"/>
      <c r="G2874" s="19"/>
    </row>
    <row r="2875" spans="1:7" ht="12.75" x14ac:dyDescent="0.2">
      <c r="A2875" s="3"/>
      <c r="B2875" s="4"/>
      <c r="G2875" s="19"/>
    </row>
    <row r="2876" spans="1:7" ht="12.75" x14ac:dyDescent="0.2">
      <c r="A2876" s="3"/>
      <c r="B2876" s="4"/>
      <c r="G2876" s="19"/>
    </row>
    <row r="2877" spans="1:7" ht="12.75" x14ac:dyDescent="0.2">
      <c r="A2877" s="3"/>
      <c r="B2877" s="4"/>
      <c r="G2877" s="19"/>
    </row>
    <row r="2878" spans="1:7" ht="12.75" x14ac:dyDescent="0.2">
      <c r="A2878" s="3"/>
      <c r="B2878" s="4"/>
      <c r="G2878" s="19"/>
    </row>
    <row r="2879" spans="1:7" ht="12.75" x14ac:dyDescent="0.2">
      <c r="A2879" s="3"/>
      <c r="B2879" s="4"/>
      <c r="G2879" s="19"/>
    </row>
    <row r="2880" spans="1:7" ht="12.75" x14ac:dyDescent="0.2">
      <c r="A2880" s="3"/>
      <c r="B2880" s="4"/>
      <c r="G2880" s="19"/>
    </row>
    <row r="2881" spans="1:7" ht="12.75" x14ac:dyDescent="0.2">
      <c r="A2881" s="3"/>
      <c r="B2881" s="4"/>
      <c r="G2881" s="19"/>
    </row>
    <row r="2882" spans="1:7" ht="12.75" x14ac:dyDescent="0.2">
      <c r="A2882" s="3"/>
      <c r="B2882" s="4"/>
      <c r="G2882" s="19"/>
    </row>
    <row r="2883" spans="1:7" ht="12.75" x14ac:dyDescent="0.2">
      <c r="A2883" s="3"/>
      <c r="B2883" s="4"/>
      <c r="G2883" s="19"/>
    </row>
    <row r="2884" spans="1:7" ht="12.75" x14ac:dyDescent="0.2">
      <c r="A2884" s="3"/>
      <c r="B2884" s="4"/>
      <c r="G2884" s="19"/>
    </row>
    <row r="2885" spans="1:7" ht="12.75" x14ac:dyDescent="0.2">
      <c r="A2885" s="3"/>
      <c r="B2885" s="4"/>
      <c r="G2885" s="19"/>
    </row>
    <row r="2886" spans="1:7" ht="12.75" x14ac:dyDescent="0.2">
      <c r="A2886" s="3"/>
      <c r="B2886" s="4"/>
      <c r="G2886" s="19"/>
    </row>
    <row r="2887" spans="1:7" ht="12.75" x14ac:dyDescent="0.2">
      <c r="A2887" s="3"/>
      <c r="B2887" s="4"/>
      <c r="G2887" s="19"/>
    </row>
    <row r="2888" spans="1:7" ht="12.75" x14ac:dyDescent="0.2">
      <c r="A2888" s="3"/>
      <c r="B2888" s="4"/>
      <c r="G2888" s="19"/>
    </row>
    <row r="2889" spans="1:7" ht="12.75" x14ac:dyDescent="0.2">
      <c r="A2889" s="3"/>
      <c r="B2889" s="4"/>
      <c r="G2889" s="19"/>
    </row>
    <row r="2890" spans="1:7" ht="12.75" x14ac:dyDescent="0.2">
      <c r="A2890" s="3"/>
      <c r="B2890" s="4"/>
      <c r="G2890" s="19"/>
    </row>
    <row r="2891" spans="1:7" ht="12.75" x14ac:dyDescent="0.2">
      <c r="A2891" s="3"/>
      <c r="B2891" s="4"/>
      <c r="G2891" s="19"/>
    </row>
    <row r="2892" spans="1:7" ht="12.75" x14ac:dyDescent="0.2">
      <c r="A2892" s="3"/>
      <c r="B2892" s="4"/>
      <c r="G2892" s="19"/>
    </row>
    <row r="2893" spans="1:7" ht="12.75" x14ac:dyDescent="0.2">
      <c r="A2893" s="3"/>
      <c r="B2893" s="4"/>
      <c r="G2893" s="19"/>
    </row>
    <row r="2894" spans="1:7" ht="12.75" x14ac:dyDescent="0.2">
      <c r="A2894" s="3"/>
      <c r="B2894" s="4"/>
      <c r="G2894" s="19"/>
    </row>
    <row r="2895" spans="1:7" ht="12.75" x14ac:dyDescent="0.2">
      <c r="A2895" s="3"/>
      <c r="B2895" s="4"/>
      <c r="G2895" s="19"/>
    </row>
    <row r="2896" spans="1:7" ht="12.75" x14ac:dyDescent="0.2">
      <c r="A2896" s="3"/>
      <c r="B2896" s="4"/>
      <c r="G2896" s="19"/>
    </row>
    <row r="2897" spans="1:7" ht="12.75" x14ac:dyDescent="0.2">
      <c r="A2897" s="3"/>
      <c r="B2897" s="4"/>
      <c r="G2897" s="19"/>
    </row>
    <row r="2898" spans="1:7" ht="12.75" x14ac:dyDescent="0.2">
      <c r="A2898" s="3"/>
      <c r="B2898" s="4"/>
      <c r="G2898" s="19"/>
    </row>
    <row r="2899" spans="1:7" ht="12.75" x14ac:dyDescent="0.2">
      <c r="A2899" s="3"/>
      <c r="B2899" s="4"/>
      <c r="G2899" s="19"/>
    </row>
    <row r="2900" spans="1:7" ht="12.75" x14ac:dyDescent="0.2">
      <c r="A2900" s="3"/>
      <c r="B2900" s="4"/>
      <c r="G2900" s="19"/>
    </row>
    <row r="2901" spans="1:7" ht="12.75" x14ac:dyDescent="0.2">
      <c r="A2901" s="3"/>
      <c r="B2901" s="4"/>
      <c r="G2901" s="19"/>
    </row>
    <row r="2902" spans="1:7" ht="12.75" x14ac:dyDescent="0.2">
      <c r="A2902" s="3"/>
      <c r="B2902" s="4"/>
      <c r="G2902" s="19"/>
    </row>
    <row r="2903" spans="1:7" ht="12.75" x14ac:dyDescent="0.2">
      <c r="A2903" s="3"/>
      <c r="B2903" s="4"/>
      <c r="G2903" s="19"/>
    </row>
    <row r="2904" spans="1:7" ht="12.75" x14ac:dyDescent="0.2">
      <c r="A2904" s="3"/>
      <c r="B2904" s="4"/>
      <c r="G2904" s="19"/>
    </row>
    <row r="2905" spans="1:7" ht="12.75" x14ac:dyDescent="0.2">
      <c r="A2905" s="3"/>
      <c r="B2905" s="4"/>
      <c r="G2905" s="19"/>
    </row>
    <row r="2906" spans="1:7" ht="12.75" x14ac:dyDescent="0.2">
      <c r="A2906" s="3"/>
      <c r="B2906" s="4"/>
      <c r="G2906" s="19"/>
    </row>
    <row r="2907" spans="1:7" ht="12.75" x14ac:dyDescent="0.2">
      <c r="A2907" s="3"/>
      <c r="B2907" s="4"/>
      <c r="G2907" s="19"/>
    </row>
    <row r="2908" spans="1:7" ht="12.75" x14ac:dyDescent="0.2">
      <c r="A2908" s="3"/>
      <c r="B2908" s="4"/>
      <c r="G2908" s="19"/>
    </row>
    <row r="2909" spans="1:7" ht="12.75" x14ac:dyDescent="0.2">
      <c r="A2909" s="3"/>
      <c r="B2909" s="4"/>
      <c r="G2909" s="19"/>
    </row>
    <row r="2910" spans="1:7" ht="12.75" x14ac:dyDescent="0.2">
      <c r="A2910" s="3"/>
      <c r="B2910" s="4"/>
      <c r="G2910" s="19"/>
    </row>
    <row r="2911" spans="1:7" ht="12.75" x14ac:dyDescent="0.2">
      <c r="A2911" s="3"/>
      <c r="B2911" s="4"/>
      <c r="G2911" s="19"/>
    </row>
    <row r="2912" spans="1:7" ht="12.75" x14ac:dyDescent="0.2">
      <c r="A2912" s="3"/>
      <c r="B2912" s="4"/>
      <c r="G2912" s="19"/>
    </row>
    <row r="2913" spans="1:7" ht="12.75" x14ac:dyDescent="0.2">
      <c r="A2913" s="3"/>
      <c r="B2913" s="4"/>
      <c r="G2913" s="19"/>
    </row>
    <row r="2914" spans="1:7" ht="12.75" x14ac:dyDescent="0.2">
      <c r="A2914" s="3"/>
      <c r="B2914" s="4"/>
      <c r="G2914" s="19"/>
    </row>
    <row r="2915" spans="1:7" ht="12.75" x14ac:dyDescent="0.2">
      <c r="A2915" s="3"/>
      <c r="B2915" s="4"/>
      <c r="G2915" s="19"/>
    </row>
    <row r="2916" spans="1:7" ht="12.75" x14ac:dyDescent="0.2">
      <c r="A2916" s="3"/>
      <c r="B2916" s="4"/>
      <c r="G2916" s="19"/>
    </row>
    <row r="2917" spans="1:7" ht="12.75" x14ac:dyDescent="0.2">
      <c r="A2917" s="3"/>
      <c r="B2917" s="4"/>
      <c r="G2917" s="19"/>
    </row>
    <row r="2918" spans="1:7" ht="12.75" x14ac:dyDescent="0.2">
      <c r="A2918" s="3"/>
      <c r="B2918" s="4"/>
      <c r="G2918" s="19"/>
    </row>
    <row r="2919" spans="1:7" ht="12.75" x14ac:dyDescent="0.2">
      <c r="A2919" s="3"/>
      <c r="B2919" s="4"/>
      <c r="G2919" s="19"/>
    </row>
    <row r="2920" spans="1:7" ht="12.75" x14ac:dyDescent="0.2">
      <c r="A2920" s="3"/>
      <c r="B2920" s="4"/>
      <c r="G2920" s="19"/>
    </row>
    <row r="2921" spans="1:7" ht="12.75" x14ac:dyDescent="0.2">
      <c r="A2921" s="3"/>
      <c r="B2921" s="4"/>
      <c r="G2921" s="19"/>
    </row>
    <row r="2922" spans="1:7" ht="12.75" x14ac:dyDescent="0.2">
      <c r="A2922" s="3"/>
      <c r="B2922" s="4"/>
      <c r="G2922" s="19"/>
    </row>
    <row r="2923" spans="1:7" ht="12.75" x14ac:dyDescent="0.2">
      <c r="A2923" s="3"/>
      <c r="B2923" s="4"/>
      <c r="G2923" s="19"/>
    </row>
    <row r="2924" spans="1:7" ht="12.75" x14ac:dyDescent="0.2">
      <c r="A2924" s="3"/>
      <c r="B2924" s="4"/>
      <c r="G2924" s="19"/>
    </row>
    <row r="2925" spans="1:7" ht="12.75" x14ac:dyDescent="0.2">
      <c r="A2925" s="3"/>
      <c r="B2925" s="4"/>
      <c r="G2925" s="19"/>
    </row>
    <row r="2926" spans="1:7" ht="12.75" x14ac:dyDescent="0.2">
      <c r="A2926" s="3"/>
      <c r="B2926" s="4"/>
      <c r="G2926" s="19"/>
    </row>
    <row r="2927" spans="1:7" ht="12.75" x14ac:dyDescent="0.2">
      <c r="A2927" s="3"/>
      <c r="B2927" s="4"/>
      <c r="G2927" s="19"/>
    </row>
    <row r="2928" spans="1:7" ht="12.75" x14ac:dyDescent="0.2">
      <c r="A2928" s="3"/>
      <c r="B2928" s="4"/>
      <c r="G2928" s="19"/>
    </row>
    <row r="2929" spans="1:7" ht="12.75" x14ac:dyDescent="0.2">
      <c r="A2929" s="3"/>
      <c r="B2929" s="4"/>
      <c r="G2929" s="19"/>
    </row>
    <row r="2930" spans="1:7" ht="12.75" x14ac:dyDescent="0.2">
      <c r="A2930" s="3"/>
      <c r="B2930" s="4"/>
      <c r="G2930" s="19"/>
    </row>
    <row r="2931" spans="1:7" ht="12.75" x14ac:dyDescent="0.2">
      <c r="A2931" s="3"/>
      <c r="B2931" s="4"/>
      <c r="G2931" s="19"/>
    </row>
    <row r="2932" spans="1:7" ht="12.75" x14ac:dyDescent="0.2">
      <c r="A2932" s="3"/>
      <c r="B2932" s="4"/>
      <c r="G2932" s="19"/>
    </row>
    <row r="2933" spans="1:7" ht="12.75" x14ac:dyDescent="0.2">
      <c r="A2933" s="3"/>
      <c r="B2933" s="4"/>
      <c r="G2933" s="19"/>
    </row>
    <row r="2934" spans="1:7" ht="12.75" x14ac:dyDescent="0.2">
      <c r="A2934" s="3"/>
      <c r="B2934" s="4"/>
      <c r="G2934" s="19"/>
    </row>
    <row r="2935" spans="1:7" ht="12.75" x14ac:dyDescent="0.2">
      <c r="A2935" s="3"/>
      <c r="B2935" s="4"/>
      <c r="G2935" s="19"/>
    </row>
    <row r="2936" spans="1:7" ht="12.75" x14ac:dyDescent="0.2">
      <c r="A2936" s="3"/>
      <c r="B2936" s="4"/>
      <c r="G2936" s="19"/>
    </row>
    <row r="2937" spans="1:7" ht="12.75" x14ac:dyDescent="0.2">
      <c r="A2937" s="3"/>
      <c r="B2937" s="4"/>
      <c r="G2937" s="19"/>
    </row>
    <row r="2938" spans="1:7" ht="12.75" x14ac:dyDescent="0.2">
      <c r="A2938" s="3"/>
      <c r="B2938" s="4"/>
      <c r="G2938" s="19"/>
    </row>
    <row r="2939" spans="1:7" ht="12.75" x14ac:dyDescent="0.2">
      <c r="A2939" s="3"/>
      <c r="B2939" s="4"/>
      <c r="G2939" s="19"/>
    </row>
    <row r="2940" spans="1:7" ht="12.75" x14ac:dyDescent="0.2">
      <c r="A2940" s="3"/>
      <c r="B2940" s="4"/>
      <c r="G2940" s="19"/>
    </row>
    <row r="2941" spans="1:7" ht="12.75" x14ac:dyDescent="0.2">
      <c r="A2941" s="3"/>
      <c r="B2941" s="4"/>
      <c r="G2941" s="19"/>
    </row>
    <row r="2942" spans="1:7" ht="12.75" x14ac:dyDescent="0.2">
      <c r="A2942" s="3"/>
      <c r="B2942" s="4"/>
      <c r="G2942" s="19"/>
    </row>
    <row r="2943" spans="1:7" ht="12.75" x14ac:dyDescent="0.2">
      <c r="A2943" s="3"/>
      <c r="B2943" s="4"/>
      <c r="G2943" s="19"/>
    </row>
    <row r="2944" spans="1:7" ht="12.75" x14ac:dyDescent="0.2">
      <c r="A2944" s="3"/>
      <c r="B2944" s="4"/>
      <c r="G2944" s="19"/>
    </row>
    <row r="2945" spans="1:7" ht="12.75" x14ac:dyDescent="0.2">
      <c r="A2945" s="3"/>
      <c r="B2945" s="4"/>
      <c r="G2945" s="19"/>
    </row>
    <row r="2946" spans="1:7" ht="12.75" x14ac:dyDescent="0.2">
      <c r="A2946" s="3"/>
      <c r="B2946" s="4"/>
      <c r="G2946" s="19"/>
    </row>
    <row r="2947" spans="1:7" ht="12.75" x14ac:dyDescent="0.2">
      <c r="A2947" s="3"/>
      <c r="B2947" s="4"/>
      <c r="G2947" s="19"/>
    </row>
    <row r="2948" spans="1:7" ht="12.75" x14ac:dyDescent="0.2">
      <c r="A2948" s="3"/>
      <c r="B2948" s="4"/>
      <c r="G2948" s="19"/>
    </row>
    <row r="2949" spans="1:7" ht="12.75" x14ac:dyDescent="0.2">
      <c r="A2949" s="3"/>
      <c r="B2949" s="4"/>
      <c r="G2949" s="19"/>
    </row>
    <row r="2950" spans="1:7" ht="12.75" x14ac:dyDescent="0.2">
      <c r="A2950" s="3"/>
      <c r="B2950" s="4"/>
      <c r="G2950" s="19"/>
    </row>
    <row r="2951" spans="1:7" ht="12.75" x14ac:dyDescent="0.2">
      <c r="A2951" s="3"/>
      <c r="B2951" s="4"/>
      <c r="G2951" s="19"/>
    </row>
    <row r="2952" spans="1:7" ht="12.75" x14ac:dyDescent="0.2">
      <c r="A2952" s="3"/>
      <c r="B2952" s="4"/>
      <c r="G2952" s="19"/>
    </row>
    <row r="2953" spans="1:7" ht="12.75" x14ac:dyDescent="0.2">
      <c r="A2953" s="3"/>
      <c r="B2953" s="4"/>
      <c r="G2953" s="19"/>
    </row>
    <row r="2954" spans="1:7" ht="12.75" x14ac:dyDescent="0.2">
      <c r="A2954" s="3"/>
      <c r="B2954" s="4"/>
      <c r="G2954" s="19"/>
    </row>
    <row r="2955" spans="1:7" ht="12.75" x14ac:dyDescent="0.2">
      <c r="A2955" s="3"/>
      <c r="B2955" s="4"/>
      <c r="G2955" s="19"/>
    </row>
    <row r="2956" spans="1:7" ht="12.75" x14ac:dyDescent="0.2">
      <c r="A2956" s="3"/>
      <c r="B2956" s="4"/>
      <c r="G2956" s="19"/>
    </row>
    <row r="2957" spans="1:7" ht="12.75" x14ac:dyDescent="0.2">
      <c r="A2957" s="3"/>
      <c r="B2957" s="4"/>
      <c r="G2957" s="19"/>
    </row>
    <row r="2958" spans="1:7" ht="12.75" x14ac:dyDescent="0.2">
      <c r="A2958" s="3"/>
      <c r="B2958" s="4"/>
      <c r="G2958" s="19"/>
    </row>
    <row r="2959" spans="1:7" ht="12.75" x14ac:dyDescent="0.2">
      <c r="A2959" s="3"/>
      <c r="B2959" s="4"/>
      <c r="G2959" s="19"/>
    </row>
    <row r="2960" spans="1:7" ht="12.75" x14ac:dyDescent="0.2">
      <c r="A2960" s="3"/>
      <c r="B2960" s="4"/>
      <c r="G2960" s="19"/>
    </row>
    <row r="2961" spans="1:7" ht="12.75" x14ac:dyDescent="0.2">
      <c r="A2961" s="3"/>
      <c r="B2961" s="4"/>
      <c r="G2961" s="19"/>
    </row>
    <row r="2962" spans="1:7" ht="12.75" x14ac:dyDescent="0.2">
      <c r="A2962" s="3"/>
      <c r="B2962" s="4"/>
      <c r="G2962" s="19"/>
    </row>
    <row r="2963" spans="1:7" ht="12.75" x14ac:dyDescent="0.2">
      <c r="A2963" s="3"/>
      <c r="B2963" s="4"/>
      <c r="G2963" s="19"/>
    </row>
    <row r="2964" spans="1:7" ht="12.75" x14ac:dyDescent="0.2">
      <c r="A2964" s="3"/>
      <c r="B2964" s="4"/>
      <c r="G2964" s="19"/>
    </row>
    <row r="2965" spans="1:7" ht="12.75" x14ac:dyDescent="0.2">
      <c r="A2965" s="3"/>
      <c r="B2965" s="4"/>
      <c r="G2965" s="19"/>
    </row>
    <row r="2966" spans="1:7" ht="12.75" x14ac:dyDescent="0.2">
      <c r="A2966" s="3"/>
      <c r="B2966" s="4"/>
      <c r="G2966" s="19"/>
    </row>
    <row r="2967" spans="1:7" ht="12.75" x14ac:dyDescent="0.2">
      <c r="A2967" s="3"/>
      <c r="B2967" s="4"/>
      <c r="G2967" s="19"/>
    </row>
    <row r="2968" spans="1:7" ht="12.75" x14ac:dyDescent="0.2">
      <c r="A2968" s="3"/>
      <c r="B2968" s="4"/>
      <c r="G2968" s="19"/>
    </row>
    <row r="2969" spans="1:7" ht="12.75" x14ac:dyDescent="0.2">
      <c r="A2969" s="3"/>
      <c r="B2969" s="4"/>
      <c r="G2969" s="19"/>
    </row>
    <row r="2970" spans="1:7" ht="12.75" x14ac:dyDescent="0.2">
      <c r="A2970" s="3"/>
      <c r="B2970" s="4"/>
      <c r="G2970" s="19"/>
    </row>
    <row r="2971" spans="1:7" ht="12.75" x14ac:dyDescent="0.2">
      <c r="A2971" s="3"/>
      <c r="B2971" s="4"/>
      <c r="G2971" s="19"/>
    </row>
    <row r="2972" spans="1:7" ht="12.75" x14ac:dyDescent="0.2">
      <c r="A2972" s="3"/>
      <c r="B2972" s="4"/>
      <c r="G2972" s="19"/>
    </row>
    <row r="2973" spans="1:7" ht="12.75" x14ac:dyDescent="0.2">
      <c r="A2973" s="3"/>
      <c r="B2973" s="4"/>
      <c r="G2973" s="19"/>
    </row>
    <row r="2974" spans="1:7" ht="12.75" x14ac:dyDescent="0.2">
      <c r="A2974" s="3"/>
      <c r="B2974" s="4"/>
      <c r="G2974" s="19"/>
    </row>
    <row r="2975" spans="1:7" ht="12.75" x14ac:dyDescent="0.2">
      <c r="A2975" s="3"/>
      <c r="B2975" s="4"/>
      <c r="G2975" s="19"/>
    </row>
    <row r="2976" spans="1:7" ht="12.75" x14ac:dyDescent="0.2">
      <c r="A2976" s="3"/>
      <c r="B2976" s="4"/>
      <c r="G2976" s="19"/>
    </row>
    <row r="2977" spans="1:7" ht="12.75" x14ac:dyDescent="0.2">
      <c r="A2977" s="3"/>
      <c r="B2977" s="4"/>
      <c r="G2977" s="19"/>
    </row>
    <row r="2978" spans="1:7" ht="12.75" x14ac:dyDescent="0.2">
      <c r="A2978" s="3"/>
      <c r="B2978" s="4"/>
      <c r="G2978" s="19"/>
    </row>
    <row r="2979" spans="1:7" ht="12.75" x14ac:dyDescent="0.2">
      <c r="A2979" s="3"/>
      <c r="B2979" s="4"/>
      <c r="G2979" s="19"/>
    </row>
    <row r="2980" spans="1:7" ht="12.75" x14ac:dyDescent="0.2">
      <c r="A2980" s="3"/>
      <c r="B2980" s="4"/>
      <c r="G2980" s="19"/>
    </row>
    <row r="2981" spans="1:7" ht="12.75" x14ac:dyDescent="0.2">
      <c r="A2981" s="3"/>
      <c r="B2981" s="4"/>
      <c r="G2981" s="19"/>
    </row>
    <row r="2982" spans="1:7" ht="12.75" x14ac:dyDescent="0.2">
      <c r="A2982" s="3"/>
      <c r="B2982" s="4"/>
      <c r="G2982" s="19"/>
    </row>
    <row r="2983" spans="1:7" ht="12.75" x14ac:dyDescent="0.2">
      <c r="A2983" s="3"/>
      <c r="B2983" s="4"/>
      <c r="G2983" s="19"/>
    </row>
    <row r="2984" spans="1:7" ht="12.75" x14ac:dyDescent="0.2">
      <c r="A2984" s="3"/>
      <c r="B2984" s="4"/>
      <c r="G2984" s="19"/>
    </row>
    <row r="2985" spans="1:7" ht="12.75" x14ac:dyDescent="0.2">
      <c r="A2985" s="3"/>
      <c r="B2985" s="4"/>
      <c r="G2985" s="19"/>
    </row>
    <row r="2986" spans="1:7" ht="12.75" x14ac:dyDescent="0.2">
      <c r="A2986" s="3"/>
      <c r="B2986" s="4"/>
      <c r="G2986" s="19"/>
    </row>
    <row r="2987" spans="1:7" ht="12.75" x14ac:dyDescent="0.2">
      <c r="A2987" s="3"/>
      <c r="B2987" s="4"/>
      <c r="G2987" s="19"/>
    </row>
    <row r="2988" spans="1:7" ht="12.75" x14ac:dyDescent="0.2">
      <c r="A2988" s="3"/>
      <c r="B2988" s="4"/>
      <c r="G2988" s="19"/>
    </row>
    <row r="2989" spans="1:7" ht="12.75" x14ac:dyDescent="0.2">
      <c r="A2989" s="3"/>
      <c r="B2989" s="4"/>
      <c r="G2989" s="19"/>
    </row>
    <row r="2990" spans="1:7" ht="12.75" x14ac:dyDescent="0.2">
      <c r="A2990" s="3"/>
      <c r="B2990" s="4"/>
      <c r="G2990" s="19"/>
    </row>
    <row r="2991" spans="1:7" ht="12.75" x14ac:dyDescent="0.2">
      <c r="A2991" s="3"/>
      <c r="B2991" s="4"/>
      <c r="G2991" s="19"/>
    </row>
    <row r="2992" spans="1:7" ht="12.75" x14ac:dyDescent="0.2">
      <c r="A2992" s="3"/>
      <c r="B2992" s="4"/>
      <c r="G2992" s="19"/>
    </row>
    <row r="2993" spans="1:7" ht="12.75" x14ac:dyDescent="0.2">
      <c r="A2993" s="3"/>
      <c r="B2993" s="4"/>
      <c r="G2993" s="19"/>
    </row>
    <row r="2994" spans="1:7" ht="12.75" x14ac:dyDescent="0.2">
      <c r="A2994" s="3"/>
      <c r="B2994" s="4"/>
      <c r="G2994" s="19"/>
    </row>
    <row r="2995" spans="1:7" ht="12.75" x14ac:dyDescent="0.2">
      <c r="A2995" s="3"/>
      <c r="B2995" s="4"/>
      <c r="G2995" s="19"/>
    </row>
    <row r="2996" spans="1:7" ht="12.75" x14ac:dyDescent="0.2">
      <c r="A2996" s="3"/>
      <c r="B2996" s="4"/>
      <c r="G2996" s="19"/>
    </row>
    <row r="2997" spans="1:7" ht="12.75" x14ac:dyDescent="0.2">
      <c r="A2997" s="3"/>
      <c r="B2997" s="4"/>
      <c r="G2997" s="19"/>
    </row>
    <row r="2998" spans="1:7" ht="12.75" x14ac:dyDescent="0.2">
      <c r="A2998" s="3"/>
      <c r="B2998" s="4"/>
      <c r="G2998" s="19"/>
    </row>
    <row r="2999" spans="1:7" ht="12.75" x14ac:dyDescent="0.2">
      <c r="A2999" s="3"/>
      <c r="B2999" s="4"/>
      <c r="G2999" s="19"/>
    </row>
    <row r="3000" spans="1:7" ht="12.75" x14ac:dyDescent="0.2">
      <c r="A3000" s="3"/>
      <c r="B3000" s="4"/>
      <c r="G3000" s="19"/>
    </row>
    <row r="3001" spans="1:7" ht="12.75" x14ac:dyDescent="0.2">
      <c r="A3001" s="3"/>
      <c r="B3001" s="4"/>
      <c r="G3001" s="19"/>
    </row>
    <row r="3002" spans="1:7" ht="12.75" x14ac:dyDescent="0.2">
      <c r="A3002" s="3"/>
      <c r="B3002" s="4"/>
      <c r="G3002" s="19"/>
    </row>
    <row r="3003" spans="1:7" ht="12.75" x14ac:dyDescent="0.2">
      <c r="A3003" s="3"/>
      <c r="B3003" s="4"/>
      <c r="G3003" s="19"/>
    </row>
    <row r="3004" spans="1:7" ht="12.75" x14ac:dyDescent="0.2">
      <c r="A3004" s="3"/>
      <c r="B3004" s="4"/>
      <c r="G3004" s="19"/>
    </row>
    <row r="3005" spans="1:7" ht="12.75" x14ac:dyDescent="0.2">
      <c r="A3005" s="3"/>
      <c r="B3005" s="4"/>
      <c r="G3005" s="19"/>
    </row>
    <row r="3006" spans="1:7" ht="12.75" x14ac:dyDescent="0.2">
      <c r="A3006" s="3"/>
      <c r="B3006" s="4"/>
      <c r="G3006" s="19"/>
    </row>
    <row r="3007" spans="1:7" ht="12.75" x14ac:dyDescent="0.2">
      <c r="A3007" s="3"/>
      <c r="B3007" s="4"/>
      <c r="G3007" s="19"/>
    </row>
    <row r="3008" spans="1:7" ht="12.75" x14ac:dyDescent="0.2">
      <c r="A3008" s="3"/>
      <c r="B3008" s="4"/>
      <c r="G3008" s="19"/>
    </row>
    <row r="3009" spans="1:7" ht="12.75" x14ac:dyDescent="0.2">
      <c r="A3009" s="3"/>
      <c r="B3009" s="4"/>
      <c r="G3009" s="19"/>
    </row>
    <row r="3010" spans="1:7" ht="12.75" x14ac:dyDescent="0.2">
      <c r="A3010" s="3"/>
      <c r="B3010" s="4"/>
      <c r="G3010" s="19"/>
    </row>
    <row r="3011" spans="1:7" ht="12.75" x14ac:dyDescent="0.2">
      <c r="A3011" s="3"/>
      <c r="B3011" s="4"/>
      <c r="G3011" s="19"/>
    </row>
    <row r="3012" spans="1:7" ht="12.75" x14ac:dyDescent="0.2">
      <c r="A3012" s="3"/>
      <c r="B3012" s="4"/>
      <c r="G3012" s="19"/>
    </row>
    <row r="3013" spans="1:7" ht="12.75" x14ac:dyDescent="0.2">
      <c r="A3013" s="3"/>
      <c r="B3013" s="4"/>
      <c r="G3013" s="19"/>
    </row>
    <row r="3014" spans="1:7" ht="12.75" x14ac:dyDescent="0.2">
      <c r="A3014" s="3"/>
      <c r="B3014" s="4"/>
      <c r="G3014" s="19"/>
    </row>
    <row r="3015" spans="1:7" ht="12.75" x14ac:dyDescent="0.2">
      <c r="A3015" s="3"/>
      <c r="B3015" s="4"/>
      <c r="G3015" s="19"/>
    </row>
    <row r="3016" spans="1:7" ht="12.75" x14ac:dyDescent="0.2">
      <c r="A3016" s="3"/>
      <c r="B3016" s="4"/>
      <c r="G3016" s="19"/>
    </row>
    <row r="3017" spans="1:7" ht="12.75" x14ac:dyDescent="0.2">
      <c r="A3017" s="3"/>
      <c r="B3017" s="4"/>
      <c r="G3017" s="19"/>
    </row>
    <row r="3018" spans="1:7" ht="12.75" x14ac:dyDescent="0.2">
      <c r="A3018" s="3"/>
      <c r="B3018" s="4"/>
      <c r="G3018" s="19"/>
    </row>
    <row r="3019" spans="1:7" ht="12.75" x14ac:dyDescent="0.2">
      <c r="A3019" s="3"/>
      <c r="B3019" s="4"/>
      <c r="G3019" s="19"/>
    </row>
    <row r="3020" spans="1:7" ht="12.75" x14ac:dyDescent="0.2">
      <c r="A3020" s="3"/>
      <c r="B3020" s="4"/>
      <c r="G3020" s="19"/>
    </row>
    <row r="3021" spans="1:7" ht="12.75" x14ac:dyDescent="0.2">
      <c r="A3021" s="3"/>
      <c r="B3021" s="4"/>
      <c r="G3021" s="19"/>
    </row>
    <row r="3022" spans="1:7" ht="12.75" x14ac:dyDescent="0.2">
      <c r="A3022" s="3"/>
      <c r="B3022" s="4"/>
      <c r="G3022" s="19"/>
    </row>
    <row r="3023" spans="1:7" ht="12.75" x14ac:dyDescent="0.2">
      <c r="A3023" s="3"/>
      <c r="B3023" s="4"/>
      <c r="G3023" s="19"/>
    </row>
    <row r="3024" spans="1:7" ht="12.75" x14ac:dyDescent="0.2">
      <c r="A3024" s="3"/>
      <c r="B3024" s="4"/>
      <c r="G3024" s="19"/>
    </row>
    <row r="3025" spans="1:7" ht="12.75" x14ac:dyDescent="0.2">
      <c r="A3025" s="3"/>
      <c r="B3025" s="4"/>
      <c r="G3025" s="19"/>
    </row>
    <row r="3026" spans="1:7" ht="12.75" x14ac:dyDescent="0.2">
      <c r="A3026" s="3"/>
      <c r="B3026" s="4"/>
      <c r="G3026" s="19"/>
    </row>
    <row r="3027" spans="1:7" ht="12.75" x14ac:dyDescent="0.2">
      <c r="A3027" s="3"/>
      <c r="B3027" s="4"/>
      <c r="G3027" s="19"/>
    </row>
    <row r="3028" spans="1:7" ht="12.75" x14ac:dyDescent="0.2">
      <c r="A3028" s="3"/>
      <c r="B3028" s="4"/>
      <c r="G3028" s="19"/>
    </row>
    <row r="3029" spans="1:7" ht="12.75" x14ac:dyDescent="0.2">
      <c r="A3029" s="3"/>
      <c r="B3029" s="4"/>
      <c r="G3029" s="19"/>
    </row>
    <row r="3030" spans="1:7" ht="12.75" x14ac:dyDescent="0.2">
      <c r="A3030" s="3"/>
      <c r="B3030" s="4"/>
      <c r="G3030" s="19"/>
    </row>
    <row r="3031" spans="1:7" ht="12.75" x14ac:dyDescent="0.2">
      <c r="A3031" s="3"/>
      <c r="B3031" s="4"/>
      <c r="G3031" s="19"/>
    </row>
    <row r="3032" spans="1:7" ht="12.75" x14ac:dyDescent="0.2">
      <c r="A3032" s="3"/>
      <c r="B3032" s="4"/>
      <c r="G3032" s="19"/>
    </row>
    <row r="3033" spans="1:7" ht="12.75" x14ac:dyDescent="0.2">
      <c r="A3033" s="3"/>
      <c r="B3033" s="4"/>
      <c r="G3033" s="19"/>
    </row>
    <row r="3034" spans="1:7" ht="12.75" x14ac:dyDescent="0.2">
      <c r="A3034" s="3"/>
      <c r="B3034" s="4"/>
      <c r="G3034" s="19"/>
    </row>
    <row r="3035" spans="1:7" ht="12.75" x14ac:dyDescent="0.2">
      <c r="A3035" s="3"/>
      <c r="B3035" s="4"/>
      <c r="G3035" s="19"/>
    </row>
    <row r="3036" spans="1:7" ht="12.75" x14ac:dyDescent="0.2">
      <c r="A3036" s="3"/>
      <c r="B3036" s="4"/>
      <c r="G3036" s="19"/>
    </row>
    <row r="3037" spans="1:7" ht="12.75" x14ac:dyDescent="0.2">
      <c r="A3037" s="3"/>
      <c r="B3037" s="4"/>
      <c r="G3037" s="19"/>
    </row>
    <row r="3038" spans="1:7" ht="12.75" x14ac:dyDescent="0.2">
      <c r="A3038" s="3"/>
      <c r="B3038" s="4"/>
      <c r="G3038" s="19"/>
    </row>
    <row r="3039" spans="1:7" ht="12.75" x14ac:dyDescent="0.2">
      <c r="A3039" s="3"/>
      <c r="B3039" s="4"/>
      <c r="G3039" s="19"/>
    </row>
    <row r="3040" spans="1:7" ht="12.75" x14ac:dyDescent="0.2">
      <c r="A3040" s="3"/>
      <c r="B3040" s="4"/>
      <c r="G3040" s="19"/>
    </row>
    <row r="3041" spans="1:7" ht="12.75" x14ac:dyDescent="0.2">
      <c r="A3041" s="3"/>
      <c r="B3041" s="4"/>
      <c r="G3041" s="19"/>
    </row>
    <row r="3042" spans="1:7" ht="12.75" x14ac:dyDescent="0.2">
      <c r="A3042" s="3"/>
      <c r="B3042" s="4"/>
      <c r="G3042" s="19"/>
    </row>
    <row r="3043" spans="1:7" ht="12.75" x14ac:dyDescent="0.2">
      <c r="A3043" s="3"/>
      <c r="B3043" s="4"/>
      <c r="G3043" s="19"/>
    </row>
    <row r="3044" spans="1:7" ht="12.75" x14ac:dyDescent="0.2">
      <c r="A3044" s="3"/>
      <c r="B3044" s="4"/>
      <c r="G3044" s="19"/>
    </row>
    <row r="3045" spans="1:7" ht="12.75" x14ac:dyDescent="0.2">
      <c r="A3045" s="3"/>
      <c r="B3045" s="4"/>
      <c r="G3045" s="19"/>
    </row>
    <row r="3046" spans="1:7" ht="12.75" x14ac:dyDescent="0.2">
      <c r="A3046" s="3"/>
      <c r="B3046" s="4"/>
      <c r="G3046" s="19"/>
    </row>
    <row r="3047" spans="1:7" ht="12.75" x14ac:dyDescent="0.2">
      <c r="A3047" s="3"/>
      <c r="B3047" s="4"/>
      <c r="G3047" s="19"/>
    </row>
    <row r="3048" spans="1:7" ht="12.75" x14ac:dyDescent="0.2">
      <c r="A3048" s="3"/>
      <c r="B3048" s="4"/>
      <c r="G3048" s="19"/>
    </row>
    <row r="3049" spans="1:7" ht="12.75" x14ac:dyDescent="0.2">
      <c r="A3049" s="3"/>
      <c r="B3049" s="4"/>
      <c r="G3049" s="19"/>
    </row>
    <row r="3050" spans="1:7" ht="12.75" x14ac:dyDescent="0.2">
      <c r="A3050" s="3"/>
      <c r="B3050" s="4"/>
      <c r="G3050" s="19"/>
    </row>
    <row r="3051" spans="1:7" ht="12.75" x14ac:dyDescent="0.2">
      <c r="A3051" s="3"/>
      <c r="B3051" s="4"/>
      <c r="G3051" s="19"/>
    </row>
    <row r="3052" spans="1:7" ht="12.75" x14ac:dyDescent="0.2">
      <c r="A3052" s="3"/>
      <c r="B3052" s="4"/>
      <c r="G3052" s="19"/>
    </row>
    <row r="3053" spans="1:7" ht="12.75" x14ac:dyDescent="0.2">
      <c r="A3053" s="3"/>
      <c r="B3053" s="4"/>
      <c r="G3053" s="19"/>
    </row>
    <row r="3054" spans="1:7" ht="12.75" x14ac:dyDescent="0.2">
      <c r="A3054" s="3"/>
      <c r="B3054" s="4"/>
      <c r="G3054" s="19"/>
    </row>
    <row r="3055" spans="1:7" ht="12.75" x14ac:dyDescent="0.2">
      <c r="A3055" s="3"/>
      <c r="B3055" s="4"/>
      <c r="G3055" s="19"/>
    </row>
    <row r="3056" spans="1:7" ht="12.75" x14ac:dyDescent="0.2">
      <c r="A3056" s="3"/>
      <c r="B3056" s="4"/>
      <c r="G3056" s="19"/>
    </row>
    <row r="3057" spans="1:7" ht="12.75" x14ac:dyDescent="0.2">
      <c r="A3057" s="3"/>
      <c r="B3057" s="4"/>
      <c r="G3057" s="19"/>
    </row>
    <row r="3058" spans="1:7" ht="12.75" x14ac:dyDescent="0.2">
      <c r="A3058" s="3"/>
      <c r="B3058" s="4"/>
      <c r="G3058" s="19"/>
    </row>
    <row r="3059" spans="1:7" ht="12.75" x14ac:dyDescent="0.2">
      <c r="A3059" s="3"/>
      <c r="B3059" s="4"/>
      <c r="G3059" s="19"/>
    </row>
    <row r="3060" spans="1:7" ht="12.75" x14ac:dyDescent="0.2">
      <c r="A3060" s="3"/>
      <c r="B3060" s="4"/>
      <c r="G3060" s="19"/>
    </row>
    <row r="3061" spans="1:7" ht="12.75" x14ac:dyDescent="0.2">
      <c r="A3061" s="3"/>
      <c r="B3061" s="4"/>
      <c r="G3061" s="19"/>
    </row>
    <row r="3062" spans="1:7" ht="12.75" x14ac:dyDescent="0.2">
      <c r="A3062" s="3"/>
      <c r="B3062" s="4"/>
      <c r="G3062" s="19"/>
    </row>
    <row r="3063" spans="1:7" ht="12.75" x14ac:dyDescent="0.2">
      <c r="A3063" s="3"/>
      <c r="B3063" s="4"/>
      <c r="G3063" s="19"/>
    </row>
    <row r="3064" spans="1:7" ht="12.75" x14ac:dyDescent="0.2">
      <c r="A3064" s="3"/>
      <c r="B3064" s="4"/>
      <c r="G3064" s="19"/>
    </row>
    <row r="3065" spans="1:7" ht="12.75" x14ac:dyDescent="0.2">
      <c r="A3065" s="3"/>
      <c r="B3065" s="4"/>
      <c r="G3065" s="19"/>
    </row>
    <row r="3066" spans="1:7" ht="12.75" x14ac:dyDescent="0.2">
      <c r="A3066" s="3"/>
      <c r="B3066" s="4"/>
      <c r="G3066" s="19"/>
    </row>
    <row r="3067" spans="1:7" ht="12.75" x14ac:dyDescent="0.2">
      <c r="A3067" s="3"/>
      <c r="B3067" s="4"/>
      <c r="G3067" s="19"/>
    </row>
    <row r="3068" spans="1:7" ht="12.75" x14ac:dyDescent="0.2">
      <c r="A3068" s="3"/>
      <c r="B3068" s="4"/>
      <c r="G3068" s="19"/>
    </row>
    <row r="3069" spans="1:7" ht="12.75" x14ac:dyDescent="0.2">
      <c r="A3069" s="3"/>
      <c r="B3069" s="4"/>
      <c r="G3069" s="19"/>
    </row>
    <row r="3070" spans="1:7" ht="12.75" x14ac:dyDescent="0.2">
      <c r="A3070" s="3"/>
      <c r="B3070" s="4"/>
      <c r="G3070" s="19"/>
    </row>
    <row r="3071" spans="1:7" ht="12.75" x14ac:dyDescent="0.2">
      <c r="A3071" s="3"/>
      <c r="B3071" s="4"/>
      <c r="G3071" s="19"/>
    </row>
    <row r="3072" spans="1:7" ht="12.75" x14ac:dyDescent="0.2">
      <c r="A3072" s="3"/>
      <c r="B3072" s="4"/>
      <c r="G3072" s="19"/>
    </row>
    <row r="3073" spans="1:7" ht="12.75" x14ac:dyDescent="0.2">
      <c r="A3073" s="3"/>
      <c r="B3073" s="4"/>
      <c r="G3073" s="19"/>
    </row>
    <row r="3074" spans="1:7" ht="12.75" x14ac:dyDescent="0.2">
      <c r="A3074" s="3"/>
      <c r="B3074" s="4"/>
      <c r="G3074" s="19"/>
    </row>
    <row r="3075" spans="1:7" ht="12.75" x14ac:dyDescent="0.2">
      <c r="A3075" s="3"/>
      <c r="B3075" s="4"/>
      <c r="G3075" s="19"/>
    </row>
    <row r="3076" spans="1:7" ht="12.75" x14ac:dyDescent="0.2">
      <c r="A3076" s="3"/>
      <c r="B3076" s="4"/>
      <c r="G3076" s="19"/>
    </row>
    <row r="3077" spans="1:7" ht="12.75" x14ac:dyDescent="0.2">
      <c r="A3077" s="3"/>
      <c r="B3077" s="4"/>
      <c r="G3077" s="19"/>
    </row>
    <row r="3078" spans="1:7" ht="12.75" x14ac:dyDescent="0.2">
      <c r="A3078" s="3"/>
      <c r="B3078" s="4"/>
      <c r="G3078" s="19"/>
    </row>
    <row r="3079" spans="1:7" ht="12.75" x14ac:dyDescent="0.2">
      <c r="A3079" s="3"/>
      <c r="B3079" s="4"/>
      <c r="G3079" s="19"/>
    </row>
    <row r="3080" spans="1:7" ht="12.75" x14ac:dyDescent="0.2">
      <c r="A3080" s="3"/>
      <c r="B3080" s="4"/>
      <c r="G3080" s="19"/>
    </row>
    <row r="3081" spans="1:7" ht="12.75" x14ac:dyDescent="0.2">
      <c r="A3081" s="3"/>
      <c r="B3081" s="4"/>
      <c r="G3081" s="19"/>
    </row>
    <row r="3082" spans="1:7" ht="12.75" x14ac:dyDescent="0.2">
      <c r="A3082" s="3"/>
      <c r="B3082" s="4"/>
      <c r="G3082" s="19"/>
    </row>
    <row r="3083" spans="1:7" ht="12.75" x14ac:dyDescent="0.2">
      <c r="A3083" s="3"/>
      <c r="B3083" s="4"/>
      <c r="G3083" s="19"/>
    </row>
    <row r="3084" spans="1:7" ht="12.75" x14ac:dyDescent="0.2">
      <c r="A3084" s="3"/>
      <c r="B3084" s="4"/>
      <c r="G3084" s="19"/>
    </row>
    <row r="3085" spans="1:7" ht="12.75" x14ac:dyDescent="0.2">
      <c r="A3085" s="3"/>
      <c r="B3085" s="4"/>
      <c r="G3085" s="19"/>
    </row>
    <row r="3086" spans="1:7" ht="12.75" x14ac:dyDescent="0.2">
      <c r="A3086" s="3"/>
      <c r="B3086" s="4"/>
      <c r="G3086" s="19"/>
    </row>
    <row r="3087" spans="1:7" ht="12.75" x14ac:dyDescent="0.2">
      <c r="A3087" s="3"/>
      <c r="B3087" s="4"/>
      <c r="G3087" s="19"/>
    </row>
    <row r="3088" spans="1:7" ht="12.75" x14ac:dyDescent="0.2">
      <c r="A3088" s="3"/>
      <c r="B3088" s="4"/>
      <c r="G3088" s="19"/>
    </row>
    <row r="3089" spans="1:7" ht="12.75" x14ac:dyDescent="0.2">
      <c r="A3089" s="3"/>
      <c r="B3089" s="4"/>
      <c r="G3089" s="19"/>
    </row>
    <row r="3090" spans="1:7" ht="12.75" x14ac:dyDescent="0.2">
      <c r="A3090" s="3"/>
      <c r="B3090" s="4"/>
      <c r="G3090" s="19"/>
    </row>
    <row r="3091" spans="1:7" ht="12.75" x14ac:dyDescent="0.2">
      <c r="A3091" s="3"/>
      <c r="B3091" s="4"/>
      <c r="G3091" s="19"/>
    </row>
    <row r="3092" spans="1:7" ht="12.75" x14ac:dyDescent="0.2">
      <c r="A3092" s="3"/>
      <c r="B3092" s="4"/>
      <c r="G3092" s="19"/>
    </row>
    <row r="3093" spans="1:7" ht="12.75" x14ac:dyDescent="0.2">
      <c r="A3093" s="3"/>
      <c r="B3093" s="4"/>
      <c r="G3093" s="19"/>
    </row>
    <row r="3094" spans="1:7" ht="12.75" x14ac:dyDescent="0.2">
      <c r="A3094" s="3"/>
      <c r="B3094" s="4"/>
      <c r="G3094" s="19"/>
    </row>
    <row r="3095" spans="1:7" ht="12.75" x14ac:dyDescent="0.2">
      <c r="A3095" s="3"/>
      <c r="B3095" s="4"/>
      <c r="G3095" s="19"/>
    </row>
    <row r="3096" spans="1:7" ht="12.75" x14ac:dyDescent="0.2">
      <c r="A3096" s="3"/>
      <c r="B3096" s="4"/>
      <c r="G3096" s="19"/>
    </row>
    <row r="3097" spans="1:7" ht="12.75" x14ac:dyDescent="0.2">
      <c r="A3097" s="3"/>
      <c r="B3097" s="4"/>
      <c r="G3097" s="19"/>
    </row>
    <row r="3098" spans="1:7" ht="12.75" x14ac:dyDescent="0.2">
      <c r="A3098" s="3"/>
      <c r="B3098" s="4"/>
      <c r="G3098" s="19"/>
    </row>
    <row r="3099" spans="1:7" ht="12.75" x14ac:dyDescent="0.2">
      <c r="A3099" s="3"/>
      <c r="B3099" s="4"/>
      <c r="G3099" s="19"/>
    </row>
    <row r="3100" spans="1:7" ht="12.75" x14ac:dyDescent="0.2">
      <c r="A3100" s="3"/>
      <c r="B3100" s="4"/>
      <c r="G3100" s="19"/>
    </row>
    <row r="3101" spans="1:7" ht="12.75" x14ac:dyDescent="0.2">
      <c r="A3101" s="3"/>
      <c r="B3101" s="4"/>
      <c r="G3101" s="19"/>
    </row>
    <row r="3102" spans="1:7" ht="12.75" x14ac:dyDescent="0.2">
      <c r="A3102" s="3"/>
      <c r="B3102" s="4"/>
      <c r="G3102" s="19"/>
    </row>
    <row r="3103" spans="1:7" ht="12.75" x14ac:dyDescent="0.2">
      <c r="A3103" s="3"/>
      <c r="B3103" s="4"/>
      <c r="G3103" s="19"/>
    </row>
    <row r="3104" spans="1:7" ht="12.75" x14ac:dyDescent="0.2">
      <c r="A3104" s="3"/>
      <c r="B3104" s="4"/>
      <c r="G3104" s="19"/>
    </row>
    <row r="3105" spans="1:7" ht="12.75" x14ac:dyDescent="0.2">
      <c r="A3105" s="3"/>
      <c r="B3105" s="4"/>
      <c r="G3105" s="19"/>
    </row>
    <row r="3106" spans="1:7" ht="12.75" x14ac:dyDescent="0.2">
      <c r="A3106" s="3"/>
      <c r="B3106" s="4"/>
      <c r="G3106" s="19"/>
    </row>
    <row r="3107" spans="1:7" ht="12.75" x14ac:dyDescent="0.2">
      <c r="A3107" s="3"/>
      <c r="B3107" s="4"/>
      <c r="G3107" s="19"/>
    </row>
    <row r="3108" spans="1:7" ht="12.75" x14ac:dyDescent="0.2">
      <c r="A3108" s="3"/>
      <c r="B3108" s="4"/>
      <c r="G3108" s="19"/>
    </row>
    <row r="3109" spans="1:7" ht="12.75" x14ac:dyDescent="0.2">
      <c r="A3109" s="3"/>
      <c r="B3109" s="4"/>
      <c r="G3109" s="19"/>
    </row>
    <row r="3110" spans="1:7" ht="12.75" x14ac:dyDescent="0.2">
      <c r="A3110" s="3"/>
      <c r="B3110" s="4"/>
      <c r="G3110" s="19"/>
    </row>
    <row r="3111" spans="1:7" ht="12.75" x14ac:dyDescent="0.2">
      <c r="A3111" s="3"/>
      <c r="B3111" s="4"/>
      <c r="G3111" s="19"/>
    </row>
    <row r="3112" spans="1:7" ht="12.75" x14ac:dyDescent="0.2">
      <c r="A3112" s="3"/>
      <c r="B3112" s="4"/>
      <c r="G3112" s="19"/>
    </row>
    <row r="3113" spans="1:7" ht="12.75" x14ac:dyDescent="0.2">
      <c r="A3113" s="3"/>
      <c r="B3113" s="4"/>
      <c r="G3113" s="19"/>
    </row>
    <row r="3114" spans="1:7" ht="12.75" x14ac:dyDescent="0.2">
      <c r="A3114" s="3"/>
      <c r="B3114" s="4"/>
      <c r="G3114" s="19"/>
    </row>
    <row r="3115" spans="1:7" ht="12.75" x14ac:dyDescent="0.2">
      <c r="A3115" s="3"/>
      <c r="B3115" s="4"/>
      <c r="G3115" s="19"/>
    </row>
    <row r="3116" spans="1:7" ht="12.75" x14ac:dyDescent="0.2">
      <c r="A3116" s="3"/>
      <c r="B3116" s="4"/>
      <c r="G3116" s="19"/>
    </row>
    <row r="3117" spans="1:7" ht="12.75" x14ac:dyDescent="0.2">
      <c r="A3117" s="3"/>
      <c r="B3117" s="4"/>
      <c r="G3117" s="19"/>
    </row>
    <row r="3118" spans="1:7" ht="12.75" x14ac:dyDescent="0.2">
      <c r="A3118" s="3"/>
      <c r="B3118" s="4"/>
      <c r="G3118" s="19"/>
    </row>
    <row r="3119" spans="1:7" ht="12.75" x14ac:dyDescent="0.2">
      <c r="A3119" s="3"/>
      <c r="B3119" s="4"/>
      <c r="G3119" s="19"/>
    </row>
    <row r="3120" spans="1:7" ht="12.75" x14ac:dyDescent="0.2">
      <c r="A3120" s="3"/>
      <c r="B3120" s="4"/>
      <c r="G3120" s="19"/>
    </row>
    <row r="3121" spans="1:7" ht="12.75" x14ac:dyDescent="0.2">
      <c r="A3121" s="3"/>
      <c r="B3121" s="4"/>
      <c r="G3121" s="19"/>
    </row>
    <row r="3122" spans="1:7" ht="12.75" x14ac:dyDescent="0.2">
      <c r="A3122" s="3"/>
      <c r="B3122" s="4"/>
      <c r="G3122" s="19"/>
    </row>
    <row r="3123" spans="1:7" ht="12.75" x14ac:dyDescent="0.2">
      <c r="A3123" s="3"/>
      <c r="B3123" s="4"/>
      <c r="G3123" s="19"/>
    </row>
    <row r="3124" spans="1:7" ht="12.75" x14ac:dyDescent="0.2">
      <c r="A3124" s="3"/>
      <c r="B3124" s="4"/>
      <c r="G3124" s="19"/>
    </row>
    <row r="3125" spans="1:7" ht="12.75" x14ac:dyDescent="0.2">
      <c r="A3125" s="3"/>
      <c r="B3125" s="4"/>
      <c r="G3125" s="19"/>
    </row>
    <row r="3126" spans="1:7" ht="12.75" x14ac:dyDescent="0.2">
      <c r="A3126" s="3"/>
      <c r="B3126" s="4"/>
      <c r="G3126" s="19"/>
    </row>
    <row r="3127" spans="1:7" ht="12.75" x14ac:dyDescent="0.2">
      <c r="A3127" s="3"/>
      <c r="B3127" s="4"/>
      <c r="G3127" s="19"/>
    </row>
    <row r="3128" spans="1:7" ht="12.75" x14ac:dyDescent="0.2">
      <c r="A3128" s="3"/>
      <c r="B3128" s="4"/>
      <c r="G3128" s="19"/>
    </row>
    <row r="3129" spans="1:7" ht="12.75" x14ac:dyDescent="0.2">
      <c r="A3129" s="3"/>
      <c r="B3129" s="4"/>
      <c r="G3129" s="19"/>
    </row>
    <row r="3130" spans="1:7" ht="12.75" x14ac:dyDescent="0.2">
      <c r="A3130" s="3"/>
      <c r="B3130" s="4"/>
      <c r="G3130" s="19"/>
    </row>
    <row r="3131" spans="1:7" ht="12.75" x14ac:dyDescent="0.2">
      <c r="A3131" s="3"/>
      <c r="B3131" s="4"/>
      <c r="G3131" s="19"/>
    </row>
    <row r="3132" spans="1:7" ht="12.75" x14ac:dyDescent="0.2">
      <c r="A3132" s="3"/>
      <c r="B3132" s="4"/>
      <c r="G3132" s="19"/>
    </row>
    <row r="3133" spans="1:7" ht="12.75" x14ac:dyDescent="0.2">
      <c r="A3133" s="3"/>
      <c r="B3133" s="4"/>
      <c r="G3133" s="19"/>
    </row>
    <row r="3134" spans="1:7" ht="12.75" x14ac:dyDescent="0.2">
      <c r="A3134" s="3"/>
      <c r="B3134" s="4"/>
      <c r="G3134" s="19"/>
    </row>
    <row r="3135" spans="1:7" ht="12.75" x14ac:dyDescent="0.2">
      <c r="A3135" s="3"/>
      <c r="B3135" s="4"/>
      <c r="G3135" s="19"/>
    </row>
    <row r="3136" spans="1:7" ht="12.75" x14ac:dyDescent="0.2">
      <c r="A3136" s="3"/>
      <c r="B3136" s="4"/>
      <c r="G3136" s="19"/>
    </row>
    <row r="3137" spans="1:7" ht="12.75" x14ac:dyDescent="0.2">
      <c r="A3137" s="3"/>
      <c r="B3137" s="4"/>
      <c r="G3137" s="19"/>
    </row>
    <row r="3138" spans="1:7" ht="12.75" x14ac:dyDescent="0.2">
      <c r="A3138" s="3"/>
      <c r="B3138" s="4"/>
      <c r="G3138" s="19"/>
    </row>
    <row r="3139" spans="1:7" ht="12.75" x14ac:dyDescent="0.2">
      <c r="A3139" s="3"/>
      <c r="B3139" s="4"/>
      <c r="G3139" s="19"/>
    </row>
    <row r="3140" spans="1:7" ht="12.75" x14ac:dyDescent="0.2">
      <c r="A3140" s="3"/>
      <c r="B3140" s="4"/>
      <c r="G3140" s="19"/>
    </row>
    <row r="3141" spans="1:7" ht="12.75" x14ac:dyDescent="0.2">
      <c r="A3141" s="3"/>
      <c r="B3141" s="4"/>
      <c r="G3141" s="19"/>
    </row>
    <row r="3142" spans="1:7" ht="12.75" x14ac:dyDescent="0.2">
      <c r="A3142" s="3"/>
      <c r="B3142" s="4"/>
      <c r="G3142" s="19"/>
    </row>
    <row r="3143" spans="1:7" ht="12.75" x14ac:dyDescent="0.2">
      <c r="A3143" s="3"/>
      <c r="B3143" s="4"/>
      <c r="G3143" s="19"/>
    </row>
    <row r="3144" spans="1:7" ht="12.75" x14ac:dyDescent="0.2">
      <c r="A3144" s="3"/>
      <c r="B3144" s="4"/>
      <c r="G3144" s="19"/>
    </row>
    <row r="3145" spans="1:7" ht="12.75" x14ac:dyDescent="0.2">
      <c r="A3145" s="3"/>
      <c r="B3145" s="4"/>
      <c r="G3145" s="19"/>
    </row>
    <row r="3146" spans="1:7" ht="12.75" x14ac:dyDescent="0.2">
      <c r="A3146" s="3"/>
      <c r="B3146" s="4"/>
      <c r="G3146" s="19"/>
    </row>
    <row r="3147" spans="1:7" ht="12.75" x14ac:dyDescent="0.2">
      <c r="A3147" s="3"/>
      <c r="B3147" s="4"/>
      <c r="G3147" s="19"/>
    </row>
    <row r="3148" spans="1:7" ht="12.75" x14ac:dyDescent="0.2">
      <c r="A3148" s="3"/>
      <c r="B3148" s="4"/>
      <c r="G3148" s="19"/>
    </row>
    <row r="3149" spans="1:7" ht="12.75" x14ac:dyDescent="0.2">
      <c r="A3149" s="3"/>
      <c r="B3149" s="4"/>
      <c r="G3149" s="19"/>
    </row>
    <row r="3150" spans="1:7" ht="12.75" x14ac:dyDescent="0.2">
      <c r="A3150" s="3"/>
      <c r="B3150" s="4"/>
      <c r="G3150" s="19"/>
    </row>
    <row r="3151" spans="1:7" ht="12.75" x14ac:dyDescent="0.2">
      <c r="A3151" s="3"/>
      <c r="B3151" s="4"/>
      <c r="G3151" s="19"/>
    </row>
    <row r="3152" spans="1:7" ht="12.75" x14ac:dyDescent="0.2">
      <c r="A3152" s="3"/>
      <c r="B3152" s="4"/>
      <c r="G3152" s="19"/>
    </row>
    <row r="3153" spans="1:7" ht="12.75" x14ac:dyDescent="0.2">
      <c r="A3153" s="3"/>
      <c r="B3153" s="4"/>
      <c r="G3153" s="19"/>
    </row>
    <row r="3154" spans="1:7" ht="12.75" x14ac:dyDescent="0.2">
      <c r="A3154" s="3"/>
      <c r="B3154" s="4"/>
      <c r="G3154" s="19"/>
    </row>
    <row r="3155" spans="1:7" ht="12.75" x14ac:dyDescent="0.2">
      <c r="A3155" s="3"/>
      <c r="B3155" s="4"/>
      <c r="G3155" s="19"/>
    </row>
    <row r="3156" spans="1:7" ht="12.75" x14ac:dyDescent="0.2">
      <c r="A3156" s="3"/>
      <c r="B3156" s="4"/>
      <c r="G3156" s="19"/>
    </row>
    <row r="3157" spans="1:7" ht="12.75" x14ac:dyDescent="0.2">
      <c r="A3157" s="3"/>
      <c r="B3157" s="4"/>
      <c r="G3157" s="19"/>
    </row>
    <row r="3158" spans="1:7" ht="12.75" x14ac:dyDescent="0.2">
      <c r="A3158" s="3"/>
      <c r="B3158" s="4"/>
      <c r="G3158" s="19"/>
    </row>
    <row r="3159" spans="1:7" ht="12.75" x14ac:dyDescent="0.2">
      <c r="A3159" s="3"/>
      <c r="B3159" s="4"/>
      <c r="G3159" s="19"/>
    </row>
    <row r="3160" spans="1:7" ht="12.75" x14ac:dyDescent="0.2">
      <c r="A3160" s="3"/>
      <c r="B3160" s="4"/>
      <c r="G3160" s="19"/>
    </row>
    <row r="3161" spans="1:7" ht="12.75" x14ac:dyDescent="0.2">
      <c r="A3161" s="3"/>
      <c r="B3161" s="4"/>
      <c r="G3161" s="19"/>
    </row>
    <row r="3162" spans="1:7" ht="12.75" x14ac:dyDescent="0.2">
      <c r="A3162" s="3"/>
      <c r="B3162" s="4"/>
      <c r="G3162" s="19"/>
    </row>
    <row r="3163" spans="1:7" ht="12.75" x14ac:dyDescent="0.2">
      <c r="A3163" s="3"/>
      <c r="B3163" s="4"/>
      <c r="G3163" s="19"/>
    </row>
    <row r="3164" spans="1:7" ht="12.75" x14ac:dyDescent="0.2">
      <c r="A3164" s="3"/>
      <c r="B3164" s="4"/>
      <c r="G3164" s="19"/>
    </row>
    <row r="3165" spans="1:7" ht="12.75" x14ac:dyDescent="0.2">
      <c r="A3165" s="3"/>
      <c r="B3165" s="4"/>
      <c r="G3165" s="19"/>
    </row>
    <row r="3166" spans="1:7" ht="12.75" x14ac:dyDescent="0.2">
      <c r="A3166" s="3"/>
      <c r="B3166" s="4"/>
      <c r="G3166" s="19"/>
    </row>
    <row r="3167" spans="1:7" ht="12.75" x14ac:dyDescent="0.2">
      <c r="A3167" s="3"/>
      <c r="B3167" s="4"/>
      <c r="G3167" s="19"/>
    </row>
    <row r="3168" spans="1:7" ht="12.75" x14ac:dyDescent="0.2">
      <c r="A3168" s="3"/>
      <c r="B3168" s="4"/>
      <c r="G3168" s="19"/>
    </row>
    <row r="3169" spans="1:7" ht="12.75" x14ac:dyDescent="0.2">
      <c r="A3169" s="3"/>
      <c r="B3169" s="4"/>
      <c r="G3169" s="19"/>
    </row>
    <row r="3170" spans="1:7" ht="12.75" x14ac:dyDescent="0.2">
      <c r="A3170" s="3"/>
      <c r="B3170" s="4"/>
      <c r="G3170" s="19"/>
    </row>
    <row r="3171" spans="1:7" ht="12.75" x14ac:dyDescent="0.2">
      <c r="A3171" s="3"/>
      <c r="B3171" s="4"/>
      <c r="G3171" s="19"/>
    </row>
    <row r="3172" spans="1:7" ht="12.75" x14ac:dyDescent="0.2">
      <c r="A3172" s="3"/>
      <c r="B3172" s="4"/>
      <c r="G3172" s="19"/>
    </row>
    <row r="3173" spans="1:7" ht="12.75" x14ac:dyDescent="0.2">
      <c r="A3173" s="3"/>
      <c r="B3173" s="4"/>
      <c r="G3173" s="19"/>
    </row>
    <row r="3174" spans="1:7" ht="12.75" x14ac:dyDescent="0.2">
      <c r="A3174" s="3"/>
      <c r="B3174" s="4"/>
      <c r="G3174" s="19"/>
    </row>
    <row r="3175" spans="1:7" ht="12.75" x14ac:dyDescent="0.2">
      <c r="A3175" s="3"/>
      <c r="B3175" s="4"/>
      <c r="G3175" s="19"/>
    </row>
    <row r="3176" spans="1:7" ht="12.75" x14ac:dyDescent="0.2">
      <c r="A3176" s="3"/>
      <c r="B3176" s="4"/>
      <c r="G3176" s="19"/>
    </row>
    <row r="3177" spans="1:7" ht="12.75" x14ac:dyDescent="0.2">
      <c r="A3177" s="3"/>
      <c r="B3177" s="4"/>
      <c r="G3177" s="19"/>
    </row>
    <row r="3178" spans="1:7" ht="12.75" x14ac:dyDescent="0.2">
      <c r="A3178" s="3"/>
      <c r="B3178" s="4"/>
      <c r="G3178" s="19"/>
    </row>
    <row r="3179" spans="1:7" ht="12.75" x14ac:dyDescent="0.2">
      <c r="A3179" s="3"/>
      <c r="B3179" s="4"/>
      <c r="G3179" s="19"/>
    </row>
    <row r="3180" spans="1:7" ht="12.75" x14ac:dyDescent="0.2">
      <c r="A3180" s="3"/>
      <c r="B3180" s="4"/>
      <c r="G3180" s="19"/>
    </row>
    <row r="3181" spans="1:7" ht="12.75" x14ac:dyDescent="0.2">
      <c r="A3181" s="3"/>
      <c r="B3181" s="4"/>
      <c r="G3181" s="19"/>
    </row>
    <row r="3182" spans="1:7" ht="12.75" x14ac:dyDescent="0.2">
      <c r="A3182" s="3"/>
      <c r="B3182" s="4"/>
      <c r="G3182" s="19"/>
    </row>
    <row r="3183" spans="1:7" ht="12.75" x14ac:dyDescent="0.2">
      <c r="A3183" s="3"/>
      <c r="B3183" s="4"/>
      <c r="G3183" s="19"/>
    </row>
    <row r="3184" spans="1:7" ht="12.75" x14ac:dyDescent="0.2">
      <c r="A3184" s="3"/>
      <c r="B3184" s="4"/>
      <c r="G3184" s="19"/>
    </row>
    <row r="3185" spans="1:7" ht="12.75" x14ac:dyDescent="0.2">
      <c r="A3185" s="3"/>
      <c r="B3185" s="4"/>
      <c r="G3185" s="19"/>
    </row>
    <row r="3186" spans="1:7" ht="12.75" x14ac:dyDescent="0.2">
      <c r="A3186" s="3"/>
      <c r="B3186" s="4"/>
      <c r="G3186" s="19"/>
    </row>
    <row r="3187" spans="1:7" ht="12.75" x14ac:dyDescent="0.2">
      <c r="A3187" s="3"/>
      <c r="B3187" s="4"/>
      <c r="G3187" s="19"/>
    </row>
    <row r="3188" spans="1:7" ht="12.75" x14ac:dyDescent="0.2">
      <c r="A3188" s="3"/>
      <c r="B3188" s="4"/>
      <c r="G3188" s="19"/>
    </row>
    <row r="3189" spans="1:7" ht="12.75" x14ac:dyDescent="0.2">
      <c r="A3189" s="3"/>
      <c r="B3189" s="4"/>
      <c r="G3189" s="19"/>
    </row>
    <row r="3190" spans="1:7" ht="12.75" x14ac:dyDescent="0.2">
      <c r="A3190" s="3"/>
      <c r="B3190" s="4"/>
      <c r="G3190" s="19"/>
    </row>
    <row r="3191" spans="1:7" ht="12.75" x14ac:dyDescent="0.2">
      <c r="A3191" s="3"/>
      <c r="B3191" s="4"/>
      <c r="G3191" s="19"/>
    </row>
    <row r="3192" spans="1:7" ht="12.75" x14ac:dyDescent="0.2">
      <c r="A3192" s="3"/>
      <c r="B3192" s="4"/>
      <c r="G3192" s="19"/>
    </row>
    <row r="3193" spans="1:7" ht="12.75" x14ac:dyDescent="0.2">
      <c r="A3193" s="3"/>
      <c r="B3193" s="4"/>
      <c r="G3193" s="19"/>
    </row>
    <row r="3194" spans="1:7" ht="12.75" x14ac:dyDescent="0.2">
      <c r="A3194" s="3"/>
      <c r="B3194" s="4"/>
      <c r="G3194" s="19"/>
    </row>
    <row r="3195" spans="1:7" ht="12.75" x14ac:dyDescent="0.2">
      <c r="A3195" s="3"/>
      <c r="B3195" s="4"/>
      <c r="G3195" s="19"/>
    </row>
    <row r="3196" spans="1:7" ht="12.75" x14ac:dyDescent="0.2">
      <c r="A3196" s="3"/>
      <c r="B3196" s="4"/>
      <c r="G3196" s="19"/>
    </row>
    <row r="3197" spans="1:7" ht="12.75" x14ac:dyDescent="0.2">
      <c r="A3197" s="3"/>
      <c r="B3197" s="4"/>
      <c r="G3197" s="19"/>
    </row>
    <row r="3198" spans="1:7" ht="12.75" x14ac:dyDescent="0.2">
      <c r="A3198" s="3"/>
      <c r="B3198" s="4"/>
      <c r="G3198" s="19"/>
    </row>
    <row r="3199" spans="1:7" ht="12.75" x14ac:dyDescent="0.2">
      <c r="A3199" s="3"/>
      <c r="B3199" s="4"/>
      <c r="G3199" s="19"/>
    </row>
    <row r="3200" spans="1:7" ht="12.75" x14ac:dyDescent="0.2">
      <c r="A3200" s="3"/>
      <c r="B3200" s="4"/>
      <c r="G3200" s="19"/>
    </row>
    <row r="3201" spans="1:7" ht="12.75" x14ac:dyDescent="0.2">
      <c r="A3201" s="3"/>
      <c r="B3201" s="4"/>
      <c r="G3201" s="19"/>
    </row>
    <row r="3202" spans="1:7" ht="12.75" x14ac:dyDescent="0.2">
      <c r="A3202" s="3"/>
      <c r="B3202" s="4"/>
      <c r="G3202" s="19"/>
    </row>
    <row r="3203" spans="1:7" ht="12.75" x14ac:dyDescent="0.2">
      <c r="A3203" s="3"/>
      <c r="B3203" s="4"/>
      <c r="G3203" s="19"/>
    </row>
    <row r="3204" spans="1:7" ht="12.75" x14ac:dyDescent="0.2">
      <c r="A3204" s="3"/>
      <c r="B3204" s="4"/>
      <c r="G3204" s="19"/>
    </row>
    <row r="3205" spans="1:7" ht="12.75" x14ac:dyDescent="0.2">
      <c r="A3205" s="3"/>
      <c r="B3205" s="4"/>
      <c r="G3205" s="19"/>
    </row>
    <row r="3206" spans="1:7" ht="12.75" x14ac:dyDescent="0.2">
      <c r="A3206" s="3"/>
      <c r="B3206" s="4"/>
      <c r="G3206" s="19"/>
    </row>
    <row r="3207" spans="1:7" ht="12.75" x14ac:dyDescent="0.2">
      <c r="A3207" s="3"/>
      <c r="B3207" s="4"/>
      <c r="G3207" s="19"/>
    </row>
    <row r="3208" spans="1:7" ht="12.75" x14ac:dyDescent="0.2">
      <c r="A3208" s="3"/>
      <c r="B3208" s="4"/>
      <c r="G3208" s="19"/>
    </row>
    <row r="3209" spans="1:7" ht="12.75" x14ac:dyDescent="0.2">
      <c r="A3209" s="3"/>
      <c r="B3209" s="4"/>
      <c r="G3209" s="19"/>
    </row>
    <row r="3210" spans="1:7" ht="12.75" x14ac:dyDescent="0.2">
      <c r="A3210" s="3"/>
      <c r="B3210" s="4"/>
      <c r="G3210" s="19"/>
    </row>
    <row r="3211" spans="1:7" ht="12.75" x14ac:dyDescent="0.2">
      <c r="A3211" s="3"/>
      <c r="B3211" s="4"/>
      <c r="G3211" s="19"/>
    </row>
    <row r="3212" spans="1:7" ht="12.75" x14ac:dyDescent="0.2">
      <c r="A3212" s="3"/>
      <c r="B3212" s="4"/>
      <c r="G3212" s="19"/>
    </row>
    <row r="3213" spans="1:7" ht="12.75" x14ac:dyDescent="0.2">
      <c r="A3213" s="3"/>
      <c r="B3213" s="4"/>
      <c r="G3213" s="19"/>
    </row>
    <row r="3214" spans="1:7" ht="12.75" x14ac:dyDescent="0.2">
      <c r="A3214" s="3"/>
      <c r="B3214" s="4"/>
      <c r="G3214" s="19"/>
    </row>
    <row r="3215" spans="1:7" ht="12.75" x14ac:dyDescent="0.2">
      <c r="A3215" s="3"/>
      <c r="B3215" s="4"/>
      <c r="G3215" s="19"/>
    </row>
    <row r="3216" spans="1:7" ht="12.75" x14ac:dyDescent="0.2">
      <c r="A3216" s="3"/>
      <c r="B3216" s="4"/>
      <c r="G3216" s="19"/>
    </row>
    <row r="3217" spans="1:7" ht="12.75" x14ac:dyDescent="0.2">
      <c r="A3217" s="3"/>
      <c r="B3217" s="4"/>
      <c r="G3217" s="19"/>
    </row>
    <row r="3218" spans="1:7" ht="12.75" x14ac:dyDescent="0.2">
      <c r="A3218" s="3"/>
      <c r="B3218" s="4"/>
      <c r="G3218" s="19"/>
    </row>
    <row r="3219" spans="1:7" ht="12.75" x14ac:dyDescent="0.2">
      <c r="A3219" s="3"/>
      <c r="B3219" s="4"/>
      <c r="G3219" s="19"/>
    </row>
    <row r="3220" spans="1:7" ht="12.75" x14ac:dyDescent="0.2">
      <c r="A3220" s="3"/>
      <c r="B3220" s="4"/>
      <c r="G3220" s="19"/>
    </row>
    <row r="3221" spans="1:7" ht="12.75" x14ac:dyDescent="0.2">
      <c r="A3221" s="3"/>
      <c r="B3221" s="4"/>
      <c r="G3221" s="19"/>
    </row>
    <row r="3222" spans="1:7" ht="12.75" x14ac:dyDescent="0.2">
      <c r="A3222" s="3"/>
      <c r="B3222" s="4"/>
      <c r="G3222" s="19"/>
    </row>
    <row r="3223" spans="1:7" ht="12.75" x14ac:dyDescent="0.2">
      <c r="A3223" s="3"/>
      <c r="B3223" s="4"/>
      <c r="G3223" s="19"/>
    </row>
    <row r="3224" spans="1:7" ht="12.75" x14ac:dyDescent="0.2">
      <c r="A3224" s="3"/>
      <c r="B3224" s="4"/>
      <c r="G3224" s="19"/>
    </row>
    <row r="3225" spans="1:7" ht="12.75" x14ac:dyDescent="0.2">
      <c r="A3225" s="3"/>
      <c r="B3225" s="4"/>
      <c r="G3225" s="19"/>
    </row>
    <row r="3226" spans="1:7" ht="12.75" x14ac:dyDescent="0.2">
      <c r="A3226" s="3"/>
      <c r="B3226" s="4"/>
      <c r="G3226" s="19"/>
    </row>
    <row r="3227" spans="1:7" ht="12.75" x14ac:dyDescent="0.2">
      <c r="A3227" s="3"/>
      <c r="B3227" s="4"/>
      <c r="G3227" s="19"/>
    </row>
    <row r="3228" spans="1:7" ht="12.75" x14ac:dyDescent="0.2">
      <c r="A3228" s="3"/>
      <c r="B3228" s="4"/>
      <c r="G3228" s="19"/>
    </row>
    <row r="3229" spans="1:7" ht="12.75" x14ac:dyDescent="0.2">
      <c r="A3229" s="3"/>
      <c r="B3229" s="4"/>
      <c r="G3229" s="19"/>
    </row>
    <row r="3230" spans="1:7" ht="12.75" x14ac:dyDescent="0.2">
      <c r="A3230" s="3"/>
      <c r="B3230" s="4"/>
      <c r="G3230" s="19"/>
    </row>
    <row r="3231" spans="1:7" ht="12.75" x14ac:dyDescent="0.2">
      <c r="A3231" s="3"/>
      <c r="B3231" s="4"/>
      <c r="G3231" s="19"/>
    </row>
    <row r="3232" spans="1:7" ht="12.75" x14ac:dyDescent="0.2">
      <c r="A3232" s="3"/>
      <c r="B3232" s="4"/>
      <c r="G3232" s="19"/>
    </row>
    <row r="3233" spans="1:7" ht="12.75" x14ac:dyDescent="0.2">
      <c r="A3233" s="3"/>
      <c r="B3233" s="4"/>
      <c r="G3233" s="19"/>
    </row>
    <row r="3234" spans="1:7" ht="12.75" x14ac:dyDescent="0.2">
      <c r="A3234" s="3"/>
      <c r="B3234" s="4"/>
      <c r="G3234" s="19"/>
    </row>
    <row r="3235" spans="1:7" ht="12.75" x14ac:dyDescent="0.2">
      <c r="A3235" s="3"/>
      <c r="B3235" s="4"/>
      <c r="G3235" s="19"/>
    </row>
    <row r="3236" spans="1:7" ht="12.75" x14ac:dyDescent="0.2">
      <c r="A3236" s="3"/>
      <c r="B3236" s="4"/>
      <c r="G3236" s="19"/>
    </row>
    <row r="3237" spans="1:7" ht="12.75" x14ac:dyDescent="0.2">
      <c r="A3237" s="3"/>
      <c r="B3237" s="4"/>
      <c r="G3237" s="19"/>
    </row>
    <row r="3238" spans="1:7" ht="12.75" x14ac:dyDescent="0.2">
      <c r="A3238" s="3"/>
      <c r="B3238" s="4"/>
      <c r="G3238" s="19"/>
    </row>
    <row r="3239" spans="1:7" ht="12.75" x14ac:dyDescent="0.2">
      <c r="A3239" s="3"/>
      <c r="B3239" s="4"/>
      <c r="G3239" s="19"/>
    </row>
    <row r="3240" spans="1:7" ht="12.75" x14ac:dyDescent="0.2">
      <c r="A3240" s="3"/>
      <c r="B3240" s="4"/>
      <c r="G3240" s="19"/>
    </row>
    <row r="3241" spans="1:7" ht="12.75" x14ac:dyDescent="0.2">
      <c r="A3241" s="3"/>
      <c r="B3241" s="4"/>
      <c r="G3241" s="19"/>
    </row>
    <row r="3242" spans="1:7" ht="12.75" x14ac:dyDescent="0.2">
      <c r="A3242" s="3"/>
      <c r="B3242" s="4"/>
      <c r="G3242" s="19"/>
    </row>
    <row r="3243" spans="1:7" ht="12.75" x14ac:dyDescent="0.2">
      <c r="A3243" s="3"/>
      <c r="B3243" s="4"/>
      <c r="G3243" s="19"/>
    </row>
    <row r="3244" spans="1:7" ht="12.75" x14ac:dyDescent="0.2">
      <c r="A3244" s="3"/>
      <c r="B3244" s="4"/>
      <c r="G3244" s="19"/>
    </row>
    <row r="3245" spans="1:7" ht="12.75" x14ac:dyDescent="0.2">
      <c r="A3245" s="3"/>
      <c r="B3245" s="4"/>
      <c r="G3245" s="19"/>
    </row>
    <row r="3246" spans="1:7" ht="12.75" x14ac:dyDescent="0.2">
      <c r="A3246" s="3"/>
      <c r="B3246" s="4"/>
      <c r="G3246" s="19"/>
    </row>
    <row r="3247" spans="1:7" ht="12.75" x14ac:dyDescent="0.2">
      <c r="A3247" s="3"/>
      <c r="B3247" s="4"/>
      <c r="G3247" s="19"/>
    </row>
    <row r="3248" spans="1:7" ht="12.75" x14ac:dyDescent="0.2">
      <c r="A3248" s="3"/>
      <c r="B3248" s="4"/>
      <c r="G3248" s="19"/>
    </row>
    <row r="3249" spans="1:7" ht="12.75" x14ac:dyDescent="0.2">
      <c r="A3249" s="3"/>
      <c r="B3249" s="4"/>
      <c r="G3249" s="19"/>
    </row>
    <row r="3250" spans="1:7" ht="12.75" x14ac:dyDescent="0.2">
      <c r="A3250" s="3"/>
      <c r="B3250" s="4"/>
      <c r="G3250" s="19"/>
    </row>
    <row r="3251" spans="1:7" ht="12.75" x14ac:dyDescent="0.2">
      <c r="A3251" s="3"/>
      <c r="B3251" s="4"/>
      <c r="G3251" s="19"/>
    </row>
    <row r="3252" spans="1:7" ht="12.75" x14ac:dyDescent="0.2">
      <c r="A3252" s="3"/>
      <c r="B3252" s="4"/>
      <c r="G3252" s="19"/>
    </row>
    <row r="3253" spans="1:7" ht="12.75" x14ac:dyDescent="0.2">
      <c r="A3253" s="3"/>
      <c r="B3253" s="4"/>
      <c r="G3253" s="19"/>
    </row>
    <row r="3254" spans="1:7" ht="12.75" x14ac:dyDescent="0.2">
      <c r="A3254" s="3"/>
      <c r="B3254" s="4"/>
      <c r="G3254" s="19"/>
    </row>
    <row r="3255" spans="1:7" ht="12.75" x14ac:dyDescent="0.2">
      <c r="A3255" s="3"/>
      <c r="B3255" s="4"/>
      <c r="G3255" s="19"/>
    </row>
    <row r="3256" spans="1:7" ht="12.75" x14ac:dyDescent="0.2">
      <c r="A3256" s="3"/>
      <c r="B3256" s="4"/>
      <c r="G3256" s="19"/>
    </row>
    <row r="3257" spans="1:7" ht="12.75" x14ac:dyDescent="0.2">
      <c r="A3257" s="3"/>
      <c r="B3257" s="4"/>
      <c r="G3257" s="19"/>
    </row>
    <row r="3258" spans="1:7" ht="12.75" x14ac:dyDescent="0.2">
      <c r="A3258" s="3"/>
      <c r="B3258" s="4"/>
      <c r="G3258" s="19"/>
    </row>
    <row r="3259" spans="1:7" ht="12.75" x14ac:dyDescent="0.2">
      <c r="A3259" s="3"/>
      <c r="B3259" s="4"/>
      <c r="G3259" s="19"/>
    </row>
    <row r="3260" spans="1:7" ht="12.75" x14ac:dyDescent="0.2">
      <c r="A3260" s="3"/>
      <c r="B3260" s="4"/>
      <c r="G3260" s="19"/>
    </row>
    <row r="3261" spans="1:7" ht="12.75" x14ac:dyDescent="0.2">
      <c r="A3261" s="3"/>
      <c r="B3261" s="4"/>
      <c r="G3261" s="19"/>
    </row>
    <row r="3262" spans="1:7" ht="12.75" x14ac:dyDescent="0.2">
      <c r="A3262" s="3"/>
      <c r="B3262" s="4"/>
      <c r="G3262" s="19"/>
    </row>
    <row r="3263" spans="1:7" ht="12.75" x14ac:dyDescent="0.2">
      <c r="A3263" s="3"/>
      <c r="B3263" s="4"/>
      <c r="G3263" s="19"/>
    </row>
    <row r="3264" spans="1:7" ht="12.75" x14ac:dyDescent="0.2">
      <c r="A3264" s="3"/>
      <c r="B3264" s="4"/>
      <c r="G3264" s="19"/>
    </row>
    <row r="3265" spans="1:7" ht="12.75" x14ac:dyDescent="0.2">
      <c r="A3265" s="3"/>
      <c r="B3265" s="4"/>
      <c r="G3265" s="19"/>
    </row>
    <row r="3266" spans="1:7" ht="12.75" x14ac:dyDescent="0.2">
      <c r="A3266" s="3"/>
      <c r="B3266" s="4"/>
      <c r="G3266" s="19"/>
    </row>
    <row r="3267" spans="1:7" ht="12.75" x14ac:dyDescent="0.2">
      <c r="A3267" s="3"/>
      <c r="B3267" s="4"/>
      <c r="G3267" s="19"/>
    </row>
    <row r="3268" spans="1:7" ht="12.75" x14ac:dyDescent="0.2">
      <c r="A3268" s="3"/>
      <c r="B3268" s="4"/>
      <c r="G3268" s="19"/>
    </row>
    <row r="3269" spans="1:7" ht="12.75" x14ac:dyDescent="0.2">
      <c r="A3269" s="3"/>
      <c r="B3269" s="4"/>
      <c r="G3269" s="19"/>
    </row>
    <row r="3270" spans="1:7" ht="12.75" x14ac:dyDescent="0.2">
      <c r="A3270" s="3"/>
      <c r="B3270" s="4"/>
      <c r="G3270" s="19"/>
    </row>
    <row r="3271" spans="1:7" ht="12.75" x14ac:dyDescent="0.2">
      <c r="A3271" s="3"/>
      <c r="B3271" s="4"/>
      <c r="G3271" s="19"/>
    </row>
    <row r="3272" spans="1:7" ht="12.75" x14ac:dyDescent="0.2">
      <c r="A3272" s="3"/>
      <c r="B3272" s="4"/>
      <c r="G3272" s="19"/>
    </row>
    <row r="3273" spans="1:7" ht="12.75" x14ac:dyDescent="0.2">
      <c r="A3273" s="3"/>
      <c r="B3273" s="4"/>
      <c r="G3273" s="19"/>
    </row>
    <row r="3274" spans="1:7" ht="12.75" x14ac:dyDescent="0.2">
      <c r="A3274" s="3"/>
      <c r="B3274" s="4"/>
      <c r="G3274" s="19"/>
    </row>
    <row r="3275" spans="1:7" ht="12.75" x14ac:dyDescent="0.2">
      <c r="A3275" s="3"/>
      <c r="B3275" s="4"/>
      <c r="G3275" s="19"/>
    </row>
    <row r="3276" spans="1:7" ht="12.75" x14ac:dyDescent="0.2">
      <c r="A3276" s="3"/>
      <c r="B3276" s="4"/>
      <c r="G3276" s="19"/>
    </row>
    <row r="3277" spans="1:7" ht="12.75" x14ac:dyDescent="0.2">
      <c r="A3277" s="3"/>
      <c r="B3277" s="4"/>
      <c r="G3277" s="19"/>
    </row>
    <row r="3278" spans="1:7" ht="12.75" x14ac:dyDescent="0.2">
      <c r="A3278" s="3"/>
      <c r="B3278" s="4"/>
      <c r="G3278" s="19"/>
    </row>
    <row r="3279" spans="1:7" ht="12.75" x14ac:dyDescent="0.2">
      <c r="A3279" s="3"/>
      <c r="B3279" s="4"/>
      <c r="G3279" s="19"/>
    </row>
    <row r="3280" spans="1:7" ht="12.75" x14ac:dyDescent="0.2">
      <c r="A3280" s="3"/>
      <c r="B3280" s="4"/>
      <c r="G3280" s="19"/>
    </row>
    <row r="3281" spans="1:7" ht="12.75" x14ac:dyDescent="0.2">
      <c r="A3281" s="3"/>
      <c r="B3281" s="4"/>
      <c r="G3281" s="19"/>
    </row>
    <row r="3282" spans="1:7" ht="12.75" x14ac:dyDescent="0.2">
      <c r="A3282" s="3"/>
      <c r="B3282" s="4"/>
      <c r="G3282" s="19"/>
    </row>
    <row r="3283" spans="1:7" ht="12.75" x14ac:dyDescent="0.2">
      <c r="A3283" s="3"/>
      <c r="B3283" s="4"/>
      <c r="G3283" s="19"/>
    </row>
    <row r="3284" spans="1:7" ht="12.75" x14ac:dyDescent="0.2">
      <c r="A3284" s="3"/>
      <c r="B3284" s="4"/>
      <c r="G3284" s="19"/>
    </row>
    <row r="3285" spans="1:7" ht="12.75" x14ac:dyDescent="0.2">
      <c r="A3285" s="3"/>
      <c r="B3285" s="4"/>
      <c r="G3285" s="19"/>
    </row>
    <row r="3286" spans="1:7" ht="12.75" x14ac:dyDescent="0.2">
      <c r="A3286" s="3"/>
      <c r="B3286" s="4"/>
      <c r="G3286" s="19"/>
    </row>
    <row r="3287" spans="1:7" ht="12.75" x14ac:dyDescent="0.2">
      <c r="A3287" s="3"/>
      <c r="B3287" s="4"/>
      <c r="G3287" s="19"/>
    </row>
    <row r="3288" spans="1:7" ht="12.75" x14ac:dyDescent="0.2">
      <c r="A3288" s="3"/>
      <c r="B3288" s="4"/>
      <c r="G3288" s="19"/>
    </row>
    <row r="3289" spans="1:7" ht="12.75" x14ac:dyDescent="0.2">
      <c r="A3289" s="3"/>
      <c r="B3289" s="4"/>
      <c r="G3289" s="19"/>
    </row>
    <row r="3290" spans="1:7" ht="12.75" x14ac:dyDescent="0.2">
      <c r="A3290" s="3"/>
      <c r="B3290" s="4"/>
      <c r="G3290" s="19"/>
    </row>
    <row r="3291" spans="1:7" ht="12.75" x14ac:dyDescent="0.2">
      <c r="A3291" s="3"/>
      <c r="B3291" s="4"/>
      <c r="G3291" s="19"/>
    </row>
    <row r="3292" spans="1:7" ht="12.75" x14ac:dyDescent="0.2">
      <c r="A3292" s="3"/>
      <c r="B3292" s="4"/>
      <c r="G3292" s="19"/>
    </row>
    <row r="3293" spans="1:7" ht="12.75" x14ac:dyDescent="0.2">
      <c r="A3293" s="3"/>
      <c r="B3293" s="4"/>
      <c r="G3293" s="19"/>
    </row>
    <row r="3294" spans="1:7" ht="12.75" x14ac:dyDescent="0.2">
      <c r="A3294" s="3"/>
      <c r="B3294" s="4"/>
      <c r="G3294" s="19"/>
    </row>
    <row r="3295" spans="1:7" ht="12.75" x14ac:dyDescent="0.2">
      <c r="A3295" s="3"/>
      <c r="B3295" s="4"/>
      <c r="G3295" s="19"/>
    </row>
    <row r="3296" spans="1:7" ht="12.75" x14ac:dyDescent="0.2">
      <c r="A3296" s="3"/>
      <c r="B3296" s="4"/>
      <c r="G3296" s="19"/>
    </row>
    <row r="3297" spans="1:7" ht="12.75" x14ac:dyDescent="0.2">
      <c r="A3297" s="3"/>
      <c r="B3297" s="4"/>
      <c r="G3297" s="19"/>
    </row>
    <row r="3298" spans="1:7" ht="12.75" x14ac:dyDescent="0.2">
      <c r="A3298" s="3"/>
      <c r="B3298" s="4"/>
      <c r="G3298" s="19"/>
    </row>
    <row r="3299" spans="1:7" ht="12.75" x14ac:dyDescent="0.2">
      <c r="A3299" s="3"/>
      <c r="B3299" s="4"/>
      <c r="G3299" s="19"/>
    </row>
    <row r="3300" spans="1:7" ht="12.75" x14ac:dyDescent="0.2">
      <c r="A3300" s="3"/>
      <c r="B3300" s="4"/>
      <c r="G3300" s="19"/>
    </row>
    <row r="3301" spans="1:7" ht="12.75" x14ac:dyDescent="0.2">
      <c r="A3301" s="3"/>
      <c r="B3301" s="4"/>
      <c r="G3301" s="19"/>
    </row>
    <row r="3302" spans="1:7" ht="12.75" x14ac:dyDescent="0.2">
      <c r="A3302" s="3"/>
      <c r="B3302" s="4"/>
      <c r="G3302" s="19"/>
    </row>
    <row r="3303" spans="1:7" ht="12.75" x14ac:dyDescent="0.2">
      <c r="A3303" s="3"/>
      <c r="B3303" s="4"/>
      <c r="G3303" s="19"/>
    </row>
    <row r="3304" spans="1:7" ht="12.75" x14ac:dyDescent="0.2">
      <c r="A3304" s="3"/>
      <c r="B3304" s="4"/>
      <c r="G3304" s="19"/>
    </row>
    <row r="3305" spans="1:7" ht="12.75" x14ac:dyDescent="0.2">
      <c r="A3305" s="3"/>
      <c r="B3305" s="4"/>
      <c r="G3305" s="19"/>
    </row>
    <row r="3306" spans="1:7" ht="12.75" x14ac:dyDescent="0.2">
      <c r="A3306" s="3"/>
      <c r="B3306" s="4"/>
      <c r="G3306" s="19"/>
    </row>
    <row r="3307" spans="1:7" ht="12.75" x14ac:dyDescent="0.2">
      <c r="A3307" s="3"/>
      <c r="B3307" s="4"/>
      <c r="G3307" s="19"/>
    </row>
    <row r="3308" spans="1:7" ht="12.75" x14ac:dyDescent="0.2">
      <c r="A3308" s="3"/>
      <c r="B3308" s="4"/>
      <c r="G3308" s="19"/>
    </row>
    <row r="3309" spans="1:7" ht="12.75" x14ac:dyDescent="0.2">
      <c r="A3309" s="3"/>
      <c r="B3309" s="4"/>
      <c r="G3309" s="19"/>
    </row>
    <row r="3310" spans="1:7" ht="12.75" x14ac:dyDescent="0.2">
      <c r="A3310" s="3"/>
      <c r="B3310" s="4"/>
      <c r="G3310" s="19"/>
    </row>
    <row r="3311" spans="1:7" ht="12.75" x14ac:dyDescent="0.2">
      <c r="A3311" s="3"/>
      <c r="B3311" s="4"/>
      <c r="G3311" s="19"/>
    </row>
    <row r="3312" spans="1:7" ht="12.75" x14ac:dyDescent="0.2">
      <c r="A3312" s="3"/>
      <c r="B3312" s="4"/>
      <c r="G3312" s="19"/>
    </row>
    <row r="3313" spans="1:7" ht="12.75" x14ac:dyDescent="0.2">
      <c r="A3313" s="3"/>
      <c r="B3313" s="4"/>
      <c r="G3313" s="19"/>
    </row>
    <row r="3314" spans="1:7" ht="12.75" x14ac:dyDescent="0.2">
      <c r="A3314" s="3"/>
      <c r="B3314" s="4"/>
      <c r="G3314" s="19"/>
    </row>
    <row r="3315" spans="1:7" ht="12.75" x14ac:dyDescent="0.2">
      <c r="A3315" s="3"/>
      <c r="B3315" s="4"/>
      <c r="G3315" s="19"/>
    </row>
    <row r="3316" spans="1:7" ht="12.75" x14ac:dyDescent="0.2">
      <c r="A3316" s="3"/>
      <c r="B3316" s="4"/>
      <c r="G3316" s="19"/>
    </row>
    <row r="3317" spans="1:7" ht="12.75" x14ac:dyDescent="0.2">
      <c r="A3317" s="3"/>
      <c r="B3317" s="4"/>
      <c r="G3317" s="19"/>
    </row>
    <row r="3318" spans="1:7" ht="12.75" x14ac:dyDescent="0.2">
      <c r="A3318" s="3"/>
      <c r="B3318" s="4"/>
      <c r="G3318" s="19"/>
    </row>
    <row r="3319" spans="1:7" ht="12.75" x14ac:dyDescent="0.2">
      <c r="A3319" s="3"/>
      <c r="B3319" s="4"/>
      <c r="G3319" s="19"/>
    </row>
    <row r="3320" spans="1:7" ht="12.75" x14ac:dyDescent="0.2">
      <c r="A3320" s="3"/>
      <c r="B3320" s="4"/>
      <c r="G3320" s="19"/>
    </row>
    <row r="3321" spans="1:7" ht="12.75" x14ac:dyDescent="0.2">
      <c r="A3321" s="3"/>
      <c r="B3321" s="4"/>
      <c r="G3321" s="19"/>
    </row>
    <row r="3322" spans="1:7" ht="12.75" x14ac:dyDescent="0.2">
      <c r="A3322" s="3"/>
      <c r="B3322" s="4"/>
      <c r="G3322" s="19"/>
    </row>
    <row r="3323" spans="1:7" ht="12.75" x14ac:dyDescent="0.2">
      <c r="A3323" s="3"/>
      <c r="B3323" s="4"/>
      <c r="G3323" s="19"/>
    </row>
    <row r="3324" spans="1:7" ht="12.75" x14ac:dyDescent="0.2">
      <c r="A3324" s="3"/>
      <c r="B3324" s="4"/>
      <c r="G3324" s="19"/>
    </row>
    <row r="3325" spans="1:7" ht="12.75" x14ac:dyDescent="0.2">
      <c r="A3325" s="3"/>
      <c r="B3325" s="4"/>
      <c r="G3325" s="19"/>
    </row>
    <row r="3326" spans="1:7" ht="12.75" x14ac:dyDescent="0.2">
      <c r="A3326" s="3"/>
      <c r="B3326" s="4"/>
      <c r="G3326" s="19"/>
    </row>
    <row r="3327" spans="1:7" ht="12.75" x14ac:dyDescent="0.2">
      <c r="A3327" s="3"/>
      <c r="B3327" s="4"/>
      <c r="G3327" s="19"/>
    </row>
    <row r="3328" spans="1:7" ht="12.75" x14ac:dyDescent="0.2">
      <c r="A3328" s="3"/>
      <c r="B3328" s="4"/>
      <c r="G3328" s="19"/>
    </row>
    <row r="3329" spans="1:7" ht="12.75" x14ac:dyDescent="0.2">
      <c r="A3329" s="3"/>
      <c r="B3329" s="4"/>
      <c r="G3329" s="19"/>
    </row>
    <row r="3330" spans="1:7" ht="12.75" x14ac:dyDescent="0.2">
      <c r="A3330" s="3"/>
      <c r="B3330" s="4"/>
      <c r="G3330" s="19"/>
    </row>
    <row r="3331" spans="1:7" ht="12.75" x14ac:dyDescent="0.2">
      <c r="A3331" s="3"/>
      <c r="B3331" s="4"/>
      <c r="G3331" s="19"/>
    </row>
    <row r="3332" spans="1:7" ht="12.75" x14ac:dyDescent="0.2">
      <c r="A3332" s="3"/>
      <c r="B3332" s="4"/>
      <c r="G3332" s="19"/>
    </row>
    <row r="3333" spans="1:7" ht="12.75" x14ac:dyDescent="0.2">
      <c r="A3333" s="3"/>
      <c r="B3333" s="4"/>
      <c r="G3333" s="19"/>
    </row>
    <row r="3334" spans="1:7" ht="12.75" x14ac:dyDescent="0.2">
      <c r="A3334" s="3"/>
      <c r="B3334" s="4"/>
      <c r="G3334" s="19"/>
    </row>
    <row r="3335" spans="1:7" ht="12.75" x14ac:dyDescent="0.2">
      <c r="A3335" s="3"/>
      <c r="B3335" s="4"/>
      <c r="G3335" s="19"/>
    </row>
    <row r="3336" spans="1:7" ht="12.75" x14ac:dyDescent="0.2">
      <c r="A3336" s="3"/>
      <c r="B3336" s="4"/>
      <c r="G3336" s="19"/>
    </row>
    <row r="3337" spans="1:7" ht="12.75" x14ac:dyDescent="0.2">
      <c r="A3337" s="3"/>
      <c r="B3337" s="4"/>
      <c r="G3337" s="19"/>
    </row>
    <row r="3338" spans="1:7" ht="12.75" x14ac:dyDescent="0.2">
      <c r="A3338" s="3"/>
      <c r="B3338" s="4"/>
      <c r="G3338" s="19"/>
    </row>
    <row r="3339" spans="1:7" ht="12.75" x14ac:dyDescent="0.2">
      <c r="A3339" s="3"/>
      <c r="B3339" s="4"/>
      <c r="G3339" s="19"/>
    </row>
    <row r="3340" spans="1:7" ht="12.75" x14ac:dyDescent="0.2">
      <c r="A3340" s="3"/>
      <c r="B3340" s="4"/>
      <c r="G3340" s="19"/>
    </row>
    <row r="3341" spans="1:7" ht="12.75" x14ac:dyDescent="0.2">
      <c r="A3341" s="3"/>
      <c r="B3341" s="4"/>
      <c r="G3341" s="19"/>
    </row>
    <row r="3342" spans="1:7" ht="12.75" x14ac:dyDescent="0.2">
      <c r="A3342" s="3"/>
      <c r="B3342" s="4"/>
      <c r="G3342" s="19"/>
    </row>
    <row r="3343" spans="1:7" ht="12.75" x14ac:dyDescent="0.2">
      <c r="A3343" s="3"/>
      <c r="B3343" s="4"/>
      <c r="G3343" s="19"/>
    </row>
    <row r="3344" spans="1:7" ht="12.75" x14ac:dyDescent="0.2">
      <c r="A3344" s="3"/>
      <c r="B3344" s="4"/>
      <c r="G3344" s="19"/>
    </row>
    <row r="3345" spans="1:7" ht="12.75" x14ac:dyDescent="0.2">
      <c r="A3345" s="3"/>
      <c r="B3345" s="4"/>
      <c r="G3345" s="19"/>
    </row>
    <row r="3346" spans="1:7" ht="12.75" x14ac:dyDescent="0.2">
      <c r="A3346" s="3"/>
      <c r="B3346" s="4"/>
      <c r="G3346" s="19"/>
    </row>
    <row r="3347" spans="1:7" ht="12.75" x14ac:dyDescent="0.2">
      <c r="A3347" s="3"/>
      <c r="B3347" s="4"/>
      <c r="G3347" s="19"/>
    </row>
    <row r="3348" spans="1:7" ht="12.75" x14ac:dyDescent="0.2">
      <c r="A3348" s="3"/>
      <c r="B3348" s="4"/>
      <c r="G3348" s="19"/>
    </row>
    <row r="3349" spans="1:7" ht="12.75" x14ac:dyDescent="0.2">
      <c r="A3349" s="3"/>
      <c r="B3349" s="4"/>
      <c r="G3349" s="19"/>
    </row>
    <row r="3350" spans="1:7" ht="12.75" x14ac:dyDescent="0.2">
      <c r="A3350" s="3"/>
      <c r="B3350" s="4"/>
      <c r="G3350" s="19"/>
    </row>
    <row r="3351" spans="1:7" ht="12.75" x14ac:dyDescent="0.2">
      <c r="A3351" s="3"/>
      <c r="B3351" s="4"/>
      <c r="G3351" s="19"/>
    </row>
    <row r="3352" spans="1:7" ht="12.75" x14ac:dyDescent="0.2">
      <c r="A3352" s="3"/>
      <c r="B3352" s="4"/>
      <c r="G3352" s="19"/>
    </row>
    <row r="3353" spans="1:7" ht="12.75" x14ac:dyDescent="0.2">
      <c r="A3353" s="3"/>
      <c r="B3353" s="4"/>
      <c r="G3353" s="19"/>
    </row>
    <row r="3354" spans="1:7" ht="12.75" x14ac:dyDescent="0.2">
      <c r="A3354" s="3"/>
      <c r="B3354" s="4"/>
      <c r="G3354" s="19"/>
    </row>
    <row r="3355" spans="1:7" ht="12.75" x14ac:dyDescent="0.2">
      <c r="A3355" s="3"/>
      <c r="B3355" s="4"/>
      <c r="G3355" s="19"/>
    </row>
    <row r="3356" spans="1:7" ht="12.75" x14ac:dyDescent="0.2">
      <c r="A3356" s="3"/>
      <c r="B3356" s="4"/>
      <c r="G3356" s="19"/>
    </row>
    <row r="3357" spans="1:7" ht="12.75" x14ac:dyDescent="0.2">
      <c r="A3357" s="3"/>
      <c r="B3357" s="4"/>
      <c r="G3357" s="19"/>
    </row>
    <row r="3358" spans="1:7" ht="12.75" x14ac:dyDescent="0.2">
      <c r="A3358" s="3"/>
      <c r="B3358" s="4"/>
      <c r="G3358" s="19"/>
    </row>
    <row r="3359" spans="1:7" ht="12.75" x14ac:dyDescent="0.2">
      <c r="A3359" s="3"/>
      <c r="B3359" s="4"/>
      <c r="G3359" s="19"/>
    </row>
    <row r="3360" spans="1:7" ht="12.75" x14ac:dyDescent="0.2">
      <c r="A3360" s="3"/>
      <c r="B3360" s="4"/>
      <c r="G3360" s="19"/>
    </row>
    <row r="3361" spans="1:7" ht="12.75" x14ac:dyDescent="0.2">
      <c r="A3361" s="3"/>
      <c r="B3361" s="4"/>
      <c r="G3361" s="19"/>
    </row>
    <row r="3362" spans="1:7" ht="12.75" x14ac:dyDescent="0.2">
      <c r="A3362" s="3"/>
      <c r="B3362" s="4"/>
      <c r="G3362" s="19"/>
    </row>
    <row r="3363" spans="1:7" ht="12.75" x14ac:dyDescent="0.2">
      <c r="A3363" s="3"/>
      <c r="B3363" s="4"/>
      <c r="G3363" s="19"/>
    </row>
    <row r="3364" spans="1:7" ht="12.75" x14ac:dyDescent="0.2">
      <c r="A3364" s="3"/>
      <c r="B3364" s="4"/>
      <c r="G3364" s="19"/>
    </row>
    <row r="3365" spans="1:7" ht="12.75" x14ac:dyDescent="0.2">
      <c r="A3365" s="3"/>
      <c r="B3365" s="4"/>
      <c r="G3365" s="19"/>
    </row>
    <row r="3366" spans="1:7" ht="12.75" x14ac:dyDescent="0.2">
      <c r="A3366" s="3"/>
      <c r="B3366" s="4"/>
      <c r="G3366" s="19"/>
    </row>
    <row r="3367" spans="1:7" ht="12.75" x14ac:dyDescent="0.2">
      <c r="A3367" s="3"/>
      <c r="B3367" s="4"/>
      <c r="G3367" s="19"/>
    </row>
    <row r="3368" spans="1:7" ht="12.75" x14ac:dyDescent="0.2">
      <c r="A3368" s="3"/>
      <c r="B3368" s="4"/>
      <c r="G3368" s="19"/>
    </row>
    <row r="3369" spans="1:7" ht="12.75" x14ac:dyDescent="0.2">
      <c r="A3369" s="3"/>
      <c r="B3369" s="4"/>
      <c r="G3369" s="19"/>
    </row>
    <row r="3370" spans="1:7" ht="12.75" x14ac:dyDescent="0.2">
      <c r="A3370" s="3"/>
      <c r="B3370" s="4"/>
      <c r="G3370" s="19"/>
    </row>
    <row r="3371" spans="1:7" ht="12.75" x14ac:dyDescent="0.2">
      <c r="A3371" s="3"/>
      <c r="B3371" s="4"/>
      <c r="G3371" s="19"/>
    </row>
    <row r="3372" spans="1:7" ht="12.75" x14ac:dyDescent="0.2">
      <c r="A3372" s="3"/>
      <c r="B3372" s="4"/>
      <c r="G3372" s="19"/>
    </row>
    <row r="3373" spans="1:7" ht="12.75" x14ac:dyDescent="0.2">
      <c r="A3373" s="3"/>
      <c r="B3373" s="4"/>
      <c r="G3373" s="19"/>
    </row>
    <row r="3374" spans="1:7" ht="12.75" x14ac:dyDescent="0.2">
      <c r="A3374" s="3"/>
      <c r="B3374" s="4"/>
      <c r="G3374" s="19"/>
    </row>
    <row r="3375" spans="1:7" ht="12.75" x14ac:dyDescent="0.2">
      <c r="A3375" s="3"/>
      <c r="B3375" s="4"/>
      <c r="G3375" s="19"/>
    </row>
    <row r="3376" spans="1:7" ht="12.75" x14ac:dyDescent="0.2">
      <c r="A3376" s="3"/>
      <c r="B3376" s="4"/>
      <c r="G3376" s="19"/>
    </row>
    <row r="3377" spans="1:7" ht="12.75" x14ac:dyDescent="0.2">
      <c r="A3377" s="3"/>
      <c r="B3377" s="4"/>
      <c r="G3377" s="19"/>
    </row>
    <row r="3378" spans="1:7" ht="12.75" x14ac:dyDescent="0.2">
      <c r="A3378" s="3"/>
      <c r="B3378" s="4"/>
      <c r="G3378" s="19"/>
    </row>
    <row r="3379" spans="1:7" ht="12.75" x14ac:dyDescent="0.2">
      <c r="A3379" s="3"/>
      <c r="B3379" s="4"/>
      <c r="G3379" s="19"/>
    </row>
    <row r="3380" spans="1:7" ht="12.75" x14ac:dyDescent="0.2">
      <c r="A3380" s="3"/>
      <c r="B3380" s="4"/>
      <c r="G3380" s="19"/>
    </row>
    <row r="3381" spans="1:7" ht="12.75" x14ac:dyDescent="0.2">
      <c r="A3381" s="3"/>
      <c r="B3381" s="4"/>
      <c r="G3381" s="19"/>
    </row>
    <row r="3382" spans="1:7" ht="12.75" x14ac:dyDescent="0.2">
      <c r="A3382" s="3"/>
      <c r="B3382" s="4"/>
      <c r="G3382" s="19"/>
    </row>
    <row r="3383" spans="1:7" ht="12.75" x14ac:dyDescent="0.2">
      <c r="A3383" s="3"/>
      <c r="B3383" s="4"/>
      <c r="G3383" s="19"/>
    </row>
    <row r="3384" spans="1:7" ht="12.75" x14ac:dyDescent="0.2">
      <c r="A3384" s="3"/>
      <c r="B3384" s="4"/>
      <c r="G3384" s="19"/>
    </row>
    <row r="3385" spans="1:7" ht="12.75" x14ac:dyDescent="0.2">
      <c r="A3385" s="3"/>
      <c r="B3385" s="4"/>
      <c r="G3385" s="19"/>
    </row>
    <row r="3386" spans="1:7" ht="12.75" x14ac:dyDescent="0.2">
      <c r="G3386" s="19"/>
    </row>
    <row r="3387" spans="1:7" ht="12.75" x14ac:dyDescent="0.2">
      <c r="G3387" s="19"/>
    </row>
    <row r="3388" spans="1:7" ht="12.75" x14ac:dyDescent="0.2">
      <c r="G3388" s="19"/>
    </row>
    <row r="3389" spans="1:7" ht="12.75" x14ac:dyDescent="0.2">
      <c r="G3389" s="19"/>
    </row>
    <row r="3390" spans="1:7" ht="12.75" x14ac:dyDescent="0.2">
      <c r="G3390" s="19"/>
    </row>
    <row r="3391" spans="1:7" ht="12.75" x14ac:dyDescent="0.2">
      <c r="G3391" s="19"/>
    </row>
    <row r="3392" spans="1:7" ht="12.75" x14ac:dyDescent="0.2">
      <c r="G3392" s="19"/>
    </row>
    <row r="3393" spans="7:7" ht="12.75" x14ac:dyDescent="0.2">
      <c r="G3393" s="19"/>
    </row>
    <row r="3394" spans="7:7" ht="12.75" x14ac:dyDescent="0.2">
      <c r="G3394" s="19"/>
    </row>
    <row r="3395" spans="7:7" ht="12.75" x14ac:dyDescent="0.2">
      <c r="G3395" s="19"/>
    </row>
    <row r="3396" spans="7:7" ht="12.75" x14ac:dyDescent="0.2">
      <c r="G3396" s="19"/>
    </row>
    <row r="3397" spans="7:7" ht="12.75" x14ac:dyDescent="0.2">
      <c r="G3397" s="19"/>
    </row>
    <row r="3398" spans="7:7" ht="12.75" x14ac:dyDescent="0.2">
      <c r="G3398" s="19"/>
    </row>
    <row r="3399" spans="7:7" ht="12.75" x14ac:dyDescent="0.2">
      <c r="G3399" s="19"/>
    </row>
    <row r="3400" spans="7:7" ht="12.75" x14ac:dyDescent="0.2">
      <c r="G3400" s="19"/>
    </row>
    <row r="3401" spans="7:7" ht="12.75" x14ac:dyDescent="0.2">
      <c r="G3401" s="19"/>
    </row>
    <row r="3402" spans="7:7" ht="12.75" x14ac:dyDescent="0.2">
      <c r="G3402" s="19"/>
    </row>
    <row r="3403" spans="7:7" ht="12.75" x14ac:dyDescent="0.2">
      <c r="G3403" s="19"/>
    </row>
    <row r="3404" spans="7:7" ht="12.75" x14ac:dyDescent="0.2">
      <c r="G3404" s="19"/>
    </row>
    <row r="3405" spans="7:7" ht="12.75" x14ac:dyDescent="0.2">
      <c r="G3405" s="19"/>
    </row>
    <row r="3406" spans="7:7" ht="12.75" x14ac:dyDescent="0.2">
      <c r="G3406" s="19"/>
    </row>
    <row r="3407" spans="7:7" ht="12.75" x14ac:dyDescent="0.2">
      <c r="G3407" s="19"/>
    </row>
    <row r="3408" spans="7:7" ht="12.75" x14ac:dyDescent="0.2">
      <c r="G3408" s="19"/>
    </row>
    <row r="3409" spans="7:7" ht="12.75" x14ac:dyDescent="0.2">
      <c r="G3409" s="19"/>
    </row>
    <row r="3410" spans="7:7" ht="12.75" x14ac:dyDescent="0.2">
      <c r="G3410" s="19"/>
    </row>
    <row r="3411" spans="7:7" ht="12.75" x14ac:dyDescent="0.2">
      <c r="G3411" s="19"/>
    </row>
    <row r="3412" spans="7:7" ht="12.75" x14ac:dyDescent="0.2">
      <c r="G3412" s="19"/>
    </row>
    <row r="3413" spans="7:7" ht="12.75" x14ac:dyDescent="0.2">
      <c r="G3413" s="19"/>
    </row>
    <row r="3414" spans="7:7" ht="12.75" x14ac:dyDescent="0.2">
      <c r="G3414" s="19"/>
    </row>
    <row r="3415" spans="7:7" ht="12.75" x14ac:dyDescent="0.2">
      <c r="G3415" s="19"/>
    </row>
    <row r="3416" spans="7:7" ht="12.75" x14ac:dyDescent="0.2">
      <c r="G3416" s="19"/>
    </row>
    <row r="3417" spans="7:7" ht="12.75" x14ac:dyDescent="0.2">
      <c r="G3417" s="19"/>
    </row>
    <row r="3418" spans="7:7" ht="12.75" x14ac:dyDescent="0.2">
      <c r="G3418" s="19"/>
    </row>
    <row r="3419" spans="7:7" ht="12.75" x14ac:dyDescent="0.2">
      <c r="G3419" s="19"/>
    </row>
    <row r="3420" spans="7:7" ht="12.75" x14ac:dyDescent="0.2">
      <c r="G3420" s="19"/>
    </row>
    <row r="3421" spans="7:7" ht="12.75" x14ac:dyDescent="0.2">
      <c r="G3421" s="19"/>
    </row>
    <row r="3422" spans="7:7" ht="12.75" x14ac:dyDescent="0.2">
      <c r="G3422" s="19"/>
    </row>
    <row r="3423" spans="7:7" ht="12.75" x14ac:dyDescent="0.2">
      <c r="G3423" s="19"/>
    </row>
    <row r="3424" spans="7:7" ht="12.75" x14ac:dyDescent="0.2">
      <c r="G3424" s="19"/>
    </row>
    <row r="3425" spans="7:7" ht="12.75" x14ac:dyDescent="0.2">
      <c r="G3425" s="19"/>
    </row>
    <row r="3426" spans="7:7" ht="12.75" x14ac:dyDescent="0.2">
      <c r="G3426" s="19"/>
    </row>
    <row r="3427" spans="7:7" ht="12.75" x14ac:dyDescent="0.2">
      <c r="G3427" s="19"/>
    </row>
    <row r="3428" spans="7:7" ht="12.75" x14ac:dyDescent="0.2">
      <c r="G3428" s="19"/>
    </row>
    <row r="3429" spans="7:7" ht="12.75" x14ac:dyDescent="0.2">
      <c r="G3429" s="19"/>
    </row>
    <row r="3430" spans="7:7" ht="12.75" x14ac:dyDescent="0.2">
      <c r="G3430" s="19"/>
    </row>
    <row r="3431" spans="7:7" ht="12.75" x14ac:dyDescent="0.2">
      <c r="G3431" s="19"/>
    </row>
    <row r="3432" spans="7:7" ht="12.75" x14ac:dyDescent="0.2">
      <c r="G3432" s="19"/>
    </row>
    <row r="3433" spans="7:7" ht="12.75" x14ac:dyDescent="0.2">
      <c r="G3433" s="19"/>
    </row>
    <row r="3434" spans="7:7" ht="12.75" x14ac:dyDescent="0.2">
      <c r="G3434" s="19"/>
    </row>
    <row r="3435" spans="7:7" ht="12.75" x14ac:dyDescent="0.2">
      <c r="G3435" s="19"/>
    </row>
    <row r="3436" spans="7:7" ht="12.75" x14ac:dyDescent="0.2">
      <c r="G3436" s="19"/>
    </row>
    <row r="3437" spans="7:7" ht="12.75" x14ac:dyDescent="0.2">
      <c r="G3437" s="19"/>
    </row>
    <row r="3438" spans="7:7" ht="12.75" x14ac:dyDescent="0.2">
      <c r="G3438" s="19"/>
    </row>
    <row r="3439" spans="7:7" ht="12.75" x14ac:dyDescent="0.2">
      <c r="G3439" s="19"/>
    </row>
    <row r="3440" spans="7:7" ht="12.75" x14ac:dyDescent="0.2">
      <c r="G3440" s="19"/>
    </row>
    <row r="3441" spans="7:7" ht="12.75" x14ac:dyDescent="0.2">
      <c r="G3441" s="19"/>
    </row>
    <row r="3442" spans="7:7" ht="12.75" x14ac:dyDescent="0.2">
      <c r="G3442" s="19"/>
    </row>
    <row r="3443" spans="7:7" ht="12.75" x14ac:dyDescent="0.2">
      <c r="G3443" s="19"/>
    </row>
    <row r="3444" spans="7:7" ht="12.75" x14ac:dyDescent="0.2">
      <c r="G3444" s="19"/>
    </row>
    <row r="3445" spans="7:7" ht="12.75" x14ac:dyDescent="0.2">
      <c r="G3445" s="19"/>
    </row>
    <row r="3446" spans="7:7" ht="12.75" x14ac:dyDescent="0.2">
      <c r="G3446" s="19"/>
    </row>
    <row r="3447" spans="7:7" ht="12.75" x14ac:dyDescent="0.2">
      <c r="G3447" s="19"/>
    </row>
    <row r="3448" spans="7:7" ht="12.75" x14ac:dyDescent="0.2">
      <c r="G3448" s="19"/>
    </row>
    <row r="3449" spans="7:7" ht="12.75" x14ac:dyDescent="0.2">
      <c r="G3449" s="19"/>
    </row>
    <row r="3450" spans="7:7" ht="12.75" x14ac:dyDescent="0.2">
      <c r="G3450" s="19"/>
    </row>
    <row r="3451" spans="7:7" ht="12.75" x14ac:dyDescent="0.2">
      <c r="G3451" s="19"/>
    </row>
    <row r="3452" spans="7:7" ht="12.75" x14ac:dyDescent="0.2">
      <c r="G3452" s="19"/>
    </row>
    <row r="3453" spans="7:7" ht="12.75" x14ac:dyDescent="0.2">
      <c r="G3453" s="19"/>
    </row>
    <row r="3454" spans="7:7" ht="12.75" x14ac:dyDescent="0.2">
      <c r="G3454" s="19"/>
    </row>
    <row r="3455" spans="7:7" ht="12.75" x14ac:dyDescent="0.2">
      <c r="G3455" s="19"/>
    </row>
    <row r="3456" spans="7:7" ht="12.75" x14ac:dyDescent="0.2">
      <c r="G3456" s="19"/>
    </row>
    <row r="3457" spans="7:7" ht="12.75" x14ac:dyDescent="0.2">
      <c r="G3457" s="19"/>
    </row>
    <row r="3458" spans="7:7" ht="12.75" x14ac:dyDescent="0.2">
      <c r="G3458" s="19"/>
    </row>
    <row r="3459" spans="7:7" ht="12.75" x14ac:dyDescent="0.2">
      <c r="G3459" s="19"/>
    </row>
    <row r="3460" spans="7:7" ht="12.75" x14ac:dyDescent="0.2">
      <c r="G3460" s="19"/>
    </row>
    <row r="3461" spans="7:7" ht="12.75" x14ac:dyDescent="0.2">
      <c r="G3461" s="19"/>
    </row>
    <row r="3462" spans="7:7" ht="12.75" x14ac:dyDescent="0.2">
      <c r="G3462" s="19"/>
    </row>
    <row r="3463" spans="7:7" ht="12.75" x14ac:dyDescent="0.2">
      <c r="G3463" s="19"/>
    </row>
    <row r="3464" spans="7:7" ht="12.75" x14ac:dyDescent="0.2">
      <c r="G3464" s="19"/>
    </row>
    <row r="3465" spans="7:7" ht="12.75" x14ac:dyDescent="0.2">
      <c r="G3465" s="19"/>
    </row>
    <row r="3466" spans="7:7" ht="12.75" x14ac:dyDescent="0.2">
      <c r="G3466" s="19"/>
    </row>
    <row r="3467" spans="7:7" ht="12.75" x14ac:dyDescent="0.2">
      <c r="G3467" s="19"/>
    </row>
    <row r="3468" spans="7:7" ht="12.75" x14ac:dyDescent="0.2">
      <c r="G3468" s="19"/>
    </row>
    <row r="3469" spans="7:7" ht="12.75" x14ac:dyDescent="0.2">
      <c r="G3469" s="19"/>
    </row>
    <row r="3470" spans="7:7" ht="12.75" x14ac:dyDescent="0.2">
      <c r="G3470" s="19"/>
    </row>
    <row r="3471" spans="7:7" ht="12.75" x14ac:dyDescent="0.2">
      <c r="G3471" s="19"/>
    </row>
    <row r="3472" spans="7:7" ht="12.75" x14ac:dyDescent="0.2">
      <c r="G3472" s="19"/>
    </row>
    <row r="3473" spans="7:7" ht="12.75" x14ac:dyDescent="0.2">
      <c r="G3473" s="19"/>
    </row>
    <row r="3474" spans="7:7" ht="12.75" x14ac:dyDescent="0.2">
      <c r="G3474" s="19"/>
    </row>
    <row r="3475" spans="7:7" ht="12.75" x14ac:dyDescent="0.2">
      <c r="G3475" s="19"/>
    </row>
    <row r="3476" spans="7:7" ht="12.75" x14ac:dyDescent="0.2">
      <c r="G3476" s="19"/>
    </row>
    <row r="3477" spans="7:7" ht="12.75" x14ac:dyDescent="0.2">
      <c r="G3477" s="19"/>
    </row>
    <row r="3478" spans="7:7" ht="12.75" x14ac:dyDescent="0.2">
      <c r="G3478" s="19"/>
    </row>
    <row r="3479" spans="7:7" ht="12.75" x14ac:dyDescent="0.2">
      <c r="G3479" s="19"/>
    </row>
    <row r="3480" spans="7:7" ht="12.75" x14ac:dyDescent="0.2">
      <c r="G3480" s="19"/>
    </row>
    <row r="3481" spans="7:7" ht="12.75" x14ac:dyDescent="0.2">
      <c r="G3481" s="19"/>
    </row>
    <row r="3482" spans="7:7" ht="12.75" x14ac:dyDescent="0.2">
      <c r="G3482" s="19"/>
    </row>
    <row r="3483" spans="7:7" ht="12.75" x14ac:dyDescent="0.2">
      <c r="G3483" s="19"/>
    </row>
    <row r="3484" spans="7:7" ht="12.75" x14ac:dyDescent="0.2">
      <c r="G3484" s="19"/>
    </row>
    <row r="3485" spans="7:7" ht="12.75" x14ac:dyDescent="0.2">
      <c r="G3485" s="19"/>
    </row>
    <row r="3486" spans="7:7" ht="12.75" x14ac:dyDescent="0.2">
      <c r="G3486" s="19"/>
    </row>
    <row r="3487" spans="7:7" ht="12.75" x14ac:dyDescent="0.2">
      <c r="G3487" s="19"/>
    </row>
    <row r="3488" spans="7:7" ht="12.75" x14ac:dyDescent="0.2">
      <c r="G3488" s="19"/>
    </row>
    <row r="3489" spans="7:7" ht="12.75" x14ac:dyDescent="0.2">
      <c r="G3489" s="19"/>
    </row>
    <row r="3490" spans="7:7" ht="12.75" x14ac:dyDescent="0.2">
      <c r="G3490" s="19"/>
    </row>
    <row r="3491" spans="7:7" ht="12.75" x14ac:dyDescent="0.2">
      <c r="G3491" s="19"/>
    </row>
    <row r="3492" spans="7:7" ht="12.75" x14ac:dyDescent="0.2">
      <c r="G3492" s="19"/>
    </row>
    <row r="3493" spans="7:7" ht="12.75" x14ac:dyDescent="0.2">
      <c r="G3493" s="19"/>
    </row>
    <row r="3494" spans="7:7" ht="12.75" x14ac:dyDescent="0.2">
      <c r="G3494" s="19"/>
    </row>
    <row r="3495" spans="7:7" ht="12.75" x14ac:dyDescent="0.2">
      <c r="G3495" s="19"/>
    </row>
    <row r="3496" spans="7:7" ht="12.75" x14ac:dyDescent="0.2">
      <c r="G3496" s="19"/>
    </row>
    <row r="3497" spans="7:7" ht="12.75" x14ac:dyDescent="0.2">
      <c r="G3497" s="19"/>
    </row>
    <row r="3498" spans="7:7" ht="12.75" x14ac:dyDescent="0.2">
      <c r="G3498" s="19"/>
    </row>
    <row r="3499" spans="7:7" ht="12.75" x14ac:dyDescent="0.2">
      <c r="G3499" s="19"/>
    </row>
    <row r="3500" spans="7:7" ht="12.75" x14ac:dyDescent="0.2">
      <c r="G3500" s="19"/>
    </row>
    <row r="3501" spans="7:7" ht="12.75" x14ac:dyDescent="0.2">
      <c r="G3501" s="19"/>
    </row>
    <row r="3502" spans="7:7" ht="12.75" x14ac:dyDescent="0.2">
      <c r="G3502" s="19"/>
    </row>
    <row r="3503" spans="7:7" ht="12.75" x14ac:dyDescent="0.2">
      <c r="G3503" s="19"/>
    </row>
    <row r="3504" spans="7:7" ht="12.75" x14ac:dyDescent="0.2">
      <c r="G3504" s="19"/>
    </row>
    <row r="3505" spans="7:7" ht="12.75" x14ac:dyDescent="0.2">
      <c r="G3505" s="19"/>
    </row>
    <row r="3506" spans="7:7" ht="12.75" x14ac:dyDescent="0.2">
      <c r="G3506" s="19"/>
    </row>
    <row r="3507" spans="7:7" ht="12.75" x14ac:dyDescent="0.2">
      <c r="G3507" s="19"/>
    </row>
    <row r="3508" spans="7:7" ht="12.75" x14ac:dyDescent="0.2">
      <c r="G3508" s="19"/>
    </row>
    <row r="3509" spans="7:7" ht="12.75" x14ac:dyDescent="0.2">
      <c r="G3509" s="19"/>
    </row>
    <row r="3510" spans="7:7" ht="12.75" x14ac:dyDescent="0.2">
      <c r="G3510" s="19"/>
    </row>
    <row r="3511" spans="7:7" ht="12.75" x14ac:dyDescent="0.2">
      <c r="G3511" s="19"/>
    </row>
    <row r="3512" spans="7:7" ht="12.75" x14ac:dyDescent="0.2">
      <c r="G3512" s="19"/>
    </row>
    <row r="3513" spans="7:7" ht="12.75" x14ac:dyDescent="0.2">
      <c r="G3513" s="19"/>
    </row>
    <row r="3514" spans="7:7" ht="12.75" x14ac:dyDescent="0.2">
      <c r="G3514" s="19"/>
    </row>
    <row r="3515" spans="7:7" ht="12.75" x14ac:dyDescent="0.2">
      <c r="G3515" s="19"/>
    </row>
    <row r="3516" spans="7:7" ht="12.75" x14ac:dyDescent="0.2">
      <c r="G3516" s="19"/>
    </row>
    <row r="3517" spans="7:7" ht="12.75" x14ac:dyDescent="0.2">
      <c r="G3517" s="19"/>
    </row>
    <row r="3518" spans="7:7" ht="12.75" x14ac:dyDescent="0.2">
      <c r="G3518" s="19"/>
    </row>
    <row r="3519" spans="7:7" ht="12.75" x14ac:dyDescent="0.2">
      <c r="G3519" s="19"/>
    </row>
    <row r="3520" spans="7:7" ht="12.75" x14ac:dyDescent="0.2">
      <c r="G3520" s="19"/>
    </row>
    <row r="3521" spans="7:7" ht="12.75" x14ac:dyDescent="0.2">
      <c r="G3521" s="19"/>
    </row>
    <row r="3522" spans="7:7" ht="12.75" x14ac:dyDescent="0.2">
      <c r="G3522" s="19"/>
    </row>
    <row r="3523" spans="7:7" ht="12.75" x14ac:dyDescent="0.2">
      <c r="G3523" s="19"/>
    </row>
    <row r="3524" spans="7:7" ht="12.75" x14ac:dyDescent="0.2">
      <c r="G3524" s="19"/>
    </row>
    <row r="3525" spans="7:7" ht="12.75" x14ac:dyDescent="0.2">
      <c r="G3525" s="19"/>
    </row>
    <row r="3526" spans="7:7" ht="12.75" x14ac:dyDescent="0.2">
      <c r="G3526" s="19"/>
    </row>
    <row r="3527" spans="7:7" ht="12.75" x14ac:dyDescent="0.2">
      <c r="G3527" s="19"/>
    </row>
    <row r="3528" spans="7:7" ht="12.75" x14ac:dyDescent="0.2">
      <c r="G3528" s="19"/>
    </row>
    <row r="3529" spans="7:7" ht="12.75" x14ac:dyDescent="0.2">
      <c r="G3529" s="19"/>
    </row>
    <row r="3530" spans="7:7" ht="12.75" x14ac:dyDescent="0.2">
      <c r="G3530" s="19"/>
    </row>
    <row r="3531" spans="7:7" ht="12.75" x14ac:dyDescent="0.2">
      <c r="G3531" s="19"/>
    </row>
    <row r="3532" spans="7:7" ht="12.75" x14ac:dyDescent="0.2">
      <c r="G3532" s="19"/>
    </row>
    <row r="3533" spans="7:7" ht="12.75" x14ac:dyDescent="0.2">
      <c r="G3533" s="19"/>
    </row>
    <row r="3534" spans="7:7" ht="12.75" x14ac:dyDescent="0.2">
      <c r="G3534" s="19"/>
    </row>
    <row r="3535" spans="7:7" ht="12.75" x14ac:dyDescent="0.2">
      <c r="G3535" s="19"/>
    </row>
    <row r="3536" spans="7:7" ht="12.75" x14ac:dyDescent="0.2">
      <c r="G3536" s="19"/>
    </row>
    <row r="3537" spans="7:7" ht="12.75" x14ac:dyDescent="0.2">
      <c r="G3537" s="19"/>
    </row>
    <row r="3538" spans="7:7" ht="12.75" x14ac:dyDescent="0.2">
      <c r="G3538" s="19"/>
    </row>
    <row r="3539" spans="7:7" ht="12.75" x14ac:dyDescent="0.2">
      <c r="G3539" s="19"/>
    </row>
    <row r="3540" spans="7:7" ht="12.75" x14ac:dyDescent="0.2">
      <c r="G3540" s="19"/>
    </row>
    <row r="3541" spans="7:7" ht="12.75" x14ac:dyDescent="0.2">
      <c r="G3541" s="19"/>
    </row>
    <row r="3542" spans="7:7" ht="12.75" x14ac:dyDescent="0.2">
      <c r="G3542" s="19"/>
    </row>
    <row r="3543" spans="7:7" ht="12.75" x14ac:dyDescent="0.2">
      <c r="G3543" s="19"/>
    </row>
    <row r="3544" spans="7:7" ht="12.75" x14ac:dyDescent="0.2">
      <c r="G3544" s="19"/>
    </row>
    <row r="3545" spans="7:7" ht="12.75" x14ac:dyDescent="0.2">
      <c r="G3545" s="19"/>
    </row>
    <row r="3546" spans="7:7" ht="12.75" x14ac:dyDescent="0.2">
      <c r="G3546" s="19"/>
    </row>
    <row r="3547" spans="7:7" ht="12.75" x14ac:dyDescent="0.2">
      <c r="G3547" s="19"/>
    </row>
    <row r="3548" spans="7:7" ht="12.75" x14ac:dyDescent="0.2">
      <c r="G3548" s="19"/>
    </row>
    <row r="3549" spans="7:7" ht="12.75" x14ac:dyDescent="0.2">
      <c r="G3549" s="19"/>
    </row>
    <row r="3550" spans="7:7" ht="12.75" x14ac:dyDescent="0.2">
      <c r="G3550" s="19"/>
    </row>
    <row r="3551" spans="7:7" ht="12.75" x14ac:dyDescent="0.2">
      <c r="G3551" s="19"/>
    </row>
    <row r="3552" spans="7:7" ht="12.75" x14ac:dyDescent="0.2">
      <c r="G3552" s="19"/>
    </row>
    <row r="3553" spans="7:7" ht="12.75" x14ac:dyDescent="0.2">
      <c r="G3553" s="19"/>
    </row>
    <row r="3554" spans="7:7" ht="12.75" x14ac:dyDescent="0.2">
      <c r="G3554" s="19"/>
    </row>
    <row r="3555" spans="7:7" ht="12.75" x14ac:dyDescent="0.2">
      <c r="G3555" s="19"/>
    </row>
    <row r="3556" spans="7:7" ht="12.75" x14ac:dyDescent="0.2">
      <c r="G3556" s="19"/>
    </row>
    <row r="3557" spans="7:7" ht="12.75" x14ac:dyDescent="0.2">
      <c r="G3557" s="19"/>
    </row>
    <row r="3558" spans="7:7" ht="12.75" x14ac:dyDescent="0.2">
      <c r="G3558" s="19"/>
    </row>
    <row r="3559" spans="7:7" ht="12.75" x14ac:dyDescent="0.2">
      <c r="G3559" s="19"/>
    </row>
    <row r="3560" spans="7:7" ht="12.75" x14ac:dyDescent="0.2">
      <c r="G3560" s="19"/>
    </row>
    <row r="3561" spans="7:7" ht="12.75" x14ac:dyDescent="0.2">
      <c r="G3561" s="19"/>
    </row>
    <row r="3562" spans="7:7" ht="12.75" x14ac:dyDescent="0.2">
      <c r="G3562" s="19"/>
    </row>
    <row r="3563" spans="7:7" ht="12.75" x14ac:dyDescent="0.2">
      <c r="G3563" s="19"/>
    </row>
    <row r="3564" spans="7:7" ht="12.75" x14ac:dyDescent="0.2">
      <c r="G3564" s="19"/>
    </row>
    <row r="3565" spans="7:7" ht="12.75" x14ac:dyDescent="0.2">
      <c r="G3565" s="19"/>
    </row>
    <row r="3566" spans="7:7" ht="12.75" x14ac:dyDescent="0.2">
      <c r="G3566" s="19"/>
    </row>
    <row r="3567" spans="7:7" ht="12.75" x14ac:dyDescent="0.2">
      <c r="G3567" s="19"/>
    </row>
    <row r="3568" spans="7:7" ht="12.75" x14ac:dyDescent="0.2">
      <c r="G3568" s="19"/>
    </row>
    <row r="3569" spans="7:7" ht="12.75" x14ac:dyDescent="0.2">
      <c r="G3569" s="19"/>
    </row>
    <row r="3570" spans="7:7" ht="12.75" x14ac:dyDescent="0.2">
      <c r="G3570" s="19"/>
    </row>
    <row r="3571" spans="7:7" ht="12.75" x14ac:dyDescent="0.2">
      <c r="G3571" s="19"/>
    </row>
    <row r="3572" spans="7:7" ht="12.75" x14ac:dyDescent="0.2">
      <c r="G3572" s="19"/>
    </row>
    <row r="3573" spans="7:7" ht="12.75" x14ac:dyDescent="0.2">
      <c r="G3573" s="19"/>
    </row>
    <row r="3574" spans="7:7" ht="12.75" x14ac:dyDescent="0.2">
      <c r="G3574" s="19"/>
    </row>
    <row r="3575" spans="7:7" ht="12.75" x14ac:dyDescent="0.2">
      <c r="G3575" s="19"/>
    </row>
    <row r="3576" spans="7:7" ht="12.75" x14ac:dyDescent="0.2">
      <c r="G3576" s="19"/>
    </row>
    <row r="3577" spans="7:7" ht="12.75" x14ac:dyDescent="0.2">
      <c r="G3577" s="19"/>
    </row>
    <row r="3578" spans="7:7" ht="12.75" x14ac:dyDescent="0.2">
      <c r="G3578" s="19"/>
    </row>
    <row r="3579" spans="7:7" ht="12.75" x14ac:dyDescent="0.2">
      <c r="G3579" s="19"/>
    </row>
    <row r="3580" spans="7:7" ht="12.75" x14ac:dyDescent="0.2">
      <c r="G3580" s="19"/>
    </row>
    <row r="3581" spans="7:7" ht="12.75" x14ac:dyDescent="0.2">
      <c r="G3581" s="19"/>
    </row>
    <row r="3582" spans="7:7" ht="12.75" x14ac:dyDescent="0.2">
      <c r="G3582" s="19"/>
    </row>
    <row r="3583" spans="7:7" ht="12.75" x14ac:dyDescent="0.2">
      <c r="G3583" s="19"/>
    </row>
    <row r="3584" spans="7:7" ht="12.75" x14ac:dyDescent="0.2">
      <c r="G3584" s="19"/>
    </row>
    <row r="3585" spans="7:7" ht="12.75" x14ac:dyDescent="0.2">
      <c r="G3585" s="19"/>
    </row>
    <row r="3586" spans="7:7" ht="12.75" x14ac:dyDescent="0.2">
      <c r="G3586" s="19"/>
    </row>
    <row r="3587" spans="7:7" ht="12.75" x14ac:dyDescent="0.2">
      <c r="G3587" s="19"/>
    </row>
    <row r="3588" spans="7:7" ht="12.75" x14ac:dyDescent="0.2">
      <c r="G3588" s="19"/>
    </row>
    <row r="3589" spans="7:7" ht="12.75" x14ac:dyDescent="0.2">
      <c r="G3589" s="19"/>
    </row>
    <row r="3590" spans="7:7" ht="12.75" x14ac:dyDescent="0.2">
      <c r="G3590" s="19"/>
    </row>
    <row r="3591" spans="7:7" ht="12.75" x14ac:dyDescent="0.2">
      <c r="G3591" s="19"/>
    </row>
    <row r="3592" spans="7:7" ht="12.75" x14ac:dyDescent="0.2">
      <c r="G3592" s="19"/>
    </row>
    <row r="3593" spans="7:7" ht="12.75" x14ac:dyDescent="0.2">
      <c r="G3593" s="19"/>
    </row>
    <row r="3594" spans="7:7" ht="12.75" x14ac:dyDescent="0.2">
      <c r="G3594" s="19"/>
    </row>
    <row r="3595" spans="7:7" ht="12.75" x14ac:dyDescent="0.2">
      <c r="G3595" s="19"/>
    </row>
    <row r="3596" spans="7:7" ht="12.75" x14ac:dyDescent="0.2">
      <c r="G3596" s="19"/>
    </row>
    <row r="3597" spans="7:7" ht="12.75" x14ac:dyDescent="0.2">
      <c r="G3597" s="19"/>
    </row>
    <row r="3598" spans="7:7" ht="12.75" x14ac:dyDescent="0.2">
      <c r="G3598" s="19"/>
    </row>
    <row r="3599" spans="7:7" ht="12.75" x14ac:dyDescent="0.2">
      <c r="G3599" s="19"/>
    </row>
    <row r="3600" spans="7:7" ht="12.75" x14ac:dyDescent="0.2">
      <c r="G3600" s="19"/>
    </row>
    <row r="3601" spans="7:7" ht="12.75" x14ac:dyDescent="0.2">
      <c r="G3601" s="19"/>
    </row>
    <row r="3602" spans="7:7" ht="12.75" x14ac:dyDescent="0.2">
      <c r="G3602" s="19"/>
    </row>
    <row r="3603" spans="7:7" ht="12.75" x14ac:dyDescent="0.2">
      <c r="G3603" s="19"/>
    </row>
    <row r="3604" spans="7:7" ht="12.75" x14ac:dyDescent="0.2">
      <c r="G3604" s="19"/>
    </row>
    <row r="3605" spans="7:7" ht="12.75" x14ac:dyDescent="0.2">
      <c r="G3605" s="19"/>
    </row>
    <row r="3606" spans="7:7" ht="12.75" x14ac:dyDescent="0.2">
      <c r="G3606" s="19"/>
    </row>
    <row r="3607" spans="7:7" ht="12.75" x14ac:dyDescent="0.2">
      <c r="G3607" s="19"/>
    </row>
    <row r="3608" spans="7:7" ht="12.75" x14ac:dyDescent="0.2">
      <c r="G3608" s="19"/>
    </row>
    <row r="3609" spans="7:7" ht="12.75" x14ac:dyDescent="0.2">
      <c r="G3609" s="19"/>
    </row>
    <row r="3610" spans="7:7" ht="12.75" x14ac:dyDescent="0.2">
      <c r="G3610" s="19"/>
    </row>
    <row r="3611" spans="7:7" ht="12.75" x14ac:dyDescent="0.2">
      <c r="G3611" s="19"/>
    </row>
    <row r="3612" spans="7:7" ht="12.75" x14ac:dyDescent="0.2">
      <c r="G3612" s="19"/>
    </row>
    <row r="3613" spans="7:7" ht="12.75" x14ac:dyDescent="0.2">
      <c r="G3613" s="19"/>
    </row>
    <row r="3614" spans="7:7" ht="12.75" x14ac:dyDescent="0.2">
      <c r="G3614" s="19"/>
    </row>
    <row r="3615" spans="7:7" ht="12.75" x14ac:dyDescent="0.2">
      <c r="G3615" s="19"/>
    </row>
    <row r="3616" spans="7:7" ht="12.75" x14ac:dyDescent="0.2">
      <c r="G3616" s="19"/>
    </row>
    <row r="3617" spans="7:7" ht="12.75" x14ac:dyDescent="0.2">
      <c r="G3617" s="19"/>
    </row>
    <row r="3618" spans="7:7" ht="12.75" x14ac:dyDescent="0.2">
      <c r="G3618" s="19"/>
    </row>
    <row r="3619" spans="7:7" ht="12.75" x14ac:dyDescent="0.2">
      <c r="G3619" s="19"/>
    </row>
    <row r="3620" spans="7:7" ht="12.75" x14ac:dyDescent="0.2">
      <c r="G3620" s="19"/>
    </row>
    <row r="3621" spans="7:7" ht="12.75" x14ac:dyDescent="0.2">
      <c r="G3621" s="19"/>
    </row>
    <row r="3622" spans="7:7" ht="12.75" x14ac:dyDescent="0.2">
      <c r="G3622" s="19"/>
    </row>
    <row r="3623" spans="7:7" ht="12.75" x14ac:dyDescent="0.2">
      <c r="G3623" s="19"/>
    </row>
    <row r="3624" spans="7:7" ht="12.75" x14ac:dyDescent="0.2">
      <c r="G3624" s="19"/>
    </row>
    <row r="3625" spans="7:7" ht="12.75" x14ac:dyDescent="0.2">
      <c r="G3625" s="19"/>
    </row>
    <row r="3626" spans="7:7" ht="12.75" x14ac:dyDescent="0.2">
      <c r="G3626" s="19"/>
    </row>
    <row r="3627" spans="7:7" ht="12.75" x14ac:dyDescent="0.2">
      <c r="G3627" s="19"/>
    </row>
    <row r="3628" spans="7:7" ht="12.75" x14ac:dyDescent="0.2">
      <c r="G3628" s="19"/>
    </row>
    <row r="3629" spans="7:7" ht="12.75" x14ac:dyDescent="0.2">
      <c r="G3629" s="19"/>
    </row>
    <row r="3630" spans="7:7" ht="12.75" x14ac:dyDescent="0.2">
      <c r="G3630" s="19"/>
    </row>
    <row r="3631" spans="7:7" ht="12.75" x14ac:dyDescent="0.2">
      <c r="G3631" s="19"/>
    </row>
    <row r="3632" spans="7:7" ht="12.75" x14ac:dyDescent="0.2">
      <c r="G3632" s="19"/>
    </row>
    <row r="3633" spans="7:7" ht="12.75" x14ac:dyDescent="0.2">
      <c r="G3633" s="19"/>
    </row>
    <row r="3634" spans="7:7" ht="12.75" x14ac:dyDescent="0.2">
      <c r="G3634" s="19"/>
    </row>
    <row r="3635" spans="7:7" ht="12.75" x14ac:dyDescent="0.2">
      <c r="G3635" s="19"/>
    </row>
    <row r="3636" spans="7:7" ht="12.75" x14ac:dyDescent="0.2">
      <c r="G3636" s="19"/>
    </row>
    <row r="3637" spans="7:7" ht="12.75" x14ac:dyDescent="0.2">
      <c r="G3637" s="19"/>
    </row>
    <row r="3638" spans="7:7" ht="12.75" x14ac:dyDescent="0.2">
      <c r="G3638" s="19"/>
    </row>
    <row r="3639" spans="7:7" ht="12.75" x14ac:dyDescent="0.2">
      <c r="G3639" s="19"/>
    </row>
    <row r="3640" spans="7:7" ht="12.75" x14ac:dyDescent="0.2">
      <c r="G3640" s="19"/>
    </row>
    <row r="3641" spans="7:7" ht="12.75" x14ac:dyDescent="0.2">
      <c r="G3641" s="19"/>
    </row>
    <row r="3642" spans="7:7" ht="12.75" x14ac:dyDescent="0.2">
      <c r="G3642" s="19"/>
    </row>
    <row r="3643" spans="7:7" ht="12.75" x14ac:dyDescent="0.2">
      <c r="G3643" s="19"/>
    </row>
    <row r="3644" spans="7:7" ht="12.75" x14ac:dyDescent="0.2">
      <c r="G3644" s="19"/>
    </row>
    <row r="3645" spans="7:7" ht="12.75" x14ac:dyDescent="0.2">
      <c r="G3645" s="19"/>
    </row>
    <row r="3646" spans="7:7" ht="12.75" x14ac:dyDescent="0.2">
      <c r="G3646" s="19"/>
    </row>
    <row r="3647" spans="7:7" ht="12.75" x14ac:dyDescent="0.2">
      <c r="G3647" s="19"/>
    </row>
    <row r="3648" spans="7:7" ht="12.75" x14ac:dyDescent="0.2">
      <c r="G3648" s="19"/>
    </row>
    <row r="3649" spans="7:7" ht="12.75" x14ac:dyDescent="0.2">
      <c r="G3649" s="19"/>
    </row>
    <row r="3650" spans="7:7" ht="12.75" x14ac:dyDescent="0.2">
      <c r="G3650" s="19"/>
    </row>
    <row r="3651" spans="7:7" ht="12.75" x14ac:dyDescent="0.2">
      <c r="G3651" s="19"/>
    </row>
    <row r="3652" spans="7:7" ht="12.75" x14ac:dyDescent="0.2">
      <c r="G3652" s="19"/>
    </row>
    <row r="3653" spans="7:7" ht="12.75" x14ac:dyDescent="0.2">
      <c r="G3653" s="19"/>
    </row>
    <row r="3654" spans="7:7" ht="12.75" x14ac:dyDescent="0.2">
      <c r="G3654" s="19"/>
    </row>
    <row r="3655" spans="7:7" ht="12.75" x14ac:dyDescent="0.2">
      <c r="G3655" s="19"/>
    </row>
    <row r="3656" spans="7:7" ht="12.75" x14ac:dyDescent="0.2">
      <c r="G3656" s="19"/>
    </row>
    <row r="3657" spans="7:7" ht="12.75" x14ac:dyDescent="0.2">
      <c r="G3657" s="19"/>
    </row>
    <row r="3658" spans="7:7" ht="12.75" x14ac:dyDescent="0.2">
      <c r="G3658" s="19"/>
    </row>
    <row r="3659" spans="7:7" ht="12.75" x14ac:dyDescent="0.2">
      <c r="G3659" s="19"/>
    </row>
    <row r="3660" spans="7:7" ht="12.75" x14ac:dyDescent="0.2">
      <c r="G3660" s="19"/>
    </row>
    <row r="3661" spans="7:7" ht="12.75" x14ac:dyDescent="0.2">
      <c r="G3661" s="19"/>
    </row>
    <row r="3662" spans="7:7" ht="12.75" x14ac:dyDescent="0.2">
      <c r="G3662" s="19"/>
    </row>
    <row r="3663" spans="7:7" ht="12.75" x14ac:dyDescent="0.2">
      <c r="G3663" s="19"/>
    </row>
    <row r="3664" spans="7:7" ht="12.75" x14ac:dyDescent="0.2">
      <c r="G3664" s="19"/>
    </row>
    <row r="3665" spans="7:7" ht="12.75" x14ac:dyDescent="0.2">
      <c r="G3665" s="19"/>
    </row>
    <row r="3666" spans="7:7" ht="12.75" x14ac:dyDescent="0.2">
      <c r="G3666" s="19"/>
    </row>
    <row r="3667" spans="7:7" ht="12.75" x14ac:dyDescent="0.2">
      <c r="G3667" s="19"/>
    </row>
    <row r="3668" spans="7:7" ht="12.75" x14ac:dyDescent="0.2">
      <c r="G3668" s="19"/>
    </row>
    <row r="3669" spans="7:7" ht="12.75" x14ac:dyDescent="0.2">
      <c r="G3669" s="19"/>
    </row>
    <row r="3670" spans="7:7" ht="12.75" x14ac:dyDescent="0.2">
      <c r="G3670" s="19"/>
    </row>
    <row r="3671" spans="7:7" ht="12.75" x14ac:dyDescent="0.2">
      <c r="G3671" s="19"/>
    </row>
    <row r="3672" spans="7:7" ht="12.75" x14ac:dyDescent="0.2">
      <c r="G3672" s="19"/>
    </row>
    <row r="3673" spans="7:7" ht="12.75" x14ac:dyDescent="0.2">
      <c r="G3673" s="19"/>
    </row>
    <row r="3674" spans="7:7" ht="12.75" x14ac:dyDescent="0.2">
      <c r="G3674" s="19"/>
    </row>
    <row r="3675" spans="7:7" ht="12.75" x14ac:dyDescent="0.2">
      <c r="G3675" s="19"/>
    </row>
    <row r="3676" spans="7:7" ht="12.75" x14ac:dyDescent="0.2">
      <c r="G3676" s="19"/>
    </row>
    <row r="3677" spans="7:7" ht="12.75" x14ac:dyDescent="0.2">
      <c r="G3677" s="19"/>
    </row>
    <row r="3678" spans="7:7" ht="12.75" x14ac:dyDescent="0.2">
      <c r="G3678" s="19"/>
    </row>
    <row r="3679" spans="7:7" ht="12.75" x14ac:dyDescent="0.2">
      <c r="G3679" s="19"/>
    </row>
    <row r="3680" spans="7:7" ht="12.75" x14ac:dyDescent="0.2">
      <c r="G3680" s="19"/>
    </row>
    <row r="3681" spans="7:7" ht="12.75" x14ac:dyDescent="0.2">
      <c r="G3681" s="19"/>
    </row>
    <row r="3682" spans="7:7" ht="12.75" x14ac:dyDescent="0.2">
      <c r="G3682" s="19"/>
    </row>
    <row r="3683" spans="7:7" ht="12.75" x14ac:dyDescent="0.2">
      <c r="G3683" s="19"/>
    </row>
    <row r="3684" spans="7:7" ht="12.75" x14ac:dyDescent="0.2">
      <c r="G3684" s="19"/>
    </row>
    <row r="3685" spans="7:7" ht="12.75" x14ac:dyDescent="0.2">
      <c r="G3685" s="19"/>
    </row>
    <row r="3686" spans="7:7" ht="12.75" x14ac:dyDescent="0.2">
      <c r="G3686" s="19"/>
    </row>
    <row r="3687" spans="7:7" ht="12.75" x14ac:dyDescent="0.2">
      <c r="G3687" s="19"/>
    </row>
    <row r="3688" spans="7:7" ht="12.75" x14ac:dyDescent="0.2">
      <c r="G3688" s="19"/>
    </row>
    <row r="3689" spans="7:7" ht="12.75" x14ac:dyDescent="0.2">
      <c r="G3689" s="19"/>
    </row>
    <row r="3690" spans="7:7" ht="12.75" x14ac:dyDescent="0.2">
      <c r="G3690" s="19"/>
    </row>
    <row r="3691" spans="7:7" ht="12.75" x14ac:dyDescent="0.2">
      <c r="G3691" s="19"/>
    </row>
    <row r="3692" spans="7:7" ht="12.75" x14ac:dyDescent="0.2">
      <c r="G3692" s="19"/>
    </row>
    <row r="3693" spans="7:7" ht="12.75" x14ac:dyDescent="0.2">
      <c r="G3693" s="19"/>
    </row>
    <row r="3694" spans="7:7" ht="12.75" x14ac:dyDescent="0.2">
      <c r="G3694" s="19"/>
    </row>
    <row r="3695" spans="7:7" ht="12.75" x14ac:dyDescent="0.2">
      <c r="G3695" s="19"/>
    </row>
    <row r="3696" spans="7:7" ht="12.75" x14ac:dyDescent="0.2">
      <c r="G3696" s="19"/>
    </row>
    <row r="3697" spans="7:7" ht="12.75" x14ac:dyDescent="0.2">
      <c r="G3697" s="19"/>
    </row>
    <row r="3698" spans="7:7" ht="12.75" x14ac:dyDescent="0.2">
      <c r="G3698" s="19"/>
    </row>
    <row r="3699" spans="7:7" ht="12.75" x14ac:dyDescent="0.2">
      <c r="G3699" s="19"/>
    </row>
    <row r="3700" spans="7:7" ht="12.75" x14ac:dyDescent="0.2">
      <c r="G3700" s="19"/>
    </row>
    <row r="3701" spans="7:7" ht="12.75" x14ac:dyDescent="0.2">
      <c r="G3701" s="19"/>
    </row>
    <row r="3702" spans="7:7" ht="12.75" x14ac:dyDescent="0.2">
      <c r="G3702" s="19"/>
    </row>
    <row r="3703" spans="7:7" ht="12.75" x14ac:dyDescent="0.2">
      <c r="G3703" s="19"/>
    </row>
    <row r="3704" spans="7:7" ht="12.75" x14ac:dyDescent="0.2">
      <c r="G3704" s="19"/>
    </row>
    <row r="3705" spans="7:7" ht="12.75" x14ac:dyDescent="0.2">
      <c r="G3705" s="19"/>
    </row>
    <row r="3706" spans="7:7" ht="12.75" x14ac:dyDescent="0.2">
      <c r="G3706" s="19"/>
    </row>
    <row r="3707" spans="7:7" ht="12.75" x14ac:dyDescent="0.2">
      <c r="G3707" s="19"/>
    </row>
    <row r="3708" spans="7:7" ht="12.75" x14ac:dyDescent="0.2">
      <c r="G3708" s="19"/>
    </row>
    <row r="3709" spans="7:7" ht="12.75" x14ac:dyDescent="0.2">
      <c r="G3709" s="19"/>
    </row>
    <row r="3710" spans="7:7" ht="12.75" x14ac:dyDescent="0.2">
      <c r="G3710" s="19"/>
    </row>
    <row r="3711" spans="7:7" ht="12.75" x14ac:dyDescent="0.2">
      <c r="G3711" s="19"/>
    </row>
    <row r="3712" spans="7:7" ht="12.75" x14ac:dyDescent="0.2">
      <c r="G3712" s="19"/>
    </row>
    <row r="3713" spans="7:7" ht="12.75" x14ac:dyDescent="0.2">
      <c r="G3713" s="19"/>
    </row>
    <row r="3714" spans="7:7" ht="12.75" x14ac:dyDescent="0.2">
      <c r="G3714" s="19"/>
    </row>
    <row r="3715" spans="7:7" ht="12.75" x14ac:dyDescent="0.2">
      <c r="G3715" s="19"/>
    </row>
    <row r="3716" spans="7:7" ht="12.75" x14ac:dyDescent="0.2">
      <c r="G3716" s="19"/>
    </row>
    <row r="3717" spans="7:7" ht="12.75" x14ac:dyDescent="0.2">
      <c r="G3717" s="19"/>
    </row>
    <row r="3718" spans="7:7" ht="12.75" x14ac:dyDescent="0.2">
      <c r="G3718" s="19"/>
    </row>
    <row r="3719" spans="7:7" ht="12.75" x14ac:dyDescent="0.2">
      <c r="G3719" s="19"/>
    </row>
    <row r="3720" spans="7:7" ht="12.75" x14ac:dyDescent="0.2">
      <c r="G3720" s="19"/>
    </row>
    <row r="3721" spans="7:7" ht="12.75" x14ac:dyDescent="0.2">
      <c r="G3721" s="19"/>
    </row>
    <row r="3722" spans="7:7" ht="12.75" x14ac:dyDescent="0.2">
      <c r="G3722" s="19"/>
    </row>
    <row r="3723" spans="7:7" ht="12.75" x14ac:dyDescent="0.2">
      <c r="G3723" s="19"/>
    </row>
    <row r="3724" spans="7:7" ht="12.75" x14ac:dyDescent="0.2">
      <c r="G3724" s="19"/>
    </row>
    <row r="3725" spans="7:7" ht="12.75" x14ac:dyDescent="0.2">
      <c r="G3725" s="19"/>
    </row>
    <row r="3726" spans="7:7" ht="12.75" x14ac:dyDescent="0.2">
      <c r="G3726" s="19"/>
    </row>
    <row r="3727" spans="7:7" ht="12.75" x14ac:dyDescent="0.2">
      <c r="G3727" s="19"/>
    </row>
    <row r="3728" spans="7:7" ht="12.75" x14ac:dyDescent="0.2">
      <c r="G3728" s="19"/>
    </row>
    <row r="3729" spans="7:7" ht="12.75" x14ac:dyDescent="0.2">
      <c r="G3729" s="19"/>
    </row>
    <row r="3730" spans="7:7" ht="12.75" x14ac:dyDescent="0.2">
      <c r="G3730" s="19"/>
    </row>
    <row r="3731" spans="7:7" ht="12.75" x14ac:dyDescent="0.2">
      <c r="G3731" s="19"/>
    </row>
    <row r="3732" spans="7:7" ht="12.75" x14ac:dyDescent="0.2">
      <c r="G3732" s="19"/>
    </row>
    <row r="3733" spans="7:7" ht="12.75" x14ac:dyDescent="0.2">
      <c r="G3733" s="19"/>
    </row>
    <row r="3734" spans="7:7" ht="12.75" x14ac:dyDescent="0.2">
      <c r="G3734" s="19"/>
    </row>
    <row r="3735" spans="7:7" ht="12.75" x14ac:dyDescent="0.2">
      <c r="G3735" s="19"/>
    </row>
    <row r="3736" spans="7:7" ht="12.75" x14ac:dyDescent="0.2">
      <c r="G3736" s="19"/>
    </row>
    <row r="3737" spans="7:7" ht="12.75" x14ac:dyDescent="0.2">
      <c r="G3737" s="19"/>
    </row>
    <row r="3738" spans="7:7" ht="12.75" x14ac:dyDescent="0.2">
      <c r="G3738" s="19"/>
    </row>
    <row r="3739" spans="7:7" ht="12.75" x14ac:dyDescent="0.2">
      <c r="G3739" s="19"/>
    </row>
    <row r="3740" spans="7:7" ht="12.75" x14ac:dyDescent="0.2">
      <c r="G3740" s="19"/>
    </row>
    <row r="3741" spans="7:7" ht="12.75" x14ac:dyDescent="0.2">
      <c r="G3741" s="19"/>
    </row>
    <row r="3742" spans="7:7" ht="12.75" x14ac:dyDescent="0.2">
      <c r="G3742" s="19"/>
    </row>
    <row r="3743" spans="7:7" ht="12.75" x14ac:dyDescent="0.2">
      <c r="G3743" s="19"/>
    </row>
    <row r="3744" spans="7:7" ht="12.75" x14ac:dyDescent="0.2">
      <c r="G3744" s="19"/>
    </row>
    <row r="3745" spans="7:7" ht="12.75" x14ac:dyDescent="0.2">
      <c r="G3745" s="19"/>
    </row>
    <row r="3746" spans="7:7" ht="12.75" x14ac:dyDescent="0.2">
      <c r="G3746" s="19"/>
    </row>
    <row r="3747" spans="7:7" ht="12.75" x14ac:dyDescent="0.2">
      <c r="G3747" s="19"/>
    </row>
    <row r="3748" spans="7:7" ht="12.75" x14ac:dyDescent="0.2">
      <c r="G3748" s="19"/>
    </row>
    <row r="3749" spans="7:7" ht="12.75" x14ac:dyDescent="0.2">
      <c r="G3749" s="19"/>
    </row>
    <row r="3750" spans="7:7" ht="12.75" x14ac:dyDescent="0.2">
      <c r="G3750" s="19"/>
    </row>
    <row r="3751" spans="7:7" ht="12.75" x14ac:dyDescent="0.2">
      <c r="G3751" s="19"/>
    </row>
    <row r="3752" spans="7:7" ht="12.75" x14ac:dyDescent="0.2">
      <c r="G3752" s="19"/>
    </row>
    <row r="3753" spans="7:7" ht="12.75" x14ac:dyDescent="0.2">
      <c r="G3753" s="19"/>
    </row>
    <row r="3754" spans="7:7" ht="12.75" x14ac:dyDescent="0.2">
      <c r="G3754" s="19"/>
    </row>
    <row r="3755" spans="7:7" ht="12.75" x14ac:dyDescent="0.2">
      <c r="G3755" s="19"/>
    </row>
    <row r="3756" spans="7:7" ht="12.75" x14ac:dyDescent="0.2">
      <c r="G3756" s="19"/>
    </row>
    <row r="3757" spans="7:7" ht="12.75" x14ac:dyDescent="0.2">
      <c r="G3757" s="19"/>
    </row>
    <row r="3758" spans="7:7" ht="12.75" x14ac:dyDescent="0.2">
      <c r="G3758" s="19"/>
    </row>
    <row r="3759" spans="7:7" ht="12.75" x14ac:dyDescent="0.2">
      <c r="G3759" s="19"/>
    </row>
    <row r="3760" spans="7:7" ht="12.75" x14ac:dyDescent="0.2">
      <c r="G3760" s="19"/>
    </row>
    <row r="3761" spans="7:7" ht="12.75" x14ac:dyDescent="0.2">
      <c r="G3761" s="19"/>
    </row>
    <row r="3762" spans="7:7" ht="12.75" x14ac:dyDescent="0.2">
      <c r="G3762" s="19"/>
    </row>
    <row r="3763" spans="7:7" ht="12.75" x14ac:dyDescent="0.2">
      <c r="G3763" s="19"/>
    </row>
    <row r="3764" spans="7:7" ht="12.75" x14ac:dyDescent="0.2">
      <c r="G3764" s="19"/>
    </row>
    <row r="3765" spans="7:7" ht="12.75" x14ac:dyDescent="0.2">
      <c r="G3765" s="19"/>
    </row>
    <row r="3766" spans="7:7" ht="12.75" x14ac:dyDescent="0.2">
      <c r="G3766" s="19"/>
    </row>
    <row r="3767" spans="7:7" ht="12.75" x14ac:dyDescent="0.2">
      <c r="G3767" s="19"/>
    </row>
    <row r="3768" spans="7:7" ht="12.75" x14ac:dyDescent="0.2">
      <c r="G3768" s="19"/>
    </row>
    <row r="3769" spans="7:7" ht="12.75" x14ac:dyDescent="0.2">
      <c r="G3769" s="19"/>
    </row>
    <row r="3770" spans="7:7" ht="12.75" x14ac:dyDescent="0.2">
      <c r="G3770" s="19"/>
    </row>
    <row r="3771" spans="7:7" ht="12.75" x14ac:dyDescent="0.2">
      <c r="G3771" s="19"/>
    </row>
    <row r="3772" spans="7:7" ht="12.75" x14ac:dyDescent="0.2">
      <c r="G3772" s="19"/>
    </row>
    <row r="3773" spans="7:7" ht="12.75" x14ac:dyDescent="0.2">
      <c r="G3773" s="19"/>
    </row>
    <row r="3774" spans="7:7" ht="12.75" x14ac:dyDescent="0.2">
      <c r="G3774" s="19"/>
    </row>
    <row r="3775" spans="7:7" ht="12.75" x14ac:dyDescent="0.2">
      <c r="G3775" s="19"/>
    </row>
    <row r="3776" spans="7:7" ht="12.75" x14ac:dyDescent="0.2">
      <c r="G3776" s="19"/>
    </row>
    <row r="3777" spans="7:7" ht="12.75" x14ac:dyDescent="0.2">
      <c r="G3777" s="19"/>
    </row>
    <row r="3778" spans="7:7" ht="12.75" x14ac:dyDescent="0.2">
      <c r="G3778" s="19"/>
    </row>
    <row r="3779" spans="7:7" ht="12.75" x14ac:dyDescent="0.2">
      <c r="G3779" s="19"/>
    </row>
    <row r="3780" spans="7:7" ht="12.75" x14ac:dyDescent="0.2">
      <c r="G3780" s="19"/>
    </row>
    <row r="3781" spans="7:7" ht="12.75" x14ac:dyDescent="0.2">
      <c r="G3781" s="19"/>
    </row>
    <row r="3782" spans="7:7" ht="12.75" x14ac:dyDescent="0.2">
      <c r="G3782" s="19"/>
    </row>
    <row r="3783" spans="7:7" ht="12.75" x14ac:dyDescent="0.2">
      <c r="G3783" s="19"/>
    </row>
    <row r="3784" spans="7:7" ht="12.75" x14ac:dyDescent="0.2">
      <c r="G3784" s="19"/>
    </row>
    <row r="3785" spans="7:7" ht="12.75" x14ac:dyDescent="0.2">
      <c r="G3785" s="19"/>
    </row>
    <row r="3786" spans="7:7" ht="12.75" x14ac:dyDescent="0.2">
      <c r="G3786" s="19"/>
    </row>
    <row r="3787" spans="7:7" ht="12.75" x14ac:dyDescent="0.2">
      <c r="G3787" s="19"/>
    </row>
    <row r="3788" spans="7:7" ht="12.75" x14ac:dyDescent="0.2">
      <c r="G3788" s="19"/>
    </row>
    <row r="3789" spans="7:7" ht="12.75" x14ac:dyDescent="0.2">
      <c r="G3789" s="19"/>
    </row>
    <row r="3790" spans="7:7" ht="12.75" x14ac:dyDescent="0.2">
      <c r="G3790" s="19"/>
    </row>
    <row r="3791" spans="7:7" ht="12.75" x14ac:dyDescent="0.2">
      <c r="G3791" s="19"/>
    </row>
    <row r="3792" spans="7:7" ht="12.75" x14ac:dyDescent="0.2">
      <c r="G3792" s="19"/>
    </row>
    <row r="3793" spans="7:7" ht="12.75" x14ac:dyDescent="0.2">
      <c r="G3793" s="19"/>
    </row>
    <row r="3794" spans="7:7" ht="12.75" x14ac:dyDescent="0.2">
      <c r="G3794" s="19"/>
    </row>
    <row r="3795" spans="7:7" ht="12.75" x14ac:dyDescent="0.2">
      <c r="G3795" s="19"/>
    </row>
    <row r="3796" spans="7:7" ht="12.75" x14ac:dyDescent="0.2">
      <c r="G3796" s="19"/>
    </row>
    <row r="3797" spans="7:7" ht="12.75" x14ac:dyDescent="0.2">
      <c r="G3797" s="19"/>
    </row>
    <row r="3798" spans="7:7" ht="12.75" x14ac:dyDescent="0.2">
      <c r="G3798" s="19"/>
    </row>
    <row r="3799" spans="7:7" ht="12.75" x14ac:dyDescent="0.2">
      <c r="G3799" s="19"/>
    </row>
    <row r="3800" spans="7:7" ht="12.75" x14ac:dyDescent="0.2">
      <c r="G3800" s="19"/>
    </row>
    <row r="3801" spans="7:7" ht="12.75" x14ac:dyDescent="0.2">
      <c r="G3801" s="19"/>
    </row>
    <row r="3802" spans="7:7" ht="12.75" x14ac:dyDescent="0.2">
      <c r="G3802" s="19"/>
    </row>
    <row r="3803" spans="7:7" ht="12.75" x14ac:dyDescent="0.2">
      <c r="G3803" s="19"/>
    </row>
    <row r="3804" spans="7:7" ht="12.75" x14ac:dyDescent="0.2">
      <c r="G3804" s="19"/>
    </row>
    <row r="3805" spans="7:7" ht="12.75" x14ac:dyDescent="0.2">
      <c r="G3805" s="19"/>
    </row>
    <row r="3806" spans="7:7" ht="12.75" x14ac:dyDescent="0.2">
      <c r="G3806" s="19"/>
    </row>
    <row r="3807" spans="7:7" ht="12.75" x14ac:dyDescent="0.2">
      <c r="G3807" s="19"/>
    </row>
    <row r="3808" spans="7:7" ht="12.75" x14ac:dyDescent="0.2">
      <c r="G3808" s="19"/>
    </row>
    <row r="3809" spans="7:7" ht="12.75" x14ac:dyDescent="0.2">
      <c r="G3809" s="19"/>
    </row>
    <row r="3810" spans="7:7" ht="12.75" x14ac:dyDescent="0.2">
      <c r="G3810" s="19"/>
    </row>
    <row r="3811" spans="7:7" ht="12.75" x14ac:dyDescent="0.2">
      <c r="G3811" s="19"/>
    </row>
    <row r="3812" spans="7:7" ht="12.75" x14ac:dyDescent="0.2">
      <c r="G3812" s="19"/>
    </row>
    <row r="3813" spans="7:7" ht="12.75" x14ac:dyDescent="0.2">
      <c r="G3813" s="19"/>
    </row>
    <row r="3814" spans="7:7" ht="12.75" x14ac:dyDescent="0.2">
      <c r="G3814" s="19"/>
    </row>
    <row r="3815" spans="7:7" ht="12.75" x14ac:dyDescent="0.2">
      <c r="G3815" s="19"/>
    </row>
    <row r="3816" spans="7:7" ht="12.75" x14ac:dyDescent="0.2">
      <c r="G3816" s="19"/>
    </row>
    <row r="3817" spans="7:7" ht="12.75" x14ac:dyDescent="0.2">
      <c r="G3817" s="19"/>
    </row>
    <row r="3818" spans="7:7" ht="12.75" x14ac:dyDescent="0.2">
      <c r="G3818" s="19"/>
    </row>
    <row r="3819" spans="7:7" ht="12.75" x14ac:dyDescent="0.2">
      <c r="G3819" s="19"/>
    </row>
    <row r="3820" spans="7:7" ht="12.75" x14ac:dyDescent="0.2">
      <c r="G3820" s="19"/>
    </row>
    <row r="3821" spans="7:7" ht="12.75" x14ac:dyDescent="0.2">
      <c r="G3821" s="19"/>
    </row>
    <row r="3822" spans="7:7" ht="12.75" x14ac:dyDescent="0.2">
      <c r="G3822" s="19"/>
    </row>
    <row r="3823" spans="7:7" ht="12.75" x14ac:dyDescent="0.2">
      <c r="G3823" s="19"/>
    </row>
    <row r="3824" spans="7:7" ht="12.75" x14ac:dyDescent="0.2">
      <c r="G3824" s="19"/>
    </row>
    <row r="3825" spans="7:7" ht="12.75" x14ac:dyDescent="0.2">
      <c r="G3825" s="19"/>
    </row>
    <row r="3826" spans="7:7" ht="12.75" x14ac:dyDescent="0.2">
      <c r="G3826" s="19"/>
    </row>
    <row r="3827" spans="7:7" ht="12.75" x14ac:dyDescent="0.2">
      <c r="G3827" s="19"/>
    </row>
    <row r="3828" spans="7:7" ht="12.75" x14ac:dyDescent="0.2">
      <c r="G3828" s="19"/>
    </row>
    <row r="3829" spans="7:7" ht="12.75" x14ac:dyDescent="0.2">
      <c r="G3829" s="19"/>
    </row>
    <row r="3830" spans="7:7" ht="12.75" x14ac:dyDescent="0.2">
      <c r="G3830" s="19"/>
    </row>
    <row r="3831" spans="7:7" ht="12.75" x14ac:dyDescent="0.2">
      <c r="G3831" s="19"/>
    </row>
    <row r="3832" spans="7:7" ht="12.75" x14ac:dyDescent="0.2">
      <c r="G3832" s="19"/>
    </row>
    <row r="3833" spans="7:7" ht="12.75" x14ac:dyDescent="0.2">
      <c r="G3833" s="19"/>
    </row>
    <row r="3834" spans="7:7" ht="12.75" x14ac:dyDescent="0.2">
      <c r="G3834" s="19"/>
    </row>
    <row r="3835" spans="7:7" ht="12.75" x14ac:dyDescent="0.2">
      <c r="G3835" s="19"/>
    </row>
    <row r="3836" spans="7:7" ht="12.75" x14ac:dyDescent="0.2">
      <c r="G3836" s="19"/>
    </row>
    <row r="3837" spans="7:7" ht="12.75" x14ac:dyDescent="0.2">
      <c r="G3837" s="19"/>
    </row>
    <row r="3838" spans="7:7" ht="12.75" x14ac:dyDescent="0.2">
      <c r="G3838" s="19"/>
    </row>
    <row r="3839" spans="7:7" ht="12.75" x14ac:dyDescent="0.2">
      <c r="G3839" s="19"/>
    </row>
    <row r="3840" spans="7:7" ht="12.75" x14ac:dyDescent="0.2">
      <c r="G3840" s="19"/>
    </row>
    <row r="3841" spans="7:7" ht="12.75" x14ac:dyDescent="0.2">
      <c r="G3841" s="19"/>
    </row>
    <row r="3842" spans="7:7" ht="12.75" x14ac:dyDescent="0.2">
      <c r="G3842" s="19"/>
    </row>
    <row r="3843" spans="7:7" ht="12.75" x14ac:dyDescent="0.2">
      <c r="G3843" s="19"/>
    </row>
    <row r="3844" spans="7:7" ht="12.75" x14ac:dyDescent="0.2">
      <c r="G3844" s="19"/>
    </row>
    <row r="3845" spans="7:7" ht="12.75" x14ac:dyDescent="0.2">
      <c r="G3845" s="19"/>
    </row>
    <row r="3846" spans="7:7" ht="12.75" x14ac:dyDescent="0.2">
      <c r="G3846" s="19"/>
    </row>
    <row r="3847" spans="7:7" ht="12.75" x14ac:dyDescent="0.2">
      <c r="G3847" s="19"/>
    </row>
    <row r="3848" spans="7:7" ht="12.75" x14ac:dyDescent="0.2">
      <c r="G3848" s="19"/>
    </row>
    <row r="3849" spans="7:7" ht="12.75" x14ac:dyDescent="0.2">
      <c r="G3849" s="19"/>
    </row>
    <row r="3850" spans="7:7" ht="12.75" x14ac:dyDescent="0.2">
      <c r="G3850" s="19"/>
    </row>
    <row r="3851" spans="7:7" ht="12.75" x14ac:dyDescent="0.2">
      <c r="G3851" s="19"/>
    </row>
    <row r="3852" spans="7:7" ht="12.75" x14ac:dyDescent="0.2">
      <c r="G3852" s="19"/>
    </row>
    <row r="3853" spans="7:7" ht="12.75" x14ac:dyDescent="0.2">
      <c r="G3853" s="19"/>
    </row>
    <row r="3854" spans="7:7" ht="12.75" x14ac:dyDescent="0.2">
      <c r="G3854" s="19"/>
    </row>
    <row r="3855" spans="7:7" ht="12.75" x14ac:dyDescent="0.2">
      <c r="G3855" s="19"/>
    </row>
    <row r="3856" spans="7:7" ht="12.75" x14ac:dyDescent="0.2">
      <c r="G3856" s="19"/>
    </row>
    <row r="3857" spans="7:7" ht="12.75" x14ac:dyDescent="0.2">
      <c r="G3857" s="19"/>
    </row>
    <row r="3858" spans="7:7" ht="12.75" x14ac:dyDescent="0.2">
      <c r="G3858" s="19"/>
    </row>
    <row r="3859" spans="7:7" ht="12.75" x14ac:dyDescent="0.2">
      <c r="G3859" s="19"/>
    </row>
    <row r="3860" spans="7:7" ht="12.75" x14ac:dyDescent="0.2">
      <c r="G3860" s="19"/>
    </row>
    <row r="3861" spans="7:7" ht="12.75" x14ac:dyDescent="0.2">
      <c r="G3861" s="19"/>
    </row>
    <row r="3862" spans="7:7" ht="12.75" x14ac:dyDescent="0.2">
      <c r="G3862" s="19"/>
    </row>
    <row r="3863" spans="7:7" ht="12.75" x14ac:dyDescent="0.2">
      <c r="G3863" s="19"/>
    </row>
    <row r="3864" spans="7:7" ht="12.75" x14ac:dyDescent="0.2">
      <c r="G3864" s="19"/>
    </row>
    <row r="3865" spans="7:7" ht="12.75" x14ac:dyDescent="0.2">
      <c r="G3865" s="19"/>
    </row>
    <row r="3866" spans="7:7" ht="12.75" x14ac:dyDescent="0.2">
      <c r="G3866" s="19"/>
    </row>
    <row r="3867" spans="7:7" ht="12.75" x14ac:dyDescent="0.2">
      <c r="G3867" s="19"/>
    </row>
    <row r="3868" spans="7:7" ht="12.75" x14ac:dyDescent="0.2">
      <c r="G3868" s="19"/>
    </row>
    <row r="3869" spans="7:7" ht="12.75" x14ac:dyDescent="0.2">
      <c r="G3869" s="19"/>
    </row>
    <row r="3870" spans="7:7" ht="12.75" x14ac:dyDescent="0.2">
      <c r="G3870" s="19"/>
    </row>
    <row r="3871" spans="7:7" ht="12.75" x14ac:dyDescent="0.2">
      <c r="G3871" s="19"/>
    </row>
    <row r="3872" spans="7:7" ht="12.75" x14ac:dyDescent="0.2">
      <c r="G3872" s="19"/>
    </row>
    <row r="3873" spans="7:7" ht="12.75" x14ac:dyDescent="0.2">
      <c r="G3873" s="19"/>
    </row>
    <row r="3874" spans="7:7" ht="12.75" x14ac:dyDescent="0.2">
      <c r="G3874" s="19"/>
    </row>
    <row r="3875" spans="7:7" ht="12.75" x14ac:dyDescent="0.2">
      <c r="G3875" s="19"/>
    </row>
    <row r="3876" spans="7:7" ht="12.75" x14ac:dyDescent="0.2">
      <c r="G3876" s="19"/>
    </row>
    <row r="3877" spans="7:7" ht="12.75" x14ac:dyDescent="0.2">
      <c r="G3877" s="19"/>
    </row>
    <row r="3878" spans="7:7" ht="12.75" x14ac:dyDescent="0.2">
      <c r="G3878" s="19"/>
    </row>
    <row r="3879" spans="7:7" ht="12.75" x14ac:dyDescent="0.2">
      <c r="G3879" s="19"/>
    </row>
    <row r="3880" spans="7:7" ht="12.75" x14ac:dyDescent="0.2">
      <c r="G3880" s="19"/>
    </row>
    <row r="3881" spans="7:7" ht="12.75" x14ac:dyDescent="0.2">
      <c r="G3881" s="19"/>
    </row>
    <row r="3882" spans="7:7" ht="12.75" x14ac:dyDescent="0.2">
      <c r="G3882" s="19"/>
    </row>
    <row r="3883" spans="7:7" ht="12.75" x14ac:dyDescent="0.2">
      <c r="G3883" s="19"/>
    </row>
    <row r="3884" spans="7:7" ht="12.75" x14ac:dyDescent="0.2">
      <c r="G3884" s="19"/>
    </row>
    <row r="3885" spans="7:7" ht="12.75" x14ac:dyDescent="0.2">
      <c r="G3885" s="19"/>
    </row>
    <row r="3886" spans="7:7" ht="12.75" x14ac:dyDescent="0.2">
      <c r="G3886" s="19"/>
    </row>
    <row r="3887" spans="7:7" ht="12.75" x14ac:dyDescent="0.2">
      <c r="G3887" s="19"/>
    </row>
    <row r="3888" spans="7:7" ht="12.75" x14ac:dyDescent="0.2">
      <c r="G3888" s="19"/>
    </row>
    <row r="3889" spans="7:7" ht="12.75" x14ac:dyDescent="0.2">
      <c r="G3889" s="19"/>
    </row>
    <row r="3890" spans="7:7" ht="12.75" x14ac:dyDescent="0.2">
      <c r="G3890" s="19"/>
    </row>
    <row r="3891" spans="7:7" ht="12.75" x14ac:dyDescent="0.2">
      <c r="G3891" s="19"/>
    </row>
    <row r="3892" spans="7:7" ht="12.75" x14ac:dyDescent="0.2">
      <c r="G3892" s="19"/>
    </row>
    <row r="3893" spans="7:7" ht="12.75" x14ac:dyDescent="0.2">
      <c r="G3893" s="19"/>
    </row>
    <row r="3894" spans="7:7" ht="12.75" x14ac:dyDescent="0.2">
      <c r="G3894" s="19"/>
    </row>
    <row r="3895" spans="7:7" ht="12.75" x14ac:dyDescent="0.2">
      <c r="G3895" s="19"/>
    </row>
    <row r="3896" spans="7:7" ht="12.75" x14ac:dyDescent="0.2">
      <c r="G3896" s="19"/>
    </row>
    <row r="3897" spans="7:7" ht="12.75" x14ac:dyDescent="0.2">
      <c r="G3897" s="19"/>
    </row>
    <row r="3898" spans="7:7" ht="12.75" x14ac:dyDescent="0.2">
      <c r="G3898" s="19"/>
    </row>
    <row r="3899" spans="7:7" ht="12.75" x14ac:dyDescent="0.2">
      <c r="G3899" s="19"/>
    </row>
    <row r="3900" spans="7:7" ht="12.75" x14ac:dyDescent="0.2">
      <c r="G3900" s="19"/>
    </row>
    <row r="3901" spans="7:7" ht="12.75" x14ac:dyDescent="0.2">
      <c r="G3901" s="19"/>
    </row>
    <row r="3902" spans="7:7" ht="12.75" x14ac:dyDescent="0.2">
      <c r="G3902" s="19"/>
    </row>
    <row r="3903" spans="7:7" ht="12.75" x14ac:dyDescent="0.2">
      <c r="G3903" s="19"/>
    </row>
    <row r="3904" spans="7:7" ht="12.75" x14ac:dyDescent="0.2">
      <c r="G3904" s="19"/>
    </row>
    <row r="3905" spans="7:7" ht="12.75" x14ac:dyDescent="0.2">
      <c r="G3905" s="19"/>
    </row>
    <row r="3906" spans="7:7" ht="12.75" x14ac:dyDescent="0.2">
      <c r="G3906" s="19"/>
    </row>
    <row r="3907" spans="7:7" ht="12.75" x14ac:dyDescent="0.2">
      <c r="G3907" s="19"/>
    </row>
    <row r="3908" spans="7:7" ht="12.75" x14ac:dyDescent="0.2">
      <c r="G3908" s="19"/>
    </row>
    <row r="3909" spans="7:7" ht="12.75" x14ac:dyDescent="0.2">
      <c r="G3909" s="19"/>
    </row>
    <row r="3910" spans="7:7" ht="12.75" x14ac:dyDescent="0.2">
      <c r="G3910" s="19"/>
    </row>
    <row r="3911" spans="7:7" ht="12.75" x14ac:dyDescent="0.2">
      <c r="G3911" s="19"/>
    </row>
    <row r="3912" spans="7:7" ht="12.75" x14ac:dyDescent="0.2">
      <c r="G3912" s="19"/>
    </row>
    <row r="3913" spans="7:7" ht="12.75" x14ac:dyDescent="0.2">
      <c r="G3913" s="19"/>
    </row>
    <row r="3914" spans="7:7" ht="12.75" x14ac:dyDescent="0.2">
      <c r="G3914" s="19"/>
    </row>
    <row r="3915" spans="7:7" ht="12.75" x14ac:dyDescent="0.2">
      <c r="G3915" s="19"/>
    </row>
    <row r="3916" spans="7:7" ht="12.75" x14ac:dyDescent="0.2">
      <c r="G3916" s="19"/>
    </row>
    <row r="3917" spans="7:7" ht="12.75" x14ac:dyDescent="0.2">
      <c r="G3917" s="19"/>
    </row>
    <row r="3918" spans="7:7" ht="12.75" x14ac:dyDescent="0.2">
      <c r="G3918" s="19"/>
    </row>
    <row r="3919" spans="7:7" ht="12.75" x14ac:dyDescent="0.2">
      <c r="G3919" s="19"/>
    </row>
    <row r="3920" spans="7:7" ht="12.75" x14ac:dyDescent="0.2">
      <c r="G3920" s="19"/>
    </row>
    <row r="3921" spans="7:7" ht="12.75" x14ac:dyDescent="0.2">
      <c r="G3921" s="19"/>
    </row>
    <row r="3922" spans="7:7" ht="12.75" x14ac:dyDescent="0.2">
      <c r="G3922" s="19"/>
    </row>
    <row r="3923" spans="7:7" ht="12.75" x14ac:dyDescent="0.2">
      <c r="G3923" s="19"/>
    </row>
    <row r="3924" spans="7:7" ht="12.75" x14ac:dyDescent="0.2">
      <c r="G3924" s="19"/>
    </row>
    <row r="3925" spans="7:7" ht="12.75" x14ac:dyDescent="0.2">
      <c r="G3925" s="19"/>
    </row>
    <row r="3926" spans="7:7" ht="12.75" x14ac:dyDescent="0.2">
      <c r="G3926" s="19"/>
    </row>
    <row r="3927" spans="7:7" ht="12.75" x14ac:dyDescent="0.2">
      <c r="G3927" s="19"/>
    </row>
    <row r="3928" spans="7:7" ht="12.75" x14ac:dyDescent="0.2">
      <c r="G3928" s="19"/>
    </row>
    <row r="3929" spans="7:7" ht="12.75" x14ac:dyDescent="0.2">
      <c r="G3929" s="19"/>
    </row>
    <row r="3930" spans="7:7" ht="12.75" x14ac:dyDescent="0.2">
      <c r="G3930" s="19"/>
    </row>
    <row r="3931" spans="7:7" ht="12.75" x14ac:dyDescent="0.2">
      <c r="G3931" s="19"/>
    </row>
    <row r="3932" spans="7:7" ht="12.75" x14ac:dyDescent="0.2">
      <c r="G3932" s="19"/>
    </row>
    <row r="3933" spans="7:7" ht="12.75" x14ac:dyDescent="0.2">
      <c r="G3933" s="19"/>
    </row>
    <row r="3934" spans="7:7" ht="12.75" x14ac:dyDescent="0.2">
      <c r="G3934" s="19"/>
    </row>
    <row r="3935" spans="7:7" ht="12.75" x14ac:dyDescent="0.2">
      <c r="G3935" s="19"/>
    </row>
    <row r="3936" spans="7:7" ht="12.75" x14ac:dyDescent="0.2">
      <c r="G3936" s="19"/>
    </row>
    <row r="3937" spans="7:7" ht="12.75" x14ac:dyDescent="0.2">
      <c r="G3937" s="19"/>
    </row>
    <row r="3938" spans="7:7" ht="12.75" x14ac:dyDescent="0.2">
      <c r="G3938" s="19"/>
    </row>
    <row r="3939" spans="7:7" ht="12.75" x14ac:dyDescent="0.2">
      <c r="G3939" s="19"/>
    </row>
    <row r="3940" spans="7:7" ht="12.75" x14ac:dyDescent="0.2">
      <c r="G3940" s="19"/>
    </row>
    <row r="3941" spans="7:7" ht="12.75" x14ac:dyDescent="0.2">
      <c r="G3941" s="19"/>
    </row>
    <row r="3942" spans="7:7" ht="12.75" x14ac:dyDescent="0.2">
      <c r="G3942" s="19"/>
    </row>
    <row r="3943" spans="7:7" ht="12.75" x14ac:dyDescent="0.2">
      <c r="G3943" s="19"/>
    </row>
    <row r="3944" spans="7:7" ht="12.75" x14ac:dyDescent="0.2">
      <c r="G3944" s="19"/>
    </row>
    <row r="3945" spans="7:7" ht="12.75" x14ac:dyDescent="0.2">
      <c r="G3945" s="19"/>
    </row>
    <row r="3946" spans="7:7" ht="12.75" x14ac:dyDescent="0.2">
      <c r="G3946" s="19"/>
    </row>
    <row r="3947" spans="7:7" ht="12.75" x14ac:dyDescent="0.2">
      <c r="G3947" s="19"/>
    </row>
    <row r="3948" spans="7:7" ht="12.75" x14ac:dyDescent="0.2">
      <c r="G3948" s="19"/>
    </row>
    <row r="3949" spans="7:7" ht="12.75" x14ac:dyDescent="0.2">
      <c r="G3949" s="19"/>
    </row>
    <row r="3950" spans="7:7" ht="12.75" x14ac:dyDescent="0.2">
      <c r="G3950" s="19"/>
    </row>
    <row r="3951" spans="7:7" ht="12.75" x14ac:dyDescent="0.2">
      <c r="G3951" s="19"/>
    </row>
    <row r="3952" spans="7:7" ht="12.75" x14ac:dyDescent="0.2">
      <c r="G3952" s="19"/>
    </row>
    <row r="3953" spans="7:7" ht="12.75" x14ac:dyDescent="0.2">
      <c r="G3953" s="19"/>
    </row>
    <row r="3954" spans="7:7" ht="12.75" x14ac:dyDescent="0.2">
      <c r="G3954" s="19"/>
    </row>
    <row r="3955" spans="7:7" ht="12.75" x14ac:dyDescent="0.2">
      <c r="G3955" s="19"/>
    </row>
    <row r="3956" spans="7:7" ht="12.75" x14ac:dyDescent="0.2">
      <c r="G3956" s="19"/>
    </row>
    <row r="3957" spans="7:7" ht="12.75" x14ac:dyDescent="0.2">
      <c r="G3957" s="19"/>
    </row>
    <row r="3958" spans="7:7" ht="12.75" x14ac:dyDescent="0.2">
      <c r="G3958" s="19"/>
    </row>
    <row r="3959" spans="7:7" ht="12.75" x14ac:dyDescent="0.2">
      <c r="G3959" s="19"/>
    </row>
    <row r="3960" spans="7:7" ht="12.75" x14ac:dyDescent="0.2">
      <c r="G3960" s="19"/>
    </row>
    <row r="3961" spans="7:7" ht="12.75" x14ac:dyDescent="0.2">
      <c r="G3961" s="19"/>
    </row>
    <row r="3962" spans="7:7" ht="12.75" x14ac:dyDescent="0.2">
      <c r="G3962" s="19"/>
    </row>
    <row r="3963" spans="7:7" ht="12.75" x14ac:dyDescent="0.2">
      <c r="G3963" s="19"/>
    </row>
    <row r="3964" spans="7:7" ht="12.75" x14ac:dyDescent="0.2">
      <c r="G3964" s="19"/>
    </row>
    <row r="3965" spans="7:7" ht="12.75" x14ac:dyDescent="0.2">
      <c r="G3965" s="19"/>
    </row>
    <row r="3966" spans="7:7" ht="12.75" x14ac:dyDescent="0.2">
      <c r="G3966" s="19"/>
    </row>
    <row r="3967" spans="7:7" ht="12.75" x14ac:dyDescent="0.2">
      <c r="G3967" s="19"/>
    </row>
    <row r="3968" spans="7:7" ht="12.75" x14ac:dyDescent="0.2">
      <c r="G3968" s="19"/>
    </row>
    <row r="3969" spans="7:7" ht="12.75" x14ac:dyDescent="0.2">
      <c r="G3969" s="19"/>
    </row>
    <row r="3970" spans="7:7" ht="12.75" x14ac:dyDescent="0.2">
      <c r="G3970" s="19"/>
    </row>
    <row r="3971" spans="7:7" ht="12.75" x14ac:dyDescent="0.2">
      <c r="G3971" s="19"/>
    </row>
    <row r="3972" spans="7:7" ht="12.75" x14ac:dyDescent="0.2">
      <c r="G3972" s="19"/>
    </row>
    <row r="3973" spans="7:7" ht="12.75" x14ac:dyDescent="0.2">
      <c r="G3973" s="19"/>
    </row>
    <row r="3974" spans="7:7" ht="12.75" x14ac:dyDescent="0.2">
      <c r="G3974" s="19"/>
    </row>
    <row r="3975" spans="7:7" ht="12.75" x14ac:dyDescent="0.2">
      <c r="G3975" s="19"/>
    </row>
    <row r="3976" spans="7:7" ht="12.75" x14ac:dyDescent="0.2">
      <c r="G3976" s="19"/>
    </row>
    <row r="3977" spans="7:7" ht="12.75" x14ac:dyDescent="0.2">
      <c r="G3977" s="19"/>
    </row>
    <row r="3978" spans="7:7" ht="12.75" x14ac:dyDescent="0.2">
      <c r="G3978" s="19"/>
    </row>
    <row r="3979" spans="7:7" ht="12.75" x14ac:dyDescent="0.2">
      <c r="G3979" s="19"/>
    </row>
    <row r="3980" spans="7:7" ht="12.75" x14ac:dyDescent="0.2">
      <c r="G3980" s="19"/>
    </row>
    <row r="3981" spans="7:7" ht="12.75" x14ac:dyDescent="0.2">
      <c r="G3981" s="19"/>
    </row>
    <row r="3982" spans="7:7" ht="12.75" x14ac:dyDescent="0.2">
      <c r="G3982" s="19"/>
    </row>
    <row r="3983" spans="7:7" ht="12.75" x14ac:dyDescent="0.2">
      <c r="G3983" s="19"/>
    </row>
    <row r="3984" spans="7:7" ht="12.75" x14ac:dyDescent="0.2">
      <c r="G3984" s="19"/>
    </row>
    <row r="3985" spans="7:7" ht="12.75" x14ac:dyDescent="0.2">
      <c r="G3985" s="19"/>
    </row>
    <row r="3986" spans="7:7" ht="12.75" x14ac:dyDescent="0.2">
      <c r="G3986" s="19"/>
    </row>
    <row r="3987" spans="7:7" ht="12.75" x14ac:dyDescent="0.2">
      <c r="G3987" s="19"/>
    </row>
    <row r="3988" spans="7:7" ht="12.75" x14ac:dyDescent="0.2">
      <c r="G3988" s="19"/>
    </row>
    <row r="3989" spans="7:7" ht="12.75" x14ac:dyDescent="0.2">
      <c r="G3989" s="19"/>
    </row>
    <row r="3990" spans="7:7" ht="12.75" x14ac:dyDescent="0.2">
      <c r="G3990" s="19"/>
    </row>
    <row r="3991" spans="7:7" ht="12.75" x14ac:dyDescent="0.2">
      <c r="G3991" s="19"/>
    </row>
    <row r="3992" spans="7:7" ht="12.75" x14ac:dyDescent="0.2">
      <c r="G3992" s="19"/>
    </row>
    <row r="3993" spans="7:7" ht="12.75" x14ac:dyDescent="0.2">
      <c r="G3993" s="19"/>
    </row>
    <row r="3994" spans="7:7" ht="12.75" x14ac:dyDescent="0.2">
      <c r="G3994" s="19"/>
    </row>
    <row r="3995" spans="7:7" ht="12.75" x14ac:dyDescent="0.2">
      <c r="G3995" s="19"/>
    </row>
    <row r="3996" spans="7:7" ht="12.75" x14ac:dyDescent="0.2">
      <c r="G3996" s="19"/>
    </row>
    <row r="3997" spans="7:7" ht="12.75" x14ac:dyDescent="0.2">
      <c r="G3997" s="19"/>
    </row>
    <row r="3998" spans="7:7" ht="12.75" x14ac:dyDescent="0.2">
      <c r="G3998" s="19"/>
    </row>
    <row r="3999" spans="7:7" ht="12.75" x14ac:dyDescent="0.2">
      <c r="G3999" s="19"/>
    </row>
    <row r="4000" spans="7:7" ht="12.75" x14ac:dyDescent="0.2">
      <c r="G4000" s="19"/>
    </row>
    <row r="4001" spans="7:7" ht="12.75" x14ac:dyDescent="0.2">
      <c r="G4001" s="19"/>
    </row>
    <row r="4002" spans="7:7" ht="12.75" x14ac:dyDescent="0.2">
      <c r="G4002" s="19"/>
    </row>
    <row r="4003" spans="7:7" ht="12.75" x14ac:dyDescent="0.2">
      <c r="G4003" s="19"/>
    </row>
    <row r="4004" spans="7:7" ht="12.75" x14ac:dyDescent="0.2">
      <c r="G4004" s="19"/>
    </row>
    <row r="4005" spans="7:7" ht="12.75" x14ac:dyDescent="0.2">
      <c r="G4005" s="19"/>
    </row>
    <row r="4006" spans="7:7" ht="12.75" x14ac:dyDescent="0.2">
      <c r="G4006" s="19"/>
    </row>
    <row r="4007" spans="7:7" ht="12.75" x14ac:dyDescent="0.2">
      <c r="G4007" s="19"/>
    </row>
    <row r="4008" spans="7:7" ht="12.75" x14ac:dyDescent="0.2">
      <c r="G4008" s="19"/>
    </row>
    <row r="4009" spans="7:7" ht="12.75" x14ac:dyDescent="0.2">
      <c r="G4009" s="19"/>
    </row>
    <row r="4010" spans="7:7" ht="12.75" x14ac:dyDescent="0.2">
      <c r="G4010" s="19"/>
    </row>
    <row r="4011" spans="7:7" ht="12.75" x14ac:dyDescent="0.2">
      <c r="G4011" s="19"/>
    </row>
    <row r="4012" spans="7:7" ht="12.75" x14ac:dyDescent="0.2">
      <c r="G4012" s="19"/>
    </row>
    <row r="4013" spans="7:7" ht="12.75" x14ac:dyDescent="0.2">
      <c r="G4013" s="19"/>
    </row>
    <row r="4014" spans="7:7" ht="12.75" x14ac:dyDescent="0.2">
      <c r="G4014" s="19"/>
    </row>
    <row r="4015" spans="7:7" ht="12.75" x14ac:dyDescent="0.2">
      <c r="G4015" s="19"/>
    </row>
    <row r="4016" spans="7:7" ht="12.75" x14ac:dyDescent="0.2">
      <c r="G4016" s="19"/>
    </row>
    <row r="4017" spans="7:7" ht="12.75" x14ac:dyDescent="0.2">
      <c r="G4017" s="19"/>
    </row>
    <row r="4018" spans="7:7" ht="12.75" x14ac:dyDescent="0.2">
      <c r="G4018" s="19"/>
    </row>
    <row r="4019" spans="7:7" ht="12.75" x14ac:dyDescent="0.2">
      <c r="G4019" s="19"/>
    </row>
    <row r="4020" spans="7:7" ht="12.75" x14ac:dyDescent="0.2">
      <c r="G4020" s="19"/>
    </row>
    <row r="4021" spans="7:7" ht="12.75" x14ac:dyDescent="0.2">
      <c r="G4021" s="19"/>
    </row>
    <row r="4022" spans="7:7" ht="12.75" x14ac:dyDescent="0.2">
      <c r="G4022" s="19"/>
    </row>
    <row r="4023" spans="7:7" ht="12.75" x14ac:dyDescent="0.2">
      <c r="G4023" s="19"/>
    </row>
    <row r="4024" spans="7:7" ht="12.75" x14ac:dyDescent="0.2">
      <c r="G4024" s="19"/>
    </row>
    <row r="4025" spans="7:7" ht="12.75" x14ac:dyDescent="0.2">
      <c r="G4025" s="19"/>
    </row>
    <row r="4026" spans="7:7" ht="12.75" x14ac:dyDescent="0.2">
      <c r="G4026" s="19"/>
    </row>
    <row r="4027" spans="7:7" ht="12.75" x14ac:dyDescent="0.2">
      <c r="G4027" s="19"/>
    </row>
    <row r="4028" spans="7:7" ht="12.75" x14ac:dyDescent="0.2">
      <c r="G4028" s="19"/>
    </row>
    <row r="4029" spans="7:7" ht="12.75" x14ac:dyDescent="0.2">
      <c r="G4029" s="19"/>
    </row>
    <row r="4030" spans="7:7" ht="12.75" x14ac:dyDescent="0.2">
      <c r="G4030" s="19"/>
    </row>
    <row r="4031" spans="7:7" ht="12.75" x14ac:dyDescent="0.2">
      <c r="G4031" s="19"/>
    </row>
    <row r="4032" spans="7:7" ht="12.75" x14ac:dyDescent="0.2">
      <c r="G4032" s="19"/>
    </row>
    <row r="4033" spans="7:7" ht="12.75" x14ac:dyDescent="0.2">
      <c r="G4033" s="19"/>
    </row>
    <row r="4034" spans="7:7" ht="12.75" x14ac:dyDescent="0.2">
      <c r="G4034" s="19"/>
    </row>
    <row r="4035" spans="7:7" ht="12.75" x14ac:dyDescent="0.2">
      <c r="G4035" s="19"/>
    </row>
    <row r="4036" spans="7:7" ht="12.75" x14ac:dyDescent="0.2">
      <c r="G4036" s="19"/>
    </row>
    <row r="4037" spans="7:7" ht="12.75" x14ac:dyDescent="0.2">
      <c r="G4037" s="19"/>
    </row>
    <row r="4038" spans="7:7" ht="12.75" x14ac:dyDescent="0.2">
      <c r="G4038" s="19"/>
    </row>
    <row r="4039" spans="7:7" ht="12.75" x14ac:dyDescent="0.2">
      <c r="G4039" s="19"/>
    </row>
    <row r="4040" spans="7:7" ht="12.75" x14ac:dyDescent="0.2">
      <c r="G4040" s="19"/>
    </row>
    <row r="4041" spans="7:7" ht="12.75" x14ac:dyDescent="0.2">
      <c r="G4041" s="19"/>
    </row>
    <row r="4042" spans="7:7" ht="12.75" x14ac:dyDescent="0.2">
      <c r="G4042" s="19"/>
    </row>
    <row r="4043" spans="7:7" ht="12.75" x14ac:dyDescent="0.2">
      <c r="G4043" s="19"/>
    </row>
    <row r="4044" spans="7:7" ht="12.75" x14ac:dyDescent="0.2">
      <c r="G4044" s="19"/>
    </row>
    <row r="4045" spans="7:7" ht="12.75" x14ac:dyDescent="0.2">
      <c r="G4045" s="19"/>
    </row>
    <row r="4046" spans="7:7" ht="12.75" x14ac:dyDescent="0.2">
      <c r="G4046" s="19"/>
    </row>
    <row r="4047" spans="7:7" ht="12.75" x14ac:dyDescent="0.2">
      <c r="G4047" s="19"/>
    </row>
    <row r="4048" spans="7:7" ht="12.75" x14ac:dyDescent="0.2">
      <c r="G4048" s="19"/>
    </row>
    <row r="4049" spans="7:7" ht="12.75" x14ac:dyDescent="0.2">
      <c r="G4049" s="19"/>
    </row>
    <row r="4050" spans="7:7" ht="12.75" x14ac:dyDescent="0.2">
      <c r="G4050" s="19"/>
    </row>
    <row r="4051" spans="7:7" ht="12.75" x14ac:dyDescent="0.2">
      <c r="G4051" s="19"/>
    </row>
    <row r="4052" spans="7:7" ht="12.75" x14ac:dyDescent="0.2">
      <c r="G4052" s="19"/>
    </row>
    <row r="4053" spans="7:7" ht="12.75" x14ac:dyDescent="0.2">
      <c r="G4053" s="19"/>
    </row>
    <row r="4054" spans="7:7" ht="12.75" x14ac:dyDescent="0.2">
      <c r="G4054" s="19"/>
    </row>
    <row r="4055" spans="7:7" ht="12.75" x14ac:dyDescent="0.2">
      <c r="G4055" s="19"/>
    </row>
    <row r="4056" spans="7:7" ht="12.75" x14ac:dyDescent="0.2">
      <c r="G4056" s="19"/>
    </row>
    <row r="4057" spans="7:7" ht="12.75" x14ac:dyDescent="0.2">
      <c r="G4057" s="19"/>
    </row>
    <row r="4058" spans="7:7" ht="12.75" x14ac:dyDescent="0.2">
      <c r="G4058" s="19"/>
    </row>
    <row r="4059" spans="7:7" ht="12.75" x14ac:dyDescent="0.2">
      <c r="G4059" s="19"/>
    </row>
    <row r="4060" spans="7:7" ht="12.75" x14ac:dyDescent="0.2">
      <c r="G4060" s="19"/>
    </row>
    <row r="4061" spans="7:7" ht="12.75" x14ac:dyDescent="0.2">
      <c r="G4061" s="19"/>
    </row>
    <row r="4062" spans="7:7" ht="12.75" x14ac:dyDescent="0.2">
      <c r="G4062" s="19"/>
    </row>
    <row r="4063" spans="7:7" ht="12.75" x14ac:dyDescent="0.2">
      <c r="G4063" s="19"/>
    </row>
    <row r="4064" spans="7:7" ht="12.75" x14ac:dyDescent="0.2">
      <c r="G4064" s="19"/>
    </row>
    <row r="4065" spans="7:7" ht="12.75" x14ac:dyDescent="0.2">
      <c r="G4065" s="19"/>
    </row>
    <row r="4066" spans="7:7" ht="12.75" x14ac:dyDescent="0.2">
      <c r="G4066" s="19"/>
    </row>
    <row r="4067" spans="7:7" ht="12.75" x14ac:dyDescent="0.2">
      <c r="G4067" s="19"/>
    </row>
    <row r="4068" spans="7:7" ht="12.75" x14ac:dyDescent="0.2">
      <c r="G4068" s="19"/>
    </row>
    <row r="4069" spans="7:7" ht="12.75" x14ac:dyDescent="0.2">
      <c r="G4069" s="19"/>
    </row>
    <row r="4070" spans="7:7" ht="12.75" x14ac:dyDescent="0.2">
      <c r="G4070" s="19"/>
    </row>
    <row r="4071" spans="7:7" ht="12.75" x14ac:dyDescent="0.2">
      <c r="G4071" s="19"/>
    </row>
    <row r="4072" spans="7:7" ht="12.75" x14ac:dyDescent="0.2">
      <c r="G4072" s="19"/>
    </row>
    <row r="4073" spans="7:7" ht="12.75" x14ac:dyDescent="0.2">
      <c r="G4073" s="19"/>
    </row>
    <row r="4074" spans="7:7" ht="12.75" x14ac:dyDescent="0.2">
      <c r="G4074" s="19"/>
    </row>
    <row r="4075" spans="7:7" ht="12.75" x14ac:dyDescent="0.2">
      <c r="G4075" s="19"/>
    </row>
    <row r="4076" spans="7:7" ht="12.75" x14ac:dyDescent="0.2">
      <c r="G4076" s="19"/>
    </row>
    <row r="4077" spans="7:7" ht="12.75" x14ac:dyDescent="0.2">
      <c r="G4077" s="19"/>
    </row>
    <row r="4078" spans="7:7" ht="12.75" x14ac:dyDescent="0.2">
      <c r="G4078" s="19"/>
    </row>
    <row r="4079" spans="7:7" ht="12.75" x14ac:dyDescent="0.2">
      <c r="G4079" s="19"/>
    </row>
    <row r="4080" spans="7:7" ht="12.75" x14ac:dyDescent="0.2">
      <c r="G4080" s="19"/>
    </row>
    <row r="4081" spans="7:7" ht="12.75" x14ac:dyDescent="0.2">
      <c r="G4081" s="19"/>
    </row>
    <row r="4082" spans="7:7" ht="12.75" x14ac:dyDescent="0.2">
      <c r="G4082" s="19"/>
    </row>
    <row r="4083" spans="7:7" ht="12.75" x14ac:dyDescent="0.2">
      <c r="G4083" s="19"/>
    </row>
    <row r="4084" spans="7:7" ht="12.75" x14ac:dyDescent="0.2">
      <c r="G4084" s="19"/>
    </row>
    <row r="4085" spans="7:7" ht="12.75" x14ac:dyDescent="0.2">
      <c r="G4085" s="19"/>
    </row>
    <row r="4086" spans="7:7" ht="12.75" x14ac:dyDescent="0.2">
      <c r="G4086" s="19"/>
    </row>
    <row r="4087" spans="7:7" ht="12.75" x14ac:dyDescent="0.2">
      <c r="G4087" s="19"/>
    </row>
    <row r="4088" spans="7:7" ht="12.75" x14ac:dyDescent="0.2">
      <c r="G4088" s="19"/>
    </row>
    <row r="4089" spans="7:7" ht="12.75" x14ac:dyDescent="0.2">
      <c r="G4089" s="19"/>
    </row>
    <row r="4090" spans="7:7" ht="12.75" x14ac:dyDescent="0.2">
      <c r="G4090" s="19"/>
    </row>
    <row r="4091" spans="7:7" ht="12.75" x14ac:dyDescent="0.2">
      <c r="G4091" s="19"/>
    </row>
    <row r="4092" spans="7:7" ht="12.75" x14ac:dyDescent="0.2">
      <c r="G4092" s="19"/>
    </row>
    <row r="4093" spans="7:7" ht="12.75" x14ac:dyDescent="0.2">
      <c r="G4093" s="19"/>
    </row>
    <row r="4094" spans="7:7" ht="12.75" x14ac:dyDescent="0.2">
      <c r="G4094" s="19"/>
    </row>
    <row r="4095" spans="7:7" ht="12.75" x14ac:dyDescent="0.2">
      <c r="G4095" s="19"/>
    </row>
    <row r="4096" spans="7:7" ht="12.75" x14ac:dyDescent="0.2">
      <c r="G4096" s="19"/>
    </row>
    <row r="4097" spans="7:7" ht="12.75" x14ac:dyDescent="0.2">
      <c r="G4097" s="19"/>
    </row>
    <row r="4098" spans="7:7" ht="12.75" x14ac:dyDescent="0.2">
      <c r="G4098" s="19"/>
    </row>
    <row r="4099" spans="7:7" ht="12.75" x14ac:dyDescent="0.2">
      <c r="G4099" s="19"/>
    </row>
    <row r="4100" spans="7:7" ht="12.75" x14ac:dyDescent="0.2">
      <c r="G4100" s="19"/>
    </row>
    <row r="4101" spans="7:7" ht="12.75" x14ac:dyDescent="0.2">
      <c r="G4101" s="19"/>
    </row>
    <row r="4102" spans="7:7" ht="12.75" x14ac:dyDescent="0.2">
      <c r="G4102" s="19"/>
    </row>
    <row r="4103" spans="7:7" ht="12.75" x14ac:dyDescent="0.2">
      <c r="G4103" s="19"/>
    </row>
    <row r="4104" spans="7:7" ht="12.75" x14ac:dyDescent="0.2">
      <c r="G4104" s="19"/>
    </row>
    <row r="4105" spans="7:7" ht="12.75" x14ac:dyDescent="0.2">
      <c r="G4105" s="19"/>
    </row>
    <row r="4106" spans="7:7" ht="12.75" x14ac:dyDescent="0.2">
      <c r="G4106" s="19"/>
    </row>
    <row r="4107" spans="7:7" ht="12.75" x14ac:dyDescent="0.2">
      <c r="G4107" s="19"/>
    </row>
    <row r="4108" spans="7:7" ht="12.75" x14ac:dyDescent="0.2">
      <c r="G4108" s="19"/>
    </row>
    <row r="4109" spans="7:7" ht="12.75" x14ac:dyDescent="0.2">
      <c r="G4109" s="19"/>
    </row>
    <row r="4110" spans="7:7" ht="12.75" x14ac:dyDescent="0.2">
      <c r="G4110" s="19"/>
    </row>
    <row r="4111" spans="7:7" ht="12.75" x14ac:dyDescent="0.2">
      <c r="G4111" s="19"/>
    </row>
    <row r="4112" spans="7:7" ht="12.75" x14ac:dyDescent="0.2">
      <c r="G4112" s="19"/>
    </row>
    <row r="4113" spans="7:7" ht="12.75" x14ac:dyDescent="0.2">
      <c r="G4113" s="19"/>
    </row>
    <row r="4114" spans="7:7" ht="12.75" x14ac:dyDescent="0.2">
      <c r="G4114" s="19"/>
    </row>
    <row r="4115" spans="7:7" ht="12.75" x14ac:dyDescent="0.2">
      <c r="G4115" s="19"/>
    </row>
    <row r="4116" spans="7:7" ht="12.75" x14ac:dyDescent="0.2">
      <c r="G4116" s="19"/>
    </row>
    <row r="4117" spans="7:7" ht="12.75" x14ac:dyDescent="0.2">
      <c r="G4117" s="19"/>
    </row>
    <row r="4118" spans="7:7" ht="12.75" x14ac:dyDescent="0.2">
      <c r="G4118" s="19"/>
    </row>
    <row r="4119" spans="7:7" ht="12.75" x14ac:dyDescent="0.2">
      <c r="G4119" s="19"/>
    </row>
    <row r="4120" spans="7:7" ht="12.75" x14ac:dyDescent="0.2">
      <c r="G4120" s="19"/>
    </row>
    <row r="4121" spans="7:7" ht="12.75" x14ac:dyDescent="0.2">
      <c r="G4121" s="19"/>
    </row>
    <row r="4122" spans="7:7" ht="12.75" x14ac:dyDescent="0.2">
      <c r="G4122" s="19"/>
    </row>
    <row r="4123" spans="7:7" ht="12.75" x14ac:dyDescent="0.2">
      <c r="G4123" s="19"/>
    </row>
    <row r="4124" spans="7:7" ht="12.75" x14ac:dyDescent="0.2">
      <c r="G4124" s="19"/>
    </row>
    <row r="4125" spans="7:7" ht="12.75" x14ac:dyDescent="0.2">
      <c r="G4125" s="19"/>
    </row>
    <row r="4126" spans="7:7" ht="12.75" x14ac:dyDescent="0.2">
      <c r="G4126" s="19"/>
    </row>
    <row r="4127" spans="7:7" ht="12.75" x14ac:dyDescent="0.2">
      <c r="G4127" s="19"/>
    </row>
    <row r="4128" spans="7:7" ht="12.75" x14ac:dyDescent="0.2">
      <c r="G4128" s="19"/>
    </row>
    <row r="4129" spans="7:7" ht="12.75" x14ac:dyDescent="0.2">
      <c r="G4129" s="19"/>
    </row>
    <row r="4130" spans="7:7" ht="12.75" x14ac:dyDescent="0.2">
      <c r="G4130" s="19"/>
    </row>
    <row r="4131" spans="7:7" ht="12.75" x14ac:dyDescent="0.2">
      <c r="G4131" s="19"/>
    </row>
    <row r="4132" spans="7:7" ht="12.75" x14ac:dyDescent="0.2">
      <c r="G4132" s="19"/>
    </row>
    <row r="4133" spans="7:7" ht="12.75" x14ac:dyDescent="0.2">
      <c r="G4133" s="19"/>
    </row>
    <row r="4134" spans="7:7" ht="12.75" x14ac:dyDescent="0.2">
      <c r="G4134" s="19"/>
    </row>
    <row r="4135" spans="7:7" ht="12.75" x14ac:dyDescent="0.2">
      <c r="G4135" s="19"/>
    </row>
    <row r="4136" spans="7:7" ht="12.75" x14ac:dyDescent="0.2">
      <c r="G4136" s="19"/>
    </row>
    <row r="4137" spans="7:7" ht="12.75" x14ac:dyDescent="0.2">
      <c r="G4137" s="19"/>
    </row>
    <row r="4138" spans="7:7" ht="12.75" x14ac:dyDescent="0.2">
      <c r="G4138" s="19"/>
    </row>
    <row r="4139" spans="7:7" ht="12.75" x14ac:dyDescent="0.2">
      <c r="G4139" s="19"/>
    </row>
    <row r="4140" spans="7:7" ht="12.75" x14ac:dyDescent="0.2">
      <c r="G4140" s="19"/>
    </row>
    <row r="4141" spans="7:7" ht="12.75" x14ac:dyDescent="0.2">
      <c r="G4141" s="19"/>
    </row>
    <row r="4142" spans="7:7" ht="12.75" x14ac:dyDescent="0.2">
      <c r="G4142" s="19"/>
    </row>
    <row r="4143" spans="7:7" ht="12.75" x14ac:dyDescent="0.2">
      <c r="G4143" s="19"/>
    </row>
    <row r="4144" spans="7:7" ht="12.75" x14ac:dyDescent="0.2">
      <c r="G4144" s="19"/>
    </row>
    <row r="4145" spans="7:7" ht="12.75" x14ac:dyDescent="0.2">
      <c r="G4145" s="19"/>
    </row>
    <row r="4146" spans="7:7" ht="12.75" x14ac:dyDescent="0.2">
      <c r="G4146" s="19"/>
    </row>
    <row r="4147" spans="7:7" ht="12.75" x14ac:dyDescent="0.2">
      <c r="G4147" s="19"/>
    </row>
    <row r="4148" spans="7:7" ht="12.75" x14ac:dyDescent="0.2">
      <c r="G4148" s="19"/>
    </row>
    <row r="4149" spans="7:7" ht="12.75" x14ac:dyDescent="0.2">
      <c r="G4149" s="19"/>
    </row>
    <row r="4150" spans="7:7" ht="12.75" x14ac:dyDescent="0.2">
      <c r="G4150" s="19"/>
    </row>
    <row r="4151" spans="7:7" ht="12.75" x14ac:dyDescent="0.2">
      <c r="G4151" s="19"/>
    </row>
    <row r="4152" spans="7:7" ht="12.75" x14ac:dyDescent="0.2">
      <c r="G4152" s="19"/>
    </row>
    <row r="4153" spans="7:7" ht="12.75" x14ac:dyDescent="0.2">
      <c r="G4153" s="19"/>
    </row>
    <row r="4154" spans="7:7" ht="12.75" x14ac:dyDescent="0.2">
      <c r="G4154" s="19"/>
    </row>
    <row r="4155" spans="7:7" ht="12.75" x14ac:dyDescent="0.2">
      <c r="G4155" s="19"/>
    </row>
    <row r="4156" spans="7:7" ht="12.75" x14ac:dyDescent="0.2">
      <c r="G4156" s="19"/>
    </row>
    <row r="4157" spans="7:7" ht="12.75" x14ac:dyDescent="0.2">
      <c r="G4157" s="19"/>
    </row>
    <row r="4158" spans="7:7" ht="12.75" x14ac:dyDescent="0.2">
      <c r="G4158" s="19"/>
    </row>
    <row r="4159" spans="7:7" ht="12.75" x14ac:dyDescent="0.2">
      <c r="G4159" s="19"/>
    </row>
    <row r="4160" spans="7:7" ht="12.75" x14ac:dyDescent="0.2">
      <c r="G4160" s="19"/>
    </row>
    <row r="4161" spans="7:7" ht="12.75" x14ac:dyDescent="0.2">
      <c r="G4161" s="19"/>
    </row>
    <row r="4162" spans="7:7" ht="12.75" x14ac:dyDescent="0.2">
      <c r="G4162" s="19"/>
    </row>
    <row r="4163" spans="7:7" ht="12.75" x14ac:dyDescent="0.2">
      <c r="G4163" s="19"/>
    </row>
    <row r="4164" spans="7:7" ht="12.75" x14ac:dyDescent="0.2">
      <c r="G4164" s="19"/>
    </row>
    <row r="4165" spans="7:7" ht="12.75" x14ac:dyDescent="0.2">
      <c r="G4165" s="19"/>
    </row>
    <row r="4166" spans="7:7" ht="12.75" x14ac:dyDescent="0.2">
      <c r="G4166" s="19"/>
    </row>
    <row r="4167" spans="7:7" ht="12.75" x14ac:dyDescent="0.2">
      <c r="G4167" s="19"/>
    </row>
    <row r="4168" spans="7:7" ht="12.75" x14ac:dyDescent="0.2">
      <c r="G4168" s="19"/>
    </row>
    <row r="4169" spans="7:7" ht="12.75" x14ac:dyDescent="0.2">
      <c r="G4169" s="19"/>
    </row>
    <row r="4170" spans="7:7" ht="12.75" x14ac:dyDescent="0.2">
      <c r="G4170" s="19"/>
    </row>
    <row r="4171" spans="7:7" ht="12.75" x14ac:dyDescent="0.2">
      <c r="G4171" s="19"/>
    </row>
    <row r="4172" spans="7:7" ht="12.75" x14ac:dyDescent="0.2">
      <c r="G4172" s="19"/>
    </row>
    <row r="4173" spans="7:7" ht="12.75" x14ac:dyDescent="0.2">
      <c r="G4173" s="19"/>
    </row>
    <row r="4174" spans="7:7" ht="12.75" x14ac:dyDescent="0.2">
      <c r="G4174" s="19"/>
    </row>
    <row r="4175" spans="7:7" ht="12.75" x14ac:dyDescent="0.2">
      <c r="G4175" s="19"/>
    </row>
    <row r="4176" spans="7:7" ht="12.75" x14ac:dyDescent="0.2">
      <c r="G4176" s="19"/>
    </row>
    <row r="4177" spans="7:7" ht="12.75" x14ac:dyDescent="0.2">
      <c r="G4177" s="19"/>
    </row>
    <row r="4178" spans="7:7" ht="12.75" x14ac:dyDescent="0.2">
      <c r="G4178" s="19"/>
    </row>
    <row r="4179" spans="7:7" ht="12.75" x14ac:dyDescent="0.2">
      <c r="G4179" s="19"/>
    </row>
    <row r="4180" spans="7:7" ht="12.75" x14ac:dyDescent="0.2">
      <c r="G4180" s="19"/>
    </row>
    <row r="4181" spans="7:7" ht="12.75" x14ac:dyDescent="0.2">
      <c r="G4181" s="19"/>
    </row>
    <row r="4182" spans="7:7" ht="12.75" x14ac:dyDescent="0.2">
      <c r="G4182" s="19"/>
    </row>
    <row r="4183" spans="7:7" ht="12.75" x14ac:dyDescent="0.2">
      <c r="G4183" s="19"/>
    </row>
    <row r="4184" spans="7:7" ht="12.75" x14ac:dyDescent="0.2">
      <c r="G4184" s="19"/>
    </row>
    <row r="4185" spans="7:7" ht="12.75" x14ac:dyDescent="0.2">
      <c r="G4185" s="19"/>
    </row>
    <row r="4186" spans="7:7" ht="12.75" x14ac:dyDescent="0.2">
      <c r="G4186" s="19"/>
    </row>
    <row r="4187" spans="7:7" ht="12.75" x14ac:dyDescent="0.2">
      <c r="G4187" s="19"/>
    </row>
    <row r="4188" spans="7:7" ht="12.75" x14ac:dyDescent="0.2">
      <c r="G4188" s="19"/>
    </row>
    <row r="4189" spans="7:7" ht="12.75" x14ac:dyDescent="0.2">
      <c r="G4189" s="19"/>
    </row>
    <row r="4190" spans="7:7" ht="12.75" x14ac:dyDescent="0.2">
      <c r="G4190" s="19"/>
    </row>
    <row r="4191" spans="7:7" ht="12.75" x14ac:dyDescent="0.2">
      <c r="G4191" s="19"/>
    </row>
    <row r="4192" spans="7:7" ht="12.75" x14ac:dyDescent="0.2">
      <c r="G4192" s="19"/>
    </row>
    <row r="4193" spans="7:7" ht="12.75" x14ac:dyDescent="0.2">
      <c r="G4193" s="19"/>
    </row>
    <row r="4194" spans="7:7" ht="12.75" x14ac:dyDescent="0.2">
      <c r="G4194" s="19"/>
    </row>
    <row r="4195" spans="7:7" ht="12.75" x14ac:dyDescent="0.2">
      <c r="G4195" s="19"/>
    </row>
    <row r="4196" spans="7:7" ht="12.75" x14ac:dyDescent="0.2">
      <c r="G4196" s="19"/>
    </row>
    <row r="4197" spans="7:7" ht="12.75" x14ac:dyDescent="0.2">
      <c r="G4197" s="19"/>
    </row>
    <row r="4198" spans="7:7" ht="12.75" x14ac:dyDescent="0.2">
      <c r="G4198" s="19"/>
    </row>
    <row r="4199" spans="7:7" ht="12.75" x14ac:dyDescent="0.2">
      <c r="G4199" s="19"/>
    </row>
    <row r="4200" spans="7:7" ht="12.75" x14ac:dyDescent="0.2">
      <c r="G4200" s="19"/>
    </row>
    <row r="4201" spans="7:7" ht="12.75" x14ac:dyDescent="0.2">
      <c r="G4201" s="19"/>
    </row>
    <row r="4202" spans="7:7" ht="12.75" x14ac:dyDescent="0.2">
      <c r="G4202" s="19"/>
    </row>
    <row r="4203" spans="7:7" ht="12.75" x14ac:dyDescent="0.2">
      <c r="G4203" s="19"/>
    </row>
    <row r="4204" spans="7:7" ht="12.75" x14ac:dyDescent="0.2">
      <c r="G4204" s="19"/>
    </row>
    <row r="4205" spans="7:7" ht="12.75" x14ac:dyDescent="0.2">
      <c r="G4205" s="19"/>
    </row>
    <row r="4206" spans="7:7" ht="12.75" x14ac:dyDescent="0.2">
      <c r="G4206" s="19"/>
    </row>
    <row r="4207" spans="7:7" ht="12.75" x14ac:dyDescent="0.2">
      <c r="G4207" s="19"/>
    </row>
    <row r="4208" spans="7:7" ht="12.75" x14ac:dyDescent="0.2">
      <c r="G4208" s="19"/>
    </row>
    <row r="4209" spans="7:7" ht="12.75" x14ac:dyDescent="0.2">
      <c r="G4209" s="19"/>
    </row>
    <row r="4210" spans="7:7" ht="12.75" x14ac:dyDescent="0.2">
      <c r="G4210" s="19"/>
    </row>
    <row r="4211" spans="7:7" ht="12.75" x14ac:dyDescent="0.2">
      <c r="G4211" s="19"/>
    </row>
    <row r="4212" spans="7:7" ht="12.75" x14ac:dyDescent="0.2">
      <c r="G4212" s="19"/>
    </row>
    <row r="4213" spans="7:7" ht="12.75" x14ac:dyDescent="0.2">
      <c r="G4213" s="19"/>
    </row>
    <row r="4214" spans="7:7" ht="12.75" x14ac:dyDescent="0.2">
      <c r="G4214" s="19"/>
    </row>
    <row r="4215" spans="7:7" ht="12.75" x14ac:dyDescent="0.2">
      <c r="G4215" s="19"/>
    </row>
    <row r="4216" spans="7:7" ht="12.75" x14ac:dyDescent="0.2">
      <c r="G4216" s="19"/>
    </row>
    <row r="4217" spans="7:7" ht="12.75" x14ac:dyDescent="0.2">
      <c r="G4217" s="19"/>
    </row>
    <row r="4218" spans="7:7" ht="12.75" x14ac:dyDescent="0.2">
      <c r="G4218" s="19"/>
    </row>
    <row r="4219" spans="7:7" ht="12.75" x14ac:dyDescent="0.2">
      <c r="G4219" s="19"/>
    </row>
    <row r="4220" spans="7:7" ht="12.75" x14ac:dyDescent="0.2">
      <c r="G4220" s="19"/>
    </row>
    <row r="4221" spans="7:7" ht="12.75" x14ac:dyDescent="0.2">
      <c r="G4221" s="19"/>
    </row>
    <row r="4222" spans="7:7" ht="12.75" x14ac:dyDescent="0.2">
      <c r="G4222" s="19"/>
    </row>
    <row r="4223" spans="7:7" ht="12.75" x14ac:dyDescent="0.2">
      <c r="G4223" s="19"/>
    </row>
    <row r="4224" spans="7:7" ht="12.75" x14ac:dyDescent="0.2">
      <c r="G4224" s="19"/>
    </row>
    <row r="4225" spans="7:7" ht="12.75" x14ac:dyDescent="0.2">
      <c r="G4225" s="19"/>
    </row>
    <row r="4226" spans="7:7" ht="12.75" x14ac:dyDescent="0.2">
      <c r="G4226" s="19"/>
    </row>
    <row r="4227" spans="7:7" ht="12.75" x14ac:dyDescent="0.2">
      <c r="G4227" s="19"/>
    </row>
    <row r="4228" spans="7:7" ht="12.75" x14ac:dyDescent="0.2">
      <c r="G4228" s="19"/>
    </row>
    <row r="4229" spans="7:7" ht="12.75" x14ac:dyDescent="0.2">
      <c r="G4229" s="19"/>
    </row>
    <row r="4230" spans="7:7" ht="12.75" x14ac:dyDescent="0.2">
      <c r="G4230" s="19"/>
    </row>
    <row r="4231" spans="7:7" ht="12.75" x14ac:dyDescent="0.2">
      <c r="G4231" s="19"/>
    </row>
    <row r="4232" spans="7:7" ht="12.75" x14ac:dyDescent="0.2">
      <c r="G4232" s="19"/>
    </row>
    <row r="4233" spans="7:7" ht="12.75" x14ac:dyDescent="0.2">
      <c r="G4233" s="19"/>
    </row>
    <row r="4234" spans="7:7" ht="12.75" x14ac:dyDescent="0.2">
      <c r="G4234" s="19"/>
    </row>
    <row r="4235" spans="7:7" ht="12.75" x14ac:dyDescent="0.2">
      <c r="G4235" s="19"/>
    </row>
    <row r="4236" spans="7:7" ht="12.75" x14ac:dyDescent="0.2">
      <c r="G4236" s="19"/>
    </row>
    <row r="4237" spans="7:7" ht="12.75" x14ac:dyDescent="0.2">
      <c r="G4237" s="19"/>
    </row>
    <row r="4238" spans="7:7" ht="12.75" x14ac:dyDescent="0.2">
      <c r="G4238" s="19"/>
    </row>
    <row r="4239" spans="7:7" ht="12.75" x14ac:dyDescent="0.2">
      <c r="G4239" s="19"/>
    </row>
    <row r="4240" spans="7:7" ht="12.75" x14ac:dyDescent="0.2">
      <c r="G4240" s="19"/>
    </row>
    <row r="4241" spans="7:7" ht="12.75" x14ac:dyDescent="0.2">
      <c r="G4241" s="19"/>
    </row>
    <row r="4242" spans="7:7" ht="12.75" x14ac:dyDescent="0.2">
      <c r="G4242" s="19"/>
    </row>
    <row r="4243" spans="7:7" ht="12.75" x14ac:dyDescent="0.2">
      <c r="G4243" s="19"/>
    </row>
    <row r="4244" spans="7:7" ht="12.75" x14ac:dyDescent="0.2">
      <c r="G4244" s="19"/>
    </row>
    <row r="4245" spans="7:7" ht="12.75" x14ac:dyDescent="0.2">
      <c r="G4245" s="19"/>
    </row>
    <row r="4246" spans="7:7" ht="12.75" x14ac:dyDescent="0.2">
      <c r="G4246" s="19"/>
    </row>
    <row r="4247" spans="7:7" ht="12.75" x14ac:dyDescent="0.2">
      <c r="G4247" s="19"/>
    </row>
    <row r="4248" spans="7:7" ht="12.75" x14ac:dyDescent="0.2">
      <c r="G4248" s="19"/>
    </row>
  </sheetData>
  <autoFilter ref="A5:G5" xr:uid="{51F146B4-35AB-49FB-96CB-5353E7A2F28E}"/>
  <mergeCells count="90">
    <mergeCell ref="G1476:G1505"/>
    <mergeCell ref="G1506:G1535"/>
    <mergeCell ref="G1536:G1565"/>
    <mergeCell ref="G1566:G1595"/>
    <mergeCell ref="G1596:G1625"/>
    <mergeCell ref="G1626:G1655"/>
    <mergeCell ref="G1656:G1685"/>
    <mergeCell ref="G1686:G1715"/>
    <mergeCell ref="G1716:G1745"/>
    <mergeCell ref="G1746:G1775"/>
    <mergeCell ref="G1776:G1805"/>
    <mergeCell ref="G1806:G1835"/>
    <mergeCell ref="G1836:G1865"/>
    <mergeCell ref="G1866:G1895"/>
    <mergeCell ref="G1896:G1925"/>
    <mergeCell ref="G1926:G1955"/>
    <mergeCell ref="G1956:G1985"/>
    <mergeCell ref="G1986:G2015"/>
    <mergeCell ref="G2016:G2045"/>
    <mergeCell ref="G2046:G2075"/>
    <mergeCell ref="G2076:G2105"/>
    <mergeCell ref="G2106:G2135"/>
    <mergeCell ref="G2136:G2165"/>
    <mergeCell ref="G2166:G2195"/>
    <mergeCell ref="G2196:G2225"/>
    <mergeCell ref="G2226:G2255"/>
    <mergeCell ref="G2256:G2285"/>
    <mergeCell ref="G2286:G2315"/>
    <mergeCell ref="G2526:G2555"/>
    <mergeCell ref="G2556:G2585"/>
    <mergeCell ref="G2586:G2615"/>
    <mergeCell ref="G2616:G2645"/>
    <mergeCell ref="G2646:G2675"/>
    <mergeCell ref="G2676:G2705"/>
    <mergeCell ref="G2316:G2345"/>
    <mergeCell ref="G2346:G2375"/>
    <mergeCell ref="G2376:G2405"/>
    <mergeCell ref="G2406:G2435"/>
    <mergeCell ref="G2436:G2465"/>
    <mergeCell ref="G2466:G2495"/>
    <mergeCell ref="G2496:G2525"/>
    <mergeCell ref="G6:G35"/>
    <mergeCell ref="G36:G65"/>
    <mergeCell ref="G66:G95"/>
    <mergeCell ref="G96:G125"/>
    <mergeCell ref="G126:G155"/>
    <mergeCell ref="G156:G185"/>
    <mergeCell ref="G186:G215"/>
    <mergeCell ref="G216:G245"/>
    <mergeCell ref="G246:G275"/>
    <mergeCell ref="G276:G305"/>
    <mergeCell ref="G306:G335"/>
    <mergeCell ref="G336:G365"/>
    <mergeCell ref="G366:G395"/>
    <mergeCell ref="G396:G425"/>
    <mergeCell ref="G426:G455"/>
    <mergeCell ref="G456:G485"/>
    <mergeCell ref="G486:G515"/>
    <mergeCell ref="G516:G545"/>
    <mergeCell ref="G546:G575"/>
    <mergeCell ref="G576:G605"/>
    <mergeCell ref="G606:G635"/>
    <mergeCell ref="G636:G665"/>
    <mergeCell ref="G666:G695"/>
    <mergeCell ref="G696:G725"/>
    <mergeCell ref="G726:G755"/>
    <mergeCell ref="G756:G785"/>
    <mergeCell ref="G786:G815"/>
    <mergeCell ref="G816:G845"/>
    <mergeCell ref="G846:G875"/>
    <mergeCell ref="G876:G905"/>
    <mergeCell ref="G906:G935"/>
    <mergeCell ref="G936:G965"/>
    <mergeCell ref="G966:G995"/>
    <mergeCell ref="G996:G1025"/>
    <mergeCell ref="G1026:G1055"/>
    <mergeCell ref="G1056:G1085"/>
    <mergeCell ref="G1086:G1115"/>
    <mergeCell ref="G1116:G1145"/>
    <mergeCell ref="G1146:G1175"/>
    <mergeCell ref="G1176:G1205"/>
    <mergeCell ref="G1356:G1385"/>
    <mergeCell ref="G1386:G1415"/>
    <mergeCell ref="G1416:G1445"/>
    <mergeCell ref="G1446:G1475"/>
    <mergeCell ref="G1206:G1235"/>
    <mergeCell ref="G1236:G1265"/>
    <mergeCell ref="G1266:G1295"/>
    <mergeCell ref="G1296:G1325"/>
    <mergeCell ref="G1326:G1355"/>
  </mergeCells>
  <dataValidations count="2">
    <dataValidation type="list" allowBlank="1" sqref="C1:C4246" xr:uid="{00000000-0002-0000-0D00-000000000000}">
      <formula1>$I$4:$I$22</formula1>
    </dataValidation>
    <dataValidation type="list" allowBlank="1" sqref="D1:D4246" xr:uid="{00000000-0002-0000-0D00-000002000000}">
      <formula1>$J$4:$J$135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1000000}">
          <x14:formula1>
            <xm:f>'Copia de Localidades'!$A$4:$A$121</xm:f>
          </x14:formula1>
          <xm:sqref>B1:B4246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840"/>
  <sheetViews>
    <sheetView showGridLines="0" workbookViewId="0">
      <selection activeCell="J14" sqref="J14"/>
    </sheetView>
  </sheetViews>
  <sheetFormatPr baseColWidth="10" defaultColWidth="14.42578125" defaultRowHeight="21" customHeight="1" x14ac:dyDescent="0.2"/>
  <cols>
    <col min="1" max="1" width="34.7109375" customWidth="1"/>
    <col min="2" max="2" width="16.42578125" bestFit="1" customWidth="1"/>
    <col min="3" max="3" width="19.85546875" style="54" customWidth="1"/>
    <col min="4" max="4" width="14.42578125" style="52"/>
    <col min="5" max="5" width="14.42578125" style="54"/>
    <col min="6" max="6" width="14.42578125" style="52"/>
    <col min="7" max="7" width="14.42578125" style="54"/>
    <col min="8" max="8" width="14.42578125" style="52"/>
    <col min="9" max="9" width="14.42578125" style="54"/>
    <col min="10" max="10" width="14.42578125" style="52"/>
  </cols>
  <sheetData>
    <row r="1" spans="1:26" ht="21" customHeight="1" x14ac:dyDescent="0.2">
      <c r="C1" s="53"/>
      <c r="D1" s="13"/>
      <c r="E1" s="53"/>
      <c r="F1" s="13"/>
    </row>
    <row r="2" spans="1:26" ht="21" customHeight="1" x14ac:dyDescent="0.2">
      <c r="C2" s="53"/>
      <c r="D2" s="13"/>
      <c r="E2" s="53"/>
      <c r="F2" s="13"/>
    </row>
    <row r="3" spans="1:26" ht="21" customHeight="1" x14ac:dyDescent="0.2">
      <c r="A3" s="74"/>
      <c r="B3" s="75"/>
      <c r="C3" s="76" t="s">
        <v>116</v>
      </c>
      <c r="D3" s="77" t="s">
        <v>119</v>
      </c>
      <c r="E3" s="78" t="s">
        <v>178</v>
      </c>
      <c r="F3" s="79"/>
      <c r="G3" s="79"/>
      <c r="H3" s="80"/>
      <c r="I3"/>
      <c r="J3"/>
    </row>
    <row r="4" spans="1:26" s="51" customFormat="1" ht="21" customHeight="1" x14ac:dyDescent="0.2">
      <c r="A4" s="81"/>
      <c r="B4" s="82"/>
      <c r="C4" s="83" t="s">
        <v>176</v>
      </c>
      <c r="D4" s="84"/>
      <c r="E4" s="83" t="s">
        <v>124</v>
      </c>
      <c r="F4" s="84"/>
      <c r="G4" s="85" t="s">
        <v>160</v>
      </c>
      <c r="H4" s="80"/>
      <c r="I4"/>
      <c r="J4"/>
    </row>
    <row r="5" spans="1:26" ht="21" customHeight="1" x14ac:dyDescent="0.2">
      <c r="A5" s="81"/>
      <c r="B5" s="82"/>
      <c r="C5" s="83" t="s">
        <v>125</v>
      </c>
      <c r="D5" s="84"/>
      <c r="E5" s="74" t="s">
        <v>125</v>
      </c>
      <c r="F5" s="75"/>
      <c r="G5" s="102"/>
      <c r="H5" s="103"/>
      <c r="I5"/>
      <c r="J5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1" customHeight="1" x14ac:dyDescent="0.2">
      <c r="A6" s="86" t="s">
        <v>118</v>
      </c>
      <c r="B6" s="86" t="s">
        <v>179</v>
      </c>
      <c r="C6" s="83" t="s">
        <v>180</v>
      </c>
      <c r="D6" s="87" t="s">
        <v>181</v>
      </c>
      <c r="E6" s="85" t="s">
        <v>180</v>
      </c>
      <c r="F6" s="87" t="s">
        <v>181</v>
      </c>
      <c r="G6" s="74" t="s">
        <v>180</v>
      </c>
      <c r="H6" s="104" t="s">
        <v>181</v>
      </c>
      <c r="I6"/>
      <c r="J6"/>
    </row>
    <row r="7" spans="1:26" ht="21" customHeight="1" x14ac:dyDescent="0.2">
      <c r="A7" s="74" t="s">
        <v>40</v>
      </c>
      <c r="B7" s="75"/>
      <c r="C7" s="83">
        <v>65254</v>
      </c>
      <c r="D7" s="88">
        <v>0.34105115715092094</v>
      </c>
      <c r="E7" s="83">
        <v>68264</v>
      </c>
      <c r="F7" s="88">
        <v>0.31174334969745404</v>
      </c>
      <c r="G7" s="99">
        <v>131130</v>
      </c>
      <c r="H7" s="89">
        <v>0.30310945503633707</v>
      </c>
      <c r="I7"/>
      <c r="J7"/>
    </row>
    <row r="8" spans="1:26" ht="21" customHeight="1" x14ac:dyDescent="0.2">
      <c r="A8" s="74" t="s">
        <v>84</v>
      </c>
      <c r="B8" s="74" t="s">
        <v>137</v>
      </c>
      <c r="C8" s="83">
        <v>6373</v>
      </c>
      <c r="D8" s="88">
        <v>0.29897729405141676</v>
      </c>
      <c r="E8" s="83">
        <v>16854</v>
      </c>
      <c r="F8" s="88">
        <v>0.4085521053014326</v>
      </c>
      <c r="G8" s="99">
        <v>36636</v>
      </c>
      <c r="H8" s="89">
        <v>0.47850164568204379</v>
      </c>
      <c r="I8"/>
      <c r="J8"/>
    </row>
    <row r="9" spans="1:26" ht="21" customHeight="1" x14ac:dyDescent="0.2">
      <c r="A9" s="81"/>
      <c r="B9" s="90" t="s">
        <v>127</v>
      </c>
      <c r="C9" s="91">
        <v>12613</v>
      </c>
      <c r="D9" s="92">
        <v>0.59171514355413779</v>
      </c>
      <c r="E9" s="91">
        <v>21991</v>
      </c>
      <c r="F9" s="92">
        <v>0.5330763823237098</v>
      </c>
      <c r="G9" s="100">
        <v>22747</v>
      </c>
      <c r="H9" s="93">
        <v>0.29709785277676193</v>
      </c>
      <c r="I9"/>
      <c r="J9"/>
    </row>
    <row r="10" spans="1:26" ht="21" customHeight="1" x14ac:dyDescent="0.2">
      <c r="A10" s="81"/>
      <c r="B10" s="90" t="s">
        <v>131</v>
      </c>
      <c r="C10" s="91">
        <v>1170</v>
      </c>
      <c r="D10" s="92">
        <v>5.4888346781760182E-2</v>
      </c>
      <c r="E10" s="91">
        <v>1783</v>
      </c>
      <c r="F10" s="92">
        <v>4.3221099071582676E-2</v>
      </c>
      <c r="G10" s="100">
        <v>13211</v>
      </c>
      <c r="H10" s="93">
        <v>0.17254845619351131</v>
      </c>
      <c r="I10"/>
      <c r="J10"/>
    </row>
    <row r="11" spans="1:26" ht="21" customHeight="1" x14ac:dyDescent="0.2">
      <c r="A11" s="81"/>
      <c r="B11" s="90" t="s">
        <v>123</v>
      </c>
      <c r="C11" s="91">
        <v>1160</v>
      </c>
      <c r="D11" s="92">
        <v>5.4419215612685305E-2</v>
      </c>
      <c r="E11" s="91">
        <v>625</v>
      </c>
      <c r="F11" s="92">
        <v>1.5150413303274914E-2</v>
      </c>
      <c r="G11" s="100">
        <v>3970</v>
      </c>
      <c r="H11" s="93">
        <v>5.1852045347682986E-2</v>
      </c>
      <c r="I11"/>
      <c r="J11"/>
    </row>
    <row r="12" spans="1:26" ht="21" customHeight="1" x14ac:dyDescent="0.2">
      <c r="A12" s="74" t="s">
        <v>182</v>
      </c>
      <c r="B12" s="75"/>
      <c r="C12" s="83">
        <v>21316</v>
      </c>
      <c r="D12" s="88">
        <v>0.11140844187067506</v>
      </c>
      <c r="E12" s="83">
        <v>41253</v>
      </c>
      <c r="F12" s="88">
        <v>0.18839136887772576</v>
      </c>
      <c r="G12" s="99">
        <v>76564</v>
      </c>
      <c r="H12" s="89">
        <v>0.17697912236255708</v>
      </c>
      <c r="I12"/>
      <c r="J12"/>
      <c r="K12">
        <f>9128+7839</f>
        <v>16967</v>
      </c>
    </row>
    <row r="13" spans="1:26" ht="21" customHeight="1" x14ac:dyDescent="0.2">
      <c r="A13" s="74" t="s">
        <v>106</v>
      </c>
      <c r="B13" s="74" t="s">
        <v>137</v>
      </c>
      <c r="C13" s="83">
        <v>3678</v>
      </c>
      <c r="D13" s="88">
        <v>0.40880293431143716</v>
      </c>
      <c r="E13" s="83">
        <v>4247</v>
      </c>
      <c r="F13" s="88">
        <v>0.46364628820960696</v>
      </c>
      <c r="G13" s="99">
        <v>10328</v>
      </c>
      <c r="H13" s="89">
        <v>0.54703389830508475</v>
      </c>
      <c r="I13"/>
      <c r="J13"/>
    </row>
    <row r="14" spans="1:26" ht="21" customHeight="1" x14ac:dyDescent="0.2">
      <c r="A14" s="81"/>
      <c r="B14" s="90" t="s">
        <v>127</v>
      </c>
      <c r="C14" s="91">
        <v>4242</v>
      </c>
      <c r="D14" s="92">
        <v>0.47149049683227745</v>
      </c>
      <c r="E14" s="91">
        <v>4046</v>
      </c>
      <c r="F14" s="92">
        <v>0.44170305676855898</v>
      </c>
      <c r="G14" s="100">
        <v>4131</v>
      </c>
      <c r="H14" s="93">
        <v>0.21880296610169492</v>
      </c>
      <c r="I14"/>
      <c r="J14"/>
    </row>
    <row r="15" spans="1:26" ht="21" customHeight="1" x14ac:dyDescent="0.2">
      <c r="A15" s="81"/>
      <c r="B15" s="90" t="s">
        <v>131</v>
      </c>
      <c r="C15" s="91">
        <v>621</v>
      </c>
      <c r="D15" s="92">
        <v>6.9023007669223077E-2</v>
      </c>
      <c r="E15" s="91">
        <v>602</v>
      </c>
      <c r="F15" s="92">
        <v>6.5720524017467252E-2</v>
      </c>
      <c r="G15" s="100">
        <v>3495</v>
      </c>
      <c r="H15" s="93">
        <v>0.18511652542372881</v>
      </c>
      <c r="I15"/>
      <c r="J15"/>
    </row>
    <row r="16" spans="1:26" ht="21" customHeight="1" x14ac:dyDescent="0.2">
      <c r="A16" s="81"/>
      <c r="B16" s="90" t="s">
        <v>123</v>
      </c>
      <c r="C16" s="91">
        <v>456</v>
      </c>
      <c r="D16" s="92">
        <v>5.0683561187062354E-2</v>
      </c>
      <c r="E16" s="91">
        <v>265</v>
      </c>
      <c r="F16" s="92">
        <v>2.8930131004366814E-2</v>
      </c>
      <c r="G16" s="100">
        <v>926</v>
      </c>
      <c r="H16" s="93">
        <v>4.9046610169491522E-2</v>
      </c>
      <c r="I16"/>
      <c r="J16"/>
    </row>
    <row r="17" spans="1:10" ht="21" customHeight="1" x14ac:dyDescent="0.2">
      <c r="A17" s="74" t="s">
        <v>183</v>
      </c>
      <c r="B17" s="75"/>
      <c r="C17" s="83">
        <v>8997</v>
      </c>
      <c r="D17" s="88">
        <v>4.7022975769865992E-2</v>
      </c>
      <c r="E17" s="83">
        <v>9160</v>
      </c>
      <c r="F17" s="88">
        <v>4.183125927617308E-2</v>
      </c>
      <c r="G17" s="99">
        <v>18880</v>
      </c>
      <c r="H17" s="89">
        <v>4.3641474194204562E-2</v>
      </c>
      <c r="I17"/>
      <c r="J17"/>
    </row>
    <row r="18" spans="1:10" ht="21" customHeight="1" x14ac:dyDescent="0.2">
      <c r="A18" s="74" t="s">
        <v>113</v>
      </c>
      <c r="B18" s="74" t="s">
        <v>137</v>
      </c>
      <c r="C18" s="83">
        <v>2319</v>
      </c>
      <c r="D18" s="88">
        <v>0.28516969995081159</v>
      </c>
      <c r="E18" s="83">
        <v>3096</v>
      </c>
      <c r="F18" s="88">
        <v>0.35945663531870431</v>
      </c>
      <c r="G18" s="99">
        <v>5764</v>
      </c>
      <c r="H18" s="89">
        <v>0.32668329177057359</v>
      </c>
      <c r="I18"/>
      <c r="J18"/>
    </row>
    <row r="19" spans="1:10" ht="21" customHeight="1" x14ac:dyDescent="0.2">
      <c r="A19" s="81"/>
      <c r="B19" s="90" t="s">
        <v>127</v>
      </c>
      <c r="C19" s="91">
        <v>4767</v>
      </c>
      <c r="D19" s="92">
        <v>0.58620265617314316</v>
      </c>
      <c r="E19" s="91">
        <v>4717</v>
      </c>
      <c r="F19" s="92">
        <v>0.54766051317775455</v>
      </c>
      <c r="G19" s="100">
        <v>5961</v>
      </c>
      <c r="H19" s="93">
        <v>0.33784856041713895</v>
      </c>
      <c r="I19"/>
      <c r="J19"/>
    </row>
    <row r="20" spans="1:10" ht="21" customHeight="1" x14ac:dyDescent="0.2">
      <c r="A20" s="81"/>
      <c r="B20" s="90" t="s">
        <v>131</v>
      </c>
      <c r="C20" s="91">
        <v>379</v>
      </c>
      <c r="D20" s="92">
        <v>4.6606000983767833E-2</v>
      </c>
      <c r="E20" s="91">
        <v>457</v>
      </c>
      <c r="F20" s="92">
        <v>5.3059328921397884E-2</v>
      </c>
      <c r="G20" s="100">
        <v>3998</v>
      </c>
      <c r="H20" s="93">
        <v>0.22659260938562684</v>
      </c>
      <c r="I20"/>
      <c r="J20"/>
    </row>
    <row r="21" spans="1:10" ht="21" customHeight="1" x14ac:dyDescent="0.2">
      <c r="A21" s="81"/>
      <c r="B21" s="90" t="s">
        <v>123</v>
      </c>
      <c r="C21" s="91">
        <v>667</v>
      </c>
      <c r="D21" s="92">
        <v>8.2021642892277424E-2</v>
      </c>
      <c r="E21" s="91">
        <v>343</v>
      </c>
      <c r="F21" s="92">
        <v>3.9823522582143271E-2</v>
      </c>
      <c r="G21" s="100">
        <v>1921</v>
      </c>
      <c r="H21" s="93">
        <v>0.10887553842666062</v>
      </c>
      <c r="I21"/>
      <c r="J21"/>
    </row>
    <row r="22" spans="1:10" ht="21" customHeight="1" x14ac:dyDescent="0.2">
      <c r="A22" s="74" t="s">
        <v>184</v>
      </c>
      <c r="B22" s="75"/>
      <c r="C22" s="83">
        <v>8132</v>
      </c>
      <c r="D22" s="88">
        <v>4.2502038341730601E-2</v>
      </c>
      <c r="E22" s="83">
        <v>8613</v>
      </c>
      <c r="F22" s="88">
        <v>3.9333257221143968E-2</v>
      </c>
      <c r="G22" s="99">
        <v>17644</v>
      </c>
      <c r="H22" s="89">
        <v>4.0784437006490745E-2</v>
      </c>
      <c r="I22"/>
      <c r="J22"/>
    </row>
    <row r="23" spans="1:10" ht="21" customHeight="1" x14ac:dyDescent="0.2">
      <c r="A23" s="74" t="s">
        <v>57</v>
      </c>
      <c r="B23" s="74" t="s">
        <v>137</v>
      </c>
      <c r="C23" s="83">
        <v>2488</v>
      </c>
      <c r="D23" s="88">
        <v>0.3824750192159877</v>
      </c>
      <c r="E23" s="83">
        <v>3100</v>
      </c>
      <c r="F23" s="88">
        <v>0.47980188825259246</v>
      </c>
      <c r="G23" s="99">
        <v>5628</v>
      </c>
      <c r="H23" s="89">
        <v>0.40582636284972601</v>
      </c>
      <c r="I23"/>
      <c r="J23"/>
    </row>
    <row r="24" spans="1:10" ht="21" customHeight="1" x14ac:dyDescent="0.2">
      <c r="A24" s="81"/>
      <c r="B24" s="90" t="s">
        <v>127</v>
      </c>
      <c r="C24" s="91">
        <v>3365</v>
      </c>
      <c r="D24" s="92">
        <v>0.51729438893159108</v>
      </c>
      <c r="E24" s="91">
        <v>2839</v>
      </c>
      <c r="F24" s="92">
        <v>0.43940566475777743</v>
      </c>
      <c r="G24" s="100">
        <v>5761</v>
      </c>
      <c r="H24" s="93">
        <v>0.41541678684741851</v>
      </c>
      <c r="I24"/>
      <c r="J24"/>
    </row>
    <row r="25" spans="1:10" ht="21" customHeight="1" x14ac:dyDescent="0.2">
      <c r="A25" s="81"/>
      <c r="B25" s="90" t="s">
        <v>131</v>
      </c>
      <c r="C25" s="91">
        <v>267</v>
      </c>
      <c r="D25" s="92">
        <v>4.104534973097617E-2</v>
      </c>
      <c r="E25" s="91">
        <v>298</v>
      </c>
      <c r="F25" s="92">
        <v>4.6122891193313725E-2</v>
      </c>
      <c r="G25" s="100">
        <v>1890</v>
      </c>
      <c r="H25" s="93">
        <v>0.13628497259878858</v>
      </c>
      <c r="I25"/>
      <c r="J25"/>
    </row>
    <row r="26" spans="1:10" ht="21" customHeight="1" x14ac:dyDescent="0.2">
      <c r="A26" s="81"/>
      <c r="B26" s="90" t="s">
        <v>123</v>
      </c>
      <c r="C26" s="91">
        <v>385</v>
      </c>
      <c r="D26" s="92">
        <v>5.9185242121445041E-2</v>
      </c>
      <c r="E26" s="91">
        <v>224</v>
      </c>
      <c r="F26" s="92">
        <v>3.4669555796316358E-2</v>
      </c>
      <c r="G26" s="100">
        <v>589</v>
      </c>
      <c r="H26" s="93">
        <v>4.2471877704066914E-2</v>
      </c>
      <c r="I26"/>
      <c r="J26"/>
    </row>
    <row r="27" spans="1:10" ht="21" customHeight="1" x14ac:dyDescent="0.2">
      <c r="A27" s="74" t="s">
        <v>185</v>
      </c>
      <c r="B27" s="75"/>
      <c r="C27" s="83">
        <v>6505</v>
      </c>
      <c r="D27" s="88">
        <v>3.3998494763029706E-2</v>
      </c>
      <c r="E27" s="83">
        <v>6461</v>
      </c>
      <c r="F27" s="88">
        <v>2.9505651330060507E-2</v>
      </c>
      <c r="G27" s="99">
        <v>13868</v>
      </c>
      <c r="H27" s="89">
        <v>3.2056142167649834E-2</v>
      </c>
      <c r="I27"/>
      <c r="J27"/>
    </row>
    <row r="28" spans="1:10" ht="21" customHeight="1" x14ac:dyDescent="0.2">
      <c r="A28" s="74" t="s">
        <v>86</v>
      </c>
      <c r="B28" s="74" t="s">
        <v>137</v>
      </c>
      <c r="C28" s="83">
        <v>2016</v>
      </c>
      <c r="D28" s="88">
        <v>0.384586035864174</v>
      </c>
      <c r="E28" s="83">
        <v>2917</v>
      </c>
      <c r="F28" s="88">
        <v>0.48495428096425602</v>
      </c>
      <c r="G28" s="99">
        <v>5936</v>
      </c>
      <c r="H28" s="89">
        <v>0.49171636845593109</v>
      </c>
      <c r="I28"/>
      <c r="J28"/>
    </row>
    <row r="29" spans="1:10" ht="21" customHeight="1" x14ac:dyDescent="0.2">
      <c r="A29" s="81"/>
      <c r="B29" s="90" t="s">
        <v>127</v>
      </c>
      <c r="C29" s="91">
        <v>2534</v>
      </c>
      <c r="D29" s="92">
        <v>0.48340328119038534</v>
      </c>
      <c r="E29" s="91">
        <v>2548</v>
      </c>
      <c r="F29" s="92">
        <v>0.42360764754779717</v>
      </c>
      <c r="G29" s="100">
        <v>2113</v>
      </c>
      <c r="H29" s="93">
        <v>0.17503313452617628</v>
      </c>
      <c r="I29"/>
      <c r="J29"/>
    </row>
    <row r="30" spans="1:10" ht="21" customHeight="1" x14ac:dyDescent="0.2">
      <c r="A30" s="81"/>
      <c r="B30" s="90" t="s">
        <v>131</v>
      </c>
      <c r="C30" s="91">
        <v>280</v>
      </c>
      <c r="D30" s="92">
        <v>5.34147272033575E-2</v>
      </c>
      <c r="E30" s="91">
        <v>339</v>
      </c>
      <c r="F30" s="92">
        <v>5.6359102244389024E-2</v>
      </c>
      <c r="G30" s="100">
        <v>2206</v>
      </c>
      <c r="H30" s="93">
        <v>0.18273691186216037</v>
      </c>
      <c r="I30"/>
      <c r="J30"/>
    </row>
    <row r="31" spans="1:10" ht="21" customHeight="1" x14ac:dyDescent="0.2">
      <c r="A31" s="81"/>
      <c r="B31" s="90" t="s">
        <v>123</v>
      </c>
      <c r="C31" s="91">
        <v>412</v>
      </c>
      <c r="D31" s="92">
        <v>7.8595955742083168E-2</v>
      </c>
      <c r="E31" s="91">
        <v>211</v>
      </c>
      <c r="F31" s="92">
        <v>3.5078969243557773E-2</v>
      </c>
      <c r="G31" s="100">
        <v>1817</v>
      </c>
      <c r="H31" s="93">
        <v>0.15051358515573227</v>
      </c>
      <c r="I31"/>
      <c r="J31"/>
    </row>
    <row r="32" spans="1:10" ht="21" customHeight="1" x14ac:dyDescent="0.2">
      <c r="A32" s="74" t="s">
        <v>186</v>
      </c>
      <c r="B32" s="75"/>
      <c r="C32" s="83">
        <v>5242</v>
      </c>
      <c r="D32" s="88">
        <v>2.7397403466226246E-2</v>
      </c>
      <c r="E32" s="83">
        <v>6015</v>
      </c>
      <c r="F32" s="88">
        <v>2.7468889142596188E-2</v>
      </c>
      <c r="G32" s="99">
        <v>12072</v>
      </c>
      <c r="H32" s="89">
        <v>2.7904654474175714E-2</v>
      </c>
      <c r="I32"/>
      <c r="J32"/>
    </row>
    <row r="33" spans="1:10" ht="21" customHeight="1" x14ac:dyDescent="0.2">
      <c r="A33" s="74" t="s">
        <v>52</v>
      </c>
      <c r="B33" s="74" t="s">
        <v>137</v>
      </c>
      <c r="C33" s="83">
        <v>1706</v>
      </c>
      <c r="D33" s="88">
        <v>0.31739534883720932</v>
      </c>
      <c r="E33" s="83">
        <v>2257</v>
      </c>
      <c r="F33" s="88">
        <v>0.40542482486078679</v>
      </c>
      <c r="G33" s="99">
        <v>6213</v>
      </c>
      <c r="H33" s="89">
        <v>0.53166181755947284</v>
      </c>
      <c r="I33"/>
      <c r="J33"/>
    </row>
    <row r="34" spans="1:10" ht="21" customHeight="1" x14ac:dyDescent="0.2">
      <c r="A34" s="81"/>
      <c r="B34" s="90" t="s">
        <v>127</v>
      </c>
      <c r="C34" s="91">
        <v>3201</v>
      </c>
      <c r="D34" s="92">
        <v>0.59553488372093022</v>
      </c>
      <c r="E34" s="91">
        <v>2971</v>
      </c>
      <c r="F34" s="92">
        <v>0.53368061792707022</v>
      </c>
      <c r="G34" s="100">
        <v>1590</v>
      </c>
      <c r="H34" s="93">
        <v>0.13606024302584288</v>
      </c>
      <c r="I34"/>
      <c r="J34"/>
    </row>
    <row r="35" spans="1:10" ht="21" customHeight="1" x14ac:dyDescent="0.2">
      <c r="A35" s="81"/>
      <c r="B35" s="90" t="s">
        <v>131</v>
      </c>
      <c r="C35" s="91">
        <v>182</v>
      </c>
      <c r="D35" s="92">
        <v>3.3860465116279069E-2</v>
      </c>
      <c r="E35" s="91">
        <v>200</v>
      </c>
      <c r="F35" s="92">
        <v>3.5925992455541587E-2</v>
      </c>
      <c r="G35" s="100">
        <v>2892</v>
      </c>
      <c r="H35" s="93">
        <v>0.24747561184323122</v>
      </c>
      <c r="I35"/>
      <c r="J35"/>
    </row>
    <row r="36" spans="1:10" ht="21" customHeight="1" x14ac:dyDescent="0.2">
      <c r="A36" s="81"/>
      <c r="B36" s="90" t="s">
        <v>123</v>
      </c>
      <c r="C36" s="91">
        <v>286</v>
      </c>
      <c r="D36" s="92">
        <v>5.3209302325581395E-2</v>
      </c>
      <c r="E36" s="91">
        <v>139</v>
      </c>
      <c r="F36" s="92">
        <v>2.4968564756601402E-2</v>
      </c>
      <c r="G36" s="100">
        <v>991</v>
      </c>
      <c r="H36" s="93">
        <v>8.4802327571453021E-2</v>
      </c>
      <c r="I36"/>
      <c r="J36"/>
    </row>
    <row r="37" spans="1:10" ht="21" customHeight="1" x14ac:dyDescent="0.2">
      <c r="A37" s="74" t="s">
        <v>187</v>
      </c>
      <c r="B37" s="75"/>
      <c r="C37" s="83">
        <v>5375</v>
      </c>
      <c r="D37" s="88">
        <v>2.8092530261534923E-2</v>
      </c>
      <c r="E37" s="83">
        <v>5567</v>
      </c>
      <c r="F37" s="88">
        <v>2.542299349240781E-2</v>
      </c>
      <c r="G37" s="99">
        <v>11686</v>
      </c>
      <c r="H37" s="89">
        <v>2.7012408232705218E-2</v>
      </c>
      <c r="I37"/>
      <c r="J37"/>
    </row>
    <row r="38" spans="1:10" ht="21" customHeight="1" x14ac:dyDescent="0.2">
      <c r="A38" s="74" t="s">
        <v>105</v>
      </c>
      <c r="B38" s="74" t="s">
        <v>137</v>
      </c>
      <c r="C38" s="83">
        <v>1930</v>
      </c>
      <c r="D38" s="88">
        <v>0.38400318344608037</v>
      </c>
      <c r="E38" s="83">
        <v>2177</v>
      </c>
      <c r="F38" s="88">
        <v>0.41466666666666668</v>
      </c>
      <c r="G38" s="99">
        <v>5538</v>
      </c>
      <c r="H38" s="89">
        <v>0.5150669642857143</v>
      </c>
      <c r="I38"/>
      <c r="J38"/>
    </row>
    <row r="39" spans="1:10" ht="21" customHeight="1" x14ac:dyDescent="0.2">
      <c r="A39" s="81"/>
      <c r="B39" s="90" t="s">
        <v>127</v>
      </c>
      <c r="C39" s="91">
        <v>2512</v>
      </c>
      <c r="D39" s="92">
        <v>0.4998010346199761</v>
      </c>
      <c r="E39" s="91">
        <v>2701</v>
      </c>
      <c r="F39" s="92">
        <v>0.51447619047619053</v>
      </c>
      <c r="G39" s="100">
        <v>3854</v>
      </c>
      <c r="H39" s="93">
        <v>0.35844494047619047</v>
      </c>
      <c r="I39"/>
      <c r="J39"/>
    </row>
    <row r="40" spans="1:10" ht="21" customHeight="1" x14ac:dyDescent="0.2">
      <c r="A40" s="81"/>
      <c r="B40" s="90" t="s">
        <v>131</v>
      </c>
      <c r="C40" s="91">
        <v>210</v>
      </c>
      <c r="D40" s="92">
        <v>4.1782729805013928E-2</v>
      </c>
      <c r="E40" s="91">
        <v>201</v>
      </c>
      <c r="F40" s="92">
        <v>3.8285714285714284E-2</v>
      </c>
      <c r="G40" s="100">
        <v>821</v>
      </c>
      <c r="H40" s="93">
        <v>7.6357886904761904E-2</v>
      </c>
      <c r="I40"/>
      <c r="J40"/>
    </row>
    <row r="41" spans="1:10" ht="21" customHeight="1" x14ac:dyDescent="0.2">
      <c r="A41" s="81"/>
      <c r="B41" s="90" t="s">
        <v>123</v>
      </c>
      <c r="C41" s="91">
        <v>374</v>
      </c>
      <c r="D41" s="92">
        <v>7.4413052128929569E-2</v>
      </c>
      <c r="E41" s="91">
        <v>171</v>
      </c>
      <c r="F41" s="92">
        <v>3.2571428571428571E-2</v>
      </c>
      <c r="G41" s="100">
        <v>539</v>
      </c>
      <c r="H41" s="93">
        <v>5.0130208333333336E-2</v>
      </c>
      <c r="I41"/>
      <c r="J41"/>
    </row>
    <row r="42" spans="1:10" ht="21" customHeight="1" x14ac:dyDescent="0.2">
      <c r="A42" s="74" t="s">
        <v>188</v>
      </c>
      <c r="B42" s="75"/>
      <c r="C42" s="83">
        <v>5026</v>
      </c>
      <c r="D42" s="88">
        <v>2.6268475738506887E-2</v>
      </c>
      <c r="E42" s="83">
        <v>5250</v>
      </c>
      <c r="F42" s="88">
        <v>2.397533965064505E-2</v>
      </c>
      <c r="G42" s="99">
        <v>10752</v>
      </c>
      <c r="H42" s="89">
        <v>2.4853449710597851E-2</v>
      </c>
      <c r="I42"/>
      <c r="J42"/>
    </row>
    <row r="43" spans="1:10" ht="21" customHeight="1" x14ac:dyDescent="0.2">
      <c r="A43" s="74" t="s">
        <v>78</v>
      </c>
      <c r="B43" s="74">
        <v>0</v>
      </c>
      <c r="C43" s="83"/>
      <c r="D43" s="88">
        <v>0</v>
      </c>
      <c r="E43" s="83"/>
      <c r="F43" s="88">
        <v>0</v>
      </c>
      <c r="G43" s="99">
        <v>2188</v>
      </c>
      <c r="H43" s="89">
        <v>0.24182139699381078</v>
      </c>
      <c r="I43"/>
      <c r="J43"/>
    </row>
    <row r="44" spans="1:10" ht="21" customHeight="1" x14ac:dyDescent="0.2">
      <c r="A44" s="81"/>
      <c r="B44" s="90" t="s">
        <v>137</v>
      </c>
      <c r="C44" s="91">
        <v>1695</v>
      </c>
      <c r="D44" s="92">
        <v>0.43042153377348907</v>
      </c>
      <c r="E44" s="91">
        <v>1912</v>
      </c>
      <c r="F44" s="92">
        <v>0.466796875</v>
      </c>
      <c r="G44" s="100">
        <v>4455</v>
      </c>
      <c r="H44" s="93">
        <v>0.49237400530503977</v>
      </c>
      <c r="I44"/>
      <c r="J44"/>
    </row>
    <row r="45" spans="1:10" ht="21" customHeight="1" x14ac:dyDescent="0.2">
      <c r="A45" s="81"/>
      <c r="B45" s="90" t="s">
        <v>127</v>
      </c>
      <c r="C45" s="91">
        <v>1856</v>
      </c>
      <c r="D45" s="92">
        <v>0.47130523108176742</v>
      </c>
      <c r="E45" s="91">
        <v>1935</v>
      </c>
      <c r="F45" s="92">
        <v>0.472412109375</v>
      </c>
      <c r="G45" s="100">
        <v>954</v>
      </c>
      <c r="H45" s="93">
        <v>0.10543766578249338</v>
      </c>
      <c r="I45"/>
      <c r="J45"/>
    </row>
    <row r="46" spans="1:10" ht="21" customHeight="1" x14ac:dyDescent="0.2">
      <c r="A46" s="81"/>
      <c r="B46" s="90" t="s">
        <v>131</v>
      </c>
      <c r="C46" s="91">
        <v>121</v>
      </c>
      <c r="D46" s="92">
        <v>3.0726256983240222E-2</v>
      </c>
      <c r="E46" s="91">
        <v>119</v>
      </c>
      <c r="F46" s="92">
        <v>2.9052734375E-2</v>
      </c>
      <c r="G46" s="100">
        <v>431</v>
      </c>
      <c r="H46" s="93">
        <v>4.7634836427939878E-2</v>
      </c>
      <c r="I46"/>
      <c r="J46"/>
    </row>
    <row r="47" spans="1:10" ht="21" customHeight="1" x14ac:dyDescent="0.2">
      <c r="A47" s="81"/>
      <c r="B47" s="90" t="s">
        <v>123</v>
      </c>
      <c r="C47" s="91">
        <v>266</v>
      </c>
      <c r="D47" s="92">
        <v>6.7546978161503304E-2</v>
      </c>
      <c r="E47" s="91">
        <v>130</v>
      </c>
      <c r="F47" s="92">
        <v>3.173828125E-2</v>
      </c>
      <c r="G47" s="100">
        <v>1020</v>
      </c>
      <c r="H47" s="93">
        <v>0.11273209549071618</v>
      </c>
      <c r="I47"/>
      <c r="J47"/>
    </row>
    <row r="48" spans="1:10" ht="21" customHeight="1" x14ac:dyDescent="0.2">
      <c r="A48" s="74" t="s">
        <v>189</v>
      </c>
      <c r="B48" s="75"/>
      <c r="C48" s="83">
        <v>3938</v>
      </c>
      <c r="D48" s="88">
        <v>2.0582024961846423E-2</v>
      </c>
      <c r="E48" s="83">
        <v>4096</v>
      </c>
      <c r="F48" s="88">
        <v>1.8705331658865166E-2</v>
      </c>
      <c r="G48" s="99">
        <v>9048</v>
      </c>
      <c r="H48" s="89">
        <v>2.0914621743070065E-2</v>
      </c>
      <c r="I48"/>
      <c r="J48"/>
    </row>
    <row r="49" spans="1:10" ht="21" customHeight="1" x14ac:dyDescent="0.2">
      <c r="A49" s="74" t="s">
        <v>25</v>
      </c>
      <c r="B49" s="74" t="s">
        <v>137</v>
      </c>
      <c r="C49" s="83">
        <v>1490</v>
      </c>
      <c r="D49" s="88">
        <v>0.40643753409710859</v>
      </c>
      <c r="E49" s="83">
        <v>1806</v>
      </c>
      <c r="F49" s="88">
        <v>0.4763914534423635</v>
      </c>
      <c r="G49" s="99">
        <v>4375</v>
      </c>
      <c r="H49" s="89">
        <v>0.56291816778178072</v>
      </c>
      <c r="I49"/>
      <c r="J49"/>
    </row>
    <row r="50" spans="1:10" ht="21" customHeight="1" x14ac:dyDescent="0.2">
      <c r="A50" s="81"/>
      <c r="B50" s="90" t="s">
        <v>127</v>
      </c>
      <c r="C50" s="91">
        <v>1894</v>
      </c>
      <c r="D50" s="92">
        <v>0.51663938897981454</v>
      </c>
      <c r="E50" s="91">
        <v>1774</v>
      </c>
      <c r="F50" s="92">
        <v>0.4679504088630968</v>
      </c>
      <c r="G50" s="100">
        <v>2699</v>
      </c>
      <c r="H50" s="93">
        <v>0.34727225939269174</v>
      </c>
      <c r="I50"/>
      <c r="J50"/>
    </row>
    <row r="51" spans="1:10" ht="21" customHeight="1" x14ac:dyDescent="0.2">
      <c r="A51" s="81"/>
      <c r="B51" s="90" t="s">
        <v>131</v>
      </c>
      <c r="C51" s="91">
        <v>110</v>
      </c>
      <c r="D51" s="92">
        <v>3.000545553737043E-2</v>
      </c>
      <c r="E51" s="91">
        <v>106</v>
      </c>
      <c r="F51" s="92">
        <v>2.7960960168820891E-2</v>
      </c>
      <c r="G51" s="100">
        <v>294</v>
      </c>
      <c r="H51" s="93">
        <v>3.7828100874935669E-2</v>
      </c>
      <c r="I51"/>
      <c r="J51"/>
    </row>
    <row r="52" spans="1:10" ht="21" customHeight="1" x14ac:dyDescent="0.2">
      <c r="A52" s="81"/>
      <c r="B52" s="90" t="s">
        <v>123</v>
      </c>
      <c r="C52" s="91">
        <v>172</v>
      </c>
      <c r="D52" s="92">
        <v>4.6917621385706494E-2</v>
      </c>
      <c r="E52" s="91">
        <v>105</v>
      </c>
      <c r="F52" s="92">
        <v>2.7697177525718809E-2</v>
      </c>
      <c r="G52" s="100">
        <v>404</v>
      </c>
      <c r="H52" s="93">
        <v>5.198147195059187E-2</v>
      </c>
      <c r="I52"/>
      <c r="J52"/>
    </row>
    <row r="53" spans="1:10" ht="21" customHeight="1" x14ac:dyDescent="0.2">
      <c r="A53" s="74" t="s">
        <v>190</v>
      </c>
      <c r="B53" s="75"/>
      <c r="C53" s="83">
        <v>3666</v>
      </c>
      <c r="D53" s="88">
        <v>1.9160412267681309E-2</v>
      </c>
      <c r="E53" s="83">
        <v>3791</v>
      </c>
      <c r="F53" s="88">
        <v>1.7312478593446739E-2</v>
      </c>
      <c r="G53" s="99">
        <v>7772</v>
      </c>
      <c r="H53" s="89">
        <v>1.7965123804944801E-2</v>
      </c>
      <c r="I53"/>
      <c r="J53"/>
    </row>
    <row r="54" spans="1:10" ht="21" customHeight="1" x14ac:dyDescent="0.2">
      <c r="A54" s="74" t="s">
        <v>104</v>
      </c>
      <c r="B54" s="74" t="s">
        <v>137</v>
      </c>
      <c r="C54" s="83">
        <v>1420</v>
      </c>
      <c r="D54" s="88">
        <v>0.44250545341227798</v>
      </c>
      <c r="E54" s="83">
        <v>1528</v>
      </c>
      <c r="F54" s="88">
        <v>0.45789631405454001</v>
      </c>
      <c r="G54" s="99">
        <v>3660</v>
      </c>
      <c r="H54" s="89">
        <v>0.5512048192771084</v>
      </c>
      <c r="I54"/>
      <c r="J54"/>
    </row>
    <row r="55" spans="1:10" ht="21" customHeight="1" x14ac:dyDescent="0.2">
      <c r="A55" s="81"/>
      <c r="B55" s="90" t="s">
        <v>127</v>
      </c>
      <c r="C55" s="91">
        <v>1527</v>
      </c>
      <c r="D55" s="92">
        <v>0.47584917419756934</v>
      </c>
      <c r="E55" s="91">
        <v>1643</v>
      </c>
      <c r="F55" s="92">
        <v>0.49235840575367096</v>
      </c>
      <c r="G55" s="100">
        <v>2354</v>
      </c>
      <c r="H55" s="93">
        <v>0.3545180722891566</v>
      </c>
      <c r="I55"/>
      <c r="J55"/>
    </row>
    <row r="56" spans="1:10" ht="21" customHeight="1" x14ac:dyDescent="0.2">
      <c r="A56" s="81"/>
      <c r="B56" s="90" t="s">
        <v>131</v>
      </c>
      <c r="C56" s="91">
        <v>79</v>
      </c>
      <c r="D56" s="92">
        <v>2.4618261140542226E-2</v>
      </c>
      <c r="E56" s="91">
        <v>88</v>
      </c>
      <c r="F56" s="92">
        <v>2.6370991908900208E-2</v>
      </c>
      <c r="G56" s="100">
        <v>259</v>
      </c>
      <c r="H56" s="93">
        <v>3.9006024096385546E-2</v>
      </c>
      <c r="I56"/>
      <c r="J56"/>
    </row>
    <row r="57" spans="1:10" ht="21" customHeight="1" x14ac:dyDescent="0.2">
      <c r="A57" s="81"/>
      <c r="B57" s="90" t="s">
        <v>123</v>
      </c>
      <c r="C57" s="91">
        <v>183</v>
      </c>
      <c r="D57" s="92">
        <v>5.702711124961047E-2</v>
      </c>
      <c r="E57" s="91">
        <v>78</v>
      </c>
      <c r="F57" s="92">
        <v>2.3374288282888823E-2</v>
      </c>
      <c r="G57" s="100">
        <v>367</v>
      </c>
      <c r="H57" s="93">
        <v>5.5271084337349397E-2</v>
      </c>
      <c r="I57"/>
      <c r="J57"/>
    </row>
    <row r="58" spans="1:10" ht="21" customHeight="1" x14ac:dyDescent="0.2">
      <c r="A58" s="74" t="s">
        <v>191</v>
      </c>
      <c r="B58" s="75"/>
      <c r="C58" s="83">
        <v>3209</v>
      </c>
      <c r="D58" s="88">
        <v>1.6771893880793594E-2</v>
      </c>
      <c r="E58" s="83">
        <v>3337</v>
      </c>
      <c r="F58" s="88">
        <v>1.5239182555086198E-2</v>
      </c>
      <c r="G58" s="99">
        <v>6640</v>
      </c>
      <c r="H58" s="89">
        <v>1.5348484568300756E-2</v>
      </c>
      <c r="I58"/>
      <c r="J58"/>
    </row>
    <row r="59" spans="1:10" ht="21" customHeight="1" x14ac:dyDescent="0.2">
      <c r="A59" s="74" t="s">
        <v>42</v>
      </c>
      <c r="B59" s="74" t="s">
        <v>137</v>
      </c>
      <c r="C59" s="83">
        <v>1374</v>
      </c>
      <c r="D59" s="88">
        <v>0.46878198567041968</v>
      </c>
      <c r="E59" s="83">
        <v>1514</v>
      </c>
      <c r="F59" s="88">
        <v>0.49060272197018795</v>
      </c>
      <c r="G59" s="99">
        <v>2112</v>
      </c>
      <c r="H59" s="89">
        <v>0.33217993079584773</v>
      </c>
      <c r="I59"/>
      <c r="J59"/>
    </row>
    <row r="60" spans="1:10" ht="21" customHeight="1" x14ac:dyDescent="0.2">
      <c r="A60" s="81"/>
      <c r="B60" s="90" t="s">
        <v>127</v>
      </c>
      <c r="C60" s="91">
        <v>1363</v>
      </c>
      <c r="D60" s="92">
        <v>0.4650290003411805</v>
      </c>
      <c r="E60" s="91">
        <v>1413</v>
      </c>
      <c r="F60" s="92">
        <v>0.45787427090084254</v>
      </c>
      <c r="G60" s="100">
        <v>1532</v>
      </c>
      <c r="H60" s="93">
        <v>0.2409562755583517</v>
      </c>
      <c r="I60"/>
      <c r="J60"/>
    </row>
    <row r="61" spans="1:10" ht="21" customHeight="1" x14ac:dyDescent="0.2">
      <c r="A61" s="81"/>
      <c r="B61" s="90" t="s">
        <v>131</v>
      </c>
      <c r="C61" s="91">
        <v>68</v>
      </c>
      <c r="D61" s="92">
        <v>2.320027294438758E-2</v>
      </c>
      <c r="E61" s="91">
        <v>78</v>
      </c>
      <c r="F61" s="92">
        <v>2.5275437459494492E-2</v>
      </c>
      <c r="G61" s="100">
        <v>2532</v>
      </c>
      <c r="H61" s="93">
        <v>0.3982384397609311</v>
      </c>
      <c r="I61"/>
      <c r="J61"/>
    </row>
    <row r="62" spans="1:10" ht="21" customHeight="1" x14ac:dyDescent="0.2">
      <c r="A62" s="81"/>
      <c r="B62" s="90" t="s">
        <v>123</v>
      </c>
      <c r="C62" s="91">
        <v>126</v>
      </c>
      <c r="D62" s="92">
        <v>4.2988741044012284E-2</v>
      </c>
      <c r="E62" s="91">
        <v>81</v>
      </c>
      <c r="F62" s="92">
        <v>2.624756966947505E-2</v>
      </c>
      <c r="G62" s="100">
        <v>182</v>
      </c>
      <c r="H62" s="93">
        <v>2.8625353884869455E-2</v>
      </c>
      <c r="I62"/>
      <c r="J62"/>
    </row>
    <row r="63" spans="1:10" ht="21" customHeight="1" x14ac:dyDescent="0.2">
      <c r="A63" s="74" t="s">
        <v>192</v>
      </c>
      <c r="B63" s="75"/>
      <c r="C63" s="83">
        <v>2931</v>
      </c>
      <c r="D63" s="88">
        <v>1.5318922083080718E-2</v>
      </c>
      <c r="E63" s="83">
        <v>3086</v>
      </c>
      <c r="F63" s="88">
        <v>1.4092932983217262E-2</v>
      </c>
      <c r="G63" s="99">
        <v>6358</v>
      </c>
      <c r="H63" s="89">
        <v>1.4696636277900032E-2</v>
      </c>
      <c r="I63"/>
      <c r="J63"/>
    </row>
    <row r="64" spans="1:10" ht="21" customHeight="1" x14ac:dyDescent="0.2">
      <c r="A64" s="74" t="s">
        <v>66</v>
      </c>
      <c r="B64" s="74" t="s">
        <v>137</v>
      </c>
      <c r="C64" s="83">
        <v>751</v>
      </c>
      <c r="D64" s="88">
        <v>0.26415758002110445</v>
      </c>
      <c r="E64" s="83">
        <v>987</v>
      </c>
      <c r="F64" s="88">
        <v>0.32801595214356927</v>
      </c>
      <c r="G64" s="99">
        <v>1870</v>
      </c>
      <c r="H64" s="89">
        <v>0.3214162942591956</v>
      </c>
      <c r="I64"/>
      <c r="J64"/>
    </row>
    <row r="65" spans="1:10" ht="21" customHeight="1" x14ac:dyDescent="0.2">
      <c r="A65" s="81"/>
      <c r="B65" s="90" t="s">
        <v>127</v>
      </c>
      <c r="C65" s="91">
        <v>1774</v>
      </c>
      <c r="D65" s="92">
        <v>0.62398874428420681</v>
      </c>
      <c r="E65" s="91">
        <v>1789</v>
      </c>
      <c r="F65" s="92">
        <v>0.59454968428049182</v>
      </c>
      <c r="G65" s="100">
        <v>3284</v>
      </c>
      <c r="H65" s="93">
        <v>0.56445513922310075</v>
      </c>
      <c r="I65"/>
      <c r="J65"/>
    </row>
    <row r="66" spans="1:10" ht="21" customHeight="1" x14ac:dyDescent="0.2">
      <c r="A66" s="81"/>
      <c r="B66" s="90" t="s">
        <v>131</v>
      </c>
      <c r="C66" s="91">
        <v>122</v>
      </c>
      <c r="D66" s="92">
        <v>4.2912416461484346E-2</v>
      </c>
      <c r="E66" s="91">
        <v>132</v>
      </c>
      <c r="F66" s="92">
        <v>4.3868394815553338E-2</v>
      </c>
      <c r="G66" s="100">
        <v>335</v>
      </c>
      <c r="H66" s="93">
        <v>5.7579924372636648E-2</v>
      </c>
      <c r="I66"/>
      <c r="J66"/>
    </row>
    <row r="67" spans="1:10" ht="21" customHeight="1" x14ac:dyDescent="0.2">
      <c r="A67" s="81"/>
      <c r="B67" s="90" t="s">
        <v>123</v>
      </c>
      <c r="C67" s="91">
        <v>196</v>
      </c>
      <c r="D67" s="92">
        <v>6.8941259233204363E-2</v>
      </c>
      <c r="E67" s="91">
        <v>101</v>
      </c>
      <c r="F67" s="92">
        <v>3.3565968760385513E-2</v>
      </c>
      <c r="G67" s="100">
        <v>329</v>
      </c>
      <c r="H67" s="93">
        <v>5.6548642145067031E-2</v>
      </c>
      <c r="I67"/>
      <c r="J67"/>
    </row>
    <row r="68" spans="1:10" ht="21" customHeight="1" x14ac:dyDescent="0.2">
      <c r="A68" s="74" t="s">
        <v>193</v>
      </c>
      <c r="B68" s="75"/>
      <c r="C68" s="83">
        <v>2843</v>
      </c>
      <c r="D68" s="88">
        <v>1.4858988564380239E-2</v>
      </c>
      <c r="E68" s="83">
        <v>3009</v>
      </c>
      <c r="F68" s="88">
        <v>1.3741294668341135E-2</v>
      </c>
      <c r="G68" s="99">
        <v>5818</v>
      </c>
      <c r="H68" s="89">
        <v>1.3448416147345451E-2</v>
      </c>
      <c r="I68"/>
      <c r="J68"/>
    </row>
    <row r="69" spans="1:10" ht="21" customHeight="1" x14ac:dyDescent="0.2">
      <c r="A69" s="74" t="s">
        <v>90</v>
      </c>
      <c r="B69" s="74" t="s">
        <v>137</v>
      </c>
      <c r="C69" s="83">
        <v>899</v>
      </c>
      <c r="D69" s="88">
        <v>0.35561708860759494</v>
      </c>
      <c r="E69" s="83">
        <v>1036</v>
      </c>
      <c r="F69" s="88">
        <v>0.38356164383561642</v>
      </c>
      <c r="G69" s="99">
        <v>2666</v>
      </c>
      <c r="H69" s="89">
        <v>0.49061464850938535</v>
      </c>
      <c r="I69"/>
      <c r="J69"/>
    </row>
    <row r="70" spans="1:10" ht="21" customHeight="1" x14ac:dyDescent="0.2">
      <c r="A70" s="81"/>
      <c r="B70" s="90" t="s">
        <v>127</v>
      </c>
      <c r="C70" s="91">
        <v>1409</v>
      </c>
      <c r="D70" s="92">
        <v>0.55735759493670889</v>
      </c>
      <c r="E70" s="91">
        <v>1511</v>
      </c>
      <c r="F70" s="92">
        <v>0.55942243613476494</v>
      </c>
      <c r="G70" s="100">
        <v>2242</v>
      </c>
      <c r="H70" s="93">
        <v>0.41258741258741261</v>
      </c>
      <c r="I70"/>
      <c r="J70"/>
    </row>
    <row r="71" spans="1:10" ht="21" customHeight="1" x14ac:dyDescent="0.2">
      <c r="A71" s="81"/>
      <c r="B71" s="90" t="s">
        <v>131</v>
      </c>
      <c r="C71" s="91">
        <v>106</v>
      </c>
      <c r="D71" s="92">
        <v>4.1930379746835444E-2</v>
      </c>
      <c r="E71" s="91">
        <v>98</v>
      </c>
      <c r="F71" s="92">
        <v>3.6282858200666422E-2</v>
      </c>
      <c r="G71" s="100">
        <v>288</v>
      </c>
      <c r="H71" s="93">
        <v>5.2999631947000365E-2</v>
      </c>
      <c r="I71"/>
      <c r="J71"/>
    </row>
    <row r="72" spans="1:10" ht="21" customHeight="1" x14ac:dyDescent="0.2">
      <c r="A72" s="81"/>
      <c r="B72" s="90" t="s">
        <v>123</v>
      </c>
      <c r="C72" s="91">
        <v>114</v>
      </c>
      <c r="D72" s="92">
        <v>4.5094936708860757E-2</v>
      </c>
      <c r="E72" s="91">
        <v>56</v>
      </c>
      <c r="F72" s="92">
        <v>2.0733061828952241E-2</v>
      </c>
      <c r="G72" s="100">
        <v>238</v>
      </c>
      <c r="H72" s="93">
        <v>4.3798306956201696E-2</v>
      </c>
      <c r="I72"/>
      <c r="J72"/>
    </row>
    <row r="73" spans="1:10" ht="21" customHeight="1" x14ac:dyDescent="0.2">
      <c r="A73" s="74" t="s">
        <v>194</v>
      </c>
      <c r="B73" s="75"/>
      <c r="C73" s="83">
        <v>2528</v>
      </c>
      <c r="D73" s="88">
        <v>1.3212635628122844E-2</v>
      </c>
      <c r="E73" s="83">
        <v>2701</v>
      </c>
      <c r="F73" s="88">
        <v>1.2334741408836626E-2</v>
      </c>
      <c r="G73" s="99">
        <v>5434</v>
      </c>
      <c r="H73" s="89">
        <v>1.2560792943395528E-2</v>
      </c>
      <c r="I73"/>
      <c r="J73"/>
    </row>
    <row r="74" spans="1:10" ht="21" customHeight="1" x14ac:dyDescent="0.2">
      <c r="A74" s="74" t="s">
        <v>109</v>
      </c>
      <c r="B74" s="74" t="s">
        <v>137</v>
      </c>
      <c r="C74" s="83">
        <v>1062</v>
      </c>
      <c r="D74" s="88">
        <v>0.44029850746268656</v>
      </c>
      <c r="E74" s="83">
        <v>1252</v>
      </c>
      <c r="F74" s="88">
        <v>0.50200481154771448</v>
      </c>
      <c r="G74" s="99">
        <v>3260</v>
      </c>
      <c r="H74" s="89">
        <v>0.60103244837758107</v>
      </c>
      <c r="I74"/>
      <c r="J74"/>
    </row>
    <row r="75" spans="1:10" ht="21" customHeight="1" x14ac:dyDescent="0.2">
      <c r="A75" s="81"/>
      <c r="B75" s="90" t="s">
        <v>127</v>
      </c>
      <c r="C75" s="91">
        <v>1153</v>
      </c>
      <c r="D75" s="92">
        <v>0.47802653399668327</v>
      </c>
      <c r="E75" s="91">
        <v>1073</v>
      </c>
      <c r="F75" s="92">
        <v>0.43023255813953487</v>
      </c>
      <c r="G75" s="100">
        <v>1755</v>
      </c>
      <c r="H75" s="93">
        <v>0.32356194690265488</v>
      </c>
      <c r="I75"/>
      <c r="J75"/>
    </row>
    <row r="76" spans="1:10" ht="21" customHeight="1" x14ac:dyDescent="0.2">
      <c r="A76" s="81"/>
      <c r="B76" s="90" t="s">
        <v>131</v>
      </c>
      <c r="C76" s="91">
        <v>68</v>
      </c>
      <c r="D76" s="92">
        <v>2.8192371475953566E-2</v>
      </c>
      <c r="E76" s="91">
        <v>94</v>
      </c>
      <c r="F76" s="92">
        <v>3.7690457097032878E-2</v>
      </c>
      <c r="G76" s="100">
        <v>230</v>
      </c>
      <c r="H76" s="93">
        <v>4.2404129793510326E-2</v>
      </c>
      <c r="I76"/>
      <c r="J76"/>
    </row>
    <row r="77" spans="1:10" ht="21" customHeight="1" x14ac:dyDescent="0.2">
      <c r="A77" s="81"/>
      <c r="B77" s="90" t="s">
        <v>123</v>
      </c>
      <c r="C77" s="91">
        <v>129</v>
      </c>
      <c r="D77" s="92">
        <v>5.3482587064676616E-2</v>
      </c>
      <c r="E77" s="91">
        <v>75</v>
      </c>
      <c r="F77" s="92">
        <v>3.0072173215717722E-2</v>
      </c>
      <c r="G77" s="100">
        <v>179</v>
      </c>
      <c r="H77" s="93">
        <v>3.3001474926253688E-2</v>
      </c>
      <c r="I77"/>
      <c r="J77"/>
    </row>
    <row r="78" spans="1:10" ht="21" customHeight="1" x14ac:dyDescent="0.2">
      <c r="A78" s="74" t="s">
        <v>195</v>
      </c>
      <c r="B78" s="75"/>
      <c r="C78" s="83">
        <v>2412</v>
      </c>
      <c r="D78" s="88">
        <v>1.2606359626199486E-2</v>
      </c>
      <c r="E78" s="83">
        <v>2494</v>
      </c>
      <c r="F78" s="88">
        <v>1.1389428016896906E-2</v>
      </c>
      <c r="G78" s="99">
        <v>5424</v>
      </c>
      <c r="H78" s="89">
        <v>1.2537677755792667E-2</v>
      </c>
      <c r="I78"/>
      <c r="J78"/>
    </row>
    <row r="79" spans="1:10" ht="21" customHeight="1" x14ac:dyDescent="0.2">
      <c r="A79" s="74" t="s">
        <v>98</v>
      </c>
      <c r="B79" s="74" t="s">
        <v>137</v>
      </c>
      <c r="C79" s="83">
        <v>1139</v>
      </c>
      <c r="D79" s="88">
        <v>0.50309187279151946</v>
      </c>
      <c r="E79" s="83">
        <v>1217</v>
      </c>
      <c r="F79" s="88">
        <v>0.49775051124744374</v>
      </c>
      <c r="G79" s="99">
        <v>2136</v>
      </c>
      <c r="H79" s="89">
        <v>0.39366015481017325</v>
      </c>
      <c r="I79"/>
      <c r="J79"/>
    </row>
    <row r="80" spans="1:10" ht="21" customHeight="1" x14ac:dyDescent="0.2">
      <c r="A80" s="81"/>
      <c r="B80" s="90" t="s">
        <v>127</v>
      </c>
      <c r="C80" s="91">
        <v>959</v>
      </c>
      <c r="D80" s="92">
        <v>0.42358657243816256</v>
      </c>
      <c r="E80" s="91">
        <v>1085</v>
      </c>
      <c r="F80" s="92">
        <v>0.44376278118609408</v>
      </c>
      <c r="G80" s="100">
        <v>3076</v>
      </c>
      <c r="H80" s="93">
        <v>0.56690011057869516</v>
      </c>
      <c r="I80"/>
      <c r="J80"/>
    </row>
    <row r="81" spans="1:10" ht="21" customHeight="1" x14ac:dyDescent="0.2">
      <c r="A81" s="81"/>
      <c r="B81" s="90" t="s">
        <v>131</v>
      </c>
      <c r="C81" s="91">
        <v>68</v>
      </c>
      <c r="D81" s="92">
        <v>3.0035335689045935E-2</v>
      </c>
      <c r="E81" s="91">
        <v>81</v>
      </c>
      <c r="F81" s="92">
        <v>3.3128834355828224E-2</v>
      </c>
      <c r="G81" s="100">
        <v>62</v>
      </c>
      <c r="H81" s="93">
        <v>1.1426465167711021E-2</v>
      </c>
      <c r="I81"/>
      <c r="J81"/>
    </row>
    <row r="82" spans="1:10" ht="21" customHeight="1" x14ac:dyDescent="0.2">
      <c r="A82" s="81"/>
      <c r="B82" s="90" t="s">
        <v>123</v>
      </c>
      <c r="C82" s="91">
        <v>98</v>
      </c>
      <c r="D82" s="92">
        <v>4.3286219081272087E-2</v>
      </c>
      <c r="E82" s="91">
        <v>62</v>
      </c>
      <c r="F82" s="92">
        <v>2.5357873210633947E-2</v>
      </c>
      <c r="G82" s="100">
        <v>152</v>
      </c>
      <c r="H82" s="93">
        <v>2.8013269443420568E-2</v>
      </c>
      <c r="I82"/>
      <c r="J82"/>
    </row>
    <row r="83" spans="1:10" ht="21" customHeight="1" x14ac:dyDescent="0.2">
      <c r="A83" s="74" t="s">
        <v>196</v>
      </c>
      <c r="B83" s="75"/>
      <c r="C83" s="83">
        <v>2264</v>
      </c>
      <c r="D83" s="88">
        <v>1.1832835072021408E-2</v>
      </c>
      <c r="E83" s="83">
        <v>2445</v>
      </c>
      <c r="F83" s="88">
        <v>1.1165658180157552E-2</v>
      </c>
      <c r="G83" s="99">
        <v>5426</v>
      </c>
      <c r="H83" s="89">
        <v>1.2542300793313239E-2</v>
      </c>
      <c r="I83"/>
      <c r="J83"/>
    </row>
    <row r="84" spans="1:10" ht="21" customHeight="1" x14ac:dyDescent="0.2">
      <c r="A84" s="74" t="s">
        <v>72</v>
      </c>
      <c r="B84" s="74" t="s">
        <v>137</v>
      </c>
      <c r="C84" s="83">
        <v>764</v>
      </c>
      <c r="D84" s="88">
        <v>0.39791666666666664</v>
      </c>
      <c r="E84" s="83">
        <v>799</v>
      </c>
      <c r="F84" s="88">
        <v>0.40333165068147403</v>
      </c>
      <c r="G84" s="99">
        <v>1630</v>
      </c>
      <c r="H84" s="89">
        <v>0.39775500244021472</v>
      </c>
      <c r="I84"/>
      <c r="J84"/>
    </row>
    <row r="85" spans="1:10" ht="21" customHeight="1" x14ac:dyDescent="0.2">
      <c r="A85" s="81"/>
      <c r="B85" s="90" t="s">
        <v>127</v>
      </c>
      <c r="C85" s="91">
        <v>988</v>
      </c>
      <c r="D85" s="92">
        <v>0.51458333333333328</v>
      </c>
      <c r="E85" s="91">
        <v>1091</v>
      </c>
      <c r="F85" s="92">
        <v>0.55073195355880866</v>
      </c>
      <c r="G85" s="100">
        <v>2281</v>
      </c>
      <c r="H85" s="93">
        <v>0.55661298194241093</v>
      </c>
      <c r="I85"/>
      <c r="J85"/>
    </row>
    <row r="86" spans="1:10" ht="21" customHeight="1" x14ac:dyDescent="0.2">
      <c r="A86" s="81"/>
      <c r="B86" s="90" t="s">
        <v>131</v>
      </c>
      <c r="C86" s="91">
        <v>56</v>
      </c>
      <c r="D86" s="92">
        <v>2.9166666666666667E-2</v>
      </c>
      <c r="E86" s="91">
        <v>43</v>
      </c>
      <c r="F86" s="92">
        <v>2.1706208985360929E-2</v>
      </c>
      <c r="G86" s="100">
        <v>41</v>
      </c>
      <c r="H86" s="93">
        <v>1.0004880429477794E-2</v>
      </c>
      <c r="I86"/>
      <c r="J86"/>
    </row>
    <row r="87" spans="1:10" ht="21" customHeight="1" x14ac:dyDescent="0.2">
      <c r="A87" s="81"/>
      <c r="B87" s="90" t="s">
        <v>123</v>
      </c>
      <c r="C87" s="91">
        <v>112</v>
      </c>
      <c r="D87" s="92">
        <v>5.8333333333333334E-2</v>
      </c>
      <c r="E87" s="91">
        <v>48</v>
      </c>
      <c r="F87" s="92">
        <v>2.4230186774356385E-2</v>
      </c>
      <c r="G87" s="100">
        <v>146</v>
      </c>
      <c r="H87" s="93">
        <v>3.5627135187896536E-2</v>
      </c>
      <c r="I87"/>
      <c r="J87"/>
    </row>
    <row r="88" spans="1:10" ht="21" customHeight="1" x14ac:dyDescent="0.2">
      <c r="A88" s="74" t="s">
        <v>197</v>
      </c>
      <c r="B88" s="75"/>
      <c r="C88" s="83">
        <v>1920</v>
      </c>
      <c r="D88" s="88">
        <v>1.0034913135283173E-2</v>
      </c>
      <c r="E88" s="83">
        <v>1981</v>
      </c>
      <c r="F88" s="88">
        <v>9.046694828176733E-3</v>
      </c>
      <c r="G88" s="99">
        <v>4098</v>
      </c>
      <c r="H88" s="89">
        <v>9.4726038796530878E-3</v>
      </c>
      <c r="I88"/>
      <c r="J88"/>
    </row>
    <row r="89" spans="1:10" ht="21" customHeight="1" x14ac:dyDescent="0.2">
      <c r="A89" s="74" t="s">
        <v>61</v>
      </c>
      <c r="B89" s="74" t="s">
        <v>137</v>
      </c>
      <c r="C89" s="83">
        <v>657</v>
      </c>
      <c r="D89" s="88">
        <v>0.35417789757412399</v>
      </c>
      <c r="E89" s="83">
        <v>906</v>
      </c>
      <c r="F89" s="88">
        <v>0.46036585365853661</v>
      </c>
      <c r="G89" s="99">
        <v>2018</v>
      </c>
      <c r="H89" s="89">
        <v>0.49243533430941921</v>
      </c>
      <c r="I89"/>
      <c r="J89"/>
    </row>
    <row r="90" spans="1:10" ht="21" customHeight="1" x14ac:dyDescent="0.2">
      <c r="A90" s="81"/>
      <c r="B90" s="90" t="s">
        <v>127</v>
      </c>
      <c r="C90" s="91">
        <v>1009</v>
      </c>
      <c r="D90" s="92">
        <v>0.54393530997304584</v>
      </c>
      <c r="E90" s="91">
        <v>923</v>
      </c>
      <c r="F90" s="92">
        <v>0.4690040650406504</v>
      </c>
      <c r="G90" s="100">
        <v>1796</v>
      </c>
      <c r="H90" s="93">
        <v>0.43826256710590533</v>
      </c>
      <c r="I90"/>
      <c r="J90"/>
    </row>
    <row r="91" spans="1:10" ht="21" customHeight="1" x14ac:dyDescent="0.2">
      <c r="A91" s="81"/>
      <c r="B91" s="90" t="s">
        <v>131</v>
      </c>
      <c r="C91" s="91">
        <v>74</v>
      </c>
      <c r="D91" s="92">
        <v>3.9892183288409704E-2</v>
      </c>
      <c r="E91" s="91">
        <v>93</v>
      </c>
      <c r="F91" s="92">
        <v>4.725609756097561E-2</v>
      </c>
      <c r="G91" s="100">
        <v>119</v>
      </c>
      <c r="H91" s="93">
        <v>2.9038555392874574E-2</v>
      </c>
      <c r="I91"/>
      <c r="J91"/>
    </row>
    <row r="92" spans="1:10" ht="21" customHeight="1" x14ac:dyDescent="0.2">
      <c r="A92" s="81"/>
      <c r="B92" s="90" t="s">
        <v>123</v>
      </c>
      <c r="C92" s="91">
        <v>115</v>
      </c>
      <c r="D92" s="92">
        <v>6.1994609164420483E-2</v>
      </c>
      <c r="E92" s="91">
        <v>46</v>
      </c>
      <c r="F92" s="92">
        <v>2.3373983739837397E-2</v>
      </c>
      <c r="G92" s="100">
        <v>165</v>
      </c>
      <c r="H92" s="93">
        <v>4.026354319180088E-2</v>
      </c>
      <c r="I92"/>
      <c r="J92"/>
    </row>
    <row r="93" spans="1:10" ht="21" customHeight="1" x14ac:dyDescent="0.2">
      <c r="A93" s="74" t="s">
        <v>198</v>
      </c>
      <c r="B93" s="75"/>
      <c r="C93" s="83">
        <v>1855</v>
      </c>
      <c r="D93" s="88">
        <v>9.6951895135157732E-3</v>
      </c>
      <c r="E93" s="83">
        <v>1968</v>
      </c>
      <c r="F93" s="88">
        <v>8.987327320470374E-3</v>
      </c>
      <c r="G93" s="99">
        <v>4098</v>
      </c>
      <c r="H93" s="89">
        <v>9.4726038796530878E-3</v>
      </c>
      <c r="I93"/>
      <c r="J93"/>
    </row>
    <row r="94" spans="1:10" ht="21" customHeight="1" x14ac:dyDescent="0.2">
      <c r="A94" s="74" t="s">
        <v>88</v>
      </c>
      <c r="B94" s="74" t="s">
        <v>137</v>
      </c>
      <c r="C94" s="83">
        <v>685</v>
      </c>
      <c r="D94" s="88">
        <v>0.35074244751664108</v>
      </c>
      <c r="E94" s="83">
        <v>818</v>
      </c>
      <c r="F94" s="88">
        <v>0.46530147895335611</v>
      </c>
      <c r="G94" s="99">
        <v>2127</v>
      </c>
      <c r="H94" s="89">
        <v>0.50546577946768056</v>
      </c>
      <c r="I94"/>
      <c r="J94"/>
    </row>
    <row r="95" spans="1:10" ht="21" customHeight="1" x14ac:dyDescent="0.2">
      <c r="A95" s="81"/>
      <c r="B95" s="90" t="s">
        <v>127</v>
      </c>
      <c r="C95" s="91">
        <v>988</v>
      </c>
      <c r="D95" s="92">
        <v>0.50588837685611876</v>
      </c>
      <c r="E95" s="91">
        <v>756</v>
      </c>
      <c r="F95" s="92">
        <v>0.43003412969283278</v>
      </c>
      <c r="G95" s="100">
        <v>1658</v>
      </c>
      <c r="H95" s="93">
        <v>0.39401140684410646</v>
      </c>
      <c r="I95"/>
      <c r="J95"/>
    </row>
    <row r="96" spans="1:10" ht="21" customHeight="1" x14ac:dyDescent="0.2">
      <c r="A96" s="81"/>
      <c r="B96" s="90" t="s">
        <v>131</v>
      </c>
      <c r="C96" s="91">
        <v>177</v>
      </c>
      <c r="D96" s="92">
        <v>9.0629800307219663E-2</v>
      </c>
      <c r="E96" s="91">
        <v>123</v>
      </c>
      <c r="F96" s="92">
        <v>6.9965870307167236E-2</v>
      </c>
      <c r="G96" s="100">
        <v>258</v>
      </c>
      <c r="H96" s="93">
        <v>6.1311787072243343E-2</v>
      </c>
      <c r="I96"/>
      <c r="J96"/>
    </row>
    <row r="97" spans="1:10" ht="21" customHeight="1" x14ac:dyDescent="0.2">
      <c r="A97" s="81"/>
      <c r="B97" s="90" t="s">
        <v>123</v>
      </c>
      <c r="C97" s="91">
        <v>103</v>
      </c>
      <c r="D97" s="92">
        <v>5.273937532002048E-2</v>
      </c>
      <c r="E97" s="91">
        <v>61</v>
      </c>
      <c r="F97" s="92">
        <v>3.4698521046643914E-2</v>
      </c>
      <c r="G97" s="100">
        <v>165</v>
      </c>
      <c r="H97" s="93">
        <v>3.9211026615969584E-2</v>
      </c>
      <c r="I97"/>
      <c r="J97"/>
    </row>
    <row r="98" spans="1:10" ht="21" customHeight="1" x14ac:dyDescent="0.2">
      <c r="A98" s="74" t="s">
        <v>199</v>
      </c>
      <c r="B98" s="75"/>
      <c r="C98" s="83">
        <v>1953</v>
      </c>
      <c r="D98" s="88">
        <v>1.0207388204795852E-2</v>
      </c>
      <c r="E98" s="83">
        <v>1758</v>
      </c>
      <c r="F98" s="88">
        <v>8.0283137344445716E-3</v>
      </c>
      <c r="G98" s="99">
        <v>4208</v>
      </c>
      <c r="H98" s="89">
        <v>9.7268709432845758E-3</v>
      </c>
      <c r="I98"/>
      <c r="J98"/>
    </row>
    <row r="99" spans="1:10" ht="21" customHeight="1" x14ac:dyDescent="0.2">
      <c r="A99" s="74" t="s">
        <v>46</v>
      </c>
      <c r="B99" s="74" t="s">
        <v>137</v>
      </c>
      <c r="C99" s="83">
        <v>956</v>
      </c>
      <c r="D99" s="88">
        <v>0.53647586980920314</v>
      </c>
      <c r="E99" s="83">
        <v>1102</v>
      </c>
      <c r="F99" s="88">
        <v>0.57878151260504207</v>
      </c>
      <c r="G99" s="99">
        <v>2237</v>
      </c>
      <c r="H99" s="89">
        <v>0.55412434976467673</v>
      </c>
      <c r="I99"/>
      <c r="J99"/>
    </row>
    <row r="100" spans="1:10" ht="21" customHeight="1" x14ac:dyDescent="0.2">
      <c r="A100" s="81"/>
      <c r="B100" s="90" t="s">
        <v>127</v>
      </c>
      <c r="C100" s="91">
        <v>656</v>
      </c>
      <c r="D100" s="92">
        <v>0.36812570145903478</v>
      </c>
      <c r="E100" s="91">
        <v>656</v>
      </c>
      <c r="F100" s="92">
        <v>0.34453781512605042</v>
      </c>
      <c r="G100" s="100">
        <v>1277</v>
      </c>
      <c r="H100" s="93">
        <v>0.31632400297250435</v>
      </c>
      <c r="I100"/>
      <c r="J100"/>
    </row>
    <row r="101" spans="1:10" ht="21" customHeight="1" x14ac:dyDescent="0.2">
      <c r="A101" s="81"/>
      <c r="B101" s="90" t="s">
        <v>131</v>
      </c>
      <c r="C101" s="91">
        <v>65</v>
      </c>
      <c r="D101" s="92">
        <v>3.6475869809203143E-2</v>
      </c>
      <c r="E101" s="91">
        <v>88</v>
      </c>
      <c r="F101" s="92">
        <v>4.6218487394957986E-2</v>
      </c>
      <c r="G101" s="100">
        <v>372</v>
      </c>
      <c r="H101" s="93">
        <v>9.2147634381966811E-2</v>
      </c>
      <c r="I101"/>
      <c r="J101"/>
    </row>
    <row r="102" spans="1:10" ht="21" customHeight="1" x14ac:dyDescent="0.2">
      <c r="A102" s="81"/>
      <c r="B102" s="90" t="s">
        <v>123</v>
      </c>
      <c r="C102" s="91">
        <v>105</v>
      </c>
      <c r="D102" s="92">
        <v>5.8922558922558925E-2</v>
      </c>
      <c r="E102" s="91">
        <v>58</v>
      </c>
      <c r="F102" s="92">
        <v>3.0462184873949579E-2</v>
      </c>
      <c r="G102" s="100">
        <v>151</v>
      </c>
      <c r="H102" s="93">
        <v>3.7404012880852121E-2</v>
      </c>
      <c r="I102"/>
      <c r="J102"/>
    </row>
    <row r="103" spans="1:10" ht="21" customHeight="1" x14ac:dyDescent="0.2">
      <c r="A103" s="74" t="s">
        <v>200</v>
      </c>
      <c r="B103" s="75"/>
      <c r="C103" s="83">
        <v>1782</v>
      </c>
      <c r="D103" s="88">
        <v>9.3136537536846944E-3</v>
      </c>
      <c r="E103" s="83">
        <v>1904</v>
      </c>
      <c r="F103" s="88">
        <v>8.6950565133006048E-3</v>
      </c>
      <c r="G103" s="99">
        <v>4037</v>
      </c>
      <c r="H103" s="89">
        <v>9.3316012352756255E-3</v>
      </c>
      <c r="I103"/>
      <c r="J103"/>
    </row>
    <row r="104" spans="1:10" ht="21" customHeight="1" x14ac:dyDescent="0.2">
      <c r="A104" s="74" t="s">
        <v>73</v>
      </c>
      <c r="B104" s="74" t="s">
        <v>137</v>
      </c>
      <c r="C104" s="83">
        <v>789</v>
      </c>
      <c r="D104" s="88">
        <v>0.42282958199356913</v>
      </c>
      <c r="E104" s="83">
        <v>862</v>
      </c>
      <c r="F104" s="88">
        <v>0.44250513347022585</v>
      </c>
      <c r="G104" s="99">
        <v>2162</v>
      </c>
      <c r="H104" s="89">
        <v>0.59330406147091108</v>
      </c>
      <c r="I104"/>
      <c r="J104"/>
    </row>
    <row r="105" spans="1:10" ht="21" customHeight="1" x14ac:dyDescent="0.2">
      <c r="A105" s="81"/>
      <c r="B105" s="90" t="s">
        <v>127</v>
      </c>
      <c r="C105" s="91">
        <v>918</v>
      </c>
      <c r="D105" s="92">
        <v>0.49196141479099681</v>
      </c>
      <c r="E105" s="91">
        <v>986</v>
      </c>
      <c r="F105" s="92">
        <v>0.50616016427104726</v>
      </c>
      <c r="G105" s="100">
        <v>1216</v>
      </c>
      <c r="H105" s="93">
        <v>0.33369923161361142</v>
      </c>
      <c r="I105"/>
      <c r="J105"/>
    </row>
    <row r="106" spans="1:10" ht="21" customHeight="1" x14ac:dyDescent="0.2">
      <c r="A106" s="81"/>
      <c r="B106" s="90" t="s">
        <v>131</v>
      </c>
      <c r="C106" s="91">
        <v>79</v>
      </c>
      <c r="D106" s="92">
        <v>4.2336548767416937E-2</v>
      </c>
      <c r="E106" s="91">
        <v>59</v>
      </c>
      <c r="F106" s="92">
        <v>3.0287474332648872E-2</v>
      </c>
      <c r="G106" s="100">
        <v>91</v>
      </c>
      <c r="H106" s="93">
        <v>2.4972557628979142E-2</v>
      </c>
      <c r="I106"/>
      <c r="J106"/>
    </row>
    <row r="107" spans="1:10" ht="21" customHeight="1" x14ac:dyDescent="0.2">
      <c r="A107" s="81"/>
      <c r="B107" s="90" t="s">
        <v>123</v>
      </c>
      <c r="C107" s="91">
        <v>80</v>
      </c>
      <c r="D107" s="92">
        <v>4.2872454448017148E-2</v>
      </c>
      <c r="E107" s="91">
        <v>41</v>
      </c>
      <c r="F107" s="92">
        <v>2.1047227926078028E-2</v>
      </c>
      <c r="G107" s="100">
        <v>175</v>
      </c>
      <c r="H107" s="93">
        <v>4.8024149286498355E-2</v>
      </c>
      <c r="I107"/>
      <c r="J107"/>
    </row>
    <row r="108" spans="1:10" ht="21" customHeight="1" x14ac:dyDescent="0.2">
      <c r="A108" s="74" t="s">
        <v>201</v>
      </c>
      <c r="B108" s="75"/>
      <c r="C108" s="83">
        <v>1866</v>
      </c>
      <c r="D108" s="88">
        <v>9.7526812033533333E-3</v>
      </c>
      <c r="E108" s="83">
        <v>1948</v>
      </c>
      <c r="F108" s="88">
        <v>8.8959926932298209E-3</v>
      </c>
      <c r="G108" s="99">
        <v>3644</v>
      </c>
      <c r="H108" s="89">
        <v>8.4231743624831254E-3</v>
      </c>
      <c r="I108"/>
      <c r="J108"/>
    </row>
    <row r="109" spans="1:10" ht="21" customHeight="1" x14ac:dyDescent="0.2">
      <c r="A109" s="74" t="s">
        <v>35</v>
      </c>
      <c r="B109" s="74" t="s">
        <v>137</v>
      </c>
      <c r="C109" s="83">
        <v>902</v>
      </c>
      <c r="D109" s="88">
        <v>0.53658536585365857</v>
      </c>
      <c r="E109" s="83">
        <v>976</v>
      </c>
      <c r="F109" s="88">
        <v>0.56221198156682028</v>
      </c>
      <c r="G109" s="99">
        <v>2129</v>
      </c>
      <c r="H109" s="89">
        <v>0.54645790554414786</v>
      </c>
      <c r="I109"/>
      <c r="J109"/>
    </row>
    <row r="110" spans="1:10" ht="21" customHeight="1" x14ac:dyDescent="0.2">
      <c r="A110" s="81"/>
      <c r="B110" s="90" t="s">
        <v>127</v>
      </c>
      <c r="C110" s="91">
        <v>679</v>
      </c>
      <c r="D110" s="92">
        <v>0.40392623438429504</v>
      </c>
      <c r="E110" s="91">
        <v>699</v>
      </c>
      <c r="F110" s="92">
        <v>0.40264976958525345</v>
      </c>
      <c r="G110" s="100">
        <v>1480</v>
      </c>
      <c r="H110" s="93">
        <v>0.37987679671457908</v>
      </c>
      <c r="I110"/>
      <c r="J110"/>
    </row>
    <row r="111" spans="1:10" ht="21" customHeight="1" x14ac:dyDescent="0.2">
      <c r="A111" s="81"/>
      <c r="B111" s="90" t="s">
        <v>131</v>
      </c>
      <c r="C111" s="91">
        <v>30</v>
      </c>
      <c r="D111" s="92">
        <v>1.784651992861392E-2</v>
      </c>
      <c r="E111" s="91">
        <v>33</v>
      </c>
      <c r="F111" s="92">
        <v>1.9009216589861752E-2</v>
      </c>
      <c r="G111" s="100">
        <v>94</v>
      </c>
      <c r="H111" s="93">
        <v>2.4127310061601643E-2</v>
      </c>
      <c r="I111"/>
      <c r="J111"/>
    </row>
    <row r="112" spans="1:10" ht="21" customHeight="1" x14ac:dyDescent="0.2">
      <c r="A112" s="81"/>
      <c r="B112" s="90" t="s">
        <v>123</v>
      </c>
      <c r="C112" s="91">
        <v>70</v>
      </c>
      <c r="D112" s="92">
        <v>4.1641879833432482E-2</v>
      </c>
      <c r="E112" s="91">
        <v>28</v>
      </c>
      <c r="F112" s="92">
        <v>1.6129032258064516E-2</v>
      </c>
      <c r="G112" s="100">
        <v>193</v>
      </c>
      <c r="H112" s="93">
        <v>4.9537987679671457E-2</v>
      </c>
      <c r="I112"/>
      <c r="J112"/>
    </row>
    <row r="113" spans="1:10" ht="21" customHeight="1" x14ac:dyDescent="0.2">
      <c r="A113" s="74" t="s">
        <v>202</v>
      </c>
      <c r="B113" s="75"/>
      <c r="C113" s="83">
        <v>1681</v>
      </c>
      <c r="D113" s="88">
        <v>8.7857755106307365E-3</v>
      </c>
      <c r="E113" s="83">
        <v>1736</v>
      </c>
      <c r="F113" s="88">
        <v>7.9278456444799635E-3</v>
      </c>
      <c r="G113" s="99">
        <v>3896</v>
      </c>
      <c r="H113" s="89">
        <v>9.0056770900752633E-3</v>
      </c>
      <c r="I113"/>
      <c r="J113"/>
    </row>
    <row r="114" spans="1:10" ht="21" customHeight="1" x14ac:dyDescent="0.2">
      <c r="A114" s="74" t="s">
        <v>95</v>
      </c>
      <c r="B114" s="74" t="s">
        <v>137</v>
      </c>
      <c r="C114" s="83">
        <v>504</v>
      </c>
      <c r="D114" s="88">
        <v>0.33223467369808835</v>
      </c>
      <c r="E114" s="83">
        <v>618</v>
      </c>
      <c r="F114" s="88">
        <v>0.385286783042394</v>
      </c>
      <c r="G114" s="99">
        <v>1510</v>
      </c>
      <c r="H114" s="89">
        <v>0.42776203966005666</v>
      </c>
      <c r="I114"/>
      <c r="J114"/>
    </row>
    <row r="115" spans="1:10" ht="21" customHeight="1" x14ac:dyDescent="0.2">
      <c r="A115" s="81"/>
      <c r="B115" s="90" t="s">
        <v>127</v>
      </c>
      <c r="C115" s="91">
        <v>869</v>
      </c>
      <c r="D115" s="92">
        <v>0.57284113381674362</v>
      </c>
      <c r="E115" s="91">
        <v>885</v>
      </c>
      <c r="F115" s="92">
        <v>0.55174563591022441</v>
      </c>
      <c r="G115" s="100">
        <v>1657</v>
      </c>
      <c r="H115" s="93">
        <v>0.46940509915014167</v>
      </c>
      <c r="I115"/>
      <c r="J115"/>
    </row>
    <row r="116" spans="1:10" ht="21" customHeight="1" x14ac:dyDescent="0.2">
      <c r="A116" s="81"/>
      <c r="B116" s="90" t="s">
        <v>131</v>
      </c>
      <c r="C116" s="91">
        <v>51</v>
      </c>
      <c r="D116" s="92">
        <v>3.3618984838497033E-2</v>
      </c>
      <c r="E116" s="91">
        <v>55</v>
      </c>
      <c r="F116" s="92">
        <v>3.4289276807980051E-2</v>
      </c>
      <c r="G116" s="100">
        <v>169</v>
      </c>
      <c r="H116" s="93">
        <v>4.7875354107648725E-2</v>
      </c>
      <c r="I116"/>
      <c r="J116"/>
    </row>
    <row r="117" spans="1:10" ht="21" customHeight="1" x14ac:dyDescent="0.2">
      <c r="A117" s="81"/>
      <c r="B117" s="90" t="s">
        <v>123</v>
      </c>
      <c r="C117" s="91">
        <v>93</v>
      </c>
      <c r="D117" s="92">
        <v>6.1305207646671064E-2</v>
      </c>
      <c r="E117" s="91">
        <v>46</v>
      </c>
      <c r="F117" s="92">
        <v>2.8678304239401497E-2</v>
      </c>
      <c r="G117" s="100">
        <v>194</v>
      </c>
      <c r="H117" s="93">
        <v>5.4957507082152975E-2</v>
      </c>
      <c r="I117"/>
      <c r="J117"/>
    </row>
    <row r="118" spans="1:10" ht="21" customHeight="1" x14ac:dyDescent="0.2">
      <c r="A118" s="74" t="s">
        <v>203</v>
      </c>
      <c r="B118" s="75"/>
      <c r="C118" s="83">
        <v>1517</v>
      </c>
      <c r="D118" s="88">
        <v>7.928626680325299E-3</v>
      </c>
      <c r="E118" s="83">
        <v>1604</v>
      </c>
      <c r="F118" s="88">
        <v>7.3250371046923168E-3</v>
      </c>
      <c r="G118" s="99">
        <v>3530</v>
      </c>
      <c r="H118" s="89">
        <v>8.1596612238104931E-3</v>
      </c>
      <c r="I118"/>
      <c r="J118"/>
    </row>
    <row r="119" spans="1:10" ht="21" customHeight="1" x14ac:dyDescent="0.2">
      <c r="A119" s="74" t="s">
        <v>64</v>
      </c>
      <c r="B119" s="74" t="s">
        <v>137</v>
      </c>
      <c r="C119" s="83">
        <v>637</v>
      </c>
      <c r="D119" s="88">
        <v>0.42866756393001348</v>
      </c>
      <c r="E119" s="83">
        <v>719</v>
      </c>
      <c r="F119" s="88">
        <v>0.48255033557046978</v>
      </c>
      <c r="G119" s="99">
        <v>1660</v>
      </c>
      <c r="H119" s="89">
        <v>0.50795593635250913</v>
      </c>
      <c r="I119"/>
      <c r="J119"/>
    </row>
    <row r="120" spans="1:10" ht="21" customHeight="1" x14ac:dyDescent="0.2">
      <c r="A120" s="81"/>
      <c r="B120" s="90" t="s">
        <v>127</v>
      </c>
      <c r="C120" s="91">
        <v>765</v>
      </c>
      <c r="D120" s="92">
        <v>0.5148048452220727</v>
      </c>
      <c r="E120" s="91">
        <v>732</v>
      </c>
      <c r="F120" s="92">
        <v>0.49127516778523489</v>
      </c>
      <c r="G120" s="100">
        <v>1465</v>
      </c>
      <c r="H120" s="93">
        <v>0.44828641370869032</v>
      </c>
      <c r="I120"/>
      <c r="J120"/>
    </row>
    <row r="121" spans="1:10" ht="21" customHeight="1" x14ac:dyDescent="0.2">
      <c r="A121" s="81"/>
      <c r="B121" s="90" t="s">
        <v>131</v>
      </c>
      <c r="C121" s="91">
        <v>43</v>
      </c>
      <c r="D121" s="92">
        <v>2.8936742934051143E-2</v>
      </c>
      <c r="E121" s="91">
        <v>36</v>
      </c>
      <c r="F121" s="92">
        <v>2.4161073825503355E-2</v>
      </c>
      <c r="G121" s="100">
        <v>49</v>
      </c>
      <c r="H121" s="93">
        <v>1.4993880048959608E-2</v>
      </c>
      <c r="I121"/>
      <c r="J121"/>
    </row>
    <row r="122" spans="1:10" ht="21" customHeight="1" x14ac:dyDescent="0.2">
      <c r="A122" s="81"/>
      <c r="B122" s="90" t="s">
        <v>123</v>
      </c>
      <c r="C122" s="91">
        <v>41</v>
      </c>
      <c r="D122" s="92">
        <v>2.759084791386272E-2</v>
      </c>
      <c r="E122" s="91">
        <v>3</v>
      </c>
      <c r="F122" s="92">
        <v>2.0134228187919465E-3</v>
      </c>
      <c r="G122" s="100">
        <v>94</v>
      </c>
      <c r="H122" s="93">
        <v>2.876376988984088E-2</v>
      </c>
      <c r="I122"/>
      <c r="J122"/>
    </row>
    <row r="123" spans="1:10" ht="21" customHeight="1" x14ac:dyDescent="0.2">
      <c r="A123" s="74" t="s">
        <v>204</v>
      </c>
      <c r="B123" s="75"/>
      <c r="C123" s="83">
        <v>1486</v>
      </c>
      <c r="D123" s="88">
        <v>7.7666046453285387E-3</v>
      </c>
      <c r="E123" s="83">
        <v>1490</v>
      </c>
      <c r="F123" s="88">
        <v>6.8044297294211666E-3</v>
      </c>
      <c r="G123" s="99">
        <v>3268</v>
      </c>
      <c r="H123" s="89">
        <v>7.5540433086154924E-3</v>
      </c>
      <c r="I123"/>
      <c r="J123"/>
    </row>
    <row r="124" spans="1:10" ht="21" customHeight="1" x14ac:dyDescent="0.2">
      <c r="A124" s="74" t="s">
        <v>93</v>
      </c>
      <c r="B124" s="74" t="s">
        <v>137</v>
      </c>
      <c r="C124" s="83">
        <v>621</v>
      </c>
      <c r="D124" s="88">
        <v>0.43824982357092451</v>
      </c>
      <c r="E124" s="83">
        <v>729</v>
      </c>
      <c r="F124" s="88">
        <v>0.47553816046966729</v>
      </c>
      <c r="G124" s="99">
        <v>1933</v>
      </c>
      <c r="H124" s="89">
        <v>0.59956575682382129</v>
      </c>
      <c r="I124"/>
      <c r="J124"/>
    </row>
    <row r="125" spans="1:10" ht="21" customHeight="1" x14ac:dyDescent="0.2">
      <c r="A125" s="81"/>
      <c r="B125" s="90" t="s">
        <v>127</v>
      </c>
      <c r="C125" s="91">
        <v>642</v>
      </c>
      <c r="D125" s="92">
        <v>0.45306986591390264</v>
      </c>
      <c r="E125" s="91">
        <v>699</v>
      </c>
      <c r="F125" s="92">
        <v>0.45596868884540115</v>
      </c>
      <c r="G125" s="100">
        <v>1060</v>
      </c>
      <c r="H125" s="93">
        <v>0.32878411910669975</v>
      </c>
      <c r="I125"/>
      <c r="J125"/>
    </row>
    <row r="126" spans="1:10" ht="21" customHeight="1" x14ac:dyDescent="0.2">
      <c r="A126" s="81"/>
      <c r="B126" s="90" t="s">
        <v>131</v>
      </c>
      <c r="C126" s="91">
        <v>60</v>
      </c>
      <c r="D126" s="92">
        <v>4.2342978122794639E-2</v>
      </c>
      <c r="E126" s="91">
        <v>58</v>
      </c>
      <c r="F126" s="92">
        <v>3.7834311806914545E-2</v>
      </c>
      <c r="G126" s="100">
        <v>51</v>
      </c>
      <c r="H126" s="93">
        <v>1.5818858560794045E-2</v>
      </c>
      <c r="I126"/>
      <c r="J126"/>
    </row>
    <row r="127" spans="1:10" ht="21" customHeight="1" x14ac:dyDescent="0.2">
      <c r="A127" s="81"/>
      <c r="B127" s="90" t="s">
        <v>123</v>
      </c>
      <c r="C127" s="91">
        <v>94</v>
      </c>
      <c r="D127" s="92">
        <v>6.6337332392378268E-2</v>
      </c>
      <c r="E127" s="91">
        <v>47</v>
      </c>
      <c r="F127" s="92">
        <v>3.0658838878016959E-2</v>
      </c>
      <c r="G127" s="100">
        <v>180</v>
      </c>
      <c r="H127" s="93">
        <v>5.5831265508684863E-2</v>
      </c>
      <c r="I127"/>
      <c r="J127"/>
    </row>
    <row r="128" spans="1:10" ht="21" customHeight="1" x14ac:dyDescent="0.2">
      <c r="A128" s="74" t="s">
        <v>205</v>
      </c>
      <c r="B128" s="75"/>
      <c r="C128" s="83">
        <v>1417</v>
      </c>
      <c r="D128" s="88">
        <v>7.4059749545293003E-3</v>
      </c>
      <c r="E128" s="83">
        <v>1533</v>
      </c>
      <c r="F128" s="88">
        <v>7.0007991779883552E-3</v>
      </c>
      <c r="G128" s="99">
        <v>3224</v>
      </c>
      <c r="H128" s="89">
        <v>7.4523364831628972E-3</v>
      </c>
      <c r="I128"/>
      <c r="J128"/>
    </row>
    <row r="129" spans="1:10" ht="21" customHeight="1" x14ac:dyDescent="0.2">
      <c r="A129" s="74" t="s">
        <v>41</v>
      </c>
      <c r="B129" s="74" t="s">
        <v>137</v>
      </c>
      <c r="C129" s="83">
        <v>759</v>
      </c>
      <c r="D129" s="88">
        <v>0.54643628509719222</v>
      </c>
      <c r="E129" s="83">
        <v>884</v>
      </c>
      <c r="F129" s="88">
        <v>0.59528619528619531</v>
      </c>
      <c r="G129" s="99">
        <v>2080</v>
      </c>
      <c r="H129" s="89">
        <v>0.71232876712328763</v>
      </c>
      <c r="I129"/>
      <c r="J129"/>
    </row>
    <row r="130" spans="1:10" ht="21" customHeight="1" x14ac:dyDescent="0.2">
      <c r="A130" s="81"/>
      <c r="B130" s="90" t="s">
        <v>127</v>
      </c>
      <c r="C130" s="91">
        <v>467</v>
      </c>
      <c r="D130" s="92">
        <v>0.33621310295176388</v>
      </c>
      <c r="E130" s="91">
        <v>489</v>
      </c>
      <c r="F130" s="92">
        <v>0.3292929292929293</v>
      </c>
      <c r="G130" s="100">
        <v>706</v>
      </c>
      <c r="H130" s="93">
        <v>0.24178082191780823</v>
      </c>
      <c r="I130"/>
      <c r="J130"/>
    </row>
    <row r="131" spans="1:10" ht="21" customHeight="1" x14ac:dyDescent="0.2">
      <c r="A131" s="81"/>
      <c r="B131" s="90" t="s">
        <v>131</v>
      </c>
      <c r="C131" s="91">
        <v>79</v>
      </c>
      <c r="D131" s="92">
        <v>5.6875449964002879E-2</v>
      </c>
      <c r="E131" s="91">
        <v>73</v>
      </c>
      <c r="F131" s="92">
        <v>4.9158249158249158E-2</v>
      </c>
      <c r="G131" s="100">
        <v>42</v>
      </c>
      <c r="H131" s="93">
        <v>1.4383561643835616E-2</v>
      </c>
      <c r="I131"/>
      <c r="J131"/>
    </row>
    <row r="132" spans="1:10" ht="21" customHeight="1" x14ac:dyDescent="0.2">
      <c r="A132" s="81"/>
      <c r="B132" s="90" t="s">
        <v>123</v>
      </c>
      <c r="C132" s="91">
        <v>84</v>
      </c>
      <c r="D132" s="92">
        <v>6.0475161987041039E-2</v>
      </c>
      <c r="E132" s="91">
        <v>39</v>
      </c>
      <c r="F132" s="92">
        <v>2.6262626262626262E-2</v>
      </c>
      <c r="G132" s="100">
        <v>92</v>
      </c>
      <c r="H132" s="93">
        <v>3.1506849315068496E-2</v>
      </c>
      <c r="I132"/>
      <c r="J132"/>
    </row>
    <row r="133" spans="1:10" ht="21" customHeight="1" x14ac:dyDescent="0.2">
      <c r="A133" s="74" t="s">
        <v>206</v>
      </c>
      <c r="B133" s="75"/>
      <c r="C133" s="83">
        <v>1389</v>
      </c>
      <c r="D133" s="88">
        <v>7.2596324713064203E-3</v>
      </c>
      <c r="E133" s="83">
        <v>1485</v>
      </c>
      <c r="F133" s="88">
        <v>6.7815960726110283E-3</v>
      </c>
      <c r="G133" s="99">
        <v>2920</v>
      </c>
      <c r="H133" s="89">
        <v>6.7496347800358744E-3</v>
      </c>
      <c r="I133"/>
      <c r="J133"/>
    </row>
    <row r="134" spans="1:10" ht="21" customHeight="1" x14ac:dyDescent="0.2">
      <c r="A134" s="74" t="s">
        <v>38</v>
      </c>
      <c r="B134" s="74" t="s">
        <v>137</v>
      </c>
      <c r="C134" s="83">
        <v>556</v>
      </c>
      <c r="D134" s="88">
        <v>0.40613586559532505</v>
      </c>
      <c r="E134" s="83">
        <v>542</v>
      </c>
      <c r="F134" s="88">
        <v>0.41564417177914109</v>
      </c>
      <c r="G134" s="99">
        <v>1415</v>
      </c>
      <c r="H134" s="89">
        <v>0.4651545036160421</v>
      </c>
      <c r="I134"/>
      <c r="J134"/>
    </row>
    <row r="135" spans="1:10" ht="21" customHeight="1" x14ac:dyDescent="0.2">
      <c r="A135" s="81"/>
      <c r="B135" s="90" t="s">
        <v>127</v>
      </c>
      <c r="C135" s="91">
        <v>660</v>
      </c>
      <c r="D135" s="92">
        <v>0.4821037253469686</v>
      </c>
      <c r="E135" s="91">
        <v>637</v>
      </c>
      <c r="F135" s="92">
        <v>0.48849693251533743</v>
      </c>
      <c r="G135" s="100">
        <v>1402</v>
      </c>
      <c r="H135" s="93">
        <v>0.46088099934253779</v>
      </c>
      <c r="I135"/>
      <c r="J135"/>
    </row>
    <row r="136" spans="1:10" ht="21" customHeight="1" x14ac:dyDescent="0.2">
      <c r="A136" s="81"/>
      <c r="B136" s="90" t="s">
        <v>131</v>
      </c>
      <c r="C136" s="91">
        <v>71</v>
      </c>
      <c r="D136" s="92">
        <v>5.1862673484295109E-2</v>
      </c>
      <c r="E136" s="91">
        <v>74</v>
      </c>
      <c r="F136" s="92">
        <v>5.674846625766871E-2</v>
      </c>
      <c r="G136" s="100">
        <v>77</v>
      </c>
      <c r="H136" s="93">
        <v>2.5312294543063774E-2</v>
      </c>
      <c r="I136"/>
      <c r="J136"/>
    </row>
    <row r="137" spans="1:10" ht="21" customHeight="1" x14ac:dyDescent="0.2">
      <c r="A137" s="81"/>
      <c r="B137" s="90" t="s">
        <v>123</v>
      </c>
      <c r="C137" s="91">
        <v>82</v>
      </c>
      <c r="D137" s="92">
        <v>5.989773557341125E-2</v>
      </c>
      <c r="E137" s="91">
        <v>51</v>
      </c>
      <c r="F137" s="92">
        <v>3.9110429447852764E-2</v>
      </c>
      <c r="G137" s="100">
        <v>148</v>
      </c>
      <c r="H137" s="93">
        <v>4.8652202498356348E-2</v>
      </c>
      <c r="I137"/>
      <c r="J137"/>
    </row>
    <row r="138" spans="1:10" ht="21" customHeight="1" x14ac:dyDescent="0.2">
      <c r="A138" s="74" t="s">
        <v>207</v>
      </c>
      <c r="B138" s="75"/>
      <c r="C138" s="83">
        <v>1369</v>
      </c>
      <c r="D138" s="88">
        <v>7.1551021261472203E-3</v>
      </c>
      <c r="E138" s="83">
        <v>1304</v>
      </c>
      <c r="F138" s="88">
        <v>5.955017696084028E-3</v>
      </c>
      <c r="G138" s="99">
        <v>3042</v>
      </c>
      <c r="H138" s="89">
        <v>7.0316400687907982E-3</v>
      </c>
      <c r="I138"/>
      <c r="J138"/>
    </row>
    <row r="139" spans="1:10" ht="21" customHeight="1" x14ac:dyDescent="0.2">
      <c r="A139" s="74" t="s">
        <v>43</v>
      </c>
      <c r="B139" s="74" t="s">
        <v>137</v>
      </c>
      <c r="C139" s="83">
        <v>455</v>
      </c>
      <c r="D139" s="88">
        <v>0.36752827140549271</v>
      </c>
      <c r="E139" s="83">
        <v>494</v>
      </c>
      <c r="F139" s="88">
        <v>0.391132224861441</v>
      </c>
      <c r="G139" s="99">
        <v>1631</v>
      </c>
      <c r="H139" s="89">
        <v>0.6187405159332322</v>
      </c>
      <c r="I139"/>
      <c r="J139"/>
    </row>
    <row r="140" spans="1:10" ht="21" customHeight="1" x14ac:dyDescent="0.2">
      <c r="A140" s="81"/>
      <c r="B140" s="90" t="s">
        <v>127</v>
      </c>
      <c r="C140" s="91">
        <v>676</v>
      </c>
      <c r="D140" s="92">
        <v>0.54604200323101781</v>
      </c>
      <c r="E140" s="91">
        <v>672</v>
      </c>
      <c r="F140" s="92">
        <v>0.53206650831353919</v>
      </c>
      <c r="G140" s="100">
        <v>805</v>
      </c>
      <c r="H140" s="93">
        <v>0.30538694992412746</v>
      </c>
      <c r="I140"/>
      <c r="J140"/>
    </row>
    <row r="141" spans="1:10" ht="21" customHeight="1" x14ac:dyDescent="0.2">
      <c r="A141" s="81"/>
      <c r="B141" s="90" t="s">
        <v>131</v>
      </c>
      <c r="C141" s="91">
        <v>34</v>
      </c>
      <c r="D141" s="92">
        <v>2.7463651050080775E-2</v>
      </c>
      <c r="E141" s="91">
        <v>55</v>
      </c>
      <c r="F141" s="92">
        <v>4.3547110055423596E-2</v>
      </c>
      <c r="G141" s="100">
        <v>87</v>
      </c>
      <c r="H141" s="93">
        <v>3.3004552352048556E-2</v>
      </c>
      <c r="I141"/>
      <c r="J141"/>
    </row>
    <row r="142" spans="1:10" ht="21" customHeight="1" x14ac:dyDescent="0.2">
      <c r="A142" s="81"/>
      <c r="B142" s="90" t="s">
        <v>123</v>
      </c>
      <c r="C142" s="91">
        <v>73</v>
      </c>
      <c r="D142" s="92">
        <v>5.8966074313408723E-2</v>
      </c>
      <c r="E142" s="91">
        <v>42</v>
      </c>
      <c r="F142" s="92">
        <v>3.3254156769596199E-2</v>
      </c>
      <c r="G142" s="100">
        <v>113</v>
      </c>
      <c r="H142" s="93">
        <v>4.2867981790591807E-2</v>
      </c>
      <c r="I142"/>
      <c r="J142"/>
    </row>
    <row r="143" spans="1:10" ht="21" customHeight="1" x14ac:dyDescent="0.2">
      <c r="A143" s="74" t="s">
        <v>208</v>
      </c>
      <c r="B143" s="75"/>
      <c r="C143" s="83">
        <v>1238</v>
      </c>
      <c r="D143" s="88">
        <v>6.4704283653544623E-3</v>
      </c>
      <c r="E143" s="83">
        <v>1263</v>
      </c>
      <c r="F143" s="88">
        <v>5.7677817102408952E-3</v>
      </c>
      <c r="G143" s="99">
        <v>2636</v>
      </c>
      <c r="H143" s="89">
        <v>6.0931634521145771E-3</v>
      </c>
      <c r="I143"/>
      <c r="J143"/>
    </row>
    <row r="144" spans="1:10" ht="21" customHeight="1" x14ac:dyDescent="0.2">
      <c r="A144" s="74" t="s">
        <v>69</v>
      </c>
      <c r="B144" s="74" t="s">
        <v>137</v>
      </c>
      <c r="C144" s="83">
        <v>770</v>
      </c>
      <c r="D144" s="88">
        <v>0.62449310624493104</v>
      </c>
      <c r="E144" s="83">
        <v>742</v>
      </c>
      <c r="F144" s="88">
        <v>0.57653457653457651</v>
      </c>
      <c r="G144" s="99">
        <v>1293</v>
      </c>
      <c r="H144" s="89">
        <v>0.49884259259259262</v>
      </c>
      <c r="I144"/>
      <c r="J144"/>
    </row>
    <row r="145" spans="1:10" ht="21" customHeight="1" x14ac:dyDescent="0.2">
      <c r="A145" s="81"/>
      <c r="B145" s="90" t="s">
        <v>127</v>
      </c>
      <c r="C145" s="91">
        <v>394</v>
      </c>
      <c r="D145" s="92">
        <v>0.31954582319545821</v>
      </c>
      <c r="E145" s="91">
        <v>458</v>
      </c>
      <c r="F145" s="92">
        <v>0.35586635586635584</v>
      </c>
      <c r="G145" s="100">
        <v>1171</v>
      </c>
      <c r="H145" s="93">
        <v>0.45177469135802467</v>
      </c>
      <c r="I145"/>
      <c r="J145"/>
    </row>
    <row r="146" spans="1:10" ht="21" customHeight="1" x14ac:dyDescent="0.2">
      <c r="A146" s="81"/>
      <c r="B146" s="90" t="s">
        <v>131</v>
      </c>
      <c r="C146" s="91">
        <v>24</v>
      </c>
      <c r="D146" s="92">
        <v>1.9464720194647202E-2</v>
      </c>
      <c r="E146" s="91">
        <v>47</v>
      </c>
      <c r="F146" s="92">
        <v>3.651903651903652E-2</v>
      </c>
      <c r="G146" s="100">
        <v>33</v>
      </c>
      <c r="H146" s="93">
        <v>1.2731481481481481E-2</v>
      </c>
      <c r="I146"/>
      <c r="J146"/>
    </row>
    <row r="147" spans="1:10" ht="21" customHeight="1" x14ac:dyDescent="0.2">
      <c r="A147" s="81"/>
      <c r="B147" s="90" t="s">
        <v>123</v>
      </c>
      <c r="C147" s="91">
        <v>45</v>
      </c>
      <c r="D147" s="92">
        <v>3.6496350364963501E-2</v>
      </c>
      <c r="E147" s="91">
        <v>40</v>
      </c>
      <c r="F147" s="92">
        <v>3.108003108003108E-2</v>
      </c>
      <c r="G147" s="100">
        <v>95</v>
      </c>
      <c r="H147" s="93">
        <v>3.6651234567901238E-2</v>
      </c>
      <c r="I147"/>
      <c r="J147"/>
    </row>
    <row r="148" spans="1:10" ht="21" customHeight="1" x14ac:dyDescent="0.2">
      <c r="A148" s="74" t="s">
        <v>209</v>
      </c>
      <c r="B148" s="75"/>
      <c r="C148" s="83">
        <v>1233</v>
      </c>
      <c r="D148" s="88">
        <v>6.4442957790646627E-3</v>
      </c>
      <c r="E148" s="83">
        <v>1287</v>
      </c>
      <c r="F148" s="88">
        <v>5.8773832629295582E-3</v>
      </c>
      <c r="G148" s="99">
        <v>2592</v>
      </c>
      <c r="H148" s="89">
        <v>5.9914566266619819E-3</v>
      </c>
      <c r="I148"/>
      <c r="J148"/>
    </row>
    <row r="149" spans="1:10" ht="21" customHeight="1" x14ac:dyDescent="0.2">
      <c r="A149" s="74" t="s">
        <v>47</v>
      </c>
      <c r="B149" s="74" t="s">
        <v>137</v>
      </c>
      <c r="C149" s="83">
        <v>427</v>
      </c>
      <c r="D149" s="88">
        <v>0.37001733102253032</v>
      </c>
      <c r="E149" s="83">
        <v>483</v>
      </c>
      <c r="F149" s="88">
        <v>0.39753086419753086</v>
      </c>
      <c r="G149" s="99">
        <v>1094</v>
      </c>
      <c r="H149" s="89">
        <v>0.42141756548536208</v>
      </c>
      <c r="I149"/>
      <c r="J149"/>
    </row>
    <row r="150" spans="1:10" ht="21" customHeight="1" x14ac:dyDescent="0.2">
      <c r="A150" s="81"/>
      <c r="B150" s="90" t="s">
        <v>127</v>
      </c>
      <c r="C150" s="91">
        <v>618</v>
      </c>
      <c r="D150" s="92">
        <v>0.53552859618717508</v>
      </c>
      <c r="E150" s="91">
        <v>662</v>
      </c>
      <c r="F150" s="92">
        <v>0.54485596707818928</v>
      </c>
      <c r="G150" s="100">
        <v>1329</v>
      </c>
      <c r="H150" s="93">
        <v>0.5119414483821263</v>
      </c>
      <c r="I150"/>
      <c r="J150"/>
    </row>
    <row r="151" spans="1:10" ht="21" customHeight="1" x14ac:dyDescent="0.2">
      <c r="A151" s="81"/>
      <c r="B151" s="90" t="s">
        <v>131</v>
      </c>
      <c r="C151" s="91">
        <v>45</v>
      </c>
      <c r="D151" s="92">
        <v>3.8994800693240898E-2</v>
      </c>
      <c r="E151" s="91">
        <v>31</v>
      </c>
      <c r="F151" s="92">
        <v>2.5514403292181069E-2</v>
      </c>
      <c r="G151" s="100">
        <v>57</v>
      </c>
      <c r="H151" s="93">
        <v>2.1956856702619414E-2</v>
      </c>
      <c r="I151"/>
      <c r="J151"/>
    </row>
    <row r="152" spans="1:10" ht="21" customHeight="1" x14ac:dyDescent="0.2">
      <c r="A152" s="81"/>
      <c r="B152" s="90" t="s">
        <v>123</v>
      </c>
      <c r="C152" s="91">
        <v>64</v>
      </c>
      <c r="D152" s="92">
        <v>5.5459272097053723E-2</v>
      </c>
      <c r="E152" s="91">
        <v>39</v>
      </c>
      <c r="F152" s="92">
        <v>3.2098765432098768E-2</v>
      </c>
      <c r="G152" s="100">
        <v>116</v>
      </c>
      <c r="H152" s="93">
        <v>4.4684129429892139E-2</v>
      </c>
      <c r="I152"/>
      <c r="J152"/>
    </row>
    <row r="153" spans="1:10" ht="21" customHeight="1" x14ac:dyDescent="0.2">
      <c r="A153" s="74" t="s">
        <v>210</v>
      </c>
      <c r="B153" s="75"/>
      <c r="C153" s="83">
        <v>1154</v>
      </c>
      <c r="D153" s="88">
        <v>6.0314009156858233E-3</v>
      </c>
      <c r="E153" s="83">
        <v>1215</v>
      </c>
      <c r="F153" s="88">
        <v>5.5485786048635691E-3</v>
      </c>
      <c r="G153" s="99">
        <v>2596</v>
      </c>
      <c r="H153" s="89">
        <v>6.0007027017031271E-3</v>
      </c>
      <c r="I153"/>
      <c r="J153"/>
    </row>
    <row r="154" spans="1:10" ht="21" customHeight="1" x14ac:dyDescent="0.2">
      <c r="A154" s="74" t="s">
        <v>12</v>
      </c>
      <c r="B154" s="74" t="s">
        <v>137</v>
      </c>
      <c r="C154" s="83">
        <v>418</v>
      </c>
      <c r="D154" s="88">
        <v>0.3728813559322034</v>
      </c>
      <c r="E154" s="83">
        <v>489</v>
      </c>
      <c r="F154" s="88">
        <v>0.42301038062283736</v>
      </c>
      <c r="G154" s="99">
        <v>933</v>
      </c>
      <c r="H154" s="89">
        <v>0.37349879903923139</v>
      </c>
      <c r="I154"/>
      <c r="J154"/>
    </row>
    <row r="155" spans="1:10" ht="21" customHeight="1" x14ac:dyDescent="0.2">
      <c r="A155" s="81"/>
      <c r="B155" s="90" t="s">
        <v>127</v>
      </c>
      <c r="C155" s="91">
        <v>557</v>
      </c>
      <c r="D155" s="92">
        <v>0.49687778768956287</v>
      </c>
      <c r="E155" s="91">
        <v>567</v>
      </c>
      <c r="F155" s="92">
        <v>0.49048442906574397</v>
      </c>
      <c r="G155" s="100">
        <v>685</v>
      </c>
      <c r="H155" s="93">
        <v>0.27421937550040032</v>
      </c>
      <c r="I155"/>
      <c r="J155"/>
    </row>
    <row r="156" spans="1:10" ht="21" customHeight="1" x14ac:dyDescent="0.2">
      <c r="A156" s="81"/>
      <c r="B156" s="90" t="s">
        <v>131</v>
      </c>
      <c r="C156" s="91">
        <v>38</v>
      </c>
      <c r="D156" s="92">
        <v>3.3898305084745763E-2</v>
      </c>
      <c r="E156" s="91">
        <v>43</v>
      </c>
      <c r="F156" s="92">
        <v>3.7197231833910036E-2</v>
      </c>
      <c r="G156" s="100">
        <v>719</v>
      </c>
      <c r="H156" s="93">
        <v>0.28783026421136909</v>
      </c>
      <c r="I156"/>
      <c r="J156"/>
    </row>
    <row r="157" spans="1:10" ht="21" customHeight="1" x14ac:dyDescent="0.2">
      <c r="A157" s="81"/>
      <c r="B157" s="90" t="s">
        <v>123</v>
      </c>
      <c r="C157" s="91">
        <v>108</v>
      </c>
      <c r="D157" s="92">
        <v>9.6342551293487955E-2</v>
      </c>
      <c r="E157" s="91">
        <v>57</v>
      </c>
      <c r="F157" s="92">
        <v>4.930795847750865E-2</v>
      </c>
      <c r="G157" s="100">
        <v>161</v>
      </c>
      <c r="H157" s="93">
        <v>6.4451561248999201E-2</v>
      </c>
      <c r="I157"/>
      <c r="J157"/>
    </row>
    <row r="158" spans="1:10" ht="21" customHeight="1" x14ac:dyDescent="0.2">
      <c r="A158" s="74" t="s">
        <v>211</v>
      </c>
      <c r="B158" s="75"/>
      <c r="C158" s="83">
        <v>1121</v>
      </c>
      <c r="D158" s="88">
        <v>5.8589258461731438E-3</v>
      </c>
      <c r="E158" s="83">
        <v>1156</v>
      </c>
      <c r="F158" s="88">
        <v>5.279141454503939E-3</v>
      </c>
      <c r="G158" s="99">
        <v>2498</v>
      </c>
      <c r="H158" s="89">
        <v>5.7741738631950741E-3</v>
      </c>
      <c r="I158"/>
      <c r="J158"/>
    </row>
    <row r="159" spans="1:10" ht="21" customHeight="1" x14ac:dyDescent="0.2">
      <c r="A159" s="74" t="s">
        <v>100</v>
      </c>
      <c r="B159" s="74" t="s">
        <v>137</v>
      </c>
      <c r="C159" s="83">
        <v>334</v>
      </c>
      <c r="D159" s="88">
        <v>0.33300099700897307</v>
      </c>
      <c r="E159" s="83">
        <v>388</v>
      </c>
      <c r="F159" s="88">
        <v>0.36534839924670431</v>
      </c>
      <c r="G159" s="99">
        <v>908</v>
      </c>
      <c r="H159" s="89">
        <v>0.39754816112084063</v>
      </c>
      <c r="I159"/>
      <c r="J159"/>
    </row>
    <row r="160" spans="1:10" ht="21" customHeight="1" x14ac:dyDescent="0.2">
      <c r="A160" s="81"/>
      <c r="B160" s="90" t="s">
        <v>127</v>
      </c>
      <c r="C160" s="91">
        <v>522</v>
      </c>
      <c r="D160" s="92">
        <v>0.52043868394815551</v>
      </c>
      <c r="E160" s="91">
        <v>603</v>
      </c>
      <c r="F160" s="92">
        <v>0.56779661016949157</v>
      </c>
      <c r="G160" s="100">
        <v>1118</v>
      </c>
      <c r="H160" s="93">
        <v>0.489492119089317</v>
      </c>
      <c r="I160"/>
      <c r="J160"/>
    </row>
    <row r="161" spans="1:10" ht="21" customHeight="1" x14ac:dyDescent="0.2">
      <c r="A161" s="81"/>
      <c r="B161" s="90" t="s">
        <v>131</v>
      </c>
      <c r="C161" s="91">
        <v>28</v>
      </c>
      <c r="D161" s="92">
        <v>2.7916251246261216E-2</v>
      </c>
      <c r="E161" s="91">
        <v>25</v>
      </c>
      <c r="F161" s="92">
        <v>2.3540489642184557E-2</v>
      </c>
      <c r="G161" s="100">
        <v>106</v>
      </c>
      <c r="H161" s="93">
        <v>4.6409807355516634E-2</v>
      </c>
      <c r="I161"/>
      <c r="J161"/>
    </row>
    <row r="162" spans="1:10" ht="21" customHeight="1" x14ac:dyDescent="0.2">
      <c r="A162" s="81"/>
      <c r="B162" s="90" t="s">
        <v>123</v>
      </c>
      <c r="C162" s="91">
        <v>119</v>
      </c>
      <c r="D162" s="92">
        <v>0.11864406779661017</v>
      </c>
      <c r="E162" s="91">
        <v>46</v>
      </c>
      <c r="F162" s="92">
        <v>4.3314500941619587E-2</v>
      </c>
      <c r="G162" s="100">
        <v>152</v>
      </c>
      <c r="H162" s="93">
        <v>6.6549912434325745E-2</v>
      </c>
      <c r="I162"/>
      <c r="J162"/>
    </row>
    <row r="163" spans="1:10" ht="21" customHeight="1" x14ac:dyDescent="0.2">
      <c r="A163" s="74" t="s">
        <v>212</v>
      </c>
      <c r="B163" s="75"/>
      <c r="C163" s="83">
        <v>1003</v>
      </c>
      <c r="D163" s="88">
        <v>5.2421968097338661E-3</v>
      </c>
      <c r="E163" s="83">
        <v>1062</v>
      </c>
      <c r="F163" s="88">
        <v>4.8498687064733419E-3</v>
      </c>
      <c r="G163" s="99">
        <v>2284</v>
      </c>
      <c r="H163" s="89">
        <v>5.2795088484938147E-3</v>
      </c>
      <c r="I163"/>
      <c r="J163"/>
    </row>
    <row r="164" spans="1:10" ht="21" customHeight="1" x14ac:dyDescent="0.2">
      <c r="A164" s="74" t="s">
        <v>77</v>
      </c>
      <c r="B164" s="74" t="s">
        <v>137</v>
      </c>
      <c r="C164" s="83">
        <v>537</v>
      </c>
      <c r="D164" s="88">
        <v>0.58817086527929896</v>
      </c>
      <c r="E164" s="83">
        <v>551</v>
      </c>
      <c r="F164" s="88">
        <v>0.54716981132075471</v>
      </c>
      <c r="G164" s="99">
        <v>1341</v>
      </c>
      <c r="H164" s="89">
        <v>0.65160349854227406</v>
      </c>
      <c r="I164"/>
      <c r="J164"/>
    </row>
    <row r="165" spans="1:10" ht="21" customHeight="1" x14ac:dyDescent="0.2">
      <c r="A165" s="81"/>
      <c r="B165" s="90" t="s">
        <v>127</v>
      </c>
      <c r="C165" s="91">
        <v>330</v>
      </c>
      <c r="D165" s="92">
        <v>0.36144578313253012</v>
      </c>
      <c r="E165" s="91">
        <v>384</v>
      </c>
      <c r="F165" s="92">
        <v>0.38133068520357499</v>
      </c>
      <c r="G165" s="100">
        <v>565</v>
      </c>
      <c r="H165" s="93">
        <v>0.27453838678328474</v>
      </c>
      <c r="I165"/>
      <c r="J165"/>
    </row>
    <row r="166" spans="1:10" ht="21" customHeight="1" x14ac:dyDescent="0.2">
      <c r="A166" s="81"/>
      <c r="B166" s="90" t="s">
        <v>131</v>
      </c>
      <c r="C166" s="91">
        <v>14</v>
      </c>
      <c r="D166" s="92">
        <v>1.5334063526834611E-2</v>
      </c>
      <c r="E166" s="91">
        <v>22</v>
      </c>
      <c r="F166" s="92">
        <v>2.1847070506454815E-2</v>
      </c>
      <c r="G166" s="100">
        <v>42</v>
      </c>
      <c r="H166" s="93">
        <v>2.0408163265306121E-2</v>
      </c>
      <c r="I166"/>
      <c r="J166"/>
    </row>
    <row r="167" spans="1:10" ht="21" customHeight="1" x14ac:dyDescent="0.2">
      <c r="A167" s="81"/>
      <c r="B167" s="90" t="s">
        <v>123</v>
      </c>
      <c r="C167" s="91">
        <v>32</v>
      </c>
      <c r="D167" s="92">
        <v>3.5049288061336253E-2</v>
      </c>
      <c r="E167" s="91">
        <v>50</v>
      </c>
      <c r="F167" s="92">
        <v>4.9652432969215489E-2</v>
      </c>
      <c r="G167" s="100">
        <v>110</v>
      </c>
      <c r="H167" s="93">
        <v>5.3449951409135082E-2</v>
      </c>
      <c r="I167"/>
      <c r="J167"/>
    </row>
    <row r="168" spans="1:10" ht="21" customHeight="1" x14ac:dyDescent="0.2">
      <c r="A168" s="74" t="s">
        <v>213</v>
      </c>
      <c r="B168" s="75"/>
      <c r="C168" s="83">
        <v>913</v>
      </c>
      <c r="D168" s="88">
        <v>4.7718102565174675E-3</v>
      </c>
      <c r="E168" s="83">
        <v>1007</v>
      </c>
      <c r="F168" s="88">
        <v>4.5986984815618226E-3</v>
      </c>
      <c r="G168" s="99">
        <v>2058</v>
      </c>
      <c r="H168" s="89">
        <v>4.7571056086691196E-3</v>
      </c>
      <c r="I168"/>
      <c r="J168"/>
    </row>
    <row r="169" spans="1:10" ht="21" customHeight="1" x14ac:dyDescent="0.2">
      <c r="A169" s="74" t="s">
        <v>102</v>
      </c>
      <c r="B169" s="74" t="s">
        <v>137</v>
      </c>
      <c r="C169" s="83">
        <v>276</v>
      </c>
      <c r="D169" s="88">
        <v>0.29455709711846317</v>
      </c>
      <c r="E169" s="83">
        <v>351</v>
      </c>
      <c r="F169" s="88">
        <v>0.3742004264392324</v>
      </c>
      <c r="G169" s="99">
        <v>727</v>
      </c>
      <c r="H169" s="89">
        <v>0.35222868217054265</v>
      </c>
      <c r="I169"/>
      <c r="J169"/>
    </row>
    <row r="170" spans="1:10" ht="21" customHeight="1" x14ac:dyDescent="0.2">
      <c r="A170" s="81"/>
      <c r="B170" s="90" t="s">
        <v>127</v>
      </c>
      <c r="C170" s="91">
        <v>561</v>
      </c>
      <c r="D170" s="92">
        <v>0.59871931696905012</v>
      </c>
      <c r="E170" s="91">
        <v>532</v>
      </c>
      <c r="F170" s="92">
        <v>0.56716417910447758</v>
      </c>
      <c r="G170" s="100">
        <v>1143</v>
      </c>
      <c r="H170" s="93">
        <v>0.55377906976744184</v>
      </c>
      <c r="I170"/>
      <c r="J170"/>
    </row>
    <row r="171" spans="1:10" ht="21" customHeight="1" x14ac:dyDescent="0.2">
      <c r="A171" s="81"/>
      <c r="B171" s="90" t="s">
        <v>131</v>
      </c>
      <c r="C171" s="91">
        <v>37</v>
      </c>
      <c r="D171" s="92">
        <v>3.9487726787620067E-2</v>
      </c>
      <c r="E171" s="91">
        <v>29</v>
      </c>
      <c r="F171" s="92">
        <v>3.0916844349680169E-2</v>
      </c>
      <c r="G171" s="100">
        <v>82</v>
      </c>
      <c r="H171" s="93">
        <v>3.9728682170542637E-2</v>
      </c>
      <c r="I171"/>
      <c r="J171"/>
    </row>
    <row r="172" spans="1:10" ht="21" customHeight="1" x14ac:dyDescent="0.2">
      <c r="A172" s="81"/>
      <c r="B172" s="90" t="s">
        <v>123</v>
      </c>
      <c r="C172" s="91">
        <v>63</v>
      </c>
      <c r="D172" s="92">
        <v>6.7235859124866598E-2</v>
      </c>
      <c r="E172" s="91">
        <v>26</v>
      </c>
      <c r="F172" s="92">
        <v>2.7718550106609809E-2</v>
      </c>
      <c r="G172" s="100">
        <v>112</v>
      </c>
      <c r="H172" s="93">
        <v>5.4263565891472867E-2</v>
      </c>
      <c r="I172"/>
      <c r="J172"/>
    </row>
    <row r="173" spans="1:10" ht="21" customHeight="1" x14ac:dyDescent="0.2">
      <c r="A173" s="74" t="s">
        <v>214</v>
      </c>
      <c r="B173" s="75"/>
      <c r="C173" s="83">
        <v>937</v>
      </c>
      <c r="D173" s="88">
        <v>4.897246670708507E-3</v>
      </c>
      <c r="E173" s="83">
        <v>938</v>
      </c>
      <c r="F173" s="88">
        <v>4.2835940175819159E-3</v>
      </c>
      <c r="G173" s="99">
        <v>2064</v>
      </c>
      <c r="H173" s="89">
        <v>4.7709747212308371E-3</v>
      </c>
      <c r="I173"/>
      <c r="J173"/>
    </row>
    <row r="174" spans="1:10" ht="21" customHeight="1" x14ac:dyDescent="0.2">
      <c r="A174" s="74" t="s">
        <v>94</v>
      </c>
      <c r="B174" s="74" t="s">
        <v>137</v>
      </c>
      <c r="C174" s="83">
        <v>411</v>
      </c>
      <c r="D174" s="88">
        <v>0.48466981132075471</v>
      </c>
      <c r="E174" s="83">
        <v>577</v>
      </c>
      <c r="F174" s="88">
        <v>0.57815631262525047</v>
      </c>
      <c r="G174" s="99">
        <v>1244</v>
      </c>
      <c r="H174" s="89">
        <v>0.5946462715105163</v>
      </c>
      <c r="I174"/>
      <c r="J174"/>
    </row>
    <row r="175" spans="1:10" ht="21" customHeight="1" x14ac:dyDescent="0.2">
      <c r="A175" s="81"/>
      <c r="B175" s="90" t="s">
        <v>127</v>
      </c>
      <c r="C175" s="91">
        <v>371</v>
      </c>
      <c r="D175" s="92">
        <v>0.4375</v>
      </c>
      <c r="E175" s="91">
        <v>383</v>
      </c>
      <c r="F175" s="92">
        <v>0.38376753507014028</v>
      </c>
      <c r="G175" s="100">
        <v>700</v>
      </c>
      <c r="H175" s="93">
        <v>0.33460803059273425</v>
      </c>
      <c r="I175"/>
      <c r="J175"/>
    </row>
    <row r="176" spans="1:10" ht="21" customHeight="1" x14ac:dyDescent="0.2">
      <c r="A176" s="81"/>
      <c r="B176" s="90" t="s">
        <v>131</v>
      </c>
      <c r="C176" s="91">
        <v>19</v>
      </c>
      <c r="D176" s="92">
        <v>2.2405660377358489E-2</v>
      </c>
      <c r="E176" s="91">
        <v>13</v>
      </c>
      <c r="F176" s="92">
        <v>1.3026052104208416E-2</v>
      </c>
      <c r="G176" s="100">
        <v>50</v>
      </c>
      <c r="H176" s="93">
        <v>2.390057361376673E-2</v>
      </c>
      <c r="I176"/>
      <c r="J176"/>
    </row>
    <row r="177" spans="1:10" ht="21" customHeight="1" x14ac:dyDescent="0.2">
      <c r="A177" s="81"/>
      <c r="B177" s="90" t="s">
        <v>123</v>
      </c>
      <c r="C177" s="91">
        <v>47</v>
      </c>
      <c r="D177" s="92">
        <v>5.5424528301886794E-2</v>
      </c>
      <c r="E177" s="91">
        <v>25</v>
      </c>
      <c r="F177" s="92">
        <v>2.5050100200400802E-2</v>
      </c>
      <c r="G177" s="100">
        <v>98</v>
      </c>
      <c r="H177" s="93">
        <v>4.6845124282982792E-2</v>
      </c>
      <c r="I177"/>
      <c r="J177"/>
    </row>
    <row r="178" spans="1:10" ht="21" customHeight="1" x14ac:dyDescent="0.2">
      <c r="A178" s="74" t="s">
        <v>215</v>
      </c>
      <c r="B178" s="75"/>
      <c r="C178" s="83">
        <v>848</v>
      </c>
      <c r="D178" s="88">
        <v>4.4320866347500676E-3</v>
      </c>
      <c r="E178" s="83">
        <v>998</v>
      </c>
      <c r="F178" s="88">
        <v>4.5575978993035735E-3</v>
      </c>
      <c r="G178" s="99">
        <v>2092</v>
      </c>
      <c r="H178" s="89">
        <v>4.835697246518853E-3</v>
      </c>
      <c r="I178"/>
      <c r="J178"/>
    </row>
    <row r="179" spans="1:10" ht="21" customHeight="1" x14ac:dyDescent="0.2">
      <c r="A179" s="74" t="s">
        <v>65</v>
      </c>
      <c r="B179" s="74" t="s">
        <v>137</v>
      </c>
      <c r="C179" s="83">
        <v>168</v>
      </c>
      <c r="D179" s="88">
        <v>0.21428571428571427</v>
      </c>
      <c r="E179" s="83">
        <v>237</v>
      </c>
      <c r="F179" s="88">
        <v>0.30152671755725191</v>
      </c>
      <c r="G179" s="99">
        <v>448</v>
      </c>
      <c r="H179" s="89">
        <v>0.26291079812206575</v>
      </c>
      <c r="I179"/>
      <c r="J179"/>
    </row>
    <row r="180" spans="1:10" ht="21" customHeight="1" x14ac:dyDescent="0.2">
      <c r="A180" s="81"/>
      <c r="B180" s="90" t="s">
        <v>127</v>
      </c>
      <c r="C180" s="91">
        <v>552</v>
      </c>
      <c r="D180" s="92">
        <v>0.70408163265306123</v>
      </c>
      <c r="E180" s="91">
        <v>488</v>
      </c>
      <c r="F180" s="92">
        <v>0.62086513994910941</v>
      </c>
      <c r="G180" s="100">
        <v>1178</v>
      </c>
      <c r="H180" s="93">
        <v>0.69131455399061037</v>
      </c>
      <c r="I180"/>
      <c r="J180"/>
    </row>
    <row r="181" spans="1:10" ht="21" customHeight="1" x14ac:dyDescent="0.2">
      <c r="A181" s="81"/>
      <c r="B181" s="90" t="s">
        <v>131</v>
      </c>
      <c r="C181" s="91">
        <v>31</v>
      </c>
      <c r="D181" s="92">
        <v>3.9540816326530615E-2</v>
      </c>
      <c r="E181" s="91">
        <v>35</v>
      </c>
      <c r="F181" s="92">
        <v>4.4529262086513997E-2</v>
      </c>
      <c r="G181" s="100">
        <v>23</v>
      </c>
      <c r="H181" s="93">
        <v>1.3497652582159625E-2</v>
      </c>
      <c r="I181"/>
      <c r="J181"/>
    </row>
    <row r="182" spans="1:10" ht="21" customHeight="1" x14ac:dyDescent="0.2">
      <c r="A182" s="81"/>
      <c r="B182" s="90" t="s">
        <v>123</v>
      </c>
      <c r="C182" s="91">
        <v>33</v>
      </c>
      <c r="D182" s="92">
        <v>4.2091836734693876E-2</v>
      </c>
      <c r="E182" s="91">
        <v>26</v>
      </c>
      <c r="F182" s="92">
        <v>3.3078880407124679E-2</v>
      </c>
      <c r="G182" s="100">
        <v>55</v>
      </c>
      <c r="H182" s="93">
        <v>3.227699530516432E-2</v>
      </c>
      <c r="I182"/>
      <c r="J182"/>
    </row>
    <row r="183" spans="1:10" ht="21" customHeight="1" x14ac:dyDescent="0.2">
      <c r="A183" s="74" t="s">
        <v>216</v>
      </c>
      <c r="B183" s="75"/>
      <c r="C183" s="83">
        <v>784</v>
      </c>
      <c r="D183" s="88">
        <v>4.0975895302406288E-3</v>
      </c>
      <c r="E183" s="83">
        <v>786</v>
      </c>
      <c r="F183" s="88">
        <v>3.5894508505537161E-3</v>
      </c>
      <c r="G183" s="99">
        <v>1704</v>
      </c>
      <c r="H183" s="89">
        <v>3.9388279675277842E-3</v>
      </c>
      <c r="I183"/>
      <c r="J183"/>
    </row>
    <row r="184" spans="1:10" ht="21" customHeight="1" x14ac:dyDescent="0.2">
      <c r="A184" s="74" t="s">
        <v>107</v>
      </c>
      <c r="B184" s="74" t="s">
        <v>137</v>
      </c>
      <c r="C184" s="83">
        <v>375</v>
      </c>
      <c r="D184" s="88">
        <v>0.4826254826254826</v>
      </c>
      <c r="E184" s="83">
        <v>380</v>
      </c>
      <c r="F184" s="88">
        <v>0.47204968944099379</v>
      </c>
      <c r="G184" s="99">
        <v>891</v>
      </c>
      <c r="H184" s="89">
        <v>0.53869407496977029</v>
      </c>
      <c r="I184"/>
      <c r="J184"/>
    </row>
    <row r="185" spans="1:10" ht="21" customHeight="1" x14ac:dyDescent="0.2">
      <c r="A185" s="81"/>
      <c r="B185" s="90" t="s">
        <v>127</v>
      </c>
      <c r="C185" s="91">
        <v>330</v>
      </c>
      <c r="D185" s="92">
        <v>0.42471042471042469</v>
      </c>
      <c r="E185" s="91">
        <v>384</v>
      </c>
      <c r="F185" s="92">
        <v>0.47701863354037266</v>
      </c>
      <c r="G185" s="100">
        <v>627</v>
      </c>
      <c r="H185" s="93">
        <v>0.37908101571946795</v>
      </c>
      <c r="I185"/>
      <c r="J185"/>
    </row>
    <row r="186" spans="1:10" ht="21" customHeight="1" x14ac:dyDescent="0.2">
      <c r="A186" s="81"/>
      <c r="B186" s="90" t="s">
        <v>131</v>
      </c>
      <c r="C186" s="91">
        <v>27</v>
      </c>
      <c r="D186" s="92">
        <v>3.4749034749034749E-2</v>
      </c>
      <c r="E186" s="91">
        <v>26</v>
      </c>
      <c r="F186" s="92">
        <v>3.2298136645962733E-2</v>
      </c>
      <c r="G186" s="100">
        <v>80</v>
      </c>
      <c r="H186" s="93">
        <v>4.8367593712212817E-2</v>
      </c>
      <c r="I186"/>
      <c r="J186"/>
    </row>
    <row r="187" spans="1:10" ht="21" customHeight="1" x14ac:dyDescent="0.2">
      <c r="A187" s="81"/>
      <c r="B187" s="90" t="s">
        <v>123</v>
      </c>
      <c r="C187" s="91">
        <v>45</v>
      </c>
      <c r="D187" s="92">
        <v>5.7915057915057917E-2</v>
      </c>
      <c r="E187" s="91">
        <v>15</v>
      </c>
      <c r="F187" s="92">
        <v>1.8633540372670808E-2</v>
      </c>
      <c r="G187" s="100">
        <v>56</v>
      </c>
      <c r="H187" s="93">
        <v>3.3857315598548973E-2</v>
      </c>
      <c r="I187"/>
      <c r="J187"/>
    </row>
    <row r="188" spans="1:10" ht="21" customHeight="1" x14ac:dyDescent="0.2">
      <c r="A188" s="74" t="s">
        <v>217</v>
      </c>
      <c r="B188" s="75"/>
      <c r="C188" s="83">
        <v>777</v>
      </c>
      <c r="D188" s="88">
        <v>4.061003909434909E-3</v>
      </c>
      <c r="E188" s="83">
        <v>805</v>
      </c>
      <c r="F188" s="88">
        <v>3.6762187464322413E-3</v>
      </c>
      <c r="G188" s="99">
        <v>1654</v>
      </c>
      <c r="H188" s="89">
        <v>3.8232520295134716E-3</v>
      </c>
      <c r="I188"/>
      <c r="J188"/>
    </row>
    <row r="189" spans="1:10" ht="21" customHeight="1" x14ac:dyDescent="0.2">
      <c r="A189" s="74" t="s">
        <v>44</v>
      </c>
      <c r="B189" s="74" t="s">
        <v>137</v>
      </c>
      <c r="C189" s="83">
        <v>297</v>
      </c>
      <c r="D189" s="88">
        <v>0.4102209944751381</v>
      </c>
      <c r="E189" s="83">
        <v>417</v>
      </c>
      <c r="F189" s="88">
        <v>0.55452127659574468</v>
      </c>
      <c r="G189" s="99">
        <v>879</v>
      </c>
      <c r="H189" s="89">
        <v>0.51223776223776218</v>
      </c>
      <c r="I189"/>
      <c r="J189"/>
    </row>
    <row r="190" spans="1:10" ht="21" customHeight="1" x14ac:dyDescent="0.2">
      <c r="A190" s="81"/>
      <c r="B190" s="90" t="s">
        <v>127</v>
      </c>
      <c r="C190" s="91">
        <v>381</v>
      </c>
      <c r="D190" s="92">
        <v>0.52624309392265189</v>
      </c>
      <c r="E190" s="91">
        <v>294</v>
      </c>
      <c r="F190" s="92">
        <v>0.39095744680851063</v>
      </c>
      <c r="G190" s="100">
        <v>772</v>
      </c>
      <c r="H190" s="93">
        <v>0.44988344988344986</v>
      </c>
      <c r="I190"/>
      <c r="J190"/>
    </row>
    <row r="191" spans="1:10" ht="21" customHeight="1" x14ac:dyDescent="0.2">
      <c r="A191" s="81"/>
      <c r="B191" s="90" t="s">
        <v>131</v>
      </c>
      <c r="C191" s="91">
        <v>17</v>
      </c>
      <c r="D191" s="92">
        <v>2.3480662983425413E-2</v>
      </c>
      <c r="E191" s="91">
        <v>26</v>
      </c>
      <c r="F191" s="92">
        <v>3.4574468085106384E-2</v>
      </c>
      <c r="G191" s="100">
        <v>26</v>
      </c>
      <c r="H191" s="93">
        <v>1.5151515151515152E-2</v>
      </c>
      <c r="I191"/>
      <c r="J191"/>
    </row>
    <row r="192" spans="1:10" ht="21" customHeight="1" x14ac:dyDescent="0.2">
      <c r="A192" s="81"/>
      <c r="B192" s="90" t="s">
        <v>123</v>
      </c>
      <c r="C192" s="91">
        <v>29</v>
      </c>
      <c r="D192" s="92">
        <v>4.0055248618784532E-2</v>
      </c>
      <c r="E192" s="91">
        <v>15</v>
      </c>
      <c r="F192" s="92">
        <v>1.9946808510638299E-2</v>
      </c>
      <c r="G192" s="100">
        <v>39</v>
      </c>
      <c r="H192" s="93">
        <v>2.2727272727272728E-2</v>
      </c>
      <c r="I192"/>
      <c r="J192"/>
    </row>
    <row r="193" spans="1:10" ht="21" customHeight="1" x14ac:dyDescent="0.2">
      <c r="A193" s="74" t="s">
        <v>218</v>
      </c>
      <c r="B193" s="75"/>
      <c r="C193" s="83">
        <v>724</v>
      </c>
      <c r="D193" s="88">
        <v>3.7839984947630298E-3</v>
      </c>
      <c r="E193" s="83">
        <v>752</v>
      </c>
      <c r="F193" s="88">
        <v>3.434181984244777E-3</v>
      </c>
      <c r="G193" s="99">
        <v>1716</v>
      </c>
      <c r="H193" s="89">
        <v>3.9665661926512191E-3</v>
      </c>
      <c r="I193"/>
      <c r="J193"/>
    </row>
    <row r="194" spans="1:10" ht="21" customHeight="1" x14ac:dyDescent="0.2">
      <c r="A194" s="74" t="s">
        <v>55</v>
      </c>
      <c r="B194" s="74" t="s">
        <v>137</v>
      </c>
      <c r="C194" s="83">
        <v>380</v>
      </c>
      <c r="D194" s="88">
        <v>0.69981583793738489</v>
      </c>
      <c r="E194" s="83">
        <v>450</v>
      </c>
      <c r="F194" s="88">
        <v>0.75250836120401343</v>
      </c>
      <c r="G194" s="99">
        <v>841</v>
      </c>
      <c r="H194" s="89">
        <v>0.60071428571428576</v>
      </c>
      <c r="I194"/>
      <c r="J194"/>
    </row>
    <row r="195" spans="1:10" ht="21" customHeight="1" x14ac:dyDescent="0.2">
      <c r="A195" s="81"/>
      <c r="B195" s="90" t="s">
        <v>127</v>
      </c>
      <c r="C195" s="91">
        <v>137</v>
      </c>
      <c r="D195" s="92">
        <v>0.25230202578268879</v>
      </c>
      <c r="E195" s="91">
        <v>119</v>
      </c>
      <c r="F195" s="92">
        <v>0.19899665551839466</v>
      </c>
      <c r="G195" s="100">
        <v>56</v>
      </c>
      <c r="H195" s="93">
        <v>0.04</v>
      </c>
      <c r="I195"/>
      <c r="J195"/>
    </row>
    <row r="196" spans="1:10" ht="21" customHeight="1" x14ac:dyDescent="0.2">
      <c r="A196" s="81"/>
      <c r="B196" s="90" t="s">
        <v>131</v>
      </c>
      <c r="C196" s="91">
        <v>9</v>
      </c>
      <c r="D196" s="92">
        <v>1.6574585635359115E-2</v>
      </c>
      <c r="E196" s="91">
        <v>22</v>
      </c>
      <c r="F196" s="92">
        <v>3.678929765886288E-2</v>
      </c>
      <c r="G196" s="100">
        <v>470</v>
      </c>
      <c r="H196" s="93">
        <v>0.33571428571428569</v>
      </c>
      <c r="I196"/>
      <c r="J196"/>
    </row>
    <row r="197" spans="1:10" ht="21" customHeight="1" x14ac:dyDescent="0.2">
      <c r="A197" s="81"/>
      <c r="B197" s="90" t="s">
        <v>123</v>
      </c>
      <c r="C197" s="91">
        <v>17</v>
      </c>
      <c r="D197" s="92">
        <v>3.1307550644567222E-2</v>
      </c>
      <c r="E197" s="91">
        <v>7</v>
      </c>
      <c r="F197" s="92">
        <v>1.1705685618729096E-2</v>
      </c>
      <c r="G197" s="100">
        <v>33</v>
      </c>
      <c r="H197" s="93">
        <v>2.3571428571428573E-2</v>
      </c>
      <c r="I197"/>
      <c r="J197"/>
    </row>
    <row r="198" spans="1:10" ht="21" customHeight="1" x14ac:dyDescent="0.2">
      <c r="A198" s="74" t="s">
        <v>219</v>
      </c>
      <c r="B198" s="75"/>
      <c r="C198" s="83">
        <v>543</v>
      </c>
      <c r="D198" s="88">
        <v>2.8379988710722725E-3</v>
      </c>
      <c r="E198" s="83">
        <v>598</v>
      </c>
      <c r="F198" s="88">
        <v>2.7309053544925222E-3</v>
      </c>
      <c r="G198" s="99">
        <v>1400</v>
      </c>
      <c r="H198" s="89">
        <v>3.2361262644007619E-3</v>
      </c>
      <c r="I198"/>
      <c r="J198"/>
    </row>
    <row r="199" spans="1:10" ht="21" customHeight="1" x14ac:dyDescent="0.2">
      <c r="A199" s="74" t="s">
        <v>110</v>
      </c>
      <c r="B199" s="74" t="s">
        <v>137</v>
      </c>
      <c r="C199" s="83">
        <v>229</v>
      </c>
      <c r="D199" s="88">
        <v>0.42407407407407405</v>
      </c>
      <c r="E199" s="83">
        <v>320</v>
      </c>
      <c r="F199" s="88">
        <v>0.54421768707482998</v>
      </c>
      <c r="G199" s="99">
        <v>577</v>
      </c>
      <c r="H199" s="89">
        <v>0.43778452200303491</v>
      </c>
      <c r="I199"/>
      <c r="J199"/>
    </row>
    <row r="200" spans="1:10" ht="21" customHeight="1" x14ac:dyDescent="0.2">
      <c r="A200" s="81"/>
      <c r="B200" s="90" t="s">
        <v>127</v>
      </c>
      <c r="C200" s="91">
        <v>243</v>
      </c>
      <c r="D200" s="92">
        <v>0.45</v>
      </c>
      <c r="E200" s="91">
        <v>225</v>
      </c>
      <c r="F200" s="92">
        <v>0.38265306122448978</v>
      </c>
      <c r="G200" s="100">
        <v>624</v>
      </c>
      <c r="H200" s="93">
        <v>0.47344461305007585</v>
      </c>
      <c r="I200"/>
      <c r="J200"/>
    </row>
    <row r="201" spans="1:10" ht="21" customHeight="1" x14ac:dyDescent="0.2">
      <c r="A201" s="81"/>
      <c r="B201" s="90" t="s">
        <v>131</v>
      </c>
      <c r="C201" s="91">
        <v>25</v>
      </c>
      <c r="D201" s="92">
        <v>4.6296296296296294E-2</v>
      </c>
      <c r="E201" s="91">
        <v>28</v>
      </c>
      <c r="F201" s="92">
        <v>4.7619047619047616E-2</v>
      </c>
      <c r="G201" s="100">
        <v>53</v>
      </c>
      <c r="H201" s="93">
        <v>4.021244309559939E-2</v>
      </c>
      <c r="I201"/>
      <c r="J201"/>
    </row>
    <row r="202" spans="1:10" ht="21" customHeight="1" x14ac:dyDescent="0.2">
      <c r="A202" s="81"/>
      <c r="B202" s="90" t="s">
        <v>123</v>
      </c>
      <c r="C202" s="91">
        <v>43</v>
      </c>
      <c r="D202" s="92">
        <v>7.9629629629629634E-2</v>
      </c>
      <c r="E202" s="91">
        <v>15</v>
      </c>
      <c r="F202" s="92">
        <v>2.5510204081632654E-2</v>
      </c>
      <c r="G202" s="100">
        <v>64</v>
      </c>
      <c r="H202" s="93">
        <v>4.8558421851289835E-2</v>
      </c>
      <c r="I202"/>
      <c r="J202"/>
    </row>
    <row r="203" spans="1:10" ht="21" customHeight="1" x14ac:dyDescent="0.2">
      <c r="A203" s="74" t="s">
        <v>220</v>
      </c>
      <c r="B203" s="75"/>
      <c r="C203" s="83">
        <v>540</v>
      </c>
      <c r="D203" s="88">
        <v>2.8223193192983922E-3</v>
      </c>
      <c r="E203" s="83">
        <v>588</v>
      </c>
      <c r="F203" s="88">
        <v>2.6852380408722456E-3</v>
      </c>
      <c r="G203" s="99">
        <v>1318</v>
      </c>
      <c r="H203" s="89">
        <v>3.0465817260572885E-3</v>
      </c>
      <c r="I203"/>
      <c r="J203"/>
    </row>
    <row r="204" spans="1:10" ht="21" customHeight="1" x14ac:dyDescent="0.2">
      <c r="A204" s="74" t="s">
        <v>89</v>
      </c>
      <c r="B204" s="74" t="s">
        <v>137</v>
      </c>
      <c r="C204" s="83">
        <v>299</v>
      </c>
      <c r="D204" s="88">
        <v>0.53202846975088969</v>
      </c>
      <c r="E204" s="83">
        <v>308</v>
      </c>
      <c r="F204" s="88">
        <v>0.53287197231833905</v>
      </c>
      <c r="G204" s="99">
        <v>779</v>
      </c>
      <c r="H204" s="89">
        <v>0.67271157167530227</v>
      </c>
      <c r="I204"/>
      <c r="J204"/>
    </row>
    <row r="205" spans="1:10" ht="21" customHeight="1" x14ac:dyDescent="0.2">
      <c r="A205" s="81"/>
      <c r="B205" s="90" t="s">
        <v>127</v>
      </c>
      <c r="C205" s="91">
        <v>231</v>
      </c>
      <c r="D205" s="92">
        <v>0.4110320284697509</v>
      </c>
      <c r="E205" s="91">
        <v>224</v>
      </c>
      <c r="F205" s="92">
        <v>0.38754325259515571</v>
      </c>
      <c r="G205" s="100">
        <v>341</v>
      </c>
      <c r="H205" s="93">
        <v>0.29447322970639034</v>
      </c>
      <c r="I205"/>
      <c r="J205"/>
    </row>
    <row r="206" spans="1:10" ht="21" customHeight="1" x14ac:dyDescent="0.2">
      <c r="A206" s="81"/>
      <c r="B206" s="90" t="s">
        <v>131</v>
      </c>
      <c r="C206" s="91">
        <v>12</v>
      </c>
      <c r="D206" s="92">
        <v>2.1352313167259787E-2</v>
      </c>
      <c r="E206" s="91">
        <v>30</v>
      </c>
      <c r="F206" s="92">
        <v>5.1903114186851208E-2</v>
      </c>
      <c r="G206" s="100">
        <v>16</v>
      </c>
      <c r="H206" s="93">
        <v>1.3816925734024179E-2</v>
      </c>
      <c r="I206"/>
      <c r="J206"/>
    </row>
    <row r="207" spans="1:10" ht="21" customHeight="1" x14ac:dyDescent="0.2">
      <c r="A207" s="81"/>
      <c r="B207" s="90" t="s">
        <v>123</v>
      </c>
      <c r="C207" s="91">
        <v>20</v>
      </c>
      <c r="D207" s="92">
        <v>3.5587188612099648E-2</v>
      </c>
      <c r="E207" s="91">
        <v>16</v>
      </c>
      <c r="F207" s="92">
        <v>2.768166089965398E-2</v>
      </c>
      <c r="G207" s="100">
        <v>22</v>
      </c>
      <c r="H207" s="93">
        <v>1.8998272884283247E-2</v>
      </c>
      <c r="I207"/>
      <c r="J207"/>
    </row>
    <row r="208" spans="1:10" ht="21" customHeight="1" x14ac:dyDescent="0.2">
      <c r="A208" s="74" t="s">
        <v>221</v>
      </c>
      <c r="B208" s="75"/>
      <c r="C208" s="83">
        <v>562</v>
      </c>
      <c r="D208" s="88">
        <v>2.937302698973512E-3</v>
      </c>
      <c r="E208" s="83">
        <v>578</v>
      </c>
      <c r="F208" s="88">
        <v>2.6395707272519695E-3</v>
      </c>
      <c r="G208" s="99">
        <v>1158</v>
      </c>
      <c r="H208" s="89">
        <v>2.6767387244114875E-3</v>
      </c>
      <c r="I208"/>
      <c r="J208"/>
    </row>
    <row r="209" spans="1:10" ht="21" customHeight="1" x14ac:dyDescent="0.2">
      <c r="A209" s="74" t="s">
        <v>36</v>
      </c>
      <c r="B209" s="74" t="s">
        <v>137</v>
      </c>
      <c r="C209" s="83">
        <v>280</v>
      </c>
      <c r="D209" s="88">
        <v>0.52434456928838946</v>
      </c>
      <c r="E209" s="83">
        <v>309</v>
      </c>
      <c r="F209" s="88">
        <v>0.56697247706422016</v>
      </c>
      <c r="G209" s="99">
        <v>712</v>
      </c>
      <c r="H209" s="89">
        <v>0.6223776223776224</v>
      </c>
      <c r="I209"/>
      <c r="J209"/>
    </row>
    <row r="210" spans="1:10" ht="21" customHeight="1" x14ac:dyDescent="0.2">
      <c r="A210" s="81"/>
      <c r="B210" s="90" t="s">
        <v>127</v>
      </c>
      <c r="C210" s="91">
        <v>197</v>
      </c>
      <c r="D210" s="92">
        <v>0.36891385767790263</v>
      </c>
      <c r="E210" s="91">
        <v>204</v>
      </c>
      <c r="F210" s="92">
        <v>0.37431192660550461</v>
      </c>
      <c r="G210" s="100">
        <v>355</v>
      </c>
      <c r="H210" s="93">
        <v>0.31031468531468531</v>
      </c>
      <c r="I210"/>
      <c r="J210"/>
    </row>
    <row r="211" spans="1:10" ht="21" customHeight="1" x14ac:dyDescent="0.2">
      <c r="A211" s="81"/>
      <c r="B211" s="90" t="s">
        <v>131</v>
      </c>
      <c r="C211" s="91">
        <v>24</v>
      </c>
      <c r="D211" s="92">
        <v>4.49438202247191E-2</v>
      </c>
      <c r="E211" s="91">
        <v>15</v>
      </c>
      <c r="F211" s="92">
        <v>2.7522935779816515E-2</v>
      </c>
      <c r="G211" s="100">
        <v>27</v>
      </c>
      <c r="H211" s="93">
        <v>2.36013986013986E-2</v>
      </c>
      <c r="I211"/>
      <c r="J211"/>
    </row>
    <row r="212" spans="1:10" ht="21" customHeight="1" x14ac:dyDescent="0.2">
      <c r="A212" s="81"/>
      <c r="B212" s="90" t="s">
        <v>123</v>
      </c>
      <c r="C212" s="91">
        <v>33</v>
      </c>
      <c r="D212" s="92">
        <v>6.1797752808988762E-2</v>
      </c>
      <c r="E212" s="91">
        <v>17</v>
      </c>
      <c r="F212" s="92">
        <v>3.1192660550458717E-2</v>
      </c>
      <c r="G212" s="100">
        <v>50</v>
      </c>
      <c r="H212" s="93">
        <v>4.3706293706293704E-2</v>
      </c>
      <c r="I212"/>
      <c r="J212"/>
    </row>
    <row r="213" spans="1:10" ht="21" customHeight="1" x14ac:dyDescent="0.2">
      <c r="A213" s="74" t="s">
        <v>222</v>
      </c>
      <c r="B213" s="75"/>
      <c r="C213" s="83">
        <v>534</v>
      </c>
      <c r="D213" s="88">
        <v>2.7909602157506325E-3</v>
      </c>
      <c r="E213" s="83">
        <v>545</v>
      </c>
      <c r="F213" s="88">
        <v>2.4888685923050578E-3</v>
      </c>
      <c r="G213" s="99">
        <v>1144</v>
      </c>
      <c r="H213" s="89">
        <v>2.6443774617674796E-3</v>
      </c>
      <c r="I213"/>
      <c r="J213"/>
    </row>
    <row r="214" spans="1:10" ht="21" customHeight="1" x14ac:dyDescent="0.2">
      <c r="A214" s="74" t="s">
        <v>53</v>
      </c>
      <c r="B214" s="74" t="s">
        <v>137</v>
      </c>
      <c r="C214" s="83">
        <v>216</v>
      </c>
      <c r="D214" s="88">
        <v>0.40831758034026466</v>
      </c>
      <c r="E214" s="83">
        <v>208</v>
      </c>
      <c r="F214" s="88">
        <v>0.38518518518518519</v>
      </c>
      <c r="G214" s="99">
        <v>553</v>
      </c>
      <c r="H214" s="89">
        <v>0.50456204379562042</v>
      </c>
      <c r="I214"/>
      <c r="J214"/>
    </row>
    <row r="215" spans="1:10" ht="21" customHeight="1" x14ac:dyDescent="0.2">
      <c r="A215" s="81"/>
      <c r="B215" s="90" t="s">
        <v>127</v>
      </c>
      <c r="C215" s="91">
        <v>274</v>
      </c>
      <c r="D215" s="92">
        <v>0.51795841209829863</v>
      </c>
      <c r="E215" s="91">
        <v>306</v>
      </c>
      <c r="F215" s="92">
        <v>0.56666666666666665</v>
      </c>
      <c r="G215" s="100">
        <v>461</v>
      </c>
      <c r="H215" s="93">
        <v>0.42062043795620441</v>
      </c>
      <c r="I215"/>
      <c r="J215"/>
    </row>
    <row r="216" spans="1:10" ht="21" customHeight="1" x14ac:dyDescent="0.2">
      <c r="A216" s="81"/>
      <c r="B216" s="90" t="s">
        <v>131</v>
      </c>
      <c r="C216" s="91">
        <v>15</v>
      </c>
      <c r="D216" s="92">
        <v>2.835538752362949E-2</v>
      </c>
      <c r="E216" s="91">
        <v>17</v>
      </c>
      <c r="F216" s="92">
        <v>3.1481481481481478E-2</v>
      </c>
      <c r="G216" s="100">
        <v>27</v>
      </c>
      <c r="H216" s="93">
        <v>2.4635036496350366E-2</v>
      </c>
      <c r="I216"/>
      <c r="J216"/>
    </row>
    <row r="217" spans="1:10" ht="21" customHeight="1" x14ac:dyDescent="0.2">
      <c r="A217" s="81"/>
      <c r="B217" s="90" t="s">
        <v>123</v>
      </c>
      <c r="C217" s="91">
        <v>24</v>
      </c>
      <c r="D217" s="92">
        <v>4.5368620037807186E-2</v>
      </c>
      <c r="E217" s="91">
        <v>9</v>
      </c>
      <c r="F217" s="92">
        <v>1.6666666666666666E-2</v>
      </c>
      <c r="G217" s="100">
        <v>55</v>
      </c>
      <c r="H217" s="93">
        <v>5.0182481751824819E-2</v>
      </c>
      <c r="I217"/>
      <c r="J217"/>
    </row>
    <row r="218" spans="1:10" ht="21" customHeight="1" x14ac:dyDescent="0.2">
      <c r="A218" s="74" t="s">
        <v>223</v>
      </c>
      <c r="B218" s="75"/>
      <c r="C218" s="83">
        <v>529</v>
      </c>
      <c r="D218" s="88">
        <v>2.7648276294608325E-3</v>
      </c>
      <c r="E218" s="83">
        <v>540</v>
      </c>
      <c r="F218" s="88">
        <v>2.4660349354949196E-3</v>
      </c>
      <c r="G218" s="99">
        <v>1096</v>
      </c>
      <c r="H218" s="89">
        <v>2.5334245612737391E-3</v>
      </c>
      <c r="I218"/>
      <c r="J218"/>
    </row>
    <row r="219" spans="1:10" ht="21" customHeight="1" x14ac:dyDescent="0.2">
      <c r="A219" s="74" t="s">
        <v>76</v>
      </c>
      <c r="B219" s="74" t="s">
        <v>137</v>
      </c>
      <c r="C219" s="83">
        <v>304</v>
      </c>
      <c r="D219" s="88">
        <v>0.56505576208178443</v>
      </c>
      <c r="E219" s="83">
        <v>301</v>
      </c>
      <c r="F219" s="88">
        <v>0.54430379746835444</v>
      </c>
      <c r="G219" s="99">
        <v>660</v>
      </c>
      <c r="H219" s="89">
        <v>0.62618595825426948</v>
      </c>
      <c r="I219"/>
      <c r="J219"/>
    </row>
    <row r="220" spans="1:10" ht="21" customHeight="1" x14ac:dyDescent="0.2">
      <c r="A220" s="81"/>
      <c r="B220" s="90" t="s">
        <v>127</v>
      </c>
      <c r="C220" s="91">
        <v>203</v>
      </c>
      <c r="D220" s="92">
        <v>0.37732342007434944</v>
      </c>
      <c r="E220" s="91">
        <v>227</v>
      </c>
      <c r="F220" s="92">
        <v>0.41048824593128391</v>
      </c>
      <c r="G220" s="100">
        <v>143</v>
      </c>
      <c r="H220" s="93">
        <v>0.13567362428842505</v>
      </c>
      <c r="I220"/>
      <c r="J220"/>
    </row>
    <row r="221" spans="1:10" ht="21" customHeight="1" x14ac:dyDescent="0.2">
      <c r="A221" s="81"/>
      <c r="B221" s="90" t="s">
        <v>131</v>
      </c>
      <c r="C221" s="91">
        <v>11</v>
      </c>
      <c r="D221" s="92">
        <v>2.0446096654275093E-2</v>
      </c>
      <c r="E221" s="91">
        <v>14</v>
      </c>
      <c r="F221" s="92">
        <v>2.5316455696202531E-2</v>
      </c>
      <c r="G221" s="100">
        <v>33</v>
      </c>
      <c r="H221" s="93">
        <v>3.1309297912713474E-2</v>
      </c>
      <c r="I221"/>
      <c r="J221"/>
    </row>
    <row r="222" spans="1:10" ht="21" customHeight="1" x14ac:dyDescent="0.2">
      <c r="A222" s="81"/>
      <c r="B222" s="90" t="s">
        <v>123</v>
      </c>
      <c r="C222" s="91">
        <v>20</v>
      </c>
      <c r="D222" s="92">
        <v>3.717472118959108E-2</v>
      </c>
      <c r="E222" s="91">
        <v>11</v>
      </c>
      <c r="F222" s="92">
        <v>1.9891500904159132E-2</v>
      </c>
      <c r="G222" s="100">
        <v>218</v>
      </c>
      <c r="H222" s="93">
        <v>0.20683111954459202</v>
      </c>
      <c r="I222"/>
      <c r="J222"/>
    </row>
    <row r="223" spans="1:10" ht="21" customHeight="1" x14ac:dyDescent="0.2">
      <c r="A223" s="74" t="s">
        <v>224</v>
      </c>
      <c r="B223" s="75"/>
      <c r="C223" s="83">
        <v>538</v>
      </c>
      <c r="D223" s="88">
        <v>2.8118662847824724E-3</v>
      </c>
      <c r="E223" s="83">
        <v>553</v>
      </c>
      <c r="F223" s="88">
        <v>2.5254024432012786E-3</v>
      </c>
      <c r="G223" s="99">
        <v>1054</v>
      </c>
      <c r="H223" s="89">
        <v>2.4363407733417166E-3</v>
      </c>
      <c r="I223"/>
      <c r="J223"/>
    </row>
    <row r="224" spans="1:10" ht="21" customHeight="1" x14ac:dyDescent="0.2">
      <c r="A224" s="74" t="s">
        <v>51</v>
      </c>
      <c r="B224" s="74" t="s">
        <v>137</v>
      </c>
      <c r="C224" s="83">
        <v>116</v>
      </c>
      <c r="D224" s="88">
        <v>0.25494505494505493</v>
      </c>
      <c r="E224" s="83">
        <v>158</v>
      </c>
      <c r="F224" s="88">
        <v>0.32510288065843623</v>
      </c>
      <c r="G224" s="99">
        <v>458</v>
      </c>
      <c r="H224" s="89">
        <v>0.43371212121212122</v>
      </c>
      <c r="I224"/>
      <c r="J224"/>
    </row>
    <row r="225" spans="1:10" ht="21" customHeight="1" x14ac:dyDescent="0.2">
      <c r="A225" s="81"/>
      <c r="B225" s="90" t="s">
        <v>127</v>
      </c>
      <c r="C225" s="91">
        <v>276</v>
      </c>
      <c r="D225" s="92">
        <v>0.60659340659340655</v>
      </c>
      <c r="E225" s="91">
        <v>282</v>
      </c>
      <c r="F225" s="92">
        <v>0.58024691358024694</v>
      </c>
      <c r="G225" s="100">
        <v>337</v>
      </c>
      <c r="H225" s="93">
        <v>0.3191287878787879</v>
      </c>
      <c r="I225"/>
      <c r="J225"/>
    </row>
    <row r="226" spans="1:10" ht="21" customHeight="1" x14ac:dyDescent="0.2">
      <c r="A226" s="81"/>
      <c r="B226" s="90" t="s">
        <v>131</v>
      </c>
      <c r="C226" s="91">
        <v>19</v>
      </c>
      <c r="D226" s="92">
        <v>4.1758241758241756E-2</v>
      </c>
      <c r="E226" s="91">
        <v>26</v>
      </c>
      <c r="F226" s="92">
        <v>5.3497942386831275E-2</v>
      </c>
      <c r="G226" s="100">
        <v>188</v>
      </c>
      <c r="H226" s="93">
        <v>0.17803030303030304</v>
      </c>
      <c r="I226"/>
      <c r="J226"/>
    </row>
    <row r="227" spans="1:10" ht="21" customHeight="1" x14ac:dyDescent="0.2">
      <c r="A227" s="81"/>
      <c r="B227" s="90" t="s">
        <v>123</v>
      </c>
      <c r="C227" s="91">
        <v>44</v>
      </c>
      <c r="D227" s="92">
        <v>9.6703296703296707E-2</v>
      </c>
      <c r="E227" s="91">
        <v>20</v>
      </c>
      <c r="F227" s="92">
        <v>4.1152263374485597E-2</v>
      </c>
      <c r="G227" s="100">
        <v>73</v>
      </c>
      <c r="H227" s="93">
        <v>6.9128787878787873E-2</v>
      </c>
      <c r="I227"/>
      <c r="J227"/>
    </row>
    <row r="228" spans="1:10" ht="21" customHeight="1" x14ac:dyDescent="0.2">
      <c r="A228" s="74" t="s">
        <v>225</v>
      </c>
      <c r="B228" s="75"/>
      <c r="C228" s="83">
        <v>455</v>
      </c>
      <c r="D228" s="88">
        <v>2.3780653523717936E-3</v>
      </c>
      <c r="E228" s="83">
        <v>486</v>
      </c>
      <c r="F228" s="88">
        <v>2.2194314419454277E-3</v>
      </c>
      <c r="G228" s="99">
        <v>1056</v>
      </c>
      <c r="H228" s="89">
        <v>2.4409638108622888E-3</v>
      </c>
      <c r="I228"/>
      <c r="J228"/>
    </row>
    <row r="229" spans="1:10" ht="21" customHeight="1" x14ac:dyDescent="0.2">
      <c r="A229" s="74" t="s">
        <v>92</v>
      </c>
      <c r="B229" s="74" t="s">
        <v>137</v>
      </c>
      <c r="C229" s="83">
        <v>141</v>
      </c>
      <c r="D229" s="88">
        <v>0.31972789115646261</v>
      </c>
      <c r="E229" s="83">
        <v>187</v>
      </c>
      <c r="F229" s="88">
        <v>0.40829694323144106</v>
      </c>
      <c r="G229" s="99">
        <v>517</v>
      </c>
      <c r="H229" s="89">
        <v>0.52434077079107511</v>
      </c>
      <c r="I229"/>
      <c r="J229"/>
    </row>
    <row r="230" spans="1:10" ht="21" customHeight="1" x14ac:dyDescent="0.2">
      <c r="A230" s="81"/>
      <c r="B230" s="90" t="s">
        <v>127</v>
      </c>
      <c r="C230" s="91">
        <v>233</v>
      </c>
      <c r="D230" s="92">
        <v>0.52834467120181405</v>
      </c>
      <c r="E230" s="91">
        <v>230</v>
      </c>
      <c r="F230" s="92">
        <v>0.50218340611353707</v>
      </c>
      <c r="G230" s="100">
        <v>403</v>
      </c>
      <c r="H230" s="93">
        <v>0.40872210953346855</v>
      </c>
      <c r="I230"/>
      <c r="J230"/>
    </row>
    <row r="231" spans="1:10" ht="21" customHeight="1" x14ac:dyDescent="0.2">
      <c r="A231" s="81"/>
      <c r="B231" s="90" t="s">
        <v>131</v>
      </c>
      <c r="C231" s="91">
        <v>43</v>
      </c>
      <c r="D231" s="92">
        <v>9.7505668934240369E-2</v>
      </c>
      <c r="E231" s="91">
        <v>29</v>
      </c>
      <c r="F231" s="92">
        <v>6.3318777292576414E-2</v>
      </c>
      <c r="G231" s="100">
        <v>46</v>
      </c>
      <c r="H231" s="93">
        <v>4.665314401622718E-2</v>
      </c>
      <c r="I231"/>
      <c r="J231"/>
    </row>
    <row r="232" spans="1:10" ht="21" customHeight="1" x14ac:dyDescent="0.2">
      <c r="A232" s="81"/>
      <c r="B232" s="90" t="s">
        <v>123</v>
      </c>
      <c r="C232" s="91">
        <v>24</v>
      </c>
      <c r="D232" s="92">
        <v>5.4421768707482991E-2</v>
      </c>
      <c r="E232" s="91">
        <v>12</v>
      </c>
      <c r="F232" s="92">
        <v>2.6200873362445413E-2</v>
      </c>
      <c r="G232" s="100">
        <v>20</v>
      </c>
      <c r="H232" s="93">
        <v>2.0283975659229209E-2</v>
      </c>
      <c r="I232"/>
      <c r="J232"/>
    </row>
    <row r="233" spans="1:10" ht="21" customHeight="1" x14ac:dyDescent="0.2">
      <c r="A233" s="74" t="s">
        <v>226</v>
      </c>
      <c r="B233" s="75"/>
      <c r="C233" s="83">
        <v>441</v>
      </c>
      <c r="D233" s="88">
        <v>2.3048941107603536E-3</v>
      </c>
      <c r="E233" s="83">
        <v>458</v>
      </c>
      <c r="F233" s="88">
        <v>2.0915629638086539E-3</v>
      </c>
      <c r="G233" s="99">
        <v>986</v>
      </c>
      <c r="H233" s="89">
        <v>2.2791574976422507E-3</v>
      </c>
      <c r="I233"/>
      <c r="J233"/>
    </row>
    <row r="234" spans="1:10" ht="21" customHeight="1" x14ac:dyDescent="0.2">
      <c r="A234" s="74" t="s">
        <v>87</v>
      </c>
      <c r="B234" s="74" t="s">
        <v>137</v>
      </c>
      <c r="C234" s="83">
        <v>155</v>
      </c>
      <c r="D234" s="88">
        <v>0.43661971830985913</v>
      </c>
      <c r="E234" s="83">
        <v>220</v>
      </c>
      <c r="F234" s="88">
        <v>0.53140096618357491</v>
      </c>
      <c r="G234" s="99">
        <v>345</v>
      </c>
      <c r="H234" s="89">
        <v>0.32701421800947866</v>
      </c>
      <c r="I234"/>
      <c r="J234"/>
    </row>
    <row r="235" spans="1:10" ht="21" customHeight="1" x14ac:dyDescent="0.2">
      <c r="A235" s="81"/>
      <c r="B235" s="90" t="s">
        <v>127</v>
      </c>
      <c r="C235" s="91">
        <v>167</v>
      </c>
      <c r="D235" s="92">
        <v>0.47042253521126759</v>
      </c>
      <c r="E235" s="91">
        <v>165</v>
      </c>
      <c r="F235" s="92">
        <v>0.39855072463768115</v>
      </c>
      <c r="G235" s="100">
        <v>284</v>
      </c>
      <c r="H235" s="93">
        <v>0.26919431279620853</v>
      </c>
      <c r="I235"/>
      <c r="J235"/>
    </row>
    <row r="236" spans="1:10" ht="21" customHeight="1" x14ac:dyDescent="0.2">
      <c r="A236" s="81"/>
      <c r="B236" s="90" t="s">
        <v>131</v>
      </c>
      <c r="C236" s="91">
        <v>11</v>
      </c>
      <c r="D236" s="92">
        <v>3.0985915492957747E-2</v>
      </c>
      <c r="E236" s="91">
        <v>14</v>
      </c>
      <c r="F236" s="92">
        <v>3.3816425120772944E-2</v>
      </c>
      <c r="G236" s="100">
        <v>363</v>
      </c>
      <c r="H236" s="93">
        <v>0.34407582938388626</v>
      </c>
      <c r="I236"/>
      <c r="J236"/>
    </row>
    <row r="237" spans="1:10" ht="21" customHeight="1" x14ac:dyDescent="0.2">
      <c r="A237" s="81"/>
      <c r="B237" s="90" t="s">
        <v>123</v>
      </c>
      <c r="C237" s="91">
        <v>22</v>
      </c>
      <c r="D237" s="92">
        <v>6.1971830985915494E-2</v>
      </c>
      <c r="E237" s="91">
        <v>15</v>
      </c>
      <c r="F237" s="92">
        <v>3.6231884057971016E-2</v>
      </c>
      <c r="G237" s="100">
        <v>63</v>
      </c>
      <c r="H237" s="93">
        <v>5.9715639810426539E-2</v>
      </c>
      <c r="I237"/>
      <c r="J237"/>
    </row>
    <row r="238" spans="1:10" ht="21" customHeight="1" x14ac:dyDescent="0.2">
      <c r="A238" s="74" t="s">
        <v>227</v>
      </c>
      <c r="B238" s="75"/>
      <c r="C238" s="83">
        <v>355</v>
      </c>
      <c r="D238" s="88">
        <v>1.8554136265757949E-3</v>
      </c>
      <c r="E238" s="83">
        <v>414</v>
      </c>
      <c r="F238" s="88">
        <v>1.8906267838794382E-3</v>
      </c>
      <c r="G238" s="99">
        <v>1055</v>
      </c>
      <c r="H238" s="89">
        <v>2.4386522921020027E-3</v>
      </c>
      <c r="I238"/>
      <c r="J238"/>
    </row>
    <row r="239" spans="1:10" ht="21" customHeight="1" x14ac:dyDescent="0.2">
      <c r="A239" s="74" t="s">
        <v>83</v>
      </c>
      <c r="B239" s="74" t="s">
        <v>137</v>
      </c>
      <c r="C239" s="83">
        <v>224</v>
      </c>
      <c r="D239" s="88">
        <v>0.53846153846153844</v>
      </c>
      <c r="E239" s="83">
        <v>242</v>
      </c>
      <c r="F239" s="88">
        <v>0.57619047619047614</v>
      </c>
      <c r="G239" s="99">
        <v>555</v>
      </c>
      <c r="H239" s="89">
        <v>0.60589519650655022</v>
      </c>
      <c r="I239"/>
      <c r="J239"/>
    </row>
    <row r="240" spans="1:10" ht="21" customHeight="1" x14ac:dyDescent="0.2">
      <c r="A240" s="81"/>
      <c r="B240" s="90" t="s">
        <v>127</v>
      </c>
      <c r="C240" s="91">
        <v>173</v>
      </c>
      <c r="D240" s="92">
        <v>0.41586538461538464</v>
      </c>
      <c r="E240" s="91">
        <v>164</v>
      </c>
      <c r="F240" s="92">
        <v>0.39047619047619048</v>
      </c>
      <c r="G240" s="100">
        <v>302</v>
      </c>
      <c r="H240" s="93">
        <v>0.3296943231441048</v>
      </c>
      <c r="I240"/>
      <c r="J240"/>
    </row>
    <row r="241" spans="1:10" ht="21" customHeight="1" x14ac:dyDescent="0.2">
      <c r="A241" s="81"/>
      <c r="B241" s="90" t="s">
        <v>131</v>
      </c>
      <c r="C241" s="91">
        <v>7</v>
      </c>
      <c r="D241" s="92">
        <v>1.6826923076923076E-2</v>
      </c>
      <c r="E241" s="91">
        <v>12</v>
      </c>
      <c r="F241" s="92">
        <v>2.8571428571428571E-2</v>
      </c>
      <c r="G241" s="100">
        <v>36</v>
      </c>
      <c r="H241" s="93">
        <v>3.9301310043668124E-2</v>
      </c>
      <c r="I241"/>
      <c r="J241"/>
    </row>
    <row r="242" spans="1:10" ht="21" customHeight="1" x14ac:dyDescent="0.2">
      <c r="A242" s="81"/>
      <c r="B242" s="90" t="s">
        <v>123</v>
      </c>
      <c r="C242" s="91">
        <v>12</v>
      </c>
      <c r="D242" s="92">
        <v>2.8846153846153848E-2</v>
      </c>
      <c r="E242" s="91">
        <v>2</v>
      </c>
      <c r="F242" s="92">
        <v>4.7619047619047623E-3</v>
      </c>
      <c r="G242" s="100">
        <v>23</v>
      </c>
      <c r="H242" s="93">
        <v>2.5109170305676855E-2</v>
      </c>
      <c r="I242"/>
      <c r="J242"/>
    </row>
    <row r="243" spans="1:10" ht="21" customHeight="1" x14ac:dyDescent="0.2">
      <c r="A243" s="74" t="s">
        <v>228</v>
      </c>
      <c r="B243" s="75"/>
      <c r="C243" s="83">
        <v>416</v>
      </c>
      <c r="D243" s="88">
        <v>2.174231179311354E-3</v>
      </c>
      <c r="E243" s="83">
        <v>420</v>
      </c>
      <c r="F243" s="88">
        <v>1.918027172051604E-3</v>
      </c>
      <c r="G243" s="99">
        <v>916</v>
      </c>
      <c r="H243" s="89">
        <v>2.1173511844222127E-3</v>
      </c>
      <c r="I243"/>
      <c r="J243"/>
    </row>
    <row r="244" spans="1:10" ht="21" customHeight="1" x14ac:dyDescent="0.2">
      <c r="A244" s="74" t="s">
        <v>59</v>
      </c>
      <c r="B244" s="74" t="s">
        <v>137</v>
      </c>
      <c r="C244" s="83">
        <v>183</v>
      </c>
      <c r="D244" s="88">
        <v>0.43675417661097854</v>
      </c>
      <c r="E244" s="83">
        <v>163</v>
      </c>
      <c r="F244" s="88">
        <v>0.39467312348668282</v>
      </c>
      <c r="G244" s="99">
        <v>415</v>
      </c>
      <c r="H244" s="89">
        <v>0.46420581655480986</v>
      </c>
      <c r="I244"/>
      <c r="J244"/>
    </row>
    <row r="245" spans="1:10" ht="21" customHeight="1" x14ac:dyDescent="0.2">
      <c r="A245" s="81"/>
      <c r="B245" s="90" t="s">
        <v>127</v>
      </c>
      <c r="C245" s="91">
        <v>206</v>
      </c>
      <c r="D245" s="92">
        <v>0.49164677804295942</v>
      </c>
      <c r="E245" s="91">
        <v>230</v>
      </c>
      <c r="F245" s="92">
        <v>0.55690072639225185</v>
      </c>
      <c r="G245" s="100">
        <v>104</v>
      </c>
      <c r="H245" s="93">
        <v>0.116331096196868</v>
      </c>
      <c r="I245"/>
      <c r="J245"/>
    </row>
    <row r="246" spans="1:10" ht="21" customHeight="1" x14ac:dyDescent="0.2">
      <c r="A246" s="81"/>
      <c r="B246" s="90" t="s">
        <v>131</v>
      </c>
      <c r="C246" s="91">
        <v>10</v>
      </c>
      <c r="D246" s="92">
        <v>2.386634844868735E-2</v>
      </c>
      <c r="E246" s="91">
        <v>5</v>
      </c>
      <c r="F246" s="92">
        <v>1.2106537530266344E-2</v>
      </c>
      <c r="G246" s="100">
        <v>288</v>
      </c>
      <c r="H246" s="93">
        <v>0.32214765100671139</v>
      </c>
      <c r="I246"/>
      <c r="J246"/>
    </row>
    <row r="247" spans="1:10" ht="21" customHeight="1" x14ac:dyDescent="0.2">
      <c r="A247" s="81"/>
      <c r="B247" s="90" t="s">
        <v>123</v>
      </c>
      <c r="C247" s="91">
        <v>20</v>
      </c>
      <c r="D247" s="92">
        <v>4.77326968973747E-2</v>
      </c>
      <c r="E247" s="91">
        <v>15</v>
      </c>
      <c r="F247" s="92">
        <v>3.6319612590799029E-2</v>
      </c>
      <c r="G247" s="100">
        <v>87</v>
      </c>
      <c r="H247" s="93">
        <v>9.7315436241610737E-2</v>
      </c>
      <c r="I247"/>
      <c r="J247"/>
    </row>
    <row r="248" spans="1:10" ht="21" customHeight="1" x14ac:dyDescent="0.2">
      <c r="A248" s="74" t="s">
        <v>229</v>
      </c>
      <c r="B248" s="75"/>
      <c r="C248" s="83">
        <v>419</v>
      </c>
      <c r="D248" s="88">
        <v>2.1899107310852342E-3</v>
      </c>
      <c r="E248" s="83">
        <v>413</v>
      </c>
      <c r="F248" s="88">
        <v>1.8860600525174107E-3</v>
      </c>
      <c r="G248" s="99">
        <v>894</v>
      </c>
      <c r="H248" s="89">
        <v>2.0664977716959151E-3</v>
      </c>
      <c r="I248"/>
      <c r="J248"/>
    </row>
    <row r="249" spans="1:10" ht="21" customHeight="1" x14ac:dyDescent="0.2">
      <c r="A249" s="74" t="s">
        <v>108</v>
      </c>
      <c r="B249" s="74" t="s">
        <v>137</v>
      </c>
      <c r="C249" s="83">
        <v>188</v>
      </c>
      <c r="D249" s="88">
        <v>0.47236180904522612</v>
      </c>
      <c r="E249" s="83">
        <v>195</v>
      </c>
      <c r="F249" s="88">
        <v>0.47560975609756095</v>
      </c>
      <c r="G249" s="99">
        <v>473</v>
      </c>
      <c r="H249" s="89">
        <v>0.53146067415730336</v>
      </c>
      <c r="I249"/>
      <c r="J249"/>
    </row>
    <row r="250" spans="1:10" ht="21" customHeight="1" x14ac:dyDescent="0.2">
      <c r="A250" s="81"/>
      <c r="B250" s="90" t="s">
        <v>127</v>
      </c>
      <c r="C250" s="91">
        <v>172</v>
      </c>
      <c r="D250" s="92">
        <v>0.43216080402010049</v>
      </c>
      <c r="E250" s="91">
        <v>189</v>
      </c>
      <c r="F250" s="92">
        <v>0.46097560975609758</v>
      </c>
      <c r="G250" s="100">
        <v>255</v>
      </c>
      <c r="H250" s="93">
        <v>0.28651685393258425</v>
      </c>
      <c r="I250"/>
      <c r="J250"/>
    </row>
    <row r="251" spans="1:10" ht="21" customHeight="1" x14ac:dyDescent="0.2">
      <c r="A251" s="81"/>
      <c r="B251" s="90" t="s">
        <v>131</v>
      </c>
      <c r="C251" s="91">
        <v>12</v>
      </c>
      <c r="D251" s="92">
        <v>3.015075376884422E-2</v>
      </c>
      <c r="E251" s="91">
        <v>17</v>
      </c>
      <c r="F251" s="92">
        <v>4.1463414634146344E-2</v>
      </c>
      <c r="G251" s="100">
        <v>119</v>
      </c>
      <c r="H251" s="93">
        <v>0.13370786516853933</v>
      </c>
      <c r="I251"/>
      <c r="J251"/>
    </row>
    <row r="252" spans="1:10" ht="21" customHeight="1" x14ac:dyDescent="0.2">
      <c r="A252" s="81"/>
      <c r="B252" s="90" t="s">
        <v>123</v>
      </c>
      <c r="C252" s="91">
        <v>26</v>
      </c>
      <c r="D252" s="92">
        <v>6.5326633165829151E-2</v>
      </c>
      <c r="E252" s="91">
        <v>9</v>
      </c>
      <c r="F252" s="92">
        <v>2.1951219512195121E-2</v>
      </c>
      <c r="G252" s="100">
        <v>43</v>
      </c>
      <c r="H252" s="93">
        <v>4.8314606741573035E-2</v>
      </c>
      <c r="I252"/>
      <c r="J252"/>
    </row>
    <row r="253" spans="1:10" ht="21" customHeight="1" x14ac:dyDescent="0.2">
      <c r="A253" s="74" t="s">
        <v>230</v>
      </c>
      <c r="B253" s="75"/>
      <c r="C253" s="83">
        <v>398</v>
      </c>
      <c r="D253" s="88">
        <v>2.0801538686680745E-3</v>
      </c>
      <c r="E253" s="83">
        <v>410</v>
      </c>
      <c r="F253" s="88">
        <v>1.8723598584313278E-3</v>
      </c>
      <c r="G253" s="99">
        <v>890</v>
      </c>
      <c r="H253" s="89">
        <v>2.0572516966547699E-3</v>
      </c>
      <c r="I253"/>
      <c r="J253"/>
    </row>
    <row r="254" spans="1:10" ht="21" customHeight="1" x14ac:dyDescent="0.2">
      <c r="A254" s="74" t="s">
        <v>114</v>
      </c>
      <c r="B254" s="74" t="s">
        <v>137</v>
      </c>
      <c r="C254" s="83">
        <v>180</v>
      </c>
      <c r="D254" s="88">
        <v>0.46875</v>
      </c>
      <c r="E254" s="83">
        <v>215</v>
      </c>
      <c r="F254" s="88">
        <v>0.53615960099750626</v>
      </c>
      <c r="G254" s="99">
        <v>432</v>
      </c>
      <c r="H254" s="89">
        <v>0.49655172413793103</v>
      </c>
      <c r="I254"/>
      <c r="J254"/>
    </row>
    <row r="255" spans="1:10" ht="21" customHeight="1" x14ac:dyDescent="0.2">
      <c r="A255" s="81"/>
      <c r="B255" s="90" t="s">
        <v>127</v>
      </c>
      <c r="C255" s="91">
        <v>184</v>
      </c>
      <c r="D255" s="92">
        <v>0.47916666666666669</v>
      </c>
      <c r="E255" s="91">
        <v>167</v>
      </c>
      <c r="F255" s="92">
        <v>0.41645885286783041</v>
      </c>
      <c r="G255" s="100">
        <v>396</v>
      </c>
      <c r="H255" s="93">
        <v>0.45517241379310347</v>
      </c>
      <c r="I255"/>
      <c r="J255"/>
    </row>
    <row r="256" spans="1:10" ht="21" customHeight="1" x14ac:dyDescent="0.2">
      <c r="A256" s="81"/>
      <c r="B256" s="90" t="s">
        <v>131</v>
      </c>
      <c r="C256" s="91">
        <v>5</v>
      </c>
      <c r="D256" s="92">
        <v>1.3020833333333334E-2</v>
      </c>
      <c r="E256" s="91">
        <v>8</v>
      </c>
      <c r="F256" s="92">
        <v>1.9950124688279301E-2</v>
      </c>
      <c r="G256" s="100">
        <v>23</v>
      </c>
      <c r="H256" s="93">
        <v>2.6436781609195402E-2</v>
      </c>
      <c r="I256"/>
      <c r="J256"/>
    </row>
    <row r="257" spans="1:10" ht="21" customHeight="1" x14ac:dyDescent="0.2">
      <c r="A257" s="81"/>
      <c r="B257" s="90" t="s">
        <v>123</v>
      </c>
      <c r="C257" s="91">
        <v>15</v>
      </c>
      <c r="D257" s="92">
        <v>3.90625E-2</v>
      </c>
      <c r="E257" s="91">
        <v>11</v>
      </c>
      <c r="F257" s="92">
        <v>2.7431421446384038E-2</v>
      </c>
      <c r="G257" s="100">
        <v>19</v>
      </c>
      <c r="H257" s="93">
        <v>2.1839080459770115E-2</v>
      </c>
      <c r="I257"/>
      <c r="J257"/>
    </row>
    <row r="258" spans="1:10" ht="21" customHeight="1" x14ac:dyDescent="0.2">
      <c r="A258" s="74" t="s">
        <v>231</v>
      </c>
      <c r="B258" s="75"/>
      <c r="C258" s="83">
        <v>384</v>
      </c>
      <c r="D258" s="88">
        <v>2.0069826270566345E-3</v>
      </c>
      <c r="E258" s="83">
        <v>401</v>
      </c>
      <c r="F258" s="88">
        <v>1.8312592761730792E-3</v>
      </c>
      <c r="G258" s="99">
        <v>870</v>
      </c>
      <c r="H258" s="89">
        <v>2.0110213214490449E-3</v>
      </c>
      <c r="I258"/>
      <c r="J258"/>
    </row>
    <row r="259" spans="1:10" ht="21" customHeight="1" x14ac:dyDescent="0.2">
      <c r="A259" s="74" t="s">
        <v>56</v>
      </c>
      <c r="B259" s="74" t="s">
        <v>137</v>
      </c>
      <c r="C259" s="83">
        <v>273</v>
      </c>
      <c r="D259" s="88">
        <v>0.67910447761194026</v>
      </c>
      <c r="E259" s="83">
        <v>278</v>
      </c>
      <c r="F259" s="88">
        <v>0.6572104018912529</v>
      </c>
      <c r="G259" s="99">
        <v>592</v>
      </c>
      <c r="H259" s="89">
        <v>0.74936708860759493</v>
      </c>
      <c r="I259"/>
      <c r="J259"/>
    </row>
    <row r="260" spans="1:10" ht="21" customHeight="1" x14ac:dyDescent="0.2">
      <c r="A260" s="81"/>
      <c r="B260" s="90" t="s">
        <v>127</v>
      </c>
      <c r="C260" s="91">
        <v>107</v>
      </c>
      <c r="D260" s="92">
        <v>0.26616915422885573</v>
      </c>
      <c r="E260" s="91">
        <v>125</v>
      </c>
      <c r="F260" s="92">
        <v>0.29550827423167847</v>
      </c>
      <c r="G260" s="100">
        <v>49</v>
      </c>
      <c r="H260" s="93">
        <v>6.20253164556962E-2</v>
      </c>
      <c r="I260"/>
      <c r="J260"/>
    </row>
    <row r="261" spans="1:10" ht="21" customHeight="1" x14ac:dyDescent="0.2">
      <c r="A261" s="81"/>
      <c r="B261" s="90" t="s">
        <v>131</v>
      </c>
      <c r="C261" s="91">
        <v>7</v>
      </c>
      <c r="D261" s="92">
        <v>1.7412935323383085E-2</v>
      </c>
      <c r="E261" s="91">
        <v>13</v>
      </c>
      <c r="F261" s="92">
        <v>3.0732860520094562E-2</v>
      </c>
      <c r="G261" s="100">
        <v>37</v>
      </c>
      <c r="H261" s="93">
        <v>4.6835443037974683E-2</v>
      </c>
      <c r="I261"/>
      <c r="J261"/>
    </row>
    <row r="262" spans="1:10" ht="21" customHeight="1" x14ac:dyDescent="0.2">
      <c r="A262" s="81"/>
      <c r="B262" s="90" t="s">
        <v>123</v>
      </c>
      <c r="C262" s="91">
        <v>15</v>
      </c>
      <c r="D262" s="92">
        <v>3.7313432835820892E-2</v>
      </c>
      <c r="E262" s="91">
        <v>7</v>
      </c>
      <c r="F262" s="92">
        <v>1.6548463356973995E-2</v>
      </c>
      <c r="G262" s="100">
        <v>112</v>
      </c>
      <c r="H262" s="93">
        <v>0.14177215189873418</v>
      </c>
      <c r="I262"/>
      <c r="J262"/>
    </row>
    <row r="263" spans="1:10" ht="21" customHeight="1" x14ac:dyDescent="0.2">
      <c r="A263" s="74" t="s">
        <v>232</v>
      </c>
      <c r="B263" s="75"/>
      <c r="C263" s="83">
        <v>402</v>
      </c>
      <c r="D263" s="88">
        <v>2.1010599376999144E-3</v>
      </c>
      <c r="E263" s="83">
        <v>423</v>
      </c>
      <c r="F263" s="88">
        <v>1.9317273661376868E-3</v>
      </c>
      <c r="G263" s="99">
        <v>790</v>
      </c>
      <c r="H263" s="89">
        <v>1.8260998206261442E-3</v>
      </c>
      <c r="I263"/>
      <c r="J263"/>
    </row>
    <row r="264" spans="1:10" ht="21" customHeight="1" x14ac:dyDescent="0.2">
      <c r="A264" s="74" t="s">
        <v>71</v>
      </c>
      <c r="B264" s="74" t="s">
        <v>137</v>
      </c>
      <c r="C264" s="83">
        <v>193</v>
      </c>
      <c r="D264" s="88">
        <v>0.5975232198142415</v>
      </c>
      <c r="E264" s="83">
        <v>184</v>
      </c>
      <c r="F264" s="88">
        <v>0.35728155339805823</v>
      </c>
      <c r="G264" s="99">
        <v>416</v>
      </c>
      <c r="H264" s="89">
        <v>0.62462462462462465</v>
      </c>
      <c r="I264"/>
      <c r="J264"/>
    </row>
    <row r="265" spans="1:10" ht="21" customHeight="1" x14ac:dyDescent="0.2">
      <c r="A265" s="81"/>
      <c r="B265" s="90" t="s">
        <v>127</v>
      </c>
      <c r="C265" s="91">
        <v>106</v>
      </c>
      <c r="D265" s="92">
        <v>0.32817337461300311</v>
      </c>
      <c r="E265" s="91">
        <v>124</v>
      </c>
      <c r="F265" s="92">
        <v>0.24077669902912621</v>
      </c>
      <c r="G265" s="100">
        <v>216</v>
      </c>
      <c r="H265" s="93">
        <v>0.32432432432432434</v>
      </c>
      <c r="I265"/>
      <c r="J265"/>
    </row>
    <row r="266" spans="1:10" ht="21" customHeight="1" x14ac:dyDescent="0.2">
      <c r="A266" s="81"/>
      <c r="B266" s="90" t="s">
        <v>131</v>
      </c>
      <c r="C266" s="91">
        <v>8</v>
      </c>
      <c r="D266" s="92">
        <v>2.4767801857585141E-2</v>
      </c>
      <c r="E266" s="91">
        <v>196</v>
      </c>
      <c r="F266" s="92">
        <v>0.38058252427184464</v>
      </c>
      <c r="G266" s="100">
        <v>5</v>
      </c>
      <c r="H266" s="93">
        <v>7.5075075075075074E-3</v>
      </c>
      <c r="I266"/>
      <c r="J266"/>
    </row>
    <row r="267" spans="1:10" ht="21" customHeight="1" x14ac:dyDescent="0.2">
      <c r="A267" s="81"/>
      <c r="B267" s="90" t="s">
        <v>123</v>
      </c>
      <c r="C267" s="91">
        <v>16</v>
      </c>
      <c r="D267" s="92">
        <v>4.9535603715170282E-2</v>
      </c>
      <c r="E267" s="91">
        <v>11</v>
      </c>
      <c r="F267" s="92">
        <v>2.1359223300970873E-2</v>
      </c>
      <c r="G267" s="100">
        <v>29</v>
      </c>
      <c r="H267" s="93">
        <v>4.3543543543543541E-2</v>
      </c>
      <c r="I267"/>
      <c r="J267"/>
    </row>
    <row r="268" spans="1:10" ht="21" customHeight="1" x14ac:dyDescent="0.2">
      <c r="A268" s="74" t="s">
        <v>233</v>
      </c>
      <c r="B268" s="75"/>
      <c r="C268" s="83">
        <v>323</v>
      </c>
      <c r="D268" s="88">
        <v>1.6881650743210755E-3</v>
      </c>
      <c r="E268" s="83">
        <v>515</v>
      </c>
      <c r="F268" s="88">
        <v>2.3518666514442286E-3</v>
      </c>
      <c r="G268" s="99">
        <v>666</v>
      </c>
      <c r="H268" s="89">
        <v>1.5394714943506482E-3</v>
      </c>
      <c r="I268"/>
      <c r="J268"/>
    </row>
    <row r="269" spans="1:10" ht="21" customHeight="1" x14ac:dyDescent="0.2">
      <c r="A269" s="74" t="s">
        <v>63</v>
      </c>
      <c r="B269" s="74" t="s">
        <v>137</v>
      </c>
      <c r="C269" s="83">
        <v>232</v>
      </c>
      <c r="D269" s="88">
        <v>0.69047619047619047</v>
      </c>
      <c r="E269" s="83">
        <v>250</v>
      </c>
      <c r="F269" s="88">
        <v>0.66312997347480107</v>
      </c>
      <c r="G269" s="99">
        <v>559</v>
      </c>
      <c r="H269" s="89">
        <v>0.70759493670886076</v>
      </c>
      <c r="I269"/>
      <c r="J269"/>
    </row>
    <row r="270" spans="1:10" ht="21" customHeight="1" x14ac:dyDescent="0.2">
      <c r="A270" s="81"/>
      <c r="B270" s="90" t="s">
        <v>127</v>
      </c>
      <c r="C270" s="91">
        <v>95</v>
      </c>
      <c r="D270" s="92">
        <v>0.28273809523809523</v>
      </c>
      <c r="E270" s="91">
        <v>115</v>
      </c>
      <c r="F270" s="92">
        <v>0.30503978779840851</v>
      </c>
      <c r="G270" s="100">
        <v>91</v>
      </c>
      <c r="H270" s="93">
        <v>0.11518987341772152</v>
      </c>
      <c r="I270"/>
      <c r="J270"/>
    </row>
    <row r="271" spans="1:10" ht="21" customHeight="1" x14ac:dyDescent="0.2">
      <c r="A271" s="81"/>
      <c r="B271" s="90" t="s">
        <v>131</v>
      </c>
      <c r="C271" s="91">
        <v>4</v>
      </c>
      <c r="D271" s="92">
        <v>1.1904761904761904E-2</v>
      </c>
      <c r="E271" s="91">
        <v>8</v>
      </c>
      <c r="F271" s="92">
        <v>2.1220159151193633E-2</v>
      </c>
      <c r="G271" s="100">
        <v>12</v>
      </c>
      <c r="H271" s="93">
        <v>1.5189873417721518E-2</v>
      </c>
      <c r="I271"/>
      <c r="J271"/>
    </row>
    <row r="272" spans="1:10" ht="21" customHeight="1" x14ac:dyDescent="0.2">
      <c r="A272" s="81"/>
      <c r="B272" s="90" t="s">
        <v>123</v>
      </c>
      <c r="C272" s="91">
        <v>5</v>
      </c>
      <c r="D272" s="92">
        <v>1.488095238095238E-2</v>
      </c>
      <c r="E272" s="91">
        <v>4</v>
      </c>
      <c r="F272" s="92">
        <v>1.0610079575596816E-2</v>
      </c>
      <c r="G272" s="100">
        <v>128</v>
      </c>
      <c r="H272" s="93">
        <v>0.16202531645569621</v>
      </c>
      <c r="I272"/>
      <c r="J272"/>
    </row>
    <row r="273" spans="1:10" ht="21" customHeight="1" x14ac:dyDescent="0.2">
      <c r="A273" s="74" t="s">
        <v>234</v>
      </c>
      <c r="B273" s="75"/>
      <c r="C273" s="83">
        <v>336</v>
      </c>
      <c r="D273" s="88">
        <v>1.7561097986745551E-3</v>
      </c>
      <c r="E273" s="83">
        <v>377</v>
      </c>
      <c r="F273" s="88">
        <v>1.721657723484416E-3</v>
      </c>
      <c r="G273" s="99">
        <v>790</v>
      </c>
      <c r="H273" s="89">
        <v>1.8260998206261442E-3</v>
      </c>
      <c r="I273"/>
      <c r="J273"/>
    </row>
    <row r="274" spans="1:10" ht="21" customHeight="1" x14ac:dyDescent="0.2">
      <c r="A274" s="74" t="s">
        <v>68</v>
      </c>
      <c r="B274" s="74" t="s">
        <v>137</v>
      </c>
      <c r="C274" s="83">
        <v>61</v>
      </c>
      <c r="D274" s="88">
        <v>0.16353887399463807</v>
      </c>
      <c r="E274" s="83">
        <v>76</v>
      </c>
      <c r="F274" s="88">
        <v>0.2733812949640288</v>
      </c>
      <c r="G274" s="99">
        <v>88</v>
      </c>
      <c r="H274" s="89">
        <v>0.11702127659574468</v>
      </c>
      <c r="I274"/>
      <c r="J274"/>
    </row>
    <row r="275" spans="1:10" ht="21" customHeight="1" x14ac:dyDescent="0.2">
      <c r="A275" s="81"/>
      <c r="B275" s="90" t="s">
        <v>127</v>
      </c>
      <c r="C275" s="91">
        <v>260</v>
      </c>
      <c r="D275" s="92">
        <v>0.69705093833780163</v>
      </c>
      <c r="E275" s="91">
        <v>167</v>
      </c>
      <c r="F275" s="92">
        <v>0.60071942446043169</v>
      </c>
      <c r="G275" s="100">
        <v>482</v>
      </c>
      <c r="H275" s="93">
        <v>0.64095744680851063</v>
      </c>
      <c r="I275"/>
      <c r="J275"/>
    </row>
    <row r="276" spans="1:10" ht="21" customHeight="1" x14ac:dyDescent="0.2">
      <c r="A276" s="81"/>
      <c r="B276" s="90" t="s">
        <v>131</v>
      </c>
      <c r="C276" s="91">
        <v>15</v>
      </c>
      <c r="D276" s="92">
        <v>4.0214477211796246E-2</v>
      </c>
      <c r="E276" s="91">
        <v>23</v>
      </c>
      <c r="F276" s="92">
        <v>8.2733812949640287E-2</v>
      </c>
      <c r="G276" s="100">
        <v>58</v>
      </c>
      <c r="H276" s="93">
        <v>7.7127659574468085E-2</v>
      </c>
      <c r="I276"/>
      <c r="J276"/>
    </row>
    <row r="277" spans="1:10" ht="21" customHeight="1" x14ac:dyDescent="0.2">
      <c r="A277" s="81"/>
      <c r="B277" s="90" t="s">
        <v>123</v>
      </c>
      <c r="C277" s="91">
        <v>37</v>
      </c>
      <c r="D277" s="92">
        <v>9.9195710455764072E-2</v>
      </c>
      <c r="E277" s="91">
        <v>12</v>
      </c>
      <c r="F277" s="92">
        <v>4.3165467625899283E-2</v>
      </c>
      <c r="G277" s="100">
        <v>124</v>
      </c>
      <c r="H277" s="93">
        <v>0.16489361702127658</v>
      </c>
      <c r="I277"/>
      <c r="J277"/>
    </row>
    <row r="278" spans="1:10" ht="21" customHeight="1" x14ac:dyDescent="0.2">
      <c r="A278" s="74" t="s">
        <v>235</v>
      </c>
      <c r="B278" s="75"/>
      <c r="C278" s="83">
        <v>373</v>
      </c>
      <c r="D278" s="88">
        <v>1.9494909372190746E-3</v>
      </c>
      <c r="E278" s="83">
        <v>278</v>
      </c>
      <c r="F278" s="88">
        <v>1.2695513186436807E-3</v>
      </c>
      <c r="G278" s="99">
        <v>752</v>
      </c>
      <c r="H278" s="89">
        <v>1.7382621077352664E-3</v>
      </c>
      <c r="I278"/>
      <c r="J278"/>
    </row>
    <row r="279" spans="1:10" ht="21" customHeight="1" x14ac:dyDescent="0.2">
      <c r="A279" s="74" t="s">
        <v>54</v>
      </c>
      <c r="B279" s="74" t="s">
        <v>137</v>
      </c>
      <c r="C279" s="83">
        <v>187</v>
      </c>
      <c r="D279" s="88">
        <v>0.55489614243323437</v>
      </c>
      <c r="E279" s="83">
        <v>216</v>
      </c>
      <c r="F279" s="88">
        <v>0.58855585831062673</v>
      </c>
      <c r="G279" s="99">
        <v>392</v>
      </c>
      <c r="H279" s="89">
        <v>0.59756097560975607</v>
      </c>
      <c r="I279"/>
      <c r="J279"/>
    </row>
    <row r="280" spans="1:10" ht="21" customHeight="1" x14ac:dyDescent="0.2">
      <c r="A280" s="81"/>
      <c r="B280" s="90" t="s">
        <v>127</v>
      </c>
      <c r="C280" s="91">
        <v>121</v>
      </c>
      <c r="D280" s="92">
        <v>0.35905044510385759</v>
      </c>
      <c r="E280" s="91">
        <v>130</v>
      </c>
      <c r="F280" s="92">
        <v>0.35422343324250682</v>
      </c>
      <c r="G280" s="100">
        <v>83</v>
      </c>
      <c r="H280" s="93">
        <v>0.12652439024390244</v>
      </c>
      <c r="I280"/>
      <c r="J280"/>
    </row>
    <row r="281" spans="1:10" ht="21" customHeight="1" x14ac:dyDescent="0.2">
      <c r="A281" s="81"/>
      <c r="B281" s="90" t="s">
        <v>131</v>
      </c>
      <c r="C281" s="91">
        <v>10</v>
      </c>
      <c r="D281" s="92">
        <v>2.967359050445104E-2</v>
      </c>
      <c r="E281" s="91">
        <v>13</v>
      </c>
      <c r="F281" s="92">
        <v>3.5422343324250684E-2</v>
      </c>
      <c r="G281" s="100">
        <v>41</v>
      </c>
      <c r="H281" s="93">
        <v>6.25E-2</v>
      </c>
      <c r="I281"/>
      <c r="J281"/>
    </row>
    <row r="282" spans="1:10" ht="21" customHeight="1" x14ac:dyDescent="0.2">
      <c r="A282" s="81"/>
      <c r="B282" s="90" t="s">
        <v>123</v>
      </c>
      <c r="C282" s="91">
        <v>19</v>
      </c>
      <c r="D282" s="92">
        <v>5.637982195845697E-2</v>
      </c>
      <c r="E282" s="91">
        <v>8</v>
      </c>
      <c r="F282" s="92">
        <v>2.1798365122615803E-2</v>
      </c>
      <c r="G282" s="100">
        <v>140</v>
      </c>
      <c r="H282" s="93">
        <v>0.21341463414634146</v>
      </c>
      <c r="I282"/>
      <c r="J282"/>
    </row>
    <row r="283" spans="1:10" ht="21" customHeight="1" x14ac:dyDescent="0.2">
      <c r="A283" s="74" t="s">
        <v>236</v>
      </c>
      <c r="B283" s="75"/>
      <c r="C283" s="83">
        <v>337</v>
      </c>
      <c r="D283" s="88">
        <v>1.7613363159325152E-3</v>
      </c>
      <c r="E283" s="83">
        <v>367</v>
      </c>
      <c r="F283" s="88">
        <v>1.6759904098641398E-3</v>
      </c>
      <c r="G283" s="99">
        <v>656</v>
      </c>
      <c r="H283" s="89">
        <v>1.5163563067477855E-3</v>
      </c>
      <c r="I283"/>
      <c r="J283"/>
    </row>
    <row r="284" spans="1:10" ht="21" customHeight="1" x14ac:dyDescent="0.2">
      <c r="A284" s="74" t="s">
        <v>37</v>
      </c>
      <c r="B284" s="74" t="s">
        <v>137</v>
      </c>
      <c r="C284" s="83">
        <v>110</v>
      </c>
      <c r="D284" s="88">
        <v>0.36544850498338871</v>
      </c>
      <c r="E284" s="83">
        <v>119</v>
      </c>
      <c r="F284" s="88">
        <v>0.38387096774193546</v>
      </c>
      <c r="G284" s="99">
        <v>452</v>
      </c>
      <c r="H284" s="89">
        <v>0.69325153374233128</v>
      </c>
      <c r="I284"/>
      <c r="J284"/>
    </row>
    <row r="285" spans="1:10" ht="21" customHeight="1" x14ac:dyDescent="0.2">
      <c r="A285" s="81"/>
      <c r="B285" s="90" t="s">
        <v>127</v>
      </c>
      <c r="C285" s="91">
        <v>169</v>
      </c>
      <c r="D285" s="92">
        <v>0.56146179401993357</v>
      </c>
      <c r="E285" s="91">
        <v>179</v>
      </c>
      <c r="F285" s="92">
        <v>0.57741935483870965</v>
      </c>
      <c r="G285" s="100">
        <v>171</v>
      </c>
      <c r="H285" s="93">
        <v>0.26226993865030673</v>
      </c>
      <c r="I285"/>
      <c r="J285"/>
    </row>
    <row r="286" spans="1:10" ht="21" customHeight="1" x14ac:dyDescent="0.2">
      <c r="A286" s="81"/>
      <c r="B286" s="90" t="s">
        <v>131</v>
      </c>
      <c r="C286" s="91">
        <v>2</v>
      </c>
      <c r="D286" s="92">
        <v>6.6445182724252493E-3</v>
      </c>
      <c r="E286" s="91">
        <v>4</v>
      </c>
      <c r="F286" s="92">
        <v>1.2903225806451613E-2</v>
      </c>
      <c r="G286" s="100">
        <v>17</v>
      </c>
      <c r="H286" s="93">
        <v>2.6073619631901839E-2</v>
      </c>
      <c r="I286"/>
      <c r="J286"/>
    </row>
    <row r="287" spans="1:10" ht="21" customHeight="1" x14ac:dyDescent="0.2">
      <c r="A287" s="81"/>
      <c r="B287" s="90" t="s">
        <v>123</v>
      </c>
      <c r="C287" s="91">
        <v>20</v>
      </c>
      <c r="D287" s="92">
        <v>6.6445182724252497E-2</v>
      </c>
      <c r="E287" s="91">
        <v>8</v>
      </c>
      <c r="F287" s="92">
        <v>2.5806451612903226E-2</v>
      </c>
      <c r="G287" s="100">
        <v>12</v>
      </c>
      <c r="H287" s="93">
        <v>1.8404907975460124E-2</v>
      </c>
      <c r="I287"/>
      <c r="J287"/>
    </row>
    <row r="288" spans="1:10" ht="21" customHeight="1" x14ac:dyDescent="0.2">
      <c r="A288" s="74" t="s">
        <v>237</v>
      </c>
      <c r="B288" s="75"/>
      <c r="C288" s="83">
        <v>301</v>
      </c>
      <c r="D288" s="88">
        <v>1.5731816946459557E-3</v>
      </c>
      <c r="E288" s="83">
        <v>310</v>
      </c>
      <c r="F288" s="88">
        <v>1.4156867222285649E-3</v>
      </c>
      <c r="G288" s="99">
        <v>652</v>
      </c>
      <c r="H288" s="89">
        <v>1.5071102317066405E-3</v>
      </c>
      <c r="I288"/>
      <c r="J288"/>
    </row>
    <row r="289" spans="1:10" ht="21" customHeight="1" x14ac:dyDescent="0.2">
      <c r="A289" s="74" t="s">
        <v>58</v>
      </c>
      <c r="B289" s="74" t="s">
        <v>137</v>
      </c>
      <c r="C289" s="83">
        <v>100</v>
      </c>
      <c r="D289" s="88">
        <v>0.36231884057971014</v>
      </c>
      <c r="E289" s="83">
        <v>131</v>
      </c>
      <c r="F289" s="88">
        <v>0.4517241379310345</v>
      </c>
      <c r="G289" s="99">
        <v>185</v>
      </c>
      <c r="H289" s="89">
        <v>0.28374233128834359</v>
      </c>
      <c r="I289"/>
      <c r="J289"/>
    </row>
    <row r="290" spans="1:10" ht="21" customHeight="1" x14ac:dyDescent="0.2">
      <c r="A290" s="81"/>
      <c r="B290" s="90" t="s">
        <v>127</v>
      </c>
      <c r="C290" s="91">
        <v>161</v>
      </c>
      <c r="D290" s="92">
        <v>0.58333333333333337</v>
      </c>
      <c r="E290" s="91">
        <v>149</v>
      </c>
      <c r="F290" s="92">
        <v>0.51379310344827589</v>
      </c>
      <c r="G290" s="100">
        <v>268</v>
      </c>
      <c r="H290" s="93">
        <v>0.41104294478527609</v>
      </c>
      <c r="I290"/>
      <c r="J290"/>
    </row>
    <row r="291" spans="1:10" ht="21" customHeight="1" x14ac:dyDescent="0.2">
      <c r="A291" s="81"/>
      <c r="B291" s="90" t="s">
        <v>131</v>
      </c>
      <c r="C291" s="91">
        <v>10</v>
      </c>
      <c r="D291" s="92">
        <v>3.6231884057971016E-2</v>
      </c>
      <c r="E291" s="91">
        <v>9</v>
      </c>
      <c r="F291" s="92">
        <v>3.1034482758620689E-2</v>
      </c>
      <c r="G291" s="100">
        <v>189</v>
      </c>
      <c r="H291" s="93">
        <v>0.28987730061349692</v>
      </c>
      <c r="I291"/>
      <c r="J291"/>
    </row>
    <row r="292" spans="1:10" ht="21" customHeight="1" x14ac:dyDescent="0.2">
      <c r="A292" s="81"/>
      <c r="B292" s="90" t="s">
        <v>123</v>
      </c>
      <c r="C292" s="91">
        <v>5</v>
      </c>
      <c r="D292" s="92">
        <v>1.8115942028985508E-2</v>
      </c>
      <c r="E292" s="91">
        <v>1</v>
      </c>
      <c r="F292" s="92">
        <v>3.4482758620689655E-3</v>
      </c>
      <c r="G292" s="100">
        <v>10</v>
      </c>
      <c r="H292" s="93">
        <v>1.5337423312883436E-2</v>
      </c>
      <c r="I292"/>
      <c r="J292"/>
    </row>
    <row r="293" spans="1:10" ht="21" customHeight="1" x14ac:dyDescent="0.2">
      <c r="A293" s="74" t="s">
        <v>238</v>
      </c>
      <c r="B293" s="75"/>
      <c r="C293" s="83">
        <v>276</v>
      </c>
      <c r="D293" s="88">
        <v>1.442518763196956E-3</v>
      </c>
      <c r="E293" s="83">
        <v>290</v>
      </c>
      <c r="F293" s="88">
        <v>1.3243520949880122E-3</v>
      </c>
      <c r="G293" s="99">
        <v>652</v>
      </c>
      <c r="H293" s="89">
        <v>1.5071102317066405E-3</v>
      </c>
      <c r="I293"/>
      <c r="J293"/>
    </row>
    <row r="294" spans="1:10" ht="21" customHeight="1" x14ac:dyDescent="0.2">
      <c r="A294" s="74" t="s">
        <v>85</v>
      </c>
      <c r="B294" s="74" t="s">
        <v>137</v>
      </c>
      <c r="C294" s="83">
        <v>192</v>
      </c>
      <c r="D294" s="88">
        <v>0.49230769230769234</v>
      </c>
      <c r="E294" s="83">
        <v>206</v>
      </c>
      <c r="F294" s="88">
        <v>0.51758793969849248</v>
      </c>
      <c r="G294" s="99">
        <v>267</v>
      </c>
      <c r="H294" s="89">
        <v>0.63571428571428568</v>
      </c>
      <c r="I294"/>
      <c r="J294"/>
    </row>
    <row r="295" spans="1:10" ht="21" customHeight="1" x14ac:dyDescent="0.2">
      <c r="A295" s="81"/>
      <c r="B295" s="90" t="s">
        <v>127</v>
      </c>
      <c r="C295" s="91">
        <v>181</v>
      </c>
      <c r="D295" s="92">
        <v>0.46410256410256412</v>
      </c>
      <c r="E295" s="91">
        <v>179</v>
      </c>
      <c r="F295" s="92">
        <v>0.44974874371859297</v>
      </c>
      <c r="G295" s="100">
        <v>80</v>
      </c>
      <c r="H295" s="93">
        <v>0.19047619047619047</v>
      </c>
      <c r="I295"/>
      <c r="J295"/>
    </row>
    <row r="296" spans="1:10" ht="21" customHeight="1" x14ac:dyDescent="0.2">
      <c r="A296" s="81"/>
      <c r="B296" s="90" t="s">
        <v>131</v>
      </c>
      <c r="C296" s="91">
        <v>9</v>
      </c>
      <c r="D296" s="92">
        <v>2.3076923076923078E-2</v>
      </c>
      <c r="E296" s="91">
        <v>12</v>
      </c>
      <c r="F296" s="92">
        <v>3.015075376884422E-2</v>
      </c>
      <c r="G296" s="100">
        <v>61</v>
      </c>
      <c r="H296" s="93">
        <v>0.14523809523809525</v>
      </c>
      <c r="I296"/>
      <c r="J296"/>
    </row>
    <row r="297" spans="1:10" ht="21" customHeight="1" x14ac:dyDescent="0.2">
      <c r="A297" s="81"/>
      <c r="B297" s="90" t="s">
        <v>123</v>
      </c>
      <c r="C297" s="91">
        <v>8</v>
      </c>
      <c r="D297" s="92">
        <v>2.0512820512820513E-2</v>
      </c>
      <c r="E297" s="91">
        <v>1</v>
      </c>
      <c r="F297" s="92">
        <v>2.5125628140703518E-3</v>
      </c>
      <c r="G297" s="100">
        <v>12</v>
      </c>
      <c r="H297" s="93">
        <v>2.8571428571428571E-2</v>
      </c>
      <c r="I297"/>
      <c r="J297"/>
    </row>
    <row r="298" spans="1:10" ht="21" customHeight="1" x14ac:dyDescent="0.2">
      <c r="A298" s="74" t="s">
        <v>239</v>
      </c>
      <c r="B298" s="75"/>
      <c r="C298" s="83">
        <v>390</v>
      </c>
      <c r="D298" s="88">
        <v>2.0383417306043946E-3</v>
      </c>
      <c r="E298" s="83">
        <v>398</v>
      </c>
      <c r="F298" s="88">
        <v>1.8175590820869963E-3</v>
      </c>
      <c r="G298" s="99">
        <v>420</v>
      </c>
      <c r="H298" s="89">
        <v>9.7083787932022861E-4</v>
      </c>
      <c r="I298"/>
      <c r="J298"/>
    </row>
    <row r="299" spans="1:10" ht="21" customHeight="1" x14ac:dyDescent="0.2">
      <c r="A299" s="74" t="s">
        <v>74</v>
      </c>
      <c r="B299" s="74" t="s">
        <v>137</v>
      </c>
      <c r="C299" s="83">
        <v>147</v>
      </c>
      <c r="D299" s="88">
        <v>0.55893536121673004</v>
      </c>
      <c r="E299" s="83">
        <v>173</v>
      </c>
      <c r="F299" s="88">
        <v>0.62681159420289856</v>
      </c>
      <c r="G299" s="99">
        <v>397</v>
      </c>
      <c r="H299" s="89">
        <v>0.69405594405594406</v>
      </c>
      <c r="I299"/>
      <c r="J299"/>
    </row>
    <row r="300" spans="1:10" ht="21" customHeight="1" x14ac:dyDescent="0.2">
      <c r="A300" s="81"/>
      <c r="B300" s="90" t="s">
        <v>127</v>
      </c>
      <c r="C300" s="91">
        <v>95</v>
      </c>
      <c r="D300" s="92">
        <v>0.36121673003802279</v>
      </c>
      <c r="E300" s="91">
        <v>94</v>
      </c>
      <c r="F300" s="92">
        <v>0.34057971014492755</v>
      </c>
      <c r="G300" s="100">
        <v>35</v>
      </c>
      <c r="H300" s="93">
        <v>6.1188811188811192E-2</v>
      </c>
      <c r="I300"/>
      <c r="J300"/>
    </row>
    <row r="301" spans="1:10" ht="21" customHeight="1" x14ac:dyDescent="0.2">
      <c r="A301" s="81"/>
      <c r="B301" s="90" t="s">
        <v>131</v>
      </c>
      <c r="C301" s="91">
        <v>7</v>
      </c>
      <c r="D301" s="92">
        <v>2.6615969581749048E-2</v>
      </c>
      <c r="E301" s="91">
        <v>7</v>
      </c>
      <c r="F301" s="92">
        <v>2.5362318840579712E-2</v>
      </c>
      <c r="G301" s="100">
        <v>136</v>
      </c>
      <c r="H301" s="93">
        <v>0.23776223776223776</v>
      </c>
      <c r="I301"/>
      <c r="J301"/>
    </row>
    <row r="302" spans="1:10" ht="21" customHeight="1" x14ac:dyDescent="0.2">
      <c r="A302" s="81"/>
      <c r="B302" s="90" t="s">
        <v>123</v>
      </c>
      <c r="C302" s="91">
        <v>14</v>
      </c>
      <c r="D302" s="92">
        <v>5.3231939163498096E-2</v>
      </c>
      <c r="E302" s="91">
        <v>2</v>
      </c>
      <c r="F302" s="92">
        <v>7.246376811594203E-3</v>
      </c>
      <c r="G302" s="100">
        <v>4</v>
      </c>
      <c r="H302" s="93">
        <v>6.993006993006993E-3</v>
      </c>
      <c r="I302"/>
      <c r="J302"/>
    </row>
    <row r="303" spans="1:10" ht="21" customHeight="1" x14ac:dyDescent="0.2">
      <c r="A303" s="74" t="s">
        <v>240</v>
      </c>
      <c r="B303" s="75"/>
      <c r="C303" s="83">
        <v>263</v>
      </c>
      <c r="D303" s="88">
        <v>1.3745740388434763E-3</v>
      </c>
      <c r="E303" s="83">
        <v>276</v>
      </c>
      <c r="F303" s="88">
        <v>1.2604178559196255E-3</v>
      </c>
      <c r="G303" s="99">
        <v>572</v>
      </c>
      <c r="H303" s="89">
        <v>1.3221887308837398E-3</v>
      </c>
      <c r="I303"/>
      <c r="J303"/>
    </row>
    <row r="304" spans="1:10" ht="21" customHeight="1" x14ac:dyDescent="0.2">
      <c r="A304" s="74" t="s">
        <v>50</v>
      </c>
      <c r="B304" s="74" t="s">
        <v>137</v>
      </c>
      <c r="C304" s="83">
        <v>69</v>
      </c>
      <c r="D304" s="88">
        <v>0.26848249027237353</v>
      </c>
      <c r="E304" s="83">
        <v>102</v>
      </c>
      <c r="F304" s="88">
        <v>0.38059701492537312</v>
      </c>
      <c r="G304" s="99">
        <v>134</v>
      </c>
      <c r="H304" s="89">
        <v>0.24452554744525548</v>
      </c>
      <c r="I304"/>
      <c r="J304"/>
    </row>
    <row r="305" spans="1:10" ht="21" customHeight="1" x14ac:dyDescent="0.2">
      <c r="A305" s="81"/>
      <c r="B305" s="90" t="s">
        <v>127</v>
      </c>
      <c r="C305" s="91">
        <v>177</v>
      </c>
      <c r="D305" s="92">
        <v>0.68871595330739299</v>
      </c>
      <c r="E305" s="91">
        <v>157</v>
      </c>
      <c r="F305" s="92">
        <v>0.58582089552238803</v>
      </c>
      <c r="G305" s="100">
        <v>87</v>
      </c>
      <c r="H305" s="93">
        <v>0.15875912408759124</v>
      </c>
      <c r="I305"/>
      <c r="J305"/>
    </row>
    <row r="306" spans="1:10" ht="21" customHeight="1" x14ac:dyDescent="0.2">
      <c r="A306" s="81"/>
      <c r="B306" s="90" t="s">
        <v>131</v>
      </c>
      <c r="C306" s="91">
        <v>5</v>
      </c>
      <c r="D306" s="92">
        <v>1.9455252918287938E-2</v>
      </c>
      <c r="E306" s="91">
        <v>3</v>
      </c>
      <c r="F306" s="92">
        <v>1.1194029850746268E-2</v>
      </c>
      <c r="G306" s="100">
        <v>187</v>
      </c>
      <c r="H306" s="93">
        <v>0.34124087591240876</v>
      </c>
      <c r="I306"/>
      <c r="J306"/>
    </row>
    <row r="307" spans="1:10" ht="21" customHeight="1" x14ac:dyDescent="0.2">
      <c r="A307" s="81"/>
      <c r="B307" s="90" t="s">
        <v>123</v>
      </c>
      <c r="C307" s="91">
        <v>6</v>
      </c>
      <c r="D307" s="92">
        <v>2.3346303501945526E-2</v>
      </c>
      <c r="E307" s="91">
        <v>6</v>
      </c>
      <c r="F307" s="92">
        <v>2.2388059701492536E-2</v>
      </c>
      <c r="G307" s="100">
        <v>140</v>
      </c>
      <c r="H307" s="93">
        <v>0.25547445255474455</v>
      </c>
      <c r="I307"/>
      <c r="J307"/>
    </row>
    <row r="308" spans="1:10" ht="21" customHeight="1" x14ac:dyDescent="0.2">
      <c r="A308" s="74" t="s">
        <v>241</v>
      </c>
      <c r="B308" s="75"/>
      <c r="C308" s="83">
        <v>257</v>
      </c>
      <c r="D308" s="88">
        <v>1.3432149352957164E-3</v>
      </c>
      <c r="E308" s="83">
        <v>268</v>
      </c>
      <c r="F308" s="88">
        <v>1.2238840050234046E-3</v>
      </c>
      <c r="G308" s="99">
        <v>548</v>
      </c>
      <c r="H308" s="89">
        <v>1.2667122806368696E-3</v>
      </c>
      <c r="I308"/>
      <c r="J308"/>
    </row>
    <row r="309" spans="1:10" ht="21" customHeight="1" x14ac:dyDescent="0.2">
      <c r="A309" s="74" t="s">
        <v>62</v>
      </c>
      <c r="B309" s="74" t="s">
        <v>137</v>
      </c>
      <c r="C309" s="83">
        <v>171</v>
      </c>
      <c r="D309" s="88">
        <v>0.74672489082969429</v>
      </c>
      <c r="E309" s="83">
        <v>175</v>
      </c>
      <c r="F309" s="88">
        <v>0.68627450980392157</v>
      </c>
      <c r="G309" s="99">
        <v>423</v>
      </c>
      <c r="H309" s="89">
        <v>0.85282258064516125</v>
      </c>
      <c r="I309"/>
      <c r="J309"/>
    </row>
    <row r="310" spans="1:10" ht="21" customHeight="1" x14ac:dyDescent="0.2">
      <c r="A310" s="81"/>
      <c r="B310" s="90" t="s">
        <v>127</v>
      </c>
      <c r="C310" s="91">
        <v>44</v>
      </c>
      <c r="D310" s="92">
        <v>0.19213973799126638</v>
      </c>
      <c r="E310" s="91">
        <v>64</v>
      </c>
      <c r="F310" s="92">
        <v>0.25098039215686274</v>
      </c>
      <c r="G310" s="100">
        <v>8</v>
      </c>
      <c r="H310" s="93">
        <v>1.6129032258064516E-2</v>
      </c>
      <c r="I310"/>
      <c r="J310"/>
    </row>
    <row r="311" spans="1:10" ht="21" customHeight="1" x14ac:dyDescent="0.2">
      <c r="A311" s="81"/>
      <c r="B311" s="90" t="s">
        <v>131</v>
      </c>
      <c r="C311" s="91">
        <v>4</v>
      </c>
      <c r="D311" s="92">
        <v>1.7467248908296942E-2</v>
      </c>
      <c r="E311" s="91">
        <v>6</v>
      </c>
      <c r="F311" s="92">
        <v>2.3529411764705882E-2</v>
      </c>
      <c r="G311" s="100">
        <v>20</v>
      </c>
      <c r="H311" s="93">
        <v>4.0322580645161289E-2</v>
      </c>
      <c r="I311"/>
      <c r="J311"/>
    </row>
    <row r="312" spans="1:10" ht="21" customHeight="1" x14ac:dyDescent="0.2">
      <c r="A312" s="81"/>
      <c r="B312" s="90" t="s">
        <v>123</v>
      </c>
      <c r="C312" s="91">
        <v>10</v>
      </c>
      <c r="D312" s="92">
        <v>4.3668122270742356E-2</v>
      </c>
      <c r="E312" s="91">
        <v>10</v>
      </c>
      <c r="F312" s="92">
        <v>3.9215686274509803E-2</v>
      </c>
      <c r="G312" s="100">
        <v>45</v>
      </c>
      <c r="H312" s="93">
        <v>9.0725806451612906E-2</v>
      </c>
      <c r="I312"/>
      <c r="J312"/>
    </row>
    <row r="313" spans="1:10" ht="21" customHeight="1" x14ac:dyDescent="0.2">
      <c r="A313" s="74" t="s">
        <v>242</v>
      </c>
      <c r="B313" s="75"/>
      <c r="C313" s="83">
        <v>229</v>
      </c>
      <c r="D313" s="88">
        <v>1.1968724520728367E-3</v>
      </c>
      <c r="E313" s="83">
        <v>255</v>
      </c>
      <c r="F313" s="88">
        <v>1.1645164973170454E-3</v>
      </c>
      <c r="G313" s="99">
        <v>496</v>
      </c>
      <c r="H313" s="89">
        <v>1.1465133051019843E-3</v>
      </c>
      <c r="I313"/>
      <c r="J313"/>
    </row>
    <row r="314" spans="1:10" ht="21" customHeight="1" x14ac:dyDescent="0.2">
      <c r="A314" s="74" t="s">
        <v>97</v>
      </c>
      <c r="B314" s="74" t="s">
        <v>137</v>
      </c>
      <c r="C314" s="83">
        <v>141</v>
      </c>
      <c r="D314" s="88">
        <v>0.44062499999999999</v>
      </c>
      <c r="E314" s="83">
        <v>212</v>
      </c>
      <c r="F314" s="88">
        <v>0.63663663663663661</v>
      </c>
      <c r="G314" s="99">
        <v>161</v>
      </c>
      <c r="H314" s="89">
        <v>0.51111111111111107</v>
      </c>
      <c r="I314"/>
      <c r="J314"/>
    </row>
    <row r="315" spans="1:10" ht="21" customHeight="1" x14ac:dyDescent="0.2">
      <c r="A315" s="81"/>
      <c r="B315" s="90" t="s">
        <v>127</v>
      </c>
      <c r="C315" s="91">
        <v>153</v>
      </c>
      <c r="D315" s="92">
        <v>0.47812500000000002</v>
      </c>
      <c r="E315" s="91">
        <v>101</v>
      </c>
      <c r="F315" s="92">
        <v>0.3033033033033033</v>
      </c>
      <c r="G315" s="100">
        <v>108</v>
      </c>
      <c r="H315" s="93">
        <v>0.34285714285714286</v>
      </c>
      <c r="I315"/>
      <c r="J315"/>
    </row>
    <row r="316" spans="1:10" ht="21" customHeight="1" x14ac:dyDescent="0.2">
      <c r="A316" s="81"/>
      <c r="B316" s="90" t="s">
        <v>131</v>
      </c>
      <c r="C316" s="91">
        <v>6</v>
      </c>
      <c r="D316" s="92">
        <v>1.8749999999999999E-2</v>
      </c>
      <c r="E316" s="91">
        <v>8</v>
      </c>
      <c r="F316" s="92">
        <v>2.4024024024024024E-2</v>
      </c>
      <c r="G316" s="100">
        <v>8</v>
      </c>
      <c r="H316" s="93">
        <v>2.5396825396825397E-2</v>
      </c>
      <c r="I316"/>
      <c r="J316"/>
    </row>
    <row r="317" spans="1:10" ht="21" customHeight="1" x14ac:dyDescent="0.2">
      <c r="A317" s="81"/>
      <c r="B317" s="90" t="s">
        <v>123</v>
      </c>
      <c r="C317" s="91">
        <v>20</v>
      </c>
      <c r="D317" s="92">
        <v>6.25E-2</v>
      </c>
      <c r="E317" s="91">
        <v>12</v>
      </c>
      <c r="F317" s="92">
        <v>3.6036036036036036E-2</v>
      </c>
      <c r="G317" s="100">
        <v>38</v>
      </c>
      <c r="H317" s="93">
        <v>0.12063492063492064</v>
      </c>
      <c r="I317"/>
      <c r="J317"/>
    </row>
    <row r="318" spans="1:10" ht="21" customHeight="1" x14ac:dyDescent="0.2">
      <c r="A318" s="74" t="s">
        <v>243</v>
      </c>
      <c r="B318" s="75"/>
      <c r="C318" s="83">
        <v>320</v>
      </c>
      <c r="D318" s="88">
        <v>1.6724855225471954E-3</v>
      </c>
      <c r="E318" s="83">
        <v>333</v>
      </c>
      <c r="F318" s="88">
        <v>1.5207215435552005E-3</v>
      </c>
      <c r="G318" s="99">
        <v>315</v>
      </c>
      <c r="H318" s="89">
        <v>7.2812840949017146E-4</v>
      </c>
      <c r="I318"/>
      <c r="J318"/>
    </row>
    <row r="319" spans="1:10" ht="21" customHeight="1" x14ac:dyDescent="0.2">
      <c r="A319" s="74" t="s">
        <v>111</v>
      </c>
      <c r="B319" s="74" t="s">
        <v>137</v>
      </c>
      <c r="C319" s="83">
        <v>94</v>
      </c>
      <c r="D319" s="88">
        <v>0.35877862595419846</v>
      </c>
      <c r="E319" s="83">
        <v>116</v>
      </c>
      <c r="F319" s="88">
        <v>0.31266846361185985</v>
      </c>
      <c r="G319" s="99">
        <v>133</v>
      </c>
      <c r="H319" s="89">
        <v>0.46996466431095407</v>
      </c>
      <c r="I319"/>
      <c r="J319"/>
    </row>
    <row r="320" spans="1:10" ht="21" customHeight="1" x14ac:dyDescent="0.2">
      <c r="A320" s="81"/>
      <c r="B320" s="90" t="s">
        <v>127</v>
      </c>
      <c r="C320" s="91">
        <v>144</v>
      </c>
      <c r="D320" s="92">
        <v>0.54961832061068705</v>
      </c>
      <c r="E320" s="91">
        <v>233</v>
      </c>
      <c r="F320" s="92">
        <v>0.62803234501347704</v>
      </c>
      <c r="G320" s="100">
        <v>128</v>
      </c>
      <c r="H320" s="93">
        <v>0.45229681978798586</v>
      </c>
      <c r="I320"/>
      <c r="J320"/>
    </row>
    <row r="321" spans="1:10" ht="21" customHeight="1" x14ac:dyDescent="0.2">
      <c r="A321" s="81"/>
      <c r="B321" s="90" t="s">
        <v>131</v>
      </c>
      <c r="C321" s="91">
        <v>4</v>
      </c>
      <c r="D321" s="92">
        <v>1.5267175572519083E-2</v>
      </c>
      <c r="E321" s="91">
        <v>12</v>
      </c>
      <c r="F321" s="92">
        <v>3.2345013477088951E-2</v>
      </c>
      <c r="G321" s="100">
        <v>11</v>
      </c>
      <c r="H321" s="93">
        <v>3.8869257950530034E-2</v>
      </c>
      <c r="I321"/>
      <c r="J321"/>
    </row>
    <row r="322" spans="1:10" ht="21" customHeight="1" x14ac:dyDescent="0.2">
      <c r="A322" s="81"/>
      <c r="B322" s="90" t="s">
        <v>123</v>
      </c>
      <c r="C322" s="91">
        <v>20</v>
      </c>
      <c r="D322" s="92">
        <v>7.6335877862595422E-2</v>
      </c>
      <c r="E322" s="91">
        <v>10</v>
      </c>
      <c r="F322" s="92">
        <v>2.6954177897574125E-2</v>
      </c>
      <c r="G322" s="100">
        <v>11</v>
      </c>
      <c r="H322" s="93">
        <v>3.8869257950530034E-2</v>
      </c>
      <c r="I322"/>
      <c r="J322"/>
    </row>
    <row r="323" spans="1:10" ht="21" customHeight="1" x14ac:dyDescent="0.2">
      <c r="A323" s="74" t="s">
        <v>244</v>
      </c>
      <c r="B323" s="75"/>
      <c r="C323" s="83">
        <v>262</v>
      </c>
      <c r="D323" s="88">
        <v>1.3693475215855162E-3</v>
      </c>
      <c r="E323" s="83">
        <v>371</v>
      </c>
      <c r="F323" s="88">
        <v>1.6942573353122502E-3</v>
      </c>
      <c r="G323" s="99">
        <v>283</v>
      </c>
      <c r="H323" s="89">
        <v>6.5415980916101117E-4</v>
      </c>
      <c r="I323"/>
      <c r="J323"/>
    </row>
    <row r="324" spans="1:10" ht="21" customHeight="1" x14ac:dyDescent="0.2">
      <c r="A324" s="74" t="s">
        <v>82</v>
      </c>
      <c r="B324" s="74" t="s">
        <v>137</v>
      </c>
      <c r="C324" s="83">
        <v>120</v>
      </c>
      <c r="D324" s="88">
        <v>0.4580152671755725</v>
      </c>
      <c r="E324" s="83">
        <v>124</v>
      </c>
      <c r="F324" s="88">
        <v>0.44927536231884058</v>
      </c>
      <c r="G324" s="99">
        <v>130</v>
      </c>
      <c r="H324" s="89">
        <v>0.44368600682593856</v>
      </c>
      <c r="I324"/>
      <c r="J324"/>
    </row>
    <row r="325" spans="1:10" ht="21" customHeight="1" x14ac:dyDescent="0.2">
      <c r="A325" s="81"/>
      <c r="B325" s="90" t="s">
        <v>127</v>
      </c>
      <c r="C325" s="91">
        <v>130</v>
      </c>
      <c r="D325" s="92">
        <v>0.49618320610687022</v>
      </c>
      <c r="E325" s="91">
        <v>139</v>
      </c>
      <c r="F325" s="92">
        <v>0.50362318840579712</v>
      </c>
      <c r="G325" s="100">
        <v>105</v>
      </c>
      <c r="H325" s="93">
        <v>0.35836177474402731</v>
      </c>
      <c r="I325"/>
      <c r="J325"/>
    </row>
    <row r="326" spans="1:10" ht="21" customHeight="1" x14ac:dyDescent="0.2">
      <c r="A326" s="81"/>
      <c r="B326" s="90" t="s">
        <v>131</v>
      </c>
      <c r="C326" s="91">
        <v>8</v>
      </c>
      <c r="D326" s="92">
        <v>3.0534351145038167E-2</v>
      </c>
      <c r="E326" s="91">
        <v>9</v>
      </c>
      <c r="F326" s="92">
        <v>3.2608695652173912E-2</v>
      </c>
      <c r="G326" s="100">
        <v>46</v>
      </c>
      <c r="H326" s="93">
        <v>0.15699658703071673</v>
      </c>
      <c r="I326"/>
      <c r="J326"/>
    </row>
    <row r="327" spans="1:10" ht="21" customHeight="1" x14ac:dyDescent="0.2">
      <c r="A327" s="81"/>
      <c r="B327" s="90" t="s">
        <v>123</v>
      </c>
      <c r="C327" s="91">
        <v>4</v>
      </c>
      <c r="D327" s="92">
        <v>1.5267175572519083E-2</v>
      </c>
      <c r="E327" s="91">
        <v>4</v>
      </c>
      <c r="F327" s="92">
        <v>1.4492753623188406E-2</v>
      </c>
      <c r="G327" s="100">
        <v>12</v>
      </c>
      <c r="H327" s="93">
        <v>4.0955631399317405E-2</v>
      </c>
      <c r="I327"/>
      <c r="J327"/>
    </row>
    <row r="328" spans="1:10" ht="21" customHeight="1" x14ac:dyDescent="0.2">
      <c r="A328" s="74" t="s">
        <v>245</v>
      </c>
      <c r="B328" s="75"/>
      <c r="C328" s="83">
        <v>262</v>
      </c>
      <c r="D328" s="88">
        <v>1.3693475215855162E-3</v>
      </c>
      <c r="E328" s="83">
        <v>276</v>
      </c>
      <c r="F328" s="88">
        <v>1.2604178559196255E-3</v>
      </c>
      <c r="G328" s="99">
        <v>293</v>
      </c>
      <c r="H328" s="89">
        <v>6.7727499676387376E-4</v>
      </c>
      <c r="I328"/>
      <c r="J328"/>
    </row>
    <row r="329" spans="1:10" ht="21" customHeight="1" x14ac:dyDescent="0.2">
      <c r="A329" s="74" t="s">
        <v>99</v>
      </c>
      <c r="B329" s="74" t="s">
        <v>137</v>
      </c>
      <c r="C329" s="83">
        <v>102</v>
      </c>
      <c r="D329" s="88">
        <v>0.43776824034334766</v>
      </c>
      <c r="E329" s="83">
        <v>116</v>
      </c>
      <c r="F329" s="88">
        <v>0.48535564853556484</v>
      </c>
      <c r="G329" s="99">
        <v>96</v>
      </c>
      <c r="H329" s="89">
        <v>0.38400000000000001</v>
      </c>
      <c r="I329"/>
      <c r="J329"/>
    </row>
    <row r="330" spans="1:10" ht="21" customHeight="1" x14ac:dyDescent="0.2">
      <c r="A330" s="81"/>
      <c r="B330" s="90" t="s">
        <v>127</v>
      </c>
      <c r="C330" s="91">
        <v>111</v>
      </c>
      <c r="D330" s="92">
        <v>0.47639484978540775</v>
      </c>
      <c r="E330" s="91">
        <v>105</v>
      </c>
      <c r="F330" s="92">
        <v>0.43933054393305437</v>
      </c>
      <c r="G330" s="100">
        <v>96</v>
      </c>
      <c r="H330" s="93">
        <v>0.38400000000000001</v>
      </c>
      <c r="I330"/>
      <c r="J330"/>
    </row>
    <row r="331" spans="1:10" ht="21" customHeight="1" x14ac:dyDescent="0.2">
      <c r="A331" s="81"/>
      <c r="B331" s="90" t="s">
        <v>131</v>
      </c>
      <c r="C331" s="91">
        <v>9</v>
      </c>
      <c r="D331" s="92">
        <v>3.8626609442060089E-2</v>
      </c>
      <c r="E331" s="91">
        <v>11</v>
      </c>
      <c r="F331" s="92">
        <v>4.6025104602510462E-2</v>
      </c>
      <c r="G331" s="100">
        <v>48</v>
      </c>
      <c r="H331" s="93">
        <v>0.192</v>
      </c>
      <c r="I331"/>
      <c r="J331"/>
    </row>
    <row r="332" spans="1:10" ht="21" customHeight="1" x14ac:dyDescent="0.2">
      <c r="A332" s="81"/>
      <c r="B332" s="90" t="s">
        <v>123</v>
      </c>
      <c r="C332" s="91">
        <v>11</v>
      </c>
      <c r="D332" s="92">
        <v>4.7210300429184553E-2</v>
      </c>
      <c r="E332" s="91">
        <v>7</v>
      </c>
      <c r="F332" s="92">
        <v>2.9288702928870293E-2</v>
      </c>
      <c r="G332" s="100">
        <v>10</v>
      </c>
      <c r="H332" s="93">
        <v>0.04</v>
      </c>
      <c r="I332"/>
      <c r="J332"/>
    </row>
    <row r="333" spans="1:10" ht="21" customHeight="1" x14ac:dyDescent="0.2">
      <c r="A333" s="74" t="s">
        <v>246</v>
      </c>
      <c r="B333" s="75"/>
      <c r="C333" s="83">
        <v>233</v>
      </c>
      <c r="D333" s="88">
        <v>1.2177785211046766E-3</v>
      </c>
      <c r="E333" s="83">
        <v>239</v>
      </c>
      <c r="F333" s="88">
        <v>1.0914487955246033E-3</v>
      </c>
      <c r="G333" s="99">
        <v>250</v>
      </c>
      <c r="H333" s="89">
        <v>5.7787969007156467E-4</v>
      </c>
      <c r="I333"/>
      <c r="J333"/>
    </row>
    <row r="334" spans="1:10" ht="21" customHeight="1" x14ac:dyDescent="0.2">
      <c r="A334" s="74" t="s">
        <v>101</v>
      </c>
      <c r="B334" s="74" t="s">
        <v>137</v>
      </c>
      <c r="C334" s="83">
        <v>69</v>
      </c>
      <c r="D334" s="88">
        <v>0.32547169811320753</v>
      </c>
      <c r="E334" s="83">
        <v>71</v>
      </c>
      <c r="F334" s="88">
        <v>0.33490566037735847</v>
      </c>
      <c r="G334" s="99">
        <v>125</v>
      </c>
      <c r="H334" s="89">
        <v>0.50200803212851408</v>
      </c>
      <c r="I334"/>
      <c r="J334"/>
    </row>
    <row r="335" spans="1:10" ht="21" customHeight="1" x14ac:dyDescent="0.2">
      <c r="A335" s="81"/>
      <c r="B335" s="90" t="s">
        <v>127</v>
      </c>
      <c r="C335" s="91">
        <v>113</v>
      </c>
      <c r="D335" s="92">
        <v>0.53301886792452835</v>
      </c>
      <c r="E335" s="91">
        <v>126</v>
      </c>
      <c r="F335" s="92">
        <v>0.59433962264150941</v>
      </c>
      <c r="G335" s="100">
        <v>108</v>
      </c>
      <c r="H335" s="93">
        <v>0.43373493975903615</v>
      </c>
      <c r="I335"/>
      <c r="J335"/>
    </row>
    <row r="336" spans="1:10" ht="21" customHeight="1" x14ac:dyDescent="0.2">
      <c r="A336" s="81"/>
      <c r="B336" s="90" t="s">
        <v>131</v>
      </c>
      <c r="C336" s="91">
        <v>11</v>
      </c>
      <c r="D336" s="92">
        <v>5.1886792452830191E-2</v>
      </c>
      <c r="E336" s="91">
        <v>11</v>
      </c>
      <c r="F336" s="92">
        <v>5.1886792452830191E-2</v>
      </c>
      <c r="G336" s="100">
        <v>13</v>
      </c>
      <c r="H336" s="93">
        <v>5.2208835341365459E-2</v>
      </c>
      <c r="I336"/>
      <c r="J336"/>
    </row>
    <row r="337" spans="1:10" ht="21" customHeight="1" x14ac:dyDescent="0.2">
      <c r="A337" s="81"/>
      <c r="B337" s="90" t="s">
        <v>123</v>
      </c>
      <c r="C337" s="91">
        <v>19</v>
      </c>
      <c r="D337" s="92">
        <v>8.9622641509433956E-2</v>
      </c>
      <c r="E337" s="91">
        <v>4</v>
      </c>
      <c r="F337" s="92">
        <v>1.8867924528301886E-2</v>
      </c>
      <c r="G337" s="100">
        <v>3</v>
      </c>
      <c r="H337" s="93">
        <v>1.2048192771084338E-2</v>
      </c>
      <c r="I337"/>
      <c r="J337"/>
    </row>
    <row r="338" spans="1:10" ht="21" customHeight="1" x14ac:dyDescent="0.2">
      <c r="A338" s="74" t="s">
        <v>247</v>
      </c>
      <c r="B338" s="75"/>
      <c r="C338" s="83">
        <v>212</v>
      </c>
      <c r="D338" s="88">
        <v>1.1080216586875169E-3</v>
      </c>
      <c r="E338" s="83">
        <v>212</v>
      </c>
      <c r="F338" s="88">
        <v>9.6814704874985727E-4</v>
      </c>
      <c r="G338" s="99">
        <v>249</v>
      </c>
      <c r="H338" s="89">
        <v>5.7556817131127836E-4</v>
      </c>
      <c r="I338"/>
      <c r="J338"/>
    </row>
    <row r="339" spans="1:10" ht="21" customHeight="1" x14ac:dyDescent="0.2">
      <c r="A339" s="74" t="s">
        <v>96</v>
      </c>
      <c r="B339" s="74" t="s">
        <v>137</v>
      </c>
      <c r="C339" s="83">
        <v>85</v>
      </c>
      <c r="D339" s="88">
        <v>0.5214723926380368</v>
      </c>
      <c r="E339" s="83">
        <v>93</v>
      </c>
      <c r="F339" s="88">
        <v>0.54069767441860461</v>
      </c>
      <c r="G339" s="99">
        <v>203</v>
      </c>
      <c r="H339" s="89">
        <v>0.63437500000000002</v>
      </c>
      <c r="I339"/>
      <c r="J339"/>
    </row>
    <row r="340" spans="1:10" ht="21" customHeight="1" x14ac:dyDescent="0.2">
      <c r="A340" s="81"/>
      <c r="B340" s="90" t="s">
        <v>127</v>
      </c>
      <c r="C340" s="91">
        <v>60</v>
      </c>
      <c r="D340" s="92">
        <v>0.36809815950920244</v>
      </c>
      <c r="E340" s="91">
        <v>70</v>
      </c>
      <c r="F340" s="92">
        <v>0.40697674418604651</v>
      </c>
      <c r="G340" s="100">
        <v>36</v>
      </c>
      <c r="H340" s="93">
        <v>0.1125</v>
      </c>
      <c r="I340"/>
      <c r="J340"/>
    </row>
    <row r="341" spans="1:10" ht="21" customHeight="1" x14ac:dyDescent="0.2">
      <c r="A341" s="81"/>
      <c r="B341" s="90" t="s">
        <v>131</v>
      </c>
      <c r="C341" s="91">
        <v>8</v>
      </c>
      <c r="D341" s="92">
        <v>4.9079754601226995E-2</v>
      </c>
      <c r="E341" s="91">
        <v>4</v>
      </c>
      <c r="F341" s="92">
        <v>2.3255813953488372E-2</v>
      </c>
      <c r="G341" s="100">
        <v>16</v>
      </c>
      <c r="H341" s="93">
        <v>0.05</v>
      </c>
      <c r="I341"/>
      <c r="J341"/>
    </row>
    <row r="342" spans="1:10" ht="21" customHeight="1" x14ac:dyDescent="0.2">
      <c r="A342" s="81"/>
      <c r="B342" s="90" t="s">
        <v>123</v>
      </c>
      <c r="C342" s="91">
        <v>10</v>
      </c>
      <c r="D342" s="92">
        <v>6.1349693251533742E-2</v>
      </c>
      <c r="E342" s="91">
        <v>5</v>
      </c>
      <c r="F342" s="92">
        <v>2.9069767441860465E-2</v>
      </c>
      <c r="G342" s="100">
        <v>65</v>
      </c>
      <c r="H342" s="93">
        <v>0.203125</v>
      </c>
      <c r="I342"/>
      <c r="J342"/>
    </row>
    <row r="343" spans="1:10" ht="21" customHeight="1" x14ac:dyDescent="0.2">
      <c r="A343" s="74" t="s">
        <v>248</v>
      </c>
      <c r="B343" s="75"/>
      <c r="C343" s="83">
        <v>163</v>
      </c>
      <c r="D343" s="88">
        <v>8.5192231304747766E-4</v>
      </c>
      <c r="E343" s="83">
        <v>172</v>
      </c>
      <c r="F343" s="88">
        <v>7.8547779426875214E-4</v>
      </c>
      <c r="G343" s="99">
        <v>320</v>
      </c>
      <c r="H343" s="89">
        <v>7.396860032916027E-4</v>
      </c>
      <c r="I343"/>
      <c r="J343"/>
    </row>
    <row r="344" spans="1:10" ht="21" customHeight="1" x14ac:dyDescent="0.2">
      <c r="A344" s="74" t="s">
        <v>112</v>
      </c>
      <c r="B344" s="74" t="s">
        <v>137</v>
      </c>
      <c r="C344" s="83">
        <v>88</v>
      </c>
      <c r="D344" s="88">
        <v>0.47058823529411764</v>
      </c>
      <c r="E344" s="83">
        <v>110</v>
      </c>
      <c r="F344" s="88">
        <v>0.53658536585365857</v>
      </c>
      <c r="G344" s="99">
        <v>147</v>
      </c>
      <c r="H344" s="89">
        <v>0.60245901639344257</v>
      </c>
      <c r="I344"/>
      <c r="J344"/>
    </row>
    <row r="345" spans="1:10" ht="21" customHeight="1" x14ac:dyDescent="0.2">
      <c r="A345" s="81"/>
      <c r="B345" s="90" t="s">
        <v>127</v>
      </c>
      <c r="C345" s="91">
        <v>92</v>
      </c>
      <c r="D345" s="92">
        <v>0.49197860962566847</v>
      </c>
      <c r="E345" s="91">
        <v>85</v>
      </c>
      <c r="F345" s="92">
        <v>0.41463414634146339</v>
      </c>
      <c r="G345" s="100">
        <v>83</v>
      </c>
      <c r="H345" s="93">
        <v>0.3401639344262295</v>
      </c>
      <c r="I345"/>
      <c r="J345"/>
    </row>
    <row r="346" spans="1:10" ht="21" customHeight="1" x14ac:dyDescent="0.2">
      <c r="A346" s="81"/>
      <c r="B346" s="90" t="s">
        <v>131</v>
      </c>
      <c r="C346" s="91">
        <v>1</v>
      </c>
      <c r="D346" s="92">
        <v>5.3475935828877002E-3</v>
      </c>
      <c r="E346" s="91">
        <v>5</v>
      </c>
      <c r="F346" s="92">
        <v>2.4390243902439025E-2</v>
      </c>
      <c r="G346" s="100">
        <v>9</v>
      </c>
      <c r="H346" s="93">
        <v>3.6885245901639344E-2</v>
      </c>
      <c r="I346"/>
      <c r="J346"/>
    </row>
    <row r="347" spans="1:10" ht="21" customHeight="1" x14ac:dyDescent="0.2">
      <c r="A347" s="81"/>
      <c r="B347" s="90" t="s">
        <v>123</v>
      </c>
      <c r="C347" s="91">
        <v>6</v>
      </c>
      <c r="D347" s="92">
        <v>3.2085561497326207E-2</v>
      </c>
      <c r="E347" s="91">
        <v>5</v>
      </c>
      <c r="F347" s="92">
        <v>2.4390243902439025E-2</v>
      </c>
      <c r="G347" s="100">
        <v>5</v>
      </c>
      <c r="H347" s="93">
        <v>2.0491803278688523E-2</v>
      </c>
      <c r="I347"/>
      <c r="J347"/>
    </row>
    <row r="348" spans="1:10" ht="21" customHeight="1" x14ac:dyDescent="0.2">
      <c r="A348" s="74" t="s">
        <v>249</v>
      </c>
      <c r="B348" s="75"/>
      <c r="C348" s="83">
        <v>187</v>
      </c>
      <c r="D348" s="88">
        <v>9.7735872723851724E-4</v>
      </c>
      <c r="E348" s="83">
        <v>205</v>
      </c>
      <c r="F348" s="88">
        <v>9.3617992921566392E-4</v>
      </c>
      <c r="G348" s="99">
        <v>244</v>
      </c>
      <c r="H348" s="89">
        <v>5.6401057750984712E-4</v>
      </c>
      <c r="I348"/>
      <c r="J348"/>
    </row>
    <row r="349" spans="1:10" ht="21" customHeight="1" x14ac:dyDescent="0.2">
      <c r="A349" s="74" t="s">
        <v>80</v>
      </c>
      <c r="B349" s="74" t="s">
        <v>137</v>
      </c>
      <c r="C349" s="83">
        <v>95</v>
      </c>
      <c r="D349" s="88">
        <v>0.52197802197802201</v>
      </c>
      <c r="E349" s="83">
        <v>103</v>
      </c>
      <c r="F349" s="88">
        <v>0.51500000000000001</v>
      </c>
      <c r="G349" s="99">
        <v>98</v>
      </c>
      <c r="H349" s="89">
        <v>0.46889952153110048</v>
      </c>
      <c r="I349"/>
      <c r="J349"/>
    </row>
    <row r="350" spans="1:10" ht="21" customHeight="1" x14ac:dyDescent="0.2">
      <c r="A350" s="81"/>
      <c r="B350" s="90" t="s">
        <v>127</v>
      </c>
      <c r="C350" s="91">
        <v>82</v>
      </c>
      <c r="D350" s="92">
        <v>0.45054945054945056</v>
      </c>
      <c r="E350" s="91">
        <v>84</v>
      </c>
      <c r="F350" s="92">
        <v>0.42</v>
      </c>
      <c r="G350" s="100">
        <v>90</v>
      </c>
      <c r="H350" s="93">
        <v>0.43062200956937802</v>
      </c>
      <c r="I350"/>
      <c r="J350"/>
    </row>
    <row r="351" spans="1:10" ht="21" customHeight="1" x14ac:dyDescent="0.2">
      <c r="A351" s="81"/>
      <c r="B351" s="90" t="s">
        <v>131</v>
      </c>
      <c r="C351" s="91">
        <v>1</v>
      </c>
      <c r="D351" s="92">
        <v>5.4945054945054949E-3</v>
      </c>
      <c r="E351" s="91">
        <v>7</v>
      </c>
      <c r="F351" s="92">
        <v>3.5000000000000003E-2</v>
      </c>
      <c r="G351" s="100">
        <v>12</v>
      </c>
      <c r="H351" s="93">
        <v>5.7416267942583733E-2</v>
      </c>
      <c r="I351"/>
      <c r="J351"/>
    </row>
    <row r="352" spans="1:10" ht="21" customHeight="1" x14ac:dyDescent="0.2">
      <c r="A352" s="81"/>
      <c r="B352" s="90" t="s">
        <v>123</v>
      </c>
      <c r="C352" s="91">
        <v>4</v>
      </c>
      <c r="D352" s="92">
        <v>2.197802197802198E-2</v>
      </c>
      <c r="E352" s="91">
        <v>6</v>
      </c>
      <c r="F352" s="92">
        <v>0.03</v>
      </c>
      <c r="G352" s="100">
        <v>9</v>
      </c>
      <c r="H352" s="93">
        <v>4.3062200956937802E-2</v>
      </c>
      <c r="I352"/>
      <c r="J352"/>
    </row>
    <row r="353" spans="1:10" ht="21" customHeight="1" x14ac:dyDescent="0.2">
      <c r="A353" s="74" t="s">
        <v>250</v>
      </c>
      <c r="B353" s="75"/>
      <c r="C353" s="83">
        <v>182</v>
      </c>
      <c r="D353" s="88">
        <v>9.5122614094871744E-4</v>
      </c>
      <c r="E353" s="83">
        <v>200</v>
      </c>
      <c r="F353" s="88">
        <v>9.1334627240552576E-4</v>
      </c>
      <c r="G353" s="99">
        <v>209</v>
      </c>
      <c r="H353" s="89">
        <v>4.8310742089982805E-4</v>
      </c>
      <c r="I353"/>
      <c r="J353"/>
    </row>
    <row r="354" spans="1:10" ht="21" customHeight="1" x14ac:dyDescent="0.2">
      <c r="A354" s="74" t="s">
        <v>60</v>
      </c>
      <c r="B354" s="74" t="s">
        <v>137</v>
      </c>
      <c r="C354" s="83">
        <v>137</v>
      </c>
      <c r="D354" s="88">
        <v>0.66829268292682931</v>
      </c>
      <c r="E354" s="83">
        <v>137</v>
      </c>
      <c r="F354" s="88">
        <v>0.67487684729064035</v>
      </c>
      <c r="G354" s="99">
        <v>139</v>
      </c>
      <c r="H354" s="89">
        <v>0.77222222222222225</v>
      </c>
      <c r="I354"/>
      <c r="J354"/>
    </row>
    <row r="355" spans="1:10" ht="21" customHeight="1" x14ac:dyDescent="0.2">
      <c r="A355" s="81"/>
      <c r="B355" s="90" t="s">
        <v>127</v>
      </c>
      <c r="C355" s="91">
        <v>44</v>
      </c>
      <c r="D355" s="92">
        <v>0.21463414634146341</v>
      </c>
      <c r="E355" s="91">
        <v>51</v>
      </c>
      <c r="F355" s="92">
        <v>0.25123152709359609</v>
      </c>
      <c r="G355" s="100">
        <v>15</v>
      </c>
      <c r="H355" s="93">
        <v>8.3333333333333329E-2</v>
      </c>
      <c r="I355"/>
      <c r="J355"/>
    </row>
    <row r="356" spans="1:10" ht="21" customHeight="1" x14ac:dyDescent="0.2">
      <c r="A356" s="81"/>
      <c r="B356" s="90" t="s">
        <v>131</v>
      </c>
      <c r="C356" s="91">
        <v>9</v>
      </c>
      <c r="D356" s="92">
        <v>4.3902439024390241E-2</v>
      </c>
      <c r="E356" s="91">
        <v>8</v>
      </c>
      <c r="F356" s="92">
        <v>3.9408866995073892E-2</v>
      </c>
      <c r="G356" s="100">
        <v>21</v>
      </c>
      <c r="H356" s="93">
        <v>0.11666666666666667</v>
      </c>
      <c r="I356"/>
      <c r="J356"/>
    </row>
    <row r="357" spans="1:10" ht="21" customHeight="1" x14ac:dyDescent="0.2">
      <c r="A357" s="81"/>
      <c r="B357" s="90" t="s">
        <v>123</v>
      </c>
      <c r="C357" s="91">
        <v>15</v>
      </c>
      <c r="D357" s="92">
        <v>7.3170731707317069E-2</v>
      </c>
      <c r="E357" s="91">
        <v>7</v>
      </c>
      <c r="F357" s="92">
        <v>3.4482758620689655E-2</v>
      </c>
      <c r="G357" s="100">
        <v>5</v>
      </c>
      <c r="H357" s="93">
        <v>2.7777777777777776E-2</v>
      </c>
      <c r="I357"/>
      <c r="J357"/>
    </row>
    <row r="358" spans="1:10" ht="21" customHeight="1" x14ac:dyDescent="0.2">
      <c r="A358" s="74" t="s">
        <v>251</v>
      </c>
      <c r="B358" s="75"/>
      <c r="C358" s="83">
        <v>205</v>
      </c>
      <c r="D358" s="88">
        <v>1.0714360378817971E-3</v>
      </c>
      <c r="E358" s="83">
        <v>203</v>
      </c>
      <c r="F358" s="88">
        <v>9.2704646649160863E-4</v>
      </c>
      <c r="G358" s="99">
        <v>180</v>
      </c>
      <c r="H358" s="89">
        <v>4.1607337685152653E-4</v>
      </c>
      <c r="I358"/>
      <c r="J358"/>
    </row>
    <row r="359" spans="1:10" ht="21" customHeight="1" x14ac:dyDescent="0.2">
      <c r="A359" s="74" t="s">
        <v>79</v>
      </c>
      <c r="B359" s="74" t="s">
        <v>137</v>
      </c>
      <c r="C359" s="83">
        <v>92</v>
      </c>
      <c r="D359" s="88">
        <v>0.58227848101265822</v>
      </c>
      <c r="E359" s="83">
        <v>97</v>
      </c>
      <c r="F359" s="88">
        <v>0.58787878787878789</v>
      </c>
      <c r="G359" s="99">
        <v>104</v>
      </c>
      <c r="H359" s="89">
        <v>0.50980392156862742</v>
      </c>
      <c r="I359"/>
      <c r="J359"/>
    </row>
    <row r="360" spans="1:10" ht="21" customHeight="1" x14ac:dyDescent="0.2">
      <c r="A360" s="81"/>
      <c r="B360" s="90" t="s">
        <v>127</v>
      </c>
      <c r="C360" s="91">
        <v>62</v>
      </c>
      <c r="D360" s="92">
        <v>0.39240506329113922</v>
      </c>
      <c r="E360" s="91">
        <v>57</v>
      </c>
      <c r="F360" s="92">
        <v>0.34545454545454546</v>
      </c>
      <c r="G360" s="100">
        <v>24</v>
      </c>
      <c r="H360" s="93">
        <v>0.11764705882352941</v>
      </c>
      <c r="I360"/>
      <c r="J360"/>
    </row>
    <row r="361" spans="1:10" ht="21" customHeight="1" x14ac:dyDescent="0.2">
      <c r="A361" s="81"/>
      <c r="B361" s="90" t="s">
        <v>131</v>
      </c>
      <c r="C361" s="91">
        <v>4</v>
      </c>
      <c r="D361" s="92">
        <v>2.5316455696202531E-2</v>
      </c>
      <c r="E361" s="91">
        <v>8</v>
      </c>
      <c r="F361" s="92">
        <v>4.8484848484848485E-2</v>
      </c>
      <c r="G361" s="100">
        <v>73</v>
      </c>
      <c r="H361" s="93">
        <v>0.35784313725490197</v>
      </c>
      <c r="I361"/>
      <c r="J361"/>
    </row>
    <row r="362" spans="1:10" ht="21" customHeight="1" x14ac:dyDescent="0.2">
      <c r="A362" s="81"/>
      <c r="B362" s="90" t="s">
        <v>123</v>
      </c>
      <c r="C362" s="91">
        <v>0</v>
      </c>
      <c r="D362" s="92">
        <v>0</v>
      </c>
      <c r="E362" s="91">
        <v>3</v>
      </c>
      <c r="F362" s="92">
        <v>1.8181818181818181E-2</v>
      </c>
      <c r="G362" s="100">
        <v>3</v>
      </c>
      <c r="H362" s="93">
        <v>1.4705882352941176E-2</v>
      </c>
      <c r="I362"/>
      <c r="J362"/>
    </row>
    <row r="363" spans="1:10" ht="21" customHeight="1" x14ac:dyDescent="0.2">
      <c r="A363" s="74" t="s">
        <v>252</v>
      </c>
      <c r="B363" s="75"/>
      <c r="C363" s="83">
        <v>158</v>
      </c>
      <c r="D363" s="88">
        <v>8.2578972675767775E-4</v>
      </c>
      <c r="E363" s="83">
        <v>165</v>
      </c>
      <c r="F363" s="88">
        <v>7.5351067473455869E-4</v>
      </c>
      <c r="G363" s="99">
        <v>204</v>
      </c>
      <c r="H363" s="89">
        <v>4.7154982709839675E-4</v>
      </c>
      <c r="I363"/>
      <c r="J363"/>
    </row>
    <row r="364" spans="1:10" ht="21" customHeight="1" x14ac:dyDescent="0.2">
      <c r="A364" s="74" t="s">
        <v>103</v>
      </c>
      <c r="B364" s="74" t="s">
        <v>137</v>
      </c>
      <c r="C364" s="83">
        <v>95</v>
      </c>
      <c r="D364" s="88">
        <v>0.59748427672955973</v>
      </c>
      <c r="E364" s="83">
        <v>104</v>
      </c>
      <c r="F364" s="88">
        <v>0.6380368098159509</v>
      </c>
      <c r="G364" s="99">
        <v>88</v>
      </c>
      <c r="H364" s="89">
        <v>0.53012048192771088</v>
      </c>
      <c r="I364"/>
      <c r="J364"/>
    </row>
    <row r="365" spans="1:10" ht="21" customHeight="1" x14ac:dyDescent="0.2">
      <c r="A365" s="81"/>
      <c r="B365" s="90" t="s">
        <v>127</v>
      </c>
      <c r="C365" s="91">
        <v>55</v>
      </c>
      <c r="D365" s="92">
        <v>0.34591194968553457</v>
      </c>
      <c r="E365" s="91">
        <v>51</v>
      </c>
      <c r="F365" s="92">
        <v>0.31288343558282211</v>
      </c>
      <c r="G365" s="100">
        <v>54</v>
      </c>
      <c r="H365" s="93">
        <v>0.3253012048192771</v>
      </c>
      <c r="I365"/>
      <c r="J365"/>
    </row>
    <row r="366" spans="1:10" ht="21" customHeight="1" x14ac:dyDescent="0.2">
      <c r="A366" s="81"/>
      <c r="B366" s="90" t="s">
        <v>131</v>
      </c>
      <c r="C366" s="91">
        <v>6</v>
      </c>
      <c r="D366" s="92">
        <v>3.7735849056603772E-2</v>
      </c>
      <c r="E366" s="91">
        <v>5</v>
      </c>
      <c r="F366" s="92">
        <v>3.0674846625766871E-2</v>
      </c>
      <c r="G366" s="100">
        <v>6</v>
      </c>
      <c r="H366" s="93">
        <v>3.614457831325301E-2</v>
      </c>
      <c r="I366"/>
      <c r="J366"/>
    </row>
    <row r="367" spans="1:10" ht="21" customHeight="1" x14ac:dyDescent="0.2">
      <c r="A367" s="81"/>
      <c r="B367" s="90" t="s">
        <v>123</v>
      </c>
      <c r="C367" s="91">
        <v>3</v>
      </c>
      <c r="D367" s="92">
        <v>1.8867924528301886E-2</v>
      </c>
      <c r="E367" s="91">
        <v>3</v>
      </c>
      <c r="F367" s="92">
        <v>1.8404907975460124E-2</v>
      </c>
      <c r="G367" s="100">
        <v>18</v>
      </c>
      <c r="H367" s="93">
        <v>0.10843373493975904</v>
      </c>
      <c r="I367"/>
      <c r="J367"/>
    </row>
    <row r="368" spans="1:10" ht="21" customHeight="1" x14ac:dyDescent="0.2">
      <c r="A368" s="74" t="s">
        <v>253</v>
      </c>
      <c r="B368" s="75"/>
      <c r="C368" s="83">
        <v>159</v>
      </c>
      <c r="D368" s="88">
        <v>8.3101624401563773E-4</v>
      </c>
      <c r="E368" s="83">
        <v>163</v>
      </c>
      <c r="F368" s="88">
        <v>7.4437721201050351E-4</v>
      </c>
      <c r="G368" s="99">
        <v>166</v>
      </c>
      <c r="H368" s="89">
        <v>3.837121142075189E-4</v>
      </c>
      <c r="I368"/>
      <c r="J368"/>
    </row>
    <row r="369" spans="1:10" ht="21" customHeight="1" x14ac:dyDescent="0.2">
      <c r="A369" s="74" t="s">
        <v>49</v>
      </c>
      <c r="B369" s="74" t="s">
        <v>137</v>
      </c>
      <c r="C369" s="83">
        <v>25</v>
      </c>
      <c r="D369" s="88">
        <v>0.1984126984126984</v>
      </c>
      <c r="E369" s="83">
        <v>39</v>
      </c>
      <c r="F369" s="88">
        <v>0.30232558139534882</v>
      </c>
      <c r="G369" s="99">
        <v>90</v>
      </c>
      <c r="H369" s="89">
        <v>0.72</v>
      </c>
      <c r="I369"/>
      <c r="J369"/>
    </row>
    <row r="370" spans="1:10" ht="21" customHeight="1" x14ac:dyDescent="0.2">
      <c r="A370" s="81"/>
      <c r="B370" s="90" t="s">
        <v>127</v>
      </c>
      <c r="C370" s="91">
        <v>94</v>
      </c>
      <c r="D370" s="92">
        <v>0.74603174603174605</v>
      </c>
      <c r="E370" s="91">
        <v>78</v>
      </c>
      <c r="F370" s="92">
        <v>0.60465116279069764</v>
      </c>
      <c r="G370" s="100">
        <v>16</v>
      </c>
      <c r="H370" s="93">
        <v>0.128</v>
      </c>
      <c r="I370"/>
      <c r="J370"/>
    </row>
    <row r="371" spans="1:10" ht="21" customHeight="1" x14ac:dyDescent="0.2">
      <c r="A371" s="81"/>
      <c r="B371" s="90" t="s">
        <v>131</v>
      </c>
      <c r="C371" s="91">
        <v>1</v>
      </c>
      <c r="D371" s="92">
        <v>7.9365079365079361E-3</v>
      </c>
      <c r="E371" s="91">
        <v>6</v>
      </c>
      <c r="F371" s="92">
        <v>4.6511627906976744E-2</v>
      </c>
      <c r="G371" s="100">
        <v>13</v>
      </c>
      <c r="H371" s="93">
        <v>0.104</v>
      </c>
      <c r="I371"/>
      <c r="J371"/>
    </row>
    <row r="372" spans="1:10" ht="21" customHeight="1" x14ac:dyDescent="0.2">
      <c r="A372" s="81"/>
      <c r="B372" s="90" t="s">
        <v>123</v>
      </c>
      <c r="C372" s="91">
        <v>6</v>
      </c>
      <c r="D372" s="92">
        <v>4.7619047619047616E-2</v>
      </c>
      <c r="E372" s="91">
        <v>6</v>
      </c>
      <c r="F372" s="92">
        <v>4.6511627906976744E-2</v>
      </c>
      <c r="G372" s="100">
        <v>6</v>
      </c>
      <c r="H372" s="93">
        <v>4.8000000000000001E-2</v>
      </c>
      <c r="I372"/>
      <c r="J372"/>
    </row>
    <row r="373" spans="1:10" ht="21" customHeight="1" x14ac:dyDescent="0.2">
      <c r="A373" s="74" t="s">
        <v>254</v>
      </c>
      <c r="B373" s="75"/>
      <c r="C373" s="83">
        <v>126</v>
      </c>
      <c r="D373" s="88">
        <v>6.5854117450295821E-4</v>
      </c>
      <c r="E373" s="83">
        <v>129</v>
      </c>
      <c r="F373" s="88">
        <v>5.8910834570156413E-4</v>
      </c>
      <c r="G373" s="99">
        <v>125</v>
      </c>
      <c r="H373" s="89">
        <v>2.8893984503578234E-4</v>
      </c>
      <c r="I373"/>
      <c r="J373"/>
    </row>
    <row r="374" spans="1:10" ht="21" customHeight="1" x14ac:dyDescent="0.2">
      <c r="A374" s="74" t="s">
        <v>81</v>
      </c>
      <c r="B374" s="74" t="s">
        <v>137</v>
      </c>
      <c r="C374" s="83">
        <v>47</v>
      </c>
      <c r="D374" s="88">
        <v>0.51648351648351654</v>
      </c>
      <c r="E374" s="83">
        <v>64</v>
      </c>
      <c r="F374" s="88">
        <v>0.5663716814159292</v>
      </c>
      <c r="G374" s="99">
        <v>87</v>
      </c>
      <c r="H374" s="89">
        <v>0.5</v>
      </c>
      <c r="I374"/>
      <c r="J374"/>
    </row>
    <row r="375" spans="1:10" ht="21" customHeight="1" x14ac:dyDescent="0.2">
      <c r="A375" s="81"/>
      <c r="B375" s="90" t="s">
        <v>127</v>
      </c>
      <c r="C375" s="91">
        <v>37</v>
      </c>
      <c r="D375" s="92">
        <v>0.40659340659340659</v>
      </c>
      <c r="E375" s="91">
        <v>47</v>
      </c>
      <c r="F375" s="92">
        <v>0.41592920353982299</v>
      </c>
      <c r="G375" s="100">
        <v>79</v>
      </c>
      <c r="H375" s="93">
        <v>0.45402298850574713</v>
      </c>
      <c r="I375"/>
      <c r="J375"/>
    </row>
    <row r="376" spans="1:10" ht="21" customHeight="1" x14ac:dyDescent="0.2">
      <c r="A376" s="81"/>
      <c r="B376" s="90" t="s">
        <v>131</v>
      </c>
      <c r="C376" s="91">
        <v>1</v>
      </c>
      <c r="D376" s="92">
        <v>1.098901098901099E-2</v>
      </c>
      <c r="E376" s="91">
        <v>2</v>
      </c>
      <c r="F376" s="92">
        <v>1.7699115044247787E-2</v>
      </c>
      <c r="G376" s="100">
        <v>3</v>
      </c>
      <c r="H376" s="93">
        <v>1.7241379310344827E-2</v>
      </c>
      <c r="I376"/>
      <c r="J376"/>
    </row>
    <row r="377" spans="1:10" ht="21" customHeight="1" x14ac:dyDescent="0.2">
      <c r="A377" s="81"/>
      <c r="B377" s="90" t="s">
        <v>123</v>
      </c>
      <c r="C377" s="91">
        <v>6</v>
      </c>
      <c r="D377" s="92">
        <v>6.5934065934065936E-2</v>
      </c>
      <c r="E377" s="91">
        <v>0</v>
      </c>
      <c r="F377" s="92">
        <v>0</v>
      </c>
      <c r="G377" s="100">
        <v>5</v>
      </c>
      <c r="H377" s="93">
        <v>2.8735632183908046E-2</v>
      </c>
      <c r="I377"/>
      <c r="J377"/>
    </row>
    <row r="378" spans="1:10" ht="21" customHeight="1" x14ac:dyDescent="0.2">
      <c r="A378" s="74" t="s">
        <v>255</v>
      </c>
      <c r="B378" s="75"/>
      <c r="C378" s="83">
        <v>91</v>
      </c>
      <c r="D378" s="88">
        <v>4.7561307047435872E-4</v>
      </c>
      <c r="E378" s="83">
        <v>113</v>
      </c>
      <c r="F378" s="88">
        <v>5.1604064390912204E-4</v>
      </c>
      <c r="G378" s="99">
        <v>174</v>
      </c>
      <c r="H378" s="89">
        <v>4.0220426428980898E-4</v>
      </c>
      <c r="I378"/>
      <c r="J378"/>
    </row>
    <row r="379" spans="1:10" ht="21" customHeight="1" x14ac:dyDescent="0.2">
      <c r="A379" s="74" t="s">
        <v>91</v>
      </c>
      <c r="B379" s="74" t="s">
        <v>137</v>
      </c>
      <c r="C379" s="83">
        <v>36</v>
      </c>
      <c r="D379" s="88">
        <v>0.31858407079646017</v>
      </c>
      <c r="E379" s="83">
        <v>45</v>
      </c>
      <c r="F379" s="88">
        <v>0.4017857142857143</v>
      </c>
      <c r="G379" s="99">
        <v>58</v>
      </c>
      <c r="H379" s="89">
        <v>0.43939393939393939</v>
      </c>
      <c r="I379"/>
      <c r="J379"/>
    </row>
    <row r="380" spans="1:10" ht="21" customHeight="1" x14ac:dyDescent="0.2">
      <c r="A380" s="81"/>
      <c r="B380" s="90" t="s">
        <v>127</v>
      </c>
      <c r="C380" s="91">
        <v>68</v>
      </c>
      <c r="D380" s="92">
        <v>0.60176991150442483</v>
      </c>
      <c r="E380" s="91">
        <v>61</v>
      </c>
      <c r="F380" s="92">
        <v>0.5446428571428571</v>
      </c>
      <c r="G380" s="100">
        <v>67</v>
      </c>
      <c r="H380" s="93">
        <v>0.50757575757575757</v>
      </c>
      <c r="I380"/>
      <c r="J380"/>
    </row>
    <row r="381" spans="1:10" ht="21" customHeight="1" x14ac:dyDescent="0.2">
      <c r="A381" s="81"/>
      <c r="B381" s="90" t="s">
        <v>131</v>
      </c>
      <c r="C381" s="91">
        <v>2</v>
      </c>
      <c r="D381" s="92">
        <v>1.7699115044247787E-2</v>
      </c>
      <c r="E381" s="91">
        <v>4</v>
      </c>
      <c r="F381" s="92">
        <v>3.5714285714285712E-2</v>
      </c>
      <c r="G381" s="100">
        <v>4</v>
      </c>
      <c r="H381" s="93">
        <v>3.0303030303030304E-2</v>
      </c>
      <c r="I381"/>
      <c r="J381"/>
    </row>
    <row r="382" spans="1:10" ht="21" customHeight="1" x14ac:dyDescent="0.2">
      <c r="A382" s="81"/>
      <c r="B382" s="90" t="s">
        <v>123</v>
      </c>
      <c r="C382" s="91">
        <v>7</v>
      </c>
      <c r="D382" s="92">
        <v>6.1946902654867256E-2</v>
      </c>
      <c r="E382" s="91">
        <v>2</v>
      </c>
      <c r="F382" s="92">
        <v>1.7857142857142856E-2</v>
      </c>
      <c r="G382" s="100">
        <v>3</v>
      </c>
      <c r="H382" s="93">
        <v>2.2727272727272728E-2</v>
      </c>
      <c r="I382"/>
      <c r="J382"/>
    </row>
    <row r="383" spans="1:10" ht="21" customHeight="1" x14ac:dyDescent="0.2">
      <c r="A383" s="74" t="s">
        <v>256</v>
      </c>
      <c r="B383" s="75"/>
      <c r="C383" s="83">
        <v>113</v>
      </c>
      <c r="D383" s="88">
        <v>5.9059645014947844E-4</v>
      </c>
      <c r="E383" s="83">
        <v>112</v>
      </c>
      <c r="F383" s="88">
        <v>5.1147391254709445E-4</v>
      </c>
      <c r="G383" s="99">
        <v>132</v>
      </c>
      <c r="H383" s="89">
        <v>3.0512047635778609E-4</v>
      </c>
      <c r="I383"/>
      <c r="J383"/>
    </row>
    <row r="384" spans="1:10" ht="21" customHeight="1" x14ac:dyDescent="0.2">
      <c r="A384" s="74" t="s">
        <v>115</v>
      </c>
      <c r="B384" s="74" t="s">
        <v>137</v>
      </c>
      <c r="C384" s="83">
        <v>30</v>
      </c>
      <c r="D384" s="88">
        <v>0.30927835051546393</v>
      </c>
      <c r="E384" s="83">
        <v>32</v>
      </c>
      <c r="F384" s="88">
        <v>0.31683168316831684</v>
      </c>
      <c r="G384" s="99">
        <v>39</v>
      </c>
      <c r="H384" s="89">
        <v>0.36792452830188677</v>
      </c>
      <c r="I384"/>
      <c r="J384"/>
    </row>
    <row r="385" spans="1:10" ht="21" customHeight="1" x14ac:dyDescent="0.2">
      <c r="A385" s="81"/>
      <c r="B385" s="90" t="s">
        <v>127</v>
      </c>
      <c r="C385" s="91">
        <v>56</v>
      </c>
      <c r="D385" s="92">
        <v>0.57731958762886593</v>
      </c>
      <c r="E385" s="91">
        <v>67</v>
      </c>
      <c r="F385" s="92">
        <v>0.6633663366336634</v>
      </c>
      <c r="G385" s="100">
        <v>63</v>
      </c>
      <c r="H385" s="93">
        <v>0.59433962264150941</v>
      </c>
      <c r="I385"/>
      <c r="J385"/>
    </row>
    <row r="386" spans="1:10" ht="21" customHeight="1" x14ac:dyDescent="0.2">
      <c r="A386" s="81"/>
      <c r="B386" s="90" t="s">
        <v>131</v>
      </c>
      <c r="C386" s="91">
        <v>4</v>
      </c>
      <c r="D386" s="92">
        <v>4.1237113402061855E-2</v>
      </c>
      <c r="E386" s="91">
        <v>1</v>
      </c>
      <c r="F386" s="92">
        <v>9.9009900990099011E-3</v>
      </c>
      <c r="G386" s="100">
        <v>3</v>
      </c>
      <c r="H386" s="93">
        <v>2.8301886792452831E-2</v>
      </c>
      <c r="I386"/>
      <c r="J386"/>
    </row>
    <row r="387" spans="1:10" ht="21" customHeight="1" x14ac:dyDescent="0.2">
      <c r="A387" s="81"/>
      <c r="B387" s="90" t="s">
        <v>123</v>
      </c>
      <c r="C387" s="91">
        <v>7</v>
      </c>
      <c r="D387" s="92">
        <v>7.2164948453608241E-2</v>
      </c>
      <c r="E387" s="91">
        <v>1</v>
      </c>
      <c r="F387" s="92">
        <v>9.9009900990099011E-3</v>
      </c>
      <c r="G387" s="100">
        <v>1</v>
      </c>
      <c r="H387" s="93">
        <v>9.433962264150943E-3</v>
      </c>
      <c r="I387"/>
      <c r="J387"/>
    </row>
    <row r="388" spans="1:10" ht="21" customHeight="1" x14ac:dyDescent="0.2">
      <c r="A388" s="74" t="s">
        <v>257</v>
      </c>
      <c r="B388" s="75"/>
      <c r="C388" s="83">
        <v>97</v>
      </c>
      <c r="D388" s="88">
        <v>5.0697217402211861E-4</v>
      </c>
      <c r="E388" s="83">
        <v>101</v>
      </c>
      <c r="F388" s="88">
        <v>4.6123986756479052E-4</v>
      </c>
      <c r="G388" s="99">
        <v>106</v>
      </c>
      <c r="H388" s="89">
        <v>2.4502098859034341E-4</v>
      </c>
      <c r="I388"/>
      <c r="J388"/>
    </row>
    <row r="389" spans="1:10" ht="21" customHeight="1" x14ac:dyDescent="0.2">
      <c r="A389" s="74" t="s">
        <v>75</v>
      </c>
      <c r="B389" s="74" t="s">
        <v>137</v>
      </c>
      <c r="C389" s="83">
        <v>75</v>
      </c>
      <c r="D389" s="88">
        <v>0.77319587628865982</v>
      </c>
      <c r="E389" s="83">
        <v>81</v>
      </c>
      <c r="F389" s="88">
        <v>0.80198019801980203</v>
      </c>
      <c r="G389" s="99">
        <v>85</v>
      </c>
      <c r="H389" s="89">
        <v>0.83333333333333337</v>
      </c>
      <c r="I389"/>
      <c r="J389"/>
    </row>
    <row r="390" spans="1:10" ht="21" customHeight="1" x14ac:dyDescent="0.2">
      <c r="A390" s="81"/>
      <c r="B390" s="90" t="s">
        <v>127</v>
      </c>
      <c r="C390" s="91">
        <v>18</v>
      </c>
      <c r="D390" s="92">
        <v>0.18556701030927836</v>
      </c>
      <c r="E390" s="91">
        <v>19</v>
      </c>
      <c r="F390" s="92">
        <v>0.18811881188118812</v>
      </c>
      <c r="G390" s="100">
        <v>11</v>
      </c>
      <c r="H390" s="93">
        <v>0.10784313725490197</v>
      </c>
      <c r="I390"/>
      <c r="J390"/>
    </row>
    <row r="391" spans="1:10" ht="21" customHeight="1" x14ac:dyDescent="0.2">
      <c r="A391" s="81"/>
      <c r="B391" s="90" t="s">
        <v>131</v>
      </c>
      <c r="C391" s="91">
        <v>0</v>
      </c>
      <c r="D391" s="92">
        <v>0</v>
      </c>
      <c r="E391" s="91">
        <v>0</v>
      </c>
      <c r="F391" s="92">
        <v>0</v>
      </c>
      <c r="G391" s="100">
        <v>3</v>
      </c>
      <c r="H391" s="93">
        <v>2.9411764705882353E-2</v>
      </c>
      <c r="I391"/>
      <c r="J391"/>
    </row>
    <row r="392" spans="1:10" ht="21" customHeight="1" x14ac:dyDescent="0.2">
      <c r="A392" s="81"/>
      <c r="B392" s="90" t="s">
        <v>123</v>
      </c>
      <c r="C392" s="91">
        <v>4</v>
      </c>
      <c r="D392" s="92">
        <v>4.1237113402061855E-2</v>
      </c>
      <c r="E392" s="91">
        <v>1</v>
      </c>
      <c r="F392" s="92">
        <v>9.9009900990099011E-3</v>
      </c>
      <c r="G392" s="100">
        <v>3</v>
      </c>
      <c r="H392" s="93">
        <v>2.9411764705882353E-2</v>
      </c>
      <c r="I392"/>
      <c r="J392"/>
    </row>
    <row r="393" spans="1:10" ht="21" customHeight="1" x14ac:dyDescent="0.2">
      <c r="A393" s="74" t="s">
        <v>258</v>
      </c>
      <c r="B393" s="75"/>
      <c r="C393" s="83">
        <v>97</v>
      </c>
      <c r="D393" s="88">
        <v>5.0697217402211861E-4</v>
      </c>
      <c r="E393" s="83">
        <v>101</v>
      </c>
      <c r="F393" s="88">
        <v>4.6123986756479052E-4</v>
      </c>
      <c r="G393" s="99">
        <v>102</v>
      </c>
      <c r="H393" s="89">
        <v>2.3577491354919838E-4</v>
      </c>
      <c r="I393"/>
      <c r="J393"/>
    </row>
    <row r="394" spans="1:10" ht="21" customHeight="1" x14ac:dyDescent="0.2">
      <c r="A394" s="74" t="s">
        <v>67</v>
      </c>
      <c r="B394" s="74" t="s">
        <v>137</v>
      </c>
      <c r="C394" s="83">
        <v>26</v>
      </c>
      <c r="D394" s="88">
        <v>0.52</v>
      </c>
      <c r="E394" s="83">
        <v>27</v>
      </c>
      <c r="F394" s="88">
        <v>0.5625</v>
      </c>
      <c r="G394" s="99">
        <v>31</v>
      </c>
      <c r="H394" s="89">
        <v>0.65957446808510634</v>
      </c>
      <c r="I394"/>
      <c r="J394"/>
    </row>
    <row r="395" spans="1:10" ht="21" customHeight="1" x14ac:dyDescent="0.2">
      <c r="A395" s="81"/>
      <c r="B395" s="90" t="s">
        <v>127</v>
      </c>
      <c r="C395" s="91">
        <v>24</v>
      </c>
      <c r="D395" s="92">
        <v>0.48</v>
      </c>
      <c r="E395" s="91">
        <v>21</v>
      </c>
      <c r="F395" s="92">
        <v>0.4375</v>
      </c>
      <c r="G395" s="100">
        <v>15</v>
      </c>
      <c r="H395" s="93">
        <v>0.31914893617021278</v>
      </c>
      <c r="I395"/>
      <c r="J395"/>
    </row>
    <row r="396" spans="1:10" ht="21" customHeight="1" x14ac:dyDescent="0.2">
      <c r="A396" s="81"/>
      <c r="B396" s="90" t="s">
        <v>131</v>
      </c>
      <c r="C396" s="91">
        <v>0</v>
      </c>
      <c r="D396" s="92">
        <v>0</v>
      </c>
      <c r="E396" s="91">
        <v>0</v>
      </c>
      <c r="F396" s="92">
        <v>0</v>
      </c>
      <c r="G396" s="100">
        <v>1</v>
      </c>
      <c r="H396" s="93">
        <v>2.1276595744680851E-2</v>
      </c>
      <c r="I396"/>
      <c r="J396"/>
    </row>
    <row r="397" spans="1:10" ht="21" customHeight="1" x14ac:dyDescent="0.2">
      <c r="A397" s="81"/>
      <c r="B397" s="90" t="s">
        <v>123</v>
      </c>
      <c r="C397" s="91">
        <v>0</v>
      </c>
      <c r="D397" s="92">
        <v>0</v>
      </c>
      <c r="E397" s="91">
        <v>0</v>
      </c>
      <c r="F397" s="92">
        <v>0</v>
      </c>
      <c r="G397" s="100"/>
      <c r="H397" s="93">
        <v>0</v>
      </c>
      <c r="I397"/>
      <c r="J397"/>
    </row>
    <row r="398" spans="1:10" ht="21" customHeight="1" x14ac:dyDescent="0.2">
      <c r="A398" s="74" t="s">
        <v>259</v>
      </c>
      <c r="B398" s="75"/>
      <c r="C398" s="83">
        <v>50</v>
      </c>
      <c r="D398" s="88">
        <v>2.6132586289799928E-4</v>
      </c>
      <c r="E398" s="83">
        <v>48</v>
      </c>
      <c r="F398" s="88">
        <v>2.1920310537732618E-4</v>
      </c>
      <c r="G398" s="99">
        <v>47</v>
      </c>
      <c r="H398" s="89">
        <v>1.0864138173345415E-4</v>
      </c>
      <c r="I398"/>
      <c r="J398"/>
    </row>
    <row r="399" spans="1:10" ht="21" customHeight="1" x14ac:dyDescent="0.2">
      <c r="A399" s="74" t="s">
        <v>153</v>
      </c>
      <c r="B399" s="74" t="s">
        <v>137</v>
      </c>
      <c r="C399" s="83">
        <v>15</v>
      </c>
      <c r="D399" s="88">
        <v>0.32608695652173914</v>
      </c>
      <c r="E399" s="83">
        <v>9</v>
      </c>
      <c r="F399" s="88">
        <v>0.2</v>
      </c>
      <c r="G399" s="99"/>
      <c r="H399" s="89"/>
      <c r="I399"/>
      <c r="J399"/>
    </row>
    <row r="400" spans="1:10" ht="21" customHeight="1" x14ac:dyDescent="0.2">
      <c r="A400" s="81"/>
      <c r="B400" s="90" t="s">
        <v>127</v>
      </c>
      <c r="C400" s="91">
        <v>22</v>
      </c>
      <c r="D400" s="92">
        <v>0.47826086956521741</v>
      </c>
      <c r="E400" s="91">
        <v>28</v>
      </c>
      <c r="F400" s="92">
        <v>0.62222222222222223</v>
      </c>
      <c r="G400" s="100"/>
      <c r="H400" s="93"/>
      <c r="I400"/>
      <c r="J400"/>
    </row>
    <row r="401" spans="1:10" ht="21" customHeight="1" x14ac:dyDescent="0.2">
      <c r="A401" s="81"/>
      <c r="B401" s="90" t="s">
        <v>131</v>
      </c>
      <c r="C401" s="91">
        <v>3</v>
      </c>
      <c r="D401" s="92">
        <v>6.5217391304347824E-2</v>
      </c>
      <c r="E401" s="91">
        <v>5</v>
      </c>
      <c r="F401" s="92">
        <v>0.1111111111111111</v>
      </c>
      <c r="G401" s="100"/>
      <c r="H401" s="93"/>
      <c r="I401"/>
      <c r="J401"/>
    </row>
    <row r="402" spans="1:10" ht="21" customHeight="1" x14ac:dyDescent="0.2">
      <c r="A402" s="81"/>
      <c r="B402" s="90" t="s">
        <v>123</v>
      </c>
      <c r="C402" s="91">
        <v>6</v>
      </c>
      <c r="D402" s="92">
        <v>0.13043478260869565</v>
      </c>
      <c r="E402" s="91">
        <v>3</v>
      </c>
      <c r="F402" s="92">
        <v>6.6666666666666666E-2</v>
      </c>
      <c r="G402" s="100"/>
      <c r="H402" s="93"/>
      <c r="I402"/>
      <c r="J402"/>
    </row>
    <row r="403" spans="1:10" ht="21" customHeight="1" x14ac:dyDescent="0.2">
      <c r="A403" s="74" t="s">
        <v>260</v>
      </c>
      <c r="B403" s="75"/>
      <c r="C403" s="83">
        <v>46</v>
      </c>
      <c r="D403" s="88">
        <v>2.4041979386615935E-4</v>
      </c>
      <c r="E403" s="83">
        <v>45</v>
      </c>
      <c r="F403" s="88">
        <v>2.055029112912433E-4</v>
      </c>
      <c r="G403" s="99"/>
      <c r="H403" s="89">
        <v>0</v>
      </c>
      <c r="I403"/>
      <c r="J403"/>
    </row>
    <row r="404" spans="1:10" ht="21" customHeight="1" x14ac:dyDescent="0.2">
      <c r="A404" s="74" t="s">
        <v>154</v>
      </c>
      <c r="B404" s="74" t="s">
        <v>137</v>
      </c>
      <c r="C404" s="83">
        <v>7</v>
      </c>
      <c r="D404" s="88">
        <v>0.1891891891891892</v>
      </c>
      <c r="E404" s="83">
        <v>12</v>
      </c>
      <c r="F404" s="88">
        <v>0.30769230769230771</v>
      </c>
      <c r="G404" s="99"/>
      <c r="H404" s="89"/>
      <c r="I404"/>
      <c r="J404"/>
    </row>
    <row r="405" spans="1:10" ht="21" customHeight="1" x14ac:dyDescent="0.2">
      <c r="A405" s="81"/>
      <c r="B405" s="90" t="s">
        <v>127</v>
      </c>
      <c r="C405" s="91">
        <v>29</v>
      </c>
      <c r="D405" s="92">
        <v>0.78378378378378377</v>
      </c>
      <c r="E405" s="91">
        <v>27</v>
      </c>
      <c r="F405" s="92">
        <v>0.69230769230769229</v>
      </c>
      <c r="G405" s="100"/>
      <c r="H405" s="93"/>
      <c r="I405"/>
      <c r="J405"/>
    </row>
    <row r="406" spans="1:10" ht="21" customHeight="1" x14ac:dyDescent="0.2">
      <c r="A406" s="81"/>
      <c r="B406" s="90" t="s">
        <v>131</v>
      </c>
      <c r="C406" s="91">
        <v>0</v>
      </c>
      <c r="D406" s="92">
        <v>0</v>
      </c>
      <c r="E406" s="91">
        <v>0</v>
      </c>
      <c r="F406" s="92">
        <v>0</v>
      </c>
      <c r="G406" s="100"/>
      <c r="H406" s="93"/>
      <c r="I406"/>
      <c r="J406"/>
    </row>
    <row r="407" spans="1:10" ht="21" customHeight="1" x14ac:dyDescent="0.2">
      <c r="A407" s="81"/>
      <c r="B407" s="90" t="s">
        <v>123</v>
      </c>
      <c r="C407" s="91">
        <v>1</v>
      </c>
      <c r="D407" s="92">
        <v>2.7027027027027029E-2</v>
      </c>
      <c r="E407" s="91">
        <v>0</v>
      </c>
      <c r="F407" s="92">
        <v>0</v>
      </c>
      <c r="G407" s="100"/>
      <c r="H407" s="93"/>
      <c r="I407"/>
      <c r="J407"/>
    </row>
    <row r="408" spans="1:10" ht="21" customHeight="1" x14ac:dyDescent="0.2">
      <c r="A408" s="74" t="s">
        <v>261</v>
      </c>
      <c r="B408" s="75"/>
      <c r="C408" s="83">
        <v>37</v>
      </c>
      <c r="D408" s="88">
        <v>1.9338113854451948E-4</v>
      </c>
      <c r="E408" s="83">
        <v>39</v>
      </c>
      <c r="F408" s="88">
        <v>1.7810252311907751E-4</v>
      </c>
      <c r="G408" s="99"/>
      <c r="H408" s="89">
        <v>0</v>
      </c>
      <c r="I408"/>
      <c r="J408"/>
    </row>
    <row r="409" spans="1:10" ht="21" customHeight="1" x14ac:dyDescent="0.2">
      <c r="A409" s="74" t="s">
        <v>177</v>
      </c>
      <c r="B409" s="74" t="s">
        <v>137</v>
      </c>
      <c r="C409" s="83">
        <v>27</v>
      </c>
      <c r="D409" s="88">
        <v>0.39130434782608697</v>
      </c>
      <c r="E409" s="83"/>
      <c r="F409" s="88"/>
      <c r="G409" s="99"/>
      <c r="H409" s="89"/>
      <c r="I409"/>
      <c r="J409"/>
    </row>
    <row r="410" spans="1:10" ht="21" customHeight="1" x14ac:dyDescent="0.2">
      <c r="A410" s="81"/>
      <c r="B410" s="90" t="s">
        <v>127</v>
      </c>
      <c r="C410" s="91">
        <v>20</v>
      </c>
      <c r="D410" s="92">
        <v>0.28985507246376813</v>
      </c>
      <c r="E410" s="91"/>
      <c r="F410" s="92"/>
      <c r="G410" s="100"/>
      <c r="H410" s="93"/>
      <c r="I410"/>
      <c r="J410"/>
    </row>
    <row r="411" spans="1:10" ht="21" customHeight="1" x14ac:dyDescent="0.2">
      <c r="A411" s="81"/>
      <c r="B411" s="90" t="s">
        <v>131</v>
      </c>
      <c r="C411" s="91">
        <v>11</v>
      </c>
      <c r="D411" s="92">
        <v>0.15942028985507245</v>
      </c>
      <c r="E411" s="91"/>
      <c r="F411" s="92"/>
      <c r="G411" s="100"/>
      <c r="H411" s="93"/>
      <c r="I411"/>
      <c r="J411"/>
    </row>
    <row r="412" spans="1:10" ht="21" customHeight="1" x14ac:dyDescent="0.2">
      <c r="A412" s="81"/>
      <c r="B412" s="90" t="s">
        <v>123</v>
      </c>
      <c r="C412" s="91">
        <v>11</v>
      </c>
      <c r="D412" s="92">
        <v>0.15942028985507245</v>
      </c>
      <c r="E412" s="91"/>
      <c r="F412" s="92"/>
      <c r="G412" s="100"/>
      <c r="H412" s="93"/>
      <c r="I412"/>
      <c r="J412"/>
    </row>
    <row r="413" spans="1:10" ht="21" customHeight="1" x14ac:dyDescent="0.2">
      <c r="A413" s="74" t="s">
        <v>262</v>
      </c>
      <c r="B413" s="75"/>
      <c r="C413" s="83">
        <v>69</v>
      </c>
      <c r="D413" s="88">
        <v>3.60629690799239E-4</v>
      </c>
      <c r="E413" s="83"/>
      <c r="F413" s="88">
        <v>0</v>
      </c>
      <c r="G413" s="99"/>
      <c r="H413" s="89">
        <v>0</v>
      </c>
      <c r="I413"/>
      <c r="J413"/>
    </row>
    <row r="414" spans="1:10" ht="21" customHeight="1" x14ac:dyDescent="0.2">
      <c r="A414" s="74" t="s">
        <v>155</v>
      </c>
      <c r="B414" s="74" t="s">
        <v>137</v>
      </c>
      <c r="C414" s="83">
        <v>6</v>
      </c>
      <c r="D414" s="88">
        <v>0.21428571428571427</v>
      </c>
      <c r="E414" s="83">
        <v>10</v>
      </c>
      <c r="F414" s="88">
        <v>0.30303030303030304</v>
      </c>
      <c r="G414" s="99"/>
      <c r="H414" s="89"/>
      <c r="I414"/>
      <c r="J414"/>
    </row>
    <row r="415" spans="1:10" ht="21" customHeight="1" x14ac:dyDescent="0.2">
      <c r="A415" s="81"/>
      <c r="B415" s="90" t="s">
        <v>127</v>
      </c>
      <c r="C415" s="91">
        <v>20</v>
      </c>
      <c r="D415" s="92">
        <v>0.7142857142857143</v>
      </c>
      <c r="E415" s="91">
        <v>19</v>
      </c>
      <c r="F415" s="92">
        <v>0.5757575757575758</v>
      </c>
      <c r="G415" s="100"/>
      <c r="H415" s="93"/>
      <c r="I415"/>
      <c r="J415"/>
    </row>
    <row r="416" spans="1:10" ht="21" customHeight="1" x14ac:dyDescent="0.2">
      <c r="A416" s="81"/>
      <c r="B416" s="90" t="s">
        <v>131</v>
      </c>
      <c r="C416" s="91">
        <v>1</v>
      </c>
      <c r="D416" s="92">
        <v>3.5714285714285712E-2</v>
      </c>
      <c r="E416" s="91">
        <v>4</v>
      </c>
      <c r="F416" s="92">
        <v>0.12121212121212122</v>
      </c>
      <c r="G416" s="100"/>
      <c r="H416" s="93"/>
      <c r="I416"/>
      <c r="J416"/>
    </row>
    <row r="417" spans="1:10" ht="21" customHeight="1" x14ac:dyDescent="0.2">
      <c r="A417" s="81"/>
      <c r="B417" s="90" t="s">
        <v>123</v>
      </c>
      <c r="C417" s="91">
        <v>1</v>
      </c>
      <c r="D417" s="92">
        <v>3.5714285714285712E-2</v>
      </c>
      <c r="E417" s="91">
        <v>0</v>
      </c>
      <c r="F417" s="92">
        <v>0</v>
      </c>
      <c r="G417" s="100"/>
      <c r="H417" s="93"/>
      <c r="I417"/>
      <c r="J417"/>
    </row>
    <row r="418" spans="1:10" ht="21" customHeight="1" x14ac:dyDescent="0.2">
      <c r="A418" s="74" t="s">
        <v>263</v>
      </c>
      <c r="B418" s="75"/>
      <c r="C418" s="83">
        <v>28</v>
      </c>
      <c r="D418" s="88">
        <v>1.4634248322287961E-4</v>
      </c>
      <c r="E418" s="83">
        <v>33</v>
      </c>
      <c r="F418" s="88">
        <v>1.5070213494691175E-4</v>
      </c>
      <c r="G418" s="99"/>
      <c r="H418" s="89">
        <v>0</v>
      </c>
      <c r="I418"/>
      <c r="J418"/>
    </row>
    <row r="419" spans="1:10" ht="21" customHeight="1" x14ac:dyDescent="0.2">
      <c r="A419" s="74" t="s">
        <v>45</v>
      </c>
      <c r="B419" s="74" t="s">
        <v>137</v>
      </c>
      <c r="C419" s="83">
        <v>11</v>
      </c>
      <c r="D419" s="88">
        <v>0.73333333333333328</v>
      </c>
      <c r="E419" s="83">
        <v>13</v>
      </c>
      <c r="F419" s="88">
        <v>0.8666666666666667</v>
      </c>
      <c r="G419" s="99">
        <v>10</v>
      </c>
      <c r="H419" s="89">
        <v>0.90909090909090906</v>
      </c>
      <c r="I419"/>
      <c r="J419"/>
    </row>
    <row r="420" spans="1:10" ht="21" customHeight="1" x14ac:dyDescent="0.2">
      <c r="A420" s="81"/>
      <c r="B420" s="90" t="s">
        <v>127</v>
      </c>
      <c r="C420" s="91">
        <v>4</v>
      </c>
      <c r="D420" s="92">
        <v>0.26666666666666666</v>
      </c>
      <c r="E420" s="91">
        <v>2</v>
      </c>
      <c r="F420" s="92">
        <v>0.13333333333333333</v>
      </c>
      <c r="G420" s="100">
        <v>1</v>
      </c>
      <c r="H420" s="93">
        <v>9.0909090909090912E-2</v>
      </c>
      <c r="I420"/>
      <c r="J420"/>
    </row>
    <row r="421" spans="1:10" ht="21" customHeight="1" x14ac:dyDescent="0.2">
      <c r="A421" s="81"/>
      <c r="B421" s="90" t="s">
        <v>131</v>
      </c>
      <c r="C421" s="91">
        <v>0</v>
      </c>
      <c r="D421" s="92">
        <v>0</v>
      </c>
      <c r="E421" s="91">
        <v>0</v>
      </c>
      <c r="F421" s="92">
        <v>0</v>
      </c>
      <c r="G421" s="100"/>
      <c r="H421" s="93">
        <v>0</v>
      </c>
      <c r="I421"/>
      <c r="J421"/>
    </row>
    <row r="422" spans="1:10" ht="21" customHeight="1" x14ac:dyDescent="0.2">
      <c r="A422" s="81"/>
      <c r="B422" s="90" t="s">
        <v>123</v>
      </c>
      <c r="C422" s="91">
        <v>0</v>
      </c>
      <c r="D422" s="92">
        <v>0</v>
      </c>
      <c r="E422" s="91">
        <v>0</v>
      </c>
      <c r="F422" s="92">
        <v>0</v>
      </c>
      <c r="G422" s="100"/>
      <c r="H422" s="93">
        <v>0</v>
      </c>
      <c r="I422"/>
      <c r="J422"/>
    </row>
    <row r="423" spans="1:10" ht="21" customHeight="1" x14ac:dyDescent="0.2">
      <c r="A423" s="74" t="s">
        <v>264</v>
      </c>
      <c r="B423" s="75"/>
      <c r="C423" s="83">
        <v>15</v>
      </c>
      <c r="D423" s="88">
        <v>7.8397758869399789E-5</v>
      </c>
      <c r="E423" s="83">
        <v>15</v>
      </c>
      <c r="F423" s="88">
        <v>6.8500970430414437E-5</v>
      </c>
      <c r="G423" s="99">
        <v>11</v>
      </c>
      <c r="H423" s="89">
        <v>2.5426706363148843E-5</v>
      </c>
      <c r="I423"/>
      <c r="J423"/>
    </row>
    <row r="424" spans="1:10" ht="21" customHeight="1" x14ac:dyDescent="0.2">
      <c r="A424" s="74" t="s">
        <v>156</v>
      </c>
      <c r="B424" s="74" t="s">
        <v>137</v>
      </c>
      <c r="C424" s="83">
        <v>0</v>
      </c>
      <c r="D424" s="88">
        <v>0</v>
      </c>
      <c r="E424" s="83">
        <v>2</v>
      </c>
      <c r="F424" s="88">
        <v>0.33333333333333331</v>
      </c>
      <c r="G424" s="99"/>
      <c r="H424" s="89"/>
      <c r="I424"/>
      <c r="J424"/>
    </row>
    <row r="425" spans="1:10" ht="21" customHeight="1" x14ac:dyDescent="0.2">
      <c r="A425" s="81"/>
      <c r="B425" s="90" t="s">
        <v>127</v>
      </c>
      <c r="C425" s="91">
        <v>4</v>
      </c>
      <c r="D425" s="92">
        <v>1</v>
      </c>
      <c r="E425" s="91">
        <v>4</v>
      </c>
      <c r="F425" s="92">
        <v>0.66666666666666663</v>
      </c>
      <c r="G425" s="100"/>
      <c r="H425" s="93"/>
      <c r="I425"/>
      <c r="J425"/>
    </row>
    <row r="426" spans="1:10" ht="21" customHeight="1" x14ac:dyDescent="0.2">
      <c r="A426" s="81"/>
      <c r="B426" s="90" t="s">
        <v>131</v>
      </c>
      <c r="C426" s="91">
        <v>0</v>
      </c>
      <c r="D426" s="92">
        <v>0</v>
      </c>
      <c r="E426" s="91">
        <v>0</v>
      </c>
      <c r="F426" s="92">
        <v>0</v>
      </c>
      <c r="G426" s="100"/>
      <c r="H426" s="93"/>
      <c r="I426"/>
      <c r="J426"/>
    </row>
    <row r="427" spans="1:10" ht="21" customHeight="1" x14ac:dyDescent="0.2">
      <c r="A427" s="81"/>
      <c r="B427" s="90" t="s">
        <v>123</v>
      </c>
      <c r="C427" s="91">
        <v>0</v>
      </c>
      <c r="D427" s="92">
        <v>0</v>
      </c>
      <c r="E427" s="91">
        <v>0</v>
      </c>
      <c r="F427" s="92">
        <v>0</v>
      </c>
      <c r="G427" s="100"/>
      <c r="H427" s="93"/>
      <c r="I427"/>
      <c r="J427"/>
    </row>
    <row r="428" spans="1:10" ht="21" customHeight="1" x14ac:dyDescent="0.2">
      <c r="A428" s="74" t="s">
        <v>265</v>
      </c>
      <c r="B428" s="75"/>
      <c r="C428" s="83">
        <v>4</v>
      </c>
      <c r="D428" s="88">
        <v>2.0906069031839943E-5</v>
      </c>
      <c r="E428" s="83">
        <v>6</v>
      </c>
      <c r="F428" s="88">
        <v>2.7400388172165772E-5</v>
      </c>
      <c r="G428" s="99"/>
      <c r="H428" s="89">
        <v>0</v>
      </c>
      <c r="I428"/>
      <c r="J428"/>
    </row>
    <row r="429" spans="1:10" ht="21" customHeight="1" x14ac:dyDescent="0.2">
      <c r="A429" s="74" t="s">
        <v>158</v>
      </c>
      <c r="B429" s="74" t="s">
        <v>137</v>
      </c>
      <c r="C429" s="83">
        <v>0</v>
      </c>
      <c r="D429" s="88">
        <v>0</v>
      </c>
      <c r="E429" s="83">
        <v>1</v>
      </c>
      <c r="F429" s="88">
        <v>0.2</v>
      </c>
      <c r="G429" s="99"/>
      <c r="H429" s="89"/>
      <c r="I429"/>
      <c r="J429"/>
    </row>
    <row r="430" spans="1:10" ht="21" customHeight="1" x14ac:dyDescent="0.2">
      <c r="A430" s="81"/>
      <c r="B430" s="90" t="s">
        <v>127</v>
      </c>
      <c r="C430" s="91">
        <v>5</v>
      </c>
      <c r="D430" s="92">
        <v>1</v>
      </c>
      <c r="E430" s="91">
        <v>4</v>
      </c>
      <c r="F430" s="92">
        <v>0.8</v>
      </c>
      <c r="G430" s="100"/>
      <c r="H430" s="93"/>
      <c r="I430"/>
      <c r="J430"/>
    </row>
    <row r="431" spans="1:10" ht="21" customHeight="1" x14ac:dyDescent="0.2">
      <c r="A431" s="81"/>
      <c r="B431" s="90" t="s">
        <v>131</v>
      </c>
      <c r="C431" s="91">
        <v>0</v>
      </c>
      <c r="D431" s="92">
        <v>0</v>
      </c>
      <c r="E431" s="91">
        <v>0</v>
      </c>
      <c r="F431" s="92">
        <v>0</v>
      </c>
      <c r="G431" s="100"/>
      <c r="H431" s="93"/>
      <c r="I431"/>
      <c r="J431"/>
    </row>
    <row r="432" spans="1:10" ht="21" customHeight="1" x14ac:dyDescent="0.2">
      <c r="A432" s="81"/>
      <c r="B432" s="90" t="s">
        <v>123</v>
      </c>
      <c r="C432" s="91">
        <v>0</v>
      </c>
      <c r="D432" s="92">
        <v>0</v>
      </c>
      <c r="E432" s="91">
        <v>0</v>
      </c>
      <c r="F432" s="92">
        <v>0</v>
      </c>
      <c r="G432" s="100"/>
      <c r="H432" s="93"/>
      <c r="I432"/>
      <c r="J432"/>
    </row>
    <row r="433" spans="1:10" ht="21" customHeight="1" x14ac:dyDescent="0.2">
      <c r="A433" s="74" t="s">
        <v>266</v>
      </c>
      <c r="B433" s="75"/>
      <c r="C433" s="83">
        <v>5</v>
      </c>
      <c r="D433" s="88">
        <v>2.6132586289799929E-5</v>
      </c>
      <c r="E433" s="83">
        <v>5</v>
      </c>
      <c r="F433" s="88">
        <v>2.2833656810138145E-5</v>
      </c>
      <c r="G433" s="99"/>
      <c r="H433" s="89">
        <v>0</v>
      </c>
      <c r="I433"/>
      <c r="J433"/>
    </row>
    <row r="434" spans="1:10" ht="21" customHeight="1" x14ac:dyDescent="0.2">
      <c r="A434" s="74" t="s">
        <v>159</v>
      </c>
      <c r="B434" s="74" t="s">
        <v>137</v>
      </c>
      <c r="C434" s="83">
        <v>2</v>
      </c>
      <c r="D434" s="88">
        <v>0.66666666666666663</v>
      </c>
      <c r="E434" s="83">
        <v>2</v>
      </c>
      <c r="F434" s="88">
        <v>0.5</v>
      </c>
      <c r="G434" s="99"/>
      <c r="H434" s="89"/>
      <c r="I434"/>
      <c r="J434"/>
    </row>
    <row r="435" spans="1:10" ht="21" customHeight="1" x14ac:dyDescent="0.2">
      <c r="A435" s="81"/>
      <c r="B435" s="90" t="s">
        <v>127</v>
      </c>
      <c r="C435" s="91">
        <v>1</v>
      </c>
      <c r="D435" s="92">
        <v>0.33333333333333331</v>
      </c>
      <c r="E435" s="91">
        <v>2</v>
      </c>
      <c r="F435" s="92">
        <v>0.5</v>
      </c>
      <c r="G435" s="100"/>
      <c r="H435" s="93"/>
      <c r="I435"/>
      <c r="J435"/>
    </row>
    <row r="436" spans="1:10" ht="21" customHeight="1" x14ac:dyDescent="0.2">
      <c r="A436" s="81"/>
      <c r="B436" s="90" t="s">
        <v>131</v>
      </c>
      <c r="C436" s="91">
        <v>0</v>
      </c>
      <c r="D436" s="92">
        <v>0</v>
      </c>
      <c r="E436" s="91">
        <v>0</v>
      </c>
      <c r="F436" s="92">
        <v>0</v>
      </c>
      <c r="G436" s="100"/>
      <c r="H436" s="93"/>
      <c r="I436"/>
      <c r="J436"/>
    </row>
    <row r="437" spans="1:10" ht="21" customHeight="1" x14ac:dyDescent="0.2">
      <c r="A437" s="81"/>
      <c r="B437" s="90" t="s">
        <v>123</v>
      </c>
      <c r="C437" s="91">
        <v>0</v>
      </c>
      <c r="D437" s="92">
        <v>0</v>
      </c>
      <c r="E437" s="91">
        <v>0</v>
      </c>
      <c r="F437" s="92">
        <v>0</v>
      </c>
      <c r="G437" s="100"/>
      <c r="H437" s="93"/>
      <c r="I437"/>
      <c r="J437"/>
    </row>
    <row r="438" spans="1:10" ht="21" customHeight="1" x14ac:dyDescent="0.2">
      <c r="A438" s="74" t="s">
        <v>267</v>
      </c>
      <c r="B438" s="75"/>
      <c r="C438" s="83">
        <v>3</v>
      </c>
      <c r="D438" s="88">
        <v>1.5679551773879957E-5</v>
      </c>
      <c r="E438" s="83">
        <v>4</v>
      </c>
      <c r="F438" s="88">
        <v>1.8266925448110514E-5</v>
      </c>
      <c r="G438" s="99"/>
      <c r="H438" s="89">
        <v>0</v>
      </c>
      <c r="I438"/>
      <c r="J438"/>
    </row>
    <row r="439" spans="1:10" ht="21" customHeight="1" x14ac:dyDescent="0.2">
      <c r="A439" s="74" t="s">
        <v>157</v>
      </c>
      <c r="B439" s="74" t="s">
        <v>137</v>
      </c>
      <c r="C439" s="83">
        <v>0</v>
      </c>
      <c r="D439" s="88">
        <v>0</v>
      </c>
      <c r="E439" s="83">
        <v>1</v>
      </c>
      <c r="F439" s="88">
        <v>0.5</v>
      </c>
      <c r="G439" s="99"/>
      <c r="H439" s="89"/>
      <c r="I439"/>
      <c r="J439"/>
    </row>
    <row r="440" spans="1:10" ht="21" customHeight="1" x14ac:dyDescent="0.2">
      <c r="A440" s="81"/>
      <c r="B440" s="90" t="s">
        <v>127</v>
      </c>
      <c r="C440" s="91">
        <v>1</v>
      </c>
      <c r="D440" s="92">
        <v>0.5</v>
      </c>
      <c r="E440" s="91">
        <v>1</v>
      </c>
      <c r="F440" s="92">
        <v>0.5</v>
      </c>
      <c r="G440" s="100"/>
      <c r="H440" s="93"/>
      <c r="I440"/>
      <c r="J440"/>
    </row>
    <row r="441" spans="1:10" ht="21" customHeight="1" x14ac:dyDescent="0.2">
      <c r="A441" s="81"/>
      <c r="B441" s="90" t="s">
        <v>131</v>
      </c>
      <c r="C441" s="91">
        <v>1</v>
      </c>
      <c r="D441" s="92">
        <v>0.5</v>
      </c>
      <c r="E441" s="91">
        <v>0</v>
      </c>
      <c r="F441" s="92">
        <v>0</v>
      </c>
      <c r="G441" s="100"/>
      <c r="H441" s="93"/>
      <c r="I441"/>
      <c r="J441"/>
    </row>
    <row r="442" spans="1:10" ht="21" customHeight="1" x14ac:dyDescent="0.2">
      <c r="A442" s="81"/>
      <c r="B442" s="90" t="s">
        <v>123</v>
      </c>
      <c r="C442" s="91">
        <v>0</v>
      </c>
      <c r="D442" s="92">
        <v>0</v>
      </c>
      <c r="E442" s="91">
        <v>0</v>
      </c>
      <c r="F442" s="92">
        <v>0</v>
      </c>
      <c r="G442" s="100"/>
      <c r="H442" s="93"/>
      <c r="I442"/>
      <c r="J442"/>
    </row>
    <row r="443" spans="1:10" ht="21" customHeight="1" x14ac:dyDescent="0.2">
      <c r="A443" s="74" t="s">
        <v>268</v>
      </c>
      <c r="B443" s="75"/>
      <c r="C443" s="83">
        <v>2</v>
      </c>
      <c r="D443" s="88">
        <v>1.0453034515919971E-5</v>
      </c>
      <c r="E443" s="83">
        <v>2</v>
      </c>
      <c r="F443" s="88">
        <v>9.1334627240552568E-6</v>
      </c>
      <c r="G443" s="99"/>
      <c r="H443" s="89">
        <v>0</v>
      </c>
      <c r="I443"/>
      <c r="J443"/>
    </row>
    <row r="444" spans="1:10" ht="21" customHeight="1" x14ac:dyDescent="0.2">
      <c r="A444" s="94" t="s">
        <v>269</v>
      </c>
      <c r="B444" s="95"/>
      <c r="C444" s="96">
        <v>191332</v>
      </c>
      <c r="D444" s="97">
        <v>1</v>
      </c>
      <c r="E444" s="96">
        <v>218975</v>
      </c>
      <c r="F444" s="97">
        <v>1</v>
      </c>
      <c r="G444" s="101">
        <v>432616</v>
      </c>
      <c r="H444" s="98">
        <v>1</v>
      </c>
      <c r="I444"/>
      <c r="J444"/>
    </row>
    <row r="445" spans="1:10" ht="21" customHeight="1" x14ac:dyDescent="0.2">
      <c r="C445"/>
      <c r="D445"/>
      <c r="E445"/>
      <c r="F445"/>
      <c r="G445"/>
      <c r="H445"/>
      <c r="I445"/>
      <c r="J445"/>
    </row>
    <row r="446" spans="1:10" ht="21" customHeight="1" x14ac:dyDescent="0.2">
      <c r="C446"/>
      <c r="D446"/>
      <c r="E446"/>
      <c r="F446"/>
      <c r="G446"/>
      <c r="H446"/>
      <c r="I446"/>
      <c r="J446"/>
    </row>
    <row r="447" spans="1:10" ht="21" customHeight="1" x14ac:dyDescent="0.2">
      <c r="C447"/>
      <c r="D447"/>
      <c r="E447"/>
      <c r="F447"/>
      <c r="G447"/>
      <c r="H447"/>
      <c r="I447"/>
      <c r="J447"/>
    </row>
    <row r="448" spans="1:10" ht="21" customHeight="1" x14ac:dyDescent="0.2">
      <c r="C448"/>
      <c r="D448"/>
      <c r="E448"/>
      <c r="F448"/>
      <c r="G448"/>
      <c r="H448"/>
      <c r="I448"/>
      <c r="J448"/>
    </row>
    <row r="449" spans="3:6" ht="21" customHeight="1" x14ac:dyDescent="0.2">
      <c r="C449" s="53"/>
      <c r="D449" s="13"/>
      <c r="E449" s="53"/>
      <c r="F449" s="13"/>
    </row>
    <row r="450" spans="3:6" ht="21" customHeight="1" x14ac:dyDescent="0.2">
      <c r="C450" s="53"/>
      <c r="D450" s="13"/>
      <c r="E450" s="53"/>
      <c r="F450" s="13"/>
    </row>
    <row r="451" spans="3:6" ht="21" customHeight="1" x14ac:dyDescent="0.2">
      <c r="C451" s="53"/>
      <c r="D451" s="13"/>
      <c r="E451" s="53"/>
      <c r="F451" s="13"/>
    </row>
    <row r="452" spans="3:6" ht="21" customHeight="1" x14ac:dyDescent="0.2">
      <c r="C452" s="53"/>
      <c r="D452" s="13"/>
      <c r="E452" s="53"/>
      <c r="F452" s="13"/>
    </row>
    <row r="453" spans="3:6" ht="21" customHeight="1" x14ac:dyDescent="0.2">
      <c r="C453" s="53"/>
      <c r="D453" s="13"/>
      <c r="E453" s="53"/>
      <c r="F453" s="13"/>
    </row>
    <row r="454" spans="3:6" ht="21" customHeight="1" x14ac:dyDescent="0.2">
      <c r="C454" s="53"/>
      <c r="D454" s="13"/>
      <c r="E454" s="53"/>
      <c r="F454" s="13"/>
    </row>
    <row r="455" spans="3:6" ht="21" customHeight="1" x14ac:dyDescent="0.2">
      <c r="C455" s="53"/>
      <c r="D455" s="13"/>
      <c r="E455" s="53"/>
      <c r="F455" s="13"/>
    </row>
    <row r="456" spans="3:6" ht="21" customHeight="1" x14ac:dyDescent="0.2">
      <c r="C456" s="53"/>
      <c r="D456" s="13"/>
      <c r="E456" s="53"/>
      <c r="F456" s="13"/>
    </row>
    <row r="457" spans="3:6" ht="21" customHeight="1" x14ac:dyDescent="0.2">
      <c r="C457" s="53"/>
      <c r="D457" s="13"/>
      <c r="E457" s="53"/>
      <c r="F457" s="13"/>
    </row>
    <row r="458" spans="3:6" ht="21" customHeight="1" x14ac:dyDescent="0.2">
      <c r="C458" s="53"/>
      <c r="D458" s="13"/>
      <c r="E458" s="53"/>
      <c r="F458" s="13"/>
    </row>
    <row r="459" spans="3:6" ht="21" customHeight="1" x14ac:dyDescent="0.2">
      <c r="C459" s="53"/>
      <c r="D459" s="13"/>
      <c r="E459" s="53"/>
      <c r="F459" s="13"/>
    </row>
    <row r="460" spans="3:6" ht="21" customHeight="1" x14ac:dyDescent="0.2">
      <c r="C460" s="53"/>
      <c r="D460" s="13"/>
      <c r="E460" s="53"/>
      <c r="F460" s="13"/>
    </row>
    <row r="461" spans="3:6" ht="21" customHeight="1" x14ac:dyDescent="0.2">
      <c r="C461" s="53"/>
      <c r="D461" s="13"/>
      <c r="E461" s="53"/>
      <c r="F461" s="13"/>
    </row>
    <row r="462" spans="3:6" ht="21" customHeight="1" x14ac:dyDescent="0.2">
      <c r="C462" s="53"/>
      <c r="D462" s="13"/>
      <c r="E462" s="53"/>
      <c r="F462" s="13"/>
    </row>
    <row r="463" spans="3:6" ht="21" customHeight="1" x14ac:dyDescent="0.2">
      <c r="C463" s="53"/>
      <c r="D463" s="13"/>
      <c r="E463" s="53"/>
      <c r="F463" s="13"/>
    </row>
    <row r="464" spans="3:6" ht="21" customHeight="1" x14ac:dyDescent="0.2">
      <c r="C464" s="53"/>
      <c r="D464" s="13"/>
      <c r="E464" s="53"/>
      <c r="F464" s="13"/>
    </row>
    <row r="465" spans="3:6" ht="21" customHeight="1" x14ac:dyDescent="0.2">
      <c r="C465" s="53"/>
      <c r="D465" s="13"/>
      <c r="E465" s="53"/>
      <c r="F465" s="13"/>
    </row>
    <row r="466" spans="3:6" ht="21" customHeight="1" x14ac:dyDescent="0.2">
      <c r="C466" s="53"/>
      <c r="D466" s="13"/>
      <c r="E466" s="53"/>
      <c r="F466" s="13"/>
    </row>
    <row r="467" spans="3:6" ht="21" customHeight="1" x14ac:dyDescent="0.2">
      <c r="C467" s="53"/>
      <c r="D467" s="13"/>
      <c r="E467" s="53"/>
      <c r="F467" s="13"/>
    </row>
    <row r="468" spans="3:6" ht="21" customHeight="1" x14ac:dyDescent="0.2">
      <c r="C468" s="53"/>
      <c r="D468" s="13"/>
      <c r="E468" s="53"/>
      <c r="F468" s="13"/>
    </row>
    <row r="469" spans="3:6" ht="21" customHeight="1" x14ac:dyDescent="0.2">
      <c r="C469" s="53"/>
      <c r="D469" s="13"/>
      <c r="E469" s="53"/>
      <c r="F469" s="13"/>
    </row>
    <row r="470" spans="3:6" ht="21" customHeight="1" x14ac:dyDescent="0.2">
      <c r="C470" s="53"/>
      <c r="D470" s="13"/>
      <c r="E470" s="53"/>
      <c r="F470" s="13"/>
    </row>
    <row r="471" spans="3:6" ht="21" customHeight="1" x14ac:dyDescent="0.2">
      <c r="C471" s="53"/>
      <c r="D471" s="13"/>
      <c r="E471" s="53"/>
      <c r="F471" s="13"/>
    </row>
    <row r="472" spans="3:6" ht="21" customHeight="1" x14ac:dyDescent="0.2">
      <c r="C472" s="53"/>
      <c r="D472" s="13"/>
      <c r="E472" s="53"/>
      <c r="F472" s="13"/>
    </row>
    <row r="473" spans="3:6" ht="21" customHeight="1" x14ac:dyDescent="0.2">
      <c r="C473" s="53"/>
      <c r="D473" s="13"/>
      <c r="E473" s="53"/>
      <c r="F473" s="13"/>
    </row>
    <row r="474" spans="3:6" ht="21" customHeight="1" x14ac:dyDescent="0.2">
      <c r="C474" s="53"/>
      <c r="D474" s="13"/>
      <c r="E474" s="53"/>
      <c r="F474" s="13"/>
    </row>
    <row r="475" spans="3:6" ht="21" customHeight="1" x14ac:dyDescent="0.2">
      <c r="C475" s="53"/>
      <c r="D475" s="13"/>
      <c r="E475" s="53"/>
      <c r="F475" s="13"/>
    </row>
    <row r="476" spans="3:6" ht="21" customHeight="1" x14ac:dyDescent="0.2">
      <c r="C476" s="53"/>
      <c r="D476" s="13"/>
      <c r="E476" s="53"/>
      <c r="F476" s="13"/>
    </row>
    <row r="477" spans="3:6" ht="21" customHeight="1" x14ac:dyDescent="0.2">
      <c r="C477" s="53"/>
      <c r="D477" s="13"/>
      <c r="E477" s="53"/>
      <c r="F477" s="13"/>
    </row>
    <row r="478" spans="3:6" ht="21" customHeight="1" x14ac:dyDescent="0.2">
      <c r="C478" s="53"/>
      <c r="D478" s="13"/>
      <c r="E478" s="53"/>
      <c r="F478" s="13"/>
    </row>
    <row r="479" spans="3:6" ht="21" customHeight="1" x14ac:dyDescent="0.2">
      <c r="C479" s="53"/>
      <c r="D479" s="13"/>
      <c r="E479" s="53"/>
      <c r="F479" s="13"/>
    </row>
    <row r="480" spans="3:6" ht="21" customHeight="1" x14ac:dyDescent="0.2">
      <c r="C480" s="53"/>
      <c r="D480" s="13"/>
      <c r="E480" s="53"/>
      <c r="F480" s="13"/>
    </row>
    <row r="481" spans="3:6" ht="21" customHeight="1" x14ac:dyDescent="0.2">
      <c r="C481" s="53"/>
      <c r="D481" s="13"/>
      <c r="E481" s="53"/>
      <c r="F481" s="13"/>
    </row>
    <row r="482" spans="3:6" ht="21" customHeight="1" x14ac:dyDescent="0.2">
      <c r="C482" s="53"/>
      <c r="D482" s="13"/>
      <c r="E482" s="53"/>
      <c r="F482" s="13"/>
    </row>
    <row r="483" spans="3:6" ht="21" customHeight="1" x14ac:dyDescent="0.2">
      <c r="C483" s="53"/>
      <c r="D483" s="13"/>
      <c r="E483" s="53"/>
      <c r="F483" s="13"/>
    </row>
    <row r="484" spans="3:6" ht="21" customHeight="1" x14ac:dyDescent="0.2">
      <c r="C484" s="53"/>
      <c r="D484" s="13"/>
      <c r="E484" s="53"/>
      <c r="F484" s="13"/>
    </row>
    <row r="485" spans="3:6" ht="21" customHeight="1" x14ac:dyDescent="0.2">
      <c r="C485" s="53"/>
      <c r="D485" s="13"/>
      <c r="E485" s="53"/>
      <c r="F485" s="13"/>
    </row>
    <row r="486" spans="3:6" ht="21" customHeight="1" x14ac:dyDescent="0.2">
      <c r="C486" s="53"/>
      <c r="D486" s="13"/>
      <c r="E486" s="53"/>
      <c r="F486" s="13"/>
    </row>
    <row r="487" spans="3:6" ht="21" customHeight="1" x14ac:dyDescent="0.2">
      <c r="C487" s="53"/>
      <c r="D487" s="13"/>
      <c r="E487" s="53"/>
      <c r="F487" s="13"/>
    </row>
    <row r="488" spans="3:6" ht="21" customHeight="1" x14ac:dyDescent="0.2">
      <c r="C488" s="53"/>
      <c r="D488" s="13"/>
      <c r="E488" s="53"/>
      <c r="F488" s="13"/>
    </row>
    <row r="489" spans="3:6" ht="21" customHeight="1" x14ac:dyDescent="0.2">
      <c r="C489" s="53"/>
      <c r="D489" s="13"/>
      <c r="E489" s="53"/>
      <c r="F489" s="13"/>
    </row>
    <row r="490" spans="3:6" ht="21" customHeight="1" x14ac:dyDescent="0.2">
      <c r="C490" s="53"/>
      <c r="D490" s="13"/>
      <c r="E490" s="53"/>
      <c r="F490" s="13"/>
    </row>
    <row r="491" spans="3:6" ht="21" customHeight="1" x14ac:dyDescent="0.2">
      <c r="C491" s="53"/>
      <c r="D491" s="13"/>
      <c r="E491" s="53"/>
      <c r="F491" s="13"/>
    </row>
    <row r="492" spans="3:6" ht="21" customHeight="1" x14ac:dyDescent="0.2">
      <c r="C492" s="53"/>
      <c r="D492" s="13"/>
      <c r="E492" s="53"/>
      <c r="F492" s="13"/>
    </row>
    <row r="493" spans="3:6" ht="21" customHeight="1" x14ac:dyDescent="0.2">
      <c r="C493" s="53"/>
      <c r="D493" s="13"/>
      <c r="E493" s="53"/>
      <c r="F493" s="13"/>
    </row>
    <row r="494" spans="3:6" ht="21" customHeight="1" x14ac:dyDescent="0.2">
      <c r="C494" s="53"/>
      <c r="D494" s="13"/>
      <c r="E494" s="53"/>
      <c r="F494" s="13"/>
    </row>
    <row r="495" spans="3:6" ht="21" customHeight="1" x14ac:dyDescent="0.2">
      <c r="C495" s="53"/>
      <c r="D495" s="13"/>
      <c r="E495" s="53"/>
      <c r="F495" s="13"/>
    </row>
    <row r="496" spans="3:6" ht="21" customHeight="1" x14ac:dyDescent="0.2">
      <c r="C496" s="53"/>
      <c r="D496" s="13"/>
      <c r="E496" s="53"/>
      <c r="F496" s="13"/>
    </row>
    <row r="497" spans="3:6" ht="21" customHeight="1" x14ac:dyDescent="0.2">
      <c r="C497" s="53"/>
      <c r="D497" s="13"/>
      <c r="E497" s="53"/>
      <c r="F497" s="13"/>
    </row>
    <row r="498" spans="3:6" ht="21" customHeight="1" x14ac:dyDescent="0.2">
      <c r="C498" s="53"/>
      <c r="D498" s="13"/>
      <c r="E498" s="53"/>
      <c r="F498" s="13"/>
    </row>
    <row r="499" spans="3:6" ht="21" customHeight="1" x14ac:dyDescent="0.2">
      <c r="C499" s="53"/>
      <c r="D499" s="13"/>
      <c r="E499" s="53"/>
      <c r="F499" s="13"/>
    </row>
    <row r="500" spans="3:6" ht="21" customHeight="1" x14ac:dyDescent="0.2">
      <c r="C500" s="53"/>
      <c r="D500" s="13"/>
      <c r="E500" s="53"/>
      <c r="F500" s="13"/>
    </row>
    <row r="501" spans="3:6" ht="21" customHeight="1" x14ac:dyDescent="0.2">
      <c r="C501" s="53"/>
      <c r="D501" s="13"/>
      <c r="E501" s="53"/>
      <c r="F501" s="13"/>
    </row>
    <row r="502" spans="3:6" ht="21" customHeight="1" x14ac:dyDescent="0.2">
      <c r="C502" s="53"/>
      <c r="D502" s="13"/>
      <c r="E502" s="53"/>
      <c r="F502" s="13"/>
    </row>
    <row r="503" spans="3:6" ht="21" customHeight="1" x14ac:dyDescent="0.2">
      <c r="C503" s="53"/>
      <c r="D503" s="13"/>
      <c r="E503" s="53"/>
      <c r="F503" s="13"/>
    </row>
    <row r="504" spans="3:6" ht="21" customHeight="1" x14ac:dyDescent="0.2">
      <c r="C504" s="53"/>
      <c r="D504" s="13"/>
      <c r="E504" s="53"/>
      <c r="F504" s="13"/>
    </row>
    <row r="505" spans="3:6" ht="21" customHeight="1" x14ac:dyDescent="0.2">
      <c r="C505" s="53"/>
      <c r="D505" s="13"/>
      <c r="E505" s="53"/>
      <c r="F505" s="13"/>
    </row>
    <row r="506" spans="3:6" ht="21" customHeight="1" x14ac:dyDescent="0.2">
      <c r="C506" s="53"/>
      <c r="D506" s="13"/>
      <c r="E506" s="53"/>
      <c r="F506" s="13"/>
    </row>
    <row r="507" spans="3:6" ht="21" customHeight="1" x14ac:dyDescent="0.2">
      <c r="C507" s="53"/>
      <c r="D507" s="13"/>
      <c r="E507" s="53"/>
      <c r="F507" s="13"/>
    </row>
    <row r="508" spans="3:6" ht="21" customHeight="1" x14ac:dyDescent="0.2">
      <c r="C508" s="53"/>
      <c r="D508" s="13"/>
      <c r="E508" s="53"/>
      <c r="F508" s="13"/>
    </row>
    <row r="509" spans="3:6" ht="21" customHeight="1" x14ac:dyDescent="0.2">
      <c r="C509" s="53"/>
      <c r="D509" s="13"/>
      <c r="E509" s="53"/>
      <c r="F509" s="13"/>
    </row>
    <row r="510" spans="3:6" ht="21" customHeight="1" x14ac:dyDescent="0.2">
      <c r="C510" s="53"/>
      <c r="D510" s="13"/>
      <c r="E510" s="53"/>
      <c r="F510" s="13"/>
    </row>
    <row r="511" spans="3:6" ht="21" customHeight="1" x14ac:dyDescent="0.2">
      <c r="C511" s="53"/>
      <c r="D511" s="13"/>
      <c r="E511" s="53"/>
      <c r="F511" s="13"/>
    </row>
    <row r="512" spans="3:6" ht="21" customHeight="1" x14ac:dyDescent="0.2">
      <c r="C512" s="53"/>
      <c r="D512" s="13"/>
      <c r="E512" s="53"/>
      <c r="F512" s="13"/>
    </row>
    <row r="513" spans="3:6" ht="21" customHeight="1" x14ac:dyDescent="0.2">
      <c r="C513" s="53"/>
      <c r="D513" s="13"/>
      <c r="E513" s="53"/>
      <c r="F513" s="13"/>
    </row>
    <row r="514" spans="3:6" ht="21" customHeight="1" x14ac:dyDescent="0.2">
      <c r="C514" s="53"/>
      <c r="D514" s="13"/>
      <c r="E514" s="53"/>
      <c r="F514" s="13"/>
    </row>
    <row r="515" spans="3:6" ht="21" customHeight="1" x14ac:dyDescent="0.2">
      <c r="C515" s="53"/>
      <c r="D515" s="13"/>
      <c r="E515" s="53"/>
      <c r="F515" s="13"/>
    </row>
    <row r="516" spans="3:6" ht="21" customHeight="1" x14ac:dyDescent="0.2">
      <c r="C516" s="53"/>
      <c r="D516" s="13"/>
      <c r="E516" s="53"/>
      <c r="F516" s="13"/>
    </row>
    <row r="517" spans="3:6" ht="21" customHeight="1" x14ac:dyDescent="0.2">
      <c r="C517" s="53"/>
      <c r="D517" s="13"/>
      <c r="E517" s="53"/>
      <c r="F517" s="13"/>
    </row>
    <row r="518" spans="3:6" ht="21" customHeight="1" x14ac:dyDescent="0.2">
      <c r="C518" s="53"/>
      <c r="D518" s="13"/>
      <c r="E518" s="53"/>
      <c r="F518" s="13"/>
    </row>
    <row r="519" spans="3:6" ht="21" customHeight="1" x14ac:dyDescent="0.2">
      <c r="C519" s="53"/>
      <c r="D519" s="13"/>
      <c r="E519" s="53"/>
      <c r="F519" s="13"/>
    </row>
    <row r="520" spans="3:6" ht="21" customHeight="1" x14ac:dyDescent="0.2">
      <c r="C520" s="53"/>
      <c r="D520" s="13"/>
      <c r="E520" s="53"/>
      <c r="F520" s="13"/>
    </row>
    <row r="521" spans="3:6" ht="21" customHeight="1" x14ac:dyDescent="0.2">
      <c r="C521" s="53"/>
      <c r="D521" s="13"/>
      <c r="E521" s="53"/>
      <c r="F521" s="13"/>
    </row>
    <row r="522" spans="3:6" ht="21" customHeight="1" x14ac:dyDescent="0.2">
      <c r="C522" s="53"/>
      <c r="D522" s="13"/>
      <c r="E522" s="53"/>
      <c r="F522" s="13"/>
    </row>
    <row r="523" spans="3:6" ht="21" customHeight="1" x14ac:dyDescent="0.2">
      <c r="C523" s="53"/>
      <c r="D523" s="13"/>
      <c r="E523" s="53"/>
      <c r="F523" s="13"/>
    </row>
    <row r="524" spans="3:6" ht="21" customHeight="1" x14ac:dyDescent="0.2">
      <c r="C524" s="53"/>
      <c r="D524" s="13"/>
      <c r="E524" s="53"/>
      <c r="F524" s="13"/>
    </row>
    <row r="525" spans="3:6" ht="21" customHeight="1" x14ac:dyDescent="0.2">
      <c r="C525" s="53"/>
      <c r="D525" s="13"/>
      <c r="E525" s="53"/>
      <c r="F525" s="13"/>
    </row>
    <row r="526" spans="3:6" ht="21" customHeight="1" x14ac:dyDescent="0.2">
      <c r="C526" s="53"/>
      <c r="D526" s="13"/>
      <c r="E526" s="53"/>
      <c r="F526" s="13"/>
    </row>
    <row r="527" spans="3:6" ht="21" customHeight="1" x14ac:dyDescent="0.2">
      <c r="C527" s="53"/>
      <c r="D527" s="13"/>
      <c r="E527" s="53"/>
      <c r="F527" s="13"/>
    </row>
    <row r="528" spans="3:6" ht="21" customHeight="1" x14ac:dyDescent="0.2">
      <c r="C528" s="53"/>
      <c r="D528" s="13"/>
      <c r="E528" s="53"/>
      <c r="F528" s="13"/>
    </row>
    <row r="529" spans="3:6" ht="21" customHeight="1" x14ac:dyDescent="0.2">
      <c r="C529" s="53"/>
      <c r="D529" s="13"/>
      <c r="E529" s="53"/>
      <c r="F529" s="13"/>
    </row>
    <row r="530" spans="3:6" ht="21" customHeight="1" x14ac:dyDescent="0.2">
      <c r="C530" s="53"/>
      <c r="D530" s="13"/>
      <c r="E530" s="53"/>
      <c r="F530" s="13"/>
    </row>
    <row r="531" spans="3:6" ht="21" customHeight="1" x14ac:dyDescent="0.2">
      <c r="C531" s="53"/>
      <c r="D531" s="13"/>
      <c r="E531" s="53"/>
      <c r="F531" s="13"/>
    </row>
    <row r="532" spans="3:6" ht="21" customHeight="1" x14ac:dyDescent="0.2">
      <c r="C532" s="53"/>
      <c r="D532" s="13"/>
      <c r="E532" s="53"/>
      <c r="F532" s="13"/>
    </row>
    <row r="533" spans="3:6" ht="21" customHeight="1" x14ac:dyDescent="0.2">
      <c r="C533" s="53"/>
      <c r="D533" s="13"/>
      <c r="E533" s="53"/>
      <c r="F533" s="13"/>
    </row>
    <row r="534" spans="3:6" ht="21" customHeight="1" x14ac:dyDescent="0.2">
      <c r="C534" s="53"/>
      <c r="D534" s="13"/>
      <c r="E534" s="53"/>
      <c r="F534" s="13"/>
    </row>
    <row r="535" spans="3:6" ht="21" customHeight="1" x14ac:dyDescent="0.2">
      <c r="C535" s="53"/>
      <c r="D535" s="13"/>
      <c r="E535" s="53"/>
      <c r="F535" s="13"/>
    </row>
    <row r="536" spans="3:6" ht="21" customHeight="1" x14ac:dyDescent="0.2">
      <c r="C536" s="53"/>
      <c r="D536" s="13"/>
      <c r="E536" s="53"/>
      <c r="F536" s="13"/>
    </row>
    <row r="537" spans="3:6" ht="21" customHeight="1" x14ac:dyDescent="0.2">
      <c r="C537" s="53"/>
      <c r="D537" s="13"/>
      <c r="E537" s="53"/>
      <c r="F537" s="13"/>
    </row>
    <row r="538" spans="3:6" ht="21" customHeight="1" x14ac:dyDescent="0.2">
      <c r="C538" s="53"/>
      <c r="D538" s="13"/>
      <c r="E538" s="53"/>
      <c r="F538" s="13"/>
    </row>
    <row r="539" spans="3:6" ht="21" customHeight="1" x14ac:dyDescent="0.2">
      <c r="C539" s="53"/>
      <c r="D539" s="13"/>
      <c r="E539" s="53"/>
      <c r="F539" s="13"/>
    </row>
    <row r="540" spans="3:6" ht="21" customHeight="1" x14ac:dyDescent="0.2">
      <c r="C540" s="53"/>
      <c r="D540" s="13"/>
      <c r="E540" s="53"/>
      <c r="F540" s="13"/>
    </row>
    <row r="541" spans="3:6" ht="21" customHeight="1" x14ac:dyDescent="0.2">
      <c r="C541" s="53"/>
      <c r="D541" s="13"/>
      <c r="E541" s="53"/>
      <c r="F541" s="13"/>
    </row>
    <row r="542" spans="3:6" ht="21" customHeight="1" x14ac:dyDescent="0.2">
      <c r="C542" s="53"/>
      <c r="D542" s="13"/>
      <c r="E542" s="53"/>
      <c r="F542" s="13"/>
    </row>
    <row r="543" spans="3:6" ht="21" customHeight="1" x14ac:dyDescent="0.2">
      <c r="C543" s="53"/>
      <c r="D543" s="13"/>
      <c r="E543" s="53"/>
      <c r="F543" s="13"/>
    </row>
    <row r="544" spans="3:6" ht="21" customHeight="1" x14ac:dyDescent="0.2">
      <c r="C544" s="53"/>
      <c r="D544" s="13"/>
      <c r="E544" s="53"/>
      <c r="F544" s="13"/>
    </row>
    <row r="545" spans="3:6" ht="21" customHeight="1" x14ac:dyDescent="0.2">
      <c r="C545" s="53"/>
      <c r="D545" s="13"/>
      <c r="E545" s="53"/>
      <c r="F545" s="13"/>
    </row>
    <row r="546" spans="3:6" ht="21" customHeight="1" x14ac:dyDescent="0.2">
      <c r="C546" s="53"/>
      <c r="D546" s="13"/>
      <c r="E546" s="53"/>
      <c r="F546" s="13"/>
    </row>
    <row r="547" spans="3:6" ht="21" customHeight="1" x14ac:dyDescent="0.2">
      <c r="C547" s="53"/>
      <c r="D547" s="13"/>
      <c r="E547" s="53"/>
      <c r="F547" s="13"/>
    </row>
    <row r="548" spans="3:6" ht="21" customHeight="1" x14ac:dyDescent="0.2">
      <c r="C548" s="53"/>
      <c r="D548" s="13"/>
      <c r="E548" s="53"/>
      <c r="F548" s="13"/>
    </row>
    <row r="549" spans="3:6" ht="21" customHeight="1" x14ac:dyDescent="0.2">
      <c r="C549" s="53"/>
      <c r="D549" s="13"/>
      <c r="E549" s="53"/>
      <c r="F549" s="13"/>
    </row>
    <row r="550" spans="3:6" ht="21" customHeight="1" x14ac:dyDescent="0.2">
      <c r="C550" s="53"/>
      <c r="D550" s="13"/>
      <c r="E550" s="53"/>
      <c r="F550" s="13"/>
    </row>
    <row r="551" spans="3:6" ht="21" customHeight="1" x14ac:dyDescent="0.2">
      <c r="C551" s="53"/>
      <c r="D551" s="13"/>
      <c r="E551" s="53"/>
      <c r="F551" s="13"/>
    </row>
    <row r="552" spans="3:6" ht="21" customHeight="1" x14ac:dyDescent="0.2">
      <c r="C552" s="53"/>
      <c r="D552" s="13"/>
      <c r="E552" s="53"/>
      <c r="F552" s="13"/>
    </row>
    <row r="553" spans="3:6" ht="21" customHeight="1" x14ac:dyDescent="0.2">
      <c r="C553" s="53"/>
      <c r="D553" s="13"/>
      <c r="E553" s="53"/>
      <c r="F553" s="13"/>
    </row>
    <row r="554" spans="3:6" ht="21" customHeight="1" x14ac:dyDescent="0.2">
      <c r="C554" s="53"/>
      <c r="D554" s="13"/>
      <c r="E554" s="53"/>
      <c r="F554" s="13"/>
    </row>
    <row r="555" spans="3:6" ht="21" customHeight="1" x14ac:dyDescent="0.2">
      <c r="C555" s="53"/>
      <c r="D555" s="13"/>
      <c r="E555" s="53"/>
      <c r="F555" s="13"/>
    </row>
    <row r="556" spans="3:6" ht="21" customHeight="1" x14ac:dyDescent="0.2">
      <c r="C556" s="53"/>
      <c r="D556" s="13"/>
      <c r="E556" s="53"/>
      <c r="F556" s="13"/>
    </row>
    <row r="557" spans="3:6" ht="21" customHeight="1" x14ac:dyDescent="0.2">
      <c r="C557" s="53"/>
      <c r="D557" s="13"/>
      <c r="E557" s="53"/>
      <c r="F557" s="13"/>
    </row>
    <row r="558" spans="3:6" ht="21" customHeight="1" x14ac:dyDescent="0.2">
      <c r="C558" s="53"/>
      <c r="D558" s="13"/>
      <c r="E558" s="53"/>
      <c r="F558" s="13"/>
    </row>
    <row r="559" spans="3:6" ht="21" customHeight="1" x14ac:dyDescent="0.2">
      <c r="C559" s="53"/>
      <c r="D559" s="13"/>
      <c r="E559" s="53"/>
      <c r="F559" s="13"/>
    </row>
    <row r="560" spans="3:6" ht="21" customHeight="1" x14ac:dyDescent="0.2">
      <c r="C560" s="53"/>
      <c r="D560" s="13"/>
      <c r="E560" s="53"/>
      <c r="F560" s="13"/>
    </row>
    <row r="561" spans="3:6" ht="21" customHeight="1" x14ac:dyDescent="0.2">
      <c r="C561" s="53"/>
      <c r="D561" s="13"/>
      <c r="E561" s="53"/>
      <c r="F561" s="13"/>
    </row>
    <row r="562" spans="3:6" ht="21" customHeight="1" x14ac:dyDescent="0.2">
      <c r="C562" s="53"/>
      <c r="D562" s="13"/>
      <c r="E562" s="53"/>
      <c r="F562" s="13"/>
    </row>
    <row r="563" spans="3:6" ht="21" customHeight="1" x14ac:dyDescent="0.2">
      <c r="C563" s="53"/>
      <c r="D563" s="13"/>
      <c r="E563" s="53"/>
      <c r="F563" s="13"/>
    </row>
    <row r="564" spans="3:6" ht="21" customHeight="1" x14ac:dyDescent="0.2">
      <c r="C564" s="53"/>
      <c r="D564" s="13"/>
      <c r="E564" s="53"/>
      <c r="F564" s="13"/>
    </row>
    <row r="565" spans="3:6" ht="21" customHeight="1" x14ac:dyDescent="0.2">
      <c r="C565" s="53"/>
      <c r="D565" s="13"/>
      <c r="E565" s="53"/>
      <c r="F565" s="13"/>
    </row>
    <row r="566" spans="3:6" ht="21" customHeight="1" x14ac:dyDescent="0.2">
      <c r="C566" s="53"/>
      <c r="D566" s="13"/>
      <c r="E566" s="53"/>
      <c r="F566" s="13"/>
    </row>
    <row r="567" spans="3:6" ht="21" customHeight="1" x14ac:dyDescent="0.2">
      <c r="C567" s="53"/>
      <c r="D567" s="13"/>
      <c r="E567" s="53"/>
      <c r="F567" s="13"/>
    </row>
    <row r="568" spans="3:6" ht="21" customHeight="1" x14ac:dyDescent="0.2">
      <c r="C568" s="53"/>
      <c r="D568" s="13"/>
      <c r="E568" s="53"/>
      <c r="F568" s="13"/>
    </row>
    <row r="569" spans="3:6" ht="21" customHeight="1" x14ac:dyDescent="0.2">
      <c r="C569" s="53"/>
      <c r="D569" s="13"/>
      <c r="E569" s="53"/>
      <c r="F569" s="13"/>
    </row>
    <row r="570" spans="3:6" ht="21" customHeight="1" x14ac:dyDescent="0.2">
      <c r="C570" s="53"/>
      <c r="D570" s="13"/>
      <c r="E570" s="53"/>
      <c r="F570" s="13"/>
    </row>
    <row r="571" spans="3:6" ht="21" customHeight="1" x14ac:dyDescent="0.2">
      <c r="C571" s="53"/>
      <c r="D571" s="13"/>
      <c r="E571" s="53"/>
      <c r="F571" s="13"/>
    </row>
    <row r="572" spans="3:6" ht="21" customHeight="1" x14ac:dyDescent="0.2">
      <c r="C572" s="53"/>
      <c r="D572" s="13"/>
      <c r="E572" s="53"/>
      <c r="F572" s="13"/>
    </row>
    <row r="573" spans="3:6" ht="21" customHeight="1" x14ac:dyDescent="0.2">
      <c r="C573" s="53"/>
      <c r="D573" s="13"/>
      <c r="E573" s="53"/>
      <c r="F573" s="13"/>
    </row>
    <row r="574" spans="3:6" ht="21" customHeight="1" x14ac:dyDescent="0.2">
      <c r="C574" s="53"/>
      <c r="D574" s="13"/>
      <c r="E574" s="53"/>
      <c r="F574" s="13"/>
    </row>
    <row r="575" spans="3:6" ht="21" customHeight="1" x14ac:dyDescent="0.2">
      <c r="C575" s="53"/>
      <c r="D575" s="13"/>
      <c r="E575" s="53"/>
      <c r="F575" s="13"/>
    </row>
    <row r="576" spans="3:6" ht="21" customHeight="1" x14ac:dyDescent="0.2">
      <c r="C576" s="53"/>
      <c r="D576" s="13"/>
      <c r="E576" s="53"/>
      <c r="F576" s="13"/>
    </row>
    <row r="577" spans="3:6" ht="21" customHeight="1" x14ac:dyDescent="0.2">
      <c r="C577" s="53"/>
      <c r="D577" s="13"/>
      <c r="E577" s="53"/>
      <c r="F577" s="13"/>
    </row>
    <row r="578" spans="3:6" ht="21" customHeight="1" x14ac:dyDescent="0.2">
      <c r="C578" s="53"/>
      <c r="D578" s="13"/>
      <c r="E578" s="53"/>
      <c r="F578" s="13"/>
    </row>
    <row r="579" spans="3:6" ht="21" customHeight="1" x14ac:dyDescent="0.2">
      <c r="C579" s="53"/>
      <c r="D579" s="13"/>
      <c r="E579" s="53"/>
      <c r="F579" s="13"/>
    </row>
    <row r="580" spans="3:6" ht="21" customHeight="1" x14ac:dyDescent="0.2">
      <c r="C580" s="53"/>
      <c r="D580" s="13"/>
      <c r="E580" s="53"/>
      <c r="F580" s="13"/>
    </row>
    <row r="581" spans="3:6" ht="21" customHeight="1" x14ac:dyDescent="0.2">
      <c r="C581" s="53"/>
      <c r="D581" s="13"/>
      <c r="E581" s="53"/>
      <c r="F581" s="13"/>
    </row>
    <row r="582" spans="3:6" ht="21" customHeight="1" x14ac:dyDescent="0.2">
      <c r="C582" s="53"/>
      <c r="D582" s="13"/>
      <c r="E582" s="53"/>
      <c r="F582" s="13"/>
    </row>
    <row r="583" spans="3:6" ht="21" customHeight="1" x14ac:dyDescent="0.2">
      <c r="C583" s="53"/>
      <c r="D583" s="13"/>
      <c r="E583" s="53"/>
      <c r="F583" s="13"/>
    </row>
    <row r="584" spans="3:6" ht="21" customHeight="1" x14ac:dyDescent="0.2">
      <c r="C584" s="53"/>
      <c r="D584" s="13"/>
      <c r="E584" s="53"/>
      <c r="F584" s="13"/>
    </row>
    <row r="585" spans="3:6" ht="21" customHeight="1" x14ac:dyDescent="0.2">
      <c r="C585" s="53"/>
      <c r="D585" s="13"/>
      <c r="E585" s="53"/>
      <c r="F585" s="13"/>
    </row>
    <row r="586" spans="3:6" ht="21" customHeight="1" x14ac:dyDescent="0.2">
      <c r="C586" s="53"/>
      <c r="D586" s="13"/>
      <c r="E586" s="53"/>
      <c r="F586" s="13"/>
    </row>
    <row r="587" spans="3:6" ht="21" customHeight="1" x14ac:dyDescent="0.2">
      <c r="C587" s="53"/>
      <c r="D587" s="13"/>
      <c r="E587" s="53"/>
      <c r="F587" s="13"/>
    </row>
    <row r="588" spans="3:6" ht="21" customHeight="1" x14ac:dyDescent="0.2">
      <c r="C588" s="53"/>
      <c r="D588" s="13"/>
      <c r="E588" s="53"/>
      <c r="F588" s="13"/>
    </row>
    <row r="589" spans="3:6" ht="21" customHeight="1" x14ac:dyDescent="0.2">
      <c r="C589" s="53"/>
      <c r="D589" s="13"/>
      <c r="E589" s="53"/>
      <c r="F589" s="13"/>
    </row>
    <row r="590" spans="3:6" ht="21" customHeight="1" x14ac:dyDescent="0.2">
      <c r="C590" s="53"/>
      <c r="D590" s="13"/>
      <c r="E590" s="53"/>
      <c r="F590" s="13"/>
    </row>
    <row r="591" spans="3:6" ht="21" customHeight="1" x14ac:dyDescent="0.2">
      <c r="C591" s="53"/>
      <c r="D591" s="13"/>
      <c r="E591" s="53"/>
      <c r="F591" s="13"/>
    </row>
    <row r="592" spans="3:6" ht="21" customHeight="1" x14ac:dyDescent="0.2">
      <c r="C592" s="53"/>
      <c r="D592" s="13"/>
      <c r="E592" s="53"/>
      <c r="F592" s="13"/>
    </row>
    <row r="593" spans="3:6" ht="21" customHeight="1" x14ac:dyDescent="0.2">
      <c r="C593" s="53"/>
      <c r="D593" s="13"/>
      <c r="E593" s="53"/>
      <c r="F593" s="13"/>
    </row>
    <row r="594" spans="3:6" ht="21" customHeight="1" x14ac:dyDescent="0.2">
      <c r="C594" s="53"/>
      <c r="D594" s="13"/>
      <c r="E594" s="53"/>
      <c r="F594" s="13"/>
    </row>
    <row r="595" spans="3:6" ht="21" customHeight="1" x14ac:dyDescent="0.2">
      <c r="C595" s="53"/>
      <c r="D595" s="13"/>
      <c r="E595" s="53"/>
      <c r="F595" s="13"/>
    </row>
    <row r="596" spans="3:6" ht="21" customHeight="1" x14ac:dyDescent="0.2">
      <c r="C596" s="53"/>
      <c r="D596" s="13"/>
      <c r="E596" s="53"/>
      <c r="F596" s="13"/>
    </row>
    <row r="597" spans="3:6" ht="21" customHeight="1" x14ac:dyDescent="0.2">
      <c r="C597" s="53"/>
      <c r="D597" s="13"/>
      <c r="E597" s="53"/>
      <c r="F597" s="13"/>
    </row>
    <row r="598" spans="3:6" ht="21" customHeight="1" x14ac:dyDescent="0.2">
      <c r="C598" s="53"/>
      <c r="D598" s="13"/>
      <c r="E598" s="53"/>
      <c r="F598" s="13"/>
    </row>
    <row r="599" spans="3:6" ht="21" customHeight="1" x14ac:dyDescent="0.2">
      <c r="C599" s="53"/>
      <c r="D599" s="13"/>
      <c r="E599" s="53"/>
      <c r="F599" s="13"/>
    </row>
    <row r="600" spans="3:6" ht="21" customHeight="1" x14ac:dyDescent="0.2">
      <c r="C600" s="53"/>
      <c r="D600" s="13"/>
      <c r="E600" s="53"/>
      <c r="F600" s="13"/>
    </row>
    <row r="601" spans="3:6" ht="21" customHeight="1" x14ac:dyDescent="0.2">
      <c r="C601" s="53"/>
      <c r="D601" s="13"/>
      <c r="E601" s="53"/>
      <c r="F601" s="13"/>
    </row>
    <row r="602" spans="3:6" ht="21" customHeight="1" x14ac:dyDescent="0.2">
      <c r="C602" s="53"/>
      <c r="D602" s="13"/>
      <c r="E602" s="53"/>
      <c r="F602" s="13"/>
    </row>
    <row r="603" spans="3:6" ht="21" customHeight="1" x14ac:dyDescent="0.2">
      <c r="C603" s="53"/>
      <c r="D603" s="13"/>
      <c r="E603" s="53"/>
      <c r="F603" s="13"/>
    </row>
    <row r="604" spans="3:6" ht="21" customHeight="1" x14ac:dyDescent="0.2">
      <c r="C604" s="53"/>
      <c r="D604" s="13"/>
      <c r="E604" s="53"/>
      <c r="F604" s="13"/>
    </row>
    <row r="605" spans="3:6" ht="21" customHeight="1" x14ac:dyDescent="0.2">
      <c r="C605" s="53"/>
      <c r="D605" s="13"/>
      <c r="E605" s="53"/>
      <c r="F605" s="13"/>
    </row>
    <row r="606" spans="3:6" ht="21" customHeight="1" x14ac:dyDescent="0.2">
      <c r="C606" s="53"/>
      <c r="D606" s="13"/>
      <c r="E606" s="53"/>
      <c r="F606" s="13"/>
    </row>
    <row r="607" spans="3:6" ht="21" customHeight="1" x14ac:dyDescent="0.2">
      <c r="C607" s="53"/>
      <c r="D607" s="13"/>
      <c r="E607" s="53"/>
      <c r="F607" s="13"/>
    </row>
    <row r="608" spans="3:6" ht="21" customHeight="1" x14ac:dyDescent="0.2">
      <c r="C608" s="53"/>
      <c r="D608" s="13"/>
      <c r="E608" s="53"/>
      <c r="F608" s="13"/>
    </row>
    <row r="609" spans="3:6" ht="21" customHeight="1" x14ac:dyDescent="0.2">
      <c r="C609" s="53"/>
      <c r="D609" s="13"/>
      <c r="E609" s="53"/>
      <c r="F609" s="13"/>
    </row>
    <row r="610" spans="3:6" ht="21" customHeight="1" x14ac:dyDescent="0.2">
      <c r="C610" s="53"/>
      <c r="D610" s="13"/>
      <c r="E610" s="53"/>
      <c r="F610" s="13"/>
    </row>
    <row r="611" spans="3:6" ht="21" customHeight="1" x14ac:dyDescent="0.2">
      <c r="C611" s="53"/>
      <c r="D611" s="13"/>
      <c r="E611" s="53"/>
      <c r="F611" s="13"/>
    </row>
    <row r="612" spans="3:6" ht="21" customHeight="1" x14ac:dyDescent="0.2">
      <c r="C612" s="53"/>
      <c r="D612" s="13"/>
      <c r="E612" s="53"/>
      <c r="F612" s="13"/>
    </row>
    <row r="613" spans="3:6" ht="21" customHeight="1" x14ac:dyDescent="0.2">
      <c r="C613" s="53"/>
      <c r="D613" s="13"/>
      <c r="E613" s="53"/>
      <c r="F613" s="13"/>
    </row>
    <row r="614" spans="3:6" ht="21" customHeight="1" x14ac:dyDescent="0.2">
      <c r="C614" s="53"/>
      <c r="D614" s="13"/>
      <c r="E614" s="53"/>
      <c r="F614" s="13"/>
    </row>
    <row r="615" spans="3:6" ht="21" customHeight="1" x14ac:dyDescent="0.2">
      <c r="C615" s="53"/>
      <c r="D615" s="13"/>
      <c r="E615" s="53"/>
      <c r="F615" s="13"/>
    </row>
    <row r="616" spans="3:6" ht="21" customHeight="1" x14ac:dyDescent="0.2">
      <c r="C616" s="53"/>
      <c r="D616" s="13"/>
      <c r="E616" s="53"/>
      <c r="F616" s="13"/>
    </row>
    <row r="617" spans="3:6" ht="21" customHeight="1" x14ac:dyDescent="0.2">
      <c r="C617" s="53"/>
      <c r="D617" s="13"/>
      <c r="E617" s="53"/>
      <c r="F617" s="13"/>
    </row>
    <row r="618" spans="3:6" ht="21" customHeight="1" x14ac:dyDescent="0.2">
      <c r="C618" s="53"/>
      <c r="D618" s="13"/>
      <c r="E618" s="53"/>
      <c r="F618" s="13"/>
    </row>
    <row r="619" spans="3:6" ht="21" customHeight="1" x14ac:dyDescent="0.2">
      <c r="C619" s="53"/>
      <c r="D619" s="13"/>
      <c r="E619" s="53"/>
      <c r="F619" s="13"/>
    </row>
    <row r="620" spans="3:6" ht="21" customHeight="1" x14ac:dyDescent="0.2">
      <c r="C620" s="53"/>
      <c r="D620" s="13"/>
      <c r="E620" s="53"/>
      <c r="F620" s="13"/>
    </row>
    <row r="621" spans="3:6" ht="21" customHeight="1" x14ac:dyDescent="0.2">
      <c r="C621" s="53"/>
      <c r="D621" s="13"/>
      <c r="E621" s="53"/>
      <c r="F621" s="13"/>
    </row>
    <row r="622" spans="3:6" ht="21" customHeight="1" x14ac:dyDescent="0.2">
      <c r="C622" s="53"/>
      <c r="D622" s="13"/>
      <c r="E622" s="53"/>
      <c r="F622" s="13"/>
    </row>
    <row r="623" spans="3:6" ht="21" customHeight="1" x14ac:dyDescent="0.2">
      <c r="C623" s="53"/>
      <c r="D623" s="13"/>
      <c r="E623" s="53"/>
      <c r="F623" s="13"/>
    </row>
    <row r="624" spans="3:6" ht="21" customHeight="1" x14ac:dyDescent="0.2">
      <c r="C624" s="53"/>
      <c r="D624" s="13"/>
      <c r="E624" s="53"/>
      <c r="F624" s="13"/>
    </row>
    <row r="625" spans="3:6" ht="21" customHeight="1" x14ac:dyDescent="0.2">
      <c r="C625" s="53"/>
      <c r="D625" s="13"/>
      <c r="E625" s="53"/>
      <c r="F625" s="13"/>
    </row>
    <row r="626" spans="3:6" ht="21" customHeight="1" x14ac:dyDescent="0.2">
      <c r="C626" s="53"/>
      <c r="D626" s="13"/>
      <c r="E626" s="53"/>
      <c r="F626" s="13"/>
    </row>
    <row r="627" spans="3:6" ht="21" customHeight="1" x14ac:dyDescent="0.2">
      <c r="C627" s="53"/>
      <c r="D627" s="13"/>
      <c r="E627" s="53"/>
      <c r="F627" s="13"/>
    </row>
    <row r="628" spans="3:6" ht="21" customHeight="1" x14ac:dyDescent="0.2">
      <c r="C628" s="53"/>
      <c r="D628" s="13"/>
      <c r="E628" s="53"/>
      <c r="F628" s="13"/>
    </row>
    <row r="629" spans="3:6" ht="21" customHeight="1" x14ac:dyDescent="0.2">
      <c r="C629" s="53"/>
      <c r="D629" s="13"/>
      <c r="E629" s="53"/>
      <c r="F629" s="13"/>
    </row>
    <row r="630" spans="3:6" ht="21" customHeight="1" x14ac:dyDescent="0.2">
      <c r="C630" s="53"/>
      <c r="D630" s="13"/>
      <c r="E630" s="53"/>
      <c r="F630" s="13"/>
    </row>
    <row r="631" spans="3:6" ht="21" customHeight="1" x14ac:dyDescent="0.2">
      <c r="C631" s="53"/>
      <c r="D631" s="13"/>
      <c r="E631" s="53"/>
      <c r="F631" s="13"/>
    </row>
    <row r="632" spans="3:6" ht="21" customHeight="1" x14ac:dyDescent="0.2">
      <c r="C632" s="53"/>
      <c r="D632" s="13"/>
      <c r="E632" s="53"/>
      <c r="F632" s="13"/>
    </row>
    <row r="633" spans="3:6" ht="21" customHeight="1" x14ac:dyDescent="0.2">
      <c r="C633" s="53"/>
      <c r="D633" s="13"/>
      <c r="E633" s="53"/>
      <c r="F633" s="13"/>
    </row>
    <row r="634" spans="3:6" ht="21" customHeight="1" x14ac:dyDescent="0.2">
      <c r="C634" s="53"/>
      <c r="D634" s="13"/>
      <c r="E634" s="53"/>
      <c r="F634" s="13"/>
    </row>
    <row r="635" spans="3:6" ht="21" customHeight="1" x14ac:dyDescent="0.2">
      <c r="C635" s="53"/>
      <c r="D635" s="13"/>
      <c r="E635" s="53"/>
      <c r="F635" s="13"/>
    </row>
    <row r="636" spans="3:6" ht="21" customHeight="1" x14ac:dyDescent="0.2">
      <c r="C636" s="53"/>
      <c r="D636" s="13"/>
      <c r="E636" s="53"/>
      <c r="F636" s="13"/>
    </row>
    <row r="637" spans="3:6" ht="21" customHeight="1" x14ac:dyDescent="0.2">
      <c r="C637" s="53"/>
      <c r="D637" s="13"/>
      <c r="E637" s="53"/>
      <c r="F637" s="13"/>
    </row>
    <row r="638" spans="3:6" ht="21" customHeight="1" x14ac:dyDescent="0.2">
      <c r="C638" s="53"/>
      <c r="D638" s="13"/>
      <c r="E638" s="53"/>
      <c r="F638" s="13"/>
    </row>
    <row r="639" spans="3:6" ht="21" customHeight="1" x14ac:dyDescent="0.2">
      <c r="C639" s="53"/>
      <c r="D639" s="13"/>
      <c r="E639" s="53"/>
      <c r="F639" s="13"/>
    </row>
    <row r="640" spans="3:6" ht="21" customHeight="1" x14ac:dyDescent="0.2">
      <c r="C640" s="53"/>
      <c r="D640" s="13"/>
      <c r="E640" s="53"/>
      <c r="F640" s="13"/>
    </row>
    <row r="641" spans="3:6" ht="21" customHeight="1" x14ac:dyDescent="0.2">
      <c r="C641" s="53"/>
      <c r="D641" s="13"/>
      <c r="E641" s="53"/>
      <c r="F641" s="13"/>
    </row>
    <row r="642" spans="3:6" ht="21" customHeight="1" x14ac:dyDescent="0.2">
      <c r="C642" s="53"/>
      <c r="D642" s="13"/>
      <c r="E642" s="53"/>
      <c r="F642" s="13"/>
    </row>
    <row r="643" spans="3:6" ht="21" customHeight="1" x14ac:dyDescent="0.2">
      <c r="C643" s="53"/>
      <c r="D643" s="13"/>
      <c r="E643" s="53"/>
      <c r="F643" s="13"/>
    </row>
    <row r="644" spans="3:6" ht="21" customHeight="1" x14ac:dyDescent="0.2">
      <c r="C644" s="53"/>
      <c r="D644" s="13"/>
      <c r="E644" s="53"/>
      <c r="F644" s="13"/>
    </row>
    <row r="645" spans="3:6" ht="21" customHeight="1" x14ac:dyDescent="0.2">
      <c r="C645" s="53"/>
      <c r="D645" s="13"/>
      <c r="E645" s="53"/>
      <c r="F645" s="13"/>
    </row>
    <row r="646" spans="3:6" ht="21" customHeight="1" x14ac:dyDescent="0.2">
      <c r="C646" s="53"/>
      <c r="D646" s="13"/>
      <c r="E646" s="53"/>
      <c r="F646" s="13"/>
    </row>
    <row r="647" spans="3:6" ht="21" customHeight="1" x14ac:dyDescent="0.2">
      <c r="C647" s="53"/>
      <c r="D647" s="13"/>
      <c r="E647" s="53"/>
      <c r="F647" s="13"/>
    </row>
    <row r="648" spans="3:6" ht="21" customHeight="1" x14ac:dyDescent="0.2">
      <c r="C648" s="53"/>
      <c r="D648" s="13"/>
      <c r="E648" s="53"/>
      <c r="F648" s="13"/>
    </row>
    <row r="649" spans="3:6" ht="21" customHeight="1" x14ac:dyDescent="0.2">
      <c r="C649" s="53"/>
      <c r="D649" s="13"/>
      <c r="E649" s="53"/>
      <c r="F649" s="13"/>
    </row>
    <row r="650" spans="3:6" ht="21" customHeight="1" x14ac:dyDescent="0.2">
      <c r="C650" s="53"/>
      <c r="D650" s="13"/>
      <c r="E650" s="53"/>
      <c r="F650" s="13"/>
    </row>
    <row r="651" spans="3:6" ht="21" customHeight="1" x14ac:dyDescent="0.2">
      <c r="C651" s="53"/>
      <c r="D651" s="13"/>
      <c r="E651" s="53"/>
      <c r="F651" s="13"/>
    </row>
    <row r="652" spans="3:6" ht="21" customHeight="1" x14ac:dyDescent="0.2">
      <c r="C652" s="53"/>
      <c r="D652" s="13"/>
      <c r="E652" s="53"/>
      <c r="F652" s="13"/>
    </row>
    <row r="653" spans="3:6" ht="21" customHeight="1" x14ac:dyDescent="0.2">
      <c r="C653" s="53"/>
      <c r="D653" s="13"/>
      <c r="E653" s="53"/>
      <c r="F653" s="13"/>
    </row>
    <row r="654" spans="3:6" ht="21" customHeight="1" x14ac:dyDescent="0.2">
      <c r="C654" s="53"/>
      <c r="D654" s="13"/>
      <c r="E654" s="53"/>
      <c r="F654" s="13"/>
    </row>
    <row r="655" spans="3:6" ht="21" customHeight="1" x14ac:dyDescent="0.2">
      <c r="C655" s="53"/>
      <c r="D655" s="13"/>
      <c r="E655" s="53"/>
      <c r="F655" s="13"/>
    </row>
    <row r="656" spans="3:6" ht="21" customHeight="1" x14ac:dyDescent="0.2">
      <c r="C656" s="53"/>
      <c r="D656" s="13"/>
      <c r="E656" s="53"/>
      <c r="F656" s="13"/>
    </row>
    <row r="657" spans="3:6" ht="21" customHeight="1" x14ac:dyDescent="0.2">
      <c r="C657" s="53"/>
      <c r="D657" s="13"/>
      <c r="E657" s="53"/>
      <c r="F657" s="13"/>
    </row>
    <row r="658" spans="3:6" ht="21" customHeight="1" x14ac:dyDescent="0.2">
      <c r="C658" s="53"/>
      <c r="D658" s="13"/>
      <c r="E658" s="53"/>
      <c r="F658" s="13"/>
    </row>
    <row r="659" spans="3:6" ht="21" customHeight="1" x14ac:dyDescent="0.2">
      <c r="C659" s="53"/>
      <c r="D659" s="13"/>
      <c r="E659" s="53"/>
      <c r="F659" s="13"/>
    </row>
    <row r="660" spans="3:6" ht="21" customHeight="1" x14ac:dyDescent="0.2">
      <c r="C660" s="53"/>
      <c r="D660" s="13"/>
      <c r="E660" s="53"/>
      <c r="F660" s="13"/>
    </row>
    <row r="661" spans="3:6" ht="21" customHeight="1" x14ac:dyDescent="0.2">
      <c r="C661" s="53"/>
      <c r="D661" s="13"/>
      <c r="E661" s="53"/>
      <c r="F661" s="13"/>
    </row>
    <row r="662" spans="3:6" ht="21" customHeight="1" x14ac:dyDescent="0.2">
      <c r="C662" s="53"/>
      <c r="D662" s="13"/>
      <c r="E662" s="53"/>
      <c r="F662" s="13"/>
    </row>
    <row r="663" spans="3:6" ht="21" customHeight="1" x14ac:dyDescent="0.2">
      <c r="C663" s="53"/>
      <c r="D663" s="13"/>
      <c r="E663" s="53"/>
      <c r="F663" s="13"/>
    </row>
    <row r="664" spans="3:6" ht="21" customHeight="1" x14ac:dyDescent="0.2">
      <c r="C664" s="53"/>
      <c r="D664" s="13"/>
      <c r="E664" s="53"/>
      <c r="F664" s="13"/>
    </row>
    <row r="665" spans="3:6" ht="21" customHeight="1" x14ac:dyDescent="0.2">
      <c r="C665" s="53"/>
      <c r="D665" s="13"/>
      <c r="E665" s="53"/>
      <c r="F665" s="13"/>
    </row>
    <row r="666" spans="3:6" ht="21" customHeight="1" x14ac:dyDescent="0.2">
      <c r="C666" s="53"/>
      <c r="D666" s="13"/>
      <c r="E666" s="53"/>
      <c r="F666" s="13"/>
    </row>
    <row r="667" spans="3:6" ht="21" customHeight="1" x14ac:dyDescent="0.2">
      <c r="C667" s="53"/>
      <c r="D667" s="13"/>
      <c r="E667" s="53"/>
      <c r="F667" s="13"/>
    </row>
    <row r="668" spans="3:6" ht="21" customHeight="1" x14ac:dyDescent="0.2">
      <c r="C668" s="53"/>
      <c r="D668" s="13"/>
      <c r="E668" s="53"/>
      <c r="F668" s="13"/>
    </row>
    <row r="669" spans="3:6" ht="21" customHeight="1" x14ac:dyDescent="0.2">
      <c r="C669" s="53"/>
      <c r="D669" s="13"/>
      <c r="E669" s="53"/>
      <c r="F669" s="13"/>
    </row>
    <row r="670" spans="3:6" ht="21" customHeight="1" x14ac:dyDescent="0.2">
      <c r="C670" s="53"/>
      <c r="D670" s="13"/>
      <c r="E670" s="53"/>
      <c r="F670" s="13"/>
    </row>
    <row r="671" spans="3:6" ht="21" customHeight="1" x14ac:dyDescent="0.2">
      <c r="C671" s="53"/>
      <c r="D671" s="13"/>
      <c r="E671" s="53"/>
      <c r="F671" s="13"/>
    </row>
    <row r="672" spans="3:6" ht="21" customHeight="1" x14ac:dyDescent="0.2">
      <c r="C672" s="53"/>
      <c r="D672" s="13"/>
      <c r="E672" s="53"/>
      <c r="F672" s="13"/>
    </row>
    <row r="673" spans="3:6" ht="21" customHeight="1" x14ac:dyDescent="0.2">
      <c r="C673" s="53"/>
      <c r="D673" s="13"/>
      <c r="E673" s="53"/>
      <c r="F673" s="13"/>
    </row>
    <row r="674" spans="3:6" ht="21" customHeight="1" x14ac:dyDescent="0.2">
      <c r="C674" s="53"/>
      <c r="D674" s="13"/>
      <c r="E674" s="53"/>
      <c r="F674" s="13"/>
    </row>
    <row r="675" spans="3:6" ht="21" customHeight="1" x14ac:dyDescent="0.2">
      <c r="C675" s="53"/>
      <c r="D675" s="13"/>
      <c r="E675" s="53"/>
      <c r="F675" s="13"/>
    </row>
    <row r="676" spans="3:6" ht="21" customHeight="1" x14ac:dyDescent="0.2">
      <c r="C676" s="53"/>
      <c r="D676" s="13"/>
      <c r="E676" s="53"/>
      <c r="F676" s="13"/>
    </row>
    <row r="677" spans="3:6" ht="21" customHeight="1" x14ac:dyDescent="0.2">
      <c r="C677" s="53"/>
      <c r="D677" s="13"/>
      <c r="E677" s="53"/>
      <c r="F677" s="13"/>
    </row>
    <row r="678" spans="3:6" ht="21" customHeight="1" x14ac:dyDescent="0.2">
      <c r="C678" s="53"/>
      <c r="D678" s="13"/>
      <c r="E678" s="53"/>
      <c r="F678" s="13"/>
    </row>
    <row r="679" spans="3:6" ht="21" customHeight="1" x14ac:dyDescent="0.2">
      <c r="C679" s="53"/>
      <c r="D679" s="13"/>
      <c r="E679" s="53"/>
      <c r="F679" s="13"/>
    </row>
    <row r="680" spans="3:6" ht="21" customHeight="1" x14ac:dyDescent="0.2">
      <c r="C680" s="53"/>
      <c r="D680" s="13"/>
      <c r="E680" s="53"/>
      <c r="F680" s="13"/>
    </row>
    <row r="681" spans="3:6" ht="21" customHeight="1" x14ac:dyDescent="0.2">
      <c r="C681" s="53"/>
      <c r="D681" s="13"/>
      <c r="E681" s="53"/>
      <c r="F681" s="13"/>
    </row>
    <row r="682" spans="3:6" ht="21" customHeight="1" x14ac:dyDescent="0.2">
      <c r="C682" s="53"/>
      <c r="D682" s="13"/>
      <c r="E682" s="53"/>
      <c r="F682" s="13"/>
    </row>
    <row r="683" spans="3:6" ht="21" customHeight="1" x14ac:dyDescent="0.2">
      <c r="C683" s="53"/>
      <c r="D683" s="13"/>
      <c r="E683" s="53"/>
      <c r="F683" s="13"/>
    </row>
    <row r="684" spans="3:6" ht="21" customHeight="1" x14ac:dyDescent="0.2">
      <c r="C684" s="53"/>
      <c r="D684" s="13"/>
      <c r="E684" s="53"/>
      <c r="F684" s="13"/>
    </row>
    <row r="685" spans="3:6" ht="21" customHeight="1" x14ac:dyDescent="0.2">
      <c r="C685" s="53"/>
      <c r="D685" s="13"/>
      <c r="E685" s="53"/>
      <c r="F685" s="13"/>
    </row>
    <row r="686" spans="3:6" ht="21" customHeight="1" x14ac:dyDescent="0.2">
      <c r="C686" s="53"/>
      <c r="D686" s="13"/>
      <c r="E686" s="53"/>
      <c r="F686" s="13"/>
    </row>
    <row r="687" spans="3:6" ht="21" customHeight="1" x14ac:dyDescent="0.2">
      <c r="C687" s="53"/>
      <c r="D687" s="13"/>
      <c r="E687" s="53"/>
      <c r="F687" s="13"/>
    </row>
    <row r="688" spans="3:6" ht="21" customHeight="1" x14ac:dyDescent="0.2">
      <c r="C688" s="53"/>
      <c r="D688" s="13"/>
      <c r="E688" s="53"/>
      <c r="F688" s="13"/>
    </row>
    <row r="689" spans="3:6" ht="21" customHeight="1" x14ac:dyDescent="0.2">
      <c r="C689" s="53"/>
      <c r="D689" s="13"/>
      <c r="E689" s="53"/>
      <c r="F689" s="13"/>
    </row>
    <row r="690" spans="3:6" ht="21" customHeight="1" x14ac:dyDescent="0.2">
      <c r="C690" s="53"/>
      <c r="D690" s="13"/>
      <c r="E690" s="53"/>
      <c r="F690" s="13"/>
    </row>
    <row r="691" spans="3:6" ht="21" customHeight="1" x14ac:dyDescent="0.2">
      <c r="C691" s="53"/>
      <c r="D691" s="13"/>
      <c r="E691" s="53"/>
      <c r="F691" s="13"/>
    </row>
    <row r="692" spans="3:6" ht="21" customHeight="1" x14ac:dyDescent="0.2">
      <c r="C692" s="53"/>
      <c r="D692" s="13"/>
      <c r="E692" s="53"/>
      <c r="F692" s="13"/>
    </row>
    <row r="693" spans="3:6" ht="21" customHeight="1" x14ac:dyDescent="0.2">
      <c r="C693" s="53"/>
      <c r="D693" s="13"/>
      <c r="E693" s="53"/>
      <c r="F693" s="13"/>
    </row>
    <row r="694" spans="3:6" ht="21" customHeight="1" x14ac:dyDescent="0.2">
      <c r="C694" s="53"/>
      <c r="D694" s="13"/>
      <c r="E694" s="53"/>
      <c r="F694" s="13"/>
    </row>
    <row r="695" spans="3:6" ht="21" customHeight="1" x14ac:dyDescent="0.2">
      <c r="C695" s="53"/>
      <c r="D695" s="13"/>
      <c r="E695" s="53"/>
      <c r="F695" s="13"/>
    </row>
    <row r="696" spans="3:6" ht="21" customHeight="1" x14ac:dyDescent="0.2">
      <c r="C696" s="53"/>
      <c r="D696" s="13"/>
      <c r="E696" s="53"/>
      <c r="F696" s="13"/>
    </row>
    <row r="697" spans="3:6" ht="21" customHeight="1" x14ac:dyDescent="0.2">
      <c r="C697" s="53"/>
      <c r="D697" s="13"/>
      <c r="E697" s="53"/>
      <c r="F697" s="13"/>
    </row>
    <row r="698" spans="3:6" ht="21" customHeight="1" x14ac:dyDescent="0.2">
      <c r="C698" s="53"/>
      <c r="D698" s="13"/>
      <c r="E698" s="53"/>
      <c r="F698" s="13"/>
    </row>
    <row r="699" spans="3:6" ht="21" customHeight="1" x14ac:dyDescent="0.2">
      <c r="C699" s="53"/>
      <c r="D699" s="13"/>
      <c r="E699" s="53"/>
      <c r="F699" s="13"/>
    </row>
    <row r="700" spans="3:6" ht="21" customHeight="1" x14ac:dyDescent="0.2">
      <c r="C700" s="53"/>
      <c r="D700" s="13"/>
      <c r="E700" s="53"/>
      <c r="F700" s="13"/>
    </row>
    <row r="701" spans="3:6" ht="21" customHeight="1" x14ac:dyDescent="0.2">
      <c r="C701" s="53"/>
      <c r="D701" s="13"/>
      <c r="E701" s="53"/>
      <c r="F701" s="13"/>
    </row>
    <row r="702" spans="3:6" ht="21" customHeight="1" x14ac:dyDescent="0.2">
      <c r="C702" s="53"/>
      <c r="D702" s="13"/>
      <c r="E702" s="53"/>
      <c r="F702" s="13"/>
    </row>
    <row r="703" spans="3:6" ht="21" customHeight="1" x14ac:dyDescent="0.2">
      <c r="C703" s="53"/>
      <c r="D703" s="13"/>
      <c r="E703" s="53"/>
      <c r="F703" s="13"/>
    </row>
    <row r="704" spans="3:6" ht="21" customHeight="1" x14ac:dyDescent="0.2">
      <c r="C704" s="53"/>
      <c r="D704" s="13"/>
      <c r="E704" s="53"/>
      <c r="F704" s="13"/>
    </row>
    <row r="705" spans="3:6" ht="21" customHeight="1" x14ac:dyDescent="0.2">
      <c r="C705" s="53"/>
      <c r="D705" s="13"/>
      <c r="E705" s="53"/>
      <c r="F705" s="13"/>
    </row>
    <row r="706" spans="3:6" ht="21" customHeight="1" x14ac:dyDescent="0.2">
      <c r="C706" s="53"/>
      <c r="D706" s="13"/>
      <c r="E706" s="53"/>
      <c r="F706" s="13"/>
    </row>
    <row r="707" spans="3:6" ht="21" customHeight="1" x14ac:dyDescent="0.2">
      <c r="C707" s="53"/>
      <c r="D707" s="13"/>
      <c r="E707" s="53"/>
      <c r="F707" s="13"/>
    </row>
    <row r="708" spans="3:6" ht="21" customHeight="1" x14ac:dyDescent="0.2">
      <c r="C708" s="53"/>
      <c r="D708" s="13"/>
      <c r="E708" s="53"/>
      <c r="F708" s="13"/>
    </row>
    <row r="709" spans="3:6" ht="21" customHeight="1" x14ac:dyDescent="0.2">
      <c r="C709" s="53"/>
      <c r="D709" s="13"/>
      <c r="E709" s="53"/>
      <c r="F709" s="13"/>
    </row>
    <row r="710" spans="3:6" ht="21" customHeight="1" x14ac:dyDescent="0.2">
      <c r="C710" s="53"/>
      <c r="D710" s="13"/>
      <c r="E710" s="53"/>
      <c r="F710" s="13"/>
    </row>
    <row r="711" spans="3:6" ht="21" customHeight="1" x14ac:dyDescent="0.2">
      <c r="C711" s="53"/>
      <c r="D711" s="13"/>
      <c r="E711" s="53"/>
      <c r="F711" s="13"/>
    </row>
    <row r="712" spans="3:6" ht="21" customHeight="1" x14ac:dyDescent="0.2">
      <c r="C712" s="53"/>
      <c r="D712" s="13"/>
      <c r="E712" s="53"/>
      <c r="F712" s="13"/>
    </row>
    <row r="713" spans="3:6" ht="21" customHeight="1" x14ac:dyDescent="0.2">
      <c r="C713" s="53"/>
      <c r="D713" s="13"/>
      <c r="E713" s="53"/>
      <c r="F713" s="13"/>
    </row>
    <row r="714" spans="3:6" ht="21" customHeight="1" x14ac:dyDescent="0.2">
      <c r="C714" s="53"/>
      <c r="D714" s="13"/>
      <c r="E714" s="53"/>
      <c r="F714" s="13"/>
    </row>
    <row r="715" spans="3:6" ht="21" customHeight="1" x14ac:dyDescent="0.2">
      <c r="C715" s="53"/>
      <c r="D715" s="13"/>
      <c r="E715" s="53"/>
      <c r="F715" s="13"/>
    </row>
    <row r="716" spans="3:6" ht="21" customHeight="1" x14ac:dyDescent="0.2">
      <c r="C716" s="53"/>
      <c r="D716" s="13"/>
      <c r="E716" s="53"/>
      <c r="F716" s="13"/>
    </row>
    <row r="717" spans="3:6" ht="21" customHeight="1" x14ac:dyDescent="0.2">
      <c r="C717" s="53"/>
      <c r="D717" s="13"/>
      <c r="E717" s="53"/>
      <c r="F717" s="13"/>
    </row>
    <row r="718" spans="3:6" ht="21" customHeight="1" x14ac:dyDescent="0.2">
      <c r="C718" s="53"/>
      <c r="D718" s="13"/>
      <c r="E718" s="53"/>
      <c r="F718" s="13"/>
    </row>
    <row r="719" spans="3:6" ht="21" customHeight="1" x14ac:dyDescent="0.2">
      <c r="C719" s="53"/>
      <c r="D719" s="13"/>
      <c r="E719" s="53"/>
      <c r="F719" s="13"/>
    </row>
    <row r="720" spans="3:6" ht="21" customHeight="1" x14ac:dyDescent="0.2">
      <c r="C720" s="53"/>
      <c r="D720" s="13"/>
      <c r="E720" s="53"/>
      <c r="F720" s="13"/>
    </row>
    <row r="721" spans="3:6" ht="21" customHeight="1" x14ac:dyDescent="0.2">
      <c r="C721" s="53"/>
      <c r="D721" s="13"/>
      <c r="E721" s="53"/>
      <c r="F721" s="13"/>
    </row>
    <row r="722" spans="3:6" ht="21" customHeight="1" x14ac:dyDescent="0.2">
      <c r="C722" s="53"/>
      <c r="D722" s="13"/>
      <c r="E722" s="53"/>
      <c r="F722" s="13"/>
    </row>
    <row r="723" spans="3:6" ht="21" customHeight="1" x14ac:dyDescent="0.2">
      <c r="C723" s="53"/>
      <c r="D723" s="13"/>
      <c r="E723" s="53"/>
      <c r="F723" s="13"/>
    </row>
    <row r="724" spans="3:6" ht="21" customHeight="1" x14ac:dyDescent="0.2">
      <c r="C724" s="53"/>
      <c r="D724" s="13"/>
      <c r="E724" s="53"/>
      <c r="F724" s="13"/>
    </row>
    <row r="725" spans="3:6" ht="21" customHeight="1" x14ac:dyDescent="0.2">
      <c r="C725" s="53"/>
      <c r="D725" s="13"/>
      <c r="E725" s="53"/>
      <c r="F725" s="13"/>
    </row>
    <row r="726" spans="3:6" ht="21" customHeight="1" x14ac:dyDescent="0.2">
      <c r="C726" s="53"/>
      <c r="D726" s="13"/>
      <c r="E726" s="53"/>
      <c r="F726" s="13"/>
    </row>
    <row r="727" spans="3:6" ht="21" customHeight="1" x14ac:dyDescent="0.2">
      <c r="C727" s="53"/>
      <c r="D727" s="13"/>
      <c r="E727" s="53"/>
      <c r="F727" s="13"/>
    </row>
    <row r="728" spans="3:6" ht="21" customHeight="1" x14ac:dyDescent="0.2">
      <c r="C728" s="53"/>
      <c r="D728" s="13"/>
      <c r="E728" s="53"/>
      <c r="F728" s="13"/>
    </row>
    <row r="729" spans="3:6" ht="21" customHeight="1" x14ac:dyDescent="0.2">
      <c r="C729" s="53"/>
      <c r="D729" s="13"/>
      <c r="E729" s="53"/>
      <c r="F729" s="13"/>
    </row>
    <row r="730" spans="3:6" ht="21" customHeight="1" x14ac:dyDescent="0.2">
      <c r="C730" s="53"/>
      <c r="D730" s="13"/>
      <c r="E730" s="53"/>
      <c r="F730" s="13"/>
    </row>
    <row r="731" spans="3:6" ht="21" customHeight="1" x14ac:dyDescent="0.2">
      <c r="C731" s="53"/>
      <c r="D731" s="13"/>
      <c r="E731" s="53"/>
      <c r="F731" s="13"/>
    </row>
    <row r="732" spans="3:6" ht="21" customHeight="1" x14ac:dyDescent="0.2">
      <c r="C732" s="53"/>
      <c r="D732" s="13"/>
      <c r="E732" s="53"/>
      <c r="F732" s="13"/>
    </row>
    <row r="733" spans="3:6" ht="21" customHeight="1" x14ac:dyDescent="0.2">
      <c r="C733" s="53"/>
      <c r="D733" s="13"/>
      <c r="E733" s="53"/>
      <c r="F733" s="13"/>
    </row>
    <row r="734" spans="3:6" ht="21" customHeight="1" x14ac:dyDescent="0.2">
      <c r="C734" s="53"/>
      <c r="D734" s="13"/>
      <c r="E734" s="53"/>
      <c r="F734" s="13"/>
    </row>
    <row r="735" spans="3:6" ht="21" customHeight="1" x14ac:dyDescent="0.2">
      <c r="C735" s="53"/>
      <c r="D735" s="13"/>
      <c r="E735" s="53"/>
      <c r="F735" s="13"/>
    </row>
    <row r="736" spans="3:6" ht="21" customHeight="1" x14ac:dyDescent="0.2">
      <c r="C736" s="53"/>
      <c r="D736" s="13"/>
      <c r="E736" s="53"/>
      <c r="F736" s="13"/>
    </row>
    <row r="737" spans="3:6" ht="21" customHeight="1" x14ac:dyDescent="0.2">
      <c r="C737" s="53"/>
      <c r="D737" s="13"/>
      <c r="E737" s="53"/>
      <c r="F737" s="13"/>
    </row>
    <row r="738" spans="3:6" ht="21" customHeight="1" x14ac:dyDescent="0.2">
      <c r="C738" s="53"/>
      <c r="D738" s="13"/>
      <c r="E738" s="53"/>
      <c r="F738" s="13"/>
    </row>
    <row r="739" spans="3:6" ht="21" customHeight="1" x14ac:dyDescent="0.2">
      <c r="C739" s="53"/>
      <c r="D739" s="13"/>
      <c r="E739" s="53"/>
      <c r="F739" s="13"/>
    </row>
    <row r="740" spans="3:6" ht="21" customHeight="1" x14ac:dyDescent="0.2">
      <c r="C740" s="53"/>
      <c r="D740" s="13"/>
      <c r="E740" s="53"/>
      <c r="F740" s="13"/>
    </row>
    <row r="741" spans="3:6" ht="21" customHeight="1" x14ac:dyDescent="0.2">
      <c r="C741" s="53"/>
      <c r="D741" s="13"/>
      <c r="E741" s="53"/>
      <c r="F741" s="13"/>
    </row>
    <row r="742" spans="3:6" ht="21" customHeight="1" x14ac:dyDescent="0.2">
      <c r="C742" s="53"/>
      <c r="D742" s="13"/>
      <c r="E742" s="53"/>
      <c r="F742" s="13"/>
    </row>
    <row r="743" spans="3:6" ht="21" customHeight="1" x14ac:dyDescent="0.2">
      <c r="C743" s="53"/>
      <c r="D743" s="13"/>
      <c r="E743" s="53"/>
      <c r="F743" s="13"/>
    </row>
    <row r="744" spans="3:6" ht="21" customHeight="1" x14ac:dyDescent="0.2">
      <c r="C744" s="53"/>
      <c r="D744" s="13"/>
      <c r="E744" s="53"/>
      <c r="F744" s="13"/>
    </row>
    <row r="745" spans="3:6" ht="21" customHeight="1" x14ac:dyDescent="0.2">
      <c r="C745" s="53"/>
      <c r="D745" s="13"/>
      <c r="E745" s="53"/>
      <c r="F745" s="13"/>
    </row>
    <row r="746" spans="3:6" ht="21" customHeight="1" x14ac:dyDescent="0.2">
      <c r="C746" s="53"/>
      <c r="D746" s="13"/>
      <c r="E746" s="53"/>
      <c r="F746" s="13"/>
    </row>
    <row r="747" spans="3:6" ht="21" customHeight="1" x14ac:dyDescent="0.2">
      <c r="C747" s="53"/>
      <c r="D747" s="13"/>
      <c r="E747" s="53"/>
      <c r="F747" s="13"/>
    </row>
    <row r="748" spans="3:6" ht="21" customHeight="1" x14ac:dyDescent="0.2">
      <c r="C748" s="53"/>
      <c r="D748" s="13"/>
      <c r="E748" s="53"/>
      <c r="F748" s="13"/>
    </row>
    <row r="749" spans="3:6" ht="21" customHeight="1" x14ac:dyDescent="0.2">
      <c r="C749" s="53"/>
      <c r="D749" s="13"/>
      <c r="E749" s="53"/>
      <c r="F749" s="13"/>
    </row>
    <row r="750" spans="3:6" ht="21" customHeight="1" x14ac:dyDescent="0.2">
      <c r="C750" s="53"/>
      <c r="D750" s="13"/>
      <c r="E750" s="53"/>
      <c r="F750" s="13"/>
    </row>
    <row r="751" spans="3:6" ht="21" customHeight="1" x14ac:dyDescent="0.2">
      <c r="C751" s="53"/>
      <c r="D751" s="13"/>
      <c r="E751" s="53"/>
      <c r="F751" s="13"/>
    </row>
    <row r="752" spans="3:6" ht="21" customHeight="1" x14ac:dyDescent="0.2">
      <c r="C752" s="53"/>
      <c r="D752" s="13"/>
      <c r="E752" s="53"/>
      <c r="F752" s="13"/>
    </row>
    <row r="753" spans="3:6" ht="21" customHeight="1" x14ac:dyDescent="0.2">
      <c r="C753" s="53"/>
      <c r="D753" s="13"/>
      <c r="E753" s="53"/>
      <c r="F753" s="13"/>
    </row>
    <row r="754" spans="3:6" ht="21" customHeight="1" x14ac:dyDescent="0.2">
      <c r="C754" s="53"/>
      <c r="D754" s="13"/>
      <c r="E754" s="53"/>
      <c r="F754" s="13"/>
    </row>
    <row r="755" spans="3:6" ht="21" customHeight="1" x14ac:dyDescent="0.2">
      <c r="C755" s="53"/>
      <c r="D755" s="13"/>
      <c r="E755" s="53"/>
      <c r="F755" s="13"/>
    </row>
    <row r="756" spans="3:6" ht="21" customHeight="1" x14ac:dyDescent="0.2">
      <c r="C756" s="53"/>
      <c r="D756" s="13"/>
      <c r="E756" s="53"/>
      <c r="F756" s="13"/>
    </row>
    <row r="757" spans="3:6" ht="21" customHeight="1" x14ac:dyDescent="0.2">
      <c r="C757" s="53"/>
      <c r="D757" s="13"/>
      <c r="E757" s="53"/>
      <c r="F757" s="13"/>
    </row>
    <row r="758" spans="3:6" ht="21" customHeight="1" x14ac:dyDescent="0.2">
      <c r="C758" s="53"/>
      <c r="D758" s="13"/>
      <c r="E758" s="53"/>
      <c r="F758" s="13"/>
    </row>
    <row r="759" spans="3:6" ht="21" customHeight="1" x14ac:dyDescent="0.2">
      <c r="C759" s="53"/>
      <c r="D759" s="13"/>
      <c r="E759" s="53"/>
      <c r="F759" s="13"/>
    </row>
    <row r="760" spans="3:6" ht="21" customHeight="1" x14ac:dyDescent="0.2">
      <c r="C760" s="53"/>
      <c r="D760" s="13"/>
      <c r="E760" s="53"/>
      <c r="F760" s="13"/>
    </row>
    <row r="761" spans="3:6" ht="21" customHeight="1" x14ac:dyDescent="0.2">
      <c r="C761" s="53"/>
      <c r="D761" s="13"/>
      <c r="E761" s="53"/>
      <c r="F761" s="13"/>
    </row>
    <row r="762" spans="3:6" ht="21" customHeight="1" x14ac:dyDescent="0.2">
      <c r="C762" s="53"/>
      <c r="D762" s="13"/>
      <c r="E762" s="53"/>
      <c r="F762" s="13"/>
    </row>
    <row r="763" spans="3:6" ht="21" customHeight="1" x14ac:dyDescent="0.2">
      <c r="C763" s="53"/>
      <c r="D763" s="13"/>
      <c r="E763" s="53"/>
      <c r="F763" s="13"/>
    </row>
    <row r="764" spans="3:6" ht="21" customHeight="1" x14ac:dyDescent="0.2">
      <c r="C764" s="53"/>
      <c r="D764" s="13"/>
      <c r="E764" s="53"/>
      <c r="F764" s="13"/>
    </row>
    <row r="765" spans="3:6" ht="21" customHeight="1" x14ac:dyDescent="0.2">
      <c r="C765" s="53"/>
      <c r="D765" s="13"/>
      <c r="E765" s="53"/>
      <c r="F765" s="13"/>
    </row>
    <row r="766" spans="3:6" ht="21" customHeight="1" x14ac:dyDescent="0.2">
      <c r="C766" s="53"/>
      <c r="D766" s="13"/>
      <c r="E766" s="53"/>
      <c r="F766" s="13"/>
    </row>
    <row r="767" spans="3:6" ht="21" customHeight="1" x14ac:dyDescent="0.2">
      <c r="C767" s="53"/>
      <c r="D767" s="13"/>
      <c r="E767" s="53"/>
      <c r="F767" s="13"/>
    </row>
    <row r="768" spans="3:6" ht="21" customHeight="1" x14ac:dyDescent="0.2">
      <c r="C768" s="53"/>
      <c r="D768" s="13"/>
      <c r="E768" s="53"/>
      <c r="F768" s="13"/>
    </row>
    <row r="769" spans="3:6" ht="21" customHeight="1" x14ac:dyDescent="0.2">
      <c r="C769" s="53"/>
      <c r="D769" s="13"/>
      <c r="E769" s="53"/>
      <c r="F769" s="13"/>
    </row>
    <row r="770" spans="3:6" ht="21" customHeight="1" x14ac:dyDescent="0.2">
      <c r="C770" s="53"/>
      <c r="D770" s="13"/>
      <c r="E770" s="53"/>
      <c r="F770" s="13"/>
    </row>
    <row r="771" spans="3:6" ht="21" customHeight="1" x14ac:dyDescent="0.2">
      <c r="C771" s="53"/>
      <c r="D771" s="13"/>
      <c r="E771" s="53"/>
      <c r="F771" s="13"/>
    </row>
    <row r="772" spans="3:6" ht="21" customHeight="1" x14ac:dyDescent="0.2">
      <c r="C772" s="53"/>
      <c r="D772" s="13"/>
      <c r="E772" s="53"/>
      <c r="F772" s="13"/>
    </row>
    <row r="773" spans="3:6" ht="21" customHeight="1" x14ac:dyDescent="0.2">
      <c r="C773" s="53"/>
      <c r="D773" s="13"/>
      <c r="E773" s="53"/>
      <c r="F773" s="13"/>
    </row>
    <row r="774" spans="3:6" ht="21" customHeight="1" x14ac:dyDescent="0.2">
      <c r="C774" s="53"/>
      <c r="D774" s="13"/>
      <c r="E774" s="53"/>
      <c r="F774" s="13"/>
    </row>
    <row r="775" spans="3:6" ht="21" customHeight="1" x14ac:dyDescent="0.2">
      <c r="C775" s="53"/>
      <c r="D775" s="13"/>
      <c r="E775" s="53"/>
      <c r="F775" s="13"/>
    </row>
    <row r="776" spans="3:6" ht="21" customHeight="1" x14ac:dyDescent="0.2">
      <c r="C776" s="53"/>
      <c r="D776" s="13"/>
      <c r="E776" s="53"/>
      <c r="F776" s="13"/>
    </row>
    <row r="777" spans="3:6" ht="21" customHeight="1" x14ac:dyDescent="0.2">
      <c r="C777" s="53"/>
      <c r="D777" s="13"/>
      <c r="E777" s="53"/>
      <c r="F777" s="13"/>
    </row>
    <row r="778" spans="3:6" ht="21" customHeight="1" x14ac:dyDescent="0.2">
      <c r="C778" s="53"/>
      <c r="D778" s="13"/>
      <c r="E778" s="53"/>
      <c r="F778" s="13"/>
    </row>
    <row r="779" spans="3:6" ht="21" customHeight="1" x14ac:dyDescent="0.2">
      <c r="C779" s="53"/>
      <c r="D779" s="13"/>
      <c r="E779" s="53"/>
      <c r="F779" s="13"/>
    </row>
    <row r="780" spans="3:6" ht="21" customHeight="1" x14ac:dyDescent="0.2">
      <c r="C780" s="53"/>
      <c r="D780" s="13"/>
      <c r="E780" s="53"/>
      <c r="F780" s="13"/>
    </row>
    <row r="781" spans="3:6" ht="21" customHeight="1" x14ac:dyDescent="0.2">
      <c r="C781" s="53"/>
      <c r="D781" s="13"/>
      <c r="E781" s="53"/>
      <c r="F781" s="13"/>
    </row>
    <row r="782" spans="3:6" ht="21" customHeight="1" x14ac:dyDescent="0.2">
      <c r="C782" s="53"/>
      <c r="D782" s="13"/>
      <c r="E782" s="53"/>
      <c r="F782" s="13"/>
    </row>
    <row r="783" spans="3:6" ht="21" customHeight="1" x14ac:dyDescent="0.2">
      <c r="C783" s="53"/>
      <c r="D783" s="13"/>
      <c r="E783" s="53"/>
      <c r="F783" s="13"/>
    </row>
    <row r="784" spans="3:6" ht="21" customHeight="1" x14ac:dyDescent="0.2">
      <c r="C784" s="53"/>
      <c r="D784" s="13"/>
      <c r="E784" s="53"/>
      <c r="F784" s="13"/>
    </row>
    <row r="785" spans="3:6" ht="21" customHeight="1" x14ac:dyDescent="0.2">
      <c r="C785" s="53"/>
      <c r="D785" s="13"/>
      <c r="E785" s="53"/>
      <c r="F785" s="13"/>
    </row>
    <row r="786" spans="3:6" ht="21" customHeight="1" x14ac:dyDescent="0.2">
      <c r="C786" s="53"/>
      <c r="D786" s="13"/>
      <c r="E786" s="53"/>
      <c r="F786" s="13"/>
    </row>
    <row r="787" spans="3:6" ht="21" customHeight="1" x14ac:dyDescent="0.2">
      <c r="C787" s="53"/>
      <c r="D787" s="13"/>
      <c r="E787" s="53"/>
      <c r="F787" s="13"/>
    </row>
    <row r="788" spans="3:6" ht="21" customHeight="1" x14ac:dyDescent="0.2">
      <c r="C788" s="53"/>
      <c r="D788" s="13"/>
      <c r="E788" s="53"/>
      <c r="F788" s="13"/>
    </row>
    <row r="789" spans="3:6" ht="21" customHeight="1" x14ac:dyDescent="0.2">
      <c r="C789" s="53"/>
      <c r="D789" s="13"/>
      <c r="E789" s="53"/>
      <c r="F789" s="13"/>
    </row>
    <row r="790" spans="3:6" ht="21" customHeight="1" x14ac:dyDescent="0.2">
      <c r="C790" s="53"/>
      <c r="D790" s="13"/>
      <c r="E790" s="53"/>
      <c r="F790" s="13"/>
    </row>
    <row r="791" spans="3:6" ht="21" customHeight="1" x14ac:dyDescent="0.2">
      <c r="C791" s="53"/>
      <c r="D791" s="13"/>
      <c r="E791" s="53"/>
      <c r="F791" s="13"/>
    </row>
    <row r="792" spans="3:6" ht="21" customHeight="1" x14ac:dyDescent="0.2">
      <c r="C792" s="53"/>
      <c r="D792" s="13"/>
      <c r="E792" s="53"/>
      <c r="F792" s="13"/>
    </row>
    <row r="793" spans="3:6" ht="21" customHeight="1" x14ac:dyDescent="0.2">
      <c r="C793" s="53"/>
      <c r="D793" s="13"/>
      <c r="E793" s="53"/>
      <c r="F793" s="13"/>
    </row>
    <row r="794" spans="3:6" ht="21" customHeight="1" x14ac:dyDescent="0.2">
      <c r="C794" s="53"/>
      <c r="D794" s="13"/>
      <c r="E794" s="53"/>
      <c r="F794" s="13"/>
    </row>
    <row r="795" spans="3:6" ht="21" customHeight="1" x14ac:dyDescent="0.2">
      <c r="C795" s="53"/>
      <c r="D795" s="13"/>
      <c r="E795" s="53"/>
      <c r="F795" s="13"/>
    </row>
    <row r="796" spans="3:6" ht="21" customHeight="1" x14ac:dyDescent="0.2">
      <c r="C796" s="53"/>
      <c r="D796" s="13"/>
      <c r="E796" s="53"/>
      <c r="F796" s="13"/>
    </row>
    <row r="797" spans="3:6" ht="21" customHeight="1" x14ac:dyDescent="0.2">
      <c r="C797" s="53"/>
      <c r="D797" s="13"/>
      <c r="E797" s="53"/>
      <c r="F797" s="13"/>
    </row>
    <row r="798" spans="3:6" ht="21" customHeight="1" x14ac:dyDescent="0.2">
      <c r="C798" s="53"/>
      <c r="D798" s="13"/>
      <c r="E798" s="53"/>
      <c r="F798" s="13"/>
    </row>
    <row r="799" spans="3:6" ht="21" customHeight="1" x14ac:dyDescent="0.2">
      <c r="C799" s="53"/>
      <c r="D799" s="13"/>
      <c r="E799" s="53"/>
      <c r="F799" s="13"/>
    </row>
    <row r="800" spans="3:6" ht="21" customHeight="1" x14ac:dyDescent="0.2">
      <c r="C800" s="53"/>
      <c r="D800" s="13"/>
      <c r="E800" s="53"/>
      <c r="F800" s="13"/>
    </row>
    <row r="801" spans="3:6" ht="21" customHeight="1" x14ac:dyDescent="0.2">
      <c r="C801" s="53"/>
      <c r="D801" s="13"/>
      <c r="E801" s="53"/>
      <c r="F801" s="13"/>
    </row>
    <row r="802" spans="3:6" ht="21" customHeight="1" x14ac:dyDescent="0.2">
      <c r="C802" s="53"/>
      <c r="D802" s="13"/>
      <c r="E802" s="53"/>
      <c r="F802" s="13"/>
    </row>
    <row r="803" spans="3:6" ht="21" customHeight="1" x14ac:dyDescent="0.2">
      <c r="C803" s="53"/>
      <c r="D803" s="13"/>
      <c r="E803" s="53"/>
      <c r="F803" s="13"/>
    </row>
    <row r="804" spans="3:6" ht="21" customHeight="1" x14ac:dyDescent="0.2">
      <c r="C804" s="53"/>
      <c r="D804" s="13"/>
      <c r="E804" s="53"/>
      <c r="F804" s="13"/>
    </row>
    <row r="805" spans="3:6" ht="21" customHeight="1" x14ac:dyDescent="0.2">
      <c r="C805" s="53"/>
      <c r="D805" s="13"/>
      <c r="E805" s="53"/>
      <c r="F805" s="13"/>
    </row>
    <row r="806" spans="3:6" ht="21" customHeight="1" x14ac:dyDescent="0.2">
      <c r="C806" s="53"/>
      <c r="D806" s="13"/>
      <c r="E806" s="53"/>
      <c r="F806" s="13"/>
    </row>
    <row r="807" spans="3:6" ht="21" customHeight="1" x14ac:dyDescent="0.2">
      <c r="C807" s="53"/>
      <c r="D807" s="13"/>
      <c r="E807" s="53"/>
      <c r="F807" s="13"/>
    </row>
    <row r="808" spans="3:6" ht="21" customHeight="1" x14ac:dyDescent="0.2">
      <c r="C808" s="53"/>
      <c r="D808" s="13"/>
      <c r="E808" s="53"/>
      <c r="F808" s="13"/>
    </row>
    <row r="809" spans="3:6" ht="21" customHeight="1" x14ac:dyDescent="0.2">
      <c r="C809" s="53"/>
      <c r="D809" s="13"/>
      <c r="E809" s="53"/>
      <c r="F809" s="13"/>
    </row>
    <row r="810" spans="3:6" ht="21" customHeight="1" x14ac:dyDescent="0.2">
      <c r="C810" s="53"/>
      <c r="D810" s="13"/>
      <c r="E810" s="53"/>
      <c r="F810" s="13"/>
    </row>
    <row r="811" spans="3:6" ht="21" customHeight="1" x14ac:dyDescent="0.2">
      <c r="C811" s="53"/>
      <c r="D811" s="13"/>
      <c r="E811" s="53"/>
      <c r="F811" s="13"/>
    </row>
    <row r="812" spans="3:6" ht="21" customHeight="1" x14ac:dyDescent="0.2">
      <c r="C812" s="53"/>
      <c r="D812" s="13"/>
      <c r="E812" s="53"/>
      <c r="F812" s="13"/>
    </row>
    <row r="813" spans="3:6" ht="21" customHeight="1" x14ac:dyDescent="0.2">
      <c r="C813" s="53"/>
      <c r="D813" s="13"/>
      <c r="E813" s="53"/>
      <c r="F813" s="13"/>
    </row>
    <row r="814" spans="3:6" ht="21" customHeight="1" x14ac:dyDescent="0.2">
      <c r="C814" s="53"/>
      <c r="D814" s="13"/>
      <c r="E814" s="53"/>
      <c r="F814" s="13"/>
    </row>
    <row r="815" spans="3:6" ht="21" customHeight="1" x14ac:dyDescent="0.2">
      <c r="C815" s="53"/>
      <c r="D815" s="13"/>
      <c r="E815" s="53"/>
      <c r="F815" s="13"/>
    </row>
    <row r="816" spans="3:6" ht="21" customHeight="1" x14ac:dyDescent="0.2">
      <c r="C816" s="53"/>
      <c r="D816" s="13"/>
      <c r="E816" s="53"/>
      <c r="F816" s="13"/>
    </row>
    <row r="817" spans="3:6" ht="21" customHeight="1" x14ac:dyDescent="0.2">
      <c r="C817" s="53"/>
      <c r="D817" s="13"/>
      <c r="E817" s="53"/>
      <c r="F817" s="13"/>
    </row>
    <row r="818" spans="3:6" ht="21" customHeight="1" x14ac:dyDescent="0.2">
      <c r="C818" s="53"/>
      <c r="D818" s="13"/>
      <c r="E818" s="53"/>
      <c r="F818" s="13"/>
    </row>
    <row r="819" spans="3:6" ht="21" customHeight="1" x14ac:dyDescent="0.2">
      <c r="C819" s="53"/>
      <c r="D819" s="13"/>
      <c r="E819" s="53"/>
      <c r="F819" s="13"/>
    </row>
    <row r="820" spans="3:6" ht="21" customHeight="1" x14ac:dyDescent="0.2">
      <c r="C820" s="53"/>
      <c r="D820" s="13"/>
      <c r="E820" s="53"/>
      <c r="F820" s="13"/>
    </row>
    <row r="821" spans="3:6" ht="21" customHeight="1" x14ac:dyDescent="0.2">
      <c r="C821" s="53"/>
      <c r="D821" s="13"/>
      <c r="E821" s="53"/>
      <c r="F821" s="13"/>
    </row>
    <row r="822" spans="3:6" ht="21" customHeight="1" x14ac:dyDescent="0.2">
      <c r="C822" s="53"/>
      <c r="D822" s="13"/>
      <c r="E822" s="53"/>
      <c r="F822" s="13"/>
    </row>
    <row r="823" spans="3:6" ht="21" customHeight="1" x14ac:dyDescent="0.2">
      <c r="C823" s="53"/>
      <c r="D823" s="13"/>
      <c r="E823" s="53"/>
      <c r="F823" s="13"/>
    </row>
    <row r="824" spans="3:6" ht="21" customHeight="1" x14ac:dyDescent="0.2">
      <c r="C824" s="53"/>
      <c r="D824" s="13"/>
      <c r="E824" s="53"/>
      <c r="F824" s="13"/>
    </row>
    <row r="825" spans="3:6" ht="21" customHeight="1" x14ac:dyDescent="0.2">
      <c r="C825" s="53"/>
      <c r="D825" s="13"/>
      <c r="E825" s="53"/>
      <c r="F825" s="13"/>
    </row>
    <row r="826" spans="3:6" ht="21" customHeight="1" x14ac:dyDescent="0.2">
      <c r="C826" s="53"/>
      <c r="D826" s="13"/>
      <c r="E826" s="53"/>
      <c r="F826" s="13"/>
    </row>
    <row r="827" spans="3:6" ht="21" customHeight="1" x14ac:dyDescent="0.2">
      <c r="C827" s="53"/>
      <c r="D827" s="13"/>
      <c r="E827" s="53"/>
      <c r="F827" s="13"/>
    </row>
    <row r="828" spans="3:6" ht="21" customHeight="1" x14ac:dyDescent="0.2">
      <c r="C828" s="53"/>
      <c r="D828" s="13"/>
      <c r="E828" s="53"/>
      <c r="F828" s="13"/>
    </row>
    <row r="829" spans="3:6" ht="21" customHeight="1" x14ac:dyDescent="0.2">
      <c r="C829" s="53"/>
      <c r="D829" s="13"/>
      <c r="E829" s="53"/>
      <c r="F829" s="13"/>
    </row>
    <row r="830" spans="3:6" ht="21" customHeight="1" x14ac:dyDescent="0.2">
      <c r="C830" s="53"/>
      <c r="D830" s="13"/>
      <c r="E830" s="53"/>
      <c r="F830" s="13"/>
    </row>
    <row r="831" spans="3:6" ht="21" customHeight="1" x14ac:dyDescent="0.2">
      <c r="C831" s="53"/>
      <c r="D831" s="13"/>
      <c r="E831" s="53"/>
      <c r="F831" s="13"/>
    </row>
    <row r="832" spans="3:6" ht="21" customHeight="1" x14ac:dyDescent="0.2">
      <c r="C832" s="53"/>
      <c r="D832" s="13"/>
      <c r="E832" s="53"/>
      <c r="F832" s="13"/>
    </row>
    <row r="833" spans="3:6" ht="21" customHeight="1" x14ac:dyDescent="0.2">
      <c r="C833" s="53"/>
      <c r="D833" s="13"/>
      <c r="E833" s="53"/>
      <c r="F833" s="13"/>
    </row>
    <row r="834" spans="3:6" ht="21" customHeight="1" x14ac:dyDescent="0.2">
      <c r="C834" s="53"/>
      <c r="D834" s="13"/>
      <c r="E834" s="53"/>
      <c r="F834" s="13"/>
    </row>
    <row r="835" spans="3:6" ht="21" customHeight="1" x14ac:dyDescent="0.2">
      <c r="C835" s="53"/>
      <c r="D835" s="13"/>
      <c r="E835" s="53"/>
      <c r="F835" s="13"/>
    </row>
    <row r="836" spans="3:6" ht="21" customHeight="1" x14ac:dyDescent="0.2">
      <c r="C836" s="53"/>
      <c r="D836" s="13"/>
      <c r="E836" s="53"/>
      <c r="F836" s="13"/>
    </row>
    <row r="837" spans="3:6" ht="21" customHeight="1" x14ac:dyDescent="0.2">
      <c r="C837" s="53"/>
      <c r="D837" s="13"/>
      <c r="E837" s="53"/>
      <c r="F837" s="13"/>
    </row>
    <row r="838" spans="3:6" ht="21" customHeight="1" x14ac:dyDescent="0.2">
      <c r="C838" s="53"/>
      <c r="D838" s="13"/>
      <c r="E838" s="53"/>
      <c r="F838" s="13"/>
    </row>
    <row r="839" spans="3:6" ht="21" customHeight="1" x14ac:dyDescent="0.2">
      <c r="C839" s="53"/>
      <c r="D839" s="13"/>
      <c r="E839" s="53"/>
      <c r="F839" s="13"/>
    </row>
    <row r="840" spans="3:6" ht="21" customHeight="1" x14ac:dyDescent="0.2">
      <c r="C840" s="53"/>
      <c r="D840" s="13"/>
      <c r="E840" s="53"/>
      <c r="F840" s="13"/>
    </row>
    <row r="841" spans="3:6" ht="21" customHeight="1" x14ac:dyDescent="0.2">
      <c r="C841" s="53"/>
      <c r="D841" s="13"/>
      <c r="E841" s="53"/>
      <c r="F841" s="13"/>
    </row>
    <row r="842" spans="3:6" ht="21" customHeight="1" x14ac:dyDescent="0.2">
      <c r="C842" s="53"/>
      <c r="D842" s="13"/>
      <c r="E842" s="53"/>
      <c r="F842" s="13"/>
    </row>
    <row r="843" spans="3:6" ht="21" customHeight="1" x14ac:dyDescent="0.2">
      <c r="C843" s="53"/>
      <c r="D843" s="13"/>
      <c r="E843" s="53"/>
      <c r="F843" s="13"/>
    </row>
    <row r="844" spans="3:6" ht="21" customHeight="1" x14ac:dyDescent="0.2">
      <c r="C844" s="53"/>
      <c r="D844" s="13"/>
      <c r="E844" s="53"/>
      <c r="F844" s="13"/>
    </row>
    <row r="845" spans="3:6" ht="21" customHeight="1" x14ac:dyDescent="0.2">
      <c r="C845" s="53"/>
      <c r="D845" s="13"/>
      <c r="E845" s="53"/>
      <c r="F845" s="13"/>
    </row>
    <row r="846" spans="3:6" ht="21" customHeight="1" x14ac:dyDescent="0.2">
      <c r="C846" s="53"/>
      <c r="D846" s="13"/>
      <c r="E846" s="53"/>
      <c r="F846" s="13"/>
    </row>
    <row r="847" spans="3:6" ht="21" customHeight="1" x14ac:dyDescent="0.2">
      <c r="C847" s="53"/>
      <c r="D847" s="13"/>
      <c r="E847" s="53"/>
      <c r="F847" s="13"/>
    </row>
    <row r="848" spans="3:6" ht="21" customHeight="1" x14ac:dyDescent="0.2">
      <c r="C848" s="53"/>
      <c r="D848" s="13"/>
      <c r="E848" s="53"/>
      <c r="F848" s="13"/>
    </row>
    <row r="849" spans="3:6" ht="21" customHeight="1" x14ac:dyDescent="0.2">
      <c r="C849" s="53"/>
      <c r="D849" s="13"/>
      <c r="E849" s="53"/>
      <c r="F849" s="13"/>
    </row>
    <row r="850" spans="3:6" ht="21" customHeight="1" x14ac:dyDescent="0.2">
      <c r="C850" s="53"/>
      <c r="D850" s="13"/>
      <c r="E850" s="53"/>
      <c r="F850" s="13"/>
    </row>
    <row r="851" spans="3:6" ht="21" customHeight="1" x14ac:dyDescent="0.2">
      <c r="C851" s="53"/>
      <c r="D851" s="13"/>
      <c r="E851" s="53"/>
      <c r="F851" s="13"/>
    </row>
    <row r="852" spans="3:6" ht="21" customHeight="1" x14ac:dyDescent="0.2">
      <c r="C852" s="53"/>
      <c r="D852" s="13"/>
      <c r="E852" s="53"/>
      <c r="F852" s="13"/>
    </row>
    <row r="853" spans="3:6" ht="21" customHeight="1" x14ac:dyDescent="0.2">
      <c r="C853" s="53"/>
      <c r="D853" s="13"/>
      <c r="E853" s="53"/>
      <c r="F853" s="13"/>
    </row>
    <row r="854" spans="3:6" ht="21" customHeight="1" x14ac:dyDescent="0.2">
      <c r="C854" s="53"/>
      <c r="D854" s="13"/>
      <c r="E854" s="53"/>
      <c r="F854" s="13"/>
    </row>
    <row r="855" spans="3:6" ht="21" customHeight="1" x14ac:dyDescent="0.2">
      <c r="C855" s="53"/>
      <c r="D855" s="13"/>
      <c r="E855" s="53"/>
      <c r="F855" s="13"/>
    </row>
    <row r="856" spans="3:6" ht="21" customHeight="1" x14ac:dyDescent="0.2">
      <c r="C856" s="53"/>
      <c r="D856" s="13"/>
      <c r="E856" s="53"/>
      <c r="F856" s="13"/>
    </row>
    <row r="857" spans="3:6" ht="21" customHeight="1" x14ac:dyDescent="0.2">
      <c r="C857" s="53"/>
      <c r="D857" s="13"/>
      <c r="E857" s="53"/>
      <c r="F857" s="13"/>
    </row>
    <row r="858" spans="3:6" ht="21" customHeight="1" x14ac:dyDescent="0.2">
      <c r="C858" s="53"/>
      <c r="D858" s="13"/>
      <c r="E858" s="53"/>
      <c r="F858" s="13"/>
    </row>
    <row r="859" spans="3:6" ht="21" customHeight="1" x14ac:dyDescent="0.2">
      <c r="C859" s="53"/>
      <c r="D859" s="13"/>
      <c r="E859" s="53"/>
      <c r="F859" s="13"/>
    </row>
    <row r="860" spans="3:6" ht="21" customHeight="1" x14ac:dyDescent="0.2">
      <c r="C860" s="53"/>
      <c r="D860" s="13"/>
      <c r="E860" s="53"/>
      <c r="F860" s="13"/>
    </row>
    <row r="861" spans="3:6" ht="21" customHeight="1" x14ac:dyDescent="0.2">
      <c r="C861" s="53"/>
      <c r="D861" s="13"/>
      <c r="E861" s="53"/>
      <c r="F861" s="13"/>
    </row>
    <row r="862" spans="3:6" ht="21" customHeight="1" x14ac:dyDescent="0.2">
      <c r="C862" s="53"/>
      <c r="D862" s="13"/>
      <c r="E862" s="53"/>
      <c r="F862" s="13"/>
    </row>
    <row r="863" spans="3:6" ht="21" customHeight="1" x14ac:dyDescent="0.2">
      <c r="C863" s="53"/>
      <c r="D863" s="13"/>
      <c r="E863" s="53"/>
      <c r="F863" s="13"/>
    </row>
    <row r="864" spans="3:6" ht="21" customHeight="1" x14ac:dyDescent="0.2">
      <c r="C864" s="53"/>
      <c r="D864" s="13"/>
      <c r="E864" s="53"/>
      <c r="F864" s="13"/>
    </row>
    <row r="865" spans="3:6" ht="21" customHeight="1" x14ac:dyDescent="0.2">
      <c r="C865" s="53"/>
      <c r="D865" s="13"/>
      <c r="E865" s="53"/>
      <c r="F865" s="13"/>
    </row>
    <row r="866" spans="3:6" ht="21" customHeight="1" x14ac:dyDescent="0.2">
      <c r="C866" s="53"/>
      <c r="D866" s="13"/>
      <c r="E866" s="53"/>
      <c r="F866" s="13"/>
    </row>
    <row r="867" spans="3:6" ht="21" customHeight="1" x14ac:dyDescent="0.2">
      <c r="C867" s="53"/>
      <c r="D867" s="13"/>
      <c r="E867" s="53"/>
      <c r="F867" s="13"/>
    </row>
    <row r="868" spans="3:6" ht="21" customHeight="1" x14ac:dyDescent="0.2">
      <c r="C868" s="53"/>
      <c r="D868" s="13"/>
      <c r="E868" s="53"/>
      <c r="F868" s="13"/>
    </row>
    <row r="869" spans="3:6" ht="21" customHeight="1" x14ac:dyDescent="0.2">
      <c r="C869" s="53"/>
      <c r="D869" s="13"/>
      <c r="E869" s="53"/>
      <c r="F869" s="13"/>
    </row>
    <row r="870" spans="3:6" ht="21" customHeight="1" x14ac:dyDescent="0.2">
      <c r="C870" s="53"/>
      <c r="D870" s="13"/>
      <c r="E870" s="53"/>
      <c r="F870" s="13"/>
    </row>
    <row r="871" spans="3:6" ht="21" customHeight="1" x14ac:dyDescent="0.2">
      <c r="C871" s="53"/>
      <c r="D871" s="13"/>
      <c r="E871" s="53"/>
      <c r="F871" s="13"/>
    </row>
    <row r="872" spans="3:6" ht="21" customHeight="1" x14ac:dyDescent="0.2">
      <c r="C872" s="53"/>
      <c r="D872" s="13"/>
      <c r="E872" s="53"/>
      <c r="F872" s="13"/>
    </row>
    <row r="873" spans="3:6" ht="21" customHeight="1" x14ac:dyDescent="0.2">
      <c r="C873" s="53"/>
      <c r="D873" s="13"/>
      <c r="E873" s="53"/>
      <c r="F873" s="13"/>
    </row>
    <row r="874" spans="3:6" ht="21" customHeight="1" x14ac:dyDescent="0.2">
      <c r="C874" s="53"/>
      <c r="D874" s="13"/>
      <c r="E874" s="53"/>
      <c r="F874" s="13"/>
    </row>
    <row r="875" spans="3:6" ht="21" customHeight="1" x14ac:dyDescent="0.2">
      <c r="C875" s="53"/>
      <c r="D875" s="13"/>
      <c r="E875" s="53"/>
      <c r="F875" s="13"/>
    </row>
    <row r="876" spans="3:6" ht="21" customHeight="1" x14ac:dyDescent="0.2">
      <c r="C876" s="53"/>
      <c r="D876" s="13"/>
      <c r="E876" s="53"/>
      <c r="F876" s="13"/>
    </row>
    <row r="877" spans="3:6" ht="21" customHeight="1" x14ac:dyDescent="0.2">
      <c r="C877" s="53"/>
      <c r="D877" s="13"/>
      <c r="E877" s="53"/>
      <c r="F877" s="13"/>
    </row>
    <row r="878" spans="3:6" ht="21" customHeight="1" x14ac:dyDescent="0.2">
      <c r="C878" s="53"/>
      <c r="D878" s="13"/>
      <c r="E878" s="53"/>
      <c r="F878" s="13"/>
    </row>
    <row r="879" spans="3:6" ht="21" customHeight="1" x14ac:dyDescent="0.2">
      <c r="C879" s="53"/>
      <c r="D879" s="13"/>
      <c r="E879" s="53"/>
      <c r="F879" s="13"/>
    </row>
    <row r="880" spans="3:6" ht="21" customHeight="1" x14ac:dyDescent="0.2">
      <c r="C880" s="53"/>
      <c r="D880" s="13"/>
      <c r="E880" s="53"/>
      <c r="F880" s="13"/>
    </row>
    <row r="881" spans="3:6" ht="21" customHeight="1" x14ac:dyDescent="0.2">
      <c r="C881" s="53"/>
      <c r="D881" s="13"/>
      <c r="E881" s="53"/>
      <c r="F881" s="13"/>
    </row>
    <row r="882" spans="3:6" ht="21" customHeight="1" x14ac:dyDescent="0.2">
      <c r="C882" s="53"/>
      <c r="D882" s="13"/>
      <c r="E882" s="53"/>
      <c r="F882" s="13"/>
    </row>
    <row r="883" spans="3:6" ht="21" customHeight="1" x14ac:dyDescent="0.2">
      <c r="C883" s="53"/>
      <c r="D883" s="13"/>
      <c r="E883" s="53"/>
      <c r="F883" s="13"/>
    </row>
    <row r="884" spans="3:6" ht="21" customHeight="1" x14ac:dyDescent="0.2">
      <c r="C884" s="53"/>
      <c r="D884" s="13"/>
      <c r="E884" s="53"/>
      <c r="F884" s="13"/>
    </row>
    <row r="885" spans="3:6" ht="21" customHeight="1" x14ac:dyDescent="0.2">
      <c r="C885" s="53"/>
      <c r="D885" s="13"/>
      <c r="E885" s="53"/>
      <c r="F885" s="13"/>
    </row>
    <row r="886" spans="3:6" ht="21" customHeight="1" x14ac:dyDescent="0.2">
      <c r="C886" s="53"/>
      <c r="D886" s="13"/>
      <c r="E886" s="53"/>
      <c r="F886" s="13"/>
    </row>
    <row r="887" spans="3:6" ht="21" customHeight="1" x14ac:dyDescent="0.2">
      <c r="C887" s="53"/>
      <c r="D887" s="13"/>
      <c r="E887" s="53"/>
      <c r="F887" s="13"/>
    </row>
    <row r="888" spans="3:6" ht="21" customHeight="1" x14ac:dyDescent="0.2">
      <c r="C888" s="53"/>
      <c r="D888" s="13"/>
      <c r="E888" s="53"/>
      <c r="F888" s="13"/>
    </row>
    <row r="889" spans="3:6" ht="21" customHeight="1" x14ac:dyDescent="0.2">
      <c r="C889" s="53"/>
      <c r="D889" s="13"/>
      <c r="E889" s="53"/>
      <c r="F889" s="13"/>
    </row>
    <row r="890" spans="3:6" ht="21" customHeight="1" x14ac:dyDescent="0.2">
      <c r="C890" s="53"/>
      <c r="D890" s="13"/>
      <c r="E890" s="53"/>
      <c r="F890" s="13"/>
    </row>
    <row r="891" spans="3:6" ht="21" customHeight="1" x14ac:dyDescent="0.2">
      <c r="C891" s="53"/>
      <c r="D891" s="13"/>
      <c r="E891" s="53"/>
      <c r="F891" s="13"/>
    </row>
    <row r="892" spans="3:6" ht="21" customHeight="1" x14ac:dyDescent="0.2">
      <c r="C892" s="53"/>
      <c r="D892" s="13"/>
      <c r="E892" s="53"/>
      <c r="F892" s="13"/>
    </row>
    <row r="893" spans="3:6" ht="21" customHeight="1" x14ac:dyDescent="0.2">
      <c r="C893" s="53"/>
      <c r="D893" s="13"/>
      <c r="E893" s="53"/>
      <c r="F893" s="13"/>
    </row>
    <row r="894" spans="3:6" ht="21" customHeight="1" x14ac:dyDescent="0.2">
      <c r="C894" s="53"/>
      <c r="D894" s="13"/>
      <c r="E894" s="53"/>
      <c r="F894" s="13"/>
    </row>
    <row r="895" spans="3:6" ht="21" customHeight="1" x14ac:dyDescent="0.2">
      <c r="C895" s="53"/>
      <c r="D895" s="13"/>
      <c r="E895" s="53"/>
      <c r="F895" s="13"/>
    </row>
    <row r="896" spans="3:6" ht="21" customHeight="1" x14ac:dyDescent="0.2">
      <c r="C896" s="53"/>
      <c r="D896" s="13"/>
      <c r="E896" s="53"/>
      <c r="F896" s="13"/>
    </row>
    <row r="897" spans="3:6" ht="21" customHeight="1" x14ac:dyDescent="0.2">
      <c r="C897" s="53"/>
      <c r="D897" s="13"/>
      <c r="E897" s="53"/>
      <c r="F897" s="13"/>
    </row>
    <row r="898" spans="3:6" ht="21" customHeight="1" x14ac:dyDescent="0.2">
      <c r="C898" s="53"/>
      <c r="D898" s="13"/>
      <c r="E898" s="53"/>
      <c r="F898" s="13"/>
    </row>
    <row r="899" spans="3:6" ht="21" customHeight="1" x14ac:dyDescent="0.2">
      <c r="C899" s="53"/>
      <c r="D899" s="13"/>
      <c r="E899" s="53"/>
      <c r="F899" s="13"/>
    </row>
    <row r="900" spans="3:6" ht="21" customHeight="1" x14ac:dyDescent="0.2">
      <c r="C900" s="53"/>
      <c r="D900" s="13"/>
      <c r="E900" s="53"/>
      <c r="F900" s="13"/>
    </row>
    <row r="901" spans="3:6" ht="21" customHeight="1" x14ac:dyDescent="0.2">
      <c r="C901" s="53"/>
      <c r="D901" s="13"/>
      <c r="E901" s="53"/>
      <c r="F901" s="13"/>
    </row>
    <row r="902" spans="3:6" ht="21" customHeight="1" x14ac:dyDescent="0.2">
      <c r="C902" s="53"/>
      <c r="D902" s="13"/>
      <c r="E902" s="53"/>
      <c r="F902" s="13"/>
    </row>
    <row r="903" spans="3:6" ht="21" customHeight="1" x14ac:dyDescent="0.2">
      <c r="C903" s="53"/>
      <c r="D903" s="13"/>
      <c r="E903" s="53"/>
      <c r="F903" s="13"/>
    </row>
    <row r="904" spans="3:6" ht="21" customHeight="1" x14ac:dyDescent="0.2">
      <c r="C904" s="53"/>
      <c r="D904" s="13"/>
      <c r="E904" s="53"/>
      <c r="F904" s="13"/>
    </row>
    <row r="905" spans="3:6" ht="21" customHeight="1" x14ac:dyDescent="0.2">
      <c r="C905" s="53"/>
      <c r="D905" s="13"/>
      <c r="E905" s="53"/>
      <c r="F905" s="13"/>
    </row>
    <row r="906" spans="3:6" ht="21" customHeight="1" x14ac:dyDescent="0.2">
      <c r="C906" s="53"/>
      <c r="D906" s="13"/>
      <c r="E906" s="53"/>
      <c r="F906" s="13"/>
    </row>
    <row r="907" spans="3:6" ht="21" customHeight="1" x14ac:dyDescent="0.2">
      <c r="C907" s="53"/>
      <c r="D907" s="13"/>
      <c r="E907" s="53"/>
      <c r="F907" s="13"/>
    </row>
    <row r="908" spans="3:6" ht="21" customHeight="1" x14ac:dyDescent="0.2">
      <c r="C908" s="53"/>
      <c r="D908" s="13"/>
      <c r="E908" s="53"/>
      <c r="F908" s="13"/>
    </row>
    <row r="909" spans="3:6" ht="21" customHeight="1" x14ac:dyDescent="0.2">
      <c r="C909" s="53"/>
      <c r="D909" s="13"/>
      <c r="E909" s="53"/>
      <c r="F909" s="13"/>
    </row>
    <row r="910" spans="3:6" ht="21" customHeight="1" x14ac:dyDescent="0.2">
      <c r="C910" s="53"/>
      <c r="D910" s="13"/>
      <c r="E910" s="53"/>
      <c r="F910" s="13"/>
    </row>
    <row r="911" spans="3:6" ht="21" customHeight="1" x14ac:dyDescent="0.2">
      <c r="C911" s="53"/>
      <c r="D911" s="13"/>
      <c r="E911" s="53"/>
      <c r="F911" s="13"/>
    </row>
    <row r="912" spans="3:6" ht="21" customHeight="1" x14ac:dyDescent="0.2">
      <c r="C912" s="53"/>
      <c r="D912" s="13"/>
      <c r="E912" s="53"/>
      <c r="F912" s="13"/>
    </row>
    <row r="913" spans="3:6" ht="21" customHeight="1" x14ac:dyDescent="0.2">
      <c r="C913" s="53"/>
      <c r="D913" s="13"/>
      <c r="E913" s="53"/>
      <c r="F913" s="13"/>
    </row>
    <row r="914" spans="3:6" ht="21" customHeight="1" x14ac:dyDescent="0.2">
      <c r="C914" s="53"/>
      <c r="D914" s="13"/>
      <c r="E914" s="53"/>
      <c r="F914" s="13"/>
    </row>
    <row r="915" spans="3:6" ht="21" customHeight="1" x14ac:dyDescent="0.2">
      <c r="C915" s="53"/>
      <c r="D915" s="13"/>
      <c r="E915" s="53"/>
      <c r="F915" s="13"/>
    </row>
    <row r="916" spans="3:6" ht="21" customHeight="1" x14ac:dyDescent="0.2">
      <c r="C916" s="53"/>
      <c r="D916" s="13"/>
      <c r="E916" s="53"/>
      <c r="F916" s="13"/>
    </row>
    <row r="917" spans="3:6" ht="21" customHeight="1" x14ac:dyDescent="0.2">
      <c r="C917" s="53"/>
      <c r="D917" s="13"/>
      <c r="E917" s="53"/>
      <c r="F917" s="13"/>
    </row>
    <row r="918" spans="3:6" ht="21" customHeight="1" x14ac:dyDescent="0.2">
      <c r="C918" s="53"/>
      <c r="D918" s="13"/>
      <c r="E918" s="53"/>
      <c r="F918" s="13"/>
    </row>
    <row r="919" spans="3:6" ht="21" customHeight="1" x14ac:dyDescent="0.2">
      <c r="C919" s="53"/>
      <c r="D919" s="13"/>
      <c r="E919" s="53"/>
      <c r="F919" s="13"/>
    </row>
    <row r="920" spans="3:6" ht="21" customHeight="1" x14ac:dyDescent="0.2">
      <c r="C920" s="53"/>
      <c r="D920" s="13"/>
      <c r="E920" s="53"/>
      <c r="F920" s="13"/>
    </row>
    <row r="921" spans="3:6" ht="21" customHeight="1" x14ac:dyDescent="0.2">
      <c r="C921" s="53"/>
      <c r="D921" s="13"/>
      <c r="E921" s="53"/>
      <c r="F921" s="13"/>
    </row>
    <row r="922" spans="3:6" ht="21" customHeight="1" x14ac:dyDescent="0.2">
      <c r="C922" s="53"/>
      <c r="D922" s="13"/>
      <c r="E922" s="53"/>
      <c r="F922" s="13"/>
    </row>
    <row r="923" spans="3:6" ht="21" customHeight="1" x14ac:dyDescent="0.2">
      <c r="C923" s="53"/>
      <c r="D923" s="13"/>
      <c r="E923" s="53"/>
      <c r="F923" s="13"/>
    </row>
    <row r="924" spans="3:6" ht="21" customHeight="1" x14ac:dyDescent="0.2">
      <c r="C924" s="53"/>
      <c r="D924" s="13"/>
      <c r="E924" s="53"/>
      <c r="F924" s="13"/>
    </row>
    <row r="925" spans="3:6" ht="21" customHeight="1" x14ac:dyDescent="0.2">
      <c r="C925" s="53"/>
      <c r="D925" s="13"/>
      <c r="E925" s="53"/>
      <c r="F925" s="13"/>
    </row>
    <row r="926" spans="3:6" ht="21" customHeight="1" x14ac:dyDescent="0.2">
      <c r="C926" s="53"/>
      <c r="D926" s="13"/>
      <c r="E926" s="53"/>
      <c r="F926" s="13"/>
    </row>
    <row r="927" spans="3:6" ht="21" customHeight="1" x14ac:dyDescent="0.2">
      <c r="C927" s="53"/>
      <c r="D927" s="13"/>
      <c r="E927" s="53"/>
      <c r="F927" s="13"/>
    </row>
    <row r="928" spans="3:6" ht="21" customHeight="1" x14ac:dyDescent="0.2">
      <c r="C928" s="53"/>
      <c r="D928" s="13"/>
      <c r="E928" s="53"/>
      <c r="F928" s="13"/>
    </row>
    <row r="929" spans="3:6" ht="21" customHeight="1" x14ac:dyDescent="0.2">
      <c r="C929" s="53"/>
      <c r="D929" s="13"/>
      <c r="E929" s="53"/>
      <c r="F929" s="13"/>
    </row>
    <row r="930" spans="3:6" ht="21" customHeight="1" x14ac:dyDescent="0.2">
      <c r="C930" s="53"/>
      <c r="D930" s="13"/>
      <c r="E930" s="53"/>
      <c r="F930" s="13"/>
    </row>
    <row r="931" spans="3:6" ht="21" customHeight="1" x14ac:dyDescent="0.2">
      <c r="C931" s="53"/>
      <c r="D931" s="13"/>
      <c r="E931" s="53"/>
      <c r="F931" s="13"/>
    </row>
    <row r="932" spans="3:6" ht="21" customHeight="1" x14ac:dyDescent="0.2">
      <c r="C932" s="53"/>
      <c r="D932" s="13"/>
      <c r="E932" s="53"/>
      <c r="F932" s="13"/>
    </row>
    <row r="933" spans="3:6" ht="21" customHeight="1" x14ac:dyDescent="0.2">
      <c r="C933" s="53"/>
      <c r="D933" s="13"/>
      <c r="E933" s="53"/>
      <c r="F933" s="13"/>
    </row>
    <row r="934" spans="3:6" ht="21" customHeight="1" x14ac:dyDescent="0.2">
      <c r="C934" s="53"/>
      <c r="D934" s="13"/>
      <c r="E934" s="53"/>
      <c r="F934" s="13"/>
    </row>
    <row r="935" spans="3:6" ht="21" customHeight="1" x14ac:dyDescent="0.2">
      <c r="C935" s="53"/>
      <c r="D935" s="13"/>
      <c r="E935" s="53"/>
      <c r="F935" s="13"/>
    </row>
    <row r="936" spans="3:6" ht="21" customHeight="1" x14ac:dyDescent="0.2">
      <c r="C936" s="53"/>
      <c r="D936" s="13"/>
      <c r="E936" s="53"/>
      <c r="F936" s="13"/>
    </row>
    <row r="937" spans="3:6" ht="21" customHeight="1" x14ac:dyDescent="0.2">
      <c r="C937" s="53"/>
      <c r="D937" s="13"/>
      <c r="E937" s="53"/>
      <c r="F937" s="13"/>
    </row>
    <row r="938" spans="3:6" ht="21" customHeight="1" x14ac:dyDescent="0.2">
      <c r="C938" s="53"/>
      <c r="D938" s="13"/>
      <c r="E938" s="53"/>
      <c r="F938" s="13"/>
    </row>
    <row r="939" spans="3:6" ht="21" customHeight="1" x14ac:dyDescent="0.2">
      <c r="C939" s="53"/>
      <c r="D939" s="13"/>
      <c r="E939" s="53"/>
      <c r="F939" s="13"/>
    </row>
    <row r="940" spans="3:6" ht="21" customHeight="1" x14ac:dyDescent="0.2">
      <c r="C940" s="53"/>
      <c r="D940" s="13"/>
      <c r="E940" s="53"/>
      <c r="F940" s="13"/>
    </row>
    <row r="941" spans="3:6" ht="21" customHeight="1" x14ac:dyDescent="0.2">
      <c r="C941" s="53"/>
      <c r="D941" s="13"/>
      <c r="E941" s="53"/>
      <c r="F941" s="13"/>
    </row>
    <row r="942" spans="3:6" ht="21" customHeight="1" x14ac:dyDescent="0.2">
      <c r="C942" s="53"/>
      <c r="D942" s="13"/>
      <c r="E942" s="53"/>
      <c r="F942" s="13"/>
    </row>
    <row r="943" spans="3:6" ht="21" customHeight="1" x14ac:dyDescent="0.2">
      <c r="C943" s="53"/>
      <c r="D943" s="13"/>
      <c r="E943" s="53"/>
      <c r="F943" s="13"/>
    </row>
    <row r="944" spans="3:6" ht="21" customHeight="1" x14ac:dyDescent="0.2">
      <c r="C944" s="53"/>
      <c r="D944" s="13"/>
      <c r="E944" s="53"/>
      <c r="F944" s="13"/>
    </row>
    <row r="945" spans="3:6" ht="21" customHeight="1" x14ac:dyDescent="0.2">
      <c r="C945" s="53"/>
      <c r="D945" s="13"/>
      <c r="E945" s="53"/>
      <c r="F945" s="13"/>
    </row>
    <row r="946" spans="3:6" ht="21" customHeight="1" x14ac:dyDescent="0.2">
      <c r="C946" s="53"/>
      <c r="D946" s="13"/>
      <c r="E946" s="53"/>
      <c r="F946" s="13"/>
    </row>
    <row r="947" spans="3:6" ht="21" customHeight="1" x14ac:dyDescent="0.2">
      <c r="C947" s="53"/>
      <c r="D947" s="13"/>
      <c r="E947" s="53"/>
      <c r="F947" s="13"/>
    </row>
    <row r="948" spans="3:6" ht="21" customHeight="1" x14ac:dyDescent="0.2">
      <c r="C948" s="53"/>
      <c r="D948" s="13"/>
      <c r="E948" s="53"/>
      <c r="F948" s="13"/>
    </row>
    <row r="949" spans="3:6" ht="21" customHeight="1" x14ac:dyDescent="0.2">
      <c r="C949" s="53"/>
      <c r="D949" s="13"/>
      <c r="E949" s="53"/>
      <c r="F949" s="13"/>
    </row>
    <row r="950" spans="3:6" ht="21" customHeight="1" x14ac:dyDescent="0.2">
      <c r="C950" s="53"/>
      <c r="D950" s="13"/>
      <c r="E950" s="53"/>
      <c r="F950" s="13"/>
    </row>
    <row r="951" spans="3:6" ht="21" customHeight="1" x14ac:dyDescent="0.2">
      <c r="C951" s="53"/>
      <c r="D951" s="13"/>
      <c r="E951" s="53"/>
      <c r="F951" s="13"/>
    </row>
    <row r="952" spans="3:6" ht="21" customHeight="1" x14ac:dyDescent="0.2">
      <c r="C952" s="53"/>
      <c r="D952" s="13"/>
      <c r="E952" s="53"/>
      <c r="F952" s="13"/>
    </row>
    <row r="953" spans="3:6" ht="21" customHeight="1" x14ac:dyDescent="0.2">
      <c r="C953" s="53"/>
      <c r="D953" s="13"/>
      <c r="E953" s="53"/>
      <c r="F953" s="13"/>
    </row>
    <row r="954" spans="3:6" ht="21" customHeight="1" x14ac:dyDescent="0.2">
      <c r="C954" s="53"/>
      <c r="D954" s="13"/>
      <c r="E954" s="53"/>
      <c r="F954" s="13"/>
    </row>
    <row r="955" spans="3:6" ht="21" customHeight="1" x14ac:dyDescent="0.2">
      <c r="C955" s="53"/>
      <c r="D955" s="13"/>
      <c r="E955" s="53"/>
      <c r="F955" s="13"/>
    </row>
    <row r="956" spans="3:6" ht="21" customHeight="1" x14ac:dyDescent="0.2">
      <c r="C956" s="53"/>
      <c r="D956" s="13"/>
      <c r="E956" s="53"/>
      <c r="F956" s="13"/>
    </row>
    <row r="957" spans="3:6" ht="21" customHeight="1" x14ac:dyDescent="0.2">
      <c r="C957" s="53"/>
      <c r="D957" s="13"/>
      <c r="E957" s="53"/>
      <c r="F957" s="13"/>
    </row>
    <row r="958" spans="3:6" ht="21" customHeight="1" x14ac:dyDescent="0.2">
      <c r="C958" s="53"/>
      <c r="D958" s="13"/>
      <c r="E958" s="53"/>
      <c r="F958" s="13"/>
    </row>
    <row r="959" spans="3:6" ht="21" customHeight="1" x14ac:dyDescent="0.2">
      <c r="C959" s="53"/>
      <c r="D959" s="13"/>
      <c r="E959" s="53"/>
      <c r="F959" s="13"/>
    </row>
    <row r="960" spans="3:6" ht="21" customHeight="1" x14ac:dyDescent="0.2">
      <c r="C960" s="53"/>
      <c r="D960" s="13"/>
      <c r="E960" s="53"/>
      <c r="F960" s="13"/>
    </row>
    <row r="961" spans="3:6" ht="21" customHeight="1" x14ac:dyDescent="0.2">
      <c r="C961" s="53"/>
      <c r="D961" s="13"/>
      <c r="E961" s="53"/>
      <c r="F961" s="13"/>
    </row>
    <row r="962" spans="3:6" ht="21" customHeight="1" x14ac:dyDescent="0.2">
      <c r="C962" s="53"/>
      <c r="D962" s="13"/>
      <c r="E962" s="53"/>
      <c r="F962" s="13"/>
    </row>
    <row r="963" spans="3:6" ht="21" customHeight="1" x14ac:dyDescent="0.2">
      <c r="C963" s="53"/>
      <c r="D963" s="13"/>
      <c r="E963" s="53"/>
      <c r="F963" s="13"/>
    </row>
    <row r="964" spans="3:6" ht="21" customHeight="1" x14ac:dyDescent="0.2">
      <c r="C964" s="53"/>
      <c r="D964" s="13"/>
      <c r="E964" s="53"/>
      <c r="F964" s="13"/>
    </row>
    <row r="965" spans="3:6" ht="21" customHeight="1" x14ac:dyDescent="0.2">
      <c r="C965" s="53"/>
      <c r="D965" s="13"/>
      <c r="E965" s="53"/>
      <c r="F965" s="13"/>
    </row>
    <row r="966" spans="3:6" ht="21" customHeight="1" x14ac:dyDescent="0.2">
      <c r="C966" s="53"/>
      <c r="D966" s="13"/>
      <c r="E966" s="53"/>
      <c r="F966" s="13"/>
    </row>
    <row r="967" spans="3:6" ht="21" customHeight="1" x14ac:dyDescent="0.2">
      <c r="C967" s="53"/>
      <c r="D967" s="13"/>
      <c r="E967" s="53"/>
      <c r="F967" s="13"/>
    </row>
    <row r="968" spans="3:6" ht="21" customHeight="1" x14ac:dyDescent="0.2">
      <c r="C968" s="53"/>
      <c r="D968" s="13"/>
      <c r="E968" s="53"/>
      <c r="F968" s="13"/>
    </row>
    <row r="969" spans="3:6" ht="21" customHeight="1" x14ac:dyDescent="0.2">
      <c r="C969" s="53"/>
      <c r="D969" s="13"/>
      <c r="E969" s="53"/>
      <c r="F969" s="13"/>
    </row>
    <row r="970" spans="3:6" ht="21" customHeight="1" x14ac:dyDescent="0.2">
      <c r="C970" s="53"/>
      <c r="D970" s="13"/>
      <c r="E970" s="53"/>
      <c r="F970" s="13"/>
    </row>
    <row r="971" spans="3:6" ht="21" customHeight="1" x14ac:dyDescent="0.2">
      <c r="C971" s="53"/>
      <c r="D971" s="13"/>
      <c r="E971" s="53"/>
      <c r="F971" s="13"/>
    </row>
    <row r="972" spans="3:6" ht="21" customHeight="1" x14ac:dyDescent="0.2">
      <c r="C972" s="53"/>
      <c r="D972" s="13"/>
      <c r="E972" s="53"/>
      <c r="F972" s="13"/>
    </row>
    <row r="973" spans="3:6" ht="21" customHeight="1" x14ac:dyDescent="0.2">
      <c r="C973" s="53"/>
      <c r="D973" s="13"/>
      <c r="E973" s="53"/>
      <c r="F973" s="13"/>
    </row>
    <row r="974" spans="3:6" ht="21" customHeight="1" x14ac:dyDescent="0.2">
      <c r="C974" s="53"/>
      <c r="D974" s="13"/>
      <c r="E974" s="53"/>
      <c r="F974" s="13"/>
    </row>
    <row r="975" spans="3:6" ht="21" customHeight="1" x14ac:dyDescent="0.2">
      <c r="C975" s="53"/>
      <c r="D975" s="13"/>
      <c r="E975" s="53"/>
      <c r="F975" s="13"/>
    </row>
    <row r="976" spans="3:6" ht="21" customHeight="1" x14ac:dyDescent="0.2">
      <c r="C976" s="53"/>
      <c r="D976" s="13"/>
      <c r="E976" s="53"/>
      <c r="F976" s="13"/>
    </row>
    <row r="977" spans="3:6" ht="21" customHeight="1" x14ac:dyDescent="0.2">
      <c r="C977" s="53"/>
      <c r="D977" s="13"/>
      <c r="E977" s="53"/>
      <c r="F977" s="13"/>
    </row>
    <row r="978" spans="3:6" ht="21" customHeight="1" x14ac:dyDescent="0.2">
      <c r="C978" s="53"/>
      <c r="D978" s="13"/>
      <c r="E978" s="53"/>
      <c r="F978" s="13"/>
    </row>
    <row r="979" spans="3:6" ht="21" customHeight="1" x14ac:dyDescent="0.2">
      <c r="C979" s="53"/>
      <c r="D979" s="13"/>
      <c r="E979" s="53"/>
      <c r="F979" s="13"/>
    </row>
    <row r="980" spans="3:6" ht="21" customHeight="1" x14ac:dyDescent="0.2">
      <c r="C980" s="53"/>
      <c r="D980" s="13"/>
      <c r="E980" s="53"/>
      <c r="F980" s="13"/>
    </row>
    <row r="981" spans="3:6" ht="21" customHeight="1" x14ac:dyDescent="0.2">
      <c r="C981" s="53"/>
      <c r="D981" s="13"/>
      <c r="E981" s="53"/>
      <c r="F981" s="13"/>
    </row>
    <row r="982" spans="3:6" ht="21" customHeight="1" x14ac:dyDescent="0.2">
      <c r="C982" s="53"/>
      <c r="D982" s="13"/>
      <c r="E982" s="53"/>
      <c r="F982" s="13"/>
    </row>
    <row r="983" spans="3:6" ht="21" customHeight="1" x14ac:dyDescent="0.2">
      <c r="C983" s="53"/>
      <c r="D983" s="13"/>
      <c r="E983" s="53"/>
      <c r="F983" s="13"/>
    </row>
    <row r="984" spans="3:6" ht="21" customHeight="1" x14ac:dyDescent="0.2">
      <c r="C984" s="53"/>
      <c r="D984" s="13"/>
      <c r="E984" s="53"/>
      <c r="F984" s="13"/>
    </row>
    <row r="985" spans="3:6" ht="21" customHeight="1" x14ac:dyDescent="0.2">
      <c r="C985" s="53"/>
      <c r="D985" s="13"/>
      <c r="E985" s="53"/>
      <c r="F985" s="13"/>
    </row>
    <row r="986" spans="3:6" ht="21" customHeight="1" x14ac:dyDescent="0.2">
      <c r="C986" s="53"/>
      <c r="D986" s="13"/>
      <c r="E986" s="53"/>
      <c r="F986" s="13"/>
    </row>
    <row r="987" spans="3:6" ht="21" customHeight="1" x14ac:dyDescent="0.2">
      <c r="C987" s="53"/>
      <c r="D987" s="13"/>
      <c r="E987" s="53"/>
      <c r="F987" s="13"/>
    </row>
    <row r="988" spans="3:6" ht="21" customHeight="1" x14ac:dyDescent="0.2">
      <c r="C988" s="53"/>
      <c r="D988" s="13"/>
      <c r="E988" s="53"/>
      <c r="F988" s="13"/>
    </row>
    <row r="989" spans="3:6" ht="21" customHeight="1" x14ac:dyDescent="0.2">
      <c r="C989" s="53"/>
      <c r="D989" s="13"/>
      <c r="E989" s="53"/>
      <c r="F989" s="13"/>
    </row>
    <row r="990" spans="3:6" ht="21" customHeight="1" x14ac:dyDescent="0.2">
      <c r="C990" s="53"/>
      <c r="D990" s="13"/>
      <c r="E990" s="53"/>
      <c r="F990" s="13"/>
    </row>
    <row r="991" spans="3:6" ht="21" customHeight="1" x14ac:dyDescent="0.2">
      <c r="C991" s="53"/>
      <c r="D991" s="13"/>
      <c r="E991" s="53"/>
      <c r="F991" s="13"/>
    </row>
    <row r="992" spans="3:6" ht="21" customHeight="1" x14ac:dyDescent="0.2">
      <c r="C992" s="53"/>
      <c r="D992" s="13"/>
      <c r="E992" s="53"/>
      <c r="F992" s="13"/>
    </row>
    <row r="993" spans="3:6" ht="21" customHeight="1" x14ac:dyDescent="0.2">
      <c r="C993" s="53"/>
      <c r="D993" s="13"/>
      <c r="E993" s="53"/>
      <c r="F993" s="13"/>
    </row>
    <row r="994" spans="3:6" ht="21" customHeight="1" x14ac:dyDescent="0.2">
      <c r="C994" s="53"/>
      <c r="D994" s="13"/>
      <c r="E994" s="53"/>
      <c r="F994" s="13"/>
    </row>
    <row r="995" spans="3:6" ht="21" customHeight="1" x14ac:dyDescent="0.2">
      <c r="C995" s="53"/>
      <c r="D995" s="13"/>
      <c r="E995" s="53"/>
      <c r="F995" s="13"/>
    </row>
    <row r="996" spans="3:6" ht="21" customHeight="1" x14ac:dyDescent="0.2">
      <c r="C996" s="53"/>
      <c r="D996" s="13"/>
      <c r="E996" s="53"/>
      <c r="F996" s="13"/>
    </row>
    <row r="997" spans="3:6" ht="21" customHeight="1" x14ac:dyDescent="0.2">
      <c r="C997" s="53"/>
      <c r="D997" s="13"/>
      <c r="E997" s="53"/>
      <c r="F997" s="13"/>
    </row>
    <row r="998" spans="3:6" ht="21" customHeight="1" x14ac:dyDescent="0.2">
      <c r="C998" s="53"/>
      <c r="D998" s="13"/>
      <c r="E998" s="53"/>
      <c r="F998" s="13"/>
    </row>
    <row r="999" spans="3:6" ht="21" customHeight="1" x14ac:dyDescent="0.2">
      <c r="C999" s="53"/>
      <c r="D999" s="13"/>
      <c r="E999" s="53"/>
      <c r="F999" s="13"/>
    </row>
    <row r="1000" spans="3:6" ht="21" customHeight="1" x14ac:dyDescent="0.2">
      <c r="C1000" s="53"/>
      <c r="D1000" s="13"/>
      <c r="E1000" s="53"/>
      <c r="F1000" s="13"/>
    </row>
    <row r="1001" spans="3:6" ht="21" customHeight="1" x14ac:dyDescent="0.2">
      <c r="C1001" s="53"/>
      <c r="D1001" s="13"/>
      <c r="E1001" s="53"/>
      <c r="F1001" s="13"/>
    </row>
    <row r="1002" spans="3:6" ht="21" customHeight="1" x14ac:dyDescent="0.2">
      <c r="C1002" s="53"/>
      <c r="D1002" s="13"/>
      <c r="E1002" s="53"/>
      <c r="F1002" s="13"/>
    </row>
    <row r="1003" spans="3:6" ht="21" customHeight="1" x14ac:dyDescent="0.2">
      <c r="C1003" s="53"/>
      <c r="D1003" s="13"/>
      <c r="E1003" s="53"/>
      <c r="F1003" s="13"/>
    </row>
    <row r="1004" spans="3:6" ht="21" customHeight="1" x14ac:dyDescent="0.2">
      <c r="C1004" s="53"/>
      <c r="D1004" s="13"/>
      <c r="E1004" s="53"/>
      <c r="F1004" s="13"/>
    </row>
    <row r="1005" spans="3:6" ht="21" customHeight="1" x14ac:dyDescent="0.2">
      <c r="C1005" s="53"/>
      <c r="D1005" s="13"/>
      <c r="E1005" s="53"/>
      <c r="F1005" s="13"/>
    </row>
    <row r="1006" spans="3:6" ht="21" customHeight="1" x14ac:dyDescent="0.2">
      <c r="C1006" s="53"/>
      <c r="D1006" s="13"/>
      <c r="E1006" s="53"/>
      <c r="F1006" s="13"/>
    </row>
    <row r="1007" spans="3:6" ht="21" customHeight="1" x14ac:dyDescent="0.2">
      <c r="C1007" s="53"/>
      <c r="D1007" s="13"/>
      <c r="E1007" s="53"/>
      <c r="F1007" s="13"/>
    </row>
    <row r="1008" spans="3:6" ht="21" customHeight="1" x14ac:dyDescent="0.2">
      <c r="C1008" s="53"/>
      <c r="D1008" s="13"/>
      <c r="E1008" s="53"/>
      <c r="F1008" s="13"/>
    </row>
    <row r="1009" spans="3:6" ht="21" customHeight="1" x14ac:dyDescent="0.2">
      <c r="C1009" s="53"/>
      <c r="D1009" s="13"/>
      <c r="E1009" s="53"/>
      <c r="F1009" s="13"/>
    </row>
    <row r="1010" spans="3:6" ht="21" customHeight="1" x14ac:dyDescent="0.2">
      <c r="C1010" s="53"/>
      <c r="D1010" s="13"/>
      <c r="E1010" s="53"/>
      <c r="F1010" s="13"/>
    </row>
    <row r="1011" spans="3:6" ht="21" customHeight="1" x14ac:dyDescent="0.2">
      <c r="C1011" s="53"/>
      <c r="D1011" s="13"/>
      <c r="E1011" s="53"/>
      <c r="F1011" s="13"/>
    </row>
    <row r="1012" spans="3:6" ht="21" customHeight="1" x14ac:dyDescent="0.2">
      <c r="C1012" s="53"/>
      <c r="D1012" s="13"/>
      <c r="E1012" s="53"/>
      <c r="F1012" s="13"/>
    </row>
    <row r="1013" spans="3:6" ht="21" customHeight="1" x14ac:dyDescent="0.2">
      <c r="C1013" s="53"/>
      <c r="D1013" s="13"/>
      <c r="E1013" s="53"/>
      <c r="F1013" s="13"/>
    </row>
    <row r="1014" spans="3:6" ht="21" customHeight="1" x14ac:dyDescent="0.2">
      <c r="C1014" s="53"/>
      <c r="D1014" s="13"/>
      <c r="E1014" s="53"/>
      <c r="F1014" s="13"/>
    </row>
    <row r="1015" spans="3:6" ht="21" customHeight="1" x14ac:dyDescent="0.2">
      <c r="C1015" s="53"/>
      <c r="D1015" s="13"/>
      <c r="E1015" s="53"/>
      <c r="F1015" s="13"/>
    </row>
    <row r="1016" spans="3:6" ht="21" customHeight="1" x14ac:dyDescent="0.2">
      <c r="C1016" s="53"/>
      <c r="D1016" s="13"/>
      <c r="E1016" s="53"/>
      <c r="F1016" s="13"/>
    </row>
    <row r="1017" spans="3:6" ht="21" customHeight="1" x14ac:dyDescent="0.2">
      <c r="C1017" s="53"/>
      <c r="D1017" s="13"/>
      <c r="E1017" s="53"/>
      <c r="F1017" s="13"/>
    </row>
    <row r="1018" spans="3:6" ht="21" customHeight="1" x14ac:dyDescent="0.2">
      <c r="C1018" s="53"/>
      <c r="D1018" s="13"/>
      <c r="E1018" s="53"/>
      <c r="F1018" s="13"/>
    </row>
    <row r="1019" spans="3:6" ht="21" customHeight="1" x14ac:dyDescent="0.2">
      <c r="C1019" s="53"/>
      <c r="D1019" s="13"/>
      <c r="E1019" s="53"/>
      <c r="F1019" s="13"/>
    </row>
    <row r="1020" spans="3:6" ht="21" customHeight="1" x14ac:dyDescent="0.2">
      <c r="C1020" s="53"/>
      <c r="D1020" s="13"/>
      <c r="E1020" s="53"/>
      <c r="F1020" s="13"/>
    </row>
    <row r="1021" spans="3:6" ht="21" customHeight="1" x14ac:dyDescent="0.2">
      <c r="C1021" s="53"/>
      <c r="D1021" s="13"/>
      <c r="E1021" s="53"/>
      <c r="F1021" s="13"/>
    </row>
    <row r="1022" spans="3:6" ht="21" customHeight="1" x14ac:dyDescent="0.2">
      <c r="C1022" s="53"/>
      <c r="D1022" s="13"/>
      <c r="E1022" s="53"/>
      <c r="F1022" s="13"/>
    </row>
    <row r="1023" spans="3:6" ht="21" customHeight="1" x14ac:dyDescent="0.2">
      <c r="C1023" s="53"/>
      <c r="D1023" s="13"/>
      <c r="E1023" s="53"/>
      <c r="F1023" s="13"/>
    </row>
    <row r="1024" spans="3:6" ht="21" customHeight="1" x14ac:dyDescent="0.2">
      <c r="C1024" s="53"/>
      <c r="D1024" s="13"/>
      <c r="E1024" s="53"/>
      <c r="F1024" s="13"/>
    </row>
    <row r="1025" spans="3:6" ht="21" customHeight="1" x14ac:dyDescent="0.2">
      <c r="C1025" s="53"/>
      <c r="D1025" s="13"/>
      <c r="E1025" s="53"/>
      <c r="F1025" s="13"/>
    </row>
    <row r="1026" spans="3:6" ht="21" customHeight="1" x14ac:dyDescent="0.2">
      <c r="C1026" s="53"/>
      <c r="D1026" s="13"/>
      <c r="E1026" s="53"/>
      <c r="F1026" s="13"/>
    </row>
    <row r="1027" spans="3:6" ht="21" customHeight="1" x14ac:dyDescent="0.2">
      <c r="C1027" s="53"/>
      <c r="D1027" s="13"/>
      <c r="E1027" s="53"/>
      <c r="F1027" s="13"/>
    </row>
    <row r="1028" spans="3:6" ht="21" customHeight="1" x14ac:dyDescent="0.2">
      <c r="C1028" s="53"/>
      <c r="D1028" s="13"/>
      <c r="E1028" s="53"/>
      <c r="F1028" s="13"/>
    </row>
    <row r="1029" spans="3:6" ht="21" customHeight="1" x14ac:dyDescent="0.2">
      <c r="C1029" s="53"/>
      <c r="D1029" s="13"/>
      <c r="E1029" s="53"/>
      <c r="F1029" s="13"/>
    </row>
    <row r="1030" spans="3:6" ht="21" customHeight="1" x14ac:dyDescent="0.2">
      <c r="C1030" s="53"/>
      <c r="D1030" s="13"/>
      <c r="E1030" s="53"/>
      <c r="F1030" s="13"/>
    </row>
    <row r="1031" spans="3:6" ht="21" customHeight="1" x14ac:dyDescent="0.2">
      <c r="C1031" s="53"/>
      <c r="D1031" s="13"/>
      <c r="E1031" s="53"/>
      <c r="F1031" s="13"/>
    </row>
    <row r="1032" spans="3:6" ht="21" customHeight="1" x14ac:dyDescent="0.2">
      <c r="C1032" s="53"/>
      <c r="D1032" s="13"/>
      <c r="E1032" s="53"/>
      <c r="F1032" s="13"/>
    </row>
    <row r="1033" spans="3:6" ht="21" customHeight="1" x14ac:dyDescent="0.2">
      <c r="C1033" s="53"/>
      <c r="D1033" s="13"/>
      <c r="E1033" s="53"/>
      <c r="F1033" s="13"/>
    </row>
    <row r="1034" spans="3:6" ht="21" customHeight="1" x14ac:dyDescent="0.2">
      <c r="C1034" s="53"/>
      <c r="D1034" s="13"/>
      <c r="E1034" s="53"/>
      <c r="F1034" s="13"/>
    </row>
    <row r="1035" spans="3:6" ht="21" customHeight="1" x14ac:dyDescent="0.2">
      <c r="C1035" s="53"/>
      <c r="D1035" s="13"/>
      <c r="E1035" s="53"/>
      <c r="F1035" s="13"/>
    </row>
    <row r="1036" spans="3:6" ht="21" customHeight="1" x14ac:dyDescent="0.2">
      <c r="C1036" s="53"/>
      <c r="D1036" s="13"/>
      <c r="E1036" s="53"/>
      <c r="F1036" s="13"/>
    </row>
    <row r="1037" spans="3:6" ht="21" customHeight="1" x14ac:dyDescent="0.2">
      <c r="C1037" s="53"/>
      <c r="D1037" s="13"/>
      <c r="E1037" s="53"/>
      <c r="F1037" s="13"/>
    </row>
    <row r="1038" spans="3:6" ht="21" customHeight="1" x14ac:dyDescent="0.2">
      <c r="C1038" s="53"/>
      <c r="D1038" s="13"/>
      <c r="E1038" s="53"/>
      <c r="F1038" s="13"/>
    </row>
    <row r="1039" spans="3:6" ht="21" customHeight="1" x14ac:dyDescent="0.2">
      <c r="C1039" s="53"/>
      <c r="D1039" s="13"/>
      <c r="E1039" s="53"/>
      <c r="F1039" s="13"/>
    </row>
    <row r="1040" spans="3:6" ht="21" customHeight="1" x14ac:dyDescent="0.2">
      <c r="C1040" s="53"/>
      <c r="D1040" s="13"/>
      <c r="E1040" s="53"/>
      <c r="F1040" s="13"/>
    </row>
    <row r="1041" spans="3:6" ht="21" customHeight="1" x14ac:dyDescent="0.2">
      <c r="C1041" s="53"/>
      <c r="D1041" s="13"/>
      <c r="E1041" s="53"/>
      <c r="F1041" s="13"/>
    </row>
    <row r="1042" spans="3:6" ht="21" customHeight="1" x14ac:dyDescent="0.2">
      <c r="C1042" s="53"/>
      <c r="D1042" s="13"/>
      <c r="E1042" s="53"/>
      <c r="F1042" s="13"/>
    </row>
    <row r="1043" spans="3:6" ht="21" customHeight="1" x14ac:dyDescent="0.2">
      <c r="C1043" s="53"/>
      <c r="D1043" s="13"/>
      <c r="E1043" s="53"/>
      <c r="F1043" s="13"/>
    </row>
    <row r="1044" spans="3:6" ht="21" customHeight="1" x14ac:dyDescent="0.2">
      <c r="C1044" s="53"/>
      <c r="D1044" s="13"/>
      <c r="E1044" s="53"/>
      <c r="F1044" s="13"/>
    </row>
    <row r="1045" spans="3:6" ht="21" customHeight="1" x14ac:dyDescent="0.2">
      <c r="C1045" s="53"/>
      <c r="D1045" s="13"/>
      <c r="E1045" s="53"/>
      <c r="F1045" s="13"/>
    </row>
    <row r="1046" spans="3:6" ht="21" customHeight="1" x14ac:dyDescent="0.2">
      <c r="C1046" s="53"/>
      <c r="D1046" s="13"/>
      <c r="E1046" s="53"/>
      <c r="F1046" s="13"/>
    </row>
    <row r="1047" spans="3:6" ht="21" customHeight="1" x14ac:dyDescent="0.2">
      <c r="C1047" s="53"/>
      <c r="D1047" s="13"/>
      <c r="E1047" s="53"/>
      <c r="F1047" s="13"/>
    </row>
    <row r="1048" spans="3:6" ht="21" customHeight="1" x14ac:dyDescent="0.2">
      <c r="C1048" s="53"/>
      <c r="D1048" s="13"/>
      <c r="E1048" s="53"/>
      <c r="F1048" s="13"/>
    </row>
    <row r="1049" spans="3:6" ht="21" customHeight="1" x14ac:dyDescent="0.2">
      <c r="C1049" s="53"/>
      <c r="D1049" s="13"/>
      <c r="E1049" s="53"/>
      <c r="F1049" s="13"/>
    </row>
    <row r="1050" spans="3:6" ht="21" customHeight="1" x14ac:dyDescent="0.2">
      <c r="C1050" s="53"/>
      <c r="D1050" s="13"/>
      <c r="E1050" s="53"/>
      <c r="F1050" s="13"/>
    </row>
    <row r="1051" spans="3:6" ht="21" customHeight="1" x14ac:dyDescent="0.2">
      <c r="C1051" s="53"/>
      <c r="D1051" s="13"/>
      <c r="E1051" s="53"/>
      <c r="F1051" s="13"/>
    </row>
    <row r="1052" spans="3:6" ht="21" customHeight="1" x14ac:dyDescent="0.2">
      <c r="C1052" s="53"/>
      <c r="D1052" s="13"/>
      <c r="E1052" s="53"/>
      <c r="F1052" s="13"/>
    </row>
    <row r="1053" spans="3:6" ht="21" customHeight="1" x14ac:dyDescent="0.2">
      <c r="C1053" s="53"/>
      <c r="D1053" s="13"/>
      <c r="E1053" s="53"/>
      <c r="F1053" s="13"/>
    </row>
    <row r="1054" spans="3:6" ht="21" customHeight="1" x14ac:dyDescent="0.2">
      <c r="C1054" s="53"/>
      <c r="D1054" s="13"/>
      <c r="E1054" s="53"/>
      <c r="F1054" s="13"/>
    </row>
    <row r="1055" spans="3:6" ht="21" customHeight="1" x14ac:dyDescent="0.2">
      <c r="C1055" s="53"/>
      <c r="D1055" s="13"/>
      <c r="E1055" s="53"/>
      <c r="F1055" s="13"/>
    </row>
    <row r="1056" spans="3:6" ht="21" customHeight="1" x14ac:dyDescent="0.2">
      <c r="C1056" s="53"/>
      <c r="D1056" s="13"/>
      <c r="E1056" s="53"/>
      <c r="F1056" s="13"/>
    </row>
    <row r="1057" spans="3:6" ht="21" customHeight="1" x14ac:dyDescent="0.2">
      <c r="C1057" s="53"/>
      <c r="D1057" s="13"/>
      <c r="E1057" s="53"/>
      <c r="F1057" s="13"/>
    </row>
    <row r="1058" spans="3:6" ht="21" customHeight="1" x14ac:dyDescent="0.2">
      <c r="C1058" s="53"/>
      <c r="D1058" s="13"/>
      <c r="E1058" s="53"/>
      <c r="F1058" s="13"/>
    </row>
    <row r="1059" spans="3:6" ht="21" customHeight="1" x14ac:dyDescent="0.2">
      <c r="C1059" s="53"/>
      <c r="D1059" s="13"/>
      <c r="E1059" s="53"/>
      <c r="F1059" s="13"/>
    </row>
    <row r="1060" spans="3:6" ht="21" customHeight="1" x14ac:dyDescent="0.2">
      <c r="C1060" s="53"/>
      <c r="D1060" s="13"/>
      <c r="E1060" s="53"/>
      <c r="F1060" s="13"/>
    </row>
    <row r="1061" spans="3:6" ht="21" customHeight="1" x14ac:dyDescent="0.2">
      <c r="C1061" s="53"/>
      <c r="D1061" s="13"/>
      <c r="E1061" s="53"/>
      <c r="F1061" s="13"/>
    </row>
    <row r="1062" spans="3:6" ht="21" customHeight="1" x14ac:dyDescent="0.2">
      <c r="C1062" s="53"/>
      <c r="D1062" s="13"/>
      <c r="E1062" s="53"/>
      <c r="F1062" s="13"/>
    </row>
    <row r="1063" spans="3:6" ht="21" customHeight="1" x14ac:dyDescent="0.2">
      <c r="C1063" s="53"/>
      <c r="D1063" s="13"/>
      <c r="E1063" s="53"/>
      <c r="F1063" s="13"/>
    </row>
    <row r="1064" spans="3:6" ht="21" customHeight="1" x14ac:dyDescent="0.2">
      <c r="C1064" s="53"/>
      <c r="D1064" s="13"/>
      <c r="E1064" s="53"/>
      <c r="F1064" s="13"/>
    </row>
    <row r="1065" spans="3:6" ht="21" customHeight="1" x14ac:dyDescent="0.2">
      <c r="C1065" s="53"/>
      <c r="D1065" s="13"/>
      <c r="E1065" s="53"/>
      <c r="F1065" s="13"/>
    </row>
    <row r="1066" spans="3:6" ht="21" customHeight="1" x14ac:dyDescent="0.2">
      <c r="C1066" s="53"/>
      <c r="D1066" s="13"/>
      <c r="E1066" s="53"/>
      <c r="F1066" s="13"/>
    </row>
    <row r="1067" spans="3:6" ht="21" customHeight="1" x14ac:dyDescent="0.2">
      <c r="C1067" s="53"/>
      <c r="D1067" s="13"/>
      <c r="E1067" s="53"/>
      <c r="F1067" s="13"/>
    </row>
    <row r="1068" spans="3:6" ht="21" customHeight="1" x14ac:dyDescent="0.2">
      <c r="C1068" s="53"/>
      <c r="D1068" s="13"/>
      <c r="E1068" s="53"/>
      <c r="F1068" s="13"/>
    </row>
    <row r="1069" spans="3:6" ht="21" customHeight="1" x14ac:dyDescent="0.2">
      <c r="C1069" s="53"/>
      <c r="D1069" s="13"/>
      <c r="E1069" s="53"/>
      <c r="F1069" s="13"/>
    </row>
    <row r="1070" spans="3:6" ht="21" customHeight="1" x14ac:dyDescent="0.2">
      <c r="C1070" s="53"/>
      <c r="D1070" s="13"/>
      <c r="E1070" s="53"/>
      <c r="F1070" s="13"/>
    </row>
    <row r="1071" spans="3:6" ht="21" customHeight="1" x14ac:dyDescent="0.2">
      <c r="C1071" s="53"/>
      <c r="D1071" s="13"/>
      <c r="E1071" s="53"/>
      <c r="F1071" s="13"/>
    </row>
    <row r="1072" spans="3:6" ht="21" customHeight="1" x14ac:dyDescent="0.2">
      <c r="C1072" s="53"/>
      <c r="D1072" s="13"/>
      <c r="E1072" s="53"/>
      <c r="F1072" s="13"/>
    </row>
    <row r="1073" spans="3:6" ht="21" customHeight="1" x14ac:dyDescent="0.2">
      <c r="C1073" s="53"/>
      <c r="D1073" s="13"/>
      <c r="E1073" s="53"/>
      <c r="F1073" s="13"/>
    </row>
    <row r="1074" spans="3:6" ht="21" customHeight="1" x14ac:dyDescent="0.2">
      <c r="C1074" s="53"/>
      <c r="D1074" s="13"/>
      <c r="E1074" s="53"/>
      <c r="F1074" s="13"/>
    </row>
    <row r="1075" spans="3:6" ht="21" customHeight="1" x14ac:dyDescent="0.2">
      <c r="C1075" s="53"/>
      <c r="D1075" s="13"/>
      <c r="E1075" s="53"/>
      <c r="F1075" s="13"/>
    </row>
    <row r="1076" spans="3:6" ht="21" customHeight="1" x14ac:dyDescent="0.2">
      <c r="C1076" s="53"/>
      <c r="D1076" s="13"/>
      <c r="E1076" s="53"/>
      <c r="F1076" s="13"/>
    </row>
    <row r="1077" spans="3:6" ht="21" customHeight="1" x14ac:dyDescent="0.2">
      <c r="C1077" s="53"/>
      <c r="D1077" s="13"/>
      <c r="E1077" s="53"/>
      <c r="F1077" s="13"/>
    </row>
    <row r="1078" spans="3:6" ht="21" customHeight="1" x14ac:dyDescent="0.2">
      <c r="C1078" s="53"/>
      <c r="D1078" s="13"/>
      <c r="E1078" s="53"/>
      <c r="F1078" s="13"/>
    </row>
    <row r="1079" spans="3:6" ht="21" customHeight="1" x14ac:dyDescent="0.2">
      <c r="C1079" s="53"/>
      <c r="D1079" s="13"/>
      <c r="E1079" s="53"/>
      <c r="F1079" s="13"/>
    </row>
    <row r="1080" spans="3:6" ht="21" customHeight="1" x14ac:dyDescent="0.2">
      <c r="C1080" s="53"/>
      <c r="D1080" s="13"/>
      <c r="E1080" s="53"/>
      <c r="F1080" s="13"/>
    </row>
    <row r="1081" spans="3:6" ht="21" customHeight="1" x14ac:dyDescent="0.2">
      <c r="C1081" s="53"/>
      <c r="D1081" s="13"/>
      <c r="E1081" s="53"/>
      <c r="F1081" s="13"/>
    </row>
    <row r="1082" spans="3:6" ht="21" customHeight="1" x14ac:dyDescent="0.2">
      <c r="C1082" s="53"/>
      <c r="D1082" s="13"/>
      <c r="E1082" s="53"/>
      <c r="F1082" s="13"/>
    </row>
    <row r="1083" spans="3:6" ht="21" customHeight="1" x14ac:dyDescent="0.2">
      <c r="C1083" s="53"/>
      <c r="D1083" s="13"/>
      <c r="E1083" s="53"/>
      <c r="F1083" s="13"/>
    </row>
    <row r="1084" spans="3:6" ht="21" customHeight="1" x14ac:dyDescent="0.2">
      <c r="C1084" s="53"/>
      <c r="D1084" s="13"/>
      <c r="E1084" s="53"/>
      <c r="F1084" s="13"/>
    </row>
    <row r="1085" spans="3:6" ht="21" customHeight="1" x14ac:dyDescent="0.2">
      <c r="C1085" s="53"/>
      <c r="D1085" s="13"/>
      <c r="E1085" s="53"/>
      <c r="F1085" s="13"/>
    </row>
    <row r="1086" spans="3:6" ht="21" customHeight="1" x14ac:dyDescent="0.2">
      <c r="C1086" s="53"/>
      <c r="D1086" s="13"/>
      <c r="E1086" s="53"/>
      <c r="F1086" s="13"/>
    </row>
    <row r="1087" spans="3:6" ht="21" customHeight="1" x14ac:dyDescent="0.2">
      <c r="C1087" s="53"/>
      <c r="D1087" s="13"/>
      <c r="E1087" s="53"/>
      <c r="F1087" s="13"/>
    </row>
    <row r="1088" spans="3:6" ht="21" customHeight="1" x14ac:dyDescent="0.2">
      <c r="C1088" s="53"/>
      <c r="D1088" s="13"/>
      <c r="E1088" s="53"/>
      <c r="F1088" s="13"/>
    </row>
    <row r="1089" spans="3:6" ht="21" customHeight="1" x14ac:dyDescent="0.2">
      <c r="C1089" s="53"/>
      <c r="D1089" s="13"/>
      <c r="E1089" s="53"/>
      <c r="F1089" s="13"/>
    </row>
    <row r="1090" spans="3:6" ht="21" customHeight="1" x14ac:dyDescent="0.2">
      <c r="C1090" s="53"/>
      <c r="D1090" s="13"/>
      <c r="E1090" s="53"/>
      <c r="F1090" s="13"/>
    </row>
    <row r="1091" spans="3:6" ht="21" customHeight="1" x14ac:dyDescent="0.2">
      <c r="C1091" s="53"/>
      <c r="D1091" s="13"/>
      <c r="E1091" s="53"/>
      <c r="F1091" s="13"/>
    </row>
    <row r="1092" spans="3:6" ht="21" customHeight="1" x14ac:dyDescent="0.2">
      <c r="C1092" s="53"/>
      <c r="D1092" s="13"/>
      <c r="E1092" s="53"/>
      <c r="F1092" s="13"/>
    </row>
    <row r="1093" spans="3:6" ht="21" customHeight="1" x14ac:dyDescent="0.2">
      <c r="C1093" s="53"/>
      <c r="D1093" s="13"/>
      <c r="E1093" s="53"/>
      <c r="F1093" s="13"/>
    </row>
    <row r="1094" spans="3:6" ht="21" customHeight="1" x14ac:dyDescent="0.2">
      <c r="C1094" s="53"/>
      <c r="D1094" s="13"/>
      <c r="E1094" s="53"/>
      <c r="F1094" s="13"/>
    </row>
    <row r="1095" spans="3:6" ht="21" customHeight="1" x14ac:dyDescent="0.2">
      <c r="C1095" s="53"/>
      <c r="D1095" s="13"/>
      <c r="E1095" s="53"/>
      <c r="F1095" s="13"/>
    </row>
    <row r="1096" spans="3:6" ht="21" customHeight="1" x14ac:dyDescent="0.2">
      <c r="C1096" s="53"/>
      <c r="D1096" s="13"/>
      <c r="E1096" s="53"/>
      <c r="F1096" s="13"/>
    </row>
    <row r="1097" spans="3:6" ht="21" customHeight="1" x14ac:dyDescent="0.2">
      <c r="C1097" s="53"/>
      <c r="D1097" s="13"/>
      <c r="E1097" s="53"/>
      <c r="F1097" s="13"/>
    </row>
    <row r="1098" spans="3:6" ht="21" customHeight="1" x14ac:dyDescent="0.2">
      <c r="C1098" s="53"/>
      <c r="D1098" s="13"/>
      <c r="E1098" s="53"/>
      <c r="F1098" s="13"/>
    </row>
    <row r="1099" spans="3:6" ht="21" customHeight="1" x14ac:dyDescent="0.2">
      <c r="C1099" s="53"/>
      <c r="D1099" s="13"/>
      <c r="E1099" s="53"/>
      <c r="F1099" s="13"/>
    </row>
    <row r="1100" spans="3:6" ht="21" customHeight="1" x14ac:dyDescent="0.2">
      <c r="C1100" s="53"/>
      <c r="D1100" s="13"/>
      <c r="E1100" s="53"/>
      <c r="F1100" s="13"/>
    </row>
    <row r="1101" spans="3:6" ht="21" customHeight="1" x14ac:dyDescent="0.2">
      <c r="C1101" s="53"/>
      <c r="D1101" s="13"/>
      <c r="E1101" s="53"/>
      <c r="F1101" s="13"/>
    </row>
    <row r="1102" spans="3:6" ht="21" customHeight="1" x14ac:dyDescent="0.2">
      <c r="C1102" s="53"/>
      <c r="D1102" s="13"/>
      <c r="E1102" s="53"/>
      <c r="F1102" s="13"/>
    </row>
    <row r="1103" spans="3:6" ht="21" customHeight="1" x14ac:dyDescent="0.2">
      <c r="C1103" s="53"/>
      <c r="D1103" s="13"/>
      <c r="E1103" s="53"/>
      <c r="F1103" s="13"/>
    </row>
    <row r="1104" spans="3:6" ht="21" customHeight="1" x14ac:dyDescent="0.2">
      <c r="C1104" s="53"/>
      <c r="D1104" s="13"/>
      <c r="E1104" s="53"/>
      <c r="F1104" s="13"/>
    </row>
    <row r="1105" spans="3:6" ht="21" customHeight="1" x14ac:dyDescent="0.2">
      <c r="C1105" s="53"/>
      <c r="D1105" s="13"/>
      <c r="E1105" s="53"/>
      <c r="F1105" s="13"/>
    </row>
    <row r="1106" spans="3:6" ht="21" customHeight="1" x14ac:dyDescent="0.2">
      <c r="C1106" s="53"/>
      <c r="D1106" s="13"/>
      <c r="E1106" s="53"/>
      <c r="F1106" s="13"/>
    </row>
    <row r="1107" spans="3:6" ht="21" customHeight="1" x14ac:dyDescent="0.2">
      <c r="C1107" s="53"/>
      <c r="D1107" s="13"/>
      <c r="E1107" s="53"/>
      <c r="F1107" s="13"/>
    </row>
    <row r="1108" spans="3:6" ht="21" customHeight="1" x14ac:dyDescent="0.2">
      <c r="C1108" s="53"/>
      <c r="D1108" s="13"/>
      <c r="E1108" s="53"/>
      <c r="F1108" s="13"/>
    </row>
    <row r="1109" spans="3:6" ht="21" customHeight="1" x14ac:dyDescent="0.2">
      <c r="C1109" s="53"/>
      <c r="D1109" s="13"/>
      <c r="E1109" s="53"/>
      <c r="F1109" s="13"/>
    </row>
    <row r="1110" spans="3:6" ht="21" customHeight="1" x14ac:dyDescent="0.2">
      <c r="C1110" s="53"/>
      <c r="D1110" s="13"/>
      <c r="E1110" s="53"/>
      <c r="F1110" s="13"/>
    </row>
    <row r="1111" spans="3:6" ht="21" customHeight="1" x14ac:dyDescent="0.2">
      <c r="C1111" s="53"/>
      <c r="D1111" s="13"/>
      <c r="E1111" s="53"/>
      <c r="F1111" s="13"/>
    </row>
    <row r="1112" spans="3:6" ht="21" customHeight="1" x14ac:dyDescent="0.2">
      <c r="C1112" s="53"/>
      <c r="D1112" s="13"/>
      <c r="E1112" s="53"/>
      <c r="F1112" s="13"/>
    </row>
    <row r="1113" spans="3:6" ht="21" customHeight="1" x14ac:dyDescent="0.2">
      <c r="C1113" s="53"/>
      <c r="D1113" s="13"/>
      <c r="E1113" s="53"/>
      <c r="F1113" s="13"/>
    </row>
    <row r="1114" spans="3:6" ht="21" customHeight="1" x14ac:dyDescent="0.2">
      <c r="C1114" s="53"/>
      <c r="D1114" s="13"/>
      <c r="E1114" s="53"/>
      <c r="F1114" s="13"/>
    </row>
    <row r="1115" spans="3:6" ht="21" customHeight="1" x14ac:dyDescent="0.2">
      <c r="C1115" s="53"/>
      <c r="D1115" s="13"/>
      <c r="E1115" s="53"/>
      <c r="F1115" s="13"/>
    </row>
    <row r="1116" spans="3:6" ht="21" customHeight="1" x14ac:dyDescent="0.2">
      <c r="C1116" s="53"/>
      <c r="D1116" s="13"/>
      <c r="E1116" s="53"/>
      <c r="F1116" s="13"/>
    </row>
    <row r="1117" spans="3:6" ht="21" customHeight="1" x14ac:dyDescent="0.2">
      <c r="C1117" s="53"/>
      <c r="D1117" s="13"/>
      <c r="E1117" s="53"/>
      <c r="F1117" s="13"/>
    </row>
    <row r="1118" spans="3:6" ht="21" customHeight="1" x14ac:dyDescent="0.2">
      <c r="C1118" s="53"/>
      <c r="D1118" s="13"/>
      <c r="E1118" s="53"/>
      <c r="F1118" s="13"/>
    </row>
    <row r="1119" spans="3:6" ht="21" customHeight="1" x14ac:dyDescent="0.2">
      <c r="C1119" s="53"/>
      <c r="D1119" s="13"/>
      <c r="E1119" s="53"/>
      <c r="F1119" s="13"/>
    </row>
    <row r="1120" spans="3:6" ht="21" customHeight="1" x14ac:dyDescent="0.2">
      <c r="C1120" s="53"/>
      <c r="D1120" s="13"/>
      <c r="E1120" s="53"/>
      <c r="F1120" s="13"/>
    </row>
    <row r="1121" spans="3:6" ht="21" customHeight="1" x14ac:dyDescent="0.2">
      <c r="C1121" s="53"/>
      <c r="D1121" s="13"/>
      <c r="E1121" s="53"/>
      <c r="F1121" s="13"/>
    </row>
    <row r="1122" spans="3:6" ht="21" customHeight="1" x14ac:dyDescent="0.2">
      <c r="C1122" s="53"/>
      <c r="D1122" s="13"/>
      <c r="E1122" s="53"/>
      <c r="F1122" s="13"/>
    </row>
    <row r="1123" spans="3:6" ht="21" customHeight="1" x14ac:dyDescent="0.2">
      <c r="C1123" s="53"/>
      <c r="D1123" s="13"/>
      <c r="E1123" s="53"/>
      <c r="F1123" s="13"/>
    </row>
    <row r="1124" spans="3:6" ht="21" customHeight="1" x14ac:dyDescent="0.2">
      <c r="C1124" s="53"/>
      <c r="D1124" s="13"/>
      <c r="E1124" s="53"/>
      <c r="F1124" s="13"/>
    </row>
    <row r="1125" spans="3:6" ht="21" customHeight="1" x14ac:dyDescent="0.2">
      <c r="C1125" s="53"/>
      <c r="D1125" s="13"/>
      <c r="E1125" s="53"/>
      <c r="F1125" s="13"/>
    </row>
    <row r="1126" spans="3:6" ht="21" customHeight="1" x14ac:dyDescent="0.2">
      <c r="C1126" s="53"/>
      <c r="D1126" s="13"/>
      <c r="E1126" s="53"/>
      <c r="F1126" s="13"/>
    </row>
    <row r="1127" spans="3:6" ht="21" customHeight="1" x14ac:dyDescent="0.2">
      <c r="C1127" s="53"/>
      <c r="D1127" s="13"/>
      <c r="E1127" s="53"/>
      <c r="F1127" s="13"/>
    </row>
    <row r="1128" spans="3:6" ht="21" customHeight="1" x14ac:dyDescent="0.2">
      <c r="C1128" s="53"/>
      <c r="D1128" s="13"/>
      <c r="E1128" s="53"/>
      <c r="F1128" s="13"/>
    </row>
    <row r="1129" spans="3:6" ht="21" customHeight="1" x14ac:dyDescent="0.2">
      <c r="C1129" s="53"/>
      <c r="D1129" s="13"/>
      <c r="E1129" s="53"/>
      <c r="F1129" s="13"/>
    </row>
    <row r="1130" spans="3:6" ht="21" customHeight="1" x14ac:dyDescent="0.2">
      <c r="C1130" s="53"/>
      <c r="D1130" s="13"/>
      <c r="E1130" s="53"/>
      <c r="F1130" s="13"/>
    </row>
    <row r="1131" spans="3:6" ht="21" customHeight="1" x14ac:dyDescent="0.2">
      <c r="C1131" s="53"/>
      <c r="D1131" s="13"/>
      <c r="E1131" s="53"/>
      <c r="F1131" s="13"/>
    </row>
    <row r="1132" spans="3:6" ht="21" customHeight="1" x14ac:dyDescent="0.2">
      <c r="C1132" s="53"/>
      <c r="D1132" s="13"/>
      <c r="E1132" s="53"/>
      <c r="F1132" s="13"/>
    </row>
    <row r="1133" spans="3:6" ht="21" customHeight="1" x14ac:dyDescent="0.2">
      <c r="C1133" s="53"/>
      <c r="D1133" s="13"/>
      <c r="E1133" s="53"/>
      <c r="F1133" s="13"/>
    </row>
    <row r="1134" spans="3:6" ht="21" customHeight="1" x14ac:dyDescent="0.2">
      <c r="C1134" s="53"/>
      <c r="D1134" s="13"/>
      <c r="E1134" s="53"/>
      <c r="F1134" s="13"/>
    </row>
    <row r="1135" spans="3:6" ht="21" customHeight="1" x14ac:dyDescent="0.2">
      <c r="C1135" s="53"/>
      <c r="D1135" s="13"/>
      <c r="E1135" s="53"/>
      <c r="F1135" s="13"/>
    </row>
    <row r="1136" spans="3:6" ht="21" customHeight="1" x14ac:dyDescent="0.2">
      <c r="C1136" s="53"/>
      <c r="D1136" s="13"/>
      <c r="E1136" s="53"/>
      <c r="F1136" s="13"/>
    </row>
    <row r="1137" spans="3:6" ht="21" customHeight="1" x14ac:dyDescent="0.2">
      <c r="C1137" s="53"/>
      <c r="D1137" s="13"/>
      <c r="E1137" s="53"/>
      <c r="F1137" s="13"/>
    </row>
    <row r="1138" spans="3:6" ht="21" customHeight="1" x14ac:dyDescent="0.2">
      <c r="C1138" s="53"/>
      <c r="D1138" s="13"/>
      <c r="E1138" s="53"/>
      <c r="F1138" s="13"/>
    </row>
    <row r="1139" spans="3:6" ht="21" customHeight="1" x14ac:dyDescent="0.2">
      <c r="C1139" s="53"/>
      <c r="D1139" s="13"/>
      <c r="E1139" s="53"/>
      <c r="F1139" s="13"/>
    </row>
    <row r="1140" spans="3:6" ht="21" customHeight="1" x14ac:dyDescent="0.2">
      <c r="C1140" s="53"/>
      <c r="D1140" s="13"/>
      <c r="E1140" s="53"/>
      <c r="F1140" s="13"/>
    </row>
    <row r="1141" spans="3:6" ht="21" customHeight="1" x14ac:dyDescent="0.2">
      <c r="C1141" s="53"/>
      <c r="D1141" s="13"/>
      <c r="E1141" s="53"/>
      <c r="F1141" s="13"/>
    </row>
    <row r="1142" spans="3:6" ht="21" customHeight="1" x14ac:dyDescent="0.2">
      <c r="C1142" s="53"/>
      <c r="D1142" s="13"/>
      <c r="E1142" s="53"/>
      <c r="F1142" s="13"/>
    </row>
    <row r="1143" spans="3:6" ht="21" customHeight="1" x14ac:dyDescent="0.2">
      <c r="C1143" s="53"/>
      <c r="D1143" s="13"/>
      <c r="E1143" s="53"/>
      <c r="F1143" s="13"/>
    </row>
    <row r="1144" spans="3:6" ht="21" customHeight="1" x14ac:dyDescent="0.2">
      <c r="C1144" s="53"/>
      <c r="D1144" s="13"/>
      <c r="E1144" s="53"/>
      <c r="F1144" s="13"/>
    </row>
    <row r="1145" spans="3:6" ht="21" customHeight="1" x14ac:dyDescent="0.2">
      <c r="C1145" s="53"/>
      <c r="D1145" s="13"/>
      <c r="E1145" s="53"/>
      <c r="F1145" s="13"/>
    </row>
    <row r="1146" spans="3:6" ht="21" customHeight="1" x14ac:dyDescent="0.2">
      <c r="C1146" s="53"/>
      <c r="D1146" s="13"/>
      <c r="E1146" s="53"/>
      <c r="F1146" s="13"/>
    </row>
    <row r="1147" spans="3:6" ht="21" customHeight="1" x14ac:dyDescent="0.2">
      <c r="C1147" s="53"/>
      <c r="D1147" s="13"/>
      <c r="E1147" s="53"/>
      <c r="F1147" s="13"/>
    </row>
    <row r="1148" spans="3:6" ht="21" customHeight="1" x14ac:dyDescent="0.2">
      <c r="C1148" s="53"/>
      <c r="D1148" s="13"/>
      <c r="E1148" s="53"/>
      <c r="F1148" s="13"/>
    </row>
    <row r="1149" spans="3:6" ht="21" customHeight="1" x14ac:dyDescent="0.2">
      <c r="C1149" s="53"/>
      <c r="D1149" s="13"/>
      <c r="E1149" s="53"/>
      <c r="F1149" s="13"/>
    </row>
    <row r="1150" spans="3:6" ht="21" customHeight="1" x14ac:dyDescent="0.2">
      <c r="C1150" s="53"/>
      <c r="D1150" s="13"/>
      <c r="E1150" s="53"/>
      <c r="F1150" s="13"/>
    </row>
    <row r="1151" spans="3:6" ht="21" customHeight="1" x14ac:dyDescent="0.2">
      <c r="C1151" s="53"/>
      <c r="D1151" s="13"/>
      <c r="E1151" s="53"/>
      <c r="F1151" s="13"/>
    </row>
    <row r="1152" spans="3:6" ht="21" customHeight="1" x14ac:dyDescent="0.2">
      <c r="C1152" s="53"/>
      <c r="D1152" s="13"/>
      <c r="E1152" s="53"/>
      <c r="F1152" s="13"/>
    </row>
    <row r="1153" spans="3:6" ht="21" customHeight="1" x14ac:dyDescent="0.2">
      <c r="C1153" s="53"/>
      <c r="D1153" s="13"/>
      <c r="E1153" s="53"/>
      <c r="F1153" s="13"/>
    </row>
    <row r="1154" spans="3:6" ht="21" customHeight="1" x14ac:dyDescent="0.2">
      <c r="C1154" s="53"/>
      <c r="D1154" s="13"/>
      <c r="E1154" s="53"/>
      <c r="F1154" s="13"/>
    </row>
    <row r="1155" spans="3:6" ht="21" customHeight="1" x14ac:dyDescent="0.2">
      <c r="C1155" s="53"/>
      <c r="D1155" s="13"/>
      <c r="E1155" s="53"/>
      <c r="F1155" s="13"/>
    </row>
    <row r="1156" spans="3:6" ht="21" customHeight="1" x14ac:dyDescent="0.2">
      <c r="C1156" s="53"/>
      <c r="D1156" s="13"/>
      <c r="E1156" s="53"/>
      <c r="F1156" s="13"/>
    </row>
    <row r="1157" spans="3:6" ht="21" customHeight="1" x14ac:dyDescent="0.2">
      <c r="C1157" s="53"/>
      <c r="D1157" s="13"/>
      <c r="E1157" s="53"/>
      <c r="F1157" s="13"/>
    </row>
    <row r="1158" spans="3:6" ht="21" customHeight="1" x14ac:dyDescent="0.2">
      <c r="C1158" s="53"/>
      <c r="D1158" s="13"/>
      <c r="E1158" s="53"/>
      <c r="F1158" s="13"/>
    </row>
    <row r="1159" spans="3:6" ht="21" customHeight="1" x14ac:dyDescent="0.2">
      <c r="C1159" s="53"/>
      <c r="D1159" s="13"/>
      <c r="E1159" s="53"/>
      <c r="F1159" s="13"/>
    </row>
    <row r="1160" spans="3:6" ht="21" customHeight="1" x14ac:dyDescent="0.2">
      <c r="C1160" s="53"/>
      <c r="D1160" s="13"/>
      <c r="E1160" s="53"/>
      <c r="F1160" s="13"/>
    </row>
    <row r="1161" spans="3:6" ht="21" customHeight="1" x14ac:dyDescent="0.2">
      <c r="C1161" s="53"/>
      <c r="D1161" s="13"/>
      <c r="E1161" s="53"/>
      <c r="F1161" s="13"/>
    </row>
    <row r="1162" spans="3:6" ht="21" customHeight="1" x14ac:dyDescent="0.2">
      <c r="C1162" s="53"/>
      <c r="D1162" s="13"/>
      <c r="E1162" s="53"/>
      <c r="F1162" s="13"/>
    </row>
    <row r="1163" spans="3:6" ht="21" customHeight="1" x14ac:dyDescent="0.2">
      <c r="C1163" s="53"/>
      <c r="D1163" s="13"/>
      <c r="E1163" s="53"/>
      <c r="F1163" s="13"/>
    </row>
    <row r="1164" spans="3:6" ht="21" customHeight="1" x14ac:dyDescent="0.2">
      <c r="C1164" s="53"/>
      <c r="D1164" s="13"/>
      <c r="E1164" s="53"/>
      <c r="F1164" s="13"/>
    </row>
    <row r="1165" spans="3:6" ht="21" customHeight="1" x14ac:dyDescent="0.2">
      <c r="C1165" s="53"/>
      <c r="D1165" s="13"/>
      <c r="E1165" s="53"/>
      <c r="F1165" s="13"/>
    </row>
    <row r="1166" spans="3:6" ht="21" customHeight="1" x14ac:dyDescent="0.2">
      <c r="C1166" s="53"/>
      <c r="D1166" s="13"/>
      <c r="E1166" s="53"/>
      <c r="F1166" s="13"/>
    </row>
    <row r="1167" spans="3:6" ht="21" customHeight="1" x14ac:dyDescent="0.2">
      <c r="C1167" s="53"/>
      <c r="D1167" s="13"/>
      <c r="E1167" s="53"/>
      <c r="F1167" s="13"/>
    </row>
    <row r="1168" spans="3:6" ht="21" customHeight="1" x14ac:dyDescent="0.2">
      <c r="C1168" s="53"/>
      <c r="D1168" s="13"/>
      <c r="E1168" s="53"/>
      <c r="F1168" s="13"/>
    </row>
    <row r="1169" spans="3:6" ht="21" customHeight="1" x14ac:dyDescent="0.2">
      <c r="C1169" s="53"/>
      <c r="D1169" s="13"/>
      <c r="E1169" s="53"/>
      <c r="F1169" s="13"/>
    </row>
    <row r="1170" spans="3:6" ht="21" customHeight="1" x14ac:dyDescent="0.2">
      <c r="C1170" s="53"/>
      <c r="D1170" s="13"/>
      <c r="E1170" s="53"/>
      <c r="F1170" s="13"/>
    </row>
    <row r="1171" spans="3:6" ht="21" customHeight="1" x14ac:dyDescent="0.2">
      <c r="C1171" s="53"/>
      <c r="D1171" s="13"/>
      <c r="E1171" s="53"/>
      <c r="F1171" s="13"/>
    </row>
    <row r="1172" spans="3:6" ht="21" customHeight="1" x14ac:dyDescent="0.2">
      <c r="C1172" s="53"/>
      <c r="D1172" s="13"/>
      <c r="E1172" s="53"/>
      <c r="F1172" s="13"/>
    </row>
    <row r="1173" spans="3:6" ht="21" customHeight="1" x14ac:dyDescent="0.2">
      <c r="C1173" s="53"/>
      <c r="D1173" s="13"/>
      <c r="E1173" s="53"/>
      <c r="F1173" s="13"/>
    </row>
    <row r="1174" spans="3:6" ht="21" customHeight="1" x14ac:dyDescent="0.2">
      <c r="C1174" s="53"/>
      <c r="D1174" s="13"/>
      <c r="E1174" s="53"/>
      <c r="F1174" s="13"/>
    </row>
    <row r="1175" spans="3:6" ht="21" customHeight="1" x14ac:dyDescent="0.2">
      <c r="C1175" s="53"/>
      <c r="D1175" s="13"/>
      <c r="E1175" s="53"/>
      <c r="F1175" s="13"/>
    </row>
    <row r="1176" spans="3:6" ht="21" customHeight="1" x14ac:dyDescent="0.2">
      <c r="C1176" s="53"/>
      <c r="D1176" s="13"/>
      <c r="E1176" s="53"/>
      <c r="F1176" s="13"/>
    </row>
    <row r="1177" spans="3:6" ht="21" customHeight="1" x14ac:dyDescent="0.2">
      <c r="C1177" s="53"/>
      <c r="D1177" s="13"/>
      <c r="E1177" s="53"/>
      <c r="F1177" s="13"/>
    </row>
    <row r="1178" spans="3:6" ht="21" customHeight="1" x14ac:dyDescent="0.2">
      <c r="C1178" s="53"/>
      <c r="D1178" s="13"/>
      <c r="E1178" s="53"/>
      <c r="F1178" s="13"/>
    </row>
    <row r="1179" spans="3:6" ht="21" customHeight="1" x14ac:dyDescent="0.2">
      <c r="C1179" s="53"/>
      <c r="D1179" s="13"/>
      <c r="E1179" s="53"/>
      <c r="F1179" s="13"/>
    </row>
    <row r="1180" spans="3:6" ht="21" customHeight="1" x14ac:dyDescent="0.2">
      <c r="C1180" s="53"/>
      <c r="D1180" s="13"/>
      <c r="E1180" s="53"/>
      <c r="F1180" s="13"/>
    </row>
    <row r="1181" spans="3:6" ht="21" customHeight="1" x14ac:dyDescent="0.2">
      <c r="C1181" s="53"/>
      <c r="D1181" s="13"/>
      <c r="E1181" s="53"/>
      <c r="F1181" s="13"/>
    </row>
    <row r="1182" spans="3:6" ht="21" customHeight="1" x14ac:dyDescent="0.2">
      <c r="C1182" s="53"/>
      <c r="D1182" s="13"/>
      <c r="E1182" s="53"/>
      <c r="F1182" s="13"/>
    </row>
    <row r="1183" spans="3:6" ht="21" customHeight="1" x14ac:dyDescent="0.2">
      <c r="C1183" s="53"/>
      <c r="D1183" s="13"/>
      <c r="E1183" s="53"/>
      <c r="F1183" s="13"/>
    </row>
    <row r="1184" spans="3:6" ht="21" customHeight="1" x14ac:dyDescent="0.2">
      <c r="C1184" s="53"/>
      <c r="D1184" s="13"/>
      <c r="E1184" s="53"/>
      <c r="F1184" s="13"/>
    </row>
    <row r="1185" spans="3:6" ht="21" customHeight="1" x14ac:dyDescent="0.2">
      <c r="C1185" s="53"/>
      <c r="D1185" s="13"/>
      <c r="E1185" s="53"/>
      <c r="F1185" s="13"/>
    </row>
    <row r="1186" spans="3:6" ht="21" customHeight="1" x14ac:dyDescent="0.2">
      <c r="C1186" s="53"/>
      <c r="D1186" s="13"/>
      <c r="E1186" s="53"/>
      <c r="F1186" s="13"/>
    </row>
    <row r="1187" spans="3:6" ht="21" customHeight="1" x14ac:dyDescent="0.2">
      <c r="C1187" s="53"/>
      <c r="D1187" s="13"/>
      <c r="E1187" s="53"/>
      <c r="F1187" s="13"/>
    </row>
    <row r="1188" spans="3:6" ht="21" customHeight="1" x14ac:dyDescent="0.2">
      <c r="C1188" s="53"/>
      <c r="D1188" s="13"/>
      <c r="E1188" s="53"/>
      <c r="F1188" s="13"/>
    </row>
    <row r="1189" spans="3:6" ht="21" customHeight="1" x14ac:dyDescent="0.2">
      <c r="C1189" s="53"/>
      <c r="D1189" s="13"/>
      <c r="E1189" s="53"/>
      <c r="F1189" s="13"/>
    </row>
    <row r="1190" spans="3:6" ht="21" customHeight="1" x14ac:dyDescent="0.2">
      <c r="C1190" s="53"/>
      <c r="D1190" s="13"/>
      <c r="E1190" s="53"/>
      <c r="F1190" s="13"/>
    </row>
    <row r="1191" spans="3:6" ht="21" customHeight="1" x14ac:dyDescent="0.2">
      <c r="C1191" s="53"/>
      <c r="D1191" s="13"/>
      <c r="E1191" s="53"/>
      <c r="F1191" s="13"/>
    </row>
    <row r="1192" spans="3:6" ht="21" customHeight="1" x14ac:dyDescent="0.2">
      <c r="C1192" s="53"/>
      <c r="D1192" s="13"/>
      <c r="E1192" s="53"/>
      <c r="F1192" s="13"/>
    </row>
    <row r="1193" spans="3:6" ht="21" customHeight="1" x14ac:dyDescent="0.2">
      <c r="C1193" s="53"/>
      <c r="D1193" s="13"/>
      <c r="E1193" s="53"/>
      <c r="F1193" s="13"/>
    </row>
    <row r="1194" spans="3:6" ht="21" customHeight="1" x14ac:dyDescent="0.2">
      <c r="C1194" s="53"/>
      <c r="D1194" s="13"/>
      <c r="E1194" s="53"/>
      <c r="F1194" s="13"/>
    </row>
    <row r="1195" spans="3:6" ht="21" customHeight="1" x14ac:dyDescent="0.2">
      <c r="C1195" s="53"/>
      <c r="D1195" s="13"/>
      <c r="E1195" s="53"/>
      <c r="F1195" s="13"/>
    </row>
    <row r="1196" spans="3:6" ht="21" customHeight="1" x14ac:dyDescent="0.2">
      <c r="C1196" s="53"/>
      <c r="D1196" s="13"/>
      <c r="E1196" s="53"/>
      <c r="F1196" s="13"/>
    </row>
    <row r="1197" spans="3:6" ht="21" customHeight="1" x14ac:dyDescent="0.2">
      <c r="C1197" s="53"/>
      <c r="D1197" s="13"/>
      <c r="E1197" s="53"/>
      <c r="F1197" s="13"/>
    </row>
    <row r="1198" spans="3:6" ht="21" customHeight="1" x14ac:dyDescent="0.2">
      <c r="C1198" s="53"/>
      <c r="D1198" s="13"/>
      <c r="E1198" s="53"/>
      <c r="F1198" s="13"/>
    </row>
    <row r="1199" spans="3:6" ht="21" customHeight="1" x14ac:dyDescent="0.2">
      <c r="C1199" s="53"/>
      <c r="D1199" s="13"/>
      <c r="E1199" s="53"/>
      <c r="F1199" s="13"/>
    </row>
    <row r="1200" spans="3:6" ht="21" customHeight="1" x14ac:dyDescent="0.2">
      <c r="C1200" s="53"/>
      <c r="D1200" s="13"/>
      <c r="E1200" s="53"/>
      <c r="F1200" s="13"/>
    </row>
    <row r="1201" spans="3:6" ht="21" customHeight="1" x14ac:dyDescent="0.2">
      <c r="C1201" s="53"/>
      <c r="D1201" s="13"/>
      <c r="E1201" s="53"/>
      <c r="F1201" s="13"/>
    </row>
    <row r="1202" spans="3:6" ht="21" customHeight="1" x14ac:dyDescent="0.2">
      <c r="C1202" s="53"/>
      <c r="D1202" s="13"/>
      <c r="E1202" s="53"/>
      <c r="F1202" s="13"/>
    </row>
    <row r="1203" spans="3:6" ht="21" customHeight="1" x14ac:dyDescent="0.2">
      <c r="C1203" s="53"/>
      <c r="D1203" s="13"/>
      <c r="E1203" s="53"/>
      <c r="F1203" s="13"/>
    </row>
    <row r="1204" spans="3:6" ht="21" customHeight="1" x14ac:dyDescent="0.2">
      <c r="C1204" s="53"/>
      <c r="D1204" s="13"/>
      <c r="E1204" s="53"/>
      <c r="F1204" s="13"/>
    </row>
    <row r="1205" spans="3:6" ht="21" customHeight="1" x14ac:dyDescent="0.2">
      <c r="C1205" s="53"/>
      <c r="D1205" s="13"/>
      <c r="E1205" s="53"/>
      <c r="F1205" s="13"/>
    </row>
    <row r="1206" spans="3:6" ht="21" customHeight="1" x14ac:dyDescent="0.2">
      <c r="C1206" s="53"/>
      <c r="D1206" s="13"/>
      <c r="E1206" s="53"/>
      <c r="F1206" s="13"/>
    </row>
    <row r="1207" spans="3:6" ht="21" customHeight="1" x14ac:dyDescent="0.2">
      <c r="C1207" s="53"/>
      <c r="D1207" s="13"/>
      <c r="E1207" s="53"/>
      <c r="F1207" s="13"/>
    </row>
    <row r="1208" spans="3:6" ht="21" customHeight="1" x14ac:dyDescent="0.2">
      <c r="C1208" s="53"/>
      <c r="D1208" s="13"/>
      <c r="E1208" s="53"/>
      <c r="F1208" s="13"/>
    </row>
    <row r="1209" spans="3:6" ht="21" customHeight="1" x14ac:dyDescent="0.2">
      <c r="C1209" s="53"/>
      <c r="D1209" s="13"/>
      <c r="E1209" s="53"/>
      <c r="F1209" s="13"/>
    </row>
    <row r="1210" spans="3:6" ht="21" customHeight="1" x14ac:dyDescent="0.2">
      <c r="C1210" s="53"/>
      <c r="D1210" s="13"/>
      <c r="E1210" s="53"/>
      <c r="F1210" s="13"/>
    </row>
    <row r="1211" spans="3:6" ht="21" customHeight="1" x14ac:dyDescent="0.2">
      <c r="C1211" s="53"/>
      <c r="D1211" s="13"/>
      <c r="E1211" s="53"/>
      <c r="F1211" s="13"/>
    </row>
    <row r="1212" spans="3:6" ht="21" customHeight="1" x14ac:dyDescent="0.2">
      <c r="C1212" s="53"/>
      <c r="D1212" s="13"/>
      <c r="E1212" s="53"/>
      <c r="F1212" s="13"/>
    </row>
    <row r="1213" spans="3:6" ht="21" customHeight="1" x14ac:dyDescent="0.2">
      <c r="C1213" s="53"/>
      <c r="D1213" s="13"/>
      <c r="E1213" s="53"/>
      <c r="F1213" s="13"/>
    </row>
    <row r="1214" spans="3:6" ht="21" customHeight="1" x14ac:dyDescent="0.2">
      <c r="C1214" s="53"/>
      <c r="D1214" s="13"/>
      <c r="E1214" s="53"/>
      <c r="F1214" s="13"/>
    </row>
    <row r="1215" spans="3:6" ht="21" customHeight="1" x14ac:dyDescent="0.2">
      <c r="C1215" s="53"/>
      <c r="D1215" s="13"/>
      <c r="E1215" s="53"/>
      <c r="F1215" s="13"/>
    </row>
    <row r="1216" spans="3:6" ht="21" customHeight="1" x14ac:dyDescent="0.2">
      <c r="C1216" s="53"/>
      <c r="D1216" s="13"/>
      <c r="E1216" s="53"/>
      <c r="F1216" s="13"/>
    </row>
    <row r="1217" spans="3:6" ht="21" customHeight="1" x14ac:dyDescent="0.2">
      <c r="C1217" s="53"/>
      <c r="D1217" s="13"/>
      <c r="E1217" s="53"/>
      <c r="F1217" s="13"/>
    </row>
    <row r="1218" spans="3:6" ht="21" customHeight="1" x14ac:dyDescent="0.2">
      <c r="C1218" s="53"/>
      <c r="D1218" s="13"/>
      <c r="E1218" s="53"/>
      <c r="F1218" s="13"/>
    </row>
    <row r="1219" spans="3:6" ht="21" customHeight="1" x14ac:dyDescent="0.2">
      <c r="C1219" s="53"/>
      <c r="D1219" s="13"/>
      <c r="E1219" s="53"/>
      <c r="F1219" s="13"/>
    </row>
    <row r="1220" spans="3:6" ht="21" customHeight="1" x14ac:dyDescent="0.2">
      <c r="C1220" s="53"/>
      <c r="D1220" s="13"/>
      <c r="E1220" s="53"/>
      <c r="F1220" s="13"/>
    </row>
    <row r="1221" spans="3:6" ht="21" customHeight="1" x14ac:dyDescent="0.2">
      <c r="C1221" s="53"/>
      <c r="D1221" s="13"/>
      <c r="E1221" s="53"/>
      <c r="F1221" s="13"/>
    </row>
    <row r="1222" spans="3:6" ht="21" customHeight="1" x14ac:dyDescent="0.2">
      <c r="C1222" s="53"/>
      <c r="D1222" s="13"/>
      <c r="E1222" s="53"/>
      <c r="F1222" s="13"/>
    </row>
    <row r="1223" spans="3:6" ht="21" customHeight="1" x14ac:dyDescent="0.2">
      <c r="C1223" s="53"/>
      <c r="D1223" s="13"/>
      <c r="E1223" s="53"/>
      <c r="F1223" s="13"/>
    </row>
    <row r="1224" spans="3:6" ht="21" customHeight="1" x14ac:dyDescent="0.2">
      <c r="C1224" s="53"/>
      <c r="D1224" s="13"/>
      <c r="E1224" s="53"/>
      <c r="F1224" s="13"/>
    </row>
    <row r="1225" spans="3:6" ht="21" customHeight="1" x14ac:dyDescent="0.2">
      <c r="C1225" s="53"/>
      <c r="D1225" s="13"/>
      <c r="E1225" s="53"/>
      <c r="F1225" s="13"/>
    </row>
    <row r="1226" spans="3:6" ht="21" customHeight="1" x14ac:dyDescent="0.2">
      <c r="C1226" s="53"/>
      <c r="D1226" s="13"/>
      <c r="E1226" s="53"/>
      <c r="F1226" s="13"/>
    </row>
    <row r="1227" spans="3:6" ht="21" customHeight="1" x14ac:dyDescent="0.2">
      <c r="C1227" s="53"/>
      <c r="D1227" s="13"/>
      <c r="E1227" s="53"/>
      <c r="F1227" s="13"/>
    </row>
    <row r="1228" spans="3:6" ht="21" customHeight="1" x14ac:dyDescent="0.2">
      <c r="C1228" s="53"/>
      <c r="D1228" s="13"/>
      <c r="E1228" s="53"/>
      <c r="F1228" s="13"/>
    </row>
    <row r="1229" spans="3:6" ht="21" customHeight="1" x14ac:dyDescent="0.2">
      <c r="C1229" s="53"/>
      <c r="D1229" s="13"/>
      <c r="E1229" s="53"/>
      <c r="F1229" s="13"/>
    </row>
    <row r="1230" spans="3:6" ht="21" customHeight="1" x14ac:dyDescent="0.2">
      <c r="C1230" s="53"/>
      <c r="D1230" s="13"/>
      <c r="E1230" s="53"/>
      <c r="F1230" s="13"/>
    </row>
    <row r="1231" spans="3:6" ht="21" customHeight="1" x14ac:dyDescent="0.2">
      <c r="C1231" s="53"/>
      <c r="D1231" s="13"/>
      <c r="E1231" s="53"/>
      <c r="F1231" s="13"/>
    </row>
    <row r="1232" spans="3:6" ht="21" customHeight="1" x14ac:dyDescent="0.2">
      <c r="C1232" s="53"/>
      <c r="D1232" s="13"/>
      <c r="E1232" s="53"/>
      <c r="F1232" s="13"/>
    </row>
    <row r="1233" spans="3:6" ht="21" customHeight="1" x14ac:dyDescent="0.2">
      <c r="C1233" s="53"/>
      <c r="D1233" s="13"/>
      <c r="E1233" s="53"/>
      <c r="F1233" s="13"/>
    </row>
    <row r="1234" spans="3:6" ht="21" customHeight="1" x14ac:dyDescent="0.2">
      <c r="C1234" s="53"/>
      <c r="D1234" s="13"/>
      <c r="E1234" s="53"/>
      <c r="F1234" s="13"/>
    </row>
    <row r="1235" spans="3:6" ht="21" customHeight="1" x14ac:dyDescent="0.2">
      <c r="C1235" s="53"/>
      <c r="D1235" s="13"/>
      <c r="E1235" s="53"/>
      <c r="F1235" s="13"/>
    </row>
    <row r="1236" spans="3:6" ht="21" customHeight="1" x14ac:dyDescent="0.2">
      <c r="C1236" s="53"/>
      <c r="D1236" s="13"/>
      <c r="E1236" s="53"/>
      <c r="F1236" s="13"/>
    </row>
    <row r="1237" spans="3:6" ht="21" customHeight="1" x14ac:dyDescent="0.2">
      <c r="C1237" s="53"/>
      <c r="D1237" s="13"/>
      <c r="E1237" s="53"/>
      <c r="F1237" s="13"/>
    </row>
    <row r="1238" spans="3:6" ht="21" customHeight="1" x14ac:dyDescent="0.2">
      <c r="C1238" s="53"/>
      <c r="D1238" s="13"/>
      <c r="E1238" s="53"/>
      <c r="F1238" s="13"/>
    </row>
    <row r="1239" spans="3:6" ht="21" customHeight="1" x14ac:dyDescent="0.2">
      <c r="C1239" s="53"/>
      <c r="D1239" s="13"/>
      <c r="E1239" s="53"/>
      <c r="F1239" s="13"/>
    </row>
    <row r="1240" spans="3:6" ht="21" customHeight="1" x14ac:dyDescent="0.2">
      <c r="C1240" s="53"/>
      <c r="D1240" s="13"/>
      <c r="E1240" s="53"/>
      <c r="F1240" s="13"/>
    </row>
    <row r="1241" spans="3:6" ht="21" customHeight="1" x14ac:dyDescent="0.2">
      <c r="C1241" s="53"/>
      <c r="D1241" s="13"/>
      <c r="E1241" s="53"/>
      <c r="F1241" s="13"/>
    </row>
    <row r="1242" spans="3:6" ht="21" customHeight="1" x14ac:dyDescent="0.2">
      <c r="C1242" s="53"/>
      <c r="D1242" s="13"/>
      <c r="E1242" s="53"/>
      <c r="F1242" s="13"/>
    </row>
    <row r="1243" spans="3:6" ht="21" customHeight="1" x14ac:dyDescent="0.2">
      <c r="C1243" s="53"/>
      <c r="D1243" s="13"/>
      <c r="E1243" s="53"/>
      <c r="F1243" s="13"/>
    </row>
    <row r="1244" spans="3:6" ht="21" customHeight="1" x14ac:dyDescent="0.2">
      <c r="C1244" s="53"/>
      <c r="D1244" s="13"/>
      <c r="E1244" s="53"/>
      <c r="F1244" s="13"/>
    </row>
    <row r="1245" spans="3:6" ht="21" customHeight="1" x14ac:dyDescent="0.2">
      <c r="C1245" s="53"/>
      <c r="D1245" s="13"/>
      <c r="E1245" s="53"/>
      <c r="F1245" s="13"/>
    </row>
    <row r="1246" spans="3:6" ht="21" customHeight="1" x14ac:dyDescent="0.2">
      <c r="C1246" s="53"/>
      <c r="D1246" s="13"/>
      <c r="E1246" s="53"/>
      <c r="F1246" s="13"/>
    </row>
    <row r="1247" spans="3:6" ht="21" customHeight="1" x14ac:dyDescent="0.2">
      <c r="C1247" s="53"/>
      <c r="D1247" s="13"/>
      <c r="E1247" s="53"/>
      <c r="F1247" s="13"/>
    </row>
    <row r="1248" spans="3:6" ht="21" customHeight="1" x14ac:dyDescent="0.2">
      <c r="C1248" s="53"/>
      <c r="D1248" s="13"/>
      <c r="E1248" s="53"/>
      <c r="F1248" s="13"/>
    </row>
    <row r="1249" spans="3:6" ht="21" customHeight="1" x14ac:dyDescent="0.2">
      <c r="C1249" s="53"/>
      <c r="D1249" s="13"/>
      <c r="E1249" s="53"/>
      <c r="F1249" s="13"/>
    </row>
    <row r="1250" spans="3:6" ht="21" customHeight="1" x14ac:dyDescent="0.2">
      <c r="C1250" s="53"/>
      <c r="D1250" s="13"/>
      <c r="E1250" s="53"/>
      <c r="F1250" s="13"/>
    </row>
    <row r="1251" spans="3:6" ht="21" customHeight="1" x14ac:dyDescent="0.2">
      <c r="C1251" s="53"/>
      <c r="D1251" s="13"/>
      <c r="E1251" s="53"/>
      <c r="F1251" s="13"/>
    </row>
    <row r="1252" spans="3:6" ht="21" customHeight="1" x14ac:dyDescent="0.2">
      <c r="C1252" s="53"/>
      <c r="D1252" s="13"/>
      <c r="E1252" s="53"/>
      <c r="F1252" s="13"/>
    </row>
    <row r="1253" spans="3:6" ht="21" customHeight="1" x14ac:dyDescent="0.2">
      <c r="C1253" s="53"/>
      <c r="D1253" s="13"/>
      <c r="E1253" s="53"/>
      <c r="F1253" s="13"/>
    </row>
    <row r="1254" spans="3:6" ht="21" customHeight="1" x14ac:dyDescent="0.2">
      <c r="C1254" s="53"/>
      <c r="D1254" s="13"/>
      <c r="E1254" s="53"/>
      <c r="F1254" s="13"/>
    </row>
    <row r="1255" spans="3:6" ht="21" customHeight="1" x14ac:dyDescent="0.2">
      <c r="C1255" s="53"/>
      <c r="D1255" s="13"/>
      <c r="E1255" s="53"/>
      <c r="F1255" s="13"/>
    </row>
    <row r="1256" spans="3:6" ht="21" customHeight="1" x14ac:dyDescent="0.2">
      <c r="C1256" s="53"/>
      <c r="D1256" s="13"/>
      <c r="E1256" s="53"/>
      <c r="F1256" s="13"/>
    </row>
    <row r="1257" spans="3:6" ht="21" customHeight="1" x14ac:dyDescent="0.2">
      <c r="C1257" s="53"/>
      <c r="D1257" s="13"/>
      <c r="E1257" s="53"/>
      <c r="F1257" s="13"/>
    </row>
    <row r="1258" spans="3:6" ht="21" customHeight="1" x14ac:dyDescent="0.2">
      <c r="C1258" s="53"/>
      <c r="D1258" s="13"/>
      <c r="E1258" s="53"/>
      <c r="F1258" s="13"/>
    </row>
    <row r="1259" spans="3:6" ht="21" customHeight="1" x14ac:dyDescent="0.2">
      <c r="C1259" s="53"/>
      <c r="D1259" s="13"/>
      <c r="E1259" s="53"/>
      <c r="F1259" s="13"/>
    </row>
    <row r="1260" spans="3:6" ht="21" customHeight="1" x14ac:dyDescent="0.2">
      <c r="C1260" s="53"/>
      <c r="D1260" s="13"/>
      <c r="E1260" s="53"/>
      <c r="F1260" s="13"/>
    </row>
    <row r="1261" spans="3:6" ht="21" customHeight="1" x14ac:dyDescent="0.2">
      <c r="C1261" s="53"/>
      <c r="D1261" s="13"/>
      <c r="E1261" s="53"/>
      <c r="F1261" s="13"/>
    </row>
    <row r="1262" spans="3:6" ht="21" customHeight="1" x14ac:dyDescent="0.2">
      <c r="C1262" s="53"/>
      <c r="D1262" s="13"/>
      <c r="E1262" s="53"/>
      <c r="F1262" s="13"/>
    </row>
    <row r="1263" spans="3:6" ht="21" customHeight="1" x14ac:dyDescent="0.2">
      <c r="C1263" s="53"/>
      <c r="D1263" s="13"/>
      <c r="E1263" s="53"/>
      <c r="F1263" s="13"/>
    </row>
    <row r="1264" spans="3:6" ht="21" customHeight="1" x14ac:dyDescent="0.2">
      <c r="C1264" s="53"/>
      <c r="D1264" s="13"/>
      <c r="E1264" s="53"/>
      <c r="F1264" s="13"/>
    </row>
    <row r="1265" spans="3:6" ht="21" customHeight="1" x14ac:dyDescent="0.2">
      <c r="C1265" s="53"/>
      <c r="D1265" s="13"/>
      <c r="E1265" s="53"/>
      <c r="F1265" s="13"/>
    </row>
    <row r="1266" spans="3:6" ht="21" customHeight="1" x14ac:dyDescent="0.2">
      <c r="C1266" s="53"/>
      <c r="D1266" s="13"/>
      <c r="E1266" s="53"/>
      <c r="F1266" s="13"/>
    </row>
    <row r="1267" spans="3:6" ht="21" customHeight="1" x14ac:dyDescent="0.2">
      <c r="C1267" s="53"/>
      <c r="D1267" s="13"/>
      <c r="E1267" s="53"/>
      <c r="F1267" s="13"/>
    </row>
    <row r="1268" spans="3:6" ht="21" customHeight="1" x14ac:dyDescent="0.2">
      <c r="C1268" s="53"/>
      <c r="D1268" s="13"/>
      <c r="E1268" s="53"/>
      <c r="F1268" s="13"/>
    </row>
    <row r="1269" spans="3:6" ht="21" customHeight="1" x14ac:dyDescent="0.2">
      <c r="C1269" s="53"/>
      <c r="D1269" s="13"/>
      <c r="E1269" s="53"/>
      <c r="F1269" s="13"/>
    </row>
    <row r="1270" spans="3:6" ht="21" customHeight="1" x14ac:dyDescent="0.2">
      <c r="C1270" s="53"/>
      <c r="D1270" s="13"/>
      <c r="E1270" s="53"/>
      <c r="F1270" s="13"/>
    </row>
    <row r="1271" spans="3:6" ht="21" customHeight="1" x14ac:dyDescent="0.2">
      <c r="C1271" s="53"/>
      <c r="D1271" s="13"/>
      <c r="E1271" s="53"/>
      <c r="F1271" s="13"/>
    </row>
    <row r="1272" spans="3:6" ht="21" customHeight="1" x14ac:dyDescent="0.2">
      <c r="C1272" s="53"/>
      <c r="D1272" s="13"/>
      <c r="E1272" s="53"/>
      <c r="F1272" s="13"/>
    </row>
    <row r="1273" spans="3:6" ht="21" customHeight="1" x14ac:dyDescent="0.2">
      <c r="C1273" s="53"/>
      <c r="D1273" s="13"/>
      <c r="E1273" s="53"/>
      <c r="F1273" s="13"/>
    </row>
    <row r="1274" spans="3:6" ht="21" customHeight="1" x14ac:dyDescent="0.2">
      <c r="C1274" s="53"/>
      <c r="D1274" s="13"/>
      <c r="E1274" s="53"/>
      <c r="F1274" s="13"/>
    </row>
    <row r="1275" spans="3:6" ht="21" customHeight="1" x14ac:dyDescent="0.2">
      <c r="C1275" s="53"/>
      <c r="D1275" s="13"/>
      <c r="E1275" s="53"/>
      <c r="F1275" s="13"/>
    </row>
    <row r="1276" spans="3:6" ht="21" customHeight="1" x14ac:dyDescent="0.2">
      <c r="C1276" s="53"/>
      <c r="D1276" s="13"/>
      <c r="E1276" s="53"/>
      <c r="F1276" s="13"/>
    </row>
    <row r="1277" spans="3:6" ht="21" customHeight="1" x14ac:dyDescent="0.2">
      <c r="C1277" s="53"/>
      <c r="D1277" s="13"/>
      <c r="E1277" s="53"/>
      <c r="F1277" s="13"/>
    </row>
    <row r="1278" spans="3:6" ht="21" customHeight="1" x14ac:dyDescent="0.2">
      <c r="C1278" s="53"/>
      <c r="D1278" s="13"/>
      <c r="E1278" s="53"/>
      <c r="F1278" s="13"/>
    </row>
    <row r="1279" spans="3:6" ht="21" customHeight="1" x14ac:dyDescent="0.2">
      <c r="C1279" s="53"/>
      <c r="D1279" s="13"/>
      <c r="E1279" s="53"/>
      <c r="F1279" s="13"/>
    </row>
    <row r="1280" spans="3:6" ht="21" customHeight="1" x14ac:dyDescent="0.2">
      <c r="C1280" s="53"/>
      <c r="D1280" s="13"/>
      <c r="E1280" s="53"/>
      <c r="F1280" s="13"/>
    </row>
    <row r="1281" spans="3:6" ht="21" customHeight="1" x14ac:dyDescent="0.2">
      <c r="C1281" s="53"/>
      <c r="D1281" s="13"/>
      <c r="E1281" s="53"/>
      <c r="F1281" s="13"/>
    </row>
    <row r="1282" spans="3:6" ht="21" customHeight="1" x14ac:dyDescent="0.2">
      <c r="C1282" s="53"/>
      <c r="D1282" s="13"/>
      <c r="E1282" s="53"/>
      <c r="F1282" s="13"/>
    </row>
    <row r="1283" spans="3:6" ht="21" customHeight="1" x14ac:dyDescent="0.2">
      <c r="C1283" s="53"/>
      <c r="D1283" s="13"/>
      <c r="E1283" s="53"/>
      <c r="F1283" s="13"/>
    </row>
    <row r="1284" spans="3:6" ht="21" customHeight="1" x14ac:dyDescent="0.2">
      <c r="C1284" s="53"/>
      <c r="D1284" s="13"/>
      <c r="E1284" s="53"/>
      <c r="F1284" s="13"/>
    </row>
    <row r="1285" spans="3:6" ht="21" customHeight="1" x14ac:dyDescent="0.2">
      <c r="C1285" s="53"/>
      <c r="D1285" s="13"/>
      <c r="E1285" s="53"/>
      <c r="F1285" s="13"/>
    </row>
    <row r="1286" spans="3:6" ht="21" customHeight="1" x14ac:dyDescent="0.2">
      <c r="C1286" s="53"/>
      <c r="D1286" s="13"/>
      <c r="E1286" s="53"/>
      <c r="F1286" s="13"/>
    </row>
    <row r="1287" spans="3:6" ht="21" customHeight="1" x14ac:dyDescent="0.2">
      <c r="C1287" s="53"/>
      <c r="D1287" s="13"/>
      <c r="E1287" s="53"/>
      <c r="F1287" s="13"/>
    </row>
    <row r="1288" spans="3:6" ht="21" customHeight="1" x14ac:dyDescent="0.2">
      <c r="C1288" s="53"/>
      <c r="D1288" s="13"/>
      <c r="E1288" s="53"/>
      <c r="F1288" s="13"/>
    </row>
    <row r="1289" spans="3:6" ht="21" customHeight="1" x14ac:dyDescent="0.2">
      <c r="C1289" s="53"/>
      <c r="D1289" s="13"/>
      <c r="E1289" s="53"/>
      <c r="F1289" s="13"/>
    </row>
    <row r="1290" spans="3:6" ht="21" customHeight="1" x14ac:dyDescent="0.2">
      <c r="C1290" s="53"/>
      <c r="D1290" s="13"/>
      <c r="E1290" s="53"/>
      <c r="F1290" s="13"/>
    </row>
    <row r="1291" spans="3:6" ht="21" customHeight="1" x14ac:dyDescent="0.2">
      <c r="C1291" s="53"/>
      <c r="D1291" s="13"/>
      <c r="E1291" s="53"/>
      <c r="F1291" s="13"/>
    </row>
    <row r="1292" spans="3:6" ht="21" customHeight="1" x14ac:dyDescent="0.2">
      <c r="C1292" s="53"/>
      <c r="D1292" s="13"/>
      <c r="E1292" s="53"/>
      <c r="F1292" s="13"/>
    </row>
    <row r="1293" spans="3:6" ht="21" customHeight="1" x14ac:dyDescent="0.2">
      <c r="C1293" s="53"/>
      <c r="D1293" s="13"/>
      <c r="E1293" s="53"/>
      <c r="F1293" s="13"/>
    </row>
    <row r="1294" spans="3:6" ht="21" customHeight="1" x14ac:dyDescent="0.2">
      <c r="C1294" s="53"/>
      <c r="D1294" s="13"/>
      <c r="E1294" s="53"/>
      <c r="F1294" s="13"/>
    </row>
    <row r="1295" spans="3:6" ht="21" customHeight="1" x14ac:dyDescent="0.2">
      <c r="C1295" s="53"/>
      <c r="D1295" s="13"/>
      <c r="E1295" s="53"/>
      <c r="F1295" s="13"/>
    </row>
    <row r="1296" spans="3:6" ht="21" customHeight="1" x14ac:dyDescent="0.2">
      <c r="C1296" s="53"/>
      <c r="D1296" s="13"/>
      <c r="E1296" s="53"/>
      <c r="F1296" s="13"/>
    </row>
    <row r="1297" spans="3:6" ht="21" customHeight="1" x14ac:dyDescent="0.2">
      <c r="C1297" s="53"/>
      <c r="D1297" s="13"/>
      <c r="E1297" s="53"/>
      <c r="F1297" s="13"/>
    </row>
    <row r="1298" spans="3:6" ht="21" customHeight="1" x14ac:dyDescent="0.2">
      <c r="C1298" s="53"/>
      <c r="D1298" s="13"/>
      <c r="E1298" s="53"/>
      <c r="F1298" s="13"/>
    </row>
    <row r="1299" spans="3:6" ht="21" customHeight="1" x14ac:dyDescent="0.2">
      <c r="C1299" s="53"/>
      <c r="D1299" s="13"/>
      <c r="E1299" s="53"/>
      <c r="F1299" s="13"/>
    </row>
    <row r="1300" spans="3:6" ht="21" customHeight="1" x14ac:dyDescent="0.2">
      <c r="C1300" s="53"/>
      <c r="D1300" s="13"/>
      <c r="E1300" s="53"/>
      <c r="F1300" s="13"/>
    </row>
    <row r="1301" spans="3:6" ht="21" customHeight="1" x14ac:dyDescent="0.2">
      <c r="C1301" s="53"/>
      <c r="D1301" s="13"/>
      <c r="E1301" s="53"/>
      <c r="F1301" s="13"/>
    </row>
    <row r="1302" spans="3:6" ht="21" customHeight="1" x14ac:dyDescent="0.2">
      <c r="C1302" s="53"/>
      <c r="D1302" s="13"/>
      <c r="E1302" s="53"/>
      <c r="F1302" s="13"/>
    </row>
    <row r="1303" spans="3:6" ht="21" customHeight="1" x14ac:dyDescent="0.2">
      <c r="C1303" s="53"/>
      <c r="D1303" s="13"/>
      <c r="E1303" s="53"/>
      <c r="F1303" s="13"/>
    </row>
    <row r="1304" spans="3:6" ht="21" customHeight="1" x14ac:dyDescent="0.2">
      <c r="C1304" s="53"/>
      <c r="D1304" s="13"/>
      <c r="E1304" s="53"/>
      <c r="F1304" s="13"/>
    </row>
    <row r="1305" spans="3:6" ht="21" customHeight="1" x14ac:dyDescent="0.2">
      <c r="C1305" s="53"/>
      <c r="D1305" s="13"/>
      <c r="E1305" s="53"/>
      <c r="F1305" s="13"/>
    </row>
    <row r="1306" spans="3:6" ht="21" customHeight="1" x14ac:dyDescent="0.2">
      <c r="C1306" s="53"/>
      <c r="D1306" s="13"/>
      <c r="E1306" s="53"/>
      <c r="F1306" s="13"/>
    </row>
    <row r="1307" spans="3:6" ht="21" customHeight="1" x14ac:dyDescent="0.2">
      <c r="C1307" s="53"/>
      <c r="D1307" s="13"/>
      <c r="E1307" s="53"/>
      <c r="F1307" s="13"/>
    </row>
    <row r="1308" spans="3:6" ht="21" customHeight="1" x14ac:dyDescent="0.2">
      <c r="C1308" s="53"/>
      <c r="D1308" s="13"/>
      <c r="E1308" s="53"/>
      <c r="F1308" s="13"/>
    </row>
    <row r="1309" spans="3:6" ht="21" customHeight="1" x14ac:dyDescent="0.2">
      <c r="C1309" s="53"/>
      <c r="D1309" s="13"/>
      <c r="E1309" s="53"/>
      <c r="F1309" s="13"/>
    </row>
    <row r="1310" spans="3:6" ht="21" customHeight="1" x14ac:dyDescent="0.2">
      <c r="C1310" s="53"/>
      <c r="D1310" s="13"/>
      <c r="E1310" s="53"/>
      <c r="F1310" s="13"/>
    </row>
    <row r="1311" spans="3:6" ht="21" customHeight="1" x14ac:dyDescent="0.2">
      <c r="C1311" s="53"/>
      <c r="D1311" s="13"/>
      <c r="E1311" s="53"/>
      <c r="F1311" s="13"/>
    </row>
    <row r="1312" spans="3:6" ht="21" customHeight="1" x14ac:dyDescent="0.2">
      <c r="C1312" s="53"/>
      <c r="D1312" s="13"/>
      <c r="E1312" s="53"/>
      <c r="F1312" s="13"/>
    </row>
    <row r="1313" spans="3:6" ht="21" customHeight="1" x14ac:dyDescent="0.2">
      <c r="C1313" s="53"/>
      <c r="D1313" s="13"/>
      <c r="E1313" s="53"/>
      <c r="F1313" s="13"/>
    </row>
    <row r="1314" spans="3:6" ht="21" customHeight="1" x14ac:dyDescent="0.2">
      <c r="C1314" s="53"/>
      <c r="D1314" s="13"/>
      <c r="E1314" s="53"/>
      <c r="F1314" s="13"/>
    </row>
    <row r="1315" spans="3:6" ht="21" customHeight="1" x14ac:dyDescent="0.2">
      <c r="C1315" s="53"/>
      <c r="D1315" s="13"/>
      <c r="E1315" s="53"/>
      <c r="F1315" s="13"/>
    </row>
    <row r="1316" spans="3:6" ht="21" customHeight="1" x14ac:dyDescent="0.2">
      <c r="C1316" s="53"/>
      <c r="D1316" s="13"/>
      <c r="E1316" s="53"/>
      <c r="F1316" s="13"/>
    </row>
    <row r="1317" spans="3:6" ht="21" customHeight="1" x14ac:dyDescent="0.2">
      <c r="C1317" s="53"/>
      <c r="D1317" s="13"/>
      <c r="E1317" s="53"/>
      <c r="F1317" s="13"/>
    </row>
    <row r="1318" spans="3:6" ht="21" customHeight="1" x14ac:dyDescent="0.2">
      <c r="C1318" s="53"/>
      <c r="D1318" s="13"/>
      <c r="E1318" s="53"/>
      <c r="F1318" s="13"/>
    </row>
    <row r="1319" spans="3:6" ht="21" customHeight="1" x14ac:dyDescent="0.2">
      <c r="C1319" s="53"/>
      <c r="D1319" s="13"/>
      <c r="E1319" s="53"/>
      <c r="F1319" s="13"/>
    </row>
    <row r="1320" spans="3:6" ht="21" customHeight="1" x14ac:dyDescent="0.2">
      <c r="C1320" s="53"/>
      <c r="D1320" s="13"/>
      <c r="E1320" s="53"/>
      <c r="F1320" s="13"/>
    </row>
    <row r="1321" spans="3:6" ht="21" customHeight="1" x14ac:dyDescent="0.2">
      <c r="C1321" s="53"/>
      <c r="D1321" s="13"/>
      <c r="E1321" s="53"/>
      <c r="F1321" s="13"/>
    </row>
    <row r="1322" spans="3:6" ht="21" customHeight="1" x14ac:dyDescent="0.2">
      <c r="C1322" s="53"/>
      <c r="D1322" s="13"/>
      <c r="E1322" s="53"/>
      <c r="F1322" s="13"/>
    </row>
    <row r="1323" spans="3:6" ht="21" customHeight="1" x14ac:dyDescent="0.2">
      <c r="C1323" s="53"/>
      <c r="D1323" s="13"/>
      <c r="E1323" s="53"/>
      <c r="F1323" s="13"/>
    </row>
    <row r="1324" spans="3:6" ht="21" customHeight="1" x14ac:dyDescent="0.2">
      <c r="C1324" s="53"/>
      <c r="D1324" s="13"/>
      <c r="E1324" s="53"/>
      <c r="F1324" s="13"/>
    </row>
    <row r="1325" spans="3:6" ht="21" customHeight="1" x14ac:dyDescent="0.2">
      <c r="C1325" s="53"/>
      <c r="D1325" s="13"/>
      <c r="E1325" s="53"/>
      <c r="F1325" s="13"/>
    </row>
    <row r="1326" spans="3:6" ht="21" customHeight="1" x14ac:dyDescent="0.2">
      <c r="C1326" s="53"/>
      <c r="D1326" s="13"/>
      <c r="E1326" s="53"/>
      <c r="F1326" s="13"/>
    </row>
    <row r="1327" spans="3:6" ht="21" customHeight="1" x14ac:dyDescent="0.2">
      <c r="C1327" s="53"/>
      <c r="D1327" s="13"/>
      <c r="E1327" s="53"/>
      <c r="F1327" s="13"/>
    </row>
    <row r="1328" spans="3:6" ht="21" customHeight="1" x14ac:dyDescent="0.2">
      <c r="C1328" s="53"/>
      <c r="D1328" s="13"/>
      <c r="E1328" s="53"/>
      <c r="F1328" s="13"/>
    </row>
    <row r="1329" spans="3:6" ht="21" customHeight="1" x14ac:dyDescent="0.2">
      <c r="C1329" s="53"/>
      <c r="D1329" s="13"/>
      <c r="E1329" s="53"/>
      <c r="F1329" s="13"/>
    </row>
    <row r="1330" spans="3:6" ht="21" customHeight="1" x14ac:dyDescent="0.2">
      <c r="C1330" s="53"/>
      <c r="D1330" s="13"/>
      <c r="E1330" s="53"/>
      <c r="F1330" s="13"/>
    </row>
    <row r="1331" spans="3:6" ht="21" customHeight="1" x14ac:dyDescent="0.2">
      <c r="C1331" s="53"/>
      <c r="D1331" s="13"/>
      <c r="E1331" s="53"/>
      <c r="F1331" s="13"/>
    </row>
    <row r="1332" spans="3:6" ht="21" customHeight="1" x14ac:dyDescent="0.2">
      <c r="C1332" s="53"/>
      <c r="D1332" s="13"/>
      <c r="E1332" s="53"/>
      <c r="F1332" s="13"/>
    </row>
    <row r="1333" spans="3:6" ht="21" customHeight="1" x14ac:dyDescent="0.2">
      <c r="C1333" s="53"/>
      <c r="D1333" s="13"/>
      <c r="E1333" s="53"/>
      <c r="F1333" s="13"/>
    </row>
    <row r="1334" spans="3:6" ht="21" customHeight="1" x14ac:dyDescent="0.2">
      <c r="C1334" s="53"/>
      <c r="D1334" s="13"/>
      <c r="E1334" s="53"/>
      <c r="F1334" s="13"/>
    </row>
    <row r="1335" spans="3:6" ht="21" customHeight="1" x14ac:dyDescent="0.2">
      <c r="C1335" s="53"/>
      <c r="D1335" s="13"/>
      <c r="E1335" s="53"/>
      <c r="F1335" s="13"/>
    </row>
    <row r="1336" spans="3:6" ht="21" customHeight="1" x14ac:dyDescent="0.2">
      <c r="C1336" s="53"/>
      <c r="D1336" s="13"/>
      <c r="E1336" s="53"/>
      <c r="F1336" s="13"/>
    </row>
    <row r="1337" spans="3:6" ht="21" customHeight="1" x14ac:dyDescent="0.2">
      <c r="C1337" s="53"/>
      <c r="D1337" s="13"/>
      <c r="E1337" s="53"/>
      <c r="F1337" s="13"/>
    </row>
    <row r="1338" spans="3:6" ht="21" customHeight="1" x14ac:dyDescent="0.2">
      <c r="C1338" s="53"/>
      <c r="D1338" s="13"/>
      <c r="E1338" s="53"/>
      <c r="F1338" s="13"/>
    </row>
    <row r="1339" spans="3:6" ht="21" customHeight="1" x14ac:dyDescent="0.2">
      <c r="C1339" s="53"/>
      <c r="D1339" s="13"/>
      <c r="E1339" s="53"/>
      <c r="F1339" s="13"/>
    </row>
    <row r="1340" spans="3:6" ht="21" customHeight="1" x14ac:dyDescent="0.2">
      <c r="C1340" s="53"/>
      <c r="D1340" s="13"/>
      <c r="E1340" s="53"/>
      <c r="F1340" s="13"/>
    </row>
    <row r="1341" spans="3:6" ht="21" customHeight="1" x14ac:dyDescent="0.2">
      <c r="C1341" s="53"/>
      <c r="D1341" s="13"/>
      <c r="E1341" s="53"/>
      <c r="F1341" s="13"/>
    </row>
    <row r="1342" spans="3:6" ht="21" customHeight="1" x14ac:dyDescent="0.2">
      <c r="C1342" s="53"/>
      <c r="D1342" s="13"/>
      <c r="E1342" s="53"/>
      <c r="F1342" s="13"/>
    </row>
    <row r="1343" spans="3:6" ht="21" customHeight="1" x14ac:dyDescent="0.2">
      <c r="C1343" s="53"/>
      <c r="D1343" s="13"/>
      <c r="E1343" s="53"/>
      <c r="F1343" s="13"/>
    </row>
    <row r="1344" spans="3:6" ht="21" customHeight="1" x14ac:dyDescent="0.2">
      <c r="C1344" s="53"/>
      <c r="D1344" s="13"/>
      <c r="E1344" s="53"/>
      <c r="F1344" s="13"/>
    </row>
    <row r="1345" spans="3:6" ht="21" customHeight="1" x14ac:dyDescent="0.2">
      <c r="C1345" s="53"/>
      <c r="D1345" s="13"/>
      <c r="E1345" s="53"/>
      <c r="F1345" s="13"/>
    </row>
    <row r="1346" spans="3:6" ht="21" customHeight="1" x14ac:dyDescent="0.2">
      <c r="C1346" s="53"/>
      <c r="D1346" s="13"/>
      <c r="E1346" s="53"/>
      <c r="F1346" s="13"/>
    </row>
    <row r="1347" spans="3:6" ht="21" customHeight="1" x14ac:dyDescent="0.2">
      <c r="C1347" s="53"/>
      <c r="D1347" s="13"/>
      <c r="E1347" s="53"/>
      <c r="F1347" s="13"/>
    </row>
    <row r="1348" spans="3:6" ht="21" customHeight="1" x14ac:dyDescent="0.2">
      <c r="C1348" s="53"/>
      <c r="D1348" s="13"/>
      <c r="E1348" s="53"/>
      <c r="F1348" s="13"/>
    </row>
    <row r="1349" spans="3:6" ht="21" customHeight="1" x14ac:dyDescent="0.2">
      <c r="C1349" s="53"/>
      <c r="D1349" s="13"/>
      <c r="E1349" s="53"/>
      <c r="F1349" s="13"/>
    </row>
    <row r="1350" spans="3:6" ht="21" customHeight="1" x14ac:dyDescent="0.2">
      <c r="C1350" s="53"/>
      <c r="D1350" s="13"/>
      <c r="E1350" s="53"/>
      <c r="F1350" s="13"/>
    </row>
    <row r="1351" spans="3:6" ht="21" customHeight="1" x14ac:dyDescent="0.2">
      <c r="C1351" s="53"/>
      <c r="D1351" s="13"/>
      <c r="E1351" s="53"/>
      <c r="F1351" s="13"/>
    </row>
    <row r="1352" spans="3:6" ht="21" customHeight="1" x14ac:dyDescent="0.2">
      <c r="C1352" s="53"/>
      <c r="D1352" s="13"/>
      <c r="E1352" s="53"/>
      <c r="F1352" s="13"/>
    </row>
    <row r="1353" spans="3:6" ht="21" customHeight="1" x14ac:dyDescent="0.2">
      <c r="C1353" s="53"/>
      <c r="D1353" s="13"/>
      <c r="E1353" s="53"/>
      <c r="F1353" s="13"/>
    </row>
    <row r="1354" spans="3:6" ht="21" customHeight="1" x14ac:dyDescent="0.2">
      <c r="C1354" s="53"/>
      <c r="D1354" s="13"/>
      <c r="E1354" s="53"/>
      <c r="F1354" s="13"/>
    </row>
    <row r="1355" spans="3:6" ht="21" customHeight="1" x14ac:dyDescent="0.2">
      <c r="C1355" s="53"/>
      <c r="D1355" s="13"/>
      <c r="E1355" s="53"/>
      <c r="F1355" s="13"/>
    </row>
    <row r="1356" spans="3:6" ht="21" customHeight="1" x14ac:dyDescent="0.2">
      <c r="C1356" s="53"/>
      <c r="D1356" s="13"/>
      <c r="E1356" s="53"/>
      <c r="F1356" s="13"/>
    </row>
    <row r="1357" spans="3:6" ht="21" customHeight="1" x14ac:dyDescent="0.2">
      <c r="C1357" s="53"/>
      <c r="D1357" s="13"/>
      <c r="E1357" s="53"/>
      <c r="F1357" s="13"/>
    </row>
    <row r="1358" spans="3:6" ht="21" customHeight="1" x14ac:dyDescent="0.2">
      <c r="C1358" s="53"/>
      <c r="D1358" s="13"/>
      <c r="E1358" s="53"/>
      <c r="F1358" s="13"/>
    </row>
    <row r="1359" spans="3:6" ht="21" customHeight="1" x14ac:dyDescent="0.2">
      <c r="C1359" s="53"/>
      <c r="D1359" s="13"/>
      <c r="E1359" s="53"/>
      <c r="F1359" s="13"/>
    </row>
    <row r="1360" spans="3:6" ht="21" customHeight="1" x14ac:dyDescent="0.2">
      <c r="C1360" s="53"/>
      <c r="D1360" s="13"/>
      <c r="E1360" s="53"/>
      <c r="F1360" s="13"/>
    </row>
    <row r="1361" spans="3:6" ht="21" customHeight="1" x14ac:dyDescent="0.2">
      <c r="C1361" s="53"/>
      <c r="D1361" s="13"/>
      <c r="E1361" s="53"/>
      <c r="F1361" s="13"/>
    </row>
    <row r="1362" spans="3:6" ht="21" customHeight="1" x14ac:dyDescent="0.2">
      <c r="C1362" s="53"/>
      <c r="D1362" s="13"/>
      <c r="E1362" s="53"/>
      <c r="F1362" s="13"/>
    </row>
    <row r="1363" spans="3:6" ht="21" customHeight="1" x14ac:dyDescent="0.2">
      <c r="C1363" s="53"/>
      <c r="D1363" s="13"/>
      <c r="E1363" s="53"/>
      <c r="F1363" s="13"/>
    </row>
    <row r="1364" spans="3:6" ht="21" customHeight="1" x14ac:dyDescent="0.2">
      <c r="C1364" s="53"/>
      <c r="D1364" s="13"/>
      <c r="E1364" s="53"/>
      <c r="F1364" s="13"/>
    </row>
    <row r="1365" spans="3:6" ht="21" customHeight="1" x14ac:dyDescent="0.2">
      <c r="C1365" s="53"/>
      <c r="D1365" s="13"/>
      <c r="E1365" s="53"/>
      <c r="F1365" s="13"/>
    </row>
    <row r="1366" spans="3:6" ht="21" customHeight="1" x14ac:dyDescent="0.2">
      <c r="C1366" s="53"/>
      <c r="D1366" s="13"/>
      <c r="E1366" s="53"/>
      <c r="F1366" s="13"/>
    </row>
    <row r="1367" spans="3:6" ht="21" customHeight="1" x14ac:dyDescent="0.2">
      <c r="C1367" s="53"/>
      <c r="D1367" s="13"/>
      <c r="E1367" s="53"/>
      <c r="F1367" s="13"/>
    </row>
    <row r="1368" spans="3:6" ht="21" customHeight="1" x14ac:dyDescent="0.2">
      <c r="C1368" s="53"/>
      <c r="D1368" s="13"/>
      <c r="E1368" s="53"/>
      <c r="F1368" s="13"/>
    </row>
    <row r="1369" spans="3:6" ht="21" customHeight="1" x14ac:dyDescent="0.2">
      <c r="C1369" s="53"/>
      <c r="D1369" s="13"/>
      <c r="E1369" s="53"/>
      <c r="F1369" s="13"/>
    </row>
    <row r="1370" spans="3:6" ht="21" customHeight="1" x14ac:dyDescent="0.2">
      <c r="C1370" s="53"/>
      <c r="D1370" s="13"/>
      <c r="E1370" s="53"/>
      <c r="F1370" s="13"/>
    </row>
    <row r="1371" spans="3:6" ht="21" customHeight="1" x14ac:dyDescent="0.2">
      <c r="C1371" s="53"/>
      <c r="D1371" s="13"/>
      <c r="E1371" s="53"/>
      <c r="F1371" s="13"/>
    </row>
    <row r="1372" spans="3:6" ht="21" customHeight="1" x14ac:dyDescent="0.2">
      <c r="C1372" s="53"/>
      <c r="D1372" s="13"/>
      <c r="E1372" s="53"/>
      <c r="F1372" s="13"/>
    </row>
    <row r="1373" spans="3:6" ht="21" customHeight="1" x14ac:dyDescent="0.2">
      <c r="C1373" s="53"/>
      <c r="D1373" s="13"/>
      <c r="E1373" s="53"/>
      <c r="F1373" s="13"/>
    </row>
    <row r="1374" spans="3:6" ht="21" customHeight="1" x14ac:dyDescent="0.2">
      <c r="C1374" s="53"/>
      <c r="D1374" s="13"/>
      <c r="E1374" s="53"/>
      <c r="F1374" s="13"/>
    </row>
    <row r="1375" spans="3:6" ht="21" customHeight="1" x14ac:dyDescent="0.2">
      <c r="C1375" s="53"/>
      <c r="D1375" s="13"/>
      <c r="E1375" s="53"/>
      <c r="F1375" s="13"/>
    </row>
    <row r="1376" spans="3:6" ht="21" customHeight="1" x14ac:dyDescent="0.2">
      <c r="C1376" s="53"/>
      <c r="D1376" s="13"/>
      <c r="E1376" s="53"/>
      <c r="F1376" s="13"/>
    </row>
    <row r="1377" spans="3:6" ht="21" customHeight="1" x14ac:dyDescent="0.2">
      <c r="C1377" s="53"/>
      <c r="D1377" s="13"/>
      <c r="E1377" s="53"/>
      <c r="F1377" s="13"/>
    </row>
    <row r="1378" spans="3:6" ht="21" customHeight="1" x14ac:dyDescent="0.2">
      <c r="C1378" s="53"/>
      <c r="D1378" s="13"/>
      <c r="E1378" s="53"/>
      <c r="F1378" s="13"/>
    </row>
    <row r="1379" spans="3:6" ht="21" customHeight="1" x14ac:dyDescent="0.2">
      <c r="C1379" s="53"/>
      <c r="D1379" s="13"/>
      <c r="E1379" s="53"/>
      <c r="F1379" s="13"/>
    </row>
    <row r="1380" spans="3:6" ht="21" customHeight="1" x14ac:dyDescent="0.2">
      <c r="C1380" s="53"/>
      <c r="D1380" s="13"/>
      <c r="E1380" s="53"/>
      <c r="F1380" s="13"/>
    </row>
    <row r="1381" spans="3:6" ht="21" customHeight="1" x14ac:dyDescent="0.2">
      <c r="C1381" s="53"/>
      <c r="D1381" s="13"/>
      <c r="E1381" s="53"/>
      <c r="F1381" s="13"/>
    </row>
    <row r="1382" spans="3:6" ht="21" customHeight="1" x14ac:dyDescent="0.2">
      <c r="C1382" s="53"/>
      <c r="D1382" s="13"/>
      <c r="E1382" s="53"/>
      <c r="F1382" s="13"/>
    </row>
    <row r="1383" spans="3:6" ht="21" customHeight="1" x14ac:dyDescent="0.2">
      <c r="C1383" s="53"/>
      <c r="D1383" s="13"/>
      <c r="E1383" s="53"/>
      <c r="F1383" s="13"/>
    </row>
    <row r="1384" spans="3:6" ht="21" customHeight="1" x14ac:dyDescent="0.2">
      <c r="C1384" s="53"/>
      <c r="D1384" s="13"/>
      <c r="E1384" s="53"/>
      <c r="F1384" s="13"/>
    </row>
    <row r="1385" spans="3:6" ht="21" customHeight="1" x14ac:dyDescent="0.2">
      <c r="C1385" s="53"/>
      <c r="D1385" s="13"/>
      <c r="E1385" s="53"/>
      <c r="F1385" s="13"/>
    </row>
    <row r="1386" spans="3:6" ht="21" customHeight="1" x14ac:dyDescent="0.2">
      <c r="C1386" s="53"/>
      <c r="D1386" s="13"/>
      <c r="E1386" s="53"/>
      <c r="F1386" s="13"/>
    </row>
    <row r="1387" spans="3:6" ht="21" customHeight="1" x14ac:dyDescent="0.2">
      <c r="C1387" s="53"/>
      <c r="D1387" s="13"/>
      <c r="E1387" s="53"/>
      <c r="F1387" s="13"/>
    </row>
    <row r="1388" spans="3:6" ht="21" customHeight="1" x14ac:dyDescent="0.2">
      <c r="C1388" s="53"/>
      <c r="D1388" s="13"/>
      <c r="E1388" s="53"/>
      <c r="F1388" s="13"/>
    </row>
    <row r="1389" spans="3:6" ht="21" customHeight="1" x14ac:dyDescent="0.2">
      <c r="C1389" s="53"/>
      <c r="D1389" s="13"/>
      <c r="E1389" s="53"/>
      <c r="F1389" s="13"/>
    </row>
    <row r="1390" spans="3:6" ht="21" customHeight="1" x14ac:dyDescent="0.2">
      <c r="C1390" s="53"/>
      <c r="D1390" s="13"/>
      <c r="E1390" s="53"/>
      <c r="F1390" s="13"/>
    </row>
    <row r="1391" spans="3:6" ht="21" customHeight="1" x14ac:dyDescent="0.2">
      <c r="C1391" s="53"/>
      <c r="D1391" s="13"/>
      <c r="E1391" s="53"/>
      <c r="F1391" s="13"/>
    </row>
    <row r="1392" spans="3:6" ht="21" customHeight="1" x14ac:dyDescent="0.2">
      <c r="C1392" s="53"/>
      <c r="D1392" s="13"/>
      <c r="E1392" s="53"/>
      <c r="F1392" s="13"/>
    </row>
    <row r="1393" spans="3:6" ht="21" customHeight="1" x14ac:dyDescent="0.2">
      <c r="C1393" s="53"/>
      <c r="D1393" s="13"/>
      <c r="E1393" s="53"/>
      <c r="F1393" s="13"/>
    </row>
    <row r="1394" spans="3:6" ht="21" customHeight="1" x14ac:dyDescent="0.2">
      <c r="C1394" s="53"/>
      <c r="D1394" s="13"/>
      <c r="E1394" s="53"/>
      <c r="F1394" s="13"/>
    </row>
    <row r="1395" spans="3:6" ht="21" customHeight="1" x14ac:dyDescent="0.2">
      <c r="C1395" s="53"/>
      <c r="D1395" s="13"/>
      <c r="E1395" s="53"/>
      <c r="F1395" s="13"/>
    </row>
    <row r="1396" spans="3:6" ht="21" customHeight="1" x14ac:dyDescent="0.2">
      <c r="C1396" s="53"/>
      <c r="D1396" s="13"/>
      <c r="E1396" s="53"/>
      <c r="F1396" s="13"/>
    </row>
    <row r="1397" spans="3:6" ht="21" customHeight="1" x14ac:dyDescent="0.2">
      <c r="C1397" s="53"/>
      <c r="D1397" s="13"/>
      <c r="E1397" s="53"/>
      <c r="F1397" s="13"/>
    </row>
    <row r="1398" spans="3:6" ht="21" customHeight="1" x14ac:dyDescent="0.2">
      <c r="C1398" s="53"/>
      <c r="D1398" s="13"/>
      <c r="E1398" s="53"/>
      <c r="F1398" s="13"/>
    </row>
    <row r="1399" spans="3:6" ht="21" customHeight="1" x14ac:dyDescent="0.2">
      <c r="C1399" s="53"/>
      <c r="D1399" s="13"/>
      <c r="E1399" s="53"/>
      <c r="F1399" s="13"/>
    </row>
    <row r="1400" spans="3:6" ht="21" customHeight="1" x14ac:dyDescent="0.2">
      <c r="C1400" s="53"/>
      <c r="D1400" s="13"/>
      <c r="E1400" s="53"/>
      <c r="F1400" s="13"/>
    </row>
    <row r="1401" spans="3:6" ht="21" customHeight="1" x14ac:dyDescent="0.2">
      <c r="C1401" s="53"/>
      <c r="D1401" s="13"/>
      <c r="E1401" s="53"/>
      <c r="F1401" s="13"/>
    </row>
    <row r="1402" spans="3:6" ht="21" customHeight="1" x14ac:dyDescent="0.2">
      <c r="C1402" s="53"/>
      <c r="D1402" s="13"/>
      <c r="E1402" s="53"/>
      <c r="F1402" s="13"/>
    </row>
    <row r="1403" spans="3:6" ht="21" customHeight="1" x14ac:dyDescent="0.2">
      <c r="C1403" s="53"/>
      <c r="D1403" s="13"/>
      <c r="E1403" s="53"/>
      <c r="F1403" s="13"/>
    </row>
    <row r="1404" spans="3:6" ht="21" customHeight="1" x14ac:dyDescent="0.2">
      <c r="C1404" s="53"/>
      <c r="D1404" s="13"/>
      <c r="E1404" s="53"/>
      <c r="F1404" s="13"/>
    </row>
    <row r="1405" spans="3:6" ht="21" customHeight="1" x14ac:dyDescent="0.2">
      <c r="C1405" s="53"/>
      <c r="D1405" s="13"/>
      <c r="E1405" s="53"/>
      <c r="F1405" s="13"/>
    </row>
    <row r="1406" spans="3:6" ht="21" customHeight="1" x14ac:dyDescent="0.2">
      <c r="C1406" s="53"/>
      <c r="D1406" s="13"/>
      <c r="E1406" s="53"/>
      <c r="F1406" s="13"/>
    </row>
    <row r="1407" spans="3:6" ht="21" customHeight="1" x14ac:dyDescent="0.2">
      <c r="C1407" s="53"/>
      <c r="D1407" s="13"/>
      <c r="E1407" s="53"/>
      <c r="F1407" s="13"/>
    </row>
    <row r="1408" spans="3:6" ht="21" customHeight="1" x14ac:dyDescent="0.2">
      <c r="C1408" s="53"/>
      <c r="D1408" s="13"/>
      <c r="E1408" s="53"/>
      <c r="F1408" s="13"/>
    </row>
    <row r="1409" spans="3:6" ht="21" customHeight="1" x14ac:dyDescent="0.2">
      <c r="C1409" s="53"/>
      <c r="D1409" s="13"/>
      <c r="E1409" s="53"/>
      <c r="F1409" s="13"/>
    </row>
    <row r="1410" spans="3:6" ht="21" customHeight="1" x14ac:dyDescent="0.2">
      <c r="C1410" s="53"/>
      <c r="D1410" s="13"/>
      <c r="E1410" s="53"/>
      <c r="F1410" s="13"/>
    </row>
    <row r="1411" spans="3:6" ht="21" customHeight="1" x14ac:dyDescent="0.2">
      <c r="C1411" s="53"/>
      <c r="D1411" s="13"/>
      <c r="E1411" s="53"/>
      <c r="F1411" s="13"/>
    </row>
    <row r="1412" spans="3:6" ht="21" customHeight="1" x14ac:dyDescent="0.2">
      <c r="C1412" s="53"/>
      <c r="D1412" s="13"/>
      <c r="E1412" s="53"/>
      <c r="F1412" s="13"/>
    </row>
    <row r="1413" spans="3:6" ht="21" customHeight="1" x14ac:dyDescent="0.2">
      <c r="C1413" s="53"/>
      <c r="D1413" s="13"/>
      <c r="E1413" s="53"/>
      <c r="F1413" s="13"/>
    </row>
    <row r="1414" spans="3:6" ht="21" customHeight="1" x14ac:dyDescent="0.2">
      <c r="C1414" s="53"/>
      <c r="D1414" s="13"/>
      <c r="E1414" s="53"/>
      <c r="F1414" s="13"/>
    </row>
    <row r="1415" spans="3:6" ht="21" customHeight="1" x14ac:dyDescent="0.2">
      <c r="C1415" s="53"/>
      <c r="D1415" s="13"/>
      <c r="E1415" s="53"/>
      <c r="F1415" s="13"/>
    </row>
    <row r="1416" spans="3:6" ht="21" customHeight="1" x14ac:dyDescent="0.2">
      <c r="C1416" s="53"/>
      <c r="D1416" s="13"/>
      <c r="E1416" s="53"/>
      <c r="F1416" s="13"/>
    </row>
    <row r="1417" spans="3:6" ht="21" customHeight="1" x14ac:dyDescent="0.2">
      <c r="C1417" s="53"/>
      <c r="D1417" s="13"/>
      <c r="E1417" s="53"/>
      <c r="F1417" s="13"/>
    </row>
    <row r="1418" spans="3:6" ht="21" customHeight="1" x14ac:dyDescent="0.2">
      <c r="C1418" s="53"/>
      <c r="D1418" s="13"/>
      <c r="E1418" s="53"/>
      <c r="F1418" s="13"/>
    </row>
    <row r="1419" spans="3:6" ht="21" customHeight="1" x14ac:dyDescent="0.2">
      <c r="C1419" s="53"/>
      <c r="D1419" s="13"/>
      <c r="E1419" s="53"/>
      <c r="F1419" s="13"/>
    </row>
    <row r="1420" spans="3:6" ht="21" customHeight="1" x14ac:dyDescent="0.2">
      <c r="C1420" s="53"/>
      <c r="D1420" s="13"/>
      <c r="E1420" s="53"/>
      <c r="F1420" s="13"/>
    </row>
    <row r="1421" spans="3:6" ht="21" customHeight="1" x14ac:dyDescent="0.2">
      <c r="C1421" s="53"/>
      <c r="D1421" s="13"/>
      <c r="E1421" s="53"/>
      <c r="F1421" s="13"/>
    </row>
    <row r="1422" spans="3:6" ht="21" customHeight="1" x14ac:dyDescent="0.2">
      <c r="C1422" s="53"/>
      <c r="D1422" s="13"/>
      <c r="E1422" s="53"/>
      <c r="F1422" s="13"/>
    </row>
    <row r="1423" spans="3:6" ht="21" customHeight="1" x14ac:dyDescent="0.2">
      <c r="C1423" s="53"/>
      <c r="D1423" s="13"/>
      <c r="E1423" s="53"/>
      <c r="F1423" s="13"/>
    </row>
    <row r="1424" spans="3:6" ht="21" customHeight="1" x14ac:dyDescent="0.2">
      <c r="C1424" s="53"/>
      <c r="D1424" s="13"/>
      <c r="E1424" s="53"/>
      <c r="F1424" s="13"/>
    </row>
    <row r="1425" spans="3:6" ht="21" customHeight="1" x14ac:dyDescent="0.2">
      <c r="C1425" s="53"/>
      <c r="D1425" s="13"/>
      <c r="E1425" s="53"/>
      <c r="F1425" s="13"/>
    </row>
    <row r="1426" spans="3:6" ht="21" customHeight="1" x14ac:dyDescent="0.2">
      <c r="C1426" s="53"/>
      <c r="D1426" s="13"/>
      <c r="E1426" s="53"/>
      <c r="F1426" s="13"/>
    </row>
    <row r="1427" spans="3:6" ht="21" customHeight="1" x14ac:dyDescent="0.2">
      <c r="C1427" s="53"/>
      <c r="D1427" s="13"/>
      <c r="E1427" s="53"/>
      <c r="F1427" s="13"/>
    </row>
    <row r="1428" spans="3:6" ht="21" customHeight="1" x14ac:dyDescent="0.2">
      <c r="C1428" s="53"/>
      <c r="D1428" s="13"/>
      <c r="E1428" s="53"/>
      <c r="F1428" s="13"/>
    </row>
    <row r="1429" spans="3:6" ht="21" customHeight="1" x14ac:dyDescent="0.2">
      <c r="C1429" s="53"/>
      <c r="D1429" s="13"/>
      <c r="E1429" s="53"/>
      <c r="F1429" s="13"/>
    </row>
    <row r="1430" spans="3:6" ht="21" customHeight="1" x14ac:dyDescent="0.2">
      <c r="C1430" s="53"/>
      <c r="D1430" s="13"/>
      <c r="E1430" s="53"/>
      <c r="F1430" s="13"/>
    </row>
    <row r="1431" spans="3:6" ht="21" customHeight="1" x14ac:dyDescent="0.2">
      <c r="C1431" s="53"/>
      <c r="D1431" s="13"/>
      <c r="E1431" s="53"/>
      <c r="F1431" s="13"/>
    </row>
    <row r="1432" spans="3:6" ht="21" customHeight="1" x14ac:dyDescent="0.2">
      <c r="C1432" s="53"/>
      <c r="D1432" s="13"/>
      <c r="E1432" s="53"/>
      <c r="F1432" s="13"/>
    </row>
    <row r="1433" spans="3:6" ht="21" customHeight="1" x14ac:dyDescent="0.2">
      <c r="C1433" s="53"/>
      <c r="D1433" s="13"/>
      <c r="E1433" s="53"/>
      <c r="F1433" s="13"/>
    </row>
    <row r="1434" spans="3:6" ht="21" customHeight="1" x14ac:dyDescent="0.2">
      <c r="C1434" s="53"/>
      <c r="D1434" s="13"/>
      <c r="E1434" s="53"/>
      <c r="F1434" s="13"/>
    </row>
    <row r="1435" spans="3:6" ht="21" customHeight="1" x14ac:dyDescent="0.2">
      <c r="C1435" s="53"/>
      <c r="D1435" s="13"/>
      <c r="E1435" s="53"/>
      <c r="F1435" s="13"/>
    </row>
    <row r="1436" spans="3:6" ht="21" customHeight="1" x14ac:dyDescent="0.2">
      <c r="C1436" s="53"/>
      <c r="D1436" s="13"/>
      <c r="E1436" s="53"/>
      <c r="F1436" s="13"/>
    </row>
    <row r="1437" spans="3:6" ht="21" customHeight="1" x14ac:dyDescent="0.2">
      <c r="C1437" s="53"/>
      <c r="D1437" s="13"/>
      <c r="E1437" s="53"/>
      <c r="F1437" s="13"/>
    </row>
    <row r="1438" spans="3:6" ht="21" customHeight="1" x14ac:dyDescent="0.2">
      <c r="C1438" s="53"/>
      <c r="D1438" s="13"/>
      <c r="E1438" s="53"/>
      <c r="F1438" s="13"/>
    </row>
    <row r="1439" spans="3:6" ht="21" customHeight="1" x14ac:dyDescent="0.2">
      <c r="C1439" s="53"/>
      <c r="D1439" s="13"/>
      <c r="E1439" s="53"/>
      <c r="F1439" s="13"/>
    </row>
    <row r="1440" spans="3:6" ht="21" customHeight="1" x14ac:dyDescent="0.2">
      <c r="C1440" s="53"/>
      <c r="D1440" s="13"/>
      <c r="E1440" s="53"/>
      <c r="F1440" s="13"/>
    </row>
    <row r="1441" spans="3:6" ht="21" customHeight="1" x14ac:dyDescent="0.2">
      <c r="C1441" s="53"/>
      <c r="D1441" s="13"/>
      <c r="E1441" s="53"/>
      <c r="F1441" s="13"/>
    </row>
    <row r="1442" spans="3:6" ht="21" customHeight="1" x14ac:dyDescent="0.2">
      <c r="C1442" s="53"/>
      <c r="D1442" s="13"/>
      <c r="E1442" s="53"/>
      <c r="F1442" s="13"/>
    </row>
    <row r="1443" spans="3:6" ht="21" customHeight="1" x14ac:dyDescent="0.2">
      <c r="C1443" s="53"/>
      <c r="D1443" s="13"/>
      <c r="E1443" s="53"/>
      <c r="F1443" s="13"/>
    </row>
    <row r="1444" spans="3:6" ht="21" customHeight="1" x14ac:dyDescent="0.2">
      <c r="C1444" s="53"/>
      <c r="D1444" s="13"/>
      <c r="E1444" s="53"/>
      <c r="F1444" s="13"/>
    </row>
    <row r="1445" spans="3:6" ht="21" customHeight="1" x14ac:dyDescent="0.2">
      <c r="C1445" s="53"/>
      <c r="D1445" s="13"/>
      <c r="E1445" s="53"/>
      <c r="F1445" s="13"/>
    </row>
    <row r="1446" spans="3:6" ht="21" customHeight="1" x14ac:dyDescent="0.2">
      <c r="C1446" s="53"/>
      <c r="D1446" s="13"/>
      <c r="E1446" s="53"/>
      <c r="F1446" s="13"/>
    </row>
    <row r="1447" spans="3:6" ht="21" customHeight="1" x14ac:dyDescent="0.2">
      <c r="C1447" s="53"/>
      <c r="D1447" s="13"/>
      <c r="E1447" s="53"/>
      <c r="F1447" s="13"/>
    </row>
    <row r="1448" spans="3:6" ht="21" customHeight="1" x14ac:dyDescent="0.2">
      <c r="C1448" s="53"/>
      <c r="D1448" s="13"/>
      <c r="E1448" s="53"/>
      <c r="F1448" s="13"/>
    </row>
    <row r="1449" spans="3:6" ht="21" customHeight="1" x14ac:dyDescent="0.2">
      <c r="C1449" s="53"/>
      <c r="D1449" s="13"/>
      <c r="E1449" s="53"/>
      <c r="F1449" s="13"/>
    </row>
    <row r="1450" spans="3:6" ht="21" customHeight="1" x14ac:dyDescent="0.2">
      <c r="C1450" s="53"/>
      <c r="D1450" s="13"/>
      <c r="E1450" s="53"/>
      <c r="F1450" s="13"/>
    </row>
    <row r="1451" spans="3:6" ht="21" customHeight="1" x14ac:dyDescent="0.2">
      <c r="C1451" s="53"/>
      <c r="D1451" s="13"/>
      <c r="E1451" s="53"/>
      <c r="F1451" s="13"/>
    </row>
    <row r="1452" spans="3:6" ht="21" customHeight="1" x14ac:dyDescent="0.2">
      <c r="C1452" s="53"/>
      <c r="D1452" s="13"/>
      <c r="E1452" s="53"/>
      <c r="F1452" s="13"/>
    </row>
    <row r="1453" spans="3:6" ht="21" customHeight="1" x14ac:dyDescent="0.2">
      <c r="C1453" s="53"/>
      <c r="D1453" s="13"/>
      <c r="E1453" s="53"/>
      <c r="F1453" s="13"/>
    </row>
    <row r="1454" spans="3:6" ht="21" customHeight="1" x14ac:dyDescent="0.2">
      <c r="C1454" s="53"/>
      <c r="D1454" s="13"/>
      <c r="E1454" s="53"/>
      <c r="F1454" s="13"/>
    </row>
    <row r="1455" spans="3:6" ht="21" customHeight="1" x14ac:dyDescent="0.2">
      <c r="C1455" s="53"/>
      <c r="D1455" s="13"/>
      <c r="E1455" s="53"/>
      <c r="F1455" s="13"/>
    </row>
    <row r="1456" spans="3:6" ht="21" customHeight="1" x14ac:dyDescent="0.2">
      <c r="C1456" s="53"/>
      <c r="D1456" s="13"/>
      <c r="E1456" s="53"/>
      <c r="F1456" s="13"/>
    </row>
    <row r="1457" spans="3:6" ht="21" customHeight="1" x14ac:dyDescent="0.2">
      <c r="C1457" s="53"/>
      <c r="D1457" s="13"/>
      <c r="E1457" s="53"/>
      <c r="F1457" s="13"/>
    </row>
    <row r="1458" spans="3:6" ht="21" customHeight="1" x14ac:dyDescent="0.2">
      <c r="C1458" s="53"/>
      <c r="D1458" s="13"/>
      <c r="E1458" s="53"/>
      <c r="F1458" s="13"/>
    </row>
    <row r="1459" spans="3:6" ht="21" customHeight="1" x14ac:dyDescent="0.2">
      <c r="C1459" s="53"/>
      <c r="D1459" s="13"/>
      <c r="E1459" s="53"/>
      <c r="F1459" s="13"/>
    </row>
    <row r="1460" spans="3:6" ht="21" customHeight="1" x14ac:dyDescent="0.2">
      <c r="C1460" s="53"/>
      <c r="D1460" s="13"/>
      <c r="E1460" s="53"/>
      <c r="F1460" s="13"/>
    </row>
    <row r="1461" spans="3:6" ht="21" customHeight="1" x14ac:dyDescent="0.2">
      <c r="C1461" s="53"/>
      <c r="D1461" s="13"/>
      <c r="E1461" s="53"/>
      <c r="F1461" s="13"/>
    </row>
    <row r="1462" spans="3:6" ht="21" customHeight="1" x14ac:dyDescent="0.2">
      <c r="C1462" s="53"/>
      <c r="D1462" s="13"/>
      <c r="E1462" s="53"/>
      <c r="F1462" s="13"/>
    </row>
    <row r="1463" spans="3:6" ht="21" customHeight="1" x14ac:dyDescent="0.2">
      <c r="C1463" s="53"/>
      <c r="D1463" s="13"/>
      <c r="E1463" s="53"/>
      <c r="F1463" s="13"/>
    </row>
    <row r="1464" spans="3:6" ht="21" customHeight="1" x14ac:dyDescent="0.2">
      <c r="C1464" s="53"/>
      <c r="D1464" s="13"/>
      <c r="E1464" s="53"/>
      <c r="F1464" s="13"/>
    </row>
    <row r="1465" spans="3:6" ht="21" customHeight="1" x14ac:dyDescent="0.2">
      <c r="C1465" s="53"/>
      <c r="D1465" s="13"/>
      <c r="E1465" s="53"/>
      <c r="F1465" s="13"/>
    </row>
    <row r="1466" spans="3:6" ht="21" customHeight="1" x14ac:dyDescent="0.2">
      <c r="C1466" s="53"/>
      <c r="D1466" s="13"/>
      <c r="E1466" s="53"/>
      <c r="F1466" s="13"/>
    </row>
    <row r="1467" spans="3:6" ht="21" customHeight="1" x14ac:dyDescent="0.2">
      <c r="C1467" s="53"/>
      <c r="D1467" s="13"/>
      <c r="E1467" s="53"/>
      <c r="F1467" s="13"/>
    </row>
    <row r="1468" spans="3:6" ht="21" customHeight="1" x14ac:dyDescent="0.2">
      <c r="C1468" s="53"/>
      <c r="D1468" s="13"/>
      <c r="E1468" s="53"/>
      <c r="F1468" s="13"/>
    </row>
    <row r="1469" spans="3:6" ht="21" customHeight="1" x14ac:dyDescent="0.2">
      <c r="C1469" s="53"/>
      <c r="D1469" s="13"/>
      <c r="E1469" s="53"/>
      <c r="F1469" s="13"/>
    </row>
    <row r="1470" spans="3:6" ht="21" customHeight="1" x14ac:dyDescent="0.2">
      <c r="C1470" s="53"/>
      <c r="D1470" s="13"/>
      <c r="E1470" s="53"/>
      <c r="F1470" s="13"/>
    </row>
    <row r="1471" spans="3:6" ht="21" customHeight="1" x14ac:dyDescent="0.2">
      <c r="C1471" s="53"/>
      <c r="D1471" s="13"/>
      <c r="E1471" s="53"/>
      <c r="F1471" s="13"/>
    </row>
    <row r="1472" spans="3:6" ht="21" customHeight="1" x14ac:dyDescent="0.2">
      <c r="C1472" s="53"/>
      <c r="D1472" s="13"/>
      <c r="E1472" s="53"/>
      <c r="F1472" s="13"/>
    </row>
    <row r="1473" spans="3:6" ht="21" customHeight="1" x14ac:dyDescent="0.2">
      <c r="C1473" s="53"/>
      <c r="D1473" s="13"/>
      <c r="E1473" s="53"/>
      <c r="F1473" s="13"/>
    </row>
    <row r="1474" spans="3:6" ht="21" customHeight="1" x14ac:dyDescent="0.2">
      <c r="C1474" s="53"/>
      <c r="D1474" s="13"/>
      <c r="E1474" s="53"/>
      <c r="F1474" s="13"/>
    </row>
    <row r="1475" spans="3:6" ht="21" customHeight="1" x14ac:dyDescent="0.2">
      <c r="C1475" s="53"/>
      <c r="D1475" s="13"/>
      <c r="E1475" s="53"/>
      <c r="F1475" s="13"/>
    </row>
    <row r="1476" spans="3:6" ht="21" customHeight="1" x14ac:dyDescent="0.2">
      <c r="C1476" s="53"/>
      <c r="D1476" s="13"/>
      <c r="E1476" s="53"/>
      <c r="F1476" s="13"/>
    </row>
    <row r="1477" spans="3:6" ht="21" customHeight="1" x14ac:dyDescent="0.2">
      <c r="C1477" s="53"/>
      <c r="D1477" s="13"/>
      <c r="E1477" s="53"/>
      <c r="F1477" s="13"/>
    </row>
    <row r="1478" spans="3:6" ht="21" customHeight="1" x14ac:dyDescent="0.2">
      <c r="C1478" s="53"/>
      <c r="D1478" s="13"/>
      <c r="E1478" s="53"/>
      <c r="F1478" s="13"/>
    </row>
    <row r="1479" spans="3:6" ht="21" customHeight="1" x14ac:dyDescent="0.2">
      <c r="C1479" s="53"/>
      <c r="D1479" s="13"/>
      <c r="E1479" s="53"/>
      <c r="F1479" s="13"/>
    </row>
    <row r="1480" spans="3:6" ht="21" customHeight="1" x14ac:dyDescent="0.2">
      <c r="C1480" s="53"/>
      <c r="D1480" s="13"/>
      <c r="E1480" s="53"/>
      <c r="F1480" s="13"/>
    </row>
    <row r="1481" spans="3:6" ht="21" customHeight="1" x14ac:dyDescent="0.2">
      <c r="C1481" s="53"/>
      <c r="D1481" s="13"/>
      <c r="E1481" s="53"/>
      <c r="F1481" s="13"/>
    </row>
    <row r="1482" spans="3:6" ht="21" customHeight="1" x14ac:dyDescent="0.2">
      <c r="C1482" s="53"/>
      <c r="D1482" s="13"/>
      <c r="E1482" s="53"/>
      <c r="F1482" s="13"/>
    </row>
    <row r="1483" spans="3:6" ht="21" customHeight="1" x14ac:dyDescent="0.2">
      <c r="C1483" s="53"/>
      <c r="D1483" s="13"/>
      <c r="E1483" s="53"/>
      <c r="F1483" s="13"/>
    </row>
    <row r="1484" spans="3:6" ht="21" customHeight="1" x14ac:dyDescent="0.2">
      <c r="C1484" s="53"/>
      <c r="D1484" s="13"/>
      <c r="E1484" s="53"/>
      <c r="F1484" s="13"/>
    </row>
    <row r="1485" spans="3:6" ht="21" customHeight="1" x14ac:dyDescent="0.2">
      <c r="C1485" s="53"/>
      <c r="D1485" s="13"/>
      <c r="E1485" s="53"/>
      <c r="F1485" s="13"/>
    </row>
    <row r="1486" spans="3:6" ht="21" customHeight="1" x14ac:dyDescent="0.2">
      <c r="C1486" s="53"/>
      <c r="D1486" s="13"/>
      <c r="E1486" s="53"/>
      <c r="F1486" s="13"/>
    </row>
    <row r="1487" spans="3:6" ht="21" customHeight="1" x14ac:dyDescent="0.2">
      <c r="C1487" s="53"/>
      <c r="D1487" s="13"/>
      <c r="E1487" s="53"/>
      <c r="F1487" s="13"/>
    </row>
    <row r="1488" spans="3:6" ht="21" customHeight="1" x14ac:dyDescent="0.2">
      <c r="C1488" s="53"/>
      <c r="D1488" s="13"/>
      <c r="E1488" s="53"/>
      <c r="F1488" s="13"/>
    </row>
    <row r="1489" spans="3:6" ht="21" customHeight="1" x14ac:dyDescent="0.2">
      <c r="C1489" s="53"/>
      <c r="D1489" s="13"/>
      <c r="E1489" s="53"/>
      <c r="F1489" s="13"/>
    </row>
    <row r="1490" spans="3:6" ht="21" customHeight="1" x14ac:dyDescent="0.2">
      <c r="C1490" s="53"/>
      <c r="D1490" s="13"/>
      <c r="E1490" s="53"/>
      <c r="F1490" s="13"/>
    </row>
    <row r="1491" spans="3:6" ht="21" customHeight="1" x14ac:dyDescent="0.2">
      <c r="C1491" s="53"/>
      <c r="D1491" s="13"/>
      <c r="E1491" s="53"/>
      <c r="F1491" s="13"/>
    </row>
    <row r="1492" spans="3:6" ht="21" customHeight="1" x14ac:dyDescent="0.2">
      <c r="C1492" s="53"/>
      <c r="D1492" s="13"/>
      <c r="E1492" s="53"/>
      <c r="F1492" s="13"/>
    </row>
    <row r="1493" spans="3:6" ht="21" customHeight="1" x14ac:dyDescent="0.2">
      <c r="C1493" s="53"/>
      <c r="D1493" s="13"/>
      <c r="E1493" s="53"/>
      <c r="F1493" s="13"/>
    </row>
    <row r="1494" spans="3:6" ht="21" customHeight="1" x14ac:dyDescent="0.2">
      <c r="C1494" s="53"/>
      <c r="D1494" s="13"/>
      <c r="E1494" s="53"/>
      <c r="F1494" s="13"/>
    </row>
    <row r="1495" spans="3:6" ht="21" customHeight="1" x14ac:dyDescent="0.2">
      <c r="C1495" s="53"/>
      <c r="D1495" s="13"/>
      <c r="E1495" s="53"/>
      <c r="F1495" s="13"/>
    </row>
    <row r="1496" spans="3:6" ht="21" customHeight="1" x14ac:dyDescent="0.2">
      <c r="C1496" s="53"/>
      <c r="D1496" s="13"/>
      <c r="E1496" s="53"/>
      <c r="F1496" s="13"/>
    </row>
    <row r="1497" spans="3:6" ht="21" customHeight="1" x14ac:dyDescent="0.2">
      <c r="C1497" s="53"/>
      <c r="D1497" s="13"/>
      <c r="E1497" s="53"/>
      <c r="F1497" s="13"/>
    </row>
    <row r="1498" spans="3:6" ht="21" customHeight="1" x14ac:dyDescent="0.2">
      <c r="C1498" s="53"/>
      <c r="D1498" s="13"/>
      <c r="E1498" s="53"/>
      <c r="F1498" s="13"/>
    </row>
    <row r="1499" spans="3:6" ht="21" customHeight="1" x14ac:dyDescent="0.2">
      <c r="C1499" s="53"/>
      <c r="D1499" s="13"/>
      <c r="E1499" s="53"/>
      <c r="F1499" s="13"/>
    </row>
    <row r="1500" spans="3:6" ht="21" customHeight="1" x14ac:dyDescent="0.2">
      <c r="C1500" s="53"/>
      <c r="D1500" s="13"/>
      <c r="E1500" s="53"/>
      <c r="F1500" s="13"/>
    </row>
    <row r="1501" spans="3:6" ht="21" customHeight="1" x14ac:dyDescent="0.2">
      <c r="C1501" s="53"/>
      <c r="D1501" s="13"/>
      <c r="E1501" s="53"/>
      <c r="F1501" s="13"/>
    </row>
    <row r="1502" spans="3:6" ht="21" customHeight="1" x14ac:dyDescent="0.2">
      <c r="C1502" s="53"/>
      <c r="D1502" s="13"/>
      <c r="E1502" s="53"/>
      <c r="F1502" s="13"/>
    </row>
    <row r="1503" spans="3:6" ht="21" customHeight="1" x14ac:dyDescent="0.2">
      <c r="C1503" s="53"/>
      <c r="D1503" s="13"/>
      <c r="E1503" s="53"/>
      <c r="F1503" s="13"/>
    </row>
    <row r="1504" spans="3:6" ht="21" customHeight="1" x14ac:dyDescent="0.2">
      <c r="C1504" s="53"/>
      <c r="D1504" s="13"/>
      <c r="E1504" s="53"/>
      <c r="F1504" s="13"/>
    </row>
    <row r="1505" spans="3:6" ht="21" customHeight="1" x14ac:dyDescent="0.2">
      <c r="C1505" s="53"/>
      <c r="D1505" s="13"/>
      <c r="E1505" s="53"/>
      <c r="F1505" s="13"/>
    </row>
    <row r="1506" spans="3:6" ht="21" customHeight="1" x14ac:dyDescent="0.2">
      <c r="C1506" s="53"/>
      <c r="D1506" s="13"/>
      <c r="E1506" s="53"/>
      <c r="F1506" s="13"/>
    </row>
    <row r="1507" spans="3:6" ht="21" customHeight="1" x14ac:dyDescent="0.2">
      <c r="C1507" s="53"/>
      <c r="D1507" s="13"/>
      <c r="E1507" s="53"/>
      <c r="F1507" s="13"/>
    </row>
    <row r="1508" spans="3:6" ht="21" customHeight="1" x14ac:dyDescent="0.2">
      <c r="C1508" s="53"/>
      <c r="D1508" s="13"/>
      <c r="E1508" s="53"/>
      <c r="F1508" s="13"/>
    </row>
    <row r="1509" spans="3:6" ht="21" customHeight="1" x14ac:dyDescent="0.2">
      <c r="C1509" s="53"/>
      <c r="D1509" s="13"/>
      <c r="E1509" s="53"/>
      <c r="F1509" s="13"/>
    </row>
    <row r="1510" spans="3:6" ht="21" customHeight="1" x14ac:dyDescent="0.2">
      <c r="C1510" s="53"/>
      <c r="D1510" s="13"/>
      <c r="E1510" s="53"/>
      <c r="F1510" s="13"/>
    </row>
    <row r="1511" spans="3:6" ht="21" customHeight="1" x14ac:dyDescent="0.2">
      <c r="C1511" s="53"/>
      <c r="D1511" s="13"/>
      <c r="E1511" s="53"/>
      <c r="F1511" s="13"/>
    </row>
    <row r="1512" spans="3:6" ht="21" customHeight="1" x14ac:dyDescent="0.2">
      <c r="C1512" s="53"/>
      <c r="D1512" s="13"/>
      <c r="E1512" s="53"/>
      <c r="F1512" s="13"/>
    </row>
    <row r="1513" spans="3:6" ht="21" customHeight="1" x14ac:dyDescent="0.2">
      <c r="C1513" s="53"/>
      <c r="D1513" s="13"/>
      <c r="E1513" s="53"/>
      <c r="F1513" s="13"/>
    </row>
    <row r="1514" spans="3:6" ht="21" customHeight="1" x14ac:dyDescent="0.2">
      <c r="C1514" s="53"/>
      <c r="D1514" s="13"/>
      <c r="E1514" s="53"/>
      <c r="F1514" s="13"/>
    </row>
    <row r="1515" spans="3:6" ht="21" customHeight="1" x14ac:dyDescent="0.2">
      <c r="C1515" s="53"/>
      <c r="D1515" s="13"/>
      <c r="E1515" s="53"/>
      <c r="F1515" s="13"/>
    </row>
    <row r="1516" spans="3:6" ht="21" customHeight="1" x14ac:dyDescent="0.2">
      <c r="C1516" s="53"/>
      <c r="D1516" s="13"/>
      <c r="E1516" s="53"/>
      <c r="F1516" s="13"/>
    </row>
    <row r="1517" spans="3:6" ht="21" customHeight="1" x14ac:dyDescent="0.2">
      <c r="C1517" s="53"/>
      <c r="D1517" s="13"/>
      <c r="E1517" s="53"/>
      <c r="F1517" s="13"/>
    </row>
    <row r="1518" spans="3:6" ht="21" customHeight="1" x14ac:dyDescent="0.2">
      <c r="C1518" s="53"/>
      <c r="D1518" s="13"/>
      <c r="E1518" s="53"/>
      <c r="F1518" s="13"/>
    </row>
    <row r="1519" spans="3:6" ht="21" customHeight="1" x14ac:dyDescent="0.2">
      <c r="C1519" s="53"/>
      <c r="D1519" s="13"/>
      <c r="E1519" s="53"/>
      <c r="F1519" s="13"/>
    </row>
    <row r="1520" spans="3:6" ht="21" customHeight="1" x14ac:dyDescent="0.2">
      <c r="C1520" s="53"/>
      <c r="D1520" s="13"/>
      <c r="E1520" s="53"/>
      <c r="F1520" s="13"/>
    </row>
    <row r="1521" spans="3:6" ht="21" customHeight="1" x14ac:dyDescent="0.2">
      <c r="C1521" s="53"/>
      <c r="D1521" s="13"/>
      <c r="E1521" s="53"/>
      <c r="F1521" s="13"/>
    </row>
    <row r="1522" spans="3:6" ht="21" customHeight="1" x14ac:dyDescent="0.2">
      <c r="C1522" s="53"/>
      <c r="D1522" s="13"/>
      <c r="E1522" s="53"/>
      <c r="F1522" s="13"/>
    </row>
    <row r="1523" spans="3:6" ht="21" customHeight="1" x14ac:dyDescent="0.2">
      <c r="C1523" s="53"/>
      <c r="D1523" s="13"/>
      <c r="E1523" s="53"/>
      <c r="F1523" s="13"/>
    </row>
    <row r="1524" spans="3:6" ht="21" customHeight="1" x14ac:dyDescent="0.2">
      <c r="C1524" s="53"/>
      <c r="D1524" s="13"/>
      <c r="E1524" s="53"/>
      <c r="F1524" s="13"/>
    </row>
    <row r="1525" spans="3:6" ht="21" customHeight="1" x14ac:dyDescent="0.2">
      <c r="C1525" s="53"/>
      <c r="D1525" s="13"/>
      <c r="E1525" s="53"/>
      <c r="F1525" s="13"/>
    </row>
    <row r="1526" spans="3:6" ht="21" customHeight="1" x14ac:dyDescent="0.2">
      <c r="C1526" s="53"/>
      <c r="D1526" s="13"/>
      <c r="E1526" s="53"/>
      <c r="F1526" s="13"/>
    </row>
    <row r="1527" spans="3:6" ht="21" customHeight="1" x14ac:dyDescent="0.2">
      <c r="C1527" s="53"/>
      <c r="D1527" s="13"/>
      <c r="E1527" s="53"/>
      <c r="F1527" s="13"/>
    </row>
    <row r="1528" spans="3:6" ht="21" customHeight="1" x14ac:dyDescent="0.2">
      <c r="C1528" s="53"/>
      <c r="D1528" s="13"/>
      <c r="E1528" s="53"/>
      <c r="F1528" s="13"/>
    </row>
    <row r="1529" spans="3:6" ht="21" customHeight="1" x14ac:dyDescent="0.2">
      <c r="C1529" s="53"/>
      <c r="D1529" s="13"/>
      <c r="E1529" s="53"/>
      <c r="F1529" s="13"/>
    </row>
    <row r="1530" spans="3:6" ht="21" customHeight="1" x14ac:dyDescent="0.2">
      <c r="C1530" s="53"/>
      <c r="D1530" s="13"/>
      <c r="E1530" s="53"/>
      <c r="F1530" s="13"/>
    </row>
    <row r="1531" spans="3:6" ht="21" customHeight="1" x14ac:dyDescent="0.2">
      <c r="C1531" s="53"/>
      <c r="D1531" s="13"/>
      <c r="E1531" s="53"/>
      <c r="F1531" s="13"/>
    </row>
    <row r="1532" spans="3:6" ht="21" customHeight="1" x14ac:dyDescent="0.2">
      <c r="C1532" s="53"/>
      <c r="D1532" s="13"/>
      <c r="E1532" s="53"/>
      <c r="F1532" s="13"/>
    </row>
    <row r="1533" spans="3:6" ht="21" customHeight="1" x14ac:dyDescent="0.2">
      <c r="C1533" s="53"/>
      <c r="D1533" s="13"/>
      <c r="E1533" s="53"/>
      <c r="F1533" s="13"/>
    </row>
    <row r="1534" spans="3:6" ht="21" customHeight="1" x14ac:dyDescent="0.2">
      <c r="C1534" s="53"/>
      <c r="D1534" s="13"/>
      <c r="E1534" s="53"/>
      <c r="F1534" s="13"/>
    </row>
    <row r="1535" spans="3:6" ht="21" customHeight="1" x14ac:dyDescent="0.2">
      <c r="C1535" s="53"/>
      <c r="D1535" s="13"/>
      <c r="E1535" s="53"/>
      <c r="F1535" s="13"/>
    </row>
    <row r="1536" spans="3:6" ht="21" customHeight="1" x14ac:dyDescent="0.2">
      <c r="C1536" s="53"/>
      <c r="D1536" s="13"/>
      <c r="E1536" s="53"/>
      <c r="F1536" s="13"/>
    </row>
    <row r="1537" spans="3:6" ht="21" customHeight="1" x14ac:dyDescent="0.2">
      <c r="C1537" s="53"/>
      <c r="D1537" s="13"/>
      <c r="E1537" s="53"/>
      <c r="F1537" s="13"/>
    </row>
    <row r="1538" spans="3:6" ht="21" customHeight="1" x14ac:dyDescent="0.2">
      <c r="C1538" s="53"/>
      <c r="D1538" s="13"/>
      <c r="E1538" s="53"/>
      <c r="F1538" s="13"/>
    </row>
    <row r="1539" spans="3:6" ht="21" customHeight="1" x14ac:dyDescent="0.2">
      <c r="C1539" s="53"/>
      <c r="D1539" s="13"/>
      <c r="E1539" s="53"/>
      <c r="F1539" s="13"/>
    </row>
    <row r="1540" spans="3:6" ht="21" customHeight="1" x14ac:dyDescent="0.2">
      <c r="C1540" s="53"/>
      <c r="D1540" s="13"/>
      <c r="E1540" s="53"/>
      <c r="F1540" s="13"/>
    </row>
    <row r="1541" spans="3:6" ht="21" customHeight="1" x14ac:dyDescent="0.2">
      <c r="C1541" s="53"/>
      <c r="D1541" s="13"/>
      <c r="E1541" s="53"/>
      <c r="F1541" s="13"/>
    </row>
    <row r="1542" spans="3:6" ht="21" customHeight="1" x14ac:dyDescent="0.2">
      <c r="C1542" s="53"/>
      <c r="D1542" s="13"/>
      <c r="E1542" s="53"/>
      <c r="F1542" s="13"/>
    </row>
    <row r="1543" spans="3:6" ht="21" customHeight="1" x14ac:dyDescent="0.2">
      <c r="C1543" s="53"/>
      <c r="D1543" s="13"/>
      <c r="E1543" s="53"/>
      <c r="F1543" s="13"/>
    </row>
    <row r="1544" spans="3:6" ht="21" customHeight="1" x14ac:dyDescent="0.2">
      <c r="C1544" s="53"/>
      <c r="D1544" s="13"/>
      <c r="E1544" s="53"/>
      <c r="F1544" s="13"/>
    </row>
    <row r="1545" spans="3:6" ht="21" customHeight="1" x14ac:dyDescent="0.2">
      <c r="C1545" s="53"/>
      <c r="D1545" s="13"/>
      <c r="E1545" s="53"/>
      <c r="F1545" s="13"/>
    </row>
    <row r="1546" spans="3:6" ht="21" customHeight="1" x14ac:dyDescent="0.2">
      <c r="C1546" s="53"/>
      <c r="D1546" s="13"/>
      <c r="E1546" s="53"/>
      <c r="F1546" s="13"/>
    </row>
    <row r="1547" spans="3:6" ht="21" customHeight="1" x14ac:dyDescent="0.2">
      <c r="C1547" s="53"/>
      <c r="D1547" s="13"/>
      <c r="E1547" s="53"/>
      <c r="F1547" s="13"/>
    </row>
    <row r="1548" spans="3:6" ht="21" customHeight="1" x14ac:dyDescent="0.2">
      <c r="C1548" s="53"/>
      <c r="D1548" s="13"/>
      <c r="E1548" s="53"/>
      <c r="F1548" s="13"/>
    </row>
    <row r="1549" spans="3:6" ht="21" customHeight="1" x14ac:dyDescent="0.2">
      <c r="C1549" s="53"/>
      <c r="D1549" s="13"/>
      <c r="E1549" s="53"/>
      <c r="F1549" s="13"/>
    </row>
    <row r="1550" spans="3:6" ht="21" customHeight="1" x14ac:dyDescent="0.2">
      <c r="C1550" s="53"/>
      <c r="D1550" s="13"/>
      <c r="E1550" s="53"/>
      <c r="F1550" s="13"/>
    </row>
    <row r="1551" spans="3:6" ht="21" customHeight="1" x14ac:dyDescent="0.2">
      <c r="C1551" s="53"/>
      <c r="D1551" s="13"/>
      <c r="E1551" s="53"/>
      <c r="F1551" s="13"/>
    </row>
    <row r="1552" spans="3:6" ht="21" customHeight="1" x14ac:dyDescent="0.2">
      <c r="C1552" s="53"/>
      <c r="D1552" s="13"/>
      <c r="E1552" s="53"/>
      <c r="F1552" s="13"/>
    </row>
    <row r="1553" spans="3:6" ht="21" customHeight="1" x14ac:dyDescent="0.2">
      <c r="C1553" s="53"/>
      <c r="D1553" s="13"/>
      <c r="E1553" s="53"/>
      <c r="F1553" s="13"/>
    </row>
    <row r="1554" spans="3:6" ht="21" customHeight="1" x14ac:dyDescent="0.2">
      <c r="C1554" s="53"/>
      <c r="D1554" s="13"/>
      <c r="E1554" s="53"/>
      <c r="F1554" s="13"/>
    </row>
    <row r="1555" spans="3:6" ht="21" customHeight="1" x14ac:dyDescent="0.2">
      <c r="C1555" s="53"/>
      <c r="D1555" s="13"/>
      <c r="E1555" s="53"/>
      <c r="F1555" s="13"/>
    </row>
    <row r="1556" spans="3:6" ht="21" customHeight="1" x14ac:dyDescent="0.2">
      <c r="C1556" s="53"/>
      <c r="D1556" s="13"/>
      <c r="E1556" s="53"/>
      <c r="F1556" s="13"/>
    </row>
    <row r="1557" spans="3:6" ht="21" customHeight="1" x14ac:dyDescent="0.2">
      <c r="C1557" s="53"/>
      <c r="D1557" s="13"/>
      <c r="E1557" s="53"/>
      <c r="F1557" s="13"/>
    </row>
    <row r="1558" spans="3:6" ht="21" customHeight="1" x14ac:dyDescent="0.2">
      <c r="C1558" s="53"/>
      <c r="D1558" s="13"/>
      <c r="E1558" s="53"/>
      <c r="F1558" s="13"/>
    </row>
    <row r="1559" spans="3:6" ht="21" customHeight="1" x14ac:dyDescent="0.2">
      <c r="C1559" s="53"/>
      <c r="D1559" s="13"/>
      <c r="E1559" s="53"/>
      <c r="F1559" s="13"/>
    </row>
    <row r="1560" spans="3:6" ht="21" customHeight="1" x14ac:dyDescent="0.2">
      <c r="C1560" s="53"/>
      <c r="D1560" s="13"/>
      <c r="E1560" s="53"/>
      <c r="F1560" s="13"/>
    </row>
    <row r="1561" spans="3:6" ht="21" customHeight="1" x14ac:dyDescent="0.2">
      <c r="C1561" s="53"/>
      <c r="D1561" s="13"/>
      <c r="E1561" s="53"/>
      <c r="F1561" s="13"/>
    </row>
    <row r="1562" spans="3:6" ht="21" customHeight="1" x14ac:dyDescent="0.2">
      <c r="C1562" s="53"/>
      <c r="D1562" s="13"/>
      <c r="E1562" s="53"/>
      <c r="F1562" s="13"/>
    </row>
    <row r="1563" spans="3:6" ht="21" customHeight="1" x14ac:dyDescent="0.2">
      <c r="C1563" s="53"/>
      <c r="D1563" s="13"/>
      <c r="E1563" s="53"/>
      <c r="F1563" s="13"/>
    </row>
    <row r="1564" spans="3:6" ht="21" customHeight="1" x14ac:dyDescent="0.2">
      <c r="C1564" s="53"/>
      <c r="D1564" s="13"/>
      <c r="E1564" s="53"/>
      <c r="F1564" s="13"/>
    </row>
    <row r="1565" spans="3:6" ht="21" customHeight="1" x14ac:dyDescent="0.2">
      <c r="C1565" s="53"/>
      <c r="D1565" s="13"/>
      <c r="E1565" s="53"/>
      <c r="F1565" s="13"/>
    </row>
    <row r="1566" spans="3:6" ht="21" customHeight="1" x14ac:dyDescent="0.2">
      <c r="C1566" s="53"/>
      <c r="D1566" s="13"/>
      <c r="E1566" s="53"/>
      <c r="F1566" s="13"/>
    </row>
    <row r="1567" spans="3:6" ht="21" customHeight="1" x14ac:dyDescent="0.2">
      <c r="C1567" s="53"/>
      <c r="D1567" s="13"/>
      <c r="E1567" s="53"/>
      <c r="F1567" s="13"/>
    </row>
    <row r="1568" spans="3:6" ht="21" customHeight="1" x14ac:dyDescent="0.2">
      <c r="C1568" s="53"/>
      <c r="D1568" s="13"/>
      <c r="E1568" s="53"/>
      <c r="F1568" s="13"/>
    </row>
    <row r="1569" spans="3:6" ht="21" customHeight="1" x14ac:dyDescent="0.2">
      <c r="C1569" s="53"/>
      <c r="D1569" s="13"/>
      <c r="E1569" s="53"/>
      <c r="F1569" s="13"/>
    </row>
    <row r="1570" spans="3:6" ht="21" customHeight="1" x14ac:dyDescent="0.2">
      <c r="C1570" s="53"/>
      <c r="D1570" s="13"/>
      <c r="E1570" s="53"/>
      <c r="F1570" s="13"/>
    </row>
    <row r="1571" spans="3:6" ht="21" customHeight="1" x14ac:dyDescent="0.2">
      <c r="C1571" s="53"/>
      <c r="D1571" s="13"/>
      <c r="E1571" s="53"/>
      <c r="F1571" s="13"/>
    </row>
    <row r="1572" spans="3:6" ht="21" customHeight="1" x14ac:dyDescent="0.2">
      <c r="C1572" s="53"/>
      <c r="D1572" s="13"/>
      <c r="E1572" s="53"/>
      <c r="F1572" s="13"/>
    </row>
    <row r="1573" spans="3:6" ht="21" customHeight="1" x14ac:dyDescent="0.2">
      <c r="C1573" s="53"/>
      <c r="D1573" s="13"/>
      <c r="E1573" s="53"/>
      <c r="F1573" s="13"/>
    </row>
    <row r="1574" spans="3:6" ht="21" customHeight="1" x14ac:dyDescent="0.2">
      <c r="C1574" s="53"/>
      <c r="D1574" s="13"/>
      <c r="E1574" s="53"/>
      <c r="F1574" s="13"/>
    </row>
    <row r="1575" spans="3:6" ht="21" customHeight="1" x14ac:dyDescent="0.2">
      <c r="C1575" s="53"/>
      <c r="D1575" s="13"/>
      <c r="E1575" s="53"/>
      <c r="F1575" s="13"/>
    </row>
    <row r="1576" spans="3:6" ht="21" customHeight="1" x14ac:dyDescent="0.2">
      <c r="C1576" s="53"/>
      <c r="D1576" s="13"/>
      <c r="E1576" s="53"/>
      <c r="F1576" s="13"/>
    </row>
    <row r="1577" spans="3:6" ht="21" customHeight="1" x14ac:dyDescent="0.2">
      <c r="C1577" s="53"/>
      <c r="D1577" s="13"/>
      <c r="E1577" s="53"/>
      <c r="F1577" s="13"/>
    </row>
    <row r="1578" spans="3:6" ht="21" customHeight="1" x14ac:dyDescent="0.2">
      <c r="C1578" s="53"/>
      <c r="D1578" s="13"/>
      <c r="E1578" s="53"/>
      <c r="F1578" s="13"/>
    </row>
    <row r="1579" spans="3:6" ht="21" customHeight="1" x14ac:dyDescent="0.2">
      <c r="C1579" s="53"/>
      <c r="D1579" s="13"/>
      <c r="E1579" s="53"/>
      <c r="F1579" s="13"/>
    </row>
    <row r="1580" spans="3:6" ht="21" customHeight="1" x14ac:dyDescent="0.2">
      <c r="C1580" s="53"/>
      <c r="D1580" s="13"/>
      <c r="E1580" s="53"/>
      <c r="F1580" s="13"/>
    </row>
    <row r="1581" spans="3:6" ht="21" customHeight="1" x14ac:dyDescent="0.2">
      <c r="C1581" s="53"/>
      <c r="D1581" s="13"/>
      <c r="E1581" s="53"/>
      <c r="F1581" s="13"/>
    </row>
    <row r="1582" spans="3:6" ht="21" customHeight="1" x14ac:dyDescent="0.2">
      <c r="C1582" s="53"/>
      <c r="D1582" s="13"/>
      <c r="E1582" s="53"/>
      <c r="F1582" s="13"/>
    </row>
    <row r="1583" spans="3:6" ht="21" customHeight="1" x14ac:dyDescent="0.2">
      <c r="C1583" s="53"/>
      <c r="D1583" s="13"/>
      <c r="E1583" s="53"/>
      <c r="F1583" s="13"/>
    </row>
    <row r="1584" spans="3:6" ht="21" customHeight="1" x14ac:dyDescent="0.2">
      <c r="C1584" s="53"/>
      <c r="D1584" s="13"/>
      <c r="E1584" s="53"/>
      <c r="F1584" s="13"/>
    </row>
    <row r="1585" spans="3:6" ht="21" customHeight="1" x14ac:dyDescent="0.2">
      <c r="C1585" s="53"/>
      <c r="D1585" s="13"/>
      <c r="E1585" s="53"/>
      <c r="F1585" s="13"/>
    </row>
    <row r="1586" spans="3:6" ht="21" customHeight="1" x14ac:dyDescent="0.2">
      <c r="C1586" s="53"/>
      <c r="D1586" s="13"/>
      <c r="E1586" s="53"/>
      <c r="F1586" s="13"/>
    </row>
    <row r="1587" spans="3:6" ht="21" customHeight="1" x14ac:dyDescent="0.2">
      <c r="C1587" s="53"/>
      <c r="D1587" s="13"/>
      <c r="E1587" s="53"/>
      <c r="F1587" s="13"/>
    </row>
    <row r="1588" spans="3:6" ht="21" customHeight="1" x14ac:dyDescent="0.2">
      <c r="C1588" s="53"/>
      <c r="D1588" s="13"/>
      <c r="E1588" s="53"/>
      <c r="F1588" s="13"/>
    </row>
    <row r="1589" spans="3:6" ht="21" customHeight="1" x14ac:dyDescent="0.2">
      <c r="C1589" s="53"/>
      <c r="D1589" s="13"/>
      <c r="E1589" s="53"/>
      <c r="F1589" s="13"/>
    </row>
    <row r="1590" spans="3:6" ht="21" customHeight="1" x14ac:dyDescent="0.2">
      <c r="C1590" s="53"/>
      <c r="D1590" s="13"/>
      <c r="E1590" s="53"/>
      <c r="F1590" s="13"/>
    </row>
    <row r="1591" spans="3:6" ht="21" customHeight="1" x14ac:dyDescent="0.2">
      <c r="C1591" s="53"/>
      <c r="D1591" s="13"/>
      <c r="E1591" s="53"/>
      <c r="F1591" s="13"/>
    </row>
    <row r="1592" spans="3:6" ht="21" customHeight="1" x14ac:dyDescent="0.2">
      <c r="C1592" s="53"/>
      <c r="D1592" s="13"/>
      <c r="E1592" s="53"/>
      <c r="F1592" s="13"/>
    </row>
    <row r="1593" spans="3:6" ht="21" customHeight="1" x14ac:dyDescent="0.2">
      <c r="C1593" s="53"/>
      <c r="D1593" s="13"/>
      <c r="E1593" s="53"/>
      <c r="F1593" s="13"/>
    </row>
    <row r="1594" spans="3:6" ht="21" customHeight="1" x14ac:dyDescent="0.2">
      <c r="C1594" s="53"/>
      <c r="D1594" s="13"/>
      <c r="E1594" s="53"/>
      <c r="F1594" s="13"/>
    </row>
    <row r="1595" spans="3:6" ht="21" customHeight="1" x14ac:dyDescent="0.2">
      <c r="C1595" s="53"/>
      <c r="D1595" s="13"/>
      <c r="E1595" s="53"/>
      <c r="F1595" s="13"/>
    </row>
    <row r="1596" spans="3:6" ht="21" customHeight="1" x14ac:dyDescent="0.2">
      <c r="C1596" s="53"/>
      <c r="D1596" s="13"/>
      <c r="E1596" s="53"/>
      <c r="F1596" s="13"/>
    </row>
    <row r="1597" spans="3:6" ht="21" customHeight="1" x14ac:dyDescent="0.2">
      <c r="C1597" s="53"/>
      <c r="D1597" s="13"/>
      <c r="E1597" s="53"/>
      <c r="F1597" s="13"/>
    </row>
    <row r="1598" spans="3:6" ht="21" customHeight="1" x14ac:dyDescent="0.2">
      <c r="C1598" s="53"/>
      <c r="D1598" s="13"/>
      <c r="E1598" s="53"/>
      <c r="F1598" s="13"/>
    </row>
    <row r="1599" spans="3:6" ht="21" customHeight="1" x14ac:dyDescent="0.2">
      <c r="C1599" s="53"/>
      <c r="D1599" s="13"/>
      <c r="E1599" s="53"/>
      <c r="F1599" s="13"/>
    </row>
    <row r="1600" spans="3:6" ht="21" customHeight="1" x14ac:dyDescent="0.2">
      <c r="C1600" s="53"/>
      <c r="D1600" s="13"/>
      <c r="E1600" s="53"/>
      <c r="F1600" s="13"/>
    </row>
    <row r="1601" spans="3:6" ht="21" customHeight="1" x14ac:dyDescent="0.2">
      <c r="C1601" s="53"/>
      <c r="D1601" s="13"/>
      <c r="E1601" s="53"/>
      <c r="F1601" s="13"/>
    </row>
    <row r="1602" spans="3:6" ht="21" customHeight="1" x14ac:dyDescent="0.2">
      <c r="C1602" s="53"/>
      <c r="D1602" s="13"/>
      <c r="E1602" s="53"/>
      <c r="F1602" s="13"/>
    </row>
    <row r="1603" spans="3:6" ht="21" customHeight="1" x14ac:dyDescent="0.2">
      <c r="C1603" s="53"/>
      <c r="D1603" s="13"/>
      <c r="E1603" s="53"/>
      <c r="F1603" s="13"/>
    </row>
    <row r="1604" spans="3:6" ht="21" customHeight="1" x14ac:dyDescent="0.2">
      <c r="C1604" s="53"/>
      <c r="D1604" s="13"/>
      <c r="E1604" s="53"/>
      <c r="F1604" s="13"/>
    </row>
    <row r="1605" spans="3:6" ht="21" customHeight="1" x14ac:dyDescent="0.2">
      <c r="C1605" s="53"/>
      <c r="D1605" s="13"/>
      <c r="E1605" s="53"/>
      <c r="F1605" s="13"/>
    </row>
    <row r="1606" spans="3:6" ht="21" customHeight="1" x14ac:dyDescent="0.2">
      <c r="C1606" s="53"/>
      <c r="D1606" s="13"/>
      <c r="E1606" s="53"/>
      <c r="F1606" s="13"/>
    </row>
    <row r="1607" spans="3:6" ht="21" customHeight="1" x14ac:dyDescent="0.2">
      <c r="C1607" s="53"/>
      <c r="D1607" s="13"/>
      <c r="E1607" s="53"/>
      <c r="F1607" s="13"/>
    </row>
    <row r="1608" spans="3:6" ht="21" customHeight="1" x14ac:dyDescent="0.2">
      <c r="C1608" s="53"/>
      <c r="D1608" s="13"/>
      <c r="E1608" s="53"/>
      <c r="F1608" s="13"/>
    </row>
    <row r="1609" spans="3:6" ht="21" customHeight="1" x14ac:dyDescent="0.2">
      <c r="C1609" s="53"/>
      <c r="D1609" s="13"/>
      <c r="E1609" s="53"/>
      <c r="F1609" s="13"/>
    </row>
    <row r="1610" spans="3:6" ht="21" customHeight="1" x14ac:dyDescent="0.2">
      <c r="C1610" s="53"/>
      <c r="D1610" s="13"/>
      <c r="E1610" s="53"/>
      <c r="F1610" s="13"/>
    </row>
    <row r="1611" spans="3:6" ht="21" customHeight="1" x14ac:dyDescent="0.2">
      <c r="C1611" s="53"/>
      <c r="D1611" s="13"/>
      <c r="E1611" s="53"/>
      <c r="F1611" s="13"/>
    </row>
    <row r="1612" spans="3:6" ht="21" customHeight="1" x14ac:dyDescent="0.2">
      <c r="C1612" s="53"/>
      <c r="D1612" s="13"/>
      <c r="E1612" s="53"/>
      <c r="F1612" s="13"/>
    </row>
    <row r="1613" spans="3:6" ht="21" customHeight="1" x14ac:dyDescent="0.2">
      <c r="C1613" s="53"/>
      <c r="D1613" s="13"/>
      <c r="E1613" s="53"/>
      <c r="F1613" s="13"/>
    </row>
    <row r="1614" spans="3:6" ht="21" customHeight="1" x14ac:dyDescent="0.2">
      <c r="C1614" s="53"/>
      <c r="D1614" s="13"/>
      <c r="E1614" s="53"/>
      <c r="F1614" s="13"/>
    </row>
    <row r="1615" spans="3:6" ht="21" customHeight="1" x14ac:dyDescent="0.2">
      <c r="C1615" s="53"/>
      <c r="D1615" s="13"/>
      <c r="E1615" s="53"/>
      <c r="F1615" s="13"/>
    </row>
    <row r="1616" spans="3:6" ht="21" customHeight="1" x14ac:dyDescent="0.2">
      <c r="C1616" s="53"/>
      <c r="D1616" s="13"/>
      <c r="E1616" s="53"/>
      <c r="F1616" s="13"/>
    </row>
    <row r="1617" spans="3:6" ht="21" customHeight="1" x14ac:dyDescent="0.2">
      <c r="C1617" s="53"/>
      <c r="D1617" s="13"/>
      <c r="E1617" s="53"/>
      <c r="F1617" s="13"/>
    </row>
    <row r="1618" spans="3:6" ht="21" customHeight="1" x14ac:dyDescent="0.2">
      <c r="C1618" s="53"/>
      <c r="D1618" s="13"/>
      <c r="E1618" s="53"/>
      <c r="F1618" s="13"/>
    </row>
    <row r="1619" spans="3:6" ht="21" customHeight="1" x14ac:dyDescent="0.2">
      <c r="C1619" s="53"/>
      <c r="D1619" s="13"/>
      <c r="E1619" s="53"/>
      <c r="F1619" s="13"/>
    </row>
    <row r="1620" spans="3:6" ht="21" customHeight="1" x14ac:dyDescent="0.2">
      <c r="C1620" s="53"/>
      <c r="D1620" s="13"/>
      <c r="E1620" s="53"/>
      <c r="F1620" s="13"/>
    </row>
    <row r="1621" spans="3:6" ht="21" customHeight="1" x14ac:dyDescent="0.2">
      <c r="C1621" s="53"/>
      <c r="D1621" s="13"/>
      <c r="E1621" s="53"/>
      <c r="F1621" s="13"/>
    </row>
    <row r="1622" spans="3:6" ht="21" customHeight="1" x14ac:dyDescent="0.2">
      <c r="C1622" s="53"/>
      <c r="D1622" s="13"/>
      <c r="E1622" s="53"/>
      <c r="F1622" s="13"/>
    </row>
    <row r="1623" spans="3:6" ht="21" customHeight="1" x14ac:dyDescent="0.2">
      <c r="C1623" s="53"/>
      <c r="D1623" s="13"/>
      <c r="E1623" s="53"/>
      <c r="F1623" s="13"/>
    </row>
    <row r="1624" spans="3:6" ht="21" customHeight="1" x14ac:dyDescent="0.2">
      <c r="C1624" s="53"/>
      <c r="D1624" s="13"/>
      <c r="E1624" s="53"/>
      <c r="F1624" s="13"/>
    </row>
    <row r="1625" spans="3:6" ht="21" customHeight="1" x14ac:dyDescent="0.2">
      <c r="C1625" s="53"/>
      <c r="D1625" s="13"/>
      <c r="E1625" s="53"/>
      <c r="F1625" s="13"/>
    </row>
    <row r="1626" spans="3:6" ht="21" customHeight="1" x14ac:dyDescent="0.2">
      <c r="C1626" s="53"/>
      <c r="D1626" s="13"/>
      <c r="E1626" s="53"/>
      <c r="F1626" s="13"/>
    </row>
    <row r="1627" spans="3:6" ht="21" customHeight="1" x14ac:dyDescent="0.2">
      <c r="C1627" s="53"/>
      <c r="D1627" s="13"/>
      <c r="E1627" s="53"/>
      <c r="F1627" s="13"/>
    </row>
    <row r="1628" spans="3:6" ht="21" customHeight="1" x14ac:dyDescent="0.2">
      <c r="C1628" s="53"/>
      <c r="D1628" s="13"/>
      <c r="E1628" s="53"/>
      <c r="F1628" s="13"/>
    </row>
    <row r="1629" spans="3:6" ht="21" customHeight="1" x14ac:dyDescent="0.2">
      <c r="C1629" s="53"/>
      <c r="D1629" s="13"/>
      <c r="E1629" s="53"/>
      <c r="F1629" s="13"/>
    </row>
    <row r="1630" spans="3:6" ht="21" customHeight="1" x14ac:dyDescent="0.2">
      <c r="C1630" s="53"/>
      <c r="D1630" s="13"/>
      <c r="E1630" s="53"/>
      <c r="F1630" s="13"/>
    </row>
    <row r="1631" spans="3:6" ht="21" customHeight="1" x14ac:dyDescent="0.2">
      <c r="C1631" s="53"/>
      <c r="D1631" s="13"/>
      <c r="E1631" s="53"/>
      <c r="F1631" s="13"/>
    </row>
    <row r="1632" spans="3:6" ht="21" customHeight="1" x14ac:dyDescent="0.2">
      <c r="C1632" s="53"/>
      <c r="D1632" s="13"/>
      <c r="E1632" s="53"/>
      <c r="F1632" s="13"/>
    </row>
    <row r="1633" spans="3:6" ht="21" customHeight="1" x14ac:dyDescent="0.2">
      <c r="C1633" s="53"/>
      <c r="D1633" s="13"/>
      <c r="E1633" s="53"/>
      <c r="F1633" s="13"/>
    </row>
    <row r="1634" spans="3:6" ht="21" customHeight="1" x14ac:dyDescent="0.2">
      <c r="C1634" s="53"/>
      <c r="D1634" s="13"/>
      <c r="E1634" s="53"/>
      <c r="F1634" s="13"/>
    </row>
    <row r="1635" spans="3:6" ht="21" customHeight="1" x14ac:dyDescent="0.2">
      <c r="C1635" s="53"/>
      <c r="D1635" s="13"/>
      <c r="E1635" s="53"/>
      <c r="F1635" s="13"/>
    </row>
    <row r="1636" spans="3:6" ht="21" customHeight="1" x14ac:dyDescent="0.2">
      <c r="C1636" s="53"/>
      <c r="D1636" s="13"/>
      <c r="E1636" s="53"/>
      <c r="F1636" s="13"/>
    </row>
    <row r="1637" spans="3:6" ht="21" customHeight="1" x14ac:dyDescent="0.2">
      <c r="C1637" s="53"/>
      <c r="D1637" s="13"/>
      <c r="E1637" s="53"/>
      <c r="F1637" s="13"/>
    </row>
    <row r="1638" spans="3:6" ht="21" customHeight="1" x14ac:dyDescent="0.2">
      <c r="C1638" s="53"/>
      <c r="D1638" s="13"/>
      <c r="E1638" s="53"/>
      <c r="F1638" s="13"/>
    </row>
    <row r="1639" spans="3:6" ht="21" customHeight="1" x14ac:dyDescent="0.2">
      <c r="C1639" s="53"/>
      <c r="D1639" s="13"/>
      <c r="E1639" s="53"/>
      <c r="F1639" s="13"/>
    </row>
    <row r="1640" spans="3:6" ht="21" customHeight="1" x14ac:dyDescent="0.2">
      <c r="C1640" s="53"/>
      <c r="D1640" s="13"/>
      <c r="E1640" s="53"/>
      <c r="F1640" s="13"/>
    </row>
    <row r="1641" spans="3:6" ht="21" customHeight="1" x14ac:dyDescent="0.2">
      <c r="C1641" s="53"/>
      <c r="D1641" s="13"/>
      <c r="E1641" s="53"/>
      <c r="F1641" s="13"/>
    </row>
    <row r="1642" spans="3:6" ht="21" customHeight="1" x14ac:dyDescent="0.2">
      <c r="C1642" s="53"/>
      <c r="D1642" s="13"/>
      <c r="E1642" s="53"/>
      <c r="F1642" s="13"/>
    </row>
    <row r="1643" spans="3:6" ht="21" customHeight="1" x14ac:dyDescent="0.2">
      <c r="C1643" s="53"/>
      <c r="D1643" s="13"/>
      <c r="E1643" s="53"/>
      <c r="F1643" s="13"/>
    </row>
    <row r="1644" spans="3:6" ht="21" customHeight="1" x14ac:dyDescent="0.2">
      <c r="C1644" s="53"/>
      <c r="D1644" s="13"/>
      <c r="E1644" s="53"/>
      <c r="F1644" s="13"/>
    </row>
    <row r="1645" spans="3:6" ht="21" customHeight="1" x14ac:dyDescent="0.2">
      <c r="C1645" s="53"/>
      <c r="D1645" s="13"/>
      <c r="E1645" s="53"/>
      <c r="F1645" s="13"/>
    </row>
    <row r="1646" spans="3:6" ht="21" customHeight="1" x14ac:dyDescent="0.2">
      <c r="C1646" s="53"/>
      <c r="D1646" s="13"/>
      <c r="E1646" s="53"/>
      <c r="F1646" s="13"/>
    </row>
    <row r="1647" spans="3:6" ht="21" customHeight="1" x14ac:dyDescent="0.2">
      <c r="C1647" s="53"/>
      <c r="D1647" s="13"/>
      <c r="E1647" s="53"/>
      <c r="F1647" s="13"/>
    </row>
    <row r="1648" spans="3:6" ht="21" customHeight="1" x14ac:dyDescent="0.2">
      <c r="C1648" s="53"/>
      <c r="D1648" s="13"/>
      <c r="E1648" s="53"/>
      <c r="F1648" s="13"/>
    </row>
    <row r="1649" spans="3:6" ht="21" customHeight="1" x14ac:dyDescent="0.2">
      <c r="C1649" s="53"/>
      <c r="D1649" s="13"/>
      <c r="E1649" s="53"/>
      <c r="F1649" s="13"/>
    </row>
    <row r="1650" spans="3:6" ht="21" customHeight="1" x14ac:dyDescent="0.2">
      <c r="C1650" s="53"/>
      <c r="D1650" s="13"/>
      <c r="E1650" s="53"/>
      <c r="F1650" s="13"/>
    </row>
    <row r="1651" spans="3:6" ht="21" customHeight="1" x14ac:dyDescent="0.2">
      <c r="C1651" s="53"/>
      <c r="D1651" s="13"/>
      <c r="E1651" s="53"/>
      <c r="F1651" s="13"/>
    </row>
    <row r="1652" spans="3:6" ht="21" customHeight="1" x14ac:dyDescent="0.2">
      <c r="C1652" s="53"/>
      <c r="D1652" s="13"/>
      <c r="E1652" s="53"/>
      <c r="F1652" s="13"/>
    </row>
    <row r="1653" spans="3:6" ht="21" customHeight="1" x14ac:dyDescent="0.2">
      <c r="C1653" s="53"/>
      <c r="D1653" s="13"/>
      <c r="E1653" s="53"/>
      <c r="F1653" s="13"/>
    </row>
    <row r="1654" spans="3:6" ht="21" customHeight="1" x14ac:dyDescent="0.2">
      <c r="C1654" s="53"/>
      <c r="D1654" s="13"/>
      <c r="E1654" s="53"/>
      <c r="F1654" s="13"/>
    </row>
    <row r="1655" spans="3:6" ht="21" customHeight="1" x14ac:dyDescent="0.2">
      <c r="C1655" s="53"/>
      <c r="D1655" s="13"/>
      <c r="E1655" s="53"/>
      <c r="F1655" s="13"/>
    </row>
    <row r="1656" spans="3:6" ht="21" customHeight="1" x14ac:dyDescent="0.2">
      <c r="C1656" s="53"/>
      <c r="D1656" s="13"/>
      <c r="E1656" s="53"/>
      <c r="F1656" s="13"/>
    </row>
    <row r="1657" spans="3:6" ht="21" customHeight="1" x14ac:dyDescent="0.2">
      <c r="C1657" s="53"/>
      <c r="D1657" s="13"/>
      <c r="E1657" s="53"/>
      <c r="F1657" s="13"/>
    </row>
    <row r="1658" spans="3:6" ht="21" customHeight="1" x14ac:dyDescent="0.2">
      <c r="C1658" s="53"/>
      <c r="D1658" s="13"/>
      <c r="E1658" s="53"/>
      <c r="F1658" s="13"/>
    </row>
    <row r="1659" spans="3:6" ht="21" customHeight="1" x14ac:dyDescent="0.2">
      <c r="C1659" s="53"/>
      <c r="D1659" s="13"/>
      <c r="E1659" s="53"/>
      <c r="F1659" s="13"/>
    </row>
    <row r="1660" spans="3:6" ht="21" customHeight="1" x14ac:dyDescent="0.2">
      <c r="C1660" s="53"/>
      <c r="D1660" s="13"/>
      <c r="E1660" s="53"/>
      <c r="F1660" s="13"/>
    </row>
    <row r="1661" spans="3:6" ht="21" customHeight="1" x14ac:dyDescent="0.2">
      <c r="C1661" s="53"/>
      <c r="D1661" s="13"/>
      <c r="E1661" s="53"/>
      <c r="F1661" s="13"/>
    </row>
    <row r="1662" spans="3:6" ht="21" customHeight="1" x14ac:dyDescent="0.2">
      <c r="C1662" s="53"/>
      <c r="D1662" s="13"/>
      <c r="E1662" s="53"/>
      <c r="F1662" s="13"/>
    </row>
    <row r="1663" spans="3:6" ht="21" customHeight="1" x14ac:dyDescent="0.2">
      <c r="C1663" s="53"/>
      <c r="D1663" s="13"/>
      <c r="E1663" s="53"/>
      <c r="F1663" s="13"/>
    </row>
    <row r="1664" spans="3:6" ht="21" customHeight="1" x14ac:dyDescent="0.2">
      <c r="C1664" s="53"/>
      <c r="D1664" s="13"/>
      <c r="E1664" s="53"/>
      <c r="F1664" s="13"/>
    </row>
    <row r="1665" spans="3:6" ht="21" customHeight="1" x14ac:dyDescent="0.2">
      <c r="C1665" s="53"/>
      <c r="D1665" s="13"/>
      <c r="E1665" s="53"/>
      <c r="F1665" s="13"/>
    </row>
    <row r="1666" spans="3:6" ht="21" customHeight="1" x14ac:dyDescent="0.2">
      <c r="C1666" s="53"/>
      <c r="D1666" s="13"/>
      <c r="E1666" s="53"/>
      <c r="F1666" s="13"/>
    </row>
    <row r="1667" spans="3:6" ht="21" customHeight="1" x14ac:dyDescent="0.2">
      <c r="C1667" s="53"/>
      <c r="D1667" s="13"/>
      <c r="E1667" s="53"/>
      <c r="F1667" s="13"/>
    </row>
    <row r="1668" spans="3:6" ht="21" customHeight="1" x14ac:dyDescent="0.2">
      <c r="C1668" s="53"/>
      <c r="D1668" s="13"/>
      <c r="E1668" s="53"/>
      <c r="F1668" s="13"/>
    </row>
    <row r="1669" spans="3:6" ht="21" customHeight="1" x14ac:dyDescent="0.2">
      <c r="C1669" s="53"/>
      <c r="D1669" s="13"/>
      <c r="E1669" s="53"/>
      <c r="F1669" s="13"/>
    </row>
    <row r="1670" spans="3:6" ht="21" customHeight="1" x14ac:dyDescent="0.2">
      <c r="C1670" s="53"/>
      <c r="D1670" s="13"/>
      <c r="E1670" s="53"/>
      <c r="F1670" s="13"/>
    </row>
    <row r="1671" spans="3:6" ht="21" customHeight="1" x14ac:dyDescent="0.2">
      <c r="C1671" s="53"/>
      <c r="D1671" s="13"/>
      <c r="E1671" s="53"/>
      <c r="F1671" s="13"/>
    </row>
    <row r="1672" spans="3:6" ht="21" customHeight="1" x14ac:dyDescent="0.2">
      <c r="C1672" s="53"/>
      <c r="D1672" s="13"/>
      <c r="E1672" s="53"/>
      <c r="F1672" s="13"/>
    </row>
    <row r="1673" spans="3:6" ht="21" customHeight="1" x14ac:dyDescent="0.2">
      <c r="C1673" s="53"/>
      <c r="D1673" s="13"/>
      <c r="E1673" s="53"/>
      <c r="F1673" s="13"/>
    </row>
    <row r="1674" spans="3:6" ht="21" customHeight="1" x14ac:dyDescent="0.2">
      <c r="C1674" s="53"/>
      <c r="D1674" s="13"/>
      <c r="E1674" s="53"/>
      <c r="F1674" s="13"/>
    </row>
    <row r="1675" spans="3:6" ht="21" customHeight="1" x14ac:dyDescent="0.2">
      <c r="C1675" s="53"/>
      <c r="D1675" s="13"/>
      <c r="E1675" s="53"/>
      <c r="F1675" s="13"/>
    </row>
    <row r="1676" spans="3:6" ht="21" customHeight="1" x14ac:dyDescent="0.2">
      <c r="C1676" s="53"/>
      <c r="D1676" s="13"/>
      <c r="E1676" s="53"/>
      <c r="F1676" s="13"/>
    </row>
    <row r="1677" spans="3:6" ht="21" customHeight="1" x14ac:dyDescent="0.2">
      <c r="C1677" s="53"/>
      <c r="D1677" s="13"/>
      <c r="E1677" s="53"/>
      <c r="F1677" s="13"/>
    </row>
    <row r="1678" spans="3:6" ht="21" customHeight="1" x14ac:dyDescent="0.2">
      <c r="C1678" s="53"/>
      <c r="D1678" s="13"/>
      <c r="E1678" s="53"/>
      <c r="F1678" s="13"/>
    </row>
    <row r="1679" spans="3:6" ht="21" customHeight="1" x14ac:dyDescent="0.2">
      <c r="C1679" s="53"/>
      <c r="D1679" s="13"/>
      <c r="E1679" s="53"/>
      <c r="F1679" s="13"/>
    </row>
    <row r="1680" spans="3:6" ht="21" customHeight="1" x14ac:dyDescent="0.2">
      <c r="C1680" s="53"/>
      <c r="D1680" s="13"/>
      <c r="E1680" s="53"/>
      <c r="F1680" s="13"/>
    </row>
    <row r="1681" spans="3:6" ht="21" customHeight="1" x14ac:dyDescent="0.2">
      <c r="C1681" s="53"/>
      <c r="D1681" s="13"/>
      <c r="E1681" s="53"/>
      <c r="F1681" s="13"/>
    </row>
    <row r="1682" spans="3:6" ht="21" customHeight="1" x14ac:dyDescent="0.2">
      <c r="C1682" s="53"/>
      <c r="D1682" s="13"/>
      <c r="E1682" s="53"/>
      <c r="F1682" s="13"/>
    </row>
    <row r="1683" spans="3:6" ht="21" customHeight="1" x14ac:dyDescent="0.2">
      <c r="C1683" s="53"/>
      <c r="D1683" s="13"/>
      <c r="E1683" s="53"/>
      <c r="F1683" s="13"/>
    </row>
    <row r="1684" spans="3:6" ht="21" customHeight="1" x14ac:dyDescent="0.2">
      <c r="C1684" s="53"/>
      <c r="D1684" s="13"/>
      <c r="E1684" s="53"/>
      <c r="F1684" s="13"/>
    </row>
    <row r="1685" spans="3:6" ht="21" customHeight="1" x14ac:dyDescent="0.2">
      <c r="C1685" s="53"/>
      <c r="D1685" s="13"/>
      <c r="E1685" s="53"/>
      <c r="F1685" s="13"/>
    </row>
    <row r="1686" spans="3:6" ht="21" customHeight="1" x14ac:dyDescent="0.2">
      <c r="C1686" s="53"/>
      <c r="D1686" s="13"/>
      <c r="E1686" s="53"/>
      <c r="F1686" s="13"/>
    </row>
    <row r="1687" spans="3:6" ht="21" customHeight="1" x14ac:dyDescent="0.2">
      <c r="C1687" s="53"/>
      <c r="D1687" s="13"/>
      <c r="E1687" s="53"/>
      <c r="F1687" s="13"/>
    </row>
    <row r="1688" spans="3:6" ht="21" customHeight="1" x14ac:dyDescent="0.2">
      <c r="C1688" s="53"/>
      <c r="D1688" s="13"/>
      <c r="E1688" s="53"/>
      <c r="F1688" s="13"/>
    </row>
    <row r="1689" spans="3:6" ht="21" customHeight="1" x14ac:dyDescent="0.2">
      <c r="C1689" s="53"/>
      <c r="D1689" s="13"/>
      <c r="E1689" s="53"/>
      <c r="F1689" s="13"/>
    </row>
    <row r="1690" spans="3:6" ht="21" customHeight="1" x14ac:dyDescent="0.2">
      <c r="C1690" s="53"/>
      <c r="D1690" s="13"/>
      <c r="E1690" s="53"/>
      <c r="F1690" s="13"/>
    </row>
    <row r="1691" spans="3:6" ht="21" customHeight="1" x14ac:dyDescent="0.2">
      <c r="C1691" s="53"/>
      <c r="D1691" s="13"/>
      <c r="E1691" s="53"/>
      <c r="F1691" s="13"/>
    </row>
    <row r="1692" spans="3:6" ht="21" customHeight="1" x14ac:dyDescent="0.2">
      <c r="C1692" s="53"/>
      <c r="D1692" s="13"/>
      <c r="E1692" s="53"/>
      <c r="F1692" s="13"/>
    </row>
    <row r="1693" spans="3:6" ht="21" customHeight="1" x14ac:dyDescent="0.2">
      <c r="C1693" s="53"/>
      <c r="D1693" s="13"/>
      <c r="E1693" s="53"/>
      <c r="F1693" s="13"/>
    </row>
    <row r="1694" spans="3:6" ht="21" customHeight="1" x14ac:dyDescent="0.2">
      <c r="C1694" s="53"/>
      <c r="D1694" s="13"/>
      <c r="E1694" s="53"/>
      <c r="F1694" s="13"/>
    </row>
    <row r="1695" spans="3:6" ht="21" customHeight="1" x14ac:dyDescent="0.2">
      <c r="C1695" s="53"/>
      <c r="D1695" s="13"/>
      <c r="E1695" s="53"/>
      <c r="F1695" s="13"/>
    </row>
    <row r="1696" spans="3:6" ht="21" customHeight="1" x14ac:dyDescent="0.2">
      <c r="C1696" s="53"/>
      <c r="D1696" s="13"/>
      <c r="E1696" s="53"/>
      <c r="F1696" s="13"/>
    </row>
    <row r="1697" spans="3:6" ht="21" customHeight="1" x14ac:dyDescent="0.2">
      <c r="C1697" s="53"/>
      <c r="D1697" s="13"/>
      <c r="E1697" s="53"/>
      <c r="F1697" s="13"/>
    </row>
    <row r="1698" spans="3:6" ht="21" customHeight="1" x14ac:dyDescent="0.2">
      <c r="C1698" s="53"/>
      <c r="D1698" s="13"/>
      <c r="E1698" s="53"/>
      <c r="F1698" s="13"/>
    </row>
    <row r="1699" spans="3:6" ht="21" customHeight="1" x14ac:dyDescent="0.2">
      <c r="C1699" s="53"/>
      <c r="D1699" s="13"/>
      <c r="E1699" s="53"/>
      <c r="F1699" s="13"/>
    </row>
    <row r="1700" spans="3:6" ht="21" customHeight="1" x14ac:dyDescent="0.2">
      <c r="C1700" s="53"/>
      <c r="D1700" s="13"/>
      <c r="E1700" s="53"/>
      <c r="F1700" s="13"/>
    </row>
    <row r="1701" spans="3:6" ht="21" customHeight="1" x14ac:dyDescent="0.2">
      <c r="C1701" s="53"/>
      <c r="D1701" s="13"/>
      <c r="E1701" s="53"/>
      <c r="F1701" s="13"/>
    </row>
    <row r="1702" spans="3:6" ht="21" customHeight="1" x14ac:dyDescent="0.2">
      <c r="C1702" s="53"/>
      <c r="D1702" s="13"/>
      <c r="E1702" s="53"/>
      <c r="F1702" s="13"/>
    </row>
    <row r="1703" spans="3:6" ht="21" customHeight="1" x14ac:dyDescent="0.2">
      <c r="C1703" s="53"/>
      <c r="D1703" s="13"/>
      <c r="E1703" s="53"/>
      <c r="F1703" s="13"/>
    </row>
    <row r="1704" spans="3:6" ht="21" customHeight="1" x14ac:dyDescent="0.2">
      <c r="C1704" s="53"/>
      <c r="D1704" s="13"/>
      <c r="E1704" s="53"/>
      <c r="F1704" s="13"/>
    </row>
    <row r="1705" spans="3:6" ht="21" customHeight="1" x14ac:dyDescent="0.2">
      <c r="C1705" s="53"/>
      <c r="D1705" s="13"/>
      <c r="E1705" s="53"/>
      <c r="F1705" s="13"/>
    </row>
    <row r="1706" spans="3:6" ht="21" customHeight="1" x14ac:dyDescent="0.2">
      <c r="C1706" s="53"/>
      <c r="D1706" s="13"/>
      <c r="E1706" s="53"/>
      <c r="F1706" s="13"/>
    </row>
    <row r="1707" spans="3:6" ht="21" customHeight="1" x14ac:dyDescent="0.2">
      <c r="C1707" s="53"/>
      <c r="D1707" s="13"/>
      <c r="E1707" s="53"/>
      <c r="F1707" s="13"/>
    </row>
    <row r="1708" spans="3:6" ht="21" customHeight="1" x14ac:dyDescent="0.2">
      <c r="C1708" s="53"/>
      <c r="D1708" s="13"/>
      <c r="E1708" s="53"/>
      <c r="F1708" s="13"/>
    </row>
    <row r="1709" spans="3:6" ht="21" customHeight="1" x14ac:dyDescent="0.2">
      <c r="C1709" s="53"/>
      <c r="D1709" s="13"/>
      <c r="E1709" s="53"/>
      <c r="F1709" s="13"/>
    </row>
    <row r="1710" spans="3:6" ht="21" customHeight="1" x14ac:dyDescent="0.2">
      <c r="C1710" s="53"/>
      <c r="D1710" s="13"/>
      <c r="E1710" s="53"/>
      <c r="F1710" s="13"/>
    </row>
    <row r="1711" spans="3:6" ht="21" customHeight="1" x14ac:dyDescent="0.2">
      <c r="C1711" s="53"/>
      <c r="D1711" s="13"/>
      <c r="E1711" s="53"/>
      <c r="F1711" s="13"/>
    </row>
    <row r="1712" spans="3:6" ht="21" customHeight="1" x14ac:dyDescent="0.2">
      <c r="C1712" s="53"/>
      <c r="D1712" s="13"/>
      <c r="E1712" s="53"/>
      <c r="F1712" s="13"/>
    </row>
    <row r="1713" spans="3:6" ht="21" customHeight="1" x14ac:dyDescent="0.2">
      <c r="C1713" s="53"/>
      <c r="D1713" s="13"/>
      <c r="E1713" s="53"/>
      <c r="F1713" s="13"/>
    </row>
    <row r="1714" spans="3:6" ht="21" customHeight="1" x14ac:dyDescent="0.2">
      <c r="C1714" s="53"/>
      <c r="D1714" s="13"/>
      <c r="E1714" s="53"/>
      <c r="F1714" s="13"/>
    </row>
    <row r="1715" spans="3:6" ht="21" customHeight="1" x14ac:dyDescent="0.2">
      <c r="C1715" s="53"/>
      <c r="D1715" s="13"/>
      <c r="E1715" s="53"/>
      <c r="F1715" s="13"/>
    </row>
    <row r="1716" spans="3:6" ht="21" customHeight="1" x14ac:dyDescent="0.2">
      <c r="C1716" s="53"/>
      <c r="D1716" s="13"/>
      <c r="E1716" s="53"/>
      <c r="F1716" s="13"/>
    </row>
    <row r="1717" spans="3:6" ht="21" customHeight="1" x14ac:dyDescent="0.2">
      <c r="C1717" s="53"/>
      <c r="D1717" s="13"/>
      <c r="E1717" s="53"/>
      <c r="F1717" s="13"/>
    </row>
    <row r="1718" spans="3:6" ht="21" customHeight="1" x14ac:dyDescent="0.2">
      <c r="C1718" s="53"/>
      <c r="D1718" s="13"/>
      <c r="E1718" s="53"/>
      <c r="F1718" s="13"/>
    </row>
    <row r="1719" spans="3:6" ht="21" customHeight="1" x14ac:dyDescent="0.2">
      <c r="C1719" s="53"/>
      <c r="D1719" s="13"/>
      <c r="E1719" s="53"/>
      <c r="F1719" s="13"/>
    </row>
    <row r="1720" spans="3:6" ht="21" customHeight="1" x14ac:dyDescent="0.2">
      <c r="C1720" s="53"/>
      <c r="D1720" s="13"/>
      <c r="E1720" s="53"/>
      <c r="F1720" s="13"/>
    </row>
    <row r="1721" spans="3:6" ht="21" customHeight="1" x14ac:dyDescent="0.2">
      <c r="C1721" s="53"/>
      <c r="D1721" s="13"/>
      <c r="E1721" s="53"/>
      <c r="F1721" s="13"/>
    </row>
    <row r="1722" spans="3:6" ht="21" customHeight="1" x14ac:dyDescent="0.2">
      <c r="C1722" s="53"/>
      <c r="D1722" s="13"/>
      <c r="E1722" s="53"/>
      <c r="F1722" s="13"/>
    </row>
    <row r="1723" spans="3:6" ht="21" customHeight="1" x14ac:dyDescent="0.2">
      <c r="C1723" s="53"/>
      <c r="D1723" s="13"/>
      <c r="E1723" s="53"/>
      <c r="F1723" s="13"/>
    </row>
    <row r="1724" spans="3:6" ht="21" customHeight="1" x14ac:dyDescent="0.2">
      <c r="C1724" s="53"/>
      <c r="D1724" s="13"/>
      <c r="E1724" s="53"/>
      <c r="F1724" s="13"/>
    </row>
    <row r="1725" spans="3:6" ht="21" customHeight="1" x14ac:dyDescent="0.2">
      <c r="C1725" s="53"/>
      <c r="D1725" s="13"/>
      <c r="E1725" s="53"/>
      <c r="F1725" s="13"/>
    </row>
    <row r="1726" spans="3:6" ht="21" customHeight="1" x14ac:dyDescent="0.2">
      <c r="C1726" s="53"/>
      <c r="D1726" s="13"/>
      <c r="E1726" s="53"/>
      <c r="F1726" s="13"/>
    </row>
    <row r="1727" spans="3:6" ht="21" customHeight="1" x14ac:dyDescent="0.2">
      <c r="C1727" s="53"/>
      <c r="D1727" s="13"/>
      <c r="E1727" s="53"/>
      <c r="F1727" s="13"/>
    </row>
    <row r="1728" spans="3:6" ht="21" customHeight="1" x14ac:dyDescent="0.2">
      <c r="C1728" s="53"/>
      <c r="D1728" s="13"/>
      <c r="E1728" s="53"/>
      <c r="F1728" s="13"/>
    </row>
    <row r="1729" spans="3:6" ht="21" customHeight="1" x14ac:dyDescent="0.2">
      <c r="C1729" s="53"/>
      <c r="D1729" s="13"/>
      <c r="E1729" s="53"/>
      <c r="F1729" s="13"/>
    </row>
    <row r="1730" spans="3:6" ht="21" customHeight="1" x14ac:dyDescent="0.2">
      <c r="C1730" s="53"/>
      <c r="D1730" s="13"/>
      <c r="E1730" s="53"/>
      <c r="F1730" s="13"/>
    </row>
    <row r="1731" spans="3:6" ht="21" customHeight="1" x14ac:dyDescent="0.2">
      <c r="C1731" s="53"/>
      <c r="D1731" s="13"/>
      <c r="E1731" s="53"/>
      <c r="F1731" s="13"/>
    </row>
    <row r="1732" spans="3:6" ht="21" customHeight="1" x14ac:dyDescent="0.2">
      <c r="C1732" s="53"/>
      <c r="D1732" s="13"/>
      <c r="E1732" s="53"/>
      <c r="F1732" s="13"/>
    </row>
    <row r="1733" spans="3:6" ht="21" customHeight="1" x14ac:dyDescent="0.2">
      <c r="C1733" s="53"/>
      <c r="D1733" s="13"/>
      <c r="E1733" s="53"/>
      <c r="F1733" s="13"/>
    </row>
    <row r="1734" spans="3:6" ht="21" customHeight="1" x14ac:dyDescent="0.2">
      <c r="C1734" s="53"/>
      <c r="D1734" s="13"/>
      <c r="E1734" s="53"/>
      <c r="F1734" s="13"/>
    </row>
    <row r="1735" spans="3:6" ht="21" customHeight="1" x14ac:dyDescent="0.2">
      <c r="C1735" s="53"/>
      <c r="D1735" s="13"/>
      <c r="E1735" s="53"/>
      <c r="F1735" s="13"/>
    </row>
    <row r="1736" spans="3:6" ht="21" customHeight="1" x14ac:dyDescent="0.2">
      <c r="C1736" s="53"/>
      <c r="D1736" s="13"/>
      <c r="E1736" s="53"/>
      <c r="F1736" s="13"/>
    </row>
    <row r="1737" spans="3:6" ht="21" customHeight="1" x14ac:dyDescent="0.2">
      <c r="C1737" s="53"/>
      <c r="D1737" s="13"/>
      <c r="E1737" s="53"/>
      <c r="F1737" s="13"/>
    </row>
    <row r="1738" spans="3:6" ht="21" customHeight="1" x14ac:dyDescent="0.2">
      <c r="C1738" s="53"/>
      <c r="D1738" s="13"/>
      <c r="E1738" s="53"/>
      <c r="F1738" s="13"/>
    </row>
    <row r="1739" spans="3:6" ht="21" customHeight="1" x14ac:dyDescent="0.2">
      <c r="C1739" s="53"/>
      <c r="D1739" s="13"/>
      <c r="E1739" s="53"/>
      <c r="F1739" s="13"/>
    </row>
    <row r="1740" spans="3:6" ht="21" customHeight="1" x14ac:dyDescent="0.2">
      <c r="C1740" s="53"/>
      <c r="D1740" s="13"/>
      <c r="E1740" s="53"/>
      <c r="F1740" s="13"/>
    </row>
    <row r="1741" spans="3:6" ht="21" customHeight="1" x14ac:dyDescent="0.2">
      <c r="C1741" s="53"/>
      <c r="D1741" s="13"/>
      <c r="E1741" s="53"/>
      <c r="F1741" s="13"/>
    </row>
    <row r="1742" spans="3:6" ht="21" customHeight="1" x14ac:dyDescent="0.2">
      <c r="C1742" s="53"/>
      <c r="D1742" s="13"/>
      <c r="E1742" s="53"/>
      <c r="F1742" s="13"/>
    </row>
    <row r="1743" spans="3:6" ht="21" customHeight="1" x14ac:dyDescent="0.2">
      <c r="C1743" s="53"/>
      <c r="D1743" s="13"/>
      <c r="E1743" s="53"/>
      <c r="F1743" s="13"/>
    </row>
    <row r="1744" spans="3:6" ht="21" customHeight="1" x14ac:dyDescent="0.2">
      <c r="C1744" s="53"/>
      <c r="D1744" s="13"/>
      <c r="E1744" s="53"/>
      <c r="F1744" s="13"/>
    </row>
    <row r="1745" spans="3:6" ht="21" customHeight="1" x14ac:dyDescent="0.2">
      <c r="C1745" s="53"/>
      <c r="D1745" s="13"/>
      <c r="E1745" s="53"/>
      <c r="F1745" s="13"/>
    </row>
    <row r="1746" spans="3:6" ht="21" customHeight="1" x14ac:dyDescent="0.2">
      <c r="C1746" s="53"/>
      <c r="D1746" s="13"/>
      <c r="E1746" s="53"/>
      <c r="F1746" s="13"/>
    </row>
    <row r="1747" spans="3:6" ht="21" customHeight="1" x14ac:dyDescent="0.2">
      <c r="C1747" s="53"/>
      <c r="D1747" s="13"/>
      <c r="E1747" s="53"/>
      <c r="F1747" s="13"/>
    </row>
    <row r="1748" spans="3:6" ht="21" customHeight="1" x14ac:dyDescent="0.2">
      <c r="C1748" s="53"/>
      <c r="D1748" s="13"/>
      <c r="E1748" s="53"/>
      <c r="F1748" s="13"/>
    </row>
    <row r="1749" spans="3:6" ht="21" customHeight="1" x14ac:dyDescent="0.2">
      <c r="C1749" s="53"/>
      <c r="D1749" s="13"/>
      <c r="E1749" s="53"/>
      <c r="F1749" s="13"/>
    </row>
    <row r="1750" spans="3:6" ht="21" customHeight="1" x14ac:dyDescent="0.2">
      <c r="C1750" s="53"/>
      <c r="D1750" s="13"/>
      <c r="E1750" s="53"/>
      <c r="F1750" s="13"/>
    </row>
    <row r="1751" spans="3:6" ht="21" customHeight="1" x14ac:dyDescent="0.2">
      <c r="C1751" s="53"/>
      <c r="D1751" s="13"/>
      <c r="E1751" s="53"/>
      <c r="F1751" s="13"/>
    </row>
    <row r="1752" spans="3:6" ht="21" customHeight="1" x14ac:dyDescent="0.2">
      <c r="C1752" s="53"/>
      <c r="D1752" s="13"/>
      <c r="E1752" s="53"/>
      <c r="F1752" s="13"/>
    </row>
    <row r="1753" spans="3:6" ht="21" customHeight="1" x14ac:dyDescent="0.2">
      <c r="C1753" s="53"/>
      <c r="D1753" s="13"/>
      <c r="E1753" s="53"/>
      <c r="F1753" s="13"/>
    </row>
    <row r="1754" spans="3:6" ht="21" customHeight="1" x14ac:dyDescent="0.2">
      <c r="C1754" s="53"/>
      <c r="D1754" s="13"/>
      <c r="E1754" s="53"/>
      <c r="F1754" s="13"/>
    </row>
    <row r="1755" spans="3:6" ht="21" customHeight="1" x14ac:dyDescent="0.2">
      <c r="C1755" s="53"/>
      <c r="D1755" s="13"/>
      <c r="E1755" s="53"/>
      <c r="F1755" s="13"/>
    </row>
    <row r="1756" spans="3:6" ht="21" customHeight="1" x14ac:dyDescent="0.2">
      <c r="C1756" s="53"/>
      <c r="D1756" s="13"/>
      <c r="E1756" s="53"/>
      <c r="F1756" s="13"/>
    </row>
    <row r="1757" spans="3:6" ht="21" customHeight="1" x14ac:dyDescent="0.2">
      <c r="C1757" s="53"/>
      <c r="D1757" s="13"/>
      <c r="E1757" s="53"/>
      <c r="F1757" s="13"/>
    </row>
    <row r="1758" spans="3:6" ht="21" customHeight="1" x14ac:dyDescent="0.2">
      <c r="C1758" s="53"/>
      <c r="D1758" s="13"/>
      <c r="E1758" s="53"/>
      <c r="F1758" s="13"/>
    </row>
    <row r="1759" spans="3:6" ht="21" customHeight="1" x14ac:dyDescent="0.2">
      <c r="C1759" s="53"/>
      <c r="D1759" s="13"/>
      <c r="E1759" s="53"/>
      <c r="F1759" s="13"/>
    </row>
    <row r="1760" spans="3:6" ht="21" customHeight="1" x14ac:dyDescent="0.2">
      <c r="C1760" s="53"/>
      <c r="D1760" s="13"/>
      <c r="E1760" s="53"/>
      <c r="F1760" s="13"/>
    </row>
    <row r="1761" spans="3:6" ht="21" customHeight="1" x14ac:dyDescent="0.2">
      <c r="C1761" s="53"/>
      <c r="D1761" s="13"/>
      <c r="E1761" s="53"/>
      <c r="F1761" s="13"/>
    </row>
    <row r="1762" spans="3:6" ht="21" customHeight="1" x14ac:dyDescent="0.2">
      <c r="C1762" s="53"/>
      <c r="D1762" s="13"/>
      <c r="E1762" s="53"/>
      <c r="F1762" s="13"/>
    </row>
    <row r="1763" spans="3:6" ht="21" customHeight="1" x14ac:dyDescent="0.2">
      <c r="C1763" s="53"/>
      <c r="D1763" s="13"/>
      <c r="E1763" s="53"/>
      <c r="F1763" s="13"/>
    </row>
    <row r="1764" spans="3:6" ht="21" customHeight="1" x14ac:dyDescent="0.2">
      <c r="C1764" s="53"/>
      <c r="D1764" s="13"/>
      <c r="E1764" s="53"/>
      <c r="F1764" s="13"/>
    </row>
    <row r="1765" spans="3:6" ht="21" customHeight="1" x14ac:dyDescent="0.2">
      <c r="C1765" s="53"/>
      <c r="D1765" s="13"/>
      <c r="E1765" s="53"/>
      <c r="F1765" s="13"/>
    </row>
    <row r="1766" spans="3:6" ht="21" customHeight="1" x14ac:dyDescent="0.2">
      <c r="C1766" s="53"/>
      <c r="D1766" s="13"/>
      <c r="E1766" s="53"/>
      <c r="F1766" s="13"/>
    </row>
    <row r="1767" spans="3:6" ht="21" customHeight="1" x14ac:dyDescent="0.2">
      <c r="C1767" s="53"/>
      <c r="D1767" s="13"/>
      <c r="E1767" s="53"/>
      <c r="F1767" s="13"/>
    </row>
    <row r="1768" spans="3:6" ht="21" customHeight="1" x14ac:dyDescent="0.2">
      <c r="C1768" s="53"/>
      <c r="D1768" s="13"/>
      <c r="E1768" s="53"/>
      <c r="F1768" s="13"/>
    </row>
    <row r="1769" spans="3:6" ht="21" customHeight="1" x14ac:dyDescent="0.2">
      <c r="C1769" s="53"/>
      <c r="D1769" s="13"/>
      <c r="E1769" s="53"/>
      <c r="F1769" s="13"/>
    </row>
    <row r="1770" spans="3:6" ht="21" customHeight="1" x14ac:dyDescent="0.2">
      <c r="C1770" s="53"/>
      <c r="D1770" s="13"/>
      <c r="E1770" s="53"/>
      <c r="F1770" s="13"/>
    </row>
    <row r="1771" spans="3:6" ht="21" customHeight="1" x14ac:dyDescent="0.2">
      <c r="C1771" s="53"/>
      <c r="D1771" s="13"/>
      <c r="E1771" s="53"/>
      <c r="F1771" s="13"/>
    </row>
    <row r="1772" spans="3:6" ht="21" customHeight="1" x14ac:dyDescent="0.2">
      <c r="C1772" s="53"/>
      <c r="D1772" s="13"/>
      <c r="E1772" s="53"/>
      <c r="F1772" s="13"/>
    </row>
    <row r="1773" spans="3:6" ht="21" customHeight="1" x14ac:dyDescent="0.2">
      <c r="C1773" s="53"/>
      <c r="D1773" s="13"/>
      <c r="E1773" s="53"/>
      <c r="F1773" s="13"/>
    </row>
    <row r="1774" spans="3:6" ht="21" customHeight="1" x14ac:dyDescent="0.2">
      <c r="C1774" s="53"/>
      <c r="D1774" s="13"/>
      <c r="E1774" s="53"/>
      <c r="F1774" s="13"/>
    </row>
    <row r="1775" spans="3:6" ht="21" customHeight="1" x14ac:dyDescent="0.2">
      <c r="C1775" s="53"/>
      <c r="D1775" s="13"/>
      <c r="E1775" s="53"/>
      <c r="F1775" s="13"/>
    </row>
    <row r="1776" spans="3:6" ht="21" customHeight="1" x14ac:dyDescent="0.2">
      <c r="C1776" s="53"/>
      <c r="D1776" s="13"/>
      <c r="E1776" s="53"/>
      <c r="F1776" s="13"/>
    </row>
    <row r="1777" spans="3:6" ht="21" customHeight="1" x14ac:dyDescent="0.2">
      <c r="C1777" s="53"/>
      <c r="D1777" s="13"/>
      <c r="E1777" s="53"/>
      <c r="F1777" s="13"/>
    </row>
    <row r="1778" spans="3:6" ht="21" customHeight="1" x14ac:dyDescent="0.2">
      <c r="C1778" s="53"/>
      <c r="D1778" s="13"/>
      <c r="E1778" s="53"/>
      <c r="F1778" s="13"/>
    </row>
    <row r="1779" spans="3:6" ht="21" customHeight="1" x14ac:dyDescent="0.2">
      <c r="C1779" s="53"/>
      <c r="D1779" s="13"/>
      <c r="E1779" s="53"/>
      <c r="F1779" s="13"/>
    </row>
    <row r="1780" spans="3:6" ht="21" customHeight="1" x14ac:dyDescent="0.2">
      <c r="C1780" s="53"/>
      <c r="D1780" s="13"/>
      <c r="E1780" s="53"/>
      <c r="F1780" s="13"/>
    </row>
    <row r="1781" spans="3:6" ht="21" customHeight="1" x14ac:dyDescent="0.2">
      <c r="C1781" s="53"/>
      <c r="D1781" s="13"/>
      <c r="E1781" s="53"/>
      <c r="F1781" s="13"/>
    </row>
    <row r="1782" spans="3:6" ht="21" customHeight="1" x14ac:dyDescent="0.2">
      <c r="C1782" s="53"/>
      <c r="D1782" s="13"/>
      <c r="E1782" s="53"/>
      <c r="F1782" s="13"/>
    </row>
    <row r="1783" spans="3:6" ht="21" customHeight="1" x14ac:dyDescent="0.2">
      <c r="C1783" s="53"/>
      <c r="D1783" s="13"/>
      <c r="E1783" s="53"/>
      <c r="F1783" s="13"/>
    </row>
    <row r="1784" spans="3:6" ht="21" customHeight="1" x14ac:dyDescent="0.2">
      <c r="C1784" s="53"/>
      <c r="D1784" s="13"/>
      <c r="E1784" s="53"/>
      <c r="F1784" s="13"/>
    </row>
    <row r="1785" spans="3:6" ht="21" customHeight="1" x14ac:dyDescent="0.2">
      <c r="C1785" s="53"/>
      <c r="D1785" s="13"/>
      <c r="E1785" s="53"/>
      <c r="F1785" s="13"/>
    </row>
    <row r="1786" spans="3:6" ht="21" customHeight="1" x14ac:dyDescent="0.2">
      <c r="C1786" s="53"/>
      <c r="D1786" s="13"/>
      <c r="E1786" s="53"/>
      <c r="F1786" s="13"/>
    </row>
    <row r="1787" spans="3:6" ht="21" customHeight="1" x14ac:dyDescent="0.2">
      <c r="C1787" s="53"/>
      <c r="D1787" s="13"/>
      <c r="E1787" s="53"/>
      <c r="F1787" s="13"/>
    </row>
    <row r="1788" spans="3:6" ht="21" customHeight="1" x14ac:dyDescent="0.2">
      <c r="C1788" s="53"/>
      <c r="D1788" s="13"/>
      <c r="E1788" s="53"/>
      <c r="F1788" s="13"/>
    </row>
    <row r="1789" spans="3:6" ht="21" customHeight="1" x14ac:dyDescent="0.2">
      <c r="C1789" s="53"/>
      <c r="D1789" s="13"/>
      <c r="E1789" s="53"/>
      <c r="F1789" s="13"/>
    </row>
    <row r="1790" spans="3:6" ht="21" customHeight="1" x14ac:dyDescent="0.2">
      <c r="C1790" s="53"/>
      <c r="D1790" s="13"/>
      <c r="E1790" s="53"/>
      <c r="F1790" s="13"/>
    </row>
    <row r="1791" spans="3:6" ht="21" customHeight="1" x14ac:dyDescent="0.2">
      <c r="C1791" s="53"/>
      <c r="D1791" s="13"/>
      <c r="E1791" s="53"/>
      <c r="F1791" s="13"/>
    </row>
    <row r="1792" spans="3:6" ht="21" customHeight="1" x14ac:dyDescent="0.2">
      <c r="C1792" s="53"/>
      <c r="D1792" s="13"/>
      <c r="E1792" s="53"/>
      <c r="F1792" s="13"/>
    </row>
    <row r="1793" spans="3:6" ht="21" customHeight="1" x14ac:dyDescent="0.2">
      <c r="C1793" s="53"/>
      <c r="D1793" s="13"/>
      <c r="E1793" s="53"/>
      <c r="F1793" s="13"/>
    </row>
    <row r="1794" spans="3:6" ht="21" customHeight="1" x14ac:dyDescent="0.2">
      <c r="C1794" s="53"/>
      <c r="D1794" s="13"/>
      <c r="E1794" s="53"/>
      <c r="F1794" s="13"/>
    </row>
    <row r="1795" spans="3:6" ht="21" customHeight="1" x14ac:dyDescent="0.2">
      <c r="C1795" s="53"/>
      <c r="D1795" s="13"/>
      <c r="E1795" s="53"/>
      <c r="F1795" s="13"/>
    </row>
    <row r="1796" spans="3:6" ht="21" customHeight="1" x14ac:dyDescent="0.2">
      <c r="C1796" s="53"/>
      <c r="D1796" s="13"/>
      <c r="E1796" s="53"/>
      <c r="F1796" s="13"/>
    </row>
    <row r="1797" spans="3:6" ht="21" customHeight="1" x14ac:dyDescent="0.2">
      <c r="C1797" s="53"/>
      <c r="D1797" s="13"/>
      <c r="E1797" s="53"/>
      <c r="F1797" s="13"/>
    </row>
    <row r="1798" spans="3:6" ht="21" customHeight="1" x14ac:dyDescent="0.2">
      <c r="C1798" s="53"/>
      <c r="D1798" s="13"/>
      <c r="E1798" s="53"/>
      <c r="F1798" s="13"/>
    </row>
    <row r="1799" spans="3:6" ht="21" customHeight="1" x14ac:dyDescent="0.2">
      <c r="C1799" s="53"/>
      <c r="D1799" s="13"/>
      <c r="E1799" s="53"/>
      <c r="F1799" s="13"/>
    </row>
    <row r="1800" spans="3:6" ht="21" customHeight="1" x14ac:dyDescent="0.2">
      <c r="C1800" s="53"/>
      <c r="D1800" s="13"/>
      <c r="E1800" s="53"/>
      <c r="F1800" s="13"/>
    </row>
    <row r="1801" spans="3:6" ht="21" customHeight="1" x14ac:dyDescent="0.2">
      <c r="C1801" s="53"/>
      <c r="D1801" s="13"/>
      <c r="E1801" s="53"/>
      <c r="F1801" s="13"/>
    </row>
    <row r="1802" spans="3:6" ht="21" customHeight="1" x14ac:dyDescent="0.2">
      <c r="C1802" s="53"/>
      <c r="D1802" s="13"/>
      <c r="E1802" s="53"/>
      <c r="F1802" s="13"/>
    </row>
    <row r="1803" spans="3:6" ht="21" customHeight="1" x14ac:dyDescent="0.2">
      <c r="C1803" s="53"/>
      <c r="D1803" s="13"/>
      <c r="E1803" s="53"/>
      <c r="F1803" s="13"/>
    </row>
    <row r="1804" spans="3:6" ht="21" customHeight="1" x14ac:dyDescent="0.2">
      <c r="C1804" s="53"/>
      <c r="D1804" s="13"/>
      <c r="E1804" s="53"/>
      <c r="F1804" s="13"/>
    </row>
    <row r="1805" spans="3:6" ht="21" customHeight="1" x14ac:dyDescent="0.2">
      <c r="C1805" s="53"/>
      <c r="D1805" s="13"/>
      <c r="E1805" s="53"/>
      <c r="F1805" s="13"/>
    </row>
    <row r="1806" spans="3:6" ht="21" customHeight="1" x14ac:dyDescent="0.2">
      <c r="C1806" s="53"/>
      <c r="D1806" s="13"/>
      <c r="E1806" s="53"/>
      <c r="F1806" s="13"/>
    </row>
    <row r="1807" spans="3:6" ht="21" customHeight="1" x14ac:dyDescent="0.2">
      <c r="C1807" s="53"/>
      <c r="D1807" s="13"/>
      <c r="E1807" s="53"/>
      <c r="F1807" s="13"/>
    </row>
    <row r="1808" spans="3:6" ht="21" customHeight="1" x14ac:dyDescent="0.2">
      <c r="C1808" s="53"/>
      <c r="D1808" s="13"/>
      <c r="E1808" s="53"/>
      <c r="F1808" s="13"/>
    </row>
    <row r="1809" spans="3:6" ht="21" customHeight="1" x14ac:dyDescent="0.2">
      <c r="C1809" s="53"/>
      <c r="D1809" s="13"/>
      <c r="E1809" s="53"/>
      <c r="F1809" s="13"/>
    </row>
    <row r="1810" spans="3:6" ht="21" customHeight="1" x14ac:dyDescent="0.2">
      <c r="C1810" s="53"/>
      <c r="D1810" s="13"/>
      <c r="E1810" s="53"/>
      <c r="F1810" s="13"/>
    </row>
    <row r="1811" spans="3:6" ht="21" customHeight="1" x14ac:dyDescent="0.2">
      <c r="C1811" s="53"/>
      <c r="D1811" s="13"/>
      <c r="E1811" s="53"/>
      <c r="F1811" s="13"/>
    </row>
    <row r="1812" spans="3:6" ht="21" customHeight="1" x14ac:dyDescent="0.2">
      <c r="C1812" s="53"/>
      <c r="D1812" s="13"/>
      <c r="E1812" s="53"/>
      <c r="F1812" s="13"/>
    </row>
    <row r="1813" spans="3:6" ht="21" customHeight="1" x14ac:dyDescent="0.2">
      <c r="C1813" s="53"/>
      <c r="D1813" s="13"/>
      <c r="E1813" s="53"/>
      <c r="F1813" s="13"/>
    </row>
    <row r="1814" spans="3:6" ht="21" customHeight="1" x14ac:dyDescent="0.2">
      <c r="C1814" s="53"/>
      <c r="D1814" s="13"/>
      <c r="E1814" s="53"/>
      <c r="F1814" s="13"/>
    </row>
    <row r="1815" spans="3:6" ht="21" customHeight="1" x14ac:dyDescent="0.2">
      <c r="C1815" s="53"/>
      <c r="D1815" s="13"/>
      <c r="E1815" s="53"/>
      <c r="F1815" s="13"/>
    </row>
    <row r="1816" spans="3:6" ht="21" customHeight="1" x14ac:dyDescent="0.2">
      <c r="C1816" s="53"/>
      <c r="D1816" s="13"/>
      <c r="E1816" s="53"/>
      <c r="F1816" s="13"/>
    </row>
    <row r="1817" spans="3:6" ht="21" customHeight="1" x14ac:dyDescent="0.2">
      <c r="C1817" s="53"/>
      <c r="D1817" s="13"/>
      <c r="E1817" s="53"/>
      <c r="F1817" s="13"/>
    </row>
    <row r="1818" spans="3:6" ht="21" customHeight="1" x14ac:dyDescent="0.2">
      <c r="C1818" s="53"/>
      <c r="D1818" s="13"/>
      <c r="E1818" s="53"/>
      <c r="F1818" s="13"/>
    </row>
    <row r="1819" spans="3:6" ht="21" customHeight="1" x14ac:dyDescent="0.2">
      <c r="C1819" s="53"/>
      <c r="D1819" s="13"/>
      <c r="E1819" s="53"/>
      <c r="F1819" s="13"/>
    </row>
    <row r="1820" spans="3:6" ht="21" customHeight="1" x14ac:dyDescent="0.2">
      <c r="C1820" s="53"/>
      <c r="D1820" s="13"/>
      <c r="E1820" s="53"/>
      <c r="F1820" s="13"/>
    </row>
    <row r="1821" spans="3:6" ht="21" customHeight="1" x14ac:dyDescent="0.2">
      <c r="C1821" s="53"/>
      <c r="D1821" s="13"/>
      <c r="E1821" s="53"/>
      <c r="F1821" s="13"/>
    </row>
    <row r="1822" spans="3:6" ht="21" customHeight="1" x14ac:dyDescent="0.2">
      <c r="C1822" s="53"/>
      <c r="D1822" s="13"/>
      <c r="E1822" s="53"/>
      <c r="F1822" s="13"/>
    </row>
    <row r="1823" spans="3:6" ht="21" customHeight="1" x14ac:dyDescent="0.2">
      <c r="C1823" s="53"/>
      <c r="D1823" s="13"/>
      <c r="E1823" s="53"/>
      <c r="F1823" s="13"/>
    </row>
    <row r="1824" spans="3:6" ht="21" customHeight="1" x14ac:dyDescent="0.2">
      <c r="C1824" s="53"/>
      <c r="D1824" s="13"/>
      <c r="E1824" s="53"/>
      <c r="F1824" s="13"/>
    </row>
    <row r="1825" spans="3:6" ht="21" customHeight="1" x14ac:dyDescent="0.2">
      <c r="C1825" s="53"/>
      <c r="D1825" s="13"/>
      <c r="E1825" s="53"/>
      <c r="F1825" s="13"/>
    </row>
    <row r="1826" spans="3:6" ht="21" customHeight="1" x14ac:dyDescent="0.2">
      <c r="C1826" s="53"/>
      <c r="D1826" s="13"/>
      <c r="E1826" s="53"/>
      <c r="F1826" s="13"/>
    </row>
    <row r="1827" spans="3:6" ht="21" customHeight="1" x14ac:dyDescent="0.2">
      <c r="C1827" s="53"/>
      <c r="D1827" s="13"/>
      <c r="E1827" s="53"/>
      <c r="F1827" s="13"/>
    </row>
    <row r="1828" spans="3:6" ht="21" customHeight="1" x14ac:dyDescent="0.2">
      <c r="C1828" s="53"/>
      <c r="D1828" s="13"/>
      <c r="E1828" s="53"/>
      <c r="F1828" s="13"/>
    </row>
    <row r="1829" spans="3:6" ht="21" customHeight="1" x14ac:dyDescent="0.2">
      <c r="C1829" s="53"/>
      <c r="D1829" s="13"/>
      <c r="E1829" s="53"/>
      <c r="F1829" s="13"/>
    </row>
    <row r="1830" spans="3:6" ht="21" customHeight="1" x14ac:dyDescent="0.2">
      <c r="C1830" s="53"/>
      <c r="D1830" s="13"/>
      <c r="E1830" s="53"/>
      <c r="F1830" s="13"/>
    </row>
    <row r="1831" spans="3:6" ht="21" customHeight="1" x14ac:dyDescent="0.2">
      <c r="C1831" s="53"/>
      <c r="D1831" s="13"/>
      <c r="E1831" s="53"/>
      <c r="F1831" s="13"/>
    </row>
    <row r="1832" spans="3:6" ht="21" customHeight="1" x14ac:dyDescent="0.2">
      <c r="C1832" s="53"/>
      <c r="D1832" s="13"/>
      <c r="E1832" s="53"/>
      <c r="F1832" s="13"/>
    </row>
    <row r="1833" spans="3:6" ht="21" customHeight="1" x14ac:dyDescent="0.2">
      <c r="C1833" s="53"/>
      <c r="D1833" s="13"/>
      <c r="E1833" s="53"/>
      <c r="F1833" s="13"/>
    </row>
    <row r="1834" spans="3:6" ht="21" customHeight="1" x14ac:dyDescent="0.2">
      <c r="C1834" s="53"/>
      <c r="D1834" s="13"/>
      <c r="E1834" s="53"/>
      <c r="F1834" s="13"/>
    </row>
    <row r="1835" spans="3:6" ht="21" customHeight="1" x14ac:dyDescent="0.2">
      <c r="C1835" s="53"/>
      <c r="D1835" s="13"/>
      <c r="E1835" s="53"/>
      <c r="F1835" s="13"/>
    </row>
    <row r="1836" spans="3:6" ht="21" customHeight="1" x14ac:dyDescent="0.2">
      <c r="C1836" s="53"/>
      <c r="D1836" s="13"/>
      <c r="E1836" s="53"/>
      <c r="F1836" s="13"/>
    </row>
    <row r="1837" spans="3:6" ht="21" customHeight="1" x14ac:dyDescent="0.2">
      <c r="C1837" s="53"/>
      <c r="D1837" s="13"/>
      <c r="E1837" s="53"/>
      <c r="F1837" s="13"/>
    </row>
    <row r="1838" spans="3:6" ht="21" customHeight="1" x14ac:dyDescent="0.2">
      <c r="C1838" s="53"/>
      <c r="D1838" s="13"/>
      <c r="E1838" s="53"/>
      <c r="F1838" s="13"/>
    </row>
    <row r="1839" spans="3:6" ht="21" customHeight="1" x14ac:dyDescent="0.2">
      <c r="C1839" s="53"/>
      <c r="D1839" s="13"/>
      <c r="E1839" s="53"/>
      <c r="F1839" s="13"/>
    </row>
    <row r="1840" spans="3:6" ht="21" customHeight="1" x14ac:dyDescent="0.2">
      <c r="C1840" s="53"/>
      <c r="D1840" s="13"/>
      <c r="E1840" s="53"/>
      <c r="F1840" s="13"/>
    </row>
  </sheetData>
  <printOptions horizontalCentered="1" gridLines="1"/>
  <pageMargins left="0.7" right="0.7" top="0.75" bottom="0.75" header="0" footer="0"/>
  <pageSetup paperSize="9" scale="77" fitToHeight="0" pageOrder="overThenDown" orientation="landscape" cellComments="atEnd" horizontalDpi="4294967293" verticalDpi="4294967293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J707"/>
  <sheetViews>
    <sheetView workbookViewId="0">
      <selection activeCell="E396" sqref="E396"/>
    </sheetView>
  </sheetViews>
  <sheetFormatPr baseColWidth="10" defaultColWidth="14.42578125" defaultRowHeight="15.75" customHeight="1" x14ac:dyDescent="0.2"/>
  <sheetData>
    <row r="1" spans="1:10" ht="15.75" customHeight="1" x14ac:dyDescent="0.2">
      <c r="A1" s="6"/>
      <c r="B1" s="10"/>
      <c r="C1" s="6"/>
      <c r="D1" s="6"/>
      <c r="E1" s="6"/>
      <c r="F1" s="6"/>
      <c r="G1" s="7"/>
      <c r="H1" s="6"/>
      <c r="I1" s="5" t="s">
        <v>0</v>
      </c>
      <c r="J1" s="5" t="s">
        <v>1</v>
      </c>
    </row>
    <row r="2" spans="1:10" ht="15.75" customHeight="1" x14ac:dyDescent="0.2">
      <c r="A2" s="6"/>
      <c r="B2" s="10"/>
      <c r="C2" s="6"/>
      <c r="D2" s="6"/>
      <c r="E2" s="6"/>
      <c r="F2" s="6"/>
      <c r="G2" s="7"/>
      <c r="H2" s="6"/>
      <c r="I2" s="6" t="s">
        <v>2</v>
      </c>
      <c r="J2" s="6" t="s">
        <v>3</v>
      </c>
    </row>
    <row r="3" spans="1:10" ht="15.75" customHeight="1" x14ac:dyDescent="0.2">
      <c r="A3" s="7" t="s">
        <v>4</v>
      </c>
      <c r="B3" s="8" t="s">
        <v>5</v>
      </c>
      <c r="C3" s="7" t="s">
        <v>6</v>
      </c>
      <c r="D3" s="7" t="s">
        <v>1</v>
      </c>
      <c r="E3" s="7" t="s">
        <v>7</v>
      </c>
      <c r="F3" s="7" t="s">
        <v>270</v>
      </c>
      <c r="G3" s="12" t="s">
        <v>271</v>
      </c>
      <c r="H3" s="6"/>
      <c r="I3" s="6" t="s">
        <v>10</v>
      </c>
      <c r="J3" s="6" t="s">
        <v>11</v>
      </c>
    </row>
    <row r="4" spans="1:10" ht="15.75" hidden="1" customHeight="1" x14ac:dyDescent="0.2">
      <c r="A4" s="9">
        <v>1</v>
      </c>
      <c r="B4" s="10" t="s">
        <v>12</v>
      </c>
      <c r="C4" s="6" t="s">
        <v>125</v>
      </c>
      <c r="D4" s="6" t="s">
        <v>3</v>
      </c>
      <c r="E4" s="11">
        <v>489</v>
      </c>
      <c r="F4" s="6"/>
      <c r="G4" s="58">
        <v>1505</v>
      </c>
      <c r="H4" s="6"/>
      <c r="I4" s="6" t="s">
        <v>13</v>
      </c>
      <c r="J4" s="6" t="s">
        <v>14</v>
      </c>
    </row>
    <row r="5" spans="1:10" ht="15.75" hidden="1" customHeight="1" x14ac:dyDescent="0.2">
      <c r="A5" s="9">
        <v>1</v>
      </c>
      <c r="B5" s="10" t="s">
        <v>12</v>
      </c>
      <c r="C5" s="6" t="s">
        <v>125</v>
      </c>
      <c r="D5" s="6" t="s">
        <v>16</v>
      </c>
      <c r="E5" s="11">
        <v>19</v>
      </c>
      <c r="F5" s="6"/>
      <c r="G5" s="57"/>
      <c r="H5" s="6"/>
      <c r="I5" s="6" t="s">
        <v>15</v>
      </c>
      <c r="J5" s="6" t="s">
        <v>16</v>
      </c>
    </row>
    <row r="6" spans="1:10" ht="15.75" hidden="1" customHeight="1" x14ac:dyDescent="0.2">
      <c r="A6" s="9">
        <v>1</v>
      </c>
      <c r="B6" s="10" t="s">
        <v>12</v>
      </c>
      <c r="C6" s="6" t="s">
        <v>125</v>
      </c>
      <c r="D6" s="6" t="s">
        <v>129</v>
      </c>
      <c r="E6" s="11">
        <v>10</v>
      </c>
      <c r="F6" s="6"/>
      <c r="G6" s="57"/>
      <c r="H6" s="6"/>
      <c r="I6" s="6" t="s">
        <v>17</v>
      </c>
      <c r="J6" s="6" t="s">
        <v>18</v>
      </c>
    </row>
    <row r="7" spans="1:10" ht="15.75" hidden="1" customHeight="1" x14ac:dyDescent="0.2">
      <c r="A7" s="9">
        <v>1</v>
      </c>
      <c r="B7" s="10" t="s">
        <v>12</v>
      </c>
      <c r="C7" s="6" t="s">
        <v>125</v>
      </c>
      <c r="D7" s="6" t="s">
        <v>132</v>
      </c>
      <c r="E7" s="11">
        <v>19</v>
      </c>
      <c r="F7" s="6"/>
      <c r="G7" s="57"/>
      <c r="H7" s="6"/>
      <c r="I7" s="6" t="s">
        <v>272</v>
      </c>
      <c r="J7" s="6" t="s">
        <v>19</v>
      </c>
    </row>
    <row r="8" spans="1:10" ht="15.75" hidden="1" customHeight="1" x14ac:dyDescent="0.2">
      <c r="A8" s="9">
        <v>1</v>
      </c>
      <c r="B8" s="10" t="s">
        <v>12</v>
      </c>
      <c r="C8" s="6" t="s">
        <v>125</v>
      </c>
      <c r="D8" s="6" t="s">
        <v>134</v>
      </c>
      <c r="E8" s="11">
        <v>14</v>
      </c>
      <c r="F8" s="6"/>
      <c r="G8" s="57"/>
      <c r="H8" s="6"/>
      <c r="I8" s="6" t="s">
        <v>273</v>
      </c>
      <c r="J8" s="6" t="s">
        <v>274</v>
      </c>
    </row>
    <row r="9" spans="1:10" ht="15.75" hidden="1" customHeight="1" x14ac:dyDescent="0.2">
      <c r="A9" s="9">
        <v>1</v>
      </c>
      <c r="B9" s="10" t="s">
        <v>12</v>
      </c>
      <c r="C9" s="6" t="s">
        <v>125</v>
      </c>
      <c r="D9" s="6" t="s">
        <v>126</v>
      </c>
      <c r="E9" s="11">
        <v>548</v>
      </c>
      <c r="F9" s="6"/>
      <c r="G9" s="57"/>
      <c r="H9" s="6"/>
      <c r="I9" s="6" t="s">
        <v>125</v>
      </c>
      <c r="J9" s="6" t="s">
        <v>20</v>
      </c>
    </row>
    <row r="10" spans="1:10" ht="15.75" hidden="1" customHeight="1" x14ac:dyDescent="0.2">
      <c r="A10" s="9">
        <v>1</v>
      </c>
      <c r="B10" s="10" t="s">
        <v>12</v>
      </c>
      <c r="C10" s="6" t="s">
        <v>125</v>
      </c>
      <c r="D10" s="6" t="s">
        <v>138</v>
      </c>
      <c r="E10" s="11">
        <v>44</v>
      </c>
      <c r="F10" s="6"/>
      <c r="G10" s="57"/>
      <c r="H10" s="6"/>
      <c r="I10" s="6"/>
      <c r="J10" s="6" t="s">
        <v>21</v>
      </c>
    </row>
    <row r="11" spans="1:10" ht="15.75" hidden="1" customHeight="1" x14ac:dyDescent="0.2">
      <c r="A11" s="9">
        <v>1</v>
      </c>
      <c r="B11" s="10" t="s">
        <v>12</v>
      </c>
      <c r="C11" s="6" t="s">
        <v>125</v>
      </c>
      <c r="D11" s="6" t="s">
        <v>14</v>
      </c>
      <c r="E11" s="11">
        <v>13</v>
      </c>
      <c r="F11" s="11">
        <v>1156</v>
      </c>
      <c r="G11" s="57"/>
      <c r="H11" s="6"/>
      <c r="I11" s="6"/>
      <c r="J11" s="6" t="s">
        <v>22</v>
      </c>
    </row>
    <row r="12" spans="1:10" ht="15.75" hidden="1" customHeight="1" x14ac:dyDescent="0.2">
      <c r="A12" s="9">
        <v>2</v>
      </c>
      <c r="B12" s="10" t="s">
        <v>25</v>
      </c>
      <c r="C12" s="6" t="s">
        <v>125</v>
      </c>
      <c r="D12" s="6" t="s">
        <v>3</v>
      </c>
      <c r="E12" s="11">
        <v>1806</v>
      </c>
      <c r="F12" s="6"/>
      <c r="G12" s="58">
        <v>4555</v>
      </c>
      <c r="H12" s="6"/>
      <c r="I12" s="6"/>
      <c r="J12" s="6" t="s">
        <v>275</v>
      </c>
    </row>
    <row r="13" spans="1:10" ht="15.75" hidden="1" customHeight="1" x14ac:dyDescent="0.2">
      <c r="A13" s="9">
        <v>2</v>
      </c>
      <c r="B13" s="10" t="s">
        <v>25</v>
      </c>
      <c r="C13" s="6" t="s">
        <v>125</v>
      </c>
      <c r="D13" s="6" t="s">
        <v>16</v>
      </c>
      <c r="E13" s="11">
        <v>32</v>
      </c>
      <c r="F13" s="6"/>
      <c r="G13" s="57"/>
      <c r="H13" s="6"/>
      <c r="I13" s="6"/>
      <c r="J13" s="6" t="s">
        <v>276</v>
      </c>
    </row>
    <row r="14" spans="1:10" ht="15.75" hidden="1" customHeight="1" x14ac:dyDescent="0.2">
      <c r="A14" s="9">
        <v>2</v>
      </c>
      <c r="B14" s="10" t="s">
        <v>25</v>
      </c>
      <c r="C14" s="6" t="s">
        <v>125</v>
      </c>
      <c r="D14" s="6" t="s">
        <v>129</v>
      </c>
      <c r="E14" s="11">
        <v>33</v>
      </c>
      <c r="F14" s="6"/>
      <c r="G14" s="57"/>
      <c r="H14" s="6"/>
      <c r="I14" s="6"/>
      <c r="J14" s="6" t="s">
        <v>23</v>
      </c>
    </row>
    <row r="15" spans="1:10" ht="15.75" hidden="1" customHeight="1" x14ac:dyDescent="0.2">
      <c r="A15" s="9">
        <v>2</v>
      </c>
      <c r="B15" s="10" t="s">
        <v>25</v>
      </c>
      <c r="C15" s="6" t="s">
        <v>125</v>
      </c>
      <c r="D15" s="6" t="s">
        <v>132</v>
      </c>
      <c r="E15" s="11">
        <v>53</v>
      </c>
      <c r="F15" s="6"/>
      <c r="G15" s="57"/>
      <c r="H15" s="6"/>
      <c r="I15" s="6"/>
      <c r="J15" s="6" t="s">
        <v>24</v>
      </c>
    </row>
    <row r="16" spans="1:10" ht="15.75" hidden="1" customHeight="1" x14ac:dyDescent="0.2">
      <c r="A16" s="9">
        <v>2</v>
      </c>
      <c r="B16" s="10" t="s">
        <v>25</v>
      </c>
      <c r="C16" s="6" t="s">
        <v>125</v>
      </c>
      <c r="D16" s="6" t="s">
        <v>134</v>
      </c>
      <c r="E16" s="11">
        <v>42</v>
      </c>
      <c r="F16" s="6"/>
      <c r="G16" s="57"/>
      <c r="H16" s="6"/>
      <c r="I16" s="6"/>
      <c r="J16" s="6" t="s">
        <v>26</v>
      </c>
    </row>
    <row r="17" spans="1:10" ht="15.75" hidden="1" customHeight="1" x14ac:dyDescent="0.2">
      <c r="A17" s="9">
        <v>2</v>
      </c>
      <c r="B17" s="10" t="s">
        <v>25</v>
      </c>
      <c r="C17" s="6" t="s">
        <v>125</v>
      </c>
      <c r="D17" s="6" t="s">
        <v>126</v>
      </c>
      <c r="E17" s="11">
        <v>1721</v>
      </c>
      <c r="F17" s="6"/>
      <c r="G17" s="57"/>
      <c r="H17" s="6"/>
      <c r="I17" s="6"/>
      <c r="J17" s="6" t="s">
        <v>141</v>
      </c>
    </row>
    <row r="18" spans="1:10" ht="15.75" hidden="1" customHeight="1" x14ac:dyDescent="0.2">
      <c r="A18" s="9">
        <v>2</v>
      </c>
      <c r="B18" s="10" t="s">
        <v>25</v>
      </c>
      <c r="C18" s="6" t="s">
        <v>125</v>
      </c>
      <c r="D18" s="6" t="s">
        <v>138</v>
      </c>
      <c r="E18" s="11">
        <v>61</v>
      </c>
      <c r="F18" s="6"/>
      <c r="G18" s="57"/>
      <c r="H18" s="6"/>
      <c r="I18" s="6"/>
      <c r="J18" s="6" t="s">
        <v>27</v>
      </c>
    </row>
    <row r="19" spans="1:10" ht="15.75" hidden="1" customHeight="1" x14ac:dyDescent="0.2">
      <c r="A19" s="9">
        <v>2</v>
      </c>
      <c r="B19" s="10" t="s">
        <v>25</v>
      </c>
      <c r="C19" s="6" t="s">
        <v>125</v>
      </c>
      <c r="D19" s="6" t="s">
        <v>14</v>
      </c>
      <c r="E19" s="11">
        <v>43</v>
      </c>
      <c r="F19" s="11">
        <v>3791</v>
      </c>
      <c r="G19" s="57"/>
      <c r="H19" s="6"/>
      <c r="I19" s="6"/>
      <c r="J19" s="6" t="s">
        <v>277</v>
      </c>
    </row>
    <row r="20" spans="1:10" ht="15.75" hidden="1" customHeight="1" x14ac:dyDescent="0.2">
      <c r="A20" s="9">
        <v>3</v>
      </c>
      <c r="B20" s="10" t="s">
        <v>35</v>
      </c>
      <c r="C20" s="6" t="s">
        <v>125</v>
      </c>
      <c r="D20" s="6" t="s">
        <v>3</v>
      </c>
      <c r="E20" s="11">
        <v>976</v>
      </c>
      <c r="F20" s="6"/>
      <c r="G20" s="58">
        <v>2174</v>
      </c>
      <c r="H20" s="6"/>
      <c r="I20" s="6"/>
      <c r="J20" s="6" t="s">
        <v>29</v>
      </c>
    </row>
    <row r="21" spans="1:10" ht="15.75" hidden="1" customHeight="1" x14ac:dyDescent="0.2">
      <c r="A21" s="9">
        <v>3</v>
      </c>
      <c r="B21" s="10" t="s">
        <v>35</v>
      </c>
      <c r="C21" s="6" t="s">
        <v>125</v>
      </c>
      <c r="D21" s="6" t="s">
        <v>16</v>
      </c>
      <c r="E21" s="11">
        <v>11</v>
      </c>
      <c r="F21" s="6"/>
      <c r="G21" s="57"/>
      <c r="H21" s="6"/>
      <c r="I21" s="6"/>
      <c r="J21" s="6" t="s">
        <v>278</v>
      </c>
    </row>
    <row r="22" spans="1:10" ht="15.75" hidden="1" customHeight="1" x14ac:dyDescent="0.2">
      <c r="A22" s="9">
        <v>3</v>
      </c>
      <c r="B22" s="10" t="s">
        <v>35</v>
      </c>
      <c r="C22" s="6" t="s">
        <v>125</v>
      </c>
      <c r="D22" s="6" t="s">
        <v>129</v>
      </c>
      <c r="E22" s="11">
        <v>12</v>
      </c>
      <c r="F22" s="6"/>
      <c r="G22" s="57"/>
      <c r="H22" s="6"/>
      <c r="I22" s="6"/>
      <c r="J22" s="6" t="s">
        <v>144</v>
      </c>
    </row>
    <row r="23" spans="1:10" ht="15.75" hidden="1" customHeight="1" x14ac:dyDescent="0.2">
      <c r="A23" s="9">
        <v>3</v>
      </c>
      <c r="B23" s="10" t="s">
        <v>35</v>
      </c>
      <c r="C23" s="6" t="s">
        <v>125</v>
      </c>
      <c r="D23" s="6" t="s">
        <v>132</v>
      </c>
      <c r="E23" s="11">
        <v>13</v>
      </c>
      <c r="F23" s="6"/>
      <c r="G23" s="57"/>
      <c r="H23" s="6"/>
      <c r="I23" s="6"/>
      <c r="J23" s="6" t="s">
        <v>30</v>
      </c>
    </row>
    <row r="24" spans="1:10" ht="15.75" hidden="1" customHeight="1" x14ac:dyDescent="0.2">
      <c r="A24" s="9">
        <v>3</v>
      </c>
      <c r="B24" s="10" t="s">
        <v>35</v>
      </c>
      <c r="C24" s="6" t="s">
        <v>125</v>
      </c>
      <c r="D24" s="6" t="s">
        <v>134</v>
      </c>
      <c r="E24" s="11">
        <v>10</v>
      </c>
      <c r="F24" s="6"/>
      <c r="G24" s="57"/>
      <c r="H24" s="6"/>
      <c r="I24" s="6"/>
      <c r="J24" s="6" t="s">
        <v>31</v>
      </c>
    </row>
    <row r="25" spans="1:10" ht="15.75" hidden="1" customHeight="1" x14ac:dyDescent="0.2">
      <c r="A25" s="9">
        <v>3</v>
      </c>
      <c r="B25" s="10" t="s">
        <v>35</v>
      </c>
      <c r="C25" s="6" t="s">
        <v>125</v>
      </c>
      <c r="D25" s="6" t="s">
        <v>126</v>
      </c>
      <c r="E25" s="11">
        <v>686</v>
      </c>
      <c r="F25" s="6"/>
      <c r="G25" s="57"/>
      <c r="H25" s="6"/>
      <c r="I25" s="6"/>
      <c r="J25" s="6" t="s">
        <v>32</v>
      </c>
    </row>
    <row r="26" spans="1:10" ht="15.75" hidden="1" customHeight="1" x14ac:dyDescent="0.2">
      <c r="A26" s="9">
        <v>3</v>
      </c>
      <c r="B26" s="10" t="s">
        <v>35</v>
      </c>
      <c r="C26" s="6" t="s">
        <v>125</v>
      </c>
      <c r="D26" s="6" t="s">
        <v>138</v>
      </c>
      <c r="E26" s="11">
        <v>15</v>
      </c>
      <c r="F26" s="6"/>
      <c r="G26" s="57"/>
      <c r="H26" s="6"/>
      <c r="I26" s="6"/>
      <c r="J26" s="6" t="s">
        <v>33</v>
      </c>
    </row>
    <row r="27" spans="1:10" ht="15.75" hidden="1" customHeight="1" x14ac:dyDescent="0.2">
      <c r="A27" s="9">
        <v>3</v>
      </c>
      <c r="B27" s="10" t="s">
        <v>35</v>
      </c>
      <c r="C27" s="6" t="s">
        <v>125</v>
      </c>
      <c r="D27" s="6" t="s">
        <v>14</v>
      </c>
      <c r="E27" s="11">
        <v>13</v>
      </c>
      <c r="F27" s="11">
        <v>1736</v>
      </c>
      <c r="G27" s="57"/>
      <c r="H27" s="6"/>
      <c r="I27" s="6"/>
      <c r="J27" s="6" t="s">
        <v>142</v>
      </c>
    </row>
    <row r="28" spans="1:10" ht="15.75" hidden="1" customHeight="1" x14ac:dyDescent="0.2">
      <c r="A28" s="9">
        <v>4</v>
      </c>
      <c r="B28" s="10" t="s">
        <v>36</v>
      </c>
      <c r="C28" s="6" t="s">
        <v>125</v>
      </c>
      <c r="D28" s="6" t="s">
        <v>3</v>
      </c>
      <c r="E28" s="11">
        <v>309</v>
      </c>
      <c r="F28" s="6"/>
      <c r="G28" s="58">
        <v>659</v>
      </c>
      <c r="H28" s="6"/>
      <c r="I28" s="6"/>
      <c r="J28" s="6" t="s">
        <v>34</v>
      </c>
    </row>
    <row r="29" spans="1:10" ht="15.75" hidden="1" customHeight="1" x14ac:dyDescent="0.2">
      <c r="A29" s="9">
        <v>4</v>
      </c>
      <c r="B29" s="10" t="s">
        <v>36</v>
      </c>
      <c r="C29" s="6" t="s">
        <v>125</v>
      </c>
      <c r="D29" s="6" t="s">
        <v>16</v>
      </c>
      <c r="E29" s="11">
        <v>4</v>
      </c>
      <c r="F29" s="6"/>
      <c r="G29" s="57"/>
      <c r="H29" s="6"/>
      <c r="I29" s="6"/>
      <c r="J29" s="6" t="s">
        <v>279</v>
      </c>
    </row>
    <row r="30" spans="1:10" ht="15.75" hidden="1" customHeight="1" x14ac:dyDescent="0.2">
      <c r="A30" s="9">
        <v>4</v>
      </c>
      <c r="B30" s="10" t="s">
        <v>36</v>
      </c>
      <c r="C30" s="6" t="s">
        <v>125</v>
      </c>
      <c r="D30" s="6" t="s">
        <v>129</v>
      </c>
      <c r="E30" s="11">
        <v>1</v>
      </c>
      <c r="F30" s="6"/>
      <c r="G30" s="57"/>
      <c r="H30" s="6"/>
      <c r="I30" s="6"/>
      <c r="J30" s="6" t="s">
        <v>280</v>
      </c>
    </row>
    <row r="31" spans="1:10" ht="15.75" hidden="1" customHeight="1" x14ac:dyDescent="0.2">
      <c r="A31" s="9">
        <v>4</v>
      </c>
      <c r="B31" s="10" t="s">
        <v>36</v>
      </c>
      <c r="C31" s="6" t="s">
        <v>125</v>
      </c>
      <c r="D31" s="6" t="s">
        <v>132</v>
      </c>
      <c r="E31" s="11">
        <v>1</v>
      </c>
      <c r="F31" s="6"/>
      <c r="G31" s="57"/>
      <c r="H31" s="6"/>
      <c r="I31" s="6"/>
      <c r="J31" s="6" t="s">
        <v>281</v>
      </c>
    </row>
    <row r="32" spans="1:10" ht="15.75" hidden="1" customHeight="1" x14ac:dyDescent="0.2">
      <c r="A32" s="9">
        <v>4</v>
      </c>
      <c r="B32" s="10" t="s">
        <v>36</v>
      </c>
      <c r="C32" s="6" t="s">
        <v>125</v>
      </c>
      <c r="D32" s="6" t="s">
        <v>134</v>
      </c>
      <c r="E32" s="11">
        <v>10</v>
      </c>
      <c r="F32" s="6"/>
      <c r="G32" s="57"/>
      <c r="H32" s="6"/>
      <c r="I32" s="6"/>
      <c r="J32" s="6" t="s">
        <v>282</v>
      </c>
    </row>
    <row r="33" spans="1:10" ht="15.75" hidden="1" customHeight="1" x14ac:dyDescent="0.2">
      <c r="A33" s="9">
        <v>4</v>
      </c>
      <c r="B33" s="10" t="s">
        <v>36</v>
      </c>
      <c r="C33" s="6" t="s">
        <v>125</v>
      </c>
      <c r="D33" s="6" t="s">
        <v>126</v>
      </c>
      <c r="E33" s="11">
        <v>203</v>
      </c>
      <c r="F33" s="6"/>
      <c r="G33" s="57"/>
      <c r="H33" s="6"/>
      <c r="I33" s="6"/>
      <c r="J33" s="6" t="s">
        <v>283</v>
      </c>
    </row>
    <row r="34" spans="1:10" ht="15.75" hidden="1" customHeight="1" x14ac:dyDescent="0.2">
      <c r="A34" s="9">
        <v>4</v>
      </c>
      <c r="B34" s="10" t="s">
        <v>36</v>
      </c>
      <c r="C34" s="6" t="s">
        <v>125</v>
      </c>
      <c r="D34" s="6" t="s">
        <v>138</v>
      </c>
      <c r="E34" s="11">
        <v>4</v>
      </c>
      <c r="F34" s="6"/>
      <c r="G34" s="57"/>
      <c r="H34" s="6"/>
      <c r="I34" s="6"/>
      <c r="J34" s="6" t="s">
        <v>284</v>
      </c>
    </row>
    <row r="35" spans="1:10" ht="15.75" hidden="1" customHeight="1" x14ac:dyDescent="0.2">
      <c r="A35" s="9">
        <v>4</v>
      </c>
      <c r="B35" s="10" t="s">
        <v>36</v>
      </c>
      <c r="C35" s="6" t="s">
        <v>125</v>
      </c>
      <c r="D35" s="6" t="s">
        <v>14</v>
      </c>
      <c r="E35" s="11">
        <v>13</v>
      </c>
      <c r="F35" s="11">
        <v>545</v>
      </c>
      <c r="G35" s="57"/>
      <c r="H35" s="6"/>
      <c r="I35" s="6"/>
      <c r="J35" s="6" t="s">
        <v>285</v>
      </c>
    </row>
    <row r="36" spans="1:10" ht="15.75" hidden="1" customHeight="1" x14ac:dyDescent="0.2">
      <c r="A36" s="9">
        <v>5</v>
      </c>
      <c r="B36" s="10" t="s">
        <v>37</v>
      </c>
      <c r="C36" s="6" t="s">
        <v>125</v>
      </c>
      <c r="D36" s="6" t="s">
        <v>3</v>
      </c>
      <c r="E36" s="11">
        <v>119</v>
      </c>
      <c r="F36" s="6"/>
      <c r="G36" s="58">
        <v>388</v>
      </c>
      <c r="H36" s="6"/>
      <c r="I36" s="6"/>
      <c r="J36" s="6" t="s">
        <v>286</v>
      </c>
    </row>
    <row r="37" spans="1:10" ht="15.75" hidden="1" customHeight="1" x14ac:dyDescent="0.2">
      <c r="A37" s="9">
        <v>5</v>
      </c>
      <c r="B37" s="10" t="s">
        <v>37</v>
      </c>
      <c r="C37" s="6" t="s">
        <v>125</v>
      </c>
      <c r="D37" s="6" t="s">
        <v>16</v>
      </c>
      <c r="E37" s="11">
        <v>1</v>
      </c>
      <c r="F37" s="6"/>
      <c r="G37" s="57"/>
      <c r="H37" s="6"/>
      <c r="I37" s="6"/>
      <c r="J37" s="6" t="s">
        <v>149</v>
      </c>
    </row>
    <row r="38" spans="1:10" ht="12.75" hidden="1" x14ac:dyDescent="0.2">
      <c r="A38" s="9">
        <v>5</v>
      </c>
      <c r="B38" s="10" t="s">
        <v>37</v>
      </c>
      <c r="C38" s="6" t="s">
        <v>125</v>
      </c>
      <c r="D38" s="6" t="s">
        <v>129</v>
      </c>
      <c r="E38" s="11">
        <v>2</v>
      </c>
      <c r="F38" s="6"/>
      <c r="G38" s="57"/>
      <c r="H38" s="6"/>
      <c r="I38" s="6"/>
      <c r="J38" s="6" t="s">
        <v>287</v>
      </c>
    </row>
    <row r="39" spans="1:10" ht="12.75" hidden="1" x14ac:dyDescent="0.2">
      <c r="A39" s="9">
        <v>5</v>
      </c>
      <c r="B39" s="10" t="s">
        <v>37</v>
      </c>
      <c r="C39" s="6" t="s">
        <v>125</v>
      </c>
      <c r="D39" s="6" t="s">
        <v>132</v>
      </c>
      <c r="E39" s="11">
        <v>4</v>
      </c>
      <c r="F39" s="6"/>
      <c r="G39" s="57"/>
      <c r="H39" s="6"/>
      <c r="I39" s="6"/>
      <c r="J39" s="6" t="s">
        <v>288</v>
      </c>
    </row>
    <row r="40" spans="1:10" ht="12.75" hidden="1" x14ac:dyDescent="0.2">
      <c r="A40" s="9">
        <v>5</v>
      </c>
      <c r="B40" s="10" t="s">
        <v>37</v>
      </c>
      <c r="C40" s="6" t="s">
        <v>125</v>
      </c>
      <c r="D40" s="6" t="s">
        <v>134</v>
      </c>
      <c r="E40" s="11">
        <v>1</v>
      </c>
      <c r="F40" s="6"/>
      <c r="G40" s="57"/>
      <c r="H40" s="6"/>
      <c r="I40" s="6"/>
      <c r="J40" s="6" t="s">
        <v>289</v>
      </c>
    </row>
    <row r="41" spans="1:10" ht="12.75" hidden="1" x14ac:dyDescent="0.2">
      <c r="A41" s="9">
        <v>5</v>
      </c>
      <c r="B41" s="10" t="s">
        <v>37</v>
      </c>
      <c r="C41" s="6" t="s">
        <v>125</v>
      </c>
      <c r="D41" s="6" t="s">
        <v>126</v>
      </c>
      <c r="E41" s="11">
        <v>175</v>
      </c>
      <c r="F41" s="6"/>
      <c r="G41" s="57"/>
      <c r="H41" s="6"/>
      <c r="I41" s="6"/>
      <c r="J41" s="6" t="s">
        <v>290</v>
      </c>
    </row>
    <row r="42" spans="1:10" ht="12.75" hidden="1" x14ac:dyDescent="0.2">
      <c r="A42" s="9">
        <v>5</v>
      </c>
      <c r="B42" s="10" t="s">
        <v>37</v>
      </c>
      <c r="C42" s="6" t="s">
        <v>125</v>
      </c>
      <c r="D42" s="6" t="s">
        <v>138</v>
      </c>
      <c r="E42" s="11">
        <v>1</v>
      </c>
      <c r="F42" s="6"/>
      <c r="G42" s="57"/>
      <c r="H42" s="6"/>
      <c r="I42" s="6"/>
      <c r="J42" s="6" t="s">
        <v>291</v>
      </c>
    </row>
    <row r="43" spans="1:10" ht="12.75" hidden="1" x14ac:dyDescent="0.2">
      <c r="A43" s="9">
        <v>5</v>
      </c>
      <c r="B43" s="10" t="s">
        <v>37</v>
      </c>
      <c r="C43" s="6" t="s">
        <v>125</v>
      </c>
      <c r="D43" s="6" t="s">
        <v>14</v>
      </c>
      <c r="E43" s="11">
        <v>7</v>
      </c>
      <c r="F43" s="11">
        <v>310</v>
      </c>
      <c r="G43" s="57"/>
      <c r="H43" s="6"/>
      <c r="I43" s="6"/>
      <c r="J43" s="6" t="s">
        <v>292</v>
      </c>
    </row>
    <row r="44" spans="1:10" ht="12.75" hidden="1" x14ac:dyDescent="0.2">
      <c r="A44" s="9">
        <v>6</v>
      </c>
      <c r="B44" s="10" t="s">
        <v>38</v>
      </c>
      <c r="C44" s="6" t="s">
        <v>125</v>
      </c>
      <c r="D44" s="6" t="s">
        <v>3</v>
      </c>
      <c r="E44" s="11">
        <v>542</v>
      </c>
      <c r="F44" s="6"/>
      <c r="G44" s="58">
        <v>1728</v>
      </c>
      <c r="H44" s="6"/>
      <c r="I44" s="6"/>
      <c r="J44" s="6" t="s">
        <v>293</v>
      </c>
    </row>
    <row r="45" spans="1:10" ht="12.75" hidden="1" x14ac:dyDescent="0.2">
      <c r="A45" s="9">
        <v>6</v>
      </c>
      <c r="B45" s="10" t="s">
        <v>38</v>
      </c>
      <c r="C45" s="6" t="s">
        <v>125</v>
      </c>
      <c r="D45" s="6" t="s">
        <v>16</v>
      </c>
      <c r="E45" s="11">
        <v>24</v>
      </c>
      <c r="F45" s="6"/>
      <c r="G45" s="57"/>
      <c r="H45" s="6"/>
      <c r="I45" s="6"/>
      <c r="J45" s="6" t="s">
        <v>140</v>
      </c>
    </row>
    <row r="46" spans="1:10" ht="12.75" hidden="1" x14ac:dyDescent="0.2">
      <c r="A46" s="9">
        <v>6</v>
      </c>
      <c r="B46" s="10" t="s">
        <v>38</v>
      </c>
      <c r="C46" s="6" t="s">
        <v>125</v>
      </c>
      <c r="D46" s="6" t="s">
        <v>129</v>
      </c>
      <c r="E46" s="11">
        <v>24</v>
      </c>
      <c r="F46" s="6"/>
      <c r="G46" s="57"/>
      <c r="H46" s="6"/>
      <c r="I46" s="6"/>
      <c r="J46" s="6" t="s">
        <v>294</v>
      </c>
    </row>
    <row r="47" spans="1:10" ht="12.75" hidden="1" x14ac:dyDescent="0.2">
      <c r="A47" s="9">
        <v>6</v>
      </c>
      <c r="B47" s="10" t="s">
        <v>38</v>
      </c>
      <c r="C47" s="6" t="s">
        <v>125</v>
      </c>
      <c r="D47" s="6" t="s">
        <v>132</v>
      </c>
      <c r="E47" s="11">
        <v>30</v>
      </c>
      <c r="F47" s="6"/>
      <c r="G47" s="57"/>
      <c r="H47" s="6"/>
      <c r="I47" s="6"/>
      <c r="J47" s="6" t="s">
        <v>295</v>
      </c>
    </row>
    <row r="48" spans="1:10" ht="12.75" hidden="1" x14ac:dyDescent="0.2">
      <c r="A48" s="9">
        <v>6</v>
      </c>
      <c r="B48" s="10" t="s">
        <v>38</v>
      </c>
      <c r="C48" s="6" t="s">
        <v>125</v>
      </c>
      <c r="D48" s="6" t="s">
        <v>134</v>
      </c>
      <c r="E48" s="11">
        <v>26</v>
      </c>
      <c r="F48" s="6"/>
      <c r="G48" s="57"/>
      <c r="H48" s="6"/>
      <c r="I48" s="6"/>
      <c r="J48" s="6" t="s">
        <v>296</v>
      </c>
    </row>
    <row r="49" spans="1:10" ht="12.75" hidden="1" x14ac:dyDescent="0.2">
      <c r="A49" s="9">
        <v>6</v>
      </c>
      <c r="B49" s="10" t="s">
        <v>38</v>
      </c>
      <c r="C49" s="6" t="s">
        <v>125</v>
      </c>
      <c r="D49" s="6" t="s">
        <v>126</v>
      </c>
      <c r="E49" s="11">
        <v>607</v>
      </c>
      <c r="F49" s="6"/>
      <c r="G49" s="57"/>
      <c r="H49" s="6"/>
      <c r="I49" s="6"/>
      <c r="J49" s="6" t="s">
        <v>134</v>
      </c>
    </row>
    <row r="50" spans="1:10" ht="12.75" hidden="1" x14ac:dyDescent="0.2">
      <c r="A50" s="9">
        <v>6</v>
      </c>
      <c r="B50" s="10" t="s">
        <v>38</v>
      </c>
      <c r="C50" s="6" t="s">
        <v>125</v>
      </c>
      <c r="D50" s="6" t="s">
        <v>138</v>
      </c>
      <c r="E50" s="11">
        <v>32</v>
      </c>
      <c r="F50" s="6"/>
      <c r="G50" s="57"/>
      <c r="H50" s="6"/>
      <c r="I50" s="6"/>
      <c r="J50" s="6" t="s">
        <v>297</v>
      </c>
    </row>
    <row r="51" spans="1:10" ht="12.75" hidden="1" x14ac:dyDescent="0.2">
      <c r="A51" s="9">
        <v>6</v>
      </c>
      <c r="B51" s="10" t="s">
        <v>38</v>
      </c>
      <c r="C51" s="6" t="s">
        <v>125</v>
      </c>
      <c r="D51" s="6" t="s">
        <v>14</v>
      </c>
      <c r="E51" s="11">
        <v>19</v>
      </c>
      <c r="F51" s="11">
        <v>1304</v>
      </c>
      <c r="G51" s="57"/>
      <c r="H51" s="6"/>
      <c r="I51" s="6"/>
      <c r="J51" s="6" t="s">
        <v>298</v>
      </c>
    </row>
    <row r="52" spans="1:10" ht="12.75" hidden="1" x14ac:dyDescent="0.2">
      <c r="A52" s="9" t="s">
        <v>39</v>
      </c>
      <c r="B52" s="10" t="s">
        <v>40</v>
      </c>
      <c r="C52" s="6" t="s">
        <v>125</v>
      </c>
      <c r="D52" s="6" t="s">
        <v>3</v>
      </c>
      <c r="E52" s="11">
        <v>29146</v>
      </c>
      <c r="F52" s="6"/>
      <c r="G52" s="58">
        <v>90619</v>
      </c>
      <c r="H52" s="6"/>
      <c r="I52" s="6"/>
      <c r="J52" s="6" t="s">
        <v>299</v>
      </c>
    </row>
    <row r="53" spans="1:10" ht="12.75" hidden="1" x14ac:dyDescent="0.2">
      <c r="A53" s="9" t="s">
        <v>39</v>
      </c>
      <c r="B53" s="10" t="s">
        <v>40</v>
      </c>
      <c r="C53" s="6" t="s">
        <v>125</v>
      </c>
      <c r="D53" s="6" t="s">
        <v>16</v>
      </c>
      <c r="E53" s="11">
        <v>2051</v>
      </c>
      <c r="F53" s="6"/>
      <c r="G53" s="57"/>
      <c r="H53" s="6"/>
      <c r="I53" s="6"/>
      <c r="J53" s="6" t="s">
        <v>126</v>
      </c>
    </row>
    <row r="54" spans="1:10" ht="12.75" hidden="1" x14ac:dyDescent="0.2">
      <c r="A54" s="9" t="s">
        <v>39</v>
      </c>
      <c r="B54" s="10" t="s">
        <v>40</v>
      </c>
      <c r="C54" s="6" t="s">
        <v>125</v>
      </c>
      <c r="D54" s="6" t="s">
        <v>129</v>
      </c>
      <c r="E54" s="11">
        <v>2160</v>
      </c>
      <c r="F54" s="6"/>
      <c r="G54" s="57"/>
      <c r="H54" s="6"/>
      <c r="I54" s="6"/>
      <c r="J54" s="6" t="s">
        <v>300</v>
      </c>
    </row>
    <row r="55" spans="1:10" ht="12.75" hidden="1" x14ac:dyDescent="0.2">
      <c r="A55" s="9" t="s">
        <v>39</v>
      </c>
      <c r="B55" s="10" t="s">
        <v>40</v>
      </c>
      <c r="C55" s="6" t="s">
        <v>125</v>
      </c>
      <c r="D55" s="6" t="s">
        <v>132</v>
      </c>
      <c r="E55" s="11">
        <v>2075</v>
      </c>
      <c r="F55" s="6"/>
      <c r="G55" s="57"/>
      <c r="H55" s="6"/>
      <c r="I55" s="6"/>
      <c r="J55" s="6" t="s">
        <v>301</v>
      </c>
    </row>
    <row r="56" spans="1:10" ht="12.75" hidden="1" x14ac:dyDescent="0.2">
      <c r="A56" s="9" t="s">
        <v>39</v>
      </c>
      <c r="B56" s="10" t="s">
        <v>40</v>
      </c>
      <c r="C56" s="6" t="s">
        <v>125</v>
      </c>
      <c r="D56" s="6" t="s">
        <v>134</v>
      </c>
      <c r="E56" s="11">
        <v>1794</v>
      </c>
      <c r="F56" s="6"/>
      <c r="G56" s="57"/>
      <c r="H56" s="6"/>
      <c r="I56" s="6"/>
      <c r="J56" s="6"/>
    </row>
    <row r="57" spans="1:10" ht="12.75" hidden="1" x14ac:dyDescent="0.2">
      <c r="A57" s="9" t="s">
        <v>39</v>
      </c>
      <c r="B57" s="10" t="s">
        <v>40</v>
      </c>
      <c r="C57" s="6" t="s">
        <v>125</v>
      </c>
      <c r="D57" s="6" t="s">
        <v>126</v>
      </c>
      <c r="E57" s="11">
        <v>28965</v>
      </c>
      <c r="F57" s="6"/>
      <c r="G57" s="57"/>
      <c r="H57" s="6"/>
      <c r="I57" s="6"/>
      <c r="J57" s="6"/>
    </row>
    <row r="58" spans="1:10" ht="12.75" hidden="1" x14ac:dyDescent="0.2">
      <c r="A58" s="9" t="s">
        <v>39</v>
      </c>
      <c r="B58" s="10" t="s">
        <v>40</v>
      </c>
      <c r="C58" s="6" t="s">
        <v>125</v>
      </c>
      <c r="D58" s="6" t="s">
        <v>138</v>
      </c>
      <c r="E58" s="11">
        <v>1458</v>
      </c>
      <c r="F58" s="6"/>
      <c r="G58" s="57"/>
      <c r="H58" s="6"/>
      <c r="I58" s="6"/>
      <c r="J58" s="6" t="s">
        <v>302</v>
      </c>
    </row>
    <row r="59" spans="1:10" ht="12.75" hidden="1" x14ac:dyDescent="0.2">
      <c r="A59" s="9" t="s">
        <v>39</v>
      </c>
      <c r="B59" s="10" t="s">
        <v>40</v>
      </c>
      <c r="C59" s="6" t="s">
        <v>125</v>
      </c>
      <c r="D59" s="6" t="s">
        <v>14</v>
      </c>
      <c r="E59" s="11">
        <v>540</v>
      </c>
      <c r="F59" s="11">
        <v>68264</v>
      </c>
      <c r="G59" s="57"/>
      <c r="H59" s="6"/>
      <c r="I59" s="6"/>
      <c r="J59" s="6" t="s">
        <v>303</v>
      </c>
    </row>
    <row r="60" spans="1:10" ht="12.75" hidden="1" x14ac:dyDescent="0.2">
      <c r="A60" s="9">
        <v>11</v>
      </c>
      <c r="B60" s="10" t="s">
        <v>41</v>
      </c>
      <c r="C60" s="6" t="s">
        <v>125</v>
      </c>
      <c r="D60" s="6" t="s">
        <v>3</v>
      </c>
      <c r="E60" s="11">
        <v>884</v>
      </c>
      <c r="F60" s="6"/>
      <c r="G60" s="58">
        <v>1896</v>
      </c>
      <c r="H60" s="6"/>
      <c r="I60" s="6"/>
      <c r="J60" s="6" t="s">
        <v>304</v>
      </c>
    </row>
    <row r="61" spans="1:10" ht="12.75" hidden="1" x14ac:dyDescent="0.2">
      <c r="A61" s="9">
        <v>11</v>
      </c>
      <c r="B61" s="10" t="s">
        <v>41</v>
      </c>
      <c r="C61" s="6" t="s">
        <v>125</v>
      </c>
      <c r="D61" s="6" t="s">
        <v>16</v>
      </c>
      <c r="E61" s="11">
        <v>25</v>
      </c>
      <c r="F61" s="6"/>
      <c r="G61" s="57"/>
      <c r="H61" s="6"/>
      <c r="I61" s="6"/>
      <c r="J61" s="6" t="s">
        <v>305</v>
      </c>
    </row>
    <row r="62" spans="1:10" ht="12.75" hidden="1" x14ac:dyDescent="0.2">
      <c r="A62" s="9">
        <v>11</v>
      </c>
      <c r="B62" s="10" t="s">
        <v>41</v>
      </c>
      <c r="C62" s="6" t="s">
        <v>125</v>
      </c>
      <c r="D62" s="6" t="s">
        <v>129</v>
      </c>
      <c r="E62" s="11">
        <v>18</v>
      </c>
      <c r="F62" s="6"/>
      <c r="G62" s="57"/>
      <c r="H62" s="6"/>
      <c r="I62" s="6"/>
      <c r="J62" s="6"/>
    </row>
    <row r="63" spans="1:10" ht="12.75" hidden="1" x14ac:dyDescent="0.2">
      <c r="A63" s="9">
        <v>11</v>
      </c>
      <c r="B63" s="10" t="s">
        <v>41</v>
      </c>
      <c r="C63" s="6" t="s">
        <v>125</v>
      </c>
      <c r="D63" s="6" t="s">
        <v>132</v>
      </c>
      <c r="E63" s="11">
        <v>46</v>
      </c>
      <c r="F63" s="6"/>
      <c r="G63" s="57"/>
      <c r="H63" s="6"/>
      <c r="I63" s="6"/>
      <c r="J63" s="6" t="s">
        <v>306</v>
      </c>
    </row>
    <row r="64" spans="1:10" ht="12.75" hidden="1" x14ac:dyDescent="0.2">
      <c r="A64" s="9">
        <v>11</v>
      </c>
      <c r="B64" s="10" t="s">
        <v>41</v>
      </c>
      <c r="C64" s="6" t="s">
        <v>125</v>
      </c>
      <c r="D64" s="6" t="s">
        <v>134</v>
      </c>
      <c r="E64" s="11">
        <v>30</v>
      </c>
      <c r="F64" s="6"/>
      <c r="G64" s="57"/>
      <c r="H64" s="6"/>
      <c r="I64" s="6"/>
      <c r="J64" s="6" t="s">
        <v>307</v>
      </c>
    </row>
    <row r="65" spans="1:10" ht="12.75" hidden="1" x14ac:dyDescent="0.2">
      <c r="A65" s="9">
        <v>11</v>
      </c>
      <c r="B65" s="10" t="s">
        <v>41</v>
      </c>
      <c r="C65" s="6" t="s">
        <v>125</v>
      </c>
      <c r="D65" s="6" t="s">
        <v>126</v>
      </c>
      <c r="E65" s="11">
        <v>443</v>
      </c>
      <c r="F65" s="6"/>
      <c r="G65" s="57"/>
      <c r="H65" s="6"/>
      <c r="I65" s="6"/>
      <c r="J65" s="6" t="s">
        <v>308</v>
      </c>
    </row>
    <row r="66" spans="1:10" ht="12.75" hidden="1" x14ac:dyDescent="0.2">
      <c r="A66" s="9">
        <v>11</v>
      </c>
      <c r="B66" s="10" t="s">
        <v>41</v>
      </c>
      <c r="C66" s="6" t="s">
        <v>125</v>
      </c>
      <c r="D66" s="6" t="s">
        <v>138</v>
      </c>
      <c r="E66" s="11">
        <v>31</v>
      </c>
      <c r="F66" s="6"/>
      <c r="G66" s="57"/>
      <c r="H66" s="6"/>
      <c r="I66" s="6"/>
      <c r="J66" s="6" t="s">
        <v>309</v>
      </c>
    </row>
    <row r="67" spans="1:10" ht="12.75" hidden="1" x14ac:dyDescent="0.2">
      <c r="A67" s="9">
        <v>11</v>
      </c>
      <c r="B67" s="10" t="s">
        <v>41</v>
      </c>
      <c r="C67" s="6" t="s">
        <v>125</v>
      </c>
      <c r="D67" s="6" t="s">
        <v>14</v>
      </c>
      <c r="E67" s="11">
        <v>8</v>
      </c>
      <c r="F67" s="11">
        <v>1485</v>
      </c>
      <c r="G67" s="57"/>
      <c r="H67" s="6"/>
      <c r="I67" s="6"/>
      <c r="J67" s="6" t="s">
        <v>310</v>
      </c>
    </row>
    <row r="68" spans="1:10" ht="12.75" hidden="1" x14ac:dyDescent="0.2">
      <c r="A68" s="9">
        <v>13</v>
      </c>
      <c r="B68" s="10" t="s">
        <v>42</v>
      </c>
      <c r="C68" s="6" t="s">
        <v>125</v>
      </c>
      <c r="D68" s="6" t="s">
        <v>3</v>
      </c>
      <c r="E68" s="11">
        <v>1514</v>
      </c>
      <c r="F68" s="6"/>
      <c r="G68" s="58">
        <v>3818</v>
      </c>
      <c r="H68" s="6"/>
      <c r="I68" s="6"/>
      <c r="J68" s="6" t="s">
        <v>311</v>
      </c>
    </row>
    <row r="69" spans="1:10" ht="12.75" hidden="1" x14ac:dyDescent="0.2">
      <c r="A69" s="9">
        <v>13</v>
      </c>
      <c r="B69" s="10" t="s">
        <v>42</v>
      </c>
      <c r="C69" s="6" t="s">
        <v>125</v>
      </c>
      <c r="D69" s="6" t="s">
        <v>16</v>
      </c>
      <c r="E69" s="11">
        <v>28</v>
      </c>
      <c r="F69" s="6"/>
      <c r="G69" s="57"/>
      <c r="H69" s="6"/>
      <c r="I69" s="6"/>
      <c r="J69" s="6" t="s">
        <v>143</v>
      </c>
    </row>
    <row r="70" spans="1:10" ht="12.75" hidden="1" x14ac:dyDescent="0.2">
      <c r="A70" s="9">
        <v>13</v>
      </c>
      <c r="B70" s="10" t="s">
        <v>42</v>
      </c>
      <c r="C70" s="6" t="s">
        <v>125</v>
      </c>
      <c r="D70" s="6" t="s">
        <v>129</v>
      </c>
      <c r="E70" s="11">
        <v>19</v>
      </c>
      <c r="F70" s="6"/>
      <c r="G70" s="57"/>
      <c r="H70" s="6"/>
      <c r="I70" s="6"/>
      <c r="J70" s="6" t="s">
        <v>312</v>
      </c>
    </row>
    <row r="71" spans="1:10" ht="12.75" hidden="1" x14ac:dyDescent="0.2">
      <c r="A71" s="9">
        <v>13</v>
      </c>
      <c r="B71" s="10" t="s">
        <v>42</v>
      </c>
      <c r="C71" s="6" t="s">
        <v>125</v>
      </c>
      <c r="D71" s="6" t="s">
        <v>132</v>
      </c>
      <c r="E71" s="11">
        <v>29</v>
      </c>
      <c r="F71" s="6"/>
      <c r="G71" s="57"/>
      <c r="H71" s="6"/>
      <c r="I71" s="6"/>
      <c r="J71" s="6" t="s">
        <v>313</v>
      </c>
    </row>
    <row r="72" spans="1:10" ht="12.75" hidden="1" x14ac:dyDescent="0.2">
      <c r="A72" s="9">
        <v>13</v>
      </c>
      <c r="B72" s="10" t="s">
        <v>42</v>
      </c>
      <c r="C72" s="6" t="s">
        <v>125</v>
      </c>
      <c r="D72" s="6" t="s">
        <v>134</v>
      </c>
      <c r="E72" s="11">
        <v>31</v>
      </c>
      <c r="F72" s="6"/>
      <c r="G72" s="57"/>
      <c r="H72" s="6"/>
      <c r="I72" s="6"/>
      <c r="J72" s="6" t="s">
        <v>132</v>
      </c>
    </row>
    <row r="73" spans="1:10" ht="12.75" hidden="1" x14ac:dyDescent="0.2">
      <c r="A73" s="9">
        <v>13</v>
      </c>
      <c r="B73" s="10" t="s">
        <v>42</v>
      </c>
      <c r="C73" s="6" t="s">
        <v>125</v>
      </c>
      <c r="D73" s="6" t="s">
        <v>126</v>
      </c>
      <c r="E73" s="11">
        <v>1380</v>
      </c>
      <c r="F73" s="6"/>
      <c r="G73" s="57"/>
      <c r="H73" s="6"/>
      <c r="I73" s="6"/>
      <c r="J73" s="6" t="s">
        <v>138</v>
      </c>
    </row>
    <row r="74" spans="1:10" ht="12.75" hidden="1" x14ac:dyDescent="0.2">
      <c r="A74" s="9">
        <v>13</v>
      </c>
      <c r="B74" s="10" t="s">
        <v>42</v>
      </c>
      <c r="C74" s="6" t="s">
        <v>125</v>
      </c>
      <c r="D74" s="6" t="s">
        <v>138</v>
      </c>
      <c r="E74" s="11">
        <v>58</v>
      </c>
      <c r="F74" s="6"/>
      <c r="G74" s="57"/>
      <c r="H74" s="6"/>
      <c r="I74" s="6"/>
      <c r="J74" s="6" t="s">
        <v>314</v>
      </c>
    </row>
    <row r="75" spans="1:10" ht="12.75" hidden="1" x14ac:dyDescent="0.2">
      <c r="A75" s="9">
        <v>13</v>
      </c>
      <c r="B75" s="10" t="s">
        <v>42</v>
      </c>
      <c r="C75" s="6" t="s">
        <v>125</v>
      </c>
      <c r="D75" s="6" t="s">
        <v>14</v>
      </c>
      <c r="E75" s="11">
        <v>23</v>
      </c>
      <c r="F75" s="11">
        <v>3082</v>
      </c>
      <c r="G75" s="57"/>
      <c r="H75" s="6"/>
      <c r="I75" s="6"/>
      <c r="J75" s="6" t="s">
        <v>315</v>
      </c>
    </row>
    <row r="76" spans="1:10" ht="12.75" hidden="1" x14ac:dyDescent="0.2">
      <c r="A76" s="9">
        <v>14</v>
      </c>
      <c r="B76" s="10" t="s">
        <v>153</v>
      </c>
      <c r="C76" s="6" t="s">
        <v>125</v>
      </c>
      <c r="D76" s="6" t="s">
        <v>3</v>
      </c>
      <c r="E76" s="11">
        <v>9</v>
      </c>
      <c r="F76" s="6"/>
      <c r="G76" s="58">
        <v>56</v>
      </c>
      <c r="H76" s="6"/>
      <c r="I76" s="6"/>
      <c r="J76" s="6" t="s">
        <v>316</v>
      </c>
    </row>
    <row r="77" spans="1:10" ht="12.75" hidden="1" x14ac:dyDescent="0.2">
      <c r="A77" s="9">
        <v>14</v>
      </c>
      <c r="B77" s="10" t="s">
        <v>153</v>
      </c>
      <c r="C77" s="6" t="s">
        <v>125</v>
      </c>
      <c r="D77" s="6" t="s">
        <v>16</v>
      </c>
      <c r="E77" s="11">
        <v>3</v>
      </c>
      <c r="F77" s="6"/>
      <c r="G77" s="57"/>
      <c r="H77" s="6"/>
      <c r="I77" s="6"/>
      <c r="J77" s="6" t="s">
        <v>128</v>
      </c>
    </row>
    <row r="78" spans="1:10" ht="12.75" hidden="1" x14ac:dyDescent="0.2">
      <c r="A78" s="9">
        <v>14</v>
      </c>
      <c r="B78" s="10" t="s">
        <v>153</v>
      </c>
      <c r="C78" s="6" t="s">
        <v>125</v>
      </c>
      <c r="D78" s="6" t="s">
        <v>129</v>
      </c>
      <c r="E78" s="11">
        <v>1</v>
      </c>
      <c r="F78" s="6"/>
      <c r="G78" s="57"/>
      <c r="H78" s="6"/>
      <c r="I78" s="6"/>
      <c r="J78" s="6" t="s">
        <v>129</v>
      </c>
    </row>
    <row r="79" spans="1:10" ht="12.75" hidden="1" x14ac:dyDescent="0.2">
      <c r="A79" s="9">
        <v>14</v>
      </c>
      <c r="B79" s="10" t="s">
        <v>153</v>
      </c>
      <c r="C79" s="6" t="s">
        <v>125</v>
      </c>
      <c r="D79" s="6" t="s">
        <v>132</v>
      </c>
      <c r="E79" s="11">
        <v>3</v>
      </c>
      <c r="F79" s="6"/>
      <c r="G79" s="57"/>
      <c r="H79" s="6"/>
      <c r="I79" s="6"/>
      <c r="J79" s="6" t="s">
        <v>317</v>
      </c>
    </row>
    <row r="80" spans="1:10" ht="12.75" hidden="1" x14ac:dyDescent="0.2">
      <c r="A80" s="9">
        <v>14</v>
      </c>
      <c r="B80" s="10" t="s">
        <v>153</v>
      </c>
      <c r="C80" s="6" t="s">
        <v>125</v>
      </c>
      <c r="D80" s="6" t="s">
        <v>134</v>
      </c>
      <c r="E80" s="11">
        <v>1</v>
      </c>
      <c r="F80" s="6"/>
      <c r="G80" s="57"/>
      <c r="H80" s="6"/>
      <c r="I80" s="6"/>
      <c r="J80" s="6"/>
    </row>
    <row r="81" spans="1:10" ht="12.75" hidden="1" x14ac:dyDescent="0.2">
      <c r="A81" s="9">
        <v>14</v>
      </c>
      <c r="B81" s="10" t="s">
        <v>153</v>
      </c>
      <c r="C81" s="6" t="s">
        <v>125</v>
      </c>
      <c r="D81" s="6" t="s">
        <v>126</v>
      </c>
      <c r="E81" s="11">
        <v>25</v>
      </c>
      <c r="F81" s="6"/>
      <c r="G81" s="57"/>
      <c r="H81" s="6"/>
      <c r="I81" s="6"/>
      <c r="J81" s="6"/>
    </row>
    <row r="82" spans="1:10" ht="12.75" hidden="1" x14ac:dyDescent="0.2">
      <c r="A82" s="9">
        <v>14</v>
      </c>
      <c r="B82" s="10" t="s">
        <v>153</v>
      </c>
      <c r="C82" s="6" t="s">
        <v>125</v>
      </c>
      <c r="D82" s="6" t="s">
        <v>138</v>
      </c>
      <c r="E82" s="11">
        <v>1</v>
      </c>
      <c r="F82" s="6"/>
      <c r="G82" s="57"/>
      <c r="H82" s="6"/>
      <c r="I82" s="6"/>
      <c r="J82" s="6"/>
    </row>
    <row r="83" spans="1:10" ht="12.75" hidden="1" x14ac:dyDescent="0.2">
      <c r="A83" s="9">
        <v>14</v>
      </c>
      <c r="B83" s="10" t="s">
        <v>153</v>
      </c>
      <c r="C83" s="6" t="s">
        <v>125</v>
      </c>
      <c r="D83" s="6" t="s">
        <v>14</v>
      </c>
      <c r="E83" s="11">
        <v>2</v>
      </c>
      <c r="F83" s="11">
        <v>45</v>
      </c>
      <c r="G83" s="57"/>
      <c r="H83" s="6"/>
      <c r="I83" s="6"/>
      <c r="J83" s="6"/>
    </row>
    <row r="84" spans="1:10" ht="12.75" hidden="1" x14ac:dyDescent="0.2">
      <c r="A84" s="9">
        <v>15</v>
      </c>
      <c r="B84" s="10" t="s">
        <v>43</v>
      </c>
      <c r="C84" s="6" t="s">
        <v>125</v>
      </c>
      <c r="D84" s="6" t="s">
        <v>3</v>
      </c>
      <c r="E84" s="11">
        <v>494</v>
      </c>
      <c r="F84" s="6"/>
      <c r="G84" s="58">
        <v>1572</v>
      </c>
      <c r="H84" s="6"/>
      <c r="I84" s="6"/>
      <c r="J84" s="6"/>
    </row>
    <row r="85" spans="1:10" ht="12.75" hidden="1" x14ac:dyDescent="0.2">
      <c r="A85" s="9">
        <v>15</v>
      </c>
      <c r="B85" s="10" t="s">
        <v>43</v>
      </c>
      <c r="C85" s="6" t="s">
        <v>125</v>
      </c>
      <c r="D85" s="6" t="s">
        <v>16</v>
      </c>
      <c r="E85" s="11">
        <v>22</v>
      </c>
      <c r="F85" s="6"/>
      <c r="G85" s="57"/>
      <c r="H85" s="6"/>
      <c r="I85" s="6"/>
      <c r="J85" s="6"/>
    </row>
    <row r="86" spans="1:10" ht="12.75" hidden="1" x14ac:dyDescent="0.2">
      <c r="A86" s="9">
        <v>15</v>
      </c>
      <c r="B86" s="10" t="s">
        <v>43</v>
      </c>
      <c r="C86" s="6" t="s">
        <v>125</v>
      </c>
      <c r="D86" s="6" t="s">
        <v>129</v>
      </c>
      <c r="E86" s="11">
        <v>16</v>
      </c>
      <c r="F86" s="6"/>
      <c r="G86" s="57"/>
      <c r="H86" s="6"/>
      <c r="I86" s="6"/>
      <c r="J86" s="6"/>
    </row>
    <row r="87" spans="1:10" ht="12.75" hidden="1" x14ac:dyDescent="0.2">
      <c r="A87" s="9">
        <v>15</v>
      </c>
      <c r="B87" s="10" t="s">
        <v>43</v>
      </c>
      <c r="C87" s="6" t="s">
        <v>125</v>
      </c>
      <c r="D87" s="6" t="s">
        <v>132</v>
      </c>
      <c r="E87" s="11">
        <v>20</v>
      </c>
      <c r="F87" s="6"/>
      <c r="G87" s="57"/>
      <c r="H87" s="6"/>
      <c r="I87" s="6"/>
      <c r="J87" s="6"/>
    </row>
    <row r="88" spans="1:10" ht="12.75" hidden="1" x14ac:dyDescent="0.2">
      <c r="A88" s="9">
        <v>15</v>
      </c>
      <c r="B88" s="10" t="s">
        <v>43</v>
      </c>
      <c r="C88" s="6" t="s">
        <v>125</v>
      </c>
      <c r="D88" s="6" t="s">
        <v>134</v>
      </c>
      <c r="E88" s="11">
        <v>17</v>
      </c>
      <c r="F88" s="6"/>
      <c r="G88" s="57"/>
      <c r="H88" s="6"/>
      <c r="I88" s="6"/>
      <c r="J88" s="6"/>
    </row>
    <row r="89" spans="1:10" ht="12.75" hidden="1" x14ac:dyDescent="0.2">
      <c r="A89" s="9">
        <v>15</v>
      </c>
      <c r="B89" s="10" t="s">
        <v>43</v>
      </c>
      <c r="C89" s="6" t="s">
        <v>125</v>
      </c>
      <c r="D89" s="6" t="s">
        <v>126</v>
      </c>
      <c r="E89" s="11">
        <v>652</v>
      </c>
      <c r="F89" s="6"/>
      <c r="G89" s="57"/>
      <c r="H89" s="6"/>
      <c r="I89" s="6"/>
      <c r="J89" s="6"/>
    </row>
    <row r="90" spans="1:10" ht="12.75" hidden="1" x14ac:dyDescent="0.2">
      <c r="A90" s="9">
        <v>15</v>
      </c>
      <c r="B90" s="10" t="s">
        <v>43</v>
      </c>
      <c r="C90" s="6" t="s">
        <v>125</v>
      </c>
      <c r="D90" s="6" t="s">
        <v>138</v>
      </c>
      <c r="E90" s="11">
        <v>36</v>
      </c>
      <c r="F90" s="6"/>
      <c r="G90" s="57"/>
      <c r="H90" s="6"/>
      <c r="I90" s="6"/>
      <c r="J90" s="6"/>
    </row>
    <row r="91" spans="1:10" ht="12.75" hidden="1" x14ac:dyDescent="0.2">
      <c r="A91" s="9">
        <v>15</v>
      </c>
      <c r="B91" s="10" t="s">
        <v>43</v>
      </c>
      <c r="C91" s="6" t="s">
        <v>125</v>
      </c>
      <c r="D91" s="6" t="s">
        <v>14</v>
      </c>
      <c r="E91" s="11">
        <v>6</v>
      </c>
      <c r="F91" s="11">
        <v>1263</v>
      </c>
      <c r="G91" s="57"/>
      <c r="H91" s="6"/>
      <c r="I91" s="6"/>
      <c r="J91" s="6"/>
    </row>
    <row r="92" spans="1:10" ht="12.75" hidden="1" x14ac:dyDescent="0.2">
      <c r="A92" s="9">
        <v>16</v>
      </c>
      <c r="B92" s="10" t="s">
        <v>44</v>
      </c>
      <c r="C92" s="6" t="s">
        <v>125</v>
      </c>
      <c r="D92" s="6" t="s">
        <v>3</v>
      </c>
      <c r="E92" s="11">
        <v>417</v>
      </c>
      <c r="F92" s="6"/>
      <c r="G92" s="58">
        <v>879</v>
      </c>
      <c r="H92" s="6"/>
      <c r="I92" s="6"/>
      <c r="J92" s="6"/>
    </row>
    <row r="93" spans="1:10" ht="12.75" hidden="1" x14ac:dyDescent="0.2">
      <c r="A93" s="9">
        <v>16</v>
      </c>
      <c r="B93" s="10" t="s">
        <v>44</v>
      </c>
      <c r="C93" s="6" t="s">
        <v>125</v>
      </c>
      <c r="D93" s="6" t="s">
        <v>16</v>
      </c>
      <c r="E93" s="11">
        <v>8</v>
      </c>
      <c r="F93" s="6"/>
      <c r="G93" s="57"/>
      <c r="H93" s="6"/>
      <c r="I93" s="6"/>
      <c r="J93" s="6"/>
    </row>
    <row r="94" spans="1:10" ht="12.75" hidden="1" x14ac:dyDescent="0.2">
      <c r="A94" s="9">
        <v>16</v>
      </c>
      <c r="B94" s="10" t="s">
        <v>44</v>
      </c>
      <c r="C94" s="6" t="s">
        <v>125</v>
      </c>
      <c r="D94" s="6" t="s">
        <v>129</v>
      </c>
      <c r="E94" s="11">
        <v>7</v>
      </c>
      <c r="F94" s="6"/>
      <c r="G94" s="57"/>
      <c r="H94" s="6"/>
      <c r="I94" s="6"/>
      <c r="J94" s="6"/>
    </row>
    <row r="95" spans="1:10" ht="12.75" hidden="1" x14ac:dyDescent="0.2">
      <c r="A95" s="9">
        <v>16</v>
      </c>
      <c r="B95" s="10" t="s">
        <v>44</v>
      </c>
      <c r="C95" s="6" t="s">
        <v>125</v>
      </c>
      <c r="D95" s="6" t="s">
        <v>132</v>
      </c>
      <c r="E95" s="11">
        <v>7</v>
      </c>
      <c r="F95" s="6"/>
      <c r="G95" s="57"/>
      <c r="H95" s="6"/>
      <c r="I95" s="6"/>
      <c r="J95" s="6"/>
    </row>
    <row r="96" spans="1:10" ht="12.75" hidden="1" x14ac:dyDescent="0.2">
      <c r="A96" s="9">
        <v>16</v>
      </c>
      <c r="B96" s="10" t="s">
        <v>44</v>
      </c>
      <c r="C96" s="6" t="s">
        <v>125</v>
      </c>
      <c r="D96" s="6" t="s">
        <v>134</v>
      </c>
      <c r="E96" s="11">
        <v>11</v>
      </c>
      <c r="F96" s="6"/>
      <c r="G96" s="57"/>
      <c r="H96" s="6"/>
      <c r="I96" s="6"/>
      <c r="J96" s="6"/>
    </row>
    <row r="97" spans="1:10" ht="12.75" hidden="1" x14ac:dyDescent="0.2">
      <c r="A97" s="9">
        <v>16</v>
      </c>
      <c r="B97" s="10" t="s">
        <v>44</v>
      </c>
      <c r="C97" s="6" t="s">
        <v>125</v>
      </c>
      <c r="D97" s="6" t="s">
        <v>126</v>
      </c>
      <c r="E97" s="11">
        <v>287</v>
      </c>
      <c r="F97" s="6"/>
      <c r="G97" s="57"/>
      <c r="H97" s="6"/>
      <c r="I97" s="6"/>
      <c r="J97" s="6"/>
    </row>
    <row r="98" spans="1:10" ht="12.75" hidden="1" x14ac:dyDescent="0.2">
      <c r="A98" s="9">
        <v>16</v>
      </c>
      <c r="B98" s="10" t="s">
        <v>44</v>
      </c>
      <c r="C98" s="6" t="s">
        <v>125</v>
      </c>
      <c r="D98" s="6" t="s">
        <v>138</v>
      </c>
      <c r="E98" s="11">
        <v>13</v>
      </c>
      <c r="F98" s="6"/>
      <c r="G98" s="57"/>
      <c r="H98" s="6"/>
      <c r="I98" s="6"/>
      <c r="J98" s="6"/>
    </row>
    <row r="99" spans="1:10" ht="12.75" hidden="1" x14ac:dyDescent="0.2">
      <c r="A99" s="9">
        <v>16</v>
      </c>
      <c r="B99" s="10" t="s">
        <v>44</v>
      </c>
      <c r="C99" s="6" t="s">
        <v>125</v>
      </c>
      <c r="D99" s="6" t="s">
        <v>14</v>
      </c>
      <c r="E99" s="11">
        <v>2</v>
      </c>
      <c r="F99" s="11">
        <v>752</v>
      </c>
      <c r="G99" s="57"/>
      <c r="H99" s="6"/>
      <c r="I99" s="6"/>
      <c r="J99" s="6"/>
    </row>
    <row r="100" spans="1:10" ht="12.75" hidden="1" x14ac:dyDescent="0.2">
      <c r="A100" s="9">
        <v>17</v>
      </c>
      <c r="B100" s="10" t="s">
        <v>45</v>
      </c>
      <c r="C100" s="6" t="s">
        <v>125</v>
      </c>
      <c r="D100" s="6" t="s">
        <v>3</v>
      </c>
      <c r="E100" s="11">
        <v>13</v>
      </c>
      <c r="F100" s="6"/>
      <c r="G100" s="58">
        <v>29</v>
      </c>
      <c r="H100" s="6"/>
      <c r="I100" s="6"/>
      <c r="J100" s="6"/>
    </row>
    <row r="101" spans="1:10" ht="12.75" hidden="1" x14ac:dyDescent="0.2">
      <c r="A101" s="9">
        <v>17</v>
      </c>
      <c r="B101" s="10" t="s">
        <v>45</v>
      </c>
      <c r="C101" s="6" t="s">
        <v>125</v>
      </c>
      <c r="D101" s="6" t="s">
        <v>16</v>
      </c>
      <c r="E101" s="11">
        <v>0</v>
      </c>
      <c r="F101" s="6"/>
      <c r="G101" s="57"/>
      <c r="H101" s="6"/>
      <c r="I101" s="6"/>
      <c r="J101" s="6"/>
    </row>
    <row r="102" spans="1:10" ht="12.75" hidden="1" x14ac:dyDescent="0.2">
      <c r="A102" s="9">
        <v>17</v>
      </c>
      <c r="B102" s="10" t="s">
        <v>45</v>
      </c>
      <c r="C102" s="6" t="s">
        <v>125</v>
      </c>
      <c r="D102" s="6" t="s">
        <v>129</v>
      </c>
      <c r="E102" s="11">
        <v>0</v>
      </c>
      <c r="F102" s="6"/>
      <c r="G102" s="57"/>
      <c r="H102" s="6"/>
      <c r="I102" s="6"/>
      <c r="J102" s="6"/>
    </row>
    <row r="103" spans="1:10" ht="12.75" hidden="1" x14ac:dyDescent="0.2">
      <c r="A103" s="9">
        <v>17</v>
      </c>
      <c r="B103" s="10" t="s">
        <v>45</v>
      </c>
      <c r="C103" s="6" t="s">
        <v>125</v>
      </c>
      <c r="D103" s="6" t="s">
        <v>132</v>
      </c>
      <c r="E103" s="11">
        <v>0</v>
      </c>
      <c r="F103" s="6"/>
      <c r="G103" s="57"/>
      <c r="H103" s="6"/>
      <c r="I103" s="6"/>
      <c r="J103" s="6"/>
    </row>
    <row r="104" spans="1:10" ht="12.75" hidden="1" x14ac:dyDescent="0.2">
      <c r="A104" s="9">
        <v>17</v>
      </c>
      <c r="B104" s="10" t="s">
        <v>45</v>
      </c>
      <c r="C104" s="6" t="s">
        <v>125</v>
      </c>
      <c r="D104" s="6" t="s">
        <v>134</v>
      </c>
      <c r="E104" s="11">
        <v>0</v>
      </c>
      <c r="F104" s="6"/>
      <c r="G104" s="57"/>
      <c r="H104" s="6"/>
      <c r="I104" s="6"/>
      <c r="J104" s="6"/>
    </row>
    <row r="105" spans="1:10" ht="12.75" hidden="1" x14ac:dyDescent="0.2">
      <c r="A105" s="9">
        <v>17</v>
      </c>
      <c r="B105" s="10" t="s">
        <v>45</v>
      </c>
      <c r="C105" s="6" t="s">
        <v>125</v>
      </c>
      <c r="D105" s="6" t="s">
        <v>126</v>
      </c>
      <c r="E105" s="11">
        <v>2</v>
      </c>
      <c r="F105" s="6"/>
      <c r="G105" s="57"/>
      <c r="H105" s="6"/>
      <c r="I105" s="6"/>
      <c r="J105" s="6"/>
    </row>
    <row r="106" spans="1:10" ht="12.75" hidden="1" x14ac:dyDescent="0.2">
      <c r="A106" s="9">
        <v>17</v>
      </c>
      <c r="B106" s="10" t="s">
        <v>45</v>
      </c>
      <c r="C106" s="6" t="s">
        <v>125</v>
      </c>
      <c r="D106" s="6" t="s">
        <v>138</v>
      </c>
      <c r="E106" s="11">
        <v>0</v>
      </c>
      <c r="F106" s="6"/>
      <c r="G106" s="57"/>
      <c r="H106" s="6"/>
      <c r="I106" s="6"/>
      <c r="J106" s="6"/>
    </row>
    <row r="107" spans="1:10" ht="12.75" hidden="1" x14ac:dyDescent="0.2">
      <c r="A107" s="9">
        <v>17</v>
      </c>
      <c r="B107" s="10" t="s">
        <v>45</v>
      </c>
      <c r="C107" s="6" t="s">
        <v>125</v>
      </c>
      <c r="D107" s="6" t="s">
        <v>14</v>
      </c>
      <c r="E107" s="11">
        <v>0</v>
      </c>
      <c r="F107" s="11">
        <v>15</v>
      </c>
      <c r="G107" s="57"/>
      <c r="H107" s="6"/>
      <c r="I107" s="6"/>
      <c r="J107" s="6"/>
    </row>
    <row r="108" spans="1:10" ht="12.75" hidden="1" x14ac:dyDescent="0.2">
      <c r="A108" s="9">
        <v>18</v>
      </c>
      <c r="B108" s="10" t="s">
        <v>46</v>
      </c>
      <c r="C108" s="6" t="s">
        <v>125</v>
      </c>
      <c r="D108" s="6" t="s">
        <v>3</v>
      </c>
      <c r="E108" s="11">
        <v>1102</v>
      </c>
      <c r="F108" s="6"/>
      <c r="G108" s="58">
        <v>2487</v>
      </c>
      <c r="H108" s="6"/>
      <c r="I108" s="6"/>
      <c r="J108" s="6"/>
    </row>
    <row r="109" spans="1:10" ht="12.75" hidden="1" x14ac:dyDescent="0.2">
      <c r="A109" s="9">
        <v>18</v>
      </c>
      <c r="B109" s="10" t="s">
        <v>46</v>
      </c>
      <c r="C109" s="6" t="s">
        <v>125</v>
      </c>
      <c r="D109" s="6" t="s">
        <v>16</v>
      </c>
      <c r="E109" s="11">
        <v>23</v>
      </c>
      <c r="F109" s="6"/>
      <c r="G109" s="57"/>
      <c r="H109" s="6"/>
      <c r="I109" s="6"/>
      <c r="J109" s="6"/>
    </row>
    <row r="110" spans="1:10" ht="12.75" hidden="1" x14ac:dyDescent="0.2">
      <c r="A110" s="9">
        <v>18</v>
      </c>
      <c r="B110" s="10" t="s">
        <v>46</v>
      </c>
      <c r="C110" s="6" t="s">
        <v>125</v>
      </c>
      <c r="D110" s="6" t="s">
        <v>129</v>
      </c>
      <c r="E110" s="11">
        <v>25</v>
      </c>
      <c r="F110" s="6"/>
      <c r="G110" s="57"/>
      <c r="H110" s="6"/>
      <c r="I110" s="6"/>
      <c r="J110" s="6"/>
    </row>
    <row r="111" spans="1:10" ht="12.75" hidden="1" x14ac:dyDescent="0.2">
      <c r="A111" s="9">
        <v>18</v>
      </c>
      <c r="B111" s="10" t="s">
        <v>46</v>
      </c>
      <c r="C111" s="6" t="s">
        <v>125</v>
      </c>
      <c r="D111" s="6" t="s">
        <v>132</v>
      </c>
      <c r="E111" s="11">
        <v>28</v>
      </c>
      <c r="F111" s="6"/>
      <c r="G111" s="57"/>
      <c r="H111" s="6"/>
      <c r="I111" s="6"/>
      <c r="J111" s="6"/>
    </row>
    <row r="112" spans="1:10" ht="12.75" hidden="1" x14ac:dyDescent="0.2">
      <c r="A112" s="9">
        <v>18</v>
      </c>
      <c r="B112" s="10" t="s">
        <v>46</v>
      </c>
      <c r="C112" s="6" t="s">
        <v>125</v>
      </c>
      <c r="D112" s="6" t="s">
        <v>134</v>
      </c>
      <c r="E112" s="11">
        <v>40</v>
      </c>
      <c r="F112" s="6"/>
      <c r="G112" s="57"/>
      <c r="H112" s="6"/>
      <c r="I112" s="6"/>
      <c r="J112" s="6"/>
    </row>
    <row r="113" spans="1:10" ht="12.75" hidden="1" x14ac:dyDescent="0.2">
      <c r="A113" s="9">
        <v>18</v>
      </c>
      <c r="B113" s="10" t="s">
        <v>46</v>
      </c>
      <c r="C113" s="6" t="s">
        <v>125</v>
      </c>
      <c r="D113" s="6" t="s">
        <v>126</v>
      </c>
      <c r="E113" s="11">
        <v>628</v>
      </c>
      <c r="F113" s="6"/>
      <c r="G113" s="57"/>
      <c r="H113" s="6"/>
      <c r="I113" s="6"/>
      <c r="J113" s="6"/>
    </row>
    <row r="114" spans="1:10" ht="12.75" hidden="1" x14ac:dyDescent="0.2">
      <c r="A114" s="9">
        <v>18</v>
      </c>
      <c r="B114" s="10" t="s">
        <v>46</v>
      </c>
      <c r="C114" s="6" t="s">
        <v>125</v>
      </c>
      <c r="D114" s="6" t="s">
        <v>138</v>
      </c>
      <c r="E114" s="11">
        <v>44</v>
      </c>
      <c r="F114" s="6"/>
      <c r="G114" s="57"/>
      <c r="H114" s="6"/>
      <c r="I114" s="6"/>
      <c r="J114" s="6"/>
    </row>
    <row r="115" spans="1:10" ht="12.75" hidden="1" x14ac:dyDescent="0.2">
      <c r="A115" s="9">
        <v>18</v>
      </c>
      <c r="B115" s="10" t="s">
        <v>46</v>
      </c>
      <c r="C115" s="6" t="s">
        <v>125</v>
      </c>
      <c r="D115" s="6" t="s">
        <v>14</v>
      </c>
      <c r="E115" s="11">
        <v>14</v>
      </c>
      <c r="F115" s="11">
        <v>1904</v>
      </c>
      <c r="G115" s="57"/>
      <c r="H115" s="6"/>
      <c r="I115" s="6"/>
      <c r="J115" s="6"/>
    </row>
    <row r="116" spans="1:10" ht="12.75" hidden="1" x14ac:dyDescent="0.2">
      <c r="A116" s="9">
        <v>19</v>
      </c>
      <c r="B116" s="10" t="s">
        <v>47</v>
      </c>
      <c r="C116" s="6" t="s">
        <v>125</v>
      </c>
      <c r="D116" s="6" t="s">
        <v>3</v>
      </c>
      <c r="E116" s="11">
        <v>483</v>
      </c>
      <c r="F116" s="6"/>
      <c r="G116" s="58">
        <v>1573</v>
      </c>
      <c r="H116" s="6"/>
      <c r="I116" s="6"/>
      <c r="J116" s="6"/>
    </row>
    <row r="117" spans="1:10" ht="12.75" hidden="1" x14ac:dyDescent="0.2">
      <c r="A117" s="9">
        <v>19</v>
      </c>
      <c r="B117" s="10" t="s">
        <v>47</v>
      </c>
      <c r="C117" s="6" t="s">
        <v>125</v>
      </c>
      <c r="D117" s="6" t="s">
        <v>16</v>
      </c>
      <c r="E117" s="11">
        <v>11</v>
      </c>
      <c r="F117" s="6"/>
      <c r="G117" s="57"/>
      <c r="H117" s="6"/>
      <c r="I117" s="6"/>
      <c r="J117" s="6"/>
    </row>
    <row r="118" spans="1:10" ht="12.75" hidden="1" x14ac:dyDescent="0.2">
      <c r="A118" s="9">
        <v>19</v>
      </c>
      <c r="B118" s="10" t="s">
        <v>47</v>
      </c>
      <c r="C118" s="6" t="s">
        <v>125</v>
      </c>
      <c r="D118" s="6" t="s">
        <v>129</v>
      </c>
      <c r="E118" s="11">
        <v>6</v>
      </c>
      <c r="F118" s="6"/>
      <c r="G118" s="57"/>
      <c r="H118" s="6"/>
      <c r="I118" s="6"/>
      <c r="J118" s="6"/>
    </row>
    <row r="119" spans="1:10" ht="12.75" hidden="1" x14ac:dyDescent="0.2">
      <c r="A119" s="9">
        <v>19</v>
      </c>
      <c r="B119" s="10" t="s">
        <v>47</v>
      </c>
      <c r="C119" s="6" t="s">
        <v>125</v>
      </c>
      <c r="D119" s="6" t="s">
        <v>132</v>
      </c>
      <c r="E119" s="11">
        <v>24</v>
      </c>
      <c r="F119" s="6"/>
      <c r="G119" s="57"/>
      <c r="H119" s="6"/>
      <c r="I119" s="6"/>
      <c r="J119" s="6"/>
    </row>
    <row r="120" spans="1:10" ht="12.75" hidden="1" x14ac:dyDescent="0.2">
      <c r="A120" s="9">
        <v>19</v>
      </c>
      <c r="B120" s="10" t="s">
        <v>47</v>
      </c>
      <c r="C120" s="6" t="s">
        <v>125</v>
      </c>
      <c r="D120" s="6" t="s">
        <v>134</v>
      </c>
      <c r="E120" s="11">
        <v>14</v>
      </c>
      <c r="F120" s="6"/>
      <c r="G120" s="57"/>
      <c r="H120" s="6"/>
      <c r="I120" s="6"/>
      <c r="J120" s="6"/>
    </row>
    <row r="121" spans="1:10" ht="12.75" hidden="1" x14ac:dyDescent="0.2">
      <c r="A121" s="9">
        <v>19</v>
      </c>
      <c r="B121" s="10" t="s">
        <v>47</v>
      </c>
      <c r="C121" s="6" t="s">
        <v>125</v>
      </c>
      <c r="D121" s="6" t="s">
        <v>126</v>
      </c>
      <c r="E121" s="11">
        <v>638</v>
      </c>
      <c r="F121" s="6"/>
      <c r="G121" s="57"/>
      <c r="H121" s="6"/>
      <c r="I121" s="6"/>
      <c r="J121" s="6"/>
    </row>
    <row r="122" spans="1:10" ht="12.75" hidden="1" x14ac:dyDescent="0.2">
      <c r="A122" s="9">
        <v>19</v>
      </c>
      <c r="B122" s="10" t="s">
        <v>47</v>
      </c>
      <c r="C122" s="6" t="s">
        <v>125</v>
      </c>
      <c r="D122" s="6" t="s">
        <v>138</v>
      </c>
      <c r="E122" s="11">
        <v>7</v>
      </c>
      <c r="F122" s="6"/>
      <c r="G122" s="57"/>
      <c r="H122" s="6"/>
      <c r="I122" s="6"/>
      <c r="J122" s="6"/>
    </row>
    <row r="123" spans="1:10" ht="12.75" hidden="1" x14ac:dyDescent="0.2">
      <c r="A123" s="9">
        <v>19</v>
      </c>
      <c r="B123" s="10" t="s">
        <v>47</v>
      </c>
      <c r="C123" s="6" t="s">
        <v>125</v>
      </c>
      <c r="D123" s="6" t="s">
        <v>14</v>
      </c>
      <c r="E123" s="11">
        <v>32</v>
      </c>
      <c r="F123" s="11">
        <v>1215</v>
      </c>
      <c r="G123" s="57"/>
      <c r="H123" s="6"/>
      <c r="I123" s="6"/>
      <c r="J123" s="6"/>
    </row>
    <row r="124" spans="1:10" ht="12.75" hidden="1" x14ac:dyDescent="0.2">
      <c r="A124" s="9" t="s">
        <v>48</v>
      </c>
      <c r="B124" s="10" t="s">
        <v>49</v>
      </c>
      <c r="C124" s="6" t="s">
        <v>125</v>
      </c>
      <c r="D124" s="6" t="s">
        <v>3</v>
      </c>
      <c r="E124" s="11">
        <v>39</v>
      </c>
      <c r="F124" s="6"/>
      <c r="G124" s="58">
        <v>153</v>
      </c>
      <c r="H124" s="6"/>
      <c r="I124" s="6"/>
      <c r="J124" s="6"/>
    </row>
    <row r="125" spans="1:10" ht="12.75" hidden="1" x14ac:dyDescent="0.2">
      <c r="A125" s="9" t="s">
        <v>48</v>
      </c>
      <c r="B125" s="10" t="s">
        <v>49</v>
      </c>
      <c r="C125" s="6" t="s">
        <v>125</v>
      </c>
      <c r="D125" s="6" t="s">
        <v>16</v>
      </c>
      <c r="E125" s="11">
        <v>1</v>
      </c>
      <c r="F125" s="6"/>
      <c r="G125" s="57"/>
      <c r="H125" s="6"/>
      <c r="I125" s="6"/>
      <c r="J125" s="6"/>
    </row>
    <row r="126" spans="1:10" ht="12.75" hidden="1" x14ac:dyDescent="0.2">
      <c r="A126" s="9" t="s">
        <v>48</v>
      </c>
      <c r="B126" s="10" t="s">
        <v>49</v>
      </c>
      <c r="C126" s="6" t="s">
        <v>125</v>
      </c>
      <c r="D126" s="6" t="s">
        <v>129</v>
      </c>
      <c r="E126" s="11">
        <v>3</v>
      </c>
      <c r="F126" s="6"/>
      <c r="G126" s="57"/>
      <c r="H126" s="6"/>
      <c r="I126" s="6"/>
      <c r="J126" s="6"/>
    </row>
    <row r="127" spans="1:10" ht="12.75" hidden="1" x14ac:dyDescent="0.2">
      <c r="A127" s="9" t="s">
        <v>48</v>
      </c>
      <c r="B127" s="10" t="s">
        <v>49</v>
      </c>
      <c r="C127" s="6" t="s">
        <v>125</v>
      </c>
      <c r="D127" s="6" t="s">
        <v>132</v>
      </c>
      <c r="E127" s="11">
        <v>9</v>
      </c>
      <c r="F127" s="6"/>
      <c r="G127" s="57"/>
      <c r="H127" s="6"/>
      <c r="I127" s="6"/>
      <c r="J127" s="6"/>
    </row>
    <row r="128" spans="1:10" ht="12.75" hidden="1" x14ac:dyDescent="0.2">
      <c r="A128" s="9" t="s">
        <v>48</v>
      </c>
      <c r="B128" s="10" t="s">
        <v>49</v>
      </c>
      <c r="C128" s="6" t="s">
        <v>125</v>
      </c>
      <c r="D128" s="6" t="s">
        <v>134</v>
      </c>
      <c r="E128" s="11">
        <v>2</v>
      </c>
      <c r="F128" s="6"/>
      <c r="G128" s="57"/>
      <c r="H128" s="6"/>
      <c r="I128" s="6"/>
      <c r="J128" s="6"/>
    </row>
    <row r="129" spans="1:10" ht="12.75" hidden="1" x14ac:dyDescent="0.2">
      <c r="A129" s="9" t="s">
        <v>48</v>
      </c>
      <c r="B129" s="10" t="s">
        <v>49</v>
      </c>
      <c r="C129" s="6" t="s">
        <v>125</v>
      </c>
      <c r="D129" s="6" t="s">
        <v>126</v>
      </c>
      <c r="E129" s="11">
        <v>69</v>
      </c>
      <c r="F129" s="6"/>
      <c r="G129" s="57"/>
      <c r="H129" s="6"/>
      <c r="I129" s="6"/>
      <c r="J129" s="6"/>
    </row>
    <row r="130" spans="1:10" ht="12.75" hidden="1" x14ac:dyDescent="0.2">
      <c r="A130" s="9" t="s">
        <v>48</v>
      </c>
      <c r="B130" s="10" t="s">
        <v>49</v>
      </c>
      <c r="C130" s="6" t="s">
        <v>125</v>
      </c>
      <c r="D130" s="6" t="s">
        <v>138</v>
      </c>
      <c r="E130" s="11">
        <v>2</v>
      </c>
      <c r="F130" s="6"/>
      <c r="G130" s="57"/>
      <c r="H130" s="6"/>
      <c r="I130" s="6"/>
      <c r="J130" s="6"/>
    </row>
    <row r="131" spans="1:10" ht="12.75" hidden="1" x14ac:dyDescent="0.2">
      <c r="A131" s="9" t="s">
        <v>48</v>
      </c>
      <c r="B131" s="10" t="s">
        <v>49</v>
      </c>
      <c r="C131" s="6" t="s">
        <v>125</v>
      </c>
      <c r="D131" s="6" t="s">
        <v>14</v>
      </c>
      <c r="E131" s="11">
        <v>4</v>
      </c>
      <c r="F131" s="11">
        <v>129</v>
      </c>
      <c r="G131" s="57"/>
      <c r="H131" s="6"/>
      <c r="I131" s="6"/>
      <c r="J131" s="6"/>
    </row>
    <row r="132" spans="1:10" ht="12.75" hidden="1" x14ac:dyDescent="0.2">
      <c r="A132" s="9">
        <v>20</v>
      </c>
      <c r="B132" s="10" t="s">
        <v>50</v>
      </c>
      <c r="C132" s="6" t="s">
        <v>125</v>
      </c>
      <c r="D132" s="6" t="s">
        <v>3</v>
      </c>
      <c r="E132" s="11">
        <v>102</v>
      </c>
      <c r="F132" s="6"/>
      <c r="G132" s="58">
        <v>344</v>
      </c>
      <c r="H132" s="6"/>
      <c r="I132" s="6"/>
      <c r="J132" s="6"/>
    </row>
    <row r="133" spans="1:10" ht="12.75" hidden="1" x14ac:dyDescent="0.2">
      <c r="A133" s="9">
        <v>20</v>
      </c>
      <c r="B133" s="10" t="s">
        <v>50</v>
      </c>
      <c r="C133" s="6" t="s">
        <v>125</v>
      </c>
      <c r="D133" s="6" t="s">
        <v>16</v>
      </c>
      <c r="E133" s="11">
        <v>1</v>
      </c>
      <c r="F133" s="6"/>
      <c r="G133" s="57"/>
      <c r="H133" s="6"/>
      <c r="I133" s="6"/>
      <c r="J133" s="6"/>
    </row>
    <row r="134" spans="1:10" ht="12.75" hidden="1" x14ac:dyDescent="0.2">
      <c r="A134" s="9">
        <v>20</v>
      </c>
      <c r="B134" s="10" t="s">
        <v>50</v>
      </c>
      <c r="C134" s="6" t="s">
        <v>125</v>
      </c>
      <c r="D134" s="6" t="s">
        <v>129</v>
      </c>
      <c r="E134" s="11">
        <v>1</v>
      </c>
      <c r="F134" s="6"/>
      <c r="G134" s="57"/>
      <c r="H134" s="6"/>
      <c r="I134" s="6"/>
      <c r="J134" s="6"/>
    </row>
    <row r="135" spans="1:10" ht="12.75" hidden="1" x14ac:dyDescent="0.2">
      <c r="A135" s="9">
        <v>20</v>
      </c>
      <c r="B135" s="10" t="s">
        <v>50</v>
      </c>
      <c r="C135" s="6" t="s">
        <v>125</v>
      </c>
      <c r="D135" s="6" t="s">
        <v>132</v>
      </c>
      <c r="E135" s="11">
        <v>16</v>
      </c>
      <c r="F135" s="6"/>
      <c r="G135" s="57"/>
      <c r="H135" s="6"/>
      <c r="I135" s="6"/>
      <c r="J135" s="6"/>
    </row>
    <row r="136" spans="1:10" ht="12.75" hidden="1" x14ac:dyDescent="0.2">
      <c r="A136" s="9">
        <v>20</v>
      </c>
      <c r="B136" s="10" t="s">
        <v>50</v>
      </c>
      <c r="C136" s="6" t="s">
        <v>125</v>
      </c>
      <c r="D136" s="6" t="s">
        <v>134</v>
      </c>
      <c r="E136" s="11">
        <v>1</v>
      </c>
      <c r="F136" s="6"/>
      <c r="G136" s="57"/>
      <c r="H136" s="6"/>
      <c r="I136" s="6"/>
      <c r="J136" s="6"/>
    </row>
    <row r="137" spans="1:10" ht="12.75" hidden="1" x14ac:dyDescent="0.2">
      <c r="A137" s="9">
        <v>20</v>
      </c>
      <c r="B137" s="10" t="s">
        <v>50</v>
      </c>
      <c r="C137" s="6" t="s">
        <v>125</v>
      </c>
      <c r="D137" s="6" t="s">
        <v>126</v>
      </c>
      <c r="E137" s="11">
        <v>141</v>
      </c>
      <c r="F137" s="6"/>
      <c r="G137" s="57"/>
      <c r="H137" s="6"/>
      <c r="I137" s="6"/>
      <c r="J137" s="6"/>
    </row>
    <row r="138" spans="1:10" ht="12.75" hidden="1" x14ac:dyDescent="0.2">
      <c r="A138" s="9">
        <v>20</v>
      </c>
      <c r="B138" s="10" t="s">
        <v>50</v>
      </c>
      <c r="C138" s="6" t="s">
        <v>125</v>
      </c>
      <c r="D138" s="6" t="s">
        <v>138</v>
      </c>
      <c r="E138" s="11">
        <v>6</v>
      </c>
      <c r="F138" s="6"/>
      <c r="G138" s="57"/>
      <c r="H138" s="6"/>
      <c r="I138" s="6"/>
      <c r="J138" s="6"/>
    </row>
    <row r="139" spans="1:10" ht="12.75" hidden="1" x14ac:dyDescent="0.2">
      <c r="A139" s="9">
        <v>20</v>
      </c>
      <c r="B139" s="10" t="s">
        <v>50</v>
      </c>
      <c r="C139" s="6" t="s">
        <v>125</v>
      </c>
      <c r="D139" s="6" t="s">
        <v>14</v>
      </c>
      <c r="E139" s="11">
        <v>0</v>
      </c>
      <c r="F139" s="11">
        <v>268</v>
      </c>
      <c r="G139" s="57"/>
      <c r="H139" s="6"/>
      <c r="I139" s="6"/>
      <c r="J139" s="6"/>
    </row>
    <row r="140" spans="1:10" ht="12.75" hidden="1" x14ac:dyDescent="0.2">
      <c r="A140" s="9">
        <v>21</v>
      </c>
      <c r="B140" s="10" t="s">
        <v>51</v>
      </c>
      <c r="C140" s="6" t="s">
        <v>125</v>
      </c>
      <c r="D140" s="6" t="s">
        <v>3</v>
      </c>
      <c r="E140" s="11">
        <v>158</v>
      </c>
      <c r="F140" s="6"/>
      <c r="G140" s="58">
        <v>678</v>
      </c>
      <c r="H140" s="6"/>
      <c r="I140" s="6"/>
      <c r="J140" s="6"/>
    </row>
    <row r="141" spans="1:10" ht="12.75" hidden="1" x14ac:dyDescent="0.2">
      <c r="A141" s="9">
        <v>21</v>
      </c>
      <c r="B141" s="10" t="s">
        <v>51</v>
      </c>
      <c r="C141" s="6" t="s">
        <v>125</v>
      </c>
      <c r="D141" s="6" t="s">
        <v>16</v>
      </c>
      <c r="E141" s="11">
        <v>10</v>
      </c>
      <c r="F141" s="6"/>
      <c r="G141" s="57"/>
      <c r="H141" s="6"/>
      <c r="I141" s="6"/>
      <c r="J141" s="6"/>
    </row>
    <row r="142" spans="1:10" ht="12.75" hidden="1" x14ac:dyDescent="0.2">
      <c r="A142" s="9">
        <v>21</v>
      </c>
      <c r="B142" s="10" t="s">
        <v>51</v>
      </c>
      <c r="C142" s="6" t="s">
        <v>125</v>
      </c>
      <c r="D142" s="6" t="s">
        <v>129</v>
      </c>
      <c r="E142" s="11">
        <v>9</v>
      </c>
      <c r="F142" s="6"/>
      <c r="G142" s="57"/>
      <c r="H142" s="6"/>
      <c r="I142" s="6"/>
      <c r="J142" s="6"/>
    </row>
    <row r="143" spans="1:10" ht="12.75" hidden="1" x14ac:dyDescent="0.2">
      <c r="A143" s="9">
        <v>21</v>
      </c>
      <c r="B143" s="10" t="s">
        <v>51</v>
      </c>
      <c r="C143" s="6" t="s">
        <v>125</v>
      </c>
      <c r="D143" s="6" t="s">
        <v>132</v>
      </c>
      <c r="E143" s="11">
        <v>10</v>
      </c>
      <c r="F143" s="6"/>
      <c r="G143" s="57"/>
      <c r="H143" s="6"/>
      <c r="I143" s="6"/>
      <c r="J143" s="6"/>
    </row>
    <row r="144" spans="1:10" ht="12.75" hidden="1" x14ac:dyDescent="0.2">
      <c r="A144" s="9">
        <v>21</v>
      </c>
      <c r="B144" s="10" t="s">
        <v>51</v>
      </c>
      <c r="C144" s="6" t="s">
        <v>125</v>
      </c>
      <c r="D144" s="6" t="s">
        <v>134</v>
      </c>
      <c r="E144" s="11">
        <v>7</v>
      </c>
      <c r="F144" s="6"/>
      <c r="G144" s="57"/>
      <c r="H144" s="6"/>
      <c r="I144" s="6"/>
      <c r="J144" s="6"/>
    </row>
    <row r="145" spans="1:10" ht="12.75" hidden="1" x14ac:dyDescent="0.2">
      <c r="A145" s="9">
        <v>21</v>
      </c>
      <c r="B145" s="10" t="s">
        <v>51</v>
      </c>
      <c r="C145" s="6" t="s">
        <v>125</v>
      </c>
      <c r="D145" s="6" t="s">
        <v>126</v>
      </c>
      <c r="E145" s="11">
        <v>272</v>
      </c>
      <c r="F145" s="6"/>
      <c r="G145" s="57"/>
      <c r="H145" s="6"/>
      <c r="I145" s="6"/>
      <c r="J145" s="6"/>
    </row>
    <row r="146" spans="1:10" ht="12.75" hidden="1" x14ac:dyDescent="0.2">
      <c r="A146" s="9">
        <v>21</v>
      </c>
      <c r="B146" s="10" t="s">
        <v>51</v>
      </c>
      <c r="C146" s="6" t="s">
        <v>125</v>
      </c>
      <c r="D146" s="6" t="s">
        <v>138</v>
      </c>
      <c r="E146" s="11">
        <v>11</v>
      </c>
      <c r="F146" s="6"/>
      <c r="G146" s="57"/>
      <c r="H146" s="6"/>
      <c r="I146" s="6"/>
      <c r="J146" s="6"/>
    </row>
    <row r="147" spans="1:10" ht="12.75" hidden="1" x14ac:dyDescent="0.2">
      <c r="A147" s="9">
        <v>21</v>
      </c>
      <c r="B147" s="10" t="s">
        <v>51</v>
      </c>
      <c r="C147" s="6" t="s">
        <v>125</v>
      </c>
      <c r="D147" s="6" t="s">
        <v>14</v>
      </c>
      <c r="E147" s="11">
        <v>9</v>
      </c>
      <c r="F147" s="11">
        <v>486</v>
      </c>
      <c r="G147" s="57"/>
      <c r="H147" s="6"/>
      <c r="I147" s="6"/>
      <c r="J147" s="6"/>
    </row>
    <row r="148" spans="1:10" ht="12.75" hidden="1" x14ac:dyDescent="0.2">
      <c r="A148" s="9">
        <v>22</v>
      </c>
      <c r="B148" s="10" t="s">
        <v>52</v>
      </c>
      <c r="C148" s="6" t="s">
        <v>125</v>
      </c>
      <c r="D148" s="6" t="s">
        <v>3</v>
      </c>
      <c r="E148" s="11">
        <v>2257</v>
      </c>
      <c r="F148" s="6"/>
      <c r="G148" s="58">
        <v>7072</v>
      </c>
      <c r="H148" s="6"/>
      <c r="I148" s="6"/>
      <c r="J148" s="6"/>
    </row>
    <row r="149" spans="1:10" ht="12.75" hidden="1" x14ac:dyDescent="0.2">
      <c r="A149" s="9">
        <v>22</v>
      </c>
      <c r="B149" s="10" t="s">
        <v>52</v>
      </c>
      <c r="C149" s="6" t="s">
        <v>125</v>
      </c>
      <c r="D149" s="6" t="s">
        <v>16</v>
      </c>
      <c r="E149" s="11">
        <v>54</v>
      </c>
      <c r="F149" s="6"/>
      <c r="G149" s="57"/>
      <c r="H149" s="6"/>
      <c r="I149" s="6"/>
      <c r="J149" s="6"/>
    </row>
    <row r="150" spans="1:10" ht="12.75" hidden="1" x14ac:dyDescent="0.2">
      <c r="A150" s="9">
        <v>22</v>
      </c>
      <c r="B150" s="10" t="s">
        <v>52</v>
      </c>
      <c r="C150" s="6" t="s">
        <v>125</v>
      </c>
      <c r="D150" s="6" t="s">
        <v>129</v>
      </c>
      <c r="E150" s="11">
        <v>61</v>
      </c>
      <c r="F150" s="6"/>
      <c r="G150" s="57"/>
      <c r="H150" s="6"/>
      <c r="I150" s="6"/>
      <c r="J150" s="6"/>
    </row>
    <row r="151" spans="1:10" ht="12.75" hidden="1" x14ac:dyDescent="0.2">
      <c r="A151" s="9">
        <v>22</v>
      </c>
      <c r="B151" s="10" t="s">
        <v>52</v>
      </c>
      <c r="C151" s="6" t="s">
        <v>125</v>
      </c>
      <c r="D151" s="6" t="s">
        <v>132</v>
      </c>
      <c r="E151" s="11">
        <v>178</v>
      </c>
      <c r="F151" s="6"/>
      <c r="G151" s="57"/>
      <c r="H151" s="6"/>
      <c r="I151" s="6"/>
      <c r="J151" s="6"/>
    </row>
    <row r="152" spans="1:10" ht="12.75" hidden="1" x14ac:dyDescent="0.2">
      <c r="A152" s="9">
        <v>22</v>
      </c>
      <c r="B152" s="10" t="s">
        <v>52</v>
      </c>
      <c r="C152" s="6" t="s">
        <v>125</v>
      </c>
      <c r="D152" s="6" t="s">
        <v>134</v>
      </c>
      <c r="E152" s="11">
        <v>90</v>
      </c>
      <c r="F152" s="6"/>
      <c r="G152" s="57"/>
      <c r="H152" s="6"/>
      <c r="I152" s="6"/>
      <c r="J152" s="6"/>
    </row>
    <row r="153" spans="1:10" ht="12.75" hidden="1" x14ac:dyDescent="0.2">
      <c r="A153" s="9">
        <v>22</v>
      </c>
      <c r="B153" s="10" t="s">
        <v>52</v>
      </c>
      <c r="C153" s="6" t="s">
        <v>125</v>
      </c>
      <c r="D153" s="6" t="s">
        <v>126</v>
      </c>
      <c r="E153" s="11">
        <v>2793</v>
      </c>
      <c r="F153" s="6"/>
      <c r="G153" s="57"/>
      <c r="H153" s="6"/>
      <c r="I153" s="6"/>
      <c r="J153" s="6"/>
    </row>
    <row r="154" spans="1:10" ht="12.75" hidden="1" x14ac:dyDescent="0.2">
      <c r="A154" s="9">
        <v>22</v>
      </c>
      <c r="B154" s="10" t="s">
        <v>52</v>
      </c>
      <c r="C154" s="6" t="s">
        <v>125</v>
      </c>
      <c r="D154" s="6" t="s">
        <v>138</v>
      </c>
      <c r="E154" s="11">
        <v>89</v>
      </c>
      <c r="F154" s="6"/>
      <c r="G154" s="57"/>
      <c r="H154" s="6"/>
      <c r="I154" s="6"/>
      <c r="J154" s="6"/>
    </row>
    <row r="155" spans="1:10" ht="12.75" hidden="1" x14ac:dyDescent="0.2">
      <c r="A155" s="9">
        <v>22</v>
      </c>
      <c r="B155" s="10" t="s">
        <v>52</v>
      </c>
      <c r="C155" s="6" t="s">
        <v>125</v>
      </c>
      <c r="D155" s="6" t="s">
        <v>14</v>
      </c>
      <c r="E155" s="11">
        <v>47</v>
      </c>
      <c r="F155" s="11">
        <v>5569</v>
      </c>
      <c r="G155" s="57"/>
      <c r="H155" s="6"/>
      <c r="I155" s="6"/>
      <c r="J155" s="6"/>
    </row>
    <row r="156" spans="1:10" ht="12.75" hidden="1" x14ac:dyDescent="0.2">
      <c r="A156" s="9">
        <v>23</v>
      </c>
      <c r="B156" s="10" t="s">
        <v>53</v>
      </c>
      <c r="C156" s="6" t="s">
        <v>125</v>
      </c>
      <c r="D156" s="6" t="s">
        <v>3</v>
      </c>
      <c r="E156" s="11">
        <v>208</v>
      </c>
      <c r="F156" s="6"/>
      <c r="G156" s="58">
        <v>656</v>
      </c>
      <c r="H156" s="6"/>
      <c r="I156" s="6"/>
      <c r="J156" s="6"/>
    </row>
    <row r="157" spans="1:10" ht="12.75" hidden="1" x14ac:dyDescent="0.2">
      <c r="A157" s="9">
        <v>23</v>
      </c>
      <c r="B157" s="10" t="s">
        <v>53</v>
      </c>
      <c r="C157" s="6" t="s">
        <v>125</v>
      </c>
      <c r="D157" s="6" t="s">
        <v>16</v>
      </c>
      <c r="E157" s="11">
        <v>4</v>
      </c>
      <c r="F157" s="6"/>
      <c r="G157" s="57"/>
      <c r="H157" s="6"/>
      <c r="I157" s="6"/>
      <c r="J157" s="6"/>
    </row>
    <row r="158" spans="1:10" ht="12.75" hidden="1" x14ac:dyDescent="0.2">
      <c r="A158" s="9">
        <v>23</v>
      </c>
      <c r="B158" s="10" t="s">
        <v>53</v>
      </c>
      <c r="C158" s="6" t="s">
        <v>125</v>
      </c>
      <c r="D158" s="6" t="s">
        <v>129</v>
      </c>
      <c r="E158" s="11">
        <v>4</v>
      </c>
      <c r="F158" s="6"/>
      <c r="G158" s="57"/>
      <c r="H158" s="6"/>
      <c r="I158" s="6"/>
      <c r="J158" s="6"/>
    </row>
    <row r="159" spans="1:10" ht="12.75" hidden="1" x14ac:dyDescent="0.2">
      <c r="A159" s="9">
        <v>23</v>
      </c>
      <c r="B159" s="10" t="s">
        <v>53</v>
      </c>
      <c r="C159" s="6" t="s">
        <v>125</v>
      </c>
      <c r="D159" s="6" t="s">
        <v>132</v>
      </c>
      <c r="E159" s="11">
        <v>104</v>
      </c>
      <c r="F159" s="6"/>
      <c r="G159" s="57"/>
      <c r="H159" s="6"/>
      <c r="I159" s="6"/>
      <c r="J159" s="6"/>
    </row>
    <row r="160" spans="1:10" ht="12.75" hidden="1" x14ac:dyDescent="0.2">
      <c r="A160" s="9">
        <v>23</v>
      </c>
      <c r="B160" s="10" t="s">
        <v>53</v>
      </c>
      <c r="C160" s="6" t="s">
        <v>125</v>
      </c>
      <c r="D160" s="6" t="s">
        <v>134</v>
      </c>
      <c r="E160" s="11">
        <v>9</v>
      </c>
      <c r="F160" s="6"/>
      <c r="G160" s="57"/>
      <c r="H160" s="6"/>
      <c r="I160" s="6"/>
      <c r="J160" s="6"/>
    </row>
    <row r="161" spans="1:10" ht="12.75" hidden="1" x14ac:dyDescent="0.2">
      <c r="A161" s="9">
        <v>23</v>
      </c>
      <c r="B161" s="10" t="s">
        <v>53</v>
      </c>
      <c r="C161" s="6" t="s">
        <v>125</v>
      </c>
      <c r="D161" s="6" t="s">
        <v>126</v>
      </c>
      <c r="E161" s="11">
        <v>202</v>
      </c>
      <c r="F161" s="6"/>
      <c r="G161" s="57"/>
      <c r="H161" s="6"/>
      <c r="I161" s="6"/>
      <c r="J161" s="6"/>
    </row>
    <row r="162" spans="1:10" ht="12.75" hidden="1" x14ac:dyDescent="0.2">
      <c r="A162" s="9">
        <v>23</v>
      </c>
      <c r="B162" s="10" t="s">
        <v>53</v>
      </c>
      <c r="C162" s="6" t="s">
        <v>125</v>
      </c>
      <c r="D162" s="6" t="s">
        <v>138</v>
      </c>
      <c r="E162" s="11">
        <v>0</v>
      </c>
      <c r="F162" s="6"/>
      <c r="G162" s="57"/>
      <c r="H162" s="6"/>
      <c r="I162" s="6"/>
      <c r="J162" s="6"/>
    </row>
    <row r="163" spans="1:10" ht="12.75" hidden="1" x14ac:dyDescent="0.2">
      <c r="A163" s="9">
        <v>23</v>
      </c>
      <c r="B163" s="10" t="s">
        <v>53</v>
      </c>
      <c r="C163" s="6" t="s">
        <v>125</v>
      </c>
      <c r="D163" s="6" t="s">
        <v>14</v>
      </c>
      <c r="E163" s="11">
        <v>9</v>
      </c>
      <c r="F163" s="11">
        <v>540</v>
      </c>
      <c r="G163" s="57"/>
      <c r="H163" s="6"/>
      <c r="I163" s="6"/>
      <c r="J163" s="6"/>
    </row>
    <row r="164" spans="1:10" ht="12.75" hidden="1" x14ac:dyDescent="0.2">
      <c r="A164" s="9">
        <v>24</v>
      </c>
      <c r="B164" s="10" t="s">
        <v>54</v>
      </c>
      <c r="C164" s="6" t="s">
        <v>125</v>
      </c>
      <c r="D164" s="6" t="s">
        <v>3</v>
      </c>
      <c r="E164" s="11">
        <v>216</v>
      </c>
      <c r="F164" s="6"/>
      <c r="G164" s="58">
        <v>457</v>
      </c>
      <c r="H164" s="6"/>
      <c r="I164" s="6"/>
      <c r="J164" s="6"/>
    </row>
    <row r="165" spans="1:10" ht="12.75" hidden="1" x14ac:dyDescent="0.2">
      <c r="A165" s="9">
        <v>24</v>
      </c>
      <c r="B165" s="10" t="s">
        <v>54</v>
      </c>
      <c r="C165" s="6" t="s">
        <v>125</v>
      </c>
      <c r="D165" s="6" t="s">
        <v>16</v>
      </c>
      <c r="E165" s="11">
        <v>2</v>
      </c>
      <c r="F165" s="6"/>
      <c r="G165" s="57"/>
      <c r="H165" s="6"/>
      <c r="I165" s="6"/>
      <c r="J165" s="6"/>
    </row>
    <row r="166" spans="1:10" ht="12.75" hidden="1" x14ac:dyDescent="0.2">
      <c r="A166" s="9">
        <v>24</v>
      </c>
      <c r="B166" s="10" t="s">
        <v>54</v>
      </c>
      <c r="C166" s="6" t="s">
        <v>125</v>
      </c>
      <c r="D166" s="6" t="s">
        <v>129</v>
      </c>
      <c r="E166" s="11">
        <v>6</v>
      </c>
      <c r="F166" s="6"/>
      <c r="G166" s="57"/>
      <c r="H166" s="6"/>
      <c r="I166" s="6"/>
      <c r="J166" s="6"/>
    </row>
    <row r="167" spans="1:10" ht="12.75" hidden="1" x14ac:dyDescent="0.2">
      <c r="A167" s="9">
        <v>24</v>
      </c>
      <c r="B167" s="10" t="s">
        <v>54</v>
      </c>
      <c r="C167" s="6" t="s">
        <v>125</v>
      </c>
      <c r="D167" s="6" t="s">
        <v>132</v>
      </c>
      <c r="E167" s="11">
        <v>8</v>
      </c>
      <c r="F167" s="6"/>
      <c r="G167" s="57"/>
      <c r="H167" s="6"/>
      <c r="I167" s="6"/>
      <c r="J167" s="6"/>
    </row>
    <row r="168" spans="1:10" ht="12.75" hidden="1" x14ac:dyDescent="0.2">
      <c r="A168" s="9">
        <v>24</v>
      </c>
      <c r="B168" s="10" t="s">
        <v>54</v>
      </c>
      <c r="C168" s="6" t="s">
        <v>125</v>
      </c>
      <c r="D168" s="6" t="s">
        <v>134</v>
      </c>
      <c r="E168" s="11">
        <v>5</v>
      </c>
      <c r="F168" s="6"/>
      <c r="G168" s="57"/>
      <c r="H168" s="6"/>
      <c r="I168" s="6"/>
      <c r="J168" s="6"/>
    </row>
    <row r="169" spans="1:10" ht="12.75" hidden="1" x14ac:dyDescent="0.2">
      <c r="A169" s="9">
        <v>24</v>
      </c>
      <c r="B169" s="10" t="s">
        <v>54</v>
      </c>
      <c r="C169" s="6" t="s">
        <v>125</v>
      </c>
      <c r="D169" s="6" t="s">
        <v>126</v>
      </c>
      <c r="E169" s="11">
        <v>122</v>
      </c>
      <c r="F169" s="6"/>
      <c r="G169" s="57"/>
      <c r="H169" s="6"/>
      <c r="I169" s="6"/>
      <c r="J169" s="6"/>
    </row>
    <row r="170" spans="1:10" ht="12.75" hidden="1" x14ac:dyDescent="0.2">
      <c r="A170" s="9">
        <v>24</v>
      </c>
      <c r="B170" s="10" t="s">
        <v>54</v>
      </c>
      <c r="C170" s="6" t="s">
        <v>125</v>
      </c>
      <c r="D170" s="6" t="s">
        <v>138</v>
      </c>
      <c r="E170" s="11">
        <v>5</v>
      </c>
      <c r="F170" s="6"/>
      <c r="G170" s="57"/>
      <c r="H170" s="6"/>
      <c r="I170" s="6"/>
      <c r="J170" s="6"/>
    </row>
    <row r="171" spans="1:10" ht="12.75" hidden="1" x14ac:dyDescent="0.2">
      <c r="A171" s="9">
        <v>24</v>
      </c>
      <c r="B171" s="10" t="s">
        <v>54</v>
      </c>
      <c r="C171" s="6" t="s">
        <v>125</v>
      </c>
      <c r="D171" s="6" t="s">
        <v>14</v>
      </c>
      <c r="E171" s="11">
        <v>3</v>
      </c>
      <c r="F171" s="11">
        <v>367</v>
      </c>
      <c r="G171" s="57"/>
      <c r="H171" s="6"/>
      <c r="I171" s="6"/>
      <c r="J171" s="6"/>
    </row>
    <row r="172" spans="1:10" ht="12.75" hidden="1" x14ac:dyDescent="0.2">
      <c r="A172" s="9">
        <v>25</v>
      </c>
      <c r="B172" s="10" t="s">
        <v>55</v>
      </c>
      <c r="C172" s="6" t="s">
        <v>125</v>
      </c>
      <c r="D172" s="6" t="s">
        <v>3</v>
      </c>
      <c r="E172" s="11">
        <v>450</v>
      </c>
      <c r="F172" s="6"/>
      <c r="G172" s="58">
        <v>816</v>
      </c>
      <c r="H172" s="6"/>
      <c r="I172" s="6"/>
      <c r="J172" s="6"/>
    </row>
    <row r="173" spans="1:10" ht="12.75" hidden="1" x14ac:dyDescent="0.2">
      <c r="A173" s="9">
        <v>25</v>
      </c>
      <c r="B173" s="10" t="s">
        <v>55</v>
      </c>
      <c r="C173" s="6" t="s">
        <v>125</v>
      </c>
      <c r="D173" s="6" t="s">
        <v>16</v>
      </c>
      <c r="E173" s="11">
        <v>7</v>
      </c>
      <c r="F173" s="6"/>
      <c r="G173" s="57"/>
      <c r="H173" s="6"/>
      <c r="I173" s="6"/>
      <c r="J173" s="6"/>
    </row>
    <row r="174" spans="1:10" ht="12.75" hidden="1" x14ac:dyDescent="0.2">
      <c r="A174" s="9">
        <v>25</v>
      </c>
      <c r="B174" s="10" t="s">
        <v>55</v>
      </c>
      <c r="C174" s="6" t="s">
        <v>125</v>
      </c>
      <c r="D174" s="6" t="s">
        <v>129</v>
      </c>
      <c r="E174" s="11">
        <v>8</v>
      </c>
      <c r="F174" s="6"/>
      <c r="G174" s="57"/>
      <c r="H174" s="6"/>
      <c r="I174" s="6"/>
      <c r="J174" s="6"/>
    </row>
    <row r="175" spans="1:10" ht="12.75" hidden="1" x14ac:dyDescent="0.2">
      <c r="A175" s="9">
        <v>25</v>
      </c>
      <c r="B175" s="10" t="s">
        <v>55</v>
      </c>
      <c r="C175" s="6" t="s">
        <v>125</v>
      </c>
      <c r="D175" s="6" t="s">
        <v>132</v>
      </c>
      <c r="E175" s="11">
        <v>10</v>
      </c>
      <c r="F175" s="6"/>
      <c r="G175" s="57"/>
      <c r="H175" s="6"/>
      <c r="I175" s="6"/>
      <c r="J175" s="6"/>
    </row>
    <row r="176" spans="1:10" ht="12.75" hidden="1" x14ac:dyDescent="0.2">
      <c r="A176" s="9">
        <v>25</v>
      </c>
      <c r="B176" s="10" t="s">
        <v>55</v>
      </c>
      <c r="C176" s="6" t="s">
        <v>125</v>
      </c>
      <c r="D176" s="6" t="s">
        <v>134</v>
      </c>
      <c r="E176" s="11">
        <v>7</v>
      </c>
      <c r="F176" s="6"/>
      <c r="G176" s="57"/>
      <c r="H176" s="6"/>
      <c r="I176" s="6"/>
      <c r="J176" s="6"/>
    </row>
    <row r="177" spans="1:10" ht="12.75" hidden="1" x14ac:dyDescent="0.2">
      <c r="A177" s="9">
        <v>25</v>
      </c>
      <c r="B177" s="10" t="s">
        <v>55</v>
      </c>
      <c r="C177" s="6" t="s">
        <v>125</v>
      </c>
      <c r="D177" s="6" t="s">
        <v>126</v>
      </c>
      <c r="E177" s="11">
        <v>109</v>
      </c>
      <c r="F177" s="6"/>
      <c r="G177" s="57"/>
      <c r="H177" s="6"/>
      <c r="I177" s="6"/>
      <c r="J177" s="6"/>
    </row>
    <row r="178" spans="1:10" ht="12.75" hidden="1" x14ac:dyDescent="0.2">
      <c r="A178" s="9">
        <v>25</v>
      </c>
      <c r="B178" s="10" t="s">
        <v>55</v>
      </c>
      <c r="C178" s="6" t="s">
        <v>125</v>
      </c>
      <c r="D178" s="6" t="s">
        <v>138</v>
      </c>
      <c r="E178" s="11">
        <v>4</v>
      </c>
      <c r="F178" s="6"/>
      <c r="G178" s="57"/>
      <c r="H178" s="6"/>
      <c r="I178" s="6"/>
      <c r="J178" s="6"/>
    </row>
    <row r="179" spans="1:10" ht="12.75" hidden="1" x14ac:dyDescent="0.2">
      <c r="A179" s="9">
        <v>25</v>
      </c>
      <c r="B179" s="10" t="s">
        <v>55</v>
      </c>
      <c r="C179" s="6" t="s">
        <v>125</v>
      </c>
      <c r="D179" s="6" t="s">
        <v>14</v>
      </c>
      <c r="E179" s="11">
        <v>3</v>
      </c>
      <c r="F179" s="11">
        <v>598</v>
      </c>
      <c r="G179" s="57"/>
      <c r="H179" s="6"/>
      <c r="I179" s="6"/>
      <c r="J179" s="6"/>
    </row>
    <row r="180" spans="1:10" ht="12.75" hidden="1" x14ac:dyDescent="0.2">
      <c r="A180" s="9">
        <v>26</v>
      </c>
      <c r="B180" s="10" t="s">
        <v>56</v>
      </c>
      <c r="C180" s="6" t="s">
        <v>125</v>
      </c>
      <c r="D180" s="6" t="s">
        <v>3</v>
      </c>
      <c r="E180" s="11">
        <v>278</v>
      </c>
      <c r="F180" s="6"/>
      <c r="G180" s="58">
        <v>510</v>
      </c>
      <c r="H180" s="6"/>
      <c r="I180" s="6"/>
      <c r="J180" s="6"/>
    </row>
    <row r="181" spans="1:10" ht="12.75" hidden="1" x14ac:dyDescent="0.2">
      <c r="A181" s="9">
        <v>26</v>
      </c>
      <c r="B181" s="10" t="s">
        <v>56</v>
      </c>
      <c r="C181" s="6" t="s">
        <v>125</v>
      </c>
      <c r="D181" s="6" t="s">
        <v>16</v>
      </c>
      <c r="E181" s="11">
        <v>2</v>
      </c>
      <c r="F181" s="6"/>
      <c r="G181" s="57"/>
      <c r="H181" s="6"/>
      <c r="I181" s="6"/>
      <c r="J181" s="6"/>
    </row>
    <row r="182" spans="1:10" ht="12.75" hidden="1" x14ac:dyDescent="0.2">
      <c r="A182" s="9">
        <v>26</v>
      </c>
      <c r="B182" s="10" t="s">
        <v>56</v>
      </c>
      <c r="C182" s="6" t="s">
        <v>125</v>
      </c>
      <c r="D182" s="6" t="s">
        <v>129</v>
      </c>
      <c r="E182" s="11">
        <v>6</v>
      </c>
      <c r="F182" s="6"/>
      <c r="G182" s="57"/>
      <c r="H182" s="6"/>
      <c r="I182" s="6"/>
      <c r="J182" s="6"/>
    </row>
    <row r="183" spans="1:10" ht="12.75" hidden="1" x14ac:dyDescent="0.2">
      <c r="A183" s="9">
        <v>26</v>
      </c>
      <c r="B183" s="10" t="s">
        <v>56</v>
      </c>
      <c r="C183" s="6" t="s">
        <v>125</v>
      </c>
      <c r="D183" s="6" t="s">
        <v>132</v>
      </c>
      <c r="E183" s="11">
        <v>5</v>
      </c>
      <c r="F183" s="6"/>
      <c r="G183" s="57"/>
      <c r="H183" s="6"/>
      <c r="I183" s="6"/>
      <c r="J183" s="6"/>
    </row>
    <row r="184" spans="1:10" ht="12.75" hidden="1" x14ac:dyDescent="0.2">
      <c r="A184" s="9">
        <v>26</v>
      </c>
      <c r="B184" s="10" t="s">
        <v>56</v>
      </c>
      <c r="C184" s="6" t="s">
        <v>125</v>
      </c>
      <c r="D184" s="6" t="s">
        <v>134</v>
      </c>
      <c r="E184" s="11">
        <v>5</v>
      </c>
      <c r="F184" s="6"/>
      <c r="G184" s="57"/>
      <c r="H184" s="6"/>
      <c r="I184" s="6"/>
      <c r="J184" s="6"/>
    </row>
    <row r="185" spans="1:10" ht="12.75" hidden="1" x14ac:dyDescent="0.2">
      <c r="A185" s="9">
        <v>26</v>
      </c>
      <c r="B185" s="10" t="s">
        <v>56</v>
      </c>
      <c r="C185" s="6" t="s">
        <v>125</v>
      </c>
      <c r="D185" s="6" t="s">
        <v>126</v>
      </c>
      <c r="E185" s="11">
        <v>120</v>
      </c>
      <c r="F185" s="6"/>
      <c r="G185" s="57"/>
      <c r="H185" s="6"/>
      <c r="I185" s="6"/>
      <c r="J185" s="6"/>
    </row>
    <row r="186" spans="1:10" ht="12.75" hidden="1" x14ac:dyDescent="0.2">
      <c r="A186" s="9">
        <v>26</v>
      </c>
      <c r="B186" s="10" t="s">
        <v>56</v>
      </c>
      <c r="C186" s="6" t="s">
        <v>125</v>
      </c>
      <c r="D186" s="6" t="s">
        <v>138</v>
      </c>
      <c r="E186" s="11">
        <v>6</v>
      </c>
      <c r="F186" s="6"/>
      <c r="G186" s="57"/>
      <c r="H186" s="6"/>
      <c r="I186" s="6"/>
      <c r="J186" s="6"/>
    </row>
    <row r="187" spans="1:10" ht="12.75" hidden="1" x14ac:dyDescent="0.2">
      <c r="A187" s="9">
        <v>26</v>
      </c>
      <c r="B187" s="10" t="s">
        <v>56</v>
      </c>
      <c r="C187" s="6" t="s">
        <v>125</v>
      </c>
      <c r="D187" s="6" t="s">
        <v>14</v>
      </c>
      <c r="E187" s="11">
        <v>1</v>
      </c>
      <c r="F187" s="11">
        <v>423</v>
      </c>
      <c r="G187" s="57"/>
      <c r="H187" s="6"/>
      <c r="I187" s="6"/>
      <c r="J187" s="6"/>
    </row>
    <row r="188" spans="1:10" ht="12.75" hidden="1" x14ac:dyDescent="0.2">
      <c r="A188" s="9">
        <v>27</v>
      </c>
      <c r="B188" s="10" t="s">
        <v>57</v>
      </c>
      <c r="C188" s="6" t="s">
        <v>125</v>
      </c>
      <c r="D188" s="6" t="s">
        <v>3</v>
      </c>
      <c r="E188" s="11">
        <v>3101</v>
      </c>
      <c r="F188" s="6"/>
      <c r="G188" s="58">
        <v>8766</v>
      </c>
      <c r="H188" s="6"/>
      <c r="I188" s="6"/>
      <c r="J188" s="6"/>
    </row>
    <row r="189" spans="1:10" ht="12.75" hidden="1" x14ac:dyDescent="0.2">
      <c r="A189" s="9">
        <v>27</v>
      </c>
      <c r="B189" s="10" t="s">
        <v>57</v>
      </c>
      <c r="C189" s="6" t="s">
        <v>125</v>
      </c>
      <c r="D189" s="6" t="s">
        <v>16</v>
      </c>
      <c r="E189" s="11">
        <v>86</v>
      </c>
      <c r="F189" s="6"/>
      <c r="G189" s="57"/>
      <c r="H189" s="6"/>
      <c r="I189" s="6"/>
      <c r="J189" s="6"/>
    </row>
    <row r="190" spans="1:10" ht="12.75" hidden="1" x14ac:dyDescent="0.2">
      <c r="A190" s="9">
        <v>27</v>
      </c>
      <c r="B190" s="10" t="s">
        <v>57</v>
      </c>
      <c r="C190" s="6" t="s">
        <v>125</v>
      </c>
      <c r="D190" s="6" t="s">
        <v>129</v>
      </c>
      <c r="E190" s="11">
        <v>105</v>
      </c>
      <c r="F190" s="6"/>
      <c r="G190" s="57"/>
      <c r="H190" s="6"/>
      <c r="I190" s="6"/>
      <c r="J190" s="6"/>
    </row>
    <row r="191" spans="1:10" ht="12.75" hidden="1" x14ac:dyDescent="0.2">
      <c r="A191" s="9">
        <v>27</v>
      </c>
      <c r="B191" s="10" t="s">
        <v>57</v>
      </c>
      <c r="C191" s="6" t="s">
        <v>125</v>
      </c>
      <c r="D191" s="6" t="s">
        <v>132</v>
      </c>
      <c r="E191" s="11">
        <v>89</v>
      </c>
      <c r="F191" s="6"/>
      <c r="G191" s="57"/>
      <c r="H191" s="6"/>
      <c r="I191" s="6"/>
      <c r="J191" s="6"/>
    </row>
    <row r="192" spans="1:10" ht="12.75" hidden="1" x14ac:dyDescent="0.2">
      <c r="A192" s="9">
        <v>27</v>
      </c>
      <c r="B192" s="10" t="s">
        <v>57</v>
      </c>
      <c r="C192" s="6" t="s">
        <v>125</v>
      </c>
      <c r="D192" s="6" t="s">
        <v>134</v>
      </c>
      <c r="E192" s="11">
        <v>108</v>
      </c>
      <c r="F192" s="6"/>
      <c r="G192" s="57"/>
      <c r="H192" s="6"/>
      <c r="I192" s="6"/>
      <c r="J192" s="6"/>
    </row>
    <row r="193" spans="1:10" ht="12.75" hidden="1" x14ac:dyDescent="0.2">
      <c r="A193" s="9">
        <v>27</v>
      </c>
      <c r="B193" s="10" t="s">
        <v>57</v>
      </c>
      <c r="C193" s="6" t="s">
        <v>125</v>
      </c>
      <c r="D193" s="6" t="s">
        <v>126</v>
      </c>
      <c r="E193" s="11">
        <v>3052</v>
      </c>
      <c r="F193" s="6"/>
      <c r="G193" s="57"/>
      <c r="H193" s="6"/>
      <c r="I193" s="6"/>
      <c r="J193" s="6"/>
    </row>
    <row r="194" spans="1:10" ht="12.75" hidden="1" x14ac:dyDescent="0.2">
      <c r="A194" s="9">
        <v>27</v>
      </c>
      <c r="B194" s="10" t="s">
        <v>57</v>
      </c>
      <c r="C194" s="6" t="s">
        <v>125</v>
      </c>
      <c r="D194" s="6" t="s">
        <v>138</v>
      </c>
      <c r="E194" s="11">
        <v>156</v>
      </c>
      <c r="F194" s="6"/>
      <c r="G194" s="57"/>
      <c r="H194" s="6"/>
      <c r="I194" s="6"/>
      <c r="J194" s="6"/>
    </row>
    <row r="195" spans="1:10" ht="12.75" hidden="1" x14ac:dyDescent="0.2">
      <c r="A195" s="9">
        <v>27</v>
      </c>
      <c r="B195" s="10" t="s">
        <v>57</v>
      </c>
      <c r="C195" s="6" t="s">
        <v>125</v>
      </c>
      <c r="D195" s="6" t="s">
        <v>14</v>
      </c>
      <c r="E195" s="11">
        <v>69</v>
      </c>
      <c r="F195" s="11">
        <v>6766</v>
      </c>
      <c r="G195" s="57"/>
      <c r="H195" s="6"/>
      <c r="I195" s="6"/>
      <c r="J195" s="6"/>
    </row>
    <row r="196" spans="1:10" ht="12.75" hidden="1" x14ac:dyDescent="0.2">
      <c r="A196" s="9">
        <v>28</v>
      </c>
      <c r="B196" s="10" t="s">
        <v>58</v>
      </c>
      <c r="C196" s="6" t="s">
        <v>125</v>
      </c>
      <c r="D196" s="6" t="s">
        <v>3</v>
      </c>
      <c r="E196" s="11">
        <v>131</v>
      </c>
      <c r="F196" s="6"/>
      <c r="G196" s="58">
        <v>353</v>
      </c>
      <c r="H196" s="6"/>
      <c r="I196" s="6"/>
      <c r="J196" s="6"/>
    </row>
    <row r="197" spans="1:10" ht="12.75" hidden="1" x14ac:dyDescent="0.2">
      <c r="A197" s="9">
        <v>28</v>
      </c>
      <c r="B197" s="10" t="s">
        <v>58</v>
      </c>
      <c r="C197" s="6" t="s">
        <v>125</v>
      </c>
      <c r="D197" s="6" t="s">
        <v>16</v>
      </c>
      <c r="E197" s="11">
        <v>3</v>
      </c>
      <c r="F197" s="6"/>
      <c r="G197" s="57"/>
      <c r="H197" s="6"/>
      <c r="I197" s="6"/>
      <c r="J197" s="6"/>
    </row>
    <row r="198" spans="1:10" ht="12.75" hidden="1" x14ac:dyDescent="0.2">
      <c r="A198" s="9">
        <v>28</v>
      </c>
      <c r="B198" s="10" t="s">
        <v>58</v>
      </c>
      <c r="C198" s="6" t="s">
        <v>125</v>
      </c>
      <c r="D198" s="6" t="s">
        <v>129</v>
      </c>
      <c r="E198" s="11">
        <v>4</v>
      </c>
      <c r="F198" s="6"/>
      <c r="G198" s="57"/>
      <c r="H198" s="6"/>
      <c r="I198" s="6"/>
      <c r="J198" s="6"/>
    </row>
    <row r="199" spans="1:10" ht="12.75" hidden="1" x14ac:dyDescent="0.2">
      <c r="A199" s="9">
        <v>28</v>
      </c>
      <c r="B199" s="10" t="s">
        <v>58</v>
      </c>
      <c r="C199" s="6" t="s">
        <v>125</v>
      </c>
      <c r="D199" s="6" t="s">
        <v>132</v>
      </c>
      <c r="E199" s="11">
        <v>8</v>
      </c>
      <c r="F199" s="6"/>
      <c r="G199" s="57"/>
      <c r="H199" s="6"/>
      <c r="I199" s="6"/>
      <c r="J199" s="6"/>
    </row>
    <row r="200" spans="1:10" ht="12.75" hidden="1" x14ac:dyDescent="0.2">
      <c r="A200" s="9">
        <v>28</v>
      </c>
      <c r="B200" s="10" t="s">
        <v>58</v>
      </c>
      <c r="C200" s="6" t="s">
        <v>125</v>
      </c>
      <c r="D200" s="6" t="s">
        <v>134</v>
      </c>
      <c r="E200" s="11">
        <v>2</v>
      </c>
      <c r="F200" s="6"/>
      <c r="G200" s="57"/>
      <c r="H200" s="6"/>
      <c r="I200" s="6"/>
      <c r="J200" s="6"/>
    </row>
    <row r="201" spans="1:10" ht="12.75" hidden="1" x14ac:dyDescent="0.2">
      <c r="A201" s="9">
        <v>28</v>
      </c>
      <c r="B201" s="10" t="s">
        <v>58</v>
      </c>
      <c r="C201" s="6" t="s">
        <v>125</v>
      </c>
      <c r="D201" s="6" t="s">
        <v>126</v>
      </c>
      <c r="E201" s="11">
        <v>141</v>
      </c>
      <c r="F201" s="6"/>
      <c r="G201" s="57"/>
      <c r="H201" s="6"/>
      <c r="I201" s="6"/>
      <c r="J201" s="6"/>
    </row>
    <row r="202" spans="1:10" ht="12.75" hidden="1" x14ac:dyDescent="0.2">
      <c r="A202" s="9">
        <v>28</v>
      </c>
      <c r="B202" s="10" t="s">
        <v>58</v>
      </c>
      <c r="C202" s="6" t="s">
        <v>125</v>
      </c>
      <c r="D202" s="6" t="s">
        <v>138</v>
      </c>
      <c r="E202" s="11">
        <v>0</v>
      </c>
      <c r="F202" s="6"/>
      <c r="G202" s="57"/>
      <c r="H202" s="6"/>
      <c r="I202" s="6"/>
      <c r="J202" s="6"/>
    </row>
    <row r="203" spans="1:10" ht="12.75" hidden="1" x14ac:dyDescent="0.2">
      <c r="A203" s="9">
        <v>28</v>
      </c>
      <c r="B203" s="10" t="s">
        <v>58</v>
      </c>
      <c r="C203" s="6" t="s">
        <v>125</v>
      </c>
      <c r="D203" s="6" t="s">
        <v>14</v>
      </c>
      <c r="E203" s="11">
        <v>1</v>
      </c>
      <c r="F203" s="11">
        <v>290</v>
      </c>
      <c r="G203" s="57"/>
      <c r="H203" s="6"/>
      <c r="I203" s="6"/>
      <c r="J203" s="6"/>
    </row>
    <row r="204" spans="1:10" ht="12.75" hidden="1" x14ac:dyDescent="0.2">
      <c r="A204" s="9">
        <v>29</v>
      </c>
      <c r="B204" s="10" t="s">
        <v>59</v>
      </c>
      <c r="C204" s="6" t="s">
        <v>125</v>
      </c>
      <c r="D204" s="6" t="s">
        <v>3</v>
      </c>
      <c r="E204" s="11">
        <v>163</v>
      </c>
      <c r="F204" s="6"/>
      <c r="G204" s="58">
        <v>532</v>
      </c>
      <c r="H204" s="6"/>
      <c r="I204" s="6"/>
      <c r="J204" s="6"/>
    </row>
    <row r="205" spans="1:10" ht="12.75" hidden="1" x14ac:dyDescent="0.2">
      <c r="A205" s="9">
        <v>29</v>
      </c>
      <c r="B205" s="10" t="s">
        <v>59</v>
      </c>
      <c r="C205" s="6" t="s">
        <v>125</v>
      </c>
      <c r="D205" s="6" t="s">
        <v>16</v>
      </c>
      <c r="E205" s="11">
        <v>2</v>
      </c>
      <c r="F205" s="6"/>
      <c r="G205" s="57"/>
      <c r="H205" s="6"/>
      <c r="I205" s="6"/>
      <c r="J205" s="6"/>
    </row>
    <row r="206" spans="1:10" ht="12.75" hidden="1" x14ac:dyDescent="0.2">
      <c r="A206" s="9">
        <v>29</v>
      </c>
      <c r="B206" s="10" t="s">
        <v>59</v>
      </c>
      <c r="C206" s="6" t="s">
        <v>125</v>
      </c>
      <c r="D206" s="6" t="s">
        <v>129</v>
      </c>
      <c r="E206" s="11">
        <v>2</v>
      </c>
      <c r="F206" s="6"/>
      <c r="G206" s="57"/>
      <c r="H206" s="6"/>
      <c r="I206" s="6"/>
      <c r="J206" s="6"/>
    </row>
    <row r="207" spans="1:10" ht="12.75" hidden="1" x14ac:dyDescent="0.2">
      <c r="A207" s="9">
        <v>29</v>
      </c>
      <c r="B207" s="10" t="s">
        <v>59</v>
      </c>
      <c r="C207" s="6" t="s">
        <v>125</v>
      </c>
      <c r="D207" s="6" t="s">
        <v>132</v>
      </c>
      <c r="E207" s="11">
        <v>16</v>
      </c>
      <c r="F207" s="6"/>
      <c r="G207" s="57"/>
      <c r="H207" s="6"/>
      <c r="I207" s="6"/>
      <c r="J207" s="6"/>
    </row>
    <row r="208" spans="1:10" ht="12.75" hidden="1" x14ac:dyDescent="0.2">
      <c r="A208" s="9">
        <v>29</v>
      </c>
      <c r="B208" s="10" t="s">
        <v>59</v>
      </c>
      <c r="C208" s="6" t="s">
        <v>125</v>
      </c>
      <c r="D208" s="6" t="s">
        <v>134</v>
      </c>
      <c r="E208" s="11">
        <v>1</v>
      </c>
      <c r="F208" s="6"/>
      <c r="G208" s="57"/>
      <c r="H208" s="6"/>
      <c r="I208" s="6"/>
      <c r="J208" s="6"/>
    </row>
    <row r="209" spans="1:10" ht="12.75" hidden="1" x14ac:dyDescent="0.2">
      <c r="A209" s="9">
        <v>29</v>
      </c>
      <c r="B209" s="10" t="s">
        <v>59</v>
      </c>
      <c r="C209" s="6" t="s">
        <v>125</v>
      </c>
      <c r="D209" s="6" t="s">
        <v>126</v>
      </c>
      <c r="E209" s="11">
        <v>214</v>
      </c>
      <c r="F209" s="6"/>
      <c r="G209" s="57"/>
      <c r="H209" s="6"/>
      <c r="I209" s="6"/>
      <c r="J209" s="6"/>
    </row>
    <row r="210" spans="1:10" ht="12.75" hidden="1" x14ac:dyDescent="0.2">
      <c r="A210" s="9">
        <v>29</v>
      </c>
      <c r="B210" s="10" t="s">
        <v>59</v>
      </c>
      <c r="C210" s="6" t="s">
        <v>125</v>
      </c>
      <c r="D210" s="6" t="s">
        <v>138</v>
      </c>
      <c r="E210" s="11">
        <v>13</v>
      </c>
      <c r="F210" s="6"/>
      <c r="G210" s="57"/>
      <c r="H210" s="6"/>
      <c r="I210" s="6"/>
      <c r="J210" s="6"/>
    </row>
    <row r="211" spans="1:10" ht="12.75" hidden="1" x14ac:dyDescent="0.2">
      <c r="A211" s="9">
        <v>29</v>
      </c>
      <c r="B211" s="10" t="s">
        <v>59</v>
      </c>
      <c r="C211" s="6" t="s">
        <v>125</v>
      </c>
      <c r="D211" s="6" t="s">
        <v>14</v>
      </c>
      <c r="E211" s="11">
        <v>2</v>
      </c>
      <c r="F211" s="11">
        <v>413</v>
      </c>
      <c r="G211" s="57"/>
      <c r="H211" s="6"/>
      <c r="I211" s="6"/>
      <c r="J211" s="6"/>
    </row>
    <row r="212" spans="1:10" ht="12.75" hidden="1" x14ac:dyDescent="0.2">
      <c r="A212" s="9">
        <v>30</v>
      </c>
      <c r="B212" s="10" t="s">
        <v>60</v>
      </c>
      <c r="C212" s="6" t="s">
        <v>125</v>
      </c>
      <c r="D212" s="6" t="s">
        <v>3</v>
      </c>
      <c r="E212" s="11">
        <v>137</v>
      </c>
      <c r="F212" s="6"/>
      <c r="G212" s="58">
        <v>238</v>
      </c>
      <c r="H212" s="6"/>
      <c r="I212" s="6"/>
      <c r="J212" s="6"/>
    </row>
    <row r="213" spans="1:10" ht="12.75" hidden="1" x14ac:dyDescent="0.2">
      <c r="A213" s="9">
        <v>30</v>
      </c>
      <c r="B213" s="10" t="s">
        <v>60</v>
      </c>
      <c r="C213" s="6" t="s">
        <v>125</v>
      </c>
      <c r="D213" s="6" t="s">
        <v>16</v>
      </c>
      <c r="E213" s="11">
        <v>3</v>
      </c>
      <c r="F213" s="6"/>
      <c r="G213" s="57"/>
      <c r="H213" s="6"/>
      <c r="I213" s="6"/>
      <c r="J213" s="6"/>
    </row>
    <row r="214" spans="1:10" ht="12.75" hidden="1" x14ac:dyDescent="0.2">
      <c r="A214" s="9">
        <v>30</v>
      </c>
      <c r="B214" s="10" t="s">
        <v>60</v>
      </c>
      <c r="C214" s="6" t="s">
        <v>125</v>
      </c>
      <c r="D214" s="6" t="s">
        <v>129</v>
      </c>
      <c r="E214" s="11">
        <v>2</v>
      </c>
      <c r="F214" s="6"/>
      <c r="G214" s="57"/>
      <c r="H214" s="6"/>
      <c r="I214" s="6"/>
      <c r="J214" s="6"/>
    </row>
    <row r="215" spans="1:10" ht="12.75" hidden="1" x14ac:dyDescent="0.2">
      <c r="A215" s="9">
        <v>30</v>
      </c>
      <c r="B215" s="10" t="s">
        <v>60</v>
      </c>
      <c r="C215" s="6" t="s">
        <v>125</v>
      </c>
      <c r="D215" s="6" t="s">
        <v>132</v>
      </c>
      <c r="E215" s="11">
        <v>2</v>
      </c>
      <c r="F215" s="6"/>
      <c r="G215" s="57"/>
      <c r="H215" s="6"/>
      <c r="I215" s="6"/>
      <c r="J215" s="6"/>
    </row>
    <row r="216" spans="1:10" ht="12.75" hidden="1" x14ac:dyDescent="0.2">
      <c r="A216" s="9">
        <v>30</v>
      </c>
      <c r="B216" s="10" t="s">
        <v>60</v>
      </c>
      <c r="C216" s="6" t="s">
        <v>125</v>
      </c>
      <c r="D216" s="6" t="s">
        <v>134</v>
      </c>
      <c r="E216" s="11">
        <v>3</v>
      </c>
      <c r="F216" s="6"/>
      <c r="G216" s="57"/>
      <c r="H216" s="6"/>
      <c r="I216" s="6"/>
      <c r="J216" s="6"/>
    </row>
    <row r="217" spans="1:10" ht="12.75" hidden="1" x14ac:dyDescent="0.2">
      <c r="A217" s="9">
        <v>30</v>
      </c>
      <c r="B217" s="10" t="s">
        <v>60</v>
      </c>
      <c r="C217" s="6" t="s">
        <v>125</v>
      </c>
      <c r="D217" s="6" t="s">
        <v>126</v>
      </c>
      <c r="E217" s="11">
        <v>49</v>
      </c>
      <c r="F217" s="6"/>
      <c r="G217" s="57"/>
      <c r="H217" s="6"/>
      <c r="I217" s="6"/>
      <c r="J217" s="6"/>
    </row>
    <row r="218" spans="1:10" ht="12.75" hidden="1" x14ac:dyDescent="0.2">
      <c r="A218" s="9">
        <v>30</v>
      </c>
      <c r="B218" s="10" t="s">
        <v>60</v>
      </c>
      <c r="C218" s="6" t="s">
        <v>125</v>
      </c>
      <c r="D218" s="6" t="s">
        <v>138</v>
      </c>
      <c r="E218" s="11">
        <v>0</v>
      </c>
      <c r="F218" s="6"/>
      <c r="G218" s="57"/>
      <c r="H218" s="6"/>
      <c r="I218" s="6"/>
      <c r="J218" s="6"/>
    </row>
    <row r="219" spans="1:10" ht="12.75" hidden="1" x14ac:dyDescent="0.2">
      <c r="A219" s="9">
        <v>30</v>
      </c>
      <c r="B219" s="10" t="s">
        <v>60</v>
      </c>
      <c r="C219" s="6" t="s">
        <v>125</v>
      </c>
      <c r="D219" s="6" t="s">
        <v>14</v>
      </c>
      <c r="E219" s="11">
        <v>7</v>
      </c>
      <c r="F219" s="11">
        <v>203</v>
      </c>
      <c r="G219" s="57"/>
      <c r="H219" s="6"/>
      <c r="I219" s="6"/>
      <c r="J219" s="6"/>
    </row>
    <row r="220" spans="1:10" ht="12.75" hidden="1" x14ac:dyDescent="0.2">
      <c r="A220" s="9">
        <v>31</v>
      </c>
      <c r="B220" s="10" t="s">
        <v>61</v>
      </c>
      <c r="C220" s="6" t="s">
        <v>125</v>
      </c>
      <c r="D220" s="6" t="s">
        <v>3</v>
      </c>
      <c r="E220" s="11">
        <v>906</v>
      </c>
      <c r="F220" s="6"/>
      <c r="G220" s="58">
        <v>2464</v>
      </c>
      <c r="H220" s="6"/>
      <c r="I220" s="6"/>
      <c r="J220" s="6"/>
    </row>
    <row r="221" spans="1:10" ht="12.75" hidden="1" x14ac:dyDescent="0.2">
      <c r="A221" s="9">
        <v>31</v>
      </c>
      <c r="B221" s="10" t="s">
        <v>61</v>
      </c>
      <c r="C221" s="6" t="s">
        <v>125</v>
      </c>
      <c r="D221" s="6" t="s">
        <v>16</v>
      </c>
      <c r="E221" s="11">
        <v>32</v>
      </c>
      <c r="F221" s="6"/>
      <c r="G221" s="57"/>
      <c r="H221" s="6"/>
      <c r="I221" s="6"/>
      <c r="J221" s="6"/>
    </row>
    <row r="222" spans="1:10" ht="12.75" hidden="1" x14ac:dyDescent="0.2">
      <c r="A222" s="9">
        <v>31</v>
      </c>
      <c r="B222" s="10" t="s">
        <v>61</v>
      </c>
      <c r="C222" s="6" t="s">
        <v>125</v>
      </c>
      <c r="D222" s="6" t="s">
        <v>129</v>
      </c>
      <c r="E222" s="11">
        <v>32</v>
      </c>
      <c r="F222" s="6"/>
      <c r="G222" s="57"/>
      <c r="H222" s="6"/>
      <c r="I222" s="6"/>
      <c r="J222" s="6"/>
    </row>
    <row r="223" spans="1:10" ht="12.75" hidden="1" x14ac:dyDescent="0.2">
      <c r="A223" s="9">
        <v>31</v>
      </c>
      <c r="B223" s="10" t="s">
        <v>61</v>
      </c>
      <c r="C223" s="6" t="s">
        <v>125</v>
      </c>
      <c r="D223" s="6" t="s">
        <v>132</v>
      </c>
      <c r="E223" s="11">
        <v>26</v>
      </c>
      <c r="F223" s="6"/>
      <c r="G223" s="57"/>
      <c r="H223" s="6"/>
      <c r="I223" s="6"/>
      <c r="J223" s="6"/>
    </row>
    <row r="224" spans="1:10" ht="12.75" hidden="1" x14ac:dyDescent="0.2">
      <c r="A224" s="9">
        <v>31</v>
      </c>
      <c r="B224" s="10" t="s">
        <v>61</v>
      </c>
      <c r="C224" s="6" t="s">
        <v>125</v>
      </c>
      <c r="D224" s="6" t="s">
        <v>134</v>
      </c>
      <c r="E224" s="11">
        <v>29</v>
      </c>
      <c r="F224" s="6"/>
      <c r="G224" s="57"/>
      <c r="H224" s="6"/>
      <c r="I224" s="6"/>
      <c r="J224" s="6"/>
    </row>
    <row r="225" spans="1:10" ht="12.75" hidden="1" x14ac:dyDescent="0.2">
      <c r="A225" s="9">
        <v>31</v>
      </c>
      <c r="B225" s="10" t="s">
        <v>61</v>
      </c>
      <c r="C225" s="6" t="s">
        <v>125</v>
      </c>
      <c r="D225" s="6" t="s">
        <v>126</v>
      </c>
      <c r="E225" s="11">
        <v>897</v>
      </c>
      <c r="F225" s="6"/>
      <c r="G225" s="57"/>
      <c r="H225" s="6"/>
      <c r="I225" s="6"/>
      <c r="J225" s="6"/>
    </row>
    <row r="226" spans="1:10" ht="12.75" hidden="1" x14ac:dyDescent="0.2">
      <c r="A226" s="9">
        <v>31</v>
      </c>
      <c r="B226" s="10" t="s">
        <v>61</v>
      </c>
      <c r="C226" s="6" t="s">
        <v>125</v>
      </c>
      <c r="D226" s="6" t="s">
        <v>138</v>
      </c>
      <c r="E226" s="11">
        <v>28</v>
      </c>
      <c r="F226" s="6"/>
      <c r="G226" s="57"/>
      <c r="H226" s="6"/>
      <c r="I226" s="6"/>
      <c r="J226" s="6"/>
    </row>
    <row r="227" spans="1:10" ht="12.75" hidden="1" x14ac:dyDescent="0.2">
      <c r="A227" s="9">
        <v>31</v>
      </c>
      <c r="B227" s="10" t="s">
        <v>61</v>
      </c>
      <c r="C227" s="6" t="s">
        <v>125</v>
      </c>
      <c r="D227" s="6" t="s">
        <v>14</v>
      </c>
      <c r="E227" s="11">
        <v>18</v>
      </c>
      <c r="F227" s="11">
        <v>1968</v>
      </c>
      <c r="G227" s="57"/>
      <c r="H227" s="6"/>
      <c r="I227" s="6"/>
      <c r="J227" s="6"/>
    </row>
    <row r="228" spans="1:10" ht="12.75" hidden="1" x14ac:dyDescent="0.2">
      <c r="A228" s="9">
        <v>32</v>
      </c>
      <c r="B228" s="10" t="s">
        <v>62</v>
      </c>
      <c r="C228" s="6" t="s">
        <v>125</v>
      </c>
      <c r="D228" s="6" t="s">
        <v>3</v>
      </c>
      <c r="E228" s="11">
        <v>175</v>
      </c>
      <c r="F228" s="6"/>
      <c r="G228" s="58">
        <v>294</v>
      </c>
      <c r="H228" s="6"/>
      <c r="I228" s="6"/>
      <c r="J228" s="6"/>
    </row>
    <row r="229" spans="1:10" ht="12.75" hidden="1" x14ac:dyDescent="0.2">
      <c r="A229" s="9">
        <v>32</v>
      </c>
      <c r="B229" s="10" t="s">
        <v>62</v>
      </c>
      <c r="C229" s="6" t="s">
        <v>125</v>
      </c>
      <c r="D229" s="6" t="s">
        <v>16</v>
      </c>
      <c r="E229" s="11">
        <v>1</v>
      </c>
      <c r="F229" s="6"/>
      <c r="G229" s="57"/>
      <c r="H229" s="6"/>
      <c r="I229" s="6"/>
      <c r="J229" s="6"/>
    </row>
    <row r="230" spans="1:10" ht="12.75" hidden="1" x14ac:dyDescent="0.2">
      <c r="A230" s="9">
        <v>32</v>
      </c>
      <c r="B230" s="10" t="s">
        <v>62</v>
      </c>
      <c r="C230" s="6" t="s">
        <v>125</v>
      </c>
      <c r="D230" s="6" t="s">
        <v>129</v>
      </c>
      <c r="E230" s="11">
        <v>3</v>
      </c>
      <c r="F230" s="6"/>
      <c r="G230" s="57"/>
      <c r="H230" s="6"/>
      <c r="I230" s="6"/>
      <c r="J230" s="6"/>
    </row>
    <row r="231" spans="1:10" ht="12.75" hidden="1" x14ac:dyDescent="0.2">
      <c r="A231" s="9">
        <v>32</v>
      </c>
      <c r="B231" s="10" t="s">
        <v>62</v>
      </c>
      <c r="C231" s="6" t="s">
        <v>125</v>
      </c>
      <c r="D231" s="6" t="s">
        <v>132</v>
      </c>
      <c r="E231" s="11">
        <v>5</v>
      </c>
      <c r="F231" s="6"/>
      <c r="G231" s="57"/>
      <c r="H231" s="6"/>
      <c r="I231" s="6"/>
      <c r="J231" s="6"/>
    </row>
    <row r="232" spans="1:10" ht="12.75" hidden="1" x14ac:dyDescent="0.2">
      <c r="A232" s="9">
        <v>32</v>
      </c>
      <c r="B232" s="10" t="s">
        <v>62</v>
      </c>
      <c r="C232" s="6" t="s">
        <v>125</v>
      </c>
      <c r="D232" s="6" t="s">
        <v>134</v>
      </c>
      <c r="E232" s="11">
        <v>2</v>
      </c>
      <c r="F232" s="6"/>
      <c r="G232" s="57"/>
      <c r="H232" s="6"/>
      <c r="I232" s="6"/>
      <c r="J232" s="6"/>
    </row>
    <row r="233" spans="1:10" ht="12.75" hidden="1" x14ac:dyDescent="0.2">
      <c r="A233" s="9">
        <v>32</v>
      </c>
      <c r="B233" s="10" t="s">
        <v>62</v>
      </c>
      <c r="C233" s="6" t="s">
        <v>125</v>
      </c>
      <c r="D233" s="6" t="s">
        <v>126</v>
      </c>
      <c r="E233" s="11">
        <v>59</v>
      </c>
      <c r="F233" s="6"/>
      <c r="G233" s="57"/>
      <c r="H233" s="6"/>
      <c r="I233" s="6"/>
      <c r="J233" s="6"/>
    </row>
    <row r="234" spans="1:10" ht="12.75" hidden="1" x14ac:dyDescent="0.2">
      <c r="A234" s="9">
        <v>32</v>
      </c>
      <c r="B234" s="10" t="s">
        <v>62</v>
      </c>
      <c r="C234" s="6" t="s">
        <v>125</v>
      </c>
      <c r="D234" s="6" t="s">
        <v>138</v>
      </c>
      <c r="E234" s="11">
        <v>9</v>
      </c>
      <c r="F234" s="6"/>
      <c r="G234" s="57"/>
      <c r="H234" s="6"/>
      <c r="I234" s="6"/>
      <c r="J234" s="6"/>
    </row>
    <row r="235" spans="1:10" ht="12.75" hidden="1" x14ac:dyDescent="0.2">
      <c r="A235" s="9">
        <v>32</v>
      </c>
      <c r="B235" s="10" t="s">
        <v>62</v>
      </c>
      <c r="C235" s="6" t="s">
        <v>125</v>
      </c>
      <c r="D235" s="6" t="s">
        <v>14</v>
      </c>
      <c r="E235" s="11">
        <v>1</v>
      </c>
      <c r="F235" s="11">
        <v>255</v>
      </c>
      <c r="G235" s="57"/>
      <c r="H235" s="6"/>
      <c r="I235" s="6"/>
      <c r="J235" s="6"/>
    </row>
    <row r="236" spans="1:10" ht="12.75" hidden="1" x14ac:dyDescent="0.2">
      <c r="A236" s="9">
        <v>33</v>
      </c>
      <c r="B236" s="10" t="s">
        <v>63</v>
      </c>
      <c r="C236" s="6" t="s">
        <v>125</v>
      </c>
      <c r="D236" s="6" t="s">
        <v>3</v>
      </c>
      <c r="E236" s="11">
        <v>250</v>
      </c>
      <c r="F236" s="6"/>
      <c r="G236" s="58">
        <v>491</v>
      </c>
      <c r="H236" s="6"/>
      <c r="I236" s="6"/>
      <c r="J236" s="6"/>
    </row>
    <row r="237" spans="1:10" ht="12.75" hidden="1" x14ac:dyDescent="0.2">
      <c r="A237" s="9">
        <v>33</v>
      </c>
      <c r="B237" s="10" t="s">
        <v>63</v>
      </c>
      <c r="C237" s="6" t="s">
        <v>125</v>
      </c>
      <c r="D237" s="6" t="s">
        <v>16</v>
      </c>
      <c r="E237" s="11">
        <v>2</v>
      </c>
      <c r="F237" s="6"/>
      <c r="G237" s="57"/>
      <c r="H237" s="6"/>
      <c r="I237" s="6"/>
      <c r="J237" s="6"/>
    </row>
    <row r="238" spans="1:10" ht="12.75" hidden="1" x14ac:dyDescent="0.2">
      <c r="A238" s="9">
        <v>33</v>
      </c>
      <c r="B238" s="10" t="s">
        <v>63</v>
      </c>
      <c r="C238" s="6" t="s">
        <v>125</v>
      </c>
      <c r="D238" s="6" t="s">
        <v>129</v>
      </c>
      <c r="E238" s="11">
        <v>2</v>
      </c>
      <c r="F238" s="6"/>
      <c r="G238" s="57"/>
      <c r="H238" s="6"/>
      <c r="I238" s="6"/>
      <c r="J238" s="6"/>
    </row>
    <row r="239" spans="1:10" ht="12.75" hidden="1" x14ac:dyDescent="0.2">
      <c r="A239" s="9">
        <v>33</v>
      </c>
      <c r="B239" s="10" t="s">
        <v>63</v>
      </c>
      <c r="C239" s="6" t="s">
        <v>125</v>
      </c>
      <c r="D239" s="6" t="s">
        <v>132</v>
      </c>
      <c r="E239" s="11">
        <v>2</v>
      </c>
      <c r="F239" s="6"/>
      <c r="G239" s="57"/>
      <c r="H239" s="6"/>
      <c r="I239" s="6"/>
      <c r="J239" s="6"/>
    </row>
    <row r="240" spans="1:10" ht="12.75" hidden="1" x14ac:dyDescent="0.2">
      <c r="A240" s="9">
        <v>33</v>
      </c>
      <c r="B240" s="10" t="s">
        <v>63</v>
      </c>
      <c r="C240" s="6" t="s">
        <v>125</v>
      </c>
      <c r="D240" s="6" t="s">
        <v>134</v>
      </c>
      <c r="E240" s="11">
        <v>4</v>
      </c>
      <c r="F240" s="6"/>
      <c r="G240" s="57"/>
      <c r="H240" s="6"/>
      <c r="I240" s="6"/>
      <c r="J240" s="6"/>
    </row>
    <row r="241" spans="1:10" ht="12.75" hidden="1" x14ac:dyDescent="0.2">
      <c r="A241" s="9">
        <v>33</v>
      </c>
      <c r="B241" s="10" t="s">
        <v>63</v>
      </c>
      <c r="C241" s="6" t="s">
        <v>125</v>
      </c>
      <c r="D241" s="6" t="s">
        <v>126</v>
      </c>
      <c r="E241" s="11">
        <v>113</v>
      </c>
      <c r="F241" s="6"/>
      <c r="G241" s="57"/>
      <c r="H241" s="6"/>
      <c r="I241" s="6"/>
      <c r="J241" s="6"/>
    </row>
    <row r="242" spans="1:10" ht="12.75" hidden="1" x14ac:dyDescent="0.2">
      <c r="A242" s="9">
        <v>33</v>
      </c>
      <c r="B242" s="10" t="s">
        <v>63</v>
      </c>
      <c r="C242" s="6" t="s">
        <v>125</v>
      </c>
      <c r="D242" s="6" t="s">
        <v>138</v>
      </c>
      <c r="E242" s="11">
        <v>1</v>
      </c>
      <c r="F242" s="6"/>
      <c r="G242" s="57"/>
      <c r="H242" s="6"/>
      <c r="I242" s="6"/>
      <c r="J242" s="6"/>
    </row>
    <row r="243" spans="1:10" ht="12.75" hidden="1" x14ac:dyDescent="0.2">
      <c r="A243" s="9">
        <v>33</v>
      </c>
      <c r="B243" s="10" t="s">
        <v>63</v>
      </c>
      <c r="C243" s="6" t="s">
        <v>125</v>
      </c>
      <c r="D243" s="6" t="s">
        <v>14</v>
      </c>
      <c r="E243" s="11">
        <v>3</v>
      </c>
      <c r="F243" s="11">
        <v>377</v>
      </c>
      <c r="G243" s="57"/>
      <c r="H243" s="6"/>
      <c r="I243" s="6"/>
      <c r="J243" s="6"/>
    </row>
    <row r="244" spans="1:10" ht="12.75" hidden="1" x14ac:dyDescent="0.2">
      <c r="A244" s="9">
        <v>34</v>
      </c>
      <c r="B244" s="10" t="s">
        <v>64</v>
      </c>
      <c r="C244" s="6" t="s">
        <v>125</v>
      </c>
      <c r="D244" s="6" t="s">
        <v>3</v>
      </c>
      <c r="E244" s="11">
        <v>719</v>
      </c>
      <c r="F244" s="6"/>
      <c r="G244" s="58">
        <v>1880</v>
      </c>
      <c r="H244" s="6"/>
      <c r="I244" s="6"/>
      <c r="J244" s="6"/>
    </row>
    <row r="245" spans="1:10" ht="12.75" hidden="1" x14ac:dyDescent="0.2">
      <c r="A245" s="9">
        <v>34</v>
      </c>
      <c r="B245" s="10" t="s">
        <v>64</v>
      </c>
      <c r="C245" s="6" t="s">
        <v>125</v>
      </c>
      <c r="D245" s="6" t="s">
        <v>16</v>
      </c>
      <c r="E245" s="11">
        <v>16</v>
      </c>
      <c r="F245" s="6"/>
      <c r="G245" s="57"/>
      <c r="H245" s="6"/>
      <c r="I245" s="6"/>
      <c r="J245" s="6"/>
    </row>
    <row r="246" spans="1:10" ht="12.75" hidden="1" x14ac:dyDescent="0.2">
      <c r="A246" s="9">
        <v>34</v>
      </c>
      <c r="B246" s="10" t="s">
        <v>64</v>
      </c>
      <c r="C246" s="6" t="s">
        <v>125</v>
      </c>
      <c r="D246" s="6" t="s">
        <v>129</v>
      </c>
      <c r="E246" s="11">
        <v>9</v>
      </c>
      <c r="F246" s="6"/>
      <c r="G246" s="57"/>
      <c r="H246" s="6"/>
      <c r="I246" s="6"/>
      <c r="J246" s="6"/>
    </row>
    <row r="247" spans="1:10" ht="12.75" hidden="1" x14ac:dyDescent="0.2">
      <c r="A247" s="9">
        <v>34</v>
      </c>
      <c r="B247" s="10" t="s">
        <v>64</v>
      </c>
      <c r="C247" s="6" t="s">
        <v>125</v>
      </c>
      <c r="D247" s="6" t="s">
        <v>132</v>
      </c>
      <c r="E247" s="11">
        <v>20</v>
      </c>
      <c r="F247" s="6"/>
      <c r="G247" s="57"/>
      <c r="H247" s="6"/>
      <c r="I247" s="6"/>
      <c r="J247" s="6"/>
    </row>
    <row r="248" spans="1:10" ht="12.75" hidden="1" x14ac:dyDescent="0.2">
      <c r="A248" s="9">
        <v>34</v>
      </c>
      <c r="B248" s="10" t="s">
        <v>64</v>
      </c>
      <c r="C248" s="6" t="s">
        <v>125</v>
      </c>
      <c r="D248" s="6" t="s">
        <v>134</v>
      </c>
      <c r="E248" s="11">
        <v>11</v>
      </c>
      <c r="F248" s="6"/>
      <c r="G248" s="57"/>
      <c r="H248" s="6"/>
      <c r="I248" s="6"/>
      <c r="J248" s="6"/>
    </row>
    <row r="249" spans="1:10" ht="12.75" hidden="1" x14ac:dyDescent="0.2">
      <c r="A249" s="9">
        <v>34</v>
      </c>
      <c r="B249" s="10" t="s">
        <v>64</v>
      </c>
      <c r="C249" s="6" t="s">
        <v>125</v>
      </c>
      <c r="D249" s="6" t="s">
        <v>126</v>
      </c>
      <c r="E249" s="11">
        <v>712</v>
      </c>
      <c r="F249" s="6"/>
      <c r="G249" s="57"/>
      <c r="H249" s="6"/>
      <c r="I249" s="6"/>
      <c r="J249" s="6"/>
    </row>
    <row r="250" spans="1:10" ht="12.75" hidden="1" x14ac:dyDescent="0.2">
      <c r="A250" s="9">
        <v>34</v>
      </c>
      <c r="B250" s="10" t="s">
        <v>64</v>
      </c>
      <c r="C250" s="6" t="s">
        <v>125</v>
      </c>
      <c r="D250" s="6" t="s">
        <v>138</v>
      </c>
      <c r="E250" s="11">
        <v>0</v>
      </c>
      <c r="F250" s="6"/>
      <c r="G250" s="57"/>
      <c r="H250" s="6"/>
      <c r="I250" s="6"/>
      <c r="J250" s="6"/>
    </row>
    <row r="251" spans="1:10" ht="12.75" hidden="1" x14ac:dyDescent="0.2">
      <c r="A251" s="9">
        <v>34</v>
      </c>
      <c r="B251" s="10" t="s">
        <v>64</v>
      </c>
      <c r="C251" s="6" t="s">
        <v>125</v>
      </c>
      <c r="D251" s="6" t="s">
        <v>14</v>
      </c>
      <c r="E251" s="11">
        <v>3</v>
      </c>
      <c r="F251" s="11">
        <v>1490</v>
      </c>
      <c r="G251" s="57"/>
      <c r="H251" s="6"/>
      <c r="I251" s="6"/>
      <c r="J251" s="6"/>
    </row>
    <row r="252" spans="1:10" ht="12.75" hidden="1" x14ac:dyDescent="0.2">
      <c r="A252" s="9">
        <v>35</v>
      </c>
      <c r="B252" s="10" t="s">
        <v>65</v>
      </c>
      <c r="C252" s="6" t="s">
        <v>125</v>
      </c>
      <c r="D252" s="6" t="s">
        <v>3</v>
      </c>
      <c r="E252" s="11">
        <v>237</v>
      </c>
      <c r="F252" s="6"/>
      <c r="G252" s="58">
        <v>999</v>
      </c>
      <c r="H252" s="6"/>
      <c r="I252" s="6"/>
      <c r="J252" s="6"/>
    </row>
    <row r="253" spans="1:10" ht="12.75" hidden="1" x14ac:dyDescent="0.2">
      <c r="A253" s="9">
        <v>35</v>
      </c>
      <c r="B253" s="10" t="s">
        <v>65</v>
      </c>
      <c r="C253" s="6" t="s">
        <v>125</v>
      </c>
      <c r="D253" s="6" t="s">
        <v>16</v>
      </c>
      <c r="E253" s="9">
        <v>7</v>
      </c>
      <c r="F253" s="6"/>
      <c r="G253" s="57"/>
      <c r="H253" s="6"/>
      <c r="I253" s="6"/>
      <c r="J253" s="6"/>
    </row>
    <row r="254" spans="1:10" ht="12.75" hidden="1" x14ac:dyDescent="0.2">
      <c r="A254" s="9">
        <v>35</v>
      </c>
      <c r="B254" s="10" t="s">
        <v>65</v>
      </c>
      <c r="C254" s="6" t="s">
        <v>125</v>
      </c>
      <c r="D254" s="6" t="s">
        <v>129</v>
      </c>
      <c r="E254" s="11">
        <v>13</v>
      </c>
      <c r="F254" s="6"/>
      <c r="G254" s="57"/>
      <c r="H254" s="6"/>
      <c r="I254" s="6"/>
      <c r="J254" s="6"/>
    </row>
    <row r="255" spans="1:10" ht="12.75" hidden="1" x14ac:dyDescent="0.2">
      <c r="A255" s="9">
        <v>35</v>
      </c>
      <c r="B255" s="10" t="s">
        <v>65</v>
      </c>
      <c r="C255" s="6" t="s">
        <v>125</v>
      </c>
      <c r="D255" s="6" t="s">
        <v>132</v>
      </c>
      <c r="E255" s="11">
        <v>10</v>
      </c>
      <c r="F255" s="6"/>
      <c r="G255" s="57"/>
      <c r="H255" s="6"/>
      <c r="I255" s="6"/>
      <c r="J255" s="6"/>
    </row>
    <row r="256" spans="1:10" ht="12.75" hidden="1" x14ac:dyDescent="0.2">
      <c r="A256" s="9">
        <v>35</v>
      </c>
      <c r="B256" s="10" t="s">
        <v>65</v>
      </c>
      <c r="C256" s="6" t="s">
        <v>125</v>
      </c>
      <c r="D256" s="6" t="s">
        <v>134</v>
      </c>
      <c r="E256" s="11">
        <v>15</v>
      </c>
      <c r="F256" s="6"/>
      <c r="G256" s="57"/>
      <c r="H256" s="6"/>
      <c r="I256" s="6"/>
      <c r="J256" s="6"/>
    </row>
    <row r="257" spans="1:10" ht="12.75" hidden="1" x14ac:dyDescent="0.2">
      <c r="A257" s="9">
        <v>35</v>
      </c>
      <c r="B257" s="10" t="s">
        <v>65</v>
      </c>
      <c r="C257" s="6" t="s">
        <v>125</v>
      </c>
      <c r="D257" s="6" t="s">
        <v>126</v>
      </c>
      <c r="E257" s="11">
        <v>478</v>
      </c>
      <c r="F257" s="6"/>
      <c r="G257" s="57"/>
      <c r="H257" s="6"/>
      <c r="I257" s="6"/>
      <c r="J257" s="6"/>
    </row>
    <row r="258" spans="1:10" ht="12.75" hidden="1" x14ac:dyDescent="0.2">
      <c r="A258" s="9">
        <v>35</v>
      </c>
      <c r="B258" s="10" t="s">
        <v>65</v>
      </c>
      <c r="C258" s="6" t="s">
        <v>125</v>
      </c>
      <c r="D258" s="6" t="s">
        <v>138</v>
      </c>
      <c r="E258" s="11">
        <v>14</v>
      </c>
      <c r="F258" s="6"/>
      <c r="G258" s="57"/>
      <c r="H258" s="6"/>
      <c r="I258" s="6"/>
      <c r="J258" s="6"/>
    </row>
    <row r="259" spans="1:10" ht="12.75" hidden="1" x14ac:dyDescent="0.2">
      <c r="A259" s="9">
        <v>35</v>
      </c>
      <c r="B259" s="10" t="s">
        <v>65</v>
      </c>
      <c r="C259" s="6" t="s">
        <v>125</v>
      </c>
      <c r="D259" s="6" t="s">
        <v>14</v>
      </c>
      <c r="E259" s="11">
        <v>12</v>
      </c>
      <c r="F259" s="11">
        <v>786</v>
      </c>
      <c r="G259" s="57"/>
      <c r="H259" s="6"/>
      <c r="I259" s="6"/>
      <c r="J259" s="6"/>
    </row>
    <row r="260" spans="1:10" ht="12.75" hidden="1" x14ac:dyDescent="0.2">
      <c r="A260" s="9">
        <v>36</v>
      </c>
      <c r="B260" s="10" t="s">
        <v>66</v>
      </c>
      <c r="C260" s="6" t="s">
        <v>125</v>
      </c>
      <c r="D260" s="6" t="s">
        <v>3</v>
      </c>
      <c r="E260" s="11">
        <v>908</v>
      </c>
      <c r="F260" s="6"/>
      <c r="G260" s="58">
        <v>4249</v>
      </c>
      <c r="H260" s="6"/>
      <c r="I260" s="6"/>
      <c r="J260" s="6"/>
    </row>
    <row r="261" spans="1:10" ht="12.75" hidden="1" x14ac:dyDescent="0.2">
      <c r="A261" s="9">
        <v>36</v>
      </c>
      <c r="B261" s="10" t="s">
        <v>66</v>
      </c>
      <c r="C261" s="6" t="s">
        <v>125</v>
      </c>
      <c r="D261" s="6" t="s">
        <v>16</v>
      </c>
      <c r="E261" s="11">
        <v>46</v>
      </c>
      <c r="F261" s="6"/>
      <c r="G261" s="57"/>
      <c r="H261" s="6"/>
      <c r="I261" s="6"/>
      <c r="J261" s="6"/>
    </row>
    <row r="262" spans="1:10" ht="12.75" hidden="1" x14ac:dyDescent="0.2">
      <c r="A262" s="9">
        <v>36</v>
      </c>
      <c r="B262" s="10" t="s">
        <v>66</v>
      </c>
      <c r="C262" s="6" t="s">
        <v>125</v>
      </c>
      <c r="D262" s="6" t="s">
        <v>129</v>
      </c>
      <c r="E262" s="11">
        <v>32</v>
      </c>
      <c r="F262" s="6"/>
      <c r="G262" s="57"/>
      <c r="H262" s="6"/>
      <c r="I262" s="6"/>
      <c r="J262" s="6"/>
    </row>
    <row r="263" spans="1:10" ht="12.75" hidden="1" x14ac:dyDescent="0.2">
      <c r="A263" s="9">
        <v>36</v>
      </c>
      <c r="B263" s="10" t="s">
        <v>66</v>
      </c>
      <c r="C263" s="6" t="s">
        <v>125</v>
      </c>
      <c r="D263" s="6" t="s">
        <v>132</v>
      </c>
      <c r="E263" s="11">
        <v>59</v>
      </c>
      <c r="F263" s="6"/>
      <c r="G263" s="57"/>
      <c r="H263" s="6"/>
      <c r="I263" s="6"/>
      <c r="J263" s="6"/>
    </row>
    <row r="264" spans="1:10" ht="12.75" hidden="1" x14ac:dyDescent="0.2">
      <c r="A264" s="9">
        <v>36</v>
      </c>
      <c r="B264" s="10" t="s">
        <v>66</v>
      </c>
      <c r="C264" s="6" t="s">
        <v>125</v>
      </c>
      <c r="D264" s="6" t="s">
        <v>134</v>
      </c>
      <c r="E264" s="11">
        <v>54</v>
      </c>
      <c r="F264" s="6"/>
      <c r="G264" s="57"/>
      <c r="H264" s="6"/>
      <c r="I264" s="6"/>
      <c r="J264" s="6"/>
    </row>
    <row r="265" spans="1:10" ht="12.75" hidden="1" x14ac:dyDescent="0.2">
      <c r="A265" s="9">
        <v>36</v>
      </c>
      <c r="B265" s="10" t="s">
        <v>66</v>
      </c>
      <c r="C265" s="6" t="s">
        <v>125</v>
      </c>
      <c r="D265" s="6" t="s">
        <v>126</v>
      </c>
      <c r="E265" s="11">
        <v>1730</v>
      </c>
      <c r="F265" s="6"/>
      <c r="G265" s="57"/>
      <c r="H265" s="6"/>
      <c r="I265" s="6"/>
      <c r="J265" s="6"/>
    </row>
    <row r="266" spans="1:10" ht="12.75" hidden="1" x14ac:dyDescent="0.2">
      <c r="A266" s="9">
        <v>36</v>
      </c>
      <c r="B266" s="10" t="s">
        <v>66</v>
      </c>
      <c r="C266" s="6" t="s">
        <v>125</v>
      </c>
      <c r="D266" s="6" t="s">
        <v>138</v>
      </c>
      <c r="E266" s="11">
        <v>44</v>
      </c>
      <c r="F266" s="6"/>
      <c r="G266" s="57"/>
      <c r="H266" s="6"/>
      <c r="I266" s="6"/>
      <c r="J266" s="6"/>
    </row>
    <row r="267" spans="1:10" ht="12.75" hidden="1" x14ac:dyDescent="0.2">
      <c r="A267" s="9">
        <v>36</v>
      </c>
      <c r="B267" s="10" t="s">
        <v>66</v>
      </c>
      <c r="C267" s="6" t="s">
        <v>125</v>
      </c>
      <c r="D267" s="6" t="s">
        <v>14</v>
      </c>
      <c r="E267" s="11">
        <v>53</v>
      </c>
      <c r="F267" s="11">
        <v>2926</v>
      </c>
      <c r="G267" s="57"/>
      <c r="H267" s="6"/>
      <c r="I267" s="6"/>
      <c r="J267" s="6"/>
    </row>
    <row r="268" spans="1:10" ht="12.75" hidden="1" x14ac:dyDescent="0.2">
      <c r="A268" s="9">
        <v>37</v>
      </c>
      <c r="B268" s="10" t="s">
        <v>67</v>
      </c>
      <c r="C268" s="6" t="s">
        <v>125</v>
      </c>
      <c r="D268" s="6" t="s">
        <v>3</v>
      </c>
      <c r="E268" s="11">
        <v>27</v>
      </c>
      <c r="F268" s="6"/>
      <c r="G268" s="58">
        <v>55</v>
      </c>
      <c r="H268" s="6"/>
      <c r="I268" s="6"/>
      <c r="J268" s="6"/>
    </row>
    <row r="269" spans="1:10" ht="12.75" hidden="1" x14ac:dyDescent="0.2">
      <c r="A269" s="9">
        <v>37</v>
      </c>
      <c r="B269" s="10" t="s">
        <v>67</v>
      </c>
      <c r="C269" s="6" t="s">
        <v>125</v>
      </c>
      <c r="D269" s="6" t="s">
        <v>16</v>
      </c>
      <c r="E269" s="11">
        <v>0</v>
      </c>
      <c r="F269" s="6"/>
      <c r="G269" s="57"/>
      <c r="H269" s="6"/>
      <c r="I269" s="6"/>
      <c r="J269" s="6"/>
    </row>
    <row r="270" spans="1:10" ht="12.75" hidden="1" x14ac:dyDescent="0.2">
      <c r="A270" s="9">
        <v>37</v>
      </c>
      <c r="B270" s="10" t="s">
        <v>67</v>
      </c>
      <c r="C270" s="6" t="s">
        <v>125</v>
      </c>
      <c r="D270" s="6" t="s">
        <v>129</v>
      </c>
      <c r="E270" s="11">
        <v>0</v>
      </c>
      <c r="F270" s="6"/>
      <c r="G270" s="57"/>
      <c r="H270" s="6"/>
      <c r="I270" s="6"/>
      <c r="J270" s="6"/>
    </row>
    <row r="271" spans="1:10" ht="12.75" hidden="1" x14ac:dyDescent="0.2">
      <c r="A271" s="9">
        <v>37</v>
      </c>
      <c r="B271" s="10" t="s">
        <v>67</v>
      </c>
      <c r="C271" s="6" t="s">
        <v>125</v>
      </c>
      <c r="D271" s="6" t="s">
        <v>132</v>
      </c>
      <c r="E271" s="11">
        <v>2</v>
      </c>
      <c r="F271" s="6"/>
      <c r="G271" s="57"/>
      <c r="H271" s="6"/>
      <c r="I271" s="6"/>
      <c r="J271" s="6"/>
    </row>
    <row r="272" spans="1:10" ht="12.75" hidden="1" x14ac:dyDescent="0.2">
      <c r="A272" s="9">
        <v>37</v>
      </c>
      <c r="B272" s="10" t="s">
        <v>67</v>
      </c>
      <c r="C272" s="6" t="s">
        <v>125</v>
      </c>
      <c r="D272" s="6" t="s">
        <v>134</v>
      </c>
      <c r="E272" s="11">
        <v>0</v>
      </c>
      <c r="F272" s="6"/>
      <c r="G272" s="57"/>
      <c r="H272" s="6"/>
      <c r="I272" s="6"/>
      <c r="J272" s="6"/>
    </row>
    <row r="273" spans="1:10" ht="12.75" hidden="1" x14ac:dyDescent="0.2">
      <c r="A273" s="9">
        <v>37</v>
      </c>
      <c r="B273" s="10" t="s">
        <v>67</v>
      </c>
      <c r="C273" s="6" t="s">
        <v>125</v>
      </c>
      <c r="D273" s="6" t="s">
        <v>126</v>
      </c>
      <c r="E273" s="11">
        <v>19</v>
      </c>
      <c r="F273" s="6"/>
      <c r="G273" s="57"/>
      <c r="H273" s="6"/>
      <c r="I273" s="6"/>
      <c r="J273" s="6"/>
    </row>
    <row r="274" spans="1:10" ht="12.75" hidden="1" x14ac:dyDescent="0.2">
      <c r="A274" s="9">
        <v>37</v>
      </c>
      <c r="B274" s="10" t="s">
        <v>67</v>
      </c>
      <c r="C274" s="6" t="s">
        <v>125</v>
      </c>
      <c r="D274" s="6" t="s">
        <v>138</v>
      </c>
      <c r="E274" s="11">
        <v>0</v>
      </c>
      <c r="F274" s="6"/>
      <c r="G274" s="57"/>
      <c r="H274" s="6"/>
      <c r="I274" s="6"/>
      <c r="J274" s="6"/>
    </row>
    <row r="275" spans="1:10" ht="12.75" hidden="1" x14ac:dyDescent="0.2">
      <c r="A275" s="9">
        <v>37</v>
      </c>
      <c r="B275" s="10" t="s">
        <v>67</v>
      </c>
      <c r="C275" s="6" t="s">
        <v>125</v>
      </c>
      <c r="D275" s="6" t="s">
        <v>14</v>
      </c>
      <c r="E275" s="11">
        <v>0</v>
      </c>
      <c r="F275" s="11">
        <v>48</v>
      </c>
      <c r="G275" s="57"/>
      <c r="H275" s="6"/>
      <c r="I275" s="6"/>
      <c r="J275" s="6"/>
    </row>
    <row r="276" spans="1:10" ht="12.75" hidden="1" x14ac:dyDescent="0.2">
      <c r="A276" s="9">
        <v>38</v>
      </c>
      <c r="B276" s="10" t="s">
        <v>68</v>
      </c>
      <c r="C276" s="6" t="s">
        <v>125</v>
      </c>
      <c r="D276" s="6" t="s">
        <v>3</v>
      </c>
      <c r="E276" s="11">
        <v>76</v>
      </c>
      <c r="F276" s="6"/>
      <c r="G276" s="58">
        <v>491</v>
      </c>
      <c r="H276" s="6"/>
      <c r="I276" s="6"/>
      <c r="J276" s="6"/>
    </row>
    <row r="277" spans="1:10" ht="12.75" hidden="1" x14ac:dyDescent="0.2">
      <c r="A277" s="9">
        <v>38</v>
      </c>
      <c r="B277" s="10" t="s">
        <v>68</v>
      </c>
      <c r="C277" s="6" t="s">
        <v>125</v>
      </c>
      <c r="D277" s="6" t="s">
        <v>16</v>
      </c>
      <c r="E277" s="11">
        <v>9</v>
      </c>
      <c r="F277" s="6"/>
      <c r="G277" s="57"/>
      <c r="H277" s="6"/>
      <c r="I277" s="6"/>
      <c r="J277" s="6"/>
    </row>
    <row r="278" spans="1:10" ht="12.75" hidden="1" x14ac:dyDescent="0.2">
      <c r="A278" s="9">
        <v>38</v>
      </c>
      <c r="B278" s="10" t="s">
        <v>68</v>
      </c>
      <c r="C278" s="6" t="s">
        <v>125</v>
      </c>
      <c r="D278" s="6" t="s">
        <v>129</v>
      </c>
      <c r="E278" s="11">
        <v>9</v>
      </c>
      <c r="F278" s="6"/>
      <c r="G278" s="57"/>
      <c r="H278" s="6"/>
      <c r="I278" s="6"/>
      <c r="J278" s="6"/>
    </row>
    <row r="279" spans="1:10" ht="12.75" hidden="1" x14ac:dyDescent="0.2">
      <c r="A279" s="9">
        <v>38</v>
      </c>
      <c r="B279" s="10" t="s">
        <v>68</v>
      </c>
      <c r="C279" s="6" t="s">
        <v>125</v>
      </c>
      <c r="D279" s="6" t="s">
        <v>132</v>
      </c>
      <c r="E279" s="11">
        <v>6</v>
      </c>
      <c r="F279" s="6"/>
      <c r="G279" s="57"/>
      <c r="H279" s="6"/>
      <c r="I279" s="6"/>
      <c r="J279" s="6"/>
    </row>
    <row r="280" spans="1:10" ht="12.75" hidden="1" x14ac:dyDescent="0.2">
      <c r="A280" s="9">
        <v>38</v>
      </c>
      <c r="B280" s="10" t="s">
        <v>68</v>
      </c>
      <c r="C280" s="6" t="s">
        <v>125</v>
      </c>
      <c r="D280" s="6" t="s">
        <v>134</v>
      </c>
      <c r="E280" s="11">
        <v>5</v>
      </c>
      <c r="F280" s="6"/>
      <c r="G280" s="57"/>
      <c r="H280" s="6"/>
      <c r="I280" s="6"/>
      <c r="J280" s="6"/>
    </row>
    <row r="281" spans="1:10" ht="12.75" hidden="1" x14ac:dyDescent="0.2">
      <c r="A281" s="9">
        <v>38</v>
      </c>
      <c r="B281" s="10" t="s">
        <v>68</v>
      </c>
      <c r="C281" s="6" t="s">
        <v>125</v>
      </c>
      <c r="D281" s="6" t="s">
        <v>126</v>
      </c>
      <c r="E281" s="11">
        <v>161</v>
      </c>
      <c r="F281" s="6"/>
      <c r="G281" s="57"/>
      <c r="H281" s="6"/>
      <c r="I281" s="6"/>
      <c r="J281" s="6"/>
    </row>
    <row r="282" spans="1:10" ht="12.75" hidden="1" x14ac:dyDescent="0.2">
      <c r="A282" s="9">
        <v>38</v>
      </c>
      <c r="B282" s="10" t="s">
        <v>68</v>
      </c>
      <c r="C282" s="6" t="s">
        <v>125</v>
      </c>
      <c r="D282" s="6" t="s">
        <v>138</v>
      </c>
      <c r="E282" s="11">
        <v>7</v>
      </c>
      <c r="F282" s="6"/>
      <c r="G282" s="57"/>
      <c r="H282" s="6"/>
      <c r="I282" s="6"/>
      <c r="J282" s="6"/>
    </row>
    <row r="283" spans="1:10" ht="12.75" hidden="1" x14ac:dyDescent="0.2">
      <c r="A283" s="9">
        <v>38</v>
      </c>
      <c r="B283" s="10" t="s">
        <v>68</v>
      </c>
      <c r="C283" s="6" t="s">
        <v>125</v>
      </c>
      <c r="D283" s="6" t="s">
        <v>14</v>
      </c>
      <c r="E283" s="11">
        <v>5</v>
      </c>
      <c r="F283" s="11">
        <v>278</v>
      </c>
      <c r="G283" s="57"/>
      <c r="H283" s="6"/>
      <c r="I283" s="6"/>
      <c r="J283" s="6"/>
    </row>
    <row r="284" spans="1:10" ht="12.75" hidden="1" x14ac:dyDescent="0.2">
      <c r="A284" s="9">
        <v>39</v>
      </c>
      <c r="B284" s="10" t="s">
        <v>69</v>
      </c>
      <c r="C284" s="6" t="s">
        <v>125</v>
      </c>
      <c r="D284" s="6" t="s">
        <v>3</v>
      </c>
      <c r="E284" s="11">
        <v>742</v>
      </c>
      <c r="F284" s="6"/>
      <c r="G284" s="58">
        <v>1621</v>
      </c>
      <c r="H284" s="6"/>
      <c r="I284" s="6"/>
      <c r="J284" s="6"/>
    </row>
    <row r="285" spans="1:10" ht="12.75" hidden="1" x14ac:dyDescent="0.2">
      <c r="A285" s="9">
        <v>39</v>
      </c>
      <c r="B285" s="10" t="s">
        <v>69</v>
      </c>
      <c r="C285" s="6" t="s">
        <v>125</v>
      </c>
      <c r="D285" s="6" t="s">
        <v>16</v>
      </c>
      <c r="E285" s="11">
        <v>14</v>
      </c>
      <c r="F285" s="6"/>
      <c r="G285" s="57"/>
      <c r="H285" s="6"/>
      <c r="I285" s="6"/>
      <c r="J285" s="6"/>
    </row>
    <row r="286" spans="1:10" ht="12.75" hidden="1" x14ac:dyDescent="0.2">
      <c r="A286" s="9">
        <v>39</v>
      </c>
      <c r="B286" s="10" t="s">
        <v>69</v>
      </c>
      <c r="C286" s="6" t="s">
        <v>125</v>
      </c>
      <c r="D286" s="6" t="s">
        <v>129</v>
      </c>
      <c r="E286" s="11">
        <v>7</v>
      </c>
      <c r="F286" s="6"/>
      <c r="G286" s="57"/>
      <c r="H286" s="6"/>
      <c r="I286" s="6"/>
      <c r="J286" s="6"/>
    </row>
    <row r="287" spans="1:10" ht="12.75" hidden="1" x14ac:dyDescent="0.2">
      <c r="A287" s="9">
        <v>39</v>
      </c>
      <c r="B287" s="10" t="s">
        <v>69</v>
      </c>
      <c r="C287" s="6" t="s">
        <v>125</v>
      </c>
      <c r="D287" s="6" t="s">
        <v>132</v>
      </c>
      <c r="E287" s="11">
        <v>14</v>
      </c>
      <c r="F287" s="6"/>
      <c r="G287" s="57"/>
      <c r="H287" s="6"/>
      <c r="I287" s="6"/>
      <c r="J287" s="6"/>
    </row>
    <row r="288" spans="1:10" ht="12.75" hidden="1" x14ac:dyDescent="0.2">
      <c r="A288" s="9">
        <v>39</v>
      </c>
      <c r="B288" s="10" t="s">
        <v>69</v>
      </c>
      <c r="C288" s="6" t="s">
        <v>125</v>
      </c>
      <c r="D288" s="6" t="s">
        <v>134</v>
      </c>
      <c r="E288" s="11">
        <v>26</v>
      </c>
      <c r="F288" s="6"/>
      <c r="G288" s="57"/>
      <c r="H288" s="6"/>
      <c r="I288" s="6"/>
      <c r="J288" s="6"/>
    </row>
    <row r="289" spans="1:10" ht="12.75" hidden="1" x14ac:dyDescent="0.2">
      <c r="A289" s="9">
        <v>39</v>
      </c>
      <c r="B289" s="10" t="s">
        <v>69</v>
      </c>
      <c r="C289" s="6" t="s">
        <v>125</v>
      </c>
      <c r="D289" s="6" t="s">
        <v>126</v>
      </c>
      <c r="E289" s="11">
        <v>444</v>
      </c>
      <c r="F289" s="6"/>
      <c r="G289" s="57"/>
      <c r="H289" s="6"/>
      <c r="I289" s="6"/>
      <c r="J289" s="6"/>
    </row>
    <row r="290" spans="1:10" ht="12.75" hidden="1" x14ac:dyDescent="0.2">
      <c r="A290" s="9">
        <v>39</v>
      </c>
      <c r="B290" s="10" t="s">
        <v>69</v>
      </c>
      <c r="C290" s="6" t="s">
        <v>125</v>
      </c>
      <c r="D290" s="6" t="s">
        <v>138</v>
      </c>
      <c r="E290" s="11">
        <v>20</v>
      </c>
      <c r="F290" s="6"/>
      <c r="G290" s="57"/>
      <c r="H290" s="6"/>
      <c r="I290" s="6"/>
      <c r="J290" s="6"/>
    </row>
    <row r="291" spans="1:10" ht="12.75" hidden="1" x14ac:dyDescent="0.2">
      <c r="A291" s="9">
        <v>39</v>
      </c>
      <c r="B291" s="10" t="s">
        <v>69</v>
      </c>
      <c r="C291" s="6" t="s">
        <v>125</v>
      </c>
      <c r="D291" s="6" t="s">
        <v>14</v>
      </c>
      <c r="E291" s="11">
        <v>20</v>
      </c>
      <c r="F291" s="11">
        <v>1287</v>
      </c>
      <c r="G291" s="57"/>
      <c r="H291" s="6"/>
      <c r="I291" s="6"/>
      <c r="J291" s="6"/>
    </row>
    <row r="292" spans="1:10" ht="12.75" hidden="1" x14ac:dyDescent="0.2">
      <c r="A292" s="9" t="s">
        <v>70</v>
      </c>
      <c r="B292" s="10" t="s">
        <v>71</v>
      </c>
      <c r="C292" s="6" t="s">
        <v>125</v>
      </c>
      <c r="D292" s="6" t="s">
        <v>3</v>
      </c>
      <c r="E292" s="11">
        <v>184</v>
      </c>
      <c r="F292" s="6"/>
      <c r="G292" s="58">
        <v>404</v>
      </c>
      <c r="H292" s="6"/>
      <c r="I292" s="6"/>
      <c r="J292" s="6"/>
    </row>
    <row r="293" spans="1:10" ht="12.75" hidden="1" x14ac:dyDescent="0.2">
      <c r="A293" s="9" t="s">
        <v>70</v>
      </c>
      <c r="B293" s="10" t="s">
        <v>71</v>
      </c>
      <c r="C293" s="6" t="s">
        <v>125</v>
      </c>
      <c r="D293" s="6" t="s">
        <v>16</v>
      </c>
      <c r="E293" s="11">
        <v>190</v>
      </c>
      <c r="F293" s="6"/>
      <c r="G293" s="57"/>
      <c r="H293" s="6"/>
      <c r="I293" s="6"/>
      <c r="J293" s="6"/>
    </row>
    <row r="294" spans="1:10" ht="12.75" hidden="1" x14ac:dyDescent="0.2">
      <c r="A294" s="9" t="s">
        <v>70</v>
      </c>
      <c r="B294" s="10" t="s">
        <v>71</v>
      </c>
      <c r="C294" s="6" t="s">
        <v>125</v>
      </c>
      <c r="D294" s="6" t="s">
        <v>129</v>
      </c>
      <c r="E294" s="11">
        <v>4</v>
      </c>
      <c r="F294" s="6"/>
      <c r="G294" s="57"/>
      <c r="H294" s="6"/>
      <c r="I294" s="6"/>
      <c r="J294" s="6"/>
    </row>
    <row r="295" spans="1:10" ht="12.75" hidden="1" x14ac:dyDescent="0.2">
      <c r="A295" s="9" t="s">
        <v>70</v>
      </c>
      <c r="B295" s="10" t="s">
        <v>71</v>
      </c>
      <c r="C295" s="6" t="s">
        <v>125</v>
      </c>
      <c r="D295" s="6" t="s">
        <v>132</v>
      </c>
      <c r="E295" s="11">
        <v>3</v>
      </c>
      <c r="F295" s="6"/>
      <c r="G295" s="57"/>
      <c r="H295" s="6"/>
      <c r="I295" s="6"/>
      <c r="J295" s="6"/>
    </row>
    <row r="296" spans="1:10" ht="12.75" hidden="1" x14ac:dyDescent="0.2">
      <c r="A296" s="9" t="s">
        <v>70</v>
      </c>
      <c r="B296" s="10" t="s">
        <v>71</v>
      </c>
      <c r="C296" s="6" t="s">
        <v>125</v>
      </c>
      <c r="D296" s="6" t="s">
        <v>134</v>
      </c>
      <c r="E296" s="11">
        <v>2</v>
      </c>
      <c r="F296" s="6"/>
      <c r="G296" s="57"/>
      <c r="H296" s="6"/>
      <c r="I296" s="6"/>
      <c r="J296" s="6"/>
    </row>
    <row r="297" spans="1:10" ht="12.75" hidden="1" x14ac:dyDescent="0.2">
      <c r="A297" s="9" t="s">
        <v>70</v>
      </c>
      <c r="B297" s="10" t="s">
        <v>71</v>
      </c>
      <c r="C297" s="6" t="s">
        <v>125</v>
      </c>
      <c r="D297" s="6" t="s">
        <v>126</v>
      </c>
      <c r="E297" s="11">
        <v>121</v>
      </c>
      <c r="F297" s="6"/>
      <c r="G297" s="57"/>
      <c r="H297" s="6"/>
      <c r="I297" s="6"/>
      <c r="J297" s="6"/>
    </row>
    <row r="298" spans="1:10" ht="12.75" hidden="1" x14ac:dyDescent="0.2">
      <c r="A298" s="9" t="s">
        <v>70</v>
      </c>
      <c r="B298" s="10" t="s">
        <v>71</v>
      </c>
      <c r="C298" s="6" t="s">
        <v>125</v>
      </c>
      <c r="D298" s="6" t="s">
        <v>138</v>
      </c>
      <c r="E298" s="11">
        <v>3</v>
      </c>
      <c r="F298" s="6"/>
      <c r="G298" s="57"/>
      <c r="H298" s="6"/>
      <c r="I298" s="6"/>
      <c r="J298" s="6"/>
    </row>
    <row r="299" spans="1:10" ht="12.75" hidden="1" x14ac:dyDescent="0.2">
      <c r="A299" s="9" t="s">
        <v>70</v>
      </c>
      <c r="B299" s="10" t="s">
        <v>71</v>
      </c>
      <c r="C299" s="6" t="s">
        <v>125</v>
      </c>
      <c r="D299" s="6" t="s">
        <v>14</v>
      </c>
      <c r="E299" s="11">
        <v>8</v>
      </c>
      <c r="F299" s="11">
        <v>515</v>
      </c>
      <c r="G299" s="57"/>
      <c r="H299" s="6"/>
      <c r="I299" s="6"/>
      <c r="J299" s="6"/>
    </row>
    <row r="300" spans="1:10" ht="12.75" hidden="1" x14ac:dyDescent="0.2">
      <c r="A300" s="9">
        <v>40</v>
      </c>
      <c r="B300" s="10" t="s">
        <v>72</v>
      </c>
      <c r="C300" s="6" t="s">
        <v>125</v>
      </c>
      <c r="D300" s="6" t="s">
        <v>3</v>
      </c>
      <c r="E300" s="11">
        <v>799</v>
      </c>
      <c r="F300" s="6"/>
      <c r="G300" s="58">
        <v>2486</v>
      </c>
      <c r="H300" s="6"/>
      <c r="I300" s="6"/>
      <c r="J300" s="6"/>
    </row>
    <row r="301" spans="1:10" ht="12.75" hidden="1" x14ac:dyDescent="0.2">
      <c r="A301" s="9">
        <v>40</v>
      </c>
      <c r="B301" s="10" t="s">
        <v>72</v>
      </c>
      <c r="C301" s="6" t="s">
        <v>125</v>
      </c>
      <c r="D301" s="6" t="s">
        <v>16</v>
      </c>
      <c r="E301" s="11">
        <v>11</v>
      </c>
      <c r="F301" s="6"/>
      <c r="G301" s="57"/>
      <c r="H301" s="6"/>
      <c r="I301" s="6"/>
      <c r="J301" s="6"/>
    </row>
    <row r="302" spans="1:10" ht="12.75" hidden="1" x14ac:dyDescent="0.2">
      <c r="A302" s="9">
        <v>40</v>
      </c>
      <c r="B302" s="10" t="s">
        <v>72</v>
      </c>
      <c r="C302" s="6" t="s">
        <v>125</v>
      </c>
      <c r="D302" s="6" t="s">
        <v>129</v>
      </c>
      <c r="E302" s="11">
        <v>12</v>
      </c>
      <c r="F302" s="6"/>
      <c r="G302" s="57"/>
      <c r="H302" s="6"/>
      <c r="I302" s="6"/>
      <c r="J302" s="6"/>
    </row>
    <row r="303" spans="1:10" ht="12.75" hidden="1" x14ac:dyDescent="0.2">
      <c r="A303" s="9">
        <v>40</v>
      </c>
      <c r="B303" s="10" t="s">
        <v>72</v>
      </c>
      <c r="C303" s="6" t="s">
        <v>125</v>
      </c>
      <c r="D303" s="6" t="s">
        <v>132</v>
      </c>
      <c r="E303" s="11">
        <v>18</v>
      </c>
      <c r="F303" s="6"/>
      <c r="G303" s="57"/>
      <c r="H303" s="6"/>
      <c r="I303" s="6"/>
      <c r="J303" s="6"/>
    </row>
    <row r="304" spans="1:10" ht="12.75" hidden="1" x14ac:dyDescent="0.2">
      <c r="A304" s="9">
        <v>40</v>
      </c>
      <c r="B304" s="10" t="s">
        <v>72</v>
      </c>
      <c r="C304" s="6" t="s">
        <v>125</v>
      </c>
      <c r="D304" s="6" t="s">
        <v>134</v>
      </c>
      <c r="E304" s="11">
        <v>20</v>
      </c>
      <c r="F304" s="6"/>
      <c r="G304" s="57"/>
      <c r="H304" s="6"/>
      <c r="I304" s="6"/>
      <c r="J304" s="6"/>
    </row>
    <row r="305" spans="1:10" ht="12.75" hidden="1" x14ac:dyDescent="0.2">
      <c r="A305" s="9">
        <v>40</v>
      </c>
      <c r="B305" s="10" t="s">
        <v>72</v>
      </c>
      <c r="C305" s="6" t="s">
        <v>125</v>
      </c>
      <c r="D305" s="6" t="s">
        <v>126</v>
      </c>
      <c r="E305" s="11">
        <v>1073</v>
      </c>
      <c r="F305" s="6"/>
      <c r="G305" s="57"/>
      <c r="H305" s="6"/>
      <c r="I305" s="6"/>
      <c r="J305" s="6"/>
    </row>
    <row r="306" spans="1:10" ht="12.75" hidden="1" x14ac:dyDescent="0.2">
      <c r="A306" s="9">
        <v>40</v>
      </c>
      <c r="B306" s="10" t="s">
        <v>72</v>
      </c>
      <c r="C306" s="6" t="s">
        <v>125</v>
      </c>
      <c r="D306" s="6" t="s">
        <v>138</v>
      </c>
      <c r="E306" s="11">
        <v>27</v>
      </c>
      <c r="F306" s="6"/>
      <c r="G306" s="57"/>
      <c r="H306" s="6"/>
      <c r="I306" s="6"/>
      <c r="J306" s="6"/>
    </row>
    <row r="307" spans="1:10" ht="12.75" hidden="1" x14ac:dyDescent="0.2">
      <c r="A307" s="9">
        <v>40</v>
      </c>
      <c r="B307" s="10" t="s">
        <v>72</v>
      </c>
      <c r="C307" s="6" t="s">
        <v>125</v>
      </c>
      <c r="D307" s="6" t="s">
        <v>14</v>
      </c>
      <c r="E307" s="11">
        <v>21</v>
      </c>
      <c r="F307" s="11">
        <v>1981</v>
      </c>
      <c r="G307" s="57"/>
      <c r="H307" s="6"/>
      <c r="I307" s="6"/>
      <c r="J307" s="6"/>
    </row>
    <row r="308" spans="1:10" ht="12.75" hidden="1" x14ac:dyDescent="0.2">
      <c r="A308" s="9">
        <v>42</v>
      </c>
      <c r="B308" s="10" t="s">
        <v>73</v>
      </c>
      <c r="C308" s="6" t="s">
        <v>125</v>
      </c>
      <c r="D308" s="6" t="s">
        <v>3</v>
      </c>
      <c r="E308" s="11">
        <v>862</v>
      </c>
      <c r="F308" s="6"/>
      <c r="G308" s="58">
        <v>2494</v>
      </c>
      <c r="H308" s="6"/>
      <c r="I308" s="6"/>
      <c r="J308" s="6"/>
    </row>
    <row r="309" spans="1:10" ht="12.75" hidden="1" x14ac:dyDescent="0.2">
      <c r="A309" s="9">
        <v>42</v>
      </c>
      <c r="B309" s="10" t="s">
        <v>73</v>
      </c>
      <c r="C309" s="6" t="s">
        <v>125</v>
      </c>
      <c r="D309" s="6" t="s">
        <v>16</v>
      </c>
      <c r="E309" s="11">
        <v>11</v>
      </c>
      <c r="F309" s="6"/>
      <c r="G309" s="57"/>
      <c r="H309" s="6"/>
      <c r="I309" s="6"/>
      <c r="J309" s="6"/>
    </row>
    <row r="310" spans="1:10" ht="12.75" hidden="1" x14ac:dyDescent="0.2">
      <c r="A310" s="9">
        <v>42</v>
      </c>
      <c r="B310" s="10" t="s">
        <v>73</v>
      </c>
      <c r="C310" s="6" t="s">
        <v>125</v>
      </c>
      <c r="D310" s="6" t="s">
        <v>129</v>
      </c>
      <c r="E310" s="11">
        <v>17</v>
      </c>
      <c r="F310" s="6"/>
      <c r="G310" s="57"/>
      <c r="H310" s="6"/>
      <c r="I310" s="6"/>
      <c r="J310" s="6"/>
    </row>
    <row r="311" spans="1:10" ht="12.75" hidden="1" x14ac:dyDescent="0.2">
      <c r="A311" s="9">
        <v>42</v>
      </c>
      <c r="B311" s="10" t="s">
        <v>73</v>
      </c>
      <c r="C311" s="6" t="s">
        <v>125</v>
      </c>
      <c r="D311" s="6" t="s">
        <v>132</v>
      </c>
      <c r="E311" s="11">
        <v>14</v>
      </c>
      <c r="F311" s="6"/>
      <c r="G311" s="57"/>
      <c r="H311" s="6"/>
      <c r="I311" s="6"/>
      <c r="J311" s="6"/>
    </row>
    <row r="312" spans="1:10" ht="12.75" hidden="1" x14ac:dyDescent="0.2">
      <c r="A312" s="9">
        <v>42</v>
      </c>
      <c r="B312" s="10" t="s">
        <v>73</v>
      </c>
      <c r="C312" s="6" t="s">
        <v>125</v>
      </c>
      <c r="D312" s="6" t="s">
        <v>134</v>
      </c>
      <c r="E312" s="11">
        <v>31</v>
      </c>
      <c r="F312" s="6"/>
      <c r="G312" s="57"/>
      <c r="H312" s="6"/>
      <c r="I312" s="6"/>
      <c r="J312" s="6"/>
    </row>
    <row r="313" spans="1:10" ht="12.75" hidden="1" x14ac:dyDescent="0.2">
      <c r="A313" s="9">
        <v>42</v>
      </c>
      <c r="B313" s="10" t="s">
        <v>73</v>
      </c>
      <c r="C313" s="6" t="s">
        <v>125</v>
      </c>
      <c r="D313" s="6" t="s">
        <v>126</v>
      </c>
      <c r="E313" s="11">
        <v>972</v>
      </c>
      <c r="F313" s="6"/>
      <c r="G313" s="57"/>
      <c r="H313" s="6"/>
      <c r="I313" s="6"/>
      <c r="J313" s="6"/>
    </row>
    <row r="314" spans="1:10" ht="12.75" hidden="1" x14ac:dyDescent="0.2">
      <c r="A314" s="9">
        <v>42</v>
      </c>
      <c r="B314" s="10" t="s">
        <v>73</v>
      </c>
      <c r="C314" s="6" t="s">
        <v>125</v>
      </c>
      <c r="D314" s="6" t="s">
        <v>138</v>
      </c>
      <c r="E314" s="11">
        <v>28</v>
      </c>
      <c r="F314" s="6"/>
      <c r="G314" s="57"/>
      <c r="H314" s="6"/>
      <c r="I314" s="6"/>
      <c r="J314" s="6"/>
    </row>
    <row r="315" spans="1:10" ht="12.75" hidden="1" x14ac:dyDescent="0.2">
      <c r="A315" s="9">
        <v>42</v>
      </c>
      <c r="B315" s="10" t="s">
        <v>73</v>
      </c>
      <c r="C315" s="6" t="s">
        <v>125</v>
      </c>
      <c r="D315" s="6" t="s">
        <v>14</v>
      </c>
      <c r="E315" s="11">
        <v>13</v>
      </c>
      <c r="F315" s="11">
        <v>1948</v>
      </c>
      <c r="G315" s="57"/>
      <c r="H315" s="6"/>
      <c r="I315" s="6"/>
      <c r="J315" s="6"/>
    </row>
    <row r="316" spans="1:10" ht="12.75" hidden="1" x14ac:dyDescent="0.2">
      <c r="A316" s="9">
        <v>43</v>
      </c>
      <c r="B316" s="10" t="s">
        <v>74</v>
      </c>
      <c r="C316" s="6" t="s">
        <v>125</v>
      </c>
      <c r="D316" s="6" t="s">
        <v>3</v>
      </c>
      <c r="E316" s="11">
        <v>173</v>
      </c>
      <c r="F316" s="6"/>
      <c r="G316" s="58">
        <v>337</v>
      </c>
      <c r="H316" s="6"/>
      <c r="I316" s="6"/>
      <c r="J316" s="6"/>
    </row>
    <row r="317" spans="1:10" ht="12.75" hidden="1" x14ac:dyDescent="0.2">
      <c r="A317" s="9">
        <v>43</v>
      </c>
      <c r="B317" s="10" t="s">
        <v>74</v>
      </c>
      <c r="C317" s="6" t="s">
        <v>125</v>
      </c>
      <c r="D317" s="6" t="s">
        <v>16</v>
      </c>
      <c r="E317" s="11">
        <v>2</v>
      </c>
      <c r="F317" s="6"/>
      <c r="G317" s="57"/>
      <c r="H317" s="6"/>
      <c r="I317" s="6"/>
      <c r="J317" s="6"/>
    </row>
    <row r="318" spans="1:10" ht="12.75" hidden="1" x14ac:dyDescent="0.2">
      <c r="A318" s="9">
        <v>43</v>
      </c>
      <c r="B318" s="10" t="s">
        <v>74</v>
      </c>
      <c r="C318" s="6" t="s">
        <v>125</v>
      </c>
      <c r="D318" s="6" t="s">
        <v>129</v>
      </c>
      <c r="E318" s="11">
        <v>3</v>
      </c>
      <c r="F318" s="6"/>
      <c r="G318" s="57"/>
      <c r="H318" s="6"/>
      <c r="I318" s="6"/>
      <c r="J318" s="6"/>
    </row>
    <row r="319" spans="1:10" ht="12.75" hidden="1" x14ac:dyDescent="0.2">
      <c r="A319" s="9">
        <v>43</v>
      </c>
      <c r="B319" s="10" t="s">
        <v>74</v>
      </c>
      <c r="C319" s="6" t="s">
        <v>125</v>
      </c>
      <c r="D319" s="6" t="s">
        <v>132</v>
      </c>
      <c r="E319" s="11">
        <v>1</v>
      </c>
      <c r="F319" s="6"/>
      <c r="G319" s="57"/>
      <c r="H319" s="6"/>
      <c r="I319" s="6"/>
      <c r="J319" s="6"/>
    </row>
    <row r="320" spans="1:10" ht="12.75" hidden="1" x14ac:dyDescent="0.2">
      <c r="A320" s="9">
        <v>43</v>
      </c>
      <c r="B320" s="10" t="s">
        <v>74</v>
      </c>
      <c r="C320" s="6" t="s">
        <v>125</v>
      </c>
      <c r="D320" s="6" t="s">
        <v>134</v>
      </c>
      <c r="E320" s="11">
        <v>2</v>
      </c>
      <c r="F320" s="6"/>
      <c r="G320" s="57"/>
      <c r="H320" s="6"/>
      <c r="I320" s="6"/>
      <c r="J320" s="6"/>
    </row>
    <row r="321" spans="1:10" ht="12.75" hidden="1" x14ac:dyDescent="0.2">
      <c r="A321" s="9">
        <v>43</v>
      </c>
      <c r="B321" s="10" t="s">
        <v>74</v>
      </c>
      <c r="C321" s="6" t="s">
        <v>125</v>
      </c>
      <c r="D321" s="6" t="s">
        <v>126</v>
      </c>
      <c r="E321" s="11">
        <v>93</v>
      </c>
      <c r="F321" s="6"/>
      <c r="G321" s="57"/>
      <c r="H321" s="6"/>
      <c r="I321" s="6"/>
      <c r="J321" s="6"/>
    </row>
    <row r="322" spans="1:10" ht="12.75" hidden="1" x14ac:dyDescent="0.2">
      <c r="A322" s="9">
        <v>43</v>
      </c>
      <c r="B322" s="10" t="s">
        <v>74</v>
      </c>
      <c r="C322" s="6" t="s">
        <v>125</v>
      </c>
      <c r="D322" s="6" t="s">
        <v>138</v>
      </c>
      <c r="E322" s="11">
        <v>0</v>
      </c>
      <c r="F322" s="6"/>
      <c r="G322" s="57"/>
      <c r="H322" s="6"/>
      <c r="I322" s="6"/>
      <c r="J322" s="6"/>
    </row>
    <row r="323" spans="1:10" ht="12.75" hidden="1" x14ac:dyDescent="0.2">
      <c r="A323" s="9">
        <v>43</v>
      </c>
      <c r="B323" s="10" t="s">
        <v>74</v>
      </c>
      <c r="C323" s="6" t="s">
        <v>125</v>
      </c>
      <c r="D323" s="6" t="s">
        <v>14</v>
      </c>
      <c r="E323" s="11">
        <v>2</v>
      </c>
      <c r="F323" s="11">
        <v>276</v>
      </c>
      <c r="G323" s="57"/>
      <c r="H323" s="6"/>
      <c r="I323" s="6"/>
      <c r="J323" s="6"/>
    </row>
    <row r="324" spans="1:10" ht="12.75" hidden="1" x14ac:dyDescent="0.2">
      <c r="A324" s="9">
        <v>45</v>
      </c>
      <c r="B324" s="10" t="s">
        <v>75</v>
      </c>
      <c r="C324" s="6" t="s">
        <v>125</v>
      </c>
      <c r="D324" s="6" t="s">
        <v>3</v>
      </c>
      <c r="E324" s="11">
        <v>81</v>
      </c>
      <c r="F324" s="6"/>
      <c r="G324" s="58">
        <v>116</v>
      </c>
      <c r="H324" s="6"/>
      <c r="I324" s="6"/>
      <c r="J324" s="6"/>
    </row>
    <row r="325" spans="1:10" ht="12.75" hidden="1" x14ac:dyDescent="0.2">
      <c r="A325" s="9">
        <v>45</v>
      </c>
      <c r="B325" s="10" t="s">
        <v>75</v>
      </c>
      <c r="C325" s="6" t="s">
        <v>125</v>
      </c>
      <c r="D325" s="6" t="s">
        <v>16</v>
      </c>
      <c r="E325" s="11">
        <v>0</v>
      </c>
      <c r="F325" s="6"/>
      <c r="G325" s="57"/>
      <c r="H325" s="6"/>
      <c r="I325" s="6"/>
      <c r="J325" s="6"/>
    </row>
    <row r="326" spans="1:10" ht="12.75" hidden="1" x14ac:dyDescent="0.2">
      <c r="A326" s="9">
        <v>45</v>
      </c>
      <c r="B326" s="10" t="s">
        <v>75</v>
      </c>
      <c r="C326" s="6" t="s">
        <v>125</v>
      </c>
      <c r="D326" s="6" t="s">
        <v>129</v>
      </c>
      <c r="E326" s="11">
        <v>0</v>
      </c>
      <c r="F326" s="6"/>
      <c r="G326" s="57"/>
      <c r="H326" s="6"/>
      <c r="I326" s="6"/>
      <c r="J326" s="6"/>
    </row>
    <row r="327" spans="1:10" ht="12.75" hidden="1" x14ac:dyDescent="0.2">
      <c r="A327" s="9">
        <v>45</v>
      </c>
      <c r="B327" s="10" t="s">
        <v>75</v>
      </c>
      <c r="C327" s="6" t="s">
        <v>125</v>
      </c>
      <c r="D327" s="6" t="s">
        <v>132</v>
      </c>
      <c r="E327" s="11">
        <v>1</v>
      </c>
      <c r="F327" s="6"/>
      <c r="G327" s="57"/>
      <c r="H327" s="6"/>
      <c r="I327" s="6"/>
      <c r="J327" s="6"/>
    </row>
    <row r="328" spans="1:10" ht="12.75" hidden="1" x14ac:dyDescent="0.2">
      <c r="A328" s="9">
        <v>45</v>
      </c>
      <c r="B328" s="10" t="s">
        <v>75</v>
      </c>
      <c r="C328" s="6" t="s">
        <v>125</v>
      </c>
      <c r="D328" s="6" t="s">
        <v>134</v>
      </c>
      <c r="E328" s="11">
        <v>0</v>
      </c>
      <c r="F328" s="6"/>
      <c r="G328" s="57"/>
      <c r="H328" s="6"/>
      <c r="I328" s="6"/>
      <c r="J328" s="6"/>
    </row>
    <row r="329" spans="1:10" ht="12.75" hidden="1" x14ac:dyDescent="0.2">
      <c r="A329" s="9">
        <v>45</v>
      </c>
      <c r="B329" s="10" t="s">
        <v>75</v>
      </c>
      <c r="C329" s="6" t="s">
        <v>125</v>
      </c>
      <c r="D329" s="6" t="s">
        <v>126</v>
      </c>
      <c r="E329" s="11">
        <v>18</v>
      </c>
      <c r="F329" s="6"/>
      <c r="G329" s="57"/>
      <c r="H329" s="6"/>
      <c r="I329" s="6"/>
      <c r="J329" s="6"/>
    </row>
    <row r="330" spans="1:10" ht="12.75" hidden="1" x14ac:dyDescent="0.2">
      <c r="A330" s="9">
        <v>45</v>
      </c>
      <c r="B330" s="10" t="s">
        <v>75</v>
      </c>
      <c r="C330" s="6" t="s">
        <v>125</v>
      </c>
      <c r="D330" s="6" t="s">
        <v>138</v>
      </c>
      <c r="E330" s="11">
        <v>1</v>
      </c>
      <c r="F330" s="6"/>
      <c r="G330" s="57"/>
      <c r="H330" s="6"/>
      <c r="I330" s="6"/>
      <c r="J330" s="6"/>
    </row>
    <row r="331" spans="1:10" ht="12.75" hidden="1" x14ac:dyDescent="0.2">
      <c r="A331" s="9">
        <v>45</v>
      </c>
      <c r="B331" s="10" t="s">
        <v>75</v>
      </c>
      <c r="C331" s="6" t="s">
        <v>125</v>
      </c>
      <c r="D331" s="6" t="s">
        <v>14</v>
      </c>
      <c r="E331" s="11">
        <v>0</v>
      </c>
      <c r="F331" s="11">
        <v>101</v>
      </c>
      <c r="G331" s="57"/>
      <c r="H331" s="6"/>
      <c r="I331" s="6"/>
      <c r="J331" s="6"/>
    </row>
    <row r="332" spans="1:10" ht="12.75" hidden="1" x14ac:dyDescent="0.2">
      <c r="A332" s="9">
        <v>46</v>
      </c>
      <c r="B332" s="10" t="s">
        <v>76</v>
      </c>
      <c r="C332" s="6" t="s">
        <v>125</v>
      </c>
      <c r="D332" s="6" t="s">
        <v>3</v>
      </c>
      <c r="E332" s="11">
        <v>301</v>
      </c>
      <c r="F332" s="6"/>
      <c r="G332" s="58">
        <v>648</v>
      </c>
      <c r="H332" s="6"/>
      <c r="I332" s="6"/>
      <c r="J332" s="6"/>
    </row>
    <row r="333" spans="1:10" ht="12.75" hidden="1" x14ac:dyDescent="0.2">
      <c r="A333" s="9">
        <v>46</v>
      </c>
      <c r="B333" s="10" t="s">
        <v>76</v>
      </c>
      <c r="C333" s="6" t="s">
        <v>125</v>
      </c>
      <c r="D333" s="6" t="s">
        <v>16</v>
      </c>
      <c r="E333" s="11">
        <v>5</v>
      </c>
      <c r="F333" s="6"/>
      <c r="G333" s="57"/>
      <c r="H333" s="6"/>
      <c r="I333" s="6"/>
      <c r="J333" s="6"/>
    </row>
    <row r="334" spans="1:10" ht="12.75" hidden="1" x14ac:dyDescent="0.2">
      <c r="A334" s="9">
        <v>46</v>
      </c>
      <c r="B334" s="10" t="s">
        <v>76</v>
      </c>
      <c r="C334" s="6" t="s">
        <v>125</v>
      </c>
      <c r="D334" s="6" t="s">
        <v>129</v>
      </c>
      <c r="E334" s="11">
        <v>4</v>
      </c>
      <c r="F334" s="6"/>
      <c r="G334" s="57"/>
      <c r="H334" s="6"/>
      <c r="I334" s="6"/>
      <c r="J334" s="6"/>
    </row>
    <row r="335" spans="1:10" ht="12.75" hidden="1" x14ac:dyDescent="0.2">
      <c r="A335" s="9">
        <v>46</v>
      </c>
      <c r="B335" s="10" t="s">
        <v>76</v>
      </c>
      <c r="C335" s="6" t="s">
        <v>125</v>
      </c>
      <c r="D335" s="6" t="s">
        <v>132</v>
      </c>
      <c r="E335" s="11">
        <v>3</v>
      </c>
      <c r="F335" s="6"/>
      <c r="G335" s="57"/>
      <c r="H335" s="6"/>
      <c r="I335" s="6"/>
      <c r="J335" s="6"/>
    </row>
    <row r="336" spans="1:10" ht="12.75" hidden="1" x14ac:dyDescent="0.2">
      <c r="A336" s="9">
        <v>46</v>
      </c>
      <c r="B336" s="10" t="s">
        <v>76</v>
      </c>
      <c r="C336" s="6" t="s">
        <v>125</v>
      </c>
      <c r="D336" s="6" t="s">
        <v>134</v>
      </c>
      <c r="E336" s="11">
        <v>5</v>
      </c>
      <c r="F336" s="6"/>
      <c r="G336" s="57"/>
      <c r="H336" s="6"/>
      <c r="I336" s="6"/>
      <c r="J336" s="6"/>
    </row>
    <row r="337" spans="1:10" ht="12.75" hidden="1" x14ac:dyDescent="0.2">
      <c r="A337" s="9">
        <v>46</v>
      </c>
      <c r="B337" s="10" t="s">
        <v>76</v>
      </c>
      <c r="C337" s="6" t="s">
        <v>125</v>
      </c>
      <c r="D337" s="6" t="s">
        <v>126</v>
      </c>
      <c r="E337" s="11">
        <v>224</v>
      </c>
      <c r="F337" s="6"/>
      <c r="G337" s="57"/>
      <c r="H337" s="6"/>
      <c r="I337" s="6"/>
      <c r="J337" s="6"/>
    </row>
    <row r="338" spans="1:10" ht="12.75" hidden="1" x14ac:dyDescent="0.2">
      <c r="A338" s="9">
        <v>46</v>
      </c>
      <c r="B338" s="10" t="s">
        <v>76</v>
      </c>
      <c r="C338" s="6" t="s">
        <v>125</v>
      </c>
      <c r="D338" s="6" t="s">
        <v>138</v>
      </c>
      <c r="E338" s="11">
        <v>5</v>
      </c>
      <c r="F338" s="6"/>
      <c r="G338" s="57"/>
      <c r="H338" s="6"/>
      <c r="I338" s="6"/>
      <c r="J338" s="6"/>
    </row>
    <row r="339" spans="1:10" ht="12.75" hidden="1" x14ac:dyDescent="0.2">
      <c r="A339" s="9">
        <v>46</v>
      </c>
      <c r="B339" s="10" t="s">
        <v>76</v>
      </c>
      <c r="C339" s="6" t="s">
        <v>125</v>
      </c>
      <c r="D339" s="6" t="s">
        <v>14</v>
      </c>
      <c r="E339" s="11">
        <v>6</v>
      </c>
      <c r="F339" s="11">
        <v>553</v>
      </c>
      <c r="G339" s="57"/>
      <c r="H339" s="6"/>
      <c r="I339" s="6"/>
      <c r="J339" s="6"/>
    </row>
    <row r="340" spans="1:10" ht="12.75" hidden="1" x14ac:dyDescent="0.2">
      <c r="A340" s="9">
        <v>47</v>
      </c>
      <c r="B340" s="10" t="s">
        <v>77</v>
      </c>
      <c r="C340" s="6" t="s">
        <v>125</v>
      </c>
      <c r="D340" s="6" t="s">
        <v>3</v>
      </c>
      <c r="E340" s="11">
        <v>551</v>
      </c>
      <c r="F340" s="6"/>
      <c r="G340" s="58">
        <v>1222</v>
      </c>
      <c r="H340" s="6"/>
      <c r="I340" s="6"/>
      <c r="J340" s="6"/>
    </row>
    <row r="341" spans="1:10" ht="12.75" hidden="1" x14ac:dyDescent="0.2">
      <c r="A341" s="9">
        <v>47</v>
      </c>
      <c r="B341" s="10" t="s">
        <v>77</v>
      </c>
      <c r="C341" s="6" t="s">
        <v>125</v>
      </c>
      <c r="D341" s="6" t="s">
        <v>16</v>
      </c>
      <c r="E341" s="11">
        <v>8</v>
      </c>
      <c r="F341" s="6"/>
      <c r="G341" s="57"/>
      <c r="H341" s="6"/>
      <c r="I341" s="6"/>
      <c r="J341" s="6"/>
    </row>
    <row r="342" spans="1:10" ht="12.75" hidden="1" x14ac:dyDescent="0.2">
      <c r="A342" s="9">
        <v>47</v>
      </c>
      <c r="B342" s="10" t="s">
        <v>77</v>
      </c>
      <c r="C342" s="6" t="s">
        <v>125</v>
      </c>
      <c r="D342" s="6" t="s">
        <v>129</v>
      </c>
      <c r="E342" s="11">
        <v>7</v>
      </c>
      <c r="F342" s="6"/>
      <c r="G342" s="57"/>
      <c r="H342" s="6"/>
      <c r="I342" s="6"/>
      <c r="J342" s="6"/>
    </row>
    <row r="343" spans="1:10" ht="12.75" hidden="1" x14ac:dyDescent="0.2">
      <c r="A343" s="9">
        <v>47</v>
      </c>
      <c r="B343" s="10" t="s">
        <v>77</v>
      </c>
      <c r="C343" s="6" t="s">
        <v>125</v>
      </c>
      <c r="D343" s="6" t="s">
        <v>132</v>
      </c>
      <c r="E343" s="11">
        <v>5</v>
      </c>
      <c r="F343" s="6"/>
      <c r="G343" s="57"/>
      <c r="H343" s="6"/>
      <c r="I343" s="6"/>
      <c r="J343" s="6"/>
    </row>
    <row r="344" spans="1:10" ht="12.75" hidden="1" x14ac:dyDescent="0.2">
      <c r="A344" s="9">
        <v>47</v>
      </c>
      <c r="B344" s="10" t="s">
        <v>77</v>
      </c>
      <c r="C344" s="6" t="s">
        <v>125</v>
      </c>
      <c r="D344" s="6" t="s">
        <v>134</v>
      </c>
      <c r="E344" s="11">
        <v>7</v>
      </c>
      <c r="F344" s="6"/>
      <c r="G344" s="57"/>
      <c r="H344" s="6"/>
      <c r="I344" s="6"/>
      <c r="J344" s="6"/>
    </row>
    <row r="345" spans="1:10" ht="12.75" hidden="1" x14ac:dyDescent="0.2">
      <c r="A345" s="9">
        <v>47</v>
      </c>
      <c r="B345" s="10" t="s">
        <v>77</v>
      </c>
      <c r="C345" s="6" t="s">
        <v>125</v>
      </c>
      <c r="D345" s="6" t="s">
        <v>126</v>
      </c>
      <c r="E345" s="11">
        <v>379</v>
      </c>
      <c r="F345" s="6"/>
      <c r="G345" s="57"/>
      <c r="H345" s="6"/>
      <c r="I345" s="6"/>
      <c r="J345" s="6"/>
    </row>
    <row r="346" spans="1:10" ht="12.75" hidden="1" x14ac:dyDescent="0.2">
      <c r="A346" s="9">
        <v>47</v>
      </c>
      <c r="B346" s="10" t="s">
        <v>77</v>
      </c>
      <c r="C346" s="6" t="s">
        <v>125</v>
      </c>
      <c r="D346" s="6" t="s">
        <v>138</v>
      </c>
      <c r="E346" s="11">
        <v>14</v>
      </c>
      <c r="F346" s="6"/>
      <c r="G346" s="57"/>
      <c r="H346" s="6"/>
      <c r="I346" s="6"/>
      <c r="J346" s="6"/>
    </row>
    <row r="347" spans="1:10" ht="12.75" hidden="1" x14ac:dyDescent="0.2">
      <c r="A347" s="9">
        <v>47</v>
      </c>
      <c r="B347" s="10" t="s">
        <v>77</v>
      </c>
      <c r="C347" s="6" t="s">
        <v>125</v>
      </c>
      <c r="D347" s="6" t="s">
        <v>14</v>
      </c>
      <c r="E347" s="11">
        <v>36</v>
      </c>
      <c r="F347" s="11">
        <v>1007</v>
      </c>
      <c r="G347" s="57"/>
      <c r="H347" s="6"/>
      <c r="I347" s="6"/>
      <c r="J347" s="6"/>
    </row>
    <row r="348" spans="1:10" ht="12.75" hidden="1" x14ac:dyDescent="0.2">
      <c r="A348" s="9">
        <v>48</v>
      </c>
      <c r="B348" s="10" t="s">
        <v>78</v>
      </c>
      <c r="C348" s="6" t="s">
        <v>125</v>
      </c>
      <c r="D348" s="6" t="s">
        <v>3</v>
      </c>
      <c r="E348" s="11">
        <v>2061</v>
      </c>
      <c r="F348" s="6"/>
      <c r="G348" s="58">
        <v>5433</v>
      </c>
      <c r="H348" s="6"/>
      <c r="I348" s="6"/>
      <c r="J348" s="6"/>
    </row>
    <row r="349" spans="1:10" ht="12.75" hidden="1" x14ac:dyDescent="0.2">
      <c r="A349" s="9">
        <v>48</v>
      </c>
      <c r="B349" s="10" t="s">
        <v>78</v>
      </c>
      <c r="C349" s="6" t="s">
        <v>125</v>
      </c>
      <c r="D349" s="6" t="s">
        <v>16</v>
      </c>
      <c r="E349" s="11">
        <v>30</v>
      </c>
      <c r="F349" s="6"/>
      <c r="G349" s="57"/>
      <c r="H349" s="6"/>
      <c r="I349" s="6"/>
      <c r="J349" s="6"/>
    </row>
    <row r="350" spans="1:10" ht="12.75" hidden="1" x14ac:dyDescent="0.2">
      <c r="A350" s="9">
        <v>48</v>
      </c>
      <c r="B350" s="10" t="s">
        <v>78</v>
      </c>
      <c r="C350" s="6" t="s">
        <v>125</v>
      </c>
      <c r="D350" s="6" t="s">
        <v>129</v>
      </c>
      <c r="E350" s="11">
        <v>42</v>
      </c>
      <c r="F350" s="6"/>
      <c r="G350" s="57"/>
      <c r="H350" s="6"/>
      <c r="I350" s="6"/>
      <c r="J350" s="6"/>
    </row>
    <row r="351" spans="1:10" ht="12.75" hidden="1" x14ac:dyDescent="0.2">
      <c r="A351" s="9">
        <v>48</v>
      </c>
      <c r="B351" s="10" t="s">
        <v>78</v>
      </c>
      <c r="C351" s="6" t="s">
        <v>125</v>
      </c>
      <c r="D351" s="6" t="s">
        <v>132</v>
      </c>
      <c r="E351" s="11">
        <v>87</v>
      </c>
      <c r="F351" s="6"/>
      <c r="G351" s="57"/>
      <c r="H351" s="6"/>
      <c r="I351" s="6"/>
      <c r="J351" s="6"/>
    </row>
    <row r="352" spans="1:10" ht="12.75" hidden="1" x14ac:dyDescent="0.2">
      <c r="A352" s="9">
        <v>48</v>
      </c>
      <c r="B352" s="10" t="s">
        <v>78</v>
      </c>
      <c r="C352" s="6" t="s">
        <v>125</v>
      </c>
      <c r="D352" s="6" t="s">
        <v>134</v>
      </c>
      <c r="E352" s="11">
        <v>47</v>
      </c>
      <c r="F352" s="6"/>
      <c r="G352" s="57"/>
      <c r="H352" s="6"/>
      <c r="I352" s="6"/>
      <c r="J352" s="6"/>
    </row>
    <row r="353" spans="1:10" ht="12.75" hidden="1" x14ac:dyDescent="0.2">
      <c r="A353" s="9">
        <v>48</v>
      </c>
      <c r="B353" s="10" t="s">
        <v>78</v>
      </c>
      <c r="C353" s="6" t="s">
        <v>125</v>
      </c>
      <c r="D353" s="6" t="s">
        <v>126</v>
      </c>
      <c r="E353" s="11">
        <v>1844</v>
      </c>
      <c r="F353" s="6"/>
      <c r="G353" s="57"/>
      <c r="H353" s="6"/>
      <c r="I353" s="6"/>
      <c r="J353" s="6"/>
    </row>
    <row r="354" spans="1:10" ht="12.75" hidden="1" x14ac:dyDescent="0.2">
      <c r="A354" s="9">
        <v>48</v>
      </c>
      <c r="B354" s="10" t="s">
        <v>78</v>
      </c>
      <c r="C354" s="6" t="s">
        <v>125</v>
      </c>
      <c r="D354" s="6" t="s">
        <v>138</v>
      </c>
      <c r="E354" s="11">
        <v>91</v>
      </c>
      <c r="F354" s="6"/>
      <c r="G354" s="57"/>
      <c r="H354" s="6"/>
      <c r="I354" s="6"/>
      <c r="J354" s="6"/>
    </row>
    <row r="355" spans="1:10" ht="12.75" hidden="1" x14ac:dyDescent="0.2">
      <c r="A355" s="9">
        <v>48</v>
      </c>
      <c r="B355" s="10" t="s">
        <v>78</v>
      </c>
      <c r="C355" s="6" t="s">
        <v>125</v>
      </c>
      <c r="D355" s="6" t="s">
        <v>14</v>
      </c>
      <c r="E355" s="11">
        <v>39</v>
      </c>
      <c r="F355" s="11">
        <v>4241</v>
      </c>
      <c r="G355" s="57"/>
      <c r="H355" s="6"/>
      <c r="I355" s="6"/>
      <c r="J355" s="6"/>
    </row>
    <row r="356" spans="1:10" ht="12.75" hidden="1" x14ac:dyDescent="0.2">
      <c r="A356" s="9">
        <v>49</v>
      </c>
      <c r="B356" s="10" t="s">
        <v>79</v>
      </c>
      <c r="C356" s="6" t="s">
        <v>125</v>
      </c>
      <c r="D356" s="6" t="s">
        <v>3</v>
      </c>
      <c r="E356" s="11">
        <v>97</v>
      </c>
      <c r="F356" s="6"/>
      <c r="G356" s="58">
        <v>240</v>
      </c>
      <c r="H356" s="6"/>
      <c r="I356" s="6"/>
      <c r="J356" s="6"/>
    </row>
    <row r="357" spans="1:10" ht="12.75" hidden="1" x14ac:dyDescent="0.2">
      <c r="A357" s="9">
        <v>49</v>
      </c>
      <c r="B357" s="10" t="s">
        <v>79</v>
      </c>
      <c r="C357" s="6" t="s">
        <v>125</v>
      </c>
      <c r="D357" s="6" t="s">
        <v>16</v>
      </c>
      <c r="E357" s="11">
        <v>2</v>
      </c>
      <c r="F357" s="6"/>
      <c r="G357" s="57"/>
      <c r="H357" s="6"/>
      <c r="I357" s="6"/>
      <c r="J357" s="6"/>
    </row>
    <row r="358" spans="1:10" ht="12.75" hidden="1" x14ac:dyDescent="0.2">
      <c r="A358" s="9">
        <v>49</v>
      </c>
      <c r="B358" s="10" t="s">
        <v>79</v>
      </c>
      <c r="C358" s="6" t="s">
        <v>125</v>
      </c>
      <c r="D358" s="6" t="s">
        <v>129</v>
      </c>
      <c r="E358" s="11">
        <v>2</v>
      </c>
      <c r="F358" s="6"/>
      <c r="G358" s="57"/>
      <c r="H358" s="6"/>
      <c r="I358" s="6"/>
      <c r="J358" s="6"/>
    </row>
    <row r="359" spans="1:10" ht="12.75" hidden="1" x14ac:dyDescent="0.2">
      <c r="A359" s="9">
        <v>49</v>
      </c>
      <c r="B359" s="10" t="s">
        <v>79</v>
      </c>
      <c r="C359" s="6" t="s">
        <v>125</v>
      </c>
      <c r="D359" s="6" t="s">
        <v>132</v>
      </c>
      <c r="E359" s="11">
        <v>1</v>
      </c>
      <c r="F359" s="6"/>
      <c r="G359" s="57"/>
      <c r="H359" s="6"/>
      <c r="I359" s="6"/>
      <c r="J359" s="6"/>
    </row>
    <row r="360" spans="1:10" ht="12.75" hidden="1" x14ac:dyDescent="0.2">
      <c r="A360" s="9">
        <v>49</v>
      </c>
      <c r="B360" s="10" t="s">
        <v>79</v>
      </c>
      <c r="C360" s="6" t="s">
        <v>125</v>
      </c>
      <c r="D360" s="6" t="s">
        <v>134</v>
      </c>
      <c r="E360" s="11">
        <v>4</v>
      </c>
      <c r="F360" s="6"/>
      <c r="G360" s="57"/>
      <c r="H360" s="6"/>
      <c r="I360" s="6"/>
      <c r="J360" s="6"/>
    </row>
    <row r="361" spans="1:10" ht="12.75" hidden="1" x14ac:dyDescent="0.2">
      <c r="A361" s="9">
        <v>49</v>
      </c>
      <c r="B361" s="10" t="s">
        <v>79</v>
      </c>
      <c r="C361" s="6" t="s">
        <v>125</v>
      </c>
      <c r="D361" s="6" t="s">
        <v>126</v>
      </c>
      <c r="E361" s="11">
        <v>56</v>
      </c>
      <c r="F361" s="6"/>
      <c r="G361" s="57"/>
      <c r="H361" s="6"/>
      <c r="I361" s="6"/>
      <c r="J361" s="6"/>
    </row>
    <row r="362" spans="1:10" ht="12.75" hidden="1" x14ac:dyDescent="0.2">
      <c r="A362" s="9">
        <v>49</v>
      </c>
      <c r="B362" s="10" t="s">
        <v>79</v>
      </c>
      <c r="C362" s="6" t="s">
        <v>125</v>
      </c>
      <c r="D362" s="6" t="s">
        <v>138</v>
      </c>
      <c r="E362" s="11">
        <v>3</v>
      </c>
      <c r="F362" s="6"/>
      <c r="G362" s="57"/>
      <c r="H362" s="6"/>
      <c r="I362" s="6"/>
      <c r="J362" s="6"/>
    </row>
    <row r="363" spans="1:10" ht="12.75" hidden="1" x14ac:dyDescent="0.2">
      <c r="A363" s="9">
        <v>49</v>
      </c>
      <c r="B363" s="10" t="s">
        <v>79</v>
      </c>
      <c r="C363" s="6" t="s">
        <v>125</v>
      </c>
      <c r="D363" s="6" t="s">
        <v>14</v>
      </c>
      <c r="E363" s="11">
        <v>0</v>
      </c>
      <c r="F363" s="11">
        <v>165</v>
      </c>
      <c r="G363" s="57"/>
      <c r="H363" s="6"/>
      <c r="I363" s="6"/>
      <c r="J363" s="6"/>
    </row>
    <row r="364" spans="1:10" ht="12.75" hidden="1" x14ac:dyDescent="0.2">
      <c r="A364" s="9">
        <v>53</v>
      </c>
      <c r="B364" s="10" t="s">
        <v>80</v>
      </c>
      <c r="C364" s="6" t="s">
        <v>125</v>
      </c>
      <c r="D364" s="6" t="s">
        <v>3</v>
      </c>
      <c r="E364" s="11">
        <v>103</v>
      </c>
      <c r="F364" s="6"/>
      <c r="G364" s="58">
        <v>231</v>
      </c>
      <c r="H364" s="6"/>
      <c r="I364" s="6"/>
      <c r="J364" s="6"/>
    </row>
    <row r="365" spans="1:10" ht="12.75" hidden="1" x14ac:dyDescent="0.2">
      <c r="A365" s="9">
        <v>53</v>
      </c>
      <c r="B365" s="10" t="s">
        <v>80</v>
      </c>
      <c r="C365" s="6" t="s">
        <v>125</v>
      </c>
      <c r="D365" s="6" t="s">
        <v>16</v>
      </c>
      <c r="E365" s="11">
        <v>0</v>
      </c>
      <c r="F365" s="6"/>
      <c r="G365" s="57"/>
      <c r="H365" s="6"/>
      <c r="I365" s="6"/>
      <c r="J365" s="6"/>
    </row>
    <row r="366" spans="1:10" ht="12.75" hidden="1" x14ac:dyDescent="0.2">
      <c r="A366" s="9">
        <v>53</v>
      </c>
      <c r="B366" s="10" t="s">
        <v>80</v>
      </c>
      <c r="C366" s="6" t="s">
        <v>125</v>
      </c>
      <c r="D366" s="6" t="s">
        <v>129</v>
      </c>
      <c r="E366" s="11">
        <v>3</v>
      </c>
      <c r="F366" s="6"/>
      <c r="G366" s="57"/>
      <c r="H366" s="6"/>
      <c r="I366" s="6"/>
      <c r="J366" s="6"/>
    </row>
    <row r="367" spans="1:10" ht="12.75" hidden="1" x14ac:dyDescent="0.2">
      <c r="A367" s="9">
        <v>53</v>
      </c>
      <c r="B367" s="10" t="s">
        <v>80</v>
      </c>
      <c r="C367" s="6" t="s">
        <v>125</v>
      </c>
      <c r="D367" s="6" t="s">
        <v>132</v>
      </c>
      <c r="E367" s="11">
        <v>2</v>
      </c>
      <c r="F367" s="6"/>
      <c r="G367" s="57"/>
      <c r="H367" s="6"/>
      <c r="I367" s="6"/>
      <c r="J367" s="6"/>
    </row>
    <row r="368" spans="1:10" ht="12.75" hidden="1" x14ac:dyDescent="0.2">
      <c r="A368" s="9">
        <v>53</v>
      </c>
      <c r="B368" s="10" t="s">
        <v>80</v>
      </c>
      <c r="C368" s="6" t="s">
        <v>125</v>
      </c>
      <c r="D368" s="6" t="s">
        <v>134</v>
      </c>
      <c r="E368" s="11">
        <v>4</v>
      </c>
      <c r="F368" s="6"/>
      <c r="G368" s="57"/>
      <c r="H368" s="6"/>
      <c r="I368" s="6"/>
      <c r="J368" s="6"/>
    </row>
    <row r="369" spans="1:10" ht="12.75" hidden="1" x14ac:dyDescent="0.2">
      <c r="A369" s="9">
        <v>53</v>
      </c>
      <c r="B369" s="10" t="s">
        <v>80</v>
      </c>
      <c r="C369" s="6" t="s">
        <v>125</v>
      </c>
      <c r="D369" s="6" t="s">
        <v>126</v>
      </c>
      <c r="E369" s="11">
        <v>82</v>
      </c>
      <c r="F369" s="6"/>
      <c r="G369" s="57"/>
      <c r="H369" s="6"/>
      <c r="I369" s="6"/>
      <c r="J369" s="6"/>
    </row>
    <row r="370" spans="1:10" ht="12.75" hidden="1" x14ac:dyDescent="0.2">
      <c r="A370" s="9">
        <v>53</v>
      </c>
      <c r="B370" s="10" t="s">
        <v>80</v>
      </c>
      <c r="C370" s="6" t="s">
        <v>125</v>
      </c>
      <c r="D370" s="6" t="s">
        <v>138</v>
      </c>
      <c r="E370" s="11">
        <v>1</v>
      </c>
      <c r="F370" s="6"/>
      <c r="G370" s="57"/>
      <c r="H370" s="6"/>
      <c r="I370" s="6"/>
      <c r="J370" s="6"/>
    </row>
    <row r="371" spans="1:10" ht="12.75" hidden="1" x14ac:dyDescent="0.2">
      <c r="A371" s="9">
        <v>53</v>
      </c>
      <c r="B371" s="10" t="s">
        <v>80</v>
      </c>
      <c r="C371" s="6" t="s">
        <v>125</v>
      </c>
      <c r="D371" s="6" t="s">
        <v>14</v>
      </c>
      <c r="E371" s="11">
        <v>5</v>
      </c>
      <c r="F371" s="11">
        <v>200</v>
      </c>
      <c r="G371" s="57"/>
      <c r="H371" s="6"/>
      <c r="I371" s="6"/>
      <c r="J371" s="6"/>
    </row>
    <row r="372" spans="1:10" ht="12.75" hidden="1" x14ac:dyDescent="0.2">
      <c r="A372" s="9">
        <v>54</v>
      </c>
      <c r="B372" s="10" t="s">
        <v>81</v>
      </c>
      <c r="C372" s="6" t="s">
        <v>125</v>
      </c>
      <c r="D372" s="6" t="s">
        <v>3</v>
      </c>
      <c r="E372" s="11">
        <v>64</v>
      </c>
      <c r="F372" s="6"/>
      <c r="G372" s="58">
        <v>160</v>
      </c>
      <c r="H372" s="6"/>
      <c r="I372" s="6"/>
      <c r="J372" s="6"/>
    </row>
    <row r="373" spans="1:10" ht="12.75" hidden="1" x14ac:dyDescent="0.2">
      <c r="A373" s="9">
        <v>54</v>
      </c>
      <c r="B373" s="10" t="s">
        <v>81</v>
      </c>
      <c r="C373" s="6" t="s">
        <v>125</v>
      </c>
      <c r="D373" s="6" t="s">
        <v>16</v>
      </c>
      <c r="E373" s="11">
        <v>0</v>
      </c>
      <c r="F373" s="6"/>
      <c r="G373" s="57"/>
      <c r="H373" s="6"/>
      <c r="I373" s="6"/>
      <c r="J373" s="6"/>
    </row>
    <row r="374" spans="1:10" ht="12.75" hidden="1" x14ac:dyDescent="0.2">
      <c r="A374" s="9">
        <v>54</v>
      </c>
      <c r="B374" s="10" t="s">
        <v>81</v>
      </c>
      <c r="C374" s="6" t="s">
        <v>125</v>
      </c>
      <c r="D374" s="6" t="s">
        <v>129</v>
      </c>
      <c r="E374" s="11">
        <v>0</v>
      </c>
      <c r="F374" s="6"/>
      <c r="G374" s="57"/>
      <c r="H374" s="6"/>
      <c r="I374" s="6"/>
      <c r="J374" s="6"/>
    </row>
    <row r="375" spans="1:10" ht="12.75" hidden="1" x14ac:dyDescent="0.2">
      <c r="A375" s="9">
        <v>54</v>
      </c>
      <c r="B375" s="10" t="s">
        <v>81</v>
      </c>
      <c r="C375" s="6" t="s">
        <v>125</v>
      </c>
      <c r="D375" s="6" t="s">
        <v>132</v>
      </c>
      <c r="E375" s="11">
        <v>2</v>
      </c>
      <c r="F375" s="6"/>
      <c r="G375" s="57"/>
      <c r="H375" s="6"/>
      <c r="I375" s="6"/>
      <c r="J375" s="6"/>
    </row>
    <row r="376" spans="1:10" ht="12.75" hidden="1" x14ac:dyDescent="0.2">
      <c r="A376" s="9">
        <v>54</v>
      </c>
      <c r="B376" s="10" t="s">
        <v>81</v>
      </c>
      <c r="C376" s="6" t="s">
        <v>125</v>
      </c>
      <c r="D376" s="6" t="s">
        <v>134</v>
      </c>
      <c r="E376" s="11">
        <v>2</v>
      </c>
      <c r="F376" s="6"/>
      <c r="G376" s="57"/>
      <c r="H376" s="6"/>
      <c r="I376" s="6"/>
      <c r="J376" s="6"/>
    </row>
    <row r="377" spans="1:10" ht="12.75" hidden="1" x14ac:dyDescent="0.2">
      <c r="A377" s="9">
        <v>54</v>
      </c>
      <c r="B377" s="10" t="s">
        <v>81</v>
      </c>
      <c r="C377" s="6" t="s">
        <v>125</v>
      </c>
      <c r="D377" s="6" t="s">
        <v>126</v>
      </c>
      <c r="E377" s="11">
        <v>45</v>
      </c>
      <c r="F377" s="6"/>
      <c r="G377" s="57"/>
      <c r="H377" s="6"/>
      <c r="I377" s="6"/>
      <c r="J377" s="6"/>
    </row>
    <row r="378" spans="1:10" ht="12.75" hidden="1" x14ac:dyDescent="0.2">
      <c r="A378" s="9">
        <v>54</v>
      </c>
      <c r="B378" s="10" t="s">
        <v>81</v>
      </c>
      <c r="C378" s="6" t="s">
        <v>125</v>
      </c>
      <c r="D378" s="6" t="s">
        <v>138</v>
      </c>
      <c r="E378" s="11">
        <v>0</v>
      </c>
      <c r="F378" s="6"/>
      <c r="G378" s="57"/>
      <c r="H378" s="6"/>
      <c r="I378" s="6"/>
      <c r="J378" s="6"/>
    </row>
    <row r="379" spans="1:10" ht="12.75" hidden="1" x14ac:dyDescent="0.2">
      <c r="A379" s="9">
        <v>54</v>
      </c>
      <c r="B379" s="10" t="s">
        <v>81</v>
      </c>
      <c r="C379" s="6" t="s">
        <v>125</v>
      </c>
      <c r="D379" s="6" t="s">
        <v>14</v>
      </c>
      <c r="E379" s="11">
        <v>0</v>
      </c>
      <c r="F379" s="11">
        <v>113</v>
      </c>
      <c r="G379" s="57"/>
      <c r="H379" s="6"/>
      <c r="I379" s="6"/>
      <c r="J379" s="6"/>
    </row>
    <row r="380" spans="1:10" ht="12.75" hidden="1" x14ac:dyDescent="0.2">
      <c r="A380" s="9">
        <v>55</v>
      </c>
      <c r="B380" s="10" t="s">
        <v>82</v>
      </c>
      <c r="C380" s="6" t="s">
        <v>125</v>
      </c>
      <c r="D380" s="6" t="s">
        <v>3</v>
      </c>
      <c r="E380" s="11">
        <v>124</v>
      </c>
      <c r="F380" s="6"/>
      <c r="G380" s="58">
        <v>325</v>
      </c>
      <c r="H380" s="6"/>
      <c r="I380" s="6"/>
      <c r="J380" s="6"/>
    </row>
    <row r="381" spans="1:10" ht="12.75" hidden="1" x14ac:dyDescent="0.2">
      <c r="A381" s="9">
        <v>55</v>
      </c>
      <c r="B381" s="10" t="s">
        <v>82</v>
      </c>
      <c r="C381" s="6" t="s">
        <v>125</v>
      </c>
      <c r="D381" s="6" t="s">
        <v>16</v>
      </c>
      <c r="E381" s="11">
        <v>3</v>
      </c>
      <c r="F381" s="6"/>
      <c r="G381" s="57"/>
      <c r="H381" s="6"/>
      <c r="I381" s="6"/>
      <c r="J381" s="6"/>
    </row>
    <row r="382" spans="1:10" ht="12.75" hidden="1" x14ac:dyDescent="0.2">
      <c r="A382" s="9">
        <v>55</v>
      </c>
      <c r="B382" s="10" t="s">
        <v>82</v>
      </c>
      <c r="C382" s="6" t="s">
        <v>125</v>
      </c>
      <c r="D382" s="6" t="s">
        <v>129</v>
      </c>
      <c r="E382" s="11">
        <v>1</v>
      </c>
      <c r="F382" s="6"/>
      <c r="G382" s="57"/>
      <c r="H382" s="6"/>
      <c r="I382" s="6"/>
      <c r="J382" s="6"/>
    </row>
    <row r="383" spans="1:10" ht="12.75" hidden="1" x14ac:dyDescent="0.2">
      <c r="A383" s="9">
        <v>55</v>
      </c>
      <c r="B383" s="10" t="s">
        <v>82</v>
      </c>
      <c r="C383" s="6" t="s">
        <v>125</v>
      </c>
      <c r="D383" s="6" t="s">
        <v>132</v>
      </c>
      <c r="E383" s="11">
        <v>9</v>
      </c>
      <c r="F383" s="6"/>
      <c r="G383" s="57"/>
      <c r="H383" s="6"/>
      <c r="I383" s="6"/>
      <c r="J383" s="6"/>
    </row>
    <row r="384" spans="1:10" ht="12.75" hidden="1" x14ac:dyDescent="0.2">
      <c r="A384" s="9">
        <v>55</v>
      </c>
      <c r="B384" s="10" t="s">
        <v>82</v>
      </c>
      <c r="C384" s="6" t="s">
        <v>125</v>
      </c>
      <c r="D384" s="6" t="s">
        <v>134</v>
      </c>
      <c r="E384" s="11">
        <v>5</v>
      </c>
      <c r="F384" s="6"/>
      <c r="G384" s="57"/>
      <c r="H384" s="6"/>
      <c r="I384" s="6"/>
      <c r="J384" s="6"/>
    </row>
    <row r="385" spans="1:10" ht="12.75" hidden="1" x14ac:dyDescent="0.2">
      <c r="A385" s="9">
        <v>55</v>
      </c>
      <c r="B385" s="10" t="s">
        <v>82</v>
      </c>
      <c r="C385" s="6" t="s">
        <v>125</v>
      </c>
      <c r="D385" s="6" t="s">
        <v>126</v>
      </c>
      <c r="E385" s="11">
        <v>130</v>
      </c>
      <c r="F385" s="6"/>
      <c r="G385" s="57"/>
      <c r="H385" s="6"/>
      <c r="I385" s="6"/>
      <c r="J385" s="6"/>
    </row>
    <row r="386" spans="1:10" ht="12.75" hidden="1" x14ac:dyDescent="0.2">
      <c r="A386" s="9">
        <v>55</v>
      </c>
      <c r="B386" s="10" t="s">
        <v>82</v>
      </c>
      <c r="C386" s="6" t="s">
        <v>125</v>
      </c>
      <c r="D386" s="6" t="s">
        <v>138</v>
      </c>
      <c r="E386" s="11">
        <v>4</v>
      </c>
      <c r="F386" s="6"/>
      <c r="G386" s="57"/>
      <c r="H386" s="6"/>
      <c r="I386" s="6"/>
      <c r="J386" s="6"/>
    </row>
    <row r="387" spans="1:10" ht="12.75" hidden="1" x14ac:dyDescent="0.2">
      <c r="A387" s="9">
        <v>55</v>
      </c>
      <c r="B387" s="10" t="s">
        <v>82</v>
      </c>
      <c r="C387" s="6" t="s">
        <v>125</v>
      </c>
      <c r="D387" s="6" t="s">
        <v>14</v>
      </c>
      <c r="E387" s="11">
        <v>0</v>
      </c>
      <c r="F387" s="11">
        <v>276</v>
      </c>
      <c r="G387" s="57"/>
      <c r="H387" s="6"/>
      <c r="I387" s="6"/>
      <c r="J387" s="6"/>
    </row>
    <row r="388" spans="1:10" ht="12.75" hidden="1" x14ac:dyDescent="0.2">
      <c r="A388" s="9">
        <v>56</v>
      </c>
      <c r="B388" s="10" t="s">
        <v>83</v>
      </c>
      <c r="C388" s="6" t="s">
        <v>125</v>
      </c>
      <c r="D388" s="6" t="s">
        <v>3</v>
      </c>
      <c r="E388" s="11">
        <v>242</v>
      </c>
      <c r="F388" s="6"/>
      <c r="G388" s="58">
        <v>494</v>
      </c>
      <c r="H388" s="6"/>
      <c r="I388" s="6"/>
      <c r="J388" s="6"/>
    </row>
    <row r="389" spans="1:10" ht="12.75" hidden="1" x14ac:dyDescent="0.2">
      <c r="A389" s="9">
        <v>56</v>
      </c>
      <c r="B389" s="10" t="s">
        <v>83</v>
      </c>
      <c r="C389" s="6" t="s">
        <v>125</v>
      </c>
      <c r="D389" s="6" t="s">
        <v>16</v>
      </c>
      <c r="E389" s="11">
        <v>4</v>
      </c>
      <c r="F389" s="6"/>
      <c r="G389" s="57"/>
      <c r="H389" s="6"/>
      <c r="I389" s="6"/>
      <c r="J389" s="6"/>
    </row>
    <row r="390" spans="1:10" ht="12.75" hidden="1" x14ac:dyDescent="0.2">
      <c r="A390" s="9">
        <v>56</v>
      </c>
      <c r="B390" s="10" t="s">
        <v>83</v>
      </c>
      <c r="C390" s="6" t="s">
        <v>125</v>
      </c>
      <c r="D390" s="6" t="s">
        <v>129</v>
      </c>
      <c r="E390" s="11">
        <v>3</v>
      </c>
      <c r="F390" s="6"/>
      <c r="G390" s="57"/>
      <c r="H390" s="6"/>
      <c r="I390" s="6"/>
      <c r="J390" s="6"/>
    </row>
    <row r="391" spans="1:10" ht="12.75" hidden="1" x14ac:dyDescent="0.2">
      <c r="A391" s="9">
        <v>56</v>
      </c>
      <c r="B391" s="10" t="s">
        <v>83</v>
      </c>
      <c r="C391" s="6" t="s">
        <v>125</v>
      </c>
      <c r="D391" s="6" t="s">
        <v>132</v>
      </c>
      <c r="E391" s="11">
        <v>5</v>
      </c>
      <c r="F391" s="6"/>
      <c r="G391" s="57"/>
      <c r="H391" s="6"/>
      <c r="I391" s="6"/>
      <c r="J391" s="6"/>
    </row>
    <row r="392" spans="1:10" ht="12.75" hidden="1" x14ac:dyDescent="0.2">
      <c r="A392" s="9">
        <v>56</v>
      </c>
      <c r="B392" s="10" t="s">
        <v>83</v>
      </c>
      <c r="C392" s="6" t="s">
        <v>125</v>
      </c>
      <c r="D392" s="6" t="s">
        <v>134</v>
      </c>
      <c r="E392" s="9">
        <v>5</v>
      </c>
      <c r="F392" s="6"/>
      <c r="G392" s="57"/>
      <c r="H392" s="6"/>
      <c r="I392" s="6"/>
      <c r="J392" s="6"/>
    </row>
    <row r="393" spans="1:10" ht="12.75" hidden="1" x14ac:dyDescent="0.2">
      <c r="A393" s="9">
        <v>56</v>
      </c>
      <c r="B393" s="10" t="s">
        <v>83</v>
      </c>
      <c r="C393" s="6" t="s">
        <v>125</v>
      </c>
      <c r="D393" s="6" t="s">
        <v>126</v>
      </c>
      <c r="E393" s="11">
        <v>159</v>
      </c>
      <c r="F393" s="6"/>
      <c r="G393" s="57"/>
      <c r="H393" s="6"/>
      <c r="I393" s="6"/>
      <c r="J393" s="6"/>
    </row>
    <row r="394" spans="1:10" ht="12.75" hidden="1" x14ac:dyDescent="0.2">
      <c r="A394" s="9">
        <v>56</v>
      </c>
      <c r="B394" s="10" t="s">
        <v>83</v>
      </c>
      <c r="C394" s="6" t="s">
        <v>125</v>
      </c>
      <c r="D394" s="6" t="s">
        <v>138</v>
      </c>
      <c r="E394" s="11">
        <v>2</v>
      </c>
      <c r="F394" s="6"/>
      <c r="G394" s="57"/>
      <c r="H394" s="6"/>
      <c r="I394" s="6"/>
      <c r="J394" s="6"/>
    </row>
    <row r="395" spans="1:10" ht="12.75" hidden="1" x14ac:dyDescent="0.2">
      <c r="A395" s="9">
        <v>56</v>
      </c>
      <c r="B395" s="10" t="s">
        <v>83</v>
      </c>
      <c r="C395" s="6" t="s">
        <v>125</v>
      </c>
      <c r="D395" s="6" t="s">
        <v>14</v>
      </c>
      <c r="E395" s="11">
        <v>0</v>
      </c>
      <c r="F395" s="11">
        <v>420</v>
      </c>
      <c r="G395" s="57"/>
      <c r="H395" s="6"/>
      <c r="I395" s="6"/>
      <c r="J395" s="6"/>
    </row>
    <row r="396" spans="1:10" ht="12.75" x14ac:dyDescent="0.2">
      <c r="A396" s="9">
        <v>58</v>
      </c>
      <c r="B396" s="10" t="s">
        <v>84</v>
      </c>
      <c r="C396" s="6" t="s">
        <v>125</v>
      </c>
      <c r="D396" s="6" t="s">
        <v>3</v>
      </c>
      <c r="E396" s="11">
        <v>16967</v>
      </c>
      <c r="F396" s="6"/>
      <c r="G396" s="58">
        <v>50143</v>
      </c>
      <c r="H396" s="6"/>
      <c r="I396" s="6"/>
      <c r="J396" s="6"/>
    </row>
    <row r="397" spans="1:10" ht="12.75" x14ac:dyDescent="0.2">
      <c r="A397" s="9">
        <v>58</v>
      </c>
      <c r="B397" s="10" t="s">
        <v>84</v>
      </c>
      <c r="C397" s="6" t="s">
        <v>125</v>
      </c>
      <c r="D397" s="6" t="s">
        <v>16</v>
      </c>
      <c r="E397" s="11">
        <v>538</v>
      </c>
      <c r="F397" s="6"/>
      <c r="G397" s="57"/>
      <c r="H397" s="6"/>
      <c r="I397" s="6"/>
      <c r="J397" s="6"/>
    </row>
    <row r="398" spans="1:10" ht="12.75" x14ac:dyDescent="0.2">
      <c r="A398" s="9">
        <v>58</v>
      </c>
      <c r="B398" s="10" t="s">
        <v>84</v>
      </c>
      <c r="C398" s="6" t="s">
        <v>125</v>
      </c>
      <c r="D398" s="6" t="s">
        <v>129</v>
      </c>
      <c r="E398" s="11">
        <v>486</v>
      </c>
      <c r="F398" s="6"/>
      <c r="G398" s="57"/>
      <c r="H398" s="6"/>
      <c r="I398" s="6"/>
      <c r="J398" s="6"/>
    </row>
    <row r="399" spans="1:10" ht="12.75" x14ac:dyDescent="0.2">
      <c r="A399" s="9">
        <v>58</v>
      </c>
      <c r="B399" s="10" t="s">
        <v>84</v>
      </c>
      <c r="C399" s="6" t="s">
        <v>125</v>
      </c>
      <c r="D399" s="6" t="s">
        <v>132</v>
      </c>
      <c r="E399" s="11">
        <v>2915</v>
      </c>
      <c r="F399" s="6"/>
      <c r="G399" s="57"/>
      <c r="H399" s="6"/>
      <c r="I399" s="6"/>
      <c r="J399" s="6"/>
    </row>
    <row r="400" spans="1:10" ht="12.75" x14ac:dyDescent="0.2">
      <c r="A400" s="9">
        <v>58</v>
      </c>
      <c r="B400" s="10" t="s">
        <v>84</v>
      </c>
      <c r="C400" s="6" t="s">
        <v>125</v>
      </c>
      <c r="D400" s="6" t="s">
        <v>134</v>
      </c>
      <c r="E400" s="11">
        <v>764</v>
      </c>
      <c r="F400" s="6"/>
      <c r="G400" s="57"/>
      <c r="H400" s="6"/>
      <c r="I400" s="6"/>
      <c r="J400" s="6"/>
    </row>
    <row r="401" spans="1:10" ht="12.75" x14ac:dyDescent="0.2">
      <c r="A401" s="9">
        <v>58</v>
      </c>
      <c r="B401" s="10" t="s">
        <v>84</v>
      </c>
      <c r="C401" s="6" t="s">
        <v>125</v>
      </c>
      <c r="D401" s="6" t="s">
        <v>126</v>
      </c>
      <c r="E401" s="11">
        <v>16986</v>
      </c>
      <c r="F401" s="6"/>
      <c r="G401" s="57"/>
      <c r="H401" s="6"/>
      <c r="I401" s="6"/>
      <c r="J401" s="6"/>
    </row>
    <row r="402" spans="1:10" ht="12.75" x14ac:dyDescent="0.2">
      <c r="A402" s="9">
        <v>58</v>
      </c>
      <c r="B402" s="10" t="s">
        <v>84</v>
      </c>
      <c r="C402" s="6" t="s">
        <v>125</v>
      </c>
      <c r="D402" s="6" t="s">
        <v>138</v>
      </c>
      <c r="E402" s="11">
        <v>797</v>
      </c>
      <c r="F402" s="6"/>
      <c r="G402" s="57"/>
      <c r="H402" s="6"/>
      <c r="I402" s="6"/>
      <c r="J402" s="6"/>
    </row>
    <row r="403" spans="1:10" ht="12.75" x14ac:dyDescent="0.2">
      <c r="A403" s="9">
        <v>58</v>
      </c>
      <c r="B403" s="10" t="s">
        <v>84</v>
      </c>
      <c r="C403" s="6" t="s">
        <v>125</v>
      </c>
      <c r="D403" s="6" t="s">
        <v>14</v>
      </c>
      <c r="E403" s="11">
        <v>301</v>
      </c>
      <c r="F403" s="11">
        <v>39754</v>
      </c>
      <c r="G403" s="57"/>
      <c r="H403" s="6"/>
      <c r="I403" s="6"/>
      <c r="J403" s="6"/>
    </row>
    <row r="404" spans="1:10" ht="12.75" hidden="1" x14ac:dyDescent="0.2">
      <c r="A404" s="9">
        <v>59</v>
      </c>
      <c r="B404" s="10" t="s">
        <v>85</v>
      </c>
      <c r="C404" s="6" t="s">
        <v>125</v>
      </c>
      <c r="D404" s="6" t="s">
        <v>3</v>
      </c>
      <c r="E404" s="11">
        <v>206</v>
      </c>
      <c r="F404" s="6"/>
      <c r="G404" s="58">
        <v>459</v>
      </c>
      <c r="H404" s="6"/>
      <c r="I404" s="6"/>
      <c r="J404" s="6"/>
    </row>
    <row r="405" spans="1:10" ht="12.75" hidden="1" x14ac:dyDescent="0.2">
      <c r="A405" s="9">
        <v>59</v>
      </c>
      <c r="B405" s="10" t="s">
        <v>85</v>
      </c>
      <c r="C405" s="6" t="s">
        <v>125</v>
      </c>
      <c r="D405" s="6" t="s">
        <v>16</v>
      </c>
      <c r="E405" s="11">
        <v>5</v>
      </c>
      <c r="F405" s="6"/>
      <c r="G405" s="57"/>
      <c r="H405" s="6"/>
      <c r="I405" s="6"/>
      <c r="J405" s="6"/>
    </row>
    <row r="406" spans="1:10" ht="12.75" hidden="1" x14ac:dyDescent="0.2">
      <c r="A406" s="9">
        <v>59</v>
      </c>
      <c r="B406" s="10" t="s">
        <v>85</v>
      </c>
      <c r="C406" s="6" t="s">
        <v>125</v>
      </c>
      <c r="D406" s="6" t="s">
        <v>129</v>
      </c>
      <c r="E406" s="11">
        <v>4</v>
      </c>
      <c r="F406" s="6"/>
      <c r="G406" s="57"/>
      <c r="H406" s="6"/>
      <c r="I406" s="6"/>
      <c r="J406" s="6"/>
    </row>
    <row r="407" spans="1:10" ht="12.75" hidden="1" x14ac:dyDescent="0.2">
      <c r="A407" s="9">
        <v>59</v>
      </c>
      <c r="B407" s="10" t="s">
        <v>85</v>
      </c>
      <c r="C407" s="6" t="s">
        <v>125</v>
      </c>
      <c r="D407" s="6" t="s">
        <v>132</v>
      </c>
      <c r="E407" s="11">
        <v>19</v>
      </c>
      <c r="F407" s="6"/>
      <c r="G407" s="57"/>
      <c r="H407" s="6"/>
      <c r="I407" s="6"/>
      <c r="J407" s="6"/>
    </row>
    <row r="408" spans="1:10" ht="12.75" hidden="1" x14ac:dyDescent="0.2">
      <c r="A408" s="9">
        <v>59</v>
      </c>
      <c r="B408" s="10" t="s">
        <v>85</v>
      </c>
      <c r="C408" s="6" t="s">
        <v>125</v>
      </c>
      <c r="D408" s="6" t="s">
        <v>134</v>
      </c>
      <c r="E408" s="11">
        <v>3</v>
      </c>
      <c r="F408" s="6"/>
      <c r="G408" s="57"/>
      <c r="H408" s="6"/>
      <c r="I408" s="6"/>
      <c r="J408" s="6"/>
    </row>
    <row r="409" spans="1:10" ht="12.75" hidden="1" x14ac:dyDescent="0.2">
      <c r="A409" s="9">
        <v>59</v>
      </c>
      <c r="B409" s="10" t="s">
        <v>85</v>
      </c>
      <c r="C409" s="6" t="s">
        <v>125</v>
      </c>
      <c r="D409" s="6" t="s">
        <v>126</v>
      </c>
      <c r="E409" s="11">
        <v>160</v>
      </c>
      <c r="F409" s="6"/>
      <c r="G409" s="57"/>
      <c r="H409" s="6"/>
      <c r="I409" s="6"/>
      <c r="J409" s="6"/>
    </row>
    <row r="410" spans="1:10" ht="12.75" hidden="1" x14ac:dyDescent="0.2">
      <c r="A410" s="9">
        <v>59</v>
      </c>
      <c r="B410" s="10" t="s">
        <v>85</v>
      </c>
      <c r="C410" s="6" t="s">
        <v>125</v>
      </c>
      <c r="D410" s="6" t="s">
        <v>138</v>
      </c>
      <c r="E410" s="11">
        <v>1</v>
      </c>
      <c r="F410" s="6"/>
      <c r="G410" s="57"/>
      <c r="H410" s="6"/>
      <c r="I410" s="6"/>
      <c r="J410" s="6"/>
    </row>
    <row r="411" spans="1:10" ht="12.75" hidden="1" x14ac:dyDescent="0.2">
      <c r="A411" s="9">
        <v>59</v>
      </c>
      <c r="B411" s="10" t="s">
        <v>85</v>
      </c>
      <c r="C411" s="6" t="s">
        <v>125</v>
      </c>
      <c r="D411" s="6" t="s">
        <v>14</v>
      </c>
      <c r="E411" s="11">
        <v>0</v>
      </c>
      <c r="F411" s="11">
        <v>398</v>
      </c>
      <c r="G411" s="57"/>
      <c r="H411" s="6"/>
      <c r="I411" s="6"/>
      <c r="J411" s="6"/>
    </row>
    <row r="412" spans="1:10" ht="12.75" hidden="1" x14ac:dyDescent="0.2">
      <c r="A412" s="9">
        <v>60</v>
      </c>
      <c r="B412" s="10" t="s">
        <v>154</v>
      </c>
      <c r="C412" s="6" t="s">
        <v>125</v>
      </c>
      <c r="D412" s="6" t="s">
        <v>3</v>
      </c>
      <c r="E412" s="11">
        <v>12</v>
      </c>
      <c r="F412" s="6"/>
      <c r="G412" s="58">
        <v>53</v>
      </c>
      <c r="H412" s="6"/>
      <c r="I412" s="6"/>
      <c r="J412" s="6"/>
    </row>
    <row r="413" spans="1:10" ht="12.75" hidden="1" x14ac:dyDescent="0.2">
      <c r="A413" s="9">
        <v>60</v>
      </c>
      <c r="B413" s="10" t="s">
        <v>154</v>
      </c>
      <c r="C413" s="6" t="s">
        <v>125</v>
      </c>
      <c r="D413" s="6" t="s">
        <v>16</v>
      </c>
      <c r="E413" s="11">
        <v>0</v>
      </c>
      <c r="F413" s="6"/>
      <c r="G413" s="57"/>
      <c r="H413" s="6"/>
      <c r="I413" s="6"/>
      <c r="J413" s="6"/>
    </row>
    <row r="414" spans="1:10" ht="12.75" hidden="1" x14ac:dyDescent="0.2">
      <c r="A414" s="9">
        <v>60</v>
      </c>
      <c r="B414" s="10" t="s">
        <v>154</v>
      </c>
      <c r="C414" s="6" t="s">
        <v>125</v>
      </c>
      <c r="D414" s="6" t="s">
        <v>129</v>
      </c>
      <c r="E414" s="11">
        <v>0</v>
      </c>
      <c r="F414" s="6"/>
      <c r="G414" s="57"/>
      <c r="H414" s="6"/>
      <c r="I414" s="6"/>
      <c r="J414" s="6"/>
    </row>
    <row r="415" spans="1:10" ht="12.75" hidden="1" x14ac:dyDescent="0.2">
      <c r="A415" s="9">
        <v>60</v>
      </c>
      <c r="B415" s="10" t="s">
        <v>154</v>
      </c>
      <c r="C415" s="6" t="s">
        <v>125</v>
      </c>
      <c r="D415" s="6" t="s">
        <v>132</v>
      </c>
      <c r="E415" s="11">
        <v>1</v>
      </c>
      <c r="F415" s="6"/>
      <c r="G415" s="57"/>
      <c r="H415" s="6"/>
      <c r="I415" s="6"/>
      <c r="J415" s="6"/>
    </row>
    <row r="416" spans="1:10" ht="12.75" hidden="1" x14ac:dyDescent="0.2">
      <c r="A416" s="9">
        <v>60</v>
      </c>
      <c r="B416" s="10" t="s">
        <v>154</v>
      </c>
      <c r="C416" s="6" t="s">
        <v>125</v>
      </c>
      <c r="D416" s="6" t="s">
        <v>134</v>
      </c>
      <c r="E416" s="11">
        <v>0</v>
      </c>
      <c r="F416" s="6"/>
      <c r="G416" s="57"/>
      <c r="H416" s="6"/>
      <c r="I416" s="6"/>
      <c r="J416" s="6"/>
    </row>
    <row r="417" spans="1:10" ht="12.75" hidden="1" x14ac:dyDescent="0.2">
      <c r="A417" s="9">
        <v>60</v>
      </c>
      <c r="B417" s="10" t="s">
        <v>154</v>
      </c>
      <c r="C417" s="6" t="s">
        <v>125</v>
      </c>
      <c r="D417" s="6" t="s">
        <v>126</v>
      </c>
      <c r="E417" s="11">
        <v>26</v>
      </c>
      <c r="F417" s="6"/>
      <c r="G417" s="57"/>
      <c r="H417" s="6"/>
      <c r="I417" s="6"/>
      <c r="J417" s="6"/>
    </row>
    <row r="418" spans="1:10" ht="12.75" hidden="1" x14ac:dyDescent="0.2">
      <c r="A418" s="9">
        <v>60</v>
      </c>
      <c r="B418" s="10" t="s">
        <v>154</v>
      </c>
      <c r="C418" s="6" t="s">
        <v>125</v>
      </c>
      <c r="D418" s="6" t="s">
        <v>138</v>
      </c>
      <c r="E418" s="11">
        <v>0</v>
      </c>
      <c r="F418" s="6"/>
      <c r="G418" s="57"/>
      <c r="H418" s="6"/>
      <c r="I418" s="6"/>
      <c r="J418" s="6"/>
    </row>
    <row r="419" spans="1:10" ht="12.75" hidden="1" x14ac:dyDescent="0.2">
      <c r="A419" s="9">
        <v>60</v>
      </c>
      <c r="B419" s="10" t="s">
        <v>154</v>
      </c>
      <c r="C419" s="6" t="s">
        <v>125</v>
      </c>
      <c r="D419" s="6" t="s">
        <v>14</v>
      </c>
      <c r="E419" s="11">
        <v>0</v>
      </c>
      <c r="F419" s="11">
        <v>39</v>
      </c>
      <c r="G419" s="57"/>
      <c r="H419" s="6"/>
      <c r="I419" s="6"/>
      <c r="J419" s="6"/>
    </row>
    <row r="420" spans="1:10" ht="12.75" hidden="1" x14ac:dyDescent="0.2">
      <c r="A420" s="9">
        <v>61</v>
      </c>
      <c r="B420" s="10" t="s">
        <v>86</v>
      </c>
      <c r="C420" s="6" t="s">
        <v>125</v>
      </c>
      <c r="D420" s="6" t="s">
        <v>3</v>
      </c>
      <c r="E420" s="11">
        <v>2697</v>
      </c>
      <c r="F420" s="6"/>
      <c r="G420" s="58">
        <v>7373</v>
      </c>
      <c r="H420" s="6"/>
      <c r="I420" s="6"/>
      <c r="J420" s="6"/>
    </row>
    <row r="421" spans="1:10" ht="12.75" hidden="1" x14ac:dyDescent="0.2">
      <c r="A421" s="9">
        <v>61</v>
      </c>
      <c r="B421" s="10" t="s">
        <v>86</v>
      </c>
      <c r="C421" s="6" t="s">
        <v>125</v>
      </c>
      <c r="D421" s="6" t="s">
        <v>16</v>
      </c>
      <c r="E421" s="11">
        <v>75</v>
      </c>
      <c r="F421" s="6"/>
      <c r="G421" s="57"/>
      <c r="H421" s="6"/>
      <c r="I421" s="6"/>
      <c r="J421" s="6"/>
    </row>
    <row r="422" spans="1:10" ht="12.75" hidden="1" x14ac:dyDescent="0.2">
      <c r="A422" s="9">
        <v>61</v>
      </c>
      <c r="B422" s="10" t="s">
        <v>86</v>
      </c>
      <c r="C422" s="6" t="s">
        <v>125</v>
      </c>
      <c r="D422" s="6" t="s">
        <v>129</v>
      </c>
      <c r="E422" s="11">
        <v>74</v>
      </c>
      <c r="F422" s="6"/>
      <c r="G422" s="57"/>
      <c r="H422" s="6"/>
      <c r="I422" s="6"/>
      <c r="J422" s="6"/>
    </row>
    <row r="423" spans="1:10" ht="12.75" hidden="1" x14ac:dyDescent="0.2">
      <c r="A423" s="9">
        <v>61</v>
      </c>
      <c r="B423" s="10" t="s">
        <v>86</v>
      </c>
      <c r="C423" s="6" t="s">
        <v>125</v>
      </c>
      <c r="D423" s="6" t="s">
        <v>132</v>
      </c>
      <c r="E423" s="11">
        <v>153</v>
      </c>
      <c r="F423" s="6"/>
      <c r="G423" s="57"/>
      <c r="H423" s="6"/>
      <c r="I423" s="6"/>
      <c r="J423" s="6"/>
    </row>
    <row r="424" spans="1:10" ht="12.75" hidden="1" x14ac:dyDescent="0.2">
      <c r="A424" s="9">
        <v>61</v>
      </c>
      <c r="B424" s="10" t="s">
        <v>86</v>
      </c>
      <c r="C424" s="6" t="s">
        <v>125</v>
      </c>
      <c r="D424" s="6" t="s">
        <v>134</v>
      </c>
      <c r="E424" s="11">
        <v>178</v>
      </c>
      <c r="F424" s="6"/>
      <c r="G424" s="57"/>
      <c r="H424" s="6"/>
      <c r="I424" s="6"/>
      <c r="J424" s="6"/>
    </row>
    <row r="425" spans="1:10" ht="12.75" hidden="1" x14ac:dyDescent="0.2">
      <c r="A425" s="9">
        <v>61</v>
      </c>
      <c r="B425" s="10" t="s">
        <v>86</v>
      </c>
      <c r="C425" s="6" t="s">
        <v>125</v>
      </c>
      <c r="D425" s="6" t="s">
        <v>126</v>
      </c>
      <c r="E425" s="11">
        <v>2223</v>
      </c>
      <c r="F425" s="6"/>
      <c r="G425" s="57"/>
      <c r="H425" s="6"/>
      <c r="I425" s="6"/>
      <c r="J425" s="6"/>
    </row>
    <row r="426" spans="1:10" ht="12.75" hidden="1" x14ac:dyDescent="0.2">
      <c r="A426" s="9">
        <v>61</v>
      </c>
      <c r="B426" s="10" t="s">
        <v>86</v>
      </c>
      <c r="C426" s="6" t="s">
        <v>125</v>
      </c>
      <c r="D426" s="6" t="s">
        <v>138</v>
      </c>
      <c r="E426" s="11">
        <v>144</v>
      </c>
      <c r="F426" s="6"/>
      <c r="G426" s="57"/>
      <c r="H426" s="6"/>
      <c r="I426" s="6"/>
      <c r="J426" s="6"/>
    </row>
    <row r="427" spans="1:10" ht="12.75" hidden="1" x14ac:dyDescent="0.2">
      <c r="A427" s="9">
        <v>61</v>
      </c>
      <c r="B427" s="10" t="s">
        <v>86</v>
      </c>
      <c r="C427" s="6" t="s">
        <v>125</v>
      </c>
      <c r="D427" s="6" t="s">
        <v>14</v>
      </c>
      <c r="E427" s="11">
        <v>53</v>
      </c>
      <c r="F427" s="11">
        <v>5597</v>
      </c>
      <c r="G427" s="57"/>
      <c r="H427" s="6"/>
      <c r="I427" s="6"/>
      <c r="J427" s="6"/>
    </row>
    <row r="428" spans="1:10" ht="12.75" hidden="1" x14ac:dyDescent="0.2">
      <c r="A428" s="9">
        <v>62</v>
      </c>
      <c r="B428" s="10" t="s">
        <v>87</v>
      </c>
      <c r="C428" s="6" t="s">
        <v>125</v>
      </c>
      <c r="D428" s="6" t="s">
        <v>3</v>
      </c>
      <c r="E428" s="11">
        <v>220</v>
      </c>
      <c r="F428" s="6"/>
      <c r="G428" s="58">
        <v>634</v>
      </c>
      <c r="H428" s="6"/>
      <c r="I428" s="6"/>
      <c r="J428" s="6"/>
    </row>
    <row r="429" spans="1:10" ht="12.75" hidden="1" x14ac:dyDescent="0.2">
      <c r="A429" s="9">
        <v>62</v>
      </c>
      <c r="B429" s="10" t="s">
        <v>87</v>
      </c>
      <c r="C429" s="6" t="s">
        <v>125</v>
      </c>
      <c r="D429" s="6" t="s">
        <v>16</v>
      </c>
      <c r="E429" s="11">
        <v>5</v>
      </c>
      <c r="F429" s="6"/>
      <c r="G429" s="57"/>
      <c r="H429" s="6"/>
      <c r="I429" s="6"/>
      <c r="J429" s="6"/>
    </row>
    <row r="430" spans="1:10" ht="12.75" hidden="1" x14ac:dyDescent="0.2">
      <c r="A430" s="9">
        <v>62</v>
      </c>
      <c r="B430" s="10" t="s">
        <v>87</v>
      </c>
      <c r="C430" s="6" t="s">
        <v>125</v>
      </c>
      <c r="D430" s="6" t="s">
        <v>129</v>
      </c>
      <c r="E430" s="11">
        <v>4</v>
      </c>
      <c r="F430" s="6"/>
      <c r="G430" s="57"/>
      <c r="H430" s="6"/>
      <c r="I430" s="6"/>
      <c r="J430" s="6"/>
    </row>
    <row r="431" spans="1:10" ht="12.75" hidden="1" x14ac:dyDescent="0.2">
      <c r="A431" s="9">
        <v>62</v>
      </c>
      <c r="B431" s="10" t="s">
        <v>87</v>
      </c>
      <c r="C431" s="6" t="s">
        <v>125</v>
      </c>
      <c r="D431" s="6" t="s">
        <v>132</v>
      </c>
      <c r="E431" s="11">
        <v>4</v>
      </c>
      <c r="F431" s="6"/>
      <c r="G431" s="57"/>
      <c r="H431" s="6"/>
      <c r="I431" s="6"/>
      <c r="J431" s="6"/>
    </row>
    <row r="432" spans="1:10" ht="12.75" hidden="1" x14ac:dyDescent="0.2">
      <c r="A432" s="9">
        <v>62</v>
      </c>
      <c r="B432" s="10" t="s">
        <v>87</v>
      </c>
      <c r="C432" s="6" t="s">
        <v>125</v>
      </c>
      <c r="D432" s="6" t="s">
        <v>134</v>
      </c>
      <c r="E432" s="11">
        <v>5</v>
      </c>
      <c r="F432" s="6"/>
      <c r="G432" s="57"/>
      <c r="H432" s="6"/>
      <c r="I432" s="6"/>
      <c r="J432" s="6"/>
    </row>
    <row r="433" spans="1:10" ht="12.75" hidden="1" x14ac:dyDescent="0.2">
      <c r="A433" s="9">
        <v>62</v>
      </c>
      <c r="B433" s="10" t="s">
        <v>87</v>
      </c>
      <c r="C433" s="6" t="s">
        <v>125</v>
      </c>
      <c r="D433" s="6" t="s">
        <v>126</v>
      </c>
      <c r="E433" s="11">
        <v>161</v>
      </c>
      <c r="F433" s="6"/>
      <c r="G433" s="57"/>
      <c r="H433" s="6"/>
      <c r="I433" s="6"/>
      <c r="J433" s="6"/>
    </row>
    <row r="434" spans="1:10" ht="12.75" hidden="1" x14ac:dyDescent="0.2">
      <c r="A434" s="9">
        <v>62</v>
      </c>
      <c r="B434" s="10" t="s">
        <v>87</v>
      </c>
      <c r="C434" s="6" t="s">
        <v>125</v>
      </c>
      <c r="D434" s="6" t="s">
        <v>138</v>
      </c>
      <c r="E434" s="11">
        <v>9</v>
      </c>
      <c r="F434" s="6"/>
      <c r="G434" s="57"/>
      <c r="H434" s="6"/>
      <c r="I434" s="6"/>
      <c r="J434" s="6"/>
    </row>
    <row r="435" spans="1:10" ht="12.75" hidden="1" x14ac:dyDescent="0.2">
      <c r="A435" s="9">
        <v>62</v>
      </c>
      <c r="B435" s="10" t="s">
        <v>87</v>
      </c>
      <c r="C435" s="6" t="s">
        <v>125</v>
      </c>
      <c r="D435" s="6" t="s">
        <v>14</v>
      </c>
      <c r="E435" s="11">
        <v>6</v>
      </c>
      <c r="F435" s="11">
        <v>6429</v>
      </c>
      <c r="G435" s="57"/>
      <c r="H435" s="6"/>
      <c r="I435" s="6"/>
      <c r="J435" s="6"/>
    </row>
    <row r="436" spans="1:10" ht="12.75" hidden="1" x14ac:dyDescent="0.2">
      <c r="A436" s="9">
        <v>63</v>
      </c>
      <c r="B436" s="10" t="s">
        <v>88</v>
      </c>
      <c r="C436" s="6" t="s">
        <v>125</v>
      </c>
      <c r="D436" s="6" t="s">
        <v>3</v>
      </c>
      <c r="E436" s="11">
        <v>818</v>
      </c>
      <c r="F436" s="6"/>
      <c r="G436" s="58">
        <v>2654</v>
      </c>
      <c r="H436" s="6"/>
      <c r="I436" s="6"/>
      <c r="J436" s="6"/>
    </row>
    <row r="437" spans="1:10" ht="12.75" hidden="1" x14ac:dyDescent="0.2">
      <c r="A437" s="9">
        <v>63</v>
      </c>
      <c r="B437" s="10" t="s">
        <v>88</v>
      </c>
      <c r="C437" s="6" t="s">
        <v>125</v>
      </c>
      <c r="D437" s="6" t="s">
        <v>16</v>
      </c>
      <c r="E437" s="11">
        <v>28</v>
      </c>
      <c r="F437" s="6"/>
      <c r="G437" s="57"/>
      <c r="H437" s="6"/>
      <c r="I437" s="6"/>
      <c r="J437" s="6"/>
    </row>
    <row r="438" spans="1:10" ht="12.75" hidden="1" x14ac:dyDescent="0.2">
      <c r="A438" s="9">
        <v>63</v>
      </c>
      <c r="B438" s="10" t="s">
        <v>88</v>
      </c>
      <c r="C438" s="6" t="s">
        <v>125</v>
      </c>
      <c r="D438" s="6" t="s">
        <v>129</v>
      </c>
      <c r="E438" s="11">
        <v>68</v>
      </c>
      <c r="F438" s="6"/>
      <c r="G438" s="57"/>
      <c r="H438" s="6"/>
      <c r="I438" s="6"/>
      <c r="J438" s="6"/>
    </row>
    <row r="439" spans="1:10" ht="12.75" hidden="1" x14ac:dyDescent="0.2">
      <c r="A439" s="9">
        <v>63</v>
      </c>
      <c r="B439" s="10" t="s">
        <v>88</v>
      </c>
      <c r="C439" s="6" t="s">
        <v>125</v>
      </c>
      <c r="D439" s="6" t="s">
        <v>132</v>
      </c>
      <c r="E439" s="11">
        <v>31</v>
      </c>
      <c r="F439" s="6"/>
      <c r="G439" s="57"/>
      <c r="H439" s="6"/>
      <c r="I439" s="6"/>
      <c r="J439" s="6"/>
    </row>
    <row r="440" spans="1:10" ht="12.75" hidden="1" x14ac:dyDescent="0.2">
      <c r="A440" s="9">
        <v>63</v>
      </c>
      <c r="B440" s="10" t="s">
        <v>88</v>
      </c>
      <c r="C440" s="6" t="s">
        <v>125</v>
      </c>
      <c r="D440" s="6" t="s">
        <v>134</v>
      </c>
      <c r="E440" s="11">
        <v>27</v>
      </c>
      <c r="F440" s="6"/>
      <c r="G440" s="57"/>
      <c r="H440" s="6"/>
      <c r="I440" s="6"/>
      <c r="J440" s="6"/>
    </row>
    <row r="441" spans="1:10" ht="12.75" hidden="1" x14ac:dyDescent="0.2">
      <c r="A441" s="9">
        <v>63</v>
      </c>
      <c r="B441" s="10" t="s">
        <v>88</v>
      </c>
      <c r="C441" s="6" t="s">
        <v>125</v>
      </c>
      <c r="D441" s="6" t="s">
        <v>126</v>
      </c>
      <c r="E441" s="11">
        <v>725</v>
      </c>
      <c r="F441" s="6"/>
      <c r="G441" s="57"/>
      <c r="H441" s="6"/>
      <c r="I441" s="6"/>
      <c r="J441" s="6"/>
    </row>
    <row r="442" spans="1:10" ht="12.75" hidden="1" x14ac:dyDescent="0.2">
      <c r="A442" s="9">
        <v>63</v>
      </c>
      <c r="B442" s="10" t="s">
        <v>88</v>
      </c>
      <c r="C442" s="6" t="s">
        <v>125</v>
      </c>
      <c r="D442" s="6" t="s">
        <v>138</v>
      </c>
      <c r="E442" s="11">
        <v>21</v>
      </c>
      <c r="F442" s="6"/>
      <c r="G442" s="57"/>
      <c r="H442" s="6"/>
      <c r="I442" s="6"/>
      <c r="J442" s="6"/>
    </row>
    <row r="443" spans="1:10" ht="12.75" hidden="1" x14ac:dyDescent="0.2">
      <c r="A443" s="9">
        <v>63</v>
      </c>
      <c r="B443" s="10" t="s">
        <v>88</v>
      </c>
      <c r="C443" s="6" t="s">
        <v>125</v>
      </c>
      <c r="D443" s="6" t="s">
        <v>14</v>
      </c>
      <c r="E443" s="11">
        <v>40</v>
      </c>
      <c r="F443" s="11">
        <v>1758</v>
      </c>
      <c r="G443" s="57"/>
      <c r="H443" s="6"/>
      <c r="I443" s="6"/>
      <c r="J443" s="6"/>
    </row>
    <row r="444" spans="1:10" ht="12.75" hidden="1" x14ac:dyDescent="0.2">
      <c r="A444" s="9">
        <v>64</v>
      </c>
      <c r="B444" s="10" t="s">
        <v>89</v>
      </c>
      <c r="C444" s="6" t="s">
        <v>125</v>
      </c>
      <c r="D444" s="6" t="s">
        <v>3</v>
      </c>
      <c r="E444" s="11">
        <v>308</v>
      </c>
      <c r="F444" s="6"/>
      <c r="G444" s="58">
        <v>693</v>
      </c>
      <c r="H444" s="6"/>
      <c r="I444" s="6"/>
      <c r="J444" s="6"/>
    </row>
    <row r="445" spans="1:10" ht="12.75" hidden="1" x14ac:dyDescent="0.2">
      <c r="A445" s="9">
        <v>64</v>
      </c>
      <c r="B445" s="10" t="s">
        <v>89</v>
      </c>
      <c r="C445" s="6" t="s">
        <v>125</v>
      </c>
      <c r="D445" s="6" t="s">
        <v>16</v>
      </c>
      <c r="E445" s="11">
        <v>14</v>
      </c>
      <c r="F445" s="6"/>
      <c r="G445" s="57"/>
      <c r="H445" s="6"/>
      <c r="I445" s="6"/>
      <c r="J445" s="6"/>
    </row>
    <row r="446" spans="1:10" ht="12.75" hidden="1" x14ac:dyDescent="0.2">
      <c r="A446" s="9">
        <v>64</v>
      </c>
      <c r="B446" s="10" t="s">
        <v>89</v>
      </c>
      <c r="C446" s="6" t="s">
        <v>125</v>
      </c>
      <c r="D446" s="6" t="s">
        <v>129</v>
      </c>
      <c r="E446" s="11">
        <v>7</v>
      </c>
      <c r="F446" s="6"/>
      <c r="G446" s="57"/>
      <c r="H446" s="6"/>
      <c r="I446" s="6"/>
      <c r="J446" s="6"/>
    </row>
    <row r="447" spans="1:10" ht="12.75" hidden="1" x14ac:dyDescent="0.2">
      <c r="A447" s="9">
        <v>64</v>
      </c>
      <c r="B447" s="10" t="s">
        <v>89</v>
      </c>
      <c r="C447" s="6" t="s">
        <v>125</v>
      </c>
      <c r="D447" s="6" t="s">
        <v>132</v>
      </c>
      <c r="E447" s="11">
        <v>8</v>
      </c>
      <c r="F447" s="6"/>
      <c r="G447" s="57"/>
      <c r="H447" s="6"/>
      <c r="I447" s="6"/>
      <c r="J447" s="6"/>
    </row>
    <row r="448" spans="1:10" ht="12.75" hidden="1" x14ac:dyDescent="0.2">
      <c r="A448" s="9">
        <v>64</v>
      </c>
      <c r="B448" s="10" t="s">
        <v>89</v>
      </c>
      <c r="C448" s="6" t="s">
        <v>125</v>
      </c>
      <c r="D448" s="6" t="s">
        <v>134</v>
      </c>
      <c r="E448" s="11">
        <v>9</v>
      </c>
      <c r="F448" s="6"/>
      <c r="G448" s="57"/>
      <c r="H448" s="6"/>
      <c r="I448" s="6"/>
      <c r="J448" s="6"/>
    </row>
    <row r="449" spans="1:10" ht="12.75" hidden="1" x14ac:dyDescent="0.2">
      <c r="A449" s="9">
        <v>64</v>
      </c>
      <c r="B449" s="10" t="s">
        <v>89</v>
      </c>
      <c r="C449" s="6" t="s">
        <v>125</v>
      </c>
      <c r="D449" s="6" t="s">
        <v>126</v>
      </c>
      <c r="E449" s="11">
        <v>216</v>
      </c>
      <c r="F449" s="6"/>
      <c r="G449" s="57"/>
      <c r="H449" s="6"/>
      <c r="I449" s="6"/>
      <c r="J449" s="6"/>
    </row>
    <row r="450" spans="1:10" ht="12.75" hidden="1" x14ac:dyDescent="0.2">
      <c r="A450" s="9">
        <v>64</v>
      </c>
      <c r="B450" s="10" t="s">
        <v>89</v>
      </c>
      <c r="C450" s="6" t="s">
        <v>125</v>
      </c>
      <c r="D450" s="6" t="s">
        <v>138</v>
      </c>
      <c r="E450" s="11">
        <v>12</v>
      </c>
      <c r="F450" s="6"/>
      <c r="G450" s="57"/>
      <c r="H450" s="6"/>
      <c r="I450" s="6"/>
      <c r="J450" s="6"/>
    </row>
    <row r="451" spans="1:10" ht="12.75" hidden="1" x14ac:dyDescent="0.2">
      <c r="A451" s="9">
        <v>64</v>
      </c>
      <c r="B451" s="10" t="s">
        <v>89</v>
      </c>
      <c r="C451" s="6" t="s">
        <v>125</v>
      </c>
      <c r="D451" s="6" t="s">
        <v>14</v>
      </c>
      <c r="E451" s="11">
        <v>4</v>
      </c>
      <c r="F451" s="11">
        <v>578</v>
      </c>
      <c r="G451" s="57"/>
      <c r="H451" s="6"/>
      <c r="I451" s="6"/>
      <c r="J451" s="6"/>
    </row>
    <row r="452" spans="1:10" ht="12.75" hidden="1" x14ac:dyDescent="0.2">
      <c r="A452" s="9">
        <v>65</v>
      </c>
      <c r="B452" s="10" t="s">
        <v>90</v>
      </c>
      <c r="C452" s="6" t="s">
        <v>125</v>
      </c>
      <c r="D452" s="6" t="s">
        <v>3</v>
      </c>
      <c r="E452" s="11">
        <v>1036</v>
      </c>
      <c r="F452" s="6"/>
      <c r="G452" s="58">
        <v>3453</v>
      </c>
      <c r="H452" s="6"/>
      <c r="I452" s="6"/>
      <c r="J452" s="6"/>
    </row>
    <row r="453" spans="1:10" ht="12.75" hidden="1" x14ac:dyDescent="0.2">
      <c r="A453" s="9">
        <v>65</v>
      </c>
      <c r="B453" s="10" t="s">
        <v>90</v>
      </c>
      <c r="C453" s="6" t="s">
        <v>125</v>
      </c>
      <c r="D453" s="6" t="s">
        <v>16</v>
      </c>
      <c r="E453" s="11">
        <v>38</v>
      </c>
      <c r="F453" s="6"/>
      <c r="G453" s="57"/>
      <c r="H453" s="6"/>
      <c r="I453" s="6"/>
      <c r="J453" s="6"/>
    </row>
    <row r="454" spans="1:10" ht="12.75" hidden="1" x14ac:dyDescent="0.2">
      <c r="A454" s="9">
        <v>65</v>
      </c>
      <c r="B454" s="10" t="s">
        <v>90</v>
      </c>
      <c r="C454" s="6" t="s">
        <v>125</v>
      </c>
      <c r="D454" s="6" t="s">
        <v>129</v>
      </c>
      <c r="E454" s="11">
        <v>28</v>
      </c>
      <c r="F454" s="6"/>
      <c r="G454" s="57"/>
      <c r="H454" s="6"/>
      <c r="I454" s="6"/>
      <c r="J454" s="6"/>
    </row>
    <row r="455" spans="1:10" ht="12.75" hidden="1" x14ac:dyDescent="0.2">
      <c r="A455" s="9">
        <v>65</v>
      </c>
      <c r="B455" s="10" t="s">
        <v>90</v>
      </c>
      <c r="C455" s="6" t="s">
        <v>125</v>
      </c>
      <c r="D455" s="6" t="s">
        <v>132</v>
      </c>
      <c r="E455" s="11">
        <v>54</v>
      </c>
      <c r="F455" s="6"/>
      <c r="G455" s="57"/>
      <c r="H455" s="6"/>
      <c r="I455" s="6"/>
      <c r="J455" s="6"/>
    </row>
    <row r="456" spans="1:10" ht="12.75" hidden="1" x14ac:dyDescent="0.2">
      <c r="A456" s="9">
        <v>65</v>
      </c>
      <c r="B456" s="10" t="s">
        <v>90</v>
      </c>
      <c r="C456" s="6" t="s">
        <v>125</v>
      </c>
      <c r="D456" s="6" t="s">
        <v>134</v>
      </c>
      <c r="E456" s="11">
        <v>32</v>
      </c>
      <c r="F456" s="6"/>
      <c r="G456" s="57"/>
      <c r="H456" s="6"/>
      <c r="I456" s="6"/>
      <c r="J456" s="6"/>
    </row>
    <row r="457" spans="1:10" ht="12.75" hidden="1" x14ac:dyDescent="0.2">
      <c r="A457" s="9">
        <v>65</v>
      </c>
      <c r="B457" s="10" t="s">
        <v>90</v>
      </c>
      <c r="C457" s="6" t="s">
        <v>125</v>
      </c>
      <c r="D457" s="6" t="s">
        <v>126</v>
      </c>
      <c r="E457" s="11">
        <v>1447</v>
      </c>
      <c r="F457" s="6"/>
      <c r="G457" s="57"/>
      <c r="H457" s="6"/>
      <c r="I457" s="6"/>
      <c r="J457" s="6"/>
    </row>
    <row r="458" spans="1:10" ht="12.75" hidden="1" x14ac:dyDescent="0.2">
      <c r="A458" s="9">
        <v>65</v>
      </c>
      <c r="B458" s="10" t="s">
        <v>90</v>
      </c>
      <c r="C458" s="6" t="s">
        <v>125</v>
      </c>
      <c r="D458" s="6" t="s">
        <v>138</v>
      </c>
      <c r="E458" s="11">
        <v>41</v>
      </c>
      <c r="F458" s="6"/>
      <c r="G458" s="57"/>
      <c r="H458" s="6"/>
      <c r="I458" s="6"/>
      <c r="J458" s="6"/>
    </row>
    <row r="459" spans="1:10" ht="12.75" hidden="1" x14ac:dyDescent="0.2">
      <c r="A459" s="9">
        <v>65</v>
      </c>
      <c r="B459" s="10" t="s">
        <v>90</v>
      </c>
      <c r="C459" s="6" t="s">
        <v>125</v>
      </c>
      <c r="D459" s="6" t="s">
        <v>14</v>
      </c>
      <c r="E459" s="11">
        <v>15</v>
      </c>
      <c r="F459" s="11">
        <v>2691</v>
      </c>
      <c r="G459" s="57"/>
      <c r="H459" s="6"/>
      <c r="I459" s="6"/>
      <c r="J459" s="6"/>
    </row>
    <row r="460" spans="1:10" ht="12.75" hidden="1" x14ac:dyDescent="0.2">
      <c r="A460" s="9">
        <v>66</v>
      </c>
      <c r="B460" s="10" t="s">
        <v>91</v>
      </c>
      <c r="C460" s="6" t="s">
        <v>125</v>
      </c>
      <c r="D460" s="6" t="s">
        <v>3</v>
      </c>
      <c r="E460" s="11">
        <v>45</v>
      </c>
      <c r="F460" s="6"/>
      <c r="G460" s="58">
        <v>132</v>
      </c>
      <c r="H460" s="6"/>
      <c r="I460" s="6"/>
      <c r="J460" s="6"/>
    </row>
    <row r="461" spans="1:10" ht="12.75" hidden="1" x14ac:dyDescent="0.2">
      <c r="A461" s="9">
        <v>66</v>
      </c>
      <c r="B461" s="10" t="s">
        <v>91</v>
      </c>
      <c r="C461" s="6" t="s">
        <v>125</v>
      </c>
      <c r="D461" s="6" t="s">
        <v>16</v>
      </c>
      <c r="E461" s="11">
        <v>2</v>
      </c>
      <c r="F461" s="6"/>
      <c r="G461" s="57"/>
      <c r="H461" s="6"/>
      <c r="I461" s="6"/>
      <c r="J461" s="6"/>
    </row>
    <row r="462" spans="1:10" ht="12.75" hidden="1" x14ac:dyDescent="0.2">
      <c r="A462" s="9">
        <v>66</v>
      </c>
      <c r="B462" s="10" t="s">
        <v>91</v>
      </c>
      <c r="C462" s="6" t="s">
        <v>125</v>
      </c>
      <c r="D462" s="6" t="s">
        <v>129</v>
      </c>
      <c r="E462" s="11">
        <v>1</v>
      </c>
      <c r="F462" s="6"/>
      <c r="G462" s="57"/>
      <c r="H462" s="6"/>
      <c r="I462" s="6"/>
      <c r="J462" s="6"/>
    </row>
    <row r="463" spans="1:10" ht="12.75" hidden="1" x14ac:dyDescent="0.2">
      <c r="A463" s="9">
        <v>66</v>
      </c>
      <c r="B463" s="10" t="s">
        <v>91</v>
      </c>
      <c r="C463" s="6" t="s">
        <v>125</v>
      </c>
      <c r="D463" s="6" t="s">
        <v>132</v>
      </c>
      <c r="E463" s="11">
        <v>2</v>
      </c>
      <c r="F463" s="6"/>
      <c r="G463" s="57"/>
      <c r="H463" s="6"/>
      <c r="I463" s="6"/>
      <c r="J463" s="6"/>
    </row>
    <row r="464" spans="1:10" ht="12.75" hidden="1" x14ac:dyDescent="0.2">
      <c r="A464" s="9">
        <v>66</v>
      </c>
      <c r="B464" s="10" t="s">
        <v>91</v>
      </c>
      <c r="C464" s="6" t="s">
        <v>125</v>
      </c>
      <c r="D464" s="6" t="s">
        <v>134</v>
      </c>
      <c r="E464" s="11">
        <v>1</v>
      </c>
      <c r="F464" s="6"/>
      <c r="G464" s="57"/>
      <c r="H464" s="6"/>
      <c r="I464" s="6"/>
      <c r="J464" s="6"/>
    </row>
    <row r="465" spans="1:10" ht="12.75" hidden="1" x14ac:dyDescent="0.2">
      <c r="A465" s="9">
        <v>66</v>
      </c>
      <c r="B465" s="10" t="s">
        <v>91</v>
      </c>
      <c r="C465" s="6" t="s">
        <v>125</v>
      </c>
      <c r="D465" s="6" t="s">
        <v>126</v>
      </c>
      <c r="E465" s="11">
        <v>59</v>
      </c>
      <c r="F465" s="6"/>
      <c r="G465" s="57"/>
      <c r="H465" s="6"/>
      <c r="I465" s="6"/>
      <c r="J465" s="6"/>
    </row>
    <row r="466" spans="1:10" ht="12.75" hidden="1" x14ac:dyDescent="0.2">
      <c r="A466" s="9">
        <v>66</v>
      </c>
      <c r="B466" s="10" t="s">
        <v>91</v>
      </c>
      <c r="C466" s="6" t="s">
        <v>125</v>
      </c>
      <c r="D466" s="6" t="s">
        <v>138</v>
      </c>
      <c r="E466" s="11">
        <v>2</v>
      </c>
      <c r="F466" s="6"/>
      <c r="G466" s="57"/>
      <c r="H466" s="6"/>
      <c r="I466" s="6"/>
      <c r="J466" s="6"/>
    </row>
    <row r="467" spans="1:10" ht="12.75" hidden="1" x14ac:dyDescent="0.2">
      <c r="A467" s="9">
        <v>66</v>
      </c>
      <c r="B467" s="10" t="s">
        <v>91</v>
      </c>
      <c r="C467" s="6" t="s">
        <v>125</v>
      </c>
      <c r="D467" s="6" t="s">
        <v>14</v>
      </c>
      <c r="E467" s="11">
        <v>0</v>
      </c>
      <c r="F467" s="11">
        <v>112</v>
      </c>
      <c r="G467" s="57"/>
      <c r="H467" s="6"/>
      <c r="I467" s="6"/>
      <c r="J467" s="6"/>
    </row>
    <row r="468" spans="1:10" ht="12.75" hidden="1" x14ac:dyDescent="0.2">
      <c r="A468" s="9">
        <v>67</v>
      </c>
      <c r="B468" s="10" t="s">
        <v>155</v>
      </c>
      <c r="C468" s="6" t="s">
        <v>125</v>
      </c>
      <c r="D468" s="6" t="s">
        <v>3</v>
      </c>
      <c r="E468" s="11">
        <v>10</v>
      </c>
      <c r="F468" s="6"/>
      <c r="G468" s="58">
        <v>41</v>
      </c>
      <c r="H468" s="6"/>
      <c r="I468" s="6"/>
      <c r="J468" s="6"/>
    </row>
    <row r="469" spans="1:10" ht="12.75" hidden="1" x14ac:dyDescent="0.2">
      <c r="A469" s="9">
        <v>67</v>
      </c>
      <c r="B469" s="10" t="s">
        <v>155</v>
      </c>
      <c r="C469" s="6" t="s">
        <v>125</v>
      </c>
      <c r="D469" s="6" t="s">
        <v>16</v>
      </c>
      <c r="E469" s="11">
        <v>0</v>
      </c>
      <c r="F469" s="6"/>
      <c r="G469" s="57"/>
      <c r="H469" s="6"/>
      <c r="I469" s="6"/>
      <c r="J469" s="6"/>
    </row>
    <row r="470" spans="1:10" ht="12.75" hidden="1" x14ac:dyDescent="0.2">
      <c r="A470" s="9">
        <v>67</v>
      </c>
      <c r="B470" s="10" t="s">
        <v>155</v>
      </c>
      <c r="C470" s="6" t="s">
        <v>125</v>
      </c>
      <c r="D470" s="6" t="s">
        <v>129</v>
      </c>
      <c r="E470" s="11">
        <v>2</v>
      </c>
      <c r="F470" s="6"/>
      <c r="G470" s="57"/>
      <c r="H470" s="6"/>
      <c r="I470" s="6"/>
      <c r="J470" s="6"/>
    </row>
    <row r="471" spans="1:10" ht="12.75" hidden="1" x14ac:dyDescent="0.2">
      <c r="A471" s="9">
        <v>67</v>
      </c>
      <c r="B471" s="10" t="s">
        <v>155</v>
      </c>
      <c r="C471" s="6" t="s">
        <v>125</v>
      </c>
      <c r="D471" s="6" t="s">
        <v>132</v>
      </c>
      <c r="E471" s="11">
        <v>2</v>
      </c>
      <c r="F471" s="6"/>
      <c r="G471" s="57"/>
      <c r="H471" s="6"/>
      <c r="I471" s="6"/>
      <c r="J471" s="6"/>
    </row>
    <row r="472" spans="1:10" ht="12.75" hidden="1" x14ac:dyDescent="0.2">
      <c r="A472" s="9">
        <v>67</v>
      </c>
      <c r="B472" s="10" t="s">
        <v>155</v>
      </c>
      <c r="C472" s="6" t="s">
        <v>125</v>
      </c>
      <c r="D472" s="6" t="s">
        <v>134</v>
      </c>
      <c r="E472" s="11">
        <v>2</v>
      </c>
      <c r="F472" s="6"/>
      <c r="G472" s="57"/>
      <c r="H472" s="6"/>
      <c r="I472" s="6"/>
      <c r="J472" s="6"/>
    </row>
    <row r="473" spans="1:10" ht="12.75" hidden="1" x14ac:dyDescent="0.2">
      <c r="A473" s="9">
        <v>67</v>
      </c>
      <c r="B473" s="10" t="s">
        <v>155</v>
      </c>
      <c r="C473" s="6" t="s">
        <v>125</v>
      </c>
      <c r="D473" s="6" t="s">
        <v>126</v>
      </c>
      <c r="E473" s="11">
        <v>17</v>
      </c>
      <c r="F473" s="6"/>
      <c r="G473" s="57"/>
      <c r="H473" s="6"/>
      <c r="I473" s="6"/>
      <c r="J473" s="6"/>
    </row>
    <row r="474" spans="1:10" ht="12.75" hidden="1" x14ac:dyDescent="0.2">
      <c r="A474" s="9">
        <v>67</v>
      </c>
      <c r="B474" s="10" t="s">
        <v>155</v>
      </c>
      <c r="C474" s="6" t="s">
        <v>125</v>
      </c>
      <c r="D474" s="6" t="s">
        <v>138</v>
      </c>
      <c r="E474" s="11">
        <v>0</v>
      </c>
      <c r="F474" s="6"/>
      <c r="G474" s="57"/>
      <c r="H474" s="6"/>
      <c r="I474" s="6"/>
      <c r="J474" s="6"/>
    </row>
    <row r="475" spans="1:10" ht="12.75" hidden="1" x14ac:dyDescent="0.2">
      <c r="A475" s="9">
        <v>67</v>
      </c>
      <c r="B475" s="10" t="s">
        <v>155</v>
      </c>
      <c r="C475" s="6" t="s">
        <v>125</v>
      </c>
      <c r="D475" s="6" t="s">
        <v>14</v>
      </c>
      <c r="E475" s="11">
        <v>0</v>
      </c>
      <c r="F475" s="11">
        <v>33</v>
      </c>
      <c r="G475" s="57"/>
      <c r="H475" s="6"/>
      <c r="I475" s="6"/>
      <c r="J475" s="6"/>
    </row>
    <row r="476" spans="1:10" ht="12.75" hidden="1" x14ac:dyDescent="0.2">
      <c r="A476" s="9">
        <v>68</v>
      </c>
      <c r="B476" s="10" t="s">
        <v>92</v>
      </c>
      <c r="C476" s="6" t="s">
        <v>125</v>
      </c>
      <c r="D476" s="6" t="s">
        <v>3</v>
      </c>
      <c r="E476" s="11">
        <v>187</v>
      </c>
      <c r="F476" s="6"/>
      <c r="G476" s="58">
        <v>593</v>
      </c>
      <c r="H476" s="6"/>
      <c r="I476" s="6"/>
      <c r="J476" s="6"/>
    </row>
    <row r="477" spans="1:10" ht="12.75" hidden="1" x14ac:dyDescent="0.2">
      <c r="A477" s="9">
        <v>68</v>
      </c>
      <c r="B477" s="10" t="s">
        <v>92</v>
      </c>
      <c r="C477" s="6" t="s">
        <v>125</v>
      </c>
      <c r="D477" s="6" t="s">
        <v>16</v>
      </c>
      <c r="E477" s="11">
        <v>4</v>
      </c>
      <c r="F477" s="6"/>
      <c r="G477" s="57"/>
      <c r="H477" s="6"/>
      <c r="I477" s="6"/>
      <c r="J477" s="6"/>
    </row>
    <row r="478" spans="1:10" ht="12.75" hidden="1" x14ac:dyDescent="0.2">
      <c r="A478" s="9">
        <v>68</v>
      </c>
      <c r="B478" s="10" t="s">
        <v>92</v>
      </c>
      <c r="C478" s="6" t="s">
        <v>125</v>
      </c>
      <c r="D478" s="6" t="s">
        <v>129</v>
      </c>
      <c r="E478" s="11">
        <v>14</v>
      </c>
      <c r="F478" s="6"/>
      <c r="G478" s="57"/>
      <c r="H478" s="6"/>
      <c r="I478" s="6"/>
      <c r="J478" s="6"/>
    </row>
    <row r="479" spans="1:10" ht="12.75" hidden="1" x14ac:dyDescent="0.2">
      <c r="A479" s="9">
        <v>68</v>
      </c>
      <c r="B479" s="10" t="s">
        <v>92</v>
      </c>
      <c r="C479" s="6" t="s">
        <v>125</v>
      </c>
      <c r="D479" s="6" t="s">
        <v>132</v>
      </c>
      <c r="E479" s="11">
        <v>13</v>
      </c>
      <c r="F479" s="6"/>
      <c r="G479" s="57"/>
      <c r="H479" s="6"/>
      <c r="I479" s="6"/>
      <c r="J479" s="6"/>
    </row>
    <row r="480" spans="1:10" ht="12.75" hidden="1" x14ac:dyDescent="0.2">
      <c r="A480" s="9">
        <v>68</v>
      </c>
      <c r="B480" s="10" t="s">
        <v>92</v>
      </c>
      <c r="C480" s="6" t="s">
        <v>125</v>
      </c>
      <c r="D480" s="6" t="s">
        <v>134</v>
      </c>
      <c r="E480" s="11">
        <v>11</v>
      </c>
      <c r="F480" s="6"/>
      <c r="G480" s="57"/>
      <c r="H480" s="6"/>
      <c r="I480" s="6"/>
      <c r="J480" s="6"/>
    </row>
    <row r="481" spans="1:10" ht="12.75" hidden="1" x14ac:dyDescent="0.2">
      <c r="A481" s="9">
        <v>68</v>
      </c>
      <c r="B481" s="10" t="s">
        <v>92</v>
      </c>
      <c r="C481" s="6" t="s">
        <v>125</v>
      </c>
      <c r="D481" s="6" t="s">
        <v>126</v>
      </c>
      <c r="E481" s="11">
        <v>217</v>
      </c>
      <c r="F481" s="6"/>
      <c r="G481" s="57"/>
      <c r="H481" s="6"/>
      <c r="I481" s="6"/>
      <c r="J481" s="6"/>
    </row>
    <row r="482" spans="1:10" ht="12.75" hidden="1" x14ac:dyDescent="0.2">
      <c r="A482" s="9">
        <v>68</v>
      </c>
      <c r="B482" s="10" t="s">
        <v>92</v>
      </c>
      <c r="C482" s="6" t="s">
        <v>125</v>
      </c>
      <c r="D482" s="6" t="s">
        <v>138</v>
      </c>
      <c r="E482" s="11">
        <v>5</v>
      </c>
      <c r="F482" s="6"/>
      <c r="G482" s="57"/>
      <c r="H482" s="6"/>
      <c r="I482" s="6"/>
      <c r="J482" s="6"/>
    </row>
    <row r="483" spans="1:10" ht="12.75" hidden="1" x14ac:dyDescent="0.2">
      <c r="A483" s="9">
        <v>68</v>
      </c>
      <c r="B483" s="10" t="s">
        <v>92</v>
      </c>
      <c r="C483" s="6" t="s">
        <v>125</v>
      </c>
      <c r="D483" s="6" t="s">
        <v>14</v>
      </c>
      <c r="E483" s="11">
        <v>7</v>
      </c>
      <c r="F483" s="11">
        <v>458</v>
      </c>
      <c r="G483" s="57"/>
      <c r="H483" s="6"/>
      <c r="I483" s="6"/>
      <c r="J483" s="6"/>
    </row>
    <row r="484" spans="1:10" ht="12.75" hidden="1" x14ac:dyDescent="0.2">
      <c r="A484" s="9">
        <v>69</v>
      </c>
      <c r="B484" s="10" t="s">
        <v>93</v>
      </c>
      <c r="C484" s="6" t="s">
        <v>125</v>
      </c>
      <c r="D484" s="6" t="s">
        <v>3</v>
      </c>
      <c r="E484" s="11">
        <v>729</v>
      </c>
      <c r="F484" s="6"/>
      <c r="G484" s="58">
        <v>2030</v>
      </c>
      <c r="H484" s="6"/>
      <c r="I484" s="6"/>
      <c r="J484" s="6"/>
    </row>
    <row r="485" spans="1:10" ht="12.75" hidden="1" x14ac:dyDescent="0.2">
      <c r="A485" s="9">
        <v>69</v>
      </c>
      <c r="B485" s="10" t="s">
        <v>93</v>
      </c>
      <c r="C485" s="6" t="s">
        <v>125</v>
      </c>
      <c r="D485" s="6" t="s">
        <v>16</v>
      </c>
      <c r="E485" s="11">
        <v>14</v>
      </c>
      <c r="F485" s="6"/>
      <c r="G485" s="57"/>
      <c r="H485" s="6"/>
      <c r="I485" s="6"/>
      <c r="J485" s="6"/>
    </row>
    <row r="486" spans="1:10" ht="12.75" hidden="1" x14ac:dyDescent="0.2">
      <c r="A486" s="9">
        <v>69</v>
      </c>
      <c r="B486" s="10" t="s">
        <v>93</v>
      </c>
      <c r="C486" s="6" t="s">
        <v>125</v>
      </c>
      <c r="D486" s="6" t="s">
        <v>129</v>
      </c>
      <c r="E486" s="11">
        <v>26</v>
      </c>
      <c r="F486" s="6"/>
      <c r="G486" s="57"/>
      <c r="H486" s="6"/>
      <c r="I486" s="6"/>
      <c r="J486" s="6"/>
    </row>
    <row r="487" spans="1:10" ht="12.75" hidden="1" x14ac:dyDescent="0.2">
      <c r="A487" s="9">
        <v>69</v>
      </c>
      <c r="B487" s="10" t="s">
        <v>93</v>
      </c>
      <c r="C487" s="6" t="s">
        <v>125</v>
      </c>
      <c r="D487" s="6" t="s">
        <v>132</v>
      </c>
      <c r="E487" s="11">
        <v>23</v>
      </c>
      <c r="F487" s="6"/>
      <c r="G487" s="57"/>
      <c r="H487" s="6"/>
      <c r="I487" s="6"/>
      <c r="J487" s="6"/>
    </row>
    <row r="488" spans="1:10" ht="12.75" hidden="1" x14ac:dyDescent="0.2">
      <c r="A488" s="9">
        <v>69</v>
      </c>
      <c r="B488" s="10" t="s">
        <v>93</v>
      </c>
      <c r="C488" s="6" t="s">
        <v>125</v>
      </c>
      <c r="D488" s="6" t="s">
        <v>134</v>
      </c>
      <c r="E488" s="11">
        <v>18</v>
      </c>
      <c r="F488" s="6"/>
      <c r="G488" s="57"/>
      <c r="H488" s="6"/>
      <c r="I488" s="6"/>
      <c r="J488" s="6"/>
    </row>
    <row r="489" spans="1:10" ht="12.75" hidden="1" x14ac:dyDescent="0.2">
      <c r="A489" s="9">
        <v>69</v>
      </c>
      <c r="B489" s="10" t="s">
        <v>93</v>
      </c>
      <c r="C489" s="6" t="s">
        <v>125</v>
      </c>
      <c r="D489" s="6" t="s">
        <v>126</v>
      </c>
      <c r="E489" s="11">
        <v>676</v>
      </c>
      <c r="F489" s="6"/>
      <c r="G489" s="57"/>
      <c r="H489" s="6"/>
      <c r="I489" s="6"/>
      <c r="J489" s="6"/>
    </row>
    <row r="490" spans="1:10" ht="12.75" hidden="1" x14ac:dyDescent="0.2">
      <c r="A490" s="9">
        <v>69</v>
      </c>
      <c r="B490" s="10" t="s">
        <v>93</v>
      </c>
      <c r="C490" s="6" t="s">
        <v>125</v>
      </c>
      <c r="D490" s="6" t="s">
        <v>138</v>
      </c>
      <c r="E490" s="11">
        <v>35</v>
      </c>
      <c r="F490" s="6"/>
      <c r="G490" s="57"/>
      <c r="H490" s="6"/>
      <c r="I490" s="6"/>
      <c r="J490" s="6"/>
    </row>
    <row r="491" spans="1:10" ht="12.75" hidden="1" x14ac:dyDescent="0.2">
      <c r="A491" s="9">
        <v>69</v>
      </c>
      <c r="B491" s="10" t="s">
        <v>93</v>
      </c>
      <c r="C491" s="6" t="s">
        <v>125</v>
      </c>
      <c r="D491" s="6" t="s">
        <v>14</v>
      </c>
      <c r="E491" s="11">
        <v>12</v>
      </c>
      <c r="F491" s="11">
        <v>1533</v>
      </c>
      <c r="G491" s="57"/>
      <c r="H491" s="6"/>
      <c r="I491" s="6"/>
      <c r="J491" s="6"/>
    </row>
    <row r="492" spans="1:10" ht="12.75" hidden="1" x14ac:dyDescent="0.2">
      <c r="A492" s="9">
        <v>70</v>
      </c>
      <c r="B492" s="10" t="s">
        <v>156</v>
      </c>
      <c r="C492" s="6" t="s">
        <v>125</v>
      </c>
      <c r="D492" s="6" t="s">
        <v>3</v>
      </c>
      <c r="E492" s="11">
        <v>2</v>
      </c>
      <c r="F492" s="6"/>
      <c r="G492" s="58">
        <v>7</v>
      </c>
      <c r="H492" s="6"/>
      <c r="I492" s="6"/>
      <c r="J492" s="6"/>
    </row>
    <row r="493" spans="1:10" ht="12.75" hidden="1" x14ac:dyDescent="0.2">
      <c r="A493" s="9">
        <v>70</v>
      </c>
      <c r="B493" s="10" t="s">
        <v>156</v>
      </c>
      <c r="C493" s="6" t="s">
        <v>125</v>
      </c>
      <c r="D493" s="6" t="s">
        <v>16</v>
      </c>
      <c r="E493" s="11">
        <v>0</v>
      </c>
      <c r="F493" s="6"/>
      <c r="G493" s="57"/>
      <c r="H493" s="6"/>
      <c r="I493" s="6"/>
      <c r="J493" s="6"/>
    </row>
    <row r="494" spans="1:10" ht="12.75" hidden="1" x14ac:dyDescent="0.2">
      <c r="A494" s="9">
        <v>70</v>
      </c>
      <c r="B494" s="10" t="s">
        <v>156</v>
      </c>
      <c r="C494" s="6" t="s">
        <v>125</v>
      </c>
      <c r="D494" s="6" t="s">
        <v>129</v>
      </c>
      <c r="E494" s="11">
        <v>0</v>
      </c>
      <c r="F494" s="6"/>
      <c r="G494" s="57"/>
      <c r="H494" s="6"/>
      <c r="I494" s="6"/>
      <c r="J494" s="6"/>
    </row>
    <row r="495" spans="1:10" ht="12.75" hidden="1" x14ac:dyDescent="0.2">
      <c r="A495" s="9">
        <v>70</v>
      </c>
      <c r="B495" s="10" t="s">
        <v>156</v>
      </c>
      <c r="C495" s="6" t="s">
        <v>125</v>
      </c>
      <c r="D495" s="6" t="s">
        <v>132</v>
      </c>
      <c r="E495" s="11">
        <v>0</v>
      </c>
      <c r="F495" s="6"/>
      <c r="G495" s="57"/>
      <c r="H495" s="6"/>
      <c r="I495" s="6"/>
      <c r="J495" s="6"/>
    </row>
    <row r="496" spans="1:10" ht="12.75" hidden="1" x14ac:dyDescent="0.2">
      <c r="A496" s="9">
        <v>70</v>
      </c>
      <c r="B496" s="10" t="s">
        <v>156</v>
      </c>
      <c r="C496" s="6" t="s">
        <v>125</v>
      </c>
      <c r="D496" s="6" t="s">
        <v>134</v>
      </c>
      <c r="E496" s="11">
        <v>0</v>
      </c>
      <c r="F496" s="6"/>
      <c r="G496" s="57"/>
      <c r="H496" s="6"/>
      <c r="I496" s="6"/>
      <c r="J496" s="6"/>
    </row>
    <row r="497" spans="1:10" ht="12.75" hidden="1" x14ac:dyDescent="0.2">
      <c r="A497" s="9">
        <v>70</v>
      </c>
      <c r="B497" s="10" t="s">
        <v>156</v>
      </c>
      <c r="C497" s="6" t="s">
        <v>125</v>
      </c>
      <c r="D497" s="6" t="s">
        <v>126</v>
      </c>
      <c r="E497" s="11">
        <v>4</v>
      </c>
      <c r="F497" s="6"/>
      <c r="G497" s="57"/>
      <c r="H497" s="6"/>
      <c r="I497" s="6"/>
      <c r="J497" s="6"/>
    </row>
    <row r="498" spans="1:10" ht="12.75" hidden="1" x14ac:dyDescent="0.2">
      <c r="A498" s="9">
        <v>70</v>
      </c>
      <c r="B498" s="10" t="s">
        <v>156</v>
      </c>
      <c r="C498" s="6" t="s">
        <v>125</v>
      </c>
      <c r="D498" s="6" t="s">
        <v>138</v>
      </c>
      <c r="E498" s="11">
        <v>0</v>
      </c>
      <c r="F498" s="6"/>
      <c r="G498" s="57"/>
      <c r="H498" s="6"/>
      <c r="I498" s="6"/>
      <c r="J498" s="6"/>
    </row>
    <row r="499" spans="1:10" ht="12.75" hidden="1" x14ac:dyDescent="0.2">
      <c r="A499" s="9">
        <v>70</v>
      </c>
      <c r="B499" s="10" t="s">
        <v>156</v>
      </c>
      <c r="C499" s="6" t="s">
        <v>125</v>
      </c>
      <c r="D499" s="6" t="s">
        <v>14</v>
      </c>
      <c r="E499" s="11">
        <v>0</v>
      </c>
      <c r="F499" s="11">
        <v>6</v>
      </c>
      <c r="G499" s="57"/>
      <c r="H499" s="6"/>
      <c r="I499" s="6"/>
      <c r="J499" s="6"/>
    </row>
    <row r="500" spans="1:10" ht="12.75" hidden="1" x14ac:dyDescent="0.2">
      <c r="A500" s="9">
        <v>71</v>
      </c>
      <c r="B500" s="10" t="s">
        <v>94</v>
      </c>
      <c r="C500" s="6" t="s">
        <v>125</v>
      </c>
      <c r="D500" s="6" t="s">
        <v>3</v>
      </c>
      <c r="E500" s="11">
        <v>577</v>
      </c>
      <c r="F500" s="6"/>
      <c r="G500" s="58">
        <v>1261</v>
      </c>
      <c r="H500" s="6"/>
      <c r="I500" s="6"/>
      <c r="J500" s="6"/>
    </row>
    <row r="501" spans="1:10" ht="12.75" hidden="1" x14ac:dyDescent="0.2">
      <c r="A501" s="9">
        <v>71</v>
      </c>
      <c r="B501" s="10" t="s">
        <v>94</v>
      </c>
      <c r="C501" s="6" t="s">
        <v>125</v>
      </c>
      <c r="D501" s="6" t="s">
        <v>16</v>
      </c>
      <c r="E501" s="11">
        <v>6</v>
      </c>
      <c r="F501" s="6"/>
      <c r="G501" s="57"/>
      <c r="H501" s="6"/>
      <c r="I501" s="6"/>
      <c r="J501" s="6"/>
    </row>
    <row r="502" spans="1:10" ht="12.75" hidden="1" x14ac:dyDescent="0.2">
      <c r="A502" s="9">
        <v>71</v>
      </c>
      <c r="B502" s="10" t="s">
        <v>94</v>
      </c>
      <c r="C502" s="6" t="s">
        <v>125</v>
      </c>
      <c r="D502" s="6" t="s">
        <v>129</v>
      </c>
      <c r="E502" s="11">
        <v>5</v>
      </c>
      <c r="F502" s="6"/>
      <c r="G502" s="57"/>
      <c r="H502" s="6"/>
      <c r="I502" s="6"/>
      <c r="J502" s="6"/>
    </row>
    <row r="503" spans="1:10" ht="12.75" hidden="1" x14ac:dyDescent="0.2">
      <c r="A503" s="9">
        <v>71</v>
      </c>
      <c r="B503" s="10" t="s">
        <v>94</v>
      </c>
      <c r="C503" s="6" t="s">
        <v>125</v>
      </c>
      <c r="D503" s="6" t="s">
        <v>132</v>
      </c>
      <c r="E503" s="11">
        <v>5</v>
      </c>
      <c r="F503" s="6"/>
      <c r="G503" s="57"/>
      <c r="H503" s="6"/>
      <c r="I503" s="6"/>
      <c r="J503" s="6"/>
    </row>
    <row r="504" spans="1:10" ht="12.75" hidden="1" x14ac:dyDescent="0.2">
      <c r="A504" s="9">
        <v>71</v>
      </c>
      <c r="B504" s="10" t="s">
        <v>94</v>
      </c>
      <c r="C504" s="6" t="s">
        <v>125</v>
      </c>
      <c r="D504" s="6" t="s">
        <v>134</v>
      </c>
      <c r="E504" s="11">
        <v>2</v>
      </c>
      <c r="F504" s="6"/>
      <c r="G504" s="57"/>
      <c r="H504" s="6"/>
      <c r="I504" s="6"/>
      <c r="J504" s="6"/>
    </row>
    <row r="505" spans="1:10" ht="12.75" hidden="1" x14ac:dyDescent="0.2">
      <c r="A505" s="9">
        <v>71</v>
      </c>
      <c r="B505" s="10" t="s">
        <v>94</v>
      </c>
      <c r="C505" s="6" t="s">
        <v>125</v>
      </c>
      <c r="D505" s="6" t="s">
        <v>126</v>
      </c>
      <c r="E505" s="11">
        <v>378</v>
      </c>
      <c r="F505" s="6"/>
      <c r="G505" s="57"/>
      <c r="H505" s="6"/>
      <c r="I505" s="6"/>
      <c r="J505" s="6"/>
    </row>
    <row r="506" spans="1:10" ht="12.75" hidden="1" x14ac:dyDescent="0.2">
      <c r="A506" s="9">
        <v>71</v>
      </c>
      <c r="B506" s="10" t="s">
        <v>94</v>
      </c>
      <c r="C506" s="6" t="s">
        <v>125</v>
      </c>
      <c r="D506" s="6" t="s">
        <v>138</v>
      </c>
      <c r="E506" s="11">
        <v>12</v>
      </c>
      <c r="F506" s="6"/>
      <c r="G506" s="57"/>
      <c r="H506" s="6"/>
      <c r="I506" s="6"/>
      <c r="J506" s="6"/>
    </row>
    <row r="507" spans="1:10" ht="12.75" hidden="1" x14ac:dyDescent="0.2">
      <c r="A507" s="9">
        <v>71</v>
      </c>
      <c r="B507" s="10" t="s">
        <v>94</v>
      </c>
      <c r="C507" s="6" t="s">
        <v>125</v>
      </c>
      <c r="D507" s="6" t="s">
        <v>14</v>
      </c>
      <c r="E507" s="11">
        <v>13</v>
      </c>
      <c r="F507" s="11">
        <v>998</v>
      </c>
      <c r="G507" s="57"/>
      <c r="H507" s="6"/>
      <c r="I507" s="6"/>
      <c r="J507" s="6"/>
    </row>
    <row r="508" spans="1:10" ht="12.75" hidden="1" x14ac:dyDescent="0.2">
      <c r="A508" s="9">
        <v>72</v>
      </c>
      <c r="B508" s="10" t="s">
        <v>95</v>
      </c>
      <c r="C508" s="6" t="s">
        <v>125</v>
      </c>
      <c r="D508" s="6" t="s">
        <v>3</v>
      </c>
      <c r="E508" s="11">
        <v>618</v>
      </c>
      <c r="F508" s="6"/>
      <c r="G508" s="58">
        <v>2045</v>
      </c>
      <c r="H508" s="6"/>
      <c r="I508" s="6"/>
      <c r="J508" s="6"/>
    </row>
    <row r="509" spans="1:10" ht="12.75" hidden="1" x14ac:dyDescent="0.2">
      <c r="A509" s="9">
        <v>72</v>
      </c>
      <c r="B509" s="10" t="s">
        <v>95</v>
      </c>
      <c r="C509" s="6" t="s">
        <v>125</v>
      </c>
      <c r="D509" s="6" t="s">
        <v>16</v>
      </c>
      <c r="E509" s="11">
        <v>16</v>
      </c>
      <c r="F509" s="6"/>
      <c r="G509" s="57"/>
      <c r="H509" s="6"/>
      <c r="I509" s="6"/>
      <c r="J509" s="6"/>
    </row>
    <row r="510" spans="1:10" ht="12.75" hidden="1" x14ac:dyDescent="0.2">
      <c r="A510" s="9">
        <v>72</v>
      </c>
      <c r="B510" s="10" t="s">
        <v>95</v>
      </c>
      <c r="C510" s="6" t="s">
        <v>125</v>
      </c>
      <c r="D510" s="6" t="s">
        <v>129</v>
      </c>
      <c r="E510" s="11">
        <v>17</v>
      </c>
      <c r="F510" s="6"/>
      <c r="G510" s="57"/>
      <c r="H510" s="6"/>
      <c r="I510" s="6"/>
      <c r="J510" s="6"/>
    </row>
    <row r="511" spans="1:10" ht="12.75" hidden="1" x14ac:dyDescent="0.2">
      <c r="A511" s="9">
        <v>72</v>
      </c>
      <c r="B511" s="10" t="s">
        <v>95</v>
      </c>
      <c r="C511" s="6" t="s">
        <v>125</v>
      </c>
      <c r="D511" s="6" t="s">
        <v>132</v>
      </c>
      <c r="E511" s="11">
        <v>43</v>
      </c>
      <c r="F511" s="6"/>
      <c r="G511" s="57"/>
      <c r="H511" s="6"/>
      <c r="I511" s="6"/>
      <c r="J511" s="6"/>
    </row>
    <row r="512" spans="1:10" ht="12.75" hidden="1" x14ac:dyDescent="0.2">
      <c r="A512" s="9">
        <v>72</v>
      </c>
      <c r="B512" s="10" t="s">
        <v>95</v>
      </c>
      <c r="C512" s="6" t="s">
        <v>125</v>
      </c>
      <c r="D512" s="6" t="s">
        <v>134</v>
      </c>
      <c r="E512" s="11">
        <v>22</v>
      </c>
      <c r="F512" s="6"/>
      <c r="G512" s="57"/>
      <c r="H512" s="6"/>
      <c r="I512" s="6"/>
      <c r="J512" s="6"/>
    </row>
    <row r="513" spans="1:10" ht="12.75" hidden="1" x14ac:dyDescent="0.2">
      <c r="A513" s="9">
        <v>72</v>
      </c>
      <c r="B513" s="10" t="s">
        <v>95</v>
      </c>
      <c r="C513" s="6" t="s">
        <v>125</v>
      </c>
      <c r="D513" s="6" t="s">
        <v>126</v>
      </c>
      <c r="E513" s="11">
        <v>842</v>
      </c>
      <c r="F513" s="6"/>
      <c r="G513" s="57"/>
      <c r="H513" s="6"/>
      <c r="I513" s="6"/>
      <c r="J513" s="6"/>
    </row>
    <row r="514" spans="1:10" ht="12.75" hidden="1" x14ac:dyDescent="0.2">
      <c r="A514" s="9">
        <v>72</v>
      </c>
      <c r="B514" s="10" t="s">
        <v>95</v>
      </c>
      <c r="C514" s="6" t="s">
        <v>125</v>
      </c>
      <c r="D514" s="6" t="s">
        <v>138</v>
      </c>
      <c r="E514" s="11">
        <v>18</v>
      </c>
      <c r="F514" s="6"/>
      <c r="G514" s="57"/>
      <c r="H514" s="6"/>
      <c r="I514" s="6"/>
      <c r="J514" s="6"/>
    </row>
    <row r="515" spans="1:10" ht="12.75" hidden="1" x14ac:dyDescent="0.2">
      <c r="A515" s="9">
        <v>72</v>
      </c>
      <c r="B515" s="10" t="s">
        <v>95</v>
      </c>
      <c r="C515" s="6" t="s">
        <v>125</v>
      </c>
      <c r="D515" s="6" t="s">
        <v>14</v>
      </c>
      <c r="E515" s="11">
        <v>28</v>
      </c>
      <c r="F515" s="11">
        <v>1604</v>
      </c>
      <c r="G515" s="57"/>
      <c r="H515" s="6"/>
      <c r="I515" s="6"/>
      <c r="J515" s="6"/>
    </row>
    <row r="516" spans="1:10" ht="12.75" hidden="1" x14ac:dyDescent="0.2">
      <c r="A516" s="9">
        <v>73</v>
      </c>
      <c r="B516" s="10" t="s">
        <v>96</v>
      </c>
      <c r="C516" s="6" t="s">
        <v>125</v>
      </c>
      <c r="D516" s="6" t="s">
        <v>3</v>
      </c>
      <c r="E516" s="11">
        <v>93</v>
      </c>
      <c r="F516" s="6"/>
      <c r="G516" s="58">
        <v>216</v>
      </c>
      <c r="H516" s="6"/>
      <c r="I516" s="6"/>
      <c r="J516" s="6"/>
    </row>
    <row r="517" spans="1:10" ht="12.75" hidden="1" x14ac:dyDescent="0.2">
      <c r="A517" s="9">
        <v>73</v>
      </c>
      <c r="B517" s="10" t="s">
        <v>96</v>
      </c>
      <c r="C517" s="6" t="s">
        <v>125</v>
      </c>
      <c r="D517" s="6" t="s">
        <v>16</v>
      </c>
      <c r="E517" s="11">
        <v>1</v>
      </c>
      <c r="F517" s="6"/>
      <c r="G517" s="57"/>
      <c r="H517" s="6"/>
      <c r="I517" s="6"/>
      <c r="J517" s="6"/>
    </row>
    <row r="518" spans="1:10" ht="12.75" hidden="1" x14ac:dyDescent="0.2">
      <c r="A518" s="9">
        <v>73</v>
      </c>
      <c r="B518" s="10" t="s">
        <v>96</v>
      </c>
      <c r="C518" s="6" t="s">
        <v>125</v>
      </c>
      <c r="D518" s="6" t="s">
        <v>129</v>
      </c>
      <c r="E518" s="11">
        <v>2</v>
      </c>
      <c r="F518" s="6"/>
      <c r="G518" s="57"/>
      <c r="H518" s="6"/>
      <c r="I518" s="6"/>
      <c r="J518" s="6"/>
    </row>
    <row r="519" spans="1:10" ht="12.75" hidden="1" x14ac:dyDescent="0.2">
      <c r="A519" s="9">
        <v>73</v>
      </c>
      <c r="B519" s="10" t="s">
        <v>96</v>
      </c>
      <c r="C519" s="6" t="s">
        <v>125</v>
      </c>
      <c r="D519" s="6" t="s">
        <v>132</v>
      </c>
      <c r="E519" s="11">
        <v>3</v>
      </c>
      <c r="F519" s="6"/>
      <c r="G519" s="57"/>
      <c r="H519" s="6"/>
      <c r="I519" s="6"/>
      <c r="J519" s="6"/>
    </row>
    <row r="520" spans="1:10" ht="12.75" hidden="1" x14ac:dyDescent="0.2">
      <c r="A520" s="9">
        <v>73</v>
      </c>
      <c r="B520" s="10" t="s">
        <v>96</v>
      </c>
      <c r="C520" s="6" t="s">
        <v>125</v>
      </c>
      <c r="D520" s="6" t="s">
        <v>134</v>
      </c>
      <c r="E520" s="11">
        <v>1</v>
      </c>
      <c r="F520" s="6"/>
      <c r="G520" s="57"/>
      <c r="H520" s="6"/>
      <c r="I520" s="6"/>
      <c r="J520" s="6"/>
    </row>
    <row r="521" spans="1:10" ht="12.75" hidden="1" x14ac:dyDescent="0.2">
      <c r="A521" s="9">
        <v>73</v>
      </c>
      <c r="B521" s="10" t="s">
        <v>96</v>
      </c>
      <c r="C521" s="6" t="s">
        <v>125</v>
      </c>
      <c r="D521" s="6" t="s">
        <v>126</v>
      </c>
      <c r="E521" s="11">
        <v>67</v>
      </c>
      <c r="F521" s="6"/>
      <c r="G521" s="57"/>
      <c r="H521" s="6"/>
      <c r="I521" s="6"/>
      <c r="J521" s="6"/>
    </row>
    <row r="522" spans="1:10" ht="12.75" hidden="1" x14ac:dyDescent="0.2">
      <c r="A522" s="9">
        <v>73</v>
      </c>
      <c r="B522" s="10" t="s">
        <v>96</v>
      </c>
      <c r="C522" s="6" t="s">
        <v>125</v>
      </c>
      <c r="D522" s="6" t="s">
        <v>138</v>
      </c>
      <c r="E522" s="11">
        <v>0</v>
      </c>
      <c r="F522" s="6"/>
      <c r="G522" s="57"/>
      <c r="H522" s="6"/>
      <c r="I522" s="6"/>
      <c r="J522" s="6"/>
    </row>
    <row r="523" spans="1:10" ht="12.75" hidden="1" x14ac:dyDescent="0.2">
      <c r="A523" s="9">
        <v>73</v>
      </c>
      <c r="B523" s="10" t="s">
        <v>96</v>
      </c>
      <c r="C523" s="6" t="s">
        <v>125</v>
      </c>
      <c r="D523" s="6" t="s">
        <v>14</v>
      </c>
      <c r="E523" s="11">
        <v>5</v>
      </c>
      <c r="F523" s="11">
        <v>172</v>
      </c>
      <c r="G523" s="57"/>
      <c r="H523" s="6"/>
      <c r="I523" s="6"/>
      <c r="J523" s="6"/>
    </row>
    <row r="524" spans="1:10" ht="12.75" hidden="1" x14ac:dyDescent="0.2">
      <c r="A524" s="9">
        <v>74</v>
      </c>
      <c r="B524" s="10" t="s">
        <v>97</v>
      </c>
      <c r="C524" s="6" t="s">
        <v>125</v>
      </c>
      <c r="D524" s="6" t="s">
        <v>3</v>
      </c>
      <c r="E524" s="11">
        <v>212</v>
      </c>
      <c r="F524" s="6"/>
      <c r="G524" s="58">
        <v>383</v>
      </c>
      <c r="H524" s="6"/>
      <c r="I524" s="6"/>
      <c r="J524" s="6"/>
    </row>
    <row r="525" spans="1:10" ht="12.75" hidden="1" x14ac:dyDescent="0.2">
      <c r="A525" s="9">
        <v>74</v>
      </c>
      <c r="B525" s="10" t="s">
        <v>97</v>
      </c>
      <c r="C525" s="6" t="s">
        <v>125</v>
      </c>
      <c r="D525" s="6" t="s">
        <v>16</v>
      </c>
      <c r="E525" s="11">
        <v>1</v>
      </c>
      <c r="F525" s="6"/>
      <c r="G525" s="57"/>
      <c r="H525" s="6"/>
      <c r="I525" s="6"/>
      <c r="J525" s="6"/>
    </row>
    <row r="526" spans="1:10" ht="12.75" hidden="1" x14ac:dyDescent="0.2">
      <c r="A526" s="9">
        <v>74</v>
      </c>
      <c r="B526" s="10" t="s">
        <v>97</v>
      </c>
      <c r="C526" s="6" t="s">
        <v>125</v>
      </c>
      <c r="D526" s="6" t="s">
        <v>129</v>
      </c>
      <c r="E526" s="11">
        <v>2</v>
      </c>
      <c r="F526" s="6"/>
      <c r="G526" s="57"/>
      <c r="H526" s="6"/>
      <c r="I526" s="6"/>
      <c r="J526" s="6"/>
    </row>
    <row r="527" spans="1:10" ht="12.75" hidden="1" x14ac:dyDescent="0.2">
      <c r="A527" s="9">
        <v>74</v>
      </c>
      <c r="B527" s="10" t="s">
        <v>97</v>
      </c>
      <c r="C527" s="6" t="s">
        <v>125</v>
      </c>
      <c r="D527" s="6" t="s">
        <v>132</v>
      </c>
      <c r="E527" s="11">
        <v>4</v>
      </c>
      <c r="F527" s="6"/>
      <c r="G527" s="57"/>
      <c r="H527" s="6"/>
      <c r="I527" s="6"/>
      <c r="J527" s="6"/>
    </row>
    <row r="528" spans="1:10" ht="12.75" hidden="1" x14ac:dyDescent="0.2">
      <c r="A528" s="9">
        <v>74</v>
      </c>
      <c r="B528" s="10" t="s">
        <v>97</v>
      </c>
      <c r="C528" s="6" t="s">
        <v>125</v>
      </c>
      <c r="D528" s="6" t="s">
        <v>134</v>
      </c>
      <c r="E528" s="11">
        <v>5</v>
      </c>
      <c r="F528" s="6"/>
      <c r="G528" s="57"/>
      <c r="H528" s="6"/>
      <c r="I528" s="6"/>
      <c r="J528" s="6"/>
    </row>
    <row r="529" spans="1:10" ht="12.75" hidden="1" x14ac:dyDescent="0.2">
      <c r="A529" s="9">
        <v>74</v>
      </c>
      <c r="B529" s="10" t="s">
        <v>97</v>
      </c>
      <c r="C529" s="6" t="s">
        <v>125</v>
      </c>
      <c r="D529" s="6" t="s">
        <v>126</v>
      </c>
      <c r="E529" s="11">
        <v>97</v>
      </c>
      <c r="F529" s="6"/>
      <c r="G529" s="57"/>
      <c r="H529" s="6"/>
      <c r="I529" s="6"/>
      <c r="J529" s="6"/>
    </row>
    <row r="530" spans="1:10" ht="12.75" hidden="1" x14ac:dyDescent="0.2">
      <c r="A530" s="9">
        <v>74</v>
      </c>
      <c r="B530" s="10" t="s">
        <v>97</v>
      </c>
      <c r="C530" s="6" t="s">
        <v>125</v>
      </c>
      <c r="D530" s="6" t="s">
        <v>138</v>
      </c>
      <c r="E530" s="11">
        <v>5</v>
      </c>
      <c r="F530" s="6"/>
      <c r="G530" s="57"/>
      <c r="H530" s="6"/>
      <c r="I530" s="6"/>
      <c r="J530" s="6"/>
    </row>
    <row r="531" spans="1:10" ht="12.75" hidden="1" x14ac:dyDescent="0.2">
      <c r="A531" s="9">
        <v>74</v>
      </c>
      <c r="B531" s="10" t="s">
        <v>97</v>
      </c>
      <c r="C531" s="6" t="s">
        <v>125</v>
      </c>
      <c r="D531" s="6" t="s">
        <v>14</v>
      </c>
      <c r="E531" s="11">
        <v>7</v>
      </c>
      <c r="F531" s="11">
        <v>333</v>
      </c>
      <c r="G531" s="57"/>
      <c r="H531" s="6"/>
      <c r="I531" s="6"/>
      <c r="J531" s="6"/>
    </row>
    <row r="532" spans="1:10" ht="12.75" hidden="1" x14ac:dyDescent="0.2">
      <c r="A532" s="9">
        <v>75</v>
      </c>
      <c r="B532" s="10" t="s">
        <v>98</v>
      </c>
      <c r="C532" s="6" t="s">
        <v>125</v>
      </c>
      <c r="D532" s="6" t="s">
        <v>3</v>
      </c>
      <c r="E532" s="11">
        <v>1217</v>
      </c>
      <c r="F532" s="6"/>
      <c r="G532" s="58">
        <v>3207</v>
      </c>
      <c r="H532" s="6"/>
      <c r="I532" s="6"/>
      <c r="J532" s="6"/>
    </row>
    <row r="533" spans="1:10" ht="12.75" hidden="1" x14ac:dyDescent="0.2">
      <c r="A533" s="9">
        <v>75</v>
      </c>
      <c r="B533" s="10" t="s">
        <v>98</v>
      </c>
      <c r="C533" s="6" t="s">
        <v>125</v>
      </c>
      <c r="D533" s="6" t="s">
        <v>16</v>
      </c>
      <c r="E533" s="11">
        <v>32</v>
      </c>
      <c r="F533" s="6"/>
      <c r="G533" s="57"/>
      <c r="H533" s="6"/>
      <c r="I533" s="6"/>
      <c r="J533" s="6"/>
    </row>
    <row r="534" spans="1:10" ht="12.75" hidden="1" x14ac:dyDescent="0.2">
      <c r="A534" s="9">
        <v>75</v>
      </c>
      <c r="B534" s="10" t="s">
        <v>98</v>
      </c>
      <c r="C534" s="6" t="s">
        <v>125</v>
      </c>
      <c r="D534" s="6" t="s">
        <v>129</v>
      </c>
      <c r="E534" s="11">
        <v>23</v>
      </c>
      <c r="F534" s="6"/>
      <c r="G534" s="57"/>
      <c r="H534" s="6"/>
      <c r="I534" s="6"/>
      <c r="J534" s="6"/>
    </row>
    <row r="535" spans="1:10" ht="12.75" hidden="1" x14ac:dyDescent="0.2">
      <c r="A535" s="9">
        <v>75</v>
      </c>
      <c r="B535" s="10" t="s">
        <v>98</v>
      </c>
      <c r="C535" s="6" t="s">
        <v>125</v>
      </c>
      <c r="D535" s="6" t="s">
        <v>132</v>
      </c>
      <c r="E535" s="11">
        <v>34</v>
      </c>
      <c r="F535" s="6"/>
      <c r="G535" s="57"/>
      <c r="H535" s="6"/>
      <c r="I535" s="6"/>
      <c r="J535" s="6"/>
    </row>
    <row r="536" spans="1:10" ht="12.75" hidden="1" x14ac:dyDescent="0.2">
      <c r="A536" s="9">
        <v>75</v>
      </c>
      <c r="B536" s="10" t="s">
        <v>98</v>
      </c>
      <c r="C536" s="6" t="s">
        <v>125</v>
      </c>
      <c r="D536" s="6" t="s">
        <v>134</v>
      </c>
      <c r="E536" s="11">
        <v>26</v>
      </c>
      <c r="F536" s="6"/>
      <c r="G536" s="57"/>
      <c r="H536" s="6"/>
      <c r="I536" s="6"/>
      <c r="J536" s="6"/>
    </row>
    <row r="537" spans="1:10" ht="12.75" hidden="1" x14ac:dyDescent="0.2">
      <c r="A537" s="9">
        <v>75</v>
      </c>
      <c r="B537" s="10" t="s">
        <v>98</v>
      </c>
      <c r="C537" s="6" t="s">
        <v>125</v>
      </c>
      <c r="D537" s="6" t="s">
        <v>126</v>
      </c>
      <c r="E537" s="11">
        <v>1051</v>
      </c>
      <c r="F537" s="6"/>
      <c r="G537" s="57"/>
      <c r="H537" s="6"/>
      <c r="I537" s="6"/>
      <c r="J537" s="6"/>
    </row>
    <row r="538" spans="1:10" ht="12.75" hidden="1" x14ac:dyDescent="0.2">
      <c r="A538" s="9">
        <v>75</v>
      </c>
      <c r="B538" s="10" t="s">
        <v>98</v>
      </c>
      <c r="C538" s="6" t="s">
        <v>125</v>
      </c>
      <c r="D538" s="6" t="s">
        <v>138</v>
      </c>
      <c r="E538" s="11">
        <v>36</v>
      </c>
      <c r="F538" s="6"/>
      <c r="G538" s="57"/>
      <c r="H538" s="6"/>
      <c r="I538" s="6"/>
      <c r="J538" s="6"/>
    </row>
    <row r="539" spans="1:10" ht="12.75" hidden="1" x14ac:dyDescent="0.2">
      <c r="A539" s="9">
        <v>75</v>
      </c>
      <c r="B539" s="10" t="s">
        <v>98</v>
      </c>
      <c r="C539" s="6" t="s">
        <v>125</v>
      </c>
      <c r="D539" s="6" t="s">
        <v>14</v>
      </c>
      <c r="E539" s="11">
        <v>26</v>
      </c>
      <c r="F539" s="11">
        <v>2445</v>
      </c>
      <c r="G539" s="57"/>
      <c r="H539" s="6"/>
      <c r="I539" s="6"/>
      <c r="J539" s="6"/>
    </row>
    <row r="540" spans="1:10" ht="12.75" hidden="1" x14ac:dyDescent="0.2">
      <c r="A540" s="9">
        <v>76</v>
      </c>
      <c r="B540" s="10" t="s">
        <v>99</v>
      </c>
      <c r="C540" s="6" t="s">
        <v>125</v>
      </c>
      <c r="D540" s="6" t="s">
        <v>3</v>
      </c>
      <c r="E540" s="11">
        <v>116</v>
      </c>
      <c r="F540" s="6"/>
      <c r="G540" s="58">
        <v>294</v>
      </c>
      <c r="H540" s="6"/>
      <c r="I540" s="6"/>
      <c r="J540" s="6"/>
    </row>
    <row r="541" spans="1:10" ht="12.75" hidden="1" x14ac:dyDescent="0.2">
      <c r="A541" s="9">
        <v>76</v>
      </c>
      <c r="B541" s="10" t="s">
        <v>99</v>
      </c>
      <c r="C541" s="6" t="s">
        <v>125</v>
      </c>
      <c r="D541" s="6" t="s">
        <v>16</v>
      </c>
      <c r="E541" s="11">
        <v>3</v>
      </c>
      <c r="F541" s="6"/>
      <c r="G541" s="57"/>
      <c r="H541" s="6"/>
      <c r="I541" s="6"/>
      <c r="J541" s="6"/>
    </row>
    <row r="542" spans="1:10" ht="12.75" hidden="1" x14ac:dyDescent="0.2">
      <c r="A542" s="9">
        <v>76</v>
      </c>
      <c r="B542" s="10" t="s">
        <v>99</v>
      </c>
      <c r="C542" s="6" t="s">
        <v>125</v>
      </c>
      <c r="D542" s="6" t="s">
        <v>129</v>
      </c>
      <c r="E542" s="11">
        <v>4</v>
      </c>
      <c r="F542" s="6"/>
      <c r="G542" s="57"/>
      <c r="H542" s="6"/>
      <c r="I542" s="6"/>
      <c r="J542" s="6"/>
    </row>
    <row r="543" spans="1:10" ht="12.75" hidden="1" x14ac:dyDescent="0.2">
      <c r="A543" s="9">
        <v>76</v>
      </c>
      <c r="B543" s="10" t="s">
        <v>99</v>
      </c>
      <c r="C543" s="6" t="s">
        <v>125</v>
      </c>
      <c r="D543" s="6" t="s">
        <v>132</v>
      </c>
      <c r="E543" s="11">
        <v>4</v>
      </c>
      <c r="F543" s="6"/>
      <c r="G543" s="57"/>
      <c r="H543" s="6"/>
      <c r="I543" s="6"/>
      <c r="J543" s="6"/>
    </row>
    <row r="544" spans="1:10" ht="12.75" hidden="1" x14ac:dyDescent="0.2">
      <c r="A544" s="9">
        <v>76</v>
      </c>
      <c r="B544" s="10" t="s">
        <v>99</v>
      </c>
      <c r="C544" s="6" t="s">
        <v>125</v>
      </c>
      <c r="D544" s="6" t="s">
        <v>134</v>
      </c>
      <c r="E544" s="11">
        <v>4</v>
      </c>
      <c r="F544" s="6"/>
      <c r="G544" s="57"/>
      <c r="H544" s="6"/>
      <c r="I544" s="6"/>
      <c r="J544" s="6"/>
    </row>
    <row r="545" spans="1:10" ht="12.75" hidden="1" x14ac:dyDescent="0.2">
      <c r="A545" s="9">
        <v>76</v>
      </c>
      <c r="B545" s="10" t="s">
        <v>99</v>
      </c>
      <c r="C545" s="6" t="s">
        <v>125</v>
      </c>
      <c r="D545" s="6" t="s">
        <v>126</v>
      </c>
      <c r="E545" s="11">
        <v>101</v>
      </c>
      <c r="F545" s="6"/>
      <c r="G545" s="57"/>
      <c r="H545" s="6"/>
      <c r="I545" s="6"/>
      <c r="J545" s="6"/>
    </row>
    <row r="546" spans="1:10" ht="12.75" hidden="1" x14ac:dyDescent="0.2">
      <c r="A546" s="9">
        <v>76</v>
      </c>
      <c r="B546" s="10" t="s">
        <v>99</v>
      </c>
      <c r="C546" s="6" t="s">
        <v>125</v>
      </c>
      <c r="D546" s="6" t="s">
        <v>138</v>
      </c>
      <c r="E546" s="11">
        <v>6</v>
      </c>
      <c r="F546" s="6"/>
      <c r="G546" s="57"/>
      <c r="H546" s="6"/>
      <c r="I546" s="6"/>
      <c r="J546" s="6"/>
    </row>
    <row r="547" spans="1:10" ht="12.75" hidden="1" x14ac:dyDescent="0.2">
      <c r="A547" s="9">
        <v>76</v>
      </c>
      <c r="B547" s="10" t="s">
        <v>99</v>
      </c>
      <c r="C547" s="6" t="s">
        <v>125</v>
      </c>
      <c r="D547" s="6" t="s">
        <v>14</v>
      </c>
      <c r="E547" s="11">
        <v>1</v>
      </c>
      <c r="F547" s="11">
        <v>239</v>
      </c>
      <c r="G547" s="57"/>
      <c r="H547" s="6"/>
      <c r="I547" s="6"/>
      <c r="J547" s="6"/>
    </row>
    <row r="548" spans="1:10" ht="12.75" hidden="1" x14ac:dyDescent="0.2">
      <c r="A548" s="9">
        <v>77</v>
      </c>
      <c r="B548" s="10" t="s">
        <v>100</v>
      </c>
      <c r="C548" s="6" t="s">
        <v>125</v>
      </c>
      <c r="D548" s="6" t="s">
        <v>3</v>
      </c>
      <c r="E548" s="11">
        <v>388</v>
      </c>
      <c r="F548" s="6"/>
      <c r="G548" s="58">
        <v>1306</v>
      </c>
      <c r="H548" s="6"/>
      <c r="I548" s="6"/>
      <c r="J548" s="6"/>
    </row>
    <row r="549" spans="1:10" ht="12.75" hidden="1" x14ac:dyDescent="0.2">
      <c r="A549" s="9">
        <v>77</v>
      </c>
      <c r="B549" s="10" t="s">
        <v>100</v>
      </c>
      <c r="C549" s="6" t="s">
        <v>125</v>
      </c>
      <c r="D549" s="6" t="s">
        <v>16</v>
      </c>
      <c r="E549" s="11">
        <v>10</v>
      </c>
      <c r="F549" s="6"/>
      <c r="G549" s="57"/>
      <c r="H549" s="6"/>
      <c r="I549" s="6"/>
      <c r="J549" s="6"/>
    </row>
    <row r="550" spans="1:10" ht="12.75" hidden="1" x14ac:dyDescent="0.2">
      <c r="A550" s="9">
        <v>77</v>
      </c>
      <c r="B550" s="10" t="s">
        <v>100</v>
      </c>
      <c r="C550" s="6" t="s">
        <v>125</v>
      </c>
      <c r="D550" s="6" t="s">
        <v>129</v>
      </c>
      <c r="E550" s="11">
        <v>9</v>
      </c>
      <c r="F550" s="6"/>
      <c r="G550" s="57"/>
      <c r="H550" s="6"/>
      <c r="I550" s="6"/>
      <c r="J550" s="6"/>
    </row>
    <row r="551" spans="1:10" ht="12.75" hidden="1" x14ac:dyDescent="0.2">
      <c r="A551" s="9">
        <v>77</v>
      </c>
      <c r="B551" s="10" t="s">
        <v>100</v>
      </c>
      <c r="C551" s="6" t="s">
        <v>125</v>
      </c>
      <c r="D551" s="6" t="s">
        <v>132</v>
      </c>
      <c r="E551" s="11">
        <v>46</v>
      </c>
      <c r="F551" s="6"/>
      <c r="G551" s="57"/>
      <c r="H551" s="6"/>
      <c r="I551" s="6"/>
      <c r="J551" s="6"/>
    </row>
    <row r="552" spans="1:10" ht="12.75" hidden="1" x14ac:dyDescent="0.2">
      <c r="A552" s="9">
        <v>77</v>
      </c>
      <c r="B552" s="10" t="s">
        <v>100</v>
      </c>
      <c r="C552" s="6" t="s">
        <v>125</v>
      </c>
      <c r="D552" s="6" t="s">
        <v>134</v>
      </c>
      <c r="E552" s="11">
        <v>6</v>
      </c>
      <c r="F552" s="6"/>
      <c r="G552" s="57"/>
      <c r="H552" s="6"/>
      <c r="I552" s="6"/>
      <c r="J552" s="6"/>
    </row>
    <row r="553" spans="1:10" ht="12.75" hidden="1" x14ac:dyDescent="0.2">
      <c r="A553" s="9">
        <v>77</v>
      </c>
      <c r="B553" s="10" t="s">
        <v>100</v>
      </c>
      <c r="C553" s="6" t="s">
        <v>125</v>
      </c>
      <c r="D553" s="6" t="s">
        <v>126</v>
      </c>
      <c r="E553" s="11">
        <v>557</v>
      </c>
      <c r="F553" s="6"/>
      <c r="G553" s="57"/>
      <c r="H553" s="6"/>
      <c r="I553" s="6"/>
      <c r="J553" s="6"/>
    </row>
    <row r="554" spans="1:10" ht="12.75" hidden="1" x14ac:dyDescent="0.2">
      <c r="A554" s="9">
        <v>77</v>
      </c>
      <c r="B554" s="10" t="s">
        <v>100</v>
      </c>
      <c r="C554" s="6" t="s">
        <v>125</v>
      </c>
      <c r="D554" s="6" t="s">
        <v>138</v>
      </c>
      <c r="E554" s="11">
        <v>9</v>
      </c>
      <c r="F554" s="6"/>
      <c r="G554" s="57"/>
      <c r="H554" s="6"/>
      <c r="I554" s="6"/>
      <c r="J554" s="6"/>
    </row>
    <row r="555" spans="1:10" ht="12.75" hidden="1" x14ac:dyDescent="0.2">
      <c r="A555" s="9">
        <v>77</v>
      </c>
      <c r="B555" s="10" t="s">
        <v>100</v>
      </c>
      <c r="C555" s="6" t="s">
        <v>125</v>
      </c>
      <c r="D555" s="6" t="s">
        <v>14</v>
      </c>
      <c r="E555" s="11">
        <v>37</v>
      </c>
      <c r="F555" s="11">
        <v>1062</v>
      </c>
      <c r="G555" s="57"/>
      <c r="H555" s="6"/>
      <c r="I555" s="6"/>
      <c r="J555" s="6"/>
    </row>
    <row r="556" spans="1:10" ht="12.75" hidden="1" x14ac:dyDescent="0.2">
      <c r="A556" s="9">
        <v>78</v>
      </c>
      <c r="B556" s="10" t="s">
        <v>101</v>
      </c>
      <c r="C556" s="6" t="s">
        <v>125</v>
      </c>
      <c r="D556" s="6" t="s">
        <v>3</v>
      </c>
      <c r="E556" s="11">
        <v>71</v>
      </c>
      <c r="F556" s="6"/>
      <c r="G556" s="58">
        <v>270</v>
      </c>
      <c r="H556" s="6"/>
      <c r="I556" s="6"/>
      <c r="J556" s="6"/>
    </row>
    <row r="557" spans="1:10" ht="12.75" hidden="1" x14ac:dyDescent="0.2">
      <c r="A557" s="9">
        <v>78</v>
      </c>
      <c r="B557" s="10" t="s">
        <v>101</v>
      </c>
      <c r="C557" s="6" t="s">
        <v>125</v>
      </c>
      <c r="D557" s="6" t="s">
        <v>16</v>
      </c>
      <c r="E557" s="11">
        <v>2</v>
      </c>
      <c r="F557" s="6"/>
      <c r="G557" s="57"/>
      <c r="H557" s="6"/>
      <c r="I557" s="6"/>
      <c r="J557" s="6"/>
    </row>
    <row r="558" spans="1:10" ht="12.75" hidden="1" x14ac:dyDescent="0.2">
      <c r="A558" s="9">
        <v>78</v>
      </c>
      <c r="B558" s="10" t="s">
        <v>101</v>
      </c>
      <c r="C558" s="6" t="s">
        <v>125</v>
      </c>
      <c r="D558" s="6" t="s">
        <v>129</v>
      </c>
      <c r="E558" s="11">
        <v>4</v>
      </c>
      <c r="F558" s="6"/>
      <c r="G558" s="57"/>
      <c r="H558" s="6"/>
      <c r="I558" s="6"/>
      <c r="J558" s="6"/>
    </row>
    <row r="559" spans="1:10" ht="12.75" hidden="1" x14ac:dyDescent="0.2">
      <c r="A559" s="9">
        <v>78</v>
      </c>
      <c r="B559" s="10" t="s">
        <v>101</v>
      </c>
      <c r="C559" s="6" t="s">
        <v>125</v>
      </c>
      <c r="D559" s="6" t="s">
        <v>132</v>
      </c>
      <c r="E559" s="11">
        <v>1</v>
      </c>
      <c r="F559" s="6"/>
      <c r="G559" s="57"/>
      <c r="H559" s="6"/>
      <c r="I559" s="6"/>
      <c r="J559" s="6"/>
    </row>
    <row r="560" spans="1:10" ht="12.75" hidden="1" x14ac:dyDescent="0.2">
      <c r="A560" s="9">
        <v>78</v>
      </c>
      <c r="B560" s="10" t="s">
        <v>101</v>
      </c>
      <c r="C560" s="6" t="s">
        <v>125</v>
      </c>
      <c r="D560" s="6" t="s">
        <v>134</v>
      </c>
      <c r="E560" s="11">
        <v>5</v>
      </c>
      <c r="F560" s="6"/>
      <c r="G560" s="57"/>
      <c r="H560" s="6"/>
      <c r="I560" s="6"/>
      <c r="J560" s="6"/>
    </row>
    <row r="561" spans="1:10" ht="12.75" hidden="1" x14ac:dyDescent="0.2">
      <c r="A561" s="9">
        <v>78</v>
      </c>
      <c r="B561" s="10" t="s">
        <v>101</v>
      </c>
      <c r="C561" s="6" t="s">
        <v>125</v>
      </c>
      <c r="D561" s="6" t="s">
        <v>126</v>
      </c>
      <c r="E561" s="11">
        <v>125</v>
      </c>
      <c r="F561" s="6"/>
      <c r="G561" s="57"/>
      <c r="H561" s="6"/>
      <c r="I561" s="6"/>
      <c r="J561" s="6"/>
    </row>
    <row r="562" spans="1:10" ht="12.75" hidden="1" x14ac:dyDescent="0.2">
      <c r="A562" s="9">
        <v>78</v>
      </c>
      <c r="B562" s="10" t="s">
        <v>101</v>
      </c>
      <c r="C562" s="6" t="s">
        <v>125</v>
      </c>
      <c r="D562" s="6" t="s">
        <v>138</v>
      </c>
      <c r="E562" s="11">
        <v>4</v>
      </c>
      <c r="F562" s="6"/>
      <c r="G562" s="57"/>
      <c r="H562" s="6"/>
      <c r="I562" s="6"/>
      <c r="J562" s="6"/>
    </row>
    <row r="563" spans="1:10" ht="12.75" hidden="1" x14ac:dyDescent="0.2">
      <c r="A563" s="9">
        <v>78</v>
      </c>
      <c r="B563" s="10" t="s">
        <v>101</v>
      </c>
      <c r="C563" s="6" t="s">
        <v>125</v>
      </c>
      <c r="D563" s="6" t="s">
        <v>14</v>
      </c>
      <c r="E563" s="11">
        <v>0</v>
      </c>
      <c r="F563" s="11">
        <v>212</v>
      </c>
      <c r="G563" s="57"/>
      <c r="H563" s="6"/>
      <c r="I563" s="6"/>
      <c r="J563" s="6"/>
    </row>
    <row r="564" spans="1:10" ht="12.75" hidden="1" x14ac:dyDescent="0.2">
      <c r="A564" s="9">
        <v>79</v>
      </c>
      <c r="B564" s="10" t="s">
        <v>102</v>
      </c>
      <c r="C564" s="6" t="s">
        <v>125</v>
      </c>
      <c r="D564" s="6" t="s">
        <v>3</v>
      </c>
      <c r="E564" s="11">
        <v>351</v>
      </c>
      <c r="F564" s="6"/>
      <c r="G564" s="58">
        <v>1193</v>
      </c>
      <c r="H564" s="6"/>
      <c r="I564" s="6"/>
      <c r="J564" s="6"/>
    </row>
    <row r="565" spans="1:10" ht="12.75" hidden="1" x14ac:dyDescent="0.2">
      <c r="A565" s="9">
        <v>79</v>
      </c>
      <c r="B565" s="10" t="s">
        <v>102</v>
      </c>
      <c r="C565" s="6" t="s">
        <v>125</v>
      </c>
      <c r="D565" s="6" t="s">
        <v>16</v>
      </c>
      <c r="E565" s="11">
        <v>6</v>
      </c>
      <c r="F565" s="6"/>
      <c r="G565" s="57"/>
      <c r="H565" s="6"/>
      <c r="I565" s="6"/>
      <c r="J565" s="6"/>
    </row>
    <row r="566" spans="1:10" ht="12.75" hidden="1" x14ac:dyDescent="0.2">
      <c r="A566" s="9">
        <v>79</v>
      </c>
      <c r="B566" s="10" t="s">
        <v>102</v>
      </c>
      <c r="C566" s="6" t="s">
        <v>125</v>
      </c>
      <c r="D566" s="6" t="s">
        <v>129</v>
      </c>
      <c r="E566" s="11">
        <v>13</v>
      </c>
      <c r="F566" s="6"/>
      <c r="G566" s="57"/>
      <c r="H566" s="6"/>
      <c r="I566" s="6"/>
      <c r="J566" s="6"/>
    </row>
    <row r="567" spans="1:10" ht="12.75" hidden="1" x14ac:dyDescent="0.2">
      <c r="A567" s="9">
        <v>79</v>
      </c>
      <c r="B567" s="10" t="s">
        <v>102</v>
      </c>
      <c r="C567" s="6" t="s">
        <v>125</v>
      </c>
      <c r="D567" s="6" t="s">
        <v>132</v>
      </c>
      <c r="E567" s="11">
        <v>44</v>
      </c>
      <c r="F567" s="6"/>
      <c r="G567" s="57"/>
      <c r="H567" s="6"/>
      <c r="I567" s="6"/>
      <c r="J567" s="6"/>
    </row>
    <row r="568" spans="1:10" ht="12.75" hidden="1" x14ac:dyDescent="0.2">
      <c r="A568" s="9">
        <v>79</v>
      </c>
      <c r="B568" s="10" t="s">
        <v>102</v>
      </c>
      <c r="C568" s="6" t="s">
        <v>125</v>
      </c>
      <c r="D568" s="6" t="s">
        <v>134</v>
      </c>
      <c r="E568" s="11">
        <v>10</v>
      </c>
      <c r="F568" s="6"/>
      <c r="G568" s="57"/>
      <c r="H568" s="6"/>
      <c r="I568" s="6"/>
      <c r="J568" s="6"/>
    </row>
    <row r="569" spans="1:10" ht="12.75" hidden="1" x14ac:dyDescent="0.2">
      <c r="A569" s="9">
        <v>79</v>
      </c>
      <c r="B569" s="10" t="s">
        <v>102</v>
      </c>
      <c r="C569" s="6" t="s">
        <v>125</v>
      </c>
      <c r="D569" s="6" t="s">
        <v>126</v>
      </c>
      <c r="E569" s="11">
        <v>488</v>
      </c>
      <c r="F569" s="6"/>
      <c r="G569" s="57"/>
      <c r="H569" s="6"/>
      <c r="I569" s="6"/>
      <c r="J569" s="6"/>
    </row>
    <row r="570" spans="1:10" ht="12.75" hidden="1" x14ac:dyDescent="0.2">
      <c r="A570" s="9">
        <v>79</v>
      </c>
      <c r="B570" s="10" t="s">
        <v>102</v>
      </c>
      <c r="C570" s="6" t="s">
        <v>125</v>
      </c>
      <c r="D570" s="6" t="s">
        <v>138</v>
      </c>
      <c r="E570" s="11">
        <v>12</v>
      </c>
      <c r="F570" s="6"/>
      <c r="G570" s="57"/>
      <c r="H570" s="6"/>
      <c r="I570" s="6"/>
      <c r="J570" s="6"/>
    </row>
    <row r="571" spans="1:10" ht="12.75" hidden="1" x14ac:dyDescent="0.2">
      <c r="A571" s="9">
        <v>79</v>
      </c>
      <c r="B571" s="10" t="s">
        <v>102</v>
      </c>
      <c r="C571" s="6" t="s">
        <v>125</v>
      </c>
      <c r="D571" s="6" t="s">
        <v>14</v>
      </c>
      <c r="E571" s="11">
        <v>14</v>
      </c>
      <c r="F571" s="11">
        <v>938</v>
      </c>
      <c r="G571" s="57"/>
      <c r="H571" s="6"/>
      <c r="I571" s="6"/>
      <c r="J571" s="6"/>
    </row>
    <row r="572" spans="1:10" ht="12.75" hidden="1" x14ac:dyDescent="0.2">
      <c r="A572" s="9">
        <v>80</v>
      </c>
      <c r="B572" s="10" t="s">
        <v>103</v>
      </c>
      <c r="C572" s="6" t="s">
        <v>125</v>
      </c>
      <c r="D572" s="6" t="s">
        <v>3</v>
      </c>
      <c r="E572" s="11">
        <v>104</v>
      </c>
      <c r="F572" s="6"/>
      <c r="G572" s="58">
        <v>187</v>
      </c>
      <c r="H572" s="6"/>
      <c r="I572" s="6"/>
      <c r="J572" s="6"/>
    </row>
    <row r="573" spans="1:10" ht="12.75" hidden="1" x14ac:dyDescent="0.2">
      <c r="A573" s="9">
        <v>80</v>
      </c>
      <c r="B573" s="10" t="s">
        <v>103</v>
      </c>
      <c r="C573" s="6" t="s">
        <v>125</v>
      </c>
      <c r="D573" s="6" t="s">
        <v>16</v>
      </c>
      <c r="E573" s="11">
        <v>2</v>
      </c>
      <c r="F573" s="6"/>
      <c r="G573" s="57"/>
      <c r="H573" s="6"/>
      <c r="I573" s="6"/>
      <c r="J573" s="6"/>
    </row>
    <row r="574" spans="1:10" ht="12.75" hidden="1" x14ac:dyDescent="0.2">
      <c r="A574" s="9">
        <v>80</v>
      </c>
      <c r="B574" s="10" t="s">
        <v>103</v>
      </c>
      <c r="C574" s="6" t="s">
        <v>125</v>
      </c>
      <c r="D574" s="6" t="s">
        <v>129</v>
      </c>
      <c r="E574" s="11">
        <v>2</v>
      </c>
      <c r="F574" s="6"/>
      <c r="G574" s="57"/>
      <c r="H574" s="6"/>
      <c r="I574" s="6"/>
      <c r="J574" s="6"/>
    </row>
    <row r="575" spans="1:10" ht="12.75" hidden="1" x14ac:dyDescent="0.2">
      <c r="A575" s="9">
        <v>80</v>
      </c>
      <c r="B575" s="10" t="s">
        <v>103</v>
      </c>
      <c r="C575" s="6" t="s">
        <v>125</v>
      </c>
      <c r="D575" s="6" t="s">
        <v>132</v>
      </c>
      <c r="E575" s="11">
        <v>0</v>
      </c>
      <c r="F575" s="6"/>
      <c r="G575" s="57"/>
      <c r="H575" s="6"/>
      <c r="I575" s="6"/>
      <c r="J575" s="6"/>
    </row>
    <row r="576" spans="1:10" ht="12.75" hidden="1" x14ac:dyDescent="0.2">
      <c r="A576" s="9">
        <v>80</v>
      </c>
      <c r="B576" s="10" t="s">
        <v>103</v>
      </c>
      <c r="C576" s="6" t="s">
        <v>125</v>
      </c>
      <c r="D576" s="6" t="s">
        <v>134</v>
      </c>
      <c r="E576" s="11">
        <v>1</v>
      </c>
      <c r="F576" s="6"/>
      <c r="G576" s="57"/>
      <c r="H576" s="6"/>
      <c r="I576" s="6"/>
      <c r="J576" s="6"/>
    </row>
    <row r="577" spans="1:10" ht="12.75" hidden="1" x14ac:dyDescent="0.2">
      <c r="A577" s="9">
        <v>80</v>
      </c>
      <c r="B577" s="10" t="s">
        <v>103</v>
      </c>
      <c r="C577" s="6" t="s">
        <v>125</v>
      </c>
      <c r="D577" s="6" t="s">
        <v>126</v>
      </c>
      <c r="E577" s="11">
        <v>51</v>
      </c>
      <c r="F577" s="6"/>
      <c r="G577" s="57"/>
      <c r="H577" s="6"/>
      <c r="I577" s="6"/>
      <c r="J577" s="6"/>
    </row>
    <row r="578" spans="1:10" ht="12.75" hidden="1" x14ac:dyDescent="0.2">
      <c r="A578" s="9">
        <v>80</v>
      </c>
      <c r="B578" s="10" t="s">
        <v>103</v>
      </c>
      <c r="C578" s="6" t="s">
        <v>125</v>
      </c>
      <c r="D578" s="6" t="s">
        <v>138</v>
      </c>
      <c r="E578" s="11">
        <v>1</v>
      </c>
      <c r="F578" s="6"/>
      <c r="G578" s="57"/>
      <c r="H578" s="6"/>
      <c r="I578" s="6"/>
      <c r="J578" s="6"/>
    </row>
    <row r="579" spans="1:10" ht="12.75" hidden="1" x14ac:dyDescent="0.2">
      <c r="A579" s="9">
        <v>80</v>
      </c>
      <c r="B579" s="10" t="s">
        <v>103</v>
      </c>
      <c r="C579" s="6" t="s">
        <v>125</v>
      </c>
      <c r="D579" s="6" t="s">
        <v>14</v>
      </c>
      <c r="E579" s="11">
        <v>2</v>
      </c>
      <c r="F579" s="11">
        <v>163</v>
      </c>
      <c r="G579" s="57"/>
      <c r="H579" s="6"/>
      <c r="I579" s="6"/>
      <c r="J579" s="6"/>
    </row>
    <row r="580" spans="1:10" ht="12.75" hidden="1" x14ac:dyDescent="0.2">
      <c r="A580" s="9">
        <v>81</v>
      </c>
      <c r="B580" s="10" t="s">
        <v>104</v>
      </c>
      <c r="C580" s="6" t="s">
        <v>125</v>
      </c>
      <c r="D580" s="6" t="s">
        <v>3</v>
      </c>
      <c r="E580" s="11">
        <v>1528</v>
      </c>
      <c r="F580" s="6"/>
      <c r="G580" s="58">
        <v>4220</v>
      </c>
      <c r="H580" s="6"/>
      <c r="I580" s="6"/>
      <c r="J580" s="6"/>
    </row>
    <row r="581" spans="1:10" ht="12.75" hidden="1" x14ac:dyDescent="0.2">
      <c r="A581" s="9">
        <v>81</v>
      </c>
      <c r="B581" s="10" t="s">
        <v>104</v>
      </c>
      <c r="C581" s="6" t="s">
        <v>125</v>
      </c>
      <c r="D581" s="6" t="s">
        <v>16</v>
      </c>
      <c r="E581" s="11">
        <v>27</v>
      </c>
      <c r="F581" s="6"/>
      <c r="G581" s="57"/>
      <c r="H581" s="6"/>
      <c r="I581" s="6"/>
      <c r="J581" s="6"/>
    </row>
    <row r="582" spans="1:10" ht="12.75" hidden="1" x14ac:dyDescent="0.2">
      <c r="A582" s="9">
        <v>81</v>
      </c>
      <c r="B582" s="10" t="s">
        <v>104</v>
      </c>
      <c r="C582" s="6" t="s">
        <v>125</v>
      </c>
      <c r="D582" s="6" t="s">
        <v>129</v>
      </c>
      <c r="E582" s="11">
        <v>16</v>
      </c>
      <c r="F582" s="6"/>
      <c r="G582" s="57"/>
      <c r="H582" s="6"/>
      <c r="I582" s="6"/>
      <c r="J582" s="6"/>
    </row>
    <row r="583" spans="1:10" ht="12.75" hidden="1" x14ac:dyDescent="0.2">
      <c r="A583" s="9">
        <v>81</v>
      </c>
      <c r="B583" s="10" t="s">
        <v>104</v>
      </c>
      <c r="C583" s="6" t="s">
        <v>125</v>
      </c>
      <c r="D583" s="6" t="s">
        <v>132</v>
      </c>
      <c r="E583" s="11">
        <v>45</v>
      </c>
      <c r="F583" s="6"/>
      <c r="G583" s="57"/>
      <c r="H583" s="6"/>
      <c r="I583" s="6"/>
      <c r="J583" s="6"/>
    </row>
    <row r="584" spans="1:10" ht="12.75" hidden="1" x14ac:dyDescent="0.2">
      <c r="A584" s="9">
        <v>81</v>
      </c>
      <c r="B584" s="10" t="s">
        <v>104</v>
      </c>
      <c r="C584" s="6" t="s">
        <v>125</v>
      </c>
      <c r="D584" s="6" t="s">
        <v>134</v>
      </c>
      <c r="E584" s="11">
        <v>40</v>
      </c>
      <c r="F584" s="6"/>
      <c r="G584" s="57"/>
      <c r="H584" s="6"/>
      <c r="I584" s="6"/>
      <c r="J584" s="6"/>
    </row>
    <row r="585" spans="1:10" ht="12.75" hidden="1" x14ac:dyDescent="0.2">
      <c r="A585" s="9">
        <v>81</v>
      </c>
      <c r="B585" s="10" t="s">
        <v>104</v>
      </c>
      <c r="C585" s="6" t="s">
        <v>125</v>
      </c>
      <c r="D585" s="6" t="s">
        <v>126</v>
      </c>
      <c r="E585" s="11">
        <v>1599</v>
      </c>
      <c r="F585" s="6"/>
      <c r="G585" s="57"/>
      <c r="H585" s="6"/>
      <c r="I585" s="6"/>
      <c r="J585" s="6"/>
    </row>
    <row r="586" spans="1:10" ht="12.75" hidden="1" x14ac:dyDescent="0.2">
      <c r="A586" s="9">
        <v>81</v>
      </c>
      <c r="B586" s="10" t="s">
        <v>104</v>
      </c>
      <c r="C586" s="6" t="s">
        <v>125</v>
      </c>
      <c r="D586" s="6" t="s">
        <v>138</v>
      </c>
      <c r="E586" s="11">
        <v>53</v>
      </c>
      <c r="F586" s="6"/>
      <c r="G586" s="57"/>
      <c r="H586" s="6"/>
      <c r="I586" s="6"/>
      <c r="J586" s="6"/>
    </row>
    <row r="587" spans="1:10" ht="12.75" hidden="1" x14ac:dyDescent="0.2">
      <c r="A587" s="9">
        <v>81</v>
      </c>
      <c r="B587" s="10" t="s">
        <v>104</v>
      </c>
      <c r="C587" s="6" t="s">
        <v>125</v>
      </c>
      <c r="D587" s="6" t="s">
        <v>14</v>
      </c>
      <c r="E587" s="11">
        <v>25</v>
      </c>
      <c r="F587" s="11">
        <v>3333</v>
      </c>
      <c r="G587" s="57"/>
      <c r="H587" s="6"/>
      <c r="I587" s="6"/>
      <c r="J587" s="6"/>
    </row>
    <row r="588" spans="1:10" ht="12.75" hidden="1" x14ac:dyDescent="0.2">
      <c r="A588" s="9">
        <v>82</v>
      </c>
      <c r="B588" s="10" t="s">
        <v>105</v>
      </c>
      <c r="C588" s="6" t="s">
        <v>125</v>
      </c>
      <c r="D588" s="6" t="s">
        <v>3</v>
      </c>
      <c r="E588" s="11">
        <v>2177</v>
      </c>
      <c r="F588" s="6"/>
      <c r="G588" s="58">
        <v>6960</v>
      </c>
      <c r="H588" s="6"/>
      <c r="I588" s="6"/>
      <c r="J588" s="6"/>
    </row>
    <row r="589" spans="1:10" ht="12.75" hidden="1" x14ac:dyDescent="0.2">
      <c r="A589" s="9">
        <v>82</v>
      </c>
      <c r="B589" s="10" t="s">
        <v>105</v>
      </c>
      <c r="C589" s="6" t="s">
        <v>125</v>
      </c>
      <c r="D589" s="6" t="s">
        <v>16</v>
      </c>
      <c r="E589" s="11">
        <v>51</v>
      </c>
      <c r="F589" s="6"/>
      <c r="G589" s="57"/>
      <c r="H589" s="6"/>
      <c r="I589" s="6"/>
      <c r="J589" s="6"/>
    </row>
    <row r="590" spans="1:10" ht="12.75" hidden="1" x14ac:dyDescent="0.2">
      <c r="A590" s="9">
        <v>82</v>
      </c>
      <c r="B590" s="10" t="s">
        <v>105</v>
      </c>
      <c r="C590" s="6" t="s">
        <v>125</v>
      </c>
      <c r="D590" s="6" t="s">
        <v>129</v>
      </c>
      <c r="E590" s="11">
        <v>63</v>
      </c>
      <c r="F590" s="6"/>
      <c r="G590" s="57"/>
      <c r="H590" s="6"/>
      <c r="I590" s="6"/>
      <c r="J590" s="6"/>
    </row>
    <row r="591" spans="1:10" ht="12.75" hidden="1" x14ac:dyDescent="0.2">
      <c r="A591" s="9">
        <v>82</v>
      </c>
      <c r="B591" s="10" t="s">
        <v>105</v>
      </c>
      <c r="C591" s="6" t="s">
        <v>125</v>
      </c>
      <c r="D591" s="6" t="s">
        <v>132</v>
      </c>
      <c r="E591" s="11">
        <v>87</v>
      </c>
      <c r="F591" s="6"/>
      <c r="G591" s="57"/>
      <c r="H591" s="6"/>
      <c r="I591" s="6"/>
      <c r="J591" s="6"/>
    </row>
    <row r="592" spans="1:10" ht="12.75" hidden="1" x14ac:dyDescent="0.2">
      <c r="A592" s="9">
        <v>82</v>
      </c>
      <c r="B592" s="10" t="s">
        <v>105</v>
      </c>
      <c r="C592" s="6" t="s">
        <v>125</v>
      </c>
      <c r="D592" s="6" t="s">
        <v>134</v>
      </c>
      <c r="E592" s="11">
        <v>87</v>
      </c>
      <c r="F592" s="6"/>
      <c r="G592" s="57"/>
      <c r="H592" s="6"/>
      <c r="I592" s="6"/>
      <c r="J592" s="6"/>
    </row>
    <row r="593" spans="1:10" ht="12.75" hidden="1" x14ac:dyDescent="0.2">
      <c r="A593" s="9">
        <v>82</v>
      </c>
      <c r="B593" s="10" t="s">
        <v>105</v>
      </c>
      <c r="C593" s="6" t="s">
        <v>125</v>
      </c>
      <c r="D593" s="6" t="s">
        <v>126</v>
      </c>
      <c r="E593" s="11">
        <v>2614</v>
      </c>
      <c r="F593" s="6"/>
      <c r="G593" s="57"/>
      <c r="H593" s="6"/>
      <c r="I593" s="6"/>
      <c r="J593" s="6"/>
    </row>
    <row r="594" spans="1:10" ht="12.75" hidden="1" x14ac:dyDescent="0.2">
      <c r="A594" s="9">
        <v>82</v>
      </c>
      <c r="B594" s="10" t="s">
        <v>105</v>
      </c>
      <c r="C594" s="6" t="s">
        <v>125</v>
      </c>
      <c r="D594" s="6" t="s">
        <v>138</v>
      </c>
      <c r="E594" s="11">
        <v>123</v>
      </c>
      <c r="F594" s="6"/>
      <c r="G594" s="57"/>
      <c r="H594" s="6"/>
      <c r="I594" s="6"/>
      <c r="J594" s="6"/>
    </row>
    <row r="595" spans="1:10" ht="12.75" hidden="1" x14ac:dyDescent="0.2">
      <c r="A595" s="9">
        <v>82</v>
      </c>
      <c r="B595" s="10" t="s">
        <v>105</v>
      </c>
      <c r="C595" s="6" t="s">
        <v>125</v>
      </c>
      <c r="D595" s="6" t="s">
        <v>14</v>
      </c>
      <c r="E595" s="11">
        <v>47</v>
      </c>
      <c r="F595" s="11">
        <v>5249</v>
      </c>
      <c r="G595" s="57"/>
      <c r="H595" s="6"/>
      <c r="I595" s="6"/>
      <c r="J595" s="6"/>
    </row>
    <row r="596" spans="1:10" ht="12.75" hidden="1" x14ac:dyDescent="0.2">
      <c r="A596" s="9">
        <v>83</v>
      </c>
      <c r="B596" s="10" t="s">
        <v>157</v>
      </c>
      <c r="C596" s="6" t="s">
        <v>125</v>
      </c>
      <c r="D596" s="6" t="s">
        <v>3</v>
      </c>
      <c r="E596" s="11">
        <v>1</v>
      </c>
      <c r="F596" s="6"/>
      <c r="G596" s="58">
        <v>1</v>
      </c>
      <c r="H596" s="6"/>
      <c r="I596" s="6"/>
      <c r="J596" s="6"/>
    </row>
    <row r="597" spans="1:10" ht="12.75" hidden="1" x14ac:dyDescent="0.2">
      <c r="A597" s="9">
        <v>83</v>
      </c>
      <c r="B597" s="10" t="s">
        <v>157</v>
      </c>
      <c r="C597" s="6" t="s">
        <v>125</v>
      </c>
      <c r="D597" s="6" t="s">
        <v>16</v>
      </c>
      <c r="E597" s="11">
        <v>0</v>
      </c>
      <c r="F597" s="6"/>
      <c r="G597" s="57"/>
      <c r="H597" s="6"/>
      <c r="I597" s="6"/>
      <c r="J597" s="6"/>
    </row>
    <row r="598" spans="1:10" ht="12.75" hidden="1" x14ac:dyDescent="0.2">
      <c r="A598" s="9">
        <v>83</v>
      </c>
      <c r="B598" s="10" t="s">
        <v>157</v>
      </c>
      <c r="C598" s="6" t="s">
        <v>125</v>
      </c>
      <c r="D598" s="6" t="s">
        <v>129</v>
      </c>
      <c r="E598" s="11">
        <v>0</v>
      </c>
      <c r="F598" s="6"/>
      <c r="G598" s="57"/>
      <c r="H598" s="6"/>
      <c r="I598" s="6"/>
      <c r="J598" s="6"/>
    </row>
    <row r="599" spans="1:10" ht="12.75" hidden="1" x14ac:dyDescent="0.2">
      <c r="A599" s="9">
        <v>83</v>
      </c>
      <c r="B599" s="10" t="s">
        <v>157</v>
      </c>
      <c r="C599" s="6" t="s">
        <v>125</v>
      </c>
      <c r="D599" s="6" t="s">
        <v>132</v>
      </c>
      <c r="E599" s="11">
        <v>0</v>
      </c>
      <c r="F599" s="6"/>
      <c r="G599" s="57"/>
      <c r="H599" s="6"/>
      <c r="I599" s="6"/>
      <c r="J599" s="6"/>
    </row>
    <row r="600" spans="1:10" ht="12.75" hidden="1" x14ac:dyDescent="0.2">
      <c r="A600" s="9">
        <v>83</v>
      </c>
      <c r="B600" s="10" t="s">
        <v>157</v>
      </c>
      <c r="C600" s="6" t="s">
        <v>125</v>
      </c>
      <c r="D600" s="6" t="s">
        <v>134</v>
      </c>
      <c r="E600" s="11">
        <v>0</v>
      </c>
      <c r="F600" s="6"/>
      <c r="G600" s="57"/>
      <c r="H600" s="6"/>
      <c r="I600" s="6"/>
      <c r="J600" s="6"/>
    </row>
    <row r="601" spans="1:10" ht="12.75" hidden="1" x14ac:dyDescent="0.2">
      <c r="A601" s="9">
        <v>83</v>
      </c>
      <c r="B601" s="10" t="s">
        <v>157</v>
      </c>
      <c r="C601" s="6" t="s">
        <v>125</v>
      </c>
      <c r="D601" s="6" t="s">
        <v>126</v>
      </c>
      <c r="E601" s="11">
        <v>1</v>
      </c>
      <c r="F601" s="6"/>
      <c r="G601" s="57"/>
      <c r="H601" s="6"/>
      <c r="I601" s="6"/>
      <c r="J601" s="6"/>
    </row>
    <row r="602" spans="1:10" ht="12.75" hidden="1" x14ac:dyDescent="0.2">
      <c r="A602" s="9">
        <v>83</v>
      </c>
      <c r="B602" s="10" t="s">
        <v>157</v>
      </c>
      <c r="C602" s="6" t="s">
        <v>125</v>
      </c>
      <c r="D602" s="6" t="s">
        <v>138</v>
      </c>
      <c r="E602" s="11">
        <v>0</v>
      </c>
      <c r="F602" s="6"/>
      <c r="G602" s="57"/>
      <c r="H602" s="6"/>
      <c r="I602" s="6"/>
      <c r="J602" s="6"/>
    </row>
    <row r="603" spans="1:10" ht="12.75" hidden="1" x14ac:dyDescent="0.2">
      <c r="A603" s="9">
        <v>83</v>
      </c>
      <c r="B603" s="10" t="s">
        <v>157</v>
      </c>
      <c r="C603" s="6" t="s">
        <v>125</v>
      </c>
      <c r="D603" s="6" t="s">
        <v>14</v>
      </c>
      <c r="E603" s="11">
        <v>0</v>
      </c>
      <c r="F603" s="11">
        <v>2</v>
      </c>
      <c r="G603" s="57"/>
      <c r="H603" s="6"/>
      <c r="I603" s="6"/>
      <c r="J603" s="6"/>
    </row>
    <row r="604" spans="1:10" ht="12.75" hidden="1" x14ac:dyDescent="0.2">
      <c r="A604" s="9">
        <v>84</v>
      </c>
      <c r="B604" s="10" t="s">
        <v>158</v>
      </c>
      <c r="C604" s="6" t="s">
        <v>125</v>
      </c>
      <c r="D604" s="6" t="s">
        <v>3</v>
      </c>
      <c r="E604" s="11">
        <v>1</v>
      </c>
      <c r="F604" s="6"/>
      <c r="G604" s="58">
        <v>11</v>
      </c>
      <c r="H604" s="6"/>
      <c r="I604" s="6"/>
      <c r="J604" s="6"/>
    </row>
    <row r="605" spans="1:10" ht="12.75" hidden="1" x14ac:dyDescent="0.2">
      <c r="A605" s="9">
        <v>84</v>
      </c>
      <c r="B605" s="10" t="s">
        <v>158</v>
      </c>
      <c r="C605" s="6" t="s">
        <v>125</v>
      </c>
      <c r="D605" s="6" t="s">
        <v>16</v>
      </c>
      <c r="E605" s="11">
        <v>0</v>
      </c>
      <c r="F605" s="6"/>
      <c r="G605" s="57"/>
      <c r="H605" s="6"/>
      <c r="I605" s="6"/>
      <c r="J605" s="6"/>
    </row>
    <row r="606" spans="1:10" ht="12.75" hidden="1" x14ac:dyDescent="0.2">
      <c r="A606" s="9">
        <v>84</v>
      </c>
      <c r="B606" s="10" t="s">
        <v>158</v>
      </c>
      <c r="C606" s="6" t="s">
        <v>125</v>
      </c>
      <c r="D606" s="6" t="s">
        <v>129</v>
      </c>
      <c r="E606" s="11">
        <v>0</v>
      </c>
      <c r="F606" s="6"/>
      <c r="G606" s="57"/>
      <c r="H606" s="6"/>
      <c r="I606" s="6"/>
      <c r="J606" s="6"/>
    </row>
    <row r="607" spans="1:10" ht="12.75" hidden="1" x14ac:dyDescent="0.2">
      <c r="A607" s="9">
        <v>84</v>
      </c>
      <c r="B607" s="10" t="s">
        <v>158</v>
      </c>
      <c r="C607" s="6" t="s">
        <v>125</v>
      </c>
      <c r="D607" s="6" t="s">
        <v>132</v>
      </c>
      <c r="E607" s="11">
        <v>0</v>
      </c>
      <c r="F607" s="6"/>
      <c r="G607" s="57"/>
      <c r="H607" s="6"/>
      <c r="I607" s="6"/>
      <c r="J607" s="6"/>
    </row>
    <row r="608" spans="1:10" ht="12.75" hidden="1" x14ac:dyDescent="0.2">
      <c r="A608" s="9">
        <v>84</v>
      </c>
      <c r="B608" s="10" t="s">
        <v>158</v>
      </c>
      <c r="C608" s="6" t="s">
        <v>125</v>
      </c>
      <c r="D608" s="6" t="s">
        <v>134</v>
      </c>
      <c r="E608" s="11">
        <v>0</v>
      </c>
      <c r="F608" s="6"/>
      <c r="G608" s="57"/>
      <c r="H608" s="6"/>
      <c r="I608" s="6"/>
      <c r="J608" s="6"/>
    </row>
    <row r="609" spans="1:10" ht="12.75" hidden="1" x14ac:dyDescent="0.2">
      <c r="A609" s="9">
        <v>84</v>
      </c>
      <c r="B609" s="10" t="s">
        <v>158</v>
      </c>
      <c r="C609" s="6" t="s">
        <v>125</v>
      </c>
      <c r="D609" s="6" t="s">
        <v>126</v>
      </c>
      <c r="E609" s="11">
        <v>4</v>
      </c>
      <c r="F609" s="6"/>
      <c r="G609" s="57"/>
      <c r="H609" s="6"/>
      <c r="I609" s="6"/>
      <c r="J609" s="6"/>
    </row>
    <row r="610" spans="1:10" ht="12.75" hidden="1" x14ac:dyDescent="0.2">
      <c r="A610" s="9">
        <v>84</v>
      </c>
      <c r="B610" s="10" t="s">
        <v>158</v>
      </c>
      <c r="C610" s="6" t="s">
        <v>125</v>
      </c>
      <c r="D610" s="6" t="s">
        <v>138</v>
      </c>
      <c r="E610" s="11">
        <v>0</v>
      </c>
      <c r="F610" s="6"/>
      <c r="G610" s="57"/>
      <c r="H610" s="6"/>
      <c r="I610" s="6"/>
      <c r="J610" s="6"/>
    </row>
    <row r="611" spans="1:10" ht="12.75" hidden="1" x14ac:dyDescent="0.2">
      <c r="A611" s="9">
        <v>84</v>
      </c>
      <c r="B611" s="10" t="s">
        <v>158</v>
      </c>
      <c r="C611" s="6" t="s">
        <v>125</v>
      </c>
      <c r="D611" s="6" t="s">
        <v>14</v>
      </c>
      <c r="E611" s="11">
        <v>0</v>
      </c>
      <c r="F611" s="11">
        <v>5</v>
      </c>
      <c r="G611" s="57"/>
      <c r="H611" s="6"/>
      <c r="I611" s="6"/>
      <c r="J611" s="6"/>
    </row>
    <row r="612" spans="1:10" ht="12.75" hidden="1" x14ac:dyDescent="0.2">
      <c r="A612" s="9">
        <v>85</v>
      </c>
      <c r="B612" s="10" t="s">
        <v>159</v>
      </c>
      <c r="C612" s="6" t="s">
        <v>125</v>
      </c>
      <c r="D612" s="6" t="s">
        <v>3</v>
      </c>
      <c r="E612" s="11">
        <v>2</v>
      </c>
      <c r="F612" s="6"/>
      <c r="G612" s="58">
        <v>3</v>
      </c>
      <c r="H612" s="6"/>
      <c r="I612" s="6"/>
      <c r="J612" s="6"/>
    </row>
    <row r="613" spans="1:10" ht="12.75" hidden="1" x14ac:dyDescent="0.2">
      <c r="A613" s="9">
        <v>85</v>
      </c>
      <c r="B613" s="10" t="s">
        <v>159</v>
      </c>
      <c r="C613" s="6" t="s">
        <v>125</v>
      </c>
      <c r="D613" s="6" t="s">
        <v>16</v>
      </c>
      <c r="E613" s="11">
        <v>0</v>
      </c>
      <c r="F613" s="6"/>
      <c r="G613" s="57"/>
      <c r="H613" s="6"/>
      <c r="I613" s="6"/>
      <c r="J613" s="6"/>
    </row>
    <row r="614" spans="1:10" ht="12.75" hidden="1" x14ac:dyDescent="0.2">
      <c r="A614" s="9">
        <v>85</v>
      </c>
      <c r="B614" s="10" t="s">
        <v>159</v>
      </c>
      <c r="C614" s="6" t="s">
        <v>125</v>
      </c>
      <c r="D614" s="6" t="s">
        <v>129</v>
      </c>
      <c r="E614" s="11">
        <v>0</v>
      </c>
      <c r="F614" s="6"/>
      <c r="G614" s="57"/>
      <c r="H614" s="6"/>
      <c r="I614" s="6"/>
      <c r="J614" s="6"/>
    </row>
    <row r="615" spans="1:10" ht="12.75" hidden="1" x14ac:dyDescent="0.2">
      <c r="A615" s="9">
        <v>85</v>
      </c>
      <c r="B615" s="10" t="s">
        <v>159</v>
      </c>
      <c r="C615" s="6" t="s">
        <v>125</v>
      </c>
      <c r="D615" s="6" t="s">
        <v>132</v>
      </c>
      <c r="E615" s="11">
        <v>0</v>
      </c>
      <c r="F615" s="6"/>
      <c r="G615" s="57"/>
      <c r="H615" s="6"/>
      <c r="I615" s="6"/>
      <c r="J615" s="6"/>
    </row>
    <row r="616" spans="1:10" ht="12.75" hidden="1" x14ac:dyDescent="0.2">
      <c r="A616" s="9">
        <v>85</v>
      </c>
      <c r="B616" s="10" t="s">
        <v>159</v>
      </c>
      <c r="C616" s="6" t="s">
        <v>125</v>
      </c>
      <c r="D616" s="6" t="s">
        <v>134</v>
      </c>
      <c r="E616" s="11">
        <v>0</v>
      </c>
      <c r="F616" s="6"/>
      <c r="G616" s="57"/>
      <c r="H616" s="6"/>
      <c r="I616" s="6"/>
      <c r="J616" s="6"/>
    </row>
    <row r="617" spans="1:10" ht="12.75" hidden="1" x14ac:dyDescent="0.2">
      <c r="A617" s="9">
        <v>85</v>
      </c>
      <c r="B617" s="10" t="s">
        <v>159</v>
      </c>
      <c r="C617" s="6" t="s">
        <v>125</v>
      </c>
      <c r="D617" s="6" t="s">
        <v>126</v>
      </c>
      <c r="E617" s="11">
        <v>2</v>
      </c>
      <c r="F617" s="6"/>
      <c r="G617" s="57"/>
      <c r="H617" s="6"/>
      <c r="I617" s="6"/>
      <c r="J617" s="6"/>
    </row>
    <row r="618" spans="1:10" ht="12.75" hidden="1" x14ac:dyDescent="0.2">
      <c r="A618" s="9">
        <v>85</v>
      </c>
      <c r="B618" s="10" t="s">
        <v>159</v>
      </c>
      <c r="C618" s="6" t="s">
        <v>125</v>
      </c>
      <c r="D618" s="6" t="s">
        <v>138</v>
      </c>
      <c r="E618" s="11">
        <v>0</v>
      </c>
      <c r="F618" s="6"/>
      <c r="G618" s="57"/>
      <c r="H618" s="6"/>
      <c r="I618" s="6"/>
      <c r="J618" s="6"/>
    </row>
    <row r="619" spans="1:10" ht="12.75" hidden="1" x14ac:dyDescent="0.2">
      <c r="A619" s="9">
        <v>85</v>
      </c>
      <c r="B619" s="10" t="s">
        <v>159</v>
      </c>
      <c r="C619" s="6" t="s">
        <v>125</v>
      </c>
      <c r="D619" s="6" t="s">
        <v>14</v>
      </c>
      <c r="E619" s="11">
        <v>0</v>
      </c>
      <c r="F619" s="11">
        <v>4</v>
      </c>
      <c r="G619" s="57"/>
      <c r="H619" s="6"/>
      <c r="I619" s="6"/>
      <c r="J619" s="6"/>
    </row>
    <row r="620" spans="1:10" ht="12.75" hidden="1" x14ac:dyDescent="0.2">
      <c r="A620" s="9">
        <v>86</v>
      </c>
      <c r="B620" s="10" t="s">
        <v>106</v>
      </c>
      <c r="C620" s="6" t="s">
        <v>125</v>
      </c>
      <c r="D620" s="6" t="s">
        <v>3</v>
      </c>
      <c r="E620" s="11">
        <v>4385</v>
      </c>
      <c r="F620" s="6"/>
      <c r="G620" s="58">
        <v>12268</v>
      </c>
      <c r="H620" s="6"/>
      <c r="I620" s="6"/>
      <c r="J620" s="6"/>
    </row>
    <row r="621" spans="1:10" ht="12.75" hidden="1" x14ac:dyDescent="0.2">
      <c r="A621" s="9">
        <v>86</v>
      </c>
      <c r="B621" s="10" t="s">
        <v>106</v>
      </c>
      <c r="C621" s="6" t="s">
        <v>125</v>
      </c>
      <c r="D621" s="6" t="s">
        <v>16</v>
      </c>
      <c r="E621" s="11">
        <v>206</v>
      </c>
      <c r="F621" s="6"/>
      <c r="G621" s="57"/>
      <c r="H621" s="6"/>
      <c r="I621" s="6"/>
      <c r="J621" s="6"/>
    </row>
    <row r="622" spans="1:10" ht="12.75" hidden="1" x14ac:dyDescent="0.2">
      <c r="A622" s="9">
        <v>86</v>
      </c>
      <c r="B622" s="10" t="s">
        <v>106</v>
      </c>
      <c r="C622" s="6" t="s">
        <v>125</v>
      </c>
      <c r="D622" s="6" t="s">
        <v>129</v>
      </c>
      <c r="E622" s="11">
        <v>210</v>
      </c>
      <c r="F622" s="6"/>
      <c r="G622" s="57"/>
      <c r="H622" s="6"/>
      <c r="I622" s="6"/>
      <c r="J622" s="6"/>
    </row>
    <row r="623" spans="1:10" ht="12.75" hidden="1" x14ac:dyDescent="0.2">
      <c r="A623" s="9">
        <v>86</v>
      </c>
      <c r="B623" s="10" t="s">
        <v>106</v>
      </c>
      <c r="C623" s="6" t="s">
        <v>125</v>
      </c>
      <c r="D623" s="6" t="s">
        <v>132</v>
      </c>
      <c r="E623" s="11">
        <v>241</v>
      </c>
      <c r="F623" s="6"/>
      <c r="G623" s="57"/>
      <c r="H623" s="6"/>
      <c r="I623" s="6"/>
      <c r="J623" s="6"/>
    </row>
    <row r="624" spans="1:10" ht="12.75" hidden="1" x14ac:dyDescent="0.2">
      <c r="A624" s="9">
        <v>86</v>
      </c>
      <c r="B624" s="10" t="s">
        <v>106</v>
      </c>
      <c r="C624" s="6" t="s">
        <v>125</v>
      </c>
      <c r="D624" s="6" t="s">
        <v>134</v>
      </c>
      <c r="E624" s="11">
        <v>181</v>
      </c>
      <c r="F624" s="6"/>
      <c r="G624" s="57"/>
      <c r="H624" s="6"/>
      <c r="I624" s="6"/>
      <c r="J624" s="6"/>
    </row>
    <row r="625" spans="1:10" ht="12.75" hidden="1" x14ac:dyDescent="0.2">
      <c r="A625" s="9">
        <v>86</v>
      </c>
      <c r="B625" s="10" t="s">
        <v>106</v>
      </c>
      <c r="C625" s="6" t="s">
        <v>125</v>
      </c>
      <c r="D625" s="6" t="s">
        <v>126</v>
      </c>
      <c r="E625" s="11">
        <v>3908</v>
      </c>
      <c r="F625" s="6"/>
      <c r="G625" s="57"/>
      <c r="H625" s="6"/>
      <c r="I625" s="6"/>
      <c r="J625" s="6"/>
    </row>
    <row r="626" spans="1:10" ht="12.75" hidden="1" x14ac:dyDescent="0.2">
      <c r="A626" s="9">
        <v>86</v>
      </c>
      <c r="B626" s="10" t="s">
        <v>106</v>
      </c>
      <c r="C626" s="6" t="s">
        <v>125</v>
      </c>
      <c r="D626" s="6" t="s">
        <v>138</v>
      </c>
      <c r="E626" s="11">
        <v>177</v>
      </c>
      <c r="F626" s="6"/>
      <c r="G626" s="57"/>
      <c r="H626" s="6"/>
      <c r="I626" s="6"/>
      <c r="J626" s="6"/>
    </row>
    <row r="627" spans="1:10" ht="12.75" hidden="1" x14ac:dyDescent="0.2">
      <c r="A627" s="9">
        <v>86</v>
      </c>
      <c r="B627" s="10" t="s">
        <v>106</v>
      </c>
      <c r="C627" s="6" t="s">
        <v>125</v>
      </c>
      <c r="D627" s="6" t="s">
        <v>14</v>
      </c>
      <c r="E627" s="11">
        <v>82</v>
      </c>
      <c r="F627" s="11">
        <v>9390</v>
      </c>
      <c r="G627" s="57"/>
      <c r="H627" s="6"/>
      <c r="I627" s="6"/>
      <c r="J627" s="6"/>
    </row>
    <row r="628" spans="1:10" ht="12.75" hidden="1" x14ac:dyDescent="0.2">
      <c r="A628" s="9">
        <v>87</v>
      </c>
      <c r="B628" s="10" t="s">
        <v>107</v>
      </c>
      <c r="C628" s="6" t="s">
        <v>125</v>
      </c>
      <c r="D628" s="6" t="s">
        <v>3</v>
      </c>
      <c r="E628" s="11">
        <v>380</v>
      </c>
      <c r="F628" s="6"/>
      <c r="G628" s="58">
        <v>1006</v>
      </c>
      <c r="H628" s="6"/>
      <c r="I628" s="6"/>
      <c r="J628" s="6"/>
    </row>
    <row r="629" spans="1:10" ht="12.75" hidden="1" x14ac:dyDescent="0.2">
      <c r="A629" s="9">
        <v>87</v>
      </c>
      <c r="B629" s="10" t="s">
        <v>107</v>
      </c>
      <c r="C629" s="6" t="s">
        <v>125</v>
      </c>
      <c r="D629" s="6" t="s">
        <v>16</v>
      </c>
      <c r="E629" s="11">
        <v>6</v>
      </c>
      <c r="F629" s="6"/>
      <c r="G629" s="57"/>
      <c r="H629" s="6"/>
      <c r="I629" s="6"/>
      <c r="J629" s="6"/>
    </row>
    <row r="630" spans="1:10" ht="12.75" hidden="1" x14ac:dyDescent="0.2">
      <c r="A630" s="9">
        <v>87</v>
      </c>
      <c r="B630" s="10" t="s">
        <v>107</v>
      </c>
      <c r="C630" s="6" t="s">
        <v>125</v>
      </c>
      <c r="D630" s="6" t="s">
        <v>129</v>
      </c>
      <c r="E630" s="11">
        <v>10</v>
      </c>
      <c r="F630" s="6"/>
      <c r="G630" s="57"/>
      <c r="H630" s="6"/>
      <c r="I630" s="6"/>
      <c r="J630" s="6"/>
    </row>
    <row r="631" spans="1:10" ht="12.75" hidden="1" x14ac:dyDescent="0.2">
      <c r="A631" s="9">
        <v>87</v>
      </c>
      <c r="B631" s="10" t="s">
        <v>107</v>
      </c>
      <c r="C631" s="6" t="s">
        <v>125</v>
      </c>
      <c r="D631" s="6" t="s">
        <v>132</v>
      </c>
      <c r="E631" s="11">
        <v>9</v>
      </c>
      <c r="F631" s="6"/>
      <c r="G631" s="57"/>
      <c r="H631" s="6"/>
      <c r="I631" s="6"/>
      <c r="J631" s="6"/>
    </row>
    <row r="632" spans="1:10" ht="12.75" hidden="1" x14ac:dyDescent="0.2">
      <c r="A632" s="9">
        <v>87</v>
      </c>
      <c r="B632" s="10" t="s">
        <v>107</v>
      </c>
      <c r="C632" s="6" t="s">
        <v>125</v>
      </c>
      <c r="D632" s="6" t="s">
        <v>134</v>
      </c>
      <c r="E632" s="11">
        <v>10</v>
      </c>
      <c r="F632" s="6"/>
      <c r="G632" s="57"/>
      <c r="H632" s="6"/>
      <c r="I632" s="6"/>
      <c r="J632" s="6"/>
    </row>
    <row r="633" spans="1:10" ht="12.75" hidden="1" x14ac:dyDescent="0.2">
      <c r="A633" s="9">
        <v>87</v>
      </c>
      <c r="B633" s="10" t="s">
        <v>107</v>
      </c>
      <c r="C633" s="6" t="s">
        <v>125</v>
      </c>
      <c r="D633" s="6" t="s">
        <v>126</v>
      </c>
      <c r="E633" s="11">
        <v>375</v>
      </c>
      <c r="F633" s="6"/>
      <c r="G633" s="57"/>
      <c r="H633" s="6"/>
      <c r="I633" s="6"/>
      <c r="J633" s="6"/>
    </row>
    <row r="634" spans="1:10" ht="12.75" hidden="1" x14ac:dyDescent="0.2">
      <c r="A634" s="9">
        <v>87</v>
      </c>
      <c r="B634" s="10" t="s">
        <v>107</v>
      </c>
      <c r="C634" s="6" t="s">
        <v>125</v>
      </c>
      <c r="D634" s="6" t="s">
        <v>138</v>
      </c>
      <c r="E634" s="11">
        <v>8</v>
      </c>
      <c r="F634" s="6"/>
      <c r="G634" s="57"/>
      <c r="H634" s="6"/>
      <c r="I634" s="6"/>
      <c r="J634" s="6"/>
    </row>
    <row r="635" spans="1:10" ht="12.75" hidden="1" x14ac:dyDescent="0.2">
      <c r="A635" s="9">
        <v>87</v>
      </c>
      <c r="B635" s="10" t="s">
        <v>107</v>
      </c>
      <c r="C635" s="6" t="s">
        <v>125</v>
      </c>
      <c r="D635" s="6" t="s">
        <v>14</v>
      </c>
      <c r="E635" s="11">
        <v>7</v>
      </c>
      <c r="F635" s="11">
        <v>805</v>
      </c>
      <c r="G635" s="57"/>
      <c r="H635" s="6"/>
      <c r="I635" s="6"/>
      <c r="J635" s="6"/>
    </row>
    <row r="636" spans="1:10" ht="12.75" hidden="1" x14ac:dyDescent="0.2">
      <c r="A636" s="9">
        <v>88</v>
      </c>
      <c r="B636" s="10" t="s">
        <v>108</v>
      </c>
      <c r="C636" s="6" t="s">
        <v>125</v>
      </c>
      <c r="D636" s="6" t="s">
        <v>3</v>
      </c>
      <c r="E636" s="11">
        <v>195</v>
      </c>
      <c r="F636" s="6"/>
      <c r="G636" s="58">
        <v>488</v>
      </c>
      <c r="H636" s="6"/>
      <c r="I636" s="6"/>
      <c r="J636" s="6"/>
    </row>
    <row r="637" spans="1:10" ht="12.75" hidden="1" x14ac:dyDescent="0.2">
      <c r="A637" s="9">
        <v>88</v>
      </c>
      <c r="B637" s="10" t="s">
        <v>108</v>
      </c>
      <c r="C637" s="6" t="s">
        <v>125</v>
      </c>
      <c r="D637" s="6" t="s">
        <v>16</v>
      </c>
      <c r="E637" s="11">
        <v>1</v>
      </c>
      <c r="F637" s="6"/>
      <c r="G637" s="57"/>
      <c r="H637" s="6"/>
      <c r="I637" s="6"/>
      <c r="J637" s="6"/>
    </row>
    <row r="638" spans="1:10" ht="12.75" hidden="1" x14ac:dyDescent="0.2">
      <c r="A638" s="9">
        <v>88</v>
      </c>
      <c r="B638" s="10" t="s">
        <v>108</v>
      </c>
      <c r="C638" s="6" t="s">
        <v>125</v>
      </c>
      <c r="D638" s="6" t="s">
        <v>129</v>
      </c>
      <c r="E638" s="11">
        <v>9</v>
      </c>
      <c r="F638" s="6"/>
      <c r="G638" s="57"/>
      <c r="H638" s="6"/>
      <c r="I638" s="6"/>
      <c r="J638" s="6"/>
    </row>
    <row r="639" spans="1:10" ht="12.75" hidden="1" x14ac:dyDescent="0.2">
      <c r="A639" s="9">
        <v>88</v>
      </c>
      <c r="B639" s="10" t="s">
        <v>108</v>
      </c>
      <c r="C639" s="6" t="s">
        <v>125</v>
      </c>
      <c r="D639" s="6" t="s">
        <v>132</v>
      </c>
      <c r="E639" s="11">
        <v>20</v>
      </c>
      <c r="F639" s="6"/>
      <c r="G639" s="57"/>
      <c r="H639" s="6"/>
      <c r="I639" s="6"/>
      <c r="J639" s="6"/>
    </row>
    <row r="640" spans="1:10" ht="12.75" hidden="1" x14ac:dyDescent="0.2">
      <c r="A640" s="9">
        <v>88</v>
      </c>
      <c r="B640" s="10" t="s">
        <v>108</v>
      </c>
      <c r="C640" s="6" t="s">
        <v>125</v>
      </c>
      <c r="D640" s="6" t="s">
        <v>134</v>
      </c>
      <c r="E640" s="11">
        <v>7</v>
      </c>
      <c r="F640" s="6"/>
      <c r="G640" s="57"/>
      <c r="H640" s="6"/>
      <c r="I640" s="6"/>
      <c r="J640" s="6"/>
    </row>
    <row r="641" spans="1:10" ht="12.75" hidden="1" x14ac:dyDescent="0.2">
      <c r="A641" s="9">
        <v>88</v>
      </c>
      <c r="B641" s="10" t="s">
        <v>108</v>
      </c>
      <c r="C641" s="6" t="s">
        <v>125</v>
      </c>
      <c r="D641" s="6" t="s">
        <v>126</v>
      </c>
      <c r="E641" s="11">
        <v>169</v>
      </c>
      <c r="F641" s="6"/>
      <c r="G641" s="57"/>
      <c r="H641" s="6"/>
      <c r="I641" s="6"/>
      <c r="J641" s="6"/>
    </row>
    <row r="642" spans="1:10" ht="12.75" hidden="1" x14ac:dyDescent="0.2">
      <c r="A642" s="9">
        <v>88</v>
      </c>
      <c r="B642" s="10" t="s">
        <v>108</v>
      </c>
      <c r="C642" s="6" t="s">
        <v>125</v>
      </c>
      <c r="D642" s="6" t="s">
        <v>138</v>
      </c>
      <c r="E642" s="11">
        <v>0</v>
      </c>
      <c r="F642" s="6"/>
      <c r="G642" s="57"/>
      <c r="H642" s="6"/>
      <c r="I642" s="6"/>
      <c r="J642" s="6"/>
    </row>
    <row r="643" spans="1:10" ht="12.75" hidden="1" x14ac:dyDescent="0.2">
      <c r="A643" s="9">
        <v>88</v>
      </c>
      <c r="B643" s="10" t="s">
        <v>108</v>
      </c>
      <c r="C643" s="6" t="s">
        <v>125</v>
      </c>
      <c r="D643" s="6" t="s">
        <v>14</v>
      </c>
      <c r="E643" s="11">
        <v>9</v>
      </c>
      <c r="F643" s="11">
        <v>410</v>
      </c>
      <c r="G643" s="57"/>
      <c r="H643" s="6"/>
      <c r="I643" s="6"/>
      <c r="J643" s="6"/>
    </row>
    <row r="644" spans="1:10" ht="12.75" hidden="1" x14ac:dyDescent="0.2">
      <c r="A644" s="9">
        <v>89</v>
      </c>
      <c r="B644" s="10" t="s">
        <v>109</v>
      </c>
      <c r="C644" s="6" t="s">
        <v>125</v>
      </c>
      <c r="D644" s="6" t="s">
        <v>3</v>
      </c>
      <c r="E644" s="11">
        <v>1252</v>
      </c>
      <c r="F644" s="6"/>
      <c r="G644" s="58">
        <v>3260</v>
      </c>
      <c r="H644" s="6"/>
      <c r="I644" s="6"/>
      <c r="J644" s="6"/>
    </row>
    <row r="645" spans="1:10" ht="12.75" hidden="1" x14ac:dyDescent="0.2">
      <c r="A645" s="9">
        <v>89</v>
      </c>
      <c r="B645" s="10" t="s">
        <v>109</v>
      </c>
      <c r="C645" s="6" t="s">
        <v>125</v>
      </c>
      <c r="D645" s="6" t="s">
        <v>16</v>
      </c>
      <c r="E645" s="11">
        <v>30</v>
      </c>
      <c r="F645" s="6"/>
      <c r="G645" s="57"/>
      <c r="H645" s="6"/>
      <c r="I645" s="6"/>
      <c r="J645" s="6"/>
    </row>
    <row r="646" spans="1:10" ht="12.75" hidden="1" x14ac:dyDescent="0.2">
      <c r="A646" s="9">
        <v>89</v>
      </c>
      <c r="B646" s="10" t="s">
        <v>109</v>
      </c>
      <c r="C646" s="6" t="s">
        <v>125</v>
      </c>
      <c r="D646" s="6" t="s">
        <v>129</v>
      </c>
      <c r="E646" s="11">
        <v>26</v>
      </c>
      <c r="F646" s="6"/>
      <c r="G646" s="57"/>
      <c r="H646" s="6"/>
      <c r="I646" s="6"/>
      <c r="J646" s="6"/>
    </row>
    <row r="647" spans="1:10" ht="12.75" hidden="1" x14ac:dyDescent="0.2">
      <c r="A647" s="9">
        <v>89</v>
      </c>
      <c r="B647" s="10" t="s">
        <v>109</v>
      </c>
      <c r="C647" s="6" t="s">
        <v>125</v>
      </c>
      <c r="D647" s="6" t="s">
        <v>132</v>
      </c>
      <c r="E647" s="11">
        <v>51</v>
      </c>
      <c r="F647" s="6"/>
      <c r="G647" s="57"/>
      <c r="H647" s="6"/>
      <c r="I647" s="6"/>
      <c r="J647" s="6"/>
    </row>
    <row r="648" spans="1:10" ht="12.75" hidden="1" x14ac:dyDescent="0.2">
      <c r="A648" s="9">
        <v>89</v>
      </c>
      <c r="B648" s="10" t="s">
        <v>109</v>
      </c>
      <c r="C648" s="6" t="s">
        <v>125</v>
      </c>
      <c r="D648" s="6" t="s">
        <v>134</v>
      </c>
      <c r="E648" s="11">
        <v>38</v>
      </c>
      <c r="F648" s="6"/>
      <c r="G648" s="57"/>
      <c r="H648" s="6"/>
      <c r="I648" s="6"/>
      <c r="J648" s="6"/>
    </row>
    <row r="649" spans="1:10" ht="12.75" hidden="1" x14ac:dyDescent="0.2">
      <c r="A649" s="9">
        <v>89</v>
      </c>
      <c r="B649" s="10" t="s">
        <v>109</v>
      </c>
      <c r="C649" s="6" t="s">
        <v>125</v>
      </c>
      <c r="D649" s="6" t="s">
        <v>126</v>
      </c>
      <c r="E649" s="11">
        <v>1022</v>
      </c>
      <c r="F649" s="6"/>
      <c r="G649" s="57"/>
      <c r="H649" s="6"/>
      <c r="I649" s="6"/>
      <c r="J649" s="6"/>
    </row>
    <row r="650" spans="1:10" ht="12.75" hidden="1" x14ac:dyDescent="0.2">
      <c r="A650" s="9">
        <v>89</v>
      </c>
      <c r="B650" s="10" t="s">
        <v>109</v>
      </c>
      <c r="C650" s="6" t="s">
        <v>125</v>
      </c>
      <c r="D650" s="6" t="s">
        <v>138</v>
      </c>
      <c r="E650" s="11">
        <v>46</v>
      </c>
      <c r="F650" s="6"/>
      <c r="G650" s="57"/>
      <c r="H650" s="6"/>
      <c r="I650" s="6"/>
      <c r="J650" s="6"/>
    </row>
    <row r="651" spans="1:10" ht="12.75" hidden="1" x14ac:dyDescent="0.2">
      <c r="A651" s="9">
        <v>89</v>
      </c>
      <c r="B651" s="10" t="s">
        <v>109</v>
      </c>
      <c r="C651" s="6" t="s">
        <v>125</v>
      </c>
      <c r="D651" s="6" t="s">
        <v>14</v>
      </c>
      <c r="E651" s="11">
        <v>29</v>
      </c>
      <c r="F651" s="11">
        <v>2494</v>
      </c>
      <c r="G651" s="57"/>
      <c r="H651" s="6"/>
      <c r="I651" s="6"/>
      <c r="J651" s="6"/>
    </row>
    <row r="652" spans="1:10" ht="12.75" hidden="1" x14ac:dyDescent="0.2">
      <c r="A652" s="9">
        <v>90</v>
      </c>
      <c r="B652" s="10" t="s">
        <v>110</v>
      </c>
      <c r="C652" s="6" t="s">
        <v>125</v>
      </c>
      <c r="D652" s="6" t="s">
        <v>3</v>
      </c>
      <c r="E652" s="11">
        <v>320</v>
      </c>
      <c r="F652" s="6"/>
      <c r="G652" s="58">
        <v>699</v>
      </c>
      <c r="H652" s="6"/>
      <c r="I652" s="6"/>
      <c r="J652" s="6"/>
    </row>
    <row r="653" spans="1:10" ht="12.75" hidden="1" x14ac:dyDescent="0.2">
      <c r="A653" s="9">
        <v>90</v>
      </c>
      <c r="B653" s="10" t="s">
        <v>110</v>
      </c>
      <c r="C653" s="6" t="s">
        <v>125</v>
      </c>
      <c r="D653" s="6" t="s">
        <v>16</v>
      </c>
      <c r="E653" s="11">
        <v>8</v>
      </c>
      <c r="F653" s="6"/>
      <c r="G653" s="57"/>
      <c r="H653" s="6"/>
      <c r="I653" s="6"/>
      <c r="J653" s="6"/>
    </row>
    <row r="654" spans="1:10" ht="12.75" hidden="1" x14ac:dyDescent="0.2">
      <c r="A654" s="9">
        <v>90</v>
      </c>
      <c r="B654" s="10" t="s">
        <v>110</v>
      </c>
      <c r="C654" s="6" t="s">
        <v>125</v>
      </c>
      <c r="D654" s="6" t="s">
        <v>129</v>
      </c>
      <c r="E654" s="11">
        <v>10</v>
      </c>
      <c r="F654" s="6"/>
      <c r="G654" s="57"/>
      <c r="H654" s="6"/>
      <c r="I654" s="6"/>
      <c r="J654" s="6"/>
    </row>
    <row r="655" spans="1:10" ht="12.75" hidden="1" x14ac:dyDescent="0.2">
      <c r="A655" s="9">
        <v>90</v>
      </c>
      <c r="B655" s="10" t="s">
        <v>110</v>
      </c>
      <c r="C655" s="6" t="s">
        <v>125</v>
      </c>
      <c r="D655" s="6" t="s">
        <v>132</v>
      </c>
      <c r="E655" s="11">
        <v>17</v>
      </c>
      <c r="F655" s="6"/>
      <c r="G655" s="57"/>
      <c r="H655" s="6"/>
      <c r="I655" s="6"/>
      <c r="J655" s="6"/>
    </row>
    <row r="656" spans="1:10" ht="12.75" hidden="1" x14ac:dyDescent="0.2">
      <c r="A656" s="9">
        <v>90</v>
      </c>
      <c r="B656" s="10" t="s">
        <v>110</v>
      </c>
      <c r="C656" s="6" t="s">
        <v>125</v>
      </c>
      <c r="D656" s="6" t="s">
        <v>134</v>
      </c>
      <c r="E656" s="11">
        <v>10</v>
      </c>
      <c r="F656" s="6"/>
      <c r="G656" s="57"/>
      <c r="H656" s="6"/>
      <c r="I656" s="6"/>
      <c r="J656" s="6"/>
    </row>
    <row r="657" spans="1:10" ht="12.75" hidden="1" x14ac:dyDescent="0.2">
      <c r="A657" s="9">
        <v>90</v>
      </c>
      <c r="B657" s="10" t="s">
        <v>110</v>
      </c>
      <c r="C657" s="6" t="s">
        <v>125</v>
      </c>
      <c r="D657" s="6" t="s">
        <v>126</v>
      </c>
      <c r="E657" s="11">
        <v>208</v>
      </c>
      <c r="F657" s="6"/>
      <c r="G657" s="57"/>
      <c r="H657" s="6"/>
      <c r="I657" s="6"/>
      <c r="J657" s="6"/>
    </row>
    <row r="658" spans="1:10" ht="12.75" hidden="1" x14ac:dyDescent="0.2">
      <c r="A658" s="9">
        <v>90</v>
      </c>
      <c r="B658" s="10" t="s">
        <v>110</v>
      </c>
      <c r="C658" s="6" t="s">
        <v>125</v>
      </c>
      <c r="D658" s="6" t="s">
        <v>138</v>
      </c>
      <c r="E658" s="11">
        <v>14</v>
      </c>
      <c r="F658" s="6"/>
      <c r="G658" s="57"/>
      <c r="H658" s="6"/>
      <c r="I658" s="6"/>
      <c r="J658" s="6"/>
    </row>
    <row r="659" spans="1:10" ht="12.75" hidden="1" x14ac:dyDescent="0.2">
      <c r="A659" s="9">
        <v>90</v>
      </c>
      <c r="B659" s="10" t="s">
        <v>110</v>
      </c>
      <c r="C659" s="6" t="s">
        <v>125</v>
      </c>
      <c r="D659" s="6" t="s">
        <v>14</v>
      </c>
      <c r="E659" s="11">
        <v>1</v>
      </c>
      <c r="F659" s="11">
        <v>588</v>
      </c>
      <c r="G659" s="57"/>
      <c r="H659" s="6"/>
      <c r="I659" s="6"/>
      <c r="J659" s="6"/>
    </row>
    <row r="660" spans="1:10" ht="12.75" hidden="1" x14ac:dyDescent="0.2">
      <c r="A660" s="9">
        <v>91</v>
      </c>
      <c r="B660" s="10" t="s">
        <v>111</v>
      </c>
      <c r="C660" s="6" t="s">
        <v>125</v>
      </c>
      <c r="D660" s="6" t="s">
        <v>3</v>
      </c>
      <c r="E660" s="11">
        <v>116</v>
      </c>
      <c r="F660" s="6"/>
      <c r="G660" s="58">
        <v>314</v>
      </c>
      <c r="H660" s="6"/>
      <c r="I660" s="6"/>
      <c r="J660" s="6"/>
    </row>
    <row r="661" spans="1:10" ht="12.75" hidden="1" x14ac:dyDescent="0.2">
      <c r="A661" s="9">
        <v>91</v>
      </c>
      <c r="B661" s="10" t="s">
        <v>111</v>
      </c>
      <c r="C661" s="6" t="s">
        <v>125</v>
      </c>
      <c r="D661" s="6" t="s">
        <v>16</v>
      </c>
      <c r="E661" s="11">
        <v>5</v>
      </c>
      <c r="F661" s="6"/>
      <c r="G661" s="57"/>
      <c r="H661" s="6"/>
      <c r="I661" s="6"/>
      <c r="J661" s="6"/>
    </row>
    <row r="662" spans="1:10" ht="12.75" hidden="1" x14ac:dyDescent="0.2">
      <c r="A662" s="9">
        <v>91</v>
      </c>
      <c r="B662" s="10" t="s">
        <v>111</v>
      </c>
      <c r="C662" s="6" t="s">
        <v>125</v>
      </c>
      <c r="D662" s="6" t="s">
        <v>129</v>
      </c>
      <c r="E662" s="11">
        <v>2</v>
      </c>
      <c r="F662" s="6"/>
      <c r="G662" s="57"/>
      <c r="H662" s="6"/>
      <c r="I662" s="6"/>
      <c r="J662" s="6"/>
    </row>
    <row r="663" spans="1:10" ht="12.75" hidden="1" x14ac:dyDescent="0.2">
      <c r="A663" s="9">
        <v>91</v>
      </c>
      <c r="B663" s="10" t="s">
        <v>111</v>
      </c>
      <c r="C663" s="6" t="s">
        <v>125</v>
      </c>
      <c r="D663" s="6" t="s">
        <v>132</v>
      </c>
      <c r="E663" s="11">
        <v>12</v>
      </c>
      <c r="F663" s="6"/>
      <c r="G663" s="57"/>
      <c r="H663" s="6"/>
      <c r="I663" s="6"/>
      <c r="J663" s="6"/>
    </row>
    <row r="664" spans="1:10" ht="12.75" hidden="1" x14ac:dyDescent="0.2">
      <c r="A664" s="9">
        <v>91</v>
      </c>
      <c r="B664" s="10" t="s">
        <v>111</v>
      </c>
      <c r="C664" s="6" t="s">
        <v>125</v>
      </c>
      <c r="D664" s="6" t="s">
        <v>134</v>
      </c>
      <c r="E664" s="11">
        <v>5</v>
      </c>
      <c r="F664" s="6"/>
      <c r="G664" s="57"/>
      <c r="H664" s="6"/>
      <c r="I664" s="6"/>
      <c r="J664" s="6"/>
    </row>
    <row r="665" spans="1:10" ht="12.75" hidden="1" x14ac:dyDescent="0.2">
      <c r="A665" s="9">
        <v>91</v>
      </c>
      <c r="B665" s="10" t="s">
        <v>111</v>
      </c>
      <c r="C665" s="6" t="s">
        <v>125</v>
      </c>
      <c r="D665" s="6" t="s">
        <v>126</v>
      </c>
      <c r="E665" s="11">
        <v>221</v>
      </c>
      <c r="F665" s="6"/>
      <c r="G665" s="57"/>
      <c r="H665" s="6"/>
      <c r="I665" s="6"/>
      <c r="J665" s="6"/>
    </row>
    <row r="666" spans="1:10" ht="12.75" hidden="1" x14ac:dyDescent="0.2">
      <c r="A666" s="9">
        <v>91</v>
      </c>
      <c r="B666" s="10" t="s">
        <v>111</v>
      </c>
      <c r="C666" s="6" t="s">
        <v>125</v>
      </c>
      <c r="D666" s="6" t="s">
        <v>138</v>
      </c>
      <c r="E666" s="11">
        <v>8</v>
      </c>
      <c r="F666" s="6"/>
      <c r="G666" s="57"/>
      <c r="H666" s="6"/>
      <c r="I666" s="6"/>
      <c r="J666" s="6"/>
    </row>
    <row r="667" spans="1:10" ht="12.75" hidden="1" x14ac:dyDescent="0.2">
      <c r="A667" s="9">
        <v>91</v>
      </c>
      <c r="B667" s="10" t="s">
        <v>111</v>
      </c>
      <c r="C667" s="6" t="s">
        <v>125</v>
      </c>
      <c r="D667" s="6" t="s">
        <v>14</v>
      </c>
      <c r="E667" s="11">
        <v>2</v>
      </c>
      <c r="F667" s="11">
        <v>371</v>
      </c>
      <c r="G667" s="57"/>
      <c r="H667" s="6"/>
      <c r="I667" s="6"/>
      <c r="J667" s="6"/>
    </row>
    <row r="668" spans="1:10" ht="12.75" hidden="1" x14ac:dyDescent="0.2">
      <c r="A668" s="9">
        <v>92</v>
      </c>
      <c r="B668" s="10" t="s">
        <v>112</v>
      </c>
      <c r="C668" s="6" t="s">
        <v>125</v>
      </c>
      <c r="D668" s="6" t="s">
        <v>3</v>
      </c>
      <c r="E668" s="11">
        <v>110</v>
      </c>
      <c r="F668" s="6"/>
      <c r="G668" s="58">
        <v>263</v>
      </c>
      <c r="H668" s="6"/>
      <c r="I668" s="6"/>
      <c r="J668" s="6"/>
    </row>
    <row r="669" spans="1:10" ht="12.75" hidden="1" x14ac:dyDescent="0.2">
      <c r="A669" s="9">
        <v>92</v>
      </c>
      <c r="B669" s="10" t="s">
        <v>112</v>
      </c>
      <c r="C669" s="6" t="s">
        <v>125</v>
      </c>
      <c r="D669" s="6" t="s">
        <v>16</v>
      </c>
      <c r="E669" s="11">
        <v>3</v>
      </c>
      <c r="F669" s="6"/>
      <c r="G669" s="57"/>
      <c r="H669" s="6"/>
      <c r="I669" s="6"/>
      <c r="J669" s="6"/>
    </row>
    <row r="670" spans="1:10" ht="12.75" hidden="1" x14ac:dyDescent="0.2">
      <c r="A670" s="9">
        <v>92</v>
      </c>
      <c r="B670" s="10" t="s">
        <v>112</v>
      </c>
      <c r="C670" s="6" t="s">
        <v>125</v>
      </c>
      <c r="D670" s="6" t="s">
        <v>129</v>
      </c>
      <c r="E670" s="11">
        <v>0</v>
      </c>
      <c r="F670" s="6"/>
      <c r="G670" s="57"/>
      <c r="H670" s="6"/>
      <c r="I670" s="6"/>
      <c r="J670" s="6"/>
    </row>
    <row r="671" spans="1:10" ht="12.75" hidden="1" x14ac:dyDescent="0.2">
      <c r="A671" s="9">
        <v>92</v>
      </c>
      <c r="B671" s="10" t="s">
        <v>112</v>
      </c>
      <c r="C671" s="6" t="s">
        <v>125</v>
      </c>
      <c r="D671" s="6" t="s">
        <v>132</v>
      </c>
      <c r="E671" s="11">
        <v>6</v>
      </c>
      <c r="F671" s="6"/>
      <c r="G671" s="57"/>
      <c r="H671" s="6"/>
      <c r="I671" s="6"/>
      <c r="J671" s="6"/>
    </row>
    <row r="672" spans="1:10" ht="12.75" hidden="1" x14ac:dyDescent="0.2">
      <c r="A672" s="9">
        <v>92</v>
      </c>
      <c r="B672" s="10" t="s">
        <v>112</v>
      </c>
      <c r="C672" s="6" t="s">
        <v>125</v>
      </c>
      <c r="D672" s="6" t="s">
        <v>134</v>
      </c>
      <c r="E672" s="11">
        <v>2</v>
      </c>
      <c r="F672" s="6"/>
      <c r="G672" s="57"/>
      <c r="H672" s="6"/>
      <c r="I672" s="6"/>
      <c r="J672" s="6"/>
    </row>
    <row r="673" spans="1:10" ht="12.75" hidden="1" x14ac:dyDescent="0.2">
      <c r="A673" s="9">
        <v>92</v>
      </c>
      <c r="B673" s="10" t="s">
        <v>112</v>
      </c>
      <c r="C673" s="6" t="s">
        <v>125</v>
      </c>
      <c r="D673" s="6" t="s">
        <v>126</v>
      </c>
      <c r="E673" s="11">
        <v>79</v>
      </c>
      <c r="F673" s="6"/>
      <c r="G673" s="57"/>
      <c r="H673" s="6"/>
      <c r="I673" s="6"/>
      <c r="J673" s="6"/>
    </row>
    <row r="674" spans="1:10" ht="12.75" hidden="1" x14ac:dyDescent="0.2">
      <c r="A674" s="9">
        <v>92</v>
      </c>
      <c r="B674" s="10" t="s">
        <v>112</v>
      </c>
      <c r="C674" s="6" t="s">
        <v>125</v>
      </c>
      <c r="D674" s="6" t="s">
        <v>138</v>
      </c>
      <c r="E674" s="11">
        <v>5</v>
      </c>
      <c r="F674" s="6"/>
      <c r="G674" s="57"/>
      <c r="H674" s="6"/>
      <c r="I674" s="6"/>
      <c r="J674" s="6"/>
    </row>
    <row r="675" spans="1:10" ht="12.75" hidden="1" x14ac:dyDescent="0.2">
      <c r="A675" s="9">
        <v>92</v>
      </c>
      <c r="B675" s="10" t="s">
        <v>112</v>
      </c>
      <c r="C675" s="6" t="s">
        <v>125</v>
      </c>
      <c r="D675" s="6" t="s">
        <v>14</v>
      </c>
      <c r="E675" s="11">
        <v>0</v>
      </c>
      <c r="F675" s="11">
        <v>205</v>
      </c>
      <c r="G675" s="57"/>
      <c r="H675" s="6"/>
      <c r="I675" s="6"/>
      <c r="J675" s="6"/>
    </row>
    <row r="676" spans="1:10" ht="12.75" hidden="1" x14ac:dyDescent="0.2">
      <c r="A676" s="9">
        <v>93</v>
      </c>
      <c r="B676" s="10" t="s">
        <v>113</v>
      </c>
      <c r="C676" s="6" t="s">
        <v>125</v>
      </c>
      <c r="D676" s="6" t="s">
        <v>3</v>
      </c>
      <c r="E676" s="11">
        <v>3096</v>
      </c>
      <c r="F676" s="6"/>
      <c r="G676" s="58">
        <v>11653</v>
      </c>
      <c r="H676" s="6"/>
      <c r="I676" s="6"/>
      <c r="J676" s="6"/>
    </row>
    <row r="677" spans="1:10" ht="12.75" hidden="1" x14ac:dyDescent="0.2">
      <c r="A677" s="9">
        <v>93</v>
      </c>
      <c r="B677" s="10" t="s">
        <v>113</v>
      </c>
      <c r="C677" s="6" t="s">
        <v>125</v>
      </c>
      <c r="D677" s="6" t="s">
        <v>16</v>
      </c>
      <c r="E677" s="11">
        <v>107</v>
      </c>
      <c r="F677" s="6"/>
      <c r="G677" s="57"/>
      <c r="H677" s="6"/>
      <c r="I677" s="6"/>
      <c r="J677" s="6"/>
    </row>
    <row r="678" spans="1:10" ht="12.75" hidden="1" x14ac:dyDescent="0.2">
      <c r="A678" s="9">
        <v>93</v>
      </c>
      <c r="B678" s="10" t="s">
        <v>113</v>
      </c>
      <c r="C678" s="6" t="s">
        <v>125</v>
      </c>
      <c r="D678" s="6" t="s">
        <v>129</v>
      </c>
      <c r="E678" s="11">
        <v>133</v>
      </c>
      <c r="F678" s="6"/>
      <c r="G678" s="57"/>
      <c r="H678" s="6"/>
      <c r="I678" s="6"/>
      <c r="J678" s="6"/>
    </row>
    <row r="679" spans="1:10" ht="12.75" hidden="1" x14ac:dyDescent="0.2">
      <c r="A679" s="9">
        <v>93</v>
      </c>
      <c r="B679" s="10" t="s">
        <v>113</v>
      </c>
      <c r="C679" s="6" t="s">
        <v>125</v>
      </c>
      <c r="D679" s="6" t="s">
        <v>132</v>
      </c>
      <c r="E679" s="11">
        <v>195</v>
      </c>
      <c r="F679" s="6"/>
      <c r="G679" s="57"/>
      <c r="H679" s="6"/>
      <c r="I679" s="6"/>
      <c r="J679" s="6"/>
    </row>
    <row r="680" spans="1:10" ht="12.75" hidden="1" x14ac:dyDescent="0.2">
      <c r="A680" s="9">
        <v>93</v>
      </c>
      <c r="B680" s="10" t="s">
        <v>113</v>
      </c>
      <c r="C680" s="6" t="s">
        <v>125</v>
      </c>
      <c r="D680" s="6" t="s">
        <v>134</v>
      </c>
      <c r="E680" s="11">
        <v>175</v>
      </c>
      <c r="F680" s="6"/>
      <c r="G680" s="57"/>
      <c r="H680" s="6"/>
      <c r="I680" s="6"/>
      <c r="J680" s="6"/>
    </row>
    <row r="681" spans="1:10" ht="12.75" hidden="1" x14ac:dyDescent="0.2">
      <c r="A681" s="9">
        <v>93</v>
      </c>
      <c r="B681" s="10" t="s">
        <v>113</v>
      </c>
      <c r="C681" s="6" t="s">
        <v>125</v>
      </c>
      <c r="D681" s="6" t="s">
        <v>126</v>
      </c>
      <c r="E681" s="11">
        <v>4527</v>
      </c>
      <c r="F681" s="6"/>
      <c r="G681" s="57"/>
      <c r="H681" s="6"/>
      <c r="I681" s="6"/>
      <c r="J681" s="6"/>
    </row>
    <row r="682" spans="1:10" ht="12.75" hidden="1" x14ac:dyDescent="0.2">
      <c r="A682" s="9">
        <v>93</v>
      </c>
      <c r="B682" s="10" t="s">
        <v>113</v>
      </c>
      <c r="C682" s="6" t="s">
        <v>125</v>
      </c>
      <c r="D682" s="6" t="s">
        <v>138</v>
      </c>
      <c r="E682" s="11">
        <v>233</v>
      </c>
      <c r="F682" s="6"/>
      <c r="G682" s="57"/>
      <c r="H682" s="6"/>
      <c r="I682" s="6"/>
      <c r="J682" s="6"/>
    </row>
    <row r="683" spans="1:10" ht="12.75" hidden="1" x14ac:dyDescent="0.2">
      <c r="A683" s="9">
        <v>93</v>
      </c>
      <c r="B683" s="10" t="s">
        <v>113</v>
      </c>
      <c r="C683" s="6" t="s">
        <v>125</v>
      </c>
      <c r="D683" s="6" t="s">
        <v>14</v>
      </c>
      <c r="E683" s="11">
        <v>118</v>
      </c>
      <c r="F683" s="11">
        <v>8584</v>
      </c>
      <c r="G683" s="57"/>
      <c r="H683" s="6"/>
      <c r="I683" s="6"/>
      <c r="J683" s="6"/>
    </row>
    <row r="684" spans="1:10" ht="12.75" hidden="1" x14ac:dyDescent="0.2">
      <c r="A684" s="9">
        <v>94</v>
      </c>
      <c r="B684" s="10" t="s">
        <v>114</v>
      </c>
      <c r="C684" s="6" t="s">
        <v>125</v>
      </c>
      <c r="D684" s="6" t="s">
        <v>3</v>
      </c>
      <c r="E684" s="11">
        <v>215</v>
      </c>
      <c r="F684" s="6"/>
      <c r="G684" s="58">
        <v>479</v>
      </c>
      <c r="H684" s="6"/>
      <c r="I684" s="6"/>
      <c r="J684" s="6"/>
    </row>
    <row r="685" spans="1:10" ht="12.75" hidden="1" x14ac:dyDescent="0.2">
      <c r="A685" s="9">
        <v>94</v>
      </c>
      <c r="B685" s="10" t="s">
        <v>114</v>
      </c>
      <c r="C685" s="6" t="s">
        <v>125</v>
      </c>
      <c r="D685" s="6" t="s">
        <v>16</v>
      </c>
      <c r="E685" s="11">
        <v>4</v>
      </c>
      <c r="F685" s="6"/>
      <c r="G685" s="57"/>
      <c r="H685" s="6"/>
      <c r="I685" s="6"/>
      <c r="J685" s="6"/>
    </row>
    <row r="686" spans="1:10" ht="12.75" hidden="1" x14ac:dyDescent="0.2">
      <c r="A686" s="9">
        <v>94</v>
      </c>
      <c r="B686" s="10" t="s">
        <v>114</v>
      </c>
      <c r="C686" s="6" t="s">
        <v>125</v>
      </c>
      <c r="D686" s="6" t="s">
        <v>129</v>
      </c>
      <c r="E686" s="11">
        <v>1</v>
      </c>
      <c r="F686" s="6"/>
      <c r="G686" s="57"/>
      <c r="H686" s="6"/>
      <c r="I686" s="6"/>
      <c r="J686" s="6"/>
    </row>
    <row r="687" spans="1:10" ht="12.75" hidden="1" x14ac:dyDescent="0.2">
      <c r="A687" s="9">
        <v>94</v>
      </c>
      <c r="B687" s="10" t="s">
        <v>114</v>
      </c>
      <c r="C687" s="6" t="s">
        <v>125</v>
      </c>
      <c r="D687" s="6" t="s">
        <v>132</v>
      </c>
      <c r="E687" s="11">
        <v>8</v>
      </c>
      <c r="F687" s="6"/>
      <c r="G687" s="57"/>
      <c r="H687" s="6"/>
      <c r="I687" s="6"/>
      <c r="J687" s="6"/>
    </row>
    <row r="688" spans="1:10" ht="12.75" hidden="1" x14ac:dyDescent="0.2">
      <c r="A688" s="9">
        <v>94</v>
      </c>
      <c r="B688" s="10" t="s">
        <v>114</v>
      </c>
      <c r="C688" s="6" t="s">
        <v>125</v>
      </c>
      <c r="D688" s="6" t="s">
        <v>134</v>
      </c>
      <c r="E688" s="11">
        <v>3</v>
      </c>
      <c r="F688" s="6"/>
      <c r="G688" s="57"/>
      <c r="H688" s="6"/>
      <c r="I688" s="6"/>
      <c r="J688" s="6"/>
    </row>
    <row r="689" spans="1:10" ht="12.75" hidden="1" x14ac:dyDescent="0.2">
      <c r="A689" s="9">
        <v>94</v>
      </c>
      <c r="B689" s="10" t="s">
        <v>114</v>
      </c>
      <c r="C689" s="6" t="s">
        <v>125</v>
      </c>
      <c r="D689" s="6" t="s">
        <v>126</v>
      </c>
      <c r="E689" s="11">
        <v>159</v>
      </c>
      <c r="F689" s="6"/>
      <c r="G689" s="57"/>
      <c r="H689" s="6"/>
      <c r="I689" s="6"/>
      <c r="J689" s="6"/>
    </row>
    <row r="690" spans="1:10" ht="12.75" hidden="1" x14ac:dyDescent="0.2">
      <c r="A690" s="9">
        <v>94</v>
      </c>
      <c r="B690" s="10" t="s">
        <v>114</v>
      </c>
      <c r="C690" s="6" t="s">
        <v>125</v>
      </c>
      <c r="D690" s="6" t="s">
        <v>138</v>
      </c>
      <c r="E690" s="11">
        <v>6</v>
      </c>
      <c r="F690" s="6"/>
      <c r="G690" s="57"/>
      <c r="H690" s="6"/>
      <c r="I690" s="6"/>
      <c r="J690" s="6"/>
    </row>
    <row r="691" spans="1:10" ht="12.75" hidden="1" x14ac:dyDescent="0.2">
      <c r="A691" s="9">
        <v>94</v>
      </c>
      <c r="B691" s="10" t="s">
        <v>114</v>
      </c>
      <c r="C691" s="6" t="s">
        <v>125</v>
      </c>
      <c r="D691" s="6" t="s">
        <v>14</v>
      </c>
      <c r="E691" s="11">
        <v>5</v>
      </c>
      <c r="F691" s="11">
        <v>401</v>
      </c>
      <c r="G691" s="57"/>
      <c r="H691" s="6"/>
      <c r="I691" s="6"/>
      <c r="J691" s="6"/>
    </row>
    <row r="692" spans="1:10" ht="12.75" hidden="1" x14ac:dyDescent="0.2">
      <c r="A692" s="9">
        <v>95</v>
      </c>
      <c r="B692" s="10" t="s">
        <v>115</v>
      </c>
      <c r="C692" s="6" t="s">
        <v>125</v>
      </c>
      <c r="D692" s="6" t="s">
        <v>3</v>
      </c>
      <c r="E692" s="11">
        <v>32</v>
      </c>
      <c r="F692" s="6"/>
      <c r="G692" s="58">
        <v>119</v>
      </c>
      <c r="H692" s="6"/>
      <c r="I692" s="6"/>
      <c r="J692" s="6"/>
    </row>
    <row r="693" spans="1:10" ht="12.75" hidden="1" x14ac:dyDescent="0.2">
      <c r="A693" s="9">
        <v>95</v>
      </c>
      <c r="B693" s="10" t="s">
        <v>115</v>
      </c>
      <c r="C693" s="6" t="s">
        <v>125</v>
      </c>
      <c r="D693" s="6" t="s">
        <v>16</v>
      </c>
      <c r="E693" s="11">
        <v>1</v>
      </c>
      <c r="F693" s="6"/>
      <c r="G693" s="57"/>
      <c r="H693" s="6"/>
      <c r="I693" s="6"/>
      <c r="J693" s="6"/>
    </row>
    <row r="694" spans="1:10" ht="12.75" hidden="1" x14ac:dyDescent="0.2">
      <c r="A694" s="9">
        <v>95</v>
      </c>
      <c r="B694" s="10" t="s">
        <v>115</v>
      </c>
      <c r="C694" s="6" t="s">
        <v>125</v>
      </c>
      <c r="D694" s="6" t="s">
        <v>129</v>
      </c>
      <c r="E694" s="11">
        <v>0</v>
      </c>
      <c r="F694" s="6"/>
      <c r="G694" s="57"/>
      <c r="H694" s="6"/>
      <c r="I694" s="6"/>
      <c r="J694" s="6"/>
    </row>
    <row r="695" spans="1:10" ht="12.75" hidden="1" x14ac:dyDescent="0.2">
      <c r="A695" s="9">
        <v>95</v>
      </c>
      <c r="B695" s="10" t="s">
        <v>115</v>
      </c>
      <c r="C695" s="6" t="s">
        <v>125</v>
      </c>
      <c r="D695" s="6" t="s">
        <v>132</v>
      </c>
      <c r="E695" s="11">
        <v>1</v>
      </c>
      <c r="F695" s="6"/>
      <c r="G695" s="57"/>
      <c r="H695" s="6"/>
      <c r="I695" s="6"/>
      <c r="J695" s="6"/>
    </row>
    <row r="696" spans="1:10" ht="12.75" hidden="1" x14ac:dyDescent="0.2">
      <c r="A696" s="9">
        <v>95</v>
      </c>
      <c r="B696" s="10" t="s">
        <v>115</v>
      </c>
      <c r="C696" s="6" t="s">
        <v>125</v>
      </c>
      <c r="D696" s="6" t="s">
        <v>134</v>
      </c>
      <c r="E696" s="11">
        <v>0</v>
      </c>
      <c r="F696" s="6"/>
      <c r="G696" s="57"/>
      <c r="H696" s="6"/>
      <c r="I696" s="6"/>
      <c r="J696" s="6"/>
    </row>
    <row r="697" spans="1:10" ht="12.75" hidden="1" x14ac:dyDescent="0.2">
      <c r="A697" s="9">
        <v>95</v>
      </c>
      <c r="B697" s="10" t="s">
        <v>115</v>
      </c>
      <c r="C697" s="6" t="s">
        <v>125</v>
      </c>
      <c r="D697" s="6" t="s">
        <v>126</v>
      </c>
      <c r="E697" s="11">
        <v>66</v>
      </c>
      <c r="F697" s="6"/>
      <c r="G697" s="57"/>
      <c r="H697" s="6"/>
      <c r="I697" s="6"/>
      <c r="J697" s="6"/>
    </row>
    <row r="698" spans="1:10" ht="12.75" hidden="1" x14ac:dyDescent="0.2">
      <c r="A698" s="9">
        <v>95</v>
      </c>
      <c r="B698" s="10" t="s">
        <v>115</v>
      </c>
      <c r="C698" s="6" t="s">
        <v>125</v>
      </c>
      <c r="D698" s="6" t="s">
        <v>138</v>
      </c>
      <c r="E698" s="11">
        <v>0</v>
      </c>
      <c r="F698" s="6"/>
      <c r="G698" s="57"/>
      <c r="H698" s="6"/>
      <c r="I698" s="6"/>
      <c r="J698" s="6"/>
    </row>
    <row r="699" spans="1:10" ht="12.75" hidden="1" x14ac:dyDescent="0.2">
      <c r="A699" s="9">
        <v>95</v>
      </c>
      <c r="B699" s="10" t="s">
        <v>115</v>
      </c>
      <c r="C699" s="6" t="s">
        <v>125</v>
      </c>
      <c r="D699" s="6" t="s">
        <v>14</v>
      </c>
      <c r="E699" s="11">
        <v>1</v>
      </c>
      <c r="F699" s="11">
        <v>101</v>
      </c>
      <c r="G699" s="57"/>
      <c r="H699" s="6"/>
      <c r="I699" s="6"/>
      <c r="J699" s="6"/>
    </row>
    <row r="700" spans="1:10" ht="12.75" hidden="1" x14ac:dyDescent="0.2">
      <c r="A700" s="9">
        <v>2100</v>
      </c>
      <c r="B700" s="10" t="s">
        <v>177</v>
      </c>
      <c r="C700" s="6" t="s">
        <v>125</v>
      </c>
      <c r="D700" s="6" t="s">
        <v>3</v>
      </c>
      <c r="E700" s="6"/>
      <c r="F700" s="6"/>
      <c r="G700" s="58"/>
      <c r="H700" s="6"/>
      <c r="I700" s="6"/>
      <c r="J700" s="6"/>
    </row>
    <row r="701" spans="1:10" ht="12.75" hidden="1" x14ac:dyDescent="0.2">
      <c r="A701" s="9">
        <v>2100</v>
      </c>
      <c r="B701" s="10" t="s">
        <v>177</v>
      </c>
      <c r="C701" s="6" t="s">
        <v>125</v>
      </c>
      <c r="D701" s="6" t="s">
        <v>16</v>
      </c>
      <c r="E701" s="6"/>
      <c r="F701" s="6"/>
      <c r="G701" s="57"/>
      <c r="H701" s="6"/>
      <c r="I701" s="6"/>
      <c r="J701" s="6"/>
    </row>
    <row r="702" spans="1:10" ht="12.75" hidden="1" x14ac:dyDescent="0.2">
      <c r="A702" s="9">
        <v>2100</v>
      </c>
      <c r="B702" s="10" t="s">
        <v>177</v>
      </c>
      <c r="C702" s="6" t="s">
        <v>125</v>
      </c>
      <c r="D702" s="6" t="s">
        <v>129</v>
      </c>
      <c r="E702" s="6"/>
      <c r="F702" s="6"/>
      <c r="G702" s="57"/>
      <c r="H702" s="6"/>
      <c r="I702" s="6"/>
      <c r="J702" s="6"/>
    </row>
    <row r="703" spans="1:10" ht="12.75" hidden="1" x14ac:dyDescent="0.2">
      <c r="A703" s="9">
        <v>2100</v>
      </c>
      <c r="B703" s="10" t="s">
        <v>177</v>
      </c>
      <c r="C703" s="6" t="s">
        <v>125</v>
      </c>
      <c r="D703" s="6" t="s">
        <v>132</v>
      </c>
      <c r="E703" s="6"/>
      <c r="F703" s="6"/>
      <c r="G703" s="57"/>
      <c r="H703" s="6"/>
      <c r="I703" s="6"/>
      <c r="J703" s="6"/>
    </row>
    <row r="704" spans="1:10" ht="12.75" hidden="1" x14ac:dyDescent="0.2">
      <c r="A704" s="9">
        <v>2100</v>
      </c>
      <c r="B704" s="10" t="s">
        <v>177</v>
      </c>
      <c r="C704" s="6" t="s">
        <v>125</v>
      </c>
      <c r="D704" s="6" t="s">
        <v>134</v>
      </c>
      <c r="E704" s="6"/>
      <c r="F704" s="6"/>
      <c r="G704" s="57"/>
      <c r="H704" s="6"/>
      <c r="I704" s="6"/>
      <c r="J704" s="6"/>
    </row>
    <row r="705" spans="1:10" ht="12.75" hidden="1" x14ac:dyDescent="0.2">
      <c r="A705" s="9">
        <v>2100</v>
      </c>
      <c r="B705" s="10" t="s">
        <v>177</v>
      </c>
      <c r="C705" s="6" t="s">
        <v>125</v>
      </c>
      <c r="D705" s="6" t="s">
        <v>126</v>
      </c>
      <c r="E705" s="6"/>
      <c r="F705" s="6"/>
      <c r="G705" s="57"/>
      <c r="H705" s="6"/>
      <c r="I705" s="6"/>
      <c r="J705" s="6"/>
    </row>
    <row r="706" spans="1:10" ht="12.75" hidden="1" x14ac:dyDescent="0.2">
      <c r="A706" s="9">
        <v>2100</v>
      </c>
      <c r="B706" s="10" t="s">
        <v>177</v>
      </c>
      <c r="C706" s="6" t="s">
        <v>125</v>
      </c>
      <c r="D706" s="6" t="s">
        <v>138</v>
      </c>
      <c r="E706" s="6"/>
      <c r="F706" s="6"/>
      <c r="G706" s="57"/>
      <c r="H706" s="6"/>
      <c r="I706" s="6"/>
      <c r="J706" s="6"/>
    </row>
    <row r="707" spans="1:10" ht="12.75" hidden="1" x14ac:dyDescent="0.2">
      <c r="A707" s="9">
        <v>2100</v>
      </c>
      <c r="B707" s="10" t="s">
        <v>177</v>
      </c>
      <c r="C707" s="6" t="s">
        <v>125</v>
      </c>
      <c r="D707" s="6" t="s">
        <v>14</v>
      </c>
      <c r="E707" s="6"/>
      <c r="F707" s="11">
        <v>0</v>
      </c>
      <c r="G707" s="57"/>
      <c r="H707" s="6"/>
      <c r="I707" s="6"/>
      <c r="J707" s="6"/>
    </row>
  </sheetData>
  <autoFilter ref="A3:G707" xr:uid="{0A48BA28-C393-4852-83C9-C10C01FA229F}">
    <filterColumn colId="1">
      <filters>
        <filter val="GENERAL PICO"/>
      </filters>
    </filterColumn>
  </autoFilter>
  <mergeCells count="88">
    <mergeCell ref="G396:G403"/>
    <mergeCell ref="G404:G411"/>
    <mergeCell ref="G412:G419"/>
    <mergeCell ref="G420:G427"/>
    <mergeCell ref="G428:G435"/>
    <mergeCell ref="G436:G443"/>
    <mergeCell ref="G444:G451"/>
    <mergeCell ref="G452:G459"/>
    <mergeCell ref="G460:G467"/>
    <mergeCell ref="G468:G475"/>
    <mergeCell ref="G476:G483"/>
    <mergeCell ref="G484:G491"/>
    <mergeCell ref="G492:G499"/>
    <mergeCell ref="G500:G507"/>
    <mergeCell ref="G508:G515"/>
    <mergeCell ref="G516:G523"/>
    <mergeCell ref="G524:G531"/>
    <mergeCell ref="G532:G539"/>
    <mergeCell ref="G540:G547"/>
    <mergeCell ref="G548:G555"/>
    <mergeCell ref="G556:G563"/>
    <mergeCell ref="G564:G571"/>
    <mergeCell ref="G572:G579"/>
    <mergeCell ref="G580:G587"/>
    <mergeCell ref="G588:G595"/>
    <mergeCell ref="G596:G603"/>
    <mergeCell ref="G604:G611"/>
    <mergeCell ref="G612:G619"/>
    <mergeCell ref="G676:G683"/>
    <mergeCell ref="G684:G691"/>
    <mergeCell ref="G692:G699"/>
    <mergeCell ref="G700:G707"/>
    <mergeCell ref="G620:G627"/>
    <mergeCell ref="G628:G635"/>
    <mergeCell ref="G636:G643"/>
    <mergeCell ref="G644:G651"/>
    <mergeCell ref="G652:G659"/>
    <mergeCell ref="G660:G667"/>
    <mergeCell ref="G668:G675"/>
    <mergeCell ref="G4:G11"/>
    <mergeCell ref="G12:G19"/>
    <mergeCell ref="G20:G27"/>
    <mergeCell ref="G28:G35"/>
    <mergeCell ref="G36:G43"/>
    <mergeCell ref="G44:G51"/>
    <mergeCell ref="G52:G59"/>
    <mergeCell ref="G60:G67"/>
    <mergeCell ref="G68:G75"/>
    <mergeCell ref="G76:G83"/>
    <mergeCell ref="G84:G91"/>
    <mergeCell ref="G92:G99"/>
    <mergeCell ref="G100:G107"/>
    <mergeCell ref="G108:G115"/>
    <mergeCell ref="G116:G123"/>
    <mergeCell ref="G124:G131"/>
    <mergeCell ref="G132:G139"/>
    <mergeCell ref="G140:G147"/>
    <mergeCell ref="G148:G155"/>
    <mergeCell ref="G156:G163"/>
    <mergeCell ref="G164:G171"/>
    <mergeCell ref="G172:G179"/>
    <mergeCell ref="G180:G187"/>
    <mergeCell ref="G188:G195"/>
    <mergeCell ref="G196:G203"/>
    <mergeCell ref="G204:G211"/>
    <mergeCell ref="G212:G219"/>
    <mergeCell ref="G220:G227"/>
    <mergeCell ref="G228:G235"/>
    <mergeCell ref="G236:G243"/>
    <mergeCell ref="G244:G251"/>
    <mergeCell ref="G252:G259"/>
    <mergeCell ref="G260:G267"/>
    <mergeCell ref="G268:G275"/>
    <mergeCell ref="G276:G283"/>
    <mergeCell ref="G284:G291"/>
    <mergeCell ref="G292:G299"/>
    <mergeCell ref="G300:G307"/>
    <mergeCell ref="G308:G315"/>
    <mergeCell ref="G316:G323"/>
    <mergeCell ref="G364:G371"/>
    <mergeCell ref="G372:G379"/>
    <mergeCell ref="G380:G387"/>
    <mergeCell ref="G388:G395"/>
    <mergeCell ref="G324:G331"/>
    <mergeCell ref="G332:G339"/>
    <mergeCell ref="G340:G347"/>
    <mergeCell ref="G348:G355"/>
    <mergeCell ref="G356:G363"/>
  </mergeCells>
  <pageMargins left="0" right="0" top="0" bottom="0" header="0" footer="0"/>
  <pageSetup paperSize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5195"/>
  <sheetViews>
    <sheetView topLeftCell="A133" workbookViewId="0">
      <selection activeCell="G6" sqref="G6"/>
    </sheetView>
  </sheetViews>
  <sheetFormatPr baseColWidth="10" defaultColWidth="14.42578125" defaultRowHeight="15.75" customHeight="1" x14ac:dyDescent="0.2"/>
  <cols>
    <col min="2" max="2" width="19.85546875" customWidth="1"/>
    <col min="3" max="3" width="21" customWidth="1"/>
    <col min="4" max="4" width="19" customWidth="1"/>
    <col min="7" max="7" width="11.42578125" customWidth="1"/>
    <col min="8" max="8" width="10.28515625" customWidth="1"/>
    <col min="9" max="9" width="29.28515625" customWidth="1"/>
    <col min="10" max="10" width="39.28515625" customWidth="1"/>
  </cols>
  <sheetData>
    <row r="1" spans="1:10" ht="12.75" x14ac:dyDescent="0.2">
      <c r="A1" s="3" t="s">
        <v>359</v>
      </c>
      <c r="B1" s="18"/>
      <c r="G1" s="13"/>
      <c r="I1" s="3" t="s">
        <v>360</v>
      </c>
    </row>
    <row r="2" spans="1:10" ht="12.75" x14ac:dyDescent="0.2">
      <c r="B2" s="18"/>
      <c r="G2" s="13"/>
    </row>
    <row r="3" spans="1:10" ht="12.75" x14ac:dyDescent="0.2">
      <c r="B3" s="18"/>
      <c r="G3" s="13"/>
      <c r="I3" s="14" t="s">
        <v>0</v>
      </c>
      <c r="J3" s="14" t="s">
        <v>1</v>
      </c>
    </row>
    <row r="4" spans="1:10" ht="12.75" x14ac:dyDescent="0.2">
      <c r="B4" s="18"/>
      <c r="G4" s="13"/>
      <c r="I4" s="3" t="s">
        <v>2</v>
      </c>
      <c r="J4" s="3" t="s">
        <v>3</v>
      </c>
    </row>
    <row r="5" spans="1:10" ht="12.75" x14ac:dyDescent="0.2">
      <c r="A5" s="31" t="s">
        <v>4</v>
      </c>
      <c r="B5" s="17" t="s">
        <v>5</v>
      </c>
      <c r="C5" s="31" t="s">
        <v>6</v>
      </c>
      <c r="D5" s="31" t="s">
        <v>1</v>
      </c>
      <c r="E5" s="31" t="s">
        <v>7</v>
      </c>
      <c r="F5" s="31" t="s">
        <v>8</v>
      </c>
      <c r="G5" s="19" t="s">
        <v>271</v>
      </c>
      <c r="I5" s="3" t="s">
        <v>10</v>
      </c>
      <c r="J5" s="3" t="s">
        <v>11</v>
      </c>
    </row>
    <row r="6" spans="1:10" ht="12.75" x14ac:dyDescent="0.2">
      <c r="A6" s="3">
        <v>1</v>
      </c>
      <c r="B6" s="4" t="s">
        <v>12</v>
      </c>
      <c r="C6" s="3" t="s">
        <v>2</v>
      </c>
      <c r="D6" s="3" t="s">
        <v>136</v>
      </c>
      <c r="E6" s="3">
        <v>477</v>
      </c>
      <c r="G6" s="19"/>
      <c r="I6" s="3" t="s">
        <v>13</v>
      </c>
      <c r="J6" s="3" t="s">
        <v>14</v>
      </c>
    </row>
    <row r="7" spans="1:10" ht="12.75" x14ac:dyDescent="0.2">
      <c r="A7" s="3">
        <v>1</v>
      </c>
      <c r="B7" s="4" t="s">
        <v>12</v>
      </c>
      <c r="C7" s="3" t="s">
        <v>2</v>
      </c>
      <c r="D7" s="3" t="s">
        <v>128</v>
      </c>
      <c r="E7" s="3">
        <v>316</v>
      </c>
      <c r="G7" s="19"/>
      <c r="I7" s="3" t="s">
        <v>15</v>
      </c>
      <c r="J7" s="3" t="s">
        <v>16</v>
      </c>
    </row>
    <row r="8" spans="1:10" ht="12.75" x14ac:dyDescent="0.2">
      <c r="A8" s="3">
        <v>1</v>
      </c>
      <c r="B8" s="4" t="s">
        <v>12</v>
      </c>
      <c r="C8" s="3" t="s">
        <v>2</v>
      </c>
      <c r="D8" s="3" t="s">
        <v>133</v>
      </c>
      <c r="E8" s="3">
        <v>308</v>
      </c>
      <c r="G8" s="19"/>
      <c r="I8" s="3" t="s">
        <v>17</v>
      </c>
      <c r="J8" s="3" t="s">
        <v>18</v>
      </c>
    </row>
    <row r="9" spans="1:10" ht="12.75" x14ac:dyDescent="0.2">
      <c r="A9" s="3">
        <v>1</v>
      </c>
      <c r="B9" s="4" t="s">
        <v>12</v>
      </c>
      <c r="C9" s="3" t="s">
        <v>2</v>
      </c>
      <c r="D9" s="3" t="s">
        <v>139</v>
      </c>
      <c r="E9" s="3">
        <v>92</v>
      </c>
      <c r="G9" s="19"/>
      <c r="I9" s="3" t="s">
        <v>347</v>
      </c>
      <c r="J9" s="3" t="s">
        <v>19</v>
      </c>
    </row>
    <row r="10" spans="1:10" ht="12.75" x14ac:dyDescent="0.2">
      <c r="A10" s="3">
        <v>1</v>
      </c>
      <c r="B10" s="4" t="s">
        <v>12</v>
      </c>
      <c r="C10" s="3" t="s">
        <v>2</v>
      </c>
      <c r="D10" s="3" t="s">
        <v>14</v>
      </c>
      <c r="E10" s="3">
        <v>49</v>
      </c>
      <c r="F10">
        <f>SUM(E6:E11)</f>
        <v>1249</v>
      </c>
      <c r="G10" s="19"/>
      <c r="I10" s="3" t="s">
        <v>273</v>
      </c>
      <c r="J10" s="3" t="s">
        <v>274</v>
      </c>
    </row>
    <row r="11" spans="1:10" ht="12.75" x14ac:dyDescent="0.2">
      <c r="A11" s="3">
        <v>1</v>
      </c>
      <c r="B11" s="4" t="s">
        <v>12</v>
      </c>
      <c r="C11" s="3" t="s">
        <v>2</v>
      </c>
      <c r="D11" s="3" t="s">
        <v>138</v>
      </c>
      <c r="E11" s="3">
        <v>7</v>
      </c>
      <c r="G11" s="19"/>
      <c r="I11" s="3" t="s">
        <v>125</v>
      </c>
      <c r="J11" s="3" t="s">
        <v>20</v>
      </c>
    </row>
    <row r="12" spans="1:10" ht="12.75" x14ac:dyDescent="0.2">
      <c r="A12" s="3">
        <v>1</v>
      </c>
      <c r="B12" s="4" t="s">
        <v>12</v>
      </c>
      <c r="C12" s="3" t="s">
        <v>161</v>
      </c>
      <c r="D12" s="3" t="s">
        <v>136</v>
      </c>
      <c r="E12" s="3">
        <v>419</v>
      </c>
      <c r="G12" s="19"/>
      <c r="I12" s="3" t="s">
        <v>162</v>
      </c>
      <c r="J12" s="3" t="s">
        <v>21</v>
      </c>
    </row>
    <row r="13" spans="1:10" ht="12.75" x14ac:dyDescent="0.2">
      <c r="A13" s="3">
        <v>1</v>
      </c>
      <c r="B13" s="4" t="s">
        <v>12</v>
      </c>
      <c r="C13" s="3" t="s">
        <v>161</v>
      </c>
      <c r="D13" s="3" t="s">
        <v>128</v>
      </c>
      <c r="E13" s="3">
        <v>346</v>
      </c>
      <c r="G13" s="19"/>
      <c r="I13" s="3" t="s">
        <v>161</v>
      </c>
      <c r="J13" s="3" t="s">
        <v>22</v>
      </c>
    </row>
    <row r="14" spans="1:10" ht="12.75" x14ac:dyDescent="0.2">
      <c r="A14" s="3">
        <v>1</v>
      </c>
      <c r="B14" s="4" t="s">
        <v>12</v>
      </c>
      <c r="C14" s="3" t="s">
        <v>161</v>
      </c>
      <c r="D14" s="3" t="s">
        <v>133</v>
      </c>
      <c r="E14" s="3">
        <v>230</v>
      </c>
      <c r="G14" s="19"/>
      <c r="J14" s="3" t="s">
        <v>275</v>
      </c>
    </row>
    <row r="15" spans="1:10" ht="12.75" x14ac:dyDescent="0.2">
      <c r="A15" s="3">
        <v>1</v>
      </c>
      <c r="B15" s="4" t="s">
        <v>12</v>
      </c>
      <c r="C15" s="3" t="s">
        <v>161</v>
      </c>
      <c r="D15" s="3" t="s">
        <v>14</v>
      </c>
      <c r="E15" s="3">
        <v>167</v>
      </c>
      <c r="G15" s="19"/>
      <c r="J15" s="3" t="s">
        <v>276</v>
      </c>
    </row>
    <row r="16" spans="1:10" ht="12.75" x14ac:dyDescent="0.2">
      <c r="A16" s="3">
        <v>1</v>
      </c>
      <c r="B16" s="4" t="s">
        <v>12</v>
      </c>
      <c r="C16" s="3" t="s">
        <v>161</v>
      </c>
      <c r="D16" s="3" t="s">
        <v>139</v>
      </c>
      <c r="E16" s="3">
        <v>60</v>
      </c>
      <c r="F16">
        <f>SUM(E12:E21)</f>
        <v>1249</v>
      </c>
      <c r="G16" s="19"/>
      <c r="J16" s="3" t="s">
        <v>23</v>
      </c>
    </row>
    <row r="17" spans="1:10" ht="12.75" x14ac:dyDescent="0.2">
      <c r="A17" s="3">
        <v>1</v>
      </c>
      <c r="B17" s="4" t="s">
        <v>12</v>
      </c>
      <c r="C17" s="3" t="s">
        <v>161</v>
      </c>
      <c r="D17" s="3" t="s">
        <v>148</v>
      </c>
      <c r="E17" s="3">
        <v>8</v>
      </c>
      <c r="G17" s="19"/>
      <c r="J17" s="3" t="s">
        <v>24</v>
      </c>
    </row>
    <row r="18" spans="1:10" ht="12.75" x14ac:dyDescent="0.2">
      <c r="A18" s="3">
        <v>1</v>
      </c>
      <c r="B18" s="4" t="s">
        <v>12</v>
      </c>
      <c r="C18" s="3" t="s">
        <v>161</v>
      </c>
      <c r="D18" s="3" t="s">
        <v>138</v>
      </c>
      <c r="E18" s="3">
        <v>8</v>
      </c>
      <c r="G18" s="19"/>
      <c r="J18" s="3" t="s">
        <v>26</v>
      </c>
    </row>
    <row r="19" spans="1:10" ht="12.75" x14ac:dyDescent="0.2">
      <c r="A19" s="3">
        <v>1</v>
      </c>
      <c r="B19" s="4" t="s">
        <v>12</v>
      </c>
      <c r="C19" s="3" t="s">
        <v>161</v>
      </c>
      <c r="D19" s="3" t="s">
        <v>149</v>
      </c>
      <c r="E19" s="3">
        <v>6</v>
      </c>
      <c r="G19" s="19"/>
      <c r="J19" s="3" t="s">
        <v>141</v>
      </c>
    </row>
    <row r="20" spans="1:10" ht="12.75" x14ac:dyDescent="0.2">
      <c r="A20" s="3">
        <v>1</v>
      </c>
      <c r="B20" s="4" t="s">
        <v>12</v>
      </c>
      <c r="C20" s="3" t="s">
        <v>161</v>
      </c>
      <c r="D20" s="3" t="s">
        <v>135</v>
      </c>
      <c r="E20" s="3">
        <v>3</v>
      </c>
      <c r="G20" s="19"/>
      <c r="J20" s="3" t="s">
        <v>27</v>
      </c>
    </row>
    <row r="21" spans="1:10" ht="12.75" x14ac:dyDescent="0.2">
      <c r="A21" s="3">
        <v>1</v>
      </c>
      <c r="B21" s="4" t="s">
        <v>12</v>
      </c>
      <c r="C21" s="3" t="s">
        <v>161</v>
      </c>
      <c r="D21" s="3" t="s">
        <v>145</v>
      </c>
      <c r="E21" s="3">
        <v>2</v>
      </c>
      <c r="G21" s="19"/>
      <c r="J21" s="3" t="s">
        <v>28</v>
      </c>
    </row>
    <row r="22" spans="1:10" ht="12.75" x14ac:dyDescent="0.2">
      <c r="A22" s="3">
        <v>1</v>
      </c>
      <c r="B22" s="4" t="s">
        <v>12</v>
      </c>
      <c r="C22" s="3" t="s">
        <v>162</v>
      </c>
      <c r="D22" s="3" t="s">
        <v>136</v>
      </c>
      <c r="E22" s="3">
        <v>456</v>
      </c>
      <c r="G22" s="19"/>
      <c r="J22" s="3" t="s">
        <v>29</v>
      </c>
    </row>
    <row r="23" spans="1:10" ht="12.75" x14ac:dyDescent="0.2">
      <c r="A23" s="3">
        <v>1</v>
      </c>
      <c r="B23" s="4" t="s">
        <v>12</v>
      </c>
      <c r="C23" s="3" t="s">
        <v>162</v>
      </c>
      <c r="D23" s="3" t="s">
        <v>128</v>
      </c>
      <c r="E23" s="3">
        <v>369</v>
      </c>
      <c r="G23" s="19"/>
      <c r="J23" s="3" t="s">
        <v>278</v>
      </c>
    </row>
    <row r="24" spans="1:10" ht="12.75" x14ac:dyDescent="0.2">
      <c r="A24" s="3">
        <v>1</v>
      </c>
      <c r="B24" s="4" t="s">
        <v>12</v>
      </c>
      <c r="C24" s="3" t="s">
        <v>162</v>
      </c>
      <c r="D24" s="3" t="s">
        <v>133</v>
      </c>
      <c r="E24" s="3">
        <v>241</v>
      </c>
      <c r="G24" s="19"/>
      <c r="J24" s="3" t="s">
        <v>144</v>
      </c>
    </row>
    <row r="25" spans="1:10" ht="12.75" x14ac:dyDescent="0.2">
      <c r="A25" s="3">
        <v>1</v>
      </c>
      <c r="B25" s="4" t="s">
        <v>12</v>
      </c>
      <c r="C25" s="3" t="s">
        <v>162</v>
      </c>
      <c r="D25" s="3" t="s">
        <v>14</v>
      </c>
      <c r="E25" s="3">
        <v>98</v>
      </c>
      <c r="G25" s="19"/>
      <c r="J25" s="3" t="s">
        <v>30</v>
      </c>
    </row>
    <row r="26" spans="1:10" ht="12.75" x14ac:dyDescent="0.2">
      <c r="A26" s="3">
        <v>1</v>
      </c>
      <c r="B26" s="4" t="s">
        <v>12</v>
      </c>
      <c r="C26" s="3" t="s">
        <v>162</v>
      </c>
      <c r="D26" s="3" t="s">
        <v>139</v>
      </c>
      <c r="E26" s="3">
        <v>58</v>
      </c>
      <c r="F26">
        <f>SUM(E22:E31)</f>
        <v>1249</v>
      </c>
      <c r="G26" s="19"/>
      <c r="J26" s="3" t="s">
        <v>31</v>
      </c>
    </row>
    <row r="27" spans="1:10" ht="12.75" x14ac:dyDescent="0.2">
      <c r="A27" s="3">
        <v>1</v>
      </c>
      <c r="B27" s="4" t="s">
        <v>12</v>
      </c>
      <c r="C27" s="3" t="s">
        <v>162</v>
      </c>
      <c r="D27" s="3" t="s">
        <v>149</v>
      </c>
      <c r="E27" s="3">
        <v>8</v>
      </c>
      <c r="G27" s="19"/>
      <c r="J27" s="3" t="s">
        <v>32</v>
      </c>
    </row>
    <row r="28" spans="1:10" ht="12.75" x14ac:dyDescent="0.2">
      <c r="A28" s="3">
        <v>1</v>
      </c>
      <c r="B28" s="4" t="s">
        <v>12</v>
      </c>
      <c r="C28" s="3" t="s">
        <v>162</v>
      </c>
      <c r="D28" s="3" t="s">
        <v>138</v>
      </c>
      <c r="E28" s="3">
        <v>7</v>
      </c>
      <c r="G28" s="19"/>
      <c r="J28" s="3" t="s">
        <v>33</v>
      </c>
    </row>
    <row r="29" spans="1:10" ht="12.75" x14ac:dyDescent="0.2">
      <c r="A29" s="3">
        <v>1</v>
      </c>
      <c r="B29" s="4" t="s">
        <v>12</v>
      </c>
      <c r="C29" s="3" t="s">
        <v>162</v>
      </c>
      <c r="D29" s="3" t="s">
        <v>148</v>
      </c>
      <c r="E29" s="3">
        <v>6</v>
      </c>
      <c r="G29" s="19"/>
      <c r="J29" s="3" t="s">
        <v>142</v>
      </c>
    </row>
    <row r="30" spans="1:10" ht="12.75" x14ac:dyDescent="0.2">
      <c r="A30" s="3">
        <v>1</v>
      </c>
      <c r="B30" s="4" t="s">
        <v>12</v>
      </c>
      <c r="C30" s="3" t="s">
        <v>162</v>
      </c>
      <c r="D30" s="3" t="s">
        <v>135</v>
      </c>
      <c r="E30" s="3">
        <v>3</v>
      </c>
      <c r="G30" s="19"/>
      <c r="J30" s="3" t="s">
        <v>34</v>
      </c>
    </row>
    <row r="31" spans="1:10" ht="12.75" x14ac:dyDescent="0.2">
      <c r="A31" s="3">
        <v>1</v>
      </c>
      <c r="B31" s="4" t="s">
        <v>12</v>
      </c>
      <c r="C31" s="3" t="s">
        <v>162</v>
      </c>
      <c r="D31" s="3" t="s">
        <v>145</v>
      </c>
      <c r="E31" s="3">
        <v>3</v>
      </c>
      <c r="G31" s="19"/>
      <c r="J31" s="3" t="s">
        <v>279</v>
      </c>
    </row>
    <row r="32" spans="1:10" ht="12.75" x14ac:dyDescent="0.2">
      <c r="A32" s="3">
        <v>2</v>
      </c>
      <c r="B32" s="4" t="s">
        <v>25</v>
      </c>
      <c r="C32" s="3" t="s">
        <v>2</v>
      </c>
      <c r="D32" s="3" t="s">
        <v>3</v>
      </c>
      <c r="E32" s="3">
        <v>2218</v>
      </c>
      <c r="F32">
        <f>SUM(E32:E35)</f>
        <v>3886</v>
      </c>
      <c r="G32" s="19"/>
      <c r="J32" s="3" t="s">
        <v>280</v>
      </c>
    </row>
    <row r="33" spans="1:10" ht="12.75" x14ac:dyDescent="0.2">
      <c r="A33" s="3">
        <v>2</v>
      </c>
      <c r="B33" s="4" t="s">
        <v>25</v>
      </c>
      <c r="C33" s="3" t="s">
        <v>2</v>
      </c>
      <c r="D33" s="3" t="s">
        <v>128</v>
      </c>
      <c r="E33" s="3">
        <v>1422</v>
      </c>
      <c r="G33" s="19"/>
      <c r="J33" s="3" t="s">
        <v>281</v>
      </c>
    </row>
    <row r="34" spans="1:10" ht="12.75" x14ac:dyDescent="0.2">
      <c r="A34" s="3">
        <v>2</v>
      </c>
      <c r="B34" s="4" t="s">
        <v>25</v>
      </c>
      <c r="C34" s="3" t="s">
        <v>2</v>
      </c>
      <c r="D34" s="3" t="s">
        <v>14</v>
      </c>
      <c r="E34" s="3">
        <v>207</v>
      </c>
      <c r="G34" s="19"/>
      <c r="J34" s="3" t="s">
        <v>282</v>
      </c>
    </row>
    <row r="35" spans="1:10" ht="12.75" x14ac:dyDescent="0.2">
      <c r="A35" s="3">
        <v>2</v>
      </c>
      <c r="B35" s="4" t="s">
        <v>25</v>
      </c>
      <c r="C35" s="3" t="s">
        <v>2</v>
      </c>
      <c r="D35" s="3" t="s">
        <v>138</v>
      </c>
      <c r="E35" s="3">
        <v>39</v>
      </c>
      <c r="G35" s="19"/>
      <c r="J35" s="3" t="s">
        <v>283</v>
      </c>
    </row>
    <row r="36" spans="1:10" ht="12.75" x14ac:dyDescent="0.2">
      <c r="A36" s="3">
        <v>2</v>
      </c>
      <c r="B36" s="4" t="s">
        <v>25</v>
      </c>
      <c r="C36" s="3" t="s">
        <v>162</v>
      </c>
      <c r="D36" s="3" t="s">
        <v>3</v>
      </c>
      <c r="E36" s="3">
        <v>2157</v>
      </c>
      <c r="G36" s="19"/>
      <c r="J36" s="3" t="s">
        <v>284</v>
      </c>
    </row>
    <row r="37" spans="1:10" ht="12.75" x14ac:dyDescent="0.2">
      <c r="A37" s="3">
        <v>2</v>
      </c>
      <c r="B37" s="4" t="s">
        <v>25</v>
      </c>
      <c r="C37" s="3" t="s">
        <v>162</v>
      </c>
      <c r="D37" s="3" t="s">
        <v>128</v>
      </c>
      <c r="E37" s="3">
        <v>1277</v>
      </c>
      <c r="G37" s="19"/>
      <c r="J37" s="3" t="s">
        <v>285</v>
      </c>
    </row>
    <row r="38" spans="1:10" ht="12.75" x14ac:dyDescent="0.2">
      <c r="A38" s="3">
        <v>2</v>
      </c>
      <c r="B38" s="4" t="s">
        <v>25</v>
      </c>
      <c r="C38" s="3" t="s">
        <v>162</v>
      </c>
      <c r="D38" s="3" t="s">
        <v>133</v>
      </c>
      <c r="E38" s="3">
        <v>224</v>
      </c>
      <c r="G38" s="19"/>
      <c r="J38" s="3" t="s">
        <v>286</v>
      </c>
    </row>
    <row r="39" spans="1:10" ht="12.75" x14ac:dyDescent="0.2">
      <c r="A39" s="3">
        <v>2</v>
      </c>
      <c r="B39" s="4" t="s">
        <v>25</v>
      </c>
      <c r="C39" s="3" t="s">
        <v>162</v>
      </c>
      <c r="D39" s="3" t="s">
        <v>14</v>
      </c>
      <c r="E39" s="3">
        <v>94</v>
      </c>
      <c r="G39" s="19"/>
      <c r="J39" s="3" t="s">
        <v>149</v>
      </c>
    </row>
    <row r="40" spans="1:10" ht="12.75" x14ac:dyDescent="0.2">
      <c r="A40" s="3">
        <v>2</v>
      </c>
      <c r="B40" s="4" t="s">
        <v>25</v>
      </c>
      <c r="C40" s="3" t="s">
        <v>162</v>
      </c>
      <c r="D40" s="3" t="s">
        <v>138</v>
      </c>
      <c r="E40" s="3">
        <v>64</v>
      </c>
      <c r="F40">
        <f>SUM(E36:E45)</f>
        <v>3886</v>
      </c>
      <c r="G40" s="19"/>
      <c r="J40" s="3" t="s">
        <v>287</v>
      </c>
    </row>
    <row r="41" spans="1:10" ht="12.75" x14ac:dyDescent="0.2">
      <c r="A41" s="3">
        <v>2</v>
      </c>
      <c r="B41" s="4" t="s">
        <v>25</v>
      </c>
      <c r="C41" s="3" t="s">
        <v>162</v>
      </c>
      <c r="D41" s="3" t="s">
        <v>149</v>
      </c>
      <c r="E41" s="3">
        <v>28</v>
      </c>
      <c r="G41" s="19"/>
      <c r="J41" s="3" t="s">
        <v>288</v>
      </c>
    </row>
    <row r="42" spans="1:10" ht="12.75" x14ac:dyDescent="0.2">
      <c r="A42" s="3">
        <v>2</v>
      </c>
      <c r="B42" s="4" t="s">
        <v>25</v>
      </c>
      <c r="C42" s="3" t="s">
        <v>162</v>
      </c>
      <c r="D42" s="3" t="s">
        <v>139</v>
      </c>
      <c r="E42" s="3">
        <v>18</v>
      </c>
      <c r="G42" s="19"/>
      <c r="J42" s="3" t="s">
        <v>289</v>
      </c>
    </row>
    <row r="43" spans="1:10" ht="12.75" x14ac:dyDescent="0.2">
      <c r="A43" s="3">
        <v>2</v>
      </c>
      <c r="B43" s="4" t="s">
        <v>25</v>
      </c>
      <c r="C43" s="3" t="s">
        <v>162</v>
      </c>
      <c r="D43" s="3" t="s">
        <v>145</v>
      </c>
      <c r="E43" s="3">
        <v>13</v>
      </c>
      <c r="G43" s="19"/>
      <c r="J43" s="3" t="s">
        <v>290</v>
      </c>
    </row>
    <row r="44" spans="1:10" ht="12.75" x14ac:dyDescent="0.2">
      <c r="A44" s="3">
        <v>2</v>
      </c>
      <c r="B44" s="4" t="s">
        <v>25</v>
      </c>
      <c r="C44" s="3" t="s">
        <v>162</v>
      </c>
      <c r="D44" s="3" t="s">
        <v>148</v>
      </c>
      <c r="E44" s="3">
        <v>8</v>
      </c>
      <c r="G44" s="19"/>
      <c r="J44" s="3" t="s">
        <v>291</v>
      </c>
    </row>
    <row r="45" spans="1:10" ht="12.75" x14ac:dyDescent="0.2">
      <c r="A45" s="3">
        <v>2</v>
      </c>
      <c r="B45" s="4" t="s">
        <v>25</v>
      </c>
      <c r="C45" s="3" t="s">
        <v>162</v>
      </c>
      <c r="D45" s="3" t="s">
        <v>135</v>
      </c>
      <c r="E45" s="3">
        <v>3</v>
      </c>
      <c r="G45" s="19"/>
      <c r="J45" s="3" t="s">
        <v>292</v>
      </c>
    </row>
    <row r="46" spans="1:10" ht="12.75" x14ac:dyDescent="0.2">
      <c r="A46" s="3">
        <v>2</v>
      </c>
      <c r="B46" s="4" t="s">
        <v>25</v>
      </c>
      <c r="C46" s="3" t="s">
        <v>161</v>
      </c>
      <c r="D46" s="3" t="s">
        <v>3</v>
      </c>
      <c r="E46" s="3">
        <v>2156</v>
      </c>
      <c r="G46" s="19"/>
      <c r="J46" s="3" t="s">
        <v>293</v>
      </c>
    </row>
    <row r="47" spans="1:10" ht="12.75" x14ac:dyDescent="0.2">
      <c r="A47" s="3">
        <v>2</v>
      </c>
      <c r="B47" s="4" t="s">
        <v>25</v>
      </c>
      <c r="C47" s="3" t="s">
        <v>161</v>
      </c>
      <c r="D47" s="3" t="s">
        <v>128</v>
      </c>
      <c r="E47" s="3">
        <v>1290</v>
      </c>
      <c r="G47" s="19"/>
      <c r="J47" s="3" t="s">
        <v>140</v>
      </c>
    </row>
    <row r="48" spans="1:10" ht="12.75" x14ac:dyDescent="0.2">
      <c r="A48" s="3">
        <v>2</v>
      </c>
      <c r="B48" s="4" t="s">
        <v>25</v>
      </c>
      <c r="C48" s="3" t="s">
        <v>161</v>
      </c>
      <c r="D48" s="3" t="s">
        <v>133</v>
      </c>
      <c r="E48" s="3">
        <v>173</v>
      </c>
      <c r="G48" s="19"/>
      <c r="J48" s="3" t="s">
        <v>294</v>
      </c>
    </row>
    <row r="49" spans="1:10" ht="12.75" x14ac:dyDescent="0.2">
      <c r="A49" s="3">
        <v>2</v>
      </c>
      <c r="B49" s="4" t="s">
        <v>25</v>
      </c>
      <c r="C49" s="3" t="s">
        <v>161</v>
      </c>
      <c r="D49" s="3" t="s">
        <v>14</v>
      </c>
      <c r="E49" s="3">
        <v>135</v>
      </c>
      <c r="G49" s="19"/>
      <c r="J49" s="3" t="s">
        <v>295</v>
      </c>
    </row>
    <row r="50" spans="1:10" ht="12.75" x14ac:dyDescent="0.2">
      <c r="A50" s="3">
        <v>2</v>
      </c>
      <c r="B50" s="4" t="s">
        <v>25</v>
      </c>
      <c r="C50" s="3" t="s">
        <v>161</v>
      </c>
      <c r="D50" s="3" t="s">
        <v>138</v>
      </c>
      <c r="E50" s="3">
        <v>65</v>
      </c>
      <c r="G50" s="19"/>
      <c r="J50" s="3" t="s">
        <v>296</v>
      </c>
    </row>
    <row r="51" spans="1:10" ht="12.75" x14ac:dyDescent="0.2">
      <c r="A51" s="3">
        <v>2</v>
      </c>
      <c r="B51" s="4" t="s">
        <v>25</v>
      </c>
      <c r="C51" s="3" t="s">
        <v>161</v>
      </c>
      <c r="D51" s="3" t="s">
        <v>149</v>
      </c>
      <c r="E51" s="3">
        <v>23</v>
      </c>
      <c r="F51">
        <f>SUM(E46:E55)</f>
        <v>3886</v>
      </c>
      <c r="G51" s="19"/>
      <c r="J51" s="3" t="s">
        <v>297</v>
      </c>
    </row>
    <row r="52" spans="1:10" ht="12.75" x14ac:dyDescent="0.2">
      <c r="A52" s="3">
        <v>2</v>
      </c>
      <c r="B52" s="4" t="s">
        <v>25</v>
      </c>
      <c r="C52" s="3" t="s">
        <v>161</v>
      </c>
      <c r="D52" s="3" t="s">
        <v>145</v>
      </c>
      <c r="E52" s="3">
        <v>16</v>
      </c>
      <c r="G52" s="19"/>
      <c r="J52" s="3" t="s">
        <v>298</v>
      </c>
    </row>
    <row r="53" spans="1:10" ht="12.75" x14ac:dyDescent="0.2">
      <c r="A53" s="3">
        <v>2</v>
      </c>
      <c r="B53" s="4" t="s">
        <v>25</v>
      </c>
      <c r="C53" s="3" t="s">
        <v>161</v>
      </c>
      <c r="D53" s="3" t="s">
        <v>139</v>
      </c>
      <c r="E53" s="3">
        <v>16</v>
      </c>
      <c r="G53" s="19"/>
      <c r="J53" s="3" t="s">
        <v>299</v>
      </c>
    </row>
    <row r="54" spans="1:10" ht="12.75" x14ac:dyDescent="0.2">
      <c r="A54" s="3">
        <v>2</v>
      </c>
      <c r="B54" s="4" t="s">
        <v>25</v>
      </c>
      <c r="C54" s="3" t="s">
        <v>161</v>
      </c>
      <c r="D54" s="3" t="s">
        <v>148</v>
      </c>
      <c r="E54" s="3">
        <v>10</v>
      </c>
      <c r="G54" s="19"/>
      <c r="J54" s="3" t="s">
        <v>300</v>
      </c>
    </row>
    <row r="55" spans="1:10" ht="12.75" x14ac:dyDescent="0.2">
      <c r="A55" s="3">
        <v>2</v>
      </c>
      <c r="B55" s="4" t="s">
        <v>25</v>
      </c>
      <c r="C55" s="3" t="s">
        <v>161</v>
      </c>
      <c r="D55" s="3" t="s">
        <v>135</v>
      </c>
      <c r="E55" s="3">
        <v>2</v>
      </c>
      <c r="G55" s="19"/>
      <c r="J55" s="3" t="s">
        <v>301</v>
      </c>
    </row>
    <row r="56" spans="1:10" ht="12.75" x14ac:dyDescent="0.2">
      <c r="A56" s="3">
        <v>3</v>
      </c>
      <c r="B56" s="4" t="s">
        <v>35</v>
      </c>
      <c r="C56" s="3" t="s">
        <v>2</v>
      </c>
      <c r="D56" s="3" t="s">
        <v>136</v>
      </c>
      <c r="E56" s="3">
        <v>1088</v>
      </c>
      <c r="F56">
        <f>SUM(E56:E59)</f>
        <v>1948</v>
      </c>
      <c r="G56" s="19"/>
      <c r="J56" s="3" t="s">
        <v>302</v>
      </c>
    </row>
    <row r="57" spans="1:10" ht="12.75" x14ac:dyDescent="0.2">
      <c r="A57" s="3">
        <v>3</v>
      </c>
      <c r="B57" s="4" t="s">
        <v>35</v>
      </c>
      <c r="C57" s="3" t="s">
        <v>2</v>
      </c>
      <c r="D57" s="3" t="s">
        <v>128</v>
      </c>
      <c r="E57" s="3">
        <v>827</v>
      </c>
      <c r="G57" s="19"/>
      <c r="J57" s="3" t="s">
        <v>303</v>
      </c>
    </row>
    <row r="58" spans="1:10" ht="12.75" x14ac:dyDescent="0.2">
      <c r="A58" s="3">
        <v>3</v>
      </c>
      <c r="B58" s="4" t="s">
        <v>35</v>
      </c>
      <c r="C58" s="3" t="s">
        <v>2</v>
      </c>
      <c r="D58" s="3" t="s">
        <v>14</v>
      </c>
      <c r="E58" s="3">
        <v>26</v>
      </c>
      <c r="G58" s="19"/>
      <c r="J58" s="3" t="s">
        <v>304</v>
      </c>
    </row>
    <row r="59" spans="1:10" ht="12.75" x14ac:dyDescent="0.2">
      <c r="A59" s="3">
        <v>3</v>
      </c>
      <c r="B59" s="4" t="s">
        <v>35</v>
      </c>
      <c r="C59" s="3" t="s">
        <v>2</v>
      </c>
      <c r="D59" s="3" t="s">
        <v>138</v>
      </c>
      <c r="E59" s="3">
        <v>7</v>
      </c>
      <c r="G59" s="19"/>
      <c r="J59" s="3" t="s">
        <v>305</v>
      </c>
    </row>
    <row r="60" spans="1:10" ht="12.75" x14ac:dyDescent="0.2">
      <c r="A60" s="3">
        <v>3</v>
      </c>
      <c r="B60" s="4" t="s">
        <v>35</v>
      </c>
      <c r="C60" s="3" t="s">
        <v>161</v>
      </c>
      <c r="D60" s="3" t="s">
        <v>136</v>
      </c>
      <c r="E60" s="3">
        <v>1047</v>
      </c>
      <c r="G60" s="19"/>
      <c r="J60" s="3" t="s">
        <v>148</v>
      </c>
    </row>
    <row r="61" spans="1:10" ht="12.75" x14ac:dyDescent="0.2">
      <c r="A61" s="3">
        <v>3</v>
      </c>
      <c r="B61" s="4" t="s">
        <v>35</v>
      </c>
      <c r="C61" s="3" t="s">
        <v>161</v>
      </c>
      <c r="D61" s="3" t="s">
        <v>128</v>
      </c>
      <c r="E61" s="3">
        <v>708</v>
      </c>
      <c r="G61" s="19"/>
      <c r="J61" s="3" t="s">
        <v>306</v>
      </c>
    </row>
    <row r="62" spans="1:10" ht="12.75" x14ac:dyDescent="0.2">
      <c r="A62" s="3">
        <v>3</v>
      </c>
      <c r="B62" s="4" t="s">
        <v>35</v>
      </c>
      <c r="C62" s="3" t="s">
        <v>161</v>
      </c>
      <c r="D62" s="3" t="s">
        <v>14</v>
      </c>
      <c r="E62" s="3">
        <v>64</v>
      </c>
      <c r="G62" s="19"/>
      <c r="J62" s="3" t="s">
        <v>318</v>
      </c>
    </row>
    <row r="63" spans="1:10" ht="12.75" x14ac:dyDescent="0.2">
      <c r="A63" s="3">
        <v>3</v>
      </c>
      <c r="B63" s="4" t="s">
        <v>35</v>
      </c>
      <c r="C63" s="3" t="s">
        <v>161</v>
      </c>
      <c r="D63" s="3" t="s">
        <v>138</v>
      </c>
      <c r="E63" s="3">
        <v>63</v>
      </c>
      <c r="G63" s="19"/>
      <c r="J63" s="3" t="s">
        <v>308</v>
      </c>
    </row>
    <row r="64" spans="1:10" ht="12.75" x14ac:dyDescent="0.2">
      <c r="A64" s="3">
        <v>3</v>
      </c>
      <c r="B64" s="4" t="s">
        <v>35</v>
      </c>
      <c r="C64" s="3" t="s">
        <v>161</v>
      </c>
      <c r="D64" s="3" t="s">
        <v>133</v>
      </c>
      <c r="E64" s="3">
        <v>25</v>
      </c>
      <c r="F64">
        <f>SUM(E60:E69)</f>
        <v>1948</v>
      </c>
      <c r="G64" s="19"/>
      <c r="J64" s="3" t="s">
        <v>309</v>
      </c>
    </row>
    <row r="65" spans="1:10" ht="12.75" x14ac:dyDescent="0.2">
      <c r="A65" s="3">
        <v>3</v>
      </c>
      <c r="B65" s="4" t="s">
        <v>35</v>
      </c>
      <c r="C65" s="3" t="s">
        <v>161</v>
      </c>
      <c r="D65" s="3" t="s">
        <v>149</v>
      </c>
      <c r="E65" s="3">
        <v>22</v>
      </c>
      <c r="G65" s="19"/>
      <c r="J65" s="3" t="s">
        <v>310</v>
      </c>
    </row>
    <row r="66" spans="1:10" ht="12.75" x14ac:dyDescent="0.2">
      <c r="A66" s="3">
        <v>3</v>
      </c>
      <c r="B66" s="4" t="s">
        <v>35</v>
      </c>
      <c r="C66" s="3" t="s">
        <v>161</v>
      </c>
      <c r="D66" s="3" t="s">
        <v>148</v>
      </c>
      <c r="E66" s="3">
        <v>8</v>
      </c>
      <c r="G66" s="19"/>
      <c r="J66" s="3" t="s">
        <v>311</v>
      </c>
    </row>
    <row r="67" spans="1:10" ht="12.75" x14ac:dyDescent="0.2">
      <c r="A67" s="3">
        <v>3</v>
      </c>
      <c r="B67" s="4" t="s">
        <v>35</v>
      </c>
      <c r="C67" s="3" t="s">
        <v>161</v>
      </c>
      <c r="D67" s="3" t="s">
        <v>139</v>
      </c>
      <c r="E67" s="3">
        <v>7</v>
      </c>
      <c r="G67" s="19"/>
      <c r="J67" s="3" t="s">
        <v>143</v>
      </c>
    </row>
    <row r="68" spans="1:10" ht="12.75" x14ac:dyDescent="0.2">
      <c r="A68" s="3">
        <v>3</v>
      </c>
      <c r="B68" s="4" t="s">
        <v>35</v>
      </c>
      <c r="C68" s="3" t="s">
        <v>161</v>
      </c>
      <c r="D68" s="3" t="s">
        <v>135</v>
      </c>
      <c r="E68" s="3">
        <v>2</v>
      </c>
      <c r="G68" s="19"/>
      <c r="J68" s="3" t="s">
        <v>312</v>
      </c>
    </row>
    <row r="69" spans="1:10" ht="12.75" x14ac:dyDescent="0.2">
      <c r="A69" s="3">
        <v>3</v>
      </c>
      <c r="B69" s="4" t="s">
        <v>35</v>
      </c>
      <c r="C69" s="3" t="s">
        <v>161</v>
      </c>
      <c r="D69" s="3" t="s">
        <v>145</v>
      </c>
      <c r="E69" s="3">
        <v>2</v>
      </c>
      <c r="G69" s="19"/>
      <c r="J69" s="3" t="s">
        <v>313</v>
      </c>
    </row>
    <row r="70" spans="1:10" ht="12.75" x14ac:dyDescent="0.2">
      <c r="A70" s="3">
        <v>3</v>
      </c>
      <c r="B70" s="4" t="s">
        <v>35</v>
      </c>
      <c r="C70" s="3" t="s">
        <v>162</v>
      </c>
      <c r="D70" s="3" t="s">
        <v>136</v>
      </c>
      <c r="E70" s="3">
        <v>1041</v>
      </c>
      <c r="G70" s="19"/>
      <c r="J70" s="3" t="s">
        <v>132</v>
      </c>
    </row>
    <row r="71" spans="1:10" ht="12.75" x14ac:dyDescent="0.2">
      <c r="A71" s="3">
        <v>3</v>
      </c>
      <c r="B71" s="4" t="s">
        <v>35</v>
      </c>
      <c r="C71" s="3" t="s">
        <v>162</v>
      </c>
      <c r="D71" s="3" t="s">
        <v>128</v>
      </c>
      <c r="E71" s="3">
        <v>653</v>
      </c>
      <c r="G71" s="19"/>
      <c r="J71" s="3" t="s">
        <v>138</v>
      </c>
    </row>
    <row r="72" spans="1:10" ht="12.75" x14ac:dyDescent="0.2">
      <c r="A72" s="3">
        <v>3</v>
      </c>
      <c r="B72" s="4" t="s">
        <v>35</v>
      </c>
      <c r="C72" s="3" t="s">
        <v>162</v>
      </c>
      <c r="D72" s="3" t="s">
        <v>138</v>
      </c>
      <c r="E72" s="3">
        <v>86</v>
      </c>
      <c r="G72" s="19"/>
      <c r="J72" s="3" t="s">
        <v>314</v>
      </c>
    </row>
    <row r="73" spans="1:10" ht="12.75" x14ac:dyDescent="0.2">
      <c r="A73" s="3">
        <v>3</v>
      </c>
      <c r="B73" s="4" t="s">
        <v>35</v>
      </c>
      <c r="C73" s="3" t="s">
        <v>162</v>
      </c>
      <c r="D73" s="3" t="s">
        <v>14</v>
      </c>
      <c r="E73" s="3">
        <v>74</v>
      </c>
      <c r="G73" s="19"/>
      <c r="J73" s="3" t="s">
        <v>315</v>
      </c>
    </row>
    <row r="74" spans="1:10" ht="12.75" x14ac:dyDescent="0.2">
      <c r="A74" s="3">
        <v>3</v>
      </c>
      <c r="B74" s="4" t="s">
        <v>35</v>
      </c>
      <c r="C74" s="3" t="s">
        <v>162</v>
      </c>
      <c r="D74" s="3" t="s">
        <v>133</v>
      </c>
      <c r="E74" s="3">
        <v>45</v>
      </c>
      <c r="F74">
        <f>SUM(E70:E79)</f>
        <v>1948</v>
      </c>
      <c r="G74" s="19"/>
      <c r="J74" s="3" t="s">
        <v>316</v>
      </c>
    </row>
    <row r="75" spans="1:10" ht="12.75" x14ac:dyDescent="0.2">
      <c r="A75" s="3">
        <v>3</v>
      </c>
      <c r="B75" s="4" t="s">
        <v>35</v>
      </c>
      <c r="C75" s="3" t="s">
        <v>162</v>
      </c>
      <c r="D75" s="3" t="s">
        <v>149</v>
      </c>
      <c r="E75" s="3">
        <v>26</v>
      </c>
      <c r="G75" s="19"/>
      <c r="J75" s="3" t="s">
        <v>128</v>
      </c>
    </row>
    <row r="76" spans="1:10" ht="12.75" x14ac:dyDescent="0.2">
      <c r="A76" s="3">
        <v>3</v>
      </c>
      <c r="B76" s="4" t="s">
        <v>35</v>
      </c>
      <c r="C76" s="3" t="s">
        <v>162</v>
      </c>
      <c r="D76" s="3" t="s">
        <v>148</v>
      </c>
      <c r="E76" s="3">
        <v>9</v>
      </c>
      <c r="G76" s="19"/>
      <c r="J76" s="3" t="s">
        <v>353</v>
      </c>
    </row>
    <row r="77" spans="1:10" ht="12.75" x14ac:dyDescent="0.2">
      <c r="A77" s="3">
        <v>3</v>
      </c>
      <c r="B77" s="4" t="s">
        <v>35</v>
      </c>
      <c r="C77" s="3" t="s">
        <v>162</v>
      </c>
      <c r="D77" s="3" t="s">
        <v>139</v>
      </c>
      <c r="E77" s="3">
        <v>8</v>
      </c>
      <c r="G77" s="19"/>
      <c r="J77" s="3" t="s">
        <v>135</v>
      </c>
    </row>
    <row r="78" spans="1:10" ht="12.75" x14ac:dyDescent="0.2">
      <c r="A78" s="3">
        <v>3</v>
      </c>
      <c r="B78" s="4" t="s">
        <v>35</v>
      </c>
      <c r="C78" s="3" t="s">
        <v>162</v>
      </c>
      <c r="D78" s="3" t="s">
        <v>135</v>
      </c>
      <c r="E78" s="3">
        <v>3</v>
      </c>
      <c r="G78" s="19"/>
      <c r="J78" s="3" t="s">
        <v>133</v>
      </c>
    </row>
    <row r="79" spans="1:10" ht="12.75" x14ac:dyDescent="0.2">
      <c r="A79" s="3">
        <v>3</v>
      </c>
      <c r="B79" s="4" t="s">
        <v>35</v>
      </c>
      <c r="C79" s="3" t="s">
        <v>162</v>
      </c>
      <c r="D79" s="3" t="s">
        <v>145</v>
      </c>
      <c r="E79" s="3">
        <v>3</v>
      </c>
      <c r="G79" s="19"/>
      <c r="J79" s="3" t="s">
        <v>130</v>
      </c>
    </row>
    <row r="80" spans="1:10" ht="12.75" x14ac:dyDescent="0.2">
      <c r="A80" s="3">
        <v>4</v>
      </c>
      <c r="B80" s="4" t="s">
        <v>36</v>
      </c>
      <c r="C80" s="3" t="s">
        <v>2</v>
      </c>
      <c r="D80" s="3" t="s">
        <v>136</v>
      </c>
      <c r="E80" s="3">
        <v>363</v>
      </c>
      <c r="G80" s="19"/>
      <c r="J80" s="3" t="s">
        <v>145</v>
      </c>
    </row>
    <row r="81" spans="1:10" ht="12.75" x14ac:dyDescent="0.2">
      <c r="A81" s="3">
        <v>4</v>
      </c>
      <c r="B81" s="4" t="s">
        <v>36</v>
      </c>
      <c r="C81" s="3" t="s">
        <v>2</v>
      </c>
      <c r="D81" s="3" t="s">
        <v>128</v>
      </c>
      <c r="E81" s="3">
        <v>183</v>
      </c>
      <c r="G81" s="19"/>
      <c r="J81" s="3" t="s">
        <v>136</v>
      </c>
    </row>
    <row r="82" spans="1:10" ht="12.75" x14ac:dyDescent="0.2">
      <c r="A82" s="3">
        <v>4</v>
      </c>
      <c r="B82" s="4" t="s">
        <v>36</v>
      </c>
      <c r="C82" s="3" t="s">
        <v>2</v>
      </c>
      <c r="D82" s="3" t="s">
        <v>14</v>
      </c>
      <c r="E82" s="3">
        <v>21</v>
      </c>
      <c r="F82">
        <f>SUM(E80:E83)</f>
        <v>572</v>
      </c>
      <c r="G82" s="19"/>
      <c r="I82" s="3"/>
      <c r="J82" s="3" t="s">
        <v>139</v>
      </c>
    </row>
    <row r="83" spans="1:10" ht="12.75" x14ac:dyDescent="0.2">
      <c r="A83" s="3">
        <v>4</v>
      </c>
      <c r="B83" s="4" t="s">
        <v>36</v>
      </c>
      <c r="C83" s="3" t="s">
        <v>2</v>
      </c>
      <c r="D83" s="3" t="s">
        <v>138</v>
      </c>
      <c r="E83" s="3">
        <v>5</v>
      </c>
      <c r="G83" s="19"/>
      <c r="J83" s="3" t="s">
        <v>148</v>
      </c>
    </row>
    <row r="84" spans="1:10" ht="12.75" x14ac:dyDescent="0.2">
      <c r="A84" s="3">
        <v>4</v>
      </c>
      <c r="B84" s="4" t="s">
        <v>36</v>
      </c>
      <c r="C84" s="3" t="s">
        <v>161</v>
      </c>
      <c r="D84" s="3" t="s">
        <v>136</v>
      </c>
      <c r="E84" s="3">
        <v>341</v>
      </c>
      <c r="G84" s="19"/>
      <c r="J84" s="3" t="s">
        <v>151</v>
      </c>
    </row>
    <row r="85" spans="1:10" ht="12.75" x14ac:dyDescent="0.2">
      <c r="A85" s="3">
        <v>4</v>
      </c>
      <c r="B85" s="4" t="s">
        <v>36</v>
      </c>
      <c r="C85" s="3" t="s">
        <v>161</v>
      </c>
      <c r="D85" s="3" t="s">
        <v>128</v>
      </c>
      <c r="E85" s="3">
        <v>169</v>
      </c>
      <c r="G85" s="19"/>
      <c r="J85" s="3" t="s">
        <v>150</v>
      </c>
    </row>
    <row r="86" spans="1:10" ht="12.75" x14ac:dyDescent="0.2">
      <c r="A86" s="3">
        <v>4</v>
      </c>
      <c r="B86" s="4" t="s">
        <v>36</v>
      </c>
      <c r="C86" s="3" t="s">
        <v>161</v>
      </c>
      <c r="D86" s="3" t="s">
        <v>14</v>
      </c>
      <c r="E86" s="3">
        <v>25</v>
      </c>
      <c r="G86" s="19"/>
      <c r="J86" s="3" t="s">
        <v>147</v>
      </c>
    </row>
    <row r="87" spans="1:10" ht="12.75" x14ac:dyDescent="0.2">
      <c r="A87" s="3">
        <v>4</v>
      </c>
      <c r="B87" s="4" t="s">
        <v>36</v>
      </c>
      <c r="C87" s="3" t="s">
        <v>161</v>
      </c>
      <c r="D87" s="3" t="s">
        <v>133</v>
      </c>
      <c r="E87" s="3">
        <v>14</v>
      </c>
      <c r="F87">
        <f>SUM(E84:E90)</f>
        <v>572</v>
      </c>
      <c r="G87" s="19"/>
      <c r="J87" s="3" t="s">
        <v>146</v>
      </c>
    </row>
    <row r="88" spans="1:10" ht="12.75" x14ac:dyDescent="0.2">
      <c r="A88" s="3">
        <v>4</v>
      </c>
      <c r="B88" s="4" t="s">
        <v>36</v>
      </c>
      <c r="C88" s="3" t="s">
        <v>161</v>
      </c>
      <c r="D88" s="3" t="s">
        <v>145</v>
      </c>
      <c r="E88" s="3">
        <v>9</v>
      </c>
      <c r="G88" s="19"/>
    </row>
    <row r="89" spans="1:10" ht="12.75" x14ac:dyDescent="0.2">
      <c r="A89" s="3">
        <v>4</v>
      </c>
      <c r="B89" s="4" t="s">
        <v>36</v>
      </c>
      <c r="C89" s="3" t="s">
        <v>161</v>
      </c>
      <c r="D89" s="3" t="s">
        <v>148</v>
      </c>
      <c r="E89" s="3">
        <v>8</v>
      </c>
      <c r="G89" s="19"/>
    </row>
    <row r="90" spans="1:10" ht="12.75" x14ac:dyDescent="0.2">
      <c r="A90" s="3">
        <v>4</v>
      </c>
      <c r="B90" s="4" t="s">
        <v>36</v>
      </c>
      <c r="C90" s="3" t="s">
        <v>161</v>
      </c>
      <c r="D90" s="3" t="s">
        <v>138</v>
      </c>
      <c r="E90" s="3">
        <v>6</v>
      </c>
      <c r="G90" s="19"/>
    </row>
    <row r="91" spans="1:10" ht="12.75" x14ac:dyDescent="0.2">
      <c r="A91" s="3">
        <v>4</v>
      </c>
      <c r="B91" s="4" t="s">
        <v>36</v>
      </c>
      <c r="C91" s="3" t="s">
        <v>162</v>
      </c>
      <c r="D91" s="3" t="s">
        <v>136</v>
      </c>
      <c r="E91" s="3">
        <v>349</v>
      </c>
      <c r="G91" s="19"/>
    </row>
    <row r="92" spans="1:10" ht="12.75" x14ac:dyDescent="0.2">
      <c r="A92" s="3">
        <v>4</v>
      </c>
      <c r="B92" s="4" t="s">
        <v>36</v>
      </c>
      <c r="C92" s="3" t="s">
        <v>162</v>
      </c>
      <c r="D92" s="3" t="s">
        <v>128</v>
      </c>
      <c r="E92" s="3">
        <v>172</v>
      </c>
      <c r="G92" s="19"/>
    </row>
    <row r="93" spans="1:10" ht="12.75" x14ac:dyDescent="0.2">
      <c r="A93" s="3">
        <v>4</v>
      </c>
      <c r="B93" s="4" t="s">
        <v>36</v>
      </c>
      <c r="C93" s="3" t="s">
        <v>162</v>
      </c>
      <c r="D93" s="3" t="s">
        <v>14</v>
      </c>
      <c r="E93" s="3">
        <v>18</v>
      </c>
      <c r="G93" s="19"/>
    </row>
    <row r="94" spans="1:10" ht="12.75" x14ac:dyDescent="0.2">
      <c r="A94" s="3">
        <v>4</v>
      </c>
      <c r="B94" s="4" t="s">
        <v>36</v>
      </c>
      <c r="C94" s="3" t="s">
        <v>162</v>
      </c>
      <c r="D94" s="3" t="s">
        <v>133</v>
      </c>
      <c r="E94" s="3">
        <v>15</v>
      </c>
      <c r="F94">
        <f>SUM(E91:E97)</f>
        <v>572</v>
      </c>
      <c r="G94" s="19"/>
    </row>
    <row r="95" spans="1:10" ht="12.75" x14ac:dyDescent="0.2">
      <c r="A95" s="3">
        <v>4</v>
      </c>
      <c r="B95" s="4" t="s">
        <v>36</v>
      </c>
      <c r="C95" s="3" t="s">
        <v>162</v>
      </c>
      <c r="D95" s="3" t="s">
        <v>148</v>
      </c>
      <c r="E95" s="3">
        <v>8</v>
      </c>
      <c r="G95" s="19"/>
    </row>
    <row r="96" spans="1:10" ht="12.75" x14ac:dyDescent="0.2">
      <c r="A96" s="3">
        <v>4</v>
      </c>
      <c r="B96" s="4" t="s">
        <v>36</v>
      </c>
      <c r="C96" s="3" t="s">
        <v>162</v>
      </c>
      <c r="D96" s="3" t="s">
        <v>138</v>
      </c>
      <c r="E96" s="3">
        <v>6</v>
      </c>
      <c r="G96" s="19"/>
    </row>
    <row r="97" spans="1:7" ht="12.75" x14ac:dyDescent="0.2">
      <c r="A97" s="3">
        <v>4</v>
      </c>
      <c r="B97" s="4" t="s">
        <v>36</v>
      </c>
      <c r="C97" s="3" t="s">
        <v>162</v>
      </c>
      <c r="D97" s="3" t="s">
        <v>145</v>
      </c>
      <c r="E97" s="3">
        <v>4</v>
      </c>
      <c r="G97" s="19"/>
    </row>
    <row r="98" spans="1:7" ht="12.75" x14ac:dyDescent="0.2">
      <c r="A98" s="3">
        <v>5</v>
      </c>
      <c r="B98" s="4" t="s">
        <v>37</v>
      </c>
      <c r="C98" s="3" t="s">
        <v>2</v>
      </c>
      <c r="D98" s="3" t="s">
        <v>136</v>
      </c>
      <c r="E98" s="3">
        <v>246</v>
      </c>
      <c r="G98" s="19"/>
    </row>
    <row r="99" spans="1:7" ht="12.75" x14ac:dyDescent="0.2">
      <c r="A99" s="3">
        <v>5</v>
      </c>
      <c r="B99" s="4" t="s">
        <v>37</v>
      </c>
      <c r="C99" s="3" t="s">
        <v>2</v>
      </c>
      <c r="D99" s="3" t="s">
        <v>128</v>
      </c>
      <c r="E99" s="3">
        <v>74</v>
      </c>
      <c r="F99">
        <f>SUM(E98:E100)</f>
        <v>326</v>
      </c>
      <c r="G99" s="19"/>
    </row>
    <row r="100" spans="1:7" ht="12.75" x14ac:dyDescent="0.2">
      <c r="A100" s="3">
        <v>5</v>
      </c>
      <c r="B100" s="4" t="s">
        <v>37</v>
      </c>
      <c r="C100" s="3" t="s">
        <v>2</v>
      </c>
      <c r="D100" s="3" t="s">
        <v>14</v>
      </c>
      <c r="E100" s="3">
        <v>6</v>
      </c>
      <c r="G100" s="19"/>
    </row>
    <row r="101" spans="1:7" ht="12.75" x14ac:dyDescent="0.2">
      <c r="A101" s="3">
        <v>5</v>
      </c>
      <c r="B101" s="4" t="s">
        <v>37</v>
      </c>
      <c r="C101" s="3" t="s">
        <v>161</v>
      </c>
      <c r="D101" s="3" t="s">
        <v>136</v>
      </c>
      <c r="E101" s="3">
        <v>204</v>
      </c>
      <c r="G101" s="19"/>
    </row>
    <row r="102" spans="1:7" ht="12.75" x14ac:dyDescent="0.2">
      <c r="A102" s="3">
        <v>5</v>
      </c>
      <c r="B102" s="4" t="s">
        <v>37</v>
      </c>
      <c r="C102" s="3" t="s">
        <v>161</v>
      </c>
      <c r="D102" s="3" t="s">
        <v>128</v>
      </c>
      <c r="E102" s="3">
        <v>94</v>
      </c>
      <c r="G102" s="19"/>
    </row>
    <row r="103" spans="1:7" ht="12.75" x14ac:dyDescent="0.2">
      <c r="A103" s="3">
        <v>5</v>
      </c>
      <c r="B103" s="4" t="s">
        <v>37</v>
      </c>
      <c r="C103" s="3" t="s">
        <v>161</v>
      </c>
      <c r="D103" s="3" t="s">
        <v>133</v>
      </c>
      <c r="E103" s="3">
        <v>14</v>
      </c>
      <c r="G103" s="19"/>
    </row>
    <row r="104" spans="1:7" ht="12.75" x14ac:dyDescent="0.2">
      <c r="A104" s="3">
        <v>5</v>
      </c>
      <c r="B104" s="4" t="s">
        <v>37</v>
      </c>
      <c r="C104" s="3" t="s">
        <v>161</v>
      </c>
      <c r="D104" s="3" t="s">
        <v>14</v>
      </c>
      <c r="E104" s="3">
        <v>11</v>
      </c>
      <c r="F104">
        <f>SUM(E101:E106)</f>
        <v>326</v>
      </c>
      <c r="G104" s="19"/>
    </row>
    <row r="105" spans="1:7" ht="12.75" x14ac:dyDescent="0.2">
      <c r="A105" s="3">
        <v>5</v>
      </c>
      <c r="B105" s="4" t="s">
        <v>37</v>
      </c>
      <c r="C105" s="3" t="s">
        <v>161</v>
      </c>
      <c r="D105" s="3" t="s">
        <v>145</v>
      </c>
      <c r="E105" s="3">
        <v>2</v>
      </c>
      <c r="G105" s="19"/>
    </row>
    <row r="106" spans="1:7" ht="12.75" x14ac:dyDescent="0.2">
      <c r="A106" s="3">
        <v>5</v>
      </c>
      <c r="B106" s="4" t="s">
        <v>37</v>
      </c>
      <c r="C106" s="3" t="s">
        <v>161</v>
      </c>
      <c r="D106" s="3" t="s">
        <v>148</v>
      </c>
      <c r="E106" s="3">
        <v>1</v>
      </c>
      <c r="G106" s="19"/>
    </row>
    <row r="107" spans="1:7" ht="12.75" x14ac:dyDescent="0.2">
      <c r="A107" s="3">
        <v>5</v>
      </c>
      <c r="B107" s="4" t="s">
        <v>37</v>
      </c>
      <c r="C107" s="3" t="s">
        <v>162</v>
      </c>
      <c r="D107" s="3" t="s">
        <v>136</v>
      </c>
      <c r="E107" s="3">
        <v>206</v>
      </c>
      <c r="G107" s="19"/>
    </row>
    <row r="108" spans="1:7" ht="12.75" x14ac:dyDescent="0.2">
      <c r="A108" s="3">
        <v>5</v>
      </c>
      <c r="B108" s="4" t="s">
        <v>37</v>
      </c>
      <c r="C108" s="3" t="s">
        <v>162</v>
      </c>
      <c r="D108" s="3" t="s">
        <v>128</v>
      </c>
      <c r="E108" s="3">
        <v>97</v>
      </c>
      <c r="G108" s="19"/>
    </row>
    <row r="109" spans="1:7" ht="12.75" x14ac:dyDescent="0.2">
      <c r="A109" s="3">
        <v>5</v>
      </c>
      <c r="B109" s="4" t="s">
        <v>37</v>
      </c>
      <c r="C109" s="3" t="s">
        <v>162</v>
      </c>
      <c r="D109" s="3" t="s">
        <v>133</v>
      </c>
      <c r="E109" s="3">
        <v>14</v>
      </c>
      <c r="F109">
        <f>SUM(E107:E112)</f>
        <v>326</v>
      </c>
      <c r="G109" s="19"/>
    </row>
    <row r="110" spans="1:7" ht="12.75" x14ac:dyDescent="0.2">
      <c r="A110" s="3">
        <v>5</v>
      </c>
      <c r="B110" s="4" t="s">
        <v>37</v>
      </c>
      <c r="C110" s="3" t="s">
        <v>162</v>
      </c>
      <c r="D110" s="3" t="s">
        <v>14</v>
      </c>
      <c r="E110" s="3">
        <v>6</v>
      </c>
      <c r="G110" s="19"/>
    </row>
    <row r="111" spans="1:7" ht="12.75" x14ac:dyDescent="0.2">
      <c r="A111" s="3">
        <v>5</v>
      </c>
      <c r="B111" s="4" t="s">
        <v>37</v>
      </c>
      <c r="C111" s="3" t="s">
        <v>162</v>
      </c>
      <c r="D111" s="3" t="s">
        <v>145</v>
      </c>
      <c r="E111" s="3">
        <v>2</v>
      </c>
      <c r="G111" s="19"/>
    </row>
    <row r="112" spans="1:7" ht="12.75" x14ac:dyDescent="0.2">
      <c r="A112" s="3">
        <v>5</v>
      </c>
      <c r="B112" s="4" t="s">
        <v>37</v>
      </c>
      <c r="C112" s="3" t="s">
        <v>162</v>
      </c>
      <c r="D112" s="3" t="s">
        <v>148</v>
      </c>
      <c r="E112" s="3">
        <v>1</v>
      </c>
      <c r="G112" s="19"/>
    </row>
    <row r="113" spans="1:7" ht="12.75" x14ac:dyDescent="0.2">
      <c r="A113" s="3">
        <v>6</v>
      </c>
      <c r="B113" s="4" t="s">
        <v>38</v>
      </c>
      <c r="C113" s="3" t="s">
        <v>2</v>
      </c>
      <c r="D113" s="3" t="s">
        <v>128</v>
      </c>
      <c r="E113" s="3">
        <v>733</v>
      </c>
      <c r="G113" s="19"/>
    </row>
    <row r="114" spans="1:7" ht="12.75" x14ac:dyDescent="0.2">
      <c r="A114" s="3">
        <v>6</v>
      </c>
      <c r="B114" s="4" t="s">
        <v>38</v>
      </c>
      <c r="C114" s="3" t="s">
        <v>2</v>
      </c>
      <c r="D114" s="3" t="s">
        <v>136</v>
      </c>
      <c r="E114" s="3">
        <v>703</v>
      </c>
      <c r="G114" s="19"/>
    </row>
    <row r="115" spans="1:7" ht="12.75" x14ac:dyDescent="0.2">
      <c r="A115" s="3">
        <v>6</v>
      </c>
      <c r="B115" s="4" t="s">
        <v>38</v>
      </c>
      <c r="C115" s="3" t="s">
        <v>2</v>
      </c>
      <c r="D115" s="3" t="s">
        <v>14</v>
      </c>
      <c r="E115" s="3">
        <v>69</v>
      </c>
      <c r="F115">
        <f>SUM(E113:E116)</f>
        <v>1521</v>
      </c>
      <c r="G115" s="19"/>
    </row>
    <row r="116" spans="1:7" ht="12.75" x14ac:dyDescent="0.2">
      <c r="A116" s="3">
        <v>6</v>
      </c>
      <c r="B116" s="4" t="s">
        <v>38</v>
      </c>
      <c r="C116" s="3" t="s">
        <v>2</v>
      </c>
      <c r="D116" s="3" t="s">
        <v>138</v>
      </c>
      <c r="E116" s="3">
        <v>16</v>
      </c>
      <c r="G116" s="19"/>
    </row>
    <row r="117" spans="1:7" ht="12.75" x14ac:dyDescent="0.2">
      <c r="A117" s="3">
        <v>6</v>
      </c>
      <c r="B117" s="4" t="s">
        <v>38</v>
      </c>
      <c r="C117" s="3" t="s">
        <v>161</v>
      </c>
      <c r="D117" s="3" t="s">
        <v>136</v>
      </c>
      <c r="E117" s="3">
        <v>705</v>
      </c>
      <c r="G117" s="19"/>
    </row>
    <row r="118" spans="1:7" ht="12.75" x14ac:dyDescent="0.2">
      <c r="A118" s="3">
        <v>6</v>
      </c>
      <c r="B118" s="4" t="s">
        <v>38</v>
      </c>
      <c r="C118" s="3" t="s">
        <v>161</v>
      </c>
      <c r="D118" s="3" t="s">
        <v>128</v>
      </c>
      <c r="E118" s="3">
        <v>677</v>
      </c>
      <c r="G118" s="19"/>
    </row>
    <row r="119" spans="1:7" ht="12.75" x14ac:dyDescent="0.2">
      <c r="A119" s="3">
        <v>6</v>
      </c>
      <c r="B119" s="4" t="s">
        <v>38</v>
      </c>
      <c r="C119" s="3" t="s">
        <v>161</v>
      </c>
      <c r="D119" s="3" t="s">
        <v>14</v>
      </c>
      <c r="E119" s="3">
        <v>44</v>
      </c>
      <c r="G119" s="19"/>
    </row>
    <row r="120" spans="1:7" ht="12.75" x14ac:dyDescent="0.2">
      <c r="A120" s="3">
        <v>6</v>
      </c>
      <c r="B120" s="4" t="s">
        <v>38</v>
      </c>
      <c r="C120" s="3" t="s">
        <v>161</v>
      </c>
      <c r="D120" s="3" t="s">
        <v>133</v>
      </c>
      <c r="E120" s="3">
        <v>30</v>
      </c>
      <c r="G120" s="19"/>
    </row>
    <row r="121" spans="1:7" ht="12.75" x14ac:dyDescent="0.2">
      <c r="A121" s="3">
        <v>6</v>
      </c>
      <c r="B121" s="4" t="s">
        <v>38</v>
      </c>
      <c r="C121" s="3" t="s">
        <v>161</v>
      </c>
      <c r="D121" s="3" t="s">
        <v>138</v>
      </c>
      <c r="E121" s="3">
        <v>26</v>
      </c>
      <c r="G121" s="19"/>
    </row>
    <row r="122" spans="1:7" ht="12.75" x14ac:dyDescent="0.2">
      <c r="A122" s="3">
        <v>6</v>
      </c>
      <c r="B122" s="4" t="s">
        <v>38</v>
      </c>
      <c r="C122" s="3" t="s">
        <v>161</v>
      </c>
      <c r="D122" s="3" t="s">
        <v>149</v>
      </c>
      <c r="E122" s="3">
        <v>18</v>
      </c>
      <c r="F122">
        <f>SUM(E117:E126)</f>
        <v>1521</v>
      </c>
      <c r="G122" s="19"/>
    </row>
    <row r="123" spans="1:7" ht="12.75" x14ac:dyDescent="0.2">
      <c r="A123" s="3">
        <v>6</v>
      </c>
      <c r="B123" s="4" t="s">
        <v>38</v>
      </c>
      <c r="C123" s="3" t="s">
        <v>161</v>
      </c>
      <c r="D123" s="3" t="s">
        <v>148</v>
      </c>
      <c r="E123" s="3">
        <v>10</v>
      </c>
      <c r="G123" s="19"/>
    </row>
    <row r="124" spans="1:7" ht="12.75" x14ac:dyDescent="0.2">
      <c r="A124" s="3">
        <v>6</v>
      </c>
      <c r="B124" s="4" t="s">
        <v>38</v>
      </c>
      <c r="C124" s="3" t="s">
        <v>161</v>
      </c>
      <c r="D124" s="3" t="s">
        <v>145</v>
      </c>
      <c r="E124" s="3">
        <v>5</v>
      </c>
      <c r="G124" s="19"/>
    </row>
    <row r="125" spans="1:7" ht="12.75" x14ac:dyDescent="0.2">
      <c r="A125" s="3">
        <v>6</v>
      </c>
      <c r="B125" s="4" t="s">
        <v>38</v>
      </c>
      <c r="C125" s="3" t="s">
        <v>161</v>
      </c>
      <c r="D125" s="3" t="s">
        <v>139</v>
      </c>
      <c r="E125" s="3">
        <v>5</v>
      </c>
      <c r="G125" s="19"/>
    </row>
    <row r="126" spans="1:7" ht="12.75" x14ac:dyDescent="0.2">
      <c r="A126" s="3">
        <v>6</v>
      </c>
      <c r="B126" s="4" t="s">
        <v>38</v>
      </c>
      <c r="C126" s="3" t="s">
        <v>161</v>
      </c>
      <c r="D126" s="3" t="s">
        <v>135</v>
      </c>
      <c r="E126" s="3">
        <v>1</v>
      </c>
      <c r="G126" s="19"/>
    </row>
    <row r="127" spans="1:7" ht="12.75" x14ac:dyDescent="0.2">
      <c r="A127" s="3">
        <v>6</v>
      </c>
      <c r="B127" s="4" t="s">
        <v>38</v>
      </c>
      <c r="C127" s="3" t="s">
        <v>162</v>
      </c>
      <c r="D127" s="3" t="s">
        <v>136</v>
      </c>
      <c r="E127" s="3">
        <v>712</v>
      </c>
      <c r="G127" s="19"/>
    </row>
    <row r="128" spans="1:7" ht="12.75" x14ac:dyDescent="0.2">
      <c r="A128" s="3">
        <v>6</v>
      </c>
      <c r="B128" s="4" t="s">
        <v>38</v>
      </c>
      <c r="C128" s="3" t="s">
        <v>162</v>
      </c>
      <c r="D128" s="3" t="s">
        <v>128</v>
      </c>
      <c r="E128" s="3">
        <v>669</v>
      </c>
      <c r="G128" s="19"/>
    </row>
    <row r="129" spans="1:7" ht="12.75" x14ac:dyDescent="0.2">
      <c r="A129" s="3">
        <v>6</v>
      </c>
      <c r="B129" s="4" t="s">
        <v>38</v>
      </c>
      <c r="C129" s="3" t="s">
        <v>162</v>
      </c>
      <c r="D129" s="3" t="s">
        <v>14</v>
      </c>
      <c r="E129" s="3">
        <v>39</v>
      </c>
      <c r="G129" s="19"/>
    </row>
    <row r="130" spans="1:7" ht="12.75" x14ac:dyDescent="0.2">
      <c r="A130" s="3">
        <v>6</v>
      </c>
      <c r="B130" s="4" t="s">
        <v>38</v>
      </c>
      <c r="C130" s="3" t="s">
        <v>162</v>
      </c>
      <c r="D130" s="3" t="s">
        <v>133</v>
      </c>
      <c r="E130" s="3">
        <v>33</v>
      </c>
      <c r="G130" s="19"/>
    </row>
    <row r="131" spans="1:7" ht="12.75" x14ac:dyDescent="0.2">
      <c r="A131" s="3">
        <v>6</v>
      </c>
      <c r="B131" s="4" t="s">
        <v>38</v>
      </c>
      <c r="C131" s="3" t="s">
        <v>162</v>
      </c>
      <c r="D131" s="3" t="s">
        <v>138</v>
      </c>
      <c r="E131" s="3">
        <v>24</v>
      </c>
      <c r="F131">
        <f>SUM(E127:E135)</f>
        <v>1521</v>
      </c>
      <c r="G131" s="19"/>
    </row>
    <row r="132" spans="1:7" ht="12.75" x14ac:dyDescent="0.2">
      <c r="A132" s="3">
        <v>6</v>
      </c>
      <c r="B132" s="4" t="s">
        <v>38</v>
      </c>
      <c r="C132" s="3" t="s">
        <v>162</v>
      </c>
      <c r="D132" s="3" t="s">
        <v>149</v>
      </c>
      <c r="E132" s="3">
        <v>20</v>
      </c>
      <c r="G132" s="19"/>
    </row>
    <row r="133" spans="1:7" ht="12.75" x14ac:dyDescent="0.2">
      <c r="A133" s="3">
        <v>6</v>
      </c>
      <c r="B133" s="4" t="s">
        <v>38</v>
      </c>
      <c r="C133" s="3" t="s">
        <v>162</v>
      </c>
      <c r="D133" s="3" t="s">
        <v>148</v>
      </c>
      <c r="E133" s="3">
        <v>13</v>
      </c>
      <c r="G133" s="19"/>
    </row>
    <row r="134" spans="1:7" ht="12.75" x14ac:dyDescent="0.2">
      <c r="A134" s="3">
        <v>6</v>
      </c>
      <c r="B134" s="4" t="s">
        <v>38</v>
      </c>
      <c r="C134" s="3" t="s">
        <v>162</v>
      </c>
      <c r="D134" s="3" t="s">
        <v>139</v>
      </c>
      <c r="E134" s="3">
        <v>6</v>
      </c>
      <c r="G134" s="19"/>
    </row>
    <row r="135" spans="1:7" ht="12.75" x14ac:dyDescent="0.2">
      <c r="A135" s="3">
        <v>6</v>
      </c>
      <c r="B135" s="4" t="s">
        <v>38</v>
      </c>
      <c r="C135" s="3" t="s">
        <v>162</v>
      </c>
      <c r="D135" s="3" t="s">
        <v>145</v>
      </c>
      <c r="E135" s="3">
        <v>5</v>
      </c>
      <c r="G135" s="19"/>
    </row>
    <row r="136" spans="1:7" ht="12.75" x14ac:dyDescent="0.2">
      <c r="A136" s="2" t="s">
        <v>39</v>
      </c>
      <c r="B136" s="4" t="s">
        <v>40</v>
      </c>
      <c r="C136" s="3" t="s">
        <v>2</v>
      </c>
      <c r="D136" s="3" t="s">
        <v>3</v>
      </c>
      <c r="E136" s="3">
        <v>32560</v>
      </c>
      <c r="G136" s="19"/>
    </row>
    <row r="137" spans="1:7" ht="12.75" x14ac:dyDescent="0.2">
      <c r="A137" s="2" t="s">
        <v>39</v>
      </c>
      <c r="B137" s="4" t="s">
        <v>40</v>
      </c>
      <c r="C137" s="3" t="s">
        <v>2</v>
      </c>
      <c r="D137" s="3" t="s">
        <v>128</v>
      </c>
      <c r="E137" s="3">
        <v>17162</v>
      </c>
      <c r="G137" s="19"/>
    </row>
    <row r="138" spans="1:7" ht="12.75" x14ac:dyDescent="0.2">
      <c r="A138" s="2" t="s">
        <v>39</v>
      </c>
      <c r="B138" s="4" t="s">
        <v>40</v>
      </c>
      <c r="C138" s="3" t="s">
        <v>2</v>
      </c>
      <c r="D138" s="3" t="s">
        <v>133</v>
      </c>
      <c r="E138" s="3">
        <v>5957</v>
      </c>
      <c r="G138" s="19"/>
    </row>
    <row r="139" spans="1:7" ht="12.75" x14ac:dyDescent="0.2">
      <c r="A139" s="2" t="s">
        <v>39</v>
      </c>
      <c r="B139" s="4" t="s">
        <v>40</v>
      </c>
      <c r="C139" s="3" t="s">
        <v>2</v>
      </c>
      <c r="D139" s="3" t="s">
        <v>149</v>
      </c>
      <c r="E139" s="3">
        <v>2332</v>
      </c>
      <c r="G139" s="19"/>
    </row>
    <row r="140" spans="1:7" ht="12.75" x14ac:dyDescent="0.2">
      <c r="A140" s="2" t="s">
        <v>39</v>
      </c>
      <c r="B140" s="4" t="s">
        <v>40</v>
      </c>
      <c r="C140" s="3" t="s">
        <v>2</v>
      </c>
      <c r="D140" s="3" t="s">
        <v>14</v>
      </c>
      <c r="E140" s="3">
        <v>1954</v>
      </c>
      <c r="G140" s="19"/>
    </row>
    <row r="141" spans="1:7" ht="12.75" x14ac:dyDescent="0.2">
      <c r="A141" s="2" t="s">
        <v>39</v>
      </c>
      <c r="B141" s="4" t="s">
        <v>40</v>
      </c>
      <c r="C141" s="3" t="s">
        <v>2</v>
      </c>
      <c r="D141" s="3" t="s">
        <v>148</v>
      </c>
      <c r="E141" s="3">
        <v>1660</v>
      </c>
      <c r="G141" s="19"/>
    </row>
    <row r="142" spans="1:7" ht="12.75" x14ac:dyDescent="0.2">
      <c r="A142" s="2" t="s">
        <v>39</v>
      </c>
      <c r="B142" s="4" t="s">
        <v>40</v>
      </c>
      <c r="C142" s="3" t="s">
        <v>2</v>
      </c>
      <c r="D142" s="3" t="s">
        <v>139</v>
      </c>
      <c r="E142" s="3">
        <v>1129</v>
      </c>
      <c r="F142">
        <f>SUM(E136:E146)</f>
        <v>65565</v>
      </c>
      <c r="G142" s="19"/>
    </row>
    <row r="143" spans="1:7" ht="12.75" x14ac:dyDescent="0.2">
      <c r="A143" s="2" t="s">
        <v>39</v>
      </c>
      <c r="B143" s="4" t="s">
        <v>40</v>
      </c>
      <c r="C143" s="3" t="s">
        <v>2</v>
      </c>
      <c r="D143" s="3" t="s">
        <v>145</v>
      </c>
      <c r="E143" s="3">
        <v>774</v>
      </c>
      <c r="G143" s="19"/>
    </row>
    <row r="144" spans="1:7" ht="12.75" x14ac:dyDescent="0.2">
      <c r="A144" s="2" t="s">
        <v>39</v>
      </c>
      <c r="B144" s="4" t="s">
        <v>40</v>
      </c>
      <c r="C144" s="3" t="s">
        <v>2</v>
      </c>
      <c r="D144" s="3" t="s">
        <v>138</v>
      </c>
      <c r="E144" s="3">
        <v>764</v>
      </c>
      <c r="G144" s="19"/>
    </row>
    <row r="145" spans="1:7" ht="12.75" x14ac:dyDescent="0.2">
      <c r="A145" s="2" t="s">
        <v>39</v>
      </c>
      <c r="B145" s="4" t="s">
        <v>40</v>
      </c>
      <c r="C145" s="3" t="s">
        <v>2</v>
      </c>
      <c r="D145" s="3" t="s">
        <v>135</v>
      </c>
      <c r="E145" s="3">
        <v>642</v>
      </c>
      <c r="G145" s="19"/>
    </row>
    <row r="146" spans="1:7" ht="12.75" x14ac:dyDescent="0.2">
      <c r="A146" s="2" t="s">
        <v>39</v>
      </c>
      <c r="B146" s="4" t="s">
        <v>40</v>
      </c>
      <c r="C146" s="3" t="s">
        <v>2</v>
      </c>
      <c r="D146" s="3" t="s">
        <v>130</v>
      </c>
      <c r="E146" s="3">
        <v>631</v>
      </c>
      <c r="G146" s="19"/>
    </row>
    <row r="147" spans="1:7" ht="12.75" x14ac:dyDescent="0.2">
      <c r="A147" s="2" t="s">
        <v>39</v>
      </c>
      <c r="B147" s="4" t="s">
        <v>40</v>
      </c>
      <c r="C147" s="3" t="s">
        <v>162</v>
      </c>
      <c r="D147" s="3" t="s">
        <v>3</v>
      </c>
      <c r="E147" s="3">
        <v>33285</v>
      </c>
      <c r="G147" s="19"/>
    </row>
    <row r="148" spans="1:7" ht="12.75" x14ac:dyDescent="0.2">
      <c r="A148" s="2" t="s">
        <v>39</v>
      </c>
      <c r="B148" s="4" t="s">
        <v>40</v>
      </c>
      <c r="C148" s="3" t="s">
        <v>162</v>
      </c>
      <c r="D148" s="3" t="s">
        <v>128</v>
      </c>
      <c r="E148" s="3">
        <v>16400</v>
      </c>
      <c r="G148" s="19"/>
    </row>
    <row r="149" spans="1:7" ht="12.75" x14ac:dyDescent="0.2">
      <c r="A149" s="2" t="s">
        <v>39</v>
      </c>
      <c r="B149" s="4" t="s">
        <v>40</v>
      </c>
      <c r="C149" s="3" t="s">
        <v>162</v>
      </c>
      <c r="D149" s="3" t="s">
        <v>133</v>
      </c>
      <c r="E149" s="3">
        <v>7012</v>
      </c>
      <c r="G149" s="19"/>
    </row>
    <row r="150" spans="1:7" ht="12.75" x14ac:dyDescent="0.2">
      <c r="A150" s="2" t="s">
        <v>39</v>
      </c>
      <c r="B150" s="4" t="s">
        <v>40</v>
      </c>
      <c r="C150" s="3" t="s">
        <v>162</v>
      </c>
      <c r="D150" s="3" t="s">
        <v>149</v>
      </c>
      <c r="E150" s="3">
        <v>2216</v>
      </c>
      <c r="G150" s="19"/>
    </row>
    <row r="151" spans="1:7" ht="12.75" x14ac:dyDescent="0.2">
      <c r="A151" s="2" t="s">
        <v>39</v>
      </c>
      <c r="B151" s="4" t="s">
        <v>40</v>
      </c>
      <c r="C151" s="3" t="s">
        <v>162</v>
      </c>
      <c r="D151" s="3" t="s">
        <v>14</v>
      </c>
      <c r="E151" s="3">
        <v>1706</v>
      </c>
      <c r="G151" s="19"/>
    </row>
    <row r="152" spans="1:7" ht="12.75" x14ac:dyDescent="0.2">
      <c r="A152" s="2" t="s">
        <v>39</v>
      </c>
      <c r="B152" s="4" t="s">
        <v>40</v>
      </c>
      <c r="C152" s="3" t="s">
        <v>162</v>
      </c>
      <c r="D152" s="3" t="s">
        <v>148</v>
      </c>
      <c r="E152" s="3">
        <v>1655</v>
      </c>
      <c r="F152">
        <f>SUM(E147:E156)</f>
        <v>65565</v>
      </c>
      <c r="G152" s="19"/>
    </row>
    <row r="153" spans="1:7" ht="12.75" x14ac:dyDescent="0.2">
      <c r="A153" s="2" t="s">
        <v>39</v>
      </c>
      <c r="B153" s="4" t="s">
        <v>40</v>
      </c>
      <c r="C153" s="3" t="s">
        <v>162</v>
      </c>
      <c r="D153" s="3" t="s">
        <v>139</v>
      </c>
      <c r="E153" s="3">
        <v>1144</v>
      </c>
      <c r="G153" s="19"/>
    </row>
    <row r="154" spans="1:7" ht="12.75" x14ac:dyDescent="0.2">
      <c r="A154" s="2" t="s">
        <v>39</v>
      </c>
      <c r="B154" s="4" t="s">
        <v>40</v>
      </c>
      <c r="C154" s="3" t="s">
        <v>162</v>
      </c>
      <c r="D154" s="3" t="s">
        <v>138</v>
      </c>
      <c r="E154" s="3">
        <v>801</v>
      </c>
      <c r="G154" s="19"/>
    </row>
    <row r="155" spans="1:7" ht="12.75" x14ac:dyDescent="0.2">
      <c r="A155" s="2" t="s">
        <v>39</v>
      </c>
      <c r="B155" s="4" t="s">
        <v>40</v>
      </c>
      <c r="C155" s="3" t="s">
        <v>162</v>
      </c>
      <c r="D155" s="3" t="s">
        <v>145</v>
      </c>
      <c r="E155" s="3">
        <v>743</v>
      </c>
      <c r="G155" s="19"/>
    </row>
    <row r="156" spans="1:7" ht="12.75" x14ac:dyDescent="0.2">
      <c r="A156" s="2" t="s">
        <v>39</v>
      </c>
      <c r="B156" s="4" t="s">
        <v>40</v>
      </c>
      <c r="C156" s="3" t="s">
        <v>162</v>
      </c>
      <c r="D156" s="3" t="s">
        <v>135</v>
      </c>
      <c r="E156" s="3">
        <v>603</v>
      </c>
      <c r="G156" s="19"/>
    </row>
    <row r="157" spans="1:7" ht="12.75" x14ac:dyDescent="0.2">
      <c r="A157" s="2" t="s">
        <v>39</v>
      </c>
      <c r="B157" s="4" t="s">
        <v>40</v>
      </c>
      <c r="C157" s="3" t="s">
        <v>161</v>
      </c>
      <c r="D157" s="3" t="s">
        <v>3</v>
      </c>
      <c r="E157" s="3">
        <v>32868</v>
      </c>
      <c r="G157" s="19"/>
    </row>
    <row r="158" spans="1:7" ht="12.75" x14ac:dyDescent="0.2">
      <c r="A158" s="2" t="s">
        <v>39</v>
      </c>
      <c r="B158" s="4" t="s">
        <v>40</v>
      </c>
      <c r="C158" s="3" t="s">
        <v>161</v>
      </c>
      <c r="D158" s="3" t="s">
        <v>128</v>
      </c>
      <c r="E158" s="3">
        <v>16579</v>
      </c>
      <c r="G158" s="19"/>
    </row>
    <row r="159" spans="1:7" ht="12.75" x14ac:dyDescent="0.2">
      <c r="A159" s="2" t="s">
        <v>39</v>
      </c>
      <c r="B159" s="4" t="s">
        <v>40</v>
      </c>
      <c r="C159" s="3" t="s">
        <v>161</v>
      </c>
      <c r="D159" s="3" t="s">
        <v>133</v>
      </c>
      <c r="E159" s="3">
        <v>6386</v>
      </c>
      <c r="G159" s="19"/>
    </row>
    <row r="160" spans="1:7" ht="12.75" x14ac:dyDescent="0.2">
      <c r="A160" s="2" t="s">
        <v>39</v>
      </c>
      <c r="B160" s="4" t="s">
        <v>40</v>
      </c>
      <c r="C160" s="3" t="s">
        <v>161</v>
      </c>
      <c r="D160" s="3" t="s">
        <v>14</v>
      </c>
      <c r="E160" s="3">
        <v>2485</v>
      </c>
      <c r="G160" s="19"/>
    </row>
    <row r="161" spans="1:7" ht="12.75" x14ac:dyDescent="0.2">
      <c r="A161" s="2" t="s">
        <v>39</v>
      </c>
      <c r="B161" s="4" t="s">
        <v>40</v>
      </c>
      <c r="C161" s="3" t="s">
        <v>161</v>
      </c>
      <c r="D161" s="3" t="s">
        <v>149</v>
      </c>
      <c r="E161" s="3">
        <v>2248</v>
      </c>
      <c r="G161" s="19"/>
    </row>
    <row r="162" spans="1:7" ht="12.75" x14ac:dyDescent="0.2">
      <c r="A162" s="2" t="s">
        <v>39</v>
      </c>
      <c r="B162" s="4" t="s">
        <v>40</v>
      </c>
      <c r="C162" s="3" t="s">
        <v>161</v>
      </c>
      <c r="D162" s="3" t="s">
        <v>148</v>
      </c>
      <c r="E162" s="3">
        <v>1738</v>
      </c>
      <c r="F162">
        <f>SUM(E157:E166)</f>
        <v>65565</v>
      </c>
      <c r="G162" s="19"/>
    </row>
    <row r="163" spans="1:7" ht="12.75" x14ac:dyDescent="0.2">
      <c r="A163" s="2" t="s">
        <v>39</v>
      </c>
      <c r="B163" s="4" t="s">
        <v>40</v>
      </c>
      <c r="C163" s="3" t="s">
        <v>161</v>
      </c>
      <c r="D163" s="3" t="s">
        <v>139</v>
      </c>
      <c r="E163" s="3">
        <v>1106</v>
      </c>
      <c r="G163" s="19"/>
    </row>
    <row r="164" spans="1:7" ht="12.75" x14ac:dyDescent="0.2">
      <c r="A164" s="2" t="s">
        <v>39</v>
      </c>
      <c r="B164" s="4" t="s">
        <v>40</v>
      </c>
      <c r="C164" s="3" t="s">
        <v>161</v>
      </c>
      <c r="D164" s="3" t="s">
        <v>138</v>
      </c>
      <c r="E164" s="3">
        <v>770</v>
      </c>
      <c r="G164" s="19"/>
    </row>
    <row r="165" spans="1:7" ht="12.75" x14ac:dyDescent="0.2">
      <c r="A165" s="2" t="s">
        <v>39</v>
      </c>
      <c r="B165" s="4" t="s">
        <v>40</v>
      </c>
      <c r="C165" s="3" t="s">
        <v>161</v>
      </c>
      <c r="D165" s="3" t="s">
        <v>145</v>
      </c>
      <c r="E165" s="3">
        <v>763</v>
      </c>
      <c r="G165" s="19"/>
    </row>
    <row r="166" spans="1:7" ht="12.75" x14ac:dyDescent="0.2">
      <c r="A166" s="2" t="s">
        <v>39</v>
      </c>
      <c r="B166" s="4" t="s">
        <v>40</v>
      </c>
      <c r="C166" s="3" t="s">
        <v>161</v>
      </c>
      <c r="D166" s="3" t="s">
        <v>135</v>
      </c>
      <c r="E166" s="3">
        <v>622</v>
      </c>
      <c r="G166" s="19"/>
    </row>
    <row r="167" spans="1:7" ht="12.75" x14ac:dyDescent="0.2">
      <c r="A167" s="3">
        <v>11</v>
      </c>
      <c r="B167" s="4" t="s">
        <v>41</v>
      </c>
      <c r="C167" s="3" t="s">
        <v>2</v>
      </c>
      <c r="D167" s="3" t="s">
        <v>136</v>
      </c>
      <c r="E167" s="3">
        <v>1040</v>
      </c>
      <c r="G167" s="19"/>
    </row>
    <row r="168" spans="1:7" ht="12.75" x14ac:dyDescent="0.2">
      <c r="A168" s="3">
        <v>11</v>
      </c>
      <c r="B168" s="4" t="s">
        <v>41</v>
      </c>
      <c r="C168" s="3" t="s">
        <v>2</v>
      </c>
      <c r="D168" s="3" t="s">
        <v>128</v>
      </c>
      <c r="E168" s="3">
        <v>367</v>
      </c>
      <c r="G168" s="19"/>
    </row>
    <row r="169" spans="1:7" ht="12.75" x14ac:dyDescent="0.2">
      <c r="A169" s="3">
        <v>11</v>
      </c>
      <c r="B169" s="4" t="s">
        <v>41</v>
      </c>
      <c r="C169" s="3" t="s">
        <v>2</v>
      </c>
      <c r="D169" s="3" t="s">
        <v>14</v>
      </c>
      <c r="E169" s="3">
        <v>46</v>
      </c>
      <c r="F169">
        <f>SUM(E167:E170)</f>
        <v>1460</v>
      </c>
      <c r="G169" s="19"/>
    </row>
    <row r="170" spans="1:7" ht="12.75" x14ac:dyDescent="0.2">
      <c r="A170" s="3">
        <v>11</v>
      </c>
      <c r="B170" s="4" t="s">
        <v>41</v>
      </c>
      <c r="C170" s="3" t="s">
        <v>2</v>
      </c>
      <c r="D170" s="3" t="s">
        <v>138</v>
      </c>
      <c r="E170" s="3">
        <v>7</v>
      </c>
      <c r="G170" s="19"/>
    </row>
    <row r="171" spans="1:7" ht="12.75" x14ac:dyDescent="0.2">
      <c r="A171" s="3">
        <v>11</v>
      </c>
      <c r="B171" s="4" t="s">
        <v>41</v>
      </c>
      <c r="C171" s="3" t="s">
        <v>161</v>
      </c>
      <c r="D171" s="3" t="s">
        <v>136</v>
      </c>
      <c r="E171" s="3">
        <v>1025</v>
      </c>
      <c r="G171" s="19"/>
    </row>
    <row r="172" spans="1:7" ht="12.75" x14ac:dyDescent="0.2">
      <c r="A172" s="3">
        <v>11</v>
      </c>
      <c r="B172" s="4" t="s">
        <v>41</v>
      </c>
      <c r="C172" s="3" t="s">
        <v>161</v>
      </c>
      <c r="D172" s="3" t="s">
        <v>128</v>
      </c>
      <c r="E172" s="3">
        <v>344</v>
      </c>
      <c r="G172" s="19"/>
    </row>
    <row r="173" spans="1:7" ht="12.75" x14ac:dyDescent="0.2">
      <c r="A173" s="3">
        <v>11</v>
      </c>
      <c r="B173" s="4" t="s">
        <v>41</v>
      </c>
      <c r="C173" s="3" t="s">
        <v>161</v>
      </c>
      <c r="D173" s="3" t="s">
        <v>14</v>
      </c>
      <c r="E173" s="3">
        <v>41</v>
      </c>
      <c r="G173" s="19"/>
    </row>
    <row r="174" spans="1:7" ht="12.75" x14ac:dyDescent="0.2">
      <c r="A174" s="3">
        <v>11</v>
      </c>
      <c r="B174" s="4" t="s">
        <v>41</v>
      </c>
      <c r="C174" s="3" t="s">
        <v>161</v>
      </c>
      <c r="D174" s="3" t="s">
        <v>138</v>
      </c>
      <c r="E174" s="3">
        <v>12</v>
      </c>
      <c r="G174" s="19"/>
    </row>
    <row r="175" spans="1:7" ht="12.75" x14ac:dyDescent="0.2">
      <c r="A175" s="3">
        <v>11</v>
      </c>
      <c r="B175" s="4" t="s">
        <v>41</v>
      </c>
      <c r="C175" s="3" t="s">
        <v>161</v>
      </c>
      <c r="D175" s="3" t="s">
        <v>133</v>
      </c>
      <c r="E175" s="3">
        <v>10</v>
      </c>
      <c r="F175">
        <f>SUM(E171:E180)</f>
        <v>1460</v>
      </c>
      <c r="G175" s="19"/>
    </row>
    <row r="176" spans="1:7" ht="12.75" x14ac:dyDescent="0.2">
      <c r="A176" s="3">
        <v>11</v>
      </c>
      <c r="B176" s="4" t="s">
        <v>41</v>
      </c>
      <c r="C176" s="3" t="s">
        <v>161</v>
      </c>
      <c r="D176" s="3" t="s">
        <v>148</v>
      </c>
      <c r="E176" s="3">
        <v>8</v>
      </c>
      <c r="G176" s="19"/>
    </row>
    <row r="177" spans="1:7" ht="12.75" x14ac:dyDescent="0.2">
      <c r="A177" s="3">
        <v>11</v>
      </c>
      <c r="B177" s="4" t="s">
        <v>41</v>
      </c>
      <c r="C177" s="3" t="s">
        <v>161</v>
      </c>
      <c r="D177" s="3" t="s">
        <v>139</v>
      </c>
      <c r="E177" s="3">
        <v>6</v>
      </c>
      <c r="F177">
        <v>0</v>
      </c>
      <c r="G177" s="19"/>
    </row>
    <row r="178" spans="1:7" ht="12.75" x14ac:dyDescent="0.2">
      <c r="A178" s="3">
        <v>11</v>
      </c>
      <c r="B178" s="4" t="s">
        <v>41</v>
      </c>
      <c r="C178" s="3" t="s">
        <v>161</v>
      </c>
      <c r="D178" s="3" t="s">
        <v>145</v>
      </c>
      <c r="E178" s="3">
        <v>5</v>
      </c>
      <c r="G178" s="19"/>
    </row>
    <row r="179" spans="1:7" ht="12.75" x14ac:dyDescent="0.2">
      <c r="A179" s="3">
        <v>11</v>
      </c>
      <c r="B179" s="4" t="s">
        <v>41</v>
      </c>
      <c r="C179" s="3" t="s">
        <v>161</v>
      </c>
      <c r="D179" s="3" t="s">
        <v>149</v>
      </c>
      <c r="E179" s="3">
        <v>5</v>
      </c>
      <c r="G179" s="19"/>
    </row>
    <row r="180" spans="1:7" ht="12.75" x14ac:dyDescent="0.2">
      <c r="A180" s="3">
        <v>11</v>
      </c>
      <c r="B180" s="4" t="s">
        <v>41</v>
      </c>
      <c r="C180" s="3" t="s">
        <v>161</v>
      </c>
      <c r="D180" s="3" t="s">
        <v>135</v>
      </c>
      <c r="E180" s="3">
        <v>4</v>
      </c>
      <c r="G180" s="19"/>
    </row>
    <row r="181" spans="1:7" ht="12.75" x14ac:dyDescent="0.2">
      <c r="A181" s="3">
        <v>11</v>
      </c>
      <c r="B181" s="4" t="s">
        <v>41</v>
      </c>
      <c r="C181" s="3" t="s">
        <v>162</v>
      </c>
      <c r="D181" s="3" t="s">
        <v>136</v>
      </c>
      <c r="E181" s="3">
        <v>1040</v>
      </c>
      <c r="G181" s="19"/>
    </row>
    <row r="182" spans="1:7" ht="12.75" x14ac:dyDescent="0.2">
      <c r="A182" s="3">
        <v>11</v>
      </c>
      <c r="B182" s="4" t="s">
        <v>41</v>
      </c>
      <c r="C182" s="3" t="s">
        <v>162</v>
      </c>
      <c r="D182" s="3" t="s">
        <v>128</v>
      </c>
      <c r="E182" s="3">
        <v>339</v>
      </c>
      <c r="G182" s="19"/>
    </row>
    <row r="183" spans="1:7" ht="12.75" x14ac:dyDescent="0.2">
      <c r="A183" s="3">
        <v>11</v>
      </c>
      <c r="B183" s="4" t="s">
        <v>41</v>
      </c>
      <c r="C183" s="3" t="s">
        <v>162</v>
      </c>
      <c r="D183" s="3" t="s">
        <v>14</v>
      </c>
      <c r="E183" s="3">
        <v>23</v>
      </c>
      <c r="F183">
        <f>SUM(E181:E190)</f>
        <v>1460</v>
      </c>
      <c r="G183" s="19"/>
    </row>
    <row r="184" spans="1:7" ht="12.75" x14ac:dyDescent="0.2">
      <c r="A184" s="3">
        <v>11</v>
      </c>
      <c r="B184" s="4" t="s">
        <v>41</v>
      </c>
      <c r="C184" s="3" t="s">
        <v>162</v>
      </c>
      <c r="D184" s="3" t="s">
        <v>138</v>
      </c>
      <c r="E184" s="3">
        <v>16</v>
      </c>
      <c r="G184" s="19"/>
    </row>
    <row r="185" spans="1:7" ht="12.75" x14ac:dyDescent="0.2">
      <c r="A185" s="3">
        <v>11</v>
      </c>
      <c r="B185" s="4" t="s">
        <v>41</v>
      </c>
      <c r="C185" s="3" t="s">
        <v>162</v>
      </c>
      <c r="D185" s="3" t="s">
        <v>133</v>
      </c>
      <c r="E185" s="3">
        <v>13</v>
      </c>
      <c r="G185" s="19"/>
    </row>
    <row r="186" spans="1:7" ht="12.75" x14ac:dyDescent="0.2">
      <c r="A186" s="3">
        <v>11</v>
      </c>
      <c r="B186" s="4" t="s">
        <v>41</v>
      </c>
      <c r="C186" s="3" t="s">
        <v>162</v>
      </c>
      <c r="D186" s="3" t="s">
        <v>148</v>
      </c>
      <c r="E186" s="3">
        <v>8</v>
      </c>
      <c r="G186" s="19"/>
    </row>
    <row r="187" spans="1:7" ht="12.75" x14ac:dyDescent="0.2">
      <c r="A187" s="3">
        <v>11</v>
      </c>
      <c r="B187" s="4" t="s">
        <v>41</v>
      </c>
      <c r="C187" s="3" t="s">
        <v>162</v>
      </c>
      <c r="D187" s="3" t="s">
        <v>149</v>
      </c>
      <c r="E187" s="3">
        <v>6</v>
      </c>
      <c r="G187" s="19"/>
    </row>
    <row r="188" spans="1:7" ht="12.75" x14ac:dyDescent="0.2">
      <c r="A188" s="3">
        <v>11</v>
      </c>
      <c r="B188" s="4" t="s">
        <v>41</v>
      </c>
      <c r="C188" s="3" t="s">
        <v>162</v>
      </c>
      <c r="D188" s="3" t="s">
        <v>139</v>
      </c>
      <c r="E188" s="3">
        <v>6</v>
      </c>
      <c r="G188" s="19"/>
    </row>
    <row r="189" spans="1:7" ht="12.75" x14ac:dyDescent="0.2">
      <c r="A189" s="3">
        <v>11</v>
      </c>
      <c r="B189" s="4" t="s">
        <v>41</v>
      </c>
      <c r="C189" s="3" t="s">
        <v>162</v>
      </c>
      <c r="D189" s="3" t="s">
        <v>145</v>
      </c>
      <c r="E189" s="3">
        <v>5</v>
      </c>
      <c r="G189" s="19"/>
    </row>
    <row r="190" spans="1:7" ht="12.75" x14ac:dyDescent="0.2">
      <c r="A190" s="3">
        <v>11</v>
      </c>
      <c r="B190" s="4" t="s">
        <v>41</v>
      </c>
      <c r="C190" s="3" t="s">
        <v>162</v>
      </c>
      <c r="D190" s="3" t="s">
        <v>135</v>
      </c>
      <c r="E190" s="3">
        <v>4</v>
      </c>
      <c r="G190" s="19"/>
    </row>
    <row r="191" spans="1:7" ht="12.75" x14ac:dyDescent="0.2">
      <c r="A191" s="3">
        <v>13</v>
      </c>
      <c r="B191" s="4" t="s">
        <v>42</v>
      </c>
      <c r="C191" s="3" t="s">
        <v>2</v>
      </c>
      <c r="D191" s="3" t="s">
        <v>3</v>
      </c>
      <c r="E191" s="3">
        <v>1035</v>
      </c>
      <c r="G191" s="19"/>
    </row>
    <row r="192" spans="1:7" ht="12.75" x14ac:dyDescent="0.2">
      <c r="A192" s="3">
        <v>13</v>
      </c>
      <c r="B192" s="4" t="s">
        <v>42</v>
      </c>
      <c r="C192" s="3" t="s">
        <v>2</v>
      </c>
      <c r="D192" s="3" t="s">
        <v>133</v>
      </c>
      <c r="E192" s="3">
        <v>970</v>
      </c>
      <c r="F192">
        <f>SUM(E191:E196)</f>
        <v>3179</v>
      </c>
      <c r="G192" s="19"/>
    </row>
    <row r="193" spans="1:7" ht="12.75" x14ac:dyDescent="0.2">
      <c r="A193" s="3">
        <v>13</v>
      </c>
      <c r="B193" s="4" t="s">
        <v>42</v>
      </c>
      <c r="C193" s="3" t="s">
        <v>2</v>
      </c>
      <c r="D193" s="3" t="s">
        <v>128</v>
      </c>
      <c r="E193" s="3">
        <v>766</v>
      </c>
      <c r="G193" s="19"/>
    </row>
    <row r="194" spans="1:7" ht="12.75" x14ac:dyDescent="0.2">
      <c r="A194" s="3">
        <v>13</v>
      </c>
      <c r="B194" s="4" t="s">
        <v>42</v>
      </c>
      <c r="C194" s="3" t="s">
        <v>2</v>
      </c>
      <c r="D194" s="3" t="s">
        <v>149</v>
      </c>
      <c r="E194" s="3">
        <v>341</v>
      </c>
      <c r="G194" s="19"/>
    </row>
    <row r="195" spans="1:7" ht="12.75" x14ac:dyDescent="0.2">
      <c r="A195" s="3">
        <v>13</v>
      </c>
      <c r="B195" s="4" t="s">
        <v>42</v>
      </c>
      <c r="C195" s="3" t="s">
        <v>2</v>
      </c>
      <c r="D195" s="3" t="s">
        <v>14</v>
      </c>
      <c r="E195" s="3">
        <v>51</v>
      </c>
      <c r="G195" s="19"/>
    </row>
    <row r="196" spans="1:7" ht="12.75" x14ac:dyDescent="0.2">
      <c r="A196" s="3">
        <v>13</v>
      </c>
      <c r="B196" s="4" t="s">
        <v>42</v>
      </c>
      <c r="C196" s="3" t="s">
        <v>2</v>
      </c>
      <c r="D196" s="3" t="s">
        <v>138</v>
      </c>
      <c r="E196" s="3">
        <v>16</v>
      </c>
      <c r="G196" s="19"/>
    </row>
    <row r="197" spans="1:7" ht="12.75" x14ac:dyDescent="0.2">
      <c r="A197" s="3">
        <v>13</v>
      </c>
      <c r="B197" s="4" t="s">
        <v>42</v>
      </c>
      <c r="C197" s="3" t="s">
        <v>162</v>
      </c>
      <c r="D197" s="3" t="s">
        <v>3</v>
      </c>
      <c r="E197" s="3">
        <v>1077</v>
      </c>
      <c r="G197" s="19"/>
    </row>
    <row r="198" spans="1:7" ht="12.75" x14ac:dyDescent="0.2">
      <c r="A198" s="3">
        <v>13</v>
      </c>
      <c r="B198" s="4" t="s">
        <v>42</v>
      </c>
      <c r="C198" s="3" t="s">
        <v>162</v>
      </c>
      <c r="D198" s="3" t="s">
        <v>133</v>
      </c>
      <c r="E198" s="3">
        <v>896</v>
      </c>
      <c r="G198" s="19"/>
    </row>
    <row r="199" spans="1:7" ht="12.75" x14ac:dyDescent="0.2">
      <c r="A199" s="3">
        <v>13</v>
      </c>
      <c r="B199" s="4" t="s">
        <v>42</v>
      </c>
      <c r="C199" s="3" t="s">
        <v>162</v>
      </c>
      <c r="D199" s="3" t="s">
        <v>128</v>
      </c>
      <c r="E199" s="3">
        <v>766</v>
      </c>
      <c r="G199" s="19"/>
    </row>
    <row r="200" spans="1:7" ht="12.75" x14ac:dyDescent="0.2">
      <c r="A200" s="3">
        <v>13</v>
      </c>
      <c r="B200" s="4" t="s">
        <v>42</v>
      </c>
      <c r="C200" s="3" t="s">
        <v>162</v>
      </c>
      <c r="D200" s="3" t="s">
        <v>149</v>
      </c>
      <c r="E200" s="3">
        <v>290</v>
      </c>
      <c r="G200" s="19"/>
    </row>
    <row r="201" spans="1:7" ht="12.75" x14ac:dyDescent="0.2">
      <c r="A201" s="3">
        <v>13</v>
      </c>
      <c r="B201" s="4" t="s">
        <v>42</v>
      </c>
      <c r="C201" s="3" t="s">
        <v>162</v>
      </c>
      <c r="D201" s="3" t="s">
        <v>14</v>
      </c>
      <c r="E201" s="3">
        <v>88</v>
      </c>
      <c r="G201" s="19"/>
    </row>
    <row r="202" spans="1:7" ht="12.75" x14ac:dyDescent="0.2">
      <c r="A202" s="3">
        <v>13</v>
      </c>
      <c r="B202" s="4" t="s">
        <v>42</v>
      </c>
      <c r="C202" s="3" t="s">
        <v>162</v>
      </c>
      <c r="D202" s="3" t="s">
        <v>138</v>
      </c>
      <c r="E202" s="3">
        <v>27</v>
      </c>
      <c r="F202">
        <f>SUM(E197:E206)</f>
        <v>3179</v>
      </c>
      <c r="G202" s="19"/>
    </row>
    <row r="203" spans="1:7" ht="12.75" x14ac:dyDescent="0.2">
      <c r="A203" s="3">
        <v>13</v>
      </c>
      <c r="B203" s="4" t="s">
        <v>42</v>
      </c>
      <c r="C203" s="3" t="s">
        <v>162</v>
      </c>
      <c r="D203" s="3" t="s">
        <v>135</v>
      </c>
      <c r="E203" s="3">
        <v>11</v>
      </c>
      <c r="G203" s="19"/>
    </row>
    <row r="204" spans="1:7" ht="12.75" x14ac:dyDescent="0.2">
      <c r="A204" s="3">
        <v>13</v>
      </c>
      <c r="B204" s="4" t="s">
        <v>42</v>
      </c>
      <c r="C204" s="3" t="s">
        <v>162</v>
      </c>
      <c r="D204" s="3" t="s">
        <v>139</v>
      </c>
      <c r="E204" s="3">
        <v>9</v>
      </c>
      <c r="G204" s="19"/>
    </row>
    <row r="205" spans="1:7" ht="12.75" x14ac:dyDescent="0.2">
      <c r="A205" s="3">
        <v>13</v>
      </c>
      <c r="B205" s="4" t="s">
        <v>42</v>
      </c>
      <c r="C205" s="3" t="s">
        <v>162</v>
      </c>
      <c r="D205" s="3" t="s">
        <v>145</v>
      </c>
      <c r="E205" s="3">
        <v>8</v>
      </c>
      <c r="G205" s="19"/>
    </row>
    <row r="206" spans="1:7" ht="12.75" x14ac:dyDescent="0.2">
      <c r="A206" s="3">
        <v>13</v>
      </c>
      <c r="B206" s="4" t="s">
        <v>42</v>
      </c>
      <c r="C206" s="3" t="s">
        <v>162</v>
      </c>
      <c r="D206" s="3" t="s">
        <v>148</v>
      </c>
      <c r="E206" s="3">
        <v>7</v>
      </c>
      <c r="G206" s="19"/>
    </row>
    <row r="207" spans="1:7" ht="12.75" x14ac:dyDescent="0.2">
      <c r="A207" s="3">
        <v>13</v>
      </c>
      <c r="B207" s="4" t="s">
        <v>42</v>
      </c>
      <c r="C207" s="3" t="s">
        <v>161</v>
      </c>
      <c r="D207" s="3" t="s">
        <v>3</v>
      </c>
      <c r="E207" s="3">
        <v>1039</v>
      </c>
      <c r="G207" s="19"/>
    </row>
    <row r="208" spans="1:7" ht="12.75" x14ac:dyDescent="0.2">
      <c r="A208" s="3">
        <v>13</v>
      </c>
      <c r="B208" s="4" t="s">
        <v>42</v>
      </c>
      <c r="C208" s="3" t="s">
        <v>161</v>
      </c>
      <c r="D208" s="3" t="s">
        <v>133</v>
      </c>
      <c r="E208" s="3">
        <v>901</v>
      </c>
      <c r="G208" s="19"/>
    </row>
    <row r="209" spans="1:7" ht="12.75" x14ac:dyDescent="0.2">
      <c r="A209" s="3">
        <v>13</v>
      </c>
      <c r="B209" s="4" t="s">
        <v>42</v>
      </c>
      <c r="C209" s="3" t="s">
        <v>161</v>
      </c>
      <c r="D209" s="3" t="s">
        <v>128</v>
      </c>
      <c r="E209" s="3">
        <v>752</v>
      </c>
      <c r="G209" s="19"/>
    </row>
    <row r="210" spans="1:7" ht="12.75" x14ac:dyDescent="0.2">
      <c r="A210" s="3">
        <v>13</v>
      </c>
      <c r="B210" s="4" t="s">
        <v>42</v>
      </c>
      <c r="C210" s="3" t="s">
        <v>161</v>
      </c>
      <c r="D210" s="3" t="s">
        <v>149</v>
      </c>
      <c r="E210" s="3">
        <v>302</v>
      </c>
      <c r="G210" s="19"/>
    </row>
    <row r="211" spans="1:7" ht="12.75" x14ac:dyDescent="0.2">
      <c r="A211" s="3">
        <v>13</v>
      </c>
      <c r="B211" s="4" t="s">
        <v>42</v>
      </c>
      <c r="C211" s="3" t="s">
        <v>161</v>
      </c>
      <c r="D211" s="3" t="s">
        <v>14</v>
      </c>
      <c r="E211" s="3">
        <v>124</v>
      </c>
      <c r="G211" s="19"/>
    </row>
    <row r="212" spans="1:7" ht="12.75" x14ac:dyDescent="0.2">
      <c r="A212" s="3">
        <v>13</v>
      </c>
      <c r="B212" s="4" t="s">
        <v>42</v>
      </c>
      <c r="C212" s="3" t="s">
        <v>161</v>
      </c>
      <c r="D212" s="3" t="s">
        <v>138</v>
      </c>
      <c r="E212" s="3">
        <v>27</v>
      </c>
      <c r="F212">
        <f>SUM(E207:E216)</f>
        <v>3179</v>
      </c>
      <c r="G212" s="19"/>
    </row>
    <row r="213" spans="1:7" ht="12.75" x14ac:dyDescent="0.2">
      <c r="A213" s="3">
        <v>13</v>
      </c>
      <c r="B213" s="4" t="s">
        <v>42</v>
      </c>
      <c r="C213" s="3" t="s">
        <v>161</v>
      </c>
      <c r="D213" s="3" t="s">
        <v>135</v>
      </c>
      <c r="E213" s="3">
        <v>11</v>
      </c>
      <c r="G213" s="19"/>
    </row>
    <row r="214" spans="1:7" ht="12.75" x14ac:dyDescent="0.2">
      <c r="A214" s="3">
        <v>13</v>
      </c>
      <c r="B214" s="4" t="s">
        <v>42</v>
      </c>
      <c r="C214" s="3" t="s">
        <v>161</v>
      </c>
      <c r="D214" s="3" t="s">
        <v>145</v>
      </c>
      <c r="E214" s="3">
        <v>8</v>
      </c>
      <c r="G214" s="19"/>
    </row>
    <row r="215" spans="1:7" ht="12.75" x14ac:dyDescent="0.2">
      <c r="A215" s="3">
        <v>13</v>
      </c>
      <c r="B215" s="4" t="s">
        <v>42</v>
      </c>
      <c r="C215" s="3" t="s">
        <v>161</v>
      </c>
      <c r="D215" s="3" t="s">
        <v>139</v>
      </c>
      <c r="E215" s="3">
        <v>8</v>
      </c>
      <c r="G215" s="19"/>
    </row>
    <row r="216" spans="1:7" ht="12.75" x14ac:dyDescent="0.2">
      <c r="A216" s="3">
        <v>13</v>
      </c>
      <c r="B216" s="4" t="s">
        <v>42</v>
      </c>
      <c r="C216" s="3" t="s">
        <v>161</v>
      </c>
      <c r="D216" s="3" t="s">
        <v>148</v>
      </c>
      <c r="E216" s="3">
        <v>7</v>
      </c>
      <c r="G216" s="19"/>
    </row>
    <row r="217" spans="1:7" ht="12.75" x14ac:dyDescent="0.2">
      <c r="A217" s="3">
        <v>15</v>
      </c>
      <c r="B217" s="4" t="s">
        <v>43</v>
      </c>
      <c r="C217" s="3" t="s">
        <v>2</v>
      </c>
      <c r="D217" s="3" t="s">
        <v>136</v>
      </c>
      <c r="E217" s="3">
        <v>842</v>
      </c>
      <c r="G217" s="19"/>
    </row>
    <row r="218" spans="1:7" ht="12.75" x14ac:dyDescent="0.2">
      <c r="A218" s="3">
        <v>15</v>
      </c>
      <c r="B218" s="4" t="s">
        <v>43</v>
      </c>
      <c r="C218" s="3" t="s">
        <v>2</v>
      </c>
      <c r="D218" s="3" t="s">
        <v>128</v>
      </c>
      <c r="E218" s="3">
        <v>418</v>
      </c>
      <c r="G218" s="19"/>
    </row>
    <row r="219" spans="1:7" ht="12.75" x14ac:dyDescent="0.2">
      <c r="A219" s="3">
        <v>15</v>
      </c>
      <c r="B219" s="4" t="s">
        <v>43</v>
      </c>
      <c r="C219" s="3" t="s">
        <v>2</v>
      </c>
      <c r="D219" s="3" t="s">
        <v>14</v>
      </c>
      <c r="E219" s="3">
        <v>51</v>
      </c>
      <c r="F219">
        <f>SUM(E217:E220)</f>
        <v>1318</v>
      </c>
      <c r="G219" s="19"/>
    </row>
    <row r="220" spans="1:7" ht="12.75" x14ac:dyDescent="0.2">
      <c r="A220" s="3">
        <v>15</v>
      </c>
      <c r="B220" s="4" t="s">
        <v>43</v>
      </c>
      <c r="C220" s="3" t="s">
        <v>2</v>
      </c>
      <c r="D220" s="3" t="s">
        <v>138</v>
      </c>
      <c r="E220" s="3">
        <v>7</v>
      </c>
      <c r="G220" s="19"/>
    </row>
    <row r="221" spans="1:7" ht="12.75" x14ac:dyDescent="0.2">
      <c r="A221" s="3">
        <v>15</v>
      </c>
      <c r="B221" s="4" t="s">
        <v>43</v>
      </c>
      <c r="C221" s="3" t="s">
        <v>161</v>
      </c>
      <c r="D221" s="3" t="s">
        <v>136</v>
      </c>
      <c r="E221" s="3">
        <v>780</v>
      </c>
      <c r="G221" s="19"/>
    </row>
    <row r="222" spans="1:7" ht="12.75" x14ac:dyDescent="0.2">
      <c r="A222" s="3">
        <v>15</v>
      </c>
      <c r="B222" s="4" t="s">
        <v>43</v>
      </c>
      <c r="C222" s="3" t="s">
        <v>161</v>
      </c>
      <c r="D222" s="3" t="s">
        <v>128</v>
      </c>
      <c r="E222" s="3">
        <v>375</v>
      </c>
      <c r="G222" s="19"/>
    </row>
    <row r="223" spans="1:7" ht="12.75" x14ac:dyDescent="0.2">
      <c r="A223" s="3">
        <v>15</v>
      </c>
      <c r="B223" s="4" t="s">
        <v>43</v>
      </c>
      <c r="C223" s="3" t="s">
        <v>161</v>
      </c>
      <c r="D223" s="3" t="s">
        <v>14</v>
      </c>
      <c r="E223" s="3">
        <v>80</v>
      </c>
      <c r="G223" s="19"/>
    </row>
    <row r="224" spans="1:7" ht="12.75" x14ac:dyDescent="0.2">
      <c r="A224" s="3">
        <v>15</v>
      </c>
      <c r="B224" s="4" t="s">
        <v>43</v>
      </c>
      <c r="C224" s="3" t="s">
        <v>161</v>
      </c>
      <c r="D224" s="3" t="s">
        <v>133</v>
      </c>
      <c r="E224" s="3">
        <v>54</v>
      </c>
      <c r="G224" s="19"/>
    </row>
    <row r="225" spans="1:7" ht="12.75" x14ac:dyDescent="0.2">
      <c r="A225" s="3">
        <v>15</v>
      </c>
      <c r="B225" s="4" t="s">
        <v>43</v>
      </c>
      <c r="C225" s="3" t="s">
        <v>161</v>
      </c>
      <c r="D225" s="3" t="s">
        <v>138</v>
      </c>
      <c r="E225" s="3">
        <v>10</v>
      </c>
      <c r="G225" s="19"/>
    </row>
    <row r="226" spans="1:7" ht="12.75" x14ac:dyDescent="0.2">
      <c r="A226" s="3">
        <v>15</v>
      </c>
      <c r="B226" s="4" t="s">
        <v>43</v>
      </c>
      <c r="C226" s="3" t="s">
        <v>161</v>
      </c>
      <c r="D226" s="3" t="s">
        <v>149</v>
      </c>
      <c r="E226" s="3">
        <v>9</v>
      </c>
      <c r="F226">
        <f>SUM(E221:E230)</f>
        <v>1318</v>
      </c>
      <c r="G226" s="19"/>
    </row>
    <row r="227" spans="1:7" ht="12.75" x14ac:dyDescent="0.2">
      <c r="A227" s="3">
        <v>15</v>
      </c>
      <c r="B227" s="4" t="s">
        <v>43</v>
      </c>
      <c r="C227" s="3" t="s">
        <v>161</v>
      </c>
      <c r="D227" s="3" t="s">
        <v>148</v>
      </c>
      <c r="E227" s="3">
        <v>5</v>
      </c>
      <c r="G227" s="19"/>
    </row>
    <row r="228" spans="1:7" ht="12.75" x14ac:dyDescent="0.2">
      <c r="A228" s="3">
        <v>15</v>
      </c>
      <c r="B228" s="4" t="s">
        <v>43</v>
      </c>
      <c r="C228" s="3" t="s">
        <v>161</v>
      </c>
      <c r="D228" s="3" t="s">
        <v>135</v>
      </c>
      <c r="E228" s="3">
        <v>3</v>
      </c>
      <c r="G228" s="19"/>
    </row>
    <row r="229" spans="1:7" ht="12.75" x14ac:dyDescent="0.2">
      <c r="A229" s="3">
        <v>15</v>
      </c>
      <c r="B229" s="4" t="s">
        <v>43</v>
      </c>
      <c r="C229" s="3" t="s">
        <v>161</v>
      </c>
      <c r="D229" s="3" t="s">
        <v>145</v>
      </c>
      <c r="E229" s="3">
        <v>1</v>
      </c>
      <c r="G229" s="19"/>
    </row>
    <row r="230" spans="1:7" ht="12.75" x14ac:dyDescent="0.2">
      <c r="A230" s="3">
        <v>15</v>
      </c>
      <c r="B230" s="4" t="s">
        <v>43</v>
      </c>
      <c r="C230" s="3" t="s">
        <v>161</v>
      </c>
      <c r="D230" s="3" t="s">
        <v>139</v>
      </c>
      <c r="E230" s="3">
        <v>1</v>
      </c>
      <c r="G230" s="19"/>
    </row>
    <row r="231" spans="1:7" ht="12.75" x14ac:dyDescent="0.2">
      <c r="A231" s="3">
        <v>15</v>
      </c>
      <c r="B231" s="4" t="s">
        <v>43</v>
      </c>
      <c r="C231" s="3" t="s">
        <v>162</v>
      </c>
      <c r="D231" s="3" t="s">
        <v>136</v>
      </c>
      <c r="E231" s="3">
        <v>789</v>
      </c>
      <c r="G231" s="19"/>
    </row>
    <row r="232" spans="1:7" ht="12.75" x14ac:dyDescent="0.2">
      <c r="A232" s="3">
        <v>15</v>
      </c>
      <c r="B232" s="4" t="s">
        <v>43</v>
      </c>
      <c r="C232" s="3" t="s">
        <v>162</v>
      </c>
      <c r="D232" s="3" t="s">
        <v>128</v>
      </c>
      <c r="E232" s="3">
        <v>387</v>
      </c>
      <c r="G232" s="19"/>
    </row>
    <row r="233" spans="1:7" ht="12.75" x14ac:dyDescent="0.2">
      <c r="A233" s="3">
        <v>15</v>
      </c>
      <c r="B233" s="4" t="s">
        <v>43</v>
      </c>
      <c r="C233" s="3" t="s">
        <v>162</v>
      </c>
      <c r="D233" s="3" t="s">
        <v>133</v>
      </c>
      <c r="E233" s="3">
        <v>65</v>
      </c>
      <c r="G233" s="19"/>
    </row>
    <row r="234" spans="1:7" ht="12.75" x14ac:dyDescent="0.2">
      <c r="A234" s="3">
        <v>15</v>
      </c>
      <c r="B234" s="4" t="s">
        <v>43</v>
      </c>
      <c r="C234" s="3" t="s">
        <v>162</v>
      </c>
      <c r="D234" s="3" t="s">
        <v>14</v>
      </c>
      <c r="E234" s="3">
        <v>45</v>
      </c>
      <c r="G234" s="19"/>
    </row>
    <row r="235" spans="1:7" ht="12.75" x14ac:dyDescent="0.2">
      <c r="A235" s="3">
        <v>15</v>
      </c>
      <c r="B235" s="4" t="s">
        <v>43</v>
      </c>
      <c r="C235" s="3" t="s">
        <v>162</v>
      </c>
      <c r="D235" s="3" t="s">
        <v>149</v>
      </c>
      <c r="E235" s="3">
        <v>13</v>
      </c>
      <c r="G235" s="19"/>
    </row>
    <row r="236" spans="1:7" ht="12.75" x14ac:dyDescent="0.2">
      <c r="A236" s="3">
        <v>15</v>
      </c>
      <c r="B236" s="4" t="s">
        <v>43</v>
      </c>
      <c r="C236" s="3" t="s">
        <v>162</v>
      </c>
      <c r="D236" s="3" t="s">
        <v>138</v>
      </c>
      <c r="E236" s="3">
        <v>10</v>
      </c>
      <c r="F236">
        <f>SUM(E231:E240)</f>
        <v>1318</v>
      </c>
      <c r="G236" s="19"/>
    </row>
    <row r="237" spans="1:7" ht="12.75" x14ac:dyDescent="0.2">
      <c r="A237" s="3">
        <v>15</v>
      </c>
      <c r="B237" s="4" t="s">
        <v>43</v>
      </c>
      <c r="C237" s="3" t="s">
        <v>162</v>
      </c>
      <c r="D237" s="3" t="s">
        <v>148</v>
      </c>
      <c r="E237" s="3">
        <v>4</v>
      </c>
      <c r="G237" s="19"/>
    </row>
    <row r="238" spans="1:7" ht="12.75" x14ac:dyDescent="0.2">
      <c r="A238" s="3">
        <v>15</v>
      </c>
      <c r="B238" s="4" t="s">
        <v>43</v>
      </c>
      <c r="C238" s="3" t="s">
        <v>162</v>
      </c>
      <c r="D238" s="3" t="s">
        <v>135</v>
      </c>
      <c r="E238" s="3">
        <v>3</v>
      </c>
      <c r="G238" s="19"/>
    </row>
    <row r="239" spans="1:7" ht="12.75" x14ac:dyDescent="0.2">
      <c r="A239" s="3">
        <v>15</v>
      </c>
      <c r="B239" s="4" t="s">
        <v>43</v>
      </c>
      <c r="C239" s="3" t="s">
        <v>162</v>
      </c>
      <c r="D239" s="3" t="s">
        <v>145</v>
      </c>
      <c r="E239" s="3">
        <v>1</v>
      </c>
      <c r="G239" s="19"/>
    </row>
    <row r="240" spans="1:7" ht="12.75" x14ac:dyDescent="0.2">
      <c r="A240" s="3">
        <v>15</v>
      </c>
      <c r="B240" s="4" t="s">
        <v>43</v>
      </c>
      <c r="C240" s="3" t="s">
        <v>162</v>
      </c>
      <c r="D240" s="3" t="s">
        <v>139</v>
      </c>
      <c r="E240" s="3">
        <v>1</v>
      </c>
      <c r="G240" s="19"/>
    </row>
    <row r="241" spans="1:7" ht="12.75" x14ac:dyDescent="0.2">
      <c r="A241" s="3">
        <v>16</v>
      </c>
      <c r="B241" s="4" t="s">
        <v>44</v>
      </c>
      <c r="C241" s="3" t="s">
        <v>2</v>
      </c>
      <c r="D241" s="3" t="s">
        <v>136</v>
      </c>
      <c r="E241" s="3">
        <v>447</v>
      </c>
      <c r="G241" s="19"/>
    </row>
    <row r="242" spans="1:7" ht="12.75" x14ac:dyDescent="0.2">
      <c r="A242" s="3">
        <v>16</v>
      </c>
      <c r="B242" s="4" t="s">
        <v>44</v>
      </c>
      <c r="C242" s="3" t="s">
        <v>2</v>
      </c>
      <c r="D242" s="3" t="s">
        <v>128</v>
      </c>
      <c r="E242" s="3">
        <v>397</v>
      </c>
      <c r="G242" s="19"/>
    </row>
    <row r="243" spans="1:7" ht="12.75" x14ac:dyDescent="0.2">
      <c r="A243" s="3">
        <v>16</v>
      </c>
      <c r="B243" s="4" t="s">
        <v>44</v>
      </c>
      <c r="C243" s="3" t="s">
        <v>2</v>
      </c>
      <c r="D243" s="3" t="s">
        <v>14</v>
      </c>
      <c r="E243" s="3">
        <v>8</v>
      </c>
      <c r="F243">
        <f>SUM(E241:E244)</f>
        <v>858</v>
      </c>
      <c r="G243" s="19"/>
    </row>
    <row r="244" spans="1:7" ht="12.75" x14ac:dyDescent="0.2">
      <c r="A244" s="3">
        <v>16</v>
      </c>
      <c r="B244" s="4" t="s">
        <v>44</v>
      </c>
      <c r="C244" s="3" t="s">
        <v>2</v>
      </c>
      <c r="D244" s="3" t="s">
        <v>138</v>
      </c>
      <c r="E244" s="3">
        <v>6</v>
      </c>
      <c r="G244" s="19"/>
    </row>
    <row r="245" spans="1:7" ht="12.75" x14ac:dyDescent="0.2">
      <c r="A245" s="3">
        <v>16</v>
      </c>
      <c r="B245" s="4" t="s">
        <v>44</v>
      </c>
      <c r="C245" s="3" t="s">
        <v>161</v>
      </c>
      <c r="D245" s="3" t="s">
        <v>136</v>
      </c>
      <c r="E245" s="3">
        <v>433</v>
      </c>
      <c r="G245" s="19"/>
    </row>
    <row r="246" spans="1:7" ht="12.75" x14ac:dyDescent="0.2">
      <c r="A246" s="3">
        <v>16</v>
      </c>
      <c r="B246" s="4" t="s">
        <v>44</v>
      </c>
      <c r="C246" s="3" t="s">
        <v>161</v>
      </c>
      <c r="D246" s="3" t="s">
        <v>128</v>
      </c>
      <c r="E246" s="3">
        <v>377</v>
      </c>
      <c r="G246" s="19"/>
    </row>
    <row r="247" spans="1:7" ht="12.75" x14ac:dyDescent="0.2">
      <c r="A247" s="3">
        <v>16</v>
      </c>
      <c r="B247" s="4" t="s">
        <v>44</v>
      </c>
      <c r="C247" s="3" t="s">
        <v>161</v>
      </c>
      <c r="D247" s="3" t="s">
        <v>14</v>
      </c>
      <c r="E247" s="3">
        <v>17</v>
      </c>
      <c r="G247" s="19"/>
    </row>
    <row r="248" spans="1:7" ht="12.75" x14ac:dyDescent="0.2">
      <c r="A248" s="3">
        <v>16</v>
      </c>
      <c r="B248" s="4" t="s">
        <v>44</v>
      </c>
      <c r="C248" s="3" t="s">
        <v>161</v>
      </c>
      <c r="D248" s="3" t="s">
        <v>133</v>
      </c>
      <c r="E248" s="3">
        <v>12</v>
      </c>
      <c r="G248" s="19"/>
    </row>
    <row r="249" spans="1:7" ht="12.75" x14ac:dyDescent="0.2">
      <c r="A249" s="3">
        <v>16</v>
      </c>
      <c r="B249" s="4" t="s">
        <v>44</v>
      </c>
      <c r="C249" s="3" t="s">
        <v>161</v>
      </c>
      <c r="D249" s="3" t="s">
        <v>138</v>
      </c>
      <c r="E249" s="3">
        <v>10</v>
      </c>
      <c r="G249" s="19"/>
    </row>
    <row r="250" spans="1:7" ht="12.75" x14ac:dyDescent="0.2">
      <c r="A250" s="3">
        <v>16</v>
      </c>
      <c r="B250" s="4" t="s">
        <v>44</v>
      </c>
      <c r="C250" s="3" t="s">
        <v>161</v>
      </c>
      <c r="D250" s="3" t="s">
        <v>149</v>
      </c>
      <c r="E250" s="3">
        <v>5</v>
      </c>
      <c r="F250">
        <f>SUM(E245:E253)</f>
        <v>858</v>
      </c>
      <c r="G250" s="19"/>
    </row>
    <row r="251" spans="1:7" ht="12.75" x14ac:dyDescent="0.2">
      <c r="A251" s="3">
        <v>16</v>
      </c>
      <c r="B251" s="4" t="s">
        <v>44</v>
      </c>
      <c r="C251" s="3" t="s">
        <v>161</v>
      </c>
      <c r="D251" s="3" t="s">
        <v>148</v>
      </c>
      <c r="E251" s="3">
        <v>2</v>
      </c>
      <c r="G251" s="19"/>
    </row>
    <row r="252" spans="1:7" ht="12.75" x14ac:dyDescent="0.2">
      <c r="A252" s="3">
        <v>16</v>
      </c>
      <c r="B252" s="4" t="s">
        <v>44</v>
      </c>
      <c r="C252" s="3" t="s">
        <v>161</v>
      </c>
      <c r="D252" s="3" t="s">
        <v>135</v>
      </c>
      <c r="E252" s="3">
        <v>1</v>
      </c>
      <c r="G252" s="19"/>
    </row>
    <row r="253" spans="1:7" ht="12.75" x14ac:dyDescent="0.2">
      <c r="A253" s="3">
        <v>16</v>
      </c>
      <c r="B253" s="4" t="s">
        <v>44</v>
      </c>
      <c r="C253" s="3" t="s">
        <v>161</v>
      </c>
      <c r="D253" s="3" t="s">
        <v>145</v>
      </c>
      <c r="E253" s="3">
        <v>1</v>
      </c>
      <c r="G253" s="19"/>
    </row>
    <row r="254" spans="1:7" ht="12.75" x14ac:dyDescent="0.2">
      <c r="A254" s="3">
        <v>16</v>
      </c>
      <c r="B254" s="4" t="s">
        <v>44</v>
      </c>
      <c r="C254" s="3" t="s">
        <v>162</v>
      </c>
      <c r="D254" s="3" t="s">
        <v>136</v>
      </c>
      <c r="E254" s="3">
        <v>432</v>
      </c>
      <c r="G254" s="19"/>
    </row>
    <row r="255" spans="1:7" ht="12.75" x14ac:dyDescent="0.2">
      <c r="A255" s="3">
        <v>16</v>
      </c>
      <c r="B255" s="4" t="s">
        <v>44</v>
      </c>
      <c r="C255" s="3" t="s">
        <v>162</v>
      </c>
      <c r="D255" s="3" t="s">
        <v>128</v>
      </c>
      <c r="E255" s="3">
        <v>375</v>
      </c>
      <c r="F255" s="3"/>
      <c r="G255" s="19"/>
    </row>
    <row r="256" spans="1:7" ht="12.75" x14ac:dyDescent="0.2">
      <c r="A256" s="3">
        <v>16</v>
      </c>
      <c r="B256" s="4" t="s">
        <v>44</v>
      </c>
      <c r="C256" s="3" t="s">
        <v>162</v>
      </c>
      <c r="D256" s="3" t="s">
        <v>14</v>
      </c>
      <c r="E256" s="3">
        <v>15</v>
      </c>
      <c r="F256" s="3"/>
      <c r="G256" s="19"/>
    </row>
    <row r="257" spans="1:7" ht="12.75" x14ac:dyDescent="0.2">
      <c r="A257" s="3">
        <v>16</v>
      </c>
      <c r="B257" s="4" t="s">
        <v>44</v>
      </c>
      <c r="C257" s="3" t="s">
        <v>162</v>
      </c>
      <c r="D257" s="3" t="s">
        <v>133</v>
      </c>
      <c r="E257" s="3">
        <v>14</v>
      </c>
      <c r="F257" s="3"/>
      <c r="G257" s="19"/>
    </row>
    <row r="258" spans="1:7" ht="12.75" x14ac:dyDescent="0.2">
      <c r="A258" s="3">
        <v>16</v>
      </c>
      <c r="B258" s="4" t="s">
        <v>44</v>
      </c>
      <c r="C258" s="3" t="s">
        <v>162</v>
      </c>
      <c r="D258" s="3" t="s">
        <v>138</v>
      </c>
      <c r="E258" s="3">
        <v>10</v>
      </c>
      <c r="F258" s="3">
        <f>SUM(E254:E262)</f>
        <v>858</v>
      </c>
      <c r="G258" s="19"/>
    </row>
    <row r="259" spans="1:7" ht="12.75" x14ac:dyDescent="0.2">
      <c r="A259" s="3">
        <v>16</v>
      </c>
      <c r="B259" s="4" t="s">
        <v>44</v>
      </c>
      <c r="C259" s="3" t="s">
        <v>162</v>
      </c>
      <c r="D259" s="3" t="s">
        <v>149</v>
      </c>
      <c r="E259" s="3">
        <v>8</v>
      </c>
      <c r="F259" s="3"/>
      <c r="G259" s="19"/>
    </row>
    <row r="260" spans="1:7" ht="12.75" x14ac:dyDescent="0.2">
      <c r="A260" s="3">
        <v>16</v>
      </c>
      <c r="B260" s="4" t="s">
        <v>44</v>
      </c>
      <c r="C260" s="3" t="s">
        <v>162</v>
      </c>
      <c r="D260" s="3" t="s">
        <v>148</v>
      </c>
      <c r="E260" s="3">
        <v>2</v>
      </c>
      <c r="G260" s="19"/>
    </row>
    <row r="261" spans="1:7" ht="12.75" x14ac:dyDescent="0.2">
      <c r="A261" s="3">
        <v>16</v>
      </c>
      <c r="B261" s="4" t="s">
        <v>44</v>
      </c>
      <c r="C261" s="3" t="s">
        <v>162</v>
      </c>
      <c r="D261" s="3" t="s">
        <v>135</v>
      </c>
      <c r="E261" s="3">
        <v>1</v>
      </c>
      <c r="G261" s="19"/>
    </row>
    <row r="262" spans="1:7" ht="12.75" x14ac:dyDescent="0.2">
      <c r="A262" s="3">
        <v>16</v>
      </c>
      <c r="B262" s="4" t="s">
        <v>44</v>
      </c>
      <c r="C262" s="3" t="s">
        <v>162</v>
      </c>
      <c r="D262" s="3" t="s">
        <v>145</v>
      </c>
      <c r="E262" s="3">
        <v>1</v>
      </c>
      <c r="G262" s="19"/>
    </row>
    <row r="263" spans="1:7" ht="12.75" x14ac:dyDescent="0.2">
      <c r="A263" s="3">
        <v>17</v>
      </c>
      <c r="B263" s="4" t="s">
        <v>45</v>
      </c>
      <c r="C263" s="3" t="s">
        <v>162</v>
      </c>
      <c r="D263" s="3" t="s">
        <v>136</v>
      </c>
      <c r="E263" s="3">
        <v>10</v>
      </c>
      <c r="F263">
        <f>SUM(E263:E264)</f>
        <v>11</v>
      </c>
      <c r="G263" s="19"/>
    </row>
    <row r="264" spans="1:7" ht="12.75" x14ac:dyDescent="0.2">
      <c r="A264" s="3">
        <v>17</v>
      </c>
      <c r="B264" s="4" t="s">
        <v>45</v>
      </c>
      <c r="C264" s="3" t="s">
        <v>162</v>
      </c>
      <c r="D264" s="3" t="s">
        <v>128</v>
      </c>
      <c r="E264" s="3">
        <v>1</v>
      </c>
      <c r="G264" s="19"/>
    </row>
    <row r="265" spans="1:7" ht="12.75" x14ac:dyDescent="0.2">
      <c r="A265" s="3">
        <v>17</v>
      </c>
      <c r="B265" s="4" t="s">
        <v>45</v>
      </c>
      <c r="C265" s="3" t="s">
        <v>161</v>
      </c>
      <c r="D265" s="3" t="s">
        <v>136</v>
      </c>
      <c r="E265" s="3">
        <v>10</v>
      </c>
      <c r="G265" s="19"/>
    </row>
    <row r="266" spans="1:7" ht="12.75" x14ac:dyDescent="0.2">
      <c r="A266" s="3">
        <v>17</v>
      </c>
      <c r="B266" s="4" t="s">
        <v>45</v>
      </c>
      <c r="C266" s="3" t="s">
        <v>161</v>
      </c>
      <c r="D266" s="3" t="s">
        <v>128</v>
      </c>
      <c r="E266" s="3">
        <v>1</v>
      </c>
      <c r="F266">
        <f>SUM(E265:E266)</f>
        <v>11</v>
      </c>
      <c r="G266" s="19"/>
    </row>
    <row r="267" spans="1:7" ht="12.75" x14ac:dyDescent="0.2">
      <c r="A267" s="3">
        <v>17</v>
      </c>
      <c r="B267" s="4" t="s">
        <v>45</v>
      </c>
      <c r="C267" s="3" t="s">
        <v>13</v>
      </c>
      <c r="D267" s="3" t="s">
        <v>136</v>
      </c>
      <c r="E267" s="3">
        <v>10</v>
      </c>
      <c r="G267" s="19"/>
    </row>
    <row r="268" spans="1:7" ht="12.75" x14ac:dyDescent="0.2">
      <c r="A268" s="3">
        <v>17</v>
      </c>
      <c r="B268" s="4" t="s">
        <v>45</v>
      </c>
      <c r="C268" s="3" t="s">
        <v>13</v>
      </c>
      <c r="D268" s="3" t="s">
        <v>14</v>
      </c>
      <c r="E268" s="3">
        <v>1</v>
      </c>
      <c r="F268">
        <f>SUM(E267:E268)</f>
        <v>11</v>
      </c>
      <c r="G268" s="19"/>
    </row>
    <row r="269" spans="1:7" ht="12.75" x14ac:dyDescent="0.2">
      <c r="A269" s="3">
        <v>18</v>
      </c>
      <c r="B269" s="4" t="s">
        <v>46</v>
      </c>
      <c r="C269" s="3" t="s">
        <v>2</v>
      </c>
      <c r="D269" s="3" t="s">
        <v>136</v>
      </c>
      <c r="E269" s="3">
        <v>1019</v>
      </c>
      <c r="G269" s="19"/>
    </row>
    <row r="270" spans="1:7" ht="12.75" x14ac:dyDescent="0.2">
      <c r="A270" s="3">
        <v>18</v>
      </c>
      <c r="B270" s="4" t="s">
        <v>46</v>
      </c>
      <c r="C270" s="3" t="s">
        <v>2</v>
      </c>
      <c r="D270" s="3" t="s">
        <v>128</v>
      </c>
      <c r="E270" s="3">
        <v>753</v>
      </c>
      <c r="G270" s="19"/>
    </row>
    <row r="271" spans="1:7" ht="12.75" x14ac:dyDescent="0.2">
      <c r="A271" s="3">
        <v>18</v>
      </c>
      <c r="B271" s="4" t="s">
        <v>46</v>
      </c>
      <c r="C271" s="3" t="s">
        <v>2</v>
      </c>
      <c r="D271" s="3" t="s">
        <v>135</v>
      </c>
      <c r="E271" s="3">
        <v>106</v>
      </c>
      <c r="G271" s="19"/>
    </row>
    <row r="272" spans="1:7" ht="12.75" x14ac:dyDescent="0.2">
      <c r="A272" s="3">
        <v>18</v>
      </c>
      <c r="B272" s="4" t="s">
        <v>46</v>
      </c>
      <c r="C272" s="3" t="s">
        <v>2</v>
      </c>
      <c r="D272" s="3" t="s">
        <v>149</v>
      </c>
      <c r="E272" s="3">
        <v>75</v>
      </c>
      <c r="F272">
        <f>SUM(E269:E275)</f>
        <v>2024</v>
      </c>
      <c r="G272" s="19"/>
    </row>
    <row r="273" spans="1:7" ht="12.75" x14ac:dyDescent="0.2">
      <c r="A273" s="3">
        <v>18</v>
      </c>
      <c r="B273" s="4" t="s">
        <v>46</v>
      </c>
      <c r="C273" s="3" t="s">
        <v>2</v>
      </c>
      <c r="D273" s="3" t="s">
        <v>14</v>
      </c>
      <c r="E273" s="3">
        <v>61</v>
      </c>
      <c r="G273" s="19"/>
    </row>
    <row r="274" spans="1:7" ht="12.75" x14ac:dyDescent="0.2">
      <c r="A274" s="3">
        <v>18</v>
      </c>
      <c r="B274" s="4" t="s">
        <v>46</v>
      </c>
      <c r="C274" s="3" t="s">
        <v>2</v>
      </c>
      <c r="D274" s="3" t="s">
        <v>138</v>
      </c>
      <c r="E274" s="3">
        <v>7</v>
      </c>
      <c r="G274" s="19"/>
    </row>
    <row r="275" spans="1:7" ht="12.75" x14ac:dyDescent="0.2">
      <c r="A275" s="3">
        <v>18</v>
      </c>
      <c r="B275" s="4" t="s">
        <v>46</v>
      </c>
      <c r="C275" s="3" t="s">
        <v>2</v>
      </c>
      <c r="D275" s="3" t="s">
        <v>145</v>
      </c>
      <c r="E275" s="3">
        <v>3</v>
      </c>
      <c r="G275" s="19"/>
    </row>
    <row r="276" spans="1:7" ht="12.75" x14ac:dyDescent="0.2">
      <c r="A276" s="3">
        <v>18</v>
      </c>
      <c r="B276" s="4" t="s">
        <v>46</v>
      </c>
      <c r="C276" s="3" t="s">
        <v>161</v>
      </c>
      <c r="D276" s="3" t="s">
        <v>136</v>
      </c>
      <c r="E276" s="3">
        <v>1165</v>
      </c>
      <c r="G276" s="19"/>
    </row>
    <row r="277" spans="1:7" ht="12.75" x14ac:dyDescent="0.2">
      <c r="A277" s="3">
        <v>18</v>
      </c>
      <c r="B277" s="4" t="s">
        <v>46</v>
      </c>
      <c r="C277" s="3" t="s">
        <v>161</v>
      </c>
      <c r="D277" s="3" t="s">
        <v>128</v>
      </c>
      <c r="E277" s="3">
        <v>520</v>
      </c>
      <c r="G277" s="19"/>
    </row>
    <row r="278" spans="1:7" ht="12.75" x14ac:dyDescent="0.2">
      <c r="A278" s="3">
        <v>18</v>
      </c>
      <c r="B278" s="4" t="s">
        <v>46</v>
      </c>
      <c r="C278" s="3" t="s">
        <v>161</v>
      </c>
      <c r="D278" s="3" t="s">
        <v>14</v>
      </c>
      <c r="E278" s="3">
        <v>140</v>
      </c>
      <c r="G278" s="19"/>
    </row>
    <row r="279" spans="1:7" ht="12.75" x14ac:dyDescent="0.2">
      <c r="A279" s="3">
        <v>18</v>
      </c>
      <c r="B279" s="4" t="s">
        <v>46</v>
      </c>
      <c r="C279" s="3" t="s">
        <v>161</v>
      </c>
      <c r="D279" s="3" t="s">
        <v>135</v>
      </c>
      <c r="E279" s="3">
        <v>88</v>
      </c>
      <c r="G279" s="19"/>
    </row>
    <row r="280" spans="1:7" ht="12.75" x14ac:dyDescent="0.2">
      <c r="A280" s="3">
        <v>18</v>
      </c>
      <c r="B280" s="4" t="s">
        <v>46</v>
      </c>
      <c r="C280" s="3" t="s">
        <v>161</v>
      </c>
      <c r="D280" s="3" t="s">
        <v>149</v>
      </c>
      <c r="E280" s="3">
        <v>61</v>
      </c>
      <c r="G280" s="19"/>
    </row>
    <row r="281" spans="1:7" ht="12.75" x14ac:dyDescent="0.2">
      <c r="A281" s="3">
        <v>18</v>
      </c>
      <c r="B281" s="4" t="s">
        <v>46</v>
      </c>
      <c r="C281" s="3" t="s">
        <v>161</v>
      </c>
      <c r="D281" s="3" t="s">
        <v>138</v>
      </c>
      <c r="E281" s="3">
        <v>11</v>
      </c>
      <c r="F281">
        <f>SUM(E276:E285)</f>
        <v>2013</v>
      </c>
      <c r="G281" s="19"/>
    </row>
    <row r="282" spans="1:7" ht="12.75" x14ac:dyDescent="0.2">
      <c r="A282" s="3">
        <v>18</v>
      </c>
      <c r="B282" s="4" t="s">
        <v>46</v>
      </c>
      <c r="C282" s="3" t="s">
        <v>161</v>
      </c>
      <c r="D282" s="3" t="s">
        <v>133</v>
      </c>
      <c r="E282" s="3">
        <v>11</v>
      </c>
      <c r="G282" s="19"/>
    </row>
    <row r="283" spans="1:7" ht="12.75" x14ac:dyDescent="0.2">
      <c r="A283" s="3">
        <v>18</v>
      </c>
      <c r="B283" s="4" t="s">
        <v>46</v>
      </c>
      <c r="C283" s="3" t="s">
        <v>161</v>
      </c>
      <c r="D283" s="3" t="s">
        <v>145</v>
      </c>
      <c r="E283" s="3">
        <v>8</v>
      </c>
      <c r="G283" s="19"/>
    </row>
    <row r="284" spans="1:7" ht="12.75" x14ac:dyDescent="0.2">
      <c r="A284" s="3">
        <v>18</v>
      </c>
      <c r="B284" s="4" t="s">
        <v>46</v>
      </c>
      <c r="C284" s="3" t="s">
        <v>161</v>
      </c>
      <c r="D284" s="3" t="s">
        <v>148</v>
      </c>
      <c r="E284" s="3">
        <v>7</v>
      </c>
      <c r="G284" s="19"/>
    </row>
    <row r="285" spans="1:7" ht="12.75" x14ac:dyDescent="0.2">
      <c r="A285" s="3">
        <v>18</v>
      </c>
      <c r="B285" s="4" t="s">
        <v>46</v>
      </c>
      <c r="C285" s="3" t="s">
        <v>161</v>
      </c>
      <c r="D285" s="3" t="s">
        <v>139</v>
      </c>
      <c r="E285" s="3">
        <v>2</v>
      </c>
      <c r="G285" s="19"/>
    </row>
    <row r="286" spans="1:7" ht="12.75" x14ac:dyDescent="0.2">
      <c r="A286" s="3">
        <v>18</v>
      </c>
      <c r="B286" s="4" t="s">
        <v>46</v>
      </c>
      <c r="C286" s="3" t="s">
        <v>162</v>
      </c>
      <c r="D286" s="3" t="s">
        <v>136</v>
      </c>
      <c r="E286" s="3">
        <v>1218</v>
      </c>
      <c r="G286" s="19"/>
    </row>
    <row r="287" spans="1:7" ht="12.75" x14ac:dyDescent="0.2">
      <c r="A287" s="3">
        <v>18</v>
      </c>
      <c r="B287" s="4" t="s">
        <v>46</v>
      </c>
      <c r="C287" s="3" t="s">
        <v>162</v>
      </c>
      <c r="D287" s="3" t="s">
        <v>128</v>
      </c>
      <c r="E287" s="3">
        <v>524</v>
      </c>
      <c r="G287" s="19"/>
    </row>
    <row r="288" spans="1:7" ht="12.75" x14ac:dyDescent="0.2">
      <c r="A288" s="3">
        <v>18</v>
      </c>
      <c r="B288" s="4" t="s">
        <v>46</v>
      </c>
      <c r="C288" s="3" t="s">
        <v>162</v>
      </c>
      <c r="D288" s="3" t="s">
        <v>135</v>
      </c>
      <c r="E288" s="3">
        <v>88</v>
      </c>
      <c r="G288" s="19"/>
    </row>
    <row r="289" spans="1:7" ht="12.75" x14ac:dyDescent="0.2">
      <c r="A289" s="3">
        <v>18</v>
      </c>
      <c r="B289" s="4" t="s">
        <v>46</v>
      </c>
      <c r="C289" s="3" t="s">
        <v>162</v>
      </c>
      <c r="D289" s="3" t="s">
        <v>14</v>
      </c>
      <c r="E289" s="3">
        <v>71</v>
      </c>
      <c r="G289" s="19"/>
    </row>
    <row r="290" spans="1:7" ht="12.75" x14ac:dyDescent="0.2">
      <c r="A290" s="3">
        <v>18</v>
      </c>
      <c r="B290" s="4" t="s">
        <v>46</v>
      </c>
      <c r="C290" s="3" t="s">
        <v>162</v>
      </c>
      <c r="D290" s="3" t="s">
        <v>149</v>
      </c>
      <c r="E290" s="3">
        <v>67</v>
      </c>
      <c r="G290" s="19"/>
    </row>
    <row r="291" spans="1:7" ht="12.75" x14ac:dyDescent="0.2">
      <c r="A291" s="3">
        <v>18</v>
      </c>
      <c r="B291" s="4" t="s">
        <v>46</v>
      </c>
      <c r="C291" s="3" t="s">
        <v>162</v>
      </c>
      <c r="D291" s="3" t="s">
        <v>133</v>
      </c>
      <c r="E291" s="3">
        <v>15</v>
      </c>
      <c r="F291">
        <f>SUM(E286:E295)</f>
        <v>2013</v>
      </c>
      <c r="G291" s="19"/>
    </row>
    <row r="292" spans="1:7" ht="12.75" x14ac:dyDescent="0.2">
      <c r="A292" s="3">
        <v>18</v>
      </c>
      <c r="B292" s="4" t="s">
        <v>46</v>
      </c>
      <c r="C292" s="3" t="s">
        <v>162</v>
      </c>
      <c r="D292" s="3" t="s">
        <v>138</v>
      </c>
      <c r="E292" s="3">
        <v>12</v>
      </c>
      <c r="G292" s="19"/>
    </row>
    <row r="293" spans="1:7" ht="12.75" x14ac:dyDescent="0.2">
      <c r="A293" s="3">
        <v>18</v>
      </c>
      <c r="B293" s="4" t="s">
        <v>46</v>
      </c>
      <c r="C293" s="3" t="s">
        <v>162</v>
      </c>
      <c r="D293" s="3" t="s">
        <v>148</v>
      </c>
      <c r="E293" s="3">
        <v>8</v>
      </c>
      <c r="G293" s="19"/>
    </row>
    <row r="294" spans="1:7" ht="12.75" x14ac:dyDescent="0.2">
      <c r="A294" s="3">
        <v>18</v>
      </c>
      <c r="B294" s="4" t="s">
        <v>46</v>
      </c>
      <c r="C294" s="3" t="s">
        <v>162</v>
      </c>
      <c r="D294" s="3" t="s">
        <v>145</v>
      </c>
      <c r="E294" s="3">
        <v>8</v>
      </c>
      <c r="G294" s="19"/>
    </row>
    <row r="295" spans="1:7" ht="12.75" x14ac:dyDescent="0.2">
      <c r="A295" s="3">
        <v>18</v>
      </c>
      <c r="B295" s="4" t="s">
        <v>46</v>
      </c>
      <c r="C295" s="3" t="s">
        <v>162</v>
      </c>
      <c r="D295" s="3" t="s">
        <v>139</v>
      </c>
      <c r="E295" s="3">
        <v>2</v>
      </c>
      <c r="G295" s="19"/>
    </row>
    <row r="296" spans="1:7" ht="12.75" x14ac:dyDescent="0.2">
      <c r="A296" s="3">
        <v>19</v>
      </c>
      <c r="B296" s="4" t="s">
        <v>47</v>
      </c>
      <c r="C296" s="3" t="s">
        <v>2</v>
      </c>
      <c r="D296" s="3" t="s">
        <v>128</v>
      </c>
      <c r="E296" s="3">
        <v>735</v>
      </c>
      <c r="G296" s="19"/>
    </row>
    <row r="297" spans="1:7" ht="12.75" x14ac:dyDescent="0.2">
      <c r="A297" s="3">
        <v>19</v>
      </c>
      <c r="B297" s="4" t="s">
        <v>47</v>
      </c>
      <c r="C297" s="3" t="s">
        <v>2</v>
      </c>
      <c r="D297" s="3" t="s">
        <v>136</v>
      </c>
      <c r="E297" s="3">
        <v>492</v>
      </c>
      <c r="F297">
        <f>SUM(E296:E299)</f>
        <v>1298</v>
      </c>
      <c r="G297" s="19"/>
    </row>
    <row r="298" spans="1:7" ht="12.75" x14ac:dyDescent="0.2">
      <c r="A298" s="3">
        <v>19</v>
      </c>
      <c r="B298" s="4" t="s">
        <v>47</v>
      </c>
      <c r="C298" s="3" t="s">
        <v>2</v>
      </c>
      <c r="D298" s="3" t="s">
        <v>14</v>
      </c>
      <c r="E298" s="3">
        <v>70</v>
      </c>
      <c r="G298" s="19"/>
    </row>
    <row r="299" spans="1:7" ht="12.75" x14ac:dyDescent="0.2">
      <c r="A299" s="3">
        <v>19</v>
      </c>
      <c r="B299" s="4" t="s">
        <v>47</v>
      </c>
      <c r="C299" s="3" t="s">
        <v>2</v>
      </c>
      <c r="D299" s="3" t="s">
        <v>138</v>
      </c>
      <c r="E299" s="3">
        <v>1</v>
      </c>
      <c r="G299" s="19"/>
    </row>
    <row r="300" spans="1:7" ht="12.75" x14ac:dyDescent="0.2">
      <c r="A300" s="3">
        <v>19</v>
      </c>
      <c r="B300" s="4" t="s">
        <v>47</v>
      </c>
      <c r="C300" s="3" t="s">
        <v>161</v>
      </c>
      <c r="D300" s="3" t="s">
        <v>128</v>
      </c>
      <c r="E300" s="3">
        <v>628</v>
      </c>
      <c r="G300" s="19"/>
    </row>
    <row r="301" spans="1:7" ht="12.75" x14ac:dyDescent="0.2">
      <c r="A301" s="3">
        <v>19</v>
      </c>
      <c r="B301" s="4" t="s">
        <v>47</v>
      </c>
      <c r="C301" s="3" t="s">
        <v>161</v>
      </c>
      <c r="D301" s="3" t="s">
        <v>136</v>
      </c>
      <c r="E301" s="3">
        <v>557</v>
      </c>
      <c r="G301" s="19"/>
    </row>
    <row r="302" spans="1:7" ht="12.75" x14ac:dyDescent="0.2">
      <c r="A302" s="3">
        <v>19</v>
      </c>
      <c r="B302" s="4" t="s">
        <v>47</v>
      </c>
      <c r="C302" s="3" t="s">
        <v>161</v>
      </c>
      <c r="D302" s="3" t="s">
        <v>14</v>
      </c>
      <c r="E302" s="3">
        <v>66</v>
      </c>
      <c r="G302" s="19"/>
    </row>
    <row r="303" spans="1:7" ht="12.75" x14ac:dyDescent="0.2">
      <c r="A303" s="3">
        <v>19</v>
      </c>
      <c r="B303" s="4" t="s">
        <v>47</v>
      </c>
      <c r="C303" s="3" t="s">
        <v>161</v>
      </c>
      <c r="D303" s="3" t="s">
        <v>149</v>
      </c>
      <c r="E303" s="3">
        <v>23</v>
      </c>
      <c r="G303" s="19"/>
    </row>
    <row r="304" spans="1:7" ht="12.75" x14ac:dyDescent="0.2">
      <c r="A304" s="3">
        <v>19</v>
      </c>
      <c r="B304" s="4" t="s">
        <v>47</v>
      </c>
      <c r="C304" s="3" t="s">
        <v>161</v>
      </c>
      <c r="D304" s="3" t="s">
        <v>133</v>
      </c>
      <c r="E304" s="3">
        <v>13</v>
      </c>
      <c r="F304">
        <f>SUM(E300:E309)</f>
        <v>1298</v>
      </c>
      <c r="G304" s="19"/>
    </row>
    <row r="305" spans="1:7" ht="12.75" x14ac:dyDescent="0.2">
      <c r="A305" s="3">
        <v>19</v>
      </c>
      <c r="B305" s="4" t="s">
        <v>47</v>
      </c>
      <c r="C305" s="3" t="s">
        <v>161</v>
      </c>
      <c r="D305" s="3" t="s">
        <v>148</v>
      </c>
      <c r="E305" s="3">
        <v>5</v>
      </c>
      <c r="G305" s="19"/>
    </row>
    <row r="306" spans="1:7" ht="12.75" x14ac:dyDescent="0.2">
      <c r="A306" s="3">
        <v>19</v>
      </c>
      <c r="B306" s="4" t="s">
        <v>47</v>
      </c>
      <c r="C306" s="3" t="s">
        <v>161</v>
      </c>
      <c r="D306" s="3" t="s">
        <v>139</v>
      </c>
      <c r="E306" s="3">
        <v>2</v>
      </c>
      <c r="G306" s="19"/>
    </row>
    <row r="307" spans="1:7" ht="12.75" x14ac:dyDescent="0.2">
      <c r="A307" s="3">
        <v>19</v>
      </c>
      <c r="B307" s="4" t="s">
        <v>47</v>
      </c>
      <c r="C307" s="3" t="s">
        <v>161</v>
      </c>
      <c r="D307" s="3" t="s">
        <v>135</v>
      </c>
      <c r="E307" s="3">
        <v>2</v>
      </c>
      <c r="G307" s="19"/>
    </row>
    <row r="308" spans="1:7" ht="12.75" x14ac:dyDescent="0.2">
      <c r="A308" s="3">
        <v>19</v>
      </c>
      <c r="B308" s="4" t="s">
        <v>47</v>
      </c>
      <c r="C308" s="3" t="s">
        <v>161</v>
      </c>
      <c r="D308" s="3" t="s">
        <v>145</v>
      </c>
      <c r="E308" s="3">
        <v>1</v>
      </c>
      <c r="G308" s="19"/>
    </row>
    <row r="309" spans="1:7" ht="12.75" x14ac:dyDescent="0.2">
      <c r="A309" s="3">
        <v>19</v>
      </c>
      <c r="B309" s="4" t="s">
        <v>47</v>
      </c>
      <c r="C309" s="3" t="s">
        <v>161</v>
      </c>
      <c r="D309" s="3" t="s">
        <v>138</v>
      </c>
      <c r="E309" s="3">
        <v>1</v>
      </c>
      <c r="G309" s="19"/>
    </row>
    <row r="310" spans="1:7" ht="12.75" x14ac:dyDescent="0.2">
      <c r="A310" s="3">
        <v>19</v>
      </c>
      <c r="B310" s="4" t="s">
        <v>47</v>
      </c>
      <c r="C310" s="3" t="s">
        <v>162</v>
      </c>
      <c r="D310" s="3" t="s">
        <v>136</v>
      </c>
      <c r="E310" s="3">
        <v>602</v>
      </c>
      <c r="G310" s="19"/>
    </row>
    <row r="311" spans="1:7" ht="12.75" x14ac:dyDescent="0.2">
      <c r="A311" s="3">
        <v>19</v>
      </c>
      <c r="B311" s="4" t="s">
        <v>47</v>
      </c>
      <c r="C311" s="3" t="s">
        <v>162</v>
      </c>
      <c r="D311" s="3" t="s">
        <v>128</v>
      </c>
      <c r="E311" s="3">
        <v>594</v>
      </c>
      <c r="G311" s="19"/>
    </row>
    <row r="312" spans="1:7" ht="12.75" x14ac:dyDescent="0.2">
      <c r="A312" s="3">
        <v>19</v>
      </c>
      <c r="B312" s="4" t="s">
        <v>47</v>
      </c>
      <c r="C312" s="3" t="s">
        <v>162</v>
      </c>
      <c r="D312" s="3" t="s">
        <v>14</v>
      </c>
      <c r="E312" s="3">
        <v>44</v>
      </c>
      <c r="G312" s="19"/>
    </row>
    <row r="313" spans="1:7" ht="12.75" x14ac:dyDescent="0.2">
      <c r="A313" s="3">
        <v>19</v>
      </c>
      <c r="B313" s="4" t="s">
        <v>47</v>
      </c>
      <c r="C313" s="3" t="s">
        <v>162</v>
      </c>
      <c r="D313" s="3" t="s">
        <v>149</v>
      </c>
      <c r="E313" s="3">
        <v>28</v>
      </c>
      <c r="G313" s="19"/>
    </row>
    <row r="314" spans="1:7" ht="12.75" x14ac:dyDescent="0.2">
      <c r="A314" s="3">
        <v>19</v>
      </c>
      <c r="B314" s="4" t="s">
        <v>47</v>
      </c>
      <c r="C314" s="3" t="s">
        <v>162</v>
      </c>
      <c r="D314" s="3" t="s">
        <v>133</v>
      </c>
      <c r="E314" s="3">
        <v>17</v>
      </c>
      <c r="F314">
        <f>SUM(E310:E319)</f>
        <v>1298</v>
      </c>
      <c r="G314" s="19"/>
    </row>
    <row r="315" spans="1:7" ht="12.75" x14ac:dyDescent="0.2">
      <c r="A315" s="3">
        <v>19</v>
      </c>
      <c r="B315" s="4" t="s">
        <v>47</v>
      </c>
      <c r="C315" s="3" t="s">
        <v>162</v>
      </c>
      <c r="D315" s="3" t="s">
        <v>148</v>
      </c>
      <c r="E315" s="3">
        <v>7</v>
      </c>
      <c r="G315" s="19"/>
    </row>
    <row r="316" spans="1:7" ht="12.75" x14ac:dyDescent="0.2">
      <c r="A316" s="3">
        <v>19</v>
      </c>
      <c r="B316" s="4" t="s">
        <v>47</v>
      </c>
      <c r="C316" s="3" t="s">
        <v>162</v>
      </c>
      <c r="D316" s="3" t="s">
        <v>139</v>
      </c>
      <c r="E316" s="3">
        <v>2</v>
      </c>
      <c r="G316" s="19"/>
    </row>
    <row r="317" spans="1:7" ht="12.75" x14ac:dyDescent="0.2">
      <c r="A317" s="3">
        <v>19</v>
      </c>
      <c r="B317" s="4" t="s">
        <v>47</v>
      </c>
      <c r="C317" s="3" t="s">
        <v>162</v>
      </c>
      <c r="D317" s="3" t="s">
        <v>135</v>
      </c>
      <c r="E317" s="3">
        <v>2</v>
      </c>
      <c r="G317" s="19"/>
    </row>
    <row r="318" spans="1:7" ht="12.75" x14ac:dyDescent="0.2">
      <c r="A318" s="3">
        <v>19</v>
      </c>
      <c r="B318" s="4" t="s">
        <v>47</v>
      </c>
      <c r="C318" s="3" t="s">
        <v>162</v>
      </c>
      <c r="D318" s="3" t="s">
        <v>145</v>
      </c>
      <c r="E318" s="3">
        <v>1</v>
      </c>
      <c r="G318" s="19"/>
    </row>
    <row r="319" spans="1:7" ht="12.75" x14ac:dyDescent="0.2">
      <c r="A319" s="3">
        <v>19</v>
      </c>
      <c r="B319" s="4" t="s">
        <v>47</v>
      </c>
      <c r="C319" s="3" t="s">
        <v>162</v>
      </c>
      <c r="D319" s="3" t="s">
        <v>138</v>
      </c>
      <c r="E319" s="3">
        <v>1</v>
      </c>
      <c r="G319" s="19"/>
    </row>
    <row r="320" spans="1:7" ht="12.75" x14ac:dyDescent="0.2">
      <c r="A320" s="2" t="s">
        <v>48</v>
      </c>
      <c r="B320" s="4" t="s">
        <v>49</v>
      </c>
      <c r="C320" s="3" t="s">
        <v>15</v>
      </c>
      <c r="D320" s="3" t="s">
        <v>136</v>
      </c>
      <c r="E320" s="3">
        <v>92</v>
      </c>
      <c r="F320">
        <f>SUM(E320:E321)</f>
        <v>125</v>
      </c>
      <c r="G320" s="19"/>
    </row>
    <row r="321" spans="1:7" ht="12.75" x14ac:dyDescent="0.2">
      <c r="A321" s="2" t="s">
        <v>48</v>
      </c>
      <c r="B321" s="4" t="s">
        <v>49</v>
      </c>
      <c r="C321" s="3" t="s">
        <v>15</v>
      </c>
      <c r="D321" s="3" t="s">
        <v>14</v>
      </c>
      <c r="E321" s="3">
        <v>33</v>
      </c>
      <c r="G321" s="19"/>
    </row>
    <row r="322" spans="1:7" ht="12.75" x14ac:dyDescent="0.2">
      <c r="A322" s="2" t="s">
        <v>48</v>
      </c>
      <c r="B322" s="4" t="s">
        <v>49</v>
      </c>
      <c r="C322" s="3" t="s">
        <v>161</v>
      </c>
      <c r="D322" s="3" t="s">
        <v>136</v>
      </c>
      <c r="E322" s="3">
        <v>88</v>
      </c>
      <c r="G322" s="19"/>
    </row>
    <row r="323" spans="1:7" ht="12.75" x14ac:dyDescent="0.2">
      <c r="A323" s="2" t="s">
        <v>48</v>
      </c>
      <c r="B323" s="4" t="s">
        <v>49</v>
      </c>
      <c r="C323" s="3" t="s">
        <v>161</v>
      </c>
      <c r="D323" s="3" t="s">
        <v>128</v>
      </c>
      <c r="E323" s="3">
        <v>17</v>
      </c>
      <c r="G323" s="19"/>
    </row>
    <row r="324" spans="1:7" ht="12.75" x14ac:dyDescent="0.2">
      <c r="A324" s="2" t="s">
        <v>48</v>
      </c>
      <c r="B324" s="4" t="s">
        <v>49</v>
      </c>
      <c r="C324" s="3" t="s">
        <v>161</v>
      </c>
      <c r="D324" s="3" t="s">
        <v>149</v>
      </c>
      <c r="E324" s="3">
        <v>10</v>
      </c>
      <c r="G324" s="19"/>
    </row>
    <row r="325" spans="1:7" ht="12.75" x14ac:dyDescent="0.2">
      <c r="A325" s="2" t="s">
        <v>48</v>
      </c>
      <c r="B325" s="4" t="s">
        <v>49</v>
      </c>
      <c r="C325" s="3" t="s">
        <v>161</v>
      </c>
      <c r="D325" s="3" t="s">
        <v>14</v>
      </c>
      <c r="E325" s="3">
        <v>4</v>
      </c>
      <c r="G325" s="19"/>
    </row>
    <row r="326" spans="1:7" ht="12.75" x14ac:dyDescent="0.2">
      <c r="A326" s="2" t="s">
        <v>48</v>
      </c>
      <c r="B326" s="4" t="s">
        <v>49</v>
      </c>
      <c r="C326" s="3" t="s">
        <v>161</v>
      </c>
      <c r="D326" s="3" t="s">
        <v>133</v>
      </c>
      <c r="E326" s="3">
        <v>2</v>
      </c>
      <c r="F326">
        <f>SUM(E322:E330)</f>
        <v>125</v>
      </c>
      <c r="G326" s="19"/>
    </row>
    <row r="327" spans="1:7" ht="12.75" x14ac:dyDescent="0.2">
      <c r="A327" s="2" t="s">
        <v>48</v>
      </c>
      <c r="B327" s="4" t="s">
        <v>49</v>
      </c>
      <c r="C327" s="3" t="s">
        <v>161</v>
      </c>
      <c r="D327" s="3" t="s">
        <v>148</v>
      </c>
      <c r="E327" s="3">
        <v>1</v>
      </c>
      <c r="G327" s="19"/>
    </row>
    <row r="328" spans="1:7" ht="12.75" x14ac:dyDescent="0.2">
      <c r="A328" s="2" t="s">
        <v>48</v>
      </c>
      <c r="B328" s="4" t="s">
        <v>49</v>
      </c>
      <c r="C328" s="3" t="s">
        <v>161</v>
      </c>
      <c r="D328" s="3" t="s">
        <v>145</v>
      </c>
      <c r="E328" s="3">
        <v>1</v>
      </c>
      <c r="G328" s="19"/>
    </row>
    <row r="329" spans="1:7" ht="12.75" x14ac:dyDescent="0.2">
      <c r="A329" s="2" t="s">
        <v>48</v>
      </c>
      <c r="B329" s="4" t="s">
        <v>49</v>
      </c>
      <c r="C329" s="3" t="s">
        <v>161</v>
      </c>
      <c r="D329" s="3" t="s">
        <v>139</v>
      </c>
      <c r="E329" s="3">
        <v>1</v>
      </c>
      <c r="G329" s="19"/>
    </row>
    <row r="330" spans="1:7" ht="12.75" x14ac:dyDescent="0.2">
      <c r="A330" s="2" t="s">
        <v>48</v>
      </c>
      <c r="B330" s="4" t="s">
        <v>49</v>
      </c>
      <c r="C330" s="3" t="s">
        <v>161</v>
      </c>
      <c r="D330" s="3" t="s">
        <v>138</v>
      </c>
      <c r="E330" s="3">
        <v>1</v>
      </c>
      <c r="G330" s="19"/>
    </row>
    <row r="331" spans="1:7" ht="12.75" x14ac:dyDescent="0.2">
      <c r="A331" s="2" t="s">
        <v>48</v>
      </c>
      <c r="B331" s="4" t="s">
        <v>49</v>
      </c>
      <c r="C331" s="3" t="s">
        <v>162</v>
      </c>
      <c r="D331" s="3" t="s">
        <v>136</v>
      </c>
      <c r="E331" s="3">
        <v>90</v>
      </c>
      <c r="G331" s="19"/>
    </row>
    <row r="332" spans="1:7" ht="12.75" x14ac:dyDescent="0.2">
      <c r="A332" s="2" t="s">
        <v>48</v>
      </c>
      <c r="B332" s="4" t="s">
        <v>49</v>
      </c>
      <c r="C332" s="3" t="s">
        <v>162</v>
      </c>
      <c r="D332" s="3" t="s">
        <v>128</v>
      </c>
      <c r="E332" s="3">
        <v>16</v>
      </c>
      <c r="G332" s="19"/>
    </row>
    <row r="333" spans="1:7" ht="12.75" x14ac:dyDescent="0.2">
      <c r="A333" s="2" t="s">
        <v>48</v>
      </c>
      <c r="B333" s="4" t="s">
        <v>49</v>
      </c>
      <c r="C333" s="3" t="s">
        <v>162</v>
      </c>
      <c r="D333" s="3" t="s">
        <v>149</v>
      </c>
      <c r="E333" s="3">
        <v>10</v>
      </c>
      <c r="G333" s="19"/>
    </row>
    <row r="334" spans="1:7" ht="12.75" x14ac:dyDescent="0.2">
      <c r="A334" s="2" t="s">
        <v>48</v>
      </c>
      <c r="B334" s="4" t="s">
        <v>49</v>
      </c>
      <c r="C334" s="3" t="s">
        <v>162</v>
      </c>
      <c r="D334" s="3" t="s">
        <v>14</v>
      </c>
      <c r="E334" s="3">
        <v>4</v>
      </c>
      <c r="F334">
        <f>SUM(E331:E337)</f>
        <v>125</v>
      </c>
      <c r="G334" s="19"/>
    </row>
    <row r="335" spans="1:7" ht="12.75" x14ac:dyDescent="0.2">
      <c r="A335" s="2" t="s">
        <v>48</v>
      </c>
      <c r="B335" s="4" t="s">
        <v>49</v>
      </c>
      <c r="C335" s="3" t="s">
        <v>162</v>
      </c>
      <c r="D335" s="3" t="s">
        <v>133</v>
      </c>
      <c r="E335" s="3">
        <v>2</v>
      </c>
      <c r="G335" s="19"/>
    </row>
    <row r="336" spans="1:7" ht="12.75" x14ac:dyDescent="0.2">
      <c r="A336" s="2" t="s">
        <v>48</v>
      </c>
      <c r="B336" s="4" t="s">
        <v>49</v>
      </c>
      <c r="C336" s="3" t="s">
        <v>162</v>
      </c>
      <c r="D336" s="3" t="s">
        <v>138</v>
      </c>
      <c r="E336" s="3">
        <v>2</v>
      </c>
      <c r="G336" s="19"/>
    </row>
    <row r="337" spans="1:7" ht="12.75" x14ac:dyDescent="0.2">
      <c r="A337" s="2" t="s">
        <v>48</v>
      </c>
      <c r="B337" s="4" t="s">
        <v>49</v>
      </c>
      <c r="C337" s="3" t="s">
        <v>162</v>
      </c>
      <c r="D337" s="3" t="s">
        <v>145</v>
      </c>
      <c r="E337" s="3">
        <v>1</v>
      </c>
      <c r="G337" s="19"/>
    </row>
    <row r="338" spans="1:7" ht="12.75" x14ac:dyDescent="0.2">
      <c r="A338" s="3">
        <v>20</v>
      </c>
      <c r="B338" s="4" t="s">
        <v>50</v>
      </c>
      <c r="C338" s="3" t="s">
        <v>2</v>
      </c>
      <c r="D338" s="3" t="s">
        <v>141</v>
      </c>
      <c r="E338" s="3">
        <v>160</v>
      </c>
      <c r="G338" s="19"/>
    </row>
    <row r="339" spans="1:7" ht="12.75" x14ac:dyDescent="0.2">
      <c r="A339" s="3">
        <v>20</v>
      </c>
      <c r="B339" s="4" t="s">
        <v>50</v>
      </c>
      <c r="C339" s="3" t="s">
        <v>2</v>
      </c>
      <c r="D339" s="3" t="s">
        <v>14</v>
      </c>
      <c r="E339" s="3">
        <v>110</v>
      </c>
      <c r="F339">
        <f>SUM(E338:E340)</f>
        <v>274</v>
      </c>
      <c r="G339" s="19"/>
    </row>
    <row r="340" spans="1:7" ht="12.75" x14ac:dyDescent="0.2">
      <c r="A340" s="3">
        <v>20</v>
      </c>
      <c r="B340" s="4" t="s">
        <v>50</v>
      </c>
      <c r="C340" s="3" t="s">
        <v>2</v>
      </c>
      <c r="D340" s="3" t="s">
        <v>138</v>
      </c>
      <c r="E340" s="3">
        <v>4</v>
      </c>
      <c r="G340" s="19"/>
    </row>
    <row r="341" spans="1:7" ht="12.75" x14ac:dyDescent="0.2">
      <c r="A341" s="3">
        <v>20</v>
      </c>
      <c r="B341" s="4" t="s">
        <v>50</v>
      </c>
      <c r="C341" s="3" t="s">
        <v>161</v>
      </c>
      <c r="D341" s="3" t="s">
        <v>136</v>
      </c>
      <c r="E341" s="3">
        <v>133</v>
      </c>
      <c r="G341" s="19"/>
    </row>
    <row r="342" spans="1:7" ht="12.75" x14ac:dyDescent="0.2">
      <c r="A342" s="3">
        <v>20</v>
      </c>
      <c r="B342" s="4" t="s">
        <v>50</v>
      </c>
      <c r="C342" s="3" t="s">
        <v>161</v>
      </c>
      <c r="D342" s="3" t="s">
        <v>128</v>
      </c>
      <c r="E342" s="3">
        <v>85</v>
      </c>
      <c r="G342" s="19"/>
    </row>
    <row r="343" spans="1:7" ht="12.75" x14ac:dyDescent="0.2">
      <c r="A343" s="3">
        <v>20</v>
      </c>
      <c r="B343" s="4" t="s">
        <v>50</v>
      </c>
      <c r="C343" s="3" t="s">
        <v>161</v>
      </c>
      <c r="D343" s="3" t="s">
        <v>14</v>
      </c>
      <c r="E343" s="3">
        <v>25</v>
      </c>
      <c r="G343" s="19"/>
    </row>
    <row r="344" spans="1:7" ht="12.75" x14ac:dyDescent="0.2">
      <c r="A344" s="3">
        <v>20</v>
      </c>
      <c r="B344" s="4" t="s">
        <v>50</v>
      </c>
      <c r="C344" s="3" t="s">
        <v>161</v>
      </c>
      <c r="D344" s="3" t="s">
        <v>133</v>
      </c>
      <c r="E344" s="3">
        <v>18</v>
      </c>
      <c r="G344" s="19"/>
    </row>
    <row r="345" spans="1:7" ht="12.75" x14ac:dyDescent="0.2">
      <c r="A345" s="3">
        <v>20</v>
      </c>
      <c r="B345" s="4" t="s">
        <v>50</v>
      </c>
      <c r="C345" s="3" t="s">
        <v>161</v>
      </c>
      <c r="D345" s="3" t="s">
        <v>138</v>
      </c>
      <c r="E345" s="3">
        <v>4</v>
      </c>
      <c r="F345">
        <f>SUM(E341:E349)</f>
        <v>274</v>
      </c>
      <c r="G345" s="19"/>
    </row>
    <row r="346" spans="1:7" ht="12.75" x14ac:dyDescent="0.2">
      <c r="A346" s="3">
        <v>20</v>
      </c>
      <c r="B346" s="4" t="s">
        <v>50</v>
      </c>
      <c r="C346" s="3" t="s">
        <v>161</v>
      </c>
      <c r="D346" s="3" t="s">
        <v>148</v>
      </c>
      <c r="E346" s="3">
        <v>3</v>
      </c>
      <c r="G346" s="19"/>
    </row>
    <row r="347" spans="1:7" ht="12.75" x14ac:dyDescent="0.2">
      <c r="A347" s="3">
        <v>20</v>
      </c>
      <c r="B347" s="4" t="s">
        <v>50</v>
      </c>
      <c r="C347" s="3" t="s">
        <v>161</v>
      </c>
      <c r="D347" s="3" t="s">
        <v>139</v>
      </c>
      <c r="E347" s="3">
        <v>2</v>
      </c>
      <c r="G347" s="19"/>
    </row>
    <row r="348" spans="1:7" ht="12.75" x14ac:dyDescent="0.2">
      <c r="A348" s="3">
        <v>20</v>
      </c>
      <c r="B348" s="4" t="s">
        <v>50</v>
      </c>
      <c r="C348" s="3" t="s">
        <v>161</v>
      </c>
      <c r="D348" s="3" t="s">
        <v>135</v>
      </c>
      <c r="E348" s="3">
        <v>2</v>
      </c>
      <c r="G348" s="19"/>
    </row>
    <row r="349" spans="1:7" ht="12.75" x14ac:dyDescent="0.2">
      <c r="A349" s="3">
        <v>20</v>
      </c>
      <c r="B349" s="4" t="s">
        <v>50</v>
      </c>
      <c r="C349" s="3" t="s">
        <v>161</v>
      </c>
      <c r="D349" s="3" t="s">
        <v>149</v>
      </c>
      <c r="E349" s="3">
        <v>2</v>
      </c>
      <c r="G349" s="19"/>
    </row>
    <row r="350" spans="1:7" ht="12.75" x14ac:dyDescent="0.2">
      <c r="A350" s="3">
        <v>20</v>
      </c>
      <c r="B350" s="4" t="s">
        <v>50</v>
      </c>
      <c r="C350" s="3" t="s">
        <v>162</v>
      </c>
      <c r="D350" s="3" t="s">
        <v>136</v>
      </c>
      <c r="E350" s="3">
        <v>134</v>
      </c>
      <c r="G350" s="19"/>
    </row>
    <row r="351" spans="1:7" ht="12.75" x14ac:dyDescent="0.2">
      <c r="A351" s="3">
        <v>20</v>
      </c>
      <c r="B351" s="4" t="s">
        <v>50</v>
      </c>
      <c r="C351" s="3" t="s">
        <v>162</v>
      </c>
      <c r="D351" s="3" t="s">
        <v>128</v>
      </c>
      <c r="E351" s="3">
        <v>87</v>
      </c>
      <c r="G351" s="19"/>
    </row>
    <row r="352" spans="1:7" ht="12.75" x14ac:dyDescent="0.2">
      <c r="A352" s="3">
        <v>20</v>
      </c>
      <c r="B352" s="4" t="s">
        <v>50</v>
      </c>
      <c r="C352" s="3" t="s">
        <v>162</v>
      </c>
      <c r="D352" s="3" t="s">
        <v>14</v>
      </c>
      <c r="E352" s="3">
        <v>22</v>
      </c>
      <c r="G352" s="19"/>
    </row>
    <row r="353" spans="1:7" ht="12.75" x14ac:dyDescent="0.2">
      <c r="A353" s="3">
        <v>20</v>
      </c>
      <c r="B353" s="4" t="s">
        <v>50</v>
      </c>
      <c r="C353" s="3" t="s">
        <v>162</v>
      </c>
      <c r="D353" s="3" t="s">
        <v>133</v>
      </c>
      <c r="E353" s="3">
        <v>18</v>
      </c>
      <c r="G353" s="19"/>
    </row>
    <row r="354" spans="1:7" ht="12.75" x14ac:dyDescent="0.2">
      <c r="A354" s="3">
        <v>20</v>
      </c>
      <c r="B354" s="4" t="s">
        <v>50</v>
      </c>
      <c r="C354" s="3" t="s">
        <v>162</v>
      </c>
      <c r="D354" s="3" t="s">
        <v>138</v>
      </c>
      <c r="E354" s="3">
        <v>4</v>
      </c>
      <c r="F354">
        <f>SUM(E350:E358)</f>
        <v>274</v>
      </c>
      <c r="G354" s="19"/>
    </row>
    <row r="355" spans="1:7" ht="12.75" x14ac:dyDescent="0.2">
      <c r="A355" s="3">
        <v>20</v>
      </c>
      <c r="B355" s="4" t="s">
        <v>50</v>
      </c>
      <c r="C355" s="3" t="s">
        <v>162</v>
      </c>
      <c r="D355" s="3" t="s">
        <v>148</v>
      </c>
      <c r="E355" s="3">
        <v>3</v>
      </c>
      <c r="G355" s="19"/>
    </row>
    <row r="356" spans="1:7" ht="12.75" x14ac:dyDescent="0.2">
      <c r="A356" s="3">
        <v>20</v>
      </c>
      <c r="B356" s="4" t="s">
        <v>50</v>
      </c>
      <c r="C356" s="3" t="s">
        <v>162</v>
      </c>
      <c r="D356" s="3" t="s">
        <v>149</v>
      </c>
      <c r="E356" s="3">
        <v>2</v>
      </c>
      <c r="G356" s="19"/>
    </row>
    <row r="357" spans="1:7" ht="12.75" x14ac:dyDescent="0.2">
      <c r="A357" s="3">
        <v>20</v>
      </c>
      <c r="B357" s="4" t="s">
        <v>50</v>
      </c>
      <c r="C357" s="3" t="s">
        <v>162</v>
      </c>
      <c r="D357" s="3" t="s">
        <v>135</v>
      </c>
      <c r="E357" s="3">
        <v>2</v>
      </c>
      <c r="G357" s="19"/>
    </row>
    <row r="358" spans="1:7" ht="12.75" x14ac:dyDescent="0.2">
      <c r="A358" s="3">
        <v>20</v>
      </c>
      <c r="B358" s="4" t="s">
        <v>50</v>
      </c>
      <c r="C358" s="3" t="s">
        <v>162</v>
      </c>
      <c r="D358" s="3" t="s">
        <v>139</v>
      </c>
      <c r="E358" s="3">
        <v>2</v>
      </c>
      <c r="G358" s="19"/>
    </row>
    <row r="359" spans="1:7" ht="12.75" x14ac:dyDescent="0.2">
      <c r="A359" s="3">
        <v>21</v>
      </c>
      <c r="B359" s="4" t="s">
        <v>51</v>
      </c>
      <c r="C359" s="3" t="s">
        <v>2</v>
      </c>
      <c r="D359" s="3" t="s">
        <v>136</v>
      </c>
      <c r="E359" s="3">
        <v>207</v>
      </c>
      <c r="G359" s="19"/>
    </row>
    <row r="360" spans="1:7" ht="12.75" x14ac:dyDescent="0.2">
      <c r="A360" s="3">
        <v>21</v>
      </c>
      <c r="B360" s="4" t="s">
        <v>51</v>
      </c>
      <c r="C360" s="3" t="s">
        <v>2</v>
      </c>
      <c r="D360" s="3" t="s">
        <v>128</v>
      </c>
      <c r="E360" s="3">
        <v>162</v>
      </c>
      <c r="F360">
        <f>SUM(E359:E363)</f>
        <v>528</v>
      </c>
      <c r="G360" s="19"/>
    </row>
    <row r="361" spans="1:7" ht="12.75" x14ac:dyDescent="0.2">
      <c r="A361" s="3">
        <v>21</v>
      </c>
      <c r="B361" s="4" t="s">
        <v>51</v>
      </c>
      <c r="C361" s="3" t="s">
        <v>2</v>
      </c>
      <c r="D361" s="3" t="s">
        <v>151</v>
      </c>
      <c r="E361" s="3">
        <v>150</v>
      </c>
      <c r="G361" s="19"/>
    </row>
    <row r="362" spans="1:7" ht="12.75" x14ac:dyDescent="0.2">
      <c r="A362" s="3">
        <v>21</v>
      </c>
      <c r="B362" s="4" t="s">
        <v>51</v>
      </c>
      <c r="C362" s="3" t="s">
        <v>2</v>
      </c>
      <c r="D362" s="3" t="s">
        <v>14</v>
      </c>
      <c r="E362" s="3">
        <v>8</v>
      </c>
      <c r="G362" s="19"/>
    </row>
    <row r="363" spans="1:7" ht="12.75" x14ac:dyDescent="0.2">
      <c r="A363" s="3">
        <v>21</v>
      </c>
      <c r="B363" s="4" t="s">
        <v>51</v>
      </c>
      <c r="C363" s="3" t="s">
        <v>2</v>
      </c>
      <c r="D363" s="3" t="s">
        <v>138</v>
      </c>
      <c r="E363" s="3">
        <v>1</v>
      </c>
      <c r="G363" s="19"/>
    </row>
    <row r="364" spans="1:7" ht="12.75" x14ac:dyDescent="0.2">
      <c r="A364" s="3">
        <v>21</v>
      </c>
      <c r="B364" s="4" t="s">
        <v>51</v>
      </c>
      <c r="C364" s="3" t="s">
        <v>161</v>
      </c>
      <c r="D364" s="3" t="s">
        <v>136</v>
      </c>
      <c r="E364" s="3">
        <v>241</v>
      </c>
      <c r="G364" s="19"/>
    </row>
    <row r="365" spans="1:7" ht="12.75" x14ac:dyDescent="0.2">
      <c r="A365" s="3">
        <v>21</v>
      </c>
      <c r="B365" s="4" t="s">
        <v>51</v>
      </c>
      <c r="C365" s="3" t="s">
        <v>161</v>
      </c>
      <c r="D365" s="3" t="s">
        <v>128</v>
      </c>
      <c r="E365" s="3">
        <v>167</v>
      </c>
      <c r="G365" s="19"/>
    </row>
    <row r="366" spans="1:7" ht="12.75" x14ac:dyDescent="0.2">
      <c r="A366" s="3">
        <v>21</v>
      </c>
      <c r="B366" s="4" t="s">
        <v>51</v>
      </c>
      <c r="C366" s="3" t="s">
        <v>161</v>
      </c>
      <c r="D366" s="3" t="s">
        <v>14</v>
      </c>
      <c r="E366" s="3">
        <v>82</v>
      </c>
      <c r="G366" s="19"/>
    </row>
    <row r="367" spans="1:7" ht="12.75" x14ac:dyDescent="0.2">
      <c r="A367" s="3">
        <v>21</v>
      </c>
      <c r="B367" s="4" t="s">
        <v>51</v>
      </c>
      <c r="C367" s="3" t="s">
        <v>161</v>
      </c>
      <c r="D367" s="3" t="s">
        <v>148</v>
      </c>
      <c r="E367" s="3">
        <v>16</v>
      </c>
      <c r="G367" s="19"/>
    </row>
    <row r="368" spans="1:7" ht="12.75" x14ac:dyDescent="0.2">
      <c r="A368" s="3">
        <v>21</v>
      </c>
      <c r="B368" s="4" t="s">
        <v>51</v>
      </c>
      <c r="C368" s="3" t="s">
        <v>161</v>
      </c>
      <c r="D368" s="3" t="s">
        <v>133</v>
      </c>
      <c r="E368" s="3">
        <v>11</v>
      </c>
      <c r="G368" s="19"/>
    </row>
    <row r="369" spans="1:7" ht="12.75" x14ac:dyDescent="0.2">
      <c r="A369" s="3">
        <v>21</v>
      </c>
      <c r="B369" s="4" t="s">
        <v>51</v>
      </c>
      <c r="C369" s="3" t="s">
        <v>161</v>
      </c>
      <c r="D369" s="3" t="s">
        <v>138</v>
      </c>
      <c r="E369" s="3">
        <v>4</v>
      </c>
      <c r="F369">
        <f>SUM(E364:E373)</f>
        <v>528</v>
      </c>
      <c r="G369" s="19"/>
    </row>
    <row r="370" spans="1:7" ht="12.75" x14ac:dyDescent="0.2">
      <c r="A370" s="3">
        <v>21</v>
      </c>
      <c r="B370" s="4" t="s">
        <v>51</v>
      </c>
      <c r="C370" s="3" t="s">
        <v>161</v>
      </c>
      <c r="D370" s="3" t="s">
        <v>149</v>
      </c>
      <c r="E370" s="3">
        <v>3</v>
      </c>
      <c r="G370" s="19"/>
    </row>
    <row r="371" spans="1:7" ht="12.75" x14ac:dyDescent="0.2">
      <c r="A371" s="3">
        <v>21</v>
      </c>
      <c r="B371" s="4" t="s">
        <v>51</v>
      </c>
      <c r="C371" s="3" t="s">
        <v>161</v>
      </c>
      <c r="D371" s="3" t="s">
        <v>145</v>
      </c>
      <c r="E371" s="3">
        <v>2</v>
      </c>
      <c r="G371" s="19"/>
    </row>
    <row r="372" spans="1:7" ht="12.75" x14ac:dyDescent="0.2">
      <c r="A372" s="3">
        <v>21</v>
      </c>
      <c r="B372" s="4" t="s">
        <v>51</v>
      </c>
      <c r="C372" s="3" t="s">
        <v>161</v>
      </c>
      <c r="D372" s="3" t="s">
        <v>135</v>
      </c>
      <c r="E372" s="3">
        <v>1</v>
      </c>
      <c r="G372" s="19"/>
    </row>
    <row r="373" spans="1:7" ht="12.75" x14ac:dyDescent="0.2">
      <c r="A373" s="3">
        <v>21</v>
      </c>
      <c r="B373" s="4" t="s">
        <v>51</v>
      </c>
      <c r="C373" s="3" t="s">
        <v>161</v>
      </c>
      <c r="D373" s="3" t="s">
        <v>139</v>
      </c>
      <c r="E373" s="3">
        <v>1</v>
      </c>
      <c r="G373" s="19"/>
    </row>
    <row r="374" spans="1:7" ht="12.75" x14ac:dyDescent="0.2">
      <c r="A374" s="3">
        <v>21</v>
      </c>
      <c r="B374" s="4" t="s">
        <v>51</v>
      </c>
      <c r="C374" s="3" t="s">
        <v>162</v>
      </c>
      <c r="D374" s="3" t="s">
        <v>136</v>
      </c>
      <c r="E374" s="3">
        <v>251</v>
      </c>
      <c r="G374" s="19"/>
    </row>
    <row r="375" spans="1:7" ht="12.75" x14ac:dyDescent="0.2">
      <c r="A375" s="3">
        <v>21</v>
      </c>
      <c r="B375" s="4" t="s">
        <v>51</v>
      </c>
      <c r="C375" s="3" t="s">
        <v>162</v>
      </c>
      <c r="D375" s="3" t="s">
        <v>128</v>
      </c>
      <c r="E375" s="3">
        <v>175</v>
      </c>
      <c r="G375" s="19"/>
    </row>
    <row r="376" spans="1:7" ht="12.75" x14ac:dyDescent="0.2">
      <c r="A376" s="3">
        <v>21</v>
      </c>
      <c r="B376" s="4" t="s">
        <v>51</v>
      </c>
      <c r="C376" s="3" t="s">
        <v>162</v>
      </c>
      <c r="D376" s="3" t="s">
        <v>14</v>
      </c>
      <c r="E376" s="3">
        <v>61</v>
      </c>
      <c r="G376" s="19"/>
    </row>
    <row r="377" spans="1:7" ht="12.75" x14ac:dyDescent="0.2">
      <c r="A377" s="3">
        <v>21</v>
      </c>
      <c r="B377" s="4" t="s">
        <v>51</v>
      </c>
      <c r="C377" s="3" t="s">
        <v>162</v>
      </c>
      <c r="D377" s="3" t="s">
        <v>148</v>
      </c>
      <c r="E377" s="3">
        <v>15</v>
      </c>
      <c r="G377" s="19"/>
    </row>
    <row r="378" spans="1:7" ht="12.75" x14ac:dyDescent="0.2">
      <c r="A378" s="3">
        <v>21</v>
      </c>
      <c r="B378" s="4" t="s">
        <v>51</v>
      </c>
      <c r="C378" s="3" t="s">
        <v>162</v>
      </c>
      <c r="D378" s="3" t="s">
        <v>133</v>
      </c>
      <c r="E378" s="3">
        <v>13</v>
      </c>
      <c r="G378" s="19"/>
    </row>
    <row r="379" spans="1:7" ht="12.75" x14ac:dyDescent="0.2">
      <c r="A379" s="3">
        <v>21</v>
      </c>
      <c r="B379" s="4" t="s">
        <v>51</v>
      </c>
      <c r="C379" s="3" t="s">
        <v>162</v>
      </c>
      <c r="D379" s="3" t="s">
        <v>149</v>
      </c>
      <c r="E379" s="3">
        <v>3</v>
      </c>
      <c r="F379">
        <f>SUM(E374:E383)</f>
        <v>528</v>
      </c>
      <c r="G379" s="19"/>
    </row>
    <row r="380" spans="1:7" ht="12.75" x14ac:dyDescent="0.2">
      <c r="A380" s="3">
        <v>21</v>
      </c>
      <c r="B380" s="4" t="s">
        <v>51</v>
      </c>
      <c r="C380" s="3" t="s">
        <v>162</v>
      </c>
      <c r="D380" s="3" t="s">
        <v>145</v>
      </c>
      <c r="E380" s="3">
        <v>3</v>
      </c>
      <c r="G380" s="19"/>
    </row>
    <row r="381" spans="1:7" ht="12.75" x14ac:dyDescent="0.2">
      <c r="A381" s="3">
        <v>21</v>
      </c>
      <c r="B381" s="4" t="s">
        <v>51</v>
      </c>
      <c r="C381" s="3" t="s">
        <v>162</v>
      </c>
      <c r="D381" s="3" t="s">
        <v>139</v>
      </c>
      <c r="E381" s="3">
        <v>3</v>
      </c>
      <c r="G381" s="19"/>
    </row>
    <row r="382" spans="1:7" ht="12.75" x14ac:dyDescent="0.2">
      <c r="A382" s="3">
        <v>21</v>
      </c>
      <c r="B382" s="4" t="s">
        <v>51</v>
      </c>
      <c r="C382" s="3" t="s">
        <v>162</v>
      </c>
      <c r="D382" s="3" t="s">
        <v>138</v>
      </c>
      <c r="E382" s="3">
        <v>3</v>
      </c>
      <c r="G382" s="19"/>
    </row>
    <row r="383" spans="1:7" ht="12.75" x14ac:dyDescent="0.2">
      <c r="A383" s="3">
        <v>21</v>
      </c>
      <c r="B383" s="4" t="s">
        <v>51</v>
      </c>
      <c r="C383" s="3" t="s">
        <v>162</v>
      </c>
      <c r="D383" s="3" t="s">
        <v>135</v>
      </c>
      <c r="E383" s="3">
        <v>1</v>
      </c>
      <c r="G383" s="19"/>
    </row>
    <row r="384" spans="1:7" ht="12.75" x14ac:dyDescent="0.2">
      <c r="A384" s="3">
        <v>22</v>
      </c>
      <c r="B384" s="4" t="s">
        <v>52</v>
      </c>
      <c r="C384" s="3" t="s">
        <v>2</v>
      </c>
      <c r="D384" s="3" t="s">
        <v>3</v>
      </c>
      <c r="E384" s="3">
        <v>3104</v>
      </c>
      <c r="G384" s="19"/>
    </row>
    <row r="385" spans="1:7" ht="12.75" x14ac:dyDescent="0.2">
      <c r="A385" s="3">
        <v>22</v>
      </c>
      <c r="B385" s="4" t="s">
        <v>52</v>
      </c>
      <c r="C385" s="3" t="s">
        <v>2</v>
      </c>
      <c r="D385" s="3" t="s">
        <v>140</v>
      </c>
      <c r="E385" s="3">
        <v>2491</v>
      </c>
      <c r="G385" s="19"/>
    </row>
    <row r="386" spans="1:7" ht="12.75" x14ac:dyDescent="0.2">
      <c r="A386" s="3">
        <v>22</v>
      </c>
      <c r="B386" s="4" t="s">
        <v>52</v>
      </c>
      <c r="C386" s="3" t="s">
        <v>2</v>
      </c>
      <c r="D386" s="3" t="s">
        <v>14</v>
      </c>
      <c r="E386" s="3">
        <v>222</v>
      </c>
      <c r="G386" s="19"/>
    </row>
    <row r="387" spans="1:7" ht="12.75" x14ac:dyDescent="0.2">
      <c r="A387" s="3">
        <v>22</v>
      </c>
      <c r="B387" s="4" t="s">
        <v>52</v>
      </c>
      <c r="C387" s="3" t="s">
        <v>2</v>
      </c>
      <c r="D387" s="3" t="s">
        <v>138</v>
      </c>
      <c r="E387" s="3">
        <v>26</v>
      </c>
      <c r="G387" s="19"/>
    </row>
    <row r="388" spans="1:7" ht="12.75" x14ac:dyDescent="0.2">
      <c r="A388" s="3">
        <v>22</v>
      </c>
      <c r="B388" s="4" t="s">
        <v>52</v>
      </c>
      <c r="C388" s="3" t="s">
        <v>162</v>
      </c>
      <c r="D388" s="3" t="s">
        <v>3</v>
      </c>
      <c r="E388" s="3">
        <v>3109</v>
      </c>
      <c r="G388" s="19"/>
    </row>
    <row r="389" spans="1:7" ht="12.75" x14ac:dyDescent="0.2">
      <c r="A389" s="3">
        <v>22</v>
      </c>
      <c r="B389" s="4" t="s">
        <v>52</v>
      </c>
      <c r="C389" s="3" t="s">
        <v>162</v>
      </c>
      <c r="D389" s="3" t="s">
        <v>128</v>
      </c>
      <c r="E389" s="3">
        <v>1590</v>
      </c>
      <c r="G389" s="19"/>
    </row>
    <row r="390" spans="1:7" ht="12.75" x14ac:dyDescent="0.2">
      <c r="A390" s="3">
        <v>22</v>
      </c>
      <c r="B390" s="4" t="s">
        <v>52</v>
      </c>
      <c r="C390" s="3" t="s">
        <v>162</v>
      </c>
      <c r="D390" s="3" t="s">
        <v>14</v>
      </c>
      <c r="E390" s="3">
        <v>678</v>
      </c>
      <c r="G390" s="19"/>
    </row>
    <row r="391" spans="1:7" ht="12.75" x14ac:dyDescent="0.2">
      <c r="A391" s="3">
        <v>22</v>
      </c>
      <c r="B391" s="4" t="s">
        <v>52</v>
      </c>
      <c r="C391" s="3" t="s">
        <v>162</v>
      </c>
      <c r="D391" s="3" t="s">
        <v>149</v>
      </c>
      <c r="E391" s="3">
        <v>218</v>
      </c>
      <c r="G391" s="19"/>
    </row>
    <row r="392" spans="1:7" ht="12.75" x14ac:dyDescent="0.2">
      <c r="A392" s="3">
        <v>22</v>
      </c>
      <c r="B392" s="4" t="s">
        <v>52</v>
      </c>
      <c r="C392" s="3" t="s">
        <v>162</v>
      </c>
      <c r="D392" s="3" t="s">
        <v>133</v>
      </c>
      <c r="E392" s="3">
        <v>116</v>
      </c>
      <c r="G392" s="19"/>
    </row>
    <row r="393" spans="1:7" ht="12.75" x14ac:dyDescent="0.2">
      <c r="A393" s="3">
        <v>22</v>
      </c>
      <c r="B393" s="4" t="s">
        <v>52</v>
      </c>
      <c r="C393" s="3" t="s">
        <v>162</v>
      </c>
      <c r="D393" s="3" t="s">
        <v>138</v>
      </c>
      <c r="E393" s="3">
        <v>65</v>
      </c>
      <c r="F393">
        <f>SUM(E388:E397)</f>
        <v>5843</v>
      </c>
      <c r="G393" s="19"/>
    </row>
    <row r="394" spans="1:7" ht="12.75" x14ac:dyDescent="0.2">
      <c r="A394" s="3">
        <v>22</v>
      </c>
      <c r="B394" s="4" t="s">
        <v>52</v>
      </c>
      <c r="C394" s="3" t="s">
        <v>162</v>
      </c>
      <c r="D394" s="3" t="s">
        <v>139</v>
      </c>
      <c r="E394" s="3">
        <v>34</v>
      </c>
      <c r="G394" s="19"/>
    </row>
    <row r="395" spans="1:7" ht="12.75" x14ac:dyDescent="0.2">
      <c r="A395" s="3">
        <v>22</v>
      </c>
      <c r="B395" s="4" t="s">
        <v>52</v>
      </c>
      <c r="C395" s="3" t="s">
        <v>162</v>
      </c>
      <c r="D395" s="3" t="s">
        <v>148</v>
      </c>
      <c r="E395" s="3">
        <v>14</v>
      </c>
      <c r="G395" s="19"/>
    </row>
    <row r="396" spans="1:7" ht="12.75" x14ac:dyDescent="0.2">
      <c r="A396" s="3">
        <v>22</v>
      </c>
      <c r="B396" s="4" t="s">
        <v>52</v>
      </c>
      <c r="C396" s="3" t="s">
        <v>162</v>
      </c>
      <c r="D396" s="3" t="s">
        <v>135</v>
      </c>
      <c r="E396" s="3">
        <v>11</v>
      </c>
      <c r="G396" s="19"/>
    </row>
    <row r="397" spans="1:7" ht="12.75" x14ac:dyDescent="0.2">
      <c r="A397" s="3">
        <v>22</v>
      </c>
      <c r="B397" s="4" t="s">
        <v>52</v>
      </c>
      <c r="C397" s="3" t="s">
        <v>162</v>
      </c>
      <c r="D397" s="3" t="s">
        <v>145</v>
      </c>
      <c r="E397" s="3">
        <v>8</v>
      </c>
      <c r="G397" s="19"/>
    </row>
    <row r="398" spans="1:7" ht="12.75" x14ac:dyDescent="0.2">
      <c r="A398" s="3">
        <v>22</v>
      </c>
      <c r="B398" s="4" t="s">
        <v>52</v>
      </c>
      <c r="C398" s="3" t="s">
        <v>161</v>
      </c>
      <c r="D398" s="3" t="s">
        <v>3</v>
      </c>
      <c r="E398" s="3">
        <v>2952</v>
      </c>
      <c r="G398" s="19"/>
    </row>
    <row r="399" spans="1:7" ht="12.75" x14ac:dyDescent="0.2">
      <c r="A399" s="3">
        <v>22</v>
      </c>
      <c r="B399" s="4" t="s">
        <v>52</v>
      </c>
      <c r="C399" s="3" t="s">
        <v>161</v>
      </c>
      <c r="D399" s="3" t="s">
        <v>128</v>
      </c>
      <c r="E399" s="3">
        <v>1709</v>
      </c>
      <c r="G399" s="19"/>
    </row>
    <row r="400" spans="1:7" ht="12.75" x14ac:dyDescent="0.2">
      <c r="A400" s="3">
        <v>22</v>
      </c>
      <c r="B400" s="4" t="s">
        <v>52</v>
      </c>
      <c r="C400" s="3" t="s">
        <v>161</v>
      </c>
      <c r="D400" s="3" t="s">
        <v>14</v>
      </c>
      <c r="E400" s="3">
        <v>750</v>
      </c>
      <c r="G400" s="19"/>
    </row>
    <row r="401" spans="1:7" ht="12.75" x14ac:dyDescent="0.2">
      <c r="A401" s="3">
        <v>22</v>
      </c>
      <c r="B401" s="4" t="s">
        <v>52</v>
      </c>
      <c r="C401" s="3" t="s">
        <v>161</v>
      </c>
      <c r="D401" s="3" t="s">
        <v>149</v>
      </c>
      <c r="E401" s="3">
        <v>202</v>
      </c>
      <c r="G401" s="19"/>
    </row>
    <row r="402" spans="1:7" ht="12.75" x14ac:dyDescent="0.2">
      <c r="A402" s="3">
        <v>22</v>
      </c>
      <c r="B402" s="4" t="s">
        <v>52</v>
      </c>
      <c r="C402" s="3" t="s">
        <v>161</v>
      </c>
      <c r="D402" s="3" t="s">
        <v>133</v>
      </c>
      <c r="E402" s="3">
        <v>99</v>
      </c>
      <c r="G402" s="19"/>
    </row>
    <row r="403" spans="1:7" ht="12.75" x14ac:dyDescent="0.2">
      <c r="A403" s="3">
        <v>22</v>
      </c>
      <c r="B403" s="4" t="s">
        <v>52</v>
      </c>
      <c r="C403" s="3" t="s">
        <v>161</v>
      </c>
      <c r="D403" s="3" t="s">
        <v>138</v>
      </c>
      <c r="E403" s="3">
        <v>64</v>
      </c>
      <c r="F403">
        <f>SUM(E398:E407)</f>
        <v>5843</v>
      </c>
      <c r="G403" s="19"/>
    </row>
    <row r="404" spans="1:7" ht="12.75" x14ac:dyDescent="0.2">
      <c r="A404" s="3">
        <v>22</v>
      </c>
      <c r="B404" s="4" t="s">
        <v>52</v>
      </c>
      <c r="C404" s="3" t="s">
        <v>161</v>
      </c>
      <c r="D404" s="3" t="s">
        <v>139</v>
      </c>
      <c r="E404" s="3">
        <v>29</v>
      </c>
      <c r="G404" s="19"/>
    </row>
    <row r="405" spans="1:7" ht="12.75" x14ac:dyDescent="0.2">
      <c r="A405" s="3">
        <v>22</v>
      </c>
      <c r="B405" s="4" t="s">
        <v>52</v>
      </c>
      <c r="C405" s="3" t="s">
        <v>161</v>
      </c>
      <c r="D405" s="3" t="s">
        <v>148</v>
      </c>
      <c r="E405" s="3">
        <v>21</v>
      </c>
      <c r="G405" s="19"/>
    </row>
    <row r="406" spans="1:7" ht="12.75" x14ac:dyDescent="0.2">
      <c r="A406" s="3">
        <v>22</v>
      </c>
      <c r="B406" s="4" t="s">
        <v>52</v>
      </c>
      <c r="C406" s="3" t="s">
        <v>161</v>
      </c>
      <c r="D406" s="3" t="s">
        <v>135</v>
      </c>
      <c r="E406" s="3">
        <v>10</v>
      </c>
      <c r="G406" s="19"/>
    </row>
    <row r="407" spans="1:7" ht="12.75" x14ac:dyDescent="0.2">
      <c r="A407" s="3">
        <v>22</v>
      </c>
      <c r="B407" s="4" t="s">
        <v>52</v>
      </c>
      <c r="C407" s="3" t="s">
        <v>161</v>
      </c>
      <c r="D407" s="3" t="s">
        <v>145</v>
      </c>
      <c r="E407" s="3">
        <v>7</v>
      </c>
      <c r="G407" s="19"/>
    </row>
    <row r="408" spans="1:7" ht="12.75" x14ac:dyDescent="0.2">
      <c r="A408" s="3">
        <v>23</v>
      </c>
      <c r="B408" s="4" t="s">
        <v>53</v>
      </c>
      <c r="C408" s="3" t="s">
        <v>2</v>
      </c>
      <c r="D408" s="3" t="s">
        <v>136</v>
      </c>
      <c r="E408" s="3">
        <v>275</v>
      </c>
      <c r="G408" s="19"/>
    </row>
    <row r="409" spans="1:7" ht="12.75" x14ac:dyDescent="0.2">
      <c r="A409" s="3">
        <v>23</v>
      </c>
      <c r="B409" s="4" t="s">
        <v>53</v>
      </c>
      <c r="C409" s="3" t="s">
        <v>2</v>
      </c>
      <c r="D409" s="3" t="s">
        <v>128</v>
      </c>
      <c r="E409" s="3">
        <v>244</v>
      </c>
      <c r="F409">
        <f>SUM(E408:E410)</f>
        <v>548</v>
      </c>
      <c r="G409" s="19"/>
    </row>
    <row r="410" spans="1:7" ht="12.75" x14ac:dyDescent="0.2">
      <c r="A410" s="3">
        <v>23</v>
      </c>
      <c r="B410" s="4" t="s">
        <v>53</v>
      </c>
      <c r="C410" s="3" t="s">
        <v>2</v>
      </c>
      <c r="D410" s="3" t="s">
        <v>14</v>
      </c>
      <c r="E410" s="3">
        <v>29</v>
      </c>
      <c r="G410" s="19"/>
    </row>
    <row r="411" spans="1:7" ht="12.75" x14ac:dyDescent="0.2">
      <c r="A411" s="3">
        <v>23</v>
      </c>
      <c r="B411" s="4" t="s">
        <v>53</v>
      </c>
      <c r="C411" s="3" t="s">
        <v>161</v>
      </c>
      <c r="D411" s="3" t="s">
        <v>136</v>
      </c>
      <c r="E411" s="3">
        <v>270</v>
      </c>
      <c r="G411" s="19"/>
    </row>
    <row r="412" spans="1:7" ht="12.75" x14ac:dyDescent="0.2">
      <c r="A412" s="3">
        <v>23</v>
      </c>
      <c r="B412" s="4" t="s">
        <v>53</v>
      </c>
      <c r="C412" s="3" t="s">
        <v>161</v>
      </c>
      <c r="D412" s="3" t="s">
        <v>128</v>
      </c>
      <c r="E412" s="3">
        <v>218</v>
      </c>
      <c r="G412" s="19"/>
    </row>
    <row r="413" spans="1:7" ht="12.75" x14ac:dyDescent="0.2">
      <c r="A413" s="3">
        <v>23</v>
      </c>
      <c r="B413" s="4" t="s">
        <v>53</v>
      </c>
      <c r="C413" s="3" t="s">
        <v>161</v>
      </c>
      <c r="D413" s="3" t="s">
        <v>14</v>
      </c>
      <c r="E413" s="3">
        <v>33</v>
      </c>
      <c r="G413" s="19"/>
    </row>
    <row r="414" spans="1:7" ht="12.75" x14ac:dyDescent="0.2">
      <c r="A414" s="3">
        <v>23</v>
      </c>
      <c r="B414" s="4" t="s">
        <v>53</v>
      </c>
      <c r="C414" s="3" t="s">
        <v>161</v>
      </c>
      <c r="D414" s="3" t="s">
        <v>133</v>
      </c>
      <c r="E414" s="3">
        <v>8</v>
      </c>
      <c r="G414" s="19"/>
    </row>
    <row r="415" spans="1:7" ht="12.75" x14ac:dyDescent="0.2">
      <c r="A415" s="3">
        <v>23</v>
      </c>
      <c r="B415" s="4" t="s">
        <v>53</v>
      </c>
      <c r="C415" s="3" t="s">
        <v>161</v>
      </c>
      <c r="D415" s="3" t="s">
        <v>149</v>
      </c>
      <c r="E415" s="3">
        <v>6</v>
      </c>
      <c r="F415">
        <f>SUM(E411:E419)</f>
        <v>548</v>
      </c>
      <c r="G415" s="19"/>
    </row>
    <row r="416" spans="1:7" ht="12.75" x14ac:dyDescent="0.2">
      <c r="A416" s="3">
        <v>23</v>
      </c>
      <c r="B416" s="4" t="s">
        <v>53</v>
      </c>
      <c r="C416" s="3" t="s">
        <v>161</v>
      </c>
      <c r="D416" s="3" t="s">
        <v>148</v>
      </c>
      <c r="E416" s="3">
        <v>4</v>
      </c>
      <c r="G416" s="19"/>
    </row>
    <row r="417" spans="1:7" ht="12.75" x14ac:dyDescent="0.2">
      <c r="A417" s="3">
        <v>23</v>
      </c>
      <c r="B417" s="4" t="s">
        <v>53</v>
      </c>
      <c r="C417" s="3" t="s">
        <v>161</v>
      </c>
      <c r="D417" s="3" t="s">
        <v>135</v>
      </c>
      <c r="E417" s="3">
        <v>4</v>
      </c>
      <c r="G417" s="19"/>
    </row>
    <row r="418" spans="1:7" ht="12.75" x14ac:dyDescent="0.2">
      <c r="A418" s="3">
        <v>23</v>
      </c>
      <c r="B418" s="4" t="s">
        <v>53</v>
      </c>
      <c r="C418" s="3" t="s">
        <v>161</v>
      </c>
      <c r="D418" s="3" t="s">
        <v>145</v>
      </c>
      <c r="E418" s="3">
        <v>3</v>
      </c>
      <c r="G418" s="19"/>
    </row>
    <row r="419" spans="1:7" ht="12.75" x14ac:dyDescent="0.2">
      <c r="A419" s="3">
        <v>23</v>
      </c>
      <c r="B419" s="4" t="s">
        <v>53</v>
      </c>
      <c r="C419" s="3" t="s">
        <v>161</v>
      </c>
      <c r="D419" s="3" t="s">
        <v>139</v>
      </c>
      <c r="E419" s="3">
        <v>2</v>
      </c>
      <c r="G419" s="19"/>
    </row>
    <row r="420" spans="1:7" ht="12.75" x14ac:dyDescent="0.2">
      <c r="A420" s="3">
        <v>23</v>
      </c>
      <c r="B420" s="4" t="s">
        <v>53</v>
      </c>
      <c r="C420" s="3" t="s">
        <v>162</v>
      </c>
      <c r="D420" s="3" t="s">
        <v>136</v>
      </c>
      <c r="E420" s="3">
        <v>278</v>
      </c>
      <c r="G420" s="19"/>
    </row>
    <row r="421" spans="1:7" ht="12.75" x14ac:dyDescent="0.2">
      <c r="A421" s="3">
        <v>23</v>
      </c>
      <c r="B421" s="4" t="s">
        <v>53</v>
      </c>
      <c r="C421" s="3" t="s">
        <v>162</v>
      </c>
      <c r="D421" s="3" t="s">
        <v>128</v>
      </c>
      <c r="E421" s="3">
        <v>217</v>
      </c>
      <c r="G421" s="19"/>
    </row>
    <row r="422" spans="1:7" ht="12.75" x14ac:dyDescent="0.2">
      <c r="A422" s="3">
        <v>23</v>
      </c>
      <c r="B422" s="4" t="s">
        <v>53</v>
      </c>
      <c r="C422" s="3" t="s">
        <v>162</v>
      </c>
      <c r="D422" s="3" t="s">
        <v>14</v>
      </c>
      <c r="E422" s="3">
        <v>26</v>
      </c>
      <c r="G422" s="19"/>
    </row>
    <row r="423" spans="1:7" ht="12.75" x14ac:dyDescent="0.2">
      <c r="A423" s="3">
        <v>23</v>
      </c>
      <c r="B423" s="4" t="s">
        <v>53</v>
      </c>
      <c r="C423" s="3" t="s">
        <v>162</v>
      </c>
      <c r="D423" s="3" t="s">
        <v>133</v>
      </c>
      <c r="E423" s="3">
        <v>8</v>
      </c>
      <c r="G423" s="19"/>
    </row>
    <row r="424" spans="1:7" ht="12.75" x14ac:dyDescent="0.2">
      <c r="A424" s="3">
        <v>23</v>
      </c>
      <c r="B424" s="4" t="s">
        <v>53</v>
      </c>
      <c r="C424" s="3" t="s">
        <v>162</v>
      </c>
      <c r="D424" s="3" t="s">
        <v>149</v>
      </c>
      <c r="E424" s="3">
        <v>6</v>
      </c>
      <c r="F424">
        <f>SUM(E420:E428)</f>
        <v>548</v>
      </c>
      <c r="G424" s="19"/>
    </row>
    <row r="425" spans="1:7" ht="12.75" x14ac:dyDescent="0.2">
      <c r="A425" s="3">
        <v>23</v>
      </c>
      <c r="B425" s="4" t="s">
        <v>53</v>
      </c>
      <c r="C425" s="3" t="s">
        <v>162</v>
      </c>
      <c r="D425" s="3" t="s">
        <v>148</v>
      </c>
      <c r="E425" s="3">
        <v>4</v>
      </c>
      <c r="G425" s="19"/>
    </row>
    <row r="426" spans="1:7" ht="12.75" x14ac:dyDescent="0.2">
      <c r="A426" s="3">
        <v>23</v>
      </c>
      <c r="B426" s="4" t="s">
        <v>53</v>
      </c>
      <c r="C426" s="3" t="s">
        <v>162</v>
      </c>
      <c r="D426" s="3" t="s">
        <v>135</v>
      </c>
      <c r="E426" s="3">
        <v>4</v>
      </c>
      <c r="G426" s="19"/>
    </row>
    <row r="427" spans="1:7" ht="12.75" x14ac:dyDescent="0.2">
      <c r="A427" s="3">
        <v>23</v>
      </c>
      <c r="B427" s="4" t="s">
        <v>53</v>
      </c>
      <c r="C427" s="3" t="s">
        <v>162</v>
      </c>
      <c r="D427" s="3" t="s">
        <v>145</v>
      </c>
      <c r="E427" s="3">
        <v>3</v>
      </c>
      <c r="G427" s="19"/>
    </row>
    <row r="428" spans="1:7" ht="12.75" x14ac:dyDescent="0.2">
      <c r="A428" s="3">
        <v>23</v>
      </c>
      <c r="B428" s="4" t="s">
        <v>53</v>
      </c>
      <c r="C428" s="3" t="s">
        <v>162</v>
      </c>
      <c r="D428" s="3" t="s">
        <v>139</v>
      </c>
      <c r="E428" s="3">
        <v>2</v>
      </c>
      <c r="G428" s="19"/>
    </row>
    <row r="429" spans="1:7" ht="12.75" x14ac:dyDescent="0.2">
      <c r="A429" s="3">
        <v>24</v>
      </c>
      <c r="B429" s="4" t="s">
        <v>54</v>
      </c>
      <c r="C429" s="3" t="s">
        <v>2</v>
      </c>
      <c r="D429" s="3" t="s">
        <v>136</v>
      </c>
      <c r="E429" s="3">
        <v>196</v>
      </c>
      <c r="G429" s="19"/>
    </row>
    <row r="430" spans="1:7" ht="12.75" x14ac:dyDescent="0.2">
      <c r="A430" s="3">
        <v>24</v>
      </c>
      <c r="B430" s="4" t="s">
        <v>54</v>
      </c>
      <c r="C430" s="3" t="s">
        <v>2</v>
      </c>
      <c r="D430" s="3" t="s">
        <v>14</v>
      </c>
      <c r="E430" s="3">
        <v>132</v>
      </c>
      <c r="F430">
        <f>SUM(E429:E430)</f>
        <v>328</v>
      </c>
      <c r="G430" s="19"/>
    </row>
    <row r="431" spans="1:7" ht="12.75" x14ac:dyDescent="0.2">
      <c r="A431" s="3">
        <v>24</v>
      </c>
      <c r="B431" s="4" t="s">
        <v>54</v>
      </c>
      <c r="C431" s="3" t="s">
        <v>161</v>
      </c>
      <c r="D431" s="3" t="s">
        <v>136</v>
      </c>
      <c r="E431" s="3">
        <v>195</v>
      </c>
      <c r="G431" s="19"/>
    </row>
    <row r="432" spans="1:7" ht="12.75" x14ac:dyDescent="0.2">
      <c r="A432" s="3">
        <v>24</v>
      </c>
      <c r="B432" s="4" t="s">
        <v>54</v>
      </c>
      <c r="C432" s="3" t="s">
        <v>161</v>
      </c>
      <c r="D432" s="3" t="s">
        <v>128</v>
      </c>
      <c r="E432" s="3">
        <v>84</v>
      </c>
      <c r="G432" s="19"/>
    </row>
    <row r="433" spans="1:7" ht="12.75" x14ac:dyDescent="0.2">
      <c r="A433" s="3">
        <v>24</v>
      </c>
      <c r="B433" s="4" t="s">
        <v>54</v>
      </c>
      <c r="C433" s="3" t="s">
        <v>161</v>
      </c>
      <c r="D433" s="3" t="s">
        <v>133</v>
      </c>
      <c r="E433" s="3">
        <v>10</v>
      </c>
      <c r="G433" s="19"/>
    </row>
    <row r="434" spans="1:7" ht="12.75" x14ac:dyDescent="0.2">
      <c r="A434" s="3">
        <v>24</v>
      </c>
      <c r="B434" s="4" t="s">
        <v>54</v>
      </c>
      <c r="C434" s="3" t="s">
        <v>161</v>
      </c>
      <c r="D434" s="3" t="s">
        <v>148</v>
      </c>
      <c r="E434" s="3">
        <v>9</v>
      </c>
      <c r="G434" s="19"/>
    </row>
    <row r="435" spans="1:7" ht="12.75" x14ac:dyDescent="0.2">
      <c r="A435" s="3">
        <v>24</v>
      </c>
      <c r="B435" s="4" t="s">
        <v>54</v>
      </c>
      <c r="C435" s="3" t="s">
        <v>161</v>
      </c>
      <c r="D435" s="3" t="s">
        <v>14</v>
      </c>
      <c r="E435" s="3">
        <v>9</v>
      </c>
      <c r="F435">
        <f>SUM(E431:E439)</f>
        <v>328</v>
      </c>
      <c r="G435" s="19"/>
    </row>
    <row r="436" spans="1:7" ht="12.75" x14ac:dyDescent="0.2">
      <c r="A436" s="3">
        <v>24</v>
      </c>
      <c r="B436" s="4" t="s">
        <v>54</v>
      </c>
      <c r="C436" s="3" t="s">
        <v>161</v>
      </c>
      <c r="D436" s="3" t="s">
        <v>149</v>
      </c>
      <c r="E436" s="3">
        <v>8</v>
      </c>
      <c r="G436" s="19"/>
    </row>
    <row r="437" spans="1:7" ht="12.75" x14ac:dyDescent="0.2">
      <c r="A437" s="3">
        <v>24</v>
      </c>
      <c r="B437" s="4" t="s">
        <v>54</v>
      </c>
      <c r="C437" s="3" t="s">
        <v>161</v>
      </c>
      <c r="D437" s="3" t="s">
        <v>135</v>
      </c>
      <c r="E437" s="3">
        <v>6</v>
      </c>
      <c r="G437" s="19"/>
    </row>
    <row r="438" spans="1:7" ht="12.75" x14ac:dyDescent="0.2">
      <c r="A438" s="3">
        <v>24</v>
      </c>
      <c r="B438" s="4" t="s">
        <v>54</v>
      </c>
      <c r="C438" s="3" t="s">
        <v>161</v>
      </c>
      <c r="D438" s="3" t="s">
        <v>145</v>
      </c>
      <c r="E438" s="3">
        <v>4</v>
      </c>
      <c r="G438" s="19"/>
    </row>
    <row r="439" spans="1:7" ht="12.75" x14ac:dyDescent="0.2">
      <c r="A439" s="3">
        <v>24</v>
      </c>
      <c r="B439" s="4" t="s">
        <v>54</v>
      </c>
      <c r="C439" s="3" t="s">
        <v>161</v>
      </c>
      <c r="D439" s="3" t="s">
        <v>139</v>
      </c>
      <c r="E439" s="3">
        <v>3</v>
      </c>
      <c r="G439" s="19"/>
    </row>
    <row r="440" spans="1:7" ht="12.75" x14ac:dyDescent="0.2">
      <c r="A440" s="3">
        <v>24</v>
      </c>
      <c r="B440" s="4" t="s">
        <v>54</v>
      </c>
      <c r="C440" s="3" t="s">
        <v>162</v>
      </c>
      <c r="D440" s="3" t="s">
        <v>136</v>
      </c>
      <c r="E440" s="3">
        <v>196</v>
      </c>
      <c r="G440" s="19"/>
    </row>
    <row r="441" spans="1:7" ht="12.75" x14ac:dyDescent="0.2">
      <c r="A441" s="3">
        <v>24</v>
      </c>
      <c r="B441" s="4" t="s">
        <v>54</v>
      </c>
      <c r="C441" s="3" t="s">
        <v>162</v>
      </c>
      <c r="D441" s="3" t="s">
        <v>128</v>
      </c>
      <c r="E441" s="3">
        <v>83</v>
      </c>
      <c r="G441" s="19"/>
    </row>
    <row r="442" spans="1:7" ht="12.75" x14ac:dyDescent="0.2">
      <c r="A442" s="3">
        <v>24</v>
      </c>
      <c r="B442" s="4" t="s">
        <v>54</v>
      </c>
      <c r="C442" s="3" t="s">
        <v>162</v>
      </c>
      <c r="D442" s="3" t="s">
        <v>133</v>
      </c>
      <c r="E442" s="3">
        <v>11</v>
      </c>
      <c r="G442" s="19"/>
    </row>
    <row r="443" spans="1:7" ht="12.75" x14ac:dyDescent="0.2">
      <c r="A443" s="3">
        <v>24</v>
      </c>
      <c r="B443" s="4" t="s">
        <v>54</v>
      </c>
      <c r="C443" s="3" t="s">
        <v>162</v>
      </c>
      <c r="D443" s="3" t="s">
        <v>148</v>
      </c>
      <c r="E443" s="3">
        <v>9</v>
      </c>
      <c r="G443" s="19"/>
    </row>
    <row r="444" spans="1:7" ht="12.75" x14ac:dyDescent="0.2">
      <c r="A444" s="3">
        <v>24</v>
      </c>
      <c r="B444" s="4" t="s">
        <v>54</v>
      </c>
      <c r="C444" s="3" t="s">
        <v>162</v>
      </c>
      <c r="D444" s="3" t="s">
        <v>149</v>
      </c>
      <c r="E444" s="3">
        <v>8</v>
      </c>
      <c r="F444">
        <f>SUM(E440:E448)</f>
        <v>328</v>
      </c>
      <c r="G444" s="19"/>
    </row>
    <row r="445" spans="1:7" ht="12.75" x14ac:dyDescent="0.2">
      <c r="A445" s="3">
        <v>24</v>
      </c>
      <c r="B445" s="4" t="s">
        <v>54</v>
      </c>
      <c r="C445" s="3" t="s">
        <v>162</v>
      </c>
      <c r="D445" s="3" t="s">
        <v>14</v>
      </c>
      <c r="E445" s="3">
        <v>8</v>
      </c>
      <c r="G445" s="19"/>
    </row>
    <row r="446" spans="1:7" ht="12.75" x14ac:dyDescent="0.2">
      <c r="A446" s="3">
        <v>24</v>
      </c>
      <c r="B446" s="4" t="s">
        <v>54</v>
      </c>
      <c r="C446" s="3" t="s">
        <v>162</v>
      </c>
      <c r="D446" s="3" t="s">
        <v>135</v>
      </c>
      <c r="E446" s="3">
        <v>6</v>
      </c>
      <c r="G446" s="19"/>
    </row>
    <row r="447" spans="1:7" ht="12.75" x14ac:dyDescent="0.2">
      <c r="A447" s="3">
        <v>24</v>
      </c>
      <c r="B447" s="4" t="s">
        <v>54</v>
      </c>
      <c r="C447" s="3" t="s">
        <v>162</v>
      </c>
      <c r="D447" s="3" t="s">
        <v>145</v>
      </c>
      <c r="E447" s="3">
        <v>4</v>
      </c>
      <c r="G447" s="19"/>
    </row>
    <row r="448" spans="1:7" ht="12.75" x14ac:dyDescent="0.2">
      <c r="A448" s="3">
        <v>24</v>
      </c>
      <c r="B448" s="4" t="s">
        <v>54</v>
      </c>
      <c r="C448" s="3" t="s">
        <v>162</v>
      </c>
      <c r="D448" s="3" t="s">
        <v>139</v>
      </c>
      <c r="E448" s="3">
        <v>3</v>
      </c>
      <c r="G448" s="19"/>
    </row>
    <row r="449" spans="1:7" ht="12.75" x14ac:dyDescent="0.2">
      <c r="A449" s="3">
        <v>25</v>
      </c>
      <c r="B449" s="4" t="s">
        <v>55</v>
      </c>
      <c r="C449" s="3" t="s">
        <v>2</v>
      </c>
      <c r="D449" s="3" t="s">
        <v>136</v>
      </c>
      <c r="E449" s="3">
        <v>412</v>
      </c>
      <c r="G449" s="19"/>
    </row>
    <row r="450" spans="1:7" ht="12.75" x14ac:dyDescent="0.2">
      <c r="A450" s="3">
        <v>25</v>
      </c>
      <c r="B450" s="4" t="s">
        <v>55</v>
      </c>
      <c r="C450" s="3" t="s">
        <v>2</v>
      </c>
      <c r="D450" s="3" t="s">
        <v>148</v>
      </c>
      <c r="E450" s="3">
        <v>270</v>
      </c>
      <c r="F450">
        <f>SUM(E449:E452)</f>
        <v>700</v>
      </c>
      <c r="G450" s="19"/>
    </row>
    <row r="451" spans="1:7" ht="12.75" x14ac:dyDescent="0.2">
      <c r="A451" s="3">
        <v>25</v>
      </c>
      <c r="B451" s="4" t="s">
        <v>55</v>
      </c>
      <c r="C451" s="3" t="s">
        <v>2</v>
      </c>
      <c r="D451" s="3" t="s">
        <v>14</v>
      </c>
      <c r="E451" s="3">
        <v>16</v>
      </c>
      <c r="G451" s="19"/>
    </row>
    <row r="452" spans="1:7" ht="12.75" x14ac:dyDescent="0.2">
      <c r="A452" s="3">
        <v>25</v>
      </c>
      <c r="B452" s="4" t="s">
        <v>55</v>
      </c>
      <c r="C452" s="3" t="s">
        <v>2</v>
      </c>
      <c r="D452" s="3" t="s">
        <v>138</v>
      </c>
      <c r="E452" s="3">
        <v>2</v>
      </c>
      <c r="G452" s="19"/>
    </row>
    <row r="453" spans="1:7" ht="12.75" x14ac:dyDescent="0.2">
      <c r="A453" s="3">
        <v>25</v>
      </c>
      <c r="B453" s="4" t="s">
        <v>55</v>
      </c>
      <c r="C453" s="3" t="s">
        <v>161</v>
      </c>
      <c r="D453" s="3" t="s">
        <v>136</v>
      </c>
      <c r="E453" s="3">
        <v>426</v>
      </c>
      <c r="G453" s="19"/>
    </row>
    <row r="454" spans="1:7" ht="12.75" x14ac:dyDescent="0.2">
      <c r="A454" s="3">
        <v>25</v>
      </c>
      <c r="B454" s="4" t="s">
        <v>55</v>
      </c>
      <c r="C454" s="3" t="s">
        <v>161</v>
      </c>
      <c r="D454" s="3" t="s">
        <v>148</v>
      </c>
      <c r="E454" s="3">
        <v>194</v>
      </c>
      <c r="G454" s="19"/>
    </row>
    <row r="455" spans="1:7" ht="12.75" x14ac:dyDescent="0.2">
      <c r="A455" s="3">
        <v>25</v>
      </c>
      <c r="B455" s="4" t="s">
        <v>55</v>
      </c>
      <c r="C455" s="3" t="s">
        <v>161</v>
      </c>
      <c r="D455" s="3" t="s">
        <v>128</v>
      </c>
      <c r="E455" s="3">
        <v>55</v>
      </c>
      <c r="G455" s="19"/>
    </row>
    <row r="456" spans="1:7" ht="12.75" x14ac:dyDescent="0.2">
      <c r="A456" s="3">
        <v>25</v>
      </c>
      <c r="B456" s="4" t="s">
        <v>55</v>
      </c>
      <c r="C456" s="3" t="s">
        <v>161</v>
      </c>
      <c r="D456" s="3" t="s">
        <v>14</v>
      </c>
      <c r="E456" s="3">
        <v>14</v>
      </c>
      <c r="G456" s="19"/>
    </row>
    <row r="457" spans="1:7" ht="12.75" x14ac:dyDescent="0.2">
      <c r="A457" s="3">
        <v>25</v>
      </c>
      <c r="B457" s="4" t="s">
        <v>55</v>
      </c>
      <c r="C457" s="3" t="s">
        <v>161</v>
      </c>
      <c r="D457" s="3" t="s">
        <v>149</v>
      </c>
      <c r="E457" s="3">
        <v>4</v>
      </c>
      <c r="F457">
        <f>SUM(E453:E461)</f>
        <v>700</v>
      </c>
      <c r="G457" s="19"/>
    </row>
    <row r="458" spans="1:7" ht="12.75" x14ac:dyDescent="0.2">
      <c r="A458" s="3">
        <v>25</v>
      </c>
      <c r="B458" s="4" t="s">
        <v>55</v>
      </c>
      <c r="C458" s="3" t="s">
        <v>161</v>
      </c>
      <c r="D458" s="3" t="s">
        <v>139</v>
      </c>
      <c r="E458" s="3">
        <v>3</v>
      </c>
      <c r="G458" s="19"/>
    </row>
    <row r="459" spans="1:7" ht="12.75" x14ac:dyDescent="0.2">
      <c r="A459" s="3">
        <v>25</v>
      </c>
      <c r="B459" s="4" t="s">
        <v>55</v>
      </c>
      <c r="C459" s="3" t="s">
        <v>161</v>
      </c>
      <c r="D459" s="3" t="s">
        <v>138</v>
      </c>
      <c r="E459" s="3">
        <v>2</v>
      </c>
      <c r="G459" s="19"/>
    </row>
    <row r="460" spans="1:7" ht="12.75" x14ac:dyDescent="0.2">
      <c r="A460" s="3">
        <v>25</v>
      </c>
      <c r="B460" s="4" t="s">
        <v>55</v>
      </c>
      <c r="C460" s="3" t="s">
        <v>161</v>
      </c>
      <c r="D460" s="3" t="s">
        <v>145</v>
      </c>
      <c r="E460" s="3">
        <v>1</v>
      </c>
      <c r="G460" s="19"/>
    </row>
    <row r="461" spans="1:7" ht="12.75" x14ac:dyDescent="0.2">
      <c r="A461" s="3">
        <v>25</v>
      </c>
      <c r="B461" s="4" t="s">
        <v>55</v>
      </c>
      <c r="C461" s="3" t="s">
        <v>161</v>
      </c>
      <c r="D461" s="3" t="s">
        <v>133</v>
      </c>
      <c r="E461" s="3">
        <v>1</v>
      </c>
      <c r="G461" s="19"/>
    </row>
    <row r="462" spans="1:7" ht="12.75" x14ac:dyDescent="0.2">
      <c r="A462" s="3">
        <v>25</v>
      </c>
      <c r="B462" s="4" t="s">
        <v>55</v>
      </c>
      <c r="C462" s="3" t="s">
        <v>162</v>
      </c>
      <c r="D462" s="3" t="s">
        <v>136</v>
      </c>
      <c r="E462" s="3">
        <v>429</v>
      </c>
      <c r="G462" s="19"/>
    </row>
    <row r="463" spans="1:7" ht="12.75" x14ac:dyDescent="0.2">
      <c r="A463" s="3">
        <v>25</v>
      </c>
      <c r="B463" s="4" t="s">
        <v>55</v>
      </c>
      <c r="C463" s="3" t="s">
        <v>162</v>
      </c>
      <c r="D463" s="3" t="s">
        <v>148</v>
      </c>
      <c r="E463" s="3">
        <v>191</v>
      </c>
      <c r="G463" s="19"/>
    </row>
    <row r="464" spans="1:7" ht="12.75" x14ac:dyDescent="0.2">
      <c r="A464" s="3">
        <v>25</v>
      </c>
      <c r="B464" s="4" t="s">
        <v>55</v>
      </c>
      <c r="C464" s="3" t="s">
        <v>162</v>
      </c>
      <c r="D464" s="3" t="s">
        <v>128</v>
      </c>
      <c r="E464" s="3">
        <v>56</v>
      </c>
      <c r="G464" s="19"/>
    </row>
    <row r="465" spans="1:7" ht="12.75" x14ac:dyDescent="0.2">
      <c r="A465" s="3">
        <v>25</v>
      </c>
      <c r="B465" s="4" t="s">
        <v>55</v>
      </c>
      <c r="C465" s="3" t="s">
        <v>162</v>
      </c>
      <c r="D465" s="3" t="s">
        <v>14</v>
      </c>
      <c r="E465" s="3">
        <v>13</v>
      </c>
      <c r="G465" s="19"/>
    </row>
    <row r="466" spans="1:7" ht="12.75" x14ac:dyDescent="0.2">
      <c r="A466" s="3">
        <v>25</v>
      </c>
      <c r="B466" s="4" t="s">
        <v>55</v>
      </c>
      <c r="C466" s="3" t="s">
        <v>162</v>
      </c>
      <c r="D466" s="3" t="s">
        <v>149</v>
      </c>
      <c r="E466" s="3">
        <v>4</v>
      </c>
      <c r="G466" s="19"/>
    </row>
    <row r="467" spans="1:7" ht="12.75" x14ac:dyDescent="0.2">
      <c r="A467" s="3">
        <v>25</v>
      </c>
      <c r="B467" s="4" t="s">
        <v>55</v>
      </c>
      <c r="C467" s="3" t="s">
        <v>162</v>
      </c>
      <c r="D467" s="3" t="s">
        <v>139</v>
      </c>
      <c r="E467" s="3">
        <v>3</v>
      </c>
      <c r="F467">
        <f>SUM(E462:E470)</f>
        <v>700</v>
      </c>
      <c r="G467" s="19"/>
    </row>
    <row r="468" spans="1:7" ht="12.75" x14ac:dyDescent="0.2">
      <c r="A468" s="3">
        <v>25</v>
      </c>
      <c r="B468" s="4" t="s">
        <v>55</v>
      </c>
      <c r="C468" s="3" t="s">
        <v>162</v>
      </c>
      <c r="D468" s="3" t="s">
        <v>138</v>
      </c>
      <c r="E468" s="3">
        <v>2</v>
      </c>
      <c r="G468" s="19"/>
    </row>
    <row r="469" spans="1:7" ht="12.75" x14ac:dyDescent="0.2">
      <c r="A469" s="3">
        <v>25</v>
      </c>
      <c r="B469" s="4" t="s">
        <v>55</v>
      </c>
      <c r="C469" s="3" t="s">
        <v>162</v>
      </c>
      <c r="D469" s="3" t="s">
        <v>145</v>
      </c>
      <c r="E469" s="3">
        <v>1</v>
      </c>
      <c r="G469" s="19"/>
    </row>
    <row r="470" spans="1:7" ht="12.75" x14ac:dyDescent="0.2">
      <c r="A470" s="3">
        <v>25</v>
      </c>
      <c r="B470" s="4" t="s">
        <v>55</v>
      </c>
      <c r="C470" s="3" t="s">
        <v>162</v>
      </c>
      <c r="D470" s="3" t="s">
        <v>133</v>
      </c>
      <c r="E470" s="3">
        <v>1</v>
      </c>
      <c r="G470" s="19"/>
    </row>
    <row r="471" spans="1:7" ht="12.75" x14ac:dyDescent="0.2">
      <c r="A471" s="3">
        <v>26</v>
      </c>
      <c r="B471" s="4" t="s">
        <v>56</v>
      </c>
      <c r="C471" s="3" t="s">
        <v>2</v>
      </c>
      <c r="D471" s="3" t="s">
        <v>136</v>
      </c>
      <c r="E471" s="3">
        <v>299</v>
      </c>
      <c r="G471" s="19"/>
    </row>
    <row r="472" spans="1:7" ht="12.75" x14ac:dyDescent="0.2">
      <c r="A472" s="3">
        <v>26</v>
      </c>
      <c r="B472" s="4" t="s">
        <v>56</v>
      </c>
      <c r="C472" s="3" t="s">
        <v>2</v>
      </c>
      <c r="D472" s="3" t="s">
        <v>14</v>
      </c>
      <c r="E472" s="3">
        <v>96</v>
      </c>
      <c r="F472">
        <f>SUM(E471:E472)</f>
        <v>395</v>
      </c>
      <c r="G472" s="19"/>
    </row>
    <row r="473" spans="1:7" ht="12.75" x14ac:dyDescent="0.2">
      <c r="A473" s="3">
        <v>26</v>
      </c>
      <c r="B473" s="4" t="s">
        <v>56</v>
      </c>
      <c r="C473" s="3" t="s">
        <v>161</v>
      </c>
      <c r="D473" s="3" t="s">
        <v>136</v>
      </c>
      <c r="E473" s="3">
        <v>291</v>
      </c>
      <c r="G473" s="19"/>
    </row>
    <row r="474" spans="1:7" ht="12.75" x14ac:dyDescent="0.2">
      <c r="A474" s="3">
        <v>26</v>
      </c>
      <c r="B474" s="4" t="s">
        <v>56</v>
      </c>
      <c r="C474" s="3" t="s">
        <v>161</v>
      </c>
      <c r="D474" s="3" t="s">
        <v>128</v>
      </c>
      <c r="E474" s="3">
        <v>49</v>
      </c>
      <c r="G474" s="19"/>
    </row>
    <row r="475" spans="1:7" ht="12.75" x14ac:dyDescent="0.2">
      <c r="A475" s="3">
        <v>26</v>
      </c>
      <c r="B475" s="4" t="s">
        <v>56</v>
      </c>
      <c r="C475" s="3" t="s">
        <v>161</v>
      </c>
      <c r="D475" s="3" t="s">
        <v>14</v>
      </c>
      <c r="E475" s="3">
        <v>19</v>
      </c>
      <c r="G475" s="19"/>
    </row>
    <row r="476" spans="1:7" ht="12.75" x14ac:dyDescent="0.2">
      <c r="A476" s="3">
        <v>26</v>
      </c>
      <c r="B476" s="4" t="s">
        <v>56</v>
      </c>
      <c r="C476" s="3" t="s">
        <v>161</v>
      </c>
      <c r="D476" s="3" t="s">
        <v>133</v>
      </c>
      <c r="E476" s="3">
        <v>13</v>
      </c>
      <c r="G476" s="19"/>
    </row>
    <row r="477" spans="1:7" ht="12.75" x14ac:dyDescent="0.2">
      <c r="A477" s="3">
        <v>26</v>
      </c>
      <c r="B477" s="4" t="s">
        <v>56</v>
      </c>
      <c r="C477" s="3" t="s">
        <v>161</v>
      </c>
      <c r="D477" s="3" t="s">
        <v>148</v>
      </c>
      <c r="E477" s="3">
        <v>9</v>
      </c>
      <c r="F477">
        <f>SUM(E473:E481)</f>
        <v>395</v>
      </c>
      <c r="G477" s="19"/>
    </row>
    <row r="478" spans="1:7" ht="12.75" x14ac:dyDescent="0.2">
      <c r="A478" s="3">
        <v>26</v>
      </c>
      <c r="B478" s="4" t="s">
        <v>56</v>
      </c>
      <c r="C478" s="3" t="s">
        <v>161</v>
      </c>
      <c r="D478" s="3" t="s">
        <v>149</v>
      </c>
      <c r="E478" s="3">
        <v>7</v>
      </c>
      <c r="G478" s="19"/>
    </row>
    <row r="479" spans="1:7" ht="12.75" x14ac:dyDescent="0.2">
      <c r="A479" s="3">
        <v>26</v>
      </c>
      <c r="B479" s="4" t="s">
        <v>56</v>
      </c>
      <c r="C479" s="3" t="s">
        <v>161</v>
      </c>
      <c r="D479" s="3" t="s">
        <v>135</v>
      </c>
      <c r="E479" s="3">
        <v>3</v>
      </c>
      <c r="G479" s="19"/>
    </row>
    <row r="480" spans="1:7" ht="12.75" x14ac:dyDescent="0.2">
      <c r="A480" s="3">
        <v>26</v>
      </c>
      <c r="B480" s="4" t="s">
        <v>56</v>
      </c>
      <c r="C480" s="3" t="s">
        <v>161</v>
      </c>
      <c r="D480" s="3" t="s">
        <v>145</v>
      </c>
      <c r="E480" s="3">
        <v>2</v>
      </c>
      <c r="G480" s="19"/>
    </row>
    <row r="481" spans="1:7" ht="12.75" x14ac:dyDescent="0.2">
      <c r="A481" s="3">
        <v>26</v>
      </c>
      <c r="B481" s="4" t="s">
        <v>56</v>
      </c>
      <c r="C481" s="3" t="s">
        <v>161</v>
      </c>
      <c r="D481" s="3" t="s">
        <v>139</v>
      </c>
      <c r="E481" s="3">
        <v>2</v>
      </c>
      <c r="G481" s="19"/>
    </row>
    <row r="482" spans="1:7" ht="12.75" x14ac:dyDescent="0.2">
      <c r="A482" s="3">
        <v>26</v>
      </c>
      <c r="B482" s="4" t="s">
        <v>56</v>
      </c>
      <c r="C482" s="3" t="s">
        <v>162</v>
      </c>
      <c r="D482" s="3" t="s">
        <v>136</v>
      </c>
      <c r="E482" s="3">
        <v>293</v>
      </c>
      <c r="G482" s="19"/>
    </row>
    <row r="483" spans="1:7" ht="12.75" x14ac:dyDescent="0.2">
      <c r="A483" s="3">
        <v>26</v>
      </c>
      <c r="B483" s="4" t="s">
        <v>56</v>
      </c>
      <c r="C483" s="3" t="s">
        <v>162</v>
      </c>
      <c r="D483" s="3" t="s">
        <v>128</v>
      </c>
      <c r="E483" s="3">
        <v>49</v>
      </c>
      <c r="G483" s="19"/>
    </row>
    <row r="484" spans="1:7" ht="12.75" x14ac:dyDescent="0.2">
      <c r="A484" s="3">
        <v>26</v>
      </c>
      <c r="B484" s="4" t="s">
        <v>56</v>
      </c>
      <c r="C484" s="3" t="s">
        <v>162</v>
      </c>
      <c r="D484" s="3" t="s">
        <v>14</v>
      </c>
      <c r="E484" s="3">
        <v>16</v>
      </c>
      <c r="G484" s="19"/>
    </row>
    <row r="485" spans="1:7" ht="12.75" x14ac:dyDescent="0.2">
      <c r="A485" s="3">
        <v>26</v>
      </c>
      <c r="B485" s="4" t="s">
        <v>56</v>
      </c>
      <c r="C485" s="3" t="s">
        <v>162</v>
      </c>
      <c r="D485" s="3" t="s">
        <v>133</v>
      </c>
      <c r="E485" s="3">
        <v>14</v>
      </c>
      <c r="G485" s="19"/>
    </row>
    <row r="486" spans="1:7" ht="12.75" x14ac:dyDescent="0.2">
      <c r="A486" s="3">
        <v>26</v>
      </c>
      <c r="B486" s="4" t="s">
        <v>56</v>
      </c>
      <c r="C486" s="3" t="s">
        <v>162</v>
      </c>
      <c r="D486" s="3" t="s">
        <v>148</v>
      </c>
      <c r="E486" s="3">
        <v>9</v>
      </c>
      <c r="F486">
        <f>SUM(E482:E490)</f>
        <v>395</v>
      </c>
      <c r="G486" s="19"/>
    </row>
    <row r="487" spans="1:7" ht="12.75" x14ac:dyDescent="0.2">
      <c r="A487" s="3">
        <v>26</v>
      </c>
      <c r="B487" s="4" t="s">
        <v>56</v>
      </c>
      <c r="C487" s="3" t="s">
        <v>162</v>
      </c>
      <c r="D487" s="3" t="s">
        <v>149</v>
      </c>
      <c r="E487" s="3">
        <v>7</v>
      </c>
      <c r="G487" s="19"/>
    </row>
    <row r="488" spans="1:7" ht="12.75" x14ac:dyDescent="0.2">
      <c r="A488" s="3">
        <v>26</v>
      </c>
      <c r="B488" s="4" t="s">
        <v>56</v>
      </c>
      <c r="C488" s="3" t="s">
        <v>162</v>
      </c>
      <c r="D488" s="3" t="s">
        <v>135</v>
      </c>
      <c r="E488" s="3">
        <v>3</v>
      </c>
      <c r="G488" s="19"/>
    </row>
    <row r="489" spans="1:7" ht="12.75" x14ac:dyDescent="0.2">
      <c r="A489" s="3">
        <v>26</v>
      </c>
      <c r="B489" s="4" t="s">
        <v>56</v>
      </c>
      <c r="C489" s="3" t="s">
        <v>162</v>
      </c>
      <c r="D489" s="3" t="s">
        <v>145</v>
      </c>
      <c r="E489" s="3">
        <v>2</v>
      </c>
      <c r="G489" s="19"/>
    </row>
    <row r="490" spans="1:7" ht="12.75" x14ac:dyDescent="0.2">
      <c r="A490" s="3">
        <v>26</v>
      </c>
      <c r="B490" s="4" t="s">
        <v>56</v>
      </c>
      <c r="C490" s="3" t="s">
        <v>162</v>
      </c>
      <c r="D490" s="3" t="s">
        <v>139</v>
      </c>
      <c r="E490" s="3">
        <v>2</v>
      </c>
      <c r="G490" s="19"/>
    </row>
    <row r="491" spans="1:7" ht="12.75" x14ac:dyDescent="0.2">
      <c r="A491" s="3">
        <v>27</v>
      </c>
      <c r="B491" s="4" t="s">
        <v>57</v>
      </c>
      <c r="C491" s="3" t="s">
        <v>2</v>
      </c>
      <c r="D491" s="3" t="s">
        <v>128</v>
      </c>
      <c r="E491" s="3">
        <v>3081</v>
      </c>
      <c r="G491" s="19"/>
    </row>
    <row r="492" spans="1:7" ht="12.75" x14ac:dyDescent="0.2">
      <c r="A492" s="3">
        <v>27</v>
      </c>
      <c r="B492" s="4" t="s">
        <v>57</v>
      </c>
      <c r="C492" s="3" t="s">
        <v>2</v>
      </c>
      <c r="D492" s="3" t="s">
        <v>3</v>
      </c>
      <c r="E492" s="3">
        <v>2725</v>
      </c>
      <c r="F492">
        <f>SUM(E491:E496)</f>
        <v>6934</v>
      </c>
      <c r="G492" s="19"/>
    </row>
    <row r="493" spans="1:7" ht="12.75" x14ac:dyDescent="0.2">
      <c r="A493" s="3">
        <v>27</v>
      </c>
      <c r="B493" s="4" t="s">
        <v>57</v>
      </c>
      <c r="C493" s="3" t="s">
        <v>2</v>
      </c>
      <c r="D493" s="3" t="s">
        <v>149</v>
      </c>
      <c r="E493" s="3">
        <v>446</v>
      </c>
      <c r="G493" s="19"/>
    </row>
    <row r="494" spans="1:7" ht="12.75" x14ac:dyDescent="0.2">
      <c r="A494" s="3">
        <v>27</v>
      </c>
      <c r="B494" s="4" t="s">
        <v>57</v>
      </c>
      <c r="C494" s="3" t="s">
        <v>2</v>
      </c>
      <c r="D494" s="3" t="s">
        <v>148</v>
      </c>
      <c r="E494" s="3">
        <v>389</v>
      </c>
      <c r="G494" s="19"/>
    </row>
    <row r="495" spans="1:7" ht="12.75" x14ac:dyDescent="0.2">
      <c r="A495" s="3">
        <v>27</v>
      </c>
      <c r="B495" s="4" t="s">
        <v>57</v>
      </c>
      <c r="C495" s="3" t="s">
        <v>2</v>
      </c>
      <c r="D495" s="3" t="s">
        <v>14</v>
      </c>
      <c r="E495" s="3">
        <v>235</v>
      </c>
      <c r="G495" s="19"/>
    </row>
    <row r="496" spans="1:7" ht="12.75" x14ac:dyDescent="0.2">
      <c r="A496" s="3">
        <v>27</v>
      </c>
      <c r="B496" s="4" t="s">
        <v>57</v>
      </c>
      <c r="C496" s="3" t="s">
        <v>2</v>
      </c>
      <c r="D496" s="3" t="s">
        <v>138</v>
      </c>
      <c r="E496" s="3">
        <v>58</v>
      </c>
      <c r="G496" s="19"/>
    </row>
    <row r="497" spans="1:7" ht="12.75" x14ac:dyDescent="0.2">
      <c r="A497" s="3">
        <v>27</v>
      </c>
      <c r="B497" s="4" t="s">
        <v>57</v>
      </c>
      <c r="C497" s="3" t="s">
        <v>162</v>
      </c>
      <c r="D497" s="3" t="s">
        <v>3</v>
      </c>
      <c r="E497" s="3">
        <v>2903</v>
      </c>
      <c r="G497" s="19"/>
    </row>
    <row r="498" spans="1:7" ht="12.75" x14ac:dyDescent="0.2">
      <c r="A498" s="3">
        <v>27</v>
      </c>
      <c r="B498" s="4" t="s">
        <v>57</v>
      </c>
      <c r="C498" s="3" t="s">
        <v>162</v>
      </c>
      <c r="D498" s="3" t="s">
        <v>128</v>
      </c>
      <c r="E498" s="3">
        <v>2680</v>
      </c>
      <c r="G498" s="19"/>
    </row>
    <row r="499" spans="1:7" ht="12.75" x14ac:dyDescent="0.2">
      <c r="A499" s="3">
        <v>27</v>
      </c>
      <c r="B499" s="4" t="s">
        <v>57</v>
      </c>
      <c r="C499" s="3" t="s">
        <v>162</v>
      </c>
      <c r="D499" s="3" t="s">
        <v>149</v>
      </c>
      <c r="E499" s="3">
        <v>390</v>
      </c>
      <c r="G499" s="19"/>
    </row>
    <row r="500" spans="1:7" ht="12.75" x14ac:dyDescent="0.2">
      <c r="A500" s="3">
        <v>27</v>
      </c>
      <c r="B500" s="4" t="s">
        <v>57</v>
      </c>
      <c r="C500" s="3" t="s">
        <v>162</v>
      </c>
      <c r="D500" s="3" t="s">
        <v>148</v>
      </c>
      <c r="E500" s="3">
        <v>330</v>
      </c>
      <c r="G500" s="19"/>
    </row>
    <row r="501" spans="1:7" ht="12.75" x14ac:dyDescent="0.2">
      <c r="A501" s="3">
        <v>27</v>
      </c>
      <c r="B501" s="4" t="s">
        <v>57</v>
      </c>
      <c r="C501" s="3" t="s">
        <v>162</v>
      </c>
      <c r="D501" s="3" t="s">
        <v>133</v>
      </c>
      <c r="E501" s="3">
        <v>275</v>
      </c>
      <c r="G501" s="19"/>
    </row>
    <row r="502" spans="1:7" ht="12.75" x14ac:dyDescent="0.2">
      <c r="A502" s="3">
        <v>27</v>
      </c>
      <c r="B502" s="4" t="s">
        <v>57</v>
      </c>
      <c r="C502" s="3" t="s">
        <v>162</v>
      </c>
      <c r="D502" s="3" t="s">
        <v>14</v>
      </c>
      <c r="E502" s="3">
        <v>218</v>
      </c>
      <c r="F502">
        <f>SUM(E497:E506)</f>
        <v>6934</v>
      </c>
      <c r="G502" s="19"/>
    </row>
    <row r="503" spans="1:7" ht="12.75" x14ac:dyDescent="0.2">
      <c r="A503" s="3">
        <v>27</v>
      </c>
      <c r="B503" s="4" t="s">
        <v>57</v>
      </c>
      <c r="C503" s="3" t="s">
        <v>162</v>
      </c>
      <c r="D503" s="3" t="s">
        <v>138</v>
      </c>
      <c r="E503" s="3">
        <v>78</v>
      </c>
      <c r="G503" s="19"/>
    </row>
    <row r="504" spans="1:7" ht="12.75" x14ac:dyDescent="0.2">
      <c r="A504" s="3">
        <v>27</v>
      </c>
      <c r="B504" s="4" t="s">
        <v>57</v>
      </c>
      <c r="C504" s="3" t="s">
        <v>162</v>
      </c>
      <c r="D504" s="3" t="s">
        <v>145</v>
      </c>
      <c r="E504" s="3">
        <v>26</v>
      </c>
      <c r="G504" s="19"/>
    </row>
    <row r="505" spans="1:7" ht="12.75" x14ac:dyDescent="0.2">
      <c r="A505" s="3">
        <v>27</v>
      </c>
      <c r="B505" s="4" t="s">
        <v>57</v>
      </c>
      <c r="C505" s="3" t="s">
        <v>162</v>
      </c>
      <c r="D505" s="3" t="s">
        <v>135</v>
      </c>
      <c r="E505" s="3">
        <v>21</v>
      </c>
      <c r="G505" s="19"/>
    </row>
    <row r="506" spans="1:7" ht="12.75" x14ac:dyDescent="0.2">
      <c r="A506" s="3">
        <v>27</v>
      </c>
      <c r="B506" s="4" t="s">
        <v>57</v>
      </c>
      <c r="C506" s="3" t="s">
        <v>162</v>
      </c>
      <c r="D506" s="3" t="s">
        <v>139</v>
      </c>
      <c r="E506" s="3">
        <v>13</v>
      </c>
      <c r="G506" s="19"/>
    </row>
    <row r="507" spans="1:7" ht="12.75" x14ac:dyDescent="0.2">
      <c r="A507" s="3">
        <v>27</v>
      </c>
      <c r="B507" s="4" t="s">
        <v>57</v>
      </c>
      <c r="C507" s="3" t="s">
        <v>161</v>
      </c>
      <c r="D507" s="3" t="s">
        <v>3</v>
      </c>
      <c r="E507" s="3">
        <v>2770</v>
      </c>
      <c r="G507" s="19"/>
    </row>
    <row r="508" spans="1:7" ht="12.75" x14ac:dyDescent="0.2">
      <c r="A508" s="3">
        <v>27</v>
      </c>
      <c r="B508" s="4" t="s">
        <v>57</v>
      </c>
      <c r="C508" s="3" t="s">
        <v>161</v>
      </c>
      <c r="D508" s="3" t="s">
        <v>128</v>
      </c>
      <c r="E508" s="3">
        <v>2769</v>
      </c>
      <c r="G508" s="19"/>
    </row>
    <row r="509" spans="1:7" ht="12.75" x14ac:dyDescent="0.2">
      <c r="A509" s="3">
        <v>27</v>
      </c>
      <c r="B509" s="4" t="s">
        <v>57</v>
      </c>
      <c r="C509" s="3" t="s">
        <v>161</v>
      </c>
      <c r="D509" s="3" t="s">
        <v>149</v>
      </c>
      <c r="E509" s="3">
        <v>399</v>
      </c>
      <c r="G509" s="19"/>
    </row>
    <row r="510" spans="1:7" ht="12.75" x14ac:dyDescent="0.2">
      <c r="A510" s="3">
        <v>27</v>
      </c>
      <c r="B510" s="4" t="s">
        <v>57</v>
      </c>
      <c r="C510" s="3" t="s">
        <v>161</v>
      </c>
      <c r="D510" s="3" t="s">
        <v>148</v>
      </c>
      <c r="E510" s="3">
        <v>350</v>
      </c>
      <c r="G510" s="19"/>
    </row>
    <row r="511" spans="1:7" ht="12.75" x14ac:dyDescent="0.2">
      <c r="A511" s="3">
        <v>27</v>
      </c>
      <c r="B511" s="4" t="s">
        <v>57</v>
      </c>
      <c r="C511" s="3" t="s">
        <v>161</v>
      </c>
      <c r="D511" s="3" t="s">
        <v>14</v>
      </c>
      <c r="E511" s="3">
        <v>297</v>
      </c>
      <c r="G511" s="19"/>
    </row>
    <row r="512" spans="1:7" ht="12.75" x14ac:dyDescent="0.2">
      <c r="A512" s="3">
        <v>27</v>
      </c>
      <c r="B512" s="4" t="s">
        <v>57</v>
      </c>
      <c r="C512" s="3" t="s">
        <v>161</v>
      </c>
      <c r="D512" s="3" t="s">
        <v>133</v>
      </c>
      <c r="E512" s="3">
        <v>208</v>
      </c>
      <c r="F512">
        <f>SUM(E507:E516)</f>
        <v>6934</v>
      </c>
      <c r="G512" s="19"/>
    </row>
    <row r="513" spans="1:7" ht="12.75" x14ac:dyDescent="0.2">
      <c r="A513" s="3">
        <v>27</v>
      </c>
      <c r="B513" s="4" t="s">
        <v>57</v>
      </c>
      <c r="C513" s="3" t="s">
        <v>161</v>
      </c>
      <c r="D513" s="3" t="s">
        <v>138</v>
      </c>
      <c r="E513" s="3">
        <v>75</v>
      </c>
      <c r="G513" s="19"/>
    </row>
    <row r="514" spans="1:7" ht="12.75" x14ac:dyDescent="0.2">
      <c r="A514" s="3">
        <v>27</v>
      </c>
      <c r="B514" s="4" t="s">
        <v>57</v>
      </c>
      <c r="C514" s="3" t="s">
        <v>161</v>
      </c>
      <c r="D514" s="3" t="s">
        <v>145</v>
      </c>
      <c r="E514" s="3">
        <v>28</v>
      </c>
      <c r="G514" s="19"/>
    </row>
    <row r="515" spans="1:7" ht="12.75" x14ac:dyDescent="0.2">
      <c r="A515" s="3">
        <v>27</v>
      </c>
      <c r="B515" s="4" t="s">
        <v>57</v>
      </c>
      <c r="C515" s="3" t="s">
        <v>161</v>
      </c>
      <c r="D515" s="3" t="s">
        <v>135</v>
      </c>
      <c r="E515" s="3">
        <v>23</v>
      </c>
      <c r="G515" s="19"/>
    </row>
    <row r="516" spans="1:7" ht="12.75" x14ac:dyDescent="0.2">
      <c r="A516" s="3">
        <v>27</v>
      </c>
      <c r="B516" s="4" t="s">
        <v>57</v>
      </c>
      <c r="C516" s="3" t="s">
        <v>161</v>
      </c>
      <c r="D516" s="3" t="s">
        <v>139</v>
      </c>
      <c r="E516" s="3">
        <v>15</v>
      </c>
      <c r="G516" s="19"/>
    </row>
    <row r="517" spans="1:7" ht="12.75" x14ac:dyDescent="0.2">
      <c r="A517" s="3">
        <v>28</v>
      </c>
      <c r="B517" s="4" t="s">
        <v>58</v>
      </c>
      <c r="C517" s="3" t="s">
        <v>2</v>
      </c>
      <c r="D517" s="3" t="s">
        <v>128</v>
      </c>
      <c r="E517" s="3">
        <v>137</v>
      </c>
      <c r="G517" s="19"/>
    </row>
    <row r="518" spans="1:7" ht="12.75" x14ac:dyDescent="0.2">
      <c r="A518" s="3">
        <v>28</v>
      </c>
      <c r="B518" s="4" t="s">
        <v>58</v>
      </c>
      <c r="C518" s="3" t="s">
        <v>2</v>
      </c>
      <c r="D518" s="3" t="s">
        <v>133</v>
      </c>
      <c r="E518" s="3">
        <v>108</v>
      </c>
      <c r="G518" s="19"/>
    </row>
    <row r="519" spans="1:7" ht="12.75" x14ac:dyDescent="0.2">
      <c r="A519" s="3">
        <v>28</v>
      </c>
      <c r="B519" s="4" t="s">
        <v>58</v>
      </c>
      <c r="C519" s="3" t="s">
        <v>2</v>
      </c>
      <c r="D519" s="3" t="s">
        <v>136</v>
      </c>
      <c r="E519" s="3">
        <v>78</v>
      </c>
      <c r="F519">
        <f>SUM(E517:E521)</f>
        <v>326</v>
      </c>
      <c r="G519" s="19"/>
    </row>
    <row r="520" spans="1:7" ht="12.75" x14ac:dyDescent="0.2">
      <c r="A520" s="3">
        <v>28</v>
      </c>
      <c r="B520" s="4" t="s">
        <v>58</v>
      </c>
      <c r="C520" s="3" t="s">
        <v>2</v>
      </c>
      <c r="D520" s="3" t="s">
        <v>138</v>
      </c>
      <c r="E520" s="3">
        <v>2</v>
      </c>
      <c r="G520" s="19"/>
    </row>
    <row r="521" spans="1:7" ht="12.75" x14ac:dyDescent="0.2">
      <c r="A521" s="3">
        <v>28</v>
      </c>
      <c r="B521" s="4" t="s">
        <v>58</v>
      </c>
      <c r="C521" s="3" t="s">
        <v>2</v>
      </c>
      <c r="D521" s="3" t="s">
        <v>14</v>
      </c>
      <c r="E521" s="3">
        <v>1</v>
      </c>
      <c r="G521" s="19"/>
    </row>
    <row r="522" spans="1:7" ht="12.75" x14ac:dyDescent="0.2">
      <c r="A522" s="3">
        <v>28</v>
      </c>
      <c r="B522" s="4" t="s">
        <v>58</v>
      </c>
      <c r="C522" s="3" t="s">
        <v>161</v>
      </c>
      <c r="D522" s="3" t="s">
        <v>128</v>
      </c>
      <c r="E522" s="3">
        <v>129</v>
      </c>
      <c r="G522" s="19"/>
    </row>
    <row r="523" spans="1:7" ht="12.75" x14ac:dyDescent="0.2">
      <c r="A523" s="3">
        <v>28</v>
      </c>
      <c r="B523" s="4" t="s">
        <v>58</v>
      </c>
      <c r="C523" s="3" t="s">
        <v>161</v>
      </c>
      <c r="D523" s="3" t="s">
        <v>136</v>
      </c>
      <c r="E523" s="3">
        <v>94</v>
      </c>
      <c r="G523" s="19"/>
    </row>
    <row r="524" spans="1:7" ht="12.75" x14ac:dyDescent="0.2">
      <c r="A524" s="3">
        <v>28</v>
      </c>
      <c r="B524" s="4" t="s">
        <v>58</v>
      </c>
      <c r="C524" s="3" t="s">
        <v>161</v>
      </c>
      <c r="D524" s="3" t="s">
        <v>133</v>
      </c>
      <c r="E524" s="3">
        <v>73</v>
      </c>
      <c r="G524" s="19"/>
    </row>
    <row r="525" spans="1:7" ht="12.75" x14ac:dyDescent="0.2">
      <c r="A525" s="3">
        <v>28</v>
      </c>
      <c r="B525" s="4" t="s">
        <v>58</v>
      </c>
      <c r="C525" s="3" t="s">
        <v>161</v>
      </c>
      <c r="D525" s="3" t="s">
        <v>14</v>
      </c>
      <c r="E525" s="3">
        <v>21</v>
      </c>
      <c r="G525" s="19"/>
    </row>
    <row r="526" spans="1:7" ht="12.75" x14ac:dyDescent="0.2">
      <c r="A526" s="3">
        <v>28</v>
      </c>
      <c r="B526" s="4" t="s">
        <v>58</v>
      </c>
      <c r="C526" s="3" t="s">
        <v>161</v>
      </c>
      <c r="D526" s="3" t="s">
        <v>138</v>
      </c>
      <c r="E526" s="3">
        <v>5</v>
      </c>
      <c r="F526">
        <f>SUM(E522:E529)</f>
        <v>326</v>
      </c>
      <c r="G526" s="19"/>
    </row>
    <row r="527" spans="1:7" ht="12.75" x14ac:dyDescent="0.2">
      <c r="A527" s="3">
        <v>28</v>
      </c>
      <c r="B527" s="4" t="s">
        <v>58</v>
      </c>
      <c r="C527" s="3" t="s">
        <v>161</v>
      </c>
      <c r="D527" s="3" t="s">
        <v>139</v>
      </c>
      <c r="E527" s="3">
        <v>2</v>
      </c>
      <c r="G527" s="19"/>
    </row>
    <row r="528" spans="1:7" ht="12.75" x14ac:dyDescent="0.2">
      <c r="A528" s="3">
        <v>28</v>
      </c>
      <c r="B528" s="4" t="s">
        <v>58</v>
      </c>
      <c r="C528" s="3" t="s">
        <v>161</v>
      </c>
      <c r="D528" s="3" t="s">
        <v>149</v>
      </c>
      <c r="E528" s="3">
        <v>1</v>
      </c>
      <c r="G528" s="19"/>
    </row>
    <row r="529" spans="1:7" ht="12.75" x14ac:dyDescent="0.2">
      <c r="A529" s="3">
        <v>28</v>
      </c>
      <c r="B529" s="4" t="s">
        <v>58</v>
      </c>
      <c r="C529" s="3" t="s">
        <v>161</v>
      </c>
      <c r="D529" s="3" t="s">
        <v>148</v>
      </c>
      <c r="E529" s="3">
        <v>1</v>
      </c>
      <c r="G529" s="19"/>
    </row>
    <row r="530" spans="1:7" ht="12.75" x14ac:dyDescent="0.2">
      <c r="A530" s="3">
        <v>28</v>
      </c>
      <c r="B530" s="4" t="s">
        <v>58</v>
      </c>
      <c r="C530" s="3" t="s">
        <v>162</v>
      </c>
      <c r="D530" s="3" t="s">
        <v>128</v>
      </c>
      <c r="E530" s="3">
        <v>131</v>
      </c>
      <c r="G530" s="19"/>
    </row>
    <row r="531" spans="1:7" ht="12.75" x14ac:dyDescent="0.2">
      <c r="A531" s="3">
        <v>28</v>
      </c>
      <c r="B531" s="4" t="s">
        <v>58</v>
      </c>
      <c r="C531" s="3" t="s">
        <v>162</v>
      </c>
      <c r="D531" s="3" t="s">
        <v>136</v>
      </c>
      <c r="E531" s="3">
        <v>107</v>
      </c>
      <c r="G531" s="19"/>
    </row>
    <row r="532" spans="1:7" ht="12.75" x14ac:dyDescent="0.2">
      <c r="A532" s="3">
        <v>28</v>
      </c>
      <c r="B532" s="4" t="s">
        <v>58</v>
      </c>
      <c r="C532" s="3" t="s">
        <v>162</v>
      </c>
      <c r="D532" s="3" t="s">
        <v>133</v>
      </c>
      <c r="E532" s="3">
        <v>71</v>
      </c>
      <c r="F532">
        <f>SUM(E530:E535)</f>
        <v>326</v>
      </c>
      <c r="G532" s="19"/>
    </row>
    <row r="533" spans="1:7" ht="12.75" x14ac:dyDescent="0.2">
      <c r="A533" s="3">
        <v>28</v>
      </c>
      <c r="B533" s="4" t="s">
        <v>58</v>
      </c>
      <c r="C533" s="3" t="s">
        <v>162</v>
      </c>
      <c r="D533" s="3" t="s">
        <v>148</v>
      </c>
      <c r="E533" s="3">
        <v>10</v>
      </c>
      <c r="G533" s="19"/>
    </row>
    <row r="534" spans="1:7" ht="12.75" x14ac:dyDescent="0.2">
      <c r="A534" s="3">
        <v>28</v>
      </c>
      <c r="B534" s="4" t="s">
        <v>58</v>
      </c>
      <c r="C534" s="3" t="s">
        <v>162</v>
      </c>
      <c r="D534" s="3" t="s">
        <v>138</v>
      </c>
      <c r="E534" s="3">
        <v>5</v>
      </c>
      <c r="G534" s="19"/>
    </row>
    <row r="535" spans="1:7" ht="12.75" x14ac:dyDescent="0.2">
      <c r="A535" s="3">
        <v>28</v>
      </c>
      <c r="B535" s="4" t="s">
        <v>58</v>
      </c>
      <c r="C535" s="3" t="s">
        <v>162</v>
      </c>
      <c r="D535" s="3" t="s">
        <v>14</v>
      </c>
      <c r="E535" s="3">
        <v>2</v>
      </c>
      <c r="G535" s="19"/>
    </row>
    <row r="536" spans="1:7" ht="12.75" x14ac:dyDescent="0.2">
      <c r="A536" s="3">
        <v>29</v>
      </c>
      <c r="B536" s="4" t="s">
        <v>59</v>
      </c>
      <c r="C536" s="3" t="s">
        <v>2</v>
      </c>
      <c r="D536" s="3" t="s">
        <v>150</v>
      </c>
      <c r="E536" s="3">
        <v>250</v>
      </c>
      <c r="G536" s="19"/>
    </row>
    <row r="537" spans="1:7" ht="12.75" x14ac:dyDescent="0.2">
      <c r="A537" s="3">
        <v>29</v>
      </c>
      <c r="B537" s="4" t="s">
        <v>59</v>
      </c>
      <c r="C537" s="3" t="s">
        <v>2</v>
      </c>
      <c r="D537" s="3" t="s">
        <v>136</v>
      </c>
      <c r="E537" s="3">
        <v>186</v>
      </c>
      <c r="F537">
        <f>SUM(E536:E539)</f>
        <v>447</v>
      </c>
      <c r="G537" s="19"/>
    </row>
    <row r="538" spans="1:7" ht="12.75" x14ac:dyDescent="0.2">
      <c r="A538" s="3">
        <v>29</v>
      </c>
      <c r="B538" s="4" t="s">
        <v>59</v>
      </c>
      <c r="C538" s="3" t="s">
        <v>2</v>
      </c>
      <c r="D538" s="3" t="s">
        <v>14</v>
      </c>
      <c r="E538" s="3">
        <v>10</v>
      </c>
      <c r="G538" s="19"/>
    </row>
    <row r="539" spans="1:7" ht="12.75" x14ac:dyDescent="0.2">
      <c r="A539" s="3">
        <v>29</v>
      </c>
      <c r="B539" s="4" t="s">
        <v>59</v>
      </c>
      <c r="C539" s="3" t="s">
        <v>2</v>
      </c>
      <c r="D539" s="3" t="s">
        <v>138</v>
      </c>
      <c r="E539" s="3">
        <v>1</v>
      </c>
      <c r="G539" s="19"/>
    </row>
    <row r="540" spans="1:7" ht="12.75" x14ac:dyDescent="0.2">
      <c r="A540" s="3">
        <v>29</v>
      </c>
      <c r="B540" s="4" t="s">
        <v>59</v>
      </c>
      <c r="C540" s="3" t="s">
        <v>161</v>
      </c>
      <c r="D540" s="3" t="s">
        <v>136</v>
      </c>
      <c r="E540" s="3">
        <v>218</v>
      </c>
      <c r="G540" s="19"/>
    </row>
    <row r="541" spans="1:7" ht="12.75" x14ac:dyDescent="0.2">
      <c r="A541" s="3">
        <v>29</v>
      </c>
      <c r="B541" s="4" t="s">
        <v>59</v>
      </c>
      <c r="C541" s="3" t="s">
        <v>161</v>
      </c>
      <c r="D541" s="3" t="s">
        <v>128</v>
      </c>
      <c r="E541" s="3">
        <v>104</v>
      </c>
      <c r="G541" s="19"/>
    </row>
    <row r="542" spans="1:7" ht="12.75" x14ac:dyDescent="0.2">
      <c r="A542" s="3">
        <v>29</v>
      </c>
      <c r="B542" s="4" t="s">
        <v>59</v>
      </c>
      <c r="C542" s="3" t="s">
        <v>161</v>
      </c>
      <c r="D542" s="3" t="s">
        <v>14</v>
      </c>
      <c r="E542" s="3">
        <v>86</v>
      </c>
      <c r="G542" s="19"/>
    </row>
    <row r="543" spans="1:7" ht="12.75" x14ac:dyDescent="0.2">
      <c r="A543" s="3">
        <v>29</v>
      </c>
      <c r="B543" s="4" t="s">
        <v>59</v>
      </c>
      <c r="C543" s="3" t="s">
        <v>161</v>
      </c>
      <c r="D543" s="3" t="s">
        <v>133</v>
      </c>
      <c r="E543" s="3">
        <v>18</v>
      </c>
      <c r="G543" s="19"/>
    </row>
    <row r="544" spans="1:7" ht="12.75" x14ac:dyDescent="0.2">
      <c r="A544" s="3">
        <v>29</v>
      </c>
      <c r="B544" s="4" t="s">
        <v>59</v>
      </c>
      <c r="C544" s="3" t="s">
        <v>161</v>
      </c>
      <c r="D544" s="3" t="s">
        <v>148</v>
      </c>
      <c r="E544" s="3">
        <v>12</v>
      </c>
      <c r="F544">
        <f>SUM(E540:E547)</f>
        <v>447</v>
      </c>
      <c r="G544" s="19"/>
    </row>
    <row r="545" spans="1:7" ht="12.75" x14ac:dyDescent="0.2">
      <c r="A545" s="3">
        <v>29</v>
      </c>
      <c r="B545" s="4" t="s">
        <v>59</v>
      </c>
      <c r="C545" s="3" t="s">
        <v>161</v>
      </c>
      <c r="D545" s="3" t="s">
        <v>138</v>
      </c>
      <c r="E545" s="3">
        <v>5</v>
      </c>
      <c r="G545" s="19"/>
    </row>
    <row r="546" spans="1:7" ht="12.75" x14ac:dyDescent="0.2">
      <c r="A546" s="3">
        <v>29</v>
      </c>
      <c r="B546" s="4" t="s">
        <v>59</v>
      </c>
      <c r="C546" s="3" t="s">
        <v>161</v>
      </c>
      <c r="D546" s="3" t="s">
        <v>139</v>
      </c>
      <c r="E546" s="3">
        <v>2</v>
      </c>
      <c r="G546" s="19"/>
    </row>
    <row r="547" spans="1:7" ht="12.75" x14ac:dyDescent="0.2">
      <c r="A547" s="3">
        <v>29</v>
      </c>
      <c r="B547" s="4" t="s">
        <v>59</v>
      </c>
      <c r="C547" s="3" t="s">
        <v>161</v>
      </c>
      <c r="D547" s="3" t="s">
        <v>145</v>
      </c>
      <c r="E547" s="3">
        <v>2</v>
      </c>
      <c r="G547" s="19"/>
    </row>
    <row r="548" spans="1:7" ht="12.75" x14ac:dyDescent="0.2">
      <c r="A548" s="3">
        <v>29</v>
      </c>
      <c r="B548" s="4" t="s">
        <v>59</v>
      </c>
      <c r="C548" s="3" t="s">
        <v>162</v>
      </c>
      <c r="D548" s="3" t="s">
        <v>136</v>
      </c>
      <c r="E548" s="3">
        <v>229</v>
      </c>
      <c r="G548" s="19"/>
    </row>
    <row r="549" spans="1:7" ht="12.75" x14ac:dyDescent="0.2">
      <c r="A549" s="3">
        <v>29</v>
      </c>
      <c r="B549" s="4" t="s">
        <v>59</v>
      </c>
      <c r="C549" s="3" t="s">
        <v>162</v>
      </c>
      <c r="D549" s="3" t="s">
        <v>128</v>
      </c>
      <c r="E549" s="3">
        <v>104</v>
      </c>
      <c r="G549" s="19"/>
    </row>
    <row r="550" spans="1:7" ht="12.75" x14ac:dyDescent="0.2">
      <c r="A550" s="3">
        <v>29</v>
      </c>
      <c r="B550" s="4" t="s">
        <v>59</v>
      </c>
      <c r="C550" s="3" t="s">
        <v>162</v>
      </c>
      <c r="D550" s="3" t="s">
        <v>14</v>
      </c>
      <c r="E550" s="3">
        <v>72</v>
      </c>
      <c r="G550" s="19"/>
    </row>
    <row r="551" spans="1:7" ht="12.75" x14ac:dyDescent="0.2">
      <c r="A551" s="3">
        <v>29</v>
      </c>
      <c r="B551" s="4" t="s">
        <v>59</v>
      </c>
      <c r="C551" s="3" t="s">
        <v>162</v>
      </c>
      <c r="D551" s="3" t="s">
        <v>133</v>
      </c>
      <c r="E551" s="3">
        <v>21</v>
      </c>
      <c r="F551">
        <f>SUM(E548:E555)</f>
        <v>447</v>
      </c>
      <c r="G551" s="19"/>
    </row>
    <row r="552" spans="1:7" ht="12.75" x14ac:dyDescent="0.2">
      <c r="A552" s="3">
        <v>29</v>
      </c>
      <c r="B552" s="4" t="s">
        <v>59</v>
      </c>
      <c r="C552" s="3" t="s">
        <v>162</v>
      </c>
      <c r="D552" s="3" t="s">
        <v>148</v>
      </c>
      <c r="E552" s="3">
        <v>13</v>
      </c>
      <c r="G552" s="19"/>
    </row>
    <row r="553" spans="1:7" ht="12.75" x14ac:dyDescent="0.2">
      <c r="A553" s="3">
        <v>29</v>
      </c>
      <c r="B553" s="4" t="s">
        <v>59</v>
      </c>
      <c r="C553" s="3" t="s">
        <v>162</v>
      </c>
      <c r="D553" s="3" t="s">
        <v>138</v>
      </c>
      <c r="E553" s="3">
        <v>4</v>
      </c>
      <c r="G553" s="19"/>
    </row>
    <row r="554" spans="1:7" ht="12.75" x14ac:dyDescent="0.2">
      <c r="A554" s="3">
        <v>29</v>
      </c>
      <c r="B554" s="4" t="s">
        <v>59</v>
      </c>
      <c r="C554" s="3" t="s">
        <v>162</v>
      </c>
      <c r="D554" s="3" t="s">
        <v>139</v>
      </c>
      <c r="E554" s="3">
        <v>2</v>
      </c>
      <c r="G554" s="19"/>
    </row>
    <row r="555" spans="1:7" ht="12.75" x14ac:dyDescent="0.2">
      <c r="A555" s="3">
        <v>29</v>
      </c>
      <c r="B555" s="4" t="s">
        <v>59</v>
      </c>
      <c r="C555" s="3" t="s">
        <v>162</v>
      </c>
      <c r="D555" s="3" t="s">
        <v>145</v>
      </c>
      <c r="E555" s="3">
        <v>2</v>
      </c>
      <c r="G555" s="19"/>
    </row>
    <row r="556" spans="1:7" ht="12.75" x14ac:dyDescent="0.2">
      <c r="A556" s="3">
        <v>30</v>
      </c>
      <c r="B556" s="4" t="s">
        <v>60</v>
      </c>
      <c r="C556" s="3" t="s">
        <v>15</v>
      </c>
      <c r="D556" s="3" t="s">
        <v>136</v>
      </c>
      <c r="E556" s="3">
        <v>136</v>
      </c>
      <c r="F556">
        <f>SUM(E556:E557)</f>
        <v>180</v>
      </c>
      <c r="G556" s="19"/>
    </row>
    <row r="557" spans="1:7" ht="12.75" x14ac:dyDescent="0.2">
      <c r="A557" s="3">
        <v>30</v>
      </c>
      <c r="B557" s="4" t="s">
        <v>60</v>
      </c>
      <c r="C557" s="3" t="s">
        <v>15</v>
      </c>
      <c r="D557" s="3" t="s">
        <v>14</v>
      </c>
      <c r="E557" s="3">
        <v>44</v>
      </c>
      <c r="G557" s="19"/>
    </row>
    <row r="558" spans="1:7" ht="12.75" x14ac:dyDescent="0.2">
      <c r="A558" s="3">
        <v>30</v>
      </c>
      <c r="B558" s="4" t="s">
        <v>60</v>
      </c>
      <c r="C558" s="3" t="s">
        <v>161</v>
      </c>
      <c r="D558" s="3" t="s">
        <v>136</v>
      </c>
      <c r="E558" s="3">
        <v>139</v>
      </c>
      <c r="G558" s="19"/>
    </row>
    <row r="559" spans="1:7" ht="12.75" x14ac:dyDescent="0.2">
      <c r="A559" s="3">
        <v>30</v>
      </c>
      <c r="B559" s="4" t="s">
        <v>60</v>
      </c>
      <c r="C559" s="3" t="s">
        <v>161</v>
      </c>
      <c r="D559" s="3" t="s">
        <v>128</v>
      </c>
      <c r="E559" s="3">
        <v>15</v>
      </c>
      <c r="G559" s="19"/>
    </row>
    <row r="560" spans="1:7" ht="12.75" x14ac:dyDescent="0.2">
      <c r="A560" s="3">
        <v>30</v>
      </c>
      <c r="B560" s="4" t="s">
        <v>60</v>
      </c>
      <c r="C560" s="3" t="s">
        <v>161</v>
      </c>
      <c r="D560" s="3" t="s">
        <v>14</v>
      </c>
      <c r="E560" s="3">
        <v>8</v>
      </c>
      <c r="G560" s="19"/>
    </row>
    <row r="561" spans="1:7" ht="12.75" x14ac:dyDescent="0.2">
      <c r="A561" s="3">
        <v>30</v>
      </c>
      <c r="B561" s="4" t="s">
        <v>60</v>
      </c>
      <c r="C561" s="3" t="s">
        <v>161</v>
      </c>
      <c r="D561" s="3" t="s">
        <v>133</v>
      </c>
      <c r="E561" s="3">
        <v>7</v>
      </c>
      <c r="F561">
        <f>SUM(E558:E567)</f>
        <v>180</v>
      </c>
      <c r="G561" s="19"/>
    </row>
    <row r="562" spans="1:7" ht="12.75" x14ac:dyDescent="0.2">
      <c r="A562" s="3">
        <v>30</v>
      </c>
      <c r="B562" s="4" t="s">
        <v>60</v>
      </c>
      <c r="C562" s="3" t="s">
        <v>161</v>
      </c>
      <c r="D562" s="3" t="s">
        <v>148</v>
      </c>
      <c r="E562" s="3">
        <v>4</v>
      </c>
      <c r="G562" s="19"/>
    </row>
    <row r="563" spans="1:7" ht="12.75" x14ac:dyDescent="0.2">
      <c r="A563" s="3">
        <v>30</v>
      </c>
      <c r="B563" s="4" t="s">
        <v>60</v>
      </c>
      <c r="C563" s="3" t="s">
        <v>161</v>
      </c>
      <c r="D563" s="3" t="s">
        <v>149</v>
      </c>
      <c r="E563" s="3">
        <v>3</v>
      </c>
      <c r="G563" s="19"/>
    </row>
    <row r="564" spans="1:7" ht="12.75" x14ac:dyDescent="0.2">
      <c r="A564" s="3">
        <v>30</v>
      </c>
      <c r="B564" s="4" t="s">
        <v>60</v>
      </c>
      <c r="C564" s="3" t="s">
        <v>161</v>
      </c>
      <c r="D564" s="3" t="s">
        <v>135</v>
      </c>
      <c r="E564" s="3">
        <v>1</v>
      </c>
      <c r="G564" s="19"/>
    </row>
    <row r="565" spans="1:7" ht="12.75" x14ac:dyDescent="0.2">
      <c r="A565" s="3">
        <v>30</v>
      </c>
      <c r="B565" s="4" t="s">
        <v>60</v>
      </c>
      <c r="C565" s="3" t="s">
        <v>161</v>
      </c>
      <c r="D565" s="3" t="s">
        <v>145</v>
      </c>
      <c r="E565" s="3">
        <v>1</v>
      </c>
      <c r="G565" s="19"/>
    </row>
    <row r="566" spans="1:7" ht="12.75" x14ac:dyDescent="0.2">
      <c r="A566" s="3">
        <v>30</v>
      </c>
      <c r="B566" s="4" t="s">
        <v>60</v>
      </c>
      <c r="C566" s="3" t="s">
        <v>161</v>
      </c>
      <c r="D566" s="3" t="s">
        <v>139</v>
      </c>
      <c r="E566" s="3">
        <v>1</v>
      </c>
      <c r="G566" s="19"/>
    </row>
    <row r="567" spans="1:7" ht="12.75" x14ac:dyDescent="0.2">
      <c r="A567" s="3">
        <v>30</v>
      </c>
      <c r="B567" s="4" t="s">
        <v>60</v>
      </c>
      <c r="C567" s="3" t="s">
        <v>161</v>
      </c>
      <c r="D567" s="3" t="s">
        <v>138</v>
      </c>
      <c r="E567" s="3">
        <v>1</v>
      </c>
      <c r="G567" s="19"/>
    </row>
    <row r="568" spans="1:7" ht="12.75" x14ac:dyDescent="0.2">
      <c r="A568" s="3">
        <v>30</v>
      </c>
      <c r="B568" s="4" t="s">
        <v>60</v>
      </c>
      <c r="C568" s="3" t="s">
        <v>162</v>
      </c>
      <c r="D568" s="3" t="s">
        <v>136</v>
      </c>
      <c r="E568" s="3">
        <v>139</v>
      </c>
      <c r="G568" s="19"/>
    </row>
    <row r="569" spans="1:7" ht="12.75" x14ac:dyDescent="0.2">
      <c r="A569" s="3">
        <v>30</v>
      </c>
      <c r="B569" s="4" t="s">
        <v>60</v>
      </c>
      <c r="C569" s="3" t="s">
        <v>162</v>
      </c>
      <c r="D569" s="3" t="s">
        <v>128</v>
      </c>
      <c r="E569" s="3">
        <v>15</v>
      </c>
      <c r="G569" s="19"/>
    </row>
    <row r="570" spans="1:7" ht="12.75" x14ac:dyDescent="0.2">
      <c r="A570" s="3">
        <v>30</v>
      </c>
      <c r="B570" s="4" t="s">
        <v>60</v>
      </c>
      <c r="C570" s="3" t="s">
        <v>162</v>
      </c>
      <c r="D570" s="3" t="s">
        <v>133</v>
      </c>
      <c r="E570" s="3">
        <v>11</v>
      </c>
      <c r="G570" s="19"/>
    </row>
    <row r="571" spans="1:7" ht="12.75" x14ac:dyDescent="0.2">
      <c r="A571" s="3">
        <v>30</v>
      </c>
      <c r="B571" s="4" t="s">
        <v>60</v>
      </c>
      <c r="C571" s="3" t="s">
        <v>162</v>
      </c>
      <c r="D571" s="3" t="s">
        <v>148</v>
      </c>
      <c r="E571" s="3">
        <v>4</v>
      </c>
      <c r="F571">
        <f>SUM(E568:E577)</f>
        <v>180</v>
      </c>
      <c r="G571" s="19"/>
    </row>
    <row r="572" spans="1:7" ht="12.75" x14ac:dyDescent="0.2">
      <c r="A572" s="3">
        <v>30</v>
      </c>
      <c r="B572" s="4" t="s">
        <v>60</v>
      </c>
      <c r="C572" s="3" t="s">
        <v>162</v>
      </c>
      <c r="D572" s="3" t="s">
        <v>14</v>
      </c>
      <c r="E572" s="3">
        <v>4</v>
      </c>
      <c r="G572" s="19"/>
    </row>
    <row r="573" spans="1:7" ht="12.75" x14ac:dyDescent="0.2">
      <c r="A573" s="3">
        <v>30</v>
      </c>
      <c r="B573" s="4" t="s">
        <v>60</v>
      </c>
      <c r="C573" s="3" t="s">
        <v>162</v>
      </c>
      <c r="D573" s="3" t="s">
        <v>149</v>
      </c>
      <c r="E573" s="3">
        <v>3</v>
      </c>
      <c r="G573" s="19"/>
    </row>
    <row r="574" spans="1:7" ht="12.75" x14ac:dyDescent="0.2">
      <c r="A574" s="3">
        <v>30</v>
      </c>
      <c r="B574" s="4" t="s">
        <v>60</v>
      </c>
      <c r="C574" s="3" t="s">
        <v>162</v>
      </c>
      <c r="D574" s="3" t="s">
        <v>135</v>
      </c>
      <c r="E574" s="3">
        <v>1</v>
      </c>
      <c r="G574" s="19"/>
    </row>
    <row r="575" spans="1:7" ht="12.75" x14ac:dyDescent="0.2">
      <c r="A575" s="3">
        <v>30</v>
      </c>
      <c r="B575" s="4" t="s">
        <v>60</v>
      </c>
      <c r="C575" s="3" t="s">
        <v>162</v>
      </c>
      <c r="D575" s="3" t="s">
        <v>145</v>
      </c>
      <c r="E575" s="3">
        <v>1</v>
      </c>
      <c r="G575" s="19"/>
    </row>
    <row r="576" spans="1:7" ht="12.75" x14ac:dyDescent="0.2">
      <c r="A576" s="3">
        <v>30</v>
      </c>
      <c r="B576" s="4" t="s">
        <v>60</v>
      </c>
      <c r="C576" s="3" t="s">
        <v>162</v>
      </c>
      <c r="D576" s="3" t="s">
        <v>139</v>
      </c>
      <c r="E576" s="3">
        <v>1</v>
      </c>
      <c r="G576" s="19"/>
    </row>
    <row r="577" spans="1:7" ht="12.75" x14ac:dyDescent="0.2">
      <c r="A577" s="3">
        <v>30</v>
      </c>
      <c r="B577" s="4" t="s">
        <v>60</v>
      </c>
      <c r="C577" s="3" t="s">
        <v>162</v>
      </c>
      <c r="D577" s="3" t="s">
        <v>138</v>
      </c>
      <c r="E577" s="3">
        <v>1</v>
      </c>
      <c r="G577" s="19"/>
    </row>
    <row r="578" spans="1:7" ht="12.75" x14ac:dyDescent="0.2">
      <c r="A578" s="3">
        <v>31</v>
      </c>
      <c r="B578" s="4" t="s">
        <v>61</v>
      </c>
      <c r="C578" s="3" t="s">
        <v>2</v>
      </c>
      <c r="D578" s="3" t="s">
        <v>136</v>
      </c>
      <c r="E578" s="3">
        <v>1005</v>
      </c>
      <c r="G578" s="19"/>
    </row>
    <row r="579" spans="1:7" ht="12.75" x14ac:dyDescent="0.2">
      <c r="A579" s="3">
        <v>31</v>
      </c>
      <c r="B579" s="4" t="s">
        <v>61</v>
      </c>
      <c r="C579" s="3" t="s">
        <v>2</v>
      </c>
      <c r="D579" s="3" t="s">
        <v>128</v>
      </c>
      <c r="E579" s="3">
        <v>946</v>
      </c>
      <c r="F579">
        <f>SUM(E578:E581)</f>
        <v>2049</v>
      </c>
      <c r="G579" s="19"/>
    </row>
    <row r="580" spans="1:7" ht="12.75" x14ac:dyDescent="0.2">
      <c r="A580" s="3">
        <v>31</v>
      </c>
      <c r="B580" s="4" t="s">
        <v>61</v>
      </c>
      <c r="C580" s="3" t="s">
        <v>2</v>
      </c>
      <c r="D580" s="3" t="s">
        <v>14</v>
      </c>
      <c r="E580" s="3">
        <v>87</v>
      </c>
      <c r="G580" s="19"/>
    </row>
    <row r="581" spans="1:7" ht="12.75" x14ac:dyDescent="0.2">
      <c r="A581" s="3">
        <v>31</v>
      </c>
      <c r="B581" s="4" t="s">
        <v>61</v>
      </c>
      <c r="C581" s="3" t="s">
        <v>2</v>
      </c>
      <c r="D581" s="3" t="s">
        <v>138</v>
      </c>
      <c r="E581" s="3">
        <v>11</v>
      </c>
      <c r="G581" s="19"/>
    </row>
    <row r="582" spans="1:7" ht="12.75" x14ac:dyDescent="0.2">
      <c r="A582" s="3">
        <v>31</v>
      </c>
      <c r="B582" s="4" t="s">
        <v>61</v>
      </c>
      <c r="C582" s="3" t="s">
        <v>161</v>
      </c>
      <c r="D582" s="3" t="s">
        <v>136</v>
      </c>
      <c r="E582" s="3">
        <v>993</v>
      </c>
      <c r="G582" s="19"/>
    </row>
    <row r="583" spans="1:7" ht="12.75" x14ac:dyDescent="0.2">
      <c r="A583" s="3">
        <v>31</v>
      </c>
      <c r="B583" s="4" t="s">
        <v>61</v>
      </c>
      <c r="C583" s="3" t="s">
        <v>161</v>
      </c>
      <c r="D583" s="3" t="s">
        <v>128</v>
      </c>
      <c r="E583" s="3">
        <v>882</v>
      </c>
      <c r="G583" s="19"/>
    </row>
    <row r="584" spans="1:7" ht="12.75" x14ac:dyDescent="0.2">
      <c r="A584" s="3">
        <v>31</v>
      </c>
      <c r="B584" s="4" t="s">
        <v>61</v>
      </c>
      <c r="C584" s="3" t="s">
        <v>161</v>
      </c>
      <c r="D584" s="3" t="s">
        <v>14</v>
      </c>
      <c r="E584" s="3">
        <v>66</v>
      </c>
      <c r="G584" s="19"/>
    </row>
    <row r="585" spans="1:7" ht="12.75" x14ac:dyDescent="0.2">
      <c r="A585" s="3">
        <v>31</v>
      </c>
      <c r="B585" s="4" t="s">
        <v>61</v>
      </c>
      <c r="C585" s="3" t="s">
        <v>161</v>
      </c>
      <c r="D585" s="3" t="s">
        <v>133</v>
      </c>
      <c r="E585" s="3">
        <v>49</v>
      </c>
      <c r="G585" s="19"/>
    </row>
    <row r="586" spans="1:7" ht="12.75" x14ac:dyDescent="0.2">
      <c r="A586" s="3">
        <v>31</v>
      </c>
      <c r="B586" s="4" t="s">
        <v>61</v>
      </c>
      <c r="C586" s="3" t="s">
        <v>161</v>
      </c>
      <c r="D586" s="3" t="s">
        <v>148</v>
      </c>
      <c r="E586" s="3">
        <v>14</v>
      </c>
      <c r="G586" s="19"/>
    </row>
    <row r="587" spans="1:7" ht="12.75" x14ac:dyDescent="0.2">
      <c r="A587" s="3">
        <v>31</v>
      </c>
      <c r="B587" s="4" t="s">
        <v>61</v>
      </c>
      <c r="C587" s="3" t="s">
        <v>161</v>
      </c>
      <c r="D587" s="3" t="s">
        <v>138</v>
      </c>
      <c r="E587" s="3">
        <v>13</v>
      </c>
      <c r="F587">
        <f>SUM(E582:E591)</f>
        <v>2049</v>
      </c>
      <c r="G587" s="19"/>
    </row>
    <row r="588" spans="1:7" ht="12.75" x14ac:dyDescent="0.2">
      <c r="A588" s="3">
        <v>31</v>
      </c>
      <c r="B588" s="4" t="s">
        <v>61</v>
      </c>
      <c r="C588" s="3" t="s">
        <v>161</v>
      </c>
      <c r="D588" s="3" t="s">
        <v>149</v>
      </c>
      <c r="E588" s="3">
        <v>11</v>
      </c>
      <c r="G588" s="19"/>
    </row>
    <row r="589" spans="1:7" ht="12.75" x14ac:dyDescent="0.2">
      <c r="A589" s="3">
        <v>31</v>
      </c>
      <c r="B589" s="4" t="s">
        <v>61</v>
      </c>
      <c r="C589" s="3" t="s">
        <v>161</v>
      </c>
      <c r="D589" s="3" t="s">
        <v>139</v>
      </c>
      <c r="E589" s="3">
        <v>8</v>
      </c>
      <c r="G589" s="19"/>
    </row>
    <row r="590" spans="1:7" ht="12.75" x14ac:dyDescent="0.2">
      <c r="A590" s="3">
        <v>31</v>
      </c>
      <c r="B590" s="4" t="s">
        <v>61</v>
      </c>
      <c r="C590" s="3" t="s">
        <v>161</v>
      </c>
      <c r="D590" s="3" t="s">
        <v>145</v>
      </c>
      <c r="E590" s="3">
        <v>7</v>
      </c>
      <c r="G590" s="19"/>
    </row>
    <row r="591" spans="1:7" ht="12.75" x14ac:dyDescent="0.2">
      <c r="A591" s="3">
        <v>31</v>
      </c>
      <c r="B591" s="4" t="s">
        <v>61</v>
      </c>
      <c r="C591" s="3" t="s">
        <v>161</v>
      </c>
      <c r="D591" s="3" t="s">
        <v>135</v>
      </c>
      <c r="E591" s="3">
        <v>6</v>
      </c>
      <c r="G591" s="19"/>
    </row>
    <row r="592" spans="1:7" ht="12.75" x14ac:dyDescent="0.2">
      <c r="A592" s="3">
        <v>31</v>
      </c>
      <c r="B592" s="4" t="s">
        <v>61</v>
      </c>
      <c r="C592" s="3" t="s">
        <v>162</v>
      </c>
      <c r="D592" s="3" t="s">
        <v>136</v>
      </c>
      <c r="E592" s="3">
        <v>1013</v>
      </c>
      <c r="G592" s="19"/>
    </row>
    <row r="593" spans="1:7" ht="12.75" x14ac:dyDescent="0.2">
      <c r="A593" s="3">
        <v>31</v>
      </c>
      <c r="B593" s="4" t="s">
        <v>61</v>
      </c>
      <c r="C593" s="3" t="s">
        <v>162</v>
      </c>
      <c r="D593" s="3" t="s">
        <v>128</v>
      </c>
      <c r="E593" s="3">
        <v>850</v>
      </c>
      <c r="G593" s="19"/>
    </row>
    <row r="594" spans="1:7" ht="12.75" x14ac:dyDescent="0.2">
      <c r="A594" s="3">
        <v>31</v>
      </c>
      <c r="B594" s="4" t="s">
        <v>61</v>
      </c>
      <c r="C594" s="3" t="s">
        <v>162</v>
      </c>
      <c r="D594" s="3" t="s">
        <v>133</v>
      </c>
      <c r="E594" s="3">
        <v>70</v>
      </c>
      <c r="G594" s="19"/>
    </row>
    <row r="595" spans="1:7" ht="12.75" x14ac:dyDescent="0.2">
      <c r="A595" s="3">
        <v>31</v>
      </c>
      <c r="B595" s="4" t="s">
        <v>61</v>
      </c>
      <c r="C595" s="3" t="s">
        <v>162</v>
      </c>
      <c r="D595" s="3" t="s">
        <v>14</v>
      </c>
      <c r="E595" s="3">
        <v>54</v>
      </c>
      <c r="G595" s="19"/>
    </row>
    <row r="596" spans="1:7" ht="12.75" x14ac:dyDescent="0.2">
      <c r="A596" s="3">
        <v>31</v>
      </c>
      <c r="B596" s="4" t="s">
        <v>61</v>
      </c>
      <c r="C596" s="3" t="s">
        <v>162</v>
      </c>
      <c r="D596" s="3" t="s">
        <v>148</v>
      </c>
      <c r="E596" s="3">
        <v>16</v>
      </c>
      <c r="F596">
        <f>SUM(E592:E601)</f>
        <v>2049</v>
      </c>
      <c r="G596" s="19"/>
    </row>
    <row r="597" spans="1:7" ht="12.75" x14ac:dyDescent="0.2">
      <c r="A597" s="3">
        <v>31</v>
      </c>
      <c r="B597" s="4" t="s">
        <v>61</v>
      </c>
      <c r="C597" s="3" t="s">
        <v>162</v>
      </c>
      <c r="D597" s="3" t="s">
        <v>138</v>
      </c>
      <c r="E597" s="3">
        <v>13</v>
      </c>
      <c r="G597" s="19"/>
    </row>
    <row r="598" spans="1:7" ht="12.75" x14ac:dyDescent="0.2">
      <c r="A598" s="3">
        <v>31</v>
      </c>
      <c r="B598" s="4" t="s">
        <v>61</v>
      </c>
      <c r="C598" s="3" t="s">
        <v>162</v>
      </c>
      <c r="D598" s="3" t="s">
        <v>149</v>
      </c>
      <c r="E598" s="3">
        <v>11</v>
      </c>
      <c r="G598" s="19"/>
    </row>
    <row r="599" spans="1:7" ht="12.75" x14ac:dyDescent="0.2">
      <c r="A599" s="3">
        <v>31</v>
      </c>
      <c r="B599" s="4" t="s">
        <v>61</v>
      </c>
      <c r="C599" s="3" t="s">
        <v>162</v>
      </c>
      <c r="D599" s="3" t="s">
        <v>139</v>
      </c>
      <c r="E599" s="3">
        <v>9</v>
      </c>
      <c r="G599" s="19"/>
    </row>
    <row r="600" spans="1:7" ht="12.75" x14ac:dyDescent="0.2">
      <c r="A600" s="3">
        <v>31</v>
      </c>
      <c r="B600" s="4" t="s">
        <v>61</v>
      </c>
      <c r="C600" s="3" t="s">
        <v>162</v>
      </c>
      <c r="D600" s="3" t="s">
        <v>145</v>
      </c>
      <c r="E600" s="3">
        <v>7</v>
      </c>
      <c r="G600" s="19"/>
    </row>
    <row r="601" spans="1:7" ht="12.75" x14ac:dyDescent="0.2">
      <c r="A601" s="3">
        <v>31</v>
      </c>
      <c r="B601" s="4" t="s">
        <v>61</v>
      </c>
      <c r="C601" s="3" t="s">
        <v>162</v>
      </c>
      <c r="D601" s="3" t="s">
        <v>135</v>
      </c>
      <c r="E601" s="3">
        <v>6</v>
      </c>
      <c r="G601" s="19"/>
    </row>
    <row r="602" spans="1:7" ht="12.75" x14ac:dyDescent="0.2">
      <c r="A602" s="3">
        <v>32</v>
      </c>
      <c r="B602" s="4" t="s">
        <v>62</v>
      </c>
      <c r="C602" s="3" t="s">
        <v>2</v>
      </c>
      <c r="D602" s="3" t="s">
        <v>136</v>
      </c>
      <c r="E602" s="3">
        <v>216</v>
      </c>
      <c r="G602" s="19"/>
    </row>
    <row r="603" spans="1:7" ht="12.75" x14ac:dyDescent="0.2">
      <c r="A603" s="3">
        <v>32</v>
      </c>
      <c r="B603" s="4" t="s">
        <v>62</v>
      </c>
      <c r="C603" s="3" t="s">
        <v>2</v>
      </c>
      <c r="D603" s="3" t="s">
        <v>14</v>
      </c>
      <c r="E603" s="3">
        <v>28</v>
      </c>
      <c r="F603">
        <f>SUM(E602:E604)</f>
        <v>248</v>
      </c>
      <c r="G603" s="19"/>
    </row>
    <row r="604" spans="1:7" ht="12.75" x14ac:dyDescent="0.2">
      <c r="A604" s="3">
        <v>32</v>
      </c>
      <c r="B604" s="4" t="s">
        <v>62</v>
      </c>
      <c r="C604" s="3" t="s">
        <v>2</v>
      </c>
      <c r="D604" s="3" t="s">
        <v>138</v>
      </c>
      <c r="E604" s="3">
        <v>4</v>
      </c>
      <c r="G604" s="19"/>
    </row>
    <row r="605" spans="1:7" ht="12.75" x14ac:dyDescent="0.2">
      <c r="A605" s="3">
        <v>32</v>
      </c>
      <c r="B605" s="4" t="s">
        <v>62</v>
      </c>
      <c r="C605" s="3" t="s">
        <v>161</v>
      </c>
      <c r="D605" s="3" t="s">
        <v>136</v>
      </c>
      <c r="E605" s="3">
        <v>206</v>
      </c>
      <c r="G605" s="19"/>
    </row>
    <row r="606" spans="1:7" ht="12.75" x14ac:dyDescent="0.2">
      <c r="A606" s="3">
        <v>32</v>
      </c>
      <c r="B606" s="4" t="s">
        <v>62</v>
      </c>
      <c r="C606" s="3" t="s">
        <v>161</v>
      </c>
      <c r="D606" s="3" t="s">
        <v>138</v>
      </c>
      <c r="E606" s="3">
        <v>9</v>
      </c>
      <c r="G606" s="19"/>
    </row>
    <row r="607" spans="1:7" ht="12.75" x14ac:dyDescent="0.2">
      <c r="A607" s="3">
        <v>32</v>
      </c>
      <c r="B607" s="4" t="s">
        <v>62</v>
      </c>
      <c r="C607" s="3" t="s">
        <v>161</v>
      </c>
      <c r="D607" s="3" t="s">
        <v>128</v>
      </c>
      <c r="E607" s="3">
        <v>8</v>
      </c>
      <c r="G607" s="19"/>
    </row>
    <row r="608" spans="1:7" ht="12.75" x14ac:dyDescent="0.2">
      <c r="A608" s="3">
        <v>32</v>
      </c>
      <c r="B608" s="4" t="s">
        <v>62</v>
      </c>
      <c r="C608" s="3" t="s">
        <v>161</v>
      </c>
      <c r="D608" s="3" t="s">
        <v>149</v>
      </c>
      <c r="E608" s="3">
        <v>8</v>
      </c>
      <c r="G608" s="19"/>
    </row>
    <row r="609" spans="1:7" ht="12.75" x14ac:dyDescent="0.2">
      <c r="A609" s="3">
        <v>32</v>
      </c>
      <c r="B609" s="4" t="s">
        <v>62</v>
      </c>
      <c r="C609" s="3" t="s">
        <v>161</v>
      </c>
      <c r="D609" s="3" t="s">
        <v>148</v>
      </c>
      <c r="E609" s="3">
        <v>6</v>
      </c>
      <c r="G609" s="19"/>
    </row>
    <row r="610" spans="1:7" ht="12.75" x14ac:dyDescent="0.2">
      <c r="A610" s="3">
        <v>32</v>
      </c>
      <c r="B610" s="4" t="s">
        <v>62</v>
      </c>
      <c r="C610" s="3" t="s">
        <v>161</v>
      </c>
      <c r="D610" s="3" t="s">
        <v>133</v>
      </c>
      <c r="E610" s="3">
        <v>5</v>
      </c>
      <c r="F610">
        <f>SUM(E605:E613)</f>
        <v>248</v>
      </c>
      <c r="G610" s="19"/>
    </row>
    <row r="611" spans="1:7" ht="12.75" x14ac:dyDescent="0.2">
      <c r="A611" s="3">
        <v>32</v>
      </c>
      <c r="B611" s="4" t="s">
        <v>62</v>
      </c>
      <c r="C611" s="3" t="s">
        <v>161</v>
      </c>
      <c r="D611" s="3" t="s">
        <v>14</v>
      </c>
      <c r="E611" s="3">
        <v>4</v>
      </c>
      <c r="G611" s="19"/>
    </row>
    <row r="612" spans="1:7" ht="12.75" x14ac:dyDescent="0.2">
      <c r="A612" s="3">
        <v>32</v>
      </c>
      <c r="B612" s="4" t="s">
        <v>62</v>
      </c>
      <c r="C612" s="3" t="s">
        <v>161</v>
      </c>
      <c r="D612" s="3" t="s">
        <v>135</v>
      </c>
      <c r="E612" s="3">
        <v>1</v>
      </c>
      <c r="G612" s="19"/>
    </row>
    <row r="613" spans="1:7" ht="12.75" x14ac:dyDescent="0.2">
      <c r="A613" s="3">
        <v>32</v>
      </c>
      <c r="B613" s="4" t="s">
        <v>62</v>
      </c>
      <c r="C613" s="3" t="s">
        <v>161</v>
      </c>
      <c r="D613" s="3" t="s">
        <v>139</v>
      </c>
      <c r="E613" s="3">
        <v>1</v>
      </c>
      <c r="G613" s="19"/>
    </row>
    <row r="614" spans="1:7" ht="12.75" x14ac:dyDescent="0.2">
      <c r="A614" s="3">
        <v>32</v>
      </c>
      <c r="B614" s="4" t="s">
        <v>62</v>
      </c>
      <c r="C614" s="3" t="s">
        <v>162</v>
      </c>
      <c r="D614" s="3" t="s">
        <v>136</v>
      </c>
      <c r="E614" s="3">
        <v>207</v>
      </c>
      <c r="G614" s="19"/>
    </row>
    <row r="615" spans="1:7" ht="12.75" x14ac:dyDescent="0.2">
      <c r="A615" s="3">
        <v>32</v>
      </c>
      <c r="B615" s="4" t="s">
        <v>62</v>
      </c>
      <c r="C615" s="3" t="s">
        <v>162</v>
      </c>
      <c r="D615" s="3" t="s">
        <v>138</v>
      </c>
      <c r="E615" s="3">
        <v>9</v>
      </c>
      <c r="G615" s="19"/>
    </row>
    <row r="616" spans="1:7" ht="12.75" x14ac:dyDescent="0.2">
      <c r="A616" s="3">
        <v>32</v>
      </c>
      <c r="B616" s="4" t="s">
        <v>62</v>
      </c>
      <c r="C616" s="3" t="s">
        <v>162</v>
      </c>
      <c r="D616" s="3" t="s">
        <v>128</v>
      </c>
      <c r="E616" s="3">
        <v>8</v>
      </c>
      <c r="G616" s="19"/>
    </row>
    <row r="617" spans="1:7" ht="12.75" x14ac:dyDescent="0.2">
      <c r="A617" s="3">
        <v>32</v>
      </c>
      <c r="B617" s="4" t="s">
        <v>62</v>
      </c>
      <c r="C617" s="3" t="s">
        <v>162</v>
      </c>
      <c r="D617" s="3" t="s">
        <v>149</v>
      </c>
      <c r="E617" s="3">
        <v>8</v>
      </c>
      <c r="G617" s="19"/>
    </row>
    <row r="618" spans="1:7" ht="12.75" x14ac:dyDescent="0.2">
      <c r="A618" s="3">
        <v>32</v>
      </c>
      <c r="B618" s="4" t="s">
        <v>62</v>
      </c>
      <c r="C618" s="3" t="s">
        <v>162</v>
      </c>
      <c r="D618" s="3" t="s">
        <v>148</v>
      </c>
      <c r="E618" s="3">
        <v>5</v>
      </c>
      <c r="F618">
        <f>SUM(E614:E622)</f>
        <v>248</v>
      </c>
      <c r="G618" s="19"/>
    </row>
    <row r="619" spans="1:7" ht="12.75" x14ac:dyDescent="0.2">
      <c r="A619" s="3">
        <v>32</v>
      </c>
      <c r="B619" s="4" t="s">
        <v>62</v>
      </c>
      <c r="C619" s="3" t="s">
        <v>162</v>
      </c>
      <c r="D619" s="3" t="s">
        <v>133</v>
      </c>
      <c r="E619" s="3">
        <v>5</v>
      </c>
      <c r="G619" s="19"/>
    </row>
    <row r="620" spans="1:7" ht="12.75" x14ac:dyDescent="0.2">
      <c r="A620" s="3">
        <v>32</v>
      </c>
      <c r="B620" s="4" t="s">
        <v>62</v>
      </c>
      <c r="C620" s="3" t="s">
        <v>162</v>
      </c>
      <c r="D620" s="3" t="s">
        <v>14</v>
      </c>
      <c r="E620" s="3">
        <v>4</v>
      </c>
      <c r="G620" s="19"/>
    </row>
    <row r="621" spans="1:7" ht="12.75" x14ac:dyDescent="0.2">
      <c r="A621" s="3">
        <v>32</v>
      </c>
      <c r="B621" s="4" t="s">
        <v>62</v>
      </c>
      <c r="C621" s="3" t="s">
        <v>162</v>
      </c>
      <c r="D621" s="3" t="s">
        <v>139</v>
      </c>
      <c r="E621" s="3">
        <v>1</v>
      </c>
      <c r="G621" s="19"/>
    </row>
    <row r="622" spans="1:7" ht="12.75" x14ac:dyDescent="0.2">
      <c r="A622" s="3">
        <v>32</v>
      </c>
      <c r="B622" s="4" t="s">
        <v>62</v>
      </c>
      <c r="C622" s="3" t="s">
        <v>162</v>
      </c>
      <c r="D622" s="3" t="s">
        <v>135</v>
      </c>
      <c r="E622" s="3">
        <v>1</v>
      </c>
      <c r="G622" s="19"/>
    </row>
    <row r="623" spans="1:7" ht="12.75" x14ac:dyDescent="0.2">
      <c r="A623" s="3">
        <v>33</v>
      </c>
      <c r="B623" s="4" t="s">
        <v>63</v>
      </c>
      <c r="C623" s="3" t="s">
        <v>2</v>
      </c>
      <c r="D623" s="3" t="s">
        <v>136</v>
      </c>
      <c r="E623" s="3">
        <v>289</v>
      </c>
      <c r="F623">
        <f>SUM(E623:E624)</f>
        <v>395</v>
      </c>
      <c r="G623" s="19"/>
    </row>
    <row r="624" spans="1:7" ht="12.75" x14ac:dyDescent="0.2">
      <c r="A624" s="3">
        <v>33</v>
      </c>
      <c r="B624" s="4" t="s">
        <v>63</v>
      </c>
      <c r="C624" s="3" t="s">
        <v>2</v>
      </c>
      <c r="D624" s="3" t="s">
        <v>14</v>
      </c>
      <c r="E624" s="3">
        <v>106</v>
      </c>
      <c r="G624" s="19"/>
    </row>
    <row r="625" spans="1:7" ht="12.75" x14ac:dyDescent="0.2">
      <c r="A625" s="3">
        <v>33</v>
      </c>
      <c r="B625" s="4" t="s">
        <v>63</v>
      </c>
      <c r="C625" s="3" t="s">
        <v>161</v>
      </c>
      <c r="D625" s="3" t="s">
        <v>136</v>
      </c>
      <c r="E625" s="3">
        <v>269</v>
      </c>
      <c r="G625" s="19"/>
    </row>
    <row r="626" spans="1:7" ht="12.75" x14ac:dyDescent="0.2">
      <c r="A626" s="3">
        <v>33</v>
      </c>
      <c r="B626" s="4" t="s">
        <v>63</v>
      </c>
      <c r="C626" s="3" t="s">
        <v>161</v>
      </c>
      <c r="D626" s="3" t="s">
        <v>128</v>
      </c>
      <c r="E626" s="3">
        <v>87</v>
      </c>
      <c r="G626" s="19"/>
    </row>
    <row r="627" spans="1:7" ht="12.75" x14ac:dyDescent="0.2">
      <c r="A627" s="3">
        <v>33</v>
      </c>
      <c r="B627" s="4" t="s">
        <v>63</v>
      </c>
      <c r="C627" s="3" t="s">
        <v>161</v>
      </c>
      <c r="D627" s="3" t="s">
        <v>14</v>
      </c>
      <c r="E627" s="3">
        <v>31</v>
      </c>
      <c r="G627" s="19"/>
    </row>
    <row r="628" spans="1:7" ht="12.75" x14ac:dyDescent="0.2">
      <c r="A628" s="3">
        <v>33</v>
      </c>
      <c r="B628" s="4" t="s">
        <v>63</v>
      </c>
      <c r="C628" s="3" t="s">
        <v>161</v>
      </c>
      <c r="D628" s="3" t="s">
        <v>148</v>
      </c>
      <c r="E628" s="3">
        <v>3</v>
      </c>
      <c r="G628" s="19"/>
    </row>
    <row r="629" spans="1:7" ht="12.75" x14ac:dyDescent="0.2">
      <c r="A629" s="3">
        <v>33</v>
      </c>
      <c r="B629" s="4" t="s">
        <v>63</v>
      </c>
      <c r="C629" s="3" t="s">
        <v>161</v>
      </c>
      <c r="D629" s="3" t="s">
        <v>149</v>
      </c>
      <c r="E629" s="3">
        <v>2</v>
      </c>
      <c r="F629">
        <f>SUM(E625:E631)</f>
        <v>395</v>
      </c>
      <c r="G629" s="19"/>
    </row>
    <row r="630" spans="1:7" ht="12.75" x14ac:dyDescent="0.2">
      <c r="A630" s="3">
        <v>33</v>
      </c>
      <c r="B630" s="4" t="s">
        <v>63</v>
      </c>
      <c r="C630" s="3" t="s">
        <v>161</v>
      </c>
      <c r="D630" s="3" t="s">
        <v>133</v>
      </c>
      <c r="E630" s="3">
        <v>2</v>
      </c>
      <c r="G630" s="19"/>
    </row>
    <row r="631" spans="1:7" ht="12.75" x14ac:dyDescent="0.2">
      <c r="A631" s="3">
        <v>33</v>
      </c>
      <c r="B631" s="4" t="s">
        <v>63</v>
      </c>
      <c r="C631" s="3" t="s">
        <v>161</v>
      </c>
      <c r="D631" s="3" t="s">
        <v>135</v>
      </c>
      <c r="E631" s="3">
        <v>1</v>
      </c>
      <c r="G631" s="19"/>
    </row>
    <row r="632" spans="1:7" ht="12.75" x14ac:dyDescent="0.2">
      <c r="A632" s="3">
        <v>33</v>
      </c>
      <c r="B632" s="4" t="s">
        <v>63</v>
      </c>
      <c r="C632" s="3" t="s">
        <v>162</v>
      </c>
      <c r="D632" s="3" t="s">
        <v>136</v>
      </c>
      <c r="E632" s="3">
        <v>270</v>
      </c>
      <c r="G632" s="19"/>
    </row>
    <row r="633" spans="1:7" ht="12.75" x14ac:dyDescent="0.2">
      <c r="A633" s="3">
        <v>33</v>
      </c>
      <c r="B633" s="4" t="s">
        <v>63</v>
      </c>
      <c r="C633" s="3" t="s">
        <v>162</v>
      </c>
      <c r="D633" s="3" t="s">
        <v>128</v>
      </c>
      <c r="E633" s="3">
        <v>91</v>
      </c>
      <c r="G633" s="19"/>
    </row>
    <row r="634" spans="1:7" ht="12.75" x14ac:dyDescent="0.2">
      <c r="A634" s="3">
        <v>33</v>
      </c>
      <c r="B634" s="4" t="s">
        <v>63</v>
      </c>
      <c r="C634" s="3" t="s">
        <v>162</v>
      </c>
      <c r="D634" s="3" t="s">
        <v>14</v>
      </c>
      <c r="E634" s="3">
        <v>22</v>
      </c>
      <c r="G634" s="19"/>
    </row>
    <row r="635" spans="1:7" ht="12.75" x14ac:dyDescent="0.2">
      <c r="A635" s="3">
        <v>33</v>
      </c>
      <c r="B635" s="4" t="s">
        <v>63</v>
      </c>
      <c r="C635" s="3" t="s">
        <v>162</v>
      </c>
      <c r="D635" s="3" t="s">
        <v>133</v>
      </c>
      <c r="E635" s="3">
        <v>5</v>
      </c>
      <c r="F635">
        <f>SUM(E632:E638)</f>
        <v>395</v>
      </c>
      <c r="G635" s="19"/>
    </row>
    <row r="636" spans="1:7" ht="12.75" x14ac:dyDescent="0.2">
      <c r="A636" s="3">
        <v>33</v>
      </c>
      <c r="B636" s="4" t="s">
        <v>63</v>
      </c>
      <c r="C636" s="3" t="s">
        <v>162</v>
      </c>
      <c r="D636" s="3" t="s">
        <v>149</v>
      </c>
      <c r="E636" s="3">
        <v>4</v>
      </c>
      <c r="G636" s="19"/>
    </row>
    <row r="637" spans="1:7" ht="12.75" x14ac:dyDescent="0.2">
      <c r="A637" s="3">
        <v>33</v>
      </c>
      <c r="B637" s="4" t="s">
        <v>63</v>
      </c>
      <c r="C637" s="3" t="s">
        <v>162</v>
      </c>
      <c r="D637" s="3" t="s">
        <v>148</v>
      </c>
      <c r="E637" s="3">
        <v>2</v>
      </c>
      <c r="G637" s="19"/>
    </row>
    <row r="638" spans="1:7" ht="12.75" x14ac:dyDescent="0.2">
      <c r="A638" s="3">
        <v>33</v>
      </c>
      <c r="B638" s="4" t="s">
        <v>63</v>
      </c>
      <c r="C638" s="3" t="s">
        <v>162</v>
      </c>
      <c r="D638" s="3" t="s">
        <v>135</v>
      </c>
      <c r="E638" s="3">
        <v>1</v>
      </c>
      <c r="G638" s="19"/>
    </row>
    <row r="639" spans="1:7" ht="12.75" x14ac:dyDescent="0.2">
      <c r="A639" s="3">
        <v>34</v>
      </c>
      <c r="B639" s="4" t="s">
        <v>64</v>
      </c>
      <c r="C639" s="3" t="s">
        <v>2</v>
      </c>
      <c r="D639" s="3" t="s">
        <v>136</v>
      </c>
      <c r="E639" s="3">
        <v>817</v>
      </c>
      <c r="G639" s="19"/>
    </row>
    <row r="640" spans="1:7" ht="12.75" x14ac:dyDescent="0.2">
      <c r="A640" s="3">
        <v>34</v>
      </c>
      <c r="B640" s="4" t="s">
        <v>64</v>
      </c>
      <c r="C640" s="3" t="s">
        <v>2</v>
      </c>
      <c r="D640" s="3" t="s">
        <v>128</v>
      </c>
      <c r="E640" s="3">
        <v>758</v>
      </c>
      <c r="F640">
        <f>SUM(E639:E641)</f>
        <v>1634</v>
      </c>
      <c r="G640" s="19"/>
    </row>
    <row r="641" spans="1:7" ht="12.75" x14ac:dyDescent="0.2">
      <c r="A641" s="3">
        <v>34</v>
      </c>
      <c r="B641" s="4" t="s">
        <v>64</v>
      </c>
      <c r="C641" s="3" t="s">
        <v>2</v>
      </c>
      <c r="D641" s="3" t="s">
        <v>14</v>
      </c>
      <c r="E641" s="3">
        <v>59</v>
      </c>
      <c r="G641" s="19"/>
    </row>
    <row r="642" spans="1:7" ht="12.75" x14ac:dyDescent="0.2">
      <c r="A642" s="3">
        <v>34</v>
      </c>
      <c r="B642" s="4" t="s">
        <v>64</v>
      </c>
      <c r="C642" s="3" t="s">
        <v>161</v>
      </c>
      <c r="D642" s="3" t="s">
        <v>136</v>
      </c>
      <c r="E642" s="3">
        <v>823</v>
      </c>
      <c r="G642" s="19"/>
    </row>
    <row r="643" spans="1:7" ht="12.75" x14ac:dyDescent="0.2">
      <c r="A643" s="3">
        <v>34</v>
      </c>
      <c r="B643" s="4" t="s">
        <v>64</v>
      </c>
      <c r="C643" s="3" t="s">
        <v>161</v>
      </c>
      <c r="D643" s="3" t="s">
        <v>128</v>
      </c>
      <c r="E643" s="3">
        <v>717</v>
      </c>
      <c r="G643" s="19"/>
    </row>
    <row r="644" spans="1:7" ht="12.75" x14ac:dyDescent="0.2">
      <c r="A644" s="3">
        <v>34</v>
      </c>
      <c r="B644" s="4" t="s">
        <v>64</v>
      </c>
      <c r="C644" s="3" t="s">
        <v>161</v>
      </c>
      <c r="D644" s="3" t="s">
        <v>14</v>
      </c>
      <c r="E644" s="3">
        <v>49</v>
      </c>
      <c r="G644" s="19"/>
    </row>
    <row r="645" spans="1:7" ht="12.75" x14ac:dyDescent="0.2">
      <c r="A645" s="3">
        <v>34</v>
      </c>
      <c r="B645" s="4" t="s">
        <v>64</v>
      </c>
      <c r="C645" s="3" t="s">
        <v>161</v>
      </c>
      <c r="D645" s="3" t="s">
        <v>133</v>
      </c>
      <c r="E645" s="3">
        <v>24</v>
      </c>
      <c r="G645" s="19"/>
    </row>
    <row r="646" spans="1:7" ht="12.75" x14ac:dyDescent="0.2">
      <c r="A646" s="3">
        <v>34</v>
      </c>
      <c r="B646" s="4" t="s">
        <v>64</v>
      </c>
      <c r="C646" s="3" t="s">
        <v>161</v>
      </c>
      <c r="D646" s="3" t="s">
        <v>149</v>
      </c>
      <c r="E646" s="3">
        <v>6</v>
      </c>
      <c r="F646">
        <f>SUM(E642:E650)</f>
        <v>1634</v>
      </c>
      <c r="G646" s="19"/>
    </row>
    <row r="647" spans="1:7" ht="12.75" x14ac:dyDescent="0.2">
      <c r="A647" s="3">
        <v>34</v>
      </c>
      <c r="B647" s="4" t="s">
        <v>64</v>
      </c>
      <c r="C647" s="3" t="s">
        <v>161</v>
      </c>
      <c r="D647" s="3" t="s">
        <v>139</v>
      </c>
      <c r="E647" s="3">
        <v>5</v>
      </c>
      <c r="G647" s="19"/>
    </row>
    <row r="648" spans="1:7" ht="12.75" x14ac:dyDescent="0.2">
      <c r="A648" s="3">
        <v>34</v>
      </c>
      <c r="B648" s="4" t="s">
        <v>64</v>
      </c>
      <c r="C648" s="3" t="s">
        <v>161</v>
      </c>
      <c r="D648" s="3" t="s">
        <v>148</v>
      </c>
      <c r="E648" s="3">
        <v>4</v>
      </c>
      <c r="G648" s="19"/>
    </row>
    <row r="649" spans="1:7" ht="12.75" x14ac:dyDescent="0.2">
      <c r="A649" s="3">
        <v>34</v>
      </c>
      <c r="B649" s="4" t="s">
        <v>64</v>
      </c>
      <c r="C649" s="3" t="s">
        <v>161</v>
      </c>
      <c r="D649" s="3" t="s">
        <v>135</v>
      </c>
      <c r="E649" s="3">
        <v>3</v>
      </c>
      <c r="G649" s="19"/>
    </row>
    <row r="650" spans="1:7" ht="12.75" x14ac:dyDescent="0.2">
      <c r="A650" s="3">
        <v>34</v>
      </c>
      <c r="B650" s="4" t="s">
        <v>64</v>
      </c>
      <c r="C650" s="3" t="s">
        <v>161</v>
      </c>
      <c r="D650" s="3" t="s">
        <v>145</v>
      </c>
      <c r="E650" s="3">
        <v>3</v>
      </c>
      <c r="G650" s="19"/>
    </row>
    <row r="651" spans="1:7" ht="12.75" x14ac:dyDescent="0.2">
      <c r="A651" s="3">
        <v>34</v>
      </c>
      <c r="B651" s="4" t="s">
        <v>64</v>
      </c>
      <c r="C651" s="3" t="s">
        <v>162</v>
      </c>
      <c r="D651" s="3" t="s">
        <v>136</v>
      </c>
      <c r="E651" s="3">
        <v>843</v>
      </c>
      <c r="G651" s="19"/>
    </row>
    <row r="652" spans="1:7" ht="12.75" x14ac:dyDescent="0.2">
      <c r="A652" s="3">
        <v>34</v>
      </c>
      <c r="B652" s="4" t="s">
        <v>64</v>
      </c>
      <c r="C652" s="3" t="s">
        <v>162</v>
      </c>
      <c r="D652" s="3" t="s">
        <v>128</v>
      </c>
      <c r="E652" s="3">
        <v>707</v>
      </c>
      <c r="G652" s="19"/>
    </row>
    <row r="653" spans="1:7" ht="12.75" x14ac:dyDescent="0.2">
      <c r="A653" s="3">
        <v>34</v>
      </c>
      <c r="B653" s="4" t="s">
        <v>64</v>
      </c>
      <c r="C653" s="3" t="s">
        <v>162</v>
      </c>
      <c r="D653" s="3" t="s">
        <v>14</v>
      </c>
      <c r="E653" s="3">
        <v>35</v>
      </c>
      <c r="G653" s="19"/>
    </row>
    <row r="654" spans="1:7" ht="12.75" x14ac:dyDescent="0.2">
      <c r="A654" s="3">
        <v>34</v>
      </c>
      <c r="B654" s="4" t="s">
        <v>64</v>
      </c>
      <c r="C654" s="3" t="s">
        <v>162</v>
      </c>
      <c r="D654" s="3" t="s">
        <v>133</v>
      </c>
      <c r="E654" s="3">
        <v>27</v>
      </c>
      <c r="G654" s="19"/>
    </row>
    <row r="655" spans="1:7" ht="12.75" x14ac:dyDescent="0.2">
      <c r="A655" s="3">
        <v>34</v>
      </c>
      <c r="B655" s="4" t="s">
        <v>64</v>
      </c>
      <c r="C655" s="3" t="s">
        <v>162</v>
      </c>
      <c r="D655" s="3" t="s">
        <v>149</v>
      </c>
      <c r="E655" s="3">
        <v>6</v>
      </c>
      <c r="F655">
        <f>SUM(E651:E659)</f>
        <v>1634</v>
      </c>
      <c r="G655" s="19"/>
    </row>
    <row r="656" spans="1:7" ht="12.75" x14ac:dyDescent="0.2">
      <c r="A656" s="3">
        <v>34</v>
      </c>
      <c r="B656" s="4" t="s">
        <v>64</v>
      </c>
      <c r="C656" s="3" t="s">
        <v>162</v>
      </c>
      <c r="D656" s="3" t="s">
        <v>148</v>
      </c>
      <c r="E656" s="3">
        <v>5</v>
      </c>
      <c r="G656" s="19"/>
    </row>
    <row r="657" spans="1:7" ht="12.75" x14ac:dyDescent="0.2">
      <c r="A657" s="3">
        <v>34</v>
      </c>
      <c r="B657" s="4" t="s">
        <v>64</v>
      </c>
      <c r="C657" s="3" t="s">
        <v>162</v>
      </c>
      <c r="D657" s="3" t="s">
        <v>139</v>
      </c>
      <c r="E657" s="3">
        <v>5</v>
      </c>
      <c r="G657" s="19"/>
    </row>
    <row r="658" spans="1:7" ht="12.75" x14ac:dyDescent="0.2">
      <c r="A658" s="3">
        <v>34</v>
      </c>
      <c r="B658" s="4" t="s">
        <v>64</v>
      </c>
      <c r="C658" s="3" t="s">
        <v>162</v>
      </c>
      <c r="D658" s="3" t="s">
        <v>135</v>
      </c>
      <c r="E658" s="3">
        <v>3</v>
      </c>
      <c r="G658" s="19"/>
    </row>
    <row r="659" spans="1:7" ht="12.75" x14ac:dyDescent="0.2">
      <c r="A659" s="3">
        <v>34</v>
      </c>
      <c r="B659" s="4" t="s">
        <v>64</v>
      </c>
      <c r="C659" s="3" t="s">
        <v>162</v>
      </c>
      <c r="D659" s="3" t="s">
        <v>145</v>
      </c>
      <c r="E659" s="3">
        <v>3</v>
      </c>
      <c r="G659" s="19"/>
    </row>
    <row r="660" spans="1:7" ht="12.75" x14ac:dyDescent="0.2">
      <c r="A660" s="3">
        <v>35</v>
      </c>
      <c r="B660" s="4" t="s">
        <v>65</v>
      </c>
      <c r="C660" s="3" t="s">
        <v>2</v>
      </c>
      <c r="D660" s="3" t="s">
        <v>128</v>
      </c>
      <c r="E660" s="3">
        <v>661</v>
      </c>
      <c r="G660" s="19"/>
    </row>
    <row r="661" spans="1:7" ht="12.75" x14ac:dyDescent="0.2">
      <c r="A661" s="3">
        <v>35</v>
      </c>
      <c r="B661" s="4" t="s">
        <v>65</v>
      </c>
      <c r="C661" s="3" t="s">
        <v>2</v>
      </c>
      <c r="D661" s="3" t="s">
        <v>136</v>
      </c>
      <c r="E661" s="3">
        <v>171</v>
      </c>
      <c r="F661">
        <f>SUM(E660:E663)</f>
        <v>852</v>
      </c>
      <c r="G661" s="19"/>
    </row>
    <row r="662" spans="1:7" ht="12.75" x14ac:dyDescent="0.2">
      <c r="A662" s="3">
        <v>35</v>
      </c>
      <c r="B662" s="4" t="s">
        <v>65</v>
      </c>
      <c r="C662" s="3" t="s">
        <v>2</v>
      </c>
      <c r="D662" s="3" t="s">
        <v>14</v>
      </c>
      <c r="E662" s="3">
        <v>18</v>
      </c>
      <c r="G662" s="19"/>
    </row>
    <row r="663" spans="1:7" ht="12.75" x14ac:dyDescent="0.2">
      <c r="A663" s="3">
        <v>35</v>
      </c>
      <c r="B663" s="4" t="s">
        <v>65</v>
      </c>
      <c r="C663" s="3" t="s">
        <v>2</v>
      </c>
      <c r="D663" s="3" t="s">
        <v>138</v>
      </c>
      <c r="E663" s="3">
        <v>2</v>
      </c>
      <c r="G663" s="19"/>
    </row>
    <row r="664" spans="1:7" ht="12.75" x14ac:dyDescent="0.2">
      <c r="A664" s="3">
        <v>35</v>
      </c>
      <c r="B664" s="4" t="s">
        <v>65</v>
      </c>
      <c r="C664" s="3" t="s">
        <v>161</v>
      </c>
      <c r="D664" s="3" t="s">
        <v>128</v>
      </c>
      <c r="E664" s="3">
        <v>523</v>
      </c>
      <c r="G664" s="19"/>
    </row>
    <row r="665" spans="1:7" ht="12.75" x14ac:dyDescent="0.2">
      <c r="A665" s="3">
        <v>35</v>
      </c>
      <c r="B665" s="4" t="s">
        <v>65</v>
      </c>
      <c r="C665" s="3" t="s">
        <v>161</v>
      </c>
      <c r="D665" s="3" t="s">
        <v>136</v>
      </c>
      <c r="E665" s="3">
        <v>243</v>
      </c>
      <c r="G665" s="19"/>
    </row>
    <row r="666" spans="1:7" ht="12.75" x14ac:dyDescent="0.2">
      <c r="A666" s="3">
        <v>35</v>
      </c>
      <c r="B666" s="4" t="s">
        <v>65</v>
      </c>
      <c r="C666" s="3" t="s">
        <v>161</v>
      </c>
      <c r="D666" s="3" t="s">
        <v>14</v>
      </c>
      <c r="E666" s="3">
        <v>58</v>
      </c>
      <c r="G666" s="19"/>
    </row>
    <row r="667" spans="1:7" ht="12.75" x14ac:dyDescent="0.2">
      <c r="A667" s="3">
        <v>35</v>
      </c>
      <c r="B667" s="4" t="s">
        <v>65</v>
      </c>
      <c r="C667" s="3" t="s">
        <v>161</v>
      </c>
      <c r="D667" s="3" t="s">
        <v>133</v>
      </c>
      <c r="E667" s="3">
        <v>11</v>
      </c>
      <c r="F667">
        <f>SUM(E664:E671)</f>
        <v>852</v>
      </c>
      <c r="G667" s="19"/>
    </row>
    <row r="668" spans="1:7" ht="12.75" x14ac:dyDescent="0.2">
      <c r="A668" s="3">
        <v>35</v>
      </c>
      <c r="B668" s="4" t="s">
        <v>65</v>
      </c>
      <c r="C668" s="3" t="s">
        <v>161</v>
      </c>
      <c r="D668" s="3" t="s">
        <v>148</v>
      </c>
      <c r="E668" s="3">
        <v>9</v>
      </c>
      <c r="G668" s="19"/>
    </row>
    <row r="669" spans="1:7" ht="12.75" x14ac:dyDescent="0.2">
      <c r="A669" s="3">
        <v>35</v>
      </c>
      <c r="B669" s="4" t="s">
        <v>65</v>
      </c>
      <c r="C669" s="3" t="s">
        <v>161</v>
      </c>
      <c r="D669" s="3" t="s">
        <v>138</v>
      </c>
      <c r="E669" s="3">
        <v>6</v>
      </c>
      <c r="G669" s="19"/>
    </row>
    <row r="670" spans="1:7" ht="12.75" x14ac:dyDescent="0.2">
      <c r="A670" s="3">
        <v>35</v>
      </c>
      <c r="B670" s="4" t="s">
        <v>65</v>
      </c>
      <c r="C670" s="3" t="s">
        <v>161</v>
      </c>
      <c r="D670" s="3" t="s">
        <v>135</v>
      </c>
      <c r="E670" s="3">
        <v>1</v>
      </c>
      <c r="G670" s="19"/>
    </row>
    <row r="671" spans="1:7" ht="12.75" x14ac:dyDescent="0.2">
      <c r="A671" s="3">
        <v>35</v>
      </c>
      <c r="B671" s="4" t="s">
        <v>65</v>
      </c>
      <c r="C671" s="3" t="s">
        <v>161</v>
      </c>
      <c r="D671" s="3" t="s">
        <v>145</v>
      </c>
      <c r="E671" s="3">
        <v>1</v>
      </c>
      <c r="G671" s="19"/>
    </row>
    <row r="672" spans="1:7" ht="12.75" x14ac:dyDescent="0.2">
      <c r="A672" s="3">
        <v>35</v>
      </c>
      <c r="B672" s="4" t="s">
        <v>65</v>
      </c>
      <c r="C672" s="3" t="s">
        <v>162</v>
      </c>
      <c r="D672" s="3" t="s">
        <v>128</v>
      </c>
      <c r="E672" s="3">
        <v>517</v>
      </c>
      <c r="G672" s="19"/>
    </row>
    <row r="673" spans="1:7" ht="12.75" x14ac:dyDescent="0.2">
      <c r="A673" s="3">
        <v>35</v>
      </c>
      <c r="B673" s="4" t="s">
        <v>65</v>
      </c>
      <c r="C673" s="3" t="s">
        <v>162</v>
      </c>
      <c r="D673" s="3" t="s">
        <v>136</v>
      </c>
      <c r="E673" s="3">
        <v>277</v>
      </c>
      <c r="G673" s="19"/>
    </row>
    <row r="674" spans="1:7" ht="12.75" x14ac:dyDescent="0.2">
      <c r="A674" s="3">
        <v>35</v>
      </c>
      <c r="B674" s="4" t="s">
        <v>65</v>
      </c>
      <c r="C674" s="3" t="s">
        <v>162</v>
      </c>
      <c r="D674" s="3" t="s">
        <v>14</v>
      </c>
      <c r="E674" s="3">
        <v>31</v>
      </c>
      <c r="G674" s="19"/>
    </row>
    <row r="675" spans="1:7" ht="12.75" x14ac:dyDescent="0.2">
      <c r="A675" s="3">
        <v>35</v>
      </c>
      <c r="B675" s="4" t="s">
        <v>65</v>
      </c>
      <c r="C675" s="3" t="s">
        <v>162</v>
      </c>
      <c r="D675" s="3" t="s">
        <v>133</v>
      </c>
      <c r="E675" s="3">
        <v>15</v>
      </c>
      <c r="F675">
        <f>SUM(E672:E679)</f>
        <v>852</v>
      </c>
      <c r="G675" s="19"/>
    </row>
    <row r="676" spans="1:7" ht="12.75" x14ac:dyDescent="0.2">
      <c r="A676" s="3">
        <v>35</v>
      </c>
      <c r="B676" s="4" t="s">
        <v>65</v>
      </c>
      <c r="C676" s="3" t="s">
        <v>162</v>
      </c>
      <c r="D676" s="3" t="s">
        <v>148</v>
      </c>
      <c r="E676" s="3">
        <v>6</v>
      </c>
      <c r="G676" s="19"/>
    </row>
    <row r="677" spans="1:7" ht="12.75" x14ac:dyDescent="0.2">
      <c r="A677" s="3">
        <v>35</v>
      </c>
      <c r="B677" s="4" t="s">
        <v>65</v>
      </c>
      <c r="C677" s="3" t="s">
        <v>162</v>
      </c>
      <c r="D677" s="3" t="s">
        <v>138</v>
      </c>
      <c r="E677" s="3">
        <v>4</v>
      </c>
      <c r="G677" s="19"/>
    </row>
    <row r="678" spans="1:7" ht="12.75" x14ac:dyDescent="0.2">
      <c r="A678" s="3">
        <v>35</v>
      </c>
      <c r="B678" s="4" t="s">
        <v>65</v>
      </c>
      <c r="C678" s="3" t="s">
        <v>162</v>
      </c>
      <c r="D678" s="3" t="s">
        <v>135</v>
      </c>
      <c r="E678" s="3">
        <v>1</v>
      </c>
      <c r="G678" s="19"/>
    </row>
    <row r="679" spans="1:7" ht="12.75" x14ac:dyDescent="0.2">
      <c r="A679" s="3">
        <v>35</v>
      </c>
      <c r="B679" s="4" t="s">
        <v>65</v>
      </c>
      <c r="C679" s="3" t="s">
        <v>162</v>
      </c>
      <c r="D679" s="3" t="s">
        <v>145</v>
      </c>
      <c r="E679" s="3">
        <v>1</v>
      </c>
      <c r="G679" s="19"/>
    </row>
    <row r="680" spans="1:7" ht="12.75" x14ac:dyDescent="0.2">
      <c r="A680" s="3">
        <v>36</v>
      </c>
      <c r="B680" s="4" t="s">
        <v>66</v>
      </c>
      <c r="C680" s="3" t="s">
        <v>2</v>
      </c>
      <c r="D680" s="3" t="s">
        <v>128</v>
      </c>
      <c r="E680" s="3">
        <v>1794</v>
      </c>
      <c r="G680" s="19"/>
    </row>
    <row r="681" spans="1:7" ht="12.75" x14ac:dyDescent="0.2">
      <c r="A681" s="3">
        <v>36</v>
      </c>
      <c r="B681" s="4" t="s">
        <v>66</v>
      </c>
      <c r="C681" s="3" t="s">
        <v>2</v>
      </c>
      <c r="D681" s="3" t="s">
        <v>3</v>
      </c>
      <c r="E681" s="3">
        <v>904</v>
      </c>
      <c r="F681">
        <f>SUM(E680:E683)</f>
        <v>2909</v>
      </c>
      <c r="G681" s="19"/>
    </row>
    <row r="682" spans="1:7" ht="12.75" x14ac:dyDescent="0.2">
      <c r="A682" s="3">
        <v>36</v>
      </c>
      <c r="B682" s="4" t="s">
        <v>66</v>
      </c>
      <c r="C682" s="3" t="s">
        <v>2</v>
      </c>
      <c r="D682" s="3" t="s">
        <v>14</v>
      </c>
      <c r="E682" s="3">
        <v>193</v>
      </c>
      <c r="G682" s="19"/>
    </row>
    <row r="683" spans="1:7" ht="12.75" x14ac:dyDescent="0.2">
      <c r="A683" s="3">
        <v>36</v>
      </c>
      <c r="B683" s="4" t="s">
        <v>66</v>
      </c>
      <c r="C683" s="3" t="s">
        <v>2</v>
      </c>
      <c r="D683" s="3" t="s">
        <v>138</v>
      </c>
      <c r="E683" s="3">
        <v>18</v>
      </c>
      <c r="G683" s="19"/>
    </row>
    <row r="684" spans="1:7" ht="12.75" x14ac:dyDescent="0.2">
      <c r="A684" s="3">
        <v>36</v>
      </c>
      <c r="B684" s="4" t="s">
        <v>66</v>
      </c>
      <c r="C684" s="3" t="s">
        <v>162</v>
      </c>
      <c r="D684" s="3" t="s">
        <v>128</v>
      </c>
      <c r="E684" s="3">
        <v>1490</v>
      </c>
      <c r="G684" s="19"/>
    </row>
    <row r="685" spans="1:7" ht="12.75" x14ac:dyDescent="0.2">
      <c r="A685" s="3">
        <v>36</v>
      </c>
      <c r="B685" s="4" t="s">
        <v>66</v>
      </c>
      <c r="C685" s="3" t="s">
        <v>162</v>
      </c>
      <c r="D685" s="3" t="s">
        <v>3</v>
      </c>
      <c r="E685" s="3">
        <v>966</v>
      </c>
      <c r="G685" s="19"/>
    </row>
    <row r="686" spans="1:7" ht="12.75" x14ac:dyDescent="0.2">
      <c r="A686" s="3">
        <v>36</v>
      </c>
      <c r="B686" s="4" t="s">
        <v>66</v>
      </c>
      <c r="C686" s="3" t="s">
        <v>162</v>
      </c>
      <c r="D686" s="3" t="s">
        <v>133</v>
      </c>
      <c r="E686" s="3">
        <v>221</v>
      </c>
      <c r="G686" s="19"/>
    </row>
    <row r="687" spans="1:7" ht="12.75" x14ac:dyDescent="0.2">
      <c r="A687" s="3">
        <v>36</v>
      </c>
      <c r="B687" s="4" t="s">
        <v>66</v>
      </c>
      <c r="C687" s="3" t="s">
        <v>162</v>
      </c>
      <c r="D687" s="3" t="s">
        <v>14</v>
      </c>
      <c r="E687" s="3">
        <v>92</v>
      </c>
      <c r="G687" s="19"/>
    </row>
    <row r="688" spans="1:7" ht="12.75" x14ac:dyDescent="0.2">
      <c r="A688" s="3">
        <v>36</v>
      </c>
      <c r="B688" s="4" t="s">
        <v>66</v>
      </c>
      <c r="C688" s="3" t="s">
        <v>162</v>
      </c>
      <c r="D688" s="3" t="s">
        <v>149</v>
      </c>
      <c r="E688" s="3">
        <v>68</v>
      </c>
      <c r="G688" s="19"/>
    </row>
    <row r="689" spans="1:7" ht="12.75" x14ac:dyDescent="0.2">
      <c r="A689" s="3">
        <v>36</v>
      </c>
      <c r="B689" s="4" t="s">
        <v>66</v>
      </c>
      <c r="C689" s="3" t="s">
        <v>162</v>
      </c>
      <c r="D689" s="3" t="s">
        <v>138</v>
      </c>
      <c r="E689" s="3">
        <v>26</v>
      </c>
      <c r="F689">
        <f>SUM(E684:E693)</f>
        <v>2909</v>
      </c>
      <c r="G689" s="19"/>
    </row>
    <row r="690" spans="1:7" ht="12.75" x14ac:dyDescent="0.2">
      <c r="A690" s="3">
        <v>36</v>
      </c>
      <c r="B690" s="4" t="s">
        <v>66</v>
      </c>
      <c r="C690" s="3" t="s">
        <v>162</v>
      </c>
      <c r="D690" s="3" t="s">
        <v>148</v>
      </c>
      <c r="E690" s="3">
        <v>18</v>
      </c>
      <c r="G690" s="19"/>
    </row>
    <row r="691" spans="1:7" ht="12.75" x14ac:dyDescent="0.2">
      <c r="A691" s="3">
        <v>36</v>
      </c>
      <c r="B691" s="4" t="s">
        <v>66</v>
      </c>
      <c r="C691" s="3" t="s">
        <v>162</v>
      </c>
      <c r="D691" s="3" t="s">
        <v>139</v>
      </c>
      <c r="E691" s="3">
        <v>13</v>
      </c>
      <c r="G691" s="19"/>
    </row>
    <row r="692" spans="1:7" ht="12.75" x14ac:dyDescent="0.2">
      <c r="A692" s="3">
        <v>36</v>
      </c>
      <c r="B692" s="4" t="s">
        <v>66</v>
      </c>
      <c r="C692" s="3" t="s">
        <v>162</v>
      </c>
      <c r="D692" s="3" t="s">
        <v>135</v>
      </c>
      <c r="E692" s="3">
        <v>8</v>
      </c>
      <c r="G692" s="19"/>
    </row>
    <row r="693" spans="1:7" ht="12.75" x14ac:dyDescent="0.2">
      <c r="A693" s="3">
        <v>36</v>
      </c>
      <c r="B693" s="4" t="s">
        <v>66</v>
      </c>
      <c r="C693" s="3" t="s">
        <v>162</v>
      </c>
      <c r="D693" s="3" t="s">
        <v>145</v>
      </c>
      <c r="E693" s="3">
        <v>7</v>
      </c>
      <c r="G693" s="19"/>
    </row>
    <row r="694" spans="1:7" ht="12.75" x14ac:dyDescent="0.2">
      <c r="A694" s="3">
        <v>36</v>
      </c>
      <c r="B694" s="4" t="s">
        <v>66</v>
      </c>
      <c r="C694" s="3" t="s">
        <v>161</v>
      </c>
      <c r="D694" s="3" t="s">
        <v>128</v>
      </c>
      <c r="E694" s="3">
        <v>1527</v>
      </c>
      <c r="G694" s="19"/>
    </row>
    <row r="695" spans="1:7" ht="12.75" x14ac:dyDescent="0.2">
      <c r="A695" s="3">
        <v>36</v>
      </c>
      <c r="B695" s="4" t="s">
        <v>66</v>
      </c>
      <c r="C695" s="3" t="s">
        <v>161</v>
      </c>
      <c r="D695" s="3" t="s">
        <v>3</v>
      </c>
      <c r="E695" s="3">
        <v>918</v>
      </c>
      <c r="G695" s="19"/>
    </row>
    <row r="696" spans="1:7" ht="12.75" x14ac:dyDescent="0.2">
      <c r="A696" s="3">
        <v>36</v>
      </c>
      <c r="B696" s="4" t="s">
        <v>66</v>
      </c>
      <c r="C696" s="3" t="s">
        <v>161</v>
      </c>
      <c r="D696" s="3" t="s">
        <v>133</v>
      </c>
      <c r="E696" s="3">
        <v>174</v>
      </c>
      <c r="G696" s="19"/>
    </row>
    <row r="697" spans="1:7" ht="12.75" x14ac:dyDescent="0.2">
      <c r="A697" s="3">
        <v>36</v>
      </c>
      <c r="B697" s="4" t="s">
        <v>66</v>
      </c>
      <c r="C697" s="3" t="s">
        <v>161</v>
      </c>
      <c r="D697" s="3" t="s">
        <v>14</v>
      </c>
      <c r="E697" s="3">
        <v>147</v>
      </c>
      <c r="G697" s="19"/>
    </row>
    <row r="698" spans="1:7" ht="12.75" x14ac:dyDescent="0.2">
      <c r="A698" s="3">
        <v>36</v>
      </c>
      <c r="B698" s="4" t="s">
        <v>66</v>
      </c>
      <c r="C698" s="3" t="s">
        <v>161</v>
      </c>
      <c r="D698" s="3" t="s">
        <v>149</v>
      </c>
      <c r="E698" s="3">
        <v>73</v>
      </c>
      <c r="G698" s="19"/>
    </row>
    <row r="699" spans="1:7" ht="12.75" x14ac:dyDescent="0.2">
      <c r="A699" s="3">
        <v>36</v>
      </c>
      <c r="B699" s="4" t="s">
        <v>66</v>
      </c>
      <c r="C699" s="3" t="s">
        <v>161</v>
      </c>
      <c r="D699" s="3" t="s">
        <v>138</v>
      </c>
      <c r="E699" s="3">
        <v>23</v>
      </c>
      <c r="F699">
        <f>SUM(E694:E703)</f>
        <v>2909</v>
      </c>
      <c r="G699" s="19"/>
    </row>
    <row r="700" spans="1:7" ht="12.75" x14ac:dyDescent="0.2">
      <c r="A700" s="3">
        <v>36</v>
      </c>
      <c r="B700" s="4" t="s">
        <v>66</v>
      </c>
      <c r="C700" s="3" t="s">
        <v>161</v>
      </c>
      <c r="D700" s="3" t="s">
        <v>148</v>
      </c>
      <c r="E700" s="3">
        <v>19</v>
      </c>
      <c r="G700" s="19"/>
    </row>
    <row r="701" spans="1:7" ht="12.75" x14ac:dyDescent="0.2">
      <c r="A701" s="3">
        <v>36</v>
      </c>
      <c r="B701" s="4" t="s">
        <v>66</v>
      </c>
      <c r="C701" s="3" t="s">
        <v>161</v>
      </c>
      <c r="D701" s="3" t="s">
        <v>139</v>
      </c>
      <c r="E701" s="3">
        <v>12</v>
      </c>
      <c r="G701" s="19"/>
    </row>
    <row r="702" spans="1:7" ht="12.75" x14ac:dyDescent="0.2">
      <c r="A702" s="3">
        <v>36</v>
      </c>
      <c r="B702" s="4" t="s">
        <v>66</v>
      </c>
      <c r="C702" s="3" t="s">
        <v>161</v>
      </c>
      <c r="D702" s="3" t="s">
        <v>145</v>
      </c>
      <c r="E702" s="3">
        <v>9</v>
      </c>
      <c r="G702" s="19"/>
    </row>
    <row r="703" spans="1:7" ht="12.75" x14ac:dyDescent="0.2">
      <c r="A703" s="3">
        <v>36</v>
      </c>
      <c r="B703" s="4" t="s">
        <v>66</v>
      </c>
      <c r="C703" s="3" t="s">
        <v>161</v>
      </c>
      <c r="D703" s="3" t="s">
        <v>135</v>
      </c>
      <c r="E703" s="3">
        <v>7</v>
      </c>
      <c r="G703" s="19"/>
    </row>
    <row r="704" spans="1:7" ht="12.75" x14ac:dyDescent="0.2">
      <c r="A704" s="3">
        <v>37</v>
      </c>
      <c r="B704" s="4" t="s">
        <v>67</v>
      </c>
      <c r="C704" s="3" t="s">
        <v>15</v>
      </c>
      <c r="D704" s="3" t="s">
        <v>136</v>
      </c>
      <c r="E704" s="3">
        <v>33</v>
      </c>
      <c r="F704">
        <f>SUM(E704:E705)</f>
        <v>47</v>
      </c>
      <c r="G704" s="19"/>
    </row>
    <row r="705" spans="1:7" ht="12.75" x14ac:dyDescent="0.2">
      <c r="A705" s="3">
        <v>37</v>
      </c>
      <c r="B705" s="4" t="s">
        <v>67</v>
      </c>
      <c r="C705" s="3" t="s">
        <v>15</v>
      </c>
      <c r="D705" s="3" t="s">
        <v>128</v>
      </c>
      <c r="E705" s="3">
        <v>14</v>
      </c>
      <c r="G705" s="19"/>
    </row>
    <row r="706" spans="1:7" ht="12.75" x14ac:dyDescent="0.2">
      <c r="A706" s="3">
        <v>37</v>
      </c>
      <c r="B706" s="4" t="s">
        <v>67</v>
      </c>
      <c r="C706" s="3" t="s">
        <v>161</v>
      </c>
      <c r="D706" s="3" t="s">
        <v>136</v>
      </c>
      <c r="E706" s="3">
        <v>31</v>
      </c>
      <c r="F706">
        <f>SUM(E706:E707)</f>
        <v>47</v>
      </c>
      <c r="G706" s="19"/>
    </row>
    <row r="707" spans="1:7" ht="12.75" x14ac:dyDescent="0.2">
      <c r="A707" s="3">
        <v>37</v>
      </c>
      <c r="B707" s="4" t="s">
        <v>67</v>
      </c>
      <c r="C707" s="3" t="s">
        <v>161</v>
      </c>
      <c r="D707" s="3" t="s">
        <v>128</v>
      </c>
      <c r="E707" s="3">
        <v>16</v>
      </c>
      <c r="G707" s="19"/>
    </row>
    <row r="708" spans="1:7" ht="12.75" x14ac:dyDescent="0.2">
      <c r="A708" s="3">
        <v>37</v>
      </c>
      <c r="B708" s="4" t="s">
        <v>67</v>
      </c>
      <c r="C708" s="3" t="s">
        <v>162</v>
      </c>
      <c r="D708" s="3" t="s">
        <v>136</v>
      </c>
      <c r="E708" s="3">
        <v>31</v>
      </c>
      <c r="G708" s="19"/>
    </row>
    <row r="709" spans="1:7" ht="12.75" x14ac:dyDescent="0.2">
      <c r="A709" s="3">
        <v>37</v>
      </c>
      <c r="B709" s="4" t="s">
        <v>67</v>
      </c>
      <c r="C709" s="3" t="s">
        <v>162</v>
      </c>
      <c r="D709" s="3" t="s">
        <v>128</v>
      </c>
      <c r="E709" s="3">
        <v>15</v>
      </c>
      <c r="F709">
        <f>SUM(E708:E710)</f>
        <v>47</v>
      </c>
      <c r="G709" s="19"/>
    </row>
    <row r="710" spans="1:7" ht="12.75" x14ac:dyDescent="0.2">
      <c r="A710" s="3">
        <v>37</v>
      </c>
      <c r="B710" s="4" t="s">
        <v>67</v>
      </c>
      <c r="C710" s="3" t="s">
        <v>162</v>
      </c>
      <c r="D710" s="3" t="s">
        <v>133</v>
      </c>
      <c r="E710" s="3">
        <v>1</v>
      </c>
      <c r="G710" s="19"/>
    </row>
    <row r="711" spans="1:7" ht="12.75" x14ac:dyDescent="0.2">
      <c r="A711" s="3">
        <v>38</v>
      </c>
      <c r="B711" s="4" t="s">
        <v>68</v>
      </c>
      <c r="C711" s="3" t="s">
        <v>2</v>
      </c>
      <c r="D711" s="3" t="s">
        <v>128</v>
      </c>
      <c r="E711" s="3">
        <v>269</v>
      </c>
      <c r="G711" s="19"/>
    </row>
    <row r="712" spans="1:7" ht="12.75" x14ac:dyDescent="0.2">
      <c r="A712" s="3">
        <v>38</v>
      </c>
      <c r="B712" s="4" t="s">
        <v>68</v>
      </c>
      <c r="C712" s="3" t="s">
        <v>2</v>
      </c>
      <c r="D712" s="3" t="s">
        <v>14</v>
      </c>
      <c r="E712" s="3">
        <v>106</v>
      </c>
      <c r="F712">
        <f>SUM(E711:E713)</f>
        <v>376</v>
      </c>
      <c r="G712" s="19"/>
    </row>
    <row r="713" spans="1:7" ht="12.75" x14ac:dyDescent="0.2">
      <c r="A713" s="3">
        <v>38</v>
      </c>
      <c r="B713" s="4" t="s">
        <v>68</v>
      </c>
      <c r="C713" s="3" t="s">
        <v>2</v>
      </c>
      <c r="D713" s="3" t="s">
        <v>138</v>
      </c>
      <c r="E713" s="3">
        <v>1</v>
      </c>
      <c r="G713" s="19"/>
    </row>
    <row r="714" spans="1:7" ht="12.75" x14ac:dyDescent="0.2">
      <c r="A714" s="3">
        <v>38</v>
      </c>
      <c r="B714" s="4" t="s">
        <v>68</v>
      </c>
      <c r="C714" s="3" t="s">
        <v>161</v>
      </c>
      <c r="D714" s="3" t="s">
        <v>128</v>
      </c>
      <c r="E714" s="3">
        <v>218</v>
      </c>
      <c r="G714" s="19"/>
    </row>
    <row r="715" spans="1:7" ht="12.75" x14ac:dyDescent="0.2">
      <c r="A715" s="3">
        <v>38</v>
      </c>
      <c r="B715" s="4" t="s">
        <v>68</v>
      </c>
      <c r="C715" s="3" t="s">
        <v>161</v>
      </c>
      <c r="D715" s="3" t="s">
        <v>136</v>
      </c>
      <c r="E715" s="3">
        <v>85</v>
      </c>
      <c r="G715" s="19"/>
    </row>
    <row r="716" spans="1:7" ht="12.75" x14ac:dyDescent="0.2">
      <c r="A716" s="3">
        <v>38</v>
      </c>
      <c r="B716" s="4" t="s">
        <v>68</v>
      </c>
      <c r="C716" s="3" t="s">
        <v>161</v>
      </c>
      <c r="D716" s="3" t="s">
        <v>133</v>
      </c>
      <c r="E716" s="3">
        <v>31</v>
      </c>
      <c r="G716" s="19"/>
    </row>
    <row r="717" spans="1:7" ht="12.75" x14ac:dyDescent="0.2">
      <c r="A717" s="3">
        <v>38</v>
      </c>
      <c r="B717" s="4" t="s">
        <v>68</v>
      </c>
      <c r="C717" s="3" t="s">
        <v>161</v>
      </c>
      <c r="D717" s="3" t="s">
        <v>14</v>
      </c>
      <c r="E717" s="3">
        <v>17</v>
      </c>
      <c r="G717" s="19"/>
    </row>
    <row r="718" spans="1:7" ht="12.75" x14ac:dyDescent="0.2">
      <c r="A718" s="3">
        <v>38</v>
      </c>
      <c r="B718" s="4" t="s">
        <v>68</v>
      </c>
      <c r="C718" s="3" t="s">
        <v>161</v>
      </c>
      <c r="D718" s="3" t="s">
        <v>149</v>
      </c>
      <c r="E718" s="3">
        <v>5</v>
      </c>
      <c r="F718">
        <f>SUM(E714:E723)</f>
        <v>376</v>
      </c>
      <c r="G718" s="19"/>
    </row>
    <row r="719" spans="1:7" ht="12.75" x14ac:dyDescent="0.2">
      <c r="A719" s="3">
        <v>38</v>
      </c>
      <c r="B719" s="4" t="s">
        <v>68</v>
      </c>
      <c r="C719" s="3" t="s">
        <v>161</v>
      </c>
      <c r="D719" s="3" t="s">
        <v>135</v>
      </c>
      <c r="E719" s="3">
        <v>5</v>
      </c>
      <c r="G719" s="19"/>
    </row>
    <row r="720" spans="1:7" ht="12.75" x14ac:dyDescent="0.2">
      <c r="A720" s="3">
        <v>38</v>
      </c>
      <c r="B720" s="4" t="s">
        <v>68</v>
      </c>
      <c r="C720" s="3" t="s">
        <v>161</v>
      </c>
      <c r="D720" s="3" t="s">
        <v>139</v>
      </c>
      <c r="E720" s="3">
        <v>5</v>
      </c>
      <c r="G720" s="19"/>
    </row>
    <row r="721" spans="1:7" ht="12.75" x14ac:dyDescent="0.2">
      <c r="A721" s="3">
        <v>38</v>
      </c>
      <c r="B721" s="4" t="s">
        <v>68</v>
      </c>
      <c r="C721" s="3" t="s">
        <v>161</v>
      </c>
      <c r="D721" s="3" t="s">
        <v>148</v>
      </c>
      <c r="E721" s="3">
        <v>4</v>
      </c>
      <c r="G721" s="19"/>
    </row>
    <row r="722" spans="1:7" ht="12.75" x14ac:dyDescent="0.2">
      <c r="A722" s="3">
        <v>38</v>
      </c>
      <c r="B722" s="4" t="s">
        <v>68</v>
      </c>
      <c r="C722" s="3" t="s">
        <v>161</v>
      </c>
      <c r="D722" s="3" t="s">
        <v>138</v>
      </c>
      <c r="E722" s="3">
        <v>4</v>
      </c>
      <c r="G722" s="19"/>
    </row>
    <row r="723" spans="1:7" ht="12.75" x14ac:dyDescent="0.2">
      <c r="A723" s="3">
        <v>38</v>
      </c>
      <c r="B723" s="4" t="s">
        <v>68</v>
      </c>
      <c r="C723" s="3" t="s">
        <v>161</v>
      </c>
      <c r="D723" s="3" t="s">
        <v>145</v>
      </c>
      <c r="E723" s="3">
        <v>2</v>
      </c>
      <c r="G723" s="19"/>
    </row>
    <row r="724" spans="1:7" ht="12.75" x14ac:dyDescent="0.2">
      <c r="A724" s="3">
        <v>38</v>
      </c>
      <c r="B724" s="4" t="s">
        <v>68</v>
      </c>
      <c r="C724" s="3" t="s">
        <v>162</v>
      </c>
      <c r="D724" s="3" t="s">
        <v>128</v>
      </c>
      <c r="E724" s="3">
        <v>213</v>
      </c>
      <c r="G724" s="19"/>
    </row>
    <row r="725" spans="1:7" ht="12.75" x14ac:dyDescent="0.2">
      <c r="A725" s="3">
        <v>38</v>
      </c>
      <c r="B725" s="4" t="s">
        <v>68</v>
      </c>
      <c r="C725" s="3" t="s">
        <v>162</v>
      </c>
      <c r="D725" s="3" t="s">
        <v>136</v>
      </c>
      <c r="E725" s="3">
        <v>88</v>
      </c>
      <c r="G725" s="19"/>
    </row>
    <row r="726" spans="1:7" ht="12.75" x14ac:dyDescent="0.2">
      <c r="A726" s="3">
        <v>38</v>
      </c>
      <c r="B726" s="4" t="s">
        <v>68</v>
      </c>
      <c r="C726" s="3" t="s">
        <v>162</v>
      </c>
      <c r="D726" s="3" t="s">
        <v>133</v>
      </c>
      <c r="E726" s="3">
        <v>37</v>
      </c>
      <c r="G726" s="19"/>
    </row>
    <row r="727" spans="1:7" ht="12.75" x14ac:dyDescent="0.2">
      <c r="A727" s="3">
        <v>38</v>
      </c>
      <c r="B727" s="4" t="s">
        <v>68</v>
      </c>
      <c r="C727" s="3" t="s">
        <v>162</v>
      </c>
      <c r="D727" s="3" t="s">
        <v>14</v>
      </c>
      <c r="E727" s="3">
        <v>13</v>
      </c>
      <c r="G727" s="19"/>
    </row>
    <row r="728" spans="1:7" ht="12.75" x14ac:dyDescent="0.2">
      <c r="A728" s="3">
        <v>38</v>
      </c>
      <c r="B728" s="4" t="s">
        <v>68</v>
      </c>
      <c r="C728" s="3" t="s">
        <v>162</v>
      </c>
      <c r="D728" s="3" t="s">
        <v>149</v>
      </c>
      <c r="E728" s="3">
        <v>5</v>
      </c>
      <c r="F728">
        <f>SUM(E724:E733)</f>
        <v>376</v>
      </c>
      <c r="G728" s="19"/>
    </row>
    <row r="729" spans="1:7" ht="12.75" x14ac:dyDescent="0.2">
      <c r="A729" s="3">
        <v>38</v>
      </c>
      <c r="B729" s="4" t="s">
        <v>68</v>
      </c>
      <c r="C729" s="3" t="s">
        <v>162</v>
      </c>
      <c r="D729" s="3" t="s">
        <v>135</v>
      </c>
      <c r="E729" s="3">
        <v>5</v>
      </c>
      <c r="G729" s="19"/>
    </row>
    <row r="730" spans="1:7" ht="12.75" x14ac:dyDescent="0.2">
      <c r="A730" s="3">
        <v>38</v>
      </c>
      <c r="B730" s="4" t="s">
        <v>68</v>
      </c>
      <c r="C730" s="3" t="s">
        <v>162</v>
      </c>
      <c r="D730" s="3" t="s">
        <v>139</v>
      </c>
      <c r="E730" s="3">
        <v>5</v>
      </c>
      <c r="G730" s="19"/>
    </row>
    <row r="731" spans="1:7" ht="12.75" x14ac:dyDescent="0.2">
      <c r="A731" s="3">
        <v>38</v>
      </c>
      <c r="B731" s="4" t="s">
        <v>68</v>
      </c>
      <c r="C731" s="3" t="s">
        <v>162</v>
      </c>
      <c r="D731" s="3" t="s">
        <v>148</v>
      </c>
      <c r="E731" s="3">
        <v>4</v>
      </c>
      <c r="G731" s="19"/>
    </row>
    <row r="732" spans="1:7" ht="12.75" x14ac:dyDescent="0.2">
      <c r="A732" s="3">
        <v>38</v>
      </c>
      <c r="B732" s="4" t="s">
        <v>68</v>
      </c>
      <c r="C732" s="3" t="s">
        <v>162</v>
      </c>
      <c r="D732" s="3" t="s">
        <v>138</v>
      </c>
      <c r="E732" s="3">
        <v>4</v>
      </c>
      <c r="G732" s="19"/>
    </row>
    <row r="733" spans="1:7" ht="12.75" x14ac:dyDescent="0.2">
      <c r="A733" s="3">
        <v>38</v>
      </c>
      <c r="B733" s="4" t="s">
        <v>68</v>
      </c>
      <c r="C733" s="3" t="s">
        <v>162</v>
      </c>
      <c r="D733" s="3" t="s">
        <v>145</v>
      </c>
      <c r="E733" s="3">
        <v>2</v>
      </c>
      <c r="G733" s="19"/>
    </row>
    <row r="734" spans="1:7" ht="12.75" x14ac:dyDescent="0.2">
      <c r="A734" s="3">
        <v>39</v>
      </c>
      <c r="B734" s="4" t="s">
        <v>69</v>
      </c>
      <c r="C734" s="3" t="s">
        <v>2</v>
      </c>
      <c r="D734" s="3" t="s">
        <v>128</v>
      </c>
      <c r="E734" s="3">
        <v>654</v>
      </c>
      <c r="G734" s="19"/>
    </row>
    <row r="735" spans="1:7" ht="12.75" x14ac:dyDescent="0.2">
      <c r="A735" s="3">
        <v>39</v>
      </c>
      <c r="B735" s="4" t="s">
        <v>69</v>
      </c>
      <c r="C735" s="3" t="s">
        <v>2</v>
      </c>
      <c r="D735" s="3" t="s">
        <v>136</v>
      </c>
      <c r="E735" s="3">
        <v>605</v>
      </c>
      <c r="G735" s="19"/>
    </row>
    <row r="736" spans="1:7" ht="12.75" x14ac:dyDescent="0.2">
      <c r="A736" s="3">
        <v>39</v>
      </c>
      <c r="B736" s="4" t="s">
        <v>69</v>
      </c>
      <c r="C736" s="3" t="s">
        <v>2</v>
      </c>
      <c r="D736" s="3" t="s">
        <v>14</v>
      </c>
      <c r="E736" s="3">
        <v>33</v>
      </c>
      <c r="F736">
        <f>SUM(E734:E737)</f>
        <v>1296</v>
      </c>
      <c r="G736" s="19"/>
    </row>
    <row r="737" spans="1:7" ht="12.75" x14ac:dyDescent="0.2">
      <c r="A737" s="3">
        <v>39</v>
      </c>
      <c r="B737" s="4" t="s">
        <v>69</v>
      </c>
      <c r="C737" s="3" t="s">
        <v>2</v>
      </c>
      <c r="D737" s="3" t="s">
        <v>138</v>
      </c>
      <c r="E737" s="3">
        <v>4</v>
      </c>
      <c r="G737" s="19"/>
    </row>
    <row r="738" spans="1:7" ht="12.75" x14ac:dyDescent="0.2">
      <c r="A738" s="3">
        <v>39</v>
      </c>
      <c r="B738" s="4" t="s">
        <v>69</v>
      </c>
      <c r="C738" s="3" t="s">
        <v>161</v>
      </c>
      <c r="D738" s="3" t="s">
        <v>136</v>
      </c>
      <c r="E738" s="3">
        <v>655</v>
      </c>
      <c r="G738" s="19"/>
    </row>
    <row r="739" spans="1:7" ht="12.75" x14ac:dyDescent="0.2">
      <c r="A739" s="3">
        <v>39</v>
      </c>
      <c r="B739" s="4" t="s">
        <v>69</v>
      </c>
      <c r="C739" s="3" t="s">
        <v>161</v>
      </c>
      <c r="D739" s="3" t="s">
        <v>128</v>
      </c>
      <c r="E739" s="3">
        <v>536</v>
      </c>
      <c r="G739" s="19"/>
    </row>
    <row r="740" spans="1:7" ht="12.75" x14ac:dyDescent="0.2">
      <c r="A740" s="3">
        <v>39</v>
      </c>
      <c r="B740" s="4" t="s">
        <v>69</v>
      </c>
      <c r="C740" s="3" t="s">
        <v>161</v>
      </c>
      <c r="D740" s="3" t="s">
        <v>14</v>
      </c>
      <c r="E740" s="3">
        <v>69</v>
      </c>
      <c r="G740" s="19"/>
    </row>
    <row r="741" spans="1:7" ht="12.75" x14ac:dyDescent="0.2">
      <c r="A741" s="3">
        <v>39</v>
      </c>
      <c r="B741" s="4" t="s">
        <v>69</v>
      </c>
      <c r="C741" s="3" t="s">
        <v>161</v>
      </c>
      <c r="D741" s="3" t="s">
        <v>148</v>
      </c>
      <c r="E741" s="3">
        <v>14</v>
      </c>
      <c r="G741" s="19"/>
    </row>
    <row r="742" spans="1:7" ht="12.75" x14ac:dyDescent="0.2">
      <c r="A742" s="3">
        <v>39</v>
      </c>
      <c r="B742" s="4" t="s">
        <v>69</v>
      </c>
      <c r="C742" s="3" t="s">
        <v>161</v>
      </c>
      <c r="D742" s="3" t="s">
        <v>133</v>
      </c>
      <c r="E742" s="3">
        <v>10</v>
      </c>
      <c r="F742">
        <f>SUM(E738:E746)</f>
        <v>1296</v>
      </c>
      <c r="G742" s="19"/>
    </row>
    <row r="743" spans="1:7" ht="12.75" x14ac:dyDescent="0.2">
      <c r="A743" s="3">
        <v>39</v>
      </c>
      <c r="B743" s="4" t="s">
        <v>69</v>
      </c>
      <c r="C743" s="3" t="s">
        <v>161</v>
      </c>
      <c r="D743" s="3" t="s">
        <v>138</v>
      </c>
      <c r="E743" s="3">
        <v>5</v>
      </c>
      <c r="G743" s="19"/>
    </row>
    <row r="744" spans="1:7" ht="12.75" x14ac:dyDescent="0.2">
      <c r="A744" s="3">
        <v>39</v>
      </c>
      <c r="B744" s="4" t="s">
        <v>69</v>
      </c>
      <c r="C744" s="3" t="s">
        <v>161</v>
      </c>
      <c r="D744" s="3" t="s">
        <v>145</v>
      </c>
      <c r="E744" s="3">
        <v>3</v>
      </c>
      <c r="G744" s="19"/>
    </row>
    <row r="745" spans="1:7" ht="12.75" x14ac:dyDescent="0.2">
      <c r="A745" s="3">
        <v>39</v>
      </c>
      <c r="B745" s="4" t="s">
        <v>69</v>
      </c>
      <c r="C745" s="3" t="s">
        <v>161</v>
      </c>
      <c r="D745" s="3" t="s">
        <v>149</v>
      </c>
      <c r="E745" s="3">
        <v>2</v>
      </c>
      <c r="G745" s="19"/>
    </row>
    <row r="746" spans="1:7" ht="12.75" x14ac:dyDescent="0.2">
      <c r="A746" s="3">
        <v>39</v>
      </c>
      <c r="B746" s="4" t="s">
        <v>69</v>
      </c>
      <c r="C746" s="3" t="s">
        <v>161</v>
      </c>
      <c r="D746" s="3" t="s">
        <v>139</v>
      </c>
      <c r="E746" s="3">
        <v>2</v>
      </c>
      <c r="G746" s="19"/>
    </row>
    <row r="747" spans="1:7" ht="12.75" x14ac:dyDescent="0.2">
      <c r="A747" s="3">
        <v>39</v>
      </c>
      <c r="B747" s="4" t="s">
        <v>69</v>
      </c>
      <c r="C747" s="3" t="s">
        <v>162</v>
      </c>
      <c r="D747" s="3" t="s">
        <v>136</v>
      </c>
      <c r="E747" s="3">
        <v>688</v>
      </c>
      <c r="G747" s="19"/>
    </row>
    <row r="748" spans="1:7" ht="12.75" x14ac:dyDescent="0.2">
      <c r="A748" s="3">
        <v>39</v>
      </c>
      <c r="B748" s="4" t="s">
        <v>69</v>
      </c>
      <c r="C748" s="3" t="s">
        <v>162</v>
      </c>
      <c r="D748" s="3" t="s">
        <v>128</v>
      </c>
      <c r="E748" s="3">
        <v>517</v>
      </c>
      <c r="G748" s="19"/>
    </row>
    <row r="749" spans="1:7" ht="12.75" x14ac:dyDescent="0.2">
      <c r="A749" s="3">
        <v>39</v>
      </c>
      <c r="B749" s="4" t="s">
        <v>69</v>
      </c>
      <c r="C749" s="3" t="s">
        <v>162</v>
      </c>
      <c r="D749" s="3" t="s">
        <v>14</v>
      </c>
      <c r="E749" s="3">
        <v>51</v>
      </c>
      <c r="G749" s="19"/>
    </row>
    <row r="750" spans="1:7" ht="12.75" x14ac:dyDescent="0.2">
      <c r="A750" s="3">
        <v>39</v>
      </c>
      <c r="B750" s="4" t="s">
        <v>69</v>
      </c>
      <c r="C750" s="3" t="s">
        <v>162</v>
      </c>
      <c r="D750" s="3" t="s">
        <v>148</v>
      </c>
      <c r="E750" s="3">
        <v>15</v>
      </c>
      <c r="G750" s="19"/>
    </row>
    <row r="751" spans="1:7" ht="12.75" x14ac:dyDescent="0.2">
      <c r="A751" s="3">
        <v>39</v>
      </c>
      <c r="B751" s="4" t="s">
        <v>69</v>
      </c>
      <c r="C751" s="3" t="s">
        <v>162</v>
      </c>
      <c r="D751" s="3" t="s">
        <v>133</v>
      </c>
      <c r="E751" s="3">
        <v>13</v>
      </c>
      <c r="F751">
        <f>SUM(E747:E755)</f>
        <v>1296</v>
      </c>
      <c r="G751" s="19"/>
    </row>
    <row r="752" spans="1:7" ht="12.75" x14ac:dyDescent="0.2">
      <c r="A752" s="3">
        <v>39</v>
      </c>
      <c r="B752" s="4" t="s">
        <v>69</v>
      </c>
      <c r="C752" s="3" t="s">
        <v>162</v>
      </c>
      <c r="D752" s="3" t="s">
        <v>138</v>
      </c>
      <c r="E752" s="3">
        <v>7</v>
      </c>
      <c r="G752" s="19"/>
    </row>
    <row r="753" spans="1:7" ht="12.75" x14ac:dyDescent="0.2">
      <c r="A753" s="3">
        <v>39</v>
      </c>
      <c r="B753" s="4" t="s">
        <v>69</v>
      </c>
      <c r="C753" s="3" t="s">
        <v>162</v>
      </c>
      <c r="D753" s="3" t="s">
        <v>139</v>
      </c>
      <c r="E753" s="3">
        <v>2</v>
      </c>
      <c r="G753" s="19"/>
    </row>
    <row r="754" spans="1:7" ht="12.75" x14ac:dyDescent="0.2">
      <c r="A754" s="3">
        <v>39</v>
      </c>
      <c r="B754" s="4" t="s">
        <v>69</v>
      </c>
      <c r="C754" s="3" t="s">
        <v>162</v>
      </c>
      <c r="D754" s="3" t="s">
        <v>145</v>
      </c>
      <c r="E754" s="3">
        <v>2</v>
      </c>
      <c r="G754" s="19"/>
    </row>
    <row r="755" spans="1:7" ht="12.75" x14ac:dyDescent="0.2">
      <c r="A755" s="3">
        <v>39</v>
      </c>
      <c r="B755" s="4" t="s">
        <v>69</v>
      </c>
      <c r="C755" s="3" t="s">
        <v>162</v>
      </c>
      <c r="D755" s="3" t="s">
        <v>149</v>
      </c>
      <c r="E755" s="3">
        <v>1</v>
      </c>
      <c r="G755" s="19"/>
    </row>
    <row r="756" spans="1:7" ht="12.75" x14ac:dyDescent="0.2">
      <c r="A756" s="2" t="s">
        <v>70</v>
      </c>
      <c r="B756" s="4" t="s">
        <v>71</v>
      </c>
      <c r="C756" s="3" t="s">
        <v>2</v>
      </c>
      <c r="D756" s="3" t="s">
        <v>136</v>
      </c>
      <c r="E756" s="3">
        <v>219</v>
      </c>
      <c r="G756" s="19"/>
    </row>
    <row r="757" spans="1:7" ht="12.75" x14ac:dyDescent="0.2">
      <c r="A757" s="2" t="s">
        <v>70</v>
      </c>
      <c r="B757" s="4" t="s">
        <v>71</v>
      </c>
      <c r="C757" s="3" t="s">
        <v>2</v>
      </c>
      <c r="D757" s="3" t="s">
        <v>128</v>
      </c>
      <c r="E757" s="3">
        <v>98</v>
      </c>
      <c r="F757">
        <f>SUM(E756:E759)</f>
        <v>333</v>
      </c>
      <c r="G757" s="19"/>
    </row>
    <row r="758" spans="1:7" ht="12.75" x14ac:dyDescent="0.2">
      <c r="A758" s="2" t="s">
        <v>70</v>
      </c>
      <c r="B758" s="4" t="s">
        <v>71</v>
      </c>
      <c r="C758" s="3" t="s">
        <v>2</v>
      </c>
      <c r="D758" s="3" t="s">
        <v>138</v>
      </c>
      <c r="E758" s="3">
        <v>9</v>
      </c>
      <c r="G758" s="19"/>
    </row>
    <row r="759" spans="1:7" ht="12.75" x14ac:dyDescent="0.2">
      <c r="A759" s="2" t="s">
        <v>70</v>
      </c>
      <c r="B759" s="4" t="s">
        <v>71</v>
      </c>
      <c r="C759" s="3" t="s">
        <v>2</v>
      </c>
      <c r="D759" s="3" t="s">
        <v>14</v>
      </c>
      <c r="E759" s="3">
        <v>7</v>
      </c>
      <c r="G759" s="19"/>
    </row>
    <row r="760" spans="1:7" ht="12.75" x14ac:dyDescent="0.2">
      <c r="A760" s="2" t="s">
        <v>163</v>
      </c>
      <c r="B760" s="4" t="s">
        <v>71</v>
      </c>
      <c r="C760" s="3" t="s">
        <v>161</v>
      </c>
      <c r="D760" s="3" t="s">
        <v>136</v>
      </c>
      <c r="E760" s="3">
        <v>197</v>
      </c>
      <c r="G760" s="19"/>
    </row>
    <row r="761" spans="1:7" ht="12.75" x14ac:dyDescent="0.2">
      <c r="A761" s="2" t="s">
        <v>164</v>
      </c>
      <c r="B761" s="4" t="s">
        <v>71</v>
      </c>
      <c r="C761" s="3" t="s">
        <v>161</v>
      </c>
      <c r="D761" s="3" t="s">
        <v>128</v>
      </c>
      <c r="E761" s="3">
        <v>117</v>
      </c>
      <c r="G761" s="19"/>
    </row>
    <row r="762" spans="1:7" ht="12.75" x14ac:dyDescent="0.2">
      <c r="A762" s="2" t="s">
        <v>165</v>
      </c>
      <c r="B762" s="4" t="s">
        <v>71</v>
      </c>
      <c r="C762" s="3" t="s">
        <v>161</v>
      </c>
      <c r="D762" s="3" t="s">
        <v>138</v>
      </c>
      <c r="E762" s="3">
        <v>9</v>
      </c>
      <c r="G762" s="19"/>
    </row>
    <row r="763" spans="1:7" ht="12.75" x14ac:dyDescent="0.2">
      <c r="A763" s="2" t="s">
        <v>166</v>
      </c>
      <c r="B763" s="4" t="s">
        <v>71</v>
      </c>
      <c r="C763" s="3" t="s">
        <v>161</v>
      </c>
      <c r="D763" s="3" t="s">
        <v>14</v>
      </c>
      <c r="E763" s="3">
        <v>6</v>
      </c>
      <c r="F763">
        <f>SUM(E760:E767)</f>
        <v>333</v>
      </c>
      <c r="G763" s="19"/>
    </row>
    <row r="764" spans="1:7" ht="12.75" x14ac:dyDescent="0.2">
      <c r="A764" s="2" t="s">
        <v>167</v>
      </c>
      <c r="B764" s="4" t="s">
        <v>71</v>
      </c>
      <c r="C764" s="3" t="s">
        <v>161</v>
      </c>
      <c r="D764" s="3" t="s">
        <v>139</v>
      </c>
      <c r="E764" s="3">
        <v>1</v>
      </c>
      <c r="G764" s="19"/>
    </row>
    <row r="765" spans="1:7" ht="12.75" x14ac:dyDescent="0.2">
      <c r="A765" s="2" t="s">
        <v>168</v>
      </c>
      <c r="B765" s="4" t="s">
        <v>71</v>
      </c>
      <c r="C765" s="3" t="s">
        <v>161</v>
      </c>
      <c r="D765" s="3" t="s">
        <v>145</v>
      </c>
      <c r="E765" s="3">
        <v>1</v>
      </c>
      <c r="G765" s="19"/>
    </row>
    <row r="766" spans="1:7" ht="12.75" x14ac:dyDescent="0.2">
      <c r="A766" s="2" t="s">
        <v>169</v>
      </c>
      <c r="B766" s="4" t="s">
        <v>71</v>
      </c>
      <c r="C766" s="3" t="s">
        <v>161</v>
      </c>
      <c r="D766" s="3" t="s">
        <v>133</v>
      </c>
      <c r="E766" s="3">
        <v>1</v>
      </c>
      <c r="G766" s="19"/>
    </row>
    <row r="767" spans="1:7" ht="12.75" x14ac:dyDescent="0.2">
      <c r="A767" s="2" t="s">
        <v>170</v>
      </c>
      <c r="B767" s="4" t="s">
        <v>71</v>
      </c>
      <c r="C767" s="3" t="s">
        <v>161</v>
      </c>
      <c r="D767" s="3" t="s">
        <v>148</v>
      </c>
      <c r="E767" s="3">
        <v>1</v>
      </c>
      <c r="G767" s="19"/>
    </row>
    <row r="768" spans="1:7" ht="12.75" x14ac:dyDescent="0.2">
      <c r="A768" s="2" t="s">
        <v>171</v>
      </c>
      <c r="B768" s="4" t="s">
        <v>71</v>
      </c>
      <c r="C768" s="3" t="s">
        <v>162</v>
      </c>
      <c r="D768" s="3" t="s">
        <v>136</v>
      </c>
      <c r="E768" s="3">
        <v>197</v>
      </c>
      <c r="G768" s="19"/>
    </row>
    <row r="769" spans="1:7" ht="12.75" x14ac:dyDescent="0.2">
      <c r="A769" s="2" t="s">
        <v>172</v>
      </c>
      <c r="B769" s="4" t="s">
        <v>71</v>
      </c>
      <c r="C769" s="3" t="s">
        <v>162</v>
      </c>
      <c r="D769" s="3" t="s">
        <v>128</v>
      </c>
      <c r="E769" s="3">
        <v>118</v>
      </c>
      <c r="G769" s="19"/>
    </row>
    <row r="770" spans="1:7" ht="12.75" x14ac:dyDescent="0.2">
      <c r="A770" s="2" t="s">
        <v>173</v>
      </c>
      <c r="B770" s="4" t="s">
        <v>71</v>
      </c>
      <c r="C770" s="3" t="s">
        <v>162</v>
      </c>
      <c r="D770" s="3" t="s">
        <v>138</v>
      </c>
      <c r="E770" s="3">
        <v>9</v>
      </c>
      <c r="G770" s="19"/>
    </row>
    <row r="771" spans="1:7" ht="12.75" x14ac:dyDescent="0.2">
      <c r="A771" s="2" t="s">
        <v>174</v>
      </c>
      <c r="B771" s="4" t="s">
        <v>71</v>
      </c>
      <c r="C771" s="3" t="s">
        <v>162</v>
      </c>
      <c r="D771" s="3" t="s">
        <v>14</v>
      </c>
      <c r="E771" s="3">
        <v>4</v>
      </c>
      <c r="G771" s="19"/>
    </row>
    <row r="772" spans="1:7" ht="12.75" x14ac:dyDescent="0.2">
      <c r="A772" s="2" t="s">
        <v>70</v>
      </c>
      <c r="B772" s="4" t="s">
        <v>71</v>
      </c>
      <c r="C772" s="3" t="s">
        <v>162</v>
      </c>
      <c r="D772" s="3" t="s">
        <v>133</v>
      </c>
      <c r="E772" s="3">
        <v>2</v>
      </c>
      <c r="F772">
        <f>SUM(E768:E775)</f>
        <v>333</v>
      </c>
      <c r="G772" s="19"/>
    </row>
    <row r="773" spans="1:7" ht="12.75" x14ac:dyDescent="0.2">
      <c r="A773" s="2" t="s">
        <v>70</v>
      </c>
      <c r="B773" s="4" t="s">
        <v>71</v>
      </c>
      <c r="C773" s="3" t="s">
        <v>162</v>
      </c>
      <c r="D773" s="3" t="s">
        <v>139</v>
      </c>
      <c r="E773" s="3">
        <v>1</v>
      </c>
      <c r="G773" s="19"/>
    </row>
    <row r="774" spans="1:7" ht="12.75" x14ac:dyDescent="0.2">
      <c r="A774" s="2" t="s">
        <v>70</v>
      </c>
      <c r="B774" s="4" t="s">
        <v>71</v>
      </c>
      <c r="C774" s="3" t="s">
        <v>162</v>
      </c>
      <c r="D774" s="3" t="s">
        <v>145</v>
      </c>
      <c r="E774" s="3">
        <v>1</v>
      </c>
      <c r="G774" s="19"/>
    </row>
    <row r="775" spans="1:7" ht="12.75" x14ac:dyDescent="0.2">
      <c r="A775" s="2" t="s">
        <v>70</v>
      </c>
      <c r="B775" s="4" t="s">
        <v>71</v>
      </c>
      <c r="C775" s="3" t="s">
        <v>162</v>
      </c>
      <c r="D775" s="3" t="s">
        <v>148</v>
      </c>
      <c r="E775" s="3">
        <v>1</v>
      </c>
      <c r="G775" s="19"/>
    </row>
    <row r="776" spans="1:7" ht="12.75" x14ac:dyDescent="0.2">
      <c r="A776" s="2">
        <v>40</v>
      </c>
      <c r="B776" s="4" t="s">
        <v>72</v>
      </c>
      <c r="C776" s="3" t="s">
        <v>2</v>
      </c>
      <c r="D776" s="3" t="s">
        <v>128</v>
      </c>
      <c r="E776" s="3">
        <v>1198</v>
      </c>
      <c r="G776" s="19"/>
    </row>
    <row r="777" spans="1:7" ht="12.75" x14ac:dyDescent="0.2">
      <c r="A777" s="2">
        <v>40</v>
      </c>
      <c r="B777" s="4" t="s">
        <v>72</v>
      </c>
      <c r="C777" s="3" t="s">
        <v>2</v>
      </c>
      <c r="D777" s="3" t="s">
        <v>136</v>
      </c>
      <c r="E777" s="3">
        <v>786</v>
      </c>
      <c r="G777" s="19"/>
    </row>
    <row r="778" spans="1:7" ht="12.75" x14ac:dyDescent="0.2">
      <c r="A778" s="2">
        <v>40</v>
      </c>
      <c r="B778" s="4" t="s">
        <v>72</v>
      </c>
      <c r="C778" s="3" t="s">
        <v>2</v>
      </c>
      <c r="D778" s="3" t="s">
        <v>14</v>
      </c>
      <c r="E778" s="3">
        <v>58</v>
      </c>
      <c r="F778">
        <f>SUM(E776:E779)</f>
        <v>2049</v>
      </c>
      <c r="G778" s="19"/>
    </row>
    <row r="779" spans="1:7" ht="12.75" x14ac:dyDescent="0.2">
      <c r="A779" s="2">
        <v>40</v>
      </c>
      <c r="B779" s="4" t="s">
        <v>72</v>
      </c>
      <c r="C779" s="3" t="s">
        <v>2</v>
      </c>
      <c r="D779" s="3" t="s">
        <v>138</v>
      </c>
      <c r="E779" s="3">
        <v>7</v>
      </c>
      <c r="G779" s="19"/>
    </row>
    <row r="780" spans="1:7" ht="12.75" x14ac:dyDescent="0.2">
      <c r="A780" s="2">
        <v>40</v>
      </c>
      <c r="B780" s="4" t="s">
        <v>72</v>
      </c>
      <c r="C780" s="3" t="s">
        <v>161</v>
      </c>
      <c r="D780" s="3" t="s">
        <v>128</v>
      </c>
      <c r="E780" s="3">
        <v>1088</v>
      </c>
      <c r="G780" s="19"/>
    </row>
    <row r="781" spans="1:7" ht="12.75" x14ac:dyDescent="0.2">
      <c r="A781" s="2">
        <v>40</v>
      </c>
      <c r="B781" s="4" t="s">
        <v>72</v>
      </c>
      <c r="C781" s="3" t="s">
        <v>161</v>
      </c>
      <c r="D781" s="3" t="s">
        <v>136</v>
      </c>
      <c r="E781" s="3">
        <v>828</v>
      </c>
      <c r="G781" s="19"/>
    </row>
    <row r="782" spans="1:7" ht="12.75" x14ac:dyDescent="0.2">
      <c r="A782" s="2">
        <v>40</v>
      </c>
      <c r="B782" s="4" t="s">
        <v>72</v>
      </c>
      <c r="C782" s="3" t="s">
        <v>161</v>
      </c>
      <c r="D782" s="3" t="s">
        <v>14</v>
      </c>
      <c r="E782" s="3">
        <v>90</v>
      </c>
      <c r="G782" s="19"/>
    </row>
    <row r="783" spans="1:7" ht="12.75" x14ac:dyDescent="0.2">
      <c r="A783" s="2">
        <v>40</v>
      </c>
      <c r="B783" s="4" t="s">
        <v>72</v>
      </c>
      <c r="C783" s="3" t="s">
        <v>161</v>
      </c>
      <c r="D783" s="3" t="s">
        <v>138</v>
      </c>
      <c r="E783" s="3">
        <v>13</v>
      </c>
      <c r="G783" s="19"/>
    </row>
    <row r="784" spans="1:7" ht="12.75" x14ac:dyDescent="0.2">
      <c r="A784" s="2">
        <v>40</v>
      </c>
      <c r="B784" s="4" t="s">
        <v>72</v>
      </c>
      <c r="C784" s="3" t="s">
        <v>161</v>
      </c>
      <c r="D784" s="3" t="s">
        <v>133</v>
      </c>
      <c r="E784" s="3">
        <v>9</v>
      </c>
      <c r="F784">
        <f>SUM(E780:E789)</f>
        <v>2049</v>
      </c>
      <c r="G784" s="19"/>
    </row>
    <row r="785" spans="1:7" ht="12.75" x14ac:dyDescent="0.2">
      <c r="A785" s="2">
        <v>40</v>
      </c>
      <c r="B785" s="4" t="s">
        <v>72</v>
      </c>
      <c r="C785" s="3" t="s">
        <v>161</v>
      </c>
      <c r="D785" s="3" t="s">
        <v>139</v>
      </c>
      <c r="E785" s="3">
        <v>5</v>
      </c>
      <c r="G785" s="19"/>
    </row>
    <row r="786" spans="1:7" ht="12.75" x14ac:dyDescent="0.2">
      <c r="A786" s="2">
        <v>40</v>
      </c>
      <c r="B786" s="4" t="s">
        <v>72</v>
      </c>
      <c r="C786" s="3" t="s">
        <v>161</v>
      </c>
      <c r="D786" s="3" t="s">
        <v>149</v>
      </c>
      <c r="E786" s="3">
        <v>5</v>
      </c>
      <c r="G786" s="19"/>
    </row>
    <row r="787" spans="1:7" ht="12.75" x14ac:dyDescent="0.2">
      <c r="A787" s="2">
        <v>40</v>
      </c>
      <c r="B787" s="4" t="s">
        <v>72</v>
      </c>
      <c r="C787" s="3" t="s">
        <v>161</v>
      </c>
      <c r="D787" s="3" t="s">
        <v>148</v>
      </c>
      <c r="E787" s="3">
        <v>5</v>
      </c>
      <c r="G787" s="19"/>
    </row>
    <row r="788" spans="1:7" ht="12.75" x14ac:dyDescent="0.2">
      <c r="A788" s="2">
        <v>40</v>
      </c>
      <c r="B788" s="4" t="s">
        <v>72</v>
      </c>
      <c r="C788" s="3" t="s">
        <v>161</v>
      </c>
      <c r="D788" s="3" t="s">
        <v>145</v>
      </c>
      <c r="E788" s="3">
        <v>4</v>
      </c>
      <c r="G788" s="19"/>
    </row>
    <row r="789" spans="1:7" ht="12.75" x14ac:dyDescent="0.2">
      <c r="A789" s="2">
        <v>40</v>
      </c>
      <c r="B789" s="4" t="s">
        <v>72</v>
      </c>
      <c r="C789" s="3" t="s">
        <v>161</v>
      </c>
      <c r="D789" s="3" t="s">
        <v>135</v>
      </c>
      <c r="E789" s="3">
        <v>2</v>
      </c>
      <c r="G789" s="19"/>
    </row>
    <row r="790" spans="1:7" ht="12.75" x14ac:dyDescent="0.2">
      <c r="A790" s="2">
        <v>40</v>
      </c>
      <c r="B790" s="4" t="s">
        <v>72</v>
      </c>
      <c r="C790" s="3" t="s">
        <v>162</v>
      </c>
      <c r="D790" s="3" t="s">
        <v>128</v>
      </c>
      <c r="E790" s="3">
        <v>1083</v>
      </c>
      <c r="G790" s="19"/>
    </row>
    <row r="791" spans="1:7" ht="12.75" x14ac:dyDescent="0.2">
      <c r="A791" s="2">
        <v>40</v>
      </c>
      <c r="B791" s="4" t="s">
        <v>72</v>
      </c>
      <c r="C791" s="3" t="s">
        <v>162</v>
      </c>
      <c r="D791" s="3" t="s">
        <v>136</v>
      </c>
      <c r="E791" s="3">
        <v>844</v>
      </c>
      <c r="G791" s="19"/>
    </row>
    <row r="792" spans="1:7" ht="12.75" x14ac:dyDescent="0.2">
      <c r="A792" s="2">
        <v>40</v>
      </c>
      <c r="B792" s="4" t="s">
        <v>72</v>
      </c>
      <c r="C792" s="3" t="s">
        <v>162</v>
      </c>
      <c r="D792" s="3" t="s">
        <v>14</v>
      </c>
      <c r="E792" s="3">
        <v>67</v>
      </c>
      <c r="G792" s="19"/>
    </row>
    <row r="793" spans="1:7" ht="12.75" x14ac:dyDescent="0.2">
      <c r="A793" s="2">
        <v>40</v>
      </c>
      <c r="B793" s="4" t="s">
        <v>72</v>
      </c>
      <c r="C793" s="3" t="s">
        <v>162</v>
      </c>
      <c r="D793" s="3" t="s">
        <v>133</v>
      </c>
      <c r="E793" s="3">
        <v>19</v>
      </c>
      <c r="G793" s="19"/>
    </row>
    <row r="794" spans="1:7" ht="12.75" x14ac:dyDescent="0.2">
      <c r="A794" s="2">
        <v>40</v>
      </c>
      <c r="B794" s="4" t="s">
        <v>72</v>
      </c>
      <c r="C794" s="3" t="s">
        <v>162</v>
      </c>
      <c r="D794" s="3" t="s">
        <v>138</v>
      </c>
      <c r="E794" s="3">
        <v>14</v>
      </c>
      <c r="G794" s="19"/>
    </row>
    <row r="795" spans="1:7" ht="12.75" x14ac:dyDescent="0.2">
      <c r="A795" s="2">
        <v>40</v>
      </c>
      <c r="B795" s="4" t="s">
        <v>72</v>
      </c>
      <c r="C795" s="3" t="s">
        <v>162</v>
      </c>
      <c r="D795" s="3" t="s">
        <v>149</v>
      </c>
      <c r="E795" s="3">
        <v>7</v>
      </c>
      <c r="F795">
        <f>SUM(E790:E799)</f>
        <v>2049</v>
      </c>
      <c r="G795" s="19"/>
    </row>
    <row r="796" spans="1:7" ht="12.75" x14ac:dyDescent="0.2">
      <c r="A796" s="2">
        <v>40</v>
      </c>
      <c r="B796" s="4" t="s">
        <v>72</v>
      </c>
      <c r="C796" s="3" t="s">
        <v>162</v>
      </c>
      <c r="D796" s="3" t="s">
        <v>148</v>
      </c>
      <c r="E796" s="3">
        <v>5</v>
      </c>
      <c r="G796" s="19"/>
    </row>
    <row r="797" spans="1:7" ht="12.75" x14ac:dyDescent="0.2">
      <c r="A797" s="2">
        <v>40</v>
      </c>
      <c r="B797" s="4" t="s">
        <v>72</v>
      </c>
      <c r="C797" s="3" t="s">
        <v>162</v>
      </c>
      <c r="D797" s="3" t="s">
        <v>139</v>
      </c>
      <c r="E797" s="3">
        <v>5</v>
      </c>
      <c r="G797" s="19"/>
    </row>
    <row r="798" spans="1:7" ht="12.75" x14ac:dyDescent="0.2">
      <c r="A798" s="2">
        <v>40</v>
      </c>
      <c r="B798" s="4" t="s">
        <v>72</v>
      </c>
      <c r="C798" s="3" t="s">
        <v>162</v>
      </c>
      <c r="D798" s="3" t="s">
        <v>145</v>
      </c>
      <c r="E798" s="3">
        <v>3</v>
      </c>
      <c r="G798" s="19"/>
    </row>
    <row r="799" spans="1:7" ht="12.75" x14ac:dyDescent="0.2">
      <c r="A799" s="2">
        <v>40</v>
      </c>
      <c r="B799" s="4" t="s">
        <v>72</v>
      </c>
      <c r="C799" s="3" t="s">
        <v>162</v>
      </c>
      <c r="D799" s="3" t="s">
        <v>135</v>
      </c>
      <c r="E799" s="3">
        <v>2</v>
      </c>
      <c r="G799" s="19"/>
    </row>
    <row r="800" spans="1:7" ht="12.75" x14ac:dyDescent="0.2">
      <c r="A800" s="3">
        <v>42</v>
      </c>
      <c r="B800" s="4" t="s">
        <v>73</v>
      </c>
      <c r="C800" s="3" t="s">
        <v>2</v>
      </c>
      <c r="D800" s="3" t="s">
        <v>136</v>
      </c>
      <c r="E800" s="3">
        <v>1111</v>
      </c>
      <c r="G800" s="19"/>
    </row>
    <row r="801" spans="1:7" ht="12.75" x14ac:dyDescent="0.2">
      <c r="A801" s="3">
        <v>42</v>
      </c>
      <c r="B801" s="4" t="s">
        <v>73</v>
      </c>
      <c r="C801" s="3" t="s">
        <v>2</v>
      </c>
      <c r="D801" s="3" t="s">
        <v>128</v>
      </c>
      <c r="E801" s="3">
        <v>617</v>
      </c>
      <c r="F801">
        <f>SUM(E800:E803)</f>
        <v>1822</v>
      </c>
      <c r="G801" s="19"/>
    </row>
    <row r="802" spans="1:7" ht="12.75" x14ac:dyDescent="0.2">
      <c r="A802" s="3">
        <v>42</v>
      </c>
      <c r="B802" s="4" t="s">
        <v>73</v>
      </c>
      <c r="C802" s="3" t="s">
        <v>2</v>
      </c>
      <c r="D802" s="3" t="s">
        <v>14</v>
      </c>
      <c r="E802" s="3">
        <v>81</v>
      </c>
      <c r="G802" s="19"/>
    </row>
    <row r="803" spans="1:7" ht="12.75" x14ac:dyDescent="0.2">
      <c r="A803" s="3">
        <v>42</v>
      </c>
      <c r="B803" s="4" t="s">
        <v>73</v>
      </c>
      <c r="C803" s="3" t="s">
        <v>2</v>
      </c>
      <c r="D803" s="3" t="s">
        <v>138</v>
      </c>
      <c r="E803" s="3">
        <v>13</v>
      </c>
      <c r="G803" s="19"/>
    </row>
    <row r="804" spans="1:7" ht="12.75" x14ac:dyDescent="0.2">
      <c r="A804" s="3">
        <v>42</v>
      </c>
      <c r="B804" s="4" t="s">
        <v>73</v>
      </c>
      <c r="C804" s="3" t="s">
        <v>161</v>
      </c>
      <c r="D804" s="3" t="s">
        <v>136</v>
      </c>
      <c r="E804" s="3">
        <v>1027</v>
      </c>
      <c r="G804" s="19"/>
    </row>
    <row r="805" spans="1:7" ht="12.75" x14ac:dyDescent="0.2">
      <c r="A805" s="3">
        <v>42</v>
      </c>
      <c r="B805" s="4" t="s">
        <v>73</v>
      </c>
      <c r="C805" s="3" t="s">
        <v>161</v>
      </c>
      <c r="D805" s="3" t="s">
        <v>128</v>
      </c>
      <c r="E805" s="3">
        <v>594</v>
      </c>
      <c r="G805" s="19"/>
    </row>
    <row r="806" spans="1:7" ht="12.75" x14ac:dyDescent="0.2">
      <c r="A806" s="3">
        <v>42</v>
      </c>
      <c r="B806" s="4" t="s">
        <v>73</v>
      </c>
      <c r="C806" s="3" t="s">
        <v>161</v>
      </c>
      <c r="D806" s="3" t="s">
        <v>14</v>
      </c>
      <c r="E806" s="3">
        <v>99</v>
      </c>
      <c r="G806" s="19"/>
    </row>
    <row r="807" spans="1:7" ht="12.75" x14ac:dyDescent="0.2">
      <c r="A807" s="3">
        <v>42</v>
      </c>
      <c r="B807" s="4" t="s">
        <v>73</v>
      </c>
      <c r="C807" s="3" t="s">
        <v>161</v>
      </c>
      <c r="D807" s="3" t="s">
        <v>133</v>
      </c>
      <c r="E807" s="3">
        <v>45</v>
      </c>
      <c r="G807" s="19"/>
    </row>
    <row r="808" spans="1:7" ht="12.75" x14ac:dyDescent="0.2">
      <c r="A808" s="3">
        <v>42</v>
      </c>
      <c r="B808" s="4" t="s">
        <v>73</v>
      </c>
      <c r="C808" s="3" t="s">
        <v>161</v>
      </c>
      <c r="D808" s="3" t="s">
        <v>148</v>
      </c>
      <c r="E808" s="3">
        <v>17</v>
      </c>
      <c r="G808" s="19"/>
    </row>
    <row r="809" spans="1:7" ht="12.75" x14ac:dyDescent="0.2">
      <c r="A809" s="3">
        <v>42</v>
      </c>
      <c r="B809" s="4" t="s">
        <v>73</v>
      </c>
      <c r="C809" s="3" t="s">
        <v>161</v>
      </c>
      <c r="D809" s="3" t="s">
        <v>138</v>
      </c>
      <c r="E809" s="3">
        <v>14</v>
      </c>
      <c r="F809">
        <f>SUM(E804:E813)</f>
        <v>1822</v>
      </c>
      <c r="G809" s="19"/>
    </row>
    <row r="810" spans="1:7" ht="12.75" x14ac:dyDescent="0.2">
      <c r="A810" s="3">
        <v>42</v>
      </c>
      <c r="B810" s="4" t="s">
        <v>73</v>
      </c>
      <c r="C810" s="3" t="s">
        <v>161</v>
      </c>
      <c r="D810" s="3" t="s">
        <v>149</v>
      </c>
      <c r="E810" s="3">
        <v>8</v>
      </c>
      <c r="G810" s="19"/>
    </row>
    <row r="811" spans="1:7" ht="12.75" x14ac:dyDescent="0.2">
      <c r="A811" s="3">
        <v>42</v>
      </c>
      <c r="B811" s="4" t="s">
        <v>73</v>
      </c>
      <c r="C811" s="3" t="s">
        <v>161</v>
      </c>
      <c r="D811" s="3" t="s">
        <v>145</v>
      </c>
      <c r="E811" s="3">
        <v>8</v>
      </c>
      <c r="G811" s="19"/>
    </row>
    <row r="812" spans="1:7" ht="12.75" x14ac:dyDescent="0.2">
      <c r="A812" s="3">
        <v>42</v>
      </c>
      <c r="B812" s="4" t="s">
        <v>73</v>
      </c>
      <c r="C812" s="3" t="s">
        <v>161</v>
      </c>
      <c r="D812" s="3" t="s">
        <v>139</v>
      </c>
      <c r="E812" s="3">
        <v>7</v>
      </c>
      <c r="G812" s="19"/>
    </row>
    <row r="813" spans="1:7" ht="12.75" x14ac:dyDescent="0.2">
      <c r="A813" s="3">
        <v>42</v>
      </c>
      <c r="B813" s="4" t="s">
        <v>73</v>
      </c>
      <c r="C813" s="3" t="s">
        <v>161</v>
      </c>
      <c r="D813" s="3" t="s">
        <v>135</v>
      </c>
      <c r="E813" s="3">
        <v>3</v>
      </c>
      <c r="G813" s="19"/>
    </row>
    <row r="814" spans="1:7" ht="12.75" x14ac:dyDescent="0.2">
      <c r="A814" s="3">
        <v>42</v>
      </c>
      <c r="B814" s="4" t="s">
        <v>73</v>
      </c>
      <c r="C814" s="3" t="s">
        <v>162</v>
      </c>
      <c r="D814" s="3" t="s">
        <v>136</v>
      </c>
      <c r="E814" s="3">
        <v>1051</v>
      </c>
      <c r="G814" s="19"/>
    </row>
    <row r="815" spans="1:7" ht="12.75" x14ac:dyDescent="0.2">
      <c r="A815" s="3">
        <v>42</v>
      </c>
      <c r="B815" s="4" t="s">
        <v>73</v>
      </c>
      <c r="C815" s="3" t="s">
        <v>162</v>
      </c>
      <c r="D815" s="3" t="s">
        <v>128</v>
      </c>
      <c r="E815" s="3">
        <v>599</v>
      </c>
      <c r="G815" s="19"/>
    </row>
    <row r="816" spans="1:7" ht="12.75" x14ac:dyDescent="0.2">
      <c r="A816" s="3">
        <v>42</v>
      </c>
      <c r="B816" s="4" t="s">
        <v>73</v>
      </c>
      <c r="C816" s="3" t="s">
        <v>162</v>
      </c>
      <c r="D816" s="3" t="s">
        <v>14</v>
      </c>
      <c r="E816" s="3">
        <v>66</v>
      </c>
      <c r="G816" s="19"/>
    </row>
    <row r="817" spans="1:7" ht="12.75" x14ac:dyDescent="0.2">
      <c r="A817" s="3">
        <v>42</v>
      </c>
      <c r="B817" s="4" t="s">
        <v>73</v>
      </c>
      <c r="C817" s="3" t="s">
        <v>162</v>
      </c>
      <c r="D817" s="3" t="s">
        <v>133</v>
      </c>
      <c r="E817" s="3">
        <v>51</v>
      </c>
      <c r="G817" s="19"/>
    </row>
    <row r="818" spans="1:7" ht="12.75" x14ac:dyDescent="0.2">
      <c r="A818" s="3">
        <v>42</v>
      </c>
      <c r="B818" s="4" t="s">
        <v>73</v>
      </c>
      <c r="C818" s="3" t="s">
        <v>162</v>
      </c>
      <c r="D818" s="3" t="s">
        <v>148</v>
      </c>
      <c r="E818" s="3">
        <v>16</v>
      </c>
      <c r="F818">
        <f>SUM(E814:E823)</f>
        <v>1822</v>
      </c>
      <c r="G818" s="19"/>
    </row>
    <row r="819" spans="1:7" ht="12.75" x14ac:dyDescent="0.2">
      <c r="A819" s="3">
        <v>42</v>
      </c>
      <c r="B819" s="4" t="s">
        <v>73</v>
      </c>
      <c r="C819" s="3" t="s">
        <v>162</v>
      </c>
      <c r="D819" s="3" t="s">
        <v>138</v>
      </c>
      <c r="E819" s="3">
        <v>15</v>
      </c>
      <c r="G819" s="19"/>
    </row>
    <row r="820" spans="1:7" ht="12.75" x14ac:dyDescent="0.2">
      <c r="A820" s="3">
        <v>42</v>
      </c>
      <c r="B820" s="4" t="s">
        <v>73</v>
      </c>
      <c r="C820" s="3" t="s">
        <v>162</v>
      </c>
      <c r="D820" s="3" t="s">
        <v>145</v>
      </c>
      <c r="E820" s="3">
        <v>8</v>
      </c>
      <c r="G820" s="19"/>
    </row>
    <row r="821" spans="1:7" ht="12.75" x14ac:dyDescent="0.2">
      <c r="A821" s="3">
        <v>42</v>
      </c>
      <c r="B821" s="4" t="s">
        <v>73</v>
      </c>
      <c r="C821" s="3" t="s">
        <v>162</v>
      </c>
      <c r="D821" s="3" t="s">
        <v>139</v>
      </c>
      <c r="E821" s="3">
        <v>7</v>
      </c>
      <c r="G821" s="19"/>
    </row>
    <row r="822" spans="1:7" ht="12.75" x14ac:dyDescent="0.2">
      <c r="A822" s="3">
        <v>42</v>
      </c>
      <c r="B822" s="4" t="s">
        <v>73</v>
      </c>
      <c r="C822" s="3" t="s">
        <v>162</v>
      </c>
      <c r="D822" s="3" t="s">
        <v>149</v>
      </c>
      <c r="E822" s="3">
        <v>6</v>
      </c>
      <c r="G822" s="19"/>
    </row>
    <row r="823" spans="1:7" ht="12.75" x14ac:dyDescent="0.2">
      <c r="A823" s="3">
        <v>42</v>
      </c>
      <c r="B823" s="4" t="s">
        <v>73</v>
      </c>
      <c r="C823" s="3" t="s">
        <v>162</v>
      </c>
      <c r="D823" s="3" t="s">
        <v>135</v>
      </c>
      <c r="E823" s="3">
        <v>3</v>
      </c>
      <c r="G823" s="19"/>
    </row>
    <row r="824" spans="1:7" ht="12.75" x14ac:dyDescent="0.2">
      <c r="A824" s="3">
        <v>43</v>
      </c>
      <c r="B824" s="4" t="s">
        <v>74</v>
      </c>
      <c r="C824" s="3" t="s">
        <v>2</v>
      </c>
      <c r="D824" s="3" t="s">
        <v>136</v>
      </c>
      <c r="E824" s="3">
        <v>214</v>
      </c>
      <c r="G824" s="19"/>
    </row>
    <row r="825" spans="1:7" ht="12.75" x14ac:dyDescent="0.2">
      <c r="A825" s="3">
        <v>43</v>
      </c>
      <c r="B825" s="4" t="s">
        <v>74</v>
      </c>
      <c r="C825" s="3" t="s">
        <v>2</v>
      </c>
      <c r="D825" s="3" t="s">
        <v>133</v>
      </c>
      <c r="E825" s="3">
        <v>71</v>
      </c>
      <c r="F825">
        <f>SUM(E824:E826)</f>
        <v>286</v>
      </c>
      <c r="G825" s="19"/>
    </row>
    <row r="826" spans="1:7" ht="12.75" x14ac:dyDescent="0.2">
      <c r="A826" s="3">
        <v>43</v>
      </c>
      <c r="B826" s="4" t="s">
        <v>74</v>
      </c>
      <c r="C826" s="3" t="s">
        <v>2</v>
      </c>
      <c r="D826" s="3" t="s">
        <v>14</v>
      </c>
      <c r="E826" s="3">
        <v>1</v>
      </c>
      <c r="G826" s="19"/>
    </row>
    <row r="827" spans="1:7" ht="12.75" x14ac:dyDescent="0.2">
      <c r="A827" s="3">
        <v>43</v>
      </c>
      <c r="B827" s="4" t="s">
        <v>74</v>
      </c>
      <c r="C827" s="3" t="s">
        <v>161</v>
      </c>
      <c r="D827" s="3" t="s">
        <v>136</v>
      </c>
      <c r="E827" s="3">
        <v>182</v>
      </c>
      <c r="G827" s="19"/>
    </row>
    <row r="828" spans="1:7" ht="12.75" x14ac:dyDescent="0.2">
      <c r="A828" s="3">
        <v>43</v>
      </c>
      <c r="B828" s="4" t="s">
        <v>74</v>
      </c>
      <c r="C828" s="3" t="s">
        <v>161</v>
      </c>
      <c r="D828" s="3" t="s">
        <v>133</v>
      </c>
      <c r="E828" s="3">
        <v>54</v>
      </c>
      <c r="G828" s="19"/>
    </row>
    <row r="829" spans="1:7" ht="12.75" x14ac:dyDescent="0.2">
      <c r="A829" s="3">
        <v>43</v>
      </c>
      <c r="B829" s="4" t="s">
        <v>74</v>
      </c>
      <c r="C829" s="3" t="s">
        <v>161</v>
      </c>
      <c r="D829" s="3" t="s">
        <v>128</v>
      </c>
      <c r="E829" s="3">
        <v>32</v>
      </c>
      <c r="F829">
        <f>SUM(E827:E831)</f>
        <v>286</v>
      </c>
      <c r="G829" s="19"/>
    </row>
    <row r="830" spans="1:7" ht="12.75" x14ac:dyDescent="0.2">
      <c r="A830" s="3">
        <v>43</v>
      </c>
      <c r="B830" s="4" t="s">
        <v>74</v>
      </c>
      <c r="C830" s="3" t="s">
        <v>161</v>
      </c>
      <c r="D830" s="3" t="s">
        <v>148</v>
      </c>
      <c r="E830" s="3">
        <v>11</v>
      </c>
      <c r="G830" s="19"/>
    </row>
    <row r="831" spans="1:7" ht="12.75" x14ac:dyDescent="0.2">
      <c r="A831" s="3">
        <v>43</v>
      </c>
      <c r="B831" s="4" t="s">
        <v>74</v>
      </c>
      <c r="C831" s="3" t="s">
        <v>161</v>
      </c>
      <c r="D831" s="3" t="s">
        <v>14</v>
      </c>
      <c r="E831" s="3">
        <v>7</v>
      </c>
      <c r="G831" s="19"/>
    </row>
    <row r="832" spans="1:7" ht="12.75" x14ac:dyDescent="0.2">
      <c r="A832" s="3">
        <v>43</v>
      </c>
      <c r="B832" s="4" t="s">
        <v>74</v>
      </c>
      <c r="C832" s="3" t="s">
        <v>162</v>
      </c>
      <c r="D832" s="3" t="s">
        <v>136</v>
      </c>
      <c r="E832" s="3">
        <v>183</v>
      </c>
      <c r="G832" s="19"/>
    </row>
    <row r="833" spans="1:7" ht="12.75" x14ac:dyDescent="0.2">
      <c r="A833" s="3">
        <v>43</v>
      </c>
      <c r="B833" s="4" t="s">
        <v>74</v>
      </c>
      <c r="C833" s="3" t="s">
        <v>162</v>
      </c>
      <c r="D833" s="3" t="s">
        <v>133</v>
      </c>
      <c r="E833" s="3">
        <v>54</v>
      </c>
      <c r="G833" s="19"/>
    </row>
    <row r="834" spans="1:7" ht="12.75" x14ac:dyDescent="0.2">
      <c r="A834" s="3">
        <v>43</v>
      </c>
      <c r="B834" s="4" t="s">
        <v>74</v>
      </c>
      <c r="C834" s="3" t="s">
        <v>162</v>
      </c>
      <c r="D834" s="3" t="s">
        <v>128</v>
      </c>
      <c r="E834" s="3">
        <v>35</v>
      </c>
      <c r="F834">
        <f>SUM(E832:E836)</f>
        <v>286</v>
      </c>
      <c r="G834" s="19"/>
    </row>
    <row r="835" spans="1:7" ht="12.75" x14ac:dyDescent="0.2">
      <c r="A835" s="3">
        <v>43</v>
      </c>
      <c r="B835" s="4" t="s">
        <v>74</v>
      </c>
      <c r="C835" s="3" t="s">
        <v>162</v>
      </c>
      <c r="D835" s="3" t="s">
        <v>148</v>
      </c>
      <c r="E835" s="3">
        <v>11</v>
      </c>
      <c r="G835" s="19"/>
    </row>
    <row r="836" spans="1:7" ht="12.75" x14ac:dyDescent="0.2">
      <c r="A836" s="3">
        <v>43</v>
      </c>
      <c r="B836" s="4" t="s">
        <v>74</v>
      </c>
      <c r="C836" s="3" t="s">
        <v>162</v>
      </c>
      <c r="D836" s="3" t="s">
        <v>14</v>
      </c>
      <c r="E836" s="3">
        <v>3</v>
      </c>
      <c r="G836" s="19"/>
    </row>
    <row r="837" spans="1:7" ht="12.75" x14ac:dyDescent="0.2">
      <c r="A837" s="3">
        <v>45</v>
      </c>
      <c r="B837" s="4" t="s">
        <v>75</v>
      </c>
      <c r="C837" s="3" t="s">
        <v>15</v>
      </c>
      <c r="D837" s="3" t="s">
        <v>136</v>
      </c>
      <c r="E837" s="3">
        <v>94</v>
      </c>
      <c r="G837" s="19"/>
    </row>
    <row r="838" spans="1:7" ht="12.75" x14ac:dyDescent="0.2">
      <c r="A838" s="3">
        <v>45</v>
      </c>
      <c r="B838" s="4" t="s">
        <v>75</v>
      </c>
      <c r="C838" s="3" t="s">
        <v>15</v>
      </c>
      <c r="D838" s="3" t="s">
        <v>14</v>
      </c>
      <c r="E838" s="3">
        <v>8</v>
      </c>
      <c r="F838">
        <f>SUM(E837:E838)</f>
        <v>102</v>
      </c>
      <c r="G838" s="19"/>
    </row>
    <row r="839" spans="1:7" ht="12.75" x14ac:dyDescent="0.2">
      <c r="A839" s="3">
        <v>45</v>
      </c>
      <c r="B839" s="4" t="s">
        <v>75</v>
      </c>
      <c r="C839" s="3" t="s">
        <v>161</v>
      </c>
      <c r="D839" s="3" t="s">
        <v>136</v>
      </c>
      <c r="E839" s="3">
        <v>85</v>
      </c>
      <c r="G839" s="19"/>
    </row>
    <row r="840" spans="1:7" ht="12.75" x14ac:dyDescent="0.2">
      <c r="A840" s="3">
        <v>45</v>
      </c>
      <c r="B840" s="4" t="s">
        <v>75</v>
      </c>
      <c r="C840" s="3" t="s">
        <v>161</v>
      </c>
      <c r="D840" s="3" t="s">
        <v>128</v>
      </c>
      <c r="E840" s="3">
        <v>9</v>
      </c>
      <c r="G840" s="19"/>
    </row>
    <row r="841" spans="1:7" ht="12.75" x14ac:dyDescent="0.2">
      <c r="A841" s="3">
        <v>45</v>
      </c>
      <c r="B841" s="4" t="s">
        <v>75</v>
      </c>
      <c r="C841" s="3" t="s">
        <v>161</v>
      </c>
      <c r="D841" s="3" t="s">
        <v>148</v>
      </c>
      <c r="E841" s="3">
        <v>4</v>
      </c>
      <c r="F841">
        <f>SUM(E839:E842)</f>
        <v>102</v>
      </c>
      <c r="G841" s="19"/>
    </row>
    <row r="842" spans="1:7" ht="12.75" x14ac:dyDescent="0.2">
      <c r="A842" s="3">
        <v>45</v>
      </c>
      <c r="B842" s="4" t="s">
        <v>75</v>
      </c>
      <c r="C842" s="3" t="s">
        <v>161</v>
      </c>
      <c r="D842" s="3" t="s">
        <v>14</v>
      </c>
      <c r="E842" s="3">
        <v>4</v>
      </c>
      <c r="G842" s="19"/>
    </row>
    <row r="843" spans="1:7" ht="12.75" x14ac:dyDescent="0.2">
      <c r="A843" s="3">
        <v>45</v>
      </c>
      <c r="B843" s="4" t="s">
        <v>75</v>
      </c>
      <c r="C843" s="3" t="s">
        <v>162</v>
      </c>
      <c r="D843" s="3" t="s">
        <v>136</v>
      </c>
      <c r="E843" s="3">
        <v>85</v>
      </c>
      <c r="G843" s="19"/>
    </row>
    <row r="844" spans="1:7" ht="12.75" x14ac:dyDescent="0.2">
      <c r="A844" s="3">
        <v>45</v>
      </c>
      <c r="B844" s="4" t="s">
        <v>75</v>
      </c>
      <c r="C844" s="3" t="s">
        <v>162</v>
      </c>
      <c r="D844" s="3" t="s">
        <v>128</v>
      </c>
      <c r="E844" s="3">
        <v>11</v>
      </c>
      <c r="G844" s="19"/>
    </row>
    <row r="845" spans="1:7" ht="12.75" x14ac:dyDescent="0.2">
      <c r="A845" s="3">
        <v>45</v>
      </c>
      <c r="B845" s="4" t="s">
        <v>75</v>
      </c>
      <c r="C845" s="3" t="s">
        <v>162</v>
      </c>
      <c r="D845" s="3" t="s">
        <v>14</v>
      </c>
      <c r="E845" s="3">
        <v>3</v>
      </c>
      <c r="F845">
        <f>SUM(E843:E847)</f>
        <v>102</v>
      </c>
      <c r="G845" s="19"/>
    </row>
    <row r="846" spans="1:7" ht="12.75" x14ac:dyDescent="0.2">
      <c r="A846" s="3">
        <v>45</v>
      </c>
      <c r="B846" s="4" t="s">
        <v>75</v>
      </c>
      <c r="C846" s="3" t="s">
        <v>162</v>
      </c>
      <c r="D846" s="3" t="s">
        <v>148</v>
      </c>
      <c r="E846" s="3">
        <v>2</v>
      </c>
      <c r="G846" s="19"/>
    </row>
    <row r="847" spans="1:7" ht="12.75" x14ac:dyDescent="0.2">
      <c r="A847" s="3">
        <v>45</v>
      </c>
      <c r="B847" s="4" t="s">
        <v>75</v>
      </c>
      <c r="C847" s="3" t="s">
        <v>162</v>
      </c>
      <c r="D847" s="3" t="s">
        <v>133</v>
      </c>
      <c r="E847" s="3">
        <v>1</v>
      </c>
      <c r="G847" s="19"/>
    </row>
    <row r="848" spans="1:7" ht="12.75" x14ac:dyDescent="0.2">
      <c r="A848" s="3">
        <v>46</v>
      </c>
      <c r="B848" s="4" t="s">
        <v>76</v>
      </c>
      <c r="C848" s="3" t="s">
        <v>2</v>
      </c>
      <c r="D848" s="3" t="s">
        <v>136</v>
      </c>
      <c r="E848" s="3">
        <v>327</v>
      </c>
      <c r="G848" s="19"/>
    </row>
    <row r="849" spans="1:7" ht="12.75" x14ac:dyDescent="0.2">
      <c r="A849" s="3">
        <v>46</v>
      </c>
      <c r="B849" s="4" t="s">
        <v>76</v>
      </c>
      <c r="C849" s="3" t="s">
        <v>2</v>
      </c>
      <c r="D849" s="3" t="s">
        <v>14</v>
      </c>
      <c r="E849" s="3">
        <v>199</v>
      </c>
      <c r="F849">
        <f>SUM(E848:E850)</f>
        <v>527</v>
      </c>
      <c r="G849" s="19"/>
    </row>
    <row r="850" spans="1:7" ht="12.75" x14ac:dyDescent="0.2">
      <c r="A850" s="3">
        <v>46</v>
      </c>
      <c r="B850" s="4" t="s">
        <v>76</v>
      </c>
      <c r="C850" s="3" t="s">
        <v>2</v>
      </c>
      <c r="D850" s="3" t="s">
        <v>138</v>
      </c>
      <c r="E850" s="3">
        <v>1</v>
      </c>
      <c r="G850" s="19"/>
    </row>
    <row r="851" spans="1:7" ht="12.75" x14ac:dyDescent="0.2">
      <c r="A851" s="3">
        <v>46</v>
      </c>
      <c r="B851" s="4" t="s">
        <v>76</v>
      </c>
      <c r="C851" s="3" t="s">
        <v>161</v>
      </c>
      <c r="D851" s="3" t="s">
        <v>136</v>
      </c>
      <c r="E851" s="3">
        <v>318</v>
      </c>
      <c r="G851" s="19"/>
    </row>
    <row r="852" spans="1:7" ht="12.75" x14ac:dyDescent="0.2">
      <c r="A852" s="3">
        <v>46</v>
      </c>
      <c r="B852" s="4" t="s">
        <v>76</v>
      </c>
      <c r="C852" s="3" t="s">
        <v>161</v>
      </c>
      <c r="D852" s="3" t="s">
        <v>128</v>
      </c>
      <c r="E852" s="3">
        <v>146</v>
      </c>
      <c r="G852" s="19"/>
    </row>
    <row r="853" spans="1:7" ht="12.75" x14ac:dyDescent="0.2">
      <c r="A853" s="3">
        <v>46</v>
      </c>
      <c r="B853" s="4" t="s">
        <v>76</v>
      </c>
      <c r="C853" s="3" t="s">
        <v>161</v>
      </c>
      <c r="D853" s="3" t="s">
        <v>14</v>
      </c>
      <c r="E853" s="3">
        <v>25</v>
      </c>
      <c r="G853" s="19"/>
    </row>
    <row r="854" spans="1:7" ht="12.75" x14ac:dyDescent="0.2">
      <c r="A854" s="3">
        <v>46</v>
      </c>
      <c r="B854" s="4" t="s">
        <v>76</v>
      </c>
      <c r="C854" s="3" t="s">
        <v>161</v>
      </c>
      <c r="D854" s="3" t="s">
        <v>133</v>
      </c>
      <c r="E854" s="3">
        <v>12</v>
      </c>
      <c r="G854" s="19"/>
    </row>
    <row r="855" spans="1:7" ht="12.75" x14ac:dyDescent="0.2">
      <c r="A855" s="3">
        <v>46</v>
      </c>
      <c r="B855" s="4" t="s">
        <v>76</v>
      </c>
      <c r="C855" s="3" t="s">
        <v>161</v>
      </c>
      <c r="D855" s="3" t="s">
        <v>139</v>
      </c>
      <c r="E855" s="3">
        <v>9</v>
      </c>
      <c r="G855" s="19"/>
    </row>
    <row r="856" spans="1:7" ht="12.75" x14ac:dyDescent="0.2">
      <c r="A856" s="3">
        <v>46</v>
      </c>
      <c r="B856" s="4" t="s">
        <v>76</v>
      </c>
      <c r="C856" s="3" t="s">
        <v>161</v>
      </c>
      <c r="D856" s="3" t="s">
        <v>148</v>
      </c>
      <c r="E856" s="3">
        <v>6</v>
      </c>
      <c r="F856">
        <f>SUM(E851:E860)</f>
        <v>527</v>
      </c>
      <c r="G856" s="19"/>
    </row>
    <row r="857" spans="1:7" ht="12.75" x14ac:dyDescent="0.2">
      <c r="A857" s="3">
        <v>46</v>
      </c>
      <c r="B857" s="4" t="s">
        <v>76</v>
      </c>
      <c r="C857" s="3" t="s">
        <v>161</v>
      </c>
      <c r="D857" s="3" t="s">
        <v>138</v>
      </c>
      <c r="E857" s="3">
        <v>5</v>
      </c>
      <c r="G857" s="19"/>
    </row>
    <row r="858" spans="1:7" ht="12.75" x14ac:dyDescent="0.2">
      <c r="A858" s="3">
        <v>46</v>
      </c>
      <c r="B858" s="4" t="s">
        <v>76</v>
      </c>
      <c r="C858" s="3" t="s">
        <v>161</v>
      </c>
      <c r="D858" s="3" t="s">
        <v>149</v>
      </c>
      <c r="E858" s="3">
        <v>3</v>
      </c>
      <c r="G858" s="19"/>
    </row>
    <row r="859" spans="1:7" ht="12.75" x14ac:dyDescent="0.2">
      <c r="A859" s="3">
        <v>46</v>
      </c>
      <c r="B859" s="4" t="s">
        <v>76</v>
      </c>
      <c r="C859" s="3" t="s">
        <v>161</v>
      </c>
      <c r="D859" s="3" t="s">
        <v>145</v>
      </c>
      <c r="E859" s="3">
        <v>2</v>
      </c>
      <c r="G859" s="19"/>
    </row>
    <row r="860" spans="1:7" ht="12.75" x14ac:dyDescent="0.2">
      <c r="A860" s="3">
        <v>46</v>
      </c>
      <c r="B860" s="4" t="s">
        <v>76</v>
      </c>
      <c r="C860" s="3" t="s">
        <v>161</v>
      </c>
      <c r="D860" s="3" t="s">
        <v>135</v>
      </c>
      <c r="E860" s="3">
        <v>1</v>
      </c>
      <c r="G860" s="19"/>
    </row>
    <row r="861" spans="1:7" ht="12.75" x14ac:dyDescent="0.2">
      <c r="A861" s="3">
        <v>46</v>
      </c>
      <c r="B861" s="4" t="s">
        <v>76</v>
      </c>
      <c r="C861" s="3" t="s">
        <v>162</v>
      </c>
      <c r="D861" s="3" t="s">
        <v>136</v>
      </c>
      <c r="E861" s="3">
        <v>333</v>
      </c>
      <c r="G861" s="19"/>
    </row>
    <row r="862" spans="1:7" ht="12.75" x14ac:dyDescent="0.2">
      <c r="A862" s="3">
        <v>46</v>
      </c>
      <c r="B862" s="4" t="s">
        <v>76</v>
      </c>
      <c r="C862" s="3" t="s">
        <v>162</v>
      </c>
      <c r="D862" s="3" t="s">
        <v>128</v>
      </c>
      <c r="E862" s="3">
        <v>143</v>
      </c>
      <c r="G862" s="19"/>
    </row>
    <row r="863" spans="1:7" ht="12.75" x14ac:dyDescent="0.2">
      <c r="A863" s="3">
        <v>46</v>
      </c>
      <c r="B863" s="4" t="s">
        <v>76</v>
      </c>
      <c r="C863" s="3" t="s">
        <v>162</v>
      </c>
      <c r="D863" s="3" t="s">
        <v>133</v>
      </c>
      <c r="E863" s="3">
        <v>14</v>
      </c>
      <c r="G863" s="19"/>
    </row>
    <row r="864" spans="1:7" ht="12.75" x14ac:dyDescent="0.2">
      <c r="A864" s="3">
        <v>46</v>
      </c>
      <c r="B864" s="4" t="s">
        <v>76</v>
      </c>
      <c r="C864" s="3" t="s">
        <v>162</v>
      </c>
      <c r="D864" s="3" t="s">
        <v>14</v>
      </c>
      <c r="E864" s="3">
        <v>13</v>
      </c>
      <c r="F864">
        <f>SUM(E861:E870)</f>
        <v>527</v>
      </c>
      <c r="G864" s="19"/>
    </row>
    <row r="865" spans="1:7" ht="12.75" x14ac:dyDescent="0.2">
      <c r="A865" s="3">
        <v>46</v>
      </c>
      <c r="B865" s="4" t="s">
        <v>76</v>
      </c>
      <c r="C865" s="3" t="s">
        <v>162</v>
      </c>
      <c r="D865" s="3" t="s">
        <v>139</v>
      </c>
      <c r="E865" s="3">
        <v>7</v>
      </c>
      <c r="G865" s="19"/>
    </row>
    <row r="866" spans="1:7" ht="12.75" x14ac:dyDescent="0.2">
      <c r="A866" s="3">
        <v>46</v>
      </c>
      <c r="B866" s="4" t="s">
        <v>76</v>
      </c>
      <c r="C866" s="3" t="s">
        <v>162</v>
      </c>
      <c r="D866" s="3" t="s">
        <v>148</v>
      </c>
      <c r="E866" s="3">
        <v>6</v>
      </c>
      <c r="G866" s="19"/>
    </row>
    <row r="867" spans="1:7" ht="12.75" x14ac:dyDescent="0.2">
      <c r="A867" s="3">
        <v>46</v>
      </c>
      <c r="B867" s="4" t="s">
        <v>76</v>
      </c>
      <c r="C867" s="3" t="s">
        <v>162</v>
      </c>
      <c r="D867" s="3" t="s">
        <v>138</v>
      </c>
      <c r="E867" s="3">
        <v>5</v>
      </c>
      <c r="G867" s="19"/>
    </row>
    <row r="868" spans="1:7" ht="12.75" x14ac:dyDescent="0.2">
      <c r="A868" s="3">
        <v>46</v>
      </c>
      <c r="B868" s="4" t="s">
        <v>76</v>
      </c>
      <c r="C868" s="3" t="s">
        <v>162</v>
      </c>
      <c r="D868" s="3" t="s">
        <v>149</v>
      </c>
      <c r="E868" s="3">
        <v>3</v>
      </c>
      <c r="G868" s="19"/>
    </row>
    <row r="869" spans="1:7" ht="12.75" x14ac:dyDescent="0.2">
      <c r="A869" s="3">
        <v>46</v>
      </c>
      <c r="B869" s="4" t="s">
        <v>76</v>
      </c>
      <c r="C869" s="3" t="s">
        <v>162</v>
      </c>
      <c r="D869" s="3" t="s">
        <v>145</v>
      </c>
      <c r="E869" s="3">
        <v>2</v>
      </c>
      <c r="G869" s="19"/>
    </row>
    <row r="870" spans="1:7" ht="12.75" x14ac:dyDescent="0.2">
      <c r="A870" s="3">
        <v>46</v>
      </c>
      <c r="B870" s="4" t="s">
        <v>76</v>
      </c>
      <c r="C870" s="3" t="s">
        <v>162</v>
      </c>
      <c r="D870" s="3" t="s">
        <v>135</v>
      </c>
      <c r="E870" s="3">
        <v>1</v>
      </c>
      <c r="G870" s="19"/>
    </row>
    <row r="871" spans="1:7" ht="12.75" x14ac:dyDescent="0.2">
      <c r="A871" s="3">
        <v>47</v>
      </c>
      <c r="B871" s="4" t="s">
        <v>77</v>
      </c>
      <c r="C871" s="3" t="s">
        <v>2</v>
      </c>
      <c r="D871" s="3" t="s">
        <v>136</v>
      </c>
      <c r="E871" s="3">
        <v>680</v>
      </c>
      <c r="G871" s="19"/>
    </row>
    <row r="872" spans="1:7" ht="12.75" x14ac:dyDescent="0.2">
      <c r="A872" s="3">
        <v>47</v>
      </c>
      <c r="B872" s="4" t="s">
        <v>77</v>
      </c>
      <c r="C872" s="3" t="s">
        <v>2</v>
      </c>
      <c r="D872" s="3" t="s">
        <v>128</v>
      </c>
      <c r="E872" s="3">
        <v>290</v>
      </c>
      <c r="G872" s="19"/>
    </row>
    <row r="873" spans="1:7" ht="12.75" x14ac:dyDescent="0.2">
      <c r="A873" s="3">
        <v>47</v>
      </c>
      <c r="B873" s="4" t="s">
        <v>77</v>
      </c>
      <c r="C873" s="3" t="s">
        <v>2</v>
      </c>
      <c r="D873" s="3" t="s">
        <v>14</v>
      </c>
      <c r="E873" s="3">
        <v>53</v>
      </c>
      <c r="F873">
        <f>SUM(E871:E874)</f>
        <v>1029</v>
      </c>
      <c r="G873" s="19"/>
    </row>
    <row r="874" spans="1:7" ht="12.75" x14ac:dyDescent="0.2">
      <c r="A874" s="3">
        <v>47</v>
      </c>
      <c r="B874" s="4" t="s">
        <v>77</v>
      </c>
      <c r="C874" s="3" t="s">
        <v>2</v>
      </c>
      <c r="D874" s="3" t="s">
        <v>138</v>
      </c>
      <c r="E874" s="3">
        <v>6</v>
      </c>
      <c r="G874" s="19"/>
    </row>
    <row r="875" spans="1:7" ht="12.75" x14ac:dyDescent="0.2">
      <c r="A875" s="3">
        <v>47</v>
      </c>
      <c r="B875" s="4" t="s">
        <v>77</v>
      </c>
      <c r="C875" s="3" t="s">
        <v>161</v>
      </c>
      <c r="D875" s="3" t="s">
        <v>136</v>
      </c>
      <c r="E875" s="3">
        <v>643</v>
      </c>
      <c r="G875" s="19"/>
    </row>
    <row r="876" spans="1:7" ht="12.75" x14ac:dyDescent="0.2">
      <c r="A876" s="3">
        <v>47</v>
      </c>
      <c r="B876" s="4" t="s">
        <v>77</v>
      </c>
      <c r="C876" s="3" t="s">
        <v>161</v>
      </c>
      <c r="D876" s="3" t="s">
        <v>128</v>
      </c>
      <c r="E876" s="3">
        <v>270</v>
      </c>
      <c r="G876" s="19"/>
    </row>
    <row r="877" spans="1:7" ht="12.75" x14ac:dyDescent="0.2">
      <c r="A877" s="3">
        <v>47</v>
      </c>
      <c r="B877" s="4" t="s">
        <v>77</v>
      </c>
      <c r="C877" s="3" t="s">
        <v>161</v>
      </c>
      <c r="D877" s="3" t="s">
        <v>14</v>
      </c>
      <c r="E877" s="3">
        <v>61</v>
      </c>
      <c r="G877" s="19"/>
    </row>
    <row r="878" spans="1:7" ht="12.75" x14ac:dyDescent="0.2">
      <c r="A878" s="3">
        <v>47</v>
      </c>
      <c r="B878" s="4" t="s">
        <v>77</v>
      </c>
      <c r="C878" s="3" t="s">
        <v>161</v>
      </c>
      <c r="D878" s="3" t="s">
        <v>133</v>
      </c>
      <c r="E878" s="3">
        <v>24</v>
      </c>
      <c r="G878" s="19"/>
    </row>
    <row r="879" spans="1:7" ht="12.75" x14ac:dyDescent="0.2">
      <c r="A879" s="3">
        <v>47</v>
      </c>
      <c r="B879" s="4" t="s">
        <v>77</v>
      </c>
      <c r="C879" s="3" t="s">
        <v>161</v>
      </c>
      <c r="D879" s="3" t="s">
        <v>138</v>
      </c>
      <c r="E879" s="3">
        <v>10</v>
      </c>
      <c r="G879" s="19"/>
    </row>
    <row r="880" spans="1:7" ht="12.75" x14ac:dyDescent="0.2">
      <c r="A880" s="3">
        <v>47</v>
      </c>
      <c r="B880" s="4" t="s">
        <v>77</v>
      </c>
      <c r="C880" s="3" t="s">
        <v>161</v>
      </c>
      <c r="D880" s="3" t="s">
        <v>149</v>
      </c>
      <c r="E880" s="3">
        <v>8</v>
      </c>
      <c r="F880">
        <f>SUM(E875:E884)</f>
        <v>1029</v>
      </c>
      <c r="G880" s="19"/>
    </row>
    <row r="881" spans="1:7" ht="12.75" x14ac:dyDescent="0.2">
      <c r="A881" s="3">
        <v>47</v>
      </c>
      <c r="B881" s="4" t="s">
        <v>77</v>
      </c>
      <c r="C881" s="3" t="s">
        <v>161</v>
      </c>
      <c r="D881" s="3" t="s">
        <v>139</v>
      </c>
      <c r="E881" s="3">
        <v>4</v>
      </c>
      <c r="G881" s="19"/>
    </row>
    <row r="882" spans="1:7" ht="12.75" x14ac:dyDescent="0.2">
      <c r="A882" s="3">
        <v>47</v>
      </c>
      <c r="B882" s="4" t="s">
        <v>77</v>
      </c>
      <c r="C882" s="3" t="s">
        <v>161</v>
      </c>
      <c r="D882" s="3" t="s">
        <v>148</v>
      </c>
      <c r="E882" s="3">
        <v>4</v>
      </c>
      <c r="G882" s="19"/>
    </row>
    <row r="883" spans="1:7" ht="12.75" x14ac:dyDescent="0.2">
      <c r="A883" s="3">
        <v>47</v>
      </c>
      <c r="B883" s="4" t="s">
        <v>77</v>
      </c>
      <c r="C883" s="3" t="s">
        <v>161</v>
      </c>
      <c r="D883" s="3" t="s">
        <v>145</v>
      </c>
      <c r="E883" s="3">
        <v>3</v>
      </c>
      <c r="G883" s="19"/>
    </row>
    <row r="884" spans="1:7" ht="12.75" x14ac:dyDescent="0.2">
      <c r="A884" s="3">
        <v>47</v>
      </c>
      <c r="B884" s="4" t="s">
        <v>77</v>
      </c>
      <c r="C884" s="3" t="s">
        <v>161</v>
      </c>
      <c r="D884" s="3" t="s">
        <v>135</v>
      </c>
      <c r="E884" s="3">
        <v>2</v>
      </c>
      <c r="G884" s="19"/>
    </row>
    <row r="885" spans="1:7" ht="12.75" x14ac:dyDescent="0.2">
      <c r="A885" s="3">
        <v>47</v>
      </c>
      <c r="B885" s="4" t="s">
        <v>77</v>
      </c>
      <c r="C885" s="3" t="s">
        <v>162</v>
      </c>
      <c r="D885" s="3" t="s">
        <v>136</v>
      </c>
      <c r="E885" s="3">
        <v>661</v>
      </c>
      <c r="G885" s="19"/>
    </row>
    <row r="886" spans="1:7" ht="12.75" x14ac:dyDescent="0.2">
      <c r="A886" s="3">
        <v>47</v>
      </c>
      <c r="B886" s="4" t="s">
        <v>77</v>
      </c>
      <c r="C886" s="3" t="s">
        <v>162</v>
      </c>
      <c r="D886" s="3" t="s">
        <v>128</v>
      </c>
      <c r="E886" s="3">
        <v>275</v>
      </c>
      <c r="G886" s="19"/>
    </row>
    <row r="887" spans="1:7" ht="12.75" x14ac:dyDescent="0.2">
      <c r="A887" s="3">
        <v>47</v>
      </c>
      <c r="B887" s="4" t="s">
        <v>77</v>
      </c>
      <c r="C887" s="3" t="s">
        <v>162</v>
      </c>
      <c r="D887" s="3" t="s">
        <v>14</v>
      </c>
      <c r="E887" s="3">
        <v>43</v>
      </c>
      <c r="G887" s="19"/>
    </row>
    <row r="888" spans="1:7" ht="12.75" x14ac:dyDescent="0.2">
      <c r="A888" s="3">
        <v>47</v>
      </c>
      <c r="B888" s="4" t="s">
        <v>77</v>
      </c>
      <c r="C888" s="3" t="s">
        <v>162</v>
      </c>
      <c r="D888" s="3" t="s">
        <v>133</v>
      </c>
      <c r="E888" s="3">
        <v>25</v>
      </c>
      <c r="G888" s="19"/>
    </row>
    <row r="889" spans="1:7" ht="12.75" x14ac:dyDescent="0.2">
      <c r="A889" s="3">
        <v>47</v>
      </c>
      <c r="B889" s="4" t="s">
        <v>77</v>
      </c>
      <c r="C889" s="3" t="s">
        <v>162</v>
      </c>
      <c r="D889" s="3" t="s">
        <v>138</v>
      </c>
      <c r="E889" s="3">
        <v>8</v>
      </c>
      <c r="G889" s="19"/>
    </row>
    <row r="890" spans="1:7" ht="12.75" x14ac:dyDescent="0.2">
      <c r="A890" s="3">
        <v>47</v>
      </c>
      <c r="B890" s="4" t="s">
        <v>77</v>
      </c>
      <c r="C890" s="3" t="s">
        <v>162</v>
      </c>
      <c r="D890" s="3" t="s">
        <v>149</v>
      </c>
      <c r="E890" s="3">
        <v>7</v>
      </c>
      <c r="G890" s="19"/>
    </row>
    <row r="891" spans="1:7" ht="12.75" x14ac:dyDescent="0.2">
      <c r="A891" s="3">
        <v>47</v>
      </c>
      <c r="B891" s="4" t="s">
        <v>77</v>
      </c>
      <c r="C891" s="3" t="s">
        <v>162</v>
      </c>
      <c r="D891" s="3" t="s">
        <v>148</v>
      </c>
      <c r="E891" s="3">
        <v>3</v>
      </c>
      <c r="G891" s="19"/>
    </row>
    <row r="892" spans="1:7" ht="12.75" x14ac:dyDescent="0.2">
      <c r="A892" s="3">
        <v>47</v>
      </c>
      <c r="B892" s="4" t="s">
        <v>77</v>
      </c>
      <c r="C892" s="3" t="s">
        <v>162</v>
      </c>
      <c r="D892" s="3" t="s">
        <v>135</v>
      </c>
      <c r="E892" s="3">
        <v>3</v>
      </c>
      <c r="F892">
        <f>SUM(E885:E894)</f>
        <v>1029</v>
      </c>
      <c r="G892" s="19"/>
    </row>
    <row r="893" spans="1:7" ht="12.75" x14ac:dyDescent="0.2">
      <c r="A893" s="3">
        <v>47</v>
      </c>
      <c r="B893" s="4" t="s">
        <v>77</v>
      </c>
      <c r="C893" s="3" t="s">
        <v>162</v>
      </c>
      <c r="D893" s="3" t="s">
        <v>145</v>
      </c>
      <c r="E893" s="3">
        <v>3</v>
      </c>
      <c r="G893" s="19"/>
    </row>
    <row r="894" spans="1:7" ht="12.75" x14ac:dyDescent="0.2">
      <c r="A894" s="3">
        <v>47</v>
      </c>
      <c r="B894" s="4" t="s">
        <v>77</v>
      </c>
      <c r="C894" s="3" t="s">
        <v>162</v>
      </c>
      <c r="D894" s="3" t="s">
        <v>139</v>
      </c>
      <c r="E894" s="3">
        <v>1</v>
      </c>
      <c r="G894" s="19"/>
    </row>
    <row r="895" spans="1:7" ht="12.75" x14ac:dyDescent="0.2">
      <c r="A895" s="3">
        <v>48</v>
      </c>
      <c r="B895" s="4" t="s">
        <v>78</v>
      </c>
      <c r="C895" s="3" t="s">
        <v>2</v>
      </c>
      <c r="D895" s="3" t="s">
        <v>26</v>
      </c>
      <c r="E895" s="3">
        <v>2188</v>
      </c>
      <c r="G895" s="19"/>
    </row>
    <row r="896" spans="1:7" ht="12.75" x14ac:dyDescent="0.2">
      <c r="A896" s="3">
        <v>48</v>
      </c>
      <c r="B896" s="4" t="s">
        <v>78</v>
      </c>
      <c r="C896" s="3" t="s">
        <v>2</v>
      </c>
      <c r="D896" s="3" t="s">
        <v>3</v>
      </c>
      <c r="E896" s="3">
        <v>2187</v>
      </c>
      <c r="G896" s="19"/>
    </row>
    <row r="897" spans="1:7" ht="12.75" x14ac:dyDescent="0.2">
      <c r="A897" s="3">
        <v>48</v>
      </c>
      <c r="B897" s="4" t="s">
        <v>78</v>
      </c>
      <c r="C897" s="3" t="s">
        <v>2</v>
      </c>
      <c r="D897" s="3" t="s">
        <v>14</v>
      </c>
      <c r="E897" s="3">
        <v>122</v>
      </c>
      <c r="F897">
        <f>SUM(E895:E898)</f>
        <v>4524</v>
      </c>
      <c r="G897" s="19"/>
    </row>
    <row r="898" spans="1:7" ht="12.75" x14ac:dyDescent="0.2">
      <c r="A898" s="3">
        <v>48</v>
      </c>
      <c r="B898" s="4" t="s">
        <v>78</v>
      </c>
      <c r="C898" s="3" t="s">
        <v>2</v>
      </c>
      <c r="D898" s="3" t="s">
        <v>138</v>
      </c>
      <c r="E898" s="3">
        <v>27</v>
      </c>
      <c r="G898" s="19"/>
    </row>
    <row r="899" spans="1:7" ht="12.75" x14ac:dyDescent="0.2">
      <c r="A899" s="3">
        <v>48</v>
      </c>
      <c r="B899" s="4" t="s">
        <v>78</v>
      </c>
      <c r="C899" s="3" t="s">
        <v>162</v>
      </c>
      <c r="D899" s="3" t="s">
        <v>3</v>
      </c>
      <c r="E899" s="3">
        <v>2268</v>
      </c>
      <c r="G899" s="19"/>
    </row>
    <row r="900" spans="1:7" ht="12.75" x14ac:dyDescent="0.2">
      <c r="A900" s="3">
        <v>48</v>
      </c>
      <c r="B900" s="4" t="s">
        <v>78</v>
      </c>
      <c r="C900" s="3" t="s">
        <v>162</v>
      </c>
      <c r="D900" s="3" t="s">
        <v>128</v>
      </c>
      <c r="E900" s="3">
        <v>954</v>
      </c>
      <c r="G900" s="19"/>
    </row>
    <row r="901" spans="1:7" ht="12.75" x14ac:dyDescent="0.2">
      <c r="A901" s="3">
        <v>48</v>
      </c>
      <c r="B901" s="4" t="s">
        <v>78</v>
      </c>
      <c r="C901" s="3" t="s">
        <v>162</v>
      </c>
      <c r="D901" s="3" t="s">
        <v>14</v>
      </c>
      <c r="E901" s="3">
        <v>829</v>
      </c>
      <c r="G901" s="19"/>
    </row>
    <row r="902" spans="1:7" ht="12.75" x14ac:dyDescent="0.2">
      <c r="A902" s="3">
        <v>48</v>
      </c>
      <c r="B902" s="4" t="s">
        <v>78</v>
      </c>
      <c r="C902" s="3" t="s">
        <v>162</v>
      </c>
      <c r="D902" s="3" t="s">
        <v>133</v>
      </c>
      <c r="E902" s="3">
        <v>157</v>
      </c>
      <c r="G902" s="19"/>
    </row>
    <row r="903" spans="1:7" ht="12.75" x14ac:dyDescent="0.2">
      <c r="A903" s="3">
        <v>48</v>
      </c>
      <c r="B903" s="4" t="s">
        <v>78</v>
      </c>
      <c r="C903" s="3" t="s">
        <v>162</v>
      </c>
      <c r="D903" s="3" t="s">
        <v>149</v>
      </c>
      <c r="E903" s="3">
        <v>127</v>
      </c>
      <c r="G903" s="19"/>
    </row>
    <row r="904" spans="1:7" ht="12.75" x14ac:dyDescent="0.2">
      <c r="A904" s="3">
        <v>48</v>
      </c>
      <c r="B904" s="4" t="s">
        <v>78</v>
      </c>
      <c r="C904" s="3" t="s">
        <v>162</v>
      </c>
      <c r="D904" s="3" t="s">
        <v>148</v>
      </c>
      <c r="E904" s="3">
        <v>93</v>
      </c>
      <c r="F904">
        <f>SUM(E899:E908)</f>
        <v>4524</v>
      </c>
      <c r="G904" s="19"/>
    </row>
    <row r="905" spans="1:7" ht="12.75" x14ac:dyDescent="0.2">
      <c r="A905" s="3">
        <v>48</v>
      </c>
      <c r="B905" s="4" t="s">
        <v>78</v>
      </c>
      <c r="C905" s="3" t="s">
        <v>162</v>
      </c>
      <c r="D905" s="3" t="s">
        <v>138</v>
      </c>
      <c r="E905" s="3">
        <v>42</v>
      </c>
      <c r="G905" s="19"/>
    </row>
    <row r="906" spans="1:7" ht="12.75" x14ac:dyDescent="0.2">
      <c r="A906" s="3">
        <v>48</v>
      </c>
      <c r="B906" s="4" t="s">
        <v>78</v>
      </c>
      <c r="C906" s="3" t="s">
        <v>162</v>
      </c>
      <c r="D906" s="3" t="s">
        <v>139</v>
      </c>
      <c r="E906" s="3">
        <v>27</v>
      </c>
      <c r="G906" s="19"/>
    </row>
    <row r="907" spans="1:7" ht="12.75" x14ac:dyDescent="0.2">
      <c r="A907" s="3">
        <v>48</v>
      </c>
      <c r="B907" s="4" t="s">
        <v>78</v>
      </c>
      <c r="C907" s="3" t="s">
        <v>162</v>
      </c>
      <c r="D907" s="3" t="s">
        <v>145</v>
      </c>
      <c r="E907" s="3">
        <v>14</v>
      </c>
      <c r="G907" s="19"/>
    </row>
    <row r="908" spans="1:7" ht="12.75" x14ac:dyDescent="0.2">
      <c r="A908" s="3">
        <v>48</v>
      </c>
      <c r="B908" s="4" t="s">
        <v>78</v>
      </c>
      <c r="C908" s="3" t="s">
        <v>162</v>
      </c>
      <c r="D908" s="3" t="s">
        <v>135</v>
      </c>
      <c r="E908" s="3">
        <v>13</v>
      </c>
      <c r="G908" s="19"/>
    </row>
    <row r="909" spans="1:7" ht="12.75" x14ac:dyDescent="0.2">
      <c r="A909" s="3">
        <v>48</v>
      </c>
      <c r="B909" s="4" t="s">
        <v>78</v>
      </c>
      <c r="C909" s="3" t="s">
        <v>161</v>
      </c>
      <c r="D909" s="3" t="s">
        <v>3</v>
      </c>
      <c r="E909" s="3">
        <v>2144</v>
      </c>
      <c r="G909" s="19"/>
    </row>
    <row r="910" spans="1:7" ht="12.75" x14ac:dyDescent="0.2">
      <c r="A910" s="3">
        <v>48</v>
      </c>
      <c r="B910" s="4" t="s">
        <v>78</v>
      </c>
      <c r="C910" s="3" t="s">
        <v>161</v>
      </c>
      <c r="D910" s="3" t="s">
        <v>14</v>
      </c>
      <c r="E910" s="3">
        <v>934</v>
      </c>
      <c r="G910" s="19"/>
    </row>
    <row r="911" spans="1:7" ht="12.75" x14ac:dyDescent="0.2">
      <c r="A911" s="3">
        <v>48</v>
      </c>
      <c r="B911" s="4" t="s">
        <v>78</v>
      </c>
      <c r="C911" s="3" t="s">
        <v>161</v>
      </c>
      <c r="D911" s="3" t="s">
        <v>128</v>
      </c>
      <c r="E911" s="3">
        <v>869</v>
      </c>
      <c r="G911" s="19"/>
    </row>
    <row r="912" spans="1:7" ht="12.75" x14ac:dyDescent="0.2">
      <c r="A912" s="3">
        <v>48</v>
      </c>
      <c r="B912" s="4" t="s">
        <v>78</v>
      </c>
      <c r="C912" s="3" t="s">
        <v>161</v>
      </c>
      <c r="D912" s="3" t="s">
        <v>148</v>
      </c>
      <c r="E912" s="3">
        <v>205</v>
      </c>
      <c r="G912" s="19"/>
    </row>
    <row r="913" spans="1:7" ht="12.75" x14ac:dyDescent="0.2">
      <c r="A913" s="3">
        <v>48</v>
      </c>
      <c r="B913" s="4" t="s">
        <v>78</v>
      </c>
      <c r="C913" s="3" t="s">
        <v>161</v>
      </c>
      <c r="D913" s="3" t="s">
        <v>133</v>
      </c>
      <c r="E913" s="3">
        <v>138</v>
      </c>
      <c r="G913" s="19"/>
    </row>
    <row r="914" spans="1:7" ht="12.75" x14ac:dyDescent="0.2">
      <c r="A914" s="3">
        <v>48</v>
      </c>
      <c r="B914" s="4" t="s">
        <v>78</v>
      </c>
      <c r="C914" s="3" t="s">
        <v>161</v>
      </c>
      <c r="D914" s="3" t="s">
        <v>149</v>
      </c>
      <c r="E914" s="3">
        <v>135</v>
      </c>
      <c r="F914">
        <f>SUM(E909:E918)</f>
        <v>4524</v>
      </c>
      <c r="G914" s="19"/>
    </row>
    <row r="915" spans="1:7" ht="12.75" x14ac:dyDescent="0.2">
      <c r="A915" s="3">
        <v>48</v>
      </c>
      <c r="B915" s="4" t="s">
        <v>78</v>
      </c>
      <c r="C915" s="3" t="s">
        <v>161</v>
      </c>
      <c r="D915" s="3" t="s">
        <v>138</v>
      </c>
      <c r="E915" s="3">
        <v>44</v>
      </c>
      <c r="G915" s="19"/>
    </row>
    <row r="916" spans="1:7" ht="12.75" x14ac:dyDescent="0.2">
      <c r="A916" s="3">
        <v>48</v>
      </c>
      <c r="B916" s="4" t="s">
        <v>78</v>
      </c>
      <c r="C916" s="3" t="s">
        <v>161</v>
      </c>
      <c r="D916" s="3" t="s">
        <v>139</v>
      </c>
      <c r="E916" s="3">
        <v>28</v>
      </c>
      <c r="G916" s="19"/>
    </row>
    <row r="917" spans="1:7" ht="12.75" x14ac:dyDescent="0.2">
      <c r="A917" s="3">
        <v>48</v>
      </c>
      <c r="B917" s="4" t="s">
        <v>78</v>
      </c>
      <c r="C917" s="3" t="s">
        <v>161</v>
      </c>
      <c r="D917" s="3" t="s">
        <v>145</v>
      </c>
      <c r="E917" s="3">
        <v>15</v>
      </c>
      <c r="G917" s="19"/>
    </row>
    <row r="918" spans="1:7" ht="12.75" x14ac:dyDescent="0.2">
      <c r="A918" s="3">
        <v>48</v>
      </c>
      <c r="B918" s="4" t="s">
        <v>78</v>
      </c>
      <c r="C918" s="3" t="s">
        <v>161</v>
      </c>
      <c r="D918" s="3" t="s">
        <v>135</v>
      </c>
      <c r="E918" s="3">
        <v>12</v>
      </c>
      <c r="G918" s="19"/>
    </row>
    <row r="919" spans="1:7" ht="12.75" x14ac:dyDescent="0.2">
      <c r="A919" s="3">
        <v>49</v>
      </c>
      <c r="B919" s="4" t="s">
        <v>79</v>
      </c>
      <c r="C919" s="3" t="s">
        <v>15</v>
      </c>
      <c r="D919" s="3" t="s">
        <v>133</v>
      </c>
      <c r="E919" s="3">
        <v>99</v>
      </c>
      <c r="G919" s="19"/>
    </row>
    <row r="920" spans="1:7" ht="12.75" x14ac:dyDescent="0.2">
      <c r="A920" s="3">
        <v>49</v>
      </c>
      <c r="B920" s="4" t="s">
        <v>79</v>
      </c>
      <c r="C920" s="3" t="s">
        <v>15</v>
      </c>
      <c r="D920" s="3" t="s">
        <v>136</v>
      </c>
      <c r="E920" s="3">
        <v>96</v>
      </c>
      <c r="F920">
        <f>SUM(E919:E922)</f>
        <v>204</v>
      </c>
      <c r="G920" s="19"/>
    </row>
    <row r="921" spans="1:7" ht="12.75" x14ac:dyDescent="0.2">
      <c r="A921" s="3">
        <v>49</v>
      </c>
      <c r="B921" s="4" t="s">
        <v>79</v>
      </c>
      <c r="C921" s="3" t="s">
        <v>15</v>
      </c>
      <c r="D921" s="3" t="s">
        <v>14</v>
      </c>
      <c r="E921" s="3">
        <v>7</v>
      </c>
      <c r="G921" s="19"/>
    </row>
    <row r="922" spans="1:7" ht="12.75" x14ac:dyDescent="0.2">
      <c r="A922" s="3">
        <v>49</v>
      </c>
      <c r="B922" s="4" t="s">
        <v>79</v>
      </c>
      <c r="C922" s="3" t="s">
        <v>15</v>
      </c>
      <c r="D922" s="3" t="s">
        <v>138</v>
      </c>
      <c r="E922" s="3">
        <v>2</v>
      </c>
      <c r="G922" s="19"/>
    </row>
    <row r="923" spans="1:7" ht="12.75" x14ac:dyDescent="0.2">
      <c r="A923" s="3">
        <v>49</v>
      </c>
      <c r="B923" s="4" t="s">
        <v>79</v>
      </c>
      <c r="C923" s="3" t="s">
        <v>161</v>
      </c>
      <c r="D923" s="3" t="s">
        <v>136</v>
      </c>
      <c r="E923" s="3">
        <v>103</v>
      </c>
      <c r="G923" s="19"/>
    </row>
    <row r="924" spans="1:7" ht="12.75" x14ac:dyDescent="0.2">
      <c r="A924" s="3">
        <v>49</v>
      </c>
      <c r="B924" s="4" t="s">
        <v>79</v>
      </c>
      <c r="C924" s="3" t="s">
        <v>161</v>
      </c>
      <c r="D924" s="3" t="s">
        <v>133</v>
      </c>
      <c r="E924" s="3">
        <v>68</v>
      </c>
      <c r="G924" s="19"/>
    </row>
    <row r="925" spans="1:7" ht="12.75" x14ac:dyDescent="0.2">
      <c r="A925" s="3">
        <v>49</v>
      </c>
      <c r="B925" s="4" t="s">
        <v>79</v>
      </c>
      <c r="C925" s="3" t="s">
        <v>161</v>
      </c>
      <c r="D925" s="3" t="s">
        <v>128</v>
      </c>
      <c r="E925" s="3">
        <v>24</v>
      </c>
      <c r="G925" s="19"/>
    </row>
    <row r="926" spans="1:7" ht="12.75" x14ac:dyDescent="0.2">
      <c r="A926" s="3">
        <v>49</v>
      </c>
      <c r="B926" s="4" t="s">
        <v>79</v>
      </c>
      <c r="C926" s="3" t="s">
        <v>161</v>
      </c>
      <c r="D926" s="3" t="s">
        <v>148</v>
      </c>
      <c r="E926" s="3">
        <v>4</v>
      </c>
      <c r="F926">
        <f>SUM(E923:E930)</f>
        <v>204</v>
      </c>
      <c r="G926" s="19"/>
    </row>
    <row r="927" spans="1:7" ht="12.75" x14ac:dyDescent="0.2">
      <c r="A927" s="3">
        <v>49</v>
      </c>
      <c r="B927" s="4" t="s">
        <v>79</v>
      </c>
      <c r="C927" s="3" t="s">
        <v>161</v>
      </c>
      <c r="D927" s="3" t="s">
        <v>138</v>
      </c>
      <c r="E927" s="3">
        <v>2</v>
      </c>
      <c r="G927" s="19"/>
    </row>
    <row r="928" spans="1:7" ht="12.75" x14ac:dyDescent="0.2">
      <c r="A928" s="3">
        <v>49</v>
      </c>
      <c r="B928" s="4" t="s">
        <v>79</v>
      </c>
      <c r="C928" s="3" t="s">
        <v>161</v>
      </c>
      <c r="D928" s="3" t="s">
        <v>149</v>
      </c>
      <c r="E928" s="3">
        <v>1</v>
      </c>
      <c r="G928" s="19"/>
    </row>
    <row r="929" spans="1:7" ht="12.75" x14ac:dyDescent="0.2">
      <c r="A929" s="3">
        <v>49</v>
      </c>
      <c r="B929" s="4" t="s">
        <v>79</v>
      </c>
      <c r="C929" s="3" t="s">
        <v>161</v>
      </c>
      <c r="D929" s="3" t="s">
        <v>139</v>
      </c>
      <c r="E929" s="3">
        <v>1</v>
      </c>
      <c r="G929" s="19"/>
    </row>
    <row r="930" spans="1:7" ht="12.75" x14ac:dyDescent="0.2">
      <c r="A930" s="3">
        <v>49</v>
      </c>
      <c r="B930" s="4" t="s">
        <v>79</v>
      </c>
      <c r="C930" s="3" t="s">
        <v>161</v>
      </c>
      <c r="D930" s="3" t="s">
        <v>14</v>
      </c>
      <c r="E930" s="3">
        <v>1</v>
      </c>
      <c r="G930" s="19"/>
    </row>
    <row r="931" spans="1:7" ht="12.75" x14ac:dyDescent="0.2">
      <c r="A931" s="3">
        <v>49</v>
      </c>
      <c r="B931" s="4" t="s">
        <v>79</v>
      </c>
      <c r="C931" s="3" t="s">
        <v>162</v>
      </c>
      <c r="D931" s="3" t="s">
        <v>136</v>
      </c>
      <c r="E931" s="3">
        <v>104</v>
      </c>
      <c r="G931" s="19"/>
    </row>
    <row r="932" spans="1:7" ht="12.75" x14ac:dyDescent="0.2">
      <c r="A932" s="3">
        <v>49</v>
      </c>
      <c r="B932" s="4" t="s">
        <v>79</v>
      </c>
      <c r="C932" s="3" t="s">
        <v>162</v>
      </c>
      <c r="D932" s="3" t="s">
        <v>133</v>
      </c>
      <c r="E932" s="3">
        <v>67</v>
      </c>
      <c r="G932" s="19"/>
    </row>
    <row r="933" spans="1:7" ht="12.75" x14ac:dyDescent="0.2">
      <c r="A933" s="3">
        <v>49</v>
      </c>
      <c r="B933" s="4" t="s">
        <v>79</v>
      </c>
      <c r="C933" s="3" t="s">
        <v>162</v>
      </c>
      <c r="D933" s="3" t="s">
        <v>128</v>
      </c>
      <c r="E933" s="3">
        <v>24</v>
      </c>
      <c r="G933" s="19"/>
    </row>
    <row r="934" spans="1:7" ht="12.75" x14ac:dyDescent="0.2">
      <c r="A934" s="3">
        <v>49</v>
      </c>
      <c r="B934" s="4" t="s">
        <v>79</v>
      </c>
      <c r="C934" s="3" t="s">
        <v>162</v>
      </c>
      <c r="D934" s="3" t="s">
        <v>148</v>
      </c>
      <c r="E934" s="3">
        <v>4</v>
      </c>
      <c r="F934">
        <f>SUM(E931:E938)</f>
        <v>204</v>
      </c>
      <c r="G934" s="19"/>
    </row>
    <row r="935" spans="1:7" ht="12.75" x14ac:dyDescent="0.2">
      <c r="A935" s="3">
        <v>49</v>
      </c>
      <c r="B935" s="4" t="s">
        <v>79</v>
      </c>
      <c r="C935" s="3" t="s">
        <v>162</v>
      </c>
      <c r="D935" s="3" t="s">
        <v>138</v>
      </c>
      <c r="E935" s="3">
        <v>2</v>
      </c>
      <c r="G935" s="19"/>
    </row>
    <row r="936" spans="1:7" ht="12.75" x14ac:dyDescent="0.2">
      <c r="A936" s="3">
        <v>49</v>
      </c>
      <c r="B936" s="4" t="s">
        <v>79</v>
      </c>
      <c r="C936" s="3" t="s">
        <v>162</v>
      </c>
      <c r="D936" s="3" t="s">
        <v>14</v>
      </c>
      <c r="E936" s="3">
        <v>1</v>
      </c>
      <c r="G936" s="19"/>
    </row>
    <row r="937" spans="1:7" ht="12.75" x14ac:dyDescent="0.2">
      <c r="A937" s="3">
        <v>49</v>
      </c>
      <c r="B937" s="4" t="s">
        <v>79</v>
      </c>
      <c r="C937" s="3" t="s">
        <v>162</v>
      </c>
      <c r="D937" s="3" t="s">
        <v>139</v>
      </c>
      <c r="E937" s="3">
        <v>1</v>
      </c>
      <c r="G937" s="19"/>
    </row>
    <row r="938" spans="1:7" ht="12.75" x14ac:dyDescent="0.2">
      <c r="A938" s="3">
        <v>49</v>
      </c>
      <c r="B938" s="4" t="s">
        <v>79</v>
      </c>
      <c r="C938" s="3" t="s">
        <v>162</v>
      </c>
      <c r="D938" s="3" t="s">
        <v>149</v>
      </c>
      <c r="E938" s="3">
        <v>1</v>
      </c>
      <c r="G938" s="19"/>
    </row>
    <row r="939" spans="1:7" ht="12.75" x14ac:dyDescent="0.2">
      <c r="A939" s="3">
        <v>53</v>
      </c>
      <c r="B939" s="4" t="s">
        <v>80</v>
      </c>
      <c r="C939" s="3" t="s">
        <v>15</v>
      </c>
      <c r="D939" s="3" t="s">
        <v>128</v>
      </c>
      <c r="E939" s="3">
        <v>103</v>
      </c>
      <c r="G939" s="19"/>
    </row>
    <row r="940" spans="1:7" ht="12.75" x14ac:dyDescent="0.2">
      <c r="A940" s="3">
        <v>53</v>
      </c>
      <c r="B940" s="4" t="s">
        <v>80</v>
      </c>
      <c r="C940" s="3" t="s">
        <v>15</v>
      </c>
      <c r="D940" s="3" t="s">
        <v>136</v>
      </c>
      <c r="E940" s="3">
        <v>102</v>
      </c>
      <c r="F940">
        <f>SUM(E939:E941)</f>
        <v>209</v>
      </c>
      <c r="G940" s="19"/>
    </row>
    <row r="941" spans="1:7" ht="12.75" x14ac:dyDescent="0.2">
      <c r="A941" s="3">
        <v>53</v>
      </c>
      <c r="B941" s="4" t="s">
        <v>80</v>
      </c>
      <c r="C941" s="3" t="s">
        <v>15</v>
      </c>
      <c r="D941" s="3" t="s">
        <v>14</v>
      </c>
      <c r="E941" s="3">
        <v>4</v>
      </c>
      <c r="G941" s="19"/>
    </row>
    <row r="942" spans="1:7" ht="12.75" x14ac:dyDescent="0.2">
      <c r="A942" s="3">
        <v>53</v>
      </c>
      <c r="B942" s="4" t="s">
        <v>80</v>
      </c>
      <c r="C942" s="3" t="s">
        <v>161</v>
      </c>
      <c r="D942" s="3" t="s">
        <v>136</v>
      </c>
      <c r="E942" s="3">
        <v>100</v>
      </c>
      <c r="G942" s="19"/>
    </row>
    <row r="943" spans="1:7" ht="12.75" x14ac:dyDescent="0.2">
      <c r="A943" s="3">
        <v>53</v>
      </c>
      <c r="B943" s="4" t="s">
        <v>80</v>
      </c>
      <c r="C943" s="3" t="s">
        <v>161</v>
      </c>
      <c r="D943" s="3" t="s">
        <v>128</v>
      </c>
      <c r="E943" s="3">
        <v>92</v>
      </c>
      <c r="G943" s="19"/>
    </row>
    <row r="944" spans="1:7" ht="12.75" x14ac:dyDescent="0.2">
      <c r="A944" s="3">
        <v>53</v>
      </c>
      <c r="B944" s="4" t="s">
        <v>80</v>
      </c>
      <c r="C944" s="3" t="s">
        <v>161</v>
      </c>
      <c r="D944" s="3" t="s">
        <v>14</v>
      </c>
      <c r="E944" s="3">
        <v>5</v>
      </c>
      <c r="F944">
        <f>SUM(E942:E949)</f>
        <v>209</v>
      </c>
      <c r="G944" s="19"/>
    </row>
    <row r="945" spans="1:7" ht="12.75" x14ac:dyDescent="0.2">
      <c r="A945" s="3">
        <v>53</v>
      </c>
      <c r="B945" s="4" t="s">
        <v>80</v>
      </c>
      <c r="C945" s="3" t="s">
        <v>161</v>
      </c>
      <c r="D945" s="3" t="s">
        <v>133</v>
      </c>
      <c r="E945" s="3">
        <v>5</v>
      </c>
      <c r="G945" s="19"/>
    </row>
    <row r="946" spans="1:7" ht="12.75" x14ac:dyDescent="0.2">
      <c r="A946" s="3">
        <v>53</v>
      </c>
      <c r="B946" s="4" t="s">
        <v>80</v>
      </c>
      <c r="C946" s="3" t="s">
        <v>161</v>
      </c>
      <c r="D946" s="3" t="s">
        <v>149</v>
      </c>
      <c r="E946" s="3">
        <v>4</v>
      </c>
      <c r="G946" s="19"/>
    </row>
    <row r="947" spans="1:7" ht="12.75" x14ac:dyDescent="0.2">
      <c r="A947" s="3">
        <v>53</v>
      </c>
      <c r="B947" s="4" t="s">
        <v>80</v>
      </c>
      <c r="C947" s="3" t="s">
        <v>161</v>
      </c>
      <c r="D947" s="3" t="s">
        <v>148</v>
      </c>
      <c r="E947" s="3">
        <v>1</v>
      </c>
      <c r="G947" s="19"/>
    </row>
    <row r="948" spans="1:7" ht="12.75" x14ac:dyDescent="0.2">
      <c r="A948" s="3">
        <v>53</v>
      </c>
      <c r="B948" s="4" t="s">
        <v>80</v>
      </c>
      <c r="C948" s="3" t="s">
        <v>161</v>
      </c>
      <c r="D948" s="3" t="s">
        <v>145</v>
      </c>
      <c r="E948" s="3">
        <v>1</v>
      </c>
      <c r="G948" s="19"/>
    </row>
    <row r="949" spans="1:7" ht="12.75" x14ac:dyDescent="0.2">
      <c r="A949" s="3">
        <v>53</v>
      </c>
      <c r="B949" s="4" t="s">
        <v>80</v>
      </c>
      <c r="C949" s="3" t="s">
        <v>161</v>
      </c>
      <c r="D949" s="3" t="s">
        <v>139</v>
      </c>
      <c r="E949" s="3">
        <v>1</v>
      </c>
      <c r="G949" s="19"/>
    </row>
    <row r="950" spans="1:7" ht="12.75" x14ac:dyDescent="0.2">
      <c r="A950" s="3">
        <v>53</v>
      </c>
      <c r="B950" s="4" t="s">
        <v>80</v>
      </c>
      <c r="C950" s="3" t="s">
        <v>162</v>
      </c>
      <c r="D950" s="3" t="s">
        <v>136</v>
      </c>
      <c r="E950" s="3">
        <v>98</v>
      </c>
      <c r="G950" s="19"/>
    </row>
    <row r="951" spans="1:7" ht="12.75" x14ac:dyDescent="0.2">
      <c r="A951" s="3">
        <v>53</v>
      </c>
      <c r="B951" s="4" t="s">
        <v>80</v>
      </c>
      <c r="C951" s="3" t="s">
        <v>162</v>
      </c>
      <c r="D951" s="3" t="s">
        <v>128</v>
      </c>
      <c r="E951" s="3">
        <v>90</v>
      </c>
      <c r="G951" s="19"/>
    </row>
    <row r="952" spans="1:7" ht="12.75" x14ac:dyDescent="0.2">
      <c r="A952" s="3">
        <v>53</v>
      </c>
      <c r="B952" s="4" t="s">
        <v>80</v>
      </c>
      <c r="C952" s="3" t="s">
        <v>162</v>
      </c>
      <c r="D952" s="3" t="s">
        <v>138</v>
      </c>
      <c r="E952" s="3">
        <v>9</v>
      </c>
      <c r="G952" s="19"/>
    </row>
    <row r="953" spans="1:7" ht="12.75" x14ac:dyDescent="0.2">
      <c r="A953" s="3">
        <v>53</v>
      </c>
      <c r="B953" s="4" t="s">
        <v>80</v>
      </c>
      <c r="C953" s="3" t="s">
        <v>162</v>
      </c>
      <c r="D953" s="3" t="s">
        <v>133</v>
      </c>
      <c r="E953" s="3">
        <v>5</v>
      </c>
      <c r="F953">
        <f>SUM(E950:E957)</f>
        <v>209</v>
      </c>
      <c r="G953" s="19"/>
    </row>
    <row r="954" spans="1:7" ht="12.75" x14ac:dyDescent="0.2">
      <c r="A954" s="3">
        <v>53</v>
      </c>
      <c r="B954" s="4" t="s">
        <v>80</v>
      </c>
      <c r="C954" s="3" t="s">
        <v>162</v>
      </c>
      <c r="D954" s="3" t="s">
        <v>149</v>
      </c>
      <c r="E954" s="3">
        <v>4</v>
      </c>
      <c r="G954" s="19"/>
    </row>
    <row r="955" spans="1:7" ht="12.75" x14ac:dyDescent="0.2">
      <c r="A955" s="3">
        <v>53</v>
      </c>
      <c r="B955" s="4" t="s">
        <v>80</v>
      </c>
      <c r="C955" s="3" t="s">
        <v>162</v>
      </c>
      <c r="D955" s="3" t="s">
        <v>148</v>
      </c>
      <c r="E955" s="3">
        <v>1</v>
      </c>
      <c r="G955" s="19"/>
    </row>
    <row r="956" spans="1:7" ht="12.75" x14ac:dyDescent="0.2">
      <c r="A956" s="3">
        <v>53</v>
      </c>
      <c r="B956" s="4" t="s">
        <v>80</v>
      </c>
      <c r="C956" s="3" t="s">
        <v>162</v>
      </c>
      <c r="D956" s="3" t="s">
        <v>145</v>
      </c>
      <c r="E956" s="3">
        <v>1</v>
      </c>
      <c r="G956" s="19"/>
    </row>
    <row r="957" spans="1:7" ht="12.75" x14ac:dyDescent="0.2">
      <c r="A957" s="3">
        <v>53</v>
      </c>
      <c r="B957" s="4" t="s">
        <v>80</v>
      </c>
      <c r="C957" s="3" t="s">
        <v>162</v>
      </c>
      <c r="D957" s="3" t="s">
        <v>139</v>
      </c>
      <c r="E957" s="3">
        <v>1</v>
      </c>
      <c r="G957" s="19"/>
    </row>
    <row r="958" spans="1:7" ht="12.75" x14ac:dyDescent="0.2">
      <c r="A958" s="3">
        <v>54</v>
      </c>
      <c r="B958" s="4" t="s">
        <v>81</v>
      </c>
      <c r="C958" s="3" t="s">
        <v>15</v>
      </c>
      <c r="D958" s="3" t="s">
        <v>136</v>
      </c>
      <c r="E958" s="3">
        <v>94</v>
      </c>
      <c r="G958" s="19"/>
    </row>
    <row r="959" spans="1:7" ht="12.75" x14ac:dyDescent="0.2">
      <c r="A959" s="3">
        <v>54</v>
      </c>
      <c r="B959" s="4" t="s">
        <v>81</v>
      </c>
      <c r="C959" s="3" t="s">
        <v>15</v>
      </c>
      <c r="D959" s="3" t="s">
        <v>128</v>
      </c>
      <c r="E959" s="3">
        <v>78</v>
      </c>
      <c r="F959">
        <f>SUM(E958:E960)</f>
        <v>174</v>
      </c>
      <c r="G959" s="19"/>
    </row>
    <row r="960" spans="1:7" ht="12.75" x14ac:dyDescent="0.2">
      <c r="A960" s="3">
        <v>54</v>
      </c>
      <c r="B960" s="4" t="s">
        <v>81</v>
      </c>
      <c r="C960" s="3" t="s">
        <v>15</v>
      </c>
      <c r="D960" s="3" t="s">
        <v>138</v>
      </c>
      <c r="E960" s="3">
        <v>2</v>
      </c>
      <c r="G960" s="19"/>
    </row>
    <row r="961" spans="1:7" ht="12.75" x14ac:dyDescent="0.2">
      <c r="A961" s="3">
        <v>54</v>
      </c>
      <c r="B961" s="4" t="s">
        <v>81</v>
      </c>
      <c r="C961" s="3" t="s">
        <v>161</v>
      </c>
      <c r="D961" s="3" t="s">
        <v>136</v>
      </c>
      <c r="E961" s="3">
        <v>87</v>
      </c>
      <c r="G961" s="19"/>
    </row>
    <row r="962" spans="1:7" ht="12.75" x14ac:dyDescent="0.2">
      <c r="A962" s="3">
        <v>54</v>
      </c>
      <c r="B962" s="4" t="s">
        <v>81</v>
      </c>
      <c r="C962" s="3" t="s">
        <v>161</v>
      </c>
      <c r="D962" s="3" t="s">
        <v>128</v>
      </c>
      <c r="E962" s="3">
        <v>78</v>
      </c>
      <c r="G962" s="19"/>
    </row>
    <row r="963" spans="1:7" ht="12.75" x14ac:dyDescent="0.2">
      <c r="A963" s="3">
        <v>54</v>
      </c>
      <c r="B963" s="4" t="s">
        <v>81</v>
      </c>
      <c r="C963" s="3" t="s">
        <v>161</v>
      </c>
      <c r="D963" s="3" t="s">
        <v>138</v>
      </c>
      <c r="E963" s="3">
        <v>6</v>
      </c>
      <c r="F963">
        <f>SUM(E961:E965)</f>
        <v>174</v>
      </c>
      <c r="G963" s="19"/>
    </row>
    <row r="964" spans="1:7" ht="12.75" x14ac:dyDescent="0.2">
      <c r="A964" s="3">
        <v>54</v>
      </c>
      <c r="B964" s="4" t="s">
        <v>81</v>
      </c>
      <c r="C964" s="3" t="s">
        <v>161</v>
      </c>
      <c r="D964" s="3" t="s">
        <v>133</v>
      </c>
      <c r="E964" s="3">
        <v>2</v>
      </c>
      <c r="G964" s="19"/>
    </row>
    <row r="965" spans="1:7" ht="12.75" x14ac:dyDescent="0.2">
      <c r="A965" s="3">
        <v>54</v>
      </c>
      <c r="B965" s="4" t="s">
        <v>81</v>
      </c>
      <c r="C965" s="3" t="s">
        <v>161</v>
      </c>
      <c r="D965" s="3" t="s">
        <v>145</v>
      </c>
      <c r="E965" s="3">
        <v>1</v>
      </c>
      <c r="G965" s="19"/>
    </row>
    <row r="966" spans="1:7" ht="12.75" x14ac:dyDescent="0.2">
      <c r="A966" s="3">
        <v>54</v>
      </c>
      <c r="B966" s="4" t="s">
        <v>81</v>
      </c>
      <c r="C966" s="3" t="s">
        <v>162</v>
      </c>
      <c r="D966" s="3" t="s">
        <v>136</v>
      </c>
      <c r="E966" s="3">
        <v>87</v>
      </c>
      <c r="G966" s="19"/>
    </row>
    <row r="967" spans="1:7" ht="12.75" x14ac:dyDescent="0.2">
      <c r="A967" s="3">
        <v>54</v>
      </c>
      <c r="B967" s="4" t="s">
        <v>81</v>
      </c>
      <c r="C967" s="3" t="s">
        <v>162</v>
      </c>
      <c r="D967" s="3" t="s">
        <v>128</v>
      </c>
      <c r="E967" s="3">
        <v>79</v>
      </c>
      <c r="G967" s="19"/>
    </row>
    <row r="968" spans="1:7" ht="12.75" x14ac:dyDescent="0.2">
      <c r="A968" s="3">
        <v>54</v>
      </c>
      <c r="B968" s="4" t="s">
        <v>81</v>
      </c>
      <c r="C968" s="3" t="s">
        <v>162</v>
      </c>
      <c r="D968" s="3" t="s">
        <v>138</v>
      </c>
      <c r="E968" s="3">
        <v>5</v>
      </c>
      <c r="F968">
        <f>SUM(E966:E970)</f>
        <v>174</v>
      </c>
      <c r="G968" s="19"/>
    </row>
    <row r="969" spans="1:7" ht="12.75" x14ac:dyDescent="0.2">
      <c r="A969" s="3">
        <v>54</v>
      </c>
      <c r="B969" s="4" t="s">
        <v>81</v>
      </c>
      <c r="C969" s="3" t="s">
        <v>162</v>
      </c>
      <c r="D969" s="3" t="s">
        <v>133</v>
      </c>
      <c r="E969" s="3">
        <v>2</v>
      </c>
      <c r="G969" s="19"/>
    </row>
    <row r="970" spans="1:7" ht="12.75" x14ac:dyDescent="0.2">
      <c r="A970" s="3">
        <v>54</v>
      </c>
      <c r="B970" s="4" t="s">
        <v>81</v>
      </c>
      <c r="C970" s="3" t="s">
        <v>162</v>
      </c>
      <c r="D970" s="3" t="s">
        <v>145</v>
      </c>
      <c r="E970" s="3">
        <v>1</v>
      </c>
      <c r="G970" s="19"/>
    </row>
    <row r="971" spans="1:7" ht="12.75" x14ac:dyDescent="0.2">
      <c r="A971" s="3">
        <v>55</v>
      </c>
      <c r="B971" s="4" t="s">
        <v>82</v>
      </c>
      <c r="C971" s="3" t="s">
        <v>15</v>
      </c>
      <c r="D971" s="3" t="s">
        <v>136</v>
      </c>
      <c r="E971" s="3">
        <v>127</v>
      </c>
      <c r="G971" s="19"/>
    </row>
    <row r="972" spans="1:7" ht="12.75" x14ac:dyDescent="0.2">
      <c r="A972" s="3">
        <v>55</v>
      </c>
      <c r="B972" s="4" t="s">
        <v>82</v>
      </c>
      <c r="C972" s="3" t="s">
        <v>15</v>
      </c>
      <c r="D972" s="3" t="s">
        <v>128</v>
      </c>
      <c r="E972" s="3">
        <v>113</v>
      </c>
      <c r="F972">
        <f>SUM(E971:E975)</f>
        <v>293</v>
      </c>
      <c r="G972" s="19"/>
    </row>
    <row r="973" spans="1:7" ht="12.75" x14ac:dyDescent="0.2">
      <c r="A973" s="3">
        <v>55</v>
      </c>
      <c r="B973" s="4" t="s">
        <v>82</v>
      </c>
      <c r="C973" s="3" t="s">
        <v>15</v>
      </c>
      <c r="D973" s="3" t="s">
        <v>149</v>
      </c>
      <c r="E973" s="3">
        <v>48</v>
      </c>
      <c r="G973" s="19"/>
    </row>
    <row r="974" spans="1:7" ht="12.75" x14ac:dyDescent="0.2">
      <c r="A974" s="3">
        <v>55</v>
      </c>
      <c r="B974" s="4" t="s">
        <v>82</v>
      </c>
      <c r="C974" s="3" t="s">
        <v>15</v>
      </c>
      <c r="D974" s="3" t="s">
        <v>14</v>
      </c>
      <c r="E974" s="3">
        <v>4</v>
      </c>
      <c r="G974" s="19"/>
    </row>
    <row r="975" spans="1:7" ht="12.75" x14ac:dyDescent="0.2">
      <c r="A975" s="3">
        <v>55</v>
      </c>
      <c r="B975" s="4" t="s">
        <v>82</v>
      </c>
      <c r="C975" s="3" t="s">
        <v>15</v>
      </c>
      <c r="D975" s="3" t="s">
        <v>138</v>
      </c>
      <c r="E975" s="3">
        <v>1</v>
      </c>
      <c r="G975" s="19"/>
    </row>
    <row r="976" spans="1:7" ht="12.75" x14ac:dyDescent="0.2">
      <c r="A976" s="3">
        <v>55</v>
      </c>
      <c r="B976" s="4" t="s">
        <v>82</v>
      </c>
      <c r="C976" s="3" t="s">
        <v>161</v>
      </c>
      <c r="D976" s="3" t="s">
        <v>136</v>
      </c>
      <c r="E976" s="3">
        <v>130</v>
      </c>
      <c r="G976" s="19"/>
    </row>
    <row r="977" spans="1:7" ht="12.75" x14ac:dyDescent="0.2">
      <c r="A977" s="3">
        <v>55</v>
      </c>
      <c r="B977" s="4" t="s">
        <v>82</v>
      </c>
      <c r="C977" s="3" t="s">
        <v>161</v>
      </c>
      <c r="D977" s="3" t="s">
        <v>128</v>
      </c>
      <c r="E977" s="3">
        <v>104</v>
      </c>
      <c r="G977" s="19"/>
    </row>
    <row r="978" spans="1:7" ht="12.75" x14ac:dyDescent="0.2">
      <c r="A978" s="3">
        <v>55</v>
      </c>
      <c r="B978" s="4" t="s">
        <v>82</v>
      </c>
      <c r="C978" s="3" t="s">
        <v>161</v>
      </c>
      <c r="D978" s="3" t="s">
        <v>149</v>
      </c>
      <c r="E978" s="3">
        <v>38</v>
      </c>
      <c r="G978" s="19"/>
    </row>
    <row r="979" spans="1:7" ht="12.75" x14ac:dyDescent="0.2">
      <c r="A979" s="3">
        <v>55</v>
      </c>
      <c r="B979" s="4" t="s">
        <v>82</v>
      </c>
      <c r="C979" s="3" t="s">
        <v>161</v>
      </c>
      <c r="D979" s="3" t="s">
        <v>14</v>
      </c>
      <c r="E979" s="3">
        <v>10</v>
      </c>
      <c r="F979">
        <f>SUM(E976:E983)</f>
        <v>293</v>
      </c>
      <c r="G979" s="19"/>
    </row>
    <row r="980" spans="1:7" ht="12.75" x14ac:dyDescent="0.2">
      <c r="A980" s="3">
        <v>55</v>
      </c>
      <c r="B980" s="4" t="s">
        <v>82</v>
      </c>
      <c r="C980" s="3" t="s">
        <v>161</v>
      </c>
      <c r="D980" s="3" t="s">
        <v>133</v>
      </c>
      <c r="E980" s="3">
        <v>6</v>
      </c>
      <c r="G980" s="19"/>
    </row>
    <row r="981" spans="1:7" ht="12.75" x14ac:dyDescent="0.2">
      <c r="A981" s="3">
        <v>55</v>
      </c>
      <c r="B981" s="4" t="s">
        <v>82</v>
      </c>
      <c r="C981" s="3" t="s">
        <v>161</v>
      </c>
      <c r="D981" s="3" t="s">
        <v>148</v>
      </c>
      <c r="E981" s="3">
        <v>2</v>
      </c>
      <c r="G981" s="19"/>
    </row>
    <row r="982" spans="1:7" ht="12.75" x14ac:dyDescent="0.2">
      <c r="A982" s="3">
        <v>55</v>
      </c>
      <c r="B982" s="4" t="s">
        <v>82</v>
      </c>
      <c r="C982" s="3" t="s">
        <v>161</v>
      </c>
      <c r="D982" s="3" t="s">
        <v>138</v>
      </c>
      <c r="E982" s="3">
        <v>2</v>
      </c>
      <c r="G982" s="19"/>
    </row>
    <row r="983" spans="1:7" ht="12.75" x14ac:dyDescent="0.2">
      <c r="A983" s="3">
        <v>55</v>
      </c>
      <c r="B983" s="4" t="s">
        <v>82</v>
      </c>
      <c r="C983" s="3" t="s">
        <v>161</v>
      </c>
      <c r="D983" s="3" t="s">
        <v>145</v>
      </c>
      <c r="E983" s="3">
        <v>1</v>
      </c>
      <c r="G983" s="19"/>
    </row>
    <row r="984" spans="1:7" ht="12.75" x14ac:dyDescent="0.2">
      <c r="A984" s="3">
        <v>55</v>
      </c>
      <c r="B984" s="4" t="s">
        <v>82</v>
      </c>
      <c r="C984" s="3" t="s">
        <v>162</v>
      </c>
      <c r="D984" s="3" t="s">
        <v>136</v>
      </c>
      <c r="E984" s="3">
        <v>130</v>
      </c>
      <c r="G984" s="19"/>
    </row>
    <row r="985" spans="1:7" ht="12.75" x14ac:dyDescent="0.2">
      <c r="A985" s="3">
        <v>55</v>
      </c>
      <c r="B985" s="4" t="s">
        <v>82</v>
      </c>
      <c r="C985" s="3" t="s">
        <v>162</v>
      </c>
      <c r="D985" s="3" t="s">
        <v>128</v>
      </c>
      <c r="E985" s="3">
        <v>105</v>
      </c>
      <c r="G985" s="19"/>
    </row>
    <row r="986" spans="1:7" ht="12.75" x14ac:dyDescent="0.2">
      <c r="A986" s="3">
        <v>55</v>
      </c>
      <c r="B986" s="4" t="s">
        <v>82</v>
      </c>
      <c r="C986" s="3" t="s">
        <v>162</v>
      </c>
      <c r="D986" s="3" t="s">
        <v>149</v>
      </c>
      <c r="E986" s="3">
        <v>39</v>
      </c>
      <c r="G986" s="19"/>
    </row>
    <row r="987" spans="1:7" ht="12.75" x14ac:dyDescent="0.2">
      <c r="A987" s="3">
        <v>55</v>
      </c>
      <c r="B987" s="4" t="s">
        <v>82</v>
      </c>
      <c r="C987" s="3" t="s">
        <v>162</v>
      </c>
      <c r="D987" s="3" t="s">
        <v>14</v>
      </c>
      <c r="E987" s="3">
        <v>10</v>
      </c>
      <c r="F987">
        <f>SUM(E984:E990)</f>
        <v>293</v>
      </c>
      <c r="G987" s="19"/>
    </row>
    <row r="988" spans="1:7" ht="12.75" x14ac:dyDescent="0.2">
      <c r="A988" s="3">
        <v>55</v>
      </c>
      <c r="B988" s="4" t="s">
        <v>82</v>
      </c>
      <c r="C988" s="3" t="s">
        <v>162</v>
      </c>
      <c r="D988" s="3" t="s">
        <v>133</v>
      </c>
      <c r="E988" s="3">
        <v>6</v>
      </c>
      <c r="G988" s="19"/>
    </row>
    <row r="989" spans="1:7" ht="12.75" x14ac:dyDescent="0.2">
      <c r="A989" s="3">
        <v>55</v>
      </c>
      <c r="B989" s="4" t="s">
        <v>82</v>
      </c>
      <c r="C989" s="3" t="s">
        <v>162</v>
      </c>
      <c r="D989" s="3" t="s">
        <v>138</v>
      </c>
      <c r="E989" s="3">
        <v>2</v>
      </c>
      <c r="G989" s="19"/>
    </row>
    <row r="990" spans="1:7" ht="12.75" x14ac:dyDescent="0.2">
      <c r="A990" s="3">
        <v>55</v>
      </c>
      <c r="B990" s="4" t="s">
        <v>82</v>
      </c>
      <c r="C990" s="3" t="s">
        <v>162</v>
      </c>
      <c r="D990" s="3" t="s">
        <v>145</v>
      </c>
      <c r="E990" s="3">
        <v>1</v>
      </c>
      <c r="G990" s="19"/>
    </row>
    <row r="991" spans="1:7" ht="12.75" x14ac:dyDescent="0.2">
      <c r="A991" s="3">
        <v>56</v>
      </c>
      <c r="B991" s="4" t="s">
        <v>83</v>
      </c>
      <c r="C991" s="3" t="s">
        <v>2</v>
      </c>
      <c r="D991" s="3" t="s">
        <v>136</v>
      </c>
      <c r="E991" s="3">
        <v>289</v>
      </c>
      <c r="G991" s="19"/>
    </row>
    <row r="992" spans="1:7" ht="12.75" x14ac:dyDescent="0.2">
      <c r="A992" s="3">
        <v>56</v>
      </c>
      <c r="B992" s="4" t="s">
        <v>83</v>
      </c>
      <c r="C992" s="3" t="s">
        <v>2</v>
      </c>
      <c r="D992" s="3" t="s">
        <v>128</v>
      </c>
      <c r="E992" s="3">
        <v>157</v>
      </c>
      <c r="F992">
        <f>SUM(E991:E993)</f>
        <v>458</v>
      </c>
      <c r="G992" s="19"/>
    </row>
    <row r="993" spans="1:7" ht="12.75" x14ac:dyDescent="0.2">
      <c r="A993" s="3">
        <v>56</v>
      </c>
      <c r="B993" s="4" t="s">
        <v>83</v>
      </c>
      <c r="C993" s="3" t="s">
        <v>2</v>
      </c>
      <c r="D993" s="3" t="s">
        <v>14</v>
      </c>
      <c r="E993" s="3">
        <v>12</v>
      </c>
      <c r="G993" s="19"/>
    </row>
    <row r="994" spans="1:7" ht="12.75" x14ac:dyDescent="0.2">
      <c r="A994" s="3">
        <v>56</v>
      </c>
      <c r="B994" s="4" t="s">
        <v>83</v>
      </c>
      <c r="C994" s="3" t="s">
        <v>161</v>
      </c>
      <c r="D994" s="3" t="s">
        <v>136</v>
      </c>
      <c r="E994" s="3">
        <v>269</v>
      </c>
      <c r="G994" s="19"/>
    </row>
    <row r="995" spans="1:7" ht="12.75" x14ac:dyDescent="0.2">
      <c r="A995" s="3">
        <v>56</v>
      </c>
      <c r="B995" s="4" t="s">
        <v>83</v>
      </c>
      <c r="C995" s="3" t="s">
        <v>161</v>
      </c>
      <c r="D995" s="3" t="s">
        <v>128</v>
      </c>
      <c r="E995" s="3">
        <v>143</v>
      </c>
      <c r="G995" s="19"/>
    </row>
    <row r="996" spans="1:7" ht="12.75" x14ac:dyDescent="0.2">
      <c r="A996" s="3">
        <v>56</v>
      </c>
      <c r="B996" s="4" t="s">
        <v>83</v>
      </c>
      <c r="C996" s="3" t="s">
        <v>161</v>
      </c>
      <c r="D996" s="3" t="s">
        <v>149</v>
      </c>
      <c r="E996" s="3">
        <v>12</v>
      </c>
      <c r="G996" s="19"/>
    </row>
    <row r="997" spans="1:7" ht="12.75" x14ac:dyDescent="0.2">
      <c r="A997" s="3">
        <v>56</v>
      </c>
      <c r="B997" s="4" t="s">
        <v>83</v>
      </c>
      <c r="C997" s="3" t="s">
        <v>161</v>
      </c>
      <c r="D997" s="3" t="s">
        <v>133</v>
      </c>
      <c r="E997" s="3">
        <v>10</v>
      </c>
      <c r="G997" s="19"/>
    </row>
    <row r="998" spans="1:7" ht="12.75" x14ac:dyDescent="0.2">
      <c r="A998" s="3">
        <v>56</v>
      </c>
      <c r="B998" s="4" t="s">
        <v>83</v>
      </c>
      <c r="C998" s="3" t="s">
        <v>161</v>
      </c>
      <c r="D998" s="3" t="s">
        <v>14</v>
      </c>
      <c r="E998" s="3">
        <v>9</v>
      </c>
      <c r="G998" s="19"/>
    </row>
    <row r="999" spans="1:7" ht="12.75" x14ac:dyDescent="0.2">
      <c r="A999" s="3">
        <v>56</v>
      </c>
      <c r="B999" s="4" t="s">
        <v>83</v>
      </c>
      <c r="C999" s="3" t="s">
        <v>161</v>
      </c>
      <c r="D999" s="3" t="s">
        <v>148</v>
      </c>
      <c r="E999" s="3">
        <v>9</v>
      </c>
      <c r="F999">
        <f>SUM(E994:E1002)</f>
        <v>458</v>
      </c>
      <c r="G999" s="19"/>
    </row>
    <row r="1000" spans="1:7" ht="12.75" x14ac:dyDescent="0.2">
      <c r="A1000" s="3">
        <v>56</v>
      </c>
      <c r="B1000" s="4" t="s">
        <v>83</v>
      </c>
      <c r="C1000" s="3" t="s">
        <v>161</v>
      </c>
      <c r="D1000" s="3" t="s">
        <v>138</v>
      </c>
      <c r="E1000" s="3">
        <v>3</v>
      </c>
      <c r="G1000" s="19"/>
    </row>
    <row r="1001" spans="1:7" ht="12.75" x14ac:dyDescent="0.2">
      <c r="A1001" s="3">
        <v>56</v>
      </c>
      <c r="B1001" s="4" t="s">
        <v>83</v>
      </c>
      <c r="C1001" s="3" t="s">
        <v>161</v>
      </c>
      <c r="D1001" s="3" t="s">
        <v>145</v>
      </c>
      <c r="E1001" s="3">
        <v>2</v>
      </c>
      <c r="G1001" s="19"/>
    </row>
    <row r="1002" spans="1:7" ht="12.75" x14ac:dyDescent="0.2">
      <c r="A1002" s="3">
        <v>56</v>
      </c>
      <c r="B1002" s="4" t="s">
        <v>83</v>
      </c>
      <c r="C1002" s="3" t="s">
        <v>161</v>
      </c>
      <c r="D1002" s="3" t="s">
        <v>139</v>
      </c>
      <c r="E1002" s="3">
        <v>1</v>
      </c>
      <c r="G1002" s="19"/>
    </row>
    <row r="1003" spans="1:7" ht="12.75" x14ac:dyDescent="0.2">
      <c r="A1003" s="3">
        <v>56</v>
      </c>
      <c r="B1003" s="4" t="s">
        <v>83</v>
      </c>
      <c r="C1003" s="3" t="s">
        <v>162</v>
      </c>
      <c r="D1003" s="3" t="s">
        <v>136</v>
      </c>
      <c r="E1003" s="3">
        <v>266</v>
      </c>
      <c r="G1003" s="19"/>
    </row>
    <row r="1004" spans="1:7" ht="12.75" x14ac:dyDescent="0.2">
      <c r="A1004" s="3">
        <v>56</v>
      </c>
      <c r="B1004" s="4" t="s">
        <v>83</v>
      </c>
      <c r="C1004" s="3" t="s">
        <v>162</v>
      </c>
      <c r="D1004" s="3" t="s">
        <v>128</v>
      </c>
      <c r="E1004" s="3">
        <v>145</v>
      </c>
      <c r="G1004" s="19"/>
    </row>
    <row r="1005" spans="1:7" ht="12.75" x14ac:dyDescent="0.2">
      <c r="A1005" s="3">
        <v>56</v>
      </c>
      <c r="B1005" s="4" t="s">
        <v>83</v>
      </c>
      <c r="C1005" s="3" t="s">
        <v>162</v>
      </c>
      <c r="D1005" s="3" t="s">
        <v>133</v>
      </c>
      <c r="E1005" s="3">
        <v>12</v>
      </c>
      <c r="G1005" s="19"/>
    </row>
    <row r="1006" spans="1:7" ht="12.75" x14ac:dyDescent="0.2">
      <c r="A1006" s="3">
        <v>56</v>
      </c>
      <c r="B1006" s="4" t="s">
        <v>83</v>
      </c>
      <c r="C1006" s="3" t="s">
        <v>162</v>
      </c>
      <c r="D1006" s="3" t="s">
        <v>149</v>
      </c>
      <c r="E1006" s="3">
        <v>11</v>
      </c>
      <c r="G1006" s="19"/>
    </row>
    <row r="1007" spans="1:7" ht="12.75" x14ac:dyDescent="0.2">
      <c r="A1007" s="3">
        <v>56</v>
      </c>
      <c r="B1007" s="4" t="s">
        <v>83</v>
      </c>
      <c r="C1007" s="3" t="s">
        <v>162</v>
      </c>
      <c r="D1007" s="3" t="s">
        <v>148</v>
      </c>
      <c r="E1007" s="3">
        <v>10</v>
      </c>
      <c r="F1007">
        <f>SUM(E1003:E1011)</f>
        <v>458</v>
      </c>
      <c r="G1007" s="19"/>
    </row>
    <row r="1008" spans="1:7" ht="12.75" x14ac:dyDescent="0.2">
      <c r="A1008" s="3">
        <v>56</v>
      </c>
      <c r="B1008" s="4" t="s">
        <v>83</v>
      </c>
      <c r="C1008" s="3" t="s">
        <v>162</v>
      </c>
      <c r="D1008" s="3" t="s">
        <v>14</v>
      </c>
      <c r="E1008" s="3">
        <v>8</v>
      </c>
      <c r="G1008" s="19"/>
    </row>
    <row r="1009" spans="1:7" ht="12.75" x14ac:dyDescent="0.2">
      <c r="A1009" s="3">
        <v>56</v>
      </c>
      <c r="B1009" s="4" t="s">
        <v>83</v>
      </c>
      <c r="C1009" s="3" t="s">
        <v>162</v>
      </c>
      <c r="D1009" s="3" t="s">
        <v>138</v>
      </c>
      <c r="E1009" s="3">
        <v>3</v>
      </c>
      <c r="G1009" s="19"/>
    </row>
    <row r="1010" spans="1:7" ht="12.75" x14ac:dyDescent="0.2">
      <c r="A1010" s="3">
        <v>56</v>
      </c>
      <c r="B1010" s="4" t="s">
        <v>83</v>
      </c>
      <c r="C1010" s="3" t="s">
        <v>162</v>
      </c>
      <c r="D1010" s="3" t="s">
        <v>145</v>
      </c>
      <c r="E1010" s="3">
        <v>2</v>
      </c>
      <c r="G1010" s="19"/>
    </row>
    <row r="1011" spans="1:7" ht="12.75" x14ac:dyDescent="0.2">
      <c r="A1011" s="3">
        <v>56</v>
      </c>
      <c r="B1011" s="4" t="s">
        <v>83</v>
      </c>
      <c r="C1011" s="3" t="s">
        <v>162</v>
      </c>
      <c r="D1011" s="3" t="s">
        <v>139</v>
      </c>
      <c r="E1011" s="3">
        <v>1</v>
      </c>
      <c r="G1011" s="19"/>
    </row>
    <row r="1012" spans="1:7" ht="12.75" x14ac:dyDescent="0.2">
      <c r="A1012" s="3" t="s">
        <v>175</v>
      </c>
      <c r="B1012" s="4" t="s">
        <v>84</v>
      </c>
      <c r="C1012" s="3" t="s">
        <v>2</v>
      </c>
      <c r="D1012" s="3" t="s">
        <v>3</v>
      </c>
      <c r="E1012" s="3">
        <v>18337</v>
      </c>
      <c r="G1012" s="19"/>
    </row>
    <row r="1013" spans="1:7" ht="12.75" x14ac:dyDescent="0.2">
      <c r="A1013" s="3" t="s">
        <v>175</v>
      </c>
      <c r="B1013" s="4" t="s">
        <v>84</v>
      </c>
      <c r="C1013" s="3" t="s">
        <v>2</v>
      </c>
      <c r="D1013" s="3" t="s">
        <v>128</v>
      </c>
      <c r="E1013" s="3">
        <v>11630</v>
      </c>
      <c r="G1013" s="19"/>
    </row>
    <row r="1014" spans="1:7" ht="12.75" x14ac:dyDescent="0.2">
      <c r="A1014" s="3" t="s">
        <v>175</v>
      </c>
      <c r="B1014" s="4" t="s">
        <v>84</v>
      </c>
      <c r="C1014" s="3" t="s">
        <v>2</v>
      </c>
      <c r="D1014" s="3" t="s">
        <v>149</v>
      </c>
      <c r="E1014" s="3">
        <v>1918</v>
      </c>
      <c r="G1014" s="19"/>
    </row>
    <row r="1015" spans="1:7" ht="12.75" x14ac:dyDescent="0.2">
      <c r="A1015" s="3" t="s">
        <v>175</v>
      </c>
      <c r="B1015" s="4" t="s">
        <v>84</v>
      </c>
      <c r="C1015" s="3" t="s">
        <v>2</v>
      </c>
      <c r="D1015" s="3" t="s">
        <v>133</v>
      </c>
      <c r="E1015" s="3">
        <v>1312</v>
      </c>
      <c r="G1015" s="19"/>
    </row>
    <row r="1016" spans="1:7" ht="12.75" x14ac:dyDescent="0.2">
      <c r="A1016" s="3" t="s">
        <v>175</v>
      </c>
      <c r="B1016" s="4" t="s">
        <v>84</v>
      </c>
      <c r="C1016" s="3" t="s">
        <v>2</v>
      </c>
      <c r="D1016" s="3" t="s">
        <v>130</v>
      </c>
      <c r="E1016" s="3">
        <v>1176</v>
      </c>
      <c r="G1016" s="19"/>
    </row>
    <row r="1017" spans="1:7" ht="12.75" x14ac:dyDescent="0.2">
      <c r="A1017" s="3" t="s">
        <v>175</v>
      </c>
      <c r="B1017" s="4" t="s">
        <v>84</v>
      </c>
      <c r="C1017" s="3" t="s">
        <v>2</v>
      </c>
      <c r="D1017" s="3" t="s">
        <v>14</v>
      </c>
      <c r="E1017" s="3">
        <v>954</v>
      </c>
      <c r="G1017" s="19"/>
    </row>
    <row r="1018" spans="1:7" ht="12.75" x14ac:dyDescent="0.2">
      <c r="A1018" s="3" t="s">
        <v>175</v>
      </c>
      <c r="B1018" s="4" t="s">
        <v>84</v>
      </c>
      <c r="C1018" s="3" t="s">
        <v>2</v>
      </c>
      <c r="D1018" s="3" t="s">
        <v>135</v>
      </c>
      <c r="E1018" s="3">
        <v>811</v>
      </c>
      <c r="F1018">
        <f>SUM(E1012:E1022)</f>
        <v>38282</v>
      </c>
      <c r="G1018" s="19"/>
    </row>
    <row r="1019" spans="1:7" ht="12.75" x14ac:dyDescent="0.2">
      <c r="A1019" s="3" t="s">
        <v>175</v>
      </c>
      <c r="B1019" s="4" t="s">
        <v>84</v>
      </c>
      <c r="C1019" s="3" t="s">
        <v>2</v>
      </c>
      <c r="D1019" s="3" t="s">
        <v>139</v>
      </c>
      <c r="E1019" s="3">
        <v>672</v>
      </c>
      <c r="G1019" s="19"/>
    </row>
    <row r="1020" spans="1:7" ht="12.75" x14ac:dyDescent="0.2">
      <c r="A1020" s="3" t="s">
        <v>175</v>
      </c>
      <c r="B1020" s="4" t="s">
        <v>84</v>
      </c>
      <c r="C1020" s="3" t="s">
        <v>2</v>
      </c>
      <c r="D1020" s="3" t="s">
        <v>148</v>
      </c>
      <c r="E1020" s="3">
        <v>626</v>
      </c>
      <c r="G1020" s="19"/>
    </row>
    <row r="1021" spans="1:7" ht="12.75" x14ac:dyDescent="0.2">
      <c r="A1021" s="3" t="s">
        <v>175</v>
      </c>
      <c r="B1021" s="4" t="s">
        <v>84</v>
      </c>
      <c r="C1021" s="3" t="s">
        <v>2</v>
      </c>
      <c r="D1021" s="3" t="s">
        <v>138</v>
      </c>
      <c r="E1021" s="3">
        <v>499</v>
      </c>
      <c r="G1021" s="19"/>
    </row>
    <row r="1022" spans="1:7" ht="12.75" x14ac:dyDescent="0.2">
      <c r="A1022" s="3" t="s">
        <v>175</v>
      </c>
      <c r="B1022" s="4" t="s">
        <v>84</v>
      </c>
      <c r="C1022" s="3" t="s">
        <v>2</v>
      </c>
      <c r="D1022" s="3" t="s">
        <v>145</v>
      </c>
      <c r="E1022" s="3">
        <v>347</v>
      </c>
      <c r="G1022" s="19"/>
    </row>
    <row r="1023" spans="1:7" ht="12.75" x14ac:dyDescent="0.2">
      <c r="A1023" s="3" t="s">
        <v>175</v>
      </c>
      <c r="B1023" s="4" t="s">
        <v>84</v>
      </c>
      <c r="C1023" s="3" t="s">
        <v>162</v>
      </c>
      <c r="D1023" s="3" t="s">
        <v>3</v>
      </c>
      <c r="E1023" s="3">
        <v>18299</v>
      </c>
      <c r="G1023" s="19"/>
    </row>
    <row r="1024" spans="1:7" ht="12.75" x14ac:dyDescent="0.2">
      <c r="A1024" s="3" t="s">
        <v>175</v>
      </c>
      <c r="B1024" s="4" t="s">
        <v>84</v>
      </c>
      <c r="C1024" s="3" t="s">
        <v>162</v>
      </c>
      <c r="D1024" s="3" t="s">
        <v>128</v>
      </c>
      <c r="E1024" s="3">
        <v>11117</v>
      </c>
      <c r="G1024" s="19"/>
    </row>
    <row r="1025" spans="1:7" ht="12.75" x14ac:dyDescent="0.2">
      <c r="A1025" s="3" t="s">
        <v>175</v>
      </c>
      <c r="B1025" s="4" t="s">
        <v>84</v>
      </c>
      <c r="C1025" s="3" t="s">
        <v>162</v>
      </c>
      <c r="D1025" s="3" t="s">
        <v>149</v>
      </c>
      <c r="E1025" s="3">
        <v>2022</v>
      </c>
      <c r="G1025" s="19"/>
    </row>
    <row r="1026" spans="1:7" ht="12.75" x14ac:dyDescent="0.2">
      <c r="A1026" s="3" t="s">
        <v>175</v>
      </c>
      <c r="B1026" s="4" t="s">
        <v>84</v>
      </c>
      <c r="C1026" s="3" t="s">
        <v>162</v>
      </c>
      <c r="D1026" s="3" t="s">
        <v>14</v>
      </c>
      <c r="E1026" s="3">
        <v>1981</v>
      </c>
      <c r="G1026" s="19"/>
    </row>
    <row r="1027" spans="1:7" ht="12.75" x14ac:dyDescent="0.2">
      <c r="A1027" s="3" t="s">
        <v>175</v>
      </c>
      <c r="B1027" s="4" t="s">
        <v>84</v>
      </c>
      <c r="C1027" s="3" t="s">
        <v>162</v>
      </c>
      <c r="D1027" s="3" t="s">
        <v>133</v>
      </c>
      <c r="E1027" s="3">
        <v>1949</v>
      </c>
      <c r="G1027" s="19"/>
    </row>
    <row r="1028" spans="1:7" ht="12.75" x14ac:dyDescent="0.2">
      <c r="A1028" s="3" t="s">
        <v>175</v>
      </c>
      <c r="B1028" s="4" t="s">
        <v>84</v>
      </c>
      <c r="C1028" s="3" t="s">
        <v>162</v>
      </c>
      <c r="D1028" s="3" t="s">
        <v>135</v>
      </c>
      <c r="E1028" s="3">
        <v>713</v>
      </c>
      <c r="F1028">
        <f>SUM(E1023:E1032)</f>
        <v>38282</v>
      </c>
      <c r="G1028" s="19"/>
    </row>
    <row r="1029" spans="1:7" ht="12.75" x14ac:dyDescent="0.2">
      <c r="A1029" s="3" t="s">
        <v>175</v>
      </c>
      <c r="B1029" s="4" t="s">
        <v>84</v>
      </c>
      <c r="C1029" s="3" t="s">
        <v>162</v>
      </c>
      <c r="D1029" s="3" t="s">
        <v>139</v>
      </c>
      <c r="E1029" s="3">
        <v>687</v>
      </c>
      <c r="G1029" s="19"/>
    </row>
    <row r="1030" spans="1:7" ht="12.75" x14ac:dyDescent="0.2">
      <c r="A1030" s="3" t="s">
        <v>175</v>
      </c>
      <c r="B1030" s="4" t="s">
        <v>84</v>
      </c>
      <c r="C1030" s="3" t="s">
        <v>162</v>
      </c>
      <c r="D1030" s="3" t="s">
        <v>148</v>
      </c>
      <c r="E1030" s="3">
        <v>627</v>
      </c>
      <c r="G1030" s="19"/>
    </row>
    <row r="1031" spans="1:7" ht="12.75" x14ac:dyDescent="0.2">
      <c r="A1031" s="3" t="s">
        <v>175</v>
      </c>
      <c r="B1031" s="4" t="s">
        <v>84</v>
      </c>
      <c r="C1031" s="3" t="s">
        <v>162</v>
      </c>
      <c r="D1031" s="3" t="s">
        <v>138</v>
      </c>
      <c r="E1031" s="3">
        <v>536</v>
      </c>
      <c r="G1031" s="19"/>
    </row>
    <row r="1032" spans="1:7" ht="12.75" x14ac:dyDescent="0.2">
      <c r="A1032" s="3" t="s">
        <v>175</v>
      </c>
      <c r="B1032" s="4" t="s">
        <v>84</v>
      </c>
      <c r="C1032" s="3" t="s">
        <v>162</v>
      </c>
      <c r="D1032" s="3" t="s">
        <v>145</v>
      </c>
      <c r="E1032" s="3">
        <v>351</v>
      </c>
      <c r="G1032" s="19"/>
    </row>
    <row r="1033" spans="1:7" ht="12.75" x14ac:dyDescent="0.2">
      <c r="A1033" s="3" t="s">
        <v>175</v>
      </c>
      <c r="B1033" s="4" t="s">
        <v>84</v>
      </c>
      <c r="C1033" s="3" t="s">
        <v>125</v>
      </c>
      <c r="D1033" s="3" t="s">
        <v>3</v>
      </c>
      <c r="E1033" s="3">
        <v>18133</v>
      </c>
      <c r="G1033" s="19"/>
    </row>
    <row r="1034" spans="1:7" ht="12.75" x14ac:dyDescent="0.2">
      <c r="A1034" s="3" t="s">
        <v>358</v>
      </c>
      <c r="B1034" s="4" t="s">
        <v>84</v>
      </c>
      <c r="C1034" s="3" t="s">
        <v>125</v>
      </c>
      <c r="D1034" s="3" t="s">
        <v>128</v>
      </c>
      <c r="E1034" s="3">
        <v>11140</v>
      </c>
      <c r="G1034" s="19"/>
    </row>
    <row r="1035" spans="1:7" ht="12.75" x14ac:dyDescent="0.2">
      <c r="A1035" s="3" t="s">
        <v>361</v>
      </c>
      <c r="B1035" s="4" t="s">
        <v>84</v>
      </c>
      <c r="C1035" s="3" t="s">
        <v>125</v>
      </c>
      <c r="D1035" s="3" t="s">
        <v>14</v>
      </c>
      <c r="E1035" s="3">
        <v>2437</v>
      </c>
      <c r="G1035" s="19"/>
    </row>
    <row r="1036" spans="1:7" ht="12.75" x14ac:dyDescent="0.2">
      <c r="A1036" s="3" t="s">
        <v>362</v>
      </c>
      <c r="B1036" s="4" t="s">
        <v>84</v>
      </c>
      <c r="C1036" s="3" t="s">
        <v>125</v>
      </c>
      <c r="D1036" s="3" t="s">
        <v>149</v>
      </c>
      <c r="E1036" s="3">
        <v>2000</v>
      </c>
      <c r="G1036" s="19"/>
    </row>
    <row r="1037" spans="1:7" ht="12.75" x14ac:dyDescent="0.2">
      <c r="A1037" s="3" t="s">
        <v>363</v>
      </c>
      <c r="B1037" s="4" t="s">
        <v>84</v>
      </c>
      <c r="C1037" s="3" t="s">
        <v>125</v>
      </c>
      <c r="D1037" s="3" t="s">
        <v>133</v>
      </c>
      <c r="E1037" s="3">
        <v>1606</v>
      </c>
      <c r="G1037" s="19"/>
    </row>
    <row r="1038" spans="1:7" ht="12.75" x14ac:dyDescent="0.2">
      <c r="A1038" s="3" t="s">
        <v>175</v>
      </c>
      <c r="B1038" s="4" t="s">
        <v>84</v>
      </c>
      <c r="C1038" s="3" t="s">
        <v>125</v>
      </c>
      <c r="D1038" s="3" t="s">
        <v>135</v>
      </c>
      <c r="E1038" s="3">
        <v>738</v>
      </c>
      <c r="F1038">
        <f>SUM(E1033:E1042)</f>
        <v>38282</v>
      </c>
      <c r="G1038" s="19"/>
    </row>
    <row r="1039" spans="1:7" ht="12.75" x14ac:dyDescent="0.2">
      <c r="A1039" s="3" t="s">
        <v>175</v>
      </c>
      <c r="B1039" s="4" t="s">
        <v>84</v>
      </c>
      <c r="C1039" s="3" t="s">
        <v>125</v>
      </c>
      <c r="D1039" s="3" t="s">
        <v>139</v>
      </c>
      <c r="E1039" s="3">
        <v>697</v>
      </c>
      <c r="G1039" s="19"/>
    </row>
    <row r="1040" spans="1:7" ht="12.75" x14ac:dyDescent="0.2">
      <c r="A1040" s="3" t="s">
        <v>175</v>
      </c>
      <c r="B1040" s="4" t="s">
        <v>84</v>
      </c>
      <c r="C1040" s="3" t="s">
        <v>125</v>
      </c>
      <c r="D1040" s="3" t="s">
        <v>148</v>
      </c>
      <c r="E1040" s="3">
        <v>667</v>
      </c>
      <c r="G1040" s="19"/>
    </row>
    <row r="1041" spans="1:7" ht="12.75" x14ac:dyDescent="0.2">
      <c r="A1041" s="3" t="s">
        <v>175</v>
      </c>
      <c r="B1041" s="4" t="s">
        <v>84</v>
      </c>
      <c r="C1041" s="3" t="s">
        <v>125</v>
      </c>
      <c r="D1041" s="3" t="s">
        <v>138</v>
      </c>
      <c r="E1041" s="3">
        <v>508</v>
      </c>
      <c r="G1041" s="19"/>
    </row>
    <row r="1042" spans="1:7" ht="12.75" x14ac:dyDescent="0.2">
      <c r="A1042" s="3" t="s">
        <v>175</v>
      </c>
      <c r="B1042" s="4" t="s">
        <v>84</v>
      </c>
      <c r="C1042" s="3" t="s">
        <v>125</v>
      </c>
      <c r="D1042" s="3" t="s">
        <v>145</v>
      </c>
      <c r="E1042" s="3">
        <v>356</v>
      </c>
      <c r="G1042" s="19"/>
    </row>
    <row r="1043" spans="1:7" ht="12.75" x14ac:dyDescent="0.2">
      <c r="A1043" s="3">
        <v>59</v>
      </c>
      <c r="B1043" s="4" t="s">
        <v>85</v>
      </c>
      <c r="C1043" s="3" t="s">
        <v>15</v>
      </c>
      <c r="D1043" s="3" t="s">
        <v>136</v>
      </c>
      <c r="E1043" s="3">
        <v>301</v>
      </c>
      <c r="G1043" s="19"/>
    </row>
    <row r="1044" spans="1:7" ht="12.75" x14ac:dyDescent="0.2">
      <c r="A1044" s="3">
        <v>59</v>
      </c>
      <c r="B1044" s="4" t="s">
        <v>85</v>
      </c>
      <c r="C1044" s="3" t="s">
        <v>15</v>
      </c>
      <c r="D1044" s="3" t="s">
        <v>147</v>
      </c>
      <c r="E1044" s="3">
        <v>68</v>
      </c>
      <c r="G1044" s="19"/>
    </row>
    <row r="1045" spans="1:7" ht="12.75" x14ac:dyDescent="0.2">
      <c r="A1045" s="3">
        <v>59</v>
      </c>
      <c r="B1045" s="4" t="s">
        <v>85</v>
      </c>
      <c r="C1045" s="3" t="s">
        <v>15</v>
      </c>
      <c r="D1045" s="3" t="s">
        <v>14</v>
      </c>
      <c r="E1045" s="3">
        <v>50</v>
      </c>
      <c r="F1045">
        <f>SUM(E1043:E1046)</f>
        <v>420</v>
      </c>
      <c r="G1045" s="19"/>
    </row>
    <row r="1046" spans="1:7" ht="12.75" x14ac:dyDescent="0.2">
      <c r="A1046" s="3">
        <v>59</v>
      </c>
      <c r="B1046" s="4" t="s">
        <v>85</v>
      </c>
      <c r="C1046" s="3" t="s">
        <v>15</v>
      </c>
      <c r="D1046" s="3" t="s">
        <v>138</v>
      </c>
      <c r="E1046" s="3">
        <v>1</v>
      </c>
      <c r="G1046" s="19"/>
    </row>
    <row r="1047" spans="1:7" ht="12.75" x14ac:dyDescent="0.2">
      <c r="A1047" s="3">
        <v>59</v>
      </c>
      <c r="B1047" s="4" t="s">
        <v>85</v>
      </c>
      <c r="C1047" s="3" t="s">
        <v>161</v>
      </c>
      <c r="D1047" s="3" t="s">
        <v>136</v>
      </c>
      <c r="E1047" s="3">
        <v>266</v>
      </c>
      <c r="G1047" s="19"/>
    </row>
    <row r="1048" spans="1:7" ht="12.75" x14ac:dyDescent="0.2">
      <c r="A1048" s="3">
        <v>59</v>
      </c>
      <c r="B1048" s="4" t="s">
        <v>85</v>
      </c>
      <c r="C1048" s="3" t="s">
        <v>161</v>
      </c>
      <c r="D1048" s="3" t="s">
        <v>128</v>
      </c>
      <c r="E1048" s="3">
        <v>73</v>
      </c>
      <c r="G1048" s="19"/>
    </row>
    <row r="1049" spans="1:7" ht="12.75" x14ac:dyDescent="0.2">
      <c r="A1049" s="3">
        <v>59</v>
      </c>
      <c r="B1049" s="4" t="s">
        <v>85</v>
      </c>
      <c r="C1049" s="3" t="s">
        <v>161</v>
      </c>
      <c r="D1049" s="3" t="s">
        <v>139</v>
      </c>
      <c r="E1049" s="3">
        <v>33</v>
      </c>
      <c r="G1049" s="19"/>
    </row>
    <row r="1050" spans="1:7" ht="12.75" x14ac:dyDescent="0.2">
      <c r="A1050" s="3">
        <v>59</v>
      </c>
      <c r="B1050" s="4" t="s">
        <v>85</v>
      </c>
      <c r="C1050" s="3" t="s">
        <v>161</v>
      </c>
      <c r="D1050" s="3" t="s">
        <v>14</v>
      </c>
      <c r="E1050" s="3">
        <v>20</v>
      </c>
      <c r="G1050" s="19"/>
    </row>
    <row r="1051" spans="1:7" ht="12.75" x14ac:dyDescent="0.2">
      <c r="A1051" s="3">
        <v>59</v>
      </c>
      <c r="B1051" s="4" t="s">
        <v>85</v>
      </c>
      <c r="C1051" s="3" t="s">
        <v>161</v>
      </c>
      <c r="D1051" s="3" t="s">
        <v>149</v>
      </c>
      <c r="E1051" s="3">
        <v>10</v>
      </c>
      <c r="F1051">
        <f>SUM(E1047:E1056)</f>
        <v>420</v>
      </c>
      <c r="G1051" s="19"/>
    </row>
    <row r="1052" spans="1:7" ht="12.75" x14ac:dyDescent="0.2">
      <c r="A1052" s="3">
        <v>59</v>
      </c>
      <c r="B1052" s="4" t="s">
        <v>85</v>
      </c>
      <c r="C1052" s="3" t="s">
        <v>161</v>
      </c>
      <c r="D1052" s="3" t="s">
        <v>133</v>
      </c>
      <c r="E1052" s="3">
        <v>6</v>
      </c>
      <c r="G1052" s="19"/>
    </row>
    <row r="1053" spans="1:7" ht="12.75" x14ac:dyDescent="0.2">
      <c r="A1053" s="3">
        <v>59</v>
      </c>
      <c r="B1053" s="4" t="s">
        <v>85</v>
      </c>
      <c r="C1053" s="3" t="s">
        <v>161</v>
      </c>
      <c r="D1053" s="3" t="s">
        <v>145</v>
      </c>
      <c r="E1053" s="3">
        <v>4</v>
      </c>
      <c r="G1053" s="19"/>
    </row>
    <row r="1054" spans="1:7" ht="12.75" x14ac:dyDescent="0.2">
      <c r="A1054" s="3">
        <v>59</v>
      </c>
      <c r="B1054" s="4" t="s">
        <v>85</v>
      </c>
      <c r="C1054" s="3" t="s">
        <v>161</v>
      </c>
      <c r="D1054" s="3" t="s">
        <v>138</v>
      </c>
      <c r="E1054" s="3">
        <v>3</v>
      </c>
      <c r="G1054" s="19"/>
    </row>
    <row r="1055" spans="1:7" ht="12.75" x14ac:dyDescent="0.2">
      <c r="A1055" s="3">
        <v>59</v>
      </c>
      <c r="B1055" s="4" t="s">
        <v>85</v>
      </c>
      <c r="C1055" s="3" t="s">
        <v>161</v>
      </c>
      <c r="D1055" s="3" t="s">
        <v>148</v>
      </c>
      <c r="E1055" s="3">
        <v>3</v>
      </c>
      <c r="G1055" s="19"/>
    </row>
    <row r="1056" spans="1:7" ht="12.75" x14ac:dyDescent="0.2">
      <c r="A1056" s="3">
        <v>59</v>
      </c>
      <c r="B1056" s="4" t="s">
        <v>85</v>
      </c>
      <c r="C1056" s="3" t="s">
        <v>161</v>
      </c>
      <c r="D1056" s="3" t="s">
        <v>135</v>
      </c>
      <c r="E1056" s="3">
        <v>2</v>
      </c>
      <c r="G1056" s="19"/>
    </row>
    <row r="1057" spans="1:7" ht="12.75" x14ac:dyDescent="0.2">
      <c r="A1057" s="3">
        <v>59</v>
      </c>
      <c r="B1057" s="4" t="s">
        <v>85</v>
      </c>
      <c r="C1057" s="3" t="s">
        <v>162</v>
      </c>
      <c r="D1057" s="3" t="s">
        <v>136</v>
      </c>
      <c r="E1057" s="3">
        <v>267</v>
      </c>
      <c r="G1057" s="19"/>
    </row>
    <row r="1058" spans="1:7" ht="12.75" x14ac:dyDescent="0.2">
      <c r="A1058" s="3">
        <v>59</v>
      </c>
      <c r="B1058" s="4" t="s">
        <v>85</v>
      </c>
      <c r="C1058" s="3" t="s">
        <v>162</v>
      </c>
      <c r="D1058" s="3" t="s">
        <v>128</v>
      </c>
      <c r="E1058" s="3">
        <v>80</v>
      </c>
      <c r="G1058" s="19"/>
    </row>
    <row r="1059" spans="1:7" ht="12.75" x14ac:dyDescent="0.2">
      <c r="A1059" s="3">
        <v>59</v>
      </c>
      <c r="B1059" s="4" t="s">
        <v>85</v>
      </c>
      <c r="C1059" s="3" t="s">
        <v>162</v>
      </c>
      <c r="D1059" s="3" t="s">
        <v>139</v>
      </c>
      <c r="E1059" s="3">
        <v>33</v>
      </c>
      <c r="G1059" s="19"/>
    </row>
    <row r="1060" spans="1:7" ht="12.75" x14ac:dyDescent="0.2">
      <c r="A1060" s="3">
        <v>59</v>
      </c>
      <c r="B1060" s="4" t="s">
        <v>85</v>
      </c>
      <c r="C1060" s="3" t="s">
        <v>162</v>
      </c>
      <c r="D1060" s="3" t="s">
        <v>133</v>
      </c>
      <c r="E1060" s="3">
        <v>10</v>
      </c>
      <c r="G1060" s="19"/>
    </row>
    <row r="1061" spans="1:7" ht="12.75" x14ac:dyDescent="0.2">
      <c r="A1061" s="3">
        <v>59</v>
      </c>
      <c r="B1061" s="4" t="s">
        <v>85</v>
      </c>
      <c r="C1061" s="3" t="s">
        <v>162</v>
      </c>
      <c r="D1061" s="3" t="s">
        <v>14</v>
      </c>
      <c r="E1061" s="3">
        <v>9</v>
      </c>
      <c r="G1061" s="19"/>
    </row>
    <row r="1062" spans="1:7" ht="12.75" x14ac:dyDescent="0.2">
      <c r="A1062" s="3">
        <v>59</v>
      </c>
      <c r="B1062" s="4" t="s">
        <v>85</v>
      </c>
      <c r="C1062" s="3" t="s">
        <v>162</v>
      </c>
      <c r="D1062" s="3" t="s">
        <v>149</v>
      </c>
      <c r="E1062" s="3">
        <v>8</v>
      </c>
      <c r="F1062">
        <f>SUM(E1057:E1066)</f>
        <v>420</v>
      </c>
      <c r="G1062" s="19"/>
    </row>
    <row r="1063" spans="1:7" ht="12.75" x14ac:dyDescent="0.2">
      <c r="A1063" s="3">
        <v>59</v>
      </c>
      <c r="B1063" s="4" t="s">
        <v>85</v>
      </c>
      <c r="C1063" s="3" t="s">
        <v>162</v>
      </c>
      <c r="D1063" s="3" t="s">
        <v>145</v>
      </c>
      <c r="E1063" s="3">
        <v>4</v>
      </c>
      <c r="G1063" s="19"/>
    </row>
    <row r="1064" spans="1:7" ht="12.75" x14ac:dyDescent="0.2">
      <c r="A1064" s="3">
        <v>59</v>
      </c>
      <c r="B1064" s="4" t="s">
        <v>85</v>
      </c>
      <c r="C1064" s="3" t="s">
        <v>162</v>
      </c>
      <c r="D1064" s="3" t="s">
        <v>138</v>
      </c>
      <c r="E1064" s="3">
        <v>3</v>
      </c>
      <c r="G1064" s="19"/>
    </row>
    <row r="1065" spans="1:7" ht="12.75" x14ac:dyDescent="0.2">
      <c r="A1065" s="3">
        <v>59</v>
      </c>
      <c r="B1065" s="4" t="s">
        <v>85</v>
      </c>
      <c r="C1065" s="3" t="s">
        <v>162</v>
      </c>
      <c r="D1065" s="3" t="s">
        <v>148</v>
      </c>
      <c r="E1065" s="3">
        <v>3</v>
      </c>
      <c r="G1065" s="19"/>
    </row>
    <row r="1066" spans="1:7" ht="12.75" x14ac:dyDescent="0.2">
      <c r="A1066" s="3">
        <v>59</v>
      </c>
      <c r="B1066" s="4" t="s">
        <v>85</v>
      </c>
      <c r="C1066" s="3" t="s">
        <v>162</v>
      </c>
      <c r="D1066" s="3" t="s">
        <v>135</v>
      </c>
      <c r="E1066" s="3">
        <v>3</v>
      </c>
      <c r="G1066" s="19"/>
    </row>
    <row r="1067" spans="1:7" ht="12.75" x14ac:dyDescent="0.2">
      <c r="A1067" s="3">
        <v>61</v>
      </c>
      <c r="B1067" s="4" t="s">
        <v>86</v>
      </c>
      <c r="C1067" s="3" t="s">
        <v>2</v>
      </c>
      <c r="D1067" s="3" t="s">
        <v>3</v>
      </c>
      <c r="E1067" s="3">
        <v>3023</v>
      </c>
      <c r="G1067" s="19"/>
    </row>
    <row r="1068" spans="1:7" ht="12.75" x14ac:dyDescent="0.2">
      <c r="A1068" s="3">
        <v>61</v>
      </c>
      <c r="B1068" s="4" t="s">
        <v>86</v>
      </c>
      <c r="C1068" s="3" t="s">
        <v>2</v>
      </c>
      <c r="D1068" s="3" t="s">
        <v>144</v>
      </c>
      <c r="E1068" s="3">
        <v>1691</v>
      </c>
      <c r="F1068">
        <f>SUM(E1067:E1072)</f>
        <v>6036</v>
      </c>
      <c r="G1068" s="19"/>
    </row>
    <row r="1069" spans="1:7" ht="12.75" x14ac:dyDescent="0.2">
      <c r="A1069" s="3">
        <v>61</v>
      </c>
      <c r="B1069" s="4" t="s">
        <v>86</v>
      </c>
      <c r="C1069" s="3" t="s">
        <v>2</v>
      </c>
      <c r="D1069" s="3" t="s">
        <v>128</v>
      </c>
      <c r="E1069" s="3">
        <v>1062</v>
      </c>
      <c r="G1069" s="19"/>
    </row>
    <row r="1070" spans="1:7" ht="12.75" x14ac:dyDescent="0.2">
      <c r="A1070" s="3">
        <v>61</v>
      </c>
      <c r="B1070" s="4" t="s">
        <v>86</v>
      </c>
      <c r="C1070" s="3" t="s">
        <v>2</v>
      </c>
      <c r="D1070" s="3" t="s">
        <v>14</v>
      </c>
      <c r="E1070" s="3">
        <v>162</v>
      </c>
      <c r="G1070" s="19"/>
    </row>
    <row r="1071" spans="1:7" ht="12.75" x14ac:dyDescent="0.2">
      <c r="A1071" s="3">
        <v>61</v>
      </c>
      <c r="B1071" s="4" t="s">
        <v>86</v>
      </c>
      <c r="C1071" s="3" t="s">
        <v>2</v>
      </c>
      <c r="D1071" s="3" t="s">
        <v>148</v>
      </c>
      <c r="E1071" s="3">
        <v>49</v>
      </c>
      <c r="G1071" s="19"/>
    </row>
    <row r="1072" spans="1:7" ht="12.75" x14ac:dyDescent="0.2">
      <c r="A1072" s="3">
        <v>61</v>
      </c>
      <c r="B1072" s="4" t="s">
        <v>86</v>
      </c>
      <c r="C1072" s="3" t="s">
        <v>2</v>
      </c>
      <c r="D1072" s="3" t="s">
        <v>138</v>
      </c>
      <c r="E1072" s="3">
        <v>49</v>
      </c>
      <c r="G1072" s="19"/>
    </row>
    <row r="1073" spans="1:7" ht="12.75" x14ac:dyDescent="0.2">
      <c r="A1073" s="3">
        <v>61</v>
      </c>
      <c r="B1073" s="4" t="s">
        <v>86</v>
      </c>
      <c r="C1073" s="3" t="s">
        <v>162</v>
      </c>
      <c r="D1073" s="3" t="s">
        <v>3</v>
      </c>
      <c r="E1073" s="3">
        <v>2913</v>
      </c>
      <c r="G1073" s="19"/>
    </row>
    <row r="1074" spans="1:7" ht="12.75" x14ac:dyDescent="0.2">
      <c r="A1074" s="3">
        <v>61</v>
      </c>
      <c r="B1074" s="4" t="s">
        <v>86</v>
      </c>
      <c r="C1074" s="3" t="s">
        <v>162</v>
      </c>
      <c r="D1074" s="3" t="s">
        <v>14</v>
      </c>
      <c r="E1074" s="3">
        <v>1490</v>
      </c>
      <c r="G1074" s="19"/>
    </row>
    <row r="1075" spans="1:7" ht="12.75" x14ac:dyDescent="0.2">
      <c r="A1075" s="3">
        <v>61</v>
      </c>
      <c r="B1075" s="4" t="s">
        <v>86</v>
      </c>
      <c r="C1075" s="3" t="s">
        <v>162</v>
      </c>
      <c r="D1075" s="3" t="s">
        <v>128</v>
      </c>
      <c r="E1075" s="3">
        <v>1051</v>
      </c>
      <c r="G1075" s="19"/>
    </row>
    <row r="1076" spans="1:7" ht="12.75" x14ac:dyDescent="0.2">
      <c r="A1076" s="3">
        <v>61</v>
      </c>
      <c r="B1076" s="4" t="s">
        <v>86</v>
      </c>
      <c r="C1076" s="3" t="s">
        <v>162</v>
      </c>
      <c r="D1076" s="3" t="s">
        <v>133</v>
      </c>
      <c r="E1076" s="3">
        <v>178</v>
      </c>
      <c r="G1076" s="19"/>
    </row>
    <row r="1077" spans="1:7" ht="12.75" x14ac:dyDescent="0.2">
      <c r="A1077" s="3">
        <v>61</v>
      </c>
      <c r="B1077" s="4" t="s">
        <v>86</v>
      </c>
      <c r="C1077" s="3" t="s">
        <v>162</v>
      </c>
      <c r="D1077" s="3" t="s">
        <v>149</v>
      </c>
      <c r="E1077" s="3">
        <v>159</v>
      </c>
      <c r="G1077" s="19"/>
    </row>
    <row r="1078" spans="1:7" ht="12.75" x14ac:dyDescent="0.2">
      <c r="A1078" s="3">
        <v>61</v>
      </c>
      <c r="B1078" s="4" t="s">
        <v>86</v>
      </c>
      <c r="C1078" s="3" t="s">
        <v>162</v>
      </c>
      <c r="D1078" s="3" t="s">
        <v>138</v>
      </c>
      <c r="E1078" s="3">
        <v>116</v>
      </c>
      <c r="F1078">
        <f>SUM(E1073:E1082)</f>
        <v>6036</v>
      </c>
      <c r="G1078" s="19"/>
    </row>
    <row r="1079" spans="1:7" ht="12.75" x14ac:dyDescent="0.2">
      <c r="A1079" s="3">
        <v>61</v>
      </c>
      <c r="B1079" s="4" t="s">
        <v>86</v>
      </c>
      <c r="C1079" s="3" t="s">
        <v>162</v>
      </c>
      <c r="D1079" s="3" t="s">
        <v>148</v>
      </c>
      <c r="E1079" s="3">
        <v>50</v>
      </c>
      <c r="G1079" s="19"/>
    </row>
    <row r="1080" spans="1:7" ht="12.75" x14ac:dyDescent="0.2">
      <c r="A1080" s="3">
        <v>61</v>
      </c>
      <c r="B1080" s="4" t="s">
        <v>86</v>
      </c>
      <c r="C1080" s="3" t="s">
        <v>162</v>
      </c>
      <c r="D1080" s="3" t="s">
        <v>135</v>
      </c>
      <c r="E1080" s="3">
        <v>28</v>
      </c>
      <c r="G1080" s="19"/>
    </row>
    <row r="1081" spans="1:7" ht="12.75" x14ac:dyDescent="0.2">
      <c r="A1081" s="3">
        <v>61</v>
      </c>
      <c r="B1081" s="4" t="s">
        <v>86</v>
      </c>
      <c r="C1081" s="3" t="s">
        <v>162</v>
      </c>
      <c r="D1081" s="3" t="s">
        <v>139</v>
      </c>
      <c r="E1081" s="3">
        <v>28</v>
      </c>
      <c r="G1081" s="19"/>
    </row>
    <row r="1082" spans="1:7" ht="12.75" x14ac:dyDescent="0.2">
      <c r="A1082" s="3">
        <v>61</v>
      </c>
      <c r="B1082" s="4" t="s">
        <v>86</v>
      </c>
      <c r="C1082" s="3" t="s">
        <v>162</v>
      </c>
      <c r="D1082" s="3" t="s">
        <v>145</v>
      </c>
      <c r="E1082" s="3">
        <v>23</v>
      </c>
      <c r="G1082" s="19"/>
    </row>
    <row r="1083" spans="1:7" ht="12.75" x14ac:dyDescent="0.2">
      <c r="A1083" s="3">
        <v>61</v>
      </c>
      <c r="B1083" s="4" t="s">
        <v>86</v>
      </c>
      <c r="C1083" s="3" t="s">
        <v>161</v>
      </c>
      <c r="D1083" s="3" t="s">
        <v>3</v>
      </c>
      <c r="E1083" s="3">
        <v>2872</v>
      </c>
      <c r="G1083" s="19"/>
    </row>
    <row r="1084" spans="1:7" ht="12.75" x14ac:dyDescent="0.2">
      <c r="A1084" s="3">
        <v>61</v>
      </c>
      <c r="B1084" s="4" t="s">
        <v>86</v>
      </c>
      <c r="C1084" s="3" t="s">
        <v>161</v>
      </c>
      <c r="D1084" s="3" t="s">
        <v>14</v>
      </c>
      <c r="E1084" s="3">
        <v>1610</v>
      </c>
      <c r="G1084" s="19"/>
    </row>
    <row r="1085" spans="1:7" ht="12.75" x14ac:dyDescent="0.2">
      <c r="A1085" s="3">
        <v>61</v>
      </c>
      <c r="B1085" s="4" t="s">
        <v>86</v>
      </c>
      <c r="C1085" s="3" t="s">
        <v>161</v>
      </c>
      <c r="D1085" s="3" t="s">
        <v>128</v>
      </c>
      <c r="E1085" s="3">
        <v>1022</v>
      </c>
      <c r="G1085" s="19"/>
    </row>
    <row r="1086" spans="1:7" ht="12.75" x14ac:dyDescent="0.2">
      <c r="A1086" s="3">
        <v>61</v>
      </c>
      <c r="B1086" s="4" t="s">
        <v>86</v>
      </c>
      <c r="C1086" s="3" t="s">
        <v>161</v>
      </c>
      <c r="D1086" s="3" t="s">
        <v>149</v>
      </c>
      <c r="E1086" s="3">
        <v>145</v>
      </c>
      <c r="G1086" s="19"/>
    </row>
    <row r="1087" spans="1:7" ht="12.75" x14ac:dyDescent="0.2">
      <c r="A1087" s="3">
        <v>61</v>
      </c>
      <c r="B1087" s="4" t="s">
        <v>86</v>
      </c>
      <c r="C1087" s="3" t="s">
        <v>161</v>
      </c>
      <c r="D1087" s="3" t="s">
        <v>133</v>
      </c>
      <c r="E1087" s="3">
        <v>144</v>
      </c>
      <c r="G1087" s="19"/>
    </row>
    <row r="1088" spans="1:7" ht="12.75" x14ac:dyDescent="0.2">
      <c r="A1088" s="3">
        <v>61</v>
      </c>
      <c r="B1088" s="4" t="s">
        <v>86</v>
      </c>
      <c r="C1088" s="3" t="s">
        <v>161</v>
      </c>
      <c r="D1088" s="3" t="s">
        <v>138</v>
      </c>
      <c r="E1088" s="3">
        <v>115</v>
      </c>
      <c r="F1088">
        <f>SUM(E1083:E1092)</f>
        <v>6036</v>
      </c>
      <c r="G1088" s="19"/>
    </row>
    <row r="1089" spans="1:7" ht="12.75" x14ac:dyDescent="0.2">
      <c r="A1089" s="3">
        <v>61</v>
      </c>
      <c r="B1089" s="4" t="s">
        <v>86</v>
      </c>
      <c r="C1089" s="3" t="s">
        <v>161</v>
      </c>
      <c r="D1089" s="3" t="s">
        <v>148</v>
      </c>
      <c r="E1089" s="3">
        <v>51</v>
      </c>
      <c r="G1089" s="19"/>
    </row>
    <row r="1090" spans="1:7" ht="12.75" x14ac:dyDescent="0.2">
      <c r="A1090" s="3">
        <v>61</v>
      </c>
      <c r="B1090" s="4" t="s">
        <v>86</v>
      </c>
      <c r="C1090" s="3" t="s">
        <v>161</v>
      </c>
      <c r="D1090" s="3" t="s">
        <v>135</v>
      </c>
      <c r="E1090" s="3">
        <v>31</v>
      </c>
      <c r="G1090" s="19"/>
    </row>
    <row r="1091" spans="1:7" ht="12.75" x14ac:dyDescent="0.2">
      <c r="A1091" s="3">
        <v>61</v>
      </c>
      <c r="B1091" s="4" t="s">
        <v>86</v>
      </c>
      <c r="C1091" s="3" t="s">
        <v>161</v>
      </c>
      <c r="D1091" s="3" t="s">
        <v>145</v>
      </c>
      <c r="E1091" s="3">
        <v>23</v>
      </c>
      <c r="G1091" s="19"/>
    </row>
    <row r="1092" spans="1:7" ht="12.75" x14ac:dyDescent="0.2">
      <c r="A1092" s="3">
        <v>61</v>
      </c>
      <c r="B1092" s="4" t="s">
        <v>86</v>
      </c>
      <c r="C1092" s="3" t="s">
        <v>161</v>
      </c>
      <c r="D1092" s="3" t="s">
        <v>139</v>
      </c>
      <c r="E1092" s="3">
        <v>23</v>
      </c>
      <c r="G1092" s="19"/>
    </row>
    <row r="1093" spans="1:7" ht="12.75" x14ac:dyDescent="0.2">
      <c r="A1093" s="3">
        <v>62</v>
      </c>
      <c r="B1093" s="4" t="s">
        <v>87</v>
      </c>
      <c r="C1093" s="3" t="s">
        <v>2</v>
      </c>
      <c r="D1093" s="3" t="s">
        <v>128</v>
      </c>
      <c r="E1093" s="3">
        <v>155</v>
      </c>
      <c r="G1093" s="19"/>
    </row>
    <row r="1094" spans="1:7" ht="12.75" x14ac:dyDescent="0.2">
      <c r="A1094" s="3">
        <v>62</v>
      </c>
      <c r="B1094" s="4" t="s">
        <v>87</v>
      </c>
      <c r="C1094" s="3" t="s">
        <v>2</v>
      </c>
      <c r="D1094" s="3" t="s">
        <v>136</v>
      </c>
      <c r="E1094" s="3">
        <v>146</v>
      </c>
      <c r="G1094" s="19"/>
    </row>
    <row r="1095" spans="1:7" ht="12.75" x14ac:dyDescent="0.2">
      <c r="A1095" s="3">
        <v>62</v>
      </c>
      <c r="B1095" s="4" t="s">
        <v>87</v>
      </c>
      <c r="C1095" s="3" t="s">
        <v>2</v>
      </c>
      <c r="D1095" s="3" t="s">
        <v>148</v>
      </c>
      <c r="E1095" s="3">
        <v>102</v>
      </c>
      <c r="G1095" s="19"/>
    </row>
    <row r="1096" spans="1:7" ht="12.75" x14ac:dyDescent="0.2">
      <c r="A1096" s="3">
        <v>62</v>
      </c>
      <c r="B1096" s="4" t="s">
        <v>87</v>
      </c>
      <c r="C1096" s="3" t="s">
        <v>2</v>
      </c>
      <c r="D1096" s="3" t="s">
        <v>133</v>
      </c>
      <c r="E1096" s="3">
        <v>77</v>
      </c>
      <c r="F1096">
        <f>SUM(E1093:E1099)</f>
        <v>531</v>
      </c>
      <c r="G1096" s="19"/>
    </row>
    <row r="1097" spans="1:7" ht="12.75" x14ac:dyDescent="0.2">
      <c r="A1097" s="3">
        <v>62</v>
      </c>
      <c r="B1097" s="4" t="s">
        <v>87</v>
      </c>
      <c r="C1097" s="3" t="s">
        <v>2</v>
      </c>
      <c r="D1097" s="3" t="s">
        <v>149</v>
      </c>
      <c r="E1097" s="3">
        <v>31</v>
      </c>
      <c r="G1097" s="19"/>
    </row>
    <row r="1098" spans="1:7" ht="12.75" x14ac:dyDescent="0.2">
      <c r="A1098" s="3">
        <v>62</v>
      </c>
      <c r="B1098" s="4" t="s">
        <v>87</v>
      </c>
      <c r="C1098" s="3" t="s">
        <v>2</v>
      </c>
      <c r="D1098" s="3" t="s">
        <v>14</v>
      </c>
      <c r="E1098" s="3">
        <v>16</v>
      </c>
      <c r="G1098" s="19"/>
    </row>
    <row r="1099" spans="1:7" ht="12.75" x14ac:dyDescent="0.2">
      <c r="A1099" s="3">
        <v>62</v>
      </c>
      <c r="B1099" s="4" t="s">
        <v>87</v>
      </c>
      <c r="C1099" s="3" t="s">
        <v>2</v>
      </c>
      <c r="D1099" s="3" t="s">
        <v>138</v>
      </c>
      <c r="E1099" s="3">
        <v>4</v>
      </c>
      <c r="G1099" s="19"/>
    </row>
    <row r="1100" spans="1:7" ht="12.75" x14ac:dyDescent="0.2">
      <c r="A1100" s="3">
        <v>62</v>
      </c>
      <c r="B1100" s="4" t="s">
        <v>87</v>
      </c>
      <c r="C1100" s="3" t="s">
        <v>161</v>
      </c>
      <c r="D1100" s="3" t="s">
        <v>136</v>
      </c>
      <c r="E1100" s="3">
        <v>170</v>
      </c>
      <c r="G1100" s="19"/>
    </row>
    <row r="1101" spans="1:7" ht="12.75" x14ac:dyDescent="0.2">
      <c r="A1101" s="3">
        <v>62</v>
      </c>
      <c r="B1101" s="4" t="s">
        <v>87</v>
      </c>
      <c r="C1101" s="3" t="s">
        <v>161</v>
      </c>
      <c r="D1101" s="3" t="s">
        <v>128</v>
      </c>
      <c r="E1101" s="3">
        <v>133</v>
      </c>
      <c r="G1101" s="19"/>
    </row>
    <row r="1102" spans="1:7" ht="12.75" x14ac:dyDescent="0.2">
      <c r="A1102" s="3">
        <v>62</v>
      </c>
      <c r="B1102" s="4" t="s">
        <v>87</v>
      </c>
      <c r="C1102" s="3" t="s">
        <v>161</v>
      </c>
      <c r="D1102" s="3" t="s">
        <v>133</v>
      </c>
      <c r="E1102" s="3">
        <v>70</v>
      </c>
      <c r="G1102" s="19"/>
    </row>
    <row r="1103" spans="1:7" ht="12.75" x14ac:dyDescent="0.2">
      <c r="A1103" s="3">
        <v>62</v>
      </c>
      <c r="B1103" s="4" t="s">
        <v>87</v>
      </c>
      <c r="C1103" s="3" t="s">
        <v>161</v>
      </c>
      <c r="D1103" s="3" t="s">
        <v>14</v>
      </c>
      <c r="E1103" s="3">
        <v>68</v>
      </c>
      <c r="G1103" s="19"/>
    </row>
    <row r="1104" spans="1:7" ht="12.75" x14ac:dyDescent="0.2">
      <c r="A1104" s="3">
        <v>62</v>
      </c>
      <c r="B1104" s="4" t="s">
        <v>87</v>
      </c>
      <c r="C1104" s="3" t="s">
        <v>161</v>
      </c>
      <c r="D1104" s="3" t="s">
        <v>148</v>
      </c>
      <c r="E1104" s="3">
        <v>66</v>
      </c>
      <c r="G1104" s="19"/>
    </row>
    <row r="1105" spans="1:7" ht="12.75" x14ac:dyDescent="0.2">
      <c r="A1105" s="3">
        <v>62</v>
      </c>
      <c r="B1105" s="4" t="s">
        <v>87</v>
      </c>
      <c r="C1105" s="3" t="s">
        <v>161</v>
      </c>
      <c r="D1105" s="3" t="s">
        <v>149</v>
      </c>
      <c r="E1105" s="3">
        <v>17</v>
      </c>
      <c r="G1105" s="19"/>
    </row>
    <row r="1106" spans="1:7" ht="12.75" x14ac:dyDescent="0.2">
      <c r="A1106" s="3">
        <v>62</v>
      </c>
      <c r="B1106" s="4" t="s">
        <v>87</v>
      </c>
      <c r="C1106" s="3" t="s">
        <v>161</v>
      </c>
      <c r="D1106" s="3" t="s">
        <v>138</v>
      </c>
      <c r="E1106" s="3">
        <v>4</v>
      </c>
      <c r="F1106">
        <f>SUM(E1100:E1108)</f>
        <v>531</v>
      </c>
      <c r="G1106" s="19"/>
    </row>
    <row r="1107" spans="1:7" ht="12.75" x14ac:dyDescent="0.2">
      <c r="A1107" s="3">
        <v>62</v>
      </c>
      <c r="B1107" s="4" t="s">
        <v>87</v>
      </c>
      <c r="C1107" s="3" t="s">
        <v>161</v>
      </c>
      <c r="D1107" s="3" t="s">
        <v>145</v>
      </c>
      <c r="E1107" s="3">
        <v>2</v>
      </c>
      <c r="G1107" s="19"/>
    </row>
    <row r="1108" spans="1:7" ht="12.75" x14ac:dyDescent="0.2">
      <c r="A1108" s="3">
        <v>62</v>
      </c>
      <c r="B1108" s="4" t="s">
        <v>87</v>
      </c>
      <c r="C1108" s="3" t="s">
        <v>161</v>
      </c>
      <c r="D1108" s="3" t="s">
        <v>135</v>
      </c>
      <c r="E1108" s="3">
        <v>1</v>
      </c>
      <c r="G1108" s="19"/>
    </row>
    <row r="1109" spans="1:7" ht="12.75" x14ac:dyDescent="0.2">
      <c r="A1109" s="3">
        <v>62</v>
      </c>
      <c r="B1109" s="4" t="s">
        <v>87</v>
      </c>
      <c r="C1109" s="3" t="s">
        <v>162</v>
      </c>
      <c r="D1109" s="3" t="s">
        <v>136</v>
      </c>
      <c r="E1109" s="3">
        <v>199</v>
      </c>
      <c r="G1109" s="19"/>
    </row>
    <row r="1110" spans="1:7" ht="12.75" x14ac:dyDescent="0.2">
      <c r="A1110" s="3">
        <v>62</v>
      </c>
      <c r="B1110" s="4" t="s">
        <v>87</v>
      </c>
      <c r="C1110" s="3" t="s">
        <v>162</v>
      </c>
      <c r="D1110" s="3" t="s">
        <v>128</v>
      </c>
      <c r="E1110" s="3">
        <v>129</v>
      </c>
      <c r="G1110" s="19"/>
    </row>
    <row r="1111" spans="1:7" ht="12.75" x14ac:dyDescent="0.2">
      <c r="A1111" s="3">
        <v>62</v>
      </c>
      <c r="B1111" s="4" t="s">
        <v>87</v>
      </c>
      <c r="C1111" s="3" t="s">
        <v>162</v>
      </c>
      <c r="D1111" s="3" t="s">
        <v>133</v>
      </c>
      <c r="E1111" s="3">
        <v>71</v>
      </c>
      <c r="G1111" s="19"/>
    </row>
    <row r="1112" spans="1:7" ht="12.75" x14ac:dyDescent="0.2">
      <c r="A1112" s="3">
        <v>62</v>
      </c>
      <c r="B1112" s="4" t="s">
        <v>87</v>
      </c>
      <c r="C1112" s="3" t="s">
        <v>162</v>
      </c>
      <c r="D1112" s="3" t="s">
        <v>148</v>
      </c>
      <c r="E1112" s="3">
        <v>65</v>
      </c>
      <c r="G1112" s="19"/>
    </row>
    <row r="1113" spans="1:7" ht="12.75" x14ac:dyDescent="0.2">
      <c r="A1113" s="3">
        <v>62</v>
      </c>
      <c r="B1113" s="4" t="s">
        <v>87</v>
      </c>
      <c r="C1113" s="3" t="s">
        <v>162</v>
      </c>
      <c r="D1113" s="3" t="s">
        <v>14</v>
      </c>
      <c r="E1113" s="3">
        <v>43</v>
      </c>
      <c r="F1113">
        <f>SUM(E1109:E1115)</f>
        <v>524</v>
      </c>
      <c r="G1113" s="19"/>
    </row>
    <row r="1114" spans="1:7" ht="12.75" x14ac:dyDescent="0.2">
      <c r="A1114" s="3">
        <v>62</v>
      </c>
      <c r="B1114" s="4" t="s">
        <v>87</v>
      </c>
      <c r="C1114" s="3" t="s">
        <v>162</v>
      </c>
      <c r="D1114" s="3" t="s">
        <v>149</v>
      </c>
      <c r="E1114" s="3">
        <v>17</v>
      </c>
      <c r="G1114" s="19"/>
    </row>
    <row r="1115" spans="1:7" ht="12.75" x14ac:dyDescent="0.2">
      <c r="A1115" s="3">
        <v>62</v>
      </c>
      <c r="B1115" s="4" t="s">
        <v>87</v>
      </c>
      <c r="C1115" s="3" t="s">
        <v>162</v>
      </c>
      <c r="D1115" s="3" t="s">
        <v>138</v>
      </c>
      <c r="G1115" s="19"/>
    </row>
    <row r="1116" spans="1:7" ht="12.75" x14ac:dyDescent="0.2">
      <c r="A1116" s="3">
        <v>63</v>
      </c>
      <c r="B1116" s="4" t="s">
        <v>88</v>
      </c>
      <c r="C1116" s="3" t="s">
        <v>2</v>
      </c>
      <c r="D1116" s="3" t="s">
        <v>136</v>
      </c>
      <c r="E1116" s="3">
        <v>1173</v>
      </c>
      <c r="G1116" s="19"/>
    </row>
    <row r="1117" spans="1:7" ht="12.75" x14ac:dyDescent="0.2">
      <c r="A1117" s="3">
        <v>63</v>
      </c>
      <c r="B1117" s="4" t="s">
        <v>88</v>
      </c>
      <c r="C1117" s="3" t="s">
        <v>2</v>
      </c>
      <c r="D1117" s="3" t="s">
        <v>128</v>
      </c>
      <c r="E1117" s="3">
        <v>727</v>
      </c>
      <c r="G1117" s="19"/>
    </row>
    <row r="1118" spans="1:7" ht="12.75" x14ac:dyDescent="0.2">
      <c r="A1118" s="3">
        <v>63</v>
      </c>
      <c r="B1118" s="4" t="s">
        <v>88</v>
      </c>
      <c r="C1118" s="3" t="s">
        <v>2</v>
      </c>
      <c r="D1118" s="3" t="s">
        <v>139</v>
      </c>
      <c r="E1118" s="3">
        <v>112</v>
      </c>
      <c r="G1118" s="19"/>
    </row>
    <row r="1119" spans="1:7" ht="12.75" x14ac:dyDescent="0.2">
      <c r="A1119" s="3">
        <v>63</v>
      </c>
      <c r="B1119" s="4" t="s">
        <v>88</v>
      </c>
      <c r="C1119" s="3" t="s">
        <v>2</v>
      </c>
      <c r="D1119" s="3" t="s">
        <v>14</v>
      </c>
      <c r="E1119" s="3">
        <v>81</v>
      </c>
      <c r="G1119" s="19"/>
    </row>
    <row r="1120" spans="1:7" ht="12.75" x14ac:dyDescent="0.2">
      <c r="A1120" s="3">
        <v>63</v>
      </c>
      <c r="B1120" s="4" t="s">
        <v>88</v>
      </c>
      <c r="C1120" s="3" t="s">
        <v>2</v>
      </c>
      <c r="D1120" s="3" t="s">
        <v>138</v>
      </c>
      <c r="E1120" s="3">
        <v>11</v>
      </c>
      <c r="F1120">
        <f>SUM(E1116:E1120)</f>
        <v>2104</v>
      </c>
      <c r="G1120" s="19"/>
    </row>
    <row r="1121" spans="1:7" ht="12.75" x14ac:dyDescent="0.2">
      <c r="A1121" s="3">
        <v>63</v>
      </c>
      <c r="B1121" s="4" t="s">
        <v>88</v>
      </c>
      <c r="C1121" s="3" t="s">
        <v>161</v>
      </c>
      <c r="D1121" s="3" t="s">
        <v>136</v>
      </c>
      <c r="E1121" s="3">
        <v>981</v>
      </c>
      <c r="G1121" s="19"/>
    </row>
    <row r="1122" spans="1:7" ht="12.75" x14ac:dyDescent="0.2">
      <c r="A1122" s="3">
        <v>63</v>
      </c>
      <c r="B1122" s="4" t="s">
        <v>88</v>
      </c>
      <c r="C1122" s="3" t="s">
        <v>161</v>
      </c>
      <c r="D1122" s="3" t="s">
        <v>128</v>
      </c>
      <c r="E1122" s="3">
        <v>858</v>
      </c>
      <c r="G1122" s="19"/>
    </row>
    <row r="1123" spans="1:7" ht="12.75" x14ac:dyDescent="0.2">
      <c r="A1123" s="3">
        <v>63</v>
      </c>
      <c r="B1123" s="4" t="s">
        <v>88</v>
      </c>
      <c r="C1123" s="3" t="s">
        <v>161</v>
      </c>
      <c r="D1123" s="3" t="s">
        <v>14</v>
      </c>
      <c r="E1123" s="3">
        <v>106</v>
      </c>
      <c r="G1123" s="19"/>
    </row>
    <row r="1124" spans="1:7" ht="12.75" x14ac:dyDescent="0.2">
      <c r="A1124" s="3">
        <v>63</v>
      </c>
      <c r="B1124" s="4" t="s">
        <v>88</v>
      </c>
      <c r="C1124" s="3" t="s">
        <v>161</v>
      </c>
      <c r="D1124" s="3" t="s">
        <v>139</v>
      </c>
      <c r="E1124" s="3">
        <v>75</v>
      </c>
      <c r="G1124" s="19"/>
    </row>
    <row r="1125" spans="1:7" ht="12.75" x14ac:dyDescent="0.2">
      <c r="A1125" s="3">
        <v>63</v>
      </c>
      <c r="B1125" s="4" t="s">
        <v>88</v>
      </c>
      <c r="C1125" s="3" t="s">
        <v>161</v>
      </c>
      <c r="D1125" s="3" t="s">
        <v>133</v>
      </c>
      <c r="E1125" s="3">
        <v>21</v>
      </c>
      <c r="G1125" s="19"/>
    </row>
    <row r="1126" spans="1:7" ht="12.75" x14ac:dyDescent="0.2">
      <c r="A1126" s="3">
        <v>63</v>
      </c>
      <c r="B1126" s="4" t="s">
        <v>88</v>
      </c>
      <c r="C1126" s="3" t="s">
        <v>161</v>
      </c>
      <c r="D1126" s="3" t="s">
        <v>138</v>
      </c>
      <c r="E1126" s="3">
        <v>18</v>
      </c>
      <c r="G1126" s="19"/>
    </row>
    <row r="1127" spans="1:7" ht="12.75" x14ac:dyDescent="0.2">
      <c r="A1127" s="3">
        <v>63</v>
      </c>
      <c r="B1127" s="4" t="s">
        <v>88</v>
      </c>
      <c r="C1127" s="3" t="s">
        <v>161</v>
      </c>
      <c r="D1127" s="3" t="s">
        <v>148</v>
      </c>
      <c r="E1127" s="3">
        <v>16</v>
      </c>
      <c r="G1127" s="19"/>
    </row>
    <row r="1128" spans="1:7" ht="12.75" x14ac:dyDescent="0.2">
      <c r="A1128" s="3">
        <v>63</v>
      </c>
      <c r="B1128" s="4" t="s">
        <v>88</v>
      </c>
      <c r="C1128" s="3" t="s">
        <v>161</v>
      </c>
      <c r="D1128" s="3" t="s">
        <v>149</v>
      </c>
      <c r="E1128" s="3">
        <v>15</v>
      </c>
      <c r="G1128" s="19"/>
    </row>
    <row r="1129" spans="1:7" ht="12.75" x14ac:dyDescent="0.2">
      <c r="A1129" s="3">
        <v>63</v>
      </c>
      <c r="B1129" s="4" t="s">
        <v>88</v>
      </c>
      <c r="C1129" s="3" t="s">
        <v>161</v>
      </c>
      <c r="D1129" s="3" t="s">
        <v>145</v>
      </c>
      <c r="E1129" s="3">
        <v>12</v>
      </c>
      <c r="G1129" s="19"/>
    </row>
    <row r="1130" spans="1:7" ht="12.75" x14ac:dyDescent="0.2">
      <c r="A1130" s="3">
        <v>63</v>
      </c>
      <c r="B1130" s="4" t="s">
        <v>88</v>
      </c>
      <c r="C1130" s="3" t="s">
        <v>161</v>
      </c>
      <c r="D1130" s="3" t="s">
        <v>135</v>
      </c>
      <c r="E1130" s="3">
        <v>2</v>
      </c>
      <c r="F1130">
        <f>SUM(E1121:E1130)</f>
        <v>2104</v>
      </c>
      <c r="G1130" s="19"/>
    </row>
    <row r="1131" spans="1:7" ht="12.75" x14ac:dyDescent="0.2">
      <c r="A1131" s="3">
        <v>63</v>
      </c>
      <c r="B1131" s="4" t="s">
        <v>88</v>
      </c>
      <c r="C1131" s="3" t="s">
        <v>162</v>
      </c>
      <c r="D1131" s="3" t="s">
        <v>136</v>
      </c>
      <c r="E1131" s="3">
        <v>954</v>
      </c>
      <c r="G1131" s="19"/>
    </row>
    <row r="1132" spans="1:7" ht="12.75" x14ac:dyDescent="0.2">
      <c r="A1132" s="3">
        <v>63</v>
      </c>
      <c r="B1132" s="4" t="s">
        <v>88</v>
      </c>
      <c r="C1132" s="3" t="s">
        <v>162</v>
      </c>
      <c r="D1132" s="3" t="s">
        <v>128</v>
      </c>
      <c r="E1132" s="3">
        <v>931</v>
      </c>
      <c r="G1132" s="19"/>
    </row>
    <row r="1133" spans="1:7" ht="12.75" x14ac:dyDescent="0.2">
      <c r="A1133" s="3">
        <v>63</v>
      </c>
      <c r="B1133" s="4" t="s">
        <v>88</v>
      </c>
      <c r="C1133" s="3" t="s">
        <v>162</v>
      </c>
      <c r="D1133" s="3" t="s">
        <v>139</v>
      </c>
      <c r="E1133" s="3">
        <v>76</v>
      </c>
      <c r="G1133" s="19"/>
    </row>
    <row r="1134" spans="1:7" ht="12.75" x14ac:dyDescent="0.2">
      <c r="A1134" s="3">
        <v>63</v>
      </c>
      <c r="B1134" s="4" t="s">
        <v>88</v>
      </c>
      <c r="C1134" s="3" t="s">
        <v>162</v>
      </c>
      <c r="D1134" s="3" t="s">
        <v>14</v>
      </c>
      <c r="E1134" s="3">
        <v>53</v>
      </c>
      <c r="G1134" s="19"/>
    </row>
    <row r="1135" spans="1:7" ht="12.75" x14ac:dyDescent="0.2">
      <c r="A1135" s="3">
        <v>63</v>
      </c>
      <c r="B1135" s="4" t="s">
        <v>88</v>
      </c>
      <c r="C1135" s="3" t="s">
        <v>162</v>
      </c>
      <c r="D1135" s="3" t="s">
        <v>133</v>
      </c>
      <c r="E1135" s="3">
        <v>28</v>
      </c>
      <c r="G1135" s="19"/>
    </row>
    <row r="1136" spans="1:7" ht="12.75" x14ac:dyDescent="0.2">
      <c r="A1136" s="3">
        <v>63</v>
      </c>
      <c r="B1136" s="4" t="s">
        <v>88</v>
      </c>
      <c r="C1136" s="3" t="s">
        <v>162</v>
      </c>
      <c r="D1136" s="3" t="s">
        <v>138</v>
      </c>
      <c r="E1136" s="3">
        <v>20</v>
      </c>
      <c r="G1136" s="19"/>
    </row>
    <row r="1137" spans="1:7" ht="12.75" x14ac:dyDescent="0.2">
      <c r="A1137" s="3">
        <v>63</v>
      </c>
      <c r="B1137" s="4" t="s">
        <v>88</v>
      </c>
      <c r="C1137" s="3" t="s">
        <v>162</v>
      </c>
      <c r="D1137" s="3" t="s">
        <v>148</v>
      </c>
      <c r="E1137" s="3">
        <v>17</v>
      </c>
      <c r="G1137" s="19"/>
    </row>
    <row r="1138" spans="1:7" ht="12.75" x14ac:dyDescent="0.2">
      <c r="A1138" s="3">
        <v>63</v>
      </c>
      <c r="B1138" s="4" t="s">
        <v>88</v>
      </c>
      <c r="C1138" s="3" t="s">
        <v>162</v>
      </c>
      <c r="D1138" s="3" t="s">
        <v>149</v>
      </c>
      <c r="E1138" s="3">
        <v>12</v>
      </c>
      <c r="G1138" s="19"/>
    </row>
    <row r="1139" spans="1:7" ht="12.75" x14ac:dyDescent="0.2">
      <c r="A1139" s="3">
        <v>63</v>
      </c>
      <c r="B1139" s="4" t="s">
        <v>88</v>
      </c>
      <c r="C1139" s="3" t="s">
        <v>162</v>
      </c>
      <c r="D1139" s="3" t="s">
        <v>145</v>
      </c>
      <c r="E1139" s="3">
        <v>11</v>
      </c>
      <c r="G1139" s="19"/>
    </row>
    <row r="1140" spans="1:7" ht="12.75" x14ac:dyDescent="0.2">
      <c r="A1140" s="3">
        <v>63</v>
      </c>
      <c r="B1140" s="4" t="s">
        <v>88</v>
      </c>
      <c r="C1140" s="3" t="s">
        <v>162</v>
      </c>
      <c r="D1140" s="3" t="s">
        <v>135</v>
      </c>
      <c r="E1140" s="3">
        <v>2</v>
      </c>
      <c r="F1140">
        <f>SUM(E1131:E1140)</f>
        <v>2104</v>
      </c>
      <c r="G1140" s="19"/>
    </row>
    <row r="1141" spans="1:7" ht="12.75" x14ac:dyDescent="0.2">
      <c r="A1141" s="3">
        <v>64</v>
      </c>
      <c r="B1141" s="4" t="s">
        <v>89</v>
      </c>
      <c r="C1141" s="3" t="s">
        <v>2</v>
      </c>
      <c r="D1141" s="3" t="s">
        <v>136</v>
      </c>
      <c r="E1141" s="3">
        <v>397</v>
      </c>
      <c r="G1141" s="19"/>
    </row>
    <row r="1142" spans="1:7" ht="12.75" x14ac:dyDescent="0.2">
      <c r="A1142" s="3">
        <v>64</v>
      </c>
      <c r="B1142" s="4" t="s">
        <v>89</v>
      </c>
      <c r="C1142" s="3" t="s">
        <v>2</v>
      </c>
      <c r="D1142" s="3" t="s">
        <v>128</v>
      </c>
      <c r="E1142" s="3">
        <v>176</v>
      </c>
      <c r="G1142" s="19"/>
    </row>
    <row r="1143" spans="1:7" ht="12.75" x14ac:dyDescent="0.2">
      <c r="A1143" s="3">
        <v>64</v>
      </c>
      <c r="B1143" s="4" t="s">
        <v>89</v>
      </c>
      <c r="C1143" s="3" t="s">
        <v>2</v>
      </c>
      <c r="D1143" s="3" t="s">
        <v>14</v>
      </c>
      <c r="E1143" s="3">
        <v>5</v>
      </c>
      <c r="G1143" s="19"/>
    </row>
    <row r="1144" spans="1:7" ht="12.75" x14ac:dyDescent="0.2">
      <c r="A1144" s="3">
        <v>64</v>
      </c>
      <c r="B1144" s="4" t="s">
        <v>89</v>
      </c>
      <c r="C1144" s="3" t="s">
        <v>2</v>
      </c>
      <c r="D1144" s="3" t="s">
        <v>138</v>
      </c>
      <c r="E1144" s="3">
        <v>1</v>
      </c>
      <c r="F1144">
        <f>SUM(E1141:E1144)</f>
        <v>579</v>
      </c>
      <c r="G1144" s="19"/>
    </row>
    <row r="1145" spans="1:7" ht="12.75" x14ac:dyDescent="0.2">
      <c r="A1145" s="3">
        <v>64</v>
      </c>
      <c r="B1145" s="4" t="s">
        <v>89</v>
      </c>
      <c r="C1145" s="3" t="s">
        <v>161</v>
      </c>
      <c r="D1145" s="3" t="s">
        <v>136</v>
      </c>
      <c r="E1145" s="3">
        <v>381</v>
      </c>
      <c r="G1145" s="19"/>
    </row>
    <row r="1146" spans="1:7" ht="12.75" x14ac:dyDescent="0.2">
      <c r="A1146" s="3">
        <v>64</v>
      </c>
      <c r="B1146" s="4" t="s">
        <v>89</v>
      </c>
      <c r="C1146" s="3" t="s">
        <v>161</v>
      </c>
      <c r="D1146" s="3" t="s">
        <v>128</v>
      </c>
      <c r="E1146" s="3">
        <v>155</v>
      </c>
      <c r="G1146" s="19"/>
    </row>
    <row r="1147" spans="1:7" ht="12.75" x14ac:dyDescent="0.2">
      <c r="A1147" s="3">
        <v>64</v>
      </c>
      <c r="B1147" s="4" t="s">
        <v>89</v>
      </c>
      <c r="C1147" s="3" t="s">
        <v>161</v>
      </c>
      <c r="D1147" s="3" t="s">
        <v>14</v>
      </c>
      <c r="E1147" s="3">
        <v>21</v>
      </c>
      <c r="G1147" s="19"/>
    </row>
    <row r="1148" spans="1:7" ht="12.75" x14ac:dyDescent="0.2">
      <c r="A1148" s="3">
        <v>64</v>
      </c>
      <c r="B1148" s="4" t="s">
        <v>89</v>
      </c>
      <c r="C1148" s="3" t="s">
        <v>161</v>
      </c>
      <c r="D1148" s="3" t="s">
        <v>135</v>
      </c>
      <c r="E1148" s="3">
        <v>7</v>
      </c>
      <c r="G1148" s="19"/>
    </row>
    <row r="1149" spans="1:7" ht="12.75" x14ac:dyDescent="0.2">
      <c r="A1149" s="3">
        <v>64</v>
      </c>
      <c r="B1149" s="4" t="s">
        <v>89</v>
      </c>
      <c r="C1149" s="3" t="s">
        <v>161</v>
      </c>
      <c r="D1149" s="3" t="s">
        <v>133</v>
      </c>
      <c r="E1149" s="3">
        <v>6</v>
      </c>
      <c r="G1149" s="19"/>
    </row>
    <row r="1150" spans="1:7" ht="12.75" x14ac:dyDescent="0.2">
      <c r="A1150" s="3">
        <v>64</v>
      </c>
      <c r="B1150" s="4" t="s">
        <v>89</v>
      </c>
      <c r="C1150" s="3" t="s">
        <v>161</v>
      </c>
      <c r="D1150" s="3" t="s">
        <v>148</v>
      </c>
      <c r="E1150" s="3">
        <v>3</v>
      </c>
      <c r="G1150" s="19"/>
    </row>
    <row r="1151" spans="1:7" ht="12.75" x14ac:dyDescent="0.2">
      <c r="A1151" s="3">
        <v>64</v>
      </c>
      <c r="B1151" s="4" t="s">
        <v>89</v>
      </c>
      <c r="C1151" s="3" t="s">
        <v>161</v>
      </c>
      <c r="D1151" s="3" t="s">
        <v>138</v>
      </c>
      <c r="E1151" s="3">
        <v>3</v>
      </c>
      <c r="G1151" s="19"/>
    </row>
    <row r="1152" spans="1:7" ht="12.75" x14ac:dyDescent="0.2">
      <c r="A1152" s="3">
        <v>64</v>
      </c>
      <c r="B1152" s="4" t="s">
        <v>89</v>
      </c>
      <c r="C1152" s="3" t="s">
        <v>161</v>
      </c>
      <c r="D1152" s="3" t="s">
        <v>139</v>
      </c>
      <c r="E1152" s="3">
        <v>2</v>
      </c>
      <c r="G1152" s="19"/>
    </row>
    <row r="1153" spans="1:7" ht="12.75" x14ac:dyDescent="0.2">
      <c r="A1153" s="3">
        <v>64</v>
      </c>
      <c r="B1153" s="4" t="s">
        <v>89</v>
      </c>
      <c r="C1153" s="3" t="s">
        <v>161</v>
      </c>
      <c r="D1153" s="3" t="s">
        <v>145</v>
      </c>
      <c r="E1153" s="3">
        <v>1</v>
      </c>
      <c r="F1153">
        <f>SUM(E1145:E1153)</f>
        <v>579</v>
      </c>
      <c r="G1153" s="19"/>
    </row>
    <row r="1154" spans="1:7" ht="12.75" x14ac:dyDescent="0.2">
      <c r="A1154" s="3">
        <v>64</v>
      </c>
      <c r="B1154" s="4" t="s">
        <v>89</v>
      </c>
      <c r="C1154" s="3" t="s">
        <v>162</v>
      </c>
      <c r="D1154" s="3" t="s">
        <v>136</v>
      </c>
      <c r="E1154" s="3">
        <v>382</v>
      </c>
      <c r="G1154" s="19"/>
    </row>
    <row r="1155" spans="1:7" ht="12.75" x14ac:dyDescent="0.2">
      <c r="A1155" s="3">
        <v>64</v>
      </c>
      <c r="B1155" s="4" t="s">
        <v>89</v>
      </c>
      <c r="C1155" s="3" t="s">
        <v>162</v>
      </c>
      <c r="D1155" s="3" t="s">
        <v>128</v>
      </c>
      <c r="E1155" s="3">
        <v>165</v>
      </c>
      <c r="G1155" s="19"/>
    </row>
    <row r="1156" spans="1:7" ht="12.75" x14ac:dyDescent="0.2">
      <c r="A1156" s="3">
        <v>64</v>
      </c>
      <c r="B1156" s="4" t="s">
        <v>89</v>
      </c>
      <c r="C1156" s="3" t="s">
        <v>162</v>
      </c>
      <c r="D1156" s="3" t="s">
        <v>14</v>
      </c>
      <c r="E1156" s="3">
        <v>14</v>
      </c>
      <c r="G1156" s="19"/>
    </row>
    <row r="1157" spans="1:7" ht="12.75" x14ac:dyDescent="0.2">
      <c r="A1157" s="3">
        <v>64</v>
      </c>
      <c r="B1157" s="4" t="s">
        <v>89</v>
      </c>
      <c r="C1157" s="3" t="s">
        <v>162</v>
      </c>
      <c r="D1157" s="3" t="s">
        <v>133</v>
      </c>
      <c r="E1157" s="3">
        <v>9</v>
      </c>
      <c r="G1157" s="19"/>
    </row>
    <row r="1158" spans="1:7" ht="12.75" x14ac:dyDescent="0.2">
      <c r="A1158" s="3">
        <v>64</v>
      </c>
      <c r="B1158" s="4" t="s">
        <v>89</v>
      </c>
      <c r="C1158" s="3" t="s">
        <v>162</v>
      </c>
      <c r="D1158" s="3" t="s">
        <v>148</v>
      </c>
      <c r="E1158" s="3">
        <v>3</v>
      </c>
      <c r="G1158" s="19"/>
    </row>
    <row r="1159" spans="1:7" ht="12.75" x14ac:dyDescent="0.2">
      <c r="A1159" s="3">
        <v>64</v>
      </c>
      <c r="B1159" s="4" t="s">
        <v>89</v>
      </c>
      <c r="C1159" s="3" t="s">
        <v>162</v>
      </c>
      <c r="D1159" s="3" t="s">
        <v>139</v>
      </c>
      <c r="E1159" s="3">
        <v>2</v>
      </c>
      <c r="G1159" s="19"/>
    </row>
    <row r="1160" spans="1:7" ht="12.75" x14ac:dyDescent="0.2">
      <c r="A1160" s="3">
        <v>64</v>
      </c>
      <c r="B1160" s="4" t="s">
        <v>89</v>
      </c>
      <c r="C1160" s="3" t="s">
        <v>162</v>
      </c>
      <c r="D1160" s="3" t="s">
        <v>138</v>
      </c>
      <c r="E1160" s="3">
        <v>2</v>
      </c>
      <c r="G1160" s="19"/>
    </row>
    <row r="1161" spans="1:7" ht="12.75" x14ac:dyDescent="0.2">
      <c r="A1161" s="3">
        <v>64</v>
      </c>
      <c r="B1161" s="4" t="s">
        <v>89</v>
      </c>
      <c r="C1161" s="3" t="s">
        <v>162</v>
      </c>
      <c r="D1161" s="3" t="s">
        <v>135</v>
      </c>
      <c r="E1161" s="3">
        <v>1</v>
      </c>
      <c r="G1161" s="19"/>
    </row>
    <row r="1162" spans="1:7" ht="12.75" x14ac:dyDescent="0.2">
      <c r="A1162" s="3">
        <v>64</v>
      </c>
      <c r="B1162" s="4" t="s">
        <v>89</v>
      </c>
      <c r="C1162" s="3" t="s">
        <v>162</v>
      </c>
      <c r="D1162" s="3" t="s">
        <v>145</v>
      </c>
      <c r="E1162" s="3">
        <v>1</v>
      </c>
      <c r="F1162">
        <f>SUM(E1154:E1162)</f>
        <v>579</v>
      </c>
      <c r="G1162" s="19"/>
    </row>
    <row r="1163" spans="1:7" ht="12.75" x14ac:dyDescent="0.2">
      <c r="A1163" s="3">
        <v>65</v>
      </c>
      <c r="B1163" s="4" t="s">
        <v>90</v>
      </c>
      <c r="C1163" s="3" t="s">
        <v>2</v>
      </c>
      <c r="D1163" s="3" t="s">
        <v>3</v>
      </c>
      <c r="E1163" s="3">
        <v>1377</v>
      </c>
      <c r="G1163" s="19"/>
    </row>
    <row r="1164" spans="1:7" ht="12.75" x14ac:dyDescent="0.2">
      <c r="A1164" s="3">
        <v>65</v>
      </c>
      <c r="B1164" s="4" t="s">
        <v>90</v>
      </c>
      <c r="C1164" s="3" t="s">
        <v>2</v>
      </c>
      <c r="D1164" s="3" t="s">
        <v>128</v>
      </c>
      <c r="E1164" s="3">
        <v>1154</v>
      </c>
      <c r="G1164" s="19"/>
    </row>
    <row r="1165" spans="1:7" ht="12.75" x14ac:dyDescent="0.2">
      <c r="A1165" s="3">
        <v>65</v>
      </c>
      <c r="B1165" s="4" t="s">
        <v>90</v>
      </c>
      <c r="C1165" s="3" t="s">
        <v>2</v>
      </c>
      <c r="D1165" s="3" t="s">
        <v>14</v>
      </c>
      <c r="E1165" s="3">
        <v>88</v>
      </c>
      <c r="F1165">
        <f>SUM(E1163:E1167)</f>
        <v>2717</v>
      </c>
      <c r="G1165" s="19"/>
    </row>
    <row r="1166" spans="1:7" ht="12.75" x14ac:dyDescent="0.2">
      <c r="A1166" s="3">
        <v>65</v>
      </c>
      <c r="B1166" s="4" t="s">
        <v>90</v>
      </c>
      <c r="C1166" s="3" t="s">
        <v>2</v>
      </c>
      <c r="D1166" s="3" t="s">
        <v>139</v>
      </c>
      <c r="E1166" s="3">
        <v>78</v>
      </c>
      <c r="G1166" s="19"/>
    </row>
    <row r="1167" spans="1:7" ht="12.75" x14ac:dyDescent="0.2">
      <c r="A1167" s="3">
        <v>65</v>
      </c>
      <c r="B1167" s="4" t="s">
        <v>90</v>
      </c>
      <c r="C1167" s="3" t="s">
        <v>2</v>
      </c>
      <c r="D1167" s="3" t="s">
        <v>138</v>
      </c>
      <c r="E1167" s="3">
        <v>20</v>
      </c>
      <c r="G1167" s="19"/>
    </row>
    <row r="1168" spans="1:7" ht="12.75" x14ac:dyDescent="0.2">
      <c r="A1168" s="3">
        <v>65</v>
      </c>
      <c r="B1168" s="4" t="s">
        <v>90</v>
      </c>
      <c r="C1168" s="3" t="s">
        <v>162</v>
      </c>
      <c r="D1168" s="3" t="s">
        <v>3</v>
      </c>
      <c r="E1168" s="3">
        <v>1289</v>
      </c>
      <c r="G1168" s="19"/>
    </row>
    <row r="1169" spans="1:7" ht="12.75" x14ac:dyDescent="0.2">
      <c r="A1169" s="3">
        <v>65</v>
      </c>
      <c r="B1169" s="4" t="s">
        <v>90</v>
      </c>
      <c r="C1169" s="3" t="s">
        <v>162</v>
      </c>
      <c r="D1169" s="3" t="s">
        <v>128</v>
      </c>
      <c r="E1169" s="3">
        <v>1088</v>
      </c>
      <c r="G1169" s="19"/>
    </row>
    <row r="1170" spans="1:7" ht="12.75" x14ac:dyDescent="0.2">
      <c r="A1170" s="3">
        <v>65</v>
      </c>
      <c r="B1170" s="4" t="s">
        <v>90</v>
      </c>
      <c r="C1170" s="3" t="s">
        <v>162</v>
      </c>
      <c r="D1170" s="3" t="s">
        <v>14</v>
      </c>
      <c r="E1170" s="3">
        <v>89</v>
      </c>
      <c r="G1170" s="19"/>
    </row>
    <row r="1171" spans="1:7" ht="12.75" x14ac:dyDescent="0.2">
      <c r="A1171" s="3">
        <v>65</v>
      </c>
      <c r="B1171" s="4" t="s">
        <v>90</v>
      </c>
      <c r="C1171" s="3" t="s">
        <v>162</v>
      </c>
      <c r="D1171" s="3" t="s">
        <v>133</v>
      </c>
      <c r="E1171" s="3">
        <v>76</v>
      </c>
      <c r="G1171" s="19"/>
    </row>
    <row r="1172" spans="1:7" ht="12.75" x14ac:dyDescent="0.2">
      <c r="A1172" s="3">
        <v>65</v>
      </c>
      <c r="B1172" s="4" t="s">
        <v>90</v>
      </c>
      <c r="C1172" s="3" t="s">
        <v>162</v>
      </c>
      <c r="D1172" s="3" t="s">
        <v>139</v>
      </c>
      <c r="E1172" s="3">
        <v>69</v>
      </c>
      <c r="G1172" s="19"/>
    </row>
    <row r="1173" spans="1:7" ht="12.75" x14ac:dyDescent="0.2">
      <c r="A1173" s="3">
        <v>65</v>
      </c>
      <c r="B1173" s="4" t="s">
        <v>90</v>
      </c>
      <c r="C1173" s="3" t="s">
        <v>162</v>
      </c>
      <c r="D1173" s="3" t="s">
        <v>138</v>
      </c>
      <c r="E1173" s="3">
        <v>41</v>
      </c>
      <c r="F1173">
        <f>SUM(E1168:E1177)</f>
        <v>2717</v>
      </c>
      <c r="G1173" s="19"/>
    </row>
    <row r="1174" spans="1:7" ht="12.75" x14ac:dyDescent="0.2">
      <c r="A1174" s="3">
        <v>65</v>
      </c>
      <c r="B1174" s="4" t="s">
        <v>90</v>
      </c>
      <c r="C1174" s="3" t="s">
        <v>162</v>
      </c>
      <c r="D1174" s="3" t="s">
        <v>149</v>
      </c>
      <c r="E1174" s="3">
        <v>35</v>
      </c>
      <c r="G1174" s="19"/>
    </row>
    <row r="1175" spans="1:7" ht="12.75" x14ac:dyDescent="0.2">
      <c r="A1175" s="3">
        <v>65</v>
      </c>
      <c r="B1175" s="4" t="s">
        <v>90</v>
      </c>
      <c r="C1175" s="3" t="s">
        <v>162</v>
      </c>
      <c r="D1175" s="3" t="s">
        <v>148</v>
      </c>
      <c r="E1175" s="3">
        <v>10</v>
      </c>
      <c r="G1175" s="19"/>
    </row>
    <row r="1176" spans="1:7" ht="12.75" x14ac:dyDescent="0.2">
      <c r="A1176" s="3">
        <v>65</v>
      </c>
      <c r="B1176" s="4" t="s">
        <v>90</v>
      </c>
      <c r="C1176" s="3" t="s">
        <v>162</v>
      </c>
      <c r="D1176" s="3" t="s">
        <v>145</v>
      </c>
      <c r="E1176" s="3">
        <v>10</v>
      </c>
      <c r="G1176" s="19"/>
    </row>
    <row r="1177" spans="1:7" ht="12.75" x14ac:dyDescent="0.2">
      <c r="A1177" s="3">
        <v>65</v>
      </c>
      <c r="B1177" s="4" t="s">
        <v>90</v>
      </c>
      <c r="C1177" s="3" t="s">
        <v>162</v>
      </c>
      <c r="D1177" s="3" t="s">
        <v>135</v>
      </c>
      <c r="E1177" s="3">
        <v>10</v>
      </c>
      <c r="G1177" s="19"/>
    </row>
    <row r="1178" spans="1:7" ht="12.75" x14ac:dyDescent="0.2">
      <c r="A1178" s="3">
        <v>65</v>
      </c>
      <c r="B1178" s="4" t="s">
        <v>90</v>
      </c>
      <c r="C1178" s="3" t="s">
        <v>161</v>
      </c>
      <c r="D1178" s="3" t="s">
        <v>3</v>
      </c>
      <c r="E1178" s="3">
        <v>1268</v>
      </c>
      <c r="G1178" s="19"/>
    </row>
    <row r="1179" spans="1:7" ht="12.75" x14ac:dyDescent="0.2">
      <c r="A1179" s="3">
        <v>65</v>
      </c>
      <c r="B1179" s="4" t="s">
        <v>90</v>
      </c>
      <c r="C1179" s="3" t="s">
        <v>161</v>
      </c>
      <c r="D1179" s="3" t="s">
        <v>128</v>
      </c>
      <c r="E1179" s="3">
        <v>1123</v>
      </c>
      <c r="G1179" s="19"/>
    </row>
    <row r="1180" spans="1:7" ht="12.75" x14ac:dyDescent="0.2">
      <c r="A1180" s="3">
        <v>65</v>
      </c>
      <c r="B1180" s="4" t="s">
        <v>90</v>
      </c>
      <c r="C1180" s="3" t="s">
        <v>161</v>
      </c>
      <c r="D1180" s="3" t="s">
        <v>14</v>
      </c>
      <c r="E1180" s="3">
        <v>113</v>
      </c>
      <c r="G1180" s="19"/>
    </row>
    <row r="1181" spans="1:7" ht="12.75" x14ac:dyDescent="0.2">
      <c r="A1181" s="3">
        <v>65</v>
      </c>
      <c r="B1181" s="4" t="s">
        <v>90</v>
      </c>
      <c r="C1181" s="3" t="s">
        <v>161</v>
      </c>
      <c r="D1181" s="3" t="s">
        <v>139</v>
      </c>
      <c r="E1181" s="3">
        <v>62</v>
      </c>
      <c r="G1181" s="19"/>
    </row>
    <row r="1182" spans="1:7" ht="12.75" x14ac:dyDescent="0.2">
      <c r="A1182" s="3">
        <v>65</v>
      </c>
      <c r="B1182" s="4" t="s">
        <v>90</v>
      </c>
      <c r="C1182" s="3" t="s">
        <v>161</v>
      </c>
      <c r="D1182" s="3" t="s">
        <v>133</v>
      </c>
      <c r="E1182" s="3">
        <v>47</v>
      </c>
      <c r="G1182" s="19"/>
    </row>
    <row r="1183" spans="1:7" ht="12.75" x14ac:dyDescent="0.2">
      <c r="A1183" s="3">
        <v>65</v>
      </c>
      <c r="B1183" s="4" t="s">
        <v>90</v>
      </c>
      <c r="C1183" s="3" t="s">
        <v>161</v>
      </c>
      <c r="D1183" s="3" t="s">
        <v>138</v>
      </c>
      <c r="E1183" s="3">
        <v>45</v>
      </c>
      <c r="F1183">
        <f>SUM(E1178:E1187)</f>
        <v>2717</v>
      </c>
      <c r="G1183" s="19"/>
    </row>
    <row r="1184" spans="1:7" ht="12.75" x14ac:dyDescent="0.2">
      <c r="A1184" s="3">
        <v>65</v>
      </c>
      <c r="B1184" s="4" t="s">
        <v>90</v>
      </c>
      <c r="C1184" s="3" t="s">
        <v>161</v>
      </c>
      <c r="D1184" s="3" t="s">
        <v>149</v>
      </c>
      <c r="E1184" s="3">
        <v>29</v>
      </c>
      <c r="G1184" s="19"/>
    </row>
    <row r="1185" spans="1:7" ht="12.75" x14ac:dyDescent="0.2">
      <c r="A1185" s="3">
        <v>65</v>
      </c>
      <c r="B1185" s="4" t="s">
        <v>90</v>
      </c>
      <c r="C1185" s="3" t="s">
        <v>161</v>
      </c>
      <c r="D1185" s="3" t="s">
        <v>148</v>
      </c>
      <c r="E1185" s="3">
        <v>10</v>
      </c>
      <c r="G1185" s="19"/>
    </row>
    <row r="1186" spans="1:7" ht="12.75" x14ac:dyDescent="0.2">
      <c r="A1186" s="3">
        <v>65</v>
      </c>
      <c r="B1186" s="4" t="s">
        <v>90</v>
      </c>
      <c r="C1186" s="3" t="s">
        <v>161</v>
      </c>
      <c r="D1186" s="3" t="s">
        <v>145</v>
      </c>
      <c r="E1186" s="3">
        <v>10</v>
      </c>
      <c r="G1186" s="19"/>
    </row>
    <row r="1187" spans="1:7" ht="12.75" x14ac:dyDescent="0.2">
      <c r="A1187" s="3">
        <v>65</v>
      </c>
      <c r="B1187" s="4" t="s">
        <v>90</v>
      </c>
      <c r="C1187" s="3" t="s">
        <v>161</v>
      </c>
      <c r="D1187" s="3" t="s">
        <v>135</v>
      </c>
      <c r="E1187" s="3">
        <v>10</v>
      </c>
      <c r="G1187" s="19"/>
    </row>
    <row r="1188" spans="1:7" ht="12.75" x14ac:dyDescent="0.2">
      <c r="A1188" s="3">
        <v>66</v>
      </c>
      <c r="B1188" s="4" t="s">
        <v>91</v>
      </c>
      <c r="C1188" s="3" t="s">
        <v>15</v>
      </c>
      <c r="D1188" s="3" t="s">
        <v>128</v>
      </c>
      <c r="E1188" s="3">
        <v>89</v>
      </c>
      <c r="G1188" s="19"/>
    </row>
    <row r="1189" spans="1:7" ht="12.75" x14ac:dyDescent="0.2">
      <c r="A1189" s="3">
        <v>66</v>
      </c>
      <c r="B1189" s="4" t="s">
        <v>91</v>
      </c>
      <c r="C1189" s="3" t="s">
        <v>15</v>
      </c>
      <c r="D1189" s="3" t="s">
        <v>136</v>
      </c>
      <c r="E1189" s="3">
        <v>39</v>
      </c>
      <c r="G1189" s="19"/>
    </row>
    <row r="1190" spans="1:7" ht="12.75" x14ac:dyDescent="0.2">
      <c r="A1190" s="3">
        <v>66</v>
      </c>
      <c r="B1190" s="4" t="s">
        <v>91</v>
      </c>
      <c r="C1190" s="3" t="s">
        <v>15</v>
      </c>
      <c r="D1190" s="3" t="s">
        <v>14</v>
      </c>
      <c r="E1190" s="3">
        <v>4</v>
      </c>
      <c r="F1190">
        <f>SUM(E1188:E1190)</f>
        <v>132</v>
      </c>
      <c r="G1190" s="19"/>
    </row>
    <row r="1191" spans="1:7" ht="12.75" x14ac:dyDescent="0.2">
      <c r="A1191" s="3">
        <v>66</v>
      </c>
      <c r="B1191" s="4" t="s">
        <v>91</v>
      </c>
      <c r="C1191" s="3" t="s">
        <v>161</v>
      </c>
      <c r="D1191" s="3" t="s">
        <v>128</v>
      </c>
      <c r="E1191" s="3">
        <v>67</v>
      </c>
      <c r="G1191" s="19"/>
    </row>
    <row r="1192" spans="1:7" ht="12.75" x14ac:dyDescent="0.2">
      <c r="A1192" s="3">
        <v>66</v>
      </c>
      <c r="B1192" s="4" t="s">
        <v>91</v>
      </c>
      <c r="C1192" s="3" t="s">
        <v>161</v>
      </c>
      <c r="D1192" s="3" t="s">
        <v>136</v>
      </c>
      <c r="E1192" s="3">
        <v>57</v>
      </c>
      <c r="G1192" s="19"/>
    </row>
    <row r="1193" spans="1:7" ht="12.75" x14ac:dyDescent="0.2">
      <c r="A1193" s="3">
        <v>66</v>
      </c>
      <c r="B1193" s="4" t="s">
        <v>91</v>
      </c>
      <c r="C1193" s="3" t="s">
        <v>161</v>
      </c>
      <c r="D1193" s="3" t="s">
        <v>133</v>
      </c>
      <c r="E1193" s="3">
        <v>2</v>
      </c>
      <c r="G1193" s="19"/>
    </row>
    <row r="1194" spans="1:7" ht="12.75" x14ac:dyDescent="0.2">
      <c r="A1194" s="3">
        <v>66</v>
      </c>
      <c r="B1194" s="4" t="s">
        <v>91</v>
      </c>
      <c r="C1194" s="3" t="s">
        <v>161</v>
      </c>
      <c r="D1194" s="3" t="s">
        <v>14</v>
      </c>
      <c r="E1194" s="3">
        <v>2</v>
      </c>
      <c r="G1194" s="19"/>
    </row>
    <row r="1195" spans="1:7" ht="12.75" x14ac:dyDescent="0.2">
      <c r="A1195" s="3">
        <v>66</v>
      </c>
      <c r="B1195" s="4" t="s">
        <v>91</v>
      </c>
      <c r="C1195" s="3" t="s">
        <v>161</v>
      </c>
      <c r="D1195" s="3" t="s">
        <v>138</v>
      </c>
      <c r="E1195" s="3">
        <v>2</v>
      </c>
      <c r="G1195" s="19"/>
    </row>
    <row r="1196" spans="1:7" ht="12.75" x14ac:dyDescent="0.2">
      <c r="A1196" s="3">
        <v>66</v>
      </c>
      <c r="B1196" s="4" t="s">
        <v>91</v>
      </c>
      <c r="C1196" s="3" t="s">
        <v>161</v>
      </c>
      <c r="D1196" s="3" t="s">
        <v>145</v>
      </c>
      <c r="E1196" s="3">
        <v>1</v>
      </c>
      <c r="G1196" s="19"/>
    </row>
    <row r="1197" spans="1:7" ht="12.75" x14ac:dyDescent="0.2">
      <c r="A1197" s="3">
        <v>66</v>
      </c>
      <c r="B1197" s="4" t="s">
        <v>91</v>
      </c>
      <c r="C1197" s="3" t="s">
        <v>161</v>
      </c>
      <c r="D1197" s="3" t="s">
        <v>149</v>
      </c>
      <c r="E1197" s="3">
        <v>1</v>
      </c>
      <c r="F1197">
        <f>SUM(E1191:E1197)</f>
        <v>132</v>
      </c>
      <c r="G1197" s="19"/>
    </row>
    <row r="1198" spans="1:7" ht="12.75" x14ac:dyDescent="0.2">
      <c r="A1198" s="3">
        <v>66</v>
      </c>
      <c r="B1198" s="4" t="s">
        <v>91</v>
      </c>
      <c r="C1198" s="3" t="s">
        <v>162</v>
      </c>
      <c r="D1198" s="3" t="s">
        <v>128</v>
      </c>
      <c r="E1198" s="3">
        <v>67</v>
      </c>
      <c r="G1198" s="19"/>
    </row>
    <row r="1199" spans="1:7" ht="12.75" x14ac:dyDescent="0.2">
      <c r="A1199" s="3">
        <v>66</v>
      </c>
      <c r="B1199" s="4" t="s">
        <v>91</v>
      </c>
      <c r="C1199" s="3" t="s">
        <v>162</v>
      </c>
      <c r="D1199" s="3" t="s">
        <v>136</v>
      </c>
      <c r="E1199" s="3">
        <v>58</v>
      </c>
      <c r="G1199" s="19"/>
    </row>
    <row r="1200" spans="1:7" ht="12.75" x14ac:dyDescent="0.2">
      <c r="A1200" s="3">
        <v>66</v>
      </c>
      <c r="B1200" s="4" t="s">
        <v>91</v>
      </c>
      <c r="C1200" s="3" t="s">
        <v>162</v>
      </c>
      <c r="D1200" s="3" t="s">
        <v>133</v>
      </c>
      <c r="E1200" s="3">
        <v>2</v>
      </c>
      <c r="G1200" s="19"/>
    </row>
    <row r="1201" spans="1:7" ht="12.75" x14ac:dyDescent="0.2">
      <c r="A1201" s="3">
        <v>66</v>
      </c>
      <c r="B1201" s="4" t="s">
        <v>91</v>
      </c>
      <c r="C1201" s="3" t="s">
        <v>162</v>
      </c>
      <c r="D1201" s="3" t="s">
        <v>138</v>
      </c>
      <c r="E1201" s="3">
        <v>2</v>
      </c>
      <c r="G1201" s="19"/>
    </row>
    <row r="1202" spans="1:7" ht="12.75" x14ac:dyDescent="0.2">
      <c r="A1202" s="3">
        <v>66</v>
      </c>
      <c r="B1202" s="4" t="s">
        <v>91</v>
      </c>
      <c r="C1202" s="3" t="s">
        <v>162</v>
      </c>
      <c r="D1202" s="3" t="s">
        <v>149</v>
      </c>
      <c r="E1202" s="3">
        <v>1</v>
      </c>
      <c r="G1202" s="19"/>
    </row>
    <row r="1203" spans="1:7" ht="12.75" x14ac:dyDescent="0.2">
      <c r="A1203" s="3">
        <v>66</v>
      </c>
      <c r="B1203" s="4" t="s">
        <v>91</v>
      </c>
      <c r="C1203" s="3" t="s">
        <v>162</v>
      </c>
      <c r="D1203" s="3" t="s">
        <v>145</v>
      </c>
      <c r="E1203" s="3">
        <v>1</v>
      </c>
      <c r="G1203" s="19"/>
    </row>
    <row r="1204" spans="1:7" ht="12.75" x14ac:dyDescent="0.2">
      <c r="A1204" s="3">
        <v>66</v>
      </c>
      <c r="B1204" s="4" t="s">
        <v>91</v>
      </c>
      <c r="C1204" s="3" t="s">
        <v>162</v>
      </c>
      <c r="D1204" s="3" t="s">
        <v>14</v>
      </c>
      <c r="E1204" s="3">
        <v>1</v>
      </c>
      <c r="F1204">
        <f>SUM(E1198:E1204)</f>
        <v>132</v>
      </c>
      <c r="G1204" s="19"/>
    </row>
    <row r="1205" spans="1:7" ht="12.75" x14ac:dyDescent="0.2">
      <c r="A1205" s="3">
        <v>68</v>
      </c>
      <c r="B1205" s="4" t="s">
        <v>92</v>
      </c>
      <c r="C1205" s="3" t="s">
        <v>2</v>
      </c>
      <c r="D1205" s="3" t="s">
        <v>136</v>
      </c>
      <c r="E1205" s="3">
        <v>265</v>
      </c>
      <c r="G1205" s="19"/>
    </row>
    <row r="1206" spans="1:7" ht="12.75" x14ac:dyDescent="0.2">
      <c r="A1206" s="3">
        <v>68</v>
      </c>
      <c r="B1206" s="4" t="s">
        <v>92</v>
      </c>
      <c r="C1206" s="3" t="s">
        <v>2</v>
      </c>
      <c r="D1206" s="3" t="s">
        <v>128</v>
      </c>
      <c r="E1206" s="3">
        <v>220</v>
      </c>
      <c r="G1206" s="19"/>
    </row>
    <row r="1207" spans="1:7" ht="12.75" x14ac:dyDescent="0.2">
      <c r="A1207" s="3">
        <v>68</v>
      </c>
      <c r="B1207" s="4" t="s">
        <v>92</v>
      </c>
      <c r="C1207" s="3" t="s">
        <v>2</v>
      </c>
      <c r="D1207" s="3" t="s">
        <v>14</v>
      </c>
      <c r="E1207" s="3">
        <v>8</v>
      </c>
      <c r="F1207">
        <f>SUM(E1205:E1207)</f>
        <v>493</v>
      </c>
      <c r="G1207" s="19"/>
    </row>
    <row r="1208" spans="1:7" ht="12.75" x14ac:dyDescent="0.2">
      <c r="A1208" s="3">
        <v>68</v>
      </c>
      <c r="B1208" s="4" t="s">
        <v>92</v>
      </c>
      <c r="C1208" s="3" t="s">
        <v>161</v>
      </c>
      <c r="D1208" s="3" t="s">
        <v>136</v>
      </c>
      <c r="E1208" s="3">
        <v>213</v>
      </c>
      <c r="G1208" s="19"/>
    </row>
    <row r="1209" spans="1:7" ht="12.75" x14ac:dyDescent="0.2">
      <c r="A1209" s="3">
        <v>68</v>
      </c>
      <c r="B1209" s="4" t="s">
        <v>92</v>
      </c>
      <c r="C1209" s="3" t="s">
        <v>161</v>
      </c>
      <c r="D1209" s="3" t="s">
        <v>128</v>
      </c>
      <c r="E1209" s="3">
        <v>169</v>
      </c>
      <c r="G1209" s="19"/>
    </row>
    <row r="1210" spans="1:7" ht="12.75" x14ac:dyDescent="0.2">
      <c r="A1210" s="3">
        <v>68</v>
      </c>
      <c r="B1210" s="4" t="s">
        <v>92</v>
      </c>
      <c r="C1210" s="3" t="s">
        <v>161</v>
      </c>
      <c r="D1210" s="3" t="s">
        <v>135</v>
      </c>
      <c r="E1210" s="3">
        <v>42</v>
      </c>
      <c r="G1210" s="19"/>
    </row>
    <row r="1211" spans="1:7" ht="12.75" x14ac:dyDescent="0.2">
      <c r="A1211" s="3">
        <v>68</v>
      </c>
      <c r="B1211" s="4" t="s">
        <v>92</v>
      </c>
      <c r="C1211" s="3" t="s">
        <v>161</v>
      </c>
      <c r="D1211" s="3" t="s">
        <v>133</v>
      </c>
      <c r="E1211" s="3">
        <v>34</v>
      </c>
      <c r="G1211" s="19"/>
    </row>
    <row r="1212" spans="1:7" ht="12.75" x14ac:dyDescent="0.2">
      <c r="A1212" s="3">
        <v>68</v>
      </c>
      <c r="B1212" s="4" t="s">
        <v>92</v>
      </c>
      <c r="C1212" s="3" t="s">
        <v>161</v>
      </c>
      <c r="D1212" s="3" t="s">
        <v>14</v>
      </c>
      <c r="E1212" s="3">
        <v>28</v>
      </c>
      <c r="G1212" s="19"/>
    </row>
    <row r="1213" spans="1:7" ht="12.75" x14ac:dyDescent="0.2">
      <c r="A1213" s="3">
        <v>68</v>
      </c>
      <c r="B1213" s="4" t="s">
        <v>92</v>
      </c>
      <c r="C1213" s="3" t="s">
        <v>161</v>
      </c>
      <c r="D1213" s="3" t="s">
        <v>145</v>
      </c>
      <c r="E1213" s="3">
        <v>3</v>
      </c>
      <c r="G1213" s="19"/>
    </row>
    <row r="1214" spans="1:7" ht="12.75" x14ac:dyDescent="0.2">
      <c r="A1214" s="3">
        <v>68</v>
      </c>
      <c r="B1214" s="4" t="s">
        <v>92</v>
      </c>
      <c r="C1214" s="3" t="s">
        <v>161</v>
      </c>
      <c r="D1214" s="3" t="s">
        <v>138</v>
      </c>
      <c r="E1214" s="3">
        <v>3</v>
      </c>
      <c r="G1214" s="19"/>
    </row>
    <row r="1215" spans="1:7" ht="12.75" x14ac:dyDescent="0.2">
      <c r="A1215" s="3">
        <v>68</v>
      </c>
      <c r="B1215" s="4" t="s">
        <v>92</v>
      </c>
      <c r="C1215" s="3" t="s">
        <v>161</v>
      </c>
      <c r="D1215" s="3" t="s">
        <v>148</v>
      </c>
      <c r="E1215" s="3">
        <v>1</v>
      </c>
      <c r="F1215">
        <f>SUM(E1208:E1215)</f>
        <v>493</v>
      </c>
      <c r="G1215" s="19"/>
    </row>
    <row r="1216" spans="1:7" ht="12.75" x14ac:dyDescent="0.2">
      <c r="A1216" s="3">
        <v>68</v>
      </c>
      <c r="B1216" s="4" t="s">
        <v>92</v>
      </c>
      <c r="C1216" s="3" t="s">
        <v>162</v>
      </c>
      <c r="D1216" s="3" t="s">
        <v>136</v>
      </c>
      <c r="E1216" s="3">
        <v>252</v>
      </c>
      <c r="G1216" s="19"/>
    </row>
    <row r="1217" spans="1:7" ht="12.75" x14ac:dyDescent="0.2">
      <c r="A1217" s="3">
        <v>68</v>
      </c>
      <c r="B1217" s="4" t="s">
        <v>92</v>
      </c>
      <c r="C1217" s="3" t="s">
        <v>162</v>
      </c>
      <c r="D1217" s="3" t="s">
        <v>128</v>
      </c>
      <c r="E1217" s="3">
        <v>183</v>
      </c>
      <c r="G1217" s="19"/>
    </row>
    <row r="1218" spans="1:7" ht="12.75" x14ac:dyDescent="0.2">
      <c r="A1218" s="3">
        <v>68</v>
      </c>
      <c r="B1218" s="4" t="s">
        <v>92</v>
      </c>
      <c r="C1218" s="3" t="s">
        <v>162</v>
      </c>
      <c r="D1218" s="3" t="s">
        <v>133</v>
      </c>
      <c r="E1218" s="3">
        <v>33</v>
      </c>
      <c r="G1218" s="19"/>
    </row>
    <row r="1219" spans="1:7" ht="12.75" x14ac:dyDescent="0.2">
      <c r="A1219" s="3">
        <v>68</v>
      </c>
      <c r="B1219" s="4" t="s">
        <v>92</v>
      </c>
      <c r="C1219" s="3" t="s">
        <v>162</v>
      </c>
      <c r="D1219" s="3" t="s">
        <v>14</v>
      </c>
      <c r="E1219" s="3">
        <v>10</v>
      </c>
      <c r="G1219" s="19"/>
    </row>
    <row r="1220" spans="1:7" ht="12.75" x14ac:dyDescent="0.2">
      <c r="A1220" s="3">
        <v>68</v>
      </c>
      <c r="B1220" s="4" t="s">
        <v>92</v>
      </c>
      <c r="C1220" s="3" t="s">
        <v>162</v>
      </c>
      <c r="D1220" s="3" t="s">
        <v>135</v>
      </c>
      <c r="E1220" s="3">
        <v>8</v>
      </c>
      <c r="G1220" s="19"/>
    </row>
    <row r="1221" spans="1:7" ht="12.75" x14ac:dyDescent="0.2">
      <c r="A1221" s="3">
        <v>68</v>
      </c>
      <c r="B1221" s="4" t="s">
        <v>92</v>
      </c>
      <c r="C1221" s="3" t="s">
        <v>162</v>
      </c>
      <c r="D1221" s="3" t="s">
        <v>145</v>
      </c>
      <c r="E1221" s="3">
        <v>3</v>
      </c>
      <c r="G1221" s="19"/>
    </row>
    <row r="1222" spans="1:7" ht="12.75" x14ac:dyDescent="0.2">
      <c r="A1222" s="3">
        <v>68</v>
      </c>
      <c r="B1222" s="4" t="s">
        <v>92</v>
      </c>
      <c r="C1222" s="3" t="s">
        <v>162</v>
      </c>
      <c r="D1222" s="3" t="s">
        <v>148</v>
      </c>
      <c r="E1222" s="3">
        <v>2</v>
      </c>
      <c r="G1222" s="19"/>
    </row>
    <row r="1223" spans="1:7" ht="12.75" x14ac:dyDescent="0.2">
      <c r="A1223" s="3">
        <v>68</v>
      </c>
      <c r="B1223" s="4" t="s">
        <v>92</v>
      </c>
      <c r="C1223" s="3" t="s">
        <v>162</v>
      </c>
      <c r="D1223" s="3" t="s">
        <v>138</v>
      </c>
      <c r="E1223" s="3">
        <v>2</v>
      </c>
      <c r="F1223">
        <f>SUM(E1216:E1222)</f>
        <v>491</v>
      </c>
      <c r="G1223" s="19"/>
    </row>
    <row r="1224" spans="1:7" ht="12.75" x14ac:dyDescent="0.2">
      <c r="A1224" s="3">
        <v>69</v>
      </c>
      <c r="B1224" s="4" t="s">
        <v>93</v>
      </c>
      <c r="C1224" s="3" t="s">
        <v>2</v>
      </c>
      <c r="D1224" s="3" t="s">
        <v>136</v>
      </c>
      <c r="E1224" s="3">
        <v>979</v>
      </c>
      <c r="G1224" s="19"/>
    </row>
    <row r="1225" spans="1:7" ht="12.75" x14ac:dyDescent="0.2">
      <c r="A1225" s="3">
        <v>69</v>
      </c>
      <c r="B1225" s="4" t="s">
        <v>93</v>
      </c>
      <c r="C1225" s="3" t="s">
        <v>2</v>
      </c>
      <c r="D1225" s="3" t="s">
        <v>128</v>
      </c>
      <c r="E1225" s="3">
        <v>537</v>
      </c>
      <c r="G1225" s="19"/>
    </row>
    <row r="1226" spans="1:7" ht="12.75" x14ac:dyDescent="0.2">
      <c r="A1226" s="3">
        <v>69</v>
      </c>
      <c r="B1226" s="4" t="s">
        <v>93</v>
      </c>
      <c r="C1226" s="3" t="s">
        <v>2</v>
      </c>
      <c r="D1226" s="3" t="s">
        <v>14</v>
      </c>
      <c r="E1226" s="3">
        <v>86</v>
      </c>
      <c r="G1226" s="19"/>
    </row>
    <row r="1227" spans="1:7" ht="12.75" x14ac:dyDescent="0.2">
      <c r="A1227" s="3">
        <v>69</v>
      </c>
      <c r="B1227" s="4" t="s">
        <v>93</v>
      </c>
      <c r="C1227" s="3" t="s">
        <v>2</v>
      </c>
      <c r="D1227" s="3" t="s">
        <v>138</v>
      </c>
      <c r="E1227" s="3">
        <v>10</v>
      </c>
      <c r="F1227">
        <f>SUM(E1224:E1227)</f>
        <v>1612</v>
      </c>
      <c r="G1227" s="19"/>
    </row>
    <row r="1228" spans="1:7" ht="12.75" x14ac:dyDescent="0.2">
      <c r="A1228" s="3">
        <v>69</v>
      </c>
      <c r="B1228" s="4" t="s">
        <v>93</v>
      </c>
      <c r="C1228" s="3" t="s">
        <v>161</v>
      </c>
      <c r="D1228" s="3" t="s">
        <v>136</v>
      </c>
      <c r="E1228" s="3">
        <v>945</v>
      </c>
      <c r="G1228" s="19"/>
    </row>
    <row r="1229" spans="1:7" ht="12.75" x14ac:dyDescent="0.2">
      <c r="A1229" s="3">
        <v>69</v>
      </c>
      <c r="B1229" s="4" t="s">
        <v>93</v>
      </c>
      <c r="C1229" s="3" t="s">
        <v>161</v>
      </c>
      <c r="D1229" s="3" t="s">
        <v>128</v>
      </c>
      <c r="E1229" s="3">
        <v>516</v>
      </c>
      <c r="G1229" s="19"/>
    </row>
    <row r="1230" spans="1:7" ht="12.75" x14ac:dyDescent="0.2">
      <c r="A1230" s="3">
        <v>69</v>
      </c>
      <c r="B1230" s="4" t="s">
        <v>93</v>
      </c>
      <c r="C1230" s="3" t="s">
        <v>161</v>
      </c>
      <c r="D1230" s="3" t="s">
        <v>14</v>
      </c>
      <c r="E1230" s="3">
        <v>84</v>
      </c>
      <c r="G1230" s="19"/>
    </row>
    <row r="1231" spans="1:7" ht="12.75" x14ac:dyDescent="0.2">
      <c r="A1231" s="3">
        <v>69</v>
      </c>
      <c r="B1231" s="4" t="s">
        <v>93</v>
      </c>
      <c r="C1231" s="3" t="s">
        <v>161</v>
      </c>
      <c r="D1231" s="3" t="s">
        <v>133</v>
      </c>
      <c r="E1231" s="3">
        <v>19</v>
      </c>
      <c r="G1231" s="19"/>
    </row>
    <row r="1232" spans="1:7" ht="12.75" x14ac:dyDescent="0.2">
      <c r="A1232" s="3">
        <v>69</v>
      </c>
      <c r="B1232" s="4" t="s">
        <v>93</v>
      </c>
      <c r="C1232" s="3" t="s">
        <v>161</v>
      </c>
      <c r="D1232" s="3" t="s">
        <v>138</v>
      </c>
      <c r="E1232" s="3">
        <v>16</v>
      </c>
      <c r="G1232" s="19"/>
    </row>
    <row r="1233" spans="1:7" ht="12.75" x14ac:dyDescent="0.2">
      <c r="A1233" s="3">
        <v>69</v>
      </c>
      <c r="B1233" s="4" t="s">
        <v>93</v>
      </c>
      <c r="C1233" s="3" t="s">
        <v>161</v>
      </c>
      <c r="D1233" s="3" t="s">
        <v>149</v>
      </c>
      <c r="E1233" s="3">
        <v>12</v>
      </c>
      <c r="G1233" s="19"/>
    </row>
    <row r="1234" spans="1:7" ht="12.75" x14ac:dyDescent="0.2">
      <c r="A1234" s="3">
        <v>69</v>
      </c>
      <c r="B1234" s="4" t="s">
        <v>93</v>
      </c>
      <c r="C1234" s="3" t="s">
        <v>161</v>
      </c>
      <c r="D1234" s="3" t="s">
        <v>145</v>
      </c>
      <c r="E1234" s="3">
        <v>8</v>
      </c>
      <c r="G1234" s="19"/>
    </row>
    <row r="1235" spans="1:7" ht="12.75" x14ac:dyDescent="0.2">
      <c r="A1235" s="3">
        <v>69</v>
      </c>
      <c r="B1235" s="4" t="s">
        <v>93</v>
      </c>
      <c r="C1235" s="3" t="s">
        <v>161</v>
      </c>
      <c r="D1235" s="3" t="s">
        <v>148</v>
      </c>
      <c r="E1235" s="3">
        <v>5</v>
      </c>
      <c r="G1235" s="19"/>
    </row>
    <row r="1236" spans="1:7" ht="12.75" x14ac:dyDescent="0.2">
      <c r="A1236" s="3">
        <v>69</v>
      </c>
      <c r="B1236" s="4" t="s">
        <v>93</v>
      </c>
      <c r="C1236" s="3" t="s">
        <v>161</v>
      </c>
      <c r="D1236" s="3" t="s">
        <v>139</v>
      </c>
      <c r="E1236" s="3">
        <v>4</v>
      </c>
      <c r="G1236" s="19"/>
    </row>
    <row r="1237" spans="1:7" ht="12.75" x14ac:dyDescent="0.2">
      <c r="A1237" s="3">
        <v>69</v>
      </c>
      <c r="B1237" s="4" t="s">
        <v>93</v>
      </c>
      <c r="C1237" s="3" t="s">
        <v>161</v>
      </c>
      <c r="D1237" s="3" t="s">
        <v>135</v>
      </c>
      <c r="E1237" s="3">
        <v>3</v>
      </c>
      <c r="F1237">
        <f>SUM(E1228:E1237)</f>
        <v>1612</v>
      </c>
      <c r="G1237" s="19"/>
    </row>
    <row r="1238" spans="1:7" ht="12.75" x14ac:dyDescent="0.2">
      <c r="A1238" s="3">
        <v>69</v>
      </c>
      <c r="B1238" s="4" t="s">
        <v>93</v>
      </c>
      <c r="C1238" s="3" t="s">
        <v>162</v>
      </c>
      <c r="D1238" s="3" t="s">
        <v>136</v>
      </c>
      <c r="E1238" s="3">
        <v>954</v>
      </c>
      <c r="G1238" s="19"/>
    </row>
    <row r="1239" spans="1:7" ht="12.75" x14ac:dyDescent="0.2">
      <c r="A1239" s="3">
        <v>69</v>
      </c>
      <c r="B1239" s="4" t="s">
        <v>93</v>
      </c>
      <c r="C1239" s="3" t="s">
        <v>162</v>
      </c>
      <c r="D1239" s="3" t="s">
        <v>128</v>
      </c>
      <c r="E1239" s="3">
        <v>523</v>
      </c>
      <c r="G1239" s="19"/>
    </row>
    <row r="1240" spans="1:7" ht="12.75" x14ac:dyDescent="0.2">
      <c r="A1240" s="3">
        <v>69</v>
      </c>
      <c r="B1240" s="4" t="s">
        <v>93</v>
      </c>
      <c r="C1240" s="3" t="s">
        <v>162</v>
      </c>
      <c r="D1240" s="3" t="s">
        <v>14</v>
      </c>
      <c r="E1240" s="3">
        <v>68</v>
      </c>
      <c r="G1240" s="19"/>
    </row>
    <row r="1241" spans="1:7" ht="12.75" x14ac:dyDescent="0.2">
      <c r="A1241" s="3">
        <v>69</v>
      </c>
      <c r="B1241" s="4" t="s">
        <v>93</v>
      </c>
      <c r="C1241" s="3" t="s">
        <v>162</v>
      </c>
      <c r="D1241" s="3" t="s">
        <v>133</v>
      </c>
      <c r="E1241" s="3">
        <v>19</v>
      </c>
      <c r="G1241" s="19"/>
    </row>
    <row r="1242" spans="1:7" ht="12.75" x14ac:dyDescent="0.2">
      <c r="A1242" s="3">
        <v>69</v>
      </c>
      <c r="B1242" s="4" t="s">
        <v>93</v>
      </c>
      <c r="C1242" s="3" t="s">
        <v>162</v>
      </c>
      <c r="D1242" s="3" t="s">
        <v>138</v>
      </c>
      <c r="E1242" s="3">
        <v>16</v>
      </c>
      <c r="G1242" s="19"/>
    </row>
    <row r="1243" spans="1:7" ht="12.75" x14ac:dyDescent="0.2">
      <c r="A1243" s="3">
        <v>69</v>
      </c>
      <c r="B1243" s="4" t="s">
        <v>93</v>
      </c>
      <c r="C1243" s="3" t="s">
        <v>162</v>
      </c>
      <c r="D1243" s="3" t="s">
        <v>149</v>
      </c>
      <c r="E1243" s="3">
        <v>14</v>
      </c>
      <c r="G1243" s="19"/>
    </row>
    <row r="1244" spans="1:7" ht="12.75" x14ac:dyDescent="0.2">
      <c r="A1244" s="3">
        <v>69</v>
      </c>
      <c r="B1244" s="4" t="s">
        <v>93</v>
      </c>
      <c r="C1244" s="3" t="s">
        <v>162</v>
      </c>
      <c r="D1244" s="3" t="s">
        <v>145</v>
      </c>
      <c r="E1244" s="3">
        <v>8</v>
      </c>
      <c r="G1244" s="19"/>
    </row>
    <row r="1245" spans="1:7" ht="12.75" x14ac:dyDescent="0.2">
      <c r="A1245" s="3">
        <v>69</v>
      </c>
      <c r="B1245" s="4" t="s">
        <v>93</v>
      </c>
      <c r="C1245" s="3" t="s">
        <v>162</v>
      </c>
      <c r="D1245" s="3" t="s">
        <v>139</v>
      </c>
      <c r="E1245" s="3">
        <v>4</v>
      </c>
      <c r="G1245" s="19"/>
    </row>
    <row r="1246" spans="1:7" ht="12.75" x14ac:dyDescent="0.2">
      <c r="A1246" s="3">
        <v>69</v>
      </c>
      <c r="B1246" s="4" t="s">
        <v>93</v>
      </c>
      <c r="C1246" s="3" t="s">
        <v>162</v>
      </c>
      <c r="D1246" s="3" t="s">
        <v>135</v>
      </c>
      <c r="E1246" s="3">
        <v>3</v>
      </c>
      <c r="G1246" s="19"/>
    </row>
    <row r="1247" spans="1:7" ht="12.75" x14ac:dyDescent="0.2">
      <c r="A1247" s="3">
        <v>69</v>
      </c>
      <c r="B1247" s="4" t="s">
        <v>93</v>
      </c>
      <c r="C1247" s="3" t="s">
        <v>162</v>
      </c>
      <c r="D1247" s="3" t="s">
        <v>148</v>
      </c>
      <c r="E1247" s="3">
        <v>3</v>
      </c>
      <c r="F1247">
        <f>SUM(E1238:E1247)</f>
        <v>1612</v>
      </c>
      <c r="G1247" s="19"/>
    </row>
    <row r="1248" spans="1:7" ht="12.75" x14ac:dyDescent="0.2">
      <c r="A1248" s="3">
        <v>71</v>
      </c>
      <c r="B1248" s="4" t="s">
        <v>94</v>
      </c>
      <c r="C1248" s="3" t="s">
        <v>2</v>
      </c>
      <c r="D1248" s="3" t="s">
        <v>136</v>
      </c>
      <c r="E1248" s="3">
        <v>611</v>
      </c>
      <c r="G1248" s="19"/>
    </row>
    <row r="1249" spans="1:7" ht="12.75" x14ac:dyDescent="0.2">
      <c r="A1249" s="3">
        <v>71</v>
      </c>
      <c r="B1249" s="4" t="s">
        <v>94</v>
      </c>
      <c r="C1249" s="3" t="s">
        <v>2</v>
      </c>
      <c r="D1249" s="3" t="s">
        <v>128</v>
      </c>
      <c r="E1249" s="3">
        <v>375</v>
      </c>
      <c r="G1249" s="19"/>
    </row>
    <row r="1250" spans="1:7" ht="12.75" x14ac:dyDescent="0.2">
      <c r="A1250" s="3">
        <v>71</v>
      </c>
      <c r="B1250" s="4" t="s">
        <v>94</v>
      </c>
      <c r="C1250" s="3" t="s">
        <v>2</v>
      </c>
      <c r="D1250" s="3" t="s">
        <v>14</v>
      </c>
      <c r="E1250" s="3">
        <v>60</v>
      </c>
      <c r="F1250">
        <f>SUM(E1248:E1250)</f>
        <v>1046</v>
      </c>
      <c r="G1250" s="19"/>
    </row>
    <row r="1251" spans="1:7" ht="12.75" x14ac:dyDescent="0.2">
      <c r="A1251" s="3">
        <v>71</v>
      </c>
      <c r="B1251" s="4" t="s">
        <v>94</v>
      </c>
      <c r="C1251" s="3" t="s">
        <v>161</v>
      </c>
      <c r="D1251" s="3" t="s">
        <v>136</v>
      </c>
      <c r="E1251" s="3">
        <v>617</v>
      </c>
      <c r="G1251" s="19"/>
    </row>
    <row r="1252" spans="1:7" ht="12.75" x14ac:dyDescent="0.2">
      <c r="A1252" s="3">
        <v>71</v>
      </c>
      <c r="B1252" s="4" t="s">
        <v>94</v>
      </c>
      <c r="C1252" s="3" t="s">
        <v>161</v>
      </c>
      <c r="D1252" s="3" t="s">
        <v>128</v>
      </c>
      <c r="E1252" s="3">
        <v>325</v>
      </c>
      <c r="G1252" s="19"/>
    </row>
    <row r="1253" spans="1:7" ht="12.75" x14ac:dyDescent="0.2">
      <c r="A1253" s="3">
        <v>71</v>
      </c>
      <c r="B1253" s="4" t="s">
        <v>94</v>
      </c>
      <c r="C1253" s="3" t="s">
        <v>161</v>
      </c>
      <c r="D1253" s="3" t="s">
        <v>14</v>
      </c>
      <c r="E1253" s="3">
        <v>50</v>
      </c>
      <c r="G1253" s="19"/>
    </row>
    <row r="1254" spans="1:7" ht="12.75" x14ac:dyDescent="0.2">
      <c r="A1254" s="3">
        <v>71</v>
      </c>
      <c r="B1254" s="4" t="s">
        <v>94</v>
      </c>
      <c r="C1254" s="3" t="s">
        <v>161</v>
      </c>
      <c r="D1254" s="3" t="s">
        <v>149</v>
      </c>
      <c r="E1254" s="3">
        <v>31</v>
      </c>
      <c r="G1254" s="19"/>
    </row>
    <row r="1255" spans="1:7" ht="12.75" x14ac:dyDescent="0.2">
      <c r="A1255" s="3">
        <v>71</v>
      </c>
      <c r="B1255" s="4" t="s">
        <v>94</v>
      </c>
      <c r="C1255" s="3" t="s">
        <v>161</v>
      </c>
      <c r="D1255" s="3" t="s">
        <v>133</v>
      </c>
      <c r="E1255" s="3">
        <v>9</v>
      </c>
      <c r="G1255" s="19"/>
    </row>
    <row r="1256" spans="1:7" ht="12.75" x14ac:dyDescent="0.2">
      <c r="A1256" s="3">
        <v>71</v>
      </c>
      <c r="B1256" s="4" t="s">
        <v>94</v>
      </c>
      <c r="C1256" s="3" t="s">
        <v>161</v>
      </c>
      <c r="D1256" s="3" t="s">
        <v>139</v>
      </c>
      <c r="E1256" s="3">
        <v>4</v>
      </c>
      <c r="G1256" s="19"/>
    </row>
    <row r="1257" spans="1:7" ht="12.75" x14ac:dyDescent="0.2">
      <c r="A1257" s="3">
        <v>71</v>
      </c>
      <c r="B1257" s="4" t="s">
        <v>94</v>
      </c>
      <c r="C1257" s="3" t="s">
        <v>161</v>
      </c>
      <c r="D1257" s="3" t="s">
        <v>148</v>
      </c>
      <c r="E1257" s="3">
        <v>4</v>
      </c>
      <c r="G1257" s="19"/>
    </row>
    <row r="1258" spans="1:7" ht="12.75" x14ac:dyDescent="0.2">
      <c r="A1258" s="3">
        <v>71</v>
      </c>
      <c r="B1258" s="4" t="s">
        <v>94</v>
      </c>
      <c r="C1258" s="3" t="s">
        <v>161</v>
      </c>
      <c r="D1258" s="3" t="s">
        <v>138</v>
      </c>
      <c r="E1258" s="3">
        <v>3</v>
      </c>
      <c r="G1258" s="19"/>
    </row>
    <row r="1259" spans="1:7" ht="12.75" x14ac:dyDescent="0.2">
      <c r="A1259" s="3">
        <v>71</v>
      </c>
      <c r="B1259" s="4" t="s">
        <v>94</v>
      </c>
      <c r="C1259" s="3" t="s">
        <v>161</v>
      </c>
      <c r="D1259" s="3" t="s">
        <v>145</v>
      </c>
      <c r="E1259" s="3">
        <v>2</v>
      </c>
      <c r="G1259" s="19"/>
    </row>
    <row r="1260" spans="1:7" ht="12.75" x14ac:dyDescent="0.2">
      <c r="A1260" s="3">
        <v>71</v>
      </c>
      <c r="B1260" s="4" t="s">
        <v>94</v>
      </c>
      <c r="C1260" s="3" t="s">
        <v>161</v>
      </c>
      <c r="D1260" s="3" t="s">
        <v>135</v>
      </c>
      <c r="E1260" s="3">
        <v>1</v>
      </c>
      <c r="F1260">
        <f>SUM(E1251:E1260)</f>
        <v>1046</v>
      </c>
      <c r="G1260" s="19"/>
    </row>
    <row r="1261" spans="1:7" ht="12.75" x14ac:dyDescent="0.2">
      <c r="A1261" s="3">
        <v>71</v>
      </c>
      <c r="B1261" s="4" t="s">
        <v>94</v>
      </c>
      <c r="C1261" s="3" t="s">
        <v>162</v>
      </c>
      <c r="D1261" s="3" t="s">
        <v>136</v>
      </c>
      <c r="E1261" s="3">
        <v>633</v>
      </c>
      <c r="G1261" s="19"/>
    </row>
    <row r="1262" spans="1:7" ht="12.75" x14ac:dyDescent="0.2">
      <c r="A1262" s="3">
        <v>71</v>
      </c>
      <c r="B1262" s="4" t="s">
        <v>94</v>
      </c>
      <c r="C1262" s="3" t="s">
        <v>162</v>
      </c>
      <c r="D1262" s="3" t="s">
        <v>128</v>
      </c>
      <c r="E1262" s="3">
        <v>325</v>
      </c>
      <c r="G1262" s="19"/>
    </row>
    <row r="1263" spans="1:7" ht="12.75" x14ac:dyDescent="0.2">
      <c r="A1263" s="3">
        <v>71</v>
      </c>
      <c r="B1263" s="4" t="s">
        <v>94</v>
      </c>
      <c r="C1263" s="3" t="s">
        <v>162</v>
      </c>
      <c r="D1263" s="3" t="s">
        <v>14</v>
      </c>
      <c r="E1263" s="3">
        <v>35</v>
      </c>
      <c r="G1263" s="19"/>
    </row>
    <row r="1264" spans="1:7" ht="12.75" x14ac:dyDescent="0.2">
      <c r="A1264" s="3">
        <v>71</v>
      </c>
      <c r="B1264" s="4" t="s">
        <v>94</v>
      </c>
      <c r="C1264" s="3" t="s">
        <v>162</v>
      </c>
      <c r="D1264" s="3" t="s">
        <v>149</v>
      </c>
      <c r="E1264" s="3">
        <v>31</v>
      </c>
      <c r="G1264" s="19"/>
    </row>
    <row r="1265" spans="1:7" ht="12.75" x14ac:dyDescent="0.2">
      <c r="A1265" s="3">
        <v>71</v>
      </c>
      <c r="B1265" s="4" t="s">
        <v>94</v>
      </c>
      <c r="C1265" s="3" t="s">
        <v>162</v>
      </c>
      <c r="D1265" s="3" t="s">
        <v>133</v>
      </c>
      <c r="E1265" s="3">
        <v>8</v>
      </c>
      <c r="G1265" s="19"/>
    </row>
    <row r="1266" spans="1:7" ht="12.75" x14ac:dyDescent="0.2">
      <c r="A1266" s="3">
        <v>71</v>
      </c>
      <c r="B1266" s="4" t="s">
        <v>94</v>
      </c>
      <c r="C1266" s="3" t="s">
        <v>162</v>
      </c>
      <c r="D1266" s="3" t="s">
        <v>148</v>
      </c>
      <c r="E1266" s="3">
        <v>4</v>
      </c>
      <c r="G1266" s="19"/>
    </row>
    <row r="1267" spans="1:7" ht="12.75" x14ac:dyDescent="0.2">
      <c r="A1267" s="3">
        <v>71</v>
      </c>
      <c r="B1267" s="4" t="s">
        <v>94</v>
      </c>
      <c r="C1267" s="3" t="s">
        <v>162</v>
      </c>
      <c r="D1267" s="3" t="s">
        <v>139</v>
      </c>
      <c r="E1267" s="3">
        <v>4</v>
      </c>
      <c r="G1267" s="19"/>
    </row>
    <row r="1268" spans="1:7" ht="12.75" x14ac:dyDescent="0.2">
      <c r="A1268" s="3">
        <v>71</v>
      </c>
      <c r="B1268" s="4" t="s">
        <v>94</v>
      </c>
      <c r="C1268" s="3" t="s">
        <v>162</v>
      </c>
      <c r="D1268" s="3" t="s">
        <v>138</v>
      </c>
      <c r="E1268" s="3">
        <v>3</v>
      </c>
      <c r="G1268" s="19"/>
    </row>
    <row r="1269" spans="1:7" ht="12.75" x14ac:dyDescent="0.2">
      <c r="A1269" s="3">
        <v>71</v>
      </c>
      <c r="B1269" s="4" t="s">
        <v>94</v>
      </c>
      <c r="C1269" s="3" t="s">
        <v>162</v>
      </c>
      <c r="D1269" s="3" t="s">
        <v>145</v>
      </c>
      <c r="E1269" s="3">
        <v>2</v>
      </c>
      <c r="G1269" s="19"/>
    </row>
    <row r="1270" spans="1:7" ht="12.75" x14ac:dyDescent="0.2">
      <c r="A1270" s="3">
        <v>71</v>
      </c>
      <c r="B1270" s="4" t="s">
        <v>94</v>
      </c>
      <c r="C1270" s="3" t="s">
        <v>162</v>
      </c>
      <c r="D1270" s="3" t="s">
        <v>135</v>
      </c>
      <c r="E1270" s="3">
        <v>1</v>
      </c>
      <c r="F1270">
        <f>SUM(E1261:E1270)</f>
        <v>1046</v>
      </c>
      <c r="G1270" s="19"/>
    </row>
    <row r="1271" spans="1:7" ht="12.75" x14ac:dyDescent="0.2">
      <c r="A1271" s="3">
        <v>72</v>
      </c>
      <c r="B1271" s="4" t="s">
        <v>95</v>
      </c>
      <c r="C1271" s="3" t="s">
        <v>2</v>
      </c>
      <c r="D1271" s="3" t="s">
        <v>128</v>
      </c>
      <c r="E1271" s="3">
        <v>895</v>
      </c>
      <c r="G1271" s="19"/>
    </row>
    <row r="1272" spans="1:7" ht="12.75" x14ac:dyDescent="0.2">
      <c r="A1272" s="3">
        <v>72</v>
      </c>
      <c r="B1272" s="4" t="s">
        <v>95</v>
      </c>
      <c r="C1272" s="3" t="s">
        <v>2</v>
      </c>
      <c r="D1272" s="3" t="s">
        <v>136</v>
      </c>
      <c r="E1272" s="3">
        <v>761</v>
      </c>
      <c r="G1272" s="19"/>
    </row>
    <row r="1273" spans="1:7" ht="12.75" x14ac:dyDescent="0.2">
      <c r="A1273" s="3">
        <v>72</v>
      </c>
      <c r="B1273" s="4" t="s">
        <v>95</v>
      </c>
      <c r="C1273" s="3" t="s">
        <v>2</v>
      </c>
      <c r="D1273" s="3" t="s">
        <v>14</v>
      </c>
      <c r="E1273" s="3">
        <v>99</v>
      </c>
      <c r="G1273" s="19"/>
    </row>
    <row r="1274" spans="1:7" ht="12.75" x14ac:dyDescent="0.2">
      <c r="A1274" s="3">
        <v>72</v>
      </c>
      <c r="B1274" s="4" t="s">
        <v>95</v>
      </c>
      <c r="C1274" s="3" t="s">
        <v>2</v>
      </c>
      <c r="D1274" s="3" t="s">
        <v>138</v>
      </c>
      <c r="E1274" s="3">
        <v>10</v>
      </c>
      <c r="F1274">
        <f>SUM(E1271:E1274)</f>
        <v>1765</v>
      </c>
      <c r="G1274" s="19"/>
    </row>
    <row r="1275" spans="1:7" ht="12.75" x14ac:dyDescent="0.2">
      <c r="A1275" s="3">
        <v>72</v>
      </c>
      <c r="B1275" s="4" t="s">
        <v>95</v>
      </c>
      <c r="C1275" s="3" t="s">
        <v>161</v>
      </c>
      <c r="D1275" s="3" t="s">
        <v>128</v>
      </c>
      <c r="E1275" s="3">
        <v>768</v>
      </c>
      <c r="G1275" s="19"/>
    </row>
    <row r="1276" spans="1:7" ht="12.75" x14ac:dyDescent="0.2">
      <c r="A1276" s="3">
        <v>72</v>
      </c>
      <c r="B1276" s="4" t="s">
        <v>95</v>
      </c>
      <c r="C1276" s="3" t="s">
        <v>161</v>
      </c>
      <c r="D1276" s="3" t="s">
        <v>136</v>
      </c>
      <c r="E1276" s="3">
        <v>729</v>
      </c>
      <c r="G1276" s="19"/>
    </row>
    <row r="1277" spans="1:7" ht="12.75" x14ac:dyDescent="0.2">
      <c r="A1277" s="3">
        <v>72</v>
      </c>
      <c r="B1277" s="4" t="s">
        <v>95</v>
      </c>
      <c r="C1277" s="3" t="s">
        <v>161</v>
      </c>
      <c r="D1277" s="3" t="s">
        <v>149</v>
      </c>
      <c r="E1277" s="3">
        <v>102</v>
      </c>
      <c r="G1277" s="19"/>
    </row>
    <row r="1278" spans="1:7" ht="12.75" x14ac:dyDescent="0.2">
      <c r="A1278" s="3">
        <v>72</v>
      </c>
      <c r="B1278" s="4" t="s">
        <v>95</v>
      </c>
      <c r="C1278" s="3" t="s">
        <v>161</v>
      </c>
      <c r="D1278" s="3" t="s">
        <v>14</v>
      </c>
      <c r="E1278" s="3">
        <v>93</v>
      </c>
      <c r="G1278" s="19"/>
    </row>
    <row r="1279" spans="1:7" ht="12.75" x14ac:dyDescent="0.2">
      <c r="A1279" s="3">
        <v>72</v>
      </c>
      <c r="B1279" s="4" t="s">
        <v>95</v>
      </c>
      <c r="C1279" s="3" t="s">
        <v>161</v>
      </c>
      <c r="D1279" s="3" t="s">
        <v>133</v>
      </c>
      <c r="E1279" s="3">
        <v>31</v>
      </c>
      <c r="G1279" s="19"/>
    </row>
    <row r="1280" spans="1:7" ht="12.75" x14ac:dyDescent="0.2">
      <c r="A1280" s="3">
        <v>72</v>
      </c>
      <c r="B1280" s="4" t="s">
        <v>95</v>
      </c>
      <c r="C1280" s="3" t="s">
        <v>161</v>
      </c>
      <c r="D1280" s="3" t="s">
        <v>138</v>
      </c>
      <c r="E1280" s="3">
        <v>17</v>
      </c>
      <c r="G1280" s="19"/>
    </row>
    <row r="1281" spans="1:7" ht="12.75" x14ac:dyDescent="0.2">
      <c r="A1281" s="3">
        <v>72</v>
      </c>
      <c r="B1281" s="4" t="s">
        <v>95</v>
      </c>
      <c r="C1281" s="3" t="s">
        <v>161</v>
      </c>
      <c r="D1281" s="3" t="s">
        <v>148</v>
      </c>
      <c r="E1281" s="3">
        <v>8</v>
      </c>
      <c r="G1281" s="19"/>
    </row>
    <row r="1282" spans="1:7" ht="12.75" x14ac:dyDescent="0.2">
      <c r="A1282" s="3">
        <v>72</v>
      </c>
      <c r="B1282" s="4" t="s">
        <v>95</v>
      </c>
      <c r="C1282" s="3" t="s">
        <v>161</v>
      </c>
      <c r="D1282" s="3" t="s">
        <v>139</v>
      </c>
      <c r="E1282" s="3">
        <v>8</v>
      </c>
      <c r="G1282" s="19"/>
    </row>
    <row r="1283" spans="1:7" ht="12.75" x14ac:dyDescent="0.2">
      <c r="A1283" s="3">
        <v>72</v>
      </c>
      <c r="B1283" s="4" t="s">
        <v>95</v>
      </c>
      <c r="C1283" s="3" t="s">
        <v>161</v>
      </c>
      <c r="D1283" s="3" t="s">
        <v>145</v>
      </c>
      <c r="E1283" s="3">
        <v>5</v>
      </c>
      <c r="G1283" s="19"/>
    </row>
    <row r="1284" spans="1:7" ht="12.75" x14ac:dyDescent="0.2">
      <c r="A1284" s="3">
        <v>72</v>
      </c>
      <c r="B1284" s="4" t="s">
        <v>95</v>
      </c>
      <c r="C1284" s="3" t="s">
        <v>161</v>
      </c>
      <c r="D1284" s="3" t="s">
        <v>135</v>
      </c>
      <c r="E1284" s="3">
        <v>4</v>
      </c>
      <c r="F1284">
        <f>SUM(E1275:E1284)</f>
        <v>1765</v>
      </c>
      <c r="G1284" s="19"/>
    </row>
    <row r="1285" spans="1:7" ht="12.75" x14ac:dyDescent="0.2">
      <c r="A1285" s="3">
        <v>72</v>
      </c>
      <c r="B1285" s="4" t="s">
        <v>95</v>
      </c>
      <c r="C1285" s="3" t="s">
        <v>162</v>
      </c>
      <c r="D1285" s="3" t="s">
        <v>128</v>
      </c>
      <c r="E1285" s="3">
        <v>762</v>
      </c>
      <c r="G1285" s="19"/>
    </row>
    <row r="1286" spans="1:7" ht="12.75" x14ac:dyDescent="0.2">
      <c r="A1286" s="3">
        <v>72</v>
      </c>
      <c r="B1286" s="4" t="s">
        <v>95</v>
      </c>
      <c r="C1286" s="3" t="s">
        <v>162</v>
      </c>
      <c r="D1286" s="3" t="s">
        <v>136</v>
      </c>
      <c r="E1286" s="3">
        <v>749</v>
      </c>
      <c r="G1286" s="19"/>
    </row>
    <row r="1287" spans="1:7" ht="12.75" x14ac:dyDescent="0.2">
      <c r="A1287" s="3">
        <v>72</v>
      </c>
      <c r="B1287" s="4" t="s">
        <v>95</v>
      </c>
      <c r="C1287" s="3" t="s">
        <v>162</v>
      </c>
      <c r="D1287" s="3" t="s">
        <v>149</v>
      </c>
      <c r="E1287" s="3">
        <v>100</v>
      </c>
      <c r="G1287" s="19"/>
    </row>
    <row r="1288" spans="1:7" ht="12.75" x14ac:dyDescent="0.2">
      <c r="A1288" s="3">
        <v>72</v>
      </c>
      <c r="B1288" s="4" t="s">
        <v>95</v>
      </c>
      <c r="C1288" s="3" t="s">
        <v>162</v>
      </c>
      <c r="D1288" s="3" t="s">
        <v>14</v>
      </c>
      <c r="E1288" s="3">
        <v>71</v>
      </c>
      <c r="G1288" s="19"/>
    </row>
    <row r="1289" spans="1:7" ht="12.75" x14ac:dyDescent="0.2">
      <c r="A1289" s="3">
        <v>72</v>
      </c>
      <c r="B1289" s="4" t="s">
        <v>95</v>
      </c>
      <c r="C1289" s="3" t="s">
        <v>162</v>
      </c>
      <c r="D1289" s="3" t="s">
        <v>133</v>
      </c>
      <c r="E1289" s="3">
        <v>46</v>
      </c>
      <c r="G1289" s="19"/>
    </row>
    <row r="1290" spans="1:7" ht="12.75" x14ac:dyDescent="0.2">
      <c r="A1290" s="3">
        <v>72</v>
      </c>
      <c r="B1290" s="4" t="s">
        <v>95</v>
      </c>
      <c r="C1290" s="3" t="s">
        <v>162</v>
      </c>
      <c r="D1290" s="3" t="s">
        <v>138</v>
      </c>
      <c r="E1290" s="3">
        <v>14</v>
      </c>
      <c r="G1290" s="19"/>
    </row>
    <row r="1291" spans="1:7" ht="12.75" x14ac:dyDescent="0.2">
      <c r="A1291" s="3">
        <v>72</v>
      </c>
      <c r="B1291" s="4" t="s">
        <v>95</v>
      </c>
      <c r="C1291" s="3" t="s">
        <v>162</v>
      </c>
      <c r="D1291" s="3" t="s">
        <v>139</v>
      </c>
      <c r="E1291" s="3">
        <v>8</v>
      </c>
      <c r="G1291" s="19"/>
    </row>
    <row r="1292" spans="1:7" ht="12.75" x14ac:dyDescent="0.2">
      <c r="A1292" s="3">
        <v>72</v>
      </c>
      <c r="B1292" s="4" t="s">
        <v>95</v>
      </c>
      <c r="C1292" s="3" t="s">
        <v>162</v>
      </c>
      <c r="D1292" s="3" t="s">
        <v>148</v>
      </c>
      <c r="E1292" s="3">
        <v>6</v>
      </c>
      <c r="G1292" s="19"/>
    </row>
    <row r="1293" spans="1:7" ht="12.75" x14ac:dyDescent="0.2">
      <c r="A1293" s="3">
        <v>72</v>
      </c>
      <c r="B1293" s="4" t="s">
        <v>95</v>
      </c>
      <c r="C1293" s="3" t="s">
        <v>162</v>
      </c>
      <c r="D1293" s="3" t="s">
        <v>145</v>
      </c>
      <c r="E1293" s="3">
        <v>5</v>
      </c>
      <c r="G1293" s="19"/>
    </row>
    <row r="1294" spans="1:7" ht="12.75" x14ac:dyDescent="0.2">
      <c r="A1294" s="3">
        <v>72</v>
      </c>
      <c r="B1294" s="4" t="s">
        <v>95</v>
      </c>
      <c r="C1294" s="3" t="s">
        <v>162</v>
      </c>
      <c r="D1294" s="3" t="s">
        <v>135</v>
      </c>
      <c r="E1294" s="3">
        <v>4</v>
      </c>
      <c r="F1294">
        <f>SUM(E1285:E1294)</f>
        <v>1765</v>
      </c>
      <c r="G1294" s="19"/>
    </row>
    <row r="1295" spans="1:7" ht="12.75" x14ac:dyDescent="0.2">
      <c r="A1295" s="3">
        <v>73</v>
      </c>
      <c r="B1295" s="4" t="s">
        <v>96</v>
      </c>
      <c r="C1295" s="3" t="s">
        <v>2</v>
      </c>
      <c r="D1295" s="3" t="s">
        <v>136</v>
      </c>
      <c r="E1295" s="3">
        <v>102</v>
      </c>
      <c r="G1295" s="19"/>
    </row>
    <row r="1296" spans="1:7" ht="12.75" x14ac:dyDescent="0.2">
      <c r="A1296" s="3">
        <v>73</v>
      </c>
      <c r="B1296" s="4" t="s">
        <v>96</v>
      </c>
      <c r="C1296" s="3" t="s">
        <v>2</v>
      </c>
      <c r="D1296" s="3" t="s">
        <v>14</v>
      </c>
      <c r="E1296" s="3">
        <v>58</v>
      </c>
      <c r="F1296">
        <f>SUM(E1295:E1296)</f>
        <v>160</v>
      </c>
      <c r="G1296" s="19"/>
    </row>
    <row r="1297" spans="1:7" ht="12.75" x14ac:dyDescent="0.2">
      <c r="A1297" s="3">
        <v>73</v>
      </c>
      <c r="B1297" s="4" t="s">
        <v>96</v>
      </c>
      <c r="C1297" s="3" t="s">
        <v>161</v>
      </c>
      <c r="D1297" s="3" t="s">
        <v>136</v>
      </c>
      <c r="E1297" s="3">
        <v>96</v>
      </c>
      <c r="G1297" s="19"/>
    </row>
    <row r="1298" spans="1:7" ht="12.75" x14ac:dyDescent="0.2">
      <c r="A1298" s="3">
        <v>73</v>
      </c>
      <c r="B1298" s="4" t="s">
        <v>96</v>
      </c>
      <c r="C1298" s="3" t="s">
        <v>161</v>
      </c>
      <c r="D1298" s="3" t="s">
        <v>128</v>
      </c>
      <c r="E1298" s="3">
        <v>36</v>
      </c>
      <c r="G1298" s="19"/>
    </row>
    <row r="1299" spans="1:7" ht="12.75" x14ac:dyDescent="0.2">
      <c r="A1299" s="3">
        <v>73</v>
      </c>
      <c r="B1299" s="4" t="s">
        <v>96</v>
      </c>
      <c r="C1299" s="3" t="s">
        <v>161</v>
      </c>
      <c r="D1299" s="3" t="s">
        <v>14</v>
      </c>
      <c r="E1299" s="3">
        <v>11</v>
      </c>
      <c r="G1299" s="19"/>
    </row>
    <row r="1300" spans="1:7" ht="12.75" x14ac:dyDescent="0.2">
      <c r="A1300" s="3">
        <v>73</v>
      </c>
      <c r="B1300" s="4" t="s">
        <v>96</v>
      </c>
      <c r="C1300" s="3" t="s">
        <v>161</v>
      </c>
      <c r="D1300" s="3" t="s">
        <v>133</v>
      </c>
      <c r="E1300" s="3">
        <v>7</v>
      </c>
      <c r="G1300" s="19"/>
    </row>
    <row r="1301" spans="1:7" ht="12.75" x14ac:dyDescent="0.2">
      <c r="A1301" s="3">
        <v>73</v>
      </c>
      <c r="B1301" s="4" t="s">
        <v>96</v>
      </c>
      <c r="C1301" s="3" t="s">
        <v>161</v>
      </c>
      <c r="D1301" s="3" t="s">
        <v>149</v>
      </c>
      <c r="E1301" s="3">
        <v>5</v>
      </c>
      <c r="G1301" s="19"/>
    </row>
    <row r="1302" spans="1:7" ht="12.75" x14ac:dyDescent="0.2">
      <c r="A1302" s="3">
        <v>73</v>
      </c>
      <c r="B1302" s="4" t="s">
        <v>96</v>
      </c>
      <c r="C1302" s="3" t="s">
        <v>161</v>
      </c>
      <c r="D1302" s="3" t="s">
        <v>148</v>
      </c>
      <c r="E1302" s="3">
        <v>3</v>
      </c>
      <c r="G1302" s="19"/>
    </row>
    <row r="1303" spans="1:7" ht="12.75" x14ac:dyDescent="0.2">
      <c r="A1303" s="3">
        <v>73</v>
      </c>
      <c r="B1303" s="4" t="s">
        <v>96</v>
      </c>
      <c r="C1303" s="3" t="s">
        <v>161</v>
      </c>
      <c r="D1303" s="3" t="s">
        <v>138</v>
      </c>
      <c r="E1303" s="3">
        <v>2</v>
      </c>
      <c r="F1303">
        <f>SUM(E1297:E1303)</f>
        <v>160</v>
      </c>
      <c r="G1303" s="19"/>
    </row>
    <row r="1304" spans="1:7" ht="12.75" x14ac:dyDescent="0.2">
      <c r="A1304" s="3">
        <v>73</v>
      </c>
      <c r="B1304" s="4" t="s">
        <v>96</v>
      </c>
      <c r="C1304" s="3" t="s">
        <v>162</v>
      </c>
      <c r="D1304" s="3" t="s">
        <v>136</v>
      </c>
      <c r="E1304" s="3">
        <v>101</v>
      </c>
      <c r="G1304" s="19"/>
    </row>
    <row r="1305" spans="1:7" ht="12.75" x14ac:dyDescent="0.2">
      <c r="A1305" s="3">
        <v>73</v>
      </c>
      <c r="B1305" s="4" t="s">
        <v>96</v>
      </c>
      <c r="C1305" s="3" t="s">
        <v>162</v>
      </c>
      <c r="D1305" s="3" t="s">
        <v>128</v>
      </c>
      <c r="E1305" s="3">
        <v>36</v>
      </c>
      <c r="G1305" s="19"/>
    </row>
    <row r="1306" spans="1:7" ht="12.75" x14ac:dyDescent="0.2">
      <c r="A1306" s="3">
        <v>73</v>
      </c>
      <c r="B1306" s="4" t="s">
        <v>96</v>
      </c>
      <c r="C1306" s="3" t="s">
        <v>162</v>
      </c>
      <c r="D1306" s="3" t="s">
        <v>133</v>
      </c>
      <c r="E1306" s="3">
        <v>8</v>
      </c>
      <c r="G1306" s="19"/>
    </row>
    <row r="1307" spans="1:7" ht="12.75" x14ac:dyDescent="0.2">
      <c r="A1307" s="3">
        <v>73</v>
      </c>
      <c r="B1307" s="4" t="s">
        <v>96</v>
      </c>
      <c r="C1307" s="3" t="s">
        <v>162</v>
      </c>
      <c r="D1307" s="3" t="s">
        <v>149</v>
      </c>
      <c r="E1307" s="3">
        <v>5</v>
      </c>
      <c r="G1307" s="19"/>
    </row>
    <row r="1308" spans="1:7" ht="12.75" x14ac:dyDescent="0.2">
      <c r="A1308" s="3">
        <v>73</v>
      </c>
      <c r="B1308" s="4" t="s">
        <v>96</v>
      </c>
      <c r="C1308" s="3" t="s">
        <v>162</v>
      </c>
      <c r="D1308" s="3" t="s">
        <v>14</v>
      </c>
      <c r="E1308" s="3">
        <v>5</v>
      </c>
      <c r="G1308" s="19"/>
    </row>
    <row r="1309" spans="1:7" ht="12.75" x14ac:dyDescent="0.2">
      <c r="A1309" s="3">
        <v>73</v>
      </c>
      <c r="B1309" s="4" t="s">
        <v>96</v>
      </c>
      <c r="C1309" s="3" t="s">
        <v>162</v>
      </c>
      <c r="D1309" s="3" t="s">
        <v>148</v>
      </c>
      <c r="E1309" s="3">
        <v>3</v>
      </c>
      <c r="G1309" s="19"/>
    </row>
    <row r="1310" spans="1:7" ht="12.75" x14ac:dyDescent="0.2">
      <c r="A1310" s="3">
        <v>73</v>
      </c>
      <c r="B1310" s="4" t="s">
        <v>96</v>
      </c>
      <c r="C1310" s="3" t="s">
        <v>162</v>
      </c>
      <c r="D1310" s="3" t="s">
        <v>138</v>
      </c>
      <c r="E1310" s="3">
        <v>2</v>
      </c>
      <c r="F1310">
        <f>SUM(E1304:E1310)</f>
        <v>160</v>
      </c>
      <c r="G1310" s="19"/>
    </row>
    <row r="1311" spans="1:7" ht="12.75" x14ac:dyDescent="0.2">
      <c r="A1311" s="3">
        <v>74</v>
      </c>
      <c r="B1311" s="4" t="s">
        <v>97</v>
      </c>
      <c r="C1311" s="3" t="s">
        <v>15</v>
      </c>
      <c r="D1311" s="3" t="s">
        <v>142</v>
      </c>
      <c r="E1311" s="3">
        <v>160</v>
      </c>
      <c r="G1311" s="19"/>
    </row>
    <row r="1312" spans="1:7" ht="12.75" x14ac:dyDescent="0.2">
      <c r="A1312" s="3">
        <v>74</v>
      </c>
      <c r="B1312" s="4" t="s">
        <v>97</v>
      </c>
      <c r="C1312" s="3" t="s">
        <v>15</v>
      </c>
      <c r="D1312" s="3" t="s">
        <v>14</v>
      </c>
      <c r="E1312" s="3">
        <v>155</v>
      </c>
      <c r="F1312">
        <f>SUM(E1311:E1312)</f>
        <v>315</v>
      </c>
      <c r="G1312" s="19"/>
    </row>
    <row r="1313" spans="1:7" ht="12.75" x14ac:dyDescent="0.2">
      <c r="A1313" s="3">
        <v>74</v>
      </c>
      <c r="B1313" s="4" t="s">
        <v>97</v>
      </c>
      <c r="C1313" s="3" t="s">
        <v>161</v>
      </c>
      <c r="D1313" s="3" t="s">
        <v>136</v>
      </c>
      <c r="E1313" s="3">
        <v>161</v>
      </c>
      <c r="G1313" s="19"/>
    </row>
    <row r="1314" spans="1:7" ht="12.75" x14ac:dyDescent="0.2">
      <c r="A1314" s="3">
        <v>74</v>
      </c>
      <c r="B1314" s="4" t="s">
        <v>97</v>
      </c>
      <c r="C1314" s="3" t="s">
        <v>161</v>
      </c>
      <c r="D1314" s="3" t="s">
        <v>128</v>
      </c>
      <c r="E1314" s="3">
        <v>108</v>
      </c>
      <c r="G1314" s="19"/>
    </row>
    <row r="1315" spans="1:7" ht="12.75" x14ac:dyDescent="0.2">
      <c r="A1315" s="3">
        <v>74</v>
      </c>
      <c r="B1315" s="4" t="s">
        <v>97</v>
      </c>
      <c r="C1315" s="3" t="s">
        <v>161</v>
      </c>
      <c r="D1315" s="3" t="s">
        <v>14</v>
      </c>
      <c r="E1315" s="3">
        <v>27</v>
      </c>
      <c r="G1315" s="19"/>
    </row>
    <row r="1316" spans="1:7" ht="12.75" x14ac:dyDescent="0.2">
      <c r="A1316" s="3">
        <v>74</v>
      </c>
      <c r="B1316" s="4" t="s">
        <v>97</v>
      </c>
      <c r="C1316" s="3" t="s">
        <v>161</v>
      </c>
      <c r="D1316" s="3" t="s">
        <v>138</v>
      </c>
      <c r="E1316" s="3">
        <v>11</v>
      </c>
      <c r="G1316" s="19"/>
    </row>
    <row r="1317" spans="1:7" ht="12.75" x14ac:dyDescent="0.2">
      <c r="A1317" s="3">
        <v>74</v>
      </c>
      <c r="B1317" s="4" t="s">
        <v>97</v>
      </c>
      <c r="C1317" s="3" t="s">
        <v>161</v>
      </c>
      <c r="D1317" s="3" t="s">
        <v>148</v>
      </c>
      <c r="E1317" s="3">
        <v>3</v>
      </c>
      <c r="G1317" s="19"/>
    </row>
    <row r="1318" spans="1:7" ht="12.75" x14ac:dyDescent="0.2">
      <c r="A1318" s="3">
        <v>74</v>
      </c>
      <c r="B1318" s="4" t="s">
        <v>97</v>
      </c>
      <c r="C1318" s="3" t="s">
        <v>161</v>
      </c>
      <c r="D1318" s="3" t="s">
        <v>149</v>
      </c>
      <c r="E1318" s="3">
        <v>2</v>
      </c>
      <c r="G1318" s="19"/>
    </row>
    <row r="1319" spans="1:7" ht="12.75" x14ac:dyDescent="0.2">
      <c r="A1319" s="3">
        <v>74</v>
      </c>
      <c r="B1319" s="4" t="s">
        <v>97</v>
      </c>
      <c r="C1319" s="3" t="s">
        <v>161</v>
      </c>
      <c r="D1319" s="3" t="s">
        <v>135</v>
      </c>
      <c r="E1319" s="3">
        <v>2</v>
      </c>
      <c r="G1319" s="19"/>
    </row>
    <row r="1320" spans="1:7" ht="12.75" x14ac:dyDescent="0.2">
      <c r="A1320" s="3">
        <v>74</v>
      </c>
      <c r="B1320" s="4" t="s">
        <v>97</v>
      </c>
      <c r="C1320" s="3" t="s">
        <v>161</v>
      </c>
      <c r="D1320" s="3" t="s">
        <v>139</v>
      </c>
      <c r="E1320" s="3">
        <v>1</v>
      </c>
      <c r="F1320">
        <f>SUM(E1313:E1320)</f>
        <v>315</v>
      </c>
      <c r="G1320" s="19"/>
    </row>
    <row r="1321" spans="1:7" ht="12.75" x14ac:dyDescent="0.2">
      <c r="A1321" s="3">
        <v>74</v>
      </c>
      <c r="B1321" s="4" t="s">
        <v>97</v>
      </c>
      <c r="C1321" s="3" t="s">
        <v>162</v>
      </c>
      <c r="D1321" s="3" t="s">
        <v>136</v>
      </c>
      <c r="E1321" s="3">
        <v>161</v>
      </c>
      <c r="G1321" s="19"/>
    </row>
    <row r="1322" spans="1:7" ht="12.75" x14ac:dyDescent="0.2">
      <c r="A1322" s="3">
        <v>74</v>
      </c>
      <c r="B1322" s="4" t="s">
        <v>97</v>
      </c>
      <c r="C1322" s="3" t="s">
        <v>162</v>
      </c>
      <c r="D1322" s="3" t="s">
        <v>128</v>
      </c>
      <c r="E1322" s="3">
        <v>108</v>
      </c>
      <c r="G1322" s="19"/>
    </row>
    <row r="1323" spans="1:7" ht="12.75" x14ac:dyDescent="0.2">
      <c r="A1323" s="3">
        <v>74</v>
      </c>
      <c r="B1323" s="4" t="s">
        <v>97</v>
      </c>
      <c r="C1323" s="3" t="s">
        <v>162</v>
      </c>
      <c r="D1323" s="3" t="s">
        <v>14</v>
      </c>
      <c r="E1323" s="3">
        <v>27</v>
      </c>
      <c r="G1323" s="19"/>
    </row>
    <row r="1324" spans="1:7" ht="12.75" x14ac:dyDescent="0.2">
      <c r="A1324" s="3">
        <v>74</v>
      </c>
      <c r="B1324" s="4" t="s">
        <v>97</v>
      </c>
      <c r="C1324" s="3" t="s">
        <v>162</v>
      </c>
      <c r="D1324" s="3" t="s">
        <v>138</v>
      </c>
      <c r="E1324" s="3">
        <v>11</v>
      </c>
      <c r="G1324" s="19"/>
    </row>
    <row r="1325" spans="1:7" ht="12.75" x14ac:dyDescent="0.2">
      <c r="A1325" s="3">
        <v>74</v>
      </c>
      <c r="B1325" s="4" t="s">
        <v>97</v>
      </c>
      <c r="C1325" s="3" t="s">
        <v>162</v>
      </c>
      <c r="D1325" s="3" t="s">
        <v>148</v>
      </c>
      <c r="E1325" s="3">
        <v>3</v>
      </c>
      <c r="G1325" s="19"/>
    </row>
    <row r="1326" spans="1:7" ht="12.75" x14ac:dyDescent="0.2">
      <c r="A1326" s="3">
        <v>74</v>
      </c>
      <c r="B1326" s="4" t="s">
        <v>97</v>
      </c>
      <c r="C1326" s="3" t="s">
        <v>162</v>
      </c>
      <c r="D1326" s="3" t="s">
        <v>149</v>
      </c>
      <c r="E1326" s="3">
        <v>2</v>
      </c>
      <c r="G1326" s="19"/>
    </row>
    <row r="1327" spans="1:7" ht="12.75" x14ac:dyDescent="0.2">
      <c r="A1327" s="3">
        <v>74</v>
      </c>
      <c r="B1327" s="4" t="s">
        <v>97</v>
      </c>
      <c r="C1327" s="3" t="s">
        <v>162</v>
      </c>
      <c r="D1327" s="3" t="s">
        <v>135</v>
      </c>
      <c r="E1327" s="3">
        <v>2</v>
      </c>
      <c r="G1327" s="19"/>
    </row>
    <row r="1328" spans="1:7" ht="12.75" x14ac:dyDescent="0.2">
      <c r="A1328" s="3">
        <v>74</v>
      </c>
      <c r="B1328" s="4" t="s">
        <v>97</v>
      </c>
      <c r="C1328" s="3" t="s">
        <v>162</v>
      </c>
      <c r="D1328" s="3" t="s">
        <v>139</v>
      </c>
      <c r="E1328" s="3">
        <v>1</v>
      </c>
      <c r="F1328">
        <f>SUM(E1321:E1328)</f>
        <v>315</v>
      </c>
      <c r="G1328" s="19"/>
    </row>
    <row r="1329" spans="1:7" ht="12.75" x14ac:dyDescent="0.2">
      <c r="A1329" s="3">
        <v>75</v>
      </c>
      <c r="B1329" s="4" t="s">
        <v>98</v>
      </c>
      <c r="C1329" s="3" t="s">
        <v>2</v>
      </c>
      <c r="D1329" s="3" t="s">
        <v>128</v>
      </c>
      <c r="E1329" s="3">
        <v>1637</v>
      </c>
      <c r="G1329" s="19"/>
    </row>
    <row r="1330" spans="1:7" ht="12.75" x14ac:dyDescent="0.2">
      <c r="A1330" s="3">
        <v>75</v>
      </c>
      <c r="B1330" s="4" t="s">
        <v>98</v>
      </c>
      <c r="C1330" s="3" t="s">
        <v>2</v>
      </c>
      <c r="D1330" s="3" t="s">
        <v>136</v>
      </c>
      <c r="E1330" s="3">
        <v>1010</v>
      </c>
      <c r="G1330" s="19"/>
    </row>
    <row r="1331" spans="1:7" ht="12.75" x14ac:dyDescent="0.2">
      <c r="A1331" s="3">
        <v>75</v>
      </c>
      <c r="B1331" s="4" t="s">
        <v>98</v>
      </c>
      <c r="C1331" s="3" t="s">
        <v>2</v>
      </c>
      <c r="D1331" s="3" t="s">
        <v>14</v>
      </c>
      <c r="E1331" s="3">
        <v>61</v>
      </c>
      <c r="G1331" s="19"/>
    </row>
    <row r="1332" spans="1:7" ht="12.75" x14ac:dyDescent="0.2">
      <c r="A1332" s="3">
        <v>75</v>
      </c>
      <c r="B1332" s="4" t="s">
        <v>98</v>
      </c>
      <c r="C1332" s="3" t="s">
        <v>2</v>
      </c>
      <c r="D1332" s="3" t="s">
        <v>138</v>
      </c>
      <c r="E1332" s="3">
        <v>5</v>
      </c>
      <c r="F1332">
        <f>SUM(E1329:E1332)</f>
        <v>2713</v>
      </c>
      <c r="G1332" s="19"/>
    </row>
    <row r="1333" spans="1:7" ht="12.75" x14ac:dyDescent="0.2">
      <c r="A1333" s="3">
        <v>75</v>
      </c>
      <c r="B1333" s="4" t="s">
        <v>98</v>
      </c>
      <c r="C1333" s="3" t="s">
        <v>161</v>
      </c>
      <c r="D1333" s="3" t="s">
        <v>128</v>
      </c>
      <c r="E1333" s="3">
        <v>1449</v>
      </c>
      <c r="G1333" s="19"/>
    </row>
    <row r="1334" spans="1:7" ht="12.75" x14ac:dyDescent="0.2">
      <c r="A1334" s="3">
        <v>75</v>
      </c>
      <c r="B1334" s="4" t="s">
        <v>98</v>
      </c>
      <c r="C1334" s="3" t="s">
        <v>161</v>
      </c>
      <c r="D1334" s="3" t="s">
        <v>136</v>
      </c>
      <c r="E1334" s="3">
        <v>1107</v>
      </c>
      <c r="G1334" s="19"/>
    </row>
    <row r="1335" spans="1:7" ht="12.75" x14ac:dyDescent="0.2">
      <c r="A1335" s="3">
        <v>75</v>
      </c>
      <c r="B1335" s="4" t="s">
        <v>98</v>
      </c>
      <c r="C1335" s="3" t="s">
        <v>161</v>
      </c>
      <c r="D1335" s="3" t="s">
        <v>14</v>
      </c>
      <c r="E1335" s="3">
        <v>81</v>
      </c>
      <c r="G1335" s="19"/>
    </row>
    <row r="1336" spans="1:7" ht="12.75" x14ac:dyDescent="0.2">
      <c r="A1336" s="3">
        <v>75</v>
      </c>
      <c r="B1336" s="4" t="s">
        <v>98</v>
      </c>
      <c r="C1336" s="3" t="s">
        <v>161</v>
      </c>
      <c r="D1336" s="3" t="s">
        <v>133</v>
      </c>
      <c r="E1336" s="3">
        <v>21</v>
      </c>
      <c r="G1336" s="19"/>
    </row>
    <row r="1337" spans="1:7" ht="12.75" x14ac:dyDescent="0.2">
      <c r="A1337" s="3">
        <v>75</v>
      </c>
      <c r="B1337" s="4" t="s">
        <v>98</v>
      </c>
      <c r="C1337" s="3" t="s">
        <v>161</v>
      </c>
      <c r="D1337" s="3" t="s">
        <v>138</v>
      </c>
      <c r="E1337" s="3">
        <v>17</v>
      </c>
      <c r="G1337" s="19"/>
    </row>
    <row r="1338" spans="1:7" ht="12.75" x14ac:dyDescent="0.2">
      <c r="A1338" s="3">
        <v>75</v>
      </c>
      <c r="B1338" s="4" t="s">
        <v>98</v>
      </c>
      <c r="C1338" s="3" t="s">
        <v>161</v>
      </c>
      <c r="D1338" s="3" t="s">
        <v>148</v>
      </c>
      <c r="E1338" s="3">
        <v>17</v>
      </c>
      <c r="G1338" s="19"/>
    </row>
    <row r="1339" spans="1:7" ht="12.75" x14ac:dyDescent="0.2">
      <c r="A1339" s="3">
        <v>75</v>
      </c>
      <c r="B1339" s="4" t="s">
        <v>98</v>
      </c>
      <c r="C1339" s="3" t="s">
        <v>161</v>
      </c>
      <c r="D1339" s="3" t="s">
        <v>139</v>
      </c>
      <c r="E1339" s="3">
        <v>7</v>
      </c>
      <c r="G1339" s="19"/>
    </row>
    <row r="1340" spans="1:7" ht="12.75" x14ac:dyDescent="0.2">
      <c r="A1340" s="3">
        <v>75</v>
      </c>
      <c r="B1340" s="4" t="s">
        <v>98</v>
      </c>
      <c r="C1340" s="3" t="s">
        <v>161</v>
      </c>
      <c r="D1340" s="3" t="s">
        <v>149</v>
      </c>
      <c r="E1340" s="3">
        <v>6</v>
      </c>
      <c r="G1340" s="19"/>
    </row>
    <row r="1341" spans="1:7" ht="12.75" x14ac:dyDescent="0.2">
      <c r="A1341" s="3">
        <v>75</v>
      </c>
      <c r="B1341" s="4" t="s">
        <v>98</v>
      </c>
      <c r="C1341" s="3" t="s">
        <v>161</v>
      </c>
      <c r="D1341" s="3" t="s">
        <v>145</v>
      </c>
      <c r="E1341" s="3">
        <v>4</v>
      </c>
      <c r="G1341" s="19"/>
    </row>
    <row r="1342" spans="1:7" ht="12.75" x14ac:dyDescent="0.2">
      <c r="A1342" s="3">
        <v>75</v>
      </c>
      <c r="B1342" s="4" t="s">
        <v>98</v>
      </c>
      <c r="C1342" s="3" t="s">
        <v>161</v>
      </c>
      <c r="D1342" s="3" t="s">
        <v>135</v>
      </c>
      <c r="E1342" s="3">
        <v>4</v>
      </c>
      <c r="F1342">
        <f>SUM(E1333:E1342)</f>
        <v>2713</v>
      </c>
      <c r="G1342" s="19"/>
    </row>
    <row r="1343" spans="1:7" ht="12.75" x14ac:dyDescent="0.2">
      <c r="A1343" s="3">
        <v>75</v>
      </c>
      <c r="B1343" s="4" t="s">
        <v>98</v>
      </c>
      <c r="C1343" s="3" t="s">
        <v>162</v>
      </c>
      <c r="D1343" s="3" t="s">
        <v>128</v>
      </c>
      <c r="E1343" s="3">
        <v>1439</v>
      </c>
      <c r="G1343" s="19"/>
    </row>
    <row r="1344" spans="1:7" ht="12.75" x14ac:dyDescent="0.2">
      <c r="A1344" s="3">
        <v>75</v>
      </c>
      <c r="B1344" s="4" t="s">
        <v>98</v>
      </c>
      <c r="C1344" s="3" t="s">
        <v>162</v>
      </c>
      <c r="D1344" s="3" t="s">
        <v>136</v>
      </c>
      <c r="E1344" s="3">
        <v>1126</v>
      </c>
      <c r="G1344" s="19"/>
    </row>
    <row r="1345" spans="1:7" ht="12.75" x14ac:dyDescent="0.2">
      <c r="A1345" s="3">
        <v>75</v>
      </c>
      <c r="B1345" s="4" t="s">
        <v>98</v>
      </c>
      <c r="C1345" s="3" t="s">
        <v>162</v>
      </c>
      <c r="D1345" s="3" t="s">
        <v>14</v>
      </c>
      <c r="E1345" s="3">
        <v>68</v>
      </c>
      <c r="G1345" s="19"/>
    </row>
    <row r="1346" spans="1:7" ht="12.75" x14ac:dyDescent="0.2">
      <c r="A1346" s="3">
        <v>75</v>
      </c>
      <c r="B1346" s="4" t="s">
        <v>98</v>
      </c>
      <c r="C1346" s="3" t="s">
        <v>162</v>
      </c>
      <c r="D1346" s="3" t="s">
        <v>133</v>
      </c>
      <c r="E1346" s="3">
        <v>28</v>
      </c>
      <c r="G1346" s="19"/>
    </row>
    <row r="1347" spans="1:7" ht="12.75" x14ac:dyDescent="0.2">
      <c r="A1347" s="3">
        <v>75</v>
      </c>
      <c r="B1347" s="4" t="s">
        <v>98</v>
      </c>
      <c r="C1347" s="3" t="s">
        <v>162</v>
      </c>
      <c r="D1347" s="3" t="s">
        <v>138</v>
      </c>
      <c r="E1347" s="3">
        <v>18</v>
      </c>
      <c r="G1347" s="19"/>
    </row>
    <row r="1348" spans="1:7" ht="12.75" x14ac:dyDescent="0.2">
      <c r="A1348" s="3">
        <v>75</v>
      </c>
      <c r="B1348" s="4" t="s">
        <v>98</v>
      </c>
      <c r="C1348" s="3" t="s">
        <v>162</v>
      </c>
      <c r="D1348" s="3" t="s">
        <v>148</v>
      </c>
      <c r="E1348" s="3">
        <v>12</v>
      </c>
      <c r="G1348" s="19"/>
    </row>
    <row r="1349" spans="1:7" ht="12.75" x14ac:dyDescent="0.2">
      <c r="A1349" s="3">
        <v>75</v>
      </c>
      <c r="B1349" s="4" t="s">
        <v>98</v>
      </c>
      <c r="C1349" s="3" t="s">
        <v>162</v>
      </c>
      <c r="D1349" s="3" t="s">
        <v>139</v>
      </c>
      <c r="E1349" s="3">
        <v>8</v>
      </c>
      <c r="G1349" s="19"/>
    </row>
    <row r="1350" spans="1:7" ht="12.75" x14ac:dyDescent="0.2">
      <c r="A1350" s="3">
        <v>75</v>
      </c>
      <c r="B1350" s="4" t="s">
        <v>98</v>
      </c>
      <c r="C1350" s="3" t="s">
        <v>162</v>
      </c>
      <c r="D1350" s="3" t="s">
        <v>149</v>
      </c>
      <c r="E1350" s="3">
        <v>6</v>
      </c>
      <c r="G1350" s="19"/>
    </row>
    <row r="1351" spans="1:7" ht="12.75" x14ac:dyDescent="0.2">
      <c r="A1351" s="3">
        <v>75</v>
      </c>
      <c r="B1351" s="4" t="s">
        <v>98</v>
      </c>
      <c r="C1351" s="3" t="s">
        <v>162</v>
      </c>
      <c r="D1351" s="3" t="s">
        <v>145</v>
      </c>
      <c r="E1351" s="3">
        <v>4</v>
      </c>
      <c r="G1351" s="19"/>
    </row>
    <row r="1352" spans="1:7" ht="12.75" x14ac:dyDescent="0.2">
      <c r="A1352" s="3">
        <v>75</v>
      </c>
      <c r="B1352" s="4" t="s">
        <v>98</v>
      </c>
      <c r="C1352" s="3" t="s">
        <v>162</v>
      </c>
      <c r="D1352" s="3" t="s">
        <v>135</v>
      </c>
      <c r="E1352" s="3">
        <v>4</v>
      </c>
      <c r="F1352">
        <f>SUM(E1343:E1352)</f>
        <v>2713</v>
      </c>
      <c r="G1352" s="19"/>
    </row>
    <row r="1353" spans="1:7" ht="12.75" x14ac:dyDescent="0.2">
      <c r="A1353" s="3">
        <v>76</v>
      </c>
      <c r="B1353" s="4" t="s">
        <v>99</v>
      </c>
      <c r="C1353" s="3" t="s">
        <v>15</v>
      </c>
      <c r="D1353" s="3" t="s">
        <v>128</v>
      </c>
      <c r="E1353" s="3">
        <v>95</v>
      </c>
      <c r="G1353" s="19"/>
    </row>
    <row r="1354" spans="1:7" ht="12.75" x14ac:dyDescent="0.2">
      <c r="A1354" s="3">
        <v>76</v>
      </c>
      <c r="B1354" s="4" t="s">
        <v>99</v>
      </c>
      <c r="C1354" s="3" t="s">
        <v>15</v>
      </c>
      <c r="D1354" s="3" t="s">
        <v>136</v>
      </c>
      <c r="E1354" s="3">
        <v>79</v>
      </c>
      <c r="G1354" s="19"/>
    </row>
    <row r="1355" spans="1:7" ht="12.75" x14ac:dyDescent="0.2">
      <c r="A1355" s="3">
        <v>76</v>
      </c>
      <c r="B1355" s="4" t="s">
        <v>99</v>
      </c>
      <c r="C1355" s="3" t="s">
        <v>15</v>
      </c>
      <c r="D1355" s="3" t="s">
        <v>146</v>
      </c>
      <c r="E1355" s="3">
        <v>70</v>
      </c>
      <c r="G1355" s="19"/>
    </row>
    <row r="1356" spans="1:7" ht="12.75" x14ac:dyDescent="0.2">
      <c r="A1356" s="3">
        <v>76</v>
      </c>
      <c r="B1356" s="4" t="s">
        <v>99</v>
      </c>
      <c r="C1356" s="3" t="s">
        <v>15</v>
      </c>
      <c r="D1356" s="3" t="s">
        <v>14</v>
      </c>
      <c r="E1356" s="3">
        <v>6</v>
      </c>
      <c r="F1356">
        <f>SUM(E1353:E1356)</f>
        <v>250</v>
      </c>
      <c r="G1356" s="19"/>
    </row>
    <row r="1357" spans="1:7" ht="12.75" x14ac:dyDescent="0.2">
      <c r="A1357" s="3">
        <v>76</v>
      </c>
      <c r="B1357" s="4" t="s">
        <v>99</v>
      </c>
      <c r="C1357" s="3" t="s">
        <v>161</v>
      </c>
      <c r="D1357" s="3" t="s">
        <v>128</v>
      </c>
      <c r="E1357" s="3">
        <v>96</v>
      </c>
      <c r="G1357" s="19"/>
    </row>
    <row r="1358" spans="1:7" ht="12.75" x14ac:dyDescent="0.2">
      <c r="A1358" s="3">
        <v>76</v>
      </c>
      <c r="B1358" s="4" t="s">
        <v>99</v>
      </c>
      <c r="C1358" s="3" t="s">
        <v>161</v>
      </c>
      <c r="D1358" s="3" t="s">
        <v>136</v>
      </c>
      <c r="E1358" s="3">
        <v>96</v>
      </c>
      <c r="G1358" s="19"/>
    </row>
    <row r="1359" spans="1:7" ht="12.75" x14ac:dyDescent="0.2">
      <c r="A1359" s="3">
        <v>76</v>
      </c>
      <c r="B1359" s="4" t="s">
        <v>99</v>
      </c>
      <c r="C1359" s="3" t="s">
        <v>161</v>
      </c>
      <c r="D1359" s="3" t="s">
        <v>139</v>
      </c>
      <c r="E1359" s="3">
        <v>45</v>
      </c>
      <c r="G1359" s="19"/>
    </row>
    <row r="1360" spans="1:7" ht="12.75" x14ac:dyDescent="0.2">
      <c r="A1360" s="3">
        <v>76</v>
      </c>
      <c r="B1360" s="4" t="s">
        <v>99</v>
      </c>
      <c r="C1360" s="3" t="s">
        <v>161</v>
      </c>
      <c r="D1360" s="3" t="s">
        <v>14</v>
      </c>
      <c r="E1360" s="3">
        <v>10</v>
      </c>
      <c r="G1360" s="19"/>
    </row>
    <row r="1361" spans="1:7" ht="12.75" x14ac:dyDescent="0.2">
      <c r="A1361" s="3">
        <v>76</v>
      </c>
      <c r="B1361" s="4" t="s">
        <v>99</v>
      </c>
      <c r="C1361" s="3" t="s">
        <v>161</v>
      </c>
      <c r="D1361" s="3" t="s">
        <v>133</v>
      </c>
      <c r="E1361" s="3">
        <v>2</v>
      </c>
      <c r="G1361" s="19"/>
    </row>
    <row r="1362" spans="1:7" ht="12.75" x14ac:dyDescent="0.2">
      <c r="A1362" s="3">
        <v>76</v>
      </c>
      <c r="B1362" s="4" t="s">
        <v>99</v>
      </c>
      <c r="C1362" s="3" t="s">
        <v>161</v>
      </c>
      <c r="D1362" s="3" t="s">
        <v>148</v>
      </c>
      <c r="E1362" s="3">
        <v>1</v>
      </c>
      <c r="F1362">
        <f>SUM(E1357:E1362)</f>
        <v>250</v>
      </c>
      <c r="G1362" s="19"/>
    </row>
    <row r="1363" spans="1:7" ht="12.75" x14ac:dyDescent="0.2">
      <c r="A1363" s="3">
        <v>76</v>
      </c>
      <c r="B1363" s="4" t="s">
        <v>99</v>
      </c>
      <c r="C1363" s="3" t="s">
        <v>162</v>
      </c>
      <c r="D1363" s="3" t="s">
        <v>128</v>
      </c>
      <c r="E1363" s="3">
        <v>96</v>
      </c>
      <c r="G1363" s="19"/>
    </row>
    <row r="1364" spans="1:7" ht="12.75" x14ac:dyDescent="0.2">
      <c r="A1364" s="3">
        <v>76</v>
      </c>
      <c r="B1364" s="4" t="s">
        <v>99</v>
      </c>
      <c r="C1364" s="3" t="s">
        <v>162</v>
      </c>
      <c r="D1364" s="3" t="s">
        <v>136</v>
      </c>
      <c r="E1364" s="3">
        <v>96</v>
      </c>
      <c r="G1364" s="19"/>
    </row>
    <row r="1365" spans="1:7" ht="12.75" x14ac:dyDescent="0.2">
      <c r="A1365" s="3">
        <v>76</v>
      </c>
      <c r="B1365" s="4" t="s">
        <v>99</v>
      </c>
      <c r="C1365" s="3" t="s">
        <v>162</v>
      </c>
      <c r="D1365" s="3" t="s">
        <v>139</v>
      </c>
      <c r="E1365" s="3">
        <v>45</v>
      </c>
      <c r="G1365" s="19"/>
    </row>
    <row r="1366" spans="1:7" ht="12.75" x14ac:dyDescent="0.2">
      <c r="A1366" s="3">
        <v>76</v>
      </c>
      <c r="B1366" s="4" t="s">
        <v>99</v>
      </c>
      <c r="C1366" s="3" t="s">
        <v>162</v>
      </c>
      <c r="D1366" s="3" t="s">
        <v>14</v>
      </c>
      <c r="E1366" s="3">
        <v>10</v>
      </c>
      <c r="G1366" s="19"/>
    </row>
    <row r="1367" spans="1:7" ht="12.75" x14ac:dyDescent="0.2">
      <c r="A1367" s="3">
        <v>76</v>
      </c>
      <c r="B1367" s="4" t="s">
        <v>99</v>
      </c>
      <c r="C1367" s="3" t="s">
        <v>162</v>
      </c>
      <c r="D1367" s="3" t="s">
        <v>133</v>
      </c>
      <c r="E1367" s="3">
        <v>2</v>
      </c>
      <c r="G1367" s="19"/>
    </row>
    <row r="1368" spans="1:7" ht="12.75" x14ac:dyDescent="0.2">
      <c r="A1368" s="3">
        <v>76</v>
      </c>
      <c r="B1368" s="4" t="s">
        <v>99</v>
      </c>
      <c r="C1368" s="3" t="s">
        <v>162</v>
      </c>
      <c r="D1368" s="3" t="s">
        <v>148</v>
      </c>
      <c r="E1368" s="3">
        <v>1</v>
      </c>
      <c r="F1368">
        <f>SUM(E1363:E1368)</f>
        <v>250</v>
      </c>
      <c r="G1368" s="19"/>
    </row>
    <row r="1369" spans="1:7" ht="12.75" x14ac:dyDescent="0.2">
      <c r="A1369" s="3">
        <v>77</v>
      </c>
      <c r="B1369" s="4" t="s">
        <v>100</v>
      </c>
      <c r="C1369" s="3" t="s">
        <v>2</v>
      </c>
      <c r="D1369" s="3" t="s">
        <v>128</v>
      </c>
      <c r="E1369" s="3">
        <v>618</v>
      </c>
      <c r="G1369" s="19"/>
    </row>
    <row r="1370" spans="1:7" ht="12.75" x14ac:dyDescent="0.2">
      <c r="A1370" s="3">
        <v>77</v>
      </c>
      <c r="B1370" s="4" t="s">
        <v>100</v>
      </c>
      <c r="C1370" s="3" t="s">
        <v>2</v>
      </c>
      <c r="D1370" s="3" t="s">
        <v>136</v>
      </c>
      <c r="E1370" s="3">
        <v>478</v>
      </c>
      <c r="G1370" s="19"/>
    </row>
    <row r="1371" spans="1:7" ht="12.75" x14ac:dyDescent="0.2">
      <c r="A1371" s="3">
        <v>77</v>
      </c>
      <c r="B1371" s="4" t="s">
        <v>100</v>
      </c>
      <c r="C1371" s="3" t="s">
        <v>2</v>
      </c>
      <c r="D1371" s="3" t="s">
        <v>14</v>
      </c>
      <c r="E1371" s="3">
        <v>43</v>
      </c>
      <c r="G1371" s="19"/>
    </row>
    <row r="1372" spans="1:7" ht="12.75" x14ac:dyDescent="0.2">
      <c r="A1372" s="3">
        <v>77</v>
      </c>
      <c r="B1372" s="4" t="s">
        <v>100</v>
      </c>
      <c r="C1372" s="3" t="s">
        <v>2</v>
      </c>
      <c r="D1372" s="3" t="s">
        <v>138</v>
      </c>
      <c r="E1372" s="3">
        <v>3</v>
      </c>
      <c r="F1372">
        <f>SUM(E1369:E1372)</f>
        <v>1142</v>
      </c>
      <c r="G1372" s="19"/>
    </row>
    <row r="1373" spans="1:7" ht="12.75" x14ac:dyDescent="0.2">
      <c r="A1373" s="3">
        <v>77</v>
      </c>
      <c r="B1373" s="4" t="s">
        <v>100</v>
      </c>
      <c r="C1373" s="3" t="s">
        <v>161</v>
      </c>
      <c r="D1373" s="3" t="s">
        <v>128</v>
      </c>
      <c r="E1373" s="3">
        <v>565</v>
      </c>
      <c r="G1373" s="19"/>
    </row>
    <row r="1374" spans="1:7" ht="12.75" x14ac:dyDescent="0.2">
      <c r="A1374" s="3">
        <v>77</v>
      </c>
      <c r="B1374" s="4" t="s">
        <v>100</v>
      </c>
      <c r="C1374" s="3" t="s">
        <v>161</v>
      </c>
      <c r="D1374" s="3" t="s">
        <v>136</v>
      </c>
      <c r="E1374" s="3">
        <v>424</v>
      </c>
      <c r="G1374" s="19"/>
    </row>
    <row r="1375" spans="1:7" ht="12.75" x14ac:dyDescent="0.2">
      <c r="A1375" s="3">
        <v>77</v>
      </c>
      <c r="B1375" s="4" t="s">
        <v>100</v>
      </c>
      <c r="C1375" s="3" t="s">
        <v>161</v>
      </c>
      <c r="D1375" s="3" t="s">
        <v>14</v>
      </c>
      <c r="E1375" s="3">
        <v>65</v>
      </c>
      <c r="G1375" s="19"/>
    </row>
    <row r="1376" spans="1:7" ht="12.75" x14ac:dyDescent="0.2">
      <c r="A1376" s="3">
        <v>77</v>
      </c>
      <c r="B1376" s="4" t="s">
        <v>100</v>
      </c>
      <c r="C1376" s="3" t="s">
        <v>161</v>
      </c>
      <c r="D1376" s="3" t="s">
        <v>149</v>
      </c>
      <c r="E1376" s="3">
        <v>31</v>
      </c>
      <c r="G1376" s="19"/>
    </row>
    <row r="1377" spans="1:7" ht="12.75" x14ac:dyDescent="0.2">
      <c r="A1377" s="3">
        <v>77</v>
      </c>
      <c r="B1377" s="4" t="s">
        <v>100</v>
      </c>
      <c r="C1377" s="3" t="s">
        <v>161</v>
      </c>
      <c r="D1377" s="3" t="s">
        <v>133</v>
      </c>
      <c r="E1377" s="3">
        <v>30</v>
      </c>
      <c r="G1377" s="19"/>
    </row>
    <row r="1378" spans="1:7" ht="12.75" x14ac:dyDescent="0.2">
      <c r="A1378" s="3">
        <v>77</v>
      </c>
      <c r="B1378" s="4" t="s">
        <v>100</v>
      </c>
      <c r="C1378" s="3" t="s">
        <v>161</v>
      </c>
      <c r="D1378" s="3" t="s">
        <v>148</v>
      </c>
      <c r="E1378" s="3">
        <v>14</v>
      </c>
      <c r="G1378" s="19"/>
    </row>
    <row r="1379" spans="1:7" ht="12.75" x14ac:dyDescent="0.2">
      <c r="A1379" s="3">
        <v>77</v>
      </c>
      <c r="B1379" s="4" t="s">
        <v>100</v>
      </c>
      <c r="C1379" s="3" t="s">
        <v>161</v>
      </c>
      <c r="D1379" s="3" t="s">
        <v>138</v>
      </c>
      <c r="E1379" s="3">
        <v>8</v>
      </c>
      <c r="G1379" s="19"/>
    </row>
    <row r="1380" spans="1:7" ht="12.75" x14ac:dyDescent="0.2">
      <c r="A1380" s="3">
        <v>77</v>
      </c>
      <c r="B1380" s="4" t="s">
        <v>100</v>
      </c>
      <c r="C1380" s="3" t="s">
        <v>161</v>
      </c>
      <c r="D1380" s="3" t="s">
        <v>135</v>
      </c>
      <c r="E1380" s="3">
        <v>2</v>
      </c>
      <c r="G1380" s="19"/>
    </row>
    <row r="1381" spans="1:7" ht="12.75" x14ac:dyDescent="0.2">
      <c r="A1381" s="3">
        <v>77</v>
      </c>
      <c r="B1381" s="4" t="s">
        <v>100</v>
      </c>
      <c r="C1381" s="3" t="s">
        <v>161</v>
      </c>
      <c r="D1381" s="3" t="s">
        <v>145</v>
      </c>
      <c r="E1381" s="3">
        <v>2</v>
      </c>
      <c r="G1381" s="19"/>
    </row>
    <row r="1382" spans="1:7" ht="12.75" x14ac:dyDescent="0.2">
      <c r="A1382" s="3">
        <v>77</v>
      </c>
      <c r="B1382" s="4" t="s">
        <v>100</v>
      </c>
      <c r="C1382" s="3" t="s">
        <v>161</v>
      </c>
      <c r="D1382" s="3" t="s">
        <v>139</v>
      </c>
      <c r="E1382" s="3">
        <v>1</v>
      </c>
      <c r="F1382">
        <f>SUM(E1373:E1382)</f>
        <v>1142</v>
      </c>
      <c r="G1382" s="19"/>
    </row>
    <row r="1383" spans="1:7" ht="12.75" x14ac:dyDescent="0.2">
      <c r="A1383" s="3">
        <v>77</v>
      </c>
      <c r="B1383" s="4" t="s">
        <v>100</v>
      </c>
      <c r="C1383" s="3" t="s">
        <v>162</v>
      </c>
      <c r="D1383" s="3" t="s">
        <v>128</v>
      </c>
      <c r="E1383" s="3">
        <v>500</v>
      </c>
      <c r="G1383" s="19"/>
    </row>
    <row r="1384" spans="1:7" ht="12.75" x14ac:dyDescent="0.2">
      <c r="A1384" s="3">
        <v>77</v>
      </c>
      <c r="B1384" s="4" t="s">
        <v>100</v>
      </c>
      <c r="C1384" s="3" t="s">
        <v>162</v>
      </c>
      <c r="D1384" s="3" t="s">
        <v>136</v>
      </c>
      <c r="E1384" s="3">
        <v>430</v>
      </c>
      <c r="G1384" s="19"/>
    </row>
    <row r="1385" spans="1:7" ht="12.75" x14ac:dyDescent="0.2">
      <c r="A1385" s="3">
        <v>77</v>
      </c>
      <c r="B1385" s="4" t="s">
        <v>100</v>
      </c>
      <c r="C1385" s="3" t="s">
        <v>162</v>
      </c>
      <c r="D1385" s="3" t="s">
        <v>14</v>
      </c>
      <c r="E1385" s="3">
        <v>98</v>
      </c>
      <c r="G1385" s="19"/>
    </row>
    <row r="1386" spans="1:7" ht="12.75" x14ac:dyDescent="0.2">
      <c r="A1386" s="3">
        <v>77</v>
      </c>
      <c r="B1386" s="4" t="s">
        <v>100</v>
      </c>
      <c r="C1386" s="3" t="s">
        <v>162</v>
      </c>
      <c r="D1386" s="3" t="s">
        <v>133</v>
      </c>
      <c r="E1386" s="3">
        <v>43</v>
      </c>
      <c r="G1386" s="19"/>
    </row>
    <row r="1387" spans="1:7" ht="12.75" x14ac:dyDescent="0.2">
      <c r="A1387" s="3">
        <v>77</v>
      </c>
      <c r="B1387" s="4" t="s">
        <v>100</v>
      </c>
      <c r="C1387" s="3" t="s">
        <v>162</v>
      </c>
      <c r="D1387" s="3" t="s">
        <v>149</v>
      </c>
      <c r="E1387" s="3">
        <v>35</v>
      </c>
      <c r="G1387" s="19"/>
    </row>
    <row r="1388" spans="1:7" ht="12.75" x14ac:dyDescent="0.2">
      <c r="A1388" s="3">
        <v>77</v>
      </c>
      <c r="B1388" s="4" t="s">
        <v>100</v>
      </c>
      <c r="C1388" s="3" t="s">
        <v>162</v>
      </c>
      <c r="D1388" s="3" t="s">
        <v>148</v>
      </c>
      <c r="E1388" s="3">
        <v>23</v>
      </c>
      <c r="G1388" s="19"/>
    </row>
    <row r="1389" spans="1:7" ht="12.75" x14ac:dyDescent="0.2">
      <c r="A1389" s="3">
        <v>77</v>
      </c>
      <c r="B1389" s="4" t="s">
        <v>100</v>
      </c>
      <c r="C1389" s="3" t="s">
        <v>162</v>
      </c>
      <c r="D1389" s="3" t="s">
        <v>138</v>
      </c>
      <c r="E1389" s="3">
        <v>8</v>
      </c>
      <c r="G1389" s="19"/>
    </row>
    <row r="1390" spans="1:7" ht="12.75" x14ac:dyDescent="0.2">
      <c r="A1390" s="3">
        <v>77</v>
      </c>
      <c r="B1390" s="4" t="s">
        <v>100</v>
      </c>
      <c r="C1390" s="3" t="s">
        <v>162</v>
      </c>
      <c r="D1390" s="3" t="s">
        <v>145</v>
      </c>
      <c r="E1390" s="3">
        <v>2</v>
      </c>
      <c r="G1390" s="19"/>
    </row>
    <row r="1391" spans="1:7" ht="12.75" x14ac:dyDescent="0.2">
      <c r="A1391" s="3">
        <v>77</v>
      </c>
      <c r="B1391" s="4" t="s">
        <v>100</v>
      </c>
      <c r="C1391" s="3" t="s">
        <v>162</v>
      </c>
      <c r="D1391" s="3" t="s">
        <v>135</v>
      </c>
      <c r="E1391" s="3">
        <v>2</v>
      </c>
      <c r="G1391" s="19"/>
    </row>
    <row r="1392" spans="1:7" ht="12.75" x14ac:dyDescent="0.2">
      <c r="A1392" s="3">
        <v>77</v>
      </c>
      <c r="B1392" s="4" t="s">
        <v>100</v>
      </c>
      <c r="C1392" s="3" t="s">
        <v>162</v>
      </c>
      <c r="D1392" s="3" t="s">
        <v>139</v>
      </c>
      <c r="E1392" s="3">
        <v>1</v>
      </c>
      <c r="F1392">
        <f>SUM(E1383:E1392)</f>
        <v>1142</v>
      </c>
      <c r="G1392" s="19"/>
    </row>
    <row r="1393" spans="1:7" ht="12.75" x14ac:dyDescent="0.2">
      <c r="A1393" s="3">
        <v>78</v>
      </c>
      <c r="B1393" s="4" t="s">
        <v>101</v>
      </c>
      <c r="C1393" s="3" t="s">
        <v>15</v>
      </c>
      <c r="D1393" s="3" t="s">
        <v>128</v>
      </c>
      <c r="E1393" s="3">
        <v>134</v>
      </c>
      <c r="G1393" s="19"/>
    </row>
    <row r="1394" spans="1:7" ht="12.75" x14ac:dyDescent="0.2">
      <c r="A1394" s="3">
        <v>78</v>
      </c>
      <c r="B1394" s="4" t="s">
        <v>101</v>
      </c>
      <c r="C1394" s="3" t="s">
        <v>15</v>
      </c>
      <c r="D1394" s="3" t="s">
        <v>136</v>
      </c>
      <c r="E1394" s="3">
        <v>113</v>
      </c>
      <c r="G1394" s="19"/>
    </row>
    <row r="1395" spans="1:7" ht="12.75" x14ac:dyDescent="0.2">
      <c r="A1395" s="3">
        <v>78</v>
      </c>
      <c r="B1395" s="4" t="s">
        <v>101</v>
      </c>
      <c r="C1395" s="3" t="s">
        <v>15</v>
      </c>
      <c r="D1395" s="3" t="s">
        <v>14</v>
      </c>
      <c r="E1395" s="3">
        <v>2</v>
      </c>
      <c r="F1395">
        <f>SUM(E1393:E1395)</f>
        <v>249</v>
      </c>
      <c r="G1395" s="19"/>
    </row>
    <row r="1396" spans="1:7" ht="12.75" x14ac:dyDescent="0.2">
      <c r="A1396" s="3">
        <v>78</v>
      </c>
      <c r="B1396" s="4" t="s">
        <v>101</v>
      </c>
      <c r="C1396" s="3" t="s">
        <v>161</v>
      </c>
      <c r="D1396" s="3" t="s">
        <v>136</v>
      </c>
      <c r="E1396" s="3">
        <v>119</v>
      </c>
      <c r="G1396" s="19"/>
    </row>
    <row r="1397" spans="1:7" ht="12.75" x14ac:dyDescent="0.2">
      <c r="A1397" s="3">
        <v>78</v>
      </c>
      <c r="B1397" s="4" t="s">
        <v>101</v>
      </c>
      <c r="C1397" s="3" t="s">
        <v>161</v>
      </c>
      <c r="D1397" s="3" t="s">
        <v>128</v>
      </c>
      <c r="E1397" s="3">
        <v>109</v>
      </c>
      <c r="G1397" s="19"/>
    </row>
    <row r="1398" spans="1:7" ht="12.75" x14ac:dyDescent="0.2">
      <c r="A1398" s="3">
        <v>78</v>
      </c>
      <c r="B1398" s="4" t="s">
        <v>101</v>
      </c>
      <c r="C1398" s="3" t="s">
        <v>161</v>
      </c>
      <c r="D1398" s="3" t="s">
        <v>14</v>
      </c>
      <c r="E1398" s="3">
        <v>10</v>
      </c>
      <c r="G1398" s="19"/>
    </row>
    <row r="1399" spans="1:7" ht="12.75" x14ac:dyDescent="0.2">
      <c r="A1399" s="3">
        <v>78</v>
      </c>
      <c r="B1399" s="4" t="s">
        <v>101</v>
      </c>
      <c r="C1399" s="3" t="s">
        <v>161</v>
      </c>
      <c r="D1399" s="3" t="s">
        <v>149</v>
      </c>
      <c r="E1399" s="3">
        <v>5</v>
      </c>
      <c r="G1399" s="19"/>
    </row>
    <row r="1400" spans="1:7" ht="12.75" x14ac:dyDescent="0.2">
      <c r="A1400" s="3">
        <v>78</v>
      </c>
      <c r="B1400" s="4" t="s">
        <v>101</v>
      </c>
      <c r="C1400" s="3" t="s">
        <v>161</v>
      </c>
      <c r="D1400" s="3" t="s">
        <v>133</v>
      </c>
      <c r="E1400" s="3">
        <v>3</v>
      </c>
      <c r="G1400" s="19"/>
    </row>
    <row r="1401" spans="1:7" ht="12.75" x14ac:dyDescent="0.2">
      <c r="A1401" s="3">
        <v>78</v>
      </c>
      <c r="B1401" s="4" t="s">
        <v>101</v>
      </c>
      <c r="C1401" s="3" t="s">
        <v>161</v>
      </c>
      <c r="D1401" s="3" t="s">
        <v>148</v>
      </c>
      <c r="E1401" s="3">
        <v>2</v>
      </c>
      <c r="G1401" s="19"/>
    </row>
    <row r="1402" spans="1:7" ht="12.75" x14ac:dyDescent="0.2">
      <c r="A1402" s="3">
        <v>78</v>
      </c>
      <c r="B1402" s="4" t="s">
        <v>101</v>
      </c>
      <c r="C1402" s="3" t="s">
        <v>161</v>
      </c>
      <c r="D1402" s="3" t="s">
        <v>139</v>
      </c>
      <c r="E1402" s="3">
        <v>1</v>
      </c>
      <c r="F1402">
        <f>SUM(E1396:E1402)</f>
        <v>249</v>
      </c>
      <c r="G1402" s="19"/>
    </row>
    <row r="1403" spans="1:7" ht="12.75" x14ac:dyDescent="0.2">
      <c r="A1403" s="3">
        <v>78</v>
      </c>
      <c r="B1403" s="4" t="s">
        <v>101</v>
      </c>
      <c r="C1403" s="3" t="s">
        <v>162</v>
      </c>
      <c r="D1403" s="3" t="s">
        <v>136</v>
      </c>
      <c r="E1403" s="3">
        <v>125</v>
      </c>
      <c r="G1403" s="19"/>
    </row>
    <row r="1404" spans="1:7" ht="12.75" x14ac:dyDescent="0.2">
      <c r="A1404" s="3">
        <v>78</v>
      </c>
      <c r="B1404" s="4" t="s">
        <v>101</v>
      </c>
      <c r="C1404" s="3" t="s">
        <v>162</v>
      </c>
      <c r="D1404" s="3" t="s">
        <v>128</v>
      </c>
      <c r="E1404" s="3">
        <v>108</v>
      </c>
      <c r="G1404" s="19"/>
    </row>
    <row r="1405" spans="1:7" ht="12.75" x14ac:dyDescent="0.2">
      <c r="A1405" s="3">
        <v>78</v>
      </c>
      <c r="B1405" s="4" t="s">
        <v>101</v>
      </c>
      <c r="C1405" s="3" t="s">
        <v>162</v>
      </c>
      <c r="D1405" s="3" t="s">
        <v>149</v>
      </c>
      <c r="E1405" s="3">
        <v>5</v>
      </c>
      <c r="G1405" s="19"/>
    </row>
    <row r="1406" spans="1:7" ht="12.75" x14ac:dyDescent="0.2">
      <c r="A1406" s="3">
        <v>78</v>
      </c>
      <c r="B1406" s="4" t="s">
        <v>101</v>
      </c>
      <c r="C1406" s="3" t="s">
        <v>162</v>
      </c>
      <c r="D1406" s="3" t="s">
        <v>133</v>
      </c>
      <c r="E1406" s="3">
        <v>5</v>
      </c>
      <c r="G1406" s="19"/>
    </row>
    <row r="1407" spans="1:7" ht="12.75" x14ac:dyDescent="0.2">
      <c r="A1407" s="3">
        <v>78</v>
      </c>
      <c r="B1407" s="4" t="s">
        <v>101</v>
      </c>
      <c r="C1407" s="3" t="s">
        <v>162</v>
      </c>
      <c r="D1407" s="3" t="s">
        <v>14</v>
      </c>
      <c r="E1407" s="3">
        <v>3</v>
      </c>
      <c r="G1407" s="19"/>
    </row>
    <row r="1408" spans="1:7" ht="12.75" x14ac:dyDescent="0.2">
      <c r="A1408" s="3">
        <v>78</v>
      </c>
      <c r="B1408" s="4" t="s">
        <v>101</v>
      </c>
      <c r="C1408" s="3" t="s">
        <v>162</v>
      </c>
      <c r="D1408" s="3" t="s">
        <v>148</v>
      </c>
      <c r="E1408" s="3">
        <v>1</v>
      </c>
      <c r="G1408" s="19"/>
    </row>
    <row r="1409" spans="1:7" ht="12.75" x14ac:dyDescent="0.2">
      <c r="A1409" s="3">
        <v>78</v>
      </c>
      <c r="B1409" s="4" t="s">
        <v>101</v>
      </c>
      <c r="C1409" s="3" t="s">
        <v>162</v>
      </c>
      <c r="D1409" s="3" t="s">
        <v>135</v>
      </c>
      <c r="E1409" s="3">
        <v>1</v>
      </c>
      <c r="G1409" s="19"/>
    </row>
    <row r="1410" spans="1:7" ht="12.75" x14ac:dyDescent="0.2">
      <c r="A1410" s="3">
        <v>78</v>
      </c>
      <c r="B1410" s="4" t="s">
        <v>101</v>
      </c>
      <c r="C1410" s="3" t="s">
        <v>162</v>
      </c>
      <c r="D1410" s="3" t="s">
        <v>139</v>
      </c>
      <c r="E1410" s="3">
        <v>1</v>
      </c>
      <c r="F1410">
        <f>SUM(E1403:E1410)</f>
        <v>249</v>
      </c>
      <c r="G1410" s="19"/>
    </row>
    <row r="1411" spans="1:7" ht="12.75" x14ac:dyDescent="0.2">
      <c r="A1411" s="3">
        <v>79</v>
      </c>
      <c r="B1411" s="4" t="s">
        <v>102</v>
      </c>
      <c r="C1411" s="3" t="s">
        <v>2</v>
      </c>
      <c r="D1411" s="3" t="s">
        <v>128</v>
      </c>
      <c r="E1411" s="3">
        <v>674</v>
      </c>
      <c r="G1411" s="19"/>
    </row>
    <row r="1412" spans="1:7" ht="12.75" x14ac:dyDescent="0.2">
      <c r="A1412" s="3">
        <v>79</v>
      </c>
      <c r="B1412" s="4" t="s">
        <v>102</v>
      </c>
      <c r="C1412" s="3" t="s">
        <v>2</v>
      </c>
      <c r="D1412" s="3" t="s">
        <v>136</v>
      </c>
      <c r="E1412" s="3">
        <v>309</v>
      </c>
      <c r="G1412" s="19"/>
    </row>
    <row r="1413" spans="1:7" ht="12.75" x14ac:dyDescent="0.2">
      <c r="A1413" s="3">
        <v>79</v>
      </c>
      <c r="B1413" s="4" t="s">
        <v>102</v>
      </c>
      <c r="C1413" s="3" t="s">
        <v>2</v>
      </c>
      <c r="D1413" s="3" t="s">
        <v>14</v>
      </c>
      <c r="E1413" s="3">
        <v>46</v>
      </c>
      <c r="G1413" s="19"/>
    </row>
    <row r="1414" spans="1:7" ht="12.75" x14ac:dyDescent="0.2">
      <c r="A1414" s="3">
        <v>79</v>
      </c>
      <c r="B1414" s="4" t="s">
        <v>102</v>
      </c>
      <c r="C1414" s="3" t="s">
        <v>2</v>
      </c>
      <c r="D1414" s="3" t="s">
        <v>138</v>
      </c>
      <c r="E1414" s="3">
        <v>3</v>
      </c>
      <c r="F1414">
        <f>SUM(E1411:E1414)</f>
        <v>1032</v>
      </c>
      <c r="G1414" s="19"/>
    </row>
    <row r="1415" spans="1:7" ht="12.75" x14ac:dyDescent="0.2">
      <c r="A1415" s="3">
        <v>79</v>
      </c>
      <c r="B1415" s="4" t="s">
        <v>102</v>
      </c>
      <c r="C1415" s="3" t="s">
        <v>161</v>
      </c>
      <c r="D1415" s="3" t="s">
        <v>128</v>
      </c>
      <c r="E1415" s="3">
        <v>485</v>
      </c>
      <c r="G1415" s="19"/>
    </row>
    <row r="1416" spans="1:7" ht="12.75" x14ac:dyDescent="0.2">
      <c r="A1416" s="3">
        <v>79</v>
      </c>
      <c r="B1416" s="4" t="s">
        <v>102</v>
      </c>
      <c r="C1416" s="3" t="s">
        <v>161</v>
      </c>
      <c r="D1416" s="3" t="s">
        <v>136</v>
      </c>
      <c r="E1416" s="3">
        <v>390</v>
      </c>
      <c r="G1416" s="19"/>
    </row>
    <row r="1417" spans="1:7" ht="12.75" x14ac:dyDescent="0.2">
      <c r="A1417" s="3">
        <v>79</v>
      </c>
      <c r="B1417" s="4" t="s">
        <v>102</v>
      </c>
      <c r="C1417" s="3" t="s">
        <v>161</v>
      </c>
      <c r="D1417" s="3" t="s">
        <v>14</v>
      </c>
      <c r="E1417" s="3">
        <v>70</v>
      </c>
      <c r="G1417" s="19"/>
    </row>
    <row r="1418" spans="1:7" ht="12.75" x14ac:dyDescent="0.2">
      <c r="A1418" s="3">
        <v>79</v>
      </c>
      <c r="B1418" s="4" t="s">
        <v>102</v>
      </c>
      <c r="C1418" s="3" t="s">
        <v>161</v>
      </c>
      <c r="D1418" s="3" t="s">
        <v>149</v>
      </c>
      <c r="E1418" s="3">
        <v>47</v>
      </c>
      <c r="G1418" s="19"/>
    </row>
    <row r="1419" spans="1:7" ht="12.75" x14ac:dyDescent="0.2">
      <c r="A1419" s="3">
        <v>79</v>
      </c>
      <c r="B1419" s="4" t="s">
        <v>102</v>
      </c>
      <c r="C1419" s="3" t="s">
        <v>161</v>
      </c>
      <c r="D1419" s="3" t="s">
        <v>133</v>
      </c>
      <c r="E1419" s="3">
        <v>17</v>
      </c>
      <c r="G1419" s="19"/>
    </row>
    <row r="1420" spans="1:7" ht="12.75" x14ac:dyDescent="0.2">
      <c r="A1420" s="3">
        <v>79</v>
      </c>
      <c r="B1420" s="4" t="s">
        <v>102</v>
      </c>
      <c r="C1420" s="3" t="s">
        <v>161</v>
      </c>
      <c r="D1420" s="3" t="s">
        <v>138</v>
      </c>
      <c r="E1420" s="3">
        <v>12</v>
      </c>
      <c r="G1420" s="19"/>
    </row>
    <row r="1421" spans="1:7" ht="12.75" x14ac:dyDescent="0.2">
      <c r="A1421" s="3">
        <v>79</v>
      </c>
      <c r="B1421" s="4" t="s">
        <v>102</v>
      </c>
      <c r="C1421" s="3" t="s">
        <v>161</v>
      </c>
      <c r="D1421" s="3" t="s">
        <v>148</v>
      </c>
      <c r="E1421" s="3">
        <v>6</v>
      </c>
      <c r="G1421" s="19"/>
    </row>
    <row r="1422" spans="1:7" ht="12.75" x14ac:dyDescent="0.2">
      <c r="A1422" s="3">
        <v>79</v>
      </c>
      <c r="B1422" s="4" t="s">
        <v>102</v>
      </c>
      <c r="C1422" s="3" t="s">
        <v>161</v>
      </c>
      <c r="D1422" s="3" t="s">
        <v>135</v>
      </c>
      <c r="E1422" s="3">
        <v>3</v>
      </c>
      <c r="G1422" s="19"/>
    </row>
    <row r="1423" spans="1:7" ht="12.75" x14ac:dyDescent="0.2">
      <c r="A1423" s="3">
        <v>79</v>
      </c>
      <c r="B1423" s="4" t="s">
        <v>102</v>
      </c>
      <c r="C1423" s="3" t="s">
        <v>161</v>
      </c>
      <c r="D1423" s="3" t="s">
        <v>145</v>
      </c>
      <c r="E1423" s="3">
        <v>1</v>
      </c>
      <c r="G1423" s="19"/>
    </row>
    <row r="1424" spans="1:7" ht="12.75" x14ac:dyDescent="0.2">
      <c r="A1424" s="3">
        <v>79</v>
      </c>
      <c r="B1424" s="4" t="s">
        <v>102</v>
      </c>
      <c r="C1424" s="3" t="s">
        <v>161</v>
      </c>
      <c r="D1424" s="3" t="s">
        <v>139</v>
      </c>
      <c r="E1424" s="3">
        <v>1</v>
      </c>
      <c r="F1424">
        <f>SUM(E1415:E1424)</f>
        <v>1032</v>
      </c>
      <c r="G1424" s="19"/>
    </row>
    <row r="1425" spans="1:7" ht="12.75" x14ac:dyDescent="0.2">
      <c r="A1425" s="3">
        <v>79</v>
      </c>
      <c r="B1425" s="4" t="s">
        <v>102</v>
      </c>
      <c r="C1425" s="3" t="s">
        <v>162</v>
      </c>
      <c r="D1425" s="3" t="s">
        <v>128</v>
      </c>
      <c r="E1425" s="3">
        <v>469</v>
      </c>
      <c r="G1425" s="19"/>
    </row>
    <row r="1426" spans="1:7" ht="12.75" x14ac:dyDescent="0.2">
      <c r="A1426" s="3">
        <v>79</v>
      </c>
      <c r="B1426" s="4" t="s">
        <v>102</v>
      </c>
      <c r="C1426" s="3" t="s">
        <v>162</v>
      </c>
      <c r="D1426" s="3" t="s">
        <v>136</v>
      </c>
      <c r="E1426" s="3">
        <v>418</v>
      </c>
      <c r="G1426" s="19"/>
    </row>
    <row r="1427" spans="1:7" ht="12.75" x14ac:dyDescent="0.2">
      <c r="A1427" s="3">
        <v>79</v>
      </c>
      <c r="B1427" s="4" t="s">
        <v>102</v>
      </c>
      <c r="C1427" s="3" t="s">
        <v>162</v>
      </c>
      <c r="D1427" s="3" t="s">
        <v>14</v>
      </c>
      <c r="E1427" s="3">
        <v>51</v>
      </c>
      <c r="G1427" s="19"/>
    </row>
    <row r="1428" spans="1:7" ht="12.75" x14ac:dyDescent="0.2">
      <c r="A1428" s="3">
        <v>79</v>
      </c>
      <c r="B1428" s="4" t="s">
        <v>102</v>
      </c>
      <c r="C1428" s="3" t="s">
        <v>162</v>
      </c>
      <c r="D1428" s="3" t="s">
        <v>149</v>
      </c>
      <c r="E1428" s="3">
        <v>49</v>
      </c>
      <c r="G1428" s="19"/>
    </row>
    <row r="1429" spans="1:7" ht="12.75" x14ac:dyDescent="0.2">
      <c r="A1429" s="3">
        <v>79</v>
      </c>
      <c r="B1429" s="4" t="s">
        <v>102</v>
      </c>
      <c r="C1429" s="3" t="s">
        <v>162</v>
      </c>
      <c r="D1429" s="3" t="s">
        <v>133</v>
      </c>
      <c r="E1429" s="3">
        <v>24</v>
      </c>
      <c r="G1429" s="19"/>
    </row>
    <row r="1430" spans="1:7" ht="12.75" x14ac:dyDescent="0.2">
      <c r="A1430" s="3">
        <v>79</v>
      </c>
      <c r="B1430" s="4" t="s">
        <v>102</v>
      </c>
      <c r="C1430" s="3" t="s">
        <v>162</v>
      </c>
      <c r="D1430" s="3" t="s">
        <v>138</v>
      </c>
      <c r="E1430" s="3">
        <v>12</v>
      </c>
      <c r="G1430" s="19"/>
    </row>
    <row r="1431" spans="1:7" ht="12.75" x14ac:dyDescent="0.2">
      <c r="A1431" s="3">
        <v>79</v>
      </c>
      <c r="B1431" s="4" t="s">
        <v>102</v>
      </c>
      <c r="C1431" s="3" t="s">
        <v>162</v>
      </c>
      <c r="D1431" s="3" t="s">
        <v>148</v>
      </c>
      <c r="E1431" s="3">
        <v>4</v>
      </c>
      <c r="G1431" s="19"/>
    </row>
    <row r="1432" spans="1:7" ht="12.75" x14ac:dyDescent="0.2">
      <c r="A1432" s="3">
        <v>79</v>
      </c>
      <c r="B1432" s="4" t="s">
        <v>102</v>
      </c>
      <c r="C1432" s="3" t="s">
        <v>162</v>
      </c>
      <c r="D1432" s="3" t="s">
        <v>135</v>
      </c>
      <c r="E1432" s="3">
        <v>3</v>
      </c>
      <c r="G1432" s="19"/>
    </row>
    <row r="1433" spans="1:7" ht="12.75" x14ac:dyDescent="0.2">
      <c r="A1433" s="3">
        <v>79</v>
      </c>
      <c r="B1433" s="4" t="s">
        <v>102</v>
      </c>
      <c r="C1433" s="3" t="s">
        <v>162</v>
      </c>
      <c r="D1433" s="3" t="s">
        <v>145</v>
      </c>
      <c r="E1433" s="3">
        <v>1</v>
      </c>
      <c r="G1433" s="19"/>
    </row>
    <row r="1434" spans="1:7" ht="12.75" x14ac:dyDescent="0.2">
      <c r="A1434" s="3">
        <v>79</v>
      </c>
      <c r="B1434" s="4" t="s">
        <v>102</v>
      </c>
      <c r="C1434" s="3" t="s">
        <v>162</v>
      </c>
      <c r="D1434" s="3" t="s">
        <v>139</v>
      </c>
      <c r="E1434" s="3">
        <v>1</v>
      </c>
      <c r="F1434">
        <f>SUM(E1425:E1434)</f>
        <v>1032</v>
      </c>
      <c r="G1434" s="19"/>
    </row>
    <row r="1435" spans="1:7" ht="12.75" x14ac:dyDescent="0.2">
      <c r="A1435" s="3">
        <v>80</v>
      </c>
      <c r="B1435" s="4" t="s">
        <v>103</v>
      </c>
      <c r="C1435" s="3" t="s">
        <v>15</v>
      </c>
      <c r="D1435" s="3" t="s">
        <v>33</v>
      </c>
      <c r="E1435" s="3">
        <v>124</v>
      </c>
      <c r="G1435" s="19"/>
    </row>
    <row r="1436" spans="1:7" ht="12.75" x14ac:dyDescent="0.2">
      <c r="A1436" s="3">
        <v>80</v>
      </c>
      <c r="B1436" s="4" t="s">
        <v>103</v>
      </c>
      <c r="C1436" s="3" t="s">
        <v>15</v>
      </c>
      <c r="D1436" s="3" t="s">
        <v>128</v>
      </c>
      <c r="E1436" s="3">
        <v>38</v>
      </c>
      <c r="G1436" s="19"/>
    </row>
    <row r="1437" spans="1:7" ht="12.75" x14ac:dyDescent="0.2">
      <c r="A1437" s="3">
        <v>80</v>
      </c>
      <c r="B1437" s="4" t="s">
        <v>103</v>
      </c>
      <c r="C1437" s="3" t="s">
        <v>15</v>
      </c>
      <c r="D1437" s="3" t="s">
        <v>14</v>
      </c>
      <c r="E1437" s="3">
        <v>3</v>
      </c>
      <c r="G1437" s="19"/>
    </row>
    <row r="1438" spans="1:7" ht="12.75" x14ac:dyDescent="0.2">
      <c r="A1438" s="3">
        <v>80</v>
      </c>
      <c r="B1438" s="4" t="s">
        <v>103</v>
      </c>
      <c r="C1438" s="3" t="s">
        <v>15</v>
      </c>
      <c r="D1438" s="3" t="s">
        <v>138</v>
      </c>
      <c r="E1438" s="3">
        <v>1</v>
      </c>
      <c r="F1438">
        <f>SUM(E1435:E1438)</f>
        <v>166</v>
      </c>
      <c r="G1438" s="19"/>
    </row>
    <row r="1439" spans="1:7" ht="12.75" x14ac:dyDescent="0.2">
      <c r="A1439" s="3">
        <v>80</v>
      </c>
      <c r="B1439" s="4" t="s">
        <v>103</v>
      </c>
      <c r="C1439" s="3" t="s">
        <v>161</v>
      </c>
      <c r="D1439" s="3" t="s">
        <v>136</v>
      </c>
      <c r="E1439" s="3">
        <v>88</v>
      </c>
      <c r="G1439" s="19"/>
    </row>
    <row r="1440" spans="1:7" ht="12.75" x14ac:dyDescent="0.2">
      <c r="A1440" s="3">
        <v>80</v>
      </c>
      <c r="B1440" s="4" t="s">
        <v>103</v>
      </c>
      <c r="C1440" s="3" t="s">
        <v>161</v>
      </c>
      <c r="D1440" s="3" t="s">
        <v>128</v>
      </c>
      <c r="E1440" s="3">
        <v>51</v>
      </c>
      <c r="G1440" s="19"/>
    </row>
    <row r="1441" spans="1:7" ht="12.75" x14ac:dyDescent="0.2">
      <c r="A1441" s="3">
        <v>80</v>
      </c>
      <c r="B1441" s="4" t="s">
        <v>103</v>
      </c>
      <c r="C1441" s="3" t="s">
        <v>161</v>
      </c>
      <c r="D1441" s="3" t="s">
        <v>14</v>
      </c>
      <c r="E1441" s="3">
        <v>22</v>
      </c>
      <c r="G1441" s="19"/>
    </row>
    <row r="1442" spans="1:7" ht="12.75" x14ac:dyDescent="0.2">
      <c r="A1442" s="3">
        <v>80</v>
      </c>
      <c r="B1442" s="4" t="s">
        <v>103</v>
      </c>
      <c r="C1442" s="3" t="s">
        <v>161</v>
      </c>
      <c r="D1442" s="3" t="s">
        <v>133</v>
      </c>
      <c r="E1442" s="3">
        <v>4</v>
      </c>
      <c r="G1442" s="19"/>
    </row>
    <row r="1443" spans="1:7" ht="12.75" x14ac:dyDescent="0.2">
      <c r="A1443" s="3">
        <v>80</v>
      </c>
      <c r="B1443" s="4" t="s">
        <v>103</v>
      </c>
      <c r="C1443" s="3" t="s">
        <v>161</v>
      </c>
      <c r="D1443" s="3" t="s">
        <v>138</v>
      </c>
      <c r="E1443" s="3">
        <v>1</v>
      </c>
      <c r="F1443">
        <f>SUM(E1439:E1443)</f>
        <v>166</v>
      </c>
      <c r="G1443" s="19"/>
    </row>
    <row r="1444" spans="1:7" ht="12.75" x14ac:dyDescent="0.2">
      <c r="A1444" s="3">
        <v>80</v>
      </c>
      <c r="B1444" s="4" t="s">
        <v>103</v>
      </c>
      <c r="C1444" s="3" t="s">
        <v>162</v>
      </c>
      <c r="D1444" s="3" t="s">
        <v>136</v>
      </c>
      <c r="E1444" s="3">
        <v>88</v>
      </c>
      <c r="G1444" s="19"/>
    </row>
    <row r="1445" spans="1:7" ht="12.75" x14ac:dyDescent="0.2">
      <c r="A1445" s="3">
        <v>80</v>
      </c>
      <c r="B1445" s="4" t="s">
        <v>103</v>
      </c>
      <c r="C1445" s="3" t="s">
        <v>162</v>
      </c>
      <c r="D1445" s="3" t="s">
        <v>128</v>
      </c>
      <c r="E1445" s="3">
        <v>54</v>
      </c>
      <c r="G1445" s="19"/>
    </row>
    <row r="1446" spans="1:7" ht="12.75" x14ac:dyDescent="0.2">
      <c r="A1446" s="3">
        <v>80</v>
      </c>
      <c r="B1446" s="4" t="s">
        <v>103</v>
      </c>
      <c r="C1446" s="3" t="s">
        <v>162</v>
      </c>
      <c r="D1446" s="3" t="s">
        <v>14</v>
      </c>
      <c r="E1446" s="3">
        <v>17</v>
      </c>
      <c r="G1446" s="19"/>
    </row>
    <row r="1447" spans="1:7" ht="12.75" x14ac:dyDescent="0.2">
      <c r="A1447" s="3">
        <v>80</v>
      </c>
      <c r="B1447" s="4" t="s">
        <v>103</v>
      </c>
      <c r="C1447" s="3" t="s">
        <v>162</v>
      </c>
      <c r="D1447" s="3" t="s">
        <v>133</v>
      </c>
      <c r="E1447" s="3">
        <v>5</v>
      </c>
      <c r="G1447" s="19"/>
    </row>
    <row r="1448" spans="1:7" ht="12.75" x14ac:dyDescent="0.2">
      <c r="A1448" s="3">
        <v>80</v>
      </c>
      <c r="B1448" s="4" t="s">
        <v>103</v>
      </c>
      <c r="C1448" s="3" t="s">
        <v>162</v>
      </c>
      <c r="D1448" s="3" t="s">
        <v>149</v>
      </c>
      <c r="E1448" s="3">
        <v>1</v>
      </c>
      <c r="G1448" s="19"/>
    </row>
    <row r="1449" spans="1:7" ht="12.75" x14ac:dyDescent="0.2">
      <c r="A1449" s="3">
        <v>80</v>
      </c>
      <c r="B1449" s="4" t="s">
        <v>103</v>
      </c>
      <c r="C1449" s="3" t="s">
        <v>162</v>
      </c>
      <c r="D1449" s="3" t="s">
        <v>138</v>
      </c>
      <c r="E1449" s="3">
        <v>1</v>
      </c>
      <c r="F1449">
        <f>SUM(E1444:E1449)</f>
        <v>166</v>
      </c>
      <c r="G1449" s="19"/>
    </row>
    <row r="1450" spans="1:7" ht="12.75" x14ac:dyDescent="0.2">
      <c r="A1450" s="3">
        <v>81</v>
      </c>
      <c r="B1450" s="4" t="s">
        <v>104</v>
      </c>
      <c r="C1450" s="3" t="s">
        <v>2</v>
      </c>
      <c r="D1450" s="3" t="s">
        <v>3</v>
      </c>
      <c r="E1450" s="3">
        <v>1890</v>
      </c>
      <c r="G1450" s="19"/>
    </row>
    <row r="1451" spans="1:7" ht="12.75" x14ac:dyDescent="0.2">
      <c r="A1451" s="3">
        <v>81</v>
      </c>
      <c r="B1451" s="4" t="s">
        <v>104</v>
      </c>
      <c r="C1451" s="3" t="s">
        <v>2</v>
      </c>
      <c r="D1451" s="3" t="s">
        <v>128</v>
      </c>
      <c r="E1451" s="3">
        <v>1214</v>
      </c>
      <c r="G1451" s="19"/>
    </row>
    <row r="1452" spans="1:7" ht="12.75" x14ac:dyDescent="0.2">
      <c r="A1452" s="3">
        <v>81</v>
      </c>
      <c r="B1452" s="4" t="s">
        <v>104</v>
      </c>
      <c r="C1452" s="3" t="s">
        <v>2</v>
      </c>
      <c r="D1452" s="3" t="s">
        <v>14</v>
      </c>
      <c r="E1452" s="3">
        <v>139</v>
      </c>
      <c r="F1452">
        <f>SUM(E1450:E1453)</f>
        <v>3320</v>
      </c>
      <c r="G1452" s="19"/>
    </row>
    <row r="1453" spans="1:7" ht="12.75" x14ac:dyDescent="0.2">
      <c r="A1453" s="3">
        <v>81</v>
      </c>
      <c r="B1453" s="4" t="s">
        <v>104</v>
      </c>
      <c r="C1453" s="3" t="s">
        <v>2</v>
      </c>
      <c r="D1453" s="3" t="s">
        <v>138</v>
      </c>
      <c r="E1453" s="3">
        <v>77</v>
      </c>
      <c r="G1453" s="19"/>
    </row>
    <row r="1454" spans="1:7" ht="12.75" x14ac:dyDescent="0.2">
      <c r="A1454" s="3">
        <v>81</v>
      </c>
      <c r="B1454" s="4" t="s">
        <v>104</v>
      </c>
      <c r="C1454" s="3" t="s">
        <v>162</v>
      </c>
      <c r="D1454" s="3" t="s">
        <v>3</v>
      </c>
      <c r="E1454" s="3">
        <v>1770</v>
      </c>
      <c r="G1454" s="19"/>
    </row>
    <row r="1455" spans="1:7" ht="12.75" x14ac:dyDescent="0.2">
      <c r="A1455" s="3">
        <v>81</v>
      </c>
      <c r="B1455" s="4" t="s">
        <v>104</v>
      </c>
      <c r="C1455" s="3" t="s">
        <v>162</v>
      </c>
      <c r="D1455" s="3" t="s">
        <v>128</v>
      </c>
      <c r="E1455" s="3">
        <v>1140</v>
      </c>
      <c r="G1455" s="19"/>
    </row>
    <row r="1456" spans="1:7" ht="12.75" x14ac:dyDescent="0.2">
      <c r="A1456" s="3">
        <v>81</v>
      </c>
      <c r="B1456" s="4" t="s">
        <v>104</v>
      </c>
      <c r="C1456" s="3" t="s">
        <v>162</v>
      </c>
      <c r="D1456" s="3" t="s">
        <v>133</v>
      </c>
      <c r="E1456" s="3">
        <v>130</v>
      </c>
      <c r="G1456" s="19"/>
    </row>
    <row r="1457" spans="1:7" ht="12.75" x14ac:dyDescent="0.2">
      <c r="A1457" s="3">
        <v>81</v>
      </c>
      <c r="B1457" s="4" t="s">
        <v>104</v>
      </c>
      <c r="C1457" s="3" t="s">
        <v>162</v>
      </c>
      <c r="D1457" s="3" t="s">
        <v>138</v>
      </c>
      <c r="E1457" s="3">
        <v>78</v>
      </c>
      <c r="G1457" s="19"/>
    </row>
    <row r="1458" spans="1:7" ht="12.75" x14ac:dyDescent="0.2">
      <c r="A1458" s="3">
        <v>81</v>
      </c>
      <c r="B1458" s="4" t="s">
        <v>104</v>
      </c>
      <c r="C1458" s="3" t="s">
        <v>162</v>
      </c>
      <c r="D1458" s="3" t="s">
        <v>14</v>
      </c>
      <c r="E1458" s="3">
        <v>73</v>
      </c>
      <c r="G1458" s="19"/>
    </row>
    <row r="1459" spans="1:7" ht="12.75" x14ac:dyDescent="0.2">
      <c r="A1459" s="3">
        <v>81</v>
      </c>
      <c r="B1459" s="4" t="s">
        <v>104</v>
      </c>
      <c r="C1459" s="3" t="s">
        <v>162</v>
      </c>
      <c r="D1459" s="3" t="s">
        <v>149</v>
      </c>
      <c r="E1459" s="3">
        <v>59</v>
      </c>
      <c r="F1459">
        <f>SUM(E1454:E1463)</f>
        <v>3320</v>
      </c>
      <c r="G1459" s="19"/>
    </row>
    <row r="1460" spans="1:7" ht="12.75" x14ac:dyDescent="0.2">
      <c r="A1460" s="3">
        <v>81</v>
      </c>
      <c r="B1460" s="4" t="s">
        <v>104</v>
      </c>
      <c r="C1460" s="3" t="s">
        <v>162</v>
      </c>
      <c r="D1460" s="3" t="s">
        <v>148</v>
      </c>
      <c r="E1460" s="3">
        <v>34</v>
      </c>
      <c r="G1460" s="19"/>
    </row>
    <row r="1461" spans="1:7" ht="12.75" x14ac:dyDescent="0.2">
      <c r="A1461" s="3">
        <v>81</v>
      </c>
      <c r="B1461" s="4" t="s">
        <v>104</v>
      </c>
      <c r="C1461" s="3" t="s">
        <v>162</v>
      </c>
      <c r="D1461" s="3" t="s">
        <v>145</v>
      </c>
      <c r="E1461" s="3">
        <v>15</v>
      </c>
      <c r="G1461" s="19"/>
    </row>
    <row r="1462" spans="1:7" ht="12.75" x14ac:dyDescent="0.2">
      <c r="A1462" s="3">
        <v>81</v>
      </c>
      <c r="B1462" s="4" t="s">
        <v>104</v>
      </c>
      <c r="C1462" s="3" t="s">
        <v>162</v>
      </c>
      <c r="D1462" s="3" t="s">
        <v>139</v>
      </c>
      <c r="E1462" s="3">
        <v>11</v>
      </c>
      <c r="G1462" s="19"/>
    </row>
    <row r="1463" spans="1:7" ht="12.75" x14ac:dyDescent="0.2">
      <c r="A1463" s="3">
        <v>81</v>
      </c>
      <c r="B1463" s="4" t="s">
        <v>104</v>
      </c>
      <c r="C1463" s="3" t="s">
        <v>162</v>
      </c>
      <c r="D1463" s="3" t="s">
        <v>135</v>
      </c>
      <c r="E1463" s="3">
        <v>10</v>
      </c>
      <c r="G1463" s="19"/>
    </row>
    <row r="1464" spans="1:7" ht="12.75" x14ac:dyDescent="0.2">
      <c r="A1464" s="3">
        <v>81</v>
      </c>
      <c r="B1464" s="4" t="s">
        <v>104</v>
      </c>
      <c r="C1464" s="3" t="s">
        <v>161</v>
      </c>
      <c r="D1464" s="3" t="s">
        <v>3</v>
      </c>
      <c r="E1464" s="3">
        <v>1783</v>
      </c>
      <c r="G1464" s="19"/>
    </row>
    <row r="1465" spans="1:7" ht="12.75" x14ac:dyDescent="0.2">
      <c r="A1465" s="3">
        <v>81</v>
      </c>
      <c r="B1465" s="4" t="s">
        <v>104</v>
      </c>
      <c r="C1465" s="3" t="s">
        <v>161</v>
      </c>
      <c r="D1465" s="3" t="s">
        <v>128</v>
      </c>
      <c r="E1465" s="3">
        <v>1114</v>
      </c>
      <c r="G1465" s="19"/>
    </row>
    <row r="1466" spans="1:7" ht="12.75" x14ac:dyDescent="0.2">
      <c r="A1466" s="3">
        <v>81</v>
      </c>
      <c r="B1466" s="4" t="s">
        <v>104</v>
      </c>
      <c r="C1466" s="3" t="s">
        <v>161</v>
      </c>
      <c r="D1466" s="3" t="s">
        <v>14</v>
      </c>
      <c r="E1466" s="3">
        <v>100</v>
      </c>
      <c r="G1466" s="19"/>
    </row>
    <row r="1467" spans="1:7" ht="12.75" x14ac:dyDescent="0.2">
      <c r="A1467" s="3">
        <v>81</v>
      </c>
      <c r="B1467" s="4" t="s">
        <v>104</v>
      </c>
      <c r="C1467" s="3" t="s">
        <v>161</v>
      </c>
      <c r="D1467" s="3" t="s">
        <v>138</v>
      </c>
      <c r="E1467" s="3">
        <v>92</v>
      </c>
      <c r="G1467" s="19"/>
    </row>
    <row r="1468" spans="1:7" ht="12.75" x14ac:dyDescent="0.2">
      <c r="A1468" s="3">
        <v>81</v>
      </c>
      <c r="B1468" s="4" t="s">
        <v>104</v>
      </c>
      <c r="C1468" s="3" t="s">
        <v>161</v>
      </c>
      <c r="D1468" s="3" t="s">
        <v>133</v>
      </c>
      <c r="E1468" s="3">
        <v>84</v>
      </c>
      <c r="G1468" s="19"/>
    </row>
    <row r="1469" spans="1:7" ht="12.75" x14ac:dyDescent="0.2">
      <c r="A1469" s="3">
        <v>81</v>
      </c>
      <c r="B1469" s="4" t="s">
        <v>104</v>
      </c>
      <c r="C1469" s="3" t="s">
        <v>161</v>
      </c>
      <c r="D1469" s="3" t="s">
        <v>149</v>
      </c>
      <c r="E1469" s="3">
        <v>56</v>
      </c>
      <c r="F1469">
        <f>SUM(E1464:E1473)</f>
        <v>3320</v>
      </c>
      <c r="G1469" s="19"/>
    </row>
    <row r="1470" spans="1:7" ht="12.75" x14ac:dyDescent="0.2">
      <c r="A1470" s="3">
        <v>81</v>
      </c>
      <c r="B1470" s="4" t="s">
        <v>104</v>
      </c>
      <c r="C1470" s="3" t="s">
        <v>161</v>
      </c>
      <c r="D1470" s="3" t="s">
        <v>148</v>
      </c>
      <c r="E1470" s="3">
        <v>52</v>
      </c>
      <c r="G1470" s="19"/>
    </row>
    <row r="1471" spans="1:7" ht="12.75" x14ac:dyDescent="0.2">
      <c r="A1471" s="3">
        <v>81</v>
      </c>
      <c r="B1471" s="4" t="s">
        <v>104</v>
      </c>
      <c r="C1471" s="3" t="s">
        <v>161</v>
      </c>
      <c r="D1471" s="3" t="s">
        <v>145</v>
      </c>
      <c r="E1471" s="3">
        <v>17</v>
      </c>
      <c r="G1471" s="19"/>
    </row>
    <row r="1472" spans="1:7" ht="12.75" x14ac:dyDescent="0.2">
      <c r="A1472" s="3">
        <v>81</v>
      </c>
      <c r="B1472" s="4" t="s">
        <v>104</v>
      </c>
      <c r="C1472" s="3" t="s">
        <v>161</v>
      </c>
      <c r="D1472" s="3" t="s">
        <v>139</v>
      </c>
      <c r="E1472" s="3">
        <v>11</v>
      </c>
      <c r="G1472" s="19"/>
    </row>
    <row r="1473" spans="1:7" ht="12.75" x14ac:dyDescent="0.2">
      <c r="A1473" s="3">
        <v>81</v>
      </c>
      <c r="B1473" s="4" t="s">
        <v>104</v>
      </c>
      <c r="C1473" s="3" t="s">
        <v>161</v>
      </c>
      <c r="D1473" s="3" t="s">
        <v>135</v>
      </c>
      <c r="E1473" s="3">
        <v>11</v>
      </c>
      <c r="G1473" s="19"/>
    </row>
    <row r="1474" spans="1:7" ht="12.75" x14ac:dyDescent="0.2">
      <c r="A1474" s="3">
        <v>82</v>
      </c>
      <c r="B1474" s="4" t="s">
        <v>105</v>
      </c>
      <c r="C1474" s="3" t="s">
        <v>2</v>
      </c>
      <c r="D1474" s="3" t="s">
        <v>3</v>
      </c>
      <c r="E1474" s="3">
        <v>2723</v>
      </c>
      <c r="F1474">
        <f>SUM(E1474:E1478)</f>
        <v>5376</v>
      </c>
      <c r="G1474" s="19"/>
    </row>
    <row r="1475" spans="1:7" ht="12.75" x14ac:dyDescent="0.2">
      <c r="A1475" s="3">
        <v>82</v>
      </c>
      <c r="B1475" s="4" t="s">
        <v>105</v>
      </c>
      <c r="C1475" s="3" t="s">
        <v>2</v>
      </c>
      <c r="D1475" s="3" t="s">
        <v>128</v>
      </c>
      <c r="E1475" s="3">
        <v>2025</v>
      </c>
      <c r="G1475" s="19"/>
    </row>
    <row r="1476" spans="1:7" ht="12.75" x14ac:dyDescent="0.2">
      <c r="A1476" s="3">
        <v>82</v>
      </c>
      <c r="B1476" s="4" t="s">
        <v>105</v>
      </c>
      <c r="C1476" s="3" t="s">
        <v>2</v>
      </c>
      <c r="D1476" s="3" t="s">
        <v>139</v>
      </c>
      <c r="E1476" s="3">
        <v>300</v>
      </c>
      <c r="G1476" s="19"/>
    </row>
    <row r="1477" spans="1:7" ht="12.75" x14ac:dyDescent="0.2">
      <c r="A1477" s="3">
        <v>82</v>
      </c>
      <c r="B1477" s="4" t="s">
        <v>105</v>
      </c>
      <c r="C1477" s="3" t="s">
        <v>2</v>
      </c>
      <c r="D1477" s="3" t="s">
        <v>14</v>
      </c>
      <c r="E1477" s="3">
        <v>273</v>
      </c>
      <c r="G1477" s="19"/>
    </row>
    <row r="1478" spans="1:7" ht="12.75" x14ac:dyDescent="0.2">
      <c r="A1478" s="3">
        <v>82</v>
      </c>
      <c r="B1478" s="4" t="s">
        <v>105</v>
      </c>
      <c r="C1478" s="3" t="s">
        <v>2</v>
      </c>
      <c r="D1478" s="3" t="s">
        <v>138</v>
      </c>
      <c r="E1478" s="3">
        <v>55</v>
      </c>
      <c r="G1478" s="19"/>
    </row>
    <row r="1479" spans="1:7" ht="12.75" x14ac:dyDescent="0.2">
      <c r="A1479" s="3">
        <v>82</v>
      </c>
      <c r="B1479" s="4" t="s">
        <v>105</v>
      </c>
      <c r="C1479" s="3" t="s">
        <v>162</v>
      </c>
      <c r="D1479" s="3" t="s">
        <v>3</v>
      </c>
      <c r="E1479" s="3">
        <v>2815</v>
      </c>
      <c r="G1479" s="19"/>
    </row>
    <row r="1480" spans="1:7" ht="12.75" x14ac:dyDescent="0.2">
      <c r="A1480" s="3">
        <v>82</v>
      </c>
      <c r="B1480" s="4" t="s">
        <v>105</v>
      </c>
      <c r="C1480" s="3" t="s">
        <v>162</v>
      </c>
      <c r="D1480" s="3" t="s">
        <v>128</v>
      </c>
      <c r="E1480" s="3">
        <v>1829</v>
      </c>
      <c r="G1480" s="19"/>
    </row>
    <row r="1481" spans="1:7" ht="12.75" x14ac:dyDescent="0.2">
      <c r="A1481" s="3">
        <v>82</v>
      </c>
      <c r="B1481" s="4" t="s">
        <v>105</v>
      </c>
      <c r="C1481" s="3" t="s">
        <v>162</v>
      </c>
      <c r="D1481" s="3" t="s">
        <v>139</v>
      </c>
      <c r="E1481" s="3">
        <v>188</v>
      </c>
      <c r="G1481" s="19"/>
    </row>
    <row r="1482" spans="1:7" ht="12.75" x14ac:dyDescent="0.2">
      <c r="A1482" s="3">
        <v>82</v>
      </c>
      <c r="B1482" s="4" t="s">
        <v>105</v>
      </c>
      <c r="C1482" s="3" t="s">
        <v>162</v>
      </c>
      <c r="D1482" s="3" t="s">
        <v>149</v>
      </c>
      <c r="E1482" s="3">
        <v>152</v>
      </c>
      <c r="G1482" s="19"/>
    </row>
    <row r="1483" spans="1:7" ht="12.75" x14ac:dyDescent="0.2">
      <c r="A1483" s="3">
        <v>82</v>
      </c>
      <c r="B1483" s="4" t="s">
        <v>105</v>
      </c>
      <c r="C1483" s="3" t="s">
        <v>162</v>
      </c>
      <c r="D1483" s="3" t="s">
        <v>14</v>
      </c>
      <c r="E1483" s="3">
        <v>141</v>
      </c>
      <c r="G1483" s="19"/>
    </row>
    <row r="1484" spans="1:7" ht="12.75" x14ac:dyDescent="0.2">
      <c r="A1484" s="3">
        <v>82</v>
      </c>
      <c r="B1484" s="4" t="s">
        <v>105</v>
      </c>
      <c r="C1484" s="3" t="s">
        <v>162</v>
      </c>
      <c r="D1484" s="3" t="s">
        <v>133</v>
      </c>
      <c r="E1484" s="3">
        <v>109</v>
      </c>
      <c r="F1484">
        <f>SUM(E1479:E1488)</f>
        <v>5376</v>
      </c>
      <c r="G1484" s="19"/>
    </row>
    <row r="1485" spans="1:7" ht="12.75" x14ac:dyDescent="0.2">
      <c r="A1485" s="3">
        <v>82</v>
      </c>
      <c r="B1485" s="4" t="s">
        <v>105</v>
      </c>
      <c r="C1485" s="3" t="s">
        <v>162</v>
      </c>
      <c r="D1485" s="3" t="s">
        <v>138</v>
      </c>
      <c r="E1485" s="3">
        <v>70</v>
      </c>
      <c r="G1485" s="19"/>
    </row>
    <row r="1486" spans="1:7" ht="12.75" x14ac:dyDescent="0.2">
      <c r="A1486" s="3">
        <v>82</v>
      </c>
      <c r="B1486" s="4" t="s">
        <v>105</v>
      </c>
      <c r="C1486" s="3" t="s">
        <v>162</v>
      </c>
      <c r="D1486" s="3" t="s">
        <v>148</v>
      </c>
      <c r="E1486" s="3">
        <v>31</v>
      </c>
      <c r="G1486" s="19"/>
    </row>
    <row r="1487" spans="1:7" ht="12.75" x14ac:dyDescent="0.2">
      <c r="A1487" s="3">
        <v>82</v>
      </c>
      <c r="B1487" s="4" t="s">
        <v>105</v>
      </c>
      <c r="C1487" s="3" t="s">
        <v>162</v>
      </c>
      <c r="D1487" s="3" t="s">
        <v>145</v>
      </c>
      <c r="E1487" s="3">
        <v>21</v>
      </c>
      <c r="G1487" s="19"/>
    </row>
    <row r="1488" spans="1:7" ht="12.75" x14ac:dyDescent="0.2">
      <c r="A1488" s="3">
        <v>82</v>
      </c>
      <c r="B1488" s="4" t="s">
        <v>105</v>
      </c>
      <c r="C1488" s="3" t="s">
        <v>162</v>
      </c>
      <c r="D1488" s="3" t="s">
        <v>135</v>
      </c>
      <c r="E1488" s="3">
        <v>20</v>
      </c>
      <c r="G1488" s="19"/>
    </row>
    <row r="1489" spans="1:7" ht="12.75" x14ac:dyDescent="0.2">
      <c r="A1489" s="3">
        <v>82</v>
      </c>
      <c r="B1489" s="4" t="s">
        <v>105</v>
      </c>
      <c r="C1489" s="3" t="s">
        <v>161</v>
      </c>
      <c r="D1489" s="3" t="s">
        <v>3</v>
      </c>
      <c r="E1489" s="3">
        <v>2746</v>
      </c>
      <c r="G1489" s="19"/>
    </row>
    <row r="1490" spans="1:7" ht="12.75" x14ac:dyDescent="0.2">
      <c r="A1490" s="3">
        <v>82</v>
      </c>
      <c r="B1490" s="4" t="s">
        <v>105</v>
      </c>
      <c r="C1490" s="3" t="s">
        <v>161</v>
      </c>
      <c r="D1490" s="3" t="s">
        <v>128</v>
      </c>
      <c r="E1490" s="3">
        <v>1841</v>
      </c>
      <c r="G1490" s="19"/>
    </row>
    <row r="1491" spans="1:7" ht="12.75" x14ac:dyDescent="0.2">
      <c r="A1491" s="3">
        <v>82</v>
      </c>
      <c r="B1491" s="4" t="s">
        <v>105</v>
      </c>
      <c r="C1491" s="3" t="s">
        <v>161</v>
      </c>
      <c r="D1491" s="3" t="s">
        <v>14</v>
      </c>
      <c r="E1491" s="3">
        <v>199</v>
      </c>
      <c r="G1491" s="19"/>
    </row>
    <row r="1492" spans="1:7" ht="12.75" x14ac:dyDescent="0.2">
      <c r="A1492" s="3">
        <v>82</v>
      </c>
      <c r="B1492" s="4" t="s">
        <v>105</v>
      </c>
      <c r="C1492" s="3" t="s">
        <v>161</v>
      </c>
      <c r="D1492" s="3" t="s">
        <v>139</v>
      </c>
      <c r="E1492" s="3">
        <v>193</v>
      </c>
      <c r="G1492" s="19"/>
    </row>
    <row r="1493" spans="1:7" ht="12.75" x14ac:dyDescent="0.2">
      <c r="A1493" s="3">
        <v>82</v>
      </c>
      <c r="B1493" s="4" t="s">
        <v>105</v>
      </c>
      <c r="C1493" s="3" t="s">
        <v>161</v>
      </c>
      <c r="D1493" s="3" t="s">
        <v>149</v>
      </c>
      <c r="E1493" s="3">
        <v>150</v>
      </c>
      <c r="G1493" s="19"/>
    </row>
    <row r="1494" spans="1:7" ht="12.75" x14ac:dyDescent="0.2">
      <c r="A1494" s="3">
        <v>82</v>
      </c>
      <c r="B1494" s="4" t="s">
        <v>105</v>
      </c>
      <c r="C1494" s="3" t="s">
        <v>161</v>
      </c>
      <c r="D1494" s="3" t="s">
        <v>133</v>
      </c>
      <c r="E1494" s="3">
        <v>89</v>
      </c>
      <c r="F1494">
        <f>SUM(E1489:E1498)</f>
        <v>5376</v>
      </c>
      <c r="G1494" s="19"/>
    </row>
    <row r="1495" spans="1:7" ht="12.75" x14ac:dyDescent="0.2">
      <c r="A1495" s="3">
        <v>82</v>
      </c>
      <c r="B1495" s="4" t="s">
        <v>105</v>
      </c>
      <c r="C1495" s="3" t="s">
        <v>161</v>
      </c>
      <c r="D1495" s="3" t="s">
        <v>138</v>
      </c>
      <c r="E1495" s="3">
        <v>67</v>
      </c>
      <c r="G1495" s="19"/>
    </row>
    <row r="1496" spans="1:7" ht="12.75" x14ac:dyDescent="0.2">
      <c r="A1496" s="3">
        <v>82</v>
      </c>
      <c r="B1496" s="4" t="s">
        <v>105</v>
      </c>
      <c r="C1496" s="3" t="s">
        <v>161</v>
      </c>
      <c r="D1496" s="3" t="s">
        <v>148</v>
      </c>
      <c r="E1496" s="3">
        <v>52</v>
      </c>
      <c r="G1496" s="19"/>
    </row>
    <row r="1497" spans="1:7" ht="12.75" x14ac:dyDescent="0.2">
      <c r="A1497" s="3">
        <v>82</v>
      </c>
      <c r="B1497" s="4" t="s">
        <v>105</v>
      </c>
      <c r="C1497" s="3" t="s">
        <v>161</v>
      </c>
      <c r="D1497" s="3" t="s">
        <v>145</v>
      </c>
      <c r="E1497" s="3">
        <v>20</v>
      </c>
      <c r="G1497" s="19"/>
    </row>
    <row r="1498" spans="1:7" ht="12.75" x14ac:dyDescent="0.2">
      <c r="A1498" s="3">
        <v>82</v>
      </c>
      <c r="B1498" s="4" t="s">
        <v>105</v>
      </c>
      <c r="C1498" s="3" t="s">
        <v>161</v>
      </c>
      <c r="D1498" s="3" t="s">
        <v>135</v>
      </c>
      <c r="E1498" s="3">
        <v>19</v>
      </c>
      <c r="G1498" s="19"/>
    </row>
    <row r="1499" spans="1:7" ht="12.75" x14ac:dyDescent="0.2">
      <c r="A1499" s="3">
        <v>86</v>
      </c>
      <c r="B1499" s="4" t="s">
        <v>106</v>
      </c>
      <c r="C1499" s="3" t="s">
        <v>2</v>
      </c>
      <c r="D1499" s="3" t="s">
        <v>3</v>
      </c>
      <c r="E1499" s="3">
        <v>5309</v>
      </c>
      <c r="G1499" s="19"/>
    </row>
    <row r="1500" spans="1:7" ht="12.75" x14ac:dyDescent="0.2">
      <c r="A1500" s="3">
        <v>86</v>
      </c>
      <c r="B1500" s="4" t="s">
        <v>106</v>
      </c>
      <c r="C1500" s="3" t="s">
        <v>2</v>
      </c>
      <c r="D1500" s="3" t="s">
        <v>128</v>
      </c>
      <c r="E1500" s="3">
        <v>1964</v>
      </c>
      <c r="G1500" s="19"/>
    </row>
    <row r="1501" spans="1:7" ht="12.75" x14ac:dyDescent="0.2">
      <c r="A1501" s="3">
        <v>86</v>
      </c>
      <c r="B1501" s="4" t="s">
        <v>106</v>
      </c>
      <c r="C1501" s="3" t="s">
        <v>2</v>
      </c>
      <c r="D1501" s="3" t="s">
        <v>133</v>
      </c>
      <c r="E1501" s="3">
        <v>744</v>
      </c>
      <c r="G1501" s="19"/>
    </row>
    <row r="1502" spans="1:7" ht="12.75" x14ac:dyDescent="0.2">
      <c r="A1502" s="3">
        <v>86</v>
      </c>
      <c r="B1502" s="4" t="s">
        <v>106</v>
      </c>
      <c r="C1502" s="3" t="s">
        <v>2</v>
      </c>
      <c r="D1502" s="3" t="s">
        <v>14</v>
      </c>
      <c r="E1502" s="3">
        <v>492</v>
      </c>
      <c r="F1502">
        <f>SUM(E1499:E1506)</f>
        <v>9440</v>
      </c>
      <c r="G1502" s="19"/>
    </row>
    <row r="1503" spans="1:7" ht="12.75" x14ac:dyDescent="0.2">
      <c r="A1503" s="3">
        <v>86</v>
      </c>
      <c r="B1503" s="4" t="s">
        <v>106</v>
      </c>
      <c r="C1503" s="3" t="s">
        <v>2</v>
      </c>
      <c r="D1503" s="3" t="s">
        <v>149</v>
      </c>
      <c r="E1503" s="3">
        <v>383</v>
      </c>
      <c r="G1503" s="19"/>
    </row>
    <row r="1504" spans="1:7" ht="12.75" x14ac:dyDescent="0.2">
      <c r="A1504" s="3">
        <v>86</v>
      </c>
      <c r="B1504" s="4" t="s">
        <v>106</v>
      </c>
      <c r="C1504" s="3" t="s">
        <v>2</v>
      </c>
      <c r="D1504" s="3" t="s">
        <v>139</v>
      </c>
      <c r="E1504" s="3">
        <v>247</v>
      </c>
      <c r="G1504" s="19"/>
    </row>
    <row r="1505" spans="1:7" ht="12.75" x14ac:dyDescent="0.2">
      <c r="A1505" s="3">
        <v>86</v>
      </c>
      <c r="B1505" s="4" t="s">
        <v>106</v>
      </c>
      <c r="C1505" s="3" t="s">
        <v>2</v>
      </c>
      <c r="D1505" s="3" t="s">
        <v>148</v>
      </c>
      <c r="E1505" s="3">
        <v>207</v>
      </c>
      <c r="G1505" s="19"/>
    </row>
    <row r="1506" spans="1:7" ht="12.75" x14ac:dyDescent="0.2">
      <c r="A1506" s="3">
        <v>86</v>
      </c>
      <c r="B1506" s="4" t="s">
        <v>106</v>
      </c>
      <c r="C1506" s="3" t="s">
        <v>2</v>
      </c>
      <c r="D1506" s="3" t="s">
        <v>138</v>
      </c>
      <c r="E1506" s="3">
        <v>94</v>
      </c>
      <c r="G1506" s="19"/>
    </row>
    <row r="1507" spans="1:7" ht="12.75" x14ac:dyDescent="0.2">
      <c r="A1507" s="3">
        <v>86</v>
      </c>
      <c r="B1507" s="4" t="s">
        <v>106</v>
      </c>
      <c r="C1507" s="3" t="s">
        <v>162</v>
      </c>
      <c r="D1507" s="3" t="s">
        <v>3</v>
      </c>
      <c r="E1507" s="3">
        <v>5019</v>
      </c>
      <c r="G1507" s="19"/>
    </row>
    <row r="1508" spans="1:7" ht="12.75" x14ac:dyDescent="0.2">
      <c r="A1508" s="3">
        <v>86</v>
      </c>
      <c r="B1508" s="4" t="s">
        <v>106</v>
      </c>
      <c r="C1508" s="3" t="s">
        <v>162</v>
      </c>
      <c r="D1508" s="3" t="s">
        <v>128</v>
      </c>
      <c r="E1508" s="3">
        <v>2167</v>
      </c>
      <c r="G1508" s="19"/>
    </row>
    <row r="1509" spans="1:7" ht="12.75" x14ac:dyDescent="0.2">
      <c r="A1509" s="3">
        <v>86</v>
      </c>
      <c r="B1509" s="4" t="s">
        <v>106</v>
      </c>
      <c r="C1509" s="3" t="s">
        <v>162</v>
      </c>
      <c r="D1509" s="3" t="s">
        <v>133</v>
      </c>
      <c r="E1509" s="3">
        <v>940</v>
      </c>
      <c r="G1509" s="19"/>
    </row>
    <row r="1510" spans="1:7" ht="12.75" x14ac:dyDescent="0.2">
      <c r="A1510" s="3">
        <v>86</v>
      </c>
      <c r="B1510" s="4" t="s">
        <v>106</v>
      </c>
      <c r="C1510" s="3" t="s">
        <v>162</v>
      </c>
      <c r="D1510" s="3" t="s">
        <v>149</v>
      </c>
      <c r="E1510" s="3">
        <v>352</v>
      </c>
      <c r="G1510" s="19"/>
    </row>
    <row r="1511" spans="1:7" ht="12.75" x14ac:dyDescent="0.2">
      <c r="A1511" s="3">
        <v>86</v>
      </c>
      <c r="B1511" s="4" t="s">
        <v>106</v>
      </c>
      <c r="C1511" s="3" t="s">
        <v>162</v>
      </c>
      <c r="D1511" s="3" t="s">
        <v>14</v>
      </c>
      <c r="E1511" s="3">
        <v>230</v>
      </c>
      <c r="G1511" s="19"/>
    </row>
    <row r="1512" spans="1:7" ht="12.75" x14ac:dyDescent="0.2">
      <c r="A1512" s="3">
        <v>86</v>
      </c>
      <c r="B1512" s="4" t="s">
        <v>106</v>
      </c>
      <c r="C1512" s="3" t="s">
        <v>162</v>
      </c>
      <c r="D1512" s="3" t="s">
        <v>139</v>
      </c>
      <c r="E1512" s="3">
        <v>219</v>
      </c>
      <c r="F1512">
        <f>SUM(E1507:E1516)</f>
        <v>9440</v>
      </c>
      <c r="G1512" s="19"/>
    </row>
    <row r="1513" spans="1:7" ht="12.75" x14ac:dyDescent="0.2">
      <c r="A1513" s="3">
        <v>86</v>
      </c>
      <c r="B1513" s="4" t="s">
        <v>106</v>
      </c>
      <c r="C1513" s="3" t="s">
        <v>162</v>
      </c>
      <c r="D1513" s="3" t="s">
        <v>148</v>
      </c>
      <c r="E1513" s="3">
        <v>204</v>
      </c>
      <c r="G1513" s="19"/>
    </row>
    <row r="1514" spans="1:7" ht="12.75" x14ac:dyDescent="0.2">
      <c r="A1514" s="3">
        <v>86</v>
      </c>
      <c r="B1514" s="4" t="s">
        <v>106</v>
      </c>
      <c r="C1514" s="3" t="s">
        <v>162</v>
      </c>
      <c r="D1514" s="3" t="s">
        <v>138</v>
      </c>
      <c r="E1514" s="3">
        <v>110</v>
      </c>
      <c r="G1514" s="19"/>
    </row>
    <row r="1515" spans="1:7" ht="12.75" x14ac:dyDescent="0.2">
      <c r="A1515" s="3">
        <v>86</v>
      </c>
      <c r="B1515" s="4" t="s">
        <v>106</v>
      </c>
      <c r="C1515" s="3" t="s">
        <v>162</v>
      </c>
      <c r="D1515" s="3" t="s">
        <v>145</v>
      </c>
      <c r="E1515" s="3">
        <v>106</v>
      </c>
      <c r="G1515" s="19"/>
    </row>
    <row r="1516" spans="1:7" ht="12.75" x14ac:dyDescent="0.2">
      <c r="A1516" s="3">
        <v>86</v>
      </c>
      <c r="B1516" s="4" t="s">
        <v>106</v>
      </c>
      <c r="C1516" s="3" t="s">
        <v>162</v>
      </c>
      <c r="D1516" s="3" t="s">
        <v>135</v>
      </c>
      <c r="E1516" s="3">
        <v>93</v>
      </c>
      <c r="G1516" s="19"/>
    </row>
    <row r="1517" spans="1:7" ht="12.75" x14ac:dyDescent="0.2">
      <c r="A1517" s="3">
        <v>86</v>
      </c>
      <c r="B1517" s="4" t="s">
        <v>106</v>
      </c>
      <c r="C1517" s="3" t="s">
        <v>161</v>
      </c>
      <c r="D1517" s="3" t="s">
        <v>3</v>
      </c>
      <c r="E1517" s="3">
        <v>5067</v>
      </c>
      <c r="G1517" s="19"/>
    </row>
    <row r="1518" spans="1:7" ht="12.75" x14ac:dyDescent="0.2">
      <c r="A1518" s="3">
        <v>86</v>
      </c>
      <c r="B1518" s="4" t="s">
        <v>106</v>
      </c>
      <c r="C1518" s="3" t="s">
        <v>161</v>
      </c>
      <c r="D1518" s="3" t="s">
        <v>128</v>
      </c>
      <c r="E1518" s="3">
        <v>2112</v>
      </c>
      <c r="G1518" s="19"/>
    </row>
    <row r="1519" spans="1:7" ht="12.75" x14ac:dyDescent="0.2">
      <c r="A1519" s="3">
        <v>86</v>
      </c>
      <c r="B1519" s="4" t="s">
        <v>106</v>
      </c>
      <c r="C1519" s="3" t="s">
        <v>161</v>
      </c>
      <c r="D1519" s="3" t="s">
        <v>133</v>
      </c>
      <c r="E1519" s="3">
        <v>795</v>
      </c>
      <c r="G1519" s="19"/>
    </row>
    <row r="1520" spans="1:7" ht="12.75" x14ac:dyDescent="0.2">
      <c r="A1520" s="3">
        <v>86</v>
      </c>
      <c r="B1520" s="4" t="s">
        <v>106</v>
      </c>
      <c r="C1520" s="3" t="s">
        <v>161</v>
      </c>
      <c r="D1520" s="3" t="s">
        <v>14</v>
      </c>
      <c r="E1520" s="3">
        <v>362</v>
      </c>
      <c r="G1520" s="19"/>
    </row>
    <row r="1521" spans="1:7" ht="12.75" x14ac:dyDescent="0.2">
      <c r="A1521" s="3">
        <v>86</v>
      </c>
      <c r="B1521" s="4" t="s">
        <v>106</v>
      </c>
      <c r="C1521" s="3" t="s">
        <v>161</v>
      </c>
      <c r="D1521" s="3" t="s">
        <v>149</v>
      </c>
      <c r="E1521" s="3">
        <v>361</v>
      </c>
      <c r="G1521" s="19"/>
    </row>
    <row r="1522" spans="1:7" ht="12.75" x14ac:dyDescent="0.2">
      <c r="A1522" s="3">
        <v>86</v>
      </c>
      <c r="B1522" s="4" t="s">
        <v>106</v>
      </c>
      <c r="C1522" s="3" t="s">
        <v>161</v>
      </c>
      <c r="D1522" s="3" t="s">
        <v>139</v>
      </c>
      <c r="E1522" s="3">
        <v>224</v>
      </c>
      <c r="F1522">
        <f>SUM(E1517:E1526)</f>
        <v>9440</v>
      </c>
      <c r="G1522" s="19"/>
    </row>
    <row r="1523" spans="1:7" ht="12.75" x14ac:dyDescent="0.2">
      <c r="A1523" s="3">
        <v>86</v>
      </c>
      <c r="B1523" s="4" t="s">
        <v>106</v>
      </c>
      <c r="C1523" s="3" t="s">
        <v>161</v>
      </c>
      <c r="D1523" s="3" t="s">
        <v>148</v>
      </c>
      <c r="E1523" s="3">
        <v>212</v>
      </c>
      <c r="G1523" s="19"/>
    </row>
    <row r="1524" spans="1:7" ht="12.75" x14ac:dyDescent="0.2">
      <c r="A1524" s="3">
        <v>86</v>
      </c>
      <c r="B1524" s="4" t="s">
        <v>106</v>
      </c>
      <c r="C1524" s="3" t="s">
        <v>161</v>
      </c>
      <c r="D1524" s="3" t="s">
        <v>145</v>
      </c>
      <c r="E1524" s="3">
        <v>106</v>
      </c>
      <c r="G1524" s="19"/>
    </row>
    <row r="1525" spans="1:7" ht="12.75" x14ac:dyDescent="0.2">
      <c r="A1525" s="3">
        <v>87</v>
      </c>
      <c r="B1525" s="4" t="s">
        <v>106</v>
      </c>
      <c r="C1525" s="3" t="s">
        <v>161</v>
      </c>
      <c r="D1525" s="3" t="s">
        <v>138</v>
      </c>
      <c r="E1525" s="3">
        <v>104</v>
      </c>
      <c r="G1525" s="19"/>
    </row>
    <row r="1526" spans="1:7" ht="12.75" x14ac:dyDescent="0.2">
      <c r="A1526" s="3">
        <v>87</v>
      </c>
      <c r="B1526" s="4" t="s">
        <v>106</v>
      </c>
      <c r="C1526" s="3" t="s">
        <v>161</v>
      </c>
      <c r="D1526" s="3" t="s">
        <v>135</v>
      </c>
      <c r="E1526" s="3">
        <v>97</v>
      </c>
      <c r="G1526" s="19"/>
    </row>
    <row r="1527" spans="1:7" ht="12.75" x14ac:dyDescent="0.2">
      <c r="A1527" s="3">
        <v>87</v>
      </c>
      <c r="B1527" s="4" t="s">
        <v>107</v>
      </c>
      <c r="C1527" s="3" t="s">
        <v>2</v>
      </c>
      <c r="D1527" s="3" t="s">
        <v>136</v>
      </c>
      <c r="E1527" s="3">
        <v>453</v>
      </c>
      <c r="G1527" s="19"/>
    </row>
    <row r="1528" spans="1:7" ht="12.75" x14ac:dyDescent="0.2">
      <c r="A1528" s="3">
        <v>87</v>
      </c>
      <c r="B1528" s="4" t="s">
        <v>107</v>
      </c>
      <c r="C1528" s="3" t="s">
        <v>2</v>
      </c>
      <c r="D1528" s="3" t="s">
        <v>128</v>
      </c>
      <c r="E1528" s="3">
        <v>349</v>
      </c>
      <c r="G1528" s="19"/>
    </row>
    <row r="1529" spans="1:7" ht="12.75" x14ac:dyDescent="0.2">
      <c r="A1529" s="3">
        <v>87</v>
      </c>
      <c r="B1529" s="4" t="s">
        <v>107</v>
      </c>
      <c r="C1529" s="3" t="s">
        <v>2</v>
      </c>
      <c r="D1529" s="3" t="s">
        <v>14</v>
      </c>
      <c r="E1529" s="3">
        <v>24</v>
      </c>
      <c r="G1529" s="19"/>
    </row>
    <row r="1530" spans="1:7" ht="12.75" x14ac:dyDescent="0.2">
      <c r="A1530" s="3">
        <v>87</v>
      </c>
      <c r="B1530" s="4" t="s">
        <v>107</v>
      </c>
      <c r="C1530" s="3" t="s">
        <v>2</v>
      </c>
      <c r="D1530" s="3" t="s">
        <v>138</v>
      </c>
      <c r="E1530" s="3">
        <v>1</v>
      </c>
      <c r="F1530">
        <f>SUM(E1527:E1530)</f>
        <v>827</v>
      </c>
      <c r="G1530" s="19"/>
    </row>
    <row r="1531" spans="1:7" ht="12.75" x14ac:dyDescent="0.2">
      <c r="A1531" s="3">
        <v>87</v>
      </c>
      <c r="B1531" s="4" t="s">
        <v>107</v>
      </c>
      <c r="C1531" s="3" t="s">
        <v>161</v>
      </c>
      <c r="D1531" s="3" t="s">
        <v>136</v>
      </c>
      <c r="E1531" s="3">
        <v>425</v>
      </c>
      <c r="G1531" s="19"/>
    </row>
    <row r="1532" spans="1:7" ht="12.75" x14ac:dyDescent="0.2">
      <c r="A1532" s="3">
        <v>87</v>
      </c>
      <c r="B1532" s="4" t="s">
        <v>107</v>
      </c>
      <c r="C1532" s="3" t="s">
        <v>161</v>
      </c>
      <c r="D1532" s="3" t="s">
        <v>128</v>
      </c>
      <c r="E1532" s="3">
        <v>275</v>
      </c>
      <c r="G1532" s="19"/>
    </row>
    <row r="1533" spans="1:7" ht="12.75" x14ac:dyDescent="0.2">
      <c r="A1533" s="3">
        <v>87</v>
      </c>
      <c r="B1533" s="4" t="s">
        <v>107</v>
      </c>
      <c r="C1533" s="3" t="s">
        <v>161</v>
      </c>
      <c r="D1533" s="3" t="s">
        <v>133</v>
      </c>
      <c r="E1533" s="3">
        <v>58</v>
      </c>
      <c r="G1533" s="19"/>
    </row>
    <row r="1534" spans="1:7" ht="12.75" x14ac:dyDescent="0.2">
      <c r="A1534" s="3">
        <v>87</v>
      </c>
      <c r="B1534" s="4" t="s">
        <v>107</v>
      </c>
      <c r="C1534" s="3" t="s">
        <v>161</v>
      </c>
      <c r="D1534" s="3" t="s">
        <v>14</v>
      </c>
      <c r="E1534" s="3">
        <v>36</v>
      </c>
      <c r="G1534" s="19"/>
    </row>
    <row r="1535" spans="1:7" ht="12.75" x14ac:dyDescent="0.2">
      <c r="A1535" s="3">
        <v>87</v>
      </c>
      <c r="B1535" s="4" t="s">
        <v>107</v>
      </c>
      <c r="C1535" s="3" t="s">
        <v>161</v>
      </c>
      <c r="D1535" s="3" t="s">
        <v>149</v>
      </c>
      <c r="E1535" s="3">
        <v>19</v>
      </c>
      <c r="G1535" s="19"/>
    </row>
    <row r="1536" spans="1:7" ht="12.75" x14ac:dyDescent="0.2">
      <c r="A1536" s="3">
        <v>87</v>
      </c>
      <c r="B1536" s="4" t="s">
        <v>107</v>
      </c>
      <c r="C1536" s="3" t="s">
        <v>161</v>
      </c>
      <c r="D1536" s="3" t="s">
        <v>138</v>
      </c>
      <c r="E1536" s="3">
        <v>6</v>
      </c>
      <c r="G1536" s="19"/>
    </row>
    <row r="1537" spans="1:7" ht="12.75" x14ac:dyDescent="0.2">
      <c r="A1537" s="3">
        <v>87</v>
      </c>
      <c r="B1537" s="4" t="s">
        <v>107</v>
      </c>
      <c r="C1537" s="3" t="s">
        <v>161</v>
      </c>
      <c r="D1537" s="3" t="s">
        <v>135</v>
      </c>
      <c r="E1537" s="3">
        <v>3</v>
      </c>
      <c r="G1537" s="19"/>
    </row>
    <row r="1538" spans="1:7" ht="12.75" x14ac:dyDescent="0.2">
      <c r="A1538" s="3">
        <v>87</v>
      </c>
      <c r="B1538" s="4" t="s">
        <v>107</v>
      </c>
      <c r="C1538" s="3" t="s">
        <v>161</v>
      </c>
      <c r="D1538" s="3" t="s">
        <v>148</v>
      </c>
      <c r="E1538" s="3">
        <v>2</v>
      </c>
      <c r="G1538" s="19"/>
    </row>
    <row r="1539" spans="1:7" ht="12.75" x14ac:dyDescent="0.2">
      <c r="A1539" s="3">
        <v>87</v>
      </c>
      <c r="B1539" s="4" t="s">
        <v>107</v>
      </c>
      <c r="C1539" s="3" t="s">
        <v>161</v>
      </c>
      <c r="D1539" s="3" t="s">
        <v>139</v>
      </c>
      <c r="E1539" s="3">
        <v>2</v>
      </c>
      <c r="G1539" s="19"/>
    </row>
    <row r="1540" spans="1:7" ht="12.75" x14ac:dyDescent="0.2">
      <c r="A1540" s="3">
        <v>87</v>
      </c>
      <c r="B1540" s="4" t="s">
        <v>107</v>
      </c>
      <c r="C1540" s="3" t="s">
        <v>161</v>
      </c>
      <c r="D1540" s="3" t="s">
        <v>145</v>
      </c>
      <c r="E1540" s="3">
        <v>1</v>
      </c>
      <c r="F1540">
        <f>SUM(E1531:E1540)</f>
        <v>827</v>
      </c>
      <c r="G1540" s="19"/>
    </row>
    <row r="1541" spans="1:7" ht="12.75" x14ac:dyDescent="0.2">
      <c r="A1541" s="3">
        <v>87</v>
      </c>
      <c r="B1541" s="4" t="s">
        <v>107</v>
      </c>
      <c r="C1541" s="3" t="s">
        <v>162</v>
      </c>
      <c r="D1541" s="3" t="s">
        <v>136</v>
      </c>
      <c r="E1541" s="3">
        <v>438</v>
      </c>
      <c r="G1541" s="19"/>
    </row>
    <row r="1542" spans="1:7" ht="12.75" x14ac:dyDescent="0.2">
      <c r="A1542" s="3">
        <v>87</v>
      </c>
      <c r="B1542" s="4" t="s">
        <v>107</v>
      </c>
      <c r="C1542" s="3" t="s">
        <v>162</v>
      </c>
      <c r="D1542" s="3" t="s">
        <v>128</v>
      </c>
      <c r="E1542" s="3">
        <v>278</v>
      </c>
      <c r="G1542" s="19"/>
    </row>
    <row r="1543" spans="1:7" ht="12.75" x14ac:dyDescent="0.2">
      <c r="A1543" s="3">
        <v>87</v>
      </c>
      <c r="B1543" s="4" t="s">
        <v>107</v>
      </c>
      <c r="C1543" s="3" t="s">
        <v>162</v>
      </c>
      <c r="D1543" s="3" t="s">
        <v>133</v>
      </c>
      <c r="E1543" s="3">
        <v>55</v>
      </c>
      <c r="G1543" s="19"/>
    </row>
    <row r="1544" spans="1:7" ht="12.75" x14ac:dyDescent="0.2">
      <c r="A1544" s="3">
        <v>87</v>
      </c>
      <c r="B1544" s="4" t="s">
        <v>107</v>
      </c>
      <c r="C1544" s="3" t="s">
        <v>162</v>
      </c>
      <c r="D1544" s="3" t="s">
        <v>14</v>
      </c>
      <c r="E1544" s="3">
        <v>25</v>
      </c>
      <c r="G1544" s="19"/>
    </row>
    <row r="1545" spans="1:7" ht="12.75" x14ac:dyDescent="0.2">
      <c r="A1545" s="3">
        <v>87</v>
      </c>
      <c r="B1545" s="4" t="s">
        <v>107</v>
      </c>
      <c r="C1545" s="3" t="s">
        <v>162</v>
      </c>
      <c r="D1545" s="3" t="s">
        <v>149</v>
      </c>
      <c r="E1545" s="3">
        <v>18</v>
      </c>
      <c r="G1545" s="19"/>
    </row>
    <row r="1546" spans="1:7" ht="12.75" x14ac:dyDescent="0.2">
      <c r="A1546" s="3">
        <v>87</v>
      </c>
      <c r="B1546" s="4" t="s">
        <v>107</v>
      </c>
      <c r="C1546" s="3" t="s">
        <v>162</v>
      </c>
      <c r="D1546" s="3" t="s">
        <v>138</v>
      </c>
      <c r="E1546" s="3">
        <v>6</v>
      </c>
      <c r="G1546" s="19"/>
    </row>
    <row r="1547" spans="1:7" ht="12.75" x14ac:dyDescent="0.2">
      <c r="A1547" s="3">
        <v>87</v>
      </c>
      <c r="B1547" s="4" t="s">
        <v>107</v>
      </c>
      <c r="C1547" s="3" t="s">
        <v>162</v>
      </c>
      <c r="D1547" s="3" t="s">
        <v>135</v>
      </c>
      <c r="E1547" s="3">
        <v>3</v>
      </c>
      <c r="G1547" s="19"/>
    </row>
    <row r="1548" spans="1:7" ht="12.75" x14ac:dyDescent="0.2">
      <c r="A1548" s="3">
        <v>87</v>
      </c>
      <c r="B1548" s="4" t="s">
        <v>107</v>
      </c>
      <c r="C1548" s="3" t="s">
        <v>162</v>
      </c>
      <c r="D1548" s="3" t="s">
        <v>139</v>
      </c>
      <c r="E1548" s="3">
        <v>2</v>
      </c>
      <c r="G1548" s="19"/>
    </row>
    <row r="1549" spans="1:7" ht="12.75" x14ac:dyDescent="0.2">
      <c r="A1549" s="3">
        <v>87</v>
      </c>
      <c r="B1549" s="4" t="s">
        <v>107</v>
      </c>
      <c r="C1549" s="3" t="s">
        <v>162</v>
      </c>
      <c r="D1549" s="3" t="s">
        <v>148</v>
      </c>
      <c r="E1549" s="3">
        <v>1</v>
      </c>
      <c r="G1549" s="19"/>
    </row>
    <row r="1550" spans="1:7" ht="12.75" x14ac:dyDescent="0.2">
      <c r="A1550" s="3">
        <v>87</v>
      </c>
      <c r="B1550" s="4" t="s">
        <v>107</v>
      </c>
      <c r="C1550" s="3" t="s">
        <v>162</v>
      </c>
      <c r="D1550" s="3" t="s">
        <v>145</v>
      </c>
      <c r="E1550" s="3">
        <v>1</v>
      </c>
      <c r="F1550">
        <f>SUM(E1541:E1550)</f>
        <v>827</v>
      </c>
      <c r="G1550" s="19"/>
    </row>
    <row r="1551" spans="1:7" ht="12.75" x14ac:dyDescent="0.2">
      <c r="A1551" s="3">
        <v>88</v>
      </c>
      <c r="B1551" s="4" t="s">
        <v>108</v>
      </c>
      <c r="C1551" s="3" t="s">
        <v>2</v>
      </c>
      <c r="D1551" s="3" t="s">
        <v>136</v>
      </c>
      <c r="E1551" s="3">
        <v>218</v>
      </c>
      <c r="G1551" s="19"/>
    </row>
    <row r="1552" spans="1:7" ht="12.75" x14ac:dyDescent="0.2">
      <c r="A1552" s="3">
        <v>88</v>
      </c>
      <c r="B1552" s="4" t="s">
        <v>108</v>
      </c>
      <c r="C1552" s="3" t="s">
        <v>2</v>
      </c>
      <c r="D1552" s="3" t="s">
        <v>128</v>
      </c>
      <c r="E1552" s="3">
        <v>154</v>
      </c>
      <c r="G1552" s="19"/>
    </row>
    <row r="1553" spans="1:7" ht="12.75" x14ac:dyDescent="0.2">
      <c r="A1553" s="3">
        <v>88</v>
      </c>
      <c r="B1553" s="4" t="s">
        <v>108</v>
      </c>
      <c r="C1553" s="3" t="s">
        <v>2</v>
      </c>
      <c r="D1553" s="3" t="s">
        <v>133</v>
      </c>
      <c r="E1553" s="3">
        <v>56</v>
      </c>
      <c r="G1553" s="19"/>
    </row>
    <row r="1554" spans="1:7" ht="12.75" x14ac:dyDescent="0.2">
      <c r="A1554" s="3">
        <v>88</v>
      </c>
      <c r="B1554" s="4" t="s">
        <v>108</v>
      </c>
      <c r="C1554" s="3" t="s">
        <v>2</v>
      </c>
      <c r="D1554" s="3" t="s">
        <v>14</v>
      </c>
      <c r="E1554" s="3">
        <v>14</v>
      </c>
      <c r="G1554" s="19"/>
    </row>
    <row r="1555" spans="1:7" ht="12.75" x14ac:dyDescent="0.2">
      <c r="A1555" s="3">
        <v>88</v>
      </c>
      <c r="B1555" s="4" t="s">
        <v>108</v>
      </c>
      <c r="C1555" s="3" t="s">
        <v>2</v>
      </c>
      <c r="D1555" s="3" t="s">
        <v>138</v>
      </c>
      <c r="E1555" s="3">
        <v>3</v>
      </c>
      <c r="F1555">
        <f>SUM(E1551:E1555)</f>
        <v>445</v>
      </c>
      <c r="G1555" s="19"/>
    </row>
    <row r="1556" spans="1:7" ht="12.75" x14ac:dyDescent="0.2">
      <c r="A1556" s="3">
        <v>88</v>
      </c>
      <c r="B1556" s="4" t="s">
        <v>108</v>
      </c>
      <c r="C1556" s="3" t="s">
        <v>161</v>
      </c>
      <c r="D1556" s="3" t="s">
        <v>136</v>
      </c>
      <c r="E1556" s="3">
        <v>217</v>
      </c>
      <c r="G1556" s="19"/>
    </row>
    <row r="1557" spans="1:7" ht="12.75" x14ac:dyDescent="0.2">
      <c r="A1557" s="3">
        <v>88</v>
      </c>
      <c r="B1557" s="4" t="s">
        <v>108</v>
      </c>
      <c r="C1557" s="3" t="s">
        <v>161</v>
      </c>
      <c r="D1557" s="3" t="s">
        <v>128</v>
      </c>
      <c r="E1557" s="3">
        <v>101</v>
      </c>
      <c r="G1557" s="19"/>
    </row>
    <row r="1558" spans="1:7" ht="12.75" x14ac:dyDescent="0.2">
      <c r="A1558" s="3">
        <v>88</v>
      </c>
      <c r="B1558" s="4" t="s">
        <v>108</v>
      </c>
      <c r="C1558" s="3" t="s">
        <v>161</v>
      </c>
      <c r="D1558" s="3" t="s">
        <v>14</v>
      </c>
      <c r="E1558" s="3">
        <v>60</v>
      </c>
      <c r="G1558" s="19"/>
    </row>
    <row r="1559" spans="1:7" ht="12.75" x14ac:dyDescent="0.2">
      <c r="A1559" s="3">
        <v>88</v>
      </c>
      <c r="B1559" s="4" t="s">
        <v>108</v>
      </c>
      <c r="C1559" s="3" t="s">
        <v>161</v>
      </c>
      <c r="D1559" s="3" t="s">
        <v>133</v>
      </c>
      <c r="E1559" s="3">
        <v>50</v>
      </c>
      <c r="G1559" s="19"/>
    </row>
    <row r="1560" spans="1:7" ht="12.75" x14ac:dyDescent="0.2">
      <c r="A1560" s="3">
        <v>88</v>
      </c>
      <c r="B1560" s="4" t="s">
        <v>108</v>
      </c>
      <c r="C1560" s="3" t="s">
        <v>161</v>
      </c>
      <c r="D1560" s="3" t="s">
        <v>138</v>
      </c>
      <c r="E1560" s="3">
        <v>5</v>
      </c>
      <c r="G1560" s="19"/>
    </row>
    <row r="1561" spans="1:7" ht="12.75" x14ac:dyDescent="0.2">
      <c r="A1561" s="3">
        <v>88</v>
      </c>
      <c r="B1561" s="4" t="s">
        <v>108</v>
      </c>
      <c r="C1561" s="3" t="s">
        <v>161</v>
      </c>
      <c r="D1561" s="3" t="s">
        <v>145</v>
      </c>
      <c r="E1561" s="3">
        <v>4</v>
      </c>
      <c r="G1561" s="19"/>
    </row>
    <row r="1562" spans="1:7" ht="12.75" x14ac:dyDescent="0.2">
      <c r="A1562" s="3">
        <v>88</v>
      </c>
      <c r="B1562" s="4" t="s">
        <v>108</v>
      </c>
      <c r="C1562" s="3" t="s">
        <v>161</v>
      </c>
      <c r="D1562" s="3" t="s">
        <v>139</v>
      </c>
      <c r="E1562" s="3">
        <v>4</v>
      </c>
      <c r="G1562" s="19"/>
    </row>
    <row r="1563" spans="1:7" ht="12.75" x14ac:dyDescent="0.2">
      <c r="A1563" s="3">
        <v>88</v>
      </c>
      <c r="B1563" s="4" t="s">
        <v>108</v>
      </c>
      <c r="C1563" s="3" t="s">
        <v>161</v>
      </c>
      <c r="D1563" s="3" t="s">
        <v>148</v>
      </c>
      <c r="E1563" s="3">
        <v>3</v>
      </c>
      <c r="G1563" s="19"/>
    </row>
    <row r="1564" spans="1:7" ht="12.75" x14ac:dyDescent="0.2">
      <c r="A1564" s="3">
        <v>88</v>
      </c>
      <c r="B1564" s="4" t="s">
        <v>108</v>
      </c>
      <c r="C1564" s="3" t="s">
        <v>161</v>
      </c>
      <c r="D1564" s="3" t="s">
        <v>149</v>
      </c>
      <c r="E1564" s="3">
        <v>1</v>
      </c>
      <c r="F1564">
        <f>SUM(E1556:E1564)</f>
        <v>445</v>
      </c>
      <c r="G1564" s="19"/>
    </row>
    <row r="1565" spans="1:7" ht="12.75" x14ac:dyDescent="0.2">
      <c r="A1565" s="3">
        <v>88</v>
      </c>
      <c r="B1565" s="4" t="s">
        <v>108</v>
      </c>
      <c r="C1565" s="3" t="s">
        <v>162</v>
      </c>
      <c r="D1565" s="3" t="s">
        <v>136</v>
      </c>
      <c r="E1565" s="3">
        <v>255</v>
      </c>
      <c r="G1565" s="19"/>
    </row>
    <row r="1566" spans="1:7" ht="12.75" x14ac:dyDescent="0.2">
      <c r="A1566" s="3">
        <v>88</v>
      </c>
      <c r="B1566" s="4" t="s">
        <v>108</v>
      </c>
      <c r="C1566" s="3" t="s">
        <v>162</v>
      </c>
      <c r="D1566" s="3" t="s">
        <v>128</v>
      </c>
      <c r="E1566" s="3">
        <v>101</v>
      </c>
      <c r="G1566" s="19"/>
    </row>
    <row r="1567" spans="1:7" ht="12.75" x14ac:dyDescent="0.2">
      <c r="A1567" s="3">
        <v>88</v>
      </c>
      <c r="B1567" s="4" t="s">
        <v>108</v>
      </c>
      <c r="C1567" s="3" t="s">
        <v>162</v>
      </c>
      <c r="D1567" s="3" t="s">
        <v>133</v>
      </c>
      <c r="E1567" s="3">
        <v>56</v>
      </c>
      <c r="G1567" s="19"/>
    </row>
    <row r="1568" spans="1:7" ht="12.75" x14ac:dyDescent="0.2">
      <c r="A1568" s="3">
        <v>88</v>
      </c>
      <c r="B1568" s="4" t="s">
        <v>108</v>
      </c>
      <c r="C1568" s="3" t="s">
        <v>162</v>
      </c>
      <c r="D1568" s="3" t="s">
        <v>14</v>
      </c>
      <c r="E1568" s="3">
        <v>22</v>
      </c>
      <c r="G1568" s="19"/>
    </row>
    <row r="1569" spans="1:7" ht="12.75" x14ac:dyDescent="0.2">
      <c r="A1569" s="3">
        <v>88</v>
      </c>
      <c r="B1569" s="4" t="s">
        <v>108</v>
      </c>
      <c r="C1569" s="3" t="s">
        <v>162</v>
      </c>
      <c r="D1569" s="3" t="s">
        <v>138</v>
      </c>
      <c r="E1569" s="3">
        <v>4</v>
      </c>
      <c r="G1569" s="19"/>
    </row>
    <row r="1570" spans="1:7" ht="12.75" x14ac:dyDescent="0.2">
      <c r="A1570" s="3">
        <v>88</v>
      </c>
      <c r="B1570" s="4" t="s">
        <v>108</v>
      </c>
      <c r="C1570" s="3" t="s">
        <v>162</v>
      </c>
      <c r="D1570" s="3" t="s">
        <v>139</v>
      </c>
      <c r="E1570" s="3">
        <v>3</v>
      </c>
      <c r="G1570" s="19"/>
    </row>
    <row r="1571" spans="1:7" ht="12.75" x14ac:dyDescent="0.2">
      <c r="A1571" s="3">
        <v>88</v>
      </c>
      <c r="B1571" s="4" t="s">
        <v>108</v>
      </c>
      <c r="C1571" s="3" t="s">
        <v>162</v>
      </c>
      <c r="D1571" s="3" t="s">
        <v>148</v>
      </c>
      <c r="E1571" s="3">
        <v>2</v>
      </c>
      <c r="G1571" s="19"/>
    </row>
    <row r="1572" spans="1:7" ht="12.75" x14ac:dyDescent="0.2">
      <c r="A1572" s="3">
        <v>88</v>
      </c>
      <c r="B1572" s="4" t="s">
        <v>108</v>
      </c>
      <c r="C1572" s="3" t="s">
        <v>162</v>
      </c>
      <c r="D1572" s="3" t="s">
        <v>145</v>
      </c>
      <c r="E1572" s="3">
        <v>2</v>
      </c>
      <c r="F1572">
        <f>SUM(E1565:E1572)</f>
        <v>445</v>
      </c>
      <c r="G1572" s="19"/>
    </row>
    <row r="1573" spans="1:7" ht="12.75" x14ac:dyDescent="0.2">
      <c r="A1573" s="3">
        <v>89</v>
      </c>
      <c r="B1573" s="4" t="s">
        <v>109</v>
      </c>
      <c r="C1573" s="3" t="s">
        <v>2</v>
      </c>
      <c r="D1573" s="3" t="s">
        <v>136</v>
      </c>
      <c r="E1573" s="3">
        <v>1656</v>
      </c>
      <c r="G1573" s="19"/>
    </row>
    <row r="1574" spans="1:7" ht="12.75" x14ac:dyDescent="0.2">
      <c r="A1574" s="3">
        <v>89</v>
      </c>
      <c r="B1574" s="4" t="s">
        <v>109</v>
      </c>
      <c r="C1574" s="3" t="s">
        <v>2</v>
      </c>
      <c r="D1574" s="3" t="s">
        <v>128</v>
      </c>
      <c r="E1574" s="3">
        <v>903</v>
      </c>
      <c r="G1574" s="19"/>
    </row>
    <row r="1575" spans="1:7" ht="12.75" x14ac:dyDescent="0.2">
      <c r="A1575" s="3">
        <v>89</v>
      </c>
      <c r="B1575" s="4" t="s">
        <v>109</v>
      </c>
      <c r="C1575" s="3" t="s">
        <v>2</v>
      </c>
      <c r="D1575" s="3" t="s">
        <v>14</v>
      </c>
      <c r="E1575" s="3">
        <v>73</v>
      </c>
      <c r="G1575" s="19"/>
    </row>
    <row r="1576" spans="1:7" ht="12.75" x14ac:dyDescent="0.2">
      <c r="A1576" s="3">
        <v>89</v>
      </c>
      <c r="B1576" s="4" t="s">
        <v>109</v>
      </c>
      <c r="C1576" s="3" t="s">
        <v>2</v>
      </c>
      <c r="D1576" s="3" t="s">
        <v>133</v>
      </c>
      <c r="E1576" s="3">
        <v>62</v>
      </c>
      <c r="G1576" s="19"/>
    </row>
    <row r="1577" spans="1:7" ht="12.75" x14ac:dyDescent="0.2">
      <c r="A1577" s="3">
        <v>89</v>
      </c>
      <c r="B1577" s="4" t="s">
        <v>109</v>
      </c>
      <c r="C1577" s="3" t="s">
        <v>2</v>
      </c>
      <c r="D1577" s="3" t="s">
        <v>138</v>
      </c>
      <c r="E1577" s="3">
        <v>18</v>
      </c>
      <c r="F1577">
        <f>SUM(E1573:E1577)</f>
        <v>2712</v>
      </c>
      <c r="G1577" s="19"/>
    </row>
    <row r="1578" spans="1:7" ht="12.75" x14ac:dyDescent="0.2">
      <c r="A1578" s="3">
        <v>89</v>
      </c>
      <c r="B1578" s="4" t="s">
        <v>109</v>
      </c>
      <c r="C1578" s="3" t="s">
        <v>161</v>
      </c>
      <c r="D1578" s="3" t="s">
        <v>136</v>
      </c>
      <c r="E1578" s="3">
        <v>1608</v>
      </c>
      <c r="G1578" s="19"/>
    </row>
    <row r="1579" spans="1:7" ht="12.75" x14ac:dyDescent="0.2">
      <c r="A1579" s="3">
        <v>89</v>
      </c>
      <c r="B1579" s="4" t="s">
        <v>109</v>
      </c>
      <c r="C1579" s="3" t="s">
        <v>161</v>
      </c>
      <c r="D1579" s="3" t="s">
        <v>128</v>
      </c>
      <c r="E1579" s="3">
        <v>827</v>
      </c>
      <c r="G1579" s="19"/>
    </row>
    <row r="1580" spans="1:7" ht="12.75" x14ac:dyDescent="0.2">
      <c r="A1580" s="3">
        <v>89</v>
      </c>
      <c r="B1580" s="4" t="s">
        <v>109</v>
      </c>
      <c r="C1580" s="3" t="s">
        <v>161</v>
      </c>
      <c r="D1580" s="3" t="s">
        <v>14</v>
      </c>
      <c r="E1580" s="3">
        <v>114</v>
      </c>
      <c r="G1580" s="19"/>
    </row>
    <row r="1581" spans="1:7" ht="12.75" x14ac:dyDescent="0.2">
      <c r="A1581" s="3">
        <v>89</v>
      </c>
      <c r="B1581" s="4" t="s">
        <v>109</v>
      </c>
      <c r="C1581" s="3" t="s">
        <v>161</v>
      </c>
      <c r="D1581" s="3" t="s">
        <v>133</v>
      </c>
      <c r="E1581" s="3">
        <v>81</v>
      </c>
      <c r="G1581" s="19"/>
    </row>
    <row r="1582" spans="1:7" ht="12.75" x14ac:dyDescent="0.2">
      <c r="A1582" s="3">
        <v>89</v>
      </c>
      <c r="B1582" s="4" t="s">
        <v>109</v>
      </c>
      <c r="C1582" s="3" t="s">
        <v>161</v>
      </c>
      <c r="D1582" s="3" t="s">
        <v>138</v>
      </c>
      <c r="E1582" s="3">
        <v>28</v>
      </c>
      <c r="G1582" s="19"/>
    </row>
    <row r="1583" spans="1:7" ht="12.75" x14ac:dyDescent="0.2">
      <c r="A1583" s="3">
        <v>89</v>
      </c>
      <c r="B1583" s="4" t="s">
        <v>109</v>
      </c>
      <c r="C1583" s="3" t="s">
        <v>161</v>
      </c>
      <c r="D1583" s="3" t="s">
        <v>148</v>
      </c>
      <c r="E1583" s="3">
        <v>21</v>
      </c>
      <c r="G1583" s="19"/>
    </row>
    <row r="1584" spans="1:7" ht="12.75" x14ac:dyDescent="0.2">
      <c r="A1584" s="3">
        <v>89</v>
      </c>
      <c r="B1584" s="4" t="s">
        <v>109</v>
      </c>
      <c r="C1584" s="3" t="s">
        <v>161</v>
      </c>
      <c r="D1584" s="3" t="s">
        <v>149</v>
      </c>
      <c r="E1584" s="3">
        <v>19</v>
      </c>
      <c r="G1584" s="19"/>
    </row>
    <row r="1585" spans="1:7" ht="12.75" x14ac:dyDescent="0.2">
      <c r="A1585" s="3">
        <v>89</v>
      </c>
      <c r="B1585" s="4" t="s">
        <v>109</v>
      </c>
      <c r="C1585" s="3" t="s">
        <v>161</v>
      </c>
      <c r="D1585" s="3" t="s">
        <v>135</v>
      </c>
      <c r="E1585" s="3">
        <v>6</v>
      </c>
      <c r="G1585" s="19"/>
    </row>
    <row r="1586" spans="1:7" ht="12.75" x14ac:dyDescent="0.2">
      <c r="A1586" s="3">
        <v>89</v>
      </c>
      <c r="B1586" s="4" t="s">
        <v>109</v>
      </c>
      <c r="C1586" s="3" t="s">
        <v>161</v>
      </c>
      <c r="D1586" s="3" t="s">
        <v>145</v>
      </c>
      <c r="E1586" s="3">
        <v>5</v>
      </c>
      <c r="G1586" s="19"/>
    </row>
    <row r="1587" spans="1:7" ht="12.75" x14ac:dyDescent="0.2">
      <c r="A1587" s="3">
        <v>89</v>
      </c>
      <c r="B1587" s="4" t="s">
        <v>109</v>
      </c>
      <c r="C1587" s="3" t="s">
        <v>161</v>
      </c>
      <c r="D1587" s="3" t="s">
        <v>139</v>
      </c>
      <c r="E1587" s="3">
        <v>3</v>
      </c>
      <c r="F1587">
        <f>SUM(E1578:E1587)</f>
        <v>2712</v>
      </c>
      <c r="G1587" s="19"/>
    </row>
    <row r="1588" spans="1:7" ht="12.75" x14ac:dyDescent="0.2">
      <c r="A1588" s="3">
        <v>89</v>
      </c>
      <c r="B1588" s="4" t="s">
        <v>109</v>
      </c>
      <c r="C1588" s="3" t="s">
        <v>162</v>
      </c>
      <c r="D1588" s="3" t="s">
        <v>136</v>
      </c>
      <c r="E1588" s="3">
        <v>1604</v>
      </c>
      <c r="G1588" s="19"/>
    </row>
    <row r="1589" spans="1:7" ht="12.75" x14ac:dyDescent="0.2">
      <c r="A1589" s="3">
        <v>89</v>
      </c>
      <c r="B1589" s="4" t="s">
        <v>109</v>
      </c>
      <c r="C1589" s="3" t="s">
        <v>162</v>
      </c>
      <c r="D1589" s="3" t="s">
        <v>128</v>
      </c>
      <c r="E1589" s="3">
        <v>852</v>
      </c>
      <c r="G1589" s="19"/>
    </row>
    <row r="1590" spans="1:7" ht="12.75" x14ac:dyDescent="0.2">
      <c r="A1590" s="3">
        <v>89</v>
      </c>
      <c r="B1590" s="4" t="s">
        <v>109</v>
      </c>
      <c r="C1590" s="3" t="s">
        <v>162</v>
      </c>
      <c r="D1590" s="3" t="s">
        <v>133</v>
      </c>
      <c r="E1590" s="3">
        <v>119</v>
      </c>
      <c r="G1590" s="19"/>
    </row>
    <row r="1591" spans="1:7" ht="12.75" x14ac:dyDescent="0.2">
      <c r="A1591" s="3">
        <v>89</v>
      </c>
      <c r="B1591" s="4" t="s">
        <v>109</v>
      </c>
      <c r="C1591" s="3" t="s">
        <v>162</v>
      </c>
      <c r="D1591" s="3" t="s">
        <v>14</v>
      </c>
      <c r="E1591" s="3">
        <v>60</v>
      </c>
      <c r="G1591" s="19"/>
    </row>
    <row r="1592" spans="1:7" ht="12.75" x14ac:dyDescent="0.2">
      <c r="A1592" s="3">
        <v>89</v>
      </c>
      <c r="B1592" s="4" t="s">
        <v>109</v>
      </c>
      <c r="C1592" s="3" t="s">
        <v>162</v>
      </c>
      <c r="D1592" s="3" t="s">
        <v>138</v>
      </c>
      <c r="E1592" s="3">
        <v>28</v>
      </c>
      <c r="G1592" s="19"/>
    </row>
    <row r="1593" spans="1:7" ht="12.75" x14ac:dyDescent="0.2">
      <c r="A1593" s="3">
        <v>89</v>
      </c>
      <c r="B1593" s="4" t="s">
        <v>109</v>
      </c>
      <c r="C1593" s="3" t="s">
        <v>162</v>
      </c>
      <c r="D1593" s="3" t="s">
        <v>149</v>
      </c>
      <c r="E1593" s="3">
        <v>19</v>
      </c>
      <c r="G1593" s="59">
        <v>88671</v>
      </c>
    </row>
    <row r="1594" spans="1:7" ht="12.75" x14ac:dyDescent="0.2">
      <c r="A1594" s="3">
        <v>89</v>
      </c>
      <c r="B1594" s="4" t="s">
        <v>109</v>
      </c>
      <c r="C1594" s="3" t="s">
        <v>162</v>
      </c>
      <c r="D1594" s="3" t="s">
        <v>148</v>
      </c>
      <c r="E1594" s="3">
        <v>16</v>
      </c>
      <c r="G1594" s="57"/>
    </row>
    <row r="1595" spans="1:7" ht="12.75" x14ac:dyDescent="0.2">
      <c r="A1595" s="3">
        <v>89</v>
      </c>
      <c r="B1595" s="4" t="s">
        <v>109</v>
      </c>
      <c r="C1595" s="3" t="s">
        <v>162</v>
      </c>
      <c r="D1595" s="3" t="s">
        <v>135</v>
      </c>
      <c r="E1595" s="3">
        <v>6</v>
      </c>
      <c r="G1595" s="57"/>
    </row>
    <row r="1596" spans="1:7" ht="12.75" x14ac:dyDescent="0.2">
      <c r="A1596" s="3">
        <v>89</v>
      </c>
      <c r="B1596" s="4" t="s">
        <v>109</v>
      </c>
      <c r="C1596" s="3" t="s">
        <v>162</v>
      </c>
      <c r="D1596" s="3" t="s">
        <v>145</v>
      </c>
      <c r="E1596" s="3">
        <v>5</v>
      </c>
      <c r="G1596" s="57"/>
    </row>
    <row r="1597" spans="1:7" ht="12.75" x14ac:dyDescent="0.2">
      <c r="A1597" s="3">
        <v>89</v>
      </c>
      <c r="B1597" s="4" t="s">
        <v>109</v>
      </c>
      <c r="C1597" s="3" t="s">
        <v>162</v>
      </c>
      <c r="D1597" s="3" t="s">
        <v>139</v>
      </c>
      <c r="E1597" s="3">
        <v>3</v>
      </c>
      <c r="F1597">
        <f>SUM(E1588:E1597)</f>
        <v>2712</v>
      </c>
      <c r="G1597" s="57"/>
    </row>
    <row r="1598" spans="1:7" ht="12.75" x14ac:dyDescent="0.2">
      <c r="A1598" s="3">
        <v>90</v>
      </c>
      <c r="B1598" s="4" t="s">
        <v>110</v>
      </c>
      <c r="C1598" s="3" t="s">
        <v>2</v>
      </c>
      <c r="D1598" s="3" t="s">
        <v>128</v>
      </c>
      <c r="E1598" s="3">
        <v>358</v>
      </c>
      <c r="G1598" s="57"/>
    </row>
    <row r="1599" spans="1:7" ht="12.75" x14ac:dyDescent="0.2">
      <c r="A1599" s="3">
        <v>90</v>
      </c>
      <c r="B1599" s="4" t="s">
        <v>110</v>
      </c>
      <c r="C1599" s="3" t="s">
        <v>2</v>
      </c>
      <c r="D1599" s="3" t="s">
        <v>136</v>
      </c>
      <c r="E1599" s="3">
        <v>282</v>
      </c>
      <c r="G1599" s="57"/>
    </row>
    <row r="1600" spans="1:7" ht="12.75" x14ac:dyDescent="0.2">
      <c r="A1600" s="3">
        <v>90</v>
      </c>
      <c r="B1600" s="4" t="s">
        <v>110</v>
      </c>
      <c r="C1600" s="3" t="s">
        <v>2</v>
      </c>
      <c r="D1600" s="3" t="s">
        <v>138</v>
      </c>
      <c r="E1600" s="3">
        <v>17</v>
      </c>
      <c r="G1600" s="57"/>
    </row>
    <row r="1601" spans="1:7" ht="12.75" x14ac:dyDescent="0.2">
      <c r="A1601" s="3">
        <v>90</v>
      </c>
      <c r="B1601" s="4" t="s">
        <v>110</v>
      </c>
      <c r="C1601" s="3" t="s">
        <v>2</v>
      </c>
      <c r="D1601" s="3" t="s">
        <v>14</v>
      </c>
      <c r="E1601" s="3">
        <v>2</v>
      </c>
      <c r="F1601">
        <f>SUM(E1598:E1601)</f>
        <v>659</v>
      </c>
      <c r="G1601" s="57"/>
    </row>
    <row r="1602" spans="1:7" ht="12.75" x14ac:dyDescent="0.2">
      <c r="A1602" s="3">
        <v>90</v>
      </c>
      <c r="B1602" s="4" t="s">
        <v>110</v>
      </c>
      <c r="C1602" s="3" t="s">
        <v>161</v>
      </c>
      <c r="D1602" s="3" t="s">
        <v>128</v>
      </c>
      <c r="E1602" s="3">
        <v>278</v>
      </c>
      <c r="G1602" s="57"/>
    </row>
    <row r="1603" spans="1:7" ht="12.75" x14ac:dyDescent="0.2">
      <c r="A1603" s="3">
        <v>90</v>
      </c>
      <c r="B1603" s="4" t="s">
        <v>110</v>
      </c>
      <c r="C1603" s="3" t="s">
        <v>161</v>
      </c>
      <c r="D1603" s="3" t="s">
        <v>136</v>
      </c>
      <c r="E1603" s="3">
        <v>277</v>
      </c>
      <c r="G1603" s="57"/>
    </row>
    <row r="1604" spans="1:7" ht="12.75" x14ac:dyDescent="0.2">
      <c r="A1604" s="3">
        <v>90</v>
      </c>
      <c r="B1604" s="4" t="s">
        <v>110</v>
      </c>
      <c r="C1604" s="3" t="s">
        <v>161</v>
      </c>
      <c r="D1604" s="3" t="s">
        <v>14</v>
      </c>
      <c r="E1604" s="3">
        <v>45</v>
      </c>
      <c r="G1604" s="57"/>
    </row>
    <row r="1605" spans="1:7" ht="12.75" x14ac:dyDescent="0.2">
      <c r="A1605" s="3">
        <v>90</v>
      </c>
      <c r="B1605" s="4" t="s">
        <v>110</v>
      </c>
      <c r="C1605" s="3" t="s">
        <v>161</v>
      </c>
      <c r="D1605" s="3" t="s">
        <v>133</v>
      </c>
      <c r="E1605" s="3">
        <v>23</v>
      </c>
      <c r="G1605" s="57"/>
    </row>
    <row r="1606" spans="1:7" ht="12.75" x14ac:dyDescent="0.2">
      <c r="A1606" s="3">
        <v>90</v>
      </c>
      <c r="B1606" s="4" t="s">
        <v>110</v>
      </c>
      <c r="C1606" s="3" t="s">
        <v>161</v>
      </c>
      <c r="D1606" s="3" t="s">
        <v>138</v>
      </c>
      <c r="E1606" s="3">
        <v>17</v>
      </c>
      <c r="G1606" s="57"/>
    </row>
    <row r="1607" spans="1:7" ht="12.75" x14ac:dyDescent="0.2">
      <c r="A1607" s="3">
        <v>90</v>
      </c>
      <c r="B1607" s="4" t="s">
        <v>110</v>
      </c>
      <c r="C1607" s="3" t="s">
        <v>161</v>
      </c>
      <c r="D1607" s="3" t="s">
        <v>149</v>
      </c>
      <c r="E1607" s="3">
        <v>8</v>
      </c>
      <c r="G1607" s="57"/>
    </row>
    <row r="1608" spans="1:7" ht="12.75" x14ac:dyDescent="0.2">
      <c r="A1608" s="3">
        <v>90</v>
      </c>
      <c r="B1608" s="4" t="s">
        <v>110</v>
      </c>
      <c r="C1608" s="3" t="s">
        <v>161</v>
      </c>
      <c r="D1608" s="3" t="s">
        <v>148</v>
      </c>
      <c r="E1608" s="3">
        <v>8</v>
      </c>
      <c r="G1608" s="57"/>
    </row>
    <row r="1609" spans="1:7" ht="12.75" x14ac:dyDescent="0.2">
      <c r="A1609" s="3">
        <v>90</v>
      </c>
      <c r="B1609" s="4" t="s">
        <v>110</v>
      </c>
      <c r="C1609" s="3" t="s">
        <v>161</v>
      </c>
      <c r="D1609" s="3" t="s">
        <v>135</v>
      </c>
      <c r="E1609" s="3">
        <v>1</v>
      </c>
      <c r="G1609" s="57"/>
    </row>
    <row r="1610" spans="1:7" ht="12.75" x14ac:dyDescent="0.2">
      <c r="A1610" s="3">
        <v>90</v>
      </c>
      <c r="B1610" s="4" t="s">
        <v>110</v>
      </c>
      <c r="C1610" s="3" t="s">
        <v>161</v>
      </c>
      <c r="D1610" s="3" t="s">
        <v>145</v>
      </c>
      <c r="E1610" s="3">
        <v>1</v>
      </c>
      <c r="G1610" s="57"/>
    </row>
    <row r="1611" spans="1:7" ht="12.75" x14ac:dyDescent="0.2">
      <c r="A1611" s="3">
        <v>90</v>
      </c>
      <c r="B1611" s="4" t="s">
        <v>110</v>
      </c>
      <c r="C1611" s="3" t="s">
        <v>161</v>
      </c>
      <c r="D1611" s="3" t="s">
        <v>139</v>
      </c>
      <c r="E1611" s="3">
        <v>1</v>
      </c>
      <c r="F1611">
        <f>SUM(E1602:E1611)</f>
        <v>659</v>
      </c>
      <c r="G1611" s="57"/>
    </row>
    <row r="1612" spans="1:7" ht="12.75" x14ac:dyDescent="0.2">
      <c r="A1612" s="3">
        <v>90</v>
      </c>
      <c r="B1612" s="4" t="s">
        <v>110</v>
      </c>
      <c r="C1612" s="3" t="s">
        <v>162</v>
      </c>
      <c r="D1612" s="3" t="s">
        <v>136</v>
      </c>
      <c r="E1612" s="3">
        <v>295</v>
      </c>
      <c r="G1612" s="57"/>
    </row>
    <row r="1613" spans="1:7" ht="12.75" x14ac:dyDescent="0.2">
      <c r="A1613" s="3">
        <v>90</v>
      </c>
      <c r="B1613" s="4" t="s">
        <v>110</v>
      </c>
      <c r="C1613" s="3" t="s">
        <v>162</v>
      </c>
      <c r="D1613" s="3" t="s">
        <v>128</v>
      </c>
      <c r="E1613" s="3">
        <v>266</v>
      </c>
      <c r="G1613" s="57"/>
    </row>
    <row r="1614" spans="1:7" ht="12.75" x14ac:dyDescent="0.2">
      <c r="A1614" s="3">
        <v>90</v>
      </c>
      <c r="B1614" s="4" t="s">
        <v>110</v>
      </c>
      <c r="C1614" s="3" t="s">
        <v>162</v>
      </c>
      <c r="D1614" s="3" t="s">
        <v>133</v>
      </c>
      <c r="E1614" s="3">
        <v>36</v>
      </c>
      <c r="G1614" s="57"/>
    </row>
    <row r="1615" spans="1:7" ht="12.75" x14ac:dyDescent="0.2">
      <c r="A1615" s="3">
        <v>90</v>
      </c>
      <c r="B1615" s="4" t="s">
        <v>110</v>
      </c>
      <c r="C1615" s="3" t="s">
        <v>162</v>
      </c>
      <c r="D1615" s="3" t="s">
        <v>14</v>
      </c>
      <c r="E1615" s="3">
        <v>28</v>
      </c>
      <c r="G1615" s="57"/>
    </row>
    <row r="1616" spans="1:7" ht="12.75" x14ac:dyDescent="0.2">
      <c r="A1616" s="3">
        <v>90</v>
      </c>
      <c r="B1616" s="4" t="s">
        <v>110</v>
      </c>
      <c r="C1616" s="3" t="s">
        <v>162</v>
      </c>
      <c r="D1616" s="3" t="s">
        <v>138</v>
      </c>
      <c r="E1616" s="3">
        <v>17</v>
      </c>
      <c r="G1616" s="57"/>
    </row>
    <row r="1617" spans="1:7" ht="12.75" x14ac:dyDescent="0.2">
      <c r="A1617" s="3">
        <v>90</v>
      </c>
      <c r="B1617" s="4" t="s">
        <v>110</v>
      </c>
      <c r="C1617" s="3" t="s">
        <v>162</v>
      </c>
      <c r="D1617" s="3" t="s">
        <v>149</v>
      </c>
      <c r="E1617" s="3">
        <v>8</v>
      </c>
      <c r="G1617" s="57"/>
    </row>
    <row r="1618" spans="1:7" ht="12.75" x14ac:dyDescent="0.2">
      <c r="A1618" s="3">
        <v>90</v>
      </c>
      <c r="B1618" s="4" t="s">
        <v>110</v>
      </c>
      <c r="C1618" s="3" t="s">
        <v>162</v>
      </c>
      <c r="D1618" s="3" t="s">
        <v>148</v>
      </c>
      <c r="E1618" s="3">
        <v>6</v>
      </c>
      <c r="G1618" s="57"/>
    </row>
    <row r="1619" spans="1:7" ht="12.75" x14ac:dyDescent="0.2">
      <c r="A1619" s="3">
        <v>90</v>
      </c>
      <c r="B1619" s="4" t="s">
        <v>110</v>
      </c>
      <c r="C1619" s="3" t="s">
        <v>162</v>
      </c>
      <c r="D1619" s="3" t="s">
        <v>135</v>
      </c>
      <c r="E1619" s="3">
        <v>1</v>
      </c>
      <c r="G1619" s="57"/>
    </row>
    <row r="1620" spans="1:7" ht="12.75" x14ac:dyDescent="0.2">
      <c r="A1620" s="3">
        <v>90</v>
      </c>
      <c r="B1620" s="4" t="s">
        <v>110</v>
      </c>
      <c r="C1620" s="3" t="s">
        <v>162</v>
      </c>
      <c r="D1620" s="3" t="s">
        <v>145</v>
      </c>
      <c r="E1620" s="3">
        <v>1</v>
      </c>
      <c r="G1620" s="57"/>
    </row>
    <row r="1621" spans="1:7" ht="12.75" x14ac:dyDescent="0.2">
      <c r="A1621" s="3">
        <v>90</v>
      </c>
      <c r="B1621" s="4" t="s">
        <v>110</v>
      </c>
      <c r="C1621" s="3" t="s">
        <v>162</v>
      </c>
      <c r="D1621" s="3" t="s">
        <v>139</v>
      </c>
      <c r="E1621" s="3">
        <v>1</v>
      </c>
      <c r="F1621">
        <f>SUM(E1612:E1621)</f>
        <v>659</v>
      </c>
      <c r="G1621" s="57"/>
    </row>
    <row r="1622" spans="1:7" ht="12.75" x14ac:dyDescent="0.2">
      <c r="A1622" s="3">
        <v>91</v>
      </c>
      <c r="B1622" s="4" t="s">
        <v>111</v>
      </c>
      <c r="C1622" s="3" t="s">
        <v>15</v>
      </c>
      <c r="D1622" s="3" t="s">
        <v>128</v>
      </c>
      <c r="E1622" s="3">
        <v>146</v>
      </c>
      <c r="G1622" s="57"/>
    </row>
    <row r="1623" spans="1:7" ht="12.75" x14ac:dyDescent="0.2">
      <c r="A1623" s="3">
        <v>91</v>
      </c>
      <c r="B1623" s="4" t="s">
        <v>111</v>
      </c>
      <c r="C1623" s="3" t="s">
        <v>15</v>
      </c>
      <c r="D1623" s="3" t="s">
        <v>136</v>
      </c>
      <c r="E1623" s="3">
        <v>126</v>
      </c>
      <c r="G1623" s="57"/>
    </row>
    <row r="1624" spans="1:7" ht="12.75" x14ac:dyDescent="0.2">
      <c r="A1624" s="3">
        <v>91</v>
      </c>
      <c r="B1624" s="4" t="s">
        <v>111</v>
      </c>
      <c r="C1624" s="3" t="s">
        <v>15</v>
      </c>
      <c r="D1624" s="3" t="s">
        <v>14</v>
      </c>
      <c r="E1624" s="3">
        <v>9</v>
      </c>
      <c r="G1624" s="57"/>
    </row>
    <row r="1625" spans="1:7" ht="12.75" x14ac:dyDescent="0.2">
      <c r="A1625" s="3">
        <v>91</v>
      </c>
      <c r="B1625" s="4" t="s">
        <v>111</v>
      </c>
      <c r="C1625" s="3" t="s">
        <v>15</v>
      </c>
      <c r="D1625" s="3" t="s">
        <v>138</v>
      </c>
      <c r="E1625" s="3">
        <v>2</v>
      </c>
      <c r="F1625">
        <f>SUM(E1622:E1625)</f>
        <v>283</v>
      </c>
      <c r="G1625" s="57"/>
    </row>
    <row r="1626" spans="1:7" ht="12.75" x14ac:dyDescent="0.2">
      <c r="A1626" s="3">
        <v>91</v>
      </c>
      <c r="B1626" s="4" t="s">
        <v>111</v>
      </c>
      <c r="C1626" s="3" t="s">
        <v>161</v>
      </c>
      <c r="D1626" s="3" t="s">
        <v>128</v>
      </c>
      <c r="E1626" s="3">
        <v>134</v>
      </c>
      <c r="G1626" s="57"/>
    </row>
    <row r="1627" spans="1:7" ht="12.75" x14ac:dyDescent="0.2">
      <c r="A1627" s="3">
        <v>91</v>
      </c>
      <c r="B1627" s="4" t="s">
        <v>111</v>
      </c>
      <c r="C1627" s="3" t="s">
        <v>161</v>
      </c>
      <c r="D1627" s="3" t="s">
        <v>136</v>
      </c>
      <c r="E1627" s="3">
        <v>128</v>
      </c>
      <c r="G1627" s="57"/>
    </row>
    <row r="1628" spans="1:7" ht="12.75" x14ac:dyDescent="0.2">
      <c r="A1628" s="3">
        <v>91</v>
      </c>
      <c r="B1628" s="4" t="s">
        <v>111</v>
      </c>
      <c r="C1628" s="3" t="s">
        <v>161</v>
      </c>
      <c r="D1628" s="3" t="s">
        <v>14</v>
      </c>
      <c r="E1628" s="3">
        <v>12</v>
      </c>
      <c r="G1628" s="59">
        <v>20334</v>
      </c>
    </row>
    <row r="1629" spans="1:7" ht="12.75" x14ac:dyDescent="0.2">
      <c r="A1629" s="3">
        <v>91</v>
      </c>
      <c r="B1629" s="4" t="s">
        <v>111</v>
      </c>
      <c r="C1629" s="3" t="s">
        <v>161</v>
      </c>
      <c r="D1629" s="3" t="s">
        <v>133</v>
      </c>
      <c r="E1629" s="3">
        <v>7</v>
      </c>
      <c r="G1629" s="57"/>
    </row>
    <row r="1630" spans="1:7" ht="12.75" x14ac:dyDescent="0.2">
      <c r="A1630" s="3">
        <v>91</v>
      </c>
      <c r="B1630" s="4" t="s">
        <v>111</v>
      </c>
      <c r="C1630" s="3" t="s">
        <v>161</v>
      </c>
      <c r="D1630" s="3" t="s">
        <v>138</v>
      </c>
      <c r="E1630" s="3">
        <v>2</v>
      </c>
      <c r="F1630">
        <f>SUM(E1626:E1630)</f>
        <v>283</v>
      </c>
      <c r="G1630" s="57"/>
    </row>
    <row r="1631" spans="1:7" ht="12.75" x14ac:dyDescent="0.2">
      <c r="A1631" s="3">
        <v>91</v>
      </c>
      <c r="B1631" s="4" t="s">
        <v>111</v>
      </c>
      <c r="C1631" s="3" t="s">
        <v>162</v>
      </c>
      <c r="D1631" s="3" t="s">
        <v>136</v>
      </c>
      <c r="E1631" s="3">
        <v>133</v>
      </c>
      <c r="G1631" s="57"/>
    </row>
    <row r="1632" spans="1:7" ht="12.75" x14ac:dyDescent="0.2">
      <c r="A1632" s="3">
        <v>91</v>
      </c>
      <c r="B1632" s="4" t="s">
        <v>111</v>
      </c>
      <c r="C1632" s="3" t="s">
        <v>162</v>
      </c>
      <c r="D1632" s="3" t="s">
        <v>128</v>
      </c>
      <c r="E1632" s="3">
        <v>128</v>
      </c>
      <c r="G1632" s="57"/>
    </row>
    <row r="1633" spans="1:7" ht="12.75" x14ac:dyDescent="0.2">
      <c r="A1633" s="3">
        <v>91</v>
      </c>
      <c r="B1633" s="4" t="s">
        <v>111</v>
      </c>
      <c r="C1633" s="3" t="s">
        <v>162</v>
      </c>
      <c r="D1633" s="3" t="s">
        <v>133</v>
      </c>
      <c r="E1633" s="3">
        <v>11</v>
      </c>
      <c r="G1633" s="57"/>
    </row>
    <row r="1634" spans="1:7" ht="12.75" x14ac:dyDescent="0.2">
      <c r="A1634" s="3">
        <v>91</v>
      </c>
      <c r="B1634" s="4" t="s">
        <v>111</v>
      </c>
      <c r="C1634" s="3" t="s">
        <v>162</v>
      </c>
      <c r="D1634" s="3" t="s">
        <v>14</v>
      </c>
      <c r="E1634" s="3">
        <v>9</v>
      </c>
      <c r="G1634" s="57"/>
    </row>
    <row r="1635" spans="1:7" ht="12.75" x14ac:dyDescent="0.2">
      <c r="A1635" s="3">
        <v>91</v>
      </c>
      <c r="B1635" s="4" t="s">
        <v>111</v>
      </c>
      <c r="C1635" s="3" t="s">
        <v>162</v>
      </c>
      <c r="D1635" s="3" t="s">
        <v>138</v>
      </c>
      <c r="E1635" s="3">
        <v>2</v>
      </c>
      <c r="F1635">
        <f>SUM(E1631:E1635)</f>
        <v>283</v>
      </c>
      <c r="G1635" s="57"/>
    </row>
    <row r="1636" spans="1:7" ht="12.75" x14ac:dyDescent="0.2">
      <c r="A1636" s="3">
        <v>92</v>
      </c>
      <c r="B1636" s="4" t="s">
        <v>112</v>
      </c>
      <c r="C1636" s="3" t="s">
        <v>15</v>
      </c>
      <c r="D1636" s="3" t="s">
        <v>136</v>
      </c>
      <c r="E1636" s="3">
        <v>145</v>
      </c>
      <c r="G1636" s="57"/>
    </row>
    <row r="1637" spans="1:7" ht="12.75" x14ac:dyDescent="0.2">
      <c r="A1637" s="3">
        <v>92</v>
      </c>
      <c r="B1637" s="4" t="s">
        <v>112</v>
      </c>
      <c r="C1637" s="3" t="s">
        <v>15</v>
      </c>
      <c r="D1637" s="3" t="s">
        <v>128</v>
      </c>
      <c r="E1637" s="3">
        <v>99</v>
      </c>
      <c r="F1637">
        <f>SUM(E1636:E1637)</f>
        <v>244</v>
      </c>
      <c r="G1637" s="57"/>
    </row>
    <row r="1638" spans="1:7" ht="12.75" x14ac:dyDescent="0.2">
      <c r="A1638" s="3">
        <v>92</v>
      </c>
      <c r="B1638" s="4" t="s">
        <v>112</v>
      </c>
      <c r="C1638" s="3" t="s">
        <v>161</v>
      </c>
      <c r="D1638" s="3" t="s">
        <v>136</v>
      </c>
      <c r="E1638" s="3">
        <v>146</v>
      </c>
      <c r="G1638" s="57"/>
    </row>
    <row r="1639" spans="1:7" ht="12.75" x14ac:dyDescent="0.2">
      <c r="A1639" s="3">
        <v>92</v>
      </c>
      <c r="B1639" s="4" t="s">
        <v>112</v>
      </c>
      <c r="C1639" s="3" t="s">
        <v>161</v>
      </c>
      <c r="D1639" s="3" t="s">
        <v>128</v>
      </c>
      <c r="E1639" s="3">
        <v>86</v>
      </c>
      <c r="G1639" s="57"/>
    </row>
    <row r="1640" spans="1:7" ht="12.75" x14ac:dyDescent="0.2">
      <c r="A1640" s="3">
        <v>92</v>
      </c>
      <c r="B1640" s="4" t="s">
        <v>112</v>
      </c>
      <c r="C1640" s="3" t="s">
        <v>161</v>
      </c>
      <c r="D1640" s="3" t="s">
        <v>133</v>
      </c>
      <c r="E1640" s="3">
        <v>7</v>
      </c>
      <c r="G1640" s="57"/>
    </row>
    <row r="1641" spans="1:7" ht="12.75" x14ac:dyDescent="0.2">
      <c r="A1641" s="3">
        <v>92</v>
      </c>
      <c r="B1641" s="4" t="s">
        <v>112</v>
      </c>
      <c r="C1641" s="3" t="s">
        <v>161</v>
      </c>
      <c r="D1641" s="3" t="s">
        <v>14</v>
      </c>
      <c r="E1641" s="3">
        <v>4</v>
      </c>
      <c r="G1641" s="57"/>
    </row>
    <row r="1642" spans="1:7" ht="12.75" x14ac:dyDescent="0.2">
      <c r="A1642" s="3">
        <v>92</v>
      </c>
      <c r="B1642" s="4" t="s">
        <v>112</v>
      </c>
      <c r="C1642" s="3" t="s">
        <v>161</v>
      </c>
      <c r="D1642" s="3" t="s">
        <v>148</v>
      </c>
      <c r="E1642" s="3">
        <v>1</v>
      </c>
      <c r="F1642">
        <f>SUM(E1638:E1642)</f>
        <v>244</v>
      </c>
      <c r="G1642" s="57"/>
    </row>
    <row r="1643" spans="1:7" ht="12.75" x14ac:dyDescent="0.2">
      <c r="A1643" s="3">
        <v>92</v>
      </c>
      <c r="B1643" s="4" t="s">
        <v>112</v>
      </c>
      <c r="C1643" s="3" t="s">
        <v>162</v>
      </c>
      <c r="D1643" s="3" t="s">
        <v>136</v>
      </c>
      <c r="E1643" s="3">
        <v>147</v>
      </c>
      <c r="G1643" s="57"/>
    </row>
    <row r="1644" spans="1:7" ht="12.75" x14ac:dyDescent="0.2">
      <c r="A1644" s="3">
        <v>92</v>
      </c>
      <c r="B1644" s="4" t="s">
        <v>112</v>
      </c>
      <c r="C1644" s="3" t="s">
        <v>162</v>
      </c>
      <c r="D1644" s="3" t="s">
        <v>128</v>
      </c>
      <c r="E1644" s="3">
        <v>83</v>
      </c>
      <c r="G1644" s="57"/>
    </row>
    <row r="1645" spans="1:7" ht="12.75" x14ac:dyDescent="0.2">
      <c r="A1645" s="3">
        <v>92</v>
      </c>
      <c r="B1645" s="4" t="s">
        <v>112</v>
      </c>
      <c r="C1645" s="3" t="s">
        <v>162</v>
      </c>
      <c r="D1645" s="3" t="s">
        <v>133</v>
      </c>
      <c r="E1645" s="3">
        <v>8</v>
      </c>
      <c r="G1645" s="57"/>
    </row>
    <row r="1646" spans="1:7" ht="12.75" x14ac:dyDescent="0.2">
      <c r="A1646" s="3">
        <v>92</v>
      </c>
      <c r="B1646" s="4" t="s">
        <v>112</v>
      </c>
      <c r="C1646" s="3" t="s">
        <v>162</v>
      </c>
      <c r="D1646" s="3" t="s">
        <v>14</v>
      </c>
      <c r="E1646" s="3">
        <v>5</v>
      </c>
      <c r="G1646" s="57"/>
    </row>
    <row r="1647" spans="1:7" ht="12.75" x14ac:dyDescent="0.2">
      <c r="A1647" s="3">
        <v>92</v>
      </c>
      <c r="B1647" s="4" t="s">
        <v>112</v>
      </c>
      <c r="C1647" s="3" t="s">
        <v>162</v>
      </c>
      <c r="D1647" s="3" t="s">
        <v>148</v>
      </c>
      <c r="E1647" s="3">
        <v>1</v>
      </c>
      <c r="F1647">
        <f>SUM(E1643:E1647)</f>
        <v>244</v>
      </c>
      <c r="G1647" s="57"/>
    </row>
    <row r="1648" spans="1:7" ht="12.75" x14ac:dyDescent="0.2">
      <c r="A1648" s="3">
        <v>93</v>
      </c>
      <c r="B1648" s="4" t="s">
        <v>113</v>
      </c>
      <c r="C1648" s="3" t="s">
        <v>2</v>
      </c>
      <c r="D1648" s="3" t="s">
        <v>128</v>
      </c>
      <c r="E1648" s="3">
        <v>3168</v>
      </c>
      <c r="G1648" s="57"/>
    </row>
    <row r="1649" spans="1:7" ht="12.75" x14ac:dyDescent="0.2">
      <c r="A1649" s="3">
        <v>93</v>
      </c>
      <c r="B1649" s="4" t="s">
        <v>113</v>
      </c>
      <c r="C1649" s="3" t="s">
        <v>2</v>
      </c>
      <c r="D1649" s="3" t="s">
        <v>3</v>
      </c>
      <c r="E1649" s="3">
        <v>2573</v>
      </c>
      <c r="G1649" s="57"/>
    </row>
    <row r="1650" spans="1:7" ht="12.75" x14ac:dyDescent="0.2">
      <c r="A1650" s="3">
        <v>93</v>
      </c>
      <c r="B1650" s="4" t="s">
        <v>113</v>
      </c>
      <c r="C1650" s="3" t="s">
        <v>2</v>
      </c>
      <c r="D1650" s="3" t="s">
        <v>143</v>
      </c>
      <c r="E1650" s="3">
        <v>2206</v>
      </c>
      <c r="F1650">
        <f>SUM(E1648:E1654)</f>
        <v>8822</v>
      </c>
      <c r="G1650" s="57"/>
    </row>
    <row r="1651" spans="1:7" ht="12.75" x14ac:dyDescent="0.2">
      <c r="A1651" s="3">
        <v>93</v>
      </c>
      <c r="B1651" s="4" t="s">
        <v>113</v>
      </c>
      <c r="C1651" s="3" t="s">
        <v>2</v>
      </c>
      <c r="D1651" s="3" t="s">
        <v>133</v>
      </c>
      <c r="E1651" s="3">
        <v>290</v>
      </c>
      <c r="G1651" s="57"/>
    </row>
    <row r="1652" spans="1:7" ht="12.75" x14ac:dyDescent="0.2">
      <c r="A1652" s="3">
        <v>93</v>
      </c>
      <c r="B1652" s="4" t="s">
        <v>113</v>
      </c>
      <c r="C1652" s="3" t="s">
        <v>2</v>
      </c>
      <c r="D1652" s="3" t="s">
        <v>149</v>
      </c>
      <c r="E1652" s="3">
        <v>281</v>
      </c>
      <c r="G1652" s="57"/>
    </row>
    <row r="1653" spans="1:7" ht="12.75" x14ac:dyDescent="0.2">
      <c r="A1653" s="3">
        <v>93</v>
      </c>
      <c r="B1653" s="4" t="s">
        <v>113</v>
      </c>
      <c r="C1653" s="3" t="s">
        <v>2</v>
      </c>
      <c r="D1653" s="3" t="s">
        <v>14</v>
      </c>
      <c r="E1653" s="3">
        <v>242</v>
      </c>
      <c r="G1653" s="57"/>
    </row>
    <row r="1654" spans="1:7" ht="12.75" x14ac:dyDescent="0.2">
      <c r="A1654" s="3">
        <v>93</v>
      </c>
      <c r="B1654" s="4" t="s">
        <v>113</v>
      </c>
      <c r="C1654" s="3" t="s">
        <v>2</v>
      </c>
      <c r="D1654" s="3" t="s">
        <v>138</v>
      </c>
      <c r="E1654" s="3">
        <v>62</v>
      </c>
      <c r="G1654" s="57"/>
    </row>
    <row r="1655" spans="1:7" ht="12.75" x14ac:dyDescent="0.2">
      <c r="A1655" s="3">
        <v>93</v>
      </c>
      <c r="B1655" s="4" t="s">
        <v>113</v>
      </c>
      <c r="C1655" s="3" t="s">
        <v>162</v>
      </c>
      <c r="D1655" s="3" t="s">
        <v>3</v>
      </c>
      <c r="E1655" s="3">
        <v>3191</v>
      </c>
      <c r="G1655" s="57"/>
    </row>
    <row r="1656" spans="1:7" ht="12.75" x14ac:dyDescent="0.2">
      <c r="A1656" s="3">
        <v>93</v>
      </c>
      <c r="B1656" s="4" t="s">
        <v>113</v>
      </c>
      <c r="C1656" s="3" t="s">
        <v>162</v>
      </c>
      <c r="D1656" s="3" t="s">
        <v>128</v>
      </c>
      <c r="E1656" s="3">
        <v>2793</v>
      </c>
      <c r="G1656" s="59">
        <v>11322</v>
      </c>
    </row>
    <row r="1657" spans="1:7" ht="12.75" x14ac:dyDescent="0.2">
      <c r="A1657" s="3">
        <v>93</v>
      </c>
      <c r="B1657" s="4" t="s">
        <v>113</v>
      </c>
      <c r="C1657" s="3" t="s">
        <v>162</v>
      </c>
      <c r="D1657" s="3" t="s">
        <v>14</v>
      </c>
      <c r="E1657" s="3">
        <v>1541</v>
      </c>
      <c r="G1657" s="57"/>
    </row>
    <row r="1658" spans="1:7" ht="12.75" x14ac:dyDescent="0.2">
      <c r="A1658" s="3">
        <v>93</v>
      </c>
      <c r="B1658" s="4" t="s">
        <v>113</v>
      </c>
      <c r="C1658" s="3" t="s">
        <v>162</v>
      </c>
      <c r="D1658" s="3" t="s">
        <v>133</v>
      </c>
      <c r="E1658" s="3">
        <v>683</v>
      </c>
      <c r="G1658" s="57"/>
    </row>
    <row r="1659" spans="1:7" ht="12.75" x14ac:dyDescent="0.2">
      <c r="A1659" s="3">
        <v>93</v>
      </c>
      <c r="B1659" s="4" t="s">
        <v>113</v>
      </c>
      <c r="C1659" s="3" t="s">
        <v>162</v>
      </c>
      <c r="D1659" s="3" t="s">
        <v>149</v>
      </c>
      <c r="E1659" s="3">
        <v>275</v>
      </c>
      <c r="G1659" s="57"/>
    </row>
    <row r="1660" spans="1:7" ht="12.75" x14ac:dyDescent="0.2">
      <c r="A1660" s="3">
        <v>93</v>
      </c>
      <c r="B1660" s="4" t="s">
        <v>113</v>
      </c>
      <c r="C1660" s="3" t="s">
        <v>162</v>
      </c>
      <c r="D1660" s="3" t="s">
        <v>148</v>
      </c>
      <c r="E1660" s="3">
        <v>118</v>
      </c>
      <c r="F1660">
        <f>SUM(E1655:E1664)</f>
        <v>8822</v>
      </c>
      <c r="G1660" s="57"/>
    </row>
    <row r="1661" spans="1:7" ht="12.75" x14ac:dyDescent="0.2">
      <c r="A1661" s="3">
        <v>93</v>
      </c>
      <c r="B1661" s="4" t="s">
        <v>113</v>
      </c>
      <c r="C1661" s="3" t="s">
        <v>162</v>
      </c>
      <c r="D1661" s="3" t="s">
        <v>139</v>
      </c>
      <c r="E1661" s="3">
        <v>77</v>
      </c>
      <c r="G1661" s="57"/>
    </row>
    <row r="1662" spans="1:7" ht="12.75" x14ac:dyDescent="0.2">
      <c r="A1662" s="3">
        <v>93</v>
      </c>
      <c r="B1662" s="4" t="s">
        <v>113</v>
      </c>
      <c r="C1662" s="3" t="s">
        <v>162</v>
      </c>
      <c r="D1662" s="3" t="s">
        <v>138</v>
      </c>
      <c r="E1662" s="3">
        <v>76</v>
      </c>
      <c r="G1662" s="57"/>
    </row>
    <row r="1663" spans="1:7" ht="12.75" x14ac:dyDescent="0.2">
      <c r="A1663" s="3">
        <v>93</v>
      </c>
      <c r="B1663" s="4" t="s">
        <v>113</v>
      </c>
      <c r="C1663" s="3" t="s">
        <v>162</v>
      </c>
      <c r="D1663" s="3" t="s">
        <v>145</v>
      </c>
      <c r="E1663" s="3">
        <v>40</v>
      </c>
      <c r="G1663" s="57"/>
    </row>
    <row r="1664" spans="1:7" ht="12.75" x14ac:dyDescent="0.2">
      <c r="A1664" s="3">
        <v>93</v>
      </c>
      <c r="B1664" s="4" t="s">
        <v>113</v>
      </c>
      <c r="C1664" s="3" t="s">
        <v>162</v>
      </c>
      <c r="D1664" s="3" t="s">
        <v>135</v>
      </c>
      <c r="E1664" s="3">
        <v>28</v>
      </c>
      <c r="G1664" s="57"/>
    </row>
    <row r="1665" spans="1:7" ht="12.75" x14ac:dyDescent="0.2">
      <c r="A1665" s="3">
        <v>93</v>
      </c>
      <c r="B1665" s="4" t="s">
        <v>113</v>
      </c>
      <c r="C1665" s="3" t="s">
        <v>125</v>
      </c>
      <c r="D1665" s="3" t="s">
        <v>3</v>
      </c>
      <c r="E1665" s="3">
        <v>2885</v>
      </c>
      <c r="G1665" s="57"/>
    </row>
    <row r="1666" spans="1:7" ht="12.75" x14ac:dyDescent="0.2">
      <c r="A1666" s="3">
        <v>93</v>
      </c>
      <c r="B1666" s="4" t="s">
        <v>113</v>
      </c>
      <c r="C1666" s="3" t="s">
        <v>125</v>
      </c>
      <c r="D1666" s="3" t="s">
        <v>128</v>
      </c>
      <c r="E1666" s="3">
        <v>2816</v>
      </c>
      <c r="G1666" s="57"/>
    </row>
    <row r="1667" spans="1:7" ht="12.75" x14ac:dyDescent="0.2">
      <c r="A1667" s="3">
        <v>93</v>
      </c>
      <c r="B1667" s="4" t="s">
        <v>113</v>
      </c>
      <c r="C1667" s="3" t="s">
        <v>125</v>
      </c>
      <c r="D1667" s="3" t="s">
        <v>14</v>
      </c>
      <c r="E1667" s="3">
        <v>1935</v>
      </c>
      <c r="G1667" s="57"/>
    </row>
    <row r="1668" spans="1:7" ht="12.75" x14ac:dyDescent="0.2">
      <c r="A1668" s="3">
        <v>93</v>
      </c>
      <c r="B1668" s="4" t="s">
        <v>113</v>
      </c>
      <c r="C1668" s="3" t="s">
        <v>125</v>
      </c>
      <c r="D1668" s="3" t="s">
        <v>133</v>
      </c>
      <c r="E1668" s="3">
        <v>405</v>
      </c>
      <c r="G1668" s="57"/>
    </row>
    <row r="1669" spans="1:7" ht="12.75" x14ac:dyDescent="0.2">
      <c r="A1669" s="3">
        <v>93</v>
      </c>
      <c r="B1669" s="4" t="s">
        <v>113</v>
      </c>
      <c r="C1669" s="3" t="s">
        <v>125</v>
      </c>
      <c r="D1669" s="3" t="s">
        <v>148</v>
      </c>
      <c r="E1669" s="3">
        <v>298</v>
      </c>
      <c r="G1669" s="57"/>
    </row>
    <row r="1670" spans="1:7" ht="12.75" x14ac:dyDescent="0.2">
      <c r="A1670" s="3">
        <v>93</v>
      </c>
      <c r="B1670" s="4" t="s">
        <v>113</v>
      </c>
      <c r="C1670" s="3" t="s">
        <v>125</v>
      </c>
      <c r="D1670" s="3" t="s">
        <v>149</v>
      </c>
      <c r="E1670" s="3">
        <v>270</v>
      </c>
      <c r="F1670">
        <f>SUM(E1665:E1674)</f>
        <v>8822</v>
      </c>
      <c r="G1670" s="57"/>
    </row>
    <row r="1671" spans="1:7" ht="12.75" x14ac:dyDescent="0.2">
      <c r="A1671" s="3">
        <v>93</v>
      </c>
      <c r="B1671" s="4" t="s">
        <v>113</v>
      </c>
      <c r="C1671" s="3" t="s">
        <v>125</v>
      </c>
      <c r="D1671" s="3" t="s">
        <v>139</v>
      </c>
      <c r="E1671" s="3">
        <v>78</v>
      </c>
      <c r="G1671" s="57"/>
    </row>
    <row r="1672" spans="1:7" ht="12.75" x14ac:dyDescent="0.2">
      <c r="A1672" s="3">
        <v>93</v>
      </c>
      <c r="B1672" s="4" t="s">
        <v>113</v>
      </c>
      <c r="C1672" s="3" t="s">
        <v>125</v>
      </c>
      <c r="D1672" s="3" t="s">
        <v>138</v>
      </c>
      <c r="E1672" s="3">
        <v>72</v>
      </c>
      <c r="G1672" s="57"/>
    </row>
    <row r="1673" spans="1:7" ht="12.75" x14ac:dyDescent="0.2">
      <c r="A1673" s="3">
        <v>93</v>
      </c>
      <c r="B1673" s="4" t="s">
        <v>113</v>
      </c>
      <c r="C1673" s="3" t="s">
        <v>125</v>
      </c>
      <c r="D1673" s="3" t="s">
        <v>145</v>
      </c>
      <c r="E1673" s="3">
        <v>36</v>
      </c>
      <c r="G1673" s="57"/>
    </row>
    <row r="1674" spans="1:7" ht="12.75" x14ac:dyDescent="0.2">
      <c r="A1674" s="3">
        <v>93</v>
      </c>
      <c r="B1674" s="4" t="s">
        <v>113</v>
      </c>
      <c r="C1674" s="3" t="s">
        <v>125</v>
      </c>
      <c r="D1674" s="3" t="s">
        <v>135</v>
      </c>
      <c r="E1674" s="3">
        <v>27</v>
      </c>
      <c r="G1674" s="57"/>
    </row>
    <row r="1675" spans="1:7" ht="12.75" x14ac:dyDescent="0.2">
      <c r="A1675" s="3">
        <v>94</v>
      </c>
      <c r="B1675" s="4" t="s">
        <v>114</v>
      </c>
      <c r="C1675" s="3" t="s">
        <v>2</v>
      </c>
      <c r="D1675" s="3" t="s">
        <v>128</v>
      </c>
      <c r="E1675" s="3">
        <v>232</v>
      </c>
      <c r="G1675" s="57"/>
    </row>
    <row r="1676" spans="1:7" ht="12.75" x14ac:dyDescent="0.2">
      <c r="A1676" s="3">
        <v>94</v>
      </c>
      <c r="B1676" s="4" t="s">
        <v>114</v>
      </c>
      <c r="C1676" s="3" t="s">
        <v>2</v>
      </c>
      <c r="D1676" s="3" t="s">
        <v>136</v>
      </c>
      <c r="E1676" s="3">
        <v>201</v>
      </c>
      <c r="G1676" s="59">
        <v>10863</v>
      </c>
    </row>
    <row r="1677" spans="1:7" ht="12.75" x14ac:dyDescent="0.2">
      <c r="A1677" s="3">
        <v>94</v>
      </c>
      <c r="B1677" s="4" t="s">
        <v>114</v>
      </c>
      <c r="C1677" s="3" t="s">
        <v>2</v>
      </c>
      <c r="D1677" s="3" t="s">
        <v>14</v>
      </c>
      <c r="E1677" s="3">
        <v>1</v>
      </c>
      <c r="G1677" s="57"/>
    </row>
    <row r="1678" spans="1:7" ht="12.75" x14ac:dyDescent="0.2">
      <c r="A1678" s="3">
        <v>94</v>
      </c>
      <c r="B1678" s="4" t="s">
        <v>114</v>
      </c>
      <c r="C1678" s="3" t="s">
        <v>2</v>
      </c>
      <c r="D1678" s="3" t="s">
        <v>138</v>
      </c>
      <c r="E1678" s="3">
        <v>1</v>
      </c>
      <c r="F1678">
        <f>SUM(E1675:E1678)</f>
        <v>435</v>
      </c>
      <c r="G1678" s="57"/>
    </row>
    <row r="1679" spans="1:7" ht="12.75" x14ac:dyDescent="0.2">
      <c r="A1679" s="3">
        <v>94</v>
      </c>
      <c r="B1679" s="4" t="s">
        <v>114</v>
      </c>
      <c r="C1679" s="3" t="s">
        <v>161</v>
      </c>
      <c r="D1679" s="3" t="s">
        <v>136</v>
      </c>
      <c r="E1679" s="3">
        <v>208</v>
      </c>
      <c r="G1679" s="57"/>
    </row>
    <row r="1680" spans="1:7" ht="12.75" x14ac:dyDescent="0.2">
      <c r="A1680" s="3">
        <v>94</v>
      </c>
      <c r="B1680" s="4" t="s">
        <v>114</v>
      </c>
      <c r="C1680" s="3" t="s">
        <v>161</v>
      </c>
      <c r="D1680" s="3" t="s">
        <v>128</v>
      </c>
      <c r="E1680" s="3">
        <v>174</v>
      </c>
      <c r="G1680" s="57"/>
    </row>
    <row r="1681" spans="1:7" ht="12.75" x14ac:dyDescent="0.2">
      <c r="A1681" s="3">
        <v>94</v>
      </c>
      <c r="B1681" s="4" t="s">
        <v>114</v>
      </c>
      <c r="C1681" s="3" t="s">
        <v>161</v>
      </c>
      <c r="D1681" s="3" t="s">
        <v>14</v>
      </c>
      <c r="E1681" s="3">
        <v>28</v>
      </c>
      <c r="G1681" s="57"/>
    </row>
    <row r="1682" spans="1:7" ht="12.75" x14ac:dyDescent="0.2">
      <c r="A1682" s="3">
        <v>94</v>
      </c>
      <c r="B1682" s="4" t="s">
        <v>114</v>
      </c>
      <c r="C1682" s="3" t="s">
        <v>161</v>
      </c>
      <c r="D1682" s="3" t="s">
        <v>133</v>
      </c>
      <c r="E1682" s="3">
        <v>12</v>
      </c>
      <c r="G1682" s="57"/>
    </row>
    <row r="1683" spans="1:7" ht="12.75" x14ac:dyDescent="0.2">
      <c r="A1683" s="3">
        <v>94</v>
      </c>
      <c r="B1683" s="4" t="s">
        <v>114</v>
      </c>
      <c r="C1683" s="3" t="s">
        <v>161</v>
      </c>
      <c r="D1683" s="3" t="s">
        <v>138</v>
      </c>
      <c r="E1683" s="3">
        <v>7</v>
      </c>
      <c r="G1683" s="57"/>
    </row>
    <row r="1684" spans="1:7" ht="12.75" x14ac:dyDescent="0.2">
      <c r="A1684" s="3">
        <v>94</v>
      </c>
      <c r="B1684" s="4" t="s">
        <v>114</v>
      </c>
      <c r="C1684" s="3" t="s">
        <v>161</v>
      </c>
      <c r="D1684" s="3" t="s">
        <v>139</v>
      </c>
      <c r="E1684" s="3">
        <v>4</v>
      </c>
      <c r="G1684" s="57"/>
    </row>
    <row r="1685" spans="1:7" ht="12.75" x14ac:dyDescent="0.2">
      <c r="A1685" s="3">
        <v>94</v>
      </c>
      <c r="B1685" s="4" t="s">
        <v>114</v>
      </c>
      <c r="C1685" s="3" t="s">
        <v>161</v>
      </c>
      <c r="D1685" s="3" t="s">
        <v>149</v>
      </c>
      <c r="E1685" s="3">
        <v>2</v>
      </c>
      <c r="F1685">
        <f>SUM(E1679:E1685)</f>
        <v>435</v>
      </c>
      <c r="G1685" s="57"/>
    </row>
    <row r="1686" spans="1:7" ht="12.75" x14ac:dyDescent="0.2">
      <c r="A1686" s="3">
        <v>94</v>
      </c>
      <c r="B1686" s="4" t="s">
        <v>114</v>
      </c>
      <c r="C1686" s="3" t="s">
        <v>162</v>
      </c>
      <c r="D1686" s="3" t="s">
        <v>136</v>
      </c>
      <c r="E1686" s="3">
        <v>231</v>
      </c>
      <c r="G1686" s="57"/>
    </row>
    <row r="1687" spans="1:7" ht="12.75" x14ac:dyDescent="0.2">
      <c r="A1687" s="3">
        <v>94</v>
      </c>
      <c r="B1687" s="4" t="s">
        <v>114</v>
      </c>
      <c r="C1687" s="3" t="s">
        <v>162</v>
      </c>
      <c r="D1687" s="3" t="s">
        <v>128</v>
      </c>
      <c r="E1687" s="3">
        <v>164</v>
      </c>
      <c r="G1687" s="57"/>
    </row>
    <row r="1688" spans="1:7" ht="12.75" x14ac:dyDescent="0.2">
      <c r="A1688" s="3">
        <v>94</v>
      </c>
      <c r="B1688" s="4" t="s">
        <v>114</v>
      </c>
      <c r="C1688" s="3" t="s">
        <v>162</v>
      </c>
      <c r="D1688" s="3" t="s">
        <v>133</v>
      </c>
      <c r="E1688" s="3">
        <v>19</v>
      </c>
      <c r="G1688" s="57"/>
    </row>
    <row r="1689" spans="1:7" ht="12.75" x14ac:dyDescent="0.2">
      <c r="A1689" s="3">
        <v>94</v>
      </c>
      <c r="B1689" s="4" t="s">
        <v>114</v>
      </c>
      <c r="C1689" s="3" t="s">
        <v>162</v>
      </c>
      <c r="D1689" s="3" t="s">
        <v>14</v>
      </c>
      <c r="E1689" s="3">
        <v>9</v>
      </c>
      <c r="G1689" s="57"/>
    </row>
    <row r="1690" spans="1:7" ht="12.75" x14ac:dyDescent="0.2">
      <c r="A1690" s="3">
        <v>94</v>
      </c>
      <c r="B1690" s="4" t="s">
        <v>114</v>
      </c>
      <c r="C1690" s="3" t="s">
        <v>162</v>
      </c>
      <c r="D1690" s="3" t="s">
        <v>138</v>
      </c>
      <c r="E1690" s="3">
        <v>8</v>
      </c>
      <c r="G1690" s="57"/>
    </row>
    <row r="1691" spans="1:7" ht="12.75" x14ac:dyDescent="0.2">
      <c r="A1691" s="3">
        <v>94</v>
      </c>
      <c r="B1691" s="4" t="s">
        <v>114</v>
      </c>
      <c r="C1691" s="3" t="s">
        <v>162</v>
      </c>
      <c r="D1691" s="3" t="s">
        <v>149</v>
      </c>
      <c r="E1691" s="3">
        <v>2</v>
      </c>
      <c r="G1691" s="57"/>
    </row>
    <row r="1692" spans="1:7" ht="12.75" x14ac:dyDescent="0.2">
      <c r="A1692" s="3">
        <v>94</v>
      </c>
      <c r="B1692" s="4" t="s">
        <v>114</v>
      </c>
      <c r="C1692" s="3" t="s">
        <v>162</v>
      </c>
      <c r="D1692" s="3" t="s">
        <v>139</v>
      </c>
      <c r="E1692" s="3">
        <v>2</v>
      </c>
      <c r="F1692">
        <f>SUM(E1686:E1692)</f>
        <v>435</v>
      </c>
      <c r="G1692" s="57"/>
    </row>
    <row r="1693" spans="1:7" ht="12.75" x14ac:dyDescent="0.2">
      <c r="A1693" s="3">
        <v>95</v>
      </c>
      <c r="B1693" s="4" t="s">
        <v>115</v>
      </c>
      <c r="C1693" s="3" t="s">
        <v>15</v>
      </c>
      <c r="D1693" s="3" t="s">
        <v>128</v>
      </c>
      <c r="E1693" s="3">
        <v>66</v>
      </c>
      <c r="G1693" s="57"/>
    </row>
    <row r="1694" spans="1:7" ht="12.75" x14ac:dyDescent="0.2">
      <c r="A1694" s="3">
        <v>95</v>
      </c>
      <c r="B1694" s="4" t="s">
        <v>115</v>
      </c>
      <c r="C1694" s="3" t="s">
        <v>15</v>
      </c>
      <c r="D1694" s="3" t="s">
        <v>136</v>
      </c>
      <c r="E1694" s="3">
        <v>39</v>
      </c>
      <c r="G1694" s="57"/>
    </row>
    <row r="1695" spans="1:7" ht="12.75" x14ac:dyDescent="0.2">
      <c r="A1695" s="3">
        <v>95</v>
      </c>
      <c r="B1695" s="4" t="s">
        <v>115</v>
      </c>
      <c r="C1695" s="3" t="s">
        <v>15</v>
      </c>
      <c r="D1695" s="3" t="s">
        <v>14</v>
      </c>
      <c r="E1695" s="3">
        <v>1</v>
      </c>
      <c r="F1695">
        <f>SUM(E1693:E1695)</f>
        <v>106</v>
      </c>
      <c r="G1695" s="57"/>
    </row>
    <row r="1696" spans="1:7" ht="12.75" x14ac:dyDescent="0.2">
      <c r="A1696" s="3">
        <v>95</v>
      </c>
      <c r="B1696" s="4" t="s">
        <v>115</v>
      </c>
      <c r="C1696" s="3" t="s">
        <v>161</v>
      </c>
      <c r="D1696" s="3" t="s">
        <v>128</v>
      </c>
      <c r="E1696" s="3">
        <v>65</v>
      </c>
      <c r="G1696" s="57"/>
    </row>
    <row r="1697" spans="1:7" ht="12.75" x14ac:dyDescent="0.2">
      <c r="A1697" s="3">
        <v>95</v>
      </c>
      <c r="B1697" s="4" t="s">
        <v>115</v>
      </c>
      <c r="C1697" s="3" t="s">
        <v>161</v>
      </c>
      <c r="D1697" s="3" t="s">
        <v>136</v>
      </c>
      <c r="E1697" s="3">
        <v>39</v>
      </c>
      <c r="G1697" s="57"/>
    </row>
    <row r="1698" spans="1:7" ht="12.75" x14ac:dyDescent="0.2">
      <c r="A1698" s="3">
        <v>95</v>
      </c>
      <c r="B1698" s="4" t="s">
        <v>115</v>
      </c>
      <c r="C1698" s="3" t="s">
        <v>161</v>
      </c>
      <c r="D1698" s="3" t="s">
        <v>145</v>
      </c>
      <c r="E1698" s="3">
        <v>1</v>
      </c>
      <c r="G1698" s="57"/>
    </row>
    <row r="1699" spans="1:7" ht="12.75" x14ac:dyDescent="0.2">
      <c r="A1699" s="3">
        <v>95</v>
      </c>
      <c r="B1699" s="4" t="s">
        <v>115</v>
      </c>
      <c r="C1699" s="3" t="s">
        <v>161</v>
      </c>
      <c r="D1699" s="3" t="s">
        <v>14</v>
      </c>
      <c r="E1699" s="3">
        <v>1</v>
      </c>
      <c r="F1699">
        <f>SUM(E1696:E1699)</f>
        <v>106</v>
      </c>
      <c r="G1699" s="57"/>
    </row>
    <row r="1700" spans="1:7" ht="12.75" x14ac:dyDescent="0.2">
      <c r="A1700" s="3">
        <v>95</v>
      </c>
      <c r="B1700" s="4" t="s">
        <v>115</v>
      </c>
      <c r="C1700" s="3" t="s">
        <v>162</v>
      </c>
      <c r="D1700" s="3" t="s">
        <v>128</v>
      </c>
      <c r="E1700" s="3">
        <v>63</v>
      </c>
      <c r="G1700" s="57"/>
    </row>
    <row r="1701" spans="1:7" ht="12.75" x14ac:dyDescent="0.2">
      <c r="A1701" s="3">
        <v>95</v>
      </c>
      <c r="B1701" s="4" t="s">
        <v>115</v>
      </c>
      <c r="C1701" s="3" t="s">
        <v>162</v>
      </c>
      <c r="D1701" s="3" t="s">
        <v>136</v>
      </c>
      <c r="E1701" s="3">
        <v>39</v>
      </c>
      <c r="G1701" s="57"/>
    </row>
    <row r="1702" spans="1:7" ht="12.75" x14ac:dyDescent="0.2">
      <c r="A1702" s="3">
        <v>95</v>
      </c>
      <c r="B1702" s="4" t="s">
        <v>115</v>
      </c>
      <c r="C1702" s="3" t="s">
        <v>162</v>
      </c>
      <c r="D1702" s="3" t="s">
        <v>133</v>
      </c>
      <c r="E1702" s="3">
        <v>2</v>
      </c>
      <c r="G1702" s="57"/>
    </row>
    <row r="1703" spans="1:7" ht="12.75" x14ac:dyDescent="0.2">
      <c r="A1703" s="3">
        <v>95</v>
      </c>
      <c r="B1703" s="4" t="s">
        <v>115</v>
      </c>
      <c r="C1703" s="3" t="s">
        <v>162</v>
      </c>
      <c r="D1703" s="3" t="s">
        <v>145</v>
      </c>
      <c r="E1703" s="3">
        <v>1</v>
      </c>
      <c r="G1703" s="57"/>
    </row>
    <row r="1704" spans="1:7" ht="12.75" x14ac:dyDescent="0.2">
      <c r="A1704" s="3">
        <v>95</v>
      </c>
      <c r="B1704" s="4" t="s">
        <v>115</v>
      </c>
      <c r="C1704" s="3" t="s">
        <v>162</v>
      </c>
      <c r="D1704" s="3" t="s">
        <v>14</v>
      </c>
      <c r="E1704" s="3">
        <v>1</v>
      </c>
      <c r="F1704">
        <f>SUM(E1700:E1704)</f>
        <v>106</v>
      </c>
      <c r="G1704" s="57"/>
    </row>
    <row r="1705" spans="1:7" ht="12.75" x14ac:dyDescent="0.2">
      <c r="B1705" s="18"/>
      <c r="G1705" s="57"/>
    </row>
    <row r="1706" spans="1:7" ht="12.75" x14ac:dyDescent="0.2">
      <c r="A1706" s="2" t="s">
        <v>39</v>
      </c>
      <c r="B1706" s="4" t="s">
        <v>40</v>
      </c>
      <c r="C1706" s="3" t="s">
        <v>347</v>
      </c>
      <c r="G1706" s="57"/>
    </row>
    <row r="1707" spans="1:7" ht="12.75" x14ac:dyDescent="0.2">
      <c r="A1707" s="2" t="s">
        <v>39</v>
      </c>
      <c r="B1707" s="4" t="s">
        <v>40</v>
      </c>
      <c r="C1707" s="3" t="s">
        <v>347</v>
      </c>
      <c r="G1707" s="57"/>
    </row>
    <row r="1708" spans="1:7" ht="12.75" x14ac:dyDescent="0.2">
      <c r="A1708" s="2" t="s">
        <v>39</v>
      </c>
      <c r="B1708" s="4" t="s">
        <v>40</v>
      </c>
      <c r="C1708" s="3" t="s">
        <v>347</v>
      </c>
      <c r="G1708" s="57"/>
    </row>
    <row r="1709" spans="1:7" ht="12.75" x14ac:dyDescent="0.2">
      <c r="A1709" s="2" t="s">
        <v>39</v>
      </c>
      <c r="B1709" s="4" t="s">
        <v>40</v>
      </c>
      <c r="C1709" s="3" t="s">
        <v>347</v>
      </c>
      <c r="G1709" s="57"/>
    </row>
    <row r="1710" spans="1:7" ht="12.75" x14ac:dyDescent="0.2">
      <c r="A1710" s="2" t="s">
        <v>39</v>
      </c>
      <c r="B1710" s="4" t="s">
        <v>40</v>
      </c>
      <c r="C1710" s="3" t="s">
        <v>347</v>
      </c>
      <c r="G1710" s="59">
        <v>8639</v>
      </c>
    </row>
    <row r="1711" spans="1:7" ht="12.75" x14ac:dyDescent="0.2">
      <c r="A1711" s="2" t="s">
        <v>39</v>
      </c>
      <c r="B1711" s="4" t="s">
        <v>40</v>
      </c>
      <c r="C1711" s="3" t="s">
        <v>347</v>
      </c>
      <c r="G1711" s="57"/>
    </row>
    <row r="1712" spans="1:7" ht="12.75" x14ac:dyDescent="0.2">
      <c r="A1712" s="2" t="s">
        <v>39</v>
      </c>
      <c r="B1712" s="4" t="s">
        <v>40</v>
      </c>
      <c r="C1712" s="3" t="s">
        <v>347</v>
      </c>
      <c r="G1712" s="57"/>
    </row>
    <row r="1713" spans="1:7" ht="12.75" x14ac:dyDescent="0.2">
      <c r="A1713" s="2" t="s">
        <v>39</v>
      </c>
      <c r="B1713" s="4" t="s">
        <v>40</v>
      </c>
      <c r="C1713" s="3" t="s">
        <v>347</v>
      </c>
      <c r="G1713" s="57"/>
    </row>
    <row r="1714" spans="1:7" ht="12.75" x14ac:dyDescent="0.2">
      <c r="A1714" s="2" t="s">
        <v>39</v>
      </c>
      <c r="B1714" s="4" t="s">
        <v>40</v>
      </c>
      <c r="C1714" s="3" t="s">
        <v>273</v>
      </c>
      <c r="G1714" s="57"/>
    </row>
    <row r="1715" spans="1:7" ht="12.75" x14ac:dyDescent="0.2">
      <c r="A1715" s="2" t="s">
        <v>39</v>
      </c>
      <c r="B1715" s="4" t="s">
        <v>40</v>
      </c>
      <c r="C1715" s="3" t="s">
        <v>273</v>
      </c>
      <c r="G1715" s="57"/>
    </row>
    <row r="1716" spans="1:7" ht="12.75" x14ac:dyDescent="0.2">
      <c r="A1716" s="2" t="s">
        <v>39</v>
      </c>
      <c r="B1716" s="4" t="s">
        <v>40</v>
      </c>
      <c r="C1716" s="3" t="s">
        <v>273</v>
      </c>
      <c r="G1716" s="57"/>
    </row>
    <row r="1717" spans="1:7" ht="12.75" x14ac:dyDescent="0.2">
      <c r="A1717" s="2" t="s">
        <v>39</v>
      </c>
      <c r="B1717" s="4" t="s">
        <v>40</v>
      </c>
      <c r="C1717" s="3" t="s">
        <v>273</v>
      </c>
      <c r="G1717" s="57"/>
    </row>
    <row r="1718" spans="1:7" ht="12.75" x14ac:dyDescent="0.2">
      <c r="A1718" s="2" t="s">
        <v>39</v>
      </c>
      <c r="B1718" s="4" t="s">
        <v>40</v>
      </c>
      <c r="C1718" s="3" t="s">
        <v>273</v>
      </c>
      <c r="G1718" s="57"/>
    </row>
    <row r="1719" spans="1:7" ht="12.75" x14ac:dyDescent="0.2">
      <c r="A1719" s="2" t="s">
        <v>39</v>
      </c>
      <c r="B1719" s="4" t="s">
        <v>40</v>
      </c>
      <c r="C1719" s="3" t="s">
        <v>273</v>
      </c>
      <c r="G1719" s="57"/>
    </row>
    <row r="1720" spans="1:7" ht="12.75" x14ac:dyDescent="0.2">
      <c r="A1720" s="2" t="s">
        <v>39</v>
      </c>
      <c r="B1720" s="4" t="s">
        <v>40</v>
      </c>
      <c r="C1720" s="3" t="s">
        <v>125</v>
      </c>
      <c r="G1720" s="57"/>
    </row>
    <row r="1721" spans="1:7" ht="12.75" x14ac:dyDescent="0.2">
      <c r="A1721" s="2" t="s">
        <v>39</v>
      </c>
      <c r="B1721" s="4" t="s">
        <v>40</v>
      </c>
      <c r="C1721" s="3" t="s">
        <v>125</v>
      </c>
      <c r="F1721">
        <f>SUM(E1720:E1725)</f>
        <v>0</v>
      </c>
      <c r="G1721" s="57"/>
    </row>
    <row r="1722" spans="1:7" ht="12.75" x14ac:dyDescent="0.2">
      <c r="A1722" s="2" t="s">
        <v>39</v>
      </c>
      <c r="B1722" s="4" t="s">
        <v>40</v>
      </c>
      <c r="C1722" s="3" t="s">
        <v>125</v>
      </c>
      <c r="G1722" s="57"/>
    </row>
    <row r="1723" spans="1:7" ht="12.75" x14ac:dyDescent="0.2">
      <c r="A1723" s="2" t="s">
        <v>39</v>
      </c>
      <c r="B1723" s="4" t="s">
        <v>40</v>
      </c>
      <c r="C1723" s="3" t="s">
        <v>125</v>
      </c>
      <c r="G1723" s="57"/>
    </row>
    <row r="1724" spans="1:7" ht="12.75" x14ac:dyDescent="0.2">
      <c r="A1724" s="2" t="s">
        <v>39</v>
      </c>
      <c r="B1724" s="4" t="s">
        <v>40</v>
      </c>
      <c r="C1724" s="3" t="s">
        <v>125</v>
      </c>
      <c r="G1724" s="57"/>
    </row>
    <row r="1725" spans="1:7" ht="12.75" x14ac:dyDescent="0.2">
      <c r="A1725" s="2" t="s">
        <v>39</v>
      </c>
      <c r="B1725" s="4" t="s">
        <v>40</v>
      </c>
      <c r="C1725" s="3" t="s">
        <v>125</v>
      </c>
      <c r="G1725" s="57"/>
    </row>
    <row r="1726" spans="1:7" ht="12.75" x14ac:dyDescent="0.2">
      <c r="A1726" s="3">
        <v>57</v>
      </c>
      <c r="B1726" s="4" t="s">
        <v>84</v>
      </c>
      <c r="C1726" s="3" t="s">
        <v>347</v>
      </c>
      <c r="G1726" s="57"/>
    </row>
    <row r="1727" spans="1:7" ht="12.75" x14ac:dyDescent="0.2">
      <c r="A1727" s="3">
        <v>57</v>
      </c>
      <c r="B1727" s="4" t="s">
        <v>84</v>
      </c>
      <c r="C1727" s="3" t="s">
        <v>347</v>
      </c>
      <c r="G1727" s="57"/>
    </row>
    <row r="1728" spans="1:7" ht="12.75" x14ac:dyDescent="0.2">
      <c r="A1728" s="3">
        <v>57</v>
      </c>
      <c r="B1728" s="4" t="s">
        <v>84</v>
      </c>
      <c r="C1728" s="3" t="s">
        <v>347</v>
      </c>
      <c r="G1728" s="57"/>
    </row>
    <row r="1729" spans="1:7" ht="12.75" x14ac:dyDescent="0.2">
      <c r="A1729" s="3">
        <v>57</v>
      </c>
      <c r="B1729" s="4" t="s">
        <v>84</v>
      </c>
      <c r="C1729" s="3" t="s">
        <v>347</v>
      </c>
      <c r="F1729">
        <f>SUM(E1726:E1733)</f>
        <v>0</v>
      </c>
      <c r="G1729" s="57"/>
    </row>
    <row r="1730" spans="1:7" ht="12.75" x14ac:dyDescent="0.2">
      <c r="A1730" s="3">
        <v>57</v>
      </c>
      <c r="B1730" s="4" t="s">
        <v>84</v>
      </c>
      <c r="C1730" s="3" t="s">
        <v>347</v>
      </c>
      <c r="G1730" s="59">
        <v>6941</v>
      </c>
    </row>
    <row r="1731" spans="1:7" ht="12.75" x14ac:dyDescent="0.2">
      <c r="A1731" s="3">
        <v>57</v>
      </c>
      <c r="B1731" s="4" t="s">
        <v>84</v>
      </c>
      <c r="C1731" s="3" t="s">
        <v>347</v>
      </c>
      <c r="G1731" s="57"/>
    </row>
    <row r="1732" spans="1:7" ht="12.75" x14ac:dyDescent="0.2">
      <c r="A1732" s="3">
        <v>57</v>
      </c>
      <c r="B1732" s="4" t="s">
        <v>84</v>
      </c>
      <c r="C1732" s="3" t="s">
        <v>347</v>
      </c>
      <c r="G1732" s="57"/>
    </row>
    <row r="1733" spans="1:7" ht="12.75" x14ac:dyDescent="0.2">
      <c r="A1733" s="3">
        <v>57</v>
      </c>
      <c r="B1733" s="4" t="s">
        <v>84</v>
      </c>
      <c r="C1733" s="3" t="s">
        <v>347</v>
      </c>
      <c r="G1733" s="57"/>
    </row>
    <row r="1734" spans="1:7" ht="12.75" x14ac:dyDescent="0.2">
      <c r="A1734" s="3">
        <v>57</v>
      </c>
      <c r="B1734" s="4" t="s">
        <v>84</v>
      </c>
      <c r="C1734" s="3" t="s">
        <v>273</v>
      </c>
      <c r="G1734" s="57"/>
    </row>
    <row r="1735" spans="1:7" ht="12.75" x14ac:dyDescent="0.2">
      <c r="A1735" s="3">
        <v>57</v>
      </c>
      <c r="B1735" s="4" t="s">
        <v>84</v>
      </c>
      <c r="C1735" s="3" t="s">
        <v>273</v>
      </c>
      <c r="F1735">
        <f>SUM(E1734:E1739)</f>
        <v>0</v>
      </c>
      <c r="G1735" s="57"/>
    </row>
    <row r="1736" spans="1:7" ht="12.75" x14ac:dyDescent="0.2">
      <c r="A1736" s="3">
        <v>57</v>
      </c>
      <c r="B1736" s="4" t="s">
        <v>84</v>
      </c>
      <c r="C1736" s="3" t="s">
        <v>273</v>
      </c>
      <c r="G1736" s="57"/>
    </row>
    <row r="1737" spans="1:7" ht="12.75" x14ac:dyDescent="0.2">
      <c r="A1737" s="3">
        <v>57</v>
      </c>
      <c r="B1737" s="4" t="s">
        <v>84</v>
      </c>
      <c r="C1737" s="3" t="s">
        <v>273</v>
      </c>
      <c r="G1737" s="57"/>
    </row>
    <row r="1738" spans="1:7" ht="12.75" x14ac:dyDescent="0.2">
      <c r="A1738" s="3">
        <v>57</v>
      </c>
      <c r="B1738" s="4" t="s">
        <v>84</v>
      </c>
      <c r="C1738" s="3" t="s">
        <v>273</v>
      </c>
      <c r="G1738" s="57"/>
    </row>
    <row r="1739" spans="1:7" ht="12.75" x14ac:dyDescent="0.2">
      <c r="A1739" s="3">
        <v>57</v>
      </c>
      <c r="B1739" s="4" t="s">
        <v>84</v>
      </c>
      <c r="C1739" s="3" t="s">
        <v>273</v>
      </c>
      <c r="G1739" s="57"/>
    </row>
    <row r="1740" spans="1:7" ht="12.75" x14ac:dyDescent="0.2">
      <c r="A1740" s="3">
        <v>57</v>
      </c>
      <c r="B1740" s="4" t="s">
        <v>84</v>
      </c>
      <c r="C1740" s="3" t="s">
        <v>125</v>
      </c>
      <c r="G1740" s="57"/>
    </row>
    <row r="1741" spans="1:7" ht="12.75" x14ac:dyDescent="0.2">
      <c r="A1741" s="3">
        <v>57</v>
      </c>
      <c r="B1741" s="4" t="s">
        <v>84</v>
      </c>
      <c r="C1741" s="3" t="s">
        <v>125</v>
      </c>
      <c r="F1741">
        <f>SUM(E1740:E1745)</f>
        <v>0</v>
      </c>
      <c r="G1741" s="57"/>
    </row>
    <row r="1742" spans="1:7" ht="12.75" x14ac:dyDescent="0.2">
      <c r="A1742" s="3">
        <v>57</v>
      </c>
      <c r="B1742" s="4" t="s">
        <v>84</v>
      </c>
      <c r="C1742" s="3" t="s">
        <v>125</v>
      </c>
      <c r="G1742" s="57"/>
    </row>
    <row r="1743" spans="1:7" ht="12.75" x14ac:dyDescent="0.2">
      <c r="A1743" s="3">
        <v>57</v>
      </c>
      <c r="B1743" s="4" t="s">
        <v>84</v>
      </c>
      <c r="C1743" s="3" t="s">
        <v>125</v>
      </c>
      <c r="G1743" s="57"/>
    </row>
    <row r="1744" spans="1:7" ht="12.75" x14ac:dyDescent="0.2">
      <c r="A1744" s="3">
        <v>57</v>
      </c>
      <c r="B1744" s="4" t="s">
        <v>84</v>
      </c>
      <c r="C1744" s="3" t="s">
        <v>125</v>
      </c>
      <c r="G1744" s="57"/>
    </row>
    <row r="1745" spans="1:7" ht="12.75" x14ac:dyDescent="0.2">
      <c r="A1745" s="3">
        <v>57</v>
      </c>
      <c r="B1745" s="4" t="s">
        <v>84</v>
      </c>
      <c r="C1745" s="3" t="s">
        <v>125</v>
      </c>
      <c r="G1745" s="57"/>
    </row>
    <row r="1746" spans="1:7" ht="12.75" x14ac:dyDescent="0.2">
      <c r="A1746" s="3">
        <v>93</v>
      </c>
      <c r="B1746" s="4" t="s">
        <v>113</v>
      </c>
      <c r="C1746" s="3" t="s">
        <v>347</v>
      </c>
      <c r="G1746" s="57"/>
    </row>
    <row r="1747" spans="1:7" ht="12.75" x14ac:dyDescent="0.2">
      <c r="A1747" s="3">
        <v>93</v>
      </c>
      <c r="B1747" s="4" t="s">
        <v>113</v>
      </c>
      <c r="C1747" s="3" t="s">
        <v>347</v>
      </c>
      <c r="G1747" s="57"/>
    </row>
    <row r="1748" spans="1:7" ht="12.75" x14ac:dyDescent="0.2">
      <c r="A1748" s="3">
        <v>93</v>
      </c>
      <c r="B1748" s="4" t="s">
        <v>113</v>
      </c>
      <c r="C1748" s="3" t="s">
        <v>347</v>
      </c>
      <c r="G1748" s="57"/>
    </row>
    <row r="1749" spans="1:7" ht="12.75" x14ac:dyDescent="0.2">
      <c r="A1749" s="3">
        <v>93</v>
      </c>
      <c r="B1749" s="4" t="s">
        <v>113</v>
      </c>
      <c r="C1749" s="3" t="s">
        <v>347</v>
      </c>
      <c r="F1749">
        <f>SUM(E1746:E1753)</f>
        <v>0</v>
      </c>
      <c r="G1749" s="57"/>
    </row>
    <row r="1750" spans="1:7" ht="12.75" x14ac:dyDescent="0.2">
      <c r="A1750" s="3">
        <v>93</v>
      </c>
      <c r="B1750" s="4" t="s">
        <v>113</v>
      </c>
      <c r="C1750" s="3" t="s">
        <v>347</v>
      </c>
      <c r="G1750" s="59">
        <v>6804</v>
      </c>
    </row>
    <row r="1751" spans="1:7" ht="12.75" x14ac:dyDescent="0.2">
      <c r="A1751" s="3">
        <v>93</v>
      </c>
      <c r="B1751" s="4" t="s">
        <v>113</v>
      </c>
      <c r="C1751" s="3" t="s">
        <v>347</v>
      </c>
      <c r="G1751" s="57"/>
    </row>
    <row r="1752" spans="1:7" ht="12.75" x14ac:dyDescent="0.2">
      <c r="A1752" s="3">
        <v>93</v>
      </c>
      <c r="B1752" s="4" t="s">
        <v>113</v>
      </c>
      <c r="C1752" s="3" t="s">
        <v>347</v>
      </c>
      <c r="G1752" s="57"/>
    </row>
    <row r="1753" spans="1:7" ht="12.75" x14ac:dyDescent="0.2">
      <c r="A1753" s="3">
        <v>93</v>
      </c>
      <c r="B1753" s="4" t="s">
        <v>113</v>
      </c>
      <c r="C1753" s="3" t="s">
        <v>347</v>
      </c>
      <c r="G1753" s="57"/>
    </row>
    <row r="1754" spans="1:7" ht="12.75" x14ac:dyDescent="0.2">
      <c r="A1754" s="3">
        <v>93</v>
      </c>
      <c r="B1754" s="4" t="s">
        <v>113</v>
      </c>
      <c r="C1754" s="3" t="s">
        <v>273</v>
      </c>
      <c r="G1754" s="57"/>
    </row>
    <row r="1755" spans="1:7" ht="12.75" x14ac:dyDescent="0.2">
      <c r="A1755" s="3">
        <v>93</v>
      </c>
      <c r="B1755" s="4" t="s">
        <v>113</v>
      </c>
      <c r="C1755" s="3" t="s">
        <v>273</v>
      </c>
      <c r="F1755">
        <f>SUM(E1754:E1759)</f>
        <v>0</v>
      </c>
      <c r="G1755" s="57"/>
    </row>
    <row r="1756" spans="1:7" ht="12.75" x14ac:dyDescent="0.2">
      <c r="A1756" s="3">
        <v>93</v>
      </c>
      <c r="B1756" s="4" t="s">
        <v>113</v>
      </c>
      <c r="C1756" s="3" t="s">
        <v>273</v>
      </c>
      <c r="G1756" s="57"/>
    </row>
    <row r="1757" spans="1:7" ht="12.75" x14ac:dyDescent="0.2">
      <c r="A1757" s="3">
        <v>93</v>
      </c>
      <c r="B1757" s="4" t="s">
        <v>113</v>
      </c>
      <c r="C1757" s="3" t="s">
        <v>273</v>
      </c>
      <c r="G1757" s="57"/>
    </row>
    <row r="1758" spans="1:7" ht="12.75" x14ac:dyDescent="0.2">
      <c r="A1758" s="3">
        <v>93</v>
      </c>
      <c r="B1758" s="4" t="s">
        <v>113</v>
      </c>
      <c r="C1758" s="3" t="s">
        <v>273</v>
      </c>
      <c r="G1758" s="57"/>
    </row>
    <row r="1759" spans="1:7" ht="12.75" x14ac:dyDescent="0.2">
      <c r="A1759" s="3">
        <v>93</v>
      </c>
      <c r="B1759" s="4" t="s">
        <v>113</v>
      </c>
      <c r="C1759" s="3" t="s">
        <v>273</v>
      </c>
      <c r="G1759" s="57"/>
    </row>
    <row r="1760" spans="1:7" ht="12.75" x14ac:dyDescent="0.2">
      <c r="A1760" s="3">
        <v>93</v>
      </c>
      <c r="B1760" s="4" t="s">
        <v>113</v>
      </c>
      <c r="C1760" s="3" t="s">
        <v>125</v>
      </c>
      <c r="G1760" s="57"/>
    </row>
    <row r="1761" spans="1:7" ht="12.75" x14ac:dyDescent="0.2">
      <c r="A1761" s="3">
        <v>93</v>
      </c>
      <c r="B1761" s="4" t="s">
        <v>113</v>
      </c>
      <c r="C1761" s="3" t="s">
        <v>125</v>
      </c>
      <c r="F1761">
        <f>SUM(E1760:E1765)</f>
        <v>0</v>
      </c>
      <c r="G1761" s="57"/>
    </row>
    <row r="1762" spans="1:7" ht="12.75" x14ac:dyDescent="0.2">
      <c r="A1762" s="3">
        <v>93</v>
      </c>
      <c r="B1762" s="4" t="s">
        <v>113</v>
      </c>
      <c r="C1762" s="3" t="s">
        <v>125</v>
      </c>
      <c r="G1762" s="57"/>
    </row>
    <row r="1763" spans="1:7" ht="12.75" x14ac:dyDescent="0.2">
      <c r="A1763" s="3">
        <v>93</v>
      </c>
      <c r="B1763" s="4" t="s">
        <v>113</v>
      </c>
      <c r="C1763" s="3" t="s">
        <v>125</v>
      </c>
      <c r="G1763" s="57"/>
    </row>
    <row r="1764" spans="1:7" ht="12.75" x14ac:dyDescent="0.2">
      <c r="A1764" s="3">
        <v>93</v>
      </c>
      <c r="B1764" s="4" t="s">
        <v>113</v>
      </c>
      <c r="C1764" s="3" t="s">
        <v>125</v>
      </c>
      <c r="G1764" s="57"/>
    </row>
    <row r="1765" spans="1:7" ht="12.75" x14ac:dyDescent="0.2">
      <c r="A1765" s="3">
        <v>93</v>
      </c>
      <c r="B1765" s="4" t="s">
        <v>113</v>
      </c>
      <c r="C1765" s="3" t="s">
        <v>125</v>
      </c>
      <c r="G1765" s="57"/>
    </row>
    <row r="1766" spans="1:7" ht="12.75" x14ac:dyDescent="0.2">
      <c r="A1766" s="3">
        <v>86</v>
      </c>
      <c r="B1766" s="4" t="s">
        <v>106</v>
      </c>
      <c r="C1766" s="3" t="s">
        <v>347</v>
      </c>
      <c r="G1766" s="57"/>
    </row>
    <row r="1767" spans="1:7" ht="12.75" x14ac:dyDescent="0.2">
      <c r="A1767" s="3">
        <v>86</v>
      </c>
      <c r="B1767" s="4" t="s">
        <v>106</v>
      </c>
      <c r="C1767" s="3" t="s">
        <v>347</v>
      </c>
      <c r="G1767" s="57"/>
    </row>
    <row r="1768" spans="1:7" ht="12.75" x14ac:dyDescent="0.2">
      <c r="A1768" s="3">
        <v>86</v>
      </c>
      <c r="B1768" s="4" t="s">
        <v>106</v>
      </c>
      <c r="C1768" s="3" t="s">
        <v>347</v>
      </c>
      <c r="G1768" s="57"/>
    </row>
    <row r="1769" spans="1:7" ht="12.75" x14ac:dyDescent="0.2">
      <c r="A1769" s="3">
        <v>86</v>
      </c>
      <c r="B1769" s="4" t="s">
        <v>106</v>
      </c>
      <c r="C1769" s="3" t="s">
        <v>347</v>
      </c>
      <c r="F1769">
        <f>SUM(E1766:E1773)</f>
        <v>0</v>
      </c>
      <c r="G1769" s="57"/>
    </row>
    <row r="1770" spans="1:7" ht="12.75" x14ac:dyDescent="0.2">
      <c r="A1770" s="3">
        <v>86</v>
      </c>
      <c r="B1770" s="4" t="s">
        <v>106</v>
      </c>
      <c r="C1770" s="3" t="s">
        <v>347</v>
      </c>
      <c r="G1770" s="59">
        <v>6728</v>
      </c>
    </row>
    <row r="1771" spans="1:7" ht="12.75" x14ac:dyDescent="0.2">
      <c r="A1771" s="3">
        <v>86</v>
      </c>
      <c r="B1771" s="4" t="s">
        <v>106</v>
      </c>
      <c r="C1771" s="3" t="s">
        <v>347</v>
      </c>
      <c r="G1771" s="57"/>
    </row>
    <row r="1772" spans="1:7" ht="12.75" x14ac:dyDescent="0.2">
      <c r="A1772" s="3">
        <v>86</v>
      </c>
      <c r="B1772" s="4" t="s">
        <v>106</v>
      </c>
      <c r="C1772" s="3" t="s">
        <v>347</v>
      </c>
      <c r="G1772" s="57"/>
    </row>
    <row r="1773" spans="1:7" ht="12.75" x14ac:dyDescent="0.2">
      <c r="A1773" s="3">
        <v>86</v>
      </c>
      <c r="B1773" s="4" t="s">
        <v>106</v>
      </c>
      <c r="C1773" s="3" t="s">
        <v>347</v>
      </c>
      <c r="G1773" s="57"/>
    </row>
    <row r="1774" spans="1:7" ht="12.75" x14ac:dyDescent="0.2">
      <c r="A1774" s="3">
        <v>86</v>
      </c>
      <c r="B1774" s="4" t="s">
        <v>106</v>
      </c>
      <c r="C1774" s="3" t="s">
        <v>273</v>
      </c>
      <c r="G1774" s="57"/>
    </row>
    <row r="1775" spans="1:7" ht="12.75" x14ac:dyDescent="0.2">
      <c r="A1775" s="3">
        <v>86</v>
      </c>
      <c r="B1775" s="4" t="s">
        <v>106</v>
      </c>
      <c r="C1775" s="3" t="s">
        <v>273</v>
      </c>
      <c r="F1775">
        <f>SUM(E1774:E1779)</f>
        <v>0</v>
      </c>
      <c r="G1775" s="57"/>
    </row>
    <row r="1776" spans="1:7" ht="12.75" x14ac:dyDescent="0.2">
      <c r="A1776" s="3">
        <v>86</v>
      </c>
      <c r="B1776" s="4" t="s">
        <v>106</v>
      </c>
      <c r="C1776" s="3" t="s">
        <v>273</v>
      </c>
      <c r="G1776" s="57"/>
    </row>
    <row r="1777" spans="1:7" ht="12.75" x14ac:dyDescent="0.2">
      <c r="A1777" s="3">
        <v>86</v>
      </c>
      <c r="B1777" s="4" t="s">
        <v>106</v>
      </c>
      <c r="C1777" s="3" t="s">
        <v>273</v>
      </c>
      <c r="G1777" s="57"/>
    </row>
    <row r="1778" spans="1:7" ht="12.75" x14ac:dyDescent="0.2">
      <c r="A1778" s="3">
        <v>86</v>
      </c>
      <c r="B1778" s="4" t="s">
        <v>106</v>
      </c>
      <c r="C1778" s="3" t="s">
        <v>273</v>
      </c>
      <c r="G1778" s="57"/>
    </row>
    <row r="1779" spans="1:7" ht="12.75" x14ac:dyDescent="0.2">
      <c r="A1779" s="3">
        <v>86</v>
      </c>
      <c r="B1779" s="4" t="s">
        <v>106</v>
      </c>
      <c r="C1779" s="3" t="s">
        <v>273</v>
      </c>
      <c r="G1779" s="57"/>
    </row>
    <row r="1780" spans="1:7" ht="12.75" x14ac:dyDescent="0.2">
      <c r="A1780" s="3">
        <v>86</v>
      </c>
      <c r="B1780" s="4" t="s">
        <v>106</v>
      </c>
      <c r="C1780" s="3" t="s">
        <v>125</v>
      </c>
      <c r="G1780" s="57"/>
    </row>
    <row r="1781" spans="1:7" ht="12.75" x14ac:dyDescent="0.2">
      <c r="A1781" s="3">
        <v>86</v>
      </c>
      <c r="B1781" s="4" t="s">
        <v>106</v>
      </c>
      <c r="C1781" s="3" t="s">
        <v>125</v>
      </c>
      <c r="F1781">
        <f>SUM(E1780:E1785)</f>
        <v>0</v>
      </c>
      <c r="G1781" s="57"/>
    </row>
    <row r="1782" spans="1:7" ht="12.75" x14ac:dyDescent="0.2">
      <c r="A1782" s="3">
        <v>86</v>
      </c>
      <c r="B1782" s="4" t="s">
        <v>106</v>
      </c>
      <c r="C1782" s="3" t="s">
        <v>125</v>
      </c>
      <c r="G1782" s="57"/>
    </row>
    <row r="1783" spans="1:7" ht="12.75" x14ac:dyDescent="0.2">
      <c r="A1783" s="3">
        <v>86</v>
      </c>
      <c r="B1783" s="4" t="s">
        <v>106</v>
      </c>
      <c r="C1783" s="3" t="s">
        <v>125</v>
      </c>
      <c r="G1783" s="57"/>
    </row>
    <row r="1784" spans="1:7" ht="12.75" x14ac:dyDescent="0.2">
      <c r="A1784" s="3">
        <v>86</v>
      </c>
      <c r="B1784" s="4" t="s">
        <v>106</v>
      </c>
      <c r="C1784" s="3" t="s">
        <v>125</v>
      </c>
      <c r="G1784" s="57"/>
    </row>
    <row r="1785" spans="1:7" ht="12.75" x14ac:dyDescent="0.2">
      <c r="A1785" s="3">
        <v>86</v>
      </c>
      <c r="B1785" s="4" t="s">
        <v>106</v>
      </c>
      <c r="C1785" s="3" t="s">
        <v>125</v>
      </c>
      <c r="G1785" s="57"/>
    </row>
    <row r="1786" spans="1:7" ht="12.75" x14ac:dyDescent="0.2">
      <c r="A1786" s="3">
        <v>27</v>
      </c>
      <c r="B1786" s="4" t="s">
        <v>57</v>
      </c>
      <c r="C1786" s="3" t="s">
        <v>347</v>
      </c>
      <c r="G1786" s="57"/>
    </row>
    <row r="1787" spans="1:7" ht="12.75" x14ac:dyDescent="0.2">
      <c r="A1787" s="3">
        <v>27</v>
      </c>
      <c r="B1787" s="4" t="s">
        <v>57</v>
      </c>
      <c r="C1787" s="3" t="s">
        <v>347</v>
      </c>
      <c r="G1787" s="57"/>
    </row>
    <row r="1788" spans="1:7" ht="12.75" x14ac:dyDescent="0.2">
      <c r="A1788" s="3">
        <v>27</v>
      </c>
      <c r="B1788" s="4" t="s">
        <v>57</v>
      </c>
      <c r="C1788" s="3" t="s">
        <v>347</v>
      </c>
      <c r="G1788" s="57"/>
    </row>
    <row r="1789" spans="1:7" ht="12.75" x14ac:dyDescent="0.2">
      <c r="A1789" s="3">
        <v>27</v>
      </c>
      <c r="B1789" s="4" t="s">
        <v>57</v>
      </c>
      <c r="C1789" s="3" t="s">
        <v>347</v>
      </c>
      <c r="F1789">
        <f>SUM(E1786:E1793)</f>
        <v>0</v>
      </c>
      <c r="G1789" s="57"/>
    </row>
    <row r="1790" spans="1:7" ht="12.75" x14ac:dyDescent="0.2">
      <c r="A1790" s="3">
        <v>27</v>
      </c>
      <c r="B1790" s="4" t="s">
        <v>57</v>
      </c>
      <c r="C1790" s="3" t="s">
        <v>347</v>
      </c>
      <c r="G1790" s="59">
        <v>5329</v>
      </c>
    </row>
    <row r="1791" spans="1:7" ht="12.75" x14ac:dyDescent="0.2">
      <c r="A1791" s="3">
        <v>27</v>
      </c>
      <c r="B1791" s="4" t="s">
        <v>57</v>
      </c>
      <c r="C1791" s="3" t="s">
        <v>347</v>
      </c>
      <c r="G1791" s="57"/>
    </row>
    <row r="1792" spans="1:7" ht="12.75" x14ac:dyDescent="0.2">
      <c r="A1792" s="3">
        <v>27</v>
      </c>
      <c r="B1792" s="4" t="s">
        <v>57</v>
      </c>
      <c r="C1792" s="3" t="s">
        <v>347</v>
      </c>
      <c r="G1792" s="57"/>
    </row>
    <row r="1793" spans="1:7" ht="12.75" x14ac:dyDescent="0.2">
      <c r="A1793" s="3">
        <v>27</v>
      </c>
      <c r="B1793" s="4" t="s">
        <v>57</v>
      </c>
      <c r="C1793" s="3" t="s">
        <v>347</v>
      </c>
      <c r="G1793" s="57"/>
    </row>
    <row r="1794" spans="1:7" ht="12.75" x14ac:dyDescent="0.2">
      <c r="A1794" s="3">
        <v>27</v>
      </c>
      <c r="B1794" s="4" t="s">
        <v>57</v>
      </c>
      <c r="C1794" s="3" t="s">
        <v>273</v>
      </c>
      <c r="G1794" s="57"/>
    </row>
    <row r="1795" spans="1:7" ht="12.75" x14ac:dyDescent="0.2">
      <c r="A1795" s="3">
        <v>27</v>
      </c>
      <c r="B1795" s="4" t="s">
        <v>57</v>
      </c>
      <c r="C1795" s="3" t="s">
        <v>273</v>
      </c>
      <c r="F1795">
        <f>SUM(E1794:E1799)</f>
        <v>0</v>
      </c>
      <c r="G1795" s="57"/>
    </row>
    <row r="1796" spans="1:7" ht="12.75" x14ac:dyDescent="0.2">
      <c r="A1796" s="3">
        <v>27</v>
      </c>
      <c r="B1796" s="4" t="s">
        <v>57</v>
      </c>
      <c r="C1796" s="3" t="s">
        <v>273</v>
      </c>
      <c r="G1796" s="57"/>
    </row>
    <row r="1797" spans="1:7" ht="12.75" x14ac:dyDescent="0.2">
      <c r="A1797" s="3">
        <v>27</v>
      </c>
      <c r="B1797" s="4" t="s">
        <v>57</v>
      </c>
      <c r="C1797" s="3" t="s">
        <v>273</v>
      </c>
      <c r="G1797" s="57"/>
    </row>
    <row r="1798" spans="1:7" ht="12.75" x14ac:dyDescent="0.2">
      <c r="A1798" s="3">
        <v>27</v>
      </c>
      <c r="B1798" s="4" t="s">
        <v>57</v>
      </c>
      <c r="C1798" s="3" t="s">
        <v>273</v>
      </c>
      <c r="G1798" s="57"/>
    </row>
    <row r="1799" spans="1:7" ht="12.75" x14ac:dyDescent="0.2">
      <c r="A1799" s="3">
        <v>27</v>
      </c>
      <c r="B1799" s="4" t="s">
        <v>57</v>
      </c>
      <c r="C1799" s="3" t="s">
        <v>273</v>
      </c>
      <c r="G1799" s="57"/>
    </row>
    <row r="1800" spans="1:7" ht="12.75" x14ac:dyDescent="0.2">
      <c r="A1800" s="3">
        <v>27</v>
      </c>
      <c r="B1800" s="4" t="s">
        <v>57</v>
      </c>
      <c r="C1800" s="3" t="s">
        <v>125</v>
      </c>
      <c r="G1800" s="57"/>
    </row>
    <row r="1801" spans="1:7" ht="12.75" x14ac:dyDescent="0.2">
      <c r="A1801" s="3">
        <v>27</v>
      </c>
      <c r="B1801" s="4" t="s">
        <v>57</v>
      </c>
      <c r="C1801" s="3" t="s">
        <v>125</v>
      </c>
      <c r="F1801">
        <f>SUM(E1800:E1805)</f>
        <v>0</v>
      </c>
      <c r="G1801" s="57"/>
    </row>
    <row r="1802" spans="1:7" ht="12.75" x14ac:dyDescent="0.2">
      <c r="A1802" s="3">
        <v>27</v>
      </c>
      <c r="B1802" s="4" t="s">
        <v>57</v>
      </c>
      <c r="C1802" s="3" t="s">
        <v>125</v>
      </c>
      <c r="G1802" s="57"/>
    </row>
    <row r="1803" spans="1:7" ht="12.75" x14ac:dyDescent="0.2">
      <c r="A1803" s="3">
        <v>27</v>
      </c>
      <c r="B1803" s="4" t="s">
        <v>57</v>
      </c>
      <c r="C1803" s="3" t="s">
        <v>125</v>
      </c>
      <c r="G1803" s="57"/>
    </row>
    <row r="1804" spans="1:7" ht="12.75" x14ac:dyDescent="0.2">
      <c r="A1804" s="3">
        <v>27</v>
      </c>
      <c r="B1804" s="4" t="s">
        <v>57</v>
      </c>
      <c r="C1804" s="3" t="s">
        <v>125</v>
      </c>
      <c r="G1804" s="57"/>
    </row>
    <row r="1805" spans="1:7" ht="12.75" x14ac:dyDescent="0.2">
      <c r="A1805" s="3">
        <v>27</v>
      </c>
      <c r="B1805" s="4" t="s">
        <v>57</v>
      </c>
      <c r="C1805" s="3" t="s">
        <v>125</v>
      </c>
      <c r="G1805" s="57"/>
    </row>
    <row r="1806" spans="1:7" ht="12.75" x14ac:dyDescent="0.2">
      <c r="A1806" s="3">
        <v>61</v>
      </c>
      <c r="B1806" s="4" t="s">
        <v>86</v>
      </c>
      <c r="C1806" s="3" t="s">
        <v>347</v>
      </c>
      <c r="G1806" s="57"/>
    </row>
    <row r="1807" spans="1:7" ht="12.75" x14ac:dyDescent="0.2">
      <c r="A1807" s="3">
        <v>61</v>
      </c>
      <c r="B1807" s="4" t="s">
        <v>86</v>
      </c>
      <c r="C1807" s="3" t="s">
        <v>347</v>
      </c>
      <c r="G1807" s="57"/>
    </row>
    <row r="1808" spans="1:7" ht="12.75" x14ac:dyDescent="0.2">
      <c r="A1808" s="3">
        <v>61</v>
      </c>
      <c r="B1808" s="4" t="s">
        <v>86</v>
      </c>
      <c r="C1808" s="3" t="s">
        <v>347</v>
      </c>
      <c r="G1808" s="57"/>
    </row>
    <row r="1809" spans="1:7" ht="12.75" x14ac:dyDescent="0.2">
      <c r="A1809" s="3">
        <v>61</v>
      </c>
      <c r="B1809" s="4" t="s">
        <v>86</v>
      </c>
      <c r="C1809" s="3" t="s">
        <v>347</v>
      </c>
      <c r="F1809">
        <f>SUM(E1806:E1813)</f>
        <v>0</v>
      </c>
      <c r="G1809" s="57"/>
    </row>
    <row r="1810" spans="1:7" ht="12.75" x14ac:dyDescent="0.2">
      <c r="A1810" s="3">
        <v>61</v>
      </c>
      <c r="B1810" s="4" t="s">
        <v>86</v>
      </c>
      <c r="C1810" s="3" t="s">
        <v>347</v>
      </c>
      <c r="G1810" s="59">
        <v>4090</v>
      </c>
    </row>
    <row r="1811" spans="1:7" ht="12.75" x14ac:dyDescent="0.2">
      <c r="A1811" s="3">
        <v>61</v>
      </c>
      <c r="B1811" s="4" t="s">
        <v>86</v>
      </c>
      <c r="C1811" s="3" t="s">
        <v>347</v>
      </c>
      <c r="G1811" s="57"/>
    </row>
    <row r="1812" spans="1:7" ht="12.75" x14ac:dyDescent="0.2">
      <c r="A1812" s="3">
        <v>61</v>
      </c>
      <c r="B1812" s="4" t="s">
        <v>86</v>
      </c>
      <c r="C1812" s="3" t="s">
        <v>347</v>
      </c>
      <c r="G1812" s="57"/>
    </row>
    <row r="1813" spans="1:7" ht="12.75" x14ac:dyDescent="0.2">
      <c r="A1813" s="3">
        <v>61</v>
      </c>
      <c r="B1813" s="4" t="s">
        <v>86</v>
      </c>
      <c r="C1813" s="3" t="s">
        <v>347</v>
      </c>
      <c r="G1813" s="57"/>
    </row>
    <row r="1814" spans="1:7" ht="12.75" x14ac:dyDescent="0.2">
      <c r="A1814" s="3">
        <v>61</v>
      </c>
      <c r="B1814" s="4" t="s">
        <v>86</v>
      </c>
      <c r="C1814" s="3" t="s">
        <v>273</v>
      </c>
      <c r="G1814" s="57"/>
    </row>
    <row r="1815" spans="1:7" ht="12.75" x14ac:dyDescent="0.2">
      <c r="A1815" s="3">
        <v>61</v>
      </c>
      <c r="B1815" s="4" t="s">
        <v>86</v>
      </c>
      <c r="C1815" s="3" t="s">
        <v>273</v>
      </c>
      <c r="F1815">
        <f>SUM(E1814:E1819)</f>
        <v>0</v>
      </c>
      <c r="G1815" s="57"/>
    </row>
    <row r="1816" spans="1:7" ht="12.75" x14ac:dyDescent="0.2">
      <c r="A1816" s="3">
        <v>61</v>
      </c>
      <c r="B1816" s="4" t="s">
        <v>86</v>
      </c>
      <c r="C1816" s="3" t="s">
        <v>273</v>
      </c>
      <c r="G1816" s="57"/>
    </row>
    <row r="1817" spans="1:7" ht="12.75" x14ac:dyDescent="0.2">
      <c r="A1817" s="3">
        <v>61</v>
      </c>
      <c r="B1817" s="4" t="s">
        <v>86</v>
      </c>
      <c r="C1817" s="3" t="s">
        <v>273</v>
      </c>
      <c r="G1817" s="57"/>
    </row>
    <row r="1818" spans="1:7" ht="12.75" x14ac:dyDescent="0.2">
      <c r="A1818" s="3">
        <v>61</v>
      </c>
      <c r="B1818" s="4" t="s">
        <v>86</v>
      </c>
      <c r="C1818" s="3" t="s">
        <v>273</v>
      </c>
      <c r="G1818" s="57"/>
    </row>
    <row r="1819" spans="1:7" ht="12.75" x14ac:dyDescent="0.2">
      <c r="A1819" s="3">
        <v>61</v>
      </c>
      <c r="B1819" s="4" t="s">
        <v>86</v>
      </c>
      <c r="C1819" s="3" t="s">
        <v>273</v>
      </c>
      <c r="G1819" s="57"/>
    </row>
    <row r="1820" spans="1:7" ht="12.75" x14ac:dyDescent="0.2">
      <c r="A1820" s="3">
        <v>61</v>
      </c>
      <c r="B1820" s="4" t="s">
        <v>86</v>
      </c>
      <c r="C1820" s="3" t="s">
        <v>125</v>
      </c>
      <c r="G1820" s="57"/>
    </row>
    <row r="1821" spans="1:7" ht="12.75" x14ac:dyDescent="0.2">
      <c r="A1821" s="3">
        <v>61</v>
      </c>
      <c r="B1821" s="4" t="s">
        <v>86</v>
      </c>
      <c r="C1821" s="3" t="s">
        <v>125</v>
      </c>
      <c r="F1821">
        <f>SUM(E1820:E1825)</f>
        <v>0</v>
      </c>
      <c r="G1821" s="57"/>
    </row>
    <row r="1822" spans="1:7" ht="12.75" x14ac:dyDescent="0.2">
      <c r="A1822" s="3">
        <v>61</v>
      </c>
      <c r="B1822" s="4" t="s">
        <v>86</v>
      </c>
      <c r="C1822" s="3" t="s">
        <v>125</v>
      </c>
      <c r="G1822" s="57"/>
    </row>
    <row r="1823" spans="1:7" ht="12.75" x14ac:dyDescent="0.2">
      <c r="A1823" s="3">
        <v>61</v>
      </c>
      <c r="B1823" s="4" t="s">
        <v>86</v>
      </c>
      <c r="C1823" s="3" t="s">
        <v>125</v>
      </c>
      <c r="G1823" s="57"/>
    </row>
    <row r="1824" spans="1:7" ht="12.75" x14ac:dyDescent="0.2">
      <c r="A1824" s="3">
        <v>61</v>
      </c>
      <c r="B1824" s="4" t="s">
        <v>86</v>
      </c>
      <c r="C1824" s="3" t="s">
        <v>125</v>
      </c>
      <c r="G1824" s="57"/>
    </row>
    <row r="1825" spans="1:7" ht="12.75" x14ac:dyDescent="0.2">
      <c r="A1825" s="3">
        <v>61</v>
      </c>
      <c r="B1825" s="4" t="s">
        <v>86</v>
      </c>
      <c r="C1825" s="3" t="s">
        <v>125</v>
      </c>
      <c r="G1825" s="57"/>
    </row>
    <row r="1826" spans="1:7" ht="12.75" x14ac:dyDescent="0.2">
      <c r="A1826" s="3">
        <v>22</v>
      </c>
      <c r="B1826" s="4" t="s">
        <v>52</v>
      </c>
      <c r="C1826" s="3" t="s">
        <v>347</v>
      </c>
      <c r="G1826" s="57"/>
    </row>
    <row r="1827" spans="1:7" ht="12.75" x14ac:dyDescent="0.2">
      <c r="A1827" s="3">
        <v>22</v>
      </c>
      <c r="B1827" s="4" t="s">
        <v>52</v>
      </c>
      <c r="C1827" s="3" t="s">
        <v>347</v>
      </c>
      <c r="G1827" s="57"/>
    </row>
    <row r="1828" spans="1:7" ht="12.75" x14ac:dyDescent="0.2">
      <c r="A1828" s="3">
        <v>22</v>
      </c>
      <c r="B1828" s="4" t="s">
        <v>52</v>
      </c>
      <c r="C1828" s="3" t="s">
        <v>347</v>
      </c>
      <c r="G1828" s="57"/>
    </row>
    <row r="1829" spans="1:7" ht="12.75" x14ac:dyDescent="0.2">
      <c r="A1829" s="3">
        <v>22</v>
      </c>
      <c r="B1829" s="4" t="s">
        <v>52</v>
      </c>
      <c r="C1829" s="3" t="s">
        <v>347</v>
      </c>
      <c r="F1829">
        <f>SUM(E1826:E1833)</f>
        <v>0</v>
      </c>
      <c r="G1829" s="57"/>
    </row>
    <row r="1830" spans="1:7" ht="12.75" x14ac:dyDescent="0.2">
      <c r="A1830" s="3">
        <v>22</v>
      </c>
      <c r="B1830" s="4" t="s">
        <v>52</v>
      </c>
      <c r="C1830" s="3" t="s">
        <v>347</v>
      </c>
      <c r="G1830" s="59">
        <v>4526</v>
      </c>
    </row>
    <row r="1831" spans="1:7" ht="12.75" x14ac:dyDescent="0.2">
      <c r="A1831" s="3">
        <v>22</v>
      </c>
      <c r="B1831" s="4" t="s">
        <v>52</v>
      </c>
      <c r="C1831" s="3" t="s">
        <v>347</v>
      </c>
      <c r="G1831" s="57"/>
    </row>
    <row r="1832" spans="1:7" ht="12.75" x14ac:dyDescent="0.2">
      <c r="A1832" s="3">
        <v>22</v>
      </c>
      <c r="B1832" s="4" t="s">
        <v>52</v>
      </c>
      <c r="C1832" s="3" t="s">
        <v>347</v>
      </c>
      <c r="G1832" s="57"/>
    </row>
    <row r="1833" spans="1:7" ht="12.75" x14ac:dyDescent="0.2">
      <c r="A1833" s="3">
        <v>22</v>
      </c>
      <c r="B1833" s="4" t="s">
        <v>52</v>
      </c>
      <c r="C1833" s="3" t="s">
        <v>347</v>
      </c>
      <c r="G1833" s="57"/>
    </row>
    <row r="1834" spans="1:7" ht="12.75" x14ac:dyDescent="0.2">
      <c r="A1834" s="3">
        <v>22</v>
      </c>
      <c r="B1834" s="4" t="s">
        <v>52</v>
      </c>
      <c r="C1834" s="3" t="s">
        <v>273</v>
      </c>
      <c r="G1834" s="57"/>
    </row>
    <row r="1835" spans="1:7" ht="12.75" x14ac:dyDescent="0.2">
      <c r="A1835" s="3">
        <v>22</v>
      </c>
      <c r="B1835" s="4" t="s">
        <v>52</v>
      </c>
      <c r="C1835" s="3" t="s">
        <v>273</v>
      </c>
      <c r="F1835">
        <f>SUM(E1834:E1839)</f>
        <v>0</v>
      </c>
      <c r="G1835" s="57"/>
    </row>
    <row r="1836" spans="1:7" ht="12.75" x14ac:dyDescent="0.2">
      <c r="A1836" s="3">
        <v>22</v>
      </c>
      <c r="B1836" s="4" t="s">
        <v>52</v>
      </c>
      <c r="C1836" s="3" t="s">
        <v>273</v>
      </c>
      <c r="G1836" s="57"/>
    </row>
    <row r="1837" spans="1:7" ht="12.75" x14ac:dyDescent="0.2">
      <c r="A1837" s="3">
        <v>22</v>
      </c>
      <c r="B1837" s="4" t="s">
        <v>52</v>
      </c>
      <c r="C1837" s="3" t="s">
        <v>273</v>
      </c>
      <c r="G1837" s="57"/>
    </row>
    <row r="1838" spans="1:7" ht="12.75" x14ac:dyDescent="0.2">
      <c r="A1838" s="3">
        <v>22</v>
      </c>
      <c r="B1838" s="4" t="s">
        <v>52</v>
      </c>
      <c r="C1838" s="3" t="s">
        <v>273</v>
      </c>
      <c r="G1838" s="57"/>
    </row>
    <row r="1839" spans="1:7" ht="12.75" x14ac:dyDescent="0.2">
      <c r="A1839" s="3">
        <v>22</v>
      </c>
      <c r="B1839" s="4" t="s">
        <v>52</v>
      </c>
      <c r="C1839" s="3" t="s">
        <v>273</v>
      </c>
      <c r="G1839" s="57"/>
    </row>
    <row r="1840" spans="1:7" ht="12.75" x14ac:dyDescent="0.2">
      <c r="A1840" s="3">
        <v>22</v>
      </c>
      <c r="B1840" s="4" t="s">
        <v>52</v>
      </c>
      <c r="C1840" s="3" t="s">
        <v>125</v>
      </c>
      <c r="G1840" s="57"/>
    </row>
    <row r="1841" spans="1:7" ht="12.75" x14ac:dyDescent="0.2">
      <c r="A1841" s="3">
        <v>22</v>
      </c>
      <c r="B1841" s="4" t="s">
        <v>52</v>
      </c>
      <c r="C1841" s="3" t="s">
        <v>125</v>
      </c>
      <c r="F1841">
        <f>SUM(E1840:E1845)</f>
        <v>0</v>
      </c>
      <c r="G1841" s="57"/>
    </row>
    <row r="1842" spans="1:7" ht="12.75" x14ac:dyDescent="0.2">
      <c r="A1842" s="3">
        <v>22</v>
      </c>
      <c r="B1842" s="4" t="s">
        <v>52</v>
      </c>
      <c r="C1842" s="3" t="s">
        <v>125</v>
      </c>
      <c r="G1842" s="57"/>
    </row>
    <row r="1843" spans="1:7" ht="12.75" x14ac:dyDescent="0.2">
      <c r="A1843" s="3">
        <v>22</v>
      </c>
      <c r="B1843" s="4" t="s">
        <v>52</v>
      </c>
      <c r="C1843" s="3" t="s">
        <v>125</v>
      </c>
      <c r="G1843" s="57"/>
    </row>
    <row r="1844" spans="1:7" ht="12.75" x14ac:dyDescent="0.2">
      <c r="A1844" s="3">
        <v>22</v>
      </c>
      <c r="B1844" s="4" t="s">
        <v>52</v>
      </c>
      <c r="C1844" s="3" t="s">
        <v>125</v>
      </c>
      <c r="G1844" s="57"/>
    </row>
    <row r="1845" spans="1:7" ht="12.75" x14ac:dyDescent="0.2">
      <c r="A1845" s="3">
        <v>22</v>
      </c>
      <c r="B1845" s="4" t="s">
        <v>52</v>
      </c>
      <c r="C1845" s="3" t="s">
        <v>125</v>
      </c>
      <c r="G1845" s="57"/>
    </row>
    <row r="1846" spans="1:7" ht="12.75" x14ac:dyDescent="0.2">
      <c r="A1846" s="3">
        <v>82</v>
      </c>
      <c r="B1846" s="4" t="s">
        <v>105</v>
      </c>
      <c r="C1846" s="3" t="s">
        <v>347</v>
      </c>
      <c r="G1846" s="57"/>
    </row>
    <row r="1847" spans="1:7" ht="12.75" x14ac:dyDescent="0.2">
      <c r="A1847" s="3">
        <v>82</v>
      </c>
      <c r="B1847" s="4" t="s">
        <v>105</v>
      </c>
      <c r="C1847" s="3" t="s">
        <v>347</v>
      </c>
      <c r="G1847" s="57"/>
    </row>
    <row r="1848" spans="1:7" ht="12.75" x14ac:dyDescent="0.2">
      <c r="A1848" s="3">
        <v>82</v>
      </c>
      <c r="B1848" s="4" t="s">
        <v>105</v>
      </c>
      <c r="C1848" s="3" t="s">
        <v>347</v>
      </c>
      <c r="G1848" s="57"/>
    </row>
    <row r="1849" spans="1:7" ht="12.75" x14ac:dyDescent="0.2">
      <c r="A1849" s="3">
        <v>82</v>
      </c>
      <c r="B1849" s="4" t="s">
        <v>105</v>
      </c>
      <c r="C1849" s="3" t="s">
        <v>347</v>
      </c>
      <c r="F1849">
        <f>SUM(E1846:E1853)</f>
        <v>0</v>
      </c>
      <c r="G1849" s="57"/>
    </row>
    <row r="1850" spans="1:7" ht="12.75" x14ac:dyDescent="0.2">
      <c r="A1850" s="3">
        <v>82</v>
      </c>
      <c r="B1850" s="4" t="s">
        <v>105</v>
      </c>
      <c r="C1850" s="3" t="s">
        <v>347</v>
      </c>
      <c r="G1850" s="59">
        <v>4158</v>
      </c>
    </row>
    <row r="1851" spans="1:7" ht="12.75" x14ac:dyDescent="0.2">
      <c r="A1851" s="3">
        <v>82</v>
      </c>
      <c r="B1851" s="4" t="s">
        <v>105</v>
      </c>
      <c r="C1851" s="3" t="s">
        <v>347</v>
      </c>
      <c r="G1851" s="57"/>
    </row>
    <row r="1852" spans="1:7" ht="12.75" x14ac:dyDescent="0.2">
      <c r="A1852" s="3">
        <v>82</v>
      </c>
      <c r="B1852" s="4" t="s">
        <v>105</v>
      </c>
      <c r="C1852" s="3" t="s">
        <v>347</v>
      </c>
      <c r="G1852" s="57"/>
    </row>
    <row r="1853" spans="1:7" ht="12.75" x14ac:dyDescent="0.2">
      <c r="A1853" s="3">
        <v>82</v>
      </c>
      <c r="B1853" s="4" t="s">
        <v>105</v>
      </c>
      <c r="C1853" s="3" t="s">
        <v>347</v>
      </c>
      <c r="G1853" s="57"/>
    </row>
    <row r="1854" spans="1:7" ht="12.75" x14ac:dyDescent="0.2">
      <c r="A1854" s="3">
        <v>82</v>
      </c>
      <c r="B1854" s="4" t="s">
        <v>105</v>
      </c>
      <c r="C1854" s="3" t="s">
        <v>273</v>
      </c>
      <c r="G1854" s="57"/>
    </row>
    <row r="1855" spans="1:7" ht="12.75" x14ac:dyDescent="0.2">
      <c r="A1855" s="3">
        <v>82</v>
      </c>
      <c r="B1855" s="4" t="s">
        <v>105</v>
      </c>
      <c r="C1855" s="3" t="s">
        <v>273</v>
      </c>
      <c r="F1855">
        <f>SUM(E1854:E1859)</f>
        <v>0</v>
      </c>
      <c r="G1855" s="57"/>
    </row>
    <row r="1856" spans="1:7" ht="12.75" x14ac:dyDescent="0.2">
      <c r="A1856" s="3">
        <v>82</v>
      </c>
      <c r="B1856" s="4" t="s">
        <v>105</v>
      </c>
      <c r="C1856" s="3" t="s">
        <v>273</v>
      </c>
      <c r="G1856" s="57"/>
    </row>
    <row r="1857" spans="1:7" ht="12.75" x14ac:dyDescent="0.2">
      <c r="A1857" s="3">
        <v>82</v>
      </c>
      <c r="B1857" s="4" t="s">
        <v>105</v>
      </c>
      <c r="C1857" s="3" t="s">
        <v>273</v>
      </c>
      <c r="G1857" s="57"/>
    </row>
    <row r="1858" spans="1:7" ht="12.75" x14ac:dyDescent="0.2">
      <c r="A1858" s="3">
        <v>82</v>
      </c>
      <c r="B1858" s="4" t="s">
        <v>105</v>
      </c>
      <c r="C1858" s="3" t="s">
        <v>273</v>
      </c>
      <c r="G1858" s="57"/>
    </row>
    <row r="1859" spans="1:7" ht="12.75" x14ac:dyDescent="0.2">
      <c r="A1859" s="3">
        <v>82</v>
      </c>
      <c r="B1859" s="4" t="s">
        <v>105</v>
      </c>
      <c r="C1859" s="3" t="s">
        <v>273</v>
      </c>
      <c r="G1859" s="57"/>
    </row>
    <row r="1860" spans="1:7" ht="12.75" x14ac:dyDescent="0.2">
      <c r="A1860" s="3">
        <v>82</v>
      </c>
      <c r="B1860" s="4" t="s">
        <v>105</v>
      </c>
      <c r="C1860" s="3" t="s">
        <v>125</v>
      </c>
      <c r="G1860" s="57"/>
    </row>
    <row r="1861" spans="1:7" ht="12.75" x14ac:dyDescent="0.2">
      <c r="A1861" s="3">
        <v>82</v>
      </c>
      <c r="B1861" s="4" t="s">
        <v>105</v>
      </c>
      <c r="C1861" s="3" t="s">
        <v>125</v>
      </c>
      <c r="F1861">
        <f>SUM(E1860:E1865)</f>
        <v>0</v>
      </c>
      <c r="G1861" s="57"/>
    </row>
    <row r="1862" spans="1:7" ht="12.75" x14ac:dyDescent="0.2">
      <c r="A1862" s="3">
        <v>82</v>
      </c>
      <c r="B1862" s="4" t="s">
        <v>105</v>
      </c>
      <c r="C1862" s="3" t="s">
        <v>125</v>
      </c>
      <c r="G1862" s="57"/>
    </row>
    <row r="1863" spans="1:7" ht="12.75" x14ac:dyDescent="0.2">
      <c r="A1863" s="3">
        <v>82</v>
      </c>
      <c r="B1863" s="4" t="s">
        <v>105</v>
      </c>
      <c r="C1863" s="3" t="s">
        <v>125</v>
      </c>
      <c r="G1863" s="57"/>
    </row>
    <row r="1864" spans="1:7" ht="12.75" x14ac:dyDescent="0.2">
      <c r="A1864" s="3">
        <v>82</v>
      </c>
      <c r="B1864" s="4" t="s">
        <v>105</v>
      </c>
      <c r="C1864" s="3" t="s">
        <v>125</v>
      </c>
      <c r="G1864" s="57"/>
    </row>
    <row r="1865" spans="1:7" ht="12.75" x14ac:dyDescent="0.2">
      <c r="A1865" s="3">
        <v>82</v>
      </c>
      <c r="B1865" s="4" t="s">
        <v>105</v>
      </c>
      <c r="C1865" s="3" t="s">
        <v>125</v>
      </c>
      <c r="G1865" s="57"/>
    </row>
    <row r="1866" spans="1:7" ht="12.75" x14ac:dyDescent="0.2">
      <c r="A1866" s="3">
        <v>48</v>
      </c>
      <c r="B1866" s="4" t="s">
        <v>78</v>
      </c>
      <c r="C1866" s="3" t="s">
        <v>347</v>
      </c>
      <c r="G1866" s="57"/>
    </row>
    <row r="1867" spans="1:7" ht="12.75" x14ac:dyDescent="0.2">
      <c r="A1867" s="3">
        <v>48</v>
      </c>
      <c r="B1867" s="4" t="s">
        <v>78</v>
      </c>
      <c r="C1867" s="3" t="s">
        <v>347</v>
      </c>
      <c r="G1867" s="57"/>
    </row>
    <row r="1868" spans="1:7" ht="12.75" x14ac:dyDescent="0.2">
      <c r="A1868" s="3">
        <v>48</v>
      </c>
      <c r="B1868" s="4" t="s">
        <v>78</v>
      </c>
      <c r="C1868" s="3" t="s">
        <v>347</v>
      </c>
      <c r="G1868" s="57"/>
    </row>
    <row r="1869" spans="1:7" ht="12.75" x14ac:dyDescent="0.2">
      <c r="A1869" s="3">
        <v>48</v>
      </c>
      <c r="B1869" s="4" t="s">
        <v>78</v>
      </c>
      <c r="C1869" s="3" t="s">
        <v>347</v>
      </c>
      <c r="F1869">
        <f>SUM(E1866:E1873)</f>
        <v>0</v>
      </c>
      <c r="G1869" s="57"/>
    </row>
    <row r="1870" spans="1:7" ht="12.75" x14ac:dyDescent="0.2">
      <c r="A1870" s="3">
        <v>48</v>
      </c>
      <c r="B1870" s="4" t="s">
        <v>78</v>
      </c>
      <c r="C1870" s="3" t="s">
        <v>347</v>
      </c>
      <c r="G1870" s="59">
        <v>3640</v>
      </c>
    </row>
    <row r="1871" spans="1:7" ht="12.75" x14ac:dyDescent="0.2">
      <c r="A1871" s="3">
        <v>48</v>
      </c>
      <c r="B1871" s="4" t="s">
        <v>78</v>
      </c>
      <c r="C1871" s="3" t="s">
        <v>347</v>
      </c>
      <c r="G1871" s="57"/>
    </row>
    <row r="1872" spans="1:7" ht="12.75" x14ac:dyDescent="0.2">
      <c r="A1872" s="3">
        <v>48</v>
      </c>
      <c r="B1872" s="4" t="s">
        <v>78</v>
      </c>
      <c r="C1872" s="3" t="s">
        <v>347</v>
      </c>
      <c r="G1872" s="57"/>
    </row>
    <row r="1873" spans="1:8" ht="12.75" x14ac:dyDescent="0.2">
      <c r="A1873" s="3">
        <v>48</v>
      </c>
      <c r="B1873" s="4" t="s">
        <v>78</v>
      </c>
      <c r="C1873" s="3" t="s">
        <v>347</v>
      </c>
      <c r="G1873" s="57"/>
    </row>
    <row r="1874" spans="1:8" ht="12.75" x14ac:dyDescent="0.2">
      <c r="A1874" s="3">
        <v>48</v>
      </c>
      <c r="B1874" s="4" t="s">
        <v>78</v>
      </c>
      <c r="C1874" s="3" t="s">
        <v>273</v>
      </c>
      <c r="G1874" s="57"/>
    </row>
    <row r="1875" spans="1:8" ht="12.75" x14ac:dyDescent="0.2">
      <c r="A1875" s="3">
        <v>48</v>
      </c>
      <c r="B1875" s="4" t="s">
        <v>78</v>
      </c>
      <c r="C1875" s="3" t="s">
        <v>273</v>
      </c>
      <c r="F1875">
        <f>SUM(E1874:E1879)</f>
        <v>0</v>
      </c>
      <c r="G1875" s="57"/>
    </row>
    <row r="1876" spans="1:8" ht="12.75" x14ac:dyDescent="0.2">
      <c r="A1876" s="3">
        <v>48</v>
      </c>
      <c r="B1876" s="4" t="s">
        <v>78</v>
      </c>
      <c r="C1876" s="3" t="s">
        <v>273</v>
      </c>
      <c r="G1876" s="57"/>
    </row>
    <row r="1877" spans="1:8" ht="12.75" x14ac:dyDescent="0.2">
      <c r="A1877" s="3">
        <v>48</v>
      </c>
      <c r="B1877" s="4" t="s">
        <v>78</v>
      </c>
      <c r="C1877" s="3" t="s">
        <v>273</v>
      </c>
      <c r="G1877" s="57"/>
    </row>
    <row r="1878" spans="1:8" ht="12.75" x14ac:dyDescent="0.2">
      <c r="A1878" s="3">
        <v>48</v>
      </c>
      <c r="B1878" s="4" t="s">
        <v>78</v>
      </c>
      <c r="C1878" s="3" t="s">
        <v>273</v>
      </c>
      <c r="G1878" s="57"/>
    </row>
    <row r="1879" spans="1:8" ht="12.75" x14ac:dyDescent="0.2">
      <c r="A1879" s="3">
        <v>48</v>
      </c>
      <c r="B1879" s="4" t="s">
        <v>78</v>
      </c>
      <c r="C1879" s="3" t="s">
        <v>273</v>
      </c>
      <c r="G1879" s="57"/>
      <c r="H1879" s="15"/>
    </row>
    <row r="1880" spans="1:8" ht="12.75" x14ac:dyDescent="0.2">
      <c r="A1880" s="3">
        <v>48</v>
      </c>
      <c r="B1880" s="4" t="s">
        <v>78</v>
      </c>
      <c r="C1880" s="3" t="s">
        <v>125</v>
      </c>
      <c r="G1880" s="57"/>
    </row>
    <row r="1881" spans="1:8" ht="12.75" x14ac:dyDescent="0.2">
      <c r="A1881" s="3">
        <v>48</v>
      </c>
      <c r="B1881" s="4" t="s">
        <v>78</v>
      </c>
      <c r="C1881" s="3" t="s">
        <v>125</v>
      </c>
      <c r="F1881">
        <f>SUM(E1880:E1885)</f>
        <v>0</v>
      </c>
      <c r="G1881" s="57"/>
    </row>
    <row r="1882" spans="1:8" ht="12.75" x14ac:dyDescent="0.2">
      <c r="A1882" s="3">
        <v>48</v>
      </c>
      <c r="B1882" s="4" t="s">
        <v>78</v>
      </c>
      <c r="C1882" s="3" t="s">
        <v>125</v>
      </c>
      <c r="G1882" s="57"/>
    </row>
    <row r="1883" spans="1:8" ht="12.75" x14ac:dyDescent="0.2">
      <c r="A1883" s="3">
        <v>48</v>
      </c>
      <c r="B1883" s="4" t="s">
        <v>78</v>
      </c>
      <c r="C1883" s="3" t="s">
        <v>125</v>
      </c>
      <c r="G1883" s="57"/>
    </row>
    <row r="1884" spans="1:8" ht="12.75" x14ac:dyDescent="0.2">
      <c r="A1884" s="3">
        <v>48</v>
      </c>
      <c r="B1884" s="4" t="s">
        <v>78</v>
      </c>
      <c r="C1884" s="3" t="s">
        <v>125</v>
      </c>
      <c r="G1884" s="57"/>
    </row>
    <row r="1885" spans="1:8" ht="12.75" x14ac:dyDescent="0.2">
      <c r="A1885" s="3">
        <v>48</v>
      </c>
      <c r="B1885" s="4" t="s">
        <v>78</v>
      </c>
      <c r="C1885" s="3" t="s">
        <v>125</v>
      </c>
      <c r="G1885" s="57"/>
    </row>
    <row r="1886" spans="1:8" ht="12.75" x14ac:dyDescent="0.2">
      <c r="A1886" s="3">
        <v>36</v>
      </c>
      <c r="B1886" s="4" t="s">
        <v>66</v>
      </c>
      <c r="C1886" s="3" t="s">
        <v>347</v>
      </c>
      <c r="G1886" s="57"/>
    </row>
    <row r="1887" spans="1:8" ht="12.75" x14ac:dyDescent="0.2">
      <c r="A1887" s="3">
        <v>36</v>
      </c>
      <c r="B1887" s="4" t="s">
        <v>66</v>
      </c>
      <c r="C1887" s="3" t="s">
        <v>347</v>
      </c>
      <c r="G1887" s="57"/>
    </row>
    <row r="1888" spans="1:8" ht="12.75" x14ac:dyDescent="0.2">
      <c r="A1888" s="3">
        <v>36</v>
      </c>
      <c r="B1888" s="4" t="s">
        <v>66</v>
      </c>
      <c r="C1888" s="3" t="s">
        <v>347</v>
      </c>
      <c r="G1888" s="57"/>
    </row>
    <row r="1889" spans="1:7" ht="12.75" x14ac:dyDescent="0.2">
      <c r="A1889" s="3">
        <v>36</v>
      </c>
      <c r="B1889" s="4" t="s">
        <v>66</v>
      </c>
      <c r="C1889" s="3" t="s">
        <v>347</v>
      </c>
      <c r="F1889">
        <f>SUM(E1886:E1893)</f>
        <v>0</v>
      </c>
      <c r="G1889" s="57"/>
    </row>
    <row r="1890" spans="1:7" ht="12.75" x14ac:dyDescent="0.2">
      <c r="A1890" s="3">
        <v>36</v>
      </c>
      <c r="B1890" s="4" t="s">
        <v>66</v>
      </c>
      <c r="C1890" s="3" t="s">
        <v>347</v>
      </c>
      <c r="G1890" s="59">
        <v>3351</v>
      </c>
    </row>
    <row r="1891" spans="1:7" ht="12.75" x14ac:dyDescent="0.2">
      <c r="A1891" s="3">
        <v>36</v>
      </c>
      <c r="B1891" s="4" t="s">
        <v>66</v>
      </c>
      <c r="C1891" s="3" t="s">
        <v>347</v>
      </c>
      <c r="G1891" s="57"/>
    </row>
    <row r="1892" spans="1:7" ht="12.75" x14ac:dyDescent="0.2">
      <c r="A1892" s="3">
        <v>36</v>
      </c>
      <c r="B1892" s="4" t="s">
        <v>66</v>
      </c>
      <c r="C1892" s="3" t="s">
        <v>347</v>
      </c>
      <c r="G1892" s="57"/>
    </row>
    <row r="1893" spans="1:7" ht="12.75" x14ac:dyDescent="0.2">
      <c r="A1893" s="3">
        <v>36</v>
      </c>
      <c r="B1893" s="4" t="s">
        <v>66</v>
      </c>
      <c r="C1893" s="3" t="s">
        <v>347</v>
      </c>
      <c r="G1893" s="57"/>
    </row>
    <row r="1894" spans="1:7" ht="12.75" x14ac:dyDescent="0.2">
      <c r="A1894" s="3">
        <v>36</v>
      </c>
      <c r="B1894" s="4" t="s">
        <v>66</v>
      </c>
      <c r="C1894" s="3" t="s">
        <v>273</v>
      </c>
      <c r="G1894" s="57"/>
    </row>
    <row r="1895" spans="1:7" ht="12.75" x14ac:dyDescent="0.2">
      <c r="A1895" s="3">
        <v>36</v>
      </c>
      <c r="B1895" s="4" t="s">
        <v>66</v>
      </c>
      <c r="C1895" s="3" t="s">
        <v>273</v>
      </c>
      <c r="F1895">
        <f>SUM(E1894:E1899)</f>
        <v>0</v>
      </c>
      <c r="G1895" s="57"/>
    </row>
    <row r="1896" spans="1:7" ht="12.75" x14ac:dyDescent="0.2">
      <c r="A1896" s="3">
        <v>36</v>
      </c>
      <c r="B1896" s="4" t="s">
        <v>66</v>
      </c>
      <c r="C1896" s="3" t="s">
        <v>273</v>
      </c>
      <c r="G1896" s="57"/>
    </row>
    <row r="1897" spans="1:7" ht="12.75" x14ac:dyDescent="0.2">
      <c r="A1897" s="3">
        <v>36</v>
      </c>
      <c r="B1897" s="4" t="s">
        <v>66</v>
      </c>
      <c r="C1897" s="3" t="s">
        <v>273</v>
      </c>
      <c r="G1897" s="57"/>
    </row>
    <row r="1898" spans="1:7" ht="12.75" x14ac:dyDescent="0.2">
      <c r="A1898" s="3">
        <v>36</v>
      </c>
      <c r="B1898" s="4" t="s">
        <v>66</v>
      </c>
      <c r="C1898" s="3" t="s">
        <v>273</v>
      </c>
      <c r="G1898" s="57"/>
    </row>
    <row r="1899" spans="1:7" ht="12.75" x14ac:dyDescent="0.2">
      <c r="A1899" s="3">
        <v>36</v>
      </c>
      <c r="B1899" s="4" t="s">
        <v>66</v>
      </c>
      <c r="C1899" s="3" t="s">
        <v>273</v>
      </c>
      <c r="G1899" s="57"/>
    </row>
    <row r="1900" spans="1:7" ht="12.75" x14ac:dyDescent="0.2">
      <c r="A1900" s="3">
        <v>36</v>
      </c>
      <c r="B1900" s="4" t="s">
        <v>66</v>
      </c>
      <c r="C1900" s="3" t="s">
        <v>125</v>
      </c>
      <c r="G1900" s="57"/>
    </row>
    <row r="1901" spans="1:7" ht="12.75" x14ac:dyDescent="0.2">
      <c r="A1901" s="3">
        <v>36</v>
      </c>
      <c r="B1901" s="4" t="s">
        <v>66</v>
      </c>
      <c r="C1901" s="3" t="s">
        <v>125</v>
      </c>
      <c r="F1901">
        <f>SUM(E1900:E1905)</f>
        <v>0</v>
      </c>
      <c r="G1901" s="57"/>
    </row>
    <row r="1902" spans="1:7" ht="12.75" x14ac:dyDescent="0.2">
      <c r="A1902" s="3">
        <v>36</v>
      </c>
      <c r="B1902" s="4" t="s">
        <v>66</v>
      </c>
      <c r="C1902" s="3" t="s">
        <v>125</v>
      </c>
      <c r="G1902" s="57"/>
    </row>
    <row r="1903" spans="1:7" ht="12.75" x14ac:dyDescent="0.2">
      <c r="A1903" s="3">
        <v>36</v>
      </c>
      <c r="B1903" s="4" t="s">
        <v>66</v>
      </c>
      <c r="C1903" s="3" t="s">
        <v>125</v>
      </c>
      <c r="G1903" s="57"/>
    </row>
    <row r="1904" spans="1:7" ht="12.75" x14ac:dyDescent="0.2">
      <c r="A1904" s="3">
        <v>36</v>
      </c>
      <c r="B1904" s="4" t="s">
        <v>66</v>
      </c>
      <c r="C1904" s="3" t="s">
        <v>125</v>
      </c>
      <c r="G1904" s="57"/>
    </row>
    <row r="1905" spans="1:7" ht="12.75" x14ac:dyDescent="0.2">
      <c r="A1905" s="3">
        <v>36</v>
      </c>
      <c r="B1905" s="4" t="s">
        <v>66</v>
      </c>
      <c r="C1905" s="3" t="s">
        <v>125</v>
      </c>
      <c r="G1905" s="57"/>
    </row>
    <row r="1906" spans="1:7" ht="12.75" x14ac:dyDescent="0.2">
      <c r="A1906" s="3">
        <v>2</v>
      </c>
      <c r="B1906" s="4" t="s">
        <v>25</v>
      </c>
      <c r="C1906" s="3" t="s">
        <v>347</v>
      </c>
      <c r="G1906" s="57"/>
    </row>
    <row r="1907" spans="1:7" ht="12.75" x14ac:dyDescent="0.2">
      <c r="A1907" s="3">
        <v>2</v>
      </c>
      <c r="B1907" s="4" t="s">
        <v>25</v>
      </c>
      <c r="C1907" s="3" t="s">
        <v>347</v>
      </c>
      <c r="G1907" s="57"/>
    </row>
    <row r="1908" spans="1:7" ht="12.75" x14ac:dyDescent="0.2">
      <c r="A1908" s="3">
        <v>2</v>
      </c>
      <c r="B1908" s="4" t="s">
        <v>25</v>
      </c>
      <c r="C1908" s="3" t="s">
        <v>347</v>
      </c>
      <c r="G1908" s="57"/>
    </row>
    <row r="1909" spans="1:7" ht="12.75" x14ac:dyDescent="0.2">
      <c r="A1909" s="3">
        <v>2</v>
      </c>
      <c r="B1909" s="4" t="s">
        <v>25</v>
      </c>
      <c r="C1909" s="3" t="s">
        <v>347</v>
      </c>
      <c r="F1909">
        <f>SUM(E1906:E1913)</f>
        <v>0</v>
      </c>
      <c r="G1909" s="57"/>
    </row>
    <row r="1910" spans="1:7" ht="12.75" x14ac:dyDescent="0.2">
      <c r="A1910" s="3">
        <v>2</v>
      </c>
      <c r="B1910" s="4" t="s">
        <v>25</v>
      </c>
      <c r="C1910" s="3" t="s">
        <v>347</v>
      </c>
      <c r="G1910" s="59">
        <v>1484</v>
      </c>
    </row>
    <row r="1911" spans="1:7" ht="12.75" x14ac:dyDescent="0.2">
      <c r="A1911" s="3">
        <v>2</v>
      </c>
      <c r="B1911" s="4" t="s">
        <v>25</v>
      </c>
      <c r="C1911" s="3" t="s">
        <v>347</v>
      </c>
      <c r="G1911" s="57"/>
    </row>
    <row r="1912" spans="1:7" ht="12.75" x14ac:dyDescent="0.2">
      <c r="A1912" s="3">
        <v>2</v>
      </c>
      <c r="B1912" s="4" t="s">
        <v>25</v>
      </c>
      <c r="C1912" s="3" t="s">
        <v>347</v>
      </c>
      <c r="G1912" s="57"/>
    </row>
    <row r="1913" spans="1:7" ht="12.75" x14ac:dyDescent="0.2">
      <c r="A1913" s="3">
        <v>2</v>
      </c>
      <c r="B1913" s="4" t="s">
        <v>25</v>
      </c>
      <c r="C1913" s="3" t="s">
        <v>347</v>
      </c>
      <c r="G1913" s="57"/>
    </row>
    <row r="1914" spans="1:7" ht="12.75" x14ac:dyDescent="0.2">
      <c r="A1914" s="3">
        <v>2</v>
      </c>
      <c r="B1914" s="4" t="s">
        <v>25</v>
      </c>
      <c r="C1914" s="3" t="s">
        <v>273</v>
      </c>
      <c r="G1914" s="57"/>
    </row>
    <row r="1915" spans="1:7" ht="12.75" x14ac:dyDescent="0.2">
      <c r="A1915" s="3">
        <v>2</v>
      </c>
      <c r="B1915" s="4" t="s">
        <v>25</v>
      </c>
      <c r="C1915" s="3" t="s">
        <v>273</v>
      </c>
      <c r="F1915">
        <f>SUM(E1914:E1919)</f>
        <v>0</v>
      </c>
      <c r="G1915" s="57"/>
    </row>
    <row r="1916" spans="1:7" ht="12.75" x14ac:dyDescent="0.2">
      <c r="A1916" s="3">
        <v>2</v>
      </c>
      <c r="B1916" s="4" t="s">
        <v>25</v>
      </c>
      <c r="C1916" s="3" t="s">
        <v>273</v>
      </c>
      <c r="G1916" s="57"/>
    </row>
    <row r="1917" spans="1:7" ht="12.75" x14ac:dyDescent="0.2">
      <c r="A1917" s="3">
        <v>2</v>
      </c>
      <c r="B1917" s="4" t="s">
        <v>25</v>
      </c>
      <c r="C1917" s="3" t="s">
        <v>273</v>
      </c>
      <c r="G1917" s="57"/>
    </row>
    <row r="1918" spans="1:7" ht="12.75" x14ac:dyDescent="0.2">
      <c r="A1918" s="3">
        <v>2</v>
      </c>
      <c r="B1918" s="4" t="s">
        <v>25</v>
      </c>
      <c r="C1918" s="3" t="s">
        <v>273</v>
      </c>
      <c r="G1918" s="57"/>
    </row>
    <row r="1919" spans="1:7" ht="12.75" x14ac:dyDescent="0.2">
      <c r="A1919" s="3">
        <v>2</v>
      </c>
      <c r="B1919" s="4" t="s">
        <v>25</v>
      </c>
      <c r="C1919" s="3" t="s">
        <v>273</v>
      </c>
      <c r="G1919" s="57"/>
    </row>
    <row r="1920" spans="1:7" ht="12.75" x14ac:dyDescent="0.2">
      <c r="A1920" s="3">
        <v>2</v>
      </c>
      <c r="B1920" s="4" t="s">
        <v>25</v>
      </c>
      <c r="C1920" s="3" t="s">
        <v>125</v>
      </c>
      <c r="G1920" s="57"/>
    </row>
    <row r="1921" spans="1:7" ht="12.75" x14ac:dyDescent="0.2">
      <c r="A1921" s="3">
        <v>2</v>
      </c>
      <c r="B1921" s="4" t="s">
        <v>25</v>
      </c>
      <c r="C1921" s="3" t="s">
        <v>125</v>
      </c>
      <c r="F1921">
        <f>SUM(E1920:E1925)</f>
        <v>0</v>
      </c>
      <c r="G1921" s="57"/>
    </row>
    <row r="1922" spans="1:7" ht="12.75" x14ac:dyDescent="0.2">
      <c r="A1922" s="3">
        <v>2</v>
      </c>
      <c r="B1922" s="4" t="s">
        <v>25</v>
      </c>
      <c r="C1922" s="3" t="s">
        <v>125</v>
      </c>
      <c r="G1922" s="57"/>
    </row>
    <row r="1923" spans="1:7" ht="12.75" x14ac:dyDescent="0.2">
      <c r="A1923" s="3">
        <v>2</v>
      </c>
      <c r="B1923" s="4" t="s">
        <v>25</v>
      </c>
      <c r="C1923" s="3" t="s">
        <v>125</v>
      </c>
      <c r="G1923" s="57"/>
    </row>
    <row r="1924" spans="1:7" ht="12.75" x14ac:dyDescent="0.2">
      <c r="A1924" s="3">
        <v>2</v>
      </c>
      <c r="B1924" s="4" t="s">
        <v>25</v>
      </c>
      <c r="C1924" s="3" t="s">
        <v>125</v>
      </c>
      <c r="G1924" s="57"/>
    </row>
    <row r="1925" spans="1:7" ht="12.75" x14ac:dyDescent="0.2">
      <c r="A1925" s="3">
        <v>2</v>
      </c>
      <c r="B1925" s="4" t="s">
        <v>25</v>
      </c>
      <c r="C1925" s="3" t="s">
        <v>125</v>
      </c>
      <c r="G1925" s="57"/>
    </row>
    <row r="1926" spans="1:7" ht="12.75" x14ac:dyDescent="0.2">
      <c r="A1926" s="3">
        <v>81</v>
      </c>
      <c r="B1926" s="4" t="s">
        <v>104</v>
      </c>
      <c r="C1926" s="3" t="s">
        <v>347</v>
      </c>
      <c r="G1926" s="57"/>
    </row>
    <row r="1927" spans="1:7" ht="12.75" x14ac:dyDescent="0.2">
      <c r="A1927" s="3">
        <v>81</v>
      </c>
      <c r="B1927" s="4" t="s">
        <v>104</v>
      </c>
      <c r="C1927" s="3" t="s">
        <v>347</v>
      </c>
      <c r="G1927" s="57"/>
    </row>
    <row r="1928" spans="1:7" ht="12.75" x14ac:dyDescent="0.2">
      <c r="A1928" s="3">
        <v>81</v>
      </c>
      <c r="B1928" s="4" t="s">
        <v>104</v>
      </c>
      <c r="C1928" s="3" t="s">
        <v>347</v>
      </c>
      <c r="G1928" s="57"/>
    </row>
    <row r="1929" spans="1:7" ht="12.75" x14ac:dyDescent="0.2">
      <c r="A1929" s="3">
        <v>81</v>
      </c>
      <c r="B1929" s="4" t="s">
        <v>104</v>
      </c>
      <c r="C1929" s="3" t="s">
        <v>347</v>
      </c>
      <c r="F1929">
        <f>SUM(E1926:E1933)</f>
        <v>0</v>
      </c>
      <c r="G1929" s="57"/>
    </row>
    <row r="1930" spans="1:7" ht="12.75" x14ac:dyDescent="0.2">
      <c r="A1930" s="3">
        <v>81</v>
      </c>
      <c r="B1930" s="4" t="s">
        <v>104</v>
      </c>
      <c r="C1930" s="3" t="s">
        <v>347</v>
      </c>
      <c r="G1930" s="59">
        <v>2132</v>
      </c>
    </row>
    <row r="1931" spans="1:7" ht="12.75" x14ac:dyDescent="0.2">
      <c r="A1931" s="3">
        <v>81</v>
      </c>
      <c r="B1931" s="4" t="s">
        <v>104</v>
      </c>
      <c r="C1931" s="3" t="s">
        <v>347</v>
      </c>
      <c r="G1931" s="57"/>
    </row>
    <row r="1932" spans="1:7" ht="12.75" x14ac:dyDescent="0.2">
      <c r="A1932" s="3">
        <v>81</v>
      </c>
      <c r="B1932" s="4" t="s">
        <v>104</v>
      </c>
      <c r="C1932" s="3" t="s">
        <v>347</v>
      </c>
      <c r="G1932" s="57"/>
    </row>
    <row r="1933" spans="1:7" ht="12.75" x14ac:dyDescent="0.2">
      <c r="A1933" s="3">
        <v>81</v>
      </c>
      <c r="B1933" s="4" t="s">
        <v>104</v>
      </c>
      <c r="C1933" s="3" t="s">
        <v>347</v>
      </c>
      <c r="G1933" s="57"/>
    </row>
    <row r="1934" spans="1:7" ht="12.75" x14ac:dyDescent="0.2">
      <c r="A1934" s="3">
        <v>81</v>
      </c>
      <c r="B1934" s="4" t="s">
        <v>104</v>
      </c>
      <c r="C1934" s="3" t="s">
        <v>273</v>
      </c>
      <c r="G1934" s="57"/>
    </row>
    <row r="1935" spans="1:7" ht="12.75" x14ac:dyDescent="0.2">
      <c r="A1935" s="3">
        <v>81</v>
      </c>
      <c r="B1935" s="4" t="s">
        <v>104</v>
      </c>
      <c r="C1935" s="3" t="s">
        <v>273</v>
      </c>
      <c r="F1935">
        <f>SUM(E1934:E1939)</f>
        <v>0</v>
      </c>
      <c r="G1935" s="57"/>
    </row>
    <row r="1936" spans="1:7" ht="12.75" x14ac:dyDescent="0.2">
      <c r="A1936" s="3">
        <v>81</v>
      </c>
      <c r="B1936" s="4" t="s">
        <v>104</v>
      </c>
      <c r="C1936" s="3" t="s">
        <v>273</v>
      </c>
      <c r="G1936" s="57"/>
    </row>
    <row r="1937" spans="1:7" ht="12.75" x14ac:dyDescent="0.2">
      <c r="A1937" s="3">
        <v>81</v>
      </c>
      <c r="B1937" s="4" t="s">
        <v>104</v>
      </c>
      <c r="C1937" s="3" t="s">
        <v>273</v>
      </c>
      <c r="G1937" s="57"/>
    </row>
    <row r="1938" spans="1:7" ht="12.75" x14ac:dyDescent="0.2">
      <c r="A1938" s="3">
        <v>81</v>
      </c>
      <c r="B1938" s="4" t="s">
        <v>104</v>
      </c>
      <c r="C1938" s="3" t="s">
        <v>273</v>
      </c>
      <c r="G1938" s="57"/>
    </row>
    <row r="1939" spans="1:7" ht="12.75" x14ac:dyDescent="0.2">
      <c r="A1939" s="3">
        <v>81</v>
      </c>
      <c r="B1939" s="4" t="s">
        <v>104</v>
      </c>
      <c r="C1939" s="3" t="s">
        <v>273</v>
      </c>
      <c r="G1939" s="57"/>
    </row>
    <row r="1940" spans="1:7" ht="12.75" x14ac:dyDescent="0.2">
      <c r="A1940" s="3">
        <v>81</v>
      </c>
      <c r="B1940" s="4" t="s">
        <v>104</v>
      </c>
      <c r="C1940" s="3" t="s">
        <v>125</v>
      </c>
      <c r="G1940" s="57"/>
    </row>
    <row r="1941" spans="1:7" ht="12.75" x14ac:dyDescent="0.2">
      <c r="A1941" s="3">
        <v>81</v>
      </c>
      <c r="B1941" s="4" t="s">
        <v>104</v>
      </c>
      <c r="C1941" s="3" t="s">
        <v>125</v>
      </c>
      <c r="F1941">
        <f>SUM(E1940:E1945)</f>
        <v>0</v>
      </c>
      <c r="G1941" s="57"/>
    </row>
    <row r="1942" spans="1:7" ht="12.75" x14ac:dyDescent="0.2">
      <c r="A1942" s="3">
        <v>81</v>
      </c>
      <c r="B1942" s="4" t="s">
        <v>104</v>
      </c>
      <c r="C1942" s="3" t="s">
        <v>125</v>
      </c>
      <c r="G1942" s="57"/>
    </row>
    <row r="1943" spans="1:7" ht="12.75" x14ac:dyDescent="0.2">
      <c r="A1943" s="3">
        <v>81</v>
      </c>
      <c r="B1943" s="4" t="s">
        <v>104</v>
      </c>
      <c r="C1943" s="3" t="s">
        <v>125</v>
      </c>
      <c r="G1943" s="57"/>
    </row>
    <row r="1944" spans="1:7" ht="12.75" x14ac:dyDescent="0.2">
      <c r="A1944" s="3">
        <v>81</v>
      </c>
      <c r="B1944" s="4" t="s">
        <v>104</v>
      </c>
      <c r="C1944" s="3" t="s">
        <v>125</v>
      </c>
      <c r="G1944" s="57"/>
    </row>
    <row r="1945" spans="1:7" ht="12.75" x14ac:dyDescent="0.2">
      <c r="A1945" s="3">
        <v>81</v>
      </c>
      <c r="B1945" s="4" t="s">
        <v>104</v>
      </c>
      <c r="C1945" s="3" t="s">
        <v>125</v>
      </c>
      <c r="G1945" s="57"/>
    </row>
    <row r="1946" spans="1:7" ht="12.75" x14ac:dyDescent="0.2">
      <c r="A1946" s="3">
        <v>13</v>
      </c>
      <c r="B1946" s="4" t="s">
        <v>42</v>
      </c>
      <c r="C1946" s="3" t="s">
        <v>347</v>
      </c>
      <c r="G1946" s="57"/>
    </row>
    <row r="1947" spans="1:7" ht="12.75" x14ac:dyDescent="0.2">
      <c r="A1947" s="3">
        <v>13</v>
      </c>
      <c r="B1947" s="4" t="s">
        <v>42</v>
      </c>
      <c r="C1947" s="3" t="s">
        <v>347</v>
      </c>
      <c r="G1947" s="57"/>
    </row>
    <row r="1948" spans="1:7" ht="12.75" x14ac:dyDescent="0.2">
      <c r="A1948" s="3">
        <v>13</v>
      </c>
      <c r="B1948" s="4" t="s">
        <v>42</v>
      </c>
      <c r="C1948" s="3" t="s">
        <v>347</v>
      </c>
      <c r="G1948" s="57"/>
    </row>
    <row r="1949" spans="1:7" ht="12.75" x14ac:dyDescent="0.2">
      <c r="A1949" s="3">
        <v>13</v>
      </c>
      <c r="B1949" s="4" t="s">
        <v>42</v>
      </c>
      <c r="C1949" s="3" t="s">
        <v>347</v>
      </c>
      <c r="F1949">
        <f>SUM(E1946:E1953)</f>
        <v>0</v>
      </c>
      <c r="G1949" s="57"/>
    </row>
    <row r="1950" spans="1:7" ht="12.75" x14ac:dyDescent="0.2">
      <c r="A1950" s="3">
        <v>13</v>
      </c>
      <c r="B1950" s="4" t="s">
        <v>42</v>
      </c>
      <c r="C1950" s="3" t="s">
        <v>347</v>
      </c>
      <c r="G1950" s="59">
        <v>632</v>
      </c>
    </row>
    <row r="1951" spans="1:7" ht="12.75" x14ac:dyDescent="0.2">
      <c r="A1951" s="3">
        <v>13</v>
      </c>
      <c r="B1951" s="4" t="s">
        <v>42</v>
      </c>
      <c r="C1951" s="3" t="s">
        <v>347</v>
      </c>
      <c r="G1951" s="57"/>
    </row>
    <row r="1952" spans="1:7" ht="12.75" x14ac:dyDescent="0.2">
      <c r="A1952" s="3">
        <v>13</v>
      </c>
      <c r="B1952" s="4" t="s">
        <v>42</v>
      </c>
      <c r="C1952" s="3" t="s">
        <v>347</v>
      </c>
      <c r="G1952" s="57"/>
    </row>
    <row r="1953" spans="1:7" ht="12.75" x14ac:dyDescent="0.2">
      <c r="A1953" s="3">
        <v>13</v>
      </c>
      <c r="B1953" s="4" t="s">
        <v>42</v>
      </c>
      <c r="C1953" s="3" t="s">
        <v>347</v>
      </c>
      <c r="G1953" s="57"/>
    </row>
    <row r="1954" spans="1:7" ht="12.75" x14ac:dyDescent="0.2">
      <c r="A1954" s="3">
        <v>13</v>
      </c>
      <c r="B1954" s="4" t="s">
        <v>42</v>
      </c>
      <c r="C1954" s="3" t="s">
        <v>273</v>
      </c>
      <c r="G1954" s="57"/>
    </row>
    <row r="1955" spans="1:7" ht="12.75" x14ac:dyDescent="0.2">
      <c r="A1955" s="3">
        <v>13</v>
      </c>
      <c r="B1955" s="4" t="s">
        <v>42</v>
      </c>
      <c r="C1955" s="3" t="s">
        <v>273</v>
      </c>
      <c r="F1955">
        <f>SUM(E1954:E1959)</f>
        <v>0</v>
      </c>
      <c r="G1955" s="57"/>
    </row>
    <row r="1956" spans="1:7" ht="12.75" x14ac:dyDescent="0.2">
      <c r="A1956" s="3">
        <v>13</v>
      </c>
      <c r="B1956" s="4" t="s">
        <v>42</v>
      </c>
      <c r="C1956" s="3" t="s">
        <v>273</v>
      </c>
      <c r="G1956" s="57"/>
    </row>
    <row r="1957" spans="1:7" ht="12.75" x14ac:dyDescent="0.2">
      <c r="A1957" s="3">
        <v>13</v>
      </c>
      <c r="B1957" s="4" t="s">
        <v>42</v>
      </c>
      <c r="C1957" s="3" t="s">
        <v>273</v>
      </c>
      <c r="G1957" s="57"/>
    </row>
    <row r="1958" spans="1:7" ht="12.75" x14ac:dyDescent="0.2">
      <c r="A1958" s="3">
        <v>13</v>
      </c>
      <c r="B1958" s="4" t="s">
        <v>42</v>
      </c>
      <c r="C1958" s="3" t="s">
        <v>273</v>
      </c>
      <c r="G1958" s="57"/>
    </row>
    <row r="1959" spans="1:7" ht="12.75" x14ac:dyDescent="0.2">
      <c r="A1959" s="3">
        <v>13</v>
      </c>
      <c r="B1959" s="4" t="s">
        <v>42</v>
      </c>
      <c r="C1959" s="3" t="s">
        <v>273</v>
      </c>
      <c r="G1959" s="57"/>
    </row>
    <row r="1960" spans="1:7" ht="12.75" x14ac:dyDescent="0.2">
      <c r="A1960" s="3">
        <v>13</v>
      </c>
      <c r="B1960" s="4" t="s">
        <v>42</v>
      </c>
      <c r="C1960" s="3" t="s">
        <v>125</v>
      </c>
      <c r="G1960" s="57"/>
    </row>
    <row r="1961" spans="1:7" ht="12.75" x14ac:dyDescent="0.2">
      <c r="A1961" s="3">
        <v>13</v>
      </c>
      <c r="B1961" s="4" t="s">
        <v>42</v>
      </c>
      <c r="C1961" s="3" t="s">
        <v>125</v>
      </c>
      <c r="F1961">
        <f>SUM(E1960:E1965)</f>
        <v>0</v>
      </c>
      <c r="G1961" s="57"/>
    </row>
    <row r="1962" spans="1:7" ht="12.75" x14ac:dyDescent="0.2">
      <c r="A1962" s="3">
        <v>13</v>
      </c>
      <c r="B1962" s="4" t="s">
        <v>42</v>
      </c>
      <c r="C1962" s="3" t="s">
        <v>125</v>
      </c>
      <c r="G1962" s="57"/>
    </row>
    <row r="1963" spans="1:7" ht="12.75" x14ac:dyDescent="0.2">
      <c r="A1963" s="3">
        <v>13</v>
      </c>
      <c r="B1963" s="4" t="s">
        <v>42</v>
      </c>
      <c r="C1963" s="3" t="s">
        <v>125</v>
      </c>
      <c r="G1963" s="57"/>
    </row>
    <row r="1964" spans="1:7" ht="12.75" x14ac:dyDescent="0.2">
      <c r="A1964" s="3">
        <v>13</v>
      </c>
      <c r="B1964" s="4" t="s">
        <v>42</v>
      </c>
      <c r="C1964" s="3" t="s">
        <v>125</v>
      </c>
      <c r="G1964" s="57"/>
    </row>
    <row r="1965" spans="1:7" ht="12.75" x14ac:dyDescent="0.2">
      <c r="A1965" s="3">
        <v>13</v>
      </c>
      <c r="B1965" s="4" t="s">
        <v>42</v>
      </c>
      <c r="C1965" s="3" t="s">
        <v>125</v>
      </c>
      <c r="G1965" s="57"/>
    </row>
    <row r="1966" spans="1:7" ht="12.75" x14ac:dyDescent="0.2">
      <c r="A1966" s="3">
        <v>65</v>
      </c>
      <c r="B1966" s="4" t="s">
        <v>90</v>
      </c>
      <c r="C1966" s="3" t="s">
        <v>347</v>
      </c>
      <c r="G1966" s="57"/>
    </row>
    <row r="1967" spans="1:7" ht="12.75" x14ac:dyDescent="0.2">
      <c r="A1967" s="3">
        <v>65</v>
      </c>
      <c r="B1967" s="4" t="s">
        <v>90</v>
      </c>
      <c r="C1967" s="3" t="s">
        <v>347</v>
      </c>
      <c r="G1967" s="57"/>
    </row>
    <row r="1968" spans="1:7" ht="12.75" x14ac:dyDescent="0.2">
      <c r="A1968" s="3">
        <v>65</v>
      </c>
      <c r="B1968" s="4" t="s">
        <v>90</v>
      </c>
      <c r="C1968" s="3" t="s">
        <v>347</v>
      </c>
      <c r="G1968" s="57"/>
    </row>
    <row r="1969" spans="1:7" ht="12.75" x14ac:dyDescent="0.2">
      <c r="A1969" s="3">
        <v>65</v>
      </c>
      <c r="B1969" s="4" t="s">
        <v>90</v>
      </c>
      <c r="C1969" s="3" t="s">
        <v>347</v>
      </c>
      <c r="F1969">
        <f>SUM(E1966:E1973)</f>
        <v>0</v>
      </c>
      <c r="G1969" s="57"/>
    </row>
    <row r="1970" spans="1:7" ht="12.75" x14ac:dyDescent="0.2">
      <c r="A1970" s="3">
        <v>65</v>
      </c>
      <c r="B1970" s="4" t="s">
        <v>90</v>
      </c>
      <c r="C1970" s="3" t="s">
        <v>347</v>
      </c>
      <c r="G1970" s="59">
        <v>382</v>
      </c>
    </row>
    <row r="1971" spans="1:7" ht="12.75" x14ac:dyDescent="0.2">
      <c r="A1971" s="3">
        <v>65</v>
      </c>
      <c r="B1971" s="4" t="s">
        <v>90</v>
      </c>
      <c r="C1971" s="3" t="s">
        <v>347</v>
      </c>
      <c r="G1971" s="57"/>
    </row>
    <row r="1972" spans="1:7" ht="12.75" x14ac:dyDescent="0.2">
      <c r="A1972" s="3">
        <v>65</v>
      </c>
      <c r="B1972" s="4" t="s">
        <v>90</v>
      </c>
      <c r="C1972" s="3" t="s">
        <v>347</v>
      </c>
      <c r="G1972" s="57"/>
    </row>
    <row r="1973" spans="1:7" ht="12.75" x14ac:dyDescent="0.2">
      <c r="A1973" s="3">
        <v>65</v>
      </c>
      <c r="B1973" s="4" t="s">
        <v>90</v>
      </c>
      <c r="C1973" s="3" t="s">
        <v>347</v>
      </c>
      <c r="G1973" s="57"/>
    </row>
    <row r="1974" spans="1:7" ht="12.75" x14ac:dyDescent="0.2">
      <c r="A1974" s="3">
        <v>65</v>
      </c>
      <c r="B1974" s="4" t="s">
        <v>90</v>
      </c>
      <c r="C1974" s="3" t="s">
        <v>273</v>
      </c>
      <c r="G1974" s="57"/>
    </row>
    <row r="1975" spans="1:7" ht="12.75" x14ac:dyDescent="0.2">
      <c r="A1975" s="3">
        <v>65</v>
      </c>
      <c r="B1975" s="4" t="s">
        <v>90</v>
      </c>
      <c r="C1975" s="3" t="s">
        <v>273</v>
      </c>
      <c r="F1975">
        <f>SUM(E1974:E1979)</f>
        <v>0</v>
      </c>
      <c r="G1975" s="57"/>
    </row>
    <row r="1976" spans="1:7" ht="12.75" x14ac:dyDescent="0.2">
      <c r="A1976" s="3">
        <v>65</v>
      </c>
      <c r="B1976" s="4" t="s">
        <v>90</v>
      </c>
      <c r="C1976" s="3" t="s">
        <v>273</v>
      </c>
      <c r="G1976" s="57"/>
    </row>
    <row r="1977" spans="1:7" ht="12.75" x14ac:dyDescent="0.2">
      <c r="A1977" s="3">
        <v>65</v>
      </c>
      <c r="B1977" s="4" t="s">
        <v>90</v>
      </c>
      <c r="C1977" s="3" t="s">
        <v>273</v>
      </c>
      <c r="G1977" s="57"/>
    </row>
    <row r="1978" spans="1:7" ht="12.75" x14ac:dyDescent="0.2">
      <c r="A1978" s="3">
        <v>65</v>
      </c>
      <c r="B1978" s="4" t="s">
        <v>90</v>
      </c>
      <c r="C1978" s="3" t="s">
        <v>273</v>
      </c>
      <c r="G1978" s="57"/>
    </row>
    <row r="1979" spans="1:7" ht="12.75" x14ac:dyDescent="0.2">
      <c r="A1979" s="3">
        <v>65</v>
      </c>
      <c r="B1979" s="4" t="s">
        <v>90</v>
      </c>
      <c r="C1979" s="3" t="s">
        <v>273</v>
      </c>
      <c r="G1979" s="57"/>
    </row>
    <row r="1980" spans="1:7" ht="12.75" x14ac:dyDescent="0.2">
      <c r="A1980" s="3">
        <v>65</v>
      </c>
      <c r="B1980" s="4" t="s">
        <v>90</v>
      </c>
      <c r="C1980" s="3" t="s">
        <v>125</v>
      </c>
      <c r="G1980" s="57"/>
    </row>
    <row r="1981" spans="1:7" ht="12.75" x14ac:dyDescent="0.2">
      <c r="A1981" s="3">
        <v>65</v>
      </c>
      <c r="B1981" s="4" t="s">
        <v>90</v>
      </c>
      <c r="C1981" s="3" t="s">
        <v>125</v>
      </c>
      <c r="F1981">
        <f>SUM(E1980:E1985)</f>
        <v>0</v>
      </c>
      <c r="G1981" s="57"/>
    </row>
    <row r="1982" spans="1:7" ht="12.75" x14ac:dyDescent="0.2">
      <c r="A1982" s="3">
        <v>65</v>
      </c>
      <c r="B1982" s="4" t="s">
        <v>90</v>
      </c>
      <c r="C1982" s="3" t="s">
        <v>125</v>
      </c>
      <c r="G1982" s="57"/>
    </row>
    <row r="1983" spans="1:7" ht="12.75" x14ac:dyDescent="0.2">
      <c r="A1983" s="3">
        <v>65</v>
      </c>
      <c r="B1983" s="4" t="s">
        <v>90</v>
      </c>
      <c r="C1983" s="3" t="s">
        <v>125</v>
      </c>
      <c r="G1983" s="57"/>
    </row>
    <row r="1984" spans="1:7" ht="12.75" x14ac:dyDescent="0.2">
      <c r="A1984" s="3">
        <v>65</v>
      </c>
      <c r="B1984" s="4" t="s">
        <v>90</v>
      </c>
      <c r="C1984" s="3" t="s">
        <v>125</v>
      </c>
      <c r="G1984" s="57"/>
    </row>
    <row r="1985" spans="1:7" ht="12.75" x14ac:dyDescent="0.2">
      <c r="A1985" s="3">
        <v>65</v>
      </c>
      <c r="B1985" s="4" t="s">
        <v>90</v>
      </c>
      <c r="C1985" s="3" t="s">
        <v>125</v>
      </c>
      <c r="G1985" s="57"/>
    </row>
    <row r="1986" spans="1:7" ht="12.75" x14ac:dyDescent="0.2">
      <c r="A1986" s="3">
        <v>1</v>
      </c>
      <c r="B1986" s="4" t="s">
        <v>12</v>
      </c>
      <c r="C1986" s="3" t="s">
        <v>347</v>
      </c>
      <c r="G1986" s="57"/>
    </row>
    <row r="1987" spans="1:7" ht="12.75" x14ac:dyDescent="0.2">
      <c r="A1987" s="3">
        <v>1</v>
      </c>
      <c r="B1987" s="4" t="s">
        <v>12</v>
      </c>
      <c r="C1987" s="3" t="s">
        <v>347</v>
      </c>
      <c r="G1987" s="57"/>
    </row>
    <row r="1988" spans="1:7" ht="12.75" x14ac:dyDescent="0.2">
      <c r="A1988" s="3">
        <v>1</v>
      </c>
      <c r="B1988" s="4" t="s">
        <v>12</v>
      </c>
      <c r="C1988" s="3" t="s">
        <v>347</v>
      </c>
      <c r="G1988" s="57"/>
    </row>
    <row r="1989" spans="1:7" ht="12.75" x14ac:dyDescent="0.2">
      <c r="A1989" s="3">
        <v>1</v>
      </c>
      <c r="B1989" s="4" t="s">
        <v>12</v>
      </c>
      <c r="C1989" s="3" t="s">
        <v>347</v>
      </c>
      <c r="F1989">
        <f>SUM(E1986:E1993)</f>
        <v>0</v>
      </c>
      <c r="G1989" s="57"/>
    </row>
    <row r="1990" spans="1:7" ht="12.75" x14ac:dyDescent="0.2">
      <c r="A1990" s="3">
        <v>1</v>
      </c>
      <c r="B1990" s="4" t="s">
        <v>12</v>
      </c>
      <c r="C1990" s="3" t="s">
        <v>347</v>
      </c>
      <c r="G1990" s="59">
        <v>1701</v>
      </c>
    </row>
    <row r="1991" spans="1:7" ht="12.75" x14ac:dyDescent="0.2">
      <c r="A1991" s="3">
        <v>1</v>
      </c>
      <c r="B1991" s="4" t="s">
        <v>12</v>
      </c>
      <c r="C1991" s="3" t="s">
        <v>347</v>
      </c>
      <c r="G1991" s="57"/>
    </row>
    <row r="1992" spans="1:7" ht="12.75" x14ac:dyDescent="0.2">
      <c r="A1992" s="3">
        <v>1</v>
      </c>
      <c r="B1992" s="4" t="s">
        <v>12</v>
      </c>
      <c r="C1992" s="3" t="s">
        <v>347</v>
      </c>
      <c r="G1992" s="57"/>
    </row>
    <row r="1993" spans="1:7" ht="12.75" x14ac:dyDescent="0.2">
      <c r="A1993" s="3">
        <v>1</v>
      </c>
      <c r="B1993" s="4" t="s">
        <v>12</v>
      </c>
      <c r="C1993" s="3" t="s">
        <v>347</v>
      </c>
      <c r="G1993" s="57"/>
    </row>
    <row r="1994" spans="1:7" ht="12.75" x14ac:dyDescent="0.2">
      <c r="A1994" s="3">
        <v>1</v>
      </c>
      <c r="B1994" s="4" t="s">
        <v>12</v>
      </c>
      <c r="C1994" s="3" t="s">
        <v>273</v>
      </c>
      <c r="G1994" s="57"/>
    </row>
    <row r="1995" spans="1:7" ht="12.75" x14ac:dyDescent="0.2">
      <c r="A1995" s="3">
        <v>1</v>
      </c>
      <c r="B1995" s="4" t="s">
        <v>12</v>
      </c>
      <c r="C1995" s="3" t="s">
        <v>273</v>
      </c>
      <c r="F1995">
        <f>SUM(E1994:E1999)</f>
        <v>0</v>
      </c>
      <c r="G1995" s="57"/>
    </row>
    <row r="1996" spans="1:7" ht="12.75" x14ac:dyDescent="0.2">
      <c r="A1996" s="3">
        <v>1</v>
      </c>
      <c r="B1996" s="4" t="s">
        <v>12</v>
      </c>
      <c r="C1996" s="3" t="s">
        <v>273</v>
      </c>
      <c r="G1996" s="57"/>
    </row>
    <row r="1997" spans="1:7" ht="12.75" x14ac:dyDescent="0.2">
      <c r="A1997" s="3">
        <v>1</v>
      </c>
      <c r="B1997" s="4" t="s">
        <v>12</v>
      </c>
      <c r="C1997" s="3" t="s">
        <v>273</v>
      </c>
      <c r="G1997" s="57"/>
    </row>
    <row r="1998" spans="1:7" ht="12.75" x14ac:dyDescent="0.2">
      <c r="A1998" s="3">
        <v>1</v>
      </c>
      <c r="B1998" s="4" t="s">
        <v>12</v>
      </c>
      <c r="C1998" s="3" t="s">
        <v>273</v>
      </c>
      <c r="G1998" s="57"/>
    </row>
    <row r="1999" spans="1:7" ht="12.75" x14ac:dyDescent="0.2">
      <c r="A1999" s="3">
        <v>1</v>
      </c>
      <c r="B1999" s="4" t="s">
        <v>12</v>
      </c>
      <c r="C1999" s="3" t="s">
        <v>273</v>
      </c>
      <c r="G1999" s="57"/>
    </row>
    <row r="2000" spans="1:7" ht="12.75" x14ac:dyDescent="0.2">
      <c r="A2000" s="3">
        <v>1</v>
      </c>
      <c r="B2000" s="4" t="s">
        <v>12</v>
      </c>
      <c r="C2000" s="3" t="s">
        <v>125</v>
      </c>
      <c r="G2000" s="57"/>
    </row>
    <row r="2001" spans="1:7" ht="12.75" x14ac:dyDescent="0.2">
      <c r="A2001" s="3">
        <v>1</v>
      </c>
      <c r="B2001" s="4" t="s">
        <v>12</v>
      </c>
      <c r="C2001" s="3" t="s">
        <v>125</v>
      </c>
      <c r="F2001">
        <f>SUM(E2000:E2005)</f>
        <v>0</v>
      </c>
      <c r="G2001" s="57"/>
    </row>
    <row r="2002" spans="1:7" ht="12.75" x14ac:dyDescent="0.2">
      <c r="A2002" s="3">
        <v>1</v>
      </c>
      <c r="B2002" s="4" t="s">
        <v>12</v>
      </c>
      <c r="C2002" s="3" t="s">
        <v>125</v>
      </c>
      <c r="G2002" s="57"/>
    </row>
    <row r="2003" spans="1:7" ht="12.75" x14ac:dyDescent="0.2">
      <c r="A2003" s="3">
        <v>1</v>
      </c>
      <c r="B2003" s="4" t="s">
        <v>12</v>
      </c>
      <c r="C2003" s="3" t="s">
        <v>125</v>
      </c>
      <c r="G2003" s="57"/>
    </row>
    <row r="2004" spans="1:7" ht="12.75" x14ac:dyDescent="0.2">
      <c r="A2004" s="3">
        <v>1</v>
      </c>
      <c r="B2004" s="4" t="s">
        <v>12</v>
      </c>
      <c r="C2004" s="3" t="s">
        <v>125</v>
      </c>
      <c r="G2004" s="57"/>
    </row>
    <row r="2005" spans="1:7" ht="12.75" x14ac:dyDescent="0.2">
      <c r="A2005" s="3">
        <v>1</v>
      </c>
      <c r="B2005" s="4" t="s">
        <v>12</v>
      </c>
      <c r="C2005" s="3" t="s">
        <v>125</v>
      </c>
      <c r="G2005" s="57"/>
    </row>
    <row r="2006" spans="1:7" ht="12.75" x14ac:dyDescent="0.2">
      <c r="A2006" s="3">
        <v>3</v>
      </c>
      <c r="B2006" s="4" t="s">
        <v>35</v>
      </c>
      <c r="C2006" s="3" t="s">
        <v>347</v>
      </c>
      <c r="G2006" s="57"/>
    </row>
    <row r="2007" spans="1:7" ht="12.75" x14ac:dyDescent="0.2">
      <c r="A2007" s="3">
        <v>3</v>
      </c>
      <c r="B2007" s="4" t="s">
        <v>35</v>
      </c>
      <c r="C2007" s="3" t="s">
        <v>347</v>
      </c>
      <c r="G2007" s="57"/>
    </row>
    <row r="2008" spans="1:7" ht="12.75" x14ac:dyDescent="0.2">
      <c r="A2008" s="3">
        <v>3</v>
      </c>
      <c r="B2008" s="4" t="s">
        <v>35</v>
      </c>
      <c r="C2008" s="3" t="s">
        <v>347</v>
      </c>
      <c r="G2008" s="57"/>
    </row>
    <row r="2009" spans="1:7" ht="12.75" x14ac:dyDescent="0.2">
      <c r="A2009" s="3">
        <v>3</v>
      </c>
      <c r="B2009" s="4" t="s">
        <v>35</v>
      </c>
      <c r="C2009" s="3" t="s">
        <v>347</v>
      </c>
      <c r="F2009">
        <f>SUM(E2006:E2013)</f>
        <v>0</v>
      </c>
      <c r="G2009" s="57"/>
    </row>
    <row r="2010" spans="1:7" ht="12.75" x14ac:dyDescent="0.2">
      <c r="A2010" s="3">
        <v>3</v>
      </c>
      <c r="B2010" s="4" t="s">
        <v>35</v>
      </c>
      <c r="C2010" s="3" t="s">
        <v>347</v>
      </c>
      <c r="G2010" s="59">
        <v>1724</v>
      </c>
    </row>
    <row r="2011" spans="1:7" ht="12.75" x14ac:dyDescent="0.2">
      <c r="A2011" s="3">
        <v>3</v>
      </c>
      <c r="B2011" s="4" t="s">
        <v>35</v>
      </c>
      <c r="C2011" s="3" t="s">
        <v>347</v>
      </c>
      <c r="G2011" s="57"/>
    </row>
    <row r="2012" spans="1:7" ht="12.75" x14ac:dyDescent="0.2">
      <c r="A2012" s="3">
        <v>3</v>
      </c>
      <c r="B2012" s="4" t="s">
        <v>35</v>
      </c>
      <c r="C2012" s="3" t="s">
        <v>347</v>
      </c>
      <c r="G2012" s="57"/>
    </row>
    <row r="2013" spans="1:7" ht="12.75" x14ac:dyDescent="0.2">
      <c r="A2013" s="3">
        <v>3</v>
      </c>
      <c r="B2013" s="4" t="s">
        <v>35</v>
      </c>
      <c r="C2013" s="3" t="s">
        <v>347</v>
      </c>
      <c r="G2013" s="57"/>
    </row>
    <row r="2014" spans="1:7" ht="12.75" x14ac:dyDescent="0.2">
      <c r="A2014" s="3">
        <v>3</v>
      </c>
      <c r="B2014" s="4" t="s">
        <v>35</v>
      </c>
      <c r="C2014" s="3" t="s">
        <v>273</v>
      </c>
      <c r="G2014" s="57"/>
    </row>
    <row r="2015" spans="1:7" ht="12.75" x14ac:dyDescent="0.2">
      <c r="A2015" s="3">
        <v>3</v>
      </c>
      <c r="B2015" s="4" t="s">
        <v>35</v>
      </c>
      <c r="C2015" s="3" t="s">
        <v>273</v>
      </c>
      <c r="F2015">
        <f>SUM(E2014:E2019)</f>
        <v>0</v>
      </c>
      <c r="G2015" s="57"/>
    </row>
    <row r="2016" spans="1:7" ht="12.75" x14ac:dyDescent="0.2">
      <c r="A2016" s="3">
        <v>3</v>
      </c>
      <c r="B2016" s="4" t="s">
        <v>35</v>
      </c>
      <c r="C2016" s="3" t="s">
        <v>273</v>
      </c>
      <c r="G2016" s="57"/>
    </row>
    <row r="2017" spans="1:7" ht="12.75" x14ac:dyDescent="0.2">
      <c r="A2017" s="3">
        <v>3</v>
      </c>
      <c r="B2017" s="4" t="s">
        <v>35</v>
      </c>
      <c r="C2017" s="3" t="s">
        <v>273</v>
      </c>
      <c r="G2017" s="57"/>
    </row>
    <row r="2018" spans="1:7" ht="12.75" x14ac:dyDescent="0.2">
      <c r="A2018" s="3">
        <v>3</v>
      </c>
      <c r="B2018" s="4" t="s">
        <v>35</v>
      </c>
      <c r="C2018" s="3" t="s">
        <v>273</v>
      </c>
      <c r="G2018" s="57"/>
    </row>
    <row r="2019" spans="1:7" ht="12.75" x14ac:dyDescent="0.2">
      <c r="A2019" s="3">
        <v>3</v>
      </c>
      <c r="B2019" s="4" t="s">
        <v>35</v>
      </c>
      <c r="C2019" s="3" t="s">
        <v>273</v>
      </c>
      <c r="G2019" s="57"/>
    </row>
    <row r="2020" spans="1:7" ht="12.75" x14ac:dyDescent="0.2">
      <c r="A2020" s="3">
        <v>3</v>
      </c>
      <c r="B2020" s="4" t="s">
        <v>35</v>
      </c>
      <c r="C2020" s="3" t="s">
        <v>125</v>
      </c>
      <c r="G2020" s="57"/>
    </row>
    <row r="2021" spans="1:7" ht="12.75" x14ac:dyDescent="0.2">
      <c r="A2021" s="3">
        <v>3</v>
      </c>
      <c r="B2021" s="4" t="s">
        <v>35</v>
      </c>
      <c r="C2021" s="3" t="s">
        <v>125</v>
      </c>
      <c r="F2021">
        <f>SUM(E2020:E2025)</f>
        <v>0</v>
      </c>
      <c r="G2021" s="57"/>
    </row>
    <row r="2022" spans="1:7" ht="12.75" x14ac:dyDescent="0.2">
      <c r="A2022" s="3">
        <v>3</v>
      </c>
      <c r="B2022" s="4" t="s">
        <v>35</v>
      </c>
      <c r="C2022" s="3" t="s">
        <v>125</v>
      </c>
      <c r="G2022" s="57"/>
    </row>
    <row r="2023" spans="1:7" ht="12.75" x14ac:dyDescent="0.2">
      <c r="A2023" s="3">
        <v>3</v>
      </c>
      <c r="B2023" s="4" t="s">
        <v>35</v>
      </c>
      <c r="C2023" s="3" t="s">
        <v>125</v>
      </c>
      <c r="G2023" s="57"/>
    </row>
    <row r="2024" spans="1:7" ht="12.75" x14ac:dyDescent="0.2">
      <c r="A2024" s="3">
        <v>3</v>
      </c>
      <c r="B2024" s="4" t="s">
        <v>35</v>
      </c>
      <c r="C2024" s="3" t="s">
        <v>125</v>
      </c>
      <c r="G2024" s="57"/>
    </row>
    <row r="2025" spans="1:7" ht="12.75" x14ac:dyDescent="0.2">
      <c r="A2025" s="3">
        <v>3</v>
      </c>
      <c r="B2025" s="4" t="s">
        <v>35</v>
      </c>
      <c r="C2025" s="3" t="s">
        <v>125</v>
      </c>
      <c r="G2025" s="57"/>
    </row>
    <row r="2026" spans="1:7" ht="12.75" x14ac:dyDescent="0.2">
      <c r="A2026" s="3">
        <v>4</v>
      </c>
      <c r="B2026" s="4" t="s">
        <v>36</v>
      </c>
      <c r="C2026" s="3" t="s">
        <v>347</v>
      </c>
      <c r="G2026" s="57"/>
    </row>
    <row r="2027" spans="1:7" ht="12.75" x14ac:dyDescent="0.2">
      <c r="A2027" s="3">
        <v>4</v>
      </c>
      <c r="B2027" s="4" t="s">
        <v>36</v>
      </c>
      <c r="C2027" s="3" t="s">
        <v>347</v>
      </c>
      <c r="G2027" s="57"/>
    </row>
    <row r="2028" spans="1:7" ht="12.75" x14ac:dyDescent="0.2">
      <c r="A2028" s="3">
        <v>4</v>
      </c>
      <c r="B2028" s="4" t="s">
        <v>36</v>
      </c>
      <c r="C2028" s="3" t="s">
        <v>347</v>
      </c>
      <c r="G2028" s="57"/>
    </row>
    <row r="2029" spans="1:7" ht="12.75" x14ac:dyDescent="0.2">
      <c r="A2029" s="3">
        <v>4</v>
      </c>
      <c r="B2029" s="4" t="s">
        <v>36</v>
      </c>
      <c r="C2029" s="3" t="s">
        <v>347</v>
      </c>
      <c r="F2029">
        <f>SUM(E2026:E2033)</f>
        <v>0</v>
      </c>
      <c r="G2029" s="57"/>
    </row>
    <row r="2030" spans="1:7" ht="12.75" x14ac:dyDescent="0.2">
      <c r="A2030" s="3">
        <v>4</v>
      </c>
      <c r="B2030" s="4" t="s">
        <v>36</v>
      </c>
      <c r="C2030" s="3" t="s">
        <v>347</v>
      </c>
      <c r="G2030" s="59">
        <v>55</v>
      </c>
    </row>
    <row r="2031" spans="1:7" ht="12.75" x14ac:dyDescent="0.2">
      <c r="A2031" s="3">
        <v>4</v>
      </c>
      <c r="B2031" s="4" t="s">
        <v>36</v>
      </c>
      <c r="C2031" s="3" t="s">
        <v>347</v>
      </c>
      <c r="G2031" s="57"/>
    </row>
    <row r="2032" spans="1:7" ht="12.75" x14ac:dyDescent="0.2">
      <c r="A2032" s="3">
        <v>4</v>
      </c>
      <c r="B2032" s="4" t="s">
        <v>36</v>
      </c>
      <c r="C2032" s="3" t="s">
        <v>347</v>
      </c>
      <c r="G2032" s="57"/>
    </row>
    <row r="2033" spans="1:7" ht="12.75" x14ac:dyDescent="0.2">
      <c r="A2033" s="3">
        <v>4</v>
      </c>
      <c r="B2033" s="4" t="s">
        <v>36</v>
      </c>
      <c r="C2033" s="3" t="s">
        <v>347</v>
      </c>
      <c r="G2033" s="57"/>
    </row>
    <row r="2034" spans="1:7" ht="12.75" x14ac:dyDescent="0.2">
      <c r="A2034" s="3">
        <v>4</v>
      </c>
      <c r="B2034" s="4" t="s">
        <v>36</v>
      </c>
      <c r="C2034" s="3" t="s">
        <v>273</v>
      </c>
      <c r="G2034" s="57"/>
    </row>
    <row r="2035" spans="1:7" ht="12.75" x14ac:dyDescent="0.2">
      <c r="A2035" s="3">
        <v>4</v>
      </c>
      <c r="B2035" s="4" t="s">
        <v>36</v>
      </c>
      <c r="C2035" s="3" t="s">
        <v>273</v>
      </c>
      <c r="F2035">
        <f>SUM(E2034:E2039)</f>
        <v>0</v>
      </c>
      <c r="G2035" s="57"/>
    </row>
    <row r="2036" spans="1:7" ht="12.75" x14ac:dyDescent="0.2">
      <c r="A2036" s="3">
        <v>4</v>
      </c>
      <c r="B2036" s="4" t="s">
        <v>36</v>
      </c>
      <c r="C2036" s="3" t="s">
        <v>273</v>
      </c>
      <c r="G2036" s="57"/>
    </row>
    <row r="2037" spans="1:7" ht="12.75" x14ac:dyDescent="0.2">
      <c r="A2037" s="3">
        <v>4</v>
      </c>
      <c r="B2037" s="4" t="s">
        <v>36</v>
      </c>
      <c r="C2037" s="3" t="s">
        <v>273</v>
      </c>
      <c r="G2037" s="57"/>
    </row>
    <row r="2038" spans="1:7" ht="12.75" x14ac:dyDescent="0.2">
      <c r="A2038" s="3">
        <v>4</v>
      </c>
      <c r="B2038" s="4" t="s">
        <v>36</v>
      </c>
      <c r="C2038" s="3" t="s">
        <v>273</v>
      </c>
      <c r="G2038" s="57"/>
    </row>
    <row r="2039" spans="1:7" ht="12.75" x14ac:dyDescent="0.2">
      <c r="A2039" s="3">
        <v>4</v>
      </c>
      <c r="B2039" s="4" t="s">
        <v>36</v>
      </c>
      <c r="C2039" s="3" t="s">
        <v>273</v>
      </c>
      <c r="G2039" s="57"/>
    </row>
    <row r="2040" spans="1:7" ht="12.75" x14ac:dyDescent="0.2">
      <c r="A2040" s="3">
        <v>4</v>
      </c>
      <c r="B2040" s="4" t="s">
        <v>36</v>
      </c>
      <c r="C2040" s="3" t="s">
        <v>125</v>
      </c>
      <c r="G2040" s="57"/>
    </row>
    <row r="2041" spans="1:7" ht="12.75" x14ac:dyDescent="0.2">
      <c r="A2041" s="3">
        <v>4</v>
      </c>
      <c r="B2041" s="4" t="s">
        <v>36</v>
      </c>
      <c r="C2041" s="3" t="s">
        <v>125</v>
      </c>
      <c r="F2041">
        <f>SUM(E2040:E2045)</f>
        <v>0</v>
      </c>
      <c r="G2041" s="57"/>
    </row>
    <row r="2042" spans="1:7" ht="12.75" x14ac:dyDescent="0.2">
      <c r="A2042" s="3">
        <v>4</v>
      </c>
      <c r="B2042" s="4" t="s">
        <v>36</v>
      </c>
      <c r="C2042" s="3" t="s">
        <v>125</v>
      </c>
      <c r="G2042" s="57"/>
    </row>
    <row r="2043" spans="1:7" ht="12.75" x14ac:dyDescent="0.2">
      <c r="A2043" s="3">
        <v>4</v>
      </c>
      <c r="B2043" s="4" t="s">
        <v>36</v>
      </c>
      <c r="C2043" s="3" t="s">
        <v>125</v>
      </c>
      <c r="G2043" s="57"/>
    </row>
    <row r="2044" spans="1:7" ht="12.75" x14ac:dyDescent="0.2">
      <c r="A2044" s="3">
        <v>4</v>
      </c>
      <c r="B2044" s="4" t="s">
        <v>36</v>
      </c>
      <c r="C2044" s="3" t="s">
        <v>125</v>
      </c>
      <c r="G2044" s="57"/>
    </row>
    <row r="2045" spans="1:7" ht="12.75" x14ac:dyDescent="0.2">
      <c r="A2045" s="3">
        <v>4</v>
      </c>
      <c r="B2045" s="4" t="s">
        <v>36</v>
      </c>
      <c r="C2045" s="3" t="s">
        <v>125</v>
      </c>
      <c r="G2045" s="57"/>
    </row>
    <row r="2046" spans="1:7" ht="12.75" x14ac:dyDescent="0.2">
      <c r="A2046" s="3">
        <v>5</v>
      </c>
      <c r="B2046" s="4" t="s">
        <v>37</v>
      </c>
      <c r="C2046" s="3" t="s">
        <v>347</v>
      </c>
      <c r="G2046" s="57"/>
    </row>
    <row r="2047" spans="1:7" ht="12.75" x14ac:dyDescent="0.2">
      <c r="A2047" s="3">
        <v>5</v>
      </c>
      <c r="B2047" s="4" t="s">
        <v>37</v>
      </c>
      <c r="C2047" s="3" t="s">
        <v>347</v>
      </c>
      <c r="G2047" s="57"/>
    </row>
    <row r="2048" spans="1:7" ht="12.75" x14ac:dyDescent="0.2">
      <c r="A2048" s="3">
        <v>5</v>
      </c>
      <c r="B2048" s="4" t="s">
        <v>37</v>
      </c>
      <c r="C2048" s="3" t="s">
        <v>347</v>
      </c>
      <c r="G2048" s="57"/>
    </row>
    <row r="2049" spans="1:7" ht="12.75" x14ac:dyDescent="0.2">
      <c r="A2049" s="3">
        <v>5</v>
      </c>
      <c r="B2049" s="4" t="s">
        <v>37</v>
      </c>
      <c r="C2049" s="3" t="s">
        <v>347</v>
      </c>
      <c r="F2049">
        <f>SUM(E2046:E2053)</f>
        <v>0</v>
      </c>
      <c r="G2049" s="57"/>
    </row>
    <row r="2050" spans="1:7" ht="12.75" x14ac:dyDescent="0.2">
      <c r="A2050" s="3">
        <v>5</v>
      </c>
      <c r="B2050" s="4" t="s">
        <v>37</v>
      </c>
      <c r="C2050" s="3" t="s">
        <v>347</v>
      </c>
      <c r="G2050" s="59">
        <v>1536</v>
      </c>
    </row>
    <row r="2051" spans="1:7" ht="12.75" x14ac:dyDescent="0.2">
      <c r="A2051" s="3">
        <v>5</v>
      </c>
      <c r="B2051" s="4" t="s">
        <v>37</v>
      </c>
      <c r="C2051" s="3" t="s">
        <v>347</v>
      </c>
      <c r="G2051" s="57"/>
    </row>
    <row r="2052" spans="1:7" ht="12.75" x14ac:dyDescent="0.2">
      <c r="A2052" s="3">
        <v>5</v>
      </c>
      <c r="B2052" s="4" t="s">
        <v>37</v>
      </c>
      <c r="C2052" s="3" t="s">
        <v>347</v>
      </c>
      <c r="G2052" s="57"/>
    </row>
    <row r="2053" spans="1:7" ht="12.75" x14ac:dyDescent="0.2">
      <c r="A2053" s="3">
        <v>5</v>
      </c>
      <c r="B2053" s="4" t="s">
        <v>37</v>
      </c>
      <c r="C2053" s="3" t="s">
        <v>347</v>
      </c>
      <c r="G2053" s="57"/>
    </row>
    <row r="2054" spans="1:7" ht="12.75" x14ac:dyDescent="0.2">
      <c r="A2054" s="3">
        <v>5</v>
      </c>
      <c r="B2054" s="4" t="s">
        <v>37</v>
      </c>
      <c r="C2054" s="3" t="s">
        <v>273</v>
      </c>
      <c r="G2054" s="57"/>
    </row>
    <row r="2055" spans="1:7" ht="12.75" x14ac:dyDescent="0.2">
      <c r="A2055" s="3">
        <v>5</v>
      </c>
      <c r="B2055" s="4" t="s">
        <v>37</v>
      </c>
      <c r="C2055" s="3" t="s">
        <v>273</v>
      </c>
      <c r="F2055">
        <f>SUM(E2054:E2059)</f>
        <v>0</v>
      </c>
      <c r="G2055" s="57"/>
    </row>
    <row r="2056" spans="1:7" ht="12.75" x14ac:dyDescent="0.2">
      <c r="A2056" s="3">
        <v>5</v>
      </c>
      <c r="B2056" s="4" t="s">
        <v>37</v>
      </c>
      <c r="C2056" s="3" t="s">
        <v>273</v>
      </c>
      <c r="G2056" s="57"/>
    </row>
    <row r="2057" spans="1:7" ht="12.75" x14ac:dyDescent="0.2">
      <c r="A2057" s="3">
        <v>5</v>
      </c>
      <c r="B2057" s="4" t="s">
        <v>37</v>
      </c>
      <c r="C2057" s="3" t="s">
        <v>273</v>
      </c>
      <c r="G2057" s="57"/>
    </row>
    <row r="2058" spans="1:7" ht="12.75" x14ac:dyDescent="0.2">
      <c r="A2058" s="3">
        <v>5</v>
      </c>
      <c r="B2058" s="4" t="s">
        <v>37</v>
      </c>
      <c r="C2058" s="3" t="s">
        <v>273</v>
      </c>
      <c r="G2058" s="57"/>
    </row>
    <row r="2059" spans="1:7" ht="12.75" x14ac:dyDescent="0.2">
      <c r="A2059" s="3">
        <v>5</v>
      </c>
      <c r="B2059" s="4" t="s">
        <v>37</v>
      </c>
      <c r="C2059" s="3" t="s">
        <v>273</v>
      </c>
      <c r="G2059" s="57"/>
    </row>
    <row r="2060" spans="1:7" ht="12.75" x14ac:dyDescent="0.2">
      <c r="A2060" s="3">
        <v>5</v>
      </c>
      <c r="B2060" s="4" t="s">
        <v>37</v>
      </c>
      <c r="C2060" s="3" t="s">
        <v>125</v>
      </c>
      <c r="G2060" s="57"/>
    </row>
    <row r="2061" spans="1:7" ht="12.75" x14ac:dyDescent="0.2">
      <c r="A2061" s="3">
        <v>5</v>
      </c>
      <c r="B2061" s="4" t="s">
        <v>37</v>
      </c>
      <c r="C2061" s="3" t="s">
        <v>125</v>
      </c>
      <c r="F2061">
        <f>SUM(E2060:E2065)</f>
        <v>0</v>
      </c>
      <c r="G2061" s="57"/>
    </row>
    <row r="2062" spans="1:7" ht="12.75" x14ac:dyDescent="0.2">
      <c r="A2062" s="3">
        <v>5</v>
      </c>
      <c r="B2062" s="4" t="s">
        <v>37</v>
      </c>
      <c r="C2062" s="3" t="s">
        <v>125</v>
      </c>
      <c r="G2062" s="57"/>
    </row>
    <row r="2063" spans="1:7" ht="12.75" x14ac:dyDescent="0.2">
      <c r="A2063" s="3">
        <v>5</v>
      </c>
      <c r="B2063" s="4" t="s">
        <v>37</v>
      </c>
      <c r="C2063" s="3" t="s">
        <v>125</v>
      </c>
      <c r="G2063" s="57"/>
    </row>
    <row r="2064" spans="1:7" ht="12.75" x14ac:dyDescent="0.2">
      <c r="A2064" s="3">
        <v>5</v>
      </c>
      <c r="B2064" s="4" t="s">
        <v>37</v>
      </c>
      <c r="C2064" s="3" t="s">
        <v>125</v>
      </c>
      <c r="G2064" s="57"/>
    </row>
    <row r="2065" spans="1:7" ht="12.75" x14ac:dyDescent="0.2">
      <c r="A2065" s="3">
        <v>5</v>
      </c>
      <c r="B2065" s="4" t="s">
        <v>37</v>
      </c>
      <c r="C2065" s="3" t="s">
        <v>125</v>
      </c>
      <c r="G2065" s="57"/>
    </row>
    <row r="2066" spans="1:7" ht="12.75" x14ac:dyDescent="0.2">
      <c r="A2066" s="3">
        <v>6</v>
      </c>
      <c r="B2066" s="4" t="s">
        <v>38</v>
      </c>
      <c r="C2066" s="3" t="s">
        <v>347</v>
      </c>
      <c r="G2066" s="57"/>
    </row>
    <row r="2067" spans="1:7" ht="12.75" x14ac:dyDescent="0.2">
      <c r="A2067" s="3">
        <v>6</v>
      </c>
      <c r="B2067" s="4" t="s">
        <v>38</v>
      </c>
      <c r="C2067" s="3" t="s">
        <v>347</v>
      </c>
      <c r="G2067" s="57"/>
    </row>
    <row r="2068" spans="1:7" ht="12.75" x14ac:dyDescent="0.2">
      <c r="A2068" s="3">
        <v>6</v>
      </c>
      <c r="B2068" s="4" t="s">
        <v>38</v>
      </c>
      <c r="C2068" s="3" t="s">
        <v>347</v>
      </c>
      <c r="G2068" s="57"/>
    </row>
    <row r="2069" spans="1:7" ht="12.75" x14ac:dyDescent="0.2">
      <c r="A2069" s="3">
        <v>6</v>
      </c>
      <c r="B2069" s="4" t="s">
        <v>38</v>
      </c>
      <c r="C2069" s="3" t="s">
        <v>347</v>
      </c>
      <c r="F2069">
        <f>SUM(E2066:E2073)</f>
        <v>0</v>
      </c>
      <c r="G2069" s="57"/>
    </row>
    <row r="2070" spans="1:7" ht="12.75" x14ac:dyDescent="0.2">
      <c r="A2070" s="3">
        <v>6</v>
      </c>
      <c r="B2070" s="4" t="s">
        <v>38</v>
      </c>
      <c r="C2070" s="3" t="s">
        <v>347</v>
      </c>
      <c r="G2070" s="59">
        <v>867</v>
      </c>
    </row>
    <row r="2071" spans="1:7" ht="12.75" x14ac:dyDescent="0.2">
      <c r="A2071" s="3">
        <v>6</v>
      </c>
      <c r="B2071" s="4" t="s">
        <v>38</v>
      </c>
      <c r="C2071" s="3" t="s">
        <v>347</v>
      </c>
      <c r="G2071" s="57"/>
    </row>
    <row r="2072" spans="1:7" ht="12.75" x14ac:dyDescent="0.2">
      <c r="A2072" s="3">
        <v>6</v>
      </c>
      <c r="B2072" s="4" t="s">
        <v>38</v>
      </c>
      <c r="C2072" s="3" t="s">
        <v>347</v>
      </c>
      <c r="G2072" s="57"/>
    </row>
    <row r="2073" spans="1:7" ht="12.75" x14ac:dyDescent="0.2">
      <c r="A2073" s="3">
        <v>6</v>
      </c>
      <c r="B2073" s="4" t="s">
        <v>38</v>
      </c>
      <c r="C2073" s="3" t="s">
        <v>347</v>
      </c>
      <c r="G2073" s="57"/>
    </row>
    <row r="2074" spans="1:7" ht="12.75" x14ac:dyDescent="0.2">
      <c r="A2074" s="3">
        <v>6</v>
      </c>
      <c r="B2074" s="4" t="s">
        <v>38</v>
      </c>
      <c r="C2074" s="3" t="s">
        <v>273</v>
      </c>
      <c r="G2074" s="57"/>
    </row>
    <row r="2075" spans="1:7" ht="12.75" x14ac:dyDescent="0.2">
      <c r="A2075" s="3">
        <v>6</v>
      </c>
      <c r="B2075" s="4" t="s">
        <v>38</v>
      </c>
      <c r="C2075" s="3" t="s">
        <v>273</v>
      </c>
      <c r="F2075">
        <f>SUM(E2074:E2079)</f>
        <v>0</v>
      </c>
      <c r="G2075" s="57"/>
    </row>
    <row r="2076" spans="1:7" ht="12.75" x14ac:dyDescent="0.2">
      <c r="A2076" s="3">
        <v>6</v>
      </c>
      <c r="B2076" s="4" t="s">
        <v>38</v>
      </c>
      <c r="C2076" s="3" t="s">
        <v>273</v>
      </c>
      <c r="G2076" s="57"/>
    </row>
    <row r="2077" spans="1:7" ht="12.75" x14ac:dyDescent="0.2">
      <c r="A2077" s="3">
        <v>6</v>
      </c>
      <c r="B2077" s="4" t="s">
        <v>38</v>
      </c>
      <c r="C2077" s="3" t="s">
        <v>273</v>
      </c>
      <c r="G2077" s="57"/>
    </row>
    <row r="2078" spans="1:7" ht="12.75" x14ac:dyDescent="0.2">
      <c r="A2078" s="3">
        <v>6</v>
      </c>
      <c r="B2078" s="4" t="s">
        <v>38</v>
      </c>
      <c r="C2078" s="3" t="s">
        <v>273</v>
      </c>
      <c r="G2078" s="57"/>
    </row>
    <row r="2079" spans="1:7" ht="12.75" x14ac:dyDescent="0.2">
      <c r="A2079" s="3">
        <v>6</v>
      </c>
      <c r="B2079" s="4" t="s">
        <v>38</v>
      </c>
      <c r="C2079" s="3" t="s">
        <v>273</v>
      </c>
      <c r="G2079" s="57"/>
    </row>
    <row r="2080" spans="1:7" ht="12.75" x14ac:dyDescent="0.2">
      <c r="A2080" s="3">
        <v>6</v>
      </c>
      <c r="B2080" s="4" t="s">
        <v>38</v>
      </c>
      <c r="C2080" s="3" t="s">
        <v>125</v>
      </c>
      <c r="G2080" s="57"/>
    </row>
    <row r="2081" spans="1:7" ht="12.75" x14ac:dyDescent="0.2">
      <c r="A2081" s="3">
        <v>6</v>
      </c>
      <c r="B2081" s="4" t="s">
        <v>38</v>
      </c>
      <c r="C2081" s="3" t="s">
        <v>125</v>
      </c>
      <c r="F2081">
        <f>SUM(E2080:E2085)</f>
        <v>0</v>
      </c>
      <c r="G2081" s="57"/>
    </row>
    <row r="2082" spans="1:7" ht="12.75" x14ac:dyDescent="0.2">
      <c r="A2082" s="3">
        <v>6</v>
      </c>
      <c r="B2082" s="4" t="s">
        <v>38</v>
      </c>
      <c r="C2082" s="3" t="s">
        <v>125</v>
      </c>
      <c r="G2082" s="57"/>
    </row>
    <row r="2083" spans="1:7" ht="12.75" x14ac:dyDescent="0.2">
      <c r="A2083" s="3">
        <v>6</v>
      </c>
      <c r="B2083" s="4" t="s">
        <v>38</v>
      </c>
      <c r="C2083" s="3" t="s">
        <v>125</v>
      </c>
      <c r="G2083" s="57"/>
    </row>
    <row r="2084" spans="1:7" ht="12.75" x14ac:dyDescent="0.2">
      <c r="A2084" s="3">
        <v>6</v>
      </c>
      <c r="B2084" s="4" t="s">
        <v>38</v>
      </c>
      <c r="C2084" s="3" t="s">
        <v>125</v>
      </c>
      <c r="G2084" s="57"/>
    </row>
    <row r="2085" spans="1:7" ht="12.75" x14ac:dyDescent="0.2">
      <c r="A2085" s="3">
        <v>6</v>
      </c>
      <c r="B2085" s="4" t="s">
        <v>38</v>
      </c>
      <c r="C2085" s="3" t="s">
        <v>125</v>
      </c>
      <c r="G2085" s="57"/>
    </row>
    <row r="2086" spans="1:7" ht="12.75" x14ac:dyDescent="0.2">
      <c r="A2086" s="3">
        <v>11</v>
      </c>
      <c r="B2086" s="4" t="s">
        <v>41</v>
      </c>
      <c r="C2086" s="3" t="s">
        <v>347</v>
      </c>
      <c r="G2086" s="57"/>
    </row>
    <row r="2087" spans="1:7" ht="12.75" x14ac:dyDescent="0.2">
      <c r="A2087" s="3">
        <v>11</v>
      </c>
      <c r="B2087" s="4" t="s">
        <v>41</v>
      </c>
      <c r="C2087" s="3" t="s">
        <v>347</v>
      </c>
      <c r="G2087" s="57"/>
    </row>
    <row r="2088" spans="1:7" ht="12.75" x14ac:dyDescent="0.2">
      <c r="A2088" s="3">
        <v>11</v>
      </c>
      <c r="B2088" s="4" t="s">
        <v>41</v>
      </c>
      <c r="C2088" s="3" t="s">
        <v>347</v>
      </c>
      <c r="G2088" s="57"/>
    </row>
    <row r="2089" spans="1:7" ht="12.75" x14ac:dyDescent="0.2">
      <c r="A2089" s="3">
        <v>11</v>
      </c>
      <c r="B2089" s="4" t="s">
        <v>41</v>
      </c>
      <c r="C2089" s="3" t="s">
        <v>347</v>
      </c>
      <c r="F2089">
        <f>SUM(E2086:E2093)</f>
        <v>0</v>
      </c>
      <c r="G2089" s="57"/>
    </row>
    <row r="2090" spans="1:7" ht="12.75" x14ac:dyDescent="0.2">
      <c r="A2090" s="3">
        <v>11</v>
      </c>
      <c r="B2090" s="4" t="s">
        <v>41</v>
      </c>
      <c r="C2090" s="3" t="s">
        <v>347</v>
      </c>
      <c r="G2090" s="59">
        <v>31</v>
      </c>
    </row>
    <row r="2091" spans="1:7" ht="12.75" x14ac:dyDescent="0.2">
      <c r="A2091" s="3">
        <v>11</v>
      </c>
      <c r="B2091" s="4" t="s">
        <v>41</v>
      </c>
      <c r="C2091" s="3" t="s">
        <v>347</v>
      </c>
      <c r="G2091" s="57"/>
    </row>
    <row r="2092" spans="1:7" ht="12.75" x14ac:dyDescent="0.2">
      <c r="A2092" s="3">
        <v>11</v>
      </c>
      <c r="B2092" s="4" t="s">
        <v>41</v>
      </c>
      <c r="C2092" s="3" t="s">
        <v>347</v>
      </c>
      <c r="G2092" s="57"/>
    </row>
    <row r="2093" spans="1:7" ht="12.75" x14ac:dyDescent="0.2">
      <c r="A2093" s="3">
        <v>11</v>
      </c>
      <c r="B2093" s="4" t="s">
        <v>41</v>
      </c>
      <c r="C2093" s="3" t="s">
        <v>347</v>
      </c>
      <c r="G2093" s="57"/>
    </row>
    <row r="2094" spans="1:7" ht="12.75" x14ac:dyDescent="0.2">
      <c r="A2094" s="3">
        <v>11</v>
      </c>
      <c r="B2094" s="4" t="s">
        <v>41</v>
      </c>
      <c r="C2094" s="3" t="s">
        <v>273</v>
      </c>
      <c r="G2094" s="57"/>
    </row>
    <row r="2095" spans="1:7" ht="12.75" x14ac:dyDescent="0.2">
      <c r="A2095" s="3">
        <v>11</v>
      </c>
      <c r="B2095" s="4" t="s">
        <v>41</v>
      </c>
      <c r="C2095" s="3" t="s">
        <v>273</v>
      </c>
      <c r="F2095">
        <f>SUM(E2094:E2099)</f>
        <v>0</v>
      </c>
      <c r="G2095" s="57"/>
    </row>
    <row r="2096" spans="1:7" ht="12.75" x14ac:dyDescent="0.2">
      <c r="A2096" s="3">
        <v>11</v>
      </c>
      <c r="B2096" s="4" t="s">
        <v>41</v>
      </c>
      <c r="C2096" s="3" t="s">
        <v>273</v>
      </c>
      <c r="G2096" s="57"/>
    </row>
    <row r="2097" spans="1:7" ht="12.75" x14ac:dyDescent="0.2">
      <c r="A2097" s="3">
        <v>11</v>
      </c>
      <c r="B2097" s="4" t="s">
        <v>41</v>
      </c>
      <c r="C2097" s="3" t="s">
        <v>273</v>
      </c>
      <c r="G2097" s="57"/>
    </row>
    <row r="2098" spans="1:7" ht="12.75" x14ac:dyDescent="0.2">
      <c r="A2098" s="3">
        <v>11</v>
      </c>
      <c r="B2098" s="4" t="s">
        <v>41</v>
      </c>
      <c r="C2098" s="3" t="s">
        <v>273</v>
      </c>
      <c r="G2098" s="57"/>
    </row>
    <row r="2099" spans="1:7" ht="12.75" x14ac:dyDescent="0.2">
      <c r="A2099" s="3">
        <v>11</v>
      </c>
      <c r="B2099" s="4" t="s">
        <v>41</v>
      </c>
      <c r="C2099" s="3" t="s">
        <v>273</v>
      </c>
      <c r="G2099" s="57"/>
    </row>
    <row r="2100" spans="1:7" ht="12.75" x14ac:dyDescent="0.2">
      <c r="A2100" s="3">
        <v>11</v>
      </c>
      <c r="B2100" s="4" t="s">
        <v>41</v>
      </c>
      <c r="C2100" s="3" t="s">
        <v>125</v>
      </c>
      <c r="G2100" s="57"/>
    </row>
    <row r="2101" spans="1:7" ht="12.75" x14ac:dyDescent="0.2">
      <c r="A2101" s="3">
        <v>11</v>
      </c>
      <c r="B2101" s="4" t="s">
        <v>41</v>
      </c>
      <c r="C2101" s="3" t="s">
        <v>125</v>
      </c>
      <c r="F2101">
        <f>SUM(E2100:E2105)</f>
        <v>0</v>
      </c>
      <c r="G2101" s="57"/>
    </row>
    <row r="2102" spans="1:7" ht="12.75" x14ac:dyDescent="0.2">
      <c r="A2102" s="3">
        <v>11</v>
      </c>
      <c r="B2102" s="4" t="s">
        <v>41</v>
      </c>
      <c r="C2102" s="3" t="s">
        <v>125</v>
      </c>
      <c r="G2102" s="57"/>
    </row>
    <row r="2103" spans="1:7" ht="12.75" x14ac:dyDescent="0.2">
      <c r="A2103" s="3">
        <v>11</v>
      </c>
      <c r="B2103" s="4" t="s">
        <v>41</v>
      </c>
      <c r="C2103" s="3" t="s">
        <v>125</v>
      </c>
      <c r="G2103" s="57"/>
    </row>
    <row r="2104" spans="1:7" ht="12.75" x14ac:dyDescent="0.2">
      <c r="A2104" s="3">
        <v>11</v>
      </c>
      <c r="B2104" s="4" t="s">
        <v>41</v>
      </c>
      <c r="C2104" s="3" t="s">
        <v>125</v>
      </c>
      <c r="G2104" s="57"/>
    </row>
    <row r="2105" spans="1:7" ht="12.75" x14ac:dyDescent="0.2">
      <c r="A2105" s="3">
        <v>11</v>
      </c>
      <c r="B2105" s="4" t="s">
        <v>41</v>
      </c>
      <c r="C2105" s="3" t="s">
        <v>125</v>
      </c>
      <c r="G2105" s="57"/>
    </row>
    <row r="2106" spans="1:7" ht="12.75" x14ac:dyDescent="0.2">
      <c r="A2106" s="3">
        <v>14</v>
      </c>
      <c r="B2106" s="4" t="s">
        <v>153</v>
      </c>
      <c r="C2106" s="3" t="s">
        <v>347</v>
      </c>
      <c r="G2106" s="57"/>
    </row>
    <row r="2107" spans="1:7" ht="12.75" x14ac:dyDescent="0.2">
      <c r="A2107" s="3">
        <v>14</v>
      </c>
      <c r="B2107" s="4" t="s">
        <v>153</v>
      </c>
      <c r="C2107" s="3" t="s">
        <v>347</v>
      </c>
      <c r="G2107" s="57"/>
    </row>
    <row r="2108" spans="1:7" ht="12.75" x14ac:dyDescent="0.2">
      <c r="A2108" s="3">
        <v>14</v>
      </c>
      <c r="B2108" s="4" t="s">
        <v>153</v>
      </c>
      <c r="C2108" s="3" t="s">
        <v>347</v>
      </c>
      <c r="G2108" s="57"/>
    </row>
    <row r="2109" spans="1:7" ht="12.75" x14ac:dyDescent="0.2">
      <c r="A2109" s="3">
        <v>14</v>
      </c>
      <c r="B2109" s="4" t="s">
        <v>153</v>
      </c>
      <c r="C2109" s="3" t="s">
        <v>347</v>
      </c>
      <c r="F2109">
        <f>SUM(E2106:E2113)</f>
        <v>0</v>
      </c>
      <c r="G2109" s="57"/>
    </row>
    <row r="2110" spans="1:7" ht="12.75" x14ac:dyDescent="0.2">
      <c r="A2110" s="3">
        <v>14</v>
      </c>
      <c r="B2110" s="4" t="s">
        <v>153</v>
      </c>
      <c r="C2110" s="3" t="s">
        <v>347</v>
      </c>
      <c r="G2110" s="59">
        <v>2420</v>
      </c>
    </row>
    <row r="2111" spans="1:7" ht="12.75" x14ac:dyDescent="0.2">
      <c r="A2111" s="3">
        <v>14</v>
      </c>
      <c r="B2111" s="4" t="s">
        <v>153</v>
      </c>
      <c r="C2111" s="3" t="s">
        <v>347</v>
      </c>
      <c r="G2111" s="57"/>
    </row>
    <row r="2112" spans="1:7" ht="12.75" x14ac:dyDescent="0.2">
      <c r="A2112" s="3">
        <v>14</v>
      </c>
      <c r="B2112" s="4" t="s">
        <v>153</v>
      </c>
      <c r="C2112" s="3" t="s">
        <v>347</v>
      </c>
      <c r="G2112" s="57"/>
    </row>
    <row r="2113" spans="1:7" ht="12.75" x14ac:dyDescent="0.2">
      <c r="A2113" s="3">
        <v>14</v>
      </c>
      <c r="B2113" s="4" t="s">
        <v>153</v>
      </c>
      <c r="C2113" s="3" t="s">
        <v>347</v>
      </c>
      <c r="G2113" s="57"/>
    </row>
    <row r="2114" spans="1:7" ht="12.75" x14ac:dyDescent="0.2">
      <c r="A2114" s="3">
        <v>14</v>
      </c>
      <c r="B2114" s="4" t="s">
        <v>153</v>
      </c>
      <c r="C2114" s="3" t="s">
        <v>273</v>
      </c>
      <c r="G2114" s="57"/>
    </row>
    <row r="2115" spans="1:7" ht="12.75" x14ac:dyDescent="0.2">
      <c r="A2115" s="3">
        <v>14</v>
      </c>
      <c r="B2115" s="4" t="s">
        <v>153</v>
      </c>
      <c r="C2115" s="3" t="s">
        <v>273</v>
      </c>
      <c r="F2115">
        <f>SUM(E2114:E2119)</f>
        <v>0</v>
      </c>
      <c r="G2115" s="57"/>
    </row>
    <row r="2116" spans="1:7" ht="12.75" x14ac:dyDescent="0.2">
      <c r="A2116" s="3">
        <v>14</v>
      </c>
      <c r="B2116" s="4" t="s">
        <v>153</v>
      </c>
      <c r="C2116" s="3" t="s">
        <v>273</v>
      </c>
      <c r="G2116" s="57"/>
    </row>
    <row r="2117" spans="1:7" ht="12.75" x14ac:dyDescent="0.2">
      <c r="A2117" s="3">
        <v>14</v>
      </c>
      <c r="B2117" s="4" t="s">
        <v>153</v>
      </c>
      <c r="C2117" s="3" t="s">
        <v>273</v>
      </c>
      <c r="G2117" s="57"/>
    </row>
    <row r="2118" spans="1:7" ht="12.75" x14ac:dyDescent="0.2">
      <c r="A2118" s="3">
        <v>14</v>
      </c>
      <c r="B2118" s="4" t="s">
        <v>153</v>
      </c>
      <c r="C2118" s="3" t="s">
        <v>273</v>
      </c>
      <c r="G2118" s="57"/>
    </row>
    <row r="2119" spans="1:7" ht="12.75" x14ac:dyDescent="0.2">
      <c r="A2119" s="3">
        <v>14</v>
      </c>
      <c r="B2119" s="4" t="s">
        <v>153</v>
      </c>
      <c r="C2119" s="3" t="s">
        <v>273</v>
      </c>
      <c r="G2119" s="57"/>
    </row>
    <row r="2120" spans="1:7" ht="12.75" x14ac:dyDescent="0.2">
      <c r="A2120" s="3">
        <v>14</v>
      </c>
      <c r="B2120" s="4" t="s">
        <v>153</v>
      </c>
      <c r="C2120" s="3" t="s">
        <v>125</v>
      </c>
      <c r="G2120" s="57"/>
    </row>
    <row r="2121" spans="1:7" ht="12.75" x14ac:dyDescent="0.2">
      <c r="A2121" s="3">
        <v>14</v>
      </c>
      <c r="B2121" s="4" t="s">
        <v>153</v>
      </c>
      <c r="C2121" s="3" t="s">
        <v>125</v>
      </c>
      <c r="F2121">
        <f>SUM(E2120:E2125)</f>
        <v>0</v>
      </c>
      <c r="G2121" s="57"/>
    </row>
    <row r="2122" spans="1:7" ht="12.75" x14ac:dyDescent="0.2">
      <c r="A2122" s="3">
        <v>14</v>
      </c>
      <c r="B2122" s="4" t="s">
        <v>153</v>
      </c>
      <c r="C2122" s="3" t="s">
        <v>125</v>
      </c>
      <c r="G2122" s="57"/>
    </row>
    <row r="2123" spans="1:7" ht="12.75" x14ac:dyDescent="0.2">
      <c r="A2123" s="3">
        <v>14</v>
      </c>
      <c r="B2123" s="4" t="s">
        <v>153</v>
      </c>
      <c r="C2123" s="3" t="s">
        <v>125</v>
      </c>
      <c r="G2123" s="57"/>
    </row>
    <row r="2124" spans="1:7" ht="12.75" x14ac:dyDescent="0.2">
      <c r="A2124" s="3">
        <v>14</v>
      </c>
      <c r="B2124" s="4" t="s">
        <v>153</v>
      </c>
      <c r="C2124" s="3" t="s">
        <v>125</v>
      </c>
      <c r="G2124" s="57"/>
    </row>
    <row r="2125" spans="1:7" ht="12.75" x14ac:dyDescent="0.2">
      <c r="A2125" s="3">
        <v>14</v>
      </c>
      <c r="B2125" s="4" t="s">
        <v>153</v>
      </c>
      <c r="C2125" s="3" t="s">
        <v>125</v>
      </c>
      <c r="G2125" s="57"/>
    </row>
    <row r="2126" spans="1:7" ht="12.75" x14ac:dyDescent="0.2">
      <c r="A2126" s="3">
        <v>15</v>
      </c>
      <c r="B2126" s="4" t="s">
        <v>43</v>
      </c>
      <c r="C2126" s="3" t="s">
        <v>347</v>
      </c>
      <c r="G2126" s="57"/>
    </row>
    <row r="2127" spans="1:7" ht="12.75" x14ac:dyDescent="0.2">
      <c r="A2127" s="3">
        <v>15</v>
      </c>
      <c r="B2127" s="4" t="s">
        <v>43</v>
      </c>
      <c r="C2127" s="3" t="s">
        <v>347</v>
      </c>
      <c r="G2127" s="57"/>
    </row>
    <row r="2128" spans="1:7" ht="12.75" x14ac:dyDescent="0.2">
      <c r="A2128" s="3">
        <v>15</v>
      </c>
      <c r="B2128" s="4" t="s">
        <v>43</v>
      </c>
      <c r="C2128" s="3" t="s">
        <v>347</v>
      </c>
      <c r="G2128" s="57"/>
    </row>
    <row r="2129" spans="1:7" ht="12.75" x14ac:dyDescent="0.2">
      <c r="A2129" s="3">
        <v>15</v>
      </c>
      <c r="B2129" s="4" t="s">
        <v>43</v>
      </c>
      <c r="C2129" s="3" t="s">
        <v>347</v>
      </c>
      <c r="F2129">
        <f>SUM(E2126:E2133)</f>
        <v>0</v>
      </c>
      <c r="G2129" s="57"/>
    </row>
    <row r="2130" spans="1:7" ht="12.75" x14ac:dyDescent="0.2">
      <c r="A2130" s="3">
        <v>15</v>
      </c>
      <c r="B2130" s="4" t="s">
        <v>43</v>
      </c>
      <c r="C2130" s="3" t="s">
        <v>347</v>
      </c>
      <c r="G2130" s="59">
        <v>1495</v>
      </c>
    </row>
    <row r="2131" spans="1:7" ht="12.75" x14ac:dyDescent="0.2">
      <c r="A2131" s="3">
        <v>15</v>
      </c>
      <c r="B2131" s="4" t="s">
        <v>43</v>
      </c>
      <c r="C2131" s="3" t="s">
        <v>347</v>
      </c>
      <c r="G2131" s="57"/>
    </row>
    <row r="2132" spans="1:7" ht="12.75" x14ac:dyDescent="0.2">
      <c r="A2132" s="3">
        <v>15</v>
      </c>
      <c r="B2132" s="4" t="s">
        <v>43</v>
      </c>
      <c r="C2132" s="3" t="s">
        <v>347</v>
      </c>
      <c r="G2132" s="57"/>
    </row>
    <row r="2133" spans="1:7" ht="12.75" x14ac:dyDescent="0.2">
      <c r="A2133" s="3">
        <v>15</v>
      </c>
      <c r="B2133" s="4" t="s">
        <v>43</v>
      </c>
      <c r="C2133" s="3" t="s">
        <v>347</v>
      </c>
      <c r="G2133" s="57"/>
    </row>
    <row r="2134" spans="1:7" ht="12.75" x14ac:dyDescent="0.2">
      <c r="A2134" s="3">
        <v>15</v>
      </c>
      <c r="B2134" s="4" t="s">
        <v>43</v>
      </c>
      <c r="C2134" s="3" t="s">
        <v>273</v>
      </c>
      <c r="G2134" s="57"/>
    </row>
    <row r="2135" spans="1:7" ht="12.75" x14ac:dyDescent="0.2">
      <c r="A2135" s="3">
        <v>15</v>
      </c>
      <c r="B2135" s="4" t="s">
        <v>43</v>
      </c>
      <c r="C2135" s="3" t="s">
        <v>273</v>
      </c>
      <c r="F2135">
        <f>SUM(E2134:E2139)</f>
        <v>0</v>
      </c>
      <c r="G2135" s="57"/>
    </row>
    <row r="2136" spans="1:7" ht="12.75" x14ac:dyDescent="0.2">
      <c r="A2136" s="3">
        <v>15</v>
      </c>
      <c r="B2136" s="4" t="s">
        <v>43</v>
      </c>
      <c r="C2136" s="3" t="s">
        <v>273</v>
      </c>
      <c r="G2136" s="57"/>
    </row>
    <row r="2137" spans="1:7" ht="12.75" x14ac:dyDescent="0.2">
      <c r="A2137" s="3">
        <v>15</v>
      </c>
      <c r="B2137" s="4" t="s">
        <v>43</v>
      </c>
      <c r="C2137" s="3" t="s">
        <v>273</v>
      </c>
      <c r="G2137" s="57"/>
    </row>
    <row r="2138" spans="1:7" ht="12.75" x14ac:dyDescent="0.2">
      <c r="A2138" s="3">
        <v>15</v>
      </c>
      <c r="B2138" s="4" t="s">
        <v>43</v>
      </c>
      <c r="C2138" s="3" t="s">
        <v>273</v>
      </c>
      <c r="G2138" s="57"/>
    </row>
    <row r="2139" spans="1:7" ht="12.75" x14ac:dyDescent="0.2">
      <c r="A2139" s="3">
        <v>15</v>
      </c>
      <c r="B2139" s="4" t="s">
        <v>43</v>
      </c>
      <c r="C2139" s="3" t="s">
        <v>273</v>
      </c>
      <c r="G2139" s="57"/>
    </row>
    <row r="2140" spans="1:7" ht="12.75" x14ac:dyDescent="0.2">
      <c r="A2140" s="3">
        <v>15</v>
      </c>
      <c r="B2140" s="4" t="s">
        <v>43</v>
      </c>
      <c r="C2140" s="3" t="s">
        <v>125</v>
      </c>
      <c r="G2140" s="57"/>
    </row>
    <row r="2141" spans="1:7" ht="12.75" x14ac:dyDescent="0.2">
      <c r="A2141" s="3">
        <v>15</v>
      </c>
      <c r="B2141" s="4" t="s">
        <v>43</v>
      </c>
      <c r="C2141" s="3" t="s">
        <v>125</v>
      </c>
      <c r="F2141">
        <f>SUM(E2140:E2145)</f>
        <v>0</v>
      </c>
      <c r="G2141" s="57"/>
    </row>
    <row r="2142" spans="1:7" ht="12.75" x14ac:dyDescent="0.2">
      <c r="A2142" s="3">
        <v>15</v>
      </c>
      <c r="B2142" s="4" t="s">
        <v>43</v>
      </c>
      <c r="C2142" s="3" t="s">
        <v>125</v>
      </c>
      <c r="G2142" s="57"/>
    </row>
    <row r="2143" spans="1:7" ht="12.75" x14ac:dyDescent="0.2">
      <c r="A2143" s="3">
        <v>15</v>
      </c>
      <c r="B2143" s="4" t="s">
        <v>43</v>
      </c>
      <c r="C2143" s="3" t="s">
        <v>125</v>
      </c>
      <c r="G2143" s="57"/>
    </row>
    <row r="2144" spans="1:7" ht="12.75" x14ac:dyDescent="0.2">
      <c r="A2144" s="3">
        <v>15</v>
      </c>
      <c r="B2144" s="4" t="s">
        <v>43</v>
      </c>
      <c r="C2144" s="3" t="s">
        <v>125</v>
      </c>
      <c r="G2144" s="57"/>
    </row>
    <row r="2145" spans="1:7" ht="12.75" x14ac:dyDescent="0.2">
      <c r="A2145" s="3">
        <v>15</v>
      </c>
      <c r="B2145" s="4" t="s">
        <v>43</v>
      </c>
      <c r="C2145" s="3" t="s">
        <v>125</v>
      </c>
      <c r="G2145" s="57"/>
    </row>
    <row r="2146" spans="1:7" ht="12.75" x14ac:dyDescent="0.2">
      <c r="A2146" s="3">
        <v>16</v>
      </c>
      <c r="B2146" s="4" t="s">
        <v>44</v>
      </c>
      <c r="C2146" s="3" t="s">
        <v>347</v>
      </c>
      <c r="G2146" s="57"/>
    </row>
    <row r="2147" spans="1:7" ht="12.75" x14ac:dyDescent="0.2">
      <c r="A2147" s="3">
        <v>16</v>
      </c>
      <c r="B2147" s="4" t="s">
        <v>44</v>
      </c>
      <c r="C2147" s="3" t="s">
        <v>347</v>
      </c>
      <c r="G2147" s="57"/>
    </row>
    <row r="2148" spans="1:7" ht="12.75" x14ac:dyDescent="0.2">
      <c r="A2148" s="3">
        <v>16</v>
      </c>
      <c r="B2148" s="4" t="s">
        <v>44</v>
      </c>
      <c r="C2148" s="3" t="s">
        <v>347</v>
      </c>
      <c r="G2148" s="57"/>
    </row>
    <row r="2149" spans="1:7" ht="12.75" x14ac:dyDescent="0.2">
      <c r="A2149" s="3">
        <v>16</v>
      </c>
      <c r="B2149" s="4" t="s">
        <v>44</v>
      </c>
      <c r="C2149" s="3" t="s">
        <v>347</v>
      </c>
      <c r="F2149">
        <f>SUM(E2146:E2153)</f>
        <v>0</v>
      </c>
      <c r="G2149" s="57"/>
    </row>
    <row r="2150" spans="1:7" ht="12.75" x14ac:dyDescent="0.2">
      <c r="A2150" s="3">
        <v>16</v>
      </c>
      <c r="B2150" s="4" t="s">
        <v>44</v>
      </c>
      <c r="C2150" s="3" t="s">
        <v>347</v>
      </c>
      <c r="G2150" s="59">
        <v>145</v>
      </c>
    </row>
    <row r="2151" spans="1:7" ht="12.75" x14ac:dyDescent="0.2">
      <c r="A2151" s="3">
        <v>16</v>
      </c>
      <c r="B2151" s="4" t="s">
        <v>44</v>
      </c>
      <c r="C2151" s="3" t="s">
        <v>347</v>
      </c>
      <c r="G2151" s="57"/>
    </row>
    <row r="2152" spans="1:7" ht="12.75" x14ac:dyDescent="0.2">
      <c r="A2152" s="3">
        <v>16</v>
      </c>
      <c r="B2152" s="4" t="s">
        <v>44</v>
      </c>
      <c r="C2152" s="3" t="s">
        <v>347</v>
      </c>
      <c r="G2152" s="57"/>
    </row>
    <row r="2153" spans="1:7" ht="12.75" x14ac:dyDescent="0.2">
      <c r="A2153" s="3">
        <v>16</v>
      </c>
      <c r="B2153" s="4" t="s">
        <v>44</v>
      </c>
      <c r="C2153" s="3" t="s">
        <v>347</v>
      </c>
      <c r="G2153" s="57"/>
    </row>
    <row r="2154" spans="1:7" ht="12.75" x14ac:dyDescent="0.2">
      <c r="A2154" s="3">
        <v>16</v>
      </c>
      <c r="B2154" s="4" t="s">
        <v>44</v>
      </c>
      <c r="C2154" s="3" t="s">
        <v>273</v>
      </c>
      <c r="G2154" s="57"/>
    </row>
    <row r="2155" spans="1:7" ht="12.75" x14ac:dyDescent="0.2">
      <c r="A2155" s="3">
        <v>16</v>
      </c>
      <c r="B2155" s="4" t="s">
        <v>44</v>
      </c>
      <c r="C2155" s="3" t="s">
        <v>273</v>
      </c>
      <c r="F2155">
        <f>SUM(E2154:E2159)</f>
        <v>0</v>
      </c>
      <c r="G2155" s="57"/>
    </row>
    <row r="2156" spans="1:7" ht="12.75" x14ac:dyDescent="0.2">
      <c r="A2156" s="3">
        <v>16</v>
      </c>
      <c r="B2156" s="4" t="s">
        <v>44</v>
      </c>
      <c r="C2156" s="3" t="s">
        <v>273</v>
      </c>
      <c r="G2156" s="57"/>
    </row>
    <row r="2157" spans="1:7" ht="12.75" x14ac:dyDescent="0.2">
      <c r="A2157" s="3">
        <v>16</v>
      </c>
      <c r="B2157" s="4" t="s">
        <v>44</v>
      </c>
      <c r="C2157" s="3" t="s">
        <v>273</v>
      </c>
      <c r="G2157" s="57"/>
    </row>
    <row r="2158" spans="1:7" ht="12.75" x14ac:dyDescent="0.2">
      <c r="A2158" s="3">
        <v>16</v>
      </c>
      <c r="B2158" s="4" t="s">
        <v>44</v>
      </c>
      <c r="C2158" s="3" t="s">
        <v>273</v>
      </c>
      <c r="G2158" s="57"/>
    </row>
    <row r="2159" spans="1:7" ht="12.75" x14ac:dyDescent="0.2">
      <c r="A2159" s="3">
        <v>16</v>
      </c>
      <c r="B2159" s="4" t="s">
        <v>44</v>
      </c>
      <c r="C2159" s="3" t="s">
        <v>273</v>
      </c>
      <c r="G2159" s="57"/>
    </row>
    <row r="2160" spans="1:7" ht="12.75" x14ac:dyDescent="0.2">
      <c r="A2160" s="3">
        <v>16</v>
      </c>
      <c r="B2160" s="4" t="s">
        <v>44</v>
      </c>
      <c r="C2160" s="3" t="s">
        <v>125</v>
      </c>
      <c r="G2160" s="57"/>
    </row>
    <row r="2161" spans="1:7" ht="12.75" x14ac:dyDescent="0.2">
      <c r="A2161" s="3">
        <v>16</v>
      </c>
      <c r="B2161" s="4" t="s">
        <v>44</v>
      </c>
      <c r="C2161" s="3" t="s">
        <v>125</v>
      </c>
      <c r="F2161">
        <f>SUM(E2160:E2165)</f>
        <v>0</v>
      </c>
      <c r="G2161" s="57"/>
    </row>
    <row r="2162" spans="1:7" ht="12.75" x14ac:dyDescent="0.2">
      <c r="A2162" s="3">
        <v>16</v>
      </c>
      <c r="B2162" s="4" t="s">
        <v>44</v>
      </c>
      <c r="C2162" s="3" t="s">
        <v>125</v>
      </c>
      <c r="G2162" s="57"/>
    </row>
    <row r="2163" spans="1:7" ht="12.75" x14ac:dyDescent="0.2">
      <c r="A2163" s="3">
        <v>16</v>
      </c>
      <c r="B2163" s="4" t="s">
        <v>44</v>
      </c>
      <c r="C2163" s="3" t="s">
        <v>125</v>
      </c>
      <c r="G2163" s="57"/>
    </row>
    <row r="2164" spans="1:7" ht="12.75" x14ac:dyDescent="0.2">
      <c r="A2164" s="3">
        <v>16</v>
      </c>
      <c r="B2164" s="4" t="s">
        <v>44</v>
      </c>
      <c r="C2164" s="3" t="s">
        <v>125</v>
      </c>
      <c r="G2164" s="57"/>
    </row>
    <row r="2165" spans="1:7" ht="12.75" x14ac:dyDescent="0.2">
      <c r="A2165" s="3">
        <v>16</v>
      </c>
      <c r="B2165" s="4" t="s">
        <v>44</v>
      </c>
      <c r="C2165" s="3" t="s">
        <v>125</v>
      </c>
      <c r="G2165" s="57"/>
    </row>
    <row r="2166" spans="1:7" ht="12.75" x14ac:dyDescent="0.2">
      <c r="A2166" s="3">
        <v>17</v>
      </c>
      <c r="B2166" s="4" t="s">
        <v>45</v>
      </c>
      <c r="C2166" s="3" t="s">
        <v>347</v>
      </c>
      <c r="G2166" s="57"/>
    </row>
    <row r="2167" spans="1:7" ht="12.75" x14ac:dyDescent="0.2">
      <c r="A2167" s="3">
        <v>17</v>
      </c>
      <c r="B2167" s="4" t="s">
        <v>45</v>
      </c>
      <c r="C2167" s="3" t="s">
        <v>347</v>
      </c>
      <c r="G2167" s="57"/>
    </row>
    <row r="2168" spans="1:7" ht="12.75" x14ac:dyDescent="0.2">
      <c r="A2168" s="3">
        <v>17</v>
      </c>
      <c r="B2168" s="4" t="s">
        <v>45</v>
      </c>
      <c r="C2168" s="3" t="s">
        <v>347</v>
      </c>
      <c r="G2168" s="57"/>
    </row>
    <row r="2169" spans="1:7" ht="12.75" x14ac:dyDescent="0.2">
      <c r="A2169" s="3">
        <v>17</v>
      </c>
      <c r="B2169" s="4" t="s">
        <v>45</v>
      </c>
      <c r="C2169" s="3" t="s">
        <v>347</v>
      </c>
      <c r="F2169">
        <f>SUM(E2166:E2173)</f>
        <v>0</v>
      </c>
      <c r="G2169" s="57"/>
    </row>
    <row r="2170" spans="1:7" ht="12.75" x14ac:dyDescent="0.2">
      <c r="A2170" s="3">
        <v>17</v>
      </c>
      <c r="B2170" s="4" t="s">
        <v>45</v>
      </c>
      <c r="C2170" s="3" t="s">
        <v>347</v>
      </c>
      <c r="G2170" s="59">
        <v>323</v>
      </c>
    </row>
    <row r="2171" spans="1:7" ht="12.75" x14ac:dyDescent="0.2">
      <c r="A2171" s="3">
        <v>17</v>
      </c>
      <c r="B2171" s="4" t="s">
        <v>45</v>
      </c>
      <c r="C2171" s="3" t="s">
        <v>347</v>
      </c>
      <c r="G2171" s="57"/>
    </row>
    <row r="2172" spans="1:7" ht="12.75" x14ac:dyDescent="0.2">
      <c r="A2172" s="3">
        <v>17</v>
      </c>
      <c r="B2172" s="4" t="s">
        <v>45</v>
      </c>
      <c r="C2172" s="3" t="s">
        <v>347</v>
      </c>
      <c r="G2172" s="57"/>
    </row>
    <row r="2173" spans="1:7" ht="12.75" x14ac:dyDescent="0.2">
      <c r="A2173" s="3">
        <v>17</v>
      </c>
      <c r="B2173" s="4" t="s">
        <v>45</v>
      </c>
      <c r="C2173" s="3" t="s">
        <v>347</v>
      </c>
      <c r="G2173" s="57"/>
    </row>
    <row r="2174" spans="1:7" ht="12.75" x14ac:dyDescent="0.2">
      <c r="A2174" s="3">
        <v>17</v>
      </c>
      <c r="B2174" s="4" t="s">
        <v>45</v>
      </c>
      <c r="C2174" s="3" t="s">
        <v>273</v>
      </c>
      <c r="G2174" s="57"/>
    </row>
    <row r="2175" spans="1:7" ht="12.75" x14ac:dyDescent="0.2">
      <c r="A2175" s="3">
        <v>17</v>
      </c>
      <c r="B2175" s="4" t="s">
        <v>45</v>
      </c>
      <c r="C2175" s="3" t="s">
        <v>273</v>
      </c>
      <c r="F2175">
        <f>SUM(E2174:E2179)</f>
        <v>0</v>
      </c>
      <c r="G2175" s="57"/>
    </row>
    <row r="2176" spans="1:7" ht="12.75" x14ac:dyDescent="0.2">
      <c r="A2176" s="3">
        <v>17</v>
      </c>
      <c r="B2176" s="4" t="s">
        <v>45</v>
      </c>
      <c r="C2176" s="3" t="s">
        <v>273</v>
      </c>
      <c r="G2176" s="57"/>
    </row>
    <row r="2177" spans="1:7" ht="12.75" x14ac:dyDescent="0.2">
      <c r="A2177" s="3">
        <v>17</v>
      </c>
      <c r="B2177" s="4" t="s">
        <v>45</v>
      </c>
      <c r="C2177" s="3" t="s">
        <v>273</v>
      </c>
      <c r="G2177" s="57"/>
    </row>
    <row r="2178" spans="1:7" ht="12.75" x14ac:dyDescent="0.2">
      <c r="A2178" s="3">
        <v>17</v>
      </c>
      <c r="B2178" s="4" t="s">
        <v>45</v>
      </c>
      <c r="C2178" s="3" t="s">
        <v>273</v>
      </c>
      <c r="G2178" s="57"/>
    </row>
    <row r="2179" spans="1:7" ht="12.75" x14ac:dyDescent="0.2">
      <c r="A2179" s="3">
        <v>17</v>
      </c>
      <c r="B2179" s="4" t="s">
        <v>45</v>
      </c>
      <c r="C2179" s="3" t="s">
        <v>273</v>
      </c>
      <c r="G2179" s="57"/>
    </row>
    <row r="2180" spans="1:7" ht="12.75" x14ac:dyDescent="0.2">
      <c r="A2180" s="3">
        <v>17</v>
      </c>
      <c r="B2180" s="4" t="s">
        <v>45</v>
      </c>
      <c r="C2180" s="3" t="s">
        <v>125</v>
      </c>
      <c r="G2180" s="57"/>
    </row>
    <row r="2181" spans="1:7" ht="12.75" x14ac:dyDescent="0.2">
      <c r="A2181" s="3">
        <v>17</v>
      </c>
      <c r="B2181" s="4" t="s">
        <v>45</v>
      </c>
      <c r="C2181" s="3" t="s">
        <v>125</v>
      </c>
      <c r="F2181">
        <f>SUM(E2180:E2185)</f>
        <v>0</v>
      </c>
      <c r="G2181" s="57"/>
    </row>
    <row r="2182" spans="1:7" ht="12.75" x14ac:dyDescent="0.2">
      <c r="A2182" s="3">
        <v>17</v>
      </c>
      <c r="B2182" s="4" t="s">
        <v>45</v>
      </c>
      <c r="C2182" s="3" t="s">
        <v>125</v>
      </c>
      <c r="G2182" s="57"/>
    </row>
    <row r="2183" spans="1:7" ht="12.75" x14ac:dyDescent="0.2">
      <c r="A2183" s="3">
        <v>17</v>
      </c>
      <c r="B2183" s="4" t="s">
        <v>45</v>
      </c>
      <c r="C2183" s="3" t="s">
        <v>125</v>
      </c>
      <c r="G2183" s="57"/>
    </row>
    <row r="2184" spans="1:7" ht="12.75" x14ac:dyDescent="0.2">
      <c r="A2184" s="3">
        <v>17</v>
      </c>
      <c r="B2184" s="4" t="s">
        <v>45</v>
      </c>
      <c r="C2184" s="3" t="s">
        <v>125</v>
      </c>
      <c r="G2184" s="57"/>
    </row>
    <row r="2185" spans="1:7" ht="12.75" x14ac:dyDescent="0.2">
      <c r="A2185" s="3">
        <v>17</v>
      </c>
      <c r="B2185" s="4" t="s">
        <v>45</v>
      </c>
      <c r="C2185" s="3" t="s">
        <v>125</v>
      </c>
      <c r="G2185" s="57"/>
    </row>
    <row r="2186" spans="1:7" ht="12.75" x14ac:dyDescent="0.2">
      <c r="A2186" s="3">
        <v>18</v>
      </c>
      <c r="B2186" s="4" t="s">
        <v>46</v>
      </c>
      <c r="C2186" s="3" t="s">
        <v>347</v>
      </c>
      <c r="G2186" s="57"/>
    </row>
    <row r="2187" spans="1:7" ht="12.75" x14ac:dyDescent="0.2">
      <c r="A2187" s="3">
        <v>18</v>
      </c>
      <c r="B2187" s="4" t="s">
        <v>46</v>
      </c>
      <c r="C2187" s="3" t="s">
        <v>347</v>
      </c>
      <c r="G2187" s="57"/>
    </row>
    <row r="2188" spans="1:7" ht="12.75" x14ac:dyDescent="0.2">
      <c r="A2188" s="3">
        <v>18</v>
      </c>
      <c r="B2188" s="4" t="s">
        <v>46</v>
      </c>
      <c r="C2188" s="3" t="s">
        <v>347</v>
      </c>
      <c r="G2188" s="57"/>
    </row>
    <row r="2189" spans="1:7" ht="12.75" x14ac:dyDescent="0.2">
      <c r="A2189" s="3">
        <v>18</v>
      </c>
      <c r="B2189" s="4" t="s">
        <v>46</v>
      </c>
      <c r="C2189" s="3" t="s">
        <v>347</v>
      </c>
      <c r="F2189">
        <f>SUM(E2186:E2193)</f>
        <v>0</v>
      </c>
      <c r="G2189" s="57"/>
    </row>
    <row r="2190" spans="1:7" ht="12.75" x14ac:dyDescent="0.2">
      <c r="A2190" s="3">
        <v>18</v>
      </c>
      <c r="B2190" s="4" t="s">
        <v>46</v>
      </c>
      <c r="C2190" s="3" t="s">
        <v>347</v>
      </c>
      <c r="G2190" s="59">
        <v>701</v>
      </c>
    </row>
    <row r="2191" spans="1:7" ht="12.75" x14ac:dyDescent="0.2">
      <c r="A2191" s="3">
        <v>18</v>
      </c>
      <c r="B2191" s="4" t="s">
        <v>46</v>
      </c>
      <c r="C2191" s="3" t="s">
        <v>347</v>
      </c>
      <c r="G2191" s="57"/>
    </row>
    <row r="2192" spans="1:7" ht="12.75" x14ac:dyDescent="0.2">
      <c r="A2192" s="3">
        <v>18</v>
      </c>
      <c r="B2192" s="4" t="s">
        <v>46</v>
      </c>
      <c r="C2192" s="3" t="s">
        <v>347</v>
      </c>
      <c r="G2192" s="57"/>
    </row>
    <row r="2193" spans="1:7" ht="12.75" x14ac:dyDescent="0.2">
      <c r="A2193" s="3">
        <v>18</v>
      </c>
      <c r="B2193" s="4" t="s">
        <v>46</v>
      </c>
      <c r="C2193" s="3" t="s">
        <v>347</v>
      </c>
      <c r="G2193" s="57"/>
    </row>
    <row r="2194" spans="1:7" ht="12.75" x14ac:dyDescent="0.2">
      <c r="A2194" s="3">
        <v>18</v>
      </c>
      <c r="B2194" s="4" t="s">
        <v>46</v>
      </c>
      <c r="C2194" s="3" t="s">
        <v>273</v>
      </c>
      <c r="G2194" s="57"/>
    </row>
    <row r="2195" spans="1:7" ht="12.75" x14ac:dyDescent="0.2">
      <c r="A2195" s="3">
        <v>18</v>
      </c>
      <c r="B2195" s="4" t="s">
        <v>46</v>
      </c>
      <c r="C2195" s="3" t="s">
        <v>273</v>
      </c>
      <c r="F2195">
        <f>SUM(E2194:E2199)</f>
        <v>0</v>
      </c>
      <c r="G2195" s="57"/>
    </row>
    <row r="2196" spans="1:7" ht="12.75" x14ac:dyDescent="0.2">
      <c r="A2196" s="3">
        <v>18</v>
      </c>
      <c r="B2196" s="4" t="s">
        <v>46</v>
      </c>
      <c r="C2196" s="3" t="s">
        <v>273</v>
      </c>
      <c r="G2196" s="57"/>
    </row>
    <row r="2197" spans="1:7" ht="12.75" x14ac:dyDescent="0.2">
      <c r="A2197" s="3">
        <v>18</v>
      </c>
      <c r="B2197" s="4" t="s">
        <v>46</v>
      </c>
      <c r="C2197" s="3" t="s">
        <v>273</v>
      </c>
      <c r="G2197" s="57"/>
    </row>
    <row r="2198" spans="1:7" ht="12.75" x14ac:dyDescent="0.2">
      <c r="A2198" s="3">
        <v>18</v>
      </c>
      <c r="B2198" s="4" t="s">
        <v>46</v>
      </c>
      <c r="C2198" s="3" t="s">
        <v>273</v>
      </c>
      <c r="G2198" s="57"/>
    </row>
    <row r="2199" spans="1:7" ht="12.75" x14ac:dyDescent="0.2">
      <c r="A2199" s="3">
        <v>18</v>
      </c>
      <c r="B2199" s="4" t="s">
        <v>46</v>
      </c>
      <c r="C2199" s="3" t="s">
        <v>273</v>
      </c>
      <c r="G2199" s="57"/>
    </row>
    <row r="2200" spans="1:7" ht="12.75" x14ac:dyDescent="0.2">
      <c r="A2200" s="3">
        <v>18</v>
      </c>
      <c r="B2200" s="4" t="s">
        <v>46</v>
      </c>
      <c r="C2200" s="3" t="s">
        <v>125</v>
      </c>
      <c r="G2200" s="57"/>
    </row>
    <row r="2201" spans="1:7" ht="12.75" x14ac:dyDescent="0.2">
      <c r="A2201" s="3">
        <v>18</v>
      </c>
      <c r="B2201" s="4" t="s">
        <v>46</v>
      </c>
      <c r="C2201" s="3" t="s">
        <v>125</v>
      </c>
      <c r="F2201">
        <f>SUM(E2200:E2205)</f>
        <v>0</v>
      </c>
      <c r="G2201" s="57"/>
    </row>
    <row r="2202" spans="1:7" ht="12.75" x14ac:dyDescent="0.2">
      <c r="A2202" s="3">
        <v>18</v>
      </c>
      <c r="B2202" s="4" t="s">
        <v>46</v>
      </c>
      <c r="C2202" s="3" t="s">
        <v>125</v>
      </c>
      <c r="G2202" s="57"/>
    </row>
    <row r="2203" spans="1:7" ht="12.75" x14ac:dyDescent="0.2">
      <c r="A2203" s="3">
        <v>18</v>
      </c>
      <c r="B2203" s="4" t="s">
        <v>46</v>
      </c>
      <c r="C2203" s="3" t="s">
        <v>125</v>
      </c>
      <c r="G2203" s="57"/>
    </row>
    <row r="2204" spans="1:7" ht="12.75" x14ac:dyDescent="0.2">
      <c r="A2204" s="3">
        <v>18</v>
      </c>
      <c r="B2204" s="4" t="s">
        <v>46</v>
      </c>
      <c r="C2204" s="3" t="s">
        <v>125</v>
      </c>
      <c r="G2204" s="57"/>
    </row>
    <row r="2205" spans="1:7" ht="12.75" x14ac:dyDescent="0.2">
      <c r="A2205" s="3">
        <v>18</v>
      </c>
      <c r="B2205" s="4" t="s">
        <v>46</v>
      </c>
      <c r="C2205" s="3" t="s">
        <v>125</v>
      </c>
      <c r="G2205" s="57"/>
    </row>
    <row r="2206" spans="1:7" ht="12.75" x14ac:dyDescent="0.2">
      <c r="A2206" s="3">
        <v>19</v>
      </c>
      <c r="B2206" s="4" t="s">
        <v>47</v>
      </c>
      <c r="C2206" s="3" t="s">
        <v>347</v>
      </c>
      <c r="G2206" s="57"/>
    </row>
    <row r="2207" spans="1:7" ht="12.75" x14ac:dyDescent="0.2">
      <c r="A2207" s="3">
        <v>19</v>
      </c>
      <c r="B2207" s="4" t="s">
        <v>47</v>
      </c>
      <c r="C2207" s="3" t="s">
        <v>347</v>
      </c>
      <c r="G2207" s="57"/>
    </row>
    <row r="2208" spans="1:7" ht="12.75" x14ac:dyDescent="0.2">
      <c r="A2208" s="3">
        <v>19</v>
      </c>
      <c r="B2208" s="4" t="s">
        <v>47</v>
      </c>
      <c r="C2208" s="3" t="s">
        <v>347</v>
      </c>
      <c r="G2208" s="57"/>
    </row>
    <row r="2209" spans="1:7" ht="12.75" x14ac:dyDescent="0.2">
      <c r="A2209" s="3">
        <v>19</v>
      </c>
      <c r="B2209" s="4" t="s">
        <v>47</v>
      </c>
      <c r="C2209" s="3" t="s">
        <v>347</v>
      </c>
      <c r="F2209">
        <f>SUM(E2206:E2213)</f>
        <v>0</v>
      </c>
      <c r="G2209" s="57"/>
    </row>
    <row r="2210" spans="1:7" ht="12.75" x14ac:dyDescent="0.2">
      <c r="A2210" s="3">
        <v>19</v>
      </c>
      <c r="B2210" s="4" t="s">
        <v>47</v>
      </c>
      <c r="C2210" s="3" t="s">
        <v>347</v>
      </c>
      <c r="G2210" s="59">
        <v>646</v>
      </c>
    </row>
    <row r="2211" spans="1:7" ht="12.75" x14ac:dyDescent="0.2">
      <c r="A2211" s="3">
        <v>19</v>
      </c>
      <c r="B2211" s="4" t="s">
        <v>47</v>
      </c>
      <c r="C2211" s="3" t="s">
        <v>347</v>
      </c>
      <c r="G2211" s="57"/>
    </row>
    <row r="2212" spans="1:7" ht="12.75" x14ac:dyDescent="0.2">
      <c r="A2212" s="3">
        <v>19</v>
      </c>
      <c r="B2212" s="4" t="s">
        <v>47</v>
      </c>
      <c r="C2212" s="3" t="s">
        <v>347</v>
      </c>
      <c r="G2212" s="57"/>
    </row>
    <row r="2213" spans="1:7" ht="12.75" x14ac:dyDescent="0.2">
      <c r="A2213" s="3">
        <v>19</v>
      </c>
      <c r="B2213" s="4" t="s">
        <v>47</v>
      </c>
      <c r="C2213" s="3" t="s">
        <v>347</v>
      </c>
      <c r="G2213" s="57"/>
    </row>
    <row r="2214" spans="1:7" ht="12.75" x14ac:dyDescent="0.2">
      <c r="A2214" s="3">
        <v>19</v>
      </c>
      <c r="B2214" s="4" t="s">
        <v>47</v>
      </c>
      <c r="C2214" s="3" t="s">
        <v>273</v>
      </c>
      <c r="G2214" s="57"/>
    </row>
    <row r="2215" spans="1:7" ht="12.75" x14ac:dyDescent="0.2">
      <c r="A2215" s="3">
        <v>19</v>
      </c>
      <c r="B2215" s="4" t="s">
        <v>47</v>
      </c>
      <c r="C2215" s="3" t="s">
        <v>273</v>
      </c>
      <c r="F2215">
        <f>SUM(E2214:E2219)</f>
        <v>0</v>
      </c>
      <c r="G2215" s="57"/>
    </row>
    <row r="2216" spans="1:7" ht="12.75" x14ac:dyDescent="0.2">
      <c r="A2216" s="3">
        <v>19</v>
      </c>
      <c r="B2216" s="4" t="s">
        <v>47</v>
      </c>
      <c r="C2216" s="3" t="s">
        <v>273</v>
      </c>
      <c r="G2216" s="57"/>
    </row>
    <row r="2217" spans="1:7" ht="12.75" x14ac:dyDescent="0.2">
      <c r="A2217" s="3">
        <v>19</v>
      </c>
      <c r="B2217" s="4" t="s">
        <v>47</v>
      </c>
      <c r="C2217" s="3" t="s">
        <v>273</v>
      </c>
      <c r="G2217" s="57"/>
    </row>
    <row r="2218" spans="1:7" ht="12.75" x14ac:dyDescent="0.2">
      <c r="A2218" s="3">
        <v>19</v>
      </c>
      <c r="B2218" s="4" t="s">
        <v>47</v>
      </c>
      <c r="C2218" s="3" t="s">
        <v>273</v>
      </c>
      <c r="G2218" s="57"/>
    </row>
    <row r="2219" spans="1:7" ht="12.75" x14ac:dyDescent="0.2">
      <c r="A2219" s="3">
        <v>19</v>
      </c>
      <c r="B2219" s="4" t="s">
        <v>47</v>
      </c>
      <c r="C2219" s="3" t="s">
        <v>273</v>
      </c>
      <c r="G2219" s="57"/>
    </row>
    <row r="2220" spans="1:7" ht="12.75" x14ac:dyDescent="0.2">
      <c r="A2220" s="3">
        <v>19</v>
      </c>
      <c r="B2220" s="4" t="s">
        <v>47</v>
      </c>
      <c r="C2220" s="3" t="s">
        <v>125</v>
      </c>
      <c r="G2220" s="57"/>
    </row>
    <row r="2221" spans="1:7" ht="12.75" x14ac:dyDescent="0.2">
      <c r="A2221" s="3">
        <v>19</v>
      </c>
      <c r="B2221" s="4" t="s">
        <v>47</v>
      </c>
      <c r="C2221" s="3" t="s">
        <v>125</v>
      </c>
      <c r="F2221">
        <f>SUM(E2220:E2225)</f>
        <v>0</v>
      </c>
      <c r="G2221" s="57"/>
    </row>
    <row r="2222" spans="1:7" ht="12.75" x14ac:dyDescent="0.2">
      <c r="A2222" s="3">
        <v>19</v>
      </c>
      <c r="B2222" s="4" t="s">
        <v>47</v>
      </c>
      <c r="C2222" s="3" t="s">
        <v>125</v>
      </c>
      <c r="G2222" s="57"/>
    </row>
    <row r="2223" spans="1:7" ht="12.75" x14ac:dyDescent="0.2">
      <c r="A2223" s="3">
        <v>19</v>
      </c>
      <c r="B2223" s="4" t="s">
        <v>47</v>
      </c>
      <c r="C2223" s="3" t="s">
        <v>125</v>
      </c>
      <c r="G2223" s="57"/>
    </row>
    <row r="2224" spans="1:7" ht="12.75" x14ac:dyDescent="0.2">
      <c r="A2224" s="3">
        <v>19</v>
      </c>
      <c r="B2224" s="4" t="s">
        <v>47</v>
      </c>
      <c r="C2224" s="3" t="s">
        <v>125</v>
      </c>
      <c r="G2224" s="57"/>
    </row>
    <row r="2225" spans="1:7" ht="12.75" x14ac:dyDescent="0.2">
      <c r="A2225" s="3">
        <v>19</v>
      </c>
      <c r="B2225" s="4" t="s">
        <v>47</v>
      </c>
      <c r="C2225" s="3" t="s">
        <v>125</v>
      </c>
      <c r="G2225" s="57"/>
    </row>
    <row r="2226" spans="1:7" ht="12.75" x14ac:dyDescent="0.2">
      <c r="A2226" s="2" t="s">
        <v>48</v>
      </c>
      <c r="B2226" s="4" t="s">
        <v>49</v>
      </c>
      <c r="C2226" s="3" t="s">
        <v>347</v>
      </c>
      <c r="G2226" s="57"/>
    </row>
    <row r="2227" spans="1:7" ht="12.75" x14ac:dyDescent="0.2">
      <c r="A2227" s="2" t="s">
        <v>48</v>
      </c>
      <c r="B2227" s="4" t="s">
        <v>49</v>
      </c>
      <c r="C2227" s="3" t="s">
        <v>347</v>
      </c>
      <c r="G2227" s="57"/>
    </row>
    <row r="2228" spans="1:7" ht="12.75" x14ac:dyDescent="0.2">
      <c r="A2228" s="2" t="s">
        <v>48</v>
      </c>
      <c r="B2228" s="4" t="s">
        <v>49</v>
      </c>
      <c r="C2228" s="3" t="s">
        <v>347</v>
      </c>
      <c r="G2228" s="57"/>
    </row>
    <row r="2229" spans="1:7" ht="12.75" x14ac:dyDescent="0.2">
      <c r="A2229" s="2" t="s">
        <v>48</v>
      </c>
      <c r="B2229" s="4" t="s">
        <v>49</v>
      </c>
      <c r="C2229" s="3" t="s">
        <v>347</v>
      </c>
      <c r="F2229">
        <f>SUM(E2226:E2233)</f>
        <v>0</v>
      </c>
      <c r="G2229" s="57"/>
    </row>
    <row r="2230" spans="1:7" ht="12.75" x14ac:dyDescent="0.2">
      <c r="A2230" s="2" t="s">
        <v>48</v>
      </c>
      <c r="B2230" s="4" t="s">
        <v>49</v>
      </c>
      <c r="C2230" s="3" t="s">
        <v>347</v>
      </c>
      <c r="G2230" s="59">
        <v>429</v>
      </c>
    </row>
    <row r="2231" spans="1:7" ht="12.75" x14ac:dyDescent="0.2">
      <c r="A2231" s="2" t="s">
        <v>48</v>
      </c>
      <c r="B2231" s="4" t="s">
        <v>49</v>
      </c>
      <c r="C2231" s="3" t="s">
        <v>347</v>
      </c>
      <c r="G2231" s="57"/>
    </row>
    <row r="2232" spans="1:7" ht="12.75" x14ac:dyDescent="0.2">
      <c r="A2232" s="2" t="s">
        <v>48</v>
      </c>
      <c r="B2232" s="4" t="s">
        <v>49</v>
      </c>
      <c r="C2232" s="3" t="s">
        <v>347</v>
      </c>
      <c r="G2232" s="57"/>
    </row>
    <row r="2233" spans="1:7" ht="12.75" x14ac:dyDescent="0.2">
      <c r="A2233" s="2" t="s">
        <v>48</v>
      </c>
      <c r="B2233" s="4" t="s">
        <v>49</v>
      </c>
      <c r="C2233" s="3" t="s">
        <v>347</v>
      </c>
      <c r="G2233" s="57"/>
    </row>
    <row r="2234" spans="1:7" ht="12.75" x14ac:dyDescent="0.2">
      <c r="A2234" s="2" t="s">
        <v>48</v>
      </c>
      <c r="B2234" s="4" t="s">
        <v>49</v>
      </c>
      <c r="C2234" s="3" t="s">
        <v>273</v>
      </c>
      <c r="G2234" s="57"/>
    </row>
    <row r="2235" spans="1:7" ht="12.75" x14ac:dyDescent="0.2">
      <c r="A2235" s="2" t="s">
        <v>48</v>
      </c>
      <c r="B2235" s="4" t="s">
        <v>49</v>
      </c>
      <c r="C2235" s="3" t="s">
        <v>273</v>
      </c>
      <c r="F2235">
        <f>SUM(E2234:E2239)</f>
        <v>0</v>
      </c>
      <c r="G2235" s="57"/>
    </row>
    <row r="2236" spans="1:7" ht="12.75" x14ac:dyDescent="0.2">
      <c r="A2236" s="2" t="s">
        <v>48</v>
      </c>
      <c r="B2236" s="4" t="s">
        <v>49</v>
      </c>
      <c r="C2236" s="3" t="s">
        <v>273</v>
      </c>
      <c r="G2236" s="57"/>
    </row>
    <row r="2237" spans="1:7" ht="12.75" x14ac:dyDescent="0.2">
      <c r="A2237" s="2" t="s">
        <v>48</v>
      </c>
      <c r="B2237" s="4" t="s">
        <v>49</v>
      </c>
      <c r="C2237" s="3" t="s">
        <v>273</v>
      </c>
      <c r="G2237" s="57"/>
    </row>
    <row r="2238" spans="1:7" ht="12.75" x14ac:dyDescent="0.2">
      <c r="A2238" s="2" t="s">
        <v>48</v>
      </c>
      <c r="B2238" s="4" t="s">
        <v>49</v>
      </c>
      <c r="C2238" s="3" t="s">
        <v>273</v>
      </c>
      <c r="G2238" s="57"/>
    </row>
    <row r="2239" spans="1:7" ht="12.75" x14ac:dyDescent="0.2">
      <c r="A2239" s="2" t="s">
        <v>48</v>
      </c>
      <c r="B2239" s="4" t="s">
        <v>49</v>
      </c>
      <c r="C2239" s="3" t="s">
        <v>273</v>
      </c>
      <c r="G2239" s="57"/>
    </row>
    <row r="2240" spans="1:7" ht="12.75" x14ac:dyDescent="0.2">
      <c r="A2240" s="2" t="s">
        <v>48</v>
      </c>
      <c r="B2240" s="4" t="s">
        <v>49</v>
      </c>
      <c r="C2240" s="3" t="s">
        <v>125</v>
      </c>
      <c r="G2240" s="57"/>
    </row>
    <row r="2241" spans="1:7" ht="12.75" x14ac:dyDescent="0.2">
      <c r="A2241" s="2" t="s">
        <v>48</v>
      </c>
      <c r="B2241" s="4" t="s">
        <v>49</v>
      </c>
      <c r="C2241" s="3" t="s">
        <v>125</v>
      </c>
      <c r="F2241">
        <f>SUM(E2240:E2245)</f>
        <v>0</v>
      </c>
      <c r="G2241" s="57"/>
    </row>
    <row r="2242" spans="1:7" ht="12.75" x14ac:dyDescent="0.2">
      <c r="A2242" s="2" t="s">
        <v>48</v>
      </c>
      <c r="B2242" s="4" t="s">
        <v>49</v>
      </c>
      <c r="C2242" s="3" t="s">
        <v>125</v>
      </c>
      <c r="G2242" s="57"/>
    </row>
    <row r="2243" spans="1:7" ht="12.75" x14ac:dyDescent="0.2">
      <c r="A2243" s="2" t="s">
        <v>48</v>
      </c>
      <c r="B2243" s="4" t="s">
        <v>49</v>
      </c>
      <c r="C2243" s="3" t="s">
        <v>125</v>
      </c>
      <c r="G2243" s="57"/>
    </row>
    <row r="2244" spans="1:7" ht="12.75" x14ac:dyDescent="0.2">
      <c r="A2244" s="2" t="s">
        <v>48</v>
      </c>
      <c r="B2244" s="4" t="s">
        <v>49</v>
      </c>
      <c r="C2244" s="3" t="s">
        <v>125</v>
      </c>
      <c r="G2244" s="57"/>
    </row>
    <row r="2245" spans="1:7" ht="12.75" x14ac:dyDescent="0.2">
      <c r="A2245" s="2" t="s">
        <v>48</v>
      </c>
      <c r="B2245" s="4" t="s">
        <v>49</v>
      </c>
      <c r="C2245" s="3" t="s">
        <v>125</v>
      </c>
      <c r="G2245" s="57"/>
    </row>
    <row r="2246" spans="1:7" ht="12.75" x14ac:dyDescent="0.2">
      <c r="A2246" s="3">
        <v>20</v>
      </c>
      <c r="B2246" s="4" t="s">
        <v>50</v>
      </c>
      <c r="C2246" s="3" t="s">
        <v>347</v>
      </c>
      <c r="G2246" s="57"/>
    </row>
    <row r="2247" spans="1:7" ht="12.75" x14ac:dyDescent="0.2">
      <c r="A2247" s="3">
        <v>20</v>
      </c>
      <c r="B2247" s="4" t="s">
        <v>50</v>
      </c>
      <c r="C2247" s="3" t="s">
        <v>347</v>
      </c>
      <c r="G2247" s="57"/>
    </row>
    <row r="2248" spans="1:7" ht="12.75" x14ac:dyDescent="0.2">
      <c r="A2248" s="3">
        <v>20</v>
      </c>
      <c r="B2248" s="4" t="s">
        <v>50</v>
      </c>
      <c r="C2248" s="3" t="s">
        <v>347</v>
      </c>
      <c r="G2248" s="57"/>
    </row>
    <row r="2249" spans="1:7" ht="12.75" x14ac:dyDescent="0.2">
      <c r="A2249" s="3">
        <v>20</v>
      </c>
      <c r="B2249" s="4" t="s">
        <v>50</v>
      </c>
      <c r="C2249" s="3" t="s">
        <v>347</v>
      </c>
      <c r="F2249">
        <f>SUM(E2246:E2253)</f>
        <v>0</v>
      </c>
      <c r="G2249" s="57"/>
    </row>
    <row r="2250" spans="1:7" ht="12.75" x14ac:dyDescent="0.2">
      <c r="A2250" s="3">
        <v>20</v>
      </c>
      <c r="B2250" s="4" t="s">
        <v>50</v>
      </c>
      <c r="C2250" s="3" t="s">
        <v>347</v>
      </c>
      <c r="G2250" s="59">
        <v>773</v>
      </c>
    </row>
    <row r="2251" spans="1:7" ht="12.75" x14ac:dyDescent="0.2">
      <c r="A2251" s="3">
        <v>20</v>
      </c>
      <c r="B2251" s="4" t="s">
        <v>50</v>
      </c>
      <c r="C2251" s="3" t="s">
        <v>347</v>
      </c>
      <c r="G2251" s="57"/>
    </row>
    <row r="2252" spans="1:7" ht="12.75" x14ac:dyDescent="0.2">
      <c r="A2252" s="3">
        <v>20</v>
      </c>
      <c r="B2252" s="4" t="s">
        <v>50</v>
      </c>
      <c r="C2252" s="3" t="s">
        <v>347</v>
      </c>
      <c r="G2252" s="57"/>
    </row>
    <row r="2253" spans="1:7" ht="12.75" x14ac:dyDescent="0.2">
      <c r="A2253" s="3">
        <v>20</v>
      </c>
      <c r="B2253" s="4" t="s">
        <v>50</v>
      </c>
      <c r="C2253" s="3" t="s">
        <v>347</v>
      </c>
      <c r="G2253" s="57"/>
    </row>
    <row r="2254" spans="1:7" ht="12.75" x14ac:dyDescent="0.2">
      <c r="A2254" s="3">
        <v>20</v>
      </c>
      <c r="B2254" s="4" t="s">
        <v>50</v>
      </c>
      <c r="C2254" s="3" t="s">
        <v>273</v>
      </c>
      <c r="G2254" s="57"/>
    </row>
    <row r="2255" spans="1:7" ht="12.75" x14ac:dyDescent="0.2">
      <c r="A2255" s="3">
        <v>20</v>
      </c>
      <c r="B2255" s="4" t="s">
        <v>50</v>
      </c>
      <c r="C2255" s="3" t="s">
        <v>273</v>
      </c>
      <c r="F2255">
        <f>SUM(E2254:E2259)</f>
        <v>0</v>
      </c>
      <c r="G2255" s="57"/>
    </row>
    <row r="2256" spans="1:7" ht="12.75" x14ac:dyDescent="0.2">
      <c r="A2256" s="3">
        <v>20</v>
      </c>
      <c r="B2256" s="4" t="s">
        <v>50</v>
      </c>
      <c r="C2256" s="3" t="s">
        <v>273</v>
      </c>
      <c r="G2256" s="57"/>
    </row>
    <row r="2257" spans="1:7" ht="12.75" x14ac:dyDescent="0.2">
      <c r="A2257" s="3">
        <v>20</v>
      </c>
      <c r="B2257" s="4" t="s">
        <v>50</v>
      </c>
      <c r="C2257" s="3" t="s">
        <v>273</v>
      </c>
      <c r="G2257" s="57"/>
    </row>
    <row r="2258" spans="1:7" ht="12.75" x14ac:dyDescent="0.2">
      <c r="A2258" s="3">
        <v>20</v>
      </c>
      <c r="B2258" s="4" t="s">
        <v>50</v>
      </c>
      <c r="C2258" s="3" t="s">
        <v>273</v>
      </c>
      <c r="G2258" s="57"/>
    </row>
    <row r="2259" spans="1:7" ht="12.75" x14ac:dyDescent="0.2">
      <c r="A2259" s="3">
        <v>20</v>
      </c>
      <c r="B2259" s="4" t="s">
        <v>50</v>
      </c>
      <c r="C2259" s="3" t="s">
        <v>273</v>
      </c>
      <c r="G2259" s="57"/>
    </row>
    <row r="2260" spans="1:7" ht="12.75" x14ac:dyDescent="0.2">
      <c r="A2260" s="3">
        <v>20</v>
      </c>
      <c r="B2260" s="4" t="s">
        <v>50</v>
      </c>
      <c r="C2260" s="3" t="s">
        <v>125</v>
      </c>
      <c r="G2260" s="57"/>
    </row>
    <row r="2261" spans="1:7" ht="12.75" x14ac:dyDescent="0.2">
      <c r="A2261" s="3">
        <v>20</v>
      </c>
      <c r="B2261" s="4" t="s">
        <v>50</v>
      </c>
      <c r="C2261" s="3" t="s">
        <v>125</v>
      </c>
      <c r="F2261">
        <f>SUM(E2260:E2265)</f>
        <v>0</v>
      </c>
      <c r="G2261" s="57"/>
    </row>
    <row r="2262" spans="1:7" ht="12.75" x14ac:dyDescent="0.2">
      <c r="A2262" s="3">
        <v>20</v>
      </c>
      <c r="B2262" s="4" t="s">
        <v>50</v>
      </c>
      <c r="C2262" s="3" t="s">
        <v>125</v>
      </c>
      <c r="G2262" s="57"/>
    </row>
    <row r="2263" spans="1:7" ht="12.75" x14ac:dyDescent="0.2">
      <c r="A2263" s="3">
        <v>20</v>
      </c>
      <c r="B2263" s="4" t="s">
        <v>50</v>
      </c>
      <c r="C2263" s="3" t="s">
        <v>125</v>
      </c>
      <c r="G2263" s="57"/>
    </row>
    <row r="2264" spans="1:7" ht="12.75" x14ac:dyDescent="0.2">
      <c r="A2264" s="3">
        <v>20</v>
      </c>
      <c r="B2264" s="4" t="s">
        <v>50</v>
      </c>
      <c r="C2264" s="3" t="s">
        <v>125</v>
      </c>
      <c r="G2264" s="57"/>
    </row>
    <row r="2265" spans="1:7" ht="12.75" x14ac:dyDescent="0.2">
      <c r="A2265" s="3">
        <v>20</v>
      </c>
      <c r="B2265" s="4" t="s">
        <v>50</v>
      </c>
      <c r="C2265" s="3" t="s">
        <v>125</v>
      </c>
      <c r="G2265" s="57"/>
    </row>
    <row r="2266" spans="1:7" ht="12.75" x14ac:dyDescent="0.2">
      <c r="A2266" s="3">
        <v>21</v>
      </c>
      <c r="B2266" s="4" t="s">
        <v>51</v>
      </c>
      <c r="C2266" s="3" t="s">
        <v>347</v>
      </c>
      <c r="G2266" s="57"/>
    </row>
    <row r="2267" spans="1:7" ht="12.75" x14ac:dyDescent="0.2">
      <c r="A2267" s="3">
        <v>21</v>
      </c>
      <c r="B2267" s="4" t="s">
        <v>51</v>
      </c>
      <c r="C2267" s="3" t="s">
        <v>347</v>
      </c>
      <c r="G2267" s="57"/>
    </row>
    <row r="2268" spans="1:7" ht="12.75" x14ac:dyDescent="0.2">
      <c r="A2268" s="3">
        <v>21</v>
      </c>
      <c r="B2268" s="4" t="s">
        <v>51</v>
      </c>
      <c r="C2268" s="3" t="s">
        <v>347</v>
      </c>
      <c r="G2268" s="57"/>
    </row>
    <row r="2269" spans="1:7" ht="12.75" x14ac:dyDescent="0.2">
      <c r="A2269" s="3">
        <v>21</v>
      </c>
      <c r="B2269" s="4" t="s">
        <v>51</v>
      </c>
      <c r="C2269" s="3" t="s">
        <v>347</v>
      </c>
      <c r="F2269">
        <f>SUM(E2266:E2273)</f>
        <v>0</v>
      </c>
      <c r="G2269" s="57"/>
    </row>
    <row r="2270" spans="1:7" ht="12.75" x14ac:dyDescent="0.2">
      <c r="A2270" s="3">
        <v>21</v>
      </c>
      <c r="B2270" s="4" t="s">
        <v>51</v>
      </c>
      <c r="C2270" s="3" t="s">
        <v>347</v>
      </c>
      <c r="G2270" s="59">
        <v>510</v>
      </c>
    </row>
    <row r="2271" spans="1:7" ht="12.75" x14ac:dyDescent="0.2">
      <c r="A2271" s="3">
        <v>21</v>
      </c>
      <c r="B2271" s="4" t="s">
        <v>51</v>
      </c>
      <c r="C2271" s="3" t="s">
        <v>347</v>
      </c>
      <c r="G2271" s="57"/>
    </row>
    <row r="2272" spans="1:7" ht="12.75" x14ac:dyDescent="0.2">
      <c r="A2272" s="3">
        <v>21</v>
      </c>
      <c r="B2272" s="4" t="s">
        <v>51</v>
      </c>
      <c r="C2272" s="3" t="s">
        <v>347</v>
      </c>
      <c r="G2272" s="57"/>
    </row>
    <row r="2273" spans="1:7" ht="12.75" x14ac:dyDescent="0.2">
      <c r="A2273" s="3">
        <v>21</v>
      </c>
      <c r="B2273" s="4" t="s">
        <v>51</v>
      </c>
      <c r="C2273" s="3" t="s">
        <v>347</v>
      </c>
      <c r="G2273" s="57"/>
    </row>
    <row r="2274" spans="1:7" ht="12.75" x14ac:dyDescent="0.2">
      <c r="A2274" s="3">
        <v>21</v>
      </c>
      <c r="B2274" s="4" t="s">
        <v>51</v>
      </c>
      <c r="C2274" s="3" t="s">
        <v>273</v>
      </c>
      <c r="G2274" s="57"/>
    </row>
    <row r="2275" spans="1:7" ht="12.75" x14ac:dyDescent="0.2">
      <c r="A2275" s="3">
        <v>21</v>
      </c>
      <c r="B2275" s="4" t="s">
        <v>51</v>
      </c>
      <c r="C2275" s="3" t="s">
        <v>273</v>
      </c>
      <c r="F2275">
        <f>SUM(E2274:E2279)</f>
        <v>0</v>
      </c>
      <c r="G2275" s="57"/>
    </row>
    <row r="2276" spans="1:7" ht="12.75" x14ac:dyDescent="0.2">
      <c r="A2276" s="3">
        <v>21</v>
      </c>
      <c r="B2276" s="4" t="s">
        <v>51</v>
      </c>
      <c r="C2276" s="3" t="s">
        <v>273</v>
      </c>
      <c r="G2276" s="57"/>
    </row>
    <row r="2277" spans="1:7" ht="12.75" x14ac:dyDescent="0.2">
      <c r="A2277" s="3">
        <v>21</v>
      </c>
      <c r="B2277" s="4" t="s">
        <v>51</v>
      </c>
      <c r="C2277" s="3" t="s">
        <v>273</v>
      </c>
      <c r="G2277" s="57"/>
    </row>
    <row r="2278" spans="1:7" ht="12.75" x14ac:dyDescent="0.2">
      <c r="A2278" s="3">
        <v>21</v>
      </c>
      <c r="B2278" s="4" t="s">
        <v>51</v>
      </c>
      <c r="C2278" s="3" t="s">
        <v>273</v>
      </c>
      <c r="G2278" s="57"/>
    </row>
    <row r="2279" spans="1:7" ht="12.75" x14ac:dyDescent="0.2">
      <c r="A2279" s="3">
        <v>21</v>
      </c>
      <c r="B2279" s="4" t="s">
        <v>51</v>
      </c>
      <c r="C2279" s="3" t="s">
        <v>273</v>
      </c>
      <c r="G2279" s="57"/>
    </row>
    <row r="2280" spans="1:7" ht="12.75" x14ac:dyDescent="0.2">
      <c r="A2280" s="3">
        <v>21</v>
      </c>
      <c r="B2280" s="4" t="s">
        <v>51</v>
      </c>
      <c r="C2280" s="3" t="s">
        <v>125</v>
      </c>
      <c r="G2280" s="57"/>
    </row>
    <row r="2281" spans="1:7" ht="12.75" x14ac:dyDescent="0.2">
      <c r="A2281" s="3">
        <v>21</v>
      </c>
      <c r="B2281" s="4" t="s">
        <v>51</v>
      </c>
      <c r="C2281" s="3" t="s">
        <v>125</v>
      </c>
      <c r="F2281">
        <f>SUM(E2280:E2285)</f>
        <v>0</v>
      </c>
      <c r="G2281" s="57"/>
    </row>
    <row r="2282" spans="1:7" ht="12.75" x14ac:dyDescent="0.2">
      <c r="A2282" s="3">
        <v>21</v>
      </c>
      <c r="B2282" s="4" t="s">
        <v>51</v>
      </c>
      <c r="C2282" s="3" t="s">
        <v>125</v>
      </c>
      <c r="G2282" s="57"/>
    </row>
    <row r="2283" spans="1:7" ht="12.75" x14ac:dyDescent="0.2">
      <c r="A2283" s="3">
        <v>21</v>
      </c>
      <c r="B2283" s="4" t="s">
        <v>51</v>
      </c>
      <c r="C2283" s="3" t="s">
        <v>125</v>
      </c>
      <c r="G2283" s="57"/>
    </row>
    <row r="2284" spans="1:7" ht="12.75" x14ac:dyDescent="0.2">
      <c r="A2284" s="3">
        <v>21</v>
      </c>
      <c r="B2284" s="4" t="s">
        <v>51</v>
      </c>
      <c r="C2284" s="3" t="s">
        <v>125</v>
      </c>
      <c r="G2284" s="57"/>
    </row>
    <row r="2285" spans="1:7" ht="12.75" x14ac:dyDescent="0.2">
      <c r="A2285" s="3">
        <v>21</v>
      </c>
      <c r="B2285" s="4" t="s">
        <v>51</v>
      </c>
      <c r="C2285" s="3" t="s">
        <v>125</v>
      </c>
      <c r="G2285" s="57"/>
    </row>
    <row r="2286" spans="1:7" ht="12.75" x14ac:dyDescent="0.2">
      <c r="A2286" s="3">
        <v>23</v>
      </c>
      <c r="B2286" s="4" t="s">
        <v>53</v>
      </c>
      <c r="C2286" s="3" t="s">
        <v>347</v>
      </c>
      <c r="G2286" s="57"/>
    </row>
    <row r="2287" spans="1:7" ht="12.75" x14ac:dyDescent="0.2">
      <c r="A2287" s="3">
        <v>23</v>
      </c>
      <c r="B2287" s="4" t="s">
        <v>53</v>
      </c>
      <c r="C2287" s="3" t="s">
        <v>347</v>
      </c>
      <c r="G2287" s="57"/>
    </row>
    <row r="2288" spans="1:7" ht="12.75" x14ac:dyDescent="0.2">
      <c r="A2288" s="3">
        <v>23</v>
      </c>
      <c r="B2288" s="4" t="s">
        <v>53</v>
      </c>
      <c r="C2288" s="3" t="s">
        <v>347</v>
      </c>
      <c r="G2288" s="57"/>
    </row>
    <row r="2289" spans="1:7" ht="12.75" x14ac:dyDescent="0.2">
      <c r="A2289" s="3">
        <v>23</v>
      </c>
      <c r="B2289" s="4" t="s">
        <v>53</v>
      </c>
      <c r="C2289" s="3" t="s">
        <v>347</v>
      </c>
      <c r="F2289">
        <f>SUM(E2286:E2293)</f>
        <v>0</v>
      </c>
      <c r="G2289" s="57"/>
    </row>
    <row r="2290" spans="1:7" ht="12.75" x14ac:dyDescent="0.2">
      <c r="A2290" s="3">
        <v>23</v>
      </c>
      <c r="B2290" s="4" t="s">
        <v>53</v>
      </c>
      <c r="C2290" s="3" t="s">
        <v>347</v>
      </c>
      <c r="G2290" s="59">
        <v>351</v>
      </c>
    </row>
    <row r="2291" spans="1:7" ht="12.75" x14ac:dyDescent="0.2">
      <c r="A2291" s="3">
        <v>23</v>
      </c>
      <c r="B2291" s="4" t="s">
        <v>53</v>
      </c>
      <c r="C2291" s="3" t="s">
        <v>347</v>
      </c>
      <c r="G2291" s="57"/>
    </row>
    <row r="2292" spans="1:7" ht="12.75" x14ac:dyDescent="0.2">
      <c r="A2292" s="3">
        <v>23</v>
      </c>
      <c r="B2292" s="4" t="s">
        <v>53</v>
      </c>
      <c r="C2292" s="3" t="s">
        <v>347</v>
      </c>
      <c r="G2292" s="57"/>
    </row>
    <row r="2293" spans="1:7" ht="12.75" x14ac:dyDescent="0.2">
      <c r="A2293" s="3">
        <v>23</v>
      </c>
      <c r="B2293" s="4" t="s">
        <v>53</v>
      </c>
      <c r="C2293" s="3" t="s">
        <v>347</v>
      </c>
      <c r="G2293" s="57"/>
    </row>
    <row r="2294" spans="1:7" ht="12.75" x14ac:dyDescent="0.2">
      <c r="A2294" s="3">
        <v>23</v>
      </c>
      <c r="B2294" s="4" t="s">
        <v>53</v>
      </c>
      <c r="C2294" s="3" t="s">
        <v>273</v>
      </c>
      <c r="G2294" s="57"/>
    </row>
    <row r="2295" spans="1:7" ht="12.75" x14ac:dyDescent="0.2">
      <c r="A2295" s="3">
        <v>23</v>
      </c>
      <c r="B2295" s="4" t="s">
        <v>53</v>
      </c>
      <c r="C2295" s="3" t="s">
        <v>273</v>
      </c>
      <c r="F2295">
        <f>SUM(E2294:E2299)</f>
        <v>0</v>
      </c>
      <c r="G2295" s="57"/>
    </row>
    <row r="2296" spans="1:7" ht="12.75" x14ac:dyDescent="0.2">
      <c r="A2296" s="3">
        <v>23</v>
      </c>
      <c r="B2296" s="4" t="s">
        <v>53</v>
      </c>
      <c r="C2296" s="3" t="s">
        <v>273</v>
      </c>
      <c r="G2296" s="57"/>
    </row>
    <row r="2297" spans="1:7" ht="12.75" x14ac:dyDescent="0.2">
      <c r="A2297" s="3">
        <v>23</v>
      </c>
      <c r="B2297" s="4" t="s">
        <v>53</v>
      </c>
      <c r="C2297" s="3" t="s">
        <v>273</v>
      </c>
      <c r="G2297" s="57"/>
    </row>
    <row r="2298" spans="1:7" ht="12.75" x14ac:dyDescent="0.2">
      <c r="A2298" s="3">
        <v>23</v>
      </c>
      <c r="B2298" s="4" t="s">
        <v>53</v>
      </c>
      <c r="C2298" s="3" t="s">
        <v>273</v>
      </c>
      <c r="G2298" s="57"/>
    </row>
    <row r="2299" spans="1:7" ht="12.75" x14ac:dyDescent="0.2">
      <c r="A2299" s="3">
        <v>23</v>
      </c>
      <c r="B2299" s="4" t="s">
        <v>53</v>
      </c>
      <c r="C2299" s="3" t="s">
        <v>273</v>
      </c>
      <c r="G2299" s="57"/>
    </row>
    <row r="2300" spans="1:7" ht="12.75" x14ac:dyDescent="0.2">
      <c r="A2300" s="3">
        <v>23</v>
      </c>
      <c r="B2300" s="4" t="s">
        <v>53</v>
      </c>
      <c r="C2300" s="3" t="s">
        <v>125</v>
      </c>
      <c r="G2300" s="57"/>
    </row>
    <row r="2301" spans="1:7" ht="12.75" x14ac:dyDescent="0.2">
      <c r="A2301" s="3">
        <v>23</v>
      </c>
      <c r="B2301" s="4" t="s">
        <v>53</v>
      </c>
      <c r="C2301" s="3" t="s">
        <v>125</v>
      </c>
      <c r="F2301">
        <f>SUM(E2300:E2305)</f>
        <v>0</v>
      </c>
      <c r="G2301" s="57"/>
    </row>
    <row r="2302" spans="1:7" ht="12.75" x14ac:dyDescent="0.2">
      <c r="A2302" s="3">
        <v>23</v>
      </c>
      <c r="B2302" s="4" t="s">
        <v>53</v>
      </c>
      <c r="C2302" s="3" t="s">
        <v>125</v>
      </c>
      <c r="G2302" s="57"/>
    </row>
    <row r="2303" spans="1:7" ht="12.75" x14ac:dyDescent="0.2">
      <c r="A2303" s="3">
        <v>23</v>
      </c>
      <c r="B2303" s="4" t="s">
        <v>53</v>
      </c>
      <c r="C2303" s="3" t="s">
        <v>125</v>
      </c>
      <c r="G2303" s="57"/>
    </row>
    <row r="2304" spans="1:7" ht="12.75" x14ac:dyDescent="0.2">
      <c r="A2304" s="3">
        <v>23</v>
      </c>
      <c r="B2304" s="4" t="s">
        <v>53</v>
      </c>
      <c r="C2304" s="3" t="s">
        <v>125</v>
      </c>
      <c r="G2304" s="57"/>
    </row>
    <row r="2305" spans="1:7" ht="12.75" x14ac:dyDescent="0.2">
      <c r="A2305" s="3">
        <v>23</v>
      </c>
      <c r="B2305" s="4" t="s">
        <v>53</v>
      </c>
      <c r="C2305" s="3" t="s">
        <v>125</v>
      </c>
      <c r="G2305" s="57"/>
    </row>
    <row r="2306" spans="1:7" ht="12.75" x14ac:dyDescent="0.2">
      <c r="A2306" s="3">
        <v>24</v>
      </c>
      <c r="B2306" s="4" t="s">
        <v>54</v>
      </c>
      <c r="C2306" s="3" t="s">
        <v>347</v>
      </c>
      <c r="G2306" s="57"/>
    </row>
    <row r="2307" spans="1:7" ht="12.75" x14ac:dyDescent="0.2">
      <c r="A2307" s="3">
        <v>24</v>
      </c>
      <c r="B2307" s="4" t="s">
        <v>54</v>
      </c>
      <c r="C2307" s="3" t="s">
        <v>347</v>
      </c>
      <c r="G2307" s="57"/>
    </row>
    <row r="2308" spans="1:7" ht="12.75" x14ac:dyDescent="0.2">
      <c r="A2308" s="3">
        <v>24</v>
      </c>
      <c r="B2308" s="4" t="s">
        <v>54</v>
      </c>
      <c r="C2308" s="3" t="s">
        <v>347</v>
      </c>
      <c r="G2308" s="57"/>
    </row>
    <row r="2309" spans="1:7" ht="12.75" x14ac:dyDescent="0.2">
      <c r="A2309" s="3">
        <v>24</v>
      </c>
      <c r="B2309" s="4" t="s">
        <v>54</v>
      </c>
      <c r="C2309" s="3" t="s">
        <v>347</v>
      </c>
      <c r="F2309">
        <f>SUM(E2306:E2313)</f>
        <v>0</v>
      </c>
      <c r="G2309" s="57"/>
    </row>
    <row r="2310" spans="1:7" ht="12.75" x14ac:dyDescent="0.2">
      <c r="A2310" s="3">
        <v>24</v>
      </c>
      <c r="B2310" s="4" t="s">
        <v>54</v>
      </c>
      <c r="C2310" s="3" t="s">
        <v>347</v>
      </c>
      <c r="G2310" s="59">
        <v>531</v>
      </c>
    </row>
    <row r="2311" spans="1:7" ht="12.75" x14ac:dyDescent="0.2">
      <c r="A2311" s="3">
        <v>24</v>
      </c>
      <c r="B2311" s="4" t="s">
        <v>54</v>
      </c>
      <c r="C2311" s="3" t="s">
        <v>347</v>
      </c>
      <c r="G2311" s="57"/>
    </row>
    <row r="2312" spans="1:7" ht="12.75" x14ac:dyDescent="0.2">
      <c r="A2312" s="3">
        <v>24</v>
      </c>
      <c r="B2312" s="4" t="s">
        <v>54</v>
      </c>
      <c r="C2312" s="3" t="s">
        <v>347</v>
      </c>
      <c r="G2312" s="57"/>
    </row>
    <row r="2313" spans="1:7" ht="12.75" x14ac:dyDescent="0.2">
      <c r="A2313" s="3">
        <v>24</v>
      </c>
      <c r="B2313" s="4" t="s">
        <v>54</v>
      </c>
      <c r="C2313" s="3" t="s">
        <v>347</v>
      </c>
      <c r="G2313" s="57"/>
    </row>
    <row r="2314" spans="1:7" ht="12.75" x14ac:dyDescent="0.2">
      <c r="A2314" s="3">
        <v>24</v>
      </c>
      <c r="B2314" s="4" t="s">
        <v>54</v>
      </c>
      <c r="C2314" s="3" t="s">
        <v>273</v>
      </c>
      <c r="G2314" s="57"/>
    </row>
    <row r="2315" spans="1:7" ht="12.75" x14ac:dyDescent="0.2">
      <c r="A2315" s="3">
        <v>24</v>
      </c>
      <c r="B2315" s="4" t="s">
        <v>54</v>
      </c>
      <c r="C2315" s="3" t="s">
        <v>273</v>
      </c>
      <c r="F2315">
        <f>SUM(E2314:E2319)</f>
        <v>0</v>
      </c>
      <c r="G2315" s="57"/>
    </row>
    <row r="2316" spans="1:7" ht="12.75" x14ac:dyDescent="0.2">
      <c r="A2316" s="3">
        <v>24</v>
      </c>
      <c r="B2316" s="4" t="s">
        <v>54</v>
      </c>
      <c r="C2316" s="3" t="s">
        <v>273</v>
      </c>
      <c r="G2316" s="57"/>
    </row>
    <row r="2317" spans="1:7" ht="12.75" x14ac:dyDescent="0.2">
      <c r="A2317" s="3">
        <v>24</v>
      </c>
      <c r="B2317" s="4" t="s">
        <v>54</v>
      </c>
      <c r="C2317" s="3" t="s">
        <v>273</v>
      </c>
      <c r="G2317" s="57"/>
    </row>
    <row r="2318" spans="1:7" ht="12.75" x14ac:dyDescent="0.2">
      <c r="A2318" s="3">
        <v>24</v>
      </c>
      <c r="B2318" s="4" t="s">
        <v>54</v>
      </c>
      <c r="C2318" s="3" t="s">
        <v>273</v>
      </c>
      <c r="G2318" s="57"/>
    </row>
    <row r="2319" spans="1:7" ht="12.75" x14ac:dyDescent="0.2">
      <c r="A2319" s="3">
        <v>24</v>
      </c>
      <c r="B2319" s="4" t="s">
        <v>54</v>
      </c>
      <c r="C2319" s="3" t="s">
        <v>273</v>
      </c>
      <c r="G2319" s="57"/>
    </row>
    <row r="2320" spans="1:7" ht="18" customHeight="1" x14ac:dyDescent="0.2">
      <c r="A2320" s="3">
        <v>24</v>
      </c>
      <c r="B2320" s="4" t="s">
        <v>54</v>
      </c>
      <c r="C2320" s="3" t="s">
        <v>125</v>
      </c>
      <c r="G2320" s="57"/>
    </row>
    <row r="2321" spans="1:7" ht="18" customHeight="1" x14ac:dyDescent="0.2">
      <c r="A2321" s="3">
        <v>24</v>
      </c>
      <c r="B2321" s="4" t="s">
        <v>54</v>
      </c>
      <c r="C2321" s="3" t="s">
        <v>125</v>
      </c>
      <c r="F2321">
        <f>SUM(E2320:E2325)</f>
        <v>0</v>
      </c>
      <c r="G2321" s="57"/>
    </row>
    <row r="2322" spans="1:7" ht="18" customHeight="1" x14ac:dyDescent="0.2">
      <c r="A2322" s="3">
        <v>24</v>
      </c>
      <c r="B2322" s="4" t="s">
        <v>54</v>
      </c>
      <c r="C2322" s="3" t="s">
        <v>125</v>
      </c>
      <c r="G2322" s="57"/>
    </row>
    <row r="2323" spans="1:7" ht="18" customHeight="1" x14ac:dyDescent="0.2">
      <c r="A2323" s="3">
        <v>24</v>
      </c>
      <c r="B2323" s="4" t="s">
        <v>54</v>
      </c>
      <c r="C2323" s="3" t="s">
        <v>125</v>
      </c>
      <c r="G2323" s="57"/>
    </row>
    <row r="2324" spans="1:7" ht="18" customHeight="1" x14ac:dyDescent="0.2">
      <c r="A2324" s="3">
        <v>24</v>
      </c>
      <c r="B2324" s="4" t="s">
        <v>54</v>
      </c>
      <c r="C2324" s="3" t="s">
        <v>125</v>
      </c>
      <c r="G2324" s="57"/>
    </row>
    <row r="2325" spans="1:7" ht="18" customHeight="1" x14ac:dyDescent="0.2">
      <c r="A2325" s="3">
        <v>24</v>
      </c>
      <c r="B2325" s="4" t="s">
        <v>54</v>
      </c>
      <c r="C2325" s="3" t="s">
        <v>125</v>
      </c>
      <c r="G2325" s="57"/>
    </row>
    <row r="2326" spans="1:7" ht="18" customHeight="1" x14ac:dyDescent="0.2">
      <c r="A2326" s="3">
        <v>25</v>
      </c>
      <c r="B2326" s="4" t="s">
        <v>55</v>
      </c>
      <c r="C2326" s="3" t="s">
        <v>347</v>
      </c>
      <c r="G2326" s="57"/>
    </row>
    <row r="2327" spans="1:7" ht="18" customHeight="1" x14ac:dyDescent="0.2">
      <c r="A2327" s="3">
        <v>25</v>
      </c>
      <c r="B2327" s="4" t="s">
        <v>55</v>
      </c>
      <c r="C2327" s="3" t="s">
        <v>347</v>
      </c>
      <c r="G2327" s="57"/>
    </row>
    <row r="2328" spans="1:7" ht="18" customHeight="1" x14ac:dyDescent="0.2">
      <c r="A2328" s="3">
        <v>25</v>
      </c>
      <c r="B2328" s="4" t="s">
        <v>55</v>
      </c>
      <c r="C2328" s="3" t="s">
        <v>347</v>
      </c>
      <c r="G2328" s="57"/>
    </row>
    <row r="2329" spans="1:7" ht="18" customHeight="1" x14ac:dyDescent="0.2">
      <c r="A2329" s="3">
        <v>25</v>
      </c>
      <c r="B2329" s="4" t="s">
        <v>55</v>
      </c>
      <c r="C2329" s="3" t="s">
        <v>347</v>
      </c>
      <c r="F2329">
        <f>SUM(E2326:E2333)</f>
        <v>0</v>
      </c>
      <c r="G2329" s="57"/>
    </row>
    <row r="2330" spans="1:7" ht="18" customHeight="1" x14ac:dyDescent="0.2">
      <c r="A2330" s="3">
        <v>25</v>
      </c>
      <c r="B2330" s="4" t="s">
        <v>55</v>
      </c>
      <c r="C2330" s="3" t="s">
        <v>347</v>
      </c>
      <c r="G2330" s="59">
        <v>244</v>
      </c>
    </row>
    <row r="2331" spans="1:7" ht="18" customHeight="1" x14ac:dyDescent="0.2">
      <c r="A2331" s="3">
        <v>25</v>
      </c>
      <c r="B2331" s="4" t="s">
        <v>55</v>
      </c>
      <c r="C2331" s="3" t="s">
        <v>347</v>
      </c>
      <c r="G2331" s="57"/>
    </row>
    <row r="2332" spans="1:7" ht="12.75" x14ac:dyDescent="0.2">
      <c r="A2332" s="3">
        <v>25</v>
      </c>
      <c r="B2332" s="4" t="s">
        <v>55</v>
      </c>
      <c r="C2332" s="3" t="s">
        <v>347</v>
      </c>
      <c r="G2332" s="57"/>
    </row>
    <row r="2333" spans="1:7" ht="12.75" x14ac:dyDescent="0.2">
      <c r="A2333" s="3">
        <v>25</v>
      </c>
      <c r="B2333" s="4" t="s">
        <v>55</v>
      </c>
      <c r="C2333" s="3" t="s">
        <v>347</v>
      </c>
      <c r="G2333" s="57"/>
    </row>
    <row r="2334" spans="1:7" ht="12.75" x14ac:dyDescent="0.2">
      <c r="A2334" s="3">
        <v>25</v>
      </c>
      <c r="B2334" s="4" t="s">
        <v>55</v>
      </c>
      <c r="C2334" s="3" t="s">
        <v>273</v>
      </c>
      <c r="G2334" s="57"/>
    </row>
    <row r="2335" spans="1:7" ht="12.75" x14ac:dyDescent="0.2">
      <c r="A2335" s="3">
        <v>25</v>
      </c>
      <c r="B2335" s="4" t="s">
        <v>55</v>
      </c>
      <c r="C2335" s="3" t="s">
        <v>273</v>
      </c>
      <c r="F2335">
        <f>SUM(E2334:E2339)</f>
        <v>0</v>
      </c>
      <c r="G2335" s="57"/>
    </row>
    <row r="2336" spans="1:7" ht="12.75" x14ac:dyDescent="0.2">
      <c r="A2336" s="3">
        <v>25</v>
      </c>
      <c r="B2336" s="4" t="s">
        <v>55</v>
      </c>
      <c r="C2336" s="3" t="s">
        <v>273</v>
      </c>
      <c r="G2336" s="57"/>
    </row>
    <row r="2337" spans="1:7" ht="12.75" x14ac:dyDescent="0.2">
      <c r="A2337" s="3">
        <v>25</v>
      </c>
      <c r="B2337" s="4" t="s">
        <v>55</v>
      </c>
      <c r="C2337" s="3" t="s">
        <v>273</v>
      </c>
      <c r="G2337" s="57"/>
    </row>
    <row r="2338" spans="1:7" ht="12.75" x14ac:dyDescent="0.2">
      <c r="A2338" s="3">
        <v>25</v>
      </c>
      <c r="B2338" s="4" t="s">
        <v>55</v>
      </c>
      <c r="C2338" s="3" t="s">
        <v>273</v>
      </c>
      <c r="G2338" s="57"/>
    </row>
    <row r="2339" spans="1:7" ht="12.75" x14ac:dyDescent="0.2">
      <c r="A2339" s="3">
        <v>25</v>
      </c>
      <c r="B2339" s="4" t="s">
        <v>55</v>
      </c>
      <c r="C2339" s="3" t="s">
        <v>273</v>
      </c>
      <c r="G2339" s="57"/>
    </row>
    <row r="2340" spans="1:7" ht="12.75" x14ac:dyDescent="0.2">
      <c r="A2340" s="3">
        <v>25</v>
      </c>
      <c r="B2340" s="4" t="s">
        <v>55</v>
      </c>
      <c r="C2340" s="3" t="s">
        <v>125</v>
      </c>
      <c r="G2340" s="57"/>
    </row>
    <row r="2341" spans="1:7" ht="12.75" x14ac:dyDescent="0.2">
      <c r="A2341" s="3">
        <v>25</v>
      </c>
      <c r="B2341" s="4" t="s">
        <v>55</v>
      </c>
      <c r="C2341" s="3" t="s">
        <v>125</v>
      </c>
      <c r="F2341">
        <f>SUM(E2340:E2345)</f>
        <v>0</v>
      </c>
      <c r="G2341" s="57"/>
    </row>
    <row r="2342" spans="1:7" ht="12.75" x14ac:dyDescent="0.2">
      <c r="A2342" s="3">
        <v>25</v>
      </c>
      <c r="B2342" s="4" t="s">
        <v>55</v>
      </c>
      <c r="C2342" s="3" t="s">
        <v>125</v>
      </c>
      <c r="G2342" s="57"/>
    </row>
    <row r="2343" spans="1:7" ht="12.75" x14ac:dyDescent="0.2">
      <c r="A2343" s="3">
        <v>25</v>
      </c>
      <c r="B2343" s="4" t="s">
        <v>55</v>
      </c>
      <c r="C2343" s="3" t="s">
        <v>125</v>
      </c>
      <c r="G2343" s="57"/>
    </row>
    <row r="2344" spans="1:7" ht="12.75" x14ac:dyDescent="0.2">
      <c r="A2344" s="3">
        <v>25</v>
      </c>
      <c r="B2344" s="4" t="s">
        <v>55</v>
      </c>
      <c r="C2344" s="3" t="s">
        <v>125</v>
      </c>
      <c r="G2344" s="57"/>
    </row>
    <row r="2345" spans="1:7" ht="12.75" x14ac:dyDescent="0.2">
      <c r="A2345" s="3">
        <v>25</v>
      </c>
      <c r="B2345" s="4" t="s">
        <v>55</v>
      </c>
      <c r="C2345" s="3" t="s">
        <v>125</v>
      </c>
      <c r="G2345" s="57"/>
    </row>
    <row r="2346" spans="1:7" ht="12.75" x14ac:dyDescent="0.2">
      <c r="A2346" s="3">
        <v>26</v>
      </c>
      <c r="B2346" s="4" t="s">
        <v>56</v>
      </c>
      <c r="C2346" s="3" t="s">
        <v>347</v>
      </c>
      <c r="G2346" s="57"/>
    </row>
    <row r="2347" spans="1:7" ht="12.75" x14ac:dyDescent="0.2">
      <c r="A2347" s="3">
        <v>26</v>
      </c>
      <c r="B2347" s="4" t="s">
        <v>56</v>
      </c>
      <c r="C2347" s="3" t="s">
        <v>347</v>
      </c>
      <c r="G2347" s="57"/>
    </row>
    <row r="2348" spans="1:7" ht="12.75" x14ac:dyDescent="0.2">
      <c r="A2348" s="3">
        <v>26</v>
      </c>
      <c r="B2348" s="4" t="s">
        <v>56</v>
      </c>
      <c r="C2348" s="3" t="s">
        <v>347</v>
      </c>
      <c r="G2348" s="57"/>
    </row>
    <row r="2349" spans="1:7" ht="12.75" x14ac:dyDescent="0.2">
      <c r="A2349" s="3">
        <v>26</v>
      </c>
      <c r="B2349" s="4" t="s">
        <v>56</v>
      </c>
      <c r="C2349" s="3" t="s">
        <v>347</v>
      </c>
      <c r="F2349">
        <f>SUM(E2346:E2353)</f>
        <v>0</v>
      </c>
      <c r="G2349" s="57"/>
    </row>
    <row r="2350" spans="1:7" ht="12.75" x14ac:dyDescent="0.2">
      <c r="A2350" s="3">
        <v>26</v>
      </c>
      <c r="B2350" s="4" t="s">
        <v>56</v>
      </c>
      <c r="C2350" s="3" t="s">
        <v>347</v>
      </c>
      <c r="G2350" s="59">
        <v>2440</v>
      </c>
    </row>
    <row r="2351" spans="1:7" ht="12.75" x14ac:dyDescent="0.2">
      <c r="A2351" s="3">
        <v>26</v>
      </c>
      <c r="B2351" s="4" t="s">
        <v>56</v>
      </c>
      <c r="C2351" s="3" t="s">
        <v>347</v>
      </c>
      <c r="G2351" s="57"/>
    </row>
    <row r="2352" spans="1:7" ht="12.75" x14ac:dyDescent="0.2">
      <c r="A2352" s="3">
        <v>26</v>
      </c>
      <c r="B2352" s="4" t="s">
        <v>56</v>
      </c>
      <c r="C2352" s="3" t="s">
        <v>347</v>
      </c>
      <c r="G2352" s="57"/>
    </row>
    <row r="2353" spans="1:7" ht="12.75" x14ac:dyDescent="0.2">
      <c r="A2353" s="3">
        <v>26</v>
      </c>
      <c r="B2353" s="4" t="s">
        <v>56</v>
      </c>
      <c r="C2353" s="3" t="s">
        <v>347</v>
      </c>
      <c r="G2353" s="57"/>
    </row>
    <row r="2354" spans="1:7" ht="12.75" x14ac:dyDescent="0.2">
      <c r="A2354" s="3">
        <v>26</v>
      </c>
      <c r="B2354" s="4" t="s">
        <v>56</v>
      </c>
      <c r="C2354" s="3" t="s">
        <v>273</v>
      </c>
      <c r="G2354" s="57"/>
    </row>
    <row r="2355" spans="1:7" ht="12.75" x14ac:dyDescent="0.2">
      <c r="A2355" s="3">
        <v>26</v>
      </c>
      <c r="B2355" s="4" t="s">
        <v>56</v>
      </c>
      <c r="C2355" s="3" t="s">
        <v>273</v>
      </c>
      <c r="F2355">
        <f>SUM(E2354:E2359)</f>
        <v>0</v>
      </c>
      <c r="G2355" s="57"/>
    </row>
    <row r="2356" spans="1:7" ht="12.75" x14ac:dyDescent="0.2">
      <c r="A2356" s="3">
        <v>26</v>
      </c>
      <c r="B2356" s="4" t="s">
        <v>56</v>
      </c>
      <c r="C2356" s="3" t="s">
        <v>273</v>
      </c>
      <c r="G2356" s="57"/>
    </row>
    <row r="2357" spans="1:7" ht="12.75" x14ac:dyDescent="0.2">
      <c r="A2357" s="3">
        <v>26</v>
      </c>
      <c r="B2357" s="4" t="s">
        <v>56</v>
      </c>
      <c r="C2357" s="3" t="s">
        <v>273</v>
      </c>
      <c r="G2357" s="57"/>
    </row>
    <row r="2358" spans="1:7" ht="12.75" x14ac:dyDescent="0.2">
      <c r="A2358" s="3">
        <v>26</v>
      </c>
      <c r="B2358" s="4" t="s">
        <v>56</v>
      </c>
      <c r="C2358" s="3" t="s">
        <v>273</v>
      </c>
      <c r="G2358" s="57"/>
    </row>
    <row r="2359" spans="1:7" ht="12.75" x14ac:dyDescent="0.2">
      <c r="A2359" s="3">
        <v>26</v>
      </c>
      <c r="B2359" s="4" t="s">
        <v>56</v>
      </c>
      <c r="C2359" s="3" t="s">
        <v>273</v>
      </c>
      <c r="G2359" s="57"/>
    </row>
    <row r="2360" spans="1:7" ht="12.75" x14ac:dyDescent="0.2">
      <c r="A2360" s="3">
        <v>26</v>
      </c>
      <c r="B2360" s="4" t="s">
        <v>56</v>
      </c>
      <c r="C2360" s="3" t="s">
        <v>125</v>
      </c>
      <c r="G2360" s="57"/>
    </row>
    <row r="2361" spans="1:7" ht="12.75" x14ac:dyDescent="0.2">
      <c r="A2361" s="3">
        <v>26</v>
      </c>
      <c r="B2361" s="4" t="s">
        <v>56</v>
      </c>
      <c r="C2361" s="3" t="s">
        <v>125</v>
      </c>
      <c r="F2361">
        <f>SUM(E2360:E2365)</f>
        <v>0</v>
      </c>
      <c r="G2361" s="57"/>
    </row>
    <row r="2362" spans="1:7" ht="12.75" x14ac:dyDescent="0.2">
      <c r="A2362" s="3">
        <v>26</v>
      </c>
      <c r="B2362" s="4" t="s">
        <v>56</v>
      </c>
      <c r="C2362" s="3" t="s">
        <v>125</v>
      </c>
      <c r="G2362" s="57"/>
    </row>
    <row r="2363" spans="1:7" ht="12.75" x14ac:dyDescent="0.2">
      <c r="A2363" s="3">
        <v>26</v>
      </c>
      <c r="B2363" s="4" t="s">
        <v>56</v>
      </c>
      <c r="C2363" s="3" t="s">
        <v>125</v>
      </c>
      <c r="G2363" s="57"/>
    </row>
    <row r="2364" spans="1:7" ht="12.75" x14ac:dyDescent="0.2">
      <c r="A2364" s="3">
        <v>26</v>
      </c>
      <c r="B2364" s="4" t="s">
        <v>56</v>
      </c>
      <c r="C2364" s="3" t="s">
        <v>125</v>
      </c>
      <c r="G2364" s="57"/>
    </row>
    <row r="2365" spans="1:7" ht="12.75" x14ac:dyDescent="0.2">
      <c r="A2365" s="3">
        <v>26</v>
      </c>
      <c r="B2365" s="4" t="s">
        <v>56</v>
      </c>
      <c r="C2365" s="3" t="s">
        <v>125</v>
      </c>
      <c r="G2365" s="57"/>
    </row>
    <row r="2366" spans="1:7" ht="12.75" x14ac:dyDescent="0.2">
      <c r="A2366" s="3">
        <v>28</v>
      </c>
      <c r="B2366" s="4" t="s">
        <v>58</v>
      </c>
      <c r="C2366" s="3" t="s">
        <v>347</v>
      </c>
      <c r="G2366" s="57"/>
    </row>
    <row r="2367" spans="1:7" ht="12.75" x14ac:dyDescent="0.2">
      <c r="A2367" s="3">
        <v>28</v>
      </c>
      <c r="B2367" s="4" t="s">
        <v>58</v>
      </c>
      <c r="C2367" s="3" t="s">
        <v>347</v>
      </c>
      <c r="G2367" s="57"/>
    </row>
    <row r="2368" spans="1:7" ht="12.75" x14ac:dyDescent="0.2">
      <c r="A2368" s="3">
        <v>28</v>
      </c>
      <c r="B2368" s="4" t="s">
        <v>58</v>
      </c>
      <c r="C2368" s="3" t="s">
        <v>347</v>
      </c>
      <c r="G2368" s="57"/>
    </row>
    <row r="2369" spans="1:7" ht="12.75" x14ac:dyDescent="0.2">
      <c r="A2369" s="3">
        <v>28</v>
      </c>
      <c r="B2369" s="4" t="s">
        <v>58</v>
      </c>
      <c r="C2369" s="3" t="s">
        <v>347</v>
      </c>
      <c r="F2369">
        <f>SUM(E2366:E2373)</f>
        <v>0</v>
      </c>
      <c r="G2369" s="57"/>
    </row>
    <row r="2370" spans="1:7" ht="12.75" x14ac:dyDescent="0.2">
      <c r="A2370" s="3">
        <v>28</v>
      </c>
      <c r="B2370" s="4" t="s">
        <v>58</v>
      </c>
      <c r="C2370" s="3" t="s">
        <v>347</v>
      </c>
      <c r="G2370" s="59">
        <v>296</v>
      </c>
    </row>
    <row r="2371" spans="1:7" ht="12.75" x14ac:dyDescent="0.2">
      <c r="A2371" s="3">
        <v>28</v>
      </c>
      <c r="B2371" s="4" t="s">
        <v>58</v>
      </c>
      <c r="C2371" s="3" t="s">
        <v>347</v>
      </c>
      <c r="G2371" s="57"/>
    </row>
    <row r="2372" spans="1:7" ht="12.75" x14ac:dyDescent="0.2">
      <c r="A2372" s="3">
        <v>28</v>
      </c>
      <c r="B2372" s="4" t="s">
        <v>58</v>
      </c>
      <c r="C2372" s="3" t="s">
        <v>347</v>
      </c>
      <c r="G2372" s="57"/>
    </row>
    <row r="2373" spans="1:7" ht="12.75" x14ac:dyDescent="0.2">
      <c r="A2373" s="3">
        <v>28</v>
      </c>
      <c r="B2373" s="4" t="s">
        <v>58</v>
      </c>
      <c r="C2373" s="3" t="s">
        <v>347</v>
      </c>
      <c r="G2373" s="57"/>
    </row>
    <row r="2374" spans="1:7" ht="12.75" x14ac:dyDescent="0.2">
      <c r="A2374" s="3">
        <v>28</v>
      </c>
      <c r="B2374" s="4" t="s">
        <v>58</v>
      </c>
      <c r="C2374" s="3" t="s">
        <v>273</v>
      </c>
      <c r="G2374" s="57"/>
    </row>
    <row r="2375" spans="1:7" ht="12.75" x14ac:dyDescent="0.2">
      <c r="A2375" s="3">
        <v>28</v>
      </c>
      <c r="B2375" s="4" t="s">
        <v>58</v>
      </c>
      <c r="C2375" s="3" t="s">
        <v>273</v>
      </c>
      <c r="F2375">
        <f>SUM(E2374:E2379)</f>
        <v>0</v>
      </c>
      <c r="G2375" s="57"/>
    </row>
    <row r="2376" spans="1:7" ht="12.75" x14ac:dyDescent="0.2">
      <c r="A2376" s="3">
        <v>28</v>
      </c>
      <c r="B2376" s="4" t="s">
        <v>58</v>
      </c>
      <c r="C2376" s="3" t="s">
        <v>273</v>
      </c>
      <c r="G2376" s="57"/>
    </row>
    <row r="2377" spans="1:7" ht="12.75" x14ac:dyDescent="0.2">
      <c r="A2377" s="3">
        <v>28</v>
      </c>
      <c r="B2377" s="4" t="s">
        <v>58</v>
      </c>
      <c r="C2377" s="3" t="s">
        <v>273</v>
      </c>
      <c r="G2377" s="57"/>
    </row>
    <row r="2378" spans="1:7" ht="12.75" x14ac:dyDescent="0.2">
      <c r="A2378" s="3">
        <v>28</v>
      </c>
      <c r="B2378" s="4" t="s">
        <v>58</v>
      </c>
      <c r="C2378" s="3" t="s">
        <v>273</v>
      </c>
      <c r="G2378" s="57"/>
    </row>
    <row r="2379" spans="1:7" ht="12.75" x14ac:dyDescent="0.2">
      <c r="A2379" s="3">
        <v>28</v>
      </c>
      <c r="B2379" s="4" t="s">
        <v>58</v>
      </c>
      <c r="C2379" s="3" t="s">
        <v>273</v>
      </c>
      <c r="G2379" s="57"/>
    </row>
    <row r="2380" spans="1:7" ht="12.75" x14ac:dyDescent="0.2">
      <c r="A2380" s="3">
        <v>28</v>
      </c>
      <c r="B2380" s="4" t="s">
        <v>58</v>
      </c>
      <c r="C2380" s="3" t="s">
        <v>125</v>
      </c>
      <c r="G2380" s="57"/>
    </row>
    <row r="2381" spans="1:7" ht="12.75" x14ac:dyDescent="0.2">
      <c r="A2381" s="3">
        <v>28</v>
      </c>
      <c r="B2381" s="4" t="s">
        <v>58</v>
      </c>
      <c r="C2381" s="3" t="s">
        <v>125</v>
      </c>
      <c r="F2381">
        <f>SUM(E2380:E2385)</f>
        <v>0</v>
      </c>
      <c r="G2381" s="57"/>
    </row>
    <row r="2382" spans="1:7" ht="12.75" x14ac:dyDescent="0.2">
      <c r="A2382" s="3">
        <v>28</v>
      </c>
      <c r="B2382" s="4" t="s">
        <v>58</v>
      </c>
      <c r="C2382" s="3" t="s">
        <v>125</v>
      </c>
      <c r="G2382" s="57"/>
    </row>
    <row r="2383" spans="1:7" ht="12.75" x14ac:dyDescent="0.2">
      <c r="A2383" s="3">
        <v>28</v>
      </c>
      <c r="B2383" s="4" t="s">
        <v>58</v>
      </c>
      <c r="C2383" s="3" t="s">
        <v>125</v>
      </c>
      <c r="G2383" s="57"/>
    </row>
    <row r="2384" spans="1:7" ht="12.75" x14ac:dyDescent="0.2">
      <c r="A2384" s="3">
        <v>28</v>
      </c>
      <c r="B2384" s="4" t="s">
        <v>58</v>
      </c>
      <c r="C2384" s="3" t="s">
        <v>125</v>
      </c>
      <c r="G2384" s="57"/>
    </row>
    <row r="2385" spans="1:7" ht="12.75" x14ac:dyDescent="0.2">
      <c r="A2385" s="3">
        <v>28</v>
      </c>
      <c r="B2385" s="4" t="s">
        <v>58</v>
      </c>
      <c r="C2385" s="3" t="s">
        <v>125</v>
      </c>
      <c r="G2385" s="57"/>
    </row>
    <row r="2386" spans="1:7" ht="12.75" x14ac:dyDescent="0.2">
      <c r="A2386" s="3">
        <v>29</v>
      </c>
      <c r="B2386" s="4" t="s">
        <v>59</v>
      </c>
      <c r="C2386" s="3" t="s">
        <v>347</v>
      </c>
      <c r="G2386" s="57"/>
    </row>
    <row r="2387" spans="1:7" ht="12.75" x14ac:dyDescent="0.2">
      <c r="A2387" s="3">
        <v>29</v>
      </c>
      <c r="B2387" s="4" t="s">
        <v>59</v>
      </c>
      <c r="C2387" s="3" t="s">
        <v>347</v>
      </c>
      <c r="G2387" s="57"/>
    </row>
    <row r="2388" spans="1:7" ht="12.75" x14ac:dyDescent="0.2">
      <c r="A2388" s="3">
        <v>29</v>
      </c>
      <c r="B2388" s="4" t="s">
        <v>59</v>
      </c>
      <c r="C2388" s="3" t="s">
        <v>347</v>
      </c>
      <c r="G2388" s="57"/>
    </row>
    <row r="2389" spans="1:7" ht="12.75" x14ac:dyDescent="0.2">
      <c r="A2389" s="3">
        <v>29</v>
      </c>
      <c r="B2389" s="4" t="s">
        <v>59</v>
      </c>
      <c r="C2389" s="3" t="s">
        <v>347</v>
      </c>
      <c r="F2389">
        <f>SUM(E2386:E2393)</f>
        <v>0</v>
      </c>
      <c r="G2389" s="57"/>
    </row>
    <row r="2390" spans="1:7" ht="12.75" x14ac:dyDescent="0.2">
      <c r="A2390" s="3">
        <v>29</v>
      </c>
      <c r="B2390" s="4" t="s">
        <v>59</v>
      </c>
      <c r="C2390" s="3" t="s">
        <v>347</v>
      </c>
      <c r="G2390" s="59">
        <v>488</v>
      </c>
    </row>
    <row r="2391" spans="1:7" ht="12.75" x14ac:dyDescent="0.2">
      <c r="A2391" s="3">
        <v>29</v>
      </c>
      <c r="B2391" s="4" t="s">
        <v>59</v>
      </c>
      <c r="C2391" s="3" t="s">
        <v>347</v>
      </c>
      <c r="G2391" s="57"/>
    </row>
    <row r="2392" spans="1:7" ht="12.75" x14ac:dyDescent="0.2">
      <c r="A2392" s="3">
        <v>29</v>
      </c>
      <c r="B2392" s="4" t="s">
        <v>59</v>
      </c>
      <c r="C2392" s="3" t="s">
        <v>347</v>
      </c>
      <c r="G2392" s="57"/>
    </row>
    <row r="2393" spans="1:7" ht="12.75" x14ac:dyDescent="0.2">
      <c r="A2393" s="3">
        <v>29</v>
      </c>
      <c r="B2393" s="4" t="s">
        <v>59</v>
      </c>
      <c r="C2393" s="3" t="s">
        <v>347</v>
      </c>
      <c r="G2393" s="57"/>
    </row>
    <row r="2394" spans="1:7" ht="12.75" x14ac:dyDescent="0.2">
      <c r="A2394" s="3">
        <v>29</v>
      </c>
      <c r="B2394" s="4" t="s">
        <v>59</v>
      </c>
      <c r="C2394" s="3" t="s">
        <v>273</v>
      </c>
      <c r="G2394" s="57"/>
    </row>
    <row r="2395" spans="1:7" ht="12.75" x14ac:dyDescent="0.2">
      <c r="A2395" s="3">
        <v>29</v>
      </c>
      <c r="B2395" s="4" t="s">
        <v>59</v>
      </c>
      <c r="C2395" s="3" t="s">
        <v>273</v>
      </c>
      <c r="F2395">
        <f>SUM(E2394:E2399)</f>
        <v>0</v>
      </c>
      <c r="G2395" s="57"/>
    </row>
    <row r="2396" spans="1:7" ht="12.75" x14ac:dyDescent="0.2">
      <c r="A2396" s="3">
        <v>29</v>
      </c>
      <c r="B2396" s="4" t="s">
        <v>59</v>
      </c>
      <c r="C2396" s="3" t="s">
        <v>273</v>
      </c>
      <c r="G2396" s="57"/>
    </row>
    <row r="2397" spans="1:7" ht="12.75" x14ac:dyDescent="0.2">
      <c r="A2397" s="3">
        <v>29</v>
      </c>
      <c r="B2397" s="4" t="s">
        <v>59</v>
      </c>
      <c r="C2397" s="3" t="s">
        <v>273</v>
      </c>
      <c r="G2397" s="57"/>
    </row>
    <row r="2398" spans="1:7" ht="12.75" x14ac:dyDescent="0.2">
      <c r="A2398" s="3">
        <v>29</v>
      </c>
      <c r="B2398" s="4" t="s">
        <v>59</v>
      </c>
      <c r="C2398" s="3" t="s">
        <v>273</v>
      </c>
      <c r="G2398" s="57"/>
    </row>
    <row r="2399" spans="1:7" ht="12.75" x14ac:dyDescent="0.2">
      <c r="A2399" s="3">
        <v>29</v>
      </c>
      <c r="B2399" s="4" t="s">
        <v>59</v>
      </c>
      <c r="C2399" s="3" t="s">
        <v>273</v>
      </c>
      <c r="G2399" s="57"/>
    </row>
    <row r="2400" spans="1:7" ht="12.75" x14ac:dyDescent="0.2">
      <c r="A2400" s="3">
        <v>29</v>
      </c>
      <c r="B2400" s="4" t="s">
        <v>59</v>
      </c>
      <c r="C2400" s="3" t="s">
        <v>125</v>
      </c>
      <c r="G2400" s="57"/>
    </row>
    <row r="2401" spans="1:7" ht="12.75" x14ac:dyDescent="0.2">
      <c r="A2401" s="3">
        <v>29</v>
      </c>
      <c r="B2401" s="4" t="s">
        <v>59</v>
      </c>
      <c r="C2401" s="3" t="s">
        <v>125</v>
      </c>
      <c r="F2401">
        <f>SUM(E2400:E2405)</f>
        <v>0</v>
      </c>
      <c r="G2401" s="57"/>
    </row>
    <row r="2402" spans="1:7" ht="12.75" x14ac:dyDescent="0.2">
      <c r="A2402" s="3">
        <v>29</v>
      </c>
      <c r="B2402" s="4" t="s">
        <v>59</v>
      </c>
      <c r="C2402" s="3" t="s">
        <v>125</v>
      </c>
      <c r="G2402" s="57"/>
    </row>
    <row r="2403" spans="1:7" ht="12.75" x14ac:dyDescent="0.2">
      <c r="A2403" s="3">
        <v>29</v>
      </c>
      <c r="B2403" s="4" t="s">
        <v>59</v>
      </c>
      <c r="C2403" s="3" t="s">
        <v>125</v>
      </c>
      <c r="G2403" s="57"/>
    </row>
    <row r="2404" spans="1:7" ht="12.75" x14ac:dyDescent="0.2">
      <c r="A2404" s="3">
        <v>29</v>
      </c>
      <c r="B2404" s="4" t="s">
        <v>59</v>
      </c>
      <c r="C2404" s="3" t="s">
        <v>125</v>
      </c>
      <c r="G2404" s="57"/>
    </row>
    <row r="2405" spans="1:7" ht="12.75" x14ac:dyDescent="0.2">
      <c r="A2405" s="3">
        <v>29</v>
      </c>
      <c r="B2405" s="4" t="s">
        <v>59</v>
      </c>
      <c r="C2405" s="3" t="s">
        <v>125</v>
      </c>
      <c r="G2405" s="57"/>
    </row>
    <row r="2406" spans="1:7" ht="12.75" x14ac:dyDescent="0.2">
      <c r="A2406" s="3">
        <v>30</v>
      </c>
      <c r="B2406" s="4" t="s">
        <v>60</v>
      </c>
      <c r="C2406" s="3" t="s">
        <v>347</v>
      </c>
      <c r="G2406" s="57"/>
    </row>
    <row r="2407" spans="1:7" ht="12.75" x14ac:dyDescent="0.2">
      <c r="A2407" s="3">
        <v>30</v>
      </c>
      <c r="B2407" s="4" t="s">
        <v>60</v>
      </c>
      <c r="C2407" s="3" t="s">
        <v>347</v>
      </c>
      <c r="G2407" s="57"/>
    </row>
    <row r="2408" spans="1:7" ht="12.75" x14ac:dyDescent="0.2">
      <c r="A2408" s="3">
        <v>30</v>
      </c>
      <c r="B2408" s="4" t="s">
        <v>60</v>
      </c>
      <c r="C2408" s="3" t="s">
        <v>347</v>
      </c>
      <c r="G2408" s="57"/>
    </row>
    <row r="2409" spans="1:7" ht="12.75" x14ac:dyDescent="0.2">
      <c r="A2409" s="3">
        <v>30</v>
      </c>
      <c r="B2409" s="4" t="s">
        <v>60</v>
      </c>
      <c r="C2409" s="3" t="s">
        <v>347</v>
      </c>
      <c r="F2409">
        <f>SUM(E2406:E2413)</f>
        <v>0</v>
      </c>
      <c r="G2409" s="57"/>
    </row>
    <row r="2410" spans="1:7" ht="12.75" x14ac:dyDescent="0.2">
      <c r="A2410" s="3">
        <v>30</v>
      </c>
      <c r="B2410" s="4" t="s">
        <v>60</v>
      </c>
      <c r="C2410" s="3" t="s">
        <v>347</v>
      </c>
      <c r="G2410" s="59">
        <v>1869</v>
      </c>
    </row>
    <row r="2411" spans="1:7" ht="12.75" x14ac:dyDescent="0.2">
      <c r="A2411" s="3">
        <v>30</v>
      </c>
      <c r="B2411" s="4" t="s">
        <v>60</v>
      </c>
      <c r="C2411" s="3" t="s">
        <v>347</v>
      </c>
      <c r="G2411" s="57"/>
    </row>
    <row r="2412" spans="1:7" ht="12.75" x14ac:dyDescent="0.2">
      <c r="A2412" s="3">
        <v>30</v>
      </c>
      <c r="B2412" s="4" t="s">
        <v>60</v>
      </c>
      <c r="C2412" s="3" t="s">
        <v>347</v>
      </c>
      <c r="G2412" s="57"/>
    </row>
    <row r="2413" spans="1:7" ht="12.75" x14ac:dyDescent="0.2">
      <c r="A2413" s="3">
        <v>30</v>
      </c>
      <c r="B2413" s="4" t="s">
        <v>60</v>
      </c>
      <c r="C2413" s="3" t="s">
        <v>347</v>
      </c>
      <c r="G2413" s="57"/>
    </row>
    <row r="2414" spans="1:7" ht="12.75" x14ac:dyDescent="0.2">
      <c r="A2414" s="3">
        <v>30</v>
      </c>
      <c r="B2414" s="4" t="s">
        <v>60</v>
      </c>
      <c r="C2414" s="3" t="s">
        <v>273</v>
      </c>
      <c r="G2414" s="57"/>
    </row>
    <row r="2415" spans="1:7" ht="12.75" x14ac:dyDescent="0.2">
      <c r="A2415" s="3">
        <v>30</v>
      </c>
      <c r="B2415" s="4" t="s">
        <v>60</v>
      </c>
      <c r="C2415" s="3" t="s">
        <v>273</v>
      </c>
      <c r="F2415">
        <f>SUM(E2414:E2419)</f>
        <v>0</v>
      </c>
      <c r="G2415" s="57"/>
    </row>
    <row r="2416" spans="1:7" ht="12.75" x14ac:dyDescent="0.2">
      <c r="A2416" s="3">
        <v>30</v>
      </c>
      <c r="B2416" s="4" t="s">
        <v>60</v>
      </c>
      <c r="C2416" s="3" t="s">
        <v>273</v>
      </c>
      <c r="G2416" s="57"/>
    </row>
    <row r="2417" spans="1:7" ht="12.75" x14ac:dyDescent="0.2">
      <c r="A2417" s="3">
        <v>30</v>
      </c>
      <c r="B2417" s="4" t="s">
        <v>60</v>
      </c>
      <c r="C2417" s="3" t="s">
        <v>273</v>
      </c>
      <c r="G2417" s="57"/>
    </row>
    <row r="2418" spans="1:7" ht="12.75" x14ac:dyDescent="0.2">
      <c r="A2418" s="3">
        <v>30</v>
      </c>
      <c r="B2418" s="4" t="s">
        <v>60</v>
      </c>
      <c r="C2418" s="3" t="s">
        <v>273</v>
      </c>
      <c r="G2418" s="57"/>
    </row>
    <row r="2419" spans="1:7" ht="12.75" x14ac:dyDescent="0.2">
      <c r="A2419" s="3">
        <v>30</v>
      </c>
      <c r="B2419" s="4" t="s">
        <v>60</v>
      </c>
      <c r="C2419" s="3" t="s">
        <v>273</v>
      </c>
      <c r="G2419" s="57"/>
    </row>
    <row r="2420" spans="1:7" ht="12.75" x14ac:dyDescent="0.2">
      <c r="A2420" s="3">
        <v>30</v>
      </c>
      <c r="B2420" s="4" t="s">
        <v>60</v>
      </c>
      <c r="C2420" s="3" t="s">
        <v>125</v>
      </c>
      <c r="G2420" s="57"/>
    </row>
    <row r="2421" spans="1:7" ht="12.75" x14ac:dyDescent="0.2">
      <c r="A2421" s="3">
        <v>30</v>
      </c>
      <c r="B2421" s="4" t="s">
        <v>60</v>
      </c>
      <c r="C2421" s="3" t="s">
        <v>125</v>
      </c>
      <c r="F2421">
        <f>SUM(E2420:E2425)</f>
        <v>0</v>
      </c>
      <c r="G2421" s="57"/>
    </row>
    <row r="2422" spans="1:7" ht="12.75" x14ac:dyDescent="0.2">
      <c r="A2422" s="3">
        <v>30</v>
      </c>
      <c r="B2422" s="4" t="s">
        <v>60</v>
      </c>
      <c r="C2422" s="3" t="s">
        <v>125</v>
      </c>
      <c r="G2422" s="57"/>
    </row>
    <row r="2423" spans="1:7" ht="12.75" x14ac:dyDescent="0.2">
      <c r="A2423" s="3">
        <v>30</v>
      </c>
      <c r="B2423" s="4" t="s">
        <v>60</v>
      </c>
      <c r="C2423" s="3" t="s">
        <v>125</v>
      </c>
      <c r="G2423" s="57"/>
    </row>
    <row r="2424" spans="1:7" ht="12.75" x14ac:dyDescent="0.2">
      <c r="A2424" s="3">
        <v>30</v>
      </c>
      <c r="B2424" s="4" t="s">
        <v>60</v>
      </c>
      <c r="C2424" s="3" t="s">
        <v>125</v>
      </c>
      <c r="G2424" s="57"/>
    </row>
    <row r="2425" spans="1:7" ht="12.75" x14ac:dyDescent="0.2">
      <c r="A2425" s="3">
        <v>30</v>
      </c>
      <c r="B2425" s="4" t="s">
        <v>60</v>
      </c>
      <c r="C2425" s="3" t="s">
        <v>125</v>
      </c>
      <c r="G2425" s="57"/>
    </row>
    <row r="2426" spans="1:7" ht="12.75" x14ac:dyDescent="0.2">
      <c r="A2426" s="3">
        <v>31</v>
      </c>
      <c r="B2426" s="4" t="s">
        <v>61</v>
      </c>
      <c r="C2426" s="3" t="s">
        <v>347</v>
      </c>
      <c r="G2426" s="57"/>
    </row>
    <row r="2427" spans="1:7" ht="12.75" x14ac:dyDescent="0.2">
      <c r="A2427" s="3">
        <v>31</v>
      </c>
      <c r="B2427" s="4" t="s">
        <v>61</v>
      </c>
      <c r="C2427" s="3" t="s">
        <v>347</v>
      </c>
      <c r="G2427" s="57"/>
    </row>
    <row r="2428" spans="1:7" ht="12.75" x14ac:dyDescent="0.2">
      <c r="A2428" s="3">
        <v>31</v>
      </c>
      <c r="B2428" s="4" t="s">
        <v>61</v>
      </c>
      <c r="C2428" s="3" t="s">
        <v>347</v>
      </c>
      <c r="G2428" s="57"/>
    </row>
    <row r="2429" spans="1:7" ht="12.75" x14ac:dyDescent="0.2">
      <c r="A2429" s="3">
        <v>31</v>
      </c>
      <c r="B2429" s="4" t="s">
        <v>61</v>
      </c>
      <c r="C2429" s="3" t="s">
        <v>347</v>
      </c>
      <c r="F2429">
        <f>SUM(E2426:E2433)</f>
        <v>0</v>
      </c>
      <c r="G2429" s="57"/>
    </row>
    <row r="2430" spans="1:7" ht="12.75" x14ac:dyDescent="0.2">
      <c r="A2430" s="3">
        <v>31</v>
      </c>
      <c r="B2430" s="4" t="s">
        <v>61</v>
      </c>
      <c r="C2430" s="3" t="s">
        <v>347</v>
      </c>
      <c r="G2430" s="59">
        <v>949</v>
      </c>
    </row>
    <row r="2431" spans="1:7" ht="12.75" x14ac:dyDescent="0.2">
      <c r="A2431" s="3">
        <v>31</v>
      </c>
      <c r="B2431" s="4" t="s">
        <v>61</v>
      </c>
      <c r="C2431" s="3" t="s">
        <v>347</v>
      </c>
      <c r="G2431" s="57"/>
    </row>
    <row r="2432" spans="1:7" ht="12.75" x14ac:dyDescent="0.2">
      <c r="A2432" s="3">
        <v>31</v>
      </c>
      <c r="B2432" s="4" t="s">
        <v>61</v>
      </c>
      <c r="C2432" s="3" t="s">
        <v>347</v>
      </c>
      <c r="G2432" s="57"/>
    </row>
    <row r="2433" spans="1:7" ht="12.75" x14ac:dyDescent="0.2">
      <c r="A2433" s="3">
        <v>31</v>
      </c>
      <c r="B2433" s="4" t="s">
        <v>61</v>
      </c>
      <c r="C2433" s="3" t="s">
        <v>347</v>
      </c>
      <c r="G2433" s="57"/>
    </row>
    <row r="2434" spans="1:7" ht="12.75" x14ac:dyDescent="0.2">
      <c r="A2434" s="3">
        <v>31</v>
      </c>
      <c r="B2434" s="4" t="s">
        <v>61</v>
      </c>
      <c r="C2434" s="3" t="s">
        <v>273</v>
      </c>
      <c r="G2434" s="57"/>
    </row>
    <row r="2435" spans="1:7" ht="12.75" x14ac:dyDescent="0.2">
      <c r="A2435" s="3">
        <v>31</v>
      </c>
      <c r="B2435" s="4" t="s">
        <v>61</v>
      </c>
      <c r="C2435" s="3" t="s">
        <v>273</v>
      </c>
      <c r="F2435">
        <f>SUM(E2434:E2439)</f>
        <v>0</v>
      </c>
      <c r="G2435" s="57"/>
    </row>
    <row r="2436" spans="1:7" ht="12.75" x14ac:dyDescent="0.2">
      <c r="A2436" s="3">
        <v>31</v>
      </c>
      <c r="B2436" s="4" t="s">
        <v>61</v>
      </c>
      <c r="C2436" s="3" t="s">
        <v>273</v>
      </c>
      <c r="G2436" s="57"/>
    </row>
    <row r="2437" spans="1:7" ht="12.75" x14ac:dyDescent="0.2">
      <c r="A2437" s="3">
        <v>31</v>
      </c>
      <c r="B2437" s="4" t="s">
        <v>61</v>
      </c>
      <c r="C2437" s="3" t="s">
        <v>273</v>
      </c>
      <c r="G2437" s="57"/>
    </row>
    <row r="2438" spans="1:7" ht="12.75" x14ac:dyDescent="0.2">
      <c r="A2438" s="3">
        <v>31</v>
      </c>
      <c r="B2438" s="4" t="s">
        <v>61</v>
      </c>
      <c r="C2438" s="3" t="s">
        <v>273</v>
      </c>
      <c r="G2438" s="57"/>
    </row>
    <row r="2439" spans="1:7" ht="12.75" x14ac:dyDescent="0.2">
      <c r="A2439" s="3">
        <v>31</v>
      </c>
      <c r="B2439" s="4" t="s">
        <v>61</v>
      </c>
      <c r="C2439" s="3" t="s">
        <v>273</v>
      </c>
      <c r="G2439" s="57"/>
    </row>
    <row r="2440" spans="1:7" ht="12.75" x14ac:dyDescent="0.2">
      <c r="A2440" s="3">
        <v>31</v>
      </c>
      <c r="B2440" s="4" t="s">
        <v>61</v>
      </c>
      <c r="C2440" s="3" t="s">
        <v>125</v>
      </c>
      <c r="G2440" s="57"/>
    </row>
    <row r="2441" spans="1:7" ht="12.75" x14ac:dyDescent="0.2">
      <c r="A2441" s="3">
        <v>31</v>
      </c>
      <c r="B2441" s="4" t="s">
        <v>61</v>
      </c>
      <c r="C2441" s="3" t="s">
        <v>125</v>
      </c>
      <c r="F2441">
        <f>SUM(E2440:E2445)</f>
        <v>0</v>
      </c>
      <c r="G2441" s="57"/>
    </row>
    <row r="2442" spans="1:7" ht="12.75" x14ac:dyDescent="0.2">
      <c r="A2442" s="3">
        <v>31</v>
      </c>
      <c r="B2442" s="4" t="s">
        <v>61</v>
      </c>
      <c r="C2442" s="3" t="s">
        <v>125</v>
      </c>
      <c r="G2442" s="57"/>
    </row>
    <row r="2443" spans="1:7" ht="12.75" x14ac:dyDescent="0.2">
      <c r="A2443" s="3">
        <v>31</v>
      </c>
      <c r="B2443" s="4" t="s">
        <v>61</v>
      </c>
      <c r="C2443" s="3" t="s">
        <v>125</v>
      </c>
      <c r="G2443" s="57"/>
    </row>
    <row r="2444" spans="1:7" ht="12.75" x14ac:dyDescent="0.2">
      <c r="A2444" s="3">
        <v>31</v>
      </c>
      <c r="B2444" s="4" t="s">
        <v>61</v>
      </c>
      <c r="C2444" s="3" t="s">
        <v>125</v>
      </c>
      <c r="G2444" s="57"/>
    </row>
    <row r="2445" spans="1:7" ht="12.75" x14ac:dyDescent="0.2">
      <c r="A2445" s="3">
        <v>31</v>
      </c>
      <c r="B2445" s="4" t="s">
        <v>61</v>
      </c>
      <c r="C2445" s="3" t="s">
        <v>125</v>
      </c>
      <c r="G2445" s="57"/>
    </row>
    <row r="2446" spans="1:7" ht="12.75" x14ac:dyDescent="0.2">
      <c r="A2446" s="3">
        <v>32</v>
      </c>
      <c r="B2446" s="4" t="s">
        <v>62</v>
      </c>
      <c r="C2446" s="3" t="s">
        <v>347</v>
      </c>
      <c r="G2446" s="57"/>
    </row>
    <row r="2447" spans="1:7" ht="12.75" x14ac:dyDescent="0.2">
      <c r="A2447" s="3">
        <v>32</v>
      </c>
      <c r="B2447" s="4" t="s">
        <v>62</v>
      </c>
      <c r="C2447" s="3" t="s">
        <v>347</v>
      </c>
      <c r="G2447" s="57"/>
    </row>
    <row r="2448" spans="1:7" ht="12.75" x14ac:dyDescent="0.2">
      <c r="A2448" s="3">
        <v>32</v>
      </c>
      <c r="B2448" s="4" t="s">
        <v>62</v>
      </c>
      <c r="C2448" s="3" t="s">
        <v>347</v>
      </c>
      <c r="G2448" s="57"/>
    </row>
    <row r="2449" spans="1:7" ht="12.75" x14ac:dyDescent="0.2">
      <c r="A2449" s="3">
        <v>32</v>
      </c>
      <c r="B2449" s="4" t="s">
        <v>62</v>
      </c>
      <c r="C2449" s="3" t="s">
        <v>347</v>
      </c>
      <c r="F2449">
        <f>SUM(E2446:E2453)</f>
        <v>0</v>
      </c>
      <c r="G2449" s="57"/>
    </row>
    <row r="2450" spans="1:7" ht="12.75" x14ac:dyDescent="0.2">
      <c r="A2450" s="3">
        <v>32</v>
      </c>
      <c r="B2450" s="4" t="s">
        <v>62</v>
      </c>
      <c r="C2450" s="3" t="s">
        <v>347</v>
      </c>
      <c r="G2450" s="59">
        <v>63</v>
      </c>
    </row>
    <row r="2451" spans="1:7" ht="12.75" x14ac:dyDescent="0.2">
      <c r="A2451" s="3">
        <v>32</v>
      </c>
      <c r="B2451" s="4" t="s">
        <v>62</v>
      </c>
      <c r="C2451" s="3" t="s">
        <v>347</v>
      </c>
      <c r="G2451" s="57"/>
    </row>
    <row r="2452" spans="1:7" ht="12.75" x14ac:dyDescent="0.2">
      <c r="A2452" s="3">
        <v>32</v>
      </c>
      <c r="B2452" s="4" t="s">
        <v>62</v>
      </c>
      <c r="C2452" s="3" t="s">
        <v>347</v>
      </c>
      <c r="G2452" s="57"/>
    </row>
    <row r="2453" spans="1:7" ht="12.75" x14ac:dyDescent="0.2">
      <c r="A2453" s="3">
        <v>32</v>
      </c>
      <c r="B2453" s="4" t="s">
        <v>62</v>
      </c>
      <c r="C2453" s="3" t="s">
        <v>347</v>
      </c>
      <c r="G2453" s="57"/>
    </row>
    <row r="2454" spans="1:7" ht="12.75" x14ac:dyDescent="0.2">
      <c r="A2454" s="3">
        <v>32</v>
      </c>
      <c r="B2454" s="4" t="s">
        <v>62</v>
      </c>
      <c r="C2454" s="3" t="s">
        <v>273</v>
      </c>
      <c r="G2454" s="57"/>
    </row>
    <row r="2455" spans="1:7" ht="12.75" x14ac:dyDescent="0.2">
      <c r="A2455" s="3">
        <v>32</v>
      </c>
      <c r="B2455" s="4" t="s">
        <v>62</v>
      </c>
      <c r="C2455" s="3" t="s">
        <v>273</v>
      </c>
      <c r="F2455">
        <f>SUM(E2454:E2459)</f>
        <v>0</v>
      </c>
      <c r="G2455" s="57"/>
    </row>
    <row r="2456" spans="1:7" ht="12.75" x14ac:dyDescent="0.2">
      <c r="A2456" s="3">
        <v>32</v>
      </c>
      <c r="B2456" s="4" t="s">
        <v>62</v>
      </c>
      <c r="C2456" s="3" t="s">
        <v>273</v>
      </c>
      <c r="G2456" s="57"/>
    </row>
    <row r="2457" spans="1:7" ht="12.75" x14ac:dyDescent="0.2">
      <c r="A2457" s="3">
        <v>32</v>
      </c>
      <c r="B2457" s="4" t="s">
        <v>62</v>
      </c>
      <c r="C2457" s="3" t="s">
        <v>273</v>
      </c>
      <c r="G2457" s="57"/>
    </row>
    <row r="2458" spans="1:7" ht="12.75" x14ac:dyDescent="0.2">
      <c r="A2458" s="3">
        <v>32</v>
      </c>
      <c r="B2458" s="4" t="s">
        <v>62</v>
      </c>
      <c r="C2458" s="3" t="s">
        <v>273</v>
      </c>
      <c r="G2458" s="57"/>
    </row>
    <row r="2459" spans="1:7" ht="12.75" x14ac:dyDescent="0.2">
      <c r="A2459" s="3">
        <v>32</v>
      </c>
      <c r="B2459" s="4" t="s">
        <v>62</v>
      </c>
      <c r="C2459" s="3" t="s">
        <v>273</v>
      </c>
      <c r="G2459" s="57"/>
    </row>
    <row r="2460" spans="1:7" ht="12.75" x14ac:dyDescent="0.2">
      <c r="A2460" s="3">
        <v>32</v>
      </c>
      <c r="B2460" s="4" t="s">
        <v>62</v>
      </c>
      <c r="C2460" s="3" t="s">
        <v>125</v>
      </c>
      <c r="G2460" s="57"/>
    </row>
    <row r="2461" spans="1:7" ht="12.75" x14ac:dyDescent="0.2">
      <c r="A2461" s="3">
        <v>32</v>
      </c>
      <c r="B2461" s="4" t="s">
        <v>62</v>
      </c>
      <c r="C2461" s="3" t="s">
        <v>125</v>
      </c>
      <c r="F2461">
        <f>SUM(E2460:E2465)</f>
        <v>0</v>
      </c>
      <c r="G2461" s="57"/>
    </row>
    <row r="2462" spans="1:7" ht="12.75" x14ac:dyDescent="0.2">
      <c r="A2462" s="3">
        <v>32</v>
      </c>
      <c r="B2462" s="4" t="s">
        <v>62</v>
      </c>
      <c r="C2462" s="3" t="s">
        <v>125</v>
      </c>
      <c r="G2462" s="57"/>
    </row>
    <row r="2463" spans="1:7" ht="12.75" x14ac:dyDescent="0.2">
      <c r="A2463" s="3">
        <v>32</v>
      </c>
      <c r="B2463" s="4" t="s">
        <v>62</v>
      </c>
      <c r="C2463" s="3" t="s">
        <v>125</v>
      </c>
      <c r="G2463" s="57"/>
    </row>
    <row r="2464" spans="1:7" ht="12.75" x14ac:dyDescent="0.2">
      <c r="A2464" s="3">
        <v>32</v>
      </c>
      <c r="B2464" s="4" t="s">
        <v>62</v>
      </c>
      <c r="C2464" s="3" t="s">
        <v>125</v>
      </c>
      <c r="G2464" s="57"/>
    </row>
    <row r="2465" spans="1:7" ht="12.75" x14ac:dyDescent="0.2">
      <c r="A2465" s="3">
        <v>32</v>
      </c>
      <c r="B2465" s="4" t="s">
        <v>62</v>
      </c>
      <c r="C2465" s="3" t="s">
        <v>125</v>
      </c>
      <c r="G2465" s="57"/>
    </row>
    <row r="2466" spans="1:7" ht="12.75" x14ac:dyDescent="0.2">
      <c r="A2466" s="3">
        <v>33</v>
      </c>
      <c r="B2466" s="4" t="s">
        <v>63</v>
      </c>
      <c r="C2466" s="3" t="s">
        <v>347</v>
      </c>
      <c r="G2466" s="57"/>
    </row>
    <row r="2467" spans="1:7" ht="12.75" x14ac:dyDescent="0.2">
      <c r="A2467" s="3">
        <v>33</v>
      </c>
      <c r="B2467" s="4" t="s">
        <v>63</v>
      </c>
      <c r="C2467" s="3" t="s">
        <v>347</v>
      </c>
      <c r="G2467" s="57"/>
    </row>
    <row r="2468" spans="1:7" ht="12.75" x14ac:dyDescent="0.2">
      <c r="A2468" s="3">
        <v>33</v>
      </c>
      <c r="B2468" s="4" t="s">
        <v>63</v>
      </c>
      <c r="C2468" s="3" t="s">
        <v>347</v>
      </c>
      <c r="G2468" s="57"/>
    </row>
    <row r="2469" spans="1:7" ht="12.75" x14ac:dyDescent="0.2">
      <c r="A2469" s="3">
        <v>33</v>
      </c>
      <c r="B2469" s="4" t="s">
        <v>63</v>
      </c>
      <c r="C2469" s="3" t="s">
        <v>347</v>
      </c>
      <c r="F2469">
        <f>SUM(E2466:E2473)</f>
        <v>0</v>
      </c>
      <c r="G2469" s="57"/>
    </row>
    <row r="2470" spans="1:7" ht="12.75" x14ac:dyDescent="0.2">
      <c r="A2470" s="3">
        <v>33</v>
      </c>
      <c r="B2470" s="4" t="s">
        <v>63</v>
      </c>
      <c r="C2470" s="3" t="s">
        <v>347</v>
      </c>
      <c r="G2470" s="59">
        <v>478</v>
      </c>
    </row>
    <row r="2471" spans="1:7" ht="12.75" x14ac:dyDescent="0.2">
      <c r="A2471" s="3">
        <v>33</v>
      </c>
      <c r="B2471" s="4" t="s">
        <v>63</v>
      </c>
      <c r="C2471" s="3" t="s">
        <v>347</v>
      </c>
      <c r="G2471" s="57"/>
    </row>
    <row r="2472" spans="1:7" ht="12.75" x14ac:dyDescent="0.2">
      <c r="A2472" s="3">
        <v>33</v>
      </c>
      <c r="B2472" s="4" t="s">
        <v>63</v>
      </c>
      <c r="C2472" s="3" t="s">
        <v>347</v>
      </c>
      <c r="G2472" s="57"/>
    </row>
    <row r="2473" spans="1:7" ht="12.75" x14ac:dyDescent="0.2">
      <c r="A2473" s="3">
        <v>33</v>
      </c>
      <c r="B2473" s="4" t="s">
        <v>63</v>
      </c>
      <c r="C2473" s="3" t="s">
        <v>347</v>
      </c>
      <c r="G2473" s="57"/>
    </row>
    <row r="2474" spans="1:7" ht="12.75" x14ac:dyDescent="0.2">
      <c r="A2474" s="3">
        <v>33</v>
      </c>
      <c r="B2474" s="4" t="s">
        <v>63</v>
      </c>
      <c r="C2474" s="3" t="s">
        <v>273</v>
      </c>
      <c r="G2474" s="57"/>
    </row>
    <row r="2475" spans="1:7" ht="12.75" x14ac:dyDescent="0.2">
      <c r="A2475" s="3">
        <v>33</v>
      </c>
      <c r="B2475" s="4" t="s">
        <v>63</v>
      </c>
      <c r="C2475" s="3" t="s">
        <v>273</v>
      </c>
      <c r="F2475">
        <f>SUM(E2474:E2479)</f>
        <v>0</v>
      </c>
      <c r="G2475" s="57"/>
    </row>
    <row r="2476" spans="1:7" ht="12.75" x14ac:dyDescent="0.2">
      <c r="A2476" s="3">
        <v>33</v>
      </c>
      <c r="B2476" s="4" t="s">
        <v>63</v>
      </c>
      <c r="C2476" s="3" t="s">
        <v>273</v>
      </c>
      <c r="G2476" s="57"/>
    </row>
    <row r="2477" spans="1:7" ht="12.75" x14ac:dyDescent="0.2">
      <c r="A2477" s="3">
        <v>33</v>
      </c>
      <c r="B2477" s="4" t="s">
        <v>63</v>
      </c>
      <c r="C2477" s="3" t="s">
        <v>273</v>
      </c>
      <c r="G2477" s="57"/>
    </row>
    <row r="2478" spans="1:7" ht="12.75" x14ac:dyDescent="0.2">
      <c r="A2478" s="3">
        <v>33</v>
      </c>
      <c r="B2478" s="4" t="s">
        <v>63</v>
      </c>
      <c r="C2478" s="3" t="s">
        <v>273</v>
      </c>
      <c r="G2478" s="57"/>
    </row>
    <row r="2479" spans="1:7" ht="12.75" x14ac:dyDescent="0.2">
      <c r="A2479" s="3">
        <v>33</v>
      </c>
      <c r="B2479" s="4" t="s">
        <v>63</v>
      </c>
      <c r="C2479" s="3" t="s">
        <v>273</v>
      </c>
      <c r="G2479" s="57"/>
    </row>
    <row r="2480" spans="1:7" ht="12.75" x14ac:dyDescent="0.2">
      <c r="A2480" s="3">
        <v>33</v>
      </c>
      <c r="B2480" s="4" t="s">
        <v>63</v>
      </c>
      <c r="C2480" s="3" t="s">
        <v>125</v>
      </c>
      <c r="G2480" s="57"/>
    </row>
    <row r="2481" spans="1:7" ht="12.75" x14ac:dyDescent="0.2">
      <c r="A2481" s="3">
        <v>33</v>
      </c>
      <c r="B2481" s="4" t="s">
        <v>63</v>
      </c>
      <c r="C2481" s="3" t="s">
        <v>125</v>
      </c>
      <c r="F2481">
        <f>SUM(E2480:E2485)</f>
        <v>0</v>
      </c>
      <c r="G2481" s="57"/>
    </row>
    <row r="2482" spans="1:7" ht="12.75" x14ac:dyDescent="0.2">
      <c r="A2482" s="3">
        <v>33</v>
      </c>
      <c r="B2482" s="4" t="s">
        <v>63</v>
      </c>
      <c r="C2482" s="3" t="s">
        <v>125</v>
      </c>
      <c r="G2482" s="57"/>
    </row>
    <row r="2483" spans="1:7" ht="12.75" x14ac:dyDescent="0.2">
      <c r="A2483" s="3">
        <v>33</v>
      </c>
      <c r="B2483" s="4" t="s">
        <v>63</v>
      </c>
      <c r="C2483" s="3" t="s">
        <v>125</v>
      </c>
      <c r="G2483" s="57"/>
    </row>
    <row r="2484" spans="1:7" ht="12.75" x14ac:dyDescent="0.2">
      <c r="A2484" s="3">
        <v>33</v>
      </c>
      <c r="B2484" s="4" t="s">
        <v>63</v>
      </c>
      <c r="C2484" s="3" t="s">
        <v>125</v>
      </c>
      <c r="G2484" s="57"/>
    </row>
    <row r="2485" spans="1:7" ht="12.75" x14ac:dyDescent="0.2">
      <c r="A2485" s="3">
        <v>33</v>
      </c>
      <c r="B2485" s="4" t="s">
        <v>63</v>
      </c>
      <c r="C2485" s="3" t="s">
        <v>125</v>
      </c>
      <c r="G2485" s="57"/>
    </row>
    <row r="2486" spans="1:7" ht="12.75" x14ac:dyDescent="0.2">
      <c r="A2486" s="3">
        <v>34</v>
      </c>
      <c r="B2486" s="4" t="s">
        <v>64</v>
      </c>
      <c r="C2486" s="3" t="s">
        <v>347</v>
      </c>
      <c r="G2486" s="57"/>
    </row>
    <row r="2487" spans="1:7" ht="12.75" x14ac:dyDescent="0.2">
      <c r="A2487" s="3">
        <v>34</v>
      </c>
      <c r="B2487" s="4" t="s">
        <v>64</v>
      </c>
      <c r="C2487" s="3" t="s">
        <v>347</v>
      </c>
      <c r="G2487" s="57"/>
    </row>
    <row r="2488" spans="1:7" ht="12.75" x14ac:dyDescent="0.2">
      <c r="A2488" s="3">
        <v>34</v>
      </c>
      <c r="B2488" s="4" t="s">
        <v>64</v>
      </c>
      <c r="C2488" s="3" t="s">
        <v>347</v>
      </c>
      <c r="G2488" s="57"/>
    </row>
    <row r="2489" spans="1:7" ht="12.75" x14ac:dyDescent="0.2">
      <c r="A2489" s="3">
        <v>34</v>
      </c>
      <c r="B2489" s="4" t="s">
        <v>64</v>
      </c>
      <c r="C2489" s="3" t="s">
        <v>347</v>
      </c>
      <c r="F2489">
        <f>SUM(E2486:E2493)</f>
        <v>0</v>
      </c>
      <c r="G2489" s="57"/>
    </row>
    <row r="2490" spans="1:7" ht="12.75" x14ac:dyDescent="0.2">
      <c r="A2490" s="3">
        <v>34</v>
      </c>
      <c r="B2490" s="4" t="s">
        <v>64</v>
      </c>
      <c r="C2490" s="3" t="s">
        <v>347</v>
      </c>
      <c r="G2490" s="59">
        <v>1615</v>
      </c>
    </row>
    <row r="2491" spans="1:7" ht="12.75" x14ac:dyDescent="0.2">
      <c r="A2491" s="3">
        <v>34</v>
      </c>
      <c r="B2491" s="4" t="s">
        <v>64</v>
      </c>
      <c r="C2491" s="3" t="s">
        <v>347</v>
      </c>
      <c r="G2491" s="57"/>
    </row>
    <row r="2492" spans="1:7" ht="12.75" x14ac:dyDescent="0.2">
      <c r="A2492" s="3">
        <v>34</v>
      </c>
      <c r="B2492" s="4" t="s">
        <v>64</v>
      </c>
      <c r="C2492" s="3" t="s">
        <v>347</v>
      </c>
      <c r="G2492" s="57"/>
    </row>
    <row r="2493" spans="1:7" ht="12.75" x14ac:dyDescent="0.2">
      <c r="A2493" s="3">
        <v>34</v>
      </c>
      <c r="B2493" s="4" t="s">
        <v>64</v>
      </c>
      <c r="C2493" s="3" t="s">
        <v>347</v>
      </c>
      <c r="G2493" s="57"/>
    </row>
    <row r="2494" spans="1:7" ht="12.75" x14ac:dyDescent="0.2">
      <c r="A2494" s="3">
        <v>34</v>
      </c>
      <c r="B2494" s="4" t="s">
        <v>64</v>
      </c>
      <c r="C2494" s="3" t="s">
        <v>273</v>
      </c>
      <c r="G2494" s="57"/>
    </row>
    <row r="2495" spans="1:7" ht="12.75" x14ac:dyDescent="0.2">
      <c r="A2495" s="3">
        <v>34</v>
      </c>
      <c r="B2495" s="4" t="s">
        <v>64</v>
      </c>
      <c r="C2495" s="3" t="s">
        <v>273</v>
      </c>
      <c r="F2495">
        <f>SUM(E2494:E2499)</f>
        <v>0</v>
      </c>
      <c r="G2495" s="57"/>
    </row>
    <row r="2496" spans="1:7" ht="12.75" x14ac:dyDescent="0.2">
      <c r="A2496" s="3">
        <v>34</v>
      </c>
      <c r="B2496" s="4" t="s">
        <v>64</v>
      </c>
      <c r="C2496" s="3" t="s">
        <v>273</v>
      </c>
      <c r="G2496" s="57"/>
    </row>
    <row r="2497" spans="1:7" ht="12.75" x14ac:dyDescent="0.2">
      <c r="A2497" s="3">
        <v>34</v>
      </c>
      <c r="B2497" s="4" t="s">
        <v>64</v>
      </c>
      <c r="C2497" s="3" t="s">
        <v>273</v>
      </c>
      <c r="G2497" s="57"/>
    </row>
    <row r="2498" spans="1:7" ht="12.75" x14ac:dyDescent="0.2">
      <c r="A2498" s="3">
        <v>34</v>
      </c>
      <c r="B2498" s="4" t="s">
        <v>64</v>
      </c>
      <c r="C2498" s="3" t="s">
        <v>273</v>
      </c>
      <c r="G2498" s="57"/>
    </row>
    <row r="2499" spans="1:7" ht="12.75" x14ac:dyDescent="0.2">
      <c r="A2499" s="3">
        <v>34</v>
      </c>
      <c r="B2499" s="4" t="s">
        <v>64</v>
      </c>
      <c r="C2499" s="3" t="s">
        <v>273</v>
      </c>
      <c r="G2499" s="57"/>
    </row>
    <row r="2500" spans="1:7" ht="12.75" x14ac:dyDescent="0.2">
      <c r="A2500" s="3">
        <v>34</v>
      </c>
      <c r="B2500" s="4" t="s">
        <v>64</v>
      </c>
      <c r="C2500" s="3" t="s">
        <v>125</v>
      </c>
      <c r="G2500" s="57"/>
    </row>
    <row r="2501" spans="1:7" ht="12.75" x14ac:dyDescent="0.2">
      <c r="A2501" s="3">
        <v>34</v>
      </c>
      <c r="B2501" s="4" t="s">
        <v>64</v>
      </c>
      <c r="C2501" s="3" t="s">
        <v>125</v>
      </c>
      <c r="F2501">
        <f>SUM(E2500:E2505)</f>
        <v>0</v>
      </c>
      <c r="G2501" s="57"/>
    </row>
    <row r="2502" spans="1:7" ht="12.75" x14ac:dyDescent="0.2">
      <c r="A2502" s="3">
        <v>34</v>
      </c>
      <c r="B2502" s="4" t="s">
        <v>64</v>
      </c>
      <c r="C2502" s="3" t="s">
        <v>125</v>
      </c>
      <c r="G2502" s="57"/>
    </row>
    <row r="2503" spans="1:7" ht="12.75" x14ac:dyDescent="0.2">
      <c r="A2503" s="3">
        <v>34</v>
      </c>
      <c r="B2503" s="4" t="s">
        <v>64</v>
      </c>
      <c r="C2503" s="3" t="s">
        <v>125</v>
      </c>
      <c r="G2503" s="57"/>
    </row>
    <row r="2504" spans="1:7" ht="12.75" x14ac:dyDescent="0.2">
      <c r="A2504" s="3">
        <v>34</v>
      </c>
      <c r="B2504" s="4" t="s">
        <v>64</v>
      </c>
      <c r="C2504" s="3" t="s">
        <v>125</v>
      </c>
      <c r="G2504" s="57"/>
    </row>
    <row r="2505" spans="1:7" ht="12.75" x14ac:dyDescent="0.2">
      <c r="A2505" s="3">
        <v>34</v>
      </c>
      <c r="B2505" s="4" t="s">
        <v>64</v>
      </c>
      <c r="C2505" s="3" t="s">
        <v>125</v>
      </c>
      <c r="G2505" s="57"/>
    </row>
    <row r="2506" spans="1:7" ht="12.75" x14ac:dyDescent="0.2">
      <c r="A2506" s="3">
        <v>35</v>
      </c>
      <c r="B2506" s="4" t="s">
        <v>65</v>
      </c>
      <c r="C2506" s="3" t="s">
        <v>347</v>
      </c>
      <c r="G2506" s="57"/>
    </row>
    <row r="2507" spans="1:7" ht="12.75" x14ac:dyDescent="0.2">
      <c r="A2507" s="3">
        <v>35</v>
      </c>
      <c r="B2507" s="4" t="s">
        <v>65</v>
      </c>
      <c r="C2507" s="3" t="s">
        <v>347</v>
      </c>
      <c r="G2507" s="57"/>
    </row>
    <row r="2508" spans="1:7" ht="12.75" x14ac:dyDescent="0.2">
      <c r="A2508" s="3">
        <v>35</v>
      </c>
      <c r="B2508" s="4" t="s">
        <v>65</v>
      </c>
      <c r="C2508" s="3" t="s">
        <v>347</v>
      </c>
      <c r="G2508" s="57"/>
    </row>
    <row r="2509" spans="1:7" ht="12.75" x14ac:dyDescent="0.2">
      <c r="A2509" s="3">
        <v>35</v>
      </c>
      <c r="B2509" s="4" t="s">
        <v>65</v>
      </c>
      <c r="C2509" s="3" t="s">
        <v>347</v>
      </c>
      <c r="F2509">
        <f>SUM(E2506:E2513)</f>
        <v>0</v>
      </c>
      <c r="G2509" s="57"/>
    </row>
    <row r="2510" spans="1:7" ht="12.75" x14ac:dyDescent="0.2">
      <c r="A2510" s="3">
        <v>35</v>
      </c>
      <c r="B2510" s="4" t="s">
        <v>65</v>
      </c>
      <c r="C2510" s="3" t="s">
        <v>347</v>
      </c>
      <c r="G2510" s="59">
        <v>400</v>
      </c>
    </row>
    <row r="2511" spans="1:7" ht="12.75" x14ac:dyDescent="0.2">
      <c r="A2511" s="3">
        <v>35</v>
      </c>
      <c r="B2511" s="4" t="s">
        <v>65</v>
      </c>
      <c r="C2511" s="3" t="s">
        <v>347</v>
      </c>
      <c r="G2511" s="57"/>
    </row>
    <row r="2512" spans="1:7" ht="12.75" x14ac:dyDescent="0.2">
      <c r="A2512" s="3">
        <v>35</v>
      </c>
      <c r="B2512" s="4" t="s">
        <v>65</v>
      </c>
      <c r="C2512" s="3" t="s">
        <v>347</v>
      </c>
      <c r="G2512" s="57"/>
    </row>
    <row r="2513" spans="1:7" ht="12.75" x14ac:dyDescent="0.2">
      <c r="A2513" s="3">
        <v>35</v>
      </c>
      <c r="B2513" s="4" t="s">
        <v>65</v>
      </c>
      <c r="C2513" s="3" t="s">
        <v>347</v>
      </c>
      <c r="G2513" s="57"/>
    </row>
    <row r="2514" spans="1:7" ht="12.75" x14ac:dyDescent="0.2">
      <c r="A2514" s="3">
        <v>35</v>
      </c>
      <c r="B2514" s="4" t="s">
        <v>65</v>
      </c>
      <c r="C2514" s="3" t="s">
        <v>273</v>
      </c>
      <c r="G2514" s="57"/>
    </row>
    <row r="2515" spans="1:7" ht="12.75" x14ac:dyDescent="0.2">
      <c r="A2515" s="3">
        <v>35</v>
      </c>
      <c r="B2515" s="4" t="s">
        <v>65</v>
      </c>
      <c r="C2515" s="3" t="s">
        <v>273</v>
      </c>
      <c r="F2515">
        <f>SUM(E2514:E2519)</f>
        <v>0</v>
      </c>
      <c r="G2515" s="57"/>
    </row>
    <row r="2516" spans="1:7" ht="12.75" x14ac:dyDescent="0.2">
      <c r="A2516" s="3">
        <v>35</v>
      </c>
      <c r="B2516" s="4" t="s">
        <v>65</v>
      </c>
      <c r="C2516" s="3" t="s">
        <v>273</v>
      </c>
      <c r="G2516" s="57"/>
    </row>
    <row r="2517" spans="1:7" ht="12.75" x14ac:dyDescent="0.2">
      <c r="A2517" s="3">
        <v>35</v>
      </c>
      <c r="B2517" s="4" t="s">
        <v>65</v>
      </c>
      <c r="C2517" s="3" t="s">
        <v>273</v>
      </c>
      <c r="G2517" s="57"/>
    </row>
    <row r="2518" spans="1:7" ht="12.75" x14ac:dyDescent="0.2">
      <c r="A2518" s="3">
        <v>35</v>
      </c>
      <c r="B2518" s="4" t="s">
        <v>65</v>
      </c>
      <c r="C2518" s="3" t="s">
        <v>273</v>
      </c>
      <c r="G2518" s="57"/>
    </row>
    <row r="2519" spans="1:7" ht="12.75" x14ac:dyDescent="0.2">
      <c r="A2519" s="3">
        <v>35</v>
      </c>
      <c r="B2519" s="4" t="s">
        <v>65</v>
      </c>
      <c r="C2519" s="3" t="s">
        <v>273</v>
      </c>
      <c r="G2519" s="57"/>
    </row>
    <row r="2520" spans="1:7" ht="12.75" x14ac:dyDescent="0.2">
      <c r="A2520" s="3">
        <v>35</v>
      </c>
      <c r="B2520" s="4" t="s">
        <v>65</v>
      </c>
      <c r="C2520" s="3" t="s">
        <v>125</v>
      </c>
      <c r="G2520" s="57"/>
    </row>
    <row r="2521" spans="1:7" ht="12.75" x14ac:dyDescent="0.2">
      <c r="A2521" s="3">
        <v>35</v>
      </c>
      <c r="B2521" s="4" t="s">
        <v>65</v>
      </c>
      <c r="C2521" s="3" t="s">
        <v>125</v>
      </c>
      <c r="F2521">
        <f>SUM(E2520:E2525)</f>
        <v>0</v>
      </c>
      <c r="G2521" s="57"/>
    </row>
    <row r="2522" spans="1:7" ht="12.75" x14ac:dyDescent="0.2">
      <c r="A2522" s="3">
        <v>35</v>
      </c>
      <c r="B2522" s="4" t="s">
        <v>65</v>
      </c>
      <c r="C2522" s="3" t="s">
        <v>125</v>
      </c>
      <c r="G2522" s="57"/>
    </row>
    <row r="2523" spans="1:7" ht="12.75" x14ac:dyDescent="0.2">
      <c r="A2523" s="3">
        <v>35</v>
      </c>
      <c r="B2523" s="4" t="s">
        <v>65</v>
      </c>
      <c r="C2523" s="3" t="s">
        <v>125</v>
      </c>
      <c r="G2523" s="57"/>
    </row>
    <row r="2524" spans="1:7" ht="12.75" x14ac:dyDescent="0.2">
      <c r="A2524" s="3">
        <v>35</v>
      </c>
      <c r="B2524" s="4" t="s">
        <v>65</v>
      </c>
      <c r="C2524" s="3" t="s">
        <v>125</v>
      </c>
      <c r="G2524" s="57"/>
    </row>
    <row r="2525" spans="1:7" ht="12.75" x14ac:dyDescent="0.2">
      <c r="A2525" s="3">
        <v>35</v>
      </c>
      <c r="B2525" s="4" t="s">
        <v>65</v>
      </c>
      <c r="C2525" s="3" t="s">
        <v>125</v>
      </c>
      <c r="G2525" s="57"/>
    </row>
    <row r="2526" spans="1:7" ht="12.75" x14ac:dyDescent="0.2">
      <c r="A2526" s="3">
        <v>37</v>
      </c>
      <c r="B2526" s="4" t="s">
        <v>67</v>
      </c>
      <c r="C2526" s="3" t="s">
        <v>347</v>
      </c>
      <c r="G2526" s="57"/>
    </row>
    <row r="2527" spans="1:7" ht="12.75" x14ac:dyDescent="0.2">
      <c r="A2527" s="3">
        <v>37</v>
      </c>
      <c r="B2527" s="4" t="s">
        <v>67</v>
      </c>
      <c r="C2527" s="3" t="s">
        <v>347</v>
      </c>
      <c r="G2527" s="57"/>
    </row>
    <row r="2528" spans="1:7" ht="12.75" x14ac:dyDescent="0.2">
      <c r="A2528" s="3">
        <v>37</v>
      </c>
      <c r="B2528" s="4" t="s">
        <v>67</v>
      </c>
      <c r="C2528" s="3" t="s">
        <v>347</v>
      </c>
      <c r="G2528" s="57"/>
    </row>
    <row r="2529" spans="1:7" ht="12.75" x14ac:dyDescent="0.2">
      <c r="A2529" s="3">
        <v>37</v>
      </c>
      <c r="B2529" s="4" t="s">
        <v>67</v>
      </c>
      <c r="C2529" s="3" t="s">
        <v>347</v>
      </c>
      <c r="F2529">
        <f>SUM(E2526:E2533)</f>
        <v>0</v>
      </c>
      <c r="G2529" s="57"/>
    </row>
    <row r="2530" spans="1:7" ht="12.75" x14ac:dyDescent="0.2">
      <c r="A2530" s="3">
        <v>37</v>
      </c>
      <c r="B2530" s="4" t="s">
        <v>67</v>
      </c>
      <c r="C2530" s="3" t="s">
        <v>347</v>
      </c>
      <c r="G2530" s="59">
        <v>2506</v>
      </c>
    </row>
    <row r="2531" spans="1:7" ht="12.75" x14ac:dyDescent="0.2">
      <c r="A2531" s="3">
        <v>37</v>
      </c>
      <c r="B2531" s="4" t="s">
        <v>67</v>
      </c>
      <c r="C2531" s="3" t="s">
        <v>347</v>
      </c>
      <c r="G2531" s="57"/>
    </row>
    <row r="2532" spans="1:7" ht="12.75" x14ac:dyDescent="0.2">
      <c r="A2532" s="3">
        <v>37</v>
      </c>
      <c r="B2532" s="4" t="s">
        <v>67</v>
      </c>
      <c r="C2532" s="3" t="s">
        <v>347</v>
      </c>
      <c r="G2532" s="57"/>
    </row>
    <row r="2533" spans="1:7" ht="12.75" x14ac:dyDescent="0.2">
      <c r="A2533" s="3">
        <v>37</v>
      </c>
      <c r="B2533" s="4" t="s">
        <v>67</v>
      </c>
      <c r="C2533" s="3" t="s">
        <v>347</v>
      </c>
      <c r="G2533" s="57"/>
    </row>
    <row r="2534" spans="1:7" ht="12.75" x14ac:dyDescent="0.2">
      <c r="A2534" s="3">
        <v>37</v>
      </c>
      <c r="B2534" s="4" t="s">
        <v>67</v>
      </c>
      <c r="C2534" s="3" t="s">
        <v>273</v>
      </c>
      <c r="G2534" s="57"/>
    </row>
    <row r="2535" spans="1:7" ht="12.75" x14ac:dyDescent="0.2">
      <c r="A2535" s="3">
        <v>37</v>
      </c>
      <c r="B2535" s="4" t="s">
        <v>67</v>
      </c>
      <c r="C2535" s="3" t="s">
        <v>273</v>
      </c>
      <c r="F2535">
        <f>SUM(E2534:E2539)</f>
        <v>0</v>
      </c>
      <c r="G2535" s="57"/>
    </row>
    <row r="2536" spans="1:7" ht="12.75" x14ac:dyDescent="0.2">
      <c r="A2536" s="3">
        <v>37</v>
      </c>
      <c r="B2536" s="4" t="s">
        <v>67</v>
      </c>
      <c r="C2536" s="3" t="s">
        <v>273</v>
      </c>
      <c r="G2536" s="57"/>
    </row>
    <row r="2537" spans="1:7" ht="12.75" x14ac:dyDescent="0.2">
      <c r="A2537" s="3">
        <v>37</v>
      </c>
      <c r="B2537" s="4" t="s">
        <v>67</v>
      </c>
      <c r="C2537" s="3" t="s">
        <v>273</v>
      </c>
      <c r="G2537" s="57"/>
    </row>
    <row r="2538" spans="1:7" ht="12.75" x14ac:dyDescent="0.2">
      <c r="A2538" s="3">
        <v>37</v>
      </c>
      <c r="B2538" s="4" t="s">
        <v>67</v>
      </c>
      <c r="C2538" s="3" t="s">
        <v>273</v>
      </c>
      <c r="G2538" s="57"/>
    </row>
    <row r="2539" spans="1:7" ht="12.75" x14ac:dyDescent="0.2">
      <c r="A2539" s="3">
        <v>37</v>
      </c>
      <c r="B2539" s="4" t="s">
        <v>67</v>
      </c>
      <c r="C2539" s="3" t="s">
        <v>273</v>
      </c>
      <c r="G2539" s="57"/>
    </row>
    <row r="2540" spans="1:7" ht="12.75" x14ac:dyDescent="0.2">
      <c r="A2540" s="3">
        <v>37</v>
      </c>
      <c r="B2540" s="4" t="s">
        <v>67</v>
      </c>
      <c r="C2540" s="3" t="s">
        <v>125</v>
      </c>
      <c r="G2540" s="57"/>
    </row>
    <row r="2541" spans="1:7" ht="12.75" x14ac:dyDescent="0.2">
      <c r="A2541" s="3">
        <v>37</v>
      </c>
      <c r="B2541" s="4" t="s">
        <v>67</v>
      </c>
      <c r="C2541" s="3" t="s">
        <v>125</v>
      </c>
      <c r="F2541">
        <f>SUM(E2540:E2545)</f>
        <v>0</v>
      </c>
      <c r="G2541" s="57"/>
    </row>
    <row r="2542" spans="1:7" ht="12.75" x14ac:dyDescent="0.2">
      <c r="A2542" s="3">
        <v>37</v>
      </c>
      <c r="B2542" s="4" t="s">
        <v>67</v>
      </c>
      <c r="C2542" s="3" t="s">
        <v>125</v>
      </c>
      <c r="G2542" s="57"/>
    </row>
    <row r="2543" spans="1:7" ht="12.75" x14ac:dyDescent="0.2">
      <c r="A2543" s="3">
        <v>37</v>
      </c>
      <c r="B2543" s="4" t="s">
        <v>67</v>
      </c>
      <c r="C2543" s="3" t="s">
        <v>125</v>
      </c>
      <c r="G2543" s="57"/>
    </row>
    <row r="2544" spans="1:7" ht="12.75" x14ac:dyDescent="0.2">
      <c r="A2544" s="3">
        <v>37</v>
      </c>
      <c r="B2544" s="4" t="s">
        <v>67</v>
      </c>
      <c r="C2544" s="3" t="s">
        <v>125</v>
      </c>
      <c r="G2544" s="57"/>
    </row>
    <row r="2545" spans="1:7" ht="12.75" x14ac:dyDescent="0.2">
      <c r="A2545" s="3">
        <v>37</v>
      </c>
      <c r="B2545" s="4" t="s">
        <v>67</v>
      </c>
      <c r="C2545" s="3" t="s">
        <v>125</v>
      </c>
      <c r="G2545" s="57"/>
    </row>
    <row r="2546" spans="1:7" ht="12.75" x14ac:dyDescent="0.2">
      <c r="A2546" s="3">
        <v>38</v>
      </c>
      <c r="B2546" s="4" t="s">
        <v>68</v>
      </c>
      <c r="C2546" s="3" t="s">
        <v>347</v>
      </c>
      <c r="G2546" s="57"/>
    </row>
    <row r="2547" spans="1:7" ht="12.75" x14ac:dyDescent="0.2">
      <c r="A2547" s="3">
        <v>38</v>
      </c>
      <c r="B2547" s="4" t="s">
        <v>68</v>
      </c>
      <c r="C2547" s="3" t="s">
        <v>347</v>
      </c>
      <c r="G2547" s="57"/>
    </row>
    <row r="2548" spans="1:7" ht="12.75" x14ac:dyDescent="0.2">
      <c r="A2548" s="3">
        <v>38</v>
      </c>
      <c r="B2548" s="4" t="s">
        <v>68</v>
      </c>
      <c r="C2548" s="3" t="s">
        <v>347</v>
      </c>
      <c r="G2548" s="57"/>
    </row>
    <row r="2549" spans="1:7" ht="12.75" x14ac:dyDescent="0.2">
      <c r="A2549" s="3">
        <v>38</v>
      </c>
      <c r="B2549" s="4" t="s">
        <v>68</v>
      </c>
      <c r="C2549" s="3" t="s">
        <v>347</v>
      </c>
      <c r="F2549">
        <f>SUM(E2546:E2553)</f>
        <v>0</v>
      </c>
      <c r="G2549" s="57"/>
    </row>
    <row r="2550" spans="1:7" ht="12.75" x14ac:dyDescent="0.2">
      <c r="A2550" s="3">
        <v>38</v>
      </c>
      <c r="B2550" s="4" t="s">
        <v>68</v>
      </c>
      <c r="C2550" s="3" t="s">
        <v>347</v>
      </c>
      <c r="G2550" s="59">
        <v>2466</v>
      </c>
    </row>
    <row r="2551" spans="1:7" ht="12.75" x14ac:dyDescent="0.2">
      <c r="A2551" s="3">
        <v>38</v>
      </c>
      <c r="B2551" s="4" t="s">
        <v>68</v>
      </c>
      <c r="C2551" s="3" t="s">
        <v>347</v>
      </c>
      <c r="G2551" s="57"/>
    </row>
    <row r="2552" spans="1:7" ht="12.75" x14ac:dyDescent="0.2">
      <c r="A2552" s="3">
        <v>38</v>
      </c>
      <c r="B2552" s="4" t="s">
        <v>68</v>
      </c>
      <c r="C2552" s="3" t="s">
        <v>347</v>
      </c>
      <c r="G2552" s="57"/>
    </row>
    <row r="2553" spans="1:7" ht="12.75" x14ac:dyDescent="0.2">
      <c r="A2553" s="3">
        <v>38</v>
      </c>
      <c r="B2553" s="4" t="s">
        <v>68</v>
      </c>
      <c r="C2553" s="3" t="s">
        <v>347</v>
      </c>
      <c r="G2553" s="57"/>
    </row>
    <row r="2554" spans="1:7" ht="12.75" x14ac:dyDescent="0.2">
      <c r="A2554" s="3">
        <v>38</v>
      </c>
      <c r="B2554" s="4" t="s">
        <v>68</v>
      </c>
      <c r="C2554" s="3" t="s">
        <v>273</v>
      </c>
      <c r="G2554" s="57"/>
    </row>
    <row r="2555" spans="1:7" ht="12.75" x14ac:dyDescent="0.2">
      <c r="A2555" s="3">
        <v>38</v>
      </c>
      <c r="B2555" s="4" t="s">
        <v>68</v>
      </c>
      <c r="C2555" s="3" t="s">
        <v>273</v>
      </c>
      <c r="F2555">
        <f>SUM(E2554:E2559)</f>
        <v>0</v>
      </c>
      <c r="G2555" s="57"/>
    </row>
    <row r="2556" spans="1:7" ht="12.75" x14ac:dyDescent="0.2">
      <c r="A2556" s="3">
        <v>38</v>
      </c>
      <c r="B2556" s="4" t="s">
        <v>68</v>
      </c>
      <c r="C2556" s="3" t="s">
        <v>273</v>
      </c>
      <c r="G2556" s="57"/>
    </row>
    <row r="2557" spans="1:7" ht="12.75" x14ac:dyDescent="0.2">
      <c r="A2557" s="3">
        <v>38</v>
      </c>
      <c r="B2557" s="4" t="s">
        <v>68</v>
      </c>
      <c r="C2557" s="3" t="s">
        <v>273</v>
      </c>
      <c r="G2557" s="57"/>
    </row>
    <row r="2558" spans="1:7" ht="12.75" x14ac:dyDescent="0.2">
      <c r="A2558" s="3">
        <v>38</v>
      </c>
      <c r="B2558" s="4" t="s">
        <v>68</v>
      </c>
      <c r="C2558" s="3" t="s">
        <v>273</v>
      </c>
      <c r="G2558" s="57"/>
    </row>
    <row r="2559" spans="1:7" ht="12.75" x14ac:dyDescent="0.2">
      <c r="A2559" s="3">
        <v>38</v>
      </c>
      <c r="B2559" s="4" t="s">
        <v>68</v>
      </c>
      <c r="C2559" s="3" t="s">
        <v>273</v>
      </c>
      <c r="G2559" s="57"/>
    </row>
    <row r="2560" spans="1:7" ht="12.75" x14ac:dyDescent="0.2">
      <c r="A2560" s="3">
        <v>38</v>
      </c>
      <c r="B2560" s="4" t="s">
        <v>68</v>
      </c>
      <c r="C2560" s="3" t="s">
        <v>125</v>
      </c>
      <c r="G2560" s="57"/>
    </row>
    <row r="2561" spans="1:7" ht="12.75" x14ac:dyDescent="0.2">
      <c r="A2561" s="3">
        <v>38</v>
      </c>
      <c r="B2561" s="4" t="s">
        <v>68</v>
      </c>
      <c r="C2561" s="3" t="s">
        <v>125</v>
      </c>
      <c r="F2561">
        <f>SUM(E2560:E2565)</f>
        <v>0</v>
      </c>
      <c r="G2561" s="57"/>
    </row>
    <row r="2562" spans="1:7" ht="12.75" x14ac:dyDescent="0.2">
      <c r="A2562" s="3">
        <v>38</v>
      </c>
      <c r="B2562" s="4" t="s">
        <v>68</v>
      </c>
      <c r="C2562" s="3" t="s">
        <v>125</v>
      </c>
      <c r="G2562" s="57"/>
    </row>
    <row r="2563" spans="1:7" ht="12.75" x14ac:dyDescent="0.2">
      <c r="A2563" s="3">
        <v>38</v>
      </c>
      <c r="B2563" s="4" t="s">
        <v>68</v>
      </c>
      <c r="C2563" s="3" t="s">
        <v>125</v>
      </c>
      <c r="G2563" s="57"/>
    </row>
    <row r="2564" spans="1:7" ht="12.75" x14ac:dyDescent="0.2">
      <c r="A2564" s="3">
        <v>38</v>
      </c>
      <c r="B2564" s="4" t="s">
        <v>68</v>
      </c>
      <c r="C2564" s="3" t="s">
        <v>125</v>
      </c>
      <c r="G2564" s="57"/>
    </row>
    <row r="2565" spans="1:7" ht="12.75" x14ac:dyDescent="0.2">
      <c r="A2565" s="3">
        <v>38</v>
      </c>
      <c r="B2565" s="4" t="s">
        <v>68</v>
      </c>
      <c r="C2565" s="3" t="s">
        <v>125</v>
      </c>
      <c r="G2565" s="57"/>
    </row>
    <row r="2566" spans="1:7" ht="12.75" x14ac:dyDescent="0.2">
      <c r="A2566" s="3">
        <v>39</v>
      </c>
      <c r="B2566" s="4" t="s">
        <v>69</v>
      </c>
      <c r="C2566" s="3" t="s">
        <v>347</v>
      </c>
      <c r="G2566" s="57"/>
    </row>
    <row r="2567" spans="1:7" ht="12.75" x14ac:dyDescent="0.2">
      <c r="A2567" s="3">
        <v>39</v>
      </c>
      <c r="B2567" s="4" t="s">
        <v>69</v>
      </c>
      <c r="C2567" s="3" t="s">
        <v>347</v>
      </c>
      <c r="G2567" s="57"/>
    </row>
    <row r="2568" spans="1:7" ht="12.75" x14ac:dyDescent="0.2">
      <c r="A2568" s="3">
        <v>39</v>
      </c>
      <c r="B2568" s="4" t="s">
        <v>69</v>
      </c>
      <c r="C2568" s="3" t="s">
        <v>347</v>
      </c>
      <c r="G2568" s="57"/>
    </row>
    <row r="2569" spans="1:7" ht="12.75" x14ac:dyDescent="0.2">
      <c r="A2569" s="3">
        <v>39</v>
      </c>
      <c r="B2569" s="4" t="s">
        <v>69</v>
      </c>
      <c r="C2569" s="3" t="s">
        <v>347</v>
      </c>
      <c r="F2569">
        <f>SUM(E2566:E2573)</f>
        <v>0</v>
      </c>
      <c r="G2569" s="57"/>
    </row>
    <row r="2570" spans="1:7" ht="12.75" x14ac:dyDescent="0.2">
      <c r="A2570" s="3">
        <v>39</v>
      </c>
      <c r="B2570" s="4" t="s">
        <v>69</v>
      </c>
      <c r="C2570" s="3" t="s">
        <v>347</v>
      </c>
      <c r="G2570" s="59">
        <v>337</v>
      </c>
    </row>
    <row r="2571" spans="1:7" ht="12.75" x14ac:dyDescent="0.2">
      <c r="A2571" s="3">
        <v>39</v>
      </c>
      <c r="B2571" s="4" t="s">
        <v>69</v>
      </c>
      <c r="C2571" s="3" t="s">
        <v>347</v>
      </c>
      <c r="G2571" s="57"/>
    </row>
    <row r="2572" spans="1:7" ht="12.75" x14ac:dyDescent="0.2">
      <c r="A2572" s="3">
        <v>39</v>
      </c>
      <c r="B2572" s="4" t="s">
        <v>69</v>
      </c>
      <c r="C2572" s="3" t="s">
        <v>347</v>
      </c>
      <c r="G2572" s="57"/>
    </row>
    <row r="2573" spans="1:7" ht="12.75" x14ac:dyDescent="0.2">
      <c r="A2573" s="3">
        <v>39</v>
      </c>
      <c r="B2573" s="4" t="s">
        <v>69</v>
      </c>
      <c r="C2573" s="3" t="s">
        <v>347</v>
      </c>
      <c r="G2573" s="57"/>
    </row>
    <row r="2574" spans="1:7" ht="12.75" x14ac:dyDescent="0.2">
      <c r="A2574" s="3">
        <v>39</v>
      </c>
      <c r="B2574" s="4" t="s">
        <v>69</v>
      </c>
      <c r="C2574" s="3" t="s">
        <v>273</v>
      </c>
      <c r="G2574" s="57"/>
    </row>
    <row r="2575" spans="1:7" ht="12.75" x14ac:dyDescent="0.2">
      <c r="A2575" s="3">
        <v>39</v>
      </c>
      <c r="B2575" s="4" t="s">
        <v>69</v>
      </c>
      <c r="C2575" s="3" t="s">
        <v>273</v>
      </c>
      <c r="F2575">
        <f>SUM(E2574:E2579)</f>
        <v>0</v>
      </c>
      <c r="G2575" s="57"/>
    </row>
    <row r="2576" spans="1:7" ht="12.75" x14ac:dyDescent="0.2">
      <c r="A2576" s="3">
        <v>39</v>
      </c>
      <c r="B2576" s="4" t="s">
        <v>69</v>
      </c>
      <c r="C2576" s="3" t="s">
        <v>273</v>
      </c>
      <c r="G2576" s="57"/>
    </row>
    <row r="2577" spans="1:7" ht="12.75" x14ac:dyDescent="0.2">
      <c r="A2577" s="3">
        <v>39</v>
      </c>
      <c r="B2577" s="4" t="s">
        <v>69</v>
      </c>
      <c r="C2577" s="3" t="s">
        <v>273</v>
      </c>
      <c r="G2577" s="57"/>
    </row>
    <row r="2578" spans="1:7" ht="12.75" x14ac:dyDescent="0.2">
      <c r="A2578" s="3">
        <v>39</v>
      </c>
      <c r="B2578" s="4" t="s">
        <v>69</v>
      </c>
      <c r="C2578" s="3" t="s">
        <v>273</v>
      </c>
      <c r="G2578" s="57"/>
    </row>
    <row r="2579" spans="1:7" ht="12.75" x14ac:dyDescent="0.2">
      <c r="A2579" s="3">
        <v>39</v>
      </c>
      <c r="B2579" s="4" t="s">
        <v>69</v>
      </c>
      <c r="C2579" s="3" t="s">
        <v>273</v>
      </c>
      <c r="G2579" s="57"/>
    </row>
    <row r="2580" spans="1:7" ht="12.75" x14ac:dyDescent="0.2">
      <c r="A2580" s="3">
        <v>39</v>
      </c>
      <c r="B2580" s="4" t="s">
        <v>69</v>
      </c>
      <c r="C2580" s="3" t="s">
        <v>125</v>
      </c>
      <c r="G2580" s="57"/>
    </row>
    <row r="2581" spans="1:7" ht="12.75" x14ac:dyDescent="0.2">
      <c r="A2581" s="3">
        <v>39</v>
      </c>
      <c r="B2581" s="4" t="s">
        <v>69</v>
      </c>
      <c r="C2581" s="3" t="s">
        <v>125</v>
      </c>
      <c r="F2581">
        <f>SUM(E2580:E2585)</f>
        <v>0</v>
      </c>
      <c r="G2581" s="57"/>
    </row>
    <row r="2582" spans="1:7" ht="12.75" x14ac:dyDescent="0.2">
      <c r="A2582" s="3">
        <v>39</v>
      </c>
      <c r="B2582" s="4" t="s">
        <v>69</v>
      </c>
      <c r="C2582" s="3" t="s">
        <v>125</v>
      </c>
      <c r="G2582" s="57"/>
    </row>
    <row r="2583" spans="1:7" ht="12.75" x14ac:dyDescent="0.2">
      <c r="A2583" s="3">
        <v>39</v>
      </c>
      <c r="B2583" s="4" t="s">
        <v>69</v>
      </c>
      <c r="C2583" s="3" t="s">
        <v>125</v>
      </c>
      <c r="G2583" s="57"/>
    </row>
    <row r="2584" spans="1:7" ht="12.75" x14ac:dyDescent="0.2">
      <c r="A2584" s="3">
        <v>39</v>
      </c>
      <c r="B2584" s="4" t="s">
        <v>69</v>
      </c>
      <c r="C2584" s="3" t="s">
        <v>125</v>
      </c>
      <c r="G2584" s="57"/>
    </row>
    <row r="2585" spans="1:7" ht="12.75" x14ac:dyDescent="0.2">
      <c r="A2585" s="3">
        <v>39</v>
      </c>
      <c r="B2585" s="4" t="s">
        <v>69</v>
      </c>
      <c r="C2585" s="3" t="s">
        <v>125</v>
      </c>
      <c r="G2585" s="57"/>
    </row>
    <row r="2586" spans="1:7" ht="12.75" x14ac:dyDescent="0.2">
      <c r="A2586" s="2" t="s">
        <v>70</v>
      </c>
      <c r="B2586" s="4" t="s">
        <v>71</v>
      </c>
      <c r="C2586" s="3" t="s">
        <v>347</v>
      </c>
      <c r="G2586" s="57"/>
    </row>
    <row r="2587" spans="1:7" ht="12.75" x14ac:dyDescent="0.2">
      <c r="A2587" s="2" t="s">
        <v>70</v>
      </c>
      <c r="B2587" s="4" t="s">
        <v>71</v>
      </c>
      <c r="C2587" s="3" t="s">
        <v>347</v>
      </c>
      <c r="G2587" s="57"/>
    </row>
    <row r="2588" spans="1:7" ht="12.75" x14ac:dyDescent="0.2">
      <c r="A2588" s="2" t="s">
        <v>70</v>
      </c>
      <c r="B2588" s="4" t="s">
        <v>71</v>
      </c>
      <c r="C2588" s="3" t="s">
        <v>347</v>
      </c>
      <c r="G2588" s="57"/>
    </row>
    <row r="2589" spans="1:7" ht="12.75" x14ac:dyDescent="0.2">
      <c r="A2589" s="2" t="s">
        <v>70</v>
      </c>
      <c r="B2589" s="4" t="s">
        <v>71</v>
      </c>
      <c r="C2589" s="3" t="s">
        <v>347</v>
      </c>
      <c r="F2589">
        <f>SUM(E2586:E2593)</f>
        <v>0</v>
      </c>
      <c r="G2589" s="57"/>
    </row>
    <row r="2590" spans="1:7" ht="12.75" x14ac:dyDescent="0.2">
      <c r="A2590" s="2" t="s">
        <v>70</v>
      </c>
      <c r="B2590" s="4" t="s">
        <v>71</v>
      </c>
      <c r="C2590" s="3" t="s">
        <v>347</v>
      </c>
      <c r="G2590" s="59">
        <v>127</v>
      </c>
    </row>
    <row r="2591" spans="1:7" ht="12.75" x14ac:dyDescent="0.2">
      <c r="A2591" s="2" t="s">
        <v>70</v>
      </c>
      <c r="B2591" s="4" t="s">
        <v>71</v>
      </c>
      <c r="C2591" s="3" t="s">
        <v>347</v>
      </c>
      <c r="G2591" s="57"/>
    </row>
    <row r="2592" spans="1:7" ht="12.75" x14ac:dyDescent="0.2">
      <c r="A2592" s="2" t="s">
        <v>70</v>
      </c>
      <c r="B2592" s="4" t="s">
        <v>71</v>
      </c>
      <c r="C2592" s="3" t="s">
        <v>347</v>
      </c>
      <c r="G2592" s="57"/>
    </row>
    <row r="2593" spans="1:7" ht="12.75" x14ac:dyDescent="0.2">
      <c r="A2593" s="2" t="s">
        <v>70</v>
      </c>
      <c r="B2593" s="4" t="s">
        <v>71</v>
      </c>
      <c r="C2593" s="3" t="s">
        <v>347</v>
      </c>
      <c r="G2593" s="57"/>
    </row>
    <row r="2594" spans="1:7" ht="12.75" x14ac:dyDescent="0.2">
      <c r="A2594" s="2" t="s">
        <v>70</v>
      </c>
      <c r="B2594" s="4" t="s">
        <v>71</v>
      </c>
      <c r="C2594" s="3" t="s">
        <v>273</v>
      </c>
      <c r="G2594" s="57"/>
    </row>
    <row r="2595" spans="1:7" ht="12.75" x14ac:dyDescent="0.2">
      <c r="A2595" s="2" t="s">
        <v>70</v>
      </c>
      <c r="B2595" s="4" t="s">
        <v>71</v>
      </c>
      <c r="C2595" s="3" t="s">
        <v>273</v>
      </c>
      <c r="F2595">
        <f>SUM(E2594:E2599)</f>
        <v>0</v>
      </c>
      <c r="G2595" s="57"/>
    </row>
    <row r="2596" spans="1:7" ht="12.75" x14ac:dyDescent="0.2">
      <c r="A2596" s="2" t="s">
        <v>70</v>
      </c>
      <c r="B2596" s="4" t="s">
        <v>71</v>
      </c>
      <c r="C2596" s="3" t="s">
        <v>273</v>
      </c>
      <c r="G2596" s="57"/>
    </row>
    <row r="2597" spans="1:7" ht="12.75" x14ac:dyDescent="0.2">
      <c r="A2597" s="2" t="s">
        <v>70</v>
      </c>
      <c r="B2597" s="4" t="s">
        <v>71</v>
      </c>
      <c r="C2597" s="3" t="s">
        <v>273</v>
      </c>
      <c r="G2597" s="57"/>
    </row>
    <row r="2598" spans="1:7" ht="12.75" x14ac:dyDescent="0.2">
      <c r="A2598" s="2" t="s">
        <v>70</v>
      </c>
      <c r="B2598" s="4" t="s">
        <v>71</v>
      </c>
      <c r="C2598" s="3" t="s">
        <v>273</v>
      </c>
      <c r="G2598" s="57"/>
    </row>
    <row r="2599" spans="1:7" ht="12.75" x14ac:dyDescent="0.2">
      <c r="A2599" s="2" t="s">
        <v>70</v>
      </c>
      <c r="B2599" s="4" t="s">
        <v>71</v>
      </c>
      <c r="C2599" s="3" t="s">
        <v>273</v>
      </c>
      <c r="G2599" s="57"/>
    </row>
    <row r="2600" spans="1:7" ht="12.75" x14ac:dyDescent="0.2">
      <c r="A2600" s="2" t="s">
        <v>70</v>
      </c>
      <c r="B2600" s="4" t="s">
        <v>71</v>
      </c>
      <c r="C2600" s="3" t="s">
        <v>125</v>
      </c>
      <c r="G2600" s="57"/>
    </row>
    <row r="2601" spans="1:7" ht="12.75" x14ac:dyDescent="0.2">
      <c r="A2601" s="2" t="s">
        <v>70</v>
      </c>
      <c r="B2601" s="4" t="s">
        <v>71</v>
      </c>
      <c r="C2601" s="3" t="s">
        <v>125</v>
      </c>
      <c r="F2601">
        <f>SUM(E2600:E2605)</f>
        <v>0</v>
      </c>
      <c r="G2601" s="57"/>
    </row>
    <row r="2602" spans="1:7" ht="12.75" x14ac:dyDescent="0.2">
      <c r="A2602" s="2" t="s">
        <v>70</v>
      </c>
      <c r="B2602" s="4" t="s">
        <v>71</v>
      </c>
      <c r="C2602" s="3" t="s">
        <v>125</v>
      </c>
      <c r="G2602" s="57"/>
    </row>
    <row r="2603" spans="1:7" ht="12.75" x14ac:dyDescent="0.2">
      <c r="A2603" s="2" t="s">
        <v>70</v>
      </c>
      <c r="B2603" s="4" t="s">
        <v>71</v>
      </c>
      <c r="C2603" s="3" t="s">
        <v>125</v>
      </c>
      <c r="G2603" s="57"/>
    </row>
    <row r="2604" spans="1:7" ht="12.75" x14ac:dyDescent="0.2">
      <c r="A2604" s="2" t="s">
        <v>70</v>
      </c>
      <c r="B2604" s="4" t="s">
        <v>71</v>
      </c>
      <c r="C2604" s="3" t="s">
        <v>125</v>
      </c>
      <c r="G2604" s="57"/>
    </row>
    <row r="2605" spans="1:7" ht="12.75" x14ac:dyDescent="0.2">
      <c r="A2605" s="2" t="s">
        <v>70</v>
      </c>
      <c r="B2605" s="4" t="s">
        <v>71</v>
      </c>
      <c r="C2605" s="3" t="s">
        <v>125</v>
      </c>
      <c r="G2605" s="57"/>
    </row>
    <row r="2606" spans="1:7" ht="12.75" x14ac:dyDescent="0.2">
      <c r="A2606" s="2">
        <v>40</v>
      </c>
      <c r="B2606" s="4" t="s">
        <v>72</v>
      </c>
      <c r="C2606" s="3" t="s">
        <v>347</v>
      </c>
      <c r="G2606" s="57"/>
    </row>
    <row r="2607" spans="1:7" ht="12.75" x14ac:dyDescent="0.2">
      <c r="A2607" s="2">
        <v>40</v>
      </c>
      <c r="B2607" s="4" t="s">
        <v>72</v>
      </c>
      <c r="C2607" s="3" t="s">
        <v>347</v>
      </c>
      <c r="G2607" s="57"/>
    </row>
    <row r="2608" spans="1:7" ht="12.75" x14ac:dyDescent="0.2">
      <c r="A2608" s="2">
        <v>40</v>
      </c>
      <c r="B2608" s="4" t="s">
        <v>72</v>
      </c>
      <c r="C2608" s="3" t="s">
        <v>347</v>
      </c>
      <c r="G2608" s="57"/>
    </row>
    <row r="2609" spans="1:7" ht="12.75" x14ac:dyDescent="0.2">
      <c r="A2609" s="2">
        <v>40</v>
      </c>
      <c r="B2609" s="4" t="s">
        <v>72</v>
      </c>
      <c r="C2609" s="3" t="s">
        <v>347</v>
      </c>
      <c r="F2609">
        <f>SUM(E2606:E2613)</f>
        <v>0</v>
      </c>
      <c r="G2609" s="57"/>
    </row>
    <row r="2610" spans="1:7" ht="12.75" x14ac:dyDescent="0.2">
      <c r="A2610" s="2">
        <v>40</v>
      </c>
      <c r="B2610" s="4" t="s">
        <v>72</v>
      </c>
      <c r="C2610" s="3" t="s">
        <v>347</v>
      </c>
      <c r="G2610" s="59">
        <v>673</v>
      </c>
    </row>
    <row r="2611" spans="1:7" ht="12.75" x14ac:dyDescent="0.2">
      <c r="A2611" s="2">
        <v>40</v>
      </c>
      <c r="B2611" s="4" t="s">
        <v>72</v>
      </c>
      <c r="C2611" s="3" t="s">
        <v>347</v>
      </c>
      <c r="G2611" s="57"/>
    </row>
    <row r="2612" spans="1:7" ht="12.75" x14ac:dyDescent="0.2">
      <c r="A2612" s="2">
        <v>40</v>
      </c>
      <c r="B2612" s="4" t="s">
        <v>72</v>
      </c>
      <c r="C2612" s="3" t="s">
        <v>347</v>
      </c>
      <c r="G2612" s="57"/>
    </row>
    <row r="2613" spans="1:7" ht="12.75" x14ac:dyDescent="0.2">
      <c r="A2613" s="2">
        <v>40</v>
      </c>
      <c r="B2613" s="4" t="s">
        <v>72</v>
      </c>
      <c r="C2613" s="3" t="s">
        <v>347</v>
      </c>
      <c r="G2613" s="57"/>
    </row>
    <row r="2614" spans="1:7" ht="12.75" x14ac:dyDescent="0.2">
      <c r="A2614" s="2">
        <v>40</v>
      </c>
      <c r="B2614" s="4" t="s">
        <v>72</v>
      </c>
      <c r="C2614" s="3" t="s">
        <v>273</v>
      </c>
      <c r="G2614" s="57"/>
    </row>
    <row r="2615" spans="1:7" ht="12.75" x14ac:dyDescent="0.2">
      <c r="A2615" s="2">
        <v>40</v>
      </c>
      <c r="B2615" s="4" t="s">
        <v>72</v>
      </c>
      <c r="C2615" s="3" t="s">
        <v>273</v>
      </c>
      <c r="F2615">
        <f>SUM(E2614:E2619)</f>
        <v>0</v>
      </c>
      <c r="G2615" s="57"/>
    </row>
    <row r="2616" spans="1:7" ht="12.75" x14ac:dyDescent="0.2">
      <c r="A2616" s="2">
        <v>40</v>
      </c>
      <c r="B2616" s="4" t="s">
        <v>72</v>
      </c>
      <c r="C2616" s="3" t="s">
        <v>273</v>
      </c>
      <c r="G2616" s="57"/>
    </row>
    <row r="2617" spans="1:7" ht="12.75" x14ac:dyDescent="0.2">
      <c r="A2617" s="2">
        <v>40</v>
      </c>
      <c r="B2617" s="4" t="s">
        <v>72</v>
      </c>
      <c r="C2617" s="3" t="s">
        <v>273</v>
      </c>
      <c r="G2617" s="57"/>
    </row>
    <row r="2618" spans="1:7" ht="12.75" x14ac:dyDescent="0.2">
      <c r="A2618" s="2">
        <v>40</v>
      </c>
      <c r="B2618" s="4" t="s">
        <v>72</v>
      </c>
      <c r="C2618" s="3" t="s">
        <v>273</v>
      </c>
      <c r="G2618" s="57"/>
    </row>
    <row r="2619" spans="1:7" ht="12.75" x14ac:dyDescent="0.2">
      <c r="A2619" s="2">
        <v>40</v>
      </c>
      <c r="B2619" s="4" t="s">
        <v>72</v>
      </c>
      <c r="C2619" s="3" t="s">
        <v>273</v>
      </c>
      <c r="G2619" s="57"/>
    </row>
    <row r="2620" spans="1:7" ht="12.75" x14ac:dyDescent="0.2">
      <c r="A2620" s="2">
        <v>40</v>
      </c>
      <c r="B2620" s="4" t="s">
        <v>72</v>
      </c>
      <c r="C2620" s="3" t="s">
        <v>125</v>
      </c>
      <c r="G2620" s="57"/>
    </row>
    <row r="2621" spans="1:7" ht="12.75" x14ac:dyDescent="0.2">
      <c r="A2621" s="2">
        <v>40</v>
      </c>
      <c r="B2621" s="4" t="s">
        <v>72</v>
      </c>
      <c r="C2621" s="3" t="s">
        <v>125</v>
      </c>
      <c r="F2621">
        <f>SUM(E2620:E2625)</f>
        <v>0</v>
      </c>
      <c r="G2621" s="57"/>
    </row>
    <row r="2622" spans="1:7" ht="12.75" x14ac:dyDescent="0.2">
      <c r="A2622" s="2">
        <v>40</v>
      </c>
      <c r="B2622" s="4" t="s">
        <v>72</v>
      </c>
      <c r="C2622" s="3" t="s">
        <v>125</v>
      </c>
      <c r="G2622" s="57"/>
    </row>
    <row r="2623" spans="1:7" ht="12.75" x14ac:dyDescent="0.2">
      <c r="A2623" s="2">
        <v>40</v>
      </c>
      <c r="B2623" s="4" t="s">
        <v>72</v>
      </c>
      <c r="C2623" s="3" t="s">
        <v>125</v>
      </c>
      <c r="G2623" s="57"/>
    </row>
    <row r="2624" spans="1:7" ht="12.75" x14ac:dyDescent="0.2">
      <c r="A2624" s="2">
        <v>40</v>
      </c>
      <c r="B2624" s="4" t="s">
        <v>72</v>
      </c>
      <c r="C2624" s="3" t="s">
        <v>125</v>
      </c>
      <c r="G2624" s="57"/>
    </row>
    <row r="2625" spans="1:7" ht="12.75" x14ac:dyDescent="0.2">
      <c r="A2625" s="2">
        <v>40</v>
      </c>
      <c r="B2625" s="4" t="s">
        <v>72</v>
      </c>
      <c r="C2625" s="3" t="s">
        <v>125</v>
      </c>
      <c r="G2625" s="57"/>
    </row>
    <row r="2626" spans="1:7" ht="12.75" x14ac:dyDescent="0.2">
      <c r="A2626" s="3">
        <v>42</v>
      </c>
      <c r="B2626" s="4" t="s">
        <v>73</v>
      </c>
      <c r="C2626" s="3" t="s">
        <v>347</v>
      </c>
      <c r="G2626" s="57"/>
    </row>
    <row r="2627" spans="1:7" ht="12.75" x14ac:dyDescent="0.2">
      <c r="A2627" s="3">
        <v>42</v>
      </c>
      <c r="B2627" s="4" t="s">
        <v>73</v>
      </c>
      <c r="C2627" s="3" t="s">
        <v>347</v>
      </c>
      <c r="G2627" s="57"/>
    </row>
    <row r="2628" spans="1:7" ht="12.75" x14ac:dyDescent="0.2">
      <c r="A2628" s="3">
        <v>42</v>
      </c>
      <c r="B2628" s="4" t="s">
        <v>73</v>
      </c>
      <c r="C2628" s="3" t="s">
        <v>347</v>
      </c>
      <c r="G2628" s="57"/>
    </row>
    <row r="2629" spans="1:7" ht="12.75" x14ac:dyDescent="0.2">
      <c r="A2629" s="3">
        <v>42</v>
      </c>
      <c r="B2629" s="4" t="s">
        <v>73</v>
      </c>
      <c r="C2629" s="3" t="s">
        <v>347</v>
      </c>
      <c r="F2629">
        <f>SUM(E2626:E2633)</f>
        <v>0</v>
      </c>
      <c r="G2629" s="57"/>
    </row>
    <row r="2630" spans="1:7" ht="12.75" x14ac:dyDescent="0.2">
      <c r="A2630" s="3">
        <v>42</v>
      </c>
      <c r="B2630" s="4" t="s">
        <v>73</v>
      </c>
      <c r="C2630" s="3" t="s">
        <v>347</v>
      </c>
      <c r="G2630" s="59">
        <v>1179</v>
      </c>
    </row>
    <row r="2631" spans="1:7" ht="12.75" x14ac:dyDescent="0.2">
      <c r="A2631" s="3">
        <v>42</v>
      </c>
      <c r="B2631" s="4" t="s">
        <v>73</v>
      </c>
      <c r="C2631" s="3" t="s">
        <v>347</v>
      </c>
      <c r="G2631" s="57"/>
    </row>
    <row r="2632" spans="1:7" ht="12.75" x14ac:dyDescent="0.2">
      <c r="A2632" s="3">
        <v>42</v>
      </c>
      <c r="B2632" s="4" t="s">
        <v>73</v>
      </c>
      <c r="C2632" s="3" t="s">
        <v>347</v>
      </c>
      <c r="G2632" s="57"/>
    </row>
    <row r="2633" spans="1:7" ht="12.75" x14ac:dyDescent="0.2">
      <c r="A2633" s="3">
        <v>42</v>
      </c>
      <c r="B2633" s="4" t="s">
        <v>73</v>
      </c>
      <c r="C2633" s="3" t="s">
        <v>347</v>
      </c>
      <c r="G2633" s="57"/>
    </row>
    <row r="2634" spans="1:7" ht="12.75" x14ac:dyDescent="0.2">
      <c r="A2634" s="3">
        <v>42</v>
      </c>
      <c r="B2634" s="4" t="s">
        <v>73</v>
      </c>
      <c r="C2634" s="3" t="s">
        <v>273</v>
      </c>
      <c r="G2634" s="57"/>
    </row>
    <row r="2635" spans="1:7" ht="12.75" x14ac:dyDescent="0.2">
      <c r="A2635" s="3">
        <v>42</v>
      </c>
      <c r="B2635" s="4" t="s">
        <v>73</v>
      </c>
      <c r="C2635" s="3" t="s">
        <v>273</v>
      </c>
      <c r="F2635">
        <f>SUM(E2634:E2639)</f>
        <v>0</v>
      </c>
      <c r="G2635" s="57"/>
    </row>
    <row r="2636" spans="1:7" ht="12.75" x14ac:dyDescent="0.2">
      <c r="A2636" s="3">
        <v>42</v>
      </c>
      <c r="B2636" s="4" t="s">
        <v>73</v>
      </c>
      <c r="C2636" s="3" t="s">
        <v>273</v>
      </c>
      <c r="G2636" s="57"/>
    </row>
    <row r="2637" spans="1:7" ht="12.75" x14ac:dyDescent="0.2">
      <c r="A2637" s="3">
        <v>42</v>
      </c>
      <c r="B2637" s="4" t="s">
        <v>73</v>
      </c>
      <c r="C2637" s="3" t="s">
        <v>273</v>
      </c>
      <c r="G2637" s="57"/>
    </row>
    <row r="2638" spans="1:7" ht="12.75" x14ac:dyDescent="0.2">
      <c r="A2638" s="3">
        <v>42</v>
      </c>
      <c r="B2638" s="4" t="s">
        <v>73</v>
      </c>
      <c r="C2638" s="3" t="s">
        <v>273</v>
      </c>
      <c r="G2638" s="57"/>
    </row>
    <row r="2639" spans="1:7" ht="12.75" x14ac:dyDescent="0.2">
      <c r="A2639" s="3">
        <v>42</v>
      </c>
      <c r="B2639" s="4" t="s">
        <v>73</v>
      </c>
      <c r="C2639" s="3" t="s">
        <v>273</v>
      </c>
      <c r="G2639" s="57"/>
    </row>
    <row r="2640" spans="1:7" ht="12.75" x14ac:dyDescent="0.2">
      <c r="A2640" s="3">
        <v>42</v>
      </c>
      <c r="B2640" s="4" t="s">
        <v>73</v>
      </c>
      <c r="C2640" s="3" t="s">
        <v>125</v>
      </c>
      <c r="G2640" s="57"/>
    </row>
    <row r="2641" spans="1:7" ht="12.75" x14ac:dyDescent="0.2">
      <c r="A2641" s="3">
        <v>42</v>
      </c>
      <c r="B2641" s="4" t="s">
        <v>73</v>
      </c>
      <c r="C2641" s="3" t="s">
        <v>125</v>
      </c>
      <c r="F2641">
        <f>SUM(E2640:E2645)</f>
        <v>0</v>
      </c>
      <c r="G2641" s="57"/>
    </row>
    <row r="2642" spans="1:7" ht="12.75" x14ac:dyDescent="0.2">
      <c r="A2642" s="3">
        <v>42</v>
      </c>
      <c r="B2642" s="4" t="s">
        <v>73</v>
      </c>
      <c r="C2642" s="3" t="s">
        <v>125</v>
      </c>
      <c r="G2642" s="57"/>
    </row>
    <row r="2643" spans="1:7" ht="12.75" x14ac:dyDescent="0.2">
      <c r="A2643" s="3">
        <v>42</v>
      </c>
      <c r="B2643" s="4" t="s">
        <v>73</v>
      </c>
      <c r="C2643" s="3" t="s">
        <v>125</v>
      </c>
      <c r="G2643" s="57"/>
    </row>
    <row r="2644" spans="1:7" ht="12.75" x14ac:dyDescent="0.2">
      <c r="A2644" s="3">
        <v>42</v>
      </c>
      <c r="B2644" s="4" t="s">
        <v>73</v>
      </c>
      <c r="C2644" s="3" t="s">
        <v>125</v>
      </c>
      <c r="G2644" s="57"/>
    </row>
    <row r="2645" spans="1:7" ht="12.75" x14ac:dyDescent="0.2">
      <c r="A2645" s="3">
        <v>42</v>
      </c>
      <c r="B2645" s="4" t="s">
        <v>73</v>
      </c>
      <c r="C2645" s="3" t="s">
        <v>125</v>
      </c>
      <c r="G2645" s="57"/>
    </row>
    <row r="2646" spans="1:7" ht="12.75" x14ac:dyDescent="0.2">
      <c r="A2646" s="3">
        <v>43</v>
      </c>
      <c r="B2646" s="4" t="s">
        <v>74</v>
      </c>
      <c r="C2646" s="3" t="s">
        <v>347</v>
      </c>
      <c r="G2646" s="57"/>
    </row>
    <row r="2647" spans="1:7" ht="12.75" x14ac:dyDescent="0.2">
      <c r="A2647" s="3">
        <v>43</v>
      </c>
      <c r="B2647" s="4" t="s">
        <v>74</v>
      </c>
      <c r="C2647" s="3" t="s">
        <v>347</v>
      </c>
      <c r="G2647" s="57"/>
    </row>
    <row r="2648" spans="1:7" ht="12.75" x14ac:dyDescent="0.2">
      <c r="A2648" s="3">
        <v>43</v>
      </c>
      <c r="B2648" s="4" t="s">
        <v>74</v>
      </c>
      <c r="C2648" s="3" t="s">
        <v>347</v>
      </c>
      <c r="G2648" s="57"/>
    </row>
    <row r="2649" spans="1:7" ht="12.75" x14ac:dyDescent="0.2">
      <c r="A2649" s="3">
        <v>43</v>
      </c>
      <c r="B2649" s="4" t="s">
        <v>74</v>
      </c>
      <c r="C2649" s="3" t="s">
        <v>347</v>
      </c>
      <c r="F2649">
        <f>SUM(E2646:E2653)</f>
        <v>0</v>
      </c>
      <c r="G2649" s="57"/>
    </row>
    <row r="2650" spans="1:7" ht="12.75" x14ac:dyDescent="0.2">
      <c r="A2650" s="3">
        <v>43</v>
      </c>
      <c r="B2650" s="4" t="s">
        <v>74</v>
      </c>
      <c r="C2650" s="3" t="s">
        <v>347</v>
      </c>
      <c r="G2650" s="59">
        <v>250</v>
      </c>
    </row>
    <row r="2651" spans="1:7" ht="12.75" x14ac:dyDescent="0.2">
      <c r="A2651" s="3">
        <v>43</v>
      </c>
      <c r="B2651" s="4" t="s">
        <v>74</v>
      </c>
      <c r="C2651" s="3" t="s">
        <v>347</v>
      </c>
      <c r="G2651" s="57"/>
    </row>
    <row r="2652" spans="1:7" ht="12.75" x14ac:dyDescent="0.2">
      <c r="A2652" s="3">
        <v>43</v>
      </c>
      <c r="B2652" s="4" t="s">
        <v>74</v>
      </c>
      <c r="C2652" s="3" t="s">
        <v>347</v>
      </c>
      <c r="G2652" s="57"/>
    </row>
    <row r="2653" spans="1:7" ht="12.75" x14ac:dyDescent="0.2">
      <c r="A2653" s="3">
        <v>43</v>
      </c>
      <c r="B2653" s="4" t="s">
        <v>74</v>
      </c>
      <c r="C2653" s="3" t="s">
        <v>347</v>
      </c>
      <c r="G2653" s="57"/>
    </row>
    <row r="2654" spans="1:7" ht="12.75" x14ac:dyDescent="0.2">
      <c r="A2654" s="3">
        <v>43</v>
      </c>
      <c r="B2654" s="4" t="s">
        <v>74</v>
      </c>
      <c r="C2654" s="3" t="s">
        <v>273</v>
      </c>
      <c r="G2654" s="57"/>
    </row>
    <row r="2655" spans="1:7" ht="12.75" x14ac:dyDescent="0.2">
      <c r="A2655" s="3">
        <v>43</v>
      </c>
      <c r="B2655" s="4" t="s">
        <v>74</v>
      </c>
      <c r="C2655" s="3" t="s">
        <v>273</v>
      </c>
      <c r="F2655">
        <f>SUM(E2654:E2659)</f>
        <v>0</v>
      </c>
      <c r="G2655" s="57"/>
    </row>
    <row r="2656" spans="1:7" ht="12.75" x14ac:dyDescent="0.2">
      <c r="A2656" s="3">
        <v>43</v>
      </c>
      <c r="B2656" s="4" t="s">
        <v>74</v>
      </c>
      <c r="C2656" s="3" t="s">
        <v>273</v>
      </c>
      <c r="G2656" s="57"/>
    </row>
    <row r="2657" spans="1:7" ht="12.75" x14ac:dyDescent="0.2">
      <c r="A2657" s="3">
        <v>43</v>
      </c>
      <c r="B2657" s="4" t="s">
        <v>74</v>
      </c>
      <c r="C2657" s="3" t="s">
        <v>273</v>
      </c>
      <c r="G2657" s="57"/>
    </row>
    <row r="2658" spans="1:7" ht="12.75" x14ac:dyDescent="0.2">
      <c r="A2658" s="3">
        <v>43</v>
      </c>
      <c r="B2658" s="4" t="s">
        <v>74</v>
      </c>
      <c r="C2658" s="3" t="s">
        <v>273</v>
      </c>
      <c r="G2658" s="57"/>
    </row>
    <row r="2659" spans="1:7" ht="12.75" x14ac:dyDescent="0.2">
      <c r="A2659" s="3">
        <v>43</v>
      </c>
      <c r="B2659" s="4" t="s">
        <v>74</v>
      </c>
      <c r="C2659" s="3" t="s">
        <v>273</v>
      </c>
      <c r="G2659" s="57"/>
    </row>
    <row r="2660" spans="1:7" ht="12.75" x14ac:dyDescent="0.2">
      <c r="A2660" s="3">
        <v>43</v>
      </c>
      <c r="B2660" s="4" t="s">
        <v>74</v>
      </c>
      <c r="C2660" s="3" t="s">
        <v>125</v>
      </c>
      <c r="G2660" s="57"/>
    </row>
    <row r="2661" spans="1:7" ht="12.75" x14ac:dyDescent="0.2">
      <c r="A2661" s="3">
        <v>43</v>
      </c>
      <c r="B2661" s="4" t="s">
        <v>74</v>
      </c>
      <c r="C2661" s="3" t="s">
        <v>125</v>
      </c>
      <c r="F2661">
        <f>SUM(E2660:E2665)</f>
        <v>0</v>
      </c>
      <c r="G2661" s="57"/>
    </row>
    <row r="2662" spans="1:7" ht="12.75" x14ac:dyDescent="0.2">
      <c r="A2662" s="3">
        <v>43</v>
      </c>
      <c r="B2662" s="4" t="s">
        <v>74</v>
      </c>
      <c r="C2662" s="3" t="s">
        <v>125</v>
      </c>
      <c r="G2662" s="57"/>
    </row>
    <row r="2663" spans="1:7" ht="12.75" x14ac:dyDescent="0.2">
      <c r="A2663" s="3">
        <v>43</v>
      </c>
      <c r="B2663" s="4" t="s">
        <v>74</v>
      </c>
      <c r="C2663" s="3" t="s">
        <v>125</v>
      </c>
      <c r="G2663" s="57"/>
    </row>
    <row r="2664" spans="1:7" ht="12.75" x14ac:dyDescent="0.2">
      <c r="A2664" s="3">
        <v>43</v>
      </c>
      <c r="B2664" s="4" t="s">
        <v>74</v>
      </c>
      <c r="C2664" s="3" t="s">
        <v>125</v>
      </c>
      <c r="G2664" s="57"/>
    </row>
    <row r="2665" spans="1:7" ht="12.75" x14ac:dyDescent="0.2">
      <c r="A2665" s="3">
        <v>43</v>
      </c>
      <c r="B2665" s="4" t="s">
        <v>74</v>
      </c>
      <c r="C2665" s="3" t="s">
        <v>125</v>
      </c>
      <c r="G2665" s="57"/>
    </row>
    <row r="2666" spans="1:7" ht="12.75" x14ac:dyDescent="0.2">
      <c r="A2666" s="3">
        <v>45</v>
      </c>
      <c r="B2666" s="4" t="s">
        <v>75</v>
      </c>
      <c r="C2666" s="3" t="s">
        <v>347</v>
      </c>
      <c r="G2666" s="57"/>
    </row>
    <row r="2667" spans="1:7" ht="12.75" x14ac:dyDescent="0.2">
      <c r="A2667" s="3">
        <v>45</v>
      </c>
      <c r="B2667" s="4" t="s">
        <v>75</v>
      </c>
      <c r="C2667" s="3" t="s">
        <v>347</v>
      </c>
      <c r="G2667" s="57"/>
    </row>
    <row r="2668" spans="1:7" ht="12.75" x14ac:dyDescent="0.2">
      <c r="A2668" s="3">
        <v>45</v>
      </c>
      <c r="B2668" s="4" t="s">
        <v>75</v>
      </c>
      <c r="C2668" s="3" t="s">
        <v>347</v>
      </c>
      <c r="G2668" s="57"/>
    </row>
    <row r="2669" spans="1:7" ht="12.75" x14ac:dyDescent="0.2">
      <c r="A2669" s="3">
        <v>45</v>
      </c>
      <c r="B2669" s="4" t="s">
        <v>75</v>
      </c>
      <c r="C2669" s="3" t="s">
        <v>347</v>
      </c>
      <c r="F2669">
        <f>SUM(E2666:E2673)</f>
        <v>0</v>
      </c>
      <c r="G2669" s="57"/>
    </row>
    <row r="2670" spans="1:7" ht="12.75" x14ac:dyDescent="0.2">
      <c r="A2670" s="3">
        <v>45</v>
      </c>
      <c r="B2670" s="4" t="s">
        <v>75</v>
      </c>
      <c r="C2670" s="3" t="s">
        <v>347</v>
      </c>
      <c r="G2670" s="59">
        <v>258</v>
      </c>
    </row>
    <row r="2671" spans="1:7" ht="12.75" x14ac:dyDescent="0.2">
      <c r="A2671" s="3">
        <v>45</v>
      </c>
      <c r="B2671" s="4" t="s">
        <v>75</v>
      </c>
      <c r="C2671" s="3" t="s">
        <v>347</v>
      </c>
      <c r="G2671" s="57"/>
    </row>
    <row r="2672" spans="1:7" ht="12.75" x14ac:dyDescent="0.2">
      <c r="A2672" s="3">
        <v>45</v>
      </c>
      <c r="B2672" s="4" t="s">
        <v>75</v>
      </c>
      <c r="C2672" s="3" t="s">
        <v>347</v>
      </c>
      <c r="G2672" s="57"/>
    </row>
    <row r="2673" spans="1:7" ht="12.75" x14ac:dyDescent="0.2">
      <c r="A2673" s="3">
        <v>45</v>
      </c>
      <c r="B2673" s="4" t="s">
        <v>75</v>
      </c>
      <c r="C2673" s="3" t="s">
        <v>347</v>
      </c>
      <c r="G2673" s="57"/>
    </row>
    <row r="2674" spans="1:7" ht="12.75" x14ac:dyDescent="0.2">
      <c r="A2674" s="3">
        <v>45</v>
      </c>
      <c r="B2674" s="4" t="s">
        <v>75</v>
      </c>
      <c r="C2674" s="3" t="s">
        <v>273</v>
      </c>
      <c r="G2674" s="57"/>
    </row>
    <row r="2675" spans="1:7" ht="12.75" x14ac:dyDescent="0.2">
      <c r="A2675" s="3">
        <v>45</v>
      </c>
      <c r="B2675" s="4" t="s">
        <v>75</v>
      </c>
      <c r="C2675" s="3" t="s">
        <v>273</v>
      </c>
      <c r="F2675">
        <f>SUM(E2674:E2679)</f>
        <v>0</v>
      </c>
      <c r="G2675" s="57"/>
    </row>
    <row r="2676" spans="1:7" ht="12.75" x14ac:dyDescent="0.2">
      <c r="A2676" s="3">
        <v>45</v>
      </c>
      <c r="B2676" s="4" t="s">
        <v>75</v>
      </c>
      <c r="C2676" s="3" t="s">
        <v>273</v>
      </c>
      <c r="G2676" s="57"/>
    </row>
    <row r="2677" spans="1:7" ht="12.75" x14ac:dyDescent="0.2">
      <c r="A2677" s="3">
        <v>45</v>
      </c>
      <c r="B2677" s="4" t="s">
        <v>75</v>
      </c>
      <c r="C2677" s="3" t="s">
        <v>273</v>
      </c>
      <c r="G2677" s="57"/>
    </row>
    <row r="2678" spans="1:7" ht="12.75" x14ac:dyDescent="0.2">
      <c r="A2678" s="3">
        <v>45</v>
      </c>
      <c r="B2678" s="4" t="s">
        <v>75</v>
      </c>
      <c r="C2678" s="3" t="s">
        <v>273</v>
      </c>
      <c r="G2678" s="57"/>
    </row>
    <row r="2679" spans="1:7" ht="12.75" x14ac:dyDescent="0.2">
      <c r="A2679" s="3">
        <v>45</v>
      </c>
      <c r="B2679" s="4" t="s">
        <v>75</v>
      </c>
      <c r="C2679" s="3" t="s">
        <v>273</v>
      </c>
      <c r="G2679" s="57"/>
    </row>
    <row r="2680" spans="1:7" ht="12.75" x14ac:dyDescent="0.2">
      <c r="A2680" s="3">
        <v>45</v>
      </c>
      <c r="B2680" s="4" t="s">
        <v>75</v>
      </c>
      <c r="C2680" s="3" t="s">
        <v>125</v>
      </c>
      <c r="G2680" s="57"/>
    </row>
    <row r="2681" spans="1:7" ht="12.75" x14ac:dyDescent="0.2">
      <c r="A2681" s="3">
        <v>45</v>
      </c>
      <c r="B2681" s="4" t="s">
        <v>75</v>
      </c>
      <c r="C2681" s="3" t="s">
        <v>125</v>
      </c>
      <c r="F2681">
        <f>SUM(E2680:E2685)</f>
        <v>0</v>
      </c>
      <c r="G2681" s="57"/>
    </row>
    <row r="2682" spans="1:7" ht="12.75" x14ac:dyDescent="0.2">
      <c r="A2682" s="3">
        <v>45</v>
      </c>
      <c r="B2682" s="4" t="s">
        <v>75</v>
      </c>
      <c r="C2682" s="3" t="s">
        <v>125</v>
      </c>
      <c r="G2682" s="57"/>
    </row>
    <row r="2683" spans="1:7" ht="12.75" x14ac:dyDescent="0.2">
      <c r="A2683" s="3">
        <v>45</v>
      </c>
      <c r="B2683" s="4" t="s">
        <v>75</v>
      </c>
      <c r="C2683" s="3" t="s">
        <v>125</v>
      </c>
      <c r="G2683" s="57"/>
    </row>
    <row r="2684" spans="1:7" ht="12.75" x14ac:dyDescent="0.2">
      <c r="A2684" s="3">
        <v>45</v>
      </c>
      <c r="B2684" s="4" t="s">
        <v>75</v>
      </c>
      <c r="C2684" s="3" t="s">
        <v>125</v>
      </c>
      <c r="G2684" s="57"/>
    </row>
    <row r="2685" spans="1:7" ht="12.75" x14ac:dyDescent="0.2">
      <c r="A2685" s="3">
        <v>45</v>
      </c>
      <c r="B2685" s="4" t="s">
        <v>75</v>
      </c>
      <c r="C2685" s="3" t="s">
        <v>125</v>
      </c>
      <c r="G2685" s="57"/>
    </row>
    <row r="2686" spans="1:7" ht="12.75" x14ac:dyDescent="0.2">
      <c r="A2686" s="3">
        <v>46</v>
      </c>
      <c r="B2686" s="4" t="s">
        <v>76</v>
      </c>
      <c r="C2686" s="3" t="s">
        <v>347</v>
      </c>
      <c r="G2686" s="57"/>
    </row>
    <row r="2687" spans="1:7" ht="12.75" x14ac:dyDescent="0.2">
      <c r="A2687" s="3">
        <v>46</v>
      </c>
      <c r="B2687" s="4" t="s">
        <v>76</v>
      </c>
      <c r="C2687" s="3" t="s">
        <v>347</v>
      </c>
      <c r="G2687" s="57"/>
    </row>
    <row r="2688" spans="1:7" ht="12.75" x14ac:dyDescent="0.2">
      <c r="A2688" s="3">
        <v>46</v>
      </c>
      <c r="B2688" s="4" t="s">
        <v>76</v>
      </c>
      <c r="C2688" s="3" t="s">
        <v>347</v>
      </c>
      <c r="G2688" s="57"/>
    </row>
    <row r="2689" spans="1:7" ht="12.75" x14ac:dyDescent="0.2">
      <c r="A2689" s="3">
        <v>46</v>
      </c>
      <c r="B2689" s="4" t="s">
        <v>76</v>
      </c>
      <c r="C2689" s="3" t="s">
        <v>347</v>
      </c>
      <c r="F2689">
        <f>SUM(E2686:E2693)</f>
        <v>0</v>
      </c>
      <c r="G2689" s="57"/>
    </row>
    <row r="2690" spans="1:7" ht="12.75" x14ac:dyDescent="0.2">
      <c r="A2690" s="3">
        <v>46</v>
      </c>
      <c r="B2690" s="4" t="s">
        <v>76</v>
      </c>
      <c r="C2690" s="3" t="s">
        <v>347</v>
      </c>
      <c r="G2690" s="59">
        <v>202</v>
      </c>
    </row>
    <row r="2691" spans="1:7" ht="12.75" x14ac:dyDescent="0.2">
      <c r="A2691" s="3">
        <v>46</v>
      </c>
      <c r="B2691" s="4" t="s">
        <v>76</v>
      </c>
      <c r="C2691" s="3" t="s">
        <v>347</v>
      </c>
      <c r="G2691" s="57"/>
    </row>
    <row r="2692" spans="1:7" ht="12.75" x14ac:dyDescent="0.2">
      <c r="A2692" s="3">
        <v>46</v>
      </c>
      <c r="B2692" s="4" t="s">
        <v>76</v>
      </c>
      <c r="C2692" s="3" t="s">
        <v>347</v>
      </c>
      <c r="G2692" s="57"/>
    </row>
    <row r="2693" spans="1:7" ht="12.75" x14ac:dyDescent="0.2">
      <c r="A2693" s="3">
        <v>46</v>
      </c>
      <c r="B2693" s="4" t="s">
        <v>76</v>
      </c>
      <c r="C2693" s="3" t="s">
        <v>347</v>
      </c>
      <c r="G2693" s="57"/>
    </row>
    <row r="2694" spans="1:7" ht="12.75" x14ac:dyDescent="0.2">
      <c r="A2694" s="3">
        <v>46</v>
      </c>
      <c r="B2694" s="4" t="s">
        <v>76</v>
      </c>
      <c r="C2694" s="3" t="s">
        <v>273</v>
      </c>
      <c r="G2694" s="57"/>
    </row>
    <row r="2695" spans="1:7" ht="12.75" x14ac:dyDescent="0.2">
      <c r="A2695" s="3">
        <v>46</v>
      </c>
      <c r="B2695" s="4" t="s">
        <v>76</v>
      </c>
      <c r="C2695" s="3" t="s">
        <v>273</v>
      </c>
      <c r="F2695">
        <f>SUM(E2694:E2699)</f>
        <v>0</v>
      </c>
      <c r="G2695" s="57"/>
    </row>
    <row r="2696" spans="1:7" ht="12.75" x14ac:dyDescent="0.2">
      <c r="A2696" s="3">
        <v>46</v>
      </c>
      <c r="B2696" s="4" t="s">
        <v>76</v>
      </c>
      <c r="C2696" s="3" t="s">
        <v>273</v>
      </c>
      <c r="G2696" s="57"/>
    </row>
    <row r="2697" spans="1:7" ht="12.75" x14ac:dyDescent="0.2">
      <c r="A2697" s="3">
        <v>46</v>
      </c>
      <c r="B2697" s="4" t="s">
        <v>76</v>
      </c>
      <c r="C2697" s="3" t="s">
        <v>273</v>
      </c>
      <c r="G2697" s="57"/>
    </row>
    <row r="2698" spans="1:7" ht="12.75" x14ac:dyDescent="0.2">
      <c r="A2698" s="3">
        <v>46</v>
      </c>
      <c r="B2698" s="4" t="s">
        <v>76</v>
      </c>
      <c r="C2698" s="3" t="s">
        <v>273</v>
      </c>
      <c r="G2698" s="57"/>
    </row>
    <row r="2699" spans="1:7" ht="12.75" x14ac:dyDescent="0.2">
      <c r="A2699" s="3">
        <v>46</v>
      </c>
      <c r="B2699" s="4" t="s">
        <v>76</v>
      </c>
      <c r="C2699" s="3" t="s">
        <v>273</v>
      </c>
      <c r="G2699" s="57"/>
    </row>
    <row r="2700" spans="1:7" ht="12.75" x14ac:dyDescent="0.2">
      <c r="A2700" s="3">
        <v>46</v>
      </c>
      <c r="B2700" s="4" t="s">
        <v>76</v>
      </c>
      <c r="C2700" s="3" t="s">
        <v>125</v>
      </c>
      <c r="G2700" s="57"/>
    </row>
    <row r="2701" spans="1:7" ht="12.75" x14ac:dyDescent="0.2">
      <c r="A2701" s="3">
        <v>46</v>
      </c>
      <c r="B2701" s="4" t="s">
        <v>76</v>
      </c>
      <c r="C2701" s="3" t="s">
        <v>125</v>
      </c>
      <c r="F2701">
        <f>SUM(E2700:E2705)</f>
        <v>0</v>
      </c>
      <c r="G2701" s="57"/>
    </row>
    <row r="2702" spans="1:7" ht="12.75" x14ac:dyDescent="0.2">
      <c r="A2702" s="3">
        <v>46</v>
      </c>
      <c r="B2702" s="4" t="s">
        <v>76</v>
      </c>
      <c r="C2702" s="3" t="s">
        <v>125</v>
      </c>
      <c r="G2702" s="57"/>
    </row>
    <row r="2703" spans="1:7" ht="12.75" x14ac:dyDescent="0.2">
      <c r="A2703" s="3">
        <v>46</v>
      </c>
      <c r="B2703" s="4" t="s">
        <v>76</v>
      </c>
      <c r="C2703" s="3" t="s">
        <v>125</v>
      </c>
      <c r="G2703" s="57"/>
    </row>
    <row r="2704" spans="1:7" ht="12.75" x14ac:dyDescent="0.2">
      <c r="A2704" s="3">
        <v>46</v>
      </c>
      <c r="B2704" s="4" t="s">
        <v>76</v>
      </c>
      <c r="C2704" s="3" t="s">
        <v>125</v>
      </c>
      <c r="G2704" s="57"/>
    </row>
    <row r="2705" spans="1:7" ht="12.75" x14ac:dyDescent="0.2">
      <c r="A2705" s="3">
        <v>46</v>
      </c>
      <c r="B2705" s="4" t="s">
        <v>76</v>
      </c>
      <c r="C2705" s="3" t="s">
        <v>125</v>
      </c>
      <c r="G2705" s="57"/>
    </row>
    <row r="2706" spans="1:7" ht="12.75" x14ac:dyDescent="0.2">
      <c r="A2706" s="3">
        <v>47</v>
      </c>
      <c r="B2706" s="4" t="s">
        <v>77</v>
      </c>
      <c r="C2706" s="3" t="s">
        <v>347</v>
      </c>
      <c r="G2706" s="57"/>
    </row>
    <row r="2707" spans="1:7" ht="12.75" x14ac:dyDescent="0.2">
      <c r="A2707" s="3">
        <v>47</v>
      </c>
      <c r="B2707" s="4" t="s">
        <v>77</v>
      </c>
      <c r="C2707" s="3" t="s">
        <v>347</v>
      </c>
      <c r="G2707" s="57"/>
    </row>
    <row r="2708" spans="1:7" ht="12.75" x14ac:dyDescent="0.2">
      <c r="A2708" s="3">
        <v>47</v>
      </c>
      <c r="B2708" s="4" t="s">
        <v>77</v>
      </c>
      <c r="C2708" s="3" t="s">
        <v>347</v>
      </c>
      <c r="G2708" s="57"/>
    </row>
    <row r="2709" spans="1:7" ht="12.75" x14ac:dyDescent="0.2">
      <c r="A2709" s="3">
        <v>47</v>
      </c>
      <c r="B2709" s="4" t="s">
        <v>77</v>
      </c>
      <c r="C2709" s="3" t="s">
        <v>347</v>
      </c>
      <c r="F2709">
        <f>SUM(E2706:E2713)</f>
        <v>0</v>
      </c>
      <c r="G2709" s="57"/>
    </row>
    <row r="2710" spans="1:7" ht="12.75" x14ac:dyDescent="0.2">
      <c r="A2710" s="3">
        <v>47</v>
      </c>
      <c r="B2710" s="4" t="s">
        <v>77</v>
      </c>
      <c r="C2710" s="3" t="s">
        <v>347</v>
      </c>
      <c r="G2710" s="59">
        <v>319</v>
      </c>
    </row>
    <row r="2711" spans="1:7" ht="12.75" x14ac:dyDescent="0.2">
      <c r="A2711" s="3">
        <v>47</v>
      </c>
      <c r="B2711" s="4" t="s">
        <v>77</v>
      </c>
      <c r="C2711" s="3" t="s">
        <v>347</v>
      </c>
      <c r="G2711" s="57"/>
    </row>
    <row r="2712" spans="1:7" ht="12.75" x14ac:dyDescent="0.2">
      <c r="A2712" s="3">
        <v>47</v>
      </c>
      <c r="B2712" s="4" t="s">
        <v>77</v>
      </c>
      <c r="C2712" s="3" t="s">
        <v>347</v>
      </c>
      <c r="G2712" s="57"/>
    </row>
    <row r="2713" spans="1:7" ht="12.75" x14ac:dyDescent="0.2">
      <c r="A2713" s="3">
        <v>47</v>
      </c>
      <c r="B2713" s="4" t="s">
        <v>77</v>
      </c>
      <c r="C2713" s="3" t="s">
        <v>347</v>
      </c>
      <c r="G2713" s="57"/>
    </row>
    <row r="2714" spans="1:7" ht="12.75" x14ac:dyDescent="0.2">
      <c r="A2714" s="3">
        <v>47</v>
      </c>
      <c r="B2714" s="4" t="s">
        <v>77</v>
      </c>
      <c r="C2714" s="3" t="s">
        <v>273</v>
      </c>
      <c r="G2714" s="57"/>
    </row>
    <row r="2715" spans="1:7" ht="12.75" x14ac:dyDescent="0.2">
      <c r="A2715" s="3">
        <v>47</v>
      </c>
      <c r="B2715" s="4" t="s">
        <v>77</v>
      </c>
      <c r="C2715" s="3" t="s">
        <v>273</v>
      </c>
      <c r="F2715">
        <f>SUM(E2714:E2719)</f>
        <v>0</v>
      </c>
      <c r="G2715" s="57"/>
    </row>
    <row r="2716" spans="1:7" ht="12.75" x14ac:dyDescent="0.2">
      <c r="A2716" s="3">
        <v>47</v>
      </c>
      <c r="B2716" s="4" t="s">
        <v>77</v>
      </c>
      <c r="C2716" s="3" t="s">
        <v>273</v>
      </c>
      <c r="G2716" s="57"/>
    </row>
    <row r="2717" spans="1:7" ht="12.75" x14ac:dyDescent="0.2">
      <c r="A2717" s="3">
        <v>47</v>
      </c>
      <c r="B2717" s="4" t="s">
        <v>77</v>
      </c>
      <c r="C2717" s="3" t="s">
        <v>273</v>
      </c>
      <c r="G2717" s="57"/>
    </row>
    <row r="2718" spans="1:7" ht="12.75" x14ac:dyDescent="0.2">
      <c r="A2718" s="3">
        <v>47</v>
      </c>
      <c r="B2718" s="4" t="s">
        <v>77</v>
      </c>
      <c r="C2718" s="3" t="s">
        <v>273</v>
      </c>
      <c r="G2718" s="57"/>
    </row>
    <row r="2719" spans="1:7" ht="12.75" x14ac:dyDescent="0.2">
      <c r="A2719" s="3">
        <v>47</v>
      </c>
      <c r="B2719" s="4" t="s">
        <v>77</v>
      </c>
      <c r="C2719" s="3" t="s">
        <v>273</v>
      </c>
      <c r="G2719" s="57"/>
    </row>
    <row r="2720" spans="1:7" ht="12.75" x14ac:dyDescent="0.2">
      <c r="A2720" s="3">
        <v>47</v>
      </c>
      <c r="B2720" s="4" t="s">
        <v>77</v>
      </c>
      <c r="C2720" s="3" t="s">
        <v>125</v>
      </c>
      <c r="G2720" s="57"/>
    </row>
    <row r="2721" spans="1:7" ht="12.75" x14ac:dyDescent="0.2">
      <c r="A2721" s="3">
        <v>47</v>
      </c>
      <c r="B2721" s="4" t="s">
        <v>77</v>
      </c>
      <c r="C2721" s="3" t="s">
        <v>125</v>
      </c>
      <c r="F2721">
        <f>SUM(E2720:E2725)</f>
        <v>0</v>
      </c>
      <c r="G2721" s="57"/>
    </row>
    <row r="2722" spans="1:7" ht="12.75" x14ac:dyDescent="0.2">
      <c r="A2722" s="3">
        <v>47</v>
      </c>
      <c r="B2722" s="4" t="s">
        <v>77</v>
      </c>
      <c r="C2722" s="3" t="s">
        <v>125</v>
      </c>
      <c r="G2722" s="57"/>
    </row>
    <row r="2723" spans="1:7" ht="12.75" x14ac:dyDescent="0.2">
      <c r="A2723" s="3">
        <v>47</v>
      </c>
      <c r="B2723" s="4" t="s">
        <v>77</v>
      </c>
      <c r="C2723" s="3" t="s">
        <v>125</v>
      </c>
      <c r="G2723" s="57"/>
    </row>
    <row r="2724" spans="1:7" ht="12.75" x14ac:dyDescent="0.2">
      <c r="A2724" s="3">
        <v>47</v>
      </c>
      <c r="B2724" s="4" t="s">
        <v>77</v>
      </c>
      <c r="C2724" s="3" t="s">
        <v>125</v>
      </c>
      <c r="G2724" s="57"/>
    </row>
    <row r="2725" spans="1:7" ht="12.75" x14ac:dyDescent="0.2">
      <c r="A2725" s="3">
        <v>47</v>
      </c>
      <c r="B2725" s="4" t="s">
        <v>77</v>
      </c>
      <c r="C2725" s="3" t="s">
        <v>125</v>
      </c>
      <c r="G2725" s="57"/>
    </row>
    <row r="2726" spans="1:7" ht="12.75" x14ac:dyDescent="0.2">
      <c r="A2726" s="3">
        <v>49</v>
      </c>
      <c r="B2726" s="4" t="s">
        <v>79</v>
      </c>
      <c r="C2726" s="3" t="s">
        <v>347</v>
      </c>
      <c r="G2726" s="57"/>
    </row>
    <row r="2727" spans="1:7" ht="12.75" x14ac:dyDescent="0.2">
      <c r="A2727" s="3">
        <v>49</v>
      </c>
      <c r="B2727" s="4" t="s">
        <v>79</v>
      </c>
      <c r="C2727" s="3" t="s">
        <v>347</v>
      </c>
      <c r="G2727" s="57"/>
    </row>
    <row r="2728" spans="1:7" ht="12.75" x14ac:dyDescent="0.2">
      <c r="A2728" s="3">
        <v>49</v>
      </c>
      <c r="B2728" s="4" t="s">
        <v>79</v>
      </c>
      <c r="C2728" s="3" t="s">
        <v>347</v>
      </c>
      <c r="G2728" s="57"/>
    </row>
    <row r="2729" spans="1:7" ht="12.75" x14ac:dyDescent="0.2">
      <c r="A2729" s="3">
        <v>49</v>
      </c>
      <c r="B2729" s="4" t="s">
        <v>79</v>
      </c>
      <c r="C2729" s="3" t="s">
        <v>347</v>
      </c>
      <c r="F2729">
        <f>SUM(E2726:E2733)</f>
        <v>0</v>
      </c>
      <c r="G2729" s="57"/>
    </row>
    <row r="2730" spans="1:7" ht="12.75" x14ac:dyDescent="0.2">
      <c r="A2730" s="3">
        <v>49</v>
      </c>
      <c r="B2730" s="4" t="s">
        <v>79</v>
      </c>
      <c r="C2730" s="3" t="s">
        <v>347</v>
      </c>
      <c r="G2730" s="59">
        <v>469</v>
      </c>
    </row>
    <row r="2731" spans="1:7" ht="12.75" x14ac:dyDescent="0.2">
      <c r="A2731" s="3">
        <v>49</v>
      </c>
      <c r="B2731" s="4" t="s">
        <v>79</v>
      </c>
      <c r="C2731" s="3" t="s">
        <v>347</v>
      </c>
      <c r="G2731" s="57"/>
    </row>
    <row r="2732" spans="1:7" ht="12.75" x14ac:dyDescent="0.2">
      <c r="A2732" s="3">
        <v>49</v>
      </c>
      <c r="B2732" s="4" t="s">
        <v>79</v>
      </c>
      <c r="C2732" s="3" t="s">
        <v>347</v>
      </c>
      <c r="G2732" s="57"/>
    </row>
    <row r="2733" spans="1:7" ht="12.75" x14ac:dyDescent="0.2">
      <c r="A2733" s="3">
        <v>49</v>
      </c>
      <c r="B2733" s="4" t="s">
        <v>79</v>
      </c>
      <c r="C2733" s="3" t="s">
        <v>347</v>
      </c>
      <c r="G2733" s="57"/>
    </row>
    <row r="2734" spans="1:7" ht="12.75" x14ac:dyDescent="0.2">
      <c r="A2734" s="3">
        <v>49</v>
      </c>
      <c r="B2734" s="4" t="s">
        <v>79</v>
      </c>
      <c r="C2734" s="3" t="s">
        <v>273</v>
      </c>
      <c r="G2734" s="57"/>
    </row>
    <row r="2735" spans="1:7" ht="12.75" x14ac:dyDescent="0.2">
      <c r="A2735" s="3">
        <v>49</v>
      </c>
      <c r="B2735" s="4" t="s">
        <v>79</v>
      </c>
      <c r="C2735" s="3" t="s">
        <v>273</v>
      </c>
      <c r="F2735">
        <f>SUM(E2734:E2739)</f>
        <v>0</v>
      </c>
      <c r="G2735" s="57"/>
    </row>
    <row r="2736" spans="1:7" ht="12.75" x14ac:dyDescent="0.2">
      <c r="A2736" s="3">
        <v>49</v>
      </c>
      <c r="B2736" s="4" t="s">
        <v>79</v>
      </c>
      <c r="C2736" s="3" t="s">
        <v>273</v>
      </c>
      <c r="G2736" s="57"/>
    </row>
    <row r="2737" spans="1:7" ht="12.75" x14ac:dyDescent="0.2">
      <c r="A2737" s="3">
        <v>49</v>
      </c>
      <c r="B2737" s="4" t="s">
        <v>79</v>
      </c>
      <c r="C2737" s="3" t="s">
        <v>273</v>
      </c>
      <c r="G2737" s="57"/>
    </row>
    <row r="2738" spans="1:7" ht="12.75" x14ac:dyDescent="0.2">
      <c r="A2738" s="3">
        <v>49</v>
      </c>
      <c r="B2738" s="4" t="s">
        <v>79</v>
      </c>
      <c r="C2738" s="3" t="s">
        <v>273</v>
      </c>
      <c r="G2738" s="57"/>
    </row>
    <row r="2739" spans="1:7" ht="12.75" x14ac:dyDescent="0.2">
      <c r="A2739" s="3">
        <v>49</v>
      </c>
      <c r="B2739" s="4" t="s">
        <v>79</v>
      </c>
      <c r="C2739" s="3" t="s">
        <v>273</v>
      </c>
      <c r="G2739" s="57"/>
    </row>
    <row r="2740" spans="1:7" ht="12.75" x14ac:dyDescent="0.2">
      <c r="A2740" s="3">
        <v>49</v>
      </c>
      <c r="B2740" s="4" t="s">
        <v>79</v>
      </c>
      <c r="C2740" s="3" t="s">
        <v>125</v>
      </c>
      <c r="G2740" s="57"/>
    </row>
    <row r="2741" spans="1:7" ht="12.75" x14ac:dyDescent="0.2">
      <c r="A2741" s="3">
        <v>49</v>
      </c>
      <c r="B2741" s="4" t="s">
        <v>79</v>
      </c>
      <c r="C2741" s="3" t="s">
        <v>125</v>
      </c>
      <c r="F2741">
        <f>SUM(E2740:E2745)</f>
        <v>0</v>
      </c>
      <c r="G2741" s="57"/>
    </row>
    <row r="2742" spans="1:7" ht="12.75" x14ac:dyDescent="0.2">
      <c r="A2742" s="3">
        <v>49</v>
      </c>
      <c r="B2742" s="4" t="s">
        <v>79</v>
      </c>
      <c r="C2742" s="3" t="s">
        <v>125</v>
      </c>
      <c r="G2742" s="57"/>
    </row>
    <row r="2743" spans="1:7" ht="12.75" x14ac:dyDescent="0.2">
      <c r="A2743" s="3">
        <v>49</v>
      </c>
      <c r="B2743" s="4" t="s">
        <v>79</v>
      </c>
      <c r="C2743" s="3" t="s">
        <v>125</v>
      </c>
      <c r="G2743" s="57"/>
    </row>
    <row r="2744" spans="1:7" ht="12.75" x14ac:dyDescent="0.2">
      <c r="A2744" s="3">
        <v>49</v>
      </c>
      <c r="B2744" s="4" t="s">
        <v>79</v>
      </c>
      <c r="C2744" s="3" t="s">
        <v>125</v>
      </c>
      <c r="G2744" s="57"/>
    </row>
    <row r="2745" spans="1:7" ht="12.75" x14ac:dyDescent="0.2">
      <c r="A2745" s="3">
        <v>49</v>
      </c>
      <c r="B2745" s="4" t="s">
        <v>79</v>
      </c>
      <c r="C2745" s="3" t="s">
        <v>125</v>
      </c>
      <c r="G2745" s="57"/>
    </row>
    <row r="2746" spans="1:7" ht="12.75" x14ac:dyDescent="0.2">
      <c r="A2746" s="3">
        <v>53</v>
      </c>
      <c r="B2746" s="4" t="s">
        <v>80</v>
      </c>
      <c r="C2746" s="3" t="s">
        <v>347</v>
      </c>
      <c r="G2746" s="57"/>
    </row>
    <row r="2747" spans="1:7" ht="12.75" x14ac:dyDescent="0.2">
      <c r="A2747" s="3">
        <v>53</v>
      </c>
      <c r="B2747" s="4" t="s">
        <v>80</v>
      </c>
      <c r="C2747" s="3" t="s">
        <v>347</v>
      </c>
      <c r="G2747" s="57"/>
    </row>
    <row r="2748" spans="1:7" ht="12.75" x14ac:dyDescent="0.2">
      <c r="A2748" s="3">
        <v>53</v>
      </c>
      <c r="B2748" s="4" t="s">
        <v>80</v>
      </c>
      <c r="C2748" s="3" t="s">
        <v>347</v>
      </c>
      <c r="G2748" s="57"/>
    </row>
    <row r="2749" spans="1:7" ht="12.75" x14ac:dyDescent="0.2">
      <c r="A2749" s="3">
        <v>53</v>
      </c>
      <c r="B2749" s="4" t="s">
        <v>80</v>
      </c>
      <c r="C2749" s="3" t="s">
        <v>347</v>
      </c>
      <c r="F2749">
        <f>SUM(E2746:E2753)</f>
        <v>0</v>
      </c>
      <c r="G2749" s="57"/>
    </row>
    <row r="2750" spans="1:7" ht="12.75" x14ac:dyDescent="0.2">
      <c r="A2750" s="3">
        <v>53</v>
      </c>
      <c r="B2750" s="4" t="s">
        <v>80</v>
      </c>
      <c r="C2750" s="3" t="s">
        <v>347</v>
      </c>
      <c r="G2750" s="59">
        <v>416</v>
      </c>
    </row>
    <row r="2751" spans="1:7" ht="12.75" x14ac:dyDescent="0.2">
      <c r="A2751" s="3">
        <v>53</v>
      </c>
      <c r="B2751" s="4" t="s">
        <v>80</v>
      </c>
      <c r="C2751" s="3" t="s">
        <v>347</v>
      </c>
      <c r="G2751" s="57"/>
    </row>
    <row r="2752" spans="1:7" ht="12.75" x14ac:dyDescent="0.2">
      <c r="A2752" s="3">
        <v>53</v>
      </c>
      <c r="B2752" s="4" t="s">
        <v>80</v>
      </c>
      <c r="C2752" s="3" t="s">
        <v>347</v>
      </c>
      <c r="G2752" s="57"/>
    </row>
    <row r="2753" spans="1:7" ht="12.75" x14ac:dyDescent="0.2">
      <c r="A2753" s="3">
        <v>53</v>
      </c>
      <c r="B2753" s="4" t="s">
        <v>80</v>
      </c>
      <c r="C2753" s="3" t="s">
        <v>347</v>
      </c>
      <c r="G2753" s="57"/>
    </row>
    <row r="2754" spans="1:7" ht="12.75" x14ac:dyDescent="0.2">
      <c r="A2754" s="3">
        <v>53</v>
      </c>
      <c r="B2754" s="4" t="s">
        <v>80</v>
      </c>
      <c r="C2754" s="3" t="s">
        <v>273</v>
      </c>
      <c r="G2754" s="57"/>
    </row>
    <row r="2755" spans="1:7" ht="12.75" x14ac:dyDescent="0.2">
      <c r="A2755" s="3">
        <v>53</v>
      </c>
      <c r="B2755" s="4" t="s">
        <v>80</v>
      </c>
      <c r="C2755" s="3" t="s">
        <v>273</v>
      </c>
      <c r="F2755">
        <f>SUM(E2754:E2759)</f>
        <v>0</v>
      </c>
      <c r="G2755" s="57"/>
    </row>
    <row r="2756" spans="1:7" ht="12.75" x14ac:dyDescent="0.2">
      <c r="A2756" s="3">
        <v>53</v>
      </c>
      <c r="B2756" s="4" t="s">
        <v>80</v>
      </c>
      <c r="C2756" s="3" t="s">
        <v>273</v>
      </c>
      <c r="G2756" s="57"/>
    </row>
    <row r="2757" spans="1:7" ht="12.75" x14ac:dyDescent="0.2">
      <c r="A2757" s="3">
        <v>53</v>
      </c>
      <c r="B2757" s="4" t="s">
        <v>80</v>
      </c>
      <c r="C2757" s="3" t="s">
        <v>273</v>
      </c>
      <c r="G2757" s="57"/>
    </row>
    <row r="2758" spans="1:7" ht="12.75" x14ac:dyDescent="0.2">
      <c r="A2758" s="3">
        <v>53</v>
      </c>
      <c r="B2758" s="4" t="s">
        <v>80</v>
      </c>
      <c r="C2758" s="3" t="s">
        <v>273</v>
      </c>
      <c r="G2758" s="57"/>
    </row>
    <row r="2759" spans="1:7" ht="12.75" x14ac:dyDescent="0.2">
      <c r="A2759" s="3">
        <v>53</v>
      </c>
      <c r="B2759" s="4" t="s">
        <v>80</v>
      </c>
      <c r="C2759" s="3" t="s">
        <v>273</v>
      </c>
      <c r="G2759" s="57"/>
    </row>
    <row r="2760" spans="1:7" ht="12.75" x14ac:dyDescent="0.2">
      <c r="A2760" s="3">
        <v>53</v>
      </c>
      <c r="B2760" s="4" t="s">
        <v>80</v>
      </c>
      <c r="C2760" s="3" t="s">
        <v>125</v>
      </c>
      <c r="G2760" s="57"/>
    </row>
    <row r="2761" spans="1:7" ht="12.75" x14ac:dyDescent="0.2">
      <c r="A2761" s="3">
        <v>53</v>
      </c>
      <c r="B2761" s="4" t="s">
        <v>80</v>
      </c>
      <c r="C2761" s="3" t="s">
        <v>125</v>
      </c>
      <c r="F2761">
        <f>SUM(E2760:E2765)</f>
        <v>0</v>
      </c>
      <c r="G2761" s="57"/>
    </row>
    <row r="2762" spans="1:7" ht="12.75" x14ac:dyDescent="0.2">
      <c r="A2762" s="3">
        <v>53</v>
      </c>
      <c r="B2762" s="4" t="s">
        <v>80</v>
      </c>
      <c r="C2762" s="3" t="s">
        <v>125</v>
      </c>
      <c r="G2762" s="57"/>
    </row>
    <row r="2763" spans="1:7" ht="12.75" x14ac:dyDescent="0.2">
      <c r="A2763" s="3">
        <v>53</v>
      </c>
      <c r="B2763" s="4" t="s">
        <v>80</v>
      </c>
      <c r="C2763" s="3" t="s">
        <v>125</v>
      </c>
      <c r="G2763" s="57"/>
    </row>
    <row r="2764" spans="1:7" ht="12.75" x14ac:dyDescent="0.2">
      <c r="A2764" s="3">
        <v>53</v>
      </c>
      <c r="B2764" s="4" t="s">
        <v>80</v>
      </c>
      <c r="C2764" s="3" t="s">
        <v>125</v>
      </c>
      <c r="G2764" s="57"/>
    </row>
    <row r="2765" spans="1:7" ht="12.75" x14ac:dyDescent="0.2">
      <c r="A2765" s="3">
        <v>53</v>
      </c>
      <c r="B2765" s="4" t="s">
        <v>80</v>
      </c>
      <c r="C2765" s="3" t="s">
        <v>125</v>
      </c>
      <c r="G2765" s="57"/>
    </row>
    <row r="2766" spans="1:7" ht="12.75" x14ac:dyDescent="0.2">
      <c r="A2766" s="3">
        <v>54</v>
      </c>
      <c r="B2766" s="4" t="s">
        <v>81</v>
      </c>
      <c r="C2766" s="3" t="s">
        <v>347</v>
      </c>
      <c r="G2766" s="57"/>
    </row>
    <row r="2767" spans="1:7" ht="12.75" x14ac:dyDescent="0.2">
      <c r="A2767" s="3">
        <v>54</v>
      </c>
      <c r="B2767" s="4" t="s">
        <v>81</v>
      </c>
      <c r="C2767" s="3" t="s">
        <v>347</v>
      </c>
      <c r="G2767" s="57"/>
    </row>
    <row r="2768" spans="1:7" ht="12.75" x14ac:dyDescent="0.2">
      <c r="A2768" s="3">
        <v>54</v>
      </c>
      <c r="B2768" s="4" t="s">
        <v>81</v>
      </c>
      <c r="C2768" s="3" t="s">
        <v>347</v>
      </c>
      <c r="G2768" s="57"/>
    </row>
    <row r="2769" spans="1:7" ht="12.75" x14ac:dyDescent="0.2">
      <c r="A2769" s="3">
        <v>54</v>
      </c>
      <c r="B2769" s="4" t="s">
        <v>81</v>
      </c>
      <c r="C2769" s="3" t="s">
        <v>347</v>
      </c>
      <c r="F2769">
        <f>SUM(E2766:E2773)</f>
        <v>0</v>
      </c>
      <c r="G2769" s="57"/>
    </row>
    <row r="2770" spans="1:7" ht="12.75" x14ac:dyDescent="0.2">
      <c r="A2770" s="3">
        <v>54</v>
      </c>
      <c r="B2770" s="4" t="s">
        <v>81</v>
      </c>
      <c r="C2770" s="3" t="s">
        <v>347</v>
      </c>
      <c r="G2770" s="59">
        <v>56</v>
      </c>
    </row>
    <row r="2771" spans="1:7" ht="12.75" x14ac:dyDescent="0.2">
      <c r="A2771" s="3">
        <v>54</v>
      </c>
      <c r="B2771" s="4" t="s">
        <v>81</v>
      </c>
      <c r="C2771" s="3" t="s">
        <v>347</v>
      </c>
      <c r="G2771" s="57"/>
    </row>
    <row r="2772" spans="1:7" ht="12.75" x14ac:dyDescent="0.2">
      <c r="A2772" s="3">
        <v>54</v>
      </c>
      <c r="B2772" s="4" t="s">
        <v>81</v>
      </c>
      <c r="C2772" s="3" t="s">
        <v>347</v>
      </c>
      <c r="G2772" s="57"/>
    </row>
    <row r="2773" spans="1:7" ht="12.75" x14ac:dyDescent="0.2">
      <c r="A2773" s="3">
        <v>54</v>
      </c>
      <c r="B2773" s="4" t="s">
        <v>81</v>
      </c>
      <c r="C2773" s="3" t="s">
        <v>347</v>
      </c>
      <c r="G2773" s="57"/>
    </row>
    <row r="2774" spans="1:7" ht="12.75" x14ac:dyDescent="0.2">
      <c r="A2774" s="3">
        <v>54</v>
      </c>
      <c r="B2774" s="4" t="s">
        <v>81</v>
      </c>
      <c r="C2774" s="3" t="s">
        <v>273</v>
      </c>
      <c r="G2774" s="57"/>
    </row>
    <row r="2775" spans="1:7" ht="12.75" x14ac:dyDescent="0.2">
      <c r="A2775" s="3">
        <v>54</v>
      </c>
      <c r="B2775" s="4" t="s">
        <v>81</v>
      </c>
      <c r="C2775" s="3" t="s">
        <v>273</v>
      </c>
      <c r="F2775">
        <f>SUM(E2774:E2779)</f>
        <v>0</v>
      </c>
      <c r="G2775" s="57"/>
    </row>
    <row r="2776" spans="1:7" ht="12.75" x14ac:dyDescent="0.2">
      <c r="A2776" s="3">
        <v>54</v>
      </c>
      <c r="B2776" s="4" t="s">
        <v>81</v>
      </c>
      <c r="C2776" s="3" t="s">
        <v>273</v>
      </c>
      <c r="G2776" s="57"/>
    </row>
    <row r="2777" spans="1:7" ht="12.75" x14ac:dyDescent="0.2">
      <c r="A2777" s="3">
        <v>54</v>
      </c>
      <c r="B2777" s="4" t="s">
        <v>81</v>
      </c>
      <c r="C2777" s="3" t="s">
        <v>273</v>
      </c>
      <c r="G2777" s="57"/>
    </row>
    <row r="2778" spans="1:7" ht="12.75" x14ac:dyDescent="0.2">
      <c r="A2778" s="3">
        <v>54</v>
      </c>
      <c r="B2778" s="4" t="s">
        <v>81</v>
      </c>
      <c r="C2778" s="3" t="s">
        <v>273</v>
      </c>
      <c r="G2778" s="57"/>
    </row>
    <row r="2779" spans="1:7" ht="12.75" x14ac:dyDescent="0.2">
      <c r="A2779" s="3">
        <v>54</v>
      </c>
      <c r="B2779" s="4" t="s">
        <v>81</v>
      </c>
      <c r="C2779" s="3" t="s">
        <v>273</v>
      </c>
      <c r="G2779" s="57"/>
    </row>
    <row r="2780" spans="1:7" ht="12.75" x14ac:dyDescent="0.2">
      <c r="A2780" s="3">
        <v>54</v>
      </c>
      <c r="B2780" s="4" t="s">
        <v>81</v>
      </c>
      <c r="C2780" s="3" t="s">
        <v>125</v>
      </c>
      <c r="G2780" s="57"/>
    </row>
    <row r="2781" spans="1:7" ht="12.75" x14ac:dyDescent="0.2">
      <c r="A2781" s="3">
        <v>54</v>
      </c>
      <c r="B2781" s="4" t="s">
        <v>81</v>
      </c>
      <c r="C2781" s="3" t="s">
        <v>125</v>
      </c>
      <c r="F2781">
        <f>SUM(E2780:E2785)</f>
        <v>0</v>
      </c>
      <c r="G2781" s="57"/>
    </row>
    <row r="2782" spans="1:7" ht="12.75" x14ac:dyDescent="0.2">
      <c r="A2782" s="3">
        <v>54</v>
      </c>
      <c r="B2782" s="4" t="s">
        <v>81</v>
      </c>
      <c r="C2782" s="3" t="s">
        <v>125</v>
      </c>
      <c r="G2782" s="57"/>
    </row>
    <row r="2783" spans="1:7" ht="12.75" x14ac:dyDescent="0.2">
      <c r="A2783" s="3">
        <v>54</v>
      </c>
      <c r="B2783" s="4" t="s">
        <v>81</v>
      </c>
      <c r="C2783" s="3" t="s">
        <v>125</v>
      </c>
      <c r="G2783" s="57"/>
    </row>
    <row r="2784" spans="1:7" ht="12.75" x14ac:dyDescent="0.2">
      <c r="A2784" s="3">
        <v>54</v>
      </c>
      <c r="B2784" s="4" t="s">
        <v>81</v>
      </c>
      <c r="C2784" s="3" t="s">
        <v>125</v>
      </c>
      <c r="G2784" s="57"/>
    </row>
    <row r="2785" spans="1:7" ht="12.75" x14ac:dyDescent="0.2">
      <c r="A2785" s="3">
        <v>54</v>
      </c>
      <c r="B2785" s="4" t="s">
        <v>81</v>
      </c>
      <c r="C2785" s="3" t="s">
        <v>125</v>
      </c>
      <c r="G2785" s="57"/>
    </row>
    <row r="2786" spans="1:7" ht="12.75" x14ac:dyDescent="0.2">
      <c r="A2786" s="3">
        <v>55</v>
      </c>
      <c r="B2786" s="4" t="s">
        <v>82</v>
      </c>
      <c r="C2786" s="3" t="s">
        <v>347</v>
      </c>
      <c r="G2786" s="57"/>
    </row>
    <row r="2787" spans="1:7" ht="12.75" x14ac:dyDescent="0.2">
      <c r="A2787" s="3">
        <v>55</v>
      </c>
      <c r="B2787" s="4" t="s">
        <v>82</v>
      </c>
      <c r="C2787" s="3" t="s">
        <v>347</v>
      </c>
      <c r="G2787" s="57"/>
    </row>
    <row r="2788" spans="1:7" ht="12.75" x14ac:dyDescent="0.2">
      <c r="A2788" s="3">
        <v>55</v>
      </c>
      <c r="B2788" s="4" t="s">
        <v>82</v>
      </c>
      <c r="C2788" s="3" t="s">
        <v>347</v>
      </c>
      <c r="G2788" s="57"/>
    </row>
    <row r="2789" spans="1:7" ht="12.75" x14ac:dyDescent="0.2">
      <c r="A2789" s="3">
        <v>55</v>
      </c>
      <c r="B2789" s="4" t="s">
        <v>82</v>
      </c>
      <c r="C2789" s="3" t="s">
        <v>347</v>
      </c>
      <c r="F2789">
        <f>SUM(E2786:E2793)</f>
        <v>0</v>
      </c>
      <c r="G2789" s="57"/>
    </row>
    <row r="2790" spans="1:7" ht="12.75" x14ac:dyDescent="0.2">
      <c r="A2790" s="3">
        <v>55</v>
      </c>
      <c r="B2790" s="4" t="s">
        <v>82</v>
      </c>
      <c r="C2790" s="3" t="s">
        <v>347</v>
      </c>
      <c r="G2790" s="59">
        <v>608</v>
      </c>
    </row>
    <row r="2791" spans="1:7" ht="12.75" x14ac:dyDescent="0.2">
      <c r="A2791" s="3">
        <v>55</v>
      </c>
      <c r="B2791" s="4" t="s">
        <v>82</v>
      </c>
      <c r="C2791" s="3" t="s">
        <v>347</v>
      </c>
      <c r="G2791" s="57"/>
    </row>
    <row r="2792" spans="1:7" ht="12.75" x14ac:dyDescent="0.2">
      <c r="A2792" s="3">
        <v>55</v>
      </c>
      <c r="B2792" s="4" t="s">
        <v>82</v>
      </c>
      <c r="C2792" s="3" t="s">
        <v>347</v>
      </c>
      <c r="G2792" s="57"/>
    </row>
    <row r="2793" spans="1:7" ht="12.75" x14ac:dyDescent="0.2">
      <c r="A2793" s="3">
        <v>55</v>
      </c>
      <c r="B2793" s="4" t="s">
        <v>82</v>
      </c>
      <c r="C2793" s="3" t="s">
        <v>347</v>
      </c>
      <c r="G2793" s="57"/>
    </row>
    <row r="2794" spans="1:7" ht="12.75" x14ac:dyDescent="0.2">
      <c r="A2794" s="3">
        <v>55</v>
      </c>
      <c r="B2794" s="4" t="s">
        <v>82</v>
      </c>
      <c r="C2794" s="3" t="s">
        <v>273</v>
      </c>
      <c r="G2794" s="57"/>
    </row>
    <row r="2795" spans="1:7" ht="12.75" x14ac:dyDescent="0.2">
      <c r="A2795" s="3">
        <v>55</v>
      </c>
      <c r="B2795" s="4" t="s">
        <v>82</v>
      </c>
      <c r="C2795" s="3" t="s">
        <v>273</v>
      </c>
      <c r="F2795">
        <f>SUM(E2794:E2799)</f>
        <v>0</v>
      </c>
      <c r="G2795" s="57"/>
    </row>
    <row r="2796" spans="1:7" ht="12.75" x14ac:dyDescent="0.2">
      <c r="A2796" s="3">
        <v>55</v>
      </c>
      <c r="B2796" s="4" t="s">
        <v>82</v>
      </c>
      <c r="C2796" s="3" t="s">
        <v>273</v>
      </c>
      <c r="G2796" s="57"/>
    </row>
    <row r="2797" spans="1:7" ht="12.75" x14ac:dyDescent="0.2">
      <c r="A2797" s="3">
        <v>55</v>
      </c>
      <c r="B2797" s="4" t="s">
        <v>82</v>
      </c>
      <c r="C2797" s="3" t="s">
        <v>273</v>
      </c>
      <c r="G2797" s="57"/>
    </row>
    <row r="2798" spans="1:7" ht="12.75" x14ac:dyDescent="0.2">
      <c r="A2798" s="3">
        <v>55</v>
      </c>
      <c r="B2798" s="4" t="s">
        <v>82</v>
      </c>
      <c r="C2798" s="3" t="s">
        <v>273</v>
      </c>
      <c r="G2798" s="57"/>
    </row>
    <row r="2799" spans="1:7" ht="12.75" x14ac:dyDescent="0.2">
      <c r="A2799" s="3">
        <v>55</v>
      </c>
      <c r="B2799" s="4" t="s">
        <v>82</v>
      </c>
      <c r="C2799" s="3" t="s">
        <v>273</v>
      </c>
      <c r="G2799" s="57"/>
    </row>
    <row r="2800" spans="1:7" ht="12.75" x14ac:dyDescent="0.2">
      <c r="A2800" s="3">
        <v>55</v>
      </c>
      <c r="B2800" s="4" t="s">
        <v>82</v>
      </c>
      <c r="C2800" s="3" t="s">
        <v>125</v>
      </c>
      <c r="G2800" s="57"/>
    </row>
    <row r="2801" spans="1:7" ht="12.75" x14ac:dyDescent="0.2">
      <c r="A2801" s="3">
        <v>55</v>
      </c>
      <c r="B2801" s="4" t="s">
        <v>82</v>
      </c>
      <c r="C2801" s="3" t="s">
        <v>125</v>
      </c>
      <c r="F2801">
        <f>SUM(E2800:E2805)</f>
        <v>0</v>
      </c>
      <c r="G2801" s="57"/>
    </row>
    <row r="2802" spans="1:7" ht="12.75" x14ac:dyDescent="0.2">
      <c r="A2802" s="3">
        <v>55</v>
      </c>
      <c r="B2802" s="4" t="s">
        <v>82</v>
      </c>
      <c r="C2802" s="3" t="s">
        <v>125</v>
      </c>
      <c r="G2802" s="57"/>
    </row>
    <row r="2803" spans="1:7" ht="12.75" x14ac:dyDescent="0.2">
      <c r="A2803" s="3">
        <v>55</v>
      </c>
      <c r="B2803" s="4" t="s">
        <v>82</v>
      </c>
      <c r="C2803" s="3" t="s">
        <v>125</v>
      </c>
      <c r="G2803" s="57"/>
    </row>
    <row r="2804" spans="1:7" ht="12.75" x14ac:dyDescent="0.2">
      <c r="A2804" s="3">
        <v>55</v>
      </c>
      <c r="B2804" s="4" t="s">
        <v>82</v>
      </c>
      <c r="C2804" s="3" t="s">
        <v>125</v>
      </c>
      <c r="G2804" s="57"/>
    </row>
    <row r="2805" spans="1:7" ht="12.75" x14ac:dyDescent="0.2">
      <c r="A2805" s="3">
        <v>55</v>
      </c>
      <c r="B2805" s="4" t="s">
        <v>82</v>
      </c>
      <c r="C2805" s="3" t="s">
        <v>125</v>
      </c>
      <c r="G2805" s="57"/>
    </row>
    <row r="2806" spans="1:7" ht="12.75" x14ac:dyDescent="0.2">
      <c r="A2806" s="3">
        <v>56</v>
      </c>
      <c r="B2806" s="4" t="s">
        <v>83</v>
      </c>
      <c r="C2806" s="3" t="s">
        <v>347</v>
      </c>
      <c r="G2806" s="57"/>
    </row>
    <row r="2807" spans="1:7" ht="12.75" x14ac:dyDescent="0.2">
      <c r="A2807" s="3">
        <v>56</v>
      </c>
      <c r="B2807" s="4" t="s">
        <v>83</v>
      </c>
      <c r="C2807" s="3" t="s">
        <v>347</v>
      </c>
      <c r="G2807" s="57"/>
    </row>
    <row r="2808" spans="1:7" ht="12.75" x14ac:dyDescent="0.2">
      <c r="A2808" s="3">
        <v>56</v>
      </c>
      <c r="B2808" s="4" t="s">
        <v>83</v>
      </c>
      <c r="C2808" s="3" t="s">
        <v>347</v>
      </c>
      <c r="G2808" s="57"/>
    </row>
    <row r="2809" spans="1:7" ht="12.75" x14ac:dyDescent="0.2">
      <c r="A2809" s="3">
        <v>56</v>
      </c>
      <c r="B2809" s="4" t="s">
        <v>83</v>
      </c>
      <c r="C2809" s="3" t="s">
        <v>347</v>
      </c>
      <c r="F2809">
        <f>SUM(E2806:E2813)</f>
        <v>0</v>
      </c>
      <c r="G2809" s="57"/>
    </row>
    <row r="2810" spans="1:7" ht="12.75" x14ac:dyDescent="0.2">
      <c r="A2810" s="3">
        <v>56</v>
      </c>
      <c r="B2810" s="4" t="s">
        <v>83</v>
      </c>
      <c r="C2810" s="3" t="s">
        <v>347</v>
      </c>
      <c r="G2810" s="59">
        <v>2668</v>
      </c>
    </row>
    <row r="2811" spans="1:7" ht="12.75" x14ac:dyDescent="0.2">
      <c r="A2811" s="3">
        <v>56</v>
      </c>
      <c r="B2811" s="4" t="s">
        <v>83</v>
      </c>
      <c r="C2811" s="3" t="s">
        <v>347</v>
      </c>
      <c r="G2811" s="57"/>
    </row>
    <row r="2812" spans="1:7" ht="12.75" x14ac:dyDescent="0.2">
      <c r="A2812" s="3">
        <v>56</v>
      </c>
      <c r="B2812" s="4" t="s">
        <v>83</v>
      </c>
      <c r="C2812" s="3" t="s">
        <v>347</v>
      </c>
      <c r="G2812" s="57"/>
    </row>
    <row r="2813" spans="1:7" ht="12.75" x14ac:dyDescent="0.2">
      <c r="A2813" s="3">
        <v>56</v>
      </c>
      <c r="B2813" s="4" t="s">
        <v>83</v>
      </c>
      <c r="C2813" s="3" t="s">
        <v>347</v>
      </c>
      <c r="G2813" s="57"/>
    </row>
    <row r="2814" spans="1:7" ht="12.75" x14ac:dyDescent="0.2">
      <c r="A2814" s="3">
        <v>56</v>
      </c>
      <c r="B2814" s="4" t="s">
        <v>83</v>
      </c>
      <c r="C2814" s="3" t="s">
        <v>273</v>
      </c>
      <c r="G2814" s="57"/>
    </row>
    <row r="2815" spans="1:7" ht="12.75" x14ac:dyDescent="0.2">
      <c r="A2815" s="3">
        <v>56</v>
      </c>
      <c r="B2815" s="4" t="s">
        <v>83</v>
      </c>
      <c r="C2815" s="3" t="s">
        <v>273</v>
      </c>
      <c r="F2815">
        <f>SUM(E2814:E2819)</f>
        <v>0</v>
      </c>
      <c r="G2815" s="57"/>
    </row>
    <row r="2816" spans="1:7" ht="12.75" x14ac:dyDescent="0.2">
      <c r="A2816" s="3">
        <v>56</v>
      </c>
      <c r="B2816" s="4" t="s">
        <v>83</v>
      </c>
      <c r="C2816" s="3" t="s">
        <v>273</v>
      </c>
      <c r="G2816" s="57"/>
    </row>
    <row r="2817" spans="1:7" ht="12.75" x14ac:dyDescent="0.2">
      <c r="A2817" s="3">
        <v>56</v>
      </c>
      <c r="B2817" s="4" t="s">
        <v>83</v>
      </c>
      <c r="C2817" s="3" t="s">
        <v>273</v>
      </c>
      <c r="G2817" s="57"/>
    </row>
    <row r="2818" spans="1:7" ht="12.75" x14ac:dyDescent="0.2">
      <c r="A2818" s="3">
        <v>56</v>
      </c>
      <c r="B2818" s="4" t="s">
        <v>83</v>
      </c>
      <c r="C2818" s="3" t="s">
        <v>273</v>
      </c>
      <c r="G2818" s="57"/>
    </row>
    <row r="2819" spans="1:7" ht="12.75" x14ac:dyDescent="0.2">
      <c r="A2819" s="3">
        <v>56</v>
      </c>
      <c r="B2819" s="4" t="s">
        <v>83</v>
      </c>
      <c r="C2819" s="3" t="s">
        <v>273</v>
      </c>
      <c r="G2819" s="57"/>
    </row>
    <row r="2820" spans="1:7" ht="12.75" x14ac:dyDescent="0.2">
      <c r="A2820" s="3">
        <v>56</v>
      </c>
      <c r="B2820" s="4" t="s">
        <v>83</v>
      </c>
      <c r="C2820" s="3" t="s">
        <v>125</v>
      </c>
      <c r="G2820" s="57"/>
    </row>
    <row r="2821" spans="1:7" ht="12.75" x14ac:dyDescent="0.2">
      <c r="A2821" s="3">
        <v>56</v>
      </c>
      <c r="B2821" s="4" t="s">
        <v>83</v>
      </c>
      <c r="C2821" s="3" t="s">
        <v>125</v>
      </c>
      <c r="F2821">
        <f>SUM(E2820:E2825)</f>
        <v>0</v>
      </c>
      <c r="G2821" s="57"/>
    </row>
    <row r="2822" spans="1:7" ht="12.75" x14ac:dyDescent="0.2">
      <c r="A2822" s="3">
        <v>56</v>
      </c>
      <c r="B2822" s="4" t="s">
        <v>83</v>
      </c>
      <c r="C2822" s="3" t="s">
        <v>125</v>
      </c>
      <c r="G2822" s="57"/>
    </row>
    <row r="2823" spans="1:7" ht="12.75" x14ac:dyDescent="0.2">
      <c r="A2823" s="3">
        <v>56</v>
      </c>
      <c r="B2823" s="4" t="s">
        <v>83</v>
      </c>
      <c r="C2823" s="3" t="s">
        <v>125</v>
      </c>
      <c r="G2823" s="57"/>
    </row>
    <row r="2824" spans="1:7" ht="12.75" x14ac:dyDescent="0.2">
      <c r="A2824" s="3">
        <v>56</v>
      </c>
      <c r="B2824" s="4" t="s">
        <v>83</v>
      </c>
      <c r="C2824" s="3" t="s">
        <v>125</v>
      </c>
      <c r="G2824" s="57"/>
    </row>
    <row r="2825" spans="1:7" ht="12.75" x14ac:dyDescent="0.2">
      <c r="A2825" s="3">
        <v>56</v>
      </c>
      <c r="B2825" s="4" t="s">
        <v>83</v>
      </c>
      <c r="C2825" s="3" t="s">
        <v>125</v>
      </c>
      <c r="G2825" s="57"/>
    </row>
    <row r="2826" spans="1:7" ht="12.75" x14ac:dyDescent="0.2">
      <c r="A2826" s="3">
        <v>59</v>
      </c>
      <c r="B2826" s="4" t="s">
        <v>85</v>
      </c>
      <c r="C2826" s="3" t="s">
        <v>347</v>
      </c>
      <c r="G2826" s="57"/>
    </row>
    <row r="2827" spans="1:7" ht="12.75" x14ac:dyDescent="0.2">
      <c r="A2827" s="3">
        <v>59</v>
      </c>
      <c r="B2827" s="4" t="s">
        <v>85</v>
      </c>
      <c r="C2827" s="3" t="s">
        <v>347</v>
      </c>
      <c r="G2827" s="57"/>
    </row>
    <row r="2828" spans="1:7" ht="12.75" x14ac:dyDescent="0.2">
      <c r="A2828" s="3">
        <v>59</v>
      </c>
      <c r="B2828" s="4" t="s">
        <v>85</v>
      </c>
      <c r="C2828" s="3" t="s">
        <v>347</v>
      </c>
      <c r="G2828" s="57"/>
    </row>
    <row r="2829" spans="1:7" ht="12.75" x14ac:dyDescent="0.2">
      <c r="A2829" s="3">
        <v>59</v>
      </c>
      <c r="B2829" s="4" t="s">
        <v>85</v>
      </c>
      <c r="C2829" s="3" t="s">
        <v>347</v>
      </c>
      <c r="F2829">
        <f>SUM(E2826:E2833)</f>
        <v>0</v>
      </c>
      <c r="G2829" s="57"/>
    </row>
    <row r="2830" spans="1:7" ht="12.75" x14ac:dyDescent="0.2">
      <c r="A2830" s="3">
        <v>59</v>
      </c>
      <c r="B2830" s="4" t="s">
        <v>85</v>
      </c>
      <c r="C2830" s="3" t="s">
        <v>347</v>
      </c>
      <c r="G2830" s="59">
        <v>686</v>
      </c>
    </row>
    <row r="2831" spans="1:7" ht="12.75" x14ac:dyDescent="0.2">
      <c r="A2831" s="3">
        <v>59</v>
      </c>
      <c r="B2831" s="4" t="s">
        <v>85</v>
      </c>
      <c r="C2831" s="3" t="s">
        <v>347</v>
      </c>
      <c r="G2831" s="57"/>
    </row>
    <row r="2832" spans="1:7" ht="12.75" x14ac:dyDescent="0.2">
      <c r="A2832" s="3">
        <v>59</v>
      </c>
      <c r="B2832" s="4" t="s">
        <v>85</v>
      </c>
      <c r="C2832" s="3" t="s">
        <v>347</v>
      </c>
      <c r="G2832" s="57"/>
    </row>
    <row r="2833" spans="1:7" ht="12.75" x14ac:dyDescent="0.2">
      <c r="A2833" s="3">
        <v>59</v>
      </c>
      <c r="B2833" s="4" t="s">
        <v>85</v>
      </c>
      <c r="C2833" s="3" t="s">
        <v>347</v>
      </c>
      <c r="G2833" s="57"/>
    </row>
    <row r="2834" spans="1:7" ht="12.75" x14ac:dyDescent="0.2">
      <c r="A2834" s="3">
        <v>59</v>
      </c>
      <c r="B2834" s="4" t="s">
        <v>85</v>
      </c>
      <c r="C2834" s="3" t="s">
        <v>273</v>
      </c>
      <c r="G2834" s="57"/>
    </row>
    <row r="2835" spans="1:7" ht="12.75" x14ac:dyDescent="0.2">
      <c r="A2835" s="3">
        <v>59</v>
      </c>
      <c r="B2835" s="4" t="s">
        <v>85</v>
      </c>
      <c r="C2835" s="3" t="s">
        <v>273</v>
      </c>
      <c r="F2835">
        <f>SUM(E2834:E2839)</f>
        <v>0</v>
      </c>
      <c r="G2835" s="57"/>
    </row>
    <row r="2836" spans="1:7" ht="12.75" x14ac:dyDescent="0.2">
      <c r="A2836" s="3">
        <v>59</v>
      </c>
      <c r="B2836" s="4" t="s">
        <v>85</v>
      </c>
      <c r="C2836" s="3" t="s">
        <v>273</v>
      </c>
      <c r="G2836" s="57"/>
    </row>
    <row r="2837" spans="1:7" ht="12.75" x14ac:dyDescent="0.2">
      <c r="A2837" s="3">
        <v>59</v>
      </c>
      <c r="B2837" s="4" t="s">
        <v>85</v>
      </c>
      <c r="C2837" s="3" t="s">
        <v>273</v>
      </c>
      <c r="G2837" s="57"/>
    </row>
    <row r="2838" spans="1:7" ht="12.75" x14ac:dyDescent="0.2">
      <c r="A2838" s="3">
        <v>59</v>
      </c>
      <c r="B2838" s="4" t="s">
        <v>85</v>
      </c>
      <c r="C2838" s="3" t="s">
        <v>273</v>
      </c>
      <c r="G2838" s="57"/>
    </row>
    <row r="2839" spans="1:7" ht="12.75" x14ac:dyDescent="0.2">
      <c r="A2839" s="3">
        <v>59</v>
      </c>
      <c r="B2839" s="4" t="s">
        <v>85</v>
      </c>
      <c r="C2839" s="3" t="s">
        <v>273</v>
      </c>
      <c r="G2839" s="57"/>
    </row>
    <row r="2840" spans="1:7" ht="12.75" x14ac:dyDescent="0.2">
      <c r="A2840" s="3">
        <v>59</v>
      </c>
      <c r="B2840" s="4" t="s">
        <v>85</v>
      </c>
      <c r="C2840" s="3" t="s">
        <v>125</v>
      </c>
      <c r="G2840" s="57"/>
    </row>
    <row r="2841" spans="1:7" ht="12.75" x14ac:dyDescent="0.2">
      <c r="A2841" s="3">
        <v>59</v>
      </c>
      <c r="B2841" s="4" t="s">
        <v>85</v>
      </c>
      <c r="C2841" s="3" t="s">
        <v>125</v>
      </c>
      <c r="F2841">
        <f>SUM(E2840:E2845)</f>
        <v>0</v>
      </c>
      <c r="G2841" s="57"/>
    </row>
    <row r="2842" spans="1:7" ht="12.75" x14ac:dyDescent="0.2">
      <c r="A2842" s="3">
        <v>59</v>
      </c>
      <c r="B2842" s="4" t="s">
        <v>85</v>
      </c>
      <c r="C2842" s="3" t="s">
        <v>125</v>
      </c>
      <c r="G2842" s="57"/>
    </row>
    <row r="2843" spans="1:7" ht="12.75" x14ac:dyDescent="0.2">
      <c r="A2843" s="3">
        <v>59</v>
      </c>
      <c r="B2843" s="4" t="s">
        <v>85</v>
      </c>
      <c r="C2843" s="3" t="s">
        <v>125</v>
      </c>
      <c r="G2843" s="57"/>
    </row>
    <row r="2844" spans="1:7" ht="12.75" x14ac:dyDescent="0.2">
      <c r="A2844" s="3">
        <v>59</v>
      </c>
      <c r="B2844" s="4" t="s">
        <v>85</v>
      </c>
      <c r="C2844" s="3" t="s">
        <v>125</v>
      </c>
      <c r="G2844" s="57"/>
    </row>
    <row r="2845" spans="1:7" ht="12.75" x14ac:dyDescent="0.2">
      <c r="A2845" s="3">
        <v>59</v>
      </c>
      <c r="B2845" s="4" t="s">
        <v>85</v>
      </c>
      <c r="C2845" s="3" t="s">
        <v>125</v>
      </c>
      <c r="G2845" s="57"/>
    </row>
    <row r="2846" spans="1:7" ht="12.75" x14ac:dyDescent="0.2">
      <c r="A2846" s="3">
        <v>60</v>
      </c>
      <c r="B2846" s="4" t="s">
        <v>154</v>
      </c>
      <c r="C2846" s="3" t="s">
        <v>347</v>
      </c>
      <c r="G2846" s="57"/>
    </row>
    <row r="2847" spans="1:7" ht="12.75" x14ac:dyDescent="0.2">
      <c r="A2847" s="3">
        <v>60</v>
      </c>
      <c r="B2847" s="4" t="s">
        <v>154</v>
      </c>
      <c r="C2847" s="3" t="s">
        <v>347</v>
      </c>
      <c r="G2847" s="57"/>
    </row>
    <row r="2848" spans="1:7" ht="12.75" x14ac:dyDescent="0.2">
      <c r="A2848" s="3">
        <v>60</v>
      </c>
      <c r="B2848" s="4" t="s">
        <v>154</v>
      </c>
      <c r="C2848" s="3" t="s">
        <v>347</v>
      </c>
      <c r="G2848" s="57"/>
    </row>
    <row r="2849" spans="1:7" ht="12.75" x14ac:dyDescent="0.2">
      <c r="A2849" s="3">
        <v>60</v>
      </c>
      <c r="B2849" s="4" t="s">
        <v>154</v>
      </c>
      <c r="C2849" s="3" t="s">
        <v>347</v>
      </c>
      <c r="F2849">
        <f>SUM(E2846:E2853)</f>
        <v>0</v>
      </c>
      <c r="G2849" s="57"/>
    </row>
    <row r="2850" spans="1:7" ht="12.75" x14ac:dyDescent="0.2">
      <c r="A2850" s="3">
        <v>60</v>
      </c>
      <c r="B2850" s="4" t="s">
        <v>154</v>
      </c>
      <c r="C2850" s="3" t="s">
        <v>347</v>
      </c>
      <c r="G2850" s="59">
        <v>112</v>
      </c>
    </row>
    <row r="2851" spans="1:7" ht="12.75" x14ac:dyDescent="0.2">
      <c r="A2851" s="3">
        <v>60</v>
      </c>
      <c r="B2851" s="4" t="s">
        <v>154</v>
      </c>
      <c r="C2851" s="3" t="s">
        <v>347</v>
      </c>
      <c r="G2851" s="57"/>
    </row>
    <row r="2852" spans="1:7" ht="12.75" x14ac:dyDescent="0.2">
      <c r="A2852" s="3">
        <v>60</v>
      </c>
      <c r="B2852" s="4" t="s">
        <v>154</v>
      </c>
      <c r="C2852" s="3" t="s">
        <v>347</v>
      </c>
      <c r="G2852" s="57"/>
    </row>
    <row r="2853" spans="1:7" ht="12.75" x14ac:dyDescent="0.2">
      <c r="A2853" s="3">
        <v>60</v>
      </c>
      <c r="B2853" s="4" t="s">
        <v>154</v>
      </c>
      <c r="C2853" s="3" t="s">
        <v>347</v>
      </c>
      <c r="G2853" s="57"/>
    </row>
    <row r="2854" spans="1:7" ht="12.75" x14ac:dyDescent="0.2">
      <c r="A2854" s="3">
        <v>60</v>
      </c>
      <c r="B2854" s="4" t="s">
        <v>154</v>
      </c>
      <c r="C2854" s="3" t="s">
        <v>273</v>
      </c>
      <c r="G2854" s="57"/>
    </row>
    <row r="2855" spans="1:7" ht="12.75" x14ac:dyDescent="0.2">
      <c r="A2855" s="3">
        <v>60</v>
      </c>
      <c r="B2855" s="4" t="s">
        <v>154</v>
      </c>
      <c r="C2855" s="3" t="s">
        <v>273</v>
      </c>
      <c r="F2855">
        <f>SUM(E2854:E2859)</f>
        <v>0</v>
      </c>
      <c r="G2855" s="57"/>
    </row>
    <row r="2856" spans="1:7" ht="12.75" x14ac:dyDescent="0.2">
      <c r="A2856" s="3">
        <v>60</v>
      </c>
      <c r="B2856" s="4" t="s">
        <v>154</v>
      </c>
      <c r="C2856" s="3" t="s">
        <v>273</v>
      </c>
      <c r="G2856" s="57"/>
    </row>
    <row r="2857" spans="1:7" ht="12.75" x14ac:dyDescent="0.2">
      <c r="A2857" s="3">
        <v>60</v>
      </c>
      <c r="B2857" s="4" t="s">
        <v>154</v>
      </c>
      <c r="C2857" s="3" t="s">
        <v>273</v>
      </c>
      <c r="G2857" s="57"/>
    </row>
    <row r="2858" spans="1:7" ht="12.75" x14ac:dyDescent="0.2">
      <c r="A2858" s="3">
        <v>60</v>
      </c>
      <c r="B2858" s="4" t="s">
        <v>154</v>
      </c>
      <c r="C2858" s="3" t="s">
        <v>273</v>
      </c>
      <c r="G2858" s="57"/>
    </row>
    <row r="2859" spans="1:7" ht="12.75" x14ac:dyDescent="0.2">
      <c r="A2859" s="3">
        <v>60</v>
      </c>
      <c r="B2859" s="4" t="s">
        <v>154</v>
      </c>
      <c r="C2859" s="3" t="s">
        <v>273</v>
      </c>
      <c r="G2859" s="57"/>
    </row>
    <row r="2860" spans="1:7" ht="12.75" x14ac:dyDescent="0.2">
      <c r="A2860" s="3">
        <v>60</v>
      </c>
      <c r="B2860" s="4" t="s">
        <v>154</v>
      </c>
      <c r="C2860" s="3" t="s">
        <v>125</v>
      </c>
      <c r="G2860" s="57"/>
    </row>
    <row r="2861" spans="1:7" ht="12.75" x14ac:dyDescent="0.2">
      <c r="A2861" s="3">
        <v>60</v>
      </c>
      <c r="B2861" s="4" t="s">
        <v>154</v>
      </c>
      <c r="C2861" s="3" t="s">
        <v>125</v>
      </c>
      <c r="F2861">
        <f>SUM(E2860:E2865)</f>
        <v>0</v>
      </c>
      <c r="G2861" s="57"/>
    </row>
    <row r="2862" spans="1:7" ht="12.75" x14ac:dyDescent="0.2">
      <c r="A2862" s="3">
        <v>60</v>
      </c>
      <c r="B2862" s="4" t="s">
        <v>154</v>
      </c>
      <c r="C2862" s="3" t="s">
        <v>125</v>
      </c>
      <c r="G2862" s="57"/>
    </row>
    <row r="2863" spans="1:7" ht="12.75" x14ac:dyDescent="0.2">
      <c r="A2863" s="3">
        <v>60</v>
      </c>
      <c r="B2863" s="4" t="s">
        <v>154</v>
      </c>
      <c r="C2863" s="3" t="s">
        <v>125</v>
      </c>
      <c r="G2863" s="57"/>
    </row>
    <row r="2864" spans="1:7" ht="12.75" x14ac:dyDescent="0.2">
      <c r="A2864" s="3">
        <v>60</v>
      </c>
      <c r="B2864" s="4" t="s">
        <v>154</v>
      </c>
      <c r="C2864" s="3" t="s">
        <v>125</v>
      </c>
      <c r="G2864" s="57"/>
    </row>
    <row r="2865" spans="1:7" ht="12.75" x14ac:dyDescent="0.2">
      <c r="A2865" s="3">
        <v>60</v>
      </c>
      <c r="B2865" s="4" t="s">
        <v>154</v>
      </c>
      <c r="C2865" s="3" t="s">
        <v>125</v>
      </c>
      <c r="G2865" s="57"/>
    </row>
    <row r="2866" spans="1:7" ht="12.75" x14ac:dyDescent="0.2">
      <c r="A2866" s="3">
        <v>62</v>
      </c>
      <c r="B2866" s="4" t="s">
        <v>87</v>
      </c>
      <c r="C2866" s="3" t="s">
        <v>347</v>
      </c>
      <c r="G2866" s="57"/>
    </row>
    <row r="2867" spans="1:7" ht="12.75" x14ac:dyDescent="0.2">
      <c r="A2867" s="3">
        <v>62</v>
      </c>
      <c r="B2867" s="4" t="s">
        <v>87</v>
      </c>
      <c r="C2867" s="3" t="s">
        <v>347</v>
      </c>
      <c r="G2867" s="57"/>
    </row>
    <row r="2868" spans="1:7" ht="12.75" x14ac:dyDescent="0.2">
      <c r="A2868" s="3">
        <v>62</v>
      </c>
      <c r="B2868" s="4" t="s">
        <v>87</v>
      </c>
      <c r="C2868" s="3" t="s">
        <v>347</v>
      </c>
      <c r="G2868" s="57"/>
    </row>
    <row r="2869" spans="1:7" ht="12.75" x14ac:dyDescent="0.2">
      <c r="A2869" s="3">
        <v>62</v>
      </c>
      <c r="B2869" s="4" t="s">
        <v>87</v>
      </c>
      <c r="C2869" s="3" t="s">
        <v>347</v>
      </c>
      <c r="F2869">
        <f>SUM(E2866:E2873)</f>
        <v>0</v>
      </c>
      <c r="G2869" s="57"/>
    </row>
    <row r="2870" spans="1:7" ht="12.75" x14ac:dyDescent="0.2">
      <c r="A2870" s="3">
        <v>62</v>
      </c>
      <c r="B2870" s="4" t="s">
        <v>87</v>
      </c>
      <c r="C2870" s="3" t="s">
        <v>347</v>
      </c>
      <c r="G2870" s="59">
        <v>44</v>
      </c>
    </row>
    <row r="2871" spans="1:7" ht="12.75" x14ac:dyDescent="0.2">
      <c r="A2871" s="3">
        <v>62</v>
      </c>
      <c r="B2871" s="4" t="s">
        <v>87</v>
      </c>
      <c r="C2871" s="3" t="s">
        <v>347</v>
      </c>
      <c r="G2871" s="57"/>
    </row>
    <row r="2872" spans="1:7" ht="12.75" x14ac:dyDescent="0.2">
      <c r="A2872" s="3">
        <v>62</v>
      </c>
      <c r="B2872" s="4" t="s">
        <v>87</v>
      </c>
      <c r="C2872" s="3" t="s">
        <v>347</v>
      </c>
      <c r="G2872" s="57"/>
    </row>
    <row r="2873" spans="1:7" ht="12.75" x14ac:dyDescent="0.2">
      <c r="A2873" s="3">
        <v>62</v>
      </c>
      <c r="B2873" s="4" t="s">
        <v>87</v>
      </c>
      <c r="C2873" s="3" t="s">
        <v>347</v>
      </c>
      <c r="G2873" s="57"/>
    </row>
    <row r="2874" spans="1:7" ht="12.75" x14ac:dyDescent="0.2">
      <c r="A2874" s="3">
        <v>62</v>
      </c>
      <c r="B2874" s="4" t="s">
        <v>87</v>
      </c>
      <c r="C2874" s="3" t="s">
        <v>273</v>
      </c>
      <c r="G2874" s="57"/>
    </row>
    <row r="2875" spans="1:7" ht="12.75" x14ac:dyDescent="0.2">
      <c r="A2875" s="3">
        <v>62</v>
      </c>
      <c r="B2875" s="4" t="s">
        <v>87</v>
      </c>
      <c r="C2875" s="3" t="s">
        <v>273</v>
      </c>
      <c r="F2875">
        <f>SUM(E2874:E2879)</f>
        <v>0</v>
      </c>
      <c r="G2875" s="57"/>
    </row>
    <row r="2876" spans="1:7" ht="12.75" x14ac:dyDescent="0.2">
      <c r="A2876" s="3">
        <v>62</v>
      </c>
      <c r="B2876" s="4" t="s">
        <v>87</v>
      </c>
      <c r="C2876" s="3" t="s">
        <v>273</v>
      </c>
      <c r="G2876" s="57"/>
    </row>
    <row r="2877" spans="1:7" ht="12.75" x14ac:dyDescent="0.2">
      <c r="A2877" s="3">
        <v>62</v>
      </c>
      <c r="B2877" s="4" t="s">
        <v>87</v>
      </c>
      <c r="C2877" s="3" t="s">
        <v>273</v>
      </c>
      <c r="G2877" s="57"/>
    </row>
    <row r="2878" spans="1:7" ht="12.75" x14ac:dyDescent="0.2">
      <c r="A2878" s="3">
        <v>62</v>
      </c>
      <c r="B2878" s="4" t="s">
        <v>87</v>
      </c>
      <c r="C2878" s="3" t="s">
        <v>273</v>
      </c>
      <c r="G2878" s="57"/>
    </row>
    <row r="2879" spans="1:7" ht="12.75" x14ac:dyDescent="0.2">
      <c r="A2879" s="3">
        <v>62</v>
      </c>
      <c r="B2879" s="4" t="s">
        <v>87</v>
      </c>
      <c r="C2879" s="3" t="s">
        <v>273</v>
      </c>
      <c r="G2879" s="57"/>
    </row>
    <row r="2880" spans="1:7" ht="12.75" x14ac:dyDescent="0.2">
      <c r="A2880" s="3">
        <v>62</v>
      </c>
      <c r="B2880" s="4" t="s">
        <v>87</v>
      </c>
      <c r="C2880" s="3" t="s">
        <v>125</v>
      </c>
      <c r="G2880" s="57"/>
    </row>
    <row r="2881" spans="1:7" ht="12.75" x14ac:dyDescent="0.2">
      <c r="A2881" s="3">
        <v>62</v>
      </c>
      <c r="B2881" s="4" t="s">
        <v>87</v>
      </c>
      <c r="C2881" s="3" t="s">
        <v>125</v>
      </c>
      <c r="F2881">
        <f>SUM(E2880:E2885)</f>
        <v>0</v>
      </c>
      <c r="G2881" s="57"/>
    </row>
    <row r="2882" spans="1:7" ht="12.75" x14ac:dyDescent="0.2">
      <c r="A2882" s="3">
        <v>62</v>
      </c>
      <c r="B2882" s="4" t="s">
        <v>87</v>
      </c>
      <c r="C2882" s="3" t="s">
        <v>125</v>
      </c>
      <c r="G2882" s="57"/>
    </row>
    <row r="2883" spans="1:7" ht="12.75" x14ac:dyDescent="0.2">
      <c r="A2883" s="3">
        <v>62</v>
      </c>
      <c r="B2883" s="4" t="s">
        <v>87</v>
      </c>
      <c r="C2883" s="3" t="s">
        <v>125</v>
      </c>
      <c r="G2883" s="57"/>
    </row>
    <row r="2884" spans="1:7" ht="12.75" x14ac:dyDescent="0.2">
      <c r="A2884" s="3">
        <v>62</v>
      </c>
      <c r="B2884" s="4" t="s">
        <v>87</v>
      </c>
      <c r="C2884" s="3" t="s">
        <v>125</v>
      </c>
      <c r="G2884" s="57"/>
    </row>
    <row r="2885" spans="1:7" ht="12.75" x14ac:dyDescent="0.2">
      <c r="A2885" s="3">
        <v>62</v>
      </c>
      <c r="B2885" s="4" t="s">
        <v>87</v>
      </c>
      <c r="C2885" s="3" t="s">
        <v>125</v>
      </c>
      <c r="G2885" s="57"/>
    </row>
    <row r="2886" spans="1:7" ht="12.75" x14ac:dyDescent="0.2">
      <c r="A2886" s="3">
        <v>63</v>
      </c>
      <c r="B2886" s="4" t="s">
        <v>88</v>
      </c>
      <c r="C2886" s="3" t="s">
        <v>347</v>
      </c>
      <c r="G2886" s="57"/>
    </row>
    <row r="2887" spans="1:7" ht="12.75" x14ac:dyDescent="0.2">
      <c r="A2887" s="3">
        <v>63</v>
      </c>
      <c r="B2887" s="4" t="s">
        <v>88</v>
      </c>
      <c r="C2887" s="3" t="s">
        <v>347</v>
      </c>
      <c r="G2887" s="57"/>
    </row>
    <row r="2888" spans="1:7" ht="12.75" x14ac:dyDescent="0.2">
      <c r="A2888" s="3">
        <v>63</v>
      </c>
      <c r="B2888" s="4" t="s">
        <v>88</v>
      </c>
      <c r="C2888" s="3" t="s">
        <v>347</v>
      </c>
      <c r="G2888" s="57"/>
    </row>
    <row r="2889" spans="1:7" ht="12.75" x14ac:dyDescent="0.2">
      <c r="A2889" s="3">
        <v>63</v>
      </c>
      <c r="B2889" s="4" t="s">
        <v>88</v>
      </c>
      <c r="C2889" s="3" t="s">
        <v>347</v>
      </c>
      <c r="F2889">
        <f>SUM(E2886:E2893)</f>
        <v>0</v>
      </c>
      <c r="G2889" s="57"/>
    </row>
    <row r="2890" spans="1:7" ht="12.75" x14ac:dyDescent="0.2">
      <c r="A2890" s="3">
        <v>63</v>
      </c>
      <c r="B2890" s="4" t="s">
        <v>88</v>
      </c>
      <c r="C2890" s="3" t="s">
        <v>347</v>
      </c>
      <c r="G2890" s="59">
        <v>585</v>
      </c>
    </row>
    <row r="2891" spans="1:7" ht="12.75" x14ac:dyDescent="0.2">
      <c r="A2891" s="3">
        <v>63</v>
      </c>
      <c r="B2891" s="4" t="s">
        <v>88</v>
      </c>
      <c r="C2891" s="3" t="s">
        <v>347</v>
      </c>
      <c r="G2891" s="57"/>
    </row>
    <row r="2892" spans="1:7" ht="12.75" x14ac:dyDescent="0.2">
      <c r="A2892" s="3">
        <v>63</v>
      </c>
      <c r="B2892" s="4" t="s">
        <v>88</v>
      </c>
      <c r="C2892" s="3" t="s">
        <v>347</v>
      </c>
      <c r="G2892" s="57"/>
    </row>
    <row r="2893" spans="1:7" ht="12.75" x14ac:dyDescent="0.2">
      <c r="A2893" s="3">
        <v>63</v>
      </c>
      <c r="B2893" s="4" t="s">
        <v>88</v>
      </c>
      <c r="C2893" s="3" t="s">
        <v>347</v>
      </c>
      <c r="G2893" s="57"/>
    </row>
    <row r="2894" spans="1:7" ht="12.75" x14ac:dyDescent="0.2">
      <c r="A2894" s="3">
        <v>63</v>
      </c>
      <c r="B2894" s="4" t="s">
        <v>88</v>
      </c>
      <c r="C2894" s="3" t="s">
        <v>273</v>
      </c>
      <c r="G2894" s="57"/>
    </row>
    <row r="2895" spans="1:7" ht="12.75" x14ac:dyDescent="0.2">
      <c r="A2895" s="3">
        <v>63</v>
      </c>
      <c r="B2895" s="4" t="s">
        <v>88</v>
      </c>
      <c r="C2895" s="3" t="s">
        <v>273</v>
      </c>
      <c r="F2895">
        <f>SUM(E2894:E2899)</f>
        <v>0</v>
      </c>
      <c r="G2895" s="57"/>
    </row>
    <row r="2896" spans="1:7" ht="12.75" x14ac:dyDescent="0.2">
      <c r="A2896" s="3">
        <v>63</v>
      </c>
      <c r="B2896" s="4" t="s">
        <v>88</v>
      </c>
      <c r="C2896" s="3" t="s">
        <v>273</v>
      </c>
      <c r="G2896" s="57"/>
    </row>
    <row r="2897" spans="1:7" ht="12.75" x14ac:dyDescent="0.2">
      <c r="A2897" s="3">
        <v>63</v>
      </c>
      <c r="B2897" s="4" t="s">
        <v>88</v>
      </c>
      <c r="C2897" s="3" t="s">
        <v>273</v>
      </c>
      <c r="G2897" s="57"/>
    </row>
    <row r="2898" spans="1:7" ht="12.75" x14ac:dyDescent="0.2">
      <c r="A2898" s="3">
        <v>63</v>
      </c>
      <c r="B2898" s="4" t="s">
        <v>88</v>
      </c>
      <c r="C2898" s="3" t="s">
        <v>273</v>
      </c>
      <c r="G2898" s="57"/>
    </row>
    <row r="2899" spans="1:7" ht="12.75" x14ac:dyDescent="0.2">
      <c r="A2899" s="3">
        <v>63</v>
      </c>
      <c r="B2899" s="4" t="s">
        <v>88</v>
      </c>
      <c r="C2899" s="3" t="s">
        <v>273</v>
      </c>
      <c r="G2899" s="57"/>
    </row>
    <row r="2900" spans="1:7" ht="12.75" x14ac:dyDescent="0.2">
      <c r="A2900" s="3">
        <v>63</v>
      </c>
      <c r="B2900" s="4" t="s">
        <v>88</v>
      </c>
      <c r="C2900" s="3" t="s">
        <v>125</v>
      </c>
      <c r="G2900" s="57"/>
    </row>
    <row r="2901" spans="1:7" ht="12.75" x14ac:dyDescent="0.2">
      <c r="A2901" s="3">
        <v>63</v>
      </c>
      <c r="B2901" s="4" t="s">
        <v>88</v>
      </c>
      <c r="C2901" s="3" t="s">
        <v>125</v>
      </c>
      <c r="F2901">
        <f>SUM(E2900:E2905)</f>
        <v>0</v>
      </c>
      <c r="G2901" s="57"/>
    </row>
    <row r="2902" spans="1:7" ht="12.75" x14ac:dyDescent="0.2">
      <c r="A2902" s="3">
        <v>63</v>
      </c>
      <c r="B2902" s="4" t="s">
        <v>88</v>
      </c>
      <c r="C2902" s="3" t="s">
        <v>125</v>
      </c>
      <c r="G2902" s="57"/>
    </row>
    <row r="2903" spans="1:7" ht="12.75" x14ac:dyDescent="0.2">
      <c r="A2903" s="3">
        <v>63</v>
      </c>
      <c r="B2903" s="4" t="s">
        <v>88</v>
      </c>
      <c r="C2903" s="3" t="s">
        <v>125</v>
      </c>
      <c r="G2903" s="57"/>
    </row>
    <row r="2904" spans="1:7" ht="12.75" x14ac:dyDescent="0.2">
      <c r="A2904" s="3">
        <v>63</v>
      </c>
      <c r="B2904" s="4" t="s">
        <v>88</v>
      </c>
      <c r="C2904" s="3" t="s">
        <v>125</v>
      </c>
      <c r="G2904" s="57"/>
    </row>
    <row r="2905" spans="1:7" ht="12.75" x14ac:dyDescent="0.2">
      <c r="A2905" s="3">
        <v>63</v>
      </c>
      <c r="B2905" s="4" t="s">
        <v>88</v>
      </c>
      <c r="C2905" s="3" t="s">
        <v>125</v>
      </c>
      <c r="G2905" s="57"/>
    </row>
    <row r="2906" spans="1:7" ht="12.75" x14ac:dyDescent="0.2">
      <c r="A2906" s="3">
        <v>64</v>
      </c>
      <c r="B2906" s="4" t="s">
        <v>89</v>
      </c>
      <c r="C2906" s="3" t="s">
        <v>347</v>
      </c>
      <c r="G2906" s="57"/>
    </row>
    <row r="2907" spans="1:7" ht="12.75" x14ac:dyDescent="0.2">
      <c r="A2907" s="3">
        <v>64</v>
      </c>
      <c r="B2907" s="4" t="s">
        <v>89</v>
      </c>
      <c r="C2907" s="3" t="s">
        <v>347</v>
      </c>
      <c r="G2907" s="57"/>
    </row>
    <row r="2908" spans="1:7" ht="12.75" x14ac:dyDescent="0.2">
      <c r="A2908" s="3">
        <v>64</v>
      </c>
      <c r="B2908" s="4" t="s">
        <v>89</v>
      </c>
      <c r="C2908" s="3" t="s">
        <v>347</v>
      </c>
      <c r="G2908" s="57"/>
    </row>
    <row r="2909" spans="1:7" ht="12.75" x14ac:dyDescent="0.2">
      <c r="A2909" s="3">
        <v>64</v>
      </c>
      <c r="B2909" s="4" t="s">
        <v>89</v>
      </c>
      <c r="C2909" s="3" t="s">
        <v>347</v>
      </c>
      <c r="F2909">
        <f>SUM(E2906:E2913)</f>
        <v>0</v>
      </c>
      <c r="G2909" s="57"/>
    </row>
    <row r="2910" spans="1:7" ht="12.75" x14ac:dyDescent="0.2">
      <c r="A2910" s="3">
        <v>64</v>
      </c>
      <c r="B2910" s="4" t="s">
        <v>89</v>
      </c>
      <c r="C2910" s="3" t="s">
        <v>347</v>
      </c>
      <c r="G2910" s="59">
        <v>2039</v>
      </c>
    </row>
    <row r="2911" spans="1:7" ht="12.75" x14ac:dyDescent="0.2">
      <c r="A2911" s="3">
        <v>64</v>
      </c>
      <c r="B2911" s="4" t="s">
        <v>89</v>
      </c>
      <c r="C2911" s="3" t="s">
        <v>347</v>
      </c>
      <c r="G2911" s="57"/>
    </row>
    <row r="2912" spans="1:7" ht="12.75" x14ac:dyDescent="0.2">
      <c r="A2912" s="3">
        <v>64</v>
      </c>
      <c r="B2912" s="4" t="s">
        <v>89</v>
      </c>
      <c r="C2912" s="3" t="s">
        <v>347</v>
      </c>
      <c r="G2912" s="57"/>
    </row>
    <row r="2913" spans="1:7" ht="12.75" x14ac:dyDescent="0.2">
      <c r="A2913" s="3">
        <v>64</v>
      </c>
      <c r="B2913" s="4" t="s">
        <v>89</v>
      </c>
      <c r="C2913" s="3" t="s">
        <v>347</v>
      </c>
      <c r="G2913" s="57"/>
    </row>
    <row r="2914" spans="1:7" ht="12.75" x14ac:dyDescent="0.2">
      <c r="A2914" s="3">
        <v>64</v>
      </c>
      <c r="B2914" s="4" t="s">
        <v>89</v>
      </c>
      <c r="C2914" s="3" t="s">
        <v>273</v>
      </c>
      <c r="G2914" s="57"/>
    </row>
    <row r="2915" spans="1:7" ht="12.75" x14ac:dyDescent="0.2">
      <c r="A2915" s="3">
        <v>64</v>
      </c>
      <c r="B2915" s="4" t="s">
        <v>89</v>
      </c>
      <c r="C2915" s="3" t="s">
        <v>273</v>
      </c>
      <c r="F2915">
        <f>SUM(E2914:E2919)</f>
        <v>0</v>
      </c>
      <c r="G2915" s="57"/>
    </row>
    <row r="2916" spans="1:7" ht="12.75" x14ac:dyDescent="0.2">
      <c r="A2916" s="3">
        <v>64</v>
      </c>
      <c r="B2916" s="4" t="s">
        <v>89</v>
      </c>
      <c r="C2916" s="3" t="s">
        <v>273</v>
      </c>
      <c r="G2916" s="57"/>
    </row>
    <row r="2917" spans="1:7" ht="12.75" x14ac:dyDescent="0.2">
      <c r="A2917" s="3">
        <v>64</v>
      </c>
      <c r="B2917" s="4" t="s">
        <v>89</v>
      </c>
      <c r="C2917" s="3" t="s">
        <v>273</v>
      </c>
      <c r="G2917" s="57"/>
    </row>
    <row r="2918" spans="1:7" ht="12.75" x14ac:dyDescent="0.2">
      <c r="A2918" s="3">
        <v>64</v>
      </c>
      <c r="B2918" s="4" t="s">
        <v>89</v>
      </c>
      <c r="C2918" s="3" t="s">
        <v>273</v>
      </c>
      <c r="G2918" s="57"/>
    </row>
    <row r="2919" spans="1:7" ht="12.75" x14ac:dyDescent="0.2">
      <c r="A2919" s="3">
        <v>64</v>
      </c>
      <c r="B2919" s="4" t="s">
        <v>89</v>
      </c>
      <c r="C2919" s="3" t="s">
        <v>273</v>
      </c>
      <c r="G2919" s="57"/>
    </row>
    <row r="2920" spans="1:7" ht="12.75" x14ac:dyDescent="0.2">
      <c r="A2920" s="3">
        <v>64</v>
      </c>
      <c r="B2920" s="4" t="s">
        <v>89</v>
      </c>
      <c r="C2920" s="3" t="s">
        <v>125</v>
      </c>
      <c r="G2920" s="57"/>
    </row>
    <row r="2921" spans="1:7" ht="12.75" x14ac:dyDescent="0.2">
      <c r="A2921" s="3">
        <v>64</v>
      </c>
      <c r="B2921" s="4" t="s">
        <v>89</v>
      </c>
      <c r="C2921" s="3" t="s">
        <v>125</v>
      </c>
      <c r="F2921">
        <f>SUM(E2920:E2925)</f>
        <v>0</v>
      </c>
      <c r="G2921" s="57"/>
    </row>
    <row r="2922" spans="1:7" ht="12.75" x14ac:dyDescent="0.2">
      <c r="A2922" s="3">
        <v>64</v>
      </c>
      <c r="B2922" s="4" t="s">
        <v>89</v>
      </c>
      <c r="C2922" s="3" t="s">
        <v>125</v>
      </c>
      <c r="G2922" s="57"/>
    </row>
    <row r="2923" spans="1:7" ht="12.75" x14ac:dyDescent="0.2">
      <c r="A2923" s="3">
        <v>64</v>
      </c>
      <c r="B2923" s="4" t="s">
        <v>89</v>
      </c>
      <c r="C2923" s="3" t="s">
        <v>125</v>
      </c>
      <c r="G2923" s="57"/>
    </row>
    <row r="2924" spans="1:7" ht="12.75" x14ac:dyDescent="0.2">
      <c r="A2924" s="3">
        <v>64</v>
      </c>
      <c r="B2924" s="4" t="s">
        <v>89</v>
      </c>
      <c r="C2924" s="3" t="s">
        <v>125</v>
      </c>
      <c r="G2924" s="57"/>
    </row>
    <row r="2925" spans="1:7" ht="12.75" x14ac:dyDescent="0.2">
      <c r="A2925" s="3">
        <v>64</v>
      </c>
      <c r="B2925" s="4" t="s">
        <v>89</v>
      </c>
      <c r="C2925" s="3" t="s">
        <v>125</v>
      </c>
      <c r="G2925" s="57"/>
    </row>
    <row r="2926" spans="1:7" ht="12.75" x14ac:dyDescent="0.2">
      <c r="A2926" s="3">
        <v>66</v>
      </c>
      <c r="B2926" s="4" t="s">
        <v>91</v>
      </c>
      <c r="C2926" s="3" t="s">
        <v>347</v>
      </c>
      <c r="G2926" s="57"/>
    </row>
    <row r="2927" spans="1:7" ht="12.75" x14ac:dyDescent="0.2">
      <c r="A2927" s="3">
        <v>66</v>
      </c>
      <c r="B2927" s="4" t="s">
        <v>91</v>
      </c>
      <c r="C2927" s="3" t="s">
        <v>347</v>
      </c>
      <c r="G2927" s="57"/>
    </row>
    <row r="2928" spans="1:7" ht="12.75" x14ac:dyDescent="0.2">
      <c r="A2928" s="3">
        <v>66</v>
      </c>
      <c r="B2928" s="4" t="s">
        <v>91</v>
      </c>
      <c r="C2928" s="3" t="s">
        <v>347</v>
      </c>
      <c r="G2928" s="57"/>
    </row>
    <row r="2929" spans="1:7" ht="12.75" x14ac:dyDescent="0.2">
      <c r="A2929" s="3">
        <v>66</v>
      </c>
      <c r="B2929" s="4" t="s">
        <v>91</v>
      </c>
      <c r="C2929" s="3" t="s">
        <v>347</v>
      </c>
      <c r="F2929">
        <f>SUM(E2926:E2933)</f>
        <v>0</v>
      </c>
      <c r="G2929" s="57"/>
    </row>
    <row r="2930" spans="1:7" ht="12.75" x14ac:dyDescent="0.2">
      <c r="A2930" s="3">
        <v>66</v>
      </c>
      <c r="B2930" s="4" t="s">
        <v>91</v>
      </c>
      <c r="C2930" s="3" t="s">
        <v>347</v>
      </c>
      <c r="G2930" s="59">
        <v>5</v>
      </c>
    </row>
    <row r="2931" spans="1:7" ht="12.75" x14ac:dyDescent="0.2">
      <c r="A2931" s="3">
        <v>66</v>
      </c>
      <c r="B2931" s="4" t="s">
        <v>91</v>
      </c>
      <c r="C2931" s="3" t="s">
        <v>347</v>
      </c>
      <c r="G2931" s="57"/>
    </row>
    <row r="2932" spans="1:7" ht="12.75" x14ac:dyDescent="0.2">
      <c r="A2932" s="3">
        <v>66</v>
      </c>
      <c r="B2932" s="4" t="s">
        <v>91</v>
      </c>
      <c r="C2932" s="3" t="s">
        <v>347</v>
      </c>
      <c r="G2932" s="57"/>
    </row>
    <row r="2933" spans="1:7" ht="12.75" x14ac:dyDescent="0.2">
      <c r="A2933" s="3">
        <v>66</v>
      </c>
      <c r="B2933" s="4" t="s">
        <v>91</v>
      </c>
      <c r="C2933" s="3" t="s">
        <v>347</v>
      </c>
      <c r="G2933" s="57"/>
    </row>
    <row r="2934" spans="1:7" ht="12.75" x14ac:dyDescent="0.2">
      <c r="A2934" s="3">
        <v>66</v>
      </c>
      <c r="B2934" s="4" t="s">
        <v>91</v>
      </c>
      <c r="C2934" s="3" t="s">
        <v>273</v>
      </c>
      <c r="G2934" s="57"/>
    </row>
    <row r="2935" spans="1:7" ht="12.75" x14ac:dyDescent="0.2">
      <c r="A2935" s="3">
        <v>66</v>
      </c>
      <c r="B2935" s="4" t="s">
        <v>91</v>
      </c>
      <c r="C2935" s="3" t="s">
        <v>273</v>
      </c>
      <c r="F2935">
        <f>SUM(E2934:E2939)</f>
        <v>0</v>
      </c>
      <c r="G2935" s="57"/>
    </row>
    <row r="2936" spans="1:7" ht="12.75" x14ac:dyDescent="0.2">
      <c r="A2936" s="3">
        <v>66</v>
      </c>
      <c r="B2936" s="4" t="s">
        <v>91</v>
      </c>
      <c r="C2936" s="3" t="s">
        <v>273</v>
      </c>
      <c r="G2936" s="57"/>
    </row>
    <row r="2937" spans="1:7" ht="12.75" x14ac:dyDescent="0.2">
      <c r="A2937" s="3">
        <v>66</v>
      </c>
      <c r="B2937" s="4" t="s">
        <v>91</v>
      </c>
      <c r="C2937" s="3" t="s">
        <v>273</v>
      </c>
      <c r="G2937" s="57"/>
    </row>
    <row r="2938" spans="1:7" ht="12.75" x14ac:dyDescent="0.2">
      <c r="A2938" s="3">
        <v>66</v>
      </c>
      <c r="B2938" s="4" t="s">
        <v>91</v>
      </c>
      <c r="C2938" s="3" t="s">
        <v>273</v>
      </c>
      <c r="G2938" s="57"/>
    </row>
    <row r="2939" spans="1:7" ht="12.75" x14ac:dyDescent="0.2">
      <c r="A2939" s="3">
        <v>66</v>
      </c>
      <c r="B2939" s="4" t="s">
        <v>91</v>
      </c>
      <c r="C2939" s="3" t="s">
        <v>273</v>
      </c>
      <c r="G2939" s="57"/>
    </row>
    <row r="2940" spans="1:7" ht="12.75" x14ac:dyDescent="0.2">
      <c r="A2940" s="3">
        <v>66</v>
      </c>
      <c r="B2940" s="4" t="s">
        <v>91</v>
      </c>
      <c r="C2940" s="3" t="s">
        <v>125</v>
      </c>
      <c r="G2940" s="57"/>
    </row>
    <row r="2941" spans="1:7" ht="12.75" x14ac:dyDescent="0.2">
      <c r="A2941" s="3">
        <v>66</v>
      </c>
      <c r="B2941" s="4" t="s">
        <v>91</v>
      </c>
      <c r="C2941" s="3" t="s">
        <v>125</v>
      </c>
      <c r="F2941">
        <f>SUM(E2940:E2945)</f>
        <v>0</v>
      </c>
      <c r="G2941" s="57"/>
    </row>
    <row r="2942" spans="1:7" ht="12.75" x14ac:dyDescent="0.2">
      <c r="A2942" s="3">
        <v>66</v>
      </c>
      <c r="B2942" s="4" t="s">
        <v>91</v>
      </c>
      <c r="C2942" s="3" t="s">
        <v>125</v>
      </c>
      <c r="G2942" s="57"/>
    </row>
    <row r="2943" spans="1:7" ht="12.75" x14ac:dyDescent="0.2">
      <c r="A2943" s="3">
        <v>66</v>
      </c>
      <c r="B2943" s="4" t="s">
        <v>91</v>
      </c>
      <c r="C2943" s="3" t="s">
        <v>125</v>
      </c>
      <c r="G2943" s="57"/>
    </row>
    <row r="2944" spans="1:7" ht="12.75" x14ac:dyDescent="0.2">
      <c r="A2944" s="3">
        <v>66</v>
      </c>
      <c r="B2944" s="4" t="s">
        <v>91</v>
      </c>
      <c r="C2944" s="3" t="s">
        <v>125</v>
      </c>
      <c r="G2944" s="57"/>
    </row>
    <row r="2945" spans="1:7" ht="12.75" x14ac:dyDescent="0.2">
      <c r="A2945" s="3">
        <v>66</v>
      </c>
      <c r="B2945" s="4" t="s">
        <v>91</v>
      </c>
      <c r="C2945" s="3" t="s">
        <v>125</v>
      </c>
      <c r="G2945" s="57"/>
    </row>
    <row r="2946" spans="1:7" ht="12.75" x14ac:dyDescent="0.2">
      <c r="A2946" s="3">
        <v>67</v>
      </c>
      <c r="B2946" s="4" t="s">
        <v>155</v>
      </c>
      <c r="C2946" s="3" t="s">
        <v>347</v>
      </c>
      <c r="G2946" s="57"/>
    </row>
    <row r="2947" spans="1:7" ht="12.75" x14ac:dyDescent="0.2">
      <c r="A2947" s="3">
        <v>67</v>
      </c>
      <c r="B2947" s="4" t="s">
        <v>155</v>
      </c>
      <c r="C2947" s="3" t="s">
        <v>347</v>
      </c>
      <c r="G2947" s="57"/>
    </row>
    <row r="2948" spans="1:7" ht="12.75" x14ac:dyDescent="0.2">
      <c r="A2948" s="3">
        <v>67</v>
      </c>
      <c r="B2948" s="4" t="s">
        <v>155</v>
      </c>
      <c r="C2948" s="3" t="s">
        <v>347</v>
      </c>
      <c r="G2948" s="57"/>
    </row>
    <row r="2949" spans="1:7" ht="12.75" x14ac:dyDescent="0.2">
      <c r="A2949" s="3">
        <v>67</v>
      </c>
      <c r="B2949" s="4" t="s">
        <v>155</v>
      </c>
      <c r="C2949" s="3" t="s">
        <v>347</v>
      </c>
      <c r="F2949">
        <f>SUM(E2946:E2953)</f>
        <v>0</v>
      </c>
      <c r="G2949" s="57"/>
    </row>
    <row r="2950" spans="1:7" ht="12.75" x14ac:dyDescent="0.2">
      <c r="A2950" s="3">
        <v>67</v>
      </c>
      <c r="B2950" s="4" t="s">
        <v>155</v>
      </c>
      <c r="C2950" s="3" t="s">
        <v>347</v>
      </c>
      <c r="G2950" s="59">
        <v>1230</v>
      </c>
    </row>
    <row r="2951" spans="1:7" ht="12.75" x14ac:dyDescent="0.2">
      <c r="A2951" s="3">
        <v>67</v>
      </c>
      <c r="B2951" s="4" t="s">
        <v>155</v>
      </c>
      <c r="C2951" s="3" t="s">
        <v>347</v>
      </c>
      <c r="G2951" s="57"/>
    </row>
    <row r="2952" spans="1:7" ht="12.75" x14ac:dyDescent="0.2">
      <c r="A2952" s="3">
        <v>67</v>
      </c>
      <c r="B2952" s="4" t="s">
        <v>155</v>
      </c>
      <c r="C2952" s="3" t="s">
        <v>347</v>
      </c>
      <c r="G2952" s="57"/>
    </row>
    <row r="2953" spans="1:7" ht="12.75" x14ac:dyDescent="0.2">
      <c r="A2953" s="3">
        <v>67</v>
      </c>
      <c r="B2953" s="4" t="s">
        <v>155</v>
      </c>
      <c r="C2953" s="3" t="s">
        <v>347</v>
      </c>
      <c r="G2953" s="57"/>
    </row>
    <row r="2954" spans="1:7" ht="12.75" x14ac:dyDescent="0.2">
      <c r="A2954" s="3">
        <v>67</v>
      </c>
      <c r="B2954" s="4" t="s">
        <v>155</v>
      </c>
      <c r="C2954" s="3" t="s">
        <v>273</v>
      </c>
      <c r="G2954" s="57"/>
    </row>
    <row r="2955" spans="1:7" ht="12.75" x14ac:dyDescent="0.2">
      <c r="A2955" s="3">
        <v>67</v>
      </c>
      <c r="B2955" s="4" t="s">
        <v>155</v>
      </c>
      <c r="C2955" s="3" t="s">
        <v>273</v>
      </c>
      <c r="F2955">
        <f>SUM(E2954:E2959)</f>
        <v>0</v>
      </c>
      <c r="G2955" s="57"/>
    </row>
    <row r="2956" spans="1:7" ht="12.75" x14ac:dyDescent="0.2">
      <c r="A2956" s="3">
        <v>67</v>
      </c>
      <c r="B2956" s="4" t="s">
        <v>155</v>
      </c>
      <c r="C2956" s="3" t="s">
        <v>273</v>
      </c>
      <c r="G2956" s="57"/>
    </row>
    <row r="2957" spans="1:7" ht="12.75" x14ac:dyDescent="0.2">
      <c r="A2957" s="3">
        <v>67</v>
      </c>
      <c r="B2957" s="4" t="s">
        <v>155</v>
      </c>
      <c r="C2957" s="3" t="s">
        <v>273</v>
      </c>
      <c r="G2957" s="57"/>
    </row>
    <row r="2958" spans="1:7" ht="12.75" x14ac:dyDescent="0.2">
      <c r="A2958" s="3">
        <v>67</v>
      </c>
      <c r="B2958" s="4" t="s">
        <v>155</v>
      </c>
      <c r="C2958" s="3" t="s">
        <v>273</v>
      </c>
      <c r="G2958" s="57"/>
    </row>
    <row r="2959" spans="1:7" ht="12.75" x14ac:dyDescent="0.2">
      <c r="A2959" s="3">
        <v>67</v>
      </c>
      <c r="B2959" s="4" t="s">
        <v>155</v>
      </c>
      <c r="C2959" s="3" t="s">
        <v>273</v>
      </c>
      <c r="G2959" s="57"/>
    </row>
    <row r="2960" spans="1:7" ht="12.75" x14ac:dyDescent="0.2">
      <c r="A2960" s="3">
        <v>67</v>
      </c>
      <c r="B2960" s="4" t="s">
        <v>155</v>
      </c>
      <c r="C2960" s="3" t="s">
        <v>125</v>
      </c>
      <c r="G2960" s="57"/>
    </row>
    <row r="2961" spans="1:7" ht="12.75" x14ac:dyDescent="0.2">
      <c r="A2961" s="3">
        <v>67</v>
      </c>
      <c r="B2961" s="4" t="s">
        <v>155</v>
      </c>
      <c r="C2961" s="3" t="s">
        <v>125</v>
      </c>
      <c r="F2961">
        <f>SUM(E2960:E2965)</f>
        <v>0</v>
      </c>
      <c r="G2961" s="57"/>
    </row>
    <row r="2962" spans="1:7" ht="12.75" x14ac:dyDescent="0.2">
      <c r="A2962" s="3">
        <v>67</v>
      </c>
      <c r="B2962" s="4" t="s">
        <v>155</v>
      </c>
      <c r="C2962" s="3" t="s">
        <v>125</v>
      </c>
      <c r="G2962" s="57"/>
    </row>
    <row r="2963" spans="1:7" ht="12.75" x14ac:dyDescent="0.2">
      <c r="A2963" s="3">
        <v>67</v>
      </c>
      <c r="B2963" s="4" t="s">
        <v>155</v>
      </c>
      <c r="C2963" s="3" t="s">
        <v>125</v>
      </c>
      <c r="G2963" s="57"/>
    </row>
    <row r="2964" spans="1:7" ht="12.75" x14ac:dyDescent="0.2">
      <c r="A2964" s="3">
        <v>67</v>
      </c>
      <c r="B2964" s="4" t="s">
        <v>155</v>
      </c>
      <c r="C2964" s="3" t="s">
        <v>125</v>
      </c>
      <c r="G2964" s="57"/>
    </row>
    <row r="2965" spans="1:7" ht="12.75" x14ac:dyDescent="0.2">
      <c r="A2965" s="3">
        <v>67</v>
      </c>
      <c r="B2965" s="4" t="s">
        <v>155</v>
      </c>
      <c r="C2965" s="3" t="s">
        <v>125</v>
      </c>
      <c r="G2965" s="57"/>
    </row>
    <row r="2966" spans="1:7" ht="12.75" x14ac:dyDescent="0.2">
      <c r="A2966" s="3">
        <v>68</v>
      </c>
      <c r="B2966" s="4" t="s">
        <v>92</v>
      </c>
      <c r="C2966" s="3" t="s">
        <v>347</v>
      </c>
      <c r="G2966" s="57"/>
    </row>
    <row r="2967" spans="1:7" ht="12.75" x14ac:dyDescent="0.2">
      <c r="A2967" s="3">
        <v>68</v>
      </c>
      <c r="B2967" s="4" t="s">
        <v>92</v>
      </c>
      <c r="C2967" s="3" t="s">
        <v>347</v>
      </c>
      <c r="G2967" s="57"/>
    </row>
    <row r="2968" spans="1:7" ht="12.75" x14ac:dyDescent="0.2">
      <c r="A2968" s="3">
        <v>68</v>
      </c>
      <c r="B2968" s="4" t="s">
        <v>92</v>
      </c>
      <c r="C2968" s="3" t="s">
        <v>347</v>
      </c>
      <c r="G2968" s="57"/>
    </row>
    <row r="2969" spans="1:7" ht="12.75" x14ac:dyDescent="0.2">
      <c r="A2969" s="3">
        <v>68</v>
      </c>
      <c r="B2969" s="4" t="s">
        <v>92</v>
      </c>
      <c r="C2969" s="3" t="s">
        <v>347</v>
      </c>
      <c r="F2969">
        <f>SUM(E2966:E2973)</f>
        <v>0</v>
      </c>
      <c r="G2969" s="57"/>
    </row>
    <row r="2970" spans="1:7" ht="12.75" x14ac:dyDescent="0.2">
      <c r="A2970" s="3">
        <v>68</v>
      </c>
      <c r="B2970" s="4" t="s">
        <v>92</v>
      </c>
      <c r="C2970" s="3" t="s">
        <v>347</v>
      </c>
      <c r="G2970" s="59">
        <v>1997</v>
      </c>
    </row>
    <row r="2971" spans="1:7" ht="12.75" x14ac:dyDescent="0.2">
      <c r="A2971" s="3">
        <v>68</v>
      </c>
      <c r="B2971" s="4" t="s">
        <v>92</v>
      </c>
      <c r="C2971" s="3" t="s">
        <v>347</v>
      </c>
      <c r="G2971" s="57"/>
    </row>
    <row r="2972" spans="1:7" ht="12.75" x14ac:dyDescent="0.2">
      <c r="A2972" s="3">
        <v>68</v>
      </c>
      <c r="B2972" s="4" t="s">
        <v>92</v>
      </c>
      <c r="C2972" s="3" t="s">
        <v>347</v>
      </c>
      <c r="G2972" s="57"/>
    </row>
    <row r="2973" spans="1:7" ht="12.75" x14ac:dyDescent="0.2">
      <c r="A2973" s="3">
        <v>68</v>
      </c>
      <c r="B2973" s="4" t="s">
        <v>92</v>
      </c>
      <c r="C2973" s="3" t="s">
        <v>347</v>
      </c>
      <c r="G2973" s="57"/>
    </row>
    <row r="2974" spans="1:7" ht="12.75" x14ac:dyDescent="0.2">
      <c r="A2974" s="3">
        <v>68</v>
      </c>
      <c r="B2974" s="4" t="s">
        <v>92</v>
      </c>
      <c r="C2974" s="3" t="s">
        <v>273</v>
      </c>
      <c r="G2974" s="57"/>
    </row>
    <row r="2975" spans="1:7" ht="12.75" x14ac:dyDescent="0.2">
      <c r="A2975" s="3">
        <v>68</v>
      </c>
      <c r="B2975" s="4" t="s">
        <v>92</v>
      </c>
      <c r="C2975" s="3" t="s">
        <v>273</v>
      </c>
      <c r="F2975">
        <f>SUM(E2974:E2979)</f>
        <v>0</v>
      </c>
      <c r="G2975" s="57"/>
    </row>
    <row r="2976" spans="1:7" ht="12.75" x14ac:dyDescent="0.2">
      <c r="A2976" s="3">
        <v>68</v>
      </c>
      <c r="B2976" s="4" t="s">
        <v>92</v>
      </c>
      <c r="C2976" s="3" t="s">
        <v>273</v>
      </c>
      <c r="G2976" s="57"/>
    </row>
    <row r="2977" spans="1:7" ht="12.75" x14ac:dyDescent="0.2">
      <c r="A2977" s="3">
        <v>68</v>
      </c>
      <c r="B2977" s="4" t="s">
        <v>92</v>
      </c>
      <c r="C2977" s="3" t="s">
        <v>273</v>
      </c>
      <c r="G2977" s="57"/>
    </row>
    <row r="2978" spans="1:7" ht="12.75" x14ac:dyDescent="0.2">
      <c r="A2978" s="3">
        <v>68</v>
      </c>
      <c r="B2978" s="4" t="s">
        <v>92</v>
      </c>
      <c r="C2978" s="3" t="s">
        <v>273</v>
      </c>
      <c r="G2978" s="57"/>
    </row>
    <row r="2979" spans="1:7" ht="12.75" x14ac:dyDescent="0.2">
      <c r="A2979" s="3">
        <v>68</v>
      </c>
      <c r="B2979" s="4" t="s">
        <v>92</v>
      </c>
      <c r="C2979" s="3" t="s">
        <v>273</v>
      </c>
      <c r="G2979" s="57"/>
    </row>
    <row r="2980" spans="1:7" ht="12.75" x14ac:dyDescent="0.2">
      <c r="A2980" s="3">
        <v>68</v>
      </c>
      <c r="B2980" s="4" t="s">
        <v>92</v>
      </c>
      <c r="C2980" s="3" t="s">
        <v>125</v>
      </c>
      <c r="G2980" s="57"/>
    </row>
    <row r="2981" spans="1:7" ht="12.75" x14ac:dyDescent="0.2">
      <c r="A2981" s="3">
        <v>68</v>
      </c>
      <c r="B2981" s="4" t="s">
        <v>92</v>
      </c>
      <c r="C2981" s="3" t="s">
        <v>125</v>
      </c>
      <c r="F2981">
        <f>SUM(E2980:E2985)</f>
        <v>0</v>
      </c>
      <c r="G2981" s="57"/>
    </row>
    <row r="2982" spans="1:7" ht="12.75" x14ac:dyDescent="0.2">
      <c r="A2982" s="3">
        <v>68</v>
      </c>
      <c r="B2982" s="4" t="s">
        <v>92</v>
      </c>
      <c r="C2982" s="3" t="s">
        <v>125</v>
      </c>
      <c r="G2982" s="57"/>
    </row>
    <row r="2983" spans="1:7" ht="12.75" x14ac:dyDescent="0.2">
      <c r="A2983" s="3">
        <v>68</v>
      </c>
      <c r="B2983" s="4" t="s">
        <v>92</v>
      </c>
      <c r="C2983" s="3" t="s">
        <v>125</v>
      </c>
      <c r="G2983" s="57"/>
    </row>
    <row r="2984" spans="1:7" ht="12.75" x14ac:dyDescent="0.2">
      <c r="A2984" s="3">
        <v>68</v>
      </c>
      <c r="B2984" s="4" t="s">
        <v>92</v>
      </c>
      <c r="C2984" s="3" t="s">
        <v>125</v>
      </c>
      <c r="G2984" s="57"/>
    </row>
    <row r="2985" spans="1:7" ht="12.75" x14ac:dyDescent="0.2">
      <c r="A2985" s="3">
        <v>68</v>
      </c>
      <c r="B2985" s="4" t="s">
        <v>92</v>
      </c>
      <c r="C2985" s="3" t="s">
        <v>125</v>
      </c>
      <c r="G2985" s="57"/>
    </row>
    <row r="2986" spans="1:7" ht="12.75" x14ac:dyDescent="0.2">
      <c r="A2986" s="3">
        <v>69</v>
      </c>
      <c r="B2986" s="4" t="s">
        <v>93</v>
      </c>
      <c r="C2986" s="3" t="s">
        <v>347</v>
      </c>
      <c r="G2986" s="57"/>
    </row>
    <row r="2987" spans="1:7" ht="12.75" x14ac:dyDescent="0.2">
      <c r="A2987" s="3">
        <v>69</v>
      </c>
      <c r="B2987" s="4" t="s">
        <v>93</v>
      </c>
      <c r="C2987" s="3" t="s">
        <v>347</v>
      </c>
      <c r="G2987" s="57"/>
    </row>
    <row r="2988" spans="1:7" ht="12.75" x14ac:dyDescent="0.2">
      <c r="A2988" s="3">
        <v>69</v>
      </c>
      <c r="B2988" s="4" t="s">
        <v>93</v>
      </c>
      <c r="C2988" s="3" t="s">
        <v>347</v>
      </c>
      <c r="G2988" s="57"/>
    </row>
    <row r="2989" spans="1:7" ht="12.75" x14ac:dyDescent="0.2">
      <c r="A2989" s="3">
        <v>69</v>
      </c>
      <c r="B2989" s="4" t="s">
        <v>93</v>
      </c>
      <c r="C2989" s="3" t="s">
        <v>347</v>
      </c>
      <c r="F2989">
        <f>SUM(E2986:E2993)</f>
        <v>0</v>
      </c>
      <c r="G2989" s="57"/>
    </row>
    <row r="2990" spans="1:7" ht="12.75" x14ac:dyDescent="0.2">
      <c r="A2990" s="3">
        <v>69</v>
      </c>
      <c r="B2990" s="4" t="s">
        <v>93</v>
      </c>
      <c r="C2990" s="3" t="s">
        <v>347</v>
      </c>
      <c r="G2990" s="59">
        <v>203</v>
      </c>
    </row>
    <row r="2991" spans="1:7" ht="12.75" x14ac:dyDescent="0.2">
      <c r="A2991" s="3">
        <v>69</v>
      </c>
      <c r="B2991" s="4" t="s">
        <v>93</v>
      </c>
      <c r="C2991" s="3" t="s">
        <v>347</v>
      </c>
      <c r="G2991" s="57"/>
    </row>
    <row r="2992" spans="1:7" ht="12.75" x14ac:dyDescent="0.2">
      <c r="A2992" s="3">
        <v>69</v>
      </c>
      <c r="B2992" s="4" t="s">
        <v>93</v>
      </c>
      <c r="C2992" s="3" t="s">
        <v>347</v>
      </c>
      <c r="G2992" s="57"/>
    </row>
    <row r="2993" spans="1:7" ht="12.75" x14ac:dyDescent="0.2">
      <c r="A2993" s="3">
        <v>69</v>
      </c>
      <c r="B2993" s="4" t="s">
        <v>93</v>
      </c>
      <c r="C2993" s="3" t="s">
        <v>347</v>
      </c>
      <c r="G2993" s="57"/>
    </row>
    <row r="2994" spans="1:7" ht="12.75" x14ac:dyDescent="0.2">
      <c r="A2994" s="3">
        <v>69</v>
      </c>
      <c r="B2994" s="4" t="s">
        <v>93</v>
      </c>
      <c r="C2994" s="3" t="s">
        <v>273</v>
      </c>
      <c r="G2994" s="57"/>
    </row>
    <row r="2995" spans="1:7" ht="12.75" x14ac:dyDescent="0.2">
      <c r="A2995" s="3">
        <v>69</v>
      </c>
      <c r="B2995" s="4" t="s">
        <v>93</v>
      </c>
      <c r="C2995" s="3" t="s">
        <v>273</v>
      </c>
      <c r="F2995">
        <f>SUM(E2994:E2999)</f>
        <v>0</v>
      </c>
      <c r="G2995" s="57"/>
    </row>
    <row r="2996" spans="1:7" ht="12.75" x14ac:dyDescent="0.2">
      <c r="A2996" s="3">
        <v>69</v>
      </c>
      <c r="B2996" s="4" t="s">
        <v>93</v>
      </c>
      <c r="C2996" s="3" t="s">
        <v>273</v>
      </c>
      <c r="G2996" s="57"/>
    </row>
    <row r="2997" spans="1:7" ht="12.75" x14ac:dyDescent="0.2">
      <c r="A2997" s="3">
        <v>69</v>
      </c>
      <c r="B2997" s="4" t="s">
        <v>93</v>
      </c>
      <c r="C2997" s="3" t="s">
        <v>273</v>
      </c>
      <c r="G2997" s="57"/>
    </row>
    <row r="2998" spans="1:7" ht="12.75" x14ac:dyDescent="0.2">
      <c r="A2998" s="3">
        <v>69</v>
      </c>
      <c r="B2998" s="4" t="s">
        <v>93</v>
      </c>
      <c r="C2998" s="3" t="s">
        <v>273</v>
      </c>
      <c r="G2998" s="57"/>
    </row>
    <row r="2999" spans="1:7" ht="12.75" x14ac:dyDescent="0.2">
      <c r="A2999" s="3">
        <v>69</v>
      </c>
      <c r="B2999" s="4" t="s">
        <v>93</v>
      </c>
      <c r="C2999" s="3" t="s">
        <v>273</v>
      </c>
      <c r="G2999" s="57"/>
    </row>
    <row r="3000" spans="1:7" ht="12.75" x14ac:dyDescent="0.2">
      <c r="A3000" s="3">
        <v>69</v>
      </c>
      <c r="B3000" s="4" t="s">
        <v>93</v>
      </c>
      <c r="C3000" s="3" t="s">
        <v>125</v>
      </c>
      <c r="G3000" s="57"/>
    </row>
    <row r="3001" spans="1:7" ht="12.75" x14ac:dyDescent="0.2">
      <c r="A3001" s="3">
        <v>69</v>
      </c>
      <c r="B3001" s="4" t="s">
        <v>93</v>
      </c>
      <c r="C3001" s="3" t="s">
        <v>125</v>
      </c>
      <c r="F3001">
        <f>SUM(E3000:E3005)</f>
        <v>0</v>
      </c>
      <c r="G3001" s="57"/>
    </row>
    <row r="3002" spans="1:7" ht="12.75" x14ac:dyDescent="0.2">
      <c r="A3002" s="3">
        <v>69</v>
      </c>
      <c r="B3002" s="4" t="s">
        <v>93</v>
      </c>
      <c r="C3002" s="3" t="s">
        <v>125</v>
      </c>
      <c r="G3002" s="57"/>
    </row>
    <row r="3003" spans="1:7" ht="12.75" x14ac:dyDescent="0.2">
      <c r="A3003" s="3">
        <v>69</v>
      </c>
      <c r="B3003" s="4" t="s">
        <v>93</v>
      </c>
      <c r="C3003" s="3" t="s">
        <v>125</v>
      </c>
      <c r="G3003" s="57"/>
    </row>
    <row r="3004" spans="1:7" ht="12.75" x14ac:dyDescent="0.2">
      <c r="A3004" s="3">
        <v>69</v>
      </c>
      <c r="B3004" s="4" t="s">
        <v>93</v>
      </c>
      <c r="C3004" s="3" t="s">
        <v>125</v>
      </c>
      <c r="G3004" s="57"/>
    </row>
    <row r="3005" spans="1:7" ht="12.75" x14ac:dyDescent="0.2">
      <c r="A3005" s="3">
        <v>69</v>
      </c>
      <c r="B3005" s="4" t="s">
        <v>93</v>
      </c>
      <c r="C3005" s="3" t="s">
        <v>125</v>
      </c>
      <c r="G3005" s="57"/>
    </row>
    <row r="3006" spans="1:7" ht="12.75" x14ac:dyDescent="0.2">
      <c r="A3006" s="3">
        <v>70</v>
      </c>
      <c r="B3006" s="4" t="s">
        <v>156</v>
      </c>
      <c r="C3006" s="3" t="s">
        <v>347</v>
      </c>
      <c r="G3006" s="57"/>
    </row>
    <row r="3007" spans="1:7" ht="12.75" x14ac:dyDescent="0.2">
      <c r="A3007" s="3">
        <v>70</v>
      </c>
      <c r="B3007" s="4" t="s">
        <v>156</v>
      </c>
      <c r="C3007" s="3" t="s">
        <v>347</v>
      </c>
      <c r="G3007" s="57"/>
    </row>
    <row r="3008" spans="1:7" ht="12.75" x14ac:dyDescent="0.2">
      <c r="A3008" s="3">
        <v>70</v>
      </c>
      <c r="B3008" s="4" t="s">
        <v>156</v>
      </c>
      <c r="C3008" s="3" t="s">
        <v>347</v>
      </c>
      <c r="G3008" s="57"/>
    </row>
    <row r="3009" spans="1:7" ht="12.75" x14ac:dyDescent="0.2">
      <c r="A3009" s="3">
        <v>70</v>
      </c>
      <c r="B3009" s="4" t="s">
        <v>156</v>
      </c>
      <c r="C3009" s="3" t="s">
        <v>347</v>
      </c>
      <c r="F3009">
        <f>SUM(E3006:E3013)</f>
        <v>0</v>
      </c>
      <c r="G3009" s="57"/>
    </row>
    <row r="3010" spans="1:7" ht="12.75" x14ac:dyDescent="0.2">
      <c r="A3010" s="3">
        <v>70</v>
      </c>
      <c r="B3010" s="4" t="s">
        <v>156</v>
      </c>
      <c r="C3010" s="3" t="s">
        <v>347</v>
      </c>
      <c r="G3010" s="59">
        <v>405</v>
      </c>
    </row>
    <row r="3011" spans="1:7" ht="12.75" x14ac:dyDescent="0.2">
      <c r="A3011" s="3">
        <v>70</v>
      </c>
      <c r="B3011" s="4" t="s">
        <v>156</v>
      </c>
      <c r="C3011" s="3" t="s">
        <v>347</v>
      </c>
      <c r="G3011" s="57"/>
    </row>
    <row r="3012" spans="1:7" ht="12.75" x14ac:dyDescent="0.2">
      <c r="A3012" s="3">
        <v>70</v>
      </c>
      <c r="B3012" s="4" t="s">
        <v>156</v>
      </c>
      <c r="C3012" s="3" t="s">
        <v>347</v>
      </c>
      <c r="G3012" s="57"/>
    </row>
    <row r="3013" spans="1:7" ht="12.75" x14ac:dyDescent="0.2">
      <c r="A3013" s="3">
        <v>70</v>
      </c>
      <c r="B3013" s="4" t="s">
        <v>156</v>
      </c>
      <c r="C3013" s="3" t="s">
        <v>347</v>
      </c>
      <c r="G3013" s="57"/>
    </row>
    <row r="3014" spans="1:7" ht="12.75" x14ac:dyDescent="0.2">
      <c r="A3014" s="3">
        <v>70</v>
      </c>
      <c r="B3014" s="4" t="s">
        <v>156</v>
      </c>
      <c r="C3014" s="3" t="s">
        <v>273</v>
      </c>
      <c r="G3014" s="57"/>
    </row>
    <row r="3015" spans="1:7" ht="12.75" x14ac:dyDescent="0.2">
      <c r="A3015" s="3">
        <v>70</v>
      </c>
      <c r="B3015" s="4" t="s">
        <v>156</v>
      </c>
      <c r="C3015" s="3" t="s">
        <v>273</v>
      </c>
      <c r="F3015">
        <f>SUM(E3014:E3019)</f>
        <v>0</v>
      </c>
      <c r="G3015" s="57"/>
    </row>
    <row r="3016" spans="1:7" ht="12.75" x14ac:dyDescent="0.2">
      <c r="A3016" s="3">
        <v>70</v>
      </c>
      <c r="B3016" s="4" t="s">
        <v>156</v>
      </c>
      <c r="C3016" s="3" t="s">
        <v>273</v>
      </c>
      <c r="G3016" s="57"/>
    </row>
    <row r="3017" spans="1:7" ht="12.75" x14ac:dyDescent="0.2">
      <c r="A3017" s="3">
        <v>70</v>
      </c>
      <c r="B3017" s="4" t="s">
        <v>156</v>
      </c>
      <c r="C3017" s="3" t="s">
        <v>273</v>
      </c>
      <c r="G3017" s="57"/>
    </row>
    <row r="3018" spans="1:7" ht="12.75" x14ac:dyDescent="0.2">
      <c r="A3018" s="3">
        <v>70</v>
      </c>
      <c r="B3018" s="4" t="s">
        <v>156</v>
      </c>
      <c r="C3018" s="3" t="s">
        <v>273</v>
      </c>
      <c r="G3018" s="57"/>
    </row>
    <row r="3019" spans="1:7" ht="12.75" x14ac:dyDescent="0.2">
      <c r="A3019" s="3">
        <v>70</v>
      </c>
      <c r="B3019" s="4" t="s">
        <v>156</v>
      </c>
      <c r="C3019" s="3" t="s">
        <v>273</v>
      </c>
      <c r="G3019" s="57"/>
    </row>
    <row r="3020" spans="1:7" ht="12.75" x14ac:dyDescent="0.2">
      <c r="A3020" s="3">
        <v>70</v>
      </c>
      <c r="B3020" s="4" t="s">
        <v>156</v>
      </c>
      <c r="C3020" s="3" t="s">
        <v>125</v>
      </c>
      <c r="G3020" s="57"/>
    </row>
    <row r="3021" spans="1:7" ht="12.75" x14ac:dyDescent="0.2">
      <c r="A3021" s="3">
        <v>70</v>
      </c>
      <c r="B3021" s="4" t="s">
        <v>156</v>
      </c>
      <c r="C3021" s="3" t="s">
        <v>125</v>
      </c>
      <c r="F3021">
        <f>SUM(E3020:E3025)</f>
        <v>0</v>
      </c>
      <c r="G3021" s="57"/>
    </row>
    <row r="3022" spans="1:7" ht="12.75" x14ac:dyDescent="0.2">
      <c r="A3022" s="3">
        <v>70</v>
      </c>
      <c r="B3022" s="4" t="s">
        <v>156</v>
      </c>
      <c r="C3022" s="3" t="s">
        <v>125</v>
      </c>
      <c r="G3022" s="57"/>
    </row>
    <row r="3023" spans="1:7" ht="12.75" x14ac:dyDescent="0.2">
      <c r="A3023" s="3">
        <v>70</v>
      </c>
      <c r="B3023" s="4" t="s">
        <v>156</v>
      </c>
      <c r="C3023" s="3" t="s">
        <v>125</v>
      </c>
      <c r="G3023" s="57"/>
    </row>
    <row r="3024" spans="1:7" ht="12.75" x14ac:dyDescent="0.2">
      <c r="A3024" s="3">
        <v>70</v>
      </c>
      <c r="B3024" s="4" t="s">
        <v>156</v>
      </c>
      <c r="C3024" s="3" t="s">
        <v>125</v>
      </c>
      <c r="G3024" s="57"/>
    </row>
    <row r="3025" spans="1:7" ht="12.75" x14ac:dyDescent="0.2">
      <c r="A3025" s="3">
        <v>70</v>
      </c>
      <c r="B3025" s="4" t="s">
        <v>156</v>
      </c>
      <c r="C3025" s="3" t="s">
        <v>125</v>
      </c>
      <c r="G3025" s="57"/>
    </row>
    <row r="3026" spans="1:7" ht="12.75" x14ac:dyDescent="0.2">
      <c r="A3026" s="3">
        <v>71</v>
      </c>
      <c r="B3026" s="4" t="s">
        <v>94</v>
      </c>
      <c r="C3026" s="3" t="s">
        <v>347</v>
      </c>
      <c r="G3026" s="57"/>
    </row>
    <row r="3027" spans="1:7" ht="12.75" x14ac:dyDescent="0.2">
      <c r="A3027" s="3">
        <v>71</v>
      </c>
      <c r="B3027" s="4" t="s">
        <v>94</v>
      </c>
      <c r="C3027" s="3" t="s">
        <v>347</v>
      </c>
      <c r="G3027" s="57"/>
    </row>
    <row r="3028" spans="1:7" ht="12.75" x14ac:dyDescent="0.2">
      <c r="A3028" s="3">
        <v>71</v>
      </c>
      <c r="B3028" s="4" t="s">
        <v>94</v>
      </c>
      <c r="C3028" s="3" t="s">
        <v>347</v>
      </c>
      <c r="G3028" s="57"/>
    </row>
    <row r="3029" spans="1:7" ht="12.75" x14ac:dyDescent="0.2">
      <c r="A3029" s="3">
        <v>71</v>
      </c>
      <c r="B3029" s="4" t="s">
        <v>94</v>
      </c>
      <c r="C3029" s="3" t="s">
        <v>347</v>
      </c>
      <c r="F3029">
        <f>SUM(E3026:E3033)</f>
        <v>0</v>
      </c>
      <c r="G3029" s="57"/>
    </row>
    <row r="3030" spans="1:7" ht="12.75" x14ac:dyDescent="0.2">
      <c r="A3030" s="3">
        <v>71</v>
      </c>
      <c r="B3030" s="4" t="s">
        <v>94</v>
      </c>
      <c r="C3030" s="3" t="s">
        <v>347</v>
      </c>
      <c r="G3030" s="59">
        <v>3132</v>
      </c>
    </row>
    <row r="3031" spans="1:7" ht="12.75" x14ac:dyDescent="0.2">
      <c r="A3031" s="3">
        <v>71</v>
      </c>
      <c r="B3031" s="4" t="s">
        <v>94</v>
      </c>
      <c r="C3031" s="3" t="s">
        <v>347</v>
      </c>
      <c r="G3031" s="57"/>
    </row>
    <row r="3032" spans="1:7" ht="12.75" x14ac:dyDescent="0.2">
      <c r="A3032" s="3">
        <v>71</v>
      </c>
      <c r="B3032" s="4" t="s">
        <v>94</v>
      </c>
      <c r="C3032" s="3" t="s">
        <v>347</v>
      </c>
      <c r="G3032" s="57"/>
    </row>
    <row r="3033" spans="1:7" ht="12.75" x14ac:dyDescent="0.2">
      <c r="A3033" s="3">
        <v>71</v>
      </c>
      <c r="B3033" s="4" t="s">
        <v>94</v>
      </c>
      <c r="C3033" s="3" t="s">
        <v>347</v>
      </c>
      <c r="G3033" s="57"/>
    </row>
    <row r="3034" spans="1:7" ht="12.75" x14ac:dyDescent="0.2">
      <c r="A3034" s="3">
        <v>71</v>
      </c>
      <c r="B3034" s="4" t="s">
        <v>94</v>
      </c>
      <c r="C3034" s="3" t="s">
        <v>273</v>
      </c>
      <c r="G3034" s="57"/>
    </row>
    <row r="3035" spans="1:7" ht="12.75" x14ac:dyDescent="0.2">
      <c r="A3035" s="3">
        <v>71</v>
      </c>
      <c r="B3035" s="4" t="s">
        <v>94</v>
      </c>
      <c r="C3035" s="3" t="s">
        <v>273</v>
      </c>
      <c r="F3035">
        <f>SUM(E3034:E3039)</f>
        <v>0</v>
      </c>
      <c r="G3035" s="57"/>
    </row>
    <row r="3036" spans="1:7" ht="12.75" x14ac:dyDescent="0.2">
      <c r="A3036" s="3">
        <v>71</v>
      </c>
      <c r="B3036" s="4" t="s">
        <v>94</v>
      </c>
      <c r="C3036" s="3" t="s">
        <v>273</v>
      </c>
      <c r="G3036" s="57"/>
    </row>
    <row r="3037" spans="1:7" ht="12.75" x14ac:dyDescent="0.2">
      <c r="A3037" s="3">
        <v>71</v>
      </c>
      <c r="B3037" s="4" t="s">
        <v>94</v>
      </c>
      <c r="C3037" s="3" t="s">
        <v>273</v>
      </c>
      <c r="G3037" s="57"/>
    </row>
    <row r="3038" spans="1:7" ht="12.75" x14ac:dyDescent="0.2">
      <c r="A3038" s="3">
        <v>71</v>
      </c>
      <c r="B3038" s="4" t="s">
        <v>94</v>
      </c>
      <c r="C3038" s="3" t="s">
        <v>273</v>
      </c>
      <c r="G3038" s="57"/>
    </row>
    <row r="3039" spans="1:7" ht="12.75" x14ac:dyDescent="0.2">
      <c r="A3039" s="3">
        <v>71</v>
      </c>
      <c r="B3039" s="4" t="s">
        <v>94</v>
      </c>
      <c r="C3039" s="3" t="s">
        <v>273</v>
      </c>
      <c r="G3039" s="57"/>
    </row>
    <row r="3040" spans="1:7" ht="12.75" x14ac:dyDescent="0.2">
      <c r="A3040" s="3">
        <v>71</v>
      </c>
      <c r="B3040" s="4" t="s">
        <v>94</v>
      </c>
      <c r="C3040" s="3" t="s">
        <v>125</v>
      </c>
      <c r="G3040" s="57"/>
    </row>
    <row r="3041" spans="1:7" ht="12.75" x14ac:dyDescent="0.2">
      <c r="A3041" s="3">
        <v>71</v>
      </c>
      <c r="B3041" s="4" t="s">
        <v>94</v>
      </c>
      <c r="C3041" s="3" t="s">
        <v>125</v>
      </c>
      <c r="F3041">
        <f>SUM(E3040:E3045)</f>
        <v>0</v>
      </c>
      <c r="G3041" s="57"/>
    </row>
    <row r="3042" spans="1:7" ht="12.75" x14ac:dyDescent="0.2">
      <c r="A3042" s="3">
        <v>71</v>
      </c>
      <c r="B3042" s="4" t="s">
        <v>94</v>
      </c>
      <c r="C3042" s="3" t="s">
        <v>125</v>
      </c>
      <c r="G3042" s="57"/>
    </row>
    <row r="3043" spans="1:7" ht="12.75" x14ac:dyDescent="0.2">
      <c r="A3043" s="3">
        <v>71</v>
      </c>
      <c r="B3043" s="4" t="s">
        <v>94</v>
      </c>
      <c r="C3043" s="3" t="s">
        <v>125</v>
      </c>
      <c r="G3043" s="57"/>
    </row>
    <row r="3044" spans="1:7" ht="12.75" x14ac:dyDescent="0.2">
      <c r="A3044" s="3">
        <v>71</v>
      </c>
      <c r="B3044" s="4" t="s">
        <v>94</v>
      </c>
      <c r="C3044" s="3" t="s">
        <v>125</v>
      </c>
      <c r="G3044" s="57"/>
    </row>
    <row r="3045" spans="1:7" ht="12.75" x14ac:dyDescent="0.2">
      <c r="A3045" s="3">
        <v>71</v>
      </c>
      <c r="B3045" s="4" t="s">
        <v>94</v>
      </c>
      <c r="C3045" s="3" t="s">
        <v>125</v>
      </c>
      <c r="G3045" s="57"/>
    </row>
    <row r="3046" spans="1:7" ht="12.75" x14ac:dyDescent="0.2">
      <c r="A3046" s="3">
        <v>72</v>
      </c>
      <c r="B3046" s="4" t="s">
        <v>95</v>
      </c>
      <c r="C3046" s="3" t="s">
        <v>347</v>
      </c>
      <c r="G3046" s="57"/>
    </row>
    <row r="3047" spans="1:7" ht="12.75" x14ac:dyDescent="0.2">
      <c r="A3047" s="3">
        <v>72</v>
      </c>
      <c r="B3047" s="4" t="s">
        <v>95</v>
      </c>
      <c r="C3047" s="3" t="s">
        <v>347</v>
      </c>
      <c r="G3047" s="57"/>
    </row>
    <row r="3048" spans="1:7" ht="12.75" x14ac:dyDescent="0.2">
      <c r="A3048" s="3">
        <v>72</v>
      </c>
      <c r="B3048" s="4" t="s">
        <v>95</v>
      </c>
      <c r="C3048" s="3" t="s">
        <v>347</v>
      </c>
      <c r="G3048" s="57"/>
    </row>
    <row r="3049" spans="1:7" ht="12.75" x14ac:dyDescent="0.2">
      <c r="A3049" s="3">
        <v>72</v>
      </c>
      <c r="B3049" s="4" t="s">
        <v>95</v>
      </c>
      <c r="C3049" s="3" t="s">
        <v>347</v>
      </c>
      <c r="F3049">
        <f>SUM(E3046:E3053)</f>
        <v>0</v>
      </c>
      <c r="G3049" s="57"/>
    </row>
    <row r="3050" spans="1:7" ht="12.75" x14ac:dyDescent="0.2">
      <c r="A3050" s="3">
        <v>72</v>
      </c>
      <c r="B3050" s="4" t="s">
        <v>95</v>
      </c>
      <c r="C3050" s="3" t="s">
        <v>347</v>
      </c>
      <c r="G3050" s="59">
        <v>302</v>
      </c>
    </row>
    <row r="3051" spans="1:7" ht="12.75" x14ac:dyDescent="0.2">
      <c r="A3051" s="3">
        <v>72</v>
      </c>
      <c r="B3051" s="4" t="s">
        <v>95</v>
      </c>
      <c r="C3051" s="3" t="s">
        <v>347</v>
      </c>
      <c r="G3051" s="57"/>
    </row>
    <row r="3052" spans="1:7" ht="12.75" x14ac:dyDescent="0.2">
      <c r="A3052" s="3">
        <v>72</v>
      </c>
      <c r="B3052" s="4" t="s">
        <v>95</v>
      </c>
      <c r="C3052" s="3" t="s">
        <v>347</v>
      </c>
      <c r="G3052" s="57"/>
    </row>
    <row r="3053" spans="1:7" ht="12.75" x14ac:dyDescent="0.2">
      <c r="A3053" s="3">
        <v>72</v>
      </c>
      <c r="B3053" s="4" t="s">
        <v>95</v>
      </c>
      <c r="C3053" s="3" t="s">
        <v>347</v>
      </c>
      <c r="G3053" s="57"/>
    </row>
    <row r="3054" spans="1:7" ht="12.75" x14ac:dyDescent="0.2">
      <c r="A3054" s="3">
        <v>72</v>
      </c>
      <c r="B3054" s="4" t="s">
        <v>95</v>
      </c>
      <c r="C3054" s="3" t="s">
        <v>273</v>
      </c>
      <c r="G3054" s="57"/>
    </row>
    <row r="3055" spans="1:7" ht="12.75" x14ac:dyDescent="0.2">
      <c r="A3055" s="3">
        <v>72</v>
      </c>
      <c r="B3055" s="4" t="s">
        <v>95</v>
      </c>
      <c r="C3055" s="3" t="s">
        <v>273</v>
      </c>
      <c r="F3055">
        <f>SUM(E3054:E3059)</f>
        <v>0</v>
      </c>
      <c r="G3055" s="57"/>
    </row>
    <row r="3056" spans="1:7" ht="12.75" x14ac:dyDescent="0.2">
      <c r="A3056" s="3">
        <v>72</v>
      </c>
      <c r="B3056" s="4" t="s">
        <v>95</v>
      </c>
      <c r="C3056" s="3" t="s">
        <v>273</v>
      </c>
      <c r="G3056" s="57"/>
    </row>
    <row r="3057" spans="1:7" ht="12.75" x14ac:dyDescent="0.2">
      <c r="A3057" s="3">
        <v>72</v>
      </c>
      <c r="B3057" s="4" t="s">
        <v>95</v>
      </c>
      <c r="C3057" s="3" t="s">
        <v>273</v>
      </c>
      <c r="G3057" s="57"/>
    </row>
    <row r="3058" spans="1:7" ht="12.75" x14ac:dyDescent="0.2">
      <c r="A3058" s="3">
        <v>72</v>
      </c>
      <c r="B3058" s="4" t="s">
        <v>95</v>
      </c>
      <c r="C3058" s="3" t="s">
        <v>273</v>
      </c>
      <c r="G3058" s="57"/>
    </row>
    <row r="3059" spans="1:7" ht="12.75" x14ac:dyDescent="0.2">
      <c r="A3059" s="3">
        <v>72</v>
      </c>
      <c r="B3059" s="4" t="s">
        <v>95</v>
      </c>
      <c r="C3059" s="3" t="s">
        <v>273</v>
      </c>
      <c r="G3059" s="57"/>
    </row>
    <row r="3060" spans="1:7" ht="12.75" x14ac:dyDescent="0.2">
      <c r="A3060" s="3">
        <v>72</v>
      </c>
      <c r="B3060" s="4" t="s">
        <v>95</v>
      </c>
      <c r="C3060" s="3" t="s">
        <v>125</v>
      </c>
      <c r="G3060" s="57"/>
    </row>
    <row r="3061" spans="1:7" ht="12.75" x14ac:dyDescent="0.2">
      <c r="A3061" s="3">
        <v>72</v>
      </c>
      <c r="B3061" s="4" t="s">
        <v>95</v>
      </c>
      <c r="C3061" s="3" t="s">
        <v>125</v>
      </c>
      <c r="F3061">
        <f>SUM(E3060:E3065)</f>
        <v>0</v>
      </c>
      <c r="G3061" s="57"/>
    </row>
    <row r="3062" spans="1:7" ht="12.75" x14ac:dyDescent="0.2">
      <c r="A3062" s="3">
        <v>72</v>
      </c>
      <c r="B3062" s="4" t="s">
        <v>95</v>
      </c>
      <c r="C3062" s="3" t="s">
        <v>125</v>
      </c>
      <c r="G3062" s="57"/>
    </row>
    <row r="3063" spans="1:7" ht="12.75" x14ac:dyDescent="0.2">
      <c r="A3063" s="3">
        <v>72</v>
      </c>
      <c r="B3063" s="4" t="s">
        <v>95</v>
      </c>
      <c r="C3063" s="3" t="s">
        <v>125</v>
      </c>
      <c r="G3063" s="57"/>
    </row>
    <row r="3064" spans="1:7" ht="12.75" x14ac:dyDescent="0.2">
      <c r="A3064" s="3">
        <v>72</v>
      </c>
      <c r="B3064" s="4" t="s">
        <v>95</v>
      </c>
      <c r="C3064" s="3" t="s">
        <v>125</v>
      </c>
      <c r="G3064" s="57"/>
    </row>
    <row r="3065" spans="1:7" ht="12.75" x14ac:dyDescent="0.2">
      <c r="A3065" s="3">
        <v>72</v>
      </c>
      <c r="B3065" s="4" t="s">
        <v>95</v>
      </c>
      <c r="C3065" s="3" t="s">
        <v>125</v>
      </c>
      <c r="G3065" s="57"/>
    </row>
    <row r="3066" spans="1:7" ht="12.75" x14ac:dyDescent="0.2">
      <c r="A3066" s="3">
        <v>73</v>
      </c>
      <c r="B3066" s="4" t="s">
        <v>96</v>
      </c>
      <c r="C3066" s="3" t="s">
        <v>347</v>
      </c>
      <c r="G3066" s="57"/>
    </row>
    <row r="3067" spans="1:7" ht="12.75" x14ac:dyDescent="0.2">
      <c r="A3067" s="3">
        <v>73</v>
      </c>
      <c r="B3067" s="4" t="s">
        <v>96</v>
      </c>
      <c r="C3067" s="3" t="s">
        <v>347</v>
      </c>
      <c r="G3067" s="57"/>
    </row>
    <row r="3068" spans="1:7" ht="12.75" x14ac:dyDescent="0.2">
      <c r="A3068" s="3">
        <v>73</v>
      </c>
      <c r="B3068" s="4" t="s">
        <v>96</v>
      </c>
      <c r="C3068" s="3" t="s">
        <v>347</v>
      </c>
      <c r="G3068" s="57"/>
    </row>
    <row r="3069" spans="1:7" ht="12.75" x14ac:dyDescent="0.2">
      <c r="A3069" s="3">
        <v>73</v>
      </c>
      <c r="B3069" s="4" t="s">
        <v>96</v>
      </c>
      <c r="C3069" s="3" t="s">
        <v>347</v>
      </c>
      <c r="F3069">
        <f>SUM(E3066:E3073)</f>
        <v>0</v>
      </c>
      <c r="G3069" s="57"/>
    </row>
    <row r="3070" spans="1:7" ht="12.75" x14ac:dyDescent="0.2">
      <c r="A3070" s="3">
        <v>73</v>
      </c>
      <c r="B3070" s="4" t="s">
        <v>96</v>
      </c>
      <c r="C3070" s="3" t="s">
        <v>347</v>
      </c>
      <c r="G3070" s="59">
        <v>1302</v>
      </c>
    </row>
    <row r="3071" spans="1:7" ht="12.75" x14ac:dyDescent="0.2">
      <c r="A3071" s="3">
        <v>73</v>
      </c>
      <c r="B3071" s="4" t="s">
        <v>96</v>
      </c>
      <c r="C3071" s="3" t="s">
        <v>347</v>
      </c>
      <c r="G3071" s="57"/>
    </row>
    <row r="3072" spans="1:7" ht="12.75" x14ac:dyDescent="0.2">
      <c r="A3072" s="3">
        <v>73</v>
      </c>
      <c r="B3072" s="4" t="s">
        <v>96</v>
      </c>
      <c r="C3072" s="3" t="s">
        <v>347</v>
      </c>
      <c r="G3072" s="57"/>
    </row>
    <row r="3073" spans="1:7" ht="12.75" x14ac:dyDescent="0.2">
      <c r="A3073" s="3">
        <v>73</v>
      </c>
      <c r="B3073" s="4" t="s">
        <v>96</v>
      </c>
      <c r="C3073" s="3" t="s">
        <v>347</v>
      </c>
      <c r="G3073" s="57"/>
    </row>
    <row r="3074" spans="1:7" ht="12.75" x14ac:dyDescent="0.2">
      <c r="A3074" s="3">
        <v>73</v>
      </c>
      <c r="B3074" s="4" t="s">
        <v>96</v>
      </c>
      <c r="C3074" s="3" t="s">
        <v>273</v>
      </c>
      <c r="G3074" s="57"/>
    </row>
    <row r="3075" spans="1:7" ht="12.75" x14ac:dyDescent="0.2">
      <c r="A3075" s="3">
        <v>73</v>
      </c>
      <c r="B3075" s="4" t="s">
        <v>96</v>
      </c>
      <c r="C3075" s="3" t="s">
        <v>273</v>
      </c>
      <c r="F3075">
        <f>SUM(E3074:E3079)</f>
        <v>0</v>
      </c>
      <c r="G3075" s="57"/>
    </row>
    <row r="3076" spans="1:7" ht="12.75" x14ac:dyDescent="0.2">
      <c r="A3076" s="3">
        <v>73</v>
      </c>
      <c r="B3076" s="4" t="s">
        <v>96</v>
      </c>
      <c r="C3076" s="3" t="s">
        <v>273</v>
      </c>
      <c r="G3076" s="57"/>
    </row>
    <row r="3077" spans="1:7" ht="12.75" x14ac:dyDescent="0.2">
      <c r="A3077" s="3">
        <v>73</v>
      </c>
      <c r="B3077" s="4" t="s">
        <v>96</v>
      </c>
      <c r="C3077" s="3" t="s">
        <v>273</v>
      </c>
      <c r="G3077" s="57"/>
    </row>
    <row r="3078" spans="1:7" ht="12.75" x14ac:dyDescent="0.2">
      <c r="A3078" s="3">
        <v>73</v>
      </c>
      <c r="B3078" s="4" t="s">
        <v>96</v>
      </c>
      <c r="C3078" s="3" t="s">
        <v>273</v>
      </c>
      <c r="G3078" s="57"/>
    </row>
    <row r="3079" spans="1:7" ht="12.75" x14ac:dyDescent="0.2">
      <c r="A3079" s="3">
        <v>73</v>
      </c>
      <c r="B3079" s="4" t="s">
        <v>96</v>
      </c>
      <c r="C3079" s="3" t="s">
        <v>273</v>
      </c>
      <c r="G3079" s="57"/>
    </row>
    <row r="3080" spans="1:7" ht="12.75" x14ac:dyDescent="0.2">
      <c r="A3080" s="3">
        <v>73</v>
      </c>
      <c r="B3080" s="4" t="s">
        <v>96</v>
      </c>
      <c r="C3080" s="3" t="s">
        <v>125</v>
      </c>
      <c r="G3080" s="57"/>
    </row>
    <row r="3081" spans="1:7" ht="12.75" x14ac:dyDescent="0.2">
      <c r="A3081" s="3">
        <v>73</v>
      </c>
      <c r="B3081" s="4" t="s">
        <v>96</v>
      </c>
      <c r="C3081" s="3" t="s">
        <v>125</v>
      </c>
      <c r="F3081">
        <f>SUM(E3080:E3085)</f>
        <v>0</v>
      </c>
      <c r="G3081" s="57"/>
    </row>
    <row r="3082" spans="1:7" ht="12.75" x14ac:dyDescent="0.2">
      <c r="A3082" s="3">
        <v>73</v>
      </c>
      <c r="B3082" s="4" t="s">
        <v>96</v>
      </c>
      <c r="C3082" s="3" t="s">
        <v>125</v>
      </c>
      <c r="G3082" s="57"/>
    </row>
    <row r="3083" spans="1:7" ht="12.75" x14ac:dyDescent="0.2">
      <c r="A3083" s="3">
        <v>73</v>
      </c>
      <c r="B3083" s="4" t="s">
        <v>96</v>
      </c>
      <c r="C3083" s="3" t="s">
        <v>125</v>
      </c>
      <c r="G3083" s="57"/>
    </row>
    <row r="3084" spans="1:7" ht="12.75" x14ac:dyDescent="0.2">
      <c r="A3084" s="3">
        <v>73</v>
      </c>
      <c r="B3084" s="4" t="s">
        <v>96</v>
      </c>
      <c r="C3084" s="3" t="s">
        <v>125</v>
      </c>
      <c r="G3084" s="57"/>
    </row>
    <row r="3085" spans="1:7" ht="12.75" x14ac:dyDescent="0.2">
      <c r="A3085" s="3">
        <v>73</v>
      </c>
      <c r="B3085" s="4" t="s">
        <v>96</v>
      </c>
      <c r="C3085" s="3" t="s">
        <v>125</v>
      </c>
      <c r="G3085" s="57"/>
    </row>
    <row r="3086" spans="1:7" ht="12.75" x14ac:dyDescent="0.2">
      <c r="A3086" s="3">
        <v>74</v>
      </c>
      <c r="B3086" s="4" t="s">
        <v>97</v>
      </c>
      <c r="C3086" s="3" t="s">
        <v>347</v>
      </c>
      <c r="G3086" s="57"/>
    </row>
    <row r="3087" spans="1:7" ht="12.75" x14ac:dyDescent="0.2">
      <c r="A3087" s="3">
        <v>74</v>
      </c>
      <c r="B3087" s="4" t="s">
        <v>97</v>
      </c>
      <c r="C3087" s="3" t="s">
        <v>347</v>
      </c>
      <c r="G3087" s="57"/>
    </row>
    <row r="3088" spans="1:7" ht="12.75" x14ac:dyDescent="0.2">
      <c r="A3088" s="3">
        <v>74</v>
      </c>
      <c r="B3088" s="4" t="s">
        <v>97</v>
      </c>
      <c r="C3088" s="3" t="s">
        <v>347</v>
      </c>
      <c r="G3088" s="57"/>
    </row>
    <row r="3089" spans="1:7" ht="12.75" x14ac:dyDescent="0.2">
      <c r="A3089" s="3">
        <v>74</v>
      </c>
      <c r="B3089" s="4" t="s">
        <v>97</v>
      </c>
      <c r="C3089" s="3" t="s">
        <v>347</v>
      </c>
      <c r="F3089">
        <f>SUM(E3086:E3093)</f>
        <v>0</v>
      </c>
      <c r="G3089" s="57"/>
    </row>
    <row r="3090" spans="1:7" ht="12.75" x14ac:dyDescent="0.2">
      <c r="A3090" s="3">
        <v>74</v>
      </c>
      <c r="B3090" s="4" t="s">
        <v>97</v>
      </c>
      <c r="C3090" s="3" t="s">
        <v>347</v>
      </c>
      <c r="G3090" s="59">
        <v>275</v>
      </c>
    </row>
    <row r="3091" spans="1:7" ht="12.75" x14ac:dyDescent="0.2">
      <c r="A3091" s="3">
        <v>74</v>
      </c>
      <c r="B3091" s="4" t="s">
        <v>97</v>
      </c>
      <c r="C3091" s="3" t="s">
        <v>347</v>
      </c>
      <c r="G3091" s="57"/>
    </row>
    <row r="3092" spans="1:7" ht="12.75" x14ac:dyDescent="0.2">
      <c r="A3092" s="3">
        <v>74</v>
      </c>
      <c r="B3092" s="4" t="s">
        <v>97</v>
      </c>
      <c r="C3092" s="3" t="s">
        <v>347</v>
      </c>
      <c r="G3092" s="57"/>
    </row>
    <row r="3093" spans="1:7" ht="12.75" x14ac:dyDescent="0.2">
      <c r="A3093" s="3">
        <v>74</v>
      </c>
      <c r="B3093" s="4" t="s">
        <v>97</v>
      </c>
      <c r="C3093" s="3" t="s">
        <v>347</v>
      </c>
      <c r="G3093" s="57"/>
    </row>
    <row r="3094" spans="1:7" ht="12.75" x14ac:dyDescent="0.2">
      <c r="A3094" s="3">
        <v>74</v>
      </c>
      <c r="B3094" s="4" t="s">
        <v>97</v>
      </c>
      <c r="C3094" s="3" t="s">
        <v>273</v>
      </c>
      <c r="G3094" s="57"/>
    </row>
    <row r="3095" spans="1:7" ht="12.75" x14ac:dyDescent="0.2">
      <c r="A3095" s="3">
        <v>74</v>
      </c>
      <c r="B3095" s="4" t="s">
        <v>97</v>
      </c>
      <c r="C3095" s="3" t="s">
        <v>273</v>
      </c>
      <c r="F3095">
        <f>SUM(E3094:E3099)</f>
        <v>0</v>
      </c>
      <c r="G3095" s="57"/>
    </row>
    <row r="3096" spans="1:7" ht="12.75" x14ac:dyDescent="0.2">
      <c r="A3096" s="3">
        <v>74</v>
      </c>
      <c r="B3096" s="4" t="s">
        <v>97</v>
      </c>
      <c r="C3096" s="3" t="s">
        <v>273</v>
      </c>
      <c r="G3096" s="57"/>
    </row>
    <row r="3097" spans="1:7" ht="12.75" x14ac:dyDescent="0.2">
      <c r="A3097" s="3">
        <v>74</v>
      </c>
      <c r="B3097" s="4" t="s">
        <v>97</v>
      </c>
      <c r="C3097" s="3" t="s">
        <v>273</v>
      </c>
      <c r="G3097" s="57"/>
    </row>
    <row r="3098" spans="1:7" ht="12.75" x14ac:dyDescent="0.2">
      <c r="A3098" s="3">
        <v>74</v>
      </c>
      <c r="B3098" s="4" t="s">
        <v>97</v>
      </c>
      <c r="C3098" s="3" t="s">
        <v>273</v>
      </c>
      <c r="G3098" s="57"/>
    </row>
    <row r="3099" spans="1:7" ht="12.75" x14ac:dyDescent="0.2">
      <c r="A3099" s="3">
        <v>74</v>
      </c>
      <c r="B3099" s="4" t="s">
        <v>97</v>
      </c>
      <c r="C3099" s="3" t="s">
        <v>273</v>
      </c>
      <c r="G3099" s="57"/>
    </row>
    <row r="3100" spans="1:7" ht="12.75" x14ac:dyDescent="0.2">
      <c r="A3100" s="3">
        <v>74</v>
      </c>
      <c r="B3100" s="4" t="s">
        <v>97</v>
      </c>
      <c r="C3100" s="3" t="s">
        <v>125</v>
      </c>
      <c r="G3100" s="57"/>
    </row>
    <row r="3101" spans="1:7" ht="12.75" x14ac:dyDescent="0.2">
      <c r="A3101" s="3">
        <v>74</v>
      </c>
      <c r="B3101" s="4" t="s">
        <v>97</v>
      </c>
      <c r="C3101" s="3" t="s">
        <v>125</v>
      </c>
      <c r="F3101">
        <f>SUM(E3100:E3105)</f>
        <v>0</v>
      </c>
      <c r="G3101" s="57"/>
    </row>
    <row r="3102" spans="1:7" ht="12.75" x14ac:dyDescent="0.2">
      <c r="A3102" s="3">
        <v>74</v>
      </c>
      <c r="B3102" s="4" t="s">
        <v>97</v>
      </c>
      <c r="C3102" s="3" t="s">
        <v>125</v>
      </c>
      <c r="G3102" s="57"/>
    </row>
    <row r="3103" spans="1:7" ht="12.75" x14ac:dyDescent="0.2">
      <c r="A3103" s="3">
        <v>74</v>
      </c>
      <c r="B3103" s="4" t="s">
        <v>97</v>
      </c>
      <c r="C3103" s="3" t="s">
        <v>125</v>
      </c>
      <c r="G3103" s="57"/>
    </row>
    <row r="3104" spans="1:7" ht="12.75" x14ac:dyDescent="0.2">
      <c r="A3104" s="3">
        <v>74</v>
      </c>
      <c r="B3104" s="4" t="s">
        <v>97</v>
      </c>
      <c r="C3104" s="3" t="s">
        <v>125</v>
      </c>
      <c r="G3104" s="57"/>
    </row>
    <row r="3105" spans="1:7" ht="12.75" x14ac:dyDescent="0.2">
      <c r="A3105" s="3">
        <v>74</v>
      </c>
      <c r="B3105" s="4" t="s">
        <v>97</v>
      </c>
      <c r="C3105" s="3" t="s">
        <v>125</v>
      </c>
      <c r="G3105" s="57"/>
    </row>
    <row r="3106" spans="1:7" ht="12.75" x14ac:dyDescent="0.2">
      <c r="A3106" s="3">
        <v>75</v>
      </c>
      <c r="B3106" s="4" t="s">
        <v>98</v>
      </c>
      <c r="C3106" s="3" t="s">
        <v>347</v>
      </c>
      <c r="G3106" s="57"/>
    </row>
    <row r="3107" spans="1:7" ht="12.75" x14ac:dyDescent="0.2">
      <c r="A3107" s="3">
        <v>75</v>
      </c>
      <c r="B3107" s="4" t="s">
        <v>98</v>
      </c>
      <c r="C3107" s="3" t="s">
        <v>347</v>
      </c>
      <c r="G3107" s="57"/>
    </row>
    <row r="3108" spans="1:7" ht="12.75" x14ac:dyDescent="0.2">
      <c r="A3108" s="3">
        <v>75</v>
      </c>
      <c r="B3108" s="4" t="s">
        <v>98</v>
      </c>
      <c r="C3108" s="3" t="s">
        <v>347</v>
      </c>
      <c r="G3108" s="57"/>
    </row>
    <row r="3109" spans="1:7" ht="12.75" x14ac:dyDescent="0.2">
      <c r="A3109" s="3">
        <v>75</v>
      </c>
      <c r="B3109" s="4" t="s">
        <v>98</v>
      </c>
      <c r="C3109" s="3" t="s">
        <v>347</v>
      </c>
      <c r="F3109">
        <f>SUM(E3106:E3113)</f>
        <v>0</v>
      </c>
      <c r="G3109" s="57"/>
    </row>
    <row r="3110" spans="1:7" ht="12.75" x14ac:dyDescent="0.2">
      <c r="A3110" s="3">
        <v>75</v>
      </c>
      <c r="B3110" s="4" t="s">
        <v>98</v>
      </c>
      <c r="C3110" s="3" t="s">
        <v>347</v>
      </c>
      <c r="G3110" s="59">
        <v>1182</v>
      </c>
    </row>
    <row r="3111" spans="1:7" ht="12.75" x14ac:dyDescent="0.2">
      <c r="A3111" s="3">
        <v>75</v>
      </c>
      <c r="B3111" s="4" t="s">
        <v>98</v>
      </c>
      <c r="C3111" s="3" t="s">
        <v>347</v>
      </c>
      <c r="G3111" s="57"/>
    </row>
    <row r="3112" spans="1:7" ht="12.75" x14ac:dyDescent="0.2">
      <c r="A3112" s="3">
        <v>75</v>
      </c>
      <c r="B3112" s="4" t="s">
        <v>98</v>
      </c>
      <c r="C3112" s="3" t="s">
        <v>347</v>
      </c>
      <c r="G3112" s="57"/>
    </row>
    <row r="3113" spans="1:7" ht="12.75" x14ac:dyDescent="0.2">
      <c r="A3113" s="3">
        <v>75</v>
      </c>
      <c r="B3113" s="4" t="s">
        <v>98</v>
      </c>
      <c r="C3113" s="3" t="s">
        <v>347</v>
      </c>
      <c r="G3113" s="57"/>
    </row>
    <row r="3114" spans="1:7" ht="12.75" x14ac:dyDescent="0.2">
      <c r="A3114" s="3">
        <v>75</v>
      </c>
      <c r="B3114" s="4" t="s">
        <v>98</v>
      </c>
      <c r="C3114" s="3" t="s">
        <v>273</v>
      </c>
      <c r="G3114" s="57"/>
    </row>
    <row r="3115" spans="1:7" ht="12.75" x14ac:dyDescent="0.2">
      <c r="A3115" s="3">
        <v>75</v>
      </c>
      <c r="B3115" s="4" t="s">
        <v>98</v>
      </c>
      <c r="C3115" s="3" t="s">
        <v>273</v>
      </c>
      <c r="F3115">
        <f>SUM(E3114:E3119)</f>
        <v>0</v>
      </c>
      <c r="G3115" s="57"/>
    </row>
    <row r="3116" spans="1:7" ht="12.75" x14ac:dyDescent="0.2">
      <c r="A3116" s="3">
        <v>75</v>
      </c>
      <c r="B3116" s="4" t="s">
        <v>98</v>
      </c>
      <c r="C3116" s="3" t="s">
        <v>273</v>
      </c>
      <c r="G3116" s="57"/>
    </row>
    <row r="3117" spans="1:7" ht="12.75" x14ac:dyDescent="0.2">
      <c r="A3117" s="3">
        <v>75</v>
      </c>
      <c r="B3117" s="4" t="s">
        <v>98</v>
      </c>
      <c r="C3117" s="3" t="s">
        <v>273</v>
      </c>
      <c r="G3117" s="57"/>
    </row>
    <row r="3118" spans="1:7" ht="12.75" x14ac:dyDescent="0.2">
      <c r="A3118" s="3">
        <v>75</v>
      </c>
      <c r="B3118" s="4" t="s">
        <v>98</v>
      </c>
      <c r="C3118" s="3" t="s">
        <v>273</v>
      </c>
      <c r="G3118" s="57"/>
    </row>
    <row r="3119" spans="1:7" ht="12.75" x14ac:dyDescent="0.2">
      <c r="A3119" s="3">
        <v>75</v>
      </c>
      <c r="B3119" s="4" t="s">
        <v>98</v>
      </c>
      <c r="C3119" s="3" t="s">
        <v>273</v>
      </c>
      <c r="G3119" s="57"/>
    </row>
    <row r="3120" spans="1:7" ht="12.75" x14ac:dyDescent="0.2">
      <c r="A3120" s="3">
        <v>75</v>
      </c>
      <c r="B3120" s="4" t="s">
        <v>98</v>
      </c>
      <c r="C3120" s="3" t="s">
        <v>125</v>
      </c>
      <c r="G3120" s="57"/>
    </row>
    <row r="3121" spans="1:7" ht="12.75" x14ac:dyDescent="0.2">
      <c r="A3121" s="3">
        <v>75</v>
      </c>
      <c r="B3121" s="4" t="s">
        <v>98</v>
      </c>
      <c r="C3121" s="3" t="s">
        <v>125</v>
      </c>
      <c r="F3121">
        <f>SUM(E3120:E3125)</f>
        <v>0</v>
      </c>
      <c r="G3121" s="57"/>
    </row>
    <row r="3122" spans="1:7" ht="12.75" x14ac:dyDescent="0.2">
      <c r="A3122" s="3">
        <v>75</v>
      </c>
      <c r="B3122" s="4" t="s">
        <v>98</v>
      </c>
      <c r="C3122" s="3" t="s">
        <v>125</v>
      </c>
      <c r="G3122" s="57"/>
    </row>
    <row r="3123" spans="1:7" ht="12.75" x14ac:dyDescent="0.2">
      <c r="A3123" s="3">
        <v>75</v>
      </c>
      <c r="B3123" s="4" t="s">
        <v>98</v>
      </c>
      <c r="C3123" s="3" t="s">
        <v>125</v>
      </c>
      <c r="G3123" s="57"/>
    </row>
    <row r="3124" spans="1:7" ht="12.75" x14ac:dyDescent="0.2">
      <c r="A3124" s="3">
        <v>75</v>
      </c>
      <c r="B3124" s="4" t="s">
        <v>98</v>
      </c>
      <c r="C3124" s="3" t="s">
        <v>125</v>
      </c>
      <c r="G3124" s="57"/>
    </row>
    <row r="3125" spans="1:7" ht="12.75" x14ac:dyDescent="0.2">
      <c r="A3125" s="3">
        <v>75</v>
      </c>
      <c r="B3125" s="4" t="s">
        <v>98</v>
      </c>
      <c r="C3125" s="3" t="s">
        <v>125</v>
      </c>
      <c r="G3125" s="57"/>
    </row>
    <row r="3126" spans="1:7" ht="12.75" x14ac:dyDescent="0.2">
      <c r="A3126" s="3">
        <v>76</v>
      </c>
      <c r="B3126" s="4" t="s">
        <v>99</v>
      </c>
      <c r="C3126" s="3" t="s">
        <v>347</v>
      </c>
      <c r="G3126" s="57"/>
    </row>
    <row r="3127" spans="1:7" ht="12.75" x14ac:dyDescent="0.2">
      <c r="A3127" s="3">
        <v>76</v>
      </c>
      <c r="B3127" s="4" t="s">
        <v>99</v>
      </c>
      <c r="C3127" s="3" t="s">
        <v>347</v>
      </c>
      <c r="G3127" s="57"/>
    </row>
    <row r="3128" spans="1:7" ht="12.75" x14ac:dyDescent="0.2">
      <c r="A3128" s="3">
        <v>76</v>
      </c>
      <c r="B3128" s="4" t="s">
        <v>99</v>
      </c>
      <c r="C3128" s="3" t="s">
        <v>347</v>
      </c>
      <c r="G3128" s="57"/>
    </row>
    <row r="3129" spans="1:7" ht="12.75" x14ac:dyDescent="0.2">
      <c r="A3129" s="3">
        <v>76</v>
      </c>
      <c r="B3129" s="4" t="s">
        <v>99</v>
      </c>
      <c r="C3129" s="3" t="s">
        <v>347</v>
      </c>
      <c r="F3129">
        <f>SUM(E3126:E3133)</f>
        <v>0</v>
      </c>
      <c r="G3129" s="57"/>
    </row>
    <row r="3130" spans="1:7" ht="12.75" x14ac:dyDescent="0.2">
      <c r="A3130" s="3">
        <v>76</v>
      </c>
      <c r="B3130" s="4" t="s">
        <v>99</v>
      </c>
      <c r="C3130" s="3" t="s">
        <v>347</v>
      </c>
      <c r="G3130" s="59">
        <v>172</v>
      </c>
    </row>
    <row r="3131" spans="1:7" ht="12.75" x14ac:dyDescent="0.2">
      <c r="A3131" s="3">
        <v>76</v>
      </c>
      <c r="B3131" s="4" t="s">
        <v>99</v>
      </c>
      <c r="C3131" s="3" t="s">
        <v>347</v>
      </c>
      <c r="G3131" s="57"/>
    </row>
    <row r="3132" spans="1:7" ht="12.75" x14ac:dyDescent="0.2">
      <c r="A3132" s="3">
        <v>76</v>
      </c>
      <c r="B3132" s="4" t="s">
        <v>99</v>
      </c>
      <c r="C3132" s="3" t="s">
        <v>347</v>
      </c>
      <c r="G3132" s="57"/>
    </row>
    <row r="3133" spans="1:7" ht="12.75" x14ac:dyDescent="0.2">
      <c r="A3133" s="3">
        <v>76</v>
      </c>
      <c r="B3133" s="4" t="s">
        <v>99</v>
      </c>
      <c r="C3133" s="3" t="s">
        <v>347</v>
      </c>
      <c r="G3133" s="57"/>
    </row>
    <row r="3134" spans="1:7" ht="12.75" x14ac:dyDescent="0.2">
      <c r="A3134" s="3">
        <v>76</v>
      </c>
      <c r="B3134" s="4" t="s">
        <v>99</v>
      </c>
      <c r="C3134" s="3" t="s">
        <v>273</v>
      </c>
      <c r="G3134" s="57"/>
    </row>
    <row r="3135" spans="1:7" ht="12.75" x14ac:dyDescent="0.2">
      <c r="A3135" s="3">
        <v>76</v>
      </c>
      <c r="B3135" s="4" t="s">
        <v>99</v>
      </c>
      <c r="C3135" s="3" t="s">
        <v>273</v>
      </c>
      <c r="F3135">
        <f>SUM(E3134:E3139)</f>
        <v>0</v>
      </c>
      <c r="G3135" s="57"/>
    </row>
    <row r="3136" spans="1:7" ht="12.75" x14ac:dyDescent="0.2">
      <c r="A3136" s="3">
        <v>76</v>
      </c>
      <c r="B3136" s="4" t="s">
        <v>99</v>
      </c>
      <c r="C3136" s="3" t="s">
        <v>273</v>
      </c>
      <c r="G3136" s="57"/>
    </row>
    <row r="3137" spans="1:7" ht="12.75" x14ac:dyDescent="0.2">
      <c r="A3137" s="3">
        <v>76</v>
      </c>
      <c r="B3137" s="4" t="s">
        <v>99</v>
      </c>
      <c r="C3137" s="3" t="s">
        <v>273</v>
      </c>
      <c r="G3137" s="57"/>
    </row>
    <row r="3138" spans="1:7" ht="12.75" x14ac:dyDescent="0.2">
      <c r="A3138" s="3">
        <v>76</v>
      </c>
      <c r="B3138" s="4" t="s">
        <v>99</v>
      </c>
      <c r="C3138" s="3" t="s">
        <v>273</v>
      </c>
      <c r="G3138" s="57"/>
    </row>
    <row r="3139" spans="1:7" ht="12.75" x14ac:dyDescent="0.2">
      <c r="A3139" s="3">
        <v>76</v>
      </c>
      <c r="B3139" s="4" t="s">
        <v>99</v>
      </c>
      <c r="C3139" s="3" t="s">
        <v>273</v>
      </c>
      <c r="G3139" s="57"/>
    </row>
    <row r="3140" spans="1:7" ht="12.75" x14ac:dyDescent="0.2">
      <c r="A3140" s="3">
        <v>76</v>
      </c>
      <c r="B3140" s="4" t="s">
        <v>99</v>
      </c>
      <c r="C3140" s="3" t="s">
        <v>125</v>
      </c>
      <c r="G3140" s="57"/>
    </row>
    <row r="3141" spans="1:7" ht="12.75" x14ac:dyDescent="0.2">
      <c r="A3141" s="3">
        <v>76</v>
      </c>
      <c r="B3141" s="4" t="s">
        <v>99</v>
      </c>
      <c r="C3141" s="3" t="s">
        <v>125</v>
      </c>
      <c r="F3141">
        <f>SUM(E3140:E3145)</f>
        <v>0</v>
      </c>
      <c r="G3141" s="57"/>
    </row>
    <row r="3142" spans="1:7" ht="12.75" x14ac:dyDescent="0.2">
      <c r="A3142" s="3">
        <v>76</v>
      </c>
      <c r="B3142" s="4" t="s">
        <v>99</v>
      </c>
      <c r="C3142" s="3" t="s">
        <v>125</v>
      </c>
      <c r="G3142" s="57"/>
    </row>
    <row r="3143" spans="1:7" ht="12.75" x14ac:dyDescent="0.2">
      <c r="A3143" s="3">
        <v>76</v>
      </c>
      <c r="B3143" s="4" t="s">
        <v>99</v>
      </c>
      <c r="C3143" s="3" t="s">
        <v>125</v>
      </c>
      <c r="G3143" s="57"/>
    </row>
    <row r="3144" spans="1:7" ht="12.75" x14ac:dyDescent="0.2">
      <c r="A3144" s="3">
        <v>76</v>
      </c>
      <c r="B3144" s="4" t="s">
        <v>99</v>
      </c>
      <c r="C3144" s="3" t="s">
        <v>125</v>
      </c>
      <c r="G3144" s="57"/>
    </row>
    <row r="3145" spans="1:7" ht="12.75" x14ac:dyDescent="0.2">
      <c r="A3145" s="3">
        <v>76</v>
      </c>
      <c r="B3145" s="4" t="s">
        <v>99</v>
      </c>
      <c r="C3145" s="3" t="s">
        <v>125</v>
      </c>
      <c r="G3145" s="57"/>
    </row>
    <row r="3146" spans="1:7" ht="12.75" x14ac:dyDescent="0.2">
      <c r="A3146" s="3">
        <v>77</v>
      </c>
      <c r="B3146" s="4" t="s">
        <v>100</v>
      </c>
      <c r="C3146" s="3" t="s">
        <v>347</v>
      </c>
      <c r="G3146" s="57"/>
    </row>
    <row r="3147" spans="1:7" ht="12.75" x14ac:dyDescent="0.2">
      <c r="A3147" s="3">
        <v>77</v>
      </c>
      <c r="B3147" s="4" t="s">
        <v>100</v>
      </c>
      <c r="C3147" s="3" t="s">
        <v>347</v>
      </c>
      <c r="G3147" s="57"/>
    </row>
    <row r="3148" spans="1:7" ht="12.75" x14ac:dyDescent="0.2">
      <c r="A3148" s="3">
        <v>77</v>
      </c>
      <c r="B3148" s="4" t="s">
        <v>100</v>
      </c>
      <c r="C3148" s="3" t="s">
        <v>347</v>
      </c>
      <c r="G3148" s="57"/>
    </row>
    <row r="3149" spans="1:7" ht="12.75" x14ac:dyDescent="0.2">
      <c r="A3149" s="3">
        <v>77</v>
      </c>
      <c r="B3149" s="4" t="s">
        <v>100</v>
      </c>
      <c r="C3149" s="3" t="s">
        <v>347</v>
      </c>
      <c r="F3149">
        <f>SUM(E3146:E3153)</f>
        <v>0</v>
      </c>
      <c r="G3149" s="57"/>
    </row>
    <row r="3150" spans="1:7" ht="12.75" x14ac:dyDescent="0.2">
      <c r="A3150" s="3">
        <v>77</v>
      </c>
      <c r="B3150" s="4" t="s">
        <v>100</v>
      </c>
      <c r="C3150" s="3" t="s">
        <v>347</v>
      </c>
      <c r="G3150" s="59">
        <v>1</v>
      </c>
    </row>
    <row r="3151" spans="1:7" ht="12.75" x14ac:dyDescent="0.2">
      <c r="A3151" s="3">
        <v>77</v>
      </c>
      <c r="B3151" s="4" t="s">
        <v>100</v>
      </c>
      <c r="C3151" s="3" t="s">
        <v>347</v>
      </c>
      <c r="G3151" s="57"/>
    </row>
    <row r="3152" spans="1:7" ht="12.75" x14ac:dyDescent="0.2">
      <c r="A3152" s="3">
        <v>77</v>
      </c>
      <c r="B3152" s="4" t="s">
        <v>100</v>
      </c>
      <c r="C3152" s="3" t="s">
        <v>347</v>
      </c>
      <c r="G3152" s="57"/>
    </row>
    <row r="3153" spans="1:7" ht="12.75" x14ac:dyDescent="0.2">
      <c r="A3153" s="3">
        <v>77</v>
      </c>
      <c r="B3153" s="4" t="s">
        <v>100</v>
      </c>
      <c r="C3153" s="3" t="s">
        <v>347</v>
      </c>
      <c r="G3153" s="57"/>
    </row>
    <row r="3154" spans="1:7" ht="12.75" x14ac:dyDescent="0.2">
      <c r="A3154" s="3">
        <v>77</v>
      </c>
      <c r="B3154" s="4" t="s">
        <v>100</v>
      </c>
      <c r="C3154" s="3" t="s">
        <v>273</v>
      </c>
      <c r="G3154" s="57"/>
    </row>
    <row r="3155" spans="1:7" ht="12.75" x14ac:dyDescent="0.2">
      <c r="A3155" s="3">
        <v>77</v>
      </c>
      <c r="B3155" s="4" t="s">
        <v>100</v>
      </c>
      <c r="C3155" s="3" t="s">
        <v>273</v>
      </c>
      <c r="F3155">
        <f>SUM(E3154:E3159)</f>
        <v>0</v>
      </c>
      <c r="G3155" s="57"/>
    </row>
    <row r="3156" spans="1:7" ht="12.75" x14ac:dyDescent="0.2">
      <c r="A3156" s="3">
        <v>77</v>
      </c>
      <c r="B3156" s="4" t="s">
        <v>100</v>
      </c>
      <c r="C3156" s="3" t="s">
        <v>273</v>
      </c>
      <c r="G3156" s="57"/>
    </row>
    <row r="3157" spans="1:7" ht="12.75" x14ac:dyDescent="0.2">
      <c r="A3157" s="3">
        <v>77</v>
      </c>
      <c r="B3157" s="4" t="s">
        <v>100</v>
      </c>
      <c r="C3157" s="3" t="s">
        <v>273</v>
      </c>
      <c r="G3157" s="57"/>
    </row>
    <row r="3158" spans="1:7" ht="12.75" x14ac:dyDescent="0.2">
      <c r="A3158" s="3">
        <v>77</v>
      </c>
      <c r="B3158" s="4" t="s">
        <v>100</v>
      </c>
      <c r="C3158" s="3" t="s">
        <v>273</v>
      </c>
      <c r="G3158" s="57"/>
    </row>
    <row r="3159" spans="1:7" ht="12.75" x14ac:dyDescent="0.2">
      <c r="A3159" s="3">
        <v>77</v>
      </c>
      <c r="B3159" s="4" t="s">
        <v>100</v>
      </c>
      <c r="C3159" s="3" t="s">
        <v>273</v>
      </c>
      <c r="G3159" s="57"/>
    </row>
    <row r="3160" spans="1:7" ht="12.75" x14ac:dyDescent="0.2">
      <c r="A3160" s="3">
        <v>77</v>
      </c>
      <c r="B3160" s="4" t="s">
        <v>100</v>
      </c>
      <c r="C3160" s="3" t="s">
        <v>125</v>
      </c>
      <c r="G3160" s="57"/>
    </row>
    <row r="3161" spans="1:7" ht="12.75" x14ac:dyDescent="0.2">
      <c r="A3161" s="3">
        <v>77</v>
      </c>
      <c r="B3161" s="4" t="s">
        <v>100</v>
      </c>
      <c r="C3161" s="3" t="s">
        <v>125</v>
      </c>
      <c r="F3161">
        <f>SUM(E3160:E3165)</f>
        <v>0</v>
      </c>
      <c r="G3161" s="57"/>
    </row>
    <row r="3162" spans="1:7" ht="12.75" x14ac:dyDescent="0.2">
      <c r="A3162" s="3">
        <v>77</v>
      </c>
      <c r="B3162" s="4" t="s">
        <v>100</v>
      </c>
      <c r="C3162" s="3" t="s">
        <v>125</v>
      </c>
      <c r="G3162" s="57"/>
    </row>
    <row r="3163" spans="1:7" ht="12.75" x14ac:dyDescent="0.2">
      <c r="A3163" s="3">
        <v>77</v>
      </c>
      <c r="B3163" s="4" t="s">
        <v>100</v>
      </c>
      <c r="C3163" s="3" t="s">
        <v>125</v>
      </c>
      <c r="G3163" s="57"/>
    </row>
    <row r="3164" spans="1:7" ht="12.75" x14ac:dyDescent="0.2">
      <c r="A3164" s="3">
        <v>77</v>
      </c>
      <c r="B3164" s="4" t="s">
        <v>100</v>
      </c>
      <c r="C3164" s="3" t="s">
        <v>125</v>
      </c>
      <c r="G3164" s="57"/>
    </row>
    <row r="3165" spans="1:7" ht="12.75" x14ac:dyDescent="0.2">
      <c r="A3165" s="3">
        <v>77</v>
      </c>
      <c r="B3165" s="4" t="s">
        <v>100</v>
      </c>
      <c r="C3165" s="3" t="s">
        <v>125</v>
      </c>
      <c r="G3165" s="57"/>
    </row>
    <row r="3166" spans="1:7" ht="12.75" x14ac:dyDescent="0.2">
      <c r="A3166" s="3">
        <v>78</v>
      </c>
      <c r="B3166" s="4" t="s">
        <v>101</v>
      </c>
      <c r="C3166" s="3" t="s">
        <v>347</v>
      </c>
      <c r="G3166" s="57"/>
    </row>
    <row r="3167" spans="1:7" ht="12.75" x14ac:dyDescent="0.2">
      <c r="A3167" s="3">
        <v>78</v>
      </c>
      <c r="B3167" s="4" t="s">
        <v>101</v>
      </c>
      <c r="C3167" s="3" t="s">
        <v>347</v>
      </c>
      <c r="G3167" s="57"/>
    </row>
    <row r="3168" spans="1:7" ht="12.75" x14ac:dyDescent="0.2">
      <c r="A3168" s="3">
        <v>78</v>
      </c>
      <c r="B3168" s="4" t="s">
        <v>101</v>
      </c>
      <c r="C3168" s="3" t="s">
        <v>347</v>
      </c>
      <c r="G3168" s="57"/>
    </row>
    <row r="3169" spans="1:7" ht="12.75" x14ac:dyDescent="0.2">
      <c r="A3169" s="3">
        <v>78</v>
      </c>
      <c r="B3169" s="4" t="s">
        <v>101</v>
      </c>
      <c r="C3169" s="3" t="s">
        <v>347</v>
      </c>
      <c r="F3169">
        <f>SUM(E3166:E3173)</f>
        <v>0</v>
      </c>
      <c r="G3169" s="57"/>
    </row>
    <row r="3170" spans="1:7" ht="12.75" x14ac:dyDescent="0.2">
      <c r="A3170" s="3">
        <v>78</v>
      </c>
      <c r="B3170" s="4" t="s">
        <v>101</v>
      </c>
      <c r="C3170" s="3" t="s">
        <v>347</v>
      </c>
      <c r="G3170" s="59">
        <v>8</v>
      </c>
    </row>
    <row r="3171" spans="1:7" ht="12.75" x14ac:dyDescent="0.2">
      <c r="A3171" s="3">
        <v>78</v>
      </c>
      <c r="B3171" s="4" t="s">
        <v>101</v>
      </c>
      <c r="C3171" s="3" t="s">
        <v>347</v>
      </c>
      <c r="G3171" s="57"/>
    </row>
    <row r="3172" spans="1:7" ht="12.75" x14ac:dyDescent="0.2">
      <c r="A3172" s="3">
        <v>78</v>
      </c>
      <c r="B3172" s="4" t="s">
        <v>101</v>
      </c>
      <c r="C3172" s="3" t="s">
        <v>347</v>
      </c>
      <c r="G3172" s="57"/>
    </row>
    <row r="3173" spans="1:7" ht="12.75" x14ac:dyDescent="0.2">
      <c r="A3173" s="3">
        <v>78</v>
      </c>
      <c r="B3173" s="4" t="s">
        <v>101</v>
      </c>
      <c r="C3173" s="3" t="s">
        <v>347</v>
      </c>
      <c r="G3173" s="57"/>
    </row>
    <row r="3174" spans="1:7" ht="12.75" x14ac:dyDescent="0.2">
      <c r="A3174" s="3">
        <v>78</v>
      </c>
      <c r="B3174" s="4" t="s">
        <v>101</v>
      </c>
      <c r="C3174" s="3" t="s">
        <v>273</v>
      </c>
      <c r="G3174" s="57"/>
    </row>
    <row r="3175" spans="1:7" ht="12.75" x14ac:dyDescent="0.2">
      <c r="A3175" s="3">
        <v>78</v>
      </c>
      <c r="B3175" s="4" t="s">
        <v>101</v>
      </c>
      <c r="C3175" s="3" t="s">
        <v>273</v>
      </c>
      <c r="F3175">
        <f>SUM(E3174:E3179)</f>
        <v>0</v>
      </c>
      <c r="G3175" s="57"/>
    </row>
    <row r="3176" spans="1:7" ht="12.75" x14ac:dyDescent="0.2">
      <c r="A3176" s="3">
        <v>78</v>
      </c>
      <c r="B3176" s="4" t="s">
        <v>101</v>
      </c>
      <c r="C3176" s="3" t="s">
        <v>273</v>
      </c>
      <c r="G3176" s="57"/>
    </row>
    <row r="3177" spans="1:7" ht="12.75" x14ac:dyDescent="0.2">
      <c r="A3177" s="3">
        <v>78</v>
      </c>
      <c r="B3177" s="4" t="s">
        <v>101</v>
      </c>
      <c r="C3177" s="3" t="s">
        <v>273</v>
      </c>
      <c r="G3177" s="57"/>
    </row>
    <row r="3178" spans="1:7" ht="12.75" x14ac:dyDescent="0.2">
      <c r="A3178" s="3">
        <v>78</v>
      </c>
      <c r="B3178" s="4" t="s">
        <v>101</v>
      </c>
      <c r="C3178" s="3" t="s">
        <v>273</v>
      </c>
      <c r="G3178" s="57"/>
    </row>
    <row r="3179" spans="1:7" ht="12.75" x14ac:dyDescent="0.2">
      <c r="A3179" s="3">
        <v>78</v>
      </c>
      <c r="B3179" s="4" t="s">
        <v>101</v>
      </c>
      <c r="C3179" s="3" t="s">
        <v>273</v>
      </c>
      <c r="G3179" s="57"/>
    </row>
    <row r="3180" spans="1:7" ht="12.75" x14ac:dyDescent="0.2">
      <c r="A3180" s="3">
        <v>78</v>
      </c>
      <c r="B3180" s="4" t="s">
        <v>101</v>
      </c>
      <c r="C3180" s="3" t="s">
        <v>125</v>
      </c>
      <c r="G3180" s="57"/>
    </row>
    <row r="3181" spans="1:7" ht="12.75" x14ac:dyDescent="0.2">
      <c r="A3181" s="3">
        <v>78</v>
      </c>
      <c r="B3181" s="4" t="s">
        <v>101</v>
      </c>
      <c r="C3181" s="3" t="s">
        <v>125</v>
      </c>
      <c r="F3181">
        <f>SUM(E3180:E3185)</f>
        <v>0</v>
      </c>
      <c r="G3181" s="57"/>
    </row>
    <row r="3182" spans="1:7" ht="12.75" x14ac:dyDescent="0.2">
      <c r="A3182" s="3">
        <v>78</v>
      </c>
      <c r="B3182" s="4" t="s">
        <v>101</v>
      </c>
      <c r="C3182" s="3" t="s">
        <v>125</v>
      </c>
      <c r="G3182" s="57"/>
    </row>
    <row r="3183" spans="1:7" ht="12.75" x14ac:dyDescent="0.2">
      <c r="A3183" s="3">
        <v>78</v>
      </c>
      <c r="B3183" s="4" t="s">
        <v>101</v>
      </c>
      <c r="C3183" s="3" t="s">
        <v>125</v>
      </c>
      <c r="G3183" s="57"/>
    </row>
    <row r="3184" spans="1:7" ht="12.75" x14ac:dyDescent="0.2">
      <c r="A3184" s="3">
        <v>78</v>
      </c>
      <c r="B3184" s="4" t="s">
        <v>101</v>
      </c>
      <c r="C3184" s="3" t="s">
        <v>125</v>
      </c>
      <c r="G3184" s="57"/>
    </row>
    <row r="3185" spans="1:7" ht="12.75" x14ac:dyDescent="0.2">
      <c r="A3185" s="3">
        <v>78</v>
      </c>
      <c r="B3185" s="4" t="s">
        <v>101</v>
      </c>
      <c r="C3185" s="3" t="s">
        <v>125</v>
      </c>
      <c r="G3185" s="57"/>
    </row>
    <row r="3186" spans="1:7" ht="12.75" x14ac:dyDescent="0.2">
      <c r="A3186" s="3">
        <v>79</v>
      </c>
      <c r="B3186" s="4" t="s">
        <v>102</v>
      </c>
      <c r="C3186" s="3" t="s">
        <v>347</v>
      </c>
      <c r="G3186" s="57"/>
    </row>
    <row r="3187" spans="1:7" ht="12.75" x14ac:dyDescent="0.2">
      <c r="A3187" s="3">
        <v>79</v>
      </c>
      <c r="B3187" s="4" t="s">
        <v>102</v>
      </c>
      <c r="C3187" s="3" t="s">
        <v>347</v>
      </c>
      <c r="G3187" s="57"/>
    </row>
    <row r="3188" spans="1:7" ht="12.75" x14ac:dyDescent="0.2">
      <c r="A3188" s="3">
        <v>79</v>
      </c>
      <c r="B3188" s="4" t="s">
        <v>102</v>
      </c>
      <c r="C3188" s="3" t="s">
        <v>347</v>
      </c>
      <c r="G3188" s="57"/>
    </row>
    <row r="3189" spans="1:7" ht="12.75" x14ac:dyDescent="0.2">
      <c r="A3189" s="3">
        <v>79</v>
      </c>
      <c r="B3189" s="4" t="s">
        <v>102</v>
      </c>
      <c r="C3189" s="3" t="s">
        <v>347</v>
      </c>
      <c r="F3189">
        <f>SUM(E3186:E3193)</f>
        <v>0</v>
      </c>
      <c r="G3189" s="57"/>
    </row>
    <row r="3190" spans="1:7" ht="12.75" x14ac:dyDescent="0.2">
      <c r="A3190" s="3">
        <v>79</v>
      </c>
      <c r="B3190" s="4" t="s">
        <v>102</v>
      </c>
      <c r="C3190" s="3" t="s">
        <v>347</v>
      </c>
      <c r="G3190" s="59">
        <v>3</v>
      </c>
    </row>
    <row r="3191" spans="1:7" ht="12.75" x14ac:dyDescent="0.2">
      <c r="A3191" s="3">
        <v>79</v>
      </c>
      <c r="B3191" s="4" t="s">
        <v>102</v>
      </c>
      <c r="C3191" s="3" t="s">
        <v>347</v>
      </c>
      <c r="G3191" s="57"/>
    </row>
    <row r="3192" spans="1:7" ht="12.75" x14ac:dyDescent="0.2">
      <c r="A3192" s="3">
        <v>79</v>
      </c>
      <c r="B3192" s="4" t="s">
        <v>102</v>
      </c>
      <c r="C3192" s="3" t="s">
        <v>347</v>
      </c>
      <c r="G3192" s="57"/>
    </row>
    <row r="3193" spans="1:7" ht="12.75" x14ac:dyDescent="0.2">
      <c r="A3193" s="3">
        <v>79</v>
      </c>
      <c r="B3193" s="4" t="s">
        <v>102</v>
      </c>
      <c r="C3193" s="3" t="s">
        <v>347</v>
      </c>
      <c r="G3193" s="57"/>
    </row>
    <row r="3194" spans="1:7" ht="12.75" x14ac:dyDescent="0.2">
      <c r="A3194" s="3">
        <v>79</v>
      </c>
      <c r="B3194" s="4" t="s">
        <v>102</v>
      </c>
      <c r="C3194" s="3" t="s">
        <v>273</v>
      </c>
      <c r="G3194" s="57"/>
    </row>
    <row r="3195" spans="1:7" ht="12.75" x14ac:dyDescent="0.2">
      <c r="A3195" s="3">
        <v>79</v>
      </c>
      <c r="B3195" s="4" t="s">
        <v>102</v>
      </c>
      <c r="C3195" s="3" t="s">
        <v>273</v>
      </c>
      <c r="F3195">
        <f>SUM(E3194:E3199)</f>
        <v>0</v>
      </c>
      <c r="G3195" s="57"/>
    </row>
    <row r="3196" spans="1:7" ht="12.75" x14ac:dyDescent="0.2">
      <c r="A3196" s="3">
        <v>79</v>
      </c>
      <c r="B3196" s="4" t="s">
        <v>102</v>
      </c>
      <c r="C3196" s="3" t="s">
        <v>273</v>
      </c>
      <c r="G3196" s="57"/>
    </row>
    <row r="3197" spans="1:7" ht="12.75" x14ac:dyDescent="0.2">
      <c r="A3197" s="3">
        <v>79</v>
      </c>
      <c r="B3197" s="4" t="s">
        <v>102</v>
      </c>
      <c r="C3197" s="3" t="s">
        <v>273</v>
      </c>
      <c r="G3197" s="57"/>
    </row>
    <row r="3198" spans="1:7" ht="12.75" x14ac:dyDescent="0.2">
      <c r="A3198" s="3">
        <v>79</v>
      </c>
      <c r="B3198" s="4" t="s">
        <v>102</v>
      </c>
      <c r="C3198" s="3" t="s">
        <v>273</v>
      </c>
      <c r="G3198" s="57"/>
    </row>
    <row r="3199" spans="1:7" ht="12.75" x14ac:dyDescent="0.2">
      <c r="A3199" s="3">
        <v>79</v>
      </c>
      <c r="B3199" s="4" t="s">
        <v>102</v>
      </c>
      <c r="C3199" s="3" t="s">
        <v>273</v>
      </c>
      <c r="G3199" s="57"/>
    </row>
    <row r="3200" spans="1:7" ht="12.75" x14ac:dyDescent="0.2">
      <c r="A3200" s="3">
        <v>79</v>
      </c>
      <c r="B3200" s="4" t="s">
        <v>102</v>
      </c>
      <c r="C3200" s="3" t="s">
        <v>125</v>
      </c>
      <c r="G3200" s="57"/>
    </row>
    <row r="3201" spans="1:7" ht="12.75" x14ac:dyDescent="0.2">
      <c r="A3201" s="3">
        <v>79</v>
      </c>
      <c r="B3201" s="4" t="s">
        <v>102</v>
      </c>
      <c r="C3201" s="3" t="s">
        <v>125</v>
      </c>
      <c r="F3201">
        <f>SUM(E3200:E3205)</f>
        <v>0</v>
      </c>
      <c r="G3201" s="57"/>
    </row>
    <row r="3202" spans="1:7" ht="12.75" x14ac:dyDescent="0.2">
      <c r="A3202" s="3">
        <v>79</v>
      </c>
      <c r="B3202" s="4" t="s">
        <v>102</v>
      </c>
      <c r="C3202" s="3" t="s">
        <v>125</v>
      </c>
      <c r="G3202" s="57"/>
    </row>
    <row r="3203" spans="1:7" ht="12.75" x14ac:dyDescent="0.2">
      <c r="A3203" s="3">
        <v>79</v>
      </c>
      <c r="B3203" s="4" t="s">
        <v>102</v>
      </c>
      <c r="C3203" s="3" t="s">
        <v>125</v>
      </c>
      <c r="G3203" s="57"/>
    </row>
    <row r="3204" spans="1:7" ht="12.75" x14ac:dyDescent="0.2">
      <c r="A3204" s="3">
        <v>79</v>
      </c>
      <c r="B3204" s="4" t="s">
        <v>102</v>
      </c>
      <c r="C3204" s="3" t="s">
        <v>125</v>
      </c>
      <c r="G3204" s="57"/>
    </row>
    <row r="3205" spans="1:7" ht="12.75" x14ac:dyDescent="0.2">
      <c r="A3205" s="3">
        <v>79</v>
      </c>
      <c r="B3205" s="4" t="s">
        <v>102</v>
      </c>
      <c r="C3205" s="3" t="s">
        <v>125</v>
      </c>
      <c r="G3205" s="57"/>
    </row>
    <row r="3206" spans="1:7" ht="12.75" x14ac:dyDescent="0.2">
      <c r="A3206" s="3">
        <v>80</v>
      </c>
      <c r="B3206" s="4" t="s">
        <v>103</v>
      </c>
      <c r="C3206" s="3" t="s">
        <v>347</v>
      </c>
      <c r="G3206" s="57"/>
    </row>
    <row r="3207" spans="1:7" ht="12.75" x14ac:dyDescent="0.2">
      <c r="A3207" s="3">
        <v>80</v>
      </c>
      <c r="B3207" s="4" t="s">
        <v>103</v>
      </c>
      <c r="C3207" s="3" t="s">
        <v>347</v>
      </c>
      <c r="G3207" s="57"/>
    </row>
    <row r="3208" spans="1:7" ht="12.75" x14ac:dyDescent="0.2">
      <c r="A3208" s="3">
        <v>80</v>
      </c>
      <c r="B3208" s="4" t="s">
        <v>103</v>
      </c>
      <c r="C3208" s="3" t="s">
        <v>347</v>
      </c>
      <c r="G3208" s="57"/>
    </row>
    <row r="3209" spans="1:7" ht="12.75" x14ac:dyDescent="0.2">
      <c r="A3209" s="3">
        <v>80</v>
      </c>
      <c r="B3209" s="4" t="s">
        <v>103</v>
      </c>
      <c r="C3209" s="3" t="s">
        <v>347</v>
      </c>
      <c r="F3209">
        <f>SUM(E3206:E3213)</f>
        <v>0</v>
      </c>
      <c r="G3209" s="57"/>
    </row>
    <row r="3210" spans="1:7" ht="12.75" x14ac:dyDescent="0.2">
      <c r="A3210" s="3">
        <v>80</v>
      </c>
      <c r="B3210" s="4" t="s">
        <v>103</v>
      </c>
      <c r="C3210" s="3" t="s">
        <v>347</v>
      </c>
      <c r="G3210" s="59">
        <v>992</v>
      </c>
    </row>
    <row r="3211" spans="1:7" ht="12.75" x14ac:dyDescent="0.2">
      <c r="A3211" s="3">
        <v>80</v>
      </c>
      <c r="B3211" s="4" t="s">
        <v>103</v>
      </c>
      <c r="C3211" s="3" t="s">
        <v>347</v>
      </c>
      <c r="G3211" s="57"/>
    </row>
    <row r="3212" spans="1:7" ht="12.75" x14ac:dyDescent="0.2">
      <c r="A3212" s="3">
        <v>80</v>
      </c>
      <c r="B3212" s="4" t="s">
        <v>103</v>
      </c>
      <c r="C3212" s="3" t="s">
        <v>347</v>
      </c>
      <c r="G3212" s="57"/>
    </row>
    <row r="3213" spans="1:7" ht="12.75" x14ac:dyDescent="0.2">
      <c r="A3213" s="3">
        <v>80</v>
      </c>
      <c r="B3213" s="4" t="s">
        <v>103</v>
      </c>
      <c r="C3213" s="3" t="s">
        <v>347</v>
      </c>
      <c r="G3213" s="57"/>
    </row>
    <row r="3214" spans="1:7" ht="12.75" x14ac:dyDescent="0.2">
      <c r="A3214" s="3">
        <v>80</v>
      </c>
      <c r="B3214" s="4" t="s">
        <v>103</v>
      </c>
      <c r="C3214" s="3" t="s">
        <v>273</v>
      </c>
      <c r="G3214" s="57"/>
    </row>
    <row r="3215" spans="1:7" ht="12.75" x14ac:dyDescent="0.2">
      <c r="A3215" s="3">
        <v>80</v>
      </c>
      <c r="B3215" s="4" t="s">
        <v>103</v>
      </c>
      <c r="C3215" s="3" t="s">
        <v>273</v>
      </c>
      <c r="F3215">
        <f>SUM(E3214:E3219)</f>
        <v>0</v>
      </c>
      <c r="G3215" s="57"/>
    </row>
    <row r="3216" spans="1:7" ht="12.75" x14ac:dyDescent="0.2">
      <c r="A3216" s="3">
        <v>80</v>
      </c>
      <c r="B3216" s="4" t="s">
        <v>103</v>
      </c>
      <c r="C3216" s="3" t="s">
        <v>273</v>
      </c>
      <c r="G3216" s="57"/>
    </row>
    <row r="3217" spans="1:7" ht="12.75" x14ac:dyDescent="0.2">
      <c r="A3217" s="3">
        <v>80</v>
      </c>
      <c r="B3217" s="4" t="s">
        <v>103</v>
      </c>
      <c r="C3217" s="3" t="s">
        <v>273</v>
      </c>
      <c r="G3217" s="57"/>
    </row>
    <row r="3218" spans="1:7" ht="12.75" x14ac:dyDescent="0.2">
      <c r="A3218" s="3">
        <v>80</v>
      </c>
      <c r="B3218" s="4" t="s">
        <v>103</v>
      </c>
      <c r="C3218" s="3" t="s">
        <v>273</v>
      </c>
      <c r="G3218" s="57"/>
    </row>
    <row r="3219" spans="1:7" ht="12.75" x14ac:dyDescent="0.2">
      <c r="A3219" s="3">
        <v>80</v>
      </c>
      <c r="B3219" s="4" t="s">
        <v>103</v>
      </c>
      <c r="C3219" s="3" t="s">
        <v>273</v>
      </c>
      <c r="G3219" s="57"/>
    </row>
    <row r="3220" spans="1:7" ht="12.75" x14ac:dyDescent="0.2">
      <c r="A3220" s="3">
        <v>80</v>
      </c>
      <c r="B3220" s="4" t="s">
        <v>103</v>
      </c>
      <c r="C3220" s="3" t="s">
        <v>125</v>
      </c>
      <c r="G3220" s="57"/>
    </row>
    <row r="3221" spans="1:7" ht="12.75" x14ac:dyDescent="0.2">
      <c r="A3221" s="3">
        <v>80</v>
      </c>
      <c r="B3221" s="4" t="s">
        <v>103</v>
      </c>
      <c r="C3221" s="3" t="s">
        <v>125</v>
      </c>
      <c r="F3221">
        <f>SUM(E3220:E3225)</f>
        <v>0</v>
      </c>
      <c r="G3221" s="57"/>
    </row>
    <row r="3222" spans="1:7" ht="12.75" x14ac:dyDescent="0.2">
      <c r="A3222" s="3">
        <v>80</v>
      </c>
      <c r="B3222" s="4" t="s">
        <v>103</v>
      </c>
      <c r="C3222" s="3" t="s">
        <v>125</v>
      </c>
      <c r="G3222" s="57"/>
    </row>
    <row r="3223" spans="1:7" ht="12.75" x14ac:dyDescent="0.2">
      <c r="A3223" s="3">
        <v>80</v>
      </c>
      <c r="B3223" s="4" t="s">
        <v>103</v>
      </c>
      <c r="C3223" s="3" t="s">
        <v>125</v>
      </c>
      <c r="G3223" s="57"/>
    </row>
    <row r="3224" spans="1:7" ht="12.75" x14ac:dyDescent="0.2">
      <c r="A3224" s="3">
        <v>80</v>
      </c>
      <c r="B3224" s="4" t="s">
        <v>103</v>
      </c>
      <c r="C3224" s="3" t="s">
        <v>125</v>
      </c>
      <c r="G3224" s="57"/>
    </row>
    <row r="3225" spans="1:7" ht="12.75" x14ac:dyDescent="0.2">
      <c r="A3225" s="3">
        <v>80</v>
      </c>
      <c r="B3225" s="4" t="s">
        <v>103</v>
      </c>
      <c r="C3225" s="3" t="s">
        <v>125</v>
      </c>
      <c r="G3225" s="57"/>
    </row>
    <row r="3226" spans="1:7" ht="12.75" x14ac:dyDescent="0.2">
      <c r="A3226" s="3">
        <v>83</v>
      </c>
      <c r="B3226" s="4" t="s">
        <v>157</v>
      </c>
      <c r="C3226" s="3" t="s">
        <v>347</v>
      </c>
      <c r="G3226" s="57"/>
    </row>
    <row r="3227" spans="1:7" ht="12.75" x14ac:dyDescent="0.2">
      <c r="A3227" s="3">
        <v>83</v>
      </c>
      <c r="B3227" s="4" t="s">
        <v>157</v>
      </c>
      <c r="C3227" s="3" t="s">
        <v>347</v>
      </c>
      <c r="G3227" s="57"/>
    </row>
    <row r="3228" spans="1:7" ht="12.75" x14ac:dyDescent="0.2">
      <c r="A3228" s="3">
        <v>83</v>
      </c>
      <c r="B3228" s="4" t="s">
        <v>157</v>
      </c>
      <c r="C3228" s="3" t="s">
        <v>347</v>
      </c>
      <c r="G3228" s="57"/>
    </row>
    <row r="3229" spans="1:7" ht="12.75" x14ac:dyDescent="0.2">
      <c r="A3229" s="3">
        <v>83</v>
      </c>
      <c r="B3229" s="4" t="s">
        <v>157</v>
      </c>
      <c r="C3229" s="3" t="s">
        <v>347</v>
      </c>
      <c r="F3229">
        <f>SUM(E3226:E3233)</f>
        <v>0</v>
      </c>
      <c r="G3229" s="57"/>
    </row>
    <row r="3230" spans="1:7" ht="12.75" x14ac:dyDescent="0.2">
      <c r="A3230" s="3">
        <v>83</v>
      </c>
      <c r="B3230" s="4" t="s">
        <v>157</v>
      </c>
      <c r="C3230" s="3" t="s">
        <v>347</v>
      </c>
      <c r="G3230" s="59">
        <v>496</v>
      </c>
    </row>
    <row r="3231" spans="1:7" ht="12.75" x14ac:dyDescent="0.2">
      <c r="A3231" s="3">
        <v>83</v>
      </c>
      <c r="B3231" s="4" t="s">
        <v>157</v>
      </c>
      <c r="C3231" s="3" t="s">
        <v>347</v>
      </c>
      <c r="G3231" s="57"/>
    </row>
    <row r="3232" spans="1:7" ht="12.75" x14ac:dyDescent="0.2">
      <c r="A3232" s="3">
        <v>83</v>
      </c>
      <c r="B3232" s="4" t="s">
        <v>157</v>
      </c>
      <c r="C3232" s="3" t="s">
        <v>347</v>
      </c>
      <c r="G3232" s="57"/>
    </row>
    <row r="3233" spans="1:7" ht="12.75" x14ac:dyDescent="0.2">
      <c r="A3233" s="3">
        <v>83</v>
      </c>
      <c r="B3233" s="4" t="s">
        <v>157</v>
      </c>
      <c r="C3233" s="3" t="s">
        <v>347</v>
      </c>
      <c r="G3233" s="57"/>
    </row>
    <row r="3234" spans="1:7" ht="12.75" x14ac:dyDescent="0.2">
      <c r="A3234" s="3">
        <v>83</v>
      </c>
      <c r="B3234" s="4" t="s">
        <v>157</v>
      </c>
      <c r="C3234" s="3" t="s">
        <v>273</v>
      </c>
      <c r="G3234" s="57"/>
    </row>
    <row r="3235" spans="1:7" ht="12.75" x14ac:dyDescent="0.2">
      <c r="A3235" s="3">
        <v>83</v>
      </c>
      <c r="B3235" s="4" t="s">
        <v>157</v>
      </c>
      <c r="C3235" s="3" t="s">
        <v>273</v>
      </c>
      <c r="F3235">
        <f>SUM(E3234:E3239)</f>
        <v>0</v>
      </c>
      <c r="G3235" s="57"/>
    </row>
    <row r="3236" spans="1:7" ht="12.75" x14ac:dyDescent="0.2">
      <c r="A3236" s="3">
        <v>83</v>
      </c>
      <c r="B3236" s="4" t="s">
        <v>157</v>
      </c>
      <c r="C3236" s="3" t="s">
        <v>273</v>
      </c>
      <c r="G3236" s="57"/>
    </row>
    <row r="3237" spans="1:7" ht="12.75" x14ac:dyDescent="0.2">
      <c r="A3237" s="3">
        <v>83</v>
      </c>
      <c r="B3237" s="4" t="s">
        <v>157</v>
      </c>
      <c r="C3237" s="3" t="s">
        <v>273</v>
      </c>
      <c r="G3237" s="57"/>
    </row>
    <row r="3238" spans="1:7" ht="12.75" x14ac:dyDescent="0.2">
      <c r="A3238" s="3">
        <v>83</v>
      </c>
      <c r="B3238" s="4" t="s">
        <v>157</v>
      </c>
      <c r="C3238" s="3" t="s">
        <v>273</v>
      </c>
      <c r="G3238" s="57"/>
    </row>
    <row r="3239" spans="1:7" ht="12.75" x14ac:dyDescent="0.2">
      <c r="A3239" s="3">
        <v>83</v>
      </c>
      <c r="B3239" s="4" t="s">
        <v>157</v>
      </c>
      <c r="C3239" s="3" t="s">
        <v>273</v>
      </c>
      <c r="G3239" s="57"/>
    </row>
    <row r="3240" spans="1:7" ht="12.75" x14ac:dyDescent="0.2">
      <c r="A3240" s="3">
        <v>83</v>
      </c>
      <c r="B3240" s="4" t="s">
        <v>157</v>
      </c>
      <c r="C3240" s="3" t="s">
        <v>125</v>
      </c>
      <c r="G3240" s="57"/>
    </row>
    <row r="3241" spans="1:7" ht="12.75" x14ac:dyDescent="0.2">
      <c r="A3241" s="3">
        <v>83</v>
      </c>
      <c r="B3241" s="4" t="s">
        <v>157</v>
      </c>
      <c r="C3241" s="3" t="s">
        <v>125</v>
      </c>
      <c r="F3241">
        <f>SUM(E3240:E3245)</f>
        <v>0</v>
      </c>
      <c r="G3241" s="57"/>
    </row>
    <row r="3242" spans="1:7" ht="12.75" x14ac:dyDescent="0.2">
      <c r="A3242" s="3">
        <v>83</v>
      </c>
      <c r="B3242" s="4" t="s">
        <v>157</v>
      </c>
      <c r="C3242" s="3" t="s">
        <v>125</v>
      </c>
      <c r="G3242" s="57"/>
    </row>
    <row r="3243" spans="1:7" ht="12.75" x14ac:dyDescent="0.2">
      <c r="A3243" s="3">
        <v>83</v>
      </c>
      <c r="B3243" s="4" t="s">
        <v>157</v>
      </c>
      <c r="C3243" s="3" t="s">
        <v>125</v>
      </c>
      <c r="G3243" s="57"/>
    </row>
    <row r="3244" spans="1:7" ht="12.75" x14ac:dyDescent="0.2">
      <c r="A3244" s="3">
        <v>83</v>
      </c>
      <c r="B3244" s="4" t="s">
        <v>157</v>
      </c>
      <c r="C3244" s="3" t="s">
        <v>125</v>
      </c>
      <c r="G3244" s="57"/>
    </row>
    <row r="3245" spans="1:7" ht="12.75" x14ac:dyDescent="0.2">
      <c r="A3245" s="3">
        <v>83</v>
      </c>
      <c r="B3245" s="4" t="s">
        <v>157</v>
      </c>
      <c r="C3245" s="3" t="s">
        <v>125</v>
      </c>
      <c r="G3245" s="57"/>
    </row>
    <row r="3246" spans="1:7" ht="12.75" x14ac:dyDescent="0.2">
      <c r="A3246" s="3">
        <v>84</v>
      </c>
      <c r="B3246" s="4" t="s">
        <v>158</v>
      </c>
      <c r="C3246" s="3" t="s">
        <v>347</v>
      </c>
      <c r="G3246" s="57"/>
    </row>
    <row r="3247" spans="1:7" ht="12.75" x14ac:dyDescent="0.2">
      <c r="A3247" s="3">
        <v>84</v>
      </c>
      <c r="B3247" s="4" t="s">
        <v>158</v>
      </c>
      <c r="C3247" s="3" t="s">
        <v>347</v>
      </c>
      <c r="G3247" s="57"/>
    </row>
    <row r="3248" spans="1:7" ht="12.75" x14ac:dyDescent="0.2">
      <c r="A3248" s="3">
        <v>84</v>
      </c>
      <c r="B3248" s="4" t="s">
        <v>158</v>
      </c>
      <c r="C3248" s="3" t="s">
        <v>347</v>
      </c>
      <c r="G3248" s="57"/>
    </row>
    <row r="3249" spans="1:7" ht="12.75" x14ac:dyDescent="0.2">
      <c r="A3249" s="3">
        <v>84</v>
      </c>
      <c r="B3249" s="4" t="s">
        <v>158</v>
      </c>
      <c r="C3249" s="3" t="s">
        <v>347</v>
      </c>
      <c r="F3249">
        <f>SUM(E3246:E3253)</f>
        <v>0</v>
      </c>
      <c r="G3249" s="57"/>
    </row>
    <row r="3250" spans="1:7" ht="12.75" x14ac:dyDescent="0.2">
      <c r="A3250" s="3">
        <v>84</v>
      </c>
      <c r="B3250" s="4" t="s">
        <v>158</v>
      </c>
      <c r="C3250" s="3" t="s">
        <v>347</v>
      </c>
      <c r="G3250" s="59">
        <v>3217</v>
      </c>
    </row>
    <row r="3251" spans="1:7" ht="12.75" x14ac:dyDescent="0.2">
      <c r="A3251" s="3">
        <v>84</v>
      </c>
      <c r="B3251" s="4" t="s">
        <v>158</v>
      </c>
      <c r="C3251" s="3" t="s">
        <v>347</v>
      </c>
      <c r="G3251" s="57"/>
    </row>
    <row r="3252" spans="1:7" ht="12.75" x14ac:dyDescent="0.2">
      <c r="A3252" s="3">
        <v>84</v>
      </c>
      <c r="B3252" s="4" t="s">
        <v>158</v>
      </c>
      <c r="C3252" s="3" t="s">
        <v>347</v>
      </c>
      <c r="G3252" s="57"/>
    </row>
    <row r="3253" spans="1:7" ht="12.75" x14ac:dyDescent="0.2">
      <c r="A3253" s="3">
        <v>84</v>
      </c>
      <c r="B3253" s="4" t="s">
        <v>158</v>
      </c>
      <c r="C3253" s="3" t="s">
        <v>347</v>
      </c>
      <c r="G3253" s="57"/>
    </row>
    <row r="3254" spans="1:7" ht="12.75" x14ac:dyDescent="0.2">
      <c r="A3254" s="3">
        <v>84</v>
      </c>
      <c r="B3254" s="4" t="s">
        <v>158</v>
      </c>
      <c r="C3254" s="3" t="s">
        <v>273</v>
      </c>
      <c r="G3254" s="57"/>
    </row>
    <row r="3255" spans="1:7" ht="12.75" x14ac:dyDescent="0.2">
      <c r="A3255" s="3">
        <v>84</v>
      </c>
      <c r="B3255" s="4" t="s">
        <v>158</v>
      </c>
      <c r="C3255" s="3" t="s">
        <v>273</v>
      </c>
      <c r="F3255">
        <f>SUM(E3254:E3259)</f>
        <v>0</v>
      </c>
      <c r="G3255" s="57"/>
    </row>
    <row r="3256" spans="1:7" ht="12.75" x14ac:dyDescent="0.2">
      <c r="A3256" s="3">
        <v>84</v>
      </c>
      <c r="B3256" s="4" t="s">
        <v>158</v>
      </c>
      <c r="C3256" s="3" t="s">
        <v>273</v>
      </c>
      <c r="G3256" s="57"/>
    </row>
    <row r="3257" spans="1:7" ht="12.75" x14ac:dyDescent="0.2">
      <c r="A3257" s="3">
        <v>84</v>
      </c>
      <c r="B3257" s="4" t="s">
        <v>158</v>
      </c>
      <c r="C3257" s="3" t="s">
        <v>273</v>
      </c>
      <c r="G3257" s="57"/>
    </row>
    <row r="3258" spans="1:7" ht="12.75" x14ac:dyDescent="0.2">
      <c r="A3258" s="3">
        <v>84</v>
      </c>
      <c r="B3258" s="4" t="s">
        <v>158</v>
      </c>
      <c r="C3258" s="3" t="s">
        <v>273</v>
      </c>
      <c r="G3258" s="57"/>
    </row>
    <row r="3259" spans="1:7" ht="12.75" x14ac:dyDescent="0.2">
      <c r="A3259" s="3">
        <v>84</v>
      </c>
      <c r="B3259" s="4" t="s">
        <v>158</v>
      </c>
      <c r="C3259" s="3" t="s">
        <v>273</v>
      </c>
      <c r="G3259" s="57"/>
    </row>
    <row r="3260" spans="1:7" ht="12.75" x14ac:dyDescent="0.2">
      <c r="A3260" s="3">
        <v>84</v>
      </c>
      <c r="B3260" s="4" t="s">
        <v>158</v>
      </c>
      <c r="C3260" s="3" t="s">
        <v>125</v>
      </c>
      <c r="G3260" s="57"/>
    </row>
    <row r="3261" spans="1:7" ht="12.75" x14ac:dyDescent="0.2">
      <c r="A3261" s="3">
        <v>84</v>
      </c>
      <c r="B3261" s="4" t="s">
        <v>158</v>
      </c>
      <c r="C3261" s="3" t="s">
        <v>125</v>
      </c>
      <c r="F3261">
        <f>SUM(E3260:E3265)</f>
        <v>0</v>
      </c>
      <c r="G3261" s="57"/>
    </row>
    <row r="3262" spans="1:7" ht="12.75" x14ac:dyDescent="0.2">
      <c r="A3262" s="3">
        <v>84</v>
      </c>
      <c r="B3262" s="4" t="s">
        <v>158</v>
      </c>
      <c r="C3262" s="3" t="s">
        <v>125</v>
      </c>
      <c r="G3262" s="57"/>
    </row>
    <row r="3263" spans="1:7" ht="12.75" x14ac:dyDescent="0.2">
      <c r="A3263" s="3">
        <v>84</v>
      </c>
      <c r="B3263" s="4" t="s">
        <v>158</v>
      </c>
      <c r="C3263" s="3" t="s">
        <v>125</v>
      </c>
      <c r="G3263" s="57"/>
    </row>
    <row r="3264" spans="1:7" ht="12.75" x14ac:dyDescent="0.2">
      <c r="A3264" s="3">
        <v>84</v>
      </c>
      <c r="B3264" s="4" t="s">
        <v>158</v>
      </c>
      <c r="C3264" s="3" t="s">
        <v>125</v>
      </c>
      <c r="G3264" s="57"/>
    </row>
    <row r="3265" spans="1:7" ht="12.75" x14ac:dyDescent="0.2">
      <c r="A3265" s="3">
        <v>84</v>
      </c>
      <c r="B3265" s="4" t="s">
        <v>158</v>
      </c>
      <c r="C3265" s="3" t="s">
        <v>125</v>
      </c>
      <c r="G3265" s="57"/>
    </row>
    <row r="3266" spans="1:7" ht="12.75" x14ac:dyDescent="0.2">
      <c r="A3266" s="3">
        <v>85</v>
      </c>
      <c r="B3266" s="4" t="s">
        <v>159</v>
      </c>
      <c r="C3266" s="3" t="s">
        <v>347</v>
      </c>
      <c r="G3266" s="57"/>
    </row>
    <row r="3267" spans="1:7" ht="12.75" x14ac:dyDescent="0.2">
      <c r="A3267" s="3">
        <v>85</v>
      </c>
      <c r="B3267" s="4" t="s">
        <v>159</v>
      </c>
      <c r="C3267" s="3" t="s">
        <v>347</v>
      </c>
      <c r="G3267" s="57"/>
    </row>
    <row r="3268" spans="1:7" ht="12.75" x14ac:dyDescent="0.2">
      <c r="A3268" s="3">
        <v>85</v>
      </c>
      <c r="B3268" s="4" t="s">
        <v>159</v>
      </c>
      <c r="C3268" s="3" t="s">
        <v>347</v>
      </c>
      <c r="G3268" s="57"/>
    </row>
    <row r="3269" spans="1:7" ht="12.75" x14ac:dyDescent="0.2">
      <c r="A3269" s="3">
        <v>85</v>
      </c>
      <c r="B3269" s="4" t="s">
        <v>159</v>
      </c>
      <c r="C3269" s="3" t="s">
        <v>347</v>
      </c>
      <c r="F3269">
        <f>SUM(E3266:E3273)</f>
        <v>0</v>
      </c>
      <c r="G3269" s="57"/>
    </row>
    <row r="3270" spans="1:7" ht="12.75" x14ac:dyDescent="0.2">
      <c r="A3270" s="3">
        <v>85</v>
      </c>
      <c r="B3270" s="4" t="s">
        <v>159</v>
      </c>
      <c r="C3270" s="3" t="s">
        <v>347</v>
      </c>
      <c r="G3270" s="59">
        <v>685</v>
      </c>
    </row>
    <row r="3271" spans="1:7" ht="12.75" x14ac:dyDescent="0.2">
      <c r="A3271" s="3">
        <v>85</v>
      </c>
      <c r="B3271" s="4" t="s">
        <v>159</v>
      </c>
      <c r="C3271" s="3" t="s">
        <v>347</v>
      </c>
      <c r="G3271" s="57"/>
    </row>
    <row r="3272" spans="1:7" ht="12.75" x14ac:dyDescent="0.2">
      <c r="A3272" s="3">
        <v>85</v>
      </c>
      <c r="B3272" s="4" t="s">
        <v>159</v>
      </c>
      <c r="C3272" s="3" t="s">
        <v>347</v>
      </c>
      <c r="G3272" s="57"/>
    </row>
    <row r="3273" spans="1:7" ht="12.75" x14ac:dyDescent="0.2">
      <c r="A3273" s="3">
        <v>85</v>
      </c>
      <c r="B3273" s="4" t="s">
        <v>159</v>
      </c>
      <c r="C3273" s="3" t="s">
        <v>347</v>
      </c>
      <c r="G3273" s="57"/>
    </row>
    <row r="3274" spans="1:7" ht="12.75" x14ac:dyDescent="0.2">
      <c r="A3274" s="3">
        <v>85</v>
      </c>
      <c r="B3274" s="4" t="s">
        <v>159</v>
      </c>
      <c r="C3274" s="3" t="s">
        <v>273</v>
      </c>
      <c r="G3274" s="57"/>
    </row>
    <row r="3275" spans="1:7" ht="12.75" x14ac:dyDescent="0.2">
      <c r="A3275" s="3">
        <v>85</v>
      </c>
      <c r="B3275" s="4" t="s">
        <v>159</v>
      </c>
      <c r="C3275" s="3" t="s">
        <v>273</v>
      </c>
      <c r="F3275">
        <f>SUM(E3274:E3279)</f>
        <v>0</v>
      </c>
      <c r="G3275" s="57"/>
    </row>
    <row r="3276" spans="1:7" ht="12.75" x14ac:dyDescent="0.2">
      <c r="A3276" s="3">
        <v>85</v>
      </c>
      <c r="B3276" s="4" t="s">
        <v>159</v>
      </c>
      <c r="C3276" s="3" t="s">
        <v>273</v>
      </c>
      <c r="G3276" s="57"/>
    </row>
    <row r="3277" spans="1:7" ht="12.75" x14ac:dyDescent="0.2">
      <c r="A3277" s="3">
        <v>85</v>
      </c>
      <c r="B3277" s="4" t="s">
        <v>159</v>
      </c>
      <c r="C3277" s="3" t="s">
        <v>273</v>
      </c>
      <c r="G3277" s="57"/>
    </row>
    <row r="3278" spans="1:7" ht="12.75" x14ac:dyDescent="0.2">
      <c r="A3278" s="3">
        <v>85</v>
      </c>
      <c r="B3278" s="4" t="s">
        <v>159</v>
      </c>
      <c r="C3278" s="3" t="s">
        <v>273</v>
      </c>
      <c r="G3278" s="57"/>
    </row>
    <row r="3279" spans="1:7" ht="12.75" x14ac:dyDescent="0.2">
      <c r="A3279" s="3">
        <v>85</v>
      </c>
      <c r="B3279" s="4" t="s">
        <v>159</v>
      </c>
      <c r="C3279" s="3" t="s">
        <v>273</v>
      </c>
      <c r="G3279" s="57"/>
    </row>
    <row r="3280" spans="1:7" ht="12.75" x14ac:dyDescent="0.2">
      <c r="A3280" s="3">
        <v>85</v>
      </c>
      <c r="B3280" s="4" t="s">
        <v>159</v>
      </c>
      <c r="C3280" s="3" t="s">
        <v>125</v>
      </c>
      <c r="G3280" s="57"/>
    </row>
    <row r="3281" spans="1:7" ht="12.75" x14ac:dyDescent="0.2">
      <c r="A3281" s="3">
        <v>85</v>
      </c>
      <c r="B3281" s="4" t="s">
        <v>159</v>
      </c>
      <c r="C3281" s="3" t="s">
        <v>125</v>
      </c>
      <c r="F3281">
        <f>SUM(E3280:E3285)</f>
        <v>0</v>
      </c>
      <c r="G3281" s="57"/>
    </row>
    <row r="3282" spans="1:7" ht="12.75" x14ac:dyDescent="0.2">
      <c r="A3282" s="3">
        <v>85</v>
      </c>
      <c r="B3282" s="4" t="s">
        <v>159</v>
      </c>
      <c r="C3282" s="3" t="s">
        <v>125</v>
      </c>
      <c r="G3282" s="57"/>
    </row>
    <row r="3283" spans="1:7" ht="12.75" x14ac:dyDescent="0.2">
      <c r="A3283" s="3">
        <v>85</v>
      </c>
      <c r="B3283" s="4" t="s">
        <v>159</v>
      </c>
      <c r="C3283" s="3" t="s">
        <v>125</v>
      </c>
      <c r="G3283" s="57"/>
    </row>
    <row r="3284" spans="1:7" ht="12.75" x14ac:dyDescent="0.2">
      <c r="A3284" s="3">
        <v>85</v>
      </c>
      <c r="B3284" s="4" t="s">
        <v>159</v>
      </c>
      <c r="C3284" s="3" t="s">
        <v>125</v>
      </c>
      <c r="G3284" s="57"/>
    </row>
    <row r="3285" spans="1:7" ht="12.75" x14ac:dyDescent="0.2">
      <c r="A3285" s="3">
        <v>85</v>
      </c>
      <c r="B3285" s="4" t="s">
        <v>159</v>
      </c>
      <c r="C3285" s="3" t="s">
        <v>125</v>
      </c>
      <c r="G3285" s="57"/>
    </row>
    <row r="3286" spans="1:7" ht="12.75" x14ac:dyDescent="0.2">
      <c r="A3286" s="3">
        <v>87</v>
      </c>
      <c r="B3286" s="4" t="s">
        <v>107</v>
      </c>
      <c r="C3286" s="3" t="s">
        <v>347</v>
      </c>
      <c r="G3286" s="57"/>
    </row>
    <row r="3287" spans="1:7" ht="12.75" x14ac:dyDescent="0.2">
      <c r="A3287" s="3">
        <v>87</v>
      </c>
      <c r="B3287" s="4" t="s">
        <v>107</v>
      </c>
      <c r="C3287" s="3" t="s">
        <v>347</v>
      </c>
      <c r="G3287" s="57"/>
    </row>
    <row r="3288" spans="1:7" ht="12.75" x14ac:dyDescent="0.2">
      <c r="A3288" s="3">
        <v>87</v>
      </c>
      <c r="B3288" s="4" t="s">
        <v>107</v>
      </c>
      <c r="C3288" s="3" t="s">
        <v>347</v>
      </c>
      <c r="G3288" s="57"/>
    </row>
    <row r="3289" spans="1:7" ht="12.75" x14ac:dyDescent="0.2">
      <c r="A3289" s="3">
        <v>87</v>
      </c>
      <c r="B3289" s="4" t="s">
        <v>107</v>
      </c>
      <c r="C3289" s="3" t="s">
        <v>347</v>
      </c>
      <c r="F3289">
        <f>SUM(E3286:E3293)</f>
        <v>0</v>
      </c>
      <c r="G3289" s="57"/>
    </row>
    <row r="3290" spans="1:7" ht="12.75" x14ac:dyDescent="0.2">
      <c r="A3290" s="3">
        <v>87</v>
      </c>
      <c r="B3290" s="4" t="s">
        <v>107</v>
      </c>
      <c r="C3290" s="3" t="s">
        <v>347</v>
      </c>
      <c r="G3290" s="59">
        <v>314</v>
      </c>
    </row>
    <row r="3291" spans="1:7" ht="12.75" x14ac:dyDescent="0.2">
      <c r="A3291" s="3">
        <v>87</v>
      </c>
      <c r="B3291" s="4" t="s">
        <v>107</v>
      </c>
      <c r="C3291" s="3" t="s">
        <v>347</v>
      </c>
      <c r="G3291" s="57"/>
    </row>
    <row r="3292" spans="1:7" ht="12.75" x14ac:dyDescent="0.2">
      <c r="A3292" s="3">
        <v>87</v>
      </c>
      <c r="B3292" s="4" t="s">
        <v>107</v>
      </c>
      <c r="C3292" s="3" t="s">
        <v>347</v>
      </c>
      <c r="G3292" s="57"/>
    </row>
    <row r="3293" spans="1:7" ht="12.75" x14ac:dyDescent="0.2">
      <c r="A3293" s="3">
        <v>87</v>
      </c>
      <c r="B3293" s="4" t="s">
        <v>107</v>
      </c>
      <c r="C3293" s="3" t="s">
        <v>347</v>
      </c>
      <c r="G3293" s="57"/>
    </row>
    <row r="3294" spans="1:7" ht="12.75" x14ac:dyDescent="0.2">
      <c r="A3294" s="3">
        <v>87</v>
      </c>
      <c r="B3294" s="4" t="s">
        <v>107</v>
      </c>
      <c r="C3294" s="3" t="s">
        <v>273</v>
      </c>
      <c r="G3294" s="57"/>
    </row>
    <row r="3295" spans="1:7" ht="12.75" x14ac:dyDescent="0.2">
      <c r="A3295" s="3">
        <v>87</v>
      </c>
      <c r="B3295" s="4" t="s">
        <v>107</v>
      </c>
      <c r="C3295" s="3" t="s">
        <v>273</v>
      </c>
      <c r="F3295">
        <f>SUM(E3294:E3299)</f>
        <v>0</v>
      </c>
      <c r="G3295" s="57"/>
    </row>
    <row r="3296" spans="1:7" ht="12.75" x14ac:dyDescent="0.2">
      <c r="A3296" s="3">
        <v>87</v>
      </c>
      <c r="B3296" s="4" t="s">
        <v>107</v>
      </c>
      <c r="C3296" s="3" t="s">
        <v>273</v>
      </c>
      <c r="G3296" s="57"/>
    </row>
    <row r="3297" spans="1:7" ht="12.75" x14ac:dyDescent="0.2">
      <c r="A3297" s="3">
        <v>87</v>
      </c>
      <c r="B3297" s="4" t="s">
        <v>107</v>
      </c>
      <c r="C3297" s="3" t="s">
        <v>273</v>
      </c>
      <c r="G3297" s="57"/>
    </row>
    <row r="3298" spans="1:7" ht="12.75" x14ac:dyDescent="0.2">
      <c r="A3298" s="3">
        <v>87</v>
      </c>
      <c r="B3298" s="4" t="s">
        <v>107</v>
      </c>
      <c r="C3298" s="3" t="s">
        <v>273</v>
      </c>
      <c r="G3298" s="57"/>
    </row>
    <row r="3299" spans="1:7" ht="12.75" x14ac:dyDescent="0.2">
      <c r="A3299" s="3">
        <v>87</v>
      </c>
      <c r="B3299" s="4" t="s">
        <v>107</v>
      </c>
      <c r="C3299" s="3" t="s">
        <v>273</v>
      </c>
      <c r="G3299" s="57"/>
    </row>
    <row r="3300" spans="1:7" ht="12.75" x14ac:dyDescent="0.2">
      <c r="A3300" s="3">
        <v>87</v>
      </c>
      <c r="B3300" s="4" t="s">
        <v>107</v>
      </c>
      <c r="C3300" s="3" t="s">
        <v>125</v>
      </c>
      <c r="G3300" s="57"/>
    </row>
    <row r="3301" spans="1:7" ht="12.75" x14ac:dyDescent="0.2">
      <c r="A3301" s="3">
        <v>87</v>
      </c>
      <c r="B3301" s="4" t="s">
        <v>107</v>
      </c>
      <c r="C3301" s="3" t="s">
        <v>125</v>
      </c>
      <c r="F3301">
        <f>SUM(E3300:E3305)</f>
        <v>0</v>
      </c>
      <c r="G3301" s="57"/>
    </row>
    <row r="3302" spans="1:7" ht="12.75" x14ac:dyDescent="0.2">
      <c r="A3302" s="3">
        <v>87</v>
      </c>
      <c r="B3302" s="4" t="s">
        <v>107</v>
      </c>
      <c r="C3302" s="3" t="s">
        <v>125</v>
      </c>
      <c r="G3302" s="57"/>
    </row>
    <row r="3303" spans="1:7" ht="12.75" x14ac:dyDescent="0.2">
      <c r="A3303" s="3">
        <v>87</v>
      </c>
      <c r="B3303" s="4" t="s">
        <v>107</v>
      </c>
      <c r="C3303" s="3" t="s">
        <v>125</v>
      </c>
      <c r="G3303" s="57"/>
    </row>
    <row r="3304" spans="1:7" ht="12.75" x14ac:dyDescent="0.2">
      <c r="A3304" s="3">
        <v>87</v>
      </c>
      <c r="B3304" s="4" t="s">
        <v>107</v>
      </c>
      <c r="C3304" s="3" t="s">
        <v>125</v>
      </c>
      <c r="G3304" s="57"/>
    </row>
    <row r="3305" spans="1:7" ht="12.75" x14ac:dyDescent="0.2">
      <c r="A3305" s="3">
        <v>87</v>
      </c>
      <c r="B3305" s="4" t="s">
        <v>107</v>
      </c>
      <c r="C3305" s="3" t="s">
        <v>125</v>
      </c>
      <c r="G3305" s="57"/>
    </row>
    <row r="3306" spans="1:7" ht="12.75" x14ac:dyDescent="0.2">
      <c r="A3306" s="3">
        <v>88</v>
      </c>
      <c r="B3306" s="4" t="s">
        <v>108</v>
      </c>
      <c r="C3306" s="3" t="s">
        <v>347</v>
      </c>
      <c r="G3306" s="57"/>
    </row>
    <row r="3307" spans="1:7" ht="12.75" x14ac:dyDescent="0.2">
      <c r="A3307" s="3">
        <v>88</v>
      </c>
      <c r="B3307" s="4" t="s">
        <v>108</v>
      </c>
      <c r="C3307" s="3" t="s">
        <v>347</v>
      </c>
      <c r="G3307" s="57"/>
    </row>
    <row r="3308" spans="1:7" ht="12.75" x14ac:dyDescent="0.2">
      <c r="A3308" s="3">
        <v>88</v>
      </c>
      <c r="B3308" s="4" t="s">
        <v>108</v>
      </c>
      <c r="C3308" s="3" t="s">
        <v>347</v>
      </c>
      <c r="G3308" s="57"/>
    </row>
    <row r="3309" spans="1:7" ht="12.75" x14ac:dyDescent="0.2">
      <c r="A3309" s="3">
        <v>88</v>
      </c>
      <c r="B3309" s="4" t="s">
        <v>108</v>
      </c>
      <c r="C3309" s="3" t="s">
        <v>347</v>
      </c>
      <c r="F3309">
        <f>SUM(E3306:E3313)</f>
        <v>0</v>
      </c>
      <c r="G3309" s="57"/>
    </row>
    <row r="3310" spans="1:7" ht="12.75" x14ac:dyDescent="0.2">
      <c r="A3310" s="3">
        <v>88</v>
      </c>
      <c r="B3310" s="4" t="s">
        <v>108</v>
      </c>
      <c r="C3310" s="3" t="s">
        <v>347</v>
      </c>
      <c r="G3310" s="59">
        <v>264</v>
      </c>
    </row>
    <row r="3311" spans="1:7" ht="12.75" x14ac:dyDescent="0.2">
      <c r="A3311" s="3">
        <v>88</v>
      </c>
      <c r="B3311" s="4" t="s">
        <v>108</v>
      </c>
      <c r="C3311" s="3" t="s">
        <v>347</v>
      </c>
      <c r="G3311" s="57"/>
    </row>
    <row r="3312" spans="1:7" ht="12.75" x14ac:dyDescent="0.2">
      <c r="A3312" s="3">
        <v>88</v>
      </c>
      <c r="B3312" s="4" t="s">
        <v>108</v>
      </c>
      <c r="C3312" s="3" t="s">
        <v>347</v>
      </c>
      <c r="G3312" s="57"/>
    </row>
    <row r="3313" spans="1:7" ht="12.75" x14ac:dyDescent="0.2">
      <c r="A3313" s="3">
        <v>88</v>
      </c>
      <c r="B3313" s="4" t="s">
        <v>108</v>
      </c>
      <c r="C3313" s="3" t="s">
        <v>347</v>
      </c>
      <c r="G3313" s="57"/>
    </row>
    <row r="3314" spans="1:7" ht="12.75" x14ac:dyDescent="0.2">
      <c r="A3314" s="3">
        <v>88</v>
      </c>
      <c r="B3314" s="4" t="s">
        <v>108</v>
      </c>
      <c r="C3314" s="3" t="s">
        <v>273</v>
      </c>
      <c r="G3314" s="57"/>
    </row>
    <row r="3315" spans="1:7" ht="12.75" x14ac:dyDescent="0.2">
      <c r="A3315" s="3">
        <v>88</v>
      </c>
      <c r="B3315" s="4" t="s">
        <v>108</v>
      </c>
      <c r="C3315" s="3" t="s">
        <v>273</v>
      </c>
      <c r="F3315">
        <f>SUM(E3314:E3319)</f>
        <v>0</v>
      </c>
      <c r="G3315" s="57"/>
    </row>
    <row r="3316" spans="1:7" ht="12.75" x14ac:dyDescent="0.2">
      <c r="A3316" s="3">
        <v>88</v>
      </c>
      <c r="B3316" s="4" t="s">
        <v>108</v>
      </c>
      <c r="C3316" s="3" t="s">
        <v>273</v>
      </c>
      <c r="G3316" s="57"/>
    </row>
    <row r="3317" spans="1:7" ht="12.75" x14ac:dyDescent="0.2">
      <c r="A3317" s="3">
        <v>88</v>
      </c>
      <c r="B3317" s="4" t="s">
        <v>108</v>
      </c>
      <c r="C3317" s="3" t="s">
        <v>273</v>
      </c>
      <c r="G3317" s="57"/>
    </row>
    <row r="3318" spans="1:7" ht="12.75" x14ac:dyDescent="0.2">
      <c r="A3318" s="3">
        <v>88</v>
      </c>
      <c r="B3318" s="4" t="s">
        <v>108</v>
      </c>
      <c r="C3318" s="3" t="s">
        <v>273</v>
      </c>
      <c r="G3318" s="57"/>
    </row>
    <row r="3319" spans="1:7" ht="12.75" x14ac:dyDescent="0.2">
      <c r="A3319" s="3">
        <v>88</v>
      </c>
      <c r="B3319" s="4" t="s">
        <v>108</v>
      </c>
      <c r="C3319" s="3" t="s">
        <v>273</v>
      </c>
      <c r="G3319" s="57"/>
    </row>
    <row r="3320" spans="1:7" ht="12.75" x14ac:dyDescent="0.2">
      <c r="A3320" s="3">
        <v>88</v>
      </c>
      <c r="B3320" s="4" t="s">
        <v>108</v>
      </c>
      <c r="C3320" s="3" t="s">
        <v>125</v>
      </c>
      <c r="G3320" s="57"/>
    </row>
    <row r="3321" spans="1:7" ht="12.75" x14ac:dyDescent="0.2">
      <c r="A3321" s="3">
        <v>88</v>
      </c>
      <c r="B3321" s="4" t="s">
        <v>108</v>
      </c>
      <c r="C3321" s="3" t="s">
        <v>125</v>
      </c>
      <c r="F3321">
        <f>SUM(E3320:E3325)</f>
        <v>0</v>
      </c>
      <c r="G3321" s="57"/>
    </row>
    <row r="3322" spans="1:7" ht="12.75" x14ac:dyDescent="0.2">
      <c r="A3322" s="3">
        <v>88</v>
      </c>
      <c r="B3322" s="4" t="s">
        <v>108</v>
      </c>
      <c r="C3322" s="3" t="s">
        <v>125</v>
      </c>
      <c r="G3322" s="57"/>
    </row>
    <row r="3323" spans="1:7" ht="12.75" x14ac:dyDescent="0.2">
      <c r="A3323" s="3">
        <v>88</v>
      </c>
      <c r="B3323" s="4" t="s">
        <v>108</v>
      </c>
      <c r="C3323" s="3" t="s">
        <v>125</v>
      </c>
      <c r="G3323" s="57"/>
    </row>
    <row r="3324" spans="1:7" ht="12.75" x14ac:dyDescent="0.2">
      <c r="A3324" s="3">
        <v>88</v>
      </c>
      <c r="B3324" s="4" t="s">
        <v>108</v>
      </c>
      <c r="C3324" s="3" t="s">
        <v>125</v>
      </c>
      <c r="G3324" s="57"/>
    </row>
    <row r="3325" spans="1:7" ht="12.75" x14ac:dyDescent="0.2">
      <c r="A3325" s="3">
        <v>88</v>
      </c>
      <c r="B3325" s="4" t="s">
        <v>108</v>
      </c>
      <c r="C3325" s="3" t="s">
        <v>125</v>
      </c>
      <c r="G3325" s="57"/>
    </row>
    <row r="3326" spans="1:7" ht="12.75" x14ac:dyDescent="0.2">
      <c r="A3326" s="3">
        <v>89</v>
      </c>
      <c r="B3326" s="4" t="s">
        <v>109</v>
      </c>
      <c r="C3326" s="3" t="s">
        <v>347</v>
      </c>
      <c r="G3326" s="57"/>
    </row>
    <row r="3327" spans="1:7" ht="12.75" x14ac:dyDescent="0.2">
      <c r="A3327" s="3">
        <v>89</v>
      </c>
      <c r="B3327" s="4" t="s">
        <v>109</v>
      </c>
      <c r="C3327" s="3" t="s">
        <v>347</v>
      </c>
      <c r="G3327" s="57"/>
    </row>
    <row r="3328" spans="1:7" ht="12.75" x14ac:dyDescent="0.2">
      <c r="A3328" s="3">
        <v>89</v>
      </c>
      <c r="B3328" s="4" t="s">
        <v>109</v>
      </c>
      <c r="C3328" s="3" t="s">
        <v>347</v>
      </c>
      <c r="G3328" s="57"/>
    </row>
    <row r="3329" spans="1:7" ht="12.75" x14ac:dyDescent="0.2">
      <c r="A3329" s="3">
        <v>89</v>
      </c>
      <c r="B3329" s="4" t="s">
        <v>109</v>
      </c>
      <c r="C3329" s="3" t="s">
        <v>347</v>
      </c>
      <c r="F3329">
        <f>SUM(E3326:E3333)</f>
        <v>0</v>
      </c>
      <c r="G3329" s="57"/>
    </row>
    <row r="3330" spans="1:7" ht="12.75" x14ac:dyDescent="0.2">
      <c r="A3330" s="3">
        <v>89</v>
      </c>
      <c r="B3330" s="4" t="s">
        <v>109</v>
      </c>
      <c r="C3330" s="3" t="s">
        <v>347</v>
      </c>
      <c r="G3330" s="59">
        <v>446</v>
      </c>
    </row>
    <row r="3331" spans="1:7" ht="12.75" x14ac:dyDescent="0.2">
      <c r="A3331" s="3">
        <v>89</v>
      </c>
      <c r="B3331" s="4" t="s">
        <v>109</v>
      </c>
      <c r="C3331" s="3" t="s">
        <v>347</v>
      </c>
      <c r="G3331" s="57"/>
    </row>
    <row r="3332" spans="1:7" ht="12.75" x14ac:dyDescent="0.2">
      <c r="A3332" s="3">
        <v>89</v>
      </c>
      <c r="B3332" s="4" t="s">
        <v>109</v>
      </c>
      <c r="C3332" s="3" t="s">
        <v>347</v>
      </c>
      <c r="G3332" s="57"/>
    </row>
    <row r="3333" spans="1:7" ht="12.75" x14ac:dyDescent="0.2">
      <c r="A3333" s="3">
        <v>89</v>
      </c>
      <c r="B3333" s="4" t="s">
        <v>109</v>
      </c>
      <c r="C3333" s="3" t="s">
        <v>347</v>
      </c>
      <c r="G3333" s="57"/>
    </row>
    <row r="3334" spans="1:7" ht="12.75" x14ac:dyDescent="0.2">
      <c r="A3334" s="3">
        <v>89</v>
      </c>
      <c r="B3334" s="4" t="s">
        <v>109</v>
      </c>
      <c r="C3334" s="3" t="s">
        <v>273</v>
      </c>
      <c r="G3334" s="57"/>
    </row>
    <row r="3335" spans="1:7" ht="12.75" x14ac:dyDescent="0.2">
      <c r="A3335" s="3">
        <v>89</v>
      </c>
      <c r="B3335" s="4" t="s">
        <v>109</v>
      </c>
      <c r="C3335" s="3" t="s">
        <v>273</v>
      </c>
      <c r="F3335">
        <f>SUM(E3334:E3339)</f>
        <v>0</v>
      </c>
      <c r="G3335" s="57"/>
    </row>
    <row r="3336" spans="1:7" ht="12.75" x14ac:dyDescent="0.2">
      <c r="A3336" s="3">
        <v>89</v>
      </c>
      <c r="B3336" s="4" t="s">
        <v>109</v>
      </c>
      <c r="C3336" s="3" t="s">
        <v>273</v>
      </c>
      <c r="G3336" s="57"/>
    </row>
    <row r="3337" spans="1:7" ht="12.75" x14ac:dyDescent="0.2">
      <c r="A3337" s="3">
        <v>89</v>
      </c>
      <c r="B3337" s="4" t="s">
        <v>109</v>
      </c>
      <c r="C3337" s="3" t="s">
        <v>273</v>
      </c>
      <c r="G3337" s="57"/>
    </row>
    <row r="3338" spans="1:7" ht="12.75" x14ac:dyDescent="0.2">
      <c r="A3338" s="3">
        <v>89</v>
      </c>
      <c r="B3338" s="4" t="s">
        <v>109</v>
      </c>
      <c r="C3338" s="3" t="s">
        <v>273</v>
      </c>
      <c r="G3338" s="57"/>
    </row>
    <row r="3339" spans="1:7" ht="12.75" x14ac:dyDescent="0.2">
      <c r="A3339" s="3">
        <v>89</v>
      </c>
      <c r="B3339" s="4" t="s">
        <v>109</v>
      </c>
      <c r="C3339" s="3" t="s">
        <v>273</v>
      </c>
      <c r="G3339" s="57"/>
    </row>
    <row r="3340" spans="1:7" ht="12.75" x14ac:dyDescent="0.2">
      <c r="A3340" s="3">
        <v>89</v>
      </c>
      <c r="B3340" s="4" t="s">
        <v>109</v>
      </c>
      <c r="C3340" s="3" t="s">
        <v>125</v>
      </c>
      <c r="G3340" s="57"/>
    </row>
    <row r="3341" spans="1:7" ht="12.75" x14ac:dyDescent="0.2">
      <c r="A3341" s="3">
        <v>89</v>
      </c>
      <c r="B3341" s="4" t="s">
        <v>109</v>
      </c>
      <c r="C3341" s="3" t="s">
        <v>125</v>
      </c>
      <c r="F3341">
        <f>SUM(E3340:E3345)</f>
        <v>0</v>
      </c>
      <c r="G3341" s="57"/>
    </row>
    <row r="3342" spans="1:7" ht="12.75" x14ac:dyDescent="0.2">
      <c r="A3342" s="3">
        <v>89</v>
      </c>
      <c r="B3342" s="4" t="s">
        <v>109</v>
      </c>
      <c r="C3342" s="3" t="s">
        <v>125</v>
      </c>
      <c r="G3342" s="57"/>
    </row>
    <row r="3343" spans="1:7" ht="12.75" x14ac:dyDescent="0.2">
      <c r="A3343" s="3">
        <v>89</v>
      </c>
      <c r="B3343" s="4" t="s">
        <v>109</v>
      </c>
      <c r="C3343" s="3" t="s">
        <v>125</v>
      </c>
      <c r="G3343" s="57"/>
    </row>
    <row r="3344" spans="1:7" ht="12.75" x14ac:dyDescent="0.2">
      <c r="A3344" s="3">
        <v>89</v>
      </c>
      <c r="B3344" s="4" t="s">
        <v>109</v>
      </c>
      <c r="C3344" s="3" t="s">
        <v>125</v>
      </c>
      <c r="G3344" s="57"/>
    </row>
    <row r="3345" spans="1:7" ht="12.75" x14ac:dyDescent="0.2">
      <c r="A3345" s="3">
        <v>89</v>
      </c>
      <c r="B3345" s="4" t="s">
        <v>109</v>
      </c>
      <c r="C3345" s="3" t="s">
        <v>125</v>
      </c>
      <c r="G3345" s="57"/>
    </row>
    <row r="3346" spans="1:7" ht="12.75" x14ac:dyDescent="0.2">
      <c r="A3346" s="3">
        <v>90</v>
      </c>
      <c r="B3346" s="4" t="s">
        <v>110</v>
      </c>
      <c r="C3346" s="3" t="s">
        <v>347</v>
      </c>
      <c r="G3346" s="57"/>
    </row>
    <row r="3347" spans="1:7" ht="12.75" x14ac:dyDescent="0.2">
      <c r="A3347" s="3">
        <v>90</v>
      </c>
      <c r="B3347" s="4" t="s">
        <v>110</v>
      </c>
      <c r="C3347" s="3" t="s">
        <v>347</v>
      </c>
      <c r="G3347" s="57"/>
    </row>
    <row r="3348" spans="1:7" ht="12.75" x14ac:dyDescent="0.2">
      <c r="A3348" s="3">
        <v>90</v>
      </c>
      <c r="B3348" s="4" t="s">
        <v>110</v>
      </c>
      <c r="C3348" s="3" t="s">
        <v>347</v>
      </c>
      <c r="G3348" s="57"/>
    </row>
    <row r="3349" spans="1:7" ht="12.75" x14ac:dyDescent="0.2">
      <c r="A3349" s="3">
        <v>90</v>
      </c>
      <c r="B3349" s="4" t="s">
        <v>110</v>
      </c>
      <c r="C3349" s="3" t="s">
        <v>347</v>
      </c>
      <c r="F3349">
        <f>SUM(E3346:E3353)</f>
        <v>0</v>
      </c>
      <c r="G3349" s="57"/>
    </row>
    <row r="3350" spans="1:7" ht="12.75" x14ac:dyDescent="0.2">
      <c r="A3350" s="3">
        <v>90</v>
      </c>
      <c r="B3350" s="4" t="s">
        <v>110</v>
      </c>
      <c r="C3350" s="3" t="s">
        <v>347</v>
      </c>
      <c r="G3350" s="59">
        <v>127</v>
      </c>
    </row>
    <row r="3351" spans="1:7" ht="12.75" x14ac:dyDescent="0.2">
      <c r="A3351" s="3">
        <v>90</v>
      </c>
      <c r="B3351" s="4" t="s">
        <v>110</v>
      </c>
      <c r="C3351" s="3" t="s">
        <v>347</v>
      </c>
      <c r="G3351" s="57"/>
    </row>
    <row r="3352" spans="1:7" ht="12.75" x14ac:dyDescent="0.2">
      <c r="A3352" s="3">
        <v>90</v>
      </c>
      <c r="B3352" s="4" t="s">
        <v>110</v>
      </c>
      <c r="C3352" s="3" t="s">
        <v>347</v>
      </c>
      <c r="G3352" s="57"/>
    </row>
    <row r="3353" spans="1:7" ht="12.75" x14ac:dyDescent="0.2">
      <c r="A3353" s="3">
        <v>90</v>
      </c>
      <c r="B3353" s="4" t="s">
        <v>110</v>
      </c>
      <c r="C3353" s="3" t="s">
        <v>347</v>
      </c>
      <c r="G3353" s="57"/>
    </row>
    <row r="3354" spans="1:7" ht="12.75" x14ac:dyDescent="0.2">
      <c r="A3354" s="3">
        <v>90</v>
      </c>
      <c r="B3354" s="4" t="s">
        <v>110</v>
      </c>
      <c r="C3354" s="3" t="s">
        <v>273</v>
      </c>
      <c r="G3354" s="57"/>
    </row>
    <row r="3355" spans="1:7" ht="12.75" x14ac:dyDescent="0.2">
      <c r="A3355" s="3">
        <v>90</v>
      </c>
      <c r="B3355" s="4" t="s">
        <v>110</v>
      </c>
      <c r="C3355" s="3" t="s">
        <v>273</v>
      </c>
      <c r="F3355">
        <f>SUM(E3354:E3359)</f>
        <v>0</v>
      </c>
      <c r="G3355" s="57"/>
    </row>
    <row r="3356" spans="1:7" ht="12.75" x14ac:dyDescent="0.2">
      <c r="A3356" s="3">
        <v>90</v>
      </c>
      <c r="B3356" s="4" t="s">
        <v>110</v>
      </c>
      <c r="C3356" s="3" t="s">
        <v>273</v>
      </c>
      <c r="G3356" s="57"/>
    </row>
    <row r="3357" spans="1:7" ht="12.75" x14ac:dyDescent="0.2">
      <c r="A3357" s="3">
        <v>90</v>
      </c>
      <c r="B3357" s="4" t="s">
        <v>110</v>
      </c>
      <c r="C3357" s="3" t="s">
        <v>273</v>
      </c>
      <c r="G3357" s="57"/>
    </row>
    <row r="3358" spans="1:7" ht="12.75" x14ac:dyDescent="0.2">
      <c r="A3358" s="3">
        <v>90</v>
      </c>
      <c r="B3358" s="4" t="s">
        <v>110</v>
      </c>
      <c r="C3358" s="3" t="s">
        <v>273</v>
      </c>
      <c r="G3358" s="57"/>
    </row>
    <row r="3359" spans="1:7" ht="12.75" x14ac:dyDescent="0.2">
      <c r="A3359" s="3">
        <v>90</v>
      </c>
      <c r="B3359" s="4" t="s">
        <v>110</v>
      </c>
      <c r="C3359" s="3" t="s">
        <v>273</v>
      </c>
      <c r="G3359" s="57"/>
    </row>
    <row r="3360" spans="1:7" ht="12.75" x14ac:dyDescent="0.2">
      <c r="A3360" s="3">
        <v>90</v>
      </c>
      <c r="B3360" s="4" t="s">
        <v>110</v>
      </c>
      <c r="C3360" s="3" t="s">
        <v>125</v>
      </c>
      <c r="G3360" s="57"/>
    </row>
    <row r="3361" spans="1:7" ht="12.75" x14ac:dyDescent="0.2">
      <c r="A3361" s="3">
        <v>90</v>
      </c>
      <c r="B3361" s="4" t="s">
        <v>110</v>
      </c>
      <c r="C3361" s="3" t="s">
        <v>125</v>
      </c>
      <c r="F3361">
        <f>SUM(E3360:E3365)</f>
        <v>0</v>
      </c>
      <c r="G3361" s="57"/>
    </row>
    <row r="3362" spans="1:7" ht="12.75" x14ac:dyDescent="0.2">
      <c r="A3362" s="3">
        <v>90</v>
      </c>
      <c r="B3362" s="4" t="s">
        <v>110</v>
      </c>
      <c r="C3362" s="3" t="s">
        <v>125</v>
      </c>
      <c r="G3362" s="57"/>
    </row>
    <row r="3363" spans="1:7" ht="12.75" x14ac:dyDescent="0.2">
      <c r="A3363" s="3">
        <v>90</v>
      </c>
      <c r="B3363" s="4" t="s">
        <v>110</v>
      </c>
      <c r="C3363" s="3" t="s">
        <v>125</v>
      </c>
      <c r="G3363" s="57"/>
    </row>
    <row r="3364" spans="1:7" ht="12.75" x14ac:dyDescent="0.2">
      <c r="A3364" s="3">
        <v>90</v>
      </c>
      <c r="B3364" s="4" t="s">
        <v>110</v>
      </c>
      <c r="C3364" s="3" t="s">
        <v>125</v>
      </c>
      <c r="G3364" s="57"/>
    </row>
    <row r="3365" spans="1:7" ht="12.75" x14ac:dyDescent="0.2">
      <c r="A3365" s="3">
        <v>90</v>
      </c>
      <c r="B3365" s="4" t="s">
        <v>110</v>
      </c>
      <c r="C3365" s="3" t="s">
        <v>125</v>
      </c>
      <c r="G3365" s="57"/>
    </row>
    <row r="3366" spans="1:7" ht="12.75" x14ac:dyDescent="0.2">
      <c r="A3366" s="3">
        <v>91</v>
      </c>
      <c r="B3366" s="4" t="s">
        <v>111</v>
      </c>
      <c r="C3366" s="3" t="s">
        <v>347</v>
      </c>
      <c r="G3366" s="57"/>
    </row>
    <row r="3367" spans="1:7" ht="12.75" x14ac:dyDescent="0.2">
      <c r="A3367" s="3">
        <v>91</v>
      </c>
      <c r="B3367" s="4" t="s">
        <v>111</v>
      </c>
      <c r="C3367" s="3" t="s">
        <v>347</v>
      </c>
      <c r="G3367" s="57"/>
    </row>
    <row r="3368" spans="1:7" ht="12.75" x14ac:dyDescent="0.2">
      <c r="A3368" s="3">
        <v>91</v>
      </c>
      <c r="B3368" s="4" t="s">
        <v>111</v>
      </c>
      <c r="C3368" s="3" t="s">
        <v>347</v>
      </c>
      <c r="G3368" s="57"/>
    </row>
    <row r="3369" spans="1:7" ht="12.75" x14ac:dyDescent="0.2">
      <c r="A3369" s="3">
        <v>91</v>
      </c>
      <c r="B3369" s="4" t="s">
        <v>111</v>
      </c>
      <c r="C3369" s="3" t="s">
        <v>347</v>
      </c>
      <c r="F3369">
        <f>SUM(E3366:E3373)</f>
        <v>0</v>
      </c>
      <c r="G3369" s="57"/>
    </row>
    <row r="3370" spans="1:7" ht="12.75" x14ac:dyDescent="0.2">
      <c r="A3370" s="3">
        <v>91</v>
      </c>
      <c r="B3370" s="4" t="s">
        <v>111</v>
      </c>
      <c r="C3370" s="3" t="s">
        <v>347</v>
      </c>
      <c r="G3370" s="59" t="s">
        <v>334</v>
      </c>
    </row>
    <row r="3371" spans="1:7" ht="12.75" x14ac:dyDescent="0.2">
      <c r="A3371" s="3">
        <v>91</v>
      </c>
      <c r="B3371" s="4" t="s">
        <v>111</v>
      </c>
      <c r="C3371" s="3" t="s">
        <v>347</v>
      </c>
      <c r="G3371" s="57"/>
    </row>
    <row r="3372" spans="1:7" ht="12.75" x14ac:dyDescent="0.2">
      <c r="A3372" s="3">
        <v>91</v>
      </c>
      <c r="B3372" s="4" t="s">
        <v>111</v>
      </c>
      <c r="C3372" s="3" t="s">
        <v>347</v>
      </c>
      <c r="G3372" s="57"/>
    </row>
    <row r="3373" spans="1:7" ht="12.75" x14ac:dyDescent="0.2">
      <c r="A3373" s="3">
        <v>91</v>
      </c>
      <c r="B3373" s="4" t="s">
        <v>111</v>
      </c>
      <c r="C3373" s="3" t="s">
        <v>347</v>
      </c>
      <c r="G3373" s="57"/>
    </row>
    <row r="3374" spans="1:7" ht="12.75" x14ac:dyDescent="0.2">
      <c r="A3374" s="3">
        <v>91</v>
      </c>
      <c r="B3374" s="4" t="s">
        <v>111</v>
      </c>
      <c r="C3374" s="3" t="s">
        <v>273</v>
      </c>
      <c r="G3374" s="57"/>
    </row>
    <row r="3375" spans="1:7" ht="12.75" x14ac:dyDescent="0.2">
      <c r="A3375" s="3">
        <v>91</v>
      </c>
      <c r="B3375" s="4" t="s">
        <v>111</v>
      </c>
      <c r="C3375" s="3" t="s">
        <v>273</v>
      </c>
      <c r="F3375">
        <f>SUM(E3374:E3379)</f>
        <v>0</v>
      </c>
      <c r="G3375" s="57"/>
    </row>
    <row r="3376" spans="1:7" ht="12.75" x14ac:dyDescent="0.2">
      <c r="A3376" s="3">
        <v>91</v>
      </c>
      <c r="B3376" s="4" t="s">
        <v>111</v>
      </c>
      <c r="C3376" s="3" t="s">
        <v>273</v>
      </c>
      <c r="G3376" s="57"/>
    </row>
    <row r="3377" spans="1:7" ht="12.75" x14ac:dyDescent="0.2">
      <c r="A3377" s="3">
        <v>91</v>
      </c>
      <c r="B3377" s="4" t="s">
        <v>111</v>
      </c>
      <c r="C3377" s="3" t="s">
        <v>273</v>
      </c>
      <c r="G3377" s="57"/>
    </row>
    <row r="3378" spans="1:7" ht="12.75" x14ac:dyDescent="0.2">
      <c r="A3378" s="3">
        <v>91</v>
      </c>
      <c r="B3378" s="4" t="s">
        <v>111</v>
      </c>
      <c r="C3378" s="3" t="s">
        <v>273</v>
      </c>
      <c r="G3378" s="57"/>
    </row>
    <row r="3379" spans="1:7" ht="12.75" x14ac:dyDescent="0.2">
      <c r="A3379" s="3">
        <v>91</v>
      </c>
      <c r="B3379" s="4" t="s">
        <v>111</v>
      </c>
      <c r="C3379" s="3" t="s">
        <v>273</v>
      </c>
      <c r="G3379" s="57"/>
    </row>
    <row r="3380" spans="1:7" ht="12.75" x14ac:dyDescent="0.2">
      <c r="A3380" s="3">
        <v>91</v>
      </c>
      <c r="B3380" s="4" t="s">
        <v>111</v>
      </c>
      <c r="C3380" s="3" t="s">
        <v>125</v>
      </c>
      <c r="G3380" s="57"/>
    </row>
    <row r="3381" spans="1:7" ht="12.75" x14ac:dyDescent="0.2">
      <c r="A3381" s="3">
        <v>91</v>
      </c>
      <c r="B3381" s="4" t="s">
        <v>111</v>
      </c>
      <c r="C3381" s="3" t="s">
        <v>125</v>
      </c>
      <c r="F3381">
        <f>SUM(E3380:E3385)</f>
        <v>0</v>
      </c>
      <c r="G3381" s="57"/>
    </row>
    <row r="3382" spans="1:7" ht="12.75" x14ac:dyDescent="0.2">
      <c r="A3382" s="3">
        <v>91</v>
      </c>
      <c r="B3382" s="4" t="s">
        <v>111</v>
      </c>
      <c r="C3382" s="3" t="s">
        <v>125</v>
      </c>
      <c r="G3382" s="57"/>
    </row>
    <row r="3383" spans="1:7" ht="12.75" x14ac:dyDescent="0.2">
      <c r="A3383" s="3">
        <v>91</v>
      </c>
      <c r="B3383" s="4" t="s">
        <v>111</v>
      </c>
      <c r="C3383" s="3" t="s">
        <v>125</v>
      </c>
      <c r="G3383" s="57"/>
    </row>
    <row r="3384" spans="1:7" ht="12.75" x14ac:dyDescent="0.2">
      <c r="A3384" s="3">
        <v>91</v>
      </c>
      <c r="B3384" s="4" t="s">
        <v>111</v>
      </c>
      <c r="C3384" s="3" t="s">
        <v>125</v>
      </c>
      <c r="G3384" s="57"/>
    </row>
    <row r="3385" spans="1:7" ht="12.75" x14ac:dyDescent="0.2">
      <c r="A3385" s="3">
        <v>91</v>
      </c>
      <c r="B3385" s="4" t="s">
        <v>111</v>
      </c>
      <c r="C3385" s="3" t="s">
        <v>125</v>
      </c>
      <c r="G3385" s="57"/>
    </row>
    <row r="3386" spans="1:7" ht="12.75" x14ac:dyDescent="0.2">
      <c r="A3386" s="3">
        <v>92</v>
      </c>
      <c r="B3386" s="4" t="s">
        <v>112</v>
      </c>
      <c r="C3386" s="3" t="s">
        <v>347</v>
      </c>
      <c r="G3386" s="57"/>
    </row>
    <row r="3387" spans="1:7" ht="12.75" x14ac:dyDescent="0.2">
      <c r="A3387" s="3">
        <v>92</v>
      </c>
      <c r="B3387" s="4" t="s">
        <v>112</v>
      </c>
      <c r="C3387" s="3" t="s">
        <v>347</v>
      </c>
      <c r="G3387" s="57"/>
    </row>
    <row r="3388" spans="1:7" ht="12.75" x14ac:dyDescent="0.2">
      <c r="A3388" s="3">
        <v>92</v>
      </c>
      <c r="B3388" s="4" t="s">
        <v>112</v>
      </c>
      <c r="C3388" s="3" t="s">
        <v>347</v>
      </c>
      <c r="G3388" s="57"/>
    </row>
    <row r="3389" spans="1:7" ht="12.75" x14ac:dyDescent="0.2">
      <c r="A3389" s="3">
        <v>92</v>
      </c>
      <c r="B3389" s="4" t="s">
        <v>112</v>
      </c>
      <c r="C3389" s="3" t="s">
        <v>347</v>
      </c>
      <c r="F3389">
        <f>SUM(E3386:E3393)</f>
        <v>0</v>
      </c>
      <c r="G3389" s="57"/>
    </row>
    <row r="3390" spans="1:7" ht="12.75" x14ac:dyDescent="0.2">
      <c r="A3390" s="3">
        <v>92</v>
      </c>
      <c r="B3390" s="4" t="s">
        <v>112</v>
      </c>
      <c r="C3390" s="3" t="s">
        <v>347</v>
      </c>
      <c r="G3390" s="59">
        <v>111</v>
      </c>
    </row>
    <row r="3391" spans="1:7" ht="12.75" x14ac:dyDescent="0.2">
      <c r="A3391" s="3">
        <v>92</v>
      </c>
      <c r="B3391" s="4" t="s">
        <v>112</v>
      </c>
      <c r="C3391" s="3" t="s">
        <v>347</v>
      </c>
      <c r="G3391" s="57"/>
    </row>
    <row r="3392" spans="1:7" ht="12.75" x14ac:dyDescent="0.2">
      <c r="A3392" s="3">
        <v>92</v>
      </c>
      <c r="B3392" s="4" t="s">
        <v>112</v>
      </c>
      <c r="C3392" s="3" t="s">
        <v>347</v>
      </c>
      <c r="G3392" s="57"/>
    </row>
    <row r="3393" spans="1:7" ht="12.75" x14ac:dyDescent="0.2">
      <c r="A3393" s="3">
        <v>92</v>
      </c>
      <c r="B3393" s="4" t="s">
        <v>112</v>
      </c>
      <c r="C3393" s="3" t="s">
        <v>347</v>
      </c>
      <c r="G3393" s="57"/>
    </row>
    <row r="3394" spans="1:7" ht="12.75" x14ac:dyDescent="0.2">
      <c r="A3394" s="3">
        <v>92</v>
      </c>
      <c r="B3394" s="4" t="s">
        <v>112</v>
      </c>
      <c r="C3394" s="3" t="s">
        <v>273</v>
      </c>
      <c r="G3394" s="57"/>
    </row>
    <row r="3395" spans="1:7" ht="12.75" x14ac:dyDescent="0.2">
      <c r="A3395" s="3">
        <v>92</v>
      </c>
      <c r="B3395" s="4" t="s">
        <v>112</v>
      </c>
      <c r="C3395" s="3" t="s">
        <v>273</v>
      </c>
      <c r="F3395">
        <f>SUM(E3394:E3399)</f>
        <v>0</v>
      </c>
      <c r="G3395" s="57"/>
    </row>
    <row r="3396" spans="1:7" ht="12.75" x14ac:dyDescent="0.2">
      <c r="A3396" s="3">
        <v>92</v>
      </c>
      <c r="B3396" s="4" t="s">
        <v>112</v>
      </c>
      <c r="C3396" s="3" t="s">
        <v>273</v>
      </c>
      <c r="G3396" s="57"/>
    </row>
    <row r="3397" spans="1:7" ht="12.75" x14ac:dyDescent="0.2">
      <c r="A3397" s="3">
        <v>92</v>
      </c>
      <c r="B3397" s="4" t="s">
        <v>112</v>
      </c>
      <c r="C3397" s="3" t="s">
        <v>273</v>
      </c>
      <c r="G3397" s="57"/>
    </row>
    <row r="3398" spans="1:7" ht="12.75" x14ac:dyDescent="0.2">
      <c r="A3398" s="3">
        <v>92</v>
      </c>
      <c r="B3398" s="4" t="s">
        <v>112</v>
      </c>
      <c r="C3398" s="3" t="s">
        <v>273</v>
      </c>
      <c r="G3398" s="57"/>
    </row>
    <row r="3399" spans="1:7" ht="12.75" x14ac:dyDescent="0.2">
      <c r="A3399" s="3">
        <v>92</v>
      </c>
      <c r="B3399" s="4" t="s">
        <v>112</v>
      </c>
      <c r="C3399" s="3" t="s">
        <v>273</v>
      </c>
      <c r="G3399" s="57"/>
    </row>
    <row r="3400" spans="1:7" ht="12.75" x14ac:dyDescent="0.2">
      <c r="A3400" s="3">
        <v>92</v>
      </c>
      <c r="B3400" s="4" t="s">
        <v>112</v>
      </c>
      <c r="C3400" s="3" t="s">
        <v>125</v>
      </c>
      <c r="G3400" s="57"/>
    </row>
    <row r="3401" spans="1:7" ht="12.75" x14ac:dyDescent="0.2">
      <c r="A3401" s="3">
        <v>92</v>
      </c>
      <c r="B3401" s="4" t="s">
        <v>112</v>
      </c>
      <c r="C3401" s="3" t="s">
        <v>125</v>
      </c>
      <c r="F3401">
        <f>SUM(E3400:E3405)</f>
        <v>0</v>
      </c>
      <c r="G3401" s="57"/>
    </row>
    <row r="3402" spans="1:7" ht="12.75" x14ac:dyDescent="0.2">
      <c r="A3402" s="3">
        <v>92</v>
      </c>
      <c r="B3402" s="4" t="s">
        <v>112</v>
      </c>
      <c r="C3402" s="3" t="s">
        <v>125</v>
      </c>
      <c r="G3402" s="57"/>
    </row>
    <row r="3403" spans="1:7" ht="12.75" x14ac:dyDescent="0.2">
      <c r="A3403" s="3">
        <v>92</v>
      </c>
      <c r="B3403" s="4" t="s">
        <v>112</v>
      </c>
      <c r="C3403" s="3" t="s">
        <v>125</v>
      </c>
      <c r="G3403" s="57"/>
    </row>
    <row r="3404" spans="1:7" ht="12.75" x14ac:dyDescent="0.2">
      <c r="A3404" s="3">
        <v>92</v>
      </c>
      <c r="B3404" s="4" t="s">
        <v>112</v>
      </c>
      <c r="C3404" s="3" t="s">
        <v>125</v>
      </c>
      <c r="G3404" s="57"/>
    </row>
    <row r="3405" spans="1:7" ht="12.75" x14ac:dyDescent="0.2">
      <c r="A3405" s="3">
        <v>92</v>
      </c>
      <c r="B3405" s="4" t="s">
        <v>112</v>
      </c>
      <c r="C3405" s="3" t="s">
        <v>125</v>
      </c>
      <c r="G3405" s="57"/>
    </row>
    <row r="3406" spans="1:7" ht="12.75" x14ac:dyDescent="0.2">
      <c r="A3406" s="3">
        <v>94</v>
      </c>
      <c r="B3406" s="4" t="s">
        <v>114</v>
      </c>
      <c r="C3406" s="3" t="s">
        <v>347</v>
      </c>
      <c r="G3406" s="57"/>
    </row>
    <row r="3407" spans="1:7" ht="12.75" x14ac:dyDescent="0.2">
      <c r="A3407" s="3">
        <v>94</v>
      </c>
      <c r="B3407" s="4" t="s">
        <v>114</v>
      </c>
      <c r="C3407" s="3" t="s">
        <v>347</v>
      </c>
      <c r="G3407" s="57"/>
    </row>
    <row r="3408" spans="1:7" ht="12.75" x14ac:dyDescent="0.2">
      <c r="A3408" s="3">
        <v>94</v>
      </c>
      <c r="B3408" s="4" t="s">
        <v>114</v>
      </c>
      <c r="C3408" s="3" t="s">
        <v>347</v>
      </c>
      <c r="G3408" s="57"/>
    </row>
    <row r="3409" spans="1:7" ht="12.75" x14ac:dyDescent="0.2">
      <c r="A3409" s="3">
        <v>94</v>
      </c>
      <c r="B3409" s="4" t="s">
        <v>114</v>
      </c>
      <c r="C3409" s="3" t="s">
        <v>347</v>
      </c>
      <c r="F3409">
        <f>SUM(E3406:E3413)</f>
        <v>0</v>
      </c>
      <c r="G3409" s="57"/>
    </row>
    <row r="3410" spans="1:7" ht="12.75" x14ac:dyDescent="0.2">
      <c r="A3410" s="3">
        <v>94</v>
      </c>
      <c r="B3410" s="4" t="s">
        <v>114</v>
      </c>
      <c r="C3410" s="3" t="s">
        <v>347</v>
      </c>
      <c r="G3410" s="59">
        <v>319</v>
      </c>
    </row>
    <row r="3411" spans="1:7" ht="12.75" x14ac:dyDescent="0.2">
      <c r="A3411" s="3">
        <v>94</v>
      </c>
      <c r="B3411" s="4" t="s">
        <v>114</v>
      </c>
      <c r="C3411" s="3" t="s">
        <v>347</v>
      </c>
      <c r="G3411" s="57"/>
    </row>
    <row r="3412" spans="1:7" ht="12.75" x14ac:dyDescent="0.2">
      <c r="A3412" s="3">
        <v>94</v>
      </c>
      <c r="B3412" s="4" t="s">
        <v>114</v>
      </c>
      <c r="C3412" s="3" t="s">
        <v>347</v>
      </c>
      <c r="G3412" s="57"/>
    </row>
    <row r="3413" spans="1:7" ht="12.75" x14ac:dyDescent="0.2">
      <c r="A3413" s="3">
        <v>94</v>
      </c>
      <c r="B3413" s="4" t="s">
        <v>114</v>
      </c>
      <c r="C3413" s="3" t="s">
        <v>347</v>
      </c>
      <c r="G3413" s="57"/>
    </row>
    <row r="3414" spans="1:7" ht="12.75" x14ac:dyDescent="0.2">
      <c r="A3414" s="3">
        <v>94</v>
      </c>
      <c r="B3414" s="4" t="s">
        <v>114</v>
      </c>
      <c r="C3414" s="3" t="s">
        <v>273</v>
      </c>
      <c r="G3414" s="57"/>
    </row>
    <row r="3415" spans="1:7" ht="12.75" x14ac:dyDescent="0.2">
      <c r="A3415" s="3">
        <v>94</v>
      </c>
      <c r="B3415" s="4" t="s">
        <v>114</v>
      </c>
      <c r="C3415" s="3" t="s">
        <v>273</v>
      </c>
      <c r="F3415">
        <f>SUM(E3414:E3419)</f>
        <v>0</v>
      </c>
      <c r="G3415" s="57"/>
    </row>
    <row r="3416" spans="1:7" ht="12.75" x14ac:dyDescent="0.2">
      <c r="A3416" s="3">
        <v>94</v>
      </c>
      <c r="B3416" s="4" t="s">
        <v>114</v>
      </c>
      <c r="C3416" s="3" t="s">
        <v>273</v>
      </c>
      <c r="G3416" s="57"/>
    </row>
    <row r="3417" spans="1:7" ht="12.75" x14ac:dyDescent="0.2">
      <c r="A3417" s="3">
        <v>94</v>
      </c>
      <c r="B3417" s="4" t="s">
        <v>114</v>
      </c>
      <c r="C3417" s="3" t="s">
        <v>273</v>
      </c>
      <c r="G3417" s="57"/>
    </row>
    <row r="3418" spans="1:7" ht="12.75" x14ac:dyDescent="0.2">
      <c r="A3418" s="3">
        <v>94</v>
      </c>
      <c r="B3418" s="4" t="s">
        <v>114</v>
      </c>
      <c r="C3418" s="3" t="s">
        <v>273</v>
      </c>
      <c r="G3418" s="57"/>
    </row>
    <row r="3419" spans="1:7" ht="12.75" x14ac:dyDescent="0.2">
      <c r="A3419" s="3">
        <v>94</v>
      </c>
      <c r="B3419" s="4" t="s">
        <v>114</v>
      </c>
      <c r="C3419" s="3" t="s">
        <v>273</v>
      </c>
      <c r="G3419" s="57"/>
    </row>
    <row r="3420" spans="1:7" ht="12.75" x14ac:dyDescent="0.2">
      <c r="A3420" s="3">
        <v>94</v>
      </c>
      <c r="B3420" s="4" t="s">
        <v>114</v>
      </c>
      <c r="C3420" s="3" t="s">
        <v>125</v>
      </c>
      <c r="G3420" s="57"/>
    </row>
    <row r="3421" spans="1:7" ht="12.75" x14ac:dyDescent="0.2">
      <c r="A3421" s="3">
        <v>94</v>
      </c>
      <c r="B3421" s="4" t="s">
        <v>114</v>
      </c>
      <c r="C3421" s="3" t="s">
        <v>125</v>
      </c>
      <c r="F3421">
        <f>SUM(E3420:E3425)</f>
        <v>0</v>
      </c>
      <c r="G3421" s="57"/>
    </row>
    <row r="3422" spans="1:7" ht="12.75" x14ac:dyDescent="0.2">
      <c r="A3422" s="3">
        <v>94</v>
      </c>
      <c r="B3422" s="4" t="s">
        <v>114</v>
      </c>
      <c r="C3422" s="3" t="s">
        <v>125</v>
      </c>
      <c r="G3422" s="57"/>
    </row>
    <row r="3423" spans="1:7" ht="12.75" x14ac:dyDescent="0.2">
      <c r="A3423" s="3">
        <v>94</v>
      </c>
      <c r="B3423" s="4" t="s">
        <v>114</v>
      </c>
      <c r="C3423" s="3" t="s">
        <v>125</v>
      </c>
      <c r="G3423" s="57"/>
    </row>
    <row r="3424" spans="1:7" ht="12.75" x14ac:dyDescent="0.2">
      <c r="A3424" s="3">
        <v>94</v>
      </c>
      <c r="B3424" s="4" t="s">
        <v>114</v>
      </c>
      <c r="C3424" s="3" t="s">
        <v>125</v>
      </c>
      <c r="G3424" s="57"/>
    </row>
    <row r="3425" spans="1:7" ht="12.75" x14ac:dyDescent="0.2">
      <c r="A3425" s="3">
        <v>94</v>
      </c>
      <c r="B3425" s="4" t="s">
        <v>114</v>
      </c>
      <c r="C3425" s="3" t="s">
        <v>125</v>
      </c>
      <c r="G3425" s="57"/>
    </row>
    <row r="3426" spans="1:7" ht="12.75" x14ac:dyDescent="0.2">
      <c r="A3426" s="3">
        <v>95</v>
      </c>
      <c r="B3426" s="4" t="s">
        <v>115</v>
      </c>
      <c r="C3426" s="3" t="s">
        <v>347</v>
      </c>
      <c r="G3426" s="57"/>
    </row>
    <row r="3427" spans="1:7" ht="12.75" x14ac:dyDescent="0.2">
      <c r="A3427" s="3">
        <v>95</v>
      </c>
      <c r="B3427" s="4" t="s">
        <v>115</v>
      </c>
      <c r="C3427" s="3" t="s">
        <v>347</v>
      </c>
      <c r="G3427" s="57"/>
    </row>
    <row r="3428" spans="1:7" ht="12.75" x14ac:dyDescent="0.2">
      <c r="A3428" s="3">
        <v>95</v>
      </c>
      <c r="B3428" s="4" t="s">
        <v>115</v>
      </c>
      <c r="C3428" s="3" t="s">
        <v>347</v>
      </c>
      <c r="G3428" s="57"/>
    </row>
    <row r="3429" spans="1:7" ht="12.75" x14ac:dyDescent="0.2">
      <c r="A3429" s="3">
        <v>95</v>
      </c>
      <c r="B3429" s="4" t="s">
        <v>115</v>
      </c>
      <c r="C3429" s="3" t="s">
        <v>347</v>
      </c>
      <c r="F3429">
        <f>SUM(E3426:E3433)</f>
        <v>0</v>
      </c>
      <c r="G3429" s="57"/>
    </row>
    <row r="3430" spans="1:7" ht="12.75" x14ac:dyDescent="0.2">
      <c r="A3430" s="3">
        <v>95</v>
      </c>
      <c r="B3430" s="4" t="s">
        <v>115</v>
      </c>
      <c r="C3430" s="3" t="s">
        <v>347</v>
      </c>
      <c r="G3430" s="19"/>
    </row>
    <row r="3431" spans="1:7" ht="12.75" x14ac:dyDescent="0.2">
      <c r="A3431" s="3">
        <v>95</v>
      </c>
      <c r="B3431" s="4" t="s">
        <v>115</v>
      </c>
      <c r="C3431" s="3" t="s">
        <v>347</v>
      </c>
      <c r="G3431" s="19"/>
    </row>
    <row r="3432" spans="1:7" ht="12.75" x14ac:dyDescent="0.2">
      <c r="A3432" s="3">
        <v>95</v>
      </c>
      <c r="B3432" s="4" t="s">
        <v>115</v>
      </c>
      <c r="C3432" s="3" t="s">
        <v>347</v>
      </c>
      <c r="G3432" s="19"/>
    </row>
    <row r="3433" spans="1:7" ht="12.75" x14ac:dyDescent="0.2">
      <c r="A3433" s="3">
        <v>95</v>
      </c>
      <c r="B3433" s="4" t="s">
        <v>115</v>
      </c>
      <c r="C3433" s="3" t="s">
        <v>347</v>
      </c>
      <c r="G3433" s="19"/>
    </row>
    <row r="3434" spans="1:7" ht="12.75" x14ac:dyDescent="0.2">
      <c r="A3434" s="3">
        <v>95</v>
      </c>
      <c r="B3434" s="4" t="s">
        <v>115</v>
      </c>
      <c r="C3434" s="3" t="s">
        <v>273</v>
      </c>
      <c r="G3434" s="19"/>
    </row>
    <row r="3435" spans="1:7" ht="12.75" x14ac:dyDescent="0.2">
      <c r="A3435" s="3">
        <v>95</v>
      </c>
      <c r="B3435" s="4" t="s">
        <v>115</v>
      </c>
      <c r="C3435" s="3" t="s">
        <v>273</v>
      </c>
      <c r="F3435">
        <f>SUM(E3434:E3439)</f>
        <v>0</v>
      </c>
      <c r="G3435" s="19"/>
    </row>
    <row r="3436" spans="1:7" ht="12.75" x14ac:dyDescent="0.2">
      <c r="A3436" s="3">
        <v>95</v>
      </c>
      <c r="B3436" s="4" t="s">
        <v>115</v>
      </c>
      <c r="C3436" s="3" t="s">
        <v>273</v>
      </c>
      <c r="G3436" s="19"/>
    </row>
    <row r="3437" spans="1:7" ht="12.75" x14ac:dyDescent="0.2">
      <c r="A3437" s="3">
        <v>95</v>
      </c>
      <c r="B3437" s="4" t="s">
        <v>115</v>
      </c>
      <c r="C3437" s="3" t="s">
        <v>273</v>
      </c>
      <c r="G3437" s="19"/>
    </row>
    <row r="3438" spans="1:7" ht="12.75" x14ac:dyDescent="0.2">
      <c r="A3438" s="3">
        <v>95</v>
      </c>
      <c r="B3438" s="4" t="s">
        <v>115</v>
      </c>
      <c r="C3438" s="3" t="s">
        <v>273</v>
      </c>
      <c r="G3438" s="19"/>
    </row>
    <row r="3439" spans="1:7" ht="12.75" x14ac:dyDescent="0.2">
      <c r="A3439" s="3">
        <v>95</v>
      </c>
      <c r="B3439" s="4" t="s">
        <v>115</v>
      </c>
      <c r="C3439" s="3" t="s">
        <v>273</v>
      </c>
      <c r="G3439" s="19"/>
    </row>
    <row r="3440" spans="1:7" ht="12.75" x14ac:dyDescent="0.2">
      <c r="A3440" s="3">
        <v>95</v>
      </c>
      <c r="B3440" s="4" t="s">
        <v>115</v>
      </c>
      <c r="C3440" s="3" t="s">
        <v>125</v>
      </c>
      <c r="G3440" s="19"/>
    </row>
    <row r="3441" spans="1:7" ht="12.75" x14ac:dyDescent="0.2">
      <c r="A3441" s="3">
        <v>95</v>
      </c>
      <c r="B3441" s="4" t="s">
        <v>115</v>
      </c>
      <c r="C3441" s="3" t="s">
        <v>125</v>
      </c>
      <c r="F3441">
        <f>SUM(E3440:E3445)</f>
        <v>0</v>
      </c>
      <c r="G3441" s="19"/>
    </row>
    <row r="3442" spans="1:7" ht="12.75" x14ac:dyDescent="0.2">
      <c r="A3442" s="3">
        <v>95</v>
      </c>
      <c r="B3442" s="4" t="s">
        <v>115</v>
      </c>
      <c r="C3442" s="3" t="s">
        <v>125</v>
      </c>
      <c r="G3442" s="19"/>
    </row>
    <row r="3443" spans="1:7" ht="12.75" x14ac:dyDescent="0.2">
      <c r="A3443" s="3">
        <v>95</v>
      </c>
      <c r="B3443" s="4" t="s">
        <v>115</v>
      </c>
      <c r="C3443" s="3" t="s">
        <v>125</v>
      </c>
      <c r="G3443" s="19"/>
    </row>
    <row r="3444" spans="1:7" ht="12.75" x14ac:dyDescent="0.2">
      <c r="A3444" s="3">
        <v>95</v>
      </c>
      <c r="B3444" s="4" t="s">
        <v>115</v>
      </c>
      <c r="C3444" s="3" t="s">
        <v>125</v>
      </c>
      <c r="G3444" s="19"/>
    </row>
    <row r="3445" spans="1:7" ht="12.75" x14ac:dyDescent="0.2">
      <c r="A3445" s="3">
        <v>95</v>
      </c>
      <c r="B3445" s="4" t="s">
        <v>115</v>
      </c>
      <c r="C3445" s="3" t="s">
        <v>125</v>
      </c>
      <c r="G3445" s="19"/>
    </row>
    <row r="3446" spans="1:7" ht="12.75" x14ac:dyDescent="0.2">
      <c r="A3446" s="3">
        <v>101</v>
      </c>
      <c r="B3446" s="4" t="s">
        <v>177</v>
      </c>
      <c r="C3446" s="3" t="s">
        <v>347</v>
      </c>
      <c r="G3446" s="19"/>
    </row>
    <row r="3447" spans="1:7" ht="12.75" x14ac:dyDescent="0.2">
      <c r="A3447" s="3">
        <v>101</v>
      </c>
      <c r="B3447" s="4" t="s">
        <v>177</v>
      </c>
      <c r="C3447" s="3" t="s">
        <v>347</v>
      </c>
      <c r="G3447" s="19"/>
    </row>
    <row r="3448" spans="1:7" ht="12.75" x14ac:dyDescent="0.2">
      <c r="A3448" s="3">
        <v>101</v>
      </c>
      <c r="B3448" s="4" t="s">
        <v>177</v>
      </c>
      <c r="C3448" s="3" t="s">
        <v>347</v>
      </c>
      <c r="G3448" s="19"/>
    </row>
    <row r="3449" spans="1:7" ht="12.75" x14ac:dyDescent="0.2">
      <c r="A3449" s="3">
        <v>101</v>
      </c>
      <c r="B3449" s="4" t="s">
        <v>177</v>
      </c>
      <c r="C3449" s="3" t="s">
        <v>347</v>
      </c>
      <c r="F3449">
        <f>SUM(E3446:E3453)</f>
        <v>0</v>
      </c>
      <c r="G3449" s="19"/>
    </row>
    <row r="3450" spans="1:7" ht="12.75" x14ac:dyDescent="0.2">
      <c r="A3450" s="3">
        <v>101</v>
      </c>
      <c r="B3450" s="4" t="s">
        <v>177</v>
      </c>
      <c r="C3450" s="3" t="s">
        <v>347</v>
      </c>
      <c r="G3450" s="19"/>
    </row>
    <row r="3451" spans="1:7" ht="12.75" x14ac:dyDescent="0.2">
      <c r="A3451" s="3">
        <v>101</v>
      </c>
      <c r="B3451" s="4" t="s">
        <v>177</v>
      </c>
      <c r="C3451" s="3" t="s">
        <v>347</v>
      </c>
      <c r="G3451" s="19"/>
    </row>
    <row r="3452" spans="1:7" ht="12.75" x14ac:dyDescent="0.2">
      <c r="A3452" s="3">
        <v>101</v>
      </c>
      <c r="B3452" s="4" t="s">
        <v>177</v>
      </c>
      <c r="C3452" s="3" t="s">
        <v>347</v>
      </c>
      <c r="G3452" s="19"/>
    </row>
    <row r="3453" spans="1:7" ht="12.75" x14ac:dyDescent="0.2">
      <c r="A3453" s="3">
        <v>101</v>
      </c>
      <c r="B3453" s="4" t="s">
        <v>177</v>
      </c>
      <c r="C3453" s="3" t="s">
        <v>347</v>
      </c>
      <c r="G3453" s="19"/>
    </row>
    <row r="3454" spans="1:7" ht="12.75" x14ac:dyDescent="0.2">
      <c r="A3454" s="3">
        <v>101</v>
      </c>
      <c r="B3454" s="4" t="s">
        <v>177</v>
      </c>
      <c r="C3454" s="3" t="s">
        <v>273</v>
      </c>
      <c r="G3454" s="19"/>
    </row>
    <row r="3455" spans="1:7" ht="12.75" x14ac:dyDescent="0.2">
      <c r="A3455" s="3">
        <v>101</v>
      </c>
      <c r="B3455" s="4" t="s">
        <v>177</v>
      </c>
      <c r="C3455" s="3" t="s">
        <v>273</v>
      </c>
      <c r="F3455">
        <f>SUM(E3454:E3459)</f>
        <v>0</v>
      </c>
      <c r="G3455" s="19"/>
    </row>
    <row r="3456" spans="1:7" ht="12.75" x14ac:dyDescent="0.2">
      <c r="A3456" s="3">
        <v>101</v>
      </c>
      <c r="B3456" s="4" t="s">
        <v>177</v>
      </c>
      <c r="C3456" s="3" t="s">
        <v>273</v>
      </c>
      <c r="G3456" s="19"/>
    </row>
    <row r="3457" spans="1:7" ht="12.75" x14ac:dyDescent="0.2">
      <c r="A3457" s="3">
        <v>101</v>
      </c>
      <c r="B3457" s="4" t="s">
        <v>177</v>
      </c>
      <c r="C3457" s="3" t="s">
        <v>273</v>
      </c>
      <c r="G3457" s="19"/>
    </row>
    <row r="3458" spans="1:7" ht="12.75" x14ac:dyDescent="0.2">
      <c r="A3458" s="3">
        <v>101</v>
      </c>
      <c r="B3458" s="4" t="s">
        <v>177</v>
      </c>
      <c r="C3458" s="3" t="s">
        <v>273</v>
      </c>
      <c r="G3458" s="19"/>
    </row>
    <row r="3459" spans="1:7" ht="12.75" x14ac:dyDescent="0.2">
      <c r="A3459" s="3">
        <v>101</v>
      </c>
      <c r="B3459" s="4" t="s">
        <v>177</v>
      </c>
      <c r="C3459" s="3" t="s">
        <v>273</v>
      </c>
      <c r="G3459" s="19"/>
    </row>
    <row r="3460" spans="1:7" ht="12.75" x14ac:dyDescent="0.2">
      <c r="A3460" s="3">
        <v>101</v>
      </c>
      <c r="B3460" s="4" t="s">
        <v>177</v>
      </c>
      <c r="C3460" s="3" t="s">
        <v>125</v>
      </c>
      <c r="G3460" s="19"/>
    </row>
    <row r="3461" spans="1:7" ht="12.75" x14ac:dyDescent="0.2">
      <c r="A3461" s="3">
        <v>101</v>
      </c>
      <c r="B3461" s="4" t="s">
        <v>177</v>
      </c>
      <c r="C3461" s="3" t="s">
        <v>125</v>
      </c>
      <c r="F3461">
        <f>SUM(E3460:E3465)</f>
        <v>0</v>
      </c>
      <c r="G3461" s="19"/>
    </row>
    <row r="3462" spans="1:7" ht="12.75" x14ac:dyDescent="0.2">
      <c r="A3462" s="3">
        <v>101</v>
      </c>
      <c r="B3462" s="4" t="s">
        <v>177</v>
      </c>
      <c r="C3462" s="3" t="s">
        <v>125</v>
      </c>
      <c r="G3462" s="19"/>
    </row>
    <row r="3463" spans="1:7" ht="12.75" x14ac:dyDescent="0.2">
      <c r="A3463" s="3">
        <v>101</v>
      </c>
      <c r="B3463" s="4" t="s">
        <v>177</v>
      </c>
      <c r="C3463" s="3" t="s">
        <v>125</v>
      </c>
      <c r="G3463" s="19"/>
    </row>
    <row r="3464" spans="1:7" ht="12.75" x14ac:dyDescent="0.2">
      <c r="A3464" s="3">
        <v>101</v>
      </c>
      <c r="B3464" s="4" t="s">
        <v>177</v>
      </c>
      <c r="C3464" s="3" t="s">
        <v>125</v>
      </c>
      <c r="G3464" s="19"/>
    </row>
    <row r="3465" spans="1:7" ht="12.75" x14ac:dyDescent="0.2">
      <c r="A3465" s="3">
        <v>101</v>
      </c>
      <c r="B3465" s="4" t="s">
        <v>177</v>
      </c>
      <c r="C3465" s="3" t="s">
        <v>125</v>
      </c>
      <c r="G3465" s="19"/>
    </row>
    <row r="3466" spans="1:7" ht="12.75" x14ac:dyDescent="0.2">
      <c r="A3466" s="3">
        <v>201</v>
      </c>
      <c r="B3466" s="4" t="s">
        <v>335</v>
      </c>
      <c r="C3466" s="3" t="s">
        <v>347</v>
      </c>
      <c r="G3466" s="19"/>
    </row>
    <row r="3467" spans="1:7" ht="12.75" x14ac:dyDescent="0.2">
      <c r="A3467" s="3">
        <v>201</v>
      </c>
      <c r="B3467" s="4" t="s">
        <v>335</v>
      </c>
      <c r="C3467" s="3" t="s">
        <v>347</v>
      </c>
      <c r="G3467" s="19"/>
    </row>
    <row r="3468" spans="1:7" ht="12.75" x14ac:dyDescent="0.2">
      <c r="A3468" s="3">
        <v>201</v>
      </c>
      <c r="B3468" s="4" t="s">
        <v>335</v>
      </c>
      <c r="C3468" s="3" t="s">
        <v>347</v>
      </c>
      <c r="G3468" s="19"/>
    </row>
    <row r="3469" spans="1:7" ht="12.75" x14ac:dyDescent="0.2">
      <c r="A3469" s="3">
        <v>201</v>
      </c>
      <c r="B3469" s="4" t="s">
        <v>335</v>
      </c>
      <c r="C3469" s="3" t="s">
        <v>347</v>
      </c>
      <c r="F3469">
        <f>SUM(E3466:E3473)</f>
        <v>0</v>
      </c>
      <c r="G3469" s="19"/>
    </row>
    <row r="3470" spans="1:7" ht="12.75" x14ac:dyDescent="0.2">
      <c r="A3470" s="3">
        <v>201</v>
      </c>
      <c r="B3470" s="4" t="s">
        <v>335</v>
      </c>
      <c r="C3470" s="3" t="s">
        <v>347</v>
      </c>
      <c r="G3470" s="19"/>
    </row>
    <row r="3471" spans="1:7" ht="12.75" x14ac:dyDescent="0.2">
      <c r="A3471" s="3">
        <v>201</v>
      </c>
      <c r="B3471" s="4" t="s">
        <v>335</v>
      </c>
      <c r="C3471" s="3" t="s">
        <v>347</v>
      </c>
      <c r="G3471" s="19"/>
    </row>
    <row r="3472" spans="1:7" ht="12.75" x14ac:dyDescent="0.2">
      <c r="A3472" s="3">
        <v>201</v>
      </c>
      <c r="B3472" s="4" t="s">
        <v>335</v>
      </c>
      <c r="C3472" s="3" t="s">
        <v>347</v>
      </c>
      <c r="G3472" s="19"/>
    </row>
    <row r="3473" spans="1:7" ht="12.75" x14ac:dyDescent="0.2">
      <c r="A3473" s="3">
        <v>201</v>
      </c>
      <c r="B3473" s="4" t="s">
        <v>335</v>
      </c>
      <c r="C3473" s="3" t="s">
        <v>347</v>
      </c>
      <c r="G3473" s="19"/>
    </row>
    <row r="3474" spans="1:7" ht="12.75" x14ac:dyDescent="0.2">
      <c r="A3474" s="3">
        <v>201</v>
      </c>
      <c r="B3474" s="4" t="s">
        <v>335</v>
      </c>
      <c r="C3474" s="3" t="s">
        <v>273</v>
      </c>
      <c r="G3474" s="19"/>
    </row>
    <row r="3475" spans="1:7" ht="12.75" x14ac:dyDescent="0.2">
      <c r="A3475" s="3">
        <v>201</v>
      </c>
      <c r="B3475" s="4" t="s">
        <v>335</v>
      </c>
      <c r="C3475" s="3" t="s">
        <v>273</v>
      </c>
      <c r="F3475">
        <f>SUM(E3474:E3479)</f>
        <v>0</v>
      </c>
      <c r="G3475" s="19"/>
    </row>
    <row r="3476" spans="1:7" ht="12.75" x14ac:dyDescent="0.2">
      <c r="A3476" s="3">
        <v>201</v>
      </c>
      <c r="B3476" s="4" t="s">
        <v>335</v>
      </c>
      <c r="C3476" s="3" t="s">
        <v>273</v>
      </c>
      <c r="G3476" s="19"/>
    </row>
    <row r="3477" spans="1:7" ht="12.75" x14ac:dyDescent="0.2">
      <c r="A3477" s="3">
        <v>201</v>
      </c>
      <c r="B3477" s="4" t="s">
        <v>335</v>
      </c>
      <c r="C3477" s="3" t="s">
        <v>273</v>
      </c>
      <c r="G3477" s="19"/>
    </row>
    <row r="3478" spans="1:7" ht="12.75" x14ac:dyDescent="0.2">
      <c r="A3478" s="3">
        <v>201</v>
      </c>
      <c r="B3478" s="4" t="s">
        <v>335</v>
      </c>
      <c r="C3478" s="3" t="s">
        <v>273</v>
      </c>
      <c r="G3478" s="19"/>
    </row>
    <row r="3479" spans="1:7" ht="12.75" x14ac:dyDescent="0.2">
      <c r="A3479" s="3">
        <v>201</v>
      </c>
      <c r="B3479" s="4" t="s">
        <v>335</v>
      </c>
      <c r="C3479" s="3" t="s">
        <v>273</v>
      </c>
      <c r="G3479" s="19"/>
    </row>
    <row r="3480" spans="1:7" ht="12.75" x14ac:dyDescent="0.2">
      <c r="A3480" s="3">
        <v>201</v>
      </c>
      <c r="B3480" s="4" t="s">
        <v>335</v>
      </c>
      <c r="C3480" s="3" t="s">
        <v>125</v>
      </c>
      <c r="G3480" s="19"/>
    </row>
    <row r="3481" spans="1:7" ht="12.75" x14ac:dyDescent="0.2">
      <c r="A3481" s="3">
        <v>201</v>
      </c>
      <c r="B3481" s="4" t="s">
        <v>335</v>
      </c>
      <c r="C3481" s="3" t="s">
        <v>125</v>
      </c>
      <c r="F3481">
        <f>SUM(E3480:E3485)</f>
        <v>0</v>
      </c>
      <c r="G3481" s="19"/>
    </row>
    <row r="3482" spans="1:7" ht="12.75" x14ac:dyDescent="0.2">
      <c r="A3482" s="3">
        <v>201</v>
      </c>
      <c r="B3482" s="4" t="s">
        <v>335</v>
      </c>
      <c r="C3482" s="3" t="s">
        <v>125</v>
      </c>
      <c r="G3482" s="19"/>
    </row>
    <row r="3483" spans="1:7" ht="12.75" x14ac:dyDescent="0.2">
      <c r="A3483" s="3">
        <v>201</v>
      </c>
      <c r="B3483" s="4" t="s">
        <v>335</v>
      </c>
      <c r="C3483" s="3" t="s">
        <v>125</v>
      </c>
      <c r="G3483" s="19"/>
    </row>
    <row r="3484" spans="1:7" ht="12.75" x14ac:dyDescent="0.2">
      <c r="A3484" s="3">
        <v>201</v>
      </c>
      <c r="B3484" s="4" t="s">
        <v>335</v>
      </c>
      <c r="C3484" s="3" t="s">
        <v>125</v>
      </c>
      <c r="G3484" s="19"/>
    </row>
    <row r="3485" spans="1:7" ht="12.75" x14ac:dyDescent="0.2">
      <c r="A3485" s="3">
        <v>201</v>
      </c>
      <c r="B3485" s="4" t="s">
        <v>335</v>
      </c>
      <c r="C3485" s="3" t="s">
        <v>125</v>
      </c>
      <c r="G3485" s="19"/>
    </row>
    <row r="3486" spans="1:7" ht="12.75" x14ac:dyDescent="0.2">
      <c r="A3486" s="3">
        <v>301</v>
      </c>
      <c r="B3486" s="4" t="s">
        <v>336</v>
      </c>
      <c r="C3486" s="3" t="s">
        <v>347</v>
      </c>
      <c r="G3486" s="19"/>
    </row>
    <row r="3487" spans="1:7" ht="12.75" x14ac:dyDescent="0.2">
      <c r="A3487" s="3">
        <v>301</v>
      </c>
      <c r="B3487" s="4" t="s">
        <v>336</v>
      </c>
      <c r="C3487" s="3" t="s">
        <v>347</v>
      </c>
      <c r="G3487" s="19"/>
    </row>
    <row r="3488" spans="1:7" ht="12.75" x14ac:dyDescent="0.2">
      <c r="A3488" s="3">
        <v>301</v>
      </c>
      <c r="B3488" s="4" t="s">
        <v>336</v>
      </c>
      <c r="C3488" s="3" t="s">
        <v>347</v>
      </c>
      <c r="G3488" s="19"/>
    </row>
    <row r="3489" spans="1:7" ht="12.75" x14ac:dyDescent="0.2">
      <c r="A3489" s="3">
        <v>301</v>
      </c>
      <c r="B3489" s="4" t="s">
        <v>336</v>
      </c>
      <c r="C3489" s="3" t="s">
        <v>347</v>
      </c>
      <c r="F3489">
        <f>SUM(E3486:E3493)</f>
        <v>0</v>
      </c>
      <c r="G3489" s="19"/>
    </row>
    <row r="3490" spans="1:7" ht="12.75" x14ac:dyDescent="0.2">
      <c r="A3490" s="3">
        <v>301</v>
      </c>
      <c r="B3490" s="4" t="s">
        <v>336</v>
      </c>
      <c r="C3490" s="3" t="s">
        <v>347</v>
      </c>
      <c r="G3490" s="19"/>
    </row>
    <row r="3491" spans="1:7" ht="12.75" x14ac:dyDescent="0.2">
      <c r="A3491" s="3">
        <v>301</v>
      </c>
      <c r="B3491" s="4" t="s">
        <v>336</v>
      </c>
      <c r="C3491" s="3" t="s">
        <v>347</v>
      </c>
      <c r="G3491" s="19"/>
    </row>
    <row r="3492" spans="1:7" ht="12.75" x14ac:dyDescent="0.2">
      <c r="A3492" s="3">
        <v>301</v>
      </c>
      <c r="B3492" s="4" t="s">
        <v>336</v>
      </c>
      <c r="C3492" s="3" t="s">
        <v>347</v>
      </c>
      <c r="G3492" s="19"/>
    </row>
    <row r="3493" spans="1:7" ht="12.75" x14ac:dyDescent="0.2">
      <c r="A3493" s="3">
        <v>301</v>
      </c>
      <c r="B3493" s="4" t="s">
        <v>336</v>
      </c>
      <c r="C3493" s="3" t="s">
        <v>347</v>
      </c>
      <c r="G3493" s="19"/>
    </row>
    <row r="3494" spans="1:7" ht="12.75" x14ac:dyDescent="0.2">
      <c r="A3494" s="3">
        <v>301</v>
      </c>
      <c r="B3494" s="4" t="s">
        <v>336</v>
      </c>
      <c r="C3494" s="3" t="s">
        <v>273</v>
      </c>
      <c r="G3494" s="19"/>
    </row>
    <row r="3495" spans="1:7" ht="12.75" x14ac:dyDescent="0.2">
      <c r="A3495" s="3">
        <v>301</v>
      </c>
      <c r="B3495" s="4" t="s">
        <v>336</v>
      </c>
      <c r="C3495" s="3" t="s">
        <v>273</v>
      </c>
      <c r="F3495">
        <f>SUM(E3494:E3499)</f>
        <v>0</v>
      </c>
      <c r="G3495" s="19"/>
    </row>
    <row r="3496" spans="1:7" ht="12.75" x14ac:dyDescent="0.2">
      <c r="A3496" s="3">
        <v>301</v>
      </c>
      <c r="B3496" s="4" t="s">
        <v>336</v>
      </c>
      <c r="C3496" s="3" t="s">
        <v>273</v>
      </c>
      <c r="G3496" s="19"/>
    </row>
    <row r="3497" spans="1:7" ht="12.75" x14ac:dyDescent="0.2">
      <c r="A3497" s="3">
        <v>301</v>
      </c>
      <c r="B3497" s="4" t="s">
        <v>336</v>
      </c>
      <c r="C3497" s="3" t="s">
        <v>273</v>
      </c>
      <c r="G3497" s="19"/>
    </row>
    <row r="3498" spans="1:7" ht="12.75" x14ac:dyDescent="0.2">
      <c r="A3498" s="3">
        <v>301</v>
      </c>
      <c r="B3498" s="4" t="s">
        <v>336</v>
      </c>
      <c r="C3498" s="3" t="s">
        <v>273</v>
      </c>
      <c r="G3498" s="19"/>
    </row>
    <row r="3499" spans="1:7" ht="12.75" x14ac:dyDescent="0.2">
      <c r="A3499" s="3">
        <v>301</v>
      </c>
      <c r="B3499" s="4" t="s">
        <v>336</v>
      </c>
      <c r="C3499" s="3" t="s">
        <v>273</v>
      </c>
      <c r="G3499" s="19"/>
    </row>
    <row r="3500" spans="1:7" ht="12.75" x14ac:dyDescent="0.2">
      <c r="A3500" s="3">
        <v>301</v>
      </c>
      <c r="B3500" s="4" t="s">
        <v>336</v>
      </c>
      <c r="C3500" s="3" t="s">
        <v>125</v>
      </c>
      <c r="G3500" s="19"/>
    </row>
    <row r="3501" spans="1:7" ht="12.75" x14ac:dyDescent="0.2">
      <c r="A3501" s="3">
        <v>301</v>
      </c>
      <c r="B3501" s="4" t="s">
        <v>336</v>
      </c>
      <c r="C3501" s="3" t="s">
        <v>125</v>
      </c>
      <c r="F3501">
        <f>SUM(E3500:E3505)</f>
        <v>0</v>
      </c>
      <c r="G3501" s="19"/>
    </row>
    <row r="3502" spans="1:7" ht="12.75" x14ac:dyDescent="0.2">
      <c r="A3502" s="3">
        <v>301</v>
      </c>
      <c r="B3502" s="4" t="s">
        <v>336</v>
      </c>
      <c r="C3502" s="3" t="s">
        <v>125</v>
      </c>
      <c r="G3502" s="19"/>
    </row>
    <row r="3503" spans="1:7" ht="12.75" x14ac:dyDescent="0.2">
      <c r="A3503" s="3">
        <v>301</v>
      </c>
      <c r="B3503" s="4" t="s">
        <v>336</v>
      </c>
      <c r="C3503" s="3" t="s">
        <v>125</v>
      </c>
      <c r="G3503" s="19"/>
    </row>
    <row r="3504" spans="1:7" ht="12.75" x14ac:dyDescent="0.2">
      <c r="A3504" s="3">
        <v>301</v>
      </c>
      <c r="B3504" s="4" t="s">
        <v>336</v>
      </c>
      <c r="C3504" s="3" t="s">
        <v>125</v>
      </c>
      <c r="G3504" s="19"/>
    </row>
    <row r="3505" spans="1:7" ht="12.75" x14ac:dyDescent="0.2">
      <c r="A3505" s="3">
        <v>301</v>
      </c>
      <c r="B3505" s="4" t="s">
        <v>336</v>
      </c>
      <c r="C3505" s="3" t="s">
        <v>125</v>
      </c>
      <c r="G3505" s="19"/>
    </row>
    <row r="3506" spans="1:7" ht="12.75" x14ac:dyDescent="0.2">
      <c r="A3506" s="3"/>
      <c r="B3506" s="4" t="s">
        <v>71</v>
      </c>
      <c r="C3506" s="3" t="s">
        <v>162</v>
      </c>
      <c r="F3506">
        <f>SUM(E3506:E3510)</f>
        <v>0</v>
      </c>
      <c r="G3506" s="19"/>
    </row>
    <row r="3507" spans="1:7" ht="12.75" x14ac:dyDescent="0.2">
      <c r="A3507" s="3"/>
      <c r="B3507" s="4" t="s">
        <v>71</v>
      </c>
      <c r="C3507" s="3" t="s">
        <v>162</v>
      </c>
      <c r="G3507" s="19"/>
    </row>
    <row r="3508" spans="1:7" ht="12.75" x14ac:dyDescent="0.2">
      <c r="A3508" s="3"/>
      <c r="B3508" s="4" t="s">
        <v>71</v>
      </c>
      <c r="C3508" s="3" t="s">
        <v>162</v>
      </c>
      <c r="G3508" s="19"/>
    </row>
    <row r="3509" spans="1:7" ht="12.75" x14ac:dyDescent="0.2">
      <c r="A3509" s="3"/>
      <c r="B3509" s="4" t="s">
        <v>71</v>
      </c>
      <c r="C3509" s="3" t="s">
        <v>162</v>
      </c>
      <c r="G3509" s="19"/>
    </row>
    <row r="3510" spans="1:7" ht="12.75" x14ac:dyDescent="0.2">
      <c r="A3510" s="3"/>
      <c r="B3510" s="4" t="s">
        <v>71</v>
      </c>
      <c r="C3510" s="3" t="s">
        <v>162</v>
      </c>
      <c r="G3510" s="19"/>
    </row>
    <row r="3511" spans="1:7" ht="12.75" x14ac:dyDescent="0.2">
      <c r="A3511" s="3"/>
      <c r="B3511" s="4" t="s">
        <v>71</v>
      </c>
      <c r="C3511" s="3" t="s">
        <v>161</v>
      </c>
      <c r="F3511">
        <f>SUM(E3511:E3515)</f>
        <v>0</v>
      </c>
      <c r="G3511" s="19"/>
    </row>
    <row r="3512" spans="1:7" ht="12.75" x14ac:dyDescent="0.2">
      <c r="A3512" s="3"/>
      <c r="B3512" s="4" t="s">
        <v>71</v>
      </c>
      <c r="C3512" s="3" t="s">
        <v>161</v>
      </c>
      <c r="G3512" s="19"/>
    </row>
    <row r="3513" spans="1:7" ht="12.75" x14ac:dyDescent="0.2">
      <c r="A3513" s="3"/>
      <c r="B3513" s="4" t="s">
        <v>71</v>
      </c>
      <c r="C3513" s="3" t="s">
        <v>161</v>
      </c>
      <c r="G3513" s="19"/>
    </row>
    <row r="3514" spans="1:7" ht="12.75" x14ac:dyDescent="0.2">
      <c r="A3514" s="3"/>
      <c r="B3514" s="4" t="s">
        <v>71</v>
      </c>
      <c r="C3514" s="3" t="s">
        <v>161</v>
      </c>
      <c r="G3514" s="19"/>
    </row>
    <row r="3515" spans="1:7" ht="12.75" x14ac:dyDescent="0.2">
      <c r="A3515" s="3"/>
      <c r="B3515" s="4" t="s">
        <v>71</v>
      </c>
      <c r="C3515" s="3" t="s">
        <v>161</v>
      </c>
      <c r="G3515" s="19"/>
    </row>
    <row r="3516" spans="1:7" ht="12.75" x14ac:dyDescent="0.2">
      <c r="A3516" s="3"/>
      <c r="B3516" s="4" t="s">
        <v>99</v>
      </c>
      <c r="C3516" s="3" t="s">
        <v>162</v>
      </c>
      <c r="G3516" s="19"/>
    </row>
    <row r="3517" spans="1:7" ht="12.75" x14ac:dyDescent="0.2">
      <c r="A3517" s="3"/>
      <c r="B3517" s="4" t="s">
        <v>99</v>
      </c>
      <c r="C3517" s="3" t="s">
        <v>162</v>
      </c>
      <c r="G3517" s="19"/>
    </row>
    <row r="3518" spans="1:7" ht="12.75" x14ac:dyDescent="0.2">
      <c r="A3518" s="3"/>
      <c r="B3518" s="4" t="s">
        <v>99</v>
      </c>
      <c r="C3518" s="3" t="s">
        <v>162</v>
      </c>
      <c r="F3518">
        <f>SUM(E3516:E3522)</f>
        <v>0</v>
      </c>
      <c r="G3518" s="19"/>
    </row>
    <row r="3519" spans="1:7" ht="12.75" x14ac:dyDescent="0.2">
      <c r="A3519" s="3"/>
      <c r="B3519" s="4" t="s">
        <v>99</v>
      </c>
      <c r="C3519" s="3" t="s">
        <v>162</v>
      </c>
      <c r="G3519" s="19"/>
    </row>
    <row r="3520" spans="1:7" ht="12.75" x14ac:dyDescent="0.2">
      <c r="A3520" s="3"/>
      <c r="B3520" s="4" t="s">
        <v>99</v>
      </c>
      <c r="C3520" s="3" t="s">
        <v>162</v>
      </c>
      <c r="G3520" s="19"/>
    </row>
    <row r="3521" spans="1:7" ht="12.75" x14ac:dyDescent="0.2">
      <c r="A3521" s="3"/>
      <c r="B3521" s="4" t="s">
        <v>99</v>
      </c>
      <c r="C3521" s="3" t="s">
        <v>162</v>
      </c>
      <c r="G3521" s="19"/>
    </row>
    <row r="3522" spans="1:7" ht="12.75" x14ac:dyDescent="0.2">
      <c r="A3522" s="3"/>
      <c r="B3522" s="4" t="s">
        <v>99</v>
      </c>
      <c r="C3522" s="3" t="s">
        <v>162</v>
      </c>
      <c r="G3522" s="19"/>
    </row>
    <row r="3523" spans="1:7" ht="12.75" x14ac:dyDescent="0.2">
      <c r="A3523" s="3"/>
      <c r="B3523" s="4" t="s">
        <v>99</v>
      </c>
      <c r="C3523" s="3" t="s">
        <v>161</v>
      </c>
      <c r="G3523" s="19"/>
    </row>
    <row r="3524" spans="1:7" ht="12.75" x14ac:dyDescent="0.2">
      <c r="A3524" s="3"/>
      <c r="B3524" s="4" t="s">
        <v>99</v>
      </c>
      <c r="C3524" s="3" t="s">
        <v>161</v>
      </c>
      <c r="G3524" s="19"/>
    </row>
    <row r="3525" spans="1:7" ht="12.75" x14ac:dyDescent="0.2">
      <c r="A3525" s="3"/>
      <c r="B3525" s="4" t="s">
        <v>99</v>
      </c>
      <c r="C3525" s="3" t="s">
        <v>161</v>
      </c>
      <c r="F3525">
        <f>SUM(E3523:E3529)</f>
        <v>0</v>
      </c>
      <c r="G3525" s="19"/>
    </row>
    <row r="3526" spans="1:7" ht="12.75" x14ac:dyDescent="0.2">
      <c r="A3526" s="3"/>
      <c r="B3526" s="4" t="s">
        <v>99</v>
      </c>
      <c r="C3526" s="3" t="s">
        <v>161</v>
      </c>
      <c r="G3526" s="19"/>
    </row>
    <row r="3527" spans="1:7" ht="12.75" x14ac:dyDescent="0.2">
      <c r="A3527" s="3"/>
      <c r="B3527" s="4" t="s">
        <v>99</v>
      </c>
      <c r="C3527" s="3" t="s">
        <v>161</v>
      </c>
      <c r="G3527" s="19"/>
    </row>
    <row r="3528" spans="1:7" ht="12.75" x14ac:dyDescent="0.2">
      <c r="A3528" s="3"/>
      <c r="B3528" s="4" t="s">
        <v>99</v>
      </c>
      <c r="C3528" s="3" t="s">
        <v>161</v>
      </c>
      <c r="G3528" s="19"/>
    </row>
    <row r="3529" spans="1:7" ht="12.75" x14ac:dyDescent="0.2">
      <c r="A3529" s="3"/>
      <c r="B3529" s="4" t="s">
        <v>99</v>
      </c>
      <c r="C3529" s="3" t="s">
        <v>161</v>
      </c>
      <c r="G3529" s="19"/>
    </row>
    <row r="3530" spans="1:7" ht="12.75" x14ac:dyDescent="0.2">
      <c r="A3530" s="3"/>
      <c r="B3530" s="4" t="s">
        <v>82</v>
      </c>
      <c r="C3530" s="3" t="s">
        <v>162</v>
      </c>
      <c r="G3530" s="19"/>
    </row>
    <row r="3531" spans="1:7" ht="12.75" x14ac:dyDescent="0.2">
      <c r="A3531" s="3"/>
      <c r="B3531" s="4" t="s">
        <v>82</v>
      </c>
      <c r="C3531" s="3" t="s">
        <v>162</v>
      </c>
      <c r="G3531" s="19"/>
    </row>
    <row r="3532" spans="1:7" ht="12.75" x14ac:dyDescent="0.2">
      <c r="A3532" s="3"/>
      <c r="B3532" s="4" t="s">
        <v>82</v>
      </c>
      <c r="C3532" s="3" t="s">
        <v>162</v>
      </c>
      <c r="F3532">
        <f>SUM(E3530:E3536)</f>
        <v>0</v>
      </c>
      <c r="G3532" s="19"/>
    </row>
    <row r="3533" spans="1:7" ht="12.75" x14ac:dyDescent="0.2">
      <c r="A3533" s="3"/>
      <c r="B3533" s="4" t="s">
        <v>82</v>
      </c>
      <c r="C3533" s="3" t="s">
        <v>162</v>
      </c>
      <c r="G3533" s="19"/>
    </row>
    <row r="3534" spans="1:7" ht="12.75" x14ac:dyDescent="0.2">
      <c r="A3534" s="3"/>
      <c r="B3534" s="4" t="s">
        <v>82</v>
      </c>
      <c r="C3534" s="3" t="s">
        <v>162</v>
      </c>
      <c r="G3534" s="19"/>
    </row>
    <row r="3535" spans="1:7" ht="12.75" x14ac:dyDescent="0.2">
      <c r="A3535" s="3"/>
      <c r="B3535" s="4" t="s">
        <v>82</v>
      </c>
      <c r="C3535" s="3" t="s">
        <v>162</v>
      </c>
      <c r="G3535" s="19"/>
    </row>
    <row r="3536" spans="1:7" ht="12.75" x14ac:dyDescent="0.2">
      <c r="A3536" s="3"/>
      <c r="B3536" s="4" t="s">
        <v>82</v>
      </c>
      <c r="C3536" s="3" t="s">
        <v>162</v>
      </c>
      <c r="G3536" s="19"/>
    </row>
    <row r="3537" spans="1:7" ht="12.75" x14ac:dyDescent="0.2">
      <c r="A3537" s="3"/>
      <c r="B3537" s="4" t="s">
        <v>82</v>
      </c>
      <c r="C3537" s="3" t="s">
        <v>161</v>
      </c>
      <c r="G3537" s="19"/>
    </row>
    <row r="3538" spans="1:7" ht="12.75" x14ac:dyDescent="0.2">
      <c r="A3538" s="3"/>
      <c r="B3538" s="4" t="s">
        <v>82</v>
      </c>
      <c r="C3538" s="3" t="s">
        <v>161</v>
      </c>
      <c r="G3538" s="19"/>
    </row>
    <row r="3539" spans="1:7" ht="12.75" x14ac:dyDescent="0.2">
      <c r="A3539" s="3"/>
      <c r="B3539" s="4" t="s">
        <v>82</v>
      </c>
      <c r="C3539" s="3" t="s">
        <v>161</v>
      </c>
      <c r="F3539">
        <f>SUM(E3537:E3543)</f>
        <v>0</v>
      </c>
      <c r="G3539" s="19"/>
    </row>
    <row r="3540" spans="1:7" ht="12.75" x14ac:dyDescent="0.2">
      <c r="A3540" s="3"/>
      <c r="B3540" s="4" t="s">
        <v>82</v>
      </c>
      <c r="C3540" s="3" t="s">
        <v>161</v>
      </c>
      <c r="G3540" s="19"/>
    </row>
    <row r="3541" spans="1:7" ht="12.75" x14ac:dyDescent="0.2">
      <c r="A3541" s="3"/>
      <c r="B3541" s="4" t="s">
        <v>82</v>
      </c>
      <c r="C3541" s="3" t="s">
        <v>161</v>
      </c>
      <c r="G3541" s="19"/>
    </row>
    <row r="3542" spans="1:7" ht="12.75" x14ac:dyDescent="0.2">
      <c r="A3542" s="3"/>
      <c r="B3542" s="4" t="s">
        <v>82</v>
      </c>
      <c r="C3542" s="3" t="s">
        <v>161</v>
      </c>
      <c r="G3542" s="19"/>
    </row>
    <row r="3543" spans="1:7" ht="12.75" x14ac:dyDescent="0.2">
      <c r="A3543" s="3"/>
      <c r="B3543" s="4" t="s">
        <v>82</v>
      </c>
      <c r="C3543" s="3" t="s">
        <v>161</v>
      </c>
      <c r="G3543" s="19"/>
    </row>
    <row r="3544" spans="1:7" ht="12.75" x14ac:dyDescent="0.2">
      <c r="A3544" s="3"/>
      <c r="B3544" s="4" t="s">
        <v>54</v>
      </c>
      <c r="C3544" s="3" t="s">
        <v>162</v>
      </c>
      <c r="G3544" s="19"/>
    </row>
    <row r="3545" spans="1:7" ht="12.75" x14ac:dyDescent="0.2">
      <c r="A3545" s="3"/>
      <c r="B3545" s="4" t="s">
        <v>54</v>
      </c>
      <c r="C3545" s="3" t="s">
        <v>162</v>
      </c>
      <c r="G3545" s="19"/>
    </row>
    <row r="3546" spans="1:7" ht="12.75" x14ac:dyDescent="0.2">
      <c r="A3546" s="3"/>
      <c r="B3546" s="4" t="s">
        <v>54</v>
      </c>
      <c r="C3546" s="3" t="s">
        <v>162</v>
      </c>
      <c r="G3546" s="19"/>
    </row>
    <row r="3547" spans="1:7" ht="12.75" x14ac:dyDescent="0.2">
      <c r="A3547" s="3"/>
      <c r="B3547" s="4" t="s">
        <v>54</v>
      </c>
      <c r="C3547" s="3" t="s">
        <v>162</v>
      </c>
      <c r="G3547" s="19"/>
    </row>
    <row r="3548" spans="1:7" ht="12.75" x14ac:dyDescent="0.2">
      <c r="A3548" s="3"/>
      <c r="B3548" s="4" t="s">
        <v>54</v>
      </c>
      <c r="C3548" s="3" t="s">
        <v>162</v>
      </c>
      <c r="F3548">
        <f>SUM(E3544:E3552)</f>
        <v>0</v>
      </c>
      <c r="G3548" s="19"/>
    </row>
    <row r="3549" spans="1:7" ht="12.75" x14ac:dyDescent="0.2">
      <c r="A3549" s="3"/>
      <c r="B3549" s="4" t="s">
        <v>54</v>
      </c>
      <c r="C3549" s="3" t="s">
        <v>162</v>
      </c>
      <c r="G3549" s="19"/>
    </row>
    <row r="3550" spans="1:7" ht="12.75" x14ac:dyDescent="0.2">
      <c r="A3550" s="3"/>
      <c r="B3550" s="4" t="s">
        <v>54</v>
      </c>
      <c r="C3550" s="3" t="s">
        <v>162</v>
      </c>
      <c r="G3550" s="19"/>
    </row>
    <row r="3551" spans="1:7" ht="12.75" x14ac:dyDescent="0.2">
      <c r="A3551" s="3"/>
      <c r="B3551" s="4" t="s">
        <v>54</v>
      </c>
      <c r="C3551" s="3" t="s">
        <v>162</v>
      </c>
      <c r="G3551" s="19"/>
    </row>
    <row r="3552" spans="1:7" ht="12.75" x14ac:dyDescent="0.2">
      <c r="A3552" s="3"/>
      <c r="B3552" s="4" t="s">
        <v>54</v>
      </c>
      <c r="C3552" s="3" t="s">
        <v>162</v>
      </c>
      <c r="G3552" s="19"/>
    </row>
    <row r="3553" spans="1:7" ht="12.75" x14ac:dyDescent="0.2">
      <c r="A3553" s="3"/>
      <c r="B3553" s="4" t="s">
        <v>54</v>
      </c>
      <c r="C3553" s="3" t="s">
        <v>161</v>
      </c>
      <c r="G3553" s="19"/>
    </row>
    <row r="3554" spans="1:7" ht="12.75" x14ac:dyDescent="0.2">
      <c r="A3554" s="3"/>
      <c r="B3554" s="4" t="s">
        <v>54</v>
      </c>
      <c r="C3554" s="3" t="s">
        <v>161</v>
      </c>
      <c r="G3554" s="19"/>
    </row>
    <row r="3555" spans="1:7" ht="12.75" x14ac:dyDescent="0.2">
      <c r="A3555" s="3"/>
      <c r="B3555" s="4" t="s">
        <v>54</v>
      </c>
      <c r="C3555" s="3" t="s">
        <v>161</v>
      </c>
      <c r="G3555" s="19"/>
    </row>
    <row r="3556" spans="1:7" ht="12.75" x14ac:dyDescent="0.2">
      <c r="A3556" s="3"/>
      <c r="B3556" s="4" t="s">
        <v>54</v>
      </c>
      <c r="C3556" s="3" t="s">
        <v>161</v>
      </c>
      <c r="G3556" s="19"/>
    </row>
    <row r="3557" spans="1:7" ht="12.75" x14ac:dyDescent="0.2">
      <c r="A3557" s="3"/>
      <c r="B3557" s="4" t="s">
        <v>54</v>
      </c>
      <c r="C3557" s="3" t="s">
        <v>161</v>
      </c>
      <c r="F3557">
        <f>SUM(E3553:E3561)</f>
        <v>0</v>
      </c>
      <c r="G3557" s="19"/>
    </row>
    <row r="3558" spans="1:7" ht="12.75" x14ac:dyDescent="0.2">
      <c r="A3558" s="3"/>
      <c r="B3558" s="4" t="s">
        <v>54</v>
      </c>
      <c r="C3558" s="3" t="s">
        <v>161</v>
      </c>
      <c r="G3558" s="19"/>
    </row>
    <row r="3559" spans="1:7" ht="12.75" x14ac:dyDescent="0.2">
      <c r="A3559" s="3"/>
      <c r="B3559" s="4" t="s">
        <v>54</v>
      </c>
      <c r="C3559" s="3" t="s">
        <v>161</v>
      </c>
      <c r="G3559" s="19"/>
    </row>
    <row r="3560" spans="1:7" ht="12.75" x14ac:dyDescent="0.2">
      <c r="A3560" s="3"/>
      <c r="B3560" s="4" t="s">
        <v>54</v>
      </c>
      <c r="C3560" s="3" t="s">
        <v>161</v>
      </c>
      <c r="G3560" s="19"/>
    </row>
    <row r="3561" spans="1:7" ht="12.75" x14ac:dyDescent="0.2">
      <c r="A3561" s="3"/>
      <c r="B3561" s="4" t="s">
        <v>54</v>
      </c>
      <c r="C3561" s="3" t="s">
        <v>161</v>
      </c>
      <c r="G3561" s="19"/>
    </row>
    <row r="3562" spans="1:7" ht="12.75" x14ac:dyDescent="0.2">
      <c r="A3562" s="3"/>
      <c r="B3562" s="4" t="s">
        <v>64</v>
      </c>
      <c r="C3562" s="3" t="s">
        <v>162</v>
      </c>
      <c r="G3562" s="19"/>
    </row>
    <row r="3563" spans="1:7" ht="12.75" x14ac:dyDescent="0.2">
      <c r="A3563" s="3"/>
      <c r="B3563" s="4" t="s">
        <v>64</v>
      </c>
      <c r="C3563" s="3" t="s">
        <v>162</v>
      </c>
      <c r="G3563" s="19"/>
    </row>
    <row r="3564" spans="1:7" ht="12.75" x14ac:dyDescent="0.2">
      <c r="A3564" s="3"/>
      <c r="B3564" s="4" t="s">
        <v>64</v>
      </c>
      <c r="C3564" s="3" t="s">
        <v>162</v>
      </c>
      <c r="G3564" s="19"/>
    </row>
    <row r="3565" spans="1:7" ht="12.75" x14ac:dyDescent="0.2">
      <c r="A3565" s="3"/>
      <c r="B3565" s="4" t="s">
        <v>64</v>
      </c>
      <c r="C3565" s="3" t="s">
        <v>162</v>
      </c>
      <c r="F3565">
        <f>SUM(E3562:E3569)</f>
        <v>0</v>
      </c>
      <c r="G3565" s="19"/>
    </row>
    <row r="3566" spans="1:7" ht="12.75" x14ac:dyDescent="0.2">
      <c r="A3566" s="3"/>
      <c r="B3566" s="4" t="s">
        <v>64</v>
      </c>
      <c r="C3566" s="3" t="s">
        <v>162</v>
      </c>
      <c r="G3566" s="19"/>
    </row>
    <row r="3567" spans="1:7" ht="12.75" x14ac:dyDescent="0.2">
      <c r="A3567" s="3"/>
      <c r="B3567" s="4" t="s">
        <v>64</v>
      </c>
      <c r="C3567" s="3" t="s">
        <v>162</v>
      </c>
      <c r="G3567" s="19"/>
    </row>
    <row r="3568" spans="1:7" ht="12.75" x14ac:dyDescent="0.2">
      <c r="A3568" s="3"/>
      <c r="B3568" s="4" t="s">
        <v>64</v>
      </c>
      <c r="C3568" s="3" t="s">
        <v>162</v>
      </c>
      <c r="G3568" s="19"/>
    </row>
    <row r="3569" spans="1:7" ht="12.75" x14ac:dyDescent="0.2">
      <c r="A3569" s="3"/>
      <c r="B3569" s="4" t="s">
        <v>64</v>
      </c>
      <c r="C3569" s="3" t="s">
        <v>162</v>
      </c>
      <c r="G3569" s="19"/>
    </row>
    <row r="3570" spans="1:7" ht="12.75" x14ac:dyDescent="0.2">
      <c r="A3570" s="3"/>
      <c r="B3570" s="4" t="s">
        <v>64</v>
      </c>
      <c r="C3570" s="3" t="s">
        <v>161</v>
      </c>
      <c r="G3570" s="19"/>
    </row>
    <row r="3571" spans="1:7" ht="12.75" x14ac:dyDescent="0.2">
      <c r="A3571" s="3"/>
      <c r="B3571" s="4" t="s">
        <v>64</v>
      </c>
      <c r="C3571" s="3" t="s">
        <v>161</v>
      </c>
      <c r="G3571" s="19"/>
    </row>
    <row r="3572" spans="1:7" ht="12.75" x14ac:dyDescent="0.2">
      <c r="A3572" s="3"/>
      <c r="B3572" s="4" t="s">
        <v>64</v>
      </c>
      <c r="C3572" s="3" t="s">
        <v>161</v>
      </c>
      <c r="G3572" s="19"/>
    </row>
    <row r="3573" spans="1:7" ht="12.75" x14ac:dyDescent="0.2">
      <c r="A3573" s="3"/>
      <c r="B3573" s="4" t="s">
        <v>64</v>
      </c>
      <c r="C3573" s="3" t="s">
        <v>161</v>
      </c>
      <c r="F3573">
        <f>SUM(E3570:E3577)</f>
        <v>0</v>
      </c>
      <c r="G3573" s="19"/>
    </row>
    <row r="3574" spans="1:7" ht="12.75" x14ac:dyDescent="0.2">
      <c r="A3574" s="3"/>
      <c r="B3574" s="4" t="s">
        <v>64</v>
      </c>
      <c r="C3574" s="3" t="s">
        <v>161</v>
      </c>
      <c r="G3574" s="19"/>
    </row>
    <row r="3575" spans="1:7" ht="12.75" x14ac:dyDescent="0.2">
      <c r="A3575" s="3"/>
      <c r="B3575" s="4" t="s">
        <v>64</v>
      </c>
      <c r="C3575" s="3" t="s">
        <v>161</v>
      </c>
      <c r="G3575" s="19"/>
    </row>
    <row r="3576" spans="1:7" ht="12.75" x14ac:dyDescent="0.2">
      <c r="A3576" s="3"/>
      <c r="B3576" s="4" t="s">
        <v>64</v>
      </c>
      <c r="C3576" s="3" t="s">
        <v>161</v>
      </c>
      <c r="G3576" s="19"/>
    </row>
    <row r="3577" spans="1:7" ht="12.75" x14ac:dyDescent="0.2">
      <c r="A3577" s="3"/>
      <c r="B3577" s="4" t="s">
        <v>64</v>
      </c>
      <c r="C3577" s="3" t="s">
        <v>161</v>
      </c>
      <c r="G3577" s="19"/>
    </row>
    <row r="3578" spans="1:7" ht="12.75" x14ac:dyDescent="0.2">
      <c r="A3578" s="3"/>
      <c r="B3578" s="4" t="s">
        <v>100</v>
      </c>
      <c r="C3578" s="3" t="s">
        <v>162</v>
      </c>
      <c r="G3578" s="19"/>
    </row>
    <row r="3579" spans="1:7" ht="12.75" x14ac:dyDescent="0.2">
      <c r="A3579" s="3"/>
      <c r="B3579" s="4" t="s">
        <v>100</v>
      </c>
      <c r="C3579" s="3" t="s">
        <v>162</v>
      </c>
      <c r="G3579" s="19"/>
    </row>
    <row r="3580" spans="1:7" ht="12.75" x14ac:dyDescent="0.2">
      <c r="A3580" s="3"/>
      <c r="B3580" s="4" t="s">
        <v>100</v>
      </c>
      <c r="C3580" s="3" t="s">
        <v>162</v>
      </c>
      <c r="F3580">
        <f>SUM(E3578:E3584)</f>
        <v>0</v>
      </c>
      <c r="G3580" s="19"/>
    </row>
    <row r="3581" spans="1:7" ht="12.75" x14ac:dyDescent="0.2">
      <c r="A3581" s="3"/>
      <c r="B3581" s="4" t="s">
        <v>100</v>
      </c>
      <c r="C3581" s="3" t="s">
        <v>162</v>
      </c>
      <c r="G3581" s="19"/>
    </row>
    <row r="3582" spans="1:7" ht="12.75" x14ac:dyDescent="0.2">
      <c r="A3582" s="3"/>
      <c r="B3582" s="4" t="s">
        <v>100</v>
      </c>
      <c r="C3582" s="3" t="s">
        <v>162</v>
      </c>
      <c r="G3582" s="19"/>
    </row>
    <row r="3583" spans="1:7" ht="12.75" x14ac:dyDescent="0.2">
      <c r="A3583" s="3"/>
      <c r="B3583" s="4" t="s">
        <v>100</v>
      </c>
      <c r="C3583" s="3" t="s">
        <v>162</v>
      </c>
      <c r="G3583" s="19"/>
    </row>
    <row r="3584" spans="1:7" ht="12.75" x14ac:dyDescent="0.2">
      <c r="A3584" s="3"/>
      <c r="B3584" s="4" t="s">
        <v>100</v>
      </c>
      <c r="C3584" s="3" t="s">
        <v>162</v>
      </c>
      <c r="G3584" s="19"/>
    </row>
    <row r="3585" spans="1:7" ht="12.75" x14ac:dyDescent="0.2">
      <c r="A3585" s="3"/>
      <c r="B3585" s="4" t="s">
        <v>100</v>
      </c>
      <c r="C3585" s="3" t="s">
        <v>161</v>
      </c>
      <c r="G3585" s="19"/>
    </row>
    <row r="3586" spans="1:7" ht="12.75" x14ac:dyDescent="0.2">
      <c r="A3586" s="3"/>
      <c r="B3586" s="4" t="s">
        <v>100</v>
      </c>
      <c r="C3586" s="3" t="s">
        <v>161</v>
      </c>
      <c r="G3586" s="19"/>
    </row>
    <row r="3587" spans="1:7" ht="12.75" x14ac:dyDescent="0.2">
      <c r="A3587" s="3"/>
      <c r="B3587" s="4" t="s">
        <v>100</v>
      </c>
      <c r="C3587" s="3" t="s">
        <v>161</v>
      </c>
      <c r="F3587">
        <f>SUM(E3585:E3591)</f>
        <v>0</v>
      </c>
      <c r="G3587" s="19"/>
    </row>
    <row r="3588" spans="1:7" ht="12.75" x14ac:dyDescent="0.2">
      <c r="A3588" s="3"/>
      <c r="B3588" s="4" t="s">
        <v>100</v>
      </c>
      <c r="C3588" s="3" t="s">
        <v>161</v>
      </c>
      <c r="G3588" s="19"/>
    </row>
    <row r="3589" spans="1:7" ht="12.75" x14ac:dyDescent="0.2">
      <c r="A3589" s="3"/>
      <c r="B3589" s="4" t="s">
        <v>100</v>
      </c>
      <c r="C3589" s="3" t="s">
        <v>161</v>
      </c>
      <c r="G3589" s="19"/>
    </row>
    <row r="3590" spans="1:7" ht="12.75" x14ac:dyDescent="0.2">
      <c r="A3590" s="3"/>
      <c r="B3590" s="4" t="s">
        <v>100</v>
      </c>
      <c r="C3590" s="3" t="s">
        <v>161</v>
      </c>
      <c r="G3590" s="19"/>
    </row>
    <row r="3591" spans="1:7" ht="12.75" x14ac:dyDescent="0.2">
      <c r="A3591" s="3"/>
      <c r="B3591" s="4" t="s">
        <v>100</v>
      </c>
      <c r="C3591" s="3" t="s">
        <v>161</v>
      </c>
      <c r="G3591" s="19"/>
    </row>
    <row r="3592" spans="1:7" ht="12.75" x14ac:dyDescent="0.2">
      <c r="A3592" s="3"/>
      <c r="B3592" s="4" t="s">
        <v>37</v>
      </c>
      <c r="C3592" s="3" t="s">
        <v>162</v>
      </c>
      <c r="G3592" s="19"/>
    </row>
    <row r="3593" spans="1:7" ht="12.75" x14ac:dyDescent="0.2">
      <c r="A3593" s="3"/>
      <c r="B3593" s="4" t="s">
        <v>37</v>
      </c>
      <c r="C3593" s="3" t="s">
        <v>162</v>
      </c>
      <c r="F3593">
        <f>SUM(E3592:E3597)</f>
        <v>0</v>
      </c>
      <c r="G3593" s="19"/>
    </row>
    <row r="3594" spans="1:7" ht="12.75" x14ac:dyDescent="0.2">
      <c r="A3594" s="3"/>
      <c r="B3594" s="4" t="s">
        <v>37</v>
      </c>
      <c r="C3594" s="3" t="s">
        <v>162</v>
      </c>
      <c r="G3594" s="19"/>
    </row>
    <row r="3595" spans="1:7" ht="12.75" x14ac:dyDescent="0.2">
      <c r="A3595" s="3"/>
      <c r="B3595" s="4" t="s">
        <v>37</v>
      </c>
      <c r="C3595" s="3" t="s">
        <v>162</v>
      </c>
      <c r="G3595" s="19"/>
    </row>
    <row r="3596" spans="1:7" ht="12.75" x14ac:dyDescent="0.2">
      <c r="A3596" s="3"/>
      <c r="B3596" s="4" t="s">
        <v>37</v>
      </c>
      <c r="C3596" s="3" t="s">
        <v>162</v>
      </c>
      <c r="G3596" s="19"/>
    </row>
    <row r="3597" spans="1:7" ht="12.75" x14ac:dyDescent="0.2">
      <c r="A3597" s="3"/>
      <c r="B3597" s="4" t="s">
        <v>37</v>
      </c>
      <c r="C3597" s="3" t="s">
        <v>162</v>
      </c>
      <c r="G3597" s="19"/>
    </row>
    <row r="3598" spans="1:7" ht="12.75" x14ac:dyDescent="0.2">
      <c r="A3598" s="3"/>
      <c r="B3598" s="4" t="s">
        <v>37</v>
      </c>
      <c r="C3598" s="3" t="s">
        <v>161</v>
      </c>
      <c r="G3598" s="19"/>
    </row>
    <row r="3599" spans="1:7" ht="12.75" x14ac:dyDescent="0.2">
      <c r="A3599" s="3"/>
      <c r="B3599" s="4" t="s">
        <v>37</v>
      </c>
      <c r="C3599" s="3" t="s">
        <v>161</v>
      </c>
      <c r="F3599">
        <f>SUM(E3598:E3603)</f>
        <v>0</v>
      </c>
      <c r="G3599" s="19"/>
    </row>
    <row r="3600" spans="1:7" ht="12.75" x14ac:dyDescent="0.2">
      <c r="A3600" s="3"/>
      <c r="B3600" s="4" t="s">
        <v>37</v>
      </c>
      <c r="C3600" s="3" t="s">
        <v>161</v>
      </c>
      <c r="G3600" s="19"/>
    </row>
    <row r="3601" spans="1:7" ht="12.75" x14ac:dyDescent="0.2">
      <c r="A3601" s="3"/>
      <c r="B3601" s="4" t="s">
        <v>37</v>
      </c>
      <c r="C3601" s="3" t="s">
        <v>161</v>
      </c>
      <c r="G3601" s="19"/>
    </row>
    <row r="3602" spans="1:7" ht="12.75" x14ac:dyDescent="0.2">
      <c r="A3602" s="3"/>
      <c r="B3602" s="4" t="s">
        <v>37</v>
      </c>
      <c r="C3602" s="3" t="s">
        <v>161</v>
      </c>
      <c r="G3602" s="19"/>
    </row>
    <row r="3603" spans="1:7" ht="12.75" x14ac:dyDescent="0.2">
      <c r="A3603" s="3"/>
      <c r="B3603" s="4" t="s">
        <v>37</v>
      </c>
      <c r="C3603" s="3" t="s">
        <v>161</v>
      </c>
      <c r="G3603" s="19"/>
    </row>
    <row r="3604" spans="1:7" ht="12.75" x14ac:dyDescent="0.2">
      <c r="A3604" s="3"/>
      <c r="B3604" s="4" t="s">
        <v>38</v>
      </c>
      <c r="C3604" s="3" t="s">
        <v>162</v>
      </c>
      <c r="G3604" s="19"/>
    </row>
    <row r="3605" spans="1:7" ht="12.75" x14ac:dyDescent="0.2">
      <c r="A3605" s="3"/>
      <c r="B3605" s="4" t="s">
        <v>38</v>
      </c>
      <c r="C3605" s="3" t="s">
        <v>162</v>
      </c>
      <c r="G3605" s="19"/>
    </row>
    <row r="3606" spans="1:7" ht="12.75" x14ac:dyDescent="0.2">
      <c r="A3606" s="3"/>
      <c r="B3606" s="4" t="s">
        <v>38</v>
      </c>
      <c r="C3606" s="3" t="s">
        <v>162</v>
      </c>
      <c r="G3606" s="19"/>
    </row>
    <row r="3607" spans="1:7" ht="12.75" x14ac:dyDescent="0.2">
      <c r="A3607" s="3"/>
      <c r="B3607" s="4" t="s">
        <v>38</v>
      </c>
      <c r="C3607" s="3" t="s">
        <v>162</v>
      </c>
      <c r="G3607" s="19"/>
    </row>
    <row r="3608" spans="1:7" ht="12.75" x14ac:dyDescent="0.2">
      <c r="A3608" s="3"/>
      <c r="B3608" s="4" t="s">
        <v>38</v>
      </c>
      <c r="C3608" s="3" t="s">
        <v>162</v>
      </c>
      <c r="F3608">
        <f>SUM(E3604:E3612)</f>
        <v>0</v>
      </c>
      <c r="G3608" s="19"/>
    </row>
    <row r="3609" spans="1:7" ht="12.75" x14ac:dyDescent="0.2">
      <c r="A3609" s="3"/>
      <c r="B3609" s="4" t="s">
        <v>38</v>
      </c>
      <c r="C3609" s="3" t="s">
        <v>162</v>
      </c>
      <c r="G3609" s="19"/>
    </row>
    <row r="3610" spans="1:7" ht="12.75" x14ac:dyDescent="0.2">
      <c r="A3610" s="3"/>
      <c r="B3610" s="4" t="s">
        <v>38</v>
      </c>
      <c r="C3610" s="3" t="s">
        <v>162</v>
      </c>
      <c r="G3610" s="19"/>
    </row>
    <row r="3611" spans="1:7" ht="12.75" x14ac:dyDescent="0.2">
      <c r="A3611" s="3"/>
      <c r="B3611" s="4" t="s">
        <v>38</v>
      </c>
      <c r="C3611" s="3" t="s">
        <v>162</v>
      </c>
      <c r="G3611" s="19"/>
    </row>
    <row r="3612" spans="1:7" ht="12.75" x14ac:dyDescent="0.2">
      <c r="A3612" s="3"/>
      <c r="B3612" s="4" t="s">
        <v>38</v>
      </c>
      <c r="C3612" s="3" t="s">
        <v>162</v>
      </c>
      <c r="G3612" s="19"/>
    </row>
    <row r="3613" spans="1:7" ht="12.75" x14ac:dyDescent="0.2">
      <c r="A3613" s="3"/>
      <c r="B3613" s="4" t="s">
        <v>38</v>
      </c>
      <c r="C3613" s="3" t="s">
        <v>161</v>
      </c>
      <c r="G3613" s="19"/>
    </row>
    <row r="3614" spans="1:7" ht="12.75" x14ac:dyDescent="0.2">
      <c r="A3614" s="3"/>
      <c r="B3614" s="4" t="s">
        <v>38</v>
      </c>
      <c r="C3614" s="3" t="s">
        <v>161</v>
      </c>
      <c r="G3614" s="19"/>
    </row>
    <row r="3615" spans="1:7" ht="12.75" x14ac:dyDescent="0.2">
      <c r="A3615" s="3"/>
      <c r="B3615" s="4" t="s">
        <v>38</v>
      </c>
      <c r="C3615" s="3" t="s">
        <v>161</v>
      </c>
      <c r="G3615" s="19"/>
    </row>
    <row r="3616" spans="1:7" ht="12.75" x14ac:dyDescent="0.2">
      <c r="A3616" s="3"/>
      <c r="B3616" s="4" t="s">
        <v>38</v>
      </c>
      <c r="C3616" s="3" t="s">
        <v>161</v>
      </c>
      <c r="G3616" s="19"/>
    </row>
    <row r="3617" spans="1:7" ht="12.75" x14ac:dyDescent="0.2">
      <c r="A3617" s="3"/>
      <c r="B3617" s="4" t="s">
        <v>38</v>
      </c>
      <c r="C3617" s="3" t="s">
        <v>161</v>
      </c>
      <c r="F3617">
        <f>SUM(E3613:E3621)</f>
        <v>0</v>
      </c>
      <c r="G3617" s="19"/>
    </row>
    <row r="3618" spans="1:7" ht="12.75" x14ac:dyDescent="0.2">
      <c r="A3618" s="3"/>
      <c r="B3618" s="4" t="s">
        <v>38</v>
      </c>
      <c r="C3618" s="3" t="s">
        <v>161</v>
      </c>
      <c r="G3618" s="19"/>
    </row>
    <row r="3619" spans="1:7" ht="12.75" x14ac:dyDescent="0.2">
      <c r="A3619" s="3"/>
      <c r="B3619" s="4" t="s">
        <v>38</v>
      </c>
      <c r="C3619" s="3" t="s">
        <v>161</v>
      </c>
      <c r="G3619" s="19"/>
    </row>
    <row r="3620" spans="1:7" ht="12.75" x14ac:dyDescent="0.2">
      <c r="A3620" s="3"/>
      <c r="B3620" s="4" t="s">
        <v>38</v>
      </c>
      <c r="C3620" s="3" t="s">
        <v>161</v>
      </c>
      <c r="G3620" s="19"/>
    </row>
    <row r="3621" spans="1:7" ht="12.75" x14ac:dyDescent="0.2">
      <c r="A3621" s="3"/>
      <c r="B3621" s="4" t="s">
        <v>38</v>
      </c>
      <c r="C3621" s="3" t="s">
        <v>161</v>
      </c>
      <c r="G3621" s="19"/>
    </row>
    <row r="3622" spans="1:7" ht="12.75" x14ac:dyDescent="0.2">
      <c r="A3622" s="3"/>
      <c r="B3622" s="4" t="s">
        <v>107</v>
      </c>
      <c r="C3622" s="3" t="s">
        <v>162</v>
      </c>
      <c r="G3622" s="19"/>
    </row>
    <row r="3623" spans="1:7" ht="12.75" x14ac:dyDescent="0.2">
      <c r="A3623" s="3"/>
      <c r="B3623" s="4" t="s">
        <v>107</v>
      </c>
      <c r="C3623" s="3" t="s">
        <v>162</v>
      </c>
      <c r="G3623" s="19"/>
    </row>
    <row r="3624" spans="1:7" ht="12.75" x14ac:dyDescent="0.2">
      <c r="A3624" s="3"/>
      <c r="B3624" s="4" t="s">
        <v>107</v>
      </c>
      <c r="C3624" s="3" t="s">
        <v>162</v>
      </c>
      <c r="F3624">
        <f>SUM(E3622:E3628)</f>
        <v>0</v>
      </c>
      <c r="G3624" s="19"/>
    </row>
    <row r="3625" spans="1:7" ht="12.75" x14ac:dyDescent="0.2">
      <c r="A3625" s="3"/>
      <c r="B3625" s="4" t="s">
        <v>107</v>
      </c>
      <c r="C3625" s="3" t="s">
        <v>162</v>
      </c>
      <c r="G3625" s="19"/>
    </row>
    <row r="3626" spans="1:7" ht="12.75" x14ac:dyDescent="0.2">
      <c r="A3626" s="3"/>
      <c r="B3626" s="4" t="s">
        <v>107</v>
      </c>
      <c r="C3626" s="3" t="s">
        <v>162</v>
      </c>
      <c r="G3626" s="19"/>
    </row>
    <row r="3627" spans="1:7" ht="12.75" x14ac:dyDescent="0.2">
      <c r="A3627" s="3"/>
      <c r="B3627" s="4" t="s">
        <v>107</v>
      </c>
      <c r="C3627" s="3" t="s">
        <v>162</v>
      </c>
      <c r="G3627" s="19"/>
    </row>
    <row r="3628" spans="1:7" ht="12.75" x14ac:dyDescent="0.2">
      <c r="A3628" s="3"/>
      <c r="B3628" s="4" t="s">
        <v>107</v>
      </c>
      <c r="C3628" s="3" t="s">
        <v>162</v>
      </c>
      <c r="G3628" s="19"/>
    </row>
    <row r="3629" spans="1:7" ht="12.75" x14ac:dyDescent="0.2">
      <c r="A3629" s="3"/>
      <c r="B3629" s="4" t="s">
        <v>107</v>
      </c>
      <c r="C3629" s="3" t="s">
        <v>161</v>
      </c>
      <c r="G3629" s="19"/>
    </row>
    <row r="3630" spans="1:7" ht="12.75" x14ac:dyDescent="0.2">
      <c r="A3630" s="3"/>
      <c r="B3630" s="4" t="s">
        <v>107</v>
      </c>
      <c r="C3630" s="3" t="s">
        <v>161</v>
      </c>
      <c r="G3630" s="19"/>
    </row>
    <row r="3631" spans="1:7" ht="12.75" x14ac:dyDescent="0.2">
      <c r="A3631" s="3"/>
      <c r="B3631" s="4" t="s">
        <v>107</v>
      </c>
      <c r="C3631" s="3" t="s">
        <v>161</v>
      </c>
      <c r="G3631" s="19"/>
    </row>
    <row r="3632" spans="1:7" ht="12.75" x14ac:dyDescent="0.2">
      <c r="A3632" s="3"/>
      <c r="B3632" s="4" t="s">
        <v>107</v>
      </c>
      <c r="C3632" s="3" t="s">
        <v>161</v>
      </c>
      <c r="F3632">
        <f>SUM(E3629:E3636)</f>
        <v>0</v>
      </c>
      <c r="G3632" s="19"/>
    </row>
    <row r="3633" spans="1:7" ht="12.75" x14ac:dyDescent="0.2">
      <c r="A3633" s="3"/>
      <c r="B3633" s="4" t="s">
        <v>107</v>
      </c>
      <c r="C3633" s="3" t="s">
        <v>161</v>
      </c>
      <c r="G3633" s="19"/>
    </row>
    <row r="3634" spans="1:7" ht="12.75" x14ac:dyDescent="0.2">
      <c r="A3634" s="3"/>
      <c r="B3634" s="4" t="s">
        <v>107</v>
      </c>
      <c r="C3634" s="3" t="s">
        <v>161</v>
      </c>
      <c r="G3634" s="19"/>
    </row>
    <row r="3635" spans="1:7" ht="12.75" x14ac:dyDescent="0.2">
      <c r="A3635" s="3"/>
      <c r="B3635" s="4" t="s">
        <v>107</v>
      </c>
      <c r="C3635" s="3" t="s">
        <v>161</v>
      </c>
      <c r="G3635" s="19"/>
    </row>
    <row r="3636" spans="1:7" ht="12.75" x14ac:dyDescent="0.2">
      <c r="A3636" s="3"/>
      <c r="B3636" s="4" t="s">
        <v>107</v>
      </c>
      <c r="C3636" s="3" t="s">
        <v>161</v>
      </c>
      <c r="G3636" s="19"/>
    </row>
    <row r="3637" spans="1:7" ht="12.75" x14ac:dyDescent="0.2">
      <c r="A3637" s="3"/>
      <c r="B3637" s="4" t="s">
        <v>110</v>
      </c>
      <c r="C3637" s="3" t="s">
        <v>162</v>
      </c>
      <c r="G3637" s="19"/>
    </row>
    <row r="3638" spans="1:7" ht="12.75" x14ac:dyDescent="0.2">
      <c r="A3638" s="3"/>
      <c r="B3638" s="4" t="s">
        <v>110</v>
      </c>
      <c r="C3638" s="3" t="s">
        <v>162</v>
      </c>
      <c r="G3638" s="19"/>
    </row>
    <row r="3639" spans="1:7" ht="12.75" x14ac:dyDescent="0.2">
      <c r="A3639" s="3"/>
      <c r="B3639" s="4" t="s">
        <v>110</v>
      </c>
      <c r="C3639" s="3" t="s">
        <v>162</v>
      </c>
      <c r="F3639">
        <f>SUM(E3637:E3643)</f>
        <v>0</v>
      </c>
      <c r="G3639" s="19"/>
    </row>
    <row r="3640" spans="1:7" ht="12.75" x14ac:dyDescent="0.2">
      <c r="A3640" s="3"/>
      <c r="B3640" s="4" t="s">
        <v>110</v>
      </c>
      <c r="C3640" s="3" t="s">
        <v>162</v>
      </c>
      <c r="G3640" s="19"/>
    </row>
    <row r="3641" spans="1:7" ht="12.75" x14ac:dyDescent="0.2">
      <c r="A3641" s="3"/>
      <c r="B3641" s="4" t="s">
        <v>110</v>
      </c>
      <c r="C3641" s="3" t="s">
        <v>162</v>
      </c>
      <c r="G3641" s="19"/>
    </row>
    <row r="3642" spans="1:7" ht="12.75" x14ac:dyDescent="0.2">
      <c r="A3642" s="3"/>
      <c r="B3642" s="4" t="s">
        <v>110</v>
      </c>
      <c r="C3642" s="3" t="s">
        <v>162</v>
      </c>
      <c r="G3642" s="19"/>
    </row>
    <row r="3643" spans="1:7" ht="12.75" x14ac:dyDescent="0.2">
      <c r="A3643" s="3"/>
      <c r="B3643" s="4" t="s">
        <v>110</v>
      </c>
      <c r="C3643" s="3" t="s">
        <v>162</v>
      </c>
      <c r="G3643" s="19"/>
    </row>
    <row r="3644" spans="1:7" ht="12.75" x14ac:dyDescent="0.2">
      <c r="A3644" s="3"/>
      <c r="B3644" s="4" t="s">
        <v>110</v>
      </c>
      <c r="C3644" s="3" t="s">
        <v>161</v>
      </c>
      <c r="G3644" s="19"/>
    </row>
    <row r="3645" spans="1:7" ht="12.75" x14ac:dyDescent="0.2">
      <c r="A3645" s="3"/>
      <c r="B3645" s="4" t="s">
        <v>110</v>
      </c>
      <c r="C3645" s="3" t="s">
        <v>161</v>
      </c>
      <c r="G3645" s="19"/>
    </row>
    <row r="3646" spans="1:7" ht="12.75" x14ac:dyDescent="0.2">
      <c r="A3646" s="3"/>
      <c r="B3646" s="4" t="s">
        <v>110</v>
      </c>
      <c r="C3646" s="3" t="s">
        <v>161</v>
      </c>
      <c r="F3646">
        <f>SUM(E3644:E3650)</f>
        <v>0</v>
      </c>
      <c r="G3646" s="19"/>
    </row>
    <row r="3647" spans="1:7" ht="12.75" x14ac:dyDescent="0.2">
      <c r="A3647" s="3"/>
      <c r="B3647" s="4" t="s">
        <v>110</v>
      </c>
      <c r="C3647" s="3" t="s">
        <v>161</v>
      </c>
      <c r="G3647" s="19"/>
    </row>
    <row r="3648" spans="1:7" ht="12.75" x14ac:dyDescent="0.2">
      <c r="A3648" s="3"/>
      <c r="B3648" s="4" t="s">
        <v>110</v>
      </c>
      <c r="C3648" s="3" t="s">
        <v>161</v>
      </c>
      <c r="G3648" s="19"/>
    </row>
    <row r="3649" spans="1:7" ht="12.75" x14ac:dyDescent="0.2">
      <c r="A3649" s="3"/>
      <c r="B3649" s="4" t="s">
        <v>110</v>
      </c>
      <c r="C3649" s="3" t="s">
        <v>161</v>
      </c>
      <c r="G3649" s="19"/>
    </row>
    <row r="3650" spans="1:7" ht="12.75" x14ac:dyDescent="0.2">
      <c r="A3650" s="3"/>
      <c r="B3650" s="4" t="s">
        <v>110</v>
      </c>
      <c r="C3650" s="3" t="s">
        <v>161</v>
      </c>
      <c r="G3650" s="19"/>
    </row>
    <row r="3651" spans="1:7" ht="12.75" x14ac:dyDescent="0.2">
      <c r="A3651" s="3"/>
      <c r="B3651" s="4" t="s">
        <v>47</v>
      </c>
      <c r="C3651" s="3" t="s">
        <v>162</v>
      </c>
      <c r="G3651" s="19"/>
    </row>
    <row r="3652" spans="1:7" ht="12.75" x14ac:dyDescent="0.2">
      <c r="A3652" s="3"/>
      <c r="B3652" s="4" t="s">
        <v>47</v>
      </c>
      <c r="C3652" s="3" t="s">
        <v>162</v>
      </c>
      <c r="G3652" s="19"/>
    </row>
    <row r="3653" spans="1:7" ht="12.75" x14ac:dyDescent="0.2">
      <c r="A3653" s="3"/>
      <c r="B3653" s="4" t="s">
        <v>47</v>
      </c>
      <c r="C3653" s="3" t="s">
        <v>162</v>
      </c>
      <c r="F3653">
        <f>SUM(E3651:E3657)</f>
        <v>0</v>
      </c>
      <c r="G3653" s="19"/>
    </row>
    <row r="3654" spans="1:7" ht="12.75" x14ac:dyDescent="0.2">
      <c r="A3654" s="3"/>
      <c r="B3654" s="4" t="s">
        <v>47</v>
      </c>
      <c r="C3654" s="3" t="s">
        <v>162</v>
      </c>
      <c r="G3654" s="19"/>
    </row>
    <row r="3655" spans="1:7" ht="12.75" x14ac:dyDescent="0.2">
      <c r="A3655" s="3"/>
      <c r="B3655" s="4" t="s">
        <v>47</v>
      </c>
      <c r="C3655" s="3" t="s">
        <v>162</v>
      </c>
      <c r="G3655" s="19"/>
    </row>
    <row r="3656" spans="1:7" ht="12.75" x14ac:dyDescent="0.2">
      <c r="A3656" s="3"/>
      <c r="B3656" s="4" t="s">
        <v>47</v>
      </c>
      <c r="C3656" s="3" t="s">
        <v>162</v>
      </c>
      <c r="G3656" s="19"/>
    </row>
    <row r="3657" spans="1:7" ht="12.75" x14ac:dyDescent="0.2">
      <c r="A3657" s="3"/>
      <c r="B3657" s="4" t="s">
        <v>47</v>
      </c>
      <c r="C3657" s="3" t="s">
        <v>162</v>
      </c>
      <c r="G3657" s="19"/>
    </row>
    <row r="3658" spans="1:7" ht="12.75" x14ac:dyDescent="0.2">
      <c r="A3658" s="3"/>
      <c r="B3658" s="4" t="s">
        <v>47</v>
      </c>
      <c r="C3658" s="3" t="s">
        <v>161</v>
      </c>
      <c r="G3658" s="19"/>
    </row>
    <row r="3659" spans="1:7" ht="12.75" x14ac:dyDescent="0.2">
      <c r="A3659" s="3"/>
      <c r="B3659" s="4" t="s">
        <v>47</v>
      </c>
      <c r="C3659" s="3" t="s">
        <v>161</v>
      </c>
      <c r="G3659" s="19"/>
    </row>
    <row r="3660" spans="1:7" ht="12.75" x14ac:dyDescent="0.2">
      <c r="A3660" s="3"/>
      <c r="B3660" s="4" t="s">
        <v>47</v>
      </c>
      <c r="C3660" s="3" t="s">
        <v>161</v>
      </c>
      <c r="F3660">
        <f>SUM(E3658:E3664)</f>
        <v>0</v>
      </c>
      <c r="G3660" s="19"/>
    </row>
    <row r="3661" spans="1:7" ht="12.75" x14ac:dyDescent="0.2">
      <c r="A3661" s="3"/>
      <c r="B3661" s="4" t="s">
        <v>47</v>
      </c>
      <c r="C3661" s="3" t="s">
        <v>161</v>
      </c>
      <c r="G3661" s="19"/>
    </row>
    <row r="3662" spans="1:7" ht="12.75" x14ac:dyDescent="0.2">
      <c r="A3662" s="3"/>
      <c r="B3662" s="4" t="s">
        <v>47</v>
      </c>
      <c r="C3662" s="3" t="s">
        <v>161</v>
      </c>
      <c r="G3662" s="19"/>
    </row>
    <row r="3663" spans="1:7" ht="12.75" x14ac:dyDescent="0.2">
      <c r="A3663" s="3"/>
      <c r="B3663" s="4" t="s">
        <v>47</v>
      </c>
      <c r="C3663" s="3" t="s">
        <v>161</v>
      </c>
      <c r="G3663" s="19"/>
    </row>
    <row r="3664" spans="1:7" ht="12.75" x14ac:dyDescent="0.2">
      <c r="A3664" s="3"/>
      <c r="B3664" s="4" t="s">
        <v>47</v>
      </c>
      <c r="C3664" s="3" t="s">
        <v>161</v>
      </c>
      <c r="G3664" s="19"/>
    </row>
    <row r="3665" spans="1:7" ht="12.75" x14ac:dyDescent="0.2">
      <c r="A3665" s="3"/>
      <c r="B3665" s="4" t="s">
        <v>69</v>
      </c>
      <c r="C3665" s="3" t="s">
        <v>162</v>
      </c>
      <c r="G3665" s="19"/>
    </row>
    <row r="3666" spans="1:7" ht="12.75" x14ac:dyDescent="0.2">
      <c r="A3666" s="3"/>
      <c r="B3666" s="4" t="s">
        <v>69</v>
      </c>
      <c r="C3666" s="3" t="s">
        <v>162</v>
      </c>
      <c r="G3666" s="19"/>
    </row>
    <row r="3667" spans="1:7" ht="12.75" x14ac:dyDescent="0.2">
      <c r="A3667" s="3"/>
      <c r="B3667" s="4" t="s">
        <v>69</v>
      </c>
      <c r="C3667" s="3" t="s">
        <v>162</v>
      </c>
      <c r="G3667" s="19"/>
    </row>
    <row r="3668" spans="1:7" ht="12.75" x14ac:dyDescent="0.2">
      <c r="A3668" s="3"/>
      <c r="B3668" s="4" t="s">
        <v>69</v>
      </c>
      <c r="C3668" s="3" t="s">
        <v>162</v>
      </c>
      <c r="F3668">
        <f>SUM(E3665:E3672)</f>
        <v>0</v>
      </c>
      <c r="G3668" s="19"/>
    </row>
    <row r="3669" spans="1:7" ht="12.75" x14ac:dyDescent="0.2">
      <c r="A3669" s="3"/>
      <c r="B3669" s="4" t="s">
        <v>69</v>
      </c>
      <c r="C3669" s="3" t="s">
        <v>162</v>
      </c>
      <c r="G3669" s="19"/>
    </row>
    <row r="3670" spans="1:7" ht="12.75" x14ac:dyDescent="0.2">
      <c r="A3670" s="3"/>
      <c r="B3670" s="4" t="s">
        <v>69</v>
      </c>
      <c r="C3670" s="3" t="s">
        <v>162</v>
      </c>
      <c r="G3670" s="19"/>
    </row>
    <row r="3671" spans="1:7" ht="12.75" x14ac:dyDescent="0.2">
      <c r="A3671" s="3"/>
      <c r="B3671" s="4" t="s">
        <v>69</v>
      </c>
      <c r="C3671" s="3" t="s">
        <v>162</v>
      </c>
      <c r="G3671" s="19"/>
    </row>
    <row r="3672" spans="1:7" ht="12.75" x14ac:dyDescent="0.2">
      <c r="A3672" s="3"/>
      <c r="B3672" s="4" t="s">
        <v>69</v>
      </c>
      <c r="C3672" s="3" t="s">
        <v>162</v>
      </c>
      <c r="G3672" s="19"/>
    </row>
    <row r="3673" spans="1:7" ht="12.75" x14ac:dyDescent="0.2">
      <c r="A3673" s="3"/>
      <c r="B3673" s="4" t="s">
        <v>69</v>
      </c>
      <c r="C3673" s="3" t="s">
        <v>161</v>
      </c>
      <c r="G3673" s="19"/>
    </row>
    <row r="3674" spans="1:7" ht="12.75" x14ac:dyDescent="0.2">
      <c r="A3674" s="3"/>
      <c r="B3674" s="4" t="s">
        <v>69</v>
      </c>
      <c r="C3674" s="3" t="s">
        <v>161</v>
      </c>
      <c r="G3674" s="19"/>
    </row>
    <row r="3675" spans="1:7" ht="12.75" x14ac:dyDescent="0.2">
      <c r="A3675" s="3"/>
      <c r="B3675" s="4" t="s">
        <v>69</v>
      </c>
      <c r="C3675" s="3" t="s">
        <v>161</v>
      </c>
      <c r="G3675" s="19"/>
    </row>
    <row r="3676" spans="1:7" ht="12.75" x14ac:dyDescent="0.2">
      <c r="A3676" s="3"/>
      <c r="B3676" s="4" t="s">
        <v>69</v>
      </c>
      <c r="C3676" s="3" t="s">
        <v>161</v>
      </c>
      <c r="G3676" s="19"/>
    </row>
    <row r="3677" spans="1:7" ht="12.75" x14ac:dyDescent="0.2">
      <c r="A3677" s="3"/>
      <c r="B3677" s="4" t="s">
        <v>69</v>
      </c>
      <c r="C3677" s="3" t="s">
        <v>161</v>
      </c>
      <c r="F3677">
        <f>SUM(E3673:E3681)</f>
        <v>0</v>
      </c>
      <c r="G3677" s="19"/>
    </row>
    <row r="3678" spans="1:7" ht="12.75" x14ac:dyDescent="0.2">
      <c r="A3678" s="3"/>
      <c r="B3678" s="4" t="s">
        <v>69</v>
      </c>
      <c r="C3678" s="3" t="s">
        <v>161</v>
      </c>
      <c r="G3678" s="19"/>
    </row>
    <row r="3679" spans="1:7" ht="12.75" x14ac:dyDescent="0.2">
      <c r="A3679" s="3"/>
      <c r="B3679" s="4" t="s">
        <v>69</v>
      </c>
      <c r="C3679" s="3" t="s">
        <v>161</v>
      </c>
      <c r="G3679" s="19"/>
    </row>
    <row r="3680" spans="1:7" ht="12.75" x14ac:dyDescent="0.2">
      <c r="A3680" s="3"/>
      <c r="B3680" s="4" t="s">
        <v>69</v>
      </c>
      <c r="C3680" s="3" t="s">
        <v>161</v>
      </c>
      <c r="G3680" s="19"/>
    </row>
    <row r="3681" spans="1:7" ht="12.75" x14ac:dyDescent="0.2">
      <c r="A3681" s="3"/>
      <c r="B3681" s="4" t="s">
        <v>69</v>
      </c>
      <c r="C3681" s="3" t="s">
        <v>161</v>
      </c>
      <c r="G3681" s="19"/>
    </row>
    <row r="3682" spans="1:7" ht="12.75" x14ac:dyDescent="0.2">
      <c r="A3682" s="3"/>
      <c r="B3682" s="4" t="s">
        <v>93</v>
      </c>
      <c r="C3682" s="3" t="s">
        <v>162</v>
      </c>
      <c r="G3682" s="19"/>
    </row>
    <row r="3683" spans="1:7" ht="12.75" x14ac:dyDescent="0.2">
      <c r="A3683" s="3"/>
      <c r="B3683" s="4" t="s">
        <v>93</v>
      </c>
      <c r="C3683" s="3" t="s">
        <v>162</v>
      </c>
      <c r="G3683" s="19"/>
    </row>
    <row r="3684" spans="1:7" ht="12.75" x14ac:dyDescent="0.2">
      <c r="A3684" s="3"/>
      <c r="B3684" s="4" t="s">
        <v>93</v>
      </c>
      <c r="C3684" s="3" t="s">
        <v>162</v>
      </c>
      <c r="G3684" s="19"/>
    </row>
    <row r="3685" spans="1:7" ht="12.75" x14ac:dyDescent="0.2">
      <c r="A3685" s="3"/>
      <c r="B3685" s="4" t="s">
        <v>93</v>
      </c>
      <c r="C3685" s="3" t="s">
        <v>162</v>
      </c>
      <c r="G3685" s="19"/>
    </row>
    <row r="3686" spans="1:7" ht="12.75" x14ac:dyDescent="0.2">
      <c r="A3686" s="3"/>
      <c r="B3686" s="4" t="s">
        <v>93</v>
      </c>
      <c r="C3686" s="3" t="s">
        <v>162</v>
      </c>
      <c r="F3686">
        <f>SUM(E3682:E3690)</f>
        <v>0</v>
      </c>
      <c r="G3686" s="19"/>
    </row>
    <row r="3687" spans="1:7" ht="12.75" x14ac:dyDescent="0.2">
      <c r="A3687" s="3"/>
      <c r="B3687" s="4" t="s">
        <v>93</v>
      </c>
      <c r="C3687" s="3" t="s">
        <v>162</v>
      </c>
      <c r="G3687" s="19"/>
    </row>
    <row r="3688" spans="1:7" ht="12.75" x14ac:dyDescent="0.2">
      <c r="A3688" s="3"/>
      <c r="B3688" s="4" t="s">
        <v>93</v>
      </c>
      <c r="C3688" s="3" t="s">
        <v>162</v>
      </c>
      <c r="G3688" s="19"/>
    </row>
    <row r="3689" spans="1:7" ht="12.75" x14ac:dyDescent="0.2">
      <c r="A3689" s="3"/>
      <c r="B3689" s="4" t="s">
        <v>93</v>
      </c>
      <c r="C3689" s="3" t="s">
        <v>162</v>
      </c>
      <c r="G3689" s="19"/>
    </row>
    <row r="3690" spans="1:7" ht="12.75" x14ac:dyDescent="0.2">
      <c r="A3690" s="3"/>
      <c r="B3690" s="4" t="s">
        <v>93</v>
      </c>
      <c r="C3690" s="3" t="s">
        <v>162</v>
      </c>
      <c r="G3690" s="19"/>
    </row>
    <row r="3691" spans="1:7" ht="12.75" x14ac:dyDescent="0.2">
      <c r="A3691" s="3"/>
      <c r="B3691" s="4" t="s">
        <v>93</v>
      </c>
      <c r="C3691" s="3" t="s">
        <v>161</v>
      </c>
      <c r="G3691" s="19"/>
    </row>
    <row r="3692" spans="1:7" ht="12.75" x14ac:dyDescent="0.2">
      <c r="A3692" s="3"/>
      <c r="B3692" s="4" t="s">
        <v>93</v>
      </c>
      <c r="C3692" s="3" t="s">
        <v>161</v>
      </c>
      <c r="G3692" s="19"/>
    </row>
    <row r="3693" spans="1:7" ht="12.75" x14ac:dyDescent="0.2">
      <c r="A3693" s="3"/>
      <c r="B3693" s="4" t="s">
        <v>93</v>
      </c>
      <c r="C3693" s="3" t="s">
        <v>161</v>
      </c>
      <c r="G3693" s="19"/>
    </row>
    <row r="3694" spans="1:7" ht="12.75" x14ac:dyDescent="0.2">
      <c r="A3694" s="3"/>
      <c r="B3694" s="4" t="s">
        <v>93</v>
      </c>
      <c r="C3694" s="3" t="s">
        <v>161</v>
      </c>
      <c r="G3694" s="19"/>
    </row>
    <row r="3695" spans="1:7" ht="12.75" x14ac:dyDescent="0.2">
      <c r="A3695" s="3"/>
      <c r="B3695" s="4" t="s">
        <v>93</v>
      </c>
      <c r="C3695" s="3" t="s">
        <v>161</v>
      </c>
      <c r="F3695">
        <f>SUM(E3691:E3699)</f>
        <v>0</v>
      </c>
      <c r="G3695" s="19"/>
    </row>
    <row r="3696" spans="1:7" ht="12.75" x14ac:dyDescent="0.2">
      <c r="A3696" s="3"/>
      <c r="B3696" s="4" t="s">
        <v>93</v>
      </c>
      <c r="C3696" s="3" t="s">
        <v>161</v>
      </c>
      <c r="G3696" s="19"/>
    </row>
    <row r="3697" spans="1:7" ht="12.75" x14ac:dyDescent="0.2">
      <c r="A3697" s="3"/>
      <c r="B3697" s="4" t="s">
        <v>93</v>
      </c>
      <c r="C3697" s="3" t="s">
        <v>161</v>
      </c>
      <c r="G3697" s="19"/>
    </row>
    <row r="3698" spans="1:7" ht="12.75" x14ac:dyDescent="0.2">
      <c r="A3698" s="3"/>
      <c r="B3698" s="4" t="s">
        <v>93</v>
      </c>
      <c r="C3698" s="3" t="s">
        <v>161</v>
      </c>
      <c r="G3698" s="19"/>
    </row>
    <row r="3699" spans="1:7" ht="12.75" x14ac:dyDescent="0.2">
      <c r="A3699" s="3"/>
      <c r="B3699" s="4" t="s">
        <v>93</v>
      </c>
      <c r="C3699" s="3" t="s">
        <v>161</v>
      </c>
      <c r="G3699" s="19"/>
    </row>
    <row r="3700" spans="1:7" ht="12.75" x14ac:dyDescent="0.2">
      <c r="A3700" s="3"/>
      <c r="B3700" s="4" t="s">
        <v>74</v>
      </c>
      <c r="C3700" s="3" t="s">
        <v>162</v>
      </c>
      <c r="G3700" s="19"/>
    </row>
    <row r="3701" spans="1:7" ht="12.75" x14ac:dyDescent="0.2">
      <c r="A3701" s="3"/>
      <c r="B3701" s="4" t="s">
        <v>74</v>
      </c>
      <c r="C3701" s="3" t="s">
        <v>162</v>
      </c>
      <c r="F3701">
        <f>SUM(E3700:E3705)</f>
        <v>0</v>
      </c>
      <c r="G3701" s="19"/>
    </row>
    <row r="3702" spans="1:7" ht="12.75" x14ac:dyDescent="0.2">
      <c r="A3702" s="3"/>
      <c r="B3702" s="4" t="s">
        <v>74</v>
      </c>
      <c r="C3702" s="3" t="s">
        <v>162</v>
      </c>
      <c r="G3702" s="19"/>
    </row>
    <row r="3703" spans="1:7" ht="12.75" x14ac:dyDescent="0.2">
      <c r="A3703" s="3"/>
      <c r="B3703" s="4" t="s">
        <v>74</v>
      </c>
      <c r="C3703" s="3" t="s">
        <v>162</v>
      </c>
      <c r="G3703" s="19"/>
    </row>
    <row r="3704" spans="1:7" ht="12.75" x14ac:dyDescent="0.2">
      <c r="A3704" s="3"/>
      <c r="B3704" s="4" t="s">
        <v>74</v>
      </c>
      <c r="C3704" s="3" t="s">
        <v>162</v>
      </c>
      <c r="G3704" s="19"/>
    </row>
    <row r="3705" spans="1:7" ht="12.75" x14ac:dyDescent="0.2">
      <c r="A3705" s="3"/>
      <c r="B3705" s="4" t="s">
        <v>74</v>
      </c>
      <c r="C3705" s="3" t="s">
        <v>162</v>
      </c>
      <c r="G3705" s="19"/>
    </row>
    <row r="3706" spans="1:7" ht="12.75" x14ac:dyDescent="0.2">
      <c r="A3706" s="3"/>
      <c r="B3706" s="4" t="s">
        <v>74</v>
      </c>
      <c r="C3706" s="3" t="s">
        <v>161</v>
      </c>
      <c r="G3706" s="19"/>
    </row>
    <row r="3707" spans="1:7" ht="12.75" x14ac:dyDescent="0.2">
      <c r="A3707" s="3"/>
      <c r="B3707" s="4" t="s">
        <v>74</v>
      </c>
      <c r="C3707" s="3" t="s">
        <v>161</v>
      </c>
      <c r="F3707">
        <f>SUM(E3706:E3711)</f>
        <v>0</v>
      </c>
      <c r="G3707" s="19"/>
    </row>
    <row r="3708" spans="1:7" ht="12.75" x14ac:dyDescent="0.2">
      <c r="A3708" s="3"/>
      <c r="B3708" s="4" t="s">
        <v>74</v>
      </c>
      <c r="C3708" s="3" t="s">
        <v>161</v>
      </c>
      <c r="G3708" s="19"/>
    </row>
    <row r="3709" spans="1:7" ht="12.75" x14ac:dyDescent="0.2">
      <c r="A3709" s="3"/>
      <c r="B3709" s="4" t="s">
        <v>74</v>
      </c>
      <c r="C3709" s="3" t="s">
        <v>161</v>
      </c>
      <c r="G3709" s="19"/>
    </row>
    <row r="3710" spans="1:7" ht="12.75" x14ac:dyDescent="0.2">
      <c r="A3710" s="3"/>
      <c r="B3710" s="4" t="s">
        <v>74</v>
      </c>
      <c r="C3710" s="3" t="s">
        <v>161</v>
      </c>
      <c r="G3710" s="19"/>
    </row>
    <row r="3711" spans="1:7" ht="12.75" x14ac:dyDescent="0.2">
      <c r="A3711" s="3"/>
      <c r="B3711" s="4" t="s">
        <v>74</v>
      </c>
      <c r="C3711" s="3" t="s">
        <v>161</v>
      </c>
      <c r="G3711" s="19"/>
    </row>
    <row r="3712" spans="1:7" ht="12.75" x14ac:dyDescent="0.2">
      <c r="A3712" s="3"/>
      <c r="B3712" s="4" t="s">
        <v>42</v>
      </c>
      <c r="C3712" s="3" t="s">
        <v>162</v>
      </c>
      <c r="G3712" s="19"/>
    </row>
    <row r="3713" spans="1:7" ht="12.75" x14ac:dyDescent="0.2">
      <c r="A3713" s="3"/>
      <c r="B3713" s="4" t="s">
        <v>42</v>
      </c>
      <c r="C3713" s="3" t="s">
        <v>162</v>
      </c>
      <c r="G3713" s="19"/>
    </row>
    <row r="3714" spans="1:7" ht="12.75" x14ac:dyDescent="0.2">
      <c r="A3714" s="3"/>
      <c r="B3714" s="4" t="s">
        <v>42</v>
      </c>
      <c r="C3714" s="3" t="s">
        <v>162</v>
      </c>
      <c r="G3714" s="19"/>
    </row>
    <row r="3715" spans="1:7" ht="12.75" x14ac:dyDescent="0.2">
      <c r="A3715" s="3"/>
      <c r="B3715" s="4" t="s">
        <v>42</v>
      </c>
      <c r="C3715" s="3" t="s">
        <v>162</v>
      </c>
      <c r="G3715" s="19"/>
    </row>
    <row r="3716" spans="1:7" ht="12.75" x14ac:dyDescent="0.2">
      <c r="A3716" s="3"/>
      <c r="B3716" s="4" t="s">
        <v>42</v>
      </c>
      <c r="C3716" s="3" t="s">
        <v>162</v>
      </c>
      <c r="F3716">
        <f>SUM(E3712:E3720)</f>
        <v>0</v>
      </c>
      <c r="G3716" s="19"/>
    </row>
    <row r="3717" spans="1:7" ht="12.75" x14ac:dyDescent="0.2">
      <c r="A3717" s="3"/>
      <c r="B3717" s="4" t="s">
        <v>42</v>
      </c>
      <c r="C3717" s="3" t="s">
        <v>162</v>
      </c>
      <c r="G3717" s="19"/>
    </row>
    <row r="3718" spans="1:7" ht="12.75" x14ac:dyDescent="0.2">
      <c r="A3718" s="3"/>
      <c r="B3718" s="4" t="s">
        <v>42</v>
      </c>
      <c r="C3718" s="3" t="s">
        <v>162</v>
      </c>
      <c r="G3718" s="19"/>
    </row>
    <row r="3719" spans="1:7" ht="12.75" x14ac:dyDescent="0.2">
      <c r="A3719" s="3"/>
      <c r="B3719" s="4" t="s">
        <v>42</v>
      </c>
      <c r="C3719" s="3" t="s">
        <v>162</v>
      </c>
      <c r="G3719" s="19"/>
    </row>
    <row r="3720" spans="1:7" ht="12.75" x14ac:dyDescent="0.2">
      <c r="A3720" s="3"/>
      <c r="B3720" s="4" t="s">
        <v>42</v>
      </c>
      <c r="C3720" s="3" t="s">
        <v>162</v>
      </c>
      <c r="G3720" s="19"/>
    </row>
    <row r="3721" spans="1:7" ht="12.75" x14ac:dyDescent="0.2">
      <c r="A3721" s="3"/>
      <c r="B3721" s="4" t="s">
        <v>42</v>
      </c>
      <c r="C3721" s="3" t="s">
        <v>161</v>
      </c>
      <c r="G3721" s="19"/>
    </row>
    <row r="3722" spans="1:7" ht="12.75" x14ac:dyDescent="0.2">
      <c r="A3722" s="3"/>
      <c r="B3722" s="4" t="s">
        <v>42</v>
      </c>
      <c r="C3722" s="3" t="s">
        <v>161</v>
      </c>
      <c r="G3722" s="19"/>
    </row>
    <row r="3723" spans="1:7" ht="12.75" x14ac:dyDescent="0.2">
      <c r="A3723" s="3"/>
      <c r="B3723" s="4" t="s">
        <v>42</v>
      </c>
      <c r="C3723" s="3" t="s">
        <v>161</v>
      </c>
      <c r="G3723" s="19"/>
    </row>
    <row r="3724" spans="1:7" ht="12.75" x14ac:dyDescent="0.2">
      <c r="A3724" s="3"/>
      <c r="B3724" s="4" t="s">
        <v>42</v>
      </c>
      <c r="C3724" s="3" t="s">
        <v>161</v>
      </c>
      <c r="G3724" s="19"/>
    </row>
    <row r="3725" spans="1:7" ht="12.75" x14ac:dyDescent="0.2">
      <c r="A3725" s="3"/>
      <c r="B3725" s="4" t="s">
        <v>42</v>
      </c>
      <c r="C3725" s="3" t="s">
        <v>161</v>
      </c>
      <c r="F3725">
        <f>SUM(E3721:E3729)</f>
        <v>0</v>
      </c>
      <c r="G3725" s="19"/>
    </row>
    <row r="3726" spans="1:7" ht="12.75" x14ac:dyDescent="0.2">
      <c r="A3726" s="3"/>
      <c r="B3726" s="4" t="s">
        <v>42</v>
      </c>
      <c r="C3726" s="3" t="s">
        <v>161</v>
      </c>
      <c r="G3726" s="19"/>
    </row>
    <row r="3727" spans="1:7" ht="12.75" x14ac:dyDescent="0.2">
      <c r="A3727" s="3"/>
      <c r="B3727" s="4" t="s">
        <v>42</v>
      </c>
      <c r="C3727" s="3" t="s">
        <v>161</v>
      </c>
      <c r="G3727" s="19"/>
    </row>
    <row r="3728" spans="1:7" ht="12.75" x14ac:dyDescent="0.2">
      <c r="A3728" s="3"/>
      <c r="B3728" s="4" t="s">
        <v>42</v>
      </c>
      <c r="C3728" s="3" t="s">
        <v>161</v>
      </c>
      <c r="G3728" s="19"/>
    </row>
    <row r="3729" spans="1:7" ht="12.75" x14ac:dyDescent="0.2">
      <c r="A3729" s="3"/>
      <c r="B3729" s="4" t="s">
        <v>42</v>
      </c>
      <c r="C3729" s="3" t="s">
        <v>161</v>
      </c>
      <c r="G3729" s="19"/>
    </row>
    <row r="3730" spans="1:7" ht="12.75" x14ac:dyDescent="0.2">
      <c r="A3730" s="3"/>
      <c r="B3730" s="4" t="s">
        <v>50</v>
      </c>
      <c r="C3730" s="3" t="s">
        <v>162</v>
      </c>
      <c r="G3730" s="19"/>
    </row>
    <row r="3731" spans="1:7" ht="12.75" x14ac:dyDescent="0.2">
      <c r="A3731" s="3"/>
      <c r="B3731" s="4" t="s">
        <v>50</v>
      </c>
      <c r="C3731" s="3" t="s">
        <v>162</v>
      </c>
      <c r="G3731" s="19"/>
    </row>
    <row r="3732" spans="1:7" ht="12.75" x14ac:dyDescent="0.2">
      <c r="A3732" s="3"/>
      <c r="B3732" s="4" t="s">
        <v>50</v>
      </c>
      <c r="C3732" s="3" t="s">
        <v>162</v>
      </c>
      <c r="F3732">
        <f>SUM(E3730:E3736)</f>
        <v>0</v>
      </c>
      <c r="G3732" s="19"/>
    </row>
    <row r="3733" spans="1:7" ht="12.75" x14ac:dyDescent="0.2">
      <c r="A3733" s="3"/>
      <c r="B3733" s="4" t="s">
        <v>50</v>
      </c>
      <c r="C3733" s="3" t="s">
        <v>162</v>
      </c>
      <c r="G3733" s="19"/>
    </row>
    <row r="3734" spans="1:7" ht="12.75" x14ac:dyDescent="0.2">
      <c r="A3734" s="3"/>
      <c r="B3734" s="4" t="s">
        <v>50</v>
      </c>
      <c r="C3734" s="3" t="s">
        <v>162</v>
      </c>
      <c r="G3734" s="19"/>
    </row>
    <row r="3735" spans="1:7" ht="12.75" x14ac:dyDescent="0.2">
      <c r="A3735" s="3"/>
      <c r="B3735" s="4" t="s">
        <v>50</v>
      </c>
      <c r="C3735" s="3" t="s">
        <v>162</v>
      </c>
      <c r="G3735" s="19"/>
    </row>
    <row r="3736" spans="1:7" ht="12.75" x14ac:dyDescent="0.2">
      <c r="A3736" s="3"/>
      <c r="B3736" s="4" t="s">
        <v>50</v>
      </c>
      <c r="C3736" s="3" t="s">
        <v>162</v>
      </c>
      <c r="G3736" s="19"/>
    </row>
    <row r="3737" spans="1:7" ht="12.75" x14ac:dyDescent="0.2">
      <c r="A3737" s="3"/>
      <c r="B3737" s="4" t="s">
        <v>50</v>
      </c>
      <c r="C3737" s="3" t="s">
        <v>161</v>
      </c>
      <c r="G3737" s="19"/>
    </row>
    <row r="3738" spans="1:7" ht="12.75" x14ac:dyDescent="0.2">
      <c r="A3738" s="3"/>
      <c r="B3738" s="4" t="s">
        <v>50</v>
      </c>
      <c r="C3738" s="3" t="s">
        <v>161</v>
      </c>
      <c r="G3738" s="19"/>
    </row>
    <row r="3739" spans="1:7" ht="12.75" x14ac:dyDescent="0.2">
      <c r="A3739" s="3"/>
      <c r="B3739" s="4" t="s">
        <v>50</v>
      </c>
      <c r="C3739" s="3" t="s">
        <v>161</v>
      </c>
      <c r="F3739">
        <f>SUM(E3737:E3743)</f>
        <v>0</v>
      </c>
      <c r="G3739" s="19"/>
    </row>
    <row r="3740" spans="1:7" ht="12.75" x14ac:dyDescent="0.2">
      <c r="A3740" s="3"/>
      <c r="B3740" s="4" t="s">
        <v>50</v>
      </c>
      <c r="C3740" s="3" t="s">
        <v>161</v>
      </c>
      <c r="G3740" s="19"/>
    </row>
    <row r="3741" spans="1:7" ht="12.75" x14ac:dyDescent="0.2">
      <c r="A3741" s="3"/>
      <c r="B3741" s="4" t="s">
        <v>50</v>
      </c>
      <c r="C3741" s="3" t="s">
        <v>161</v>
      </c>
      <c r="G3741" s="19"/>
    </row>
    <row r="3742" spans="1:7" ht="12.75" x14ac:dyDescent="0.2">
      <c r="A3742" s="3"/>
      <c r="B3742" s="4" t="s">
        <v>50</v>
      </c>
      <c r="C3742" s="3" t="s">
        <v>161</v>
      </c>
      <c r="G3742" s="19"/>
    </row>
    <row r="3743" spans="1:7" ht="12.75" x14ac:dyDescent="0.2">
      <c r="A3743" s="3"/>
      <c r="B3743" s="4" t="s">
        <v>50</v>
      </c>
      <c r="C3743" s="3" t="s">
        <v>161</v>
      </c>
      <c r="G3743" s="19"/>
    </row>
    <row r="3744" spans="1:7" ht="12.75" x14ac:dyDescent="0.2">
      <c r="A3744" s="3"/>
      <c r="B3744" s="4" t="s">
        <v>112</v>
      </c>
      <c r="C3744" s="3" t="s">
        <v>162</v>
      </c>
      <c r="G3744" s="19"/>
    </row>
    <row r="3745" spans="1:7" ht="12.75" x14ac:dyDescent="0.2">
      <c r="A3745" s="3"/>
      <c r="B3745" s="4" t="s">
        <v>112</v>
      </c>
      <c r="C3745" s="3" t="s">
        <v>162</v>
      </c>
      <c r="G3745" s="19"/>
    </row>
    <row r="3746" spans="1:7" ht="12.75" x14ac:dyDescent="0.2">
      <c r="A3746" s="3"/>
      <c r="B3746" s="4" t="s">
        <v>112</v>
      </c>
      <c r="C3746" s="3" t="s">
        <v>162</v>
      </c>
      <c r="F3746">
        <f>SUM(E3744:E3750)</f>
        <v>0</v>
      </c>
      <c r="G3746" s="19"/>
    </row>
    <row r="3747" spans="1:7" ht="12.75" x14ac:dyDescent="0.2">
      <c r="A3747" s="3"/>
      <c r="B3747" s="4" t="s">
        <v>112</v>
      </c>
      <c r="C3747" s="3" t="s">
        <v>162</v>
      </c>
      <c r="G3747" s="19"/>
    </row>
    <row r="3748" spans="1:7" ht="12.75" x14ac:dyDescent="0.2">
      <c r="A3748" s="3"/>
      <c r="B3748" s="4" t="s">
        <v>112</v>
      </c>
      <c r="C3748" s="3" t="s">
        <v>162</v>
      </c>
      <c r="G3748" s="19"/>
    </row>
    <row r="3749" spans="1:7" ht="12.75" x14ac:dyDescent="0.2">
      <c r="A3749" s="3"/>
      <c r="B3749" s="4" t="s">
        <v>112</v>
      </c>
      <c r="C3749" s="3" t="s">
        <v>162</v>
      </c>
      <c r="G3749" s="19"/>
    </row>
    <row r="3750" spans="1:7" ht="12.75" x14ac:dyDescent="0.2">
      <c r="A3750" s="3"/>
      <c r="B3750" s="4" t="s">
        <v>112</v>
      </c>
      <c r="C3750" s="3" t="s">
        <v>162</v>
      </c>
      <c r="G3750" s="19"/>
    </row>
    <row r="3751" spans="1:7" ht="12.75" x14ac:dyDescent="0.2">
      <c r="A3751" s="3"/>
      <c r="B3751" s="4" t="s">
        <v>112</v>
      </c>
      <c r="C3751" s="3" t="s">
        <v>161</v>
      </c>
      <c r="G3751" s="19"/>
    </row>
    <row r="3752" spans="1:7" ht="12.75" x14ac:dyDescent="0.2">
      <c r="A3752" s="3"/>
      <c r="B3752" s="4" t="s">
        <v>112</v>
      </c>
      <c r="C3752" s="3" t="s">
        <v>161</v>
      </c>
      <c r="G3752" s="19"/>
    </row>
    <row r="3753" spans="1:7" ht="12.75" x14ac:dyDescent="0.2">
      <c r="A3753" s="3"/>
      <c r="B3753" s="4" t="s">
        <v>112</v>
      </c>
      <c r="C3753" s="3" t="s">
        <v>161</v>
      </c>
      <c r="F3753">
        <f>SUM(E3751:E3757)</f>
        <v>0</v>
      </c>
      <c r="G3753" s="19"/>
    </row>
    <row r="3754" spans="1:7" ht="12.75" x14ac:dyDescent="0.2">
      <c r="A3754" s="3"/>
      <c r="B3754" s="4" t="s">
        <v>112</v>
      </c>
      <c r="C3754" s="3" t="s">
        <v>161</v>
      </c>
      <c r="G3754" s="19"/>
    </row>
    <row r="3755" spans="1:7" ht="12.75" x14ac:dyDescent="0.2">
      <c r="A3755" s="3"/>
      <c r="B3755" s="4" t="s">
        <v>112</v>
      </c>
      <c r="C3755" s="3" t="s">
        <v>161</v>
      </c>
      <c r="G3755" s="19"/>
    </row>
    <row r="3756" spans="1:7" ht="12.75" x14ac:dyDescent="0.2">
      <c r="A3756" s="3"/>
      <c r="B3756" s="4" t="s">
        <v>112</v>
      </c>
      <c r="C3756" s="3" t="s">
        <v>161</v>
      </c>
      <c r="G3756" s="19"/>
    </row>
    <row r="3757" spans="1:7" ht="12.75" x14ac:dyDescent="0.2">
      <c r="A3757" s="3"/>
      <c r="B3757" s="4" t="s">
        <v>112</v>
      </c>
      <c r="C3757" s="3" t="s">
        <v>161</v>
      </c>
      <c r="G3757" s="19"/>
    </row>
    <row r="3758" spans="1:7" ht="12.75" x14ac:dyDescent="0.2">
      <c r="A3758" s="3"/>
      <c r="B3758" s="4" t="s">
        <v>51</v>
      </c>
      <c r="C3758" s="3" t="s">
        <v>162</v>
      </c>
      <c r="G3758" s="19"/>
    </row>
    <row r="3759" spans="1:7" ht="12.75" x14ac:dyDescent="0.2">
      <c r="A3759" s="3"/>
      <c r="B3759" s="4" t="s">
        <v>51</v>
      </c>
      <c r="C3759" s="3" t="s">
        <v>162</v>
      </c>
      <c r="G3759" s="19"/>
    </row>
    <row r="3760" spans="1:7" ht="12.75" x14ac:dyDescent="0.2">
      <c r="A3760" s="3"/>
      <c r="B3760" s="4" t="s">
        <v>51</v>
      </c>
      <c r="C3760" s="3" t="s">
        <v>162</v>
      </c>
      <c r="G3760" s="19"/>
    </row>
    <row r="3761" spans="1:7" ht="12.75" x14ac:dyDescent="0.2">
      <c r="A3761" s="3"/>
      <c r="B3761" s="4" t="s">
        <v>51</v>
      </c>
      <c r="C3761" s="3" t="s">
        <v>162</v>
      </c>
      <c r="G3761" s="19"/>
    </row>
    <row r="3762" spans="1:7" ht="12.75" x14ac:dyDescent="0.2">
      <c r="A3762" s="3"/>
      <c r="B3762" s="4" t="s">
        <v>51</v>
      </c>
      <c r="C3762" s="3" t="s">
        <v>162</v>
      </c>
      <c r="F3762">
        <f>SUM(E3758:E3766)</f>
        <v>0</v>
      </c>
      <c r="G3762" s="19"/>
    </row>
    <row r="3763" spans="1:7" ht="12.75" x14ac:dyDescent="0.2">
      <c r="A3763" s="3"/>
      <c r="B3763" s="4" t="s">
        <v>51</v>
      </c>
      <c r="C3763" s="3" t="s">
        <v>162</v>
      </c>
      <c r="G3763" s="19"/>
    </row>
    <row r="3764" spans="1:7" ht="12.75" x14ac:dyDescent="0.2">
      <c r="A3764" s="3"/>
      <c r="B3764" s="4" t="s">
        <v>51</v>
      </c>
      <c r="C3764" s="3" t="s">
        <v>162</v>
      </c>
      <c r="G3764" s="19"/>
    </row>
    <row r="3765" spans="1:7" ht="12.75" x14ac:dyDescent="0.2">
      <c r="A3765" s="3"/>
      <c r="B3765" s="4" t="s">
        <v>51</v>
      </c>
      <c r="C3765" s="3" t="s">
        <v>162</v>
      </c>
      <c r="G3765" s="19"/>
    </row>
    <row r="3766" spans="1:7" ht="12.75" x14ac:dyDescent="0.2">
      <c r="A3766" s="3"/>
      <c r="B3766" s="4" t="s">
        <v>51</v>
      </c>
      <c r="C3766" s="3" t="s">
        <v>162</v>
      </c>
      <c r="G3766" s="19"/>
    </row>
    <row r="3767" spans="1:7" ht="12.75" x14ac:dyDescent="0.2">
      <c r="A3767" s="3"/>
      <c r="B3767" s="4" t="s">
        <v>51</v>
      </c>
      <c r="C3767" s="3" t="s">
        <v>161</v>
      </c>
      <c r="G3767" s="19"/>
    </row>
    <row r="3768" spans="1:7" ht="12.75" x14ac:dyDescent="0.2">
      <c r="A3768" s="3"/>
      <c r="B3768" s="4" t="s">
        <v>51</v>
      </c>
      <c r="C3768" s="3" t="s">
        <v>161</v>
      </c>
      <c r="G3768" s="19"/>
    </row>
    <row r="3769" spans="1:7" ht="12.75" x14ac:dyDescent="0.2">
      <c r="A3769" s="3"/>
      <c r="B3769" s="4" t="s">
        <v>51</v>
      </c>
      <c r="C3769" s="3" t="s">
        <v>161</v>
      </c>
      <c r="G3769" s="19"/>
    </row>
    <row r="3770" spans="1:7" ht="12.75" x14ac:dyDescent="0.2">
      <c r="A3770" s="3"/>
      <c r="B3770" s="4" t="s">
        <v>51</v>
      </c>
      <c r="C3770" s="3" t="s">
        <v>161</v>
      </c>
      <c r="G3770" s="19"/>
    </row>
    <row r="3771" spans="1:7" ht="12.75" x14ac:dyDescent="0.2">
      <c r="A3771" s="3"/>
      <c r="B3771" s="4" t="s">
        <v>51</v>
      </c>
      <c r="C3771" s="3" t="s">
        <v>161</v>
      </c>
      <c r="F3771">
        <f>SUM(E3767:E3775)</f>
        <v>0</v>
      </c>
      <c r="G3771" s="19"/>
    </row>
    <row r="3772" spans="1:7" ht="12.75" x14ac:dyDescent="0.2">
      <c r="A3772" s="3"/>
      <c r="B3772" s="4" t="s">
        <v>51</v>
      </c>
      <c r="C3772" s="3" t="s">
        <v>161</v>
      </c>
      <c r="G3772" s="19"/>
    </row>
    <row r="3773" spans="1:7" ht="12.75" x14ac:dyDescent="0.2">
      <c r="A3773" s="3"/>
      <c r="B3773" s="4" t="s">
        <v>51</v>
      </c>
      <c r="C3773" s="3" t="s">
        <v>161</v>
      </c>
      <c r="G3773" s="19"/>
    </row>
    <row r="3774" spans="1:7" ht="12.75" x14ac:dyDescent="0.2">
      <c r="A3774" s="3"/>
      <c r="B3774" s="4" t="s">
        <v>51</v>
      </c>
      <c r="C3774" s="3" t="s">
        <v>161</v>
      </c>
      <c r="G3774" s="19"/>
    </row>
    <row r="3775" spans="1:7" ht="12.75" x14ac:dyDescent="0.2">
      <c r="A3775" s="3"/>
      <c r="B3775" s="4" t="s">
        <v>51</v>
      </c>
      <c r="C3775" s="3" t="s">
        <v>161</v>
      </c>
      <c r="G3775" s="19"/>
    </row>
    <row r="3776" spans="1:7" ht="12.75" x14ac:dyDescent="0.2">
      <c r="A3776" s="3"/>
      <c r="B3776" s="4" t="s">
        <v>88</v>
      </c>
      <c r="C3776" s="3" t="s">
        <v>162</v>
      </c>
      <c r="G3776" s="19"/>
    </row>
    <row r="3777" spans="1:7" ht="12.75" x14ac:dyDescent="0.2">
      <c r="A3777" s="3"/>
      <c r="B3777" s="4" t="s">
        <v>88</v>
      </c>
      <c r="C3777" s="3" t="s">
        <v>162</v>
      </c>
      <c r="G3777" s="19"/>
    </row>
    <row r="3778" spans="1:7" ht="12.75" x14ac:dyDescent="0.2">
      <c r="A3778" s="3"/>
      <c r="B3778" s="4" t="s">
        <v>88</v>
      </c>
      <c r="C3778" s="3" t="s">
        <v>162</v>
      </c>
      <c r="G3778" s="19"/>
    </row>
    <row r="3779" spans="1:7" ht="12.75" x14ac:dyDescent="0.2">
      <c r="A3779" s="3"/>
      <c r="B3779" s="4" t="s">
        <v>88</v>
      </c>
      <c r="C3779" s="3" t="s">
        <v>162</v>
      </c>
      <c r="G3779" s="19"/>
    </row>
    <row r="3780" spans="1:7" ht="12.75" x14ac:dyDescent="0.2">
      <c r="A3780" s="3"/>
      <c r="B3780" s="4" t="s">
        <v>88</v>
      </c>
      <c r="C3780" s="3" t="s">
        <v>162</v>
      </c>
      <c r="F3780">
        <f>SUM(E3776:E3784)</f>
        <v>0</v>
      </c>
      <c r="G3780" s="19"/>
    </row>
    <row r="3781" spans="1:7" ht="12.75" x14ac:dyDescent="0.2">
      <c r="A3781" s="3"/>
      <c r="B3781" s="4" t="s">
        <v>88</v>
      </c>
      <c r="C3781" s="3" t="s">
        <v>162</v>
      </c>
      <c r="G3781" s="19"/>
    </row>
    <row r="3782" spans="1:7" ht="12.75" x14ac:dyDescent="0.2">
      <c r="A3782" s="3"/>
      <c r="B3782" s="4" t="s">
        <v>88</v>
      </c>
      <c r="C3782" s="3" t="s">
        <v>162</v>
      </c>
      <c r="G3782" s="19"/>
    </row>
    <row r="3783" spans="1:7" ht="12.75" x14ac:dyDescent="0.2">
      <c r="A3783" s="3"/>
      <c r="B3783" s="4" t="s">
        <v>88</v>
      </c>
      <c r="C3783" s="3" t="s">
        <v>162</v>
      </c>
      <c r="G3783" s="19"/>
    </row>
    <row r="3784" spans="1:7" ht="12.75" x14ac:dyDescent="0.2">
      <c r="A3784" s="3"/>
      <c r="B3784" s="4" t="s">
        <v>88</v>
      </c>
      <c r="C3784" s="3" t="s">
        <v>162</v>
      </c>
      <c r="G3784" s="19"/>
    </row>
    <row r="3785" spans="1:7" ht="12.75" x14ac:dyDescent="0.2">
      <c r="A3785" s="3"/>
      <c r="B3785" s="4" t="s">
        <v>88</v>
      </c>
      <c r="C3785" s="3" t="s">
        <v>161</v>
      </c>
      <c r="G3785" s="19"/>
    </row>
    <row r="3786" spans="1:7" ht="12.75" x14ac:dyDescent="0.2">
      <c r="A3786" s="3"/>
      <c r="B3786" s="4" t="s">
        <v>88</v>
      </c>
      <c r="C3786" s="3" t="s">
        <v>161</v>
      </c>
      <c r="G3786" s="19"/>
    </row>
    <row r="3787" spans="1:7" ht="12.75" x14ac:dyDescent="0.2">
      <c r="A3787" s="3"/>
      <c r="B3787" s="4" t="s">
        <v>88</v>
      </c>
      <c r="C3787" s="3" t="s">
        <v>161</v>
      </c>
      <c r="G3787" s="19"/>
    </row>
    <row r="3788" spans="1:7" ht="12.75" x14ac:dyDescent="0.2">
      <c r="A3788" s="3"/>
      <c r="B3788" s="4" t="s">
        <v>88</v>
      </c>
      <c r="C3788" s="3" t="s">
        <v>161</v>
      </c>
      <c r="G3788" s="19"/>
    </row>
    <row r="3789" spans="1:7" ht="12.75" x14ac:dyDescent="0.2">
      <c r="A3789" s="3"/>
      <c r="B3789" s="4" t="s">
        <v>88</v>
      </c>
      <c r="C3789" s="3" t="s">
        <v>161</v>
      </c>
      <c r="F3789">
        <f>SUM(E3785:E3793)</f>
        <v>0</v>
      </c>
      <c r="G3789" s="19"/>
    </row>
    <row r="3790" spans="1:7" ht="12.75" x14ac:dyDescent="0.2">
      <c r="A3790" s="3"/>
      <c r="B3790" s="4" t="s">
        <v>88</v>
      </c>
      <c r="C3790" s="3" t="s">
        <v>161</v>
      </c>
      <c r="G3790" s="19"/>
    </row>
    <row r="3791" spans="1:7" ht="12.75" x14ac:dyDescent="0.2">
      <c r="A3791" s="3"/>
      <c r="B3791" s="4" t="s">
        <v>88</v>
      </c>
      <c r="C3791" s="3" t="s">
        <v>161</v>
      </c>
      <c r="G3791" s="19"/>
    </row>
    <row r="3792" spans="1:7" ht="12.75" x14ac:dyDescent="0.2">
      <c r="A3792" s="3"/>
      <c r="B3792" s="4" t="s">
        <v>88</v>
      </c>
      <c r="C3792" s="3" t="s">
        <v>161</v>
      </c>
      <c r="G3792" s="19"/>
    </row>
    <row r="3793" spans="1:7" ht="12.75" x14ac:dyDescent="0.2">
      <c r="A3793" s="3"/>
      <c r="B3793" s="4" t="s">
        <v>88</v>
      </c>
      <c r="C3793" s="3" t="s">
        <v>161</v>
      </c>
      <c r="F3793">
        <f>SUM(E3794:E3797)</f>
        <v>0</v>
      </c>
      <c r="G3793" s="19"/>
    </row>
    <row r="3794" spans="1:7" ht="12.75" x14ac:dyDescent="0.2">
      <c r="A3794" s="3"/>
      <c r="B3794" s="4" t="s">
        <v>111</v>
      </c>
      <c r="C3794" s="3" t="s">
        <v>162</v>
      </c>
      <c r="G3794" s="19"/>
    </row>
    <row r="3795" spans="1:7" ht="12.75" x14ac:dyDescent="0.2">
      <c r="A3795" s="3"/>
      <c r="B3795" s="4" t="s">
        <v>111</v>
      </c>
      <c r="C3795" s="3" t="s">
        <v>162</v>
      </c>
      <c r="G3795" s="19"/>
    </row>
    <row r="3796" spans="1:7" ht="12.75" x14ac:dyDescent="0.2">
      <c r="A3796" s="3"/>
      <c r="B3796" s="4" t="s">
        <v>111</v>
      </c>
      <c r="C3796" s="3" t="s">
        <v>162</v>
      </c>
      <c r="G3796" s="19"/>
    </row>
    <row r="3797" spans="1:7" ht="12.75" x14ac:dyDescent="0.2">
      <c r="A3797" s="3"/>
      <c r="B3797" s="4" t="s">
        <v>111</v>
      </c>
      <c r="C3797" s="3" t="s">
        <v>162</v>
      </c>
      <c r="F3797">
        <f>SUM(E3798:E3801)</f>
        <v>0</v>
      </c>
      <c r="G3797" s="19"/>
    </row>
    <row r="3798" spans="1:7" ht="12.75" x14ac:dyDescent="0.2">
      <c r="A3798" s="3"/>
      <c r="B3798" s="4" t="s">
        <v>111</v>
      </c>
      <c r="C3798" s="3" t="s">
        <v>161</v>
      </c>
      <c r="G3798" s="19"/>
    </row>
    <row r="3799" spans="1:7" ht="12.75" x14ac:dyDescent="0.2">
      <c r="A3799" s="3"/>
      <c r="B3799" s="4" t="s">
        <v>111</v>
      </c>
      <c r="C3799" s="3" t="s">
        <v>161</v>
      </c>
      <c r="G3799" s="19"/>
    </row>
    <row r="3800" spans="1:7" ht="12.75" x14ac:dyDescent="0.2">
      <c r="A3800" s="3"/>
      <c r="B3800" s="4" t="s">
        <v>111</v>
      </c>
      <c r="C3800" s="3" t="s">
        <v>161</v>
      </c>
      <c r="G3800" s="19"/>
    </row>
    <row r="3801" spans="1:7" ht="12.75" x14ac:dyDescent="0.2">
      <c r="A3801" s="3"/>
      <c r="B3801" s="4" t="s">
        <v>111</v>
      </c>
      <c r="C3801" s="3" t="s">
        <v>161</v>
      </c>
      <c r="G3801" s="19"/>
    </row>
    <row r="3802" spans="1:7" ht="12.75" x14ac:dyDescent="0.2">
      <c r="A3802" s="3"/>
      <c r="B3802" s="4" t="s">
        <v>56</v>
      </c>
      <c r="C3802" s="3" t="s">
        <v>162</v>
      </c>
      <c r="G3802" s="19"/>
    </row>
    <row r="3803" spans="1:7" ht="12.75" x14ac:dyDescent="0.2">
      <c r="A3803" s="3"/>
      <c r="B3803" s="4" t="s">
        <v>56</v>
      </c>
      <c r="C3803" s="3" t="s">
        <v>162</v>
      </c>
      <c r="G3803" s="19"/>
    </row>
    <row r="3804" spans="1:7" ht="12.75" x14ac:dyDescent="0.2">
      <c r="A3804" s="3"/>
      <c r="B3804" s="4" t="s">
        <v>56</v>
      </c>
      <c r="C3804" s="3" t="s">
        <v>162</v>
      </c>
      <c r="G3804" s="19"/>
    </row>
    <row r="3805" spans="1:7" ht="12.75" x14ac:dyDescent="0.2">
      <c r="A3805" s="3"/>
      <c r="B3805" s="4" t="s">
        <v>56</v>
      </c>
      <c r="C3805" s="3" t="s">
        <v>162</v>
      </c>
      <c r="F3805">
        <f>SUM(E3802:E3809)</f>
        <v>0</v>
      </c>
      <c r="G3805" s="19"/>
    </row>
    <row r="3806" spans="1:7" ht="12.75" x14ac:dyDescent="0.2">
      <c r="A3806" s="3"/>
      <c r="B3806" s="4" t="s">
        <v>56</v>
      </c>
      <c r="C3806" s="3" t="s">
        <v>162</v>
      </c>
      <c r="G3806" s="19"/>
    </row>
    <row r="3807" spans="1:7" ht="12.75" x14ac:dyDescent="0.2">
      <c r="A3807" s="3"/>
      <c r="B3807" s="4" t="s">
        <v>56</v>
      </c>
      <c r="C3807" s="3" t="s">
        <v>162</v>
      </c>
      <c r="G3807" s="19"/>
    </row>
    <row r="3808" spans="1:7" ht="12.75" x14ac:dyDescent="0.2">
      <c r="A3808" s="3"/>
      <c r="B3808" s="4" t="s">
        <v>56</v>
      </c>
      <c r="C3808" s="3" t="s">
        <v>162</v>
      </c>
      <c r="G3808" s="19"/>
    </row>
    <row r="3809" spans="1:7" ht="12.75" x14ac:dyDescent="0.2">
      <c r="A3809" s="3"/>
      <c r="B3809" s="4" t="s">
        <v>56</v>
      </c>
      <c r="C3809" s="3" t="s">
        <v>162</v>
      </c>
      <c r="G3809" s="19"/>
    </row>
    <row r="3810" spans="1:7" ht="12.75" x14ac:dyDescent="0.2">
      <c r="A3810" s="3"/>
      <c r="B3810" s="4" t="s">
        <v>56</v>
      </c>
      <c r="C3810" s="3" t="s">
        <v>161</v>
      </c>
      <c r="G3810" s="19"/>
    </row>
    <row r="3811" spans="1:7" ht="12.75" x14ac:dyDescent="0.2">
      <c r="A3811" s="3"/>
      <c r="B3811" s="4" t="s">
        <v>56</v>
      </c>
      <c r="C3811" s="3" t="s">
        <v>161</v>
      </c>
      <c r="G3811" s="19"/>
    </row>
    <row r="3812" spans="1:7" ht="12.75" x14ac:dyDescent="0.2">
      <c r="A3812" s="3"/>
      <c r="B3812" s="4" t="s">
        <v>56</v>
      </c>
      <c r="C3812" s="3" t="s">
        <v>161</v>
      </c>
      <c r="G3812" s="19"/>
    </row>
    <row r="3813" spans="1:7" ht="12.75" x14ac:dyDescent="0.2">
      <c r="A3813" s="3"/>
      <c r="B3813" s="4" t="s">
        <v>56</v>
      </c>
      <c r="C3813" s="3" t="s">
        <v>161</v>
      </c>
      <c r="F3813">
        <f>SUM(E3810:E3817)</f>
        <v>0</v>
      </c>
      <c r="G3813" s="19"/>
    </row>
    <row r="3814" spans="1:7" ht="12.75" x14ac:dyDescent="0.2">
      <c r="A3814" s="3"/>
      <c r="B3814" s="4" t="s">
        <v>56</v>
      </c>
      <c r="C3814" s="3" t="s">
        <v>161</v>
      </c>
      <c r="G3814" s="19"/>
    </row>
    <row r="3815" spans="1:7" ht="12.75" x14ac:dyDescent="0.2">
      <c r="A3815" s="3"/>
      <c r="B3815" s="4" t="s">
        <v>56</v>
      </c>
      <c r="C3815" s="3" t="s">
        <v>161</v>
      </c>
      <c r="G3815" s="19"/>
    </row>
    <row r="3816" spans="1:7" ht="12.75" x14ac:dyDescent="0.2">
      <c r="A3816" s="3"/>
      <c r="B3816" s="4" t="s">
        <v>56</v>
      </c>
      <c r="C3816" s="3" t="s">
        <v>161</v>
      </c>
      <c r="G3816" s="19"/>
    </row>
    <row r="3817" spans="1:7" ht="12.75" x14ac:dyDescent="0.2">
      <c r="A3817" s="3"/>
      <c r="B3817" s="4" t="s">
        <v>56</v>
      </c>
      <c r="C3817" s="3" t="s">
        <v>161</v>
      </c>
      <c r="G3817" s="19"/>
    </row>
    <row r="3818" spans="1:7" ht="12.75" x14ac:dyDescent="0.2">
      <c r="A3818" s="3"/>
      <c r="B3818" s="4" t="s">
        <v>79</v>
      </c>
      <c r="C3818" s="3" t="s">
        <v>162</v>
      </c>
      <c r="F3818">
        <f>SUM(E3818:E3822)</f>
        <v>0</v>
      </c>
      <c r="G3818" s="19"/>
    </row>
    <row r="3819" spans="1:7" ht="12.75" x14ac:dyDescent="0.2">
      <c r="A3819" s="3"/>
      <c r="B3819" s="4" t="s">
        <v>79</v>
      </c>
      <c r="C3819" s="3" t="s">
        <v>162</v>
      </c>
      <c r="G3819" s="19"/>
    </row>
    <row r="3820" spans="1:7" ht="12.75" x14ac:dyDescent="0.2">
      <c r="A3820" s="3"/>
      <c r="B3820" s="4" t="s">
        <v>79</v>
      </c>
      <c r="C3820" s="3" t="s">
        <v>162</v>
      </c>
      <c r="G3820" s="19"/>
    </row>
    <row r="3821" spans="1:7" ht="12.75" x14ac:dyDescent="0.2">
      <c r="A3821" s="3"/>
      <c r="B3821" s="4" t="s">
        <v>79</v>
      </c>
      <c r="C3821" s="3" t="s">
        <v>162</v>
      </c>
      <c r="G3821" s="19"/>
    </row>
    <row r="3822" spans="1:7" ht="12.75" x14ac:dyDescent="0.2">
      <c r="A3822" s="3"/>
      <c r="B3822" s="4" t="s">
        <v>79</v>
      </c>
      <c r="C3822" s="3" t="s">
        <v>162</v>
      </c>
      <c r="G3822" s="19"/>
    </row>
    <row r="3823" spans="1:7" ht="12.75" x14ac:dyDescent="0.2">
      <c r="A3823" s="3"/>
      <c r="B3823" s="4" t="s">
        <v>79</v>
      </c>
      <c r="C3823" s="3" t="s">
        <v>161</v>
      </c>
      <c r="F3823">
        <f>SUM(E3823:E3827)</f>
        <v>0</v>
      </c>
      <c r="G3823" s="19"/>
    </row>
    <row r="3824" spans="1:7" ht="12.75" x14ac:dyDescent="0.2">
      <c r="A3824" s="3"/>
      <c r="B3824" s="4" t="s">
        <v>79</v>
      </c>
      <c r="C3824" s="3" t="s">
        <v>161</v>
      </c>
      <c r="G3824" s="19"/>
    </row>
    <row r="3825" spans="1:7" ht="12.75" x14ac:dyDescent="0.2">
      <c r="A3825" s="3"/>
      <c r="B3825" s="4" t="s">
        <v>79</v>
      </c>
      <c r="C3825" s="3" t="s">
        <v>161</v>
      </c>
      <c r="G3825" s="19"/>
    </row>
    <row r="3826" spans="1:7" ht="12.75" x14ac:dyDescent="0.2">
      <c r="A3826" s="3"/>
      <c r="B3826" s="4" t="s">
        <v>79</v>
      </c>
      <c r="C3826" s="3" t="s">
        <v>161</v>
      </c>
      <c r="G3826" s="19"/>
    </row>
    <row r="3827" spans="1:7" ht="12.75" x14ac:dyDescent="0.2">
      <c r="A3827" s="3"/>
      <c r="B3827" s="4" t="s">
        <v>79</v>
      </c>
      <c r="C3827" s="3" t="s">
        <v>161</v>
      </c>
      <c r="G3827" s="19"/>
    </row>
    <row r="3828" spans="1:7" ht="12.75" x14ac:dyDescent="0.2">
      <c r="A3828" s="3"/>
      <c r="B3828" s="4" t="s">
        <v>12</v>
      </c>
      <c r="C3828" s="3" t="s">
        <v>162</v>
      </c>
      <c r="G3828" s="19"/>
    </row>
    <row r="3829" spans="1:7" ht="12.75" x14ac:dyDescent="0.2">
      <c r="A3829" s="3"/>
      <c r="B3829" s="4" t="s">
        <v>12</v>
      </c>
      <c r="C3829" s="3" t="s">
        <v>162</v>
      </c>
      <c r="G3829" s="19"/>
    </row>
    <row r="3830" spans="1:7" ht="12.75" x14ac:dyDescent="0.2">
      <c r="A3830" s="3"/>
      <c r="B3830" s="4" t="s">
        <v>12</v>
      </c>
      <c r="C3830" s="3" t="s">
        <v>162</v>
      </c>
      <c r="G3830" s="19"/>
    </row>
    <row r="3831" spans="1:7" ht="12.75" x14ac:dyDescent="0.2">
      <c r="A3831" s="3"/>
      <c r="B3831" s="4" t="s">
        <v>12</v>
      </c>
      <c r="C3831" s="3" t="s">
        <v>162</v>
      </c>
      <c r="G3831" s="19"/>
    </row>
    <row r="3832" spans="1:7" ht="12.75" x14ac:dyDescent="0.2">
      <c r="A3832" s="3"/>
      <c r="B3832" s="4" t="s">
        <v>12</v>
      </c>
      <c r="C3832" s="3" t="s">
        <v>162</v>
      </c>
      <c r="F3832">
        <f>SUM(E3828:E3836)</f>
        <v>0</v>
      </c>
      <c r="G3832" s="19"/>
    </row>
    <row r="3833" spans="1:7" ht="12.75" x14ac:dyDescent="0.2">
      <c r="A3833" s="3"/>
      <c r="B3833" s="4" t="s">
        <v>12</v>
      </c>
      <c r="C3833" s="3" t="s">
        <v>162</v>
      </c>
      <c r="G3833" s="19"/>
    </row>
    <row r="3834" spans="1:7" ht="12.75" x14ac:dyDescent="0.2">
      <c r="A3834" s="3"/>
      <c r="B3834" s="4" t="s">
        <v>12</v>
      </c>
      <c r="C3834" s="3" t="s">
        <v>162</v>
      </c>
      <c r="G3834" s="19"/>
    </row>
    <row r="3835" spans="1:7" ht="12.75" x14ac:dyDescent="0.2">
      <c r="A3835" s="3"/>
      <c r="B3835" s="4" t="s">
        <v>12</v>
      </c>
      <c r="C3835" s="3" t="s">
        <v>162</v>
      </c>
      <c r="G3835" s="19"/>
    </row>
    <row r="3836" spans="1:7" ht="12.75" x14ac:dyDescent="0.2">
      <c r="A3836" s="3"/>
      <c r="B3836" s="4" t="s">
        <v>12</v>
      </c>
      <c r="C3836" s="3" t="s">
        <v>162</v>
      </c>
      <c r="G3836" s="19"/>
    </row>
    <row r="3837" spans="1:7" ht="12.75" x14ac:dyDescent="0.2">
      <c r="A3837" s="3"/>
      <c r="B3837" s="4" t="s">
        <v>12</v>
      </c>
      <c r="C3837" s="3" t="s">
        <v>161</v>
      </c>
      <c r="G3837" s="19"/>
    </row>
    <row r="3838" spans="1:7" ht="12.75" x14ac:dyDescent="0.2">
      <c r="A3838" s="3"/>
      <c r="B3838" s="4" t="s">
        <v>12</v>
      </c>
      <c r="C3838" s="3" t="s">
        <v>161</v>
      </c>
      <c r="G3838" s="19"/>
    </row>
    <row r="3839" spans="1:7" ht="12.75" x14ac:dyDescent="0.2">
      <c r="A3839" s="3"/>
      <c r="B3839" s="4" t="s">
        <v>12</v>
      </c>
      <c r="C3839" s="3" t="s">
        <v>161</v>
      </c>
      <c r="G3839" s="19"/>
    </row>
    <row r="3840" spans="1:7" ht="12.75" x14ac:dyDescent="0.2">
      <c r="A3840" s="3"/>
      <c r="B3840" s="4" t="s">
        <v>12</v>
      </c>
      <c r="C3840" s="3" t="s">
        <v>161</v>
      </c>
      <c r="G3840" s="19"/>
    </row>
    <row r="3841" spans="1:7" ht="12.75" x14ac:dyDescent="0.2">
      <c r="A3841" s="3"/>
      <c r="B3841" s="4" t="s">
        <v>12</v>
      </c>
      <c r="C3841" s="3" t="s">
        <v>161</v>
      </c>
      <c r="F3841">
        <f>SUM(E3837:E3845)</f>
        <v>0</v>
      </c>
      <c r="G3841" s="19"/>
    </row>
    <row r="3842" spans="1:7" ht="12.75" x14ac:dyDescent="0.2">
      <c r="A3842" s="3"/>
      <c r="B3842" s="4" t="s">
        <v>12</v>
      </c>
      <c r="C3842" s="3" t="s">
        <v>161</v>
      </c>
      <c r="G3842" s="19"/>
    </row>
    <row r="3843" spans="1:7" ht="12.75" x14ac:dyDescent="0.2">
      <c r="A3843" s="3"/>
      <c r="B3843" s="4" t="s">
        <v>12</v>
      </c>
      <c r="C3843" s="3" t="s">
        <v>161</v>
      </c>
      <c r="G3843" s="19"/>
    </row>
    <row r="3844" spans="1:7" ht="12.75" x14ac:dyDescent="0.2">
      <c r="A3844" s="3"/>
      <c r="B3844" s="4" t="s">
        <v>12</v>
      </c>
      <c r="C3844" s="3" t="s">
        <v>161</v>
      </c>
      <c r="G3844" s="19"/>
    </row>
    <row r="3845" spans="1:7" ht="12.75" x14ac:dyDescent="0.2">
      <c r="A3845" s="3"/>
      <c r="B3845" s="4" t="s">
        <v>12</v>
      </c>
      <c r="C3845" s="3" t="s">
        <v>161</v>
      </c>
      <c r="G3845" s="19"/>
    </row>
    <row r="3846" spans="1:7" ht="12.75" x14ac:dyDescent="0.2">
      <c r="A3846" s="3"/>
      <c r="B3846" s="4" t="s">
        <v>83</v>
      </c>
      <c r="C3846" s="3" t="s">
        <v>162</v>
      </c>
      <c r="G3846" s="19"/>
    </row>
    <row r="3847" spans="1:7" ht="12.75" x14ac:dyDescent="0.2">
      <c r="A3847" s="3"/>
      <c r="B3847" s="4" t="s">
        <v>83</v>
      </c>
      <c r="C3847" s="3" t="s">
        <v>162</v>
      </c>
      <c r="G3847" s="19"/>
    </row>
    <row r="3848" spans="1:7" ht="12.75" x14ac:dyDescent="0.2">
      <c r="A3848" s="3"/>
      <c r="B3848" s="4" t="s">
        <v>83</v>
      </c>
      <c r="C3848" s="3" t="s">
        <v>162</v>
      </c>
      <c r="F3848">
        <f>SUM(E3846:E3852)</f>
        <v>0</v>
      </c>
      <c r="G3848" s="19"/>
    </row>
    <row r="3849" spans="1:7" ht="12.75" x14ac:dyDescent="0.2">
      <c r="A3849" s="3"/>
      <c r="B3849" s="4" t="s">
        <v>83</v>
      </c>
      <c r="C3849" s="3" t="s">
        <v>162</v>
      </c>
      <c r="G3849" s="19"/>
    </row>
    <row r="3850" spans="1:7" ht="12.75" x14ac:dyDescent="0.2">
      <c r="A3850" s="3"/>
      <c r="B3850" s="4" t="s">
        <v>83</v>
      </c>
      <c r="C3850" s="3" t="s">
        <v>162</v>
      </c>
      <c r="G3850" s="19"/>
    </row>
    <row r="3851" spans="1:7" ht="12.75" x14ac:dyDescent="0.2">
      <c r="A3851" s="3"/>
      <c r="B3851" s="4" t="s">
        <v>83</v>
      </c>
      <c r="C3851" s="3" t="s">
        <v>162</v>
      </c>
      <c r="G3851" s="19"/>
    </row>
    <row r="3852" spans="1:7" ht="12.75" x14ac:dyDescent="0.2">
      <c r="A3852" s="3"/>
      <c r="B3852" s="4" t="s">
        <v>83</v>
      </c>
      <c r="C3852" s="3" t="s">
        <v>162</v>
      </c>
      <c r="G3852" s="19"/>
    </row>
    <row r="3853" spans="1:7" ht="12.75" x14ac:dyDescent="0.2">
      <c r="A3853" s="3"/>
      <c r="B3853" s="4" t="s">
        <v>83</v>
      </c>
      <c r="C3853" s="3" t="s">
        <v>161</v>
      </c>
      <c r="G3853" s="19"/>
    </row>
    <row r="3854" spans="1:7" ht="12.75" x14ac:dyDescent="0.2">
      <c r="A3854" s="3"/>
      <c r="B3854" s="4" t="s">
        <v>83</v>
      </c>
      <c r="C3854" s="3" t="s">
        <v>161</v>
      </c>
      <c r="G3854" s="19"/>
    </row>
    <row r="3855" spans="1:7" ht="12.75" x14ac:dyDescent="0.2">
      <c r="A3855" s="3"/>
      <c r="B3855" s="4" t="s">
        <v>83</v>
      </c>
      <c r="C3855" s="3" t="s">
        <v>161</v>
      </c>
      <c r="F3855">
        <f>SUM(E3853:E3859)</f>
        <v>0</v>
      </c>
      <c r="G3855" s="19"/>
    </row>
    <row r="3856" spans="1:7" ht="12.75" x14ac:dyDescent="0.2">
      <c r="A3856" s="3"/>
      <c r="B3856" s="4" t="s">
        <v>83</v>
      </c>
      <c r="C3856" s="3" t="s">
        <v>161</v>
      </c>
      <c r="G3856" s="19"/>
    </row>
    <row r="3857" spans="1:7" ht="12.75" x14ac:dyDescent="0.2">
      <c r="A3857" s="3"/>
      <c r="B3857" s="4" t="s">
        <v>83</v>
      </c>
      <c r="C3857" s="3" t="s">
        <v>161</v>
      </c>
      <c r="G3857" s="19"/>
    </row>
    <row r="3858" spans="1:7" ht="12.75" x14ac:dyDescent="0.2">
      <c r="A3858" s="3"/>
      <c r="B3858" s="4" t="s">
        <v>83</v>
      </c>
      <c r="C3858" s="3" t="s">
        <v>161</v>
      </c>
      <c r="G3858" s="19"/>
    </row>
    <row r="3859" spans="1:7" ht="12.75" x14ac:dyDescent="0.2">
      <c r="A3859" s="3"/>
      <c r="B3859" s="4" t="s">
        <v>83</v>
      </c>
      <c r="C3859" s="3" t="s">
        <v>161</v>
      </c>
      <c r="G3859" s="19"/>
    </row>
    <row r="3860" spans="1:7" ht="12.75" x14ac:dyDescent="0.2">
      <c r="A3860" s="3"/>
      <c r="B3860" s="4" t="s">
        <v>57</v>
      </c>
      <c r="C3860" s="3" t="s">
        <v>162</v>
      </c>
      <c r="G3860" s="19"/>
    </row>
    <row r="3861" spans="1:7" ht="12.75" x14ac:dyDescent="0.2">
      <c r="A3861" s="3"/>
      <c r="B3861" s="4" t="s">
        <v>57</v>
      </c>
      <c r="C3861" s="3" t="s">
        <v>162</v>
      </c>
      <c r="G3861" s="19"/>
    </row>
    <row r="3862" spans="1:7" ht="12.75" x14ac:dyDescent="0.2">
      <c r="A3862" s="3"/>
      <c r="B3862" s="4" t="s">
        <v>57</v>
      </c>
      <c r="C3862" s="3" t="s">
        <v>162</v>
      </c>
      <c r="G3862" s="19"/>
    </row>
    <row r="3863" spans="1:7" ht="12.75" x14ac:dyDescent="0.2">
      <c r="A3863" s="3"/>
      <c r="B3863" s="4" t="s">
        <v>57</v>
      </c>
      <c r="C3863" s="3" t="s">
        <v>162</v>
      </c>
      <c r="G3863" s="19"/>
    </row>
    <row r="3864" spans="1:7" ht="12.75" x14ac:dyDescent="0.2">
      <c r="A3864" s="3"/>
      <c r="B3864" s="4" t="s">
        <v>57</v>
      </c>
      <c r="C3864" s="3" t="s">
        <v>162</v>
      </c>
      <c r="F3864">
        <f>SUM(E3860:E3868)</f>
        <v>0</v>
      </c>
      <c r="G3864" s="19"/>
    </row>
    <row r="3865" spans="1:7" ht="12.75" x14ac:dyDescent="0.2">
      <c r="A3865" s="3"/>
      <c r="B3865" s="4" t="s">
        <v>57</v>
      </c>
      <c r="C3865" s="3" t="s">
        <v>162</v>
      </c>
      <c r="G3865" s="19"/>
    </row>
    <row r="3866" spans="1:7" ht="12.75" x14ac:dyDescent="0.2">
      <c r="A3866" s="3"/>
      <c r="B3866" s="4" t="s">
        <v>57</v>
      </c>
      <c r="C3866" s="3" t="s">
        <v>162</v>
      </c>
      <c r="G3866" s="19"/>
    </row>
    <row r="3867" spans="1:7" ht="12.75" x14ac:dyDescent="0.2">
      <c r="A3867" s="3"/>
      <c r="B3867" s="4" t="s">
        <v>57</v>
      </c>
      <c r="C3867" s="3" t="s">
        <v>162</v>
      </c>
      <c r="G3867" s="19"/>
    </row>
    <row r="3868" spans="1:7" ht="12.75" x14ac:dyDescent="0.2">
      <c r="A3868" s="3"/>
      <c r="B3868" s="4" t="s">
        <v>57</v>
      </c>
      <c r="C3868" s="3" t="s">
        <v>162</v>
      </c>
      <c r="G3868" s="19"/>
    </row>
    <row r="3869" spans="1:7" ht="12.75" x14ac:dyDescent="0.2">
      <c r="A3869" s="3"/>
      <c r="B3869" s="4" t="s">
        <v>57</v>
      </c>
      <c r="C3869" s="3" t="s">
        <v>161</v>
      </c>
      <c r="G3869" s="19"/>
    </row>
    <row r="3870" spans="1:7" ht="12.75" x14ac:dyDescent="0.2">
      <c r="A3870" s="3"/>
      <c r="B3870" s="4" t="s">
        <v>57</v>
      </c>
      <c r="C3870" s="3" t="s">
        <v>161</v>
      </c>
      <c r="G3870" s="19"/>
    </row>
    <row r="3871" spans="1:7" ht="12.75" x14ac:dyDescent="0.2">
      <c r="A3871" s="3"/>
      <c r="B3871" s="4" t="s">
        <v>57</v>
      </c>
      <c r="C3871" s="3" t="s">
        <v>161</v>
      </c>
      <c r="G3871" s="19"/>
    </row>
    <row r="3872" spans="1:7" ht="12.75" x14ac:dyDescent="0.2">
      <c r="A3872" s="3"/>
      <c r="B3872" s="4" t="s">
        <v>57</v>
      </c>
      <c r="C3872" s="3" t="s">
        <v>161</v>
      </c>
      <c r="G3872" s="19"/>
    </row>
    <row r="3873" spans="1:7" ht="12.75" x14ac:dyDescent="0.2">
      <c r="A3873" s="3"/>
      <c r="B3873" s="4" t="s">
        <v>57</v>
      </c>
      <c r="C3873" s="3" t="s">
        <v>161</v>
      </c>
      <c r="F3873">
        <f>SUM(E3869:E3877)</f>
        <v>0</v>
      </c>
      <c r="G3873" s="19"/>
    </row>
    <row r="3874" spans="1:7" ht="12.75" x14ac:dyDescent="0.2">
      <c r="A3874" s="3"/>
      <c r="B3874" s="4" t="s">
        <v>57</v>
      </c>
      <c r="C3874" s="3" t="s">
        <v>161</v>
      </c>
      <c r="G3874" s="19"/>
    </row>
    <row r="3875" spans="1:7" ht="12.75" x14ac:dyDescent="0.2">
      <c r="A3875" s="3"/>
      <c r="B3875" s="4" t="s">
        <v>57</v>
      </c>
      <c r="C3875" s="3" t="s">
        <v>161</v>
      </c>
      <c r="G3875" s="19"/>
    </row>
    <row r="3876" spans="1:7" ht="12.75" x14ac:dyDescent="0.2">
      <c r="A3876" s="3"/>
      <c r="B3876" s="4" t="s">
        <v>57</v>
      </c>
      <c r="C3876" s="3" t="s">
        <v>161</v>
      </c>
      <c r="G3876" s="19"/>
    </row>
    <row r="3877" spans="1:7" ht="12.75" x14ac:dyDescent="0.2">
      <c r="A3877" s="3"/>
      <c r="B3877" s="4" t="s">
        <v>57</v>
      </c>
      <c r="C3877" s="3" t="s">
        <v>161</v>
      </c>
      <c r="G3877" s="19"/>
    </row>
    <row r="3878" spans="1:7" ht="12.75" x14ac:dyDescent="0.2">
      <c r="A3878" s="3"/>
      <c r="B3878" s="4" t="s">
        <v>102</v>
      </c>
      <c r="C3878" s="3" t="s">
        <v>162</v>
      </c>
      <c r="G3878" s="19"/>
    </row>
    <row r="3879" spans="1:7" ht="12.75" x14ac:dyDescent="0.2">
      <c r="A3879" s="3"/>
      <c r="B3879" s="4" t="s">
        <v>102</v>
      </c>
      <c r="C3879" s="3" t="s">
        <v>162</v>
      </c>
      <c r="G3879" s="19"/>
    </row>
    <row r="3880" spans="1:7" ht="12.75" x14ac:dyDescent="0.2">
      <c r="A3880" s="3"/>
      <c r="B3880" s="4" t="s">
        <v>102</v>
      </c>
      <c r="C3880" s="3" t="s">
        <v>162</v>
      </c>
      <c r="G3880" s="19"/>
    </row>
    <row r="3881" spans="1:7" ht="12.75" x14ac:dyDescent="0.2">
      <c r="A3881" s="3"/>
      <c r="B3881" s="4" t="s">
        <v>102</v>
      </c>
      <c r="C3881" s="3" t="s">
        <v>162</v>
      </c>
      <c r="G3881" s="19"/>
    </row>
    <row r="3882" spans="1:7" ht="12.75" x14ac:dyDescent="0.2">
      <c r="A3882" s="3"/>
      <c r="B3882" s="4" t="s">
        <v>102</v>
      </c>
      <c r="C3882" s="3" t="s">
        <v>162</v>
      </c>
      <c r="F3882">
        <f>SUM(E3878:E3886)</f>
        <v>0</v>
      </c>
      <c r="G3882" s="19"/>
    </row>
    <row r="3883" spans="1:7" ht="12.75" x14ac:dyDescent="0.2">
      <c r="A3883" s="3"/>
      <c r="B3883" s="4" t="s">
        <v>102</v>
      </c>
      <c r="C3883" s="3" t="s">
        <v>162</v>
      </c>
      <c r="G3883" s="19"/>
    </row>
    <row r="3884" spans="1:7" ht="12.75" x14ac:dyDescent="0.2">
      <c r="A3884" s="3"/>
      <c r="B3884" s="4" t="s">
        <v>102</v>
      </c>
      <c r="C3884" s="3" t="s">
        <v>162</v>
      </c>
      <c r="G3884" s="19"/>
    </row>
    <row r="3885" spans="1:7" ht="12.75" x14ac:dyDescent="0.2">
      <c r="A3885" s="3"/>
      <c r="B3885" s="4" t="s">
        <v>102</v>
      </c>
      <c r="C3885" s="3" t="s">
        <v>162</v>
      </c>
      <c r="G3885" s="19"/>
    </row>
    <row r="3886" spans="1:7" ht="12.75" x14ac:dyDescent="0.2">
      <c r="A3886" s="3"/>
      <c r="B3886" s="4" t="s">
        <v>102</v>
      </c>
      <c r="C3886" s="3" t="s">
        <v>162</v>
      </c>
      <c r="G3886" s="19"/>
    </row>
    <row r="3887" spans="1:7" ht="12.75" x14ac:dyDescent="0.2">
      <c r="A3887" s="3"/>
      <c r="B3887" s="4" t="s">
        <v>102</v>
      </c>
      <c r="C3887" s="3" t="s">
        <v>161</v>
      </c>
      <c r="G3887" s="19"/>
    </row>
    <row r="3888" spans="1:7" ht="12.75" x14ac:dyDescent="0.2">
      <c r="A3888" s="3"/>
      <c r="B3888" s="4" t="s">
        <v>102</v>
      </c>
      <c r="C3888" s="3" t="s">
        <v>161</v>
      </c>
      <c r="G3888" s="19"/>
    </row>
    <row r="3889" spans="1:7" ht="12.75" x14ac:dyDescent="0.2">
      <c r="A3889" s="3"/>
      <c r="B3889" s="4" t="s">
        <v>102</v>
      </c>
      <c r="C3889" s="3" t="s">
        <v>161</v>
      </c>
      <c r="G3889" s="19"/>
    </row>
    <row r="3890" spans="1:7" ht="12.75" x14ac:dyDescent="0.2">
      <c r="A3890" s="3"/>
      <c r="B3890" s="4" t="s">
        <v>102</v>
      </c>
      <c r="C3890" s="3" t="s">
        <v>161</v>
      </c>
      <c r="G3890" s="19"/>
    </row>
    <row r="3891" spans="1:7" ht="12.75" x14ac:dyDescent="0.2">
      <c r="A3891" s="3"/>
      <c r="B3891" s="4" t="s">
        <v>102</v>
      </c>
      <c r="C3891" s="3" t="s">
        <v>161</v>
      </c>
      <c r="F3891">
        <f>SUM(E3887:E3895)</f>
        <v>0</v>
      </c>
      <c r="G3891" s="19"/>
    </row>
    <row r="3892" spans="1:7" ht="12.75" x14ac:dyDescent="0.2">
      <c r="A3892" s="3"/>
      <c r="B3892" s="4" t="s">
        <v>102</v>
      </c>
      <c r="C3892" s="3" t="s">
        <v>161</v>
      </c>
      <c r="G3892" s="19"/>
    </row>
    <row r="3893" spans="1:7" ht="12.75" x14ac:dyDescent="0.2">
      <c r="A3893" s="3"/>
      <c r="B3893" s="4" t="s">
        <v>102</v>
      </c>
      <c r="C3893" s="3" t="s">
        <v>161</v>
      </c>
      <c r="G3893" s="19"/>
    </row>
    <row r="3894" spans="1:7" ht="12.75" x14ac:dyDescent="0.2">
      <c r="A3894" s="3"/>
      <c r="B3894" s="4" t="s">
        <v>102</v>
      </c>
      <c r="C3894" s="3" t="s">
        <v>161</v>
      </c>
      <c r="F3894">
        <f>SUM(E3896:E3898)</f>
        <v>0</v>
      </c>
      <c r="G3894" s="19"/>
    </row>
    <row r="3895" spans="1:7" ht="12.75" x14ac:dyDescent="0.2">
      <c r="A3895" s="3"/>
      <c r="B3895" s="4" t="s">
        <v>102</v>
      </c>
      <c r="C3895" s="3" t="s">
        <v>161</v>
      </c>
      <c r="G3895" s="19"/>
    </row>
    <row r="3896" spans="1:7" ht="12.75" x14ac:dyDescent="0.2">
      <c r="A3896" s="3"/>
      <c r="B3896" s="4" t="s">
        <v>45</v>
      </c>
      <c r="C3896" s="3" t="s">
        <v>162</v>
      </c>
      <c r="G3896" s="19"/>
    </row>
    <row r="3897" spans="1:7" ht="12.75" x14ac:dyDescent="0.2">
      <c r="A3897" s="3"/>
      <c r="B3897" s="4" t="s">
        <v>45</v>
      </c>
      <c r="C3897" s="3" t="s">
        <v>162</v>
      </c>
      <c r="F3897">
        <f>SUM(E3899:E3901)</f>
        <v>0</v>
      </c>
      <c r="G3897" s="19"/>
    </row>
    <row r="3898" spans="1:7" ht="12.75" x14ac:dyDescent="0.2">
      <c r="A3898" s="3"/>
      <c r="B3898" s="4" t="s">
        <v>45</v>
      </c>
      <c r="C3898" s="3" t="s">
        <v>162</v>
      </c>
      <c r="G3898" s="19"/>
    </row>
    <row r="3899" spans="1:7" ht="12.75" x14ac:dyDescent="0.2">
      <c r="A3899" s="3"/>
      <c r="B3899" s="4" t="s">
        <v>45</v>
      </c>
      <c r="C3899" s="3" t="s">
        <v>161</v>
      </c>
      <c r="G3899" s="19"/>
    </row>
    <row r="3900" spans="1:7" ht="12.75" x14ac:dyDescent="0.2">
      <c r="A3900" s="3"/>
      <c r="B3900" s="4" t="s">
        <v>45</v>
      </c>
      <c r="C3900" s="3" t="s">
        <v>161</v>
      </c>
      <c r="G3900" s="19"/>
    </row>
    <row r="3901" spans="1:7" ht="12.75" x14ac:dyDescent="0.2">
      <c r="A3901" s="3"/>
      <c r="B3901" s="4" t="s">
        <v>45</v>
      </c>
      <c r="C3901" s="3" t="s">
        <v>161</v>
      </c>
      <c r="G3901" s="19"/>
    </row>
    <row r="3902" spans="1:7" ht="12.75" x14ac:dyDescent="0.2">
      <c r="A3902" s="3"/>
      <c r="B3902" s="4" t="s">
        <v>103</v>
      </c>
      <c r="C3902" s="3" t="s">
        <v>162</v>
      </c>
      <c r="F3902">
        <f>SUM(E3902:E3906)</f>
        <v>0</v>
      </c>
      <c r="G3902" s="19"/>
    </row>
    <row r="3903" spans="1:7" ht="12.75" x14ac:dyDescent="0.2">
      <c r="A3903" s="3"/>
      <c r="B3903" s="4" t="s">
        <v>103</v>
      </c>
      <c r="C3903" s="3" t="s">
        <v>162</v>
      </c>
      <c r="G3903" s="19"/>
    </row>
    <row r="3904" spans="1:7" ht="12.75" x14ac:dyDescent="0.2">
      <c r="A3904" s="3"/>
      <c r="B3904" s="4" t="s">
        <v>103</v>
      </c>
      <c r="C3904" s="3" t="s">
        <v>162</v>
      </c>
      <c r="G3904" s="19"/>
    </row>
    <row r="3905" spans="1:7" ht="12.75" x14ac:dyDescent="0.2">
      <c r="A3905" s="3"/>
      <c r="B3905" s="4" t="s">
        <v>103</v>
      </c>
      <c r="C3905" s="3" t="s">
        <v>162</v>
      </c>
      <c r="G3905" s="19"/>
    </row>
    <row r="3906" spans="1:7" ht="12.75" x14ac:dyDescent="0.2">
      <c r="A3906" s="3"/>
      <c r="B3906" s="4" t="s">
        <v>103</v>
      </c>
      <c r="C3906" s="3" t="s">
        <v>162</v>
      </c>
      <c r="G3906" s="19"/>
    </row>
    <row r="3907" spans="1:7" ht="12.75" x14ac:dyDescent="0.2">
      <c r="A3907" s="3"/>
      <c r="B3907" s="4" t="s">
        <v>103</v>
      </c>
      <c r="C3907" s="3" t="s">
        <v>161</v>
      </c>
      <c r="F3907">
        <f>SUM(E3907:E3911)</f>
        <v>0</v>
      </c>
      <c r="G3907" s="19"/>
    </row>
    <row r="3908" spans="1:7" ht="12.75" x14ac:dyDescent="0.2">
      <c r="A3908" s="3"/>
      <c r="B3908" s="4" t="s">
        <v>103</v>
      </c>
      <c r="C3908" s="3" t="s">
        <v>161</v>
      </c>
      <c r="G3908" s="19"/>
    </row>
    <row r="3909" spans="1:7" ht="12.75" x14ac:dyDescent="0.2">
      <c r="A3909" s="3"/>
      <c r="B3909" s="4" t="s">
        <v>103</v>
      </c>
      <c r="C3909" s="3" t="s">
        <v>161</v>
      </c>
      <c r="G3909" s="19"/>
    </row>
    <row r="3910" spans="1:7" ht="12.75" x14ac:dyDescent="0.2">
      <c r="A3910" s="3"/>
      <c r="B3910" s="4" t="s">
        <v>103</v>
      </c>
      <c r="C3910" s="3" t="s">
        <v>161</v>
      </c>
      <c r="G3910" s="19"/>
    </row>
    <row r="3911" spans="1:7" ht="12.75" x14ac:dyDescent="0.2">
      <c r="A3911" s="3"/>
      <c r="B3911" s="4" t="s">
        <v>103</v>
      </c>
      <c r="C3911" s="3" t="s">
        <v>161</v>
      </c>
      <c r="G3911" s="19"/>
    </row>
    <row r="3912" spans="1:7" ht="12.75" x14ac:dyDescent="0.2">
      <c r="A3912" s="3"/>
      <c r="B3912" s="4" t="s">
        <v>62</v>
      </c>
      <c r="C3912" s="3" t="s">
        <v>162</v>
      </c>
      <c r="F3912">
        <f>SUM(E3912:E3916)</f>
        <v>0</v>
      </c>
      <c r="G3912" s="19"/>
    </row>
    <row r="3913" spans="1:7" ht="12.75" x14ac:dyDescent="0.2">
      <c r="A3913" s="3"/>
      <c r="B3913" s="4" t="s">
        <v>62</v>
      </c>
      <c r="C3913" s="3" t="s">
        <v>162</v>
      </c>
      <c r="G3913" s="19"/>
    </row>
    <row r="3914" spans="1:7" ht="12.75" x14ac:dyDescent="0.2">
      <c r="A3914" s="3"/>
      <c r="B3914" s="4" t="s">
        <v>62</v>
      </c>
      <c r="C3914" s="3" t="s">
        <v>162</v>
      </c>
      <c r="G3914" s="19"/>
    </row>
    <row r="3915" spans="1:7" ht="12.75" x14ac:dyDescent="0.2">
      <c r="A3915" s="3"/>
      <c r="B3915" s="4" t="s">
        <v>62</v>
      </c>
      <c r="C3915" s="3" t="s">
        <v>162</v>
      </c>
      <c r="G3915" s="19"/>
    </row>
    <row r="3916" spans="1:7" ht="12.75" x14ac:dyDescent="0.2">
      <c r="A3916" s="3"/>
      <c r="B3916" s="4" t="s">
        <v>62</v>
      </c>
      <c r="C3916" s="3" t="s">
        <v>162</v>
      </c>
      <c r="G3916" s="19"/>
    </row>
    <row r="3917" spans="1:7" ht="12.75" x14ac:dyDescent="0.2">
      <c r="A3917" s="3"/>
      <c r="B3917" s="4" t="s">
        <v>62</v>
      </c>
      <c r="C3917" s="3" t="s">
        <v>161</v>
      </c>
      <c r="F3917">
        <f>SUM(E3917:E3921)</f>
        <v>0</v>
      </c>
      <c r="G3917" s="19"/>
    </row>
    <row r="3918" spans="1:7" ht="12.75" x14ac:dyDescent="0.2">
      <c r="A3918" s="3"/>
      <c r="B3918" s="4" t="s">
        <v>62</v>
      </c>
      <c r="C3918" s="3" t="s">
        <v>161</v>
      </c>
      <c r="G3918" s="19"/>
    </row>
    <row r="3919" spans="1:7" ht="12.75" x14ac:dyDescent="0.2">
      <c r="A3919" s="3"/>
      <c r="B3919" s="4" t="s">
        <v>62</v>
      </c>
      <c r="C3919" s="3" t="s">
        <v>161</v>
      </c>
      <c r="G3919" s="19"/>
    </row>
    <row r="3920" spans="1:7" ht="12.75" x14ac:dyDescent="0.2">
      <c r="A3920" s="3"/>
      <c r="B3920" s="4" t="s">
        <v>62</v>
      </c>
      <c r="C3920" s="3" t="s">
        <v>161</v>
      </c>
      <c r="G3920" s="19"/>
    </row>
    <row r="3921" spans="1:7" ht="12.75" x14ac:dyDescent="0.2">
      <c r="A3921" s="3"/>
      <c r="B3921" s="4" t="s">
        <v>62</v>
      </c>
      <c r="C3921" s="3" t="s">
        <v>161</v>
      </c>
      <c r="G3921" s="19"/>
    </row>
    <row r="3922" spans="1:7" ht="12.75" x14ac:dyDescent="0.2">
      <c r="A3922" s="3"/>
      <c r="B3922" s="4" t="s">
        <v>113</v>
      </c>
      <c r="C3922" s="3" t="s">
        <v>162</v>
      </c>
      <c r="G3922" s="19"/>
    </row>
    <row r="3923" spans="1:7" ht="12.75" x14ac:dyDescent="0.2">
      <c r="A3923" s="3"/>
      <c r="B3923" s="4" t="s">
        <v>113</v>
      </c>
      <c r="C3923" s="3" t="s">
        <v>162</v>
      </c>
      <c r="G3923" s="19"/>
    </row>
    <row r="3924" spans="1:7" ht="12.75" x14ac:dyDescent="0.2">
      <c r="A3924" s="3"/>
      <c r="B3924" s="4" t="s">
        <v>113</v>
      </c>
      <c r="C3924" s="3" t="s">
        <v>162</v>
      </c>
      <c r="G3924" s="19"/>
    </row>
    <row r="3925" spans="1:7" ht="12.75" x14ac:dyDescent="0.2">
      <c r="A3925" s="3"/>
      <c r="B3925" s="4" t="s">
        <v>113</v>
      </c>
      <c r="C3925" s="3" t="s">
        <v>162</v>
      </c>
      <c r="G3925" s="19"/>
    </row>
    <row r="3926" spans="1:7" ht="12.75" x14ac:dyDescent="0.2">
      <c r="A3926" s="3"/>
      <c r="B3926" s="4" t="s">
        <v>113</v>
      </c>
      <c r="C3926" s="3" t="s">
        <v>162</v>
      </c>
      <c r="F3926">
        <f>SUM(E3922:E3930)</f>
        <v>0</v>
      </c>
      <c r="G3926" s="19"/>
    </row>
    <row r="3927" spans="1:7" ht="12.75" x14ac:dyDescent="0.2">
      <c r="A3927" s="3"/>
      <c r="B3927" s="4" t="s">
        <v>113</v>
      </c>
      <c r="C3927" s="3" t="s">
        <v>162</v>
      </c>
      <c r="G3927" s="19"/>
    </row>
    <row r="3928" spans="1:7" ht="12.75" x14ac:dyDescent="0.2">
      <c r="A3928" s="3"/>
      <c r="B3928" s="4" t="s">
        <v>113</v>
      </c>
      <c r="C3928" s="3" t="s">
        <v>162</v>
      </c>
      <c r="G3928" s="19"/>
    </row>
    <row r="3929" spans="1:7" ht="12.75" x14ac:dyDescent="0.2">
      <c r="A3929" s="3"/>
      <c r="B3929" s="4" t="s">
        <v>113</v>
      </c>
      <c r="C3929" s="3" t="s">
        <v>162</v>
      </c>
      <c r="G3929" s="19"/>
    </row>
    <row r="3930" spans="1:7" ht="12.75" x14ac:dyDescent="0.2">
      <c r="A3930" s="3"/>
      <c r="B3930" s="4" t="s">
        <v>113</v>
      </c>
      <c r="C3930" s="3" t="s">
        <v>162</v>
      </c>
      <c r="G3930" s="19"/>
    </row>
    <row r="3931" spans="1:7" ht="12.75" x14ac:dyDescent="0.2">
      <c r="A3931" s="3"/>
      <c r="B3931" s="4" t="s">
        <v>113</v>
      </c>
      <c r="C3931" s="3" t="s">
        <v>161</v>
      </c>
      <c r="G3931" s="19"/>
    </row>
    <row r="3932" spans="1:7" ht="12.75" x14ac:dyDescent="0.2">
      <c r="A3932" s="3"/>
      <c r="B3932" s="4" t="s">
        <v>113</v>
      </c>
      <c r="C3932" s="3" t="s">
        <v>161</v>
      </c>
      <c r="G3932" s="19"/>
    </row>
    <row r="3933" spans="1:7" ht="12.75" x14ac:dyDescent="0.2">
      <c r="A3933" s="3"/>
      <c r="B3933" s="4" t="s">
        <v>113</v>
      </c>
      <c r="C3933" s="3" t="s">
        <v>161</v>
      </c>
      <c r="G3933" s="19"/>
    </row>
    <row r="3934" spans="1:7" ht="12.75" x14ac:dyDescent="0.2">
      <c r="A3934" s="3"/>
      <c r="B3934" s="4" t="s">
        <v>113</v>
      </c>
      <c r="C3934" s="3" t="s">
        <v>161</v>
      </c>
      <c r="G3934" s="19"/>
    </row>
    <row r="3935" spans="1:7" ht="12.75" x14ac:dyDescent="0.2">
      <c r="A3935" s="3"/>
      <c r="B3935" s="4" t="s">
        <v>113</v>
      </c>
      <c r="C3935" s="3" t="s">
        <v>161</v>
      </c>
      <c r="F3935">
        <f>SUM(E3931:E3939)</f>
        <v>0</v>
      </c>
      <c r="G3935" s="19"/>
    </row>
    <row r="3936" spans="1:7" ht="12.75" x14ac:dyDescent="0.2">
      <c r="A3936" s="3"/>
      <c r="B3936" s="4" t="s">
        <v>113</v>
      </c>
      <c r="C3936" s="3" t="s">
        <v>161</v>
      </c>
      <c r="G3936" s="19"/>
    </row>
    <row r="3937" spans="1:7" ht="12.75" x14ac:dyDescent="0.2">
      <c r="A3937" s="3"/>
      <c r="B3937" s="4" t="s">
        <v>113</v>
      </c>
      <c r="C3937" s="3" t="s">
        <v>161</v>
      </c>
      <c r="G3937" s="19"/>
    </row>
    <row r="3938" spans="1:7" ht="12.75" x14ac:dyDescent="0.2">
      <c r="A3938" s="3"/>
      <c r="B3938" s="4" t="s">
        <v>113</v>
      </c>
      <c r="C3938" s="3" t="s">
        <v>161</v>
      </c>
      <c r="G3938" s="19"/>
    </row>
    <row r="3939" spans="1:7" ht="12.75" x14ac:dyDescent="0.2">
      <c r="A3939" s="3"/>
      <c r="B3939" s="4" t="s">
        <v>113</v>
      </c>
      <c r="C3939" s="3" t="s">
        <v>161</v>
      </c>
      <c r="G3939" s="19"/>
    </row>
    <row r="3940" spans="1:7" ht="12.75" x14ac:dyDescent="0.2">
      <c r="A3940" s="3"/>
      <c r="B3940" s="4" t="s">
        <v>65</v>
      </c>
      <c r="C3940" s="3" t="s">
        <v>162</v>
      </c>
      <c r="G3940" s="19"/>
    </row>
    <row r="3941" spans="1:7" ht="12.75" x14ac:dyDescent="0.2">
      <c r="A3941" s="3"/>
      <c r="B3941" s="4" t="s">
        <v>65</v>
      </c>
      <c r="C3941" s="3" t="s">
        <v>162</v>
      </c>
      <c r="G3941" s="19"/>
    </row>
    <row r="3942" spans="1:7" ht="12.75" x14ac:dyDescent="0.2">
      <c r="A3942" s="3"/>
      <c r="B3942" s="4" t="s">
        <v>65</v>
      </c>
      <c r="C3942" s="3" t="s">
        <v>162</v>
      </c>
      <c r="G3942" s="19"/>
    </row>
    <row r="3943" spans="1:7" ht="12.75" x14ac:dyDescent="0.2">
      <c r="A3943" s="3"/>
      <c r="B3943" s="4" t="s">
        <v>65</v>
      </c>
      <c r="C3943" s="3" t="s">
        <v>162</v>
      </c>
      <c r="F3943">
        <f>SUM(E3940:E3947)</f>
        <v>0</v>
      </c>
      <c r="G3943" s="19"/>
    </row>
    <row r="3944" spans="1:7" ht="12.75" x14ac:dyDescent="0.2">
      <c r="A3944" s="3"/>
      <c r="B3944" s="4" t="s">
        <v>65</v>
      </c>
      <c r="C3944" s="3" t="s">
        <v>162</v>
      </c>
      <c r="G3944" s="19"/>
    </row>
    <row r="3945" spans="1:7" ht="12.75" x14ac:dyDescent="0.2">
      <c r="A3945" s="3"/>
      <c r="B3945" s="4" t="s">
        <v>65</v>
      </c>
      <c r="C3945" s="3" t="s">
        <v>162</v>
      </c>
      <c r="G3945" s="19"/>
    </row>
    <row r="3946" spans="1:7" ht="12.75" x14ac:dyDescent="0.2">
      <c r="A3946" s="3"/>
      <c r="B3946" s="4" t="s">
        <v>65</v>
      </c>
      <c r="C3946" s="3" t="s">
        <v>162</v>
      </c>
      <c r="G3946" s="19"/>
    </row>
    <row r="3947" spans="1:7" ht="12.75" x14ac:dyDescent="0.2">
      <c r="A3947" s="3"/>
      <c r="B3947" s="4" t="s">
        <v>65</v>
      </c>
      <c r="C3947" s="3" t="s">
        <v>162</v>
      </c>
      <c r="G3947" s="19"/>
    </row>
    <row r="3948" spans="1:7" ht="12.75" x14ac:dyDescent="0.2">
      <c r="A3948" s="3"/>
      <c r="B3948" s="4" t="s">
        <v>65</v>
      </c>
      <c r="C3948" s="3" t="s">
        <v>161</v>
      </c>
      <c r="G3948" s="19"/>
    </row>
    <row r="3949" spans="1:7" ht="12.75" x14ac:dyDescent="0.2">
      <c r="A3949" s="3"/>
      <c r="B3949" s="4" t="s">
        <v>65</v>
      </c>
      <c r="C3949" s="3" t="s">
        <v>161</v>
      </c>
      <c r="G3949" s="19"/>
    </row>
    <row r="3950" spans="1:7" ht="12.75" x14ac:dyDescent="0.2">
      <c r="A3950" s="3"/>
      <c r="B3950" s="4" t="s">
        <v>65</v>
      </c>
      <c r="C3950" s="3" t="s">
        <v>161</v>
      </c>
      <c r="G3950" s="19"/>
    </row>
    <row r="3951" spans="1:7" ht="12.75" x14ac:dyDescent="0.2">
      <c r="A3951" s="3"/>
      <c r="B3951" s="4" t="s">
        <v>65</v>
      </c>
      <c r="C3951" s="3" t="s">
        <v>161</v>
      </c>
      <c r="F3951">
        <f>SUM(E3948:E3955)</f>
        <v>0</v>
      </c>
      <c r="G3951" s="19"/>
    </row>
    <row r="3952" spans="1:7" ht="12.75" x14ac:dyDescent="0.2">
      <c r="A3952" s="3"/>
      <c r="B3952" s="4" t="s">
        <v>65</v>
      </c>
      <c r="C3952" s="3" t="s">
        <v>161</v>
      </c>
      <c r="G3952" s="19"/>
    </row>
    <row r="3953" spans="1:7" ht="12.75" x14ac:dyDescent="0.2">
      <c r="A3953" s="3"/>
      <c r="B3953" s="4" t="s">
        <v>65</v>
      </c>
      <c r="C3953" s="3" t="s">
        <v>161</v>
      </c>
      <c r="G3953" s="19"/>
    </row>
    <row r="3954" spans="1:7" ht="12.75" x14ac:dyDescent="0.2">
      <c r="A3954" s="3"/>
      <c r="B3954" s="4" t="s">
        <v>65</v>
      </c>
      <c r="C3954" s="3" t="s">
        <v>161</v>
      </c>
      <c r="G3954" s="19"/>
    </row>
    <row r="3955" spans="1:7" ht="12.75" x14ac:dyDescent="0.2">
      <c r="A3955" s="3"/>
      <c r="B3955" s="4" t="s">
        <v>65</v>
      </c>
      <c r="C3955" s="3" t="s">
        <v>161</v>
      </c>
      <c r="G3955" s="19"/>
    </row>
    <row r="3956" spans="1:7" ht="12.75" x14ac:dyDescent="0.2">
      <c r="A3956" s="3"/>
      <c r="B3956" s="4" t="s">
        <v>84</v>
      </c>
      <c r="C3956" s="3" t="s">
        <v>162</v>
      </c>
      <c r="G3956" s="19"/>
    </row>
    <row r="3957" spans="1:7" ht="12.75" x14ac:dyDescent="0.2">
      <c r="A3957" s="3"/>
      <c r="B3957" s="4" t="s">
        <v>84</v>
      </c>
      <c r="C3957" s="3" t="s">
        <v>162</v>
      </c>
      <c r="G3957" s="19"/>
    </row>
    <row r="3958" spans="1:7" ht="12.75" x14ac:dyDescent="0.2">
      <c r="A3958" s="3"/>
      <c r="B3958" s="4" t="s">
        <v>84</v>
      </c>
      <c r="C3958" s="3" t="s">
        <v>162</v>
      </c>
      <c r="G3958" s="19"/>
    </row>
    <row r="3959" spans="1:7" ht="12.75" x14ac:dyDescent="0.2">
      <c r="A3959" s="3"/>
      <c r="B3959" s="4" t="s">
        <v>84</v>
      </c>
      <c r="C3959" s="3" t="s">
        <v>162</v>
      </c>
      <c r="G3959" s="19"/>
    </row>
    <row r="3960" spans="1:7" ht="12.75" x14ac:dyDescent="0.2">
      <c r="A3960" s="3"/>
      <c r="B3960" s="4" t="s">
        <v>84</v>
      </c>
      <c r="C3960" s="3" t="s">
        <v>162</v>
      </c>
      <c r="F3960">
        <f>SUM(E3956:E3964)</f>
        <v>0</v>
      </c>
      <c r="G3960" s="19"/>
    </row>
    <row r="3961" spans="1:7" ht="12.75" x14ac:dyDescent="0.2">
      <c r="A3961" s="3"/>
      <c r="B3961" s="4" t="s">
        <v>84</v>
      </c>
      <c r="C3961" s="3" t="s">
        <v>162</v>
      </c>
      <c r="G3961" s="19"/>
    </row>
    <row r="3962" spans="1:7" ht="12.75" x14ac:dyDescent="0.2">
      <c r="A3962" s="3"/>
      <c r="B3962" s="4" t="s">
        <v>84</v>
      </c>
      <c r="C3962" s="3" t="s">
        <v>162</v>
      </c>
      <c r="G3962" s="19"/>
    </row>
    <row r="3963" spans="1:7" ht="12.75" x14ac:dyDescent="0.2">
      <c r="A3963" s="3"/>
      <c r="B3963" s="4" t="s">
        <v>84</v>
      </c>
      <c r="C3963" s="3" t="s">
        <v>162</v>
      </c>
      <c r="G3963" s="19"/>
    </row>
    <row r="3964" spans="1:7" ht="12.75" x14ac:dyDescent="0.2">
      <c r="A3964" s="3"/>
      <c r="B3964" s="4" t="s">
        <v>84</v>
      </c>
      <c r="C3964" s="3" t="s">
        <v>162</v>
      </c>
      <c r="G3964" s="19"/>
    </row>
    <row r="3965" spans="1:7" ht="12.75" x14ac:dyDescent="0.2">
      <c r="A3965" s="3"/>
      <c r="B3965" s="4" t="s">
        <v>84</v>
      </c>
      <c r="C3965" s="3" t="s">
        <v>161</v>
      </c>
      <c r="G3965" s="19"/>
    </row>
    <row r="3966" spans="1:7" ht="12.75" x14ac:dyDescent="0.2">
      <c r="A3966" s="3"/>
      <c r="B3966" s="4" t="s">
        <v>84</v>
      </c>
      <c r="C3966" s="3" t="s">
        <v>161</v>
      </c>
      <c r="G3966" s="19"/>
    </row>
    <row r="3967" spans="1:7" ht="12.75" x14ac:dyDescent="0.2">
      <c r="A3967" s="3"/>
      <c r="B3967" s="4" t="s">
        <v>84</v>
      </c>
      <c r="C3967" s="3" t="s">
        <v>161</v>
      </c>
      <c r="G3967" s="19"/>
    </row>
    <row r="3968" spans="1:7" ht="12.75" x14ac:dyDescent="0.2">
      <c r="A3968" s="3"/>
      <c r="B3968" s="4" t="s">
        <v>84</v>
      </c>
      <c r="C3968" s="3" t="s">
        <v>161</v>
      </c>
      <c r="G3968" s="19"/>
    </row>
    <row r="3969" spans="1:7" ht="12.75" x14ac:dyDescent="0.2">
      <c r="A3969" s="3"/>
      <c r="B3969" s="4" t="s">
        <v>84</v>
      </c>
      <c r="C3969" s="3" t="s">
        <v>161</v>
      </c>
      <c r="F3969">
        <f>SUM(E3965:E3973)</f>
        <v>0</v>
      </c>
      <c r="G3969" s="19"/>
    </row>
    <row r="3970" spans="1:7" ht="12.75" x14ac:dyDescent="0.2">
      <c r="A3970" s="3"/>
      <c r="B3970" s="4" t="s">
        <v>84</v>
      </c>
      <c r="C3970" s="3" t="s">
        <v>161</v>
      </c>
      <c r="G3970" s="19"/>
    </row>
    <row r="3971" spans="1:7" ht="12.75" x14ac:dyDescent="0.2">
      <c r="A3971" s="3"/>
      <c r="B3971" s="4" t="s">
        <v>84</v>
      </c>
      <c r="C3971" s="3" t="s">
        <v>161</v>
      </c>
      <c r="G3971" s="19"/>
    </row>
    <row r="3972" spans="1:7" ht="12.75" x14ac:dyDescent="0.2">
      <c r="A3972" s="3"/>
      <c r="B3972" s="4" t="s">
        <v>84</v>
      </c>
      <c r="C3972" s="3" t="s">
        <v>161</v>
      </c>
      <c r="G3972" s="19"/>
    </row>
    <row r="3973" spans="1:7" ht="12.75" x14ac:dyDescent="0.2">
      <c r="A3973" s="3"/>
      <c r="B3973" s="4" t="s">
        <v>84</v>
      </c>
      <c r="C3973" s="3" t="s">
        <v>161</v>
      </c>
      <c r="G3973" s="19"/>
    </row>
    <row r="3974" spans="1:7" ht="12.75" x14ac:dyDescent="0.2">
      <c r="A3974" s="3"/>
      <c r="B3974" s="4" t="s">
        <v>72</v>
      </c>
      <c r="C3974" s="3" t="s">
        <v>162</v>
      </c>
      <c r="G3974" s="19"/>
    </row>
    <row r="3975" spans="1:7" ht="12.75" x14ac:dyDescent="0.2">
      <c r="A3975" s="3"/>
      <c r="B3975" s="4" t="s">
        <v>72</v>
      </c>
      <c r="C3975" s="3" t="s">
        <v>162</v>
      </c>
      <c r="G3975" s="19"/>
    </row>
    <row r="3976" spans="1:7" ht="12.75" x14ac:dyDescent="0.2">
      <c r="A3976" s="3"/>
      <c r="B3976" s="4" t="s">
        <v>72</v>
      </c>
      <c r="C3976" s="3" t="s">
        <v>162</v>
      </c>
      <c r="G3976" s="19"/>
    </row>
    <row r="3977" spans="1:7" ht="12.75" x14ac:dyDescent="0.2">
      <c r="A3977" s="3"/>
      <c r="B3977" s="4" t="s">
        <v>72</v>
      </c>
      <c r="C3977" s="3" t="s">
        <v>162</v>
      </c>
      <c r="G3977" s="19"/>
    </row>
    <row r="3978" spans="1:7" ht="12.75" x14ac:dyDescent="0.2">
      <c r="A3978" s="3"/>
      <c r="B3978" s="4" t="s">
        <v>72</v>
      </c>
      <c r="C3978" s="3" t="s">
        <v>162</v>
      </c>
      <c r="F3978">
        <f>SUM(E3974:E3982)</f>
        <v>0</v>
      </c>
      <c r="G3978" s="19"/>
    </row>
    <row r="3979" spans="1:7" ht="12.75" x14ac:dyDescent="0.2">
      <c r="A3979" s="3"/>
      <c r="B3979" s="4" t="s">
        <v>72</v>
      </c>
      <c r="C3979" s="3" t="s">
        <v>162</v>
      </c>
      <c r="G3979" s="19"/>
    </row>
    <row r="3980" spans="1:7" ht="12.75" x14ac:dyDescent="0.2">
      <c r="A3980" s="3"/>
      <c r="B3980" s="4" t="s">
        <v>72</v>
      </c>
      <c r="C3980" s="3" t="s">
        <v>162</v>
      </c>
      <c r="G3980" s="19"/>
    </row>
    <row r="3981" spans="1:7" ht="12.75" x14ac:dyDescent="0.2">
      <c r="A3981" s="3"/>
      <c r="B3981" s="4" t="s">
        <v>72</v>
      </c>
      <c r="C3981" s="3" t="s">
        <v>162</v>
      </c>
      <c r="G3981" s="19"/>
    </row>
    <row r="3982" spans="1:7" ht="12.75" x14ac:dyDescent="0.2">
      <c r="A3982" s="3"/>
      <c r="B3982" s="4" t="s">
        <v>72</v>
      </c>
      <c r="C3982" s="3" t="s">
        <v>162</v>
      </c>
      <c r="G3982" s="19"/>
    </row>
    <row r="3983" spans="1:7" ht="12.75" x14ac:dyDescent="0.2">
      <c r="A3983" s="3"/>
      <c r="B3983" s="4" t="s">
        <v>72</v>
      </c>
      <c r="C3983" s="3" t="s">
        <v>161</v>
      </c>
      <c r="G3983" s="19"/>
    </row>
    <row r="3984" spans="1:7" ht="12.75" x14ac:dyDescent="0.2">
      <c r="A3984" s="3"/>
      <c r="B3984" s="4" t="s">
        <v>72</v>
      </c>
      <c r="C3984" s="3" t="s">
        <v>161</v>
      </c>
      <c r="G3984" s="19"/>
    </row>
    <row r="3985" spans="1:7" ht="12.75" x14ac:dyDescent="0.2">
      <c r="A3985" s="3"/>
      <c r="B3985" s="4" t="s">
        <v>72</v>
      </c>
      <c r="C3985" s="3" t="s">
        <v>161</v>
      </c>
      <c r="G3985" s="19"/>
    </row>
    <row r="3986" spans="1:7" ht="12.75" x14ac:dyDescent="0.2">
      <c r="A3986" s="3"/>
      <c r="B3986" s="4" t="s">
        <v>72</v>
      </c>
      <c r="C3986" s="3" t="s">
        <v>161</v>
      </c>
      <c r="G3986" s="19"/>
    </row>
    <row r="3987" spans="1:7" ht="12.75" x14ac:dyDescent="0.2">
      <c r="A3987" s="3"/>
      <c r="B3987" s="4" t="s">
        <v>72</v>
      </c>
      <c r="C3987" s="3" t="s">
        <v>161</v>
      </c>
      <c r="F3987">
        <f>SUM(E3983:E3991)</f>
        <v>0</v>
      </c>
      <c r="G3987" s="19"/>
    </row>
    <row r="3988" spans="1:7" ht="12.75" x14ac:dyDescent="0.2">
      <c r="A3988" s="3"/>
      <c r="B3988" s="4" t="s">
        <v>72</v>
      </c>
      <c r="C3988" s="3" t="s">
        <v>161</v>
      </c>
      <c r="G3988" s="19"/>
    </row>
    <row r="3989" spans="1:7" ht="12.75" x14ac:dyDescent="0.2">
      <c r="A3989" s="3"/>
      <c r="B3989" s="4" t="s">
        <v>72</v>
      </c>
      <c r="C3989" s="3" t="s">
        <v>161</v>
      </c>
      <c r="G3989" s="19"/>
    </row>
    <row r="3990" spans="1:7" ht="12.75" x14ac:dyDescent="0.2">
      <c r="A3990" s="3"/>
      <c r="B3990" s="4" t="s">
        <v>72</v>
      </c>
      <c r="C3990" s="3" t="s">
        <v>161</v>
      </c>
      <c r="G3990" s="19"/>
    </row>
    <row r="3991" spans="1:7" ht="12.75" x14ac:dyDescent="0.2">
      <c r="A3991" s="3"/>
      <c r="B3991" s="4" t="s">
        <v>72</v>
      </c>
      <c r="C3991" s="3" t="s">
        <v>161</v>
      </c>
      <c r="G3991" s="19"/>
    </row>
    <row r="3992" spans="1:7" ht="12.75" x14ac:dyDescent="0.2">
      <c r="A3992" s="3"/>
      <c r="B3992" s="4" t="s">
        <v>66</v>
      </c>
      <c r="C3992" s="3" t="s">
        <v>162</v>
      </c>
      <c r="G3992" s="19"/>
    </row>
    <row r="3993" spans="1:7" ht="12.75" x14ac:dyDescent="0.2">
      <c r="A3993" s="3"/>
      <c r="B3993" s="4" t="s">
        <v>66</v>
      </c>
      <c r="C3993" s="3" t="s">
        <v>162</v>
      </c>
      <c r="G3993" s="19"/>
    </row>
    <row r="3994" spans="1:7" ht="12.75" x14ac:dyDescent="0.2">
      <c r="A3994" s="3"/>
      <c r="B3994" s="4" t="s">
        <v>66</v>
      </c>
      <c r="C3994" s="3" t="s">
        <v>162</v>
      </c>
      <c r="G3994" s="19"/>
    </row>
    <row r="3995" spans="1:7" ht="12.75" x14ac:dyDescent="0.2">
      <c r="A3995" s="3"/>
      <c r="B3995" s="4" t="s">
        <v>66</v>
      </c>
      <c r="C3995" s="3" t="s">
        <v>162</v>
      </c>
      <c r="G3995" s="19"/>
    </row>
    <row r="3996" spans="1:7" ht="12.75" x14ac:dyDescent="0.2">
      <c r="A3996" s="3"/>
      <c r="B3996" s="4" t="s">
        <v>66</v>
      </c>
      <c r="C3996" s="3" t="s">
        <v>162</v>
      </c>
      <c r="F3996">
        <f>SUM(E3992:E4000)</f>
        <v>0</v>
      </c>
      <c r="G3996" s="19"/>
    </row>
    <row r="3997" spans="1:7" ht="12.75" x14ac:dyDescent="0.2">
      <c r="A3997" s="3"/>
      <c r="B3997" s="4" t="s">
        <v>66</v>
      </c>
      <c r="C3997" s="3" t="s">
        <v>162</v>
      </c>
      <c r="G3997" s="19"/>
    </row>
    <row r="3998" spans="1:7" ht="12.75" x14ac:dyDescent="0.2">
      <c r="A3998" s="3"/>
      <c r="B3998" s="4" t="s">
        <v>66</v>
      </c>
      <c r="C3998" s="3" t="s">
        <v>162</v>
      </c>
      <c r="G3998" s="19"/>
    </row>
    <row r="3999" spans="1:7" ht="12.75" x14ac:dyDescent="0.2">
      <c r="A3999" s="3"/>
      <c r="B3999" s="4" t="s">
        <v>66</v>
      </c>
      <c r="C3999" s="3" t="s">
        <v>162</v>
      </c>
      <c r="G3999" s="19"/>
    </row>
    <row r="4000" spans="1:7" ht="12.75" x14ac:dyDescent="0.2">
      <c r="A4000" s="3"/>
      <c r="B4000" s="4" t="s">
        <v>66</v>
      </c>
      <c r="C4000" s="3" t="s">
        <v>162</v>
      </c>
      <c r="G4000" s="19"/>
    </row>
    <row r="4001" spans="1:7" ht="12.75" x14ac:dyDescent="0.2">
      <c r="A4001" s="3"/>
      <c r="B4001" s="4" t="s">
        <v>66</v>
      </c>
      <c r="C4001" s="3" t="s">
        <v>161</v>
      </c>
      <c r="G4001" s="19"/>
    </row>
    <row r="4002" spans="1:7" ht="12.75" x14ac:dyDescent="0.2">
      <c r="A4002" s="3"/>
      <c r="B4002" s="4" t="s">
        <v>66</v>
      </c>
      <c r="C4002" s="3" t="s">
        <v>161</v>
      </c>
      <c r="G4002" s="19"/>
    </row>
    <row r="4003" spans="1:7" ht="12.75" x14ac:dyDescent="0.2">
      <c r="A4003" s="3"/>
      <c r="B4003" s="4" t="s">
        <v>66</v>
      </c>
      <c r="C4003" s="3" t="s">
        <v>161</v>
      </c>
      <c r="G4003" s="19"/>
    </row>
    <row r="4004" spans="1:7" ht="12.75" x14ac:dyDescent="0.2">
      <c r="A4004" s="3"/>
      <c r="B4004" s="4" t="s">
        <v>66</v>
      </c>
      <c r="C4004" s="3" t="s">
        <v>161</v>
      </c>
      <c r="G4004" s="19"/>
    </row>
    <row r="4005" spans="1:7" ht="12.75" x14ac:dyDescent="0.2">
      <c r="A4005" s="3"/>
      <c r="B4005" s="4" t="s">
        <v>66</v>
      </c>
      <c r="C4005" s="3" t="s">
        <v>161</v>
      </c>
      <c r="F4005">
        <f>SUM(E4001:E4009)</f>
        <v>0</v>
      </c>
      <c r="G4005" s="19"/>
    </row>
    <row r="4006" spans="1:7" ht="12.75" x14ac:dyDescent="0.2">
      <c r="A4006" s="3"/>
      <c r="B4006" s="4" t="s">
        <v>66</v>
      </c>
      <c r="C4006" s="3" t="s">
        <v>161</v>
      </c>
      <c r="G4006" s="19"/>
    </row>
    <row r="4007" spans="1:7" ht="12.75" x14ac:dyDescent="0.2">
      <c r="A4007" s="3"/>
      <c r="B4007" s="4" t="s">
        <v>66</v>
      </c>
      <c r="C4007" s="3" t="s">
        <v>161</v>
      </c>
      <c r="G4007" s="19"/>
    </row>
    <row r="4008" spans="1:7" ht="12.75" x14ac:dyDescent="0.2">
      <c r="A4008" s="3"/>
      <c r="B4008" s="4" t="s">
        <v>66</v>
      </c>
      <c r="C4008" s="3" t="s">
        <v>161</v>
      </c>
      <c r="G4008" s="19"/>
    </row>
    <row r="4009" spans="1:7" ht="12.75" x14ac:dyDescent="0.2">
      <c r="A4009" s="3"/>
      <c r="B4009" s="4" t="s">
        <v>66</v>
      </c>
      <c r="C4009" s="3" t="s">
        <v>161</v>
      </c>
      <c r="G4009" s="19"/>
    </row>
    <row r="4010" spans="1:7" ht="12.75" x14ac:dyDescent="0.2">
      <c r="A4010" s="3"/>
      <c r="B4010" s="4" t="s">
        <v>104</v>
      </c>
      <c r="C4010" s="3" t="s">
        <v>162</v>
      </c>
      <c r="G4010" s="19"/>
    </row>
    <row r="4011" spans="1:7" ht="12.75" x14ac:dyDescent="0.2">
      <c r="A4011" s="3"/>
      <c r="B4011" s="4" t="s">
        <v>104</v>
      </c>
      <c r="C4011" s="3" t="s">
        <v>162</v>
      </c>
      <c r="G4011" s="19"/>
    </row>
    <row r="4012" spans="1:7" ht="12.75" x14ac:dyDescent="0.2">
      <c r="A4012" s="3"/>
      <c r="B4012" s="4" t="s">
        <v>104</v>
      </c>
      <c r="C4012" s="3" t="s">
        <v>162</v>
      </c>
      <c r="G4012" s="19"/>
    </row>
    <row r="4013" spans="1:7" ht="12.75" x14ac:dyDescent="0.2">
      <c r="A4013" s="3"/>
      <c r="B4013" s="4" t="s">
        <v>104</v>
      </c>
      <c r="C4013" s="3" t="s">
        <v>162</v>
      </c>
      <c r="G4013" s="19"/>
    </row>
    <row r="4014" spans="1:7" ht="12.75" x14ac:dyDescent="0.2">
      <c r="A4014" s="3"/>
      <c r="B4014" s="4" t="s">
        <v>104</v>
      </c>
      <c r="C4014" s="3" t="s">
        <v>162</v>
      </c>
      <c r="F4014">
        <f>SUM(E4010:E4018)</f>
        <v>0</v>
      </c>
      <c r="G4014" s="19"/>
    </row>
    <row r="4015" spans="1:7" ht="12.75" x14ac:dyDescent="0.2">
      <c r="A4015" s="3"/>
      <c r="B4015" s="4" t="s">
        <v>104</v>
      </c>
      <c r="C4015" s="3" t="s">
        <v>162</v>
      </c>
      <c r="G4015" s="19"/>
    </row>
    <row r="4016" spans="1:7" ht="12.75" x14ac:dyDescent="0.2">
      <c r="A4016" s="3"/>
      <c r="B4016" s="4" t="s">
        <v>104</v>
      </c>
      <c r="C4016" s="3" t="s">
        <v>162</v>
      </c>
      <c r="G4016" s="19"/>
    </row>
    <row r="4017" spans="1:7" ht="12.75" x14ac:dyDescent="0.2">
      <c r="A4017" s="3"/>
      <c r="B4017" s="4" t="s">
        <v>104</v>
      </c>
      <c r="C4017" s="3" t="s">
        <v>162</v>
      </c>
      <c r="G4017" s="19"/>
    </row>
    <row r="4018" spans="1:7" ht="12.75" x14ac:dyDescent="0.2">
      <c r="A4018" s="3"/>
      <c r="B4018" s="4" t="s">
        <v>104</v>
      </c>
      <c r="C4018" s="3" t="s">
        <v>162</v>
      </c>
      <c r="G4018" s="19"/>
    </row>
    <row r="4019" spans="1:7" ht="12.75" x14ac:dyDescent="0.2">
      <c r="A4019" s="3"/>
      <c r="B4019" s="4" t="s">
        <v>104</v>
      </c>
      <c r="C4019" s="3" t="s">
        <v>161</v>
      </c>
      <c r="G4019" s="19"/>
    </row>
    <row r="4020" spans="1:7" ht="12.75" x14ac:dyDescent="0.2">
      <c r="A4020" s="3"/>
      <c r="B4020" s="4" t="s">
        <v>104</v>
      </c>
      <c r="C4020" s="3" t="s">
        <v>161</v>
      </c>
      <c r="G4020" s="19"/>
    </row>
    <row r="4021" spans="1:7" ht="12.75" x14ac:dyDescent="0.2">
      <c r="A4021" s="3"/>
      <c r="B4021" s="4" t="s">
        <v>104</v>
      </c>
      <c r="C4021" s="3" t="s">
        <v>161</v>
      </c>
      <c r="G4021" s="19"/>
    </row>
    <row r="4022" spans="1:7" ht="12.75" x14ac:dyDescent="0.2">
      <c r="A4022" s="3"/>
      <c r="B4022" s="4" t="s">
        <v>104</v>
      </c>
      <c r="C4022" s="3" t="s">
        <v>161</v>
      </c>
      <c r="G4022" s="19"/>
    </row>
    <row r="4023" spans="1:7" ht="12.75" x14ac:dyDescent="0.2">
      <c r="A4023" s="3"/>
      <c r="B4023" s="4" t="s">
        <v>104</v>
      </c>
      <c r="C4023" s="3" t="s">
        <v>161</v>
      </c>
      <c r="F4023">
        <f>SUM(E4019:E4027)</f>
        <v>0</v>
      </c>
      <c r="G4023" s="19"/>
    </row>
    <row r="4024" spans="1:7" ht="12.75" x14ac:dyDescent="0.2">
      <c r="A4024" s="3"/>
      <c r="B4024" s="4" t="s">
        <v>104</v>
      </c>
      <c r="C4024" s="3" t="s">
        <v>161</v>
      </c>
      <c r="G4024" s="19"/>
    </row>
    <row r="4025" spans="1:7" ht="12.75" x14ac:dyDescent="0.2">
      <c r="A4025" s="3"/>
      <c r="B4025" s="4" t="s">
        <v>104</v>
      </c>
      <c r="C4025" s="3" t="s">
        <v>161</v>
      </c>
      <c r="G4025" s="19"/>
    </row>
    <row r="4026" spans="1:7" ht="12.75" x14ac:dyDescent="0.2">
      <c r="A4026" s="3"/>
      <c r="B4026" s="4" t="s">
        <v>104</v>
      </c>
      <c r="C4026" s="3" t="s">
        <v>161</v>
      </c>
      <c r="G4026" s="19"/>
    </row>
    <row r="4027" spans="1:7" ht="12.75" x14ac:dyDescent="0.2">
      <c r="A4027" s="3"/>
      <c r="B4027" s="4" t="s">
        <v>104</v>
      </c>
      <c r="C4027" s="3" t="s">
        <v>161</v>
      </c>
      <c r="G4027" s="19"/>
    </row>
    <row r="4028" spans="1:7" ht="12.75" x14ac:dyDescent="0.2">
      <c r="A4028" s="3"/>
      <c r="B4028" s="4" t="s">
        <v>52</v>
      </c>
      <c r="C4028" s="3" t="s">
        <v>162</v>
      </c>
      <c r="G4028" s="19"/>
    </row>
    <row r="4029" spans="1:7" ht="12.75" x14ac:dyDescent="0.2">
      <c r="A4029" s="3"/>
      <c r="B4029" s="4" t="s">
        <v>52</v>
      </c>
      <c r="C4029" s="3" t="s">
        <v>162</v>
      </c>
      <c r="G4029" s="19"/>
    </row>
    <row r="4030" spans="1:7" ht="12.75" x14ac:dyDescent="0.2">
      <c r="A4030" s="3"/>
      <c r="B4030" s="4" t="s">
        <v>52</v>
      </c>
      <c r="C4030" s="3" t="s">
        <v>162</v>
      </c>
      <c r="G4030" s="19"/>
    </row>
    <row r="4031" spans="1:7" ht="12.75" x14ac:dyDescent="0.2">
      <c r="A4031" s="3"/>
      <c r="B4031" s="4" t="s">
        <v>52</v>
      </c>
      <c r="C4031" s="3" t="s">
        <v>162</v>
      </c>
      <c r="G4031" s="19"/>
    </row>
    <row r="4032" spans="1:7" ht="12.75" x14ac:dyDescent="0.2">
      <c r="A4032" s="3"/>
      <c r="B4032" s="4" t="s">
        <v>52</v>
      </c>
      <c r="C4032" s="3" t="s">
        <v>162</v>
      </c>
      <c r="F4032">
        <f>SUM(E4028:E4036)</f>
        <v>0</v>
      </c>
      <c r="G4032" s="19"/>
    </row>
    <row r="4033" spans="1:7" ht="12.75" x14ac:dyDescent="0.2">
      <c r="A4033" s="3"/>
      <c r="B4033" s="4" t="s">
        <v>52</v>
      </c>
      <c r="C4033" s="3" t="s">
        <v>162</v>
      </c>
      <c r="G4033" s="19"/>
    </row>
    <row r="4034" spans="1:7" ht="12.75" x14ac:dyDescent="0.2">
      <c r="A4034" s="3"/>
      <c r="B4034" s="4" t="s">
        <v>52</v>
      </c>
      <c r="C4034" s="3" t="s">
        <v>162</v>
      </c>
      <c r="G4034" s="19"/>
    </row>
    <row r="4035" spans="1:7" ht="12.75" x14ac:dyDescent="0.2">
      <c r="A4035" s="3"/>
      <c r="B4035" s="4" t="s">
        <v>52</v>
      </c>
      <c r="C4035" s="3" t="s">
        <v>162</v>
      </c>
      <c r="G4035" s="19"/>
    </row>
    <row r="4036" spans="1:7" ht="12.75" x14ac:dyDescent="0.2">
      <c r="A4036" s="3"/>
      <c r="B4036" s="4" t="s">
        <v>52</v>
      </c>
      <c r="C4036" s="3" t="s">
        <v>162</v>
      </c>
      <c r="G4036" s="19"/>
    </row>
    <row r="4037" spans="1:7" ht="12.75" x14ac:dyDescent="0.2">
      <c r="A4037" s="3"/>
      <c r="B4037" s="4" t="s">
        <v>52</v>
      </c>
      <c r="C4037" s="3" t="s">
        <v>161</v>
      </c>
      <c r="G4037" s="19"/>
    </row>
    <row r="4038" spans="1:7" ht="12.75" x14ac:dyDescent="0.2">
      <c r="A4038" s="3"/>
      <c r="B4038" s="4" t="s">
        <v>52</v>
      </c>
      <c r="C4038" s="3" t="s">
        <v>161</v>
      </c>
      <c r="G4038" s="19"/>
    </row>
    <row r="4039" spans="1:7" ht="12.75" x14ac:dyDescent="0.2">
      <c r="A4039" s="3"/>
      <c r="B4039" s="4" t="s">
        <v>52</v>
      </c>
      <c r="C4039" s="3" t="s">
        <v>161</v>
      </c>
      <c r="G4039" s="19"/>
    </row>
    <row r="4040" spans="1:7" ht="12.75" x14ac:dyDescent="0.2">
      <c r="A4040" s="3"/>
      <c r="B4040" s="4" t="s">
        <v>52</v>
      </c>
      <c r="C4040" s="3" t="s">
        <v>161</v>
      </c>
      <c r="G4040" s="19"/>
    </row>
    <row r="4041" spans="1:7" ht="12.75" x14ac:dyDescent="0.2">
      <c r="A4041" s="3"/>
      <c r="B4041" s="4" t="s">
        <v>52</v>
      </c>
      <c r="C4041" s="3" t="s">
        <v>161</v>
      </c>
      <c r="F4041">
        <f>SUM(E4037:E4045)</f>
        <v>0</v>
      </c>
      <c r="G4041" s="19"/>
    </row>
    <row r="4042" spans="1:7" ht="12.75" x14ac:dyDescent="0.2">
      <c r="A4042" s="3"/>
      <c r="B4042" s="4" t="s">
        <v>52</v>
      </c>
      <c r="C4042" s="3" t="s">
        <v>161</v>
      </c>
      <c r="G4042" s="19"/>
    </row>
    <row r="4043" spans="1:7" ht="12.75" x14ac:dyDescent="0.2">
      <c r="A4043" s="3"/>
      <c r="B4043" s="4" t="s">
        <v>52</v>
      </c>
      <c r="C4043" s="3" t="s">
        <v>161</v>
      </c>
      <c r="G4043" s="19"/>
    </row>
    <row r="4044" spans="1:7" ht="12.75" x14ac:dyDescent="0.2">
      <c r="A4044" s="3"/>
      <c r="B4044" s="4" t="s">
        <v>52</v>
      </c>
      <c r="C4044" s="3" t="s">
        <v>161</v>
      </c>
      <c r="G4044" s="19"/>
    </row>
    <row r="4045" spans="1:7" ht="12.75" x14ac:dyDescent="0.2">
      <c r="A4045" s="3"/>
      <c r="B4045" s="4" t="s">
        <v>52</v>
      </c>
      <c r="C4045" s="3" t="s">
        <v>161</v>
      </c>
      <c r="G4045" s="19"/>
    </row>
    <row r="4046" spans="1:7" ht="12.75" x14ac:dyDescent="0.2">
      <c r="A4046" s="3"/>
      <c r="B4046" s="4" t="s">
        <v>73</v>
      </c>
      <c r="C4046" s="3" t="s">
        <v>162</v>
      </c>
      <c r="G4046" s="19"/>
    </row>
    <row r="4047" spans="1:7" ht="12.75" x14ac:dyDescent="0.2">
      <c r="A4047" s="3"/>
      <c r="B4047" s="4" t="s">
        <v>73</v>
      </c>
      <c r="C4047" s="3" t="s">
        <v>162</v>
      </c>
      <c r="G4047" s="19"/>
    </row>
    <row r="4048" spans="1:7" ht="12.75" x14ac:dyDescent="0.2">
      <c r="A4048" s="3"/>
      <c r="B4048" s="4" t="s">
        <v>73</v>
      </c>
      <c r="C4048" s="3" t="s">
        <v>162</v>
      </c>
      <c r="G4048" s="19"/>
    </row>
    <row r="4049" spans="1:7" ht="12.75" x14ac:dyDescent="0.2">
      <c r="A4049" s="3"/>
      <c r="B4049" s="4" t="s">
        <v>73</v>
      </c>
      <c r="C4049" s="3" t="s">
        <v>162</v>
      </c>
      <c r="G4049" s="19"/>
    </row>
    <row r="4050" spans="1:7" ht="12.75" x14ac:dyDescent="0.2">
      <c r="A4050" s="3"/>
      <c r="B4050" s="4" t="s">
        <v>73</v>
      </c>
      <c r="C4050" s="3" t="s">
        <v>162</v>
      </c>
      <c r="F4050">
        <f>SUM(E4046:E4054)</f>
        <v>0</v>
      </c>
      <c r="G4050" s="19"/>
    </row>
    <row r="4051" spans="1:7" ht="12.75" x14ac:dyDescent="0.2">
      <c r="A4051" s="3"/>
      <c r="B4051" s="4" t="s">
        <v>73</v>
      </c>
      <c r="C4051" s="3" t="s">
        <v>162</v>
      </c>
      <c r="G4051" s="19"/>
    </row>
    <row r="4052" spans="1:7" ht="12.75" x14ac:dyDescent="0.2">
      <c r="A4052" s="3"/>
      <c r="B4052" s="4" t="s">
        <v>73</v>
      </c>
      <c r="C4052" s="3" t="s">
        <v>162</v>
      </c>
      <c r="G4052" s="19"/>
    </row>
    <row r="4053" spans="1:7" ht="12.75" x14ac:dyDescent="0.2">
      <c r="A4053" s="3"/>
      <c r="B4053" s="4" t="s">
        <v>73</v>
      </c>
      <c r="C4053" s="3" t="s">
        <v>162</v>
      </c>
      <c r="G4053" s="19"/>
    </row>
    <row r="4054" spans="1:7" ht="12.75" x14ac:dyDescent="0.2">
      <c r="A4054" s="3"/>
      <c r="B4054" s="4" t="s">
        <v>73</v>
      </c>
      <c r="C4054" s="3" t="s">
        <v>162</v>
      </c>
      <c r="G4054" s="19"/>
    </row>
    <row r="4055" spans="1:7" ht="12.75" x14ac:dyDescent="0.2">
      <c r="A4055" s="3"/>
      <c r="B4055" s="4" t="s">
        <v>73</v>
      </c>
      <c r="C4055" s="3" t="s">
        <v>161</v>
      </c>
      <c r="G4055" s="19"/>
    </row>
    <row r="4056" spans="1:7" ht="12.75" x14ac:dyDescent="0.2">
      <c r="A4056" s="3"/>
      <c r="B4056" s="4" t="s">
        <v>73</v>
      </c>
      <c r="C4056" s="3" t="s">
        <v>161</v>
      </c>
      <c r="G4056" s="19"/>
    </row>
    <row r="4057" spans="1:7" ht="12.75" x14ac:dyDescent="0.2">
      <c r="A4057" s="3"/>
      <c r="B4057" s="4" t="s">
        <v>73</v>
      </c>
      <c r="C4057" s="3" t="s">
        <v>161</v>
      </c>
      <c r="G4057" s="19"/>
    </row>
    <row r="4058" spans="1:7" ht="12.75" x14ac:dyDescent="0.2">
      <c r="A4058" s="3"/>
      <c r="B4058" s="4" t="s">
        <v>73</v>
      </c>
      <c r="C4058" s="3" t="s">
        <v>161</v>
      </c>
      <c r="G4058" s="19"/>
    </row>
    <row r="4059" spans="1:7" ht="12.75" x14ac:dyDescent="0.2">
      <c r="A4059" s="3"/>
      <c r="B4059" s="4" t="s">
        <v>73</v>
      </c>
      <c r="C4059" s="3" t="s">
        <v>161</v>
      </c>
      <c r="F4059">
        <f>SUM(E4055:E4063)</f>
        <v>0</v>
      </c>
      <c r="G4059" s="19"/>
    </row>
    <row r="4060" spans="1:7" ht="12.75" x14ac:dyDescent="0.2">
      <c r="A4060" s="3"/>
      <c r="B4060" s="4" t="s">
        <v>73</v>
      </c>
      <c r="C4060" s="3" t="s">
        <v>161</v>
      </c>
      <c r="G4060" s="19"/>
    </row>
    <row r="4061" spans="1:7" ht="12.75" x14ac:dyDescent="0.2">
      <c r="A4061" s="3"/>
      <c r="B4061" s="4" t="s">
        <v>73</v>
      </c>
      <c r="C4061" s="3" t="s">
        <v>161</v>
      </c>
      <c r="G4061" s="19"/>
    </row>
    <row r="4062" spans="1:7" ht="12.75" x14ac:dyDescent="0.2">
      <c r="A4062" s="3"/>
      <c r="B4062" s="4" t="s">
        <v>73</v>
      </c>
      <c r="C4062" s="3" t="s">
        <v>161</v>
      </c>
      <c r="G4062" s="19"/>
    </row>
    <row r="4063" spans="1:7" ht="12.75" x14ac:dyDescent="0.2">
      <c r="A4063" s="3"/>
      <c r="B4063" s="4" t="s">
        <v>73</v>
      </c>
      <c r="C4063" s="3" t="s">
        <v>161</v>
      </c>
      <c r="G4063" s="19"/>
    </row>
    <row r="4064" spans="1:7" ht="12.75" x14ac:dyDescent="0.2">
      <c r="A4064" s="3"/>
      <c r="B4064" s="4" t="s">
        <v>41</v>
      </c>
      <c r="C4064" s="3" t="s">
        <v>162</v>
      </c>
      <c r="G4064" s="19"/>
    </row>
    <row r="4065" spans="1:7" ht="12.75" x14ac:dyDescent="0.2">
      <c r="A4065" s="3"/>
      <c r="B4065" s="4" t="s">
        <v>41</v>
      </c>
      <c r="C4065" s="3" t="s">
        <v>162</v>
      </c>
      <c r="G4065" s="19"/>
    </row>
    <row r="4066" spans="1:7" ht="12.75" x14ac:dyDescent="0.2">
      <c r="A4066" s="3"/>
      <c r="B4066" s="4" t="s">
        <v>41</v>
      </c>
      <c r="C4066" s="3" t="s">
        <v>162</v>
      </c>
      <c r="G4066" s="19"/>
    </row>
    <row r="4067" spans="1:7" ht="12.75" x14ac:dyDescent="0.2">
      <c r="A4067" s="3"/>
      <c r="B4067" s="4" t="s">
        <v>41</v>
      </c>
      <c r="C4067" s="3" t="s">
        <v>162</v>
      </c>
      <c r="G4067" s="19"/>
    </row>
    <row r="4068" spans="1:7" ht="12.75" x14ac:dyDescent="0.2">
      <c r="A4068" s="3"/>
      <c r="B4068" s="4" t="s">
        <v>41</v>
      </c>
      <c r="C4068" s="3" t="s">
        <v>162</v>
      </c>
      <c r="F4068">
        <f>SUM(E4064:E4072)</f>
        <v>0</v>
      </c>
      <c r="G4068" s="19"/>
    </row>
    <row r="4069" spans="1:7" ht="12.75" x14ac:dyDescent="0.2">
      <c r="A4069" s="3"/>
      <c r="B4069" s="4" t="s">
        <v>41</v>
      </c>
      <c r="C4069" s="3" t="s">
        <v>162</v>
      </c>
      <c r="G4069" s="19"/>
    </row>
    <row r="4070" spans="1:7" ht="12.75" x14ac:dyDescent="0.2">
      <c r="A4070" s="3"/>
      <c r="B4070" s="4" t="s">
        <v>41</v>
      </c>
      <c r="C4070" s="3" t="s">
        <v>162</v>
      </c>
      <c r="G4070" s="19"/>
    </row>
    <row r="4071" spans="1:7" ht="12.75" x14ac:dyDescent="0.2">
      <c r="A4071" s="3"/>
      <c r="B4071" s="4" t="s">
        <v>41</v>
      </c>
      <c r="C4071" s="3" t="s">
        <v>162</v>
      </c>
      <c r="G4071" s="19"/>
    </row>
    <row r="4072" spans="1:7" ht="12.75" x14ac:dyDescent="0.2">
      <c r="A4072" s="3"/>
      <c r="B4072" s="4" t="s">
        <v>41</v>
      </c>
      <c r="C4072" s="3" t="s">
        <v>162</v>
      </c>
      <c r="G4072" s="19"/>
    </row>
    <row r="4073" spans="1:7" ht="12.75" x14ac:dyDescent="0.2">
      <c r="A4073" s="3"/>
      <c r="B4073" s="4" t="s">
        <v>41</v>
      </c>
      <c r="C4073" s="3" t="s">
        <v>161</v>
      </c>
      <c r="G4073" s="19"/>
    </row>
    <row r="4074" spans="1:7" ht="12.75" x14ac:dyDescent="0.2">
      <c r="A4074" s="3"/>
      <c r="B4074" s="4" t="s">
        <v>41</v>
      </c>
      <c r="C4074" s="3" t="s">
        <v>161</v>
      </c>
      <c r="G4074" s="19"/>
    </row>
    <row r="4075" spans="1:7" ht="12.75" x14ac:dyDescent="0.2">
      <c r="A4075" s="3"/>
      <c r="B4075" s="4" t="s">
        <v>41</v>
      </c>
      <c r="C4075" s="3" t="s">
        <v>161</v>
      </c>
      <c r="G4075" s="19"/>
    </row>
    <row r="4076" spans="1:7" ht="12.75" x14ac:dyDescent="0.2">
      <c r="A4076" s="3"/>
      <c r="B4076" s="4" t="s">
        <v>41</v>
      </c>
      <c r="C4076" s="3" t="s">
        <v>161</v>
      </c>
      <c r="G4076" s="19"/>
    </row>
    <row r="4077" spans="1:7" ht="12.75" x14ac:dyDescent="0.2">
      <c r="A4077" s="3"/>
      <c r="B4077" s="4" t="s">
        <v>41</v>
      </c>
      <c r="C4077" s="3" t="s">
        <v>161</v>
      </c>
      <c r="F4077">
        <f>SUM(E4073:E4081)</f>
        <v>0</v>
      </c>
      <c r="G4077" s="19"/>
    </row>
    <row r="4078" spans="1:7" ht="12.75" x14ac:dyDescent="0.2">
      <c r="A4078" s="3"/>
      <c r="B4078" s="4" t="s">
        <v>41</v>
      </c>
      <c r="C4078" s="3" t="s">
        <v>161</v>
      </c>
      <c r="G4078" s="19"/>
    </row>
    <row r="4079" spans="1:7" ht="12.75" x14ac:dyDescent="0.2">
      <c r="A4079" s="3"/>
      <c r="B4079" s="4" t="s">
        <v>41</v>
      </c>
      <c r="C4079" s="3" t="s">
        <v>161</v>
      </c>
      <c r="G4079" s="19"/>
    </row>
    <row r="4080" spans="1:7" ht="12.75" x14ac:dyDescent="0.2">
      <c r="A4080" s="3"/>
      <c r="B4080" s="4" t="s">
        <v>41</v>
      </c>
      <c r="C4080" s="3" t="s">
        <v>161</v>
      </c>
      <c r="G4080" s="19"/>
    </row>
    <row r="4081" spans="1:7" ht="12.75" x14ac:dyDescent="0.2">
      <c r="A4081" s="3"/>
      <c r="B4081" s="4" t="s">
        <v>41</v>
      </c>
      <c r="C4081" s="3" t="s">
        <v>161</v>
      </c>
      <c r="G4081" s="19"/>
    </row>
    <row r="4082" spans="1:7" ht="12.75" x14ac:dyDescent="0.2">
      <c r="A4082" s="3"/>
      <c r="B4082" s="4" t="s">
        <v>55</v>
      </c>
      <c r="C4082" s="3" t="s">
        <v>162</v>
      </c>
      <c r="G4082" s="19"/>
    </row>
    <row r="4083" spans="1:7" ht="12.75" x14ac:dyDescent="0.2">
      <c r="A4083" s="3"/>
      <c r="B4083" s="4" t="s">
        <v>55</v>
      </c>
      <c r="C4083" s="3" t="s">
        <v>162</v>
      </c>
      <c r="G4083" s="19"/>
    </row>
    <row r="4084" spans="1:7" ht="12.75" x14ac:dyDescent="0.2">
      <c r="A4084" s="3"/>
      <c r="B4084" s="4" t="s">
        <v>55</v>
      </c>
      <c r="C4084" s="3" t="s">
        <v>162</v>
      </c>
      <c r="G4084" s="19"/>
    </row>
    <row r="4085" spans="1:7" ht="12.75" x14ac:dyDescent="0.2">
      <c r="A4085" s="3"/>
      <c r="B4085" s="4" t="s">
        <v>55</v>
      </c>
      <c r="C4085" s="3" t="s">
        <v>162</v>
      </c>
      <c r="F4085">
        <f>SUM(E4082:E4089)</f>
        <v>0</v>
      </c>
      <c r="G4085" s="19"/>
    </row>
    <row r="4086" spans="1:7" ht="12.75" x14ac:dyDescent="0.2">
      <c r="A4086" s="3"/>
      <c r="B4086" s="4" t="s">
        <v>55</v>
      </c>
      <c r="C4086" s="3" t="s">
        <v>162</v>
      </c>
      <c r="G4086" s="19"/>
    </row>
    <row r="4087" spans="1:7" ht="12.75" x14ac:dyDescent="0.2">
      <c r="A4087" s="3"/>
      <c r="B4087" s="4" t="s">
        <v>55</v>
      </c>
      <c r="C4087" s="3" t="s">
        <v>162</v>
      </c>
      <c r="G4087" s="19"/>
    </row>
    <row r="4088" spans="1:7" ht="12.75" x14ac:dyDescent="0.2">
      <c r="A4088" s="3"/>
      <c r="B4088" s="4" t="s">
        <v>55</v>
      </c>
      <c r="C4088" s="3" t="s">
        <v>162</v>
      </c>
      <c r="G4088" s="19"/>
    </row>
    <row r="4089" spans="1:7" ht="12.75" x14ac:dyDescent="0.2">
      <c r="A4089" s="3"/>
      <c r="B4089" s="4" t="s">
        <v>55</v>
      </c>
      <c r="C4089" s="3" t="s">
        <v>162</v>
      </c>
      <c r="G4089" s="19"/>
    </row>
    <row r="4090" spans="1:7" ht="12.75" x14ac:dyDescent="0.2">
      <c r="A4090" s="3"/>
      <c r="B4090" s="4" t="s">
        <v>55</v>
      </c>
      <c r="C4090" s="3" t="s">
        <v>161</v>
      </c>
      <c r="G4090" s="19"/>
    </row>
    <row r="4091" spans="1:7" ht="12.75" x14ac:dyDescent="0.2">
      <c r="A4091" s="3"/>
      <c r="B4091" s="4" t="s">
        <v>55</v>
      </c>
      <c r="C4091" s="3" t="s">
        <v>161</v>
      </c>
      <c r="G4091" s="19"/>
    </row>
    <row r="4092" spans="1:7" ht="12.75" x14ac:dyDescent="0.2">
      <c r="A4092" s="3"/>
      <c r="B4092" s="4" t="s">
        <v>55</v>
      </c>
      <c r="C4092" s="3" t="s">
        <v>161</v>
      </c>
      <c r="G4092" s="19"/>
    </row>
    <row r="4093" spans="1:7" ht="12.75" x14ac:dyDescent="0.2">
      <c r="A4093" s="3"/>
      <c r="B4093" s="4" t="s">
        <v>55</v>
      </c>
      <c r="C4093" s="3" t="s">
        <v>161</v>
      </c>
      <c r="F4093">
        <f>SUM(E4090:E4097)</f>
        <v>0</v>
      </c>
      <c r="G4093" s="19"/>
    </row>
    <row r="4094" spans="1:7" ht="12.75" x14ac:dyDescent="0.2">
      <c r="A4094" s="3"/>
      <c r="B4094" s="4" t="s">
        <v>55</v>
      </c>
      <c r="C4094" s="3" t="s">
        <v>161</v>
      </c>
      <c r="G4094" s="19"/>
    </row>
    <row r="4095" spans="1:7" ht="12.75" x14ac:dyDescent="0.2">
      <c r="A4095" s="3"/>
      <c r="B4095" s="4" t="s">
        <v>55</v>
      </c>
      <c r="C4095" s="3" t="s">
        <v>161</v>
      </c>
      <c r="G4095" s="19"/>
    </row>
    <row r="4096" spans="1:7" ht="12.75" x14ac:dyDescent="0.2">
      <c r="A4096" s="3"/>
      <c r="B4096" s="4" t="s">
        <v>55</v>
      </c>
      <c r="C4096" s="3" t="s">
        <v>161</v>
      </c>
      <c r="G4096" s="19"/>
    </row>
    <row r="4097" spans="1:7" ht="12.75" x14ac:dyDescent="0.2">
      <c r="A4097" s="3"/>
      <c r="B4097" s="4" t="s">
        <v>55</v>
      </c>
      <c r="C4097" s="3" t="s">
        <v>161</v>
      </c>
      <c r="G4097" s="19"/>
    </row>
    <row r="4098" spans="1:7" ht="12.75" x14ac:dyDescent="0.2">
      <c r="A4098" s="3"/>
      <c r="B4098" s="4" t="s">
        <v>94</v>
      </c>
      <c r="C4098" s="3" t="s">
        <v>162</v>
      </c>
      <c r="G4098" s="19"/>
    </row>
    <row r="4099" spans="1:7" ht="12.75" x14ac:dyDescent="0.2">
      <c r="A4099" s="3"/>
      <c r="B4099" s="4" t="s">
        <v>94</v>
      </c>
      <c r="C4099" s="3" t="s">
        <v>162</v>
      </c>
      <c r="G4099" s="19"/>
    </row>
    <row r="4100" spans="1:7" ht="12.75" x14ac:dyDescent="0.2">
      <c r="A4100" s="3"/>
      <c r="B4100" s="4" t="s">
        <v>94</v>
      </c>
      <c r="C4100" s="3" t="s">
        <v>162</v>
      </c>
      <c r="G4100" s="19"/>
    </row>
    <row r="4101" spans="1:7" ht="12.75" x14ac:dyDescent="0.2">
      <c r="A4101" s="3"/>
      <c r="B4101" s="4" t="s">
        <v>94</v>
      </c>
      <c r="C4101" s="3" t="s">
        <v>162</v>
      </c>
      <c r="F4101">
        <f>SUM(E4098:E4105)</f>
        <v>0</v>
      </c>
      <c r="G4101" s="19"/>
    </row>
    <row r="4102" spans="1:7" ht="12.75" x14ac:dyDescent="0.2">
      <c r="A4102" s="3"/>
      <c r="B4102" s="4" t="s">
        <v>94</v>
      </c>
      <c r="C4102" s="3" t="s">
        <v>162</v>
      </c>
      <c r="G4102" s="19"/>
    </row>
    <row r="4103" spans="1:7" ht="12.75" x14ac:dyDescent="0.2">
      <c r="A4103" s="3"/>
      <c r="B4103" s="4" t="s">
        <v>94</v>
      </c>
      <c r="C4103" s="3" t="s">
        <v>162</v>
      </c>
      <c r="G4103" s="19"/>
    </row>
    <row r="4104" spans="1:7" ht="12.75" x14ac:dyDescent="0.2">
      <c r="A4104" s="3"/>
      <c r="B4104" s="4" t="s">
        <v>94</v>
      </c>
      <c r="C4104" s="3" t="s">
        <v>162</v>
      </c>
      <c r="G4104" s="19"/>
    </row>
    <row r="4105" spans="1:7" ht="12.75" x14ac:dyDescent="0.2">
      <c r="A4105" s="3"/>
      <c r="B4105" s="4" t="s">
        <v>94</v>
      </c>
      <c r="C4105" s="3" t="s">
        <v>162</v>
      </c>
      <c r="G4105" s="19"/>
    </row>
    <row r="4106" spans="1:7" ht="12.75" x14ac:dyDescent="0.2">
      <c r="A4106" s="3"/>
      <c r="B4106" s="4" t="s">
        <v>94</v>
      </c>
      <c r="C4106" s="3" t="s">
        <v>161</v>
      </c>
      <c r="G4106" s="19"/>
    </row>
    <row r="4107" spans="1:7" ht="12.75" x14ac:dyDescent="0.2">
      <c r="A4107" s="3"/>
      <c r="B4107" s="4" t="s">
        <v>94</v>
      </c>
      <c r="C4107" s="3" t="s">
        <v>161</v>
      </c>
      <c r="G4107" s="19"/>
    </row>
    <row r="4108" spans="1:7" ht="12.75" x14ac:dyDescent="0.2">
      <c r="A4108" s="3"/>
      <c r="B4108" s="4" t="s">
        <v>94</v>
      </c>
      <c r="C4108" s="3" t="s">
        <v>161</v>
      </c>
      <c r="G4108" s="19"/>
    </row>
    <row r="4109" spans="1:7" ht="12.75" x14ac:dyDescent="0.2">
      <c r="A4109" s="3"/>
      <c r="B4109" s="4" t="s">
        <v>94</v>
      </c>
      <c r="C4109" s="3" t="s">
        <v>161</v>
      </c>
      <c r="F4109">
        <f>SUM(E4106:E4113)</f>
        <v>0</v>
      </c>
      <c r="G4109" s="19"/>
    </row>
    <row r="4110" spans="1:7" ht="12.75" x14ac:dyDescent="0.2">
      <c r="A4110" s="3"/>
      <c r="B4110" s="4" t="s">
        <v>94</v>
      </c>
      <c r="C4110" s="3" t="s">
        <v>161</v>
      </c>
      <c r="G4110" s="19"/>
    </row>
    <row r="4111" spans="1:7" ht="12.75" x14ac:dyDescent="0.2">
      <c r="A4111" s="3"/>
      <c r="B4111" s="4" t="s">
        <v>94</v>
      </c>
      <c r="C4111" s="3" t="s">
        <v>161</v>
      </c>
      <c r="G4111" s="19"/>
    </row>
    <row r="4112" spans="1:7" ht="12.75" x14ac:dyDescent="0.2">
      <c r="A4112" s="3"/>
      <c r="B4112" s="4" t="s">
        <v>94</v>
      </c>
      <c r="C4112" s="3" t="s">
        <v>161</v>
      </c>
      <c r="G4112" s="19"/>
    </row>
    <row r="4113" spans="1:7" ht="12.75" x14ac:dyDescent="0.2">
      <c r="A4113" s="3"/>
      <c r="B4113" s="4" t="s">
        <v>94</v>
      </c>
      <c r="C4113" s="3" t="s">
        <v>161</v>
      </c>
      <c r="F4113">
        <f>SUM(E4114:E4117)</f>
        <v>0</v>
      </c>
      <c r="G4113" s="19"/>
    </row>
    <row r="4114" spans="1:7" ht="12.75" x14ac:dyDescent="0.2">
      <c r="A4114" s="3"/>
      <c r="B4114" s="4" t="s">
        <v>80</v>
      </c>
      <c r="C4114" s="3" t="s">
        <v>162</v>
      </c>
      <c r="G4114" s="19"/>
    </row>
    <row r="4115" spans="1:7" ht="12.75" x14ac:dyDescent="0.2">
      <c r="A4115" s="3"/>
      <c r="B4115" s="4" t="s">
        <v>80</v>
      </c>
      <c r="C4115" s="3" t="s">
        <v>162</v>
      </c>
      <c r="G4115" s="19"/>
    </row>
    <row r="4116" spans="1:7" ht="12.75" x14ac:dyDescent="0.2">
      <c r="A4116" s="3"/>
      <c r="B4116" s="4" t="s">
        <v>80</v>
      </c>
      <c r="C4116" s="3" t="s">
        <v>162</v>
      </c>
      <c r="G4116" s="19"/>
    </row>
    <row r="4117" spans="1:7" ht="12.75" x14ac:dyDescent="0.2">
      <c r="A4117" s="3"/>
      <c r="B4117" s="4" t="s">
        <v>80</v>
      </c>
      <c r="C4117" s="3" t="s">
        <v>162</v>
      </c>
      <c r="G4117" s="19"/>
    </row>
    <row r="4118" spans="1:7" ht="12.75" x14ac:dyDescent="0.2">
      <c r="A4118" s="3"/>
      <c r="B4118" s="4" t="s">
        <v>80</v>
      </c>
      <c r="C4118" s="3" t="s">
        <v>161</v>
      </c>
      <c r="F4118">
        <f>SUM(E4118:E4122)</f>
        <v>0</v>
      </c>
      <c r="G4118" s="19"/>
    </row>
    <row r="4119" spans="1:7" ht="12.75" x14ac:dyDescent="0.2">
      <c r="A4119" s="3"/>
      <c r="B4119" s="4" t="s">
        <v>80</v>
      </c>
      <c r="C4119" s="3" t="s">
        <v>161</v>
      </c>
      <c r="G4119" s="19"/>
    </row>
    <row r="4120" spans="1:7" ht="12.75" x14ac:dyDescent="0.2">
      <c r="A4120" s="3"/>
      <c r="B4120" s="4" t="s">
        <v>80</v>
      </c>
      <c r="C4120" s="3" t="s">
        <v>161</v>
      </c>
      <c r="G4120" s="19"/>
    </row>
    <row r="4121" spans="1:7" ht="12.75" x14ac:dyDescent="0.2">
      <c r="A4121" s="3"/>
      <c r="B4121" s="4" t="s">
        <v>80</v>
      </c>
      <c r="C4121" s="3" t="s">
        <v>161</v>
      </c>
      <c r="G4121" s="19"/>
    </row>
    <row r="4122" spans="1:7" ht="12.75" x14ac:dyDescent="0.2">
      <c r="A4122" s="3"/>
      <c r="B4122" s="4" t="s">
        <v>80</v>
      </c>
      <c r="C4122" s="3" t="s">
        <v>161</v>
      </c>
      <c r="F4122">
        <f>SUM(E4123:E4126)</f>
        <v>0</v>
      </c>
      <c r="G4122" s="19"/>
    </row>
    <row r="4123" spans="1:7" ht="12.75" x14ac:dyDescent="0.2">
      <c r="A4123" s="3"/>
      <c r="B4123" s="4" t="s">
        <v>81</v>
      </c>
      <c r="C4123" s="3" t="s">
        <v>162</v>
      </c>
      <c r="G4123" s="19"/>
    </row>
    <row r="4124" spans="1:7" ht="12.75" x14ac:dyDescent="0.2">
      <c r="A4124" s="3"/>
      <c r="B4124" s="4" t="s">
        <v>81</v>
      </c>
      <c r="C4124" s="3" t="s">
        <v>162</v>
      </c>
      <c r="G4124" s="19"/>
    </row>
    <row r="4125" spans="1:7" ht="12.75" x14ac:dyDescent="0.2">
      <c r="A4125" s="3"/>
      <c r="B4125" s="4" t="s">
        <v>81</v>
      </c>
      <c r="C4125" s="3" t="s">
        <v>162</v>
      </c>
      <c r="G4125" s="19"/>
    </row>
    <row r="4126" spans="1:7" ht="12.75" x14ac:dyDescent="0.2">
      <c r="A4126" s="3"/>
      <c r="B4126" s="4" t="s">
        <v>81</v>
      </c>
      <c r="C4126" s="3" t="s">
        <v>162</v>
      </c>
      <c r="F4126">
        <f>SUM(E4127:E4130)</f>
        <v>0</v>
      </c>
      <c r="G4126" s="19"/>
    </row>
    <row r="4127" spans="1:7" ht="12.75" x14ac:dyDescent="0.2">
      <c r="A4127" s="3"/>
      <c r="B4127" s="4" t="s">
        <v>81</v>
      </c>
      <c r="C4127" s="3" t="s">
        <v>161</v>
      </c>
      <c r="G4127" s="19"/>
    </row>
    <row r="4128" spans="1:7" ht="12.75" x14ac:dyDescent="0.2">
      <c r="A4128" s="3"/>
      <c r="B4128" s="4" t="s">
        <v>81</v>
      </c>
      <c r="C4128" s="3" t="s">
        <v>161</v>
      </c>
      <c r="G4128" s="19"/>
    </row>
    <row r="4129" spans="1:7" ht="12.75" x14ac:dyDescent="0.2">
      <c r="A4129" s="3"/>
      <c r="B4129" s="4" t="s">
        <v>81</v>
      </c>
      <c r="C4129" s="3" t="s">
        <v>161</v>
      </c>
      <c r="G4129" s="19"/>
    </row>
    <row r="4130" spans="1:7" ht="12.75" x14ac:dyDescent="0.2">
      <c r="A4130" s="3"/>
      <c r="B4130" s="4" t="s">
        <v>81</v>
      </c>
      <c r="C4130" s="3" t="s">
        <v>161</v>
      </c>
      <c r="G4130" s="19"/>
    </row>
    <row r="4131" spans="1:7" ht="12.75" x14ac:dyDescent="0.2">
      <c r="A4131" s="3"/>
      <c r="B4131" s="4" t="s">
        <v>43</v>
      </c>
      <c r="C4131" s="3" t="s">
        <v>162</v>
      </c>
      <c r="G4131" s="19"/>
    </row>
    <row r="4132" spans="1:7" ht="12.75" x14ac:dyDescent="0.2">
      <c r="A4132" s="3"/>
      <c r="B4132" s="4" t="s">
        <v>43</v>
      </c>
      <c r="C4132" s="3" t="s">
        <v>162</v>
      </c>
      <c r="G4132" s="19"/>
    </row>
    <row r="4133" spans="1:7" ht="12.75" x14ac:dyDescent="0.2">
      <c r="A4133" s="3"/>
      <c r="B4133" s="4" t="s">
        <v>43</v>
      </c>
      <c r="C4133" s="3" t="s">
        <v>162</v>
      </c>
      <c r="G4133" s="19"/>
    </row>
    <row r="4134" spans="1:7" ht="12.75" x14ac:dyDescent="0.2">
      <c r="A4134" s="3"/>
      <c r="B4134" s="4" t="s">
        <v>43</v>
      </c>
      <c r="C4134" s="3" t="s">
        <v>162</v>
      </c>
      <c r="G4134" s="19"/>
    </row>
    <row r="4135" spans="1:7" ht="12.75" x14ac:dyDescent="0.2">
      <c r="A4135" s="3"/>
      <c r="B4135" s="4" t="s">
        <v>43</v>
      </c>
      <c r="C4135" s="3" t="s">
        <v>162</v>
      </c>
      <c r="F4135">
        <f>SUM(E4131:E4139)</f>
        <v>0</v>
      </c>
      <c r="G4135" s="19"/>
    </row>
    <row r="4136" spans="1:7" ht="12.75" x14ac:dyDescent="0.2">
      <c r="A4136" s="3"/>
      <c r="B4136" s="4" t="s">
        <v>43</v>
      </c>
      <c r="C4136" s="3" t="s">
        <v>162</v>
      </c>
      <c r="G4136" s="19"/>
    </row>
    <row r="4137" spans="1:7" ht="12.75" x14ac:dyDescent="0.2">
      <c r="A4137" s="3"/>
      <c r="B4137" s="4" t="s">
        <v>43</v>
      </c>
      <c r="C4137" s="3" t="s">
        <v>162</v>
      </c>
      <c r="G4137" s="19"/>
    </row>
    <row r="4138" spans="1:7" ht="12.75" x14ac:dyDescent="0.2">
      <c r="A4138" s="3"/>
      <c r="B4138" s="4" t="s">
        <v>43</v>
      </c>
      <c r="C4138" s="3" t="s">
        <v>162</v>
      </c>
      <c r="G4138" s="19"/>
    </row>
    <row r="4139" spans="1:7" ht="12.75" x14ac:dyDescent="0.2">
      <c r="A4139" s="3"/>
      <c r="B4139" s="4" t="s">
        <v>43</v>
      </c>
      <c r="C4139" s="3" t="s">
        <v>162</v>
      </c>
      <c r="G4139" s="19"/>
    </row>
    <row r="4140" spans="1:7" ht="12.75" x14ac:dyDescent="0.2">
      <c r="A4140" s="3"/>
      <c r="B4140" s="4" t="s">
        <v>43</v>
      </c>
      <c r="C4140" s="3" t="s">
        <v>161</v>
      </c>
      <c r="G4140" s="19"/>
    </row>
    <row r="4141" spans="1:7" ht="12.75" x14ac:dyDescent="0.2">
      <c r="A4141" s="3"/>
      <c r="B4141" s="4" t="s">
        <v>43</v>
      </c>
      <c r="C4141" s="3" t="s">
        <v>161</v>
      </c>
      <c r="G4141" s="19"/>
    </row>
    <row r="4142" spans="1:7" ht="12.75" x14ac:dyDescent="0.2">
      <c r="A4142" s="3"/>
      <c r="B4142" s="4" t="s">
        <v>43</v>
      </c>
      <c r="C4142" s="3" t="s">
        <v>161</v>
      </c>
      <c r="G4142" s="19"/>
    </row>
    <row r="4143" spans="1:7" ht="12.75" x14ac:dyDescent="0.2">
      <c r="A4143" s="3"/>
      <c r="B4143" s="4" t="s">
        <v>43</v>
      </c>
      <c r="C4143" s="3" t="s">
        <v>161</v>
      </c>
      <c r="G4143" s="19"/>
    </row>
    <row r="4144" spans="1:7" ht="12.75" x14ac:dyDescent="0.2">
      <c r="A4144" s="3"/>
      <c r="B4144" s="4" t="s">
        <v>43</v>
      </c>
      <c r="C4144" s="3" t="s">
        <v>161</v>
      </c>
      <c r="F4144">
        <f>SUM(E4140:E4148)</f>
        <v>0</v>
      </c>
      <c r="G4144" s="19"/>
    </row>
    <row r="4145" spans="1:7" ht="12.75" x14ac:dyDescent="0.2">
      <c r="A4145" s="3"/>
      <c r="B4145" s="4" t="s">
        <v>43</v>
      </c>
      <c r="C4145" s="3" t="s">
        <v>161</v>
      </c>
      <c r="G4145" s="19"/>
    </row>
    <row r="4146" spans="1:7" ht="12.75" x14ac:dyDescent="0.2">
      <c r="A4146" s="3"/>
      <c r="B4146" s="4" t="s">
        <v>43</v>
      </c>
      <c r="C4146" s="3" t="s">
        <v>161</v>
      </c>
      <c r="G4146" s="19"/>
    </row>
    <row r="4147" spans="1:7" ht="12.75" x14ac:dyDescent="0.2">
      <c r="A4147" s="3"/>
      <c r="B4147" s="4" t="s">
        <v>43</v>
      </c>
      <c r="C4147" s="3" t="s">
        <v>161</v>
      </c>
      <c r="G4147" s="19"/>
    </row>
    <row r="4148" spans="1:7" ht="12.75" x14ac:dyDescent="0.2">
      <c r="A4148" s="3"/>
      <c r="B4148" s="4" t="s">
        <v>43</v>
      </c>
      <c r="C4148" s="3" t="s">
        <v>161</v>
      </c>
      <c r="G4148" s="19"/>
    </row>
    <row r="4149" spans="1:7" ht="12.75" x14ac:dyDescent="0.2">
      <c r="A4149" s="3"/>
      <c r="B4149" s="4" t="s">
        <v>75</v>
      </c>
      <c r="C4149" s="3" t="s">
        <v>162</v>
      </c>
      <c r="F4149">
        <f>SUM(E4149:E4153)</f>
        <v>0</v>
      </c>
      <c r="G4149" s="19"/>
    </row>
    <row r="4150" spans="1:7" ht="12.75" x14ac:dyDescent="0.2">
      <c r="A4150" s="3"/>
      <c r="B4150" s="4" t="s">
        <v>75</v>
      </c>
      <c r="C4150" s="3" t="s">
        <v>162</v>
      </c>
      <c r="G4150" s="19"/>
    </row>
    <row r="4151" spans="1:7" ht="12.75" x14ac:dyDescent="0.2">
      <c r="A4151" s="3"/>
      <c r="B4151" s="4" t="s">
        <v>75</v>
      </c>
      <c r="C4151" s="3" t="s">
        <v>162</v>
      </c>
      <c r="G4151" s="19"/>
    </row>
    <row r="4152" spans="1:7" ht="12.75" x14ac:dyDescent="0.2">
      <c r="A4152" s="3"/>
      <c r="B4152" s="4" t="s">
        <v>75</v>
      </c>
      <c r="C4152" s="3" t="s">
        <v>162</v>
      </c>
      <c r="G4152" s="19"/>
    </row>
    <row r="4153" spans="1:7" ht="12.75" x14ac:dyDescent="0.2">
      <c r="A4153" s="3"/>
      <c r="B4153" s="4" t="s">
        <v>75</v>
      </c>
      <c r="C4153" s="3" t="s">
        <v>162</v>
      </c>
      <c r="G4153" s="19"/>
    </row>
    <row r="4154" spans="1:7" ht="12.75" x14ac:dyDescent="0.2">
      <c r="A4154" s="3"/>
      <c r="B4154" s="4" t="s">
        <v>75</v>
      </c>
      <c r="C4154" s="3" t="s">
        <v>161</v>
      </c>
      <c r="F4154">
        <f>SUM(E4154:E4158)</f>
        <v>0</v>
      </c>
      <c r="G4154" s="19"/>
    </row>
    <row r="4155" spans="1:7" ht="12.75" x14ac:dyDescent="0.2">
      <c r="A4155" s="3"/>
      <c r="B4155" s="4" t="s">
        <v>75</v>
      </c>
      <c r="C4155" s="3" t="s">
        <v>161</v>
      </c>
      <c r="G4155" s="19"/>
    </row>
    <row r="4156" spans="1:7" ht="12.75" x14ac:dyDescent="0.2">
      <c r="A4156" s="3"/>
      <c r="B4156" s="4" t="s">
        <v>75</v>
      </c>
      <c r="C4156" s="3" t="s">
        <v>161</v>
      </c>
      <c r="G4156" s="19"/>
    </row>
    <row r="4157" spans="1:7" ht="12.75" x14ac:dyDescent="0.2">
      <c r="A4157" s="3"/>
      <c r="B4157" s="4" t="s">
        <v>75</v>
      </c>
      <c r="C4157" s="3" t="s">
        <v>161</v>
      </c>
      <c r="G4157" s="19"/>
    </row>
    <row r="4158" spans="1:7" ht="12.75" x14ac:dyDescent="0.2">
      <c r="A4158" s="3"/>
      <c r="B4158" s="4" t="s">
        <v>75</v>
      </c>
      <c r="C4158" s="3" t="s">
        <v>161</v>
      </c>
      <c r="G4158" s="19"/>
    </row>
    <row r="4159" spans="1:7" ht="12.75" x14ac:dyDescent="0.2">
      <c r="A4159" s="3"/>
      <c r="B4159" s="4" t="s">
        <v>76</v>
      </c>
      <c r="C4159" s="3" t="s">
        <v>162</v>
      </c>
      <c r="G4159" s="19"/>
    </row>
    <row r="4160" spans="1:7" ht="12.75" x14ac:dyDescent="0.2">
      <c r="A4160" s="3"/>
      <c r="B4160" s="4" t="s">
        <v>76</v>
      </c>
      <c r="C4160" s="3" t="s">
        <v>162</v>
      </c>
      <c r="G4160" s="19"/>
    </row>
    <row r="4161" spans="1:7" ht="12.75" x14ac:dyDescent="0.2">
      <c r="A4161" s="3"/>
      <c r="B4161" s="4" t="s">
        <v>76</v>
      </c>
      <c r="C4161" s="3" t="s">
        <v>162</v>
      </c>
      <c r="G4161" s="19"/>
    </row>
    <row r="4162" spans="1:7" ht="12.75" x14ac:dyDescent="0.2">
      <c r="A4162" s="3"/>
      <c r="B4162" s="4" t="s">
        <v>76</v>
      </c>
      <c r="C4162" s="3" t="s">
        <v>162</v>
      </c>
      <c r="F4162">
        <f>SUM(E4159:E4166)</f>
        <v>0</v>
      </c>
      <c r="G4162" s="19"/>
    </row>
    <row r="4163" spans="1:7" ht="12.75" x14ac:dyDescent="0.2">
      <c r="A4163" s="3"/>
      <c r="B4163" s="4" t="s">
        <v>76</v>
      </c>
      <c r="C4163" s="3" t="s">
        <v>162</v>
      </c>
      <c r="G4163" s="19"/>
    </row>
    <row r="4164" spans="1:7" ht="12.75" x14ac:dyDescent="0.2">
      <c r="A4164" s="3"/>
      <c r="B4164" s="4" t="s">
        <v>76</v>
      </c>
      <c r="C4164" s="3" t="s">
        <v>162</v>
      </c>
      <c r="G4164" s="19"/>
    </row>
    <row r="4165" spans="1:7" ht="12.75" x14ac:dyDescent="0.2">
      <c r="A4165" s="3"/>
      <c r="B4165" s="4" t="s">
        <v>76</v>
      </c>
      <c r="C4165" s="3" t="s">
        <v>162</v>
      </c>
      <c r="G4165" s="19"/>
    </row>
    <row r="4166" spans="1:7" ht="12.75" x14ac:dyDescent="0.2">
      <c r="A4166" s="3"/>
      <c r="B4166" s="4" t="s">
        <v>76</v>
      </c>
      <c r="C4166" s="3" t="s">
        <v>162</v>
      </c>
      <c r="G4166" s="19"/>
    </row>
    <row r="4167" spans="1:7" ht="12.75" x14ac:dyDescent="0.2">
      <c r="A4167" s="3"/>
      <c r="B4167" s="4" t="s">
        <v>76</v>
      </c>
      <c r="C4167" s="3" t="s">
        <v>161</v>
      </c>
      <c r="G4167" s="19"/>
    </row>
    <row r="4168" spans="1:7" ht="12.75" x14ac:dyDescent="0.2">
      <c r="A4168" s="3"/>
      <c r="B4168" s="4" t="s">
        <v>76</v>
      </c>
      <c r="C4168" s="3" t="s">
        <v>161</v>
      </c>
      <c r="G4168" s="19"/>
    </row>
    <row r="4169" spans="1:7" ht="12.75" x14ac:dyDescent="0.2">
      <c r="A4169" s="3"/>
      <c r="B4169" s="4" t="s">
        <v>76</v>
      </c>
      <c r="C4169" s="3" t="s">
        <v>161</v>
      </c>
      <c r="G4169" s="19"/>
    </row>
    <row r="4170" spans="1:7" ht="12.75" x14ac:dyDescent="0.2">
      <c r="A4170" s="3"/>
      <c r="B4170" s="4" t="s">
        <v>76</v>
      </c>
      <c r="C4170" s="3" t="s">
        <v>161</v>
      </c>
      <c r="F4170">
        <f>SUM(E4167:E4174)</f>
        <v>0</v>
      </c>
      <c r="G4170" s="19"/>
    </row>
    <row r="4171" spans="1:7" ht="12.75" x14ac:dyDescent="0.2">
      <c r="A4171" s="3"/>
      <c r="B4171" s="4" t="s">
        <v>76</v>
      </c>
      <c r="C4171" s="3" t="s">
        <v>161</v>
      </c>
      <c r="G4171" s="19"/>
    </row>
    <row r="4172" spans="1:7" ht="12.75" x14ac:dyDescent="0.2">
      <c r="A4172" s="3"/>
      <c r="B4172" s="4" t="s">
        <v>76</v>
      </c>
      <c r="C4172" s="3" t="s">
        <v>161</v>
      </c>
      <c r="G4172" s="19"/>
    </row>
    <row r="4173" spans="1:7" ht="12.75" x14ac:dyDescent="0.2">
      <c r="A4173" s="3"/>
      <c r="B4173" s="4" t="s">
        <v>76</v>
      </c>
      <c r="C4173" s="3" t="s">
        <v>161</v>
      </c>
      <c r="G4173" s="19"/>
    </row>
    <row r="4174" spans="1:7" ht="12.75" x14ac:dyDescent="0.2">
      <c r="A4174" s="3"/>
      <c r="B4174" s="4" t="s">
        <v>76</v>
      </c>
      <c r="C4174" s="3" t="s">
        <v>161</v>
      </c>
      <c r="G4174" s="19"/>
    </row>
    <row r="4175" spans="1:7" ht="12.75" x14ac:dyDescent="0.2">
      <c r="A4175" s="3"/>
      <c r="B4175" s="4" t="s">
        <v>25</v>
      </c>
      <c r="C4175" s="3" t="s">
        <v>162</v>
      </c>
      <c r="G4175" s="19"/>
    </row>
    <row r="4176" spans="1:7" ht="12.75" x14ac:dyDescent="0.2">
      <c r="A4176" s="3"/>
      <c r="B4176" s="4" t="s">
        <v>25</v>
      </c>
      <c r="C4176" s="3" t="s">
        <v>162</v>
      </c>
      <c r="G4176" s="19"/>
    </row>
    <row r="4177" spans="1:7" ht="12.75" x14ac:dyDescent="0.2">
      <c r="A4177" s="3"/>
      <c r="B4177" s="4" t="s">
        <v>25</v>
      </c>
      <c r="C4177" s="3" t="s">
        <v>162</v>
      </c>
      <c r="G4177" s="19"/>
    </row>
    <row r="4178" spans="1:7" ht="12.75" x14ac:dyDescent="0.2">
      <c r="A4178" s="3"/>
      <c r="B4178" s="4" t="s">
        <v>25</v>
      </c>
      <c r="C4178" s="3" t="s">
        <v>162</v>
      </c>
      <c r="G4178" s="19"/>
    </row>
    <row r="4179" spans="1:7" ht="12.75" x14ac:dyDescent="0.2">
      <c r="A4179" s="3"/>
      <c r="B4179" s="4" t="s">
        <v>25</v>
      </c>
      <c r="C4179" s="3" t="s">
        <v>162</v>
      </c>
      <c r="F4179">
        <f>SUM(E4175:E4183)</f>
        <v>0</v>
      </c>
      <c r="G4179" s="19"/>
    </row>
    <row r="4180" spans="1:7" ht="12.75" x14ac:dyDescent="0.2">
      <c r="A4180" s="3"/>
      <c r="B4180" s="4" t="s">
        <v>25</v>
      </c>
      <c r="C4180" s="3" t="s">
        <v>162</v>
      </c>
      <c r="G4180" s="19"/>
    </row>
    <row r="4181" spans="1:7" ht="12.75" x14ac:dyDescent="0.2">
      <c r="A4181" s="3"/>
      <c r="B4181" s="4" t="s">
        <v>25</v>
      </c>
      <c r="C4181" s="3" t="s">
        <v>162</v>
      </c>
      <c r="G4181" s="19"/>
    </row>
    <row r="4182" spans="1:7" ht="12.75" x14ac:dyDescent="0.2">
      <c r="A4182" s="3"/>
      <c r="B4182" s="4" t="s">
        <v>25</v>
      </c>
      <c r="C4182" s="3" t="s">
        <v>162</v>
      </c>
      <c r="G4182" s="19"/>
    </row>
    <row r="4183" spans="1:7" ht="12.75" x14ac:dyDescent="0.2">
      <c r="A4183" s="3"/>
      <c r="B4183" s="4" t="s">
        <v>25</v>
      </c>
      <c r="C4183" s="3" t="s">
        <v>162</v>
      </c>
      <c r="G4183" s="19"/>
    </row>
    <row r="4184" spans="1:7" ht="12.75" x14ac:dyDescent="0.2">
      <c r="A4184" s="3"/>
      <c r="B4184" s="4" t="s">
        <v>25</v>
      </c>
      <c r="C4184" s="3" t="s">
        <v>161</v>
      </c>
      <c r="G4184" s="19"/>
    </row>
    <row r="4185" spans="1:7" ht="12.75" x14ac:dyDescent="0.2">
      <c r="A4185" s="3"/>
      <c r="B4185" s="4" t="s">
        <v>25</v>
      </c>
      <c r="C4185" s="3" t="s">
        <v>161</v>
      </c>
      <c r="G4185" s="19"/>
    </row>
    <row r="4186" spans="1:7" ht="12.75" x14ac:dyDescent="0.2">
      <c r="A4186" s="3"/>
      <c r="B4186" s="4" t="s">
        <v>25</v>
      </c>
      <c r="C4186" s="3" t="s">
        <v>161</v>
      </c>
      <c r="G4186" s="19"/>
    </row>
    <row r="4187" spans="1:7" ht="12.75" x14ac:dyDescent="0.2">
      <c r="A4187" s="3"/>
      <c r="B4187" s="4" t="s">
        <v>25</v>
      </c>
      <c r="C4187" s="3" t="s">
        <v>161</v>
      </c>
      <c r="G4187" s="19"/>
    </row>
    <row r="4188" spans="1:7" ht="12.75" x14ac:dyDescent="0.2">
      <c r="A4188" s="3"/>
      <c r="B4188" s="4" t="s">
        <v>25</v>
      </c>
      <c r="C4188" s="3" t="s">
        <v>161</v>
      </c>
      <c r="F4188">
        <f>SUM(E4184:E4192)</f>
        <v>0</v>
      </c>
      <c r="G4188" s="19"/>
    </row>
    <row r="4189" spans="1:7" ht="12.75" x14ac:dyDescent="0.2">
      <c r="A4189" s="3"/>
      <c r="B4189" s="4" t="s">
        <v>25</v>
      </c>
      <c r="C4189" s="3" t="s">
        <v>161</v>
      </c>
      <c r="G4189" s="19"/>
    </row>
    <row r="4190" spans="1:7" ht="12.75" x14ac:dyDescent="0.2">
      <c r="A4190" s="3"/>
      <c r="B4190" s="4" t="s">
        <v>25</v>
      </c>
      <c r="C4190" s="3" t="s">
        <v>161</v>
      </c>
      <c r="G4190" s="19"/>
    </row>
    <row r="4191" spans="1:7" ht="12.75" x14ac:dyDescent="0.2">
      <c r="A4191" s="3"/>
      <c r="B4191" s="4" t="s">
        <v>25</v>
      </c>
      <c r="C4191" s="3" t="s">
        <v>161</v>
      </c>
      <c r="G4191" s="19"/>
    </row>
    <row r="4192" spans="1:7" ht="12.75" x14ac:dyDescent="0.2">
      <c r="A4192" s="3"/>
      <c r="B4192" s="4" t="s">
        <v>25</v>
      </c>
      <c r="C4192" s="3" t="s">
        <v>161</v>
      </c>
      <c r="G4192" s="19"/>
    </row>
    <row r="4193" spans="1:7" ht="12.75" x14ac:dyDescent="0.2">
      <c r="A4193" s="3"/>
      <c r="B4193" s="4" t="s">
        <v>101</v>
      </c>
      <c r="C4193" s="3" t="s">
        <v>162</v>
      </c>
      <c r="G4193" s="19"/>
    </row>
    <row r="4194" spans="1:7" ht="12.75" x14ac:dyDescent="0.2">
      <c r="A4194" s="3"/>
      <c r="B4194" s="4" t="s">
        <v>101</v>
      </c>
      <c r="C4194" s="3" t="s">
        <v>162</v>
      </c>
      <c r="F4194">
        <f>SUM(E4193:E4198)</f>
        <v>0</v>
      </c>
      <c r="G4194" s="19"/>
    </row>
    <row r="4195" spans="1:7" ht="12.75" x14ac:dyDescent="0.2">
      <c r="A4195" s="3"/>
      <c r="B4195" s="4" t="s">
        <v>101</v>
      </c>
      <c r="C4195" s="3" t="s">
        <v>162</v>
      </c>
      <c r="G4195" s="19"/>
    </row>
    <row r="4196" spans="1:7" ht="12.75" x14ac:dyDescent="0.2">
      <c r="A4196" s="3"/>
      <c r="B4196" s="4" t="s">
        <v>101</v>
      </c>
      <c r="C4196" s="3" t="s">
        <v>162</v>
      </c>
      <c r="G4196" s="19"/>
    </row>
    <row r="4197" spans="1:7" ht="12.75" x14ac:dyDescent="0.2">
      <c r="A4197" s="3"/>
      <c r="B4197" s="4" t="s">
        <v>101</v>
      </c>
      <c r="C4197" s="3" t="s">
        <v>162</v>
      </c>
      <c r="G4197" s="19"/>
    </row>
    <row r="4198" spans="1:7" ht="12.75" x14ac:dyDescent="0.2">
      <c r="A4198" s="3"/>
      <c r="B4198" s="4" t="s">
        <v>101</v>
      </c>
      <c r="C4198" s="3" t="s">
        <v>162</v>
      </c>
      <c r="G4198" s="19"/>
    </row>
    <row r="4199" spans="1:7" ht="12.75" x14ac:dyDescent="0.2">
      <c r="A4199" s="3"/>
      <c r="B4199" s="4" t="s">
        <v>101</v>
      </c>
      <c r="C4199" s="3" t="s">
        <v>161</v>
      </c>
      <c r="G4199" s="19"/>
    </row>
    <row r="4200" spans="1:7" ht="12.75" x14ac:dyDescent="0.2">
      <c r="A4200" s="3"/>
      <c r="B4200" s="4" t="s">
        <v>101</v>
      </c>
      <c r="C4200" s="3" t="s">
        <v>161</v>
      </c>
      <c r="F4200">
        <f>SUM(E4199:E4204)</f>
        <v>0</v>
      </c>
      <c r="G4200" s="19"/>
    </row>
    <row r="4201" spans="1:7" ht="12.75" x14ac:dyDescent="0.2">
      <c r="A4201" s="3"/>
      <c r="B4201" s="4" t="s">
        <v>101</v>
      </c>
      <c r="C4201" s="3" t="s">
        <v>161</v>
      </c>
      <c r="G4201" s="19"/>
    </row>
    <row r="4202" spans="1:7" ht="12.75" x14ac:dyDescent="0.2">
      <c r="A4202" s="3"/>
      <c r="B4202" s="4" t="s">
        <v>101</v>
      </c>
      <c r="C4202" s="3" t="s">
        <v>161</v>
      </c>
      <c r="G4202" s="19"/>
    </row>
    <row r="4203" spans="1:7" ht="12.75" x14ac:dyDescent="0.2">
      <c r="A4203" s="3"/>
      <c r="B4203" s="4" t="s">
        <v>101</v>
      </c>
      <c r="C4203" s="3" t="s">
        <v>161</v>
      </c>
      <c r="G4203" s="19"/>
    </row>
    <row r="4204" spans="1:7" ht="12.75" x14ac:dyDescent="0.2">
      <c r="A4204" s="3"/>
      <c r="B4204" s="4" t="s">
        <v>101</v>
      </c>
      <c r="C4204" s="3" t="s">
        <v>161</v>
      </c>
      <c r="G4204" s="19"/>
    </row>
    <row r="4205" spans="1:7" ht="12.75" x14ac:dyDescent="0.2">
      <c r="A4205" s="3"/>
      <c r="B4205" s="4" t="s">
        <v>58</v>
      </c>
      <c r="C4205" s="3" t="s">
        <v>162</v>
      </c>
      <c r="F4205">
        <f>SUM(E4205:E4209)</f>
        <v>0</v>
      </c>
      <c r="G4205" s="19"/>
    </row>
    <row r="4206" spans="1:7" ht="12.75" x14ac:dyDescent="0.2">
      <c r="A4206" s="3"/>
      <c r="B4206" s="4" t="s">
        <v>58</v>
      </c>
      <c r="C4206" s="3" t="s">
        <v>162</v>
      </c>
      <c r="G4206" s="19"/>
    </row>
    <row r="4207" spans="1:7" ht="12.75" x14ac:dyDescent="0.2">
      <c r="A4207" s="3"/>
      <c r="B4207" s="4" t="s">
        <v>58</v>
      </c>
      <c r="C4207" s="3" t="s">
        <v>162</v>
      </c>
      <c r="G4207" s="19"/>
    </row>
    <row r="4208" spans="1:7" ht="12.75" x14ac:dyDescent="0.2">
      <c r="A4208" s="3"/>
      <c r="B4208" s="4" t="s">
        <v>58</v>
      </c>
      <c r="C4208" s="3" t="s">
        <v>162</v>
      </c>
      <c r="G4208" s="19"/>
    </row>
    <row r="4209" spans="1:7" ht="12.75" x14ac:dyDescent="0.2">
      <c r="A4209" s="3"/>
      <c r="B4209" s="4" t="s">
        <v>58</v>
      </c>
      <c r="C4209" s="3" t="s">
        <v>162</v>
      </c>
      <c r="G4209" s="19"/>
    </row>
    <row r="4210" spans="1:7" ht="12.75" x14ac:dyDescent="0.2">
      <c r="A4210" s="3"/>
      <c r="B4210" s="4" t="s">
        <v>58</v>
      </c>
      <c r="C4210" s="3" t="s">
        <v>161</v>
      </c>
      <c r="F4210">
        <f>SUM(E4210:E4214)</f>
        <v>0</v>
      </c>
      <c r="G4210" s="19"/>
    </row>
    <row r="4211" spans="1:7" ht="12.75" x14ac:dyDescent="0.2">
      <c r="A4211" s="3"/>
      <c r="B4211" s="4" t="s">
        <v>58</v>
      </c>
      <c r="C4211" s="3" t="s">
        <v>161</v>
      </c>
      <c r="G4211" s="19"/>
    </row>
    <row r="4212" spans="1:7" ht="12.75" x14ac:dyDescent="0.2">
      <c r="A4212" s="3"/>
      <c r="B4212" s="4" t="s">
        <v>58</v>
      </c>
      <c r="C4212" s="3" t="s">
        <v>161</v>
      </c>
      <c r="G4212" s="19"/>
    </row>
    <row r="4213" spans="1:7" ht="12.75" x14ac:dyDescent="0.2">
      <c r="A4213" s="3"/>
      <c r="B4213" s="4" t="s">
        <v>58</v>
      </c>
      <c r="C4213" s="3" t="s">
        <v>161</v>
      </c>
      <c r="G4213" s="19"/>
    </row>
    <row r="4214" spans="1:7" ht="12.75" x14ac:dyDescent="0.2">
      <c r="A4214" s="3"/>
      <c r="B4214" s="4" t="s">
        <v>58</v>
      </c>
      <c r="C4214" s="3" t="s">
        <v>161</v>
      </c>
      <c r="G4214" s="19"/>
    </row>
    <row r="4215" spans="1:7" ht="12.75" x14ac:dyDescent="0.2">
      <c r="A4215" s="3"/>
      <c r="B4215" s="4" t="s">
        <v>108</v>
      </c>
      <c r="C4215" s="3" t="s">
        <v>162</v>
      </c>
      <c r="G4215" s="19"/>
    </row>
    <row r="4216" spans="1:7" ht="12.75" x14ac:dyDescent="0.2">
      <c r="A4216" s="3"/>
      <c r="B4216" s="4" t="s">
        <v>108</v>
      </c>
      <c r="C4216" s="3" t="s">
        <v>162</v>
      </c>
      <c r="G4216" s="19"/>
    </row>
    <row r="4217" spans="1:7" ht="12.75" x14ac:dyDescent="0.2">
      <c r="A4217" s="3"/>
      <c r="B4217" s="4" t="s">
        <v>108</v>
      </c>
      <c r="C4217" s="3" t="s">
        <v>162</v>
      </c>
      <c r="F4217">
        <f>SUM(E4215:E4221)</f>
        <v>0</v>
      </c>
      <c r="G4217" s="19"/>
    </row>
    <row r="4218" spans="1:7" ht="12.75" x14ac:dyDescent="0.2">
      <c r="A4218" s="3"/>
      <c r="B4218" s="4" t="s">
        <v>108</v>
      </c>
      <c r="C4218" s="3" t="s">
        <v>162</v>
      </c>
      <c r="G4218" s="19"/>
    </row>
    <row r="4219" spans="1:7" ht="12.75" x14ac:dyDescent="0.2">
      <c r="A4219" s="3"/>
      <c r="B4219" s="4" t="s">
        <v>108</v>
      </c>
      <c r="C4219" s="3" t="s">
        <v>162</v>
      </c>
      <c r="G4219" s="19"/>
    </row>
    <row r="4220" spans="1:7" ht="12.75" x14ac:dyDescent="0.2">
      <c r="A4220" s="3"/>
      <c r="B4220" s="4" t="s">
        <v>108</v>
      </c>
      <c r="C4220" s="3" t="s">
        <v>162</v>
      </c>
      <c r="G4220" s="19"/>
    </row>
    <row r="4221" spans="1:7" ht="12.75" x14ac:dyDescent="0.2">
      <c r="A4221" s="3"/>
      <c r="B4221" s="4" t="s">
        <v>108</v>
      </c>
      <c r="C4221" s="3" t="s">
        <v>162</v>
      </c>
      <c r="G4221" s="19"/>
    </row>
    <row r="4222" spans="1:7" ht="12.75" x14ac:dyDescent="0.2">
      <c r="A4222" s="3"/>
      <c r="B4222" s="4" t="s">
        <v>108</v>
      </c>
      <c r="C4222" s="3" t="s">
        <v>161</v>
      </c>
      <c r="G4222" s="19"/>
    </row>
    <row r="4223" spans="1:7" ht="12.75" x14ac:dyDescent="0.2">
      <c r="A4223" s="3"/>
      <c r="B4223" s="4" t="s">
        <v>108</v>
      </c>
      <c r="C4223" s="3" t="s">
        <v>161</v>
      </c>
      <c r="G4223" s="19"/>
    </row>
    <row r="4224" spans="1:7" ht="12.75" x14ac:dyDescent="0.2">
      <c r="A4224" s="3"/>
      <c r="B4224" s="4" t="s">
        <v>108</v>
      </c>
      <c r="C4224" s="3" t="s">
        <v>161</v>
      </c>
      <c r="G4224" s="19"/>
    </row>
    <row r="4225" spans="1:7" ht="12.75" x14ac:dyDescent="0.2">
      <c r="A4225" s="3"/>
      <c r="B4225" s="4" t="s">
        <v>108</v>
      </c>
      <c r="C4225" s="3" t="s">
        <v>161</v>
      </c>
      <c r="F4225">
        <f>SUM(E4222:E4229)</f>
        <v>0</v>
      </c>
      <c r="G4225" s="19"/>
    </row>
    <row r="4226" spans="1:7" ht="12.75" x14ac:dyDescent="0.2">
      <c r="A4226" s="3"/>
      <c r="B4226" s="4" t="s">
        <v>108</v>
      </c>
      <c r="C4226" s="3" t="s">
        <v>161</v>
      </c>
      <c r="G4226" s="19"/>
    </row>
    <row r="4227" spans="1:7" ht="12.75" x14ac:dyDescent="0.2">
      <c r="A4227" s="3"/>
      <c r="B4227" s="4" t="s">
        <v>108</v>
      </c>
      <c r="C4227" s="3" t="s">
        <v>161</v>
      </c>
      <c r="G4227" s="19"/>
    </row>
    <row r="4228" spans="1:7" ht="12.75" x14ac:dyDescent="0.2">
      <c r="A4228" s="3"/>
      <c r="B4228" s="4" t="s">
        <v>108</v>
      </c>
      <c r="C4228" s="3" t="s">
        <v>161</v>
      </c>
      <c r="G4228" s="19"/>
    </row>
    <row r="4229" spans="1:7" ht="12.75" x14ac:dyDescent="0.2">
      <c r="A4229" s="3"/>
      <c r="B4229" s="4" t="s">
        <v>108</v>
      </c>
      <c r="C4229" s="3" t="s">
        <v>161</v>
      </c>
      <c r="G4229" s="19"/>
    </row>
    <row r="4230" spans="1:7" ht="12.75" x14ac:dyDescent="0.2">
      <c r="A4230" s="3"/>
      <c r="B4230" s="4" t="s">
        <v>89</v>
      </c>
      <c r="C4230" s="3" t="s">
        <v>162</v>
      </c>
      <c r="G4230" s="19"/>
    </row>
    <row r="4231" spans="1:7" ht="12.75" x14ac:dyDescent="0.2">
      <c r="A4231" s="3"/>
      <c r="B4231" s="4" t="s">
        <v>89</v>
      </c>
      <c r="C4231" s="3" t="s">
        <v>162</v>
      </c>
      <c r="G4231" s="19"/>
    </row>
    <row r="4232" spans="1:7" ht="12.75" x14ac:dyDescent="0.2">
      <c r="A4232" s="3"/>
      <c r="B4232" s="4" t="s">
        <v>89</v>
      </c>
      <c r="C4232" s="3" t="s">
        <v>162</v>
      </c>
      <c r="F4232">
        <f>SUM(E4230:E4236)</f>
        <v>0</v>
      </c>
      <c r="G4232" s="19"/>
    </row>
    <row r="4233" spans="1:7" ht="12.75" x14ac:dyDescent="0.2">
      <c r="A4233" s="3"/>
      <c r="B4233" s="4" t="s">
        <v>89</v>
      </c>
      <c r="C4233" s="3" t="s">
        <v>162</v>
      </c>
      <c r="G4233" s="19"/>
    </row>
    <row r="4234" spans="1:7" ht="12.75" x14ac:dyDescent="0.2">
      <c r="A4234" s="3"/>
      <c r="B4234" s="4" t="s">
        <v>89</v>
      </c>
      <c r="C4234" s="3" t="s">
        <v>162</v>
      </c>
      <c r="G4234" s="19"/>
    </row>
    <row r="4235" spans="1:7" ht="12.75" x14ac:dyDescent="0.2">
      <c r="A4235" s="3"/>
      <c r="B4235" s="4" t="s">
        <v>89</v>
      </c>
      <c r="C4235" s="3" t="s">
        <v>162</v>
      </c>
      <c r="G4235" s="19"/>
    </row>
    <row r="4236" spans="1:7" ht="12.75" x14ac:dyDescent="0.2">
      <c r="A4236" s="3"/>
      <c r="B4236" s="4" t="s">
        <v>89</v>
      </c>
      <c r="C4236" s="3" t="s">
        <v>162</v>
      </c>
      <c r="G4236" s="19"/>
    </row>
    <row r="4237" spans="1:7" ht="12.75" x14ac:dyDescent="0.2">
      <c r="A4237" s="3"/>
      <c r="B4237" s="4" t="s">
        <v>89</v>
      </c>
      <c r="C4237" s="3" t="s">
        <v>161</v>
      </c>
      <c r="G4237" s="19"/>
    </row>
    <row r="4238" spans="1:7" ht="12.75" x14ac:dyDescent="0.2">
      <c r="A4238" s="3"/>
      <c r="B4238" s="4" t="s">
        <v>89</v>
      </c>
      <c r="C4238" s="3" t="s">
        <v>161</v>
      </c>
      <c r="G4238" s="19"/>
    </row>
    <row r="4239" spans="1:7" ht="12.75" x14ac:dyDescent="0.2">
      <c r="A4239" s="3"/>
      <c r="B4239" s="4" t="s">
        <v>89</v>
      </c>
      <c r="C4239" s="3" t="s">
        <v>161</v>
      </c>
      <c r="F4239">
        <f>SUM(E4237:E4243)</f>
        <v>0</v>
      </c>
      <c r="G4239" s="19"/>
    </row>
    <row r="4240" spans="1:7" ht="12.75" x14ac:dyDescent="0.2">
      <c r="A4240" s="3"/>
      <c r="B4240" s="4" t="s">
        <v>89</v>
      </c>
      <c r="C4240" s="3" t="s">
        <v>161</v>
      </c>
      <c r="G4240" s="19"/>
    </row>
    <row r="4241" spans="1:7" ht="12.75" x14ac:dyDescent="0.2">
      <c r="A4241" s="3"/>
      <c r="B4241" s="4" t="s">
        <v>89</v>
      </c>
      <c r="C4241" s="3" t="s">
        <v>161</v>
      </c>
      <c r="G4241" s="19"/>
    </row>
    <row r="4242" spans="1:7" ht="12.75" x14ac:dyDescent="0.2">
      <c r="A4242" s="3"/>
      <c r="B4242" s="4" t="s">
        <v>89</v>
      </c>
      <c r="C4242" s="3" t="s">
        <v>161</v>
      </c>
      <c r="G4242" s="19"/>
    </row>
    <row r="4243" spans="1:7" ht="12.75" x14ac:dyDescent="0.2">
      <c r="A4243" s="3"/>
      <c r="B4243" s="4" t="s">
        <v>89</v>
      </c>
      <c r="C4243" s="3" t="s">
        <v>161</v>
      </c>
      <c r="G4243" s="19"/>
    </row>
    <row r="4244" spans="1:7" ht="12.75" x14ac:dyDescent="0.2">
      <c r="A4244" s="3"/>
      <c r="B4244" s="4" t="s">
        <v>35</v>
      </c>
      <c r="C4244" s="3" t="s">
        <v>162</v>
      </c>
      <c r="G4244" s="19"/>
    </row>
    <row r="4245" spans="1:7" ht="12.75" x14ac:dyDescent="0.2">
      <c r="A4245" s="3"/>
      <c r="B4245" s="4" t="s">
        <v>35</v>
      </c>
      <c r="C4245" s="3" t="s">
        <v>162</v>
      </c>
      <c r="G4245" s="19"/>
    </row>
    <row r="4246" spans="1:7" ht="12.75" x14ac:dyDescent="0.2">
      <c r="A4246" s="3"/>
      <c r="B4246" s="4" t="s">
        <v>35</v>
      </c>
      <c r="C4246" s="3" t="s">
        <v>162</v>
      </c>
      <c r="G4246" s="19"/>
    </row>
    <row r="4247" spans="1:7" ht="12.75" x14ac:dyDescent="0.2">
      <c r="A4247" s="3"/>
      <c r="B4247" s="4" t="s">
        <v>35</v>
      </c>
      <c r="C4247" s="3" t="s">
        <v>162</v>
      </c>
      <c r="F4247">
        <f>SUM(E4244:E4251)</f>
        <v>0</v>
      </c>
      <c r="G4247" s="19"/>
    </row>
    <row r="4248" spans="1:7" ht="12.75" x14ac:dyDescent="0.2">
      <c r="A4248" s="3"/>
      <c r="B4248" s="4" t="s">
        <v>35</v>
      </c>
      <c r="C4248" s="3" t="s">
        <v>162</v>
      </c>
      <c r="G4248" s="19"/>
    </row>
    <row r="4249" spans="1:7" ht="12.75" x14ac:dyDescent="0.2">
      <c r="A4249" s="3"/>
      <c r="B4249" s="4" t="s">
        <v>35</v>
      </c>
      <c r="C4249" s="3" t="s">
        <v>162</v>
      </c>
      <c r="G4249" s="19"/>
    </row>
    <row r="4250" spans="1:7" ht="12.75" x14ac:dyDescent="0.2">
      <c r="A4250" s="3"/>
      <c r="B4250" s="4" t="s">
        <v>35</v>
      </c>
      <c r="C4250" s="3" t="s">
        <v>162</v>
      </c>
      <c r="G4250" s="19"/>
    </row>
    <row r="4251" spans="1:7" ht="12.75" x14ac:dyDescent="0.2">
      <c r="A4251" s="3"/>
      <c r="B4251" s="4" t="s">
        <v>35</v>
      </c>
      <c r="C4251" s="3" t="s">
        <v>162</v>
      </c>
      <c r="G4251" s="19"/>
    </row>
    <row r="4252" spans="1:7" ht="12.75" x14ac:dyDescent="0.2">
      <c r="A4252" s="3"/>
      <c r="B4252" s="4" t="s">
        <v>35</v>
      </c>
      <c r="C4252" s="3" t="s">
        <v>161</v>
      </c>
      <c r="G4252" s="19"/>
    </row>
    <row r="4253" spans="1:7" ht="12.75" x14ac:dyDescent="0.2">
      <c r="A4253" s="3"/>
      <c r="B4253" s="4" t="s">
        <v>35</v>
      </c>
      <c r="C4253" s="3" t="s">
        <v>161</v>
      </c>
      <c r="G4253" s="19"/>
    </row>
    <row r="4254" spans="1:7" ht="12.75" x14ac:dyDescent="0.2">
      <c r="A4254" s="3"/>
      <c r="B4254" s="4" t="s">
        <v>35</v>
      </c>
      <c r="C4254" s="3" t="s">
        <v>161</v>
      </c>
      <c r="F4254">
        <f>SUM(E4252:E4258)</f>
        <v>0</v>
      </c>
      <c r="G4254" s="19"/>
    </row>
    <row r="4255" spans="1:7" ht="12.75" x14ac:dyDescent="0.2">
      <c r="A4255" s="3"/>
      <c r="B4255" s="4" t="s">
        <v>35</v>
      </c>
      <c r="C4255" s="3" t="s">
        <v>161</v>
      </c>
      <c r="G4255" s="19"/>
    </row>
    <row r="4256" spans="1:7" ht="12.75" x14ac:dyDescent="0.2">
      <c r="A4256" s="3"/>
      <c r="B4256" s="4" t="s">
        <v>35</v>
      </c>
      <c r="C4256" s="3" t="s">
        <v>161</v>
      </c>
      <c r="G4256" s="19"/>
    </row>
    <row r="4257" spans="1:7" ht="12.75" x14ac:dyDescent="0.2">
      <c r="A4257" s="3"/>
      <c r="B4257" s="4" t="s">
        <v>35</v>
      </c>
      <c r="C4257" s="3" t="s">
        <v>161</v>
      </c>
      <c r="G4257" s="19"/>
    </row>
    <row r="4258" spans="1:7" ht="12.75" x14ac:dyDescent="0.2">
      <c r="A4258" s="3"/>
      <c r="B4258" s="4" t="s">
        <v>35</v>
      </c>
      <c r="C4258" s="3" t="s">
        <v>161</v>
      </c>
      <c r="G4258" s="19"/>
    </row>
    <row r="4259" spans="1:7" ht="12.75" x14ac:dyDescent="0.2">
      <c r="A4259" s="3"/>
      <c r="B4259" s="4" t="s">
        <v>59</v>
      </c>
      <c r="C4259" s="3" t="s">
        <v>162</v>
      </c>
      <c r="G4259" s="19"/>
    </row>
    <row r="4260" spans="1:7" ht="12.75" x14ac:dyDescent="0.2">
      <c r="A4260" s="3"/>
      <c r="B4260" s="4" t="s">
        <v>59</v>
      </c>
      <c r="C4260" s="3" t="s">
        <v>162</v>
      </c>
      <c r="G4260" s="19"/>
    </row>
    <row r="4261" spans="1:7" ht="12.75" x14ac:dyDescent="0.2">
      <c r="A4261" s="3"/>
      <c r="B4261" s="4" t="s">
        <v>59</v>
      </c>
      <c r="C4261" s="3" t="s">
        <v>162</v>
      </c>
      <c r="F4261">
        <f>SUM(E4259:E4265)</f>
        <v>0</v>
      </c>
      <c r="G4261" s="19"/>
    </row>
    <row r="4262" spans="1:7" ht="12.75" x14ac:dyDescent="0.2">
      <c r="A4262" s="3"/>
      <c r="B4262" s="4" t="s">
        <v>59</v>
      </c>
      <c r="C4262" s="3" t="s">
        <v>162</v>
      </c>
      <c r="G4262" s="19"/>
    </row>
    <row r="4263" spans="1:7" ht="12.75" x14ac:dyDescent="0.2">
      <c r="A4263" s="3"/>
      <c r="B4263" s="4" t="s">
        <v>59</v>
      </c>
      <c r="C4263" s="3" t="s">
        <v>162</v>
      </c>
      <c r="G4263" s="19"/>
    </row>
    <row r="4264" spans="1:7" ht="12.75" x14ac:dyDescent="0.2">
      <c r="A4264" s="3"/>
      <c r="B4264" s="4" t="s">
        <v>59</v>
      </c>
      <c r="C4264" s="3" t="s">
        <v>162</v>
      </c>
      <c r="G4264" s="19"/>
    </row>
    <row r="4265" spans="1:7" ht="12.75" x14ac:dyDescent="0.2">
      <c r="A4265" s="3"/>
      <c r="B4265" s="4" t="s">
        <v>59</v>
      </c>
      <c r="C4265" s="3" t="s">
        <v>162</v>
      </c>
      <c r="G4265" s="19"/>
    </row>
    <row r="4266" spans="1:7" ht="12.75" x14ac:dyDescent="0.2">
      <c r="A4266" s="3"/>
      <c r="B4266" s="4" t="s">
        <v>59</v>
      </c>
      <c r="C4266" s="3" t="s">
        <v>161</v>
      </c>
      <c r="G4266" s="19"/>
    </row>
    <row r="4267" spans="1:7" ht="12.75" x14ac:dyDescent="0.2">
      <c r="A4267" s="3"/>
      <c r="B4267" s="4" t="s">
        <v>59</v>
      </c>
      <c r="C4267" s="3" t="s">
        <v>161</v>
      </c>
      <c r="F4267">
        <f>SUM(E4266:E4271)</f>
        <v>0</v>
      </c>
      <c r="G4267" s="19"/>
    </row>
    <row r="4268" spans="1:7" ht="12.75" x14ac:dyDescent="0.2">
      <c r="A4268" s="3"/>
      <c r="B4268" s="4" t="s">
        <v>59</v>
      </c>
      <c r="C4268" s="3" t="s">
        <v>161</v>
      </c>
      <c r="G4268" s="19"/>
    </row>
    <row r="4269" spans="1:7" ht="12.75" x14ac:dyDescent="0.2">
      <c r="A4269" s="3"/>
      <c r="B4269" s="4" t="s">
        <v>59</v>
      </c>
      <c r="C4269" s="3" t="s">
        <v>161</v>
      </c>
      <c r="G4269" s="19"/>
    </row>
    <row r="4270" spans="1:7" ht="12.75" x14ac:dyDescent="0.2">
      <c r="A4270" s="3"/>
      <c r="B4270" s="4" t="s">
        <v>59</v>
      </c>
      <c r="C4270" s="3" t="s">
        <v>161</v>
      </c>
      <c r="G4270" s="19"/>
    </row>
    <row r="4271" spans="1:7" ht="12.75" x14ac:dyDescent="0.2">
      <c r="A4271" s="3"/>
      <c r="B4271" s="4" t="s">
        <v>59</v>
      </c>
      <c r="C4271" s="3" t="s">
        <v>161</v>
      </c>
      <c r="G4271" s="19"/>
    </row>
    <row r="4272" spans="1:7" ht="12.75" x14ac:dyDescent="0.2">
      <c r="A4272" s="3"/>
      <c r="B4272" s="4" t="s">
        <v>95</v>
      </c>
      <c r="C4272" s="3" t="s">
        <v>162</v>
      </c>
      <c r="G4272" s="19"/>
    </row>
    <row r="4273" spans="1:7" ht="12.75" x14ac:dyDescent="0.2">
      <c r="A4273" s="3"/>
      <c r="B4273" s="4" t="s">
        <v>95</v>
      </c>
      <c r="C4273" s="3" t="s">
        <v>162</v>
      </c>
      <c r="G4273" s="19"/>
    </row>
    <row r="4274" spans="1:7" ht="12.75" x14ac:dyDescent="0.2">
      <c r="A4274" s="3"/>
      <c r="B4274" s="4" t="s">
        <v>95</v>
      </c>
      <c r="C4274" s="3" t="s">
        <v>162</v>
      </c>
      <c r="G4274" s="19"/>
    </row>
    <row r="4275" spans="1:7" ht="12.75" x14ac:dyDescent="0.2">
      <c r="A4275" s="3"/>
      <c r="B4275" s="4" t="s">
        <v>95</v>
      </c>
      <c r="C4275" s="3" t="s">
        <v>162</v>
      </c>
      <c r="G4275" s="19"/>
    </row>
    <row r="4276" spans="1:7" ht="12.75" x14ac:dyDescent="0.2">
      <c r="A4276" s="3"/>
      <c r="B4276" s="4" t="s">
        <v>95</v>
      </c>
      <c r="C4276" s="3" t="s">
        <v>162</v>
      </c>
      <c r="F4276">
        <f>SUM(E4272:E4280)</f>
        <v>0</v>
      </c>
      <c r="G4276" s="19"/>
    </row>
    <row r="4277" spans="1:7" ht="12.75" x14ac:dyDescent="0.2">
      <c r="A4277" s="3"/>
      <c r="B4277" s="4" t="s">
        <v>95</v>
      </c>
      <c r="C4277" s="3" t="s">
        <v>162</v>
      </c>
      <c r="G4277" s="19"/>
    </row>
    <row r="4278" spans="1:7" ht="12.75" x14ac:dyDescent="0.2">
      <c r="A4278" s="3"/>
      <c r="B4278" s="4" t="s">
        <v>95</v>
      </c>
      <c r="C4278" s="3" t="s">
        <v>162</v>
      </c>
      <c r="G4278" s="19"/>
    </row>
    <row r="4279" spans="1:7" ht="12.75" x14ac:dyDescent="0.2">
      <c r="A4279" s="3"/>
      <c r="B4279" s="4" t="s">
        <v>95</v>
      </c>
      <c r="C4279" s="3" t="s">
        <v>162</v>
      </c>
      <c r="G4279" s="19"/>
    </row>
    <row r="4280" spans="1:7" ht="12.75" x14ac:dyDescent="0.2">
      <c r="A4280" s="3"/>
      <c r="B4280" s="4" t="s">
        <v>95</v>
      </c>
      <c r="C4280" s="3" t="s">
        <v>162</v>
      </c>
      <c r="G4280" s="19"/>
    </row>
    <row r="4281" spans="1:7" ht="12.75" x14ac:dyDescent="0.2">
      <c r="A4281" s="3"/>
      <c r="B4281" s="4" t="s">
        <v>95</v>
      </c>
      <c r="C4281" s="3" t="s">
        <v>161</v>
      </c>
      <c r="G4281" s="19"/>
    </row>
    <row r="4282" spans="1:7" ht="12.75" x14ac:dyDescent="0.2">
      <c r="A4282" s="3"/>
      <c r="B4282" s="4" t="s">
        <v>95</v>
      </c>
      <c r="C4282" s="3" t="s">
        <v>161</v>
      </c>
      <c r="G4282" s="19"/>
    </row>
    <row r="4283" spans="1:7" ht="12.75" x14ac:dyDescent="0.2">
      <c r="A4283" s="3"/>
      <c r="B4283" s="4" t="s">
        <v>95</v>
      </c>
      <c r="C4283" s="3" t="s">
        <v>161</v>
      </c>
      <c r="G4283" s="19"/>
    </row>
    <row r="4284" spans="1:7" ht="12.75" x14ac:dyDescent="0.2">
      <c r="A4284" s="3"/>
      <c r="B4284" s="4" t="s">
        <v>95</v>
      </c>
      <c r="C4284" s="3" t="s">
        <v>161</v>
      </c>
      <c r="G4284" s="19"/>
    </row>
    <row r="4285" spans="1:7" ht="12.75" x14ac:dyDescent="0.2">
      <c r="A4285" s="3"/>
      <c r="B4285" s="4" t="s">
        <v>95</v>
      </c>
      <c r="C4285" s="3" t="s">
        <v>161</v>
      </c>
      <c r="F4285">
        <f>SUM(E4281:E4289)</f>
        <v>0</v>
      </c>
      <c r="G4285" s="19"/>
    </row>
    <row r="4286" spans="1:7" ht="12.75" x14ac:dyDescent="0.2">
      <c r="A4286" s="3"/>
      <c r="B4286" s="4" t="s">
        <v>95</v>
      </c>
      <c r="C4286" s="3" t="s">
        <v>161</v>
      </c>
      <c r="G4286" s="19"/>
    </row>
    <row r="4287" spans="1:7" ht="12.75" x14ac:dyDescent="0.2">
      <c r="A4287" s="3"/>
      <c r="B4287" s="4" t="s">
        <v>95</v>
      </c>
      <c r="C4287" s="3" t="s">
        <v>161</v>
      </c>
      <c r="G4287" s="19"/>
    </row>
    <row r="4288" spans="1:7" ht="12.75" x14ac:dyDescent="0.2">
      <c r="A4288" s="3"/>
      <c r="B4288" s="4" t="s">
        <v>95</v>
      </c>
      <c r="C4288" s="3" t="s">
        <v>161</v>
      </c>
      <c r="F4288">
        <f>SUM(E4290:E4292)</f>
        <v>0</v>
      </c>
      <c r="G4288" s="19"/>
    </row>
    <row r="4289" spans="1:7" ht="12.75" x14ac:dyDescent="0.2">
      <c r="A4289" s="3"/>
      <c r="B4289" s="4" t="s">
        <v>95</v>
      </c>
      <c r="C4289" s="3" t="s">
        <v>161</v>
      </c>
      <c r="G4289" s="19"/>
    </row>
    <row r="4290" spans="1:7" ht="12.75" x14ac:dyDescent="0.2">
      <c r="A4290" s="3"/>
      <c r="B4290" s="4" t="s">
        <v>67</v>
      </c>
      <c r="C4290" s="3" t="s">
        <v>162</v>
      </c>
      <c r="G4290" s="19"/>
    </row>
    <row r="4291" spans="1:7" ht="12.75" x14ac:dyDescent="0.2">
      <c r="A4291" s="3"/>
      <c r="B4291" s="4" t="s">
        <v>67</v>
      </c>
      <c r="C4291" s="3" t="s">
        <v>162</v>
      </c>
      <c r="F4291">
        <f>SUM(E4293:E4295)</f>
        <v>0</v>
      </c>
      <c r="G4291" s="19"/>
    </row>
    <row r="4292" spans="1:7" ht="12.75" x14ac:dyDescent="0.2">
      <c r="A4292" s="3"/>
      <c r="B4292" s="4" t="s">
        <v>67</v>
      </c>
      <c r="C4292" s="3" t="s">
        <v>162</v>
      </c>
      <c r="G4292" s="19"/>
    </row>
    <row r="4293" spans="1:7" ht="12.75" x14ac:dyDescent="0.2">
      <c r="A4293" s="3"/>
      <c r="B4293" s="4" t="s">
        <v>67</v>
      </c>
      <c r="C4293" s="3" t="s">
        <v>161</v>
      </c>
      <c r="G4293" s="19"/>
    </row>
    <row r="4294" spans="1:7" ht="12.75" x14ac:dyDescent="0.2">
      <c r="A4294" s="3"/>
      <c r="B4294" s="4" t="s">
        <v>67</v>
      </c>
      <c r="C4294" s="3" t="s">
        <v>161</v>
      </c>
      <c r="G4294" s="19"/>
    </row>
    <row r="4295" spans="1:7" ht="12.75" x14ac:dyDescent="0.2">
      <c r="A4295" s="3"/>
      <c r="B4295" s="4" t="s">
        <v>67</v>
      </c>
      <c r="C4295" s="3" t="s">
        <v>161</v>
      </c>
      <c r="G4295" s="19"/>
    </row>
    <row r="4296" spans="1:7" ht="12.75" x14ac:dyDescent="0.2">
      <c r="A4296" s="3"/>
      <c r="B4296" s="4" t="s">
        <v>96</v>
      </c>
      <c r="C4296" s="3" t="s">
        <v>162</v>
      </c>
      <c r="G4296" s="19"/>
    </row>
    <row r="4297" spans="1:7" ht="12.75" x14ac:dyDescent="0.2">
      <c r="A4297" s="3"/>
      <c r="B4297" s="4" t="s">
        <v>96</v>
      </c>
      <c r="C4297" s="3" t="s">
        <v>162</v>
      </c>
      <c r="F4297">
        <f>SUM(E4296:E4301)</f>
        <v>0</v>
      </c>
      <c r="G4297" s="19"/>
    </row>
    <row r="4298" spans="1:7" ht="12.75" x14ac:dyDescent="0.2">
      <c r="A4298" s="3"/>
      <c r="B4298" s="4" t="s">
        <v>96</v>
      </c>
      <c r="C4298" s="3" t="s">
        <v>162</v>
      </c>
      <c r="G4298" s="19"/>
    </row>
    <row r="4299" spans="1:7" ht="12.75" x14ac:dyDescent="0.2">
      <c r="A4299" s="3"/>
      <c r="B4299" s="4" t="s">
        <v>96</v>
      </c>
      <c r="C4299" s="3" t="s">
        <v>162</v>
      </c>
      <c r="G4299" s="19"/>
    </row>
    <row r="4300" spans="1:7" ht="12.75" x14ac:dyDescent="0.2">
      <c r="A4300" s="3"/>
      <c r="B4300" s="4" t="s">
        <v>96</v>
      </c>
      <c r="C4300" s="3" t="s">
        <v>162</v>
      </c>
      <c r="G4300" s="19"/>
    </row>
    <row r="4301" spans="1:7" ht="12.75" x14ac:dyDescent="0.2">
      <c r="A4301" s="3"/>
      <c r="B4301" s="4" t="s">
        <v>96</v>
      </c>
      <c r="C4301" s="3" t="s">
        <v>162</v>
      </c>
      <c r="G4301" s="19"/>
    </row>
    <row r="4302" spans="1:7" ht="12.75" x14ac:dyDescent="0.2">
      <c r="A4302" s="3"/>
      <c r="B4302" s="4" t="s">
        <v>96</v>
      </c>
      <c r="C4302" s="3" t="s">
        <v>161</v>
      </c>
      <c r="G4302" s="19"/>
    </row>
    <row r="4303" spans="1:7" ht="12.75" x14ac:dyDescent="0.2">
      <c r="A4303" s="3"/>
      <c r="B4303" s="4" t="s">
        <v>96</v>
      </c>
      <c r="C4303" s="3" t="s">
        <v>161</v>
      </c>
      <c r="F4303">
        <f>SUM(E4302:E4307)</f>
        <v>0</v>
      </c>
      <c r="G4303" s="19"/>
    </row>
    <row r="4304" spans="1:7" ht="12.75" x14ac:dyDescent="0.2">
      <c r="A4304" s="3"/>
      <c r="B4304" s="4" t="s">
        <v>96</v>
      </c>
      <c r="C4304" s="3" t="s">
        <v>161</v>
      </c>
      <c r="G4304" s="19"/>
    </row>
    <row r="4305" spans="1:7" ht="12.75" x14ac:dyDescent="0.2">
      <c r="A4305" s="3"/>
      <c r="B4305" s="4" t="s">
        <v>96</v>
      </c>
      <c r="C4305" s="3" t="s">
        <v>161</v>
      </c>
      <c r="G4305" s="19"/>
    </row>
    <row r="4306" spans="1:7" ht="12.75" x14ac:dyDescent="0.2">
      <c r="A4306" s="3"/>
      <c r="B4306" s="4" t="s">
        <v>96</v>
      </c>
      <c r="C4306" s="3" t="s">
        <v>161</v>
      </c>
      <c r="G4306" s="19"/>
    </row>
    <row r="4307" spans="1:7" ht="12.75" x14ac:dyDescent="0.2">
      <c r="A4307" s="3"/>
      <c r="B4307" s="4" t="s">
        <v>96</v>
      </c>
      <c r="C4307" s="3" t="s">
        <v>161</v>
      </c>
      <c r="G4307" s="19"/>
    </row>
    <row r="4308" spans="1:7" ht="12.75" x14ac:dyDescent="0.2">
      <c r="A4308" s="3"/>
      <c r="B4308" s="4" t="s">
        <v>63</v>
      </c>
      <c r="C4308" s="3" t="s">
        <v>162</v>
      </c>
      <c r="G4308" s="19"/>
    </row>
    <row r="4309" spans="1:7" ht="12.75" x14ac:dyDescent="0.2">
      <c r="A4309" s="3"/>
      <c r="B4309" s="4" t="s">
        <v>63</v>
      </c>
      <c r="C4309" s="3" t="s">
        <v>162</v>
      </c>
      <c r="F4309">
        <f>SUM(E4308:E4313)</f>
        <v>0</v>
      </c>
      <c r="G4309" s="19"/>
    </row>
    <row r="4310" spans="1:7" ht="12.75" x14ac:dyDescent="0.2">
      <c r="A4310" s="3"/>
      <c r="B4310" s="4" t="s">
        <v>63</v>
      </c>
      <c r="C4310" s="3" t="s">
        <v>162</v>
      </c>
      <c r="G4310" s="19"/>
    </row>
    <row r="4311" spans="1:7" ht="12.75" x14ac:dyDescent="0.2">
      <c r="A4311" s="3"/>
      <c r="B4311" s="4" t="s">
        <v>63</v>
      </c>
      <c r="C4311" s="3" t="s">
        <v>162</v>
      </c>
      <c r="G4311" s="19"/>
    </row>
    <row r="4312" spans="1:7" ht="12.75" x14ac:dyDescent="0.2">
      <c r="A4312" s="3"/>
      <c r="B4312" s="4" t="s">
        <v>63</v>
      </c>
      <c r="C4312" s="3" t="s">
        <v>162</v>
      </c>
      <c r="G4312" s="19"/>
    </row>
    <row r="4313" spans="1:7" ht="12.75" x14ac:dyDescent="0.2">
      <c r="A4313" s="3"/>
      <c r="B4313" s="4" t="s">
        <v>63</v>
      </c>
      <c r="C4313" s="3" t="s">
        <v>162</v>
      </c>
      <c r="G4313" s="19"/>
    </row>
    <row r="4314" spans="1:7" ht="12.75" x14ac:dyDescent="0.2">
      <c r="A4314" s="3"/>
      <c r="B4314" s="4" t="s">
        <v>63</v>
      </c>
      <c r="C4314" s="3" t="s">
        <v>161</v>
      </c>
      <c r="G4314" s="19"/>
    </row>
    <row r="4315" spans="1:7" ht="12.75" x14ac:dyDescent="0.2">
      <c r="A4315" s="3"/>
      <c r="B4315" s="4" t="s">
        <v>63</v>
      </c>
      <c r="C4315" s="3" t="s">
        <v>161</v>
      </c>
      <c r="F4315">
        <f>SUM(E4314:E4319)</f>
        <v>0</v>
      </c>
      <c r="G4315" s="19"/>
    </row>
    <row r="4316" spans="1:7" ht="12.75" x14ac:dyDescent="0.2">
      <c r="A4316" s="3"/>
      <c r="B4316" s="4" t="s">
        <v>63</v>
      </c>
      <c r="C4316" s="3" t="s">
        <v>161</v>
      </c>
      <c r="G4316" s="19"/>
    </row>
    <row r="4317" spans="1:7" ht="12.75" x14ac:dyDescent="0.2">
      <c r="A4317" s="3"/>
      <c r="B4317" s="4" t="s">
        <v>63</v>
      </c>
      <c r="C4317" s="3" t="s">
        <v>161</v>
      </c>
      <c r="G4317" s="19"/>
    </row>
    <row r="4318" spans="1:7" ht="12.75" x14ac:dyDescent="0.2">
      <c r="A4318" s="3"/>
      <c r="B4318" s="4" t="s">
        <v>63</v>
      </c>
      <c r="C4318" s="3" t="s">
        <v>161</v>
      </c>
      <c r="G4318" s="19"/>
    </row>
    <row r="4319" spans="1:7" ht="12.75" x14ac:dyDescent="0.2">
      <c r="A4319" s="3"/>
      <c r="B4319" s="4" t="s">
        <v>63</v>
      </c>
      <c r="C4319" s="3" t="s">
        <v>161</v>
      </c>
      <c r="G4319" s="19"/>
    </row>
    <row r="4320" spans="1:7" ht="12.75" x14ac:dyDescent="0.2">
      <c r="A4320" s="3"/>
      <c r="B4320" s="4" t="s">
        <v>87</v>
      </c>
      <c r="C4320" s="3" t="s">
        <v>162</v>
      </c>
      <c r="G4320" s="19"/>
    </row>
    <row r="4321" spans="1:7" ht="12.75" x14ac:dyDescent="0.2">
      <c r="A4321" s="3"/>
      <c r="B4321" s="4" t="s">
        <v>87</v>
      </c>
      <c r="C4321" s="3" t="s">
        <v>162</v>
      </c>
      <c r="G4321" s="19"/>
    </row>
    <row r="4322" spans="1:7" ht="12.75" x14ac:dyDescent="0.2">
      <c r="A4322" s="3"/>
      <c r="B4322" s="4" t="s">
        <v>87</v>
      </c>
      <c r="C4322" s="3" t="s">
        <v>162</v>
      </c>
      <c r="G4322" s="19"/>
    </row>
    <row r="4323" spans="1:7" ht="12.75" x14ac:dyDescent="0.2">
      <c r="A4323" s="3"/>
      <c r="B4323" s="4" t="s">
        <v>87</v>
      </c>
      <c r="C4323" s="3" t="s">
        <v>162</v>
      </c>
      <c r="G4323" s="19"/>
    </row>
    <row r="4324" spans="1:7" ht="12.75" x14ac:dyDescent="0.2">
      <c r="A4324" s="3"/>
      <c r="B4324" s="4" t="s">
        <v>87</v>
      </c>
      <c r="C4324" s="3" t="s">
        <v>162</v>
      </c>
      <c r="F4324">
        <f>SUM(E4320:E4328)</f>
        <v>0</v>
      </c>
      <c r="G4324" s="19"/>
    </row>
    <row r="4325" spans="1:7" ht="12.75" x14ac:dyDescent="0.2">
      <c r="A4325" s="3"/>
      <c r="B4325" s="4" t="s">
        <v>87</v>
      </c>
      <c r="C4325" s="3" t="s">
        <v>162</v>
      </c>
      <c r="G4325" s="19"/>
    </row>
    <row r="4326" spans="1:7" ht="12.75" x14ac:dyDescent="0.2">
      <c r="A4326" s="3"/>
      <c r="B4326" s="4" t="s">
        <v>87</v>
      </c>
      <c r="C4326" s="3" t="s">
        <v>162</v>
      </c>
      <c r="G4326" s="19"/>
    </row>
    <row r="4327" spans="1:7" ht="12.75" x14ac:dyDescent="0.2">
      <c r="A4327" s="3"/>
      <c r="B4327" s="4" t="s">
        <v>87</v>
      </c>
      <c r="C4327" s="3" t="s">
        <v>162</v>
      </c>
      <c r="G4327" s="19"/>
    </row>
    <row r="4328" spans="1:7" ht="12.75" x14ac:dyDescent="0.2">
      <c r="A4328" s="3"/>
      <c r="B4328" s="4" t="s">
        <v>87</v>
      </c>
      <c r="C4328" s="3" t="s">
        <v>162</v>
      </c>
      <c r="G4328" s="19"/>
    </row>
    <row r="4329" spans="1:7" ht="12.75" x14ac:dyDescent="0.2">
      <c r="A4329" s="3"/>
      <c r="B4329" s="4" t="s">
        <v>87</v>
      </c>
      <c r="C4329" s="3" t="s">
        <v>161</v>
      </c>
      <c r="G4329" s="19"/>
    </row>
    <row r="4330" spans="1:7" ht="12.75" x14ac:dyDescent="0.2">
      <c r="A4330" s="3"/>
      <c r="B4330" s="4" t="s">
        <v>87</v>
      </c>
      <c r="C4330" s="3" t="s">
        <v>161</v>
      </c>
      <c r="G4330" s="19"/>
    </row>
    <row r="4331" spans="1:7" ht="12.75" x14ac:dyDescent="0.2">
      <c r="A4331" s="3"/>
      <c r="B4331" s="4" t="s">
        <v>87</v>
      </c>
      <c r="C4331" s="3" t="s">
        <v>161</v>
      </c>
      <c r="G4331" s="19"/>
    </row>
    <row r="4332" spans="1:7" ht="12.75" x14ac:dyDescent="0.2">
      <c r="A4332" s="3"/>
      <c r="B4332" s="4" t="s">
        <v>87</v>
      </c>
      <c r="C4332" s="3" t="s">
        <v>161</v>
      </c>
      <c r="G4332" s="19"/>
    </row>
    <row r="4333" spans="1:7" ht="12.75" x14ac:dyDescent="0.2">
      <c r="A4333" s="3"/>
      <c r="B4333" s="4" t="s">
        <v>87</v>
      </c>
      <c r="C4333" s="3" t="s">
        <v>161</v>
      </c>
      <c r="F4333">
        <f>SUM(E4329:E4337)</f>
        <v>0</v>
      </c>
      <c r="G4333" s="19"/>
    </row>
    <row r="4334" spans="1:7" ht="12.75" x14ac:dyDescent="0.2">
      <c r="A4334" s="3"/>
      <c r="B4334" s="4" t="s">
        <v>87</v>
      </c>
      <c r="C4334" s="3" t="s">
        <v>161</v>
      </c>
      <c r="G4334" s="19"/>
    </row>
    <row r="4335" spans="1:7" ht="12.75" x14ac:dyDescent="0.2">
      <c r="A4335" s="3"/>
      <c r="B4335" s="4" t="s">
        <v>87</v>
      </c>
      <c r="C4335" s="3" t="s">
        <v>161</v>
      </c>
      <c r="G4335" s="19"/>
    </row>
    <row r="4336" spans="1:7" ht="12.75" x14ac:dyDescent="0.2">
      <c r="A4336" s="3"/>
      <c r="B4336" s="4" t="s">
        <v>87</v>
      </c>
      <c r="C4336" s="3" t="s">
        <v>161</v>
      </c>
      <c r="G4336" s="19"/>
    </row>
    <row r="4337" spans="1:7" ht="12.75" x14ac:dyDescent="0.2">
      <c r="A4337" s="3"/>
      <c r="B4337" s="4" t="s">
        <v>87</v>
      </c>
      <c r="C4337" s="3" t="s">
        <v>161</v>
      </c>
      <c r="G4337" s="19"/>
    </row>
    <row r="4338" spans="1:7" ht="12.75" x14ac:dyDescent="0.2">
      <c r="A4338" s="3"/>
      <c r="B4338" s="4" t="s">
        <v>114</v>
      </c>
      <c r="C4338" s="3" t="s">
        <v>162</v>
      </c>
      <c r="G4338" s="19"/>
    </row>
    <row r="4339" spans="1:7" ht="12.75" x14ac:dyDescent="0.2">
      <c r="A4339" s="3"/>
      <c r="B4339" s="4" t="s">
        <v>114</v>
      </c>
      <c r="C4339" s="3" t="s">
        <v>162</v>
      </c>
      <c r="G4339" s="19"/>
    </row>
    <row r="4340" spans="1:7" ht="12.75" x14ac:dyDescent="0.2">
      <c r="A4340" s="3"/>
      <c r="B4340" s="4" t="s">
        <v>114</v>
      </c>
      <c r="C4340" s="3" t="s">
        <v>162</v>
      </c>
      <c r="F4340">
        <f>SUM(E4338:E4344)</f>
        <v>0</v>
      </c>
      <c r="G4340" s="19"/>
    </row>
    <row r="4341" spans="1:7" ht="12.75" x14ac:dyDescent="0.2">
      <c r="A4341" s="3"/>
      <c r="B4341" s="4" t="s">
        <v>114</v>
      </c>
      <c r="C4341" s="3" t="s">
        <v>162</v>
      </c>
      <c r="G4341" s="19"/>
    </row>
    <row r="4342" spans="1:7" ht="12.75" x14ac:dyDescent="0.2">
      <c r="A4342" s="3"/>
      <c r="B4342" s="4" t="s">
        <v>114</v>
      </c>
      <c r="C4342" s="3" t="s">
        <v>162</v>
      </c>
      <c r="G4342" s="19"/>
    </row>
    <row r="4343" spans="1:7" ht="12.75" x14ac:dyDescent="0.2">
      <c r="A4343" s="3"/>
      <c r="B4343" s="4" t="s">
        <v>114</v>
      </c>
      <c r="C4343" s="3" t="s">
        <v>162</v>
      </c>
      <c r="G4343" s="19"/>
    </row>
    <row r="4344" spans="1:7" ht="12.75" x14ac:dyDescent="0.2">
      <c r="A4344" s="3"/>
      <c r="B4344" s="4" t="s">
        <v>114</v>
      </c>
      <c r="C4344" s="3" t="s">
        <v>162</v>
      </c>
      <c r="G4344" s="19"/>
    </row>
    <row r="4345" spans="1:7" ht="12.75" x14ac:dyDescent="0.2">
      <c r="A4345" s="3"/>
      <c r="B4345" s="4" t="s">
        <v>114</v>
      </c>
      <c r="C4345" s="3" t="s">
        <v>161</v>
      </c>
      <c r="G4345" s="19"/>
    </row>
    <row r="4346" spans="1:7" ht="12.75" x14ac:dyDescent="0.2">
      <c r="A4346" s="3"/>
      <c r="B4346" s="4" t="s">
        <v>114</v>
      </c>
      <c r="C4346" s="3" t="s">
        <v>161</v>
      </c>
      <c r="G4346" s="19"/>
    </row>
    <row r="4347" spans="1:7" ht="12.75" x14ac:dyDescent="0.2">
      <c r="A4347" s="3"/>
      <c r="B4347" s="4" t="s">
        <v>114</v>
      </c>
      <c r="C4347" s="3" t="s">
        <v>161</v>
      </c>
      <c r="F4347">
        <f>SUM(E4345:E4351)</f>
        <v>0</v>
      </c>
      <c r="G4347" s="19"/>
    </row>
    <row r="4348" spans="1:7" ht="12.75" x14ac:dyDescent="0.2">
      <c r="A4348" s="3"/>
      <c r="B4348" s="4" t="s">
        <v>114</v>
      </c>
      <c r="C4348" s="3" t="s">
        <v>161</v>
      </c>
      <c r="G4348" s="19"/>
    </row>
    <row r="4349" spans="1:7" ht="12.75" x14ac:dyDescent="0.2">
      <c r="A4349" s="3"/>
      <c r="B4349" s="4" t="s">
        <v>114</v>
      </c>
      <c r="C4349" s="3" t="s">
        <v>161</v>
      </c>
      <c r="G4349" s="19"/>
    </row>
    <row r="4350" spans="1:7" ht="12.75" x14ac:dyDescent="0.2">
      <c r="A4350" s="3"/>
      <c r="B4350" s="4" t="s">
        <v>114</v>
      </c>
      <c r="C4350" s="3" t="s">
        <v>161</v>
      </c>
      <c r="G4350" s="19"/>
    </row>
    <row r="4351" spans="1:7" ht="12.75" x14ac:dyDescent="0.2">
      <c r="A4351" s="3"/>
      <c r="B4351" s="4" t="s">
        <v>114</v>
      </c>
      <c r="C4351" s="3" t="s">
        <v>161</v>
      </c>
      <c r="G4351" s="19"/>
    </row>
    <row r="4352" spans="1:7" ht="12.75" x14ac:dyDescent="0.2">
      <c r="A4352" s="3"/>
      <c r="B4352" s="4" t="s">
        <v>90</v>
      </c>
      <c r="C4352" s="3" t="s">
        <v>162</v>
      </c>
      <c r="G4352" s="19"/>
    </row>
    <row r="4353" spans="1:7" ht="12.75" x14ac:dyDescent="0.2">
      <c r="A4353" s="3"/>
      <c r="B4353" s="4" t="s">
        <v>90</v>
      </c>
      <c r="C4353" s="3" t="s">
        <v>162</v>
      </c>
      <c r="G4353" s="19"/>
    </row>
    <row r="4354" spans="1:7" ht="12.75" x14ac:dyDescent="0.2">
      <c r="A4354" s="3"/>
      <c r="B4354" s="4" t="s">
        <v>90</v>
      </c>
      <c r="C4354" s="3" t="s">
        <v>162</v>
      </c>
      <c r="G4354" s="19"/>
    </row>
    <row r="4355" spans="1:7" ht="12.75" x14ac:dyDescent="0.2">
      <c r="A4355" s="3"/>
      <c r="B4355" s="4" t="s">
        <v>90</v>
      </c>
      <c r="C4355" s="3" t="s">
        <v>162</v>
      </c>
      <c r="G4355" s="19"/>
    </row>
    <row r="4356" spans="1:7" ht="12.75" x14ac:dyDescent="0.2">
      <c r="A4356" s="3"/>
      <c r="B4356" s="4" t="s">
        <v>90</v>
      </c>
      <c r="C4356" s="3" t="s">
        <v>162</v>
      </c>
      <c r="F4356">
        <f>SUM(E4352:E4360)</f>
        <v>0</v>
      </c>
      <c r="G4356" s="19"/>
    </row>
    <row r="4357" spans="1:7" ht="12.75" x14ac:dyDescent="0.2">
      <c r="A4357" s="3"/>
      <c r="B4357" s="4" t="s">
        <v>90</v>
      </c>
      <c r="C4357" s="3" t="s">
        <v>162</v>
      </c>
      <c r="G4357" s="19"/>
    </row>
    <row r="4358" spans="1:7" ht="12.75" x14ac:dyDescent="0.2">
      <c r="A4358" s="3"/>
      <c r="B4358" s="4" t="s">
        <v>90</v>
      </c>
      <c r="C4358" s="3" t="s">
        <v>162</v>
      </c>
      <c r="G4358" s="19"/>
    </row>
    <row r="4359" spans="1:7" ht="12.75" x14ac:dyDescent="0.2">
      <c r="A4359" s="3"/>
      <c r="B4359" s="4" t="s">
        <v>90</v>
      </c>
      <c r="C4359" s="3" t="s">
        <v>162</v>
      </c>
      <c r="G4359" s="19"/>
    </row>
    <row r="4360" spans="1:7" ht="12.75" x14ac:dyDescent="0.2">
      <c r="A4360" s="3"/>
      <c r="B4360" s="4" t="s">
        <v>90</v>
      </c>
      <c r="C4360" s="3" t="s">
        <v>162</v>
      </c>
      <c r="G4360" s="19"/>
    </row>
    <row r="4361" spans="1:7" ht="12.75" x14ac:dyDescent="0.2">
      <c r="A4361" s="3"/>
      <c r="B4361" s="4" t="s">
        <v>90</v>
      </c>
      <c r="C4361" s="3" t="s">
        <v>161</v>
      </c>
      <c r="G4361" s="19"/>
    </row>
    <row r="4362" spans="1:7" ht="12.75" x14ac:dyDescent="0.2">
      <c r="A4362" s="3"/>
      <c r="B4362" s="4" t="s">
        <v>90</v>
      </c>
      <c r="C4362" s="3" t="s">
        <v>161</v>
      </c>
      <c r="G4362" s="19"/>
    </row>
    <row r="4363" spans="1:7" ht="12.75" x14ac:dyDescent="0.2">
      <c r="A4363" s="3"/>
      <c r="B4363" s="4" t="s">
        <v>90</v>
      </c>
      <c r="C4363" s="3" t="s">
        <v>161</v>
      </c>
      <c r="G4363" s="19"/>
    </row>
    <row r="4364" spans="1:7" ht="12.75" x14ac:dyDescent="0.2">
      <c r="A4364" s="3"/>
      <c r="B4364" s="4" t="s">
        <v>90</v>
      </c>
      <c r="C4364" s="3" t="s">
        <v>161</v>
      </c>
      <c r="G4364" s="19"/>
    </row>
    <row r="4365" spans="1:7" ht="12.75" x14ac:dyDescent="0.2">
      <c r="A4365" s="3"/>
      <c r="B4365" s="4" t="s">
        <v>90</v>
      </c>
      <c r="C4365" s="3" t="s">
        <v>161</v>
      </c>
      <c r="F4365">
        <f>SUM(E4361:E4369)</f>
        <v>0</v>
      </c>
      <c r="G4365" s="19"/>
    </row>
    <row r="4366" spans="1:7" ht="12.75" x14ac:dyDescent="0.2">
      <c r="A4366" s="3"/>
      <c r="B4366" s="4" t="s">
        <v>90</v>
      </c>
      <c r="C4366" s="3" t="s">
        <v>161</v>
      </c>
      <c r="G4366" s="19"/>
    </row>
    <row r="4367" spans="1:7" ht="12.75" x14ac:dyDescent="0.2">
      <c r="A4367" s="3"/>
      <c r="B4367" s="4" t="s">
        <v>90</v>
      </c>
      <c r="C4367" s="3" t="s">
        <v>161</v>
      </c>
      <c r="G4367" s="19"/>
    </row>
    <row r="4368" spans="1:7" ht="12.75" x14ac:dyDescent="0.2">
      <c r="A4368" s="3"/>
      <c r="B4368" s="4" t="s">
        <v>90</v>
      </c>
      <c r="C4368" s="3" t="s">
        <v>161</v>
      </c>
      <c r="G4368" s="19"/>
    </row>
    <row r="4369" spans="1:7" ht="12.75" x14ac:dyDescent="0.2">
      <c r="A4369" s="3"/>
      <c r="B4369" s="4" t="s">
        <v>90</v>
      </c>
      <c r="C4369" s="3" t="s">
        <v>161</v>
      </c>
      <c r="G4369" s="19"/>
    </row>
    <row r="4370" spans="1:7" ht="12.75" x14ac:dyDescent="0.2">
      <c r="A4370" s="3"/>
      <c r="B4370" s="4" t="s">
        <v>97</v>
      </c>
      <c r="C4370" s="3" t="s">
        <v>162</v>
      </c>
      <c r="G4370" s="19"/>
    </row>
    <row r="4371" spans="1:7" ht="12.75" x14ac:dyDescent="0.2">
      <c r="A4371" s="3"/>
      <c r="B4371" s="4" t="s">
        <v>97</v>
      </c>
      <c r="C4371" s="3" t="s">
        <v>162</v>
      </c>
      <c r="F4371">
        <f>SUM(E4370:E4375)</f>
        <v>0</v>
      </c>
      <c r="G4371" s="19"/>
    </row>
    <row r="4372" spans="1:7" ht="12.75" x14ac:dyDescent="0.2">
      <c r="A4372" s="3"/>
      <c r="B4372" s="4" t="s">
        <v>97</v>
      </c>
      <c r="C4372" s="3" t="s">
        <v>162</v>
      </c>
      <c r="G4372" s="19"/>
    </row>
    <row r="4373" spans="1:7" ht="12.75" x14ac:dyDescent="0.2">
      <c r="A4373" s="3"/>
      <c r="B4373" s="4" t="s">
        <v>97</v>
      </c>
      <c r="C4373" s="3" t="s">
        <v>162</v>
      </c>
      <c r="G4373" s="19"/>
    </row>
    <row r="4374" spans="1:7" ht="12.75" x14ac:dyDescent="0.2">
      <c r="A4374" s="3"/>
      <c r="B4374" s="4" t="s">
        <v>97</v>
      </c>
      <c r="C4374" s="3" t="s">
        <v>162</v>
      </c>
      <c r="G4374" s="19"/>
    </row>
    <row r="4375" spans="1:7" ht="12.75" x14ac:dyDescent="0.2">
      <c r="A4375" s="3"/>
      <c r="B4375" s="4" t="s">
        <v>97</v>
      </c>
      <c r="C4375" s="3" t="s">
        <v>162</v>
      </c>
      <c r="G4375" s="19"/>
    </row>
    <row r="4376" spans="1:7" ht="12.75" x14ac:dyDescent="0.2">
      <c r="A4376" s="3"/>
      <c r="B4376" s="4" t="s">
        <v>97</v>
      </c>
      <c r="C4376" s="3" t="s">
        <v>161</v>
      </c>
      <c r="G4376" s="19"/>
    </row>
    <row r="4377" spans="1:7" ht="12.75" x14ac:dyDescent="0.2">
      <c r="A4377" s="3"/>
      <c r="B4377" s="4" t="s">
        <v>97</v>
      </c>
      <c r="C4377" s="3" t="s">
        <v>161</v>
      </c>
      <c r="F4377">
        <f>SUM(E4376:E4381)</f>
        <v>0</v>
      </c>
      <c r="G4377" s="19"/>
    </row>
    <row r="4378" spans="1:7" ht="12.75" x14ac:dyDescent="0.2">
      <c r="A4378" s="3"/>
      <c r="B4378" s="4" t="s">
        <v>97</v>
      </c>
      <c r="C4378" s="3" t="s">
        <v>161</v>
      </c>
      <c r="G4378" s="19"/>
    </row>
    <row r="4379" spans="1:7" ht="12.75" x14ac:dyDescent="0.2">
      <c r="A4379" s="3"/>
      <c r="B4379" s="4" t="s">
        <v>97</v>
      </c>
      <c r="C4379" s="3" t="s">
        <v>161</v>
      </c>
      <c r="G4379" s="19"/>
    </row>
    <row r="4380" spans="1:7" ht="12.75" x14ac:dyDescent="0.2">
      <c r="A4380" s="3"/>
      <c r="B4380" s="4" t="s">
        <v>97</v>
      </c>
      <c r="C4380" s="3" t="s">
        <v>161</v>
      </c>
      <c r="G4380" s="19"/>
    </row>
    <row r="4381" spans="1:7" ht="12.75" x14ac:dyDescent="0.2">
      <c r="A4381" s="3"/>
      <c r="B4381" s="4" t="s">
        <v>97</v>
      </c>
      <c r="C4381" s="3" t="s">
        <v>161</v>
      </c>
      <c r="G4381" s="19"/>
    </row>
    <row r="4382" spans="1:7" ht="12.75" x14ac:dyDescent="0.2">
      <c r="A4382" s="3"/>
      <c r="B4382" s="4" t="s">
        <v>98</v>
      </c>
      <c r="C4382" s="3" t="s">
        <v>162</v>
      </c>
      <c r="G4382" s="19"/>
    </row>
    <row r="4383" spans="1:7" ht="12.75" x14ac:dyDescent="0.2">
      <c r="A4383" s="3"/>
      <c r="B4383" s="4" t="s">
        <v>98</v>
      </c>
      <c r="C4383" s="3" t="s">
        <v>162</v>
      </c>
      <c r="G4383" s="19"/>
    </row>
    <row r="4384" spans="1:7" ht="12.75" x14ac:dyDescent="0.2">
      <c r="A4384" s="3"/>
      <c r="B4384" s="4" t="s">
        <v>98</v>
      </c>
      <c r="C4384" s="3" t="s">
        <v>162</v>
      </c>
      <c r="G4384" s="19"/>
    </row>
    <row r="4385" spans="1:7" ht="12.75" x14ac:dyDescent="0.2">
      <c r="A4385" s="3"/>
      <c r="B4385" s="4" t="s">
        <v>98</v>
      </c>
      <c r="C4385" s="3" t="s">
        <v>162</v>
      </c>
      <c r="G4385" s="19"/>
    </row>
    <row r="4386" spans="1:7" ht="12.75" x14ac:dyDescent="0.2">
      <c r="A4386" s="3"/>
      <c r="B4386" s="4" t="s">
        <v>98</v>
      </c>
      <c r="C4386" s="3" t="s">
        <v>162</v>
      </c>
      <c r="F4386">
        <f>SUM(E4382:E4390)</f>
        <v>0</v>
      </c>
      <c r="G4386" s="19"/>
    </row>
    <row r="4387" spans="1:7" ht="12.75" x14ac:dyDescent="0.2">
      <c r="A4387" s="3"/>
      <c r="B4387" s="4" t="s">
        <v>98</v>
      </c>
      <c r="C4387" s="3" t="s">
        <v>162</v>
      </c>
      <c r="G4387" s="19"/>
    </row>
    <row r="4388" spans="1:7" ht="12.75" x14ac:dyDescent="0.2">
      <c r="A4388" s="3"/>
      <c r="B4388" s="4" t="s">
        <v>98</v>
      </c>
      <c r="C4388" s="3" t="s">
        <v>162</v>
      </c>
      <c r="G4388" s="19"/>
    </row>
    <row r="4389" spans="1:7" ht="12.75" x14ac:dyDescent="0.2">
      <c r="A4389" s="3"/>
      <c r="B4389" s="4" t="s">
        <v>98</v>
      </c>
      <c r="C4389" s="3" t="s">
        <v>162</v>
      </c>
      <c r="G4389" s="19"/>
    </row>
    <row r="4390" spans="1:7" ht="12.75" x14ac:dyDescent="0.2">
      <c r="A4390" s="3"/>
      <c r="B4390" s="4" t="s">
        <v>98</v>
      </c>
      <c r="C4390" s="3" t="s">
        <v>162</v>
      </c>
      <c r="G4390" s="19"/>
    </row>
    <row r="4391" spans="1:7" ht="12.75" x14ac:dyDescent="0.2">
      <c r="A4391" s="3"/>
      <c r="B4391" s="4" t="s">
        <v>98</v>
      </c>
      <c r="C4391" s="3" t="s">
        <v>161</v>
      </c>
      <c r="G4391" s="19"/>
    </row>
    <row r="4392" spans="1:7" ht="12.75" x14ac:dyDescent="0.2">
      <c r="A4392" s="3"/>
      <c r="B4392" s="4" t="s">
        <v>98</v>
      </c>
      <c r="C4392" s="3" t="s">
        <v>161</v>
      </c>
      <c r="G4392" s="19"/>
    </row>
    <row r="4393" spans="1:7" ht="12.75" x14ac:dyDescent="0.2">
      <c r="A4393" s="3"/>
      <c r="B4393" s="4" t="s">
        <v>98</v>
      </c>
      <c r="C4393" s="3" t="s">
        <v>161</v>
      </c>
      <c r="G4393" s="19"/>
    </row>
    <row r="4394" spans="1:7" ht="12.75" x14ac:dyDescent="0.2">
      <c r="A4394" s="3"/>
      <c r="B4394" s="4" t="s">
        <v>98</v>
      </c>
      <c r="C4394" s="3" t="s">
        <v>161</v>
      </c>
      <c r="G4394" s="19"/>
    </row>
    <row r="4395" spans="1:7" ht="12.75" x14ac:dyDescent="0.2">
      <c r="A4395" s="3"/>
      <c r="B4395" s="4" t="s">
        <v>98</v>
      </c>
      <c r="C4395" s="3" t="s">
        <v>161</v>
      </c>
      <c r="F4395">
        <f>SUM(E4391:E4399)</f>
        <v>0</v>
      </c>
      <c r="G4395" s="19"/>
    </row>
    <row r="4396" spans="1:7" ht="12.75" x14ac:dyDescent="0.2">
      <c r="A4396" s="3"/>
      <c r="B4396" s="4" t="s">
        <v>98</v>
      </c>
      <c r="C4396" s="3" t="s">
        <v>161</v>
      </c>
      <c r="G4396" s="19"/>
    </row>
    <row r="4397" spans="1:7" ht="12.75" x14ac:dyDescent="0.2">
      <c r="A4397" s="3"/>
      <c r="B4397" s="4" t="s">
        <v>98</v>
      </c>
      <c r="C4397" s="3" t="s">
        <v>161</v>
      </c>
      <c r="G4397" s="19"/>
    </row>
    <row r="4398" spans="1:7" ht="12.75" x14ac:dyDescent="0.2">
      <c r="A4398" s="3"/>
      <c r="B4398" s="4" t="s">
        <v>98</v>
      </c>
      <c r="C4398" s="3" t="s">
        <v>161</v>
      </c>
      <c r="G4398" s="19"/>
    </row>
    <row r="4399" spans="1:7" ht="12.75" x14ac:dyDescent="0.2">
      <c r="A4399" s="3"/>
      <c r="B4399" s="4" t="s">
        <v>98</v>
      </c>
      <c r="C4399" s="3" t="s">
        <v>161</v>
      </c>
      <c r="G4399" s="19"/>
    </row>
    <row r="4400" spans="1:7" ht="12.75" x14ac:dyDescent="0.2">
      <c r="A4400" s="3"/>
      <c r="B4400" s="4" t="s">
        <v>105</v>
      </c>
      <c r="C4400" s="3" t="s">
        <v>162</v>
      </c>
      <c r="G4400" s="19"/>
    </row>
    <row r="4401" spans="1:7" ht="12.75" x14ac:dyDescent="0.2">
      <c r="A4401" s="3"/>
      <c r="B4401" s="4" t="s">
        <v>105</v>
      </c>
      <c r="C4401" s="3" t="s">
        <v>162</v>
      </c>
      <c r="G4401" s="19"/>
    </row>
    <row r="4402" spans="1:7" ht="12.75" x14ac:dyDescent="0.2">
      <c r="A4402" s="3"/>
      <c r="B4402" s="4" t="s">
        <v>105</v>
      </c>
      <c r="C4402" s="3" t="s">
        <v>162</v>
      </c>
      <c r="G4402" s="19"/>
    </row>
    <row r="4403" spans="1:7" ht="12.75" x14ac:dyDescent="0.2">
      <c r="A4403" s="3"/>
      <c r="B4403" s="4" t="s">
        <v>105</v>
      </c>
      <c r="C4403" s="3" t="s">
        <v>162</v>
      </c>
      <c r="G4403" s="19"/>
    </row>
    <row r="4404" spans="1:7" ht="12.75" x14ac:dyDescent="0.2">
      <c r="A4404" s="3"/>
      <c r="B4404" s="4" t="s">
        <v>105</v>
      </c>
      <c r="C4404" s="3" t="s">
        <v>162</v>
      </c>
      <c r="F4404">
        <f>SUM(E4400:E4408)</f>
        <v>0</v>
      </c>
      <c r="G4404" s="19"/>
    </row>
    <row r="4405" spans="1:7" ht="12.75" x14ac:dyDescent="0.2">
      <c r="A4405" s="3"/>
      <c r="B4405" s="4" t="s">
        <v>105</v>
      </c>
      <c r="C4405" s="3" t="s">
        <v>162</v>
      </c>
      <c r="G4405" s="19"/>
    </row>
    <row r="4406" spans="1:7" ht="12.75" x14ac:dyDescent="0.2">
      <c r="A4406" s="3"/>
      <c r="B4406" s="4" t="s">
        <v>105</v>
      </c>
      <c r="C4406" s="3" t="s">
        <v>162</v>
      </c>
      <c r="G4406" s="19"/>
    </row>
    <row r="4407" spans="1:7" ht="12.75" x14ac:dyDescent="0.2">
      <c r="A4407" s="3"/>
      <c r="B4407" s="4" t="s">
        <v>105</v>
      </c>
      <c r="C4407" s="3" t="s">
        <v>162</v>
      </c>
      <c r="G4407" s="19"/>
    </row>
    <row r="4408" spans="1:7" ht="12.75" x14ac:dyDescent="0.2">
      <c r="A4408" s="3"/>
      <c r="B4408" s="4" t="s">
        <v>105</v>
      </c>
      <c r="C4408" s="3" t="s">
        <v>162</v>
      </c>
      <c r="G4408" s="19"/>
    </row>
    <row r="4409" spans="1:7" ht="12.75" x14ac:dyDescent="0.2">
      <c r="A4409" s="3"/>
      <c r="B4409" s="4" t="s">
        <v>105</v>
      </c>
      <c r="C4409" s="3" t="s">
        <v>161</v>
      </c>
      <c r="G4409" s="19"/>
    </row>
    <row r="4410" spans="1:7" ht="12.75" x14ac:dyDescent="0.2">
      <c r="A4410" s="3"/>
      <c r="B4410" s="4" t="s">
        <v>105</v>
      </c>
      <c r="C4410" s="3" t="s">
        <v>161</v>
      </c>
      <c r="G4410" s="19"/>
    </row>
    <row r="4411" spans="1:7" ht="12.75" x14ac:dyDescent="0.2">
      <c r="A4411" s="3"/>
      <c r="B4411" s="4" t="s">
        <v>105</v>
      </c>
      <c r="C4411" s="3" t="s">
        <v>161</v>
      </c>
      <c r="G4411" s="19"/>
    </row>
    <row r="4412" spans="1:7" ht="12.75" x14ac:dyDescent="0.2">
      <c r="A4412" s="3"/>
      <c r="B4412" s="4" t="s">
        <v>105</v>
      </c>
      <c r="C4412" s="3" t="s">
        <v>161</v>
      </c>
      <c r="G4412" s="19"/>
    </row>
    <row r="4413" spans="1:7" ht="12.75" x14ac:dyDescent="0.2">
      <c r="A4413" s="3"/>
      <c r="B4413" s="4" t="s">
        <v>105</v>
      </c>
      <c r="C4413" s="3" t="s">
        <v>161</v>
      </c>
      <c r="F4413">
        <f>SUM(E4409:E4417)</f>
        <v>0</v>
      </c>
      <c r="G4413" s="19"/>
    </row>
    <row r="4414" spans="1:7" ht="12.75" x14ac:dyDescent="0.2">
      <c r="A4414" s="3"/>
      <c r="B4414" s="4" t="s">
        <v>105</v>
      </c>
      <c r="C4414" s="3" t="s">
        <v>161</v>
      </c>
      <c r="G4414" s="19"/>
    </row>
    <row r="4415" spans="1:7" ht="12.75" x14ac:dyDescent="0.2">
      <c r="A4415" s="3"/>
      <c r="B4415" s="4" t="s">
        <v>105</v>
      </c>
      <c r="C4415" s="3" t="s">
        <v>161</v>
      </c>
      <c r="G4415" s="19"/>
    </row>
    <row r="4416" spans="1:7" ht="12.75" x14ac:dyDescent="0.2">
      <c r="A4416" s="3"/>
      <c r="B4416" s="4" t="s">
        <v>105</v>
      </c>
      <c r="C4416" s="3" t="s">
        <v>161</v>
      </c>
      <c r="G4416" s="19"/>
    </row>
    <row r="4417" spans="1:7" ht="12.75" x14ac:dyDescent="0.2">
      <c r="A4417" s="3"/>
      <c r="B4417" s="4" t="s">
        <v>105</v>
      </c>
      <c r="C4417" s="3" t="s">
        <v>161</v>
      </c>
      <c r="G4417" s="19"/>
    </row>
    <row r="4418" spans="1:7" ht="12.75" x14ac:dyDescent="0.2">
      <c r="A4418" s="3"/>
      <c r="B4418" s="4" t="s">
        <v>91</v>
      </c>
      <c r="C4418" s="3" t="s">
        <v>162</v>
      </c>
      <c r="G4418" s="19"/>
    </row>
    <row r="4419" spans="1:7" ht="12.75" x14ac:dyDescent="0.2">
      <c r="A4419" s="3"/>
      <c r="B4419" s="4" t="s">
        <v>91</v>
      </c>
      <c r="C4419" s="3" t="s">
        <v>162</v>
      </c>
      <c r="F4419">
        <f>SUM(E4418:E4423)</f>
        <v>0</v>
      </c>
      <c r="G4419" s="19"/>
    </row>
    <row r="4420" spans="1:7" ht="12.75" x14ac:dyDescent="0.2">
      <c r="A4420" s="3"/>
      <c r="B4420" s="4" t="s">
        <v>91</v>
      </c>
      <c r="C4420" s="3" t="s">
        <v>162</v>
      </c>
      <c r="G4420" s="19"/>
    </row>
    <row r="4421" spans="1:7" ht="12.75" x14ac:dyDescent="0.2">
      <c r="A4421" s="3"/>
      <c r="B4421" s="4" t="s">
        <v>91</v>
      </c>
      <c r="C4421" s="3" t="s">
        <v>162</v>
      </c>
      <c r="G4421" s="19"/>
    </row>
    <row r="4422" spans="1:7" ht="12.75" x14ac:dyDescent="0.2">
      <c r="A4422" s="3"/>
      <c r="B4422" s="4" t="s">
        <v>91</v>
      </c>
      <c r="C4422" s="3" t="s">
        <v>162</v>
      </c>
      <c r="G4422" s="19"/>
    </row>
    <row r="4423" spans="1:7" ht="12.75" x14ac:dyDescent="0.2">
      <c r="A4423" s="3"/>
      <c r="B4423" s="4" t="s">
        <v>91</v>
      </c>
      <c r="C4423" s="3" t="s">
        <v>162</v>
      </c>
      <c r="G4423" s="19"/>
    </row>
    <row r="4424" spans="1:7" ht="12.75" x14ac:dyDescent="0.2">
      <c r="A4424" s="3"/>
      <c r="B4424" s="4" t="s">
        <v>91</v>
      </c>
      <c r="C4424" s="3" t="s">
        <v>161</v>
      </c>
      <c r="G4424" s="19"/>
    </row>
    <row r="4425" spans="1:7" ht="12.75" x14ac:dyDescent="0.2">
      <c r="A4425" s="3"/>
      <c r="B4425" s="4" t="s">
        <v>91</v>
      </c>
      <c r="C4425" s="3" t="s">
        <v>161</v>
      </c>
      <c r="F4425">
        <f>SUM(E4424:E4429)</f>
        <v>0</v>
      </c>
      <c r="G4425" s="19"/>
    </row>
    <row r="4426" spans="1:7" ht="12.75" x14ac:dyDescent="0.2">
      <c r="A4426" s="3"/>
      <c r="B4426" s="4" t="s">
        <v>91</v>
      </c>
      <c r="C4426" s="3" t="s">
        <v>161</v>
      </c>
      <c r="G4426" s="19"/>
    </row>
    <row r="4427" spans="1:7" ht="12.75" x14ac:dyDescent="0.2">
      <c r="A4427" s="3"/>
      <c r="B4427" s="4" t="s">
        <v>91</v>
      </c>
      <c r="C4427" s="3" t="s">
        <v>161</v>
      </c>
      <c r="G4427" s="19"/>
    </row>
    <row r="4428" spans="1:7" ht="12.75" x14ac:dyDescent="0.2">
      <c r="A4428" s="3"/>
      <c r="B4428" s="4" t="s">
        <v>91</v>
      </c>
      <c r="C4428" s="3" t="s">
        <v>161</v>
      </c>
      <c r="G4428" s="19"/>
    </row>
    <row r="4429" spans="1:7" ht="12.75" x14ac:dyDescent="0.2">
      <c r="A4429" s="3"/>
      <c r="B4429" s="4" t="s">
        <v>91</v>
      </c>
      <c r="C4429" s="3" t="s">
        <v>161</v>
      </c>
      <c r="G4429" s="19"/>
    </row>
    <row r="4430" spans="1:7" ht="12.75" x14ac:dyDescent="0.2">
      <c r="A4430" s="3"/>
      <c r="B4430" s="4" t="s">
        <v>36</v>
      </c>
      <c r="C4430" s="3" t="s">
        <v>162</v>
      </c>
      <c r="G4430" s="19"/>
    </row>
    <row r="4431" spans="1:7" ht="12.75" x14ac:dyDescent="0.2">
      <c r="A4431" s="3"/>
      <c r="B4431" s="4" t="s">
        <v>36</v>
      </c>
      <c r="C4431" s="3" t="s">
        <v>162</v>
      </c>
      <c r="G4431" s="19"/>
    </row>
    <row r="4432" spans="1:7" ht="12.75" x14ac:dyDescent="0.2">
      <c r="A4432" s="3"/>
      <c r="B4432" s="4" t="s">
        <v>36</v>
      </c>
      <c r="C4432" s="3" t="s">
        <v>162</v>
      </c>
      <c r="G4432" s="19"/>
    </row>
    <row r="4433" spans="1:7" ht="12.75" x14ac:dyDescent="0.2">
      <c r="A4433" s="3"/>
      <c r="B4433" s="4" t="s">
        <v>36</v>
      </c>
      <c r="C4433" s="3" t="s">
        <v>162</v>
      </c>
      <c r="F4433">
        <f>SUM(E4430:E4437)</f>
        <v>0</v>
      </c>
      <c r="G4433" s="19"/>
    </row>
    <row r="4434" spans="1:7" ht="12.75" x14ac:dyDescent="0.2">
      <c r="A4434" s="3"/>
      <c r="B4434" s="4" t="s">
        <v>36</v>
      </c>
      <c r="C4434" s="3" t="s">
        <v>162</v>
      </c>
      <c r="G4434" s="19"/>
    </row>
    <row r="4435" spans="1:7" ht="12.75" x14ac:dyDescent="0.2">
      <c r="A4435" s="3"/>
      <c r="B4435" s="4" t="s">
        <v>36</v>
      </c>
      <c r="C4435" s="3" t="s">
        <v>162</v>
      </c>
      <c r="G4435" s="19"/>
    </row>
    <row r="4436" spans="1:7" ht="12.75" x14ac:dyDescent="0.2">
      <c r="A4436" s="3"/>
      <c r="B4436" s="4" t="s">
        <v>36</v>
      </c>
      <c r="C4436" s="3" t="s">
        <v>162</v>
      </c>
      <c r="G4436" s="19"/>
    </row>
    <row r="4437" spans="1:7" ht="12.75" x14ac:dyDescent="0.2">
      <c r="A4437" s="3"/>
      <c r="B4437" s="4" t="s">
        <v>36</v>
      </c>
      <c r="C4437" s="3" t="s">
        <v>162</v>
      </c>
      <c r="G4437" s="19"/>
    </row>
    <row r="4438" spans="1:7" ht="12.75" x14ac:dyDescent="0.2">
      <c r="A4438" s="3"/>
      <c r="B4438" s="4" t="s">
        <v>36</v>
      </c>
      <c r="C4438" s="3" t="s">
        <v>161</v>
      </c>
      <c r="G4438" s="19"/>
    </row>
    <row r="4439" spans="1:7" ht="12.75" x14ac:dyDescent="0.2">
      <c r="A4439" s="3"/>
      <c r="B4439" s="4" t="s">
        <v>36</v>
      </c>
      <c r="C4439" s="3" t="s">
        <v>161</v>
      </c>
      <c r="G4439" s="19"/>
    </row>
    <row r="4440" spans="1:7" ht="12.75" x14ac:dyDescent="0.2">
      <c r="A4440" s="3"/>
      <c r="B4440" s="4" t="s">
        <v>36</v>
      </c>
      <c r="C4440" s="3" t="s">
        <v>161</v>
      </c>
      <c r="G4440" s="19"/>
    </row>
    <row r="4441" spans="1:7" ht="12.75" x14ac:dyDescent="0.2">
      <c r="A4441" s="3"/>
      <c r="B4441" s="4" t="s">
        <v>36</v>
      </c>
      <c r="C4441" s="3" t="s">
        <v>161</v>
      </c>
      <c r="F4441">
        <f>SUM(E4438:E4445)</f>
        <v>0</v>
      </c>
      <c r="G4441" s="19"/>
    </row>
    <row r="4442" spans="1:7" ht="12.75" x14ac:dyDescent="0.2">
      <c r="A4442" s="3"/>
      <c r="B4442" s="4" t="s">
        <v>36</v>
      </c>
      <c r="C4442" s="3" t="s">
        <v>161</v>
      </c>
      <c r="G4442" s="19"/>
    </row>
    <row r="4443" spans="1:7" ht="12.75" x14ac:dyDescent="0.2">
      <c r="A4443" s="3"/>
      <c r="B4443" s="4" t="s">
        <v>36</v>
      </c>
      <c r="C4443" s="3" t="s">
        <v>161</v>
      </c>
      <c r="G4443" s="19"/>
    </row>
    <row r="4444" spans="1:7" ht="12.75" x14ac:dyDescent="0.2">
      <c r="A4444" s="3"/>
      <c r="B4444" s="4" t="s">
        <v>36</v>
      </c>
      <c r="C4444" s="3" t="s">
        <v>161</v>
      </c>
      <c r="G4444" s="19"/>
    </row>
    <row r="4445" spans="1:7" ht="12.75" x14ac:dyDescent="0.2">
      <c r="A4445" s="3"/>
      <c r="B4445" s="4" t="s">
        <v>36</v>
      </c>
      <c r="C4445" s="3" t="s">
        <v>161</v>
      </c>
      <c r="G4445" s="19"/>
    </row>
    <row r="4446" spans="1:7" ht="12.75" x14ac:dyDescent="0.2">
      <c r="A4446" s="3"/>
      <c r="B4446" s="4" t="s">
        <v>60</v>
      </c>
      <c r="C4446" s="3" t="s">
        <v>162</v>
      </c>
      <c r="G4446" s="19"/>
    </row>
    <row r="4447" spans="1:7" ht="12.75" x14ac:dyDescent="0.2">
      <c r="A4447" s="3"/>
      <c r="B4447" s="4" t="s">
        <v>60</v>
      </c>
      <c r="C4447" s="3" t="s">
        <v>162</v>
      </c>
      <c r="F4447">
        <f>SUM(E4446:E4451)</f>
        <v>0</v>
      </c>
      <c r="G4447" s="19"/>
    </row>
    <row r="4448" spans="1:7" ht="12.75" x14ac:dyDescent="0.2">
      <c r="A4448" s="3"/>
      <c r="B4448" s="4" t="s">
        <v>60</v>
      </c>
      <c r="C4448" s="3" t="s">
        <v>162</v>
      </c>
      <c r="G4448" s="19"/>
    </row>
    <row r="4449" spans="1:7" ht="12.75" x14ac:dyDescent="0.2">
      <c r="A4449" s="3"/>
      <c r="B4449" s="4" t="s">
        <v>60</v>
      </c>
      <c r="C4449" s="3" t="s">
        <v>162</v>
      </c>
      <c r="G4449" s="19"/>
    </row>
    <row r="4450" spans="1:7" ht="12.75" x14ac:dyDescent="0.2">
      <c r="A4450" s="3"/>
      <c r="B4450" s="4" t="s">
        <v>60</v>
      </c>
      <c r="C4450" s="3" t="s">
        <v>162</v>
      </c>
      <c r="G4450" s="19"/>
    </row>
    <row r="4451" spans="1:7" ht="12.75" x14ac:dyDescent="0.2">
      <c r="A4451" s="3"/>
      <c r="B4451" s="4" t="s">
        <v>60</v>
      </c>
      <c r="C4451" s="3" t="s">
        <v>162</v>
      </c>
      <c r="G4451" s="19"/>
    </row>
    <row r="4452" spans="1:7" ht="12.75" x14ac:dyDescent="0.2">
      <c r="A4452" s="3"/>
      <c r="B4452" s="4" t="s">
        <v>60</v>
      </c>
      <c r="C4452" s="3" t="s">
        <v>161</v>
      </c>
      <c r="G4452" s="19"/>
    </row>
    <row r="4453" spans="1:7" ht="12.75" x14ac:dyDescent="0.2">
      <c r="A4453" s="3"/>
      <c r="B4453" s="4" t="s">
        <v>60</v>
      </c>
      <c r="C4453" s="3" t="s">
        <v>161</v>
      </c>
      <c r="F4453">
        <f>SUM(E4452:E4457)</f>
        <v>0</v>
      </c>
      <c r="G4453" s="19"/>
    </row>
    <row r="4454" spans="1:7" ht="12.75" x14ac:dyDescent="0.2">
      <c r="A4454" s="3"/>
      <c r="B4454" s="4" t="s">
        <v>60</v>
      </c>
      <c r="C4454" s="3" t="s">
        <v>161</v>
      </c>
      <c r="G4454" s="19"/>
    </row>
    <row r="4455" spans="1:7" ht="12.75" x14ac:dyDescent="0.2">
      <c r="A4455" s="3"/>
      <c r="B4455" s="4" t="s">
        <v>60</v>
      </c>
      <c r="C4455" s="3" t="s">
        <v>161</v>
      </c>
      <c r="G4455" s="19"/>
    </row>
    <row r="4456" spans="1:7" ht="12.75" x14ac:dyDescent="0.2">
      <c r="A4456" s="3"/>
      <c r="B4456" s="4" t="s">
        <v>60</v>
      </c>
      <c r="C4456" s="3" t="s">
        <v>161</v>
      </c>
      <c r="G4456" s="19"/>
    </row>
    <row r="4457" spans="1:7" ht="12.75" x14ac:dyDescent="0.2">
      <c r="A4457" s="3"/>
      <c r="B4457" s="4" t="s">
        <v>60</v>
      </c>
      <c r="C4457" s="3" t="s">
        <v>161</v>
      </c>
      <c r="G4457" s="19"/>
    </row>
    <row r="4458" spans="1:7" ht="12.75" x14ac:dyDescent="0.2">
      <c r="A4458" s="3"/>
      <c r="B4458" s="4" t="s">
        <v>46</v>
      </c>
      <c r="C4458" s="3" t="s">
        <v>162</v>
      </c>
      <c r="G4458" s="19"/>
    </row>
    <row r="4459" spans="1:7" ht="12.75" x14ac:dyDescent="0.2">
      <c r="A4459" s="3"/>
      <c r="B4459" s="4" t="s">
        <v>46</v>
      </c>
      <c r="C4459" s="3" t="s">
        <v>162</v>
      </c>
      <c r="G4459" s="19"/>
    </row>
    <row r="4460" spans="1:7" ht="12.75" x14ac:dyDescent="0.2">
      <c r="A4460" s="3"/>
      <c r="B4460" s="4" t="s">
        <v>46</v>
      </c>
      <c r="C4460" s="3" t="s">
        <v>162</v>
      </c>
      <c r="G4460" s="19"/>
    </row>
    <row r="4461" spans="1:7" ht="12.75" x14ac:dyDescent="0.2">
      <c r="A4461" s="3"/>
      <c r="B4461" s="4" t="s">
        <v>46</v>
      </c>
      <c r="C4461" s="3" t="s">
        <v>162</v>
      </c>
      <c r="G4461" s="19"/>
    </row>
    <row r="4462" spans="1:7" ht="12.75" x14ac:dyDescent="0.2">
      <c r="A4462" s="3"/>
      <c r="B4462" s="4" t="s">
        <v>46</v>
      </c>
      <c r="C4462" s="3" t="s">
        <v>162</v>
      </c>
      <c r="F4462">
        <f>SUM(E4458:E4466)</f>
        <v>0</v>
      </c>
      <c r="G4462" s="19"/>
    </row>
    <row r="4463" spans="1:7" ht="12.75" x14ac:dyDescent="0.2">
      <c r="A4463" s="3"/>
      <c r="B4463" s="4" t="s">
        <v>46</v>
      </c>
      <c r="C4463" s="3" t="s">
        <v>162</v>
      </c>
      <c r="G4463" s="19"/>
    </row>
    <row r="4464" spans="1:7" ht="12.75" x14ac:dyDescent="0.2">
      <c r="A4464" s="3"/>
      <c r="B4464" s="4" t="s">
        <v>46</v>
      </c>
      <c r="C4464" s="3" t="s">
        <v>162</v>
      </c>
      <c r="G4464" s="19"/>
    </row>
    <row r="4465" spans="1:7" ht="12.75" x14ac:dyDescent="0.2">
      <c r="A4465" s="3"/>
      <c r="B4465" s="4" t="s">
        <v>46</v>
      </c>
      <c r="C4465" s="3" t="s">
        <v>162</v>
      </c>
      <c r="G4465" s="19"/>
    </row>
    <row r="4466" spans="1:7" ht="12.75" x14ac:dyDescent="0.2">
      <c r="A4466" s="3"/>
      <c r="B4466" s="4" t="s">
        <v>46</v>
      </c>
      <c r="C4466" s="3" t="s">
        <v>162</v>
      </c>
      <c r="G4466" s="19"/>
    </row>
    <row r="4467" spans="1:7" ht="12.75" x14ac:dyDescent="0.2">
      <c r="A4467" s="3"/>
      <c r="B4467" s="4" t="s">
        <v>46</v>
      </c>
      <c r="C4467" s="3" t="s">
        <v>161</v>
      </c>
      <c r="G4467" s="19"/>
    </row>
    <row r="4468" spans="1:7" ht="12.75" x14ac:dyDescent="0.2">
      <c r="A4468" s="3"/>
      <c r="B4468" s="4" t="s">
        <v>46</v>
      </c>
      <c r="C4468" s="3" t="s">
        <v>161</v>
      </c>
      <c r="G4468" s="19"/>
    </row>
    <row r="4469" spans="1:7" ht="12.75" x14ac:dyDescent="0.2">
      <c r="A4469" s="3"/>
      <c r="B4469" s="4" t="s">
        <v>46</v>
      </c>
      <c r="C4469" s="3" t="s">
        <v>161</v>
      </c>
      <c r="G4469" s="19"/>
    </row>
    <row r="4470" spans="1:7" ht="12.75" x14ac:dyDescent="0.2">
      <c r="A4470" s="3"/>
      <c r="B4470" s="4" t="s">
        <v>46</v>
      </c>
      <c r="C4470" s="3" t="s">
        <v>161</v>
      </c>
      <c r="G4470" s="19"/>
    </row>
    <row r="4471" spans="1:7" ht="12.75" x14ac:dyDescent="0.2">
      <c r="A4471" s="3"/>
      <c r="B4471" s="4" t="s">
        <v>46</v>
      </c>
      <c r="C4471" s="3" t="s">
        <v>161</v>
      </c>
      <c r="F4471">
        <f>SUM(E4467:E4475)</f>
        <v>0</v>
      </c>
      <c r="G4471" s="19"/>
    </row>
    <row r="4472" spans="1:7" ht="12.75" x14ac:dyDescent="0.2">
      <c r="A4472" s="3"/>
      <c r="B4472" s="4" t="s">
        <v>46</v>
      </c>
      <c r="C4472" s="3" t="s">
        <v>161</v>
      </c>
      <c r="G4472" s="19"/>
    </row>
    <row r="4473" spans="1:7" ht="12.75" x14ac:dyDescent="0.2">
      <c r="A4473" s="3"/>
      <c r="B4473" s="4" t="s">
        <v>46</v>
      </c>
      <c r="C4473" s="3" t="s">
        <v>161</v>
      </c>
      <c r="G4473" s="19"/>
    </row>
    <row r="4474" spans="1:7" ht="12.75" x14ac:dyDescent="0.2">
      <c r="A4474" s="3"/>
      <c r="B4474" s="4" t="s">
        <v>46</v>
      </c>
      <c r="C4474" s="3" t="s">
        <v>161</v>
      </c>
      <c r="G4474" s="19"/>
    </row>
    <row r="4475" spans="1:7" ht="12.75" x14ac:dyDescent="0.2">
      <c r="A4475" s="3"/>
      <c r="B4475" s="4" t="s">
        <v>46</v>
      </c>
      <c r="C4475" s="3" t="s">
        <v>161</v>
      </c>
      <c r="G4475" s="19"/>
    </row>
    <row r="4476" spans="1:7" ht="12.75" x14ac:dyDescent="0.2">
      <c r="A4476" s="3"/>
      <c r="B4476" s="4" t="s">
        <v>40</v>
      </c>
      <c r="C4476" s="3" t="s">
        <v>162</v>
      </c>
      <c r="G4476" s="19"/>
    </row>
    <row r="4477" spans="1:7" ht="12.75" x14ac:dyDescent="0.2">
      <c r="A4477" s="3"/>
      <c r="B4477" s="4" t="s">
        <v>40</v>
      </c>
      <c r="C4477" s="3" t="s">
        <v>162</v>
      </c>
      <c r="G4477" s="19"/>
    </row>
    <row r="4478" spans="1:7" ht="12.75" x14ac:dyDescent="0.2">
      <c r="A4478" s="3"/>
      <c r="B4478" s="4" t="s">
        <v>40</v>
      </c>
      <c r="C4478" s="3" t="s">
        <v>162</v>
      </c>
      <c r="G4478" s="19"/>
    </row>
    <row r="4479" spans="1:7" ht="12.75" x14ac:dyDescent="0.2">
      <c r="A4479" s="3"/>
      <c r="B4479" s="4" t="s">
        <v>40</v>
      </c>
      <c r="C4479" s="3" t="s">
        <v>162</v>
      </c>
      <c r="G4479" s="19"/>
    </row>
    <row r="4480" spans="1:7" ht="12.75" x14ac:dyDescent="0.2">
      <c r="A4480" s="3"/>
      <c r="B4480" s="4" t="s">
        <v>40</v>
      </c>
      <c r="C4480" s="3" t="s">
        <v>162</v>
      </c>
      <c r="F4480">
        <f>SUM(E4476:E4484)</f>
        <v>0</v>
      </c>
      <c r="G4480" s="19"/>
    </row>
    <row r="4481" spans="1:7" ht="12.75" x14ac:dyDescent="0.2">
      <c r="A4481" s="3"/>
      <c r="B4481" s="4" t="s">
        <v>40</v>
      </c>
      <c r="C4481" s="3" t="s">
        <v>162</v>
      </c>
      <c r="G4481" s="19"/>
    </row>
    <row r="4482" spans="1:7" ht="12.75" x14ac:dyDescent="0.2">
      <c r="A4482" s="3"/>
      <c r="B4482" s="4" t="s">
        <v>40</v>
      </c>
      <c r="C4482" s="3" t="s">
        <v>162</v>
      </c>
      <c r="G4482" s="19"/>
    </row>
    <row r="4483" spans="1:7" ht="12.75" x14ac:dyDescent="0.2">
      <c r="A4483" s="3"/>
      <c r="B4483" s="4" t="s">
        <v>40</v>
      </c>
      <c r="C4483" s="3" t="s">
        <v>162</v>
      </c>
      <c r="G4483" s="19"/>
    </row>
    <row r="4484" spans="1:7" ht="12.75" x14ac:dyDescent="0.2">
      <c r="A4484" s="3"/>
      <c r="B4484" s="4" t="s">
        <v>40</v>
      </c>
      <c r="C4484" s="3" t="s">
        <v>162</v>
      </c>
      <c r="G4484" s="19"/>
    </row>
    <row r="4485" spans="1:7" ht="12.75" x14ac:dyDescent="0.2">
      <c r="A4485" s="3"/>
      <c r="B4485" s="4" t="s">
        <v>40</v>
      </c>
      <c r="C4485" s="3" t="s">
        <v>161</v>
      </c>
      <c r="G4485" s="19"/>
    </row>
    <row r="4486" spans="1:7" ht="12.75" x14ac:dyDescent="0.2">
      <c r="A4486" s="3"/>
      <c r="B4486" s="4" t="s">
        <v>40</v>
      </c>
      <c r="C4486" s="3" t="s">
        <v>161</v>
      </c>
      <c r="G4486" s="19"/>
    </row>
    <row r="4487" spans="1:7" ht="12.75" x14ac:dyDescent="0.2">
      <c r="A4487" s="3"/>
      <c r="B4487" s="4" t="s">
        <v>40</v>
      </c>
      <c r="C4487" s="3" t="s">
        <v>161</v>
      </c>
      <c r="G4487" s="19"/>
    </row>
    <row r="4488" spans="1:7" ht="12.75" x14ac:dyDescent="0.2">
      <c r="A4488" s="3"/>
      <c r="B4488" s="4" t="s">
        <v>40</v>
      </c>
      <c r="C4488" s="3" t="s">
        <v>161</v>
      </c>
      <c r="G4488" s="19"/>
    </row>
    <row r="4489" spans="1:7" ht="12.75" x14ac:dyDescent="0.2">
      <c r="A4489" s="3"/>
      <c r="B4489" s="4" t="s">
        <v>40</v>
      </c>
      <c r="C4489" s="3" t="s">
        <v>161</v>
      </c>
      <c r="F4489">
        <f>SUM(E4485:E4493)</f>
        <v>0</v>
      </c>
      <c r="G4489" s="19"/>
    </row>
    <row r="4490" spans="1:7" ht="12.75" x14ac:dyDescent="0.2">
      <c r="A4490" s="3"/>
      <c r="B4490" s="4" t="s">
        <v>40</v>
      </c>
      <c r="C4490" s="3" t="s">
        <v>161</v>
      </c>
      <c r="G4490" s="19"/>
    </row>
    <row r="4491" spans="1:7" ht="12.75" x14ac:dyDescent="0.2">
      <c r="A4491" s="3"/>
      <c r="B4491" s="4" t="s">
        <v>40</v>
      </c>
      <c r="C4491" s="3" t="s">
        <v>161</v>
      </c>
      <c r="G4491" s="19"/>
    </row>
    <row r="4492" spans="1:7" ht="12.75" x14ac:dyDescent="0.2">
      <c r="A4492" s="3"/>
      <c r="B4492" s="4" t="s">
        <v>40</v>
      </c>
      <c r="C4492" s="3" t="s">
        <v>161</v>
      </c>
      <c r="G4492" s="19"/>
    </row>
    <row r="4493" spans="1:7" ht="12.75" x14ac:dyDescent="0.2">
      <c r="A4493" s="3"/>
      <c r="B4493" s="4" t="s">
        <v>40</v>
      </c>
      <c r="C4493" s="3" t="s">
        <v>161</v>
      </c>
      <c r="G4493" s="19"/>
    </row>
    <row r="4494" spans="1:7" ht="12.75" x14ac:dyDescent="0.2">
      <c r="A4494" s="3"/>
      <c r="B4494" s="4" t="s">
        <v>68</v>
      </c>
      <c r="C4494" s="3" t="s">
        <v>162</v>
      </c>
      <c r="G4494" s="19"/>
    </row>
    <row r="4495" spans="1:7" ht="12.75" x14ac:dyDescent="0.2">
      <c r="A4495" s="3"/>
      <c r="B4495" s="4" t="s">
        <v>68</v>
      </c>
      <c r="C4495" s="3" t="s">
        <v>162</v>
      </c>
      <c r="G4495" s="19"/>
    </row>
    <row r="4496" spans="1:7" ht="12.75" x14ac:dyDescent="0.2">
      <c r="A4496" s="3"/>
      <c r="B4496" s="4" t="s">
        <v>68</v>
      </c>
      <c r="C4496" s="3" t="s">
        <v>162</v>
      </c>
      <c r="F4496">
        <f>SUM(E4494:E4500)</f>
        <v>0</v>
      </c>
      <c r="G4496" s="19"/>
    </row>
    <row r="4497" spans="1:7" ht="12.75" x14ac:dyDescent="0.2">
      <c r="A4497" s="3"/>
      <c r="B4497" s="4" t="s">
        <v>68</v>
      </c>
      <c r="C4497" s="3" t="s">
        <v>162</v>
      </c>
      <c r="G4497" s="19"/>
    </row>
    <row r="4498" spans="1:7" ht="12.75" x14ac:dyDescent="0.2">
      <c r="A4498" s="3"/>
      <c r="B4498" s="4" t="s">
        <v>68</v>
      </c>
      <c r="C4498" s="3" t="s">
        <v>162</v>
      </c>
      <c r="G4498" s="19"/>
    </row>
    <row r="4499" spans="1:7" ht="12.75" x14ac:dyDescent="0.2">
      <c r="A4499" s="3"/>
      <c r="B4499" s="4" t="s">
        <v>68</v>
      </c>
      <c r="C4499" s="3" t="s">
        <v>162</v>
      </c>
      <c r="G4499" s="19"/>
    </row>
    <row r="4500" spans="1:7" ht="12.75" x14ac:dyDescent="0.2">
      <c r="A4500" s="3"/>
      <c r="B4500" s="4" t="s">
        <v>68</v>
      </c>
      <c r="C4500" s="3" t="s">
        <v>162</v>
      </c>
      <c r="G4500" s="19"/>
    </row>
    <row r="4501" spans="1:7" ht="12.75" x14ac:dyDescent="0.2">
      <c r="A4501" s="3"/>
      <c r="B4501" s="4" t="s">
        <v>68</v>
      </c>
      <c r="C4501" s="3" t="s">
        <v>161</v>
      </c>
      <c r="G4501" s="19"/>
    </row>
    <row r="4502" spans="1:7" ht="12.75" x14ac:dyDescent="0.2">
      <c r="A4502" s="3"/>
      <c r="B4502" s="4" t="s">
        <v>68</v>
      </c>
      <c r="C4502" s="3" t="s">
        <v>161</v>
      </c>
      <c r="G4502" s="19"/>
    </row>
    <row r="4503" spans="1:7" ht="12.75" x14ac:dyDescent="0.2">
      <c r="A4503" s="3"/>
      <c r="B4503" s="4" t="s">
        <v>68</v>
      </c>
      <c r="C4503" s="3" t="s">
        <v>161</v>
      </c>
      <c r="F4503">
        <f>SUM(E4501:E4507)</f>
        <v>0</v>
      </c>
      <c r="G4503" s="19"/>
    </row>
    <row r="4504" spans="1:7" ht="12.75" x14ac:dyDescent="0.2">
      <c r="A4504" s="3"/>
      <c r="B4504" s="4" t="s">
        <v>68</v>
      </c>
      <c r="C4504" s="3" t="s">
        <v>161</v>
      </c>
      <c r="G4504" s="19"/>
    </row>
    <row r="4505" spans="1:7" ht="12.75" x14ac:dyDescent="0.2">
      <c r="A4505" s="3"/>
      <c r="B4505" s="4" t="s">
        <v>68</v>
      </c>
      <c r="C4505" s="3" t="s">
        <v>161</v>
      </c>
      <c r="G4505" s="19"/>
    </row>
    <row r="4506" spans="1:7" ht="12.75" x14ac:dyDescent="0.2">
      <c r="A4506" s="3"/>
      <c r="B4506" s="4" t="s">
        <v>68</v>
      </c>
      <c r="C4506" s="3" t="s">
        <v>161</v>
      </c>
      <c r="G4506" s="19"/>
    </row>
    <row r="4507" spans="1:7" ht="12.75" x14ac:dyDescent="0.2">
      <c r="A4507" s="3"/>
      <c r="B4507" s="4" t="s">
        <v>68</v>
      </c>
      <c r="C4507" s="3" t="s">
        <v>161</v>
      </c>
      <c r="G4507" s="19"/>
    </row>
    <row r="4508" spans="1:7" ht="12.75" x14ac:dyDescent="0.2">
      <c r="A4508" s="3"/>
      <c r="B4508" s="4" t="s">
        <v>49</v>
      </c>
      <c r="C4508" s="3" t="s">
        <v>162</v>
      </c>
      <c r="F4508">
        <f>SUM(E4508:E4512)</f>
        <v>0</v>
      </c>
      <c r="G4508" s="19"/>
    </row>
    <row r="4509" spans="1:7" ht="12.75" x14ac:dyDescent="0.2">
      <c r="A4509" s="3"/>
      <c r="B4509" s="4" t="s">
        <v>49</v>
      </c>
      <c r="C4509" s="3" t="s">
        <v>162</v>
      </c>
      <c r="G4509" s="19"/>
    </row>
    <row r="4510" spans="1:7" ht="12.75" x14ac:dyDescent="0.2">
      <c r="A4510" s="3"/>
      <c r="B4510" s="4" t="s">
        <v>49</v>
      </c>
      <c r="C4510" s="3" t="s">
        <v>162</v>
      </c>
      <c r="G4510" s="19"/>
    </row>
    <row r="4511" spans="1:7" ht="12.75" x14ac:dyDescent="0.2">
      <c r="A4511" s="3"/>
      <c r="B4511" s="4" t="s">
        <v>49</v>
      </c>
      <c r="C4511" s="3" t="s">
        <v>162</v>
      </c>
      <c r="G4511" s="19"/>
    </row>
    <row r="4512" spans="1:7" ht="12.75" x14ac:dyDescent="0.2">
      <c r="A4512" s="3"/>
      <c r="B4512" s="4" t="s">
        <v>49</v>
      </c>
      <c r="C4512" s="3" t="s">
        <v>162</v>
      </c>
      <c r="G4512" s="19"/>
    </row>
    <row r="4513" spans="1:7" ht="12.75" x14ac:dyDescent="0.2">
      <c r="A4513" s="3"/>
      <c r="B4513" s="4" t="s">
        <v>49</v>
      </c>
      <c r="C4513" s="3" t="s">
        <v>161</v>
      </c>
      <c r="G4513" s="19"/>
    </row>
    <row r="4514" spans="1:7" ht="12.75" x14ac:dyDescent="0.2">
      <c r="A4514" s="3"/>
      <c r="B4514" s="4" t="s">
        <v>49</v>
      </c>
      <c r="C4514" s="3" t="s">
        <v>161</v>
      </c>
      <c r="F4514">
        <f>SUM(E4513:E4518)</f>
        <v>0</v>
      </c>
      <c r="G4514" s="19"/>
    </row>
    <row r="4515" spans="1:7" ht="12.75" x14ac:dyDescent="0.2">
      <c r="A4515" s="3"/>
      <c r="B4515" s="4" t="s">
        <v>49</v>
      </c>
      <c r="C4515" s="3" t="s">
        <v>161</v>
      </c>
      <c r="G4515" s="19"/>
    </row>
    <row r="4516" spans="1:7" ht="12.75" x14ac:dyDescent="0.2">
      <c r="A4516" s="3"/>
      <c r="B4516" s="4" t="s">
        <v>49</v>
      </c>
      <c r="C4516" s="3" t="s">
        <v>161</v>
      </c>
      <c r="G4516" s="19"/>
    </row>
    <row r="4517" spans="1:7" ht="12.75" x14ac:dyDescent="0.2">
      <c r="A4517" s="3"/>
      <c r="B4517" s="4" t="s">
        <v>49</v>
      </c>
      <c r="C4517" s="3" t="s">
        <v>161</v>
      </c>
      <c r="G4517" s="19"/>
    </row>
    <row r="4518" spans="1:7" ht="12.75" x14ac:dyDescent="0.2">
      <c r="A4518" s="3"/>
      <c r="B4518" s="4" t="s">
        <v>49</v>
      </c>
      <c r="C4518" s="3" t="s">
        <v>161</v>
      </c>
      <c r="G4518" s="19"/>
    </row>
    <row r="4519" spans="1:7" ht="12.75" x14ac:dyDescent="0.2">
      <c r="A4519" s="3"/>
      <c r="B4519" s="4" t="s">
        <v>85</v>
      </c>
      <c r="C4519" s="3" t="s">
        <v>162</v>
      </c>
      <c r="G4519" s="19"/>
    </row>
    <row r="4520" spans="1:7" ht="12.75" x14ac:dyDescent="0.2">
      <c r="A4520" s="3"/>
      <c r="B4520" s="4" t="s">
        <v>85</v>
      </c>
      <c r="C4520" s="3" t="s">
        <v>162</v>
      </c>
      <c r="G4520" s="19"/>
    </row>
    <row r="4521" spans="1:7" ht="12.75" x14ac:dyDescent="0.2">
      <c r="A4521" s="3"/>
      <c r="B4521" s="4" t="s">
        <v>85</v>
      </c>
      <c r="C4521" s="3" t="s">
        <v>162</v>
      </c>
      <c r="F4521">
        <f>SUM(E4519:E4525)</f>
        <v>0</v>
      </c>
      <c r="G4521" s="19"/>
    </row>
    <row r="4522" spans="1:7" ht="12.75" x14ac:dyDescent="0.2">
      <c r="A4522" s="3"/>
      <c r="B4522" s="4" t="s">
        <v>85</v>
      </c>
      <c r="C4522" s="3" t="s">
        <v>162</v>
      </c>
      <c r="G4522" s="19"/>
    </row>
    <row r="4523" spans="1:7" ht="12.75" x14ac:dyDescent="0.2">
      <c r="A4523" s="3"/>
      <c r="B4523" s="4" t="s">
        <v>85</v>
      </c>
      <c r="C4523" s="3" t="s">
        <v>162</v>
      </c>
      <c r="G4523" s="19"/>
    </row>
    <row r="4524" spans="1:7" ht="12.75" x14ac:dyDescent="0.2">
      <c r="A4524" s="3"/>
      <c r="B4524" s="4" t="s">
        <v>85</v>
      </c>
      <c r="C4524" s="3" t="s">
        <v>162</v>
      </c>
      <c r="G4524" s="19"/>
    </row>
    <row r="4525" spans="1:7" ht="12.75" x14ac:dyDescent="0.2">
      <c r="A4525" s="3"/>
      <c r="B4525" s="4" t="s">
        <v>85</v>
      </c>
      <c r="C4525" s="3" t="s">
        <v>162</v>
      </c>
      <c r="G4525" s="19"/>
    </row>
    <row r="4526" spans="1:7" ht="12.75" x14ac:dyDescent="0.2">
      <c r="A4526" s="3"/>
      <c r="B4526" s="4" t="s">
        <v>85</v>
      </c>
      <c r="C4526" s="3" t="s">
        <v>161</v>
      </c>
      <c r="G4526" s="19"/>
    </row>
    <row r="4527" spans="1:7" ht="12.75" x14ac:dyDescent="0.2">
      <c r="A4527" s="3"/>
      <c r="B4527" s="4" t="s">
        <v>85</v>
      </c>
      <c r="C4527" s="3" t="s">
        <v>161</v>
      </c>
      <c r="G4527" s="19"/>
    </row>
    <row r="4528" spans="1:7" ht="12.75" x14ac:dyDescent="0.2">
      <c r="A4528" s="3"/>
      <c r="B4528" s="4" t="s">
        <v>85</v>
      </c>
      <c r="C4528" s="3" t="s">
        <v>161</v>
      </c>
      <c r="F4528">
        <f>SUM(E4526:E4532)</f>
        <v>0</v>
      </c>
      <c r="G4528" s="19"/>
    </row>
    <row r="4529" spans="1:7" ht="12.75" x14ac:dyDescent="0.2">
      <c r="A4529" s="3"/>
      <c r="B4529" s="4" t="s">
        <v>85</v>
      </c>
      <c r="C4529" s="3" t="s">
        <v>161</v>
      </c>
      <c r="G4529" s="19"/>
    </row>
    <row r="4530" spans="1:7" ht="12.75" x14ac:dyDescent="0.2">
      <c r="A4530" s="3"/>
      <c r="B4530" s="4" t="s">
        <v>85</v>
      </c>
      <c r="C4530" s="3" t="s">
        <v>161</v>
      </c>
      <c r="G4530" s="19"/>
    </row>
    <row r="4531" spans="1:7" ht="12.75" x14ac:dyDescent="0.2">
      <c r="A4531" s="3"/>
      <c r="B4531" s="4" t="s">
        <v>85</v>
      </c>
      <c r="C4531" s="3" t="s">
        <v>161</v>
      </c>
      <c r="G4531" s="19"/>
    </row>
    <row r="4532" spans="1:7" ht="12.75" x14ac:dyDescent="0.2">
      <c r="A4532" s="3"/>
      <c r="B4532" s="4" t="s">
        <v>85</v>
      </c>
      <c r="C4532" s="3" t="s">
        <v>161</v>
      </c>
      <c r="G4532" s="19"/>
    </row>
    <row r="4533" spans="1:7" ht="12.75" x14ac:dyDescent="0.2">
      <c r="A4533" s="3"/>
      <c r="B4533" s="4" t="s">
        <v>77</v>
      </c>
      <c r="C4533" s="3" t="s">
        <v>162</v>
      </c>
      <c r="G4533" s="19"/>
    </row>
    <row r="4534" spans="1:7" ht="12.75" x14ac:dyDescent="0.2">
      <c r="A4534" s="3"/>
      <c r="B4534" s="4" t="s">
        <v>77</v>
      </c>
      <c r="C4534" s="3" t="s">
        <v>162</v>
      </c>
      <c r="G4534" s="19"/>
    </row>
    <row r="4535" spans="1:7" ht="12.75" x14ac:dyDescent="0.2">
      <c r="A4535" s="3"/>
      <c r="B4535" s="4" t="s">
        <v>77</v>
      </c>
      <c r="C4535" s="3" t="s">
        <v>162</v>
      </c>
      <c r="G4535" s="19"/>
    </row>
    <row r="4536" spans="1:7" ht="12.75" x14ac:dyDescent="0.2">
      <c r="A4536" s="3"/>
      <c r="B4536" s="4" t="s">
        <v>77</v>
      </c>
      <c r="C4536" s="3" t="s">
        <v>162</v>
      </c>
      <c r="F4536">
        <f>SUM(E4533:E4540)</f>
        <v>0</v>
      </c>
      <c r="G4536" s="19"/>
    </row>
    <row r="4537" spans="1:7" ht="12.75" x14ac:dyDescent="0.2">
      <c r="A4537" s="3"/>
      <c r="B4537" s="4" t="s">
        <v>77</v>
      </c>
      <c r="C4537" s="3" t="s">
        <v>162</v>
      </c>
      <c r="G4537" s="19"/>
    </row>
    <row r="4538" spans="1:7" ht="12.75" x14ac:dyDescent="0.2">
      <c r="A4538" s="3"/>
      <c r="B4538" s="4" t="s">
        <v>77</v>
      </c>
      <c r="C4538" s="3" t="s">
        <v>162</v>
      </c>
      <c r="G4538" s="19"/>
    </row>
    <row r="4539" spans="1:7" ht="12.75" x14ac:dyDescent="0.2">
      <c r="A4539" s="3"/>
      <c r="B4539" s="4" t="s">
        <v>77</v>
      </c>
      <c r="C4539" s="3" t="s">
        <v>162</v>
      </c>
      <c r="G4539" s="19"/>
    </row>
    <row r="4540" spans="1:7" ht="12.75" x14ac:dyDescent="0.2">
      <c r="A4540" s="3"/>
      <c r="B4540" s="4" t="s">
        <v>77</v>
      </c>
      <c r="C4540" s="3" t="s">
        <v>162</v>
      </c>
      <c r="G4540" s="19"/>
    </row>
    <row r="4541" spans="1:7" ht="12.75" x14ac:dyDescent="0.2">
      <c r="A4541" s="3"/>
      <c r="B4541" s="4" t="s">
        <v>77</v>
      </c>
      <c r="C4541" s="3" t="s">
        <v>161</v>
      </c>
      <c r="G4541" s="19"/>
    </row>
    <row r="4542" spans="1:7" ht="12.75" x14ac:dyDescent="0.2">
      <c r="A4542" s="3"/>
      <c r="B4542" s="4" t="s">
        <v>77</v>
      </c>
      <c r="C4542" s="3" t="s">
        <v>161</v>
      </c>
      <c r="G4542" s="19"/>
    </row>
    <row r="4543" spans="1:7" ht="12.75" x14ac:dyDescent="0.2">
      <c r="A4543" s="3"/>
      <c r="B4543" s="4" t="s">
        <v>77</v>
      </c>
      <c r="C4543" s="3" t="s">
        <v>161</v>
      </c>
      <c r="G4543" s="19"/>
    </row>
    <row r="4544" spans="1:7" ht="12.75" x14ac:dyDescent="0.2">
      <c r="A4544" s="3"/>
      <c r="B4544" s="4" t="s">
        <v>77</v>
      </c>
      <c r="C4544" s="3" t="s">
        <v>161</v>
      </c>
      <c r="F4544">
        <f>SUM(E4541:E4548)</f>
        <v>0</v>
      </c>
      <c r="G4544" s="19"/>
    </row>
    <row r="4545" spans="1:7" ht="12.75" x14ac:dyDescent="0.2">
      <c r="A4545" s="3"/>
      <c r="B4545" s="4" t="s">
        <v>77</v>
      </c>
      <c r="C4545" s="3" t="s">
        <v>161</v>
      </c>
      <c r="G4545" s="19"/>
    </row>
    <row r="4546" spans="1:7" ht="12.75" x14ac:dyDescent="0.2">
      <c r="A4546" s="3"/>
      <c r="B4546" s="4" t="s">
        <v>77</v>
      </c>
      <c r="C4546" s="3" t="s">
        <v>161</v>
      </c>
      <c r="G4546" s="19"/>
    </row>
    <row r="4547" spans="1:7" ht="12.75" x14ac:dyDescent="0.2">
      <c r="A4547" s="3"/>
      <c r="B4547" s="4" t="s">
        <v>77</v>
      </c>
      <c r="C4547" s="3" t="s">
        <v>161</v>
      </c>
      <c r="G4547" s="19"/>
    </row>
    <row r="4548" spans="1:7" ht="12.75" x14ac:dyDescent="0.2">
      <c r="A4548" s="3"/>
      <c r="B4548" s="4" t="s">
        <v>77</v>
      </c>
      <c r="C4548" s="3" t="s">
        <v>161</v>
      </c>
      <c r="G4548" s="19"/>
    </row>
    <row r="4549" spans="1:7" ht="12.75" x14ac:dyDescent="0.2">
      <c r="A4549" s="3"/>
      <c r="B4549" s="4" t="s">
        <v>106</v>
      </c>
      <c r="C4549" s="3" t="s">
        <v>162</v>
      </c>
      <c r="G4549" s="19"/>
    </row>
    <row r="4550" spans="1:7" ht="12.75" x14ac:dyDescent="0.2">
      <c r="A4550" s="3"/>
      <c r="B4550" s="4" t="s">
        <v>106</v>
      </c>
      <c r="C4550" s="3" t="s">
        <v>162</v>
      </c>
      <c r="G4550" s="19"/>
    </row>
    <row r="4551" spans="1:7" ht="12.75" x14ac:dyDescent="0.2">
      <c r="A4551" s="3"/>
      <c r="B4551" s="4" t="s">
        <v>106</v>
      </c>
      <c r="C4551" s="3" t="s">
        <v>162</v>
      </c>
      <c r="G4551" s="19"/>
    </row>
    <row r="4552" spans="1:7" ht="12.75" x14ac:dyDescent="0.2">
      <c r="A4552" s="3"/>
      <c r="B4552" s="4" t="s">
        <v>106</v>
      </c>
      <c r="C4552" s="3" t="s">
        <v>162</v>
      </c>
      <c r="G4552" s="19"/>
    </row>
    <row r="4553" spans="1:7" ht="12.75" x14ac:dyDescent="0.2">
      <c r="A4553" s="3"/>
      <c r="B4553" s="4" t="s">
        <v>106</v>
      </c>
      <c r="C4553" s="3" t="s">
        <v>162</v>
      </c>
      <c r="F4553">
        <f>SUM(E4549:E4557)</f>
        <v>0</v>
      </c>
      <c r="G4553" s="19"/>
    </row>
    <row r="4554" spans="1:7" ht="12.75" x14ac:dyDescent="0.2">
      <c r="A4554" s="3"/>
      <c r="B4554" s="4" t="s">
        <v>106</v>
      </c>
      <c r="C4554" s="3" t="s">
        <v>162</v>
      </c>
      <c r="G4554" s="19"/>
    </row>
    <row r="4555" spans="1:7" ht="12.75" x14ac:dyDescent="0.2">
      <c r="A4555" s="3"/>
      <c r="B4555" s="4" t="s">
        <v>106</v>
      </c>
      <c r="C4555" s="3" t="s">
        <v>162</v>
      </c>
      <c r="G4555" s="19"/>
    </row>
    <row r="4556" spans="1:7" ht="12.75" x14ac:dyDescent="0.2">
      <c r="A4556" s="3"/>
      <c r="B4556" s="4" t="s">
        <v>106</v>
      </c>
      <c r="C4556" s="3" t="s">
        <v>162</v>
      </c>
      <c r="G4556" s="19"/>
    </row>
    <row r="4557" spans="1:7" ht="12.75" x14ac:dyDescent="0.2">
      <c r="A4557" s="3"/>
      <c r="B4557" s="4" t="s">
        <v>106</v>
      </c>
      <c r="C4557" s="3" t="s">
        <v>162</v>
      </c>
      <c r="G4557" s="19"/>
    </row>
    <row r="4558" spans="1:7" ht="12.75" x14ac:dyDescent="0.2">
      <c r="A4558" s="3"/>
      <c r="B4558" s="4" t="s">
        <v>106</v>
      </c>
      <c r="C4558" s="3" t="s">
        <v>161</v>
      </c>
      <c r="G4558" s="19"/>
    </row>
    <row r="4559" spans="1:7" ht="12.75" x14ac:dyDescent="0.2">
      <c r="A4559" s="3"/>
      <c r="B4559" s="4" t="s">
        <v>106</v>
      </c>
      <c r="C4559" s="3" t="s">
        <v>161</v>
      </c>
      <c r="G4559" s="19"/>
    </row>
    <row r="4560" spans="1:7" ht="12.75" x14ac:dyDescent="0.2">
      <c r="A4560" s="3"/>
      <c r="B4560" s="4" t="s">
        <v>106</v>
      </c>
      <c r="C4560" s="3" t="s">
        <v>161</v>
      </c>
      <c r="G4560" s="19"/>
    </row>
    <row r="4561" spans="1:7" ht="12.75" x14ac:dyDescent="0.2">
      <c r="A4561" s="3"/>
      <c r="B4561" s="4" t="s">
        <v>106</v>
      </c>
      <c r="C4561" s="3" t="s">
        <v>161</v>
      </c>
      <c r="G4561" s="19"/>
    </row>
    <row r="4562" spans="1:7" ht="12.75" x14ac:dyDescent="0.2">
      <c r="A4562" s="3"/>
      <c r="B4562" s="4" t="s">
        <v>106</v>
      </c>
      <c r="C4562" s="3" t="s">
        <v>161</v>
      </c>
      <c r="F4562">
        <f>SUM(E4558:E4566)</f>
        <v>0</v>
      </c>
      <c r="G4562" s="19"/>
    </row>
    <row r="4563" spans="1:7" ht="12.75" x14ac:dyDescent="0.2">
      <c r="A4563" s="3"/>
      <c r="B4563" s="4" t="s">
        <v>106</v>
      </c>
      <c r="C4563" s="3" t="s">
        <v>161</v>
      </c>
      <c r="G4563" s="19"/>
    </row>
    <row r="4564" spans="1:7" ht="12.75" x14ac:dyDescent="0.2">
      <c r="A4564" s="3"/>
      <c r="B4564" s="4" t="s">
        <v>106</v>
      </c>
      <c r="C4564" s="3" t="s">
        <v>161</v>
      </c>
      <c r="G4564" s="19"/>
    </row>
    <row r="4565" spans="1:7" ht="12.75" x14ac:dyDescent="0.2">
      <c r="A4565" s="3"/>
      <c r="B4565" s="4" t="s">
        <v>106</v>
      </c>
      <c r="C4565" s="3" t="s">
        <v>161</v>
      </c>
      <c r="G4565" s="19"/>
    </row>
    <row r="4566" spans="1:7" ht="12.75" x14ac:dyDescent="0.2">
      <c r="A4566" s="3"/>
      <c r="B4566" s="4" t="s">
        <v>106</v>
      </c>
      <c r="C4566" s="3" t="s">
        <v>161</v>
      </c>
      <c r="G4566" s="19"/>
    </row>
    <row r="4567" spans="1:7" ht="12.75" x14ac:dyDescent="0.2">
      <c r="A4567" s="3"/>
      <c r="B4567" s="4" t="s">
        <v>109</v>
      </c>
      <c r="C4567" s="3" t="s">
        <v>162</v>
      </c>
      <c r="G4567" s="19"/>
    </row>
    <row r="4568" spans="1:7" ht="12.75" x14ac:dyDescent="0.2">
      <c r="A4568" s="3"/>
      <c r="B4568" s="4" t="s">
        <v>109</v>
      </c>
      <c r="C4568" s="3" t="s">
        <v>162</v>
      </c>
      <c r="G4568" s="19"/>
    </row>
    <row r="4569" spans="1:7" ht="12.75" x14ac:dyDescent="0.2">
      <c r="A4569" s="3"/>
      <c r="B4569" s="4" t="s">
        <v>109</v>
      </c>
      <c r="C4569" s="3" t="s">
        <v>162</v>
      </c>
      <c r="G4569" s="19"/>
    </row>
    <row r="4570" spans="1:7" ht="12.75" x14ac:dyDescent="0.2">
      <c r="A4570" s="3"/>
      <c r="B4570" s="4" t="s">
        <v>109</v>
      </c>
      <c r="C4570" s="3" t="s">
        <v>162</v>
      </c>
      <c r="G4570" s="19"/>
    </row>
    <row r="4571" spans="1:7" ht="12.75" x14ac:dyDescent="0.2">
      <c r="A4571" s="3"/>
      <c r="B4571" s="4" t="s">
        <v>109</v>
      </c>
      <c r="C4571" s="3" t="s">
        <v>162</v>
      </c>
      <c r="F4571">
        <f>SUM(E4567:E4575)</f>
        <v>0</v>
      </c>
      <c r="G4571" s="19"/>
    </row>
    <row r="4572" spans="1:7" ht="12.75" x14ac:dyDescent="0.2">
      <c r="A4572" s="3"/>
      <c r="B4572" s="4" t="s">
        <v>109</v>
      </c>
      <c r="C4572" s="3" t="s">
        <v>162</v>
      </c>
      <c r="G4572" s="19"/>
    </row>
    <row r="4573" spans="1:7" ht="12.75" x14ac:dyDescent="0.2">
      <c r="A4573" s="3"/>
      <c r="B4573" s="4" t="s">
        <v>109</v>
      </c>
      <c r="C4573" s="3" t="s">
        <v>162</v>
      </c>
      <c r="G4573" s="19"/>
    </row>
    <row r="4574" spans="1:7" ht="12.75" x14ac:dyDescent="0.2">
      <c r="A4574" s="3"/>
      <c r="B4574" s="4" t="s">
        <v>109</v>
      </c>
      <c r="C4574" s="3" t="s">
        <v>162</v>
      </c>
      <c r="G4574" s="19"/>
    </row>
    <row r="4575" spans="1:7" ht="12.75" x14ac:dyDescent="0.2">
      <c r="A4575" s="3"/>
      <c r="B4575" s="4" t="s">
        <v>109</v>
      </c>
      <c r="C4575" s="3" t="s">
        <v>162</v>
      </c>
      <c r="G4575" s="19"/>
    </row>
    <row r="4576" spans="1:7" ht="12.75" x14ac:dyDescent="0.2">
      <c r="A4576" s="3"/>
      <c r="B4576" s="4" t="s">
        <v>109</v>
      </c>
      <c r="C4576" s="3" t="s">
        <v>161</v>
      </c>
      <c r="G4576" s="19"/>
    </row>
    <row r="4577" spans="1:7" ht="12.75" x14ac:dyDescent="0.2">
      <c r="A4577" s="3"/>
      <c r="B4577" s="4" t="s">
        <v>109</v>
      </c>
      <c r="C4577" s="3" t="s">
        <v>161</v>
      </c>
      <c r="G4577" s="19"/>
    </row>
    <row r="4578" spans="1:7" ht="12.75" x14ac:dyDescent="0.2">
      <c r="A4578" s="3"/>
      <c r="B4578" s="4" t="s">
        <v>109</v>
      </c>
      <c r="C4578" s="3" t="s">
        <v>161</v>
      </c>
      <c r="G4578" s="19"/>
    </row>
    <row r="4579" spans="1:7" ht="12.75" x14ac:dyDescent="0.2">
      <c r="A4579" s="3"/>
      <c r="B4579" s="4" t="s">
        <v>109</v>
      </c>
      <c r="C4579" s="3" t="s">
        <v>161</v>
      </c>
      <c r="G4579" s="19"/>
    </row>
    <row r="4580" spans="1:7" ht="12.75" x14ac:dyDescent="0.2">
      <c r="A4580" s="3"/>
      <c r="B4580" s="4" t="s">
        <v>109</v>
      </c>
      <c r="C4580" s="3" t="s">
        <v>161</v>
      </c>
      <c r="F4580">
        <f>SUM(E4576:E4584)</f>
        <v>0</v>
      </c>
      <c r="G4580" s="19"/>
    </row>
    <row r="4581" spans="1:7" ht="12.75" x14ac:dyDescent="0.2">
      <c r="A4581" s="3"/>
      <c r="B4581" s="4" t="s">
        <v>109</v>
      </c>
      <c r="C4581" s="3" t="s">
        <v>161</v>
      </c>
      <c r="G4581" s="19"/>
    </row>
    <row r="4582" spans="1:7" ht="12.75" x14ac:dyDescent="0.2">
      <c r="A4582" s="3"/>
      <c r="B4582" s="4" t="s">
        <v>109</v>
      </c>
      <c r="C4582" s="3" t="s">
        <v>161</v>
      </c>
      <c r="G4582" s="19"/>
    </row>
    <row r="4583" spans="1:7" ht="12.75" x14ac:dyDescent="0.2">
      <c r="A4583" s="3"/>
      <c r="B4583" s="4" t="s">
        <v>109</v>
      </c>
      <c r="C4583" s="3" t="s">
        <v>161</v>
      </c>
      <c r="G4583" s="19"/>
    </row>
    <row r="4584" spans="1:7" ht="12.75" x14ac:dyDescent="0.2">
      <c r="A4584" s="3"/>
      <c r="B4584" s="4" t="s">
        <v>109</v>
      </c>
      <c r="C4584" s="3" t="s">
        <v>161</v>
      </c>
      <c r="F4584">
        <f>SUM(E4585:E4588)</f>
        <v>0</v>
      </c>
      <c r="G4584" s="19"/>
    </row>
    <row r="4585" spans="1:7" ht="12.75" x14ac:dyDescent="0.2">
      <c r="A4585" s="3"/>
      <c r="B4585" s="4" t="s">
        <v>115</v>
      </c>
      <c r="C4585" s="3" t="s">
        <v>162</v>
      </c>
      <c r="G4585" s="19"/>
    </row>
    <row r="4586" spans="1:7" ht="12.75" x14ac:dyDescent="0.2">
      <c r="A4586" s="3"/>
      <c r="B4586" s="4" t="s">
        <v>115</v>
      </c>
      <c r="C4586" s="3" t="s">
        <v>162</v>
      </c>
      <c r="G4586" s="19"/>
    </row>
    <row r="4587" spans="1:7" ht="12.75" x14ac:dyDescent="0.2">
      <c r="A4587" s="3"/>
      <c r="B4587" s="4" t="s">
        <v>115</v>
      </c>
      <c r="C4587" s="3" t="s">
        <v>162</v>
      </c>
      <c r="G4587" s="19"/>
    </row>
    <row r="4588" spans="1:7" ht="12.75" x14ac:dyDescent="0.2">
      <c r="A4588" s="3"/>
      <c r="B4588" s="4" t="s">
        <v>115</v>
      </c>
      <c r="C4588" s="3" t="s">
        <v>162</v>
      </c>
      <c r="F4588">
        <f>SUM(E4589:E4592)</f>
        <v>0</v>
      </c>
      <c r="G4588" s="19"/>
    </row>
    <row r="4589" spans="1:7" ht="12.75" x14ac:dyDescent="0.2">
      <c r="A4589" s="3"/>
      <c r="B4589" s="4" t="s">
        <v>115</v>
      </c>
      <c r="C4589" s="3" t="s">
        <v>161</v>
      </c>
      <c r="G4589" s="19"/>
    </row>
    <row r="4590" spans="1:7" ht="12.75" x14ac:dyDescent="0.2">
      <c r="A4590" s="3"/>
      <c r="B4590" s="4" t="s">
        <v>115</v>
      </c>
      <c r="C4590" s="3" t="s">
        <v>161</v>
      </c>
      <c r="G4590" s="19"/>
    </row>
    <row r="4591" spans="1:7" ht="12.75" x14ac:dyDescent="0.2">
      <c r="A4591" s="3"/>
      <c r="B4591" s="4" t="s">
        <v>115</v>
      </c>
      <c r="C4591" s="3" t="s">
        <v>161</v>
      </c>
      <c r="G4591" s="19"/>
    </row>
    <row r="4592" spans="1:7" ht="12.75" x14ac:dyDescent="0.2">
      <c r="A4592" s="3"/>
      <c r="B4592" s="4" t="s">
        <v>115</v>
      </c>
      <c r="C4592" s="3" t="s">
        <v>161</v>
      </c>
      <c r="G4592" s="19"/>
    </row>
    <row r="4593" spans="1:7" ht="12.75" x14ac:dyDescent="0.2">
      <c r="A4593" s="3"/>
      <c r="B4593" s="4" t="s">
        <v>44</v>
      </c>
      <c r="C4593" s="3" t="s">
        <v>162</v>
      </c>
      <c r="G4593" s="19"/>
    </row>
    <row r="4594" spans="1:7" ht="12.75" x14ac:dyDescent="0.2">
      <c r="A4594" s="3"/>
      <c r="B4594" s="4" t="s">
        <v>44</v>
      </c>
      <c r="C4594" s="3" t="s">
        <v>162</v>
      </c>
      <c r="G4594" s="19"/>
    </row>
    <row r="4595" spans="1:7" ht="12.75" x14ac:dyDescent="0.2">
      <c r="A4595" s="3"/>
      <c r="B4595" s="4" t="s">
        <v>44</v>
      </c>
      <c r="C4595" s="3" t="s">
        <v>162</v>
      </c>
      <c r="G4595" s="19"/>
    </row>
    <row r="4596" spans="1:7" ht="12.75" x14ac:dyDescent="0.2">
      <c r="A4596" s="3"/>
      <c r="B4596" s="4" t="s">
        <v>44</v>
      </c>
      <c r="C4596" s="3" t="s">
        <v>162</v>
      </c>
      <c r="G4596" s="19"/>
    </row>
    <row r="4597" spans="1:7" ht="12.75" x14ac:dyDescent="0.2">
      <c r="A4597" s="3"/>
      <c r="B4597" s="4" t="s">
        <v>44</v>
      </c>
      <c r="C4597" s="3" t="s">
        <v>162</v>
      </c>
      <c r="F4597">
        <f>SUM(E4593:E4601)</f>
        <v>0</v>
      </c>
      <c r="G4597" s="19"/>
    </row>
    <row r="4598" spans="1:7" ht="12.75" x14ac:dyDescent="0.2">
      <c r="A4598" s="3"/>
      <c r="B4598" s="4" t="s">
        <v>44</v>
      </c>
      <c r="C4598" s="3" t="s">
        <v>162</v>
      </c>
      <c r="G4598" s="19"/>
    </row>
    <row r="4599" spans="1:7" ht="12.75" x14ac:dyDescent="0.2">
      <c r="A4599" s="3"/>
      <c r="B4599" s="4" t="s">
        <v>44</v>
      </c>
      <c r="C4599" s="3" t="s">
        <v>162</v>
      </c>
      <c r="G4599" s="19"/>
    </row>
    <row r="4600" spans="1:7" ht="12.75" x14ac:dyDescent="0.2">
      <c r="A4600" s="3"/>
      <c r="B4600" s="4" t="s">
        <v>44</v>
      </c>
      <c r="C4600" s="3" t="s">
        <v>162</v>
      </c>
      <c r="G4600" s="19"/>
    </row>
    <row r="4601" spans="1:7" ht="12.75" x14ac:dyDescent="0.2">
      <c r="A4601" s="3"/>
      <c r="B4601" s="4" t="s">
        <v>44</v>
      </c>
      <c r="C4601" s="3" t="s">
        <v>162</v>
      </c>
      <c r="G4601" s="19"/>
    </row>
    <row r="4602" spans="1:7" ht="12.75" x14ac:dyDescent="0.2">
      <c r="A4602" s="3"/>
      <c r="B4602" s="4" t="s">
        <v>44</v>
      </c>
      <c r="C4602" s="3" t="s">
        <v>161</v>
      </c>
      <c r="G4602" s="19"/>
    </row>
    <row r="4603" spans="1:7" ht="12.75" x14ac:dyDescent="0.2">
      <c r="A4603" s="3"/>
      <c r="B4603" s="4" t="s">
        <v>44</v>
      </c>
      <c r="C4603" s="3" t="s">
        <v>161</v>
      </c>
      <c r="G4603" s="19"/>
    </row>
    <row r="4604" spans="1:7" ht="12.75" x14ac:dyDescent="0.2">
      <c r="A4604" s="3"/>
      <c r="B4604" s="4" t="s">
        <v>44</v>
      </c>
      <c r="C4604" s="3" t="s">
        <v>161</v>
      </c>
      <c r="G4604" s="19"/>
    </row>
    <row r="4605" spans="1:7" ht="12.75" x14ac:dyDescent="0.2">
      <c r="A4605" s="3"/>
      <c r="B4605" s="4" t="s">
        <v>44</v>
      </c>
      <c r="C4605" s="3" t="s">
        <v>161</v>
      </c>
      <c r="G4605" s="19"/>
    </row>
    <row r="4606" spans="1:7" ht="12.75" x14ac:dyDescent="0.2">
      <c r="A4606" s="3"/>
      <c r="B4606" s="4" t="s">
        <v>44</v>
      </c>
      <c r="C4606" s="3" t="s">
        <v>161</v>
      </c>
      <c r="F4606">
        <f>SUM(E4602:E4610)</f>
        <v>0</v>
      </c>
      <c r="G4606" s="19"/>
    </row>
    <row r="4607" spans="1:7" ht="12.75" x14ac:dyDescent="0.2">
      <c r="A4607" s="3"/>
      <c r="B4607" s="4" t="s">
        <v>44</v>
      </c>
      <c r="C4607" s="3" t="s">
        <v>161</v>
      </c>
      <c r="G4607" s="19"/>
    </row>
    <row r="4608" spans="1:7" ht="12.75" x14ac:dyDescent="0.2">
      <c r="A4608" s="3"/>
      <c r="B4608" s="4" t="s">
        <v>44</v>
      </c>
      <c r="C4608" s="3" t="s">
        <v>161</v>
      </c>
      <c r="G4608" s="19"/>
    </row>
    <row r="4609" spans="1:7" ht="12.75" x14ac:dyDescent="0.2">
      <c r="A4609" s="3"/>
      <c r="B4609" s="4" t="s">
        <v>44</v>
      </c>
      <c r="C4609" s="3" t="s">
        <v>161</v>
      </c>
      <c r="G4609" s="19"/>
    </row>
    <row r="4610" spans="1:7" ht="12.75" x14ac:dyDescent="0.2">
      <c r="A4610" s="3"/>
      <c r="B4610" s="4" t="s">
        <v>44</v>
      </c>
      <c r="C4610" s="3" t="s">
        <v>161</v>
      </c>
      <c r="G4610" s="19"/>
    </row>
    <row r="4611" spans="1:7" ht="12.75" x14ac:dyDescent="0.2">
      <c r="A4611" s="3"/>
      <c r="B4611" s="4" t="s">
        <v>86</v>
      </c>
      <c r="C4611" s="3" t="s">
        <v>162</v>
      </c>
      <c r="G4611" s="19"/>
    </row>
    <row r="4612" spans="1:7" ht="12.75" x14ac:dyDescent="0.2">
      <c r="A4612" s="3"/>
      <c r="B4612" s="4" t="s">
        <v>86</v>
      </c>
      <c r="C4612" s="3" t="s">
        <v>162</v>
      </c>
      <c r="G4612" s="19"/>
    </row>
    <row r="4613" spans="1:7" ht="12.75" x14ac:dyDescent="0.2">
      <c r="A4613" s="3"/>
      <c r="B4613" s="4" t="s">
        <v>86</v>
      </c>
      <c r="C4613" s="3" t="s">
        <v>162</v>
      </c>
      <c r="G4613" s="19"/>
    </row>
    <row r="4614" spans="1:7" ht="12.75" x14ac:dyDescent="0.2">
      <c r="A4614" s="3"/>
      <c r="B4614" s="4" t="s">
        <v>86</v>
      </c>
      <c r="C4614" s="3" t="s">
        <v>162</v>
      </c>
      <c r="G4614" s="19"/>
    </row>
    <row r="4615" spans="1:7" ht="12.75" x14ac:dyDescent="0.2">
      <c r="A4615" s="3"/>
      <c r="B4615" s="4" t="s">
        <v>86</v>
      </c>
      <c r="C4615" s="3" t="s">
        <v>162</v>
      </c>
      <c r="F4615">
        <f>SUM(E4611:E4619)</f>
        <v>0</v>
      </c>
      <c r="G4615" s="19"/>
    </row>
    <row r="4616" spans="1:7" ht="12.75" x14ac:dyDescent="0.2">
      <c r="A4616" s="3"/>
      <c r="B4616" s="4" t="s">
        <v>86</v>
      </c>
      <c r="C4616" s="3" t="s">
        <v>162</v>
      </c>
      <c r="G4616" s="19"/>
    </row>
    <row r="4617" spans="1:7" ht="12.75" x14ac:dyDescent="0.2">
      <c r="A4617" s="3"/>
      <c r="B4617" s="4" t="s">
        <v>86</v>
      </c>
      <c r="C4617" s="3" t="s">
        <v>162</v>
      </c>
      <c r="G4617" s="19"/>
    </row>
    <row r="4618" spans="1:7" ht="12.75" x14ac:dyDescent="0.2">
      <c r="A4618" s="3"/>
      <c r="B4618" s="4" t="s">
        <v>86</v>
      </c>
      <c r="C4618" s="3" t="s">
        <v>162</v>
      </c>
      <c r="G4618" s="19"/>
    </row>
    <row r="4619" spans="1:7" ht="12.75" x14ac:dyDescent="0.2">
      <c r="A4619" s="3"/>
      <c r="B4619" s="4" t="s">
        <v>86</v>
      </c>
      <c r="C4619" s="3" t="s">
        <v>162</v>
      </c>
      <c r="G4619" s="19"/>
    </row>
    <row r="4620" spans="1:7" ht="12.75" x14ac:dyDescent="0.2">
      <c r="A4620" s="3"/>
      <c r="B4620" s="4" t="s">
        <v>86</v>
      </c>
      <c r="C4620" s="3" t="s">
        <v>161</v>
      </c>
      <c r="G4620" s="19"/>
    </row>
    <row r="4621" spans="1:7" ht="12.75" x14ac:dyDescent="0.2">
      <c r="A4621" s="3"/>
      <c r="B4621" s="4" t="s">
        <v>86</v>
      </c>
      <c r="C4621" s="3" t="s">
        <v>161</v>
      </c>
      <c r="G4621" s="19"/>
    </row>
    <row r="4622" spans="1:7" ht="12.75" x14ac:dyDescent="0.2">
      <c r="A4622" s="3"/>
      <c r="B4622" s="4" t="s">
        <v>86</v>
      </c>
      <c r="C4622" s="3" t="s">
        <v>161</v>
      </c>
      <c r="G4622" s="19"/>
    </row>
    <row r="4623" spans="1:7" ht="12.75" x14ac:dyDescent="0.2">
      <c r="A4623" s="3"/>
      <c r="B4623" s="4" t="s">
        <v>86</v>
      </c>
      <c r="C4623" s="3" t="s">
        <v>161</v>
      </c>
      <c r="G4623" s="19"/>
    </row>
    <row r="4624" spans="1:7" ht="12.75" x14ac:dyDescent="0.2">
      <c r="A4624" s="3"/>
      <c r="B4624" s="4" t="s">
        <v>86</v>
      </c>
      <c r="C4624" s="3" t="s">
        <v>161</v>
      </c>
      <c r="F4624">
        <f>SUM(E4620:E4628)</f>
        <v>0</v>
      </c>
      <c r="G4624" s="19"/>
    </row>
    <row r="4625" spans="1:7" ht="12.75" x14ac:dyDescent="0.2">
      <c r="A4625" s="3"/>
      <c r="B4625" s="4" t="s">
        <v>86</v>
      </c>
      <c r="C4625" s="3" t="s">
        <v>161</v>
      </c>
      <c r="G4625" s="19"/>
    </row>
    <row r="4626" spans="1:7" ht="12.75" x14ac:dyDescent="0.2">
      <c r="A4626" s="3"/>
      <c r="B4626" s="4" t="s">
        <v>86</v>
      </c>
      <c r="C4626" s="3" t="s">
        <v>161</v>
      </c>
      <c r="G4626" s="19"/>
    </row>
    <row r="4627" spans="1:7" ht="12.75" x14ac:dyDescent="0.2">
      <c r="A4627" s="3"/>
      <c r="B4627" s="4" t="s">
        <v>86</v>
      </c>
      <c r="C4627" s="3" t="s">
        <v>161</v>
      </c>
      <c r="G4627" s="19"/>
    </row>
    <row r="4628" spans="1:7" ht="12.75" x14ac:dyDescent="0.2">
      <c r="A4628" s="3"/>
      <c r="B4628" s="4" t="s">
        <v>86</v>
      </c>
      <c r="C4628" s="3" t="s">
        <v>161</v>
      </c>
      <c r="G4628" s="19"/>
    </row>
    <row r="4629" spans="1:7" ht="12.75" x14ac:dyDescent="0.2">
      <c r="A4629" s="3"/>
      <c r="B4629" s="4" t="s">
        <v>53</v>
      </c>
      <c r="C4629" s="3" t="s">
        <v>162</v>
      </c>
      <c r="G4629" s="19"/>
    </row>
    <row r="4630" spans="1:7" ht="12.75" x14ac:dyDescent="0.2">
      <c r="A4630" s="3"/>
      <c r="B4630" s="4" t="s">
        <v>53</v>
      </c>
      <c r="C4630" s="3" t="s">
        <v>162</v>
      </c>
      <c r="G4630" s="19"/>
    </row>
    <row r="4631" spans="1:7" ht="12.75" x14ac:dyDescent="0.2">
      <c r="A4631" s="3"/>
      <c r="B4631" s="4" t="s">
        <v>53</v>
      </c>
      <c r="C4631" s="3" t="s">
        <v>162</v>
      </c>
      <c r="F4631">
        <f>SUM(E4629:E4635)</f>
        <v>0</v>
      </c>
      <c r="G4631" s="19"/>
    </row>
    <row r="4632" spans="1:7" ht="12.75" x14ac:dyDescent="0.2">
      <c r="A4632" s="3"/>
      <c r="B4632" s="4" t="s">
        <v>53</v>
      </c>
      <c r="C4632" s="3" t="s">
        <v>162</v>
      </c>
      <c r="G4632" s="19"/>
    </row>
    <row r="4633" spans="1:7" ht="12.75" x14ac:dyDescent="0.2">
      <c r="A4633" s="3"/>
      <c r="B4633" s="4" t="s">
        <v>53</v>
      </c>
      <c r="C4633" s="3" t="s">
        <v>162</v>
      </c>
      <c r="G4633" s="19"/>
    </row>
    <row r="4634" spans="1:7" ht="12.75" x14ac:dyDescent="0.2">
      <c r="A4634" s="3"/>
      <c r="B4634" s="4" t="s">
        <v>53</v>
      </c>
      <c r="C4634" s="3" t="s">
        <v>162</v>
      </c>
      <c r="G4634" s="19"/>
    </row>
    <row r="4635" spans="1:7" ht="12.75" x14ac:dyDescent="0.2">
      <c r="A4635" s="3"/>
      <c r="B4635" s="4" t="s">
        <v>53</v>
      </c>
      <c r="C4635" s="3" t="s">
        <v>162</v>
      </c>
      <c r="G4635" s="19"/>
    </row>
    <row r="4636" spans="1:7" ht="12.75" x14ac:dyDescent="0.2">
      <c r="A4636" s="3"/>
      <c r="B4636" s="4" t="s">
        <v>53</v>
      </c>
      <c r="C4636" s="3" t="s">
        <v>161</v>
      </c>
      <c r="G4636" s="19"/>
    </row>
    <row r="4637" spans="1:7" ht="12.75" x14ac:dyDescent="0.2">
      <c r="A4637" s="3"/>
      <c r="B4637" s="4" t="s">
        <v>53</v>
      </c>
      <c r="C4637" s="3" t="s">
        <v>161</v>
      </c>
      <c r="G4637" s="19"/>
    </row>
    <row r="4638" spans="1:7" ht="12.75" x14ac:dyDescent="0.2">
      <c r="A4638" s="3"/>
      <c r="B4638" s="4" t="s">
        <v>53</v>
      </c>
      <c r="C4638" s="3" t="s">
        <v>161</v>
      </c>
      <c r="F4638">
        <f>SUM(E4636:E4642)</f>
        <v>0</v>
      </c>
      <c r="G4638" s="19"/>
    </row>
    <row r="4639" spans="1:7" ht="12.75" x14ac:dyDescent="0.2">
      <c r="A4639" s="3"/>
      <c r="B4639" s="4" t="s">
        <v>53</v>
      </c>
      <c r="C4639" s="3" t="s">
        <v>161</v>
      </c>
      <c r="G4639" s="19"/>
    </row>
    <row r="4640" spans="1:7" ht="12.75" x14ac:dyDescent="0.2">
      <c r="A4640" s="3"/>
      <c r="B4640" s="4" t="s">
        <v>53</v>
      </c>
      <c r="C4640" s="3" t="s">
        <v>161</v>
      </c>
      <c r="G4640" s="19"/>
    </row>
    <row r="4641" spans="1:7" ht="12.75" x14ac:dyDescent="0.2">
      <c r="A4641" s="3"/>
      <c r="B4641" s="4" t="s">
        <v>53</v>
      </c>
      <c r="C4641" s="3" t="s">
        <v>161</v>
      </c>
      <c r="G4641" s="19"/>
    </row>
    <row r="4642" spans="1:7" ht="12.75" x14ac:dyDescent="0.2">
      <c r="A4642" s="3"/>
      <c r="B4642" s="4" t="s">
        <v>53</v>
      </c>
      <c r="C4642" s="3" t="s">
        <v>161</v>
      </c>
      <c r="G4642" s="19"/>
    </row>
    <row r="4643" spans="1:7" ht="12.75" x14ac:dyDescent="0.2">
      <c r="A4643" s="3"/>
      <c r="B4643" s="4" t="s">
        <v>78</v>
      </c>
      <c r="C4643" s="3" t="s">
        <v>162</v>
      </c>
      <c r="G4643" s="19"/>
    </row>
    <row r="4644" spans="1:7" ht="12.75" x14ac:dyDescent="0.2">
      <c r="A4644" s="3"/>
      <c r="B4644" s="4" t="s">
        <v>78</v>
      </c>
      <c r="C4644" s="3" t="s">
        <v>162</v>
      </c>
      <c r="G4644" s="19"/>
    </row>
    <row r="4645" spans="1:7" ht="12.75" x14ac:dyDescent="0.2">
      <c r="A4645" s="3"/>
      <c r="B4645" s="4" t="s">
        <v>78</v>
      </c>
      <c r="C4645" s="3" t="s">
        <v>162</v>
      </c>
      <c r="G4645" s="19"/>
    </row>
    <row r="4646" spans="1:7" ht="12.75" x14ac:dyDescent="0.2">
      <c r="A4646" s="3"/>
      <c r="B4646" s="4" t="s">
        <v>78</v>
      </c>
      <c r="C4646" s="3" t="s">
        <v>162</v>
      </c>
      <c r="G4646" s="19"/>
    </row>
    <row r="4647" spans="1:7" ht="12.75" x14ac:dyDescent="0.2">
      <c r="A4647" s="3"/>
      <c r="B4647" s="4" t="s">
        <v>78</v>
      </c>
      <c r="C4647" s="3" t="s">
        <v>162</v>
      </c>
      <c r="F4647">
        <f>SUM(E4643:E4651)</f>
        <v>0</v>
      </c>
      <c r="G4647" s="19"/>
    </row>
    <row r="4648" spans="1:7" ht="12.75" x14ac:dyDescent="0.2">
      <c r="A4648" s="3"/>
      <c r="B4648" s="4" t="s">
        <v>78</v>
      </c>
      <c r="C4648" s="3" t="s">
        <v>162</v>
      </c>
      <c r="G4648" s="19"/>
    </row>
    <row r="4649" spans="1:7" ht="12.75" x14ac:dyDescent="0.2">
      <c r="A4649" s="3"/>
      <c r="B4649" s="4" t="s">
        <v>78</v>
      </c>
      <c r="C4649" s="3" t="s">
        <v>162</v>
      </c>
      <c r="G4649" s="19"/>
    </row>
    <row r="4650" spans="1:7" ht="12.75" x14ac:dyDescent="0.2">
      <c r="A4650" s="3"/>
      <c r="B4650" s="4" t="s">
        <v>78</v>
      </c>
      <c r="C4650" s="3" t="s">
        <v>162</v>
      </c>
      <c r="G4650" s="19"/>
    </row>
    <row r="4651" spans="1:7" ht="12.75" x14ac:dyDescent="0.2">
      <c r="A4651" s="3"/>
      <c r="B4651" s="4" t="s">
        <v>78</v>
      </c>
      <c r="C4651" s="3" t="s">
        <v>162</v>
      </c>
      <c r="G4651" s="19"/>
    </row>
    <row r="4652" spans="1:7" ht="12.75" x14ac:dyDescent="0.2">
      <c r="A4652" s="3"/>
      <c r="B4652" s="4" t="s">
        <v>78</v>
      </c>
      <c r="C4652" s="3" t="s">
        <v>161</v>
      </c>
      <c r="G4652" s="19"/>
    </row>
    <row r="4653" spans="1:7" ht="12.75" x14ac:dyDescent="0.2">
      <c r="A4653" s="3"/>
      <c r="B4653" s="4" t="s">
        <v>78</v>
      </c>
      <c r="C4653" s="3" t="s">
        <v>161</v>
      </c>
      <c r="G4653" s="19"/>
    </row>
    <row r="4654" spans="1:7" ht="12.75" x14ac:dyDescent="0.2">
      <c r="A4654" s="3"/>
      <c r="B4654" s="4" t="s">
        <v>78</v>
      </c>
      <c r="C4654" s="3" t="s">
        <v>161</v>
      </c>
      <c r="G4654" s="19"/>
    </row>
    <row r="4655" spans="1:7" ht="12.75" x14ac:dyDescent="0.2">
      <c r="A4655" s="3"/>
      <c r="B4655" s="4" t="s">
        <v>78</v>
      </c>
      <c r="C4655" s="3" t="s">
        <v>161</v>
      </c>
      <c r="G4655" s="19"/>
    </row>
    <row r="4656" spans="1:7" ht="12.75" x14ac:dyDescent="0.2">
      <c r="A4656" s="3"/>
      <c r="B4656" s="4" t="s">
        <v>78</v>
      </c>
      <c r="C4656" s="3" t="s">
        <v>161</v>
      </c>
      <c r="F4656">
        <f>SUM(E4652:E4660)</f>
        <v>0</v>
      </c>
      <c r="G4656" s="19"/>
    </row>
    <row r="4657" spans="1:7" ht="12.75" x14ac:dyDescent="0.2">
      <c r="A4657" s="3"/>
      <c r="B4657" s="4" t="s">
        <v>78</v>
      </c>
      <c r="C4657" s="3" t="s">
        <v>161</v>
      </c>
      <c r="G4657" s="19"/>
    </row>
    <row r="4658" spans="1:7" ht="12.75" x14ac:dyDescent="0.2">
      <c r="A4658" s="3"/>
      <c r="B4658" s="4" t="s">
        <v>78</v>
      </c>
      <c r="C4658" s="3" t="s">
        <v>161</v>
      </c>
      <c r="G4658" s="19"/>
    </row>
    <row r="4659" spans="1:7" ht="12.75" x14ac:dyDescent="0.2">
      <c r="A4659" s="3"/>
      <c r="B4659" s="4" t="s">
        <v>78</v>
      </c>
      <c r="C4659" s="3" t="s">
        <v>161</v>
      </c>
      <c r="G4659" s="19"/>
    </row>
    <row r="4660" spans="1:7" ht="12.75" x14ac:dyDescent="0.2">
      <c r="A4660" s="3"/>
      <c r="B4660" s="4" t="s">
        <v>78</v>
      </c>
      <c r="C4660" s="3" t="s">
        <v>161</v>
      </c>
      <c r="G4660" s="19"/>
    </row>
    <row r="4661" spans="1:7" ht="12.75" x14ac:dyDescent="0.2">
      <c r="A4661" s="3"/>
      <c r="B4661" s="4" t="s">
        <v>92</v>
      </c>
      <c r="C4661" s="3" t="s">
        <v>162</v>
      </c>
      <c r="G4661" s="19"/>
    </row>
    <row r="4662" spans="1:7" ht="12.75" x14ac:dyDescent="0.2">
      <c r="A4662" s="3"/>
      <c r="B4662" s="4" t="s">
        <v>92</v>
      </c>
      <c r="C4662" s="3" t="s">
        <v>162</v>
      </c>
      <c r="G4662" s="19"/>
    </row>
    <row r="4663" spans="1:7" ht="12.75" x14ac:dyDescent="0.2">
      <c r="A4663" s="3"/>
      <c r="B4663" s="4" t="s">
        <v>92</v>
      </c>
      <c r="C4663" s="3" t="s">
        <v>162</v>
      </c>
      <c r="G4663" s="19"/>
    </row>
    <row r="4664" spans="1:7" ht="12.75" x14ac:dyDescent="0.2">
      <c r="A4664" s="3"/>
      <c r="B4664" s="4" t="s">
        <v>92</v>
      </c>
      <c r="C4664" s="3" t="s">
        <v>162</v>
      </c>
      <c r="F4664">
        <f>SUM(E4661:E4668)</f>
        <v>0</v>
      </c>
      <c r="G4664" s="19"/>
    </row>
    <row r="4665" spans="1:7" ht="12.75" x14ac:dyDescent="0.2">
      <c r="A4665" s="3"/>
      <c r="B4665" s="4" t="s">
        <v>92</v>
      </c>
      <c r="C4665" s="3" t="s">
        <v>162</v>
      </c>
      <c r="G4665" s="19"/>
    </row>
    <row r="4666" spans="1:7" ht="12.75" x14ac:dyDescent="0.2">
      <c r="A4666" s="3"/>
      <c r="B4666" s="4" t="s">
        <v>92</v>
      </c>
      <c r="C4666" s="3" t="s">
        <v>162</v>
      </c>
      <c r="G4666" s="19"/>
    </row>
    <row r="4667" spans="1:7" ht="12.75" x14ac:dyDescent="0.2">
      <c r="A4667" s="3"/>
      <c r="B4667" s="4" t="s">
        <v>92</v>
      </c>
      <c r="C4667" s="3" t="s">
        <v>162</v>
      </c>
      <c r="G4667" s="19"/>
    </row>
    <row r="4668" spans="1:7" ht="12.75" x14ac:dyDescent="0.2">
      <c r="A4668" s="3"/>
      <c r="B4668" s="4" t="s">
        <v>92</v>
      </c>
      <c r="C4668" s="3" t="s">
        <v>162</v>
      </c>
      <c r="G4668" s="19"/>
    </row>
    <row r="4669" spans="1:7" ht="12.75" x14ac:dyDescent="0.2">
      <c r="A4669" s="3"/>
      <c r="B4669" s="4" t="s">
        <v>92</v>
      </c>
      <c r="C4669" s="3" t="s">
        <v>161</v>
      </c>
      <c r="G4669" s="19"/>
    </row>
    <row r="4670" spans="1:7" ht="12.75" x14ac:dyDescent="0.2">
      <c r="A4670" s="3"/>
      <c r="B4670" s="4" t="s">
        <v>92</v>
      </c>
      <c r="C4670" s="3" t="s">
        <v>161</v>
      </c>
      <c r="G4670" s="19"/>
    </row>
    <row r="4671" spans="1:7" ht="12.75" x14ac:dyDescent="0.2">
      <c r="A4671" s="3"/>
      <c r="B4671" s="4" t="s">
        <v>92</v>
      </c>
      <c r="C4671" s="3" t="s">
        <v>161</v>
      </c>
      <c r="G4671" s="19"/>
    </row>
    <row r="4672" spans="1:7" ht="12.75" x14ac:dyDescent="0.2">
      <c r="A4672" s="3"/>
      <c r="B4672" s="4" t="s">
        <v>92</v>
      </c>
      <c r="C4672" s="3" t="s">
        <v>161</v>
      </c>
      <c r="F4672">
        <f>SUM(E4669:E4676)</f>
        <v>0</v>
      </c>
      <c r="G4672" s="19"/>
    </row>
    <row r="4673" spans="1:7" ht="12.75" x14ac:dyDescent="0.2">
      <c r="A4673" s="3"/>
      <c r="B4673" s="4" t="s">
        <v>92</v>
      </c>
      <c r="C4673" s="3" t="s">
        <v>161</v>
      </c>
      <c r="G4673" s="19"/>
    </row>
    <row r="4674" spans="1:7" ht="12.75" x14ac:dyDescent="0.2">
      <c r="A4674" s="3"/>
      <c r="B4674" s="4" t="s">
        <v>92</v>
      </c>
      <c r="C4674" s="3" t="s">
        <v>161</v>
      </c>
      <c r="G4674" s="19"/>
    </row>
    <row r="4675" spans="1:7" ht="12.75" x14ac:dyDescent="0.2">
      <c r="A4675" s="3"/>
      <c r="B4675" s="4" t="s">
        <v>92</v>
      </c>
      <c r="C4675" s="3" t="s">
        <v>161</v>
      </c>
      <c r="G4675" s="19"/>
    </row>
    <row r="4676" spans="1:7" ht="12.75" x14ac:dyDescent="0.2">
      <c r="A4676" s="3"/>
      <c r="B4676" s="4" t="s">
        <v>92</v>
      </c>
      <c r="C4676" s="3" t="s">
        <v>161</v>
      </c>
      <c r="G4676" s="19"/>
    </row>
    <row r="4677" spans="1:7" ht="12.75" x14ac:dyDescent="0.2">
      <c r="A4677" s="3"/>
      <c r="B4677" s="4" t="s">
        <v>61</v>
      </c>
      <c r="C4677" s="3" t="s">
        <v>162</v>
      </c>
      <c r="G4677" s="19"/>
    </row>
    <row r="4678" spans="1:7" ht="12.75" x14ac:dyDescent="0.2">
      <c r="A4678" s="3"/>
      <c r="B4678" s="4" t="s">
        <v>61</v>
      </c>
      <c r="C4678" s="3" t="s">
        <v>162</v>
      </c>
      <c r="G4678" s="19"/>
    </row>
    <row r="4679" spans="1:7" ht="12.75" x14ac:dyDescent="0.2">
      <c r="A4679" s="3"/>
      <c r="B4679" s="4" t="s">
        <v>61</v>
      </c>
      <c r="C4679" s="3" t="s">
        <v>162</v>
      </c>
      <c r="G4679" s="19"/>
    </row>
    <row r="4680" spans="1:7" ht="12.75" x14ac:dyDescent="0.2">
      <c r="A4680" s="3"/>
      <c r="B4680" s="4" t="s">
        <v>61</v>
      </c>
      <c r="C4680" s="3" t="s">
        <v>162</v>
      </c>
      <c r="G4680" s="19"/>
    </row>
    <row r="4681" spans="1:7" ht="12.75" x14ac:dyDescent="0.2">
      <c r="A4681" s="3"/>
      <c r="B4681" s="4" t="s">
        <v>61</v>
      </c>
      <c r="C4681" s="3" t="s">
        <v>162</v>
      </c>
      <c r="F4681">
        <f>SUM(E4677:E4685)</f>
        <v>0</v>
      </c>
      <c r="G4681" s="19"/>
    </row>
    <row r="4682" spans="1:7" ht="12.75" x14ac:dyDescent="0.2">
      <c r="A4682" s="3"/>
      <c r="B4682" s="4" t="s">
        <v>61</v>
      </c>
      <c r="C4682" s="3" t="s">
        <v>162</v>
      </c>
      <c r="G4682" s="19"/>
    </row>
    <row r="4683" spans="1:7" ht="12.75" x14ac:dyDescent="0.2">
      <c r="A4683" s="3"/>
      <c r="B4683" s="4" t="s">
        <v>61</v>
      </c>
      <c r="C4683" s="3" t="s">
        <v>162</v>
      </c>
      <c r="G4683" s="19"/>
    </row>
    <row r="4684" spans="1:7" ht="12.75" x14ac:dyDescent="0.2">
      <c r="A4684" s="3"/>
      <c r="B4684" s="4" t="s">
        <v>61</v>
      </c>
      <c r="C4684" s="3" t="s">
        <v>162</v>
      </c>
      <c r="G4684" s="19"/>
    </row>
    <row r="4685" spans="1:7" ht="12.75" x14ac:dyDescent="0.2">
      <c r="A4685" s="3"/>
      <c r="B4685" s="4" t="s">
        <v>61</v>
      </c>
      <c r="C4685" s="3" t="s">
        <v>162</v>
      </c>
      <c r="G4685" s="19"/>
    </row>
    <row r="4686" spans="1:7" ht="12.75" x14ac:dyDescent="0.2">
      <c r="A4686" s="3"/>
      <c r="B4686" s="4" t="s">
        <v>61</v>
      </c>
      <c r="C4686" s="3" t="s">
        <v>161</v>
      </c>
      <c r="G4686" s="19"/>
    </row>
    <row r="4687" spans="1:7" ht="12.75" x14ac:dyDescent="0.2">
      <c r="A4687" s="3"/>
      <c r="B4687" s="4" t="s">
        <v>61</v>
      </c>
      <c r="C4687" s="3" t="s">
        <v>161</v>
      </c>
      <c r="G4687" s="19"/>
    </row>
    <row r="4688" spans="1:7" ht="12.75" x14ac:dyDescent="0.2">
      <c r="A4688" s="3"/>
      <c r="B4688" s="4" t="s">
        <v>61</v>
      </c>
      <c r="C4688" s="3" t="s">
        <v>161</v>
      </c>
      <c r="G4688" s="19"/>
    </row>
    <row r="4689" spans="1:7" ht="12.75" x14ac:dyDescent="0.2">
      <c r="A4689" s="3"/>
      <c r="B4689" s="4" t="s">
        <v>61</v>
      </c>
      <c r="C4689" s="3" t="s">
        <v>161</v>
      </c>
      <c r="G4689" s="19"/>
    </row>
    <row r="4690" spans="1:7" ht="12.75" x14ac:dyDescent="0.2">
      <c r="A4690" s="3"/>
      <c r="B4690" s="4" t="s">
        <v>61</v>
      </c>
      <c r="C4690" s="3" t="s">
        <v>161</v>
      </c>
      <c r="F4690">
        <f>SUM(E4686:E4694)</f>
        <v>0</v>
      </c>
      <c r="G4690" s="19"/>
    </row>
    <row r="4691" spans="1:7" ht="12.75" x14ac:dyDescent="0.2">
      <c r="A4691" s="3"/>
      <c r="B4691" s="4" t="s">
        <v>61</v>
      </c>
      <c r="C4691" s="3" t="s">
        <v>161</v>
      </c>
      <c r="G4691" s="19"/>
    </row>
    <row r="4692" spans="1:7" ht="12.75" x14ac:dyDescent="0.2">
      <c r="A4692" s="3"/>
      <c r="B4692" s="4" t="s">
        <v>61</v>
      </c>
      <c r="C4692" s="3" t="s">
        <v>161</v>
      </c>
      <c r="G4692" s="19"/>
    </row>
    <row r="4693" spans="1:7" ht="12.75" x14ac:dyDescent="0.2">
      <c r="A4693" s="3"/>
      <c r="B4693" s="4" t="s">
        <v>61</v>
      </c>
      <c r="C4693" s="3" t="s">
        <v>161</v>
      </c>
      <c r="G4693" s="19"/>
    </row>
    <row r="4694" spans="1:7" ht="12.75" x14ac:dyDescent="0.2">
      <c r="A4694" s="3"/>
      <c r="B4694" s="4" t="s">
        <v>61</v>
      </c>
      <c r="C4694" s="3" t="s">
        <v>161</v>
      </c>
      <c r="G4694" s="19"/>
    </row>
    <row r="4695" spans="1:7" ht="12.75" x14ac:dyDescent="0.2">
      <c r="A4695" s="3"/>
      <c r="B4695" s="4"/>
      <c r="G4695" s="19"/>
    </row>
    <row r="4696" spans="1:7" ht="12.75" x14ac:dyDescent="0.2">
      <c r="A4696" s="3"/>
      <c r="B4696" s="4"/>
      <c r="G4696" s="19"/>
    </row>
    <row r="4697" spans="1:7" ht="12.75" x14ac:dyDescent="0.2">
      <c r="A4697" s="3"/>
      <c r="B4697" s="4"/>
      <c r="G4697" s="19"/>
    </row>
    <row r="4698" spans="1:7" ht="12.75" x14ac:dyDescent="0.2">
      <c r="A4698" s="3"/>
      <c r="B4698" s="4"/>
      <c r="G4698" s="19"/>
    </row>
    <row r="4699" spans="1:7" ht="12.75" x14ac:dyDescent="0.2">
      <c r="A4699" s="3"/>
      <c r="B4699" s="4"/>
      <c r="G4699" s="19"/>
    </row>
    <row r="4700" spans="1:7" ht="12.75" x14ac:dyDescent="0.2">
      <c r="A4700" s="3"/>
      <c r="B4700" s="4"/>
      <c r="G4700" s="19"/>
    </row>
    <row r="4701" spans="1:7" ht="12.75" x14ac:dyDescent="0.2">
      <c r="A4701" s="3"/>
      <c r="B4701" s="4"/>
      <c r="G4701" s="19"/>
    </row>
    <row r="4702" spans="1:7" ht="12.75" x14ac:dyDescent="0.2">
      <c r="A4702" s="3"/>
      <c r="B4702" s="4"/>
      <c r="G4702" s="19"/>
    </row>
    <row r="4703" spans="1:7" ht="12.75" x14ac:dyDescent="0.2">
      <c r="A4703" s="3"/>
      <c r="B4703" s="4"/>
      <c r="G4703" s="19"/>
    </row>
    <row r="4704" spans="1:7" ht="12.75" x14ac:dyDescent="0.2">
      <c r="A4704" s="3"/>
      <c r="B4704" s="4"/>
      <c r="G4704" s="19"/>
    </row>
    <row r="4705" spans="1:7" ht="12.75" x14ac:dyDescent="0.2">
      <c r="A4705" s="3"/>
      <c r="B4705" s="4"/>
      <c r="G4705" s="19"/>
    </row>
    <row r="4706" spans="1:7" ht="12.75" x14ac:dyDescent="0.2">
      <c r="A4706" s="3"/>
      <c r="B4706" s="4"/>
      <c r="G4706" s="19"/>
    </row>
    <row r="4707" spans="1:7" ht="12.75" x14ac:dyDescent="0.2">
      <c r="A4707" s="3"/>
      <c r="B4707" s="4"/>
      <c r="G4707" s="19"/>
    </row>
    <row r="4708" spans="1:7" ht="12.75" x14ac:dyDescent="0.2">
      <c r="A4708" s="3"/>
      <c r="B4708" s="4"/>
      <c r="G4708" s="19"/>
    </row>
    <row r="4709" spans="1:7" ht="12.75" x14ac:dyDescent="0.2">
      <c r="A4709" s="3"/>
      <c r="B4709" s="4"/>
      <c r="G4709" s="19"/>
    </row>
    <row r="4710" spans="1:7" ht="12.75" x14ac:dyDescent="0.2">
      <c r="A4710" s="3"/>
      <c r="B4710" s="4"/>
      <c r="G4710" s="19"/>
    </row>
    <row r="4711" spans="1:7" ht="12.75" x14ac:dyDescent="0.2">
      <c r="A4711" s="3"/>
      <c r="B4711" s="4"/>
      <c r="G4711" s="19"/>
    </row>
    <row r="4712" spans="1:7" ht="12.75" x14ac:dyDescent="0.2">
      <c r="A4712" s="3"/>
      <c r="B4712" s="4"/>
      <c r="G4712" s="19"/>
    </row>
    <row r="4713" spans="1:7" ht="12.75" x14ac:dyDescent="0.2">
      <c r="A4713" s="3"/>
      <c r="B4713" s="4"/>
      <c r="G4713" s="19"/>
    </row>
    <row r="4714" spans="1:7" ht="12.75" x14ac:dyDescent="0.2">
      <c r="A4714" s="3"/>
      <c r="B4714" s="4"/>
      <c r="G4714" s="19"/>
    </row>
    <row r="4715" spans="1:7" ht="12.75" x14ac:dyDescent="0.2">
      <c r="A4715" s="3"/>
      <c r="B4715" s="4"/>
      <c r="G4715" s="19"/>
    </row>
    <row r="4716" spans="1:7" ht="12.75" x14ac:dyDescent="0.2">
      <c r="A4716" s="3"/>
      <c r="B4716" s="4"/>
      <c r="G4716" s="19"/>
    </row>
    <row r="4717" spans="1:7" ht="12.75" x14ac:dyDescent="0.2">
      <c r="A4717" s="3"/>
      <c r="B4717" s="4"/>
      <c r="G4717" s="19"/>
    </row>
    <row r="4718" spans="1:7" ht="12.75" x14ac:dyDescent="0.2">
      <c r="A4718" s="3"/>
      <c r="B4718" s="4"/>
      <c r="G4718" s="19"/>
    </row>
    <row r="4719" spans="1:7" ht="12.75" x14ac:dyDescent="0.2">
      <c r="A4719" s="3"/>
      <c r="B4719" s="4"/>
      <c r="G4719" s="19"/>
    </row>
    <row r="4720" spans="1:7" ht="12.75" x14ac:dyDescent="0.2">
      <c r="A4720" s="3"/>
      <c r="B4720" s="4"/>
      <c r="G4720" s="19"/>
    </row>
    <row r="4721" spans="1:7" ht="12.75" x14ac:dyDescent="0.2">
      <c r="A4721" s="3"/>
      <c r="B4721" s="4"/>
      <c r="G4721" s="19"/>
    </row>
    <row r="4722" spans="1:7" ht="12.75" x14ac:dyDescent="0.2">
      <c r="A4722" s="3"/>
      <c r="B4722" s="4"/>
      <c r="G4722" s="19"/>
    </row>
    <row r="4723" spans="1:7" ht="12.75" x14ac:dyDescent="0.2">
      <c r="A4723" s="3"/>
      <c r="B4723" s="4"/>
      <c r="G4723" s="19"/>
    </row>
    <row r="4724" spans="1:7" ht="12.75" x14ac:dyDescent="0.2">
      <c r="A4724" s="3"/>
      <c r="B4724" s="4"/>
      <c r="G4724" s="19"/>
    </row>
    <row r="4725" spans="1:7" ht="12.75" x14ac:dyDescent="0.2">
      <c r="A4725" s="3"/>
      <c r="B4725" s="4"/>
      <c r="G4725" s="19"/>
    </row>
    <row r="4726" spans="1:7" ht="12.75" x14ac:dyDescent="0.2">
      <c r="A4726" s="3"/>
      <c r="B4726" s="4"/>
      <c r="G4726" s="19"/>
    </row>
    <row r="4727" spans="1:7" ht="12.75" x14ac:dyDescent="0.2">
      <c r="A4727" s="3"/>
      <c r="B4727" s="4"/>
      <c r="G4727" s="19"/>
    </row>
    <row r="4728" spans="1:7" ht="12.75" x14ac:dyDescent="0.2">
      <c r="A4728" s="3"/>
      <c r="B4728" s="4"/>
      <c r="G4728" s="19"/>
    </row>
    <row r="4729" spans="1:7" ht="12.75" x14ac:dyDescent="0.2">
      <c r="A4729" s="3"/>
      <c r="B4729" s="4"/>
      <c r="G4729" s="19"/>
    </row>
    <row r="4730" spans="1:7" ht="12.75" x14ac:dyDescent="0.2">
      <c r="A4730" s="3"/>
      <c r="B4730" s="4"/>
      <c r="G4730" s="19"/>
    </row>
    <row r="4731" spans="1:7" ht="12.75" x14ac:dyDescent="0.2">
      <c r="A4731" s="3"/>
      <c r="B4731" s="4"/>
      <c r="G4731" s="19"/>
    </row>
    <row r="4732" spans="1:7" ht="12.75" x14ac:dyDescent="0.2">
      <c r="A4732" s="3"/>
      <c r="B4732" s="4"/>
      <c r="G4732" s="19"/>
    </row>
    <row r="4733" spans="1:7" ht="12.75" x14ac:dyDescent="0.2">
      <c r="A4733" s="3"/>
      <c r="B4733" s="4"/>
      <c r="G4733" s="19"/>
    </row>
    <row r="4734" spans="1:7" ht="12.75" x14ac:dyDescent="0.2">
      <c r="A4734" s="3"/>
      <c r="B4734" s="4"/>
      <c r="G4734" s="19"/>
    </row>
    <row r="4735" spans="1:7" ht="12.75" x14ac:dyDescent="0.2">
      <c r="A4735" s="3"/>
      <c r="B4735" s="4"/>
      <c r="G4735" s="19"/>
    </row>
    <row r="4736" spans="1:7" ht="12.75" x14ac:dyDescent="0.2">
      <c r="A4736" s="3"/>
      <c r="B4736" s="4"/>
      <c r="G4736" s="19"/>
    </row>
    <row r="4737" spans="1:7" ht="12.75" x14ac:dyDescent="0.2">
      <c r="A4737" s="3"/>
      <c r="B4737" s="4"/>
      <c r="G4737" s="19"/>
    </row>
    <row r="4738" spans="1:7" ht="12.75" x14ac:dyDescent="0.2">
      <c r="A4738" s="3"/>
      <c r="B4738" s="4"/>
      <c r="G4738" s="19"/>
    </row>
    <row r="4739" spans="1:7" ht="12.75" x14ac:dyDescent="0.2">
      <c r="A4739" s="3"/>
      <c r="B4739" s="4"/>
      <c r="G4739" s="19"/>
    </row>
    <row r="4740" spans="1:7" ht="12.75" x14ac:dyDescent="0.2">
      <c r="A4740" s="3"/>
      <c r="B4740" s="4"/>
      <c r="G4740" s="19"/>
    </row>
    <row r="4741" spans="1:7" ht="12.75" x14ac:dyDescent="0.2">
      <c r="A4741" s="3"/>
      <c r="B4741" s="4"/>
      <c r="G4741" s="19"/>
    </row>
    <row r="4742" spans="1:7" ht="12.75" x14ac:dyDescent="0.2">
      <c r="A4742" s="3"/>
      <c r="B4742" s="4"/>
      <c r="G4742" s="19"/>
    </row>
    <row r="4743" spans="1:7" ht="12.75" x14ac:dyDescent="0.2">
      <c r="A4743" s="3"/>
      <c r="B4743" s="4"/>
      <c r="G4743" s="19"/>
    </row>
    <row r="4744" spans="1:7" ht="12.75" x14ac:dyDescent="0.2">
      <c r="A4744" s="3"/>
      <c r="B4744" s="4"/>
      <c r="G4744" s="19"/>
    </row>
    <row r="4745" spans="1:7" ht="12.75" x14ac:dyDescent="0.2">
      <c r="A4745" s="3"/>
      <c r="B4745" s="4"/>
      <c r="G4745" s="19"/>
    </row>
    <row r="4746" spans="1:7" ht="12.75" x14ac:dyDescent="0.2">
      <c r="A4746" s="3"/>
      <c r="B4746" s="4"/>
      <c r="G4746" s="19"/>
    </row>
    <row r="4747" spans="1:7" ht="12.75" x14ac:dyDescent="0.2">
      <c r="A4747" s="3"/>
      <c r="B4747" s="4"/>
      <c r="G4747" s="19"/>
    </row>
    <row r="4748" spans="1:7" ht="12.75" x14ac:dyDescent="0.2">
      <c r="A4748" s="3"/>
      <c r="B4748" s="4"/>
      <c r="G4748" s="19"/>
    </row>
    <row r="4749" spans="1:7" ht="12.75" x14ac:dyDescent="0.2">
      <c r="A4749" s="3"/>
      <c r="B4749" s="4"/>
      <c r="G4749" s="19"/>
    </row>
    <row r="4750" spans="1:7" ht="12.75" x14ac:dyDescent="0.2">
      <c r="A4750" s="3"/>
      <c r="B4750" s="4"/>
      <c r="G4750" s="19"/>
    </row>
    <row r="4751" spans="1:7" ht="12.75" x14ac:dyDescent="0.2">
      <c r="A4751" s="3"/>
      <c r="B4751" s="4"/>
      <c r="G4751" s="19"/>
    </row>
    <row r="4752" spans="1:7" ht="12.75" x14ac:dyDescent="0.2">
      <c r="A4752" s="3"/>
      <c r="B4752" s="4"/>
      <c r="G4752" s="19"/>
    </row>
    <row r="4753" spans="1:7" ht="12.75" x14ac:dyDescent="0.2">
      <c r="A4753" s="3"/>
      <c r="B4753" s="4"/>
      <c r="G4753" s="19"/>
    </row>
    <row r="4754" spans="1:7" ht="12.75" x14ac:dyDescent="0.2">
      <c r="A4754" s="3"/>
      <c r="B4754" s="4"/>
      <c r="G4754" s="19"/>
    </row>
    <row r="4755" spans="1:7" ht="12.75" x14ac:dyDescent="0.2">
      <c r="A4755" s="3"/>
      <c r="B4755" s="4"/>
      <c r="G4755" s="19"/>
    </row>
    <row r="4756" spans="1:7" ht="12.75" x14ac:dyDescent="0.2">
      <c r="A4756" s="3"/>
      <c r="B4756" s="4"/>
      <c r="G4756" s="19"/>
    </row>
    <row r="4757" spans="1:7" ht="12.75" x14ac:dyDescent="0.2">
      <c r="A4757" s="3"/>
      <c r="B4757" s="4"/>
      <c r="G4757" s="19"/>
    </row>
    <row r="4758" spans="1:7" ht="12.75" x14ac:dyDescent="0.2">
      <c r="A4758" s="3"/>
      <c r="B4758" s="4"/>
      <c r="G4758" s="19"/>
    </row>
    <row r="4759" spans="1:7" ht="12.75" x14ac:dyDescent="0.2">
      <c r="A4759" s="3"/>
      <c r="B4759" s="4"/>
      <c r="G4759" s="19"/>
    </row>
    <row r="4760" spans="1:7" ht="12.75" x14ac:dyDescent="0.2">
      <c r="A4760" s="3"/>
      <c r="B4760" s="4"/>
      <c r="G4760" s="19"/>
    </row>
    <row r="4761" spans="1:7" ht="12.75" x14ac:dyDescent="0.2">
      <c r="A4761" s="3"/>
      <c r="B4761" s="4"/>
      <c r="G4761" s="19"/>
    </row>
    <row r="4762" spans="1:7" ht="12.75" x14ac:dyDescent="0.2">
      <c r="A4762" s="3"/>
      <c r="B4762" s="4"/>
      <c r="G4762" s="19"/>
    </row>
    <row r="4763" spans="1:7" ht="12.75" x14ac:dyDescent="0.2">
      <c r="A4763" s="3"/>
      <c r="B4763" s="4"/>
      <c r="G4763" s="19"/>
    </row>
    <row r="4764" spans="1:7" ht="12.75" x14ac:dyDescent="0.2">
      <c r="A4764" s="3"/>
      <c r="B4764" s="4"/>
      <c r="G4764" s="19"/>
    </row>
    <row r="4765" spans="1:7" ht="12.75" x14ac:dyDescent="0.2">
      <c r="A4765" s="3"/>
      <c r="B4765" s="4"/>
      <c r="G4765" s="19"/>
    </row>
    <row r="4766" spans="1:7" ht="12.75" x14ac:dyDescent="0.2">
      <c r="A4766" s="3"/>
      <c r="B4766" s="4"/>
      <c r="G4766" s="19"/>
    </row>
    <row r="4767" spans="1:7" ht="12.75" x14ac:dyDescent="0.2">
      <c r="A4767" s="3"/>
      <c r="B4767" s="4"/>
      <c r="G4767" s="19"/>
    </row>
    <row r="4768" spans="1:7" ht="12.75" x14ac:dyDescent="0.2">
      <c r="A4768" s="3"/>
      <c r="B4768" s="4"/>
      <c r="G4768" s="19"/>
    </row>
    <row r="4769" spans="1:7" ht="12.75" x14ac:dyDescent="0.2">
      <c r="A4769" s="3"/>
      <c r="B4769" s="4"/>
      <c r="G4769" s="19"/>
    </row>
    <row r="4770" spans="1:7" ht="12.75" x14ac:dyDescent="0.2">
      <c r="A4770" s="3"/>
      <c r="B4770" s="4"/>
      <c r="G4770" s="19"/>
    </row>
    <row r="4771" spans="1:7" ht="12.75" x14ac:dyDescent="0.2">
      <c r="A4771" s="3"/>
      <c r="B4771" s="4"/>
      <c r="G4771" s="19"/>
    </row>
    <row r="4772" spans="1:7" ht="12.75" x14ac:dyDescent="0.2">
      <c r="A4772" s="3"/>
      <c r="B4772" s="4"/>
      <c r="G4772" s="19"/>
    </row>
    <row r="4773" spans="1:7" ht="12.75" x14ac:dyDescent="0.2">
      <c r="A4773" s="3"/>
      <c r="B4773" s="4"/>
      <c r="G4773" s="19"/>
    </row>
    <row r="4774" spans="1:7" ht="12.75" x14ac:dyDescent="0.2">
      <c r="A4774" s="3"/>
      <c r="B4774" s="4"/>
      <c r="G4774" s="19"/>
    </row>
    <row r="4775" spans="1:7" ht="12.75" x14ac:dyDescent="0.2">
      <c r="A4775" s="3"/>
      <c r="B4775" s="4"/>
      <c r="G4775" s="19"/>
    </row>
    <row r="4776" spans="1:7" ht="12.75" x14ac:dyDescent="0.2">
      <c r="A4776" s="3"/>
      <c r="B4776" s="4"/>
      <c r="G4776" s="19"/>
    </row>
    <row r="4777" spans="1:7" ht="12.75" x14ac:dyDescent="0.2">
      <c r="A4777" s="3"/>
      <c r="B4777" s="4"/>
      <c r="G4777" s="19"/>
    </row>
    <row r="4778" spans="1:7" ht="12.75" x14ac:dyDescent="0.2">
      <c r="A4778" s="3"/>
      <c r="B4778" s="4"/>
      <c r="G4778" s="19"/>
    </row>
    <row r="4779" spans="1:7" ht="12.75" x14ac:dyDescent="0.2">
      <c r="A4779" s="3"/>
      <c r="B4779" s="4"/>
      <c r="G4779" s="19"/>
    </row>
    <row r="4780" spans="1:7" ht="12.75" x14ac:dyDescent="0.2">
      <c r="A4780" s="3"/>
      <c r="B4780" s="4"/>
      <c r="G4780" s="19"/>
    </row>
    <row r="4781" spans="1:7" ht="12.75" x14ac:dyDescent="0.2">
      <c r="A4781" s="3"/>
      <c r="B4781" s="4"/>
      <c r="G4781" s="19"/>
    </row>
    <row r="4782" spans="1:7" ht="12.75" x14ac:dyDescent="0.2">
      <c r="A4782" s="3"/>
      <c r="B4782" s="4"/>
      <c r="G4782" s="19"/>
    </row>
    <row r="4783" spans="1:7" ht="12.75" x14ac:dyDescent="0.2">
      <c r="A4783" s="3"/>
      <c r="B4783" s="4"/>
      <c r="G4783" s="19"/>
    </row>
    <row r="4784" spans="1:7" ht="12.75" x14ac:dyDescent="0.2">
      <c r="A4784" s="3"/>
      <c r="B4784" s="4"/>
      <c r="G4784" s="19"/>
    </row>
    <row r="4785" spans="1:7" ht="12.75" x14ac:dyDescent="0.2">
      <c r="A4785" s="3"/>
      <c r="B4785" s="4"/>
      <c r="G4785" s="19"/>
    </row>
    <row r="4786" spans="1:7" ht="12.75" x14ac:dyDescent="0.2">
      <c r="A4786" s="3"/>
      <c r="B4786" s="4"/>
      <c r="G4786" s="19"/>
    </row>
    <row r="4787" spans="1:7" ht="12.75" x14ac:dyDescent="0.2">
      <c r="A4787" s="3"/>
      <c r="B4787" s="4"/>
      <c r="G4787" s="19"/>
    </row>
    <row r="4788" spans="1:7" ht="12.75" x14ac:dyDescent="0.2">
      <c r="A4788" s="3"/>
      <c r="B4788" s="4"/>
      <c r="G4788" s="19"/>
    </row>
    <row r="4789" spans="1:7" ht="12.75" x14ac:dyDescent="0.2">
      <c r="A4789" s="3"/>
      <c r="B4789" s="4"/>
      <c r="G4789" s="19"/>
    </row>
    <row r="4790" spans="1:7" ht="12.75" x14ac:dyDescent="0.2">
      <c r="A4790" s="3"/>
      <c r="B4790" s="4"/>
      <c r="G4790" s="19"/>
    </row>
    <row r="4791" spans="1:7" ht="12.75" x14ac:dyDescent="0.2">
      <c r="A4791" s="3"/>
      <c r="B4791" s="4"/>
      <c r="G4791" s="19"/>
    </row>
    <row r="4792" spans="1:7" ht="12.75" x14ac:dyDescent="0.2">
      <c r="A4792" s="3"/>
      <c r="B4792" s="4"/>
      <c r="G4792" s="19"/>
    </row>
    <row r="4793" spans="1:7" ht="12.75" x14ac:dyDescent="0.2">
      <c r="A4793" s="3"/>
      <c r="B4793" s="4"/>
      <c r="G4793" s="19"/>
    </row>
    <row r="4794" spans="1:7" ht="12.75" x14ac:dyDescent="0.2">
      <c r="A4794" s="3"/>
      <c r="B4794" s="4"/>
      <c r="G4794" s="19"/>
    </row>
    <row r="4795" spans="1:7" ht="12.75" x14ac:dyDescent="0.2">
      <c r="A4795" s="3"/>
      <c r="B4795" s="4"/>
      <c r="G4795" s="19"/>
    </row>
    <row r="4796" spans="1:7" ht="12.75" x14ac:dyDescent="0.2">
      <c r="A4796" s="3"/>
      <c r="B4796" s="4"/>
      <c r="G4796" s="19"/>
    </row>
    <row r="4797" spans="1:7" ht="12.75" x14ac:dyDescent="0.2">
      <c r="A4797" s="3"/>
      <c r="B4797" s="4"/>
      <c r="G4797" s="19"/>
    </row>
    <row r="4798" spans="1:7" ht="12.75" x14ac:dyDescent="0.2">
      <c r="A4798" s="3"/>
      <c r="B4798" s="4"/>
      <c r="G4798" s="19"/>
    </row>
    <row r="4799" spans="1:7" ht="12.75" x14ac:dyDescent="0.2">
      <c r="A4799" s="3"/>
      <c r="B4799" s="4"/>
      <c r="G4799" s="19"/>
    </row>
    <row r="4800" spans="1:7" ht="12.75" x14ac:dyDescent="0.2">
      <c r="A4800" s="3"/>
      <c r="B4800" s="4"/>
      <c r="G4800" s="19"/>
    </row>
    <row r="4801" spans="1:7" ht="12.75" x14ac:dyDescent="0.2">
      <c r="A4801" s="3"/>
      <c r="B4801" s="4"/>
      <c r="G4801" s="19"/>
    </row>
    <row r="4802" spans="1:7" ht="12.75" x14ac:dyDescent="0.2">
      <c r="A4802" s="3"/>
      <c r="B4802" s="4"/>
      <c r="G4802" s="19"/>
    </row>
    <row r="4803" spans="1:7" ht="12.75" x14ac:dyDescent="0.2">
      <c r="A4803" s="3"/>
      <c r="B4803" s="4"/>
      <c r="G4803" s="19"/>
    </row>
    <row r="4804" spans="1:7" ht="12.75" x14ac:dyDescent="0.2">
      <c r="A4804" s="3"/>
      <c r="B4804" s="4"/>
      <c r="G4804" s="19"/>
    </row>
    <row r="4805" spans="1:7" ht="12.75" x14ac:dyDescent="0.2">
      <c r="A4805" s="3"/>
      <c r="B4805" s="4"/>
      <c r="G4805" s="19"/>
    </row>
    <row r="4806" spans="1:7" ht="12.75" x14ac:dyDescent="0.2">
      <c r="A4806" s="3"/>
      <c r="B4806" s="4"/>
      <c r="G4806" s="19"/>
    </row>
    <row r="4807" spans="1:7" ht="12.75" x14ac:dyDescent="0.2">
      <c r="A4807" s="3"/>
      <c r="B4807" s="4"/>
      <c r="G4807" s="19"/>
    </row>
    <row r="4808" spans="1:7" ht="12.75" x14ac:dyDescent="0.2">
      <c r="A4808" s="3"/>
      <c r="B4808" s="4"/>
      <c r="G4808" s="19"/>
    </row>
    <row r="4809" spans="1:7" ht="12.75" x14ac:dyDescent="0.2">
      <c r="A4809" s="3"/>
      <c r="B4809" s="4"/>
      <c r="G4809" s="19"/>
    </row>
    <row r="4810" spans="1:7" ht="12.75" x14ac:dyDescent="0.2">
      <c r="A4810" s="3"/>
      <c r="B4810" s="4"/>
      <c r="G4810" s="19"/>
    </row>
    <row r="4811" spans="1:7" ht="12.75" x14ac:dyDescent="0.2">
      <c r="A4811" s="3"/>
      <c r="B4811" s="4"/>
      <c r="G4811" s="19"/>
    </row>
    <row r="4812" spans="1:7" ht="12.75" x14ac:dyDescent="0.2">
      <c r="A4812" s="3"/>
      <c r="B4812" s="4"/>
      <c r="G4812" s="19"/>
    </row>
    <row r="4813" spans="1:7" ht="12.75" x14ac:dyDescent="0.2">
      <c r="A4813" s="3"/>
      <c r="B4813" s="4"/>
      <c r="G4813" s="19"/>
    </row>
    <row r="4814" spans="1:7" ht="12.75" x14ac:dyDescent="0.2">
      <c r="A4814" s="3"/>
      <c r="B4814" s="4"/>
      <c r="G4814" s="19"/>
    </row>
    <row r="4815" spans="1:7" ht="12.75" x14ac:dyDescent="0.2">
      <c r="A4815" s="3"/>
      <c r="B4815" s="4"/>
      <c r="G4815" s="19"/>
    </row>
    <row r="4816" spans="1:7" ht="12.75" x14ac:dyDescent="0.2">
      <c r="A4816" s="3"/>
      <c r="B4816" s="4"/>
      <c r="G4816" s="19"/>
    </row>
    <row r="4817" spans="1:7" ht="12.75" x14ac:dyDescent="0.2">
      <c r="A4817" s="3"/>
      <c r="B4817" s="4"/>
      <c r="G4817" s="19"/>
    </row>
    <row r="4818" spans="1:7" ht="12.75" x14ac:dyDescent="0.2">
      <c r="A4818" s="3"/>
      <c r="B4818" s="4"/>
      <c r="G4818" s="19"/>
    </row>
    <row r="4819" spans="1:7" ht="12.75" x14ac:dyDescent="0.2">
      <c r="A4819" s="3"/>
      <c r="B4819" s="4"/>
      <c r="G4819" s="19"/>
    </row>
    <row r="4820" spans="1:7" ht="12.75" x14ac:dyDescent="0.2">
      <c r="A4820" s="3"/>
      <c r="B4820" s="4"/>
      <c r="G4820" s="19"/>
    </row>
    <row r="4821" spans="1:7" ht="12.75" x14ac:dyDescent="0.2">
      <c r="A4821" s="3"/>
      <c r="B4821" s="4"/>
      <c r="G4821" s="19"/>
    </row>
    <row r="4822" spans="1:7" ht="12.75" x14ac:dyDescent="0.2">
      <c r="A4822" s="3"/>
      <c r="B4822" s="4"/>
      <c r="G4822" s="19"/>
    </row>
    <row r="4823" spans="1:7" ht="12.75" x14ac:dyDescent="0.2">
      <c r="A4823" s="3"/>
      <c r="B4823" s="4"/>
      <c r="G4823" s="19"/>
    </row>
    <row r="4824" spans="1:7" ht="12.75" x14ac:dyDescent="0.2">
      <c r="A4824" s="3"/>
      <c r="B4824" s="4"/>
      <c r="G4824" s="19"/>
    </row>
    <row r="4825" spans="1:7" ht="12.75" x14ac:dyDescent="0.2">
      <c r="A4825" s="3"/>
      <c r="B4825" s="4"/>
      <c r="G4825" s="19"/>
    </row>
    <row r="4826" spans="1:7" ht="12.75" x14ac:dyDescent="0.2">
      <c r="A4826" s="3"/>
      <c r="B4826" s="4"/>
      <c r="G4826" s="19"/>
    </row>
    <row r="4827" spans="1:7" ht="12.75" x14ac:dyDescent="0.2">
      <c r="A4827" s="3"/>
      <c r="B4827" s="4"/>
      <c r="G4827" s="19"/>
    </row>
    <row r="4828" spans="1:7" ht="12.75" x14ac:dyDescent="0.2">
      <c r="A4828" s="3"/>
      <c r="B4828" s="4"/>
      <c r="G4828" s="19"/>
    </row>
    <row r="4829" spans="1:7" ht="12.75" x14ac:dyDescent="0.2">
      <c r="A4829" s="3"/>
      <c r="B4829" s="4"/>
      <c r="G4829" s="19"/>
    </row>
    <row r="4830" spans="1:7" ht="12.75" x14ac:dyDescent="0.2">
      <c r="A4830" s="3"/>
      <c r="B4830" s="4"/>
      <c r="G4830" s="19"/>
    </row>
    <row r="4831" spans="1:7" ht="12.75" x14ac:dyDescent="0.2">
      <c r="A4831" s="3"/>
      <c r="B4831" s="4"/>
      <c r="G4831" s="19"/>
    </row>
    <row r="4832" spans="1:7" ht="12.75" x14ac:dyDescent="0.2">
      <c r="A4832" s="3"/>
      <c r="B4832" s="4"/>
      <c r="G4832" s="19"/>
    </row>
    <row r="4833" spans="1:7" ht="12.75" x14ac:dyDescent="0.2">
      <c r="A4833" s="3"/>
      <c r="B4833" s="4"/>
      <c r="G4833" s="19"/>
    </row>
    <row r="4834" spans="1:7" ht="12.75" x14ac:dyDescent="0.2">
      <c r="A4834" s="3"/>
      <c r="B4834" s="4"/>
      <c r="G4834" s="19"/>
    </row>
    <row r="4835" spans="1:7" ht="12.75" x14ac:dyDescent="0.2">
      <c r="A4835" s="3"/>
      <c r="B4835" s="4"/>
      <c r="G4835" s="19"/>
    </row>
    <row r="4836" spans="1:7" ht="12.75" x14ac:dyDescent="0.2">
      <c r="A4836" s="3"/>
      <c r="B4836" s="4"/>
      <c r="G4836" s="19"/>
    </row>
    <row r="4837" spans="1:7" ht="12.75" x14ac:dyDescent="0.2">
      <c r="A4837" s="3"/>
      <c r="B4837" s="4"/>
      <c r="G4837" s="19"/>
    </row>
    <row r="4838" spans="1:7" ht="12.75" x14ac:dyDescent="0.2">
      <c r="A4838" s="3"/>
      <c r="B4838" s="4"/>
      <c r="G4838" s="19"/>
    </row>
    <row r="4839" spans="1:7" ht="12.75" x14ac:dyDescent="0.2">
      <c r="A4839" s="3"/>
      <c r="B4839" s="4"/>
      <c r="G4839" s="19"/>
    </row>
    <row r="4840" spans="1:7" ht="12.75" x14ac:dyDescent="0.2">
      <c r="A4840" s="3"/>
      <c r="B4840" s="4"/>
      <c r="G4840" s="19"/>
    </row>
    <row r="4841" spans="1:7" ht="12.75" x14ac:dyDescent="0.2">
      <c r="A4841" s="3"/>
      <c r="B4841" s="4"/>
      <c r="G4841" s="19"/>
    </row>
    <row r="4842" spans="1:7" ht="12.75" x14ac:dyDescent="0.2">
      <c r="A4842" s="3"/>
      <c r="B4842" s="4"/>
      <c r="G4842" s="19"/>
    </row>
    <row r="4843" spans="1:7" ht="12.75" x14ac:dyDescent="0.2">
      <c r="A4843" s="3"/>
      <c r="B4843" s="4"/>
      <c r="G4843" s="19"/>
    </row>
    <row r="4844" spans="1:7" ht="12.75" x14ac:dyDescent="0.2">
      <c r="A4844" s="3"/>
      <c r="B4844" s="4"/>
      <c r="G4844" s="19"/>
    </row>
    <row r="4845" spans="1:7" ht="12.75" x14ac:dyDescent="0.2">
      <c r="A4845" s="3"/>
      <c r="B4845" s="4"/>
      <c r="G4845" s="19"/>
    </row>
    <row r="4846" spans="1:7" ht="12.75" x14ac:dyDescent="0.2">
      <c r="A4846" s="3"/>
      <c r="B4846" s="4"/>
      <c r="G4846" s="19"/>
    </row>
    <row r="4847" spans="1:7" ht="12.75" x14ac:dyDescent="0.2">
      <c r="A4847" s="3"/>
      <c r="B4847" s="4"/>
      <c r="G4847" s="19"/>
    </row>
    <row r="4848" spans="1:7" ht="12.75" x14ac:dyDescent="0.2">
      <c r="A4848" s="3"/>
      <c r="B4848" s="4"/>
      <c r="G4848" s="19"/>
    </row>
    <row r="4849" spans="1:7" ht="12.75" x14ac:dyDescent="0.2">
      <c r="A4849" s="3"/>
      <c r="B4849" s="4"/>
      <c r="G4849" s="19"/>
    </row>
    <row r="4850" spans="1:7" ht="12.75" x14ac:dyDescent="0.2">
      <c r="A4850" s="3"/>
      <c r="B4850" s="4"/>
      <c r="G4850" s="19"/>
    </row>
    <row r="4851" spans="1:7" ht="12.75" x14ac:dyDescent="0.2">
      <c r="A4851" s="3"/>
      <c r="B4851" s="4"/>
      <c r="G4851" s="19"/>
    </row>
    <row r="4852" spans="1:7" ht="12.75" x14ac:dyDescent="0.2">
      <c r="A4852" s="3"/>
      <c r="B4852" s="4"/>
      <c r="G4852" s="19"/>
    </row>
    <row r="4853" spans="1:7" ht="12.75" x14ac:dyDescent="0.2">
      <c r="A4853" s="3"/>
      <c r="B4853" s="4"/>
      <c r="G4853" s="19"/>
    </row>
    <row r="4854" spans="1:7" ht="12.75" x14ac:dyDescent="0.2">
      <c r="A4854" s="3"/>
      <c r="B4854" s="4"/>
      <c r="G4854" s="19"/>
    </row>
    <row r="4855" spans="1:7" ht="12.75" x14ac:dyDescent="0.2">
      <c r="A4855" s="3"/>
      <c r="B4855" s="4"/>
      <c r="G4855" s="19"/>
    </row>
    <row r="4856" spans="1:7" ht="12.75" x14ac:dyDescent="0.2">
      <c r="A4856" s="3"/>
      <c r="B4856" s="4"/>
      <c r="G4856" s="19"/>
    </row>
    <row r="4857" spans="1:7" ht="12.75" x14ac:dyDescent="0.2">
      <c r="A4857" s="3"/>
      <c r="B4857" s="4"/>
      <c r="G4857" s="19"/>
    </row>
    <row r="4858" spans="1:7" ht="12.75" x14ac:dyDescent="0.2">
      <c r="A4858" s="3"/>
      <c r="B4858" s="4"/>
      <c r="G4858" s="19"/>
    </row>
    <row r="4859" spans="1:7" ht="12.75" x14ac:dyDescent="0.2">
      <c r="A4859" s="3"/>
      <c r="B4859" s="4"/>
      <c r="G4859" s="19"/>
    </row>
    <row r="4860" spans="1:7" ht="12.75" x14ac:dyDescent="0.2">
      <c r="A4860" s="3"/>
      <c r="B4860" s="4"/>
      <c r="G4860" s="19"/>
    </row>
    <row r="4861" spans="1:7" ht="12.75" x14ac:dyDescent="0.2">
      <c r="A4861" s="3"/>
      <c r="B4861" s="4"/>
      <c r="G4861" s="19"/>
    </row>
    <row r="4862" spans="1:7" ht="12.75" x14ac:dyDescent="0.2">
      <c r="A4862" s="3"/>
      <c r="B4862" s="4"/>
      <c r="G4862" s="19"/>
    </row>
    <row r="4863" spans="1:7" ht="12.75" x14ac:dyDescent="0.2">
      <c r="A4863" s="3"/>
      <c r="B4863" s="4"/>
      <c r="G4863" s="19"/>
    </row>
    <row r="4864" spans="1:7" ht="12.75" x14ac:dyDescent="0.2">
      <c r="A4864" s="3"/>
      <c r="B4864" s="4"/>
      <c r="G4864" s="19"/>
    </row>
    <row r="4865" spans="1:7" ht="12.75" x14ac:dyDescent="0.2">
      <c r="A4865" s="3"/>
      <c r="B4865" s="4"/>
      <c r="G4865" s="19"/>
    </row>
    <row r="4866" spans="1:7" ht="12.75" x14ac:dyDescent="0.2">
      <c r="A4866" s="3"/>
      <c r="B4866" s="4"/>
      <c r="G4866" s="19"/>
    </row>
    <row r="4867" spans="1:7" ht="12.75" x14ac:dyDescent="0.2">
      <c r="A4867" s="3"/>
      <c r="B4867" s="4"/>
      <c r="G4867" s="19"/>
    </row>
    <row r="4868" spans="1:7" ht="12.75" x14ac:dyDescent="0.2">
      <c r="A4868" s="3"/>
      <c r="B4868" s="4"/>
      <c r="G4868" s="19"/>
    </row>
    <row r="4869" spans="1:7" ht="12.75" x14ac:dyDescent="0.2">
      <c r="A4869" s="3"/>
      <c r="B4869" s="4"/>
      <c r="G4869" s="19"/>
    </row>
    <row r="4870" spans="1:7" ht="12.75" x14ac:dyDescent="0.2">
      <c r="A4870" s="3"/>
      <c r="B4870" s="4"/>
      <c r="G4870" s="19"/>
    </row>
    <row r="4871" spans="1:7" ht="12.75" x14ac:dyDescent="0.2">
      <c r="A4871" s="3"/>
      <c r="B4871" s="4"/>
      <c r="G4871" s="19"/>
    </row>
    <row r="4872" spans="1:7" ht="12.75" x14ac:dyDescent="0.2">
      <c r="A4872" s="3"/>
      <c r="B4872" s="4"/>
      <c r="G4872" s="19"/>
    </row>
    <row r="4873" spans="1:7" ht="12.75" x14ac:dyDescent="0.2">
      <c r="A4873" s="3"/>
      <c r="B4873" s="4"/>
      <c r="G4873" s="19"/>
    </row>
    <row r="4874" spans="1:7" ht="12.75" x14ac:dyDescent="0.2">
      <c r="A4874" s="3"/>
      <c r="B4874" s="4"/>
      <c r="G4874" s="19"/>
    </row>
    <row r="4875" spans="1:7" ht="12.75" x14ac:dyDescent="0.2">
      <c r="A4875" s="3"/>
      <c r="B4875" s="4"/>
      <c r="G4875" s="19"/>
    </row>
    <row r="4876" spans="1:7" ht="12.75" x14ac:dyDescent="0.2">
      <c r="A4876" s="3"/>
      <c r="B4876" s="4"/>
      <c r="G4876" s="19"/>
    </row>
    <row r="4877" spans="1:7" ht="12.75" x14ac:dyDescent="0.2">
      <c r="A4877" s="3"/>
      <c r="B4877" s="4"/>
      <c r="G4877" s="19"/>
    </row>
    <row r="4878" spans="1:7" ht="12.75" x14ac:dyDescent="0.2">
      <c r="A4878" s="3"/>
      <c r="B4878" s="4"/>
      <c r="G4878" s="19"/>
    </row>
    <row r="4879" spans="1:7" ht="12.75" x14ac:dyDescent="0.2">
      <c r="A4879" s="3"/>
      <c r="B4879" s="4"/>
      <c r="G4879" s="19"/>
    </row>
    <row r="4880" spans="1:7" ht="12.75" x14ac:dyDescent="0.2">
      <c r="A4880" s="3"/>
      <c r="B4880" s="4"/>
      <c r="G4880" s="19"/>
    </row>
    <row r="4881" spans="1:7" ht="12.75" x14ac:dyDescent="0.2">
      <c r="A4881" s="3"/>
      <c r="B4881" s="4"/>
      <c r="G4881" s="19"/>
    </row>
    <row r="4882" spans="1:7" ht="12.75" x14ac:dyDescent="0.2">
      <c r="A4882" s="3"/>
      <c r="B4882" s="4"/>
      <c r="G4882" s="19"/>
    </row>
    <row r="4883" spans="1:7" ht="12.75" x14ac:dyDescent="0.2">
      <c r="A4883" s="3"/>
      <c r="B4883" s="4"/>
      <c r="G4883" s="19"/>
    </row>
    <row r="4884" spans="1:7" ht="12.75" x14ac:dyDescent="0.2">
      <c r="A4884" s="3"/>
      <c r="B4884" s="4"/>
      <c r="G4884" s="19"/>
    </row>
    <row r="4885" spans="1:7" ht="12.75" x14ac:dyDescent="0.2">
      <c r="A4885" s="3"/>
      <c r="B4885" s="4"/>
      <c r="G4885" s="19"/>
    </row>
    <row r="4886" spans="1:7" ht="12.75" x14ac:dyDescent="0.2">
      <c r="A4886" s="3"/>
      <c r="B4886" s="4"/>
      <c r="G4886" s="19"/>
    </row>
    <row r="4887" spans="1:7" ht="12.75" x14ac:dyDescent="0.2">
      <c r="A4887" s="3"/>
      <c r="B4887" s="4"/>
      <c r="G4887" s="19"/>
    </row>
    <row r="4888" spans="1:7" ht="12.75" x14ac:dyDescent="0.2">
      <c r="A4888" s="3"/>
      <c r="B4888" s="4"/>
      <c r="G4888" s="19"/>
    </row>
    <row r="4889" spans="1:7" ht="12.75" x14ac:dyDescent="0.2">
      <c r="A4889" s="3"/>
      <c r="B4889" s="4"/>
      <c r="G4889" s="19"/>
    </row>
    <row r="4890" spans="1:7" ht="12.75" x14ac:dyDescent="0.2">
      <c r="A4890" s="3"/>
      <c r="B4890" s="4"/>
      <c r="G4890" s="19"/>
    </row>
    <row r="4891" spans="1:7" ht="12.75" x14ac:dyDescent="0.2">
      <c r="A4891" s="3"/>
      <c r="B4891" s="4"/>
      <c r="G4891" s="19"/>
    </row>
    <row r="4892" spans="1:7" ht="12.75" x14ac:dyDescent="0.2">
      <c r="A4892" s="3"/>
      <c r="B4892" s="4"/>
      <c r="G4892" s="19"/>
    </row>
    <row r="4893" spans="1:7" ht="12.75" x14ac:dyDescent="0.2">
      <c r="A4893" s="3"/>
      <c r="B4893" s="4"/>
      <c r="G4893" s="19"/>
    </row>
    <row r="4894" spans="1:7" ht="12.75" x14ac:dyDescent="0.2">
      <c r="A4894" s="3"/>
      <c r="B4894" s="4"/>
      <c r="G4894" s="19"/>
    </row>
    <row r="4895" spans="1:7" ht="12.75" x14ac:dyDescent="0.2">
      <c r="A4895" s="3"/>
      <c r="B4895" s="4"/>
      <c r="G4895" s="19"/>
    </row>
    <row r="4896" spans="1:7" ht="12.75" x14ac:dyDescent="0.2">
      <c r="A4896" s="3"/>
      <c r="B4896" s="4"/>
      <c r="G4896" s="19"/>
    </row>
    <row r="4897" spans="1:7" ht="12.75" x14ac:dyDescent="0.2">
      <c r="A4897" s="3"/>
      <c r="B4897" s="4"/>
      <c r="G4897" s="19"/>
    </row>
    <row r="4898" spans="1:7" ht="12.75" x14ac:dyDescent="0.2">
      <c r="A4898" s="3"/>
      <c r="B4898" s="4"/>
      <c r="G4898" s="19"/>
    </row>
    <row r="4899" spans="1:7" ht="12.75" x14ac:dyDescent="0.2">
      <c r="A4899" s="3"/>
      <c r="B4899" s="4"/>
      <c r="G4899" s="19"/>
    </row>
    <row r="4900" spans="1:7" ht="12.75" x14ac:dyDescent="0.2">
      <c r="A4900" s="3"/>
      <c r="B4900" s="4"/>
      <c r="G4900" s="19"/>
    </row>
    <row r="4901" spans="1:7" ht="12.75" x14ac:dyDescent="0.2">
      <c r="A4901" s="3"/>
      <c r="B4901" s="4"/>
      <c r="G4901" s="19"/>
    </row>
    <row r="4902" spans="1:7" ht="12.75" x14ac:dyDescent="0.2">
      <c r="A4902" s="3"/>
      <c r="B4902" s="4"/>
      <c r="G4902" s="19"/>
    </row>
    <row r="4903" spans="1:7" ht="12.75" x14ac:dyDescent="0.2">
      <c r="A4903" s="3"/>
      <c r="B4903" s="4"/>
      <c r="G4903" s="19"/>
    </row>
    <row r="4904" spans="1:7" ht="12.75" x14ac:dyDescent="0.2">
      <c r="A4904" s="3"/>
      <c r="B4904" s="4"/>
      <c r="G4904" s="19"/>
    </row>
    <row r="4905" spans="1:7" ht="12.75" x14ac:dyDescent="0.2">
      <c r="A4905" s="3"/>
      <c r="B4905" s="4"/>
      <c r="G4905" s="19"/>
    </row>
    <row r="4906" spans="1:7" ht="12.75" x14ac:dyDescent="0.2">
      <c r="A4906" s="3"/>
      <c r="B4906" s="4"/>
      <c r="G4906" s="19"/>
    </row>
    <row r="4907" spans="1:7" ht="12.75" x14ac:dyDescent="0.2">
      <c r="A4907" s="3"/>
      <c r="B4907" s="4"/>
      <c r="G4907" s="19"/>
    </row>
    <row r="4908" spans="1:7" ht="12.75" x14ac:dyDescent="0.2">
      <c r="A4908" s="3"/>
      <c r="B4908" s="4"/>
      <c r="G4908" s="19"/>
    </row>
    <row r="4909" spans="1:7" ht="12.75" x14ac:dyDescent="0.2">
      <c r="A4909" s="3"/>
      <c r="B4909" s="4"/>
      <c r="G4909" s="19"/>
    </row>
    <row r="4910" spans="1:7" ht="12.75" x14ac:dyDescent="0.2">
      <c r="A4910" s="3"/>
      <c r="B4910" s="4"/>
      <c r="G4910" s="19"/>
    </row>
    <row r="4911" spans="1:7" ht="12.75" x14ac:dyDescent="0.2">
      <c r="A4911" s="3"/>
      <c r="B4911" s="4"/>
      <c r="G4911" s="19"/>
    </row>
    <row r="4912" spans="1:7" ht="12.75" x14ac:dyDescent="0.2">
      <c r="A4912" s="3"/>
      <c r="B4912" s="4"/>
      <c r="G4912" s="19"/>
    </row>
    <row r="4913" spans="1:7" ht="12.75" x14ac:dyDescent="0.2">
      <c r="A4913" s="3"/>
      <c r="B4913" s="4"/>
      <c r="G4913" s="19"/>
    </row>
    <row r="4914" spans="1:7" ht="12.75" x14ac:dyDescent="0.2">
      <c r="A4914" s="3"/>
      <c r="B4914" s="4"/>
      <c r="G4914" s="19"/>
    </row>
    <row r="4915" spans="1:7" ht="12.75" x14ac:dyDescent="0.2">
      <c r="A4915" s="3"/>
      <c r="B4915" s="4"/>
      <c r="G4915" s="19"/>
    </row>
    <row r="4916" spans="1:7" ht="12.75" x14ac:dyDescent="0.2">
      <c r="A4916" s="3"/>
      <c r="B4916" s="4"/>
      <c r="G4916" s="19"/>
    </row>
    <row r="4917" spans="1:7" ht="12.75" x14ac:dyDescent="0.2">
      <c r="A4917" s="3"/>
      <c r="B4917" s="4"/>
      <c r="G4917" s="19"/>
    </row>
    <row r="4918" spans="1:7" ht="12.75" x14ac:dyDescent="0.2">
      <c r="A4918" s="3"/>
      <c r="B4918" s="4"/>
      <c r="G4918" s="19"/>
    </row>
    <row r="4919" spans="1:7" ht="12.75" x14ac:dyDescent="0.2">
      <c r="A4919" s="3"/>
      <c r="B4919" s="4"/>
      <c r="G4919" s="19"/>
    </row>
    <row r="4920" spans="1:7" ht="12.75" x14ac:dyDescent="0.2">
      <c r="A4920" s="3"/>
      <c r="B4920" s="4"/>
      <c r="G4920" s="19"/>
    </row>
    <row r="4921" spans="1:7" ht="12.75" x14ac:dyDescent="0.2">
      <c r="A4921" s="3"/>
      <c r="B4921" s="4"/>
      <c r="G4921" s="19"/>
    </row>
    <row r="4922" spans="1:7" ht="12.75" x14ac:dyDescent="0.2">
      <c r="A4922" s="3"/>
      <c r="B4922" s="4"/>
      <c r="G4922" s="19"/>
    </row>
    <row r="4923" spans="1:7" ht="12.75" x14ac:dyDescent="0.2">
      <c r="A4923" s="3"/>
      <c r="B4923" s="4"/>
      <c r="G4923" s="19"/>
    </row>
    <row r="4924" spans="1:7" ht="12.75" x14ac:dyDescent="0.2">
      <c r="A4924" s="3"/>
      <c r="B4924" s="4"/>
      <c r="G4924" s="19"/>
    </row>
    <row r="4925" spans="1:7" ht="12.75" x14ac:dyDescent="0.2">
      <c r="A4925" s="3"/>
      <c r="B4925" s="4"/>
      <c r="G4925" s="19"/>
    </row>
    <row r="4926" spans="1:7" ht="12.75" x14ac:dyDescent="0.2">
      <c r="A4926" s="3"/>
      <c r="B4926" s="4"/>
      <c r="G4926" s="19"/>
    </row>
    <row r="4927" spans="1:7" ht="12.75" x14ac:dyDescent="0.2">
      <c r="A4927" s="3"/>
      <c r="B4927" s="4"/>
      <c r="G4927" s="19"/>
    </row>
    <row r="4928" spans="1:7" ht="12.75" x14ac:dyDescent="0.2">
      <c r="A4928" s="3"/>
      <c r="B4928" s="4"/>
      <c r="G4928" s="19"/>
    </row>
    <row r="4929" spans="1:7" ht="12.75" x14ac:dyDescent="0.2">
      <c r="A4929" s="3"/>
      <c r="B4929" s="4"/>
      <c r="G4929" s="19"/>
    </row>
    <row r="4930" spans="1:7" ht="12.75" x14ac:dyDescent="0.2">
      <c r="A4930" s="3"/>
      <c r="B4930" s="4"/>
      <c r="G4930" s="19"/>
    </row>
    <row r="4931" spans="1:7" ht="12.75" x14ac:dyDescent="0.2">
      <c r="A4931" s="3"/>
      <c r="B4931" s="4"/>
      <c r="G4931" s="19"/>
    </row>
    <row r="4932" spans="1:7" ht="12.75" x14ac:dyDescent="0.2">
      <c r="A4932" s="3"/>
      <c r="B4932" s="4"/>
      <c r="G4932" s="19"/>
    </row>
    <row r="4933" spans="1:7" ht="12.75" x14ac:dyDescent="0.2">
      <c r="A4933" s="3"/>
      <c r="B4933" s="4"/>
      <c r="G4933" s="19"/>
    </row>
    <row r="4934" spans="1:7" ht="12.75" x14ac:dyDescent="0.2">
      <c r="A4934" s="3"/>
      <c r="B4934" s="4"/>
      <c r="G4934" s="19"/>
    </row>
    <row r="4935" spans="1:7" ht="12.75" x14ac:dyDescent="0.2">
      <c r="A4935" s="3"/>
      <c r="B4935" s="4"/>
      <c r="G4935" s="19"/>
    </row>
    <row r="4936" spans="1:7" ht="12.75" x14ac:dyDescent="0.2">
      <c r="A4936" s="3"/>
      <c r="B4936" s="4"/>
      <c r="G4936" s="19"/>
    </row>
    <row r="4937" spans="1:7" ht="12.75" x14ac:dyDescent="0.2">
      <c r="A4937" s="3"/>
      <c r="B4937" s="4"/>
      <c r="G4937" s="19"/>
    </row>
    <row r="4938" spans="1:7" ht="12.75" x14ac:dyDescent="0.2">
      <c r="A4938" s="3"/>
      <c r="B4938" s="4"/>
      <c r="G4938" s="19"/>
    </row>
    <row r="4939" spans="1:7" ht="12.75" x14ac:dyDescent="0.2">
      <c r="A4939" s="3"/>
      <c r="B4939" s="4"/>
      <c r="G4939" s="19"/>
    </row>
    <row r="4940" spans="1:7" ht="12.75" x14ac:dyDescent="0.2">
      <c r="A4940" s="3"/>
      <c r="B4940" s="4"/>
      <c r="G4940" s="19"/>
    </row>
    <row r="4941" spans="1:7" ht="12.75" x14ac:dyDescent="0.2">
      <c r="A4941" s="3"/>
      <c r="B4941" s="4"/>
      <c r="G4941" s="19"/>
    </row>
    <row r="4942" spans="1:7" ht="12.75" x14ac:dyDescent="0.2">
      <c r="A4942" s="3"/>
      <c r="B4942" s="4"/>
      <c r="G4942" s="19"/>
    </row>
    <row r="4943" spans="1:7" ht="12.75" x14ac:dyDescent="0.2">
      <c r="A4943" s="3"/>
      <c r="B4943" s="4"/>
      <c r="G4943" s="19"/>
    </row>
    <row r="4944" spans="1:7" ht="12.75" x14ac:dyDescent="0.2">
      <c r="A4944" s="3"/>
      <c r="B4944" s="4"/>
      <c r="G4944" s="19"/>
    </row>
    <row r="4945" spans="1:7" ht="12.75" x14ac:dyDescent="0.2">
      <c r="A4945" s="3"/>
      <c r="B4945" s="4"/>
      <c r="G4945" s="19"/>
    </row>
    <row r="4946" spans="1:7" ht="12.75" x14ac:dyDescent="0.2">
      <c r="A4946" s="3"/>
      <c r="B4946" s="4"/>
      <c r="G4946" s="19"/>
    </row>
    <row r="4947" spans="1:7" ht="12.75" x14ac:dyDescent="0.2">
      <c r="A4947" s="3"/>
      <c r="B4947" s="4"/>
      <c r="G4947" s="19"/>
    </row>
    <row r="4948" spans="1:7" ht="12.75" x14ac:dyDescent="0.2">
      <c r="A4948" s="3"/>
      <c r="B4948" s="4"/>
      <c r="G4948" s="19"/>
    </row>
    <row r="4949" spans="1:7" ht="12.75" x14ac:dyDescent="0.2">
      <c r="A4949" s="3"/>
      <c r="B4949" s="4"/>
      <c r="G4949" s="19"/>
    </row>
    <row r="4950" spans="1:7" ht="12.75" x14ac:dyDescent="0.2">
      <c r="A4950" s="3"/>
      <c r="B4950" s="4"/>
      <c r="G4950" s="19"/>
    </row>
    <row r="4951" spans="1:7" ht="12.75" x14ac:dyDescent="0.2">
      <c r="A4951" s="3"/>
      <c r="B4951" s="4"/>
      <c r="G4951" s="19"/>
    </row>
    <row r="4952" spans="1:7" ht="12.75" x14ac:dyDescent="0.2">
      <c r="A4952" s="3"/>
      <c r="B4952" s="4"/>
      <c r="G4952" s="19"/>
    </row>
    <row r="4953" spans="1:7" ht="12.75" x14ac:dyDescent="0.2">
      <c r="A4953" s="3"/>
      <c r="B4953" s="4"/>
      <c r="G4953" s="19"/>
    </row>
    <row r="4954" spans="1:7" ht="12.75" x14ac:dyDescent="0.2">
      <c r="A4954" s="3"/>
      <c r="B4954" s="4"/>
      <c r="G4954" s="19"/>
    </row>
    <row r="4955" spans="1:7" ht="12.75" x14ac:dyDescent="0.2">
      <c r="A4955" s="3"/>
      <c r="B4955" s="4"/>
      <c r="G4955" s="19"/>
    </row>
    <row r="4956" spans="1:7" ht="12.75" x14ac:dyDescent="0.2">
      <c r="A4956" s="3"/>
      <c r="B4956" s="4"/>
      <c r="G4956" s="19"/>
    </row>
    <row r="4957" spans="1:7" ht="12.75" x14ac:dyDescent="0.2">
      <c r="A4957" s="3"/>
      <c r="B4957" s="4"/>
      <c r="G4957" s="19"/>
    </row>
    <row r="4958" spans="1:7" ht="12.75" x14ac:dyDescent="0.2">
      <c r="A4958" s="3"/>
      <c r="B4958" s="4"/>
      <c r="G4958" s="19"/>
    </row>
    <row r="4959" spans="1:7" ht="12.75" x14ac:dyDescent="0.2">
      <c r="A4959" s="3"/>
      <c r="B4959" s="4"/>
      <c r="G4959" s="19"/>
    </row>
    <row r="4960" spans="1:7" ht="12.75" x14ac:dyDescent="0.2">
      <c r="A4960" s="3"/>
      <c r="B4960" s="4"/>
      <c r="G4960" s="19"/>
    </row>
    <row r="4961" spans="1:7" ht="12.75" x14ac:dyDescent="0.2">
      <c r="A4961" s="3"/>
      <c r="B4961" s="4"/>
      <c r="G4961" s="19"/>
    </row>
    <row r="4962" spans="1:7" ht="12.75" x14ac:dyDescent="0.2">
      <c r="A4962" s="3"/>
      <c r="B4962" s="4"/>
      <c r="G4962" s="19"/>
    </row>
    <row r="4963" spans="1:7" ht="12.75" x14ac:dyDescent="0.2">
      <c r="A4963" s="3"/>
      <c r="B4963" s="4"/>
      <c r="G4963" s="19"/>
    </row>
    <row r="4964" spans="1:7" ht="12.75" x14ac:dyDescent="0.2">
      <c r="A4964" s="3"/>
      <c r="B4964" s="4"/>
      <c r="G4964" s="19"/>
    </row>
    <row r="4965" spans="1:7" ht="12.75" x14ac:dyDescent="0.2">
      <c r="A4965" s="3"/>
      <c r="B4965" s="4"/>
      <c r="G4965" s="19"/>
    </row>
    <row r="4966" spans="1:7" ht="12.75" x14ac:dyDescent="0.2">
      <c r="A4966" s="3"/>
      <c r="B4966" s="4"/>
      <c r="G4966" s="19"/>
    </row>
    <row r="4967" spans="1:7" ht="12.75" x14ac:dyDescent="0.2">
      <c r="A4967" s="3"/>
      <c r="B4967" s="4"/>
      <c r="G4967" s="19"/>
    </row>
    <row r="4968" spans="1:7" ht="12.75" x14ac:dyDescent="0.2">
      <c r="A4968" s="3"/>
      <c r="B4968" s="4"/>
      <c r="G4968" s="19"/>
    </row>
    <row r="4969" spans="1:7" ht="12.75" x14ac:dyDescent="0.2">
      <c r="A4969" s="3"/>
      <c r="B4969" s="4"/>
      <c r="G4969" s="19"/>
    </row>
    <row r="4970" spans="1:7" ht="12.75" x14ac:dyDescent="0.2">
      <c r="A4970" s="3"/>
      <c r="B4970" s="4"/>
      <c r="G4970" s="19"/>
    </row>
    <row r="4971" spans="1:7" ht="12.75" x14ac:dyDescent="0.2">
      <c r="A4971" s="3"/>
      <c r="B4971" s="4"/>
      <c r="G4971" s="19"/>
    </row>
    <row r="4972" spans="1:7" ht="12.75" x14ac:dyDescent="0.2">
      <c r="A4972" s="3"/>
      <c r="B4972" s="4"/>
      <c r="G4972" s="19"/>
    </row>
    <row r="4973" spans="1:7" ht="12.75" x14ac:dyDescent="0.2">
      <c r="A4973" s="3"/>
      <c r="B4973" s="4"/>
      <c r="G4973" s="19"/>
    </row>
    <row r="4974" spans="1:7" ht="12.75" x14ac:dyDescent="0.2">
      <c r="A4974" s="3"/>
      <c r="B4974" s="4"/>
      <c r="G4974" s="19"/>
    </row>
    <row r="4975" spans="1:7" ht="12.75" x14ac:dyDescent="0.2">
      <c r="A4975" s="3"/>
      <c r="B4975" s="4"/>
      <c r="G4975" s="19"/>
    </row>
    <row r="4976" spans="1:7" ht="12.75" x14ac:dyDescent="0.2">
      <c r="A4976" s="3"/>
      <c r="B4976" s="4"/>
      <c r="G4976" s="19"/>
    </row>
    <row r="4977" spans="1:7" ht="12.75" x14ac:dyDescent="0.2">
      <c r="A4977" s="3"/>
      <c r="B4977" s="4"/>
      <c r="G4977" s="19"/>
    </row>
    <row r="4978" spans="1:7" ht="12.75" x14ac:dyDescent="0.2">
      <c r="A4978" s="3"/>
      <c r="B4978" s="4"/>
      <c r="G4978" s="19"/>
    </row>
    <row r="4979" spans="1:7" ht="12.75" x14ac:dyDescent="0.2">
      <c r="A4979" s="3"/>
      <c r="B4979" s="4"/>
      <c r="G4979" s="19"/>
    </row>
    <row r="4980" spans="1:7" ht="12.75" x14ac:dyDescent="0.2">
      <c r="A4980" s="3"/>
      <c r="B4980" s="4"/>
      <c r="G4980" s="19"/>
    </row>
    <row r="4981" spans="1:7" ht="12.75" x14ac:dyDescent="0.2">
      <c r="A4981" s="3"/>
      <c r="B4981" s="4"/>
      <c r="G4981" s="19"/>
    </row>
    <row r="4982" spans="1:7" ht="12.75" x14ac:dyDescent="0.2">
      <c r="A4982" s="3"/>
      <c r="B4982" s="4"/>
      <c r="G4982" s="19"/>
    </row>
    <row r="4983" spans="1:7" ht="12.75" x14ac:dyDescent="0.2">
      <c r="A4983" s="3"/>
      <c r="B4983" s="4"/>
      <c r="G4983" s="19"/>
    </row>
    <row r="4984" spans="1:7" ht="12.75" x14ac:dyDescent="0.2">
      <c r="A4984" s="3"/>
      <c r="B4984" s="4"/>
      <c r="G4984" s="19"/>
    </row>
    <row r="4985" spans="1:7" ht="12.75" x14ac:dyDescent="0.2">
      <c r="A4985" s="3"/>
      <c r="B4985" s="4"/>
      <c r="G4985" s="19"/>
    </row>
    <row r="4986" spans="1:7" ht="12.75" x14ac:dyDescent="0.2">
      <c r="A4986" s="3"/>
      <c r="B4986" s="4"/>
      <c r="G4986" s="19"/>
    </row>
    <row r="4987" spans="1:7" ht="12.75" x14ac:dyDescent="0.2">
      <c r="A4987" s="3"/>
      <c r="B4987" s="4"/>
      <c r="G4987" s="19"/>
    </row>
    <row r="4988" spans="1:7" ht="12.75" x14ac:dyDescent="0.2">
      <c r="A4988" s="3"/>
      <c r="B4988" s="4"/>
      <c r="G4988" s="19"/>
    </row>
    <row r="4989" spans="1:7" ht="12.75" x14ac:dyDescent="0.2">
      <c r="A4989" s="3"/>
      <c r="B4989" s="4"/>
      <c r="G4989" s="19"/>
    </row>
    <row r="4990" spans="1:7" ht="12.75" x14ac:dyDescent="0.2">
      <c r="A4990" s="3"/>
      <c r="B4990" s="4"/>
      <c r="G4990" s="19"/>
    </row>
    <row r="4991" spans="1:7" ht="12.75" x14ac:dyDescent="0.2">
      <c r="A4991" s="3"/>
      <c r="B4991" s="4"/>
      <c r="G4991" s="19"/>
    </row>
    <row r="4992" spans="1:7" ht="12.75" x14ac:dyDescent="0.2">
      <c r="A4992" s="3"/>
      <c r="B4992" s="4"/>
      <c r="G4992" s="19"/>
    </row>
    <row r="4993" spans="1:7" ht="12.75" x14ac:dyDescent="0.2">
      <c r="A4993" s="3"/>
      <c r="B4993" s="4"/>
      <c r="G4993" s="19"/>
    </row>
    <row r="4994" spans="1:7" ht="12.75" x14ac:dyDescent="0.2">
      <c r="A4994" s="3"/>
      <c r="B4994" s="4"/>
      <c r="G4994" s="19"/>
    </row>
    <row r="4995" spans="1:7" ht="12.75" x14ac:dyDescent="0.2">
      <c r="A4995" s="3"/>
      <c r="B4995" s="4"/>
      <c r="G4995" s="19"/>
    </row>
    <row r="4996" spans="1:7" ht="12.75" x14ac:dyDescent="0.2">
      <c r="A4996" s="3"/>
      <c r="B4996" s="4"/>
      <c r="G4996" s="19"/>
    </row>
    <row r="4997" spans="1:7" ht="12.75" x14ac:dyDescent="0.2">
      <c r="A4997" s="3"/>
      <c r="B4997" s="4"/>
      <c r="G4997" s="19"/>
    </row>
    <row r="4998" spans="1:7" ht="12.75" x14ac:dyDescent="0.2">
      <c r="A4998" s="3"/>
      <c r="B4998" s="4"/>
      <c r="G4998" s="19"/>
    </row>
    <row r="4999" spans="1:7" ht="12.75" x14ac:dyDescent="0.2">
      <c r="A4999" s="3"/>
      <c r="B4999" s="4"/>
      <c r="G4999" s="19"/>
    </row>
    <row r="5000" spans="1:7" ht="12.75" x14ac:dyDescent="0.2">
      <c r="A5000" s="3"/>
      <c r="B5000" s="4"/>
      <c r="G5000" s="19"/>
    </row>
    <row r="5001" spans="1:7" ht="12.75" x14ac:dyDescent="0.2">
      <c r="A5001" s="3"/>
      <c r="B5001" s="4"/>
      <c r="G5001" s="19"/>
    </row>
    <row r="5002" spans="1:7" ht="12.75" x14ac:dyDescent="0.2">
      <c r="A5002" s="3"/>
      <c r="B5002" s="4"/>
      <c r="G5002" s="19"/>
    </row>
    <row r="5003" spans="1:7" ht="12.75" x14ac:dyDescent="0.2">
      <c r="A5003" s="3"/>
      <c r="B5003" s="4"/>
      <c r="G5003" s="19"/>
    </row>
    <row r="5004" spans="1:7" ht="12.75" x14ac:dyDescent="0.2">
      <c r="A5004" s="3"/>
      <c r="B5004" s="4"/>
      <c r="G5004" s="19"/>
    </row>
    <row r="5005" spans="1:7" ht="12.75" x14ac:dyDescent="0.2">
      <c r="A5005" s="3"/>
      <c r="B5005" s="4"/>
      <c r="G5005" s="19"/>
    </row>
    <row r="5006" spans="1:7" ht="12.75" x14ac:dyDescent="0.2">
      <c r="A5006" s="3"/>
      <c r="B5006" s="4"/>
      <c r="G5006" s="19"/>
    </row>
    <row r="5007" spans="1:7" ht="12.75" x14ac:dyDescent="0.2">
      <c r="A5007" s="3"/>
      <c r="B5007" s="4"/>
      <c r="G5007" s="19"/>
    </row>
    <row r="5008" spans="1:7" ht="12.75" x14ac:dyDescent="0.2">
      <c r="A5008" s="3"/>
      <c r="B5008" s="4"/>
      <c r="G5008" s="19"/>
    </row>
    <row r="5009" spans="1:7" ht="12.75" x14ac:dyDescent="0.2">
      <c r="A5009" s="3"/>
      <c r="B5009" s="4"/>
      <c r="G5009" s="19"/>
    </row>
    <row r="5010" spans="1:7" ht="12.75" x14ac:dyDescent="0.2">
      <c r="A5010" s="3"/>
      <c r="B5010" s="4"/>
      <c r="G5010" s="19"/>
    </row>
    <row r="5011" spans="1:7" ht="12.75" x14ac:dyDescent="0.2">
      <c r="A5011" s="3"/>
      <c r="B5011" s="4"/>
      <c r="G5011" s="19"/>
    </row>
    <row r="5012" spans="1:7" ht="12.75" x14ac:dyDescent="0.2">
      <c r="A5012" s="3"/>
      <c r="B5012" s="4"/>
      <c r="G5012" s="19"/>
    </row>
    <row r="5013" spans="1:7" ht="12.75" x14ac:dyDescent="0.2">
      <c r="A5013" s="3"/>
      <c r="B5013" s="4"/>
      <c r="G5013" s="19"/>
    </row>
    <row r="5014" spans="1:7" ht="12.75" x14ac:dyDescent="0.2">
      <c r="A5014" s="3"/>
      <c r="B5014" s="4"/>
      <c r="G5014" s="19"/>
    </row>
    <row r="5015" spans="1:7" ht="12.75" x14ac:dyDescent="0.2">
      <c r="A5015" s="3"/>
      <c r="B5015" s="4"/>
      <c r="G5015" s="19"/>
    </row>
    <row r="5016" spans="1:7" ht="12.75" x14ac:dyDescent="0.2">
      <c r="A5016" s="3"/>
      <c r="B5016" s="4"/>
      <c r="G5016" s="19"/>
    </row>
    <row r="5017" spans="1:7" ht="12.75" x14ac:dyDescent="0.2">
      <c r="A5017" s="3"/>
      <c r="B5017" s="4"/>
      <c r="G5017" s="19"/>
    </row>
    <row r="5018" spans="1:7" ht="12.75" x14ac:dyDescent="0.2">
      <c r="A5018" s="3"/>
      <c r="B5018" s="4"/>
      <c r="G5018" s="19"/>
    </row>
    <row r="5019" spans="1:7" ht="12.75" x14ac:dyDescent="0.2">
      <c r="A5019" s="3"/>
      <c r="B5019" s="4"/>
      <c r="G5019" s="19"/>
    </row>
    <row r="5020" spans="1:7" ht="12.75" x14ac:dyDescent="0.2">
      <c r="A5020" s="3"/>
      <c r="B5020" s="4"/>
      <c r="G5020" s="19"/>
    </row>
    <row r="5021" spans="1:7" ht="12.75" x14ac:dyDescent="0.2">
      <c r="A5021" s="3"/>
      <c r="B5021" s="4"/>
      <c r="G5021" s="19"/>
    </row>
    <row r="5022" spans="1:7" ht="12.75" x14ac:dyDescent="0.2">
      <c r="A5022" s="3"/>
      <c r="B5022" s="4"/>
      <c r="G5022" s="19"/>
    </row>
    <row r="5023" spans="1:7" ht="12.75" x14ac:dyDescent="0.2">
      <c r="A5023" s="3"/>
      <c r="B5023" s="4"/>
      <c r="G5023" s="19"/>
    </row>
    <row r="5024" spans="1:7" ht="12.75" x14ac:dyDescent="0.2">
      <c r="A5024" s="3"/>
      <c r="B5024" s="4"/>
      <c r="G5024" s="19"/>
    </row>
    <row r="5025" spans="1:7" ht="12.75" x14ac:dyDescent="0.2">
      <c r="A5025" s="3"/>
      <c r="B5025" s="4"/>
      <c r="G5025" s="19"/>
    </row>
    <row r="5026" spans="1:7" ht="12.75" x14ac:dyDescent="0.2">
      <c r="A5026" s="3"/>
      <c r="B5026" s="4"/>
      <c r="G5026" s="19"/>
    </row>
    <row r="5027" spans="1:7" ht="12.75" x14ac:dyDescent="0.2">
      <c r="A5027" s="3"/>
      <c r="B5027" s="4"/>
      <c r="G5027" s="19"/>
    </row>
    <row r="5028" spans="1:7" ht="12.75" x14ac:dyDescent="0.2">
      <c r="A5028" s="3"/>
      <c r="B5028" s="4"/>
      <c r="G5028" s="19"/>
    </row>
    <row r="5029" spans="1:7" ht="12.75" x14ac:dyDescent="0.2">
      <c r="A5029" s="3"/>
      <c r="B5029" s="4"/>
      <c r="G5029" s="19"/>
    </row>
    <row r="5030" spans="1:7" ht="12.75" x14ac:dyDescent="0.2">
      <c r="A5030" s="3"/>
      <c r="B5030" s="4"/>
      <c r="G5030" s="19"/>
    </row>
    <row r="5031" spans="1:7" ht="12.75" x14ac:dyDescent="0.2">
      <c r="A5031" s="3"/>
      <c r="B5031" s="4"/>
      <c r="G5031" s="19"/>
    </row>
    <row r="5032" spans="1:7" ht="12.75" x14ac:dyDescent="0.2">
      <c r="A5032" s="3"/>
      <c r="B5032" s="4"/>
      <c r="G5032" s="19"/>
    </row>
    <row r="5033" spans="1:7" ht="12.75" x14ac:dyDescent="0.2">
      <c r="A5033" s="3"/>
      <c r="B5033" s="4"/>
      <c r="G5033" s="19"/>
    </row>
    <row r="5034" spans="1:7" ht="12.75" x14ac:dyDescent="0.2">
      <c r="A5034" s="3"/>
      <c r="B5034" s="4"/>
      <c r="G5034" s="19"/>
    </row>
    <row r="5035" spans="1:7" ht="12.75" x14ac:dyDescent="0.2">
      <c r="A5035" s="3"/>
      <c r="B5035" s="4"/>
      <c r="G5035" s="19"/>
    </row>
    <row r="5036" spans="1:7" ht="12.75" x14ac:dyDescent="0.2">
      <c r="A5036" s="3"/>
      <c r="B5036" s="4"/>
      <c r="G5036" s="19"/>
    </row>
    <row r="5037" spans="1:7" ht="12.75" x14ac:dyDescent="0.2">
      <c r="A5037" s="3"/>
      <c r="B5037" s="4"/>
      <c r="G5037" s="19"/>
    </row>
    <row r="5038" spans="1:7" ht="12.75" x14ac:dyDescent="0.2">
      <c r="A5038" s="3"/>
      <c r="B5038" s="4"/>
      <c r="G5038" s="19"/>
    </row>
    <row r="5039" spans="1:7" ht="12.75" x14ac:dyDescent="0.2">
      <c r="A5039" s="3"/>
      <c r="B5039" s="4"/>
      <c r="G5039" s="19"/>
    </row>
    <row r="5040" spans="1:7" ht="12.75" x14ac:dyDescent="0.2">
      <c r="A5040" s="3"/>
      <c r="B5040" s="4"/>
      <c r="G5040" s="19"/>
    </row>
    <row r="5041" spans="1:7" ht="12.75" x14ac:dyDescent="0.2">
      <c r="A5041" s="3"/>
      <c r="B5041" s="4"/>
      <c r="G5041" s="19"/>
    </row>
    <row r="5042" spans="1:7" ht="12.75" x14ac:dyDescent="0.2">
      <c r="A5042" s="3"/>
      <c r="B5042" s="4"/>
      <c r="G5042" s="19"/>
    </row>
    <row r="5043" spans="1:7" ht="12.75" x14ac:dyDescent="0.2">
      <c r="A5043" s="3"/>
      <c r="B5043" s="4"/>
      <c r="G5043" s="19"/>
    </row>
    <row r="5044" spans="1:7" ht="12.75" x14ac:dyDescent="0.2">
      <c r="A5044" s="3"/>
      <c r="B5044" s="4"/>
      <c r="G5044" s="19"/>
    </row>
    <row r="5045" spans="1:7" ht="12.75" x14ac:dyDescent="0.2">
      <c r="A5045" s="3"/>
      <c r="B5045" s="4"/>
      <c r="G5045" s="19"/>
    </row>
    <row r="5046" spans="1:7" ht="12.75" x14ac:dyDescent="0.2">
      <c r="A5046" s="3"/>
      <c r="B5046" s="4"/>
      <c r="G5046" s="19"/>
    </row>
    <row r="5047" spans="1:7" ht="12.75" x14ac:dyDescent="0.2">
      <c r="A5047" s="3"/>
      <c r="B5047" s="4"/>
      <c r="G5047" s="19"/>
    </row>
    <row r="5048" spans="1:7" ht="12.75" x14ac:dyDescent="0.2">
      <c r="A5048" s="3"/>
      <c r="B5048" s="4"/>
      <c r="G5048" s="19"/>
    </row>
    <row r="5049" spans="1:7" ht="12.75" x14ac:dyDescent="0.2">
      <c r="A5049" s="3"/>
      <c r="B5049" s="4"/>
      <c r="G5049" s="19"/>
    </row>
    <row r="5050" spans="1:7" ht="12.75" x14ac:dyDescent="0.2">
      <c r="A5050" s="3"/>
      <c r="B5050" s="4"/>
      <c r="G5050" s="19"/>
    </row>
    <row r="5051" spans="1:7" ht="12.75" x14ac:dyDescent="0.2">
      <c r="A5051" s="3"/>
      <c r="B5051" s="4"/>
      <c r="G5051" s="19"/>
    </row>
    <row r="5052" spans="1:7" ht="12.75" x14ac:dyDescent="0.2">
      <c r="A5052" s="3"/>
      <c r="B5052" s="4"/>
      <c r="G5052" s="19"/>
    </row>
    <row r="5053" spans="1:7" ht="12.75" x14ac:dyDescent="0.2">
      <c r="A5053" s="3"/>
      <c r="B5053" s="4"/>
      <c r="G5053" s="19"/>
    </row>
    <row r="5054" spans="1:7" ht="12.75" x14ac:dyDescent="0.2">
      <c r="A5054" s="3"/>
      <c r="B5054" s="4"/>
      <c r="G5054" s="19"/>
    </row>
    <row r="5055" spans="1:7" ht="12.75" x14ac:dyDescent="0.2">
      <c r="A5055" s="3"/>
      <c r="B5055" s="4"/>
      <c r="G5055" s="19"/>
    </row>
    <row r="5056" spans="1:7" ht="12.75" x14ac:dyDescent="0.2">
      <c r="A5056" s="3"/>
      <c r="B5056" s="4"/>
      <c r="G5056" s="19"/>
    </row>
    <row r="5057" spans="1:7" ht="12.75" x14ac:dyDescent="0.2">
      <c r="A5057" s="3"/>
      <c r="B5057" s="4"/>
      <c r="G5057" s="19"/>
    </row>
    <row r="5058" spans="1:7" ht="12.75" x14ac:dyDescent="0.2">
      <c r="A5058" s="3"/>
      <c r="B5058" s="4"/>
      <c r="G5058" s="19"/>
    </row>
    <row r="5059" spans="1:7" ht="12.75" x14ac:dyDescent="0.2">
      <c r="A5059" s="3"/>
      <c r="B5059" s="4"/>
      <c r="G5059" s="19"/>
    </row>
    <row r="5060" spans="1:7" ht="12.75" x14ac:dyDescent="0.2">
      <c r="A5060" s="3"/>
      <c r="B5060" s="4"/>
      <c r="G5060" s="19"/>
    </row>
    <row r="5061" spans="1:7" ht="12.75" x14ac:dyDescent="0.2">
      <c r="A5061" s="3"/>
      <c r="B5061" s="4"/>
      <c r="G5061" s="19"/>
    </row>
    <row r="5062" spans="1:7" ht="12.75" x14ac:dyDescent="0.2">
      <c r="A5062" s="3"/>
      <c r="B5062" s="4"/>
      <c r="G5062" s="19"/>
    </row>
    <row r="5063" spans="1:7" ht="12.75" x14ac:dyDescent="0.2">
      <c r="A5063" s="3"/>
      <c r="B5063" s="4"/>
      <c r="G5063" s="19"/>
    </row>
    <row r="5064" spans="1:7" ht="12.75" x14ac:dyDescent="0.2">
      <c r="A5064" s="3"/>
      <c r="B5064" s="4"/>
      <c r="G5064" s="19"/>
    </row>
    <row r="5065" spans="1:7" ht="12.75" x14ac:dyDescent="0.2">
      <c r="A5065" s="3"/>
      <c r="B5065" s="4"/>
      <c r="G5065" s="19"/>
    </row>
    <row r="5066" spans="1:7" ht="12.75" x14ac:dyDescent="0.2">
      <c r="A5066" s="3"/>
      <c r="B5066" s="4"/>
      <c r="G5066" s="19"/>
    </row>
    <row r="5067" spans="1:7" ht="12.75" x14ac:dyDescent="0.2">
      <c r="A5067" s="3"/>
      <c r="B5067" s="4"/>
      <c r="G5067" s="19"/>
    </row>
    <row r="5068" spans="1:7" ht="12.75" x14ac:dyDescent="0.2">
      <c r="A5068" s="3"/>
      <c r="B5068" s="4"/>
      <c r="G5068" s="19"/>
    </row>
    <row r="5069" spans="1:7" ht="12.75" x14ac:dyDescent="0.2">
      <c r="A5069" s="3"/>
      <c r="B5069" s="4"/>
      <c r="G5069" s="19"/>
    </row>
    <row r="5070" spans="1:7" ht="12.75" x14ac:dyDescent="0.2">
      <c r="A5070" s="3"/>
      <c r="B5070" s="4"/>
      <c r="G5070" s="19"/>
    </row>
    <row r="5071" spans="1:7" ht="12.75" x14ac:dyDescent="0.2">
      <c r="A5071" s="3"/>
      <c r="B5071" s="4"/>
      <c r="G5071" s="19"/>
    </row>
    <row r="5072" spans="1:7" ht="12.75" x14ac:dyDescent="0.2">
      <c r="A5072" s="3"/>
      <c r="B5072" s="4"/>
      <c r="G5072" s="19"/>
    </row>
    <row r="5073" spans="1:7" ht="12.75" x14ac:dyDescent="0.2">
      <c r="A5073" s="3"/>
      <c r="B5073" s="4"/>
      <c r="G5073" s="19"/>
    </row>
    <row r="5074" spans="1:7" ht="12.75" x14ac:dyDescent="0.2">
      <c r="A5074" s="3"/>
      <c r="B5074" s="4"/>
      <c r="G5074" s="19"/>
    </row>
    <row r="5075" spans="1:7" ht="12.75" x14ac:dyDescent="0.2">
      <c r="A5075" s="3"/>
      <c r="B5075" s="4"/>
      <c r="G5075" s="19"/>
    </row>
    <row r="5076" spans="1:7" ht="12.75" x14ac:dyDescent="0.2">
      <c r="A5076" s="3"/>
      <c r="B5076" s="4"/>
      <c r="G5076" s="19"/>
    </row>
    <row r="5077" spans="1:7" ht="12.75" x14ac:dyDescent="0.2">
      <c r="A5077" s="3"/>
      <c r="B5077" s="4"/>
      <c r="G5077" s="19"/>
    </row>
    <row r="5078" spans="1:7" ht="12.75" x14ac:dyDescent="0.2">
      <c r="A5078" s="3"/>
      <c r="B5078" s="4"/>
      <c r="G5078" s="19"/>
    </row>
    <row r="5079" spans="1:7" ht="12.75" x14ac:dyDescent="0.2">
      <c r="A5079" s="3"/>
      <c r="B5079" s="4"/>
      <c r="G5079" s="19"/>
    </row>
    <row r="5080" spans="1:7" ht="12.75" x14ac:dyDescent="0.2">
      <c r="A5080" s="3"/>
      <c r="B5080" s="4"/>
      <c r="G5080" s="19"/>
    </row>
    <row r="5081" spans="1:7" ht="12.75" x14ac:dyDescent="0.2">
      <c r="A5081" s="3"/>
      <c r="B5081" s="4"/>
      <c r="G5081" s="19"/>
    </row>
    <row r="5082" spans="1:7" ht="12.75" x14ac:dyDescent="0.2">
      <c r="A5082" s="3"/>
      <c r="B5082" s="4"/>
      <c r="G5082" s="19"/>
    </row>
    <row r="5083" spans="1:7" ht="12.75" x14ac:dyDescent="0.2">
      <c r="A5083" s="3"/>
      <c r="B5083" s="4"/>
      <c r="G5083" s="19"/>
    </row>
    <row r="5084" spans="1:7" ht="12.75" x14ac:dyDescent="0.2">
      <c r="A5084" s="3"/>
      <c r="B5084" s="4"/>
      <c r="G5084" s="19"/>
    </row>
    <row r="5085" spans="1:7" ht="12.75" x14ac:dyDescent="0.2">
      <c r="A5085" s="3"/>
      <c r="B5085" s="4"/>
      <c r="G5085" s="19"/>
    </row>
    <row r="5086" spans="1:7" ht="12.75" x14ac:dyDescent="0.2">
      <c r="A5086" s="3"/>
      <c r="B5086" s="4"/>
      <c r="G5086" s="19"/>
    </row>
    <row r="5087" spans="1:7" ht="12.75" x14ac:dyDescent="0.2">
      <c r="A5087" s="3"/>
      <c r="B5087" s="4"/>
      <c r="G5087" s="19"/>
    </row>
    <row r="5088" spans="1:7" ht="12.75" x14ac:dyDescent="0.2">
      <c r="A5088" s="3"/>
      <c r="B5088" s="4"/>
      <c r="G5088" s="19"/>
    </row>
    <row r="5089" spans="1:7" ht="12.75" x14ac:dyDescent="0.2">
      <c r="A5089" s="3"/>
      <c r="B5089" s="4"/>
      <c r="G5089" s="19"/>
    </row>
    <row r="5090" spans="1:7" ht="12.75" x14ac:dyDescent="0.2">
      <c r="A5090" s="3"/>
      <c r="B5090" s="4"/>
      <c r="G5090" s="19"/>
    </row>
    <row r="5091" spans="1:7" ht="12.75" x14ac:dyDescent="0.2">
      <c r="A5091" s="3"/>
      <c r="B5091" s="4"/>
      <c r="G5091" s="19"/>
    </row>
    <row r="5092" spans="1:7" ht="12.75" x14ac:dyDescent="0.2">
      <c r="A5092" s="3"/>
      <c r="B5092" s="4"/>
      <c r="G5092" s="19"/>
    </row>
    <row r="5093" spans="1:7" ht="12.75" x14ac:dyDescent="0.2">
      <c r="A5093" s="3"/>
      <c r="B5093" s="4"/>
      <c r="G5093" s="19"/>
    </row>
    <row r="5094" spans="1:7" ht="12.75" x14ac:dyDescent="0.2">
      <c r="A5094" s="3"/>
      <c r="B5094" s="4"/>
      <c r="G5094" s="19"/>
    </row>
    <row r="5095" spans="1:7" ht="12.75" x14ac:dyDescent="0.2">
      <c r="A5095" s="3"/>
      <c r="B5095" s="4"/>
      <c r="G5095" s="19"/>
    </row>
    <row r="5096" spans="1:7" ht="12.75" x14ac:dyDescent="0.2">
      <c r="A5096" s="3"/>
      <c r="B5096" s="4"/>
      <c r="G5096" s="19"/>
    </row>
    <row r="5097" spans="1:7" ht="12.75" x14ac:dyDescent="0.2">
      <c r="A5097" s="3"/>
      <c r="B5097" s="4"/>
      <c r="G5097" s="19"/>
    </row>
    <row r="5098" spans="1:7" ht="12.75" x14ac:dyDescent="0.2">
      <c r="A5098" s="3"/>
      <c r="B5098" s="4"/>
      <c r="G5098" s="19"/>
    </row>
    <row r="5099" spans="1:7" ht="12.75" x14ac:dyDescent="0.2">
      <c r="A5099" s="3"/>
      <c r="B5099" s="4"/>
      <c r="G5099" s="19"/>
    </row>
    <row r="5100" spans="1:7" ht="12.75" x14ac:dyDescent="0.2">
      <c r="A5100" s="3"/>
      <c r="B5100" s="4"/>
      <c r="G5100" s="19"/>
    </row>
    <row r="5101" spans="1:7" ht="12.75" x14ac:dyDescent="0.2">
      <c r="A5101" s="3"/>
      <c r="B5101" s="4"/>
      <c r="G5101" s="19"/>
    </row>
    <row r="5102" spans="1:7" ht="12.75" x14ac:dyDescent="0.2">
      <c r="A5102" s="3"/>
      <c r="B5102" s="4"/>
      <c r="G5102" s="19"/>
    </row>
    <row r="5103" spans="1:7" ht="12.75" x14ac:dyDescent="0.2">
      <c r="A5103" s="3"/>
      <c r="B5103" s="4"/>
      <c r="G5103" s="19"/>
    </row>
    <row r="5104" spans="1:7" ht="12.75" x14ac:dyDescent="0.2">
      <c r="A5104" s="3"/>
      <c r="B5104" s="4"/>
      <c r="G5104" s="19"/>
    </row>
    <row r="5105" spans="1:7" ht="12.75" x14ac:dyDescent="0.2">
      <c r="A5105" s="3"/>
      <c r="B5105" s="4"/>
      <c r="G5105" s="19"/>
    </row>
    <row r="5106" spans="1:7" ht="12.75" x14ac:dyDescent="0.2">
      <c r="A5106" s="3"/>
      <c r="B5106" s="4"/>
      <c r="G5106" s="19"/>
    </row>
    <row r="5107" spans="1:7" ht="12.75" x14ac:dyDescent="0.2">
      <c r="A5107" s="3"/>
      <c r="B5107" s="4"/>
      <c r="G5107" s="19"/>
    </row>
    <row r="5108" spans="1:7" ht="12.75" x14ac:dyDescent="0.2">
      <c r="A5108" s="3"/>
      <c r="B5108" s="4"/>
      <c r="G5108" s="19"/>
    </row>
    <row r="5109" spans="1:7" ht="12.75" x14ac:dyDescent="0.2">
      <c r="A5109" s="3"/>
      <c r="B5109" s="4"/>
      <c r="G5109" s="19"/>
    </row>
    <row r="5110" spans="1:7" ht="12.75" x14ac:dyDescent="0.2">
      <c r="A5110" s="3"/>
      <c r="B5110" s="4"/>
      <c r="G5110" s="19"/>
    </row>
    <row r="5111" spans="1:7" ht="12.75" x14ac:dyDescent="0.2">
      <c r="A5111" s="3"/>
      <c r="B5111" s="4"/>
      <c r="G5111" s="19"/>
    </row>
    <row r="5112" spans="1:7" ht="12.75" x14ac:dyDescent="0.2">
      <c r="A5112" s="3"/>
      <c r="B5112" s="4"/>
      <c r="G5112" s="19"/>
    </row>
    <row r="5113" spans="1:7" ht="12.75" x14ac:dyDescent="0.2">
      <c r="A5113" s="3"/>
      <c r="B5113" s="4"/>
      <c r="G5113" s="19"/>
    </row>
    <row r="5114" spans="1:7" ht="12.75" x14ac:dyDescent="0.2">
      <c r="A5114" s="3"/>
      <c r="B5114" s="4"/>
      <c r="G5114" s="19"/>
    </row>
    <row r="5115" spans="1:7" ht="12.75" x14ac:dyDescent="0.2">
      <c r="A5115" s="3"/>
      <c r="B5115" s="4"/>
      <c r="G5115" s="19"/>
    </row>
    <row r="5116" spans="1:7" ht="12.75" x14ac:dyDescent="0.2">
      <c r="A5116" s="3"/>
      <c r="B5116" s="4"/>
      <c r="G5116" s="19"/>
    </row>
    <row r="5117" spans="1:7" ht="12.75" x14ac:dyDescent="0.2">
      <c r="A5117" s="3"/>
      <c r="B5117" s="4"/>
      <c r="G5117" s="19"/>
    </row>
    <row r="5118" spans="1:7" ht="12.75" x14ac:dyDescent="0.2">
      <c r="A5118" s="3"/>
      <c r="B5118" s="4"/>
      <c r="G5118" s="19"/>
    </row>
    <row r="5119" spans="1:7" ht="12.75" x14ac:dyDescent="0.2">
      <c r="A5119" s="3"/>
      <c r="B5119" s="4"/>
      <c r="G5119" s="19"/>
    </row>
    <row r="5120" spans="1:7" ht="12.75" x14ac:dyDescent="0.2">
      <c r="A5120" s="3"/>
      <c r="B5120" s="4"/>
      <c r="G5120" s="19"/>
    </row>
    <row r="5121" spans="1:7" ht="12.75" x14ac:dyDescent="0.2">
      <c r="A5121" s="3"/>
      <c r="B5121" s="4"/>
      <c r="G5121" s="19"/>
    </row>
    <row r="5122" spans="1:7" ht="12.75" x14ac:dyDescent="0.2">
      <c r="A5122" s="3"/>
      <c r="B5122" s="4"/>
    </row>
    <row r="5123" spans="1:7" ht="12.75" x14ac:dyDescent="0.2">
      <c r="A5123" s="3"/>
      <c r="B5123" s="4"/>
    </row>
    <row r="5124" spans="1:7" ht="12.75" x14ac:dyDescent="0.2">
      <c r="A5124" s="3"/>
      <c r="B5124" s="4"/>
    </row>
    <row r="5125" spans="1:7" ht="12.75" x14ac:dyDescent="0.2">
      <c r="A5125" s="3"/>
      <c r="B5125" s="4"/>
    </row>
    <row r="5126" spans="1:7" ht="12.75" x14ac:dyDescent="0.2">
      <c r="A5126" s="3"/>
      <c r="B5126" s="4"/>
    </row>
    <row r="5127" spans="1:7" ht="12.75" x14ac:dyDescent="0.2">
      <c r="A5127" s="3"/>
      <c r="B5127" s="4"/>
    </row>
    <row r="5128" spans="1:7" ht="12.75" x14ac:dyDescent="0.2">
      <c r="A5128" s="3"/>
      <c r="B5128" s="4"/>
    </row>
    <row r="5129" spans="1:7" ht="12.75" x14ac:dyDescent="0.2">
      <c r="A5129" s="3"/>
      <c r="B5129" s="4"/>
    </row>
    <row r="5130" spans="1:7" ht="12.75" x14ac:dyDescent="0.2">
      <c r="A5130" s="3"/>
      <c r="B5130" s="4"/>
    </row>
    <row r="5131" spans="1:7" ht="12.75" x14ac:dyDescent="0.2">
      <c r="A5131" s="3"/>
      <c r="B5131" s="4"/>
    </row>
    <row r="5132" spans="1:7" ht="12.75" x14ac:dyDescent="0.2">
      <c r="A5132" s="3"/>
      <c r="B5132" s="4"/>
    </row>
    <row r="5133" spans="1:7" ht="12.75" x14ac:dyDescent="0.2">
      <c r="A5133" s="3"/>
      <c r="B5133" s="4"/>
    </row>
    <row r="5134" spans="1:7" ht="12.75" x14ac:dyDescent="0.2">
      <c r="A5134" s="3"/>
      <c r="B5134" s="4"/>
    </row>
    <row r="5135" spans="1:7" ht="12.75" x14ac:dyDescent="0.2">
      <c r="A5135" s="3"/>
      <c r="B5135" s="4"/>
    </row>
    <row r="5136" spans="1:7" ht="12.75" x14ac:dyDescent="0.2">
      <c r="A5136" s="3"/>
      <c r="B5136" s="4"/>
    </row>
    <row r="5137" spans="1:2" ht="12.75" x14ac:dyDescent="0.2">
      <c r="A5137" s="3"/>
      <c r="B5137" s="4"/>
    </row>
    <row r="5138" spans="1:2" ht="12.75" x14ac:dyDescent="0.2">
      <c r="A5138" s="3"/>
      <c r="B5138" s="4"/>
    </row>
    <row r="5139" spans="1:2" ht="12.75" x14ac:dyDescent="0.2">
      <c r="A5139" s="3"/>
      <c r="B5139" s="4"/>
    </row>
    <row r="5140" spans="1:2" ht="12.75" x14ac:dyDescent="0.2">
      <c r="A5140" s="3"/>
      <c r="B5140" s="4"/>
    </row>
    <row r="5141" spans="1:2" ht="12.75" x14ac:dyDescent="0.2">
      <c r="A5141" s="3"/>
      <c r="B5141" s="4"/>
    </row>
    <row r="5142" spans="1:2" ht="12.75" x14ac:dyDescent="0.2">
      <c r="A5142" s="3"/>
      <c r="B5142" s="4"/>
    </row>
    <row r="5143" spans="1:2" ht="12.75" x14ac:dyDescent="0.2">
      <c r="A5143" s="3"/>
      <c r="B5143" s="4"/>
    </row>
    <row r="5144" spans="1:2" ht="12.75" x14ac:dyDescent="0.2">
      <c r="A5144" s="3"/>
      <c r="B5144" s="4"/>
    </row>
    <row r="5145" spans="1:2" ht="12.75" x14ac:dyDescent="0.2">
      <c r="A5145" s="3"/>
      <c r="B5145" s="4"/>
    </row>
    <row r="5146" spans="1:2" ht="12.75" x14ac:dyDescent="0.2">
      <c r="A5146" s="3"/>
      <c r="B5146" s="4"/>
    </row>
    <row r="5147" spans="1:2" ht="12.75" x14ac:dyDescent="0.2">
      <c r="A5147" s="3"/>
      <c r="B5147" s="4"/>
    </row>
    <row r="5148" spans="1:2" ht="12.75" x14ac:dyDescent="0.2">
      <c r="A5148" s="3"/>
      <c r="B5148" s="4"/>
    </row>
    <row r="5149" spans="1:2" ht="12.75" x14ac:dyDescent="0.2">
      <c r="A5149" s="3"/>
      <c r="B5149" s="4"/>
    </row>
    <row r="5150" spans="1:2" ht="12.75" x14ac:dyDescent="0.2">
      <c r="A5150" s="3"/>
      <c r="B5150" s="4"/>
    </row>
    <row r="5151" spans="1:2" ht="12.75" x14ac:dyDescent="0.2">
      <c r="A5151" s="3"/>
      <c r="B5151" s="4"/>
    </row>
    <row r="5152" spans="1:2" ht="12.75" x14ac:dyDescent="0.2">
      <c r="A5152" s="3"/>
      <c r="B5152" s="4"/>
    </row>
    <row r="5153" spans="1:2" ht="12.75" x14ac:dyDescent="0.2">
      <c r="A5153" s="3"/>
      <c r="B5153" s="4"/>
    </row>
    <row r="5154" spans="1:2" ht="12.75" x14ac:dyDescent="0.2">
      <c r="A5154" s="3"/>
      <c r="B5154" s="4"/>
    </row>
    <row r="5155" spans="1:2" ht="12.75" x14ac:dyDescent="0.2">
      <c r="A5155" s="3"/>
      <c r="B5155" s="4"/>
    </row>
    <row r="5156" spans="1:2" ht="12.75" x14ac:dyDescent="0.2">
      <c r="A5156" s="3"/>
      <c r="B5156" s="4"/>
    </row>
    <row r="5157" spans="1:2" ht="12.75" x14ac:dyDescent="0.2">
      <c r="A5157" s="3"/>
      <c r="B5157" s="4"/>
    </row>
    <row r="5158" spans="1:2" ht="12.75" x14ac:dyDescent="0.2">
      <c r="A5158" s="3"/>
      <c r="B5158" s="4"/>
    </row>
    <row r="5159" spans="1:2" ht="12.75" x14ac:dyDescent="0.2">
      <c r="A5159" s="3"/>
      <c r="B5159" s="4"/>
    </row>
    <row r="5160" spans="1:2" ht="12.75" x14ac:dyDescent="0.2">
      <c r="A5160" s="3"/>
      <c r="B5160" s="4"/>
    </row>
    <row r="5161" spans="1:2" ht="12.75" x14ac:dyDescent="0.2">
      <c r="A5161" s="3"/>
      <c r="B5161" s="4"/>
    </row>
    <row r="5162" spans="1:2" ht="12.75" x14ac:dyDescent="0.2">
      <c r="A5162" s="3"/>
      <c r="B5162" s="4"/>
    </row>
    <row r="5163" spans="1:2" ht="12.75" x14ac:dyDescent="0.2">
      <c r="A5163" s="3"/>
      <c r="B5163" s="4"/>
    </row>
    <row r="5164" spans="1:2" ht="12.75" x14ac:dyDescent="0.2">
      <c r="A5164" s="3"/>
      <c r="B5164" s="4"/>
    </row>
    <row r="5165" spans="1:2" ht="12.75" x14ac:dyDescent="0.2">
      <c r="A5165" s="3"/>
      <c r="B5165" s="4"/>
    </row>
    <row r="5166" spans="1:2" ht="12.75" x14ac:dyDescent="0.2">
      <c r="A5166" s="3"/>
      <c r="B5166" s="4"/>
    </row>
    <row r="5167" spans="1:2" ht="12.75" x14ac:dyDescent="0.2">
      <c r="A5167" s="3"/>
      <c r="B5167" s="4"/>
    </row>
    <row r="5168" spans="1:2" ht="12.75" x14ac:dyDescent="0.2">
      <c r="A5168" s="3"/>
      <c r="B5168" s="4"/>
    </row>
    <row r="5169" spans="1:2" ht="12.75" x14ac:dyDescent="0.2">
      <c r="A5169" s="3"/>
      <c r="B5169" s="4"/>
    </row>
    <row r="5170" spans="1:2" ht="12.75" x14ac:dyDescent="0.2">
      <c r="A5170" s="3"/>
      <c r="B5170" s="4"/>
    </row>
    <row r="5171" spans="1:2" ht="12.75" x14ac:dyDescent="0.2">
      <c r="A5171" s="3"/>
      <c r="B5171" s="4"/>
    </row>
    <row r="5172" spans="1:2" ht="12.75" x14ac:dyDescent="0.2">
      <c r="A5172" s="3"/>
      <c r="B5172" s="4"/>
    </row>
    <row r="5173" spans="1:2" ht="12.75" x14ac:dyDescent="0.2">
      <c r="A5173" s="3"/>
      <c r="B5173" s="4"/>
    </row>
    <row r="5174" spans="1:2" ht="12.75" x14ac:dyDescent="0.2">
      <c r="A5174" s="3"/>
      <c r="B5174" s="4"/>
    </row>
    <row r="5175" spans="1:2" ht="12.75" x14ac:dyDescent="0.2">
      <c r="A5175" s="3"/>
      <c r="B5175" s="4"/>
    </row>
    <row r="5176" spans="1:2" ht="12.75" x14ac:dyDescent="0.2">
      <c r="A5176" s="3"/>
      <c r="B5176" s="4"/>
    </row>
    <row r="5177" spans="1:2" ht="12.75" x14ac:dyDescent="0.2">
      <c r="A5177" s="3"/>
      <c r="B5177" s="4"/>
    </row>
    <row r="5178" spans="1:2" ht="12.75" x14ac:dyDescent="0.2">
      <c r="A5178" s="3"/>
      <c r="B5178" s="4"/>
    </row>
    <row r="5179" spans="1:2" ht="12.75" x14ac:dyDescent="0.2">
      <c r="A5179" s="3"/>
      <c r="B5179" s="4"/>
    </row>
    <row r="5180" spans="1:2" ht="12.75" x14ac:dyDescent="0.2">
      <c r="A5180" s="3"/>
      <c r="B5180" s="4"/>
    </row>
    <row r="5181" spans="1:2" ht="12.75" x14ac:dyDescent="0.2">
      <c r="A5181" s="3"/>
      <c r="B5181" s="4"/>
    </row>
    <row r="5182" spans="1:2" ht="12.75" x14ac:dyDescent="0.2">
      <c r="A5182" s="3"/>
      <c r="B5182" s="4"/>
    </row>
    <row r="5183" spans="1:2" ht="12.75" x14ac:dyDescent="0.2">
      <c r="A5183" s="3"/>
      <c r="B5183" s="4"/>
    </row>
    <row r="5184" spans="1:2" ht="12.75" x14ac:dyDescent="0.2">
      <c r="A5184" s="3"/>
      <c r="B5184" s="4"/>
    </row>
    <row r="5185" spans="1:2" ht="12.75" x14ac:dyDescent="0.2">
      <c r="A5185" s="3"/>
      <c r="B5185" s="4"/>
    </row>
    <row r="5186" spans="1:2" ht="12.75" x14ac:dyDescent="0.2">
      <c r="A5186" s="3"/>
      <c r="B5186" s="4"/>
    </row>
    <row r="5187" spans="1:2" ht="12.75" x14ac:dyDescent="0.2">
      <c r="A5187" s="3"/>
      <c r="B5187" s="4"/>
    </row>
    <row r="5188" spans="1:2" ht="12.75" x14ac:dyDescent="0.2">
      <c r="A5188" s="3"/>
      <c r="B5188" s="4"/>
    </row>
    <row r="5189" spans="1:2" ht="12.75" x14ac:dyDescent="0.2">
      <c r="A5189" s="3"/>
      <c r="B5189" s="4"/>
    </row>
    <row r="5190" spans="1:2" ht="12.75" x14ac:dyDescent="0.2">
      <c r="A5190" s="3"/>
      <c r="B5190" s="4"/>
    </row>
    <row r="5191" spans="1:2" ht="12.75" x14ac:dyDescent="0.2">
      <c r="A5191" s="3"/>
      <c r="B5191" s="4"/>
    </row>
    <row r="5192" spans="1:2" ht="12.75" x14ac:dyDescent="0.2">
      <c r="A5192" s="3"/>
      <c r="B5192" s="4"/>
    </row>
    <row r="5193" spans="1:2" ht="12.75" x14ac:dyDescent="0.2">
      <c r="A5193" s="3"/>
      <c r="B5193" s="4"/>
    </row>
    <row r="5194" spans="1:2" ht="12.75" x14ac:dyDescent="0.2">
      <c r="A5194" s="3"/>
      <c r="B5194" s="4"/>
    </row>
    <row r="5195" spans="1:2" ht="12.75" x14ac:dyDescent="0.2">
      <c r="A5195" s="3"/>
      <c r="B5195" s="4"/>
    </row>
  </sheetData>
  <autoFilter ref="A5:G4694" xr:uid="{5947B730-B61D-418D-8A57-0006EA5EDF12}"/>
  <mergeCells count="90">
    <mergeCell ref="G2610:G2629"/>
    <mergeCell ref="G2630:G2649"/>
    <mergeCell ref="G2650:G2669"/>
    <mergeCell ref="G2670:G2689"/>
    <mergeCell ref="G2690:G2709"/>
    <mergeCell ref="G2710:G2729"/>
    <mergeCell ref="G2730:G2749"/>
    <mergeCell ref="G2750:G2769"/>
    <mergeCell ref="G2770:G2789"/>
    <mergeCell ref="G2790:G2809"/>
    <mergeCell ref="G2810:G2829"/>
    <mergeCell ref="G2830:G2849"/>
    <mergeCell ref="G2850:G2869"/>
    <mergeCell ref="G2870:G2889"/>
    <mergeCell ref="G2890:G2909"/>
    <mergeCell ref="G2910:G2929"/>
    <mergeCell ref="G2930:G2949"/>
    <mergeCell ref="G2950:G2969"/>
    <mergeCell ref="G2970:G2989"/>
    <mergeCell ref="G2990:G3009"/>
    <mergeCell ref="G3010:G3029"/>
    <mergeCell ref="G3030:G3049"/>
    <mergeCell ref="G3050:G3069"/>
    <mergeCell ref="G3070:G3089"/>
    <mergeCell ref="G3090:G3109"/>
    <mergeCell ref="G3110:G3129"/>
    <mergeCell ref="G3130:G3149"/>
    <mergeCell ref="G3150:G3169"/>
    <mergeCell ref="G3310:G3329"/>
    <mergeCell ref="G3330:G3349"/>
    <mergeCell ref="G3350:G3369"/>
    <mergeCell ref="G3370:G3389"/>
    <mergeCell ref="G3390:G3409"/>
    <mergeCell ref="G3410:G3429"/>
    <mergeCell ref="G3170:G3189"/>
    <mergeCell ref="G3190:G3209"/>
    <mergeCell ref="G3210:G3229"/>
    <mergeCell ref="G3230:G3249"/>
    <mergeCell ref="G3250:G3269"/>
    <mergeCell ref="G3270:G3289"/>
    <mergeCell ref="G3290:G3309"/>
    <mergeCell ref="G1593:G1627"/>
    <mergeCell ref="G1628:G1655"/>
    <mergeCell ref="G1656:G1675"/>
    <mergeCell ref="G1676:G1709"/>
    <mergeCell ref="G1710:G1729"/>
    <mergeCell ref="G1730:G1749"/>
    <mergeCell ref="G1750:G1769"/>
    <mergeCell ref="G1770:G1789"/>
    <mergeCell ref="G1790:G1809"/>
    <mergeCell ref="G1810:G1829"/>
    <mergeCell ref="G1830:G1849"/>
    <mergeCell ref="G1850:G1869"/>
    <mergeCell ref="G1870:G1889"/>
    <mergeCell ref="G1890:G1909"/>
    <mergeCell ref="G1910:G1929"/>
    <mergeCell ref="G1930:G1949"/>
    <mergeCell ref="G1950:G1969"/>
    <mergeCell ref="G1970:G1989"/>
    <mergeCell ref="G1990:G2009"/>
    <mergeCell ref="G2010:G2029"/>
    <mergeCell ref="G2030:G2049"/>
    <mergeCell ref="G2050:G2069"/>
    <mergeCell ref="G2070:G2089"/>
    <mergeCell ref="G2090:G2109"/>
    <mergeCell ref="G2110:G2129"/>
    <mergeCell ref="G2130:G2149"/>
    <mergeCell ref="G2150:G2169"/>
    <mergeCell ref="G2170:G2189"/>
    <mergeCell ref="G2190:G2209"/>
    <mergeCell ref="G2210:G2229"/>
    <mergeCell ref="G2230:G2249"/>
    <mergeCell ref="G2250:G2269"/>
    <mergeCell ref="G2270:G2289"/>
    <mergeCell ref="G2290:G2309"/>
    <mergeCell ref="G2310:G2329"/>
    <mergeCell ref="G2330:G2349"/>
    <mergeCell ref="G2350:G2369"/>
    <mergeCell ref="G2370:G2389"/>
    <mergeCell ref="G2390:G2409"/>
    <mergeCell ref="G2410:G2429"/>
    <mergeCell ref="G2530:G2549"/>
    <mergeCell ref="G2550:G2569"/>
    <mergeCell ref="G2570:G2589"/>
    <mergeCell ref="G2590:G2609"/>
    <mergeCell ref="G2430:G2449"/>
    <mergeCell ref="G2450:G2469"/>
    <mergeCell ref="G2470:G2489"/>
    <mergeCell ref="G2490:G2509"/>
    <mergeCell ref="G2510:G2529"/>
  </mergeCells>
  <dataValidations disablePrompts="1" count="3">
    <dataValidation type="list" allowBlank="1" showErrorMessage="1" sqref="C1706:C3505" xr:uid="{00000000-0002-0000-0B00-000000000000}">
      <formula1>$I$9:$I$11</formula1>
    </dataValidation>
    <dataValidation type="list" allowBlank="1" sqref="D1:D360 D362:D535 D537:D1043 D1045:D1354 D1356:D5195" xr:uid="{00000000-0002-0000-0B00-000001000000}">
      <formula1>$J$4:$J$82</formula1>
    </dataValidation>
    <dataValidation type="list" allowBlank="1" showErrorMessage="1" sqref="C6:C1705 C3506:C5195" xr:uid="{00000000-0002-0000-0B00-000002000000}">
      <formula1>$I$4:$I$14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B00-000003000000}">
          <x14:formula1>
            <xm:f>'Copia de Localidades'!$A$3:$A$105</xm:f>
          </x14:formula1>
          <xm:sqref>B1:B5195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2:J872"/>
  <sheetViews>
    <sheetView workbookViewId="0">
      <selection activeCell="E715" sqref="E715"/>
    </sheetView>
  </sheetViews>
  <sheetFormatPr baseColWidth="10" defaultColWidth="14.42578125" defaultRowHeight="15.75" customHeight="1" x14ac:dyDescent="0.2"/>
  <cols>
    <col min="1" max="1" width="7.42578125" customWidth="1"/>
    <col min="2" max="2" width="33.7109375" customWidth="1"/>
    <col min="3" max="3" width="15.7109375" customWidth="1"/>
    <col min="4" max="4" width="31" customWidth="1"/>
    <col min="10" max="10" width="42.7109375" customWidth="1"/>
  </cols>
  <sheetData>
    <row r="2" spans="1:10" ht="15.75" customHeight="1" x14ac:dyDescent="0.2">
      <c r="B2" s="18"/>
      <c r="G2" s="13"/>
    </row>
    <row r="3" spans="1:10" ht="15.75" customHeight="1" x14ac:dyDescent="0.2">
      <c r="B3" s="18"/>
      <c r="G3" s="13"/>
      <c r="I3" s="14" t="s">
        <v>0</v>
      </c>
      <c r="J3" s="14" t="s">
        <v>1</v>
      </c>
    </row>
    <row r="4" spans="1:10" ht="15.75" customHeight="1" x14ac:dyDescent="0.2">
      <c r="B4" s="18"/>
      <c r="G4" s="13"/>
      <c r="I4" s="3" t="s">
        <v>2</v>
      </c>
      <c r="J4" s="3" t="s">
        <v>3</v>
      </c>
    </row>
    <row r="5" spans="1:10" ht="15.75" customHeight="1" x14ac:dyDescent="0.2">
      <c r="A5" s="31" t="s">
        <v>4</v>
      </c>
      <c r="B5" s="17" t="s">
        <v>40</v>
      </c>
      <c r="C5" s="31" t="s">
        <v>6</v>
      </c>
      <c r="D5" s="31" t="s">
        <v>1</v>
      </c>
      <c r="E5" s="31" t="s">
        <v>7</v>
      </c>
      <c r="F5" s="31" t="s">
        <v>8</v>
      </c>
      <c r="G5" s="19" t="s">
        <v>271</v>
      </c>
      <c r="I5" s="3" t="s">
        <v>10</v>
      </c>
      <c r="J5" s="3" t="s">
        <v>11</v>
      </c>
    </row>
    <row r="6" spans="1:10" ht="15.75" hidden="1" customHeight="1" x14ac:dyDescent="0.2">
      <c r="A6" s="3">
        <v>1</v>
      </c>
      <c r="B6" s="4" t="s">
        <v>12</v>
      </c>
      <c r="C6" s="3" t="s">
        <v>125</v>
      </c>
      <c r="D6" s="3" t="s">
        <v>3</v>
      </c>
      <c r="E6" s="3">
        <v>489</v>
      </c>
      <c r="G6" s="59">
        <v>1505</v>
      </c>
      <c r="I6" s="3" t="s">
        <v>13</v>
      </c>
      <c r="J6" s="3" t="s">
        <v>14</v>
      </c>
    </row>
    <row r="7" spans="1:10" ht="15.75" hidden="1" customHeight="1" x14ac:dyDescent="0.2">
      <c r="A7" s="3">
        <v>1</v>
      </c>
      <c r="B7" s="4" t="s">
        <v>12</v>
      </c>
      <c r="C7" s="3" t="s">
        <v>125</v>
      </c>
      <c r="D7" s="3" t="s">
        <v>16</v>
      </c>
      <c r="E7" s="3">
        <v>19</v>
      </c>
      <c r="G7" s="57"/>
      <c r="I7" s="3" t="s">
        <v>15</v>
      </c>
      <c r="J7" s="3" t="s">
        <v>16</v>
      </c>
    </row>
    <row r="8" spans="1:10" ht="15.75" hidden="1" customHeight="1" x14ac:dyDescent="0.2">
      <c r="A8" s="3">
        <v>1</v>
      </c>
      <c r="B8" s="4" t="s">
        <v>12</v>
      </c>
      <c r="C8" s="3" t="s">
        <v>125</v>
      </c>
      <c r="D8" s="3" t="s">
        <v>129</v>
      </c>
      <c r="E8" s="3">
        <v>10</v>
      </c>
      <c r="G8" s="57"/>
      <c r="I8" s="3" t="s">
        <v>17</v>
      </c>
      <c r="J8" s="3" t="s">
        <v>18</v>
      </c>
    </row>
    <row r="9" spans="1:10" ht="15.75" hidden="1" customHeight="1" x14ac:dyDescent="0.2">
      <c r="A9" s="3">
        <v>1</v>
      </c>
      <c r="B9" s="4" t="s">
        <v>12</v>
      </c>
      <c r="C9" s="3" t="s">
        <v>125</v>
      </c>
      <c r="D9" s="3" t="s">
        <v>132</v>
      </c>
      <c r="E9" s="3">
        <v>19</v>
      </c>
      <c r="G9" s="57"/>
      <c r="I9" s="3" t="s">
        <v>347</v>
      </c>
      <c r="J9" s="3" t="s">
        <v>19</v>
      </c>
    </row>
    <row r="10" spans="1:10" ht="15.75" hidden="1" customHeight="1" x14ac:dyDescent="0.2">
      <c r="A10" s="3">
        <v>1</v>
      </c>
      <c r="B10" s="4" t="s">
        <v>12</v>
      </c>
      <c r="C10" s="3" t="s">
        <v>125</v>
      </c>
      <c r="D10" s="3" t="s">
        <v>134</v>
      </c>
      <c r="E10" s="3">
        <v>14</v>
      </c>
      <c r="G10" s="57"/>
      <c r="I10" s="3" t="s">
        <v>273</v>
      </c>
      <c r="J10" s="3" t="s">
        <v>274</v>
      </c>
    </row>
    <row r="11" spans="1:10" ht="15.75" hidden="1" customHeight="1" x14ac:dyDescent="0.2">
      <c r="A11" s="3">
        <v>1</v>
      </c>
      <c r="B11" s="4" t="s">
        <v>12</v>
      </c>
      <c r="C11" s="3" t="s">
        <v>125</v>
      </c>
      <c r="D11" s="3" t="s">
        <v>152</v>
      </c>
      <c r="E11" s="3">
        <v>548</v>
      </c>
      <c r="G11" s="57"/>
      <c r="I11" s="3" t="s">
        <v>125</v>
      </c>
      <c r="J11" s="3" t="s">
        <v>20</v>
      </c>
    </row>
    <row r="12" spans="1:10" ht="15.75" hidden="1" customHeight="1" x14ac:dyDescent="0.2">
      <c r="A12" s="3">
        <v>1</v>
      </c>
      <c r="B12" s="4" t="s">
        <v>12</v>
      </c>
      <c r="C12" s="3" t="s">
        <v>125</v>
      </c>
      <c r="D12" s="3" t="s">
        <v>138</v>
      </c>
      <c r="E12" s="3">
        <v>44</v>
      </c>
      <c r="G12" s="57"/>
      <c r="J12" s="3" t="s">
        <v>21</v>
      </c>
    </row>
    <row r="13" spans="1:10" ht="15.75" hidden="1" customHeight="1" x14ac:dyDescent="0.2">
      <c r="A13" s="3">
        <v>1</v>
      </c>
      <c r="B13" s="4" t="s">
        <v>12</v>
      </c>
      <c r="C13" s="3" t="s">
        <v>125</v>
      </c>
      <c r="D13" s="3" t="s">
        <v>14</v>
      </c>
      <c r="E13" s="3">
        <v>13</v>
      </c>
      <c r="F13">
        <f>SUM(E6:E13)</f>
        <v>1156</v>
      </c>
      <c r="G13" s="57"/>
      <c r="J13" s="3" t="s">
        <v>22</v>
      </c>
    </row>
    <row r="14" spans="1:10" ht="15.75" hidden="1" customHeight="1" x14ac:dyDescent="0.2">
      <c r="A14" s="3">
        <v>2</v>
      </c>
      <c r="B14" s="4" t="s">
        <v>25</v>
      </c>
      <c r="C14" s="3" t="s">
        <v>125</v>
      </c>
      <c r="D14" s="3" t="s">
        <v>3</v>
      </c>
      <c r="E14" s="3">
        <v>1490</v>
      </c>
      <c r="G14" s="59">
        <v>4555</v>
      </c>
      <c r="J14" s="3" t="s">
        <v>275</v>
      </c>
    </row>
    <row r="15" spans="1:10" ht="15.75" hidden="1" customHeight="1" x14ac:dyDescent="0.2">
      <c r="A15" s="3">
        <v>2</v>
      </c>
      <c r="B15" s="4" t="s">
        <v>25</v>
      </c>
      <c r="C15" s="3" t="s">
        <v>125</v>
      </c>
      <c r="D15" s="3" t="s">
        <v>16</v>
      </c>
      <c r="E15" s="3">
        <v>35</v>
      </c>
      <c r="G15" s="57"/>
      <c r="J15" s="3" t="s">
        <v>276</v>
      </c>
    </row>
    <row r="16" spans="1:10" ht="15.75" hidden="1" customHeight="1" x14ac:dyDescent="0.2">
      <c r="A16" s="3">
        <v>2</v>
      </c>
      <c r="B16" s="4" t="s">
        <v>25</v>
      </c>
      <c r="C16" s="3" t="s">
        <v>125</v>
      </c>
      <c r="D16" s="3" t="s">
        <v>129</v>
      </c>
      <c r="E16" s="3">
        <v>24</v>
      </c>
      <c r="G16" s="57"/>
      <c r="J16" s="3" t="s">
        <v>23</v>
      </c>
    </row>
    <row r="17" spans="1:10" ht="15.75" hidden="1" customHeight="1" x14ac:dyDescent="0.2">
      <c r="A17" s="3">
        <v>2</v>
      </c>
      <c r="B17" s="4" t="s">
        <v>25</v>
      </c>
      <c r="C17" s="3" t="s">
        <v>125</v>
      </c>
      <c r="D17" s="3" t="s">
        <v>132</v>
      </c>
      <c r="E17" s="3">
        <v>48</v>
      </c>
      <c r="G17" s="57"/>
      <c r="J17" s="3" t="s">
        <v>24</v>
      </c>
    </row>
    <row r="18" spans="1:10" ht="15.75" hidden="1" customHeight="1" x14ac:dyDescent="0.2">
      <c r="A18" s="3">
        <v>2</v>
      </c>
      <c r="B18" s="4" t="s">
        <v>25</v>
      </c>
      <c r="C18" s="3" t="s">
        <v>125</v>
      </c>
      <c r="D18" s="3" t="s">
        <v>134</v>
      </c>
      <c r="E18" s="3">
        <v>51</v>
      </c>
      <c r="G18" s="57"/>
      <c r="J18" s="3" t="s">
        <v>26</v>
      </c>
    </row>
    <row r="19" spans="1:10" ht="15.75" hidden="1" customHeight="1" x14ac:dyDescent="0.2">
      <c r="A19" s="3">
        <v>2</v>
      </c>
      <c r="B19" s="4" t="s">
        <v>25</v>
      </c>
      <c r="C19" s="3" t="s">
        <v>125</v>
      </c>
      <c r="D19" s="3" t="s">
        <v>152</v>
      </c>
      <c r="E19" s="3">
        <v>1846</v>
      </c>
      <c r="G19" s="57"/>
      <c r="J19" s="3" t="s">
        <v>141</v>
      </c>
    </row>
    <row r="20" spans="1:10" ht="15.75" hidden="1" customHeight="1" x14ac:dyDescent="0.2">
      <c r="A20" s="3">
        <v>2</v>
      </c>
      <c r="B20" s="4" t="s">
        <v>25</v>
      </c>
      <c r="C20" s="3" t="s">
        <v>125</v>
      </c>
      <c r="D20" s="3" t="s">
        <v>138</v>
      </c>
      <c r="E20" s="3">
        <v>132</v>
      </c>
      <c r="G20" s="57"/>
      <c r="J20" s="3" t="s">
        <v>27</v>
      </c>
    </row>
    <row r="21" spans="1:10" ht="15.75" hidden="1" customHeight="1" x14ac:dyDescent="0.2">
      <c r="A21" s="3">
        <v>2</v>
      </c>
      <c r="B21" s="4" t="s">
        <v>25</v>
      </c>
      <c r="C21" s="3" t="s">
        <v>125</v>
      </c>
      <c r="D21" s="3" t="s">
        <v>14</v>
      </c>
      <c r="E21" s="3">
        <v>40</v>
      </c>
      <c r="F21">
        <f>SUM(E14:E21)</f>
        <v>3666</v>
      </c>
      <c r="G21" s="57"/>
      <c r="J21" s="3" t="s">
        <v>28</v>
      </c>
    </row>
    <row r="22" spans="1:10" ht="15.75" hidden="1" customHeight="1" x14ac:dyDescent="0.2">
      <c r="A22" s="3">
        <v>3</v>
      </c>
      <c r="B22" s="4" t="s">
        <v>35</v>
      </c>
      <c r="C22" s="3" t="s">
        <v>125</v>
      </c>
      <c r="D22" s="3" t="s">
        <v>3</v>
      </c>
      <c r="E22" s="3">
        <v>902</v>
      </c>
      <c r="G22" s="59">
        <v>2174</v>
      </c>
      <c r="J22" s="3" t="s">
        <v>29</v>
      </c>
    </row>
    <row r="23" spans="1:10" ht="15.75" hidden="1" customHeight="1" x14ac:dyDescent="0.2">
      <c r="A23" s="3">
        <v>3</v>
      </c>
      <c r="B23" s="4" t="s">
        <v>35</v>
      </c>
      <c r="C23" s="3" t="s">
        <v>125</v>
      </c>
      <c r="D23" s="3" t="s">
        <v>16</v>
      </c>
      <c r="E23" s="3">
        <v>9</v>
      </c>
      <c r="G23" s="57"/>
      <c r="J23" s="3" t="s">
        <v>278</v>
      </c>
    </row>
    <row r="24" spans="1:10" ht="15.75" hidden="1" customHeight="1" x14ac:dyDescent="0.2">
      <c r="A24" s="3">
        <v>3</v>
      </c>
      <c r="B24" s="4" t="s">
        <v>35</v>
      </c>
      <c r="C24" s="3" t="s">
        <v>125</v>
      </c>
      <c r="D24" s="3" t="s">
        <v>129</v>
      </c>
      <c r="E24" s="3">
        <v>8</v>
      </c>
      <c r="G24" s="57"/>
      <c r="J24" s="3" t="s">
        <v>144</v>
      </c>
    </row>
    <row r="25" spans="1:10" ht="15.75" hidden="1" customHeight="1" x14ac:dyDescent="0.2">
      <c r="A25" s="3">
        <v>3</v>
      </c>
      <c r="B25" s="4" t="s">
        <v>35</v>
      </c>
      <c r="C25" s="3" t="s">
        <v>125</v>
      </c>
      <c r="D25" s="3" t="s">
        <v>132</v>
      </c>
      <c r="E25" s="3">
        <v>13</v>
      </c>
      <c r="G25" s="57"/>
      <c r="J25" s="3" t="s">
        <v>30</v>
      </c>
    </row>
    <row r="26" spans="1:10" ht="15.75" hidden="1" customHeight="1" x14ac:dyDescent="0.2">
      <c r="A26" s="3">
        <v>3</v>
      </c>
      <c r="B26" s="4" t="s">
        <v>35</v>
      </c>
      <c r="C26" s="3" t="s">
        <v>125</v>
      </c>
      <c r="D26" s="3" t="s">
        <v>134</v>
      </c>
      <c r="E26" s="3">
        <v>13</v>
      </c>
      <c r="G26" s="57"/>
      <c r="J26" s="3" t="s">
        <v>31</v>
      </c>
    </row>
    <row r="27" spans="1:10" ht="15.75" hidden="1" customHeight="1" x14ac:dyDescent="0.2">
      <c r="A27" s="3">
        <v>3</v>
      </c>
      <c r="B27" s="4" t="s">
        <v>35</v>
      </c>
      <c r="C27" s="3" t="s">
        <v>125</v>
      </c>
      <c r="D27" s="3" t="s">
        <v>152</v>
      </c>
      <c r="E27" s="3">
        <v>666</v>
      </c>
      <c r="G27" s="57"/>
      <c r="J27" s="3" t="s">
        <v>32</v>
      </c>
    </row>
    <row r="28" spans="1:10" ht="15.75" hidden="1" customHeight="1" x14ac:dyDescent="0.2">
      <c r="A28" s="3">
        <v>3</v>
      </c>
      <c r="B28" s="4" t="s">
        <v>35</v>
      </c>
      <c r="C28" s="3" t="s">
        <v>125</v>
      </c>
      <c r="D28" s="3" t="s">
        <v>138</v>
      </c>
      <c r="E28" s="3">
        <v>42</v>
      </c>
      <c r="G28" s="57"/>
      <c r="J28" s="3" t="s">
        <v>33</v>
      </c>
    </row>
    <row r="29" spans="1:10" ht="15.75" hidden="1" customHeight="1" x14ac:dyDescent="0.2">
      <c r="A29" s="3">
        <v>3</v>
      </c>
      <c r="B29" s="4" t="s">
        <v>35</v>
      </c>
      <c r="C29" s="3" t="s">
        <v>125</v>
      </c>
      <c r="D29" s="3" t="s">
        <v>14</v>
      </c>
      <c r="E29" s="3">
        <v>28</v>
      </c>
      <c r="F29">
        <f>SUM(E22:E29)</f>
        <v>1681</v>
      </c>
      <c r="G29" s="57"/>
      <c r="J29" s="3" t="s">
        <v>142</v>
      </c>
    </row>
    <row r="30" spans="1:10" ht="15.75" hidden="1" customHeight="1" x14ac:dyDescent="0.2">
      <c r="A30" s="3">
        <v>4</v>
      </c>
      <c r="B30" s="4" t="s">
        <v>36</v>
      </c>
      <c r="C30" s="3" t="s">
        <v>125</v>
      </c>
      <c r="D30" s="3" t="s">
        <v>3</v>
      </c>
      <c r="E30" s="3">
        <v>280</v>
      </c>
      <c r="G30" s="59">
        <v>659</v>
      </c>
      <c r="J30" s="3" t="s">
        <v>34</v>
      </c>
    </row>
    <row r="31" spans="1:10" ht="15.75" hidden="1" customHeight="1" x14ac:dyDescent="0.2">
      <c r="A31" s="3">
        <v>4</v>
      </c>
      <c r="B31" s="4" t="s">
        <v>36</v>
      </c>
      <c r="C31" s="3" t="s">
        <v>125</v>
      </c>
      <c r="D31" s="3" t="s">
        <v>16</v>
      </c>
      <c r="E31" s="3">
        <v>9</v>
      </c>
      <c r="G31" s="57"/>
      <c r="J31" s="3" t="s">
        <v>279</v>
      </c>
    </row>
    <row r="32" spans="1:10" ht="15.75" hidden="1" customHeight="1" x14ac:dyDescent="0.2">
      <c r="A32" s="3">
        <v>4</v>
      </c>
      <c r="B32" s="4" t="s">
        <v>36</v>
      </c>
      <c r="C32" s="3" t="s">
        <v>125</v>
      </c>
      <c r="D32" s="3" t="s">
        <v>129</v>
      </c>
      <c r="E32" s="3">
        <v>8</v>
      </c>
      <c r="G32" s="57"/>
      <c r="J32" s="3" t="s">
        <v>280</v>
      </c>
    </row>
    <row r="33" spans="1:10" ht="15.75" hidden="1" customHeight="1" x14ac:dyDescent="0.2">
      <c r="A33" s="3">
        <v>4</v>
      </c>
      <c r="B33" s="4" t="s">
        <v>36</v>
      </c>
      <c r="C33" s="3" t="s">
        <v>125</v>
      </c>
      <c r="D33" s="3" t="s">
        <v>132</v>
      </c>
      <c r="E33" s="3">
        <v>7</v>
      </c>
      <c r="G33" s="57"/>
      <c r="J33" s="3" t="s">
        <v>281</v>
      </c>
    </row>
    <row r="34" spans="1:10" ht="15.75" hidden="1" customHeight="1" x14ac:dyDescent="0.2">
      <c r="A34" s="3">
        <v>4</v>
      </c>
      <c r="B34" s="4" t="s">
        <v>36</v>
      </c>
      <c r="C34" s="3" t="s">
        <v>125</v>
      </c>
      <c r="D34" s="3" t="s">
        <v>134</v>
      </c>
      <c r="E34" s="3">
        <v>7</v>
      </c>
      <c r="G34" s="57"/>
      <c r="J34" s="3" t="s">
        <v>282</v>
      </c>
    </row>
    <row r="35" spans="1:10" ht="15.75" hidden="1" customHeight="1" x14ac:dyDescent="0.2">
      <c r="A35" s="3">
        <v>4</v>
      </c>
      <c r="B35" s="4" t="s">
        <v>36</v>
      </c>
      <c r="C35" s="3" t="s">
        <v>125</v>
      </c>
      <c r="D35" s="3" t="s">
        <v>152</v>
      </c>
      <c r="E35" s="3">
        <v>190</v>
      </c>
      <c r="G35" s="57"/>
      <c r="J35" s="3" t="s">
        <v>283</v>
      </c>
    </row>
    <row r="36" spans="1:10" ht="15.75" hidden="1" customHeight="1" x14ac:dyDescent="0.2">
      <c r="A36" s="3">
        <v>4</v>
      </c>
      <c r="B36" s="4" t="s">
        <v>36</v>
      </c>
      <c r="C36" s="3" t="s">
        <v>125</v>
      </c>
      <c r="D36" s="3" t="s">
        <v>138</v>
      </c>
      <c r="E36" s="3">
        <v>16</v>
      </c>
      <c r="G36" s="57"/>
      <c r="J36" s="3" t="s">
        <v>284</v>
      </c>
    </row>
    <row r="37" spans="1:10" ht="15.75" hidden="1" customHeight="1" x14ac:dyDescent="0.2">
      <c r="A37" s="3">
        <v>4</v>
      </c>
      <c r="B37" s="4" t="s">
        <v>36</v>
      </c>
      <c r="C37" s="3" t="s">
        <v>125</v>
      </c>
      <c r="D37" s="3" t="s">
        <v>14</v>
      </c>
      <c r="E37" s="3">
        <v>17</v>
      </c>
      <c r="F37">
        <f>SUM(E30:E37)</f>
        <v>534</v>
      </c>
      <c r="G37" s="57"/>
      <c r="J37" s="3" t="s">
        <v>285</v>
      </c>
    </row>
    <row r="38" spans="1:10" ht="12.75" hidden="1" x14ac:dyDescent="0.2">
      <c r="A38" s="3">
        <v>5</v>
      </c>
      <c r="B38" s="4" t="s">
        <v>37</v>
      </c>
      <c r="C38" s="3" t="s">
        <v>125</v>
      </c>
      <c r="D38" s="3" t="s">
        <v>3</v>
      </c>
      <c r="E38" s="3">
        <v>110</v>
      </c>
      <c r="G38" s="59">
        <v>388</v>
      </c>
      <c r="J38" s="3" t="s">
        <v>286</v>
      </c>
    </row>
    <row r="39" spans="1:10" ht="12.75" hidden="1" x14ac:dyDescent="0.2">
      <c r="A39" s="3">
        <v>5</v>
      </c>
      <c r="B39" s="4" t="s">
        <v>37</v>
      </c>
      <c r="C39" s="3" t="s">
        <v>125</v>
      </c>
      <c r="D39" s="3" t="s">
        <v>16</v>
      </c>
      <c r="E39" s="3">
        <v>0</v>
      </c>
      <c r="G39" s="57"/>
      <c r="J39" s="3" t="s">
        <v>149</v>
      </c>
    </row>
    <row r="40" spans="1:10" ht="12.75" hidden="1" x14ac:dyDescent="0.2">
      <c r="A40" s="3">
        <v>5</v>
      </c>
      <c r="B40" s="4" t="s">
        <v>37</v>
      </c>
      <c r="C40" s="3" t="s">
        <v>125</v>
      </c>
      <c r="D40" s="3" t="s">
        <v>129</v>
      </c>
      <c r="E40" s="3">
        <v>0</v>
      </c>
      <c r="G40" s="57"/>
      <c r="J40" s="3" t="s">
        <v>287</v>
      </c>
    </row>
    <row r="41" spans="1:10" ht="12.75" hidden="1" x14ac:dyDescent="0.2">
      <c r="A41" s="3">
        <v>5</v>
      </c>
      <c r="B41" s="4" t="s">
        <v>37</v>
      </c>
      <c r="C41" s="3" t="s">
        <v>125</v>
      </c>
      <c r="D41" s="3" t="s">
        <v>132</v>
      </c>
      <c r="E41" s="3">
        <v>3</v>
      </c>
      <c r="G41" s="57"/>
      <c r="J41" s="3" t="s">
        <v>288</v>
      </c>
    </row>
    <row r="42" spans="1:10" ht="12.75" hidden="1" x14ac:dyDescent="0.2">
      <c r="A42" s="3">
        <v>5</v>
      </c>
      <c r="B42" s="4" t="s">
        <v>37</v>
      </c>
      <c r="C42" s="3" t="s">
        <v>125</v>
      </c>
      <c r="D42" s="3" t="s">
        <v>134</v>
      </c>
      <c r="E42" s="3">
        <v>2</v>
      </c>
      <c r="G42" s="57"/>
      <c r="J42" s="3" t="s">
        <v>289</v>
      </c>
    </row>
    <row r="43" spans="1:10" ht="12.75" hidden="1" x14ac:dyDescent="0.2">
      <c r="A43" s="3">
        <v>5</v>
      </c>
      <c r="B43" s="4" t="s">
        <v>37</v>
      </c>
      <c r="C43" s="3" t="s">
        <v>125</v>
      </c>
      <c r="D43" s="3" t="s">
        <v>152</v>
      </c>
      <c r="E43" s="3">
        <v>166</v>
      </c>
      <c r="G43" s="57"/>
      <c r="J43" s="3" t="s">
        <v>290</v>
      </c>
    </row>
    <row r="44" spans="1:10" ht="12.75" hidden="1" x14ac:dyDescent="0.2">
      <c r="A44" s="3">
        <v>5</v>
      </c>
      <c r="B44" s="4" t="s">
        <v>37</v>
      </c>
      <c r="C44" s="3" t="s">
        <v>125</v>
      </c>
      <c r="D44" s="3" t="s">
        <v>138</v>
      </c>
      <c r="E44" s="3">
        <v>13</v>
      </c>
      <c r="G44" s="57"/>
      <c r="J44" s="3" t="s">
        <v>291</v>
      </c>
    </row>
    <row r="45" spans="1:10" ht="12.75" hidden="1" x14ac:dyDescent="0.2">
      <c r="A45" s="3">
        <v>5</v>
      </c>
      <c r="B45" s="4" t="s">
        <v>37</v>
      </c>
      <c r="C45" s="3" t="s">
        <v>125</v>
      </c>
      <c r="D45" s="3" t="s">
        <v>14</v>
      </c>
      <c r="E45" s="3">
        <v>7</v>
      </c>
      <c r="F45">
        <f>SUM(E38:E45)</f>
        <v>301</v>
      </c>
      <c r="G45" s="57"/>
      <c r="J45" s="3" t="s">
        <v>292</v>
      </c>
    </row>
    <row r="46" spans="1:10" ht="12.75" hidden="1" x14ac:dyDescent="0.2">
      <c r="A46" s="3">
        <v>6</v>
      </c>
      <c r="B46" s="4" t="s">
        <v>38</v>
      </c>
      <c r="C46" s="3" t="s">
        <v>125</v>
      </c>
      <c r="D46" s="3" t="s">
        <v>3</v>
      </c>
      <c r="E46" s="3">
        <v>556</v>
      </c>
      <c r="G46" s="59">
        <v>1728</v>
      </c>
      <c r="J46" s="3" t="s">
        <v>293</v>
      </c>
    </row>
    <row r="47" spans="1:10" ht="12.75" hidden="1" x14ac:dyDescent="0.2">
      <c r="A47" s="3">
        <v>6</v>
      </c>
      <c r="B47" s="4" t="s">
        <v>38</v>
      </c>
      <c r="C47" s="3" t="s">
        <v>125</v>
      </c>
      <c r="D47" s="3" t="s">
        <v>16</v>
      </c>
      <c r="E47" s="3">
        <v>23</v>
      </c>
      <c r="G47" s="57"/>
      <c r="J47" s="3" t="s">
        <v>140</v>
      </c>
    </row>
    <row r="48" spans="1:10" ht="12.75" hidden="1" x14ac:dyDescent="0.2">
      <c r="A48" s="3">
        <v>6</v>
      </c>
      <c r="B48" s="4" t="s">
        <v>38</v>
      </c>
      <c r="C48" s="3" t="s">
        <v>125</v>
      </c>
      <c r="D48" s="3" t="s">
        <v>129</v>
      </c>
      <c r="E48" s="3">
        <v>24</v>
      </c>
      <c r="G48" s="57"/>
      <c r="J48" s="3" t="s">
        <v>294</v>
      </c>
    </row>
    <row r="49" spans="1:10" ht="12.75" hidden="1" x14ac:dyDescent="0.2">
      <c r="A49" s="3">
        <v>6</v>
      </c>
      <c r="B49" s="4" t="s">
        <v>38</v>
      </c>
      <c r="C49" s="3" t="s">
        <v>125</v>
      </c>
      <c r="D49" s="3" t="s">
        <v>132</v>
      </c>
      <c r="E49" s="3">
        <v>38</v>
      </c>
      <c r="G49" s="57"/>
      <c r="J49" s="3" t="s">
        <v>295</v>
      </c>
    </row>
    <row r="50" spans="1:10" ht="12.75" hidden="1" x14ac:dyDescent="0.2">
      <c r="A50" s="3">
        <v>6</v>
      </c>
      <c r="B50" s="4" t="s">
        <v>38</v>
      </c>
      <c r="C50" s="3" t="s">
        <v>125</v>
      </c>
      <c r="D50" s="3" t="s">
        <v>134</v>
      </c>
      <c r="E50" s="3">
        <v>24</v>
      </c>
      <c r="G50" s="57"/>
      <c r="J50" s="3" t="s">
        <v>296</v>
      </c>
    </row>
    <row r="51" spans="1:10" ht="12.75" hidden="1" x14ac:dyDescent="0.2">
      <c r="A51" s="3">
        <v>6</v>
      </c>
      <c r="B51" s="4" t="s">
        <v>38</v>
      </c>
      <c r="C51" s="3" t="s">
        <v>125</v>
      </c>
      <c r="D51" s="3" t="s">
        <v>152</v>
      </c>
      <c r="E51" s="3">
        <v>622</v>
      </c>
      <c r="G51" s="57"/>
      <c r="J51" s="3" t="s">
        <v>134</v>
      </c>
    </row>
    <row r="52" spans="1:10" ht="12.75" hidden="1" x14ac:dyDescent="0.2">
      <c r="A52" s="3">
        <v>6</v>
      </c>
      <c r="B52" s="4" t="s">
        <v>38</v>
      </c>
      <c r="C52" s="3" t="s">
        <v>125</v>
      </c>
      <c r="D52" s="3" t="s">
        <v>138</v>
      </c>
      <c r="E52" s="3">
        <v>56</v>
      </c>
      <c r="G52" s="57"/>
      <c r="J52" s="3" t="s">
        <v>297</v>
      </c>
    </row>
    <row r="53" spans="1:10" ht="12.75" hidden="1" x14ac:dyDescent="0.2">
      <c r="A53" s="3">
        <v>6</v>
      </c>
      <c r="B53" s="4" t="s">
        <v>38</v>
      </c>
      <c r="C53" s="3" t="s">
        <v>125</v>
      </c>
      <c r="D53" s="3" t="s">
        <v>14</v>
      </c>
      <c r="E53" s="3">
        <v>26</v>
      </c>
      <c r="F53">
        <f>SUM(E46:E53)</f>
        <v>1369</v>
      </c>
      <c r="G53" s="57"/>
      <c r="J53" s="3" t="s">
        <v>298</v>
      </c>
    </row>
    <row r="54" spans="1:10" ht="12.75" hidden="1" x14ac:dyDescent="0.2">
      <c r="A54" s="2" t="s">
        <v>39</v>
      </c>
      <c r="B54" s="4" t="s">
        <v>40</v>
      </c>
      <c r="C54" s="3" t="s">
        <v>125</v>
      </c>
      <c r="D54" s="3" t="s">
        <v>3</v>
      </c>
      <c r="E54" s="3">
        <v>22866</v>
      </c>
      <c r="G54" s="59">
        <v>90619</v>
      </c>
      <c r="J54" s="3" t="s">
        <v>299</v>
      </c>
    </row>
    <row r="55" spans="1:10" ht="12.75" hidden="1" x14ac:dyDescent="0.2">
      <c r="A55" s="2" t="s">
        <v>39</v>
      </c>
      <c r="B55" s="4" t="s">
        <v>40</v>
      </c>
      <c r="C55" s="3" t="s">
        <v>125</v>
      </c>
      <c r="D55" s="3" t="s">
        <v>16</v>
      </c>
      <c r="E55" s="3">
        <v>2397</v>
      </c>
      <c r="G55" s="57"/>
      <c r="J55" s="3" t="s">
        <v>152</v>
      </c>
    </row>
    <row r="56" spans="1:10" ht="12.75" hidden="1" x14ac:dyDescent="0.2">
      <c r="A56" s="2" t="s">
        <v>39</v>
      </c>
      <c r="B56" s="4" t="s">
        <v>40</v>
      </c>
      <c r="C56" s="3" t="s">
        <v>125</v>
      </c>
      <c r="D56" s="3" t="s">
        <v>129</v>
      </c>
      <c r="E56" s="3">
        <v>1989</v>
      </c>
      <c r="G56" s="57"/>
      <c r="J56" s="3" t="s">
        <v>300</v>
      </c>
    </row>
    <row r="57" spans="1:10" ht="12.75" hidden="1" x14ac:dyDescent="0.2">
      <c r="A57" s="2" t="s">
        <v>39</v>
      </c>
      <c r="B57" s="4" t="s">
        <v>40</v>
      </c>
      <c r="C57" s="3" t="s">
        <v>125</v>
      </c>
      <c r="D57" s="3" t="s">
        <v>132</v>
      </c>
      <c r="E57" s="3">
        <v>2448</v>
      </c>
      <c r="G57" s="57"/>
      <c r="J57" s="3" t="s">
        <v>301</v>
      </c>
    </row>
    <row r="58" spans="1:10" ht="12.75" hidden="1" x14ac:dyDescent="0.2">
      <c r="A58" s="2" t="s">
        <v>39</v>
      </c>
      <c r="B58" s="4" t="s">
        <v>40</v>
      </c>
      <c r="C58" s="3" t="s">
        <v>125</v>
      </c>
      <c r="D58" s="3" t="s">
        <v>134</v>
      </c>
      <c r="E58" s="3">
        <v>1479</v>
      </c>
      <c r="G58" s="57"/>
      <c r="J58" s="3"/>
    </row>
    <row r="59" spans="1:10" ht="12.75" hidden="1" x14ac:dyDescent="0.2">
      <c r="A59" s="2" t="s">
        <v>39</v>
      </c>
      <c r="B59" s="4" t="s">
        <v>40</v>
      </c>
      <c r="C59" s="3" t="s">
        <v>125</v>
      </c>
      <c r="D59" s="3" t="s">
        <v>152</v>
      </c>
      <c r="E59" s="3">
        <v>30769</v>
      </c>
      <c r="G59" s="57"/>
      <c r="J59" s="3"/>
    </row>
    <row r="60" spans="1:10" ht="12.75" hidden="1" x14ac:dyDescent="0.2">
      <c r="A60" s="2" t="s">
        <v>39</v>
      </c>
      <c r="B60" s="4" t="s">
        <v>40</v>
      </c>
      <c r="C60" s="3" t="s">
        <v>125</v>
      </c>
      <c r="D60" s="3" t="s">
        <v>138</v>
      </c>
      <c r="E60" s="3">
        <v>2428</v>
      </c>
      <c r="G60" s="57"/>
      <c r="J60" s="3" t="s">
        <v>302</v>
      </c>
    </row>
    <row r="61" spans="1:10" ht="12.75" hidden="1" x14ac:dyDescent="0.2">
      <c r="A61" s="2" t="s">
        <v>39</v>
      </c>
      <c r="B61" s="4" t="s">
        <v>40</v>
      </c>
      <c r="C61" s="3" t="s">
        <v>125</v>
      </c>
      <c r="D61" s="3" t="s">
        <v>14</v>
      </c>
      <c r="E61" s="3">
        <v>878</v>
      </c>
      <c r="F61">
        <f>SUM(E54:E61)</f>
        <v>65254</v>
      </c>
      <c r="G61" s="57"/>
      <c r="J61" s="3" t="s">
        <v>303</v>
      </c>
    </row>
    <row r="62" spans="1:10" ht="12.75" hidden="1" x14ac:dyDescent="0.2">
      <c r="A62" s="3">
        <v>11</v>
      </c>
      <c r="B62" s="4" t="s">
        <v>41</v>
      </c>
      <c r="C62" s="3" t="s">
        <v>125</v>
      </c>
      <c r="D62" s="3" t="s">
        <v>3</v>
      </c>
      <c r="E62" s="3">
        <v>759</v>
      </c>
      <c r="G62" s="59">
        <v>1896</v>
      </c>
      <c r="J62" s="3" t="s">
        <v>304</v>
      </c>
    </row>
    <row r="63" spans="1:10" ht="12.75" hidden="1" x14ac:dyDescent="0.2">
      <c r="A63" s="3">
        <v>11</v>
      </c>
      <c r="B63" s="4" t="s">
        <v>41</v>
      </c>
      <c r="C63" s="3" t="s">
        <v>125</v>
      </c>
      <c r="D63" s="3" t="s">
        <v>16</v>
      </c>
      <c r="E63" s="3">
        <v>30</v>
      </c>
      <c r="G63" s="57"/>
      <c r="J63" s="3" t="s">
        <v>305</v>
      </c>
    </row>
    <row r="64" spans="1:10" ht="12.75" hidden="1" x14ac:dyDescent="0.2">
      <c r="A64" s="3">
        <v>11</v>
      </c>
      <c r="B64" s="4" t="s">
        <v>41</v>
      </c>
      <c r="C64" s="3" t="s">
        <v>125</v>
      </c>
      <c r="D64" s="3" t="s">
        <v>129</v>
      </c>
      <c r="E64" s="3">
        <v>12</v>
      </c>
      <c r="G64" s="57"/>
      <c r="J64" s="3"/>
    </row>
    <row r="65" spans="1:10" ht="12.75" hidden="1" x14ac:dyDescent="0.2">
      <c r="A65" s="3">
        <v>11</v>
      </c>
      <c r="B65" s="4" t="s">
        <v>41</v>
      </c>
      <c r="C65" s="3" t="s">
        <v>125</v>
      </c>
      <c r="D65" s="3" t="s">
        <v>132</v>
      </c>
      <c r="E65" s="3">
        <v>46</v>
      </c>
      <c r="G65" s="57"/>
      <c r="J65" s="3" t="s">
        <v>306</v>
      </c>
    </row>
    <row r="66" spans="1:10" ht="12.75" hidden="1" x14ac:dyDescent="0.2">
      <c r="A66" s="3">
        <v>11</v>
      </c>
      <c r="B66" s="4" t="s">
        <v>41</v>
      </c>
      <c r="C66" s="3" t="s">
        <v>125</v>
      </c>
      <c r="D66" s="3" t="s">
        <v>134</v>
      </c>
      <c r="E66" s="3">
        <v>37</v>
      </c>
      <c r="G66" s="57"/>
      <c r="J66" s="3" t="s">
        <v>318</v>
      </c>
    </row>
    <row r="67" spans="1:10" ht="12.75" hidden="1" x14ac:dyDescent="0.2">
      <c r="A67" s="3">
        <v>11</v>
      </c>
      <c r="B67" s="4" t="s">
        <v>41</v>
      </c>
      <c r="C67" s="3" t="s">
        <v>125</v>
      </c>
      <c r="D67" s="3" t="s">
        <v>152</v>
      </c>
      <c r="E67" s="3">
        <v>421</v>
      </c>
      <c r="G67" s="57"/>
      <c r="J67" s="3" t="s">
        <v>308</v>
      </c>
    </row>
    <row r="68" spans="1:10" ht="12.75" hidden="1" x14ac:dyDescent="0.2">
      <c r="A68" s="3">
        <v>11</v>
      </c>
      <c r="B68" s="4" t="s">
        <v>41</v>
      </c>
      <c r="C68" s="3" t="s">
        <v>125</v>
      </c>
      <c r="D68" s="3" t="s">
        <v>138</v>
      </c>
      <c r="E68" s="3">
        <v>63</v>
      </c>
      <c r="G68" s="57"/>
      <c r="J68" s="3" t="s">
        <v>309</v>
      </c>
    </row>
    <row r="69" spans="1:10" ht="12.75" hidden="1" x14ac:dyDescent="0.2">
      <c r="A69" s="3">
        <v>11</v>
      </c>
      <c r="B69" s="4" t="s">
        <v>41</v>
      </c>
      <c r="C69" s="3" t="s">
        <v>125</v>
      </c>
      <c r="D69" s="3" t="s">
        <v>14</v>
      </c>
      <c r="E69" s="3">
        <v>21</v>
      </c>
      <c r="F69">
        <f>SUM(E62:E69)</f>
        <v>1389</v>
      </c>
      <c r="G69" s="57"/>
      <c r="J69" s="3" t="s">
        <v>310</v>
      </c>
    </row>
    <row r="70" spans="1:10" ht="12.75" hidden="1" x14ac:dyDescent="0.2">
      <c r="A70" s="3">
        <v>13</v>
      </c>
      <c r="B70" s="4" t="s">
        <v>42</v>
      </c>
      <c r="C70" s="3" t="s">
        <v>125</v>
      </c>
      <c r="D70" s="3" t="s">
        <v>3</v>
      </c>
      <c r="E70" s="3">
        <v>1374</v>
      </c>
      <c r="G70" s="59">
        <v>3818</v>
      </c>
      <c r="J70" s="3" t="s">
        <v>311</v>
      </c>
    </row>
    <row r="71" spans="1:10" ht="12.75" hidden="1" x14ac:dyDescent="0.2">
      <c r="A71" s="3">
        <v>13</v>
      </c>
      <c r="B71" s="4" t="s">
        <v>42</v>
      </c>
      <c r="C71" s="3" t="s">
        <v>125</v>
      </c>
      <c r="D71" s="3" t="s">
        <v>16</v>
      </c>
      <c r="E71" s="3">
        <v>18</v>
      </c>
      <c r="G71" s="57"/>
      <c r="J71" s="3" t="s">
        <v>143</v>
      </c>
    </row>
    <row r="72" spans="1:10" ht="12.75" hidden="1" x14ac:dyDescent="0.2">
      <c r="A72" s="3">
        <v>13</v>
      </c>
      <c r="B72" s="4" t="s">
        <v>42</v>
      </c>
      <c r="C72" s="3" t="s">
        <v>125</v>
      </c>
      <c r="D72" s="3" t="s">
        <v>129</v>
      </c>
      <c r="E72" s="3">
        <v>14</v>
      </c>
      <c r="G72" s="57"/>
      <c r="J72" s="3" t="s">
        <v>312</v>
      </c>
    </row>
    <row r="73" spans="1:10" ht="12.75" hidden="1" x14ac:dyDescent="0.2">
      <c r="A73" s="3">
        <v>13</v>
      </c>
      <c r="B73" s="4" t="s">
        <v>42</v>
      </c>
      <c r="C73" s="3" t="s">
        <v>125</v>
      </c>
      <c r="D73" s="3" t="s">
        <v>132</v>
      </c>
      <c r="E73" s="3">
        <v>32</v>
      </c>
      <c r="G73" s="57"/>
      <c r="I73" s="3"/>
      <c r="J73" s="3" t="s">
        <v>313</v>
      </c>
    </row>
    <row r="74" spans="1:10" ht="12.75" hidden="1" x14ac:dyDescent="0.2">
      <c r="A74" s="3">
        <v>13</v>
      </c>
      <c r="B74" s="4" t="s">
        <v>42</v>
      </c>
      <c r="C74" s="3" t="s">
        <v>125</v>
      </c>
      <c r="D74" s="3" t="s">
        <v>134</v>
      </c>
      <c r="E74" s="3">
        <v>36</v>
      </c>
      <c r="G74" s="57"/>
      <c r="J74" s="3" t="s">
        <v>132</v>
      </c>
    </row>
    <row r="75" spans="1:10" ht="12.75" hidden="1" x14ac:dyDescent="0.2">
      <c r="A75" s="3">
        <v>13</v>
      </c>
      <c r="B75" s="4" t="s">
        <v>42</v>
      </c>
      <c r="C75" s="3" t="s">
        <v>125</v>
      </c>
      <c r="D75" s="3" t="s">
        <v>152</v>
      </c>
      <c r="E75" s="3">
        <v>1331</v>
      </c>
      <c r="G75" s="57"/>
      <c r="J75" s="3" t="s">
        <v>138</v>
      </c>
    </row>
    <row r="76" spans="1:10" ht="12.75" hidden="1" x14ac:dyDescent="0.2">
      <c r="A76" s="3">
        <v>13</v>
      </c>
      <c r="B76" s="4" t="s">
        <v>42</v>
      </c>
      <c r="C76" s="3" t="s">
        <v>125</v>
      </c>
      <c r="D76" s="3" t="s">
        <v>138</v>
      </c>
      <c r="E76" s="3">
        <v>72</v>
      </c>
      <c r="G76" s="57"/>
      <c r="J76" s="3" t="s">
        <v>314</v>
      </c>
    </row>
    <row r="77" spans="1:10" ht="12.75" hidden="1" x14ac:dyDescent="0.2">
      <c r="A77" s="3">
        <v>13</v>
      </c>
      <c r="B77" s="4" t="s">
        <v>42</v>
      </c>
      <c r="C77" s="3" t="s">
        <v>125</v>
      </c>
      <c r="D77" s="3" t="s">
        <v>14</v>
      </c>
      <c r="E77" s="3">
        <v>54</v>
      </c>
      <c r="F77">
        <f>SUM(E70:E77)</f>
        <v>2931</v>
      </c>
      <c r="G77" s="57"/>
      <c r="J77" s="3" t="s">
        <v>315</v>
      </c>
    </row>
    <row r="78" spans="1:10" ht="12.75" hidden="1" x14ac:dyDescent="0.2">
      <c r="A78" s="3">
        <v>14</v>
      </c>
      <c r="B78" s="4" t="s">
        <v>153</v>
      </c>
      <c r="C78" s="3" t="s">
        <v>125</v>
      </c>
      <c r="D78" s="3" t="s">
        <v>3</v>
      </c>
      <c r="E78" s="3">
        <v>15</v>
      </c>
      <c r="G78" s="59">
        <v>56</v>
      </c>
      <c r="J78" s="3" t="s">
        <v>316</v>
      </c>
    </row>
    <row r="79" spans="1:10" ht="12.75" hidden="1" x14ac:dyDescent="0.2">
      <c r="A79" s="3">
        <v>14</v>
      </c>
      <c r="B79" s="4" t="s">
        <v>153</v>
      </c>
      <c r="C79" s="3" t="s">
        <v>125</v>
      </c>
      <c r="D79" s="3" t="s">
        <v>16</v>
      </c>
      <c r="E79" s="3">
        <v>1</v>
      </c>
      <c r="G79" s="57"/>
      <c r="J79" s="3" t="s">
        <v>128</v>
      </c>
    </row>
    <row r="80" spans="1:10" ht="12.75" hidden="1" x14ac:dyDescent="0.2">
      <c r="A80" s="3">
        <v>14</v>
      </c>
      <c r="B80" s="4" t="s">
        <v>153</v>
      </c>
      <c r="C80" s="3" t="s">
        <v>125</v>
      </c>
      <c r="D80" s="3" t="s">
        <v>129</v>
      </c>
      <c r="E80" s="3">
        <v>2</v>
      </c>
      <c r="G80" s="57"/>
      <c r="J80" s="3" t="s">
        <v>129</v>
      </c>
    </row>
    <row r="81" spans="1:10" ht="12.75" hidden="1" x14ac:dyDescent="0.2">
      <c r="A81" s="3">
        <v>14</v>
      </c>
      <c r="B81" s="4" t="s">
        <v>153</v>
      </c>
      <c r="C81" s="3" t="s">
        <v>125</v>
      </c>
      <c r="D81" s="3" t="s">
        <v>132</v>
      </c>
      <c r="E81" s="3">
        <v>0</v>
      </c>
      <c r="G81" s="57"/>
      <c r="J81" s="3" t="s">
        <v>317</v>
      </c>
    </row>
    <row r="82" spans="1:10" ht="12.75" hidden="1" x14ac:dyDescent="0.2">
      <c r="A82" s="3">
        <v>14</v>
      </c>
      <c r="B82" s="4" t="s">
        <v>153</v>
      </c>
      <c r="C82" s="3" t="s">
        <v>125</v>
      </c>
      <c r="D82" s="3" t="s">
        <v>134</v>
      </c>
      <c r="E82" s="3">
        <v>0</v>
      </c>
      <c r="G82" s="57"/>
      <c r="J82" s="3"/>
    </row>
    <row r="83" spans="1:10" ht="12.75" hidden="1" x14ac:dyDescent="0.2">
      <c r="A83" s="3">
        <v>14</v>
      </c>
      <c r="B83" s="4" t="s">
        <v>153</v>
      </c>
      <c r="C83" s="3" t="s">
        <v>125</v>
      </c>
      <c r="D83" s="3" t="s">
        <v>152</v>
      </c>
      <c r="E83" s="3">
        <v>22</v>
      </c>
      <c r="G83" s="57"/>
      <c r="J83" s="3"/>
    </row>
    <row r="84" spans="1:10" ht="12.75" hidden="1" x14ac:dyDescent="0.2">
      <c r="A84" s="3">
        <v>14</v>
      </c>
      <c r="B84" s="4" t="s">
        <v>153</v>
      </c>
      <c r="C84" s="3" t="s">
        <v>125</v>
      </c>
      <c r="D84" s="3" t="s">
        <v>138</v>
      </c>
      <c r="E84" s="3">
        <v>4</v>
      </c>
      <c r="G84" s="57"/>
      <c r="J84" s="3"/>
    </row>
    <row r="85" spans="1:10" ht="12.75" hidden="1" x14ac:dyDescent="0.2">
      <c r="A85" s="3">
        <v>14</v>
      </c>
      <c r="B85" s="4" t="s">
        <v>153</v>
      </c>
      <c r="C85" s="3" t="s">
        <v>125</v>
      </c>
      <c r="D85" s="3" t="s">
        <v>14</v>
      </c>
      <c r="E85" s="3">
        <v>2</v>
      </c>
      <c r="F85">
        <f>SUM(E78:E85)</f>
        <v>46</v>
      </c>
      <c r="G85" s="57"/>
      <c r="J85" s="3"/>
    </row>
    <row r="86" spans="1:10" ht="12.75" hidden="1" x14ac:dyDescent="0.2">
      <c r="A86" s="3">
        <v>15</v>
      </c>
      <c r="B86" s="4" t="s">
        <v>43</v>
      </c>
      <c r="C86" s="3" t="s">
        <v>125</v>
      </c>
      <c r="D86" s="3" t="s">
        <v>3</v>
      </c>
      <c r="E86" s="3">
        <v>455</v>
      </c>
      <c r="G86" s="59">
        <v>1572</v>
      </c>
    </row>
    <row r="87" spans="1:10" ht="12.75" hidden="1" x14ac:dyDescent="0.2">
      <c r="A87" s="3">
        <v>15</v>
      </c>
      <c r="B87" s="4" t="s">
        <v>43</v>
      </c>
      <c r="C87" s="3" t="s">
        <v>125</v>
      </c>
      <c r="D87" s="3" t="s">
        <v>16</v>
      </c>
      <c r="E87" s="3">
        <v>7</v>
      </c>
      <c r="G87" s="57"/>
    </row>
    <row r="88" spans="1:10" ht="12.75" hidden="1" x14ac:dyDescent="0.2">
      <c r="A88" s="3">
        <v>15</v>
      </c>
      <c r="B88" s="4" t="s">
        <v>43</v>
      </c>
      <c r="C88" s="3" t="s">
        <v>125</v>
      </c>
      <c r="D88" s="3" t="s">
        <v>129</v>
      </c>
      <c r="E88" s="3">
        <v>10</v>
      </c>
      <c r="G88" s="57"/>
    </row>
    <row r="89" spans="1:10" ht="12.75" hidden="1" x14ac:dyDescent="0.2">
      <c r="A89" s="3">
        <v>15</v>
      </c>
      <c r="B89" s="4" t="s">
        <v>43</v>
      </c>
      <c r="C89" s="3" t="s">
        <v>125</v>
      </c>
      <c r="D89" s="3" t="s">
        <v>132</v>
      </c>
      <c r="E89" s="3">
        <v>19</v>
      </c>
      <c r="G89" s="57"/>
    </row>
    <row r="90" spans="1:10" ht="12.75" hidden="1" x14ac:dyDescent="0.2">
      <c r="A90" s="3">
        <v>15</v>
      </c>
      <c r="B90" s="4" t="s">
        <v>43</v>
      </c>
      <c r="C90" s="3" t="s">
        <v>125</v>
      </c>
      <c r="D90" s="3" t="s">
        <v>134</v>
      </c>
      <c r="E90" s="3">
        <v>17</v>
      </c>
      <c r="G90" s="57"/>
    </row>
    <row r="91" spans="1:10" ht="12.75" hidden="1" x14ac:dyDescent="0.2">
      <c r="A91" s="3">
        <v>15</v>
      </c>
      <c r="B91" s="4" t="s">
        <v>43</v>
      </c>
      <c r="C91" s="3" t="s">
        <v>125</v>
      </c>
      <c r="D91" s="3" t="s">
        <v>152</v>
      </c>
      <c r="E91" s="3">
        <v>657</v>
      </c>
      <c r="G91" s="57"/>
    </row>
    <row r="92" spans="1:10" ht="12.75" hidden="1" x14ac:dyDescent="0.2">
      <c r="A92" s="3">
        <v>15</v>
      </c>
      <c r="B92" s="4" t="s">
        <v>43</v>
      </c>
      <c r="C92" s="3" t="s">
        <v>125</v>
      </c>
      <c r="D92" s="3" t="s">
        <v>138</v>
      </c>
      <c r="E92" s="3">
        <v>51</v>
      </c>
      <c r="G92" s="57"/>
    </row>
    <row r="93" spans="1:10" ht="12.75" hidden="1" x14ac:dyDescent="0.2">
      <c r="A93" s="3">
        <v>15</v>
      </c>
      <c r="B93" s="4" t="s">
        <v>43</v>
      </c>
      <c r="C93" s="3" t="s">
        <v>125</v>
      </c>
      <c r="D93" s="3" t="s">
        <v>14</v>
      </c>
      <c r="E93" s="3">
        <v>22</v>
      </c>
      <c r="F93">
        <f>SUM(E86:E93)</f>
        <v>1238</v>
      </c>
      <c r="G93" s="57"/>
    </row>
    <row r="94" spans="1:10" ht="12.75" hidden="1" x14ac:dyDescent="0.2">
      <c r="A94" s="3">
        <v>16</v>
      </c>
      <c r="B94" s="4" t="s">
        <v>44</v>
      </c>
      <c r="C94" s="3" t="s">
        <v>125</v>
      </c>
      <c r="D94" s="3" t="s">
        <v>3</v>
      </c>
      <c r="E94" s="3">
        <v>297</v>
      </c>
      <c r="G94" s="59">
        <v>879</v>
      </c>
    </row>
    <row r="95" spans="1:10" ht="12.75" hidden="1" x14ac:dyDescent="0.2">
      <c r="A95" s="3">
        <v>16</v>
      </c>
      <c r="B95" s="4" t="s">
        <v>44</v>
      </c>
      <c r="C95" s="3" t="s">
        <v>125</v>
      </c>
      <c r="D95" s="3" t="s">
        <v>16</v>
      </c>
      <c r="E95" s="3">
        <v>6</v>
      </c>
      <c r="G95" s="57"/>
    </row>
    <row r="96" spans="1:10" ht="12.75" hidden="1" x14ac:dyDescent="0.2">
      <c r="A96" s="3">
        <v>16</v>
      </c>
      <c r="B96" s="4" t="s">
        <v>44</v>
      </c>
      <c r="C96" s="3" t="s">
        <v>125</v>
      </c>
      <c r="D96" s="3" t="s">
        <v>129</v>
      </c>
      <c r="E96" s="3">
        <v>3</v>
      </c>
      <c r="G96" s="57"/>
    </row>
    <row r="97" spans="1:7" ht="12.75" hidden="1" x14ac:dyDescent="0.2">
      <c r="A97" s="3">
        <v>16</v>
      </c>
      <c r="B97" s="4" t="s">
        <v>44</v>
      </c>
      <c r="C97" s="3" t="s">
        <v>125</v>
      </c>
      <c r="D97" s="3" t="s">
        <v>132</v>
      </c>
      <c r="E97" s="3">
        <v>12</v>
      </c>
      <c r="G97" s="57"/>
    </row>
    <row r="98" spans="1:7" ht="12.75" hidden="1" x14ac:dyDescent="0.2">
      <c r="A98" s="3">
        <v>16</v>
      </c>
      <c r="B98" s="4" t="s">
        <v>44</v>
      </c>
      <c r="C98" s="3" t="s">
        <v>125</v>
      </c>
      <c r="D98" s="3" t="s">
        <v>134</v>
      </c>
      <c r="E98" s="3">
        <v>8</v>
      </c>
      <c r="G98" s="57"/>
    </row>
    <row r="99" spans="1:7" ht="12.75" hidden="1" x14ac:dyDescent="0.2">
      <c r="A99" s="3">
        <v>16</v>
      </c>
      <c r="B99" s="4" t="s">
        <v>44</v>
      </c>
      <c r="C99" s="3" t="s">
        <v>125</v>
      </c>
      <c r="D99" s="3" t="s">
        <v>152</v>
      </c>
      <c r="E99" s="3">
        <v>369</v>
      </c>
      <c r="G99" s="57"/>
    </row>
    <row r="100" spans="1:7" ht="12.75" hidden="1" x14ac:dyDescent="0.2">
      <c r="A100" s="3">
        <v>16</v>
      </c>
      <c r="B100" s="4" t="s">
        <v>44</v>
      </c>
      <c r="C100" s="3" t="s">
        <v>125</v>
      </c>
      <c r="D100" s="3" t="s">
        <v>138</v>
      </c>
      <c r="E100" s="3">
        <v>19</v>
      </c>
      <c r="G100" s="57"/>
    </row>
    <row r="101" spans="1:7" ht="12.75" hidden="1" x14ac:dyDescent="0.2">
      <c r="A101" s="3">
        <v>16</v>
      </c>
      <c r="B101" s="4" t="s">
        <v>44</v>
      </c>
      <c r="C101" s="3" t="s">
        <v>125</v>
      </c>
      <c r="D101" s="3" t="s">
        <v>14</v>
      </c>
      <c r="E101" s="3">
        <v>10</v>
      </c>
      <c r="F101">
        <f>SUM(E94:E101)</f>
        <v>724</v>
      </c>
      <c r="G101" s="57"/>
    </row>
    <row r="102" spans="1:7" ht="12.75" hidden="1" x14ac:dyDescent="0.2">
      <c r="A102" s="3">
        <v>17</v>
      </c>
      <c r="B102" s="4" t="s">
        <v>45</v>
      </c>
      <c r="C102" s="3" t="s">
        <v>125</v>
      </c>
      <c r="D102" s="3" t="s">
        <v>3</v>
      </c>
      <c r="E102" s="3">
        <v>11</v>
      </c>
      <c r="G102" s="59">
        <v>29</v>
      </c>
    </row>
    <row r="103" spans="1:7" ht="12.75" hidden="1" x14ac:dyDescent="0.2">
      <c r="A103" s="3">
        <v>17</v>
      </c>
      <c r="B103" s="4" t="s">
        <v>45</v>
      </c>
      <c r="C103" s="3" t="s">
        <v>125</v>
      </c>
      <c r="D103" s="3" t="s">
        <v>16</v>
      </c>
      <c r="E103" s="3">
        <v>0</v>
      </c>
      <c r="G103" s="57"/>
    </row>
    <row r="104" spans="1:7" ht="12.75" hidden="1" x14ac:dyDescent="0.2">
      <c r="A104" s="3">
        <v>17</v>
      </c>
      <c r="B104" s="4" t="s">
        <v>45</v>
      </c>
      <c r="C104" s="3" t="s">
        <v>125</v>
      </c>
      <c r="D104" s="3" t="s">
        <v>129</v>
      </c>
      <c r="E104" s="3">
        <v>0</v>
      </c>
      <c r="G104" s="57"/>
    </row>
    <row r="105" spans="1:7" ht="12.75" hidden="1" x14ac:dyDescent="0.2">
      <c r="A105" s="3">
        <v>17</v>
      </c>
      <c r="B105" s="4" t="s">
        <v>45</v>
      </c>
      <c r="C105" s="3" t="s">
        <v>125</v>
      </c>
      <c r="D105" s="3" t="s">
        <v>132</v>
      </c>
      <c r="E105" s="3">
        <v>0</v>
      </c>
      <c r="G105" s="57"/>
    </row>
    <row r="106" spans="1:7" ht="12.75" hidden="1" x14ac:dyDescent="0.2">
      <c r="A106" s="3">
        <v>17</v>
      </c>
      <c r="B106" s="4" t="s">
        <v>45</v>
      </c>
      <c r="C106" s="3" t="s">
        <v>125</v>
      </c>
      <c r="D106" s="3" t="s">
        <v>134</v>
      </c>
      <c r="E106" s="3">
        <v>0</v>
      </c>
      <c r="G106" s="57"/>
    </row>
    <row r="107" spans="1:7" ht="12.75" hidden="1" x14ac:dyDescent="0.2">
      <c r="A107" s="3">
        <v>17</v>
      </c>
      <c r="B107" s="4" t="s">
        <v>45</v>
      </c>
      <c r="C107" s="3" t="s">
        <v>125</v>
      </c>
      <c r="D107" s="3" t="s">
        <v>152</v>
      </c>
      <c r="E107" s="3">
        <v>4</v>
      </c>
      <c r="G107" s="57"/>
    </row>
    <row r="108" spans="1:7" ht="12.75" hidden="1" x14ac:dyDescent="0.2">
      <c r="A108" s="3">
        <v>17</v>
      </c>
      <c r="B108" s="4" t="s">
        <v>45</v>
      </c>
      <c r="C108" s="3" t="s">
        <v>125</v>
      </c>
      <c r="D108" s="3" t="s">
        <v>138</v>
      </c>
      <c r="E108" s="3">
        <v>0</v>
      </c>
      <c r="G108" s="57"/>
    </row>
    <row r="109" spans="1:7" ht="12.75" hidden="1" x14ac:dyDescent="0.2">
      <c r="A109" s="3">
        <v>17</v>
      </c>
      <c r="B109" s="4" t="s">
        <v>45</v>
      </c>
      <c r="C109" s="3" t="s">
        <v>125</v>
      </c>
      <c r="D109" s="3" t="s">
        <v>14</v>
      </c>
      <c r="E109" s="3">
        <v>0</v>
      </c>
      <c r="F109">
        <f>SUM(E102:E109)</f>
        <v>15</v>
      </c>
      <c r="G109" s="57"/>
    </row>
    <row r="110" spans="1:7" ht="12.75" hidden="1" x14ac:dyDescent="0.2">
      <c r="A110" s="3">
        <v>18</v>
      </c>
      <c r="B110" s="4" t="s">
        <v>46</v>
      </c>
      <c r="C110" s="3" t="s">
        <v>125</v>
      </c>
      <c r="D110" s="3" t="s">
        <v>3</v>
      </c>
      <c r="E110" s="3">
        <v>956</v>
      </c>
      <c r="G110" s="59">
        <v>2487</v>
      </c>
    </row>
    <row r="111" spans="1:7" ht="12.75" hidden="1" x14ac:dyDescent="0.2">
      <c r="A111" s="3">
        <v>18</v>
      </c>
      <c r="B111" s="4" t="s">
        <v>46</v>
      </c>
      <c r="C111" s="3" t="s">
        <v>125</v>
      </c>
      <c r="D111" s="3" t="s">
        <v>16</v>
      </c>
      <c r="E111" s="3">
        <v>30</v>
      </c>
      <c r="G111" s="57"/>
    </row>
    <row r="112" spans="1:7" ht="12.75" hidden="1" x14ac:dyDescent="0.2">
      <c r="A112" s="3">
        <v>18</v>
      </c>
      <c r="B112" s="4" t="s">
        <v>46</v>
      </c>
      <c r="C112" s="3" t="s">
        <v>125</v>
      </c>
      <c r="D112" s="3" t="s">
        <v>129</v>
      </c>
      <c r="E112" s="3">
        <v>13</v>
      </c>
      <c r="G112" s="57"/>
    </row>
    <row r="113" spans="1:7" ht="12.75" hidden="1" x14ac:dyDescent="0.2">
      <c r="A113" s="3">
        <v>18</v>
      </c>
      <c r="B113" s="4" t="s">
        <v>46</v>
      </c>
      <c r="C113" s="3" t="s">
        <v>125</v>
      </c>
      <c r="D113" s="3" t="s">
        <v>132</v>
      </c>
      <c r="E113" s="3">
        <v>62</v>
      </c>
      <c r="G113" s="57"/>
    </row>
    <row r="114" spans="1:7" ht="12.75" hidden="1" x14ac:dyDescent="0.2">
      <c r="A114" s="3">
        <v>18</v>
      </c>
      <c r="B114" s="4" t="s">
        <v>46</v>
      </c>
      <c r="C114" s="3" t="s">
        <v>125</v>
      </c>
      <c r="D114" s="3" t="s">
        <v>134</v>
      </c>
      <c r="E114" s="3">
        <v>22</v>
      </c>
      <c r="G114" s="57"/>
    </row>
    <row r="115" spans="1:7" ht="12.75" hidden="1" x14ac:dyDescent="0.2">
      <c r="A115" s="3">
        <v>18</v>
      </c>
      <c r="B115" s="4" t="s">
        <v>46</v>
      </c>
      <c r="C115" s="3" t="s">
        <v>125</v>
      </c>
      <c r="D115" s="3" t="s">
        <v>152</v>
      </c>
      <c r="E115" s="3">
        <v>594</v>
      </c>
      <c r="G115" s="57"/>
    </row>
    <row r="116" spans="1:7" ht="12.75" hidden="1" x14ac:dyDescent="0.2">
      <c r="A116" s="3">
        <v>18</v>
      </c>
      <c r="B116" s="4" t="s">
        <v>46</v>
      </c>
      <c r="C116" s="3" t="s">
        <v>125</v>
      </c>
      <c r="D116" s="3" t="s">
        <v>138</v>
      </c>
      <c r="E116" s="3">
        <v>79</v>
      </c>
      <c r="G116" s="57"/>
    </row>
    <row r="117" spans="1:7" ht="12.75" hidden="1" x14ac:dyDescent="0.2">
      <c r="A117" s="3">
        <v>18</v>
      </c>
      <c r="B117" s="4" t="s">
        <v>46</v>
      </c>
      <c r="C117" s="3" t="s">
        <v>125</v>
      </c>
      <c r="D117" s="3" t="s">
        <v>14</v>
      </c>
      <c r="E117" s="3">
        <v>26</v>
      </c>
      <c r="F117">
        <f>SUM(E110:E117)</f>
        <v>1782</v>
      </c>
      <c r="G117" s="57"/>
    </row>
    <row r="118" spans="1:7" ht="12.75" hidden="1" x14ac:dyDescent="0.2">
      <c r="A118" s="3">
        <v>19</v>
      </c>
      <c r="B118" s="4" t="s">
        <v>47</v>
      </c>
      <c r="C118" s="3" t="s">
        <v>125</v>
      </c>
      <c r="D118" s="3" t="s">
        <v>3</v>
      </c>
      <c r="E118" s="3">
        <v>427</v>
      </c>
      <c r="G118" s="59">
        <v>1573</v>
      </c>
    </row>
    <row r="119" spans="1:7" ht="12.75" hidden="1" x14ac:dyDescent="0.2">
      <c r="A119" s="3">
        <v>19</v>
      </c>
      <c r="B119" s="4" t="s">
        <v>47</v>
      </c>
      <c r="C119" s="3" t="s">
        <v>125</v>
      </c>
      <c r="D119" s="3" t="s">
        <v>16</v>
      </c>
      <c r="E119" s="3">
        <v>12</v>
      </c>
      <c r="G119" s="57"/>
    </row>
    <row r="120" spans="1:7" ht="12.75" hidden="1" x14ac:dyDescent="0.2">
      <c r="A120" s="3">
        <v>19</v>
      </c>
      <c r="B120" s="4" t="s">
        <v>47</v>
      </c>
      <c r="C120" s="3" t="s">
        <v>125</v>
      </c>
      <c r="D120" s="3" t="s">
        <v>129</v>
      </c>
      <c r="E120" s="3">
        <v>11</v>
      </c>
      <c r="G120" s="57"/>
    </row>
    <row r="121" spans="1:7" ht="12.75" hidden="1" x14ac:dyDescent="0.2">
      <c r="A121" s="3">
        <v>19</v>
      </c>
      <c r="B121" s="4" t="s">
        <v>47</v>
      </c>
      <c r="C121" s="3" t="s">
        <v>125</v>
      </c>
      <c r="D121" s="3" t="s">
        <v>132</v>
      </c>
      <c r="E121" s="3">
        <v>40</v>
      </c>
      <c r="G121" s="57"/>
    </row>
    <row r="122" spans="1:7" ht="12.75" hidden="1" x14ac:dyDescent="0.2">
      <c r="A122" s="3">
        <v>19</v>
      </c>
      <c r="B122" s="4" t="s">
        <v>47</v>
      </c>
      <c r="C122" s="3" t="s">
        <v>125</v>
      </c>
      <c r="D122" s="3" t="s">
        <v>134</v>
      </c>
      <c r="E122" s="3">
        <v>22</v>
      </c>
      <c r="G122" s="57"/>
    </row>
    <row r="123" spans="1:7" ht="12.75" hidden="1" x14ac:dyDescent="0.2">
      <c r="A123" s="3">
        <v>19</v>
      </c>
      <c r="B123" s="4" t="s">
        <v>47</v>
      </c>
      <c r="C123" s="3" t="s">
        <v>125</v>
      </c>
      <c r="D123" s="3" t="s">
        <v>152</v>
      </c>
      <c r="E123" s="3">
        <v>578</v>
      </c>
      <c r="G123" s="57"/>
    </row>
    <row r="124" spans="1:7" ht="12.75" hidden="1" x14ac:dyDescent="0.2">
      <c r="A124" s="3">
        <v>19</v>
      </c>
      <c r="B124" s="4" t="s">
        <v>47</v>
      </c>
      <c r="C124" s="3" t="s">
        <v>125</v>
      </c>
      <c r="D124" s="3" t="s">
        <v>138</v>
      </c>
      <c r="E124" s="3">
        <v>12</v>
      </c>
      <c r="G124" s="57"/>
    </row>
    <row r="125" spans="1:7" ht="12.75" hidden="1" x14ac:dyDescent="0.2">
      <c r="A125" s="3">
        <v>19</v>
      </c>
      <c r="B125" s="4" t="s">
        <v>47</v>
      </c>
      <c r="C125" s="3" t="s">
        <v>125</v>
      </c>
      <c r="D125" s="3" t="s">
        <v>14</v>
      </c>
      <c r="E125" s="3">
        <v>52</v>
      </c>
      <c r="F125">
        <f>SUM(E118:E125)</f>
        <v>1154</v>
      </c>
      <c r="G125" s="57"/>
    </row>
    <row r="126" spans="1:7" ht="12.75" hidden="1" x14ac:dyDescent="0.2">
      <c r="A126" s="2" t="s">
        <v>48</v>
      </c>
      <c r="B126" s="4" t="s">
        <v>49</v>
      </c>
      <c r="C126" s="3" t="s">
        <v>125</v>
      </c>
      <c r="D126" s="3" t="s">
        <v>3</v>
      </c>
      <c r="E126" s="3">
        <v>25</v>
      </c>
      <c r="G126" s="59">
        <v>153</v>
      </c>
    </row>
    <row r="127" spans="1:7" ht="12.75" hidden="1" x14ac:dyDescent="0.2">
      <c r="A127" s="2" t="s">
        <v>48</v>
      </c>
      <c r="B127" s="4" t="s">
        <v>49</v>
      </c>
      <c r="C127" s="3" t="s">
        <v>125</v>
      </c>
      <c r="D127" s="3" t="s">
        <v>16</v>
      </c>
      <c r="E127" s="3">
        <v>1</v>
      </c>
      <c r="G127" s="57"/>
    </row>
    <row r="128" spans="1:7" ht="12.75" hidden="1" x14ac:dyDescent="0.2">
      <c r="A128" s="2" t="s">
        <v>48</v>
      </c>
      <c r="B128" s="4" t="s">
        <v>49</v>
      </c>
      <c r="C128" s="3" t="s">
        <v>125</v>
      </c>
      <c r="D128" s="3" t="s">
        <v>129</v>
      </c>
      <c r="E128" s="3">
        <v>0</v>
      </c>
      <c r="G128" s="57"/>
    </row>
    <row r="129" spans="1:7" ht="12.75" hidden="1" x14ac:dyDescent="0.2">
      <c r="A129" s="2" t="s">
        <v>48</v>
      </c>
      <c r="B129" s="4" t="s">
        <v>49</v>
      </c>
      <c r="C129" s="3" t="s">
        <v>125</v>
      </c>
      <c r="D129" s="3" t="s">
        <v>132</v>
      </c>
      <c r="E129" s="3">
        <v>0</v>
      </c>
      <c r="G129" s="57"/>
    </row>
    <row r="130" spans="1:7" ht="12.75" hidden="1" x14ac:dyDescent="0.2">
      <c r="A130" s="2" t="s">
        <v>48</v>
      </c>
      <c r="B130" s="4" t="s">
        <v>49</v>
      </c>
      <c r="C130" s="3" t="s">
        <v>125</v>
      </c>
      <c r="D130" s="3" t="s">
        <v>134</v>
      </c>
      <c r="E130" s="3">
        <v>0</v>
      </c>
      <c r="G130" s="57"/>
    </row>
    <row r="131" spans="1:7" ht="12.75" hidden="1" x14ac:dyDescent="0.2">
      <c r="A131" s="2" t="s">
        <v>48</v>
      </c>
      <c r="B131" s="4" t="s">
        <v>49</v>
      </c>
      <c r="C131" s="3" t="s">
        <v>125</v>
      </c>
      <c r="D131" s="3" t="s">
        <v>152</v>
      </c>
      <c r="E131" s="3">
        <v>94</v>
      </c>
      <c r="G131" s="57"/>
    </row>
    <row r="132" spans="1:7" ht="12.75" hidden="1" x14ac:dyDescent="0.2">
      <c r="A132" s="2" t="s">
        <v>48</v>
      </c>
      <c r="B132" s="4" t="s">
        <v>49</v>
      </c>
      <c r="C132" s="3" t="s">
        <v>125</v>
      </c>
      <c r="D132" s="3" t="s">
        <v>138</v>
      </c>
      <c r="E132" s="3">
        <v>2</v>
      </c>
      <c r="G132" s="57"/>
    </row>
    <row r="133" spans="1:7" ht="12.75" hidden="1" x14ac:dyDescent="0.2">
      <c r="A133" s="2" t="s">
        <v>48</v>
      </c>
      <c r="B133" s="4" t="s">
        <v>49</v>
      </c>
      <c r="C133" s="3" t="s">
        <v>125</v>
      </c>
      <c r="D133" s="3" t="s">
        <v>14</v>
      </c>
      <c r="E133" s="3">
        <v>4</v>
      </c>
      <c r="F133">
        <f>SUM(E126:E133)</f>
        <v>126</v>
      </c>
      <c r="G133" s="57"/>
    </row>
    <row r="134" spans="1:7" ht="12.75" hidden="1" x14ac:dyDescent="0.2">
      <c r="A134" s="3">
        <v>20</v>
      </c>
      <c r="B134" s="4" t="s">
        <v>50</v>
      </c>
      <c r="C134" s="3" t="s">
        <v>125</v>
      </c>
      <c r="D134" s="3" t="s">
        <v>3</v>
      </c>
      <c r="E134" s="3">
        <v>69</v>
      </c>
      <c r="G134" s="59">
        <v>344</v>
      </c>
    </row>
    <row r="135" spans="1:7" ht="12.75" hidden="1" x14ac:dyDescent="0.2">
      <c r="A135" s="3">
        <v>20</v>
      </c>
      <c r="B135" s="4" t="s">
        <v>50</v>
      </c>
      <c r="C135" s="3" t="s">
        <v>125</v>
      </c>
      <c r="D135" s="3" t="s">
        <v>16</v>
      </c>
      <c r="E135" s="3">
        <v>0</v>
      </c>
      <c r="G135" s="57"/>
    </row>
    <row r="136" spans="1:7" ht="12.75" hidden="1" x14ac:dyDescent="0.2">
      <c r="A136" s="3">
        <v>20</v>
      </c>
      <c r="B136" s="4" t="s">
        <v>50</v>
      </c>
      <c r="C136" s="3" t="s">
        <v>125</v>
      </c>
      <c r="D136" s="3" t="s">
        <v>129</v>
      </c>
      <c r="E136" s="3">
        <v>1</v>
      </c>
      <c r="G136" s="57"/>
    </row>
    <row r="137" spans="1:7" ht="12.75" hidden="1" x14ac:dyDescent="0.2">
      <c r="A137" s="3">
        <v>20</v>
      </c>
      <c r="B137" s="4" t="s">
        <v>50</v>
      </c>
      <c r="C137" s="3" t="s">
        <v>125</v>
      </c>
      <c r="D137" s="3" t="s">
        <v>132</v>
      </c>
      <c r="E137" s="3">
        <v>26</v>
      </c>
      <c r="G137" s="57"/>
    </row>
    <row r="138" spans="1:7" ht="12.75" hidden="1" x14ac:dyDescent="0.2">
      <c r="A138" s="3">
        <v>20</v>
      </c>
      <c r="B138" s="4" t="s">
        <v>50</v>
      </c>
      <c r="C138" s="3" t="s">
        <v>125</v>
      </c>
      <c r="D138" s="3" t="s">
        <v>134</v>
      </c>
      <c r="E138" s="3">
        <v>4</v>
      </c>
      <c r="G138" s="57"/>
    </row>
    <row r="139" spans="1:7" ht="12.75" hidden="1" x14ac:dyDescent="0.2">
      <c r="A139" s="3">
        <v>20</v>
      </c>
      <c r="B139" s="4" t="s">
        <v>50</v>
      </c>
      <c r="C139" s="3" t="s">
        <v>125</v>
      </c>
      <c r="D139" s="3" t="s">
        <v>152</v>
      </c>
      <c r="E139" s="3">
        <v>151</v>
      </c>
      <c r="G139" s="57"/>
    </row>
    <row r="140" spans="1:7" ht="12.75" hidden="1" x14ac:dyDescent="0.2">
      <c r="A140" s="3">
        <v>20</v>
      </c>
      <c r="B140" s="4" t="s">
        <v>50</v>
      </c>
      <c r="C140" s="3" t="s">
        <v>125</v>
      </c>
      <c r="D140" s="3" t="s">
        <v>138</v>
      </c>
      <c r="E140" s="3">
        <v>4</v>
      </c>
      <c r="G140" s="57"/>
    </row>
    <row r="141" spans="1:7" ht="12.75" hidden="1" x14ac:dyDescent="0.2">
      <c r="A141" s="3">
        <v>20</v>
      </c>
      <c r="B141" s="4" t="s">
        <v>50</v>
      </c>
      <c r="C141" s="3" t="s">
        <v>125</v>
      </c>
      <c r="D141" s="3" t="s">
        <v>14</v>
      </c>
      <c r="E141" s="3">
        <v>2</v>
      </c>
      <c r="F141">
        <f>SUM(E134:E141)</f>
        <v>257</v>
      </c>
      <c r="G141" s="57"/>
    </row>
    <row r="142" spans="1:7" ht="12.75" hidden="1" x14ac:dyDescent="0.2">
      <c r="A142" s="3">
        <v>21</v>
      </c>
      <c r="B142" s="4" t="s">
        <v>51</v>
      </c>
      <c r="C142" s="3" t="s">
        <v>125</v>
      </c>
      <c r="D142" s="3" t="s">
        <v>3</v>
      </c>
      <c r="E142" s="3">
        <v>116</v>
      </c>
      <c r="G142" s="59">
        <v>678</v>
      </c>
    </row>
    <row r="143" spans="1:7" ht="12.75" hidden="1" x14ac:dyDescent="0.2">
      <c r="A143" s="3">
        <v>21</v>
      </c>
      <c r="B143" s="4" t="s">
        <v>51</v>
      </c>
      <c r="C143" s="3" t="s">
        <v>125</v>
      </c>
      <c r="D143" s="3" t="s">
        <v>16</v>
      </c>
      <c r="E143" s="3">
        <v>5</v>
      </c>
      <c r="G143" s="57"/>
    </row>
    <row r="144" spans="1:7" ht="12.75" hidden="1" x14ac:dyDescent="0.2">
      <c r="A144" s="3">
        <v>21</v>
      </c>
      <c r="B144" s="4" t="s">
        <v>51</v>
      </c>
      <c r="C144" s="3" t="s">
        <v>125</v>
      </c>
      <c r="D144" s="3" t="s">
        <v>129</v>
      </c>
      <c r="E144" s="3">
        <v>8</v>
      </c>
      <c r="G144" s="57"/>
    </row>
    <row r="145" spans="1:7" ht="12.75" hidden="1" x14ac:dyDescent="0.2">
      <c r="A145" s="3">
        <v>21</v>
      </c>
      <c r="B145" s="4" t="s">
        <v>51</v>
      </c>
      <c r="C145" s="3" t="s">
        <v>125</v>
      </c>
      <c r="D145" s="3" t="s">
        <v>132</v>
      </c>
      <c r="E145" s="3">
        <v>17</v>
      </c>
      <c r="G145" s="57"/>
    </row>
    <row r="146" spans="1:7" ht="12.75" hidden="1" x14ac:dyDescent="0.2">
      <c r="A146" s="3">
        <v>21</v>
      </c>
      <c r="B146" s="4" t="s">
        <v>51</v>
      </c>
      <c r="C146" s="3" t="s">
        <v>125</v>
      </c>
      <c r="D146" s="3" t="s">
        <v>134</v>
      </c>
      <c r="E146" s="3">
        <v>6</v>
      </c>
      <c r="G146" s="57"/>
    </row>
    <row r="147" spans="1:7" ht="12.75" hidden="1" x14ac:dyDescent="0.2">
      <c r="A147" s="3">
        <v>21</v>
      </c>
      <c r="B147" s="4" t="s">
        <v>51</v>
      </c>
      <c r="C147" s="3" t="s">
        <v>125</v>
      </c>
      <c r="D147" s="3" t="s">
        <v>152</v>
      </c>
      <c r="E147" s="3">
        <v>259</v>
      </c>
      <c r="G147" s="57"/>
    </row>
    <row r="148" spans="1:7" ht="12.75" hidden="1" x14ac:dyDescent="0.2">
      <c r="A148" s="3">
        <v>21</v>
      </c>
      <c r="B148" s="4" t="s">
        <v>51</v>
      </c>
      <c r="C148" s="3" t="s">
        <v>125</v>
      </c>
      <c r="D148" s="3" t="s">
        <v>138</v>
      </c>
      <c r="E148" s="3">
        <v>32</v>
      </c>
      <c r="G148" s="57"/>
    </row>
    <row r="149" spans="1:7" ht="12.75" hidden="1" x14ac:dyDescent="0.2">
      <c r="A149" s="3">
        <v>21</v>
      </c>
      <c r="B149" s="4" t="s">
        <v>51</v>
      </c>
      <c r="C149" s="3" t="s">
        <v>125</v>
      </c>
      <c r="D149" s="3" t="s">
        <v>14</v>
      </c>
      <c r="E149" s="3">
        <v>12</v>
      </c>
      <c r="F149">
        <f>SUM(E142:E149)</f>
        <v>455</v>
      </c>
      <c r="G149" s="57"/>
    </row>
    <row r="150" spans="1:7" ht="12.75" hidden="1" x14ac:dyDescent="0.2">
      <c r="A150" s="3">
        <v>22</v>
      </c>
      <c r="B150" s="4" t="s">
        <v>52</v>
      </c>
      <c r="C150" s="3" t="s">
        <v>125</v>
      </c>
      <c r="D150" s="3" t="s">
        <v>3</v>
      </c>
      <c r="E150" s="3">
        <v>1706</v>
      </c>
      <c r="G150" s="59">
        <v>7072</v>
      </c>
    </row>
    <row r="151" spans="1:7" ht="12.75" hidden="1" x14ac:dyDescent="0.2">
      <c r="A151" s="3">
        <v>22</v>
      </c>
      <c r="B151" s="4" t="s">
        <v>52</v>
      </c>
      <c r="C151" s="3" t="s">
        <v>125</v>
      </c>
      <c r="D151" s="3" t="s">
        <v>16</v>
      </c>
      <c r="E151" s="3">
        <v>65</v>
      </c>
      <c r="G151" s="57"/>
    </row>
    <row r="152" spans="1:7" ht="12.75" hidden="1" x14ac:dyDescent="0.2">
      <c r="A152" s="3">
        <v>22</v>
      </c>
      <c r="B152" s="4" t="s">
        <v>52</v>
      </c>
      <c r="C152" s="3" t="s">
        <v>125</v>
      </c>
      <c r="D152" s="3" t="s">
        <v>129</v>
      </c>
      <c r="E152" s="3">
        <v>40</v>
      </c>
      <c r="G152" s="57"/>
    </row>
    <row r="153" spans="1:7" ht="12.75" hidden="1" x14ac:dyDescent="0.2">
      <c r="A153" s="3">
        <v>22</v>
      </c>
      <c r="B153" s="4" t="s">
        <v>52</v>
      </c>
      <c r="C153" s="3" t="s">
        <v>125</v>
      </c>
      <c r="D153" s="3" t="s">
        <v>132</v>
      </c>
      <c r="E153" s="3">
        <v>182</v>
      </c>
      <c r="G153" s="57"/>
    </row>
    <row r="154" spans="1:7" ht="12.75" hidden="1" x14ac:dyDescent="0.2">
      <c r="A154" s="3">
        <v>22</v>
      </c>
      <c r="B154" s="4" t="s">
        <v>52</v>
      </c>
      <c r="C154" s="3" t="s">
        <v>125</v>
      </c>
      <c r="D154" s="3" t="s">
        <v>134</v>
      </c>
      <c r="E154" s="3">
        <v>77</v>
      </c>
      <c r="G154" s="57"/>
    </row>
    <row r="155" spans="1:7" ht="12.75" hidden="1" x14ac:dyDescent="0.2">
      <c r="A155" s="3">
        <v>22</v>
      </c>
      <c r="B155" s="4" t="s">
        <v>52</v>
      </c>
      <c r="C155" s="3" t="s">
        <v>125</v>
      </c>
      <c r="D155" s="3" t="s">
        <v>152</v>
      </c>
      <c r="E155" s="3">
        <v>3019</v>
      </c>
      <c r="G155" s="57"/>
    </row>
    <row r="156" spans="1:7" ht="12.75" hidden="1" x14ac:dyDescent="0.2">
      <c r="A156" s="3">
        <v>22</v>
      </c>
      <c r="B156" s="4" t="s">
        <v>52</v>
      </c>
      <c r="C156" s="3" t="s">
        <v>125</v>
      </c>
      <c r="D156" s="3" t="s">
        <v>138</v>
      </c>
      <c r="E156" s="3">
        <v>210</v>
      </c>
      <c r="G156" s="57"/>
    </row>
    <row r="157" spans="1:7" ht="12.75" hidden="1" x14ac:dyDescent="0.2">
      <c r="A157" s="3">
        <v>22</v>
      </c>
      <c r="B157" s="4" t="s">
        <v>52</v>
      </c>
      <c r="C157" s="3" t="s">
        <v>125</v>
      </c>
      <c r="D157" s="3" t="s">
        <v>14</v>
      </c>
      <c r="E157" s="3">
        <v>76</v>
      </c>
      <c r="F157">
        <f>SUM(E150:E157)</f>
        <v>5375</v>
      </c>
      <c r="G157" s="57"/>
    </row>
    <row r="158" spans="1:7" ht="12.75" hidden="1" x14ac:dyDescent="0.2">
      <c r="A158" s="3">
        <v>23</v>
      </c>
      <c r="B158" s="4" t="s">
        <v>53</v>
      </c>
      <c r="C158" s="3" t="s">
        <v>125</v>
      </c>
      <c r="D158" s="3" t="s">
        <v>3</v>
      </c>
      <c r="E158" s="3">
        <v>216</v>
      </c>
      <c r="G158" s="59">
        <v>656</v>
      </c>
    </row>
    <row r="159" spans="1:7" ht="12.75" hidden="1" x14ac:dyDescent="0.2">
      <c r="A159" s="3">
        <v>23</v>
      </c>
      <c r="B159" s="4" t="s">
        <v>53</v>
      </c>
      <c r="C159" s="3" t="s">
        <v>125</v>
      </c>
      <c r="D159" s="3" t="s">
        <v>16</v>
      </c>
      <c r="E159" s="3">
        <v>4</v>
      </c>
      <c r="G159" s="57"/>
    </row>
    <row r="160" spans="1:7" ht="12.75" hidden="1" x14ac:dyDescent="0.2">
      <c r="A160" s="3">
        <v>23</v>
      </c>
      <c r="B160" s="4" t="s">
        <v>53</v>
      </c>
      <c r="C160" s="3" t="s">
        <v>125</v>
      </c>
      <c r="D160" s="3" t="s">
        <v>129</v>
      </c>
      <c r="E160" s="3">
        <v>2</v>
      </c>
      <c r="G160" s="57"/>
    </row>
    <row r="161" spans="1:7" ht="12.75" hidden="1" x14ac:dyDescent="0.2">
      <c r="A161" s="3">
        <v>23</v>
      </c>
      <c r="B161" s="4" t="s">
        <v>53</v>
      </c>
      <c r="C161" s="3" t="s">
        <v>125</v>
      </c>
      <c r="D161" s="3" t="s">
        <v>132</v>
      </c>
      <c r="E161" s="3">
        <v>92</v>
      </c>
      <c r="G161" s="57"/>
    </row>
    <row r="162" spans="1:7" ht="12.75" hidden="1" x14ac:dyDescent="0.2">
      <c r="A162" s="3">
        <v>23</v>
      </c>
      <c r="B162" s="4" t="s">
        <v>53</v>
      </c>
      <c r="C162" s="3" t="s">
        <v>125</v>
      </c>
      <c r="D162" s="3" t="s">
        <v>134</v>
      </c>
      <c r="E162" s="3">
        <v>9</v>
      </c>
      <c r="G162" s="57"/>
    </row>
    <row r="163" spans="1:7" ht="12.75" hidden="1" x14ac:dyDescent="0.2">
      <c r="A163" s="3">
        <v>23</v>
      </c>
      <c r="B163" s="4" t="s">
        <v>53</v>
      </c>
      <c r="C163" s="3" t="s">
        <v>125</v>
      </c>
      <c r="D163" s="3" t="s">
        <v>152</v>
      </c>
      <c r="E163" s="3">
        <v>182</v>
      </c>
      <c r="G163" s="57"/>
    </row>
    <row r="164" spans="1:7" ht="12.75" hidden="1" x14ac:dyDescent="0.2">
      <c r="A164" s="3">
        <v>23</v>
      </c>
      <c r="B164" s="4" t="s">
        <v>53</v>
      </c>
      <c r="C164" s="3" t="s">
        <v>125</v>
      </c>
      <c r="D164" s="3" t="s">
        <v>138</v>
      </c>
      <c r="E164" s="3">
        <v>0</v>
      </c>
      <c r="G164" s="57"/>
    </row>
    <row r="165" spans="1:7" ht="12.75" hidden="1" x14ac:dyDescent="0.2">
      <c r="A165" s="3">
        <v>23</v>
      </c>
      <c r="B165" s="4" t="s">
        <v>53</v>
      </c>
      <c r="C165" s="3" t="s">
        <v>125</v>
      </c>
      <c r="D165" s="3" t="s">
        <v>14</v>
      </c>
      <c r="E165" s="3">
        <v>24</v>
      </c>
      <c r="F165">
        <f>SUM(E158:E165)</f>
        <v>529</v>
      </c>
      <c r="G165" s="57"/>
    </row>
    <row r="166" spans="1:7" ht="12.75" hidden="1" x14ac:dyDescent="0.2">
      <c r="A166" s="3">
        <v>24</v>
      </c>
      <c r="B166" s="4" t="s">
        <v>54</v>
      </c>
      <c r="C166" s="3" t="s">
        <v>125</v>
      </c>
      <c r="D166" s="3" t="s">
        <v>3</v>
      </c>
      <c r="E166" s="3">
        <v>187</v>
      </c>
      <c r="G166" s="59">
        <v>457</v>
      </c>
    </row>
    <row r="167" spans="1:7" ht="12.75" hidden="1" x14ac:dyDescent="0.2">
      <c r="A167" s="3">
        <v>24</v>
      </c>
      <c r="B167" s="4" t="s">
        <v>54</v>
      </c>
      <c r="C167" s="3" t="s">
        <v>125</v>
      </c>
      <c r="D167" s="3" t="s">
        <v>16</v>
      </c>
      <c r="E167" s="3">
        <v>3</v>
      </c>
      <c r="G167" s="57"/>
    </row>
    <row r="168" spans="1:7" ht="12.75" hidden="1" x14ac:dyDescent="0.2">
      <c r="A168" s="3">
        <v>24</v>
      </c>
      <c r="B168" s="4" t="s">
        <v>54</v>
      </c>
      <c r="C168" s="3" t="s">
        <v>125</v>
      </c>
      <c r="D168" s="3" t="s">
        <v>129</v>
      </c>
      <c r="E168" s="3">
        <v>2</v>
      </c>
      <c r="G168" s="57"/>
    </row>
    <row r="169" spans="1:7" ht="12.75" hidden="1" x14ac:dyDescent="0.2">
      <c r="A169" s="3">
        <v>24</v>
      </c>
      <c r="B169" s="4" t="s">
        <v>54</v>
      </c>
      <c r="C169" s="3" t="s">
        <v>125</v>
      </c>
      <c r="D169" s="3" t="s">
        <v>132</v>
      </c>
      <c r="E169" s="3">
        <v>10</v>
      </c>
      <c r="G169" s="57"/>
    </row>
    <row r="170" spans="1:7" ht="12.75" hidden="1" x14ac:dyDescent="0.2">
      <c r="A170" s="3">
        <v>24</v>
      </c>
      <c r="B170" s="4" t="s">
        <v>54</v>
      </c>
      <c r="C170" s="3" t="s">
        <v>125</v>
      </c>
      <c r="D170" s="3" t="s">
        <v>134</v>
      </c>
      <c r="E170" s="3">
        <v>5</v>
      </c>
      <c r="G170" s="57"/>
    </row>
    <row r="171" spans="1:7" ht="12.75" hidden="1" x14ac:dyDescent="0.2">
      <c r="A171" s="3">
        <v>24</v>
      </c>
      <c r="B171" s="4" t="s">
        <v>54</v>
      </c>
      <c r="C171" s="3" t="s">
        <v>125</v>
      </c>
      <c r="D171" s="3" t="s">
        <v>152</v>
      </c>
      <c r="E171" s="3">
        <v>111</v>
      </c>
      <c r="G171" s="57"/>
    </row>
    <row r="172" spans="1:7" ht="12.75" hidden="1" x14ac:dyDescent="0.2">
      <c r="A172" s="3">
        <v>24</v>
      </c>
      <c r="B172" s="4" t="s">
        <v>54</v>
      </c>
      <c r="C172" s="3" t="s">
        <v>125</v>
      </c>
      <c r="D172" s="3" t="s">
        <v>138</v>
      </c>
      <c r="E172" s="3">
        <v>11</v>
      </c>
      <c r="G172" s="57"/>
    </row>
    <row r="173" spans="1:7" ht="12.75" hidden="1" x14ac:dyDescent="0.2">
      <c r="A173" s="3">
        <v>24</v>
      </c>
      <c r="B173" s="4" t="s">
        <v>54</v>
      </c>
      <c r="C173" s="3" t="s">
        <v>125</v>
      </c>
      <c r="D173" s="3" t="s">
        <v>14</v>
      </c>
      <c r="E173" s="3">
        <v>8</v>
      </c>
      <c r="F173">
        <f>SUM(E166:E173)</f>
        <v>337</v>
      </c>
      <c r="G173" s="57"/>
    </row>
    <row r="174" spans="1:7" ht="12.75" hidden="1" x14ac:dyDescent="0.2">
      <c r="A174" s="3">
        <v>25</v>
      </c>
      <c r="B174" s="4" t="s">
        <v>55</v>
      </c>
      <c r="C174" s="3" t="s">
        <v>125</v>
      </c>
      <c r="D174" s="3" t="s">
        <v>3</v>
      </c>
      <c r="E174" s="3">
        <v>380</v>
      </c>
      <c r="G174" s="59">
        <v>816</v>
      </c>
    </row>
    <row r="175" spans="1:7" ht="12.75" hidden="1" x14ac:dyDescent="0.2">
      <c r="A175" s="3">
        <v>25</v>
      </c>
      <c r="B175" s="4" t="s">
        <v>55</v>
      </c>
      <c r="C175" s="3" t="s">
        <v>125</v>
      </c>
      <c r="D175" s="3" t="s">
        <v>16</v>
      </c>
      <c r="E175" s="3">
        <v>3</v>
      </c>
      <c r="G175" s="57"/>
    </row>
    <row r="176" spans="1:7" ht="12.75" hidden="1" x14ac:dyDescent="0.2">
      <c r="A176" s="3">
        <v>25</v>
      </c>
      <c r="B176" s="4" t="s">
        <v>55</v>
      </c>
      <c r="C176" s="3" t="s">
        <v>125</v>
      </c>
      <c r="D176" s="3" t="s">
        <v>129</v>
      </c>
      <c r="E176" s="3">
        <v>3</v>
      </c>
      <c r="G176" s="57"/>
    </row>
    <row r="177" spans="1:7" ht="12.75" hidden="1" x14ac:dyDescent="0.2">
      <c r="A177" s="3">
        <v>25</v>
      </c>
      <c r="B177" s="4" t="s">
        <v>55</v>
      </c>
      <c r="C177" s="3" t="s">
        <v>125</v>
      </c>
      <c r="D177" s="3" t="s">
        <v>132</v>
      </c>
      <c r="E177" s="3">
        <v>74</v>
      </c>
      <c r="G177" s="57"/>
    </row>
    <row r="178" spans="1:7" ht="12.75" hidden="1" x14ac:dyDescent="0.2">
      <c r="A178" s="3">
        <v>25</v>
      </c>
      <c r="B178" s="4" t="s">
        <v>55</v>
      </c>
      <c r="C178" s="3" t="s">
        <v>125</v>
      </c>
      <c r="D178" s="3" t="s">
        <v>134</v>
      </c>
      <c r="E178" s="3">
        <v>3</v>
      </c>
      <c r="G178" s="57"/>
    </row>
    <row r="179" spans="1:7" ht="12.75" hidden="1" x14ac:dyDescent="0.2">
      <c r="A179" s="3">
        <v>25</v>
      </c>
      <c r="B179" s="4" t="s">
        <v>55</v>
      </c>
      <c r="C179" s="3" t="s">
        <v>125</v>
      </c>
      <c r="D179" s="3" t="s">
        <v>152</v>
      </c>
      <c r="E179" s="3">
        <v>63</v>
      </c>
      <c r="G179" s="57"/>
    </row>
    <row r="180" spans="1:7" ht="12.75" hidden="1" x14ac:dyDescent="0.2">
      <c r="A180" s="3">
        <v>25</v>
      </c>
      <c r="B180" s="4" t="s">
        <v>55</v>
      </c>
      <c r="C180" s="3" t="s">
        <v>125</v>
      </c>
      <c r="D180" s="3" t="s">
        <v>138</v>
      </c>
      <c r="E180" s="3">
        <v>9</v>
      </c>
      <c r="G180" s="57"/>
    </row>
    <row r="181" spans="1:7" ht="12.75" hidden="1" x14ac:dyDescent="0.2">
      <c r="A181" s="3">
        <v>25</v>
      </c>
      <c r="B181" s="4" t="s">
        <v>55</v>
      </c>
      <c r="C181" s="3" t="s">
        <v>125</v>
      </c>
      <c r="D181" s="3" t="s">
        <v>14</v>
      </c>
      <c r="E181" s="3">
        <v>8</v>
      </c>
      <c r="F181">
        <f>SUM(E174:E181)</f>
        <v>543</v>
      </c>
      <c r="G181" s="57"/>
    </row>
    <row r="182" spans="1:7" ht="12.75" hidden="1" x14ac:dyDescent="0.2">
      <c r="A182" s="3">
        <v>26</v>
      </c>
      <c r="B182" s="4" t="s">
        <v>56</v>
      </c>
      <c r="C182" s="3" t="s">
        <v>125</v>
      </c>
      <c r="D182" s="3" t="s">
        <v>3</v>
      </c>
      <c r="E182" s="3">
        <v>273</v>
      </c>
      <c r="G182" s="59">
        <v>510</v>
      </c>
    </row>
    <row r="183" spans="1:7" ht="12.75" hidden="1" x14ac:dyDescent="0.2">
      <c r="A183" s="3">
        <v>26</v>
      </c>
      <c r="B183" s="4" t="s">
        <v>56</v>
      </c>
      <c r="C183" s="3" t="s">
        <v>125</v>
      </c>
      <c r="D183" s="3" t="s">
        <v>16</v>
      </c>
      <c r="E183" s="3">
        <v>0</v>
      </c>
      <c r="G183" s="57"/>
    </row>
    <row r="184" spans="1:7" ht="12.75" hidden="1" x14ac:dyDescent="0.2">
      <c r="A184" s="3">
        <v>26</v>
      </c>
      <c r="B184" s="4" t="s">
        <v>56</v>
      </c>
      <c r="C184" s="3" t="s">
        <v>125</v>
      </c>
      <c r="D184" s="3" t="s">
        <v>129</v>
      </c>
      <c r="E184" s="3">
        <v>2</v>
      </c>
      <c r="G184" s="57"/>
    </row>
    <row r="185" spans="1:7" ht="12.75" hidden="1" x14ac:dyDescent="0.2">
      <c r="A185" s="3">
        <v>26</v>
      </c>
      <c r="B185" s="4" t="s">
        <v>56</v>
      </c>
      <c r="C185" s="3" t="s">
        <v>125</v>
      </c>
      <c r="D185" s="3" t="s">
        <v>132</v>
      </c>
      <c r="E185" s="3">
        <v>6</v>
      </c>
      <c r="G185" s="57"/>
    </row>
    <row r="186" spans="1:7" ht="12.75" hidden="1" x14ac:dyDescent="0.2">
      <c r="A186" s="3">
        <v>26</v>
      </c>
      <c r="B186" s="4" t="s">
        <v>56</v>
      </c>
      <c r="C186" s="3" t="s">
        <v>125</v>
      </c>
      <c r="D186" s="3" t="s">
        <v>134</v>
      </c>
      <c r="E186" s="3">
        <v>5</v>
      </c>
      <c r="G186" s="57"/>
    </row>
    <row r="187" spans="1:7" ht="12.75" hidden="1" x14ac:dyDescent="0.2">
      <c r="A187" s="3">
        <v>26</v>
      </c>
      <c r="B187" s="4" t="s">
        <v>56</v>
      </c>
      <c r="C187" s="3" t="s">
        <v>125</v>
      </c>
      <c r="D187" s="3" t="s">
        <v>152</v>
      </c>
      <c r="E187" s="3">
        <v>101</v>
      </c>
      <c r="G187" s="57"/>
    </row>
    <row r="188" spans="1:7" ht="12.75" hidden="1" x14ac:dyDescent="0.2">
      <c r="A188" s="3">
        <v>26</v>
      </c>
      <c r="B188" s="4" t="s">
        <v>56</v>
      </c>
      <c r="C188" s="3" t="s">
        <v>125</v>
      </c>
      <c r="D188" s="3" t="s">
        <v>138</v>
      </c>
      <c r="E188" s="3">
        <v>14</v>
      </c>
      <c r="G188" s="57"/>
    </row>
    <row r="189" spans="1:7" ht="12.75" hidden="1" x14ac:dyDescent="0.2">
      <c r="A189" s="3">
        <v>26</v>
      </c>
      <c r="B189" s="4" t="s">
        <v>56</v>
      </c>
      <c r="C189" s="3" t="s">
        <v>125</v>
      </c>
      <c r="D189" s="3" t="s">
        <v>14</v>
      </c>
      <c r="E189" s="3">
        <v>1</v>
      </c>
      <c r="F189">
        <f>SUM(E182:E189)</f>
        <v>402</v>
      </c>
      <c r="G189" s="57"/>
    </row>
    <row r="190" spans="1:7" ht="12.75" hidden="1" x14ac:dyDescent="0.2">
      <c r="A190" s="3">
        <v>27</v>
      </c>
      <c r="B190" s="4" t="s">
        <v>57</v>
      </c>
      <c r="C190" s="3" t="s">
        <v>125</v>
      </c>
      <c r="D190" s="3" t="s">
        <v>3</v>
      </c>
      <c r="E190" s="3">
        <v>2488</v>
      </c>
      <c r="G190" s="59">
        <v>8766</v>
      </c>
    </row>
    <row r="191" spans="1:7" ht="12.75" hidden="1" x14ac:dyDescent="0.2">
      <c r="A191" s="3">
        <v>27</v>
      </c>
      <c r="B191" s="4" t="s">
        <v>57</v>
      </c>
      <c r="C191" s="3" t="s">
        <v>125</v>
      </c>
      <c r="D191" s="3" t="s">
        <v>16</v>
      </c>
      <c r="E191" s="3">
        <v>83</v>
      </c>
      <c r="G191" s="57"/>
    </row>
    <row r="192" spans="1:7" ht="12.75" hidden="1" x14ac:dyDescent="0.2">
      <c r="A192" s="3">
        <v>27</v>
      </c>
      <c r="B192" s="4" t="s">
        <v>57</v>
      </c>
      <c r="C192" s="3" t="s">
        <v>125</v>
      </c>
      <c r="D192" s="3" t="s">
        <v>129</v>
      </c>
      <c r="E192" s="3">
        <v>106</v>
      </c>
      <c r="G192" s="57"/>
    </row>
    <row r="193" spans="1:7" ht="12.75" hidden="1" x14ac:dyDescent="0.2">
      <c r="A193" s="3">
        <v>27</v>
      </c>
      <c r="B193" s="4" t="s">
        <v>57</v>
      </c>
      <c r="C193" s="3" t="s">
        <v>125</v>
      </c>
      <c r="D193" s="3" t="s">
        <v>132</v>
      </c>
      <c r="E193" s="3">
        <v>235</v>
      </c>
      <c r="G193" s="57"/>
    </row>
    <row r="194" spans="1:7" ht="12.75" hidden="1" x14ac:dyDescent="0.2">
      <c r="A194" s="3">
        <v>27</v>
      </c>
      <c r="B194" s="4" t="s">
        <v>57</v>
      </c>
      <c r="C194" s="3" t="s">
        <v>125</v>
      </c>
      <c r="D194" s="3" t="s">
        <v>134</v>
      </c>
      <c r="E194" s="3">
        <v>78</v>
      </c>
      <c r="G194" s="57"/>
    </row>
    <row r="195" spans="1:7" ht="12.75" hidden="1" x14ac:dyDescent="0.2">
      <c r="A195" s="3">
        <v>27</v>
      </c>
      <c r="B195" s="4" t="s">
        <v>57</v>
      </c>
      <c r="C195" s="3" t="s">
        <v>125</v>
      </c>
      <c r="D195" s="3" t="s">
        <v>152</v>
      </c>
      <c r="E195" s="3">
        <v>3130</v>
      </c>
      <c r="G195" s="57"/>
    </row>
    <row r="196" spans="1:7" ht="12.75" hidden="1" x14ac:dyDescent="0.2">
      <c r="A196" s="3">
        <v>27</v>
      </c>
      <c r="B196" s="4" t="s">
        <v>57</v>
      </c>
      <c r="C196" s="3" t="s">
        <v>125</v>
      </c>
      <c r="D196" s="3" t="s">
        <v>138</v>
      </c>
      <c r="E196" s="3">
        <v>268</v>
      </c>
      <c r="G196" s="57"/>
    </row>
    <row r="197" spans="1:7" ht="12.75" hidden="1" x14ac:dyDescent="0.2">
      <c r="A197" s="3">
        <v>27</v>
      </c>
      <c r="B197" s="4" t="s">
        <v>57</v>
      </c>
      <c r="C197" s="3" t="s">
        <v>125</v>
      </c>
      <c r="D197" s="3" t="s">
        <v>14</v>
      </c>
      <c r="E197" s="3">
        <v>117</v>
      </c>
      <c r="F197">
        <f>SUM(E190:E197)</f>
        <v>6505</v>
      </c>
      <c r="G197" s="57"/>
    </row>
    <row r="198" spans="1:7" ht="12.75" hidden="1" x14ac:dyDescent="0.2">
      <c r="A198" s="3">
        <v>28</v>
      </c>
      <c r="B198" s="4" t="s">
        <v>58</v>
      </c>
      <c r="C198" s="3" t="s">
        <v>125</v>
      </c>
      <c r="D198" s="3" t="s">
        <v>3</v>
      </c>
      <c r="E198" s="3">
        <v>100</v>
      </c>
      <c r="G198" s="59">
        <v>353</v>
      </c>
    </row>
    <row r="199" spans="1:7" ht="12.75" hidden="1" x14ac:dyDescent="0.2">
      <c r="A199" s="3">
        <v>28</v>
      </c>
      <c r="B199" s="4" t="s">
        <v>58</v>
      </c>
      <c r="C199" s="3" t="s">
        <v>125</v>
      </c>
      <c r="D199" s="3" t="s">
        <v>16</v>
      </c>
      <c r="E199" s="3">
        <v>0</v>
      </c>
      <c r="G199" s="57"/>
    </row>
    <row r="200" spans="1:7" ht="12.75" hidden="1" x14ac:dyDescent="0.2">
      <c r="A200" s="3">
        <v>28</v>
      </c>
      <c r="B200" s="4" t="s">
        <v>58</v>
      </c>
      <c r="C200" s="3" t="s">
        <v>125</v>
      </c>
      <c r="D200" s="3" t="s">
        <v>129</v>
      </c>
      <c r="E200" s="3">
        <v>6</v>
      </c>
      <c r="G200" s="57"/>
    </row>
    <row r="201" spans="1:7" ht="12.75" hidden="1" x14ac:dyDescent="0.2">
      <c r="A201" s="3">
        <v>28</v>
      </c>
      <c r="B201" s="4" t="s">
        <v>58</v>
      </c>
      <c r="C201" s="3" t="s">
        <v>125</v>
      </c>
      <c r="D201" s="3" t="s">
        <v>132</v>
      </c>
      <c r="E201" s="3">
        <v>15</v>
      </c>
      <c r="G201" s="57"/>
    </row>
    <row r="202" spans="1:7" ht="12.75" hidden="1" x14ac:dyDescent="0.2">
      <c r="A202" s="3">
        <v>28</v>
      </c>
      <c r="B202" s="4" t="s">
        <v>58</v>
      </c>
      <c r="C202" s="3" t="s">
        <v>125</v>
      </c>
      <c r="D202" s="3" t="s">
        <v>134</v>
      </c>
      <c r="E202" s="3">
        <v>4</v>
      </c>
      <c r="G202" s="57"/>
    </row>
    <row r="203" spans="1:7" ht="12.75" hidden="1" x14ac:dyDescent="0.2">
      <c r="A203" s="3">
        <v>28</v>
      </c>
      <c r="B203" s="4" t="s">
        <v>58</v>
      </c>
      <c r="C203" s="3" t="s">
        <v>125</v>
      </c>
      <c r="D203" s="3" t="s">
        <v>152</v>
      </c>
      <c r="E203" s="3">
        <v>146</v>
      </c>
      <c r="G203" s="57"/>
    </row>
    <row r="204" spans="1:7" ht="12.75" hidden="1" x14ac:dyDescent="0.2">
      <c r="A204" s="3">
        <v>28</v>
      </c>
      <c r="B204" s="4" t="s">
        <v>58</v>
      </c>
      <c r="C204" s="3" t="s">
        <v>125</v>
      </c>
      <c r="D204" s="3" t="s">
        <v>138</v>
      </c>
      <c r="E204" s="3">
        <v>3</v>
      </c>
      <c r="G204" s="57"/>
    </row>
    <row r="205" spans="1:7" ht="12.75" hidden="1" x14ac:dyDescent="0.2">
      <c r="A205" s="3">
        <v>28</v>
      </c>
      <c r="B205" s="4" t="s">
        <v>58</v>
      </c>
      <c r="C205" s="3" t="s">
        <v>125</v>
      </c>
      <c r="D205" s="3" t="s">
        <v>14</v>
      </c>
      <c r="E205" s="3">
        <v>2</v>
      </c>
      <c r="F205">
        <f>SUM(E198:E205)</f>
        <v>276</v>
      </c>
      <c r="G205" s="57"/>
    </row>
    <row r="206" spans="1:7" ht="12.75" hidden="1" x14ac:dyDescent="0.2">
      <c r="A206" s="3">
        <v>29</v>
      </c>
      <c r="B206" s="4" t="s">
        <v>59</v>
      </c>
      <c r="C206" s="3" t="s">
        <v>125</v>
      </c>
      <c r="D206" s="3" t="s">
        <v>3</v>
      </c>
      <c r="E206" s="3">
        <v>183</v>
      </c>
      <c r="G206" s="59">
        <v>532</v>
      </c>
    </row>
    <row r="207" spans="1:7" ht="12.75" hidden="1" x14ac:dyDescent="0.2">
      <c r="A207" s="3">
        <v>29</v>
      </c>
      <c r="B207" s="4" t="s">
        <v>59</v>
      </c>
      <c r="C207" s="3" t="s">
        <v>125</v>
      </c>
      <c r="D207" s="3" t="s">
        <v>16</v>
      </c>
      <c r="E207" s="3">
        <v>3</v>
      </c>
      <c r="G207" s="57"/>
    </row>
    <row r="208" spans="1:7" ht="12.75" hidden="1" x14ac:dyDescent="0.2">
      <c r="A208" s="3">
        <v>29</v>
      </c>
      <c r="B208" s="4" t="s">
        <v>59</v>
      </c>
      <c r="C208" s="3" t="s">
        <v>125</v>
      </c>
      <c r="D208" s="3" t="s">
        <v>129</v>
      </c>
      <c r="E208" s="3">
        <v>2</v>
      </c>
      <c r="G208" s="57"/>
    </row>
    <row r="209" spans="1:7" ht="12.75" hidden="1" x14ac:dyDescent="0.2">
      <c r="A209" s="3">
        <v>29</v>
      </c>
      <c r="B209" s="4" t="s">
        <v>59</v>
      </c>
      <c r="C209" s="3" t="s">
        <v>125</v>
      </c>
      <c r="D209" s="3" t="s">
        <v>132</v>
      </c>
      <c r="E209" s="3">
        <v>28</v>
      </c>
      <c r="G209" s="57"/>
    </row>
    <row r="210" spans="1:7" ht="12.75" hidden="1" x14ac:dyDescent="0.2">
      <c r="A210" s="3">
        <v>29</v>
      </c>
      <c r="B210" s="4" t="s">
        <v>59</v>
      </c>
      <c r="C210" s="3" t="s">
        <v>125</v>
      </c>
      <c r="D210" s="3" t="s">
        <v>134</v>
      </c>
      <c r="E210" s="3">
        <v>5</v>
      </c>
      <c r="G210" s="57"/>
    </row>
    <row r="211" spans="1:7" ht="12.75" hidden="1" x14ac:dyDescent="0.2">
      <c r="A211" s="3">
        <v>29</v>
      </c>
      <c r="B211" s="4" t="s">
        <v>59</v>
      </c>
      <c r="C211" s="3" t="s">
        <v>125</v>
      </c>
      <c r="D211" s="3" t="s">
        <v>152</v>
      </c>
      <c r="E211" s="3">
        <v>178</v>
      </c>
      <c r="G211" s="57"/>
    </row>
    <row r="212" spans="1:7" ht="12.75" hidden="1" x14ac:dyDescent="0.2">
      <c r="A212" s="3">
        <v>29</v>
      </c>
      <c r="B212" s="4" t="s">
        <v>59</v>
      </c>
      <c r="C212" s="3" t="s">
        <v>125</v>
      </c>
      <c r="D212" s="3" t="s">
        <v>138</v>
      </c>
      <c r="E212" s="3">
        <v>14</v>
      </c>
      <c r="G212" s="57"/>
    </row>
    <row r="213" spans="1:7" ht="12.75" hidden="1" x14ac:dyDescent="0.2">
      <c r="A213" s="3">
        <v>29</v>
      </c>
      <c r="B213" s="4" t="s">
        <v>59</v>
      </c>
      <c r="C213" s="3" t="s">
        <v>125</v>
      </c>
      <c r="D213" s="3" t="s">
        <v>14</v>
      </c>
      <c r="E213" s="3">
        <v>6</v>
      </c>
      <c r="F213">
        <f>SUM(E206:E213)</f>
        <v>419</v>
      </c>
      <c r="G213" s="57"/>
    </row>
    <row r="214" spans="1:7" ht="12.75" hidden="1" x14ac:dyDescent="0.2">
      <c r="A214" s="3">
        <v>30</v>
      </c>
      <c r="B214" s="4" t="s">
        <v>60</v>
      </c>
      <c r="C214" s="3" t="s">
        <v>125</v>
      </c>
      <c r="D214" s="3" t="s">
        <v>3</v>
      </c>
      <c r="E214" s="3">
        <v>137</v>
      </c>
      <c r="G214" s="59">
        <v>238</v>
      </c>
    </row>
    <row r="215" spans="1:7" ht="12.75" hidden="1" x14ac:dyDescent="0.2">
      <c r="A215" s="3">
        <v>30</v>
      </c>
      <c r="B215" s="4" t="s">
        <v>60</v>
      </c>
      <c r="C215" s="3" t="s">
        <v>125</v>
      </c>
      <c r="D215" s="3" t="s">
        <v>16</v>
      </c>
      <c r="E215" s="3">
        <v>0</v>
      </c>
      <c r="G215" s="57"/>
    </row>
    <row r="216" spans="1:7" ht="12.75" hidden="1" x14ac:dyDescent="0.2">
      <c r="A216" s="3">
        <v>30</v>
      </c>
      <c r="B216" s="4" t="s">
        <v>60</v>
      </c>
      <c r="C216" s="3" t="s">
        <v>125</v>
      </c>
      <c r="D216" s="3" t="s">
        <v>129</v>
      </c>
      <c r="E216" s="3">
        <v>2</v>
      </c>
      <c r="G216" s="57"/>
    </row>
    <row r="217" spans="1:7" ht="12.75" hidden="1" x14ac:dyDescent="0.2">
      <c r="A217" s="3">
        <v>30</v>
      </c>
      <c r="B217" s="4" t="s">
        <v>60</v>
      </c>
      <c r="C217" s="3" t="s">
        <v>125</v>
      </c>
      <c r="D217" s="3" t="s">
        <v>132</v>
      </c>
      <c r="E217" s="3">
        <v>3</v>
      </c>
      <c r="G217" s="57"/>
    </row>
    <row r="218" spans="1:7" ht="12.75" hidden="1" x14ac:dyDescent="0.2">
      <c r="A218" s="3">
        <v>30</v>
      </c>
      <c r="B218" s="4" t="s">
        <v>60</v>
      </c>
      <c r="C218" s="3" t="s">
        <v>125</v>
      </c>
      <c r="D218" s="3" t="s">
        <v>134</v>
      </c>
      <c r="E218" s="3">
        <v>7</v>
      </c>
      <c r="G218" s="57"/>
    </row>
    <row r="219" spans="1:7" ht="12.75" hidden="1" x14ac:dyDescent="0.2">
      <c r="A219" s="3">
        <v>30</v>
      </c>
      <c r="B219" s="4" t="s">
        <v>60</v>
      </c>
      <c r="C219" s="3" t="s">
        <v>125</v>
      </c>
      <c r="D219" s="3" t="s">
        <v>152</v>
      </c>
      <c r="E219" s="3">
        <v>41</v>
      </c>
      <c r="G219" s="57"/>
    </row>
    <row r="220" spans="1:7" ht="12.75" hidden="1" x14ac:dyDescent="0.2">
      <c r="A220" s="3">
        <v>30</v>
      </c>
      <c r="B220" s="4" t="s">
        <v>60</v>
      </c>
      <c r="C220" s="3" t="s">
        <v>125</v>
      </c>
      <c r="D220" s="3" t="s">
        <v>138</v>
      </c>
      <c r="E220" s="3">
        <v>0</v>
      </c>
      <c r="G220" s="57"/>
    </row>
    <row r="221" spans="1:7" ht="12.75" hidden="1" x14ac:dyDescent="0.2">
      <c r="A221" s="3">
        <v>30</v>
      </c>
      <c r="B221" s="4" t="s">
        <v>60</v>
      </c>
      <c r="C221" s="3" t="s">
        <v>125</v>
      </c>
      <c r="D221" s="3" t="s">
        <v>14</v>
      </c>
      <c r="E221" s="3">
        <v>15</v>
      </c>
      <c r="F221">
        <f>SUM(E214:E221)</f>
        <v>205</v>
      </c>
      <c r="G221" s="57"/>
    </row>
    <row r="222" spans="1:7" ht="12.75" hidden="1" x14ac:dyDescent="0.2">
      <c r="A222" s="3">
        <v>31</v>
      </c>
      <c r="B222" s="4" t="s">
        <v>61</v>
      </c>
      <c r="C222" s="3" t="s">
        <v>125</v>
      </c>
      <c r="D222" s="3" t="s">
        <v>3</v>
      </c>
      <c r="E222" s="3">
        <v>657</v>
      </c>
      <c r="G222" s="59">
        <v>2464</v>
      </c>
    </row>
    <row r="223" spans="1:7" ht="12.75" hidden="1" x14ac:dyDescent="0.2">
      <c r="A223" s="3">
        <v>31</v>
      </c>
      <c r="B223" s="4" t="s">
        <v>61</v>
      </c>
      <c r="C223" s="3" t="s">
        <v>125</v>
      </c>
      <c r="D223" s="3" t="s">
        <v>16</v>
      </c>
      <c r="E223" s="3">
        <v>24</v>
      </c>
      <c r="G223" s="57"/>
    </row>
    <row r="224" spans="1:7" ht="12.75" hidden="1" x14ac:dyDescent="0.2">
      <c r="A224" s="3">
        <v>31</v>
      </c>
      <c r="B224" s="4" t="s">
        <v>61</v>
      </c>
      <c r="C224" s="3" t="s">
        <v>125</v>
      </c>
      <c r="D224" s="3" t="s">
        <v>129</v>
      </c>
      <c r="E224" s="3">
        <v>21</v>
      </c>
      <c r="G224" s="57"/>
    </row>
    <row r="225" spans="1:7" ht="12.75" hidden="1" x14ac:dyDescent="0.2">
      <c r="A225" s="3">
        <v>31</v>
      </c>
      <c r="B225" s="4" t="s">
        <v>61</v>
      </c>
      <c r="C225" s="3" t="s">
        <v>125</v>
      </c>
      <c r="D225" s="3" t="s">
        <v>132</v>
      </c>
      <c r="E225" s="3">
        <v>33</v>
      </c>
      <c r="G225" s="57"/>
    </row>
    <row r="226" spans="1:7" ht="12.75" hidden="1" x14ac:dyDescent="0.2">
      <c r="A226" s="3">
        <v>31</v>
      </c>
      <c r="B226" s="4" t="s">
        <v>61</v>
      </c>
      <c r="C226" s="3" t="s">
        <v>125</v>
      </c>
      <c r="D226" s="3" t="s">
        <v>134</v>
      </c>
      <c r="E226" s="3">
        <v>29</v>
      </c>
      <c r="G226" s="57"/>
    </row>
    <row r="227" spans="1:7" ht="12.75" hidden="1" x14ac:dyDescent="0.2">
      <c r="A227" s="3">
        <v>31</v>
      </c>
      <c r="B227" s="4" t="s">
        <v>61</v>
      </c>
      <c r="C227" s="3" t="s">
        <v>125</v>
      </c>
      <c r="D227" s="3" t="s">
        <v>152</v>
      </c>
      <c r="E227" s="3">
        <v>976</v>
      </c>
      <c r="G227" s="57"/>
    </row>
    <row r="228" spans="1:7" ht="12.75" hidden="1" x14ac:dyDescent="0.2">
      <c r="A228" s="3">
        <v>31</v>
      </c>
      <c r="B228" s="4" t="s">
        <v>61</v>
      </c>
      <c r="C228" s="3" t="s">
        <v>125</v>
      </c>
      <c r="D228" s="3" t="s">
        <v>138</v>
      </c>
      <c r="E228" s="3">
        <v>37</v>
      </c>
      <c r="G228" s="57"/>
    </row>
    <row r="229" spans="1:7" ht="12.75" hidden="1" x14ac:dyDescent="0.2">
      <c r="A229" s="3">
        <v>31</v>
      </c>
      <c r="B229" s="4" t="s">
        <v>61</v>
      </c>
      <c r="C229" s="3" t="s">
        <v>125</v>
      </c>
      <c r="D229" s="3" t="s">
        <v>14</v>
      </c>
      <c r="E229" s="3">
        <v>78</v>
      </c>
      <c r="F229">
        <f>SUM(E222:E229)</f>
        <v>1855</v>
      </c>
      <c r="G229" s="57"/>
    </row>
    <row r="230" spans="1:7" ht="12.75" hidden="1" x14ac:dyDescent="0.2">
      <c r="A230" s="3">
        <v>32</v>
      </c>
      <c r="B230" s="4" t="s">
        <v>62</v>
      </c>
      <c r="C230" s="3" t="s">
        <v>125</v>
      </c>
      <c r="D230" s="3" t="s">
        <v>3</v>
      </c>
      <c r="E230" s="3">
        <v>171</v>
      </c>
      <c r="G230" s="59">
        <v>294</v>
      </c>
    </row>
    <row r="231" spans="1:7" ht="12.75" hidden="1" x14ac:dyDescent="0.2">
      <c r="A231" s="3">
        <v>32</v>
      </c>
      <c r="B231" s="4" t="s">
        <v>62</v>
      </c>
      <c r="C231" s="3" t="s">
        <v>125</v>
      </c>
      <c r="D231" s="3" t="s">
        <v>16</v>
      </c>
      <c r="E231" s="3">
        <v>1</v>
      </c>
      <c r="G231" s="57"/>
    </row>
    <row r="232" spans="1:7" ht="12.75" hidden="1" x14ac:dyDescent="0.2">
      <c r="A232" s="3">
        <v>32</v>
      </c>
      <c r="B232" s="4" t="s">
        <v>62</v>
      </c>
      <c r="C232" s="3" t="s">
        <v>125</v>
      </c>
      <c r="D232" s="3" t="s">
        <v>129</v>
      </c>
      <c r="E232" s="3">
        <v>2</v>
      </c>
      <c r="G232" s="57"/>
    </row>
    <row r="233" spans="1:7" ht="12.75" hidden="1" x14ac:dyDescent="0.2">
      <c r="A233" s="3">
        <v>32</v>
      </c>
      <c r="B233" s="4" t="s">
        <v>62</v>
      </c>
      <c r="C233" s="3" t="s">
        <v>125</v>
      </c>
      <c r="D233" s="3" t="s">
        <v>132</v>
      </c>
      <c r="E233" s="3">
        <v>2</v>
      </c>
      <c r="G233" s="57"/>
    </row>
    <row r="234" spans="1:7" ht="12.75" hidden="1" x14ac:dyDescent="0.2">
      <c r="A234" s="3">
        <v>32</v>
      </c>
      <c r="B234" s="4" t="s">
        <v>62</v>
      </c>
      <c r="C234" s="3" t="s">
        <v>125</v>
      </c>
      <c r="D234" s="3" t="s">
        <v>134</v>
      </c>
      <c r="E234" s="3">
        <v>1</v>
      </c>
      <c r="G234" s="57"/>
    </row>
    <row r="235" spans="1:7" ht="12.75" hidden="1" x14ac:dyDescent="0.2">
      <c r="A235" s="3">
        <v>32</v>
      </c>
      <c r="B235" s="4" t="s">
        <v>62</v>
      </c>
      <c r="C235" s="3" t="s">
        <v>125</v>
      </c>
      <c r="D235" s="3" t="s">
        <v>152</v>
      </c>
      <c r="E235" s="3">
        <v>42</v>
      </c>
      <c r="G235" s="57"/>
    </row>
    <row r="236" spans="1:7" ht="12.75" hidden="1" x14ac:dyDescent="0.2">
      <c r="A236" s="3">
        <v>32</v>
      </c>
      <c r="B236" s="4" t="s">
        <v>62</v>
      </c>
      <c r="C236" s="3" t="s">
        <v>125</v>
      </c>
      <c r="D236" s="3" t="s">
        <v>138</v>
      </c>
      <c r="E236" s="3">
        <v>4</v>
      </c>
      <c r="G236" s="57"/>
    </row>
    <row r="237" spans="1:7" ht="12.75" hidden="1" x14ac:dyDescent="0.2">
      <c r="A237" s="3">
        <v>32</v>
      </c>
      <c r="B237" s="4" t="s">
        <v>62</v>
      </c>
      <c r="C237" s="3" t="s">
        <v>125</v>
      </c>
      <c r="D237" s="3" t="s">
        <v>14</v>
      </c>
      <c r="E237" s="3">
        <v>6</v>
      </c>
      <c r="F237">
        <f>SUM(E230:E237)</f>
        <v>229</v>
      </c>
      <c r="G237" s="57"/>
    </row>
    <row r="238" spans="1:7" ht="12.75" hidden="1" x14ac:dyDescent="0.2">
      <c r="A238" s="3">
        <v>33</v>
      </c>
      <c r="B238" s="4" t="s">
        <v>63</v>
      </c>
      <c r="C238" s="3" t="s">
        <v>125</v>
      </c>
      <c r="D238" s="3" t="s">
        <v>3</v>
      </c>
      <c r="E238" s="3">
        <v>232</v>
      </c>
      <c r="G238" s="59">
        <v>491</v>
      </c>
    </row>
    <row r="239" spans="1:7" ht="12.75" hidden="1" x14ac:dyDescent="0.2">
      <c r="A239" s="3">
        <v>33</v>
      </c>
      <c r="B239" s="4" t="s">
        <v>63</v>
      </c>
      <c r="C239" s="3" t="s">
        <v>125</v>
      </c>
      <c r="D239" s="3" t="s">
        <v>16</v>
      </c>
      <c r="E239" s="3">
        <v>1</v>
      </c>
      <c r="G239" s="57"/>
    </row>
    <row r="240" spans="1:7" ht="12.75" hidden="1" x14ac:dyDescent="0.2">
      <c r="A240" s="3">
        <v>33</v>
      </c>
      <c r="B240" s="4" t="s">
        <v>63</v>
      </c>
      <c r="C240" s="3" t="s">
        <v>125</v>
      </c>
      <c r="D240" s="3" t="s">
        <v>129</v>
      </c>
      <c r="E240" s="3">
        <v>2</v>
      </c>
      <c r="G240" s="57"/>
    </row>
    <row r="241" spans="1:7" ht="12.75" hidden="1" x14ac:dyDescent="0.2">
      <c r="A241" s="3">
        <v>33</v>
      </c>
      <c r="B241" s="4" t="s">
        <v>63</v>
      </c>
      <c r="C241" s="3" t="s">
        <v>125</v>
      </c>
      <c r="D241" s="3" t="s">
        <v>132</v>
      </c>
      <c r="E241" s="3">
        <v>3</v>
      </c>
      <c r="G241" s="57"/>
    </row>
    <row r="242" spans="1:7" ht="12.75" hidden="1" x14ac:dyDescent="0.2">
      <c r="A242" s="3">
        <v>33</v>
      </c>
      <c r="B242" s="4" t="s">
        <v>63</v>
      </c>
      <c r="C242" s="3" t="s">
        <v>125</v>
      </c>
      <c r="D242" s="3" t="s">
        <v>134</v>
      </c>
      <c r="E242" s="3">
        <v>1</v>
      </c>
      <c r="G242" s="57"/>
    </row>
    <row r="243" spans="1:7" ht="12.75" hidden="1" x14ac:dyDescent="0.2">
      <c r="A243" s="3">
        <v>33</v>
      </c>
      <c r="B243" s="4" t="s">
        <v>63</v>
      </c>
      <c r="C243" s="3" t="s">
        <v>125</v>
      </c>
      <c r="D243" s="3" t="s">
        <v>152</v>
      </c>
      <c r="E243" s="3">
        <v>92</v>
      </c>
      <c r="G243" s="57"/>
    </row>
    <row r="244" spans="1:7" ht="12.75" hidden="1" x14ac:dyDescent="0.2">
      <c r="A244" s="3">
        <v>33</v>
      </c>
      <c r="B244" s="4" t="s">
        <v>63</v>
      </c>
      <c r="C244" s="3" t="s">
        <v>125</v>
      </c>
      <c r="D244" s="3" t="s">
        <v>138</v>
      </c>
      <c r="E244" s="3">
        <v>5</v>
      </c>
      <c r="G244" s="57"/>
    </row>
    <row r="245" spans="1:7" ht="12.75" hidden="1" x14ac:dyDescent="0.2">
      <c r="A245" s="3">
        <v>33</v>
      </c>
      <c r="B245" s="4" t="s">
        <v>63</v>
      </c>
      <c r="C245" s="3" t="s">
        <v>125</v>
      </c>
      <c r="D245" s="3" t="s">
        <v>14</v>
      </c>
      <c r="E245" s="3">
        <v>0</v>
      </c>
      <c r="F245">
        <f>SUM(E238:E245)</f>
        <v>336</v>
      </c>
      <c r="G245" s="57"/>
    </row>
    <row r="246" spans="1:7" ht="12.75" hidden="1" x14ac:dyDescent="0.2">
      <c r="A246" s="3">
        <v>34</v>
      </c>
      <c r="B246" s="4" t="s">
        <v>64</v>
      </c>
      <c r="C246" s="3" t="s">
        <v>125</v>
      </c>
      <c r="D246" s="3" t="s">
        <v>3</v>
      </c>
      <c r="E246" s="3">
        <v>637</v>
      </c>
      <c r="G246" s="59">
        <v>1880</v>
      </c>
    </row>
    <row r="247" spans="1:7" ht="12.75" hidden="1" x14ac:dyDescent="0.2">
      <c r="A247" s="3">
        <v>34</v>
      </c>
      <c r="B247" s="4" t="s">
        <v>64</v>
      </c>
      <c r="C247" s="3" t="s">
        <v>125</v>
      </c>
      <c r="D247" s="3" t="s">
        <v>16</v>
      </c>
      <c r="E247" s="3">
        <v>14</v>
      </c>
      <c r="G247" s="57"/>
    </row>
    <row r="248" spans="1:7" ht="12.75" hidden="1" x14ac:dyDescent="0.2">
      <c r="A248" s="3">
        <v>34</v>
      </c>
      <c r="B248" s="4" t="s">
        <v>64</v>
      </c>
      <c r="C248" s="3" t="s">
        <v>125</v>
      </c>
      <c r="D248" s="3" t="s">
        <v>129</v>
      </c>
      <c r="E248" s="3">
        <v>15</v>
      </c>
      <c r="G248" s="57"/>
    </row>
    <row r="249" spans="1:7" ht="12.75" hidden="1" x14ac:dyDescent="0.2">
      <c r="A249" s="3">
        <v>34</v>
      </c>
      <c r="B249" s="4" t="s">
        <v>64</v>
      </c>
      <c r="C249" s="3" t="s">
        <v>125</v>
      </c>
      <c r="D249" s="3" t="s">
        <v>132</v>
      </c>
      <c r="E249" s="3">
        <v>17</v>
      </c>
      <c r="G249" s="57"/>
    </row>
    <row r="250" spans="1:7" ht="12.75" hidden="1" x14ac:dyDescent="0.2">
      <c r="A250" s="3">
        <v>34</v>
      </c>
      <c r="B250" s="4" t="s">
        <v>64</v>
      </c>
      <c r="C250" s="3" t="s">
        <v>125</v>
      </c>
      <c r="D250" s="3" t="s">
        <v>134</v>
      </c>
      <c r="E250" s="3">
        <v>14</v>
      </c>
      <c r="G250" s="57"/>
    </row>
    <row r="251" spans="1:7" ht="12.75" hidden="1" x14ac:dyDescent="0.2">
      <c r="A251" s="3">
        <v>34</v>
      </c>
      <c r="B251" s="4" t="s">
        <v>64</v>
      </c>
      <c r="C251" s="3" t="s">
        <v>125</v>
      </c>
      <c r="D251" s="3" t="s">
        <v>152</v>
      </c>
      <c r="E251" s="3">
        <v>748</v>
      </c>
      <c r="G251" s="57"/>
    </row>
    <row r="252" spans="1:7" ht="12.75" hidden="1" x14ac:dyDescent="0.2">
      <c r="A252" s="3">
        <v>34</v>
      </c>
      <c r="B252" s="4" t="s">
        <v>64</v>
      </c>
      <c r="C252" s="3" t="s">
        <v>125</v>
      </c>
      <c r="D252" s="3" t="s">
        <v>138</v>
      </c>
      <c r="E252" s="3">
        <v>0</v>
      </c>
      <c r="G252" s="57"/>
    </row>
    <row r="253" spans="1:7" ht="12.75" hidden="1" x14ac:dyDescent="0.2">
      <c r="A253" s="3">
        <v>34</v>
      </c>
      <c r="B253" s="4" t="s">
        <v>64</v>
      </c>
      <c r="C253" s="3" t="s">
        <v>125</v>
      </c>
      <c r="D253" s="3" t="s">
        <v>14</v>
      </c>
      <c r="E253" s="3">
        <v>41</v>
      </c>
      <c r="F253">
        <f>SUM(E246:E253)</f>
        <v>1486</v>
      </c>
      <c r="G253" s="57"/>
    </row>
    <row r="254" spans="1:7" ht="12.75" hidden="1" x14ac:dyDescent="0.2">
      <c r="A254" s="3">
        <v>35</v>
      </c>
      <c r="B254" s="4" t="s">
        <v>65</v>
      </c>
      <c r="C254" s="3" t="s">
        <v>125</v>
      </c>
      <c r="D254" s="3" t="s">
        <v>3</v>
      </c>
      <c r="E254" s="3">
        <v>168</v>
      </c>
      <c r="G254" s="59">
        <v>999</v>
      </c>
    </row>
    <row r="255" spans="1:7" ht="12.75" hidden="1" x14ac:dyDescent="0.2">
      <c r="A255" s="3">
        <v>35</v>
      </c>
      <c r="B255" s="4" t="s">
        <v>65</v>
      </c>
      <c r="C255" s="3" t="s">
        <v>125</v>
      </c>
      <c r="D255" s="3" t="s">
        <v>16</v>
      </c>
      <c r="E255" s="3">
        <v>10</v>
      </c>
      <c r="G255" s="57"/>
    </row>
    <row r="256" spans="1:7" ht="12.75" hidden="1" x14ac:dyDescent="0.2">
      <c r="A256" s="3">
        <v>35</v>
      </c>
      <c r="B256" s="4" t="s">
        <v>65</v>
      </c>
      <c r="C256" s="3" t="s">
        <v>125</v>
      </c>
      <c r="D256" s="3" t="s">
        <v>129</v>
      </c>
      <c r="E256" s="3">
        <v>8</v>
      </c>
      <c r="G256" s="57"/>
    </row>
    <row r="257" spans="1:7" ht="12.75" hidden="1" x14ac:dyDescent="0.2">
      <c r="A257" s="3">
        <v>35</v>
      </c>
      <c r="B257" s="4" t="s">
        <v>65</v>
      </c>
      <c r="C257" s="3" t="s">
        <v>125</v>
      </c>
      <c r="D257" s="3" t="s">
        <v>132</v>
      </c>
      <c r="E257" s="3">
        <v>6</v>
      </c>
      <c r="G257" s="57"/>
    </row>
    <row r="258" spans="1:7" ht="12.75" hidden="1" x14ac:dyDescent="0.2">
      <c r="A258" s="3">
        <v>35</v>
      </c>
      <c r="B258" s="4" t="s">
        <v>65</v>
      </c>
      <c r="C258" s="3" t="s">
        <v>125</v>
      </c>
      <c r="D258" s="3" t="s">
        <v>134</v>
      </c>
      <c r="E258" s="3">
        <v>13</v>
      </c>
      <c r="G258" s="57"/>
    </row>
    <row r="259" spans="1:7" ht="12.75" hidden="1" x14ac:dyDescent="0.2">
      <c r="A259" s="3">
        <v>35</v>
      </c>
      <c r="B259" s="4" t="s">
        <v>65</v>
      </c>
      <c r="C259" s="3" t="s">
        <v>125</v>
      </c>
      <c r="D259" s="3" t="s">
        <v>152</v>
      </c>
      <c r="E259" s="3">
        <v>546</v>
      </c>
      <c r="G259" s="57"/>
    </row>
    <row r="260" spans="1:7" ht="12.75" hidden="1" x14ac:dyDescent="0.2">
      <c r="A260" s="3">
        <v>35</v>
      </c>
      <c r="B260" s="4" t="s">
        <v>65</v>
      </c>
      <c r="C260" s="3" t="s">
        <v>125</v>
      </c>
      <c r="D260" s="3" t="s">
        <v>138</v>
      </c>
      <c r="E260" s="3">
        <v>21</v>
      </c>
      <c r="G260" s="57"/>
    </row>
    <row r="261" spans="1:7" ht="12.75" hidden="1" x14ac:dyDescent="0.2">
      <c r="A261" s="3">
        <v>35</v>
      </c>
      <c r="B261" s="4" t="s">
        <v>65</v>
      </c>
      <c r="C261" s="3" t="s">
        <v>125</v>
      </c>
      <c r="D261" s="3" t="s">
        <v>14</v>
      </c>
      <c r="E261" s="3">
        <v>12</v>
      </c>
      <c r="F261">
        <f>SUM(E254:E261)</f>
        <v>784</v>
      </c>
      <c r="G261" s="57"/>
    </row>
    <row r="262" spans="1:7" ht="12.75" hidden="1" x14ac:dyDescent="0.2">
      <c r="A262" s="3">
        <v>36</v>
      </c>
      <c r="B262" s="4" t="s">
        <v>66</v>
      </c>
      <c r="C262" s="3" t="s">
        <v>125</v>
      </c>
      <c r="D262" s="3" t="s">
        <v>3</v>
      </c>
      <c r="E262" s="3">
        <v>751</v>
      </c>
      <c r="G262" s="59">
        <v>4249</v>
      </c>
    </row>
    <row r="263" spans="1:7" ht="12.75" hidden="1" x14ac:dyDescent="0.2">
      <c r="A263" s="3">
        <v>36</v>
      </c>
      <c r="B263" s="4" t="s">
        <v>66</v>
      </c>
      <c r="C263" s="3" t="s">
        <v>125</v>
      </c>
      <c r="D263" s="3" t="s">
        <v>16</v>
      </c>
      <c r="E263" s="3">
        <v>32</v>
      </c>
      <c r="G263" s="57"/>
    </row>
    <row r="264" spans="1:7" ht="12.75" hidden="1" x14ac:dyDescent="0.2">
      <c r="A264" s="3">
        <v>36</v>
      </c>
      <c r="B264" s="4" t="s">
        <v>66</v>
      </c>
      <c r="C264" s="3" t="s">
        <v>125</v>
      </c>
      <c r="D264" s="3" t="s">
        <v>129</v>
      </c>
      <c r="E264" s="3">
        <v>28</v>
      </c>
      <c r="G264" s="57"/>
    </row>
    <row r="265" spans="1:7" ht="12.75" hidden="1" x14ac:dyDescent="0.2">
      <c r="A265" s="3">
        <v>36</v>
      </c>
      <c r="B265" s="4" t="s">
        <v>66</v>
      </c>
      <c r="C265" s="3" t="s">
        <v>125</v>
      </c>
      <c r="D265" s="3" t="s">
        <v>132</v>
      </c>
      <c r="E265" s="3">
        <v>56</v>
      </c>
      <c r="G265" s="57"/>
    </row>
    <row r="266" spans="1:7" ht="12.75" hidden="1" x14ac:dyDescent="0.2">
      <c r="A266" s="3">
        <v>36</v>
      </c>
      <c r="B266" s="4" t="s">
        <v>66</v>
      </c>
      <c r="C266" s="3" t="s">
        <v>125</v>
      </c>
      <c r="D266" s="3" t="s">
        <v>134</v>
      </c>
      <c r="E266" s="3">
        <v>62</v>
      </c>
      <c r="G266" s="57"/>
    </row>
    <row r="267" spans="1:7" ht="12.75" hidden="1" x14ac:dyDescent="0.2">
      <c r="A267" s="3">
        <v>36</v>
      </c>
      <c r="B267" s="4" t="s">
        <v>66</v>
      </c>
      <c r="C267" s="3" t="s">
        <v>125</v>
      </c>
      <c r="D267" s="3" t="s">
        <v>152</v>
      </c>
      <c r="E267" s="3">
        <v>1718</v>
      </c>
      <c r="G267" s="57"/>
    </row>
    <row r="268" spans="1:7" ht="12.75" hidden="1" x14ac:dyDescent="0.2">
      <c r="A268" s="3">
        <v>36</v>
      </c>
      <c r="B268" s="4" t="s">
        <v>66</v>
      </c>
      <c r="C268" s="3" t="s">
        <v>125</v>
      </c>
      <c r="D268" s="3" t="s">
        <v>138</v>
      </c>
      <c r="E268" s="3">
        <v>78</v>
      </c>
      <c r="G268" s="57"/>
    </row>
    <row r="269" spans="1:7" ht="12.75" hidden="1" x14ac:dyDescent="0.2">
      <c r="A269" s="3">
        <v>36</v>
      </c>
      <c r="B269" s="4" t="s">
        <v>66</v>
      </c>
      <c r="C269" s="3" t="s">
        <v>125</v>
      </c>
      <c r="D269" s="3" t="s">
        <v>14</v>
      </c>
      <c r="E269" s="3">
        <v>118</v>
      </c>
      <c r="F269">
        <f>SUM(E262:E269)</f>
        <v>2843</v>
      </c>
      <c r="G269" s="57"/>
    </row>
    <row r="270" spans="1:7" ht="12.75" hidden="1" x14ac:dyDescent="0.2">
      <c r="A270" s="3">
        <v>37</v>
      </c>
      <c r="B270" s="4" t="s">
        <v>67</v>
      </c>
      <c r="C270" s="3" t="s">
        <v>125</v>
      </c>
      <c r="D270" s="3" t="s">
        <v>3</v>
      </c>
      <c r="E270" s="3">
        <v>26</v>
      </c>
      <c r="G270" s="59">
        <v>55</v>
      </c>
    </row>
    <row r="271" spans="1:7" ht="12.75" hidden="1" x14ac:dyDescent="0.2">
      <c r="A271" s="3">
        <v>37</v>
      </c>
      <c r="B271" s="4" t="s">
        <v>67</v>
      </c>
      <c r="C271" s="3" t="s">
        <v>125</v>
      </c>
      <c r="D271" s="3" t="s">
        <v>16</v>
      </c>
      <c r="E271" s="3">
        <v>0</v>
      </c>
      <c r="G271" s="57"/>
    </row>
    <row r="272" spans="1:7" ht="12.75" hidden="1" x14ac:dyDescent="0.2">
      <c r="A272" s="3">
        <v>37</v>
      </c>
      <c r="B272" s="4" t="s">
        <v>67</v>
      </c>
      <c r="C272" s="3" t="s">
        <v>125</v>
      </c>
      <c r="D272" s="3" t="s">
        <v>129</v>
      </c>
      <c r="E272" s="3">
        <v>0</v>
      </c>
      <c r="G272" s="57"/>
    </row>
    <row r="273" spans="1:7" ht="12.75" hidden="1" x14ac:dyDescent="0.2">
      <c r="A273" s="3">
        <v>37</v>
      </c>
      <c r="B273" s="4" t="s">
        <v>67</v>
      </c>
      <c r="C273" s="3" t="s">
        <v>125</v>
      </c>
      <c r="D273" s="3" t="s">
        <v>132</v>
      </c>
      <c r="E273" s="3">
        <v>4</v>
      </c>
      <c r="G273" s="57"/>
    </row>
    <row r="274" spans="1:7" ht="12.75" hidden="1" x14ac:dyDescent="0.2">
      <c r="A274" s="3">
        <v>37</v>
      </c>
      <c r="B274" s="4" t="s">
        <v>67</v>
      </c>
      <c r="C274" s="3" t="s">
        <v>125</v>
      </c>
      <c r="D274" s="3" t="s">
        <v>134</v>
      </c>
      <c r="E274" s="3">
        <v>0</v>
      </c>
      <c r="G274" s="57"/>
    </row>
    <row r="275" spans="1:7" ht="12.75" hidden="1" x14ac:dyDescent="0.2">
      <c r="A275" s="3">
        <v>37</v>
      </c>
      <c r="B275" s="4" t="s">
        <v>67</v>
      </c>
      <c r="C275" s="3" t="s">
        <v>125</v>
      </c>
      <c r="D275" s="3" t="s">
        <v>152</v>
      </c>
      <c r="E275" s="3">
        <v>20</v>
      </c>
      <c r="G275" s="57"/>
    </row>
    <row r="276" spans="1:7" ht="12.75" hidden="1" x14ac:dyDescent="0.2">
      <c r="A276" s="3">
        <v>37</v>
      </c>
      <c r="B276" s="4" t="s">
        <v>67</v>
      </c>
      <c r="C276" s="3" t="s">
        <v>125</v>
      </c>
      <c r="D276" s="3" t="s">
        <v>138</v>
      </c>
      <c r="E276" s="3">
        <v>0</v>
      </c>
      <c r="G276" s="57"/>
    </row>
    <row r="277" spans="1:7" ht="12.75" hidden="1" x14ac:dyDescent="0.2">
      <c r="A277" s="3">
        <v>37</v>
      </c>
      <c r="B277" s="4" t="s">
        <v>67</v>
      </c>
      <c r="C277" s="3" t="s">
        <v>125</v>
      </c>
      <c r="D277" s="3" t="s">
        <v>14</v>
      </c>
      <c r="E277" s="3">
        <v>0</v>
      </c>
      <c r="F277">
        <f>SUM(E270:E277)</f>
        <v>50</v>
      </c>
      <c r="G277" s="57"/>
    </row>
    <row r="278" spans="1:7" ht="12.75" hidden="1" x14ac:dyDescent="0.2">
      <c r="A278" s="3">
        <v>38</v>
      </c>
      <c r="B278" s="4" t="s">
        <v>68</v>
      </c>
      <c r="C278" s="3" t="s">
        <v>125</v>
      </c>
      <c r="D278" s="3" t="s">
        <v>3</v>
      </c>
      <c r="E278" s="3">
        <v>61</v>
      </c>
      <c r="G278" s="59">
        <v>491</v>
      </c>
    </row>
    <row r="279" spans="1:7" ht="12.75" hidden="1" x14ac:dyDescent="0.2">
      <c r="A279" s="3">
        <v>38</v>
      </c>
      <c r="B279" s="4" t="s">
        <v>68</v>
      </c>
      <c r="C279" s="3" t="s">
        <v>125</v>
      </c>
      <c r="D279" s="3" t="s">
        <v>16</v>
      </c>
      <c r="E279" s="3">
        <v>7</v>
      </c>
      <c r="G279" s="57"/>
    </row>
    <row r="280" spans="1:7" ht="12.75" hidden="1" x14ac:dyDescent="0.2">
      <c r="A280" s="3">
        <v>38</v>
      </c>
      <c r="B280" s="4" t="s">
        <v>68</v>
      </c>
      <c r="C280" s="3" t="s">
        <v>125</v>
      </c>
      <c r="D280" s="3" t="s">
        <v>129</v>
      </c>
      <c r="E280" s="3">
        <v>2</v>
      </c>
      <c r="G280" s="57"/>
    </row>
    <row r="281" spans="1:7" ht="12.75" hidden="1" x14ac:dyDescent="0.2">
      <c r="A281" s="3">
        <v>38</v>
      </c>
      <c r="B281" s="4" t="s">
        <v>68</v>
      </c>
      <c r="C281" s="3" t="s">
        <v>125</v>
      </c>
      <c r="D281" s="3" t="s">
        <v>132</v>
      </c>
      <c r="E281" s="3">
        <v>8</v>
      </c>
      <c r="G281" s="57"/>
    </row>
    <row r="282" spans="1:7" ht="12.75" hidden="1" x14ac:dyDescent="0.2">
      <c r="A282" s="3">
        <v>38</v>
      </c>
      <c r="B282" s="4" t="s">
        <v>68</v>
      </c>
      <c r="C282" s="3" t="s">
        <v>125</v>
      </c>
      <c r="D282" s="3" t="s">
        <v>134</v>
      </c>
      <c r="E282" s="3">
        <v>6</v>
      </c>
      <c r="G282" s="57"/>
    </row>
    <row r="283" spans="1:7" ht="12.75" hidden="1" x14ac:dyDescent="0.2">
      <c r="A283" s="3">
        <v>38</v>
      </c>
      <c r="B283" s="4" t="s">
        <v>68</v>
      </c>
      <c r="C283" s="3" t="s">
        <v>125</v>
      </c>
      <c r="D283" s="3" t="s">
        <v>152</v>
      </c>
      <c r="E283" s="3">
        <v>252</v>
      </c>
      <c r="G283" s="57"/>
    </row>
    <row r="284" spans="1:7" ht="12.75" hidden="1" x14ac:dyDescent="0.2">
      <c r="A284" s="3">
        <v>38</v>
      </c>
      <c r="B284" s="4" t="s">
        <v>68</v>
      </c>
      <c r="C284" s="3" t="s">
        <v>125</v>
      </c>
      <c r="D284" s="3" t="s">
        <v>138</v>
      </c>
      <c r="E284" s="3">
        <v>29</v>
      </c>
      <c r="G284" s="57"/>
    </row>
    <row r="285" spans="1:7" ht="12.75" hidden="1" x14ac:dyDescent="0.2">
      <c r="A285" s="3">
        <v>38</v>
      </c>
      <c r="B285" s="4" t="s">
        <v>68</v>
      </c>
      <c r="C285" s="3" t="s">
        <v>125</v>
      </c>
      <c r="D285" s="3" t="s">
        <v>14</v>
      </c>
      <c r="E285" s="3">
        <v>8</v>
      </c>
      <c r="F285">
        <f>SUM(E278:E285)</f>
        <v>373</v>
      </c>
      <c r="G285" s="57"/>
    </row>
    <row r="286" spans="1:7" ht="12.75" hidden="1" x14ac:dyDescent="0.2">
      <c r="A286" s="3">
        <v>39</v>
      </c>
      <c r="B286" s="4" t="s">
        <v>69</v>
      </c>
      <c r="C286" s="3" t="s">
        <v>125</v>
      </c>
      <c r="D286" s="3" t="s">
        <v>3</v>
      </c>
      <c r="E286" s="3">
        <v>770</v>
      </c>
      <c r="G286" s="59">
        <v>1621</v>
      </c>
    </row>
    <row r="287" spans="1:7" ht="12.75" hidden="1" x14ac:dyDescent="0.2">
      <c r="A287" s="3">
        <v>39</v>
      </c>
      <c r="B287" s="4" t="s">
        <v>69</v>
      </c>
      <c r="C287" s="3" t="s">
        <v>125</v>
      </c>
      <c r="D287" s="3" t="s">
        <v>16</v>
      </c>
      <c r="E287" s="3">
        <v>10</v>
      </c>
      <c r="G287" s="57"/>
    </row>
    <row r="288" spans="1:7" ht="12.75" hidden="1" x14ac:dyDescent="0.2">
      <c r="A288" s="3">
        <v>39</v>
      </c>
      <c r="B288" s="4" t="s">
        <v>69</v>
      </c>
      <c r="C288" s="3" t="s">
        <v>125</v>
      </c>
      <c r="D288" s="3" t="s">
        <v>129</v>
      </c>
      <c r="E288" s="3">
        <v>6</v>
      </c>
      <c r="G288" s="57"/>
    </row>
    <row r="289" spans="1:7" ht="12.75" hidden="1" x14ac:dyDescent="0.2">
      <c r="A289" s="3">
        <v>39</v>
      </c>
      <c r="B289" s="4" t="s">
        <v>69</v>
      </c>
      <c r="C289" s="3" t="s">
        <v>125</v>
      </c>
      <c r="D289" s="3" t="s">
        <v>132</v>
      </c>
      <c r="E289" s="3">
        <v>74</v>
      </c>
      <c r="G289" s="57"/>
    </row>
    <row r="290" spans="1:7" ht="12.75" hidden="1" x14ac:dyDescent="0.2">
      <c r="A290" s="3">
        <v>39</v>
      </c>
      <c r="B290" s="4" t="s">
        <v>69</v>
      </c>
      <c r="C290" s="3" t="s">
        <v>125</v>
      </c>
      <c r="D290" s="3" t="s">
        <v>134</v>
      </c>
      <c r="E290" s="3">
        <v>8</v>
      </c>
      <c r="G290" s="57"/>
    </row>
    <row r="291" spans="1:7" ht="12.75" hidden="1" x14ac:dyDescent="0.2">
      <c r="A291" s="3">
        <v>39</v>
      </c>
      <c r="B291" s="4" t="s">
        <v>69</v>
      </c>
      <c r="C291" s="3" t="s">
        <v>125</v>
      </c>
      <c r="D291" s="3" t="s">
        <v>152</v>
      </c>
      <c r="E291" s="3">
        <v>320</v>
      </c>
      <c r="G291" s="57"/>
    </row>
    <row r="292" spans="1:7" ht="12.75" hidden="1" x14ac:dyDescent="0.2">
      <c r="A292" s="3">
        <v>39</v>
      </c>
      <c r="B292" s="4" t="s">
        <v>69</v>
      </c>
      <c r="C292" s="3" t="s">
        <v>125</v>
      </c>
      <c r="D292" s="3" t="s">
        <v>138</v>
      </c>
      <c r="E292" s="3">
        <v>28</v>
      </c>
      <c r="G292" s="57"/>
    </row>
    <row r="293" spans="1:7" ht="12.75" hidden="1" x14ac:dyDescent="0.2">
      <c r="A293" s="3">
        <v>39</v>
      </c>
      <c r="B293" s="4" t="s">
        <v>69</v>
      </c>
      <c r="C293" s="3" t="s">
        <v>125</v>
      </c>
      <c r="D293" s="3" t="s">
        <v>14</v>
      </c>
      <c r="E293" s="3">
        <v>17</v>
      </c>
      <c r="F293">
        <f>SUM(E286:E293)</f>
        <v>1233</v>
      </c>
      <c r="G293" s="57"/>
    </row>
    <row r="294" spans="1:7" ht="12.75" hidden="1" x14ac:dyDescent="0.2">
      <c r="A294" s="2" t="s">
        <v>70</v>
      </c>
      <c r="B294" s="4" t="s">
        <v>71</v>
      </c>
      <c r="C294" s="3" t="s">
        <v>125</v>
      </c>
      <c r="D294" s="3" t="s">
        <v>3</v>
      </c>
      <c r="E294" s="3">
        <v>193</v>
      </c>
      <c r="G294" s="59">
        <v>404</v>
      </c>
    </row>
    <row r="295" spans="1:7" ht="12.75" hidden="1" x14ac:dyDescent="0.2">
      <c r="A295" s="2" t="s">
        <v>70</v>
      </c>
      <c r="B295" s="4" t="s">
        <v>71</v>
      </c>
      <c r="C295" s="3" t="s">
        <v>125</v>
      </c>
      <c r="D295" s="3" t="s">
        <v>16</v>
      </c>
      <c r="E295" s="3">
        <v>1</v>
      </c>
      <c r="G295" s="57"/>
    </row>
    <row r="296" spans="1:7" ht="12.75" hidden="1" x14ac:dyDescent="0.2">
      <c r="A296" s="2" t="s">
        <v>70</v>
      </c>
      <c r="B296" s="4" t="s">
        <v>71</v>
      </c>
      <c r="C296" s="3" t="s">
        <v>125</v>
      </c>
      <c r="D296" s="3" t="s">
        <v>129</v>
      </c>
      <c r="E296" s="3">
        <v>7</v>
      </c>
      <c r="G296" s="57"/>
    </row>
    <row r="297" spans="1:7" ht="12.75" hidden="1" x14ac:dyDescent="0.2">
      <c r="A297" s="2" t="s">
        <v>70</v>
      </c>
      <c r="B297" s="4" t="s">
        <v>71</v>
      </c>
      <c r="C297" s="3" t="s">
        <v>125</v>
      </c>
      <c r="D297" s="3" t="s">
        <v>132</v>
      </c>
      <c r="E297" s="3">
        <v>2</v>
      </c>
      <c r="G297" s="57"/>
    </row>
    <row r="298" spans="1:7" ht="12.75" hidden="1" x14ac:dyDescent="0.2">
      <c r="A298" s="2" t="s">
        <v>70</v>
      </c>
      <c r="B298" s="4" t="s">
        <v>71</v>
      </c>
      <c r="C298" s="3" t="s">
        <v>125</v>
      </c>
      <c r="D298" s="3" t="s">
        <v>134</v>
      </c>
      <c r="E298" s="3">
        <v>0</v>
      </c>
      <c r="G298" s="57"/>
    </row>
    <row r="299" spans="1:7" ht="12.75" hidden="1" x14ac:dyDescent="0.2">
      <c r="A299" s="2" t="s">
        <v>70</v>
      </c>
      <c r="B299" s="4" t="s">
        <v>71</v>
      </c>
      <c r="C299" s="3" t="s">
        <v>125</v>
      </c>
      <c r="D299" s="3" t="s">
        <v>152</v>
      </c>
      <c r="E299" s="3">
        <v>104</v>
      </c>
      <c r="G299" s="57"/>
    </row>
    <row r="300" spans="1:7" ht="12.75" hidden="1" x14ac:dyDescent="0.2">
      <c r="A300" s="2" t="s">
        <v>70</v>
      </c>
      <c r="B300" s="4" t="s">
        <v>71</v>
      </c>
      <c r="C300" s="3" t="s">
        <v>125</v>
      </c>
      <c r="D300" s="3" t="s">
        <v>138</v>
      </c>
      <c r="E300" s="3">
        <v>12</v>
      </c>
      <c r="G300" s="57"/>
    </row>
    <row r="301" spans="1:7" ht="12.75" hidden="1" x14ac:dyDescent="0.2">
      <c r="A301" s="2" t="s">
        <v>70</v>
      </c>
      <c r="B301" s="4" t="s">
        <v>71</v>
      </c>
      <c r="C301" s="3" t="s">
        <v>125</v>
      </c>
      <c r="D301" s="3" t="s">
        <v>14</v>
      </c>
      <c r="E301" s="3">
        <v>4</v>
      </c>
      <c r="F301">
        <f>SUM(E294:E301)</f>
        <v>323</v>
      </c>
      <c r="G301" s="57"/>
    </row>
    <row r="302" spans="1:7" ht="12.75" hidden="1" x14ac:dyDescent="0.2">
      <c r="A302" s="2">
        <v>40</v>
      </c>
      <c r="B302" s="4" t="s">
        <v>72</v>
      </c>
      <c r="C302" s="3" t="s">
        <v>125</v>
      </c>
      <c r="D302" s="3" t="s">
        <v>3</v>
      </c>
      <c r="E302" s="3">
        <v>764</v>
      </c>
      <c r="G302" s="59">
        <v>2486</v>
      </c>
    </row>
    <row r="303" spans="1:7" ht="12.75" hidden="1" x14ac:dyDescent="0.2">
      <c r="A303" s="2">
        <v>40</v>
      </c>
      <c r="B303" s="4" t="s">
        <v>72</v>
      </c>
      <c r="C303" s="3" t="s">
        <v>125</v>
      </c>
      <c r="D303" s="3" t="s">
        <v>16</v>
      </c>
      <c r="E303" s="3">
        <v>12</v>
      </c>
      <c r="G303" s="57"/>
    </row>
    <row r="304" spans="1:7" ht="12.75" hidden="1" x14ac:dyDescent="0.2">
      <c r="A304" s="2">
        <v>40</v>
      </c>
      <c r="B304" s="4" t="s">
        <v>72</v>
      </c>
      <c r="C304" s="3" t="s">
        <v>125</v>
      </c>
      <c r="D304" s="3" t="s">
        <v>129</v>
      </c>
      <c r="E304" s="3">
        <v>14</v>
      </c>
      <c r="G304" s="57"/>
    </row>
    <row r="305" spans="1:7" ht="12.75" hidden="1" x14ac:dyDescent="0.2">
      <c r="A305" s="2">
        <v>40</v>
      </c>
      <c r="B305" s="4" t="s">
        <v>72</v>
      </c>
      <c r="C305" s="3" t="s">
        <v>125</v>
      </c>
      <c r="D305" s="3" t="s">
        <v>132</v>
      </c>
      <c r="E305" s="3">
        <v>28</v>
      </c>
      <c r="G305" s="57"/>
    </row>
    <row r="306" spans="1:7" ht="12.75" hidden="1" x14ac:dyDescent="0.2">
      <c r="A306" s="2">
        <v>40</v>
      </c>
      <c r="B306" s="4" t="s">
        <v>72</v>
      </c>
      <c r="C306" s="3" t="s">
        <v>125</v>
      </c>
      <c r="D306" s="3" t="s">
        <v>134</v>
      </c>
      <c r="E306" s="3">
        <v>30</v>
      </c>
      <c r="G306" s="57"/>
    </row>
    <row r="307" spans="1:7" ht="12.75" hidden="1" x14ac:dyDescent="0.2">
      <c r="A307" s="2">
        <v>40</v>
      </c>
      <c r="B307" s="4" t="s">
        <v>72</v>
      </c>
      <c r="C307" s="3" t="s">
        <v>125</v>
      </c>
      <c r="D307" s="3" t="s">
        <v>152</v>
      </c>
      <c r="E307" s="3">
        <v>960</v>
      </c>
      <c r="G307" s="57"/>
    </row>
    <row r="308" spans="1:7" ht="12.75" hidden="1" x14ac:dyDescent="0.2">
      <c r="A308" s="2">
        <v>40</v>
      </c>
      <c r="B308" s="4" t="s">
        <v>72</v>
      </c>
      <c r="C308" s="3" t="s">
        <v>125</v>
      </c>
      <c r="D308" s="3" t="s">
        <v>138</v>
      </c>
      <c r="E308" s="3">
        <v>59</v>
      </c>
      <c r="G308" s="57"/>
    </row>
    <row r="309" spans="1:7" ht="12.75" hidden="1" x14ac:dyDescent="0.2">
      <c r="A309" s="2">
        <v>40</v>
      </c>
      <c r="B309" s="4" t="s">
        <v>72</v>
      </c>
      <c r="C309" s="3" t="s">
        <v>125</v>
      </c>
      <c r="D309" s="3" t="s">
        <v>14</v>
      </c>
      <c r="E309" s="3">
        <v>53</v>
      </c>
      <c r="F309">
        <f>SUM(E302:E309)</f>
        <v>1920</v>
      </c>
      <c r="G309" s="57"/>
    </row>
    <row r="310" spans="1:7" ht="12.75" hidden="1" x14ac:dyDescent="0.2">
      <c r="A310" s="3">
        <v>42</v>
      </c>
      <c r="B310" s="4" t="s">
        <v>73</v>
      </c>
      <c r="C310" s="3" t="s">
        <v>125</v>
      </c>
      <c r="D310" s="3" t="s">
        <v>3</v>
      </c>
      <c r="E310" s="3">
        <v>789</v>
      </c>
      <c r="G310" s="59">
        <v>2494</v>
      </c>
    </row>
    <row r="311" spans="1:7" ht="12.75" hidden="1" x14ac:dyDescent="0.2">
      <c r="A311" s="3">
        <v>42</v>
      </c>
      <c r="B311" s="4" t="s">
        <v>73</v>
      </c>
      <c r="C311" s="3" t="s">
        <v>125</v>
      </c>
      <c r="D311" s="3" t="s">
        <v>16</v>
      </c>
      <c r="E311" s="3">
        <v>23</v>
      </c>
      <c r="G311" s="57"/>
    </row>
    <row r="312" spans="1:7" ht="12.75" hidden="1" x14ac:dyDescent="0.2">
      <c r="A312" s="3">
        <v>42</v>
      </c>
      <c r="B312" s="4" t="s">
        <v>73</v>
      </c>
      <c r="C312" s="3" t="s">
        <v>125</v>
      </c>
      <c r="D312" s="3" t="s">
        <v>129</v>
      </c>
      <c r="E312" s="3">
        <v>13</v>
      </c>
      <c r="G312" s="57"/>
    </row>
    <row r="313" spans="1:7" ht="12.75" hidden="1" x14ac:dyDescent="0.2">
      <c r="A313" s="3">
        <v>42</v>
      </c>
      <c r="B313" s="4" t="s">
        <v>73</v>
      </c>
      <c r="C313" s="3" t="s">
        <v>125</v>
      </c>
      <c r="D313" s="3" t="s">
        <v>132</v>
      </c>
      <c r="E313" s="3">
        <v>29</v>
      </c>
      <c r="G313" s="57"/>
    </row>
    <row r="314" spans="1:7" ht="12.75" hidden="1" x14ac:dyDescent="0.2">
      <c r="A314" s="3">
        <v>42</v>
      </c>
      <c r="B314" s="4" t="s">
        <v>73</v>
      </c>
      <c r="C314" s="3" t="s">
        <v>125</v>
      </c>
      <c r="D314" s="3" t="s">
        <v>134</v>
      </c>
      <c r="E314" s="3">
        <v>43</v>
      </c>
      <c r="G314" s="57"/>
    </row>
    <row r="315" spans="1:7" ht="12.75" hidden="1" x14ac:dyDescent="0.2">
      <c r="A315" s="3">
        <v>42</v>
      </c>
      <c r="B315" s="4" t="s">
        <v>73</v>
      </c>
      <c r="C315" s="3" t="s">
        <v>125</v>
      </c>
      <c r="D315" s="3" t="s">
        <v>152</v>
      </c>
      <c r="E315" s="3">
        <v>889</v>
      </c>
      <c r="G315" s="57"/>
    </row>
    <row r="316" spans="1:7" ht="12.75" hidden="1" x14ac:dyDescent="0.2">
      <c r="A316" s="3">
        <v>42</v>
      </c>
      <c r="B316" s="4" t="s">
        <v>73</v>
      </c>
      <c r="C316" s="3" t="s">
        <v>125</v>
      </c>
      <c r="D316" s="3" t="s">
        <v>138</v>
      </c>
      <c r="E316" s="3">
        <v>58</v>
      </c>
      <c r="G316" s="57"/>
    </row>
    <row r="317" spans="1:7" ht="12.75" hidden="1" x14ac:dyDescent="0.2">
      <c r="A317" s="3">
        <v>42</v>
      </c>
      <c r="B317" s="4" t="s">
        <v>73</v>
      </c>
      <c r="C317" s="3" t="s">
        <v>125</v>
      </c>
      <c r="D317" s="3" t="s">
        <v>14</v>
      </c>
      <c r="E317" s="3">
        <v>22</v>
      </c>
      <c r="F317">
        <f>SUM(E310:E317)</f>
        <v>1866</v>
      </c>
      <c r="G317" s="57"/>
    </row>
    <row r="318" spans="1:7" ht="12.75" hidden="1" x14ac:dyDescent="0.2">
      <c r="A318" s="3">
        <v>43</v>
      </c>
      <c r="B318" s="4" t="s">
        <v>74</v>
      </c>
      <c r="C318" s="3" t="s">
        <v>125</v>
      </c>
      <c r="D318" s="3" t="s">
        <v>3</v>
      </c>
      <c r="E318" s="3">
        <v>147</v>
      </c>
      <c r="G318" s="59">
        <v>337</v>
      </c>
    </row>
    <row r="319" spans="1:7" ht="12.75" hidden="1" x14ac:dyDescent="0.2">
      <c r="A319" s="3">
        <v>43</v>
      </c>
      <c r="B319" s="4" t="s">
        <v>74</v>
      </c>
      <c r="C319" s="3" t="s">
        <v>125</v>
      </c>
      <c r="D319" s="3" t="s">
        <v>16</v>
      </c>
      <c r="E319" s="3">
        <v>0</v>
      </c>
      <c r="G319" s="57"/>
    </row>
    <row r="320" spans="1:7" ht="12.75" hidden="1" x14ac:dyDescent="0.2">
      <c r="A320" s="3">
        <v>43</v>
      </c>
      <c r="B320" s="4" t="s">
        <v>74</v>
      </c>
      <c r="C320" s="3" t="s">
        <v>125</v>
      </c>
      <c r="D320" s="3" t="s">
        <v>129</v>
      </c>
      <c r="E320" s="3">
        <v>6</v>
      </c>
      <c r="G320" s="57"/>
    </row>
    <row r="321" spans="1:7" ht="12.75" hidden="1" x14ac:dyDescent="0.2">
      <c r="A321" s="3">
        <v>43</v>
      </c>
      <c r="B321" s="4" t="s">
        <v>74</v>
      </c>
      <c r="C321" s="3" t="s">
        <v>125</v>
      </c>
      <c r="D321" s="3" t="s">
        <v>132</v>
      </c>
      <c r="E321" s="3">
        <v>1</v>
      </c>
      <c r="G321" s="57"/>
    </row>
    <row r="322" spans="1:7" ht="12.75" hidden="1" x14ac:dyDescent="0.2">
      <c r="A322" s="3">
        <v>43</v>
      </c>
      <c r="B322" s="4" t="s">
        <v>74</v>
      </c>
      <c r="C322" s="3" t="s">
        <v>125</v>
      </c>
      <c r="D322" s="3" t="s">
        <v>134</v>
      </c>
      <c r="E322" s="3">
        <v>1</v>
      </c>
      <c r="G322" s="57"/>
    </row>
    <row r="323" spans="1:7" ht="12.75" hidden="1" x14ac:dyDescent="0.2">
      <c r="A323" s="3">
        <v>43</v>
      </c>
      <c r="B323" s="4" t="s">
        <v>74</v>
      </c>
      <c r="C323" s="3" t="s">
        <v>125</v>
      </c>
      <c r="D323" s="3" t="s">
        <v>152</v>
      </c>
      <c r="E323" s="3">
        <v>94</v>
      </c>
      <c r="G323" s="57"/>
    </row>
    <row r="324" spans="1:7" ht="12.75" hidden="1" x14ac:dyDescent="0.2">
      <c r="A324" s="3">
        <v>43</v>
      </c>
      <c r="B324" s="4" t="s">
        <v>74</v>
      </c>
      <c r="C324" s="3" t="s">
        <v>125</v>
      </c>
      <c r="D324" s="3" t="s">
        <v>138</v>
      </c>
      <c r="E324" s="3">
        <v>1</v>
      </c>
      <c r="G324" s="57"/>
    </row>
    <row r="325" spans="1:7" ht="12.75" hidden="1" x14ac:dyDescent="0.2">
      <c r="A325" s="3">
        <v>43</v>
      </c>
      <c r="B325" s="4" t="s">
        <v>74</v>
      </c>
      <c r="C325" s="3" t="s">
        <v>125</v>
      </c>
      <c r="D325" s="3" t="s">
        <v>14</v>
      </c>
      <c r="E325" s="3">
        <v>13</v>
      </c>
      <c r="F325">
        <f>SUM(E318:E325)</f>
        <v>263</v>
      </c>
      <c r="G325" s="57"/>
    </row>
    <row r="326" spans="1:7" ht="12.75" hidden="1" x14ac:dyDescent="0.2">
      <c r="A326" s="3">
        <v>45</v>
      </c>
      <c r="B326" s="4" t="s">
        <v>75</v>
      </c>
      <c r="C326" s="3" t="s">
        <v>125</v>
      </c>
      <c r="D326" s="3" t="s">
        <v>3</v>
      </c>
      <c r="E326" s="3">
        <v>75</v>
      </c>
      <c r="G326" s="59">
        <v>116</v>
      </c>
    </row>
    <row r="327" spans="1:7" ht="12.75" hidden="1" x14ac:dyDescent="0.2">
      <c r="A327" s="3">
        <v>45</v>
      </c>
      <c r="B327" s="4" t="s">
        <v>75</v>
      </c>
      <c r="C327" s="3" t="s">
        <v>125</v>
      </c>
      <c r="D327" s="3" t="s">
        <v>16</v>
      </c>
      <c r="E327" s="3">
        <v>0</v>
      </c>
      <c r="G327" s="57"/>
    </row>
    <row r="328" spans="1:7" ht="12.75" hidden="1" x14ac:dyDescent="0.2">
      <c r="A328" s="3">
        <v>45</v>
      </c>
      <c r="B328" s="4" t="s">
        <v>75</v>
      </c>
      <c r="C328" s="3" t="s">
        <v>125</v>
      </c>
      <c r="D328" s="3" t="s">
        <v>129</v>
      </c>
      <c r="E328" s="3">
        <v>0</v>
      </c>
      <c r="G328" s="57"/>
    </row>
    <row r="329" spans="1:7" ht="12.75" hidden="1" x14ac:dyDescent="0.2">
      <c r="A329" s="3">
        <v>45</v>
      </c>
      <c r="B329" s="4" t="s">
        <v>75</v>
      </c>
      <c r="C329" s="3" t="s">
        <v>125</v>
      </c>
      <c r="D329" s="3" t="s">
        <v>132</v>
      </c>
      <c r="E329" s="3">
        <v>2</v>
      </c>
      <c r="G329" s="57"/>
    </row>
    <row r="330" spans="1:7" ht="12.75" hidden="1" x14ac:dyDescent="0.2">
      <c r="A330" s="3">
        <v>45</v>
      </c>
      <c r="B330" s="4" t="s">
        <v>75</v>
      </c>
      <c r="C330" s="3" t="s">
        <v>125</v>
      </c>
      <c r="D330" s="3" t="s">
        <v>134</v>
      </c>
      <c r="E330" s="3">
        <v>0</v>
      </c>
      <c r="G330" s="57"/>
    </row>
    <row r="331" spans="1:7" ht="12.75" hidden="1" x14ac:dyDescent="0.2">
      <c r="A331" s="3">
        <v>45</v>
      </c>
      <c r="B331" s="4" t="s">
        <v>75</v>
      </c>
      <c r="C331" s="3" t="s">
        <v>125</v>
      </c>
      <c r="D331" s="3" t="s">
        <v>152</v>
      </c>
      <c r="E331" s="3">
        <v>16</v>
      </c>
      <c r="G331" s="57"/>
    </row>
    <row r="332" spans="1:7" ht="12.75" hidden="1" x14ac:dyDescent="0.2">
      <c r="A332" s="3">
        <v>45</v>
      </c>
      <c r="B332" s="4" t="s">
        <v>75</v>
      </c>
      <c r="C332" s="3" t="s">
        <v>125</v>
      </c>
      <c r="D332" s="3" t="s">
        <v>138</v>
      </c>
      <c r="E332" s="3">
        <v>3</v>
      </c>
      <c r="G332" s="57"/>
    </row>
    <row r="333" spans="1:7" ht="12.75" hidden="1" x14ac:dyDescent="0.2">
      <c r="A333" s="3">
        <v>45</v>
      </c>
      <c r="B333" s="4" t="s">
        <v>75</v>
      </c>
      <c r="C333" s="3" t="s">
        <v>125</v>
      </c>
      <c r="D333" s="3" t="s">
        <v>14</v>
      </c>
      <c r="E333" s="3">
        <v>1</v>
      </c>
      <c r="F333">
        <f>SUM(E326:E333)</f>
        <v>97</v>
      </c>
      <c r="G333" s="57"/>
    </row>
    <row r="334" spans="1:7" ht="12.75" hidden="1" x14ac:dyDescent="0.2">
      <c r="A334" s="3">
        <v>46</v>
      </c>
      <c r="B334" s="4" t="s">
        <v>76</v>
      </c>
      <c r="C334" s="3" t="s">
        <v>125</v>
      </c>
      <c r="D334" s="3" t="s">
        <v>3</v>
      </c>
      <c r="E334" s="3">
        <v>304</v>
      </c>
      <c r="G334" s="59">
        <v>648</v>
      </c>
    </row>
    <row r="335" spans="1:7" ht="12.75" hidden="1" x14ac:dyDescent="0.2">
      <c r="A335" s="3">
        <v>46</v>
      </c>
      <c r="B335" s="4" t="s">
        <v>76</v>
      </c>
      <c r="C335" s="3" t="s">
        <v>125</v>
      </c>
      <c r="D335" s="3" t="s">
        <v>16</v>
      </c>
      <c r="E335" s="3">
        <v>7</v>
      </c>
      <c r="G335" s="57"/>
    </row>
    <row r="336" spans="1:7" ht="12.75" hidden="1" x14ac:dyDescent="0.2">
      <c r="A336" s="3">
        <v>46</v>
      </c>
      <c r="B336" s="4" t="s">
        <v>76</v>
      </c>
      <c r="C336" s="3" t="s">
        <v>125</v>
      </c>
      <c r="D336" s="3" t="s">
        <v>129</v>
      </c>
      <c r="E336" s="3">
        <v>3</v>
      </c>
      <c r="G336" s="57"/>
    </row>
    <row r="337" spans="1:7" ht="12.75" hidden="1" x14ac:dyDescent="0.2">
      <c r="A337" s="3">
        <v>46</v>
      </c>
      <c r="B337" s="4" t="s">
        <v>76</v>
      </c>
      <c r="C337" s="3" t="s">
        <v>125</v>
      </c>
      <c r="D337" s="3" t="s">
        <v>132</v>
      </c>
      <c r="E337" s="3">
        <v>7</v>
      </c>
      <c r="G337" s="57"/>
    </row>
    <row r="338" spans="1:7" ht="12.75" hidden="1" x14ac:dyDescent="0.2">
      <c r="A338" s="3">
        <v>46</v>
      </c>
      <c r="B338" s="4" t="s">
        <v>76</v>
      </c>
      <c r="C338" s="3" t="s">
        <v>125</v>
      </c>
      <c r="D338" s="3" t="s">
        <v>134</v>
      </c>
      <c r="E338" s="3">
        <v>1</v>
      </c>
      <c r="G338" s="57"/>
    </row>
    <row r="339" spans="1:7" ht="12.75" hidden="1" x14ac:dyDescent="0.2">
      <c r="A339" s="3">
        <v>46</v>
      </c>
      <c r="B339" s="4" t="s">
        <v>76</v>
      </c>
      <c r="C339" s="3" t="s">
        <v>125</v>
      </c>
      <c r="D339" s="3" t="s">
        <v>152</v>
      </c>
      <c r="E339" s="3">
        <v>196</v>
      </c>
      <c r="G339" s="57"/>
    </row>
    <row r="340" spans="1:7" ht="12.75" hidden="1" x14ac:dyDescent="0.2">
      <c r="A340" s="3">
        <v>46</v>
      </c>
      <c r="B340" s="4" t="s">
        <v>76</v>
      </c>
      <c r="C340" s="3" t="s">
        <v>125</v>
      </c>
      <c r="D340" s="3" t="s">
        <v>138</v>
      </c>
      <c r="E340" s="3">
        <v>7</v>
      </c>
      <c r="G340" s="57"/>
    </row>
    <row r="341" spans="1:7" ht="12.75" hidden="1" x14ac:dyDescent="0.2">
      <c r="A341" s="3">
        <v>46</v>
      </c>
      <c r="B341" s="4" t="s">
        <v>76</v>
      </c>
      <c r="C341" s="3" t="s">
        <v>125</v>
      </c>
      <c r="D341" s="3" t="s">
        <v>14</v>
      </c>
      <c r="E341" s="3">
        <v>13</v>
      </c>
      <c r="F341">
        <f>SUM(E334:E341)</f>
        <v>538</v>
      </c>
      <c r="G341" s="57"/>
    </row>
    <row r="342" spans="1:7" ht="12.75" hidden="1" x14ac:dyDescent="0.2">
      <c r="A342" s="3">
        <v>47</v>
      </c>
      <c r="B342" s="4" t="s">
        <v>77</v>
      </c>
      <c r="C342" s="3" t="s">
        <v>125</v>
      </c>
      <c r="D342" s="3" t="s">
        <v>3</v>
      </c>
      <c r="E342" s="3">
        <v>537</v>
      </c>
      <c r="G342" s="59">
        <v>1222</v>
      </c>
    </row>
    <row r="343" spans="1:7" ht="12.75" hidden="1" x14ac:dyDescent="0.2">
      <c r="A343" s="3">
        <v>47</v>
      </c>
      <c r="B343" s="4" t="s">
        <v>77</v>
      </c>
      <c r="C343" s="3" t="s">
        <v>125</v>
      </c>
      <c r="D343" s="3" t="s">
        <v>16</v>
      </c>
      <c r="E343" s="3">
        <v>7</v>
      </c>
      <c r="G343" s="57"/>
    </row>
    <row r="344" spans="1:7" ht="12.75" hidden="1" x14ac:dyDescent="0.2">
      <c r="A344" s="3">
        <v>47</v>
      </c>
      <c r="B344" s="4" t="s">
        <v>77</v>
      </c>
      <c r="C344" s="3" t="s">
        <v>125</v>
      </c>
      <c r="D344" s="3" t="s">
        <v>129</v>
      </c>
      <c r="E344" s="3">
        <v>3</v>
      </c>
      <c r="G344" s="57"/>
    </row>
    <row r="345" spans="1:7" ht="12.75" hidden="1" x14ac:dyDescent="0.2">
      <c r="A345" s="3">
        <v>47</v>
      </c>
      <c r="B345" s="4" t="s">
        <v>77</v>
      </c>
      <c r="C345" s="3" t="s">
        <v>125</v>
      </c>
      <c r="D345" s="3" t="s">
        <v>132</v>
      </c>
      <c r="E345" s="3">
        <v>24</v>
      </c>
      <c r="G345" s="57"/>
    </row>
    <row r="346" spans="1:7" ht="12.75" hidden="1" x14ac:dyDescent="0.2">
      <c r="A346" s="3">
        <v>47</v>
      </c>
      <c r="B346" s="4" t="s">
        <v>77</v>
      </c>
      <c r="C346" s="3" t="s">
        <v>125</v>
      </c>
      <c r="D346" s="3" t="s">
        <v>134</v>
      </c>
      <c r="E346" s="3">
        <v>4</v>
      </c>
      <c r="G346" s="57"/>
    </row>
    <row r="347" spans="1:7" ht="12.75" hidden="1" x14ac:dyDescent="0.2">
      <c r="A347" s="3">
        <v>47</v>
      </c>
      <c r="B347" s="4" t="s">
        <v>77</v>
      </c>
      <c r="C347" s="3" t="s">
        <v>125</v>
      </c>
      <c r="D347" s="3" t="s">
        <v>152</v>
      </c>
      <c r="E347" s="3">
        <v>306</v>
      </c>
      <c r="G347" s="57"/>
    </row>
    <row r="348" spans="1:7" ht="12.75" hidden="1" x14ac:dyDescent="0.2">
      <c r="A348" s="3">
        <v>47</v>
      </c>
      <c r="B348" s="4" t="s">
        <v>77</v>
      </c>
      <c r="C348" s="3" t="s">
        <v>125</v>
      </c>
      <c r="D348" s="3" t="s">
        <v>138</v>
      </c>
      <c r="E348" s="3">
        <v>14</v>
      </c>
      <c r="G348" s="57"/>
    </row>
    <row r="349" spans="1:7" ht="12.75" hidden="1" x14ac:dyDescent="0.2">
      <c r="A349" s="3">
        <v>47</v>
      </c>
      <c r="B349" s="4" t="s">
        <v>77</v>
      </c>
      <c r="C349" s="3" t="s">
        <v>125</v>
      </c>
      <c r="D349" s="3" t="s">
        <v>14</v>
      </c>
      <c r="E349" s="3">
        <v>18</v>
      </c>
      <c r="F349">
        <f>SUM(E342:E349)</f>
        <v>913</v>
      </c>
      <c r="G349" s="57"/>
    </row>
    <row r="350" spans="1:7" ht="12.75" hidden="1" x14ac:dyDescent="0.2">
      <c r="A350" s="3">
        <v>48</v>
      </c>
      <c r="B350" s="4" t="s">
        <v>78</v>
      </c>
      <c r="C350" s="3" t="s">
        <v>125</v>
      </c>
      <c r="D350" s="3" t="s">
        <v>3</v>
      </c>
      <c r="E350" s="3">
        <v>1695</v>
      </c>
      <c r="G350" s="59">
        <v>5433</v>
      </c>
    </row>
    <row r="351" spans="1:7" ht="12.75" hidden="1" x14ac:dyDescent="0.2">
      <c r="A351" s="3">
        <v>48</v>
      </c>
      <c r="B351" s="4" t="s">
        <v>78</v>
      </c>
      <c r="C351" s="3" t="s">
        <v>125</v>
      </c>
      <c r="D351" s="3" t="s">
        <v>16</v>
      </c>
      <c r="E351" s="3">
        <v>34</v>
      </c>
      <c r="G351" s="57"/>
    </row>
    <row r="352" spans="1:7" ht="12.75" hidden="1" x14ac:dyDescent="0.2">
      <c r="A352" s="3">
        <v>48</v>
      </c>
      <c r="B352" s="4" t="s">
        <v>78</v>
      </c>
      <c r="C352" s="3" t="s">
        <v>125</v>
      </c>
      <c r="D352" s="3" t="s">
        <v>129</v>
      </c>
      <c r="E352" s="3">
        <v>38</v>
      </c>
      <c r="G352" s="57"/>
    </row>
    <row r="353" spans="1:7" ht="12.75" hidden="1" x14ac:dyDescent="0.2">
      <c r="A353" s="3">
        <v>48</v>
      </c>
      <c r="B353" s="4" t="s">
        <v>78</v>
      </c>
      <c r="C353" s="3" t="s">
        <v>125</v>
      </c>
      <c r="D353" s="3" t="s">
        <v>132</v>
      </c>
      <c r="E353" s="3">
        <v>175</v>
      </c>
      <c r="G353" s="57"/>
    </row>
    <row r="354" spans="1:7" ht="12.75" hidden="1" x14ac:dyDescent="0.2">
      <c r="A354" s="3">
        <v>48</v>
      </c>
      <c r="B354" s="4" t="s">
        <v>78</v>
      </c>
      <c r="C354" s="3" t="s">
        <v>125</v>
      </c>
      <c r="D354" s="3" t="s">
        <v>134</v>
      </c>
      <c r="E354" s="3">
        <v>49</v>
      </c>
      <c r="G354" s="57"/>
    </row>
    <row r="355" spans="1:7" ht="12.75" hidden="1" x14ac:dyDescent="0.2">
      <c r="A355" s="3">
        <v>48</v>
      </c>
      <c r="B355" s="4" t="s">
        <v>78</v>
      </c>
      <c r="C355" s="3" t="s">
        <v>125</v>
      </c>
      <c r="D355" s="3" t="s">
        <v>152</v>
      </c>
      <c r="E355" s="3">
        <v>1681</v>
      </c>
      <c r="G355" s="57"/>
    </row>
    <row r="356" spans="1:7" ht="12.75" hidden="1" x14ac:dyDescent="0.2">
      <c r="A356" s="3">
        <v>48</v>
      </c>
      <c r="B356" s="4" t="s">
        <v>78</v>
      </c>
      <c r="C356" s="3" t="s">
        <v>125</v>
      </c>
      <c r="D356" s="3" t="s">
        <v>138</v>
      </c>
      <c r="E356" s="3">
        <v>205</v>
      </c>
      <c r="G356" s="57"/>
    </row>
    <row r="357" spans="1:7" ht="12.75" hidden="1" x14ac:dyDescent="0.2">
      <c r="A357" s="3">
        <v>48</v>
      </c>
      <c r="B357" s="4" t="s">
        <v>78</v>
      </c>
      <c r="C357" s="3" t="s">
        <v>125</v>
      </c>
      <c r="D357" s="3" t="s">
        <v>14</v>
      </c>
      <c r="E357" s="3">
        <v>61</v>
      </c>
      <c r="F357">
        <f>SUM(E350:E357)</f>
        <v>3938</v>
      </c>
      <c r="G357" s="57"/>
    </row>
    <row r="358" spans="1:7" ht="12.75" hidden="1" x14ac:dyDescent="0.2">
      <c r="A358" s="3">
        <v>49</v>
      </c>
      <c r="B358" s="4" t="s">
        <v>79</v>
      </c>
      <c r="C358" s="3" t="s">
        <v>125</v>
      </c>
      <c r="D358" s="3" t="s">
        <v>3</v>
      </c>
      <c r="E358" s="3">
        <v>92</v>
      </c>
      <c r="G358" s="59">
        <v>240</v>
      </c>
    </row>
    <row r="359" spans="1:7" ht="12.75" hidden="1" x14ac:dyDescent="0.2">
      <c r="A359" s="3">
        <v>49</v>
      </c>
      <c r="B359" s="4" t="s">
        <v>79</v>
      </c>
      <c r="C359" s="3" t="s">
        <v>125</v>
      </c>
      <c r="D359" s="3" t="s">
        <v>16</v>
      </c>
      <c r="E359" s="3">
        <v>2</v>
      </c>
      <c r="G359" s="57"/>
    </row>
    <row r="360" spans="1:7" ht="12.75" hidden="1" x14ac:dyDescent="0.2">
      <c r="A360" s="3">
        <v>49</v>
      </c>
      <c r="B360" s="4" t="s">
        <v>79</v>
      </c>
      <c r="C360" s="3" t="s">
        <v>125</v>
      </c>
      <c r="D360" s="3" t="s">
        <v>129</v>
      </c>
      <c r="E360" s="3">
        <v>1</v>
      </c>
      <c r="G360" s="57"/>
    </row>
    <row r="361" spans="1:7" ht="12.75" hidden="1" x14ac:dyDescent="0.2">
      <c r="A361" s="3">
        <v>49</v>
      </c>
      <c r="B361" s="4" t="s">
        <v>79</v>
      </c>
      <c r="C361" s="3" t="s">
        <v>125</v>
      </c>
      <c r="D361" s="3" t="s">
        <v>132</v>
      </c>
      <c r="E361" s="3">
        <v>6</v>
      </c>
      <c r="G361" s="57"/>
    </row>
    <row r="362" spans="1:7" ht="12.75" hidden="1" x14ac:dyDescent="0.2">
      <c r="A362" s="3">
        <v>49</v>
      </c>
      <c r="B362" s="4" t="s">
        <v>79</v>
      </c>
      <c r="C362" s="3" t="s">
        <v>125</v>
      </c>
      <c r="D362" s="3" t="s">
        <v>134</v>
      </c>
      <c r="E362" s="3">
        <v>1</v>
      </c>
      <c r="G362" s="57"/>
    </row>
    <row r="363" spans="1:7" ht="12.75" hidden="1" x14ac:dyDescent="0.2">
      <c r="A363" s="3">
        <v>49</v>
      </c>
      <c r="B363" s="4" t="s">
        <v>79</v>
      </c>
      <c r="C363" s="3" t="s">
        <v>125</v>
      </c>
      <c r="D363" s="3" t="s">
        <v>152</v>
      </c>
      <c r="E363" s="3">
        <v>56</v>
      </c>
      <c r="G363" s="57"/>
    </row>
    <row r="364" spans="1:7" ht="12.75" hidden="1" x14ac:dyDescent="0.2">
      <c r="A364" s="3">
        <v>49</v>
      </c>
      <c r="B364" s="4" t="s">
        <v>79</v>
      </c>
      <c r="C364" s="3" t="s">
        <v>125</v>
      </c>
      <c r="D364" s="3" t="s">
        <v>138</v>
      </c>
      <c r="E364" s="3">
        <v>0</v>
      </c>
      <c r="G364" s="57"/>
    </row>
    <row r="365" spans="1:7" ht="12.75" hidden="1" x14ac:dyDescent="0.2">
      <c r="A365" s="3">
        <v>49</v>
      </c>
      <c r="B365" s="4" t="s">
        <v>79</v>
      </c>
      <c r="C365" s="3" t="s">
        <v>125</v>
      </c>
      <c r="D365" s="3" t="s">
        <v>14</v>
      </c>
      <c r="E365" s="3">
        <v>0</v>
      </c>
      <c r="F365">
        <f>SUM(E358:E365)</f>
        <v>158</v>
      </c>
      <c r="G365" s="57"/>
    </row>
    <row r="366" spans="1:7" ht="12.75" hidden="1" x14ac:dyDescent="0.2">
      <c r="A366" s="3">
        <v>53</v>
      </c>
      <c r="B366" s="4" t="s">
        <v>80</v>
      </c>
      <c r="C366" s="3" t="s">
        <v>125</v>
      </c>
      <c r="D366" s="3" t="s">
        <v>3</v>
      </c>
      <c r="E366" s="3">
        <v>95</v>
      </c>
      <c r="G366" s="59">
        <v>231</v>
      </c>
    </row>
    <row r="367" spans="1:7" ht="12.75" hidden="1" x14ac:dyDescent="0.2">
      <c r="A367" s="3">
        <v>53</v>
      </c>
      <c r="B367" s="4" t="s">
        <v>80</v>
      </c>
      <c r="C367" s="3" t="s">
        <v>125</v>
      </c>
      <c r="D367" s="3" t="s">
        <v>16</v>
      </c>
      <c r="E367" s="3">
        <v>0</v>
      </c>
      <c r="G367" s="57"/>
    </row>
    <row r="368" spans="1:7" ht="12.75" hidden="1" x14ac:dyDescent="0.2">
      <c r="A368" s="3">
        <v>53</v>
      </c>
      <c r="B368" s="4" t="s">
        <v>80</v>
      </c>
      <c r="C368" s="3" t="s">
        <v>125</v>
      </c>
      <c r="D368" s="3" t="s">
        <v>129</v>
      </c>
      <c r="E368" s="3">
        <v>1</v>
      </c>
      <c r="G368" s="57"/>
    </row>
    <row r="369" spans="1:7" ht="12.75" hidden="1" x14ac:dyDescent="0.2">
      <c r="A369" s="3">
        <v>53</v>
      </c>
      <c r="B369" s="4" t="s">
        <v>80</v>
      </c>
      <c r="C369" s="3" t="s">
        <v>125</v>
      </c>
      <c r="D369" s="3" t="s">
        <v>132</v>
      </c>
      <c r="E369" s="3">
        <v>22</v>
      </c>
      <c r="G369" s="57"/>
    </row>
    <row r="370" spans="1:7" ht="12.75" hidden="1" x14ac:dyDescent="0.2">
      <c r="A370" s="3">
        <v>53</v>
      </c>
      <c r="B370" s="4" t="s">
        <v>80</v>
      </c>
      <c r="C370" s="3" t="s">
        <v>125</v>
      </c>
      <c r="D370" s="3" t="s">
        <v>134</v>
      </c>
      <c r="E370" s="3">
        <v>0</v>
      </c>
      <c r="G370" s="57"/>
    </row>
    <row r="371" spans="1:7" ht="12.75" hidden="1" x14ac:dyDescent="0.2">
      <c r="A371" s="3">
        <v>53</v>
      </c>
      <c r="B371" s="4" t="s">
        <v>80</v>
      </c>
      <c r="C371" s="3" t="s">
        <v>125</v>
      </c>
      <c r="D371" s="3" t="s">
        <v>152</v>
      </c>
      <c r="E371" s="3">
        <v>60</v>
      </c>
      <c r="G371" s="57"/>
    </row>
    <row r="372" spans="1:7" ht="12.75" hidden="1" x14ac:dyDescent="0.2">
      <c r="A372" s="3">
        <v>53</v>
      </c>
      <c r="B372" s="4" t="s">
        <v>80</v>
      </c>
      <c r="C372" s="3" t="s">
        <v>125</v>
      </c>
      <c r="D372" s="3" t="s">
        <v>138</v>
      </c>
      <c r="E372" s="3">
        <v>2</v>
      </c>
      <c r="G372" s="57"/>
    </row>
    <row r="373" spans="1:7" ht="12.75" hidden="1" x14ac:dyDescent="0.2">
      <c r="A373" s="3">
        <v>53</v>
      </c>
      <c r="B373" s="4" t="s">
        <v>80</v>
      </c>
      <c r="C373" s="3" t="s">
        <v>125</v>
      </c>
      <c r="D373" s="3" t="s">
        <v>14</v>
      </c>
      <c r="E373" s="3">
        <v>2</v>
      </c>
      <c r="F373">
        <f>SUM(E366:E373)</f>
        <v>182</v>
      </c>
      <c r="G373" s="57"/>
    </row>
    <row r="374" spans="1:7" ht="12.75" hidden="1" x14ac:dyDescent="0.2">
      <c r="A374" s="3">
        <v>54</v>
      </c>
      <c r="B374" s="4" t="s">
        <v>81</v>
      </c>
      <c r="C374" s="3" t="s">
        <v>125</v>
      </c>
      <c r="D374" s="3" t="s">
        <v>3</v>
      </c>
      <c r="E374" s="3">
        <v>47</v>
      </c>
      <c r="G374" s="59">
        <v>160</v>
      </c>
    </row>
    <row r="375" spans="1:7" ht="12.75" hidden="1" x14ac:dyDescent="0.2">
      <c r="A375" s="3">
        <v>54</v>
      </c>
      <c r="B375" s="4" t="s">
        <v>81</v>
      </c>
      <c r="C375" s="3" t="s">
        <v>125</v>
      </c>
      <c r="D375" s="3" t="s">
        <v>16</v>
      </c>
      <c r="E375" s="3">
        <v>0</v>
      </c>
      <c r="G375" s="57"/>
    </row>
    <row r="376" spans="1:7" ht="12.75" hidden="1" x14ac:dyDescent="0.2">
      <c r="A376" s="3">
        <v>54</v>
      </c>
      <c r="B376" s="4" t="s">
        <v>81</v>
      </c>
      <c r="C376" s="3" t="s">
        <v>125</v>
      </c>
      <c r="D376" s="3" t="s">
        <v>129</v>
      </c>
      <c r="E376" s="3">
        <v>0</v>
      </c>
      <c r="G376" s="57"/>
    </row>
    <row r="377" spans="1:7" ht="12.75" hidden="1" x14ac:dyDescent="0.2">
      <c r="A377" s="3">
        <v>54</v>
      </c>
      <c r="B377" s="4" t="s">
        <v>81</v>
      </c>
      <c r="C377" s="3" t="s">
        <v>125</v>
      </c>
      <c r="D377" s="3" t="s">
        <v>132</v>
      </c>
      <c r="E377" s="3">
        <v>1</v>
      </c>
      <c r="G377" s="57"/>
    </row>
    <row r="378" spans="1:7" ht="12.75" hidden="1" x14ac:dyDescent="0.2">
      <c r="A378" s="3">
        <v>54</v>
      </c>
      <c r="B378" s="4" t="s">
        <v>81</v>
      </c>
      <c r="C378" s="3" t="s">
        <v>125</v>
      </c>
      <c r="D378" s="3" t="s">
        <v>134</v>
      </c>
      <c r="E378" s="3">
        <v>1</v>
      </c>
      <c r="G378" s="57"/>
    </row>
    <row r="379" spans="1:7" ht="12.75" hidden="1" x14ac:dyDescent="0.2">
      <c r="A379" s="3">
        <v>54</v>
      </c>
      <c r="B379" s="4" t="s">
        <v>81</v>
      </c>
      <c r="C379" s="3" t="s">
        <v>125</v>
      </c>
      <c r="D379" s="3" t="s">
        <v>152</v>
      </c>
      <c r="E379" s="3">
        <v>36</v>
      </c>
      <c r="G379" s="57"/>
    </row>
    <row r="380" spans="1:7" ht="12.75" hidden="1" x14ac:dyDescent="0.2">
      <c r="A380" s="3">
        <v>54</v>
      </c>
      <c r="B380" s="4" t="s">
        <v>81</v>
      </c>
      <c r="C380" s="3" t="s">
        <v>125</v>
      </c>
      <c r="D380" s="3" t="s">
        <v>138</v>
      </c>
      <c r="E380" s="3">
        <v>1</v>
      </c>
      <c r="G380" s="57"/>
    </row>
    <row r="381" spans="1:7" ht="12.75" hidden="1" x14ac:dyDescent="0.2">
      <c r="A381" s="3">
        <v>54</v>
      </c>
      <c r="B381" s="4" t="s">
        <v>81</v>
      </c>
      <c r="C381" s="3" t="s">
        <v>125</v>
      </c>
      <c r="D381" s="3" t="s">
        <v>14</v>
      </c>
      <c r="E381" s="3">
        <v>5</v>
      </c>
      <c r="F381">
        <f>SUM(E374:E381)</f>
        <v>91</v>
      </c>
      <c r="G381" s="57"/>
    </row>
    <row r="382" spans="1:7" ht="12.75" hidden="1" x14ac:dyDescent="0.2">
      <c r="A382" s="3">
        <v>55</v>
      </c>
      <c r="B382" s="4" t="s">
        <v>82</v>
      </c>
      <c r="C382" s="3" t="s">
        <v>125</v>
      </c>
      <c r="D382" s="3" t="s">
        <v>3</v>
      </c>
      <c r="E382" s="3">
        <v>120</v>
      </c>
      <c r="G382" s="59">
        <v>325</v>
      </c>
    </row>
    <row r="383" spans="1:7" ht="12.75" hidden="1" x14ac:dyDescent="0.2">
      <c r="A383" s="3">
        <v>55</v>
      </c>
      <c r="B383" s="4" t="s">
        <v>82</v>
      </c>
      <c r="C383" s="3" t="s">
        <v>125</v>
      </c>
      <c r="D383" s="3" t="s">
        <v>16</v>
      </c>
      <c r="E383" s="3">
        <v>2</v>
      </c>
      <c r="G383" s="57"/>
    </row>
    <row r="384" spans="1:7" ht="12.75" hidden="1" x14ac:dyDescent="0.2">
      <c r="A384" s="3">
        <v>55</v>
      </c>
      <c r="B384" s="4" t="s">
        <v>82</v>
      </c>
      <c r="C384" s="3" t="s">
        <v>125</v>
      </c>
      <c r="D384" s="3" t="s">
        <v>129</v>
      </c>
      <c r="E384" s="3">
        <v>1</v>
      </c>
      <c r="G384" s="57"/>
    </row>
    <row r="385" spans="1:7" ht="12.75" hidden="1" x14ac:dyDescent="0.2">
      <c r="A385" s="3">
        <v>55</v>
      </c>
      <c r="B385" s="4" t="s">
        <v>82</v>
      </c>
      <c r="C385" s="3" t="s">
        <v>125</v>
      </c>
      <c r="D385" s="3" t="s">
        <v>132</v>
      </c>
      <c r="E385" s="3">
        <v>6</v>
      </c>
      <c r="G385" s="57"/>
    </row>
    <row r="386" spans="1:7" ht="12.75" hidden="1" x14ac:dyDescent="0.2">
      <c r="A386" s="3">
        <v>55</v>
      </c>
      <c r="B386" s="4" t="s">
        <v>82</v>
      </c>
      <c r="C386" s="3" t="s">
        <v>125</v>
      </c>
      <c r="D386" s="3" t="s">
        <v>134</v>
      </c>
      <c r="E386" s="3">
        <v>5</v>
      </c>
      <c r="G386" s="57"/>
    </row>
    <row r="387" spans="1:7" ht="12.75" hidden="1" x14ac:dyDescent="0.2">
      <c r="A387" s="3">
        <v>55</v>
      </c>
      <c r="B387" s="4" t="s">
        <v>82</v>
      </c>
      <c r="C387" s="3" t="s">
        <v>125</v>
      </c>
      <c r="D387" s="3" t="s">
        <v>152</v>
      </c>
      <c r="E387" s="3">
        <v>124</v>
      </c>
      <c r="G387" s="57"/>
    </row>
    <row r="388" spans="1:7" ht="12.75" hidden="1" x14ac:dyDescent="0.2">
      <c r="A388" s="3">
        <v>55</v>
      </c>
      <c r="B388" s="4" t="s">
        <v>82</v>
      </c>
      <c r="C388" s="3" t="s">
        <v>125</v>
      </c>
      <c r="D388" s="3" t="s">
        <v>138</v>
      </c>
      <c r="E388" s="3">
        <v>3</v>
      </c>
      <c r="G388" s="57"/>
    </row>
    <row r="389" spans="1:7" ht="12.75" hidden="1" x14ac:dyDescent="0.2">
      <c r="A389" s="3">
        <v>55</v>
      </c>
      <c r="B389" s="4" t="s">
        <v>82</v>
      </c>
      <c r="C389" s="3" t="s">
        <v>125</v>
      </c>
      <c r="D389" s="3" t="s">
        <v>14</v>
      </c>
      <c r="E389" s="3">
        <v>1</v>
      </c>
      <c r="F389">
        <f>SUM(E382:E389)</f>
        <v>262</v>
      </c>
      <c r="G389" s="57"/>
    </row>
    <row r="390" spans="1:7" ht="12.75" hidden="1" x14ac:dyDescent="0.2">
      <c r="A390" s="3">
        <v>56</v>
      </c>
      <c r="B390" s="4" t="s">
        <v>83</v>
      </c>
      <c r="C390" s="3" t="s">
        <v>125</v>
      </c>
      <c r="D390" s="3" t="s">
        <v>3</v>
      </c>
      <c r="E390" s="3">
        <v>224</v>
      </c>
      <c r="G390" s="59">
        <v>494</v>
      </c>
    </row>
    <row r="391" spans="1:7" ht="12.75" hidden="1" x14ac:dyDescent="0.2">
      <c r="A391" s="3">
        <v>56</v>
      </c>
      <c r="B391" s="4" t="s">
        <v>83</v>
      </c>
      <c r="C391" s="3" t="s">
        <v>125</v>
      </c>
      <c r="D391" s="3" t="s">
        <v>16</v>
      </c>
      <c r="E391" s="3">
        <v>2</v>
      </c>
      <c r="G391" s="57"/>
    </row>
    <row r="392" spans="1:7" ht="12.75" hidden="1" x14ac:dyDescent="0.2">
      <c r="A392" s="3">
        <v>56</v>
      </c>
      <c r="B392" s="4" t="s">
        <v>83</v>
      </c>
      <c r="C392" s="3" t="s">
        <v>125</v>
      </c>
      <c r="D392" s="3" t="s">
        <v>129</v>
      </c>
      <c r="E392" s="3">
        <v>3</v>
      </c>
      <c r="G392" s="57"/>
    </row>
    <row r="393" spans="1:7" ht="12.75" hidden="1" x14ac:dyDescent="0.2">
      <c r="A393" s="3">
        <v>56</v>
      </c>
      <c r="B393" s="4" t="s">
        <v>83</v>
      </c>
      <c r="C393" s="3" t="s">
        <v>125</v>
      </c>
      <c r="D393" s="3" t="s">
        <v>132</v>
      </c>
      <c r="E393" s="3">
        <v>21</v>
      </c>
      <c r="G393" s="57"/>
    </row>
    <row r="394" spans="1:7" ht="12.75" hidden="1" x14ac:dyDescent="0.2">
      <c r="A394" s="3">
        <v>56</v>
      </c>
      <c r="B394" s="4" t="s">
        <v>83</v>
      </c>
      <c r="C394" s="3" t="s">
        <v>125</v>
      </c>
      <c r="D394" s="3" t="s">
        <v>134</v>
      </c>
      <c r="E394" s="3">
        <v>2</v>
      </c>
      <c r="G394" s="57"/>
    </row>
    <row r="395" spans="1:7" ht="12.75" hidden="1" x14ac:dyDescent="0.2">
      <c r="A395" s="3">
        <v>56</v>
      </c>
      <c r="B395" s="4" t="s">
        <v>83</v>
      </c>
      <c r="C395" s="3" t="s">
        <v>125</v>
      </c>
      <c r="D395" s="3" t="s">
        <v>152</v>
      </c>
      <c r="E395" s="3">
        <v>152</v>
      </c>
      <c r="G395" s="57"/>
    </row>
    <row r="396" spans="1:7" ht="12.75" hidden="1" x14ac:dyDescent="0.2">
      <c r="A396" s="3">
        <v>56</v>
      </c>
      <c r="B396" s="4" t="s">
        <v>83</v>
      </c>
      <c r="C396" s="3" t="s">
        <v>125</v>
      </c>
      <c r="D396" s="3" t="s">
        <v>138</v>
      </c>
      <c r="E396" s="3">
        <v>9</v>
      </c>
      <c r="G396" s="57"/>
    </row>
    <row r="397" spans="1:7" ht="12.75" hidden="1" x14ac:dyDescent="0.2">
      <c r="A397" s="3">
        <v>56</v>
      </c>
      <c r="B397" s="4" t="s">
        <v>83</v>
      </c>
      <c r="C397" s="3" t="s">
        <v>125</v>
      </c>
      <c r="D397" s="3" t="s">
        <v>14</v>
      </c>
      <c r="E397" s="3">
        <v>3</v>
      </c>
      <c r="F397">
        <f>SUM(E390:E397)</f>
        <v>416</v>
      </c>
      <c r="G397" s="57"/>
    </row>
    <row r="398" spans="1:7" ht="12.75" x14ac:dyDescent="0.2">
      <c r="A398" s="2">
        <v>58</v>
      </c>
      <c r="B398" s="4" t="s">
        <v>84</v>
      </c>
      <c r="C398" s="3" t="s">
        <v>125</v>
      </c>
      <c r="D398" s="3" t="s">
        <v>3</v>
      </c>
      <c r="E398" s="3">
        <v>11755</v>
      </c>
      <c r="G398" s="59">
        <v>50143</v>
      </c>
    </row>
    <row r="399" spans="1:7" ht="12.75" x14ac:dyDescent="0.2">
      <c r="A399" s="2">
        <v>58</v>
      </c>
      <c r="B399" s="4" t="s">
        <v>84</v>
      </c>
      <c r="C399" s="3" t="s">
        <v>125</v>
      </c>
      <c r="D399" s="3" t="s">
        <v>16</v>
      </c>
      <c r="E399" s="3">
        <v>675</v>
      </c>
      <c r="G399" s="57"/>
    </row>
    <row r="400" spans="1:7" ht="12.75" x14ac:dyDescent="0.2">
      <c r="A400" s="2">
        <v>58</v>
      </c>
      <c r="B400" s="4" t="s">
        <v>84</v>
      </c>
      <c r="C400" s="3" t="s">
        <v>125</v>
      </c>
      <c r="D400" s="3" t="s">
        <v>129</v>
      </c>
      <c r="E400" s="3">
        <v>518</v>
      </c>
      <c r="G400" s="57"/>
    </row>
    <row r="401" spans="1:7" ht="12.75" x14ac:dyDescent="0.2">
      <c r="A401" s="2">
        <v>58</v>
      </c>
      <c r="B401" s="4" t="s">
        <v>84</v>
      </c>
      <c r="C401" s="3" t="s">
        <v>125</v>
      </c>
      <c r="D401" s="3" t="s">
        <v>132</v>
      </c>
      <c r="E401" s="3">
        <v>3294</v>
      </c>
      <c r="G401" s="57"/>
    </row>
    <row r="402" spans="1:7" ht="12.75" x14ac:dyDescent="0.2">
      <c r="A402" s="2">
        <v>58</v>
      </c>
      <c r="B402" s="4" t="s">
        <v>84</v>
      </c>
      <c r="C402" s="3" t="s">
        <v>125</v>
      </c>
      <c r="D402" s="3" t="s">
        <v>134</v>
      </c>
      <c r="E402" s="3">
        <v>851</v>
      </c>
      <c r="G402" s="57"/>
    </row>
    <row r="403" spans="1:7" ht="12.75" x14ac:dyDescent="0.2">
      <c r="A403" s="2">
        <v>58</v>
      </c>
      <c r="B403" s="4" t="s">
        <v>84</v>
      </c>
      <c r="C403" s="3" t="s">
        <v>125</v>
      </c>
      <c r="D403" s="3" t="s">
        <v>152</v>
      </c>
      <c r="E403" s="3">
        <v>18453</v>
      </c>
      <c r="G403" s="57"/>
    </row>
    <row r="404" spans="1:7" ht="12.75" x14ac:dyDescent="0.2">
      <c r="A404" s="2">
        <v>58</v>
      </c>
      <c r="B404" s="4" t="s">
        <v>84</v>
      </c>
      <c r="C404" s="3" t="s">
        <v>125</v>
      </c>
      <c r="D404" s="3" t="s">
        <v>138</v>
      </c>
      <c r="E404" s="3">
        <v>1499</v>
      </c>
      <c r="G404" s="57"/>
    </row>
    <row r="405" spans="1:7" ht="12.75" x14ac:dyDescent="0.2">
      <c r="A405" s="2">
        <v>58</v>
      </c>
      <c r="B405" s="4" t="s">
        <v>84</v>
      </c>
      <c r="C405" s="3" t="s">
        <v>125</v>
      </c>
      <c r="D405" s="3" t="s">
        <v>14</v>
      </c>
      <c r="E405" s="3">
        <v>638</v>
      </c>
      <c r="F405">
        <f>SUM(E398:E405)</f>
        <v>37683</v>
      </c>
      <c r="G405" s="57"/>
    </row>
    <row r="406" spans="1:7" ht="12.75" hidden="1" x14ac:dyDescent="0.2">
      <c r="A406" s="3">
        <v>59</v>
      </c>
      <c r="B406" s="4" t="s">
        <v>85</v>
      </c>
      <c r="C406" s="3" t="s">
        <v>125</v>
      </c>
      <c r="D406" s="3" t="s">
        <v>3</v>
      </c>
      <c r="E406" s="3">
        <v>192</v>
      </c>
      <c r="G406" s="59">
        <v>459</v>
      </c>
    </row>
    <row r="407" spans="1:7" ht="12.75" hidden="1" x14ac:dyDescent="0.2">
      <c r="A407" s="3">
        <v>59</v>
      </c>
      <c r="B407" s="4" t="s">
        <v>85</v>
      </c>
      <c r="C407" s="3" t="s">
        <v>125</v>
      </c>
      <c r="D407" s="3" t="s">
        <v>16</v>
      </c>
      <c r="E407" s="3">
        <v>4</v>
      </c>
      <c r="G407" s="57"/>
    </row>
    <row r="408" spans="1:7" ht="12.75" hidden="1" x14ac:dyDescent="0.2">
      <c r="A408" s="3">
        <v>59</v>
      </c>
      <c r="B408" s="4" t="s">
        <v>85</v>
      </c>
      <c r="C408" s="3" t="s">
        <v>125</v>
      </c>
      <c r="D408" s="3" t="s">
        <v>129</v>
      </c>
      <c r="E408" s="3">
        <v>1</v>
      </c>
      <c r="G408" s="57"/>
    </row>
    <row r="409" spans="1:7" ht="12.75" hidden="1" x14ac:dyDescent="0.2">
      <c r="A409" s="3">
        <v>59</v>
      </c>
      <c r="B409" s="4" t="s">
        <v>85</v>
      </c>
      <c r="C409" s="3" t="s">
        <v>125</v>
      </c>
      <c r="D409" s="3" t="s">
        <v>132</v>
      </c>
      <c r="E409" s="3">
        <v>26</v>
      </c>
      <c r="G409" s="57"/>
    </row>
    <row r="410" spans="1:7" ht="12.75" hidden="1" x14ac:dyDescent="0.2">
      <c r="A410" s="3">
        <v>59</v>
      </c>
      <c r="B410" s="4" t="s">
        <v>85</v>
      </c>
      <c r="C410" s="3" t="s">
        <v>125</v>
      </c>
      <c r="D410" s="3" t="s">
        <v>134</v>
      </c>
      <c r="E410" s="3">
        <v>4</v>
      </c>
      <c r="G410" s="57"/>
    </row>
    <row r="411" spans="1:7" ht="12.75" hidden="1" x14ac:dyDescent="0.2">
      <c r="A411" s="3">
        <v>59</v>
      </c>
      <c r="B411" s="4" t="s">
        <v>85</v>
      </c>
      <c r="C411" s="3" t="s">
        <v>125</v>
      </c>
      <c r="D411" s="3" t="s">
        <v>152</v>
      </c>
      <c r="E411" s="3">
        <v>155</v>
      </c>
      <c r="G411" s="57"/>
    </row>
    <row r="412" spans="1:7" ht="12.75" hidden="1" x14ac:dyDescent="0.2">
      <c r="A412" s="3">
        <v>59</v>
      </c>
      <c r="B412" s="4" t="s">
        <v>85</v>
      </c>
      <c r="C412" s="3" t="s">
        <v>125</v>
      </c>
      <c r="D412" s="3" t="s">
        <v>138</v>
      </c>
      <c r="E412" s="3">
        <v>6</v>
      </c>
      <c r="G412" s="57"/>
    </row>
    <row r="413" spans="1:7" ht="12.75" hidden="1" x14ac:dyDescent="0.2">
      <c r="A413" s="3">
        <v>59</v>
      </c>
      <c r="B413" s="4" t="s">
        <v>85</v>
      </c>
      <c r="C413" s="3" t="s">
        <v>125</v>
      </c>
      <c r="D413" s="3" t="s">
        <v>14</v>
      </c>
      <c r="E413" s="3">
        <v>2</v>
      </c>
      <c r="F413">
        <f>SUM(E406:E413)</f>
        <v>390</v>
      </c>
      <c r="G413" s="57"/>
    </row>
    <row r="414" spans="1:7" ht="12.75" hidden="1" x14ac:dyDescent="0.2">
      <c r="A414" s="3">
        <v>60</v>
      </c>
      <c r="B414" s="4" t="s">
        <v>154</v>
      </c>
      <c r="C414" s="3" t="s">
        <v>125</v>
      </c>
      <c r="D414" s="3" t="s">
        <v>3</v>
      </c>
      <c r="E414" s="3">
        <v>7</v>
      </c>
      <c r="G414" s="59">
        <v>53</v>
      </c>
    </row>
    <row r="415" spans="1:7" ht="12.75" hidden="1" x14ac:dyDescent="0.2">
      <c r="A415" s="3">
        <v>60</v>
      </c>
      <c r="B415" s="4" t="s">
        <v>154</v>
      </c>
      <c r="C415" s="3" t="s">
        <v>125</v>
      </c>
      <c r="D415" s="3" t="s">
        <v>16</v>
      </c>
      <c r="E415" s="3">
        <v>0</v>
      </c>
      <c r="G415" s="57"/>
    </row>
    <row r="416" spans="1:7" ht="12.75" hidden="1" x14ac:dyDescent="0.2">
      <c r="A416" s="3">
        <v>60</v>
      </c>
      <c r="B416" s="4" t="s">
        <v>154</v>
      </c>
      <c r="C416" s="3" t="s">
        <v>125</v>
      </c>
      <c r="D416" s="3" t="s">
        <v>129</v>
      </c>
      <c r="E416" s="3">
        <v>0</v>
      </c>
      <c r="G416" s="57"/>
    </row>
    <row r="417" spans="1:7" ht="12.75" hidden="1" x14ac:dyDescent="0.2">
      <c r="A417" s="3">
        <v>60</v>
      </c>
      <c r="B417" s="4" t="s">
        <v>154</v>
      </c>
      <c r="C417" s="3" t="s">
        <v>125</v>
      </c>
      <c r="D417" s="3" t="s">
        <v>132</v>
      </c>
      <c r="E417" s="3">
        <v>6</v>
      </c>
      <c r="G417" s="57"/>
    </row>
    <row r="418" spans="1:7" ht="12.75" hidden="1" x14ac:dyDescent="0.2">
      <c r="A418" s="3">
        <v>60</v>
      </c>
      <c r="B418" s="4" t="s">
        <v>154</v>
      </c>
      <c r="C418" s="3" t="s">
        <v>125</v>
      </c>
      <c r="D418" s="3" t="s">
        <v>134</v>
      </c>
      <c r="E418" s="3">
        <v>0</v>
      </c>
      <c r="G418" s="57"/>
    </row>
    <row r="419" spans="1:7" ht="12.75" hidden="1" x14ac:dyDescent="0.2">
      <c r="A419" s="3">
        <v>60</v>
      </c>
      <c r="B419" s="4" t="s">
        <v>154</v>
      </c>
      <c r="C419" s="3" t="s">
        <v>125</v>
      </c>
      <c r="D419" s="3" t="s">
        <v>152</v>
      </c>
      <c r="E419" s="3">
        <v>23</v>
      </c>
      <c r="G419" s="57"/>
    </row>
    <row r="420" spans="1:7" ht="12.75" hidden="1" x14ac:dyDescent="0.2">
      <c r="A420" s="3">
        <v>60</v>
      </c>
      <c r="B420" s="4" t="s">
        <v>154</v>
      </c>
      <c r="C420" s="3" t="s">
        <v>125</v>
      </c>
      <c r="D420" s="3" t="s">
        <v>138</v>
      </c>
      <c r="E420" s="3">
        <v>1</v>
      </c>
      <c r="G420" s="57"/>
    </row>
    <row r="421" spans="1:7" ht="12.75" hidden="1" x14ac:dyDescent="0.2">
      <c r="A421" s="3">
        <v>60</v>
      </c>
      <c r="B421" s="4" t="s">
        <v>154</v>
      </c>
      <c r="C421" s="3" t="s">
        <v>125</v>
      </c>
      <c r="D421" s="3" t="s">
        <v>14</v>
      </c>
      <c r="E421" s="3">
        <v>0</v>
      </c>
      <c r="F421">
        <f>SUM(E414:E421)</f>
        <v>37</v>
      </c>
      <c r="G421" s="57"/>
    </row>
    <row r="422" spans="1:7" ht="12.75" hidden="1" x14ac:dyDescent="0.2">
      <c r="A422" s="3">
        <v>61</v>
      </c>
      <c r="B422" s="4" t="s">
        <v>86</v>
      </c>
      <c r="C422" s="3" t="s">
        <v>125</v>
      </c>
      <c r="D422" s="3" t="s">
        <v>3</v>
      </c>
      <c r="E422" s="3">
        <v>2016</v>
      </c>
      <c r="G422" s="59">
        <v>7373</v>
      </c>
    </row>
    <row r="423" spans="1:7" ht="12.75" hidden="1" x14ac:dyDescent="0.2">
      <c r="A423" s="3">
        <v>61</v>
      </c>
      <c r="B423" s="4" t="s">
        <v>86</v>
      </c>
      <c r="C423" s="3" t="s">
        <v>125</v>
      </c>
      <c r="D423" s="3" t="s">
        <v>16</v>
      </c>
      <c r="E423" s="3">
        <v>83</v>
      </c>
      <c r="G423" s="57"/>
    </row>
    <row r="424" spans="1:7" ht="12.75" hidden="1" x14ac:dyDescent="0.2">
      <c r="A424" s="3">
        <v>61</v>
      </c>
      <c r="B424" s="4" t="s">
        <v>86</v>
      </c>
      <c r="C424" s="3" t="s">
        <v>125</v>
      </c>
      <c r="D424" s="3" t="s">
        <v>129</v>
      </c>
      <c r="E424" s="3">
        <v>57</v>
      </c>
      <c r="G424" s="57"/>
    </row>
    <row r="425" spans="1:7" ht="12.75" hidden="1" x14ac:dyDescent="0.2">
      <c r="A425" s="3">
        <v>61</v>
      </c>
      <c r="B425" s="4" t="s">
        <v>86</v>
      </c>
      <c r="C425" s="3" t="s">
        <v>125</v>
      </c>
      <c r="D425" s="3" t="s">
        <v>132</v>
      </c>
      <c r="E425" s="3">
        <v>227</v>
      </c>
      <c r="G425" s="57"/>
    </row>
    <row r="426" spans="1:7" ht="12.75" hidden="1" x14ac:dyDescent="0.2">
      <c r="A426" s="3">
        <v>61</v>
      </c>
      <c r="B426" s="4" t="s">
        <v>86</v>
      </c>
      <c r="C426" s="3" t="s">
        <v>125</v>
      </c>
      <c r="D426" s="3" t="s">
        <v>134</v>
      </c>
      <c r="E426" s="3">
        <v>140</v>
      </c>
      <c r="G426" s="57"/>
    </row>
    <row r="427" spans="1:7" ht="12.75" hidden="1" x14ac:dyDescent="0.2">
      <c r="A427" s="3">
        <v>61</v>
      </c>
      <c r="B427" s="4" t="s">
        <v>86</v>
      </c>
      <c r="C427" s="3" t="s">
        <v>125</v>
      </c>
      <c r="D427" s="3" t="s">
        <v>152</v>
      </c>
      <c r="E427" s="3">
        <v>2307</v>
      </c>
      <c r="G427" s="57"/>
    </row>
    <row r="428" spans="1:7" ht="12.75" hidden="1" x14ac:dyDescent="0.2">
      <c r="A428" s="3">
        <v>61</v>
      </c>
      <c r="B428" s="4" t="s">
        <v>86</v>
      </c>
      <c r="C428" s="3" t="s">
        <v>125</v>
      </c>
      <c r="D428" s="3" t="s">
        <v>138</v>
      </c>
      <c r="E428" s="3">
        <v>297</v>
      </c>
      <c r="G428" s="57"/>
    </row>
    <row r="429" spans="1:7" ht="12.75" hidden="1" x14ac:dyDescent="0.2">
      <c r="A429" s="3">
        <v>61</v>
      </c>
      <c r="B429" s="4" t="s">
        <v>86</v>
      </c>
      <c r="C429" s="3" t="s">
        <v>125</v>
      </c>
      <c r="D429" s="3" t="s">
        <v>14</v>
      </c>
      <c r="E429" s="3">
        <v>115</v>
      </c>
      <c r="F429">
        <f>SUM(E422:E429)</f>
        <v>5242</v>
      </c>
      <c r="G429" s="57"/>
    </row>
    <row r="430" spans="1:7" ht="12.75" hidden="1" x14ac:dyDescent="0.2">
      <c r="A430" s="3">
        <v>62</v>
      </c>
      <c r="B430" s="4" t="s">
        <v>87</v>
      </c>
      <c r="C430" s="3" t="s">
        <v>125</v>
      </c>
      <c r="D430" s="3" t="s">
        <v>3</v>
      </c>
      <c r="E430" s="3">
        <v>155</v>
      </c>
      <c r="G430" s="59">
        <v>634</v>
      </c>
    </row>
    <row r="431" spans="1:7" ht="12.75" hidden="1" x14ac:dyDescent="0.2">
      <c r="A431" s="3">
        <v>62</v>
      </c>
      <c r="B431" s="4" t="s">
        <v>87</v>
      </c>
      <c r="C431" s="3" t="s">
        <v>125</v>
      </c>
      <c r="D431" s="3" t="s">
        <v>16</v>
      </c>
      <c r="E431" s="3">
        <v>2</v>
      </c>
      <c r="G431" s="57"/>
    </row>
    <row r="432" spans="1:7" ht="12.75" hidden="1" x14ac:dyDescent="0.2">
      <c r="A432" s="3">
        <v>62</v>
      </c>
      <c r="B432" s="4" t="s">
        <v>87</v>
      </c>
      <c r="C432" s="3" t="s">
        <v>125</v>
      </c>
      <c r="D432" s="3" t="s">
        <v>129</v>
      </c>
      <c r="E432" s="3">
        <v>3</v>
      </c>
      <c r="G432" s="57"/>
    </row>
    <row r="433" spans="1:7" ht="12.75" hidden="1" x14ac:dyDescent="0.2">
      <c r="A433" s="3">
        <v>62</v>
      </c>
      <c r="B433" s="4" t="s">
        <v>87</v>
      </c>
      <c r="C433" s="3" t="s">
        <v>125</v>
      </c>
      <c r="D433" s="3" t="s">
        <v>132</v>
      </c>
      <c r="E433" s="3">
        <v>21</v>
      </c>
      <c r="G433" s="57"/>
    </row>
    <row r="434" spans="1:7" ht="12.75" hidden="1" x14ac:dyDescent="0.2">
      <c r="A434" s="3">
        <v>62</v>
      </c>
      <c r="B434" s="4" t="s">
        <v>87</v>
      </c>
      <c r="C434" s="3" t="s">
        <v>125</v>
      </c>
      <c r="D434" s="3" t="s">
        <v>134</v>
      </c>
      <c r="E434" s="3">
        <v>6</v>
      </c>
      <c r="G434" s="57"/>
    </row>
    <row r="435" spans="1:7" ht="12.75" hidden="1" x14ac:dyDescent="0.2">
      <c r="A435" s="3">
        <v>62</v>
      </c>
      <c r="B435" s="4" t="s">
        <v>87</v>
      </c>
      <c r="C435" s="3" t="s">
        <v>125</v>
      </c>
      <c r="D435" s="3" t="s">
        <v>152</v>
      </c>
      <c r="E435" s="3">
        <v>146</v>
      </c>
      <c r="G435" s="57"/>
    </row>
    <row r="436" spans="1:7" ht="12.75" hidden="1" x14ac:dyDescent="0.2">
      <c r="A436" s="3">
        <v>62</v>
      </c>
      <c r="B436" s="4" t="s">
        <v>87</v>
      </c>
      <c r="C436" s="3" t="s">
        <v>125</v>
      </c>
      <c r="D436" s="3" t="s">
        <v>138</v>
      </c>
      <c r="E436" s="3">
        <v>15</v>
      </c>
      <c r="G436" s="57"/>
    </row>
    <row r="437" spans="1:7" ht="12.75" hidden="1" x14ac:dyDescent="0.2">
      <c r="A437" s="3">
        <v>62</v>
      </c>
      <c r="B437" s="4" t="s">
        <v>87</v>
      </c>
      <c r="C437" s="3" t="s">
        <v>125</v>
      </c>
      <c r="D437" s="3" t="s">
        <v>14</v>
      </c>
      <c r="E437" s="3">
        <v>7</v>
      </c>
      <c r="F437">
        <f>SUM(E430:E437)</f>
        <v>355</v>
      </c>
      <c r="G437" s="57"/>
    </row>
    <row r="438" spans="1:7" ht="12.75" hidden="1" x14ac:dyDescent="0.2">
      <c r="A438" s="3">
        <v>63</v>
      </c>
      <c r="B438" s="4" t="s">
        <v>88</v>
      </c>
      <c r="C438" s="3" t="s">
        <v>125</v>
      </c>
      <c r="D438" s="3" t="s">
        <v>3</v>
      </c>
      <c r="E438" s="3">
        <v>685</v>
      </c>
      <c r="G438" s="59">
        <v>2654</v>
      </c>
    </row>
    <row r="439" spans="1:7" ht="12.75" hidden="1" x14ac:dyDescent="0.2">
      <c r="A439" s="3">
        <v>63</v>
      </c>
      <c r="B439" s="4" t="s">
        <v>88</v>
      </c>
      <c r="C439" s="3" t="s">
        <v>125</v>
      </c>
      <c r="D439" s="3" t="s">
        <v>16</v>
      </c>
      <c r="E439" s="3">
        <v>15</v>
      </c>
      <c r="G439" s="57"/>
    </row>
    <row r="440" spans="1:7" ht="12.75" hidden="1" x14ac:dyDescent="0.2">
      <c r="A440" s="3">
        <v>63</v>
      </c>
      <c r="B440" s="4" t="s">
        <v>88</v>
      </c>
      <c r="C440" s="3" t="s">
        <v>125</v>
      </c>
      <c r="D440" s="3" t="s">
        <v>129</v>
      </c>
      <c r="E440" s="3">
        <v>120</v>
      </c>
      <c r="G440" s="57"/>
    </row>
    <row r="441" spans="1:7" ht="12.75" hidden="1" x14ac:dyDescent="0.2">
      <c r="A441" s="3">
        <v>63</v>
      </c>
      <c r="B441" s="4" t="s">
        <v>88</v>
      </c>
      <c r="C441" s="3" t="s">
        <v>125</v>
      </c>
      <c r="D441" s="3" t="s">
        <v>132</v>
      </c>
      <c r="E441" s="3">
        <v>53</v>
      </c>
      <c r="G441" s="57"/>
    </row>
    <row r="442" spans="1:7" ht="12.75" hidden="1" x14ac:dyDescent="0.2">
      <c r="A442" s="3">
        <v>63</v>
      </c>
      <c r="B442" s="4" t="s">
        <v>88</v>
      </c>
      <c r="C442" s="3" t="s">
        <v>125</v>
      </c>
      <c r="D442" s="3" t="s">
        <v>134</v>
      </c>
      <c r="E442" s="3">
        <v>42</v>
      </c>
      <c r="G442" s="57"/>
    </row>
    <row r="443" spans="1:7" ht="12.75" hidden="1" x14ac:dyDescent="0.2">
      <c r="A443" s="3">
        <v>63</v>
      </c>
      <c r="B443" s="4" t="s">
        <v>88</v>
      </c>
      <c r="C443" s="3" t="s">
        <v>125</v>
      </c>
      <c r="D443" s="3" t="s">
        <v>152</v>
      </c>
      <c r="E443" s="3">
        <v>935</v>
      </c>
      <c r="G443" s="57"/>
    </row>
    <row r="444" spans="1:7" ht="12.75" hidden="1" x14ac:dyDescent="0.2">
      <c r="A444" s="3">
        <v>63</v>
      </c>
      <c r="B444" s="4" t="s">
        <v>88</v>
      </c>
      <c r="C444" s="3" t="s">
        <v>125</v>
      </c>
      <c r="D444" s="3" t="s">
        <v>138</v>
      </c>
      <c r="E444" s="3">
        <v>31</v>
      </c>
      <c r="G444" s="57"/>
    </row>
    <row r="445" spans="1:7" ht="12.75" hidden="1" x14ac:dyDescent="0.2">
      <c r="A445" s="3">
        <v>63</v>
      </c>
      <c r="B445" s="4" t="s">
        <v>88</v>
      </c>
      <c r="C445" s="3" t="s">
        <v>125</v>
      </c>
      <c r="D445" s="3" t="s">
        <v>14</v>
      </c>
      <c r="E445" s="3">
        <v>72</v>
      </c>
      <c r="F445">
        <f>SUM(E438:E445)</f>
        <v>1953</v>
      </c>
      <c r="G445" s="57"/>
    </row>
    <row r="446" spans="1:7" ht="12.75" hidden="1" x14ac:dyDescent="0.2">
      <c r="A446" s="3">
        <v>64</v>
      </c>
      <c r="B446" s="4" t="s">
        <v>89</v>
      </c>
      <c r="C446" s="3" t="s">
        <v>125</v>
      </c>
      <c r="D446" s="3" t="s">
        <v>3</v>
      </c>
      <c r="E446" s="3">
        <v>299</v>
      </c>
      <c r="G446" s="59">
        <v>693</v>
      </c>
    </row>
    <row r="447" spans="1:7" ht="12.75" hidden="1" x14ac:dyDescent="0.2">
      <c r="A447" s="3">
        <v>64</v>
      </c>
      <c r="B447" s="4" t="s">
        <v>89</v>
      </c>
      <c r="C447" s="3" t="s">
        <v>125</v>
      </c>
      <c r="D447" s="3" t="s">
        <v>16</v>
      </c>
      <c r="E447" s="3">
        <v>6</v>
      </c>
      <c r="G447" s="57"/>
    </row>
    <row r="448" spans="1:7" ht="12.75" hidden="1" x14ac:dyDescent="0.2">
      <c r="A448" s="3">
        <v>64</v>
      </c>
      <c r="B448" s="4" t="s">
        <v>89</v>
      </c>
      <c r="C448" s="3" t="s">
        <v>125</v>
      </c>
      <c r="D448" s="3" t="s">
        <v>129</v>
      </c>
      <c r="E448" s="3">
        <v>2</v>
      </c>
      <c r="G448" s="57"/>
    </row>
    <row r="449" spans="1:7" ht="12.75" hidden="1" x14ac:dyDescent="0.2">
      <c r="A449" s="3">
        <v>64</v>
      </c>
      <c r="B449" s="4" t="s">
        <v>89</v>
      </c>
      <c r="C449" s="3" t="s">
        <v>125</v>
      </c>
      <c r="D449" s="3" t="s">
        <v>132</v>
      </c>
      <c r="E449" s="3">
        <v>8</v>
      </c>
      <c r="G449" s="57"/>
    </row>
    <row r="450" spans="1:7" ht="12.75" hidden="1" x14ac:dyDescent="0.2">
      <c r="A450" s="3">
        <v>64</v>
      </c>
      <c r="B450" s="4" t="s">
        <v>89</v>
      </c>
      <c r="C450" s="3" t="s">
        <v>125</v>
      </c>
      <c r="D450" s="3" t="s">
        <v>134</v>
      </c>
      <c r="E450" s="3">
        <v>4</v>
      </c>
      <c r="G450" s="57"/>
    </row>
    <row r="451" spans="1:7" ht="12.75" hidden="1" x14ac:dyDescent="0.2">
      <c r="A451" s="3">
        <v>64</v>
      </c>
      <c r="B451" s="4" t="s">
        <v>89</v>
      </c>
      <c r="C451" s="3" t="s">
        <v>125</v>
      </c>
      <c r="D451" s="3" t="s">
        <v>152</v>
      </c>
      <c r="E451" s="3">
        <v>223</v>
      </c>
      <c r="G451" s="57"/>
    </row>
    <row r="452" spans="1:7" ht="12.75" hidden="1" x14ac:dyDescent="0.2">
      <c r="A452" s="3">
        <v>64</v>
      </c>
      <c r="B452" s="4" t="s">
        <v>89</v>
      </c>
      <c r="C452" s="3" t="s">
        <v>125</v>
      </c>
      <c r="D452" s="3" t="s">
        <v>138</v>
      </c>
      <c r="E452" s="3">
        <v>15</v>
      </c>
      <c r="G452" s="57"/>
    </row>
    <row r="453" spans="1:7" ht="12.75" hidden="1" x14ac:dyDescent="0.2">
      <c r="A453" s="3">
        <v>64</v>
      </c>
      <c r="B453" s="4" t="s">
        <v>89</v>
      </c>
      <c r="C453" s="3" t="s">
        <v>125</v>
      </c>
      <c r="D453" s="3" t="s">
        <v>14</v>
      </c>
      <c r="E453" s="3">
        <v>5</v>
      </c>
      <c r="F453">
        <f>SUM(E446:E453)</f>
        <v>562</v>
      </c>
      <c r="G453" s="57"/>
    </row>
    <row r="454" spans="1:7" ht="12.75" hidden="1" x14ac:dyDescent="0.2">
      <c r="A454" s="3">
        <v>65</v>
      </c>
      <c r="B454" s="4" t="s">
        <v>90</v>
      </c>
      <c r="C454" s="3" t="s">
        <v>125</v>
      </c>
      <c r="D454" s="3" t="s">
        <v>3</v>
      </c>
      <c r="E454" s="3">
        <v>899</v>
      </c>
      <c r="G454" s="59">
        <v>3453</v>
      </c>
    </row>
    <row r="455" spans="1:7" ht="12.75" hidden="1" x14ac:dyDescent="0.2">
      <c r="A455" s="3">
        <v>65</v>
      </c>
      <c r="B455" s="4" t="s">
        <v>90</v>
      </c>
      <c r="C455" s="3" t="s">
        <v>125</v>
      </c>
      <c r="D455" s="3" t="s">
        <v>16</v>
      </c>
      <c r="E455" s="3">
        <v>36</v>
      </c>
      <c r="G455" s="57"/>
    </row>
    <row r="456" spans="1:7" ht="12.75" hidden="1" x14ac:dyDescent="0.2">
      <c r="A456" s="3">
        <v>65</v>
      </c>
      <c r="B456" s="4" t="s">
        <v>90</v>
      </c>
      <c r="C456" s="3" t="s">
        <v>125</v>
      </c>
      <c r="D456" s="3" t="s">
        <v>129</v>
      </c>
      <c r="E456" s="3">
        <v>25</v>
      </c>
      <c r="G456" s="57"/>
    </row>
    <row r="457" spans="1:7" ht="12.75" hidden="1" x14ac:dyDescent="0.2">
      <c r="A457" s="3">
        <v>65</v>
      </c>
      <c r="B457" s="4" t="s">
        <v>90</v>
      </c>
      <c r="C457" s="3" t="s">
        <v>125</v>
      </c>
      <c r="D457" s="3" t="s">
        <v>132</v>
      </c>
      <c r="E457" s="3">
        <v>63</v>
      </c>
      <c r="G457" s="57"/>
    </row>
    <row r="458" spans="1:7" ht="12.75" hidden="1" x14ac:dyDescent="0.2">
      <c r="A458" s="3">
        <v>65</v>
      </c>
      <c r="B458" s="4" t="s">
        <v>90</v>
      </c>
      <c r="C458" s="3" t="s">
        <v>125</v>
      </c>
      <c r="D458" s="3" t="s">
        <v>134</v>
      </c>
      <c r="E458" s="3">
        <v>45</v>
      </c>
      <c r="G458" s="57"/>
    </row>
    <row r="459" spans="1:7" ht="12.75" hidden="1" x14ac:dyDescent="0.2">
      <c r="A459" s="3">
        <v>65</v>
      </c>
      <c r="B459" s="4" t="s">
        <v>90</v>
      </c>
      <c r="C459" s="3" t="s">
        <v>125</v>
      </c>
      <c r="D459" s="3" t="s">
        <v>152</v>
      </c>
      <c r="E459" s="3">
        <v>1346</v>
      </c>
      <c r="G459" s="57"/>
    </row>
    <row r="460" spans="1:7" ht="12.75" hidden="1" x14ac:dyDescent="0.2">
      <c r="A460" s="3">
        <v>65</v>
      </c>
      <c r="B460" s="4" t="s">
        <v>90</v>
      </c>
      <c r="C460" s="3" t="s">
        <v>125</v>
      </c>
      <c r="D460" s="3" t="s">
        <v>138</v>
      </c>
      <c r="E460" s="3">
        <v>87</v>
      </c>
      <c r="G460" s="57"/>
    </row>
    <row r="461" spans="1:7" ht="12.75" hidden="1" x14ac:dyDescent="0.2">
      <c r="A461" s="3">
        <v>65</v>
      </c>
      <c r="B461" s="4" t="s">
        <v>90</v>
      </c>
      <c r="C461" s="3" t="s">
        <v>125</v>
      </c>
      <c r="D461" s="3" t="s">
        <v>14</v>
      </c>
      <c r="E461" s="3">
        <v>27</v>
      </c>
      <c r="F461">
        <f>SUM(E454:E461)</f>
        <v>2528</v>
      </c>
      <c r="G461" s="57"/>
    </row>
    <row r="462" spans="1:7" ht="12.75" hidden="1" x14ac:dyDescent="0.2">
      <c r="A462" s="3">
        <v>66</v>
      </c>
      <c r="B462" s="4" t="s">
        <v>91</v>
      </c>
      <c r="C462" s="3" t="s">
        <v>125</v>
      </c>
      <c r="D462" s="3" t="s">
        <v>3</v>
      </c>
      <c r="E462" s="3">
        <v>36</v>
      </c>
      <c r="G462" s="59">
        <v>132</v>
      </c>
    </row>
    <row r="463" spans="1:7" ht="12.75" hidden="1" x14ac:dyDescent="0.2">
      <c r="A463" s="3">
        <v>66</v>
      </c>
      <c r="B463" s="4" t="s">
        <v>91</v>
      </c>
      <c r="C463" s="3" t="s">
        <v>125</v>
      </c>
      <c r="D463" s="3" t="s">
        <v>16</v>
      </c>
      <c r="E463" s="3">
        <v>1</v>
      </c>
      <c r="G463" s="57"/>
    </row>
    <row r="464" spans="1:7" ht="12.75" hidden="1" x14ac:dyDescent="0.2">
      <c r="A464" s="3">
        <v>66</v>
      </c>
      <c r="B464" s="4" t="s">
        <v>91</v>
      </c>
      <c r="C464" s="3" t="s">
        <v>125</v>
      </c>
      <c r="D464" s="3" t="s">
        <v>129</v>
      </c>
      <c r="E464" s="3">
        <v>0</v>
      </c>
      <c r="G464" s="57"/>
    </row>
    <row r="465" spans="1:7" ht="12.75" hidden="1" x14ac:dyDescent="0.2">
      <c r="A465" s="3">
        <v>66</v>
      </c>
      <c r="B465" s="4" t="s">
        <v>91</v>
      </c>
      <c r="C465" s="3" t="s">
        <v>125</v>
      </c>
      <c r="D465" s="3" t="s">
        <v>132</v>
      </c>
      <c r="E465" s="3">
        <v>7</v>
      </c>
      <c r="G465" s="57"/>
    </row>
    <row r="466" spans="1:7" ht="12.75" hidden="1" x14ac:dyDescent="0.2">
      <c r="A466" s="3">
        <v>66</v>
      </c>
      <c r="B466" s="4" t="s">
        <v>91</v>
      </c>
      <c r="C466" s="3" t="s">
        <v>125</v>
      </c>
      <c r="D466" s="3" t="s">
        <v>134</v>
      </c>
      <c r="E466" s="3">
        <v>1</v>
      </c>
      <c r="G466" s="57"/>
    </row>
    <row r="467" spans="1:7" ht="12.75" hidden="1" x14ac:dyDescent="0.2">
      <c r="A467" s="3">
        <v>66</v>
      </c>
      <c r="B467" s="4" t="s">
        <v>91</v>
      </c>
      <c r="C467" s="3" t="s">
        <v>125</v>
      </c>
      <c r="D467" s="3" t="s">
        <v>152</v>
      </c>
      <c r="E467" s="3">
        <v>61</v>
      </c>
      <c r="G467" s="57"/>
    </row>
    <row r="468" spans="1:7" ht="12.75" hidden="1" x14ac:dyDescent="0.2">
      <c r="A468" s="3">
        <v>66</v>
      </c>
      <c r="B468" s="4" t="s">
        <v>91</v>
      </c>
      <c r="C468" s="3" t="s">
        <v>125</v>
      </c>
      <c r="D468" s="3" t="s">
        <v>138</v>
      </c>
      <c r="E468" s="3">
        <v>7</v>
      </c>
      <c r="G468" s="57"/>
    </row>
    <row r="469" spans="1:7" ht="12.75" hidden="1" x14ac:dyDescent="0.2">
      <c r="A469" s="3">
        <v>66</v>
      </c>
      <c r="B469" s="4" t="s">
        <v>91</v>
      </c>
      <c r="C469" s="3" t="s">
        <v>125</v>
      </c>
      <c r="D469" s="3" t="s">
        <v>14</v>
      </c>
      <c r="E469" s="3">
        <v>0</v>
      </c>
      <c r="F469">
        <f>SUM(E462:E469)</f>
        <v>113</v>
      </c>
      <c r="G469" s="57"/>
    </row>
    <row r="470" spans="1:7" ht="12.75" hidden="1" x14ac:dyDescent="0.2">
      <c r="A470" s="3">
        <v>67</v>
      </c>
      <c r="B470" s="4" t="s">
        <v>155</v>
      </c>
      <c r="C470" s="3" t="s">
        <v>125</v>
      </c>
      <c r="D470" s="3" t="s">
        <v>3</v>
      </c>
      <c r="E470" s="3">
        <v>6</v>
      </c>
      <c r="G470" s="59">
        <v>41</v>
      </c>
    </row>
    <row r="471" spans="1:7" ht="12.75" hidden="1" x14ac:dyDescent="0.2">
      <c r="A471" s="3">
        <v>67</v>
      </c>
      <c r="B471" s="4" t="s">
        <v>155</v>
      </c>
      <c r="C471" s="3" t="s">
        <v>125</v>
      </c>
      <c r="D471" s="3" t="s">
        <v>16</v>
      </c>
      <c r="E471" s="3">
        <v>0</v>
      </c>
      <c r="G471" s="57"/>
    </row>
    <row r="472" spans="1:7" ht="12.75" hidden="1" x14ac:dyDescent="0.2">
      <c r="A472" s="3">
        <v>67</v>
      </c>
      <c r="B472" s="4" t="s">
        <v>155</v>
      </c>
      <c r="C472" s="3" t="s">
        <v>125</v>
      </c>
      <c r="D472" s="3" t="s">
        <v>129</v>
      </c>
      <c r="E472" s="3">
        <v>0</v>
      </c>
      <c r="G472" s="57"/>
    </row>
    <row r="473" spans="1:7" ht="12.75" hidden="1" x14ac:dyDescent="0.2">
      <c r="A473" s="3">
        <v>67</v>
      </c>
      <c r="B473" s="4" t="s">
        <v>155</v>
      </c>
      <c r="C473" s="3" t="s">
        <v>125</v>
      </c>
      <c r="D473" s="3" t="s">
        <v>132</v>
      </c>
      <c r="E473" s="3">
        <v>2</v>
      </c>
      <c r="G473" s="57"/>
    </row>
    <row r="474" spans="1:7" ht="12.75" hidden="1" x14ac:dyDescent="0.2">
      <c r="A474" s="3">
        <v>67</v>
      </c>
      <c r="B474" s="4" t="s">
        <v>155</v>
      </c>
      <c r="C474" s="3" t="s">
        <v>125</v>
      </c>
      <c r="D474" s="3" t="s">
        <v>134</v>
      </c>
      <c r="E474" s="3">
        <v>1</v>
      </c>
      <c r="G474" s="57"/>
    </row>
    <row r="475" spans="1:7" ht="12.75" hidden="1" x14ac:dyDescent="0.2">
      <c r="A475" s="3">
        <v>67</v>
      </c>
      <c r="B475" s="4" t="s">
        <v>155</v>
      </c>
      <c r="C475" s="3" t="s">
        <v>125</v>
      </c>
      <c r="D475" s="3" t="s">
        <v>152</v>
      </c>
      <c r="E475" s="3">
        <v>18</v>
      </c>
      <c r="G475" s="57"/>
    </row>
    <row r="476" spans="1:7" ht="12.75" hidden="1" x14ac:dyDescent="0.2">
      <c r="A476" s="3">
        <v>67</v>
      </c>
      <c r="B476" s="4" t="s">
        <v>155</v>
      </c>
      <c r="C476" s="3" t="s">
        <v>125</v>
      </c>
      <c r="D476" s="3" t="s">
        <v>138</v>
      </c>
      <c r="E476" s="3">
        <v>0</v>
      </c>
      <c r="G476" s="57"/>
    </row>
    <row r="477" spans="1:7" ht="12.75" hidden="1" x14ac:dyDescent="0.2">
      <c r="A477" s="3">
        <v>67</v>
      </c>
      <c r="B477" s="4" t="s">
        <v>155</v>
      </c>
      <c r="C477" s="3" t="s">
        <v>125</v>
      </c>
      <c r="D477" s="3" t="s">
        <v>14</v>
      </c>
      <c r="E477" s="3">
        <v>1</v>
      </c>
      <c r="F477">
        <f>SUM(E470:E477)</f>
        <v>28</v>
      </c>
      <c r="G477" s="57"/>
    </row>
    <row r="478" spans="1:7" ht="12.75" hidden="1" x14ac:dyDescent="0.2">
      <c r="A478" s="3">
        <v>68</v>
      </c>
      <c r="B478" s="4" t="s">
        <v>92</v>
      </c>
      <c r="C478" s="3" t="s">
        <v>125</v>
      </c>
      <c r="D478" s="3" t="s">
        <v>3</v>
      </c>
      <c r="E478" s="3">
        <v>141</v>
      </c>
      <c r="G478" s="59">
        <v>593</v>
      </c>
    </row>
    <row r="479" spans="1:7" ht="12.75" hidden="1" x14ac:dyDescent="0.2">
      <c r="A479" s="3">
        <v>68</v>
      </c>
      <c r="B479" s="4" t="s">
        <v>92</v>
      </c>
      <c r="C479" s="3" t="s">
        <v>125</v>
      </c>
      <c r="D479" s="3" t="s">
        <v>16</v>
      </c>
      <c r="E479" s="3">
        <v>5</v>
      </c>
      <c r="G479" s="57"/>
    </row>
    <row r="480" spans="1:7" ht="12.75" hidden="1" x14ac:dyDescent="0.2">
      <c r="A480" s="3">
        <v>68</v>
      </c>
      <c r="B480" s="4" t="s">
        <v>92</v>
      </c>
      <c r="C480" s="3" t="s">
        <v>125</v>
      </c>
      <c r="D480" s="3" t="s">
        <v>129</v>
      </c>
      <c r="E480" s="3">
        <v>22</v>
      </c>
      <c r="G480" s="57"/>
    </row>
    <row r="481" spans="1:7" ht="12.75" hidden="1" x14ac:dyDescent="0.2">
      <c r="A481" s="3">
        <v>68</v>
      </c>
      <c r="B481" s="4" t="s">
        <v>92</v>
      </c>
      <c r="C481" s="3" t="s">
        <v>125</v>
      </c>
      <c r="D481" s="3" t="s">
        <v>132</v>
      </c>
      <c r="E481" s="3">
        <v>13</v>
      </c>
      <c r="G481" s="57"/>
    </row>
    <row r="482" spans="1:7" ht="12.75" hidden="1" x14ac:dyDescent="0.2">
      <c r="A482" s="3">
        <v>68</v>
      </c>
      <c r="B482" s="4" t="s">
        <v>92</v>
      </c>
      <c r="C482" s="3" t="s">
        <v>125</v>
      </c>
      <c r="D482" s="3" t="s">
        <v>134</v>
      </c>
      <c r="E482" s="3">
        <v>16</v>
      </c>
      <c r="G482" s="57"/>
    </row>
    <row r="483" spans="1:7" ht="12.75" hidden="1" x14ac:dyDescent="0.2">
      <c r="A483" s="3">
        <v>68</v>
      </c>
      <c r="B483" s="4" t="s">
        <v>92</v>
      </c>
      <c r="C483" s="3" t="s">
        <v>125</v>
      </c>
      <c r="D483" s="3" t="s">
        <v>152</v>
      </c>
      <c r="E483" s="3">
        <v>220</v>
      </c>
      <c r="G483" s="57"/>
    </row>
    <row r="484" spans="1:7" ht="12.75" hidden="1" x14ac:dyDescent="0.2">
      <c r="A484" s="3">
        <v>68</v>
      </c>
      <c r="B484" s="4" t="s">
        <v>92</v>
      </c>
      <c r="C484" s="3" t="s">
        <v>125</v>
      </c>
      <c r="D484" s="3" t="s">
        <v>138</v>
      </c>
      <c r="E484" s="3">
        <v>16</v>
      </c>
      <c r="G484" s="57"/>
    </row>
    <row r="485" spans="1:7" ht="12.75" hidden="1" x14ac:dyDescent="0.2">
      <c r="A485" s="3">
        <v>68</v>
      </c>
      <c r="B485" s="4" t="s">
        <v>92</v>
      </c>
      <c r="C485" s="3" t="s">
        <v>125</v>
      </c>
      <c r="D485" s="3" t="s">
        <v>14</v>
      </c>
      <c r="E485" s="3">
        <v>8</v>
      </c>
      <c r="F485">
        <f>SUM(E478:E485)</f>
        <v>441</v>
      </c>
      <c r="G485" s="57"/>
    </row>
    <row r="486" spans="1:7" ht="12.75" hidden="1" x14ac:dyDescent="0.2">
      <c r="A486" s="3">
        <v>69</v>
      </c>
      <c r="B486" s="4" t="s">
        <v>93</v>
      </c>
      <c r="C486" s="3" t="s">
        <v>125</v>
      </c>
      <c r="D486" s="3" t="s">
        <v>3</v>
      </c>
      <c r="E486" s="3">
        <v>621</v>
      </c>
      <c r="G486" s="59">
        <v>2030</v>
      </c>
    </row>
    <row r="487" spans="1:7" ht="12.75" hidden="1" x14ac:dyDescent="0.2">
      <c r="A487" s="3">
        <v>69</v>
      </c>
      <c r="B487" s="4" t="s">
        <v>93</v>
      </c>
      <c r="C487" s="3" t="s">
        <v>125</v>
      </c>
      <c r="D487" s="3" t="s">
        <v>16</v>
      </c>
      <c r="E487" s="3">
        <v>15</v>
      </c>
      <c r="G487" s="57"/>
    </row>
    <row r="488" spans="1:7" ht="12.75" hidden="1" x14ac:dyDescent="0.2">
      <c r="A488" s="3">
        <v>69</v>
      </c>
      <c r="B488" s="4" t="s">
        <v>93</v>
      </c>
      <c r="C488" s="3" t="s">
        <v>125</v>
      </c>
      <c r="D488" s="3" t="s">
        <v>129</v>
      </c>
      <c r="E488" s="3">
        <v>23</v>
      </c>
      <c r="G488" s="57"/>
    </row>
    <row r="489" spans="1:7" ht="12.75" hidden="1" x14ac:dyDescent="0.2">
      <c r="A489" s="3">
        <v>69</v>
      </c>
      <c r="B489" s="4" t="s">
        <v>93</v>
      </c>
      <c r="C489" s="3" t="s">
        <v>125</v>
      </c>
      <c r="D489" s="3" t="s">
        <v>132</v>
      </c>
      <c r="E489" s="3">
        <v>27</v>
      </c>
      <c r="G489" s="57"/>
    </row>
    <row r="490" spans="1:7" ht="12.75" hidden="1" x14ac:dyDescent="0.2">
      <c r="A490" s="3">
        <v>69</v>
      </c>
      <c r="B490" s="4" t="s">
        <v>93</v>
      </c>
      <c r="C490" s="3" t="s">
        <v>125</v>
      </c>
      <c r="D490" s="3" t="s">
        <v>134</v>
      </c>
      <c r="E490" s="3">
        <v>22</v>
      </c>
      <c r="G490" s="57"/>
    </row>
    <row r="491" spans="1:7" ht="12.75" hidden="1" x14ac:dyDescent="0.2">
      <c r="A491" s="3">
        <v>69</v>
      </c>
      <c r="B491" s="4" t="s">
        <v>93</v>
      </c>
      <c r="C491" s="3" t="s">
        <v>125</v>
      </c>
      <c r="D491" s="3" t="s">
        <v>152</v>
      </c>
      <c r="E491" s="3">
        <v>615</v>
      </c>
      <c r="G491" s="57"/>
    </row>
    <row r="492" spans="1:7" ht="12.75" hidden="1" x14ac:dyDescent="0.2">
      <c r="A492" s="3">
        <v>69</v>
      </c>
      <c r="B492" s="4" t="s">
        <v>93</v>
      </c>
      <c r="C492" s="3" t="s">
        <v>125</v>
      </c>
      <c r="D492" s="3" t="s">
        <v>138</v>
      </c>
      <c r="E492" s="3">
        <v>70</v>
      </c>
      <c r="G492" s="57"/>
    </row>
    <row r="493" spans="1:7" ht="12.75" hidden="1" x14ac:dyDescent="0.2">
      <c r="A493" s="3">
        <v>69</v>
      </c>
      <c r="B493" s="4" t="s">
        <v>93</v>
      </c>
      <c r="C493" s="3" t="s">
        <v>125</v>
      </c>
      <c r="D493" s="3" t="s">
        <v>14</v>
      </c>
      <c r="E493" s="3">
        <v>24</v>
      </c>
      <c r="F493">
        <f>SUM(E486:E493)</f>
        <v>1417</v>
      </c>
      <c r="G493" s="57"/>
    </row>
    <row r="494" spans="1:7" ht="12.75" hidden="1" x14ac:dyDescent="0.2">
      <c r="A494" s="3">
        <v>70</v>
      </c>
      <c r="B494" s="4" t="s">
        <v>156</v>
      </c>
      <c r="C494" s="3" t="s">
        <v>125</v>
      </c>
      <c r="D494" s="3" t="s">
        <v>3</v>
      </c>
      <c r="E494" s="3">
        <v>0</v>
      </c>
      <c r="G494" s="59">
        <v>7</v>
      </c>
    </row>
    <row r="495" spans="1:7" ht="12.75" hidden="1" x14ac:dyDescent="0.2">
      <c r="A495" s="3">
        <v>70</v>
      </c>
      <c r="B495" s="4" t="s">
        <v>156</v>
      </c>
      <c r="C495" s="3" t="s">
        <v>125</v>
      </c>
      <c r="D495" s="3" t="s">
        <v>16</v>
      </c>
      <c r="E495" s="3">
        <v>0</v>
      </c>
      <c r="G495" s="57"/>
    </row>
    <row r="496" spans="1:7" ht="12.75" hidden="1" x14ac:dyDescent="0.2">
      <c r="A496" s="3">
        <v>70</v>
      </c>
      <c r="B496" s="4" t="s">
        <v>156</v>
      </c>
      <c r="C496" s="3" t="s">
        <v>125</v>
      </c>
      <c r="D496" s="3" t="s">
        <v>129</v>
      </c>
      <c r="E496" s="3">
        <v>0</v>
      </c>
      <c r="G496" s="57"/>
    </row>
    <row r="497" spans="1:7" ht="12.75" hidden="1" x14ac:dyDescent="0.2">
      <c r="A497" s="3">
        <v>70</v>
      </c>
      <c r="B497" s="4" t="s">
        <v>156</v>
      </c>
      <c r="C497" s="3" t="s">
        <v>125</v>
      </c>
      <c r="D497" s="3" t="s">
        <v>132</v>
      </c>
      <c r="E497" s="3">
        <v>0</v>
      </c>
      <c r="G497" s="57"/>
    </row>
    <row r="498" spans="1:7" ht="12.75" hidden="1" x14ac:dyDescent="0.2">
      <c r="A498" s="3">
        <v>70</v>
      </c>
      <c r="B498" s="4" t="s">
        <v>156</v>
      </c>
      <c r="C498" s="3" t="s">
        <v>125</v>
      </c>
      <c r="D498" s="3" t="s">
        <v>134</v>
      </c>
      <c r="E498" s="3">
        <v>0</v>
      </c>
      <c r="G498" s="57"/>
    </row>
    <row r="499" spans="1:7" ht="12.75" hidden="1" x14ac:dyDescent="0.2">
      <c r="A499" s="3">
        <v>70</v>
      </c>
      <c r="B499" s="4" t="s">
        <v>156</v>
      </c>
      <c r="C499" s="3" t="s">
        <v>125</v>
      </c>
      <c r="D499" s="3" t="s">
        <v>152</v>
      </c>
      <c r="E499" s="3">
        <v>4</v>
      </c>
      <c r="G499" s="57"/>
    </row>
    <row r="500" spans="1:7" ht="12.75" hidden="1" x14ac:dyDescent="0.2">
      <c r="A500" s="3">
        <v>70</v>
      </c>
      <c r="B500" s="4" t="s">
        <v>156</v>
      </c>
      <c r="C500" s="3" t="s">
        <v>125</v>
      </c>
      <c r="D500" s="3" t="s">
        <v>138</v>
      </c>
      <c r="E500" s="3">
        <v>0</v>
      </c>
      <c r="G500" s="57"/>
    </row>
    <row r="501" spans="1:7" ht="12.75" hidden="1" x14ac:dyDescent="0.2">
      <c r="A501" s="3">
        <v>70</v>
      </c>
      <c r="B501" s="4" t="s">
        <v>156</v>
      </c>
      <c r="C501" s="3" t="s">
        <v>125</v>
      </c>
      <c r="D501" s="3" t="s">
        <v>14</v>
      </c>
      <c r="E501" s="3">
        <v>0</v>
      </c>
      <c r="F501">
        <f>SUM(E494:E501)</f>
        <v>4</v>
      </c>
      <c r="G501" s="57"/>
    </row>
    <row r="502" spans="1:7" ht="12.75" hidden="1" x14ac:dyDescent="0.2">
      <c r="A502" s="3">
        <v>71</v>
      </c>
      <c r="B502" s="4" t="s">
        <v>94</v>
      </c>
      <c r="C502" s="3" t="s">
        <v>125</v>
      </c>
      <c r="D502" s="3" t="s">
        <v>3</v>
      </c>
      <c r="E502" s="3">
        <v>411</v>
      </c>
      <c r="G502" s="59">
        <v>1261</v>
      </c>
    </row>
    <row r="503" spans="1:7" ht="12.75" hidden="1" x14ac:dyDescent="0.2">
      <c r="A503" s="3">
        <v>71</v>
      </c>
      <c r="B503" s="4" t="s">
        <v>94</v>
      </c>
      <c r="C503" s="3" t="s">
        <v>125</v>
      </c>
      <c r="D503" s="3" t="s">
        <v>16</v>
      </c>
      <c r="E503" s="3">
        <v>7</v>
      </c>
      <c r="G503" s="57"/>
    </row>
    <row r="504" spans="1:7" ht="12.75" hidden="1" x14ac:dyDescent="0.2">
      <c r="A504" s="3">
        <v>71</v>
      </c>
      <c r="B504" s="4" t="s">
        <v>94</v>
      </c>
      <c r="C504" s="3" t="s">
        <v>125</v>
      </c>
      <c r="D504" s="3" t="s">
        <v>129</v>
      </c>
      <c r="E504" s="3">
        <v>6</v>
      </c>
      <c r="G504" s="57"/>
    </row>
    <row r="505" spans="1:7" ht="12.75" hidden="1" x14ac:dyDescent="0.2">
      <c r="A505" s="3">
        <v>71</v>
      </c>
      <c r="B505" s="4" t="s">
        <v>94</v>
      </c>
      <c r="C505" s="3" t="s">
        <v>125</v>
      </c>
      <c r="D505" s="3" t="s">
        <v>132</v>
      </c>
      <c r="E505" s="3">
        <v>40</v>
      </c>
      <c r="G505" s="57"/>
    </row>
    <row r="506" spans="1:7" ht="12.75" hidden="1" x14ac:dyDescent="0.2">
      <c r="A506" s="3">
        <v>71</v>
      </c>
      <c r="B506" s="4" t="s">
        <v>94</v>
      </c>
      <c r="C506" s="3" t="s">
        <v>125</v>
      </c>
      <c r="D506" s="3" t="s">
        <v>134</v>
      </c>
      <c r="E506" s="3">
        <v>6</v>
      </c>
      <c r="G506" s="57"/>
    </row>
    <row r="507" spans="1:7" ht="12.75" hidden="1" x14ac:dyDescent="0.2">
      <c r="A507" s="3">
        <v>71</v>
      </c>
      <c r="B507" s="4" t="s">
        <v>94</v>
      </c>
      <c r="C507" s="3" t="s">
        <v>125</v>
      </c>
      <c r="D507" s="3" t="s">
        <v>152</v>
      </c>
      <c r="E507" s="3">
        <v>331</v>
      </c>
      <c r="G507" s="57"/>
    </row>
    <row r="508" spans="1:7" ht="12.75" hidden="1" x14ac:dyDescent="0.2">
      <c r="A508" s="3">
        <v>71</v>
      </c>
      <c r="B508" s="4" t="s">
        <v>94</v>
      </c>
      <c r="C508" s="3" t="s">
        <v>125</v>
      </c>
      <c r="D508" s="3" t="s">
        <v>138</v>
      </c>
      <c r="E508" s="3">
        <v>17</v>
      </c>
      <c r="G508" s="57"/>
    </row>
    <row r="509" spans="1:7" ht="12.75" hidden="1" x14ac:dyDescent="0.2">
      <c r="A509" s="3">
        <v>71</v>
      </c>
      <c r="B509" s="4" t="s">
        <v>94</v>
      </c>
      <c r="C509" s="3" t="s">
        <v>125</v>
      </c>
      <c r="D509" s="3" t="s">
        <v>14</v>
      </c>
      <c r="E509" s="3">
        <v>30</v>
      </c>
      <c r="F509">
        <f>SUM(E502:E509)</f>
        <v>848</v>
      </c>
      <c r="G509" s="57"/>
    </row>
    <row r="510" spans="1:7" ht="12.75" hidden="1" x14ac:dyDescent="0.2">
      <c r="A510" s="3">
        <v>72</v>
      </c>
      <c r="B510" s="4" t="s">
        <v>95</v>
      </c>
      <c r="C510" s="3" t="s">
        <v>125</v>
      </c>
      <c r="D510" s="3" t="s">
        <v>3</v>
      </c>
      <c r="E510" s="3">
        <v>504</v>
      </c>
      <c r="G510" s="59">
        <v>2045</v>
      </c>
    </row>
    <row r="511" spans="1:7" ht="12.75" hidden="1" x14ac:dyDescent="0.2">
      <c r="A511" s="3">
        <v>72</v>
      </c>
      <c r="B511" s="4" t="s">
        <v>95</v>
      </c>
      <c r="C511" s="3" t="s">
        <v>125</v>
      </c>
      <c r="D511" s="3" t="s">
        <v>16</v>
      </c>
      <c r="E511" s="3">
        <v>16</v>
      </c>
      <c r="G511" s="57"/>
    </row>
    <row r="512" spans="1:7" ht="12.75" hidden="1" x14ac:dyDescent="0.2">
      <c r="A512" s="3">
        <v>72</v>
      </c>
      <c r="B512" s="4" t="s">
        <v>95</v>
      </c>
      <c r="C512" s="3" t="s">
        <v>125</v>
      </c>
      <c r="D512" s="3" t="s">
        <v>129</v>
      </c>
      <c r="E512" s="3">
        <v>14</v>
      </c>
      <c r="G512" s="57"/>
    </row>
    <row r="513" spans="1:7" ht="12.75" hidden="1" x14ac:dyDescent="0.2">
      <c r="A513" s="3">
        <v>72</v>
      </c>
      <c r="B513" s="4" t="s">
        <v>95</v>
      </c>
      <c r="C513" s="3" t="s">
        <v>125</v>
      </c>
      <c r="D513" s="3" t="s">
        <v>132</v>
      </c>
      <c r="E513" s="3">
        <v>45</v>
      </c>
      <c r="G513" s="57"/>
    </row>
    <row r="514" spans="1:7" ht="12.75" hidden="1" x14ac:dyDescent="0.2">
      <c r="A514" s="3">
        <v>72</v>
      </c>
      <c r="B514" s="4" t="s">
        <v>95</v>
      </c>
      <c r="C514" s="3" t="s">
        <v>125</v>
      </c>
      <c r="D514" s="3" t="s">
        <v>134</v>
      </c>
      <c r="E514" s="3">
        <v>21</v>
      </c>
      <c r="G514" s="57"/>
    </row>
    <row r="515" spans="1:7" ht="12.75" hidden="1" x14ac:dyDescent="0.2">
      <c r="A515" s="3">
        <v>72</v>
      </c>
      <c r="B515" s="4" t="s">
        <v>95</v>
      </c>
      <c r="C515" s="3" t="s">
        <v>125</v>
      </c>
      <c r="D515" s="3" t="s">
        <v>152</v>
      </c>
      <c r="E515" s="3">
        <v>824</v>
      </c>
      <c r="G515" s="57"/>
    </row>
    <row r="516" spans="1:7" ht="12.75" hidden="1" x14ac:dyDescent="0.2">
      <c r="A516" s="3">
        <v>72</v>
      </c>
      <c r="B516" s="4" t="s">
        <v>95</v>
      </c>
      <c r="C516" s="3" t="s">
        <v>125</v>
      </c>
      <c r="D516" s="3" t="s">
        <v>138</v>
      </c>
      <c r="E516" s="3">
        <v>59</v>
      </c>
      <c r="G516" s="57"/>
    </row>
    <row r="517" spans="1:7" ht="12.75" hidden="1" x14ac:dyDescent="0.2">
      <c r="A517" s="3">
        <v>72</v>
      </c>
      <c r="B517" s="4" t="s">
        <v>95</v>
      </c>
      <c r="C517" s="3" t="s">
        <v>125</v>
      </c>
      <c r="D517" s="3" t="s">
        <v>14</v>
      </c>
      <c r="E517" s="3">
        <v>34</v>
      </c>
      <c r="F517">
        <f>SUM(E510:E517)</f>
        <v>1517</v>
      </c>
      <c r="G517" s="57"/>
    </row>
    <row r="518" spans="1:7" ht="12.75" hidden="1" x14ac:dyDescent="0.2">
      <c r="A518" s="3">
        <v>73</v>
      </c>
      <c r="B518" s="4" t="s">
        <v>96</v>
      </c>
      <c r="C518" s="3" t="s">
        <v>125</v>
      </c>
      <c r="D518" s="3" t="s">
        <v>3</v>
      </c>
      <c r="E518" s="3">
        <v>85</v>
      </c>
      <c r="G518" s="59">
        <v>216</v>
      </c>
    </row>
    <row r="519" spans="1:7" ht="12.75" hidden="1" x14ac:dyDescent="0.2">
      <c r="A519" s="3">
        <v>73</v>
      </c>
      <c r="B519" s="4" t="s">
        <v>96</v>
      </c>
      <c r="C519" s="3" t="s">
        <v>125</v>
      </c>
      <c r="D519" s="3" t="s">
        <v>16</v>
      </c>
      <c r="E519" s="3">
        <v>1</v>
      </c>
      <c r="G519" s="57"/>
    </row>
    <row r="520" spans="1:7" ht="12.75" hidden="1" x14ac:dyDescent="0.2">
      <c r="A520" s="3">
        <v>73</v>
      </c>
      <c r="B520" s="4" t="s">
        <v>96</v>
      </c>
      <c r="C520" s="3" t="s">
        <v>125</v>
      </c>
      <c r="D520" s="3" t="s">
        <v>129</v>
      </c>
      <c r="E520" s="3">
        <v>3</v>
      </c>
      <c r="G520" s="57"/>
    </row>
    <row r="521" spans="1:7" ht="12.75" hidden="1" x14ac:dyDescent="0.2">
      <c r="A521" s="3">
        <v>73</v>
      </c>
      <c r="B521" s="4" t="s">
        <v>96</v>
      </c>
      <c r="C521" s="3" t="s">
        <v>125</v>
      </c>
      <c r="D521" s="3" t="s">
        <v>132</v>
      </c>
      <c r="E521" s="3">
        <v>4</v>
      </c>
      <c r="G521" s="57"/>
    </row>
    <row r="522" spans="1:7" ht="12.75" hidden="1" x14ac:dyDescent="0.2">
      <c r="A522" s="3">
        <v>73</v>
      </c>
      <c r="B522" s="4" t="s">
        <v>96</v>
      </c>
      <c r="C522" s="3" t="s">
        <v>125</v>
      </c>
      <c r="D522" s="3" t="s">
        <v>134</v>
      </c>
      <c r="E522" s="3">
        <v>4</v>
      </c>
      <c r="G522" s="57"/>
    </row>
    <row r="523" spans="1:7" ht="12.75" hidden="1" x14ac:dyDescent="0.2">
      <c r="A523" s="3">
        <v>73</v>
      </c>
      <c r="B523" s="4" t="s">
        <v>96</v>
      </c>
      <c r="C523" s="3" t="s">
        <v>125</v>
      </c>
      <c r="D523" s="3" t="s">
        <v>152</v>
      </c>
      <c r="E523" s="3">
        <v>56</v>
      </c>
      <c r="G523" s="57"/>
    </row>
    <row r="524" spans="1:7" ht="12.75" hidden="1" x14ac:dyDescent="0.2">
      <c r="A524" s="3">
        <v>73</v>
      </c>
      <c r="B524" s="4" t="s">
        <v>96</v>
      </c>
      <c r="C524" s="3" t="s">
        <v>125</v>
      </c>
      <c r="D524" s="3" t="s">
        <v>138</v>
      </c>
      <c r="E524" s="3">
        <v>5</v>
      </c>
      <c r="G524" s="57"/>
    </row>
    <row r="525" spans="1:7" ht="12.75" hidden="1" x14ac:dyDescent="0.2">
      <c r="A525" s="3">
        <v>73</v>
      </c>
      <c r="B525" s="4" t="s">
        <v>96</v>
      </c>
      <c r="C525" s="3" t="s">
        <v>125</v>
      </c>
      <c r="D525" s="3" t="s">
        <v>14</v>
      </c>
      <c r="E525" s="3">
        <v>5</v>
      </c>
      <c r="F525">
        <f>SUM(E518:E525)</f>
        <v>163</v>
      </c>
      <c r="G525" s="57"/>
    </row>
    <row r="526" spans="1:7" ht="12.75" hidden="1" x14ac:dyDescent="0.2">
      <c r="A526" s="3">
        <v>74</v>
      </c>
      <c r="B526" s="4" t="s">
        <v>97</v>
      </c>
      <c r="C526" s="3" t="s">
        <v>125</v>
      </c>
      <c r="D526" s="3" t="s">
        <v>3</v>
      </c>
      <c r="E526" s="3">
        <v>141</v>
      </c>
      <c r="G526" s="59">
        <v>383</v>
      </c>
    </row>
    <row r="527" spans="1:7" ht="12.75" hidden="1" x14ac:dyDescent="0.2">
      <c r="A527" s="3">
        <v>74</v>
      </c>
      <c r="B527" s="4" t="s">
        <v>97</v>
      </c>
      <c r="C527" s="3" t="s">
        <v>125</v>
      </c>
      <c r="D527" s="3" t="s">
        <v>16</v>
      </c>
      <c r="E527" s="3">
        <v>2</v>
      </c>
      <c r="G527" s="57"/>
    </row>
    <row r="528" spans="1:7" ht="12.75" hidden="1" x14ac:dyDescent="0.2">
      <c r="A528" s="3">
        <v>74</v>
      </c>
      <c r="B528" s="4" t="s">
        <v>97</v>
      </c>
      <c r="C528" s="3" t="s">
        <v>125</v>
      </c>
      <c r="D528" s="3" t="s">
        <v>129</v>
      </c>
      <c r="E528" s="3">
        <v>1</v>
      </c>
      <c r="G528" s="57"/>
    </row>
    <row r="529" spans="1:7" ht="12.75" hidden="1" x14ac:dyDescent="0.2">
      <c r="A529" s="3">
        <v>74</v>
      </c>
      <c r="B529" s="4" t="s">
        <v>97</v>
      </c>
      <c r="C529" s="3" t="s">
        <v>125</v>
      </c>
      <c r="D529" s="3" t="s">
        <v>132</v>
      </c>
      <c r="E529" s="3">
        <v>8</v>
      </c>
      <c r="G529" s="57"/>
    </row>
    <row r="530" spans="1:7" ht="12.75" hidden="1" x14ac:dyDescent="0.2">
      <c r="A530" s="3">
        <v>74</v>
      </c>
      <c r="B530" s="4" t="s">
        <v>97</v>
      </c>
      <c r="C530" s="3" t="s">
        <v>125</v>
      </c>
      <c r="D530" s="3" t="s">
        <v>134</v>
      </c>
      <c r="E530" s="3">
        <v>3</v>
      </c>
      <c r="G530" s="57"/>
    </row>
    <row r="531" spans="1:7" ht="12.75" hidden="1" x14ac:dyDescent="0.2">
      <c r="A531" s="3">
        <v>74</v>
      </c>
      <c r="B531" s="4" t="s">
        <v>97</v>
      </c>
      <c r="C531" s="3" t="s">
        <v>125</v>
      </c>
      <c r="D531" s="3" t="s">
        <v>152</v>
      </c>
      <c r="E531" s="3">
        <v>145</v>
      </c>
      <c r="G531" s="57"/>
    </row>
    <row r="532" spans="1:7" ht="12.75" hidden="1" x14ac:dyDescent="0.2">
      <c r="A532" s="3">
        <v>74</v>
      </c>
      <c r="B532" s="4" t="s">
        <v>97</v>
      </c>
      <c r="C532" s="3" t="s">
        <v>125</v>
      </c>
      <c r="D532" s="3" t="s">
        <v>138</v>
      </c>
      <c r="E532" s="3">
        <v>14</v>
      </c>
      <c r="G532" s="57"/>
    </row>
    <row r="533" spans="1:7" ht="12.75" hidden="1" x14ac:dyDescent="0.2">
      <c r="A533" s="3">
        <v>74</v>
      </c>
      <c r="B533" s="4" t="s">
        <v>97</v>
      </c>
      <c r="C533" s="3" t="s">
        <v>125</v>
      </c>
      <c r="D533" s="3" t="s">
        <v>14</v>
      </c>
      <c r="E533" s="3">
        <v>6</v>
      </c>
      <c r="F533">
        <f>SUM(E526:E533)</f>
        <v>320</v>
      </c>
      <c r="G533" s="57"/>
    </row>
    <row r="534" spans="1:7" ht="12.75" hidden="1" x14ac:dyDescent="0.2">
      <c r="A534" s="3">
        <v>75</v>
      </c>
      <c r="B534" s="4" t="s">
        <v>98</v>
      </c>
      <c r="C534" s="3" t="s">
        <v>125</v>
      </c>
      <c r="D534" s="3" t="s">
        <v>3</v>
      </c>
      <c r="E534" s="3">
        <v>1139</v>
      </c>
      <c r="G534" s="59">
        <v>3207</v>
      </c>
    </row>
    <row r="535" spans="1:7" ht="12.75" hidden="1" x14ac:dyDescent="0.2">
      <c r="A535" s="3">
        <v>75</v>
      </c>
      <c r="B535" s="4" t="s">
        <v>98</v>
      </c>
      <c r="C535" s="3" t="s">
        <v>125</v>
      </c>
      <c r="D535" s="3" t="s">
        <v>16</v>
      </c>
      <c r="E535" s="3">
        <v>18</v>
      </c>
      <c r="G535" s="57"/>
    </row>
    <row r="536" spans="1:7" ht="12.75" hidden="1" x14ac:dyDescent="0.2">
      <c r="A536" s="3">
        <v>75</v>
      </c>
      <c r="B536" s="4" t="s">
        <v>98</v>
      </c>
      <c r="C536" s="3" t="s">
        <v>125</v>
      </c>
      <c r="D536" s="3" t="s">
        <v>129</v>
      </c>
      <c r="E536" s="3">
        <v>27</v>
      </c>
      <c r="G536" s="57"/>
    </row>
    <row r="537" spans="1:7" ht="12.75" hidden="1" x14ac:dyDescent="0.2">
      <c r="A537" s="3">
        <v>75</v>
      </c>
      <c r="B537" s="4" t="s">
        <v>98</v>
      </c>
      <c r="C537" s="3" t="s">
        <v>125</v>
      </c>
      <c r="D537" s="3" t="s">
        <v>132</v>
      </c>
      <c r="E537" s="3">
        <v>50</v>
      </c>
      <c r="G537" s="57"/>
    </row>
    <row r="538" spans="1:7" ht="12.75" hidden="1" x14ac:dyDescent="0.2">
      <c r="A538" s="3">
        <v>75</v>
      </c>
      <c r="B538" s="4" t="s">
        <v>98</v>
      </c>
      <c r="C538" s="3" t="s">
        <v>125</v>
      </c>
      <c r="D538" s="3" t="s">
        <v>134</v>
      </c>
      <c r="E538" s="3">
        <v>23</v>
      </c>
      <c r="G538" s="57"/>
    </row>
    <row r="539" spans="1:7" ht="12.75" hidden="1" x14ac:dyDescent="0.2">
      <c r="A539" s="3">
        <v>75</v>
      </c>
      <c r="B539" s="4" t="s">
        <v>98</v>
      </c>
      <c r="C539" s="3" t="s">
        <v>125</v>
      </c>
      <c r="D539" s="3" t="s">
        <v>152</v>
      </c>
      <c r="E539" s="3">
        <v>909</v>
      </c>
      <c r="G539" s="57"/>
    </row>
    <row r="540" spans="1:7" ht="12.75" hidden="1" x14ac:dyDescent="0.2">
      <c r="A540" s="3">
        <v>75</v>
      </c>
      <c r="B540" s="4" t="s">
        <v>98</v>
      </c>
      <c r="C540" s="3" t="s">
        <v>125</v>
      </c>
      <c r="D540" s="3" t="s">
        <v>138</v>
      </c>
      <c r="E540" s="3">
        <v>54</v>
      </c>
      <c r="G540" s="57"/>
    </row>
    <row r="541" spans="1:7" ht="12.75" hidden="1" x14ac:dyDescent="0.2">
      <c r="A541" s="3">
        <v>75</v>
      </c>
      <c r="B541" s="4" t="s">
        <v>98</v>
      </c>
      <c r="C541" s="3" t="s">
        <v>125</v>
      </c>
      <c r="D541" s="3" t="s">
        <v>14</v>
      </c>
      <c r="E541" s="3">
        <v>44</v>
      </c>
      <c r="F541">
        <f>SUM(E534:E541)</f>
        <v>2264</v>
      </c>
      <c r="G541" s="57"/>
    </row>
    <row r="542" spans="1:7" ht="12.75" hidden="1" x14ac:dyDescent="0.2">
      <c r="A542" s="3">
        <v>76</v>
      </c>
      <c r="B542" s="4" t="s">
        <v>99</v>
      </c>
      <c r="C542" s="3" t="s">
        <v>125</v>
      </c>
      <c r="D542" s="3" t="s">
        <v>3</v>
      </c>
      <c r="E542" s="3">
        <v>102</v>
      </c>
      <c r="G542" s="59">
        <v>294</v>
      </c>
    </row>
    <row r="543" spans="1:7" ht="12.75" hidden="1" x14ac:dyDescent="0.2">
      <c r="A543" s="3">
        <v>76</v>
      </c>
      <c r="B543" s="4" t="s">
        <v>99</v>
      </c>
      <c r="C543" s="3" t="s">
        <v>125</v>
      </c>
      <c r="D543" s="3" t="s">
        <v>16</v>
      </c>
      <c r="E543" s="3">
        <v>3</v>
      </c>
      <c r="G543" s="57"/>
    </row>
    <row r="544" spans="1:7" ht="12.75" hidden="1" x14ac:dyDescent="0.2">
      <c r="A544" s="3">
        <v>76</v>
      </c>
      <c r="B544" s="4" t="s">
        <v>99</v>
      </c>
      <c r="C544" s="3" t="s">
        <v>125</v>
      </c>
      <c r="D544" s="3" t="s">
        <v>129</v>
      </c>
      <c r="E544" s="3">
        <v>1</v>
      </c>
      <c r="G544" s="57"/>
    </row>
    <row r="545" spans="1:7" ht="12.75" hidden="1" x14ac:dyDescent="0.2">
      <c r="A545" s="3">
        <v>76</v>
      </c>
      <c r="B545" s="4" t="s">
        <v>99</v>
      </c>
      <c r="C545" s="3" t="s">
        <v>125</v>
      </c>
      <c r="D545" s="3" t="s">
        <v>132</v>
      </c>
      <c r="E545" s="3">
        <v>7</v>
      </c>
      <c r="G545" s="57"/>
    </row>
    <row r="546" spans="1:7" ht="12.75" hidden="1" x14ac:dyDescent="0.2">
      <c r="A546" s="3">
        <v>76</v>
      </c>
      <c r="B546" s="4" t="s">
        <v>99</v>
      </c>
      <c r="C546" s="3" t="s">
        <v>125</v>
      </c>
      <c r="D546" s="3" t="s">
        <v>134</v>
      </c>
      <c r="E546" s="3">
        <v>5</v>
      </c>
      <c r="G546" s="57"/>
    </row>
    <row r="547" spans="1:7" ht="12.75" hidden="1" x14ac:dyDescent="0.2">
      <c r="A547" s="3">
        <v>76</v>
      </c>
      <c r="B547" s="4" t="s">
        <v>99</v>
      </c>
      <c r="C547" s="3" t="s">
        <v>125</v>
      </c>
      <c r="D547" s="3" t="s">
        <v>152</v>
      </c>
      <c r="E547" s="3">
        <v>104</v>
      </c>
      <c r="G547" s="57"/>
    </row>
    <row r="548" spans="1:7" ht="12.75" hidden="1" x14ac:dyDescent="0.2">
      <c r="A548" s="3">
        <v>76</v>
      </c>
      <c r="B548" s="4" t="s">
        <v>99</v>
      </c>
      <c r="C548" s="3" t="s">
        <v>125</v>
      </c>
      <c r="D548" s="3" t="s">
        <v>138</v>
      </c>
      <c r="E548" s="3">
        <v>0</v>
      </c>
      <c r="G548" s="57"/>
    </row>
    <row r="549" spans="1:7" ht="12.75" hidden="1" x14ac:dyDescent="0.2">
      <c r="A549" s="3">
        <v>76</v>
      </c>
      <c r="B549" s="4" t="s">
        <v>99</v>
      </c>
      <c r="C549" s="3" t="s">
        <v>125</v>
      </c>
      <c r="D549" s="3" t="s">
        <v>14</v>
      </c>
      <c r="E549" s="3">
        <v>11</v>
      </c>
      <c r="F549">
        <f>SUM(E542:E549)</f>
        <v>233</v>
      </c>
      <c r="G549" s="57"/>
    </row>
    <row r="550" spans="1:7" ht="12.75" hidden="1" x14ac:dyDescent="0.2">
      <c r="A550" s="3">
        <v>77</v>
      </c>
      <c r="B550" s="4" t="s">
        <v>100</v>
      </c>
      <c r="C550" s="3" t="s">
        <v>125</v>
      </c>
      <c r="D550" s="3" t="s">
        <v>3</v>
      </c>
      <c r="E550" s="3">
        <v>334</v>
      </c>
      <c r="G550" s="59">
        <v>1306</v>
      </c>
    </row>
    <row r="551" spans="1:7" ht="12.75" hidden="1" x14ac:dyDescent="0.2">
      <c r="A551" s="3">
        <v>77</v>
      </c>
      <c r="B551" s="4" t="s">
        <v>100</v>
      </c>
      <c r="C551" s="3" t="s">
        <v>125</v>
      </c>
      <c r="D551" s="3" t="s">
        <v>16</v>
      </c>
      <c r="E551" s="3">
        <v>8</v>
      </c>
      <c r="G551" s="57"/>
    </row>
    <row r="552" spans="1:7" ht="12.75" hidden="1" x14ac:dyDescent="0.2">
      <c r="A552" s="3">
        <v>77</v>
      </c>
      <c r="B552" s="4" t="s">
        <v>100</v>
      </c>
      <c r="C552" s="3" t="s">
        <v>125</v>
      </c>
      <c r="D552" s="3" t="s">
        <v>129</v>
      </c>
      <c r="E552" s="3">
        <v>11</v>
      </c>
      <c r="G552" s="57"/>
    </row>
    <row r="553" spans="1:7" ht="12.75" hidden="1" x14ac:dyDescent="0.2">
      <c r="A553" s="3">
        <v>77</v>
      </c>
      <c r="B553" s="4" t="s">
        <v>100</v>
      </c>
      <c r="C553" s="3" t="s">
        <v>125</v>
      </c>
      <c r="D553" s="3" t="s">
        <v>132</v>
      </c>
      <c r="E553" s="3">
        <v>63</v>
      </c>
      <c r="G553" s="57"/>
    </row>
    <row r="554" spans="1:7" ht="12.75" hidden="1" x14ac:dyDescent="0.2">
      <c r="A554" s="3">
        <v>77</v>
      </c>
      <c r="B554" s="4" t="s">
        <v>100</v>
      </c>
      <c r="C554" s="3" t="s">
        <v>125</v>
      </c>
      <c r="D554" s="3" t="s">
        <v>134</v>
      </c>
      <c r="E554" s="3">
        <v>9</v>
      </c>
      <c r="G554" s="57"/>
    </row>
    <row r="555" spans="1:7" ht="12.75" hidden="1" x14ac:dyDescent="0.2">
      <c r="A555" s="3">
        <v>77</v>
      </c>
      <c r="B555" s="4" t="s">
        <v>100</v>
      </c>
      <c r="C555" s="3" t="s">
        <v>125</v>
      </c>
      <c r="D555" s="3" t="s">
        <v>152</v>
      </c>
      <c r="E555" s="3">
        <v>459</v>
      </c>
      <c r="G555" s="57"/>
    </row>
    <row r="556" spans="1:7" ht="12.75" hidden="1" x14ac:dyDescent="0.2">
      <c r="A556" s="3">
        <v>77</v>
      </c>
      <c r="B556" s="4" t="s">
        <v>100</v>
      </c>
      <c r="C556" s="3" t="s">
        <v>125</v>
      </c>
      <c r="D556" s="3" t="s">
        <v>138</v>
      </c>
      <c r="E556" s="3">
        <v>0</v>
      </c>
      <c r="G556" s="57"/>
    </row>
    <row r="557" spans="1:7" ht="12.75" hidden="1" x14ac:dyDescent="0.2">
      <c r="A557" s="3">
        <v>77</v>
      </c>
      <c r="B557" s="4" t="s">
        <v>100</v>
      </c>
      <c r="C557" s="3" t="s">
        <v>125</v>
      </c>
      <c r="D557" s="3" t="s">
        <v>14</v>
      </c>
      <c r="E557" s="3">
        <v>119</v>
      </c>
      <c r="F557">
        <f>SUM(E550:E557)</f>
        <v>1003</v>
      </c>
      <c r="G557" s="57"/>
    </row>
    <row r="558" spans="1:7" ht="12.75" hidden="1" x14ac:dyDescent="0.2">
      <c r="A558" s="3">
        <v>78</v>
      </c>
      <c r="B558" s="4" t="s">
        <v>101</v>
      </c>
      <c r="C558" s="3" t="s">
        <v>125</v>
      </c>
      <c r="D558" s="3" t="s">
        <v>3</v>
      </c>
      <c r="E558" s="3">
        <v>69</v>
      </c>
      <c r="G558" s="59">
        <v>270</v>
      </c>
    </row>
    <row r="559" spans="1:7" ht="12.75" hidden="1" x14ac:dyDescent="0.2">
      <c r="A559" s="3">
        <v>78</v>
      </c>
      <c r="B559" s="4" t="s">
        <v>101</v>
      </c>
      <c r="C559" s="3" t="s">
        <v>125</v>
      </c>
      <c r="D559" s="3" t="s">
        <v>16</v>
      </c>
      <c r="E559" s="3">
        <v>5</v>
      </c>
      <c r="G559" s="57"/>
    </row>
    <row r="560" spans="1:7" ht="12.75" hidden="1" x14ac:dyDescent="0.2">
      <c r="A560" s="3">
        <v>78</v>
      </c>
      <c r="B560" s="4" t="s">
        <v>101</v>
      </c>
      <c r="C560" s="3" t="s">
        <v>125</v>
      </c>
      <c r="D560" s="3" t="s">
        <v>129</v>
      </c>
      <c r="E560" s="3">
        <v>3</v>
      </c>
      <c r="G560" s="57"/>
    </row>
    <row r="561" spans="1:7" ht="12.75" hidden="1" x14ac:dyDescent="0.2">
      <c r="A561" s="3">
        <v>78</v>
      </c>
      <c r="B561" s="4" t="s">
        <v>101</v>
      </c>
      <c r="C561" s="3" t="s">
        <v>125</v>
      </c>
      <c r="D561" s="3" t="s">
        <v>132</v>
      </c>
      <c r="E561" s="3">
        <v>2</v>
      </c>
      <c r="G561" s="57"/>
    </row>
    <row r="562" spans="1:7" ht="12.75" hidden="1" x14ac:dyDescent="0.2">
      <c r="A562" s="3">
        <v>78</v>
      </c>
      <c r="B562" s="4" t="s">
        <v>101</v>
      </c>
      <c r="C562" s="3" t="s">
        <v>125</v>
      </c>
      <c r="D562" s="3" t="s">
        <v>134</v>
      </c>
      <c r="E562" s="3">
        <v>3</v>
      </c>
      <c r="G562" s="57"/>
    </row>
    <row r="563" spans="1:7" ht="12.75" hidden="1" x14ac:dyDescent="0.2">
      <c r="A563" s="3">
        <v>78</v>
      </c>
      <c r="B563" s="4" t="s">
        <v>101</v>
      </c>
      <c r="C563" s="3" t="s">
        <v>125</v>
      </c>
      <c r="D563" s="3" t="s">
        <v>152</v>
      </c>
      <c r="E563" s="3">
        <v>111</v>
      </c>
      <c r="G563" s="57"/>
    </row>
    <row r="564" spans="1:7" ht="12.75" hidden="1" x14ac:dyDescent="0.2">
      <c r="A564" s="3">
        <v>78</v>
      </c>
      <c r="B564" s="4" t="s">
        <v>101</v>
      </c>
      <c r="C564" s="3" t="s">
        <v>125</v>
      </c>
      <c r="D564" s="3" t="s">
        <v>138</v>
      </c>
      <c r="E564" s="3">
        <v>12</v>
      </c>
      <c r="G564" s="57"/>
    </row>
    <row r="565" spans="1:7" ht="12.75" hidden="1" x14ac:dyDescent="0.2">
      <c r="A565" s="3">
        <v>78</v>
      </c>
      <c r="B565" s="4" t="s">
        <v>101</v>
      </c>
      <c r="C565" s="3" t="s">
        <v>125</v>
      </c>
      <c r="D565" s="3" t="s">
        <v>14</v>
      </c>
      <c r="E565" s="3">
        <v>7</v>
      </c>
      <c r="F565">
        <f>SUM(E558:E565)</f>
        <v>212</v>
      </c>
      <c r="G565" s="57"/>
    </row>
    <row r="566" spans="1:7" ht="12.75" hidden="1" x14ac:dyDescent="0.2">
      <c r="A566" s="3">
        <v>79</v>
      </c>
      <c r="B566" s="4" t="s">
        <v>102</v>
      </c>
      <c r="C566" s="3" t="s">
        <v>125</v>
      </c>
      <c r="D566" s="3" t="s">
        <v>3</v>
      </c>
      <c r="E566" s="3">
        <v>276</v>
      </c>
      <c r="G566" s="59">
        <v>1193</v>
      </c>
    </row>
    <row r="567" spans="1:7" ht="12.75" hidden="1" x14ac:dyDescent="0.2">
      <c r="A567" s="3">
        <v>79</v>
      </c>
      <c r="B567" s="4" t="s">
        <v>102</v>
      </c>
      <c r="C567" s="3" t="s">
        <v>125</v>
      </c>
      <c r="D567" s="3" t="s">
        <v>16</v>
      </c>
      <c r="E567" s="3">
        <v>11</v>
      </c>
      <c r="G567" s="57"/>
    </row>
    <row r="568" spans="1:7" ht="12.75" hidden="1" x14ac:dyDescent="0.2">
      <c r="A568" s="3">
        <v>79</v>
      </c>
      <c r="B568" s="4" t="s">
        <v>102</v>
      </c>
      <c r="C568" s="3" t="s">
        <v>125</v>
      </c>
      <c r="D568" s="3" t="s">
        <v>129</v>
      </c>
      <c r="E568" s="3">
        <v>8</v>
      </c>
      <c r="G568" s="57"/>
    </row>
    <row r="569" spans="1:7" ht="12.75" hidden="1" x14ac:dyDescent="0.2">
      <c r="A569" s="3">
        <v>79</v>
      </c>
      <c r="B569" s="4" t="s">
        <v>102</v>
      </c>
      <c r="C569" s="3" t="s">
        <v>125</v>
      </c>
      <c r="D569" s="3" t="s">
        <v>132</v>
      </c>
      <c r="E569" s="3">
        <v>91</v>
      </c>
      <c r="G569" s="57"/>
    </row>
    <row r="570" spans="1:7" ht="12.75" hidden="1" x14ac:dyDescent="0.2">
      <c r="A570" s="3">
        <v>79</v>
      </c>
      <c r="B570" s="4" t="s">
        <v>102</v>
      </c>
      <c r="C570" s="3" t="s">
        <v>125</v>
      </c>
      <c r="D570" s="3" t="s">
        <v>134</v>
      </c>
      <c r="E570" s="3">
        <v>18</v>
      </c>
      <c r="G570" s="57"/>
    </row>
    <row r="571" spans="1:7" ht="12.75" hidden="1" x14ac:dyDescent="0.2">
      <c r="A571" s="3">
        <v>79</v>
      </c>
      <c r="B571" s="4" t="s">
        <v>102</v>
      </c>
      <c r="C571" s="3" t="s">
        <v>125</v>
      </c>
      <c r="D571" s="3" t="s">
        <v>152</v>
      </c>
      <c r="E571" s="3">
        <v>470</v>
      </c>
      <c r="G571" s="57"/>
    </row>
    <row r="572" spans="1:7" ht="12.75" hidden="1" x14ac:dyDescent="0.2">
      <c r="A572" s="3">
        <v>79</v>
      </c>
      <c r="B572" s="4" t="s">
        <v>102</v>
      </c>
      <c r="C572" s="3" t="s">
        <v>125</v>
      </c>
      <c r="D572" s="3" t="s">
        <v>138</v>
      </c>
      <c r="E572" s="3">
        <v>40</v>
      </c>
      <c r="G572" s="57"/>
    </row>
    <row r="573" spans="1:7" ht="12.75" hidden="1" x14ac:dyDescent="0.2">
      <c r="A573" s="3">
        <v>79</v>
      </c>
      <c r="B573" s="4" t="s">
        <v>102</v>
      </c>
      <c r="C573" s="3" t="s">
        <v>125</v>
      </c>
      <c r="D573" s="3" t="s">
        <v>14</v>
      </c>
      <c r="E573" s="3">
        <v>23</v>
      </c>
      <c r="F573">
        <f>SUM(E566:E573)</f>
        <v>937</v>
      </c>
      <c r="G573" s="57"/>
    </row>
    <row r="574" spans="1:7" ht="12.75" hidden="1" x14ac:dyDescent="0.2">
      <c r="A574" s="3">
        <v>80</v>
      </c>
      <c r="B574" s="4" t="s">
        <v>103</v>
      </c>
      <c r="C574" s="3" t="s">
        <v>125</v>
      </c>
      <c r="D574" s="3" t="s">
        <v>3</v>
      </c>
      <c r="E574" s="3">
        <v>95</v>
      </c>
      <c r="G574" s="59">
        <v>187</v>
      </c>
    </row>
    <row r="575" spans="1:7" ht="12.75" hidden="1" x14ac:dyDescent="0.2">
      <c r="A575" s="3">
        <v>80</v>
      </c>
      <c r="B575" s="4" t="s">
        <v>103</v>
      </c>
      <c r="C575" s="3" t="s">
        <v>125</v>
      </c>
      <c r="D575" s="3" t="s">
        <v>16</v>
      </c>
      <c r="E575" s="3">
        <v>0</v>
      </c>
      <c r="G575" s="57"/>
    </row>
    <row r="576" spans="1:7" ht="12.75" hidden="1" x14ac:dyDescent="0.2">
      <c r="A576" s="3">
        <v>80</v>
      </c>
      <c r="B576" s="4" t="s">
        <v>103</v>
      </c>
      <c r="C576" s="3" t="s">
        <v>125</v>
      </c>
      <c r="D576" s="3" t="s">
        <v>129</v>
      </c>
      <c r="E576" s="3">
        <v>3</v>
      </c>
      <c r="G576" s="57"/>
    </row>
    <row r="577" spans="1:7" ht="12.75" hidden="1" x14ac:dyDescent="0.2">
      <c r="A577" s="3">
        <v>80</v>
      </c>
      <c r="B577" s="4" t="s">
        <v>103</v>
      </c>
      <c r="C577" s="3" t="s">
        <v>125</v>
      </c>
      <c r="D577" s="3" t="s">
        <v>132</v>
      </c>
      <c r="E577" s="3">
        <v>2</v>
      </c>
      <c r="G577" s="57"/>
    </row>
    <row r="578" spans="1:7" ht="12.75" hidden="1" x14ac:dyDescent="0.2">
      <c r="A578" s="3">
        <v>80</v>
      </c>
      <c r="B578" s="4" t="s">
        <v>103</v>
      </c>
      <c r="C578" s="3" t="s">
        <v>125</v>
      </c>
      <c r="D578" s="3" t="s">
        <v>134</v>
      </c>
      <c r="E578" s="3">
        <v>3</v>
      </c>
      <c r="G578" s="57"/>
    </row>
    <row r="579" spans="1:7" ht="12.75" hidden="1" x14ac:dyDescent="0.2">
      <c r="A579" s="3">
        <v>80</v>
      </c>
      <c r="B579" s="4" t="s">
        <v>103</v>
      </c>
      <c r="C579" s="3" t="s">
        <v>125</v>
      </c>
      <c r="D579" s="3" t="s">
        <v>152</v>
      </c>
      <c r="E579" s="3">
        <v>53</v>
      </c>
      <c r="G579" s="57"/>
    </row>
    <row r="580" spans="1:7" ht="12.75" hidden="1" x14ac:dyDescent="0.2">
      <c r="A580" s="3">
        <v>80</v>
      </c>
      <c r="B580" s="4" t="s">
        <v>103</v>
      </c>
      <c r="C580" s="3" t="s">
        <v>125</v>
      </c>
      <c r="D580" s="3" t="s">
        <v>138</v>
      </c>
      <c r="E580" s="3">
        <v>1</v>
      </c>
      <c r="G580" s="57"/>
    </row>
    <row r="581" spans="1:7" ht="12.75" hidden="1" x14ac:dyDescent="0.2">
      <c r="A581" s="3">
        <v>80</v>
      </c>
      <c r="B581" s="4" t="s">
        <v>103</v>
      </c>
      <c r="C581" s="3" t="s">
        <v>125</v>
      </c>
      <c r="D581" s="3" t="s">
        <v>14</v>
      </c>
      <c r="E581" s="3">
        <v>2</v>
      </c>
      <c r="F581">
        <f>SUM(E574:E581)</f>
        <v>159</v>
      </c>
      <c r="G581" s="57"/>
    </row>
    <row r="582" spans="1:7" ht="12.75" hidden="1" x14ac:dyDescent="0.2">
      <c r="A582" s="3">
        <v>81</v>
      </c>
      <c r="B582" s="4" t="s">
        <v>104</v>
      </c>
      <c r="C582" s="3" t="s">
        <v>125</v>
      </c>
      <c r="D582" s="3" t="s">
        <v>3</v>
      </c>
      <c r="E582" s="3">
        <v>1420</v>
      </c>
      <c r="G582" s="59">
        <v>4220</v>
      </c>
    </row>
    <row r="583" spans="1:7" ht="12.75" hidden="1" x14ac:dyDescent="0.2">
      <c r="A583" s="3">
        <v>81</v>
      </c>
      <c r="B583" s="4" t="s">
        <v>104</v>
      </c>
      <c r="C583" s="3" t="s">
        <v>125</v>
      </c>
      <c r="D583" s="3" t="s">
        <v>16</v>
      </c>
      <c r="E583" s="3">
        <v>23</v>
      </c>
      <c r="G583" s="57"/>
    </row>
    <row r="584" spans="1:7" ht="12.75" hidden="1" x14ac:dyDescent="0.2">
      <c r="A584" s="3">
        <v>81</v>
      </c>
      <c r="B584" s="4" t="s">
        <v>104</v>
      </c>
      <c r="C584" s="3" t="s">
        <v>125</v>
      </c>
      <c r="D584" s="3" t="s">
        <v>129</v>
      </c>
      <c r="E584" s="3">
        <v>18</v>
      </c>
      <c r="G584" s="57"/>
    </row>
    <row r="585" spans="1:7" ht="12.75" hidden="1" x14ac:dyDescent="0.2">
      <c r="A585" s="3">
        <v>81</v>
      </c>
      <c r="B585" s="4" t="s">
        <v>104</v>
      </c>
      <c r="C585" s="3" t="s">
        <v>125</v>
      </c>
      <c r="D585" s="3" t="s">
        <v>132</v>
      </c>
      <c r="E585" s="3">
        <v>79</v>
      </c>
      <c r="G585" s="57"/>
    </row>
    <row r="586" spans="1:7" ht="12.75" hidden="1" x14ac:dyDescent="0.2">
      <c r="A586" s="3">
        <v>81</v>
      </c>
      <c r="B586" s="4" t="s">
        <v>104</v>
      </c>
      <c r="C586" s="3" t="s">
        <v>125</v>
      </c>
      <c r="D586" s="3" t="s">
        <v>134</v>
      </c>
      <c r="E586" s="3">
        <v>38</v>
      </c>
      <c r="G586" s="57"/>
    </row>
    <row r="587" spans="1:7" ht="12.75" hidden="1" x14ac:dyDescent="0.2">
      <c r="A587" s="3">
        <v>81</v>
      </c>
      <c r="B587" s="4" t="s">
        <v>104</v>
      </c>
      <c r="C587" s="3" t="s">
        <v>125</v>
      </c>
      <c r="D587" s="3" t="s">
        <v>152</v>
      </c>
      <c r="E587" s="3">
        <v>1448</v>
      </c>
      <c r="G587" s="57"/>
    </row>
    <row r="588" spans="1:7" ht="12.75" hidden="1" x14ac:dyDescent="0.2">
      <c r="A588" s="3">
        <v>81</v>
      </c>
      <c r="B588" s="4" t="s">
        <v>104</v>
      </c>
      <c r="C588" s="3" t="s">
        <v>125</v>
      </c>
      <c r="D588" s="3" t="s">
        <v>138</v>
      </c>
      <c r="E588" s="3">
        <v>133</v>
      </c>
      <c r="G588" s="57"/>
    </row>
    <row r="589" spans="1:7" ht="12.75" hidden="1" x14ac:dyDescent="0.2">
      <c r="A589" s="3">
        <v>81</v>
      </c>
      <c r="B589" s="4" t="s">
        <v>104</v>
      </c>
      <c r="C589" s="3" t="s">
        <v>125</v>
      </c>
      <c r="D589" s="3" t="s">
        <v>14</v>
      </c>
      <c r="E589" s="3">
        <v>50</v>
      </c>
      <c r="F589">
        <f>SUM(E582:E589)</f>
        <v>3209</v>
      </c>
      <c r="G589" s="57"/>
    </row>
    <row r="590" spans="1:7" ht="12.75" hidden="1" x14ac:dyDescent="0.2">
      <c r="A590" s="3">
        <v>82</v>
      </c>
      <c r="B590" s="4" t="s">
        <v>105</v>
      </c>
      <c r="C590" s="3" t="s">
        <v>125</v>
      </c>
      <c r="D590" s="3" t="s">
        <v>3</v>
      </c>
      <c r="E590" s="3">
        <v>1930</v>
      </c>
      <c r="G590" s="59">
        <v>6960</v>
      </c>
    </row>
    <row r="591" spans="1:7" ht="12.75" hidden="1" x14ac:dyDescent="0.2">
      <c r="A591" s="3">
        <v>82</v>
      </c>
      <c r="B591" s="4" t="s">
        <v>105</v>
      </c>
      <c r="C591" s="3" t="s">
        <v>125</v>
      </c>
      <c r="D591" s="3" t="s">
        <v>16</v>
      </c>
      <c r="E591" s="3">
        <v>64</v>
      </c>
      <c r="G591" s="57"/>
    </row>
    <row r="592" spans="1:7" ht="12.75" hidden="1" x14ac:dyDescent="0.2">
      <c r="A592" s="3">
        <v>82</v>
      </c>
      <c r="B592" s="4" t="s">
        <v>105</v>
      </c>
      <c r="C592" s="3" t="s">
        <v>125</v>
      </c>
      <c r="D592" s="3" t="s">
        <v>129</v>
      </c>
      <c r="E592" s="3">
        <v>56</v>
      </c>
      <c r="G592" s="57"/>
    </row>
    <row r="593" spans="1:7" ht="12.75" hidden="1" x14ac:dyDescent="0.2">
      <c r="A593" s="3">
        <v>82</v>
      </c>
      <c r="B593" s="4" t="s">
        <v>105</v>
      </c>
      <c r="C593" s="3" t="s">
        <v>125</v>
      </c>
      <c r="D593" s="3" t="s">
        <v>132</v>
      </c>
      <c r="E593" s="3">
        <v>126</v>
      </c>
      <c r="G593" s="57"/>
    </row>
    <row r="594" spans="1:7" ht="12.75" hidden="1" x14ac:dyDescent="0.2">
      <c r="A594" s="3">
        <v>82</v>
      </c>
      <c r="B594" s="4" t="s">
        <v>105</v>
      </c>
      <c r="C594" s="3" t="s">
        <v>125</v>
      </c>
      <c r="D594" s="3" t="s">
        <v>134</v>
      </c>
      <c r="E594" s="3">
        <v>90</v>
      </c>
      <c r="G594" s="57"/>
    </row>
    <row r="595" spans="1:7" ht="12.75" hidden="1" x14ac:dyDescent="0.2">
      <c r="A595" s="3">
        <v>82</v>
      </c>
      <c r="B595" s="4" t="s">
        <v>105</v>
      </c>
      <c r="C595" s="3" t="s">
        <v>125</v>
      </c>
      <c r="D595" s="3" t="s">
        <v>152</v>
      </c>
      <c r="E595" s="3">
        <v>2386</v>
      </c>
      <c r="G595" s="57"/>
    </row>
    <row r="596" spans="1:7" ht="12.75" hidden="1" x14ac:dyDescent="0.2">
      <c r="A596" s="3">
        <v>82</v>
      </c>
      <c r="B596" s="4" t="s">
        <v>105</v>
      </c>
      <c r="C596" s="3" t="s">
        <v>125</v>
      </c>
      <c r="D596" s="3" t="s">
        <v>138</v>
      </c>
      <c r="E596" s="3">
        <v>291</v>
      </c>
      <c r="G596" s="57"/>
    </row>
    <row r="597" spans="1:7" ht="12.75" hidden="1" x14ac:dyDescent="0.2">
      <c r="A597" s="3">
        <v>82</v>
      </c>
      <c r="B597" s="4" t="s">
        <v>105</v>
      </c>
      <c r="C597" s="3" t="s">
        <v>125</v>
      </c>
      <c r="D597" s="3" t="s">
        <v>14</v>
      </c>
      <c r="E597" s="3">
        <v>83</v>
      </c>
      <c r="F597">
        <f>SUM(E590:E597)</f>
        <v>5026</v>
      </c>
      <c r="G597" s="57"/>
    </row>
    <row r="598" spans="1:7" ht="12.75" hidden="1" x14ac:dyDescent="0.2">
      <c r="A598" s="3">
        <v>83</v>
      </c>
      <c r="B598" s="4" t="s">
        <v>157</v>
      </c>
      <c r="C598" s="3" t="s">
        <v>125</v>
      </c>
      <c r="D598" s="3" t="s">
        <v>3</v>
      </c>
      <c r="E598" s="3">
        <v>0</v>
      </c>
      <c r="G598" s="59">
        <v>1</v>
      </c>
    </row>
    <row r="599" spans="1:7" ht="12.75" hidden="1" x14ac:dyDescent="0.2">
      <c r="A599" s="3">
        <v>83</v>
      </c>
      <c r="B599" s="4" t="s">
        <v>157</v>
      </c>
      <c r="C599" s="3" t="s">
        <v>125</v>
      </c>
      <c r="D599" s="3" t="s">
        <v>16</v>
      </c>
      <c r="E599" s="3">
        <v>0</v>
      </c>
      <c r="G599" s="57"/>
    </row>
    <row r="600" spans="1:7" ht="12.75" hidden="1" x14ac:dyDescent="0.2">
      <c r="A600" s="3">
        <v>83</v>
      </c>
      <c r="B600" s="4" t="s">
        <v>157</v>
      </c>
      <c r="C600" s="3" t="s">
        <v>125</v>
      </c>
      <c r="D600" s="3" t="s">
        <v>129</v>
      </c>
      <c r="E600" s="3">
        <v>0</v>
      </c>
      <c r="G600" s="57"/>
    </row>
    <row r="601" spans="1:7" ht="12.75" hidden="1" x14ac:dyDescent="0.2">
      <c r="A601" s="3">
        <v>83</v>
      </c>
      <c r="B601" s="4" t="s">
        <v>157</v>
      </c>
      <c r="C601" s="3" t="s">
        <v>125</v>
      </c>
      <c r="D601" s="3" t="s">
        <v>132</v>
      </c>
      <c r="E601" s="3">
        <v>0</v>
      </c>
      <c r="G601" s="57"/>
    </row>
    <row r="602" spans="1:7" ht="12.75" hidden="1" x14ac:dyDescent="0.2">
      <c r="A602" s="3">
        <v>83</v>
      </c>
      <c r="B602" s="4" t="s">
        <v>157</v>
      </c>
      <c r="C602" s="3" t="s">
        <v>125</v>
      </c>
      <c r="D602" s="3" t="s">
        <v>134</v>
      </c>
      <c r="E602" s="3">
        <v>1</v>
      </c>
      <c r="G602" s="57"/>
    </row>
    <row r="603" spans="1:7" ht="12.75" hidden="1" x14ac:dyDescent="0.2">
      <c r="A603" s="3">
        <v>83</v>
      </c>
      <c r="B603" s="4" t="s">
        <v>157</v>
      </c>
      <c r="C603" s="3" t="s">
        <v>125</v>
      </c>
      <c r="D603" s="3" t="s">
        <v>152</v>
      </c>
      <c r="E603" s="3">
        <v>1</v>
      </c>
      <c r="G603" s="57"/>
    </row>
    <row r="604" spans="1:7" ht="12.75" hidden="1" x14ac:dyDescent="0.2">
      <c r="A604" s="3">
        <v>83</v>
      </c>
      <c r="B604" s="4" t="s">
        <v>157</v>
      </c>
      <c r="C604" s="3" t="s">
        <v>125</v>
      </c>
      <c r="D604" s="3" t="s">
        <v>138</v>
      </c>
      <c r="E604" s="3">
        <v>0</v>
      </c>
      <c r="G604" s="57"/>
    </row>
    <row r="605" spans="1:7" ht="12.75" hidden="1" x14ac:dyDescent="0.2">
      <c r="A605" s="3">
        <v>83</v>
      </c>
      <c r="B605" s="4" t="s">
        <v>157</v>
      </c>
      <c r="C605" s="3" t="s">
        <v>125</v>
      </c>
      <c r="D605" s="3" t="s">
        <v>14</v>
      </c>
      <c r="E605" s="3">
        <v>0</v>
      </c>
      <c r="F605">
        <f>SUM(E598:E605)</f>
        <v>2</v>
      </c>
      <c r="G605" s="57"/>
    </row>
    <row r="606" spans="1:7" ht="12.75" hidden="1" x14ac:dyDescent="0.2">
      <c r="A606" s="3">
        <v>84</v>
      </c>
      <c r="B606" s="4" t="s">
        <v>158</v>
      </c>
      <c r="C606" s="3" t="s">
        <v>125</v>
      </c>
      <c r="D606" s="3" t="s">
        <v>3</v>
      </c>
      <c r="E606" s="3">
        <v>0</v>
      </c>
      <c r="G606" s="59">
        <v>11</v>
      </c>
    </row>
    <row r="607" spans="1:7" ht="12.75" hidden="1" x14ac:dyDescent="0.2">
      <c r="A607" s="3">
        <v>84</v>
      </c>
      <c r="B607" s="4" t="s">
        <v>158</v>
      </c>
      <c r="C607" s="3" t="s">
        <v>125</v>
      </c>
      <c r="D607" s="3" t="s">
        <v>16</v>
      </c>
      <c r="E607" s="3">
        <v>0</v>
      </c>
      <c r="G607" s="57"/>
    </row>
    <row r="608" spans="1:7" ht="12.75" hidden="1" x14ac:dyDescent="0.2">
      <c r="A608" s="3">
        <v>84</v>
      </c>
      <c r="B608" s="4" t="s">
        <v>158</v>
      </c>
      <c r="C608" s="3" t="s">
        <v>125</v>
      </c>
      <c r="D608" s="3" t="s">
        <v>129</v>
      </c>
      <c r="E608" s="3">
        <v>0</v>
      </c>
      <c r="G608" s="57"/>
    </row>
    <row r="609" spans="1:7" ht="12.75" hidden="1" x14ac:dyDescent="0.2">
      <c r="A609" s="3">
        <v>84</v>
      </c>
      <c r="B609" s="4" t="s">
        <v>158</v>
      </c>
      <c r="C609" s="3" t="s">
        <v>125</v>
      </c>
      <c r="D609" s="3" t="s">
        <v>132</v>
      </c>
      <c r="E609" s="3">
        <v>0</v>
      </c>
      <c r="G609" s="57"/>
    </row>
    <row r="610" spans="1:7" ht="12.75" hidden="1" x14ac:dyDescent="0.2">
      <c r="A610" s="3">
        <v>84</v>
      </c>
      <c r="B610" s="4" t="s">
        <v>158</v>
      </c>
      <c r="C610" s="3" t="s">
        <v>125</v>
      </c>
      <c r="D610" s="3" t="s">
        <v>134</v>
      </c>
      <c r="E610" s="3">
        <v>0</v>
      </c>
      <c r="G610" s="57"/>
    </row>
    <row r="611" spans="1:7" ht="12.75" hidden="1" x14ac:dyDescent="0.2">
      <c r="A611" s="3">
        <v>84</v>
      </c>
      <c r="B611" s="4" t="s">
        <v>158</v>
      </c>
      <c r="C611" s="3" t="s">
        <v>125</v>
      </c>
      <c r="D611" s="3" t="s">
        <v>152</v>
      </c>
      <c r="E611" s="3">
        <v>5</v>
      </c>
      <c r="G611" s="57"/>
    </row>
    <row r="612" spans="1:7" ht="12.75" hidden="1" x14ac:dyDescent="0.2">
      <c r="A612" s="3">
        <v>84</v>
      </c>
      <c r="B612" s="4" t="s">
        <v>158</v>
      </c>
      <c r="C612" s="3" t="s">
        <v>125</v>
      </c>
      <c r="D612" s="3" t="s">
        <v>138</v>
      </c>
      <c r="E612" s="3">
        <v>0</v>
      </c>
      <c r="G612" s="57"/>
    </row>
    <row r="613" spans="1:7" ht="12.75" hidden="1" x14ac:dyDescent="0.2">
      <c r="A613" s="3">
        <v>84</v>
      </c>
      <c r="B613" s="4" t="s">
        <v>158</v>
      </c>
      <c r="C613" s="3" t="s">
        <v>125</v>
      </c>
      <c r="D613" s="3" t="s">
        <v>14</v>
      </c>
      <c r="E613" s="3">
        <v>0</v>
      </c>
      <c r="F613">
        <f>SUM(E606:E613)</f>
        <v>5</v>
      </c>
      <c r="G613" s="57"/>
    </row>
    <row r="614" spans="1:7" ht="12.75" hidden="1" x14ac:dyDescent="0.2">
      <c r="A614" s="3">
        <v>85</v>
      </c>
      <c r="B614" s="4" t="s">
        <v>159</v>
      </c>
      <c r="C614" s="3" t="s">
        <v>125</v>
      </c>
      <c r="D614" s="3" t="s">
        <v>3</v>
      </c>
      <c r="E614" s="3">
        <v>2</v>
      </c>
      <c r="G614" s="59">
        <v>3</v>
      </c>
    </row>
    <row r="615" spans="1:7" ht="12.75" hidden="1" x14ac:dyDescent="0.2">
      <c r="A615" s="3">
        <v>85</v>
      </c>
      <c r="B615" s="4" t="s">
        <v>159</v>
      </c>
      <c r="C615" s="3" t="s">
        <v>125</v>
      </c>
      <c r="D615" s="3" t="s">
        <v>16</v>
      </c>
      <c r="E615" s="3">
        <v>0</v>
      </c>
      <c r="G615" s="57"/>
    </row>
    <row r="616" spans="1:7" ht="12.75" hidden="1" x14ac:dyDescent="0.2">
      <c r="A616" s="3">
        <v>85</v>
      </c>
      <c r="B616" s="4" t="s">
        <v>159</v>
      </c>
      <c r="C616" s="3" t="s">
        <v>125</v>
      </c>
      <c r="D616" s="3" t="s">
        <v>129</v>
      </c>
      <c r="E616" s="3">
        <v>0</v>
      </c>
      <c r="G616" s="57"/>
    </row>
    <row r="617" spans="1:7" ht="12.75" hidden="1" x14ac:dyDescent="0.2">
      <c r="A617" s="3">
        <v>85</v>
      </c>
      <c r="B617" s="4" t="s">
        <v>159</v>
      </c>
      <c r="C617" s="3" t="s">
        <v>125</v>
      </c>
      <c r="D617" s="3" t="s">
        <v>132</v>
      </c>
      <c r="E617" s="3">
        <v>0</v>
      </c>
      <c r="G617" s="57"/>
    </row>
    <row r="618" spans="1:7" ht="12.75" hidden="1" x14ac:dyDescent="0.2">
      <c r="A618" s="3">
        <v>85</v>
      </c>
      <c r="B618" s="4" t="s">
        <v>159</v>
      </c>
      <c r="C618" s="3" t="s">
        <v>125</v>
      </c>
      <c r="D618" s="3" t="s">
        <v>134</v>
      </c>
      <c r="E618" s="3">
        <v>0</v>
      </c>
      <c r="G618" s="57"/>
    </row>
    <row r="619" spans="1:7" ht="12.75" hidden="1" x14ac:dyDescent="0.2">
      <c r="A619" s="3">
        <v>85</v>
      </c>
      <c r="B619" s="4" t="s">
        <v>159</v>
      </c>
      <c r="C619" s="3" t="s">
        <v>125</v>
      </c>
      <c r="D619" s="3" t="s">
        <v>152</v>
      </c>
      <c r="E619" s="3">
        <v>1</v>
      </c>
      <c r="G619" s="57"/>
    </row>
    <row r="620" spans="1:7" ht="12.75" hidden="1" x14ac:dyDescent="0.2">
      <c r="A620" s="3">
        <v>85</v>
      </c>
      <c r="B620" s="4" t="s">
        <v>159</v>
      </c>
      <c r="C620" s="3" t="s">
        <v>125</v>
      </c>
      <c r="D620" s="3" t="s">
        <v>138</v>
      </c>
      <c r="E620" s="3">
        <v>0</v>
      </c>
      <c r="G620" s="57"/>
    </row>
    <row r="621" spans="1:7" ht="12.75" hidden="1" x14ac:dyDescent="0.2">
      <c r="A621" s="3">
        <v>85</v>
      </c>
      <c r="B621" s="4" t="s">
        <v>159</v>
      </c>
      <c r="C621" s="3" t="s">
        <v>125</v>
      </c>
      <c r="D621" s="3" t="s">
        <v>14</v>
      </c>
      <c r="E621" s="3">
        <v>0</v>
      </c>
      <c r="F621">
        <f>SUM(E614:E621)</f>
        <v>3</v>
      </c>
      <c r="G621" s="57"/>
    </row>
    <row r="622" spans="1:7" ht="12.75" hidden="1" x14ac:dyDescent="0.2">
      <c r="A622" s="3">
        <v>86</v>
      </c>
      <c r="B622" s="4" t="s">
        <v>106</v>
      </c>
      <c r="C622" s="3" t="s">
        <v>125</v>
      </c>
      <c r="D622" s="3" t="s">
        <v>3</v>
      </c>
      <c r="E622" s="3">
        <v>3678</v>
      </c>
      <c r="G622" s="59">
        <v>12268</v>
      </c>
    </row>
    <row r="623" spans="1:7" ht="12.75" hidden="1" x14ac:dyDescent="0.2">
      <c r="A623" s="3">
        <v>86</v>
      </c>
      <c r="B623" s="4" t="s">
        <v>106</v>
      </c>
      <c r="C623" s="3" t="s">
        <v>125</v>
      </c>
      <c r="D623" s="3" t="s">
        <v>16</v>
      </c>
      <c r="E623" s="3">
        <v>252</v>
      </c>
      <c r="G623" s="57"/>
    </row>
    <row r="624" spans="1:7" ht="12.75" hidden="1" x14ac:dyDescent="0.2">
      <c r="A624" s="3">
        <v>86</v>
      </c>
      <c r="B624" s="4" t="s">
        <v>106</v>
      </c>
      <c r="C624" s="3" t="s">
        <v>125</v>
      </c>
      <c r="D624" s="3" t="s">
        <v>129</v>
      </c>
      <c r="E624" s="3">
        <v>197</v>
      </c>
      <c r="G624" s="57"/>
    </row>
    <row r="625" spans="1:7" ht="12.75" hidden="1" x14ac:dyDescent="0.2">
      <c r="A625" s="3">
        <v>86</v>
      </c>
      <c r="B625" s="4" t="s">
        <v>106</v>
      </c>
      <c r="C625" s="3" t="s">
        <v>125</v>
      </c>
      <c r="D625" s="3" t="s">
        <v>132</v>
      </c>
      <c r="E625" s="3">
        <v>256</v>
      </c>
      <c r="G625" s="57"/>
    </row>
    <row r="626" spans="1:7" ht="12.75" hidden="1" x14ac:dyDescent="0.2">
      <c r="A626" s="3">
        <v>86</v>
      </c>
      <c r="B626" s="4" t="s">
        <v>106</v>
      </c>
      <c r="C626" s="3" t="s">
        <v>125</v>
      </c>
      <c r="D626" s="3" t="s">
        <v>134</v>
      </c>
      <c r="E626" s="3">
        <v>172</v>
      </c>
      <c r="G626" s="57"/>
    </row>
    <row r="627" spans="1:7" ht="12.75" hidden="1" x14ac:dyDescent="0.2">
      <c r="A627" s="3">
        <v>86</v>
      </c>
      <c r="B627" s="4" t="s">
        <v>106</v>
      </c>
      <c r="C627" s="3" t="s">
        <v>125</v>
      </c>
      <c r="D627" s="3" t="s">
        <v>152</v>
      </c>
      <c r="E627" s="3">
        <v>3986</v>
      </c>
      <c r="G627" s="57"/>
    </row>
    <row r="628" spans="1:7" ht="12.75" hidden="1" x14ac:dyDescent="0.2">
      <c r="A628" s="3">
        <v>86</v>
      </c>
      <c r="B628" s="4" t="s">
        <v>106</v>
      </c>
      <c r="C628" s="3" t="s">
        <v>125</v>
      </c>
      <c r="D628" s="3" t="s">
        <v>138</v>
      </c>
      <c r="E628" s="3">
        <v>321</v>
      </c>
      <c r="G628" s="57"/>
    </row>
    <row r="629" spans="1:7" ht="12.75" hidden="1" x14ac:dyDescent="0.2">
      <c r="A629" s="3">
        <v>86</v>
      </c>
      <c r="B629" s="4" t="s">
        <v>106</v>
      </c>
      <c r="C629" s="3" t="s">
        <v>125</v>
      </c>
      <c r="D629" s="3" t="s">
        <v>14</v>
      </c>
      <c r="E629" s="3">
        <v>135</v>
      </c>
      <c r="F629">
        <f>SUM(E622:E629)</f>
        <v>8997</v>
      </c>
      <c r="G629" s="57"/>
    </row>
    <row r="630" spans="1:7" ht="12.75" hidden="1" x14ac:dyDescent="0.2">
      <c r="A630" s="3">
        <v>87</v>
      </c>
      <c r="B630" s="4" t="s">
        <v>107</v>
      </c>
      <c r="C630" s="3" t="s">
        <v>125</v>
      </c>
      <c r="D630" s="3" t="s">
        <v>3</v>
      </c>
      <c r="E630" s="3">
        <v>375</v>
      </c>
      <c r="G630" s="59">
        <v>1006</v>
      </c>
    </row>
    <row r="631" spans="1:7" ht="12.75" hidden="1" x14ac:dyDescent="0.2">
      <c r="A631" s="3">
        <v>87</v>
      </c>
      <c r="B631" s="4" t="s">
        <v>107</v>
      </c>
      <c r="C631" s="3" t="s">
        <v>125</v>
      </c>
      <c r="D631" s="3" t="s">
        <v>16</v>
      </c>
      <c r="E631" s="3">
        <v>3</v>
      </c>
      <c r="G631" s="57"/>
    </row>
    <row r="632" spans="1:7" ht="12.75" hidden="1" x14ac:dyDescent="0.2">
      <c r="A632" s="3">
        <v>87</v>
      </c>
      <c r="B632" s="4" t="s">
        <v>107</v>
      </c>
      <c r="C632" s="3" t="s">
        <v>125</v>
      </c>
      <c r="D632" s="3" t="s">
        <v>129</v>
      </c>
      <c r="E632" s="3">
        <v>14</v>
      </c>
      <c r="G632" s="57"/>
    </row>
    <row r="633" spans="1:7" ht="12.75" hidden="1" x14ac:dyDescent="0.2">
      <c r="A633" s="3">
        <v>87</v>
      </c>
      <c r="B633" s="4" t="s">
        <v>107</v>
      </c>
      <c r="C633" s="3" t="s">
        <v>125</v>
      </c>
      <c r="D633" s="3" t="s">
        <v>132</v>
      </c>
      <c r="E633" s="3">
        <v>12</v>
      </c>
      <c r="G633" s="57"/>
    </row>
    <row r="634" spans="1:7" ht="12.75" hidden="1" x14ac:dyDescent="0.2">
      <c r="A634" s="3">
        <v>87</v>
      </c>
      <c r="B634" s="4" t="s">
        <v>107</v>
      </c>
      <c r="C634" s="3" t="s">
        <v>125</v>
      </c>
      <c r="D634" s="3" t="s">
        <v>134</v>
      </c>
      <c r="E634" s="3">
        <v>10</v>
      </c>
      <c r="G634" s="57"/>
    </row>
    <row r="635" spans="1:7" ht="12.75" hidden="1" x14ac:dyDescent="0.2">
      <c r="A635" s="3">
        <v>87</v>
      </c>
      <c r="B635" s="4" t="s">
        <v>107</v>
      </c>
      <c r="C635" s="3" t="s">
        <v>125</v>
      </c>
      <c r="D635" s="3" t="s">
        <v>152</v>
      </c>
      <c r="E635" s="3">
        <v>318</v>
      </c>
      <c r="G635" s="57"/>
    </row>
    <row r="636" spans="1:7" ht="12.75" hidden="1" x14ac:dyDescent="0.2">
      <c r="A636" s="3">
        <v>87</v>
      </c>
      <c r="B636" s="4" t="s">
        <v>107</v>
      </c>
      <c r="C636" s="3" t="s">
        <v>125</v>
      </c>
      <c r="D636" s="3" t="s">
        <v>138</v>
      </c>
      <c r="E636" s="3">
        <v>22</v>
      </c>
      <c r="G636" s="57"/>
    </row>
    <row r="637" spans="1:7" ht="12.75" hidden="1" x14ac:dyDescent="0.2">
      <c r="A637" s="3">
        <v>87</v>
      </c>
      <c r="B637" s="4" t="s">
        <v>107</v>
      </c>
      <c r="C637" s="3" t="s">
        <v>125</v>
      </c>
      <c r="D637" s="3" t="s">
        <v>14</v>
      </c>
      <c r="E637" s="3">
        <v>23</v>
      </c>
      <c r="F637">
        <f>SUM(E630:E637)</f>
        <v>777</v>
      </c>
      <c r="G637" s="57"/>
    </row>
    <row r="638" spans="1:7" ht="12.75" hidden="1" x14ac:dyDescent="0.2">
      <c r="A638" s="3">
        <v>88</v>
      </c>
      <c r="B638" s="4" t="s">
        <v>108</v>
      </c>
      <c r="C638" s="3" t="s">
        <v>125</v>
      </c>
      <c r="D638" s="3" t="s">
        <v>3</v>
      </c>
      <c r="E638" s="3">
        <v>188</v>
      </c>
      <c r="G638" s="59">
        <v>488</v>
      </c>
    </row>
    <row r="639" spans="1:7" ht="12.75" hidden="1" x14ac:dyDescent="0.2">
      <c r="A639" s="3">
        <v>88</v>
      </c>
      <c r="B639" s="4" t="s">
        <v>108</v>
      </c>
      <c r="C639" s="3" t="s">
        <v>125</v>
      </c>
      <c r="D639" s="3" t="s">
        <v>16</v>
      </c>
      <c r="E639" s="3">
        <v>1</v>
      </c>
      <c r="G639" s="57"/>
    </row>
    <row r="640" spans="1:7" ht="12.75" hidden="1" x14ac:dyDescent="0.2">
      <c r="A640" s="3">
        <v>88</v>
      </c>
      <c r="B640" s="4" t="s">
        <v>108</v>
      </c>
      <c r="C640" s="3" t="s">
        <v>125</v>
      </c>
      <c r="D640" s="3" t="s">
        <v>129</v>
      </c>
      <c r="E640" s="3">
        <v>7</v>
      </c>
      <c r="G640" s="57"/>
    </row>
    <row r="641" spans="1:7" ht="12.75" hidden="1" x14ac:dyDescent="0.2">
      <c r="A641" s="3">
        <v>88</v>
      </c>
      <c r="B641" s="4" t="s">
        <v>108</v>
      </c>
      <c r="C641" s="3" t="s">
        <v>125</v>
      </c>
      <c r="D641" s="3" t="s">
        <v>132</v>
      </c>
      <c r="E641" s="3">
        <v>20</v>
      </c>
      <c r="G641" s="57"/>
    </row>
    <row r="642" spans="1:7" ht="12.75" hidden="1" x14ac:dyDescent="0.2">
      <c r="A642" s="3">
        <v>88</v>
      </c>
      <c r="B642" s="4" t="s">
        <v>108</v>
      </c>
      <c r="C642" s="3" t="s">
        <v>125</v>
      </c>
      <c r="D642" s="3" t="s">
        <v>134</v>
      </c>
      <c r="E642" s="3">
        <v>4</v>
      </c>
      <c r="G642" s="57"/>
    </row>
    <row r="643" spans="1:7" ht="12.75" hidden="1" x14ac:dyDescent="0.2">
      <c r="A643" s="3">
        <v>88</v>
      </c>
      <c r="B643" s="4" t="s">
        <v>108</v>
      </c>
      <c r="C643" s="3" t="s">
        <v>125</v>
      </c>
      <c r="D643" s="3" t="s">
        <v>152</v>
      </c>
      <c r="E643" s="3">
        <v>152</v>
      </c>
      <c r="G643" s="57"/>
    </row>
    <row r="644" spans="1:7" ht="12.75" hidden="1" x14ac:dyDescent="0.2">
      <c r="A644" s="3">
        <v>88</v>
      </c>
      <c r="B644" s="4" t="s">
        <v>108</v>
      </c>
      <c r="C644" s="3" t="s">
        <v>125</v>
      </c>
      <c r="D644" s="3" t="s">
        <v>138</v>
      </c>
      <c r="E644" s="3">
        <v>0</v>
      </c>
      <c r="G644" s="57"/>
    </row>
    <row r="645" spans="1:7" ht="12.75" hidden="1" x14ac:dyDescent="0.2">
      <c r="A645" s="3">
        <v>88</v>
      </c>
      <c r="B645" s="4" t="s">
        <v>108</v>
      </c>
      <c r="C645" s="3" t="s">
        <v>125</v>
      </c>
      <c r="D645" s="3" t="s">
        <v>14</v>
      </c>
      <c r="E645" s="3">
        <v>26</v>
      </c>
      <c r="F645">
        <f>SUM(E638:E645)</f>
        <v>398</v>
      </c>
      <c r="G645" s="57"/>
    </row>
    <row r="646" spans="1:7" ht="12.75" hidden="1" x14ac:dyDescent="0.2">
      <c r="A646" s="3">
        <v>89</v>
      </c>
      <c r="B646" s="4" t="s">
        <v>109</v>
      </c>
      <c r="C646" s="3" t="s">
        <v>125</v>
      </c>
      <c r="D646" s="3" t="s">
        <v>3</v>
      </c>
      <c r="E646" s="3">
        <v>1062</v>
      </c>
      <c r="G646" s="59">
        <v>3260</v>
      </c>
    </row>
    <row r="647" spans="1:7" ht="12.75" hidden="1" x14ac:dyDescent="0.2">
      <c r="A647" s="3">
        <v>89</v>
      </c>
      <c r="B647" s="4" t="s">
        <v>109</v>
      </c>
      <c r="C647" s="3" t="s">
        <v>125</v>
      </c>
      <c r="D647" s="3" t="s">
        <v>16</v>
      </c>
      <c r="E647" s="3">
        <v>20</v>
      </c>
      <c r="G647" s="57"/>
    </row>
    <row r="648" spans="1:7" ht="12.75" hidden="1" x14ac:dyDescent="0.2">
      <c r="A648" s="3">
        <v>89</v>
      </c>
      <c r="B648" s="4" t="s">
        <v>109</v>
      </c>
      <c r="C648" s="3" t="s">
        <v>125</v>
      </c>
      <c r="D648" s="3" t="s">
        <v>129</v>
      </c>
      <c r="E648" s="3">
        <v>11</v>
      </c>
      <c r="G648" s="57"/>
    </row>
    <row r="649" spans="1:7" ht="12.75" hidden="1" x14ac:dyDescent="0.2">
      <c r="A649" s="3">
        <v>89</v>
      </c>
      <c r="B649" s="4" t="s">
        <v>109</v>
      </c>
      <c r="C649" s="3" t="s">
        <v>125</v>
      </c>
      <c r="D649" s="3" t="s">
        <v>132</v>
      </c>
      <c r="E649" s="3">
        <v>73</v>
      </c>
      <c r="G649" s="57"/>
    </row>
    <row r="650" spans="1:7" ht="12.75" hidden="1" x14ac:dyDescent="0.2">
      <c r="A650" s="3">
        <v>89</v>
      </c>
      <c r="B650" s="4" t="s">
        <v>109</v>
      </c>
      <c r="C650" s="3" t="s">
        <v>125</v>
      </c>
      <c r="D650" s="3" t="s">
        <v>134</v>
      </c>
      <c r="E650" s="3">
        <v>37</v>
      </c>
      <c r="G650" s="57"/>
    </row>
    <row r="651" spans="1:7" ht="12.75" hidden="1" x14ac:dyDescent="0.2">
      <c r="A651" s="3">
        <v>89</v>
      </c>
      <c r="B651" s="4" t="s">
        <v>109</v>
      </c>
      <c r="C651" s="3" t="s">
        <v>125</v>
      </c>
      <c r="D651" s="3" t="s">
        <v>152</v>
      </c>
      <c r="E651" s="3">
        <v>1080</v>
      </c>
      <c r="G651" s="57"/>
    </row>
    <row r="652" spans="1:7" ht="12.75" hidden="1" x14ac:dyDescent="0.2">
      <c r="A652" s="3">
        <v>89</v>
      </c>
      <c r="B652" s="4" t="s">
        <v>109</v>
      </c>
      <c r="C652" s="3" t="s">
        <v>125</v>
      </c>
      <c r="D652" s="3" t="s">
        <v>138</v>
      </c>
      <c r="E652" s="3">
        <v>91</v>
      </c>
      <c r="G652" s="57"/>
    </row>
    <row r="653" spans="1:7" ht="12.75" hidden="1" x14ac:dyDescent="0.2">
      <c r="A653" s="3">
        <v>89</v>
      </c>
      <c r="B653" s="4" t="s">
        <v>109</v>
      </c>
      <c r="C653" s="3" t="s">
        <v>125</v>
      </c>
      <c r="D653" s="3" t="s">
        <v>14</v>
      </c>
      <c r="E653" s="3">
        <v>38</v>
      </c>
      <c r="F653">
        <f>SUM(E646:E653)</f>
        <v>2412</v>
      </c>
      <c r="G653" s="57"/>
    </row>
    <row r="654" spans="1:7" ht="12.75" hidden="1" x14ac:dyDescent="0.2">
      <c r="A654" s="3">
        <v>90</v>
      </c>
      <c r="B654" s="4" t="s">
        <v>110</v>
      </c>
      <c r="C654" s="3" t="s">
        <v>125</v>
      </c>
      <c r="D654" s="3" t="s">
        <v>3</v>
      </c>
      <c r="E654" s="3">
        <v>229</v>
      </c>
      <c r="G654" s="59">
        <v>699</v>
      </c>
    </row>
    <row r="655" spans="1:7" ht="12.75" hidden="1" x14ac:dyDescent="0.2">
      <c r="A655" s="3">
        <v>90</v>
      </c>
      <c r="B655" s="4" t="s">
        <v>110</v>
      </c>
      <c r="C655" s="3" t="s">
        <v>125</v>
      </c>
      <c r="D655" s="3" t="s">
        <v>16</v>
      </c>
      <c r="E655" s="3">
        <v>7</v>
      </c>
      <c r="G655" s="57"/>
    </row>
    <row r="656" spans="1:7" ht="12.75" hidden="1" x14ac:dyDescent="0.2">
      <c r="A656" s="3">
        <v>90</v>
      </c>
      <c r="B656" s="4" t="s">
        <v>110</v>
      </c>
      <c r="C656" s="3" t="s">
        <v>125</v>
      </c>
      <c r="D656" s="3" t="s">
        <v>129</v>
      </c>
      <c r="E656" s="3">
        <v>9</v>
      </c>
      <c r="G656" s="57"/>
    </row>
    <row r="657" spans="1:7" ht="12.75" hidden="1" x14ac:dyDescent="0.2">
      <c r="A657" s="3">
        <v>90</v>
      </c>
      <c r="B657" s="4" t="s">
        <v>110</v>
      </c>
      <c r="C657" s="3" t="s">
        <v>125</v>
      </c>
      <c r="D657" s="3" t="s">
        <v>132</v>
      </c>
      <c r="E657" s="3">
        <v>12</v>
      </c>
      <c r="G657" s="57"/>
    </row>
    <row r="658" spans="1:7" ht="12.75" hidden="1" x14ac:dyDescent="0.2">
      <c r="A658" s="3">
        <v>90</v>
      </c>
      <c r="B658" s="4" t="s">
        <v>110</v>
      </c>
      <c r="C658" s="3" t="s">
        <v>125</v>
      </c>
      <c r="D658" s="3" t="s">
        <v>134</v>
      </c>
      <c r="E658" s="3">
        <v>9</v>
      </c>
      <c r="G658" s="57"/>
    </row>
    <row r="659" spans="1:7" ht="12.75" hidden="1" x14ac:dyDescent="0.2">
      <c r="A659" s="3">
        <v>90</v>
      </c>
      <c r="B659" s="4" t="s">
        <v>110</v>
      </c>
      <c r="C659" s="3" t="s">
        <v>125</v>
      </c>
      <c r="D659" s="3" t="s">
        <v>152</v>
      </c>
      <c r="E659" s="3">
        <v>231</v>
      </c>
      <c r="G659" s="57"/>
    </row>
    <row r="660" spans="1:7" ht="12.75" hidden="1" x14ac:dyDescent="0.2">
      <c r="A660" s="3">
        <v>90</v>
      </c>
      <c r="B660" s="4" t="s">
        <v>110</v>
      </c>
      <c r="C660" s="3" t="s">
        <v>125</v>
      </c>
      <c r="D660" s="3" t="s">
        <v>138</v>
      </c>
      <c r="E660" s="3">
        <v>28</v>
      </c>
      <c r="G660" s="57"/>
    </row>
    <row r="661" spans="1:7" ht="12.75" hidden="1" x14ac:dyDescent="0.2">
      <c r="A661" s="3">
        <v>90</v>
      </c>
      <c r="B661" s="4" t="s">
        <v>110</v>
      </c>
      <c r="C661" s="3" t="s">
        <v>125</v>
      </c>
      <c r="D661" s="3" t="s">
        <v>14</v>
      </c>
      <c r="E661" s="3">
        <v>15</v>
      </c>
      <c r="F661">
        <f>SUM(E654:E661)</f>
        <v>540</v>
      </c>
      <c r="G661" s="57"/>
    </row>
    <row r="662" spans="1:7" ht="12.75" hidden="1" x14ac:dyDescent="0.2">
      <c r="A662" s="3">
        <v>91</v>
      </c>
      <c r="B662" s="4" t="s">
        <v>111</v>
      </c>
      <c r="C662" s="3" t="s">
        <v>125</v>
      </c>
      <c r="D662" s="3" t="s">
        <v>3</v>
      </c>
      <c r="E662" s="3">
        <v>94</v>
      </c>
      <c r="G662" s="59">
        <v>314</v>
      </c>
    </row>
    <row r="663" spans="1:7" ht="12.75" hidden="1" x14ac:dyDescent="0.2">
      <c r="A663" s="3">
        <v>91</v>
      </c>
      <c r="B663" s="4" t="s">
        <v>111</v>
      </c>
      <c r="C663" s="3" t="s">
        <v>125</v>
      </c>
      <c r="D663" s="3" t="s">
        <v>16</v>
      </c>
      <c r="E663" s="3">
        <v>0</v>
      </c>
      <c r="G663" s="57"/>
    </row>
    <row r="664" spans="1:7" ht="12.75" hidden="1" x14ac:dyDescent="0.2">
      <c r="A664" s="3">
        <v>91</v>
      </c>
      <c r="B664" s="4" t="s">
        <v>111</v>
      </c>
      <c r="C664" s="3" t="s">
        <v>125</v>
      </c>
      <c r="D664" s="3" t="s">
        <v>129</v>
      </c>
      <c r="E664" s="3">
        <v>2</v>
      </c>
      <c r="G664" s="57"/>
    </row>
    <row r="665" spans="1:7" ht="12.75" hidden="1" x14ac:dyDescent="0.2">
      <c r="A665" s="3">
        <v>91</v>
      </c>
      <c r="B665" s="4" t="s">
        <v>111</v>
      </c>
      <c r="C665" s="3" t="s">
        <v>125</v>
      </c>
      <c r="D665" s="3" t="s">
        <v>132</v>
      </c>
      <c r="E665" s="3">
        <v>5</v>
      </c>
      <c r="G665" s="57"/>
    </row>
    <row r="666" spans="1:7" ht="12.75" hidden="1" x14ac:dyDescent="0.2">
      <c r="A666" s="3">
        <v>91</v>
      </c>
      <c r="B666" s="4" t="s">
        <v>111</v>
      </c>
      <c r="C666" s="3" t="s">
        <v>125</v>
      </c>
      <c r="D666" s="3" t="s">
        <v>134</v>
      </c>
      <c r="E666" s="3">
        <v>2</v>
      </c>
      <c r="G666" s="57"/>
    </row>
    <row r="667" spans="1:7" ht="12.75" hidden="1" x14ac:dyDescent="0.2">
      <c r="A667" s="3">
        <v>91</v>
      </c>
      <c r="B667" s="4" t="s">
        <v>111</v>
      </c>
      <c r="C667" s="3" t="s">
        <v>125</v>
      </c>
      <c r="D667" s="3" t="s">
        <v>152</v>
      </c>
      <c r="E667" s="3">
        <v>139</v>
      </c>
      <c r="G667" s="57"/>
    </row>
    <row r="668" spans="1:7" ht="12.75" hidden="1" x14ac:dyDescent="0.2">
      <c r="A668" s="3">
        <v>91</v>
      </c>
      <c r="B668" s="4" t="s">
        <v>111</v>
      </c>
      <c r="C668" s="3" t="s">
        <v>125</v>
      </c>
      <c r="D668" s="3" t="s">
        <v>138</v>
      </c>
      <c r="E668" s="3">
        <v>13</v>
      </c>
      <c r="G668" s="57"/>
    </row>
    <row r="669" spans="1:7" ht="12.75" hidden="1" x14ac:dyDescent="0.2">
      <c r="A669" s="3">
        <v>91</v>
      </c>
      <c r="B669" s="4" t="s">
        <v>111</v>
      </c>
      <c r="C669" s="3" t="s">
        <v>125</v>
      </c>
      <c r="D669" s="3" t="s">
        <v>14</v>
      </c>
      <c r="E669" s="3">
        <v>7</v>
      </c>
      <c r="F669">
        <f>SUM(E662:E669)</f>
        <v>262</v>
      </c>
      <c r="G669" s="57"/>
    </row>
    <row r="670" spans="1:7" ht="12.75" hidden="1" x14ac:dyDescent="0.2">
      <c r="A670" s="3">
        <v>92</v>
      </c>
      <c r="B670" s="4" t="s">
        <v>112</v>
      </c>
      <c r="C670" s="3" t="s">
        <v>125</v>
      </c>
      <c r="D670" s="3" t="s">
        <v>3</v>
      </c>
      <c r="E670" s="3">
        <v>88</v>
      </c>
      <c r="G670" s="59">
        <v>263</v>
      </c>
    </row>
    <row r="671" spans="1:7" ht="12.75" hidden="1" x14ac:dyDescent="0.2">
      <c r="A671" s="3">
        <v>92</v>
      </c>
      <c r="B671" s="4" t="s">
        <v>112</v>
      </c>
      <c r="C671" s="3" t="s">
        <v>125</v>
      </c>
      <c r="D671" s="3" t="s">
        <v>16</v>
      </c>
      <c r="E671" s="3">
        <v>0</v>
      </c>
      <c r="G671" s="57"/>
    </row>
    <row r="672" spans="1:7" ht="12.75" hidden="1" x14ac:dyDescent="0.2">
      <c r="A672" s="3">
        <v>92</v>
      </c>
      <c r="B672" s="4" t="s">
        <v>112</v>
      </c>
      <c r="C672" s="3" t="s">
        <v>125</v>
      </c>
      <c r="D672" s="3" t="s">
        <v>129</v>
      </c>
      <c r="E672" s="3">
        <v>0</v>
      </c>
      <c r="G672" s="57"/>
    </row>
    <row r="673" spans="1:7" ht="12.75" hidden="1" x14ac:dyDescent="0.2">
      <c r="A673" s="3">
        <v>92</v>
      </c>
      <c r="B673" s="4" t="s">
        <v>112</v>
      </c>
      <c r="C673" s="3" t="s">
        <v>125</v>
      </c>
      <c r="D673" s="3" t="s">
        <v>132</v>
      </c>
      <c r="E673" s="3">
        <v>3</v>
      </c>
      <c r="G673" s="57"/>
    </row>
    <row r="674" spans="1:7" ht="12.75" hidden="1" x14ac:dyDescent="0.2">
      <c r="A674" s="3">
        <v>92</v>
      </c>
      <c r="B674" s="4" t="s">
        <v>112</v>
      </c>
      <c r="C674" s="3" t="s">
        <v>125</v>
      </c>
      <c r="D674" s="3" t="s">
        <v>134</v>
      </c>
      <c r="E674" s="3">
        <v>1</v>
      </c>
      <c r="G674" s="57"/>
    </row>
    <row r="675" spans="1:7" ht="12.75" hidden="1" x14ac:dyDescent="0.2">
      <c r="A675" s="3">
        <v>92</v>
      </c>
      <c r="B675" s="4" t="s">
        <v>112</v>
      </c>
      <c r="C675" s="3" t="s">
        <v>125</v>
      </c>
      <c r="D675" s="3" t="s">
        <v>152</v>
      </c>
      <c r="E675" s="3">
        <v>89</v>
      </c>
      <c r="G675" s="57"/>
    </row>
    <row r="676" spans="1:7" ht="12.75" hidden="1" x14ac:dyDescent="0.2">
      <c r="A676" s="3">
        <v>92</v>
      </c>
      <c r="B676" s="4" t="s">
        <v>112</v>
      </c>
      <c r="C676" s="3" t="s">
        <v>125</v>
      </c>
      <c r="D676" s="3" t="s">
        <v>138</v>
      </c>
      <c r="E676" s="3">
        <v>4</v>
      </c>
      <c r="G676" s="57"/>
    </row>
    <row r="677" spans="1:7" ht="12.75" hidden="1" x14ac:dyDescent="0.2">
      <c r="A677" s="3">
        <v>92</v>
      </c>
      <c r="B677" s="4" t="s">
        <v>112</v>
      </c>
      <c r="C677" s="3" t="s">
        <v>125</v>
      </c>
      <c r="D677" s="3" t="s">
        <v>14</v>
      </c>
      <c r="E677" s="3">
        <v>2</v>
      </c>
      <c r="F677">
        <f>SUM(E670:E677)</f>
        <v>187</v>
      </c>
      <c r="G677" s="57"/>
    </row>
    <row r="678" spans="1:7" ht="12.75" hidden="1" x14ac:dyDescent="0.2">
      <c r="A678" s="3">
        <v>93</v>
      </c>
      <c r="B678" s="4" t="s">
        <v>113</v>
      </c>
      <c r="C678" s="3" t="s">
        <v>125</v>
      </c>
      <c r="D678" s="3" t="s">
        <v>3</v>
      </c>
      <c r="E678" s="3">
        <v>2319</v>
      </c>
      <c r="G678" s="59">
        <v>11653</v>
      </c>
    </row>
    <row r="679" spans="1:7" ht="12.75" hidden="1" x14ac:dyDescent="0.2">
      <c r="A679" s="3">
        <v>93</v>
      </c>
      <c r="B679" s="4" t="s">
        <v>113</v>
      </c>
      <c r="C679" s="3" t="s">
        <v>125</v>
      </c>
      <c r="D679" s="3" t="s">
        <v>16</v>
      </c>
      <c r="E679" s="3">
        <v>102</v>
      </c>
      <c r="G679" s="57"/>
    </row>
    <row r="680" spans="1:7" ht="12.75" hidden="1" x14ac:dyDescent="0.2">
      <c r="A680" s="3">
        <v>93</v>
      </c>
      <c r="B680" s="4" t="s">
        <v>113</v>
      </c>
      <c r="C680" s="3" t="s">
        <v>125</v>
      </c>
      <c r="D680" s="3" t="s">
        <v>129</v>
      </c>
      <c r="E680" s="3">
        <v>102</v>
      </c>
      <c r="G680" s="57"/>
    </row>
    <row r="681" spans="1:7" ht="12.75" hidden="1" x14ac:dyDescent="0.2">
      <c r="A681" s="3">
        <v>93</v>
      </c>
      <c r="B681" s="4" t="s">
        <v>113</v>
      </c>
      <c r="C681" s="3" t="s">
        <v>125</v>
      </c>
      <c r="D681" s="3" t="s">
        <v>132</v>
      </c>
      <c r="E681" s="3">
        <v>239</v>
      </c>
      <c r="G681" s="57"/>
    </row>
    <row r="682" spans="1:7" ht="12.75" hidden="1" x14ac:dyDescent="0.2">
      <c r="A682" s="3">
        <v>93</v>
      </c>
      <c r="B682" s="4" t="s">
        <v>113</v>
      </c>
      <c r="C682" s="3" t="s">
        <v>125</v>
      </c>
      <c r="D682" s="3" t="s">
        <v>134</v>
      </c>
      <c r="E682" s="3">
        <v>175</v>
      </c>
      <c r="G682" s="57"/>
    </row>
    <row r="683" spans="1:7" ht="12.75" hidden="1" x14ac:dyDescent="0.2">
      <c r="A683" s="3">
        <v>93</v>
      </c>
      <c r="B683" s="4" t="s">
        <v>113</v>
      </c>
      <c r="C683" s="3" t="s">
        <v>125</v>
      </c>
      <c r="D683" s="3" t="s">
        <v>152</v>
      </c>
      <c r="E683" s="3">
        <v>4528</v>
      </c>
      <c r="G683" s="57"/>
    </row>
    <row r="684" spans="1:7" ht="12.75" hidden="1" x14ac:dyDescent="0.2">
      <c r="A684" s="3">
        <v>93</v>
      </c>
      <c r="B684" s="4" t="s">
        <v>113</v>
      </c>
      <c r="C684" s="3" t="s">
        <v>125</v>
      </c>
      <c r="D684" s="3" t="s">
        <v>138</v>
      </c>
      <c r="E684" s="3">
        <v>490</v>
      </c>
      <c r="G684" s="57"/>
    </row>
    <row r="685" spans="1:7" ht="12.75" hidden="1" x14ac:dyDescent="0.2">
      <c r="A685" s="3">
        <v>93</v>
      </c>
      <c r="B685" s="4" t="s">
        <v>113</v>
      </c>
      <c r="C685" s="3" t="s">
        <v>125</v>
      </c>
      <c r="D685" s="3" t="s">
        <v>14</v>
      </c>
      <c r="E685" s="3">
        <v>177</v>
      </c>
      <c r="F685">
        <f>SUM(E678:E685)</f>
        <v>8132</v>
      </c>
      <c r="G685" s="57"/>
    </row>
    <row r="686" spans="1:7" ht="12.75" hidden="1" x14ac:dyDescent="0.2">
      <c r="A686" s="3">
        <v>94</v>
      </c>
      <c r="B686" s="4" t="s">
        <v>114</v>
      </c>
      <c r="C686" s="3" t="s">
        <v>125</v>
      </c>
      <c r="D686" s="3" t="s">
        <v>3</v>
      </c>
      <c r="E686" s="3">
        <v>180</v>
      </c>
      <c r="G686" s="59">
        <v>479</v>
      </c>
    </row>
    <row r="687" spans="1:7" ht="12.75" hidden="1" x14ac:dyDescent="0.2">
      <c r="A687" s="3">
        <v>94</v>
      </c>
      <c r="B687" s="4" t="s">
        <v>114</v>
      </c>
      <c r="C687" s="3" t="s">
        <v>125</v>
      </c>
      <c r="D687" s="3" t="s">
        <v>16</v>
      </c>
      <c r="E687" s="3">
        <v>2</v>
      </c>
      <c r="G687" s="57"/>
    </row>
    <row r="688" spans="1:7" ht="12.75" hidden="1" x14ac:dyDescent="0.2">
      <c r="A688" s="3">
        <v>94</v>
      </c>
      <c r="B688" s="4" t="s">
        <v>114</v>
      </c>
      <c r="C688" s="3" t="s">
        <v>125</v>
      </c>
      <c r="D688" s="3" t="s">
        <v>129</v>
      </c>
      <c r="E688" s="3">
        <v>2</v>
      </c>
      <c r="G688" s="57"/>
    </row>
    <row r="689" spans="1:7" ht="12.75" hidden="1" x14ac:dyDescent="0.2">
      <c r="A689" s="3">
        <v>94</v>
      </c>
      <c r="B689" s="4" t="s">
        <v>114</v>
      </c>
      <c r="C689" s="3" t="s">
        <v>125</v>
      </c>
      <c r="D689" s="3" t="s">
        <v>132</v>
      </c>
      <c r="E689" s="3">
        <v>6</v>
      </c>
      <c r="G689" s="57"/>
    </row>
    <row r="690" spans="1:7" ht="12.75" hidden="1" x14ac:dyDescent="0.2">
      <c r="A690" s="3">
        <v>94</v>
      </c>
      <c r="B690" s="4" t="s">
        <v>114</v>
      </c>
      <c r="C690" s="3" t="s">
        <v>125</v>
      </c>
      <c r="D690" s="3" t="s">
        <v>134</v>
      </c>
      <c r="E690" s="3">
        <v>1</v>
      </c>
      <c r="G690" s="57"/>
    </row>
    <row r="691" spans="1:7" ht="12.75" hidden="1" x14ac:dyDescent="0.2">
      <c r="A691" s="3">
        <v>94</v>
      </c>
      <c r="B691" s="4" t="s">
        <v>114</v>
      </c>
      <c r="C691" s="3" t="s">
        <v>125</v>
      </c>
      <c r="D691" s="3" t="s">
        <v>152</v>
      </c>
      <c r="E691" s="3">
        <v>178</v>
      </c>
      <c r="G691" s="57"/>
    </row>
    <row r="692" spans="1:7" ht="12.75" hidden="1" x14ac:dyDescent="0.2">
      <c r="A692" s="3">
        <v>94</v>
      </c>
      <c r="B692" s="4" t="s">
        <v>114</v>
      </c>
      <c r="C692" s="3" t="s">
        <v>125</v>
      </c>
      <c r="D692" s="3" t="s">
        <v>138</v>
      </c>
      <c r="E692" s="3">
        <v>10</v>
      </c>
      <c r="G692" s="57"/>
    </row>
    <row r="693" spans="1:7" ht="12.75" hidden="1" x14ac:dyDescent="0.2">
      <c r="A693" s="3">
        <v>94</v>
      </c>
      <c r="B693" s="4" t="s">
        <v>114</v>
      </c>
      <c r="C693" s="3" t="s">
        <v>125</v>
      </c>
      <c r="D693" s="3" t="s">
        <v>14</v>
      </c>
      <c r="E693" s="3">
        <v>5</v>
      </c>
      <c r="F693">
        <f>SUM(E686:E693)</f>
        <v>384</v>
      </c>
      <c r="G693" s="57"/>
    </row>
    <row r="694" spans="1:7" ht="12.75" hidden="1" x14ac:dyDescent="0.2">
      <c r="A694" s="3">
        <v>95</v>
      </c>
      <c r="B694" s="4" t="s">
        <v>115</v>
      </c>
      <c r="C694" s="3" t="s">
        <v>125</v>
      </c>
      <c r="D694" s="3" t="s">
        <v>3</v>
      </c>
      <c r="E694" s="3">
        <v>30</v>
      </c>
      <c r="G694" s="59">
        <v>119</v>
      </c>
    </row>
    <row r="695" spans="1:7" ht="12.75" hidden="1" x14ac:dyDescent="0.2">
      <c r="A695" s="3">
        <v>95</v>
      </c>
      <c r="B695" s="4" t="s">
        <v>115</v>
      </c>
      <c r="C695" s="3" t="s">
        <v>125</v>
      </c>
      <c r="D695" s="3" t="s">
        <v>16</v>
      </c>
      <c r="E695" s="3">
        <v>3</v>
      </c>
      <c r="G695" s="57"/>
    </row>
    <row r="696" spans="1:7" ht="12.75" hidden="1" x14ac:dyDescent="0.2">
      <c r="A696" s="3">
        <v>95</v>
      </c>
      <c r="B696" s="4" t="s">
        <v>115</v>
      </c>
      <c r="C696" s="3" t="s">
        <v>125</v>
      </c>
      <c r="D696" s="3" t="s">
        <v>129</v>
      </c>
      <c r="E696" s="3">
        <v>1</v>
      </c>
      <c r="G696" s="57"/>
    </row>
    <row r="697" spans="1:7" ht="12.75" hidden="1" x14ac:dyDescent="0.2">
      <c r="A697" s="3">
        <v>95</v>
      </c>
      <c r="B697" s="4" t="s">
        <v>115</v>
      </c>
      <c r="C697" s="3" t="s">
        <v>125</v>
      </c>
      <c r="D697" s="3" t="s">
        <v>132</v>
      </c>
      <c r="E697" s="3">
        <v>3</v>
      </c>
      <c r="G697" s="57"/>
    </row>
    <row r="698" spans="1:7" ht="12.75" hidden="1" x14ac:dyDescent="0.2">
      <c r="A698" s="3">
        <v>95</v>
      </c>
      <c r="B698" s="4" t="s">
        <v>115</v>
      </c>
      <c r="C698" s="3" t="s">
        <v>125</v>
      </c>
      <c r="D698" s="3" t="s">
        <v>134</v>
      </c>
      <c r="E698" s="3">
        <v>0</v>
      </c>
      <c r="G698" s="57"/>
    </row>
    <row r="699" spans="1:7" ht="12.75" hidden="1" x14ac:dyDescent="0.2">
      <c r="A699" s="3">
        <v>95</v>
      </c>
      <c r="B699" s="4" t="s">
        <v>115</v>
      </c>
      <c r="C699" s="3" t="s">
        <v>125</v>
      </c>
      <c r="D699" s="3" t="s">
        <v>152</v>
      </c>
      <c r="E699" s="3">
        <v>53</v>
      </c>
      <c r="G699" s="57"/>
    </row>
    <row r="700" spans="1:7" ht="12.75" hidden="1" x14ac:dyDescent="0.2">
      <c r="A700" s="3">
        <v>95</v>
      </c>
      <c r="B700" s="4" t="s">
        <v>115</v>
      </c>
      <c r="C700" s="3" t="s">
        <v>125</v>
      </c>
      <c r="D700" s="3" t="s">
        <v>138</v>
      </c>
      <c r="E700" s="3">
        <v>0</v>
      </c>
      <c r="G700" s="57"/>
    </row>
    <row r="701" spans="1:7" ht="12.75" hidden="1" x14ac:dyDescent="0.2">
      <c r="A701" s="3">
        <v>95</v>
      </c>
      <c r="B701" s="4" t="s">
        <v>115</v>
      </c>
      <c r="C701" s="3" t="s">
        <v>125</v>
      </c>
      <c r="D701" s="3" t="s">
        <v>14</v>
      </c>
      <c r="E701" s="3">
        <v>7</v>
      </c>
      <c r="F701">
        <f>SUM(E694:E701)</f>
        <v>97</v>
      </c>
      <c r="G701" s="57"/>
    </row>
    <row r="702" spans="1:7" ht="12.75" hidden="1" x14ac:dyDescent="0.2">
      <c r="A702" s="2">
        <v>2100</v>
      </c>
      <c r="B702" s="4" t="s">
        <v>177</v>
      </c>
      <c r="C702" s="3" t="s">
        <v>125</v>
      </c>
      <c r="D702" s="3" t="s">
        <v>3</v>
      </c>
      <c r="E702" s="3">
        <v>27</v>
      </c>
      <c r="G702" s="59"/>
    </row>
    <row r="703" spans="1:7" ht="12.75" hidden="1" x14ac:dyDescent="0.2">
      <c r="A703" s="2">
        <v>2100</v>
      </c>
      <c r="B703" s="4" t="s">
        <v>177</v>
      </c>
      <c r="C703" s="3" t="s">
        <v>125</v>
      </c>
      <c r="D703" s="3" t="s">
        <v>16</v>
      </c>
      <c r="E703" s="3">
        <v>3</v>
      </c>
      <c r="G703" s="57"/>
    </row>
    <row r="704" spans="1:7" ht="12.75" hidden="1" x14ac:dyDescent="0.2">
      <c r="A704" s="2">
        <v>2100</v>
      </c>
      <c r="B704" s="4" t="s">
        <v>177</v>
      </c>
      <c r="C704" s="3" t="s">
        <v>125</v>
      </c>
      <c r="D704" s="3" t="s">
        <v>129</v>
      </c>
      <c r="E704" s="3">
        <v>5</v>
      </c>
      <c r="G704" s="57"/>
    </row>
    <row r="705" spans="1:7" ht="12.75" hidden="1" x14ac:dyDescent="0.2">
      <c r="A705" s="2">
        <v>2100</v>
      </c>
      <c r="B705" s="4" t="s">
        <v>177</v>
      </c>
      <c r="C705" s="3" t="s">
        <v>125</v>
      </c>
      <c r="D705" s="3" t="s">
        <v>132</v>
      </c>
      <c r="E705" s="3">
        <v>4</v>
      </c>
      <c r="G705" s="57"/>
    </row>
    <row r="706" spans="1:7" ht="12.75" hidden="1" x14ac:dyDescent="0.2">
      <c r="A706" s="2">
        <v>2100</v>
      </c>
      <c r="B706" s="4" t="s">
        <v>177</v>
      </c>
      <c r="C706" s="3" t="s">
        <v>125</v>
      </c>
      <c r="D706" s="3" t="s">
        <v>134</v>
      </c>
      <c r="E706" s="3">
        <v>3</v>
      </c>
      <c r="G706" s="57"/>
    </row>
    <row r="707" spans="1:7" ht="12.75" hidden="1" x14ac:dyDescent="0.2">
      <c r="A707" s="2">
        <v>2100</v>
      </c>
      <c r="B707" s="4" t="s">
        <v>177</v>
      </c>
      <c r="C707" s="3" t="s">
        <v>125</v>
      </c>
      <c r="D707" s="3" t="s">
        <v>152</v>
      </c>
      <c r="E707" s="3">
        <v>16</v>
      </c>
      <c r="G707" s="57"/>
    </row>
    <row r="708" spans="1:7" ht="12.75" hidden="1" x14ac:dyDescent="0.2">
      <c r="A708" s="2">
        <v>2100</v>
      </c>
      <c r="B708" s="4" t="s">
        <v>177</v>
      </c>
      <c r="C708" s="3" t="s">
        <v>125</v>
      </c>
      <c r="D708" s="3" t="s">
        <v>138</v>
      </c>
      <c r="E708" s="3">
        <v>7</v>
      </c>
      <c r="G708" s="57"/>
    </row>
    <row r="709" spans="1:7" ht="12.75" hidden="1" x14ac:dyDescent="0.2">
      <c r="A709" s="2">
        <v>2100</v>
      </c>
      <c r="B709" s="4" t="s">
        <v>177</v>
      </c>
      <c r="C709" s="3" t="s">
        <v>125</v>
      </c>
      <c r="D709" s="3" t="s">
        <v>14</v>
      </c>
      <c r="E709" s="3">
        <v>4</v>
      </c>
      <c r="F709">
        <f>SUM(E702:E709)</f>
        <v>69</v>
      </c>
      <c r="G709" s="57"/>
    </row>
    <row r="710" spans="1:7" ht="12.75" x14ac:dyDescent="0.2">
      <c r="A710" s="2"/>
      <c r="B710" s="4"/>
      <c r="C710" s="3"/>
      <c r="D710" s="3"/>
      <c r="E710" s="3"/>
      <c r="G710" s="19"/>
    </row>
    <row r="711" spans="1:7" ht="12.75" x14ac:dyDescent="0.2">
      <c r="A711" s="2"/>
      <c r="B711" s="4"/>
      <c r="C711" s="3"/>
      <c r="D711" s="3"/>
      <c r="E711" s="3"/>
      <c r="G711" s="19"/>
    </row>
    <row r="712" spans="1:7" ht="12.75" x14ac:dyDescent="0.2">
      <c r="A712" s="2"/>
      <c r="B712" s="4"/>
      <c r="C712" s="3"/>
      <c r="D712" s="3"/>
      <c r="E712" s="3"/>
      <c r="G712" s="19"/>
    </row>
    <row r="713" spans="1:7" ht="12.75" x14ac:dyDescent="0.2">
      <c r="A713" s="3"/>
      <c r="B713" s="4"/>
      <c r="C713" s="3"/>
      <c r="D713" s="3"/>
      <c r="E713" s="3"/>
      <c r="G713" s="59"/>
    </row>
    <row r="714" spans="1:7" ht="12.75" x14ac:dyDescent="0.2">
      <c r="A714" s="3"/>
      <c r="B714" s="4"/>
      <c r="C714" s="3"/>
      <c r="D714" s="3"/>
      <c r="E714" s="3"/>
      <c r="G714" s="57"/>
    </row>
    <row r="715" spans="1:7" ht="12.75" x14ac:dyDescent="0.2">
      <c r="A715" s="3"/>
      <c r="B715" s="4"/>
      <c r="C715" s="3"/>
      <c r="D715" s="3"/>
      <c r="E715" s="3"/>
      <c r="G715" s="57"/>
    </row>
    <row r="716" spans="1:7" ht="12.75" x14ac:dyDescent="0.2">
      <c r="A716" s="3"/>
      <c r="B716" s="4"/>
      <c r="C716" s="3"/>
      <c r="D716" s="3"/>
      <c r="E716" s="3"/>
      <c r="G716" s="57"/>
    </row>
    <row r="717" spans="1:7" ht="12.75" x14ac:dyDescent="0.2">
      <c r="A717" s="3"/>
      <c r="B717" s="4"/>
      <c r="C717" s="3"/>
      <c r="D717" s="3"/>
      <c r="E717" s="3"/>
      <c r="G717" s="57"/>
    </row>
    <row r="718" spans="1:7" ht="12.75" x14ac:dyDescent="0.2">
      <c r="A718" s="3"/>
      <c r="B718" s="4"/>
      <c r="C718" s="3"/>
      <c r="D718" s="3"/>
      <c r="E718" s="3"/>
      <c r="G718" s="57"/>
    </row>
    <row r="719" spans="1:7" ht="12.75" x14ac:dyDescent="0.2">
      <c r="A719" s="3"/>
      <c r="B719" s="4"/>
      <c r="C719" s="3"/>
      <c r="D719" s="3"/>
      <c r="E719" s="3"/>
      <c r="G719" s="57"/>
    </row>
    <row r="720" spans="1:7" ht="12.75" x14ac:dyDescent="0.2">
      <c r="A720" s="3"/>
      <c r="B720" s="4"/>
      <c r="C720" s="3"/>
      <c r="D720" s="3"/>
      <c r="E720" s="3"/>
      <c r="G720" s="57"/>
    </row>
    <row r="721" spans="1:7" ht="12.75" x14ac:dyDescent="0.2">
      <c r="A721" s="3"/>
      <c r="B721" s="4"/>
      <c r="C721" s="3"/>
      <c r="D721" s="3"/>
      <c r="E721" s="3"/>
      <c r="G721" s="57"/>
    </row>
    <row r="722" spans="1:7" ht="12.75" x14ac:dyDescent="0.2">
      <c r="A722" s="3"/>
      <c r="B722" s="4"/>
      <c r="C722" s="3"/>
      <c r="D722" s="3"/>
      <c r="E722" s="3"/>
      <c r="G722" s="57"/>
    </row>
    <row r="723" spans="1:7" ht="12.75" x14ac:dyDescent="0.2">
      <c r="A723" s="3"/>
      <c r="B723" s="4"/>
      <c r="C723" s="3"/>
      <c r="D723" s="3"/>
      <c r="E723" s="3"/>
      <c r="G723" s="57"/>
    </row>
    <row r="724" spans="1:7" ht="12.75" x14ac:dyDescent="0.2">
      <c r="A724" s="3"/>
      <c r="B724" s="4"/>
      <c r="C724" s="3"/>
      <c r="D724" s="3"/>
      <c r="E724" s="3"/>
      <c r="G724" s="57"/>
    </row>
    <row r="725" spans="1:7" ht="12.75" x14ac:dyDescent="0.2">
      <c r="A725" s="3"/>
      <c r="B725" s="4"/>
      <c r="C725" s="3"/>
      <c r="D725" s="3"/>
      <c r="E725" s="3"/>
      <c r="G725" s="57"/>
    </row>
    <row r="726" spans="1:7" ht="12.75" x14ac:dyDescent="0.2">
      <c r="A726" s="3"/>
      <c r="B726" s="4"/>
      <c r="C726" s="3"/>
      <c r="D726" s="3"/>
      <c r="E726" s="3"/>
      <c r="G726" s="57"/>
    </row>
    <row r="727" spans="1:7" ht="12.75" x14ac:dyDescent="0.2">
      <c r="A727" s="3"/>
      <c r="B727" s="4"/>
      <c r="C727" s="3"/>
      <c r="D727" s="3"/>
      <c r="E727" s="3"/>
      <c r="G727" s="57"/>
    </row>
    <row r="728" spans="1:7" ht="12.75" x14ac:dyDescent="0.2">
      <c r="A728" s="3"/>
      <c r="B728" s="4"/>
      <c r="C728" s="3"/>
      <c r="D728" s="3"/>
      <c r="E728" s="3"/>
      <c r="G728" s="57"/>
    </row>
    <row r="729" spans="1:7" ht="12.75" x14ac:dyDescent="0.2">
      <c r="A729" s="3"/>
      <c r="B729" s="4"/>
      <c r="C729" s="3"/>
      <c r="D729" s="3"/>
      <c r="E729" s="3"/>
      <c r="G729" s="57"/>
    </row>
    <row r="730" spans="1:7" ht="12.75" x14ac:dyDescent="0.2">
      <c r="A730" s="3"/>
      <c r="B730" s="4"/>
      <c r="C730" s="3"/>
      <c r="D730" s="3"/>
      <c r="E730" s="3"/>
      <c r="G730" s="57"/>
    </row>
    <row r="731" spans="1:7" ht="12.75" x14ac:dyDescent="0.2">
      <c r="A731" s="3"/>
      <c r="B731" s="4"/>
      <c r="C731" s="3"/>
      <c r="D731" s="3"/>
      <c r="E731" s="3"/>
      <c r="G731" s="57"/>
    </row>
    <row r="732" spans="1:7" ht="12.75" x14ac:dyDescent="0.2">
      <c r="A732" s="3"/>
      <c r="B732" s="4"/>
      <c r="C732" s="3"/>
      <c r="D732" s="3"/>
      <c r="E732" s="3"/>
      <c r="G732" s="57"/>
    </row>
    <row r="733" spans="1:7" ht="12.75" x14ac:dyDescent="0.2">
      <c r="A733" s="3"/>
      <c r="B733" s="4"/>
      <c r="C733" s="3"/>
      <c r="D733" s="3"/>
      <c r="E733" s="3"/>
      <c r="G733" s="59"/>
    </row>
    <row r="734" spans="1:7" ht="12.75" x14ac:dyDescent="0.2">
      <c r="A734" s="3"/>
      <c r="B734" s="4"/>
      <c r="C734" s="3"/>
      <c r="D734" s="3"/>
      <c r="E734" s="3"/>
      <c r="G734" s="57"/>
    </row>
    <row r="735" spans="1:7" ht="12.75" x14ac:dyDescent="0.2">
      <c r="A735" s="3"/>
      <c r="B735" s="4"/>
      <c r="C735" s="3"/>
      <c r="D735" s="3"/>
      <c r="E735" s="3"/>
      <c r="G735" s="57"/>
    </row>
    <row r="736" spans="1:7" ht="12.75" x14ac:dyDescent="0.2">
      <c r="A736" s="3"/>
      <c r="B736" s="4"/>
      <c r="C736" s="3"/>
      <c r="D736" s="3"/>
      <c r="E736" s="3"/>
      <c r="G736" s="57"/>
    </row>
    <row r="737" spans="1:7" ht="12.75" x14ac:dyDescent="0.2">
      <c r="A737" s="3"/>
      <c r="B737" s="4"/>
      <c r="C737" s="3"/>
      <c r="D737" s="3"/>
      <c r="E737" s="3"/>
      <c r="G737" s="57"/>
    </row>
    <row r="738" spans="1:7" ht="12.75" x14ac:dyDescent="0.2">
      <c r="A738" s="3"/>
      <c r="B738" s="4"/>
      <c r="C738" s="3"/>
      <c r="D738" s="3"/>
      <c r="E738" s="3"/>
      <c r="G738" s="57"/>
    </row>
    <row r="739" spans="1:7" ht="12.75" x14ac:dyDescent="0.2">
      <c r="A739" s="3"/>
      <c r="B739" s="4"/>
      <c r="C739" s="3"/>
      <c r="D739" s="3"/>
      <c r="E739" s="3"/>
      <c r="G739" s="57"/>
    </row>
    <row r="740" spans="1:7" ht="12.75" x14ac:dyDescent="0.2">
      <c r="A740" s="3"/>
      <c r="B740" s="4"/>
      <c r="C740" s="3"/>
      <c r="D740" s="3"/>
      <c r="E740" s="3"/>
      <c r="G740" s="57"/>
    </row>
    <row r="741" spans="1:7" ht="12.75" x14ac:dyDescent="0.2">
      <c r="A741" s="3"/>
      <c r="B741" s="4"/>
      <c r="C741" s="3"/>
      <c r="D741" s="3"/>
      <c r="E741" s="3"/>
      <c r="G741" s="57"/>
    </row>
    <row r="742" spans="1:7" ht="12.75" x14ac:dyDescent="0.2">
      <c r="A742" s="3"/>
      <c r="B742" s="4"/>
      <c r="C742" s="3"/>
      <c r="D742" s="3"/>
      <c r="E742" s="3"/>
      <c r="G742" s="57"/>
    </row>
    <row r="743" spans="1:7" ht="12.75" x14ac:dyDescent="0.2">
      <c r="A743" s="3"/>
      <c r="B743" s="4"/>
      <c r="C743" s="3"/>
      <c r="D743" s="3"/>
      <c r="E743" s="3"/>
      <c r="G743" s="57"/>
    </row>
    <row r="744" spans="1:7" ht="12.75" x14ac:dyDescent="0.2">
      <c r="A744" s="3"/>
      <c r="B744" s="4"/>
      <c r="C744" s="3"/>
      <c r="D744" s="3"/>
      <c r="E744" s="3"/>
      <c r="G744" s="57"/>
    </row>
    <row r="745" spans="1:7" ht="12.75" x14ac:dyDescent="0.2">
      <c r="A745" s="3"/>
      <c r="B745" s="4"/>
      <c r="C745" s="3"/>
      <c r="D745" s="3"/>
      <c r="E745" s="3"/>
      <c r="G745" s="57"/>
    </row>
    <row r="746" spans="1:7" ht="12.75" x14ac:dyDescent="0.2">
      <c r="A746" s="3"/>
      <c r="B746" s="4"/>
      <c r="C746" s="3"/>
      <c r="D746" s="3"/>
      <c r="E746" s="3"/>
      <c r="G746" s="57"/>
    </row>
    <row r="747" spans="1:7" ht="12.75" x14ac:dyDescent="0.2">
      <c r="A747" s="3"/>
      <c r="B747" s="4"/>
      <c r="C747" s="3"/>
      <c r="D747" s="3"/>
      <c r="E747" s="3"/>
      <c r="G747" s="57"/>
    </row>
    <row r="748" spans="1:7" ht="12.75" x14ac:dyDescent="0.2">
      <c r="A748" s="3"/>
      <c r="B748" s="4"/>
      <c r="C748" s="3"/>
      <c r="D748" s="3"/>
      <c r="E748" s="3"/>
      <c r="G748" s="57"/>
    </row>
    <row r="749" spans="1:7" ht="12.75" x14ac:dyDescent="0.2">
      <c r="A749" s="3"/>
      <c r="B749" s="4"/>
      <c r="C749" s="3"/>
      <c r="D749" s="3"/>
      <c r="E749" s="3"/>
      <c r="G749" s="57"/>
    </row>
    <row r="750" spans="1:7" ht="12.75" x14ac:dyDescent="0.2">
      <c r="A750" s="3"/>
      <c r="B750" s="4"/>
      <c r="C750" s="3"/>
      <c r="D750" s="3"/>
      <c r="E750" s="3"/>
      <c r="G750" s="57"/>
    </row>
    <row r="751" spans="1:7" ht="12.75" x14ac:dyDescent="0.2">
      <c r="A751" s="3"/>
      <c r="B751" s="4"/>
      <c r="C751" s="3"/>
      <c r="D751" s="3"/>
      <c r="E751" s="3"/>
      <c r="G751" s="57"/>
    </row>
    <row r="752" spans="1:7" ht="12.75" x14ac:dyDescent="0.2">
      <c r="A752" s="3"/>
      <c r="B752" s="4"/>
      <c r="C752" s="3"/>
      <c r="D752" s="3"/>
      <c r="E752" s="3"/>
      <c r="G752" s="57"/>
    </row>
    <row r="753" spans="1:7" ht="12.75" x14ac:dyDescent="0.2">
      <c r="A753" s="3"/>
      <c r="B753" s="4"/>
      <c r="C753" s="3"/>
      <c r="D753" s="3"/>
      <c r="E753" s="3"/>
      <c r="G753" s="59"/>
    </row>
    <row r="754" spans="1:7" ht="12.75" x14ac:dyDescent="0.2">
      <c r="A754" s="3"/>
      <c r="B754" s="4"/>
      <c r="C754" s="3"/>
      <c r="D754" s="3"/>
      <c r="E754" s="3"/>
      <c r="G754" s="57"/>
    </row>
    <row r="755" spans="1:7" ht="12.75" x14ac:dyDescent="0.2">
      <c r="A755" s="3"/>
      <c r="B755" s="4"/>
      <c r="C755" s="3"/>
      <c r="D755" s="3"/>
      <c r="E755" s="3"/>
      <c r="G755" s="57"/>
    </row>
    <row r="756" spans="1:7" ht="12.75" x14ac:dyDescent="0.2">
      <c r="A756" s="3"/>
      <c r="B756" s="4"/>
      <c r="C756" s="3"/>
      <c r="D756" s="3"/>
      <c r="E756" s="3"/>
      <c r="G756" s="57"/>
    </row>
    <row r="757" spans="1:7" ht="12.75" x14ac:dyDescent="0.2">
      <c r="A757" s="3"/>
      <c r="B757" s="4"/>
      <c r="C757" s="3"/>
      <c r="D757" s="3"/>
      <c r="E757" s="3"/>
      <c r="G757" s="57"/>
    </row>
    <row r="758" spans="1:7" ht="12.75" x14ac:dyDescent="0.2">
      <c r="A758" s="3"/>
      <c r="B758" s="4"/>
      <c r="C758" s="3"/>
      <c r="D758" s="3"/>
      <c r="E758" s="3"/>
      <c r="G758" s="57"/>
    </row>
    <row r="759" spans="1:7" ht="12.75" x14ac:dyDescent="0.2">
      <c r="A759" s="3"/>
      <c r="B759" s="4"/>
      <c r="C759" s="3"/>
      <c r="D759" s="3"/>
      <c r="E759" s="3"/>
      <c r="G759" s="57"/>
    </row>
    <row r="760" spans="1:7" ht="12.75" x14ac:dyDescent="0.2">
      <c r="A760" s="3"/>
      <c r="B760" s="4"/>
      <c r="C760" s="3"/>
      <c r="D760" s="3"/>
      <c r="E760" s="3"/>
      <c r="G760" s="57"/>
    </row>
    <row r="761" spans="1:7" ht="12.75" x14ac:dyDescent="0.2">
      <c r="A761" s="3"/>
      <c r="B761" s="4"/>
      <c r="C761" s="3"/>
      <c r="D761" s="3"/>
      <c r="E761" s="3"/>
      <c r="G761" s="57"/>
    </row>
    <row r="762" spans="1:7" ht="12.75" x14ac:dyDescent="0.2">
      <c r="A762" s="3"/>
      <c r="B762" s="4"/>
      <c r="C762" s="3"/>
      <c r="D762" s="3"/>
      <c r="E762" s="3"/>
      <c r="G762" s="57"/>
    </row>
    <row r="763" spans="1:7" ht="12.75" x14ac:dyDescent="0.2">
      <c r="A763" s="3"/>
      <c r="B763" s="4"/>
      <c r="C763" s="3"/>
      <c r="D763" s="3"/>
      <c r="E763" s="3"/>
      <c r="G763" s="57"/>
    </row>
    <row r="764" spans="1:7" ht="12.75" x14ac:dyDescent="0.2">
      <c r="A764" s="3"/>
      <c r="B764" s="4"/>
      <c r="C764" s="3"/>
      <c r="D764" s="3"/>
      <c r="E764" s="3"/>
      <c r="G764" s="57"/>
    </row>
    <row r="765" spans="1:7" ht="12.75" x14ac:dyDescent="0.2">
      <c r="A765" s="3"/>
      <c r="B765" s="4"/>
      <c r="C765" s="3"/>
      <c r="D765" s="3"/>
      <c r="E765" s="3"/>
      <c r="G765" s="57"/>
    </row>
    <row r="766" spans="1:7" ht="12.75" x14ac:dyDescent="0.2">
      <c r="A766" s="3"/>
      <c r="B766" s="4"/>
      <c r="C766" s="3"/>
      <c r="D766" s="3"/>
      <c r="E766" s="3"/>
      <c r="G766" s="57"/>
    </row>
    <row r="767" spans="1:7" ht="12.75" x14ac:dyDescent="0.2">
      <c r="A767" s="3"/>
      <c r="B767" s="4"/>
      <c r="C767" s="3"/>
      <c r="D767" s="3"/>
      <c r="E767" s="3"/>
      <c r="G767" s="57"/>
    </row>
    <row r="768" spans="1:7" ht="12.75" x14ac:dyDescent="0.2">
      <c r="A768" s="3"/>
      <c r="B768" s="4"/>
      <c r="C768" s="3"/>
      <c r="D768" s="3"/>
      <c r="E768" s="3"/>
      <c r="G768" s="57"/>
    </row>
    <row r="769" spans="1:7" ht="12.75" x14ac:dyDescent="0.2">
      <c r="A769" s="3"/>
      <c r="B769" s="4"/>
      <c r="C769" s="3"/>
      <c r="D769" s="3"/>
      <c r="E769" s="3"/>
      <c r="G769" s="57"/>
    </row>
    <row r="770" spans="1:7" ht="12.75" x14ac:dyDescent="0.2">
      <c r="A770" s="3"/>
      <c r="B770" s="4"/>
      <c r="C770" s="3"/>
      <c r="D770" s="3"/>
      <c r="E770" s="3"/>
      <c r="G770" s="57"/>
    </row>
    <row r="771" spans="1:7" ht="12.75" x14ac:dyDescent="0.2">
      <c r="A771" s="3"/>
      <c r="B771" s="4"/>
      <c r="C771" s="3"/>
      <c r="D771" s="3"/>
      <c r="E771" s="3"/>
      <c r="G771" s="57"/>
    </row>
    <row r="772" spans="1:7" ht="12.75" x14ac:dyDescent="0.2">
      <c r="A772" s="3"/>
      <c r="B772" s="4"/>
      <c r="C772" s="3"/>
      <c r="D772" s="3"/>
      <c r="E772" s="3"/>
      <c r="G772" s="57"/>
    </row>
    <row r="773" spans="1:7" ht="12.75" x14ac:dyDescent="0.2">
      <c r="A773" s="3"/>
      <c r="B773" s="4"/>
      <c r="C773" s="3"/>
      <c r="D773" s="3"/>
      <c r="E773" s="3"/>
      <c r="G773" s="59"/>
    </row>
    <row r="774" spans="1:7" ht="12.75" x14ac:dyDescent="0.2">
      <c r="A774" s="3"/>
      <c r="B774" s="4"/>
      <c r="C774" s="3"/>
      <c r="D774" s="3"/>
      <c r="E774" s="3"/>
      <c r="G774" s="57"/>
    </row>
    <row r="775" spans="1:7" ht="12.75" x14ac:dyDescent="0.2">
      <c r="A775" s="3"/>
      <c r="B775" s="4"/>
      <c r="C775" s="3"/>
      <c r="D775" s="3"/>
      <c r="E775" s="3"/>
      <c r="G775" s="57"/>
    </row>
    <row r="776" spans="1:7" ht="12.75" x14ac:dyDescent="0.2">
      <c r="A776" s="3"/>
      <c r="B776" s="4"/>
      <c r="C776" s="3"/>
      <c r="D776" s="3"/>
      <c r="E776" s="3"/>
      <c r="G776" s="57"/>
    </row>
    <row r="777" spans="1:7" ht="12.75" x14ac:dyDescent="0.2">
      <c r="A777" s="3"/>
      <c r="B777" s="4"/>
      <c r="C777" s="3"/>
      <c r="D777" s="3"/>
      <c r="E777" s="3"/>
      <c r="G777" s="57"/>
    </row>
    <row r="778" spans="1:7" ht="12.75" x14ac:dyDescent="0.2">
      <c r="A778" s="3"/>
      <c r="B778" s="4"/>
      <c r="C778" s="3"/>
      <c r="D778" s="3"/>
      <c r="E778" s="3"/>
      <c r="G778" s="57"/>
    </row>
    <row r="779" spans="1:7" ht="12.75" x14ac:dyDescent="0.2">
      <c r="A779" s="3"/>
      <c r="B779" s="4"/>
      <c r="C779" s="3"/>
      <c r="D779" s="3"/>
      <c r="E779" s="3"/>
      <c r="G779" s="57"/>
    </row>
    <row r="780" spans="1:7" ht="12.75" x14ac:dyDescent="0.2">
      <c r="A780" s="3"/>
      <c r="B780" s="4"/>
      <c r="C780" s="3"/>
      <c r="D780" s="3"/>
      <c r="E780" s="3"/>
      <c r="G780" s="57"/>
    </row>
    <row r="781" spans="1:7" ht="12.75" x14ac:dyDescent="0.2">
      <c r="A781" s="3"/>
      <c r="B781" s="4"/>
      <c r="C781" s="3"/>
      <c r="D781" s="3"/>
      <c r="E781" s="3"/>
      <c r="G781" s="57"/>
    </row>
    <row r="782" spans="1:7" ht="12.75" x14ac:dyDescent="0.2">
      <c r="A782" s="3"/>
      <c r="B782" s="4"/>
      <c r="C782" s="3"/>
      <c r="D782" s="3"/>
      <c r="E782" s="3"/>
      <c r="G782" s="57"/>
    </row>
    <row r="783" spans="1:7" ht="12.75" x14ac:dyDescent="0.2">
      <c r="A783" s="3"/>
      <c r="B783" s="4"/>
      <c r="C783" s="3"/>
      <c r="D783" s="3"/>
      <c r="E783" s="3"/>
      <c r="G783" s="57"/>
    </row>
    <row r="784" spans="1:7" ht="12.75" x14ac:dyDescent="0.2">
      <c r="A784" s="3"/>
      <c r="B784" s="4"/>
      <c r="C784" s="3"/>
      <c r="D784" s="3"/>
      <c r="E784" s="3"/>
      <c r="G784" s="57"/>
    </row>
    <row r="785" spans="1:7" ht="12.75" x14ac:dyDescent="0.2">
      <c r="A785" s="3"/>
      <c r="B785" s="4"/>
      <c r="C785" s="3"/>
      <c r="D785" s="3"/>
      <c r="E785" s="3"/>
      <c r="G785" s="57"/>
    </row>
    <row r="786" spans="1:7" ht="12.75" x14ac:dyDescent="0.2">
      <c r="A786" s="3"/>
      <c r="B786" s="4"/>
      <c r="C786" s="3"/>
      <c r="D786" s="3"/>
      <c r="E786" s="3"/>
      <c r="G786" s="57"/>
    </row>
    <row r="787" spans="1:7" ht="12.75" x14ac:dyDescent="0.2">
      <c r="A787" s="3"/>
      <c r="B787" s="4"/>
      <c r="C787" s="3"/>
      <c r="D787" s="3"/>
      <c r="E787" s="3"/>
      <c r="G787" s="57"/>
    </row>
    <row r="788" spans="1:7" ht="12.75" x14ac:dyDescent="0.2">
      <c r="A788" s="3"/>
      <c r="B788" s="4"/>
      <c r="C788" s="3"/>
      <c r="D788" s="3"/>
      <c r="E788" s="3"/>
      <c r="G788" s="57"/>
    </row>
    <row r="789" spans="1:7" ht="12.75" x14ac:dyDescent="0.2">
      <c r="A789" s="3"/>
      <c r="B789" s="4"/>
      <c r="C789" s="3"/>
      <c r="D789" s="3"/>
      <c r="E789" s="3"/>
      <c r="G789" s="57"/>
    </row>
    <row r="790" spans="1:7" ht="12.75" x14ac:dyDescent="0.2">
      <c r="A790" s="3"/>
      <c r="B790" s="4"/>
      <c r="C790" s="3"/>
      <c r="D790" s="3"/>
      <c r="E790" s="3"/>
      <c r="G790" s="57"/>
    </row>
    <row r="791" spans="1:7" ht="12.75" x14ac:dyDescent="0.2">
      <c r="A791" s="3"/>
      <c r="B791" s="4"/>
      <c r="C791" s="3"/>
      <c r="D791" s="3"/>
      <c r="E791" s="3"/>
      <c r="G791" s="57"/>
    </row>
    <row r="792" spans="1:7" ht="12.75" x14ac:dyDescent="0.2">
      <c r="A792" s="3"/>
      <c r="B792" s="4"/>
      <c r="C792" s="3"/>
      <c r="D792" s="3"/>
      <c r="E792" s="3"/>
      <c r="G792" s="57"/>
    </row>
    <row r="793" spans="1:7" ht="12.75" x14ac:dyDescent="0.2">
      <c r="A793" s="3"/>
      <c r="B793" s="4"/>
      <c r="C793" s="3"/>
      <c r="D793" s="3"/>
      <c r="E793" s="3"/>
      <c r="G793" s="59"/>
    </row>
    <row r="794" spans="1:7" ht="12.75" x14ac:dyDescent="0.2">
      <c r="A794" s="3"/>
      <c r="B794" s="4"/>
      <c r="C794" s="3"/>
      <c r="D794" s="3"/>
      <c r="E794" s="3"/>
      <c r="G794" s="57"/>
    </row>
    <row r="795" spans="1:7" ht="12.75" x14ac:dyDescent="0.2">
      <c r="A795" s="3"/>
      <c r="B795" s="4"/>
      <c r="C795" s="3"/>
      <c r="D795" s="3"/>
      <c r="E795" s="3"/>
      <c r="G795" s="57"/>
    </row>
    <row r="796" spans="1:7" ht="12.75" x14ac:dyDescent="0.2">
      <c r="A796" s="3"/>
      <c r="B796" s="4"/>
      <c r="C796" s="3"/>
      <c r="D796" s="3"/>
      <c r="E796" s="3"/>
      <c r="G796" s="57"/>
    </row>
    <row r="797" spans="1:7" ht="12.75" x14ac:dyDescent="0.2">
      <c r="A797" s="3"/>
      <c r="B797" s="4"/>
      <c r="C797" s="3"/>
      <c r="D797" s="3"/>
      <c r="E797" s="3"/>
      <c r="G797" s="57"/>
    </row>
    <row r="798" spans="1:7" ht="12.75" x14ac:dyDescent="0.2">
      <c r="A798" s="3"/>
      <c r="B798" s="4"/>
      <c r="C798" s="3"/>
      <c r="D798" s="3"/>
      <c r="E798" s="3"/>
      <c r="G798" s="57"/>
    </row>
    <row r="799" spans="1:7" ht="12.75" x14ac:dyDescent="0.2">
      <c r="A799" s="3"/>
      <c r="B799" s="4"/>
      <c r="C799" s="3"/>
      <c r="D799" s="3"/>
      <c r="E799" s="3"/>
      <c r="G799" s="57"/>
    </row>
    <row r="800" spans="1:7" ht="12.75" x14ac:dyDescent="0.2">
      <c r="A800" s="3"/>
      <c r="B800" s="4"/>
      <c r="C800" s="3"/>
      <c r="D800" s="3"/>
      <c r="E800" s="3"/>
      <c r="G800" s="57"/>
    </row>
    <row r="801" spans="1:7" ht="12.75" x14ac:dyDescent="0.2">
      <c r="A801" s="3"/>
      <c r="B801" s="4"/>
      <c r="C801" s="3"/>
      <c r="D801" s="3"/>
      <c r="E801" s="3"/>
      <c r="G801" s="57"/>
    </row>
    <row r="802" spans="1:7" ht="12.75" x14ac:dyDescent="0.2">
      <c r="A802" s="3"/>
      <c r="B802" s="4"/>
      <c r="C802" s="3"/>
      <c r="D802" s="3"/>
      <c r="E802" s="3"/>
      <c r="G802" s="57"/>
    </row>
    <row r="803" spans="1:7" ht="12.75" x14ac:dyDescent="0.2">
      <c r="A803" s="3"/>
      <c r="B803" s="4"/>
      <c r="C803" s="3"/>
      <c r="D803" s="3"/>
      <c r="E803" s="3"/>
      <c r="G803" s="57"/>
    </row>
    <row r="804" spans="1:7" ht="12.75" x14ac:dyDescent="0.2">
      <c r="A804" s="3"/>
      <c r="B804" s="4"/>
      <c r="C804" s="3"/>
      <c r="D804" s="3"/>
      <c r="E804" s="3"/>
      <c r="G804" s="57"/>
    </row>
    <row r="805" spans="1:7" ht="12.75" x14ac:dyDescent="0.2">
      <c r="A805" s="3"/>
      <c r="B805" s="4"/>
      <c r="C805" s="3"/>
      <c r="D805" s="3"/>
      <c r="E805" s="3"/>
      <c r="G805" s="57"/>
    </row>
    <row r="806" spans="1:7" ht="12.75" x14ac:dyDescent="0.2">
      <c r="A806" s="3"/>
      <c r="B806" s="4"/>
      <c r="C806" s="3"/>
      <c r="D806" s="3"/>
      <c r="E806" s="3"/>
      <c r="G806" s="57"/>
    </row>
    <row r="807" spans="1:7" ht="12.75" x14ac:dyDescent="0.2">
      <c r="A807" s="3"/>
      <c r="B807" s="4"/>
      <c r="C807" s="3"/>
      <c r="D807" s="3"/>
      <c r="E807" s="3"/>
      <c r="G807" s="57"/>
    </row>
    <row r="808" spans="1:7" ht="12.75" x14ac:dyDescent="0.2">
      <c r="A808" s="3"/>
      <c r="B808" s="4"/>
      <c r="C808" s="3"/>
      <c r="D808" s="3"/>
      <c r="E808" s="3"/>
      <c r="G808" s="57"/>
    </row>
    <row r="809" spans="1:7" ht="12.75" x14ac:dyDescent="0.2">
      <c r="A809" s="3"/>
      <c r="B809" s="4"/>
      <c r="C809" s="3"/>
      <c r="D809" s="3"/>
      <c r="E809" s="3"/>
      <c r="G809" s="57"/>
    </row>
    <row r="810" spans="1:7" ht="12.75" x14ac:dyDescent="0.2">
      <c r="A810" s="3"/>
      <c r="B810" s="4"/>
      <c r="C810" s="3"/>
      <c r="D810" s="3"/>
      <c r="E810" s="3"/>
      <c r="G810" s="57"/>
    </row>
    <row r="811" spans="1:7" ht="12.75" x14ac:dyDescent="0.2">
      <c r="A811" s="3"/>
      <c r="B811" s="4"/>
      <c r="C811" s="3"/>
      <c r="D811" s="3"/>
      <c r="E811" s="3"/>
      <c r="G811" s="57"/>
    </row>
    <row r="812" spans="1:7" ht="12.75" x14ac:dyDescent="0.2">
      <c r="A812" s="3"/>
      <c r="B812" s="4"/>
      <c r="C812" s="3"/>
      <c r="D812" s="3"/>
      <c r="E812" s="3"/>
      <c r="G812" s="57"/>
    </row>
    <row r="813" spans="1:7" ht="12.75" x14ac:dyDescent="0.2">
      <c r="A813" s="3"/>
      <c r="B813" s="4"/>
      <c r="C813" s="3"/>
      <c r="D813" s="3"/>
      <c r="E813" s="3"/>
      <c r="G813" s="59"/>
    </row>
    <row r="814" spans="1:7" ht="12.75" x14ac:dyDescent="0.2">
      <c r="A814" s="3"/>
      <c r="B814" s="4"/>
      <c r="C814" s="3"/>
      <c r="D814" s="3"/>
      <c r="E814" s="3"/>
      <c r="G814" s="57"/>
    </row>
    <row r="815" spans="1:7" ht="12.75" x14ac:dyDescent="0.2">
      <c r="A815" s="3"/>
      <c r="B815" s="4"/>
      <c r="C815" s="3"/>
      <c r="D815" s="3"/>
      <c r="E815" s="3"/>
      <c r="G815" s="57"/>
    </row>
    <row r="816" spans="1:7" ht="12.75" x14ac:dyDescent="0.2">
      <c r="A816" s="3"/>
      <c r="B816" s="4"/>
      <c r="C816" s="3"/>
      <c r="D816" s="3"/>
      <c r="E816" s="3"/>
      <c r="G816" s="57"/>
    </row>
    <row r="817" spans="1:7" ht="12.75" x14ac:dyDescent="0.2">
      <c r="A817" s="3"/>
      <c r="B817" s="4"/>
      <c r="C817" s="3"/>
      <c r="D817" s="3"/>
      <c r="E817" s="3"/>
      <c r="G817" s="57"/>
    </row>
    <row r="818" spans="1:7" ht="12.75" x14ac:dyDescent="0.2">
      <c r="A818" s="3"/>
      <c r="B818" s="4"/>
      <c r="C818" s="3"/>
      <c r="D818" s="3"/>
      <c r="E818" s="3"/>
      <c r="G818" s="57"/>
    </row>
    <row r="819" spans="1:7" ht="12.75" x14ac:dyDescent="0.2">
      <c r="A819" s="3"/>
      <c r="B819" s="4"/>
      <c r="C819" s="3"/>
      <c r="D819" s="3"/>
      <c r="E819" s="3"/>
      <c r="G819" s="57"/>
    </row>
    <row r="820" spans="1:7" ht="12.75" x14ac:dyDescent="0.2">
      <c r="A820" s="3"/>
      <c r="B820" s="4"/>
      <c r="C820" s="3"/>
      <c r="D820" s="3"/>
      <c r="E820" s="3"/>
      <c r="G820" s="57"/>
    </row>
    <row r="821" spans="1:7" ht="12.75" x14ac:dyDescent="0.2">
      <c r="A821" s="3"/>
      <c r="B821" s="4"/>
      <c r="C821" s="3"/>
      <c r="D821" s="3"/>
      <c r="E821" s="3"/>
      <c r="G821" s="57"/>
    </row>
    <row r="822" spans="1:7" ht="12.75" x14ac:dyDescent="0.2">
      <c r="A822" s="3"/>
      <c r="B822" s="4"/>
      <c r="C822" s="3"/>
      <c r="D822" s="3"/>
      <c r="E822" s="3"/>
      <c r="G822" s="57"/>
    </row>
    <row r="823" spans="1:7" ht="12.75" x14ac:dyDescent="0.2">
      <c r="A823" s="3"/>
      <c r="B823" s="4"/>
      <c r="C823" s="3"/>
      <c r="D823" s="3"/>
      <c r="E823" s="3"/>
      <c r="G823" s="57"/>
    </row>
    <row r="824" spans="1:7" ht="12.75" x14ac:dyDescent="0.2">
      <c r="A824" s="3"/>
      <c r="B824" s="4"/>
      <c r="C824" s="3"/>
      <c r="D824" s="3"/>
      <c r="E824" s="3"/>
      <c r="G824" s="57"/>
    </row>
    <row r="825" spans="1:7" ht="12.75" x14ac:dyDescent="0.2">
      <c r="A825" s="3"/>
      <c r="B825" s="4"/>
      <c r="C825" s="3"/>
      <c r="D825" s="3"/>
      <c r="E825" s="3"/>
      <c r="G825" s="57"/>
    </row>
    <row r="826" spans="1:7" ht="12.75" x14ac:dyDescent="0.2">
      <c r="A826" s="3"/>
      <c r="B826" s="4"/>
      <c r="C826" s="3"/>
      <c r="D826" s="3"/>
      <c r="E826" s="3"/>
      <c r="G826" s="57"/>
    </row>
    <row r="827" spans="1:7" ht="12.75" x14ac:dyDescent="0.2">
      <c r="A827" s="3"/>
      <c r="B827" s="4"/>
      <c r="C827" s="3"/>
      <c r="D827" s="3"/>
      <c r="E827" s="3"/>
      <c r="G827" s="57"/>
    </row>
    <row r="828" spans="1:7" ht="12.75" x14ac:dyDescent="0.2">
      <c r="A828" s="3"/>
      <c r="B828" s="4"/>
      <c r="C828" s="3"/>
      <c r="D828" s="3"/>
      <c r="E828" s="3"/>
      <c r="G828" s="57"/>
    </row>
    <row r="829" spans="1:7" ht="12.75" x14ac:dyDescent="0.2">
      <c r="A829" s="3"/>
      <c r="B829" s="4"/>
      <c r="C829" s="3"/>
      <c r="D829" s="3"/>
      <c r="E829" s="3"/>
      <c r="G829" s="57"/>
    </row>
    <row r="830" spans="1:7" ht="12.75" x14ac:dyDescent="0.2">
      <c r="A830" s="3"/>
      <c r="B830" s="4"/>
      <c r="C830" s="3"/>
      <c r="D830" s="3"/>
      <c r="E830" s="3"/>
      <c r="G830" s="57"/>
    </row>
    <row r="831" spans="1:7" ht="12.75" x14ac:dyDescent="0.2">
      <c r="A831" s="3"/>
      <c r="B831" s="4"/>
      <c r="C831" s="3"/>
      <c r="D831" s="3"/>
      <c r="E831" s="3"/>
      <c r="G831" s="57"/>
    </row>
    <row r="832" spans="1:7" ht="12.75" x14ac:dyDescent="0.2">
      <c r="A832" s="3"/>
      <c r="B832" s="4"/>
      <c r="C832" s="3"/>
      <c r="D832" s="3"/>
      <c r="E832" s="3"/>
      <c r="G832" s="57"/>
    </row>
    <row r="833" spans="1:7" ht="12.75" x14ac:dyDescent="0.2">
      <c r="A833" s="3"/>
      <c r="B833" s="4"/>
      <c r="C833" s="3"/>
      <c r="D833" s="3"/>
      <c r="E833" s="3"/>
      <c r="G833" s="59"/>
    </row>
    <row r="834" spans="1:7" ht="12.75" x14ac:dyDescent="0.2">
      <c r="A834" s="3"/>
      <c r="B834" s="4"/>
      <c r="C834" s="3"/>
      <c r="D834" s="3"/>
      <c r="E834" s="3"/>
      <c r="G834" s="57"/>
    </row>
    <row r="835" spans="1:7" ht="12.75" x14ac:dyDescent="0.2">
      <c r="A835" s="3"/>
      <c r="B835" s="4"/>
      <c r="C835" s="3"/>
      <c r="D835" s="3"/>
      <c r="E835" s="3"/>
      <c r="G835" s="57"/>
    </row>
    <row r="836" spans="1:7" ht="12.75" x14ac:dyDescent="0.2">
      <c r="A836" s="3"/>
      <c r="B836" s="4"/>
      <c r="C836" s="3"/>
      <c r="D836" s="3"/>
      <c r="E836" s="3"/>
      <c r="G836" s="57"/>
    </row>
    <row r="837" spans="1:7" ht="12.75" x14ac:dyDescent="0.2">
      <c r="A837" s="3"/>
      <c r="B837" s="4"/>
      <c r="C837" s="3"/>
      <c r="D837" s="3"/>
      <c r="E837" s="3"/>
      <c r="G837" s="57"/>
    </row>
    <row r="838" spans="1:7" ht="12.75" x14ac:dyDescent="0.2">
      <c r="A838" s="3"/>
      <c r="B838" s="4"/>
      <c r="C838" s="3"/>
      <c r="D838" s="3"/>
      <c r="E838" s="3"/>
      <c r="G838" s="57"/>
    </row>
    <row r="839" spans="1:7" ht="12.75" x14ac:dyDescent="0.2">
      <c r="A839" s="3"/>
      <c r="B839" s="4"/>
      <c r="C839" s="3"/>
      <c r="D839" s="3"/>
      <c r="E839" s="3"/>
      <c r="G839" s="57"/>
    </row>
    <row r="840" spans="1:7" ht="12.75" x14ac:dyDescent="0.2">
      <c r="A840" s="3"/>
      <c r="B840" s="4"/>
      <c r="C840" s="3"/>
      <c r="D840" s="3"/>
      <c r="E840" s="3"/>
      <c r="G840" s="57"/>
    </row>
    <row r="841" spans="1:7" ht="12.75" x14ac:dyDescent="0.2">
      <c r="A841" s="3"/>
      <c r="B841" s="4"/>
      <c r="C841" s="3"/>
      <c r="D841" s="3"/>
      <c r="E841" s="3"/>
      <c r="G841" s="57"/>
    </row>
    <row r="842" spans="1:7" ht="12.75" x14ac:dyDescent="0.2">
      <c r="A842" s="3"/>
      <c r="B842" s="4"/>
      <c r="C842" s="3"/>
      <c r="D842" s="3"/>
      <c r="E842" s="3"/>
      <c r="G842" s="57"/>
    </row>
    <row r="843" spans="1:7" ht="12.75" x14ac:dyDescent="0.2">
      <c r="A843" s="3"/>
      <c r="B843" s="4"/>
      <c r="C843" s="3"/>
      <c r="D843" s="3"/>
      <c r="E843" s="3"/>
      <c r="G843" s="57"/>
    </row>
    <row r="844" spans="1:7" ht="12.75" x14ac:dyDescent="0.2">
      <c r="A844" s="3"/>
      <c r="B844" s="4"/>
      <c r="C844" s="3"/>
      <c r="D844" s="3"/>
      <c r="E844" s="3"/>
      <c r="G844" s="57"/>
    </row>
    <row r="845" spans="1:7" ht="12.75" x14ac:dyDescent="0.2">
      <c r="A845" s="3"/>
      <c r="B845" s="4"/>
      <c r="C845" s="3"/>
      <c r="D845" s="3"/>
      <c r="E845" s="3"/>
      <c r="G845" s="57"/>
    </row>
    <row r="846" spans="1:7" ht="12.75" x14ac:dyDescent="0.2">
      <c r="A846" s="3"/>
      <c r="B846" s="4"/>
      <c r="C846" s="3"/>
      <c r="D846" s="3"/>
      <c r="E846" s="3"/>
      <c r="G846" s="57"/>
    </row>
    <row r="847" spans="1:7" ht="12.75" x14ac:dyDescent="0.2">
      <c r="A847" s="3"/>
      <c r="B847" s="4"/>
      <c r="C847" s="3"/>
      <c r="D847" s="3"/>
      <c r="E847" s="3"/>
      <c r="G847" s="57"/>
    </row>
    <row r="848" spans="1:7" ht="12.75" x14ac:dyDescent="0.2">
      <c r="A848" s="3"/>
      <c r="B848" s="4"/>
      <c r="C848" s="3"/>
      <c r="D848" s="3"/>
      <c r="E848" s="3"/>
      <c r="G848" s="57"/>
    </row>
    <row r="849" spans="1:7" ht="12.75" x14ac:dyDescent="0.2">
      <c r="A849" s="3"/>
      <c r="B849" s="4"/>
      <c r="C849" s="3"/>
      <c r="D849" s="3"/>
      <c r="E849" s="3"/>
      <c r="G849" s="57"/>
    </row>
    <row r="850" spans="1:7" ht="12.75" x14ac:dyDescent="0.2">
      <c r="A850" s="3"/>
      <c r="B850" s="4"/>
      <c r="C850" s="3"/>
      <c r="D850" s="3"/>
      <c r="E850" s="3"/>
      <c r="G850" s="57"/>
    </row>
    <row r="851" spans="1:7" ht="12.75" x14ac:dyDescent="0.2">
      <c r="A851" s="3"/>
      <c r="B851" s="4"/>
      <c r="C851" s="3"/>
      <c r="D851" s="3"/>
      <c r="E851" s="3"/>
      <c r="G851" s="57"/>
    </row>
    <row r="852" spans="1:7" ht="12.75" x14ac:dyDescent="0.2">
      <c r="A852" s="3"/>
      <c r="B852" s="4"/>
      <c r="C852" s="3"/>
      <c r="D852" s="3"/>
      <c r="E852" s="3"/>
      <c r="G852" s="57"/>
    </row>
    <row r="853" spans="1:7" ht="12.75" x14ac:dyDescent="0.2">
      <c r="A853" s="3"/>
      <c r="B853" s="4"/>
      <c r="C853" s="3"/>
      <c r="D853" s="3"/>
      <c r="E853" s="3"/>
      <c r="G853" s="59"/>
    </row>
    <row r="854" spans="1:7" ht="12.75" x14ac:dyDescent="0.2">
      <c r="A854" s="3"/>
      <c r="B854" s="4"/>
      <c r="C854" s="3"/>
      <c r="D854" s="3"/>
      <c r="E854" s="3"/>
      <c r="G854" s="57"/>
    </row>
    <row r="855" spans="1:7" ht="12.75" x14ac:dyDescent="0.2">
      <c r="A855" s="3"/>
      <c r="B855" s="4"/>
      <c r="C855" s="3"/>
      <c r="D855" s="3"/>
      <c r="E855" s="3"/>
      <c r="G855" s="57"/>
    </row>
    <row r="856" spans="1:7" ht="12.75" x14ac:dyDescent="0.2">
      <c r="A856" s="3"/>
      <c r="B856" s="4"/>
      <c r="C856" s="3"/>
      <c r="D856" s="3"/>
      <c r="E856" s="3"/>
      <c r="G856" s="57"/>
    </row>
    <row r="857" spans="1:7" ht="12.75" x14ac:dyDescent="0.2">
      <c r="A857" s="3"/>
      <c r="B857" s="4"/>
      <c r="C857" s="3"/>
      <c r="D857" s="3"/>
      <c r="E857" s="3"/>
      <c r="G857" s="57"/>
    </row>
    <row r="858" spans="1:7" ht="12.75" x14ac:dyDescent="0.2">
      <c r="A858" s="3"/>
      <c r="B858" s="4"/>
      <c r="C858" s="3"/>
      <c r="D858" s="3"/>
      <c r="E858" s="3"/>
      <c r="G858" s="57"/>
    </row>
    <row r="859" spans="1:7" ht="12.75" x14ac:dyDescent="0.2">
      <c r="A859" s="3"/>
      <c r="B859" s="4"/>
      <c r="C859" s="3"/>
      <c r="D859" s="3"/>
      <c r="E859" s="3"/>
      <c r="G859" s="57"/>
    </row>
    <row r="860" spans="1:7" ht="12.75" x14ac:dyDescent="0.2">
      <c r="A860" s="3"/>
      <c r="B860" s="4"/>
      <c r="C860" s="3"/>
      <c r="D860" s="3"/>
      <c r="E860" s="3"/>
      <c r="G860" s="57"/>
    </row>
    <row r="861" spans="1:7" ht="12.75" x14ac:dyDescent="0.2">
      <c r="A861" s="3"/>
      <c r="B861" s="4"/>
      <c r="C861" s="3"/>
      <c r="D861" s="3"/>
      <c r="E861" s="3"/>
      <c r="G861" s="57"/>
    </row>
    <row r="862" spans="1:7" ht="12.75" x14ac:dyDescent="0.2">
      <c r="A862" s="3"/>
      <c r="B862" s="4"/>
      <c r="C862" s="3"/>
      <c r="D862" s="3"/>
      <c r="E862" s="3"/>
      <c r="G862" s="57"/>
    </row>
    <row r="863" spans="1:7" ht="12.75" x14ac:dyDescent="0.2">
      <c r="A863" s="3"/>
      <c r="B863" s="4"/>
      <c r="C863" s="3"/>
      <c r="D863" s="3"/>
      <c r="E863" s="3"/>
      <c r="G863" s="57"/>
    </row>
    <row r="864" spans="1:7" ht="12.75" x14ac:dyDescent="0.2">
      <c r="A864" s="3"/>
      <c r="B864" s="4"/>
      <c r="C864" s="3"/>
      <c r="D864" s="3"/>
      <c r="E864" s="3"/>
      <c r="G864" s="57"/>
    </row>
    <row r="865" spans="1:7" ht="12.75" x14ac:dyDescent="0.2">
      <c r="A865" s="3"/>
      <c r="B865" s="4"/>
      <c r="C865" s="3"/>
      <c r="D865" s="3"/>
      <c r="E865" s="3"/>
      <c r="G865" s="57"/>
    </row>
    <row r="866" spans="1:7" ht="12.75" x14ac:dyDescent="0.2">
      <c r="A866" s="3"/>
      <c r="B866" s="4"/>
      <c r="C866" s="3"/>
      <c r="D866" s="3"/>
      <c r="E866" s="3"/>
      <c r="G866" s="57"/>
    </row>
    <row r="867" spans="1:7" ht="12.75" x14ac:dyDescent="0.2">
      <c r="A867" s="3"/>
      <c r="B867" s="4"/>
      <c r="C867" s="3"/>
      <c r="D867" s="3"/>
      <c r="E867" s="3"/>
      <c r="G867" s="57"/>
    </row>
    <row r="868" spans="1:7" ht="12.75" x14ac:dyDescent="0.2">
      <c r="A868" s="3"/>
      <c r="B868" s="4"/>
      <c r="C868" s="3"/>
      <c r="D868" s="3"/>
      <c r="E868" s="3"/>
      <c r="G868" s="57"/>
    </row>
    <row r="869" spans="1:7" ht="12.75" x14ac:dyDescent="0.2">
      <c r="A869" s="3"/>
      <c r="B869" s="4"/>
      <c r="C869" s="3"/>
      <c r="D869" s="3"/>
      <c r="E869" s="3"/>
      <c r="G869" s="57"/>
    </row>
    <row r="870" spans="1:7" ht="12.75" x14ac:dyDescent="0.2">
      <c r="A870" s="3"/>
      <c r="B870" s="4"/>
      <c r="C870" s="3"/>
      <c r="D870" s="3"/>
      <c r="E870" s="3"/>
      <c r="G870" s="57"/>
    </row>
    <row r="871" spans="1:7" ht="12.75" x14ac:dyDescent="0.2">
      <c r="A871" s="3"/>
      <c r="B871" s="4"/>
      <c r="C871" s="3"/>
      <c r="D871" s="3"/>
      <c r="E871" s="3"/>
      <c r="G871" s="57"/>
    </row>
    <row r="872" spans="1:7" ht="12.75" x14ac:dyDescent="0.2">
      <c r="A872" s="3"/>
      <c r="B872" s="4"/>
      <c r="C872" s="3"/>
      <c r="D872" s="3"/>
      <c r="E872" s="3"/>
      <c r="G872" s="57"/>
    </row>
  </sheetData>
  <autoFilter ref="A5:E709" xr:uid="{00000000-0009-0000-0000-00000E000000}">
    <filterColumn colId="1">
      <filters>
        <filter val="GENERAL PICO"/>
      </filters>
    </filterColumn>
  </autoFilter>
  <mergeCells count="96">
    <mergeCell ref="G398:G405"/>
    <mergeCell ref="G406:G413"/>
    <mergeCell ref="G414:G421"/>
    <mergeCell ref="G422:G429"/>
    <mergeCell ref="G430:G437"/>
    <mergeCell ref="G438:G445"/>
    <mergeCell ref="G446:G453"/>
    <mergeCell ref="G454:G461"/>
    <mergeCell ref="G462:G469"/>
    <mergeCell ref="G470:G477"/>
    <mergeCell ref="G478:G485"/>
    <mergeCell ref="G486:G493"/>
    <mergeCell ref="G494:G501"/>
    <mergeCell ref="G502:G509"/>
    <mergeCell ref="G510:G517"/>
    <mergeCell ref="G518:G525"/>
    <mergeCell ref="G526:G533"/>
    <mergeCell ref="G534:G541"/>
    <mergeCell ref="G542:G549"/>
    <mergeCell ref="G550:G557"/>
    <mergeCell ref="G558:G565"/>
    <mergeCell ref="G566:G573"/>
    <mergeCell ref="G574:G581"/>
    <mergeCell ref="G582:G589"/>
    <mergeCell ref="G590:G597"/>
    <mergeCell ref="G598:G605"/>
    <mergeCell ref="G606:G613"/>
    <mergeCell ref="G614:G621"/>
    <mergeCell ref="G622:G629"/>
    <mergeCell ref="G630:G637"/>
    <mergeCell ref="G638:G645"/>
    <mergeCell ref="G646:G653"/>
    <mergeCell ref="G654:G661"/>
    <mergeCell ref="G662:G669"/>
    <mergeCell ref="G670:G677"/>
    <mergeCell ref="G773:G792"/>
    <mergeCell ref="G793:G812"/>
    <mergeCell ref="G813:G832"/>
    <mergeCell ref="G833:G852"/>
    <mergeCell ref="G853:G872"/>
    <mergeCell ref="G678:G685"/>
    <mergeCell ref="G686:G693"/>
    <mergeCell ref="G694:G701"/>
    <mergeCell ref="G702:G709"/>
    <mergeCell ref="G713:G732"/>
    <mergeCell ref="G733:G752"/>
    <mergeCell ref="G753:G772"/>
    <mergeCell ref="G6:G13"/>
    <mergeCell ref="G14:G21"/>
    <mergeCell ref="G22:G29"/>
    <mergeCell ref="G30:G37"/>
    <mergeCell ref="G38:G45"/>
    <mergeCell ref="G46:G53"/>
    <mergeCell ref="G54:G61"/>
    <mergeCell ref="G62:G69"/>
    <mergeCell ref="G70:G77"/>
    <mergeCell ref="G78:G85"/>
    <mergeCell ref="G86:G93"/>
    <mergeCell ref="G94:G101"/>
    <mergeCell ref="G102:G109"/>
    <mergeCell ref="G110:G117"/>
    <mergeCell ref="G118:G125"/>
    <mergeCell ref="G126:G133"/>
    <mergeCell ref="G134:G141"/>
    <mergeCell ref="G142:G149"/>
    <mergeCell ref="G150:G157"/>
    <mergeCell ref="G158:G165"/>
    <mergeCell ref="G166:G173"/>
    <mergeCell ref="G174:G181"/>
    <mergeCell ref="G182:G189"/>
    <mergeCell ref="G190:G197"/>
    <mergeCell ref="G198:G205"/>
    <mergeCell ref="G206:G213"/>
    <mergeCell ref="G214:G221"/>
    <mergeCell ref="G222:G229"/>
    <mergeCell ref="G230:G237"/>
    <mergeCell ref="G238:G245"/>
    <mergeCell ref="G246:G253"/>
    <mergeCell ref="G254:G261"/>
    <mergeCell ref="G262:G269"/>
    <mergeCell ref="G270:G277"/>
    <mergeCell ref="G278:G285"/>
    <mergeCell ref="G286:G293"/>
    <mergeCell ref="G294:G301"/>
    <mergeCell ref="G302:G309"/>
    <mergeCell ref="G310:G317"/>
    <mergeCell ref="G318:G325"/>
    <mergeCell ref="G326:G333"/>
    <mergeCell ref="G334:G341"/>
    <mergeCell ref="G342:G349"/>
    <mergeCell ref="G350:G357"/>
    <mergeCell ref="G358:G365"/>
    <mergeCell ref="G366:G373"/>
    <mergeCell ref="G374:G381"/>
    <mergeCell ref="G382:G389"/>
    <mergeCell ref="G390:G397"/>
  </mergeCells>
  <dataValidations disablePrompts="1" count="2">
    <dataValidation type="list" allowBlank="1" sqref="C1:C992" xr:uid="{00000000-0002-0000-0E00-000000000000}">
      <formula1>$I$4:$I$11</formula1>
    </dataValidation>
    <dataValidation type="list" allowBlank="1" sqref="D1:D992" xr:uid="{00000000-0002-0000-0E00-000001000000}">
      <formula1>$J$4:$J$85</formula1>
    </dataValidation>
  </dataValidations>
  <pageMargins left="0" right="0" top="0" bottom="0" header="0" footer="0"/>
  <pageSetup paperSize="5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E00-000002000000}">
          <x14:formula1>
            <xm:f>'Copia de Localidades'!$A$4:$A$102</xm:f>
          </x14:formula1>
          <xm:sqref>B1:B992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BF76-9D45-4A2D-9424-F02B4E2AF9F6}">
  <dimension ref="A1:Y84"/>
  <sheetViews>
    <sheetView tabSelected="1" topLeftCell="A67" workbookViewId="0">
      <selection activeCell="A79" sqref="A79:E84"/>
    </sheetView>
  </sheetViews>
  <sheetFormatPr baseColWidth="10" defaultRowHeight="18" customHeight="1" x14ac:dyDescent="0.2"/>
  <cols>
    <col min="1" max="1" width="47.5703125" bestFit="1" customWidth="1"/>
    <col min="2" max="2" width="27.28515625" bestFit="1" customWidth="1"/>
    <col min="3" max="3" width="32" bestFit="1" customWidth="1"/>
    <col min="4" max="4" width="16" customWidth="1"/>
    <col min="5" max="5" width="20.42578125" customWidth="1"/>
    <col min="6" max="6" width="10.28515625" customWidth="1"/>
    <col min="7" max="7" width="18" bestFit="1" customWidth="1"/>
    <col min="8" max="8" width="8" customWidth="1"/>
    <col min="10" max="11" width="11.5703125" bestFit="1" customWidth="1"/>
    <col min="12" max="12" width="10.42578125" customWidth="1"/>
    <col min="13" max="13" width="11.5703125" style="55" customWidth="1"/>
    <col min="14" max="14" width="7.42578125" style="55" customWidth="1"/>
    <col min="15" max="16" width="11.5703125" style="55" customWidth="1"/>
    <col min="17" max="17" width="9" style="55" customWidth="1"/>
    <col min="20" max="23" width="11.5703125" bestFit="1" customWidth="1"/>
  </cols>
  <sheetData>
    <row r="1" spans="1:25" s="55" customFormat="1" ht="18" customHeight="1" x14ac:dyDescent="0.2">
      <c r="A1" s="124" t="s">
        <v>430</v>
      </c>
      <c r="B1" s="124"/>
      <c r="C1" s="124"/>
      <c r="D1" s="124"/>
      <c r="E1" s="124"/>
      <c r="F1" s="124"/>
      <c r="G1" s="124" t="s">
        <v>458</v>
      </c>
      <c r="H1" s="124"/>
      <c r="I1" s="124"/>
      <c r="J1" s="124"/>
      <c r="K1" s="124"/>
      <c r="L1" s="124"/>
      <c r="M1" s="123">
        <v>2019</v>
      </c>
      <c r="N1" s="123"/>
      <c r="O1" s="123"/>
      <c r="P1" s="123"/>
      <c r="Q1" s="123"/>
      <c r="S1" s="124" t="s">
        <v>451</v>
      </c>
      <c r="T1" s="124"/>
      <c r="U1" s="124"/>
      <c r="V1" s="124"/>
      <c r="W1" s="124"/>
    </row>
    <row r="2" spans="1:25" ht="18" customHeight="1" x14ac:dyDescent="0.25">
      <c r="A2" s="144" t="s">
        <v>40</v>
      </c>
      <c r="B2" s="145" t="s">
        <v>125</v>
      </c>
      <c r="C2" s="145" t="s">
        <v>3</v>
      </c>
      <c r="D2" s="146">
        <v>29146</v>
      </c>
      <c r="E2" s="145"/>
      <c r="F2" s="133">
        <v>90619</v>
      </c>
      <c r="G2" s="147" t="s">
        <v>40</v>
      </c>
      <c r="H2" s="148" t="s">
        <v>125</v>
      </c>
      <c r="I2" s="148" t="s">
        <v>3</v>
      </c>
      <c r="J2" s="148">
        <v>22866</v>
      </c>
      <c r="K2" s="149"/>
      <c r="L2" s="137">
        <v>90619</v>
      </c>
      <c r="M2" s="147" t="s">
        <v>40</v>
      </c>
      <c r="N2" s="148" t="s">
        <v>162</v>
      </c>
      <c r="O2" s="148" t="s">
        <v>3</v>
      </c>
      <c r="P2" s="148">
        <v>33285</v>
      </c>
      <c r="Q2" s="157">
        <f>SUM(P2:P11)</f>
        <v>65565</v>
      </c>
      <c r="R2" s="106"/>
      <c r="S2" s="121" t="s">
        <v>431</v>
      </c>
      <c r="T2" s="122"/>
      <c r="U2" s="122"/>
      <c r="V2" s="122"/>
      <c r="W2" s="122"/>
    </row>
    <row r="3" spans="1:25" ht="18" customHeight="1" x14ac:dyDescent="0.25">
      <c r="A3" s="144" t="s">
        <v>40</v>
      </c>
      <c r="B3" s="145" t="s">
        <v>125</v>
      </c>
      <c r="C3" s="145" t="s">
        <v>16</v>
      </c>
      <c r="D3" s="146">
        <v>2051</v>
      </c>
      <c r="E3" s="145"/>
      <c r="F3" s="138"/>
      <c r="G3" s="147" t="s">
        <v>40</v>
      </c>
      <c r="H3" s="148" t="s">
        <v>125</v>
      </c>
      <c r="I3" s="148" t="s">
        <v>16</v>
      </c>
      <c r="J3" s="148">
        <v>2397</v>
      </c>
      <c r="K3" s="149"/>
      <c r="L3" s="138"/>
      <c r="M3" s="147" t="s">
        <v>40</v>
      </c>
      <c r="N3" s="148" t="s">
        <v>162</v>
      </c>
      <c r="O3" s="148" t="s">
        <v>128</v>
      </c>
      <c r="P3" s="148">
        <v>16400</v>
      </c>
      <c r="Q3" s="158"/>
      <c r="R3" s="106"/>
      <c r="S3" s="108" t="s">
        <v>432</v>
      </c>
      <c r="T3" s="108" t="s">
        <v>433</v>
      </c>
      <c r="U3" s="108" t="s">
        <v>434</v>
      </c>
      <c r="V3" s="108" t="s">
        <v>435</v>
      </c>
      <c r="W3" s="108" t="s">
        <v>436</v>
      </c>
    </row>
    <row r="4" spans="1:25" ht="18" customHeight="1" x14ac:dyDescent="0.25">
      <c r="A4" s="144" t="s">
        <v>40</v>
      </c>
      <c r="B4" s="145" t="s">
        <v>125</v>
      </c>
      <c r="C4" s="145" t="s">
        <v>129</v>
      </c>
      <c r="D4" s="146">
        <v>2160</v>
      </c>
      <c r="E4" s="145"/>
      <c r="F4" s="138"/>
      <c r="G4" s="147" t="s">
        <v>40</v>
      </c>
      <c r="H4" s="148" t="s">
        <v>125</v>
      </c>
      <c r="I4" s="148" t="s">
        <v>129</v>
      </c>
      <c r="J4" s="148">
        <v>1989</v>
      </c>
      <c r="K4" s="149"/>
      <c r="L4" s="138"/>
      <c r="M4" s="147" t="s">
        <v>40</v>
      </c>
      <c r="N4" s="148" t="s">
        <v>162</v>
      </c>
      <c r="O4" s="148" t="s">
        <v>133</v>
      </c>
      <c r="P4" s="148">
        <v>7012</v>
      </c>
      <c r="Q4" s="158"/>
      <c r="R4" s="106"/>
      <c r="S4" s="109" t="s">
        <v>437</v>
      </c>
      <c r="T4" s="110">
        <v>26837</v>
      </c>
      <c r="U4" s="111">
        <v>0.45400000000000001</v>
      </c>
      <c r="V4" s="110">
        <v>26751</v>
      </c>
      <c r="W4" s="111">
        <v>0.45300000000000001</v>
      </c>
    </row>
    <row r="5" spans="1:25" ht="18" customHeight="1" x14ac:dyDescent="0.2">
      <c r="A5" s="144" t="s">
        <v>40</v>
      </c>
      <c r="B5" s="145" t="s">
        <v>125</v>
      </c>
      <c r="C5" s="145" t="s">
        <v>132</v>
      </c>
      <c r="D5" s="146">
        <v>2075</v>
      </c>
      <c r="E5" s="145"/>
      <c r="F5" s="138"/>
      <c r="G5" s="147" t="s">
        <v>40</v>
      </c>
      <c r="H5" s="148" t="s">
        <v>125</v>
      </c>
      <c r="I5" s="148" t="s">
        <v>132</v>
      </c>
      <c r="J5" s="148">
        <v>2448</v>
      </c>
      <c r="K5" s="149"/>
      <c r="L5" s="138"/>
      <c r="M5" s="147" t="s">
        <v>40</v>
      </c>
      <c r="N5" s="148" t="s">
        <v>162</v>
      </c>
      <c r="O5" s="148" t="s">
        <v>149</v>
      </c>
      <c r="P5" s="148">
        <v>2216</v>
      </c>
      <c r="Q5" s="158"/>
      <c r="R5" s="106"/>
      <c r="S5" s="112"/>
      <c r="T5" s="112"/>
      <c r="U5" s="112"/>
      <c r="V5" s="112"/>
      <c r="W5" s="112"/>
    </row>
    <row r="6" spans="1:25" ht="18" customHeight="1" x14ac:dyDescent="0.25">
      <c r="A6" s="144" t="s">
        <v>40</v>
      </c>
      <c r="B6" s="145" t="s">
        <v>125</v>
      </c>
      <c r="C6" s="145" t="s">
        <v>134</v>
      </c>
      <c r="D6" s="146">
        <v>1794</v>
      </c>
      <c r="E6" s="145"/>
      <c r="F6" s="138"/>
      <c r="G6" s="147" t="s">
        <v>40</v>
      </c>
      <c r="H6" s="148" t="s">
        <v>125</v>
      </c>
      <c r="I6" s="148" t="s">
        <v>134</v>
      </c>
      <c r="J6" s="148">
        <v>1479</v>
      </c>
      <c r="K6" s="149"/>
      <c r="L6" s="138"/>
      <c r="M6" s="147" t="s">
        <v>40</v>
      </c>
      <c r="N6" s="148" t="s">
        <v>162</v>
      </c>
      <c r="O6" s="148" t="s">
        <v>14</v>
      </c>
      <c r="P6" s="148">
        <v>1706</v>
      </c>
      <c r="Q6" s="158"/>
      <c r="R6" s="106"/>
      <c r="S6" s="109" t="s">
        <v>438</v>
      </c>
      <c r="T6" s="110">
        <v>24519</v>
      </c>
      <c r="U6" s="111">
        <v>0.41499999999999998</v>
      </c>
      <c r="V6" s="110">
        <v>24632</v>
      </c>
      <c r="W6" s="111">
        <v>0.41699999999999998</v>
      </c>
    </row>
    <row r="7" spans="1:25" ht="18" customHeight="1" x14ac:dyDescent="0.2">
      <c r="A7" s="144" t="s">
        <v>40</v>
      </c>
      <c r="B7" s="145" t="s">
        <v>125</v>
      </c>
      <c r="C7" s="145" t="s">
        <v>126</v>
      </c>
      <c r="D7" s="146">
        <v>28965</v>
      </c>
      <c r="E7" s="145"/>
      <c r="F7" s="138"/>
      <c r="G7" s="147" t="s">
        <v>40</v>
      </c>
      <c r="H7" s="148" t="s">
        <v>125</v>
      </c>
      <c r="I7" s="148" t="s">
        <v>152</v>
      </c>
      <c r="J7" s="148">
        <v>30769</v>
      </c>
      <c r="K7" s="149"/>
      <c r="L7" s="138"/>
      <c r="M7" s="147" t="s">
        <v>40</v>
      </c>
      <c r="N7" s="148" t="s">
        <v>162</v>
      </c>
      <c r="O7" s="148" t="s">
        <v>148</v>
      </c>
      <c r="P7" s="148">
        <v>1655</v>
      </c>
      <c r="Q7" s="158"/>
      <c r="R7" s="106"/>
      <c r="S7" s="112"/>
      <c r="T7" s="112"/>
      <c r="U7" s="112"/>
      <c r="V7" s="112"/>
      <c r="W7" s="112"/>
    </row>
    <row r="8" spans="1:25" ht="18" customHeight="1" x14ac:dyDescent="0.25">
      <c r="A8" s="144" t="s">
        <v>40</v>
      </c>
      <c r="B8" s="145" t="s">
        <v>125</v>
      </c>
      <c r="C8" s="145" t="s">
        <v>138</v>
      </c>
      <c r="D8" s="146">
        <v>1458</v>
      </c>
      <c r="E8" s="145"/>
      <c r="F8" s="138"/>
      <c r="G8" s="147" t="s">
        <v>40</v>
      </c>
      <c r="H8" s="148" t="s">
        <v>125</v>
      </c>
      <c r="I8" s="148" t="s">
        <v>138</v>
      </c>
      <c r="J8" s="148">
        <v>2428</v>
      </c>
      <c r="K8" s="149"/>
      <c r="L8" s="138"/>
      <c r="M8" s="147" t="s">
        <v>40</v>
      </c>
      <c r="N8" s="148" t="s">
        <v>162</v>
      </c>
      <c r="O8" s="148" t="s">
        <v>139</v>
      </c>
      <c r="P8" s="148">
        <v>1144</v>
      </c>
      <c r="Q8" s="158"/>
      <c r="R8" s="106"/>
      <c r="S8" s="109" t="s">
        <v>439</v>
      </c>
      <c r="T8" s="113">
        <v>7702</v>
      </c>
      <c r="U8" s="111">
        <v>0.13</v>
      </c>
      <c r="V8" s="110">
        <v>7714</v>
      </c>
      <c r="W8" s="111">
        <v>0.13100000000000001</v>
      </c>
    </row>
    <row r="9" spans="1:25" ht="18" customHeight="1" x14ac:dyDescent="0.25">
      <c r="A9" s="144" t="s">
        <v>40</v>
      </c>
      <c r="B9" s="145" t="s">
        <v>125</v>
      </c>
      <c r="C9" s="145" t="s">
        <v>14</v>
      </c>
      <c r="D9" s="146">
        <v>540</v>
      </c>
      <c r="E9" s="151">
        <v>68264</v>
      </c>
      <c r="F9" s="138"/>
      <c r="G9" s="147" t="s">
        <v>40</v>
      </c>
      <c r="H9" s="148" t="s">
        <v>125</v>
      </c>
      <c r="I9" s="148" t="s">
        <v>14</v>
      </c>
      <c r="J9" s="148">
        <v>878</v>
      </c>
      <c r="K9" s="152">
        <f>SUM(J2:J9)</f>
        <v>65254</v>
      </c>
      <c r="L9" s="138"/>
      <c r="M9" s="147" t="s">
        <v>40</v>
      </c>
      <c r="N9" s="148" t="s">
        <v>162</v>
      </c>
      <c r="O9" s="148" t="s">
        <v>138</v>
      </c>
      <c r="P9" s="148">
        <v>801</v>
      </c>
      <c r="Q9" s="158"/>
      <c r="R9" s="106"/>
      <c r="S9" s="117" t="s">
        <v>350</v>
      </c>
      <c r="T9" s="116">
        <f>SUM(T4:T8)</f>
        <v>59058</v>
      </c>
      <c r="U9" s="112"/>
      <c r="V9" s="112"/>
      <c r="W9" s="112"/>
    </row>
    <row r="10" spans="1:25" ht="18" customHeight="1" x14ac:dyDescent="0.25">
      <c r="A10" s="130" t="s">
        <v>84</v>
      </c>
      <c r="B10" s="131" t="s">
        <v>125</v>
      </c>
      <c r="C10" s="131" t="s">
        <v>3</v>
      </c>
      <c r="D10" s="132">
        <v>16967</v>
      </c>
      <c r="E10" s="131"/>
      <c r="F10" s="133">
        <v>50143</v>
      </c>
      <c r="G10" s="134" t="s">
        <v>84</v>
      </c>
      <c r="H10" s="135" t="s">
        <v>125</v>
      </c>
      <c r="I10" s="135" t="s">
        <v>3</v>
      </c>
      <c r="J10" s="135">
        <v>11755</v>
      </c>
      <c r="K10" s="136"/>
      <c r="L10" s="137">
        <v>50143</v>
      </c>
      <c r="M10" s="147" t="s">
        <v>40</v>
      </c>
      <c r="N10" s="148" t="s">
        <v>162</v>
      </c>
      <c r="O10" s="148" t="s">
        <v>145</v>
      </c>
      <c r="P10" s="148">
        <v>743</v>
      </c>
      <c r="Q10" s="158"/>
      <c r="R10" s="106"/>
      <c r="S10" s="114"/>
      <c r="T10" s="107"/>
      <c r="U10" s="107"/>
      <c r="V10" s="107"/>
      <c r="W10" s="107"/>
    </row>
    <row r="11" spans="1:25" ht="18" customHeight="1" x14ac:dyDescent="0.25">
      <c r="A11" s="130" t="s">
        <v>84</v>
      </c>
      <c r="B11" s="131" t="s">
        <v>125</v>
      </c>
      <c r="C11" s="131" t="s">
        <v>16</v>
      </c>
      <c r="D11" s="132">
        <v>538</v>
      </c>
      <c r="E11" s="131"/>
      <c r="F11" s="138"/>
      <c r="G11" s="134" t="s">
        <v>84</v>
      </c>
      <c r="H11" s="135" t="s">
        <v>125</v>
      </c>
      <c r="I11" s="135" t="s">
        <v>16</v>
      </c>
      <c r="J11" s="135">
        <v>675</v>
      </c>
      <c r="K11" s="136"/>
      <c r="L11" s="138"/>
      <c r="M11" s="147" t="s">
        <v>40</v>
      </c>
      <c r="N11" s="148" t="s">
        <v>162</v>
      </c>
      <c r="O11" s="148" t="s">
        <v>135</v>
      </c>
      <c r="P11" s="148">
        <v>603</v>
      </c>
      <c r="Q11" s="159"/>
      <c r="R11" s="106"/>
      <c r="S11" s="121" t="s">
        <v>440</v>
      </c>
      <c r="T11" s="122"/>
      <c r="U11" s="122"/>
      <c r="V11" s="122"/>
      <c r="W11" s="122"/>
    </row>
    <row r="12" spans="1:25" ht="18" customHeight="1" x14ac:dyDescent="0.25">
      <c r="A12" s="130" t="s">
        <v>84</v>
      </c>
      <c r="B12" s="131" t="s">
        <v>125</v>
      </c>
      <c r="C12" s="131" t="s">
        <v>129</v>
      </c>
      <c r="D12" s="132">
        <v>486</v>
      </c>
      <c r="E12" s="131"/>
      <c r="F12" s="138"/>
      <c r="G12" s="134" t="s">
        <v>84</v>
      </c>
      <c r="H12" s="135" t="s">
        <v>125</v>
      </c>
      <c r="I12" s="135" t="s">
        <v>129</v>
      </c>
      <c r="J12" s="135">
        <v>518</v>
      </c>
      <c r="K12" s="136"/>
      <c r="L12" s="138"/>
      <c r="M12" s="134" t="s">
        <v>84</v>
      </c>
      <c r="N12" s="135" t="s">
        <v>162</v>
      </c>
      <c r="O12" s="135" t="s">
        <v>3</v>
      </c>
      <c r="P12" s="135">
        <v>18299</v>
      </c>
      <c r="Q12" s="154">
        <f>SUM(P12:P21)</f>
        <v>38282</v>
      </c>
      <c r="R12" s="106"/>
      <c r="S12" s="108" t="s">
        <v>432</v>
      </c>
      <c r="T12" s="108" t="s">
        <v>433</v>
      </c>
      <c r="U12" s="108" t="s">
        <v>441</v>
      </c>
      <c r="V12" s="108" t="s">
        <v>435</v>
      </c>
      <c r="W12" s="108" t="s">
        <v>442</v>
      </c>
      <c r="Y12" s="73"/>
    </row>
    <row r="13" spans="1:25" ht="18" customHeight="1" x14ac:dyDescent="0.25">
      <c r="A13" s="130" t="s">
        <v>84</v>
      </c>
      <c r="B13" s="131" t="s">
        <v>125</v>
      </c>
      <c r="C13" s="131" t="s">
        <v>132</v>
      </c>
      <c r="D13" s="132">
        <v>2915</v>
      </c>
      <c r="E13" s="131"/>
      <c r="F13" s="138"/>
      <c r="G13" s="134" t="s">
        <v>84</v>
      </c>
      <c r="H13" s="135" t="s">
        <v>125</v>
      </c>
      <c r="I13" s="135" t="s">
        <v>132</v>
      </c>
      <c r="J13" s="135">
        <v>3294</v>
      </c>
      <c r="K13" s="136"/>
      <c r="L13" s="138"/>
      <c r="M13" s="134" t="s">
        <v>84</v>
      </c>
      <c r="N13" s="135" t="s">
        <v>162</v>
      </c>
      <c r="O13" s="135" t="s">
        <v>128</v>
      </c>
      <c r="P13" s="135">
        <v>11117</v>
      </c>
      <c r="Q13" s="155"/>
      <c r="R13" s="106"/>
      <c r="S13" s="109" t="s">
        <v>443</v>
      </c>
      <c r="T13" s="110">
        <v>18739</v>
      </c>
      <c r="U13" s="111">
        <v>0.54400000000000004</v>
      </c>
      <c r="V13" s="110">
        <v>18714</v>
      </c>
      <c r="W13" s="111">
        <v>0.54400000000000004</v>
      </c>
    </row>
    <row r="14" spans="1:25" ht="18" customHeight="1" x14ac:dyDescent="0.2">
      <c r="A14" s="130" t="s">
        <v>84</v>
      </c>
      <c r="B14" s="131" t="s">
        <v>125</v>
      </c>
      <c r="C14" s="131" t="s">
        <v>134</v>
      </c>
      <c r="D14" s="132">
        <v>764</v>
      </c>
      <c r="E14" s="131"/>
      <c r="F14" s="138"/>
      <c r="G14" s="134" t="s">
        <v>84</v>
      </c>
      <c r="H14" s="135" t="s">
        <v>125</v>
      </c>
      <c r="I14" s="135" t="s">
        <v>134</v>
      </c>
      <c r="J14" s="135">
        <v>851</v>
      </c>
      <c r="K14" s="136"/>
      <c r="L14" s="138"/>
      <c r="M14" s="134" t="s">
        <v>84</v>
      </c>
      <c r="N14" s="135" t="s">
        <v>162</v>
      </c>
      <c r="O14" s="135" t="s">
        <v>149</v>
      </c>
      <c r="P14" s="135">
        <v>2022</v>
      </c>
      <c r="Q14" s="155"/>
      <c r="R14" s="106"/>
      <c r="S14" s="112"/>
      <c r="T14" s="112"/>
      <c r="U14" s="112"/>
      <c r="V14" s="112"/>
      <c r="W14" s="112"/>
    </row>
    <row r="15" spans="1:25" ht="18" customHeight="1" x14ac:dyDescent="0.25">
      <c r="A15" s="130" t="s">
        <v>84</v>
      </c>
      <c r="B15" s="131" t="s">
        <v>125</v>
      </c>
      <c r="C15" s="131" t="s">
        <v>126</v>
      </c>
      <c r="D15" s="132">
        <v>16986</v>
      </c>
      <c r="E15" s="131"/>
      <c r="F15" s="138"/>
      <c r="G15" s="134" t="s">
        <v>84</v>
      </c>
      <c r="H15" s="135" t="s">
        <v>125</v>
      </c>
      <c r="I15" s="135" t="s">
        <v>152</v>
      </c>
      <c r="J15" s="135">
        <v>18453</v>
      </c>
      <c r="K15" s="136"/>
      <c r="L15" s="138"/>
      <c r="M15" s="134" t="s">
        <v>84</v>
      </c>
      <c r="N15" s="135" t="s">
        <v>162</v>
      </c>
      <c r="O15" s="135" t="s">
        <v>14</v>
      </c>
      <c r="P15" s="135">
        <v>1981</v>
      </c>
      <c r="Q15" s="155"/>
      <c r="R15" s="106"/>
      <c r="S15" s="109" t="s">
        <v>444</v>
      </c>
      <c r="T15" s="110">
        <v>11694</v>
      </c>
      <c r="U15" s="111">
        <v>0.33900000000000002</v>
      </c>
      <c r="V15" s="110">
        <v>11681</v>
      </c>
      <c r="W15" s="111">
        <v>0.34</v>
      </c>
    </row>
    <row r="16" spans="1:25" ht="18" customHeight="1" x14ac:dyDescent="0.2">
      <c r="A16" s="130" t="s">
        <v>84</v>
      </c>
      <c r="B16" s="131" t="s">
        <v>125</v>
      </c>
      <c r="C16" s="131" t="s">
        <v>138</v>
      </c>
      <c r="D16" s="132">
        <v>797</v>
      </c>
      <c r="E16" s="131"/>
      <c r="F16" s="138"/>
      <c r="G16" s="134" t="s">
        <v>84</v>
      </c>
      <c r="H16" s="135" t="s">
        <v>125</v>
      </c>
      <c r="I16" s="135" t="s">
        <v>138</v>
      </c>
      <c r="J16" s="135">
        <v>1499</v>
      </c>
      <c r="K16" s="136"/>
      <c r="L16" s="138"/>
      <c r="M16" s="134" t="s">
        <v>84</v>
      </c>
      <c r="N16" s="135" t="s">
        <v>162</v>
      </c>
      <c r="O16" s="135" t="s">
        <v>133</v>
      </c>
      <c r="P16" s="135">
        <v>1949</v>
      </c>
      <c r="Q16" s="155"/>
      <c r="R16" s="106"/>
      <c r="S16" s="112"/>
      <c r="T16" s="112"/>
      <c r="U16" s="112"/>
      <c r="V16" s="112"/>
      <c r="W16" s="112"/>
    </row>
    <row r="17" spans="1:23" ht="18" customHeight="1" x14ac:dyDescent="0.25">
      <c r="A17" s="130" t="s">
        <v>84</v>
      </c>
      <c r="B17" s="131" t="s">
        <v>125</v>
      </c>
      <c r="C17" s="131" t="s">
        <v>14</v>
      </c>
      <c r="D17" s="132">
        <v>301</v>
      </c>
      <c r="E17" s="150">
        <v>39754</v>
      </c>
      <c r="F17" s="138"/>
      <c r="G17" s="134" t="s">
        <v>84</v>
      </c>
      <c r="H17" s="135" t="s">
        <v>125</v>
      </c>
      <c r="I17" s="135" t="s">
        <v>14</v>
      </c>
      <c r="J17" s="135">
        <v>638</v>
      </c>
      <c r="K17" s="153">
        <f>SUM(J10:J17)</f>
        <v>37683</v>
      </c>
      <c r="L17" s="138"/>
      <c r="M17" s="134" t="s">
        <v>84</v>
      </c>
      <c r="N17" s="135" t="s">
        <v>162</v>
      </c>
      <c r="O17" s="135" t="s">
        <v>135</v>
      </c>
      <c r="P17" s="135">
        <v>713</v>
      </c>
      <c r="Q17" s="155"/>
      <c r="R17" s="106"/>
      <c r="S17" s="109" t="s">
        <v>445</v>
      </c>
      <c r="T17" s="110">
        <v>4022</v>
      </c>
      <c r="U17" s="111">
        <v>0.11700000000000001</v>
      </c>
      <c r="V17" s="110">
        <v>3977</v>
      </c>
      <c r="W17" s="115" t="s">
        <v>446</v>
      </c>
    </row>
    <row r="18" spans="1:23" ht="18" customHeight="1" x14ac:dyDescent="0.25">
      <c r="A18" s="144" t="s">
        <v>113</v>
      </c>
      <c r="B18" s="145" t="s">
        <v>125</v>
      </c>
      <c r="C18" s="145" t="s">
        <v>3</v>
      </c>
      <c r="D18" s="146">
        <v>3096</v>
      </c>
      <c r="E18" s="145"/>
      <c r="F18" s="133">
        <v>11653</v>
      </c>
      <c r="G18" s="147" t="s">
        <v>113</v>
      </c>
      <c r="H18" s="148" t="s">
        <v>125</v>
      </c>
      <c r="I18" s="148" t="s">
        <v>3</v>
      </c>
      <c r="J18" s="148">
        <v>2319</v>
      </c>
      <c r="K18" s="149"/>
      <c r="L18" s="137">
        <v>11653</v>
      </c>
      <c r="M18" s="134" t="s">
        <v>84</v>
      </c>
      <c r="N18" s="135" t="s">
        <v>162</v>
      </c>
      <c r="O18" s="135" t="s">
        <v>139</v>
      </c>
      <c r="P18" s="135">
        <v>687</v>
      </c>
      <c r="Q18" s="155"/>
      <c r="R18" s="106"/>
      <c r="S18" s="118" t="s">
        <v>350</v>
      </c>
      <c r="T18" s="119">
        <f>SUM(T13:T17)</f>
        <v>34455</v>
      </c>
      <c r="U18" s="120"/>
      <c r="V18" s="120"/>
      <c r="W18" s="120"/>
    </row>
    <row r="19" spans="1:23" ht="18" customHeight="1" x14ac:dyDescent="0.25">
      <c r="A19" s="144" t="s">
        <v>113</v>
      </c>
      <c r="B19" s="145" t="s">
        <v>125</v>
      </c>
      <c r="C19" s="145" t="s">
        <v>16</v>
      </c>
      <c r="D19" s="146">
        <v>107</v>
      </c>
      <c r="E19" s="145"/>
      <c r="F19" s="138"/>
      <c r="G19" s="147" t="s">
        <v>113</v>
      </c>
      <c r="H19" s="148" t="s">
        <v>125</v>
      </c>
      <c r="I19" s="148" t="s">
        <v>16</v>
      </c>
      <c r="J19" s="148">
        <v>102</v>
      </c>
      <c r="K19" s="149"/>
      <c r="L19" s="138"/>
      <c r="M19" s="134" t="s">
        <v>84</v>
      </c>
      <c r="N19" s="135" t="s">
        <v>162</v>
      </c>
      <c r="O19" s="135" t="s">
        <v>148</v>
      </c>
      <c r="P19" s="135">
        <v>627</v>
      </c>
      <c r="Q19" s="155"/>
      <c r="R19" s="106"/>
      <c r="S19" s="114"/>
      <c r="T19" s="107"/>
      <c r="U19" s="107"/>
      <c r="V19" s="107"/>
      <c r="W19" s="107"/>
    </row>
    <row r="20" spans="1:23" ht="18" customHeight="1" x14ac:dyDescent="0.25">
      <c r="A20" s="144" t="s">
        <v>113</v>
      </c>
      <c r="B20" s="145" t="s">
        <v>125</v>
      </c>
      <c r="C20" s="145" t="s">
        <v>129</v>
      </c>
      <c r="D20" s="146">
        <v>133</v>
      </c>
      <c r="E20" s="145"/>
      <c r="F20" s="138"/>
      <c r="G20" s="147" t="s">
        <v>113</v>
      </c>
      <c r="H20" s="148" t="s">
        <v>125</v>
      </c>
      <c r="I20" s="148" t="s">
        <v>129</v>
      </c>
      <c r="J20" s="148">
        <v>102</v>
      </c>
      <c r="K20" s="149"/>
      <c r="L20" s="138"/>
      <c r="M20" s="134" t="s">
        <v>84</v>
      </c>
      <c r="N20" s="135" t="s">
        <v>162</v>
      </c>
      <c r="O20" s="135" t="s">
        <v>138</v>
      </c>
      <c r="P20" s="135">
        <v>536</v>
      </c>
      <c r="Q20" s="155"/>
      <c r="R20" s="106"/>
      <c r="S20" s="121" t="s">
        <v>447</v>
      </c>
      <c r="T20" s="122"/>
      <c r="U20" s="122"/>
      <c r="V20" s="122"/>
      <c r="W20" s="122"/>
    </row>
    <row r="21" spans="1:23" ht="18" customHeight="1" x14ac:dyDescent="0.25">
      <c r="A21" s="144" t="s">
        <v>113</v>
      </c>
      <c r="B21" s="145" t="s">
        <v>125</v>
      </c>
      <c r="C21" s="145" t="s">
        <v>132</v>
      </c>
      <c r="D21" s="146">
        <v>195</v>
      </c>
      <c r="E21" s="145"/>
      <c r="F21" s="138"/>
      <c r="G21" s="147" t="s">
        <v>113</v>
      </c>
      <c r="H21" s="148" t="s">
        <v>125</v>
      </c>
      <c r="I21" s="148" t="s">
        <v>132</v>
      </c>
      <c r="J21" s="148">
        <v>239</v>
      </c>
      <c r="K21" s="149"/>
      <c r="L21" s="138"/>
      <c r="M21" s="134" t="s">
        <v>84</v>
      </c>
      <c r="N21" s="135" t="s">
        <v>162</v>
      </c>
      <c r="O21" s="135" t="s">
        <v>145</v>
      </c>
      <c r="P21" s="135">
        <v>351</v>
      </c>
      <c r="Q21" s="156"/>
      <c r="R21" s="106"/>
      <c r="S21" s="108" t="s">
        <v>432</v>
      </c>
      <c r="T21" s="108" t="s">
        <v>433</v>
      </c>
      <c r="U21" s="108" t="s">
        <v>441</v>
      </c>
      <c r="V21" s="108" t="s">
        <v>435</v>
      </c>
      <c r="W21" s="108" t="s">
        <v>442</v>
      </c>
    </row>
    <row r="22" spans="1:23" ht="18" customHeight="1" x14ac:dyDescent="0.25">
      <c r="A22" s="144" t="s">
        <v>113</v>
      </c>
      <c r="B22" s="145" t="s">
        <v>125</v>
      </c>
      <c r="C22" s="145" t="s">
        <v>134</v>
      </c>
      <c r="D22" s="146">
        <v>175</v>
      </c>
      <c r="E22" s="145"/>
      <c r="F22" s="138"/>
      <c r="G22" s="147" t="s">
        <v>113</v>
      </c>
      <c r="H22" s="148" t="s">
        <v>125</v>
      </c>
      <c r="I22" s="148" t="s">
        <v>134</v>
      </c>
      <c r="J22" s="148">
        <v>175</v>
      </c>
      <c r="K22" s="149"/>
      <c r="L22" s="138"/>
      <c r="M22" s="147" t="s">
        <v>113</v>
      </c>
      <c r="N22" s="148" t="s">
        <v>162</v>
      </c>
      <c r="O22" s="148" t="s">
        <v>3</v>
      </c>
      <c r="P22" s="148">
        <v>3191</v>
      </c>
      <c r="Q22" s="157">
        <f>SUM(P22:P31)</f>
        <v>8822</v>
      </c>
      <c r="R22" s="106"/>
      <c r="S22" s="109" t="s">
        <v>443</v>
      </c>
      <c r="T22" s="110">
        <v>4457</v>
      </c>
      <c r="U22" s="111">
        <v>0.60199999999999998</v>
      </c>
      <c r="V22" s="110">
        <v>4733</v>
      </c>
      <c r="W22" s="111">
        <v>0.61699999999999999</v>
      </c>
    </row>
    <row r="23" spans="1:23" ht="18" customHeight="1" x14ac:dyDescent="0.2">
      <c r="A23" s="144" t="s">
        <v>113</v>
      </c>
      <c r="B23" s="145" t="s">
        <v>125</v>
      </c>
      <c r="C23" s="145" t="s">
        <v>126</v>
      </c>
      <c r="D23" s="146">
        <v>4527</v>
      </c>
      <c r="E23" s="145"/>
      <c r="F23" s="138"/>
      <c r="G23" s="147" t="s">
        <v>113</v>
      </c>
      <c r="H23" s="148" t="s">
        <v>125</v>
      </c>
      <c r="I23" s="148" t="s">
        <v>152</v>
      </c>
      <c r="J23" s="148">
        <v>4528</v>
      </c>
      <c r="K23" s="149"/>
      <c r="L23" s="138"/>
      <c r="M23" s="147" t="s">
        <v>113</v>
      </c>
      <c r="N23" s="148" t="s">
        <v>162</v>
      </c>
      <c r="O23" s="148" t="s">
        <v>128</v>
      </c>
      <c r="P23" s="148">
        <v>2793</v>
      </c>
      <c r="Q23" s="158"/>
      <c r="R23" s="106"/>
      <c r="S23" s="112"/>
      <c r="T23" s="112"/>
      <c r="U23" s="112"/>
      <c r="V23" s="112"/>
      <c r="W23" s="112"/>
    </row>
    <row r="24" spans="1:23" ht="18" customHeight="1" x14ac:dyDescent="0.25">
      <c r="A24" s="144" t="s">
        <v>113</v>
      </c>
      <c r="B24" s="145" t="s">
        <v>125</v>
      </c>
      <c r="C24" s="145" t="s">
        <v>138</v>
      </c>
      <c r="D24" s="146">
        <v>233</v>
      </c>
      <c r="E24" s="145"/>
      <c r="F24" s="138"/>
      <c r="G24" s="147" t="s">
        <v>113</v>
      </c>
      <c r="H24" s="148" t="s">
        <v>125</v>
      </c>
      <c r="I24" s="148" t="s">
        <v>138</v>
      </c>
      <c r="J24" s="148">
        <v>490</v>
      </c>
      <c r="K24" s="149"/>
      <c r="L24" s="138"/>
      <c r="M24" s="147" t="s">
        <v>113</v>
      </c>
      <c r="N24" s="148" t="s">
        <v>162</v>
      </c>
      <c r="O24" s="148" t="s">
        <v>14</v>
      </c>
      <c r="P24" s="148">
        <v>1541</v>
      </c>
      <c r="Q24" s="158"/>
      <c r="R24" s="106"/>
      <c r="S24" s="109" t="s">
        <v>444</v>
      </c>
      <c r="T24" s="110">
        <v>2257</v>
      </c>
      <c r="U24" s="111">
        <v>0.30499999999999999</v>
      </c>
      <c r="V24" s="110">
        <v>2253</v>
      </c>
      <c r="W24" s="111">
        <v>0.29399999999999998</v>
      </c>
    </row>
    <row r="25" spans="1:23" ht="18" customHeight="1" x14ac:dyDescent="0.25">
      <c r="A25" s="144" t="s">
        <v>113</v>
      </c>
      <c r="B25" s="145" t="s">
        <v>125</v>
      </c>
      <c r="C25" s="145" t="s">
        <v>14</v>
      </c>
      <c r="D25" s="146">
        <v>118</v>
      </c>
      <c r="E25" s="151">
        <v>8584</v>
      </c>
      <c r="F25" s="138"/>
      <c r="G25" s="147" t="s">
        <v>113</v>
      </c>
      <c r="H25" s="148" t="s">
        <v>125</v>
      </c>
      <c r="I25" s="148" t="s">
        <v>14</v>
      </c>
      <c r="J25" s="148">
        <v>177</v>
      </c>
      <c r="K25" s="152">
        <f>SUM(J18:J25)</f>
        <v>8132</v>
      </c>
      <c r="L25" s="138"/>
      <c r="M25" s="147" t="s">
        <v>113</v>
      </c>
      <c r="N25" s="148" t="s">
        <v>162</v>
      </c>
      <c r="O25" s="148" t="s">
        <v>133</v>
      </c>
      <c r="P25" s="148">
        <v>683</v>
      </c>
      <c r="Q25" s="158"/>
      <c r="R25" s="106"/>
      <c r="S25" s="112"/>
      <c r="T25" s="112"/>
      <c r="U25" s="112"/>
      <c r="V25" s="112"/>
      <c r="W25" s="112"/>
    </row>
    <row r="26" spans="1:23" ht="18" customHeight="1" x14ac:dyDescent="0.25">
      <c r="A26" s="130" t="s">
        <v>57</v>
      </c>
      <c r="B26" s="131" t="s">
        <v>125</v>
      </c>
      <c r="C26" s="131" t="s">
        <v>3</v>
      </c>
      <c r="D26" s="132">
        <v>3101</v>
      </c>
      <c r="E26" s="131"/>
      <c r="F26" s="133">
        <v>8766</v>
      </c>
      <c r="G26" s="134" t="s">
        <v>57</v>
      </c>
      <c r="H26" s="135" t="s">
        <v>125</v>
      </c>
      <c r="I26" s="135" t="s">
        <v>3</v>
      </c>
      <c r="J26" s="135">
        <v>2488</v>
      </c>
      <c r="K26" s="136"/>
      <c r="L26" s="137">
        <v>8766</v>
      </c>
      <c r="M26" s="147" t="s">
        <v>113</v>
      </c>
      <c r="N26" s="148" t="s">
        <v>162</v>
      </c>
      <c r="O26" s="148" t="s">
        <v>149</v>
      </c>
      <c r="P26" s="148">
        <v>275</v>
      </c>
      <c r="Q26" s="158"/>
      <c r="R26" s="106"/>
      <c r="S26" s="109" t="s">
        <v>445</v>
      </c>
      <c r="T26" s="112">
        <v>686</v>
      </c>
      <c r="U26" s="111">
        <v>9.1999999999999998E-2</v>
      </c>
      <c r="V26" s="112">
        <v>690</v>
      </c>
      <c r="W26" s="111">
        <v>0.09</v>
      </c>
    </row>
    <row r="27" spans="1:23" ht="18" customHeight="1" x14ac:dyDescent="0.25">
      <c r="A27" s="130" t="s">
        <v>57</v>
      </c>
      <c r="B27" s="131" t="s">
        <v>125</v>
      </c>
      <c r="C27" s="131" t="s">
        <v>16</v>
      </c>
      <c r="D27" s="132">
        <v>86</v>
      </c>
      <c r="E27" s="131"/>
      <c r="F27" s="138"/>
      <c r="G27" s="134" t="s">
        <v>57</v>
      </c>
      <c r="H27" s="135" t="s">
        <v>125</v>
      </c>
      <c r="I27" s="135" t="s">
        <v>16</v>
      </c>
      <c r="J27" s="135">
        <v>83</v>
      </c>
      <c r="K27" s="136"/>
      <c r="L27" s="138"/>
      <c r="M27" s="147" t="s">
        <v>113</v>
      </c>
      <c r="N27" s="148" t="s">
        <v>162</v>
      </c>
      <c r="O27" s="148" t="s">
        <v>148</v>
      </c>
      <c r="P27" s="148">
        <v>118</v>
      </c>
      <c r="Q27" s="158"/>
      <c r="R27" s="106"/>
      <c r="S27" s="118" t="s">
        <v>350</v>
      </c>
      <c r="T27" s="119">
        <f>SUM(T22:T26)</f>
        <v>7400</v>
      </c>
      <c r="U27" s="120"/>
      <c r="V27" s="120"/>
      <c r="W27" s="120"/>
    </row>
    <row r="28" spans="1:23" ht="18" customHeight="1" x14ac:dyDescent="0.2">
      <c r="A28" s="130" t="s">
        <v>57</v>
      </c>
      <c r="B28" s="131" t="s">
        <v>125</v>
      </c>
      <c r="C28" s="131" t="s">
        <v>129</v>
      </c>
      <c r="D28" s="132">
        <v>105</v>
      </c>
      <c r="E28" s="131"/>
      <c r="F28" s="138"/>
      <c r="G28" s="134" t="s">
        <v>57</v>
      </c>
      <c r="H28" s="135" t="s">
        <v>125</v>
      </c>
      <c r="I28" s="135" t="s">
        <v>129</v>
      </c>
      <c r="J28" s="135">
        <v>106</v>
      </c>
      <c r="K28" s="136"/>
      <c r="L28" s="138"/>
      <c r="M28" s="147" t="s">
        <v>113</v>
      </c>
      <c r="N28" s="148" t="s">
        <v>162</v>
      </c>
      <c r="O28" s="148" t="s">
        <v>139</v>
      </c>
      <c r="P28" s="148">
        <v>77</v>
      </c>
      <c r="Q28" s="158"/>
      <c r="R28" s="106"/>
      <c r="S28" s="107"/>
      <c r="T28" s="107"/>
      <c r="U28" s="107"/>
      <c r="V28" s="107"/>
      <c r="W28" s="107"/>
    </row>
    <row r="29" spans="1:23" ht="18" customHeight="1" x14ac:dyDescent="0.25">
      <c r="A29" s="130" t="s">
        <v>57</v>
      </c>
      <c r="B29" s="131" t="s">
        <v>125</v>
      </c>
      <c r="C29" s="131" t="s">
        <v>132</v>
      </c>
      <c r="D29" s="132">
        <v>89</v>
      </c>
      <c r="E29" s="131"/>
      <c r="F29" s="138"/>
      <c r="G29" s="134" t="s">
        <v>57</v>
      </c>
      <c r="H29" s="135" t="s">
        <v>125</v>
      </c>
      <c r="I29" s="135" t="s">
        <v>132</v>
      </c>
      <c r="J29" s="135">
        <v>235</v>
      </c>
      <c r="K29" s="136"/>
      <c r="L29" s="138"/>
      <c r="M29" s="147" t="s">
        <v>113</v>
      </c>
      <c r="N29" s="148" t="s">
        <v>162</v>
      </c>
      <c r="O29" s="148" t="s">
        <v>138</v>
      </c>
      <c r="P29" s="148">
        <v>76</v>
      </c>
      <c r="Q29" s="158"/>
      <c r="R29" s="106"/>
      <c r="S29" s="121" t="s">
        <v>448</v>
      </c>
      <c r="T29" s="122"/>
      <c r="U29" s="122"/>
      <c r="V29" s="122"/>
      <c r="W29" s="122"/>
    </row>
    <row r="30" spans="1:23" ht="18" customHeight="1" x14ac:dyDescent="0.25">
      <c r="A30" s="130" t="s">
        <v>57</v>
      </c>
      <c r="B30" s="131" t="s">
        <v>125</v>
      </c>
      <c r="C30" s="131" t="s">
        <v>134</v>
      </c>
      <c r="D30" s="132">
        <v>108</v>
      </c>
      <c r="E30" s="131"/>
      <c r="F30" s="138"/>
      <c r="G30" s="134" t="s">
        <v>57</v>
      </c>
      <c r="H30" s="135" t="s">
        <v>125</v>
      </c>
      <c r="I30" s="135" t="s">
        <v>134</v>
      </c>
      <c r="J30" s="135">
        <v>78</v>
      </c>
      <c r="K30" s="136"/>
      <c r="L30" s="138"/>
      <c r="M30" s="147" t="s">
        <v>113</v>
      </c>
      <c r="N30" s="148" t="s">
        <v>162</v>
      </c>
      <c r="O30" s="148" t="s">
        <v>145</v>
      </c>
      <c r="P30" s="148">
        <v>40</v>
      </c>
      <c r="Q30" s="158"/>
      <c r="R30" s="106"/>
      <c r="S30" s="108" t="s">
        <v>432</v>
      </c>
      <c r="T30" s="108" t="s">
        <v>433</v>
      </c>
      <c r="U30" s="108" t="s">
        <v>441</v>
      </c>
      <c r="V30" s="108" t="s">
        <v>435</v>
      </c>
      <c r="W30" s="108" t="s">
        <v>442</v>
      </c>
    </row>
    <row r="31" spans="1:23" ht="18" customHeight="1" x14ac:dyDescent="0.25">
      <c r="A31" s="130" t="s">
        <v>57</v>
      </c>
      <c r="B31" s="131" t="s">
        <v>125</v>
      </c>
      <c r="C31" s="131" t="s">
        <v>126</v>
      </c>
      <c r="D31" s="132">
        <v>3052</v>
      </c>
      <c r="E31" s="131"/>
      <c r="F31" s="138"/>
      <c r="G31" s="134" t="s">
        <v>57</v>
      </c>
      <c r="H31" s="135" t="s">
        <v>125</v>
      </c>
      <c r="I31" s="135" t="s">
        <v>152</v>
      </c>
      <c r="J31" s="135">
        <v>3130</v>
      </c>
      <c r="K31" s="136"/>
      <c r="L31" s="138"/>
      <c r="M31" s="147" t="s">
        <v>113</v>
      </c>
      <c r="N31" s="148" t="s">
        <v>162</v>
      </c>
      <c r="O31" s="148" t="s">
        <v>135</v>
      </c>
      <c r="P31" s="148">
        <v>28</v>
      </c>
      <c r="Q31" s="159"/>
      <c r="R31" s="106"/>
      <c r="S31" s="109" t="s">
        <v>443</v>
      </c>
      <c r="T31" s="110">
        <v>4355</v>
      </c>
      <c r="U31" s="111">
        <v>0.48399999999999999</v>
      </c>
      <c r="V31" s="110">
        <v>4335</v>
      </c>
      <c r="W31" s="111">
        <v>0.48299999999999998</v>
      </c>
    </row>
    <row r="32" spans="1:23" ht="18" customHeight="1" x14ac:dyDescent="0.2">
      <c r="A32" s="130" t="s">
        <v>57</v>
      </c>
      <c r="B32" s="131" t="s">
        <v>125</v>
      </c>
      <c r="C32" s="131" t="s">
        <v>138</v>
      </c>
      <c r="D32" s="132">
        <v>156</v>
      </c>
      <c r="E32" s="131"/>
      <c r="F32" s="138"/>
      <c r="G32" s="134" t="s">
        <v>57</v>
      </c>
      <c r="H32" s="135" t="s">
        <v>125</v>
      </c>
      <c r="I32" s="135" t="s">
        <v>138</v>
      </c>
      <c r="J32" s="135">
        <v>268</v>
      </c>
      <c r="K32" s="136"/>
      <c r="L32" s="138"/>
      <c r="M32" s="134" t="s">
        <v>57</v>
      </c>
      <c r="N32" s="135" t="s">
        <v>162</v>
      </c>
      <c r="O32" s="135" t="s">
        <v>3</v>
      </c>
      <c r="P32" s="135">
        <v>2903</v>
      </c>
      <c r="Q32" s="154">
        <f>SUM(P32:P41)</f>
        <v>6934</v>
      </c>
      <c r="R32" s="106"/>
      <c r="S32" s="112"/>
      <c r="T32" s="112"/>
      <c r="U32" s="112"/>
      <c r="V32" s="112"/>
      <c r="W32" s="112"/>
    </row>
    <row r="33" spans="1:23" ht="18" customHeight="1" x14ac:dyDescent="0.25">
      <c r="A33" s="130" t="s">
        <v>57</v>
      </c>
      <c r="B33" s="131" t="s">
        <v>125</v>
      </c>
      <c r="C33" s="131" t="s">
        <v>14</v>
      </c>
      <c r="D33" s="132">
        <v>69</v>
      </c>
      <c r="E33" s="150">
        <v>6766</v>
      </c>
      <c r="F33" s="138"/>
      <c r="G33" s="134" t="s">
        <v>57</v>
      </c>
      <c r="H33" s="135" t="s">
        <v>125</v>
      </c>
      <c r="I33" s="135" t="s">
        <v>14</v>
      </c>
      <c r="J33" s="135">
        <v>117</v>
      </c>
      <c r="K33" s="153">
        <f>SUM(J26:J33)</f>
        <v>6505</v>
      </c>
      <c r="L33" s="138"/>
      <c r="M33" s="134" t="s">
        <v>57</v>
      </c>
      <c r="N33" s="135" t="s">
        <v>162</v>
      </c>
      <c r="O33" s="135" t="s">
        <v>128</v>
      </c>
      <c r="P33" s="135">
        <v>2680</v>
      </c>
      <c r="Q33" s="155"/>
      <c r="R33" s="106"/>
      <c r="S33" s="109" t="s">
        <v>444</v>
      </c>
      <c r="T33" s="110">
        <v>3586</v>
      </c>
      <c r="U33" s="111">
        <v>0.39800000000000002</v>
      </c>
      <c r="V33" s="110">
        <v>3587</v>
      </c>
      <c r="W33" s="111">
        <v>0.39900000000000002</v>
      </c>
    </row>
    <row r="34" spans="1:23" ht="18" customHeight="1" x14ac:dyDescent="0.2">
      <c r="A34" s="144" t="s">
        <v>106</v>
      </c>
      <c r="B34" s="145" t="s">
        <v>125</v>
      </c>
      <c r="C34" s="145" t="s">
        <v>3</v>
      </c>
      <c r="D34" s="146">
        <v>4385</v>
      </c>
      <c r="E34" s="145"/>
      <c r="F34" s="133">
        <v>12268</v>
      </c>
      <c r="G34" s="147" t="s">
        <v>106</v>
      </c>
      <c r="H34" s="148" t="s">
        <v>125</v>
      </c>
      <c r="I34" s="148" t="s">
        <v>3</v>
      </c>
      <c r="J34" s="148">
        <v>3678</v>
      </c>
      <c r="K34" s="149"/>
      <c r="L34" s="137">
        <v>12268</v>
      </c>
      <c r="M34" s="134" t="s">
        <v>57</v>
      </c>
      <c r="N34" s="135" t="s">
        <v>162</v>
      </c>
      <c r="O34" s="135" t="s">
        <v>149</v>
      </c>
      <c r="P34" s="135">
        <v>390</v>
      </c>
      <c r="Q34" s="155"/>
      <c r="R34" s="106"/>
      <c r="S34" s="112"/>
      <c r="T34" s="112"/>
      <c r="U34" s="112"/>
      <c r="V34" s="112"/>
      <c r="W34" s="112"/>
    </row>
    <row r="35" spans="1:23" ht="18" customHeight="1" x14ac:dyDescent="0.25">
      <c r="A35" s="144" t="s">
        <v>106</v>
      </c>
      <c r="B35" s="145" t="s">
        <v>125</v>
      </c>
      <c r="C35" s="145" t="s">
        <v>16</v>
      </c>
      <c r="D35" s="146">
        <v>206</v>
      </c>
      <c r="E35" s="145"/>
      <c r="F35" s="138"/>
      <c r="G35" s="147" t="s">
        <v>106</v>
      </c>
      <c r="H35" s="148" t="s">
        <v>125</v>
      </c>
      <c r="I35" s="148" t="s">
        <v>16</v>
      </c>
      <c r="J35" s="148">
        <v>252</v>
      </c>
      <c r="K35" s="149"/>
      <c r="L35" s="138"/>
      <c r="M35" s="134" t="s">
        <v>57</v>
      </c>
      <c r="N35" s="135" t="s">
        <v>162</v>
      </c>
      <c r="O35" s="135" t="s">
        <v>148</v>
      </c>
      <c r="P35" s="135">
        <v>330</v>
      </c>
      <c r="Q35" s="155"/>
      <c r="R35" s="106"/>
      <c r="S35" s="109" t="s">
        <v>445</v>
      </c>
      <c r="T35" s="110">
        <v>1059</v>
      </c>
      <c r="U35" s="115" t="s">
        <v>449</v>
      </c>
      <c r="V35" s="110">
        <v>1057</v>
      </c>
      <c r="W35" s="115" t="s">
        <v>449</v>
      </c>
    </row>
    <row r="36" spans="1:23" ht="18" customHeight="1" x14ac:dyDescent="0.25">
      <c r="A36" s="144" t="s">
        <v>106</v>
      </c>
      <c r="B36" s="145" t="s">
        <v>125</v>
      </c>
      <c r="C36" s="145" t="s">
        <v>129</v>
      </c>
      <c r="D36" s="146">
        <v>210</v>
      </c>
      <c r="E36" s="145"/>
      <c r="F36" s="138"/>
      <c r="G36" s="147" t="s">
        <v>106</v>
      </c>
      <c r="H36" s="148" t="s">
        <v>125</v>
      </c>
      <c r="I36" s="148" t="s">
        <v>129</v>
      </c>
      <c r="J36" s="148">
        <v>197</v>
      </c>
      <c r="K36" s="149"/>
      <c r="L36" s="138"/>
      <c r="M36" s="134" t="s">
        <v>57</v>
      </c>
      <c r="N36" s="135" t="s">
        <v>162</v>
      </c>
      <c r="O36" s="135" t="s">
        <v>133</v>
      </c>
      <c r="P36" s="135">
        <v>275</v>
      </c>
      <c r="Q36" s="155"/>
      <c r="R36" s="106"/>
      <c r="S36" s="118" t="s">
        <v>350</v>
      </c>
      <c r="T36" s="119">
        <f>SUM(T31:T35)</f>
        <v>9000</v>
      </c>
      <c r="U36" s="120"/>
      <c r="V36" s="120"/>
      <c r="W36" s="120"/>
    </row>
    <row r="37" spans="1:23" ht="18" customHeight="1" x14ac:dyDescent="0.2">
      <c r="A37" s="144" t="s">
        <v>106</v>
      </c>
      <c r="B37" s="145" t="s">
        <v>125</v>
      </c>
      <c r="C37" s="145" t="s">
        <v>132</v>
      </c>
      <c r="D37" s="146">
        <v>241</v>
      </c>
      <c r="E37" s="145"/>
      <c r="F37" s="138"/>
      <c r="G37" s="147" t="s">
        <v>106</v>
      </c>
      <c r="H37" s="148" t="s">
        <v>125</v>
      </c>
      <c r="I37" s="148" t="s">
        <v>132</v>
      </c>
      <c r="J37" s="148">
        <v>256</v>
      </c>
      <c r="K37" s="149"/>
      <c r="L37" s="138"/>
      <c r="M37" s="134" t="s">
        <v>57</v>
      </c>
      <c r="N37" s="135" t="s">
        <v>162</v>
      </c>
      <c r="O37" s="135" t="s">
        <v>14</v>
      </c>
      <c r="P37" s="135">
        <v>218</v>
      </c>
      <c r="Q37" s="155"/>
      <c r="R37" s="106"/>
      <c r="S37" s="107"/>
      <c r="T37" s="107"/>
      <c r="U37" s="107"/>
      <c r="V37" s="107"/>
      <c r="W37" s="107"/>
    </row>
    <row r="38" spans="1:23" ht="18" customHeight="1" x14ac:dyDescent="0.25">
      <c r="A38" s="144" t="s">
        <v>106</v>
      </c>
      <c r="B38" s="145" t="s">
        <v>125</v>
      </c>
      <c r="C38" s="145" t="s">
        <v>134</v>
      </c>
      <c r="D38" s="146">
        <v>181</v>
      </c>
      <c r="E38" s="145"/>
      <c r="F38" s="138"/>
      <c r="G38" s="147" t="s">
        <v>106</v>
      </c>
      <c r="H38" s="148" t="s">
        <v>125</v>
      </c>
      <c r="I38" s="148" t="s">
        <v>134</v>
      </c>
      <c r="J38" s="148">
        <v>172</v>
      </c>
      <c r="K38" s="149"/>
      <c r="L38" s="138"/>
      <c r="M38" s="134" t="s">
        <v>57</v>
      </c>
      <c r="N38" s="135" t="s">
        <v>162</v>
      </c>
      <c r="O38" s="135" t="s">
        <v>138</v>
      </c>
      <c r="P38" s="135">
        <v>78</v>
      </c>
      <c r="Q38" s="155"/>
      <c r="R38" s="106"/>
      <c r="S38" s="121" t="s">
        <v>450</v>
      </c>
      <c r="T38" s="122"/>
      <c r="U38" s="122"/>
      <c r="V38" s="122"/>
      <c r="W38" s="122"/>
    </row>
    <row r="39" spans="1:23" ht="18" customHeight="1" x14ac:dyDescent="0.25">
      <c r="A39" s="144" t="s">
        <v>106</v>
      </c>
      <c r="B39" s="145" t="s">
        <v>125</v>
      </c>
      <c r="C39" s="145" t="s">
        <v>126</v>
      </c>
      <c r="D39" s="146">
        <v>3908</v>
      </c>
      <c r="E39" s="145"/>
      <c r="F39" s="138"/>
      <c r="G39" s="147" t="s">
        <v>106</v>
      </c>
      <c r="H39" s="148" t="s">
        <v>125</v>
      </c>
      <c r="I39" s="148" t="s">
        <v>152</v>
      </c>
      <c r="J39" s="148">
        <v>3986</v>
      </c>
      <c r="K39" s="149"/>
      <c r="L39" s="138"/>
      <c r="M39" s="134" t="s">
        <v>57</v>
      </c>
      <c r="N39" s="135" t="s">
        <v>162</v>
      </c>
      <c r="O39" s="135" t="s">
        <v>145</v>
      </c>
      <c r="P39" s="135">
        <v>26</v>
      </c>
      <c r="Q39" s="155"/>
      <c r="R39" s="106"/>
      <c r="S39" s="108" t="s">
        <v>432</v>
      </c>
      <c r="T39" s="108" t="s">
        <v>433</v>
      </c>
      <c r="U39" s="108" t="s">
        <v>441</v>
      </c>
      <c r="V39" s="108" t="s">
        <v>435</v>
      </c>
      <c r="W39" s="108" t="s">
        <v>442</v>
      </c>
    </row>
    <row r="40" spans="1:23" ht="18" customHeight="1" x14ac:dyDescent="0.25">
      <c r="A40" s="144" t="s">
        <v>106</v>
      </c>
      <c r="B40" s="145" t="s">
        <v>125</v>
      </c>
      <c r="C40" s="145" t="s">
        <v>138</v>
      </c>
      <c r="D40" s="146">
        <v>177</v>
      </c>
      <c r="E40" s="145"/>
      <c r="F40" s="138"/>
      <c r="G40" s="147" t="s">
        <v>106</v>
      </c>
      <c r="H40" s="148" t="s">
        <v>125</v>
      </c>
      <c r="I40" s="148" t="s">
        <v>138</v>
      </c>
      <c r="J40" s="148">
        <v>321</v>
      </c>
      <c r="K40" s="149"/>
      <c r="L40" s="138"/>
      <c r="M40" s="134" t="s">
        <v>57</v>
      </c>
      <c r="N40" s="135" t="s">
        <v>162</v>
      </c>
      <c r="O40" s="135" t="s">
        <v>135</v>
      </c>
      <c r="P40" s="135">
        <v>21</v>
      </c>
      <c r="Q40" s="155"/>
      <c r="R40" s="106"/>
      <c r="S40" s="109" t="s">
        <v>443</v>
      </c>
      <c r="T40" s="110">
        <v>3233</v>
      </c>
      <c r="U40" s="111">
        <v>0.57699999999999996</v>
      </c>
      <c r="V40" s="110">
        <v>3196</v>
      </c>
      <c r="W40" s="111">
        <v>0.57399999999999995</v>
      </c>
    </row>
    <row r="41" spans="1:23" ht="18" customHeight="1" x14ac:dyDescent="0.25">
      <c r="A41" s="144" t="s">
        <v>106</v>
      </c>
      <c r="B41" s="145" t="s">
        <v>125</v>
      </c>
      <c r="C41" s="145" t="s">
        <v>14</v>
      </c>
      <c r="D41" s="146">
        <v>82</v>
      </c>
      <c r="E41" s="151">
        <v>9390</v>
      </c>
      <c r="F41" s="138"/>
      <c r="G41" s="147" t="s">
        <v>106</v>
      </c>
      <c r="H41" s="148" t="s">
        <v>125</v>
      </c>
      <c r="I41" s="148" t="s">
        <v>14</v>
      </c>
      <c r="J41" s="148">
        <v>135</v>
      </c>
      <c r="K41" s="152">
        <f>SUM(J34:J41)</f>
        <v>8997</v>
      </c>
      <c r="L41" s="138"/>
      <c r="M41" s="134" t="s">
        <v>57</v>
      </c>
      <c r="N41" s="135" t="s">
        <v>162</v>
      </c>
      <c r="O41" s="135" t="s">
        <v>139</v>
      </c>
      <c r="P41" s="135">
        <v>13</v>
      </c>
      <c r="Q41" s="156"/>
      <c r="R41" s="106"/>
      <c r="S41" s="112"/>
      <c r="T41" s="112"/>
      <c r="U41" s="112"/>
      <c r="V41" s="112"/>
      <c r="W41" s="112"/>
    </row>
    <row r="42" spans="1:23" ht="18" customHeight="1" x14ac:dyDescent="0.25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47" t="s">
        <v>106</v>
      </c>
      <c r="N42" s="148" t="s">
        <v>162</v>
      </c>
      <c r="O42" s="148" t="s">
        <v>3</v>
      </c>
      <c r="P42" s="148">
        <v>5019</v>
      </c>
      <c r="Q42" s="157">
        <f>SUM(P42:P51)</f>
        <v>9440</v>
      </c>
      <c r="R42" s="106"/>
      <c r="S42" s="109" t="s">
        <v>444</v>
      </c>
      <c r="T42" s="110">
        <v>1944</v>
      </c>
      <c r="U42" s="111">
        <v>0.34699999999999998</v>
      </c>
      <c r="V42" s="110">
        <v>1943</v>
      </c>
      <c r="W42" s="111">
        <v>0.34899999999999998</v>
      </c>
    </row>
    <row r="43" spans="1:23" ht="18" customHeight="1" x14ac:dyDescent="0.2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47" t="s">
        <v>106</v>
      </c>
      <c r="N43" s="148" t="s">
        <v>162</v>
      </c>
      <c r="O43" s="148" t="s">
        <v>128</v>
      </c>
      <c r="P43" s="148">
        <v>2167</v>
      </c>
      <c r="Q43" s="158"/>
      <c r="R43" s="106"/>
      <c r="S43" s="112"/>
      <c r="T43" s="112"/>
      <c r="U43" s="112"/>
      <c r="V43" s="112"/>
      <c r="W43" s="112"/>
    </row>
    <row r="44" spans="1:23" ht="18" customHeight="1" x14ac:dyDescent="0.25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47" t="s">
        <v>106</v>
      </c>
      <c r="N44" s="148" t="s">
        <v>162</v>
      </c>
      <c r="O44" s="148" t="s">
        <v>133</v>
      </c>
      <c r="P44" s="148">
        <v>940</v>
      </c>
      <c r="Q44" s="158"/>
      <c r="R44" s="106"/>
      <c r="S44" s="109" t="s">
        <v>445</v>
      </c>
      <c r="T44" s="112">
        <v>422</v>
      </c>
      <c r="U44" s="111">
        <v>7.4999999999999997E-2</v>
      </c>
      <c r="V44" s="112">
        <v>426</v>
      </c>
      <c r="W44" s="111">
        <v>7.5999999999999998E-2</v>
      </c>
    </row>
    <row r="45" spans="1:23" ht="18" customHeight="1" x14ac:dyDescent="0.2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47" t="s">
        <v>106</v>
      </c>
      <c r="N45" s="148" t="s">
        <v>162</v>
      </c>
      <c r="O45" s="148" t="s">
        <v>149</v>
      </c>
      <c r="P45" s="148">
        <v>352</v>
      </c>
      <c r="Q45" s="158"/>
      <c r="S45" s="118" t="s">
        <v>350</v>
      </c>
      <c r="T45" s="119">
        <f>SUM(T40:T44)</f>
        <v>5599</v>
      </c>
      <c r="U45" s="120"/>
      <c r="V45" s="120"/>
      <c r="W45" s="120"/>
    </row>
    <row r="46" spans="1:23" s="55" customFormat="1" ht="18" customHeight="1" x14ac:dyDescent="0.25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47" t="s">
        <v>106</v>
      </c>
      <c r="N46" s="148" t="s">
        <v>162</v>
      </c>
      <c r="O46" s="148" t="s">
        <v>14</v>
      </c>
      <c r="P46" s="148">
        <v>230</v>
      </c>
      <c r="Q46" s="158"/>
      <c r="S46" s="140"/>
      <c r="T46" s="141"/>
      <c r="U46" s="142"/>
      <c r="V46" s="142"/>
      <c r="W46" s="142"/>
    </row>
    <row r="47" spans="1:23" ht="18" customHeight="1" x14ac:dyDescent="0.2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47" t="s">
        <v>106</v>
      </c>
      <c r="N47" s="148" t="s">
        <v>162</v>
      </c>
      <c r="O47" s="148" t="s">
        <v>139</v>
      </c>
      <c r="P47" s="148">
        <v>219</v>
      </c>
      <c r="Q47" s="158"/>
    </row>
    <row r="48" spans="1:23" ht="18" customHeight="1" x14ac:dyDescent="0.2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47" t="s">
        <v>106</v>
      </c>
      <c r="N48" s="148" t="s">
        <v>162</v>
      </c>
      <c r="O48" s="148" t="s">
        <v>148</v>
      </c>
      <c r="P48" s="148">
        <v>204</v>
      </c>
      <c r="Q48" s="158"/>
    </row>
    <row r="49" spans="1:18" ht="18" customHeight="1" x14ac:dyDescent="0.2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47" t="s">
        <v>106</v>
      </c>
      <c r="N49" s="148" t="s">
        <v>162</v>
      </c>
      <c r="O49" s="148" t="s">
        <v>138</v>
      </c>
      <c r="P49" s="148">
        <v>110</v>
      </c>
      <c r="Q49" s="158"/>
    </row>
    <row r="50" spans="1:18" ht="18" customHeight="1" x14ac:dyDescent="0.2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47" t="s">
        <v>106</v>
      </c>
      <c r="N50" s="148" t="s">
        <v>162</v>
      </c>
      <c r="O50" s="148" t="s">
        <v>145</v>
      </c>
      <c r="P50" s="148">
        <v>106</v>
      </c>
      <c r="Q50" s="158"/>
    </row>
    <row r="51" spans="1:18" ht="18" customHeight="1" x14ac:dyDescent="0.2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47" t="s">
        <v>106</v>
      </c>
      <c r="N51" s="148" t="s">
        <v>162</v>
      </c>
      <c r="O51" s="148" t="s">
        <v>135</v>
      </c>
      <c r="P51" s="148">
        <v>93</v>
      </c>
      <c r="Q51" s="159"/>
    </row>
    <row r="55" spans="1:18" ht="18" customHeight="1" x14ac:dyDescent="0.2">
      <c r="K55" s="106"/>
    </row>
    <row r="56" spans="1:18" ht="18" customHeight="1" x14ac:dyDescent="0.2">
      <c r="K56" s="127"/>
    </row>
    <row r="57" spans="1:18" s="55" customFormat="1" ht="18" customHeight="1" x14ac:dyDescent="0.2">
      <c r="K57" s="127"/>
    </row>
    <row r="58" spans="1:18" ht="18" customHeight="1" x14ac:dyDescent="0.2">
      <c r="K58" s="127"/>
    </row>
    <row r="61" spans="1:18" ht="32.25" customHeight="1" x14ac:dyDescent="0.2">
      <c r="R61" s="55"/>
    </row>
    <row r="62" spans="1:18" ht="18" customHeight="1" x14ac:dyDescent="0.2">
      <c r="R62" s="55"/>
    </row>
    <row r="63" spans="1:18" ht="18" customHeight="1" x14ac:dyDescent="0.2">
      <c r="R63" s="55"/>
    </row>
    <row r="64" spans="1:18" ht="18" customHeight="1" x14ac:dyDescent="0.2">
      <c r="R64" s="55"/>
    </row>
    <row r="65" spans="1:18" ht="18" customHeight="1" x14ac:dyDescent="0.2">
      <c r="R65" s="55"/>
    </row>
    <row r="66" spans="1:18" ht="18" customHeight="1" x14ac:dyDescent="0.2">
      <c r="R66" s="55"/>
    </row>
    <row r="79" spans="1:18" s="51" customFormat="1" ht="34.5" customHeight="1" x14ac:dyDescent="0.35">
      <c r="A79" s="162"/>
      <c r="B79" s="160" t="s">
        <v>455</v>
      </c>
      <c r="C79" s="161" t="s">
        <v>126</v>
      </c>
      <c r="D79" s="162" t="s">
        <v>180</v>
      </c>
      <c r="E79" s="162" t="s">
        <v>452</v>
      </c>
    </row>
    <row r="80" spans="1:18" s="51" customFormat="1" ht="34.5" customHeight="1" x14ac:dyDescent="0.35">
      <c r="A80" s="163" t="s">
        <v>456</v>
      </c>
      <c r="B80" s="162">
        <f>+J2+J10+J18+J26+J34</f>
        <v>43106</v>
      </c>
      <c r="C80" s="162">
        <f>+J7+J15+J23+J31+J39</f>
        <v>60866</v>
      </c>
      <c r="D80" s="162">
        <f>+K9+K17+K25+K33+K41</f>
        <v>126571</v>
      </c>
      <c r="E80" s="162">
        <f>+L2+L10+L18+L26+L34</f>
        <v>173449</v>
      </c>
    </row>
    <row r="81" spans="1:5" s="51" customFormat="1" ht="34.5" customHeight="1" x14ac:dyDescent="0.35">
      <c r="A81" s="163" t="s">
        <v>457</v>
      </c>
      <c r="B81" s="162">
        <f>+D2+D10+D18+D26+D34</f>
        <v>56695</v>
      </c>
      <c r="C81" s="162">
        <f>+D7+D15+D23+D31+D39</f>
        <v>57438</v>
      </c>
      <c r="D81" s="162">
        <f>+E9+E17+E25+E33+E41</f>
        <v>132758</v>
      </c>
      <c r="E81" s="162"/>
    </row>
    <row r="82" spans="1:5" s="51" customFormat="1" ht="34.5" customHeight="1" x14ac:dyDescent="0.35">
      <c r="A82" s="163" t="s">
        <v>454</v>
      </c>
      <c r="B82" s="162">
        <f>+P2+P12+P22+P32+P42</f>
        <v>62697</v>
      </c>
      <c r="C82" s="162">
        <f>+P3+P13+P23+P33+P43</f>
        <v>35157</v>
      </c>
      <c r="D82" s="162">
        <f>+Q2+Q12+Q22+Q32+Q42</f>
        <v>129043</v>
      </c>
      <c r="E82" s="162">
        <v>173489</v>
      </c>
    </row>
    <row r="83" spans="1:5" s="51" customFormat="1" ht="34.5" customHeight="1" x14ac:dyDescent="0.35">
      <c r="A83" s="163" t="s">
        <v>453</v>
      </c>
      <c r="B83" s="164">
        <f>+T6+T24+T15+T33+T42</f>
        <v>44000</v>
      </c>
      <c r="C83" s="164">
        <f>+T4+T13+T22+T31+T40</f>
        <v>57621</v>
      </c>
      <c r="D83" s="164">
        <f>+T9+T18+T27+T36+T45</f>
        <v>115512</v>
      </c>
      <c r="E83" s="162"/>
    </row>
    <row r="84" spans="1:5" s="51" customFormat="1" ht="34.5" customHeight="1" x14ac:dyDescent="0.35">
      <c r="A84" s="162"/>
      <c r="B84" s="162"/>
      <c r="C84" s="162"/>
      <c r="D84" s="164"/>
      <c r="E84" s="162"/>
    </row>
  </sheetData>
  <mergeCells count="19">
    <mergeCell ref="Q42:Q51"/>
    <mergeCell ref="Q32:Q41"/>
    <mergeCell ref="Q22:Q31"/>
    <mergeCell ref="Q12:Q21"/>
    <mergeCell ref="A1:F1"/>
    <mergeCell ref="G1:L1"/>
    <mergeCell ref="S1:W1"/>
    <mergeCell ref="Q2:Q11"/>
    <mergeCell ref="M1:Q1"/>
    <mergeCell ref="F2:F9"/>
    <mergeCell ref="F10:F17"/>
    <mergeCell ref="F18:F25"/>
    <mergeCell ref="F26:F33"/>
    <mergeCell ref="F34:F41"/>
    <mergeCell ref="L2:L9"/>
    <mergeCell ref="L10:L17"/>
    <mergeCell ref="L18:L25"/>
    <mergeCell ref="L26:L33"/>
    <mergeCell ref="L34:L41"/>
  </mergeCells>
  <dataValidations count="5">
    <dataValidation type="list" allowBlank="1" sqref="H2:H41" xr:uid="{3A16164F-0C3E-4A1A-9F46-9E8B4E9B4D85}">
      <formula1>#REF!</formula1>
    </dataValidation>
    <dataValidation type="list" allowBlank="1" showErrorMessage="1" sqref="N2:N51" xr:uid="{3C9430A9-1FC5-4511-9C79-608E6F3CB916}">
      <formula1>#REF!</formula1>
    </dataValidation>
    <dataValidation type="list" allowBlank="1" sqref="I2:I41" xr:uid="{D45EFBFE-F6C1-4BCF-8B14-83F1311DB2CA}">
      <formula1>$G$4:$G$87</formula1>
    </dataValidation>
    <dataValidation type="list" allowBlank="1" sqref="O2:O41" xr:uid="{A857BE06-8C9C-4306-9D59-ED368A97AB09}">
      <formula1>$G$4:$G$84</formula1>
    </dataValidation>
    <dataValidation type="list" allowBlank="1" sqref="O42:O51" xr:uid="{32783CB4-8C20-40E4-88CB-59E56B18582B}">
      <formula1>$G$4:$G$83</formula1>
    </dataValidation>
  </dataValidations>
  <pageMargins left="0.70866141732283472" right="0.70866141732283472" top="0.74803149606299213" bottom="0.74803149606299213" header="0.31496062992125984" footer="0.31496062992125984"/>
  <pageSetup paperSize="9" scale="75" orientation="landscape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A1F19995-AA4D-4F30-8AC2-043AB2819342}">
          <x14:formula1>
            <xm:f>'Copia de Localidades'!$A$4:$A$102</xm:f>
          </x14:formula1>
          <xm:sqref>G2:G41</xm:sqref>
        </x14:dataValidation>
        <x14:dataValidation type="list" allowBlank="1" xr:uid="{8ED05563-3CB3-4233-B919-64A669BBDE35}">
          <x14:formula1>
            <xm:f>'Copia de Localidades'!$A$3:$A$105</xm:f>
          </x14:formula1>
          <xm:sqref>M2:M51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8C8C-ABF4-4E04-9031-827B536FBBCB}">
  <dimension ref="A1:E13"/>
  <sheetViews>
    <sheetView workbookViewId="0">
      <selection activeCell="B9" sqref="B9"/>
    </sheetView>
  </sheetViews>
  <sheetFormatPr baseColWidth="10" defaultRowHeight="12.75" x14ac:dyDescent="0.2"/>
  <cols>
    <col min="1" max="1" width="26.140625" bestFit="1" customWidth="1"/>
    <col min="2" max="2" width="23.85546875" customWidth="1"/>
  </cols>
  <sheetData>
    <row r="1" spans="1:5" ht="30" x14ac:dyDescent="0.2">
      <c r="A1" s="105"/>
      <c r="B1" s="143" t="s">
        <v>455</v>
      </c>
      <c r="C1" s="129" t="s">
        <v>126</v>
      </c>
      <c r="D1" s="105" t="s">
        <v>180</v>
      </c>
      <c r="E1" s="105" t="s">
        <v>452</v>
      </c>
    </row>
    <row r="2" spans="1:5" x14ac:dyDescent="0.2">
      <c r="A2" s="128" t="s">
        <v>456</v>
      </c>
      <c r="B2" s="125" t="e">
        <f>+#REF!+#REF!+#REF!+#REF!+#REF!</f>
        <v>#REF!</v>
      </c>
      <c r="C2" s="125" t="e">
        <f>+#REF!+#REF!+#REF!+#REF!+#REF!</f>
        <v>#REF!</v>
      </c>
      <c r="D2" s="72" t="e">
        <f>+#REF!+#REF!+#REF!+#REF!+#REF!</f>
        <v>#REF!</v>
      </c>
      <c r="E2" s="72" t="e">
        <f>+#REF!+#REF!+#REF!+#REF!+#REF!</f>
        <v>#REF!</v>
      </c>
    </row>
    <row r="3" spans="1:5" x14ac:dyDescent="0.2">
      <c r="A3" s="128" t="s">
        <v>457</v>
      </c>
      <c r="B3" s="125" t="e">
        <f>+#REF!+#REF!+#REF!+#REF!+#REF!</f>
        <v>#REF!</v>
      </c>
      <c r="C3" s="125" t="e">
        <f>+#REF!+#REF!+#REF!+#REF!+#REF!</f>
        <v>#REF!</v>
      </c>
      <c r="D3" s="72" t="e">
        <f>+#REF!+#REF!+#REF!+#REF!+#REF!</f>
        <v>#REF!</v>
      </c>
      <c r="E3" s="72"/>
    </row>
    <row r="4" spans="1:5" x14ac:dyDescent="0.2">
      <c r="A4" s="128" t="s">
        <v>454</v>
      </c>
      <c r="B4" s="125" t="e">
        <f>+#REF!+#REF!+#REF!+#REF!+#REF!</f>
        <v>#REF!</v>
      </c>
      <c r="C4" s="125" t="e">
        <f>+#REF!+#REF!+#REF!+#REF!+#REF!</f>
        <v>#REF!</v>
      </c>
      <c r="D4" s="72" t="e">
        <f>+#REF!+#REF!+#REF!+#REF!+#REF!</f>
        <v>#REF!</v>
      </c>
      <c r="E4" s="72"/>
    </row>
    <row r="5" spans="1:5" x14ac:dyDescent="0.2">
      <c r="A5" s="128" t="s">
        <v>453</v>
      </c>
      <c r="B5" s="126" t="e">
        <f>+#REF!+#REF!+#REF!+#REF!+#REF!</f>
        <v>#REF!</v>
      </c>
      <c r="C5" s="126" t="e">
        <f>+#REF!+#REF!+#REF!+#REF!+#REF!</f>
        <v>#REF!</v>
      </c>
      <c r="D5" s="126" t="e">
        <f>+#REF!+#REF!+#REF!+#REF!+#REF!</f>
        <v>#REF!</v>
      </c>
      <c r="E5" s="72">
        <v>173489</v>
      </c>
    </row>
    <row r="6" spans="1:5" x14ac:dyDescent="0.2">
      <c r="A6" s="125"/>
      <c r="B6" s="72"/>
      <c r="C6" s="72"/>
      <c r="D6" s="126"/>
      <c r="E6" s="72"/>
    </row>
    <row r="8" spans="1:5" ht="30" x14ac:dyDescent="0.2">
      <c r="A8" s="105"/>
      <c r="B8" s="143" t="s">
        <v>455</v>
      </c>
      <c r="C8" s="129" t="s">
        <v>126</v>
      </c>
      <c r="D8" s="105" t="s">
        <v>180</v>
      </c>
      <c r="E8" s="105" t="s">
        <v>452</v>
      </c>
    </row>
    <row r="9" spans="1:5" x14ac:dyDescent="0.2">
      <c r="A9" s="128" t="s">
        <v>456</v>
      </c>
      <c r="B9" s="125" t="e">
        <f>+#REF!+#REF!+#REF!+#REF!+#REF!</f>
        <v>#REF!</v>
      </c>
      <c r="C9" s="125" t="e">
        <f>+#REF!+#REF!+#REF!+#REF!+#REF!</f>
        <v>#REF!</v>
      </c>
      <c r="D9" s="72" t="e">
        <f>+#REF!+#REF!+#REF!+#REF!+#REF!</f>
        <v>#REF!</v>
      </c>
      <c r="E9" s="72" t="e">
        <f>+#REF!+#REF!+#REF!+#REF!+#REF!</f>
        <v>#REF!</v>
      </c>
    </row>
    <row r="10" spans="1:5" x14ac:dyDescent="0.2">
      <c r="A10" s="128" t="s">
        <v>457</v>
      </c>
      <c r="B10" s="125" t="e">
        <f>+#REF!+#REF!+#REF!+#REF!+#REF!</f>
        <v>#REF!</v>
      </c>
      <c r="C10" s="125" t="e">
        <f>+#REF!+#REF!+#REF!+#REF!+#REF!</f>
        <v>#REF!</v>
      </c>
      <c r="D10" s="72" t="e">
        <f>+#REF!+#REF!+#REF!+#REF!+#REF!</f>
        <v>#REF!</v>
      </c>
      <c r="E10" s="72"/>
    </row>
    <row r="11" spans="1:5" x14ac:dyDescent="0.2">
      <c r="A11" s="128" t="s">
        <v>454</v>
      </c>
      <c r="B11" s="125" t="e">
        <f>+#REF!+#REF!+#REF!+#REF!+#REF!</f>
        <v>#REF!</v>
      </c>
      <c r="C11" s="125" t="e">
        <f>+#REF!+#REF!+#REF!+#REF!+#REF!</f>
        <v>#REF!</v>
      </c>
      <c r="D11" s="72" t="e">
        <f>+#REF!+#REF!+#REF!+#REF!+#REF!</f>
        <v>#REF!</v>
      </c>
      <c r="E11" s="72"/>
    </row>
    <row r="12" spans="1:5" x14ac:dyDescent="0.2">
      <c r="A12" s="128" t="s">
        <v>453</v>
      </c>
      <c r="B12" s="126" t="e">
        <f>+#REF!+#REF!+#REF!+#REF!+#REF!</f>
        <v>#REF!</v>
      </c>
      <c r="C12" s="126" t="e">
        <f>+#REF!+#REF!+#REF!+#REF!+#REF!</f>
        <v>#REF!</v>
      </c>
      <c r="D12" s="126" t="e">
        <f>+#REF!+#REF!+#REF!+#REF!+#REF!</f>
        <v>#REF!</v>
      </c>
      <c r="E12" s="72">
        <v>173489</v>
      </c>
    </row>
    <row r="13" spans="1:5" x14ac:dyDescent="0.2">
      <c r="A13" s="125"/>
      <c r="B13" s="72"/>
      <c r="C13" s="72"/>
      <c r="D13" s="126"/>
      <c r="E13" s="7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M1002"/>
  <sheetViews>
    <sheetView workbookViewId="0">
      <selection activeCell="A3" sqref="A3:G17"/>
    </sheetView>
  </sheetViews>
  <sheetFormatPr baseColWidth="10" defaultColWidth="14.42578125" defaultRowHeight="15.75" customHeight="1" x14ac:dyDescent="0.2"/>
  <cols>
    <col min="1" max="1" width="22.85546875" customWidth="1"/>
    <col min="2" max="2" width="17.5703125" customWidth="1"/>
    <col min="3" max="3" width="11.28515625" customWidth="1"/>
    <col min="4" max="4" width="8.85546875" customWidth="1"/>
    <col min="6" max="6" width="7.140625" customWidth="1"/>
  </cols>
  <sheetData>
    <row r="1" spans="1:13" ht="15.75" customHeight="1" x14ac:dyDescent="0.2">
      <c r="B1" s="31"/>
      <c r="D1" s="15"/>
      <c r="H1" s="62" t="s">
        <v>372</v>
      </c>
      <c r="I1" s="57"/>
      <c r="J1" s="57"/>
      <c r="K1" s="57"/>
      <c r="L1" s="57"/>
      <c r="M1" s="57"/>
    </row>
    <row r="2" spans="1:13" ht="15.75" customHeight="1" x14ac:dyDescent="0.2">
      <c r="B2" s="31"/>
      <c r="D2" s="15"/>
      <c r="H2" s="47" t="s">
        <v>373</v>
      </c>
      <c r="I2" s="47" t="s">
        <v>374</v>
      </c>
      <c r="J2" s="47" t="s">
        <v>375</v>
      </c>
      <c r="K2" s="47" t="s">
        <v>376</v>
      </c>
      <c r="L2" s="47" t="s">
        <v>377</v>
      </c>
      <c r="M2" s="47" t="s">
        <v>378</v>
      </c>
    </row>
    <row r="3" spans="1:13" ht="15.75" customHeight="1" x14ac:dyDescent="0.2">
      <c r="A3" s="47" t="s">
        <v>379</v>
      </c>
      <c r="B3" s="47" t="s">
        <v>380</v>
      </c>
      <c r="C3" s="31"/>
      <c r="D3" s="29" t="s">
        <v>381</v>
      </c>
      <c r="E3" s="47" t="s">
        <v>382</v>
      </c>
      <c r="F3" s="47" t="s">
        <v>383</v>
      </c>
      <c r="G3" s="47" t="s">
        <v>384</v>
      </c>
      <c r="H3" s="30">
        <v>42996</v>
      </c>
      <c r="I3" s="30">
        <v>42997</v>
      </c>
      <c r="J3" s="30">
        <v>42998</v>
      </c>
      <c r="K3" s="30">
        <v>42999</v>
      </c>
      <c r="L3" s="30">
        <v>43000</v>
      </c>
      <c r="M3" s="30">
        <v>43001</v>
      </c>
    </row>
    <row r="4" spans="1:13" ht="15.75" customHeight="1" x14ac:dyDescent="0.2">
      <c r="A4" s="20" t="s">
        <v>40</v>
      </c>
      <c r="B4" s="16">
        <v>103241</v>
      </c>
      <c r="C4" s="3">
        <v>74</v>
      </c>
      <c r="D4" s="15">
        <f t="shared" ref="D4:D92" si="0">B4/$B$104</f>
        <v>0.3246480445521982</v>
      </c>
      <c r="E4" s="15">
        <f>D4</f>
        <v>0.3246480445521982</v>
      </c>
      <c r="F4" s="3">
        <v>1</v>
      </c>
      <c r="G4" s="63" t="s">
        <v>385</v>
      </c>
    </row>
    <row r="5" spans="1:13" ht="15.75" customHeight="1" x14ac:dyDescent="0.2">
      <c r="A5" s="20" t="s">
        <v>84</v>
      </c>
      <c r="B5" s="16">
        <v>57669</v>
      </c>
      <c r="C5" s="3">
        <v>35</v>
      </c>
      <c r="D5" s="15">
        <f t="shared" si="0"/>
        <v>0.18134392422855958</v>
      </c>
      <c r="E5" s="15">
        <f t="shared" ref="E5:E92" si="1">D5+E4</f>
        <v>0.50599196878075781</v>
      </c>
      <c r="F5" s="3">
        <v>2</v>
      </c>
      <c r="G5" s="64"/>
    </row>
    <row r="6" spans="1:13" ht="15.75" customHeight="1" x14ac:dyDescent="0.2">
      <c r="A6" s="20" t="s">
        <v>113</v>
      </c>
      <c r="B6" s="16">
        <v>12583</v>
      </c>
      <c r="C6" s="3">
        <v>37</v>
      </c>
      <c r="D6" s="15">
        <f t="shared" si="0"/>
        <v>3.9568062539110528E-2</v>
      </c>
      <c r="E6" s="15">
        <f t="shared" si="1"/>
        <v>0.5455600313198683</v>
      </c>
      <c r="F6" s="3">
        <v>3</v>
      </c>
      <c r="G6" s="64"/>
      <c r="H6" s="3"/>
    </row>
    <row r="7" spans="1:13" ht="15.75" customHeight="1" x14ac:dyDescent="0.2">
      <c r="A7" s="20" t="s">
        <v>106</v>
      </c>
      <c r="B7" s="16">
        <v>12134</v>
      </c>
      <c r="C7" s="3">
        <v>78</v>
      </c>
      <c r="D7" s="15">
        <f t="shared" si="0"/>
        <v>3.815615281328516E-2</v>
      </c>
      <c r="E7" s="15">
        <f t="shared" si="1"/>
        <v>0.58371618413315352</v>
      </c>
      <c r="F7" s="3">
        <v>4</v>
      </c>
      <c r="G7" s="64"/>
    </row>
    <row r="8" spans="1:13" ht="15.75" customHeight="1" x14ac:dyDescent="0.2">
      <c r="A8" s="20" t="s">
        <v>57</v>
      </c>
      <c r="B8" s="16">
        <v>9470</v>
      </c>
      <c r="C8" s="3">
        <v>32</v>
      </c>
      <c r="D8" s="15">
        <f t="shared" si="0"/>
        <v>2.9779031411060693E-2</v>
      </c>
      <c r="E8" s="15">
        <f t="shared" si="1"/>
        <v>0.61349521554421416</v>
      </c>
      <c r="F8" s="3">
        <v>5</v>
      </c>
      <c r="G8" s="64"/>
    </row>
    <row r="9" spans="1:13" ht="15.75" customHeight="1" x14ac:dyDescent="0.2">
      <c r="A9" s="20" t="s">
        <v>86</v>
      </c>
      <c r="B9" s="16">
        <v>8507</v>
      </c>
      <c r="C9" s="3">
        <v>19</v>
      </c>
      <c r="D9" s="15">
        <f t="shared" si="0"/>
        <v>2.6750815228499824E-2</v>
      </c>
      <c r="E9" s="15">
        <f t="shared" si="1"/>
        <v>0.64024603077271403</v>
      </c>
      <c r="F9" s="3">
        <v>6</v>
      </c>
      <c r="G9" s="64"/>
    </row>
    <row r="10" spans="1:13" ht="15.75" customHeight="1" x14ac:dyDescent="0.2">
      <c r="A10" s="20" t="s">
        <v>52</v>
      </c>
      <c r="B10" s="16">
        <v>7741</v>
      </c>
      <c r="C10" s="3">
        <v>43</v>
      </c>
      <c r="D10" s="15">
        <f t="shared" si="0"/>
        <v>2.4342078368851196E-2</v>
      </c>
      <c r="E10" s="15">
        <f t="shared" si="1"/>
        <v>0.66458810914156519</v>
      </c>
      <c r="F10" s="3">
        <v>7</v>
      </c>
      <c r="G10" s="64"/>
    </row>
    <row r="11" spans="1:13" ht="15.75" customHeight="1" x14ac:dyDescent="0.2">
      <c r="A11" s="20" t="s">
        <v>105</v>
      </c>
      <c r="B11" s="16">
        <v>7591</v>
      </c>
      <c r="C11" s="3">
        <v>71</v>
      </c>
      <c r="D11" s="15">
        <f t="shared" si="0"/>
        <v>2.3870393605212432E-2</v>
      </c>
      <c r="E11" s="15">
        <f t="shared" si="1"/>
        <v>0.68845850274677767</v>
      </c>
      <c r="F11" s="3">
        <v>8</v>
      </c>
      <c r="G11" s="64"/>
    </row>
    <row r="12" spans="1:13" ht="15.75" customHeight="1" x14ac:dyDescent="0.2">
      <c r="A12" s="20" t="s">
        <v>78</v>
      </c>
      <c r="B12" s="16">
        <v>5799</v>
      </c>
      <c r="C12" s="3">
        <v>86</v>
      </c>
      <c r="D12" s="15">
        <f t="shared" si="0"/>
        <v>1.8235332962274652E-2</v>
      </c>
      <c r="E12" s="15">
        <f t="shared" si="1"/>
        <v>0.70669383570905231</v>
      </c>
      <c r="F12" s="3">
        <v>9</v>
      </c>
      <c r="G12" s="64"/>
    </row>
    <row r="13" spans="1:13" ht="15.75" customHeight="1" x14ac:dyDescent="0.2">
      <c r="A13" s="20" t="s">
        <v>66</v>
      </c>
      <c r="B13" s="16">
        <v>5037</v>
      </c>
      <c r="C13" s="3">
        <v>40</v>
      </c>
      <c r="D13" s="15">
        <f t="shared" si="0"/>
        <v>1.5839174362989726E-2</v>
      </c>
      <c r="E13" s="15">
        <f t="shared" si="1"/>
        <v>0.72253301007204207</v>
      </c>
      <c r="F13" s="3">
        <v>10</v>
      </c>
      <c r="G13" s="64"/>
    </row>
    <row r="14" spans="1:13" ht="15.75" customHeight="1" x14ac:dyDescent="0.2">
      <c r="A14" s="20" t="s">
        <v>25</v>
      </c>
      <c r="B14" s="16">
        <v>4950</v>
      </c>
      <c r="C14" s="3">
        <v>53</v>
      </c>
      <c r="D14" s="15">
        <f t="shared" si="0"/>
        <v>1.5565597200079244E-2</v>
      </c>
      <c r="E14" s="15">
        <f t="shared" si="1"/>
        <v>0.73809860727212129</v>
      </c>
      <c r="F14" s="3">
        <v>11</v>
      </c>
      <c r="G14" s="64"/>
    </row>
    <row r="15" spans="1:13" ht="15.75" customHeight="1" x14ac:dyDescent="0.2">
      <c r="A15" s="20" t="s">
        <v>104</v>
      </c>
      <c r="B15" s="16">
        <v>4894</v>
      </c>
      <c r="C15" s="3">
        <v>42</v>
      </c>
      <c r="D15" s="15">
        <f t="shared" si="0"/>
        <v>1.5389501554987438E-2</v>
      </c>
      <c r="E15" s="15">
        <f t="shared" si="1"/>
        <v>0.7534881088271087</v>
      </c>
      <c r="F15" s="3">
        <v>12</v>
      </c>
      <c r="G15" s="64"/>
    </row>
    <row r="16" spans="1:13" ht="15.75" customHeight="1" x14ac:dyDescent="0.2">
      <c r="A16" s="20" t="s">
        <v>42</v>
      </c>
      <c r="B16" s="16">
        <v>4233</v>
      </c>
      <c r="C16" s="3">
        <v>15</v>
      </c>
      <c r="D16" s="15">
        <f t="shared" si="0"/>
        <v>1.3310944029885946E-2</v>
      </c>
      <c r="E16" s="15">
        <f t="shared" si="1"/>
        <v>0.76679905285699468</v>
      </c>
      <c r="F16" s="3">
        <v>13</v>
      </c>
      <c r="G16" s="64"/>
    </row>
    <row r="17" spans="1:7" ht="15.75" customHeight="1" x14ac:dyDescent="0.2">
      <c r="A17" s="20" t="s">
        <v>90</v>
      </c>
      <c r="B17" s="16">
        <v>3966</v>
      </c>
      <c r="C17" s="3">
        <v>68</v>
      </c>
      <c r="D17" s="15">
        <f t="shared" si="0"/>
        <v>1.2471345150608945E-2</v>
      </c>
      <c r="E17" s="15">
        <f t="shared" si="1"/>
        <v>0.77927039800760367</v>
      </c>
      <c r="F17" s="3">
        <v>14</v>
      </c>
      <c r="G17" s="65"/>
    </row>
    <row r="18" spans="1:7" ht="15.75" customHeight="1" x14ac:dyDescent="0.2">
      <c r="A18" s="20" t="s">
        <v>98</v>
      </c>
      <c r="B18" s="16">
        <v>3671</v>
      </c>
      <c r="C18" s="3">
        <v>70</v>
      </c>
      <c r="D18" s="15">
        <f t="shared" si="0"/>
        <v>1.1543698448786041E-2</v>
      </c>
      <c r="E18" s="15">
        <f t="shared" si="1"/>
        <v>0.79081409645638967</v>
      </c>
      <c r="F18" s="3">
        <v>1</v>
      </c>
      <c r="G18" s="63" t="s">
        <v>386</v>
      </c>
    </row>
    <row r="19" spans="1:7" ht="15.75" customHeight="1" x14ac:dyDescent="0.2">
      <c r="A19" s="20" t="s">
        <v>109</v>
      </c>
      <c r="B19" s="16">
        <v>3613</v>
      </c>
      <c r="C19" s="3">
        <v>81</v>
      </c>
      <c r="D19" s="15">
        <f t="shared" si="0"/>
        <v>1.1361313673512384E-2</v>
      </c>
      <c r="E19" s="15">
        <f t="shared" si="1"/>
        <v>0.80217541012990201</v>
      </c>
      <c r="F19" s="3">
        <v>2</v>
      </c>
      <c r="G19" s="64"/>
    </row>
    <row r="20" spans="1:7" ht="15.75" customHeight="1" x14ac:dyDescent="0.2">
      <c r="A20" s="20" t="s">
        <v>88</v>
      </c>
      <c r="B20" s="16">
        <v>3062</v>
      </c>
      <c r="C20" s="3">
        <v>25</v>
      </c>
      <c r="D20" s="15">
        <f t="shared" si="0"/>
        <v>9.6286583084126548E-3</v>
      </c>
      <c r="E20" s="15">
        <f t="shared" si="1"/>
        <v>0.81180406843831465</v>
      </c>
      <c r="F20" s="3">
        <v>3</v>
      </c>
      <c r="G20" s="64"/>
    </row>
    <row r="21" spans="1:7" ht="15.75" customHeight="1" x14ac:dyDescent="0.2">
      <c r="A21" s="20" t="s">
        <v>46</v>
      </c>
      <c r="B21" s="16">
        <v>2966</v>
      </c>
      <c r="C21" s="3">
        <v>29</v>
      </c>
      <c r="D21" s="15">
        <f t="shared" si="0"/>
        <v>9.3267800596838462E-3</v>
      </c>
      <c r="E21" s="15">
        <f t="shared" si="1"/>
        <v>0.82113084849799844</v>
      </c>
      <c r="F21" s="3">
        <v>4</v>
      </c>
      <c r="G21" s="64"/>
    </row>
    <row r="22" spans="1:7" ht="15.75" customHeight="1" x14ac:dyDescent="0.2">
      <c r="A22" s="20" t="s">
        <v>72</v>
      </c>
      <c r="B22" s="16">
        <v>2801</v>
      </c>
      <c r="C22" s="3">
        <v>39</v>
      </c>
      <c r="D22" s="15">
        <f t="shared" si="0"/>
        <v>8.8079268196812038E-3</v>
      </c>
      <c r="E22" s="15">
        <f t="shared" si="1"/>
        <v>0.82993877531767968</v>
      </c>
      <c r="F22" s="3">
        <v>5</v>
      </c>
      <c r="G22" s="64"/>
    </row>
    <row r="23" spans="1:7" ht="15.75" customHeight="1" x14ac:dyDescent="0.2">
      <c r="A23" s="20" t="s">
        <v>61</v>
      </c>
      <c r="B23" s="16">
        <v>2776</v>
      </c>
      <c r="C23" s="3">
        <v>88</v>
      </c>
      <c r="D23" s="15">
        <f t="shared" si="0"/>
        <v>8.7293126924080765E-3</v>
      </c>
      <c r="E23" s="15">
        <f t="shared" si="1"/>
        <v>0.83866808801008774</v>
      </c>
      <c r="F23" s="3">
        <v>6</v>
      </c>
      <c r="G23" s="64"/>
    </row>
    <row r="24" spans="1:7" ht="15.75" customHeight="1" x14ac:dyDescent="0.2">
      <c r="A24" s="20" t="s">
        <v>73</v>
      </c>
      <c r="B24" s="16">
        <v>2598</v>
      </c>
      <c r="C24" s="3">
        <v>44</v>
      </c>
      <c r="D24" s="15">
        <f t="shared" si="0"/>
        <v>8.1695801062234095E-3</v>
      </c>
      <c r="E24" s="15">
        <f t="shared" si="1"/>
        <v>0.84683766811631112</v>
      </c>
      <c r="F24" s="3">
        <v>7</v>
      </c>
      <c r="G24" s="64"/>
    </row>
    <row r="25" spans="1:7" ht="15.75" customHeight="1" x14ac:dyDescent="0.2">
      <c r="A25" s="20" t="s">
        <v>95</v>
      </c>
      <c r="B25" s="16">
        <v>2444</v>
      </c>
      <c r="C25" s="3">
        <v>62</v>
      </c>
      <c r="D25" s="15">
        <f t="shared" si="0"/>
        <v>7.6853170822209433E-3</v>
      </c>
      <c r="E25" s="15">
        <f t="shared" si="1"/>
        <v>0.85452298519853209</v>
      </c>
      <c r="F25" s="3">
        <v>8</v>
      </c>
      <c r="G25" s="64"/>
    </row>
    <row r="26" spans="1:7" ht="15.75" customHeight="1" x14ac:dyDescent="0.2">
      <c r="A26" s="20" t="s">
        <v>35</v>
      </c>
      <c r="B26" s="16">
        <v>2331</v>
      </c>
      <c r="C26" s="3">
        <v>58</v>
      </c>
      <c r="D26" s="15">
        <f t="shared" si="0"/>
        <v>7.3299812269464071E-3</v>
      </c>
      <c r="E26" s="15">
        <f t="shared" si="1"/>
        <v>0.86185296642547848</v>
      </c>
      <c r="F26" s="3">
        <v>9</v>
      </c>
      <c r="G26" s="64"/>
    </row>
    <row r="27" spans="1:7" ht="15.75" customHeight="1" x14ac:dyDescent="0.2">
      <c r="A27" s="20" t="s">
        <v>41</v>
      </c>
      <c r="B27" s="16">
        <v>2277</v>
      </c>
      <c r="C27" s="3">
        <v>45</v>
      </c>
      <c r="D27" s="15">
        <f t="shared" si="0"/>
        <v>7.1601747120364516E-3</v>
      </c>
      <c r="E27" s="15">
        <f t="shared" si="1"/>
        <v>0.86901314113751493</v>
      </c>
      <c r="F27" s="3">
        <v>10</v>
      </c>
      <c r="G27" s="64"/>
    </row>
    <row r="28" spans="1:7" ht="15.75" customHeight="1" x14ac:dyDescent="0.2">
      <c r="A28" s="20" t="s">
        <v>64</v>
      </c>
      <c r="B28" s="31">
        <v>2003</v>
      </c>
      <c r="C28" s="3">
        <v>5</v>
      </c>
      <c r="D28" s="15">
        <f t="shared" si="0"/>
        <v>6.2985638771229742E-3</v>
      </c>
      <c r="E28" s="15">
        <f t="shared" si="1"/>
        <v>0.87531170501463795</v>
      </c>
      <c r="F28" s="3">
        <v>11</v>
      </c>
      <c r="G28" s="64"/>
    </row>
    <row r="29" spans="1:7" ht="15.75" customHeight="1" x14ac:dyDescent="0.2">
      <c r="A29" s="20" t="s">
        <v>38</v>
      </c>
      <c r="B29" s="31">
        <v>1934</v>
      </c>
      <c r="C29" s="3">
        <v>7</v>
      </c>
      <c r="D29" s="15">
        <f t="shared" si="0"/>
        <v>6.0815888858491429E-3</v>
      </c>
      <c r="E29" s="15">
        <f t="shared" si="1"/>
        <v>0.88139329390048715</v>
      </c>
      <c r="F29" s="3">
        <v>12</v>
      </c>
      <c r="G29" s="64"/>
    </row>
    <row r="30" spans="1:7" ht="15.75" customHeight="1" x14ac:dyDescent="0.2">
      <c r="A30" s="20" t="s">
        <v>12</v>
      </c>
      <c r="B30" s="16">
        <v>1762</v>
      </c>
      <c r="C30" s="3">
        <v>30</v>
      </c>
      <c r="D30" s="15">
        <f t="shared" si="0"/>
        <v>5.5407236902100254E-3</v>
      </c>
      <c r="E30" s="15">
        <f t="shared" si="1"/>
        <v>0.88693401759069723</v>
      </c>
      <c r="F30" s="3">
        <v>13</v>
      </c>
      <c r="G30" s="64"/>
    </row>
    <row r="31" spans="1:7" ht="15.75" customHeight="1" x14ac:dyDescent="0.2">
      <c r="A31" s="20" t="s">
        <v>43</v>
      </c>
      <c r="B31" s="16">
        <v>1749</v>
      </c>
      <c r="C31" s="3">
        <v>50</v>
      </c>
      <c r="D31" s="15">
        <f t="shared" si="0"/>
        <v>5.4998443440279991E-3</v>
      </c>
      <c r="E31" s="15">
        <f t="shared" si="1"/>
        <v>0.89243386193472518</v>
      </c>
      <c r="F31" s="3">
        <v>14</v>
      </c>
      <c r="G31" s="64"/>
    </row>
    <row r="32" spans="1:7" ht="15.75" customHeight="1" x14ac:dyDescent="0.2">
      <c r="A32" s="20" t="s">
        <v>69</v>
      </c>
      <c r="B32" s="16">
        <v>1733</v>
      </c>
      <c r="C32" s="3">
        <v>11</v>
      </c>
      <c r="D32" s="15">
        <f t="shared" si="0"/>
        <v>5.4495313025731979E-3</v>
      </c>
      <c r="E32" s="15">
        <f t="shared" si="1"/>
        <v>0.89788339323729838</v>
      </c>
      <c r="F32" s="3">
        <v>15</v>
      </c>
      <c r="G32" s="64"/>
    </row>
    <row r="33" spans="1:7" ht="15.75" customHeight="1" x14ac:dyDescent="0.2">
      <c r="A33" s="20" t="s">
        <v>47</v>
      </c>
      <c r="B33" s="31">
        <v>1628</v>
      </c>
      <c r="C33" s="3">
        <v>10</v>
      </c>
      <c r="D33" s="15">
        <f t="shared" si="0"/>
        <v>5.1193519680260624E-3</v>
      </c>
      <c r="E33" s="15">
        <f t="shared" si="1"/>
        <v>0.90300274520532442</v>
      </c>
      <c r="F33" s="3">
        <v>16</v>
      </c>
      <c r="G33" s="65"/>
    </row>
    <row r="34" spans="1:7" ht="15.75" customHeight="1" x14ac:dyDescent="0.2">
      <c r="A34" s="20" t="s">
        <v>100</v>
      </c>
      <c r="B34" s="31">
        <v>1529</v>
      </c>
      <c r="C34" s="3">
        <v>6</v>
      </c>
      <c r="D34" s="15">
        <f t="shared" si="0"/>
        <v>4.8080400240244773E-3</v>
      </c>
      <c r="E34" s="15">
        <f t="shared" si="1"/>
        <v>0.90781078522934888</v>
      </c>
    </row>
    <row r="35" spans="1:7" ht="15.75" customHeight="1" x14ac:dyDescent="0.2">
      <c r="A35" s="20" t="s">
        <v>102</v>
      </c>
      <c r="B35" s="16">
        <v>1482</v>
      </c>
      <c r="C35" s="3">
        <v>33</v>
      </c>
      <c r="D35" s="15">
        <f t="shared" si="0"/>
        <v>4.6602454647509976E-3</v>
      </c>
      <c r="E35" s="15">
        <f t="shared" si="1"/>
        <v>0.91247103069409985</v>
      </c>
    </row>
    <row r="36" spans="1:7" ht="15.75" customHeight="1" x14ac:dyDescent="0.2">
      <c r="A36" s="20" t="s">
        <v>77</v>
      </c>
      <c r="B36" s="16">
        <v>1450</v>
      </c>
      <c r="C36" s="3">
        <v>77</v>
      </c>
      <c r="D36" s="15">
        <f t="shared" si="0"/>
        <v>4.5596193818413944E-3</v>
      </c>
      <c r="E36" s="15">
        <f t="shared" si="1"/>
        <v>0.9170306500759412</v>
      </c>
    </row>
    <row r="37" spans="1:7" ht="15.75" customHeight="1" x14ac:dyDescent="0.2">
      <c r="A37" s="20" t="s">
        <v>94</v>
      </c>
      <c r="B37" s="16">
        <v>1392</v>
      </c>
      <c r="C37" s="3">
        <v>47</v>
      </c>
      <c r="D37" s="15">
        <f t="shared" si="0"/>
        <v>4.3772346065677386E-3</v>
      </c>
      <c r="E37" s="15">
        <f t="shared" si="1"/>
        <v>0.92140788468250889</v>
      </c>
    </row>
    <row r="38" spans="1:7" ht="12.75" x14ac:dyDescent="0.2">
      <c r="A38" s="20" t="s">
        <v>93</v>
      </c>
      <c r="B38" s="31">
        <v>1345</v>
      </c>
      <c r="C38" s="3">
        <v>13</v>
      </c>
      <c r="D38" s="15">
        <f t="shared" si="0"/>
        <v>4.2294400472942589E-3</v>
      </c>
      <c r="E38" s="15">
        <f t="shared" si="1"/>
        <v>0.9256373247298032</v>
      </c>
    </row>
    <row r="39" spans="1:7" ht="12.75" x14ac:dyDescent="0.2">
      <c r="A39" s="20" t="s">
        <v>44</v>
      </c>
      <c r="B39" s="16">
        <v>1193</v>
      </c>
      <c r="C39" s="3">
        <v>83</v>
      </c>
      <c r="D39" s="15">
        <f t="shared" si="0"/>
        <v>3.7514661534736437E-3</v>
      </c>
      <c r="E39" s="15">
        <f t="shared" si="1"/>
        <v>0.92938879088327686</v>
      </c>
    </row>
    <row r="40" spans="1:7" ht="12.75" x14ac:dyDescent="0.2">
      <c r="A40" s="20" t="s">
        <v>107</v>
      </c>
      <c r="B40" s="31">
        <v>1151</v>
      </c>
      <c r="C40" s="3">
        <v>8</v>
      </c>
      <c r="D40" s="15">
        <f t="shared" si="0"/>
        <v>3.6193944196547898E-3</v>
      </c>
      <c r="E40" s="15">
        <f t="shared" si="1"/>
        <v>0.93300818530293161</v>
      </c>
    </row>
    <row r="41" spans="1:7" ht="12.75" x14ac:dyDescent="0.2">
      <c r="A41" s="20" t="s">
        <v>65</v>
      </c>
      <c r="B41" s="16">
        <v>1062</v>
      </c>
      <c r="C41" s="3">
        <v>38</v>
      </c>
      <c r="D41" s="15">
        <f t="shared" si="0"/>
        <v>3.3395281265624559E-3</v>
      </c>
      <c r="E41" s="15">
        <f t="shared" si="1"/>
        <v>0.93634771342949408</v>
      </c>
    </row>
    <row r="42" spans="1:7" ht="12.75" x14ac:dyDescent="0.2">
      <c r="A42" s="20" t="s">
        <v>110</v>
      </c>
      <c r="B42" s="31">
        <v>1036</v>
      </c>
      <c r="C42" s="3">
        <v>9</v>
      </c>
      <c r="D42" s="15">
        <f t="shared" si="0"/>
        <v>3.2577694341984031E-3</v>
      </c>
      <c r="E42" s="15">
        <f t="shared" si="1"/>
        <v>0.9396054828636925</v>
      </c>
    </row>
    <row r="43" spans="1:7" ht="12.75" x14ac:dyDescent="0.2">
      <c r="A43" s="20" t="s">
        <v>55</v>
      </c>
      <c r="B43" s="31">
        <v>963</v>
      </c>
      <c r="C43" s="3">
        <v>46</v>
      </c>
      <c r="D43" s="15">
        <f t="shared" si="0"/>
        <v>3.0282161825608707E-3</v>
      </c>
      <c r="E43" s="15">
        <f t="shared" si="1"/>
        <v>0.94263369904625338</v>
      </c>
    </row>
    <row r="44" spans="1:7" ht="12.75" x14ac:dyDescent="0.2">
      <c r="A44" s="20" t="s">
        <v>89</v>
      </c>
      <c r="B44" s="31">
        <v>875</v>
      </c>
      <c r="C44" s="3">
        <v>57</v>
      </c>
      <c r="D44" s="15">
        <f t="shared" si="0"/>
        <v>2.7514944545594623E-3</v>
      </c>
      <c r="E44" s="15">
        <f t="shared" si="1"/>
        <v>0.94538519350081285</v>
      </c>
    </row>
    <row r="45" spans="1:7" ht="12.75" x14ac:dyDescent="0.2">
      <c r="A45" s="20" t="s">
        <v>87</v>
      </c>
      <c r="B45" s="31">
        <v>812</v>
      </c>
      <c r="C45" s="3">
        <v>66</v>
      </c>
      <c r="D45" s="15">
        <f t="shared" si="0"/>
        <v>2.553386853831181E-3</v>
      </c>
      <c r="E45" s="15">
        <f t="shared" si="1"/>
        <v>0.94793858035464407</v>
      </c>
    </row>
    <row r="46" spans="1:7" ht="12.75" x14ac:dyDescent="0.2">
      <c r="A46" s="20" t="s">
        <v>76</v>
      </c>
      <c r="B46" s="31">
        <v>796</v>
      </c>
      <c r="C46" s="3">
        <v>52</v>
      </c>
      <c r="D46" s="15">
        <f t="shared" si="0"/>
        <v>2.5030738123763795E-3</v>
      </c>
      <c r="E46" s="15">
        <f t="shared" si="1"/>
        <v>0.95044165416702042</v>
      </c>
    </row>
    <row r="47" spans="1:7" ht="12.75" x14ac:dyDescent="0.2">
      <c r="A47" s="20" t="s">
        <v>53</v>
      </c>
      <c r="B47" s="31">
        <v>789</v>
      </c>
      <c r="C47" s="3">
        <v>85</v>
      </c>
      <c r="D47" s="15">
        <f t="shared" si="0"/>
        <v>2.4810618567399035E-3</v>
      </c>
      <c r="E47" s="15">
        <f t="shared" si="1"/>
        <v>0.95292271602376033</v>
      </c>
    </row>
    <row r="48" spans="1:7" ht="12.75" x14ac:dyDescent="0.2">
      <c r="A48" s="20" t="s">
        <v>36</v>
      </c>
      <c r="B48" s="31">
        <v>784</v>
      </c>
      <c r="C48" s="3">
        <v>72</v>
      </c>
      <c r="D48" s="15">
        <f t="shared" si="0"/>
        <v>2.4653390312852782E-3</v>
      </c>
      <c r="E48" s="15">
        <f t="shared" si="1"/>
        <v>0.95538805505504565</v>
      </c>
    </row>
    <row r="49" spans="1:5" ht="12.75" x14ac:dyDescent="0.2">
      <c r="A49" s="20" t="s">
        <v>51</v>
      </c>
      <c r="B49" s="31">
        <v>764</v>
      </c>
      <c r="C49" s="3">
        <v>18</v>
      </c>
      <c r="D49" s="15">
        <f t="shared" si="0"/>
        <v>2.4024477294667763E-3</v>
      </c>
      <c r="E49" s="15">
        <f t="shared" si="1"/>
        <v>0.95779050278451239</v>
      </c>
    </row>
    <row r="50" spans="1:5" ht="12.75" x14ac:dyDescent="0.2">
      <c r="A50" s="20" t="s">
        <v>56</v>
      </c>
      <c r="B50" s="31">
        <v>675</v>
      </c>
      <c r="C50" s="3">
        <v>27</v>
      </c>
      <c r="D50" s="15">
        <f t="shared" si="0"/>
        <v>2.1225814363744423E-3</v>
      </c>
      <c r="E50" s="15">
        <f t="shared" si="1"/>
        <v>0.95991308422088684</v>
      </c>
    </row>
    <row r="51" spans="1:5" ht="12.75" x14ac:dyDescent="0.2">
      <c r="A51" s="20" t="s">
        <v>92</v>
      </c>
      <c r="B51" s="31">
        <v>658</v>
      </c>
      <c r="C51" s="3">
        <v>87</v>
      </c>
      <c r="D51" s="15">
        <f t="shared" si="0"/>
        <v>2.0691238298287157E-3</v>
      </c>
      <c r="E51" s="15">
        <f t="shared" si="1"/>
        <v>0.96198220805071555</v>
      </c>
    </row>
    <row r="52" spans="1:5" ht="12.75" x14ac:dyDescent="0.2">
      <c r="A52" s="20" t="s">
        <v>68</v>
      </c>
      <c r="B52" s="31">
        <v>617</v>
      </c>
      <c r="C52" s="3">
        <v>24</v>
      </c>
      <c r="D52" s="15">
        <f t="shared" si="0"/>
        <v>1.9401966611007865E-3</v>
      </c>
      <c r="E52" s="15">
        <f t="shared" si="1"/>
        <v>0.96392240471181634</v>
      </c>
    </row>
    <row r="53" spans="1:5" ht="12.75" x14ac:dyDescent="0.2">
      <c r="A53" s="20" t="s">
        <v>114</v>
      </c>
      <c r="B53" s="31">
        <v>596</v>
      </c>
      <c r="C53" s="3">
        <v>67</v>
      </c>
      <c r="D53" s="15">
        <f t="shared" si="0"/>
        <v>1.8741607941913593E-3</v>
      </c>
      <c r="E53" s="15">
        <f t="shared" si="1"/>
        <v>0.96579656550600768</v>
      </c>
    </row>
    <row r="54" spans="1:5" ht="12.75" x14ac:dyDescent="0.2">
      <c r="A54" s="20" t="s">
        <v>108</v>
      </c>
      <c r="B54" s="31">
        <v>573</v>
      </c>
      <c r="C54" s="3">
        <v>56</v>
      </c>
      <c r="D54" s="15">
        <f t="shared" si="0"/>
        <v>1.801835797100082E-3</v>
      </c>
      <c r="E54" s="15">
        <f t="shared" si="1"/>
        <v>0.96759840130310781</v>
      </c>
    </row>
    <row r="55" spans="1:5" ht="12.75" x14ac:dyDescent="0.2">
      <c r="A55" s="20" t="s">
        <v>63</v>
      </c>
      <c r="B55" s="31">
        <v>560</v>
      </c>
      <c r="C55" s="3">
        <v>65</v>
      </c>
      <c r="D55" s="15">
        <f t="shared" si="0"/>
        <v>1.7609564509180559E-3</v>
      </c>
      <c r="E55" s="15">
        <f t="shared" si="1"/>
        <v>0.96935935775402582</v>
      </c>
    </row>
    <row r="56" spans="1:5" ht="12.75" x14ac:dyDescent="0.2">
      <c r="A56" s="20" t="s">
        <v>59</v>
      </c>
      <c r="B56" s="31">
        <v>546</v>
      </c>
      <c r="C56" s="3">
        <v>59</v>
      </c>
      <c r="D56" s="15">
        <f t="shared" si="0"/>
        <v>1.7169325396451044E-3</v>
      </c>
      <c r="E56" s="15">
        <f t="shared" si="1"/>
        <v>0.97107629029367093</v>
      </c>
    </row>
    <row r="57" spans="1:5" ht="12.75" x14ac:dyDescent="0.2">
      <c r="A57" s="20" t="s">
        <v>54</v>
      </c>
      <c r="B57" s="31">
        <v>539</v>
      </c>
      <c r="C57" s="3">
        <v>4</v>
      </c>
      <c r="D57" s="15">
        <f t="shared" si="0"/>
        <v>1.6949205840086287E-3</v>
      </c>
      <c r="E57" s="15">
        <f t="shared" si="1"/>
        <v>0.97277121087767959</v>
      </c>
    </row>
    <row r="58" spans="1:5" ht="12.75" x14ac:dyDescent="0.2">
      <c r="A58" s="20" t="s">
        <v>83</v>
      </c>
      <c r="B58" s="31">
        <v>530</v>
      </c>
      <c r="C58" s="3">
        <v>31</v>
      </c>
      <c r="D58" s="15">
        <f t="shared" si="0"/>
        <v>1.6666194981903029E-3</v>
      </c>
      <c r="E58" s="15">
        <f t="shared" si="1"/>
        <v>0.97443783037586995</v>
      </c>
    </row>
    <row r="59" spans="1:5" ht="12.75" x14ac:dyDescent="0.2">
      <c r="A59" s="20" t="s">
        <v>62</v>
      </c>
      <c r="B59" s="31">
        <v>527</v>
      </c>
      <c r="C59" s="3">
        <v>36</v>
      </c>
      <c r="D59" s="15">
        <f t="shared" si="0"/>
        <v>1.6571858029175274E-3</v>
      </c>
      <c r="E59" s="15">
        <f t="shared" si="1"/>
        <v>0.97609501617878747</v>
      </c>
    </row>
    <row r="60" spans="1:5" ht="12.75" x14ac:dyDescent="0.2">
      <c r="A60" s="20" t="s">
        <v>74</v>
      </c>
      <c r="B60" s="31">
        <v>499</v>
      </c>
      <c r="C60" s="3">
        <v>14</v>
      </c>
      <c r="D60" s="15">
        <f t="shared" si="0"/>
        <v>1.5691379803716248E-3</v>
      </c>
      <c r="E60" s="15">
        <f t="shared" si="1"/>
        <v>0.97766415415915908</v>
      </c>
    </row>
    <row r="61" spans="1:5" ht="12.75" x14ac:dyDescent="0.2">
      <c r="A61" s="20" t="s">
        <v>71</v>
      </c>
      <c r="B61" s="31">
        <v>492</v>
      </c>
      <c r="C61" s="3">
        <v>1</v>
      </c>
      <c r="D61" s="15">
        <f t="shared" si="0"/>
        <v>1.5471260247351491E-3</v>
      </c>
      <c r="E61" s="15">
        <f t="shared" si="1"/>
        <v>0.97921128018389425</v>
      </c>
    </row>
    <row r="62" spans="1:5" ht="12.75" x14ac:dyDescent="0.2">
      <c r="A62" s="20" t="s">
        <v>85</v>
      </c>
      <c r="B62" s="31">
        <v>459</v>
      </c>
      <c r="C62" s="3">
        <v>76</v>
      </c>
      <c r="D62" s="15">
        <f t="shared" si="0"/>
        <v>1.4433553767346206E-3</v>
      </c>
      <c r="E62" s="15">
        <f t="shared" si="1"/>
        <v>0.98065463556062882</v>
      </c>
    </row>
    <row r="63" spans="1:5" ht="12.75" x14ac:dyDescent="0.2">
      <c r="A63" s="20" t="s">
        <v>58</v>
      </c>
      <c r="B63" s="31">
        <v>456</v>
      </c>
      <c r="C63" s="3">
        <v>55</v>
      </c>
      <c r="D63" s="15">
        <f t="shared" si="0"/>
        <v>1.4339216814618454E-3</v>
      </c>
      <c r="E63" s="15">
        <f t="shared" si="1"/>
        <v>0.98208855724209065</v>
      </c>
    </row>
    <row r="64" spans="1:5" ht="12.75" x14ac:dyDescent="0.2">
      <c r="A64" s="20" t="s">
        <v>37</v>
      </c>
      <c r="B64" s="31">
        <v>436</v>
      </c>
      <c r="C64" s="3">
        <v>79</v>
      </c>
      <c r="D64" s="15">
        <f t="shared" si="0"/>
        <v>1.3710303796433435E-3</v>
      </c>
      <c r="E64" s="15">
        <f t="shared" si="1"/>
        <v>0.98345958762173402</v>
      </c>
    </row>
    <row r="65" spans="1:5" ht="12.75" x14ac:dyDescent="0.2">
      <c r="A65" s="20" t="s">
        <v>50</v>
      </c>
      <c r="B65" s="31">
        <v>428</v>
      </c>
      <c r="C65" s="3">
        <v>16</v>
      </c>
      <c r="D65" s="15">
        <f t="shared" si="0"/>
        <v>1.3458738589159425E-3</v>
      </c>
      <c r="E65" s="15">
        <f t="shared" si="1"/>
        <v>0.98480546148064996</v>
      </c>
    </row>
    <row r="66" spans="1:5" ht="12.75" x14ac:dyDescent="0.2">
      <c r="A66" s="20" t="s">
        <v>97</v>
      </c>
      <c r="B66" s="31">
        <v>411</v>
      </c>
      <c r="C66" s="3">
        <v>69</v>
      </c>
      <c r="D66" s="15">
        <f t="shared" si="0"/>
        <v>1.2924162523702159E-3</v>
      </c>
      <c r="E66" s="15">
        <f t="shared" si="1"/>
        <v>0.98609787773302016</v>
      </c>
    </row>
    <row r="67" spans="1:5" ht="12.75" x14ac:dyDescent="0.2">
      <c r="A67" s="20" t="s">
        <v>112</v>
      </c>
      <c r="B67" s="31">
        <v>399</v>
      </c>
      <c r="C67" s="3">
        <v>17</v>
      </c>
      <c r="D67" s="15">
        <f t="shared" si="0"/>
        <v>1.2546814712791148E-3</v>
      </c>
      <c r="E67" s="15">
        <f t="shared" si="1"/>
        <v>0.98735255920429932</v>
      </c>
    </row>
    <row r="68" spans="1:5" ht="12.75" x14ac:dyDescent="0.2">
      <c r="A68" s="20" t="s">
        <v>82</v>
      </c>
      <c r="B68" s="31">
        <v>379</v>
      </c>
      <c r="C68" s="3">
        <v>3</v>
      </c>
      <c r="D68" s="15">
        <f t="shared" si="0"/>
        <v>1.1917901694606127E-3</v>
      </c>
      <c r="E68" s="15">
        <f t="shared" si="1"/>
        <v>0.9885443493737599</v>
      </c>
    </row>
    <row r="69" spans="1:5" ht="12.75" x14ac:dyDescent="0.2">
      <c r="A69" s="20" t="s">
        <v>111</v>
      </c>
      <c r="B69" s="31">
        <v>345</v>
      </c>
      <c r="C69" s="3">
        <v>23</v>
      </c>
      <c r="D69" s="15">
        <f t="shared" si="0"/>
        <v>1.0848749563691594E-3</v>
      </c>
      <c r="E69" s="15">
        <f t="shared" si="1"/>
        <v>0.98962922433012901</v>
      </c>
    </row>
    <row r="70" spans="1:5" ht="12.75" x14ac:dyDescent="0.2">
      <c r="A70" s="20" t="s">
        <v>101</v>
      </c>
      <c r="B70" s="31">
        <v>317</v>
      </c>
      <c r="C70" s="3">
        <v>54</v>
      </c>
      <c r="D70" s="15">
        <f t="shared" si="0"/>
        <v>9.9682713382325656E-4</v>
      </c>
      <c r="E70" s="15">
        <f t="shared" si="1"/>
        <v>0.99062605146395222</v>
      </c>
    </row>
    <row r="71" spans="1:5" ht="12.75" x14ac:dyDescent="0.2">
      <c r="A71" s="20" t="s">
        <v>99</v>
      </c>
      <c r="B71" s="31">
        <v>309</v>
      </c>
      <c r="C71" s="3">
        <v>2</v>
      </c>
      <c r="D71" s="15">
        <f t="shared" si="0"/>
        <v>9.7167061309585577E-4</v>
      </c>
      <c r="E71" s="15">
        <f t="shared" si="1"/>
        <v>0.9915977220770481</v>
      </c>
    </row>
    <row r="72" spans="1:5" ht="12.75" x14ac:dyDescent="0.2">
      <c r="A72" s="20" t="s">
        <v>96</v>
      </c>
      <c r="B72" s="31">
        <v>305</v>
      </c>
      <c r="C72" s="3">
        <v>64</v>
      </c>
      <c r="D72" s="15">
        <f t="shared" si="0"/>
        <v>9.5909235273215537E-4</v>
      </c>
      <c r="E72" s="15">
        <f t="shared" si="1"/>
        <v>0.99255681442978028</v>
      </c>
    </row>
    <row r="73" spans="1:5" ht="12.75" x14ac:dyDescent="0.2">
      <c r="A73" s="20" t="s">
        <v>60</v>
      </c>
      <c r="B73" s="31">
        <v>305</v>
      </c>
      <c r="C73" s="3">
        <v>73</v>
      </c>
      <c r="D73" s="15">
        <f t="shared" si="0"/>
        <v>9.5909235273215537E-4</v>
      </c>
      <c r="E73" s="15">
        <f t="shared" si="1"/>
        <v>0.99351590678251245</v>
      </c>
    </row>
    <row r="74" spans="1:5" ht="12.75" x14ac:dyDescent="0.2">
      <c r="A74" s="20" t="s">
        <v>80</v>
      </c>
      <c r="B74" s="31">
        <v>268</v>
      </c>
      <c r="C74" s="3">
        <v>48</v>
      </c>
      <c r="D74" s="15">
        <f t="shared" si="0"/>
        <v>8.4274344436792664E-4</v>
      </c>
      <c r="E74" s="15">
        <f t="shared" si="1"/>
        <v>0.99435865022688041</v>
      </c>
    </row>
    <row r="75" spans="1:5" ht="12.75" x14ac:dyDescent="0.2">
      <c r="A75" s="20" t="s">
        <v>103</v>
      </c>
      <c r="B75" s="31">
        <v>263</v>
      </c>
      <c r="C75" s="3">
        <v>34</v>
      </c>
      <c r="D75" s="15">
        <f t="shared" si="0"/>
        <v>8.2702061891330118E-4</v>
      </c>
      <c r="E75" s="15">
        <f t="shared" si="1"/>
        <v>0.99518567084579368</v>
      </c>
    </row>
    <row r="76" spans="1:5" ht="12.75" x14ac:dyDescent="0.2">
      <c r="A76" s="20" t="s">
        <v>79</v>
      </c>
      <c r="B76" s="31">
        <v>249</v>
      </c>
      <c r="C76" s="3">
        <v>28</v>
      </c>
      <c r="D76" s="15">
        <f t="shared" si="0"/>
        <v>7.8299670764034985E-4</v>
      </c>
      <c r="E76" s="15">
        <f t="shared" si="1"/>
        <v>0.99596866755343405</v>
      </c>
    </row>
    <row r="77" spans="1:5" ht="12.75" x14ac:dyDescent="0.2">
      <c r="A77" s="20" t="s">
        <v>49</v>
      </c>
      <c r="B77" s="31">
        <v>245</v>
      </c>
      <c r="C77" s="3">
        <v>75</v>
      </c>
      <c r="D77" s="15">
        <f t="shared" si="0"/>
        <v>7.7041844727664946E-4</v>
      </c>
      <c r="E77" s="15">
        <f t="shared" si="1"/>
        <v>0.99673908600071071</v>
      </c>
    </row>
    <row r="78" spans="1:5" ht="12.75" x14ac:dyDescent="0.2">
      <c r="A78" s="20" t="s">
        <v>81</v>
      </c>
      <c r="B78" s="31">
        <v>235</v>
      </c>
      <c r="C78" s="3">
        <v>49</v>
      </c>
      <c r="D78" s="15">
        <f t="shared" si="0"/>
        <v>7.3897279636739842E-4</v>
      </c>
      <c r="E78" s="15">
        <f t="shared" si="1"/>
        <v>0.99747805879707807</v>
      </c>
    </row>
    <row r="79" spans="1:5" ht="12.75" x14ac:dyDescent="0.2">
      <c r="A79" s="20" t="s">
        <v>115</v>
      </c>
      <c r="B79" s="31">
        <v>170</v>
      </c>
      <c r="C79" s="3">
        <v>82</v>
      </c>
      <c r="D79" s="15">
        <f t="shared" si="0"/>
        <v>5.3457606545726693E-4</v>
      </c>
      <c r="E79" s="15">
        <f t="shared" si="1"/>
        <v>0.99801263486253533</v>
      </c>
    </row>
    <row r="80" spans="1:5" ht="12.75" x14ac:dyDescent="0.2">
      <c r="A80" s="20" t="s">
        <v>387</v>
      </c>
      <c r="B80" s="31">
        <v>154</v>
      </c>
      <c r="C80" s="3">
        <v>84</v>
      </c>
      <c r="D80" s="15">
        <f t="shared" si="0"/>
        <v>4.8426302400246535E-4</v>
      </c>
      <c r="E80" s="15">
        <f t="shared" si="1"/>
        <v>0.99849689788653784</v>
      </c>
    </row>
    <row r="81" spans="1:5" ht="12.75" x14ac:dyDescent="0.2">
      <c r="A81" s="20" t="s">
        <v>75</v>
      </c>
      <c r="B81" s="31">
        <v>151</v>
      </c>
      <c r="C81" s="3">
        <v>51</v>
      </c>
      <c r="D81" s="15">
        <f t="shared" si="0"/>
        <v>4.7482932872969002E-4</v>
      </c>
      <c r="E81" s="15">
        <f t="shared" si="1"/>
        <v>0.9989717272152675</v>
      </c>
    </row>
    <row r="82" spans="1:5" ht="12.75" x14ac:dyDescent="0.2">
      <c r="A82" s="20" t="s">
        <v>67</v>
      </c>
      <c r="B82" s="31">
        <v>84</v>
      </c>
      <c r="C82" s="3">
        <v>63</v>
      </c>
      <c r="D82" s="15">
        <f t="shared" si="0"/>
        <v>2.6414346763770839E-4</v>
      </c>
      <c r="E82" s="15">
        <f t="shared" si="1"/>
        <v>0.9992358706829052</v>
      </c>
    </row>
    <row r="83" spans="1:5" ht="12.75" x14ac:dyDescent="0.2">
      <c r="A83" s="20" t="s">
        <v>388</v>
      </c>
      <c r="B83" s="31">
        <v>70</v>
      </c>
      <c r="C83" s="3">
        <v>61</v>
      </c>
      <c r="D83" s="15">
        <f t="shared" si="0"/>
        <v>2.2011955636475698E-4</v>
      </c>
      <c r="E83" s="15">
        <f t="shared" si="1"/>
        <v>0.99945599023927001</v>
      </c>
    </row>
    <row r="84" spans="1:5" ht="12.75" x14ac:dyDescent="0.2">
      <c r="A84" s="20" t="s">
        <v>389</v>
      </c>
      <c r="B84" s="31">
        <v>52</v>
      </c>
      <c r="C84" s="3">
        <v>41</v>
      </c>
      <c r="D84" s="15">
        <f t="shared" si="0"/>
        <v>1.6351738472810518E-4</v>
      </c>
      <c r="E84" s="15">
        <f t="shared" si="1"/>
        <v>0.99961950762399809</v>
      </c>
    </row>
    <row r="85" spans="1:5" ht="12.75" x14ac:dyDescent="0.2">
      <c r="A85" s="20" t="s">
        <v>154</v>
      </c>
      <c r="B85" s="31">
        <v>46</v>
      </c>
      <c r="C85" s="3">
        <v>80</v>
      </c>
      <c r="D85" s="15">
        <f t="shared" si="0"/>
        <v>1.4464999418255459E-4</v>
      </c>
      <c r="E85" s="15">
        <f t="shared" si="1"/>
        <v>0.9997641576181806</v>
      </c>
    </row>
    <row r="86" spans="1:5" ht="12.75" x14ac:dyDescent="0.2">
      <c r="A86" s="20" t="s">
        <v>390</v>
      </c>
      <c r="B86" s="31">
        <v>40</v>
      </c>
      <c r="C86" s="3">
        <v>12</v>
      </c>
      <c r="D86" s="15">
        <f t="shared" si="0"/>
        <v>1.2578260363700397E-4</v>
      </c>
      <c r="E86" s="15">
        <f t="shared" si="1"/>
        <v>0.99988994022181765</v>
      </c>
    </row>
    <row r="87" spans="1:5" ht="12.75" x14ac:dyDescent="0.2">
      <c r="A87" s="20" t="s">
        <v>155</v>
      </c>
      <c r="B87" s="31">
        <v>32</v>
      </c>
      <c r="C87" s="3">
        <v>22</v>
      </c>
      <c r="D87" s="15">
        <f t="shared" si="0"/>
        <v>1.0062608290960318E-4</v>
      </c>
      <c r="E87" s="15">
        <f t="shared" si="1"/>
        <v>0.99999056630472727</v>
      </c>
    </row>
    <row r="88" spans="1:5" ht="12.75" x14ac:dyDescent="0.2">
      <c r="A88" s="20" t="s">
        <v>158</v>
      </c>
      <c r="B88" s="31">
        <v>3</v>
      </c>
      <c r="C88" s="3">
        <v>60</v>
      </c>
      <c r="D88" s="15">
        <f t="shared" si="0"/>
        <v>9.4336952727752992E-6</v>
      </c>
      <c r="E88" s="15">
        <f t="shared" si="1"/>
        <v>1</v>
      </c>
    </row>
    <row r="89" spans="1:5" ht="12.75" x14ac:dyDescent="0.2">
      <c r="A89" s="20" t="s">
        <v>391</v>
      </c>
      <c r="B89" s="31">
        <v>0</v>
      </c>
      <c r="C89" s="3">
        <v>20</v>
      </c>
      <c r="D89" s="15">
        <f t="shared" si="0"/>
        <v>0</v>
      </c>
      <c r="E89" s="15">
        <f t="shared" si="1"/>
        <v>1</v>
      </c>
    </row>
    <row r="90" spans="1:5" ht="12.75" x14ac:dyDescent="0.2">
      <c r="A90" s="20" t="s">
        <v>392</v>
      </c>
      <c r="B90" s="31">
        <v>0</v>
      </c>
      <c r="C90" s="3">
        <v>21</v>
      </c>
      <c r="D90" s="15">
        <f t="shared" si="0"/>
        <v>0</v>
      </c>
      <c r="E90" s="15">
        <f t="shared" si="1"/>
        <v>1</v>
      </c>
    </row>
    <row r="91" spans="1:5" ht="12.75" x14ac:dyDescent="0.2">
      <c r="A91" s="20" t="s">
        <v>393</v>
      </c>
      <c r="B91" s="31">
        <v>0</v>
      </c>
      <c r="C91" s="3">
        <v>26</v>
      </c>
      <c r="D91" s="15">
        <f t="shared" si="0"/>
        <v>0</v>
      </c>
      <c r="E91" s="15">
        <f t="shared" si="1"/>
        <v>1</v>
      </c>
    </row>
    <row r="92" spans="1:5" ht="12.75" x14ac:dyDescent="0.2">
      <c r="A92" s="20" t="s">
        <v>394</v>
      </c>
      <c r="B92" s="16"/>
      <c r="C92" s="3">
        <v>89</v>
      </c>
      <c r="D92" s="15">
        <f t="shared" si="0"/>
        <v>0</v>
      </c>
      <c r="E92" s="15">
        <f t="shared" si="1"/>
        <v>1</v>
      </c>
    </row>
    <row r="93" spans="1:5" ht="12.75" x14ac:dyDescent="0.2">
      <c r="A93" s="3" t="s">
        <v>45</v>
      </c>
      <c r="B93" s="31"/>
      <c r="C93" s="3"/>
      <c r="D93" s="15"/>
    </row>
    <row r="94" spans="1:5" ht="12.75" x14ac:dyDescent="0.2">
      <c r="A94" s="3" t="s">
        <v>91</v>
      </c>
      <c r="B94" s="31"/>
      <c r="D94" s="15"/>
    </row>
    <row r="95" spans="1:5" ht="12.75" x14ac:dyDescent="0.2">
      <c r="A95" s="3" t="s">
        <v>153</v>
      </c>
      <c r="B95" s="31"/>
      <c r="D95" s="15"/>
    </row>
    <row r="96" spans="1:5" ht="12.75" x14ac:dyDescent="0.2">
      <c r="A96" s="3" t="s">
        <v>156</v>
      </c>
      <c r="B96" s="31"/>
      <c r="D96" s="15"/>
    </row>
    <row r="97" spans="1:4" ht="12.75" x14ac:dyDescent="0.2">
      <c r="A97" s="3" t="s">
        <v>159</v>
      </c>
      <c r="B97" s="31"/>
      <c r="D97" s="15"/>
    </row>
    <row r="98" spans="1:4" ht="12.75" x14ac:dyDescent="0.2">
      <c r="A98" s="3" t="s">
        <v>177</v>
      </c>
      <c r="B98" s="31"/>
      <c r="D98" s="15"/>
    </row>
    <row r="99" spans="1:4" ht="12.75" x14ac:dyDescent="0.2">
      <c r="A99" s="3" t="s">
        <v>335</v>
      </c>
      <c r="B99" s="31"/>
      <c r="D99" s="15"/>
    </row>
    <row r="100" spans="1:4" ht="12.75" x14ac:dyDescent="0.2">
      <c r="A100" s="3" t="s">
        <v>336</v>
      </c>
      <c r="B100" s="31"/>
      <c r="D100" s="15"/>
    </row>
    <row r="101" spans="1:4" ht="12.75" x14ac:dyDescent="0.2">
      <c r="A101" s="3" t="s">
        <v>157</v>
      </c>
      <c r="B101" s="31"/>
      <c r="D101" s="15"/>
    </row>
    <row r="102" spans="1:4" ht="12.75" x14ac:dyDescent="0.2">
      <c r="A102" s="3" t="s">
        <v>337</v>
      </c>
      <c r="B102" s="31"/>
      <c r="D102" s="15"/>
    </row>
    <row r="103" spans="1:4" ht="12.75" x14ac:dyDescent="0.2">
      <c r="A103" s="3" t="s">
        <v>348</v>
      </c>
      <c r="B103" s="31"/>
      <c r="D103" s="15"/>
    </row>
    <row r="104" spans="1:4" ht="12.75" x14ac:dyDescent="0.2">
      <c r="B104" s="16">
        <f>SUM(B4:B102)</f>
        <v>318009</v>
      </c>
      <c r="D104" s="15"/>
    </row>
    <row r="105" spans="1:4" ht="12.75" x14ac:dyDescent="0.2">
      <c r="B105" s="31"/>
      <c r="D105" s="15"/>
    </row>
    <row r="106" spans="1:4" ht="12.75" x14ac:dyDescent="0.2">
      <c r="B106" s="31"/>
      <c r="D106" s="15"/>
    </row>
    <row r="107" spans="1:4" ht="12.75" x14ac:dyDescent="0.2">
      <c r="B107" s="31"/>
      <c r="D107" s="15"/>
    </row>
    <row r="108" spans="1:4" ht="12.75" x14ac:dyDescent="0.2">
      <c r="B108" s="31"/>
      <c r="D108" s="15"/>
    </row>
    <row r="109" spans="1:4" ht="12.75" x14ac:dyDescent="0.2">
      <c r="B109" s="31"/>
      <c r="D109" s="15"/>
    </row>
    <row r="110" spans="1:4" ht="12.75" x14ac:dyDescent="0.2">
      <c r="B110" s="31"/>
      <c r="D110" s="15"/>
    </row>
    <row r="111" spans="1:4" ht="12.75" x14ac:dyDescent="0.2">
      <c r="B111" s="31"/>
      <c r="D111" s="15"/>
    </row>
    <row r="112" spans="1:4" ht="12.75" x14ac:dyDescent="0.2">
      <c r="B112" s="31"/>
      <c r="D112" s="15"/>
    </row>
    <row r="113" spans="2:4" ht="12.75" x14ac:dyDescent="0.2">
      <c r="B113" s="31"/>
      <c r="D113" s="15"/>
    </row>
    <row r="114" spans="2:4" ht="12.75" x14ac:dyDescent="0.2">
      <c r="B114" s="31"/>
      <c r="D114" s="15"/>
    </row>
    <row r="115" spans="2:4" ht="12.75" x14ac:dyDescent="0.2">
      <c r="B115" s="31"/>
      <c r="D115" s="15"/>
    </row>
    <row r="116" spans="2:4" ht="12.75" x14ac:dyDescent="0.2">
      <c r="B116" s="31"/>
      <c r="D116" s="15"/>
    </row>
    <row r="117" spans="2:4" ht="12.75" x14ac:dyDescent="0.2">
      <c r="B117" s="31"/>
      <c r="D117" s="15"/>
    </row>
    <row r="118" spans="2:4" ht="12.75" x14ac:dyDescent="0.2">
      <c r="B118" s="31"/>
      <c r="D118" s="15"/>
    </row>
    <row r="119" spans="2:4" ht="12.75" x14ac:dyDescent="0.2">
      <c r="B119" s="31"/>
      <c r="D119" s="15"/>
    </row>
    <row r="120" spans="2:4" ht="12.75" x14ac:dyDescent="0.2">
      <c r="B120" s="31"/>
      <c r="D120" s="15"/>
    </row>
    <row r="121" spans="2:4" ht="12.75" x14ac:dyDescent="0.2">
      <c r="B121" s="31"/>
      <c r="D121" s="15"/>
    </row>
    <row r="122" spans="2:4" ht="12.75" x14ac:dyDescent="0.2">
      <c r="B122" s="31"/>
      <c r="D122" s="15"/>
    </row>
    <row r="123" spans="2:4" ht="12.75" x14ac:dyDescent="0.2">
      <c r="B123" s="31"/>
      <c r="D123" s="15"/>
    </row>
    <row r="124" spans="2:4" ht="12.75" x14ac:dyDescent="0.2">
      <c r="B124" s="31"/>
      <c r="D124" s="15"/>
    </row>
    <row r="125" spans="2:4" ht="12.75" x14ac:dyDescent="0.2">
      <c r="B125" s="31"/>
      <c r="D125" s="15"/>
    </row>
    <row r="126" spans="2:4" ht="12.75" x14ac:dyDescent="0.2">
      <c r="B126" s="31"/>
      <c r="D126" s="15"/>
    </row>
    <row r="127" spans="2:4" ht="12.75" x14ac:dyDescent="0.2">
      <c r="B127" s="31"/>
      <c r="D127" s="15"/>
    </row>
    <row r="128" spans="2:4" ht="12.75" x14ac:dyDescent="0.2">
      <c r="B128" s="31"/>
      <c r="D128" s="15"/>
    </row>
    <row r="129" spans="2:4" ht="12.75" x14ac:dyDescent="0.2">
      <c r="B129" s="31"/>
      <c r="D129" s="15"/>
    </row>
    <row r="130" spans="2:4" ht="12.75" x14ac:dyDescent="0.2">
      <c r="B130" s="31"/>
      <c r="D130" s="15"/>
    </row>
    <row r="131" spans="2:4" ht="12.75" x14ac:dyDescent="0.2">
      <c r="B131" s="31"/>
      <c r="D131" s="15"/>
    </row>
    <row r="132" spans="2:4" ht="12.75" x14ac:dyDescent="0.2">
      <c r="B132" s="31"/>
      <c r="D132" s="15"/>
    </row>
    <row r="133" spans="2:4" ht="12.75" x14ac:dyDescent="0.2">
      <c r="B133" s="31"/>
      <c r="D133" s="15"/>
    </row>
    <row r="134" spans="2:4" ht="12.75" x14ac:dyDescent="0.2">
      <c r="B134" s="31"/>
      <c r="D134" s="15"/>
    </row>
    <row r="135" spans="2:4" ht="12.75" x14ac:dyDescent="0.2">
      <c r="B135" s="31"/>
      <c r="D135" s="15"/>
    </row>
    <row r="136" spans="2:4" ht="12.75" x14ac:dyDescent="0.2">
      <c r="B136" s="31"/>
      <c r="D136" s="15"/>
    </row>
    <row r="137" spans="2:4" ht="12.75" x14ac:dyDescent="0.2">
      <c r="B137" s="31"/>
      <c r="D137" s="15"/>
    </row>
    <row r="138" spans="2:4" ht="12.75" x14ac:dyDescent="0.2">
      <c r="B138" s="31"/>
      <c r="D138" s="15"/>
    </row>
    <row r="139" spans="2:4" ht="12.75" x14ac:dyDescent="0.2">
      <c r="B139" s="31"/>
      <c r="D139" s="15"/>
    </row>
    <row r="140" spans="2:4" ht="12.75" x14ac:dyDescent="0.2">
      <c r="B140" s="31"/>
      <c r="D140" s="15"/>
    </row>
    <row r="141" spans="2:4" ht="12.75" x14ac:dyDescent="0.2">
      <c r="B141" s="31"/>
      <c r="D141" s="15"/>
    </row>
    <row r="142" spans="2:4" ht="12.75" x14ac:dyDescent="0.2">
      <c r="B142" s="31"/>
      <c r="D142" s="15"/>
    </row>
    <row r="143" spans="2:4" ht="12.75" x14ac:dyDescent="0.2">
      <c r="B143" s="31"/>
      <c r="D143" s="15"/>
    </row>
    <row r="144" spans="2:4" ht="12.75" x14ac:dyDescent="0.2">
      <c r="B144" s="31"/>
      <c r="D144" s="15"/>
    </row>
    <row r="145" spans="2:4" ht="12.75" x14ac:dyDescent="0.2">
      <c r="B145" s="31"/>
      <c r="D145" s="15"/>
    </row>
    <row r="146" spans="2:4" ht="12.75" x14ac:dyDescent="0.2">
      <c r="B146" s="31"/>
      <c r="D146" s="15"/>
    </row>
    <row r="147" spans="2:4" ht="12.75" x14ac:dyDescent="0.2">
      <c r="B147" s="31"/>
      <c r="D147" s="15"/>
    </row>
    <row r="148" spans="2:4" ht="12.75" x14ac:dyDescent="0.2">
      <c r="B148" s="31"/>
      <c r="D148" s="15"/>
    </row>
    <row r="149" spans="2:4" ht="12.75" x14ac:dyDescent="0.2">
      <c r="B149" s="31"/>
      <c r="D149" s="15"/>
    </row>
    <row r="150" spans="2:4" ht="12.75" x14ac:dyDescent="0.2">
      <c r="B150" s="31"/>
      <c r="D150" s="15"/>
    </row>
    <row r="151" spans="2:4" ht="12.75" x14ac:dyDescent="0.2">
      <c r="B151" s="31"/>
      <c r="D151" s="15"/>
    </row>
    <row r="152" spans="2:4" ht="12.75" x14ac:dyDescent="0.2">
      <c r="B152" s="31"/>
      <c r="D152" s="15"/>
    </row>
    <row r="153" spans="2:4" ht="12.75" x14ac:dyDescent="0.2">
      <c r="B153" s="31"/>
      <c r="D153" s="15"/>
    </row>
    <row r="154" spans="2:4" ht="12.75" x14ac:dyDescent="0.2">
      <c r="B154" s="31"/>
      <c r="D154" s="15"/>
    </row>
    <row r="155" spans="2:4" ht="12.75" x14ac:dyDescent="0.2">
      <c r="B155" s="31"/>
      <c r="D155" s="15"/>
    </row>
    <row r="156" spans="2:4" ht="12.75" x14ac:dyDescent="0.2">
      <c r="B156" s="31"/>
      <c r="D156" s="15"/>
    </row>
    <row r="157" spans="2:4" ht="12.75" x14ac:dyDescent="0.2">
      <c r="B157" s="31"/>
      <c r="D157" s="15"/>
    </row>
    <row r="158" spans="2:4" ht="12.75" x14ac:dyDescent="0.2">
      <c r="B158" s="31"/>
      <c r="D158" s="15"/>
    </row>
    <row r="159" spans="2:4" ht="12.75" x14ac:dyDescent="0.2">
      <c r="B159" s="31"/>
      <c r="D159" s="15"/>
    </row>
    <row r="160" spans="2:4" ht="12.75" x14ac:dyDescent="0.2">
      <c r="B160" s="31"/>
      <c r="D160" s="15"/>
    </row>
    <row r="161" spans="2:4" ht="12.75" x14ac:dyDescent="0.2">
      <c r="B161" s="31"/>
      <c r="D161" s="15"/>
    </row>
    <row r="162" spans="2:4" ht="12.75" x14ac:dyDescent="0.2">
      <c r="B162" s="31"/>
      <c r="D162" s="15"/>
    </row>
    <row r="163" spans="2:4" ht="12.75" x14ac:dyDescent="0.2">
      <c r="B163" s="31"/>
      <c r="D163" s="15"/>
    </row>
    <row r="164" spans="2:4" ht="12.75" x14ac:dyDescent="0.2">
      <c r="B164" s="31"/>
      <c r="D164" s="15"/>
    </row>
    <row r="165" spans="2:4" ht="12.75" x14ac:dyDescent="0.2">
      <c r="B165" s="31"/>
      <c r="D165" s="15"/>
    </row>
    <row r="166" spans="2:4" ht="12.75" x14ac:dyDescent="0.2">
      <c r="B166" s="31"/>
      <c r="D166" s="15"/>
    </row>
    <row r="167" spans="2:4" ht="12.75" x14ac:dyDescent="0.2">
      <c r="B167" s="31"/>
      <c r="D167" s="15"/>
    </row>
    <row r="168" spans="2:4" ht="12.75" x14ac:dyDescent="0.2">
      <c r="B168" s="31"/>
      <c r="D168" s="15"/>
    </row>
    <row r="169" spans="2:4" ht="12.75" x14ac:dyDescent="0.2">
      <c r="B169" s="31"/>
      <c r="D169" s="15"/>
    </row>
    <row r="170" spans="2:4" ht="12.75" x14ac:dyDescent="0.2">
      <c r="B170" s="31"/>
      <c r="D170" s="15"/>
    </row>
    <row r="171" spans="2:4" ht="12.75" x14ac:dyDescent="0.2">
      <c r="B171" s="31"/>
      <c r="D171" s="15"/>
    </row>
    <row r="172" spans="2:4" ht="12.75" x14ac:dyDescent="0.2">
      <c r="B172" s="31"/>
      <c r="D172" s="15"/>
    </row>
    <row r="173" spans="2:4" ht="12.75" x14ac:dyDescent="0.2">
      <c r="B173" s="31"/>
      <c r="D173" s="15"/>
    </row>
    <row r="174" spans="2:4" ht="12.75" x14ac:dyDescent="0.2">
      <c r="B174" s="31"/>
      <c r="D174" s="15"/>
    </row>
    <row r="175" spans="2:4" ht="12.75" x14ac:dyDescent="0.2">
      <c r="B175" s="31"/>
      <c r="D175" s="15"/>
    </row>
    <row r="176" spans="2:4" ht="12.75" x14ac:dyDescent="0.2">
      <c r="B176" s="31"/>
      <c r="D176" s="15"/>
    </row>
    <row r="177" spans="2:4" ht="12.75" x14ac:dyDescent="0.2">
      <c r="B177" s="31"/>
      <c r="D177" s="15"/>
    </row>
    <row r="178" spans="2:4" ht="12.75" x14ac:dyDescent="0.2">
      <c r="B178" s="31"/>
      <c r="D178" s="15"/>
    </row>
    <row r="179" spans="2:4" ht="12.75" x14ac:dyDescent="0.2">
      <c r="B179" s="31"/>
      <c r="D179" s="15"/>
    </row>
    <row r="180" spans="2:4" ht="12.75" x14ac:dyDescent="0.2">
      <c r="B180" s="31"/>
      <c r="D180" s="15"/>
    </row>
    <row r="181" spans="2:4" ht="12.75" x14ac:dyDescent="0.2">
      <c r="B181" s="31"/>
      <c r="D181" s="15"/>
    </row>
    <row r="182" spans="2:4" ht="12.75" x14ac:dyDescent="0.2">
      <c r="B182" s="31"/>
      <c r="D182" s="15"/>
    </row>
    <row r="183" spans="2:4" ht="12.75" x14ac:dyDescent="0.2">
      <c r="B183" s="31"/>
      <c r="D183" s="15"/>
    </row>
    <row r="184" spans="2:4" ht="12.75" x14ac:dyDescent="0.2">
      <c r="B184" s="31"/>
      <c r="D184" s="15"/>
    </row>
    <row r="185" spans="2:4" ht="12.75" x14ac:dyDescent="0.2">
      <c r="B185" s="31"/>
      <c r="D185" s="15"/>
    </row>
    <row r="186" spans="2:4" ht="12.75" x14ac:dyDescent="0.2">
      <c r="B186" s="31"/>
      <c r="D186" s="15"/>
    </row>
    <row r="187" spans="2:4" ht="12.75" x14ac:dyDescent="0.2">
      <c r="B187" s="31"/>
      <c r="D187" s="15"/>
    </row>
    <row r="188" spans="2:4" ht="12.75" x14ac:dyDescent="0.2">
      <c r="B188" s="31"/>
      <c r="D188" s="15"/>
    </row>
    <row r="189" spans="2:4" ht="12.75" x14ac:dyDescent="0.2">
      <c r="B189" s="31"/>
      <c r="D189" s="15"/>
    </row>
    <row r="190" spans="2:4" ht="12.75" x14ac:dyDescent="0.2">
      <c r="B190" s="31"/>
      <c r="D190" s="15"/>
    </row>
    <row r="191" spans="2:4" ht="12.75" x14ac:dyDescent="0.2">
      <c r="B191" s="31"/>
      <c r="D191" s="15"/>
    </row>
    <row r="192" spans="2:4" ht="12.75" x14ac:dyDescent="0.2">
      <c r="B192" s="31"/>
      <c r="D192" s="15"/>
    </row>
    <row r="193" spans="2:4" ht="12.75" x14ac:dyDescent="0.2">
      <c r="B193" s="31"/>
      <c r="D193" s="15"/>
    </row>
    <row r="194" spans="2:4" ht="12.75" x14ac:dyDescent="0.2">
      <c r="B194" s="31"/>
      <c r="D194" s="15"/>
    </row>
    <row r="195" spans="2:4" ht="12.75" x14ac:dyDescent="0.2">
      <c r="B195" s="31"/>
      <c r="D195" s="15"/>
    </row>
    <row r="196" spans="2:4" ht="12.75" x14ac:dyDescent="0.2">
      <c r="B196" s="31"/>
      <c r="D196" s="15"/>
    </row>
    <row r="197" spans="2:4" ht="12.75" x14ac:dyDescent="0.2">
      <c r="B197" s="31"/>
      <c r="D197" s="15"/>
    </row>
    <row r="198" spans="2:4" ht="12.75" x14ac:dyDescent="0.2">
      <c r="B198" s="31"/>
      <c r="D198" s="15"/>
    </row>
    <row r="199" spans="2:4" ht="12.75" x14ac:dyDescent="0.2">
      <c r="B199" s="31"/>
      <c r="D199" s="15"/>
    </row>
    <row r="200" spans="2:4" ht="12.75" x14ac:dyDescent="0.2">
      <c r="B200" s="31"/>
      <c r="D200" s="15"/>
    </row>
    <row r="201" spans="2:4" ht="12.75" x14ac:dyDescent="0.2">
      <c r="B201" s="31"/>
      <c r="D201" s="15"/>
    </row>
    <row r="202" spans="2:4" ht="12.75" x14ac:dyDescent="0.2">
      <c r="B202" s="31"/>
      <c r="D202" s="15"/>
    </row>
    <row r="203" spans="2:4" ht="12.75" x14ac:dyDescent="0.2">
      <c r="B203" s="31"/>
      <c r="D203" s="15"/>
    </row>
    <row r="204" spans="2:4" ht="12.75" x14ac:dyDescent="0.2">
      <c r="B204" s="31"/>
      <c r="D204" s="15"/>
    </row>
    <row r="205" spans="2:4" ht="12.75" x14ac:dyDescent="0.2">
      <c r="B205" s="31"/>
      <c r="D205" s="15"/>
    </row>
    <row r="206" spans="2:4" ht="12.75" x14ac:dyDescent="0.2">
      <c r="B206" s="31"/>
      <c r="D206" s="15"/>
    </row>
    <row r="207" spans="2:4" ht="12.75" x14ac:dyDescent="0.2">
      <c r="B207" s="31"/>
      <c r="D207" s="15"/>
    </row>
    <row r="208" spans="2:4" ht="12.75" x14ac:dyDescent="0.2">
      <c r="B208" s="31"/>
      <c r="D208" s="15"/>
    </row>
    <row r="209" spans="2:4" ht="12.75" x14ac:dyDescent="0.2">
      <c r="B209" s="31"/>
      <c r="D209" s="15"/>
    </row>
    <row r="210" spans="2:4" ht="12.75" x14ac:dyDescent="0.2">
      <c r="B210" s="31"/>
      <c r="D210" s="15"/>
    </row>
    <row r="211" spans="2:4" ht="12.75" x14ac:dyDescent="0.2">
      <c r="B211" s="31"/>
      <c r="D211" s="15"/>
    </row>
    <row r="212" spans="2:4" ht="12.75" x14ac:dyDescent="0.2">
      <c r="B212" s="31"/>
      <c r="D212" s="15"/>
    </row>
    <row r="213" spans="2:4" ht="12.75" x14ac:dyDescent="0.2">
      <c r="B213" s="31"/>
      <c r="D213" s="15"/>
    </row>
    <row r="214" spans="2:4" ht="12.75" x14ac:dyDescent="0.2">
      <c r="B214" s="31"/>
      <c r="D214" s="15"/>
    </row>
    <row r="215" spans="2:4" ht="12.75" x14ac:dyDescent="0.2">
      <c r="B215" s="31"/>
      <c r="D215" s="15"/>
    </row>
    <row r="216" spans="2:4" ht="12.75" x14ac:dyDescent="0.2">
      <c r="B216" s="31"/>
      <c r="D216" s="15"/>
    </row>
    <row r="217" spans="2:4" ht="12.75" x14ac:dyDescent="0.2">
      <c r="B217" s="31"/>
      <c r="D217" s="15"/>
    </row>
    <row r="218" spans="2:4" ht="12.75" x14ac:dyDescent="0.2">
      <c r="B218" s="31"/>
      <c r="D218" s="15"/>
    </row>
    <row r="219" spans="2:4" ht="12.75" x14ac:dyDescent="0.2">
      <c r="B219" s="31"/>
      <c r="D219" s="15"/>
    </row>
    <row r="220" spans="2:4" ht="12.75" x14ac:dyDescent="0.2">
      <c r="B220" s="31"/>
      <c r="D220" s="15"/>
    </row>
    <row r="221" spans="2:4" ht="12.75" x14ac:dyDescent="0.2">
      <c r="B221" s="31"/>
      <c r="D221" s="15"/>
    </row>
    <row r="222" spans="2:4" ht="12.75" x14ac:dyDescent="0.2">
      <c r="B222" s="31"/>
      <c r="D222" s="15"/>
    </row>
    <row r="223" spans="2:4" ht="12.75" x14ac:dyDescent="0.2">
      <c r="B223" s="31"/>
      <c r="D223" s="15"/>
    </row>
    <row r="224" spans="2:4" ht="12.75" x14ac:dyDescent="0.2">
      <c r="B224" s="31"/>
      <c r="D224" s="15"/>
    </row>
    <row r="225" spans="2:4" ht="12.75" x14ac:dyDescent="0.2">
      <c r="B225" s="31"/>
      <c r="D225" s="15"/>
    </row>
    <row r="226" spans="2:4" ht="12.75" x14ac:dyDescent="0.2">
      <c r="B226" s="31"/>
      <c r="D226" s="15"/>
    </row>
    <row r="227" spans="2:4" ht="12.75" x14ac:dyDescent="0.2">
      <c r="B227" s="31"/>
      <c r="D227" s="15"/>
    </row>
    <row r="228" spans="2:4" ht="12.75" x14ac:dyDescent="0.2">
      <c r="B228" s="31"/>
      <c r="D228" s="15"/>
    </row>
    <row r="229" spans="2:4" ht="12.75" x14ac:dyDescent="0.2">
      <c r="B229" s="31"/>
      <c r="D229" s="15"/>
    </row>
    <row r="230" spans="2:4" ht="12.75" x14ac:dyDescent="0.2">
      <c r="B230" s="31"/>
      <c r="D230" s="15"/>
    </row>
    <row r="231" spans="2:4" ht="12.75" x14ac:dyDescent="0.2">
      <c r="B231" s="31"/>
      <c r="D231" s="15"/>
    </row>
    <row r="232" spans="2:4" ht="12.75" x14ac:dyDescent="0.2">
      <c r="B232" s="31"/>
      <c r="D232" s="15"/>
    </row>
    <row r="233" spans="2:4" ht="12.75" x14ac:dyDescent="0.2">
      <c r="B233" s="31"/>
      <c r="D233" s="15"/>
    </row>
    <row r="234" spans="2:4" ht="12.75" x14ac:dyDescent="0.2">
      <c r="B234" s="31"/>
      <c r="D234" s="15"/>
    </row>
    <row r="235" spans="2:4" ht="12.75" x14ac:dyDescent="0.2">
      <c r="B235" s="31"/>
      <c r="D235" s="15"/>
    </row>
    <row r="236" spans="2:4" ht="12.75" x14ac:dyDescent="0.2">
      <c r="B236" s="31"/>
      <c r="D236" s="15"/>
    </row>
    <row r="237" spans="2:4" ht="12.75" x14ac:dyDescent="0.2">
      <c r="B237" s="31"/>
      <c r="D237" s="15"/>
    </row>
    <row r="238" spans="2:4" ht="12.75" x14ac:dyDescent="0.2">
      <c r="B238" s="31"/>
      <c r="D238" s="15"/>
    </row>
    <row r="239" spans="2:4" ht="12.75" x14ac:dyDescent="0.2">
      <c r="B239" s="31"/>
      <c r="D239" s="15"/>
    </row>
    <row r="240" spans="2:4" ht="12.75" x14ac:dyDescent="0.2">
      <c r="B240" s="31"/>
      <c r="D240" s="15"/>
    </row>
    <row r="241" spans="2:4" ht="12.75" x14ac:dyDescent="0.2">
      <c r="B241" s="31"/>
      <c r="D241" s="15"/>
    </row>
    <row r="242" spans="2:4" ht="12.75" x14ac:dyDescent="0.2">
      <c r="B242" s="31"/>
      <c r="D242" s="15"/>
    </row>
    <row r="243" spans="2:4" ht="12.75" x14ac:dyDescent="0.2">
      <c r="B243" s="31"/>
      <c r="D243" s="15"/>
    </row>
    <row r="244" spans="2:4" ht="12.75" x14ac:dyDescent="0.2">
      <c r="B244" s="31"/>
      <c r="D244" s="15"/>
    </row>
    <row r="245" spans="2:4" ht="12.75" x14ac:dyDescent="0.2">
      <c r="B245" s="31"/>
      <c r="D245" s="15"/>
    </row>
    <row r="246" spans="2:4" ht="12.75" x14ac:dyDescent="0.2">
      <c r="B246" s="31"/>
      <c r="D246" s="15"/>
    </row>
    <row r="247" spans="2:4" ht="12.75" x14ac:dyDescent="0.2">
      <c r="B247" s="31"/>
      <c r="D247" s="15"/>
    </row>
    <row r="248" spans="2:4" ht="12.75" x14ac:dyDescent="0.2">
      <c r="B248" s="31"/>
      <c r="D248" s="15"/>
    </row>
    <row r="249" spans="2:4" ht="12.75" x14ac:dyDescent="0.2">
      <c r="B249" s="31"/>
      <c r="D249" s="15"/>
    </row>
    <row r="250" spans="2:4" ht="12.75" x14ac:dyDescent="0.2">
      <c r="B250" s="31"/>
      <c r="D250" s="15"/>
    </row>
    <row r="251" spans="2:4" ht="12.75" x14ac:dyDescent="0.2">
      <c r="B251" s="31"/>
      <c r="D251" s="15"/>
    </row>
    <row r="252" spans="2:4" ht="12.75" x14ac:dyDescent="0.2">
      <c r="B252" s="31"/>
      <c r="D252" s="15"/>
    </row>
    <row r="253" spans="2:4" ht="12.75" x14ac:dyDescent="0.2">
      <c r="B253" s="31"/>
      <c r="D253" s="15"/>
    </row>
    <row r="254" spans="2:4" ht="12.75" x14ac:dyDescent="0.2">
      <c r="B254" s="31"/>
      <c r="D254" s="15"/>
    </row>
    <row r="255" spans="2:4" ht="12.75" x14ac:dyDescent="0.2">
      <c r="B255" s="31"/>
      <c r="D255" s="15"/>
    </row>
    <row r="256" spans="2:4" ht="12.75" x14ac:dyDescent="0.2">
      <c r="B256" s="31"/>
      <c r="D256" s="15"/>
    </row>
    <row r="257" spans="2:4" ht="12.75" x14ac:dyDescent="0.2">
      <c r="B257" s="31"/>
      <c r="D257" s="15"/>
    </row>
    <row r="258" spans="2:4" ht="12.75" x14ac:dyDescent="0.2">
      <c r="B258" s="31"/>
      <c r="D258" s="15"/>
    </row>
    <row r="259" spans="2:4" ht="12.75" x14ac:dyDescent="0.2">
      <c r="B259" s="31"/>
      <c r="D259" s="15"/>
    </row>
    <row r="260" spans="2:4" ht="12.75" x14ac:dyDescent="0.2">
      <c r="B260" s="31"/>
      <c r="D260" s="15"/>
    </row>
    <row r="261" spans="2:4" ht="12.75" x14ac:dyDescent="0.2">
      <c r="B261" s="31"/>
      <c r="D261" s="15"/>
    </row>
    <row r="262" spans="2:4" ht="12.75" x14ac:dyDescent="0.2">
      <c r="B262" s="31"/>
      <c r="D262" s="15"/>
    </row>
    <row r="263" spans="2:4" ht="12.75" x14ac:dyDescent="0.2">
      <c r="B263" s="31"/>
      <c r="D263" s="15"/>
    </row>
    <row r="264" spans="2:4" ht="12.75" x14ac:dyDescent="0.2">
      <c r="B264" s="31"/>
      <c r="D264" s="15"/>
    </row>
    <row r="265" spans="2:4" ht="12.75" x14ac:dyDescent="0.2">
      <c r="B265" s="31"/>
      <c r="D265" s="15"/>
    </row>
    <row r="266" spans="2:4" ht="12.75" x14ac:dyDescent="0.2">
      <c r="B266" s="31"/>
      <c r="D266" s="15"/>
    </row>
    <row r="267" spans="2:4" ht="12.75" x14ac:dyDescent="0.2">
      <c r="B267" s="31"/>
      <c r="D267" s="15"/>
    </row>
    <row r="268" spans="2:4" ht="12.75" x14ac:dyDescent="0.2">
      <c r="B268" s="31"/>
      <c r="D268" s="15"/>
    </row>
    <row r="269" spans="2:4" ht="12.75" x14ac:dyDescent="0.2">
      <c r="B269" s="31"/>
      <c r="D269" s="15"/>
    </row>
    <row r="270" spans="2:4" ht="12.75" x14ac:dyDescent="0.2">
      <c r="B270" s="31"/>
      <c r="D270" s="15"/>
    </row>
    <row r="271" spans="2:4" ht="12.75" x14ac:dyDescent="0.2">
      <c r="B271" s="31"/>
      <c r="D271" s="15"/>
    </row>
    <row r="272" spans="2:4" ht="12.75" x14ac:dyDescent="0.2">
      <c r="B272" s="31"/>
      <c r="D272" s="15"/>
    </row>
    <row r="273" spans="2:4" ht="12.75" x14ac:dyDescent="0.2">
      <c r="B273" s="31"/>
      <c r="D273" s="15"/>
    </row>
    <row r="274" spans="2:4" ht="12.75" x14ac:dyDescent="0.2">
      <c r="B274" s="31"/>
      <c r="D274" s="15"/>
    </row>
    <row r="275" spans="2:4" ht="12.75" x14ac:dyDescent="0.2">
      <c r="B275" s="31"/>
      <c r="D275" s="15"/>
    </row>
    <row r="276" spans="2:4" ht="12.75" x14ac:dyDescent="0.2">
      <c r="B276" s="31"/>
      <c r="D276" s="15"/>
    </row>
    <row r="277" spans="2:4" ht="12.75" x14ac:dyDescent="0.2">
      <c r="B277" s="31"/>
      <c r="D277" s="15"/>
    </row>
    <row r="278" spans="2:4" ht="12.75" x14ac:dyDescent="0.2">
      <c r="B278" s="31"/>
      <c r="D278" s="15"/>
    </row>
    <row r="279" spans="2:4" ht="12.75" x14ac:dyDescent="0.2">
      <c r="B279" s="31"/>
      <c r="D279" s="15"/>
    </row>
    <row r="280" spans="2:4" ht="12.75" x14ac:dyDescent="0.2">
      <c r="B280" s="31"/>
      <c r="D280" s="15"/>
    </row>
    <row r="281" spans="2:4" ht="12.75" x14ac:dyDescent="0.2">
      <c r="B281" s="31"/>
      <c r="D281" s="15"/>
    </row>
    <row r="282" spans="2:4" ht="12.75" x14ac:dyDescent="0.2">
      <c r="B282" s="31"/>
      <c r="D282" s="15"/>
    </row>
    <row r="283" spans="2:4" ht="12.75" x14ac:dyDescent="0.2">
      <c r="B283" s="31"/>
      <c r="D283" s="15"/>
    </row>
    <row r="284" spans="2:4" ht="12.75" x14ac:dyDescent="0.2">
      <c r="B284" s="31"/>
      <c r="D284" s="15"/>
    </row>
    <row r="285" spans="2:4" ht="12.75" x14ac:dyDescent="0.2">
      <c r="B285" s="31"/>
      <c r="D285" s="15"/>
    </row>
    <row r="286" spans="2:4" ht="12.75" x14ac:dyDescent="0.2">
      <c r="B286" s="31"/>
      <c r="D286" s="15"/>
    </row>
    <row r="287" spans="2:4" ht="12.75" x14ac:dyDescent="0.2">
      <c r="B287" s="31"/>
      <c r="D287" s="15"/>
    </row>
    <row r="288" spans="2:4" ht="12.75" x14ac:dyDescent="0.2">
      <c r="B288" s="31"/>
      <c r="D288" s="15"/>
    </row>
    <row r="289" spans="2:4" ht="12.75" x14ac:dyDescent="0.2">
      <c r="B289" s="31"/>
      <c r="D289" s="15"/>
    </row>
    <row r="290" spans="2:4" ht="12.75" x14ac:dyDescent="0.2">
      <c r="B290" s="31"/>
      <c r="D290" s="15"/>
    </row>
    <row r="291" spans="2:4" ht="12.75" x14ac:dyDescent="0.2">
      <c r="B291" s="31"/>
      <c r="D291" s="15"/>
    </row>
    <row r="292" spans="2:4" ht="12.75" x14ac:dyDescent="0.2">
      <c r="B292" s="31"/>
      <c r="D292" s="15"/>
    </row>
    <row r="293" spans="2:4" ht="12.75" x14ac:dyDescent="0.2">
      <c r="B293" s="31"/>
      <c r="D293" s="15"/>
    </row>
    <row r="294" spans="2:4" ht="12.75" x14ac:dyDescent="0.2">
      <c r="B294" s="31"/>
      <c r="D294" s="15"/>
    </row>
    <row r="295" spans="2:4" ht="12.75" x14ac:dyDescent="0.2">
      <c r="B295" s="31"/>
      <c r="D295" s="15"/>
    </row>
    <row r="296" spans="2:4" ht="12.75" x14ac:dyDescent="0.2">
      <c r="B296" s="31"/>
      <c r="D296" s="15"/>
    </row>
    <row r="297" spans="2:4" ht="12.75" x14ac:dyDescent="0.2">
      <c r="B297" s="31"/>
      <c r="D297" s="15"/>
    </row>
    <row r="298" spans="2:4" ht="12.75" x14ac:dyDescent="0.2">
      <c r="B298" s="31"/>
      <c r="D298" s="15"/>
    </row>
    <row r="299" spans="2:4" ht="12.75" x14ac:dyDescent="0.2">
      <c r="B299" s="31"/>
      <c r="D299" s="15"/>
    </row>
    <row r="300" spans="2:4" ht="12.75" x14ac:dyDescent="0.2">
      <c r="B300" s="31"/>
      <c r="D300" s="15"/>
    </row>
    <row r="301" spans="2:4" ht="12.75" x14ac:dyDescent="0.2">
      <c r="B301" s="31"/>
      <c r="D301" s="15"/>
    </row>
    <row r="302" spans="2:4" ht="12.75" x14ac:dyDescent="0.2">
      <c r="B302" s="31"/>
      <c r="D302" s="15"/>
    </row>
    <row r="303" spans="2:4" ht="12.75" x14ac:dyDescent="0.2">
      <c r="B303" s="31"/>
      <c r="D303" s="15"/>
    </row>
    <row r="304" spans="2:4" ht="12.75" x14ac:dyDescent="0.2">
      <c r="B304" s="31"/>
      <c r="D304" s="15"/>
    </row>
    <row r="305" spans="2:4" ht="12.75" x14ac:dyDescent="0.2">
      <c r="B305" s="31"/>
      <c r="D305" s="15"/>
    </row>
    <row r="306" spans="2:4" ht="12.75" x14ac:dyDescent="0.2">
      <c r="B306" s="31"/>
      <c r="D306" s="15"/>
    </row>
    <row r="307" spans="2:4" ht="12.75" x14ac:dyDescent="0.2">
      <c r="B307" s="31"/>
      <c r="D307" s="15"/>
    </row>
    <row r="308" spans="2:4" ht="12.75" x14ac:dyDescent="0.2">
      <c r="B308" s="31"/>
      <c r="D308" s="15"/>
    </row>
    <row r="309" spans="2:4" ht="12.75" x14ac:dyDescent="0.2">
      <c r="B309" s="31"/>
      <c r="D309" s="15"/>
    </row>
    <row r="310" spans="2:4" ht="12.75" x14ac:dyDescent="0.2">
      <c r="B310" s="31"/>
      <c r="D310" s="15"/>
    </row>
    <row r="311" spans="2:4" ht="12.75" x14ac:dyDescent="0.2">
      <c r="B311" s="31"/>
      <c r="D311" s="15"/>
    </row>
    <row r="312" spans="2:4" ht="12.75" x14ac:dyDescent="0.2">
      <c r="B312" s="31"/>
      <c r="D312" s="15"/>
    </row>
    <row r="313" spans="2:4" ht="12.75" x14ac:dyDescent="0.2">
      <c r="B313" s="31"/>
      <c r="D313" s="15"/>
    </row>
    <row r="314" spans="2:4" ht="12.75" x14ac:dyDescent="0.2">
      <c r="B314" s="31"/>
      <c r="D314" s="15"/>
    </row>
    <row r="315" spans="2:4" ht="12.75" x14ac:dyDescent="0.2">
      <c r="B315" s="31"/>
      <c r="D315" s="15"/>
    </row>
    <row r="316" spans="2:4" ht="12.75" x14ac:dyDescent="0.2">
      <c r="B316" s="31"/>
      <c r="D316" s="15"/>
    </row>
    <row r="317" spans="2:4" ht="12.75" x14ac:dyDescent="0.2">
      <c r="B317" s="31"/>
      <c r="D317" s="15"/>
    </row>
    <row r="318" spans="2:4" ht="12.75" x14ac:dyDescent="0.2">
      <c r="B318" s="31"/>
      <c r="D318" s="15"/>
    </row>
    <row r="319" spans="2:4" ht="12.75" x14ac:dyDescent="0.2">
      <c r="B319" s="31"/>
      <c r="D319" s="15"/>
    </row>
    <row r="320" spans="2:4" ht="12.75" x14ac:dyDescent="0.2">
      <c r="B320" s="31"/>
      <c r="D320" s="15"/>
    </row>
    <row r="321" spans="2:4" ht="12.75" x14ac:dyDescent="0.2">
      <c r="B321" s="31"/>
      <c r="D321" s="15"/>
    </row>
    <row r="322" spans="2:4" ht="12.75" x14ac:dyDescent="0.2">
      <c r="B322" s="31"/>
      <c r="D322" s="15"/>
    </row>
    <row r="323" spans="2:4" ht="12.75" x14ac:dyDescent="0.2">
      <c r="B323" s="31"/>
      <c r="D323" s="15"/>
    </row>
    <row r="324" spans="2:4" ht="12.75" x14ac:dyDescent="0.2">
      <c r="B324" s="31"/>
      <c r="D324" s="15"/>
    </row>
    <row r="325" spans="2:4" ht="12.75" x14ac:dyDescent="0.2">
      <c r="B325" s="31"/>
      <c r="D325" s="15"/>
    </row>
    <row r="326" spans="2:4" ht="12.75" x14ac:dyDescent="0.2">
      <c r="B326" s="31"/>
      <c r="D326" s="15"/>
    </row>
    <row r="327" spans="2:4" ht="12.75" x14ac:dyDescent="0.2">
      <c r="B327" s="31"/>
      <c r="D327" s="15"/>
    </row>
    <row r="328" spans="2:4" ht="12.75" x14ac:dyDescent="0.2">
      <c r="B328" s="31"/>
      <c r="D328" s="15"/>
    </row>
    <row r="329" spans="2:4" ht="12.75" x14ac:dyDescent="0.2">
      <c r="B329" s="31"/>
      <c r="D329" s="15"/>
    </row>
    <row r="330" spans="2:4" ht="12.75" x14ac:dyDescent="0.2">
      <c r="B330" s="31"/>
      <c r="D330" s="15"/>
    </row>
    <row r="331" spans="2:4" ht="12.75" x14ac:dyDescent="0.2">
      <c r="B331" s="31"/>
      <c r="D331" s="15"/>
    </row>
    <row r="332" spans="2:4" ht="12.75" x14ac:dyDescent="0.2">
      <c r="B332" s="31"/>
      <c r="D332" s="15"/>
    </row>
    <row r="333" spans="2:4" ht="12.75" x14ac:dyDescent="0.2">
      <c r="B333" s="31"/>
      <c r="D333" s="15"/>
    </row>
    <row r="334" spans="2:4" ht="12.75" x14ac:dyDescent="0.2">
      <c r="B334" s="31"/>
      <c r="D334" s="15"/>
    </row>
    <row r="335" spans="2:4" ht="12.75" x14ac:dyDescent="0.2">
      <c r="B335" s="31"/>
      <c r="D335" s="15"/>
    </row>
    <row r="336" spans="2:4" ht="12.75" x14ac:dyDescent="0.2">
      <c r="B336" s="31"/>
      <c r="D336" s="15"/>
    </row>
    <row r="337" spans="2:4" ht="12.75" x14ac:dyDescent="0.2">
      <c r="B337" s="31"/>
      <c r="D337" s="15"/>
    </row>
    <row r="338" spans="2:4" ht="12.75" x14ac:dyDescent="0.2">
      <c r="B338" s="31"/>
      <c r="D338" s="15"/>
    </row>
    <row r="339" spans="2:4" ht="12.75" x14ac:dyDescent="0.2">
      <c r="B339" s="31"/>
      <c r="D339" s="15"/>
    </row>
    <row r="340" spans="2:4" ht="12.75" x14ac:dyDescent="0.2">
      <c r="B340" s="31"/>
      <c r="D340" s="15"/>
    </row>
    <row r="341" spans="2:4" ht="12.75" x14ac:dyDescent="0.2">
      <c r="B341" s="31"/>
      <c r="D341" s="15"/>
    </row>
    <row r="342" spans="2:4" ht="12.75" x14ac:dyDescent="0.2">
      <c r="B342" s="31"/>
      <c r="D342" s="15"/>
    </row>
    <row r="343" spans="2:4" ht="12.75" x14ac:dyDescent="0.2">
      <c r="B343" s="31"/>
      <c r="D343" s="15"/>
    </row>
    <row r="344" spans="2:4" ht="12.75" x14ac:dyDescent="0.2">
      <c r="B344" s="31"/>
      <c r="D344" s="15"/>
    </row>
    <row r="345" spans="2:4" ht="12.75" x14ac:dyDescent="0.2">
      <c r="B345" s="31"/>
      <c r="D345" s="15"/>
    </row>
    <row r="346" spans="2:4" ht="12.75" x14ac:dyDescent="0.2">
      <c r="B346" s="31"/>
      <c r="D346" s="15"/>
    </row>
    <row r="347" spans="2:4" ht="12.75" x14ac:dyDescent="0.2">
      <c r="B347" s="31"/>
      <c r="D347" s="15"/>
    </row>
    <row r="348" spans="2:4" ht="12.75" x14ac:dyDescent="0.2">
      <c r="B348" s="31"/>
      <c r="D348" s="15"/>
    </row>
    <row r="349" spans="2:4" ht="12.75" x14ac:dyDescent="0.2">
      <c r="B349" s="31"/>
      <c r="D349" s="15"/>
    </row>
    <row r="350" spans="2:4" ht="12.75" x14ac:dyDescent="0.2">
      <c r="B350" s="31"/>
      <c r="D350" s="15"/>
    </row>
    <row r="351" spans="2:4" ht="12.75" x14ac:dyDescent="0.2">
      <c r="B351" s="31"/>
      <c r="D351" s="15"/>
    </row>
    <row r="352" spans="2:4" ht="12.75" x14ac:dyDescent="0.2">
      <c r="B352" s="31"/>
      <c r="D352" s="15"/>
    </row>
    <row r="353" spans="2:4" ht="12.75" x14ac:dyDescent="0.2">
      <c r="B353" s="31"/>
      <c r="D353" s="15"/>
    </row>
    <row r="354" spans="2:4" ht="12.75" x14ac:dyDescent="0.2">
      <c r="B354" s="31"/>
      <c r="D354" s="15"/>
    </row>
    <row r="355" spans="2:4" ht="12.75" x14ac:dyDescent="0.2">
      <c r="B355" s="31"/>
      <c r="D355" s="15"/>
    </row>
    <row r="356" spans="2:4" ht="12.75" x14ac:dyDescent="0.2">
      <c r="B356" s="31"/>
      <c r="D356" s="15"/>
    </row>
    <row r="357" spans="2:4" ht="12.75" x14ac:dyDescent="0.2">
      <c r="B357" s="31"/>
      <c r="D357" s="15"/>
    </row>
    <row r="358" spans="2:4" ht="12.75" x14ac:dyDescent="0.2">
      <c r="B358" s="31"/>
      <c r="D358" s="15"/>
    </row>
    <row r="359" spans="2:4" ht="12.75" x14ac:dyDescent="0.2">
      <c r="B359" s="31"/>
      <c r="D359" s="15"/>
    </row>
    <row r="360" spans="2:4" ht="12.75" x14ac:dyDescent="0.2">
      <c r="B360" s="31"/>
      <c r="D360" s="15"/>
    </row>
    <row r="361" spans="2:4" ht="12.75" x14ac:dyDescent="0.2">
      <c r="B361" s="31"/>
      <c r="D361" s="15"/>
    </row>
    <row r="362" spans="2:4" ht="12.75" x14ac:dyDescent="0.2">
      <c r="B362" s="31"/>
      <c r="D362" s="15"/>
    </row>
    <row r="363" spans="2:4" ht="12.75" x14ac:dyDescent="0.2">
      <c r="B363" s="31"/>
      <c r="D363" s="15"/>
    </row>
    <row r="364" spans="2:4" ht="12.75" x14ac:dyDescent="0.2">
      <c r="B364" s="31"/>
      <c r="D364" s="15"/>
    </row>
    <row r="365" spans="2:4" ht="12.75" x14ac:dyDescent="0.2">
      <c r="B365" s="31"/>
      <c r="D365" s="15"/>
    </row>
    <row r="366" spans="2:4" ht="12.75" x14ac:dyDescent="0.2">
      <c r="B366" s="31"/>
      <c r="D366" s="15"/>
    </row>
    <row r="367" spans="2:4" ht="12.75" x14ac:dyDescent="0.2">
      <c r="B367" s="31"/>
      <c r="D367" s="15"/>
    </row>
    <row r="368" spans="2:4" ht="12.75" x14ac:dyDescent="0.2">
      <c r="B368" s="31"/>
      <c r="D368" s="15"/>
    </row>
    <row r="369" spans="2:4" ht="12.75" x14ac:dyDescent="0.2">
      <c r="B369" s="31"/>
      <c r="D369" s="15"/>
    </row>
    <row r="370" spans="2:4" ht="12.75" x14ac:dyDescent="0.2">
      <c r="B370" s="31"/>
      <c r="D370" s="15"/>
    </row>
    <row r="371" spans="2:4" ht="12.75" x14ac:dyDescent="0.2">
      <c r="B371" s="31"/>
      <c r="D371" s="15"/>
    </row>
    <row r="372" spans="2:4" ht="12.75" x14ac:dyDescent="0.2">
      <c r="B372" s="31"/>
      <c r="D372" s="15"/>
    </row>
    <row r="373" spans="2:4" ht="12.75" x14ac:dyDescent="0.2">
      <c r="B373" s="31"/>
      <c r="D373" s="15"/>
    </row>
    <row r="374" spans="2:4" ht="12.75" x14ac:dyDescent="0.2">
      <c r="B374" s="31"/>
      <c r="D374" s="15"/>
    </row>
    <row r="375" spans="2:4" ht="12.75" x14ac:dyDescent="0.2">
      <c r="B375" s="31"/>
      <c r="D375" s="15"/>
    </row>
    <row r="376" spans="2:4" ht="12.75" x14ac:dyDescent="0.2">
      <c r="B376" s="31"/>
      <c r="D376" s="15"/>
    </row>
    <row r="377" spans="2:4" ht="12.75" x14ac:dyDescent="0.2">
      <c r="B377" s="31"/>
      <c r="D377" s="15"/>
    </row>
    <row r="378" spans="2:4" ht="12.75" x14ac:dyDescent="0.2">
      <c r="B378" s="31"/>
      <c r="D378" s="15"/>
    </row>
    <row r="379" spans="2:4" ht="12.75" x14ac:dyDescent="0.2">
      <c r="B379" s="31"/>
      <c r="D379" s="15"/>
    </row>
    <row r="380" spans="2:4" ht="12.75" x14ac:dyDescent="0.2">
      <c r="B380" s="31"/>
      <c r="D380" s="15"/>
    </row>
    <row r="381" spans="2:4" ht="12.75" x14ac:dyDescent="0.2">
      <c r="B381" s="31"/>
      <c r="D381" s="15"/>
    </row>
    <row r="382" spans="2:4" ht="12.75" x14ac:dyDescent="0.2">
      <c r="B382" s="31"/>
      <c r="D382" s="15"/>
    </row>
    <row r="383" spans="2:4" ht="12.75" x14ac:dyDescent="0.2">
      <c r="B383" s="31"/>
      <c r="D383" s="15"/>
    </row>
    <row r="384" spans="2:4" ht="12.75" x14ac:dyDescent="0.2">
      <c r="B384" s="31"/>
      <c r="D384" s="15"/>
    </row>
    <row r="385" spans="2:4" ht="12.75" x14ac:dyDescent="0.2">
      <c r="B385" s="31"/>
      <c r="D385" s="15"/>
    </row>
    <row r="386" spans="2:4" ht="12.75" x14ac:dyDescent="0.2">
      <c r="B386" s="31"/>
      <c r="D386" s="15"/>
    </row>
    <row r="387" spans="2:4" ht="12.75" x14ac:dyDescent="0.2">
      <c r="B387" s="31"/>
      <c r="D387" s="15"/>
    </row>
    <row r="388" spans="2:4" ht="12.75" x14ac:dyDescent="0.2">
      <c r="B388" s="31"/>
      <c r="D388" s="15"/>
    </row>
    <row r="389" spans="2:4" ht="12.75" x14ac:dyDescent="0.2">
      <c r="B389" s="31"/>
      <c r="D389" s="15"/>
    </row>
    <row r="390" spans="2:4" ht="12.75" x14ac:dyDescent="0.2">
      <c r="B390" s="31"/>
      <c r="D390" s="15"/>
    </row>
    <row r="391" spans="2:4" ht="12.75" x14ac:dyDescent="0.2">
      <c r="B391" s="31"/>
      <c r="D391" s="15"/>
    </row>
    <row r="392" spans="2:4" ht="12.75" x14ac:dyDescent="0.2">
      <c r="B392" s="31"/>
      <c r="D392" s="15"/>
    </row>
    <row r="393" spans="2:4" ht="12.75" x14ac:dyDescent="0.2">
      <c r="B393" s="31"/>
      <c r="D393" s="15"/>
    </row>
    <row r="394" spans="2:4" ht="12.75" x14ac:dyDescent="0.2">
      <c r="B394" s="31"/>
      <c r="D394" s="15"/>
    </row>
    <row r="395" spans="2:4" ht="12.75" x14ac:dyDescent="0.2">
      <c r="B395" s="31"/>
      <c r="D395" s="15"/>
    </row>
    <row r="396" spans="2:4" ht="12.75" x14ac:dyDescent="0.2">
      <c r="B396" s="31"/>
      <c r="D396" s="15"/>
    </row>
    <row r="397" spans="2:4" ht="12.75" x14ac:dyDescent="0.2">
      <c r="B397" s="31"/>
      <c r="D397" s="15"/>
    </row>
    <row r="398" spans="2:4" ht="12.75" x14ac:dyDescent="0.2">
      <c r="B398" s="31"/>
      <c r="D398" s="15"/>
    </row>
    <row r="399" spans="2:4" ht="12.75" x14ac:dyDescent="0.2">
      <c r="B399" s="31"/>
      <c r="D399" s="15"/>
    </row>
    <row r="400" spans="2:4" ht="12.75" x14ac:dyDescent="0.2">
      <c r="B400" s="31"/>
      <c r="D400" s="15"/>
    </row>
    <row r="401" spans="2:4" ht="12.75" x14ac:dyDescent="0.2">
      <c r="B401" s="31"/>
      <c r="D401" s="15"/>
    </row>
    <row r="402" spans="2:4" ht="12.75" x14ac:dyDescent="0.2">
      <c r="B402" s="31"/>
      <c r="D402" s="15"/>
    </row>
    <row r="403" spans="2:4" ht="12.75" x14ac:dyDescent="0.2">
      <c r="B403" s="31"/>
      <c r="D403" s="15"/>
    </row>
    <row r="404" spans="2:4" ht="12.75" x14ac:dyDescent="0.2">
      <c r="B404" s="31"/>
      <c r="D404" s="15"/>
    </row>
    <row r="405" spans="2:4" ht="12.75" x14ac:dyDescent="0.2">
      <c r="B405" s="31"/>
      <c r="D405" s="15"/>
    </row>
    <row r="406" spans="2:4" ht="12.75" x14ac:dyDescent="0.2">
      <c r="B406" s="31"/>
      <c r="D406" s="15"/>
    </row>
    <row r="407" spans="2:4" ht="12.75" x14ac:dyDescent="0.2">
      <c r="B407" s="31"/>
      <c r="D407" s="15"/>
    </row>
    <row r="408" spans="2:4" ht="12.75" x14ac:dyDescent="0.2">
      <c r="B408" s="31"/>
      <c r="D408" s="15"/>
    </row>
    <row r="409" spans="2:4" ht="12.75" x14ac:dyDescent="0.2">
      <c r="B409" s="31"/>
      <c r="D409" s="15"/>
    </row>
    <row r="410" spans="2:4" ht="12.75" x14ac:dyDescent="0.2">
      <c r="B410" s="31"/>
      <c r="D410" s="15"/>
    </row>
    <row r="411" spans="2:4" ht="12.75" x14ac:dyDescent="0.2">
      <c r="B411" s="31"/>
      <c r="D411" s="15"/>
    </row>
    <row r="412" spans="2:4" ht="12.75" x14ac:dyDescent="0.2">
      <c r="B412" s="31"/>
      <c r="D412" s="15"/>
    </row>
    <row r="413" spans="2:4" ht="12.75" x14ac:dyDescent="0.2">
      <c r="B413" s="31"/>
      <c r="D413" s="15"/>
    </row>
    <row r="414" spans="2:4" ht="12.75" x14ac:dyDescent="0.2">
      <c r="B414" s="31"/>
      <c r="D414" s="15"/>
    </row>
    <row r="415" spans="2:4" ht="12.75" x14ac:dyDescent="0.2">
      <c r="B415" s="31"/>
      <c r="D415" s="15"/>
    </row>
    <row r="416" spans="2:4" ht="12.75" x14ac:dyDescent="0.2">
      <c r="B416" s="31"/>
      <c r="D416" s="15"/>
    </row>
    <row r="417" spans="2:4" ht="12.75" x14ac:dyDescent="0.2">
      <c r="B417" s="31"/>
      <c r="D417" s="15"/>
    </row>
    <row r="418" spans="2:4" ht="12.75" x14ac:dyDescent="0.2">
      <c r="B418" s="31"/>
      <c r="D418" s="15"/>
    </row>
    <row r="419" spans="2:4" ht="12.75" x14ac:dyDescent="0.2">
      <c r="B419" s="31"/>
      <c r="D419" s="15"/>
    </row>
    <row r="420" spans="2:4" ht="12.75" x14ac:dyDescent="0.2">
      <c r="B420" s="31"/>
      <c r="D420" s="15"/>
    </row>
    <row r="421" spans="2:4" ht="12.75" x14ac:dyDescent="0.2">
      <c r="B421" s="31"/>
      <c r="D421" s="15"/>
    </row>
    <row r="422" spans="2:4" ht="12.75" x14ac:dyDescent="0.2">
      <c r="B422" s="31"/>
      <c r="D422" s="15"/>
    </row>
    <row r="423" spans="2:4" ht="12.75" x14ac:dyDescent="0.2">
      <c r="B423" s="31"/>
      <c r="D423" s="15"/>
    </row>
    <row r="424" spans="2:4" ht="12.75" x14ac:dyDescent="0.2">
      <c r="B424" s="31"/>
      <c r="D424" s="15"/>
    </row>
    <row r="425" spans="2:4" ht="12.75" x14ac:dyDescent="0.2">
      <c r="B425" s="31"/>
      <c r="D425" s="15"/>
    </row>
    <row r="426" spans="2:4" ht="12.75" x14ac:dyDescent="0.2">
      <c r="B426" s="31"/>
      <c r="D426" s="15"/>
    </row>
    <row r="427" spans="2:4" ht="12.75" x14ac:dyDescent="0.2">
      <c r="B427" s="31"/>
      <c r="D427" s="15"/>
    </row>
    <row r="428" spans="2:4" ht="12.75" x14ac:dyDescent="0.2">
      <c r="B428" s="31"/>
      <c r="D428" s="15"/>
    </row>
    <row r="429" spans="2:4" ht="12.75" x14ac:dyDescent="0.2">
      <c r="B429" s="31"/>
      <c r="D429" s="15"/>
    </row>
    <row r="430" spans="2:4" ht="12.75" x14ac:dyDescent="0.2">
      <c r="B430" s="31"/>
      <c r="D430" s="15"/>
    </row>
    <row r="431" spans="2:4" ht="12.75" x14ac:dyDescent="0.2">
      <c r="B431" s="31"/>
      <c r="D431" s="15"/>
    </row>
    <row r="432" spans="2:4" ht="12.75" x14ac:dyDescent="0.2">
      <c r="B432" s="31"/>
      <c r="D432" s="15"/>
    </row>
    <row r="433" spans="2:4" ht="12.75" x14ac:dyDescent="0.2">
      <c r="B433" s="31"/>
      <c r="D433" s="15"/>
    </row>
    <row r="434" spans="2:4" ht="12.75" x14ac:dyDescent="0.2">
      <c r="B434" s="31"/>
      <c r="D434" s="15"/>
    </row>
    <row r="435" spans="2:4" ht="12.75" x14ac:dyDescent="0.2">
      <c r="B435" s="31"/>
      <c r="D435" s="15"/>
    </row>
    <row r="436" spans="2:4" ht="12.75" x14ac:dyDescent="0.2">
      <c r="B436" s="31"/>
      <c r="D436" s="15"/>
    </row>
    <row r="437" spans="2:4" ht="12.75" x14ac:dyDescent="0.2">
      <c r="B437" s="31"/>
      <c r="D437" s="15"/>
    </row>
    <row r="438" spans="2:4" ht="12.75" x14ac:dyDescent="0.2">
      <c r="B438" s="31"/>
      <c r="D438" s="15"/>
    </row>
    <row r="439" spans="2:4" ht="12.75" x14ac:dyDescent="0.2">
      <c r="B439" s="31"/>
      <c r="D439" s="15"/>
    </row>
    <row r="440" spans="2:4" ht="12.75" x14ac:dyDescent="0.2">
      <c r="B440" s="31"/>
      <c r="D440" s="15"/>
    </row>
    <row r="441" spans="2:4" ht="12.75" x14ac:dyDescent="0.2">
      <c r="B441" s="31"/>
      <c r="D441" s="15"/>
    </row>
    <row r="442" spans="2:4" ht="12.75" x14ac:dyDescent="0.2">
      <c r="B442" s="31"/>
      <c r="D442" s="15"/>
    </row>
    <row r="443" spans="2:4" ht="12.75" x14ac:dyDescent="0.2">
      <c r="B443" s="31"/>
      <c r="D443" s="15"/>
    </row>
    <row r="444" spans="2:4" ht="12.75" x14ac:dyDescent="0.2">
      <c r="B444" s="31"/>
      <c r="D444" s="15"/>
    </row>
    <row r="445" spans="2:4" ht="12.75" x14ac:dyDescent="0.2">
      <c r="B445" s="31"/>
      <c r="D445" s="15"/>
    </row>
    <row r="446" spans="2:4" ht="12.75" x14ac:dyDescent="0.2">
      <c r="B446" s="31"/>
      <c r="D446" s="15"/>
    </row>
    <row r="447" spans="2:4" ht="12.75" x14ac:dyDescent="0.2">
      <c r="B447" s="31"/>
      <c r="D447" s="15"/>
    </row>
    <row r="448" spans="2:4" ht="12.75" x14ac:dyDescent="0.2">
      <c r="B448" s="31"/>
      <c r="D448" s="15"/>
    </row>
    <row r="449" spans="2:4" ht="12.75" x14ac:dyDescent="0.2">
      <c r="B449" s="31"/>
      <c r="D449" s="15"/>
    </row>
    <row r="450" spans="2:4" ht="12.75" x14ac:dyDescent="0.2">
      <c r="B450" s="31"/>
      <c r="D450" s="15"/>
    </row>
    <row r="451" spans="2:4" ht="12.75" x14ac:dyDescent="0.2">
      <c r="B451" s="31"/>
      <c r="D451" s="15"/>
    </row>
    <row r="452" spans="2:4" ht="12.75" x14ac:dyDescent="0.2">
      <c r="B452" s="31"/>
      <c r="D452" s="15"/>
    </row>
    <row r="453" spans="2:4" ht="12.75" x14ac:dyDescent="0.2">
      <c r="B453" s="31"/>
      <c r="D453" s="15"/>
    </row>
    <row r="454" spans="2:4" ht="12.75" x14ac:dyDescent="0.2">
      <c r="B454" s="31"/>
      <c r="D454" s="15"/>
    </row>
    <row r="455" spans="2:4" ht="12.75" x14ac:dyDescent="0.2">
      <c r="B455" s="31"/>
      <c r="D455" s="15"/>
    </row>
    <row r="456" spans="2:4" ht="12.75" x14ac:dyDescent="0.2">
      <c r="B456" s="31"/>
      <c r="D456" s="15"/>
    </row>
    <row r="457" spans="2:4" ht="12.75" x14ac:dyDescent="0.2">
      <c r="B457" s="31"/>
      <c r="D457" s="15"/>
    </row>
    <row r="458" spans="2:4" ht="12.75" x14ac:dyDescent="0.2">
      <c r="B458" s="31"/>
      <c r="D458" s="15"/>
    </row>
    <row r="459" spans="2:4" ht="12.75" x14ac:dyDescent="0.2">
      <c r="B459" s="31"/>
      <c r="D459" s="15"/>
    </row>
    <row r="460" spans="2:4" ht="12.75" x14ac:dyDescent="0.2">
      <c r="B460" s="31"/>
      <c r="D460" s="15"/>
    </row>
    <row r="461" spans="2:4" ht="12.75" x14ac:dyDescent="0.2">
      <c r="B461" s="31"/>
      <c r="D461" s="15"/>
    </row>
    <row r="462" spans="2:4" ht="12.75" x14ac:dyDescent="0.2">
      <c r="B462" s="31"/>
      <c r="D462" s="15"/>
    </row>
    <row r="463" spans="2:4" ht="12.75" x14ac:dyDescent="0.2">
      <c r="B463" s="31"/>
      <c r="D463" s="15"/>
    </row>
    <row r="464" spans="2:4" ht="12.75" x14ac:dyDescent="0.2">
      <c r="B464" s="31"/>
      <c r="D464" s="15"/>
    </row>
    <row r="465" spans="2:4" ht="12.75" x14ac:dyDescent="0.2">
      <c r="B465" s="31"/>
      <c r="D465" s="15"/>
    </row>
    <row r="466" spans="2:4" ht="12.75" x14ac:dyDescent="0.2">
      <c r="B466" s="31"/>
      <c r="D466" s="15"/>
    </row>
    <row r="467" spans="2:4" ht="12.75" x14ac:dyDescent="0.2">
      <c r="B467" s="31"/>
      <c r="D467" s="15"/>
    </row>
    <row r="468" spans="2:4" ht="12.75" x14ac:dyDescent="0.2">
      <c r="B468" s="31"/>
      <c r="D468" s="15"/>
    </row>
    <row r="469" spans="2:4" ht="12.75" x14ac:dyDescent="0.2">
      <c r="B469" s="31"/>
      <c r="D469" s="15"/>
    </row>
    <row r="470" spans="2:4" ht="12.75" x14ac:dyDescent="0.2">
      <c r="B470" s="31"/>
      <c r="D470" s="15"/>
    </row>
    <row r="471" spans="2:4" ht="12.75" x14ac:dyDescent="0.2">
      <c r="B471" s="31"/>
      <c r="D471" s="15"/>
    </row>
    <row r="472" spans="2:4" ht="12.75" x14ac:dyDescent="0.2">
      <c r="B472" s="31"/>
      <c r="D472" s="15"/>
    </row>
    <row r="473" spans="2:4" ht="12.75" x14ac:dyDescent="0.2">
      <c r="B473" s="31"/>
      <c r="D473" s="15"/>
    </row>
    <row r="474" spans="2:4" ht="12.75" x14ac:dyDescent="0.2">
      <c r="B474" s="31"/>
      <c r="D474" s="15"/>
    </row>
    <row r="475" spans="2:4" ht="12.75" x14ac:dyDescent="0.2">
      <c r="B475" s="31"/>
      <c r="D475" s="15"/>
    </row>
    <row r="476" spans="2:4" ht="12.75" x14ac:dyDescent="0.2">
      <c r="B476" s="31"/>
      <c r="D476" s="15"/>
    </row>
    <row r="477" spans="2:4" ht="12.75" x14ac:dyDescent="0.2">
      <c r="B477" s="31"/>
      <c r="D477" s="15"/>
    </row>
    <row r="478" spans="2:4" ht="12.75" x14ac:dyDescent="0.2">
      <c r="B478" s="31"/>
      <c r="D478" s="15"/>
    </row>
    <row r="479" spans="2:4" ht="12.75" x14ac:dyDescent="0.2">
      <c r="B479" s="31"/>
      <c r="D479" s="15"/>
    </row>
    <row r="480" spans="2:4" ht="12.75" x14ac:dyDescent="0.2">
      <c r="B480" s="31"/>
      <c r="D480" s="15"/>
    </row>
    <row r="481" spans="2:4" ht="12.75" x14ac:dyDescent="0.2">
      <c r="B481" s="31"/>
      <c r="D481" s="15"/>
    </row>
    <row r="482" spans="2:4" ht="12.75" x14ac:dyDescent="0.2">
      <c r="B482" s="31"/>
      <c r="D482" s="15"/>
    </row>
    <row r="483" spans="2:4" ht="12.75" x14ac:dyDescent="0.2">
      <c r="B483" s="31"/>
      <c r="D483" s="15"/>
    </row>
    <row r="484" spans="2:4" ht="12.75" x14ac:dyDescent="0.2">
      <c r="B484" s="31"/>
      <c r="D484" s="15"/>
    </row>
    <row r="485" spans="2:4" ht="12.75" x14ac:dyDescent="0.2">
      <c r="B485" s="31"/>
      <c r="D485" s="15"/>
    </row>
    <row r="486" spans="2:4" ht="12.75" x14ac:dyDescent="0.2">
      <c r="B486" s="31"/>
      <c r="D486" s="15"/>
    </row>
    <row r="487" spans="2:4" ht="12.75" x14ac:dyDescent="0.2">
      <c r="B487" s="31"/>
      <c r="D487" s="15"/>
    </row>
    <row r="488" spans="2:4" ht="12.75" x14ac:dyDescent="0.2">
      <c r="B488" s="31"/>
      <c r="D488" s="15"/>
    </row>
    <row r="489" spans="2:4" ht="12.75" x14ac:dyDescent="0.2">
      <c r="B489" s="31"/>
      <c r="D489" s="15"/>
    </row>
    <row r="490" spans="2:4" ht="12.75" x14ac:dyDescent="0.2">
      <c r="B490" s="31"/>
      <c r="D490" s="15"/>
    </row>
    <row r="491" spans="2:4" ht="12.75" x14ac:dyDescent="0.2">
      <c r="B491" s="31"/>
      <c r="D491" s="15"/>
    </row>
    <row r="492" spans="2:4" ht="12.75" x14ac:dyDescent="0.2">
      <c r="B492" s="31"/>
      <c r="D492" s="15"/>
    </row>
    <row r="493" spans="2:4" ht="12.75" x14ac:dyDescent="0.2">
      <c r="B493" s="31"/>
      <c r="D493" s="15"/>
    </row>
    <row r="494" spans="2:4" ht="12.75" x14ac:dyDescent="0.2">
      <c r="B494" s="31"/>
      <c r="D494" s="15"/>
    </row>
    <row r="495" spans="2:4" ht="12.75" x14ac:dyDescent="0.2">
      <c r="B495" s="31"/>
      <c r="D495" s="15"/>
    </row>
    <row r="496" spans="2:4" ht="12.75" x14ac:dyDescent="0.2">
      <c r="B496" s="31"/>
      <c r="D496" s="15"/>
    </row>
    <row r="497" spans="2:4" ht="12.75" x14ac:dyDescent="0.2">
      <c r="B497" s="31"/>
      <c r="D497" s="15"/>
    </row>
    <row r="498" spans="2:4" ht="12.75" x14ac:dyDescent="0.2">
      <c r="B498" s="31"/>
      <c r="D498" s="15"/>
    </row>
    <row r="499" spans="2:4" ht="12.75" x14ac:dyDescent="0.2">
      <c r="B499" s="31"/>
      <c r="D499" s="15"/>
    </row>
    <row r="500" spans="2:4" ht="12.75" x14ac:dyDescent="0.2">
      <c r="B500" s="31"/>
      <c r="D500" s="15"/>
    </row>
    <row r="501" spans="2:4" ht="12.75" x14ac:dyDescent="0.2">
      <c r="B501" s="31"/>
      <c r="D501" s="15"/>
    </row>
    <row r="502" spans="2:4" ht="12.75" x14ac:dyDescent="0.2">
      <c r="B502" s="31"/>
      <c r="D502" s="15"/>
    </row>
    <row r="503" spans="2:4" ht="12.75" x14ac:dyDescent="0.2">
      <c r="B503" s="31"/>
      <c r="D503" s="15"/>
    </row>
    <row r="504" spans="2:4" ht="12.75" x14ac:dyDescent="0.2">
      <c r="B504" s="31"/>
      <c r="D504" s="15"/>
    </row>
    <row r="505" spans="2:4" ht="12.75" x14ac:dyDescent="0.2">
      <c r="B505" s="31"/>
      <c r="D505" s="15"/>
    </row>
    <row r="506" spans="2:4" ht="12.75" x14ac:dyDescent="0.2">
      <c r="B506" s="31"/>
      <c r="D506" s="15"/>
    </row>
    <row r="507" spans="2:4" ht="12.75" x14ac:dyDescent="0.2">
      <c r="B507" s="31"/>
      <c r="D507" s="15"/>
    </row>
    <row r="508" spans="2:4" ht="12.75" x14ac:dyDescent="0.2">
      <c r="B508" s="31"/>
      <c r="D508" s="15"/>
    </row>
    <row r="509" spans="2:4" ht="12.75" x14ac:dyDescent="0.2">
      <c r="B509" s="31"/>
      <c r="D509" s="15"/>
    </row>
    <row r="510" spans="2:4" ht="12.75" x14ac:dyDescent="0.2">
      <c r="B510" s="31"/>
      <c r="D510" s="15"/>
    </row>
    <row r="511" spans="2:4" ht="12.75" x14ac:dyDescent="0.2">
      <c r="B511" s="31"/>
      <c r="D511" s="15"/>
    </row>
    <row r="512" spans="2:4" ht="12.75" x14ac:dyDescent="0.2">
      <c r="B512" s="31"/>
      <c r="D512" s="15"/>
    </row>
    <row r="513" spans="2:4" ht="12.75" x14ac:dyDescent="0.2">
      <c r="B513" s="31"/>
      <c r="D513" s="15"/>
    </row>
    <row r="514" spans="2:4" ht="12.75" x14ac:dyDescent="0.2">
      <c r="B514" s="31"/>
      <c r="D514" s="15"/>
    </row>
    <row r="515" spans="2:4" ht="12.75" x14ac:dyDescent="0.2">
      <c r="B515" s="31"/>
      <c r="D515" s="15"/>
    </row>
    <row r="516" spans="2:4" ht="12.75" x14ac:dyDescent="0.2">
      <c r="B516" s="31"/>
      <c r="D516" s="15"/>
    </row>
    <row r="517" spans="2:4" ht="12.75" x14ac:dyDescent="0.2">
      <c r="B517" s="31"/>
      <c r="D517" s="15"/>
    </row>
    <row r="518" spans="2:4" ht="12.75" x14ac:dyDescent="0.2">
      <c r="B518" s="31"/>
      <c r="D518" s="15"/>
    </row>
    <row r="519" spans="2:4" ht="12.75" x14ac:dyDescent="0.2">
      <c r="B519" s="31"/>
      <c r="D519" s="15"/>
    </row>
    <row r="520" spans="2:4" ht="12.75" x14ac:dyDescent="0.2">
      <c r="B520" s="31"/>
      <c r="D520" s="15"/>
    </row>
    <row r="521" spans="2:4" ht="12.75" x14ac:dyDescent="0.2">
      <c r="B521" s="31"/>
      <c r="D521" s="15"/>
    </row>
    <row r="522" spans="2:4" ht="12.75" x14ac:dyDescent="0.2">
      <c r="B522" s="31"/>
      <c r="D522" s="15"/>
    </row>
    <row r="523" spans="2:4" ht="12.75" x14ac:dyDescent="0.2">
      <c r="B523" s="31"/>
      <c r="D523" s="15"/>
    </row>
    <row r="524" spans="2:4" ht="12.75" x14ac:dyDescent="0.2">
      <c r="B524" s="31"/>
      <c r="D524" s="15"/>
    </row>
    <row r="525" spans="2:4" ht="12.75" x14ac:dyDescent="0.2">
      <c r="B525" s="31"/>
      <c r="D525" s="15"/>
    </row>
    <row r="526" spans="2:4" ht="12.75" x14ac:dyDescent="0.2">
      <c r="B526" s="31"/>
      <c r="D526" s="15"/>
    </row>
    <row r="527" spans="2:4" ht="12.75" x14ac:dyDescent="0.2">
      <c r="B527" s="31"/>
      <c r="D527" s="15"/>
    </row>
    <row r="528" spans="2:4" ht="12.75" x14ac:dyDescent="0.2">
      <c r="B528" s="31"/>
      <c r="D528" s="15"/>
    </row>
    <row r="529" spans="2:4" ht="12.75" x14ac:dyDescent="0.2">
      <c r="B529" s="31"/>
      <c r="D529" s="15"/>
    </row>
    <row r="530" spans="2:4" ht="12.75" x14ac:dyDescent="0.2">
      <c r="B530" s="31"/>
      <c r="D530" s="15"/>
    </row>
    <row r="531" spans="2:4" ht="12.75" x14ac:dyDescent="0.2">
      <c r="B531" s="31"/>
      <c r="D531" s="15"/>
    </row>
    <row r="532" spans="2:4" ht="12.75" x14ac:dyDescent="0.2">
      <c r="B532" s="31"/>
      <c r="D532" s="15"/>
    </row>
    <row r="533" spans="2:4" ht="12.75" x14ac:dyDescent="0.2">
      <c r="B533" s="31"/>
      <c r="D533" s="15"/>
    </row>
    <row r="534" spans="2:4" ht="12.75" x14ac:dyDescent="0.2">
      <c r="B534" s="31"/>
      <c r="D534" s="15"/>
    </row>
    <row r="535" spans="2:4" ht="12.75" x14ac:dyDescent="0.2">
      <c r="B535" s="31"/>
      <c r="D535" s="15"/>
    </row>
    <row r="536" spans="2:4" ht="12.75" x14ac:dyDescent="0.2">
      <c r="B536" s="31"/>
      <c r="D536" s="15"/>
    </row>
    <row r="537" spans="2:4" ht="12.75" x14ac:dyDescent="0.2">
      <c r="B537" s="31"/>
      <c r="D537" s="15"/>
    </row>
    <row r="538" spans="2:4" ht="12.75" x14ac:dyDescent="0.2">
      <c r="B538" s="31"/>
      <c r="D538" s="15"/>
    </row>
    <row r="539" spans="2:4" ht="12.75" x14ac:dyDescent="0.2">
      <c r="B539" s="31"/>
      <c r="D539" s="15"/>
    </row>
    <row r="540" spans="2:4" ht="12.75" x14ac:dyDescent="0.2">
      <c r="B540" s="31"/>
      <c r="D540" s="15"/>
    </row>
    <row r="541" spans="2:4" ht="12.75" x14ac:dyDescent="0.2">
      <c r="B541" s="31"/>
      <c r="D541" s="15"/>
    </row>
    <row r="542" spans="2:4" ht="12.75" x14ac:dyDescent="0.2">
      <c r="B542" s="31"/>
      <c r="D542" s="15"/>
    </row>
    <row r="543" spans="2:4" ht="12.75" x14ac:dyDescent="0.2">
      <c r="B543" s="31"/>
      <c r="D543" s="15"/>
    </row>
    <row r="544" spans="2:4" ht="12.75" x14ac:dyDescent="0.2">
      <c r="B544" s="31"/>
      <c r="D544" s="15"/>
    </row>
    <row r="545" spans="2:4" ht="12.75" x14ac:dyDescent="0.2">
      <c r="B545" s="31"/>
      <c r="D545" s="15"/>
    </row>
    <row r="546" spans="2:4" ht="12.75" x14ac:dyDescent="0.2">
      <c r="B546" s="31"/>
      <c r="D546" s="15"/>
    </row>
    <row r="547" spans="2:4" ht="12.75" x14ac:dyDescent="0.2">
      <c r="B547" s="31"/>
      <c r="D547" s="15"/>
    </row>
    <row r="548" spans="2:4" ht="12.75" x14ac:dyDescent="0.2">
      <c r="B548" s="31"/>
      <c r="D548" s="15"/>
    </row>
    <row r="549" spans="2:4" ht="12.75" x14ac:dyDescent="0.2">
      <c r="B549" s="31"/>
      <c r="D549" s="15"/>
    </row>
    <row r="550" spans="2:4" ht="12.75" x14ac:dyDescent="0.2">
      <c r="B550" s="31"/>
      <c r="D550" s="15"/>
    </row>
    <row r="551" spans="2:4" ht="12.75" x14ac:dyDescent="0.2">
      <c r="B551" s="31"/>
      <c r="D551" s="15"/>
    </row>
    <row r="552" spans="2:4" ht="12.75" x14ac:dyDescent="0.2">
      <c r="B552" s="31"/>
      <c r="D552" s="15"/>
    </row>
    <row r="553" spans="2:4" ht="12.75" x14ac:dyDescent="0.2">
      <c r="B553" s="31"/>
      <c r="D553" s="15"/>
    </row>
    <row r="554" spans="2:4" ht="12.75" x14ac:dyDescent="0.2">
      <c r="B554" s="31"/>
      <c r="D554" s="15"/>
    </row>
    <row r="555" spans="2:4" ht="12.75" x14ac:dyDescent="0.2">
      <c r="B555" s="31"/>
      <c r="D555" s="15"/>
    </row>
    <row r="556" spans="2:4" ht="12.75" x14ac:dyDescent="0.2">
      <c r="B556" s="31"/>
      <c r="D556" s="15"/>
    </row>
    <row r="557" spans="2:4" ht="12.75" x14ac:dyDescent="0.2">
      <c r="B557" s="31"/>
      <c r="D557" s="15"/>
    </row>
    <row r="558" spans="2:4" ht="12.75" x14ac:dyDescent="0.2">
      <c r="B558" s="31"/>
      <c r="D558" s="15"/>
    </row>
    <row r="559" spans="2:4" ht="12.75" x14ac:dyDescent="0.2">
      <c r="B559" s="31"/>
      <c r="D559" s="15"/>
    </row>
    <row r="560" spans="2:4" ht="12.75" x14ac:dyDescent="0.2">
      <c r="B560" s="31"/>
      <c r="D560" s="15"/>
    </row>
    <row r="561" spans="2:4" ht="12.75" x14ac:dyDescent="0.2">
      <c r="B561" s="31"/>
      <c r="D561" s="15"/>
    </row>
    <row r="562" spans="2:4" ht="12.75" x14ac:dyDescent="0.2">
      <c r="B562" s="31"/>
      <c r="D562" s="15"/>
    </row>
    <row r="563" spans="2:4" ht="12.75" x14ac:dyDescent="0.2">
      <c r="B563" s="31"/>
      <c r="D563" s="15"/>
    </row>
    <row r="564" spans="2:4" ht="12.75" x14ac:dyDescent="0.2">
      <c r="B564" s="31"/>
      <c r="D564" s="15"/>
    </row>
    <row r="565" spans="2:4" ht="12.75" x14ac:dyDescent="0.2">
      <c r="B565" s="31"/>
      <c r="D565" s="15"/>
    </row>
    <row r="566" spans="2:4" ht="12.75" x14ac:dyDescent="0.2">
      <c r="B566" s="31"/>
      <c r="D566" s="15"/>
    </row>
    <row r="567" spans="2:4" ht="12.75" x14ac:dyDescent="0.2">
      <c r="B567" s="31"/>
      <c r="D567" s="15"/>
    </row>
    <row r="568" spans="2:4" ht="12.75" x14ac:dyDescent="0.2">
      <c r="B568" s="31"/>
      <c r="D568" s="15"/>
    </row>
    <row r="569" spans="2:4" ht="12.75" x14ac:dyDescent="0.2">
      <c r="B569" s="31"/>
      <c r="D569" s="15"/>
    </row>
    <row r="570" spans="2:4" ht="12.75" x14ac:dyDescent="0.2">
      <c r="B570" s="31"/>
      <c r="D570" s="15"/>
    </row>
    <row r="571" spans="2:4" ht="12.75" x14ac:dyDescent="0.2">
      <c r="B571" s="31"/>
      <c r="D571" s="15"/>
    </row>
    <row r="572" spans="2:4" ht="12.75" x14ac:dyDescent="0.2">
      <c r="B572" s="31"/>
      <c r="D572" s="15"/>
    </row>
    <row r="573" spans="2:4" ht="12.75" x14ac:dyDescent="0.2">
      <c r="B573" s="31"/>
      <c r="D573" s="15"/>
    </row>
    <row r="574" spans="2:4" ht="12.75" x14ac:dyDescent="0.2">
      <c r="B574" s="31"/>
      <c r="D574" s="15"/>
    </row>
    <row r="575" spans="2:4" ht="12.75" x14ac:dyDescent="0.2">
      <c r="B575" s="31"/>
      <c r="D575" s="15"/>
    </row>
    <row r="576" spans="2:4" ht="12.75" x14ac:dyDescent="0.2">
      <c r="B576" s="31"/>
      <c r="D576" s="15"/>
    </row>
    <row r="577" spans="2:4" ht="12.75" x14ac:dyDescent="0.2">
      <c r="B577" s="31"/>
      <c r="D577" s="15"/>
    </row>
    <row r="578" spans="2:4" ht="12.75" x14ac:dyDescent="0.2">
      <c r="B578" s="31"/>
      <c r="D578" s="15"/>
    </row>
    <row r="579" spans="2:4" ht="12.75" x14ac:dyDescent="0.2">
      <c r="B579" s="31"/>
      <c r="D579" s="15"/>
    </row>
    <row r="580" spans="2:4" ht="12.75" x14ac:dyDescent="0.2">
      <c r="B580" s="31"/>
      <c r="D580" s="15"/>
    </row>
    <row r="581" spans="2:4" ht="12.75" x14ac:dyDescent="0.2">
      <c r="B581" s="31"/>
      <c r="D581" s="15"/>
    </row>
    <row r="582" spans="2:4" ht="12.75" x14ac:dyDescent="0.2">
      <c r="B582" s="31"/>
      <c r="D582" s="15"/>
    </row>
    <row r="583" spans="2:4" ht="12.75" x14ac:dyDescent="0.2">
      <c r="B583" s="31"/>
      <c r="D583" s="15"/>
    </row>
    <row r="584" spans="2:4" ht="12.75" x14ac:dyDescent="0.2">
      <c r="B584" s="31"/>
      <c r="D584" s="15"/>
    </row>
    <row r="585" spans="2:4" ht="12.75" x14ac:dyDescent="0.2">
      <c r="B585" s="31"/>
      <c r="D585" s="15"/>
    </row>
    <row r="586" spans="2:4" ht="12.75" x14ac:dyDescent="0.2">
      <c r="B586" s="31"/>
      <c r="D586" s="15"/>
    </row>
    <row r="587" spans="2:4" ht="12.75" x14ac:dyDescent="0.2">
      <c r="B587" s="31"/>
      <c r="D587" s="15"/>
    </row>
    <row r="588" spans="2:4" ht="12.75" x14ac:dyDescent="0.2">
      <c r="B588" s="31"/>
      <c r="D588" s="15"/>
    </row>
    <row r="589" spans="2:4" ht="12.75" x14ac:dyDescent="0.2">
      <c r="B589" s="31"/>
      <c r="D589" s="15"/>
    </row>
    <row r="590" spans="2:4" ht="12.75" x14ac:dyDescent="0.2">
      <c r="B590" s="31"/>
      <c r="D590" s="15"/>
    </row>
    <row r="591" spans="2:4" ht="12.75" x14ac:dyDescent="0.2">
      <c r="B591" s="31"/>
      <c r="D591" s="15"/>
    </row>
    <row r="592" spans="2:4" ht="12.75" x14ac:dyDescent="0.2">
      <c r="B592" s="31"/>
      <c r="D592" s="15"/>
    </row>
    <row r="593" spans="2:4" ht="12.75" x14ac:dyDescent="0.2">
      <c r="B593" s="31"/>
      <c r="D593" s="15"/>
    </row>
    <row r="594" spans="2:4" ht="12.75" x14ac:dyDescent="0.2">
      <c r="B594" s="31"/>
      <c r="D594" s="15"/>
    </row>
    <row r="595" spans="2:4" ht="12.75" x14ac:dyDescent="0.2">
      <c r="B595" s="31"/>
      <c r="D595" s="15"/>
    </row>
    <row r="596" spans="2:4" ht="12.75" x14ac:dyDescent="0.2">
      <c r="B596" s="31"/>
      <c r="D596" s="15"/>
    </row>
    <row r="597" spans="2:4" ht="12.75" x14ac:dyDescent="0.2">
      <c r="B597" s="31"/>
      <c r="D597" s="15"/>
    </row>
    <row r="598" spans="2:4" ht="12.75" x14ac:dyDescent="0.2">
      <c r="B598" s="31"/>
      <c r="D598" s="15"/>
    </row>
    <row r="599" spans="2:4" ht="12.75" x14ac:dyDescent="0.2">
      <c r="B599" s="31"/>
      <c r="D599" s="15"/>
    </row>
    <row r="600" spans="2:4" ht="12.75" x14ac:dyDescent="0.2">
      <c r="B600" s="31"/>
      <c r="D600" s="15"/>
    </row>
    <row r="601" spans="2:4" ht="12.75" x14ac:dyDescent="0.2">
      <c r="B601" s="31"/>
      <c r="D601" s="15"/>
    </row>
    <row r="602" spans="2:4" ht="12.75" x14ac:dyDescent="0.2">
      <c r="B602" s="31"/>
      <c r="D602" s="15"/>
    </row>
    <row r="603" spans="2:4" ht="12.75" x14ac:dyDescent="0.2">
      <c r="B603" s="31"/>
      <c r="D603" s="15"/>
    </row>
    <row r="604" spans="2:4" ht="12.75" x14ac:dyDescent="0.2">
      <c r="B604" s="31"/>
      <c r="D604" s="15"/>
    </row>
    <row r="605" spans="2:4" ht="12.75" x14ac:dyDescent="0.2">
      <c r="B605" s="31"/>
      <c r="D605" s="15"/>
    </row>
    <row r="606" spans="2:4" ht="12.75" x14ac:dyDescent="0.2">
      <c r="B606" s="31"/>
      <c r="D606" s="15"/>
    </row>
    <row r="607" spans="2:4" ht="12.75" x14ac:dyDescent="0.2">
      <c r="B607" s="31"/>
      <c r="D607" s="15"/>
    </row>
    <row r="608" spans="2:4" ht="12.75" x14ac:dyDescent="0.2">
      <c r="B608" s="31"/>
      <c r="D608" s="15"/>
    </row>
    <row r="609" spans="2:4" ht="12.75" x14ac:dyDescent="0.2">
      <c r="B609" s="31"/>
      <c r="D609" s="15"/>
    </row>
    <row r="610" spans="2:4" ht="12.75" x14ac:dyDescent="0.2">
      <c r="B610" s="31"/>
      <c r="D610" s="15"/>
    </row>
    <row r="611" spans="2:4" ht="12.75" x14ac:dyDescent="0.2">
      <c r="B611" s="31"/>
      <c r="D611" s="15"/>
    </row>
    <row r="612" spans="2:4" ht="12.75" x14ac:dyDescent="0.2">
      <c r="B612" s="31"/>
      <c r="D612" s="15"/>
    </row>
    <row r="613" spans="2:4" ht="12.75" x14ac:dyDescent="0.2">
      <c r="B613" s="31"/>
      <c r="D613" s="15"/>
    </row>
    <row r="614" spans="2:4" ht="12.75" x14ac:dyDescent="0.2">
      <c r="B614" s="31"/>
      <c r="D614" s="15"/>
    </row>
    <row r="615" spans="2:4" ht="12.75" x14ac:dyDescent="0.2">
      <c r="B615" s="31"/>
      <c r="D615" s="15"/>
    </row>
    <row r="616" spans="2:4" ht="12.75" x14ac:dyDescent="0.2">
      <c r="B616" s="31"/>
      <c r="D616" s="15"/>
    </row>
    <row r="617" spans="2:4" ht="12.75" x14ac:dyDescent="0.2">
      <c r="B617" s="31"/>
      <c r="D617" s="15"/>
    </row>
    <row r="618" spans="2:4" ht="12.75" x14ac:dyDescent="0.2">
      <c r="B618" s="31"/>
      <c r="D618" s="15"/>
    </row>
    <row r="619" spans="2:4" ht="12.75" x14ac:dyDescent="0.2">
      <c r="B619" s="31"/>
      <c r="D619" s="15"/>
    </row>
    <row r="620" spans="2:4" ht="12.75" x14ac:dyDescent="0.2">
      <c r="B620" s="31"/>
      <c r="D620" s="15"/>
    </row>
    <row r="621" spans="2:4" ht="12.75" x14ac:dyDescent="0.2">
      <c r="B621" s="31"/>
      <c r="D621" s="15"/>
    </row>
    <row r="622" spans="2:4" ht="12.75" x14ac:dyDescent="0.2">
      <c r="B622" s="31"/>
      <c r="D622" s="15"/>
    </row>
    <row r="623" spans="2:4" ht="12.75" x14ac:dyDescent="0.2">
      <c r="B623" s="31"/>
      <c r="D623" s="15"/>
    </row>
    <row r="624" spans="2:4" ht="12.75" x14ac:dyDescent="0.2">
      <c r="B624" s="31"/>
      <c r="D624" s="15"/>
    </row>
    <row r="625" spans="2:4" ht="12.75" x14ac:dyDescent="0.2">
      <c r="B625" s="31"/>
      <c r="D625" s="15"/>
    </row>
    <row r="626" spans="2:4" ht="12.75" x14ac:dyDescent="0.2">
      <c r="B626" s="31"/>
      <c r="D626" s="15"/>
    </row>
    <row r="627" spans="2:4" ht="12.75" x14ac:dyDescent="0.2">
      <c r="B627" s="31"/>
      <c r="D627" s="15"/>
    </row>
    <row r="628" spans="2:4" ht="12.75" x14ac:dyDescent="0.2">
      <c r="B628" s="31"/>
      <c r="D628" s="15"/>
    </row>
    <row r="629" spans="2:4" ht="12.75" x14ac:dyDescent="0.2">
      <c r="B629" s="31"/>
      <c r="D629" s="15"/>
    </row>
    <row r="630" spans="2:4" ht="12.75" x14ac:dyDescent="0.2">
      <c r="B630" s="31"/>
      <c r="D630" s="15"/>
    </row>
    <row r="631" spans="2:4" ht="12.75" x14ac:dyDescent="0.2">
      <c r="B631" s="31"/>
      <c r="D631" s="15"/>
    </row>
    <row r="632" spans="2:4" ht="12.75" x14ac:dyDescent="0.2">
      <c r="B632" s="31"/>
      <c r="D632" s="15"/>
    </row>
    <row r="633" spans="2:4" ht="12.75" x14ac:dyDescent="0.2">
      <c r="B633" s="31"/>
      <c r="D633" s="15"/>
    </row>
    <row r="634" spans="2:4" ht="12.75" x14ac:dyDescent="0.2">
      <c r="B634" s="31"/>
      <c r="D634" s="15"/>
    </row>
    <row r="635" spans="2:4" ht="12.75" x14ac:dyDescent="0.2">
      <c r="B635" s="31"/>
      <c r="D635" s="15"/>
    </row>
    <row r="636" spans="2:4" ht="12.75" x14ac:dyDescent="0.2">
      <c r="B636" s="31"/>
      <c r="D636" s="15"/>
    </row>
    <row r="637" spans="2:4" ht="12.75" x14ac:dyDescent="0.2">
      <c r="B637" s="31"/>
      <c r="D637" s="15"/>
    </row>
    <row r="638" spans="2:4" ht="12.75" x14ac:dyDescent="0.2">
      <c r="B638" s="31"/>
      <c r="D638" s="15"/>
    </row>
    <row r="639" spans="2:4" ht="12.75" x14ac:dyDescent="0.2">
      <c r="B639" s="31"/>
      <c r="D639" s="15"/>
    </row>
    <row r="640" spans="2:4" ht="12.75" x14ac:dyDescent="0.2">
      <c r="B640" s="31"/>
      <c r="D640" s="15"/>
    </row>
    <row r="641" spans="2:4" ht="12.75" x14ac:dyDescent="0.2">
      <c r="B641" s="31"/>
      <c r="D641" s="15"/>
    </row>
    <row r="642" spans="2:4" ht="12.75" x14ac:dyDescent="0.2">
      <c r="B642" s="31"/>
      <c r="D642" s="15"/>
    </row>
    <row r="643" spans="2:4" ht="12.75" x14ac:dyDescent="0.2">
      <c r="B643" s="31"/>
      <c r="D643" s="15"/>
    </row>
    <row r="644" spans="2:4" ht="12.75" x14ac:dyDescent="0.2">
      <c r="B644" s="31"/>
      <c r="D644" s="15"/>
    </row>
    <row r="645" spans="2:4" ht="12.75" x14ac:dyDescent="0.2">
      <c r="B645" s="31"/>
      <c r="D645" s="15"/>
    </row>
    <row r="646" spans="2:4" ht="12.75" x14ac:dyDescent="0.2">
      <c r="B646" s="31"/>
      <c r="D646" s="15"/>
    </row>
    <row r="647" spans="2:4" ht="12.75" x14ac:dyDescent="0.2">
      <c r="B647" s="31"/>
      <c r="D647" s="15"/>
    </row>
    <row r="648" spans="2:4" ht="12.75" x14ac:dyDescent="0.2">
      <c r="B648" s="31"/>
      <c r="D648" s="15"/>
    </row>
    <row r="649" spans="2:4" ht="12.75" x14ac:dyDescent="0.2">
      <c r="B649" s="31"/>
      <c r="D649" s="15"/>
    </row>
    <row r="650" spans="2:4" ht="12.75" x14ac:dyDescent="0.2">
      <c r="B650" s="31"/>
      <c r="D650" s="15"/>
    </row>
    <row r="651" spans="2:4" ht="12.75" x14ac:dyDescent="0.2">
      <c r="B651" s="31"/>
      <c r="D651" s="15"/>
    </row>
    <row r="652" spans="2:4" ht="12.75" x14ac:dyDescent="0.2">
      <c r="B652" s="31"/>
      <c r="D652" s="15"/>
    </row>
    <row r="653" spans="2:4" ht="12.75" x14ac:dyDescent="0.2">
      <c r="B653" s="31"/>
      <c r="D653" s="15"/>
    </row>
    <row r="654" spans="2:4" ht="12.75" x14ac:dyDescent="0.2">
      <c r="B654" s="31"/>
      <c r="D654" s="15"/>
    </row>
    <row r="655" spans="2:4" ht="12.75" x14ac:dyDescent="0.2">
      <c r="B655" s="31"/>
      <c r="D655" s="15"/>
    </row>
    <row r="656" spans="2:4" ht="12.75" x14ac:dyDescent="0.2">
      <c r="B656" s="31"/>
      <c r="D656" s="15"/>
    </row>
    <row r="657" spans="2:4" ht="12.75" x14ac:dyDescent="0.2">
      <c r="B657" s="31"/>
      <c r="D657" s="15"/>
    </row>
    <row r="658" spans="2:4" ht="12.75" x14ac:dyDescent="0.2">
      <c r="B658" s="31"/>
      <c r="D658" s="15"/>
    </row>
    <row r="659" spans="2:4" ht="12.75" x14ac:dyDescent="0.2">
      <c r="B659" s="31"/>
      <c r="D659" s="15"/>
    </row>
    <row r="660" spans="2:4" ht="12.75" x14ac:dyDescent="0.2">
      <c r="B660" s="31"/>
      <c r="D660" s="15"/>
    </row>
    <row r="661" spans="2:4" ht="12.75" x14ac:dyDescent="0.2">
      <c r="B661" s="31"/>
      <c r="D661" s="15"/>
    </row>
    <row r="662" spans="2:4" ht="12.75" x14ac:dyDescent="0.2">
      <c r="B662" s="31"/>
      <c r="D662" s="15"/>
    </row>
    <row r="663" spans="2:4" ht="12.75" x14ac:dyDescent="0.2">
      <c r="B663" s="31"/>
      <c r="D663" s="15"/>
    </row>
    <row r="664" spans="2:4" ht="12.75" x14ac:dyDescent="0.2">
      <c r="B664" s="31"/>
      <c r="D664" s="15"/>
    </row>
    <row r="665" spans="2:4" ht="12.75" x14ac:dyDescent="0.2">
      <c r="B665" s="31"/>
      <c r="D665" s="15"/>
    </row>
    <row r="666" spans="2:4" ht="12.75" x14ac:dyDescent="0.2">
      <c r="B666" s="31"/>
      <c r="D666" s="15"/>
    </row>
    <row r="667" spans="2:4" ht="12.75" x14ac:dyDescent="0.2">
      <c r="B667" s="31"/>
      <c r="D667" s="15"/>
    </row>
    <row r="668" spans="2:4" ht="12.75" x14ac:dyDescent="0.2">
      <c r="B668" s="31"/>
      <c r="D668" s="15"/>
    </row>
    <row r="669" spans="2:4" ht="12.75" x14ac:dyDescent="0.2">
      <c r="B669" s="31"/>
      <c r="D669" s="15"/>
    </row>
    <row r="670" spans="2:4" ht="12.75" x14ac:dyDescent="0.2">
      <c r="B670" s="31"/>
      <c r="D670" s="15"/>
    </row>
    <row r="671" spans="2:4" ht="12.75" x14ac:dyDescent="0.2">
      <c r="B671" s="31"/>
      <c r="D671" s="15"/>
    </row>
    <row r="672" spans="2:4" ht="12.75" x14ac:dyDescent="0.2">
      <c r="B672" s="31"/>
      <c r="D672" s="15"/>
    </row>
    <row r="673" spans="2:4" ht="12.75" x14ac:dyDescent="0.2">
      <c r="B673" s="31"/>
      <c r="D673" s="15"/>
    </row>
    <row r="674" spans="2:4" ht="12.75" x14ac:dyDescent="0.2">
      <c r="B674" s="31"/>
      <c r="D674" s="15"/>
    </row>
    <row r="675" spans="2:4" ht="12.75" x14ac:dyDescent="0.2">
      <c r="B675" s="31"/>
      <c r="D675" s="15"/>
    </row>
    <row r="676" spans="2:4" ht="12.75" x14ac:dyDescent="0.2">
      <c r="B676" s="31"/>
      <c r="D676" s="15"/>
    </row>
    <row r="677" spans="2:4" ht="12.75" x14ac:dyDescent="0.2">
      <c r="B677" s="31"/>
      <c r="D677" s="15"/>
    </row>
    <row r="678" spans="2:4" ht="12.75" x14ac:dyDescent="0.2">
      <c r="B678" s="31"/>
      <c r="D678" s="15"/>
    </row>
    <row r="679" spans="2:4" ht="12.75" x14ac:dyDescent="0.2">
      <c r="B679" s="31"/>
      <c r="D679" s="15"/>
    </row>
    <row r="680" spans="2:4" ht="12.75" x14ac:dyDescent="0.2">
      <c r="B680" s="31"/>
      <c r="D680" s="15"/>
    </row>
    <row r="681" spans="2:4" ht="12.75" x14ac:dyDescent="0.2">
      <c r="B681" s="31"/>
      <c r="D681" s="15"/>
    </row>
    <row r="682" spans="2:4" ht="12.75" x14ac:dyDescent="0.2">
      <c r="B682" s="31"/>
      <c r="D682" s="15"/>
    </row>
    <row r="683" spans="2:4" ht="12.75" x14ac:dyDescent="0.2">
      <c r="B683" s="31"/>
      <c r="D683" s="15"/>
    </row>
    <row r="684" spans="2:4" ht="12.75" x14ac:dyDescent="0.2">
      <c r="B684" s="31"/>
      <c r="D684" s="15"/>
    </row>
    <row r="685" spans="2:4" ht="12.75" x14ac:dyDescent="0.2">
      <c r="B685" s="31"/>
      <c r="D685" s="15"/>
    </row>
    <row r="686" spans="2:4" ht="12.75" x14ac:dyDescent="0.2">
      <c r="B686" s="31"/>
      <c r="D686" s="15"/>
    </row>
    <row r="687" spans="2:4" ht="12.75" x14ac:dyDescent="0.2">
      <c r="B687" s="31"/>
      <c r="D687" s="15"/>
    </row>
    <row r="688" spans="2:4" ht="12.75" x14ac:dyDescent="0.2">
      <c r="B688" s="31"/>
      <c r="D688" s="15"/>
    </row>
    <row r="689" spans="2:4" ht="12.75" x14ac:dyDescent="0.2">
      <c r="B689" s="31"/>
      <c r="D689" s="15"/>
    </row>
    <row r="690" spans="2:4" ht="12.75" x14ac:dyDescent="0.2">
      <c r="B690" s="31"/>
      <c r="D690" s="15"/>
    </row>
    <row r="691" spans="2:4" ht="12.75" x14ac:dyDescent="0.2">
      <c r="B691" s="31"/>
      <c r="D691" s="15"/>
    </row>
    <row r="692" spans="2:4" ht="12.75" x14ac:dyDescent="0.2">
      <c r="B692" s="31"/>
      <c r="D692" s="15"/>
    </row>
    <row r="693" spans="2:4" ht="12.75" x14ac:dyDescent="0.2">
      <c r="B693" s="31"/>
      <c r="D693" s="15"/>
    </row>
    <row r="694" spans="2:4" ht="12.75" x14ac:dyDescent="0.2">
      <c r="B694" s="31"/>
      <c r="D694" s="15"/>
    </row>
    <row r="695" spans="2:4" ht="12.75" x14ac:dyDescent="0.2">
      <c r="B695" s="31"/>
      <c r="D695" s="15"/>
    </row>
    <row r="696" spans="2:4" ht="12.75" x14ac:dyDescent="0.2">
      <c r="B696" s="31"/>
      <c r="D696" s="15"/>
    </row>
    <row r="697" spans="2:4" ht="12.75" x14ac:dyDescent="0.2">
      <c r="B697" s="31"/>
      <c r="D697" s="15"/>
    </row>
    <row r="698" spans="2:4" ht="12.75" x14ac:dyDescent="0.2">
      <c r="B698" s="31"/>
      <c r="D698" s="15"/>
    </row>
    <row r="699" spans="2:4" ht="12.75" x14ac:dyDescent="0.2">
      <c r="B699" s="31"/>
      <c r="D699" s="15"/>
    </row>
    <row r="700" spans="2:4" ht="12.75" x14ac:dyDescent="0.2">
      <c r="B700" s="31"/>
      <c r="D700" s="15"/>
    </row>
    <row r="701" spans="2:4" ht="12.75" x14ac:dyDescent="0.2">
      <c r="B701" s="31"/>
      <c r="D701" s="15"/>
    </row>
    <row r="702" spans="2:4" ht="12.75" x14ac:dyDescent="0.2">
      <c r="B702" s="31"/>
      <c r="D702" s="15"/>
    </row>
    <row r="703" spans="2:4" ht="12.75" x14ac:dyDescent="0.2">
      <c r="B703" s="31"/>
      <c r="D703" s="15"/>
    </row>
    <row r="704" spans="2:4" ht="12.75" x14ac:dyDescent="0.2">
      <c r="B704" s="31"/>
      <c r="D704" s="15"/>
    </row>
    <row r="705" spans="2:4" ht="12.75" x14ac:dyDescent="0.2">
      <c r="B705" s="31"/>
      <c r="D705" s="15"/>
    </row>
    <row r="706" spans="2:4" ht="12.75" x14ac:dyDescent="0.2">
      <c r="B706" s="31"/>
      <c r="D706" s="15"/>
    </row>
    <row r="707" spans="2:4" ht="12.75" x14ac:dyDescent="0.2">
      <c r="B707" s="31"/>
      <c r="D707" s="15"/>
    </row>
    <row r="708" spans="2:4" ht="12.75" x14ac:dyDescent="0.2">
      <c r="B708" s="31"/>
      <c r="D708" s="15"/>
    </row>
    <row r="709" spans="2:4" ht="12.75" x14ac:dyDescent="0.2">
      <c r="B709" s="31"/>
      <c r="D709" s="15"/>
    </row>
    <row r="710" spans="2:4" ht="12.75" x14ac:dyDescent="0.2">
      <c r="B710" s="31"/>
      <c r="D710" s="15"/>
    </row>
    <row r="711" spans="2:4" ht="12.75" x14ac:dyDescent="0.2">
      <c r="B711" s="31"/>
      <c r="D711" s="15"/>
    </row>
    <row r="712" spans="2:4" ht="12.75" x14ac:dyDescent="0.2">
      <c r="B712" s="31"/>
      <c r="D712" s="15"/>
    </row>
    <row r="713" spans="2:4" ht="12.75" x14ac:dyDescent="0.2">
      <c r="B713" s="31"/>
      <c r="D713" s="15"/>
    </row>
    <row r="714" spans="2:4" ht="12.75" x14ac:dyDescent="0.2">
      <c r="B714" s="31"/>
      <c r="D714" s="15"/>
    </row>
    <row r="715" spans="2:4" ht="12.75" x14ac:dyDescent="0.2">
      <c r="B715" s="31"/>
      <c r="D715" s="15"/>
    </row>
    <row r="716" spans="2:4" ht="12.75" x14ac:dyDescent="0.2">
      <c r="B716" s="31"/>
      <c r="D716" s="15"/>
    </row>
    <row r="717" spans="2:4" ht="12.75" x14ac:dyDescent="0.2">
      <c r="B717" s="31"/>
      <c r="D717" s="15"/>
    </row>
    <row r="718" spans="2:4" ht="12.75" x14ac:dyDescent="0.2">
      <c r="B718" s="31"/>
      <c r="D718" s="15"/>
    </row>
    <row r="719" spans="2:4" ht="12.75" x14ac:dyDescent="0.2">
      <c r="B719" s="31"/>
      <c r="D719" s="15"/>
    </row>
    <row r="720" spans="2:4" ht="12.75" x14ac:dyDescent="0.2">
      <c r="B720" s="31"/>
      <c r="D720" s="15"/>
    </row>
    <row r="721" spans="2:4" ht="12.75" x14ac:dyDescent="0.2">
      <c r="B721" s="31"/>
      <c r="D721" s="15"/>
    </row>
    <row r="722" spans="2:4" ht="12.75" x14ac:dyDescent="0.2">
      <c r="B722" s="31"/>
      <c r="D722" s="15"/>
    </row>
    <row r="723" spans="2:4" ht="12.75" x14ac:dyDescent="0.2">
      <c r="B723" s="31"/>
      <c r="D723" s="15"/>
    </row>
    <row r="724" spans="2:4" ht="12.75" x14ac:dyDescent="0.2">
      <c r="B724" s="31"/>
      <c r="D724" s="15"/>
    </row>
    <row r="725" spans="2:4" ht="12.75" x14ac:dyDescent="0.2">
      <c r="B725" s="31"/>
      <c r="D725" s="15"/>
    </row>
    <row r="726" spans="2:4" ht="12.75" x14ac:dyDescent="0.2">
      <c r="B726" s="31"/>
      <c r="D726" s="15"/>
    </row>
    <row r="727" spans="2:4" ht="12.75" x14ac:dyDescent="0.2">
      <c r="B727" s="31"/>
      <c r="D727" s="15"/>
    </row>
    <row r="728" spans="2:4" ht="12.75" x14ac:dyDescent="0.2">
      <c r="B728" s="31"/>
      <c r="D728" s="15"/>
    </row>
    <row r="729" spans="2:4" ht="12.75" x14ac:dyDescent="0.2">
      <c r="B729" s="31"/>
      <c r="D729" s="15"/>
    </row>
    <row r="730" spans="2:4" ht="12.75" x14ac:dyDescent="0.2">
      <c r="B730" s="31"/>
      <c r="D730" s="15"/>
    </row>
    <row r="731" spans="2:4" ht="12.75" x14ac:dyDescent="0.2">
      <c r="B731" s="31"/>
      <c r="D731" s="15"/>
    </row>
    <row r="732" spans="2:4" ht="12.75" x14ac:dyDescent="0.2">
      <c r="B732" s="31"/>
      <c r="D732" s="15"/>
    </row>
    <row r="733" spans="2:4" ht="12.75" x14ac:dyDescent="0.2">
      <c r="B733" s="31"/>
      <c r="D733" s="15"/>
    </row>
    <row r="734" spans="2:4" ht="12.75" x14ac:dyDescent="0.2">
      <c r="B734" s="31"/>
      <c r="D734" s="15"/>
    </row>
    <row r="735" spans="2:4" ht="12.75" x14ac:dyDescent="0.2">
      <c r="B735" s="31"/>
      <c r="D735" s="15"/>
    </row>
    <row r="736" spans="2:4" ht="12.75" x14ac:dyDescent="0.2">
      <c r="B736" s="31"/>
      <c r="D736" s="15"/>
    </row>
    <row r="737" spans="2:4" ht="12.75" x14ac:dyDescent="0.2">
      <c r="B737" s="31"/>
      <c r="D737" s="15"/>
    </row>
    <row r="738" spans="2:4" ht="12.75" x14ac:dyDescent="0.2">
      <c r="B738" s="31"/>
      <c r="D738" s="15"/>
    </row>
    <row r="739" spans="2:4" ht="12.75" x14ac:dyDescent="0.2">
      <c r="B739" s="31"/>
      <c r="D739" s="15"/>
    </row>
    <row r="740" spans="2:4" ht="12.75" x14ac:dyDescent="0.2">
      <c r="B740" s="31"/>
      <c r="D740" s="15"/>
    </row>
    <row r="741" spans="2:4" ht="12.75" x14ac:dyDescent="0.2">
      <c r="B741" s="31"/>
      <c r="D741" s="15"/>
    </row>
    <row r="742" spans="2:4" ht="12.75" x14ac:dyDescent="0.2">
      <c r="B742" s="31"/>
      <c r="D742" s="15"/>
    </row>
    <row r="743" spans="2:4" ht="12.75" x14ac:dyDescent="0.2">
      <c r="B743" s="31"/>
      <c r="D743" s="15"/>
    </row>
    <row r="744" spans="2:4" ht="12.75" x14ac:dyDescent="0.2">
      <c r="B744" s="31"/>
      <c r="D744" s="15"/>
    </row>
    <row r="745" spans="2:4" ht="12.75" x14ac:dyDescent="0.2">
      <c r="B745" s="31"/>
      <c r="D745" s="15"/>
    </row>
    <row r="746" spans="2:4" ht="12.75" x14ac:dyDescent="0.2">
      <c r="B746" s="31"/>
      <c r="D746" s="15"/>
    </row>
    <row r="747" spans="2:4" ht="12.75" x14ac:dyDescent="0.2">
      <c r="B747" s="31"/>
      <c r="D747" s="15"/>
    </row>
    <row r="748" spans="2:4" ht="12.75" x14ac:dyDescent="0.2">
      <c r="B748" s="31"/>
      <c r="D748" s="15"/>
    </row>
    <row r="749" spans="2:4" ht="12.75" x14ac:dyDescent="0.2">
      <c r="B749" s="31"/>
      <c r="D749" s="15"/>
    </row>
    <row r="750" spans="2:4" ht="12.75" x14ac:dyDescent="0.2">
      <c r="B750" s="31"/>
      <c r="D750" s="15"/>
    </row>
    <row r="751" spans="2:4" ht="12.75" x14ac:dyDescent="0.2">
      <c r="B751" s="31"/>
      <c r="D751" s="15"/>
    </row>
    <row r="752" spans="2:4" ht="12.75" x14ac:dyDescent="0.2">
      <c r="B752" s="31"/>
      <c r="D752" s="15"/>
    </row>
    <row r="753" spans="2:4" ht="12.75" x14ac:dyDescent="0.2">
      <c r="B753" s="31"/>
      <c r="D753" s="15"/>
    </row>
    <row r="754" spans="2:4" ht="12.75" x14ac:dyDescent="0.2">
      <c r="B754" s="31"/>
      <c r="D754" s="15"/>
    </row>
    <row r="755" spans="2:4" ht="12.75" x14ac:dyDescent="0.2">
      <c r="B755" s="31"/>
      <c r="D755" s="15"/>
    </row>
    <row r="756" spans="2:4" ht="12.75" x14ac:dyDescent="0.2">
      <c r="B756" s="31"/>
      <c r="D756" s="15"/>
    </row>
    <row r="757" spans="2:4" ht="12.75" x14ac:dyDescent="0.2">
      <c r="B757" s="31"/>
      <c r="D757" s="15"/>
    </row>
    <row r="758" spans="2:4" ht="12.75" x14ac:dyDescent="0.2">
      <c r="B758" s="31"/>
      <c r="D758" s="15"/>
    </row>
    <row r="759" spans="2:4" ht="12.75" x14ac:dyDescent="0.2">
      <c r="B759" s="31"/>
      <c r="D759" s="15"/>
    </row>
    <row r="760" spans="2:4" ht="12.75" x14ac:dyDescent="0.2">
      <c r="B760" s="31"/>
      <c r="D760" s="15"/>
    </row>
    <row r="761" spans="2:4" ht="12.75" x14ac:dyDescent="0.2">
      <c r="B761" s="31"/>
      <c r="D761" s="15"/>
    </row>
    <row r="762" spans="2:4" ht="12.75" x14ac:dyDescent="0.2">
      <c r="B762" s="31"/>
      <c r="D762" s="15"/>
    </row>
    <row r="763" spans="2:4" ht="12.75" x14ac:dyDescent="0.2">
      <c r="B763" s="31"/>
      <c r="D763" s="15"/>
    </row>
    <row r="764" spans="2:4" ht="12.75" x14ac:dyDescent="0.2">
      <c r="B764" s="31"/>
      <c r="D764" s="15"/>
    </row>
    <row r="765" spans="2:4" ht="12.75" x14ac:dyDescent="0.2">
      <c r="B765" s="31"/>
      <c r="D765" s="15"/>
    </row>
    <row r="766" spans="2:4" ht="12.75" x14ac:dyDescent="0.2">
      <c r="B766" s="31"/>
      <c r="D766" s="15"/>
    </row>
    <row r="767" spans="2:4" ht="12.75" x14ac:dyDescent="0.2">
      <c r="B767" s="31"/>
      <c r="D767" s="15"/>
    </row>
    <row r="768" spans="2:4" ht="12.75" x14ac:dyDescent="0.2">
      <c r="B768" s="31"/>
      <c r="D768" s="15"/>
    </row>
    <row r="769" spans="2:4" ht="12.75" x14ac:dyDescent="0.2">
      <c r="B769" s="31"/>
      <c r="D769" s="15"/>
    </row>
    <row r="770" spans="2:4" ht="12.75" x14ac:dyDescent="0.2">
      <c r="B770" s="31"/>
      <c r="D770" s="15"/>
    </row>
    <row r="771" spans="2:4" ht="12.75" x14ac:dyDescent="0.2">
      <c r="B771" s="31"/>
      <c r="D771" s="15"/>
    </row>
    <row r="772" spans="2:4" ht="12.75" x14ac:dyDescent="0.2">
      <c r="B772" s="31"/>
      <c r="D772" s="15"/>
    </row>
    <row r="773" spans="2:4" ht="12.75" x14ac:dyDescent="0.2">
      <c r="B773" s="31"/>
      <c r="D773" s="15"/>
    </row>
    <row r="774" spans="2:4" ht="12.75" x14ac:dyDescent="0.2">
      <c r="B774" s="31"/>
      <c r="D774" s="15"/>
    </row>
    <row r="775" spans="2:4" ht="12.75" x14ac:dyDescent="0.2">
      <c r="B775" s="31"/>
      <c r="D775" s="15"/>
    </row>
    <row r="776" spans="2:4" ht="12.75" x14ac:dyDescent="0.2">
      <c r="B776" s="31"/>
      <c r="D776" s="15"/>
    </row>
    <row r="777" spans="2:4" ht="12.75" x14ac:dyDescent="0.2">
      <c r="B777" s="31"/>
      <c r="D777" s="15"/>
    </row>
    <row r="778" spans="2:4" ht="12.75" x14ac:dyDescent="0.2">
      <c r="B778" s="31"/>
      <c r="D778" s="15"/>
    </row>
    <row r="779" spans="2:4" ht="12.75" x14ac:dyDescent="0.2">
      <c r="B779" s="31"/>
      <c r="D779" s="15"/>
    </row>
    <row r="780" spans="2:4" ht="12.75" x14ac:dyDescent="0.2">
      <c r="B780" s="31"/>
      <c r="D780" s="15"/>
    </row>
    <row r="781" spans="2:4" ht="12.75" x14ac:dyDescent="0.2">
      <c r="B781" s="31"/>
      <c r="D781" s="15"/>
    </row>
    <row r="782" spans="2:4" ht="12.75" x14ac:dyDescent="0.2">
      <c r="B782" s="31"/>
      <c r="D782" s="15"/>
    </row>
    <row r="783" spans="2:4" ht="12.75" x14ac:dyDescent="0.2">
      <c r="B783" s="31"/>
      <c r="D783" s="15"/>
    </row>
    <row r="784" spans="2:4" ht="12.75" x14ac:dyDescent="0.2">
      <c r="B784" s="31"/>
      <c r="D784" s="15"/>
    </row>
    <row r="785" spans="2:4" ht="12.75" x14ac:dyDescent="0.2">
      <c r="B785" s="31"/>
      <c r="D785" s="15"/>
    </row>
    <row r="786" spans="2:4" ht="12.75" x14ac:dyDescent="0.2">
      <c r="B786" s="31"/>
      <c r="D786" s="15"/>
    </row>
    <row r="787" spans="2:4" ht="12.75" x14ac:dyDescent="0.2">
      <c r="B787" s="31"/>
      <c r="D787" s="15"/>
    </row>
    <row r="788" spans="2:4" ht="12.75" x14ac:dyDescent="0.2">
      <c r="B788" s="31"/>
      <c r="D788" s="15"/>
    </row>
    <row r="789" spans="2:4" ht="12.75" x14ac:dyDescent="0.2">
      <c r="B789" s="31"/>
      <c r="D789" s="15"/>
    </row>
    <row r="790" spans="2:4" ht="12.75" x14ac:dyDescent="0.2">
      <c r="B790" s="31"/>
      <c r="D790" s="15"/>
    </row>
    <row r="791" spans="2:4" ht="12.75" x14ac:dyDescent="0.2">
      <c r="B791" s="31"/>
      <c r="D791" s="15"/>
    </row>
    <row r="792" spans="2:4" ht="12.75" x14ac:dyDescent="0.2">
      <c r="B792" s="31"/>
      <c r="D792" s="15"/>
    </row>
    <row r="793" spans="2:4" ht="12.75" x14ac:dyDescent="0.2">
      <c r="B793" s="31"/>
      <c r="D793" s="15"/>
    </row>
    <row r="794" spans="2:4" ht="12.75" x14ac:dyDescent="0.2">
      <c r="B794" s="31"/>
      <c r="D794" s="15"/>
    </row>
    <row r="795" spans="2:4" ht="12.75" x14ac:dyDescent="0.2">
      <c r="B795" s="31"/>
      <c r="D795" s="15"/>
    </row>
    <row r="796" spans="2:4" ht="12.75" x14ac:dyDescent="0.2">
      <c r="B796" s="31"/>
      <c r="D796" s="15"/>
    </row>
    <row r="797" spans="2:4" ht="12.75" x14ac:dyDescent="0.2">
      <c r="B797" s="31"/>
      <c r="D797" s="15"/>
    </row>
    <row r="798" spans="2:4" ht="12.75" x14ac:dyDescent="0.2">
      <c r="B798" s="31"/>
      <c r="D798" s="15"/>
    </row>
    <row r="799" spans="2:4" ht="12.75" x14ac:dyDescent="0.2">
      <c r="B799" s="31"/>
      <c r="D799" s="15"/>
    </row>
    <row r="800" spans="2:4" ht="12.75" x14ac:dyDescent="0.2">
      <c r="B800" s="31"/>
      <c r="D800" s="15"/>
    </row>
    <row r="801" spans="2:4" ht="12.75" x14ac:dyDescent="0.2">
      <c r="B801" s="31"/>
      <c r="D801" s="15"/>
    </row>
    <row r="802" spans="2:4" ht="12.75" x14ac:dyDescent="0.2">
      <c r="B802" s="31"/>
      <c r="D802" s="15"/>
    </row>
    <row r="803" spans="2:4" ht="12.75" x14ac:dyDescent="0.2">
      <c r="B803" s="31"/>
      <c r="D803" s="15"/>
    </row>
    <row r="804" spans="2:4" ht="12.75" x14ac:dyDescent="0.2">
      <c r="B804" s="31"/>
      <c r="D804" s="15"/>
    </row>
    <row r="805" spans="2:4" ht="12.75" x14ac:dyDescent="0.2">
      <c r="B805" s="31"/>
      <c r="D805" s="15"/>
    </row>
    <row r="806" spans="2:4" ht="12.75" x14ac:dyDescent="0.2">
      <c r="B806" s="31"/>
      <c r="D806" s="15"/>
    </row>
    <row r="807" spans="2:4" ht="12.75" x14ac:dyDescent="0.2">
      <c r="B807" s="31"/>
      <c r="D807" s="15"/>
    </row>
    <row r="808" spans="2:4" ht="12.75" x14ac:dyDescent="0.2">
      <c r="B808" s="31"/>
      <c r="D808" s="15"/>
    </row>
    <row r="809" spans="2:4" ht="12.75" x14ac:dyDescent="0.2">
      <c r="B809" s="31"/>
      <c r="D809" s="15"/>
    </row>
    <row r="810" spans="2:4" ht="12.75" x14ac:dyDescent="0.2">
      <c r="B810" s="31"/>
      <c r="D810" s="15"/>
    </row>
    <row r="811" spans="2:4" ht="12.75" x14ac:dyDescent="0.2">
      <c r="B811" s="31"/>
      <c r="D811" s="15"/>
    </row>
    <row r="812" spans="2:4" ht="12.75" x14ac:dyDescent="0.2">
      <c r="B812" s="31"/>
      <c r="D812" s="15"/>
    </row>
    <row r="813" spans="2:4" ht="12.75" x14ac:dyDescent="0.2">
      <c r="B813" s="31"/>
      <c r="D813" s="15"/>
    </row>
    <row r="814" spans="2:4" ht="12.75" x14ac:dyDescent="0.2">
      <c r="B814" s="31"/>
      <c r="D814" s="15"/>
    </row>
    <row r="815" spans="2:4" ht="12.75" x14ac:dyDescent="0.2">
      <c r="B815" s="31"/>
      <c r="D815" s="15"/>
    </row>
    <row r="816" spans="2:4" ht="12.75" x14ac:dyDescent="0.2">
      <c r="B816" s="31"/>
      <c r="D816" s="15"/>
    </row>
    <row r="817" spans="2:4" ht="12.75" x14ac:dyDescent="0.2">
      <c r="B817" s="31"/>
      <c r="D817" s="15"/>
    </row>
    <row r="818" spans="2:4" ht="12.75" x14ac:dyDescent="0.2">
      <c r="B818" s="31"/>
      <c r="D818" s="15"/>
    </row>
    <row r="819" spans="2:4" ht="12.75" x14ac:dyDescent="0.2">
      <c r="B819" s="31"/>
      <c r="D819" s="15"/>
    </row>
    <row r="820" spans="2:4" ht="12.75" x14ac:dyDescent="0.2">
      <c r="B820" s="31"/>
      <c r="D820" s="15"/>
    </row>
    <row r="821" spans="2:4" ht="12.75" x14ac:dyDescent="0.2">
      <c r="B821" s="31"/>
      <c r="D821" s="15"/>
    </row>
    <row r="822" spans="2:4" ht="12.75" x14ac:dyDescent="0.2">
      <c r="B822" s="31"/>
      <c r="D822" s="15"/>
    </row>
    <row r="823" spans="2:4" ht="12.75" x14ac:dyDescent="0.2">
      <c r="B823" s="31"/>
      <c r="D823" s="15"/>
    </row>
    <row r="824" spans="2:4" ht="12.75" x14ac:dyDescent="0.2">
      <c r="B824" s="31"/>
      <c r="D824" s="15"/>
    </row>
    <row r="825" spans="2:4" ht="12.75" x14ac:dyDescent="0.2">
      <c r="B825" s="31"/>
      <c r="D825" s="15"/>
    </row>
    <row r="826" spans="2:4" ht="12.75" x14ac:dyDescent="0.2">
      <c r="B826" s="31"/>
      <c r="D826" s="15"/>
    </row>
    <row r="827" spans="2:4" ht="12.75" x14ac:dyDescent="0.2">
      <c r="B827" s="31"/>
      <c r="D827" s="15"/>
    </row>
    <row r="828" spans="2:4" ht="12.75" x14ac:dyDescent="0.2">
      <c r="B828" s="31"/>
      <c r="D828" s="15"/>
    </row>
    <row r="829" spans="2:4" ht="12.75" x14ac:dyDescent="0.2">
      <c r="B829" s="31"/>
      <c r="D829" s="15"/>
    </row>
    <row r="830" spans="2:4" ht="12.75" x14ac:dyDescent="0.2">
      <c r="B830" s="31"/>
      <c r="D830" s="15"/>
    </row>
    <row r="831" spans="2:4" ht="12.75" x14ac:dyDescent="0.2">
      <c r="B831" s="31"/>
      <c r="D831" s="15"/>
    </row>
    <row r="832" spans="2:4" ht="12.75" x14ac:dyDescent="0.2">
      <c r="B832" s="31"/>
      <c r="D832" s="15"/>
    </row>
    <row r="833" spans="2:4" ht="12.75" x14ac:dyDescent="0.2">
      <c r="B833" s="31"/>
      <c r="D833" s="15"/>
    </row>
    <row r="834" spans="2:4" ht="12.75" x14ac:dyDescent="0.2">
      <c r="B834" s="31"/>
      <c r="D834" s="15"/>
    </row>
    <row r="835" spans="2:4" ht="12.75" x14ac:dyDescent="0.2">
      <c r="B835" s="31"/>
      <c r="D835" s="15"/>
    </row>
    <row r="836" spans="2:4" ht="12.75" x14ac:dyDescent="0.2">
      <c r="B836" s="31"/>
      <c r="D836" s="15"/>
    </row>
    <row r="837" spans="2:4" ht="12.75" x14ac:dyDescent="0.2">
      <c r="B837" s="31"/>
      <c r="D837" s="15"/>
    </row>
    <row r="838" spans="2:4" ht="12.75" x14ac:dyDescent="0.2">
      <c r="B838" s="31"/>
      <c r="D838" s="15"/>
    </row>
    <row r="839" spans="2:4" ht="12.75" x14ac:dyDescent="0.2">
      <c r="B839" s="31"/>
      <c r="D839" s="15"/>
    </row>
    <row r="840" spans="2:4" ht="12.75" x14ac:dyDescent="0.2">
      <c r="B840" s="31"/>
      <c r="D840" s="15"/>
    </row>
    <row r="841" spans="2:4" ht="12.75" x14ac:dyDescent="0.2">
      <c r="B841" s="31"/>
      <c r="D841" s="15"/>
    </row>
    <row r="842" spans="2:4" ht="12.75" x14ac:dyDescent="0.2">
      <c r="B842" s="31"/>
      <c r="D842" s="15"/>
    </row>
    <row r="843" spans="2:4" ht="12.75" x14ac:dyDescent="0.2">
      <c r="B843" s="31"/>
      <c r="D843" s="15"/>
    </row>
    <row r="844" spans="2:4" ht="12.75" x14ac:dyDescent="0.2">
      <c r="B844" s="31"/>
      <c r="D844" s="15"/>
    </row>
    <row r="845" spans="2:4" ht="12.75" x14ac:dyDescent="0.2">
      <c r="B845" s="31"/>
      <c r="D845" s="15"/>
    </row>
    <row r="846" spans="2:4" ht="12.75" x14ac:dyDescent="0.2">
      <c r="B846" s="31"/>
      <c r="D846" s="15"/>
    </row>
    <row r="847" spans="2:4" ht="12.75" x14ac:dyDescent="0.2">
      <c r="B847" s="31"/>
      <c r="D847" s="15"/>
    </row>
    <row r="848" spans="2:4" ht="12.75" x14ac:dyDescent="0.2">
      <c r="B848" s="31"/>
      <c r="D848" s="15"/>
    </row>
    <row r="849" spans="2:4" ht="12.75" x14ac:dyDescent="0.2">
      <c r="B849" s="31"/>
      <c r="D849" s="15"/>
    </row>
    <row r="850" spans="2:4" ht="12.75" x14ac:dyDescent="0.2">
      <c r="B850" s="31"/>
      <c r="D850" s="15"/>
    </row>
    <row r="851" spans="2:4" ht="12.75" x14ac:dyDescent="0.2">
      <c r="B851" s="31"/>
      <c r="D851" s="15"/>
    </row>
    <row r="852" spans="2:4" ht="12.75" x14ac:dyDescent="0.2">
      <c r="B852" s="31"/>
      <c r="D852" s="15"/>
    </row>
    <row r="853" spans="2:4" ht="12.75" x14ac:dyDescent="0.2">
      <c r="B853" s="31"/>
      <c r="D853" s="15"/>
    </row>
    <row r="854" spans="2:4" ht="12.75" x14ac:dyDescent="0.2">
      <c r="B854" s="31"/>
      <c r="D854" s="15"/>
    </row>
    <row r="855" spans="2:4" ht="12.75" x14ac:dyDescent="0.2">
      <c r="B855" s="31"/>
      <c r="D855" s="15"/>
    </row>
    <row r="856" spans="2:4" ht="12.75" x14ac:dyDescent="0.2">
      <c r="B856" s="31"/>
      <c r="D856" s="15"/>
    </row>
    <row r="857" spans="2:4" ht="12.75" x14ac:dyDescent="0.2">
      <c r="B857" s="31"/>
      <c r="D857" s="15"/>
    </row>
    <row r="858" spans="2:4" ht="12.75" x14ac:dyDescent="0.2">
      <c r="B858" s="31"/>
      <c r="D858" s="15"/>
    </row>
    <row r="859" spans="2:4" ht="12.75" x14ac:dyDescent="0.2">
      <c r="B859" s="31"/>
      <c r="D859" s="15"/>
    </row>
    <row r="860" spans="2:4" ht="12.75" x14ac:dyDescent="0.2">
      <c r="B860" s="31"/>
      <c r="D860" s="15"/>
    </row>
    <row r="861" spans="2:4" ht="12.75" x14ac:dyDescent="0.2">
      <c r="B861" s="31"/>
      <c r="D861" s="15"/>
    </row>
    <row r="862" spans="2:4" ht="12.75" x14ac:dyDescent="0.2">
      <c r="B862" s="31"/>
      <c r="D862" s="15"/>
    </row>
    <row r="863" spans="2:4" ht="12.75" x14ac:dyDescent="0.2">
      <c r="B863" s="31"/>
      <c r="D863" s="15"/>
    </row>
    <row r="864" spans="2:4" ht="12.75" x14ac:dyDescent="0.2">
      <c r="B864" s="31"/>
      <c r="D864" s="15"/>
    </row>
    <row r="865" spans="2:4" ht="12.75" x14ac:dyDescent="0.2">
      <c r="B865" s="31"/>
      <c r="D865" s="15"/>
    </row>
    <row r="866" spans="2:4" ht="12.75" x14ac:dyDescent="0.2">
      <c r="B866" s="31"/>
      <c r="D866" s="15"/>
    </row>
    <row r="867" spans="2:4" ht="12.75" x14ac:dyDescent="0.2">
      <c r="B867" s="31"/>
      <c r="D867" s="15"/>
    </row>
    <row r="868" spans="2:4" ht="12.75" x14ac:dyDescent="0.2">
      <c r="B868" s="31"/>
      <c r="D868" s="15"/>
    </row>
    <row r="869" spans="2:4" ht="12.75" x14ac:dyDescent="0.2">
      <c r="B869" s="31"/>
      <c r="D869" s="15"/>
    </row>
    <row r="870" spans="2:4" ht="12.75" x14ac:dyDescent="0.2">
      <c r="B870" s="31"/>
      <c r="D870" s="15"/>
    </row>
    <row r="871" spans="2:4" ht="12.75" x14ac:dyDescent="0.2">
      <c r="B871" s="31"/>
      <c r="D871" s="15"/>
    </row>
    <row r="872" spans="2:4" ht="12.75" x14ac:dyDescent="0.2">
      <c r="B872" s="31"/>
      <c r="D872" s="15"/>
    </row>
    <row r="873" spans="2:4" ht="12.75" x14ac:dyDescent="0.2">
      <c r="B873" s="31"/>
      <c r="D873" s="15"/>
    </row>
    <row r="874" spans="2:4" ht="12.75" x14ac:dyDescent="0.2">
      <c r="B874" s="31"/>
      <c r="D874" s="15"/>
    </row>
    <row r="875" spans="2:4" ht="12.75" x14ac:dyDescent="0.2">
      <c r="B875" s="31"/>
      <c r="D875" s="15"/>
    </row>
    <row r="876" spans="2:4" ht="12.75" x14ac:dyDescent="0.2">
      <c r="B876" s="31"/>
      <c r="D876" s="15"/>
    </row>
    <row r="877" spans="2:4" ht="12.75" x14ac:dyDescent="0.2">
      <c r="B877" s="31"/>
      <c r="D877" s="15"/>
    </row>
    <row r="878" spans="2:4" ht="12.75" x14ac:dyDescent="0.2">
      <c r="B878" s="31"/>
      <c r="D878" s="15"/>
    </row>
    <row r="879" spans="2:4" ht="12.75" x14ac:dyDescent="0.2">
      <c r="B879" s="31"/>
      <c r="D879" s="15"/>
    </row>
    <row r="880" spans="2:4" ht="12.75" x14ac:dyDescent="0.2">
      <c r="B880" s="31"/>
      <c r="D880" s="15"/>
    </row>
    <row r="881" spans="2:4" ht="12.75" x14ac:dyDescent="0.2">
      <c r="B881" s="31"/>
      <c r="D881" s="15"/>
    </row>
    <row r="882" spans="2:4" ht="12.75" x14ac:dyDescent="0.2">
      <c r="B882" s="31"/>
      <c r="D882" s="15"/>
    </row>
    <row r="883" spans="2:4" ht="12.75" x14ac:dyDescent="0.2">
      <c r="B883" s="31"/>
      <c r="D883" s="15"/>
    </row>
    <row r="884" spans="2:4" ht="12.75" x14ac:dyDescent="0.2">
      <c r="B884" s="31"/>
      <c r="D884" s="15"/>
    </row>
    <row r="885" spans="2:4" ht="12.75" x14ac:dyDescent="0.2">
      <c r="B885" s="31"/>
      <c r="D885" s="15"/>
    </row>
    <row r="886" spans="2:4" ht="12.75" x14ac:dyDescent="0.2">
      <c r="B886" s="31"/>
      <c r="D886" s="15"/>
    </row>
    <row r="887" spans="2:4" ht="12.75" x14ac:dyDescent="0.2">
      <c r="B887" s="31"/>
      <c r="D887" s="15"/>
    </row>
    <row r="888" spans="2:4" ht="12.75" x14ac:dyDescent="0.2">
      <c r="B888" s="31"/>
      <c r="D888" s="15"/>
    </row>
    <row r="889" spans="2:4" ht="12.75" x14ac:dyDescent="0.2">
      <c r="B889" s="31"/>
      <c r="D889" s="15"/>
    </row>
    <row r="890" spans="2:4" ht="12.75" x14ac:dyDescent="0.2">
      <c r="B890" s="31"/>
      <c r="D890" s="15"/>
    </row>
    <row r="891" spans="2:4" ht="12.75" x14ac:dyDescent="0.2">
      <c r="B891" s="31"/>
      <c r="D891" s="15"/>
    </row>
    <row r="892" spans="2:4" ht="12.75" x14ac:dyDescent="0.2">
      <c r="B892" s="31"/>
      <c r="D892" s="15"/>
    </row>
    <row r="893" spans="2:4" ht="12.75" x14ac:dyDescent="0.2">
      <c r="B893" s="31"/>
      <c r="D893" s="15"/>
    </row>
    <row r="894" spans="2:4" ht="12.75" x14ac:dyDescent="0.2">
      <c r="B894" s="31"/>
      <c r="D894" s="15"/>
    </row>
    <row r="895" spans="2:4" ht="12.75" x14ac:dyDescent="0.2">
      <c r="B895" s="31"/>
      <c r="D895" s="15"/>
    </row>
    <row r="896" spans="2:4" ht="12.75" x14ac:dyDescent="0.2">
      <c r="B896" s="31"/>
      <c r="D896" s="15"/>
    </row>
    <row r="897" spans="2:4" ht="12.75" x14ac:dyDescent="0.2">
      <c r="B897" s="31"/>
      <c r="D897" s="15"/>
    </row>
    <row r="898" spans="2:4" ht="12.75" x14ac:dyDescent="0.2">
      <c r="B898" s="31"/>
      <c r="D898" s="15"/>
    </row>
    <row r="899" spans="2:4" ht="12.75" x14ac:dyDescent="0.2">
      <c r="B899" s="31"/>
      <c r="D899" s="15"/>
    </row>
    <row r="900" spans="2:4" ht="12.75" x14ac:dyDescent="0.2">
      <c r="B900" s="31"/>
      <c r="D900" s="15"/>
    </row>
    <row r="901" spans="2:4" ht="12.75" x14ac:dyDescent="0.2">
      <c r="B901" s="31"/>
      <c r="D901" s="15"/>
    </row>
    <row r="902" spans="2:4" ht="12.75" x14ac:dyDescent="0.2">
      <c r="B902" s="31"/>
      <c r="D902" s="15"/>
    </row>
    <row r="903" spans="2:4" ht="12.75" x14ac:dyDescent="0.2">
      <c r="B903" s="31"/>
      <c r="D903" s="15"/>
    </row>
    <row r="904" spans="2:4" ht="12.75" x14ac:dyDescent="0.2">
      <c r="B904" s="31"/>
      <c r="D904" s="15"/>
    </row>
    <row r="905" spans="2:4" ht="12.75" x14ac:dyDescent="0.2">
      <c r="B905" s="31"/>
      <c r="D905" s="15"/>
    </row>
    <row r="906" spans="2:4" ht="12.75" x14ac:dyDescent="0.2">
      <c r="B906" s="31"/>
      <c r="D906" s="15"/>
    </row>
    <row r="907" spans="2:4" ht="12.75" x14ac:dyDescent="0.2">
      <c r="B907" s="31"/>
      <c r="D907" s="15"/>
    </row>
    <row r="908" spans="2:4" ht="12.75" x14ac:dyDescent="0.2">
      <c r="B908" s="31"/>
      <c r="D908" s="15"/>
    </row>
    <row r="909" spans="2:4" ht="12.75" x14ac:dyDescent="0.2">
      <c r="B909" s="31"/>
      <c r="D909" s="15"/>
    </row>
    <row r="910" spans="2:4" ht="12.75" x14ac:dyDescent="0.2">
      <c r="B910" s="31"/>
      <c r="D910" s="15"/>
    </row>
    <row r="911" spans="2:4" ht="12.75" x14ac:dyDescent="0.2">
      <c r="B911" s="31"/>
      <c r="D911" s="15"/>
    </row>
    <row r="912" spans="2:4" ht="12.75" x14ac:dyDescent="0.2">
      <c r="B912" s="31"/>
      <c r="D912" s="15"/>
    </row>
    <row r="913" spans="2:4" ht="12.75" x14ac:dyDescent="0.2">
      <c r="B913" s="31"/>
      <c r="D913" s="15"/>
    </row>
    <row r="914" spans="2:4" ht="12.75" x14ac:dyDescent="0.2">
      <c r="B914" s="31"/>
      <c r="D914" s="15"/>
    </row>
    <row r="915" spans="2:4" ht="12.75" x14ac:dyDescent="0.2">
      <c r="B915" s="31"/>
      <c r="D915" s="15"/>
    </row>
    <row r="916" spans="2:4" ht="12.75" x14ac:dyDescent="0.2">
      <c r="B916" s="31"/>
      <c r="D916" s="15"/>
    </row>
    <row r="917" spans="2:4" ht="12.75" x14ac:dyDescent="0.2">
      <c r="B917" s="31"/>
      <c r="D917" s="15"/>
    </row>
    <row r="918" spans="2:4" ht="12.75" x14ac:dyDescent="0.2">
      <c r="B918" s="31"/>
      <c r="D918" s="15"/>
    </row>
    <row r="919" spans="2:4" ht="12.75" x14ac:dyDescent="0.2">
      <c r="B919" s="31"/>
      <c r="D919" s="15"/>
    </row>
    <row r="920" spans="2:4" ht="12.75" x14ac:dyDescent="0.2">
      <c r="B920" s="31"/>
      <c r="D920" s="15"/>
    </row>
    <row r="921" spans="2:4" ht="12.75" x14ac:dyDescent="0.2">
      <c r="B921" s="31"/>
      <c r="D921" s="15"/>
    </row>
    <row r="922" spans="2:4" ht="12.75" x14ac:dyDescent="0.2">
      <c r="B922" s="31"/>
      <c r="D922" s="15"/>
    </row>
    <row r="923" spans="2:4" ht="12.75" x14ac:dyDescent="0.2">
      <c r="B923" s="31"/>
      <c r="D923" s="15"/>
    </row>
    <row r="924" spans="2:4" ht="12.75" x14ac:dyDescent="0.2">
      <c r="B924" s="31"/>
      <c r="D924" s="15"/>
    </row>
    <row r="925" spans="2:4" ht="12.75" x14ac:dyDescent="0.2">
      <c r="B925" s="31"/>
      <c r="D925" s="15"/>
    </row>
    <row r="926" spans="2:4" ht="12.75" x14ac:dyDescent="0.2">
      <c r="B926" s="31"/>
      <c r="D926" s="15"/>
    </row>
    <row r="927" spans="2:4" ht="12.75" x14ac:dyDescent="0.2">
      <c r="B927" s="31"/>
      <c r="D927" s="15"/>
    </row>
    <row r="928" spans="2:4" ht="12.75" x14ac:dyDescent="0.2">
      <c r="B928" s="31"/>
      <c r="D928" s="15"/>
    </row>
    <row r="929" spans="2:4" ht="12.75" x14ac:dyDescent="0.2">
      <c r="B929" s="31"/>
      <c r="D929" s="15"/>
    </row>
    <row r="930" spans="2:4" ht="12.75" x14ac:dyDescent="0.2">
      <c r="B930" s="31"/>
      <c r="D930" s="15"/>
    </row>
    <row r="931" spans="2:4" ht="12.75" x14ac:dyDescent="0.2">
      <c r="B931" s="31"/>
      <c r="D931" s="15"/>
    </row>
    <row r="932" spans="2:4" ht="12.75" x14ac:dyDescent="0.2">
      <c r="B932" s="31"/>
      <c r="D932" s="15"/>
    </row>
    <row r="933" spans="2:4" ht="12.75" x14ac:dyDescent="0.2">
      <c r="B933" s="31"/>
      <c r="D933" s="15"/>
    </row>
    <row r="934" spans="2:4" ht="12.75" x14ac:dyDescent="0.2">
      <c r="B934" s="31"/>
      <c r="D934" s="15"/>
    </row>
    <row r="935" spans="2:4" ht="12.75" x14ac:dyDescent="0.2">
      <c r="B935" s="31"/>
      <c r="D935" s="15"/>
    </row>
    <row r="936" spans="2:4" ht="12.75" x14ac:dyDescent="0.2">
      <c r="B936" s="31"/>
      <c r="D936" s="15"/>
    </row>
    <row r="937" spans="2:4" ht="12.75" x14ac:dyDescent="0.2">
      <c r="B937" s="31"/>
      <c r="D937" s="15"/>
    </row>
    <row r="938" spans="2:4" ht="12.75" x14ac:dyDescent="0.2">
      <c r="B938" s="31"/>
      <c r="D938" s="15"/>
    </row>
    <row r="939" spans="2:4" ht="12.75" x14ac:dyDescent="0.2">
      <c r="B939" s="31"/>
      <c r="D939" s="15"/>
    </row>
    <row r="940" spans="2:4" ht="12.75" x14ac:dyDescent="0.2">
      <c r="B940" s="31"/>
      <c r="D940" s="15"/>
    </row>
    <row r="941" spans="2:4" ht="12.75" x14ac:dyDescent="0.2">
      <c r="B941" s="31"/>
      <c r="D941" s="15"/>
    </row>
    <row r="942" spans="2:4" ht="12.75" x14ac:dyDescent="0.2">
      <c r="B942" s="31"/>
      <c r="D942" s="15"/>
    </row>
    <row r="943" spans="2:4" ht="12.75" x14ac:dyDescent="0.2">
      <c r="B943" s="31"/>
      <c r="D943" s="15"/>
    </row>
    <row r="944" spans="2:4" ht="12.75" x14ac:dyDescent="0.2">
      <c r="B944" s="31"/>
      <c r="D944" s="15"/>
    </row>
    <row r="945" spans="2:4" ht="12.75" x14ac:dyDescent="0.2">
      <c r="B945" s="31"/>
      <c r="D945" s="15"/>
    </row>
    <row r="946" spans="2:4" ht="12.75" x14ac:dyDescent="0.2">
      <c r="B946" s="31"/>
      <c r="D946" s="15"/>
    </row>
    <row r="947" spans="2:4" ht="12.75" x14ac:dyDescent="0.2">
      <c r="B947" s="31"/>
      <c r="D947" s="15"/>
    </row>
    <row r="948" spans="2:4" ht="12.75" x14ac:dyDescent="0.2">
      <c r="B948" s="31"/>
      <c r="D948" s="15"/>
    </row>
    <row r="949" spans="2:4" ht="12.75" x14ac:dyDescent="0.2">
      <c r="B949" s="31"/>
      <c r="D949" s="15"/>
    </row>
    <row r="950" spans="2:4" ht="12.75" x14ac:dyDescent="0.2">
      <c r="B950" s="31"/>
      <c r="D950" s="15"/>
    </row>
    <row r="951" spans="2:4" ht="12.75" x14ac:dyDescent="0.2">
      <c r="B951" s="31"/>
      <c r="D951" s="15"/>
    </row>
    <row r="952" spans="2:4" ht="12.75" x14ac:dyDescent="0.2">
      <c r="B952" s="31"/>
      <c r="D952" s="15"/>
    </row>
    <row r="953" spans="2:4" ht="12.75" x14ac:dyDescent="0.2">
      <c r="B953" s="31"/>
      <c r="D953" s="15"/>
    </row>
    <row r="954" spans="2:4" ht="12.75" x14ac:dyDescent="0.2">
      <c r="B954" s="31"/>
      <c r="D954" s="15"/>
    </row>
    <row r="955" spans="2:4" ht="12.75" x14ac:dyDescent="0.2">
      <c r="B955" s="31"/>
      <c r="D955" s="15"/>
    </row>
    <row r="956" spans="2:4" ht="12.75" x14ac:dyDescent="0.2">
      <c r="B956" s="31"/>
      <c r="D956" s="15"/>
    </row>
    <row r="957" spans="2:4" ht="12.75" x14ac:dyDescent="0.2">
      <c r="B957" s="31"/>
      <c r="D957" s="15"/>
    </row>
    <row r="958" spans="2:4" ht="12.75" x14ac:dyDescent="0.2">
      <c r="B958" s="31"/>
      <c r="D958" s="15"/>
    </row>
    <row r="959" spans="2:4" ht="12.75" x14ac:dyDescent="0.2">
      <c r="B959" s="31"/>
      <c r="D959" s="15"/>
    </row>
    <row r="960" spans="2:4" ht="12.75" x14ac:dyDescent="0.2">
      <c r="B960" s="31"/>
      <c r="D960" s="15"/>
    </row>
    <row r="961" spans="2:4" ht="12.75" x14ac:dyDescent="0.2">
      <c r="B961" s="31"/>
      <c r="D961" s="15"/>
    </row>
    <row r="962" spans="2:4" ht="12.75" x14ac:dyDescent="0.2">
      <c r="B962" s="31"/>
      <c r="D962" s="15"/>
    </row>
    <row r="963" spans="2:4" ht="12.75" x14ac:dyDescent="0.2">
      <c r="B963" s="31"/>
      <c r="D963" s="15"/>
    </row>
    <row r="964" spans="2:4" ht="12.75" x14ac:dyDescent="0.2">
      <c r="B964" s="31"/>
      <c r="D964" s="15"/>
    </row>
    <row r="965" spans="2:4" ht="12.75" x14ac:dyDescent="0.2">
      <c r="B965" s="31"/>
      <c r="D965" s="15"/>
    </row>
    <row r="966" spans="2:4" ht="12.75" x14ac:dyDescent="0.2">
      <c r="B966" s="31"/>
      <c r="D966" s="15"/>
    </row>
    <row r="967" spans="2:4" ht="12.75" x14ac:dyDescent="0.2">
      <c r="B967" s="31"/>
      <c r="D967" s="15"/>
    </row>
    <row r="968" spans="2:4" ht="12.75" x14ac:dyDescent="0.2">
      <c r="B968" s="31"/>
      <c r="D968" s="15"/>
    </row>
    <row r="969" spans="2:4" ht="12.75" x14ac:dyDescent="0.2">
      <c r="B969" s="31"/>
      <c r="D969" s="15"/>
    </row>
    <row r="970" spans="2:4" ht="12.75" x14ac:dyDescent="0.2">
      <c r="B970" s="31"/>
      <c r="D970" s="15"/>
    </row>
    <row r="971" spans="2:4" ht="12.75" x14ac:dyDescent="0.2">
      <c r="B971" s="31"/>
      <c r="D971" s="15"/>
    </row>
    <row r="972" spans="2:4" ht="12.75" x14ac:dyDescent="0.2">
      <c r="B972" s="31"/>
      <c r="D972" s="15"/>
    </row>
    <row r="973" spans="2:4" ht="12.75" x14ac:dyDescent="0.2">
      <c r="B973" s="31"/>
      <c r="D973" s="15"/>
    </row>
    <row r="974" spans="2:4" ht="12.75" x14ac:dyDescent="0.2">
      <c r="B974" s="31"/>
      <c r="D974" s="15"/>
    </row>
    <row r="975" spans="2:4" ht="12.75" x14ac:dyDescent="0.2">
      <c r="B975" s="31"/>
      <c r="D975" s="15"/>
    </row>
    <row r="976" spans="2:4" ht="12.75" x14ac:dyDescent="0.2">
      <c r="B976" s="31"/>
      <c r="D976" s="15"/>
    </row>
    <row r="977" spans="2:4" ht="12.75" x14ac:dyDescent="0.2">
      <c r="B977" s="31"/>
      <c r="D977" s="15"/>
    </row>
    <row r="978" spans="2:4" ht="12.75" x14ac:dyDescent="0.2">
      <c r="B978" s="31"/>
      <c r="D978" s="15"/>
    </row>
    <row r="979" spans="2:4" ht="12.75" x14ac:dyDescent="0.2">
      <c r="B979" s="31"/>
      <c r="D979" s="15"/>
    </row>
    <row r="980" spans="2:4" ht="12.75" x14ac:dyDescent="0.2">
      <c r="B980" s="31"/>
      <c r="D980" s="15"/>
    </row>
    <row r="981" spans="2:4" ht="12.75" x14ac:dyDescent="0.2">
      <c r="B981" s="31"/>
      <c r="D981" s="15"/>
    </row>
    <row r="982" spans="2:4" ht="12.75" x14ac:dyDescent="0.2">
      <c r="B982" s="31"/>
      <c r="D982" s="15"/>
    </row>
    <row r="983" spans="2:4" ht="12.75" x14ac:dyDescent="0.2">
      <c r="B983" s="31"/>
      <c r="D983" s="15"/>
    </row>
    <row r="984" spans="2:4" ht="12.75" x14ac:dyDescent="0.2">
      <c r="B984" s="31"/>
      <c r="D984" s="15"/>
    </row>
    <row r="985" spans="2:4" ht="12.75" x14ac:dyDescent="0.2">
      <c r="B985" s="31"/>
      <c r="D985" s="15"/>
    </row>
    <row r="986" spans="2:4" ht="12.75" x14ac:dyDescent="0.2">
      <c r="B986" s="31"/>
      <c r="D986" s="15"/>
    </row>
    <row r="987" spans="2:4" ht="12.75" x14ac:dyDescent="0.2">
      <c r="B987" s="31"/>
      <c r="D987" s="15"/>
    </row>
    <row r="988" spans="2:4" ht="12.75" x14ac:dyDescent="0.2">
      <c r="B988" s="31"/>
      <c r="D988" s="15"/>
    </row>
    <row r="989" spans="2:4" ht="12.75" x14ac:dyDescent="0.2">
      <c r="B989" s="31"/>
      <c r="D989" s="15"/>
    </row>
    <row r="990" spans="2:4" ht="12.75" x14ac:dyDescent="0.2">
      <c r="B990" s="31"/>
      <c r="D990" s="15"/>
    </row>
    <row r="991" spans="2:4" ht="12.75" x14ac:dyDescent="0.2">
      <c r="B991" s="31"/>
      <c r="D991" s="15"/>
    </row>
    <row r="992" spans="2:4" ht="12.75" x14ac:dyDescent="0.2">
      <c r="B992" s="31"/>
      <c r="D992" s="15"/>
    </row>
    <row r="993" spans="2:4" ht="12.75" x14ac:dyDescent="0.2">
      <c r="B993" s="31"/>
      <c r="D993" s="15"/>
    </row>
    <row r="994" spans="2:4" ht="12.75" x14ac:dyDescent="0.2">
      <c r="B994" s="31"/>
      <c r="D994" s="15"/>
    </row>
    <row r="995" spans="2:4" ht="12.75" x14ac:dyDescent="0.2">
      <c r="B995" s="31"/>
      <c r="D995" s="15"/>
    </row>
    <row r="996" spans="2:4" ht="12.75" x14ac:dyDescent="0.2">
      <c r="B996" s="31"/>
      <c r="D996" s="15"/>
    </row>
    <row r="997" spans="2:4" ht="12.75" x14ac:dyDescent="0.2">
      <c r="B997" s="31"/>
      <c r="D997" s="15"/>
    </row>
    <row r="998" spans="2:4" ht="12.75" x14ac:dyDescent="0.2">
      <c r="B998" s="31"/>
      <c r="D998" s="15"/>
    </row>
    <row r="999" spans="2:4" ht="12.75" x14ac:dyDescent="0.2">
      <c r="B999" s="31"/>
      <c r="D999" s="15"/>
    </row>
    <row r="1000" spans="2:4" ht="12.75" x14ac:dyDescent="0.2">
      <c r="B1000" s="31"/>
      <c r="D1000" s="15"/>
    </row>
    <row r="1001" spans="2:4" ht="12.75" x14ac:dyDescent="0.2">
      <c r="B1001" s="31"/>
      <c r="D1001" s="15"/>
    </row>
    <row r="1002" spans="2:4" ht="12.75" x14ac:dyDescent="0.2">
      <c r="B1002" s="31"/>
      <c r="D1002" s="15"/>
    </row>
  </sheetData>
  <autoFilter ref="A3:C104" xr:uid="{00000000-0009-0000-0000-00000F000000}">
    <sortState xmlns:xlrd2="http://schemas.microsoft.com/office/spreadsheetml/2017/richdata2" ref="A3:C104">
      <sortCondition descending="1" ref="B3:B104"/>
    </sortState>
  </autoFilter>
  <mergeCells count="3">
    <mergeCell ref="H1:M1"/>
    <mergeCell ref="G4:G17"/>
    <mergeCell ref="G18:G33"/>
  </mergeCells>
  <printOptions horizontalCentered="1" gridLines="1"/>
  <pageMargins left="0.7" right="0.7" top="0.75" bottom="0.75" header="0" footer="0"/>
  <pageSetup paperSize="9" scale="73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Q100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4.42578125" defaultRowHeight="15.75" customHeight="1" x14ac:dyDescent="0.2"/>
  <cols>
    <col min="1" max="1" width="8.5703125" customWidth="1"/>
    <col min="2" max="2" width="22.85546875" customWidth="1"/>
    <col min="3" max="14" width="14.42578125" customWidth="1"/>
  </cols>
  <sheetData>
    <row r="1" spans="1:43" ht="18" x14ac:dyDescent="0.25">
      <c r="C1" s="31"/>
      <c r="E1" s="15"/>
      <c r="H1" s="66" t="s">
        <v>372</v>
      </c>
      <c r="I1" s="67"/>
      <c r="J1" s="67"/>
      <c r="K1" s="67"/>
      <c r="L1" s="67"/>
      <c r="M1" s="67"/>
      <c r="N1" s="68"/>
      <c r="O1" s="66" t="s">
        <v>395</v>
      </c>
      <c r="P1" s="67"/>
      <c r="Q1" s="67"/>
      <c r="R1" s="67"/>
      <c r="S1" s="67"/>
      <c r="T1" s="67"/>
      <c r="U1" s="68"/>
      <c r="V1" s="66" t="s">
        <v>396</v>
      </c>
      <c r="W1" s="67"/>
      <c r="X1" s="67"/>
      <c r="Y1" s="67"/>
      <c r="Z1" s="67"/>
      <c r="AA1" s="67"/>
      <c r="AB1" s="68"/>
      <c r="AC1" s="66" t="s">
        <v>397</v>
      </c>
      <c r="AD1" s="67"/>
      <c r="AE1" s="67"/>
      <c r="AF1" s="67"/>
      <c r="AG1" s="67"/>
      <c r="AH1" s="67"/>
      <c r="AI1" s="68"/>
      <c r="AJ1" s="66" t="s">
        <v>398</v>
      </c>
      <c r="AK1" s="67"/>
      <c r="AL1" s="67"/>
      <c r="AM1" s="67"/>
      <c r="AN1" s="67"/>
      <c r="AO1" s="67"/>
      <c r="AP1" s="68"/>
      <c r="AQ1" s="32"/>
    </row>
    <row r="2" spans="1:43" ht="15.75" customHeight="1" x14ac:dyDescent="0.2">
      <c r="C2" s="31"/>
      <c r="E2" s="15"/>
      <c r="H2" s="34" t="s">
        <v>399</v>
      </c>
      <c r="I2" s="34" t="s">
        <v>374</v>
      </c>
      <c r="J2" s="34" t="s">
        <v>375</v>
      </c>
      <c r="K2" s="34" t="s">
        <v>376</v>
      </c>
      <c r="L2" s="34" t="s">
        <v>377</v>
      </c>
      <c r="M2" s="34" t="s">
        <v>378</v>
      </c>
      <c r="N2" s="34" t="s">
        <v>400</v>
      </c>
      <c r="O2" s="34" t="s">
        <v>399</v>
      </c>
      <c r="P2" s="34" t="s">
        <v>374</v>
      </c>
      <c r="Q2" s="34" t="s">
        <v>375</v>
      </c>
      <c r="R2" s="34" t="s">
        <v>376</v>
      </c>
      <c r="S2" s="34" t="s">
        <v>377</v>
      </c>
      <c r="T2" s="34" t="s">
        <v>378</v>
      </c>
      <c r="U2" s="34" t="s">
        <v>400</v>
      </c>
      <c r="V2" s="34" t="s">
        <v>399</v>
      </c>
      <c r="W2" s="34" t="s">
        <v>374</v>
      </c>
      <c r="X2" s="34" t="s">
        <v>375</v>
      </c>
      <c r="Y2" s="34" t="s">
        <v>376</v>
      </c>
      <c r="Z2" s="34" t="s">
        <v>377</v>
      </c>
      <c r="AA2" s="34" t="s">
        <v>378</v>
      </c>
      <c r="AB2" s="34" t="s">
        <v>400</v>
      </c>
      <c r="AC2" s="34" t="s">
        <v>399</v>
      </c>
      <c r="AD2" s="34" t="s">
        <v>374</v>
      </c>
      <c r="AE2" s="34" t="s">
        <v>375</v>
      </c>
      <c r="AF2" s="34" t="s">
        <v>376</v>
      </c>
      <c r="AG2" s="34" t="s">
        <v>377</v>
      </c>
      <c r="AH2" s="34" t="s">
        <v>378</v>
      </c>
      <c r="AI2" s="34" t="s">
        <v>400</v>
      </c>
      <c r="AJ2" s="34" t="s">
        <v>399</v>
      </c>
      <c r="AK2" s="34" t="s">
        <v>374</v>
      </c>
      <c r="AL2" s="34" t="s">
        <v>375</v>
      </c>
      <c r="AM2" s="34" t="s">
        <v>376</v>
      </c>
      <c r="AN2" s="34" t="s">
        <v>377</v>
      </c>
      <c r="AO2" s="34" t="s">
        <v>378</v>
      </c>
      <c r="AP2" s="34" t="s">
        <v>400</v>
      </c>
      <c r="AQ2" s="47"/>
    </row>
    <row r="3" spans="1:43" ht="15.75" customHeight="1" x14ac:dyDescent="0.2">
      <c r="A3" s="33" t="s">
        <v>384</v>
      </c>
      <c r="B3" s="34" t="s">
        <v>118</v>
      </c>
      <c r="C3" s="47" t="s">
        <v>380</v>
      </c>
      <c r="E3" s="29" t="s">
        <v>381</v>
      </c>
      <c r="F3" s="47" t="s">
        <v>382</v>
      </c>
      <c r="G3" s="47" t="s">
        <v>383</v>
      </c>
      <c r="H3" s="35">
        <v>42996</v>
      </c>
      <c r="I3" s="35">
        <v>42997</v>
      </c>
      <c r="J3" s="35">
        <v>42998</v>
      </c>
      <c r="K3" s="35">
        <v>42999</v>
      </c>
      <c r="L3" s="35">
        <v>43000</v>
      </c>
      <c r="M3" s="35">
        <v>43001</v>
      </c>
      <c r="N3" s="35">
        <v>43002</v>
      </c>
      <c r="O3" s="35">
        <v>43003</v>
      </c>
      <c r="P3" s="35">
        <v>43004</v>
      </c>
      <c r="Q3" s="35">
        <v>43005</v>
      </c>
      <c r="R3" s="35">
        <v>43006</v>
      </c>
      <c r="S3" s="35">
        <v>43007</v>
      </c>
      <c r="T3" s="35">
        <v>43008</v>
      </c>
      <c r="U3" s="35">
        <v>43009</v>
      </c>
      <c r="V3" s="35">
        <v>43010</v>
      </c>
      <c r="W3" s="35">
        <v>43011</v>
      </c>
      <c r="X3" s="35">
        <v>43012</v>
      </c>
      <c r="Y3" s="35">
        <v>43013</v>
      </c>
      <c r="Z3" s="35">
        <v>43014</v>
      </c>
      <c r="AA3" s="35">
        <v>43015</v>
      </c>
      <c r="AB3" s="35">
        <v>43016</v>
      </c>
      <c r="AC3" s="35">
        <v>43017</v>
      </c>
      <c r="AD3" s="35">
        <v>43018</v>
      </c>
      <c r="AE3" s="35">
        <v>43019</v>
      </c>
      <c r="AF3" s="35">
        <v>43020</v>
      </c>
      <c r="AG3" s="35">
        <v>43021</v>
      </c>
      <c r="AH3" s="35">
        <v>43022</v>
      </c>
      <c r="AI3" s="35">
        <v>43023</v>
      </c>
      <c r="AJ3" s="35">
        <v>43024</v>
      </c>
      <c r="AK3" s="35">
        <v>43025</v>
      </c>
      <c r="AL3" s="35">
        <v>43026</v>
      </c>
      <c r="AM3" s="35">
        <v>43027</v>
      </c>
      <c r="AN3" s="35">
        <v>43028</v>
      </c>
      <c r="AO3" s="35">
        <v>43029</v>
      </c>
      <c r="AP3" s="35">
        <v>43030</v>
      </c>
      <c r="AQ3" s="47" t="s">
        <v>401</v>
      </c>
    </row>
    <row r="4" spans="1:43" ht="15.75" customHeight="1" x14ac:dyDescent="0.2">
      <c r="A4" s="63" t="s">
        <v>385</v>
      </c>
      <c r="B4" s="36" t="s">
        <v>40</v>
      </c>
      <c r="C4" s="37">
        <v>103241</v>
      </c>
      <c r="D4" s="38">
        <v>74</v>
      </c>
      <c r="E4" s="39">
        <f t="shared" ref="E4:E92" si="0">C4/$C$103</f>
        <v>0.3246480445521982</v>
      </c>
      <c r="F4" s="39">
        <f>E4</f>
        <v>0.3246480445521982</v>
      </c>
      <c r="G4" s="38">
        <v>1</v>
      </c>
      <c r="H4" s="24"/>
      <c r="I4" s="24"/>
      <c r="J4" s="24"/>
      <c r="K4" s="24"/>
      <c r="L4" s="24"/>
      <c r="M4" s="24"/>
      <c r="N4" s="24"/>
      <c r="O4" s="24"/>
      <c r="P4" s="38" t="s">
        <v>402</v>
      </c>
      <c r="Q4" s="24"/>
      <c r="R4" s="24"/>
      <c r="S4" s="24"/>
      <c r="T4" s="38" t="s">
        <v>403</v>
      </c>
      <c r="U4" s="24"/>
      <c r="V4" s="24"/>
      <c r="W4" s="24"/>
      <c r="X4" s="38" t="s">
        <v>404</v>
      </c>
      <c r="Y4" s="24"/>
      <c r="Z4" s="24"/>
      <c r="AA4" s="24"/>
      <c r="AB4" s="38" t="s">
        <v>405</v>
      </c>
      <c r="AC4" s="24"/>
      <c r="AD4" s="24"/>
      <c r="AE4" s="24"/>
      <c r="AF4" s="24"/>
      <c r="AG4" s="38" t="s">
        <v>406</v>
      </c>
      <c r="AH4" s="24"/>
      <c r="AI4" s="24"/>
      <c r="AJ4" s="24"/>
      <c r="AK4" s="38" t="s">
        <v>406</v>
      </c>
      <c r="AL4" s="24"/>
      <c r="AM4" s="24"/>
      <c r="AN4" s="69" t="s">
        <v>407</v>
      </c>
      <c r="AO4" s="70"/>
      <c r="AP4" s="70"/>
      <c r="AQ4" s="31">
        <f t="shared" ref="AQ4:AQ102" si="1">32-COUNTBLANK(H4:AM4)</f>
        <v>6</v>
      </c>
    </row>
    <row r="5" spans="1:43" ht="15.75" customHeight="1" x14ac:dyDescent="0.2">
      <c r="A5" s="64"/>
      <c r="B5" s="36" t="s">
        <v>84</v>
      </c>
      <c r="C5" s="37">
        <v>57669</v>
      </c>
      <c r="D5" s="38">
        <v>35</v>
      </c>
      <c r="E5" s="39">
        <f t="shared" si="0"/>
        <v>0.18134392422855958</v>
      </c>
      <c r="F5" s="39">
        <f t="shared" ref="F5:F92" si="2">E5+F4</f>
        <v>0.50599196878075781</v>
      </c>
      <c r="G5" s="38">
        <v>2</v>
      </c>
      <c r="H5" s="24"/>
      <c r="I5" s="24"/>
      <c r="J5" s="24"/>
      <c r="K5" s="38" t="s">
        <v>408</v>
      </c>
      <c r="L5" s="24"/>
      <c r="M5" s="24"/>
      <c r="N5" s="24"/>
      <c r="O5" s="24"/>
      <c r="P5" s="24"/>
      <c r="Q5" s="38" t="s">
        <v>402</v>
      </c>
      <c r="R5" s="24"/>
      <c r="S5" s="24"/>
      <c r="T5" s="24"/>
      <c r="U5" s="24"/>
      <c r="V5" s="24"/>
      <c r="W5" s="24"/>
      <c r="X5" s="38" t="s">
        <v>409</v>
      </c>
      <c r="Y5" s="24"/>
      <c r="Z5" s="24"/>
      <c r="AA5" s="24"/>
      <c r="AB5" s="24"/>
      <c r="AC5" s="24"/>
      <c r="AD5" s="38" t="s">
        <v>406</v>
      </c>
      <c r="AE5" s="24"/>
      <c r="AF5" s="24"/>
      <c r="AG5" s="24"/>
      <c r="AH5" s="24"/>
      <c r="AI5" s="24"/>
      <c r="AJ5" s="24"/>
      <c r="AK5" s="24"/>
      <c r="AL5" s="24"/>
      <c r="AM5" s="38" t="s">
        <v>406</v>
      </c>
      <c r="AN5" s="71"/>
      <c r="AO5" s="57"/>
      <c r="AP5" s="57"/>
      <c r="AQ5" s="31">
        <f t="shared" si="1"/>
        <v>5</v>
      </c>
    </row>
    <row r="6" spans="1:43" ht="15.75" customHeight="1" x14ac:dyDescent="0.2">
      <c r="A6" s="64"/>
      <c r="B6" s="36" t="s">
        <v>113</v>
      </c>
      <c r="C6" s="37">
        <v>12583</v>
      </c>
      <c r="D6" s="38">
        <v>37</v>
      </c>
      <c r="E6" s="39">
        <f t="shared" si="0"/>
        <v>3.9568062539110528E-2</v>
      </c>
      <c r="F6" s="39">
        <f t="shared" si="2"/>
        <v>0.5455600313198683</v>
      </c>
      <c r="G6" s="38">
        <v>3</v>
      </c>
      <c r="H6" s="38"/>
      <c r="I6" s="24"/>
      <c r="J6" s="38" t="s">
        <v>409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38" t="s">
        <v>406</v>
      </c>
      <c r="AM6" s="24"/>
      <c r="AN6" s="71"/>
      <c r="AO6" s="57"/>
      <c r="AP6" s="57"/>
      <c r="AQ6" s="31">
        <f t="shared" si="1"/>
        <v>2</v>
      </c>
    </row>
    <row r="7" spans="1:43" ht="15.75" customHeight="1" x14ac:dyDescent="0.2">
      <c r="A7" s="64"/>
      <c r="B7" s="36" t="s">
        <v>106</v>
      </c>
      <c r="C7" s="37">
        <v>12134</v>
      </c>
      <c r="D7" s="38">
        <v>78</v>
      </c>
      <c r="E7" s="39">
        <f t="shared" si="0"/>
        <v>3.815615281328516E-2</v>
      </c>
      <c r="F7" s="39">
        <f t="shared" si="2"/>
        <v>0.58371618413315352</v>
      </c>
      <c r="G7" s="38">
        <v>4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38" t="s">
        <v>410</v>
      </c>
      <c r="AD7" s="24"/>
      <c r="AE7" s="24"/>
      <c r="AF7" s="24"/>
      <c r="AG7" s="24"/>
      <c r="AH7" s="24"/>
      <c r="AI7" s="24"/>
      <c r="AJ7" s="24"/>
      <c r="AK7" s="38" t="s">
        <v>406</v>
      </c>
      <c r="AL7" s="24"/>
      <c r="AM7" s="24"/>
      <c r="AN7" s="71"/>
      <c r="AO7" s="57"/>
      <c r="AP7" s="57"/>
      <c r="AQ7" s="31">
        <f t="shared" si="1"/>
        <v>2</v>
      </c>
    </row>
    <row r="8" spans="1:43" ht="15.75" customHeight="1" x14ac:dyDescent="0.2">
      <c r="A8" s="64"/>
      <c r="B8" s="36" t="s">
        <v>57</v>
      </c>
      <c r="C8" s="37">
        <v>9470</v>
      </c>
      <c r="D8" s="38">
        <v>32</v>
      </c>
      <c r="E8" s="39">
        <f t="shared" si="0"/>
        <v>2.9779031411060693E-2</v>
      </c>
      <c r="F8" s="39">
        <f t="shared" si="2"/>
        <v>0.61349521554421416</v>
      </c>
      <c r="G8" s="38">
        <v>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Z8" s="38" t="s">
        <v>409</v>
      </c>
      <c r="AA8" s="38" t="s">
        <v>411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71"/>
      <c r="AO8" s="57"/>
      <c r="AP8" s="57"/>
      <c r="AQ8" s="31">
        <f t="shared" si="1"/>
        <v>2</v>
      </c>
    </row>
    <row r="9" spans="1:43" ht="15.75" customHeight="1" x14ac:dyDescent="0.2">
      <c r="A9" s="64"/>
      <c r="B9" s="36" t="s">
        <v>86</v>
      </c>
      <c r="C9" s="37">
        <v>8507</v>
      </c>
      <c r="D9" s="38">
        <v>19</v>
      </c>
      <c r="E9" s="39">
        <f t="shared" si="0"/>
        <v>2.6750815228499824E-2</v>
      </c>
      <c r="F9" s="39">
        <f t="shared" si="2"/>
        <v>0.64024603077271403</v>
      </c>
      <c r="G9" s="38">
        <v>6</v>
      </c>
      <c r="H9" s="24"/>
      <c r="I9" s="24"/>
      <c r="J9" s="24"/>
      <c r="K9" s="24"/>
      <c r="L9" s="24"/>
      <c r="M9" s="38" t="s">
        <v>409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8" t="s">
        <v>412</v>
      </c>
      <c r="AB9" s="24"/>
      <c r="AC9" s="24"/>
      <c r="AD9" s="24"/>
      <c r="AE9" s="24"/>
      <c r="AF9" s="24"/>
      <c r="AG9" s="24"/>
      <c r="AH9" s="24"/>
      <c r="AI9" s="24"/>
      <c r="AJ9" s="38" t="s">
        <v>406</v>
      </c>
      <c r="AK9" s="24"/>
      <c r="AL9" s="24"/>
      <c r="AM9" s="24"/>
      <c r="AN9" s="71"/>
      <c r="AO9" s="57"/>
      <c r="AP9" s="57"/>
      <c r="AQ9" s="31">
        <f t="shared" si="1"/>
        <v>3</v>
      </c>
    </row>
    <row r="10" spans="1:43" ht="15.75" customHeight="1" x14ac:dyDescent="0.2">
      <c r="A10" s="64"/>
      <c r="B10" s="36" t="s">
        <v>52</v>
      </c>
      <c r="C10" s="37">
        <v>7741</v>
      </c>
      <c r="D10" s="38">
        <v>43</v>
      </c>
      <c r="E10" s="39">
        <f t="shared" si="0"/>
        <v>2.4342078368851196E-2</v>
      </c>
      <c r="F10" s="39">
        <f t="shared" si="2"/>
        <v>0.66458810914156519</v>
      </c>
      <c r="G10" s="38">
        <v>7</v>
      </c>
      <c r="H10" s="24"/>
      <c r="I10" s="38" t="s">
        <v>413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38" t="s">
        <v>406</v>
      </c>
      <c r="AI10" s="24"/>
      <c r="AJ10" s="24"/>
      <c r="AK10" s="24"/>
      <c r="AL10" s="24"/>
      <c r="AM10" s="24"/>
      <c r="AN10" s="71"/>
      <c r="AO10" s="57"/>
      <c r="AP10" s="57"/>
      <c r="AQ10" s="31">
        <f t="shared" si="1"/>
        <v>2</v>
      </c>
    </row>
    <row r="11" spans="1:43" ht="15.75" customHeight="1" x14ac:dyDescent="0.2">
      <c r="A11" s="64"/>
      <c r="B11" s="36" t="s">
        <v>105</v>
      </c>
      <c r="C11" s="37">
        <v>7591</v>
      </c>
      <c r="D11" s="38">
        <v>71</v>
      </c>
      <c r="E11" s="39">
        <f t="shared" si="0"/>
        <v>2.3870393605212432E-2</v>
      </c>
      <c r="F11" s="39">
        <f t="shared" si="2"/>
        <v>0.68845850274677767</v>
      </c>
      <c r="G11" s="38">
        <v>8</v>
      </c>
      <c r="H11" s="38" t="s">
        <v>414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38" t="s">
        <v>406</v>
      </c>
      <c r="AF11" s="24"/>
      <c r="AG11" s="24"/>
      <c r="AH11" s="24"/>
      <c r="AI11" s="24"/>
      <c r="AJ11" s="24"/>
      <c r="AK11" s="24"/>
      <c r="AL11" s="24"/>
      <c r="AM11" s="24"/>
      <c r="AN11" s="71"/>
      <c r="AO11" s="57"/>
      <c r="AP11" s="57"/>
      <c r="AQ11" s="31">
        <f t="shared" si="1"/>
        <v>2</v>
      </c>
    </row>
    <row r="12" spans="1:43" ht="15.75" customHeight="1" x14ac:dyDescent="0.2">
      <c r="A12" s="64"/>
      <c r="B12" s="36" t="s">
        <v>78</v>
      </c>
      <c r="C12" s="37">
        <v>5799</v>
      </c>
      <c r="D12" s="38">
        <v>86</v>
      </c>
      <c r="E12" s="39">
        <f t="shared" si="0"/>
        <v>1.8235332962274652E-2</v>
      </c>
      <c r="F12" s="39">
        <f t="shared" si="2"/>
        <v>0.70669383570905231</v>
      </c>
      <c r="G12" s="38">
        <v>9</v>
      </c>
      <c r="H12" s="24"/>
      <c r="I12" s="24"/>
      <c r="J12" s="24"/>
      <c r="K12" s="24"/>
      <c r="L12" s="24"/>
      <c r="M12" s="24"/>
      <c r="N12" s="24"/>
      <c r="O12" s="38" t="s">
        <v>409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71"/>
      <c r="AO12" s="57"/>
      <c r="AP12" s="57"/>
      <c r="AQ12" s="31">
        <f t="shared" si="1"/>
        <v>1</v>
      </c>
    </row>
    <row r="13" spans="1:43" ht="15.75" customHeight="1" x14ac:dyDescent="0.2">
      <c r="A13" s="64"/>
      <c r="B13" s="36" t="s">
        <v>66</v>
      </c>
      <c r="C13" s="37">
        <v>5037</v>
      </c>
      <c r="D13" s="38">
        <v>40</v>
      </c>
      <c r="E13" s="39">
        <f t="shared" si="0"/>
        <v>1.5839174362989726E-2</v>
      </c>
      <c r="F13" s="39">
        <f t="shared" si="2"/>
        <v>0.72253301007204207</v>
      </c>
      <c r="G13" s="38">
        <v>10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38" t="s">
        <v>409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38" t="s">
        <v>406</v>
      </c>
      <c r="AJ13" s="24"/>
      <c r="AK13" s="24"/>
      <c r="AL13" s="24"/>
      <c r="AM13" s="24"/>
      <c r="AN13" s="71"/>
      <c r="AO13" s="57"/>
      <c r="AP13" s="57"/>
      <c r="AQ13" s="31">
        <f t="shared" si="1"/>
        <v>2</v>
      </c>
    </row>
    <row r="14" spans="1:43" ht="15.75" customHeight="1" x14ac:dyDescent="0.2">
      <c r="A14" s="64"/>
      <c r="B14" s="36" t="s">
        <v>25</v>
      </c>
      <c r="C14" s="37">
        <v>4950</v>
      </c>
      <c r="D14" s="38">
        <v>53</v>
      </c>
      <c r="E14" s="39">
        <f t="shared" si="0"/>
        <v>1.5565597200079244E-2</v>
      </c>
      <c r="F14" s="39">
        <f t="shared" si="2"/>
        <v>0.73809860727212129</v>
      </c>
      <c r="G14" s="38">
        <v>11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38" t="s">
        <v>409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8" t="s">
        <v>406</v>
      </c>
      <c r="AG14" s="24"/>
      <c r="AH14" s="24"/>
      <c r="AI14" s="24"/>
      <c r="AJ14" s="24"/>
      <c r="AK14" s="24"/>
      <c r="AL14" s="24"/>
      <c r="AM14" s="24"/>
      <c r="AN14" s="71"/>
      <c r="AO14" s="57"/>
      <c r="AP14" s="57"/>
      <c r="AQ14" s="31">
        <f t="shared" si="1"/>
        <v>2</v>
      </c>
    </row>
    <row r="15" spans="1:43" ht="15.75" customHeight="1" x14ac:dyDescent="0.2">
      <c r="A15" s="64"/>
      <c r="B15" s="36" t="s">
        <v>104</v>
      </c>
      <c r="C15" s="37">
        <v>4894</v>
      </c>
      <c r="D15" s="38">
        <v>42</v>
      </c>
      <c r="E15" s="39">
        <f t="shared" si="0"/>
        <v>1.5389501554987438E-2</v>
      </c>
      <c r="F15" s="39">
        <f t="shared" si="2"/>
        <v>0.7534881088271087</v>
      </c>
      <c r="G15" s="38">
        <v>12</v>
      </c>
      <c r="H15" s="24"/>
      <c r="I15" s="24"/>
      <c r="J15" s="24"/>
      <c r="K15" s="24"/>
      <c r="L15" s="24"/>
      <c r="M15" s="24"/>
      <c r="N15" s="38" t="s">
        <v>403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38" t="s">
        <v>409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71"/>
      <c r="AO15" s="57"/>
      <c r="AP15" s="57"/>
      <c r="AQ15" s="31">
        <f t="shared" si="1"/>
        <v>2</v>
      </c>
    </row>
    <row r="16" spans="1:43" ht="15.75" customHeight="1" x14ac:dyDescent="0.2">
      <c r="A16" s="64"/>
      <c r="B16" s="36" t="s">
        <v>42</v>
      </c>
      <c r="C16" s="37">
        <v>4233</v>
      </c>
      <c r="D16" s="38">
        <v>15</v>
      </c>
      <c r="E16" s="39">
        <f t="shared" si="0"/>
        <v>1.3310944029885946E-2</v>
      </c>
      <c r="F16" s="39">
        <f t="shared" si="2"/>
        <v>0.76679905285699468</v>
      </c>
      <c r="G16" s="38">
        <v>13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38" t="s">
        <v>409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71"/>
      <c r="AO16" s="57"/>
      <c r="AP16" s="57"/>
      <c r="AQ16" s="31">
        <f t="shared" si="1"/>
        <v>1</v>
      </c>
    </row>
    <row r="17" spans="1:43" ht="15.75" customHeight="1" x14ac:dyDescent="0.2">
      <c r="A17" s="65"/>
      <c r="B17" s="36" t="s">
        <v>90</v>
      </c>
      <c r="C17" s="37">
        <v>3966</v>
      </c>
      <c r="D17" s="38">
        <v>68</v>
      </c>
      <c r="E17" s="39">
        <f t="shared" si="0"/>
        <v>1.2471345150608945E-2</v>
      </c>
      <c r="F17" s="39">
        <f t="shared" si="2"/>
        <v>0.77927039800760367</v>
      </c>
      <c r="G17" s="38">
        <v>14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38" t="s">
        <v>409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71"/>
      <c r="AO17" s="57"/>
      <c r="AP17" s="57"/>
      <c r="AQ17" s="31">
        <f t="shared" si="1"/>
        <v>1</v>
      </c>
    </row>
    <row r="18" spans="1:43" ht="15.75" customHeight="1" x14ac:dyDescent="0.2">
      <c r="A18" s="63" t="s">
        <v>386</v>
      </c>
      <c r="B18" s="36" t="s">
        <v>98</v>
      </c>
      <c r="C18" s="37">
        <v>3671</v>
      </c>
      <c r="D18" s="38">
        <v>70</v>
      </c>
      <c r="E18" s="39">
        <f t="shared" si="0"/>
        <v>1.1543698448786041E-2</v>
      </c>
      <c r="F18" s="39">
        <f t="shared" si="2"/>
        <v>0.79081409645638967</v>
      </c>
      <c r="G18" s="38">
        <v>1</v>
      </c>
      <c r="H18" s="24"/>
      <c r="I18" s="38" t="s">
        <v>415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71"/>
      <c r="AO18" s="57"/>
      <c r="AP18" s="57"/>
      <c r="AQ18" s="31">
        <f t="shared" si="1"/>
        <v>1</v>
      </c>
    </row>
    <row r="19" spans="1:43" ht="15.75" customHeight="1" x14ac:dyDescent="0.2">
      <c r="A19" s="64"/>
      <c r="B19" s="36" t="s">
        <v>109</v>
      </c>
      <c r="C19" s="37">
        <v>3613</v>
      </c>
      <c r="D19" s="38">
        <v>81</v>
      </c>
      <c r="E19" s="39">
        <f t="shared" si="0"/>
        <v>1.1361313673512384E-2</v>
      </c>
      <c r="F19" s="39">
        <f t="shared" si="2"/>
        <v>0.80217541012990201</v>
      </c>
      <c r="G19" s="38">
        <v>2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8" t="s">
        <v>416</v>
      </c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71"/>
      <c r="AO19" s="57"/>
      <c r="AP19" s="57"/>
      <c r="AQ19" s="31">
        <f t="shared" si="1"/>
        <v>1</v>
      </c>
    </row>
    <row r="20" spans="1:43" ht="15.75" customHeight="1" x14ac:dyDescent="0.2">
      <c r="A20" s="64"/>
      <c r="B20" s="36" t="s">
        <v>88</v>
      </c>
      <c r="C20" s="37">
        <v>3062</v>
      </c>
      <c r="D20" s="38">
        <v>25</v>
      </c>
      <c r="E20" s="39">
        <f t="shared" si="0"/>
        <v>9.6286583084126548E-3</v>
      </c>
      <c r="F20" s="39">
        <f t="shared" si="2"/>
        <v>0.81180406843831465</v>
      </c>
      <c r="G20" s="38">
        <v>3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38" t="s">
        <v>416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71"/>
      <c r="AO20" s="57"/>
      <c r="AP20" s="57"/>
      <c r="AQ20" s="31">
        <f t="shared" si="1"/>
        <v>1</v>
      </c>
    </row>
    <row r="21" spans="1:43" ht="15.75" customHeight="1" x14ac:dyDescent="0.2">
      <c r="A21" s="64"/>
      <c r="B21" s="36" t="s">
        <v>46</v>
      </c>
      <c r="C21" s="37">
        <v>2966</v>
      </c>
      <c r="D21" s="38">
        <v>29</v>
      </c>
      <c r="E21" s="39">
        <f t="shared" si="0"/>
        <v>9.3267800596838462E-3</v>
      </c>
      <c r="F21" s="39">
        <f t="shared" si="2"/>
        <v>0.82113084849799844</v>
      </c>
      <c r="G21" s="38">
        <v>4</v>
      </c>
      <c r="H21" s="24"/>
      <c r="I21" s="24"/>
      <c r="J21" s="24"/>
      <c r="K21" s="24"/>
      <c r="L21" s="24"/>
      <c r="M21" s="24"/>
      <c r="N21" s="38" t="s">
        <v>409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71"/>
      <c r="AO21" s="57"/>
      <c r="AP21" s="57"/>
      <c r="AQ21" s="31">
        <f t="shared" si="1"/>
        <v>1</v>
      </c>
    </row>
    <row r="22" spans="1:43" ht="15.75" customHeight="1" x14ac:dyDescent="0.2">
      <c r="A22" s="64"/>
      <c r="B22" s="36" t="s">
        <v>72</v>
      </c>
      <c r="C22" s="37">
        <v>2801</v>
      </c>
      <c r="D22" s="38">
        <v>39</v>
      </c>
      <c r="E22" s="39">
        <f t="shared" si="0"/>
        <v>8.8079268196812038E-3</v>
      </c>
      <c r="F22" s="39">
        <f t="shared" si="2"/>
        <v>0.82993877531767968</v>
      </c>
      <c r="G22" s="38">
        <v>5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38" t="s">
        <v>417</v>
      </c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71"/>
      <c r="AO22" s="57"/>
      <c r="AP22" s="57"/>
      <c r="AQ22" s="31">
        <f t="shared" si="1"/>
        <v>1</v>
      </c>
    </row>
    <row r="23" spans="1:43" ht="15.75" customHeight="1" x14ac:dyDescent="0.2">
      <c r="A23" s="64"/>
      <c r="B23" s="36" t="s">
        <v>61</v>
      </c>
      <c r="C23" s="37">
        <v>2776</v>
      </c>
      <c r="D23" s="38">
        <v>88</v>
      </c>
      <c r="E23" s="39">
        <f t="shared" si="0"/>
        <v>8.7293126924080765E-3</v>
      </c>
      <c r="F23" s="39">
        <f t="shared" si="2"/>
        <v>0.83866808801008774</v>
      </c>
      <c r="G23" s="38">
        <v>6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71"/>
      <c r="AO23" s="57"/>
      <c r="AP23" s="57"/>
      <c r="AQ23" s="31">
        <f t="shared" si="1"/>
        <v>0</v>
      </c>
    </row>
    <row r="24" spans="1:43" ht="15.75" customHeight="1" x14ac:dyDescent="0.2">
      <c r="A24" s="64"/>
      <c r="B24" s="36" t="s">
        <v>73</v>
      </c>
      <c r="C24" s="37">
        <v>2598</v>
      </c>
      <c r="D24" s="38">
        <v>44</v>
      </c>
      <c r="E24" s="39">
        <f t="shared" si="0"/>
        <v>8.1695801062234095E-3</v>
      </c>
      <c r="F24" s="39">
        <f t="shared" si="2"/>
        <v>0.84683766811631112</v>
      </c>
      <c r="G24" s="38">
        <v>7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38" t="s">
        <v>409</v>
      </c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71"/>
      <c r="AO24" s="57"/>
      <c r="AP24" s="57"/>
      <c r="AQ24" s="31">
        <f t="shared" si="1"/>
        <v>1</v>
      </c>
    </row>
    <row r="25" spans="1:43" ht="15.75" customHeight="1" x14ac:dyDescent="0.2">
      <c r="A25" s="64"/>
      <c r="B25" s="36" t="s">
        <v>95</v>
      </c>
      <c r="C25" s="37">
        <v>2444</v>
      </c>
      <c r="D25" s="38">
        <v>62</v>
      </c>
      <c r="E25" s="39">
        <f t="shared" si="0"/>
        <v>7.6853170822209433E-3</v>
      </c>
      <c r="F25" s="39">
        <f t="shared" si="2"/>
        <v>0.85452298519853209</v>
      </c>
      <c r="G25" s="38">
        <v>8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71"/>
      <c r="AO25" s="57"/>
      <c r="AP25" s="57"/>
      <c r="AQ25" s="31">
        <f t="shared" si="1"/>
        <v>0</v>
      </c>
    </row>
    <row r="26" spans="1:43" ht="15.75" customHeight="1" x14ac:dyDescent="0.2">
      <c r="A26" s="64"/>
      <c r="B26" s="36" t="s">
        <v>35</v>
      </c>
      <c r="C26" s="37">
        <v>2331</v>
      </c>
      <c r="D26" s="38">
        <v>58</v>
      </c>
      <c r="E26" s="39">
        <f t="shared" si="0"/>
        <v>7.3299812269464071E-3</v>
      </c>
      <c r="F26" s="39">
        <f t="shared" si="2"/>
        <v>0.86185296642547848</v>
      </c>
      <c r="G26" s="38">
        <v>9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38" t="s">
        <v>418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71"/>
      <c r="AO26" s="57"/>
      <c r="AP26" s="57"/>
      <c r="AQ26" s="31">
        <f t="shared" si="1"/>
        <v>1</v>
      </c>
    </row>
    <row r="27" spans="1:43" ht="15.75" customHeight="1" x14ac:dyDescent="0.2">
      <c r="A27" s="64"/>
      <c r="B27" s="36" t="s">
        <v>41</v>
      </c>
      <c r="C27" s="37">
        <v>2277</v>
      </c>
      <c r="D27" s="38">
        <v>45</v>
      </c>
      <c r="E27" s="39">
        <f t="shared" si="0"/>
        <v>7.1601747120364516E-3</v>
      </c>
      <c r="F27" s="39">
        <f t="shared" si="2"/>
        <v>0.86901314113751493</v>
      </c>
      <c r="G27" s="38">
        <v>10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71"/>
      <c r="AO27" s="57"/>
      <c r="AP27" s="57"/>
      <c r="AQ27" s="31">
        <f t="shared" si="1"/>
        <v>0</v>
      </c>
    </row>
    <row r="28" spans="1:43" ht="15.75" customHeight="1" x14ac:dyDescent="0.2">
      <c r="A28" s="64"/>
      <c r="B28" s="36" t="s">
        <v>64</v>
      </c>
      <c r="C28" s="40">
        <v>2003</v>
      </c>
      <c r="D28" s="38">
        <v>5</v>
      </c>
      <c r="E28" s="39">
        <f t="shared" si="0"/>
        <v>6.2985638771229742E-3</v>
      </c>
      <c r="F28" s="39">
        <f t="shared" si="2"/>
        <v>0.87531170501463795</v>
      </c>
      <c r="G28" s="38">
        <v>11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38" t="s">
        <v>417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71"/>
      <c r="AO28" s="57"/>
      <c r="AP28" s="57"/>
      <c r="AQ28" s="31">
        <f t="shared" si="1"/>
        <v>1</v>
      </c>
    </row>
    <row r="29" spans="1:43" ht="15.75" customHeight="1" x14ac:dyDescent="0.2">
      <c r="A29" s="64"/>
      <c r="B29" s="36" t="s">
        <v>38</v>
      </c>
      <c r="C29" s="40">
        <v>1934</v>
      </c>
      <c r="D29" s="38">
        <v>7</v>
      </c>
      <c r="E29" s="39">
        <f t="shared" si="0"/>
        <v>6.0815888858491429E-3</v>
      </c>
      <c r="F29" s="39">
        <f t="shared" si="2"/>
        <v>0.88139329390048715</v>
      </c>
      <c r="G29" s="38">
        <v>12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38" t="s">
        <v>419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71"/>
      <c r="AO29" s="57"/>
      <c r="AP29" s="57"/>
      <c r="AQ29" s="31">
        <f t="shared" si="1"/>
        <v>1</v>
      </c>
    </row>
    <row r="30" spans="1:43" ht="15.75" customHeight="1" x14ac:dyDescent="0.2">
      <c r="A30" s="64"/>
      <c r="B30" s="36" t="s">
        <v>12</v>
      </c>
      <c r="C30" s="37">
        <v>1762</v>
      </c>
      <c r="D30" s="38">
        <v>30</v>
      </c>
      <c r="E30" s="39">
        <f t="shared" si="0"/>
        <v>5.5407236902100254E-3</v>
      </c>
      <c r="F30" s="39">
        <f t="shared" si="2"/>
        <v>0.88693401759069723</v>
      </c>
      <c r="G30" s="38">
        <v>13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38" t="s">
        <v>417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71"/>
      <c r="AO30" s="57"/>
      <c r="AP30" s="57"/>
      <c r="AQ30" s="31">
        <f t="shared" si="1"/>
        <v>1</v>
      </c>
    </row>
    <row r="31" spans="1:43" ht="15.75" customHeight="1" x14ac:dyDescent="0.2">
      <c r="A31" s="64"/>
      <c r="B31" s="36" t="s">
        <v>43</v>
      </c>
      <c r="C31" s="37">
        <v>1749</v>
      </c>
      <c r="D31" s="38">
        <v>50</v>
      </c>
      <c r="E31" s="39">
        <f t="shared" si="0"/>
        <v>5.4998443440279991E-3</v>
      </c>
      <c r="F31" s="39">
        <f t="shared" si="2"/>
        <v>0.89243386193472518</v>
      </c>
      <c r="G31" s="38">
        <v>14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38" t="s">
        <v>419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71"/>
      <c r="AO31" s="57"/>
      <c r="AP31" s="57"/>
      <c r="AQ31" s="31">
        <f t="shared" si="1"/>
        <v>1</v>
      </c>
    </row>
    <row r="32" spans="1:43" ht="15.75" customHeight="1" x14ac:dyDescent="0.2">
      <c r="A32" s="64"/>
      <c r="B32" s="36" t="s">
        <v>69</v>
      </c>
      <c r="C32" s="37">
        <v>1733</v>
      </c>
      <c r="D32" s="38">
        <v>11</v>
      </c>
      <c r="E32" s="39">
        <f t="shared" si="0"/>
        <v>5.4495313025731979E-3</v>
      </c>
      <c r="F32" s="39">
        <f t="shared" si="2"/>
        <v>0.89788339323729838</v>
      </c>
      <c r="G32" s="38">
        <v>15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38" t="s">
        <v>420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71"/>
      <c r="AO32" s="57"/>
      <c r="AP32" s="57"/>
      <c r="AQ32" s="31">
        <f t="shared" si="1"/>
        <v>1</v>
      </c>
    </row>
    <row r="33" spans="1:43" ht="15.75" customHeight="1" x14ac:dyDescent="0.2">
      <c r="A33" s="65"/>
      <c r="B33" s="36" t="s">
        <v>47</v>
      </c>
      <c r="C33" s="40">
        <v>1628</v>
      </c>
      <c r="D33" s="38">
        <v>10</v>
      </c>
      <c r="E33" s="39">
        <f t="shared" si="0"/>
        <v>5.1193519680260624E-3</v>
      </c>
      <c r="F33" s="39">
        <f t="shared" si="2"/>
        <v>0.90300274520532442</v>
      </c>
      <c r="G33" s="38">
        <v>16</v>
      </c>
      <c r="H33" s="24"/>
      <c r="I33" s="38" t="s">
        <v>415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71"/>
      <c r="AO33" s="57"/>
      <c r="AP33" s="57"/>
      <c r="AQ33" s="31">
        <f t="shared" si="1"/>
        <v>1</v>
      </c>
    </row>
    <row r="34" spans="1:43" ht="15.75" customHeight="1" x14ac:dyDescent="0.2">
      <c r="A34" s="63" t="s">
        <v>421</v>
      </c>
      <c r="B34" s="36" t="s">
        <v>100</v>
      </c>
      <c r="C34" s="40">
        <v>1529</v>
      </c>
      <c r="D34" s="38">
        <v>6</v>
      </c>
      <c r="E34" s="39">
        <f t="shared" si="0"/>
        <v>4.8080400240244773E-3</v>
      </c>
      <c r="F34" s="39">
        <f t="shared" si="2"/>
        <v>0.90781078522934888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71"/>
      <c r="AO34" s="57"/>
      <c r="AP34" s="57"/>
      <c r="AQ34" s="31">
        <f t="shared" si="1"/>
        <v>0</v>
      </c>
    </row>
    <row r="35" spans="1:43" ht="15.75" customHeight="1" x14ac:dyDescent="0.2">
      <c r="A35" s="64"/>
      <c r="B35" s="36" t="s">
        <v>102</v>
      </c>
      <c r="C35" s="37">
        <v>1482</v>
      </c>
      <c r="D35" s="38">
        <v>33</v>
      </c>
      <c r="E35" s="39">
        <f t="shared" si="0"/>
        <v>4.6602454647509976E-3</v>
      </c>
      <c r="F35" s="39">
        <f t="shared" si="2"/>
        <v>0.91247103069409985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Z35" s="38" t="s">
        <v>416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71"/>
      <c r="AO35" s="57"/>
      <c r="AP35" s="57"/>
      <c r="AQ35" s="31">
        <f t="shared" si="1"/>
        <v>1</v>
      </c>
    </row>
    <row r="36" spans="1:43" ht="15.75" customHeight="1" x14ac:dyDescent="0.2">
      <c r="A36" s="64"/>
      <c r="B36" s="36" t="s">
        <v>77</v>
      </c>
      <c r="C36" s="37">
        <v>1450</v>
      </c>
      <c r="D36" s="38">
        <v>77</v>
      </c>
      <c r="E36" s="39">
        <f t="shared" si="0"/>
        <v>4.5596193818413944E-3</v>
      </c>
      <c r="F36" s="39">
        <f t="shared" si="2"/>
        <v>0.9170306500759412</v>
      </c>
      <c r="G36" s="24"/>
      <c r="H36" s="24"/>
      <c r="I36" s="24"/>
      <c r="J36" s="24"/>
      <c r="K36" s="24"/>
      <c r="L36" s="24"/>
      <c r="M36" s="24"/>
      <c r="N36" s="24"/>
      <c r="O36" s="38" t="s">
        <v>422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71"/>
      <c r="AO36" s="57"/>
      <c r="AP36" s="57"/>
      <c r="AQ36" s="31">
        <f t="shared" si="1"/>
        <v>1</v>
      </c>
    </row>
    <row r="37" spans="1:43" ht="15.75" customHeight="1" x14ac:dyDescent="0.2">
      <c r="A37" s="64"/>
      <c r="B37" s="36" t="s">
        <v>94</v>
      </c>
      <c r="C37" s="37">
        <v>1392</v>
      </c>
      <c r="D37" s="38">
        <v>47</v>
      </c>
      <c r="E37" s="39">
        <f t="shared" si="0"/>
        <v>4.3772346065677386E-3</v>
      </c>
      <c r="F37" s="39">
        <f t="shared" si="2"/>
        <v>0.92140788468250889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71"/>
      <c r="AO37" s="57"/>
      <c r="AP37" s="57"/>
      <c r="AQ37" s="31">
        <f t="shared" si="1"/>
        <v>0</v>
      </c>
    </row>
    <row r="38" spans="1:43" ht="15.75" customHeight="1" x14ac:dyDescent="0.2">
      <c r="A38" s="64"/>
      <c r="B38" s="36" t="s">
        <v>93</v>
      </c>
      <c r="C38" s="40">
        <v>1345</v>
      </c>
      <c r="D38" s="38">
        <v>13</v>
      </c>
      <c r="E38" s="39">
        <f t="shared" si="0"/>
        <v>4.2294400472942589E-3</v>
      </c>
      <c r="F38" s="39">
        <f t="shared" si="2"/>
        <v>0.9256373247298032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38" t="s">
        <v>416</v>
      </c>
      <c r="Z38" s="38" t="s">
        <v>416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71"/>
      <c r="AO38" s="57"/>
      <c r="AP38" s="57"/>
      <c r="AQ38" s="31">
        <f t="shared" si="1"/>
        <v>2</v>
      </c>
    </row>
    <row r="39" spans="1:43" ht="15.75" customHeight="1" x14ac:dyDescent="0.2">
      <c r="A39" s="64"/>
      <c r="B39" s="36" t="s">
        <v>44</v>
      </c>
      <c r="C39" s="37">
        <v>1193</v>
      </c>
      <c r="D39" s="38">
        <v>83</v>
      </c>
      <c r="E39" s="39">
        <f t="shared" si="0"/>
        <v>3.7514661534736437E-3</v>
      </c>
      <c r="F39" s="39">
        <f t="shared" si="2"/>
        <v>0.92938879088327686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38" t="s">
        <v>419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71"/>
      <c r="AO39" s="57"/>
      <c r="AP39" s="57"/>
      <c r="AQ39" s="31">
        <f t="shared" si="1"/>
        <v>1</v>
      </c>
    </row>
    <row r="40" spans="1:43" ht="15.75" customHeight="1" x14ac:dyDescent="0.2">
      <c r="A40" s="64"/>
      <c r="B40" s="36" t="s">
        <v>107</v>
      </c>
      <c r="C40" s="40">
        <v>1151</v>
      </c>
      <c r="D40" s="38">
        <v>8</v>
      </c>
      <c r="E40" s="39">
        <f t="shared" si="0"/>
        <v>3.6193944196547898E-3</v>
      </c>
      <c r="F40" s="39">
        <f t="shared" si="2"/>
        <v>0.93300818530293161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38" t="s">
        <v>416</v>
      </c>
      <c r="Z40" s="38" t="s">
        <v>416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71"/>
      <c r="AO40" s="57"/>
      <c r="AP40" s="57"/>
      <c r="AQ40" s="31">
        <f t="shared" si="1"/>
        <v>2</v>
      </c>
    </row>
    <row r="41" spans="1:43" ht="15.75" customHeight="1" x14ac:dyDescent="0.2">
      <c r="A41" s="64"/>
      <c r="B41" s="36" t="s">
        <v>65</v>
      </c>
      <c r="C41" s="37">
        <v>1062</v>
      </c>
      <c r="D41" s="38">
        <v>38</v>
      </c>
      <c r="E41" s="39">
        <f t="shared" si="0"/>
        <v>3.3395281265624559E-3</v>
      </c>
      <c r="F41" s="39">
        <f t="shared" si="2"/>
        <v>0.93634771342949408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71"/>
      <c r="AO41" s="57"/>
      <c r="AP41" s="57"/>
      <c r="AQ41" s="31">
        <f t="shared" si="1"/>
        <v>0</v>
      </c>
    </row>
    <row r="42" spans="1:43" ht="12.75" x14ac:dyDescent="0.2">
      <c r="A42" s="64"/>
      <c r="B42" s="36" t="s">
        <v>110</v>
      </c>
      <c r="C42" s="40">
        <v>1036</v>
      </c>
      <c r="D42" s="38">
        <v>9</v>
      </c>
      <c r="E42" s="39">
        <f t="shared" si="0"/>
        <v>3.2577694341984031E-3</v>
      </c>
      <c r="F42" s="39">
        <f t="shared" si="2"/>
        <v>0.9396054828636925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38" t="s">
        <v>423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71"/>
      <c r="AO42" s="57"/>
      <c r="AP42" s="57"/>
      <c r="AQ42" s="31">
        <f t="shared" si="1"/>
        <v>1</v>
      </c>
    </row>
    <row r="43" spans="1:43" ht="12.75" x14ac:dyDescent="0.2">
      <c r="A43" s="64"/>
      <c r="B43" s="36" t="s">
        <v>55</v>
      </c>
      <c r="C43" s="40">
        <v>963</v>
      </c>
      <c r="D43" s="38">
        <v>46</v>
      </c>
      <c r="E43" s="39">
        <f t="shared" si="0"/>
        <v>3.0282161825608707E-3</v>
      </c>
      <c r="F43" s="39">
        <f t="shared" si="2"/>
        <v>0.94263369904625338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71"/>
      <c r="AO43" s="57"/>
      <c r="AP43" s="57"/>
      <c r="AQ43" s="31">
        <f t="shared" si="1"/>
        <v>0</v>
      </c>
    </row>
    <row r="44" spans="1:43" ht="12.75" x14ac:dyDescent="0.2">
      <c r="A44" s="64"/>
      <c r="B44" s="36" t="s">
        <v>89</v>
      </c>
      <c r="C44" s="40">
        <v>875</v>
      </c>
      <c r="D44" s="38">
        <v>57</v>
      </c>
      <c r="E44" s="39">
        <f t="shared" si="0"/>
        <v>2.7514944545594623E-3</v>
      </c>
      <c r="F44" s="39">
        <f t="shared" si="2"/>
        <v>0.94538519350081285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38" t="s">
        <v>417</v>
      </c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71"/>
      <c r="AO44" s="57"/>
      <c r="AP44" s="57"/>
      <c r="AQ44" s="31">
        <f t="shared" si="1"/>
        <v>1</v>
      </c>
    </row>
    <row r="45" spans="1:43" ht="12.75" x14ac:dyDescent="0.2">
      <c r="A45" s="64"/>
      <c r="B45" s="36" t="s">
        <v>87</v>
      </c>
      <c r="C45" s="40">
        <v>812</v>
      </c>
      <c r="D45" s="38">
        <v>66</v>
      </c>
      <c r="E45" s="39">
        <f t="shared" si="0"/>
        <v>2.553386853831181E-3</v>
      </c>
      <c r="F45" s="39">
        <f t="shared" si="2"/>
        <v>0.94793858035464407</v>
      </c>
      <c r="G45" s="24"/>
      <c r="H45" s="24"/>
      <c r="I45" s="24"/>
      <c r="J45" s="24"/>
      <c r="K45" s="24"/>
      <c r="L45" s="24"/>
      <c r="M45" s="24"/>
      <c r="N45" s="38" t="s">
        <v>424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71"/>
      <c r="AO45" s="57"/>
      <c r="AP45" s="57"/>
      <c r="AQ45" s="31">
        <f t="shared" si="1"/>
        <v>1</v>
      </c>
    </row>
    <row r="46" spans="1:43" ht="12.75" x14ac:dyDescent="0.2">
      <c r="A46" s="64"/>
      <c r="B46" s="36" t="s">
        <v>76</v>
      </c>
      <c r="C46" s="40">
        <v>796</v>
      </c>
      <c r="D46" s="38">
        <v>52</v>
      </c>
      <c r="E46" s="39">
        <f t="shared" si="0"/>
        <v>2.5030738123763795E-3</v>
      </c>
      <c r="F46" s="39">
        <f t="shared" si="2"/>
        <v>0.95044165416702042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71"/>
      <c r="AO46" s="57"/>
      <c r="AP46" s="57"/>
      <c r="AQ46" s="31">
        <f t="shared" si="1"/>
        <v>0</v>
      </c>
    </row>
    <row r="47" spans="1:43" ht="12.75" x14ac:dyDescent="0.2">
      <c r="A47" s="64"/>
      <c r="B47" s="36" t="s">
        <v>53</v>
      </c>
      <c r="C47" s="40">
        <v>789</v>
      </c>
      <c r="D47" s="38">
        <v>85</v>
      </c>
      <c r="E47" s="39">
        <f t="shared" si="0"/>
        <v>2.4810618567399035E-3</v>
      </c>
      <c r="F47" s="39">
        <f t="shared" si="2"/>
        <v>0.95292271602376033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71"/>
      <c r="AO47" s="57"/>
      <c r="AP47" s="57"/>
      <c r="AQ47" s="31">
        <f t="shared" si="1"/>
        <v>0</v>
      </c>
    </row>
    <row r="48" spans="1:43" ht="12.75" x14ac:dyDescent="0.2">
      <c r="A48" s="64"/>
      <c r="B48" s="36" t="s">
        <v>36</v>
      </c>
      <c r="C48" s="40">
        <v>784</v>
      </c>
      <c r="D48" s="38">
        <v>72</v>
      </c>
      <c r="E48" s="39">
        <f t="shared" si="0"/>
        <v>2.4653390312852782E-3</v>
      </c>
      <c r="F48" s="39">
        <f t="shared" si="2"/>
        <v>0.95538805505504565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71"/>
      <c r="AO48" s="57"/>
      <c r="AP48" s="57"/>
      <c r="AQ48" s="31">
        <f t="shared" si="1"/>
        <v>0</v>
      </c>
    </row>
    <row r="49" spans="1:43" ht="12.75" x14ac:dyDescent="0.2">
      <c r="A49" s="64"/>
      <c r="B49" s="36" t="s">
        <v>51</v>
      </c>
      <c r="C49" s="40">
        <v>764</v>
      </c>
      <c r="D49" s="38">
        <v>18</v>
      </c>
      <c r="E49" s="39">
        <f t="shared" si="0"/>
        <v>2.4024477294667763E-3</v>
      </c>
      <c r="F49" s="39">
        <f t="shared" si="2"/>
        <v>0.95779050278451239</v>
      </c>
      <c r="G49" s="24"/>
      <c r="H49" s="24"/>
      <c r="I49" s="38" t="s">
        <v>419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71"/>
      <c r="AO49" s="57"/>
      <c r="AP49" s="57"/>
      <c r="AQ49" s="31">
        <f t="shared" si="1"/>
        <v>1</v>
      </c>
    </row>
    <row r="50" spans="1:43" ht="12.75" x14ac:dyDescent="0.2">
      <c r="A50" s="64"/>
      <c r="B50" s="36" t="s">
        <v>56</v>
      </c>
      <c r="C50" s="40">
        <v>675</v>
      </c>
      <c r="D50" s="38">
        <v>27</v>
      </c>
      <c r="E50" s="39">
        <f t="shared" si="0"/>
        <v>2.1225814363744423E-3</v>
      </c>
      <c r="F50" s="39">
        <f t="shared" si="2"/>
        <v>0.95991308422088684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71"/>
      <c r="AO50" s="57"/>
      <c r="AP50" s="57"/>
      <c r="AQ50" s="31">
        <f t="shared" si="1"/>
        <v>0</v>
      </c>
    </row>
    <row r="51" spans="1:43" ht="12.75" x14ac:dyDescent="0.2">
      <c r="A51" s="64"/>
      <c r="B51" s="36" t="s">
        <v>92</v>
      </c>
      <c r="C51" s="40">
        <v>658</v>
      </c>
      <c r="D51" s="38">
        <v>87</v>
      </c>
      <c r="E51" s="39">
        <f t="shared" si="0"/>
        <v>2.0691238298287157E-3</v>
      </c>
      <c r="F51" s="39">
        <f t="shared" si="2"/>
        <v>0.96198220805071555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71"/>
      <c r="AO51" s="57"/>
      <c r="AP51" s="57"/>
      <c r="AQ51" s="31">
        <f t="shared" si="1"/>
        <v>0</v>
      </c>
    </row>
    <row r="52" spans="1:43" ht="12.75" x14ac:dyDescent="0.2">
      <c r="A52" s="64"/>
      <c r="B52" s="36" t="s">
        <v>68</v>
      </c>
      <c r="C52" s="40">
        <v>617</v>
      </c>
      <c r="D52" s="38">
        <v>24</v>
      </c>
      <c r="E52" s="39">
        <f t="shared" si="0"/>
        <v>1.9401966611007865E-3</v>
      </c>
      <c r="F52" s="39">
        <f t="shared" si="2"/>
        <v>0.96392240471181634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71"/>
      <c r="AO52" s="57"/>
      <c r="AP52" s="57"/>
      <c r="AQ52" s="31">
        <f t="shared" si="1"/>
        <v>0</v>
      </c>
    </row>
    <row r="53" spans="1:43" ht="12.75" x14ac:dyDescent="0.2">
      <c r="A53" s="64"/>
      <c r="B53" s="36" t="s">
        <v>114</v>
      </c>
      <c r="C53" s="40">
        <v>596</v>
      </c>
      <c r="D53" s="38">
        <v>67</v>
      </c>
      <c r="E53" s="39">
        <f t="shared" si="0"/>
        <v>1.8741607941913593E-3</v>
      </c>
      <c r="F53" s="39">
        <f t="shared" si="2"/>
        <v>0.96579656550600768</v>
      </c>
      <c r="G53" s="24"/>
      <c r="H53" s="24"/>
      <c r="I53" s="24"/>
      <c r="J53" s="38" t="s">
        <v>424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71"/>
      <c r="AO53" s="57"/>
      <c r="AP53" s="57"/>
      <c r="AQ53" s="31">
        <f t="shared" si="1"/>
        <v>1</v>
      </c>
    </row>
    <row r="54" spans="1:43" ht="12.75" x14ac:dyDescent="0.2">
      <c r="A54" s="64"/>
      <c r="B54" s="36" t="s">
        <v>108</v>
      </c>
      <c r="C54" s="40">
        <v>573</v>
      </c>
      <c r="D54" s="38">
        <v>56</v>
      </c>
      <c r="E54" s="39">
        <f t="shared" si="0"/>
        <v>1.801835797100082E-3</v>
      </c>
      <c r="F54" s="39">
        <f t="shared" si="2"/>
        <v>0.96759840130310781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71"/>
      <c r="AO54" s="57"/>
      <c r="AP54" s="57"/>
      <c r="AQ54" s="31">
        <f t="shared" si="1"/>
        <v>0</v>
      </c>
    </row>
    <row r="55" spans="1:43" ht="12.75" x14ac:dyDescent="0.2">
      <c r="A55" s="64"/>
      <c r="B55" s="36" t="s">
        <v>63</v>
      </c>
      <c r="C55" s="40">
        <v>560</v>
      </c>
      <c r="D55" s="38">
        <v>65</v>
      </c>
      <c r="E55" s="39">
        <f t="shared" si="0"/>
        <v>1.7609564509180559E-3</v>
      </c>
      <c r="F55" s="39">
        <f t="shared" si="2"/>
        <v>0.96935935775402582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71"/>
      <c r="AO55" s="57"/>
      <c r="AP55" s="57"/>
      <c r="AQ55" s="31">
        <f t="shared" si="1"/>
        <v>0</v>
      </c>
    </row>
    <row r="56" spans="1:43" ht="12.75" x14ac:dyDescent="0.2">
      <c r="A56" s="64"/>
      <c r="B56" s="36" t="s">
        <v>59</v>
      </c>
      <c r="C56" s="40">
        <v>546</v>
      </c>
      <c r="D56" s="38">
        <v>59</v>
      </c>
      <c r="E56" s="39">
        <f t="shared" si="0"/>
        <v>1.7169325396451044E-3</v>
      </c>
      <c r="F56" s="39">
        <f t="shared" si="2"/>
        <v>0.97107629029367093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71"/>
      <c r="AO56" s="57"/>
      <c r="AP56" s="57"/>
      <c r="AQ56" s="31">
        <f t="shared" si="1"/>
        <v>0</v>
      </c>
    </row>
    <row r="57" spans="1:43" ht="12.75" x14ac:dyDescent="0.2">
      <c r="A57" s="64"/>
      <c r="B57" s="36" t="s">
        <v>54</v>
      </c>
      <c r="C57" s="40">
        <v>539</v>
      </c>
      <c r="D57" s="38">
        <v>4</v>
      </c>
      <c r="E57" s="39">
        <f t="shared" si="0"/>
        <v>1.6949205840086287E-3</v>
      </c>
      <c r="F57" s="39">
        <f t="shared" si="2"/>
        <v>0.97277121087767959</v>
      </c>
      <c r="G57" s="24"/>
      <c r="H57" s="24"/>
      <c r="I57" s="24"/>
      <c r="J57" s="24"/>
      <c r="K57" s="24"/>
      <c r="L57" s="24"/>
      <c r="M57" s="24"/>
      <c r="N57" s="38" t="s">
        <v>425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71"/>
      <c r="AO57" s="57"/>
      <c r="AP57" s="57"/>
      <c r="AQ57" s="31">
        <f t="shared" si="1"/>
        <v>1</v>
      </c>
    </row>
    <row r="58" spans="1:43" ht="12.75" x14ac:dyDescent="0.2">
      <c r="A58" s="64"/>
      <c r="B58" s="36" t="s">
        <v>83</v>
      </c>
      <c r="C58" s="40">
        <v>530</v>
      </c>
      <c r="D58" s="38">
        <v>31</v>
      </c>
      <c r="E58" s="39">
        <f t="shared" si="0"/>
        <v>1.6666194981903029E-3</v>
      </c>
      <c r="F58" s="39">
        <f t="shared" si="2"/>
        <v>0.97443783037586995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71"/>
      <c r="AO58" s="57"/>
      <c r="AP58" s="57"/>
      <c r="AQ58" s="31">
        <f t="shared" si="1"/>
        <v>0</v>
      </c>
    </row>
    <row r="59" spans="1:43" ht="12.75" x14ac:dyDescent="0.2">
      <c r="A59" s="64"/>
      <c r="B59" s="36" t="s">
        <v>62</v>
      </c>
      <c r="C59" s="40">
        <v>527</v>
      </c>
      <c r="D59" s="38">
        <v>36</v>
      </c>
      <c r="E59" s="39">
        <f t="shared" si="0"/>
        <v>1.6571858029175274E-3</v>
      </c>
      <c r="F59" s="39">
        <f t="shared" si="2"/>
        <v>0.97609501617878747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71"/>
      <c r="AO59" s="57"/>
      <c r="AP59" s="57"/>
      <c r="AQ59" s="31">
        <f t="shared" si="1"/>
        <v>0</v>
      </c>
    </row>
    <row r="60" spans="1:43" ht="12.75" x14ac:dyDescent="0.2">
      <c r="A60" s="64"/>
      <c r="B60" s="36" t="s">
        <v>74</v>
      </c>
      <c r="C60" s="40">
        <v>499</v>
      </c>
      <c r="D60" s="38">
        <v>14</v>
      </c>
      <c r="E60" s="39">
        <f t="shared" si="0"/>
        <v>1.5691379803716248E-3</v>
      </c>
      <c r="F60" s="39">
        <f t="shared" si="2"/>
        <v>0.97766415415915908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71"/>
      <c r="AO60" s="57"/>
      <c r="AP60" s="57"/>
      <c r="AQ60" s="31">
        <f t="shared" si="1"/>
        <v>0</v>
      </c>
    </row>
    <row r="61" spans="1:43" ht="12.75" x14ac:dyDescent="0.2">
      <c r="A61" s="64"/>
      <c r="B61" s="36" t="s">
        <v>71</v>
      </c>
      <c r="C61" s="40">
        <v>492</v>
      </c>
      <c r="D61" s="38">
        <v>1</v>
      </c>
      <c r="E61" s="39">
        <f t="shared" si="0"/>
        <v>1.5471260247351491E-3</v>
      </c>
      <c r="F61" s="39">
        <f t="shared" si="2"/>
        <v>0.97921128018389425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71"/>
      <c r="AO61" s="57"/>
      <c r="AP61" s="57"/>
      <c r="AQ61" s="31">
        <f t="shared" si="1"/>
        <v>0</v>
      </c>
    </row>
    <row r="62" spans="1:43" ht="12.75" x14ac:dyDescent="0.2">
      <c r="A62" s="64"/>
      <c r="B62" s="36" t="s">
        <v>85</v>
      </c>
      <c r="C62" s="40">
        <v>459</v>
      </c>
      <c r="D62" s="38">
        <v>76</v>
      </c>
      <c r="E62" s="39">
        <f t="shared" si="0"/>
        <v>1.4433553767346206E-3</v>
      </c>
      <c r="F62" s="39">
        <f t="shared" si="2"/>
        <v>0.98065463556062882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71"/>
      <c r="AO62" s="57"/>
      <c r="AP62" s="57"/>
      <c r="AQ62" s="31">
        <f t="shared" si="1"/>
        <v>0</v>
      </c>
    </row>
    <row r="63" spans="1:43" ht="12.75" x14ac:dyDescent="0.2">
      <c r="A63" s="64"/>
      <c r="B63" s="36" t="s">
        <v>58</v>
      </c>
      <c r="C63" s="40">
        <v>456</v>
      </c>
      <c r="D63" s="38">
        <v>55</v>
      </c>
      <c r="E63" s="39">
        <f t="shared" si="0"/>
        <v>1.4339216814618454E-3</v>
      </c>
      <c r="F63" s="39">
        <f t="shared" si="2"/>
        <v>0.98208855724209065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71"/>
      <c r="AO63" s="57"/>
      <c r="AP63" s="57"/>
      <c r="AQ63" s="31">
        <f t="shared" si="1"/>
        <v>0</v>
      </c>
    </row>
    <row r="64" spans="1:43" ht="12.75" x14ac:dyDescent="0.2">
      <c r="A64" s="64"/>
      <c r="B64" s="36" t="s">
        <v>37</v>
      </c>
      <c r="C64" s="40">
        <v>436</v>
      </c>
      <c r="D64" s="38">
        <v>79</v>
      </c>
      <c r="E64" s="39">
        <f t="shared" si="0"/>
        <v>1.3710303796433435E-3</v>
      </c>
      <c r="F64" s="39">
        <f t="shared" si="2"/>
        <v>0.98345958762173402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71"/>
      <c r="AO64" s="57"/>
      <c r="AP64" s="57"/>
      <c r="AQ64" s="31">
        <f t="shared" si="1"/>
        <v>0</v>
      </c>
    </row>
    <row r="65" spans="1:43" ht="12.75" x14ac:dyDescent="0.2">
      <c r="A65" s="64"/>
      <c r="B65" s="36" t="s">
        <v>50</v>
      </c>
      <c r="C65" s="40">
        <v>428</v>
      </c>
      <c r="D65" s="38">
        <v>16</v>
      </c>
      <c r="E65" s="39">
        <f t="shared" si="0"/>
        <v>1.3458738589159425E-3</v>
      </c>
      <c r="F65" s="39">
        <f t="shared" si="2"/>
        <v>0.98480546148064996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71"/>
      <c r="AO65" s="57"/>
      <c r="AP65" s="57"/>
      <c r="AQ65" s="31">
        <f t="shared" si="1"/>
        <v>0</v>
      </c>
    </row>
    <row r="66" spans="1:43" ht="12.75" x14ac:dyDescent="0.2">
      <c r="A66" s="64"/>
      <c r="B66" s="36" t="s">
        <v>97</v>
      </c>
      <c r="C66" s="40">
        <v>411</v>
      </c>
      <c r="D66" s="38">
        <v>69</v>
      </c>
      <c r="E66" s="39">
        <f t="shared" si="0"/>
        <v>1.2924162523702159E-3</v>
      </c>
      <c r="F66" s="39">
        <f t="shared" si="2"/>
        <v>0.98609787773302016</v>
      </c>
      <c r="G66" s="24"/>
      <c r="H66" s="24"/>
      <c r="I66" s="38" t="s">
        <v>419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71"/>
      <c r="AO66" s="57"/>
      <c r="AP66" s="57"/>
      <c r="AQ66" s="31">
        <f t="shared" si="1"/>
        <v>1</v>
      </c>
    </row>
    <row r="67" spans="1:43" ht="12.75" x14ac:dyDescent="0.2">
      <c r="A67" s="64"/>
      <c r="B67" s="36" t="s">
        <v>112</v>
      </c>
      <c r="C67" s="40">
        <v>399</v>
      </c>
      <c r="D67" s="38">
        <v>17</v>
      </c>
      <c r="E67" s="39">
        <f t="shared" si="0"/>
        <v>1.2546814712791148E-3</v>
      </c>
      <c r="F67" s="39">
        <f t="shared" si="2"/>
        <v>0.98735255920429932</v>
      </c>
      <c r="G67" s="24"/>
      <c r="H67" s="24"/>
      <c r="I67" s="24"/>
      <c r="J67" s="24"/>
      <c r="K67" s="24"/>
      <c r="L67" s="24"/>
      <c r="M67" s="38" t="s">
        <v>419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71"/>
      <c r="AO67" s="57"/>
      <c r="AP67" s="57"/>
      <c r="AQ67" s="31">
        <f t="shared" si="1"/>
        <v>1</v>
      </c>
    </row>
    <row r="68" spans="1:43" ht="12.75" x14ac:dyDescent="0.2">
      <c r="A68" s="64"/>
      <c r="B68" s="36" t="s">
        <v>82</v>
      </c>
      <c r="C68" s="40">
        <v>379</v>
      </c>
      <c r="D68" s="38">
        <v>3</v>
      </c>
      <c r="E68" s="39">
        <f t="shared" si="0"/>
        <v>1.1917901694606127E-3</v>
      </c>
      <c r="F68" s="39">
        <f t="shared" si="2"/>
        <v>0.9885443493737599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71"/>
      <c r="AO68" s="57"/>
      <c r="AP68" s="57"/>
      <c r="AQ68" s="31">
        <f t="shared" si="1"/>
        <v>0</v>
      </c>
    </row>
    <row r="69" spans="1:43" ht="12.75" x14ac:dyDescent="0.2">
      <c r="A69" s="64"/>
      <c r="B69" s="36" t="s">
        <v>111</v>
      </c>
      <c r="C69" s="40">
        <v>345</v>
      </c>
      <c r="D69" s="38">
        <v>23</v>
      </c>
      <c r="E69" s="39">
        <f t="shared" si="0"/>
        <v>1.0848749563691594E-3</v>
      </c>
      <c r="F69" s="39">
        <f t="shared" si="2"/>
        <v>0.98962922433012901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71"/>
      <c r="AO69" s="57"/>
      <c r="AP69" s="57"/>
      <c r="AQ69" s="31">
        <f t="shared" si="1"/>
        <v>0</v>
      </c>
    </row>
    <row r="70" spans="1:43" ht="12.75" x14ac:dyDescent="0.2">
      <c r="A70" s="64"/>
      <c r="B70" s="36" t="s">
        <v>101</v>
      </c>
      <c r="C70" s="40">
        <v>317</v>
      </c>
      <c r="D70" s="38">
        <v>54</v>
      </c>
      <c r="E70" s="39">
        <f t="shared" si="0"/>
        <v>9.9682713382325656E-4</v>
      </c>
      <c r="F70" s="39">
        <f t="shared" si="2"/>
        <v>0.99062605146395222</v>
      </c>
      <c r="G70" s="24"/>
      <c r="H70" s="24"/>
      <c r="I70" s="38" t="s">
        <v>419</v>
      </c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71"/>
      <c r="AO70" s="57"/>
      <c r="AP70" s="57"/>
      <c r="AQ70" s="31">
        <f t="shared" si="1"/>
        <v>1</v>
      </c>
    </row>
    <row r="71" spans="1:43" ht="12.75" x14ac:dyDescent="0.2">
      <c r="A71" s="64"/>
      <c r="B71" s="36" t="s">
        <v>99</v>
      </c>
      <c r="C71" s="40">
        <v>309</v>
      </c>
      <c r="D71" s="38">
        <v>2</v>
      </c>
      <c r="E71" s="39">
        <f t="shared" si="0"/>
        <v>9.7167061309585577E-4</v>
      </c>
      <c r="F71" s="39">
        <f t="shared" si="2"/>
        <v>0.9915977220770481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71"/>
      <c r="AO71" s="57"/>
      <c r="AP71" s="57"/>
      <c r="AQ71" s="31">
        <f t="shared" si="1"/>
        <v>0</v>
      </c>
    </row>
    <row r="72" spans="1:43" ht="12.75" x14ac:dyDescent="0.2">
      <c r="A72" s="64"/>
      <c r="B72" s="36" t="s">
        <v>96</v>
      </c>
      <c r="C72" s="40">
        <v>305</v>
      </c>
      <c r="D72" s="38">
        <v>64</v>
      </c>
      <c r="E72" s="39">
        <f t="shared" si="0"/>
        <v>9.5909235273215537E-4</v>
      </c>
      <c r="F72" s="39">
        <f t="shared" si="2"/>
        <v>0.99255681442978028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71"/>
      <c r="AO72" s="57"/>
      <c r="AP72" s="57"/>
      <c r="AQ72" s="31">
        <f t="shared" si="1"/>
        <v>0</v>
      </c>
    </row>
    <row r="73" spans="1:43" ht="12.75" x14ac:dyDescent="0.2">
      <c r="A73" s="64"/>
      <c r="B73" s="36" t="s">
        <v>60</v>
      </c>
      <c r="C73" s="40">
        <v>305</v>
      </c>
      <c r="D73" s="38">
        <v>73</v>
      </c>
      <c r="E73" s="39">
        <f t="shared" si="0"/>
        <v>9.5909235273215537E-4</v>
      </c>
      <c r="F73" s="39">
        <f t="shared" si="2"/>
        <v>0.99351590678251245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71"/>
      <c r="AO73" s="57"/>
      <c r="AP73" s="57"/>
      <c r="AQ73" s="31">
        <f t="shared" si="1"/>
        <v>0</v>
      </c>
    </row>
    <row r="74" spans="1:43" ht="12.75" x14ac:dyDescent="0.2">
      <c r="A74" s="64"/>
      <c r="B74" s="36" t="s">
        <v>80</v>
      </c>
      <c r="C74" s="40">
        <v>268</v>
      </c>
      <c r="D74" s="38">
        <v>48</v>
      </c>
      <c r="E74" s="39">
        <f t="shared" si="0"/>
        <v>8.4274344436792664E-4</v>
      </c>
      <c r="F74" s="39">
        <f t="shared" si="2"/>
        <v>0.99435865022688041</v>
      </c>
      <c r="G74" s="24"/>
      <c r="H74" s="24"/>
      <c r="I74" s="24"/>
      <c r="J74" s="24"/>
      <c r="K74" s="24"/>
      <c r="L74" s="24"/>
      <c r="M74" s="38" t="s">
        <v>419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71"/>
      <c r="AO74" s="57"/>
      <c r="AP74" s="57"/>
      <c r="AQ74" s="31">
        <f t="shared" si="1"/>
        <v>1</v>
      </c>
    </row>
    <row r="75" spans="1:43" ht="12.75" x14ac:dyDescent="0.2">
      <c r="A75" s="64"/>
      <c r="B75" s="36" t="s">
        <v>103</v>
      </c>
      <c r="C75" s="40">
        <v>263</v>
      </c>
      <c r="D75" s="38">
        <v>34</v>
      </c>
      <c r="E75" s="39">
        <f t="shared" si="0"/>
        <v>8.2702061891330118E-4</v>
      </c>
      <c r="F75" s="39">
        <f t="shared" si="2"/>
        <v>0.99518567084579368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71"/>
      <c r="AO75" s="57"/>
      <c r="AP75" s="57"/>
      <c r="AQ75" s="31">
        <f t="shared" si="1"/>
        <v>0</v>
      </c>
    </row>
    <row r="76" spans="1:43" ht="12.75" x14ac:dyDescent="0.2">
      <c r="A76" s="64"/>
      <c r="B76" s="36" t="s">
        <v>79</v>
      </c>
      <c r="C76" s="40">
        <v>249</v>
      </c>
      <c r="D76" s="38">
        <v>28</v>
      </c>
      <c r="E76" s="39">
        <f t="shared" si="0"/>
        <v>7.8299670764034985E-4</v>
      </c>
      <c r="F76" s="39">
        <f t="shared" si="2"/>
        <v>0.99596866755343405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71"/>
      <c r="AO76" s="57"/>
      <c r="AP76" s="57"/>
      <c r="AQ76" s="31">
        <f t="shared" si="1"/>
        <v>0</v>
      </c>
    </row>
    <row r="77" spans="1:43" ht="12.75" x14ac:dyDescent="0.2">
      <c r="A77" s="64"/>
      <c r="B77" s="36" t="s">
        <v>49</v>
      </c>
      <c r="C77" s="40">
        <v>245</v>
      </c>
      <c r="D77" s="38">
        <v>75</v>
      </c>
      <c r="E77" s="39">
        <f t="shared" si="0"/>
        <v>7.7041844727664946E-4</v>
      </c>
      <c r="F77" s="39">
        <f t="shared" si="2"/>
        <v>0.99673908600071071</v>
      </c>
      <c r="G77" s="24"/>
      <c r="H77" s="24"/>
      <c r="I77" s="38" t="s">
        <v>419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71"/>
      <c r="AO77" s="57"/>
      <c r="AP77" s="57"/>
      <c r="AQ77" s="31">
        <f t="shared" si="1"/>
        <v>1</v>
      </c>
    </row>
    <row r="78" spans="1:43" ht="12.75" x14ac:dyDescent="0.2">
      <c r="A78" s="64"/>
      <c r="B78" s="36" t="s">
        <v>81</v>
      </c>
      <c r="C78" s="40">
        <v>235</v>
      </c>
      <c r="D78" s="38">
        <v>49</v>
      </c>
      <c r="E78" s="39">
        <f t="shared" si="0"/>
        <v>7.3897279636739842E-4</v>
      </c>
      <c r="F78" s="39">
        <f t="shared" si="2"/>
        <v>0.99747805879707807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71"/>
      <c r="AO78" s="57"/>
      <c r="AP78" s="57"/>
      <c r="AQ78" s="31">
        <f t="shared" si="1"/>
        <v>0</v>
      </c>
    </row>
    <row r="79" spans="1:43" ht="12.75" x14ac:dyDescent="0.2">
      <c r="A79" s="64"/>
      <c r="B79" s="36" t="s">
        <v>115</v>
      </c>
      <c r="C79" s="40">
        <v>170</v>
      </c>
      <c r="D79" s="38">
        <v>82</v>
      </c>
      <c r="E79" s="39">
        <f t="shared" si="0"/>
        <v>5.3457606545726693E-4</v>
      </c>
      <c r="F79" s="39">
        <f t="shared" si="2"/>
        <v>0.99801263486253533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71"/>
      <c r="AO79" s="57"/>
      <c r="AP79" s="57"/>
      <c r="AQ79" s="31">
        <f t="shared" si="1"/>
        <v>0</v>
      </c>
    </row>
    <row r="80" spans="1:43" ht="12.75" x14ac:dyDescent="0.2">
      <c r="A80" s="64"/>
      <c r="B80" s="36" t="s">
        <v>387</v>
      </c>
      <c r="C80" s="40">
        <v>154</v>
      </c>
      <c r="D80" s="38">
        <v>84</v>
      </c>
      <c r="E80" s="39">
        <f t="shared" si="0"/>
        <v>4.8426302400246535E-4</v>
      </c>
      <c r="F80" s="39">
        <f t="shared" si="2"/>
        <v>0.99849689788653784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71"/>
      <c r="AO80" s="57"/>
      <c r="AP80" s="57"/>
      <c r="AQ80" s="31">
        <f t="shared" si="1"/>
        <v>0</v>
      </c>
    </row>
    <row r="81" spans="1:43" ht="12.75" x14ac:dyDescent="0.2">
      <c r="A81" s="64"/>
      <c r="B81" s="36" t="s">
        <v>75</v>
      </c>
      <c r="C81" s="40">
        <v>151</v>
      </c>
      <c r="D81" s="38">
        <v>51</v>
      </c>
      <c r="E81" s="39">
        <f t="shared" si="0"/>
        <v>4.7482932872969002E-4</v>
      </c>
      <c r="F81" s="39">
        <f t="shared" si="2"/>
        <v>0.9989717272152675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71"/>
      <c r="AO81" s="57"/>
      <c r="AP81" s="57"/>
      <c r="AQ81" s="31">
        <f t="shared" si="1"/>
        <v>0</v>
      </c>
    </row>
    <row r="82" spans="1:43" ht="12.75" x14ac:dyDescent="0.2">
      <c r="A82" s="64"/>
      <c r="B82" s="36" t="s">
        <v>67</v>
      </c>
      <c r="C82" s="40">
        <v>84</v>
      </c>
      <c r="D82" s="38">
        <v>63</v>
      </c>
      <c r="E82" s="39">
        <f t="shared" si="0"/>
        <v>2.6414346763770839E-4</v>
      </c>
      <c r="F82" s="39">
        <f t="shared" si="2"/>
        <v>0.9992358706829052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71"/>
      <c r="AO82" s="57"/>
      <c r="AP82" s="57"/>
      <c r="AQ82" s="31">
        <f t="shared" si="1"/>
        <v>0</v>
      </c>
    </row>
    <row r="83" spans="1:43" ht="12.75" x14ac:dyDescent="0.2">
      <c r="A83" s="64"/>
      <c r="B83" s="36" t="s">
        <v>388</v>
      </c>
      <c r="C83" s="40">
        <v>70</v>
      </c>
      <c r="D83" s="38">
        <v>61</v>
      </c>
      <c r="E83" s="39">
        <f t="shared" si="0"/>
        <v>2.2011955636475698E-4</v>
      </c>
      <c r="F83" s="39">
        <f t="shared" si="2"/>
        <v>0.99945599023927001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71"/>
      <c r="AO83" s="57"/>
      <c r="AP83" s="57"/>
      <c r="AQ83" s="31">
        <f t="shared" si="1"/>
        <v>0</v>
      </c>
    </row>
    <row r="84" spans="1:43" ht="12.75" x14ac:dyDescent="0.2">
      <c r="A84" s="64"/>
      <c r="B84" s="36" t="s">
        <v>389</v>
      </c>
      <c r="C84" s="40">
        <v>52</v>
      </c>
      <c r="D84" s="38">
        <v>41</v>
      </c>
      <c r="E84" s="39">
        <f t="shared" si="0"/>
        <v>1.6351738472810518E-4</v>
      </c>
      <c r="F84" s="39">
        <f t="shared" si="2"/>
        <v>0.99961950762399809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71"/>
      <c r="AO84" s="57"/>
      <c r="AP84" s="57"/>
      <c r="AQ84" s="31">
        <f t="shared" si="1"/>
        <v>0</v>
      </c>
    </row>
    <row r="85" spans="1:43" ht="12.75" x14ac:dyDescent="0.2">
      <c r="A85" s="64"/>
      <c r="B85" s="36" t="s">
        <v>154</v>
      </c>
      <c r="C85" s="40">
        <v>46</v>
      </c>
      <c r="D85" s="38">
        <v>80</v>
      </c>
      <c r="E85" s="39">
        <f t="shared" si="0"/>
        <v>1.4464999418255459E-4</v>
      </c>
      <c r="F85" s="39">
        <f t="shared" si="2"/>
        <v>0.9997641576181806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71"/>
      <c r="AO85" s="57"/>
      <c r="AP85" s="57"/>
      <c r="AQ85" s="31">
        <f t="shared" si="1"/>
        <v>0</v>
      </c>
    </row>
    <row r="86" spans="1:43" ht="12.75" x14ac:dyDescent="0.2">
      <c r="A86" s="64"/>
      <c r="B86" s="36" t="s">
        <v>390</v>
      </c>
      <c r="C86" s="40">
        <v>40</v>
      </c>
      <c r="D86" s="38">
        <v>12</v>
      </c>
      <c r="E86" s="39">
        <f t="shared" si="0"/>
        <v>1.2578260363700397E-4</v>
      </c>
      <c r="F86" s="39">
        <f t="shared" si="2"/>
        <v>0.99988994022181765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71"/>
      <c r="AO86" s="57"/>
      <c r="AP86" s="57"/>
      <c r="AQ86" s="31">
        <f t="shared" si="1"/>
        <v>0</v>
      </c>
    </row>
    <row r="87" spans="1:43" ht="12.75" x14ac:dyDescent="0.2">
      <c r="A87" s="64"/>
      <c r="B87" s="36" t="s">
        <v>155</v>
      </c>
      <c r="C87" s="40">
        <v>32</v>
      </c>
      <c r="D87" s="38">
        <v>22</v>
      </c>
      <c r="E87" s="39">
        <f t="shared" si="0"/>
        <v>1.0062608290960318E-4</v>
      </c>
      <c r="F87" s="39">
        <f t="shared" si="2"/>
        <v>0.99999056630472727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71"/>
      <c r="AO87" s="57"/>
      <c r="AP87" s="57"/>
      <c r="AQ87" s="31">
        <f t="shared" si="1"/>
        <v>0</v>
      </c>
    </row>
    <row r="88" spans="1:43" ht="12.75" x14ac:dyDescent="0.2">
      <c r="A88" s="64"/>
      <c r="B88" s="36" t="s">
        <v>158</v>
      </c>
      <c r="C88" s="40">
        <v>3</v>
      </c>
      <c r="D88" s="38">
        <v>60</v>
      </c>
      <c r="E88" s="39">
        <f t="shared" si="0"/>
        <v>9.4336952727752992E-6</v>
      </c>
      <c r="F88" s="39">
        <f t="shared" si="2"/>
        <v>1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71"/>
      <c r="AO88" s="57"/>
      <c r="AP88" s="57"/>
      <c r="AQ88" s="31">
        <f t="shared" si="1"/>
        <v>0</v>
      </c>
    </row>
    <row r="89" spans="1:43" ht="12.75" x14ac:dyDescent="0.2">
      <c r="A89" s="64"/>
      <c r="B89" s="36" t="s">
        <v>391</v>
      </c>
      <c r="C89" s="40">
        <v>0</v>
      </c>
      <c r="D89" s="38">
        <v>20</v>
      </c>
      <c r="E89" s="39">
        <f t="shared" si="0"/>
        <v>0</v>
      </c>
      <c r="F89" s="39">
        <f t="shared" si="2"/>
        <v>1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71"/>
      <c r="AO89" s="57"/>
      <c r="AP89" s="57"/>
      <c r="AQ89" s="31">
        <f t="shared" si="1"/>
        <v>0</v>
      </c>
    </row>
    <row r="90" spans="1:43" ht="12.75" x14ac:dyDescent="0.2">
      <c r="A90" s="64"/>
      <c r="B90" s="36" t="s">
        <v>392</v>
      </c>
      <c r="C90" s="40">
        <v>0</v>
      </c>
      <c r="D90" s="38">
        <v>21</v>
      </c>
      <c r="E90" s="39">
        <f t="shared" si="0"/>
        <v>0</v>
      </c>
      <c r="F90" s="39">
        <f t="shared" si="2"/>
        <v>1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71"/>
      <c r="AO90" s="57"/>
      <c r="AP90" s="57"/>
      <c r="AQ90" s="31">
        <f t="shared" si="1"/>
        <v>0</v>
      </c>
    </row>
    <row r="91" spans="1:43" ht="12.75" x14ac:dyDescent="0.2">
      <c r="A91" s="64"/>
      <c r="B91" s="36" t="s">
        <v>393</v>
      </c>
      <c r="C91" s="40">
        <v>0</v>
      </c>
      <c r="D91" s="38">
        <v>26</v>
      </c>
      <c r="E91" s="39">
        <f t="shared" si="0"/>
        <v>0</v>
      </c>
      <c r="F91" s="39">
        <f t="shared" si="2"/>
        <v>1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71"/>
      <c r="AO91" s="57"/>
      <c r="AP91" s="57"/>
      <c r="AQ91" s="31">
        <f t="shared" si="1"/>
        <v>0</v>
      </c>
    </row>
    <row r="92" spans="1:43" ht="12.75" x14ac:dyDescent="0.2">
      <c r="A92" s="64"/>
      <c r="B92" s="36" t="s">
        <v>394</v>
      </c>
      <c r="C92" s="37"/>
      <c r="D92" s="38">
        <v>89</v>
      </c>
      <c r="E92" s="39">
        <f t="shared" si="0"/>
        <v>0</v>
      </c>
      <c r="F92" s="39">
        <f t="shared" si="2"/>
        <v>1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71"/>
      <c r="AO92" s="57"/>
      <c r="AP92" s="57"/>
      <c r="AQ92" s="31">
        <f t="shared" si="1"/>
        <v>0</v>
      </c>
    </row>
    <row r="93" spans="1:43" ht="12.75" x14ac:dyDescent="0.2">
      <c r="A93" s="64"/>
      <c r="B93" s="38" t="s">
        <v>45</v>
      </c>
      <c r="C93" s="40"/>
      <c r="D93" s="38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71"/>
      <c r="AO93" s="57"/>
      <c r="AP93" s="57"/>
      <c r="AQ93" s="31">
        <f t="shared" si="1"/>
        <v>0</v>
      </c>
    </row>
    <row r="94" spans="1:43" ht="12.75" x14ac:dyDescent="0.2">
      <c r="A94" s="64"/>
      <c r="B94" s="38" t="s">
        <v>91</v>
      </c>
      <c r="C94" s="40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71"/>
      <c r="AO94" s="57"/>
      <c r="AP94" s="57"/>
      <c r="AQ94" s="31">
        <f t="shared" si="1"/>
        <v>0</v>
      </c>
    </row>
    <row r="95" spans="1:43" ht="12.75" x14ac:dyDescent="0.2">
      <c r="A95" s="64"/>
      <c r="B95" s="38" t="s">
        <v>153</v>
      </c>
      <c r="C95" s="40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71"/>
      <c r="AO95" s="57"/>
      <c r="AP95" s="57"/>
      <c r="AQ95" s="31">
        <f t="shared" si="1"/>
        <v>0</v>
      </c>
    </row>
    <row r="96" spans="1:43" ht="12.75" x14ac:dyDescent="0.2">
      <c r="A96" s="65"/>
      <c r="B96" s="38" t="s">
        <v>156</v>
      </c>
      <c r="C96" s="40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71"/>
      <c r="AO96" s="57"/>
      <c r="AP96" s="57"/>
      <c r="AQ96" s="31">
        <f t="shared" si="1"/>
        <v>0</v>
      </c>
    </row>
    <row r="97" spans="1:43" ht="45" x14ac:dyDescent="0.2">
      <c r="A97" s="24"/>
      <c r="B97" s="38" t="s">
        <v>159</v>
      </c>
      <c r="C97" s="40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41"/>
      <c r="AO97" s="42"/>
      <c r="AP97" s="43"/>
      <c r="AQ97" s="31">
        <f t="shared" si="1"/>
        <v>0</v>
      </c>
    </row>
    <row r="98" spans="1:43" ht="45" x14ac:dyDescent="0.2">
      <c r="A98" s="24"/>
      <c r="B98" s="38" t="s">
        <v>177</v>
      </c>
      <c r="C98" s="40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41"/>
      <c r="AO98" s="42"/>
      <c r="AP98" s="43"/>
      <c r="AQ98" s="31">
        <f t="shared" si="1"/>
        <v>0</v>
      </c>
    </row>
    <row r="99" spans="1:43" ht="45" x14ac:dyDescent="0.2">
      <c r="A99" s="24"/>
      <c r="B99" s="38" t="s">
        <v>335</v>
      </c>
      <c r="C99" s="40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41"/>
      <c r="AO99" s="42"/>
      <c r="AP99" s="43"/>
      <c r="AQ99" s="31">
        <f t="shared" si="1"/>
        <v>0</v>
      </c>
    </row>
    <row r="100" spans="1:43" ht="45" x14ac:dyDescent="0.2">
      <c r="A100" s="24"/>
      <c r="B100" s="38" t="s">
        <v>336</v>
      </c>
      <c r="C100" s="40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41"/>
      <c r="AO100" s="42"/>
      <c r="AP100" s="43"/>
      <c r="AQ100" s="31">
        <f t="shared" si="1"/>
        <v>0</v>
      </c>
    </row>
    <row r="101" spans="1:43" ht="45" x14ac:dyDescent="0.2">
      <c r="A101" s="24"/>
      <c r="B101" s="38" t="s">
        <v>157</v>
      </c>
      <c r="C101" s="40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41"/>
      <c r="AO101" s="42"/>
      <c r="AP101" s="43"/>
      <c r="AQ101" s="31">
        <f t="shared" si="1"/>
        <v>0</v>
      </c>
    </row>
    <row r="102" spans="1:43" ht="45" x14ac:dyDescent="0.2">
      <c r="A102" s="24"/>
      <c r="B102" s="38" t="s">
        <v>337</v>
      </c>
      <c r="C102" s="40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44"/>
      <c r="AO102" s="45"/>
      <c r="AP102" s="46"/>
      <c r="AQ102" s="31">
        <f t="shared" si="1"/>
        <v>0</v>
      </c>
    </row>
    <row r="103" spans="1:43" ht="12.75" x14ac:dyDescent="0.2">
      <c r="C103" s="16">
        <f>SUM(C4:C102)</f>
        <v>318009</v>
      </c>
      <c r="E103" s="15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40"/>
    </row>
    <row r="104" spans="1:43" ht="12.75" x14ac:dyDescent="0.2">
      <c r="C104" s="31"/>
      <c r="E104" s="15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40"/>
    </row>
    <row r="105" spans="1:43" ht="12.75" x14ac:dyDescent="0.2">
      <c r="C105" s="31"/>
      <c r="E105" s="15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40">
        <f>COUNTBLANK(H105:AM105)</f>
        <v>32</v>
      </c>
    </row>
    <row r="106" spans="1:43" ht="12.75" x14ac:dyDescent="0.2">
      <c r="C106" s="31"/>
      <c r="E106" s="15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40"/>
    </row>
    <row r="107" spans="1:43" ht="12.75" x14ac:dyDescent="0.2">
      <c r="C107" s="31"/>
      <c r="E107" s="15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40"/>
    </row>
    <row r="108" spans="1:43" ht="12.75" x14ac:dyDescent="0.2">
      <c r="C108" s="31"/>
      <c r="E108" s="15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40"/>
    </row>
    <row r="109" spans="1:43" ht="12.75" x14ac:dyDescent="0.2">
      <c r="C109" s="31"/>
      <c r="E109" s="15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40"/>
    </row>
    <row r="110" spans="1:43" ht="12.75" x14ac:dyDescent="0.2">
      <c r="C110" s="31"/>
      <c r="E110" s="15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40"/>
    </row>
    <row r="111" spans="1:43" ht="12.75" x14ac:dyDescent="0.2">
      <c r="C111" s="31"/>
      <c r="E111" s="15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40"/>
    </row>
    <row r="112" spans="1:43" ht="12.75" x14ac:dyDescent="0.2">
      <c r="C112" s="31"/>
      <c r="E112" s="15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40"/>
    </row>
    <row r="113" spans="3:43" ht="12.75" x14ac:dyDescent="0.2">
      <c r="C113" s="31"/>
      <c r="E113" s="15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40"/>
    </row>
    <row r="114" spans="3:43" ht="12.75" x14ac:dyDescent="0.2">
      <c r="C114" s="31"/>
      <c r="E114" s="15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40"/>
    </row>
    <row r="115" spans="3:43" ht="12.75" x14ac:dyDescent="0.2">
      <c r="C115" s="31"/>
      <c r="E115" s="15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40"/>
    </row>
    <row r="116" spans="3:43" ht="12.75" x14ac:dyDescent="0.2">
      <c r="C116" s="31"/>
      <c r="E116" s="15"/>
      <c r="AQ116" s="31"/>
    </row>
    <row r="117" spans="3:43" ht="12.75" x14ac:dyDescent="0.2">
      <c r="C117" s="31"/>
      <c r="E117" s="15"/>
      <c r="AQ117" s="31"/>
    </row>
    <row r="118" spans="3:43" ht="12.75" x14ac:dyDescent="0.2">
      <c r="C118" s="31"/>
      <c r="E118" s="15"/>
      <c r="AQ118" s="31"/>
    </row>
    <row r="119" spans="3:43" ht="12.75" x14ac:dyDescent="0.2">
      <c r="C119" s="31"/>
      <c r="E119" s="15"/>
      <c r="AQ119" s="31"/>
    </row>
    <row r="120" spans="3:43" ht="12.75" x14ac:dyDescent="0.2">
      <c r="C120" s="31"/>
      <c r="E120" s="15"/>
      <c r="AQ120" s="31"/>
    </row>
    <row r="121" spans="3:43" ht="12.75" x14ac:dyDescent="0.2">
      <c r="C121" s="31"/>
      <c r="E121" s="15"/>
      <c r="AQ121" s="31"/>
    </row>
    <row r="122" spans="3:43" ht="12.75" x14ac:dyDescent="0.2">
      <c r="C122" s="31"/>
      <c r="E122" s="15"/>
      <c r="AQ122" s="31"/>
    </row>
    <row r="123" spans="3:43" ht="12.75" x14ac:dyDescent="0.2">
      <c r="C123" s="31"/>
      <c r="E123" s="15"/>
      <c r="AQ123" s="31"/>
    </row>
    <row r="124" spans="3:43" ht="12.75" x14ac:dyDescent="0.2">
      <c r="C124" s="31"/>
      <c r="E124" s="15"/>
      <c r="AQ124" s="31"/>
    </row>
    <row r="125" spans="3:43" ht="12.75" x14ac:dyDescent="0.2">
      <c r="C125" s="31"/>
      <c r="E125" s="15"/>
      <c r="AQ125" s="31"/>
    </row>
    <row r="126" spans="3:43" ht="12.75" x14ac:dyDescent="0.2">
      <c r="C126" s="31"/>
      <c r="E126" s="15"/>
      <c r="AQ126" s="31"/>
    </row>
    <row r="127" spans="3:43" ht="12.75" x14ac:dyDescent="0.2">
      <c r="C127" s="31"/>
      <c r="E127" s="15"/>
      <c r="AQ127" s="31"/>
    </row>
    <row r="128" spans="3:43" ht="12.75" x14ac:dyDescent="0.2">
      <c r="C128" s="31"/>
      <c r="E128" s="15"/>
      <c r="AQ128" s="31"/>
    </row>
    <row r="129" spans="3:43" ht="12.75" x14ac:dyDescent="0.2">
      <c r="C129" s="31"/>
      <c r="E129" s="15"/>
      <c r="AQ129" s="31"/>
    </row>
    <row r="130" spans="3:43" ht="12.75" x14ac:dyDescent="0.2">
      <c r="C130" s="31"/>
      <c r="E130" s="15"/>
      <c r="AQ130" s="31"/>
    </row>
    <row r="131" spans="3:43" ht="12.75" x14ac:dyDescent="0.2">
      <c r="C131" s="31"/>
      <c r="E131" s="15"/>
      <c r="AQ131" s="31"/>
    </row>
    <row r="132" spans="3:43" ht="12.75" x14ac:dyDescent="0.2">
      <c r="C132" s="31"/>
      <c r="E132" s="15"/>
      <c r="AQ132" s="31"/>
    </row>
    <row r="133" spans="3:43" ht="12.75" x14ac:dyDescent="0.2">
      <c r="C133" s="31"/>
      <c r="E133" s="15"/>
      <c r="AQ133" s="31"/>
    </row>
    <row r="134" spans="3:43" ht="12.75" x14ac:dyDescent="0.2">
      <c r="C134" s="31"/>
      <c r="E134" s="15"/>
      <c r="AQ134" s="31"/>
    </row>
    <row r="135" spans="3:43" ht="12.75" x14ac:dyDescent="0.2">
      <c r="C135" s="31"/>
      <c r="E135" s="15"/>
      <c r="AQ135" s="31"/>
    </row>
    <row r="136" spans="3:43" ht="12.75" x14ac:dyDescent="0.2">
      <c r="C136" s="31"/>
      <c r="E136" s="15"/>
      <c r="AQ136" s="31"/>
    </row>
    <row r="137" spans="3:43" ht="12.75" x14ac:dyDescent="0.2">
      <c r="C137" s="31"/>
      <c r="E137" s="15"/>
      <c r="AQ137" s="31"/>
    </row>
    <row r="138" spans="3:43" ht="12.75" x14ac:dyDescent="0.2">
      <c r="C138" s="31"/>
      <c r="E138" s="15"/>
      <c r="AQ138" s="31"/>
    </row>
    <row r="139" spans="3:43" ht="12.75" x14ac:dyDescent="0.2">
      <c r="C139" s="31"/>
      <c r="E139" s="15"/>
      <c r="AQ139" s="31"/>
    </row>
    <row r="140" spans="3:43" ht="12.75" x14ac:dyDescent="0.2">
      <c r="C140" s="31"/>
      <c r="E140" s="15"/>
      <c r="AQ140" s="31"/>
    </row>
    <row r="141" spans="3:43" ht="12.75" x14ac:dyDescent="0.2">
      <c r="C141" s="31"/>
      <c r="E141" s="15"/>
      <c r="AQ141" s="31"/>
    </row>
    <row r="142" spans="3:43" ht="12.75" x14ac:dyDescent="0.2">
      <c r="C142" s="31"/>
      <c r="E142" s="15"/>
      <c r="AQ142" s="31"/>
    </row>
    <row r="143" spans="3:43" ht="12.75" x14ac:dyDescent="0.2">
      <c r="C143" s="31"/>
      <c r="E143" s="15"/>
      <c r="AQ143" s="31"/>
    </row>
    <row r="144" spans="3:43" ht="12.75" x14ac:dyDescent="0.2">
      <c r="C144" s="31"/>
      <c r="E144" s="15"/>
      <c r="AQ144" s="31"/>
    </row>
    <row r="145" spans="3:43" ht="12.75" x14ac:dyDescent="0.2">
      <c r="C145" s="31"/>
      <c r="E145" s="15"/>
      <c r="AQ145" s="31"/>
    </row>
    <row r="146" spans="3:43" ht="12.75" x14ac:dyDescent="0.2">
      <c r="C146" s="31"/>
      <c r="E146" s="15"/>
      <c r="AQ146" s="31"/>
    </row>
    <row r="147" spans="3:43" ht="12.75" x14ac:dyDescent="0.2">
      <c r="C147" s="31"/>
      <c r="E147" s="15"/>
      <c r="AQ147" s="31"/>
    </row>
    <row r="148" spans="3:43" ht="12.75" x14ac:dyDescent="0.2">
      <c r="C148" s="31"/>
      <c r="E148" s="15"/>
      <c r="AQ148" s="31"/>
    </row>
    <row r="149" spans="3:43" ht="12.75" x14ac:dyDescent="0.2">
      <c r="C149" s="31"/>
      <c r="E149" s="15"/>
      <c r="AQ149" s="31"/>
    </row>
    <row r="150" spans="3:43" ht="12.75" x14ac:dyDescent="0.2">
      <c r="C150" s="31"/>
      <c r="E150" s="15"/>
      <c r="AQ150" s="31"/>
    </row>
    <row r="151" spans="3:43" ht="12.75" x14ac:dyDescent="0.2">
      <c r="C151" s="31"/>
      <c r="E151" s="15"/>
      <c r="AQ151" s="31"/>
    </row>
    <row r="152" spans="3:43" ht="12.75" x14ac:dyDescent="0.2">
      <c r="C152" s="31"/>
      <c r="E152" s="15"/>
      <c r="AQ152" s="31"/>
    </row>
    <row r="153" spans="3:43" ht="12.75" x14ac:dyDescent="0.2">
      <c r="C153" s="31"/>
      <c r="E153" s="15"/>
      <c r="AQ153" s="31"/>
    </row>
    <row r="154" spans="3:43" ht="12.75" x14ac:dyDescent="0.2">
      <c r="C154" s="31"/>
      <c r="E154" s="15"/>
      <c r="AQ154" s="31"/>
    </row>
    <row r="155" spans="3:43" ht="12.75" x14ac:dyDescent="0.2">
      <c r="C155" s="31"/>
      <c r="E155" s="15"/>
      <c r="AQ155" s="31"/>
    </row>
    <row r="156" spans="3:43" ht="12.75" x14ac:dyDescent="0.2">
      <c r="C156" s="31"/>
      <c r="E156" s="15"/>
      <c r="AQ156" s="31"/>
    </row>
    <row r="157" spans="3:43" ht="12.75" x14ac:dyDescent="0.2">
      <c r="C157" s="31"/>
      <c r="E157" s="15"/>
      <c r="AQ157" s="31"/>
    </row>
    <row r="158" spans="3:43" ht="12.75" x14ac:dyDescent="0.2">
      <c r="C158" s="31"/>
      <c r="E158" s="15"/>
      <c r="AQ158" s="31"/>
    </row>
    <row r="159" spans="3:43" ht="12.75" x14ac:dyDescent="0.2">
      <c r="C159" s="31"/>
      <c r="E159" s="15"/>
      <c r="AQ159" s="31"/>
    </row>
    <row r="160" spans="3:43" ht="12.75" x14ac:dyDescent="0.2">
      <c r="C160" s="31"/>
      <c r="E160" s="15"/>
      <c r="AQ160" s="31"/>
    </row>
    <row r="161" spans="3:43" ht="12.75" x14ac:dyDescent="0.2">
      <c r="C161" s="31"/>
      <c r="E161" s="15"/>
      <c r="AQ161" s="31"/>
    </row>
    <row r="162" spans="3:43" ht="12.75" x14ac:dyDescent="0.2">
      <c r="C162" s="31"/>
      <c r="E162" s="15"/>
      <c r="AQ162" s="31"/>
    </row>
    <row r="163" spans="3:43" ht="12.75" x14ac:dyDescent="0.2">
      <c r="C163" s="31"/>
      <c r="E163" s="15"/>
      <c r="AQ163" s="31"/>
    </row>
    <row r="164" spans="3:43" ht="12.75" x14ac:dyDescent="0.2">
      <c r="C164" s="31"/>
      <c r="E164" s="15"/>
      <c r="AQ164" s="31"/>
    </row>
    <row r="165" spans="3:43" ht="12.75" x14ac:dyDescent="0.2">
      <c r="C165" s="31"/>
      <c r="E165" s="15"/>
      <c r="AQ165" s="31"/>
    </row>
    <row r="166" spans="3:43" ht="12.75" x14ac:dyDescent="0.2">
      <c r="C166" s="31"/>
      <c r="E166" s="15"/>
      <c r="AQ166" s="31"/>
    </row>
    <row r="167" spans="3:43" ht="12.75" x14ac:dyDescent="0.2">
      <c r="C167" s="31"/>
      <c r="E167" s="15"/>
      <c r="AQ167" s="31"/>
    </row>
    <row r="168" spans="3:43" ht="12.75" x14ac:dyDescent="0.2">
      <c r="C168" s="31"/>
      <c r="E168" s="15"/>
      <c r="AQ168" s="31"/>
    </row>
    <row r="169" spans="3:43" ht="12.75" x14ac:dyDescent="0.2">
      <c r="C169" s="31"/>
      <c r="E169" s="15"/>
      <c r="AQ169" s="31"/>
    </row>
    <row r="170" spans="3:43" ht="12.75" x14ac:dyDescent="0.2">
      <c r="C170" s="31"/>
      <c r="E170" s="15"/>
      <c r="AQ170" s="31"/>
    </row>
    <row r="171" spans="3:43" ht="12.75" x14ac:dyDescent="0.2">
      <c r="C171" s="31"/>
      <c r="E171" s="15"/>
      <c r="AQ171" s="31"/>
    </row>
    <row r="172" spans="3:43" ht="12.75" x14ac:dyDescent="0.2">
      <c r="C172" s="31"/>
      <c r="E172" s="15"/>
      <c r="AQ172" s="31"/>
    </row>
    <row r="173" spans="3:43" ht="12.75" x14ac:dyDescent="0.2">
      <c r="C173" s="31"/>
      <c r="E173" s="15"/>
      <c r="AQ173" s="31"/>
    </row>
    <row r="174" spans="3:43" ht="12.75" x14ac:dyDescent="0.2">
      <c r="C174" s="31"/>
      <c r="E174" s="15"/>
      <c r="AQ174" s="31"/>
    </row>
    <row r="175" spans="3:43" ht="12.75" x14ac:dyDescent="0.2">
      <c r="C175" s="31"/>
      <c r="E175" s="15"/>
      <c r="AQ175" s="31"/>
    </row>
    <row r="176" spans="3:43" ht="12.75" x14ac:dyDescent="0.2">
      <c r="C176" s="31"/>
      <c r="E176" s="15"/>
      <c r="AQ176" s="31"/>
    </row>
    <row r="177" spans="3:43" ht="12.75" x14ac:dyDescent="0.2">
      <c r="C177" s="31"/>
      <c r="E177" s="15"/>
      <c r="AQ177" s="31"/>
    </row>
    <row r="178" spans="3:43" ht="12.75" x14ac:dyDescent="0.2">
      <c r="C178" s="31"/>
      <c r="E178" s="15"/>
      <c r="AQ178" s="31"/>
    </row>
    <row r="179" spans="3:43" ht="12.75" x14ac:dyDescent="0.2">
      <c r="C179" s="31"/>
      <c r="E179" s="15"/>
      <c r="AQ179" s="31"/>
    </row>
    <row r="180" spans="3:43" ht="12.75" x14ac:dyDescent="0.2">
      <c r="C180" s="31"/>
      <c r="E180" s="15"/>
      <c r="AQ180" s="31"/>
    </row>
    <row r="181" spans="3:43" ht="12.75" x14ac:dyDescent="0.2">
      <c r="C181" s="31"/>
      <c r="E181" s="15"/>
      <c r="AQ181" s="31"/>
    </row>
    <row r="182" spans="3:43" ht="12.75" x14ac:dyDescent="0.2">
      <c r="C182" s="31"/>
      <c r="E182" s="15"/>
      <c r="AQ182" s="31"/>
    </row>
    <row r="183" spans="3:43" ht="12.75" x14ac:dyDescent="0.2">
      <c r="C183" s="31"/>
      <c r="E183" s="15"/>
      <c r="AQ183" s="31"/>
    </row>
    <row r="184" spans="3:43" ht="12.75" x14ac:dyDescent="0.2">
      <c r="C184" s="31"/>
      <c r="E184" s="15"/>
      <c r="AQ184" s="31"/>
    </row>
    <row r="185" spans="3:43" ht="12.75" x14ac:dyDescent="0.2">
      <c r="C185" s="31"/>
      <c r="E185" s="15"/>
      <c r="AQ185" s="31"/>
    </row>
    <row r="186" spans="3:43" ht="12.75" x14ac:dyDescent="0.2">
      <c r="C186" s="31"/>
      <c r="E186" s="15"/>
      <c r="AQ186" s="31"/>
    </row>
    <row r="187" spans="3:43" ht="12.75" x14ac:dyDescent="0.2">
      <c r="C187" s="31"/>
      <c r="E187" s="15"/>
      <c r="AQ187" s="31"/>
    </row>
    <row r="188" spans="3:43" ht="12.75" x14ac:dyDescent="0.2">
      <c r="C188" s="31"/>
      <c r="E188" s="15"/>
      <c r="AQ188" s="31"/>
    </row>
    <row r="189" spans="3:43" ht="12.75" x14ac:dyDescent="0.2">
      <c r="C189" s="31"/>
      <c r="E189" s="15"/>
      <c r="AQ189" s="31"/>
    </row>
    <row r="190" spans="3:43" ht="12.75" x14ac:dyDescent="0.2">
      <c r="C190" s="31"/>
      <c r="E190" s="15"/>
      <c r="AQ190" s="31"/>
    </row>
    <row r="191" spans="3:43" ht="12.75" x14ac:dyDescent="0.2">
      <c r="C191" s="31"/>
      <c r="E191" s="15"/>
      <c r="AQ191" s="31"/>
    </row>
    <row r="192" spans="3:43" ht="12.75" x14ac:dyDescent="0.2">
      <c r="C192" s="31"/>
      <c r="E192" s="15"/>
      <c r="AQ192" s="31"/>
    </row>
    <row r="193" spans="3:43" ht="12.75" x14ac:dyDescent="0.2">
      <c r="C193" s="31"/>
      <c r="E193" s="15"/>
      <c r="AQ193" s="31"/>
    </row>
    <row r="194" spans="3:43" ht="12.75" x14ac:dyDescent="0.2">
      <c r="C194" s="31"/>
      <c r="E194" s="15"/>
      <c r="AQ194" s="31"/>
    </row>
    <row r="195" spans="3:43" ht="12.75" x14ac:dyDescent="0.2">
      <c r="C195" s="31"/>
      <c r="E195" s="15"/>
      <c r="AQ195" s="31"/>
    </row>
    <row r="196" spans="3:43" ht="12.75" x14ac:dyDescent="0.2">
      <c r="C196" s="31"/>
      <c r="E196" s="15"/>
      <c r="AQ196" s="31"/>
    </row>
    <row r="197" spans="3:43" ht="12.75" x14ac:dyDescent="0.2">
      <c r="C197" s="31"/>
      <c r="E197" s="15"/>
      <c r="AQ197" s="31"/>
    </row>
    <row r="198" spans="3:43" ht="12.75" x14ac:dyDescent="0.2">
      <c r="C198" s="31"/>
      <c r="E198" s="15"/>
      <c r="AQ198" s="31"/>
    </row>
    <row r="199" spans="3:43" ht="12.75" x14ac:dyDescent="0.2">
      <c r="C199" s="31"/>
      <c r="E199" s="15"/>
      <c r="AQ199" s="31"/>
    </row>
    <row r="200" spans="3:43" ht="12.75" x14ac:dyDescent="0.2">
      <c r="C200" s="31"/>
      <c r="E200" s="15"/>
      <c r="AQ200" s="31"/>
    </row>
    <row r="201" spans="3:43" ht="12.75" x14ac:dyDescent="0.2">
      <c r="C201" s="31"/>
      <c r="E201" s="15"/>
      <c r="AQ201" s="31"/>
    </row>
    <row r="202" spans="3:43" ht="12.75" x14ac:dyDescent="0.2">
      <c r="C202" s="31"/>
      <c r="E202" s="15"/>
      <c r="AQ202" s="31"/>
    </row>
    <row r="203" spans="3:43" ht="12.75" x14ac:dyDescent="0.2">
      <c r="C203" s="31"/>
      <c r="E203" s="15"/>
      <c r="AQ203" s="31"/>
    </row>
    <row r="204" spans="3:43" ht="12.75" x14ac:dyDescent="0.2">
      <c r="C204" s="31"/>
      <c r="E204" s="15"/>
      <c r="AQ204" s="31"/>
    </row>
    <row r="205" spans="3:43" ht="12.75" x14ac:dyDescent="0.2">
      <c r="C205" s="31"/>
      <c r="E205" s="15"/>
      <c r="AQ205" s="31"/>
    </row>
    <row r="206" spans="3:43" ht="12.75" x14ac:dyDescent="0.2">
      <c r="C206" s="31"/>
      <c r="E206" s="15"/>
      <c r="AQ206" s="31"/>
    </row>
    <row r="207" spans="3:43" ht="12.75" x14ac:dyDescent="0.2">
      <c r="C207" s="31"/>
      <c r="E207" s="15"/>
      <c r="AQ207" s="31"/>
    </row>
    <row r="208" spans="3:43" ht="12.75" x14ac:dyDescent="0.2">
      <c r="C208" s="31"/>
      <c r="E208" s="15"/>
      <c r="AQ208" s="31"/>
    </row>
    <row r="209" spans="3:43" ht="12.75" x14ac:dyDescent="0.2">
      <c r="C209" s="31"/>
      <c r="E209" s="15"/>
      <c r="AQ209" s="31"/>
    </row>
    <row r="210" spans="3:43" ht="12.75" x14ac:dyDescent="0.2">
      <c r="C210" s="31"/>
      <c r="E210" s="15"/>
      <c r="AQ210" s="31"/>
    </row>
    <row r="211" spans="3:43" ht="12.75" x14ac:dyDescent="0.2">
      <c r="C211" s="31"/>
      <c r="E211" s="15"/>
      <c r="AQ211" s="31"/>
    </row>
    <row r="212" spans="3:43" ht="12.75" x14ac:dyDescent="0.2">
      <c r="C212" s="31"/>
      <c r="E212" s="15"/>
      <c r="AQ212" s="31"/>
    </row>
    <row r="213" spans="3:43" ht="12.75" x14ac:dyDescent="0.2">
      <c r="C213" s="31"/>
      <c r="E213" s="15"/>
      <c r="AQ213" s="31"/>
    </row>
    <row r="214" spans="3:43" ht="12.75" x14ac:dyDescent="0.2">
      <c r="C214" s="31"/>
      <c r="E214" s="15"/>
      <c r="AQ214" s="31"/>
    </row>
    <row r="215" spans="3:43" ht="12.75" x14ac:dyDescent="0.2">
      <c r="C215" s="31"/>
      <c r="E215" s="15"/>
      <c r="AQ215" s="31"/>
    </row>
    <row r="216" spans="3:43" ht="12.75" x14ac:dyDescent="0.2">
      <c r="C216" s="31"/>
      <c r="E216" s="15"/>
      <c r="AQ216" s="31"/>
    </row>
    <row r="217" spans="3:43" ht="12.75" x14ac:dyDescent="0.2">
      <c r="C217" s="31"/>
      <c r="E217" s="15"/>
      <c r="AQ217" s="31"/>
    </row>
    <row r="218" spans="3:43" ht="12.75" x14ac:dyDescent="0.2">
      <c r="C218" s="31"/>
      <c r="E218" s="15"/>
      <c r="AQ218" s="31"/>
    </row>
    <row r="219" spans="3:43" ht="12.75" x14ac:dyDescent="0.2">
      <c r="C219" s="31"/>
      <c r="E219" s="15"/>
      <c r="AQ219" s="31"/>
    </row>
    <row r="220" spans="3:43" ht="12.75" x14ac:dyDescent="0.2">
      <c r="C220" s="31"/>
      <c r="E220" s="15"/>
      <c r="AQ220" s="31"/>
    </row>
    <row r="221" spans="3:43" ht="12.75" x14ac:dyDescent="0.2">
      <c r="C221" s="31"/>
      <c r="E221" s="15"/>
      <c r="AQ221" s="31"/>
    </row>
    <row r="222" spans="3:43" ht="12.75" x14ac:dyDescent="0.2">
      <c r="C222" s="31"/>
      <c r="E222" s="15"/>
      <c r="AQ222" s="31"/>
    </row>
    <row r="223" spans="3:43" ht="12.75" x14ac:dyDescent="0.2">
      <c r="C223" s="31"/>
      <c r="E223" s="15"/>
      <c r="AQ223" s="31"/>
    </row>
    <row r="224" spans="3:43" ht="12.75" x14ac:dyDescent="0.2">
      <c r="C224" s="31"/>
      <c r="E224" s="15"/>
      <c r="AQ224" s="31"/>
    </row>
    <row r="225" spans="3:43" ht="12.75" x14ac:dyDescent="0.2">
      <c r="C225" s="31"/>
      <c r="E225" s="15"/>
      <c r="AQ225" s="31"/>
    </row>
    <row r="226" spans="3:43" ht="12.75" x14ac:dyDescent="0.2">
      <c r="C226" s="31"/>
      <c r="E226" s="15"/>
      <c r="AQ226" s="31"/>
    </row>
    <row r="227" spans="3:43" ht="12.75" x14ac:dyDescent="0.2">
      <c r="C227" s="31"/>
      <c r="E227" s="15"/>
      <c r="AQ227" s="31"/>
    </row>
    <row r="228" spans="3:43" ht="12.75" x14ac:dyDescent="0.2">
      <c r="C228" s="31"/>
      <c r="E228" s="15"/>
      <c r="AQ228" s="31"/>
    </row>
    <row r="229" spans="3:43" ht="12.75" x14ac:dyDescent="0.2">
      <c r="C229" s="31"/>
      <c r="E229" s="15"/>
      <c r="AQ229" s="31"/>
    </row>
    <row r="230" spans="3:43" ht="12.75" x14ac:dyDescent="0.2">
      <c r="C230" s="31"/>
      <c r="E230" s="15"/>
      <c r="AQ230" s="31"/>
    </row>
    <row r="231" spans="3:43" ht="12.75" x14ac:dyDescent="0.2">
      <c r="C231" s="31"/>
      <c r="E231" s="15"/>
      <c r="AQ231" s="31"/>
    </row>
    <row r="232" spans="3:43" ht="12.75" x14ac:dyDescent="0.2">
      <c r="C232" s="31"/>
      <c r="E232" s="15"/>
      <c r="AQ232" s="31"/>
    </row>
    <row r="233" spans="3:43" ht="12.75" x14ac:dyDescent="0.2">
      <c r="C233" s="31"/>
      <c r="E233" s="15"/>
      <c r="AQ233" s="31"/>
    </row>
    <row r="234" spans="3:43" ht="12.75" x14ac:dyDescent="0.2">
      <c r="C234" s="31"/>
      <c r="E234" s="15"/>
      <c r="AQ234" s="31"/>
    </row>
    <row r="235" spans="3:43" ht="12.75" x14ac:dyDescent="0.2">
      <c r="C235" s="31"/>
      <c r="E235" s="15"/>
      <c r="AQ235" s="31"/>
    </row>
    <row r="236" spans="3:43" ht="12.75" x14ac:dyDescent="0.2">
      <c r="C236" s="31"/>
      <c r="E236" s="15"/>
      <c r="AQ236" s="31"/>
    </row>
    <row r="237" spans="3:43" ht="12.75" x14ac:dyDescent="0.2">
      <c r="C237" s="31"/>
      <c r="E237" s="15"/>
      <c r="AQ237" s="31"/>
    </row>
    <row r="238" spans="3:43" ht="12.75" x14ac:dyDescent="0.2">
      <c r="C238" s="31"/>
      <c r="E238" s="15"/>
      <c r="AQ238" s="31"/>
    </row>
    <row r="239" spans="3:43" ht="12.75" x14ac:dyDescent="0.2">
      <c r="C239" s="31"/>
      <c r="E239" s="15"/>
      <c r="AQ239" s="31"/>
    </row>
    <row r="240" spans="3:43" ht="12.75" x14ac:dyDescent="0.2">
      <c r="C240" s="31"/>
      <c r="E240" s="15"/>
      <c r="AQ240" s="31"/>
    </row>
    <row r="241" spans="3:43" ht="12.75" x14ac:dyDescent="0.2">
      <c r="C241" s="31"/>
      <c r="E241" s="15"/>
      <c r="AQ241" s="31"/>
    </row>
    <row r="242" spans="3:43" ht="12.75" x14ac:dyDescent="0.2">
      <c r="C242" s="31"/>
      <c r="E242" s="15"/>
      <c r="AQ242" s="31"/>
    </row>
    <row r="243" spans="3:43" ht="12.75" x14ac:dyDescent="0.2">
      <c r="C243" s="31"/>
      <c r="E243" s="15"/>
      <c r="AQ243" s="31"/>
    </row>
    <row r="244" spans="3:43" ht="12.75" x14ac:dyDescent="0.2">
      <c r="C244" s="31"/>
      <c r="E244" s="15"/>
      <c r="AQ244" s="31"/>
    </row>
    <row r="245" spans="3:43" ht="12.75" x14ac:dyDescent="0.2">
      <c r="C245" s="31"/>
      <c r="E245" s="15"/>
      <c r="AQ245" s="31"/>
    </row>
    <row r="246" spans="3:43" ht="12.75" x14ac:dyDescent="0.2">
      <c r="C246" s="31"/>
      <c r="E246" s="15"/>
      <c r="AQ246" s="31"/>
    </row>
    <row r="247" spans="3:43" ht="12.75" x14ac:dyDescent="0.2">
      <c r="C247" s="31"/>
      <c r="E247" s="15"/>
      <c r="AQ247" s="31"/>
    </row>
    <row r="248" spans="3:43" ht="12.75" x14ac:dyDescent="0.2">
      <c r="C248" s="31"/>
      <c r="E248" s="15"/>
      <c r="AQ248" s="31"/>
    </row>
    <row r="249" spans="3:43" ht="12.75" x14ac:dyDescent="0.2">
      <c r="C249" s="31"/>
      <c r="E249" s="15"/>
      <c r="AQ249" s="31"/>
    </row>
    <row r="250" spans="3:43" ht="12.75" x14ac:dyDescent="0.2">
      <c r="C250" s="31"/>
      <c r="E250" s="15"/>
      <c r="AQ250" s="31"/>
    </row>
    <row r="251" spans="3:43" ht="12.75" x14ac:dyDescent="0.2">
      <c r="C251" s="31"/>
      <c r="E251" s="15"/>
      <c r="AQ251" s="31"/>
    </row>
    <row r="252" spans="3:43" ht="12.75" x14ac:dyDescent="0.2">
      <c r="C252" s="31"/>
      <c r="E252" s="15"/>
      <c r="AQ252" s="31"/>
    </row>
    <row r="253" spans="3:43" ht="12.75" x14ac:dyDescent="0.2">
      <c r="C253" s="31"/>
      <c r="E253" s="15"/>
      <c r="AQ253" s="31"/>
    </row>
    <row r="254" spans="3:43" ht="12.75" x14ac:dyDescent="0.2">
      <c r="C254" s="31"/>
      <c r="E254" s="15"/>
      <c r="AQ254" s="31"/>
    </row>
    <row r="255" spans="3:43" ht="12.75" x14ac:dyDescent="0.2">
      <c r="C255" s="31"/>
      <c r="E255" s="15"/>
      <c r="AQ255" s="31"/>
    </row>
    <row r="256" spans="3:43" ht="12.75" x14ac:dyDescent="0.2">
      <c r="C256" s="31"/>
      <c r="E256" s="15"/>
      <c r="AQ256" s="31"/>
    </row>
    <row r="257" spans="3:43" ht="12.75" x14ac:dyDescent="0.2">
      <c r="C257" s="31"/>
      <c r="E257" s="15"/>
      <c r="AQ257" s="31"/>
    </row>
    <row r="258" spans="3:43" ht="12.75" x14ac:dyDescent="0.2">
      <c r="C258" s="31"/>
      <c r="E258" s="15"/>
      <c r="AQ258" s="31"/>
    </row>
    <row r="259" spans="3:43" ht="12.75" x14ac:dyDescent="0.2">
      <c r="C259" s="31"/>
      <c r="E259" s="15"/>
      <c r="AQ259" s="31"/>
    </row>
    <row r="260" spans="3:43" ht="12.75" x14ac:dyDescent="0.2">
      <c r="C260" s="31"/>
      <c r="E260" s="15"/>
      <c r="AQ260" s="31"/>
    </row>
    <row r="261" spans="3:43" ht="12.75" x14ac:dyDescent="0.2">
      <c r="C261" s="31"/>
      <c r="E261" s="15"/>
      <c r="AQ261" s="31"/>
    </row>
    <row r="262" spans="3:43" ht="12.75" x14ac:dyDescent="0.2">
      <c r="C262" s="31"/>
      <c r="E262" s="15"/>
      <c r="AQ262" s="31"/>
    </row>
    <row r="263" spans="3:43" ht="12.75" x14ac:dyDescent="0.2">
      <c r="C263" s="31"/>
      <c r="E263" s="15"/>
      <c r="AQ263" s="31"/>
    </row>
    <row r="264" spans="3:43" ht="12.75" x14ac:dyDescent="0.2">
      <c r="C264" s="31"/>
      <c r="E264" s="15"/>
      <c r="AQ264" s="31"/>
    </row>
    <row r="265" spans="3:43" ht="12.75" x14ac:dyDescent="0.2">
      <c r="C265" s="31"/>
      <c r="E265" s="15"/>
      <c r="AQ265" s="31"/>
    </row>
    <row r="266" spans="3:43" ht="12.75" x14ac:dyDescent="0.2">
      <c r="C266" s="31"/>
      <c r="E266" s="15"/>
      <c r="AQ266" s="31"/>
    </row>
    <row r="267" spans="3:43" ht="12.75" x14ac:dyDescent="0.2">
      <c r="C267" s="31"/>
      <c r="E267" s="15"/>
      <c r="AQ267" s="31"/>
    </row>
    <row r="268" spans="3:43" ht="12.75" x14ac:dyDescent="0.2">
      <c r="C268" s="31"/>
      <c r="E268" s="15"/>
      <c r="AQ268" s="31"/>
    </row>
    <row r="269" spans="3:43" ht="12.75" x14ac:dyDescent="0.2">
      <c r="C269" s="31"/>
      <c r="E269" s="15"/>
      <c r="AQ269" s="31"/>
    </row>
    <row r="270" spans="3:43" ht="12.75" x14ac:dyDescent="0.2">
      <c r="C270" s="31"/>
      <c r="E270" s="15"/>
      <c r="AQ270" s="31"/>
    </row>
    <row r="271" spans="3:43" ht="12.75" x14ac:dyDescent="0.2">
      <c r="C271" s="31"/>
      <c r="E271" s="15"/>
      <c r="AQ271" s="31"/>
    </row>
    <row r="272" spans="3:43" ht="12.75" x14ac:dyDescent="0.2">
      <c r="C272" s="31"/>
      <c r="E272" s="15"/>
      <c r="AQ272" s="31"/>
    </row>
    <row r="273" spans="3:43" ht="12.75" x14ac:dyDescent="0.2">
      <c r="C273" s="31"/>
      <c r="E273" s="15"/>
      <c r="AQ273" s="31"/>
    </row>
    <row r="274" spans="3:43" ht="12.75" x14ac:dyDescent="0.2">
      <c r="C274" s="31"/>
      <c r="E274" s="15"/>
      <c r="AQ274" s="31"/>
    </row>
    <row r="275" spans="3:43" ht="12.75" x14ac:dyDescent="0.2">
      <c r="C275" s="31"/>
      <c r="E275" s="15"/>
      <c r="AQ275" s="31"/>
    </row>
    <row r="276" spans="3:43" ht="12.75" x14ac:dyDescent="0.2">
      <c r="C276" s="31"/>
      <c r="E276" s="15"/>
      <c r="AQ276" s="31"/>
    </row>
    <row r="277" spans="3:43" ht="12.75" x14ac:dyDescent="0.2">
      <c r="C277" s="31"/>
      <c r="E277" s="15"/>
      <c r="AQ277" s="31"/>
    </row>
    <row r="278" spans="3:43" ht="12.75" x14ac:dyDescent="0.2">
      <c r="C278" s="31"/>
      <c r="E278" s="15"/>
      <c r="AQ278" s="31"/>
    </row>
    <row r="279" spans="3:43" ht="12.75" x14ac:dyDescent="0.2">
      <c r="C279" s="31"/>
      <c r="E279" s="15"/>
      <c r="AQ279" s="31"/>
    </row>
    <row r="280" spans="3:43" ht="12.75" x14ac:dyDescent="0.2">
      <c r="C280" s="31"/>
      <c r="E280" s="15"/>
      <c r="AQ280" s="31"/>
    </row>
    <row r="281" spans="3:43" ht="12.75" x14ac:dyDescent="0.2">
      <c r="C281" s="31"/>
      <c r="E281" s="15"/>
      <c r="AQ281" s="31"/>
    </row>
    <row r="282" spans="3:43" ht="12.75" x14ac:dyDescent="0.2">
      <c r="C282" s="31"/>
      <c r="E282" s="15"/>
      <c r="AQ282" s="31"/>
    </row>
    <row r="283" spans="3:43" ht="12.75" x14ac:dyDescent="0.2">
      <c r="C283" s="31"/>
      <c r="E283" s="15"/>
      <c r="AQ283" s="31"/>
    </row>
    <row r="284" spans="3:43" ht="12.75" x14ac:dyDescent="0.2">
      <c r="C284" s="31"/>
      <c r="E284" s="15"/>
      <c r="AQ284" s="31"/>
    </row>
    <row r="285" spans="3:43" ht="12.75" x14ac:dyDescent="0.2">
      <c r="C285" s="31"/>
      <c r="E285" s="15"/>
      <c r="AQ285" s="31"/>
    </row>
    <row r="286" spans="3:43" ht="12.75" x14ac:dyDescent="0.2">
      <c r="C286" s="31"/>
      <c r="E286" s="15"/>
      <c r="AQ286" s="31"/>
    </row>
    <row r="287" spans="3:43" ht="12.75" x14ac:dyDescent="0.2">
      <c r="C287" s="31"/>
      <c r="E287" s="15"/>
      <c r="AQ287" s="31"/>
    </row>
    <row r="288" spans="3:43" ht="12.75" x14ac:dyDescent="0.2">
      <c r="C288" s="31"/>
      <c r="E288" s="15"/>
      <c r="AQ288" s="31"/>
    </row>
    <row r="289" spans="3:43" ht="12.75" x14ac:dyDescent="0.2">
      <c r="C289" s="31"/>
      <c r="E289" s="15"/>
      <c r="AQ289" s="31"/>
    </row>
    <row r="290" spans="3:43" ht="12.75" x14ac:dyDescent="0.2">
      <c r="C290" s="31"/>
      <c r="E290" s="15"/>
      <c r="AQ290" s="31"/>
    </row>
    <row r="291" spans="3:43" ht="12.75" x14ac:dyDescent="0.2">
      <c r="C291" s="31"/>
      <c r="E291" s="15"/>
      <c r="AQ291" s="31"/>
    </row>
    <row r="292" spans="3:43" ht="12.75" x14ac:dyDescent="0.2">
      <c r="C292" s="31"/>
      <c r="E292" s="15"/>
      <c r="AQ292" s="31"/>
    </row>
    <row r="293" spans="3:43" ht="12.75" x14ac:dyDescent="0.2">
      <c r="C293" s="31"/>
      <c r="E293" s="15"/>
      <c r="AQ293" s="31"/>
    </row>
    <row r="294" spans="3:43" ht="12.75" x14ac:dyDescent="0.2">
      <c r="C294" s="31"/>
      <c r="E294" s="15"/>
      <c r="AQ294" s="31"/>
    </row>
    <row r="295" spans="3:43" ht="12.75" x14ac:dyDescent="0.2">
      <c r="C295" s="31"/>
      <c r="E295" s="15"/>
      <c r="AQ295" s="31"/>
    </row>
    <row r="296" spans="3:43" ht="12.75" x14ac:dyDescent="0.2">
      <c r="C296" s="31"/>
      <c r="E296" s="15"/>
      <c r="AQ296" s="31"/>
    </row>
    <row r="297" spans="3:43" ht="12.75" x14ac:dyDescent="0.2">
      <c r="C297" s="31"/>
      <c r="E297" s="15"/>
      <c r="AQ297" s="31"/>
    </row>
    <row r="298" spans="3:43" ht="12.75" x14ac:dyDescent="0.2">
      <c r="C298" s="31"/>
      <c r="E298" s="15"/>
      <c r="AQ298" s="31"/>
    </row>
    <row r="299" spans="3:43" ht="12.75" x14ac:dyDescent="0.2">
      <c r="C299" s="31"/>
      <c r="E299" s="15"/>
      <c r="AQ299" s="31"/>
    </row>
    <row r="300" spans="3:43" ht="12.75" x14ac:dyDescent="0.2">
      <c r="C300" s="31"/>
      <c r="E300" s="15"/>
      <c r="AQ300" s="31"/>
    </row>
    <row r="301" spans="3:43" ht="12.75" x14ac:dyDescent="0.2">
      <c r="C301" s="31"/>
      <c r="E301" s="15"/>
      <c r="AQ301" s="31"/>
    </row>
    <row r="302" spans="3:43" ht="12.75" x14ac:dyDescent="0.2">
      <c r="C302" s="31"/>
      <c r="E302" s="15"/>
      <c r="AQ302" s="31"/>
    </row>
    <row r="303" spans="3:43" ht="12.75" x14ac:dyDescent="0.2">
      <c r="C303" s="31"/>
      <c r="E303" s="15"/>
      <c r="AQ303" s="31"/>
    </row>
    <row r="304" spans="3:43" ht="12.75" x14ac:dyDescent="0.2">
      <c r="C304" s="31"/>
      <c r="E304" s="15"/>
      <c r="AQ304" s="31"/>
    </row>
    <row r="305" spans="3:43" ht="12.75" x14ac:dyDescent="0.2">
      <c r="C305" s="31"/>
      <c r="E305" s="15"/>
      <c r="AQ305" s="31"/>
    </row>
    <row r="306" spans="3:43" ht="12.75" x14ac:dyDescent="0.2">
      <c r="C306" s="31"/>
      <c r="E306" s="15"/>
      <c r="AQ306" s="31"/>
    </row>
    <row r="307" spans="3:43" ht="12.75" x14ac:dyDescent="0.2">
      <c r="C307" s="31"/>
      <c r="E307" s="15"/>
      <c r="AQ307" s="31"/>
    </row>
    <row r="308" spans="3:43" ht="12.75" x14ac:dyDescent="0.2">
      <c r="C308" s="31"/>
      <c r="E308" s="15"/>
      <c r="AQ308" s="31"/>
    </row>
    <row r="309" spans="3:43" ht="12.75" x14ac:dyDescent="0.2">
      <c r="C309" s="31"/>
      <c r="E309" s="15"/>
      <c r="AQ309" s="31"/>
    </row>
    <row r="310" spans="3:43" ht="12.75" x14ac:dyDescent="0.2">
      <c r="C310" s="31"/>
      <c r="E310" s="15"/>
      <c r="AQ310" s="31"/>
    </row>
    <row r="311" spans="3:43" ht="12.75" x14ac:dyDescent="0.2">
      <c r="C311" s="31"/>
      <c r="E311" s="15"/>
      <c r="AQ311" s="31"/>
    </row>
    <row r="312" spans="3:43" ht="12.75" x14ac:dyDescent="0.2">
      <c r="C312" s="31"/>
      <c r="E312" s="15"/>
      <c r="AQ312" s="31"/>
    </row>
    <row r="313" spans="3:43" ht="12.75" x14ac:dyDescent="0.2">
      <c r="C313" s="31"/>
      <c r="E313" s="15"/>
      <c r="AQ313" s="31"/>
    </row>
    <row r="314" spans="3:43" ht="12.75" x14ac:dyDescent="0.2">
      <c r="C314" s="31"/>
      <c r="E314" s="15"/>
      <c r="AQ314" s="31"/>
    </row>
    <row r="315" spans="3:43" ht="12.75" x14ac:dyDescent="0.2">
      <c r="C315" s="31"/>
      <c r="E315" s="15"/>
      <c r="AQ315" s="31"/>
    </row>
    <row r="316" spans="3:43" ht="12.75" x14ac:dyDescent="0.2">
      <c r="C316" s="31"/>
      <c r="E316" s="15"/>
      <c r="AQ316" s="31"/>
    </row>
    <row r="317" spans="3:43" ht="12.75" x14ac:dyDescent="0.2">
      <c r="C317" s="31"/>
      <c r="E317" s="15"/>
      <c r="AQ317" s="31"/>
    </row>
    <row r="318" spans="3:43" ht="12.75" x14ac:dyDescent="0.2">
      <c r="C318" s="31"/>
      <c r="E318" s="15"/>
      <c r="AQ318" s="31"/>
    </row>
    <row r="319" spans="3:43" ht="12.75" x14ac:dyDescent="0.2">
      <c r="C319" s="31"/>
      <c r="E319" s="15"/>
      <c r="AQ319" s="31"/>
    </row>
    <row r="320" spans="3:43" ht="12.75" x14ac:dyDescent="0.2">
      <c r="C320" s="31"/>
      <c r="E320" s="15"/>
      <c r="AQ320" s="31"/>
    </row>
    <row r="321" spans="3:43" ht="12.75" x14ac:dyDescent="0.2">
      <c r="C321" s="31"/>
      <c r="E321" s="15"/>
      <c r="AQ321" s="31"/>
    </row>
    <row r="322" spans="3:43" ht="12.75" x14ac:dyDescent="0.2">
      <c r="C322" s="31"/>
      <c r="E322" s="15"/>
      <c r="AQ322" s="31"/>
    </row>
    <row r="323" spans="3:43" ht="12.75" x14ac:dyDescent="0.2">
      <c r="C323" s="31"/>
      <c r="E323" s="15"/>
      <c r="AQ323" s="31"/>
    </row>
    <row r="324" spans="3:43" ht="12.75" x14ac:dyDescent="0.2">
      <c r="C324" s="31"/>
      <c r="E324" s="15"/>
      <c r="AQ324" s="31"/>
    </row>
    <row r="325" spans="3:43" ht="12.75" x14ac:dyDescent="0.2">
      <c r="C325" s="31"/>
      <c r="E325" s="15"/>
      <c r="AQ325" s="31"/>
    </row>
    <row r="326" spans="3:43" ht="12.75" x14ac:dyDescent="0.2">
      <c r="C326" s="31"/>
      <c r="E326" s="15"/>
      <c r="AQ326" s="31"/>
    </row>
    <row r="327" spans="3:43" ht="12.75" x14ac:dyDescent="0.2">
      <c r="C327" s="31"/>
      <c r="E327" s="15"/>
      <c r="AQ327" s="31"/>
    </row>
    <row r="328" spans="3:43" ht="12.75" x14ac:dyDescent="0.2">
      <c r="C328" s="31"/>
      <c r="E328" s="15"/>
      <c r="AQ328" s="31"/>
    </row>
    <row r="329" spans="3:43" ht="12.75" x14ac:dyDescent="0.2">
      <c r="C329" s="31"/>
      <c r="E329" s="15"/>
      <c r="AQ329" s="31"/>
    </row>
    <row r="330" spans="3:43" ht="12.75" x14ac:dyDescent="0.2">
      <c r="C330" s="31"/>
      <c r="E330" s="15"/>
      <c r="AQ330" s="31"/>
    </row>
    <row r="331" spans="3:43" ht="12.75" x14ac:dyDescent="0.2">
      <c r="C331" s="31"/>
      <c r="E331" s="15"/>
      <c r="AQ331" s="31"/>
    </row>
    <row r="332" spans="3:43" ht="12.75" x14ac:dyDescent="0.2">
      <c r="C332" s="31"/>
      <c r="E332" s="15"/>
      <c r="AQ332" s="31"/>
    </row>
    <row r="333" spans="3:43" ht="12.75" x14ac:dyDescent="0.2">
      <c r="C333" s="31"/>
      <c r="E333" s="15"/>
      <c r="AQ333" s="31"/>
    </row>
    <row r="334" spans="3:43" ht="12.75" x14ac:dyDescent="0.2">
      <c r="C334" s="31"/>
      <c r="E334" s="15"/>
      <c r="AQ334" s="31"/>
    </row>
    <row r="335" spans="3:43" ht="12.75" x14ac:dyDescent="0.2">
      <c r="C335" s="31"/>
      <c r="E335" s="15"/>
      <c r="AQ335" s="31"/>
    </row>
    <row r="336" spans="3:43" ht="12.75" x14ac:dyDescent="0.2">
      <c r="C336" s="31"/>
      <c r="E336" s="15"/>
      <c r="AQ336" s="31"/>
    </row>
    <row r="337" spans="3:43" ht="12.75" x14ac:dyDescent="0.2">
      <c r="C337" s="31"/>
      <c r="E337" s="15"/>
      <c r="AQ337" s="31"/>
    </row>
    <row r="338" spans="3:43" ht="12.75" x14ac:dyDescent="0.2">
      <c r="C338" s="31"/>
      <c r="E338" s="15"/>
      <c r="AQ338" s="31"/>
    </row>
    <row r="339" spans="3:43" ht="12.75" x14ac:dyDescent="0.2">
      <c r="C339" s="31"/>
      <c r="E339" s="15"/>
      <c r="AQ339" s="31"/>
    </row>
    <row r="340" spans="3:43" ht="12.75" x14ac:dyDescent="0.2">
      <c r="C340" s="31"/>
      <c r="E340" s="15"/>
      <c r="AQ340" s="31"/>
    </row>
    <row r="341" spans="3:43" ht="12.75" x14ac:dyDescent="0.2">
      <c r="C341" s="31"/>
      <c r="E341" s="15"/>
      <c r="AQ341" s="31"/>
    </row>
    <row r="342" spans="3:43" ht="12.75" x14ac:dyDescent="0.2">
      <c r="C342" s="31"/>
      <c r="E342" s="15"/>
      <c r="AQ342" s="31"/>
    </row>
    <row r="343" spans="3:43" ht="12.75" x14ac:dyDescent="0.2">
      <c r="C343" s="31"/>
      <c r="E343" s="15"/>
      <c r="AQ343" s="31"/>
    </row>
    <row r="344" spans="3:43" ht="12.75" x14ac:dyDescent="0.2">
      <c r="C344" s="31"/>
      <c r="E344" s="15"/>
      <c r="AQ344" s="31"/>
    </row>
    <row r="345" spans="3:43" ht="12.75" x14ac:dyDescent="0.2">
      <c r="C345" s="31"/>
      <c r="E345" s="15"/>
      <c r="AQ345" s="31"/>
    </row>
    <row r="346" spans="3:43" ht="12.75" x14ac:dyDescent="0.2">
      <c r="C346" s="31"/>
      <c r="E346" s="15"/>
      <c r="AQ346" s="31"/>
    </row>
    <row r="347" spans="3:43" ht="12.75" x14ac:dyDescent="0.2">
      <c r="C347" s="31"/>
      <c r="E347" s="15"/>
      <c r="AQ347" s="31"/>
    </row>
    <row r="348" spans="3:43" ht="12.75" x14ac:dyDescent="0.2">
      <c r="C348" s="31"/>
      <c r="E348" s="15"/>
      <c r="AQ348" s="31"/>
    </row>
    <row r="349" spans="3:43" ht="12.75" x14ac:dyDescent="0.2">
      <c r="C349" s="31"/>
      <c r="E349" s="15"/>
      <c r="AQ349" s="31"/>
    </row>
    <row r="350" spans="3:43" ht="12.75" x14ac:dyDescent="0.2">
      <c r="C350" s="31"/>
      <c r="E350" s="15"/>
      <c r="AQ350" s="31"/>
    </row>
    <row r="351" spans="3:43" ht="12.75" x14ac:dyDescent="0.2">
      <c r="C351" s="31"/>
      <c r="E351" s="15"/>
      <c r="AQ351" s="31"/>
    </row>
    <row r="352" spans="3:43" ht="12.75" x14ac:dyDescent="0.2">
      <c r="C352" s="31"/>
      <c r="E352" s="15"/>
      <c r="AQ352" s="31"/>
    </row>
    <row r="353" spans="3:43" ht="12.75" x14ac:dyDescent="0.2">
      <c r="C353" s="31"/>
      <c r="E353" s="15"/>
      <c r="AQ353" s="31"/>
    </row>
    <row r="354" spans="3:43" ht="12.75" x14ac:dyDescent="0.2">
      <c r="C354" s="31"/>
      <c r="E354" s="15"/>
      <c r="AQ354" s="31"/>
    </row>
    <row r="355" spans="3:43" ht="12.75" x14ac:dyDescent="0.2">
      <c r="C355" s="31"/>
      <c r="E355" s="15"/>
      <c r="AQ355" s="31"/>
    </row>
    <row r="356" spans="3:43" ht="12.75" x14ac:dyDescent="0.2">
      <c r="C356" s="31"/>
      <c r="E356" s="15"/>
      <c r="AQ356" s="31"/>
    </row>
    <row r="357" spans="3:43" ht="12.75" x14ac:dyDescent="0.2">
      <c r="C357" s="31"/>
      <c r="E357" s="15"/>
      <c r="AQ357" s="31"/>
    </row>
    <row r="358" spans="3:43" ht="12.75" x14ac:dyDescent="0.2">
      <c r="C358" s="31"/>
      <c r="E358" s="15"/>
      <c r="AQ358" s="31"/>
    </row>
    <row r="359" spans="3:43" ht="12.75" x14ac:dyDescent="0.2">
      <c r="C359" s="31"/>
      <c r="E359" s="15"/>
      <c r="AQ359" s="31"/>
    </row>
    <row r="360" spans="3:43" ht="12.75" x14ac:dyDescent="0.2">
      <c r="C360" s="31"/>
      <c r="E360" s="15"/>
      <c r="AQ360" s="31"/>
    </row>
    <row r="361" spans="3:43" ht="12.75" x14ac:dyDescent="0.2">
      <c r="C361" s="31"/>
      <c r="E361" s="15"/>
      <c r="AQ361" s="31"/>
    </row>
    <row r="362" spans="3:43" ht="12.75" x14ac:dyDescent="0.2">
      <c r="C362" s="31"/>
      <c r="E362" s="15"/>
      <c r="AQ362" s="31"/>
    </row>
    <row r="363" spans="3:43" ht="12.75" x14ac:dyDescent="0.2">
      <c r="C363" s="31"/>
      <c r="E363" s="15"/>
      <c r="AQ363" s="31"/>
    </row>
    <row r="364" spans="3:43" ht="12.75" x14ac:dyDescent="0.2">
      <c r="C364" s="31"/>
      <c r="E364" s="15"/>
      <c r="AQ364" s="31"/>
    </row>
    <row r="365" spans="3:43" ht="12.75" x14ac:dyDescent="0.2">
      <c r="C365" s="31"/>
      <c r="E365" s="15"/>
      <c r="AQ365" s="31"/>
    </row>
    <row r="366" spans="3:43" ht="12.75" x14ac:dyDescent="0.2">
      <c r="C366" s="31"/>
      <c r="E366" s="15"/>
      <c r="AQ366" s="31"/>
    </row>
    <row r="367" spans="3:43" ht="12.75" x14ac:dyDescent="0.2">
      <c r="C367" s="31"/>
      <c r="E367" s="15"/>
      <c r="AQ367" s="31"/>
    </row>
    <row r="368" spans="3:43" ht="12.75" x14ac:dyDescent="0.2">
      <c r="C368" s="31"/>
      <c r="E368" s="15"/>
      <c r="AQ368" s="31"/>
    </row>
    <row r="369" spans="3:43" ht="12.75" x14ac:dyDescent="0.2">
      <c r="C369" s="31"/>
      <c r="E369" s="15"/>
      <c r="AQ369" s="31"/>
    </row>
    <row r="370" spans="3:43" ht="12.75" x14ac:dyDescent="0.2">
      <c r="C370" s="31"/>
      <c r="E370" s="15"/>
      <c r="AQ370" s="31"/>
    </row>
    <row r="371" spans="3:43" ht="12.75" x14ac:dyDescent="0.2">
      <c r="C371" s="31"/>
      <c r="E371" s="15"/>
      <c r="AQ371" s="31"/>
    </row>
    <row r="372" spans="3:43" ht="12.75" x14ac:dyDescent="0.2">
      <c r="C372" s="31"/>
      <c r="E372" s="15"/>
      <c r="AQ372" s="31"/>
    </row>
    <row r="373" spans="3:43" ht="12.75" x14ac:dyDescent="0.2">
      <c r="C373" s="31"/>
      <c r="E373" s="15"/>
      <c r="AQ373" s="31"/>
    </row>
    <row r="374" spans="3:43" ht="12.75" x14ac:dyDescent="0.2">
      <c r="C374" s="31"/>
      <c r="E374" s="15"/>
      <c r="AQ374" s="31"/>
    </row>
    <row r="375" spans="3:43" ht="12.75" x14ac:dyDescent="0.2">
      <c r="C375" s="31"/>
      <c r="E375" s="15"/>
      <c r="AQ375" s="31"/>
    </row>
    <row r="376" spans="3:43" ht="12.75" x14ac:dyDescent="0.2">
      <c r="C376" s="31"/>
      <c r="E376" s="15"/>
      <c r="AQ376" s="31"/>
    </row>
    <row r="377" spans="3:43" ht="12.75" x14ac:dyDescent="0.2">
      <c r="C377" s="31"/>
      <c r="E377" s="15"/>
      <c r="AQ377" s="31"/>
    </row>
    <row r="378" spans="3:43" ht="12.75" x14ac:dyDescent="0.2">
      <c r="C378" s="31"/>
      <c r="E378" s="15"/>
      <c r="AQ378" s="31"/>
    </row>
    <row r="379" spans="3:43" ht="12.75" x14ac:dyDescent="0.2">
      <c r="C379" s="31"/>
      <c r="E379" s="15"/>
      <c r="AQ379" s="31"/>
    </row>
    <row r="380" spans="3:43" ht="12.75" x14ac:dyDescent="0.2">
      <c r="C380" s="31"/>
      <c r="E380" s="15"/>
      <c r="AQ380" s="31"/>
    </row>
    <row r="381" spans="3:43" ht="12.75" x14ac:dyDescent="0.2">
      <c r="C381" s="31"/>
      <c r="E381" s="15"/>
      <c r="AQ381" s="31"/>
    </row>
    <row r="382" spans="3:43" ht="12.75" x14ac:dyDescent="0.2">
      <c r="C382" s="31"/>
      <c r="E382" s="15"/>
      <c r="AQ382" s="31"/>
    </row>
    <row r="383" spans="3:43" ht="12.75" x14ac:dyDescent="0.2">
      <c r="C383" s="31"/>
      <c r="E383" s="15"/>
      <c r="AQ383" s="31"/>
    </row>
    <row r="384" spans="3:43" ht="12.75" x14ac:dyDescent="0.2">
      <c r="C384" s="31"/>
      <c r="E384" s="15"/>
      <c r="AQ384" s="31"/>
    </row>
    <row r="385" spans="3:43" ht="12.75" x14ac:dyDescent="0.2">
      <c r="C385" s="31"/>
      <c r="E385" s="15"/>
      <c r="AQ385" s="31"/>
    </row>
    <row r="386" spans="3:43" ht="12.75" x14ac:dyDescent="0.2">
      <c r="C386" s="31"/>
      <c r="E386" s="15"/>
      <c r="AQ386" s="31"/>
    </row>
    <row r="387" spans="3:43" ht="12.75" x14ac:dyDescent="0.2">
      <c r="C387" s="31"/>
      <c r="E387" s="15"/>
      <c r="AQ387" s="31"/>
    </row>
    <row r="388" spans="3:43" ht="12.75" x14ac:dyDescent="0.2">
      <c r="C388" s="31"/>
      <c r="E388" s="15"/>
      <c r="AQ388" s="31"/>
    </row>
    <row r="389" spans="3:43" ht="12.75" x14ac:dyDescent="0.2">
      <c r="C389" s="31"/>
      <c r="E389" s="15"/>
      <c r="AQ389" s="31"/>
    </row>
    <row r="390" spans="3:43" ht="12.75" x14ac:dyDescent="0.2">
      <c r="C390" s="31"/>
      <c r="E390" s="15"/>
      <c r="AQ390" s="31"/>
    </row>
    <row r="391" spans="3:43" ht="12.75" x14ac:dyDescent="0.2">
      <c r="C391" s="31"/>
      <c r="E391" s="15"/>
      <c r="AQ391" s="31"/>
    </row>
    <row r="392" spans="3:43" ht="12.75" x14ac:dyDescent="0.2">
      <c r="C392" s="31"/>
      <c r="E392" s="15"/>
      <c r="AQ392" s="31"/>
    </row>
    <row r="393" spans="3:43" ht="12.75" x14ac:dyDescent="0.2">
      <c r="C393" s="31"/>
      <c r="E393" s="15"/>
      <c r="AQ393" s="31"/>
    </row>
    <row r="394" spans="3:43" ht="12.75" x14ac:dyDescent="0.2">
      <c r="C394" s="31"/>
      <c r="E394" s="15"/>
      <c r="AQ394" s="31"/>
    </row>
    <row r="395" spans="3:43" ht="12.75" x14ac:dyDescent="0.2">
      <c r="C395" s="31"/>
      <c r="E395" s="15"/>
      <c r="AQ395" s="31"/>
    </row>
    <row r="396" spans="3:43" ht="12.75" x14ac:dyDescent="0.2">
      <c r="C396" s="31"/>
      <c r="E396" s="15"/>
      <c r="AQ396" s="31"/>
    </row>
    <row r="397" spans="3:43" ht="12.75" x14ac:dyDescent="0.2">
      <c r="C397" s="31"/>
      <c r="E397" s="15"/>
      <c r="AQ397" s="31"/>
    </row>
    <row r="398" spans="3:43" ht="12.75" x14ac:dyDescent="0.2">
      <c r="C398" s="31"/>
      <c r="E398" s="15"/>
      <c r="AQ398" s="31"/>
    </row>
    <row r="399" spans="3:43" ht="12.75" x14ac:dyDescent="0.2">
      <c r="C399" s="31"/>
      <c r="E399" s="15"/>
      <c r="AQ399" s="31"/>
    </row>
    <row r="400" spans="3:43" ht="12.75" x14ac:dyDescent="0.2">
      <c r="C400" s="31"/>
      <c r="E400" s="15"/>
      <c r="AQ400" s="31"/>
    </row>
    <row r="401" spans="3:43" ht="12.75" x14ac:dyDescent="0.2">
      <c r="C401" s="31"/>
      <c r="E401" s="15"/>
      <c r="AQ401" s="31"/>
    </row>
    <row r="402" spans="3:43" ht="12.75" x14ac:dyDescent="0.2">
      <c r="C402" s="31"/>
      <c r="E402" s="15"/>
      <c r="AQ402" s="31"/>
    </row>
    <row r="403" spans="3:43" ht="12.75" x14ac:dyDescent="0.2">
      <c r="C403" s="31"/>
      <c r="E403" s="15"/>
      <c r="AQ403" s="31"/>
    </row>
    <row r="404" spans="3:43" ht="12.75" x14ac:dyDescent="0.2">
      <c r="C404" s="31"/>
      <c r="E404" s="15"/>
      <c r="AQ404" s="31"/>
    </row>
    <row r="405" spans="3:43" ht="12.75" x14ac:dyDescent="0.2">
      <c r="C405" s="31"/>
      <c r="E405" s="15"/>
      <c r="AQ405" s="31"/>
    </row>
    <row r="406" spans="3:43" ht="12.75" x14ac:dyDescent="0.2">
      <c r="C406" s="31"/>
      <c r="E406" s="15"/>
      <c r="AQ406" s="31"/>
    </row>
    <row r="407" spans="3:43" ht="12.75" x14ac:dyDescent="0.2">
      <c r="C407" s="31"/>
      <c r="E407" s="15"/>
      <c r="AQ407" s="31"/>
    </row>
    <row r="408" spans="3:43" ht="12.75" x14ac:dyDescent="0.2">
      <c r="C408" s="31"/>
      <c r="E408" s="15"/>
      <c r="AQ408" s="31"/>
    </row>
    <row r="409" spans="3:43" ht="12.75" x14ac:dyDescent="0.2">
      <c r="C409" s="31"/>
      <c r="E409" s="15"/>
      <c r="AQ409" s="31"/>
    </row>
    <row r="410" spans="3:43" ht="12.75" x14ac:dyDescent="0.2">
      <c r="C410" s="31"/>
      <c r="E410" s="15"/>
      <c r="AQ410" s="31"/>
    </row>
    <row r="411" spans="3:43" ht="12.75" x14ac:dyDescent="0.2">
      <c r="C411" s="31"/>
      <c r="E411" s="15"/>
      <c r="AQ411" s="31"/>
    </row>
    <row r="412" spans="3:43" ht="12.75" x14ac:dyDescent="0.2">
      <c r="C412" s="31"/>
      <c r="E412" s="15"/>
      <c r="AQ412" s="31"/>
    </row>
    <row r="413" spans="3:43" ht="12.75" x14ac:dyDescent="0.2">
      <c r="C413" s="31"/>
      <c r="E413" s="15"/>
      <c r="AQ413" s="31"/>
    </row>
    <row r="414" spans="3:43" ht="12.75" x14ac:dyDescent="0.2">
      <c r="C414" s="31"/>
      <c r="E414" s="15"/>
      <c r="AQ414" s="31"/>
    </row>
    <row r="415" spans="3:43" ht="12.75" x14ac:dyDescent="0.2">
      <c r="C415" s="31"/>
      <c r="E415" s="15"/>
      <c r="AQ415" s="31"/>
    </row>
    <row r="416" spans="3:43" ht="12.75" x14ac:dyDescent="0.2">
      <c r="C416" s="31"/>
      <c r="E416" s="15"/>
      <c r="AQ416" s="31"/>
    </row>
    <row r="417" spans="3:43" ht="12.75" x14ac:dyDescent="0.2">
      <c r="C417" s="31"/>
      <c r="E417" s="15"/>
      <c r="AQ417" s="31"/>
    </row>
    <row r="418" spans="3:43" ht="12.75" x14ac:dyDescent="0.2">
      <c r="C418" s="31"/>
      <c r="E418" s="15"/>
      <c r="AQ418" s="31"/>
    </row>
    <row r="419" spans="3:43" ht="12.75" x14ac:dyDescent="0.2">
      <c r="C419" s="31"/>
      <c r="E419" s="15"/>
      <c r="AQ419" s="31"/>
    </row>
    <row r="420" spans="3:43" ht="12.75" x14ac:dyDescent="0.2">
      <c r="C420" s="31"/>
      <c r="E420" s="15"/>
      <c r="AQ420" s="31"/>
    </row>
    <row r="421" spans="3:43" ht="12.75" x14ac:dyDescent="0.2">
      <c r="C421" s="31"/>
      <c r="E421" s="15"/>
      <c r="AQ421" s="31"/>
    </row>
    <row r="422" spans="3:43" ht="12.75" x14ac:dyDescent="0.2">
      <c r="C422" s="31"/>
      <c r="E422" s="15"/>
      <c r="AQ422" s="31"/>
    </row>
    <row r="423" spans="3:43" ht="12.75" x14ac:dyDescent="0.2">
      <c r="C423" s="31"/>
      <c r="E423" s="15"/>
      <c r="AQ423" s="31"/>
    </row>
    <row r="424" spans="3:43" ht="12.75" x14ac:dyDescent="0.2">
      <c r="C424" s="31"/>
      <c r="E424" s="15"/>
      <c r="AQ424" s="31"/>
    </row>
    <row r="425" spans="3:43" ht="12.75" x14ac:dyDescent="0.2">
      <c r="C425" s="31"/>
      <c r="E425" s="15"/>
      <c r="AQ425" s="31"/>
    </row>
    <row r="426" spans="3:43" ht="12.75" x14ac:dyDescent="0.2">
      <c r="C426" s="31"/>
      <c r="E426" s="15"/>
      <c r="AQ426" s="31"/>
    </row>
    <row r="427" spans="3:43" ht="12.75" x14ac:dyDescent="0.2">
      <c r="C427" s="31"/>
      <c r="E427" s="15"/>
      <c r="AQ427" s="31"/>
    </row>
    <row r="428" spans="3:43" ht="12.75" x14ac:dyDescent="0.2">
      <c r="C428" s="31"/>
      <c r="E428" s="15"/>
      <c r="AQ428" s="31"/>
    </row>
    <row r="429" spans="3:43" ht="12.75" x14ac:dyDescent="0.2">
      <c r="C429" s="31"/>
      <c r="E429" s="15"/>
      <c r="AQ429" s="31"/>
    </row>
    <row r="430" spans="3:43" ht="12.75" x14ac:dyDescent="0.2">
      <c r="C430" s="31"/>
      <c r="E430" s="15"/>
      <c r="AQ430" s="31"/>
    </row>
    <row r="431" spans="3:43" ht="12.75" x14ac:dyDescent="0.2">
      <c r="C431" s="31"/>
      <c r="E431" s="15"/>
      <c r="AQ431" s="31"/>
    </row>
    <row r="432" spans="3:43" ht="12.75" x14ac:dyDescent="0.2">
      <c r="C432" s="31"/>
      <c r="E432" s="15"/>
      <c r="AQ432" s="31"/>
    </row>
    <row r="433" spans="3:43" ht="12.75" x14ac:dyDescent="0.2">
      <c r="C433" s="31"/>
      <c r="E433" s="15"/>
      <c r="AQ433" s="31"/>
    </row>
    <row r="434" spans="3:43" ht="12.75" x14ac:dyDescent="0.2">
      <c r="C434" s="31"/>
      <c r="E434" s="15"/>
      <c r="AQ434" s="31"/>
    </row>
    <row r="435" spans="3:43" ht="12.75" x14ac:dyDescent="0.2">
      <c r="C435" s="31"/>
      <c r="E435" s="15"/>
      <c r="AQ435" s="31"/>
    </row>
    <row r="436" spans="3:43" ht="12.75" x14ac:dyDescent="0.2">
      <c r="C436" s="31"/>
      <c r="E436" s="15"/>
      <c r="AQ436" s="31"/>
    </row>
    <row r="437" spans="3:43" ht="12.75" x14ac:dyDescent="0.2">
      <c r="C437" s="31"/>
      <c r="E437" s="15"/>
      <c r="AQ437" s="31"/>
    </row>
    <row r="438" spans="3:43" ht="12.75" x14ac:dyDescent="0.2">
      <c r="C438" s="31"/>
      <c r="E438" s="15"/>
      <c r="AQ438" s="31"/>
    </row>
    <row r="439" spans="3:43" ht="12.75" x14ac:dyDescent="0.2">
      <c r="C439" s="31"/>
      <c r="E439" s="15"/>
      <c r="AQ439" s="31"/>
    </row>
    <row r="440" spans="3:43" ht="12.75" x14ac:dyDescent="0.2">
      <c r="C440" s="31"/>
      <c r="E440" s="15"/>
      <c r="AQ440" s="31"/>
    </row>
    <row r="441" spans="3:43" ht="12.75" x14ac:dyDescent="0.2">
      <c r="C441" s="31"/>
      <c r="E441" s="15"/>
      <c r="AQ441" s="31"/>
    </row>
    <row r="442" spans="3:43" ht="12.75" x14ac:dyDescent="0.2">
      <c r="C442" s="31"/>
      <c r="E442" s="15"/>
      <c r="AQ442" s="31"/>
    </row>
    <row r="443" spans="3:43" ht="12.75" x14ac:dyDescent="0.2">
      <c r="C443" s="31"/>
      <c r="E443" s="15"/>
      <c r="AQ443" s="31"/>
    </row>
    <row r="444" spans="3:43" ht="12.75" x14ac:dyDescent="0.2">
      <c r="C444" s="31"/>
      <c r="E444" s="15"/>
      <c r="AQ444" s="31"/>
    </row>
    <row r="445" spans="3:43" ht="12.75" x14ac:dyDescent="0.2">
      <c r="C445" s="31"/>
      <c r="E445" s="15"/>
      <c r="AQ445" s="31"/>
    </row>
    <row r="446" spans="3:43" ht="12.75" x14ac:dyDescent="0.2">
      <c r="C446" s="31"/>
      <c r="E446" s="15"/>
      <c r="AQ446" s="31"/>
    </row>
    <row r="447" spans="3:43" ht="12.75" x14ac:dyDescent="0.2">
      <c r="C447" s="31"/>
      <c r="E447" s="15"/>
      <c r="AQ447" s="31"/>
    </row>
    <row r="448" spans="3:43" ht="12.75" x14ac:dyDescent="0.2">
      <c r="C448" s="31"/>
      <c r="E448" s="15"/>
      <c r="AQ448" s="31"/>
    </row>
    <row r="449" spans="3:43" ht="12.75" x14ac:dyDescent="0.2">
      <c r="C449" s="31"/>
      <c r="E449" s="15"/>
      <c r="AQ449" s="31"/>
    </row>
    <row r="450" spans="3:43" ht="12.75" x14ac:dyDescent="0.2">
      <c r="C450" s="31"/>
      <c r="E450" s="15"/>
      <c r="AQ450" s="31"/>
    </row>
    <row r="451" spans="3:43" ht="12.75" x14ac:dyDescent="0.2">
      <c r="C451" s="31"/>
      <c r="E451" s="15"/>
      <c r="AQ451" s="31"/>
    </row>
    <row r="452" spans="3:43" ht="12.75" x14ac:dyDescent="0.2">
      <c r="C452" s="31"/>
      <c r="E452" s="15"/>
      <c r="AQ452" s="31"/>
    </row>
    <row r="453" spans="3:43" ht="12.75" x14ac:dyDescent="0.2">
      <c r="C453" s="31"/>
      <c r="E453" s="15"/>
      <c r="AQ453" s="31"/>
    </row>
    <row r="454" spans="3:43" ht="12.75" x14ac:dyDescent="0.2">
      <c r="C454" s="31"/>
      <c r="E454" s="15"/>
      <c r="AQ454" s="31"/>
    </row>
    <row r="455" spans="3:43" ht="12.75" x14ac:dyDescent="0.2">
      <c r="C455" s="31"/>
      <c r="E455" s="15"/>
      <c r="AQ455" s="31"/>
    </row>
    <row r="456" spans="3:43" ht="12.75" x14ac:dyDescent="0.2">
      <c r="C456" s="31"/>
      <c r="E456" s="15"/>
      <c r="AQ456" s="31"/>
    </row>
    <row r="457" spans="3:43" ht="12.75" x14ac:dyDescent="0.2">
      <c r="C457" s="31"/>
      <c r="E457" s="15"/>
      <c r="AQ457" s="31"/>
    </row>
    <row r="458" spans="3:43" ht="12.75" x14ac:dyDescent="0.2">
      <c r="C458" s="31"/>
      <c r="E458" s="15"/>
      <c r="AQ458" s="31"/>
    </row>
    <row r="459" spans="3:43" ht="12.75" x14ac:dyDescent="0.2">
      <c r="C459" s="31"/>
      <c r="E459" s="15"/>
      <c r="AQ459" s="31"/>
    </row>
    <row r="460" spans="3:43" ht="12.75" x14ac:dyDescent="0.2">
      <c r="C460" s="31"/>
      <c r="E460" s="15"/>
      <c r="AQ460" s="31"/>
    </row>
    <row r="461" spans="3:43" ht="12.75" x14ac:dyDescent="0.2">
      <c r="C461" s="31"/>
      <c r="E461" s="15"/>
      <c r="AQ461" s="31"/>
    </row>
    <row r="462" spans="3:43" ht="12.75" x14ac:dyDescent="0.2">
      <c r="C462" s="31"/>
      <c r="E462" s="15"/>
      <c r="AQ462" s="31"/>
    </row>
    <row r="463" spans="3:43" ht="12.75" x14ac:dyDescent="0.2">
      <c r="C463" s="31"/>
      <c r="E463" s="15"/>
      <c r="AQ463" s="31"/>
    </row>
    <row r="464" spans="3:43" ht="12.75" x14ac:dyDescent="0.2">
      <c r="C464" s="31"/>
      <c r="E464" s="15"/>
      <c r="AQ464" s="31"/>
    </row>
    <row r="465" spans="3:43" ht="12.75" x14ac:dyDescent="0.2">
      <c r="C465" s="31"/>
      <c r="E465" s="15"/>
      <c r="AQ465" s="31"/>
    </row>
    <row r="466" spans="3:43" ht="12.75" x14ac:dyDescent="0.2">
      <c r="C466" s="31"/>
      <c r="E466" s="15"/>
      <c r="AQ466" s="31"/>
    </row>
    <row r="467" spans="3:43" ht="12.75" x14ac:dyDescent="0.2">
      <c r="C467" s="31"/>
      <c r="E467" s="15"/>
      <c r="AQ467" s="31"/>
    </row>
    <row r="468" spans="3:43" ht="12.75" x14ac:dyDescent="0.2">
      <c r="C468" s="31"/>
      <c r="E468" s="15"/>
      <c r="AQ468" s="31"/>
    </row>
    <row r="469" spans="3:43" ht="12.75" x14ac:dyDescent="0.2">
      <c r="C469" s="31"/>
      <c r="E469" s="15"/>
      <c r="AQ469" s="31"/>
    </row>
    <row r="470" spans="3:43" ht="12.75" x14ac:dyDescent="0.2">
      <c r="C470" s="31"/>
      <c r="E470" s="15"/>
      <c r="AQ470" s="31"/>
    </row>
    <row r="471" spans="3:43" ht="12.75" x14ac:dyDescent="0.2">
      <c r="C471" s="31"/>
      <c r="E471" s="15"/>
      <c r="AQ471" s="31"/>
    </row>
    <row r="472" spans="3:43" ht="12.75" x14ac:dyDescent="0.2">
      <c r="C472" s="31"/>
      <c r="E472" s="15"/>
      <c r="AQ472" s="31"/>
    </row>
    <row r="473" spans="3:43" ht="12.75" x14ac:dyDescent="0.2">
      <c r="C473" s="31"/>
      <c r="E473" s="15"/>
      <c r="AQ473" s="31"/>
    </row>
    <row r="474" spans="3:43" ht="12.75" x14ac:dyDescent="0.2">
      <c r="C474" s="31"/>
      <c r="E474" s="15"/>
      <c r="AQ474" s="31"/>
    </row>
    <row r="475" spans="3:43" ht="12.75" x14ac:dyDescent="0.2">
      <c r="C475" s="31"/>
      <c r="E475" s="15"/>
      <c r="AQ475" s="31"/>
    </row>
    <row r="476" spans="3:43" ht="12.75" x14ac:dyDescent="0.2">
      <c r="C476" s="31"/>
      <c r="E476" s="15"/>
      <c r="AQ476" s="31"/>
    </row>
    <row r="477" spans="3:43" ht="12.75" x14ac:dyDescent="0.2">
      <c r="C477" s="31"/>
      <c r="E477" s="15"/>
      <c r="AQ477" s="31"/>
    </row>
    <row r="478" spans="3:43" ht="12.75" x14ac:dyDescent="0.2">
      <c r="C478" s="31"/>
      <c r="E478" s="15"/>
      <c r="AQ478" s="31"/>
    </row>
    <row r="479" spans="3:43" ht="12.75" x14ac:dyDescent="0.2">
      <c r="C479" s="31"/>
      <c r="E479" s="15"/>
      <c r="AQ479" s="31"/>
    </row>
    <row r="480" spans="3:43" ht="12.75" x14ac:dyDescent="0.2">
      <c r="C480" s="31"/>
      <c r="E480" s="15"/>
      <c r="AQ480" s="31"/>
    </row>
    <row r="481" spans="3:43" ht="12.75" x14ac:dyDescent="0.2">
      <c r="C481" s="31"/>
      <c r="E481" s="15"/>
      <c r="AQ481" s="31"/>
    </row>
    <row r="482" spans="3:43" ht="12.75" x14ac:dyDescent="0.2">
      <c r="C482" s="31"/>
      <c r="E482" s="15"/>
      <c r="AQ482" s="31"/>
    </row>
    <row r="483" spans="3:43" ht="12.75" x14ac:dyDescent="0.2">
      <c r="C483" s="31"/>
      <c r="E483" s="15"/>
      <c r="AQ483" s="31"/>
    </row>
    <row r="484" spans="3:43" ht="12.75" x14ac:dyDescent="0.2">
      <c r="C484" s="31"/>
      <c r="E484" s="15"/>
      <c r="AQ484" s="31"/>
    </row>
    <row r="485" spans="3:43" ht="12.75" x14ac:dyDescent="0.2">
      <c r="C485" s="31"/>
      <c r="E485" s="15"/>
      <c r="AQ485" s="31"/>
    </row>
    <row r="486" spans="3:43" ht="12.75" x14ac:dyDescent="0.2">
      <c r="C486" s="31"/>
      <c r="E486" s="15"/>
      <c r="AQ486" s="31"/>
    </row>
    <row r="487" spans="3:43" ht="12.75" x14ac:dyDescent="0.2">
      <c r="C487" s="31"/>
      <c r="E487" s="15"/>
      <c r="AQ487" s="31"/>
    </row>
    <row r="488" spans="3:43" ht="12.75" x14ac:dyDescent="0.2">
      <c r="C488" s="31"/>
      <c r="E488" s="15"/>
      <c r="AQ488" s="31"/>
    </row>
    <row r="489" spans="3:43" ht="12.75" x14ac:dyDescent="0.2">
      <c r="C489" s="31"/>
      <c r="E489" s="15"/>
      <c r="AQ489" s="31"/>
    </row>
    <row r="490" spans="3:43" ht="12.75" x14ac:dyDescent="0.2">
      <c r="C490" s="31"/>
      <c r="E490" s="15"/>
      <c r="AQ490" s="31"/>
    </row>
    <row r="491" spans="3:43" ht="12.75" x14ac:dyDescent="0.2">
      <c r="C491" s="31"/>
      <c r="E491" s="15"/>
      <c r="AQ491" s="31"/>
    </row>
    <row r="492" spans="3:43" ht="12.75" x14ac:dyDescent="0.2">
      <c r="C492" s="31"/>
      <c r="E492" s="15"/>
      <c r="AQ492" s="31"/>
    </row>
    <row r="493" spans="3:43" ht="12.75" x14ac:dyDescent="0.2">
      <c r="C493" s="31"/>
      <c r="E493" s="15"/>
      <c r="AQ493" s="31"/>
    </row>
    <row r="494" spans="3:43" ht="12.75" x14ac:dyDescent="0.2">
      <c r="C494" s="31"/>
      <c r="E494" s="15"/>
      <c r="AQ494" s="31"/>
    </row>
    <row r="495" spans="3:43" ht="12.75" x14ac:dyDescent="0.2">
      <c r="C495" s="31"/>
      <c r="E495" s="15"/>
      <c r="AQ495" s="31"/>
    </row>
    <row r="496" spans="3:43" ht="12.75" x14ac:dyDescent="0.2">
      <c r="C496" s="31"/>
      <c r="E496" s="15"/>
      <c r="AQ496" s="31"/>
    </row>
    <row r="497" spans="3:43" ht="12.75" x14ac:dyDescent="0.2">
      <c r="C497" s="31"/>
      <c r="E497" s="15"/>
      <c r="AQ497" s="31"/>
    </row>
    <row r="498" spans="3:43" ht="12.75" x14ac:dyDescent="0.2">
      <c r="C498" s="31"/>
      <c r="E498" s="15"/>
      <c r="AQ498" s="31"/>
    </row>
    <row r="499" spans="3:43" ht="12.75" x14ac:dyDescent="0.2">
      <c r="C499" s="31"/>
      <c r="E499" s="15"/>
      <c r="AQ499" s="31"/>
    </row>
    <row r="500" spans="3:43" ht="12.75" x14ac:dyDescent="0.2">
      <c r="C500" s="31"/>
      <c r="E500" s="15"/>
      <c r="AQ500" s="31"/>
    </row>
    <row r="501" spans="3:43" ht="12.75" x14ac:dyDescent="0.2">
      <c r="C501" s="31"/>
      <c r="E501" s="15"/>
      <c r="AQ501" s="31"/>
    </row>
    <row r="502" spans="3:43" ht="12.75" x14ac:dyDescent="0.2">
      <c r="C502" s="31"/>
      <c r="E502" s="15"/>
      <c r="AQ502" s="31"/>
    </row>
    <row r="503" spans="3:43" ht="12.75" x14ac:dyDescent="0.2">
      <c r="C503" s="31"/>
      <c r="E503" s="15"/>
      <c r="AQ503" s="31"/>
    </row>
    <row r="504" spans="3:43" ht="12.75" x14ac:dyDescent="0.2">
      <c r="C504" s="31"/>
      <c r="E504" s="15"/>
      <c r="AQ504" s="31"/>
    </row>
    <row r="505" spans="3:43" ht="12.75" x14ac:dyDescent="0.2">
      <c r="C505" s="31"/>
      <c r="E505" s="15"/>
      <c r="AQ505" s="31"/>
    </row>
    <row r="506" spans="3:43" ht="12.75" x14ac:dyDescent="0.2">
      <c r="C506" s="31"/>
      <c r="E506" s="15"/>
      <c r="AQ506" s="31"/>
    </row>
    <row r="507" spans="3:43" ht="12.75" x14ac:dyDescent="0.2">
      <c r="C507" s="31"/>
      <c r="E507" s="15"/>
      <c r="AQ507" s="31"/>
    </row>
    <row r="508" spans="3:43" ht="12.75" x14ac:dyDescent="0.2">
      <c r="C508" s="31"/>
      <c r="E508" s="15"/>
      <c r="AQ508" s="31"/>
    </row>
    <row r="509" spans="3:43" ht="12.75" x14ac:dyDescent="0.2">
      <c r="C509" s="31"/>
      <c r="E509" s="15"/>
      <c r="AQ509" s="31"/>
    </row>
    <row r="510" spans="3:43" ht="12.75" x14ac:dyDescent="0.2">
      <c r="C510" s="31"/>
      <c r="E510" s="15"/>
      <c r="AQ510" s="31"/>
    </row>
    <row r="511" spans="3:43" ht="12.75" x14ac:dyDescent="0.2">
      <c r="C511" s="31"/>
      <c r="E511" s="15"/>
      <c r="AQ511" s="31"/>
    </row>
    <row r="512" spans="3:43" ht="12.75" x14ac:dyDescent="0.2">
      <c r="C512" s="31"/>
      <c r="E512" s="15"/>
      <c r="AQ512" s="31"/>
    </row>
    <row r="513" spans="3:43" ht="12.75" x14ac:dyDescent="0.2">
      <c r="C513" s="31"/>
      <c r="E513" s="15"/>
      <c r="AQ513" s="31"/>
    </row>
    <row r="514" spans="3:43" ht="12.75" x14ac:dyDescent="0.2">
      <c r="C514" s="31"/>
      <c r="E514" s="15"/>
      <c r="AQ514" s="31"/>
    </row>
    <row r="515" spans="3:43" ht="12.75" x14ac:dyDescent="0.2">
      <c r="C515" s="31"/>
      <c r="E515" s="15"/>
      <c r="AQ515" s="31"/>
    </row>
    <row r="516" spans="3:43" ht="12.75" x14ac:dyDescent="0.2">
      <c r="C516" s="31"/>
      <c r="E516" s="15"/>
      <c r="AQ516" s="31"/>
    </row>
    <row r="517" spans="3:43" ht="12.75" x14ac:dyDescent="0.2">
      <c r="C517" s="31"/>
      <c r="E517" s="15"/>
      <c r="AQ517" s="31"/>
    </row>
    <row r="518" spans="3:43" ht="12.75" x14ac:dyDescent="0.2">
      <c r="C518" s="31"/>
      <c r="E518" s="15"/>
      <c r="AQ518" s="31"/>
    </row>
    <row r="519" spans="3:43" ht="12.75" x14ac:dyDescent="0.2">
      <c r="C519" s="31"/>
      <c r="E519" s="15"/>
      <c r="AQ519" s="31"/>
    </row>
    <row r="520" spans="3:43" ht="12.75" x14ac:dyDescent="0.2">
      <c r="C520" s="31"/>
      <c r="E520" s="15"/>
      <c r="AQ520" s="31"/>
    </row>
    <row r="521" spans="3:43" ht="12.75" x14ac:dyDescent="0.2">
      <c r="C521" s="31"/>
      <c r="E521" s="15"/>
      <c r="AQ521" s="31"/>
    </row>
    <row r="522" spans="3:43" ht="12.75" x14ac:dyDescent="0.2">
      <c r="C522" s="31"/>
      <c r="E522" s="15"/>
      <c r="AQ522" s="31"/>
    </row>
    <row r="523" spans="3:43" ht="12.75" x14ac:dyDescent="0.2">
      <c r="C523" s="31"/>
      <c r="E523" s="15"/>
      <c r="AQ523" s="31"/>
    </row>
    <row r="524" spans="3:43" ht="12.75" x14ac:dyDescent="0.2">
      <c r="C524" s="31"/>
      <c r="E524" s="15"/>
      <c r="AQ524" s="31"/>
    </row>
    <row r="525" spans="3:43" ht="12.75" x14ac:dyDescent="0.2">
      <c r="C525" s="31"/>
      <c r="E525" s="15"/>
      <c r="AQ525" s="31"/>
    </row>
    <row r="526" spans="3:43" ht="12.75" x14ac:dyDescent="0.2">
      <c r="C526" s="31"/>
      <c r="E526" s="15"/>
      <c r="AQ526" s="31"/>
    </row>
    <row r="527" spans="3:43" ht="12.75" x14ac:dyDescent="0.2">
      <c r="C527" s="31"/>
      <c r="E527" s="15"/>
      <c r="AQ527" s="31"/>
    </row>
    <row r="528" spans="3:43" ht="12.75" x14ac:dyDescent="0.2">
      <c r="C528" s="31"/>
      <c r="E528" s="15"/>
      <c r="AQ528" s="31"/>
    </row>
    <row r="529" spans="3:43" ht="12.75" x14ac:dyDescent="0.2">
      <c r="C529" s="31"/>
      <c r="E529" s="15"/>
      <c r="AQ529" s="31"/>
    </row>
    <row r="530" spans="3:43" ht="12.75" x14ac:dyDescent="0.2">
      <c r="C530" s="31"/>
      <c r="E530" s="15"/>
      <c r="AQ530" s="31"/>
    </row>
    <row r="531" spans="3:43" ht="12.75" x14ac:dyDescent="0.2">
      <c r="C531" s="31"/>
      <c r="E531" s="15"/>
      <c r="AQ531" s="31"/>
    </row>
    <row r="532" spans="3:43" ht="12.75" x14ac:dyDescent="0.2">
      <c r="C532" s="31"/>
      <c r="E532" s="15"/>
      <c r="AQ532" s="31"/>
    </row>
    <row r="533" spans="3:43" ht="12.75" x14ac:dyDescent="0.2">
      <c r="C533" s="31"/>
      <c r="E533" s="15"/>
      <c r="AQ533" s="31"/>
    </row>
    <row r="534" spans="3:43" ht="12.75" x14ac:dyDescent="0.2">
      <c r="C534" s="31"/>
      <c r="E534" s="15"/>
      <c r="AQ534" s="31"/>
    </row>
    <row r="535" spans="3:43" ht="12.75" x14ac:dyDescent="0.2">
      <c r="C535" s="31"/>
      <c r="E535" s="15"/>
      <c r="AQ535" s="31"/>
    </row>
    <row r="536" spans="3:43" ht="12.75" x14ac:dyDescent="0.2">
      <c r="C536" s="31"/>
      <c r="E536" s="15"/>
      <c r="AQ536" s="31"/>
    </row>
    <row r="537" spans="3:43" ht="12.75" x14ac:dyDescent="0.2">
      <c r="C537" s="31"/>
      <c r="E537" s="15"/>
      <c r="AQ537" s="31"/>
    </row>
    <row r="538" spans="3:43" ht="12.75" x14ac:dyDescent="0.2">
      <c r="C538" s="31"/>
      <c r="E538" s="15"/>
      <c r="AQ538" s="31"/>
    </row>
    <row r="539" spans="3:43" ht="12.75" x14ac:dyDescent="0.2">
      <c r="C539" s="31"/>
      <c r="E539" s="15"/>
      <c r="AQ539" s="31"/>
    </row>
    <row r="540" spans="3:43" ht="12.75" x14ac:dyDescent="0.2">
      <c r="C540" s="31"/>
      <c r="E540" s="15"/>
      <c r="AQ540" s="31"/>
    </row>
    <row r="541" spans="3:43" ht="12.75" x14ac:dyDescent="0.2">
      <c r="C541" s="31"/>
      <c r="E541" s="15"/>
      <c r="AQ541" s="31"/>
    </row>
    <row r="542" spans="3:43" ht="12.75" x14ac:dyDescent="0.2">
      <c r="C542" s="31"/>
      <c r="E542" s="15"/>
      <c r="AQ542" s="31"/>
    </row>
    <row r="543" spans="3:43" ht="12.75" x14ac:dyDescent="0.2">
      <c r="C543" s="31"/>
      <c r="E543" s="15"/>
      <c r="AQ543" s="31"/>
    </row>
    <row r="544" spans="3:43" ht="12.75" x14ac:dyDescent="0.2">
      <c r="C544" s="31"/>
      <c r="E544" s="15"/>
      <c r="AQ544" s="31"/>
    </row>
    <row r="545" spans="3:43" ht="12.75" x14ac:dyDescent="0.2">
      <c r="C545" s="31"/>
      <c r="E545" s="15"/>
      <c r="AQ545" s="31"/>
    </row>
    <row r="546" spans="3:43" ht="12.75" x14ac:dyDescent="0.2">
      <c r="C546" s="31"/>
      <c r="E546" s="15"/>
      <c r="AQ546" s="31"/>
    </row>
    <row r="547" spans="3:43" ht="12.75" x14ac:dyDescent="0.2">
      <c r="C547" s="31"/>
      <c r="E547" s="15"/>
      <c r="AQ547" s="31"/>
    </row>
    <row r="548" spans="3:43" ht="12.75" x14ac:dyDescent="0.2">
      <c r="C548" s="31"/>
      <c r="E548" s="15"/>
      <c r="AQ548" s="31"/>
    </row>
    <row r="549" spans="3:43" ht="12.75" x14ac:dyDescent="0.2">
      <c r="C549" s="31"/>
      <c r="E549" s="15"/>
      <c r="AQ549" s="31"/>
    </row>
    <row r="550" spans="3:43" ht="12.75" x14ac:dyDescent="0.2">
      <c r="C550" s="31"/>
      <c r="E550" s="15"/>
      <c r="AQ550" s="31"/>
    </row>
    <row r="551" spans="3:43" ht="12.75" x14ac:dyDescent="0.2">
      <c r="C551" s="31"/>
      <c r="E551" s="15"/>
      <c r="AQ551" s="31"/>
    </row>
    <row r="552" spans="3:43" ht="12.75" x14ac:dyDescent="0.2">
      <c r="C552" s="31"/>
      <c r="E552" s="15"/>
      <c r="AQ552" s="31"/>
    </row>
    <row r="553" spans="3:43" ht="12.75" x14ac:dyDescent="0.2">
      <c r="C553" s="31"/>
      <c r="E553" s="15"/>
      <c r="AQ553" s="31"/>
    </row>
    <row r="554" spans="3:43" ht="12.75" x14ac:dyDescent="0.2">
      <c r="C554" s="31"/>
      <c r="E554" s="15"/>
      <c r="AQ554" s="31"/>
    </row>
    <row r="555" spans="3:43" ht="12.75" x14ac:dyDescent="0.2">
      <c r="C555" s="31"/>
      <c r="E555" s="15"/>
      <c r="AQ555" s="31"/>
    </row>
    <row r="556" spans="3:43" ht="12.75" x14ac:dyDescent="0.2">
      <c r="C556" s="31"/>
      <c r="E556" s="15"/>
      <c r="AQ556" s="31"/>
    </row>
    <row r="557" spans="3:43" ht="12.75" x14ac:dyDescent="0.2">
      <c r="C557" s="31"/>
      <c r="E557" s="15"/>
      <c r="AQ557" s="31"/>
    </row>
    <row r="558" spans="3:43" ht="12.75" x14ac:dyDescent="0.2">
      <c r="C558" s="31"/>
      <c r="E558" s="15"/>
      <c r="AQ558" s="31"/>
    </row>
    <row r="559" spans="3:43" ht="12.75" x14ac:dyDescent="0.2">
      <c r="C559" s="31"/>
      <c r="E559" s="15"/>
      <c r="AQ559" s="31"/>
    </row>
    <row r="560" spans="3:43" ht="12.75" x14ac:dyDescent="0.2">
      <c r="C560" s="31"/>
      <c r="E560" s="15"/>
      <c r="AQ560" s="31"/>
    </row>
    <row r="561" spans="3:43" ht="12.75" x14ac:dyDescent="0.2">
      <c r="C561" s="31"/>
      <c r="E561" s="15"/>
      <c r="AQ561" s="31"/>
    </row>
    <row r="562" spans="3:43" ht="12.75" x14ac:dyDescent="0.2">
      <c r="C562" s="31"/>
      <c r="E562" s="15"/>
      <c r="AQ562" s="31"/>
    </row>
    <row r="563" spans="3:43" ht="12.75" x14ac:dyDescent="0.2">
      <c r="C563" s="31"/>
      <c r="E563" s="15"/>
      <c r="AQ563" s="31"/>
    </row>
    <row r="564" spans="3:43" ht="12.75" x14ac:dyDescent="0.2">
      <c r="C564" s="31"/>
      <c r="E564" s="15"/>
      <c r="AQ564" s="31"/>
    </row>
    <row r="565" spans="3:43" ht="12.75" x14ac:dyDescent="0.2">
      <c r="C565" s="31"/>
      <c r="E565" s="15"/>
      <c r="AQ565" s="31"/>
    </row>
    <row r="566" spans="3:43" ht="12.75" x14ac:dyDescent="0.2">
      <c r="C566" s="31"/>
      <c r="E566" s="15"/>
      <c r="AQ566" s="31"/>
    </row>
    <row r="567" spans="3:43" ht="12.75" x14ac:dyDescent="0.2">
      <c r="C567" s="31"/>
      <c r="E567" s="15"/>
      <c r="AQ567" s="31"/>
    </row>
    <row r="568" spans="3:43" ht="12.75" x14ac:dyDescent="0.2">
      <c r="C568" s="31"/>
      <c r="E568" s="15"/>
      <c r="AQ568" s="31"/>
    </row>
    <row r="569" spans="3:43" ht="12.75" x14ac:dyDescent="0.2">
      <c r="C569" s="31"/>
      <c r="E569" s="15"/>
      <c r="AQ569" s="31"/>
    </row>
    <row r="570" spans="3:43" ht="12.75" x14ac:dyDescent="0.2">
      <c r="C570" s="31"/>
      <c r="E570" s="15"/>
      <c r="AQ570" s="31"/>
    </row>
    <row r="571" spans="3:43" ht="12.75" x14ac:dyDescent="0.2">
      <c r="C571" s="31"/>
      <c r="E571" s="15"/>
      <c r="AQ571" s="31"/>
    </row>
    <row r="572" spans="3:43" ht="12.75" x14ac:dyDescent="0.2">
      <c r="C572" s="31"/>
      <c r="E572" s="15"/>
      <c r="AQ572" s="31"/>
    </row>
    <row r="573" spans="3:43" ht="12.75" x14ac:dyDescent="0.2">
      <c r="C573" s="31"/>
      <c r="E573" s="15"/>
      <c r="AQ573" s="31"/>
    </row>
    <row r="574" spans="3:43" ht="12.75" x14ac:dyDescent="0.2">
      <c r="C574" s="31"/>
      <c r="E574" s="15"/>
      <c r="AQ574" s="31"/>
    </row>
    <row r="575" spans="3:43" ht="12.75" x14ac:dyDescent="0.2">
      <c r="C575" s="31"/>
      <c r="E575" s="15"/>
      <c r="AQ575" s="31"/>
    </row>
    <row r="576" spans="3:43" ht="12.75" x14ac:dyDescent="0.2">
      <c r="C576" s="31"/>
      <c r="E576" s="15"/>
      <c r="AQ576" s="31"/>
    </row>
    <row r="577" spans="3:43" ht="12.75" x14ac:dyDescent="0.2">
      <c r="C577" s="31"/>
      <c r="E577" s="15"/>
      <c r="AQ577" s="31"/>
    </row>
    <row r="578" spans="3:43" ht="12.75" x14ac:dyDescent="0.2">
      <c r="C578" s="31"/>
      <c r="E578" s="15"/>
      <c r="AQ578" s="31"/>
    </row>
    <row r="579" spans="3:43" ht="12.75" x14ac:dyDescent="0.2">
      <c r="C579" s="31"/>
      <c r="E579" s="15"/>
      <c r="AQ579" s="31"/>
    </row>
    <row r="580" spans="3:43" ht="12.75" x14ac:dyDescent="0.2">
      <c r="C580" s="31"/>
      <c r="E580" s="15"/>
      <c r="AQ580" s="31"/>
    </row>
    <row r="581" spans="3:43" ht="12.75" x14ac:dyDescent="0.2">
      <c r="C581" s="31"/>
      <c r="E581" s="15"/>
      <c r="AQ581" s="31"/>
    </row>
    <row r="582" spans="3:43" ht="12.75" x14ac:dyDescent="0.2">
      <c r="C582" s="31"/>
      <c r="E582" s="15"/>
      <c r="AQ582" s="31"/>
    </row>
    <row r="583" spans="3:43" ht="12.75" x14ac:dyDescent="0.2">
      <c r="C583" s="31"/>
      <c r="E583" s="15"/>
      <c r="AQ583" s="31"/>
    </row>
    <row r="584" spans="3:43" ht="12.75" x14ac:dyDescent="0.2">
      <c r="C584" s="31"/>
      <c r="E584" s="15"/>
      <c r="AQ584" s="31"/>
    </row>
    <row r="585" spans="3:43" ht="12.75" x14ac:dyDescent="0.2">
      <c r="C585" s="31"/>
      <c r="E585" s="15"/>
      <c r="AQ585" s="31"/>
    </row>
    <row r="586" spans="3:43" ht="12.75" x14ac:dyDescent="0.2">
      <c r="C586" s="31"/>
      <c r="E586" s="15"/>
      <c r="AQ586" s="31"/>
    </row>
    <row r="587" spans="3:43" ht="12.75" x14ac:dyDescent="0.2">
      <c r="C587" s="31"/>
      <c r="E587" s="15"/>
      <c r="AQ587" s="31"/>
    </row>
    <row r="588" spans="3:43" ht="12.75" x14ac:dyDescent="0.2">
      <c r="C588" s="31"/>
      <c r="E588" s="15"/>
      <c r="AQ588" s="31"/>
    </row>
    <row r="589" spans="3:43" ht="12.75" x14ac:dyDescent="0.2">
      <c r="C589" s="31"/>
      <c r="E589" s="15"/>
      <c r="AQ589" s="31"/>
    </row>
    <row r="590" spans="3:43" ht="12.75" x14ac:dyDescent="0.2">
      <c r="C590" s="31"/>
      <c r="E590" s="15"/>
      <c r="AQ590" s="31"/>
    </row>
    <row r="591" spans="3:43" ht="12.75" x14ac:dyDescent="0.2">
      <c r="C591" s="31"/>
      <c r="E591" s="15"/>
      <c r="AQ591" s="31"/>
    </row>
    <row r="592" spans="3:43" ht="12.75" x14ac:dyDescent="0.2">
      <c r="C592" s="31"/>
      <c r="E592" s="15"/>
      <c r="AQ592" s="31"/>
    </row>
    <row r="593" spans="3:43" ht="12.75" x14ac:dyDescent="0.2">
      <c r="C593" s="31"/>
      <c r="E593" s="15"/>
      <c r="AQ593" s="31"/>
    </row>
    <row r="594" spans="3:43" ht="12.75" x14ac:dyDescent="0.2">
      <c r="C594" s="31"/>
      <c r="E594" s="15"/>
      <c r="AQ594" s="31"/>
    </row>
    <row r="595" spans="3:43" ht="12.75" x14ac:dyDescent="0.2">
      <c r="C595" s="31"/>
      <c r="E595" s="15"/>
      <c r="AQ595" s="31"/>
    </row>
    <row r="596" spans="3:43" ht="12.75" x14ac:dyDescent="0.2">
      <c r="C596" s="31"/>
      <c r="E596" s="15"/>
      <c r="AQ596" s="31"/>
    </row>
    <row r="597" spans="3:43" ht="12.75" x14ac:dyDescent="0.2">
      <c r="C597" s="31"/>
      <c r="E597" s="15"/>
      <c r="AQ597" s="31"/>
    </row>
    <row r="598" spans="3:43" ht="12.75" x14ac:dyDescent="0.2">
      <c r="C598" s="31"/>
      <c r="E598" s="15"/>
      <c r="AQ598" s="31"/>
    </row>
    <row r="599" spans="3:43" ht="12.75" x14ac:dyDescent="0.2">
      <c r="C599" s="31"/>
      <c r="E599" s="15"/>
      <c r="AQ599" s="31"/>
    </row>
    <row r="600" spans="3:43" ht="12.75" x14ac:dyDescent="0.2">
      <c r="C600" s="31"/>
      <c r="E600" s="15"/>
      <c r="AQ600" s="31"/>
    </row>
    <row r="601" spans="3:43" ht="12.75" x14ac:dyDescent="0.2">
      <c r="C601" s="31"/>
      <c r="E601" s="15"/>
      <c r="AQ601" s="31"/>
    </row>
    <row r="602" spans="3:43" ht="12.75" x14ac:dyDescent="0.2">
      <c r="C602" s="31"/>
      <c r="E602" s="15"/>
      <c r="AQ602" s="31"/>
    </row>
    <row r="603" spans="3:43" ht="12.75" x14ac:dyDescent="0.2">
      <c r="C603" s="31"/>
      <c r="E603" s="15"/>
      <c r="AQ603" s="31"/>
    </row>
    <row r="604" spans="3:43" ht="12.75" x14ac:dyDescent="0.2">
      <c r="C604" s="31"/>
      <c r="E604" s="15"/>
      <c r="AQ604" s="31"/>
    </row>
    <row r="605" spans="3:43" ht="12.75" x14ac:dyDescent="0.2">
      <c r="C605" s="31"/>
      <c r="E605" s="15"/>
      <c r="AQ605" s="31"/>
    </row>
    <row r="606" spans="3:43" ht="12.75" x14ac:dyDescent="0.2">
      <c r="C606" s="31"/>
      <c r="E606" s="15"/>
      <c r="AQ606" s="31"/>
    </row>
    <row r="607" spans="3:43" ht="12.75" x14ac:dyDescent="0.2">
      <c r="C607" s="31"/>
      <c r="E607" s="15"/>
      <c r="AQ607" s="31"/>
    </row>
    <row r="608" spans="3:43" ht="12.75" x14ac:dyDescent="0.2">
      <c r="C608" s="31"/>
      <c r="E608" s="15"/>
      <c r="AQ608" s="31"/>
    </row>
    <row r="609" spans="3:43" ht="12.75" x14ac:dyDescent="0.2">
      <c r="C609" s="31"/>
      <c r="E609" s="15"/>
      <c r="AQ609" s="31"/>
    </row>
    <row r="610" spans="3:43" ht="12.75" x14ac:dyDescent="0.2">
      <c r="C610" s="31"/>
      <c r="E610" s="15"/>
      <c r="AQ610" s="31"/>
    </row>
    <row r="611" spans="3:43" ht="12.75" x14ac:dyDescent="0.2">
      <c r="C611" s="31"/>
      <c r="E611" s="15"/>
      <c r="AQ611" s="31"/>
    </row>
    <row r="612" spans="3:43" ht="12.75" x14ac:dyDescent="0.2">
      <c r="C612" s="31"/>
      <c r="E612" s="15"/>
      <c r="AQ612" s="31"/>
    </row>
    <row r="613" spans="3:43" ht="12.75" x14ac:dyDescent="0.2">
      <c r="C613" s="31"/>
      <c r="E613" s="15"/>
      <c r="AQ613" s="31"/>
    </row>
    <row r="614" spans="3:43" ht="12.75" x14ac:dyDescent="0.2">
      <c r="C614" s="31"/>
      <c r="E614" s="15"/>
      <c r="AQ614" s="31"/>
    </row>
    <row r="615" spans="3:43" ht="12.75" x14ac:dyDescent="0.2">
      <c r="C615" s="31"/>
      <c r="E615" s="15"/>
      <c r="AQ615" s="31"/>
    </row>
    <row r="616" spans="3:43" ht="12.75" x14ac:dyDescent="0.2">
      <c r="C616" s="31"/>
      <c r="E616" s="15"/>
      <c r="AQ616" s="31"/>
    </row>
    <row r="617" spans="3:43" ht="12.75" x14ac:dyDescent="0.2">
      <c r="C617" s="31"/>
      <c r="E617" s="15"/>
      <c r="AQ617" s="31"/>
    </row>
    <row r="618" spans="3:43" ht="12.75" x14ac:dyDescent="0.2">
      <c r="C618" s="31"/>
      <c r="E618" s="15"/>
      <c r="AQ618" s="31"/>
    </row>
    <row r="619" spans="3:43" ht="12.75" x14ac:dyDescent="0.2">
      <c r="C619" s="31"/>
      <c r="E619" s="15"/>
      <c r="AQ619" s="31"/>
    </row>
    <row r="620" spans="3:43" ht="12.75" x14ac:dyDescent="0.2">
      <c r="C620" s="31"/>
      <c r="E620" s="15"/>
      <c r="AQ620" s="31"/>
    </row>
    <row r="621" spans="3:43" ht="12.75" x14ac:dyDescent="0.2">
      <c r="C621" s="31"/>
      <c r="E621" s="15"/>
      <c r="AQ621" s="31"/>
    </row>
    <row r="622" spans="3:43" ht="12.75" x14ac:dyDescent="0.2">
      <c r="C622" s="31"/>
      <c r="E622" s="15"/>
      <c r="AQ622" s="31"/>
    </row>
    <row r="623" spans="3:43" ht="12.75" x14ac:dyDescent="0.2">
      <c r="C623" s="31"/>
      <c r="E623" s="15"/>
      <c r="AQ623" s="31"/>
    </row>
    <row r="624" spans="3:43" ht="12.75" x14ac:dyDescent="0.2">
      <c r="C624" s="31"/>
      <c r="E624" s="15"/>
      <c r="AQ624" s="31"/>
    </row>
    <row r="625" spans="3:43" ht="12.75" x14ac:dyDescent="0.2">
      <c r="C625" s="31"/>
      <c r="E625" s="15"/>
      <c r="AQ625" s="31"/>
    </row>
    <row r="626" spans="3:43" ht="12.75" x14ac:dyDescent="0.2">
      <c r="C626" s="31"/>
      <c r="E626" s="15"/>
      <c r="AQ626" s="31"/>
    </row>
    <row r="627" spans="3:43" ht="12.75" x14ac:dyDescent="0.2">
      <c r="C627" s="31"/>
      <c r="E627" s="15"/>
      <c r="AQ627" s="31"/>
    </row>
    <row r="628" spans="3:43" ht="12.75" x14ac:dyDescent="0.2">
      <c r="C628" s="31"/>
      <c r="E628" s="15"/>
      <c r="AQ628" s="31"/>
    </row>
    <row r="629" spans="3:43" ht="12.75" x14ac:dyDescent="0.2">
      <c r="C629" s="31"/>
      <c r="E629" s="15"/>
      <c r="AQ629" s="31"/>
    </row>
    <row r="630" spans="3:43" ht="12.75" x14ac:dyDescent="0.2">
      <c r="C630" s="31"/>
      <c r="E630" s="15"/>
      <c r="AQ630" s="31"/>
    </row>
    <row r="631" spans="3:43" ht="12.75" x14ac:dyDescent="0.2">
      <c r="C631" s="31"/>
      <c r="E631" s="15"/>
      <c r="AQ631" s="31"/>
    </row>
    <row r="632" spans="3:43" ht="12.75" x14ac:dyDescent="0.2">
      <c r="C632" s="31"/>
      <c r="E632" s="15"/>
      <c r="AQ632" s="31"/>
    </row>
    <row r="633" spans="3:43" ht="12.75" x14ac:dyDescent="0.2">
      <c r="C633" s="31"/>
      <c r="E633" s="15"/>
      <c r="AQ633" s="31"/>
    </row>
    <row r="634" spans="3:43" ht="12.75" x14ac:dyDescent="0.2">
      <c r="C634" s="31"/>
      <c r="E634" s="15"/>
      <c r="AQ634" s="31"/>
    </row>
    <row r="635" spans="3:43" ht="12.75" x14ac:dyDescent="0.2">
      <c r="C635" s="31"/>
      <c r="E635" s="15"/>
      <c r="AQ635" s="31"/>
    </row>
    <row r="636" spans="3:43" ht="12.75" x14ac:dyDescent="0.2">
      <c r="C636" s="31"/>
      <c r="E636" s="15"/>
      <c r="AQ636" s="31"/>
    </row>
    <row r="637" spans="3:43" ht="12.75" x14ac:dyDescent="0.2">
      <c r="C637" s="31"/>
      <c r="E637" s="15"/>
      <c r="AQ637" s="31"/>
    </row>
    <row r="638" spans="3:43" ht="12.75" x14ac:dyDescent="0.2">
      <c r="C638" s="31"/>
      <c r="E638" s="15"/>
      <c r="AQ638" s="31"/>
    </row>
    <row r="639" spans="3:43" ht="12.75" x14ac:dyDescent="0.2">
      <c r="C639" s="31"/>
      <c r="E639" s="15"/>
      <c r="AQ639" s="31"/>
    </row>
    <row r="640" spans="3:43" ht="12.75" x14ac:dyDescent="0.2">
      <c r="C640" s="31"/>
      <c r="E640" s="15"/>
      <c r="AQ640" s="31"/>
    </row>
    <row r="641" spans="3:43" ht="12.75" x14ac:dyDescent="0.2">
      <c r="C641" s="31"/>
      <c r="E641" s="15"/>
      <c r="AQ641" s="31"/>
    </row>
    <row r="642" spans="3:43" ht="12.75" x14ac:dyDescent="0.2">
      <c r="C642" s="31"/>
      <c r="E642" s="15"/>
      <c r="AQ642" s="31"/>
    </row>
    <row r="643" spans="3:43" ht="12.75" x14ac:dyDescent="0.2">
      <c r="C643" s="31"/>
      <c r="E643" s="15"/>
      <c r="AQ643" s="31"/>
    </row>
    <row r="644" spans="3:43" ht="12.75" x14ac:dyDescent="0.2">
      <c r="C644" s="31"/>
      <c r="E644" s="15"/>
      <c r="AQ644" s="31"/>
    </row>
    <row r="645" spans="3:43" ht="12.75" x14ac:dyDescent="0.2">
      <c r="C645" s="31"/>
      <c r="E645" s="15"/>
      <c r="AQ645" s="31"/>
    </row>
    <row r="646" spans="3:43" ht="12.75" x14ac:dyDescent="0.2">
      <c r="C646" s="31"/>
      <c r="E646" s="15"/>
      <c r="AQ646" s="31"/>
    </row>
    <row r="647" spans="3:43" ht="12.75" x14ac:dyDescent="0.2">
      <c r="C647" s="31"/>
      <c r="E647" s="15"/>
      <c r="AQ647" s="31"/>
    </row>
    <row r="648" spans="3:43" ht="12.75" x14ac:dyDescent="0.2">
      <c r="C648" s="31"/>
      <c r="E648" s="15"/>
      <c r="AQ648" s="31"/>
    </row>
    <row r="649" spans="3:43" ht="12.75" x14ac:dyDescent="0.2">
      <c r="C649" s="31"/>
      <c r="E649" s="15"/>
      <c r="AQ649" s="31"/>
    </row>
    <row r="650" spans="3:43" ht="12.75" x14ac:dyDescent="0.2">
      <c r="C650" s="31"/>
      <c r="E650" s="15"/>
      <c r="AQ650" s="31"/>
    </row>
    <row r="651" spans="3:43" ht="12.75" x14ac:dyDescent="0.2">
      <c r="C651" s="31"/>
      <c r="E651" s="15"/>
      <c r="AQ651" s="31"/>
    </row>
    <row r="652" spans="3:43" ht="12.75" x14ac:dyDescent="0.2">
      <c r="C652" s="31"/>
      <c r="E652" s="15"/>
      <c r="AQ652" s="31"/>
    </row>
    <row r="653" spans="3:43" ht="12.75" x14ac:dyDescent="0.2">
      <c r="C653" s="31"/>
      <c r="E653" s="15"/>
      <c r="AQ653" s="31"/>
    </row>
    <row r="654" spans="3:43" ht="12.75" x14ac:dyDescent="0.2">
      <c r="C654" s="31"/>
      <c r="E654" s="15"/>
      <c r="AQ654" s="31"/>
    </row>
    <row r="655" spans="3:43" ht="12.75" x14ac:dyDescent="0.2">
      <c r="C655" s="31"/>
      <c r="E655" s="15"/>
      <c r="AQ655" s="31"/>
    </row>
    <row r="656" spans="3:43" ht="12.75" x14ac:dyDescent="0.2">
      <c r="C656" s="31"/>
      <c r="E656" s="15"/>
      <c r="AQ656" s="31"/>
    </row>
    <row r="657" spans="3:43" ht="12.75" x14ac:dyDescent="0.2">
      <c r="C657" s="31"/>
      <c r="E657" s="15"/>
      <c r="AQ657" s="31"/>
    </row>
    <row r="658" spans="3:43" ht="12.75" x14ac:dyDescent="0.2">
      <c r="C658" s="31"/>
      <c r="E658" s="15"/>
      <c r="AQ658" s="31"/>
    </row>
    <row r="659" spans="3:43" ht="12.75" x14ac:dyDescent="0.2">
      <c r="C659" s="31"/>
      <c r="E659" s="15"/>
      <c r="AQ659" s="31"/>
    </row>
    <row r="660" spans="3:43" ht="12.75" x14ac:dyDescent="0.2">
      <c r="C660" s="31"/>
      <c r="E660" s="15"/>
      <c r="AQ660" s="31"/>
    </row>
    <row r="661" spans="3:43" ht="12.75" x14ac:dyDescent="0.2">
      <c r="C661" s="31"/>
      <c r="E661" s="15"/>
      <c r="AQ661" s="31"/>
    </row>
    <row r="662" spans="3:43" ht="12.75" x14ac:dyDescent="0.2">
      <c r="C662" s="31"/>
      <c r="E662" s="15"/>
      <c r="AQ662" s="31"/>
    </row>
    <row r="663" spans="3:43" ht="12.75" x14ac:dyDescent="0.2">
      <c r="C663" s="31"/>
      <c r="E663" s="15"/>
      <c r="AQ663" s="31"/>
    </row>
    <row r="664" spans="3:43" ht="12.75" x14ac:dyDescent="0.2">
      <c r="C664" s="31"/>
      <c r="E664" s="15"/>
      <c r="AQ664" s="31"/>
    </row>
    <row r="665" spans="3:43" ht="12.75" x14ac:dyDescent="0.2">
      <c r="C665" s="31"/>
      <c r="E665" s="15"/>
      <c r="AQ665" s="31"/>
    </row>
    <row r="666" spans="3:43" ht="12.75" x14ac:dyDescent="0.2">
      <c r="C666" s="31"/>
      <c r="E666" s="15"/>
      <c r="AQ666" s="31"/>
    </row>
    <row r="667" spans="3:43" ht="12.75" x14ac:dyDescent="0.2">
      <c r="C667" s="31"/>
      <c r="E667" s="15"/>
      <c r="AQ667" s="31"/>
    </row>
    <row r="668" spans="3:43" ht="12.75" x14ac:dyDescent="0.2">
      <c r="C668" s="31"/>
      <c r="E668" s="15"/>
      <c r="AQ668" s="31"/>
    </row>
    <row r="669" spans="3:43" ht="12.75" x14ac:dyDescent="0.2">
      <c r="C669" s="31"/>
      <c r="E669" s="15"/>
      <c r="AQ669" s="31"/>
    </row>
    <row r="670" spans="3:43" ht="12.75" x14ac:dyDescent="0.2">
      <c r="C670" s="31"/>
      <c r="E670" s="15"/>
      <c r="AQ670" s="31"/>
    </row>
    <row r="671" spans="3:43" ht="12.75" x14ac:dyDescent="0.2">
      <c r="C671" s="31"/>
      <c r="E671" s="15"/>
      <c r="AQ671" s="31"/>
    </row>
    <row r="672" spans="3:43" ht="12.75" x14ac:dyDescent="0.2">
      <c r="C672" s="31"/>
      <c r="E672" s="15"/>
      <c r="AQ672" s="31"/>
    </row>
    <row r="673" spans="3:43" ht="12.75" x14ac:dyDescent="0.2">
      <c r="C673" s="31"/>
      <c r="E673" s="15"/>
      <c r="AQ673" s="31"/>
    </row>
    <row r="674" spans="3:43" ht="12.75" x14ac:dyDescent="0.2">
      <c r="C674" s="31"/>
      <c r="E674" s="15"/>
      <c r="AQ674" s="31"/>
    </row>
    <row r="675" spans="3:43" ht="12.75" x14ac:dyDescent="0.2">
      <c r="C675" s="31"/>
      <c r="E675" s="15"/>
      <c r="AQ675" s="31"/>
    </row>
    <row r="676" spans="3:43" ht="12.75" x14ac:dyDescent="0.2">
      <c r="C676" s="31"/>
      <c r="E676" s="15"/>
      <c r="AQ676" s="31"/>
    </row>
    <row r="677" spans="3:43" ht="12.75" x14ac:dyDescent="0.2">
      <c r="C677" s="31"/>
      <c r="E677" s="15"/>
      <c r="AQ677" s="31"/>
    </row>
    <row r="678" spans="3:43" ht="12.75" x14ac:dyDescent="0.2">
      <c r="C678" s="31"/>
      <c r="E678" s="15"/>
      <c r="AQ678" s="31"/>
    </row>
    <row r="679" spans="3:43" ht="12.75" x14ac:dyDescent="0.2">
      <c r="C679" s="31"/>
      <c r="E679" s="15"/>
      <c r="AQ679" s="31"/>
    </row>
    <row r="680" spans="3:43" ht="12.75" x14ac:dyDescent="0.2">
      <c r="C680" s="31"/>
      <c r="E680" s="15"/>
      <c r="AQ680" s="31"/>
    </row>
    <row r="681" spans="3:43" ht="12.75" x14ac:dyDescent="0.2">
      <c r="C681" s="31"/>
      <c r="E681" s="15"/>
      <c r="AQ681" s="31"/>
    </row>
    <row r="682" spans="3:43" ht="12.75" x14ac:dyDescent="0.2">
      <c r="C682" s="31"/>
      <c r="E682" s="15"/>
      <c r="AQ682" s="31"/>
    </row>
    <row r="683" spans="3:43" ht="12.75" x14ac:dyDescent="0.2">
      <c r="C683" s="31"/>
      <c r="E683" s="15"/>
      <c r="AQ683" s="31"/>
    </row>
    <row r="684" spans="3:43" ht="12.75" x14ac:dyDescent="0.2">
      <c r="C684" s="31"/>
      <c r="E684" s="15"/>
      <c r="AQ684" s="31"/>
    </row>
    <row r="685" spans="3:43" ht="12.75" x14ac:dyDescent="0.2">
      <c r="C685" s="31"/>
      <c r="E685" s="15"/>
      <c r="AQ685" s="31"/>
    </row>
    <row r="686" spans="3:43" ht="12.75" x14ac:dyDescent="0.2">
      <c r="C686" s="31"/>
      <c r="E686" s="15"/>
      <c r="AQ686" s="31"/>
    </row>
    <row r="687" spans="3:43" ht="12.75" x14ac:dyDescent="0.2">
      <c r="C687" s="31"/>
      <c r="E687" s="15"/>
      <c r="AQ687" s="31"/>
    </row>
    <row r="688" spans="3:43" ht="12.75" x14ac:dyDescent="0.2">
      <c r="C688" s="31"/>
      <c r="E688" s="15"/>
      <c r="AQ688" s="31"/>
    </row>
    <row r="689" spans="3:43" ht="12.75" x14ac:dyDescent="0.2">
      <c r="C689" s="31"/>
      <c r="E689" s="15"/>
      <c r="AQ689" s="31"/>
    </row>
    <row r="690" spans="3:43" ht="12.75" x14ac:dyDescent="0.2">
      <c r="C690" s="31"/>
      <c r="E690" s="15"/>
      <c r="AQ690" s="31"/>
    </row>
    <row r="691" spans="3:43" ht="12.75" x14ac:dyDescent="0.2">
      <c r="C691" s="31"/>
      <c r="E691" s="15"/>
      <c r="AQ691" s="31"/>
    </row>
    <row r="692" spans="3:43" ht="12.75" x14ac:dyDescent="0.2">
      <c r="C692" s="31"/>
      <c r="E692" s="15"/>
      <c r="AQ692" s="31"/>
    </row>
    <row r="693" spans="3:43" ht="12.75" x14ac:dyDescent="0.2">
      <c r="C693" s="31"/>
      <c r="E693" s="15"/>
      <c r="AQ693" s="31"/>
    </row>
    <row r="694" spans="3:43" ht="12.75" x14ac:dyDescent="0.2">
      <c r="C694" s="31"/>
      <c r="E694" s="15"/>
      <c r="AQ694" s="31"/>
    </row>
    <row r="695" spans="3:43" ht="12.75" x14ac:dyDescent="0.2">
      <c r="C695" s="31"/>
      <c r="E695" s="15"/>
      <c r="AQ695" s="31"/>
    </row>
    <row r="696" spans="3:43" ht="12.75" x14ac:dyDescent="0.2">
      <c r="C696" s="31"/>
      <c r="E696" s="15"/>
      <c r="AQ696" s="31"/>
    </row>
    <row r="697" spans="3:43" ht="12.75" x14ac:dyDescent="0.2">
      <c r="C697" s="31"/>
      <c r="E697" s="15"/>
      <c r="AQ697" s="31"/>
    </row>
    <row r="698" spans="3:43" ht="12.75" x14ac:dyDescent="0.2">
      <c r="C698" s="31"/>
      <c r="E698" s="15"/>
      <c r="AQ698" s="31"/>
    </row>
    <row r="699" spans="3:43" ht="12.75" x14ac:dyDescent="0.2">
      <c r="C699" s="31"/>
      <c r="E699" s="15"/>
      <c r="AQ699" s="31"/>
    </row>
    <row r="700" spans="3:43" ht="12.75" x14ac:dyDescent="0.2">
      <c r="C700" s="31"/>
      <c r="E700" s="15"/>
      <c r="AQ700" s="31"/>
    </row>
    <row r="701" spans="3:43" ht="12.75" x14ac:dyDescent="0.2">
      <c r="C701" s="31"/>
      <c r="E701" s="15"/>
      <c r="AQ701" s="31"/>
    </row>
    <row r="702" spans="3:43" ht="12.75" x14ac:dyDescent="0.2">
      <c r="C702" s="31"/>
      <c r="E702" s="15"/>
      <c r="AQ702" s="31"/>
    </row>
    <row r="703" spans="3:43" ht="12.75" x14ac:dyDescent="0.2">
      <c r="C703" s="31"/>
      <c r="E703" s="15"/>
      <c r="AQ703" s="31"/>
    </row>
    <row r="704" spans="3:43" ht="12.75" x14ac:dyDescent="0.2">
      <c r="C704" s="31"/>
      <c r="E704" s="15"/>
      <c r="AQ704" s="31"/>
    </row>
    <row r="705" spans="3:43" ht="12.75" x14ac:dyDescent="0.2">
      <c r="C705" s="31"/>
      <c r="E705" s="15"/>
      <c r="AQ705" s="31"/>
    </row>
    <row r="706" spans="3:43" ht="12.75" x14ac:dyDescent="0.2">
      <c r="C706" s="31"/>
      <c r="E706" s="15"/>
      <c r="AQ706" s="31"/>
    </row>
    <row r="707" spans="3:43" ht="12.75" x14ac:dyDescent="0.2">
      <c r="C707" s="31"/>
      <c r="E707" s="15"/>
      <c r="AQ707" s="31"/>
    </row>
    <row r="708" spans="3:43" ht="12.75" x14ac:dyDescent="0.2">
      <c r="C708" s="31"/>
      <c r="E708" s="15"/>
      <c r="AQ708" s="31"/>
    </row>
    <row r="709" spans="3:43" ht="12.75" x14ac:dyDescent="0.2">
      <c r="C709" s="31"/>
      <c r="E709" s="15"/>
      <c r="AQ709" s="31"/>
    </row>
    <row r="710" spans="3:43" ht="12.75" x14ac:dyDescent="0.2">
      <c r="C710" s="31"/>
      <c r="E710" s="15"/>
      <c r="AQ710" s="31"/>
    </row>
    <row r="711" spans="3:43" ht="12.75" x14ac:dyDescent="0.2">
      <c r="C711" s="31"/>
      <c r="E711" s="15"/>
      <c r="AQ711" s="31"/>
    </row>
    <row r="712" spans="3:43" ht="12.75" x14ac:dyDescent="0.2">
      <c r="C712" s="31"/>
      <c r="E712" s="15"/>
      <c r="AQ712" s="31"/>
    </row>
    <row r="713" spans="3:43" ht="12.75" x14ac:dyDescent="0.2">
      <c r="C713" s="31"/>
      <c r="E713" s="15"/>
      <c r="AQ713" s="31"/>
    </row>
    <row r="714" spans="3:43" ht="12.75" x14ac:dyDescent="0.2">
      <c r="C714" s="31"/>
      <c r="E714" s="15"/>
      <c r="AQ714" s="31"/>
    </row>
    <row r="715" spans="3:43" ht="12.75" x14ac:dyDescent="0.2">
      <c r="C715" s="31"/>
      <c r="E715" s="15"/>
      <c r="AQ715" s="31"/>
    </row>
    <row r="716" spans="3:43" ht="12.75" x14ac:dyDescent="0.2">
      <c r="C716" s="31"/>
      <c r="E716" s="15"/>
      <c r="AQ716" s="31"/>
    </row>
    <row r="717" spans="3:43" ht="12.75" x14ac:dyDescent="0.2">
      <c r="C717" s="31"/>
      <c r="E717" s="15"/>
      <c r="AQ717" s="31"/>
    </row>
    <row r="718" spans="3:43" ht="12.75" x14ac:dyDescent="0.2">
      <c r="C718" s="31"/>
      <c r="E718" s="15"/>
      <c r="AQ718" s="31"/>
    </row>
    <row r="719" spans="3:43" ht="12.75" x14ac:dyDescent="0.2">
      <c r="C719" s="31"/>
      <c r="E719" s="15"/>
      <c r="AQ719" s="31"/>
    </row>
    <row r="720" spans="3:43" ht="12.75" x14ac:dyDescent="0.2">
      <c r="C720" s="31"/>
      <c r="E720" s="15"/>
      <c r="AQ720" s="31"/>
    </row>
    <row r="721" spans="3:43" ht="12.75" x14ac:dyDescent="0.2">
      <c r="C721" s="31"/>
      <c r="E721" s="15"/>
      <c r="AQ721" s="31"/>
    </row>
    <row r="722" spans="3:43" ht="12.75" x14ac:dyDescent="0.2">
      <c r="C722" s="31"/>
      <c r="E722" s="15"/>
      <c r="AQ722" s="31"/>
    </row>
    <row r="723" spans="3:43" ht="12.75" x14ac:dyDescent="0.2">
      <c r="C723" s="31"/>
      <c r="E723" s="15"/>
      <c r="AQ723" s="31"/>
    </row>
    <row r="724" spans="3:43" ht="12.75" x14ac:dyDescent="0.2">
      <c r="C724" s="31"/>
      <c r="E724" s="15"/>
      <c r="AQ724" s="31"/>
    </row>
    <row r="725" spans="3:43" ht="12.75" x14ac:dyDescent="0.2">
      <c r="C725" s="31"/>
      <c r="E725" s="15"/>
      <c r="AQ725" s="31"/>
    </row>
    <row r="726" spans="3:43" ht="12.75" x14ac:dyDescent="0.2">
      <c r="C726" s="31"/>
      <c r="E726" s="15"/>
      <c r="AQ726" s="31"/>
    </row>
    <row r="727" spans="3:43" ht="12.75" x14ac:dyDescent="0.2">
      <c r="C727" s="31"/>
      <c r="E727" s="15"/>
      <c r="AQ727" s="31"/>
    </row>
    <row r="728" spans="3:43" ht="12.75" x14ac:dyDescent="0.2">
      <c r="C728" s="31"/>
      <c r="E728" s="15"/>
      <c r="AQ728" s="31"/>
    </row>
    <row r="729" spans="3:43" ht="12.75" x14ac:dyDescent="0.2">
      <c r="C729" s="31"/>
      <c r="E729" s="15"/>
      <c r="AQ729" s="31"/>
    </row>
    <row r="730" spans="3:43" ht="12.75" x14ac:dyDescent="0.2">
      <c r="C730" s="31"/>
      <c r="E730" s="15"/>
      <c r="AQ730" s="31"/>
    </row>
    <row r="731" spans="3:43" ht="12.75" x14ac:dyDescent="0.2">
      <c r="C731" s="31"/>
      <c r="E731" s="15"/>
      <c r="AQ731" s="31"/>
    </row>
    <row r="732" spans="3:43" ht="12.75" x14ac:dyDescent="0.2">
      <c r="C732" s="31"/>
      <c r="E732" s="15"/>
      <c r="AQ732" s="31"/>
    </row>
    <row r="733" spans="3:43" ht="12.75" x14ac:dyDescent="0.2">
      <c r="C733" s="31"/>
      <c r="E733" s="15"/>
      <c r="AQ733" s="31"/>
    </row>
    <row r="734" spans="3:43" ht="12.75" x14ac:dyDescent="0.2">
      <c r="C734" s="31"/>
      <c r="E734" s="15"/>
      <c r="AQ734" s="31"/>
    </row>
    <row r="735" spans="3:43" ht="12.75" x14ac:dyDescent="0.2">
      <c r="C735" s="31"/>
      <c r="E735" s="15"/>
      <c r="AQ735" s="31"/>
    </row>
    <row r="736" spans="3:43" ht="12.75" x14ac:dyDescent="0.2">
      <c r="C736" s="31"/>
      <c r="E736" s="15"/>
      <c r="AQ736" s="31"/>
    </row>
    <row r="737" spans="3:43" ht="12.75" x14ac:dyDescent="0.2">
      <c r="C737" s="31"/>
      <c r="E737" s="15"/>
      <c r="AQ737" s="31"/>
    </row>
    <row r="738" spans="3:43" ht="12.75" x14ac:dyDescent="0.2">
      <c r="C738" s="31"/>
      <c r="E738" s="15"/>
      <c r="AQ738" s="31"/>
    </row>
    <row r="739" spans="3:43" ht="12.75" x14ac:dyDescent="0.2">
      <c r="C739" s="31"/>
      <c r="E739" s="15"/>
      <c r="AQ739" s="31"/>
    </row>
    <row r="740" spans="3:43" ht="12.75" x14ac:dyDescent="0.2">
      <c r="C740" s="31"/>
      <c r="E740" s="15"/>
      <c r="AQ740" s="31"/>
    </row>
    <row r="741" spans="3:43" ht="12.75" x14ac:dyDescent="0.2">
      <c r="C741" s="31"/>
      <c r="E741" s="15"/>
      <c r="AQ741" s="31"/>
    </row>
    <row r="742" spans="3:43" ht="12.75" x14ac:dyDescent="0.2">
      <c r="C742" s="31"/>
      <c r="E742" s="15"/>
      <c r="AQ742" s="31"/>
    </row>
    <row r="743" spans="3:43" ht="12.75" x14ac:dyDescent="0.2">
      <c r="C743" s="31"/>
      <c r="E743" s="15"/>
      <c r="AQ743" s="31"/>
    </row>
    <row r="744" spans="3:43" ht="12.75" x14ac:dyDescent="0.2">
      <c r="C744" s="31"/>
      <c r="E744" s="15"/>
      <c r="AQ744" s="31"/>
    </row>
    <row r="745" spans="3:43" ht="12.75" x14ac:dyDescent="0.2">
      <c r="C745" s="31"/>
      <c r="E745" s="15"/>
      <c r="AQ745" s="31"/>
    </row>
    <row r="746" spans="3:43" ht="12.75" x14ac:dyDescent="0.2">
      <c r="C746" s="31"/>
      <c r="E746" s="15"/>
      <c r="AQ746" s="31"/>
    </row>
    <row r="747" spans="3:43" ht="12.75" x14ac:dyDescent="0.2">
      <c r="C747" s="31"/>
      <c r="E747" s="15"/>
      <c r="AQ747" s="31"/>
    </row>
    <row r="748" spans="3:43" ht="12.75" x14ac:dyDescent="0.2">
      <c r="C748" s="31"/>
      <c r="E748" s="15"/>
      <c r="AQ748" s="31"/>
    </row>
    <row r="749" spans="3:43" ht="12.75" x14ac:dyDescent="0.2">
      <c r="C749" s="31"/>
      <c r="E749" s="15"/>
      <c r="AQ749" s="31"/>
    </row>
    <row r="750" spans="3:43" ht="12.75" x14ac:dyDescent="0.2">
      <c r="C750" s="31"/>
      <c r="E750" s="15"/>
      <c r="AQ750" s="31"/>
    </row>
    <row r="751" spans="3:43" ht="12.75" x14ac:dyDescent="0.2">
      <c r="C751" s="31"/>
      <c r="E751" s="15"/>
      <c r="AQ751" s="31"/>
    </row>
    <row r="752" spans="3:43" ht="12.75" x14ac:dyDescent="0.2">
      <c r="C752" s="31"/>
      <c r="E752" s="15"/>
      <c r="AQ752" s="31"/>
    </row>
    <row r="753" spans="3:43" ht="12.75" x14ac:dyDescent="0.2">
      <c r="C753" s="31"/>
      <c r="E753" s="15"/>
      <c r="AQ753" s="31"/>
    </row>
    <row r="754" spans="3:43" ht="12.75" x14ac:dyDescent="0.2">
      <c r="C754" s="31"/>
      <c r="E754" s="15"/>
      <c r="AQ754" s="31"/>
    </row>
    <row r="755" spans="3:43" ht="12.75" x14ac:dyDescent="0.2">
      <c r="C755" s="31"/>
      <c r="E755" s="15"/>
      <c r="AQ755" s="31"/>
    </row>
    <row r="756" spans="3:43" ht="12.75" x14ac:dyDescent="0.2">
      <c r="C756" s="31"/>
      <c r="E756" s="15"/>
      <c r="AQ756" s="31"/>
    </row>
    <row r="757" spans="3:43" ht="12.75" x14ac:dyDescent="0.2">
      <c r="C757" s="31"/>
      <c r="E757" s="15"/>
      <c r="AQ757" s="31"/>
    </row>
    <row r="758" spans="3:43" ht="12.75" x14ac:dyDescent="0.2">
      <c r="C758" s="31"/>
      <c r="E758" s="15"/>
      <c r="AQ758" s="31"/>
    </row>
    <row r="759" spans="3:43" ht="12.75" x14ac:dyDescent="0.2">
      <c r="C759" s="31"/>
      <c r="E759" s="15"/>
      <c r="AQ759" s="31"/>
    </row>
    <row r="760" spans="3:43" ht="12.75" x14ac:dyDescent="0.2">
      <c r="C760" s="31"/>
      <c r="E760" s="15"/>
      <c r="AQ760" s="31"/>
    </row>
    <row r="761" spans="3:43" ht="12.75" x14ac:dyDescent="0.2">
      <c r="C761" s="31"/>
      <c r="E761" s="15"/>
      <c r="AQ761" s="31"/>
    </row>
    <row r="762" spans="3:43" ht="12.75" x14ac:dyDescent="0.2">
      <c r="C762" s="31"/>
      <c r="E762" s="15"/>
      <c r="AQ762" s="31"/>
    </row>
    <row r="763" spans="3:43" ht="12.75" x14ac:dyDescent="0.2">
      <c r="C763" s="31"/>
      <c r="E763" s="15"/>
      <c r="AQ763" s="31"/>
    </row>
    <row r="764" spans="3:43" ht="12.75" x14ac:dyDescent="0.2">
      <c r="C764" s="31"/>
      <c r="E764" s="15"/>
      <c r="AQ764" s="31"/>
    </row>
    <row r="765" spans="3:43" ht="12.75" x14ac:dyDescent="0.2">
      <c r="C765" s="31"/>
      <c r="E765" s="15"/>
      <c r="AQ765" s="31"/>
    </row>
    <row r="766" spans="3:43" ht="12.75" x14ac:dyDescent="0.2">
      <c r="C766" s="31"/>
      <c r="E766" s="15"/>
      <c r="AQ766" s="31"/>
    </row>
    <row r="767" spans="3:43" ht="12.75" x14ac:dyDescent="0.2">
      <c r="C767" s="31"/>
      <c r="E767" s="15"/>
      <c r="AQ767" s="31"/>
    </row>
    <row r="768" spans="3:43" ht="12.75" x14ac:dyDescent="0.2">
      <c r="C768" s="31"/>
      <c r="E768" s="15"/>
      <c r="AQ768" s="31"/>
    </row>
    <row r="769" spans="3:43" ht="12.75" x14ac:dyDescent="0.2">
      <c r="C769" s="31"/>
      <c r="E769" s="15"/>
      <c r="AQ769" s="31"/>
    </row>
    <row r="770" spans="3:43" ht="12.75" x14ac:dyDescent="0.2">
      <c r="C770" s="31"/>
      <c r="E770" s="15"/>
      <c r="AQ770" s="31"/>
    </row>
    <row r="771" spans="3:43" ht="12.75" x14ac:dyDescent="0.2">
      <c r="C771" s="31"/>
      <c r="E771" s="15"/>
      <c r="AQ771" s="31"/>
    </row>
    <row r="772" spans="3:43" ht="12.75" x14ac:dyDescent="0.2">
      <c r="C772" s="31"/>
      <c r="E772" s="15"/>
      <c r="AQ772" s="31"/>
    </row>
    <row r="773" spans="3:43" ht="12.75" x14ac:dyDescent="0.2">
      <c r="C773" s="31"/>
      <c r="E773" s="15"/>
      <c r="AQ773" s="31"/>
    </row>
    <row r="774" spans="3:43" ht="12.75" x14ac:dyDescent="0.2">
      <c r="C774" s="31"/>
      <c r="E774" s="15"/>
      <c r="AQ774" s="31"/>
    </row>
    <row r="775" spans="3:43" ht="12.75" x14ac:dyDescent="0.2">
      <c r="C775" s="31"/>
      <c r="E775" s="15"/>
      <c r="AQ775" s="31"/>
    </row>
    <row r="776" spans="3:43" ht="12.75" x14ac:dyDescent="0.2">
      <c r="C776" s="31"/>
      <c r="E776" s="15"/>
      <c r="AQ776" s="31"/>
    </row>
    <row r="777" spans="3:43" ht="12.75" x14ac:dyDescent="0.2">
      <c r="C777" s="31"/>
      <c r="E777" s="15"/>
      <c r="AQ777" s="31"/>
    </row>
    <row r="778" spans="3:43" ht="12.75" x14ac:dyDescent="0.2">
      <c r="C778" s="31"/>
      <c r="E778" s="15"/>
      <c r="AQ778" s="31"/>
    </row>
    <row r="779" spans="3:43" ht="12.75" x14ac:dyDescent="0.2">
      <c r="C779" s="31"/>
      <c r="E779" s="15"/>
      <c r="AQ779" s="31"/>
    </row>
    <row r="780" spans="3:43" ht="12.75" x14ac:dyDescent="0.2">
      <c r="C780" s="31"/>
      <c r="E780" s="15"/>
      <c r="AQ780" s="31"/>
    </row>
    <row r="781" spans="3:43" ht="12.75" x14ac:dyDescent="0.2">
      <c r="C781" s="31"/>
      <c r="E781" s="15"/>
      <c r="AQ781" s="31"/>
    </row>
    <row r="782" spans="3:43" ht="12.75" x14ac:dyDescent="0.2">
      <c r="C782" s="31"/>
      <c r="E782" s="15"/>
      <c r="AQ782" s="31"/>
    </row>
    <row r="783" spans="3:43" ht="12.75" x14ac:dyDescent="0.2">
      <c r="C783" s="31"/>
      <c r="E783" s="15"/>
      <c r="AQ783" s="31"/>
    </row>
    <row r="784" spans="3:43" ht="12.75" x14ac:dyDescent="0.2">
      <c r="C784" s="31"/>
      <c r="E784" s="15"/>
      <c r="AQ784" s="31"/>
    </row>
    <row r="785" spans="3:43" ht="12.75" x14ac:dyDescent="0.2">
      <c r="C785" s="31"/>
      <c r="E785" s="15"/>
      <c r="AQ785" s="31"/>
    </row>
    <row r="786" spans="3:43" ht="12.75" x14ac:dyDescent="0.2">
      <c r="C786" s="31"/>
      <c r="E786" s="15"/>
      <c r="AQ786" s="31"/>
    </row>
    <row r="787" spans="3:43" ht="12.75" x14ac:dyDescent="0.2">
      <c r="C787" s="31"/>
      <c r="E787" s="15"/>
      <c r="AQ787" s="31"/>
    </row>
    <row r="788" spans="3:43" ht="12.75" x14ac:dyDescent="0.2">
      <c r="C788" s="31"/>
      <c r="E788" s="15"/>
      <c r="AQ788" s="31"/>
    </row>
    <row r="789" spans="3:43" ht="12.75" x14ac:dyDescent="0.2">
      <c r="C789" s="31"/>
      <c r="E789" s="15"/>
      <c r="AQ789" s="31"/>
    </row>
    <row r="790" spans="3:43" ht="12.75" x14ac:dyDescent="0.2">
      <c r="C790" s="31"/>
      <c r="E790" s="15"/>
      <c r="AQ790" s="31"/>
    </row>
    <row r="791" spans="3:43" ht="12.75" x14ac:dyDescent="0.2">
      <c r="C791" s="31"/>
      <c r="E791" s="15"/>
      <c r="AQ791" s="31"/>
    </row>
    <row r="792" spans="3:43" ht="12.75" x14ac:dyDescent="0.2">
      <c r="C792" s="31"/>
      <c r="E792" s="15"/>
      <c r="AQ792" s="31"/>
    </row>
    <row r="793" spans="3:43" ht="12.75" x14ac:dyDescent="0.2">
      <c r="C793" s="31"/>
      <c r="E793" s="15"/>
      <c r="AQ793" s="31"/>
    </row>
    <row r="794" spans="3:43" ht="12.75" x14ac:dyDescent="0.2">
      <c r="C794" s="31"/>
      <c r="E794" s="15"/>
      <c r="AQ794" s="31"/>
    </row>
    <row r="795" spans="3:43" ht="12.75" x14ac:dyDescent="0.2">
      <c r="C795" s="31"/>
      <c r="E795" s="15"/>
      <c r="AQ795" s="31"/>
    </row>
    <row r="796" spans="3:43" ht="12.75" x14ac:dyDescent="0.2">
      <c r="C796" s="31"/>
      <c r="E796" s="15"/>
      <c r="AQ796" s="31"/>
    </row>
    <row r="797" spans="3:43" ht="12.75" x14ac:dyDescent="0.2">
      <c r="C797" s="31"/>
      <c r="E797" s="15"/>
      <c r="AQ797" s="31"/>
    </row>
    <row r="798" spans="3:43" ht="12.75" x14ac:dyDescent="0.2">
      <c r="C798" s="31"/>
      <c r="E798" s="15"/>
      <c r="AQ798" s="31"/>
    </row>
    <row r="799" spans="3:43" ht="12.75" x14ac:dyDescent="0.2">
      <c r="C799" s="31"/>
      <c r="E799" s="15"/>
      <c r="AQ799" s="31"/>
    </row>
    <row r="800" spans="3:43" ht="12.75" x14ac:dyDescent="0.2">
      <c r="C800" s="31"/>
      <c r="E800" s="15"/>
      <c r="AQ800" s="31"/>
    </row>
    <row r="801" spans="3:43" ht="12.75" x14ac:dyDescent="0.2">
      <c r="C801" s="31"/>
      <c r="E801" s="15"/>
      <c r="AQ801" s="31"/>
    </row>
    <row r="802" spans="3:43" ht="12.75" x14ac:dyDescent="0.2">
      <c r="C802" s="31"/>
      <c r="E802" s="15"/>
      <c r="AQ802" s="31"/>
    </row>
    <row r="803" spans="3:43" ht="12.75" x14ac:dyDescent="0.2">
      <c r="C803" s="31"/>
      <c r="E803" s="15"/>
      <c r="AQ803" s="31"/>
    </row>
    <row r="804" spans="3:43" ht="12.75" x14ac:dyDescent="0.2">
      <c r="C804" s="31"/>
      <c r="E804" s="15"/>
      <c r="AQ804" s="31"/>
    </row>
    <row r="805" spans="3:43" ht="12.75" x14ac:dyDescent="0.2">
      <c r="C805" s="31"/>
      <c r="E805" s="15"/>
      <c r="AQ805" s="31"/>
    </row>
    <row r="806" spans="3:43" ht="12.75" x14ac:dyDescent="0.2">
      <c r="C806" s="31"/>
      <c r="E806" s="15"/>
      <c r="AQ806" s="31"/>
    </row>
    <row r="807" spans="3:43" ht="12.75" x14ac:dyDescent="0.2">
      <c r="C807" s="31"/>
      <c r="E807" s="15"/>
      <c r="AQ807" s="31"/>
    </row>
    <row r="808" spans="3:43" ht="12.75" x14ac:dyDescent="0.2">
      <c r="C808" s="31"/>
      <c r="E808" s="15"/>
      <c r="AQ808" s="31"/>
    </row>
    <row r="809" spans="3:43" ht="12.75" x14ac:dyDescent="0.2">
      <c r="C809" s="31"/>
      <c r="E809" s="15"/>
      <c r="AQ809" s="31"/>
    </row>
    <row r="810" spans="3:43" ht="12.75" x14ac:dyDescent="0.2">
      <c r="C810" s="31"/>
      <c r="E810" s="15"/>
      <c r="AQ810" s="31"/>
    </row>
    <row r="811" spans="3:43" ht="12.75" x14ac:dyDescent="0.2">
      <c r="C811" s="31"/>
      <c r="E811" s="15"/>
      <c r="AQ811" s="31"/>
    </row>
    <row r="812" spans="3:43" ht="12.75" x14ac:dyDescent="0.2">
      <c r="C812" s="31"/>
      <c r="E812" s="15"/>
      <c r="AQ812" s="31"/>
    </row>
    <row r="813" spans="3:43" ht="12.75" x14ac:dyDescent="0.2">
      <c r="C813" s="31"/>
      <c r="E813" s="15"/>
      <c r="AQ813" s="31"/>
    </row>
    <row r="814" spans="3:43" ht="12.75" x14ac:dyDescent="0.2">
      <c r="C814" s="31"/>
      <c r="E814" s="15"/>
      <c r="AQ814" s="31"/>
    </row>
    <row r="815" spans="3:43" ht="12.75" x14ac:dyDescent="0.2">
      <c r="C815" s="31"/>
      <c r="E815" s="15"/>
      <c r="AQ815" s="31"/>
    </row>
    <row r="816" spans="3:43" ht="12.75" x14ac:dyDescent="0.2">
      <c r="C816" s="31"/>
      <c r="E816" s="15"/>
      <c r="AQ816" s="31"/>
    </row>
    <row r="817" spans="3:43" ht="12.75" x14ac:dyDescent="0.2">
      <c r="C817" s="31"/>
      <c r="E817" s="15"/>
      <c r="AQ817" s="31"/>
    </row>
    <row r="818" spans="3:43" ht="12.75" x14ac:dyDescent="0.2">
      <c r="C818" s="31"/>
      <c r="E818" s="15"/>
      <c r="AQ818" s="31"/>
    </row>
    <row r="819" spans="3:43" ht="12.75" x14ac:dyDescent="0.2">
      <c r="C819" s="31"/>
      <c r="E819" s="15"/>
      <c r="AQ819" s="31"/>
    </row>
    <row r="820" spans="3:43" ht="12.75" x14ac:dyDescent="0.2">
      <c r="C820" s="31"/>
      <c r="E820" s="15"/>
      <c r="AQ820" s="31"/>
    </row>
    <row r="821" spans="3:43" ht="12.75" x14ac:dyDescent="0.2">
      <c r="C821" s="31"/>
      <c r="E821" s="15"/>
      <c r="AQ821" s="31"/>
    </row>
    <row r="822" spans="3:43" ht="12.75" x14ac:dyDescent="0.2">
      <c r="C822" s="31"/>
      <c r="E822" s="15"/>
      <c r="AQ822" s="31"/>
    </row>
    <row r="823" spans="3:43" ht="12.75" x14ac:dyDescent="0.2">
      <c r="C823" s="31"/>
      <c r="E823" s="15"/>
      <c r="AQ823" s="31"/>
    </row>
    <row r="824" spans="3:43" ht="12.75" x14ac:dyDescent="0.2">
      <c r="C824" s="31"/>
      <c r="E824" s="15"/>
      <c r="AQ824" s="31"/>
    </row>
    <row r="825" spans="3:43" ht="12.75" x14ac:dyDescent="0.2">
      <c r="C825" s="31"/>
      <c r="E825" s="15"/>
      <c r="AQ825" s="31"/>
    </row>
    <row r="826" spans="3:43" ht="12.75" x14ac:dyDescent="0.2">
      <c r="C826" s="31"/>
      <c r="E826" s="15"/>
      <c r="AQ826" s="31"/>
    </row>
    <row r="827" spans="3:43" ht="12.75" x14ac:dyDescent="0.2">
      <c r="C827" s="31"/>
      <c r="E827" s="15"/>
      <c r="AQ827" s="31"/>
    </row>
    <row r="828" spans="3:43" ht="12.75" x14ac:dyDescent="0.2">
      <c r="C828" s="31"/>
      <c r="E828" s="15"/>
      <c r="AQ828" s="31"/>
    </row>
    <row r="829" spans="3:43" ht="12.75" x14ac:dyDescent="0.2">
      <c r="C829" s="31"/>
      <c r="E829" s="15"/>
      <c r="AQ829" s="31"/>
    </row>
    <row r="830" spans="3:43" ht="12.75" x14ac:dyDescent="0.2">
      <c r="C830" s="31"/>
      <c r="E830" s="15"/>
      <c r="AQ830" s="31"/>
    </row>
    <row r="831" spans="3:43" ht="12.75" x14ac:dyDescent="0.2">
      <c r="C831" s="31"/>
      <c r="E831" s="15"/>
      <c r="AQ831" s="31"/>
    </row>
    <row r="832" spans="3:43" ht="12.75" x14ac:dyDescent="0.2">
      <c r="C832" s="31"/>
      <c r="E832" s="15"/>
      <c r="AQ832" s="31"/>
    </row>
    <row r="833" spans="3:43" ht="12.75" x14ac:dyDescent="0.2">
      <c r="C833" s="31"/>
      <c r="E833" s="15"/>
      <c r="AQ833" s="31"/>
    </row>
    <row r="834" spans="3:43" ht="12.75" x14ac:dyDescent="0.2">
      <c r="C834" s="31"/>
      <c r="E834" s="15"/>
      <c r="AQ834" s="31"/>
    </row>
    <row r="835" spans="3:43" ht="12.75" x14ac:dyDescent="0.2">
      <c r="C835" s="31"/>
      <c r="E835" s="15"/>
      <c r="AQ835" s="31"/>
    </row>
    <row r="836" spans="3:43" ht="12.75" x14ac:dyDescent="0.2">
      <c r="C836" s="31"/>
      <c r="E836" s="15"/>
      <c r="AQ836" s="31"/>
    </row>
    <row r="837" spans="3:43" ht="12.75" x14ac:dyDescent="0.2">
      <c r="C837" s="31"/>
      <c r="E837" s="15"/>
      <c r="AQ837" s="31"/>
    </row>
    <row r="838" spans="3:43" ht="12.75" x14ac:dyDescent="0.2">
      <c r="C838" s="31"/>
      <c r="E838" s="15"/>
      <c r="AQ838" s="31"/>
    </row>
    <row r="839" spans="3:43" ht="12.75" x14ac:dyDescent="0.2">
      <c r="C839" s="31"/>
      <c r="E839" s="15"/>
      <c r="AQ839" s="31"/>
    </row>
    <row r="840" spans="3:43" ht="12.75" x14ac:dyDescent="0.2">
      <c r="C840" s="31"/>
      <c r="E840" s="15"/>
      <c r="AQ840" s="31"/>
    </row>
    <row r="841" spans="3:43" ht="12.75" x14ac:dyDescent="0.2">
      <c r="C841" s="31"/>
      <c r="E841" s="15"/>
      <c r="AQ841" s="31"/>
    </row>
    <row r="842" spans="3:43" ht="12.75" x14ac:dyDescent="0.2">
      <c r="C842" s="31"/>
      <c r="E842" s="15"/>
      <c r="AQ842" s="31"/>
    </row>
    <row r="843" spans="3:43" ht="12.75" x14ac:dyDescent="0.2">
      <c r="C843" s="31"/>
      <c r="E843" s="15"/>
      <c r="AQ843" s="31"/>
    </row>
    <row r="844" spans="3:43" ht="12.75" x14ac:dyDescent="0.2">
      <c r="C844" s="31"/>
      <c r="E844" s="15"/>
      <c r="AQ844" s="31"/>
    </row>
    <row r="845" spans="3:43" ht="12.75" x14ac:dyDescent="0.2">
      <c r="C845" s="31"/>
      <c r="E845" s="15"/>
      <c r="AQ845" s="31"/>
    </row>
    <row r="846" spans="3:43" ht="12.75" x14ac:dyDescent="0.2">
      <c r="C846" s="31"/>
      <c r="E846" s="15"/>
      <c r="AQ846" s="31"/>
    </row>
    <row r="847" spans="3:43" ht="12.75" x14ac:dyDescent="0.2">
      <c r="C847" s="31"/>
      <c r="E847" s="15"/>
      <c r="AQ847" s="31"/>
    </row>
    <row r="848" spans="3:43" ht="12.75" x14ac:dyDescent="0.2">
      <c r="C848" s="31"/>
      <c r="E848" s="15"/>
      <c r="AQ848" s="31"/>
    </row>
    <row r="849" spans="3:43" ht="12.75" x14ac:dyDescent="0.2">
      <c r="C849" s="31"/>
      <c r="E849" s="15"/>
      <c r="AQ849" s="31"/>
    </row>
    <row r="850" spans="3:43" ht="12.75" x14ac:dyDescent="0.2">
      <c r="C850" s="31"/>
      <c r="E850" s="15"/>
      <c r="AQ850" s="31"/>
    </row>
    <row r="851" spans="3:43" ht="12.75" x14ac:dyDescent="0.2">
      <c r="C851" s="31"/>
      <c r="E851" s="15"/>
      <c r="AQ851" s="31"/>
    </row>
    <row r="852" spans="3:43" ht="12.75" x14ac:dyDescent="0.2">
      <c r="C852" s="31"/>
      <c r="E852" s="15"/>
      <c r="AQ852" s="31"/>
    </row>
    <row r="853" spans="3:43" ht="12.75" x14ac:dyDescent="0.2">
      <c r="C853" s="31"/>
      <c r="E853" s="15"/>
      <c r="AQ853" s="31"/>
    </row>
    <row r="854" spans="3:43" ht="12.75" x14ac:dyDescent="0.2">
      <c r="C854" s="31"/>
      <c r="E854" s="15"/>
      <c r="AQ854" s="31"/>
    </row>
    <row r="855" spans="3:43" ht="12.75" x14ac:dyDescent="0.2">
      <c r="C855" s="31"/>
      <c r="E855" s="15"/>
      <c r="AQ855" s="31"/>
    </row>
    <row r="856" spans="3:43" ht="12.75" x14ac:dyDescent="0.2">
      <c r="C856" s="31"/>
      <c r="E856" s="15"/>
      <c r="AQ856" s="31"/>
    </row>
    <row r="857" spans="3:43" ht="12.75" x14ac:dyDescent="0.2">
      <c r="C857" s="31"/>
      <c r="E857" s="15"/>
      <c r="AQ857" s="31"/>
    </row>
    <row r="858" spans="3:43" ht="12.75" x14ac:dyDescent="0.2">
      <c r="C858" s="31"/>
      <c r="E858" s="15"/>
      <c r="AQ858" s="31"/>
    </row>
    <row r="859" spans="3:43" ht="12.75" x14ac:dyDescent="0.2">
      <c r="C859" s="31"/>
      <c r="E859" s="15"/>
      <c r="AQ859" s="31"/>
    </row>
    <row r="860" spans="3:43" ht="12.75" x14ac:dyDescent="0.2">
      <c r="C860" s="31"/>
      <c r="E860" s="15"/>
      <c r="AQ860" s="31"/>
    </row>
    <row r="861" spans="3:43" ht="12.75" x14ac:dyDescent="0.2">
      <c r="C861" s="31"/>
      <c r="E861" s="15"/>
      <c r="AQ861" s="31"/>
    </row>
    <row r="862" spans="3:43" ht="12.75" x14ac:dyDescent="0.2">
      <c r="C862" s="31"/>
      <c r="E862" s="15"/>
      <c r="AQ862" s="31"/>
    </row>
    <row r="863" spans="3:43" ht="12.75" x14ac:dyDescent="0.2">
      <c r="C863" s="31"/>
      <c r="E863" s="15"/>
      <c r="AQ863" s="31"/>
    </row>
    <row r="864" spans="3:43" ht="12.75" x14ac:dyDescent="0.2">
      <c r="C864" s="31"/>
      <c r="E864" s="15"/>
      <c r="AQ864" s="31"/>
    </row>
    <row r="865" spans="3:43" ht="12.75" x14ac:dyDescent="0.2">
      <c r="C865" s="31"/>
      <c r="E865" s="15"/>
      <c r="AQ865" s="31"/>
    </row>
    <row r="866" spans="3:43" ht="12.75" x14ac:dyDescent="0.2">
      <c r="C866" s="31"/>
      <c r="E866" s="15"/>
      <c r="AQ866" s="31"/>
    </row>
    <row r="867" spans="3:43" ht="12.75" x14ac:dyDescent="0.2">
      <c r="C867" s="31"/>
      <c r="E867" s="15"/>
      <c r="AQ867" s="31"/>
    </row>
    <row r="868" spans="3:43" ht="12.75" x14ac:dyDescent="0.2">
      <c r="C868" s="31"/>
      <c r="E868" s="15"/>
      <c r="AQ868" s="31"/>
    </row>
    <row r="869" spans="3:43" ht="12.75" x14ac:dyDescent="0.2">
      <c r="C869" s="31"/>
      <c r="E869" s="15"/>
      <c r="AQ869" s="31"/>
    </row>
    <row r="870" spans="3:43" ht="12.75" x14ac:dyDescent="0.2">
      <c r="C870" s="31"/>
      <c r="E870" s="15"/>
      <c r="AQ870" s="31"/>
    </row>
    <row r="871" spans="3:43" ht="12.75" x14ac:dyDescent="0.2">
      <c r="C871" s="31"/>
      <c r="E871" s="15"/>
      <c r="AQ871" s="31"/>
    </row>
    <row r="872" spans="3:43" ht="12.75" x14ac:dyDescent="0.2">
      <c r="C872" s="31"/>
      <c r="E872" s="15"/>
      <c r="AQ872" s="31"/>
    </row>
    <row r="873" spans="3:43" ht="12.75" x14ac:dyDescent="0.2">
      <c r="C873" s="31"/>
      <c r="E873" s="15"/>
      <c r="AQ873" s="31"/>
    </row>
    <row r="874" spans="3:43" ht="12.75" x14ac:dyDescent="0.2">
      <c r="C874" s="31"/>
      <c r="E874" s="15"/>
      <c r="AQ874" s="31"/>
    </row>
    <row r="875" spans="3:43" ht="12.75" x14ac:dyDescent="0.2">
      <c r="C875" s="31"/>
      <c r="E875" s="15"/>
      <c r="AQ875" s="31"/>
    </row>
    <row r="876" spans="3:43" ht="12.75" x14ac:dyDescent="0.2">
      <c r="C876" s="31"/>
      <c r="E876" s="15"/>
      <c r="AQ876" s="31"/>
    </row>
    <row r="877" spans="3:43" ht="12.75" x14ac:dyDescent="0.2">
      <c r="C877" s="31"/>
      <c r="E877" s="15"/>
      <c r="AQ877" s="31"/>
    </row>
    <row r="878" spans="3:43" ht="12.75" x14ac:dyDescent="0.2">
      <c r="C878" s="31"/>
      <c r="E878" s="15"/>
      <c r="AQ878" s="31"/>
    </row>
    <row r="879" spans="3:43" ht="12.75" x14ac:dyDescent="0.2">
      <c r="C879" s="31"/>
      <c r="E879" s="15"/>
      <c r="AQ879" s="31"/>
    </row>
    <row r="880" spans="3:43" ht="12.75" x14ac:dyDescent="0.2">
      <c r="C880" s="31"/>
      <c r="E880" s="15"/>
      <c r="AQ880" s="31"/>
    </row>
    <row r="881" spans="3:43" ht="12.75" x14ac:dyDescent="0.2">
      <c r="C881" s="31"/>
      <c r="E881" s="15"/>
      <c r="AQ881" s="31"/>
    </row>
    <row r="882" spans="3:43" ht="12.75" x14ac:dyDescent="0.2">
      <c r="C882" s="31"/>
      <c r="E882" s="15"/>
      <c r="AQ882" s="31"/>
    </row>
    <row r="883" spans="3:43" ht="12.75" x14ac:dyDescent="0.2">
      <c r="C883" s="31"/>
      <c r="E883" s="15"/>
      <c r="AQ883" s="31"/>
    </row>
    <row r="884" spans="3:43" ht="12.75" x14ac:dyDescent="0.2">
      <c r="C884" s="31"/>
      <c r="E884" s="15"/>
      <c r="AQ884" s="31"/>
    </row>
    <row r="885" spans="3:43" ht="12.75" x14ac:dyDescent="0.2">
      <c r="C885" s="31"/>
      <c r="E885" s="15"/>
      <c r="AQ885" s="31"/>
    </row>
    <row r="886" spans="3:43" ht="12.75" x14ac:dyDescent="0.2">
      <c r="C886" s="31"/>
      <c r="E886" s="15"/>
      <c r="AQ886" s="31"/>
    </row>
    <row r="887" spans="3:43" ht="12.75" x14ac:dyDescent="0.2">
      <c r="C887" s="31"/>
      <c r="E887" s="15"/>
      <c r="AQ887" s="31"/>
    </row>
    <row r="888" spans="3:43" ht="12.75" x14ac:dyDescent="0.2">
      <c r="C888" s="31"/>
      <c r="E888" s="15"/>
      <c r="AQ888" s="31"/>
    </row>
    <row r="889" spans="3:43" ht="12.75" x14ac:dyDescent="0.2">
      <c r="C889" s="31"/>
      <c r="E889" s="15"/>
      <c r="AQ889" s="31"/>
    </row>
    <row r="890" spans="3:43" ht="12.75" x14ac:dyDescent="0.2">
      <c r="C890" s="31"/>
      <c r="E890" s="15"/>
      <c r="AQ890" s="31"/>
    </row>
    <row r="891" spans="3:43" ht="12.75" x14ac:dyDescent="0.2">
      <c r="C891" s="31"/>
      <c r="E891" s="15"/>
      <c r="AQ891" s="31"/>
    </row>
    <row r="892" spans="3:43" ht="12.75" x14ac:dyDescent="0.2">
      <c r="C892" s="31"/>
      <c r="E892" s="15"/>
      <c r="AQ892" s="31"/>
    </row>
    <row r="893" spans="3:43" ht="12.75" x14ac:dyDescent="0.2">
      <c r="C893" s="31"/>
      <c r="E893" s="15"/>
      <c r="AQ893" s="31"/>
    </row>
    <row r="894" spans="3:43" ht="12.75" x14ac:dyDescent="0.2">
      <c r="C894" s="31"/>
      <c r="E894" s="15"/>
      <c r="AQ894" s="31"/>
    </row>
    <row r="895" spans="3:43" ht="12.75" x14ac:dyDescent="0.2">
      <c r="C895" s="31"/>
      <c r="E895" s="15"/>
      <c r="AQ895" s="31"/>
    </row>
    <row r="896" spans="3:43" ht="12.75" x14ac:dyDescent="0.2">
      <c r="C896" s="31"/>
      <c r="E896" s="15"/>
      <c r="AQ896" s="31"/>
    </row>
    <row r="897" spans="3:43" ht="12.75" x14ac:dyDescent="0.2">
      <c r="C897" s="31"/>
      <c r="E897" s="15"/>
      <c r="AQ897" s="31"/>
    </row>
    <row r="898" spans="3:43" ht="12.75" x14ac:dyDescent="0.2">
      <c r="C898" s="31"/>
      <c r="E898" s="15"/>
      <c r="AQ898" s="31"/>
    </row>
    <row r="899" spans="3:43" ht="12.75" x14ac:dyDescent="0.2">
      <c r="C899" s="31"/>
      <c r="E899" s="15"/>
      <c r="AQ899" s="31"/>
    </row>
    <row r="900" spans="3:43" ht="12.75" x14ac:dyDescent="0.2">
      <c r="C900" s="31"/>
      <c r="E900" s="15"/>
      <c r="AQ900" s="31"/>
    </row>
    <row r="901" spans="3:43" ht="12.75" x14ac:dyDescent="0.2">
      <c r="C901" s="31"/>
      <c r="E901" s="15"/>
      <c r="AQ901" s="31"/>
    </row>
    <row r="902" spans="3:43" ht="12.75" x14ac:dyDescent="0.2">
      <c r="C902" s="31"/>
      <c r="E902" s="15"/>
      <c r="AQ902" s="31"/>
    </row>
    <row r="903" spans="3:43" ht="12.75" x14ac:dyDescent="0.2">
      <c r="C903" s="31"/>
      <c r="E903" s="15"/>
      <c r="AQ903" s="31"/>
    </row>
    <row r="904" spans="3:43" ht="12.75" x14ac:dyDescent="0.2">
      <c r="C904" s="31"/>
      <c r="E904" s="15"/>
      <c r="AQ904" s="31"/>
    </row>
    <row r="905" spans="3:43" ht="12.75" x14ac:dyDescent="0.2">
      <c r="C905" s="31"/>
      <c r="E905" s="15"/>
      <c r="AQ905" s="31"/>
    </row>
    <row r="906" spans="3:43" ht="12.75" x14ac:dyDescent="0.2">
      <c r="C906" s="31"/>
      <c r="E906" s="15"/>
      <c r="AQ906" s="31"/>
    </row>
    <row r="907" spans="3:43" ht="12.75" x14ac:dyDescent="0.2">
      <c r="C907" s="31"/>
      <c r="E907" s="15"/>
      <c r="AQ907" s="31"/>
    </row>
    <row r="908" spans="3:43" ht="12.75" x14ac:dyDescent="0.2">
      <c r="C908" s="31"/>
      <c r="E908" s="15"/>
      <c r="AQ908" s="31"/>
    </row>
    <row r="909" spans="3:43" ht="12.75" x14ac:dyDescent="0.2">
      <c r="C909" s="31"/>
      <c r="E909" s="15"/>
      <c r="AQ909" s="31"/>
    </row>
    <row r="910" spans="3:43" ht="12.75" x14ac:dyDescent="0.2">
      <c r="C910" s="31"/>
      <c r="E910" s="15"/>
      <c r="AQ910" s="31"/>
    </row>
    <row r="911" spans="3:43" ht="12.75" x14ac:dyDescent="0.2">
      <c r="C911" s="31"/>
      <c r="E911" s="15"/>
      <c r="AQ911" s="31"/>
    </row>
    <row r="912" spans="3:43" ht="12.75" x14ac:dyDescent="0.2">
      <c r="C912" s="31"/>
      <c r="E912" s="15"/>
      <c r="AQ912" s="31"/>
    </row>
    <row r="913" spans="3:43" ht="12.75" x14ac:dyDescent="0.2">
      <c r="C913" s="31"/>
      <c r="E913" s="15"/>
      <c r="AQ913" s="31"/>
    </row>
    <row r="914" spans="3:43" ht="12.75" x14ac:dyDescent="0.2">
      <c r="C914" s="31"/>
      <c r="E914" s="15"/>
      <c r="AQ914" s="31"/>
    </row>
    <row r="915" spans="3:43" ht="12.75" x14ac:dyDescent="0.2">
      <c r="C915" s="31"/>
      <c r="E915" s="15"/>
      <c r="AQ915" s="31"/>
    </row>
    <row r="916" spans="3:43" ht="12.75" x14ac:dyDescent="0.2">
      <c r="C916" s="31"/>
      <c r="E916" s="15"/>
      <c r="AQ916" s="31"/>
    </row>
    <row r="917" spans="3:43" ht="12.75" x14ac:dyDescent="0.2">
      <c r="C917" s="31"/>
      <c r="E917" s="15"/>
      <c r="AQ917" s="31"/>
    </row>
    <row r="918" spans="3:43" ht="12.75" x14ac:dyDescent="0.2">
      <c r="C918" s="31"/>
      <c r="E918" s="15"/>
      <c r="AQ918" s="31"/>
    </row>
    <row r="919" spans="3:43" ht="12.75" x14ac:dyDescent="0.2">
      <c r="C919" s="31"/>
      <c r="E919" s="15"/>
      <c r="AQ919" s="31"/>
    </row>
    <row r="920" spans="3:43" ht="12.75" x14ac:dyDescent="0.2">
      <c r="C920" s="31"/>
      <c r="E920" s="15"/>
      <c r="AQ920" s="31"/>
    </row>
    <row r="921" spans="3:43" ht="12.75" x14ac:dyDescent="0.2">
      <c r="C921" s="31"/>
      <c r="E921" s="15"/>
      <c r="AQ921" s="31"/>
    </row>
    <row r="922" spans="3:43" ht="12.75" x14ac:dyDescent="0.2">
      <c r="C922" s="31"/>
      <c r="E922" s="15"/>
      <c r="AQ922" s="31"/>
    </row>
    <row r="923" spans="3:43" ht="12.75" x14ac:dyDescent="0.2">
      <c r="C923" s="31"/>
      <c r="E923" s="15"/>
      <c r="AQ923" s="31"/>
    </row>
    <row r="924" spans="3:43" ht="12.75" x14ac:dyDescent="0.2">
      <c r="C924" s="31"/>
      <c r="E924" s="15"/>
      <c r="AQ924" s="31"/>
    </row>
    <row r="925" spans="3:43" ht="12.75" x14ac:dyDescent="0.2">
      <c r="C925" s="31"/>
      <c r="E925" s="15"/>
      <c r="AQ925" s="31"/>
    </row>
    <row r="926" spans="3:43" ht="12.75" x14ac:dyDescent="0.2">
      <c r="C926" s="31"/>
      <c r="E926" s="15"/>
      <c r="AQ926" s="31"/>
    </row>
    <row r="927" spans="3:43" ht="12.75" x14ac:dyDescent="0.2">
      <c r="C927" s="31"/>
      <c r="E927" s="15"/>
      <c r="AQ927" s="31"/>
    </row>
    <row r="928" spans="3:43" ht="12.75" x14ac:dyDescent="0.2">
      <c r="C928" s="31"/>
      <c r="E928" s="15"/>
      <c r="AQ928" s="31"/>
    </row>
    <row r="929" spans="3:43" ht="12.75" x14ac:dyDescent="0.2">
      <c r="C929" s="31"/>
      <c r="E929" s="15"/>
      <c r="AQ929" s="31"/>
    </row>
    <row r="930" spans="3:43" ht="12.75" x14ac:dyDescent="0.2">
      <c r="C930" s="31"/>
      <c r="E930" s="15"/>
      <c r="AQ930" s="31"/>
    </row>
    <row r="931" spans="3:43" ht="12.75" x14ac:dyDescent="0.2">
      <c r="C931" s="31"/>
      <c r="E931" s="15"/>
      <c r="AQ931" s="31"/>
    </row>
    <row r="932" spans="3:43" ht="12.75" x14ac:dyDescent="0.2">
      <c r="C932" s="31"/>
      <c r="E932" s="15"/>
      <c r="AQ932" s="31"/>
    </row>
    <row r="933" spans="3:43" ht="12.75" x14ac:dyDescent="0.2">
      <c r="C933" s="31"/>
      <c r="E933" s="15"/>
      <c r="AQ933" s="31"/>
    </row>
    <row r="934" spans="3:43" ht="12.75" x14ac:dyDescent="0.2">
      <c r="C934" s="31"/>
      <c r="E934" s="15"/>
      <c r="AQ934" s="31"/>
    </row>
    <row r="935" spans="3:43" ht="12.75" x14ac:dyDescent="0.2">
      <c r="C935" s="31"/>
      <c r="E935" s="15"/>
      <c r="AQ935" s="31"/>
    </row>
    <row r="936" spans="3:43" ht="12.75" x14ac:dyDescent="0.2">
      <c r="C936" s="31"/>
      <c r="E936" s="15"/>
      <c r="AQ936" s="31"/>
    </row>
    <row r="937" spans="3:43" ht="12.75" x14ac:dyDescent="0.2">
      <c r="C937" s="31"/>
      <c r="E937" s="15"/>
      <c r="AQ937" s="31"/>
    </row>
    <row r="938" spans="3:43" ht="12.75" x14ac:dyDescent="0.2">
      <c r="C938" s="31"/>
      <c r="E938" s="15"/>
      <c r="AQ938" s="31"/>
    </row>
    <row r="939" spans="3:43" ht="12.75" x14ac:dyDescent="0.2">
      <c r="C939" s="31"/>
      <c r="E939" s="15"/>
      <c r="AQ939" s="31"/>
    </row>
    <row r="940" spans="3:43" ht="12.75" x14ac:dyDescent="0.2">
      <c r="C940" s="31"/>
      <c r="E940" s="15"/>
      <c r="AQ940" s="31"/>
    </row>
    <row r="941" spans="3:43" ht="12.75" x14ac:dyDescent="0.2">
      <c r="C941" s="31"/>
      <c r="E941" s="15"/>
      <c r="AQ941" s="31"/>
    </row>
    <row r="942" spans="3:43" ht="12.75" x14ac:dyDescent="0.2">
      <c r="C942" s="31"/>
      <c r="E942" s="15"/>
      <c r="AQ942" s="31"/>
    </row>
    <row r="943" spans="3:43" ht="12.75" x14ac:dyDescent="0.2">
      <c r="C943" s="31"/>
      <c r="E943" s="15"/>
      <c r="AQ943" s="31"/>
    </row>
    <row r="944" spans="3:43" ht="12.75" x14ac:dyDescent="0.2">
      <c r="C944" s="31"/>
      <c r="E944" s="15"/>
      <c r="AQ944" s="31"/>
    </row>
    <row r="945" spans="3:43" ht="12.75" x14ac:dyDescent="0.2">
      <c r="C945" s="31"/>
      <c r="E945" s="15"/>
      <c r="AQ945" s="31"/>
    </row>
    <row r="946" spans="3:43" ht="12.75" x14ac:dyDescent="0.2">
      <c r="C946" s="31"/>
      <c r="E946" s="15"/>
      <c r="AQ946" s="31"/>
    </row>
    <row r="947" spans="3:43" ht="12.75" x14ac:dyDescent="0.2">
      <c r="C947" s="31"/>
      <c r="E947" s="15"/>
      <c r="AQ947" s="31"/>
    </row>
    <row r="948" spans="3:43" ht="12.75" x14ac:dyDescent="0.2">
      <c r="C948" s="31"/>
      <c r="E948" s="15"/>
      <c r="AQ948" s="31"/>
    </row>
    <row r="949" spans="3:43" ht="12.75" x14ac:dyDescent="0.2">
      <c r="C949" s="31"/>
      <c r="E949" s="15"/>
      <c r="AQ949" s="31"/>
    </row>
    <row r="950" spans="3:43" ht="12.75" x14ac:dyDescent="0.2">
      <c r="C950" s="31"/>
      <c r="E950" s="15"/>
      <c r="AQ950" s="31"/>
    </row>
    <row r="951" spans="3:43" ht="12.75" x14ac:dyDescent="0.2">
      <c r="C951" s="31"/>
      <c r="E951" s="15"/>
      <c r="AQ951" s="31"/>
    </row>
    <row r="952" spans="3:43" ht="12.75" x14ac:dyDescent="0.2">
      <c r="C952" s="31"/>
      <c r="E952" s="15"/>
      <c r="AQ952" s="31"/>
    </row>
    <row r="953" spans="3:43" ht="12.75" x14ac:dyDescent="0.2">
      <c r="C953" s="31"/>
      <c r="E953" s="15"/>
      <c r="AQ953" s="31"/>
    </row>
    <row r="954" spans="3:43" ht="12.75" x14ac:dyDescent="0.2">
      <c r="C954" s="31"/>
      <c r="E954" s="15"/>
      <c r="AQ954" s="31"/>
    </row>
    <row r="955" spans="3:43" ht="12.75" x14ac:dyDescent="0.2">
      <c r="C955" s="31"/>
      <c r="E955" s="15"/>
      <c r="AQ955" s="31"/>
    </row>
    <row r="956" spans="3:43" ht="12.75" x14ac:dyDescent="0.2">
      <c r="C956" s="31"/>
      <c r="E956" s="15"/>
      <c r="AQ956" s="31"/>
    </row>
    <row r="957" spans="3:43" ht="12.75" x14ac:dyDescent="0.2">
      <c r="C957" s="31"/>
      <c r="E957" s="15"/>
      <c r="AQ957" s="31"/>
    </row>
    <row r="958" spans="3:43" ht="12.75" x14ac:dyDescent="0.2">
      <c r="C958" s="31"/>
      <c r="E958" s="15"/>
      <c r="AQ958" s="31"/>
    </row>
    <row r="959" spans="3:43" ht="12.75" x14ac:dyDescent="0.2">
      <c r="C959" s="31"/>
      <c r="E959" s="15"/>
      <c r="AQ959" s="31"/>
    </row>
    <row r="960" spans="3:43" ht="12.75" x14ac:dyDescent="0.2">
      <c r="C960" s="31"/>
      <c r="E960" s="15"/>
      <c r="AQ960" s="31"/>
    </row>
    <row r="961" spans="3:43" ht="12.75" x14ac:dyDescent="0.2">
      <c r="C961" s="31"/>
      <c r="E961" s="15"/>
      <c r="AQ961" s="31"/>
    </row>
    <row r="962" spans="3:43" ht="12.75" x14ac:dyDescent="0.2">
      <c r="C962" s="31"/>
      <c r="E962" s="15"/>
      <c r="AQ962" s="31"/>
    </row>
    <row r="963" spans="3:43" ht="12.75" x14ac:dyDescent="0.2">
      <c r="C963" s="31"/>
      <c r="E963" s="15"/>
      <c r="AQ963" s="31"/>
    </row>
    <row r="964" spans="3:43" ht="12.75" x14ac:dyDescent="0.2">
      <c r="C964" s="31"/>
      <c r="E964" s="15"/>
      <c r="AQ964" s="31"/>
    </row>
    <row r="965" spans="3:43" ht="12.75" x14ac:dyDescent="0.2">
      <c r="C965" s="31"/>
      <c r="E965" s="15"/>
      <c r="AQ965" s="31"/>
    </row>
    <row r="966" spans="3:43" ht="12.75" x14ac:dyDescent="0.2">
      <c r="C966" s="31"/>
      <c r="E966" s="15"/>
      <c r="AQ966" s="31"/>
    </row>
    <row r="967" spans="3:43" ht="12.75" x14ac:dyDescent="0.2">
      <c r="C967" s="31"/>
      <c r="E967" s="15"/>
      <c r="AQ967" s="31"/>
    </row>
    <row r="968" spans="3:43" ht="12.75" x14ac:dyDescent="0.2">
      <c r="C968" s="31"/>
      <c r="E968" s="15"/>
      <c r="AQ968" s="31"/>
    </row>
    <row r="969" spans="3:43" ht="12.75" x14ac:dyDescent="0.2">
      <c r="C969" s="31"/>
      <c r="E969" s="15"/>
      <c r="AQ969" s="31"/>
    </row>
    <row r="970" spans="3:43" ht="12.75" x14ac:dyDescent="0.2">
      <c r="C970" s="31"/>
      <c r="E970" s="15"/>
      <c r="AQ970" s="31"/>
    </row>
    <row r="971" spans="3:43" ht="12.75" x14ac:dyDescent="0.2">
      <c r="C971" s="31"/>
      <c r="E971" s="15"/>
      <c r="AQ971" s="31"/>
    </row>
    <row r="972" spans="3:43" ht="12.75" x14ac:dyDescent="0.2">
      <c r="C972" s="31"/>
      <c r="E972" s="15"/>
      <c r="AQ972" s="31"/>
    </row>
    <row r="973" spans="3:43" ht="12.75" x14ac:dyDescent="0.2">
      <c r="C973" s="31"/>
      <c r="E973" s="15"/>
      <c r="AQ973" s="31"/>
    </row>
    <row r="974" spans="3:43" ht="12.75" x14ac:dyDescent="0.2">
      <c r="C974" s="31"/>
      <c r="E974" s="15"/>
      <c r="AQ974" s="31"/>
    </row>
    <row r="975" spans="3:43" ht="12.75" x14ac:dyDescent="0.2">
      <c r="C975" s="31"/>
      <c r="E975" s="15"/>
      <c r="AQ975" s="31"/>
    </row>
    <row r="976" spans="3:43" ht="12.75" x14ac:dyDescent="0.2">
      <c r="C976" s="31"/>
      <c r="E976" s="15"/>
      <c r="AQ976" s="31"/>
    </row>
    <row r="977" spans="3:43" ht="12.75" x14ac:dyDescent="0.2">
      <c r="C977" s="31"/>
      <c r="E977" s="15"/>
      <c r="AQ977" s="31"/>
    </row>
    <row r="978" spans="3:43" ht="12.75" x14ac:dyDescent="0.2">
      <c r="C978" s="31"/>
      <c r="E978" s="15"/>
      <c r="AQ978" s="31"/>
    </row>
    <row r="979" spans="3:43" ht="12.75" x14ac:dyDescent="0.2">
      <c r="C979" s="31"/>
      <c r="E979" s="15"/>
      <c r="AQ979" s="31"/>
    </row>
    <row r="980" spans="3:43" ht="12.75" x14ac:dyDescent="0.2">
      <c r="C980" s="31"/>
      <c r="E980" s="15"/>
      <c r="AQ980" s="31"/>
    </row>
    <row r="981" spans="3:43" ht="12.75" x14ac:dyDescent="0.2">
      <c r="C981" s="31"/>
      <c r="E981" s="15"/>
      <c r="AQ981" s="31"/>
    </row>
    <row r="982" spans="3:43" ht="12.75" x14ac:dyDescent="0.2">
      <c r="C982" s="31"/>
      <c r="E982" s="15"/>
      <c r="AQ982" s="31"/>
    </row>
    <row r="983" spans="3:43" ht="12.75" x14ac:dyDescent="0.2">
      <c r="C983" s="31"/>
      <c r="E983" s="15"/>
      <c r="AQ983" s="31"/>
    </row>
    <row r="984" spans="3:43" ht="12.75" x14ac:dyDescent="0.2">
      <c r="C984" s="31"/>
      <c r="E984" s="15"/>
      <c r="AQ984" s="31"/>
    </row>
    <row r="985" spans="3:43" ht="12.75" x14ac:dyDescent="0.2">
      <c r="C985" s="31"/>
      <c r="E985" s="15"/>
      <c r="AQ985" s="31"/>
    </row>
    <row r="986" spans="3:43" ht="12.75" x14ac:dyDescent="0.2">
      <c r="C986" s="31"/>
      <c r="E986" s="15"/>
      <c r="AQ986" s="31"/>
    </row>
    <row r="987" spans="3:43" ht="12.75" x14ac:dyDescent="0.2">
      <c r="C987" s="31"/>
      <c r="E987" s="15"/>
      <c r="AQ987" s="31"/>
    </row>
    <row r="988" spans="3:43" ht="12.75" x14ac:dyDescent="0.2">
      <c r="C988" s="31"/>
      <c r="E988" s="15"/>
      <c r="AQ988" s="31"/>
    </row>
    <row r="989" spans="3:43" ht="12.75" x14ac:dyDescent="0.2">
      <c r="C989" s="31"/>
      <c r="E989" s="15"/>
      <c r="AQ989" s="31"/>
    </row>
    <row r="990" spans="3:43" ht="12.75" x14ac:dyDescent="0.2">
      <c r="C990" s="31"/>
      <c r="E990" s="15"/>
      <c r="AQ990" s="31"/>
    </row>
    <row r="991" spans="3:43" ht="12.75" x14ac:dyDescent="0.2">
      <c r="C991" s="31"/>
      <c r="E991" s="15"/>
      <c r="AQ991" s="31"/>
    </row>
    <row r="992" spans="3:43" ht="12.75" x14ac:dyDescent="0.2">
      <c r="C992" s="31"/>
      <c r="E992" s="15"/>
      <c r="AQ992" s="31"/>
    </row>
    <row r="993" spans="3:43" ht="12.75" x14ac:dyDescent="0.2">
      <c r="C993" s="31"/>
      <c r="E993" s="15"/>
      <c r="AQ993" s="31"/>
    </row>
    <row r="994" spans="3:43" ht="12.75" x14ac:dyDescent="0.2">
      <c r="C994" s="31"/>
      <c r="E994" s="15"/>
      <c r="AQ994" s="31"/>
    </row>
    <row r="995" spans="3:43" ht="12.75" x14ac:dyDescent="0.2">
      <c r="C995" s="31"/>
      <c r="E995" s="15"/>
      <c r="AQ995" s="31"/>
    </row>
    <row r="996" spans="3:43" ht="12.75" x14ac:dyDescent="0.2">
      <c r="C996" s="31"/>
      <c r="E996" s="15"/>
      <c r="AQ996" s="31"/>
    </row>
    <row r="997" spans="3:43" ht="12.75" x14ac:dyDescent="0.2">
      <c r="C997" s="31"/>
      <c r="E997" s="15"/>
      <c r="AQ997" s="31"/>
    </row>
    <row r="998" spans="3:43" ht="12.75" x14ac:dyDescent="0.2">
      <c r="C998" s="31"/>
      <c r="E998" s="15"/>
      <c r="AQ998" s="31"/>
    </row>
    <row r="999" spans="3:43" ht="12.75" x14ac:dyDescent="0.2">
      <c r="C999" s="31"/>
      <c r="E999" s="15"/>
      <c r="AQ999" s="31"/>
    </row>
    <row r="1000" spans="3:43" ht="12.75" x14ac:dyDescent="0.2">
      <c r="C1000" s="31"/>
      <c r="E1000" s="15"/>
      <c r="AQ1000" s="31"/>
    </row>
    <row r="1001" spans="3:43" ht="12.75" x14ac:dyDescent="0.2">
      <c r="C1001" s="31"/>
      <c r="E1001" s="15"/>
      <c r="AQ1001" s="31"/>
    </row>
  </sheetData>
  <autoFilter ref="B3:D103" xr:uid="{00000000-0009-0000-0000-000010000000}">
    <sortState xmlns:xlrd2="http://schemas.microsoft.com/office/spreadsheetml/2017/richdata2" ref="B3:D103">
      <sortCondition descending="1" ref="C3:C103"/>
    </sortState>
  </autoFilter>
  <mergeCells count="9">
    <mergeCell ref="AC1:AI1"/>
    <mergeCell ref="AJ1:AP1"/>
    <mergeCell ref="A4:A17"/>
    <mergeCell ref="AN4:AP96"/>
    <mergeCell ref="A18:A33"/>
    <mergeCell ref="A34:A96"/>
    <mergeCell ref="H1:N1"/>
    <mergeCell ref="O1:U1"/>
    <mergeCell ref="V1:AB1"/>
  </mergeCells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4:G5"/>
  <sheetViews>
    <sheetView workbookViewId="0"/>
  </sheetViews>
  <sheetFormatPr baseColWidth="10" defaultColWidth="14.42578125" defaultRowHeight="15.75" customHeight="1" x14ac:dyDescent="0.2"/>
  <sheetData>
    <row r="4" spans="1:7" ht="15.75" customHeight="1" x14ac:dyDescent="0.2">
      <c r="A4" s="47" t="s">
        <v>426</v>
      </c>
      <c r="B4" s="47" t="s">
        <v>427</v>
      </c>
      <c r="C4" s="47" t="s">
        <v>5</v>
      </c>
      <c r="D4" s="47" t="s">
        <v>428</v>
      </c>
      <c r="E4" s="47"/>
      <c r="F4" s="47"/>
      <c r="G4" s="47"/>
    </row>
    <row r="5" spans="1:7" ht="15.75" customHeight="1" x14ac:dyDescent="0.2">
      <c r="A5" s="48">
        <v>42996</v>
      </c>
      <c r="C5" s="3" t="s">
        <v>105</v>
      </c>
      <c r="D5" s="3" t="s">
        <v>429</v>
      </c>
    </row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100-000000000000}">
          <x14:formula1>
            <xm:f>'Copia de Localidades'!$A$4:$A$96</xm:f>
          </x14:formula1>
          <xm:sqref>C5:C798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1999-Prov</vt:lpstr>
      <vt:lpstr>Datos2021</vt:lpstr>
      <vt:lpstr>2003-Prov</vt:lpstr>
      <vt:lpstr>Elecciones</vt:lpstr>
      <vt:lpstr>2011-Prov</vt:lpstr>
      <vt:lpstr>2011 gral Dip</vt:lpstr>
      <vt:lpstr>2011Gral Pres.</vt:lpstr>
      <vt:lpstr>2013Gral</vt:lpstr>
      <vt:lpstr>2015-Prov</vt:lpstr>
      <vt:lpstr>Tabla dinámica 1</vt:lpstr>
      <vt:lpstr>2015-Primarias</vt:lpstr>
      <vt:lpstr>Tabla dinámica 2</vt:lpstr>
      <vt:lpstr>2017-General</vt:lpstr>
      <vt:lpstr>2019-Prov</vt:lpstr>
      <vt:lpstr>2017-Primarias</vt:lpstr>
      <vt:lpstr>Hoja1</vt:lpstr>
      <vt:lpstr>Hoja6</vt:lpstr>
      <vt:lpstr>Copia de Localidades</vt:lpstr>
      <vt:lpstr>Semana 1</vt:lpstr>
      <vt:lpstr>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Ramirez</dc:creator>
  <cp:keywords/>
  <dc:description/>
  <cp:lastModifiedBy>Bruno Ramirez</cp:lastModifiedBy>
  <cp:revision/>
  <cp:lastPrinted>2021-09-15T14:42:25Z</cp:lastPrinted>
  <dcterms:created xsi:type="dcterms:W3CDTF">2021-09-07T22:06:06Z</dcterms:created>
  <dcterms:modified xsi:type="dcterms:W3CDTF">2021-09-15T14:49:58Z</dcterms:modified>
  <cp:category/>
  <cp:contentStatus/>
</cp:coreProperties>
</file>